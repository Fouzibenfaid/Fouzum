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ecast_Process" sheetId="1" state="visible" r:id="rId3"/>
    <sheet name="Forecast_Lab" sheetId="2" state="visible" r:id="rId4"/>
    <sheet name="Setup" sheetId="3" state="visible" r:id="rId5"/>
    <sheet name="Warehouse_Log" sheetId="4" state="visible" r:id="rId6"/>
    <sheet name="Tank_Adjustments" sheetId="5" state="visible" r:id="rId7"/>
    <sheet name="Dosage" sheetId="6" state="visible" r:id="rId8"/>
    <sheet name="Tank_Levels" sheetId="7" state="visible" r:id="rId9"/>
  </sheets>
  <definedNames>
    <definedName function="false" hidden="true" localSheetId="5" name="_xlnm._FilterDatabase" vbProcedure="false">Dosage!$A$2:$H$5000</definedName>
    <definedName function="false" hidden="true" localSheetId="4" name="_xlnm._FilterDatabase" vbProcedure="false">Tank_Adjustments!$A$1:$F$4998</definedName>
    <definedName function="false" hidden="true" localSheetId="3" name="_xlnm._FilterDatabase" vbProcedure="false">Warehouse_Log!$A$1:$M$4999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This cell had been overwritten with the typed note "Covered for Wells, no stock for EPF", which replaced the formula and would never have updated again. Formula restored. Keep notes like that in a separate column so the status stays live.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Include the time for OUT fills, e.g. 2026-09-13 10:00. The tank level maths compares this against the timed sight-glass readings on Tank_Adjustments to work out whether a reading already included a fill or came before it. A fill left at midnight will be treated as having happened before any same-day reading.</t>
        </r>
      </text>
    </comment>
    <comment ref="A18" authorId="0">
      <text>
        <r>
          <rPr>
            <sz val="10"/>
            <rFont val="Arial"/>
            <family val="2"/>
          </rPr>
          <t xml:space="preserve">TIME ASSUMED (10:00). This row had no time, so it was ambiguous whether it happened before or after the 09:20 initial reading on Tank_Adjustments. Set to 10:00 because the 09:20 reading showed the skid at 0%, which cannot be true after receiving 800 L. Correct this to the real fill time if you know it.</t>
        </r>
      </text>
    </comment>
    <comment ref="A19" authorId="0">
      <text>
        <r>
          <rPr>
            <sz val="10"/>
            <rFont val="Arial"/>
            <family val="2"/>
          </rPr>
          <t xml:space="preserve">TIME ASSUMED (10:00). This row had no time, so it was ambiguous whether it happened before or after the 09:20 initial reading on Tank_Adjustments. Set to 10:00 because the 09:20 reading showed the skid at 0%, which cannot be true after receiving 800 L. Correct this to the real fill time if you know it.</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Current Level = Level at Reading + Fills Since Reading - Consumed Since Reading, capped at capacity. A sight-glass reading is treated as the absolute truth at its timestamp; every OUT fill logged after that timestamp is added on top of it.</t>
        </r>
      </text>
    </comment>
  </commentList>
</comments>
</file>

<file path=xl/sharedStrings.xml><?xml version="1.0" encoding="utf-8"?>
<sst xmlns="http://schemas.openxmlformats.org/spreadsheetml/2006/main" count="335" uniqueCount="115">
  <si>
    <t xml:space="preserve">Chemical</t>
  </si>
  <si>
    <t xml:space="preserve">Warehouse
Stock (L)</t>
  </si>
  <si>
    <t xml:space="preserve">In Skids
(L)</t>
  </si>
  <si>
    <t xml:space="preserve">Combined
Stock (L)</t>
  </si>
  <si>
    <t xml:space="preserve">Daily Use
(L/day)</t>
  </si>
  <si>
    <t xml:space="preserve">Days
Left</t>
  </si>
  <si>
    <t xml:space="preserve">Stockout
Date</t>
  </si>
  <si>
    <t xml:space="preserve">Order-By
Date</t>
  </si>
  <si>
    <t xml:space="preserve">On Order /
In Transit (L)</t>
  </si>
  <si>
    <t xml:space="preserve">Next
ETA</t>
  </si>
  <si>
    <t xml:space="preserve">Status</t>
  </si>
  <si>
    <t xml:space="preserve">Chemicals</t>
  </si>
  <si>
    <t xml:space="preserve">Chemical Name</t>
  </si>
  <si>
    <t xml:space="preserve">Category</t>
  </si>
  <si>
    <t xml:space="preserve">Reorder Lead
Time (days)</t>
  </si>
  <si>
    <t xml:space="preserve">Min Stock
Threshold (L)</t>
  </si>
  <si>
    <t xml:space="preserve">Notes</t>
  </si>
  <si>
    <t xml:space="preserve">Default Unit</t>
  </si>
  <si>
    <t xml:space="preserve">Demulsifier (89067)</t>
  </si>
  <si>
    <t xml:space="preserve">Process Chemicals</t>
  </si>
  <si>
    <t xml:space="preserve">Drum</t>
  </si>
  <si>
    <t xml:space="preserve">Anti-Foam (DF-9000)</t>
  </si>
  <si>
    <t xml:space="preserve">Scale Inhibitor (SI-44108)</t>
  </si>
  <si>
    <t xml:space="preserve">Paraffin Inhibitor PI-75135</t>
  </si>
  <si>
    <t xml:space="preserve">Paraffin WI-301</t>
  </si>
  <si>
    <t xml:space="preserve">Biocide (MB-5207)</t>
  </si>
  <si>
    <t xml:space="preserve">Corrosion Inhibitor (KI-34154)</t>
  </si>
  <si>
    <t xml:space="preserve">Flocculant</t>
  </si>
  <si>
    <t xml:space="preserve">HCl 33%</t>
  </si>
  <si>
    <t xml:space="preserve">Boiler Chemicals</t>
  </si>
  <si>
    <t xml:space="preserve">Liters</t>
  </si>
  <si>
    <t xml:space="preserve">Industrial Salt</t>
  </si>
  <si>
    <t xml:space="preserve">Bag</t>
  </si>
  <si>
    <t xml:space="preserve">N-Hexane</t>
  </si>
  <si>
    <t xml:space="preserve">Lab Chemicals</t>
  </si>
  <si>
    <t xml:space="preserve">Bottle</t>
  </si>
  <si>
    <t xml:space="preserve">1-Butanol</t>
  </si>
  <si>
    <t xml:space="preserve">Acetone</t>
  </si>
  <si>
    <t xml:space="preserve">Distilled Water</t>
  </si>
  <si>
    <t xml:space="preserve">Methanol</t>
  </si>
  <si>
    <t xml:space="preserve">Propan-2-ol</t>
  </si>
  <si>
    <t xml:space="preserve">Ammonia 30%</t>
  </si>
  <si>
    <t xml:space="preserve">Units — one row per container type actually used (sizes vary by chemical)</t>
  </si>
  <si>
    <t xml:space="preserve">Unit Name</t>
  </si>
  <si>
    <t xml:space="preserve">Liters per Unit
(TBD = fill in)</t>
  </si>
  <si>
    <t xml:space="preserve">EPF Skids (production facility)</t>
  </si>
  <si>
    <t xml:space="preserve">Skid / Tank Name</t>
  </si>
  <si>
    <t xml:space="preserve">Current Chemical</t>
  </si>
  <si>
    <t xml:space="preserve">Capacity (L)</t>
  </si>
  <si>
    <t xml:space="preserve">Inlet Skid - DE-MULSIFIER (40-Z-01)</t>
  </si>
  <si>
    <t xml:space="preserve">Inlet Skid - POUR POINT DEPROSSOR (40-Z-05)</t>
  </si>
  <si>
    <t xml:space="preserve">Inlet Skid - CORROSION INHIBITOR (40-Z-09)</t>
  </si>
  <si>
    <t xml:space="preserve">Inlet Skid - SCALE INHIBITOR (40-Z-03)</t>
  </si>
  <si>
    <t xml:space="preserve">Inlet Skid - ANTIFOAM (40-Z-04)</t>
  </si>
  <si>
    <t xml:space="preserve">Water Treatment Skid - CORROSION INHIBITOR (40-Z-08)</t>
  </si>
  <si>
    <t xml:space="preserve">Water Treatment Skid - FLOCCULANT (40-Z-06)</t>
  </si>
  <si>
    <t xml:space="preserve">Well Skids</t>
  </si>
  <si>
    <t xml:space="preserve">A-07 Corrosion Inhibitor Skid</t>
  </si>
  <si>
    <t xml:space="preserve">A-07 Biocide Skid</t>
  </si>
  <si>
    <t xml:space="preserve">A-131 Scale-Inhibitor Skid</t>
  </si>
  <si>
    <t xml:space="preserve">A-126 Corrosion Inhibitor Skid</t>
  </si>
  <si>
    <t xml:space="preserve">A-113 Corrosion Inhibitor Skid</t>
  </si>
  <si>
    <t xml:space="preserve">A-131 Corrosion Inhibitor Skid</t>
  </si>
  <si>
    <t xml:space="preserve">A-138 Corrosion Inhibitor Skid</t>
  </si>
  <si>
    <t xml:space="preserve">A-133 Biocide Skid</t>
  </si>
  <si>
    <t xml:space="preserve">A-145 Biocide Skid</t>
  </si>
  <si>
    <t xml:space="preserve">A-127 Biocide Skid</t>
  </si>
  <si>
    <t xml:space="preserve">A-130 Biocide Skid</t>
  </si>
  <si>
    <t xml:space="preserve">All Tanks (auto-combined — do not edit, feeds dropdowns/formulas)</t>
  </si>
  <si>
    <t xml:space="preserve">Date &amp; Time</t>
  </si>
  <si>
    <t xml:space="preserve">Type</t>
  </si>
  <si>
    <t xml:space="preserve">Quantity</t>
  </si>
  <si>
    <t xml:space="preserve">Unit</t>
  </si>
  <si>
    <t xml:space="preserve">Qty in
Liters</t>
  </si>
  <si>
    <t xml:space="preserve">Tank / Location
(OUT only)</t>
  </si>
  <si>
    <t xml:space="preserve">PO Number
(IN only)</t>
  </si>
  <si>
    <t xml:space="preserve">Supplier
(IN only)</t>
  </si>
  <si>
    <t xml:space="preserve">Expected/ETA
(IN only)</t>
  </si>
  <si>
    <t xml:space="preserve">Received?
(IN only)</t>
  </si>
  <si>
    <t xml:space="preserve">Date Received
(IN only)</t>
  </si>
  <si>
    <t xml:space="preserve">IN</t>
  </si>
  <si>
    <t xml:space="preserve">Opening stock count</t>
  </si>
  <si>
    <t xml:space="preserve">4801319022</t>
  </si>
  <si>
    <t xml:space="preserve">No</t>
  </si>
  <si>
    <t xml:space="preserve">4801325097</t>
  </si>
  <si>
    <t xml:space="preserve">OUT</t>
  </si>
  <si>
    <t xml:space="preserve">Tank / Skid</t>
  </si>
  <si>
    <t xml:space="preserve">Level (%)</t>
  </si>
  <si>
    <t xml:space="preserve">Level (Liters)
calculated</t>
  </si>
  <si>
    <t xml:space="preserve">Reason</t>
  </si>
  <si>
    <t xml:space="preserve">Manual fill / top-up</t>
  </si>
  <si>
    <t xml:space="preserve">Initial Level</t>
  </si>
  <si>
    <t xml:space="preserve">Current calculation time (NOW):</t>
  </si>
  <si>
    <t xml:space="preserve">Skid / Tank</t>
  </si>
  <si>
    <t xml:space="preserve">Effective From
(date &amp; time)</t>
  </si>
  <si>
    <t xml:space="preserve">LPH</t>
  </si>
  <si>
    <t xml:space="preserve">Duration
(hrs/dose)</t>
  </si>
  <si>
    <t xml:space="preserve">Frequency
(days between doses)</t>
  </si>
  <si>
    <t xml:space="preserve">Avg Daily Rate
(L/day, calculated)</t>
  </si>
  <si>
    <t xml:space="preserve">Segment End
(auto, don't edit)</t>
  </si>
  <si>
    <t xml:space="preserve">Initial rate</t>
  </si>
  <si>
    <t xml:space="preserve">Well A-07 Corrosion Inhibitor </t>
  </si>
  <si>
    <t xml:space="preserve">xsxcs</t>
  </si>
  <si>
    <t xml:space="preserve">Well A-113</t>
  </si>
  <si>
    <t xml:space="preserve">Current Rate
(L/day)</t>
  </si>
  <si>
    <t xml:space="preserve">Last Reading
(date &amp; time)</t>
  </si>
  <si>
    <t xml:space="preserve">Level at
Reading (L)</t>
  </si>
  <si>
    <t xml:space="preserve">Fills Since
Reading (L)</t>
  </si>
  <si>
    <t xml:space="preserve">Consumed Since
Reading (L)</t>
  </si>
  <si>
    <t xml:space="preserve">Current
Level (L)</t>
  </si>
  <si>
    <t xml:space="preserve">Current
%</t>
  </si>
  <si>
    <t xml:space="preserve">Days to
Empty</t>
  </si>
  <si>
    <t xml:space="preserve">Projected
Empty Date</t>
  </si>
  <si>
    <t xml:space="preserve">Filled %</t>
  </si>
  <si>
    <t xml:space="preserve">Empty %</t>
  </si>
</sst>
</file>

<file path=xl/styles.xml><?xml version="1.0" encoding="utf-8"?>
<styleSheet xmlns="http://schemas.openxmlformats.org/spreadsheetml/2006/main">
  <numFmts count="12">
    <numFmt numFmtId="164" formatCode="General"/>
    <numFmt numFmtId="165" formatCode="0"/>
    <numFmt numFmtId="166" formatCode="yyyy\-mm\-dd;;;"/>
    <numFmt numFmtId="167" formatCode="General"/>
    <numFmt numFmtId="168" formatCode="yyyy\-mm\-dd\ hh:mm"/>
    <numFmt numFmtId="169" formatCode="yyyy\-mm\-dd"/>
    <numFmt numFmtId="170" formatCode="0.0%"/>
    <numFmt numFmtId="171" formatCode="yyyy\-mm\-dd\ hh:mm:ss"/>
    <numFmt numFmtId="172" formatCode="0.0"/>
    <numFmt numFmtId="173" formatCode="yyyy\-mm\-dd\ hh:mm;;;"/>
    <numFmt numFmtId="174" formatCode="0%"/>
    <numFmt numFmtId="175" formatCode="[$-409]0%"/>
  </numFmts>
  <fonts count="21">
    <font>
      <sz val="11"/>
      <color theme="1"/>
      <name val="Calibri"/>
      <family val="2"/>
      <charset val="1"/>
    </font>
    <font>
      <sz val="10"/>
      <name val="Arial"/>
      <family val="0"/>
    </font>
    <font>
      <sz val="10"/>
      <name val="Arial"/>
      <family val="0"/>
    </font>
    <font>
      <sz val="10"/>
      <name val="Arial"/>
      <family val="0"/>
    </font>
    <font>
      <b val="true"/>
      <sz val="10"/>
      <color theme="0"/>
      <name val="Arial"/>
      <family val="2"/>
      <charset val="1"/>
    </font>
    <font>
      <b val="true"/>
      <sz val="10"/>
      <name val="Arial"/>
      <family val="0"/>
      <charset val="1"/>
    </font>
    <font>
      <sz val="10"/>
      <color rgb="FF000000"/>
      <name val="Arial"/>
      <family val="0"/>
      <charset val="1"/>
    </font>
    <font>
      <sz val="10"/>
      <name val="Arial"/>
      <family val="2"/>
    </font>
    <font>
      <b val="true"/>
      <sz val="10"/>
      <color theme="1"/>
      <name val="Arial"/>
      <family val="2"/>
      <charset val="1"/>
    </font>
    <font>
      <b val="true"/>
      <sz val="11"/>
      <color rgb="FFFFFFFF"/>
      <name val="Arial"/>
      <family val="0"/>
      <charset val="1"/>
    </font>
    <font>
      <sz val="10"/>
      <name val="Arial"/>
      <family val="2"/>
      <charset val="1"/>
    </font>
    <font>
      <b val="true"/>
      <sz val="11"/>
      <color theme="0"/>
      <name val="Arial"/>
      <family val="2"/>
      <charset val="1"/>
    </font>
    <font>
      <sz val="10"/>
      <color rgb="FF0000FF"/>
      <name val="Arial"/>
      <family val="0"/>
      <charset val="1"/>
    </font>
    <font>
      <sz val="8"/>
      <color rgb="FFA6A6A6"/>
      <name val="Arial"/>
      <family val="0"/>
      <charset val="1"/>
    </font>
    <font>
      <sz val="10"/>
      <color theme="1"/>
      <name val="Arial"/>
      <family val="2"/>
      <charset val="1"/>
    </font>
    <font>
      <sz val="10"/>
      <color theme="1"/>
      <name val="Arial"/>
      <family val="0"/>
      <charset val="1"/>
    </font>
    <font>
      <i val="true"/>
      <sz val="9"/>
      <color rgb="FF7F7F7F"/>
      <name val="Arial"/>
      <family val="0"/>
      <charset val="1"/>
    </font>
    <font>
      <sz val="9"/>
      <color rgb="FFA6A6A6"/>
      <name val="Arial"/>
      <family val="0"/>
      <charset val="1"/>
    </font>
    <font>
      <sz val="10"/>
      <name val="Arial"/>
      <family val="0"/>
      <charset val="1"/>
    </font>
    <font>
      <b val="true"/>
      <sz val="18"/>
      <color rgb="FF000000"/>
      <name val="Calibri"/>
      <family val="2"/>
    </font>
    <font>
      <sz val="10"/>
      <color rgb="FF000000"/>
      <name val="Calibri"/>
      <family val="2"/>
    </font>
  </fonts>
  <fills count="13">
    <fill>
      <patternFill patternType="none"/>
    </fill>
    <fill>
      <patternFill patternType="gray125"/>
    </fill>
    <fill>
      <patternFill patternType="solid">
        <fgColor rgb="FF4C0EFA"/>
        <bgColor rgb="FF3E0DF3"/>
      </patternFill>
    </fill>
    <fill>
      <patternFill patternType="solid">
        <fgColor rgb="FFFF0000"/>
        <bgColor rgb="FFC00000"/>
      </patternFill>
    </fill>
    <fill>
      <patternFill patternType="solid">
        <fgColor rgb="FFFFFF00"/>
        <bgColor rgb="FFFFFF00"/>
      </patternFill>
    </fill>
    <fill>
      <patternFill patternType="solid">
        <fgColor rgb="FFE2EFDA"/>
        <bgColor rgb="FFE7E6E6"/>
      </patternFill>
    </fill>
    <fill>
      <patternFill patternType="solid">
        <fgColor rgb="FFFF3300"/>
        <bgColor rgb="FFFF0000"/>
      </patternFill>
    </fill>
    <fill>
      <patternFill patternType="solid">
        <fgColor rgb="FF3E0DF3"/>
        <bgColor rgb="FF4C0EFA"/>
      </patternFill>
    </fill>
    <fill>
      <patternFill patternType="solid">
        <fgColor rgb="FF1414F4"/>
        <bgColor rgb="FF0000FF"/>
      </patternFill>
    </fill>
    <fill>
      <patternFill patternType="solid">
        <fgColor rgb="FF2E75B6"/>
        <bgColor rgb="FF0066CC"/>
      </patternFill>
    </fill>
    <fill>
      <patternFill patternType="solid">
        <fgColor rgb="FFFFF2CC"/>
        <bgColor rgb="FFFCE4D6"/>
      </patternFill>
    </fill>
    <fill>
      <patternFill patternType="solid">
        <fgColor rgb="FF92D050"/>
        <bgColor rgb="FFB3B3B3"/>
      </patternFill>
    </fill>
    <fill>
      <patternFill patternType="solid">
        <fgColor rgb="FFD9E1F2"/>
        <bgColor rgb="FFDDEBF7"/>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 diagonalUp="false" diagonalDown="false">
      <left style="thin">
        <color rgb="FFBFBFBF"/>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7" fontId="6"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8" borderId="2" xfId="0" applyFont="true" applyBorder="true" applyAlignment="true" applyProtection="false">
      <alignment horizontal="center" vertical="center" textRotation="0" wrapText="false" indent="0" shrinkToFit="false"/>
      <protection locked="true" hidden="false"/>
    </xf>
    <xf numFmtId="164" fontId="4" fillId="8"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1" fillId="8" borderId="2" xfId="0" applyFont="true" applyBorder="true" applyAlignment="true" applyProtection="false">
      <alignment horizontal="left" vertical="center"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12" fillId="0" borderId="2" xfId="0" applyFont="true" applyBorder="true" applyAlignment="true" applyProtection="false">
      <alignment horizontal="left"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11" fillId="8" borderId="2" xfId="0" applyFont="true" applyBorder="true" applyAlignment="true" applyProtection="false">
      <alignment horizontal="center" vertical="center" textRotation="0" wrapText="false" indent="0" shrinkToFit="false"/>
      <protection locked="true" hidden="false"/>
    </xf>
    <xf numFmtId="164" fontId="9" fillId="9" borderId="0" xfId="0" applyFont="true" applyBorder="true" applyAlignment="true" applyProtection="false">
      <alignment horizontal="left" vertical="center" textRotation="0" wrapText="false" indent="1"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7" fontId="6" fillId="5"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9" fontId="14" fillId="0" borderId="1" xfId="0" applyFont="true" applyBorder="true" applyAlignment="true" applyProtection="false">
      <alignment horizontal="center" vertical="center" textRotation="0" wrapText="false" indent="0" shrinkToFit="false"/>
      <protection locked="true" hidden="false"/>
    </xf>
    <xf numFmtId="168" fontId="15" fillId="1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70" fontId="14" fillId="0" borderId="1" xfId="0" applyFont="true" applyBorder="true" applyAlignment="true" applyProtection="false">
      <alignment horizontal="center" vertical="center" textRotation="0" wrapText="false" indent="0" shrinkToFit="false"/>
      <protection locked="true" hidden="false"/>
    </xf>
    <xf numFmtId="167" fontId="14" fillId="5" borderId="1"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left" vertical="center" textRotation="0" wrapText="false" indent="0" shrinkToFit="false"/>
      <protection locked="true" hidden="false"/>
    </xf>
    <xf numFmtId="168" fontId="15" fillId="0" borderId="1" xfId="0" applyFont="true" applyBorder="true" applyAlignment="true" applyProtection="false">
      <alignment horizontal="center" vertical="center" textRotation="0" wrapText="false" indent="0" shrinkToFit="false"/>
      <protection locked="true" hidden="false"/>
    </xf>
    <xf numFmtId="164" fontId="0" fillId="11" borderId="1" xfId="0" applyFont="true" applyBorder="true" applyAlignment="true" applyProtection="false">
      <alignment horizontal="general" vertical="bottom" textRotation="0" wrapText="false" indent="0" shrinkToFit="false"/>
      <protection locked="true" hidden="false"/>
    </xf>
    <xf numFmtId="170" fontId="15"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7" borderId="2" xfId="0" applyFont="true" applyBorder="true" applyAlignment="true" applyProtection="false">
      <alignment horizontal="left" vertical="center" textRotation="0" wrapText="false" indent="0" shrinkToFit="false"/>
      <protection locked="true" hidden="false"/>
    </xf>
    <xf numFmtId="171" fontId="4" fillId="7" borderId="2" xfId="0" applyFont="true" applyBorder="tru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general" vertical="center" textRotation="0" wrapText="true" indent="0" shrinkToFit="false"/>
      <protection locked="true" hidden="false"/>
    </xf>
    <xf numFmtId="164" fontId="4" fillId="7" borderId="3" xfId="0" applyFont="true" applyBorder="true" applyAlignment="true" applyProtection="false">
      <alignment horizontal="center" vertical="center" textRotation="0" wrapText="true" indent="0" shrinkToFit="false"/>
      <protection locked="true" hidden="false"/>
    </xf>
    <xf numFmtId="172" fontId="6" fillId="5" borderId="1" xfId="0" applyFont="true" applyBorder="true" applyAlignment="true" applyProtection="false">
      <alignment horizontal="center" vertical="bottom" textRotation="0" wrapText="false" indent="0" shrinkToFit="false"/>
      <protection locked="true" hidden="false"/>
    </xf>
    <xf numFmtId="168" fontId="17"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7" fontId="6" fillId="5" borderId="1" xfId="0" applyFont="true" applyBorder="true" applyAlignment="true" applyProtection="false">
      <alignment horizontal="center" vertical="bottom" textRotation="0" wrapText="fals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7" fontId="18" fillId="5" borderId="1" xfId="0" applyFont="true" applyBorder="true" applyAlignment="true" applyProtection="false">
      <alignment horizontal="center" vertical="center" textRotation="0" wrapText="true" indent="0" shrinkToFit="false"/>
      <protection locked="true" hidden="false"/>
    </xf>
    <xf numFmtId="173" fontId="18" fillId="0" borderId="1" xfId="0" applyFont="true" applyBorder="true" applyAlignment="true" applyProtection="false">
      <alignment horizontal="center" vertical="center" textRotation="0" wrapText="true" indent="0" shrinkToFit="false"/>
      <protection locked="true" hidden="false"/>
    </xf>
    <xf numFmtId="164" fontId="18" fillId="10" borderId="1" xfId="0" applyFont="true" applyBorder="true" applyAlignment="true" applyProtection="false">
      <alignment horizontal="center" vertical="center" textRotation="0" wrapText="true" indent="0" shrinkToFit="false"/>
      <protection locked="true" hidden="false"/>
    </xf>
    <xf numFmtId="170" fontId="18" fillId="5" borderId="1" xfId="0" applyFont="true" applyBorder="true" applyAlignment="true" applyProtection="false">
      <alignment horizontal="center" vertical="center" textRotation="0" wrapText="true" indent="0" shrinkToFit="false"/>
      <protection locked="true" hidden="false"/>
    </xf>
    <xf numFmtId="166" fontId="18" fillId="5" borderId="1" xfId="0" applyFont="true" applyBorder="true" applyAlignment="true" applyProtection="false">
      <alignment horizontal="center" vertical="center" textRotation="0" wrapText="tru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9C0006"/>
      </font>
      <fill>
        <patternFill>
          <bgColor rgb="FFFCE4D6"/>
        </patternFill>
      </fill>
    </dxf>
    <dxf>
      <fill>
        <patternFill>
          <bgColor rgb="FFFFF2CC"/>
        </patternFill>
      </fill>
    </dxf>
    <dxf>
      <fill>
        <patternFill>
          <bgColor rgb="FFDDEBF7"/>
        </patternFill>
      </fill>
    </dxf>
    <dxf>
      <fill>
        <patternFill>
          <bgColor rgb="FFE2EFDA"/>
        </patternFill>
      </fill>
    </dxf>
    <dxf>
      <fill>
        <patternFill patternType="solid">
          <fgColor rgb="FF3E0DF3"/>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bgColor rgb="FFFCE4D6"/>
        </patternFill>
      </fill>
    </dxf>
    <dxf>
      <fill>
        <patternFill patternType="solid">
          <fgColor rgb="FF92D05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4C0EFA"/>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C00000"/>
      <rgbColor rgb="FF008080"/>
      <rgbColor rgb="FF1414F4"/>
      <rgbColor rgb="FF00CCFF"/>
      <rgbColor rgb="FFD9E1F2"/>
      <rgbColor rgb="FFE2EFDA"/>
      <rgbColor rgb="FFE7E6E6"/>
      <rgbColor rgb="FFB3B3B3"/>
      <rgbColor rgb="FFFF99CC"/>
      <rgbColor rgb="FFCC99FF"/>
      <rgbColor rgb="FFFCE4D6"/>
      <rgbColor rgb="FF2E75B6"/>
      <rgbColor rgb="FF33CCCC"/>
      <rgbColor rgb="FF92D050"/>
      <rgbColor rgb="FFFFCC00"/>
      <rgbColor rgb="FFFF9900"/>
      <rgbColor rgb="FFED7D31"/>
      <rgbColor rgb="FF7F7F7F"/>
      <rgbColor rgb="FFA6A6A6"/>
      <rgbColor rgb="FF003366"/>
      <rgbColor rgb="FF339966"/>
      <rgbColor rgb="FF003300"/>
      <rgbColor rgb="FF333300"/>
      <rgbColor rgb="FFFF3300"/>
      <rgbColor rgb="FF993366"/>
      <rgbColor rgb="FF3E0DF3"/>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Tank levels (% full)</a:t>
            </a:r>
          </a:p>
        </c:rich>
      </c:tx>
      <c:overlay val="0"/>
      <c:spPr>
        <a:noFill/>
        <a:ln w="0">
          <a:noFill/>
        </a:ln>
      </c:spPr>
    </c:title>
    <c:autoTitleDeleted val="0"/>
    <c:plotArea>
      <c:barChart>
        <c:barDir val="col"/>
        <c:grouping val="percentStacked"/>
        <c:varyColors val="0"/>
        <c:ser>
          <c:idx val="0"/>
          <c:order val="0"/>
          <c:tx>
            <c:strRef>
              <c:f>Tank_Levels!N1</c:f>
              <c:strCache>
                <c:ptCount val="1"/>
                <c:pt idx="0">
                  <c:v/>
                </c:pt>
              </c:strCache>
            </c:strRef>
          </c:tx>
          <c:spPr>
            <a:solidFill>
              <a:srgbClr val="548235"/>
            </a:solidFill>
            <a:ln w="0">
              <a:noFill/>
            </a:ln>
          </c:spPr>
          <c:invertIfNegative val="0"/>
          <c:cat>
            <c:strRef>
              <c:f>Tank_Levels!$A$2:$A$41</c:f>
              <c:strCache>
                <c:ptCount val="40"/>
                <c:pt idx="0">
                  <c:v>Inlet Skid - DE-MULSIFIER (40-Z-01)</c:v>
                </c:pt>
                <c:pt idx="1">
                  <c:v>Inlet Skid - POUR POINT DEPROSSOR (40-Z-05)</c:v>
                </c:pt>
                <c:pt idx="2">
                  <c:v>Inlet Skid - CORROSION INHIBITOR (40-Z-09)</c:v>
                </c:pt>
                <c:pt idx="3">
                  <c:v>Inlet Skid - SCALE INHIBITOR (40-Z-03)</c:v>
                </c:pt>
                <c:pt idx="4">
                  <c:v>Inlet Skid - ANTIFOAM (40-Z-04)</c:v>
                </c:pt>
                <c:pt idx="5">
                  <c:v>Water Treatment Skid - CORROSION INHIBITOR (40-Z-08)</c:v>
                </c:pt>
                <c:pt idx="6">
                  <c:v>Water Treatment Skid - FLOCCULANT (40-Z-06)</c:v>
                </c:pt>
                <c:pt idx="7">
                  <c:v/>
                </c:pt>
                <c:pt idx="8">
                  <c:v/>
                </c:pt>
                <c:pt idx="9">
                  <c:v/>
                </c:pt>
                <c:pt idx="10">
                  <c:v>A-07 Corrosion Inhibitor Skid</c:v>
                </c:pt>
                <c:pt idx="11">
                  <c:v>A-07 Biocide Skid</c:v>
                </c:pt>
                <c:pt idx="12">
                  <c:v>A-131 Scale-Inhibitor Skid</c:v>
                </c:pt>
                <c:pt idx="13">
                  <c:v>A-126 Corrosion Inhibitor Skid</c:v>
                </c:pt>
                <c:pt idx="14">
                  <c:v>A-113 Corrosion Inhibitor Skid</c:v>
                </c:pt>
                <c:pt idx="15">
                  <c:v>A-131 Corrosion Inhibitor Skid</c:v>
                </c:pt>
                <c:pt idx="16">
                  <c:v>A-138 Corrosion Inhibitor Skid</c:v>
                </c:pt>
                <c:pt idx="17">
                  <c:v>A-133 Biocide Skid</c:v>
                </c:pt>
                <c:pt idx="18">
                  <c:v>A-145 Biocide Skid</c:v>
                </c:pt>
                <c:pt idx="19">
                  <c:v>A-127 Biocide Skid</c:v>
                </c:pt>
                <c:pt idx="20">
                  <c:v>A-130 Biocide Skid</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strCache>
            </c:strRef>
          </c:cat>
          <c:val>
            <c:numRef>
              <c:f>Tank_Levels!$N$2:$N$41</c:f>
              <c:numCache>
                <c:formatCode>General</c:formatCode>
                <c:ptCount val="0"/>
              </c:numCache>
            </c:numRef>
          </c:val>
        </c:ser>
        <c:ser>
          <c:idx val="1"/>
          <c:order val="1"/>
          <c:tx>
            <c:strRef>
              <c:f>Tank_Levels!O1</c:f>
              <c:strCache>
                <c:ptCount val="1"/>
                <c:pt idx="0">
                  <c:v/>
                </c:pt>
              </c:strCache>
            </c:strRef>
          </c:tx>
          <c:spPr>
            <a:solidFill>
              <a:srgbClr val="e7e6e6"/>
            </a:solidFill>
            <a:ln w="0">
              <a:noFill/>
            </a:ln>
          </c:spPr>
          <c:invertIfNegative val="0"/>
          <c:cat>
            <c:strRef>
              <c:f>Tank_Levels!$A$2:$A$41</c:f>
              <c:strCache>
                <c:ptCount val="40"/>
                <c:pt idx="0">
                  <c:v>Inlet Skid - DE-MULSIFIER (40-Z-01)</c:v>
                </c:pt>
                <c:pt idx="1">
                  <c:v>Inlet Skid - POUR POINT DEPROSSOR (40-Z-05)</c:v>
                </c:pt>
                <c:pt idx="2">
                  <c:v>Inlet Skid - CORROSION INHIBITOR (40-Z-09)</c:v>
                </c:pt>
                <c:pt idx="3">
                  <c:v>Inlet Skid - SCALE INHIBITOR (40-Z-03)</c:v>
                </c:pt>
                <c:pt idx="4">
                  <c:v>Inlet Skid - ANTIFOAM (40-Z-04)</c:v>
                </c:pt>
                <c:pt idx="5">
                  <c:v>Water Treatment Skid - CORROSION INHIBITOR (40-Z-08)</c:v>
                </c:pt>
                <c:pt idx="6">
                  <c:v>Water Treatment Skid - FLOCCULANT (40-Z-06)</c:v>
                </c:pt>
                <c:pt idx="7">
                  <c:v/>
                </c:pt>
                <c:pt idx="8">
                  <c:v/>
                </c:pt>
                <c:pt idx="9">
                  <c:v/>
                </c:pt>
                <c:pt idx="10">
                  <c:v>A-07 Corrosion Inhibitor Skid</c:v>
                </c:pt>
                <c:pt idx="11">
                  <c:v>A-07 Biocide Skid</c:v>
                </c:pt>
                <c:pt idx="12">
                  <c:v>A-131 Scale-Inhibitor Skid</c:v>
                </c:pt>
                <c:pt idx="13">
                  <c:v>A-126 Corrosion Inhibitor Skid</c:v>
                </c:pt>
                <c:pt idx="14">
                  <c:v>A-113 Corrosion Inhibitor Skid</c:v>
                </c:pt>
                <c:pt idx="15">
                  <c:v>A-131 Corrosion Inhibitor Skid</c:v>
                </c:pt>
                <c:pt idx="16">
                  <c:v>A-138 Corrosion Inhibitor Skid</c:v>
                </c:pt>
                <c:pt idx="17">
                  <c:v>A-133 Biocide Skid</c:v>
                </c:pt>
                <c:pt idx="18">
                  <c:v>A-145 Biocide Skid</c:v>
                </c:pt>
                <c:pt idx="19">
                  <c:v>A-127 Biocide Skid</c:v>
                </c:pt>
                <c:pt idx="20">
                  <c:v>A-130 Biocide Skid</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strCache>
            </c:strRef>
          </c:cat>
          <c:val>
            <c:numRef>
              <c:f>Tank_Levels!$O$2:$O$41</c:f>
              <c:numCache>
                <c:formatCode>General</c:formatCode>
                <c:ptCount val="0"/>
              </c:numCache>
            </c:numRef>
          </c:val>
        </c:ser>
        <c:gapWidth val="30"/>
        <c:overlap val="100"/>
        <c:axId val="78796047"/>
        <c:axId val="88107126"/>
      </c:barChart>
      <c:catAx>
        <c:axId val="7879604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8107126"/>
        <c:crosses val="autoZero"/>
        <c:auto val="1"/>
        <c:lblAlgn val="ctr"/>
        <c:lblOffset val="100"/>
        <c:noMultiLvlLbl val="0"/>
      </c:catAx>
      <c:valAx>
        <c:axId val="88107126"/>
        <c:scaling>
          <c:orientation val="minMax"/>
        </c:scaling>
        <c:delete val="0"/>
        <c:axPos val="l"/>
        <c:majorGridlines>
          <c:spPr>
            <a:ln w="0">
              <a:solidFill>
                <a:srgbClr val="b3b3b3"/>
              </a:solidFill>
            </a:ln>
          </c:spPr>
        </c:majorGridlines>
        <c:numFmt formatCode="[$-409]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879604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0</xdr:colOff>
      <xdr:row>0</xdr:row>
      <xdr:rowOff>0</xdr:rowOff>
    </xdr:from>
    <xdr:to>
      <xdr:col>43</xdr:col>
      <xdr:colOff>48600</xdr:colOff>
      <xdr:row>45</xdr:row>
      <xdr:rowOff>127800</xdr:rowOff>
    </xdr:to>
    <xdr:graphicFrame>
      <xdr:nvGraphicFramePr>
        <xdr:cNvPr id="0" name="Chart 1"/>
        <xdr:cNvGraphicFramePr/>
      </xdr:nvGraphicFramePr>
      <xdr:xfrm>
        <a:off x="14192280" y="0"/>
        <a:ext cx="16559280" cy="9329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false" showRowColHeaders="true" showZeros="true" rightToLeft="false" tabSelected="true" showOutlineSymbols="true" defaultGridColor="true" view="normal" topLeftCell="A1" colorId="64" zoomScale="130" zoomScaleNormal="130" zoomScalePageLayoutView="100" workbookViewId="0">
      <pane xSplit="0" ySplit="1" topLeftCell="A2" activePane="bottomLeft" state="frozen"/>
      <selection pane="topLeft" activeCell="A1" activeCellId="0" sqref="A1"/>
      <selection pane="bottomLeft" activeCell="G9" activeCellId="0" sqref="G9"/>
    </sheetView>
  </sheetViews>
  <sheetFormatPr defaultColWidth="8.71484375" defaultRowHeight="15" zeroHeight="false" outlineLevelRow="0" outlineLevelCol="0"/>
  <cols>
    <col collapsed="false" customWidth="true" hidden="false" outlineLevel="0" max="1" min="1" style="1" width="32"/>
    <col collapsed="false" customWidth="true" hidden="false" outlineLevel="0" max="4" min="2" style="1" width="13"/>
    <col collapsed="false" customWidth="true" hidden="false" outlineLevel="0" max="6" min="5" style="1" width="12"/>
    <col collapsed="false" customWidth="true" hidden="false" outlineLevel="0" max="7" min="7" style="1" width="13"/>
    <col collapsed="false" customWidth="true" hidden="false" outlineLevel="0" max="8" min="8" style="1" width="12"/>
    <col collapsed="false" customWidth="true" hidden="false" outlineLevel="0" max="10" min="9" style="1" width="15"/>
    <col collapsed="false" customWidth="true" hidden="false" outlineLevel="0" max="11" min="11" style="1" width="31.29"/>
  </cols>
  <sheetData>
    <row r="1" customFormat="false" ht="30" hidden="false" customHeight="true" outlineLevel="0" collapsed="false">
      <c r="A1" s="2" t="s">
        <v>0</v>
      </c>
      <c r="B1" s="2" t="s">
        <v>1</v>
      </c>
      <c r="C1" s="2" t="s">
        <v>2</v>
      </c>
      <c r="D1" s="2" t="s">
        <v>3</v>
      </c>
      <c r="E1" s="2" t="s">
        <v>4</v>
      </c>
      <c r="F1" s="2" t="s">
        <v>5</v>
      </c>
      <c r="G1" s="3" t="s">
        <v>6</v>
      </c>
      <c r="H1" s="4" t="s">
        <v>7</v>
      </c>
      <c r="I1" s="4" t="s">
        <v>8</v>
      </c>
      <c r="J1" s="4" t="s">
        <v>9</v>
      </c>
      <c r="K1" s="2" t="s">
        <v>10</v>
      </c>
    </row>
    <row r="2" customFormat="false" ht="15" hidden="false" customHeight="true" outlineLevel="0" collapsed="false">
      <c r="A2" s="5" t="str">
        <f aca="false">Setup!$A$3</f>
        <v>Demulsifier (89067)</v>
      </c>
      <c r="B2" s="6" t="n">
        <f aca="false">SUMIFS(Warehouse_Log!$F$2:$F$4999,Warehouse_Log!$C$2:$C$4999,$A2,Warehouse_Log!$B$2:$B$4999,"IN",Warehouse_Log!$K$2:$K$4999,"&lt;&gt;No")-SUMIFS(Warehouse_Log!$F$2:$F$4999,Warehouse_Log!$C$2:$C$4999,$A2,Warehouse_Log!$B$2:$B$4999,"OUT")</f>
        <v>9000</v>
      </c>
      <c r="C2" s="6" t="n">
        <f aca="false">SUMIF(Tank_Levels!$B$2:$B$41,$A2,Tank_Levels!$I$2:$I$41)</f>
        <v>1222.8</v>
      </c>
      <c r="D2" s="6" t="n">
        <f aca="false">$B2+$C2</f>
        <v>10222.8</v>
      </c>
      <c r="E2" s="6" t="n">
        <f aca="false">SUMIF(Tank_Levels!$B$2:$B$41,$A2,Tank_Levels!$D$2:$D$41)</f>
        <v>120</v>
      </c>
      <c r="F2" s="6" t="n">
        <f aca="false">IF($E2=0,"",$D2/$E2)</f>
        <v>85.19</v>
      </c>
      <c r="G2" s="7" t="n">
        <f aca="true">IF($F2="","",TODAY()+$F2)</f>
        <v>46364.19</v>
      </c>
      <c r="H2" s="7" t="n">
        <f aca="false">IF($G2="","",$G2-Setup!$C$3)</f>
        <v>46343.19</v>
      </c>
      <c r="I2" s="8" t="n">
        <f aca="false">SUMIFS(Warehouse_Log!$F$2:$F$4999,Warehouse_Log!$C$2:$C$4999,$A2,Warehouse_Log!$B$2:$B$4999,"IN",Warehouse_Log!$K$2:$K$4999,"No")</f>
        <v>0</v>
      </c>
      <c r="J2" s="7" t="str">
        <f aca="false">IF(IFERROR(_xlfn.MINIFS(Warehouse_Log!$J$2:$J$4999,Warehouse_Log!$C$2:$C$4999,$A2,Warehouse_Log!$B$2:$B$4999,"IN",Warehouse_Log!$K$2:$K$4999,"No"),0)=0,"",IFERROR(_xlfn.MINIFS(Warehouse_Log!$J$2:$J$4999,Warehouse_Log!$C$2:$C$4999,$A2,Warehouse_Log!$B$2:$B$4999,"IN",Warehouse_Log!$K$2:$K$4999,"No"),0))</f>
        <v/>
      </c>
      <c r="K2" s="9" t="str">
        <f aca="true">IF($E2=0,"Stock only",IF(AND($H2&lt;&gt;"",$H2&lt;=TODAY()),"ORDER NOW",IF(AND($I2&gt;0,IFERROR(_xlfn.MINIFS(Warehouse_Log!$J$2:$J$4999,Warehouse_Log!$C$2:$C$4999,$A2,Warehouse_Log!$B$2:$B$4999,"IN",Warehouse_Log!$K$2:$K$4999,"No"),0)&lt;&gt;0,IFERROR(_xlfn.MINIFS(Warehouse_Log!$J$2:$J$4999,Warehouse_Log!$C$2:$C$4999,$A2,Warehouse_Log!$B$2:$B$4999,"IN",Warehouse_Log!$K$2:$K$4999,"No"),0)&lt;=$G2),"Covered - arriving "&amp;TEXT(IFERROR(_xlfn.MINIFS(Warehouse_Log!$J$2:$J$4999,Warehouse_Log!$C$2:$C$4999,$A2,Warehouse_Log!$B$2:$B$4999,"IN",Warehouse_Log!$K$2:$K$4999,"No"),0),"mmm dd"),IF(AND($H2&lt;&gt;"",($H2-TODAY())&lt;=7),"Order soon","OK"))))</f>
        <v>OK</v>
      </c>
    </row>
    <row r="3" customFormat="false" ht="15" hidden="false" customHeight="true" outlineLevel="0" collapsed="false">
      <c r="A3" s="5" t="str">
        <f aca="false">Setup!$A$4</f>
        <v>Anti-Foam (DF-9000)</v>
      </c>
      <c r="B3" s="6" t="n">
        <f aca="false">SUMIFS(Warehouse_Log!$F$2:$F$4999,Warehouse_Log!$C$2:$C$4999,$A3,Warehouse_Log!$B$2:$B$4999,"IN",Warehouse_Log!$K$2:$K$4999,"&lt;&gt;No")-SUMIFS(Warehouse_Log!$F$2:$F$4999,Warehouse_Log!$C$2:$C$4999,$A3,Warehouse_Log!$B$2:$B$4999,"OUT")</f>
        <v>1200</v>
      </c>
      <c r="C3" s="6" t="n">
        <f aca="false">SUMIF(Tank_Levels!$B$2:$B$41,$A3,Tank_Levels!$I$2:$I$41)</f>
        <v>150</v>
      </c>
      <c r="D3" s="6" t="n">
        <f aca="false">$B3+$C3</f>
        <v>1350</v>
      </c>
      <c r="E3" s="6" t="n">
        <f aca="false">SUMIF(Tank_Levels!$B$2:$B$41,$A3,Tank_Levels!$D$2:$D$41)</f>
        <v>0</v>
      </c>
      <c r="F3" s="6" t="str">
        <f aca="false">IF($E3=0,"",$D3/$E3)</f>
        <v/>
      </c>
      <c r="G3" s="7" t="str">
        <f aca="true">IF($F3="","",TODAY()+$F3)</f>
        <v/>
      </c>
      <c r="H3" s="7" t="str">
        <f aca="false">IF($G3="","",$G3-Setup!$C$4)</f>
        <v/>
      </c>
      <c r="I3" s="8" t="n">
        <f aca="false">SUMIFS(Warehouse_Log!$F$2:$F$4999,Warehouse_Log!$C$2:$C$4999,$A3,Warehouse_Log!$B$2:$B$4999,"IN",Warehouse_Log!$K$2:$K$4999,"No")</f>
        <v>0</v>
      </c>
      <c r="J3" s="7" t="str">
        <f aca="false">IF(IFERROR(_xlfn.MINIFS(Warehouse_Log!$J$2:$J$4999,Warehouse_Log!$C$2:$C$4999,$A3,Warehouse_Log!$B$2:$B$4999,"IN",Warehouse_Log!$K$2:$K$4999,"No"),0)=0,"",IFERROR(_xlfn.MINIFS(Warehouse_Log!$J$2:$J$4999,Warehouse_Log!$C$2:$C$4999,$A3,Warehouse_Log!$B$2:$B$4999,"IN",Warehouse_Log!$K$2:$K$4999,"No"),0))</f>
        <v/>
      </c>
      <c r="K3" s="9" t="str">
        <f aca="true">IF($E3=0,"Stock only",IF(AND($H3&lt;&gt;"",$H3&lt;=TODAY()),"ORDER NOW",IF(AND($I3&gt;0,IFERROR(_xlfn.MINIFS(Warehouse_Log!$J$2:$J$4999,Warehouse_Log!$C$2:$C$4999,$A3,Warehouse_Log!$B$2:$B$4999,"IN",Warehouse_Log!$K$2:$K$4999,"No"),0)&lt;&gt;0,IFERROR(_xlfn.MINIFS(Warehouse_Log!$J$2:$J$4999,Warehouse_Log!$C$2:$C$4999,$A3,Warehouse_Log!$B$2:$B$4999,"IN",Warehouse_Log!$K$2:$K$4999,"No"),0)&lt;=$G3),"Covered - arriving "&amp;TEXT(IFERROR(_xlfn.MINIFS(Warehouse_Log!$J$2:$J$4999,Warehouse_Log!$C$2:$C$4999,$A3,Warehouse_Log!$B$2:$B$4999,"IN",Warehouse_Log!$K$2:$K$4999,"No"),0),"mmm dd"),IF(AND($H3&lt;&gt;"",($H3-TODAY())&lt;=7),"Order soon","OK"))))</f>
        <v>Stock only</v>
      </c>
    </row>
    <row r="4" customFormat="false" ht="15" hidden="false" customHeight="true" outlineLevel="0" collapsed="false">
      <c r="A4" s="5" t="str">
        <f aca="false">Setup!$A$5</f>
        <v>Scale Inhibitor (SI-44108)</v>
      </c>
      <c r="B4" s="6" t="n">
        <f aca="false">SUMIFS(Warehouse_Log!$F$2:$F$4999,Warehouse_Log!$C$2:$C$4999,$A4,Warehouse_Log!$B$2:$B$4999,"IN",Warehouse_Log!$K$2:$K$4999,"&lt;&gt;No")-SUMIFS(Warehouse_Log!$F$2:$F$4999,Warehouse_Log!$C$2:$C$4999,$A4,Warehouse_Log!$B$2:$B$4999,"OUT")</f>
        <v>800</v>
      </c>
      <c r="C4" s="6" t="n">
        <f aca="false">SUMIF(Tank_Levels!$B$2:$B$41,$A4,Tank_Levels!$I$2:$I$41)</f>
        <v>955.392228061545</v>
      </c>
      <c r="D4" s="6" t="n">
        <f aca="false">$B4+$C4</f>
        <v>1755.39222806155</v>
      </c>
      <c r="E4" s="6" t="n">
        <f aca="false">SUMIF(Tank_Levels!$B$2:$B$41,$A4,Tank_Levels!$D$2:$D$41)</f>
        <v>29.04</v>
      </c>
      <c r="F4" s="6" t="n">
        <f aca="false">IF($E4=0,"",$D4/$E4)</f>
        <v>60.4473907734692</v>
      </c>
      <c r="G4" s="7" t="n">
        <f aca="true">IF($F4="","",TODAY()+$F4)</f>
        <v>46339.4473907735</v>
      </c>
      <c r="H4" s="7" t="n">
        <f aca="false">IF($G4="","",$G4-Setup!$C$5)</f>
        <v>46318.4473907735</v>
      </c>
      <c r="I4" s="8" t="n">
        <f aca="false">SUMIFS(Warehouse_Log!$F$2:$F$4999,Warehouse_Log!$C$2:$C$4999,$A4,Warehouse_Log!$B$2:$B$4999,"IN",Warehouse_Log!$K$2:$K$4999,"No")</f>
        <v>0</v>
      </c>
      <c r="J4" s="7" t="str">
        <f aca="false">IF(IFERROR(_xlfn.MINIFS(Warehouse_Log!$J$2:$J$4999,Warehouse_Log!$C$2:$C$4999,$A4,Warehouse_Log!$B$2:$B$4999,"IN",Warehouse_Log!$K$2:$K$4999,"No"),0)=0,"",IFERROR(_xlfn.MINIFS(Warehouse_Log!$J$2:$J$4999,Warehouse_Log!$C$2:$C$4999,$A4,Warehouse_Log!$B$2:$B$4999,"IN",Warehouse_Log!$K$2:$K$4999,"No"),0))</f>
        <v/>
      </c>
      <c r="K4" s="9" t="str">
        <f aca="true">IF($E4=0,"Stock only",IF(AND($H4&lt;&gt;"",$H4&lt;=TODAY()),"ORDER NOW",IF(AND($I4&gt;0,IFERROR(_xlfn.MINIFS(Warehouse_Log!$J$2:$J$4999,Warehouse_Log!$C$2:$C$4999,$A4,Warehouse_Log!$B$2:$B$4999,"IN",Warehouse_Log!$K$2:$K$4999,"No"),0)&lt;&gt;0,IFERROR(_xlfn.MINIFS(Warehouse_Log!$J$2:$J$4999,Warehouse_Log!$C$2:$C$4999,$A4,Warehouse_Log!$B$2:$B$4999,"IN",Warehouse_Log!$K$2:$K$4999,"No"),0)&lt;=$G4),"Covered - arriving "&amp;TEXT(IFERROR(_xlfn.MINIFS(Warehouse_Log!$J$2:$J$4999,Warehouse_Log!$C$2:$C$4999,$A4,Warehouse_Log!$B$2:$B$4999,"IN",Warehouse_Log!$K$2:$K$4999,"No"),0),"mmm dd"),IF(AND($H4&lt;&gt;"",($H4-TODAY())&lt;=7),"Order soon","OK"))))</f>
        <v>OK</v>
      </c>
    </row>
    <row r="5" customFormat="false" ht="15" hidden="false" customHeight="true" outlineLevel="0" collapsed="false">
      <c r="A5" s="5" t="str">
        <f aca="false">Setup!$A$6</f>
        <v>Paraffin Inhibitor PI-75135</v>
      </c>
      <c r="B5" s="6" t="n">
        <f aca="false">SUMIFS(Warehouse_Log!$F$2:$F$4999,Warehouse_Log!$C$2:$C$4999,$A5,Warehouse_Log!$B$2:$B$4999,"IN",Warehouse_Log!$K$2:$K$4999,"&lt;&gt;No")-SUMIFS(Warehouse_Log!$F$2:$F$4999,Warehouse_Log!$C$2:$C$4999,$A5,Warehouse_Log!$B$2:$B$4999,"OUT")</f>
        <v>8000</v>
      </c>
      <c r="C5" s="6" t="n">
        <f aca="false">SUMIF(Tank_Levels!$B$2:$B$41,$A5,Tank_Levels!$I$2:$I$41)</f>
        <v>0</v>
      </c>
      <c r="D5" s="6" t="n">
        <f aca="false">$B5+$C5</f>
        <v>8000</v>
      </c>
      <c r="E5" s="6" t="n">
        <f aca="false">SUMIF(Tank_Levels!$B$2:$B$41,$A5,Tank_Levels!$D$2:$D$41)</f>
        <v>0</v>
      </c>
      <c r="F5" s="6" t="str">
        <f aca="false">IF($E5=0,"",$D5/$E5)</f>
        <v/>
      </c>
      <c r="G5" s="7" t="str">
        <f aca="true">IF($F5="","",TODAY()+$F5)</f>
        <v/>
      </c>
      <c r="H5" s="7" t="str">
        <f aca="false">IF($G5="","",$G5-Setup!$C$6)</f>
        <v/>
      </c>
      <c r="I5" s="8" t="n">
        <f aca="false">SUMIFS(Warehouse_Log!$F$2:$F$4999,Warehouse_Log!$C$2:$C$4999,$A5,Warehouse_Log!$B$2:$B$4999,"IN",Warehouse_Log!$K$2:$K$4999,"No")</f>
        <v>0</v>
      </c>
      <c r="J5" s="7" t="str">
        <f aca="false">IF(IFERROR(_xlfn.MINIFS(Warehouse_Log!$J$2:$J$4999,Warehouse_Log!$C$2:$C$4999,$A5,Warehouse_Log!$B$2:$B$4999,"IN",Warehouse_Log!$K$2:$K$4999,"No"),0)=0,"",IFERROR(_xlfn.MINIFS(Warehouse_Log!$J$2:$J$4999,Warehouse_Log!$C$2:$C$4999,$A5,Warehouse_Log!$B$2:$B$4999,"IN",Warehouse_Log!$K$2:$K$4999,"No"),0))</f>
        <v/>
      </c>
      <c r="K5" s="9" t="str">
        <f aca="true">IF($E5=0,"Stock only",IF(AND($H5&lt;&gt;"",$H5&lt;=TODAY()),"ORDER NOW",IF(AND($I5&gt;0,IFERROR(_xlfn.MINIFS(Warehouse_Log!$J$2:$J$4999,Warehouse_Log!$C$2:$C$4999,$A5,Warehouse_Log!$B$2:$B$4999,"IN",Warehouse_Log!$K$2:$K$4999,"No"),0)&lt;&gt;0,IFERROR(_xlfn.MINIFS(Warehouse_Log!$J$2:$J$4999,Warehouse_Log!$C$2:$C$4999,$A5,Warehouse_Log!$B$2:$B$4999,"IN",Warehouse_Log!$K$2:$K$4999,"No"),0)&lt;=$G5),"Covered - arriving "&amp;TEXT(IFERROR(_xlfn.MINIFS(Warehouse_Log!$J$2:$J$4999,Warehouse_Log!$C$2:$C$4999,$A5,Warehouse_Log!$B$2:$B$4999,"IN",Warehouse_Log!$K$2:$K$4999,"No"),0),"mmm dd"),IF(AND($H5&lt;&gt;"",($H5-TODAY())&lt;=7),"Order soon","OK"))))</f>
        <v>Stock only</v>
      </c>
    </row>
    <row r="6" customFormat="false" ht="15" hidden="false" customHeight="true" outlineLevel="0" collapsed="false">
      <c r="A6" s="5" t="str">
        <f aca="false">Setup!$A$7</f>
        <v>Paraffin WI-301</v>
      </c>
      <c r="B6" s="6" t="n">
        <f aca="false">SUMIFS(Warehouse_Log!$F$2:$F$4999,Warehouse_Log!$C$2:$C$4999,$A6,Warehouse_Log!$B$2:$B$4999,"IN",Warehouse_Log!$K$2:$K$4999,"&lt;&gt;No")-SUMIFS(Warehouse_Log!$F$2:$F$4999,Warehouse_Log!$C$2:$C$4999,$A6,Warehouse_Log!$B$2:$B$4999,"OUT")</f>
        <v>800</v>
      </c>
      <c r="C6" s="6" t="n">
        <f aca="false">SUMIF(Tank_Levels!$B$2:$B$41,$A6,Tank_Levels!$I$2:$I$41)</f>
        <v>0</v>
      </c>
      <c r="D6" s="6" t="n">
        <f aca="false">$B6+$C6</f>
        <v>800</v>
      </c>
      <c r="E6" s="6" t="n">
        <f aca="false">SUMIF(Tank_Levels!$B$2:$B$41,$A6,Tank_Levels!$D$2:$D$41)</f>
        <v>0</v>
      </c>
      <c r="F6" s="6" t="str">
        <f aca="false">IF($E6=0,"",$D6/$E6)</f>
        <v/>
      </c>
      <c r="G6" s="7" t="str">
        <f aca="true">IF($F6="","",TODAY()+$F6)</f>
        <v/>
      </c>
      <c r="H6" s="7" t="str">
        <f aca="false">IF($G6="","",$G6-Setup!$C$7)</f>
        <v/>
      </c>
      <c r="I6" s="8" t="n">
        <f aca="false">SUMIFS(Warehouse_Log!$F$2:$F$4999,Warehouse_Log!$C$2:$C$4999,$A6,Warehouse_Log!$B$2:$B$4999,"IN",Warehouse_Log!$K$2:$K$4999,"No")</f>
        <v>0</v>
      </c>
      <c r="J6" s="7" t="str">
        <f aca="false">IF(IFERROR(_xlfn.MINIFS(Warehouse_Log!$J$2:$J$4999,Warehouse_Log!$C$2:$C$4999,$A6,Warehouse_Log!$B$2:$B$4999,"IN",Warehouse_Log!$K$2:$K$4999,"No"),0)=0,"",IFERROR(_xlfn.MINIFS(Warehouse_Log!$J$2:$J$4999,Warehouse_Log!$C$2:$C$4999,$A6,Warehouse_Log!$B$2:$B$4999,"IN",Warehouse_Log!$K$2:$K$4999,"No"),0))</f>
        <v/>
      </c>
      <c r="K6" s="9" t="str">
        <f aca="true">IF($E6=0,"Stock only",IF(AND($H6&lt;&gt;"",$H6&lt;=TODAY()),"ORDER NOW",IF(AND($I6&gt;0,IFERROR(_xlfn.MINIFS(Warehouse_Log!$J$2:$J$4999,Warehouse_Log!$C$2:$C$4999,$A6,Warehouse_Log!$B$2:$B$4999,"IN",Warehouse_Log!$K$2:$K$4999,"No"),0)&lt;&gt;0,IFERROR(_xlfn.MINIFS(Warehouse_Log!$J$2:$J$4999,Warehouse_Log!$C$2:$C$4999,$A6,Warehouse_Log!$B$2:$B$4999,"IN",Warehouse_Log!$K$2:$K$4999,"No"),0)&lt;=$G6),"Covered - arriving "&amp;TEXT(IFERROR(_xlfn.MINIFS(Warehouse_Log!$J$2:$J$4999,Warehouse_Log!$C$2:$C$4999,$A6,Warehouse_Log!$B$2:$B$4999,"IN",Warehouse_Log!$K$2:$K$4999,"No"),0),"mmm dd"),IF(AND($H6&lt;&gt;"",($H6-TODAY())&lt;=7),"Order soon","OK"))))</f>
        <v>Stock only</v>
      </c>
    </row>
    <row r="7" customFormat="false" ht="15" hidden="false" customHeight="true" outlineLevel="0" collapsed="false">
      <c r="A7" s="5" t="str">
        <f aca="false">Setup!$A$8</f>
        <v>Biocide (MB-5207)</v>
      </c>
      <c r="B7" s="6" t="n">
        <f aca="false">SUMIFS(Warehouse_Log!$F$2:$F$4999,Warehouse_Log!$C$2:$C$4999,$A7,Warehouse_Log!$B$2:$B$4999,"IN",Warehouse_Log!$K$2:$K$4999,"&lt;&gt;No")-SUMIFS(Warehouse_Log!$F$2:$F$4999,Warehouse_Log!$C$2:$C$4999,$A7,Warehouse_Log!$B$2:$B$4999,"OUT")</f>
        <v>0</v>
      </c>
      <c r="C7" s="6" t="n">
        <f aca="false">SUMIF(Tank_Levels!$B$2:$B$41,$A7,Tank_Levels!$I$2:$I$41)</f>
        <v>359.154440398917</v>
      </c>
      <c r="D7" s="6" t="n">
        <f aca="false">$B7+$C7</f>
        <v>359.154440398917</v>
      </c>
      <c r="E7" s="6" t="n">
        <f aca="false">SUMIF(Tank_Levels!$B$2:$B$41,$A7,Tank_Levels!$D$2:$D$41)</f>
        <v>7.92857142857143</v>
      </c>
      <c r="F7" s="6" t="n">
        <f aca="false">IF($E7=0,"",$D7/$E7)</f>
        <v>45.2987582485121</v>
      </c>
      <c r="G7" s="7" t="n">
        <f aca="true">IF($F7="","",TODAY()+$F7)</f>
        <v>46324.2987582485</v>
      </c>
      <c r="H7" s="7" t="n">
        <f aca="false">IF($G7="","",$G7-Setup!$C$8)</f>
        <v>46303.2987582485</v>
      </c>
      <c r="I7" s="8" t="n">
        <f aca="false">SUMIFS(Warehouse_Log!$F$2:$F$4999,Warehouse_Log!$C$2:$C$4999,$A7,Warehouse_Log!$B$2:$B$4999,"IN",Warehouse_Log!$K$2:$K$4999,"No")</f>
        <v>800</v>
      </c>
      <c r="J7" s="7" t="n">
        <f aca="false">IF(IFERROR(_xlfn.MINIFS(Warehouse_Log!$J$2:$J$4999,Warehouse_Log!$C$2:$C$4999,$A7,Warehouse_Log!$B$2:$B$4999,"IN",Warehouse_Log!$K$2:$K$4999,"No"),0)=0,"",IFERROR(_xlfn.MINIFS(Warehouse_Log!$J$2:$J$4999,Warehouse_Log!$C$2:$C$4999,$A7,Warehouse_Log!$B$2:$B$4999,"IN",Warehouse_Log!$K$2:$K$4999,"No"),0))</f>
        <v>46283</v>
      </c>
      <c r="K7" s="9" t="str">
        <f aca="true">IF($E7=0,"Stock only",IF(AND($H7&lt;&gt;"",$H7&lt;=TODAY()),"ORDER NOW",IF(AND($I7&gt;0,IFERROR(_xlfn.MINIFS(Warehouse_Log!$J$2:$J$4999,Warehouse_Log!$C$2:$C$4999,$A7,Warehouse_Log!$B$2:$B$4999,"IN",Warehouse_Log!$K$2:$K$4999,"No"),0)&lt;&gt;0,IFERROR(_xlfn.MINIFS(Warehouse_Log!$J$2:$J$4999,Warehouse_Log!$C$2:$C$4999,$A7,Warehouse_Log!$B$2:$B$4999,"IN",Warehouse_Log!$K$2:$K$4999,"No"),0)&lt;=$G7),"Covered - arriving "&amp;TEXT(IFERROR(_xlfn.MINIFS(Warehouse_Log!$J$2:$J$4999,Warehouse_Log!$C$2:$C$4999,$A7,Warehouse_Log!$B$2:$B$4999,"IN",Warehouse_Log!$K$2:$K$4999,"No"),0),"mmm dd"),IF(AND($H7&lt;&gt;"",($H7-TODAY())&lt;=7),"Order soon","OK"))))</f>
        <v>Covered - arriving Sep 18</v>
      </c>
    </row>
    <row r="8" customFormat="false" ht="15" hidden="false" customHeight="true" outlineLevel="0" collapsed="false">
      <c r="A8" s="5" t="str">
        <f aca="false">Setup!$A$9</f>
        <v>Corrosion Inhibitor (KI-34154)</v>
      </c>
      <c r="B8" s="6" t="n">
        <f aca="false">SUMIFS(Warehouse_Log!$F$2:$F$4999,Warehouse_Log!$C$2:$C$4999,$A8,Warehouse_Log!$B$2:$B$4999,"IN",Warehouse_Log!$K$2:$K$4999,"&lt;&gt;No")-SUMIFS(Warehouse_Log!$F$2:$F$4999,Warehouse_Log!$C$2:$C$4999,$A8,Warehouse_Log!$B$2:$B$4999,"OUT")</f>
        <v>0</v>
      </c>
      <c r="C8" s="6" t="n">
        <f aca="false">SUMIF(Tank_Levels!$B$2:$B$41,$A8,Tank_Levels!$I$2:$I$41)</f>
        <v>1311.92277704511</v>
      </c>
      <c r="D8" s="6" t="n">
        <f aca="false">$B8+$C8</f>
        <v>1311.92277704511</v>
      </c>
      <c r="E8" s="6" t="n">
        <f aca="false">SUMIF(Tank_Levels!$B$2:$B$41,$A8,Tank_Levels!$D$2:$D$41)</f>
        <v>117.359928</v>
      </c>
      <c r="F8" s="6" t="n">
        <f aca="false">IF($E8=0,"",$D8/$E8)</f>
        <v>11.178626294361</v>
      </c>
      <c r="G8" s="7" t="n">
        <f aca="true">IF($F8="","",TODAY()+$F8)</f>
        <v>46290.1786262944</v>
      </c>
      <c r="H8" s="7" t="n">
        <f aca="false">IF($G8="","",$G8-Setup!$C$9)</f>
        <v>46269.1786262944</v>
      </c>
      <c r="I8" s="8" t="n">
        <f aca="false">SUMIFS(Warehouse_Log!$F$2:$F$4999,Warehouse_Log!$C$2:$C$4999,$A8,Warehouse_Log!$B$2:$B$4999,"IN",Warehouse_Log!$K$2:$K$4999,"No")</f>
        <v>18000</v>
      </c>
      <c r="J8" s="7" t="n">
        <f aca="false">IF(IFERROR(_xlfn.MINIFS(Warehouse_Log!$J$2:$J$4999,Warehouse_Log!$C$2:$C$4999,$A8,Warehouse_Log!$B$2:$B$4999,"IN",Warehouse_Log!$K$2:$K$4999,"No"),0)=0,"",IFERROR(_xlfn.MINIFS(Warehouse_Log!$J$2:$J$4999,Warehouse_Log!$C$2:$C$4999,$A8,Warehouse_Log!$B$2:$B$4999,"IN",Warehouse_Log!$K$2:$K$4999,"No"),0))</f>
        <v>46283</v>
      </c>
      <c r="K8" s="10" t="str">
        <f aca="true">IF($E8=0,"Stock only",IF(AND($H8&lt;&gt;"",$H8&lt;=TODAY()),"ORDER NOW",IF(AND($I8&gt;0,IFERROR(_xlfn.MINIFS(Warehouse_Log!$J$2:$J$4999,Warehouse_Log!$C$2:$C$4999,$A8,Warehouse_Log!$B$2:$B$4999,"IN",Warehouse_Log!$K$2:$K$4999,"No"),0)&lt;&gt;0,IFERROR(_xlfn.MINIFS(Warehouse_Log!$J$2:$J$4999,Warehouse_Log!$C$2:$C$4999,$A8,Warehouse_Log!$B$2:$B$4999,"IN",Warehouse_Log!$K$2:$K$4999,"No"),0)&lt;=$G8),"Covered - arriving "&amp;TEXT(IFERROR(_xlfn.MINIFS(Warehouse_Log!$J$2:$J$4999,Warehouse_Log!$C$2:$C$4999,$A8,Warehouse_Log!$B$2:$B$4999,"IN",Warehouse_Log!$K$2:$K$4999,"No"),0),"mmm dd"),IF(AND($H8&lt;&gt;"",($H8-TODAY())&lt;=7),"Order soon","OK"))))</f>
        <v>ORDER NOW</v>
      </c>
    </row>
    <row r="9" customFormat="false" ht="15" hidden="false" customHeight="true" outlineLevel="0" collapsed="false">
      <c r="A9" s="5" t="str">
        <f aca="false">Setup!$A$10</f>
        <v>Flocculant</v>
      </c>
      <c r="B9" s="6" t="n">
        <f aca="false">SUMIFS(Warehouse_Log!$F$2:$F$4999,Warehouse_Log!$C$2:$C$4999,$A9,Warehouse_Log!$B$2:$B$4999,"IN",Warehouse_Log!$K$2:$K$4999,"&lt;&gt;No")-SUMIFS(Warehouse_Log!$F$2:$F$4999,Warehouse_Log!$C$2:$C$4999,$A9,Warehouse_Log!$B$2:$B$4999,"OUT")</f>
        <v>0</v>
      </c>
      <c r="C9" s="6" t="n">
        <f aca="false">SUMIF(Tank_Levels!$B$2:$B$41,$A9,Tank_Levels!$I$2:$I$41)</f>
        <v>37.7824143606849</v>
      </c>
      <c r="D9" s="6" t="n">
        <f aca="false">$B9+$C9</f>
        <v>37.7824143606849</v>
      </c>
      <c r="E9" s="6" t="n">
        <f aca="false">SUMIF(Tank_Levels!$B$2:$B$41,$A9,Tank_Levels!$D$2:$D$41)</f>
        <v>6</v>
      </c>
      <c r="F9" s="6" t="n">
        <f aca="false">IF($E9=0,"",$D9/$E9)</f>
        <v>6.29706906011415</v>
      </c>
      <c r="G9" s="7" t="n">
        <f aca="true">IF($F9="","",TODAY()+$F9)</f>
        <v>46285.2970690601</v>
      </c>
      <c r="H9" s="7" t="n">
        <f aca="false">IF($G9="","",$G9-Setup!$C$10)</f>
        <v>46264.2970690601</v>
      </c>
      <c r="I9" s="8" t="n">
        <f aca="false">SUMIFS(Warehouse_Log!$F$2:$F$4999,Warehouse_Log!$C$2:$C$4999,$A9,Warehouse_Log!$B$2:$B$4999,"IN",Warehouse_Log!$K$2:$K$4999,"No")</f>
        <v>0</v>
      </c>
      <c r="J9" s="7" t="str">
        <f aca="false">IF(IFERROR(_xlfn.MINIFS(Warehouse_Log!$J$2:$J$4999,Warehouse_Log!$C$2:$C$4999,$A9,Warehouse_Log!$B$2:$B$4999,"IN",Warehouse_Log!$K$2:$K$4999,"No"),0)=0,"",IFERROR(_xlfn.MINIFS(Warehouse_Log!$J$2:$J$4999,Warehouse_Log!$C$2:$C$4999,$A9,Warehouse_Log!$B$2:$B$4999,"IN",Warehouse_Log!$K$2:$K$4999,"No"),0))</f>
        <v/>
      </c>
      <c r="K9" s="9" t="str">
        <f aca="true">IF($E9=0,"Stock only",IF(AND($H9&lt;&gt;"",$H9&lt;=TODAY()),"ORDER NOW",IF(AND($I9&gt;0,IFERROR(_xlfn.MINIFS(Warehouse_Log!$J$2:$J$4999,Warehouse_Log!$C$2:$C$4999,$A9,Warehouse_Log!$B$2:$B$4999,"IN",Warehouse_Log!$K$2:$K$4999,"No"),0)&lt;&gt;0,IFERROR(_xlfn.MINIFS(Warehouse_Log!$J$2:$J$4999,Warehouse_Log!$C$2:$C$4999,$A9,Warehouse_Log!$B$2:$B$4999,"IN",Warehouse_Log!$K$2:$K$4999,"No"),0)&lt;=$G9),"Covered - arriving "&amp;TEXT(IFERROR(_xlfn.MINIFS(Warehouse_Log!$J$2:$J$4999,Warehouse_Log!$C$2:$C$4999,$A9,Warehouse_Log!$B$2:$B$4999,"IN",Warehouse_Log!$K$2:$K$4999,"No"),0),"mmm dd"),IF(AND($H9&lt;&gt;"",($H9-TODAY())&lt;=7),"Order soon","OK"))))</f>
        <v>ORDER NOW</v>
      </c>
    </row>
  </sheetData>
  <sheetProtection sheet="true" objects="true" scenarios="true"/>
  <conditionalFormatting sqref="K2:K7 K9">
    <cfRule type="expression" priority="2" aboveAverage="0" equalAverage="0" bottom="0" percent="0" rank="0" text="" dxfId="0">
      <formula>$K2="ORDER NOW"</formula>
    </cfRule>
    <cfRule type="expression" priority="3" aboveAverage="0" equalAverage="0" bottom="0" percent="0" rank="0" text="" dxfId="1">
      <formula>$K2="Order soon"</formula>
    </cfRule>
    <cfRule type="expression" priority="4" aboveAverage="0" equalAverage="0" bottom="0" percent="0" rank="0" text="" dxfId="2">
      <formula>ISNUMBER(SEARCH("Covered",$K2))</formula>
    </cfRule>
    <cfRule type="expression" priority="5" aboveAverage="0" equalAverage="0" bottom="0" percent="0" rank="0" text="" dxfId="3">
      <formula>$K2="OK"</formula>
    </cfRule>
  </conditionalFormatting>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SLB-Private</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10"/>
  <sheetViews>
    <sheetView showFormulas="false" showGridLines="false" showRowColHeaders="true" showZeros="true" rightToLeft="false" tabSelected="false" showOutlineSymbols="true" defaultGridColor="true" view="normal" topLeftCell="A1" colorId="64" zoomScale="145" zoomScaleNormal="145" zoomScalePageLayoutView="100" workbookViewId="0">
      <pane xSplit="0" ySplit="1" topLeftCell="A2" activePane="bottomLeft" state="frozen"/>
      <selection pane="topLeft" activeCell="A1" activeCellId="0" sqref="A1"/>
      <selection pane="bottomLeft" activeCell="N8" activeCellId="0" sqref="N8"/>
    </sheetView>
  </sheetViews>
  <sheetFormatPr defaultColWidth="8.71484375" defaultRowHeight="15" zeroHeight="false" outlineLevelRow="0" outlineLevelCol="0"/>
  <cols>
    <col collapsed="false" customWidth="true" hidden="false" outlineLevel="0" max="1" min="1" style="1" width="32"/>
    <col collapsed="false" customWidth="true" hidden="false" outlineLevel="0" max="2" min="2" style="1" width="13"/>
    <col collapsed="false" customWidth="true" hidden="true" outlineLevel="0" max="4" min="3" style="1" width="13"/>
    <col collapsed="false" customWidth="true" hidden="true" outlineLevel="0" max="6" min="5" style="1" width="12"/>
    <col collapsed="false" customWidth="true" hidden="true" outlineLevel="0" max="7" min="7" style="1" width="13"/>
    <col collapsed="false" customWidth="true" hidden="true" outlineLevel="0" max="8" min="8" style="1" width="12"/>
    <col collapsed="false" customWidth="true" hidden="true" outlineLevel="0" max="10" min="9" style="1" width="15"/>
    <col collapsed="false" customWidth="true" hidden="true" outlineLevel="0" max="11" min="11" style="1" width="24"/>
  </cols>
  <sheetData>
    <row r="1" customFormat="false" ht="30" hidden="false" customHeight="true" outlineLevel="0" collapsed="false">
      <c r="A1" s="11" t="s">
        <v>0</v>
      </c>
      <c r="B1" s="11" t="s">
        <v>1</v>
      </c>
      <c r="C1" s="11" t="s">
        <v>2</v>
      </c>
      <c r="D1" s="11" t="s">
        <v>3</v>
      </c>
      <c r="E1" s="11" t="s">
        <v>4</v>
      </c>
      <c r="F1" s="11" t="s">
        <v>5</v>
      </c>
      <c r="G1" s="12" t="s">
        <v>6</v>
      </c>
      <c r="H1" s="12" t="s">
        <v>7</v>
      </c>
      <c r="I1" s="12" t="s">
        <v>8</v>
      </c>
      <c r="J1" s="12" t="s">
        <v>9</v>
      </c>
      <c r="K1" s="11" t="s">
        <v>10</v>
      </c>
    </row>
    <row r="2" customFormat="false" ht="15" hidden="false" customHeight="true" outlineLevel="0" collapsed="false">
      <c r="A2" s="5" t="str">
        <f aca="false">Setup!$A$11</f>
        <v>HCl 33%</v>
      </c>
      <c r="B2" s="8" t="n">
        <f aca="false">SUMIFS(Warehouse_Log!$F$2:$F$4999,Warehouse_Log!$C$2:$C$4999,$A2,Warehouse_Log!$B$2:$B$4999,"IN",Warehouse_Log!$K$2:$K$4999,"&lt;&gt;No")-SUMIFS(Warehouse_Log!$F$2:$F$4999,Warehouse_Log!$C$2:$C$4999,$A2,Warehouse_Log!$B$2:$B$4999,"OUT")</f>
        <v>720</v>
      </c>
      <c r="C2" s="8" t="n">
        <f aca="false">SUMIF(Tank_Levels!$B$2:$B$41,$A2,Tank_Levels!$I$2:$I$41)</f>
        <v>0</v>
      </c>
      <c r="D2" s="8" t="n">
        <f aca="false">$B2+$C2</f>
        <v>720</v>
      </c>
      <c r="E2" s="8" t="n">
        <f aca="false">SUMIF(Tank_Levels!$B$2:$B$41,$A2,Tank_Levels!$D$2:$D$41)</f>
        <v>0</v>
      </c>
      <c r="F2" s="8" t="str">
        <f aca="false">IF($E2=0,"",$D2/$E2)</f>
        <v/>
      </c>
      <c r="G2" s="7" t="str">
        <f aca="true">IF($F2="","",TODAY()+$F2)</f>
        <v/>
      </c>
      <c r="H2" s="7" t="str">
        <f aca="false">IF($G2="","",$G2-Setup!$C$11)</f>
        <v/>
      </c>
      <c r="I2" s="8" t="n">
        <f aca="false">SUMIFS(Warehouse_Log!$F$2:$F$4999,Warehouse_Log!$C$2:$C$4999,$A2,Warehouse_Log!$B$2:$B$4999,"IN",Warehouse_Log!$K$2:$K$4999,"No")</f>
        <v>0</v>
      </c>
      <c r="J2" s="7" t="str">
        <f aca="false">IF(IFERROR(_xlfn.MINIFS(Warehouse_Log!$J$2:$J$4999,Warehouse_Log!$C$2:$C$4999,$A2,Warehouse_Log!$B$2:$B$4999,"IN",Warehouse_Log!$K$2:$K$4999,"No"),0)=0,"",IFERROR(_xlfn.MINIFS(Warehouse_Log!$J$2:$J$4999,Warehouse_Log!$C$2:$C$4999,$A2,Warehouse_Log!$B$2:$B$4999,"IN",Warehouse_Log!$K$2:$K$4999,"No"),0))</f>
        <v/>
      </c>
      <c r="K2" s="9" t="str">
        <f aca="true">IF($E2=0,"Stock only",IF(AND($H2&lt;&gt;"",$H2&lt;=TODAY()),"ORDER NOW",IF(AND($I2&gt;0,IFERROR(_xlfn.MINIFS(Warehouse_Log!$J$2:$J$4999,Warehouse_Log!$C$2:$C$4999,$A2,Warehouse_Log!$B$2:$B$4999,"IN",Warehouse_Log!$K$2:$K$4999,"No"),0)&lt;&gt;0,IFERROR(_xlfn.MINIFS(Warehouse_Log!$J$2:$J$4999,Warehouse_Log!$C$2:$C$4999,$A2,Warehouse_Log!$B$2:$B$4999,"IN",Warehouse_Log!$K$2:$K$4999,"No"),0)&lt;=$G2),"Covered - arriving "&amp;TEXT(IFERROR(_xlfn.MINIFS(Warehouse_Log!$J$2:$J$4999,Warehouse_Log!$C$2:$C$4999,$A2,Warehouse_Log!$B$2:$B$4999,"IN",Warehouse_Log!$K$2:$K$4999,"No"),0),"mmm dd"),IF(AND($H2&lt;&gt;"",($H2-TODAY())&lt;=7),"Order soon","OK"))))</f>
        <v>Stock only</v>
      </c>
    </row>
    <row r="3" customFormat="false" ht="15" hidden="false" customHeight="true" outlineLevel="0" collapsed="false">
      <c r="A3" s="5" t="str">
        <f aca="false">Setup!$A$12</f>
        <v>Industrial Salt</v>
      </c>
      <c r="B3" s="8" t="n">
        <f aca="false">SUMIFS(Warehouse_Log!$F$2:$F$4999,Warehouse_Log!$C$2:$C$4999,$A3,Warehouse_Log!$B$2:$B$4999,"IN",Warehouse_Log!$K$2:$K$4999,"&lt;&gt;No")-SUMIFS(Warehouse_Log!$F$2:$F$4999,Warehouse_Log!$C$2:$C$4999,$A3,Warehouse_Log!$B$2:$B$4999,"OUT")</f>
        <v>57.5</v>
      </c>
      <c r="C3" s="8" t="n">
        <f aca="false">SUMIF(Tank_Levels!$B$2:$B$41,$A3,Tank_Levels!$I$2:$I$41)</f>
        <v>0</v>
      </c>
      <c r="D3" s="8" t="n">
        <f aca="false">$B3+$C3</f>
        <v>57.5</v>
      </c>
      <c r="E3" s="8" t="n">
        <f aca="false">SUMIF(Tank_Levels!$B$2:$B$41,$A3,Tank_Levels!$D$2:$D$41)</f>
        <v>0</v>
      </c>
      <c r="F3" s="8" t="str">
        <f aca="false">IF($E3=0,"",$D3/$E3)</f>
        <v/>
      </c>
      <c r="G3" s="7" t="str">
        <f aca="true">IF($F3="","",TODAY()+$F3)</f>
        <v/>
      </c>
      <c r="H3" s="7" t="str">
        <f aca="false">IF($G3="","",$G3-Setup!$C$12)</f>
        <v/>
      </c>
      <c r="I3" s="8" t="n">
        <f aca="false">SUMIFS(Warehouse_Log!$F$2:$F$4999,Warehouse_Log!$C$2:$C$4999,$A3,Warehouse_Log!$B$2:$B$4999,"IN",Warehouse_Log!$K$2:$K$4999,"No")</f>
        <v>0</v>
      </c>
      <c r="J3" s="7" t="str">
        <f aca="false">IF(IFERROR(_xlfn.MINIFS(Warehouse_Log!$J$2:$J$4999,Warehouse_Log!$C$2:$C$4999,$A3,Warehouse_Log!$B$2:$B$4999,"IN",Warehouse_Log!$K$2:$K$4999,"No"),0)=0,"",IFERROR(_xlfn.MINIFS(Warehouse_Log!$J$2:$J$4999,Warehouse_Log!$C$2:$C$4999,$A3,Warehouse_Log!$B$2:$B$4999,"IN",Warehouse_Log!$K$2:$K$4999,"No"),0))</f>
        <v/>
      </c>
      <c r="K3" s="9" t="str">
        <f aca="true">IF($E3=0,"Stock only",IF(AND($H3&lt;&gt;"",$H3&lt;=TODAY()),"ORDER NOW",IF(AND($I3&gt;0,IFERROR(_xlfn.MINIFS(Warehouse_Log!$J$2:$J$4999,Warehouse_Log!$C$2:$C$4999,$A3,Warehouse_Log!$B$2:$B$4999,"IN",Warehouse_Log!$K$2:$K$4999,"No"),0)&lt;&gt;0,IFERROR(_xlfn.MINIFS(Warehouse_Log!$J$2:$J$4999,Warehouse_Log!$C$2:$C$4999,$A3,Warehouse_Log!$B$2:$B$4999,"IN",Warehouse_Log!$K$2:$K$4999,"No"),0)&lt;=$G3),"Covered - arriving "&amp;TEXT(IFERROR(_xlfn.MINIFS(Warehouse_Log!$J$2:$J$4999,Warehouse_Log!$C$2:$C$4999,$A3,Warehouse_Log!$B$2:$B$4999,"IN",Warehouse_Log!$K$2:$K$4999,"No"),0),"mmm dd"),IF(AND($H3&lt;&gt;"",($H3-TODAY())&lt;=7),"Order soon","OK"))))</f>
        <v>Stock only</v>
      </c>
    </row>
    <row r="4" customFormat="false" ht="15" hidden="false" customHeight="true" outlineLevel="0" collapsed="false">
      <c r="A4" s="5" t="str">
        <f aca="false">Setup!$A$13</f>
        <v>N-Hexane</v>
      </c>
      <c r="B4" s="8" t="n">
        <f aca="false">SUMIFS(Warehouse_Log!$F$2:$F$4999,Warehouse_Log!$C$2:$C$4999,$A4,Warehouse_Log!$B$2:$B$4999,"IN",Warehouse_Log!$K$2:$K$4999,"&lt;&gt;No")-SUMIFS(Warehouse_Log!$F$2:$F$4999,Warehouse_Log!$C$2:$C$4999,$A4,Warehouse_Log!$B$2:$B$4999,"OUT")</f>
        <v>10</v>
      </c>
      <c r="C4" s="8" t="n">
        <f aca="false">SUMIF(Tank_Levels!$B$2:$B$41,$A4,Tank_Levels!$I$2:$I$41)</f>
        <v>0</v>
      </c>
      <c r="D4" s="8" t="n">
        <f aca="false">$B4+$C4</f>
        <v>10</v>
      </c>
      <c r="E4" s="8" t="n">
        <f aca="false">SUMIF(Tank_Levels!$B$2:$B$41,$A4,Tank_Levels!$D$2:$D$41)</f>
        <v>0</v>
      </c>
      <c r="F4" s="8" t="str">
        <f aca="false">IF($E4=0,"",$D4/$E4)</f>
        <v/>
      </c>
      <c r="G4" s="7" t="str">
        <f aca="true">IF($F4="","",TODAY()+$F4)</f>
        <v/>
      </c>
      <c r="H4" s="7" t="str">
        <f aca="false">IF($G4="","",$G4-Setup!$C$13)</f>
        <v/>
      </c>
      <c r="I4" s="8" t="n">
        <f aca="false">SUMIFS(Warehouse_Log!$F$2:$F$4999,Warehouse_Log!$C$2:$C$4999,$A4,Warehouse_Log!$B$2:$B$4999,"IN",Warehouse_Log!$K$2:$K$4999,"No")</f>
        <v>0</v>
      </c>
      <c r="J4" s="7" t="str">
        <f aca="false">IF(IFERROR(_xlfn.MINIFS(Warehouse_Log!$J$2:$J$4999,Warehouse_Log!$C$2:$C$4999,$A4,Warehouse_Log!$B$2:$B$4999,"IN",Warehouse_Log!$K$2:$K$4999,"No"),0)=0,"",IFERROR(_xlfn.MINIFS(Warehouse_Log!$J$2:$J$4999,Warehouse_Log!$C$2:$C$4999,$A4,Warehouse_Log!$B$2:$B$4999,"IN",Warehouse_Log!$K$2:$K$4999,"No"),0))</f>
        <v/>
      </c>
      <c r="K4" s="9" t="str">
        <f aca="true">IF($E4=0,"Stock only",IF(AND($H4&lt;&gt;"",$H4&lt;=TODAY()),"ORDER NOW",IF(AND($I4&gt;0,IFERROR(_xlfn.MINIFS(Warehouse_Log!$J$2:$J$4999,Warehouse_Log!$C$2:$C$4999,$A4,Warehouse_Log!$B$2:$B$4999,"IN",Warehouse_Log!$K$2:$K$4999,"No"),0)&lt;&gt;0,IFERROR(_xlfn.MINIFS(Warehouse_Log!$J$2:$J$4999,Warehouse_Log!$C$2:$C$4999,$A4,Warehouse_Log!$B$2:$B$4999,"IN",Warehouse_Log!$K$2:$K$4999,"No"),0)&lt;=$G4),"Covered - arriving "&amp;TEXT(IFERROR(_xlfn.MINIFS(Warehouse_Log!$J$2:$J$4999,Warehouse_Log!$C$2:$C$4999,$A4,Warehouse_Log!$B$2:$B$4999,"IN",Warehouse_Log!$K$2:$K$4999,"No"),0),"mmm dd"),IF(AND($H4&lt;&gt;"",($H4-TODAY())&lt;=7),"Order soon","OK"))))</f>
        <v>Stock only</v>
      </c>
    </row>
    <row r="5" customFormat="false" ht="15" hidden="false" customHeight="true" outlineLevel="0" collapsed="false">
      <c r="A5" s="5" t="str">
        <f aca="false">Setup!$A$14</f>
        <v>1-Butanol</v>
      </c>
      <c r="B5" s="8" t="n">
        <f aca="false">SUMIFS(Warehouse_Log!$F$2:$F$4999,Warehouse_Log!$C$2:$C$4999,$A5,Warehouse_Log!$B$2:$B$4999,"IN",Warehouse_Log!$K$2:$K$4999,"&lt;&gt;No")-SUMIFS(Warehouse_Log!$F$2:$F$4999,Warehouse_Log!$C$2:$C$4999,$A5,Warehouse_Log!$B$2:$B$4999,"OUT")</f>
        <v>60</v>
      </c>
      <c r="C5" s="8" t="n">
        <f aca="false">SUMIF(Tank_Levels!$B$2:$B$41,$A5,Tank_Levels!$I$2:$I$41)</f>
        <v>0</v>
      </c>
      <c r="D5" s="8" t="n">
        <f aca="false">$B5+$C5</f>
        <v>60</v>
      </c>
      <c r="E5" s="8" t="n">
        <f aca="false">SUMIF(Tank_Levels!$B$2:$B$41,$A5,Tank_Levels!$D$2:$D$41)</f>
        <v>0</v>
      </c>
      <c r="F5" s="8" t="str">
        <f aca="false">IF($E5=0,"",$D5/$E5)</f>
        <v/>
      </c>
      <c r="G5" s="7" t="str">
        <f aca="true">IF($F5="","",TODAY()+$F5)</f>
        <v/>
      </c>
      <c r="H5" s="7" t="str">
        <f aca="false">IF($G5="","",$G5-Setup!$C$14)</f>
        <v/>
      </c>
      <c r="I5" s="8" t="n">
        <f aca="false">SUMIFS(Warehouse_Log!$F$2:$F$4999,Warehouse_Log!$C$2:$C$4999,$A5,Warehouse_Log!$B$2:$B$4999,"IN",Warehouse_Log!$K$2:$K$4999,"No")</f>
        <v>0</v>
      </c>
      <c r="J5" s="7" t="str">
        <f aca="false">IF(IFERROR(_xlfn.MINIFS(Warehouse_Log!$J$2:$J$4999,Warehouse_Log!$C$2:$C$4999,$A5,Warehouse_Log!$B$2:$B$4999,"IN",Warehouse_Log!$K$2:$K$4999,"No"),0)=0,"",IFERROR(_xlfn.MINIFS(Warehouse_Log!$J$2:$J$4999,Warehouse_Log!$C$2:$C$4999,$A5,Warehouse_Log!$B$2:$B$4999,"IN",Warehouse_Log!$K$2:$K$4999,"No"),0))</f>
        <v/>
      </c>
      <c r="K5" s="9" t="str">
        <f aca="true">IF($E5=0,"Stock only",IF(AND($H5&lt;&gt;"",$H5&lt;=TODAY()),"ORDER NOW",IF(AND($I5&gt;0,IFERROR(_xlfn.MINIFS(Warehouse_Log!$J$2:$J$4999,Warehouse_Log!$C$2:$C$4999,$A5,Warehouse_Log!$B$2:$B$4999,"IN",Warehouse_Log!$K$2:$K$4999,"No"),0)&lt;&gt;0,IFERROR(_xlfn.MINIFS(Warehouse_Log!$J$2:$J$4999,Warehouse_Log!$C$2:$C$4999,$A5,Warehouse_Log!$B$2:$B$4999,"IN",Warehouse_Log!$K$2:$K$4999,"No"),0)&lt;=$G5),"Covered - arriving "&amp;TEXT(IFERROR(_xlfn.MINIFS(Warehouse_Log!$J$2:$J$4999,Warehouse_Log!$C$2:$C$4999,$A5,Warehouse_Log!$B$2:$B$4999,"IN",Warehouse_Log!$K$2:$K$4999,"No"),0),"mmm dd"),IF(AND($H5&lt;&gt;"",($H5-TODAY())&lt;=7),"Order soon","OK"))))</f>
        <v>Stock only</v>
      </c>
    </row>
    <row r="6" customFormat="false" ht="15" hidden="false" customHeight="true" outlineLevel="0" collapsed="false">
      <c r="A6" s="5" t="str">
        <f aca="false">Setup!$A$15</f>
        <v>Acetone</v>
      </c>
      <c r="B6" s="8" t="n">
        <f aca="false">SUMIFS(Warehouse_Log!$F$2:$F$4999,Warehouse_Log!$C$2:$C$4999,$A6,Warehouse_Log!$B$2:$B$4999,"IN",Warehouse_Log!$K$2:$K$4999,"&lt;&gt;No")-SUMIFS(Warehouse_Log!$F$2:$F$4999,Warehouse_Log!$C$2:$C$4999,$A6,Warehouse_Log!$B$2:$B$4999,"OUT")</f>
        <v>7.5</v>
      </c>
      <c r="C6" s="8" t="n">
        <f aca="false">SUMIF(Tank_Levels!$B$2:$B$41,$A6,Tank_Levels!$I$2:$I$41)</f>
        <v>0</v>
      </c>
      <c r="D6" s="8" t="n">
        <f aca="false">$B6+$C6</f>
        <v>7.5</v>
      </c>
      <c r="E6" s="8" t="n">
        <f aca="false">SUMIF(Tank_Levels!$B$2:$B$41,$A6,Tank_Levels!$D$2:$D$41)</f>
        <v>0</v>
      </c>
      <c r="F6" s="8" t="str">
        <f aca="false">IF($E6=0,"",$D6/$E6)</f>
        <v/>
      </c>
      <c r="G6" s="7" t="str">
        <f aca="true">IF($F6="","",TODAY()+$F6)</f>
        <v/>
      </c>
      <c r="H6" s="7" t="str">
        <f aca="false">IF($G6="","",$G6-Setup!$C$15)</f>
        <v/>
      </c>
      <c r="I6" s="8" t="n">
        <f aca="false">SUMIFS(Warehouse_Log!$F$2:$F$4999,Warehouse_Log!$C$2:$C$4999,$A6,Warehouse_Log!$B$2:$B$4999,"IN",Warehouse_Log!$K$2:$K$4999,"No")</f>
        <v>0</v>
      </c>
      <c r="J6" s="7" t="str">
        <f aca="false">IF(IFERROR(_xlfn.MINIFS(Warehouse_Log!$J$2:$J$4999,Warehouse_Log!$C$2:$C$4999,$A6,Warehouse_Log!$B$2:$B$4999,"IN",Warehouse_Log!$K$2:$K$4999,"No"),0)=0,"",IFERROR(_xlfn.MINIFS(Warehouse_Log!$J$2:$J$4999,Warehouse_Log!$C$2:$C$4999,$A6,Warehouse_Log!$B$2:$B$4999,"IN",Warehouse_Log!$K$2:$K$4999,"No"),0))</f>
        <v/>
      </c>
      <c r="K6" s="9" t="str">
        <f aca="true">IF($E6=0,"Stock only",IF(AND($H6&lt;&gt;"",$H6&lt;=TODAY()),"ORDER NOW",IF(AND($I6&gt;0,IFERROR(_xlfn.MINIFS(Warehouse_Log!$J$2:$J$4999,Warehouse_Log!$C$2:$C$4999,$A6,Warehouse_Log!$B$2:$B$4999,"IN",Warehouse_Log!$K$2:$K$4999,"No"),0)&lt;&gt;0,IFERROR(_xlfn.MINIFS(Warehouse_Log!$J$2:$J$4999,Warehouse_Log!$C$2:$C$4999,$A6,Warehouse_Log!$B$2:$B$4999,"IN",Warehouse_Log!$K$2:$K$4999,"No"),0)&lt;=$G6),"Covered - arriving "&amp;TEXT(IFERROR(_xlfn.MINIFS(Warehouse_Log!$J$2:$J$4999,Warehouse_Log!$C$2:$C$4999,$A6,Warehouse_Log!$B$2:$B$4999,"IN",Warehouse_Log!$K$2:$K$4999,"No"),0),"mmm dd"),IF(AND($H6&lt;&gt;"",($H6-TODAY())&lt;=7),"Order soon","OK"))))</f>
        <v>Stock only</v>
      </c>
    </row>
    <row r="7" customFormat="false" ht="15" hidden="false" customHeight="true" outlineLevel="0" collapsed="false">
      <c r="A7" s="5" t="str">
        <f aca="false">Setup!$A$16</f>
        <v>Distilled Water</v>
      </c>
      <c r="B7" s="8" t="n">
        <f aca="false">SUMIFS(Warehouse_Log!$F$2:$F$4999,Warehouse_Log!$C$2:$C$4999,$A7,Warehouse_Log!$B$2:$B$4999,"IN",Warehouse_Log!$K$2:$K$4999,"&lt;&gt;No")-SUMIFS(Warehouse_Log!$F$2:$F$4999,Warehouse_Log!$C$2:$C$4999,$A7,Warehouse_Log!$B$2:$B$4999,"OUT")</f>
        <v>35</v>
      </c>
      <c r="C7" s="8" t="n">
        <f aca="false">SUMIF(Tank_Levels!$B$2:$B$41,$A7,Tank_Levels!$I$2:$I$41)</f>
        <v>0</v>
      </c>
      <c r="D7" s="8" t="n">
        <f aca="false">$B7+$C7</f>
        <v>35</v>
      </c>
      <c r="E7" s="8" t="n">
        <f aca="false">SUMIF(Tank_Levels!$B$2:$B$41,$A7,Tank_Levels!$D$2:$D$41)</f>
        <v>0</v>
      </c>
      <c r="F7" s="8" t="str">
        <f aca="false">IF($E7=0,"",$D7/$E7)</f>
        <v/>
      </c>
      <c r="G7" s="7" t="str">
        <f aca="true">IF($F7="","",TODAY()+$F7)</f>
        <v/>
      </c>
      <c r="H7" s="7" t="str">
        <f aca="false">IF($G7="","",$G7-Setup!$C$16)</f>
        <v/>
      </c>
      <c r="I7" s="8" t="n">
        <f aca="false">SUMIFS(Warehouse_Log!$F$2:$F$4999,Warehouse_Log!$C$2:$C$4999,$A7,Warehouse_Log!$B$2:$B$4999,"IN",Warehouse_Log!$K$2:$K$4999,"No")</f>
        <v>0</v>
      </c>
      <c r="J7" s="7" t="str">
        <f aca="false">IF(IFERROR(_xlfn.MINIFS(Warehouse_Log!$J$2:$J$4999,Warehouse_Log!$C$2:$C$4999,$A7,Warehouse_Log!$B$2:$B$4999,"IN",Warehouse_Log!$K$2:$K$4999,"No"),0)=0,"",IFERROR(_xlfn.MINIFS(Warehouse_Log!$J$2:$J$4999,Warehouse_Log!$C$2:$C$4999,$A7,Warehouse_Log!$B$2:$B$4999,"IN",Warehouse_Log!$K$2:$K$4999,"No"),0))</f>
        <v/>
      </c>
      <c r="K7" s="9" t="str">
        <f aca="true">IF($E7=0,"Stock only",IF(AND($H7&lt;&gt;"",$H7&lt;=TODAY()),"ORDER NOW",IF(AND($I7&gt;0,IFERROR(_xlfn.MINIFS(Warehouse_Log!$J$2:$J$4999,Warehouse_Log!$C$2:$C$4999,$A7,Warehouse_Log!$B$2:$B$4999,"IN",Warehouse_Log!$K$2:$K$4999,"No"),0)&lt;&gt;0,IFERROR(_xlfn.MINIFS(Warehouse_Log!$J$2:$J$4999,Warehouse_Log!$C$2:$C$4999,$A7,Warehouse_Log!$B$2:$B$4999,"IN",Warehouse_Log!$K$2:$K$4999,"No"),0)&lt;=$G7),"Covered - arriving "&amp;TEXT(IFERROR(_xlfn.MINIFS(Warehouse_Log!$J$2:$J$4999,Warehouse_Log!$C$2:$C$4999,$A7,Warehouse_Log!$B$2:$B$4999,"IN",Warehouse_Log!$K$2:$K$4999,"No"),0),"mmm dd"),IF(AND($H7&lt;&gt;"",($H7-TODAY())&lt;=7),"Order soon","OK"))))</f>
        <v>Stock only</v>
      </c>
    </row>
    <row r="8" customFormat="false" ht="15" hidden="false" customHeight="true" outlineLevel="0" collapsed="false">
      <c r="A8" s="5" t="str">
        <f aca="false">Setup!$A$17</f>
        <v>Methanol</v>
      </c>
      <c r="B8" s="8" t="n">
        <f aca="false">SUMIFS(Warehouse_Log!$F$2:$F$4999,Warehouse_Log!$C$2:$C$4999,$A8,Warehouse_Log!$B$2:$B$4999,"IN",Warehouse_Log!$K$2:$K$4999,"&lt;&gt;No")-SUMIFS(Warehouse_Log!$F$2:$F$4999,Warehouse_Log!$C$2:$C$4999,$A8,Warehouse_Log!$B$2:$B$4999,"OUT")</f>
        <v>37.5</v>
      </c>
      <c r="C8" s="8" t="n">
        <f aca="false">SUMIF(Tank_Levels!$B$2:$B$41,$A8,Tank_Levels!$I$2:$I$41)</f>
        <v>0</v>
      </c>
      <c r="D8" s="8" t="n">
        <f aca="false">$B8+$C8</f>
        <v>37.5</v>
      </c>
      <c r="E8" s="8" t="n">
        <f aca="false">SUMIF(Tank_Levels!$B$2:$B$41,$A8,Tank_Levels!$D$2:$D$41)</f>
        <v>0</v>
      </c>
      <c r="F8" s="8" t="str">
        <f aca="false">IF($E8=0,"",$D8/$E8)</f>
        <v/>
      </c>
      <c r="G8" s="7" t="str">
        <f aca="true">IF($F8="","",TODAY()+$F8)</f>
        <v/>
      </c>
      <c r="H8" s="7" t="str">
        <f aca="false">IF($G8="","",$G8-Setup!$C$17)</f>
        <v/>
      </c>
      <c r="I8" s="8" t="n">
        <f aca="false">SUMIFS(Warehouse_Log!$F$2:$F$4999,Warehouse_Log!$C$2:$C$4999,$A8,Warehouse_Log!$B$2:$B$4999,"IN",Warehouse_Log!$K$2:$K$4999,"No")</f>
        <v>0</v>
      </c>
      <c r="J8" s="7" t="str">
        <f aca="false">IF(IFERROR(_xlfn.MINIFS(Warehouse_Log!$J$2:$J$4999,Warehouse_Log!$C$2:$C$4999,$A8,Warehouse_Log!$B$2:$B$4999,"IN",Warehouse_Log!$K$2:$K$4999,"No"),0)=0,"",IFERROR(_xlfn.MINIFS(Warehouse_Log!$J$2:$J$4999,Warehouse_Log!$C$2:$C$4999,$A8,Warehouse_Log!$B$2:$B$4999,"IN",Warehouse_Log!$K$2:$K$4999,"No"),0))</f>
        <v/>
      </c>
      <c r="K8" s="9" t="str">
        <f aca="true">IF($E8=0,"Stock only",IF(AND($H8&lt;&gt;"",$H8&lt;=TODAY()),"ORDER NOW",IF(AND($I8&gt;0,IFERROR(_xlfn.MINIFS(Warehouse_Log!$J$2:$J$4999,Warehouse_Log!$C$2:$C$4999,$A8,Warehouse_Log!$B$2:$B$4999,"IN",Warehouse_Log!$K$2:$K$4999,"No"),0)&lt;&gt;0,IFERROR(_xlfn.MINIFS(Warehouse_Log!$J$2:$J$4999,Warehouse_Log!$C$2:$C$4999,$A8,Warehouse_Log!$B$2:$B$4999,"IN",Warehouse_Log!$K$2:$K$4999,"No"),0)&lt;=$G8),"Covered - arriving "&amp;TEXT(IFERROR(_xlfn.MINIFS(Warehouse_Log!$J$2:$J$4999,Warehouse_Log!$C$2:$C$4999,$A8,Warehouse_Log!$B$2:$B$4999,"IN",Warehouse_Log!$K$2:$K$4999,"No"),0),"mmm dd"),IF(AND($H8&lt;&gt;"",($H8-TODAY())&lt;=7),"Order soon","OK"))))</f>
        <v>Stock only</v>
      </c>
    </row>
    <row r="9" customFormat="false" ht="15" hidden="false" customHeight="true" outlineLevel="0" collapsed="false">
      <c r="A9" s="5" t="str">
        <f aca="false">Setup!$A$18</f>
        <v>Propan-2-ol</v>
      </c>
      <c r="B9" s="8" t="n">
        <f aca="false">SUMIFS(Warehouse_Log!$F$2:$F$4999,Warehouse_Log!$C$2:$C$4999,$A9,Warehouse_Log!$B$2:$B$4999,"IN",Warehouse_Log!$K$2:$K$4999,"&lt;&gt;No")-SUMIFS(Warehouse_Log!$F$2:$F$4999,Warehouse_Log!$C$2:$C$4999,$A9,Warehouse_Log!$B$2:$B$4999,"OUT")</f>
        <v>57.5</v>
      </c>
      <c r="C9" s="8" t="n">
        <f aca="false">SUMIF(Tank_Levels!$B$2:$B$41,$A9,Tank_Levels!$I$2:$I$41)</f>
        <v>0</v>
      </c>
      <c r="D9" s="8" t="n">
        <f aca="false">$B9+$C9</f>
        <v>57.5</v>
      </c>
      <c r="E9" s="8" t="n">
        <f aca="false">SUMIF(Tank_Levels!$B$2:$B$41,$A9,Tank_Levels!$D$2:$D$41)</f>
        <v>0</v>
      </c>
      <c r="F9" s="8" t="str">
        <f aca="false">IF($E9=0,"",$D9/$E9)</f>
        <v/>
      </c>
      <c r="G9" s="7" t="str">
        <f aca="true">IF($F9="","",TODAY()+$F9)</f>
        <v/>
      </c>
      <c r="H9" s="7" t="str">
        <f aca="false">IF($G9="","",$G9-Setup!$C$18)</f>
        <v/>
      </c>
      <c r="I9" s="8" t="n">
        <f aca="false">SUMIFS(Warehouse_Log!$F$2:$F$4999,Warehouse_Log!$C$2:$C$4999,$A9,Warehouse_Log!$B$2:$B$4999,"IN",Warehouse_Log!$K$2:$K$4999,"No")</f>
        <v>0</v>
      </c>
      <c r="J9" s="7" t="str">
        <f aca="false">IF(IFERROR(_xlfn.MINIFS(Warehouse_Log!$J$2:$J$4999,Warehouse_Log!$C$2:$C$4999,$A9,Warehouse_Log!$B$2:$B$4999,"IN",Warehouse_Log!$K$2:$K$4999,"No"),0)=0,"",IFERROR(_xlfn.MINIFS(Warehouse_Log!$J$2:$J$4999,Warehouse_Log!$C$2:$C$4999,$A9,Warehouse_Log!$B$2:$B$4999,"IN",Warehouse_Log!$K$2:$K$4999,"No"),0))</f>
        <v/>
      </c>
      <c r="K9" s="9" t="str">
        <f aca="true">IF($E9=0,"Stock only",IF(AND($H9&lt;&gt;"",$H9&lt;=TODAY()),"ORDER NOW",IF(AND($I9&gt;0,IFERROR(_xlfn.MINIFS(Warehouse_Log!$J$2:$J$4999,Warehouse_Log!$C$2:$C$4999,$A9,Warehouse_Log!$B$2:$B$4999,"IN",Warehouse_Log!$K$2:$K$4999,"No"),0)&lt;&gt;0,IFERROR(_xlfn.MINIFS(Warehouse_Log!$J$2:$J$4999,Warehouse_Log!$C$2:$C$4999,$A9,Warehouse_Log!$B$2:$B$4999,"IN",Warehouse_Log!$K$2:$K$4999,"No"),0)&lt;=$G9),"Covered - arriving "&amp;TEXT(IFERROR(_xlfn.MINIFS(Warehouse_Log!$J$2:$J$4999,Warehouse_Log!$C$2:$C$4999,$A9,Warehouse_Log!$B$2:$B$4999,"IN",Warehouse_Log!$K$2:$K$4999,"No"),0),"mmm dd"),IF(AND($H9&lt;&gt;"",($H9-TODAY())&lt;=7),"Order soon","OK"))))</f>
        <v>Stock only</v>
      </c>
    </row>
    <row r="10" customFormat="false" ht="15" hidden="false" customHeight="true" outlineLevel="0" collapsed="false">
      <c r="A10" s="5" t="str">
        <f aca="false">Setup!$A$19</f>
        <v>Ammonia 30%</v>
      </c>
      <c r="B10" s="8" t="n">
        <f aca="false">SUMIFS(Warehouse_Log!$F$2:$F$4999,Warehouse_Log!$C$2:$C$4999,$A10,Warehouse_Log!$B$2:$B$4999,"IN",Warehouse_Log!$K$2:$K$4999,"&lt;&gt;No")-SUMIFS(Warehouse_Log!$F$2:$F$4999,Warehouse_Log!$C$2:$C$4999,$A10,Warehouse_Log!$B$2:$B$4999,"OUT")</f>
        <v>5</v>
      </c>
      <c r="C10" s="8" t="n">
        <f aca="false">SUMIF(Tank_Levels!$B$2:$B$41,$A10,Tank_Levels!$I$2:$I$41)</f>
        <v>0</v>
      </c>
      <c r="D10" s="8" t="n">
        <f aca="false">$B10+$C10</f>
        <v>5</v>
      </c>
      <c r="E10" s="8" t="n">
        <f aca="false">SUMIF(Tank_Levels!$B$2:$B$41,$A10,Tank_Levels!$D$2:$D$41)</f>
        <v>0</v>
      </c>
      <c r="F10" s="8" t="str">
        <f aca="false">IF($E10=0,"",$D10/$E10)</f>
        <v/>
      </c>
      <c r="G10" s="7" t="str">
        <f aca="true">IF($F10="","",TODAY()+$F10)</f>
        <v/>
      </c>
      <c r="H10" s="7" t="str">
        <f aca="false">IF($G10="","",$G10-Setup!$C$19)</f>
        <v/>
      </c>
      <c r="I10" s="8" t="n">
        <f aca="false">SUMIFS(Warehouse_Log!$F$2:$F$4999,Warehouse_Log!$C$2:$C$4999,$A10,Warehouse_Log!$B$2:$B$4999,"IN",Warehouse_Log!$K$2:$K$4999,"No")</f>
        <v>0</v>
      </c>
      <c r="J10" s="7" t="str">
        <f aca="false">IF(IFERROR(_xlfn.MINIFS(Warehouse_Log!$J$2:$J$4999,Warehouse_Log!$C$2:$C$4999,$A10,Warehouse_Log!$B$2:$B$4999,"IN",Warehouse_Log!$K$2:$K$4999,"No"),0)=0,"",IFERROR(_xlfn.MINIFS(Warehouse_Log!$J$2:$J$4999,Warehouse_Log!$C$2:$C$4999,$A10,Warehouse_Log!$B$2:$B$4999,"IN",Warehouse_Log!$K$2:$K$4999,"No"),0))</f>
        <v/>
      </c>
      <c r="K10" s="9" t="str">
        <f aca="true">IF($E10=0,"Stock only",IF(AND($H10&lt;&gt;"",$H10&lt;=TODAY()),"ORDER NOW",IF(AND($I10&gt;0,IFERROR(_xlfn.MINIFS(Warehouse_Log!$J$2:$J$4999,Warehouse_Log!$C$2:$C$4999,$A10,Warehouse_Log!$B$2:$B$4999,"IN",Warehouse_Log!$K$2:$K$4999,"No"),0)&lt;&gt;0,IFERROR(_xlfn.MINIFS(Warehouse_Log!$J$2:$J$4999,Warehouse_Log!$C$2:$C$4999,$A10,Warehouse_Log!$B$2:$B$4999,"IN",Warehouse_Log!$K$2:$K$4999,"No"),0)&lt;=$G10),"Covered - arriving "&amp;TEXT(IFERROR(_xlfn.MINIFS(Warehouse_Log!$J$2:$J$4999,Warehouse_Log!$C$2:$C$4999,$A10,Warehouse_Log!$B$2:$B$4999,"IN",Warehouse_Log!$K$2:$K$4999,"No"),0),"mmm dd"),IF(AND($H10&lt;&gt;"",($H10-TODAY())&lt;=7),"Order soon","OK"))))</f>
        <v>Stock only</v>
      </c>
    </row>
  </sheetData>
  <conditionalFormatting sqref="K2:K10">
    <cfRule type="expression" priority="2" aboveAverage="0" equalAverage="0" bottom="0" percent="0" rank="0" text="" dxfId="0">
      <formula>$K2="ORDER NOW"</formula>
    </cfRule>
    <cfRule type="expression" priority="3" aboveAverage="0" equalAverage="0" bottom="0" percent="0" rank="0" text="" dxfId="1">
      <formula>$K2="Order soon"</formula>
    </cfRule>
    <cfRule type="expression" priority="4" aboveAverage="0" equalAverage="0" bottom="0" percent="0" rank="0" text="" dxfId="2">
      <formula>ISNUMBER(SEARCH("Covered",$K2))</formula>
    </cfRule>
    <cfRule type="expression" priority="5" aboveAverage="0" equalAverage="0" bottom="0" percent="0" rank="0" text="" dxfId="3">
      <formula>$K2="OK"</formula>
    </cfRule>
  </conditionalFormatting>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SLB-Private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F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8.71484375" defaultRowHeight="15" zeroHeight="false" outlineLevelRow="1" outlineLevelCol="0"/>
  <cols>
    <col collapsed="false" customWidth="true" hidden="false" outlineLevel="0" max="1" min="1" style="1" width="51.86"/>
    <col collapsed="false" customWidth="true" hidden="false" outlineLevel="0" max="2" min="2" style="1" width="27.57"/>
    <col collapsed="false" customWidth="true" hidden="false" outlineLevel="0" max="3" min="3" style="1" width="13.57"/>
    <col collapsed="false" customWidth="true" hidden="false" outlineLevel="0" max="4" min="4" style="1" width="12.86"/>
    <col collapsed="false" customWidth="true" hidden="false" outlineLevel="0" max="5" min="5" style="1" width="28.14"/>
    <col collapsed="false" customWidth="true" hidden="false" outlineLevel="0" max="6" min="6" style="1" width="11.57"/>
  </cols>
  <sheetData>
    <row r="1" customFormat="false" ht="18" hidden="false" customHeight="true" outlineLevel="0" collapsed="false">
      <c r="A1" s="13" t="s">
        <v>11</v>
      </c>
      <c r="B1" s="13"/>
      <c r="C1" s="13"/>
      <c r="D1" s="13"/>
      <c r="E1" s="13"/>
      <c r="F1" s="13"/>
    </row>
    <row r="2" customFormat="false" ht="25.5" hidden="false" customHeight="true" outlineLevel="0" collapsed="false">
      <c r="A2" s="14" t="s">
        <v>12</v>
      </c>
      <c r="B2" s="14" t="s">
        <v>13</v>
      </c>
      <c r="C2" s="14" t="s">
        <v>14</v>
      </c>
      <c r="D2" s="14" t="s">
        <v>15</v>
      </c>
      <c r="E2" s="14" t="s">
        <v>16</v>
      </c>
      <c r="F2" s="14" t="s">
        <v>17</v>
      </c>
    </row>
    <row r="3" customFormat="false" ht="25.5" hidden="false" customHeight="true" outlineLevel="0" collapsed="false">
      <c r="A3" s="15" t="s">
        <v>18</v>
      </c>
      <c r="B3" s="16" t="s">
        <v>19</v>
      </c>
      <c r="C3" s="16" t="n">
        <v>21</v>
      </c>
      <c r="D3" s="16" t="n">
        <v>0</v>
      </c>
      <c r="E3" s="15"/>
      <c r="F3" s="17" t="s">
        <v>20</v>
      </c>
    </row>
    <row r="4" customFormat="false" ht="15" hidden="false" customHeight="true" outlineLevel="0" collapsed="false">
      <c r="A4" s="15" t="s">
        <v>21</v>
      </c>
      <c r="B4" s="16" t="s">
        <v>19</v>
      </c>
      <c r="C4" s="16" t="n">
        <v>21</v>
      </c>
      <c r="D4" s="16" t="n">
        <v>0</v>
      </c>
      <c r="E4" s="15"/>
      <c r="F4" s="17" t="s">
        <v>20</v>
      </c>
    </row>
    <row r="5" customFormat="false" ht="15" hidden="false" customHeight="true" outlineLevel="0" collapsed="false">
      <c r="A5" s="15" t="s">
        <v>22</v>
      </c>
      <c r="B5" s="16" t="s">
        <v>19</v>
      </c>
      <c r="C5" s="16" t="n">
        <v>21</v>
      </c>
      <c r="D5" s="16" t="n">
        <v>0</v>
      </c>
      <c r="E5" s="15"/>
      <c r="F5" s="17" t="s">
        <v>20</v>
      </c>
    </row>
    <row r="6" customFormat="false" ht="15" hidden="false" customHeight="true" outlineLevel="0" collapsed="false">
      <c r="A6" s="15" t="s">
        <v>23</v>
      </c>
      <c r="B6" s="16" t="s">
        <v>19</v>
      </c>
      <c r="C6" s="16" t="n">
        <v>21</v>
      </c>
      <c r="D6" s="16" t="n">
        <v>0</v>
      </c>
      <c r="E6" s="15"/>
      <c r="F6" s="17" t="s">
        <v>20</v>
      </c>
    </row>
    <row r="7" customFormat="false" ht="15" hidden="false" customHeight="true" outlineLevel="0" collapsed="false">
      <c r="A7" s="15" t="s">
        <v>24</v>
      </c>
      <c r="B7" s="16" t="s">
        <v>19</v>
      </c>
      <c r="C7" s="16" t="n">
        <v>21</v>
      </c>
      <c r="D7" s="16" t="n">
        <v>0</v>
      </c>
      <c r="E7" s="15"/>
      <c r="F7" s="17" t="s">
        <v>20</v>
      </c>
    </row>
    <row r="8" customFormat="false" ht="15" hidden="false" customHeight="true" outlineLevel="0" collapsed="false">
      <c r="A8" s="15" t="s">
        <v>25</v>
      </c>
      <c r="B8" s="16" t="s">
        <v>19</v>
      </c>
      <c r="C8" s="16" t="n">
        <v>21</v>
      </c>
      <c r="D8" s="16" t="n">
        <v>0</v>
      </c>
      <c r="E8" s="15"/>
      <c r="F8" s="17" t="s">
        <v>20</v>
      </c>
    </row>
    <row r="9" customFormat="false" ht="15" hidden="false" customHeight="true" outlineLevel="0" collapsed="false">
      <c r="A9" s="15" t="s">
        <v>26</v>
      </c>
      <c r="B9" s="16" t="s">
        <v>19</v>
      </c>
      <c r="C9" s="16" t="n">
        <v>21</v>
      </c>
      <c r="D9" s="16" t="n">
        <v>0</v>
      </c>
      <c r="E9" s="15"/>
      <c r="F9" s="17" t="s">
        <v>20</v>
      </c>
    </row>
    <row r="10" customFormat="false" ht="15" hidden="false" customHeight="true" outlineLevel="0" collapsed="false">
      <c r="A10" s="15" t="s">
        <v>27</v>
      </c>
      <c r="B10" s="16" t="s">
        <v>19</v>
      </c>
      <c r="C10" s="16" t="n">
        <v>21</v>
      </c>
      <c r="D10" s="16" t="n">
        <v>0</v>
      </c>
      <c r="E10" s="15"/>
      <c r="F10" s="17" t="s">
        <v>20</v>
      </c>
    </row>
    <row r="11" customFormat="false" ht="15" hidden="false" customHeight="true" outlineLevel="0" collapsed="false">
      <c r="A11" s="15" t="s">
        <v>28</v>
      </c>
      <c r="B11" s="16" t="s">
        <v>29</v>
      </c>
      <c r="C11" s="16" t="n">
        <v>0</v>
      </c>
      <c r="D11" s="16" t="n">
        <v>0</v>
      </c>
      <c r="E11" s="15"/>
      <c r="F11" s="17" t="s">
        <v>30</v>
      </c>
    </row>
    <row r="12" customFormat="false" ht="19.5" hidden="false" customHeight="true" outlineLevel="0" collapsed="false">
      <c r="A12" s="15" t="s">
        <v>31</v>
      </c>
      <c r="B12" s="16" t="s">
        <v>29</v>
      </c>
      <c r="C12" s="16" t="n">
        <v>0</v>
      </c>
      <c r="D12" s="16" t="n">
        <v>0</v>
      </c>
      <c r="E12" s="15"/>
      <c r="F12" s="17" t="s">
        <v>32</v>
      </c>
    </row>
    <row r="13" customFormat="false" ht="15" hidden="false" customHeight="true" outlineLevel="0" collapsed="false">
      <c r="A13" s="15" t="s">
        <v>33</v>
      </c>
      <c r="B13" s="16" t="s">
        <v>34</v>
      </c>
      <c r="C13" s="16" t="n">
        <v>0</v>
      </c>
      <c r="D13" s="16" t="n">
        <v>0</v>
      </c>
      <c r="E13" s="15"/>
      <c r="F13" s="17" t="s">
        <v>35</v>
      </c>
    </row>
    <row r="14" customFormat="false" ht="15" hidden="false" customHeight="true" outlineLevel="0" collapsed="false">
      <c r="A14" s="15" t="s">
        <v>36</v>
      </c>
      <c r="B14" s="16" t="s">
        <v>34</v>
      </c>
      <c r="C14" s="16" t="n">
        <v>0</v>
      </c>
      <c r="D14" s="16" t="n">
        <v>0</v>
      </c>
      <c r="E14" s="15"/>
      <c r="F14" s="17" t="s">
        <v>35</v>
      </c>
    </row>
    <row r="15" customFormat="false" ht="15" hidden="false" customHeight="true" outlineLevel="0" collapsed="false">
      <c r="A15" s="15" t="s">
        <v>37</v>
      </c>
      <c r="B15" s="16" t="s">
        <v>34</v>
      </c>
      <c r="C15" s="16" t="n">
        <v>0</v>
      </c>
      <c r="D15" s="16" t="n">
        <v>0</v>
      </c>
      <c r="E15" s="15"/>
      <c r="F15" s="17" t="s">
        <v>35</v>
      </c>
    </row>
    <row r="16" customFormat="false" ht="15" hidden="false" customHeight="true" outlineLevel="0" collapsed="false">
      <c r="A16" s="15" t="s">
        <v>38</v>
      </c>
      <c r="B16" s="16" t="s">
        <v>34</v>
      </c>
      <c r="C16" s="16" t="n">
        <v>0</v>
      </c>
      <c r="D16" s="16" t="n">
        <v>0</v>
      </c>
      <c r="E16" s="15"/>
      <c r="F16" s="17" t="s">
        <v>35</v>
      </c>
    </row>
    <row r="17" customFormat="false" ht="15" hidden="false" customHeight="true" outlineLevel="0" collapsed="false">
      <c r="A17" s="15" t="s">
        <v>39</v>
      </c>
      <c r="B17" s="16" t="s">
        <v>34</v>
      </c>
      <c r="C17" s="16" t="n">
        <v>0</v>
      </c>
      <c r="D17" s="16" t="n">
        <v>0</v>
      </c>
      <c r="E17" s="15"/>
      <c r="F17" s="17" t="s">
        <v>35</v>
      </c>
    </row>
    <row r="18" customFormat="false" ht="15" hidden="false" customHeight="true" outlineLevel="0" collapsed="false">
      <c r="A18" s="15" t="s">
        <v>40</v>
      </c>
      <c r="B18" s="16" t="s">
        <v>34</v>
      </c>
      <c r="C18" s="16" t="n">
        <v>0</v>
      </c>
      <c r="D18" s="16" t="n">
        <v>0</v>
      </c>
      <c r="E18" s="15"/>
      <c r="F18" s="17" t="s">
        <v>35</v>
      </c>
    </row>
    <row r="19" customFormat="false" ht="15" hidden="false" customHeight="true" outlineLevel="0" collapsed="false">
      <c r="A19" s="15" t="s">
        <v>41</v>
      </c>
      <c r="B19" s="16" t="s">
        <v>34</v>
      </c>
      <c r="C19" s="16" t="n">
        <v>0</v>
      </c>
      <c r="D19" s="16" t="n">
        <v>0</v>
      </c>
      <c r="E19" s="15"/>
      <c r="F19" s="17" t="s">
        <v>35</v>
      </c>
    </row>
    <row r="20" customFormat="false" ht="15" hidden="false" customHeight="true" outlineLevel="0" collapsed="false">
      <c r="A20" s="18"/>
      <c r="B20" s="18"/>
      <c r="C20" s="18"/>
      <c r="D20" s="18"/>
      <c r="E20" s="18"/>
      <c r="F20" s="18"/>
    </row>
    <row r="21" customFormat="false" ht="15" hidden="false" customHeight="true" outlineLevel="0" collapsed="false">
      <c r="A21" s="18"/>
      <c r="B21" s="18"/>
      <c r="C21" s="18"/>
      <c r="D21" s="18"/>
      <c r="E21" s="18"/>
      <c r="F21" s="18"/>
    </row>
    <row r="22" customFormat="false" ht="15" hidden="false" customHeight="true" outlineLevel="0" collapsed="false">
      <c r="A22" s="18"/>
      <c r="B22" s="18"/>
      <c r="C22" s="18"/>
      <c r="D22" s="18"/>
      <c r="E22" s="18"/>
      <c r="F22" s="18"/>
    </row>
    <row r="23" customFormat="false" ht="15" hidden="false" customHeight="true" outlineLevel="0" collapsed="false">
      <c r="A23" s="18"/>
      <c r="B23" s="18"/>
      <c r="C23" s="18"/>
      <c r="D23" s="18"/>
      <c r="E23" s="18"/>
      <c r="F23" s="18"/>
    </row>
    <row r="25" customFormat="false" ht="18" hidden="false" customHeight="true" outlineLevel="0" collapsed="false">
      <c r="A25" s="19" t="s">
        <v>42</v>
      </c>
      <c r="B25" s="19"/>
    </row>
    <row r="26" customFormat="false" ht="25.5" hidden="false" customHeight="true" outlineLevel="0" collapsed="false">
      <c r="A26" s="14" t="s">
        <v>43</v>
      </c>
      <c r="B26" s="14" t="s">
        <v>44</v>
      </c>
    </row>
    <row r="27" customFormat="false" ht="15" hidden="false" customHeight="true" outlineLevel="0" collapsed="false">
      <c r="A27" s="18" t="s">
        <v>30</v>
      </c>
      <c r="B27" s="20" t="n">
        <v>1</v>
      </c>
    </row>
    <row r="28" customFormat="false" ht="15" hidden="false" customHeight="true" outlineLevel="0" collapsed="false">
      <c r="A28" s="18" t="s">
        <v>20</v>
      </c>
      <c r="B28" s="20" t="n">
        <v>200</v>
      </c>
    </row>
    <row r="29" customFormat="false" ht="15" hidden="false" customHeight="true" outlineLevel="0" collapsed="false">
      <c r="A29" s="18" t="s">
        <v>32</v>
      </c>
      <c r="B29" s="20" t="n">
        <v>2.5</v>
      </c>
    </row>
    <row r="30" customFormat="false" ht="15" hidden="false" customHeight="true" outlineLevel="0" collapsed="false">
      <c r="A30" s="18" t="s">
        <v>35</v>
      </c>
      <c r="B30" s="20" t="n">
        <v>2.5</v>
      </c>
    </row>
    <row r="31" customFormat="false" ht="15" hidden="false" customHeight="true" outlineLevel="0" collapsed="false">
      <c r="A31" s="18"/>
      <c r="B31" s="20"/>
    </row>
    <row r="32" customFormat="false" ht="15" hidden="false" customHeight="true" outlineLevel="0" collapsed="false">
      <c r="A32" s="18"/>
      <c r="B32" s="18"/>
    </row>
    <row r="33" customFormat="false" ht="15" hidden="false" customHeight="true" outlineLevel="0" collapsed="false">
      <c r="A33" s="18"/>
      <c r="B33" s="18"/>
    </row>
    <row r="34" customFormat="false" ht="15" hidden="false" customHeight="true" outlineLevel="0" collapsed="false">
      <c r="A34" s="18"/>
      <c r="B34" s="18"/>
    </row>
    <row r="35" customFormat="false" ht="15" hidden="false" customHeight="true" outlineLevel="0" collapsed="false">
      <c r="A35" s="18"/>
      <c r="B35" s="18"/>
    </row>
    <row r="36" customFormat="false" ht="15" hidden="false" customHeight="true" outlineLevel="0" collapsed="false">
      <c r="A36" s="21"/>
      <c r="B36" s="22"/>
    </row>
    <row r="37" customFormat="false" ht="15" hidden="false" customHeight="true" outlineLevel="0" collapsed="false">
      <c r="A37" s="21"/>
      <c r="B37" s="22"/>
    </row>
    <row r="38" customFormat="false" ht="15" hidden="false" customHeight="true" outlineLevel="0" collapsed="false">
      <c r="A38" s="21"/>
      <c r="B38" s="22"/>
    </row>
    <row r="39" customFormat="false" ht="15" hidden="false" customHeight="true" outlineLevel="0" collapsed="false">
      <c r="A39" s="18"/>
      <c r="B39" s="22"/>
    </row>
    <row r="40" customFormat="false" ht="15" hidden="false" customHeight="true" outlineLevel="0" collapsed="false">
      <c r="A40" s="18"/>
      <c r="B40" s="18"/>
    </row>
    <row r="41" customFormat="false" ht="15" hidden="false" customHeight="true" outlineLevel="0" collapsed="false">
      <c r="A41" s="18"/>
      <c r="B41" s="18"/>
    </row>
    <row r="42" customFormat="false" ht="15" hidden="false" customHeight="true" outlineLevel="0" collapsed="false">
      <c r="A42" s="18"/>
      <c r="B42" s="18"/>
    </row>
    <row r="43" customFormat="false" ht="15" hidden="false" customHeight="true" outlineLevel="0" collapsed="false">
      <c r="A43" s="18"/>
      <c r="B43" s="18"/>
    </row>
    <row r="45" customFormat="false" ht="18" hidden="false" customHeight="true" outlineLevel="0" collapsed="false">
      <c r="A45" s="23" t="s">
        <v>45</v>
      </c>
      <c r="B45" s="23"/>
      <c r="C45" s="23"/>
    </row>
    <row r="46" customFormat="false" ht="25.5" hidden="false" customHeight="true" outlineLevel="0" collapsed="false">
      <c r="A46" s="14" t="s">
        <v>46</v>
      </c>
      <c r="B46" s="14" t="s">
        <v>47</v>
      </c>
      <c r="C46" s="14" t="s">
        <v>48</v>
      </c>
    </row>
    <row r="47" customFormat="false" ht="15" hidden="false" customHeight="true" outlineLevel="0" collapsed="false">
      <c r="A47" s="18" t="s">
        <v>49</v>
      </c>
      <c r="B47" s="18"/>
      <c r="C47" s="20" t="n">
        <v>750</v>
      </c>
    </row>
    <row r="48" customFormat="false" ht="15" hidden="false" customHeight="true" outlineLevel="0" collapsed="false">
      <c r="A48" s="18" t="s">
        <v>50</v>
      </c>
      <c r="B48" s="18" t="s">
        <v>18</v>
      </c>
      <c r="C48" s="20" t="n">
        <v>1510</v>
      </c>
    </row>
    <row r="49" customFormat="false" ht="15" hidden="false" customHeight="true" outlineLevel="0" collapsed="false">
      <c r="A49" s="18" t="s">
        <v>51</v>
      </c>
      <c r="B49" s="18" t="s">
        <v>26</v>
      </c>
      <c r="C49" s="20" t="n">
        <v>750</v>
      </c>
    </row>
    <row r="50" customFormat="false" ht="15" hidden="false" customHeight="true" outlineLevel="0" collapsed="false">
      <c r="A50" s="18" t="s">
        <v>52</v>
      </c>
      <c r="B50" s="18" t="s">
        <v>22</v>
      </c>
      <c r="C50" s="20" t="n">
        <v>750</v>
      </c>
    </row>
    <row r="51" customFormat="false" ht="15" hidden="false" customHeight="true" outlineLevel="0" collapsed="false">
      <c r="A51" s="18" t="s">
        <v>53</v>
      </c>
      <c r="B51" s="18" t="s">
        <v>21</v>
      </c>
      <c r="C51" s="20" t="n">
        <v>750</v>
      </c>
    </row>
    <row r="52" customFormat="false" ht="15" hidden="false" customHeight="true" outlineLevel="0" collapsed="false">
      <c r="A52" s="18" t="s">
        <v>54</v>
      </c>
      <c r="B52" s="18" t="s">
        <v>26</v>
      </c>
      <c r="C52" s="20" t="n">
        <v>750</v>
      </c>
    </row>
    <row r="53" customFormat="false" ht="15" hidden="false" customHeight="true" outlineLevel="0" collapsed="false">
      <c r="A53" s="18" t="s">
        <v>55</v>
      </c>
      <c r="B53" s="18" t="s">
        <v>27</v>
      </c>
      <c r="C53" s="20" t="n">
        <v>750</v>
      </c>
    </row>
    <row r="54" customFormat="false" ht="15" hidden="false" customHeight="true" outlineLevel="0" collapsed="false">
      <c r="A54" s="18"/>
      <c r="B54" s="18"/>
      <c r="C54" s="18"/>
    </row>
    <row r="55" customFormat="false" ht="15" hidden="false" customHeight="true" outlineLevel="0" collapsed="false">
      <c r="A55" s="18"/>
      <c r="B55" s="18"/>
      <c r="C55" s="18"/>
    </row>
    <row r="56" customFormat="false" ht="15" hidden="false" customHeight="true" outlineLevel="0" collapsed="false">
      <c r="A56" s="18"/>
      <c r="B56" s="18"/>
      <c r="C56" s="18"/>
    </row>
    <row r="58" customFormat="false" ht="18" hidden="false" customHeight="true" outlineLevel="0" collapsed="false">
      <c r="A58" s="23" t="s">
        <v>56</v>
      </c>
      <c r="B58" s="23"/>
      <c r="C58" s="23"/>
    </row>
    <row r="59" customFormat="false" ht="25.5" hidden="false" customHeight="true" outlineLevel="0" collapsed="false">
      <c r="A59" s="14" t="s">
        <v>46</v>
      </c>
      <c r="B59" s="14" t="s">
        <v>47</v>
      </c>
      <c r="C59" s="14" t="s">
        <v>48</v>
      </c>
      <c r="E59" s="1" t="n">
        <v>30</v>
      </c>
    </row>
    <row r="60" customFormat="false" ht="15" hidden="false" customHeight="true" outlineLevel="0" collapsed="false">
      <c r="A60" s="18" t="s">
        <v>57</v>
      </c>
      <c r="B60" s="18" t="s">
        <v>26</v>
      </c>
      <c r="C60" s="20" t="n">
        <v>750</v>
      </c>
    </row>
    <row r="61" customFormat="false" ht="15" hidden="false" customHeight="true" outlineLevel="0" collapsed="false">
      <c r="A61" s="18" t="s">
        <v>58</v>
      </c>
      <c r="B61" s="18" t="s">
        <v>25</v>
      </c>
      <c r="C61" s="20" t="n">
        <v>750</v>
      </c>
    </row>
    <row r="62" customFormat="false" ht="15" hidden="false" customHeight="true" outlineLevel="0" collapsed="false">
      <c r="A62" s="18" t="s">
        <v>59</v>
      </c>
      <c r="B62" s="18" t="s">
        <v>22</v>
      </c>
      <c r="C62" s="20" t="n">
        <v>750</v>
      </c>
    </row>
    <row r="63" customFormat="false" ht="15" hidden="false" customHeight="true" outlineLevel="0" collapsed="false">
      <c r="A63" s="18" t="s">
        <v>60</v>
      </c>
      <c r="B63" s="18" t="s">
        <v>26</v>
      </c>
      <c r="C63" s="20" t="n">
        <v>750</v>
      </c>
    </row>
    <row r="64" customFormat="false" ht="15" hidden="false" customHeight="true" outlineLevel="0" collapsed="false">
      <c r="A64" s="18" t="s">
        <v>61</v>
      </c>
      <c r="B64" s="18" t="s">
        <v>26</v>
      </c>
      <c r="C64" s="20" t="n">
        <v>750</v>
      </c>
    </row>
    <row r="65" customFormat="false" ht="15" hidden="false" customHeight="true" outlineLevel="0" collapsed="false">
      <c r="A65" s="18" t="s">
        <v>62</v>
      </c>
      <c r="B65" s="18" t="s">
        <v>26</v>
      </c>
      <c r="C65" s="20" t="n">
        <v>750</v>
      </c>
    </row>
    <row r="66" customFormat="false" ht="15" hidden="false" customHeight="true" outlineLevel="0" collapsed="false">
      <c r="A66" s="18" t="s">
        <v>63</v>
      </c>
      <c r="B66" s="18" t="s">
        <v>26</v>
      </c>
      <c r="C66" s="20" t="n">
        <v>750</v>
      </c>
    </row>
    <row r="67" customFormat="false" ht="15" hidden="false" customHeight="true" outlineLevel="0" collapsed="false">
      <c r="A67" s="18" t="s">
        <v>64</v>
      </c>
      <c r="B67" s="18" t="s">
        <v>25</v>
      </c>
      <c r="C67" s="20" t="n">
        <v>750</v>
      </c>
    </row>
    <row r="68" customFormat="false" ht="15" hidden="false" customHeight="true" outlineLevel="0" collapsed="false">
      <c r="A68" s="18" t="s">
        <v>65</v>
      </c>
      <c r="B68" s="18" t="s">
        <v>25</v>
      </c>
      <c r="C68" s="20" t="n">
        <v>750</v>
      </c>
    </row>
    <row r="69" customFormat="false" ht="15" hidden="false" customHeight="true" outlineLevel="0" collapsed="false">
      <c r="A69" s="18" t="s">
        <v>66</v>
      </c>
      <c r="B69" s="18" t="s">
        <v>25</v>
      </c>
      <c r="C69" s="20" t="n">
        <v>750</v>
      </c>
    </row>
    <row r="70" customFormat="false" ht="15" hidden="false" customHeight="true" outlineLevel="0" collapsed="false">
      <c r="A70" s="18" t="s">
        <v>67</v>
      </c>
      <c r="B70" s="18" t="s">
        <v>25</v>
      </c>
      <c r="C70" s="20" t="n">
        <v>750</v>
      </c>
    </row>
    <row r="71" customFormat="false" ht="15" hidden="false" customHeight="true" outlineLevel="0" collapsed="false">
      <c r="A71" s="18"/>
      <c r="B71" s="18"/>
      <c r="C71" s="20"/>
    </row>
    <row r="72" customFormat="false" ht="15" hidden="false" customHeight="true" outlineLevel="0" collapsed="false">
      <c r="A72" s="18"/>
      <c r="B72" s="18"/>
      <c r="C72" s="20"/>
    </row>
    <row r="73" customFormat="false" ht="15" hidden="false" customHeight="true" outlineLevel="0" collapsed="false">
      <c r="A73" s="18"/>
      <c r="B73" s="18"/>
      <c r="C73" s="20"/>
    </row>
    <row r="74" customFormat="false" ht="15" hidden="false" customHeight="true" outlineLevel="0" collapsed="false">
      <c r="A74" s="18"/>
      <c r="B74" s="18"/>
      <c r="C74" s="20"/>
    </row>
    <row r="75" customFormat="false" ht="15" hidden="false" customHeight="true" outlineLevel="0" collapsed="false">
      <c r="A75" s="18"/>
      <c r="B75" s="18"/>
      <c r="C75" s="20"/>
    </row>
    <row r="76" customFormat="false" ht="15" hidden="false" customHeight="true" outlineLevel="0" collapsed="false">
      <c r="A76" s="18"/>
      <c r="B76" s="18"/>
      <c r="C76" s="20"/>
    </row>
    <row r="77" customFormat="false" ht="15" hidden="false" customHeight="true" outlineLevel="0" collapsed="false">
      <c r="A77" s="18"/>
      <c r="B77" s="18"/>
      <c r="C77" s="20"/>
    </row>
    <row r="78" customFormat="false" ht="15" hidden="false" customHeight="true" outlineLevel="0" collapsed="false">
      <c r="A78" s="18"/>
      <c r="B78" s="18"/>
      <c r="C78" s="20"/>
    </row>
    <row r="79" customFormat="false" ht="15" hidden="false" customHeight="true" outlineLevel="0" collapsed="false">
      <c r="A79" s="18"/>
      <c r="B79" s="18"/>
      <c r="C79" s="20"/>
    </row>
    <row r="80" customFormat="false" ht="15" hidden="false" customHeight="true" outlineLevel="0" collapsed="false">
      <c r="A80" s="18"/>
      <c r="B80" s="18"/>
      <c r="C80" s="20"/>
    </row>
    <row r="81" customFormat="false" ht="15" hidden="false" customHeight="true" outlineLevel="0" collapsed="false">
      <c r="A81" s="18"/>
      <c r="B81" s="18"/>
      <c r="C81" s="20"/>
    </row>
    <row r="82" customFormat="false" ht="15" hidden="false" customHeight="true" outlineLevel="0" collapsed="false">
      <c r="A82" s="18"/>
      <c r="B82" s="18"/>
      <c r="C82" s="18"/>
    </row>
    <row r="83" customFormat="false" ht="15" hidden="false" customHeight="true" outlineLevel="0" collapsed="false">
      <c r="A83" s="18"/>
      <c r="B83" s="18"/>
      <c r="C83" s="18"/>
    </row>
    <row r="84" customFormat="false" ht="15" hidden="false" customHeight="true" outlineLevel="0" collapsed="false">
      <c r="A84" s="18"/>
      <c r="B84" s="18"/>
      <c r="C84" s="18"/>
    </row>
    <row r="85" customFormat="false" ht="15" hidden="false" customHeight="true" outlineLevel="0" collapsed="false">
      <c r="A85" s="18"/>
      <c r="B85" s="18"/>
      <c r="C85" s="18"/>
    </row>
    <row r="86" customFormat="false" ht="15" hidden="false" customHeight="true" outlineLevel="0" collapsed="false">
      <c r="A86" s="18"/>
      <c r="B86" s="18"/>
      <c r="C86" s="18"/>
    </row>
    <row r="87" customFormat="false" ht="15" hidden="false" customHeight="true" outlineLevel="0" collapsed="false">
      <c r="A87" s="18"/>
      <c r="B87" s="18"/>
      <c r="C87" s="18"/>
    </row>
    <row r="88" customFormat="false" ht="15" hidden="false" customHeight="true" outlineLevel="0" collapsed="false">
      <c r="A88" s="18"/>
      <c r="B88" s="18"/>
      <c r="C88" s="18"/>
    </row>
    <row r="89" customFormat="false" ht="15" hidden="false" customHeight="true" outlineLevel="0" collapsed="false">
      <c r="A89" s="18"/>
      <c r="B89" s="18"/>
      <c r="C89" s="18"/>
    </row>
    <row r="91" customFormat="false" ht="18" hidden="true" customHeight="true" outlineLevel="0" collapsed="false">
      <c r="A91" s="24" t="s">
        <v>68</v>
      </c>
      <c r="B91" s="24"/>
      <c r="C91" s="24"/>
      <c r="D91" s="24"/>
      <c r="E91" s="24"/>
    </row>
    <row r="92" customFormat="false" ht="15" hidden="false" customHeight="true" outlineLevel="1" collapsed="false">
      <c r="A92" s="25" t="str">
        <f aca="false">IF(Setup!$A$47="","",Setup!$A$47)</f>
        <v>Inlet Skid - DE-MULSIFIER (40-Z-01)</v>
      </c>
    </row>
    <row r="93" customFormat="false" ht="15" hidden="false" customHeight="true" outlineLevel="1" collapsed="false">
      <c r="A93" s="25" t="str">
        <f aca="false">IF(Setup!$A$48="","",Setup!$A$48)</f>
        <v>Inlet Skid - POUR POINT DEPROSSOR (40-Z-05)</v>
      </c>
    </row>
    <row r="94" customFormat="false" ht="15" hidden="false" customHeight="true" outlineLevel="1" collapsed="false">
      <c r="A94" s="25" t="str">
        <f aca="false">IF(Setup!$A$49="","",Setup!$A$49)</f>
        <v>Inlet Skid - CORROSION INHIBITOR (40-Z-09)</v>
      </c>
    </row>
    <row r="95" customFormat="false" ht="15" hidden="false" customHeight="true" outlineLevel="1" collapsed="false">
      <c r="A95" s="25" t="str">
        <f aca="false">IF(Setup!$A$50="","",Setup!$A$50)</f>
        <v>Inlet Skid - SCALE INHIBITOR (40-Z-03)</v>
      </c>
    </row>
    <row r="96" customFormat="false" ht="15" hidden="false" customHeight="true" outlineLevel="1" collapsed="false">
      <c r="A96" s="25" t="str">
        <f aca="false">IF(Setup!$A$51="","",Setup!$A$51)</f>
        <v>Inlet Skid - ANTIFOAM (40-Z-04)</v>
      </c>
    </row>
    <row r="97" customFormat="false" ht="15" hidden="false" customHeight="true" outlineLevel="1" collapsed="false">
      <c r="A97" s="25" t="str">
        <f aca="false">IF(Setup!$A$52="","",Setup!$A$52)</f>
        <v>Water Treatment Skid - CORROSION INHIBITOR (40-Z-08)</v>
      </c>
    </row>
    <row r="98" customFormat="false" ht="15" hidden="false" customHeight="true" outlineLevel="1" collapsed="false">
      <c r="A98" s="25" t="str">
        <f aca="false">IF(Setup!$A$53="","",Setup!$A$53)</f>
        <v>Water Treatment Skid - FLOCCULANT (40-Z-06)</v>
      </c>
    </row>
    <row r="99" customFormat="false" ht="15" hidden="false" customHeight="true" outlineLevel="1" collapsed="false">
      <c r="A99" s="25" t="str">
        <f aca="false">IF(Setup!$A$54="","",Setup!$A$54)</f>
        <v/>
      </c>
    </row>
    <row r="100" customFormat="false" ht="15" hidden="false" customHeight="true" outlineLevel="1" collapsed="false">
      <c r="A100" s="25" t="str">
        <f aca="false">IF(Setup!$A$55="","",Setup!$A$55)</f>
        <v/>
      </c>
    </row>
    <row r="101" customFormat="false" ht="15" hidden="false" customHeight="true" outlineLevel="1" collapsed="false">
      <c r="A101" s="25" t="str">
        <f aca="false">IF(Setup!$A$56="","",Setup!$A$56)</f>
        <v/>
      </c>
    </row>
    <row r="102" customFormat="false" ht="15" hidden="false" customHeight="true" outlineLevel="1" collapsed="false">
      <c r="A102" s="25" t="str">
        <f aca="false">IF(Setup!$A$60="","",Setup!$A$60)</f>
        <v>A-07 Corrosion Inhibitor Skid</v>
      </c>
    </row>
    <row r="103" customFormat="false" ht="15" hidden="false" customHeight="true" outlineLevel="1" collapsed="false">
      <c r="A103" s="25" t="str">
        <f aca="false">IF(Setup!$A$61="","",Setup!$A$61)</f>
        <v>A-07 Biocide Skid</v>
      </c>
    </row>
    <row r="104" customFormat="false" ht="15" hidden="false" customHeight="true" outlineLevel="1" collapsed="false">
      <c r="A104" s="25" t="str">
        <f aca="false">IF(Setup!$A$62="","",Setup!$A$62)</f>
        <v>A-131 Scale-Inhibitor Skid</v>
      </c>
    </row>
    <row r="105" customFormat="false" ht="15" hidden="false" customHeight="true" outlineLevel="1" collapsed="false">
      <c r="A105" s="25" t="str">
        <f aca="false">IF(Setup!$A$63="","",Setup!$A$63)</f>
        <v>A-126 Corrosion Inhibitor Skid</v>
      </c>
    </row>
    <row r="106" customFormat="false" ht="15" hidden="false" customHeight="true" outlineLevel="1" collapsed="false">
      <c r="A106" s="25" t="str">
        <f aca="false">IF(Setup!$A$64="","",Setup!$A$64)</f>
        <v>A-113 Corrosion Inhibitor Skid</v>
      </c>
    </row>
    <row r="107" customFormat="false" ht="15" hidden="false" customHeight="true" outlineLevel="1" collapsed="false">
      <c r="A107" s="25" t="str">
        <f aca="false">IF(Setup!$A$65="","",Setup!$A$65)</f>
        <v>A-131 Corrosion Inhibitor Skid</v>
      </c>
    </row>
    <row r="108" customFormat="false" ht="15" hidden="false" customHeight="true" outlineLevel="1" collapsed="false">
      <c r="A108" s="25" t="str">
        <f aca="false">IF(Setup!$A$66="","",Setup!$A$66)</f>
        <v>A-138 Corrosion Inhibitor Skid</v>
      </c>
    </row>
    <row r="109" customFormat="false" ht="15" hidden="false" customHeight="true" outlineLevel="1" collapsed="false">
      <c r="A109" s="25" t="str">
        <f aca="false">IF(Setup!$A$67="","",Setup!$A$67)</f>
        <v>A-133 Biocide Skid</v>
      </c>
    </row>
    <row r="110" customFormat="false" ht="15" hidden="false" customHeight="true" outlineLevel="1" collapsed="false">
      <c r="A110" s="25" t="str">
        <f aca="false">IF(Setup!$A$68="","",Setup!$A$68)</f>
        <v>A-145 Biocide Skid</v>
      </c>
    </row>
    <row r="111" customFormat="false" ht="15" hidden="false" customHeight="true" outlineLevel="1" collapsed="false">
      <c r="A111" s="25" t="str">
        <f aca="false">IF(Setup!$A$69="","",Setup!$A$69)</f>
        <v>A-127 Biocide Skid</v>
      </c>
    </row>
    <row r="112" customFormat="false" ht="15" hidden="false" customHeight="true" outlineLevel="1" collapsed="false">
      <c r="A112" s="25" t="str">
        <f aca="false">IF(Setup!$A$70="","",Setup!$A$70)</f>
        <v>A-130 Biocide Skid</v>
      </c>
    </row>
    <row r="113" customFormat="false" ht="15" hidden="false" customHeight="true" outlineLevel="1" collapsed="false">
      <c r="A113" s="25" t="str">
        <f aca="false">IF(Setup!$A$71="","",Setup!$A$71)</f>
        <v/>
      </c>
    </row>
    <row r="114" customFormat="false" ht="15" hidden="false" customHeight="true" outlineLevel="1" collapsed="false">
      <c r="A114" s="25" t="str">
        <f aca="false">IF(Setup!$A$72="","",Setup!$A$72)</f>
        <v/>
      </c>
    </row>
    <row r="115" customFormat="false" ht="15" hidden="false" customHeight="true" outlineLevel="1" collapsed="false">
      <c r="A115" s="25" t="str">
        <f aca="false">IF(Setup!$A$73="","",Setup!$A$73)</f>
        <v/>
      </c>
    </row>
    <row r="116" customFormat="false" ht="15" hidden="false" customHeight="true" outlineLevel="1" collapsed="false">
      <c r="A116" s="25" t="str">
        <f aca="false">IF(Setup!$A$74="","",Setup!$A$74)</f>
        <v/>
      </c>
    </row>
    <row r="117" customFormat="false" ht="15" hidden="false" customHeight="true" outlineLevel="1" collapsed="false">
      <c r="A117" s="25" t="str">
        <f aca="false">IF(Setup!$A$75="","",Setup!$A$75)</f>
        <v/>
      </c>
    </row>
    <row r="118" customFormat="false" ht="15" hidden="false" customHeight="true" outlineLevel="1" collapsed="false">
      <c r="A118" s="25" t="str">
        <f aca="false">IF(Setup!$A$76="","",Setup!$A$76)</f>
        <v/>
      </c>
    </row>
    <row r="119" customFormat="false" ht="15" hidden="false" customHeight="true" outlineLevel="1" collapsed="false">
      <c r="A119" s="25" t="str">
        <f aca="false">IF(Setup!$A$77="","",Setup!$A$77)</f>
        <v/>
      </c>
    </row>
    <row r="120" customFormat="false" ht="15" hidden="false" customHeight="true" outlineLevel="1" collapsed="false">
      <c r="A120" s="25" t="str">
        <f aca="false">IF(Setup!$A$78="","",Setup!$A$78)</f>
        <v/>
      </c>
    </row>
    <row r="121" customFormat="false" ht="15" hidden="false" customHeight="true" outlineLevel="1" collapsed="false">
      <c r="A121" s="25" t="str">
        <f aca="false">IF(Setup!$A$79="","",Setup!$A$79)</f>
        <v/>
      </c>
    </row>
    <row r="122" customFormat="false" ht="15" hidden="false" customHeight="true" outlineLevel="1" collapsed="false">
      <c r="A122" s="25" t="str">
        <f aca="false">IF(Setup!$A$80="","",Setup!$A$80)</f>
        <v/>
      </c>
    </row>
    <row r="123" customFormat="false" ht="15" hidden="false" customHeight="true" outlineLevel="1" collapsed="false">
      <c r="A123" s="25" t="str">
        <f aca="false">IF(Setup!$A$81="","",Setup!$A$81)</f>
        <v/>
      </c>
    </row>
    <row r="124" customFormat="false" ht="15" hidden="false" customHeight="true" outlineLevel="1" collapsed="false">
      <c r="A124" s="25" t="str">
        <f aca="false">IF(Setup!$A$82="","",Setup!$A$82)</f>
        <v/>
      </c>
    </row>
    <row r="125" customFormat="false" ht="15" hidden="false" customHeight="true" outlineLevel="1" collapsed="false">
      <c r="A125" s="25" t="str">
        <f aca="false">IF(Setup!$A$83="","",Setup!$A$83)</f>
        <v/>
      </c>
    </row>
    <row r="126" customFormat="false" ht="15" hidden="false" customHeight="true" outlineLevel="1" collapsed="false">
      <c r="A126" s="25" t="str">
        <f aca="false">IF(Setup!$A$84="","",Setup!$A$84)</f>
        <v/>
      </c>
    </row>
    <row r="127" customFormat="false" ht="15" hidden="false" customHeight="true" outlineLevel="1" collapsed="false">
      <c r="A127" s="25" t="str">
        <f aca="false">IF(Setup!$A$85="","",Setup!$A$85)</f>
        <v/>
      </c>
    </row>
    <row r="128" customFormat="false" ht="15" hidden="false" customHeight="true" outlineLevel="1" collapsed="false">
      <c r="A128" s="25" t="str">
        <f aca="false">IF(Setup!$A$86="","",Setup!$A$86)</f>
        <v/>
      </c>
    </row>
    <row r="129" customFormat="false" ht="15" hidden="false" customHeight="true" outlineLevel="1" collapsed="false">
      <c r="A129" s="25" t="str">
        <f aca="false">IF(Setup!$A$87="","",Setup!$A$87)</f>
        <v/>
      </c>
    </row>
    <row r="130" customFormat="false" ht="15" hidden="false" customHeight="true" outlineLevel="1" collapsed="false">
      <c r="A130" s="25" t="str">
        <f aca="false">IF(Setup!$A$88="","",Setup!$A$88)</f>
        <v/>
      </c>
    </row>
    <row r="131" customFormat="false" ht="15" hidden="false" customHeight="true" outlineLevel="1" collapsed="false">
      <c r="A131" s="25" t="str">
        <f aca="false">IF(Setup!$A$89="","",Setup!$A$89)</f>
        <v/>
      </c>
    </row>
  </sheetData>
  <mergeCells count="5">
    <mergeCell ref="A1:F1"/>
    <mergeCell ref="A25:B25"/>
    <mergeCell ref="A45:C45"/>
    <mergeCell ref="A58:C58"/>
    <mergeCell ref="A91:E91"/>
  </mergeCells>
  <dataValidations count="2">
    <dataValidation allowBlank="true" errorStyle="stop" operator="between" showDropDown="false" showErrorMessage="false" showInputMessage="false" sqref="B47:B56 B60:B89" type="list">
      <formula1>$A$3:$A$23</formula1>
      <formula2>0</formula2>
    </dataValidation>
    <dataValidation allowBlank="true" errorStyle="stop" operator="between" showDropDown="false" showErrorMessage="false" showInputMessage="false" sqref="F3:F22" type="list">
      <formula1>$A$26:$A$43</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SLB-Private_x005F_x000d_# SLB-Private_x005F_x000d_x000d_# SLB-Private</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M4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6" activeCellId="0" sqref="D16"/>
    </sheetView>
  </sheetViews>
  <sheetFormatPr defaultColWidth="8.71484375" defaultRowHeight="15" zeroHeight="false" outlineLevelRow="0" outlineLevelCol="0"/>
  <cols>
    <col collapsed="false" customWidth="true" hidden="false" outlineLevel="0" max="1" min="1" style="1" width="18"/>
    <col collapsed="false" customWidth="true" hidden="false" outlineLevel="0" max="2" min="2" style="1" width="8"/>
    <col collapsed="false" customWidth="true" hidden="false" outlineLevel="0" max="3" min="3" style="1" width="32"/>
    <col collapsed="false" customWidth="true" hidden="false" outlineLevel="0" max="4" min="4" style="1" width="13.15"/>
    <col collapsed="false" customWidth="true" hidden="false" outlineLevel="0" max="5" min="5" style="1" width="10"/>
    <col collapsed="false" customWidth="true" hidden="false" outlineLevel="0" max="6" min="6" style="1" width="11"/>
    <col collapsed="false" customWidth="true" hidden="false" outlineLevel="0" max="7" min="7" style="1" width="42.29"/>
    <col collapsed="false" customWidth="true" hidden="false" outlineLevel="0" max="9" min="8" style="1" width="14"/>
    <col collapsed="false" customWidth="true" hidden="false" outlineLevel="0" max="10" min="10" style="1" width="18.29"/>
    <col collapsed="false" customWidth="true" hidden="false" outlineLevel="0" max="11" min="11" style="1" width="15.14"/>
    <col collapsed="false" customWidth="true" hidden="false" outlineLevel="0" max="12" min="12" style="1" width="18.86"/>
    <col collapsed="false" customWidth="true" hidden="false" outlineLevel="0" max="13" min="13" style="1" width="18.42"/>
  </cols>
  <sheetData>
    <row r="1" customFormat="false" ht="30" hidden="false" customHeight="true" outlineLevel="0" collapsed="false">
      <c r="A1" s="11" t="s">
        <v>69</v>
      </c>
      <c r="B1" s="11" t="s">
        <v>70</v>
      </c>
      <c r="C1" s="11" t="s">
        <v>0</v>
      </c>
      <c r="D1" s="11" t="s">
        <v>71</v>
      </c>
      <c r="E1" s="11" t="s">
        <v>72</v>
      </c>
      <c r="F1" s="11" t="s">
        <v>73</v>
      </c>
      <c r="G1" s="11" t="s">
        <v>74</v>
      </c>
      <c r="H1" s="11" t="s">
        <v>75</v>
      </c>
      <c r="I1" s="11" t="s">
        <v>76</v>
      </c>
      <c r="J1" s="11" t="s">
        <v>77</v>
      </c>
      <c r="K1" s="11" t="s">
        <v>78</v>
      </c>
      <c r="L1" s="11" t="s">
        <v>79</v>
      </c>
      <c r="M1" s="11" t="s">
        <v>16</v>
      </c>
    </row>
    <row r="2" customFormat="false" ht="15" hidden="false" customHeight="true" outlineLevel="0" collapsed="false">
      <c r="A2" s="26" t="n">
        <v>46278</v>
      </c>
      <c r="B2" s="27" t="s">
        <v>80</v>
      </c>
      <c r="C2" s="27" t="s">
        <v>18</v>
      </c>
      <c r="D2" s="27" t="n">
        <v>49</v>
      </c>
      <c r="E2" s="27" t="s">
        <v>20</v>
      </c>
      <c r="F2" s="28" t="n">
        <f aca="false">IF(OR($D2="",$E2=""),"",IFERROR($D2*INDEX(Setup!$B$27:$B$44,MATCH($E2,Setup!$A$27:$A$44,0)),"TBD"))</f>
        <v>9800</v>
      </c>
      <c r="G2" s="27"/>
      <c r="H2" s="27"/>
      <c r="I2" s="27"/>
      <c r="J2" s="27"/>
      <c r="K2" s="27"/>
      <c r="L2" s="27"/>
      <c r="M2" s="29" t="s">
        <v>81</v>
      </c>
    </row>
    <row r="3" customFormat="false" ht="15" hidden="false" customHeight="true" outlineLevel="0" collapsed="false">
      <c r="A3" s="26" t="n">
        <v>46278</v>
      </c>
      <c r="B3" s="27" t="s">
        <v>80</v>
      </c>
      <c r="C3" s="27" t="s">
        <v>21</v>
      </c>
      <c r="D3" s="27" t="n">
        <v>6</v>
      </c>
      <c r="E3" s="27" t="s">
        <v>20</v>
      </c>
      <c r="F3" s="28" t="n">
        <f aca="false">IF(OR($D3="",$E3=""),"",IFERROR($D3*INDEX(Setup!$B$27:$B$44,MATCH($E3,Setup!$A$27:$A$44,0)),"TBD"))</f>
        <v>1200</v>
      </c>
      <c r="G3" s="27"/>
      <c r="H3" s="27"/>
      <c r="I3" s="27"/>
      <c r="J3" s="27"/>
      <c r="K3" s="27"/>
      <c r="L3" s="27"/>
      <c r="M3" s="29" t="s">
        <v>81</v>
      </c>
    </row>
    <row r="4" customFormat="false" ht="15" hidden="false" customHeight="true" outlineLevel="0" collapsed="false">
      <c r="A4" s="26" t="n">
        <v>46278</v>
      </c>
      <c r="B4" s="27" t="s">
        <v>80</v>
      </c>
      <c r="C4" s="27" t="s">
        <v>22</v>
      </c>
      <c r="D4" s="27" t="n">
        <v>8</v>
      </c>
      <c r="E4" s="27" t="s">
        <v>20</v>
      </c>
      <c r="F4" s="28" t="n">
        <f aca="false">IF(OR($D4="",$E4=""),"",IFERROR($D4*INDEX(Setup!$B$27:$B$44,MATCH($E4,Setup!$A$27:$A$44,0)),"TBD"))</f>
        <v>1600</v>
      </c>
      <c r="G4" s="27"/>
      <c r="H4" s="27"/>
      <c r="I4" s="27"/>
      <c r="J4" s="27"/>
      <c r="K4" s="27"/>
      <c r="L4" s="27"/>
      <c r="M4" s="29" t="s">
        <v>81</v>
      </c>
    </row>
    <row r="5" customFormat="false" ht="15" hidden="false" customHeight="true" outlineLevel="0" collapsed="false">
      <c r="A5" s="26" t="n">
        <v>46278</v>
      </c>
      <c r="B5" s="27" t="s">
        <v>80</v>
      </c>
      <c r="C5" s="27" t="s">
        <v>23</v>
      </c>
      <c r="D5" s="27" t="n">
        <v>40</v>
      </c>
      <c r="E5" s="27" t="s">
        <v>20</v>
      </c>
      <c r="F5" s="28" t="n">
        <f aca="false">IF(OR($D5="",$E5=""),"",IFERROR($D5*INDEX(Setup!$B$27:$B$44,MATCH($E5,Setup!$A$27:$A$44,0)),"TBD"))</f>
        <v>8000</v>
      </c>
      <c r="G5" s="27"/>
      <c r="H5" s="27"/>
      <c r="I5" s="27"/>
      <c r="J5" s="27"/>
      <c r="K5" s="27"/>
      <c r="L5" s="27"/>
      <c r="M5" s="29" t="s">
        <v>81</v>
      </c>
    </row>
    <row r="6" customFormat="false" ht="15" hidden="false" customHeight="true" outlineLevel="0" collapsed="false">
      <c r="A6" s="26" t="n">
        <v>46278</v>
      </c>
      <c r="B6" s="27" t="s">
        <v>80</v>
      </c>
      <c r="C6" s="27" t="s">
        <v>24</v>
      </c>
      <c r="D6" s="27" t="n">
        <v>4</v>
      </c>
      <c r="E6" s="27" t="s">
        <v>20</v>
      </c>
      <c r="F6" s="28" t="n">
        <f aca="false">IF(OR($D6="",$E6=""),"",IFERROR($D6*INDEX(Setup!$B$27:$B$44,MATCH($E6,Setup!$A$27:$A$44,0)),"TBD"))</f>
        <v>800</v>
      </c>
      <c r="G6" s="27"/>
      <c r="H6" s="27"/>
      <c r="I6" s="27"/>
      <c r="J6" s="27"/>
      <c r="K6" s="27"/>
      <c r="L6" s="27"/>
      <c r="M6" s="29" t="s">
        <v>81</v>
      </c>
    </row>
    <row r="7" customFormat="false" ht="15" hidden="false" customHeight="true" outlineLevel="0" collapsed="false">
      <c r="A7" s="26" t="n">
        <v>46278</v>
      </c>
      <c r="B7" s="27" t="s">
        <v>80</v>
      </c>
      <c r="C7" s="27" t="s">
        <v>28</v>
      </c>
      <c r="D7" s="27" t="n">
        <v>720</v>
      </c>
      <c r="E7" s="27" t="s">
        <v>30</v>
      </c>
      <c r="F7" s="28" t="n">
        <f aca="false">IF(OR($D7="",$E7=""),"",IFERROR($D7*INDEX(Setup!$B$27:$B$44,MATCH($E7,Setup!$A$27:$A$44,0)),"TBD"))</f>
        <v>720</v>
      </c>
      <c r="G7" s="27"/>
      <c r="H7" s="27"/>
      <c r="I7" s="27"/>
      <c r="J7" s="27"/>
      <c r="K7" s="27"/>
      <c r="L7" s="27"/>
      <c r="M7" s="29" t="s">
        <v>81</v>
      </c>
    </row>
    <row r="8" customFormat="false" ht="15" hidden="false" customHeight="true" outlineLevel="0" collapsed="false">
      <c r="A8" s="26" t="n">
        <v>46278</v>
      </c>
      <c r="B8" s="27" t="s">
        <v>80</v>
      </c>
      <c r="C8" s="27" t="s">
        <v>31</v>
      </c>
      <c r="D8" s="27" t="n">
        <v>23</v>
      </c>
      <c r="E8" s="27" t="s">
        <v>32</v>
      </c>
      <c r="F8" s="28" t="n">
        <f aca="false">IF(OR($D8="",$E8=""),"",IFERROR($D8*INDEX(Setup!$B$27:$B$44,MATCH($E8,Setup!$A$27:$A$44,0)),"TBD"))</f>
        <v>57.5</v>
      </c>
      <c r="G8" s="27"/>
      <c r="H8" s="27"/>
      <c r="I8" s="27"/>
      <c r="J8" s="27"/>
      <c r="K8" s="27"/>
      <c r="L8" s="27"/>
      <c r="M8" s="29" t="s">
        <v>81</v>
      </c>
    </row>
    <row r="9" customFormat="false" ht="15" hidden="false" customHeight="true" outlineLevel="0" collapsed="false">
      <c r="A9" s="26" t="n">
        <v>46278</v>
      </c>
      <c r="B9" s="27" t="s">
        <v>80</v>
      </c>
      <c r="C9" s="27" t="s">
        <v>33</v>
      </c>
      <c r="D9" s="27" t="n">
        <v>4</v>
      </c>
      <c r="E9" s="27" t="s">
        <v>35</v>
      </c>
      <c r="F9" s="28" t="n">
        <f aca="false">IF(OR($D9="",$E9=""),"",IFERROR($D9*INDEX(Setup!$B$27:$B$44,MATCH($E9,Setup!$A$27:$A$44,0)),"TBD"))</f>
        <v>10</v>
      </c>
      <c r="G9" s="27"/>
      <c r="H9" s="27"/>
      <c r="I9" s="27"/>
      <c r="J9" s="27"/>
      <c r="K9" s="27"/>
      <c r="L9" s="27"/>
      <c r="M9" s="29" t="s">
        <v>81</v>
      </c>
    </row>
    <row r="10" customFormat="false" ht="15" hidden="false" customHeight="true" outlineLevel="0" collapsed="false">
      <c r="A10" s="26" t="n">
        <v>46278</v>
      </c>
      <c r="B10" s="27" t="s">
        <v>80</v>
      </c>
      <c r="C10" s="27" t="s">
        <v>36</v>
      </c>
      <c r="D10" s="27" t="n">
        <v>24</v>
      </c>
      <c r="E10" s="27" t="s">
        <v>35</v>
      </c>
      <c r="F10" s="28" t="n">
        <f aca="false">IF(OR($D10="",$E10=""),"",IFERROR($D10*INDEX(Setup!$B$27:$B$44,MATCH($E10,Setup!$A$27:$A$44,0)),"TBD"))</f>
        <v>60</v>
      </c>
      <c r="G10" s="27"/>
      <c r="H10" s="27"/>
      <c r="I10" s="27"/>
      <c r="J10" s="27"/>
      <c r="K10" s="27"/>
      <c r="L10" s="27"/>
      <c r="M10" s="29" t="s">
        <v>81</v>
      </c>
    </row>
    <row r="11" customFormat="false" ht="15" hidden="false" customHeight="true" outlineLevel="0" collapsed="false">
      <c r="A11" s="26" t="n">
        <v>46278</v>
      </c>
      <c r="B11" s="27" t="s">
        <v>80</v>
      </c>
      <c r="C11" s="27" t="s">
        <v>37</v>
      </c>
      <c r="D11" s="27" t="n">
        <v>3</v>
      </c>
      <c r="E11" s="27" t="s">
        <v>35</v>
      </c>
      <c r="F11" s="28" t="n">
        <f aca="false">IF(OR($D11="",$E11=""),"",IFERROR($D11*INDEX(Setup!$B$27:$B$44,MATCH($E11,Setup!$A$27:$A$44,0)),"TBD"))</f>
        <v>7.5</v>
      </c>
      <c r="G11" s="27"/>
      <c r="H11" s="27"/>
      <c r="I11" s="27"/>
      <c r="J11" s="27"/>
      <c r="K11" s="27"/>
      <c r="L11" s="27"/>
      <c r="M11" s="29" t="s">
        <v>81</v>
      </c>
    </row>
    <row r="12" customFormat="false" ht="15" hidden="false" customHeight="true" outlineLevel="0" collapsed="false">
      <c r="A12" s="26" t="n">
        <v>46278</v>
      </c>
      <c r="B12" s="27" t="s">
        <v>80</v>
      </c>
      <c r="C12" s="27" t="s">
        <v>38</v>
      </c>
      <c r="D12" s="27" t="n">
        <v>14</v>
      </c>
      <c r="E12" s="27" t="s">
        <v>35</v>
      </c>
      <c r="F12" s="28" t="n">
        <f aca="false">IF(OR($D12="",$E12=""),"",IFERROR($D12*INDEX(Setup!$B$27:$B$44,MATCH($E12,Setup!$A$27:$A$44,0)),"TBD"))</f>
        <v>35</v>
      </c>
      <c r="G12" s="27"/>
      <c r="H12" s="27"/>
      <c r="I12" s="27"/>
      <c r="J12" s="27"/>
      <c r="K12" s="27"/>
      <c r="L12" s="27"/>
      <c r="M12" s="29" t="s">
        <v>81</v>
      </c>
    </row>
    <row r="13" customFormat="false" ht="15" hidden="false" customHeight="true" outlineLevel="0" collapsed="false">
      <c r="A13" s="26" t="n">
        <v>46278</v>
      </c>
      <c r="B13" s="27" t="s">
        <v>80</v>
      </c>
      <c r="C13" s="27" t="s">
        <v>39</v>
      </c>
      <c r="D13" s="27" t="n">
        <v>15</v>
      </c>
      <c r="E13" s="27" t="s">
        <v>35</v>
      </c>
      <c r="F13" s="28" t="n">
        <f aca="false">IF(OR($D13="",$E13=""),"",IFERROR($D13*INDEX(Setup!$B$27:$B$44,MATCH($E13,Setup!$A$27:$A$44,0)),"TBD"))</f>
        <v>37.5</v>
      </c>
      <c r="G13" s="27"/>
      <c r="H13" s="27"/>
      <c r="I13" s="27"/>
      <c r="J13" s="27"/>
      <c r="K13" s="27"/>
      <c r="L13" s="27"/>
      <c r="M13" s="29" t="s">
        <v>81</v>
      </c>
    </row>
    <row r="14" customFormat="false" ht="15" hidden="false" customHeight="true" outlineLevel="0" collapsed="false">
      <c r="A14" s="26" t="n">
        <v>46278</v>
      </c>
      <c r="B14" s="27" t="s">
        <v>80</v>
      </c>
      <c r="C14" s="27" t="s">
        <v>40</v>
      </c>
      <c r="D14" s="27" t="n">
        <v>23</v>
      </c>
      <c r="E14" s="27" t="s">
        <v>35</v>
      </c>
      <c r="F14" s="28" t="n">
        <f aca="false">IF(OR($D14="",$E14=""),"",IFERROR($D14*INDEX(Setup!$B$27:$B$44,MATCH($E14,Setup!$A$27:$A$44,0)),"TBD"))</f>
        <v>57.5</v>
      </c>
      <c r="G14" s="27"/>
      <c r="H14" s="27"/>
      <c r="I14" s="27"/>
      <c r="J14" s="27"/>
      <c r="K14" s="27"/>
      <c r="L14" s="27"/>
      <c r="M14" s="29" t="s">
        <v>81</v>
      </c>
    </row>
    <row r="15" customFormat="false" ht="15" hidden="false" customHeight="true" outlineLevel="0" collapsed="false">
      <c r="A15" s="26" t="n">
        <v>46278</v>
      </c>
      <c r="B15" s="27" t="s">
        <v>80</v>
      </c>
      <c r="C15" s="27" t="s">
        <v>41</v>
      </c>
      <c r="D15" s="27" t="n">
        <v>2</v>
      </c>
      <c r="E15" s="27" t="s">
        <v>35</v>
      </c>
      <c r="F15" s="28" t="n">
        <f aca="false">IF(OR($D15="",$E15=""),"",IFERROR($D15*INDEX(Setup!$B$27:$B$44,MATCH($E15,Setup!$A$27:$A$44,0)),"TBD"))</f>
        <v>5</v>
      </c>
      <c r="G15" s="27"/>
      <c r="H15" s="27"/>
      <c r="I15" s="27"/>
      <c r="J15" s="27"/>
      <c r="K15" s="27"/>
      <c r="L15" s="27"/>
      <c r="M15" s="29" t="s">
        <v>81</v>
      </c>
    </row>
    <row r="16" customFormat="false" ht="15" hidden="false" customHeight="true" outlineLevel="0" collapsed="false">
      <c r="A16" s="26" t="n">
        <v>46278</v>
      </c>
      <c r="B16" s="27" t="s">
        <v>80</v>
      </c>
      <c r="C16" s="27" t="s">
        <v>25</v>
      </c>
      <c r="D16" s="27" t="n">
        <v>4</v>
      </c>
      <c r="E16" s="27" t="s">
        <v>20</v>
      </c>
      <c r="F16" s="28" t="n">
        <f aca="false">IF(OR($D16="",$E16=""),"",IFERROR($D16*INDEX(Setup!$B$27:$B$44,MATCH($E16,Setup!$A$27:$A$44,0)),"TBD"))</f>
        <v>800</v>
      </c>
      <c r="G16" s="27"/>
      <c r="H16" s="27" t="s">
        <v>82</v>
      </c>
      <c r="I16" s="27"/>
      <c r="J16" s="30" t="n">
        <v>46283</v>
      </c>
      <c r="K16" s="27" t="s">
        <v>83</v>
      </c>
      <c r="L16" s="27"/>
      <c r="M16" s="29"/>
    </row>
    <row r="17" customFormat="false" ht="15" hidden="false" customHeight="true" outlineLevel="0" collapsed="false">
      <c r="A17" s="26" t="n">
        <v>46278</v>
      </c>
      <c r="B17" s="27" t="s">
        <v>80</v>
      </c>
      <c r="C17" s="27" t="s">
        <v>26</v>
      </c>
      <c r="D17" s="27" t="n">
        <v>90</v>
      </c>
      <c r="E17" s="27" t="s">
        <v>20</v>
      </c>
      <c r="F17" s="28" t="n">
        <f aca="false">IF(OR($D17="",$E17=""),"",IFERROR($D17*INDEX(Setup!$B$27:$B$44,MATCH($E17,Setup!$A$27:$A$44,0)),"TBD"))</f>
        <v>18000</v>
      </c>
      <c r="G17" s="27"/>
      <c r="H17" s="27" t="s">
        <v>84</v>
      </c>
      <c r="I17" s="27"/>
      <c r="J17" s="30" t="n">
        <v>46283</v>
      </c>
      <c r="K17" s="27" t="s">
        <v>83</v>
      </c>
      <c r="L17" s="27"/>
      <c r="M17" s="29"/>
    </row>
    <row r="18" customFormat="false" ht="15" hidden="false" customHeight="true" outlineLevel="0" collapsed="false">
      <c r="A18" s="31" t="n">
        <v>46278.4166666667</v>
      </c>
      <c r="B18" s="32" t="s">
        <v>85</v>
      </c>
      <c r="C18" s="32" t="s">
        <v>18</v>
      </c>
      <c r="D18" s="33" t="n">
        <v>4</v>
      </c>
      <c r="E18" s="34" t="s">
        <v>20</v>
      </c>
      <c r="F18" s="28" t="n">
        <f aca="false">IF(OR($D18="",$E18=""),"",IFERROR($D18*INDEX(Setup!$B$27:$B$44,MATCH($E18,Setup!$A$27:$A$44,0)),"TBD"))</f>
        <v>800</v>
      </c>
      <c r="G18" s="32" t="s">
        <v>50</v>
      </c>
      <c r="H18" s="32"/>
      <c r="I18" s="32"/>
      <c r="J18" s="32"/>
      <c r="K18" s="35"/>
      <c r="L18" s="32"/>
      <c r="M18" s="32"/>
    </row>
    <row r="19" customFormat="false" ht="15" hidden="false" customHeight="true" outlineLevel="0" collapsed="false">
      <c r="A19" s="31" t="n">
        <v>46278.4166666667</v>
      </c>
      <c r="B19" s="32" t="s">
        <v>85</v>
      </c>
      <c r="C19" s="32" t="s">
        <v>22</v>
      </c>
      <c r="D19" s="33" t="n">
        <v>4</v>
      </c>
      <c r="E19" s="34" t="s">
        <v>20</v>
      </c>
      <c r="F19" s="28" t="n">
        <f aca="false">IF(OR($D19="",$E19=""),"",IFERROR($D19*INDEX(Setup!$B$27:$B$44,MATCH($E19,Setup!$A$27:$A$44,0)),"TBD"))</f>
        <v>800</v>
      </c>
      <c r="G19" s="32" t="s">
        <v>52</v>
      </c>
      <c r="H19" s="32"/>
      <c r="I19" s="32"/>
      <c r="J19" s="32"/>
      <c r="K19" s="35"/>
      <c r="L19" s="32"/>
      <c r="M19" s="32"/>
    </row>
    <row r="20" customFormat="false" ht="15" hidden="false" customHeight="true" outlineLevel="0" collapsed="false">
      <c r="A20" s="32"/>
      <c r="B20" s="32"/>
      <c r="C20" s="32"/>
      <c r="D20" s="32"/>
      <c r="E20" s="34" t="str">
        <f aca="false">IF($B20="","",IF($B20="OUT","Liters",IFERROR(INDEX(Setup!$F$3:$F$24,MATCH($C20,Setup!$A$3:$A$24,0)),"")))</f>
        <v/>
      </c>
      <c r="F20" s="28" t="str">
        <f aca="false">IF(OR($D20="",$E20=""),"",IFERROR($D20*INDEX(Setup!$B$27:$B$44,MATCH($E20,Setup!$A$27:$A$44,0)),"TBD"))</f>
        <v/>
      </c>
      <c r="G20" s="32"/>
      <c r="H20" s="32"/>
      <c r="I20" s="32"/>
      <c r="J20" s="32"/>
      <c r="K20" s="35"/>
      <c r="L20" s="32"/>
      <c r="M20" s="32"/>
    </row>
    <row r="21" customFormat="false" ht="15" hidden="false" customHeight="true" outlineLevel="0" collapsed="false">
      <c r="A21" s="32"/>
      <c r="B21" s="32"/>
      <c r="C21" s="32"/>
      <c r="D21" s="32"/>
      <c r="E21" s="34" t="str">
        <f aca="false">IF($B21="","",IF($B21="OUT","Liters",IFERROR(INDEX(Setup!$F$3:$F$24,MATCH($C21,Setup!$A$3:$A$24,0)),"")))</f>
        <v/>
      </c>
      <c r="F21" s="28" t="str">
        <f aca="false">IF(OR($D21="",$E21=""),"",IFERROR($D21*INDEX(Setup!$B$27:$B$44,MATCH($E21,Setup!$A$27:$A$44,0)),"TBD"))</f>
        <v/>
      </c>
      <c r="G21" s="32"/>
      <c r="H21" s="32"/>
      <c r="I21" s="32"/>
      <c r="J21" s="32"/>
      <c r="K21" s="35"/>
      <c r="L21" s="32"/>
      <c r="M21" s="32"/>
    </row>
    <row r="22" customFormat="false" ht="15" hidden="false" customHeight="true" outlineLevel="0" collapsed="false">
      <c r="A22" s="32"/>
      <c r="B22" s="32"/>
      <c r="C22" s="32"/>
      <c r="D22" s="32"/>
      <c r="E22" s="34" t="str">
        <f aca="false">IF($B22="","",IF($B22="OUT","Liters",IFERROR(INDEX(Setup!$F$3:$F$24,MATCH($C22,Setup!$A$3:$A$24,0)),"")))</f>
        <v/>
      </c>
      <c r="F22" s="28" t="str">
        <f aca="false">IF(OR($D22="",$E22=""),"",IFERROR($D22*INDEX(Setup!$B$27:$B$44,MATCH($E22,Setup!$A$27:$A$44,0)),"TBD"))</f>
        <v/>
      </c>
      <c r="G22" s="32"/>
      <c r="H22" s="32"/>
      <c r="I22" s="32"/>
      <c r="J22" s="32"/>
      <c r="K22" s="35"/>
      <c r="L22" s="32"/>
      <c r="M22" s="32"/>
    </row>
    <row r="23" customFormat="false" ht="15" hidden="false" customHeight="true" outlineLevel="0" collapsed="false">
      <c r="A23" s="32"/>
      <c r="B23" s="32"/>
      <c r="C23" s="32"/>
      <c r="D23" s="32"/>
      <c r="E23" s="34" t="str">
        <f aca="false">IF($B23="","",IF($B23="OUT","Liters",IFERROR(INDEX(Setup!$F$3:$F$24,MATCH($C23,Setup!$A$3:$A$24,0)),"")))</f>
        <v/>
      </c>
      <c r="F23" s="28" t="str">
        <f aca="false">IF(OR($D23="",$E23=""),"",IFERROR($D23*INDEX(Setup!$B$27:$B$44,MATCH($E23,Setup!$A$27:$A$44,0)),"TBD"))</f>
        <v/>
      </c>
      <c r="G23" s="32"/>
      <c r="H23" s="32"/>
      <c r="I23" s="32"/>
      <c r="J23" s="32"/>
      <c r="K23" s="35"/>
      <c r="L23" s="32"/>
      <c r="M23" s="32"/>
    </row>
    <row r="24" customFormat="false" ht="15" hidden="false" customHeight="true" outlineLevel="0" collapsed="false">
      <c r="A24" s="32"/>
      <c r="B24" s="32"/>
      <c r="C24" s="32"/>
      <c r="D24" s="32"/>
      <c r="E24" s="34" t="str">
        <f aca="false">IF($B24="","",IF($B24="OUT","Liters",IFERROR(INDEX(Setup!$F$3:$F$24,MATCH($C24,Setup!$A$3:$A$24,0)),"")))</f>
        <v/>
      </c>
      <c r="F24" s="28" t="str">
        <f aca="false">IF(OR($D24="",$E24=""),"",IFERROR($D24*INDEX(Setup!$B$27:$B$44,MATCH($E24,Setup!$A$27:$A$44,0)),"TBD"))</f>
        <v/>
      </c>
      <c r="G24" s="32"/>
      <c r="H24" s="32"/>
      <c r="I24" s="32"/>
      <c r="J24" s="32"/>
      <c r="K24" s="35"/>
      <c r="L24" s="32"/>
      <c r="M24" s="32"/>
    </row>
    <row r="25" customFormat="false" ht="15" hidden="false" customHeight="true" outlineLevel="0" collapsed="false">
      <c r="A25" s="32"/>
      <c r="B25" s="32"/>
      <c r="C25" s="32"/>
      <c r="D25" s="32"/>
      <c r="E25" s="34" t="str">
        <f aca="false">IF($B25="","",IF($B25="OUT","Liters",IFERROR(INDEX(Setup!$F$3:$F$24,MATCH($C25,Setup!$A$3:$A$24,0)),"")))</f>
        <v/>
      </c>
      <c r="F25" s="28" t="str">
        <f aca="false">IF(OR($D25="",$E25=""),"",IFERROR($D25*INDEX(Setup!$B$27:$B$44,MATCH($E25,Setup!$A$27:$A$44,0)),"TBD"))</f>
        <v/>
      </c>
      <c r="G25" s="32"/>
      <c r="H25" s="32"/>
      <c r="I25" s="32"/>
      <c r="J25" s="32"/>
      <c r="K25" s="35"/>
      <c r="L25" s="32"/>
      <c r="M25" s="32"/>
    </row>
    <row r="26" customFormat="false" ht="15" hidden="false" customHeight="true" outlineLevel="0" collapsed="false">
      <c r="A26" s="32"/>
      <c r="B26" s="32"/>
      <c r="C26" s="32"/>
      <c r="D26" s="32"/>
      <c r="E26" s="34" t="str">
        <f aca="false">IF($B26="","",IF($B26="OUT","Liters",IFERROR(INDEX(Setup!$F$3:$F$24,MATCH($C26,Setup!$A$3:$A$24,0)),"")))</f>
        <v/>
      </c>
      <c r="F26" s="28" t="str">
        <f aca="false">IF(OR($D26="",$E26=""),"",IFERROR($D26*INDEX(Setup!$B$27:$B$44,MATCH($E26,Setup!$A$27:$A$44,0)),"TBD"))</f>
        <v/>
      </c>
      <c r="G26" s="32"/>
      <c r="H26" s="32"/>
      <c r="I26" s="32"/>
      <c r="J26" s="32"/>
      <c r="K26" s="35"/>
      <c r="L26" s="32"/>
      <c r="M26" s="32"/>
    </row>
    <row r="27" customFormat="false" ht="15" hidden="false" customHeight="true" outlineLevel="0" collapsed="false">
      <c r="A27" s="32"/>
      <c r="B27" s="32"/>
      <c r="C27" s="32"/>
      <c r="D27" s="32"/>
      <c r="E27" s="34" t="str">
        <f aca="false">IF($B27="","",IF($B27="OUT","Liters",IFERROR(INDEX(Setup!$F$3:$F$24,MATCH($C27,Setup!$A$3:$A$24,0)),"")))</f>
        <v/>
      </c>
      <c r="F27" s="28" t="str">
        <f aca="false">IF(OR($D27="",$E27=""),"",IFERROR($D27*INDEX(Setup!$B$27:$B$44,MATCH($E27,Setup!$A$27:$A$44,0)),"TBD"))</f>
        <v/>
      </c>
      <c r="G27" s="32"/>
      <c r="H27" s="32"/>
      <c r="I27" s="32"/>
      <c r="J27" s="32"/>
      <c r="K27" s="35"/>
      <c r="L27" s="32"/>
      <c r="M27" s="32"/>
    </row>
    <row r="28" customFormat="false" ht="15" hidden="false" customHeight="true" outlineLevel="0" collapsed="false">
      <c r="A28" s="32"/>
      <c r="B28" s="32"/>
      <c r="C28" s="32"/>
      <c r="D28" s="32"/>
      <c r="E28" s="34" t="str">
        <f aca="false">IF($B28="","",IF($B28="OUT","Liters",IFERROR(INDEX(Setup!$F$3:$F$24,MATCH($C28,Setup!$A$3:$A$24,0)),"")))</f>
        <v/>
      </c>
      <c r="F28" s="28" t="str">
        <f aca="false">IF(OR($D28="",$E28=""),"",IFERROR($D28*INDEX(Setup!$B$27:$B$44,MATCH($E28,Setup!$A$27:$A$44,0)),"TBD"))</f>
        <v/>
      </c>
      <c r="G28" s="32"/>
      <c r="H28" s="32"/>
      <c r="I28" s="32"/>
      <c r="J28" s="32"/>
      <c r="K28" s="35"/>
      <c r="L28" s="32"/>
      <c r="M28" s="32"/>
    </row>
    <row r="29" customFormat="false" ht="15" hidden="false" customHeight="true" outlineLevel="0" collapsed="false">
      <c r="A29" s="32"/>
      <c r="B29" s="32"/>
      <c r="C29" s="32"/>
      <c r="D29" s="32"/>
      <c r="E29" s="34" t="str">
        <f aca="false">IF($B29="","",IF($B29="OUT","Liters",IFERROR(INDEX(Setup!$F$3:$F$24,MATCH($C29,Setup!$A$3:$A$24,0)),"")))</f>
        <v/>
      </c>
      <c r="F29" s="28" t="str">
        <f aca="false">IF(OR($D29="",$E29=""),"",IFERROR($D29*INDEX(Setup!$B$27:$B$44,MATCH($E29,Setup!$A$27:$A$44,0)),"TBD"))</f>
        <v/>
      </c>
      <c r="G29" s="32"/>
      <c r="H29" s="32"/>
      <c r="I29" s="32"/>
      <c r="J29" s="32"/>
      <c r="K29" s="35"/>
      <c r="L29" s="32"/>
      <c r="M29" s="32"/>
    </row>
    <row r="30" customFormat="false" ht="15" hidden="false" customHeight="true" outlineLevel="0" collapsed="false">
      <c r="A30" s="32"/>
      <c r="B30" s="32"/>
      <c r="C30" s="32"/>
      <c r="D30" s="32"/>
      <c r="E30" s="34" t="str">
        <f aca="false">IF($B30="","",IF($B30="OUT","Liters",IFERROR(INDEX(Setup!$F$3:$F$24,MATCH($C30,Setup!$A$3:$A$24,0)),"")))</f>
        <v/>
      </c>
      <c r="F30" s="28" t="str">
        <f aca="false">IF(OR($D30="",$E30=""),"",IFERROR($D30*INDEX(Setup!$B$27:$B$44,MATCH($E30,Setup!$A$27:$A$44,0)),"TBD"))</f>
        <v/>
      </c>
      <c r="G30" s="32"/>
      <c r="H30" s="32"/>
      <c r="I30" s="32"/>
      <c r="J30" s="32"/>
      <c r="K30" s="35"/>
      <c r="L30" s="32"/>
      <c r="M30" s="32"/>
    </row>
    <row r="31" customFormat="false" ht="15" hidden="false" customHeight="true" outlineLevel="0" collapsed="false">
      <c r="A31" s="32"/>
      <c r="B31" s="32"/>
      <c r="C31" s="32"/>
      <c r="D31" s="32"/>
      <c r="E31" s="34" t="str">
        <f aca="false">IF($B31="","",IF($B31="OUT","Liters",IFERROR(INDEX(Setup!$F$3:$F$24,MATCH($C31,Setup!$A$3:$A$24,0)),"")))</f>
        <v/>
      </c>
      <c r="F31" s="28" t="str">
        <f aca="false">IF(OR($D31="",$E31=""),"",IFERROR($D31*INDEX(Setup!$B$27:$B$44,MATCH($E31,Setup!$A$27:$A$44,0)),"TBD"))</f>
        <v/>
      </c>
      <c r="G31" s="32"/>
      <c r="H31" s="32"/>
      <c r="I31" s="32"/>
      <c r="J31" s="32"/>
      <c r="K31" s="35"/>
      <c r="L31" s="32"/>
      <c r="M31" s="32"/>
    </row>
    <row r="32" customFormat="false" ht="15" hidden="false" customHeight="true" outlineLevel="0" collapsed="false">
      <c r="A32" s="32"/>
      <c r="B32" s="32"/>
      <c r="C32" s="32"/>
      <c r="D32" s="32"/>
      <c r="E32" s="34" t="str">
        <f aca="false">IF($B32="","",IF($B32="OUT","Liters",IFERROR(INDEX(Setup!$F$3:$F$24,MATCH($C32,Setup!$A$3:$A$24,0)),"")))</f>
        <v/>
      </c>
      <c r="F32" s="28" t="str">
        <f aca="false">IF(OR($D32="",$E32=""),"",IFERROR($D32*INDEX(Setup!$B$27:$B$44,MATCH($E32,Setup!$A$27:$A$44,0)),"TBD"))</f>
        <v/>
      </c>
      <c r="G32" s="32"/>
      <c r="H32" s="32"/>
      <c r="I32" s="32"/>
      <c r="J32" s="32"/>
      <c r="K32" s="35"/>
      <c r="L32" s="32"/>
      <c r="M32" s="32"/>
    </row>
    <row r="33" customFormat="false" ht="15" hidden="false" customHeight="true" outlineLevel="0" collapsed="false">
      <c r="A33" s="32"/>
      <c r="B33" s="32"/>
      <c r="C33" s="32"/>
      <c r="D33" s="32"/>
      <c r="E33" s="34" t="str">
        <f aca="false">IF($B33="","",IF($B33="OUT","Liters",IFERROR(INDEX(Setup!$F$3:$F$24,MATCH($C33,Setup!$A$3:$A$24,0)),"")))</f>
        <v/>
      </c>
      <c r="F33" s="28" t="str">
        <f aca="false">IF(OR($D33="",$E33=""),"",IFERROR($D33*INDEX(Setup!$B$27:$B$44,MATCH($E33,Setup!$A$27:$A$44,0)),"TBD"))</f>
        <v/>
      </c>
      <c r="G33" s="32"/>
      <c r="H33" s="32"/>
      <c r="I33" s="32"/>
      <c r="J33" s="32"/>
      <c r="K33" s="35"/>
      <c r="L33" s="32"/>
      <c r="M33" s="32"/>
    </row>
    <row r="34" customFormat="false" ht="15" hidden="false" customHeight="true" outlineLevel="0" collapsed="false">
      <c r="A34" s="32"/>
      <c r="B34" s="32"/>
      <c r="C34" s="32"/>
      <c r="D34" s="32"/>
      <c r="E34" s="34" t="str">
        <f aca="false">IF($B34="","",IF($B34="OUT","Liters",IFERROR(INDEX(Setup!$F$3:$F$24,MATCH($C34,Setup!$A$3:$A$24,0)),"")))</f>
        <v/>
      </c>
      <c r="F34" s="28" t="str">
        <f aca="false">IF(OR($D34="",$E34=""),"",IFERROR($D34*INDEX(Setup!$B$27:$B$44,MATCH($E34,Setup!$A$27:$A$44,0)),"TBD"))</f>
        <v/>
      </c>
      <c r="G34" s="32"/>
      <c r="H34" s="32"/>
      <c r="I34" s="32"/>
      <c r="J34" s="32"/>
      <c r="K34" s="35"/>
      <c r="L34" s="32"/>
      <c r="M34" s="32"/>
    </row>
    <row r="35" customFormat="false" ht="15" hidden="false" customHeight="true" outlineLevel="0" collapsed="false">
      <c r="A35" s="32"/>
      <c r="B35" s="32"/>
      <c r="C35" s="32"/>
      <c r="D35" s="32"/>
      <c r="E35" s="34" t="str">
        <f aca="false">IF($B35="","",IF($B35="OUT","Liters",IFERROR(INDEX(Setup!$F$3:$F$24,MATCH($C35,Setup!$A$3:$A$24,0)),"")))</f>
        <v/>
      </c>
      <c r="F35" s="28" t="str">
        <f aca="false">IF(OR($D35="",$E35=""),"",IFERROR($D35*INDEX(Setup!$B$27:$B$44,MATCH($E35,Setup!$A$27:$A$44,0)),"TBD"))</f>
        <v/>
      </c>
      <c r="G35" s="32"/>
      <c r="H35" s="32"/>
      <c r="I35" s="32"/>
      <c r="J35" s="32"/>
      <c r="K35" s="35"/>
      <c r="L35" s="32"/>
      <c r="M35" s="32"/>
    </row>
    <row r="36" customFormat="false" ht="15" hidden="false" customHeight="true" outlineLevel="0" collapsed="false">
      <c r="A36" s="32"/>
      <c r="B36" s="32"/>
      <c r="C36" s="32"/>
      <c r="D36" s="32"/>
      <c r="E36" s="34" t="str">
        <f aca="false">IF($B36="","",IF($B36="OUT","Liters",IFERROR(INDEX(Setup!$F$3:$F$24,MATCH($C36,Setup!$A$3:$A$24,0)),"")))</f>
        <v/>
      </c>
      <c r="F36" s="28" t="str">
        <f aca="false">IF(OR($D36="",$E36=""),"",IFERROR($D36*INDEX(Setup!$B$27:$B$44,MATCH($E36,Setup!$A$27:$A$44,0)),"TBD"))</f>
        <v/>
      </c>
      <c r="G36" s="32"/>
      <c r="H36" s="32"/>
      <c r="I36" s="32"/>
      <c r="J36" s="32"/>
      <c r="K36" s="35"/>
      <c r="L36" s="32"/>
      <c r="M36" s="32"/>
    </row>
    <row r="37" customFormat="false" ht="15" hidden="false" customHeight="true" outlineLevel="0" collapsed="false">
      <c r="A37" s="32"/>
      <c r="B37" s="32"/>
      <c r="C37" s="32"/>
      <c r="D37" s="32"/>
      <c r="E37" s="34" t="str">
        <f aca="false">IF($B37="","",IF($B37="OUT","Liters",IFERROR(INDEX(Setup!$F$3:$F$24,MATCH($C37,Setup!$A$3:$A$24,0)),"")))</f>
        <v/>
      </c>
      <c r="F37" s="28" t="str">
        <f aca="false">IF(OR($D37="",$E37=""),"",IFERROR($D37*INDEX(Setup!$B$27:$B$44,MATCH($E37,Setup!$A$27:$A$44,0)),"TBD"))</f>
        <v/>
      </c>
      <c r="G37" s="32"/>
      <c r="H37" s="32"/>
      <c r="I37" s="32"/>
      <c r="J37" s="32"/>
      <c r="K37" s="35"/>
      <c r="L37" s="32"/>
      <c r="M37" s="32"/>
    </row>
    <row r="38" customFormat="false" ht="15" hidden="false" customHeight="true" outlineLevel="0" collapsed="false">
      <c r="A38" s="32"/>
      <c r="B38" s="32"/>
      <c r="C38" s="32"/>
      <c r="D38" s="32"/>
      <c r="E38" s="34" t="str">
        <f aca="false">IF($B38="","",IF($B38="OUT","Liters",IFERROR(INDEX(Setup!$F$3:$F$24,MATCH($C38,Setup!$A$3:$A$24,0)),"")))</f>
        <v/>
      </c>
      <c r="F38" s="28" t="str">
        <f aca="false">IF(OR($D38="",$E38=""),"",IFERROR($D38*INDEX(Setup!$B$27:$B$44,MATCH($E38,Setup!$A$27:$A$44,0)),"TBD"))</f>
        <v/>
      </c>
      <c r="G38" s="32"/>
      <c r="H38" s="32"/>
      <c r="I38" s="32"/>
      <c r="J38" s="32"/>
      <c r="K38" s="35"/>
      <c r="L38" s="32"/>
      <c r="M38" s="32"/>
    </row>
    <row r="39" customFormat="false" ht="15" hidden="false" customHeight="true" outlineLevel="0" collapsed="false">
      <c r="A39" s="32"/>
      <c r="B39" s="32"/>
      <c r="C39" s="32"/>
      <c r="D39" s="32"/>
      <c r="E39" s="34" t="str">
        <f aca="false">IF($B39="","",IF($B39="OUT","Liters",IFERROR(INDEX(Setup!$F$3:$F$24,MATCH($C39,Setup!$A$3:$A$24,0)),"")))</f>
        <v/>
      </c>
      <c r="F39" s="28" t="str">
        <f aca="false">IF(OR($D39="",$E39=""),"",IFERROR($D39*INDEX(Setup!$B$27:$B$44,MATCH($E39,Setup!$A$27:$A$44,0)),"TBD"))</f>
        <v/>
      </c>
      <c r="G39" s="32"/>
      <c r="H39" s="32"/>
      <c r="I39" s="32"/>
      <c r="J39" s="32"/>
      <c r="K39" s="35"/>
      <c r="L39" s="32"/>
      <c r="M39" s="32"/>
    </row>
    <row r="40" customFormat="false" ht="15" hidden="false" customHeight="true" outlineLevel="0" collapsed="false">
      <c r="A40" s="32"/>
      <c r="B40" s="32"/>
      <c r="C40" s="32"/>
      <c r="D40" s="32"/>
      <c r="E40" s="34" t="str">
        <f aca="false">IF($B40="","",IF($B40="OUT","Liters",IFERROR(INDEX(Setup!$F$3:$F$24,MATCH($C40,Setup!$A$3:$A$24,0)),"")))</f>
        <v/>
      </c>
      <c r="F40" s="28" t="str">
        <f aca="false">IF(OR($D40="",$E40=""),"",IFERROR($D40*INDEX(Setup!$B$27:$B$44,MATCH($E40,Setup!$A$27:$A$44,0)),"TBD"))</f>
        <v/>
      </c>
      <c r="G40" s="32"/>
      <c r="H40" s="32"/>
      <c r="I40" s="32"/>
      <c r="J40" s="32"/>
      <c r="K40" s="35"/>
      <c r="L40" s="32"/>
      <c r="M40" s="32"/>
    </row>
    <row r="41" customFormat="false" ht="15" hidden="false" customHeight="true" outlineLevel="0" collapsed="false">
      <c r="A41" s="32"/>
      <c r="B41" s="32"/>
      <c r="C41" s="32"/>
      <c r="D41" s="32"/>
      <c r="E41" s="34" t="str">
        <f aca="false">IF($B41="","",IF($B41="OUT","Liters",IFERROR(INDEX(Setup!$F$3:$F$24,MATCH($C41,Setup!$A$3:$A$24,0)),"")))</f>
        <v/>
      </c>
      <c r="F41" s="28" t="str">
        <f aca="false">IF(OR($D41="",$E41=""),"",IFERROR($D41*INDEX(Setup!$B$27:$B$44,MATCH($E41,Setup!$A$27:$A$44,0)),"TBD"))</f>
        <v/>
      </c>
      <c r="G41" s="32"/>
      <c r="H41" s="32"/>
      <c r="I41" s="32"/>
      <c r="J41" s="32"/>
      <c r="K41" s="35"/>
      <c r="L41" s="32"/>
      <c r="M41" s="32"/>
    </row>
    <row r="42" customFormat="false" ht="15" hidden="false" customHeight="true" outlineLevel="0" collapsed="false">
      <c r="A42" s="32"/>
      <c r="B42" s="32"/>
      <c r="C42" s="32"/>
      <c r="D42" s="32"/>
      <c r="E42" s="34" t="str">
        <f aca="false">IF($B42="","",IF($B42="OUT","Liters",IFERROR(INDEX(Setup!$F$3:$F$24,MATCH($C42,Setup!$A$3:$A$24,0)),"")))</f>
        <v/>
      </c>
      <c r="F42" s="28" t="str">
        <f aca="false">IF(OR($D42="",$E42=""),"",IFERROR($D42*INDEX(Setup!$B$27:$B$44,MATCH($E42,Setup!$A$27:$A$44,0)),"TBD"))</f>
        <v/>
      </c>
      <c r="G42" s="32"/>
      <c r="H42" s="32"/>
      <c r="I42" s="32"/>
      <c r="J42" s="32"/>
      <c r="K42" s="35"/>
      <c r="L42" s="32"/>
      <c r="M42" s="32"/>
    </row>
    <row r="43" customFormat="false" ht="15" hidden="false" customHeight="true" outlineLevel="0" collapsed="false">
      <c r="A43" s="32"/>
      <c r="B43" s="32"/>
      <c r="C43" s="32"/>
      <c r="D43" s="32"/>
      <c r="E43" s="34" t="str">
        <f aca="false">IF($B43="","",IF($B43="OUT","Liters",IFERROR(INDEX(Setup!$F$3:$F$24,MATCH($C43,Setup!$A$3:$A$24,0)),"")))</f>
        <v/>
      </c>
      <c r="F43" s="28" t="str">
        <f aca="false">IF(OR($D43="",$E43=""),"",IFERROR($D43*INDEX(Setup!$B$27:$B$44,MATCH($E43,Setup!$A$27:$A$44,0)),"TBD"))</f>
        <v/>
      </c>
      <c r="G43" s="32"/>
      <c r="H43" s="32"/>
      <c r="I43" s="32"/>
      <c r="J43" s="32"/>
      <c r="K43" s="35"/>
      <c r="L43" s="32"/>
      <c r="M43" s="32"/>
    </row>
    <row r="44" customFormat="false" ht="15" hidden="false" customHeight="true" outlineLevel="0" collapsed="false">
      <c r="A44" s="32"/>
      <c r="B44" s="32"/>
      <c r="C44" s="32"/>
      <c r="D44" s="32"/>
      <c r="E44" s="34" t="str">
        <f aca="false">IF($B44="","",IF($B44="OUT","Liters",IFERROR(INDEX(Setup!$F$3:$F$24,MATCH($C44,Setup!$A$3:$A$24,0)),"")))</f>
        <v/>
      </c>
      <c r="F44" s="28" t="str">
        <f aca="false">IF(OR($D44="",$E44=""),"",IFERROR($D44*INDEX(Setup!$B$27:$B$44,MATCH($E44,Setup!$A$27:$A$44,0)),"TBD"))</f>
        <v/>
      </c>
      <c r="G44" s="32"/>
      <c r="H44" s="32"/>
      <c r="I44" s="32"/>
      <c r="J44" s="32"/>
      <c r="K44" s="35"/>
      <c r="L44" s="32"/>
      <c r="M44" s="32"/>
    </row>
    <row r="45" customFormat="false" ht="15" hidden="false" customHeight="true" outlineLevel="0" collapsed="false">
      <c r="A45" s="32"/>
      <c r="B45" s="32"/>
      <c r="C45" s="32"/>
      <c r="D45" s="32"/>
      <c r="E45" s="34" t="str">
        <f aca="false">IF($B45="","",IF($B45="OUT","Liters",IFERROR(INDEX(Setup!$F$3:$F$24,MATCH($C45,Setup!$A$3:$A$24,0)),"")))</f>
        <v/>
      </c>
      <c r="F45" s="28" t="str">
        <f aca="false">IF(OR($D45="",$E45=""),"",IFERROR($D45*INDEX(Setup!$B$27:$B$44,MATCH($E45,Setup!$A$27:$A$44,0)),"TBD"))</f>
        <v/>
      </c>
      <c r="G45" s="32"/>
      <c r="H45" s="32"/>
      <c r="I45" s="32"/>
      <c r="J45" s="32"/>
      <c r="K45" s="35"/>
      <c r="L45" s="32"/>
      <c r="M45" s="32"/>
    </row>
    <row r="46" customFormat="false" ht="15" hidden="false" customHeight="true" outlineLevel="0" collapsed="false">
      <c r="A46" s="32"/>
      <c r="B46" s="32"/>
      <c r="C46" s="32"/>
      <c r="D46" s="32"/>
      <c r="E46" s="34" t="str">
        <f aca="false">IF($B46="","",IF($B46="OUT","Liters",IFERROR(INDEX(Setup!$F$3:$F$24,MATCH($C46,Setup!$A$3:$A$24,0)),"")))</f>
        <v/>
      </c>
      <c r="F46" s="28" t="str">
        <f aca="false">IF(OR($D46="",$E46=""),"",IFERROR($D46*INDEX(Setup!$B$27:$B$44,MATCH($E46,Setup!$A$27:$A$44,0)),"TBD"))</f>
        <v/>
      </c>
      <c r="G46" s="32"/>
      <c r="H46" s="32"/>
      <c r="I46" s="32"/>
      <c r="J46" s="32"/>
      <c r="K46" s="35"/>
      <c r="L46" s="32"/>
      <c r="M46" s="32"/>
    </row>
    <row r="47" customFormat="false" ht="15" hidden="false" customHeight="true" outlineLevel="0" collapsed="false">
      <c r="A47" s="32"/>
      <c r="B47" s="32"/>
      <c r="C47" s="32"/>
      <c r="D47" s="32"/>
      <c r="E47" s="34" t="str">
        <f aca="false">IF($B47="","",IF($B47="OUT","Liters",IFERROR(INDEX(Setup!$F$3:$F$24,MATCH($C47,Setup!$A$3:$A$24,0)),"")))</f>
        <v/>
      </c>
      <c r="F47" s="28" t="str">
        <f aca="false">IF(OR($D47="",$E47=""),"",IFERROR($D47*INDEX(Setup!$B$27:$B$44,MATCH($E47,Setup!$A$27:$A$44,0)),"TBD"))</f>
        <v/>
      </c>
      <c r="G47" s="32"/>
      <c r="H47" s="32"/>
      <c r="I47" s="32"/>
      <c r="J47" s="32"/>
      <c r="K47" s="35"/>
      <c r="L47" s="32"/>
      <c r="M47" s="32"/>
    </row>
    <row r="48" customFormat="false" ht="15" hidden="false" customHeight="true" outlineLevel="0" collapsed="false">
      <c r="A48" s="32"/>
      <c r="B48" s="32"/>
      <c r="C48" s="32"/>
      <c r="D48" s="32"/>
      <c r="E48" s="34" t="str">
        <f aca="false">IF($B48="","",IF($B48="OUT","Liters",IFERROR(INDEX(Setup!$F$3:$F$24,MATCH($C48,Setup!$A$3:$A$24,0)),"")))</f>
        <v/>
      </c>
      <c r="F48" s="28" t="str">
        <f aca="false">IF(OR($D48="",$E48=""),"",IFERROR($D48*INDEX(Setup!$B$27:$B$44,MATCH($E48,Setup!$A$27:$A$44,0)),"TBD"))</f>
        <v/>
      </c>
      <c r="G48" s="32"/>
      <c r="H48" s="32"/>
      <c r="I48" s="32"/>
      <c r="J48" s="32"/>
      <c r="K48" s="35"/>
      <c r="L48" s="32"/>
      <c r="M48" s="32"/>
    </row>
    <row r="49" customFormat="false" ht="15" hidden="false" customHeight="true" outlineLevel="0" collapsed="false">
      <c r="A49" s="32"/>
      <c r="B49" s="32"/>
      <c r="C49" s="32"/>
      <c r="D49" s="32"/>
      <c r="E49" s="34" t="str">
        <f aca="false">IF($B49="","",IF($B49="OUT","Liters",IFERROR(INDEX(Setup!$F$3:$F$24,MATCH($C49,Setup!$A$3:$A$24,0)),"")))</f>
        <v/>
      </c>
      <c r="F49" s="28" t="str">
        <f aca="false">IF(OR($D49="",$E49=""),"",IFERROR($D49*INDEX(Setup!$B$27:$B$44,MATCH($E49,Setup!$A$27:$A$44,0)),"TBD"))</f>
        <v/>
      </c>
      <c r="G49" s="32"/>
      <c r="H49" s="32"/>
      <c r="I49" s="32"/>
      <c r="J49" s="32"/>
      <c r="K49" s="35"/>
      <c r="L49" s="32"/>
      <c r="M49" s="32"/>
    </row>
    <row r="50" customFormat="false" ht="15" hidden="false" customHeight="true" outlineLevel="0" collapsed="false">
      <c r="A50" s="32"/>
      <c r="B50" s="32"/>
      <c r="C50" s="32"/>
      <c r="D50" s="32"/>
      <c r="E50" s="34" t="str">
        <f aca="false">IF($B50="","",IF($B50="OUT","Liters",IFERROR(INDEX(Setup!$F$3:$F$24,MATCH($C50,Setup!$A$3:$A$24,0)),"")))</f>
        <v/>
      </c>
      <c r="F50" s="28" t="str">
        <f aca="false">IF(OR($D50="",$E50=""),"",IFERROR($D50*INDEX(Setup!$B$27:$B$44,MATCH($E50,Setup!$A$27:$A$44,0)),"TBD"))</f>
        <v/>
      </c>
      <c r="G50" s="32"/>
      <c r="H50" s="32"/>
      <c r="I50" s="32"/>
      <c r="J50" s="32"/>
      <c r="K50" s="35"/>
      <c r="L50" s="32"/>
      <c r="M50" s="32"/>
    </row>
    <row r="51" customFormat="false" ht="15" hidden="false" customHeight="true" outlineLevel="0" collapsed="false">
      <c r="A51" s="32"/>
      <c r="B51" s="32"/>
      <c r="C51" s="32"/>
      <c r="D51" s="32"/>
      <c r="E51" s="34" t="str">
        <f aca="false">IF($B51="","",IF($B51="OUT","Liters",IFERROR(INDEX(Setup!$F$3:$F$24,MATCH($C51,Setup!$A$3:$A$24,0)),"")))</f>
        <v/>
      </c>
      <c r="F51" s="28" t="str">
        <f aca="false">IF(OR($D51="",$E51=""),"",IFERROR($D51*INDEX(Setup!$B$27:$B$44,MATCH($E51,Setup!$A$27:$A$44,0)),"TBD"))</f>
        <v/>
      </c>
      <c r="G51" s="32"/>
      <c r="H51" s="32"/>
      <c r="I51" s="32"/>
      <c r="J51" s="32"/>
      <c r="K51" s="35"/>
      <c r="L51" s="32"/>
      <c r="M51" s="32"/>
    </row>
    <row r="52" customFormat="false" ht="15" hidden="false" customHeight="true" outlineLevel="0" collapsed="false">
      <c r="A52" s="32"/>
      <c r="B52" s="32"/>
      <c r="C52" s="32"/>
      <c r="D52" s="32"/>
      <c r="E52" s="34" t="str">
        <f aca="false">IF($B52="","",IF($B52="OUT","Liters",IFERROR(INDEX(Setup!$F$3:$F$24,MATCH($C52,Setup!$A$3:$A$24,0)),"")))</f>
        <v/>
      </c>
      <c r="F52" s="28" t="str">
        <f aca="false">IF(OR($D52="",$E52=""),"",IFERROR($D52*INDEX(Setup!$B$27:$B$44,MATCH($E52,Setup!$A$27:$A$44,0)),"TBD"))</f>
        <v/>
      </c>
      <c r="G52" s="32"/>
      <c r="H52" s="32"/>
      <c r="I52" s="32"/>
      <c r="J52" s="32"/>
      <c r="K52" s="35"/>
      <c r="L52" s="32"/>
      <c r="M52" s="32"/>
    </row>
    <row r="53" customFormat="false" ht="15" hidden="false" customHeight="true" outlineLevel="0" collapsed="false">
      <c r="A53" s="32"/>
      <c r="B53" s="32"/>
      <c r="C53" s="32"/>
      <c r="D53" s="32"/>
      <c r="E53" s="34" t="str">
        <f aca="false">IF($B53="","",IF($B53="OUT","Liters",IFERROR(INDEX(Setup!$F$3:$F$24,MATCH($C53,Setup!$A$3:$A$24,0)),"")))</f>
        <v/>
      </c>
      <c r="F53" s="28" t="str">
        <f aca="false">IF(OR($D53="",$E53=""),"",IFERROR($D53*INDEX(Setup!$B$27:$B$44,MATCH($E53,Setup!$A$27:$A$44,0)),"TBD"))</f>
        <v/>
      </c>
      <c r="G53" s="32"/>
      <c r="H53" s="32"/>
      <c r="I53" s="32"/>
      <c r="J53" s="32"/>
      <c r="K53" s="35"/>
      <c r="L53" s="32"/>
      <c r="M53" s="32"/>
    </row>
    <row r="54" customFormat="false" ht="15" hidden="false" customHeight="true" outlineLevel="0" collapsed="false">
      <c r="A54" s="32"/>
      <c r="B54" s="32"/>
      <c r="C54" s="32"/>
      <c r="D54" s="32"/>
      <c r="E54" s="34" t="str">
        <f aca="false">IF($B54="","",IF($B54="OUT","Liters",IFERROR(INDEX(Setup!$F$3:$F$24,MATCH($C54,Setup!$A$3:$A$24,0)),"")))</f>
        <v/>
      </c>
      <c r="F54" s="28" t="str">
        <f aca="false">IF(OR($D54="",$E54=""),"",IFERROR($D54*INDEX(Setup!$B$27:$B$44,MATCH($E54,Setup!$A$27:$A$44,0)),"TBD"))</f>
        <v/>
      </c>
      <c r="G54" s="32"/>
      <c r="H54" s="32"/>
      <c r="I54" s="32"/>
      <c r="J54" s="32"/>
      <c r="K54" s="35"/>
      <c r="L54" s="32"/>
      <c r="M54" s="32"/>
    </row>
    <row r="55" customFormat="false" ht="15" hidden="false" customHeight="true" outlineLevel="0" collapsed="false">
      <c r="A55" s="32"/>
      <c r="B55" s="32"/>
      <c r="C55" s="32"/>
      <c r="D55" s="32"/>
      <c r="E55" s="34" t="str">
        <f aca="false">IF($B55="","",IF($B55="OUT","Liters",IFERROR(INDEX(Setup!$F$3:$F$24,MATCH($C55,Setup!$A$3:$A$24,0)),"")))</f>
        <v/>
      </c>
      <c r="F55" s="28" t="str">
        <f aca="false">IF(OR($D55="",$E55=""),"",IFERROR($D55*INDEX(Setup!$B$27:$B$44,MATCH($E55,Setup!$A$27:$A$44,0)),"TBD"))</f>
        <v/>
      </c>
      <c r="G55" s="32"/>
      <c r="H55" s="32"/>
      <c r="I55" s="32"/>
      <c r="J55" s="32"/>
      <c r="K55" s="35"/>
      <c r="L55" s="32"/>
      <c r="M55" s="32"/>
    </row>
    <row r="56" customFormat="false" ht="15" hidden="false" customHeight="true" outlineLevel="0" collapsed="false">
      <c r="A56" s="32"/>
      <c r="B56" s="32"/>
      <c r="C56" s="32"/>
      <c r="D56" s="32"/>
      <c r="E56" s="34" t="str">
        <f aca="false">IF($B56="","",IF($B56="OUT","Liters",IFERROR(INDEX(Setup!$F$3:$F$24,MATCH($C56,Setup!$A$3:$A$24,0)),"")))</f>
        <v/>
      </c>
      <c r="F56" s="28" t="str">
        <f aca="false">IF(OR($D56="",$E56=""),"",IFERROR($D56*INDEX(Setup!$B$27:$B$44,MATCH($E56,Setup!$A$27:$A$44,0)),"TBD"))</f>
        <v/>
      </c>
      <c r="G56" s="32"/>
      <c r="H56" s="32"/>
      <c r="I56" s="32"/>
      <c r="J56" s="32"/>
      <c r="K56" s="35"/>
      <c r="L56" s="32"/>
      <c r="M56" s="32"/>
    </row>
    <row r="57" customFormat="false" ht="15" hidden="false" customHeight="true" outlineLevel="0" collapsed="false">
      <c r="A57" s="32"/>
      <c r="B57" s="32"/>
      <c r="C57" s="32"/>
      <c r="D57" s="32"/>
      <c r="E57" s="34" t="str">
        <f aca="false">IF($B57="","",IF($B57="OUT","Liters",IFERROR(INDEX(Setup!$F$3:$F$24,MATCH($C57,Setup!$A$3:$A$24,0)),"")))</f>
        <v/>
      </c>
      <c r="F57" s="28" t="str">
        <f aca="false">IF(OR($D57="",$E57=""),"",IFERROR($D57*INDEX(Setup!$B$27:$B$44,MATCH($E57,Setup!$A$27:$A$44,0)),"TBD"))</f>
        <v/>
      </c>
      <c r="G57" s="32"/>
      <c r="H57" s="32"/>
      <c r="I57" s="32"/>
      <c r="J57" s="32"/>
      <c r="K57" s="35"/>
      <c r="L57" s="32"/>
      <c r="M57" s="32"/>
    </row>
    <row r="58" customFormat="false" ht="15" hidden="false" customHeight="true" outlineLevel="0" collapsed="false">
      <c r="A58" s="32"/>
      <c r="B58" s="32"/>
      <c r="C58" s="32"/>
      <c r="D58" s="32"/>
      <c r="E58" s="34" t="str">
        <f aca="false">IF($B58="","",IF($B58="OUT","Liters",IFERROR(INDEX(Setup!$F$3:$F$24,MATCH($C58,Setup!$A$3:$A$24,0)),"")))</f>
        <v/>
      </c>
      <c r="F58" s="28" t="str">
        <f aca="false">IF(OR($D58="",$E58=""),"",IFERROR($D58*INDEX(Setup!$B$27:$B$44,MATCH($E58,Setup!$A$27:$A$44,0)),"TBD"))</f>
        <v/>
      </c>
      <c r="G58" s="32"/>
      <c r="H58" s="32"/>
      <c r="I58" s="32"/>
      <c r="J58" s="32"/>
      <c r="K58" s="35"/>
      <c r="L58" s="32"/>
      <c r="M58" s="32"/>
    </row>
    <row r="59" customFormat="false" ht="15" hidden="false" customHeight="true" outlineLevel="0" collapsed="false">
      <c r="A59" s="32"/>
      <c r="B59" s="32"/>
      <c r="C59" s="32"/>
      <c r="D59" s="32"/>
      <c r="E59" s="34" t="str">
        <f aca="false">IF($B59="","",IF($B59="OUT","Liters",IFERROR(INDEX(Setup!$F$3:$F$24,MATCH($C59,Setup!$A$3:$A$24,0)),"")))</f>
        <v/>
      </c>
      <c r="F59" s="28" t="str">
        <f aca="false">IF(OR($D59="",$E59=""),"",IFERROR($D59*INDEX(Setup!$B$27:$B$44,MATCH($E59,Setup!$A$27:$A$44,0)),"TBD"))</f>
        <v/>
      </c>
      <c r="G59" s="32"/>
      <c r="H59" s="32"/>
      <c r="I59" s="32"/>
      <c r="J59" s="32"/>
      <c r="K59" s="35"/>
      <c r="L59" s="32"/>
      <c r="M59" s="32"/>
    </row>
    <row r="60" customFormat="false" ht="15" hidden="false" customHeight="true" outlineLevel="0" collapsed="false">
      <c r="A60" s="32"/>
      <c r="B60" s="32"/>
      <c r="C60" s="32"/>
      <c r="D60" s="32"/>
      <c r="E60" s="34" t="str">
        <f aca="false">IF($B60="","",IF($B60="OUT","Liters",IFERROR(INDEX(Setup!$F$3:$F$24,MATCH($C60,Setup!$A$3:$A$24,0)),"")))</f>
        <v/>
      </c>
      <c r="F60" s="28" t="str">
        <f aca="false">IF(OR($D60="",$E60=""),"",IFERROR($D60*INDEX(Setup!$B$27:$B$44,MATCH($E60,Setup!$A$27:$A$44,0)),"TBD"))</f>
        <v/>
      </c>
      <c r="G60" s="32"/>
      <c r="H60" s="32"/>
      <c r="I60" s="32"/>
      <c r="J60" s="32"/>
      <c r="K60" s="35"/>
      <c r="L60" s="32"/>
      <c r="M60" s="32"/>
    </row>
    <row r="61" customFormat="false" ht="15" hidden="false" customHeight="true" outlineLevel="0" collapsed="false">
      <c r="A61" s="32"/>
      <c r="B61" s="32"/>
      <c r="C61" s="32"/>
      <c r="D61" s="32"/>
      <c r="E61" s="34" t="str">
        <f aca="false">IF($B61="","",IF($B61="OUT","Liters",IFERROR(INDEX(Setup!$F$3:$F$24,MATCH($C61,Setup!$A$3:$A$24,0)),"")))</f>
        <v/>
      </c>
      <c r="F61" s="28" t="str">
        <f aca="false">IF(OR($D61="",$E61=""),"",IFERROR($D61*INDEX(Setup!$B$27:$B$44,MATCH($E61,Setup!$A$27:$A$44,0)),"TBD"))</f>
        <v/>
      </c>
      <c r="G61" s="32"/>
      <c r="H61" s="32"/>
      <c r="I61" s="32"/>
      <c r="J61" s="32"/>
      <c r="K61" s="35"/>
      <c r="L61" s="32"/>
      <c r="M61" s="32"/>
    </row>
    <row r="62" customFormat="false" ht="15" hidden="false" customHeight="true" outlineLevel="0" collapsed="false">
      <c r="A62" s="32"/>
      <c r="B62" s="32"/>
      <c r="C62" s="32"/>
      <c r="D62" s="32"/>
      <c r="E62" s="34" t="str">
        <f aca="false">IF($B62="","",IF($B62="OUT","Liters",IFERROR(INDEX(Setup!$F$3:$F$24,MATCH($C62,Setup!$A$3:$A$24,0)),"")))</f>
        <v/>
      </c>
      <c r="F62" s="28" t="str">
        <f aca="false">IF(OR($D62="",$E62=""),"",IFERROR($D62*INDEX(Setup!$B$27:$B$44,MATCH($E62,Setup!$A$27:$A$44,0)),"TBD"))</f>
        <v/>
      </c>
      <c r="G62" s="32"/>
      <c r="H62" s="32"/>
      <c r="I62" s="32"/>
      <c r="J62" s="32"/>
      <c r="K62" s="35"/>
      <c r="L62" s="32"/>
      <c r="M62" s="32"/>
    </row>
    <row r="63" customFormat="false" ht="15" hidden="false" customHeight="true" outlineLevel="0" collapsed="false">
      <c r="A63" s="32"/>
      <c r="B63" s="32"/>
      <c r="C63" s="32"/>
      <c r="D63" s="32"/>
      <c r="E63" s="34" t="str">
        <f aca="false">IF($B63="","",IF($B63="OUT","Liters",IFERROR(INDEX(Setup!$F$3:$F$24,MATCH($C63,Setup!$A$3:$A$24,0)),"")))</f>
        <v/>
      </c>
      <c r="F63" s="28" t="str">
        <f aca="false">IF(OR($D63="",$E63=""),"",IFERROR($D63*INDEX(Setup!$B$27:$B$44,MATCH($E63,Setup!$A$27:$A$44,0)),"TBD"))</f>
        <v/>
      </c>
      <c r="G63" s="32"/>
      <c r="H63" s="32"/>
      <c r="I63" s="32"/>
      <c r="J63" s="32"/>
      <c r="K63" s="35"/>
      <c r="L63" s="32"/>
      <c r="M63" s="32"/>
    </row>
    <row r="64" customFormat="false" ht="15" hidden="false" customHeight="true" outlineLevel="0" collapsed="false">
      <c r="A64" s="32"/>
      <c r="B64" s="32"/>
      <c r="C64" s="32"/>
      <c r="D64" s="32"/>
      <c r="E64" s="34" t="str">
        <f aca="false">IF($B64="","",IF($B64="OUT","Liters",IFERROR(INDEX(Setup!$F$3:$F$24,MATCH($C64,Setup!$A$3:$A$24,0)),"")))</f>
        <v/>
      </c>
      <c r="F64" s="28" t="str">
        <f aca="false">IF(OR($D64="",$E64=""),"",IFERROR($D64*INDEX(Setup!$B$27:$B$44,MATCH($E64,Setup!$A$27:$A$44,0)),"TBD"))</f>
        <v/>
      </c>
      <c r="G64" s="32"/>
      <c r="H64" s="32"/>
      <c r="I64" s="32"/>
      <c r="J64" s="32"/>
      <c r="K64" s="35"/>
      <c r="L64" s="32"/>
      <c r="M64" s="32"/>
    </row>
    <row r="65" customFormat="false" ht="15" hidden="false" customHeight="true" outlineLevel="0" collapsed="false">
      <c r="A65" s="32"/>
      <c r="B65" s="32"/>
      <c r="C65" s="32"/>
      <c r="D65" s="32"/>
      <c r="E65" s="34" t="str">
        <f aca="false">IF($B65="","",IF($B65="OUT","Liters",IFERROR(INDEX(Setup!$F$3:$F$24,MATCH($C65,Setup!$A$3:$A$24,0)),"")))</f>
        <v/>
      </c>
      <c r="F65" s="28" t="str">
        <f aca="false">IF(OR($D65="",$E65=""),"",IFERROR($D65*INDEX(Setup!$B$27:$B$44,MATCH($E65,Setup!$A$27:$A$44,0)),"TBD"))</f>
        <v/>
      </c>
      <c r="G65" s="32"/>
      <c r="H65" s="32"/>
      <c r="I65" s="32"/>
      <c r="J65" s="32"/>
      <c r="K65" s="35"/>
      <c r="L65" s="32"/>
      <c r="M65" s="32"/>
    </row>
    <row r="66" customFormat="false" ht="15" hidden="false" customHeight="true" outlineLevel="0" collapsed="false">
      <c r="A66" s="32"/>
      <c r="B66" s="32"/>
      <c r="C66" s="32"/>
      <c r="D66" s="32"/>
      <c r="E66" s="34" t="str">
        <f aca="false">IF($B66="","",IF($B66="OUT","Liters",IFERROR(INDEX(Setup!$F$3:$F$24,MATCH($C66,Setup!$A$3:$A$24,0)),"")))</f>
        <v/>
      </c>
      <c r="F66" s="28" t="str">
        <f aca="false">IF(OR($D66="",$E66=""),"",IFERROR($D66*INDEX(Setup!$B$27:$B$44,MATCH($E66,Setup!$A$27:$A$44,0)),"TBD"))</f>
        <v/>
      </c>
      <c r="G66" s="32"/>
      <c r="H66" s="32"/>
      <c r="I66" s="32"/>
      <c r="J66" s="32"/>
      <c r="K66" s="35"/>
      <c r="L66" s="32"/>
      <c r="M66" s="32"/>
    </row>
    <row r="67" customFormat="false" ht="15" hidden="false" customHeight="true" outlineLevel="0" collapsed="false">
      <c r="A67" s="32"/>
      <c r="B67" s="32"/>
      <c r="C67" s="32"/>
      <c r="D67" s="32"/>
      <c r="E67" s="34" t="str">
        <f aca="false">IF($B67="","",IF($B67="OUT","Liters",IFERROR(INDEX(Setup!$F$3:$F$24,MATCH($C67,Setup!$A$3:$A$24,0)),"")))</f>
        <v/>
      </c>
      <c r="F67" s="28" t="str">
        <f aca="false">IF(OR($D67="",$E67=""),"",IFERROR($D67*INDEX(Setup!$B$27:$B$44,MATCH($E67,Setup!$A$27:$A$44,0)),"TBD"))</f>
        <v/>
      </c>
      <c r="G67" s="32"/>
      <c r="H67" s="32"/>
      <c r="I67" s="32"/>
      <c r="J67" s="32"/>
      <c r="K67" s="35"/>
      <c r="L67" s="32"/>
      <c r="M67" s="32"/>
    </row>
    <row r="68" customFormat="false" ht="15" hidden="false" customHeight="true" outlineLevel="0" collapsed="false">
      <c r="A68" s="32"/>
      <c r="B68" s="32"/>
      <c r="C68" s="32"/>
      <c r="D68" s="32"/>
      <c r="E68" s="34" t="str">
        <f aca="false">IF($B68="","",IF($B68="OUT","Liters",IFERROR(INDEX(Setup!$F$3:$F$24,MATCH($C68,Setup!$A$3:$A$24,0)),"")))</f>
        <v/>
      </c>
      <c r="F68" s="28" t="str">
        <f aca="false">IF(OR($D68="",$E68=""),"",IFERROR($D68*INDEX(Setup!$B$27:$B$44,MATCH($E68,Setup!$A$27:$A$44,0)),"TBD"))</f>
        <v/>
      </c>
      <c r="G68" s="32"/>
      <c r="H68" s="32"/>
      <c r="I68" s="32"/>
      <c r="J68" s="32"/>
      <c r="K68" s="35"/>
      <c r="L68" s="32"/>
      <c r="M68" s="32"/>
    </row>
    <row r="69" customFormat="false" ht="15" hidden="false" customHeight="true" outlineLevel="0" collapsed="false">
      <c r="A69" s="32"/>
      <c r="B69" s="32"/>
      <c r="C69" s="32"/>
      <c r="D69" s="32"/>
      <c r="E69" s="34" t="str">
        <f aca="false">IF($B69="","",IF($B69="OUT","Liters",IFERROR(INDEX(Setup!$F$3:$F$24,MATCH($C69,Setup!$A$3:$A$24,0)),"")))</f>
        <v/>
      </c>
      <c r="F69" s="28" t="str">
        <f aca="false">IF(OR($D69="",$E69=""),"",IFERROR($D69*INDEX(Setup!$B$27:$B$44,MATCH($E69,Setup!$A$27:$A$44,0)),"TBD"))</f>
        <v/>
      </c>
      <c r="G69" s="32"/>
      <c r="H69" s="32"/>
      <c r="I69" s="32"/>
      <c r="J69" s="32"/>
      <c r="K69" s="35"/>
      <c r="L69" s="32"/>
      <c r="M69" s="32"/>
    </row>
    <row r="70" customFormat="false" ht="15" hidden="false" customHeight="true" outlineLevel="0" collapsed="false">
      <c r="A70" s="32"/>
      <c r="B70" s="32"/>
      <c r="C70" s="32"/>
      <c r="D70" s="32"/>
      <c r="E70" s="34" t="str">
        <f aca="false">IF($B70="","",IF($B70="OUT","Liters",IFERROR(INDEX(Setup!$F$3:$F$24,MATCH($C70,Setup!$A$3:$A$24,0)),"")))</f>
        <v/>
      </c>
      <c r="F70" s="28" t="str">
        <f aca="false">IF(OR($D70="",$E70=""),"",IFERROR($D70*INDEX(Setup!$B$27:$B$44,MATCH($E70,Setup!$A$27:$A$44,0)),"TBD"))</f>
        <v/>
      </c>
      <c r="G70" s="32"/>
      <c r="H70" s="32"/>
      <c r="I70" s="32"/>
      <c r="J70" s="32"/>
      <c r="K70" s="35"/>
      <c r="L70" s="32"/>
      <c r="M70" s="32"/>
    </row>
    <row r="71" customFormat="false" ht="15" hidden="false" customHeight="true" outlineLevel="0" collapsed="false">
      <c r="A71" s="32"/>
      <c r="B71" s="32"/>
      <c r="C71" s="32"/>
      <c r="D71" s="32"/>
      <c r="E71" s="34" t="str">
        <f aca="false">IF($B71="","",IF($B71="OUT","Liters",IFERROR(INDEX(Setup!$F$3:$F$24,MATCH($C71,Setup!$A$3:$A$24,0)),"")))</f>
        <v/>
      </c>
      <c r="F71" s="28" t="str">
        <f aca="false">IF(OR($D71="",$E71=""),"",IFERROR($D71*INDEX(Setup!$B$27:$B$44,MATCH($E71,Setup!$A$27:$A$44,0)),"TBD"))</f>
        <v/>
      </c>
      <c r="G71" s="32"/>
      <c r="H71" s="32"/>
      <c r="I71" s="32"/>
      <c r="J71" s="32"/>
      <c r="K71" s="35"/>
      <c r="L71" s="32"/>
      <c r="M71" s="32"/>
    </row>
    <row r="72" customFormat="false" ht="15" hidden="false" customHeight="true" outlineLevel="0" collapsed="false">
      <c r="A72" s="32"/>
      <c r="B72" s="32"/>
      <c r="C72" s="32"/>
      <c r="D72" s="32"/>
      <c r="E72" s="34" t="str">
        <f aca="false">IF($B72="","",IF($B72="OUT","Liters",IFERROR(INDEX(Setup!$F$3:$F$24,MATCH($C72,Setup!$A$3:$A$24,0)),"")))</f>
        <v/>
      </c>
      <c r="F72" s="28" t="str">
        <f aca="false">IF(OR($D72="",$E72=""),"",IFERROR($D72*INDEX(Setup!$B$27:$B$44,MATCH($E72,Setup!$A$27:$A$44,0)),"TBD"))</f>
        <v/>
      </c>
      <c r="G72" s="32"/>
      <c r="H72" s="32"/>
      <c r="I72" s="32"/>
      <c r="J72" s="32"/>
      <c r="K72" s="35"/>
      <c r="L72" s="32"/>
      <c r="M72" s="32"/>
    </row>
    <row r="73" customFormat="false" ht="15" hidden="false" customHeight="true" outlineLevel="0" collapsed="false">
      <c r="A73" s="32"/>
      <c r="B73" s="32"/>
      <c r="C73" s="32"/>
      <c r="D73" s="32"/>
      <c r="E73" s="34" t="str">
        <f aca="false">IF($B73="","",IF($B73="OUT","Liters",IFERROR(INDEX(Setup!$F$3:$F$24,MATCH($C73,Setup!$A$3:$A$24,0)),"")))</f>
        <v/>
      </c>
      <c r="F73" s="28" t="str">
        <f aca="false">IF(OR($D73="",$E73=""),"",IFERROR($D73*INDEX(Setup!$B$27:$B$44,MATCH($E73,Setup!$A$27:$A$44,0)),"TBD"))</f>
        <v/>
      </c>
      <c r="G73" s="32"/>
      <c r="H73" s="32"/>
      <c r="I73" s="32"/>
      <c r="J73" s="32"/>
      <c r="K73" s="35"/>
      <c r="L73" s="32"/>
      <c r="M73" s="32"/>
    </row>
    <row r="74" customFormat="false" ht="15" hidden="false" customHeight="true" outlineLevel="0" collapsed="false">
      <c r="A74" s="32"/>
      <c r="B74" s="32"/>
      <c r="C74" s="32"/>
      <c r="D74" s="32"/>
      <c r="E74" s="34" t="str">
        <f aca="false">IF($B74="","",IF($B74="OUT","Liters",IFERROR(INDEX(Setup!$F$3:$F$24,MATCH($C74,Setup!$A$3:$A$24,0)),"")))</f>
        <v/>
      </c>
      <c r="F74" s="28" t="str">
        <f aca="false">IF(OR($D74="",$E74=""),"",IFERROR($D74*INDEX(Setup!$B$27:$B$44,MATCH($E74,Setup!$A$27:$A$44,0)),"TBD"))</f>
        <v/>
      </c>
      <c r="G74" s="32"/>
      <c r="H74" s="32"/>
      <c r="I74" s="32"/>
      <c r="J74" s="32"/>
      <c r="K74" s="35"/>
      <c r="L74" s="32"/>
      <c r="M74" s="32"/>
    </row>
    <row r="75" customFormat="false" ht="15" hidden="false" customHeight="true" outlineLevel="0" collapsed="false">
      <c r="A75" s="32"/>
      <c r="B75" s="32"/>
      <c r="C75" s="32"/>
      <c r="D75" s="32"/>
      <c r="E75" s="34" t="str">
        <f aca="false">IF($B75="","",IF($B75="OUT","Liters",IFERROR(INDEX(Setup!$F$3:$F$24,MATCH($C75,Setup!$A$3:$A$24,0)),"")))</f>
        <v/>
      </c>
      <c r="F75" s="28" t="str">
        <f aca="false">IF(OR($D75="",$E75=""),"",IFERROR($D75*INDEX(Setup!$B$27:$B$44,MATCH($E75,Setup!$A$27:$A$44,0)),"TBD"))</f>
        <v/>
      </c>
      <c r="G75" s="32"/>
      <c r="H75" s="32"/>
      <c r="I75" s="32"/>
      <c r="J75" s="32"/>
      <c r="K75" s="35"/>
      <c r="L75" s="32"/>
      <c r="M75" s="32"/>
    </row>
    <row r="76" customFormat="false" ht="15" hidden="false" customHeight="true" outlineLevel="0" collapsed="false">
      <c r="A76" s="32"/>
      <c r="B76" s="32"/>
      <c r="C76" s="32"/>
      <c r="D76" s="32"/>
      <c r="E76" s="34" t="str">
        <f aca="false">IF($B76="","",IF($B76="OUT","Liters",IFERROR(INDEX(Setup!$F$3:$F$24,MATCH($C76,Setup!$A$3:$A$24,0)),"")))</f>
        <v/>
      </c>
      <c r="F76" s="28" t="str">
        <f aca="false">IF(OR($D76="",$E76=""),"",IFERROR($D76*INDEX(Setup!$B$27:$B$44,MATCH($E76,Setup!$A$27:$A$44,0)),"TBD"))</f>
        <v/>
      </c>
      <c r="G76" s="32"/>
      <c r="H76" s="32"/>
      <c r="I76" s="32"/>
      <c r="J76" s="32"/>
      <c r="K76" s="35"/>
      <c r="L76" s="32"/>
      <c r="M76" s="32"/>
    </row>
    <row r="77" customFormat="false" ht="15" hidden="false" customHeight="true" outlineLevel="0" collapsed="false">
      <c r="A77" s="32"/>
      <c r="B77" s="32"/>
      <c r="C77" s="32"/>
      <c r="D77" s="32"/>
      <c r="E77" s="34" t="str">
        <f aca="false">IF($B77="","",IF($B77="OUT","Liters",IFERROR(INDEX(Setup!$F$3:$F$24,MATCH($C77,Setup!$A$3:$A$24,0)),"")))</f>
        <v/>
      </c>
      <c r="F77" s="28" t="str">
        <f aca="false">IF(OR($D77="",$E77=""),"",IFERROR($D77*INDEX(Setup!$B$27:$B$44,MATCH($E77,Setup!$A$27:$A$44,0)),"TBD"))</f>
        <v/>
      </c>
      <c r="G77" s="32"/>
      <c r="H77" s="32"/>
      <c r="I77" s="32"/>
      <c r="J77" s="32"/>
      <c r="K77" s="35"/>
      <c r="L77" s="32"/>
      <c r="M77" s="32"/>
    </row>
    <row r="78" customFormat="false" ht="15" hidden="false" customHeight="true" outlineLevel="0" collapsed="false">
      <c r="A78" s="32"/>
      <c r="B78" s="32"/>
      <c r="C78" s="32"/>
      <c r="D78" s="32"/>
      <c r="E78" s="34" t="str">
        <f aca="false">IF($B78="","",IF($B78="OUT","Liters",IFERROR(INDEX(Setup!$F$3:$F$24,MATCH($C78,Setup!$A$3:$A$24,0)),"")))</f>
        <v/>
      </c>
      <c r="F78" s="28" t="str">
        <f aca="false">IF(OR($D78="",$E78=""),"",IFERROR($D78*INDEX(Setup!$B$27:$B$44,MATCH($E78,Setup!$A$27:$A$44,0)),"TBD"))</f>
        <v/>
      </c>
      <c r="G78" s="32"/>
      <c r="H78" s="32"/>
      <c r="I78" s="32"/>
      <c r="J78" s="32"/>
      <c r="K78" s="35"/>
      <c r="L78" s="32"/>
      <c r="M78" s="32"/>
    </row>
    <row r="79" customFormat="false" ht="15" hidden="false" customHeight="true" outlineLevel="0" collapsed="false">
      <c r="A79" s="32"/>
      <c r="B79" s="32"/>
      <c r="C79" s="32"/>
      <c r="D79" s="32"/>
      <c r="E79" s="34" t="str">
        <f aca="false">IF($B79="","",IF($B79="OUT","Liters",IFERROR(INDEX(Setup!$F$3:$F$24,MATCH($C79,Setup!$A$3:$A$24,0)),"")))</f>
        <v/>
      </c>
      <c r="F79" s="28" t="str">
        <f aca="false">IF(OR($D79="",$E79=""),"",IFERROR($D79*INDEX(Setup!$B$27:$B$44,MATCH($E79,Setup!$A$27:$A$44,0)),"TBD"))</f>
        <v/>
      </c>
      <c r="G79" s="32"/>
      <c r="H79" s="32"/>
      <c r="I79" s="32"/>
      <c r="J79" s="32"/>
      <c r="K79" s="35"/>
      <c r="L79" s="32"/>
      <c r="M79" s="32"/>
    </row>
    <row r="80" customFormat="false" ht="15" hidden="false" customHeight="true" outlineLevel="0" collapsed="false">
      <c r="A80" s="32"/>
      <c r="B80" s="32"/>
      <c r="C80" s="32"/>
      <c r="D80" s="32"/>
      <c r="E80" s="34" t="str">
        <f aca="false">IF($B80="","",IF($B80="OUT","Liters",IFERROR(INDEX(Setup!$F$3:$F$24,MATCH($C80,Setup!$A$3:$A$24,0)),"")))</f>
        <v/>
      </c>
      <c r="F80" s="28" t="str">
        <f aca="false">IF(OR($D80="",$E80=""),"",IFERROR($D80*INDEX(Setup!$B$27:$B$44,MATCH($E80,Setup!$A$27:$A$44,0)),"TBD"))</f>
        <v/>
      </c>
      <c r="G80" s="32"/>
      <c r="H80" s="32"/>
      <c r="I80" s="32"/>
      <c r="J80" s="32"/>
      <c r="K80" s="35"/>
      <c r="L80" s="32"/>
      <c r="M80" s="32"/>
    </row>
    <row r="81" customFormat="false" ht="15" hidden="false" customHeight="true" outlineLevel="0" collapsed="false">
      <c r="A81" s="32"/>
      <c r="B81" s="32"/>
      <c r="C81" s="32"/>
      <c r="D81" s="32"/>
      <c r="E81" s="34" t="str">
        <f aca="false">IF($B81="","",IF($B81="OUT","Liters",IFERROR(INDEX(Setup!$F$3:$F$24,MATCH($C81,Setup!$A$3:$A$24,0)),"")))</f>
        <v/>
      </c>
      <c r="F81" s="28" t="str">
        <f aca="false">IF(OR($D81="",$E81=""),"",IFERROR($D81*INDEX(Setup!$B$27:$B$44,MATCH($E81,Setup!$A$27:$A$44,0)),"TBD"))</f>
        <v/>
      </c>
      <c r="G81" s="32"/>
      <c r="H81" s="32"/>
      <c r="I81" s="32"/>
      <c r="J81" s="32"/>
      <c r="K81" s="35"/>
      <c r="L81" s="32"/>
      <c r="M81" s="32"/>
    </row>
    <row r="82" customFormat="false" ht="15" hidden="false" customHeight="true" outlineLevel="0" collapsed="false">
      <c r="A82" s="32"/>
      <c r="B82" s="32"/>
      <c r="C82" s="32"/>
      <c r="D82" s="32"/>
      <c r="E82" s="34" t="str">
        <f aca="false">IF($B82="","",IF($B82="OUT","Liters",IFERROR(INDEX(Setup!$F$3:$F$24,MATCH($C82,Setup!$A$3:$A$24,0)),"")))</f>
        <v/>
      </c>
      <c r="F82" s="28" t="str">
        <f aca="false">IF(OR($D82="",$E82=""),"",IFERROR($D82*INDEX(Setup!$B$27:$B$44,MATCH($E82,Setup!$A$27:$A$44,0)),"TBD"))</f>
        <v/>
      </c>
      <c r="G82" s="32"/>
      <c r="H82" s="32"/>
      <c r="I82" s="32"/>
      <c r="J82" s="32"/>
      <c r="K82" s="35"/>
      <c r="L82" s="32"/>
      <c r="M82" s="32"/>
    </row>
    <row r="83" customFormat="false" ht="15" hidden="false" customHeight="true" outlineLevel="0" collapsed="false">
      <c r="A83" s="32"/>
      <c r="B83" s="32"/>
      <c r="C83" s="32"/>
      <c r="D83" s="32"/>
      <c r="E83" s="34" t="str">
        <f aca="false">IF($B83="","",IF($B83="OUT","Liters",IFERROR(INDEX(Setup!$F$3:$F$24,MATCH($C83,Setup!$A$3:$A$24,0)),"")))</f>
        <v/>
      </c>
      <c r="F83" s="28" t="str">
        <f aca="false">IF(OR($D83="",$E83=""),"",IFERROR($D83*INDEX(Setup!$B$27:$B$44,MATCH($E83,Setup!$A$27:$A$44,0)),"TBD"))</f>
        <v/>
      </c>
      <c r="G83" s="32"/>
      <c r="H83" s="32"/>
      <c r="I83" s="32"/>
      <c r="J83" s="32"/>
      <c r="K83" s="35"/>
      <c r="L83" s="32"/>
      <c r="M83" s="32"/>
    </row>
    <row r="84" customFormat="false" ht="15" hidden="false" customHeight="true" outlineLevel="0" collapsed="false">
      <c r="A84" s="32"/>
      <c r="B84" s="32"/>
      <c r="C84" s="32"/>
      <c r="D84" s="32"/>
      <c r="E84" s="34" t="str">
        <f aca="false">IF($B84="","",IF($B84="OUT","Liters",IFERROR(INDEX(Setup!$F$3:$F$24,MATCH($C84,Setup!$A$3:$A$24,0)),"")))</f>
        <v/>
      </c>
      <c r="F84" s="28" t="str">
        <f aca="false">IF(OR($D84="",$E84=""),"",IFERROR($D84*INDEX(Setup!$B$27:$B$44,MATCH($E84,Setup!$A$27:$A$44,0)),"TBD"))</f>
        <v/>
      </c>
      <c r="G84" s="32"/>
      <c r="H84" s="32"/>
      <c r="I84" s="32"/>
      <c r="J84" s="32"/>
      <c r="K84" s="35"/>
      <c r="L84" s="32"/>
      <c r="M84" s="32"/>
    </row>
    <row r="85" customFormat="false" ht="15" hidden="false" customHeight="true" outlineLevel="0" collapsed="false">
      <c r="A85" s="32"/>
      <c r="B85" s="32"/>
      <c r="C85" s="32"/>
      <c r="D85" s="32"/>
      <c r="E85" s="34" t="str">
        <f aca="false">IF($B85="","",IF($B85="OUT","Liters",IFERROR(INDEX(Setup!$F$3:$F$24,MATCH($C85,Setup!$A$3:$A$24,0)),"")))</f>
        <v/>
      </c>
      <c r="F85" s="28" t="str">
        <f aca="false">IF(OR($D85="",$E85=""),"",IFERROR($D85*INDEX(Setup!$B$27:$B$44,MATCH($E85,Setup!$A$27:$A$44,0)),"TBD"))</f>
        <v/>
      </c>
      <c r="G85" s="32"/>
      <c r="H85" s="32"/>
      <c r="I85" s="32"/>
      <c r="J85" s="32"/>
      <c r="K85" s="35"/>
      <c r="L85" s="32"/>
      <c r="M85" s="32"/>
    </row>
    <row r="86" customFormat="false" ht="15" hidden="false" customHeight="true" outlineLevel="0" collapsed="false">
      <c r="A86" s="32"/>
      <c r="B86" s="32"/>
      <c r="C86" s="32"/>
      <c r="D86" s="32"/>
      <c r="E86" s="34" t="str">
        <f aca="false">IF($B86="","",IF($B86="OUT","Liters",IFERROR(INDEX(Setup!$F$3:$F$24,MATCH($C86,Setup!$A$3:$A$24,0)),"")))</f>
        <v/>
      </c>
      <c r="F86" s="28" t="str">
        <f aca="false">IF(OR($D86="",$E86=""),"",IFERROR($D86*INDEX(Setup!$B$27:$B$44,MATCH($E86,Setup!$A$27:$A$44,0)),"TBD"))</f>
        <v/>
      </c>
      <c r="G86" s="32"/>
      <c r="H86" s="32"/>
      <c r="I86" s="32"/>
      <c r="J86" s="32"/>
      <c r="K86" s="35"/>
      <c r="L86" s="32"/>
      <c r="M86" s="32"/>
    </row>
    <row r="87" customFormat="false" ht="15" hidden="false" customHeight="true" outlineLevel="0" collapsed="false">
      <c r="A87" s="32"/>
      <c r="B87" s="32"/>
      <c r="C87" s="32"/>
      <c r="D87" s="32"/>
      <c r="E87" s="34" t="str">
        <f aca="false">IF($B87="","",IF($B87="OUT","Liters",IFERROR(INDEX(Setup!$F$3:$F$24,MATCH($C87,Setup!$A$3:$A$24,0)),"")))</f>
        <v/>
      </c>
      <c r="F87" s="28" t="str">
        <f aca="false">IF(OR($D87="",$E87=""),"",IFERROR($D87*INDEX(Setup!$B$27:$B$44,MATCH($E87,Setup!$A$27:$A$44,0)),"TBD"))</f>
        <v/>
      </c>
      <c r="G87" s="32"/>
      <c r="H87" s="32"/>
      <c r="I87" s="32"/>
      <c r="J87" s="32"/>
      <c r="K87" s="35"/>
      <c r="L87" s="32"/>
      <c r="M87" s="32"/>
    </row>
    <row r="88" customFormat="false" ht="15" hidden="false" customHeight="true" outlineLevel="0" collapsed="false">
      <c r="A88" s="32"/>
      <c r="B88" s="32"/>
      <c r="C88" s="32"/>
      <c r="D88" s="32"/>
      <c r="E88" s="34" t="str">
        <f aca="false">IF($B88="","",IF($B88="OUT","Liters",IFERROR(INDEX(Setup!$F$3:$F$24,MATCH($C88,Setup!$A$3:$A$24,0)),"")))</f>
        <v/>
      </c>
      <c r="F88" s="28" t="str">
        <f aca="false">IF(OR($D88="",$E88=""),"",IFERROR($D88*INDEX(Setup!$B$27:$B$44,MATCH($E88,Setup!$A$27:$A$44,0)),"TBD"))</f>
        <v/>
      </c>
      <c r="G88" s="32"/>
      <c r="H88" s="32"/>
      <c r="I88" s="32"/>
      <c r="J88" s="32"/>
      <c r="K88" s="35"/>
      <c r="L88" s="32"/>
      <c r="M88" s="32"/>
    </row>
    <row r="89" customFormat="false" ht="15" hidden="false" customHeight="true" outlineLevel="0" collapsed="false">
      <c r="A89" s="32"/>
      <c r="B89" s="32"/>
      <c r="C89" s="32"/>
      <c r="D89" s="32"/>
      <c r="E89" s="34" t="str">
        <f aca="false">IF($B89="","",IF($B89="OUT","Liters",IFERROR(INDEX(Setup!$F$3:$F$24,MATCH($C89,Setup!$A$3:$A$24,0)),"")))</f>
        <v/>
      </c>
      <c r="F89" s="28" t="str">
        <f aca="false">IF(OR($D89="",$E89=""),"",IFERROR($D89*INDEX(Setup!$B$27:$B$44,MATCH($E89,Setup!$A$27:$A$44,0)),"TBD"))</f>
        <v/>
      </c>
      <c r="G89" s="32"/>
      <c r="H89" s="32"/>
      <c r="I89" s="32"/>
      <c r="J89" s="32"/>
      <c r="K89" s="35"/>
      <c r="L89" s="32"/>
      <c r="M89" s="32"/>
    </row>
    <row r="90" customFormat="false" ht="15" hidden="false" customHeight="true" outlineLevel="0" collapsed="false">
      <c r="A90" s="32"/>
      <c r="B90" s="32"/>
      <c r="C90" s="32"/>
      <c r="D90" s="32"/>
      <c r="E90" s="34" t="str">
        <f aca="false">IF($B90="","",IF($B90="OUT","Liters",IFERROR(INDEX(Setup!$F$3:$F$24,MATCH($C90,Setup!$A$3:$A$24,0)),"")))</f>
        <v/>
      </c>
      <c r="F90" s="28" t="str">
        <f aca="false">IF(OR($D90="",$E90=""),"",IFERROR($D90*INDEX(Setup!$B$27:$B$44,MATCH($E90,Setup!$A$27:$A$44,0)),"TBD"))</f>
        <v/>
      </c>
      <c r="G90" s="32"/>
      <c r="H90" s="32"/>
      <c r="I90" s="32"/>
      <c r="J90" s="32"/>
      <c r="K90" s="35"/>
      <c r="L90" s="32"/>
      <c r="M90" s="32"/>
    </row>
    <row r="91" customFormat="false" ht="15" hidden="false" customHeight="true" outlineLevel="0" collapsed="false">
      <c r="A91" s="32"/>
      <c r="B91" s="32"/>
      <c r="C91" s="32"/>
      <c r="D91" s="32"/>
      <c r="E91" s="34" t="str">
        <f aca="false">IF($B91="","",IF($B91="OUT","Liters",IFERROR(INDEX(Setup!$F$3:$F$24,MATCH($C91,Setup!$A$3:$A$24,0)),"")))</f>
        <v/>
      </c>
      <c r="F91" s="28" t="str">
        <f aca="false">IF(OR($D91="",$E91=""),"",IFERROR($D91*INDEX(Setup!$B$27:$B$44,MATCH($E91,Setup!$A$27:$A$44,0)),"TBD"))</f>
        <v/>
      </c>
      <c r="G91" s="32"/>
      <c r="H91" s="32"/>
      <c r="I91" s="32"/>
      <c r="J91" s="32"/>
      <c r="K91" s="35"/>
      <c r="L91" s="32"/>
      <c r="M91" s="32"/>
    </row>
    <row r="92" customFormat="false" ht="15" hidden="false" customHeight="true" outlineLevel="0" collapsed="false">
      <c r="A92" s="32"/>
      <c r="B92" s="32"/>
      <c r="C92" s="32"/>
      <c r="D92" s="32"/>
      <c r="E92" s="34" t="str">
        <f aca="false">IF($B92="","",IF($B92="OUT","Liters",IFERROR(INDEX(Setup!$F$3:$F$24,MATCH($C92,Setup!$A$3:$A$24,0)),"")))</f>
        <v/>
      </c>
      <c r="F92" s="28" t="str">
        <f aca="false">IF(OR($D92="",$E92=""),"",IFERROR($D92*INDEX(Setup!$B$27:$B$44,MATCH($E92,Setup!$A$27:$A$44,0)),"TBD"))</f>
        <v/>
      </c>
      <c r="G92" s="32"/>
      <c r="H92" s="32"/>
      <c r="I92" s="32"/>
      <c r="J92" s="32"/>
      <c r="K92" s="35"/>
      <c r="L92" s="32"/>
      <c r="M92" s="32"/>
    </row>
    <row r="93" customFormat="false" ht="15" hidden="false" customHeight="true" outlineLevel="0" collapsed="false">
      <c r="A93" s="32"/>
      <c r="B93" s="32"/>
      <c r="C93" s="32"/>
      <c r="D93" s="32"/>
      <c r="E93" s="34" t="str">
        <f aca="false">IF($B93="","",IF($B93="OUT","Liters",IFERROR(INDEX(Setup!$F$3:$F$24,MATCH($C93,Setup!$A$3:$A$24,0)),"")))</f>
        <v/>
      </c>
      <c r="F93" s="28" t="str">
        <f aca="false">IF(OR($D93="",$E93=""),"",IFERROR($D93*INDEX(Setup!$B$27:$B$44,MATCH($E93,Setup!$A$27:$A$44,0)),"TBD"))</f>
        <v/>
      </c>
      <c r="G93" s="32"/>
      <c r="H93" s="32"/>
      <c r="I93" s="32"/>
      <c r="J93" s="32"/>
      <c r="K93" s="35"/>
      <c r="L93" s="32"/>
      <c r="M93" s="32"/>
    </row>
    <row r="94" customFormat="false" ht="15" hidden="false" customHeight="true" outlineLevel="0" collapsed="false">
      <c r="A94" s="32"/>
      <c r="B94" s="32"/>
      <c r="C94" s="32"/>
      <c r="D94" s="32"/>
      <c r="E94" s="34" t="str">
        <f aca="false">IF($B94="","",IF($B94="OUT","Liters",IFERROR(INDEX(Setup!$F$3:$F$24,MATCH($C94,Setup!$A$3:$A$24,0)),"")))</f>
        <v/>
      </c>
      <c r="F94" s="28" t="str">
        <f aca="false">IF(OR($D94="",$E94=""),"",IFERROR($D94*INDEX(Setup!$B$27:$B$44,MATCH($E94,Setup!$A$27:$A$44,0)),"TBD"))</f>
        <v/>
      </c>
      <c r="G94" s="32"/>
      <c r="H94" s="32"/>
      <c r="I94" s="32"/>
      <c r="J94" s="32"/>
      <c r="K94" s="35"/>
      <c r="L94" s="32"/>
      <c r="M94" s="32"/>
    </row>
    <row r="95" customFormat="false" ht="15" hidden="false" customHeight="true" outlineLevel="0" collapsed="false">
      <c r="A95" s="32"/>
      <c r="B95" s="32"/>
      <c r="C95" s="32"/>
      <c r="D95" s="32"/>
      <c r="E95" s="34" t="str">
        <f aca="false">IF($B95="","",IF($B95="OUT","Liters",IFERROR(INDEX(Setup!$F$3:$F$24,MATCH($C95,Setup!$A$3:$A$24,0)),"")))</f>
        <v/>
      </c>
      <c r="F95" s="28" t="str">
        <f aca="false">IF(OR($D95="",$E95=""),"",IFERROR($D95*INDEX(Setup!$B$27:$B$44,MATCH($E95,Setup!$A$27:$A$44,0)),"TBD"))</f>
        <v/>
      </c>
      <c r="G95" s="32"/>
      <c r="H95" s="32"/>
      <c r="I95" s="32"/>
      <c r="J95" s="32"/>
      <c r="K95" s="35"/>
      <c r="L95" s="32"/>
      <c r="M95" s="32"/>
    </row>
    <row r="96" customFormat="false" ht="15" hidden="false" customHeight="true" outlineLevel="0" collapsed="false">
      <c r="A96" s="32"/>
      <c r="B96" s="32"/>
      <c r="C96" s="32"/>
      <c r="D96" s="32"/>
      <c r="E96" s="34" t="str">
        <f aca="false">IF($B96="","",IF($B96="OUT","Liters",IFERROR(INDEX(Setup!$F$3:$F$24,MATCH($C96,Setup!$A$3:$A$24,0)),"")))</f>
        <v/>
      </c>
      <c r="F96" s="28" t="str">
        <f aca="false">IF(OR($D96="",$E96=""),"",IFERROR($D96*INDEX(Setup!$B$27:$B$44,MATCH($E96,Setup!$A$27:$A$44,0)),"TBD"))</f>
        <v/>
      </c>
      <c r="G96" s="32"/>
      <c r="H96" s="32"/>
      <c r="I96" s="32"/>
      <c r="J96" s="32"/>
      <c r="K96" s="35"/>
      <c r="L96" s="32"/>
      <c r="M96" s="32"/>
    </row>
    <row r="97" customFormat="false" ht="15" hidden="false" customHeight="true" outlineLevel="0" collapsed="false">
      <c r="A97" s="32"/>
      <c r="B97" s="32"/>
      <c r="C97" s="32"/>
      <c r="D97" s="32"/>
      <c r="E97" s="34" t="str">
        <f aca="false">IF($B97="","",IF($B97="OUT","Liters",IFERROR(INDEX(Setup!$F$3:$F$24,MATCH($C97,Setup!$A$3:$A$24,0)),"")))</f>
        <v/>
      </c>
      <c r="F97" s="28" t="str">
        <f aca="false">IF(OR($D97="",$E97=""),"",IFERROR($D97*INDEX(Setup!$B$27:$B$44,MATCH($E97,Setup!$A$27:$A$44,0)),"TBD"))</f>
        <v/>
      </c>
      <c r="G97" s="32"/>
      <c r="H97" s="32"/>
      <c r="I97" s="32"/>
      <c r="J97" s="32"/>
      <c r="K97" s="35"/>
      <c r="L97" s="32"/>
      <c r="M97" s="32"/>
    </row>
    <row r="98" customFormat="false" ht="15" hidden="false" customHeight="true" outlineLevel="0" collapsed="false">
      <c r="A98" s="32"/>
      <c r="B98" s="32"/>
      <c r="C98" s="32"/>
      <c r="D98" s="32"/>
      <c r="E98" s="34" t="str">
        <f aca="false">IF($B98="","",IF($B98="OUT","Liters",IFERROR(INDEX(Setup!$F$3:$F$24,MATCH($C98,Setup!$A$3:$A$24,0)),"")))</f>
        <v/>
      </c>
      <c r="F98" s="28" t="str">
        <f aca="false">IF(OR($D98="",$E98=""),"",IFERROR($D98*INDEX(Setup!$B$27:$B$44,MATCH($E98,Setup!$A$27:$A$44,0)),"TBD"))</f>
        <v/>
      </c>
      <c r="G98" s="32"/>
      <c r="H98" s="32"/>
      <c r="I98" s="32"/>
      <c r="J98" s="32"/>
      <c r="K98" s="35"/>
      <c r="L98" s="32"/>
      <c r="M98" s="32"/>
    </row>
    <row r="99" customFormat="false" ht="15" hidden="false" customHeight="true" outlineLevel="0" collapsed="false">
      <c r="A99" s="32"/>
      <c r="B99" s="32"/>
      <c r="C99" s="32"/>
      <c r="D99" s="32"/>
      <c r="E99" s="34" t="str">
        <f aca="false">IF($B99="","",IF($B99="OUT","Liters",IFERROR(INDEX(Setup!$F$3:$F$24,MATCH($C99,Setup!$A$3:$A$24,0)),"")))</f>
        <v/>
      </c>
      <c r="F99" s="28" t="str">
        <f aca="false">IF(OR($D99="",$E99=""),"",IFERROR($D99*INDEX(Setup!$B$27:$B$44,MATCH($E99,Setup!$A$27:$A$44,0)),"TBD"))</f>
        <v/>
      </c>
      <c r="G99" s="32"/>
      <c r="H99" s="32"/>
      <c r="I99" s="32"/>
      <c r="J99" s="32"/>
      <c r="K99" s="35"/>
      <c r="L99" s="32"/>
      <c r="M99" s="32"/>
    </row>
    <row r="100" customFormat="false" ht="15" hidden="false" customHeight="true" outlineLevel="0" collapsed="false">
      <c r="A100" s="32"/>
      <c r="B100" s="32"/>
      <c r="C100" s="32"/>
      <c r="D100" s="32"/>
      <c r="E100" s="34" t="str">
        <f aca="false">IF($B100="","",IF($B100="OUT","Liters",IFERROR(INDEX(Setup!$F$3:$F$24,MATCH($C100,Setup!$A$3:$A$24,0)),"")))</f>
        <v/>
      </c>
      <c r="F100" s="28" t="str">
        <f aca="false">IF(OR($D100="",$E100=""),"",IFERROR($D100*INDEX(Setup!$B$27:$B$44,MATCH($E100,Setup!$A$27:$A$44,0)),"TBD"))</f>
        <v/>
      </c>
      <c r="G100" s="32"/>
      <c r="H100" s="32"/>
      <c r="I100" s="32"/>
      <c r="J100" s="32"/>
      <c r="K100" s="35"/>
      <c r="L100" s="32"/>
      <c r="M100" s="32"/>
    </row>
    <row r="101" customFormat="false" ht="15" hidden="false" customHeight="true" outlineLevel="0" collapsed="false">
      <c r="A101" s="32"/>
      <c r="B101" s="32"/>
      <c r="C101" s="32"/>
      <c r="D101" s="32"/>
      <c r="E101" s="34" t="str">
        <f aca="false">IF($B101="","",IF($B101="OUT","Liters",IFERROR(INDEX(Setup!$F$3:$F$24,MATCH($C101,Setup!$A$3:$A$24,0)),"")))</f>
        <v/>
      </c>
      <c r="F101" s="28" t="str">
        <f aca="false">IF(OR($D101="",$E101=""),"",IFERROR($D101*INDEX(Setup!$B$27:$B$44,MATCH($E101,Setup!$A$27:$A$44,0)),"TBD"))</f>
        <v/>
      </c>
      <c r="G101" s="32"/>
      <c r="H101" s="32"/>
      <c r="I101" s="32"/>
      <c r="J101" s="32"/>
      <c r="K101" s="35"/>
      <c r="L101" s="32"/>
      <c r="M101" s="32"/>
    </row>
    <row r="102" customFormat="false" ht="15" hidden="false" customHeight="true" outlineLevel="0" collapsed="false">
      <c r="A102" s="32"/>
      <c r="B102" s="32"/>
      <c r="C102" s="32"/>
      <c r="D102" s="32"/>
      <c r="E102" s="34" t="str">
        <f aca="false">IF($B102="","",IF($B102="OUT","Liters",IFERROR(INDEX(Setup!$F$3:$F$24,MATCH($C102,Setup!$A$3:$A$24,0)),"")))</f>
        <v/>
      </c>
      <c r="F102" s="28" t="str">
        <f aca="false">IF(OR($D102="",$E102=""),"",IFERROR($D102*INDEX(Setup!$B$27:$B$44,MATCH($E102,Setup!$A$27:$A$44,0)),"TBD"))</f>
        <v/>
      </c>
      <c r="G102" s="32"/>
      <c r="H102" s="32"/>
      <c r="I102" s="32"/>
      <c r="J102" s="32"/>
      <c r="K102" s="35"/>
      <c r="L102" s="32"/>
      <c r="M102" s="32"/>
    </row>
    <row r="103" customFormat="false" ht="15" hidden="false" customHeight="true" outlineLevel="0" collapsed="false">
      <c r="A103" s="32"/>
      <c r="B103" s="32"/>
      <c r="C103" s="32"/>
      <c r="D103" s="32"/>
      <c r="E103" s="34" t="str">
        <f aca="false">IF($B103="","",IF($B103="OUT","Liters",IFERROR(INDEX(Setup!$F$3:$F$24,MATCH($C103,Setup!$A$3:$A$24,0)),"")))</f>
        <v/>
      </c>
      <c r="F103" s="28" t="str">
        <f aca="false">IF(OR($D103="",$E103=""),"",IFERROR($D103*INDEX(Setup!$B$27:$B$44,MATCH($E103,Setup!$A$27:$A$44,0)),"TBD"))</f>
        <v/>
      </c>
      <c r="G103" s="32"/>
      <c r="H103" s="32"/>
      <c r="I103" s="32"/>
      <c r="J103" s="32"/>
      <c r="K103" s="35"/>
      <c r="L103" s="32"/>
      <c r="M103" s="32"/>
    </row>
    <row r="104" customFormat="false" ht="15" hidden="false" customHeight="true" outlineLevel="0" collapsed="false">
      <c r="A104" s="32"/>
      <c r="B104" s="32"/>
      <c r="C104" s="32"/>
      <c r="D104" s="32"/>
      <c r="E104" s="34" t="str">
        <f aca="false">IF($B104="","",IF($B104="OUT","Liters",IFERROR(INDEX(Setup!$F$3:$F$24,MATCH($C104,Setup!$A$3:$A$24,0)),"")))</f>
        <v/>
      </c>
      <c r="F104" s="28" t="str">
        <f aca="false">IF(OR($D104="",$E104=""),"",IFERROR($D104*INDEX(Setup!$B$27:$B$44,MATCH($E104,Setup!$A$27:$A$44,0)),"TBD"))</f>
        <v/>
      </c>
      <c r="G104" s="32"/>
      <c r="H104" s="32"/>
      <c r="I104" s="32"/>
      <c r="J104" s="32"/>
      <c r="K104" s="35"/>
      <c r="L104" s="32"/>
      <c r="M104" s="32"/>
    </row>
    <row r="105" customFormat="false" ht="15" hidden="false" customHeight="true" outlineLevel="0" collapsed="false">
      <c r="A105" s="32"/>
      <c r="B105" s="32"/>
      <c r="C105" s="32"/>
      <c r="D105" s="32"/>
      <c r="E105" s="34" t="str">
        <f aca="false">IF($B105="","",IF($B105="OUT","Liters",IFERROR(INDEX(Setup!$F$3:$F$24,MATCH($C105,Setup!$A$3:$A$24,0)),"")))</f>
        <v/>
      </c>
      <c r="F105" s="28" t="str">
        <f aca="false">IF(OR($D105="",$E105=""),"",IFERROR($D105*INDEX(Setup!$B$27:$B$44,MATCH($E105,Setup!$A$27:$A$44,0)),"TBD"))</f>
        <v/>
      </c>
      <c r="G105" s="32"/>
      <c r="H105" s="32"/>
      <c r="I105" s="32"/>
      <c r="J105" s="32"/>
      <c r="K105" s="35"/>
      <c r="L105" s="32"/>
      <c r="M105" s="32"/>
    </row>
    <row r="106" customFormat="false" ht="15" hidden="false" customHeight="true" outlineLevel="0" collapsed="false">
      <c r="A106" s="32"/>
      <c r="B106" s="32"/>
      <c r="C106" s="32"/>
      <c r="D106" s="32"/>
      <c r="E106" s="34" t="str">
        <f aca="false">IF($B106="","",IF($B106="OUT","Liters",IFERROR(INDEX(Setup!$F$3:$F$24,MATCH($C106,Setup!$A$3:$A$24,0)),"")))</f>
        <v/>
      </c>
      <c r="F106" s="28" t="str">
        <f aca="false">IF(OR($D106="",$E106=""),"",IFERROR($D106*INDEX(Setup!$B$27:$B$44,MATCH($E106,Setup!$A$27:$A$44,0)),"TBD"))</f>
        <v/>
      </c>
      <c r="G106" s="32"/>
      <c r="H106" s="32"/>
      <c r="I106" s="32"/>
      <c r="J106" s="32"/>
      <c r="K106" s="35"/>
      <c r="L106" s="32"/>
      <c r="M106" s="32"/>
    </row>
    <row r="107" customFormat="false" ht="15" hidden="false" customHeight="true" outlineLevel="0" collapsed="false">
      <c r="A107" s="32"/>
      <c r="B107" s="32"/>
      <c r="C107" s="32"/>
      <c r="D107" s="32"/>
      <c r="E107" s="34" t="str">
        <f aca="false">IF($B107="","",IF($B107="OUT","Liters",IFERROR(INDEX(Setup!$F$3:$F$24,MATCH($C107,Setup!$A$3:$A$24,0)),"")))</f>
        <v/>
      </c>
      <c r="F107" s="28" t="str">
        <f aca="false">IF(OR($D107="",$E107=""),"",IFERROR($D107*INDEX(Setup!$B$27:$B$44,MATCH($E107,Setup!$A$27:$A$44,0)),"TBD"))</f>
        <v/>
      </c>
      <c r="G107" s="32"/>
      <c r="H107" s="32"/>
      <c r="I107" s="32"/>
      <c r="J107" s="32"/>
      <c r="K107" s="35"/>
      <c r="L107" s="32"/>
      <c r="M107" s="32"/>
    </row>
    <row r="108" customFormat="false" ht="15" hidden="false" customHeight="true" outlineLevel="0" collapsed="false">
      <c r="A108" s="32"/>
      <c r="B108" s="32"/>
      <c r="C108" s="32"/>
      <c r="D108" s="32"/>
      <c r="E108" s="34" t="str">
        <f aca="false">IF($B108="","",IF($B108="OUT","Liters",IFERROR(INDEX(Setup!$F$3:$F$24,MATCH($C108,Setup!$A$3:$A$24,0)),"")))</f>
        <v/>
      </c>
      <c r="F108" s="28" t="str">
        <f aca="false">IF(OR($D108="",$E108=""),"",IFERROR($D108*INDEX(Setup!$B$27:$B$44,MATCH($E108,Setup!$A$27:$A$44,0)),"TBD"))</f>
        <v/>
      </c>
      <c r="G108" s="32"/>
      <c r="H108" s="32"/>
      <c r="I108" s="32"/>
      <c r="J108" s="32"/>
      <c r="K108" s="35"/>
      <c r="L108" s="32"/>
      <c r="M108" s="32"/>
    </row>
    <row r="109" customFormat="false" ht="15" hidden="false" customHeight="true" outlineLevel="0" collapsed="false">
      <c r="A109" s="32"/>
      <c r="B109" s="32"/>
      <c r="C109" s="32"/>
      <c r="D109" s="32"/>
      <c r="E109" s="34" t="str">
        <f aca="false">IF($B109="","",IF($B109="OUT","Liters",IFERROR(INDEX(Setup!$F$3:$F$24,MATCH($C109,Setup!$A$3:$A$24,0)),"")))</f>
        <v/>
      </c>
      <c r="F109" s="28" t="str">
        <f aca="false">IF(OR($D109="",$E109=""),"",IFERROR($D109*INDEX(Setup!$B$27:$B$44,MATCH($E109,Setup!$A$27:$A$44,0)),"TBD"))</f>
        <v/>
      </c>
      <c r="G109" s="32"/>
      <c r="H109" s="32"/>
      <c r="I109" s="32"/>
      <c r="J109" s="32"/>
      <c r="K109" s="35"/>
      <c r="L109" s="32"/>
      <c r="M109" s="32"/>
    </row>
    <row r="110" customFormat="false" ht="15" hidden="false" customHeight="true" outlineLevel="0" collapsed="false">
      <c r="A110" s="32"/>
      <c r="B110" s="32"/>
      <c r="C110" s="32"/>
      <c r="D110" s="32"/>
      <c r="E110" s="34" t="str">
        <f aca="false">IF($B110="","",IF($B110="OUT","Liters",IFERROR(INDEX(Setup!$F$3:$F$24,MATCH($C110,Setup!$A$3:$A$24,0)),"")))</f>
        <v/>
      </c>
      <c r="F110" s="28" t="str">
        <f aca="false">IF(OR($D110="",$E110=""),"",IFERROR($D110*INDEX(Setup!$B$27:$B$44,MATCH($E110,Setup!$A$27:$A$44,0)),"TBD"))</f>
        <v/>
      </c>
      <c r="G110" s="32"/>
      <c r="H110" s="32"/>
      <c r="I110" s="32"/>
      <c r="J110" s="32"/>
      <c r="K110" s="35"/>
      <c r="L110" s="32"/>
      <c r="M110" s="32"/>
    </row>
    <row r="111" customFormat="false" ht="15" hidden="false" customHeight="true" outlineLevel="0" collapsed="false">
      <c r="A111" s="32"/>
      <c r="B111" s="32"/>
      <c r="C111" s="32"/>
      <c r="D111" s="32"/>
      <c r="E111" s="34" t="str">
        <f aca="false">IF($B111="","",IF($B111="OUT","Liters",IFERROR(INDEX(Setup!$F$3:$F$24,MATCH($C111,Setup!$A$3:$A$24,0)),"")))</f>
        <v/>
      </c>
      <c r="F111" s="28" t="str">
        <f aca="false">IF(OR($D111="",$E111=""),"",IFERROR($D111*INDEX(Setup!$B$27:$B$44,MATCH($E111,Setup!$A$27:$A$44,0)),"TBD"))</f>
        <v/>
      </c>
      <c r="G111" s="32"/>
      <c r="H111" s="32"/>
      <c r="I111" s="32"/>
      <c r="J111" s="32"/>
      <c r="K111" s="35"/>
      <c r="L111" s="32"/>
      <c r="M111" s="32"/>
    </row>
    <row r="112" customFormat="false" ht="15" hidden="false" customHeight="true" outlineLevel="0" collapsed="false">
      <c r="A112" s="32"/>
      <c r="B112" s="32"/>
      <c r="C112" s="32"/>
      <c r="D112" s="32"/>
      <c r="E112" s="34" t="str">
        <f aca="false">IF($B112="","",IF($B112="OUT","Liters",IFERROR(INDEX(Setup!$F$3:$F$24,MATCH($C112,Setup!$A$3:$A$24,0)),"")))</f>
        <v/>
      </c>
      <c r="F112" s="28" t="str">
        <f aca="false">IF(OR($D112="",$E112=""),"",IFERROR($D112*INDEX(Setup!$B$27:$B$44,MATCH($E112,Setup!$A$27:$A$44,0)),"TBD"))</f>
        <v/>
      </c>
      <c r="G112" s="32"/>
      <c r="H112" s="32"/>
      <c r="I112" s="32"/>
      <c r="J112" s="32"/>
      <c r="K112" s="35"/>
      <c r="L112" s="32"/>
      <c r="M112" s="32"/>
    </row>
    <row r="113" customFormat="false" ht="15" hidden="false" customHeight="true" outlineLevel="0" collapsed="false">
      <c r="A113" s="32"/>
      <c r="B113" s="32"/>
      <c r="C113" s="32"/>
      <c r="D113" s="32"/>
      <c r="E113" s="34" t="str">
        <f aca="false">IF($B113="","",IF($B113="OUT","Liters",IFERROR(INDEX(Setup!$F$3:$F$24,MATCH($C113,Setup!$A$3:$A$24,0)),"")))</f>
        <v/>
      </c>
      <c r="F113" s="28" t="str">
        <f aca="false">IF(OR($D113="",$E113=""),"",IFERROR($D113*INDEX(Setup!$B$27:$B$44,MATCH($E113,Setup!$A$27:$A$44,0)),"TBD"))</f>
        <v/>
      </c>
      <c r="G113" s="32"/>
      <c r="H113" s="32"/>
      <c r="I113" s="32"/>
      <c r="J113" s="32"/>
      <c r="K113" s="35"/>
      <c r="L113" s="32"/>
      <c r="M113" s="32"/>
    </row>
    <row r="114" customFormat="false" ht="15" hidden="false" customHeight="true" outlineLevel="0" collapsed="false">
      <c r="A114" s="32"/>
      <c r="B114" s="32"/>
      <c r="C114" s="32"/>
      <c r="D114" s="32"/>
      <c r="E114" s="34" t="str">
        <f aca="false">IF($B114="","",IF($B114="OUT","Liters",IFERROR(INDEX(Setup!$F$3:$F$24,MATCH($C114,Setup!$A$3:$A$24,0)),"")))</f>
        <v/>
      </c>
      <c r="F114" s="28" t="str">
        <f aca="false">IF(OR($D114="",$E114=""),"",IFERROR($D114*INDEX(Setup!$B$27:$B$44,MATCH($E114,Setup!$A$27:$A$44,0)),"TBD"))</f>
        <v/>
      </c>
      <c r="G114" s="32"/>
      <c r="H114" s="32"/>
      <c r="I114" s="32"/>
      <c r="J114" s="32"/>
      <c r="K114" s="35"/>
      <c r="L114" s="32"/>
      <c r="M114" s="32"/>
    </row>
    <row r="115" customFormat="false" ht="15" hidden="false" customHeight="true" outlineLevel="0" collapsed="false">
      <c r="A115" s="32"/>
      <c r="B115" s="32"/>
      <c r="C115" s="32"/>
      <c r="D115" s="32"/>
      <c r="E115" s="34" t="str">
        <f aca="false">IF($B115="","",IF($B115="OUT","Liters",IFERROR(INDEX(Setup!$F$3:$F$24,MATCH($C115,Setup!$A$3:$A$24,0)),"")))</f>
        <v/>
      </c>
      <c r="F115" s="28" t="str">
        <f aca="false">IF(OR($D115="",$E115=""),"",IFERROR($D115*INDEX(Setup!$B$27:$B$44,MATCH($E115,Setup!$A$27:$A$44,0)),"TBD"))</f>
        <v/>
      </c>
      <c r="G115" s="32"/>
      <c r="H115" s="32"/>
      <c r="I115" s="32"/>
      <c r="J115" s="32"/>
      <c r="K115" s="35"/>
      <c r="L115" s="32"/>
      <c r="M115" s="32"/>
    </row>
    <row r="116" customFormat="false" ht="15" hidden="false" customHeight="true" outlineLevel="0" collapsed="false">
      <c r="A116" s="32"/>
      <c r="B116" s="32"/>
      <c r="C116" s="32"/>
      <c r="D116" s="32"/>
      <c r="E116" s="34" t="str">
        <f aca="false">IF($B116="","",IF($B116="OUT","Liters",IFERROR(INDEX(Setup!$F$3:$F$24,MATCH($C116,Setup!$A$3:$A$24,0)),"")))</f>
        <v/>
      </c>
      <c r="F116" s="28" t="str">
        <f aca="false">IF(OR($D116="",$E116=""),"",IFERROR($D116*INDEX(Setup!$B$27:$B$44,MATCH($E116,Setup!$A$27:$A$44,0)),"TBD"))</f>
        <v/>
      </c>
      <c r="G116" s="32"/>
      <c r="H116" s="32"/>
      <c r="I116" s="32"/>
      <c r="J116" s="32"/>
      <c r="K116" s="35"/>
      <c r="L116" s="32"/>
      <c r="M116" s="32"/>
    </row>
    <row r="117" customFormat="false" ht="15" hidden="false" customHeight="true" outlineLevel="0" collapsed="false">
      <c r="A117" s="32"/>
      <c r="B117" s="32"/>
      <c r="C117" s="32"/>
      <c r="D117" s="32"/>
      <c r="E117" s="34" t="str">
        <f aca="false">IF($B117="","",IF($B117="OUT","Liters",IFERROR(INDEX(Setup!$F$3:$F$24,MATCH($C117,Setup!$A$3:$A$24,0)),"")))</f>
        <v/>
      </c>
      <c r="F117" s="28" t="str">
        <f aca="false">IF(OR($D117="",$E117=""),"",IFERROR($D117*INDEX(Setup!$B$27:$B$44,MATCH($E117,Setup!$A$27:$A$44,0)),"TBD"))</f>
        <v/>
      </c>
      <c r="G117" s="32"/>
      <c r="H117" s="32"/>
      <c r="I117" s="32"/>
      <c r="J117" s="32"/>
      <c r="K117" s="35"/>
      <c r="L117" s="32"/>
      <c r="M117" s="32"/>
    </row>
    <row r="118" customFormat="false" ht="15" hidden="false" customHeight="true" outlineLevel="0" collapsed="false">
      <c r="A118" s="32"/>
      <c r="B118" s="32"/>
      <c r="C118" s="32"/>
      <c r="D118" s="32"/>
      <c r="E118" s="34" t="str">
        <f aca="false">IF($B118="","",IF($B118="OUT","Liters",IFERROR(INDEX(Setup!$F$3:$F$24,MATCH($C118,Setup!$A$3:$A$24,0)),"")))</f>
        <v/>
      </c>
      <c r="F118" s="28" t="str">
        <f aca="false">IF(OR($D118="",$E118=""),"",IFERROR($D118*INDEX(Setup!$B$27:$B$44,MATCH($E118,Setup!$A$27:$A$44,0)),"TBD"))</f>
        <v/>
      </c>
      <c r="G118" s="32"/>
      <c r="H118" s="32"/>
      <c r="I118" s="32"/>
      <c r="J118" s="32"/>
      <c r="K118" s="35"/>
      <c r="L118" s="32"/>
      <c r="M118" s="32"/>
    </row>
    <row r="119" customFormat="false" ht="15" hidden="false" customHeight="true" outlineLevel="0" collapsed="false">
      <c r="A119" s="32"/>
      <c r="B119" s="32"/>
      <c r="C119" s="32"/>
      <c r="D119" s="32"/>
      <c r="E119" s="34" t="str">
        <f aca="false">IF($B119="","",IF($B119="OUT","Liters",IFERROR(INDEX(Setup!$F$3:$F$24,MATCH($C119,Setup!$A$3:$A$24,0)),"")))</f>
        <v/>
      </c>
      <c r="F119" s="28" t="str">
        <f aca="false">IF(OR($D119="",$E119=""),"",IFERROR($D119*INDEX(Setup!$B$27:$B$44,MATCH($E119,Setup!$A$27:$A$44,0)),"TBD"))</f>
        <v/>
      </c>
      <c r="G119" s="32"/>
      <c r="H119" s="32"/>
      <c r="I119" s="32"/>
      <c r="J119" s="32"/>
      <c r="K119" s="35"/>
      <c r="L119" s="32"/>
      <c r="M119" s="32"/>
    </row>
    <row r="120" customFormat="false" ht="15" hidden="false" customHeight="true" outlineLevel="0" collapsed="false">
      <c r="A120" s="32"/>
      <c r="B120" s="32"/>
      <c r="C120" s="32"/>
      <c r="D120" s="32"/>
      <c r="E120" s="34" t="str">
        <f aca="false">IF($B120="","",IF($B120="OUT","Liters",IFERROR(INDEX(Setup!$F$3:$F$24,MATCH($C120,Setup!$A$3:$A$24,0)),"")))</f>
        <v/>
      </c>
      <c r="F120" s="28" t="str">
        <f aca="false">IF(OR($D120="",$E120=""),"",IFERROR($D120*INDEX(Setup!$B$27:$B$44,MATCH($E120,Setup!$A$27:$A$44,0)),"TBD"))</f>
        <v/>
      </c>
      <c r="G120" s="32"/>
      <c r="H120" s="32"/>
      <c r="I120" s="32"/>
      <c r="J120" s="32"/>
      <c r="K120" s="35"/>
      <c r="L120" s="32"/>
      <c r="M120" s="32"/>
    </row>
    <row r="121" customFormat="false" ht="15" hidden="false" customHeight="true" outlineLevel="0" collapsed="false">
      <c r="A121" s="32"/>
      <c r="B121" s="32"/>
      <c r="C121" s="32"/>
      <c r="D121" s="32"/>
      <c r="E121" s="34" t="str">
        <f aca="false">IF($B121="","",IF($B121="OUT","Liters",IFERROR(INDEX(Setup!$F$3:$F$24,MATCH($C121,Setup!$A$3:$A$24,0)),"")))</f>
        <v/>
      </c>
      <c r="F121" s="28" t="str">
        <f aca="false">IF(OR($D121="",$E121=""),"",IFERROR($D121*INDEX(Setup!$B$27:$B$44,MATCH($E121,Setup!$A$27:$A$44,0)),"TBD"))</f>
        <v/>
      </c>
      <c r="G121" s="32"/>
      <c r="H121" s="32"/>
      <c r="I121" s="32"/>
      <c r="J121" s="32"/>
      <c r="K121" s="35"/>
      <c r="L121" s="32"/>
      <c r="M121" s="32"/>
    </row>
    <row r="122" customFormat="false" ht="15" hidden="false" customHeight="true" outlineLevel="0" collapsed="false">
      <c r="A122" s="32"/>
      <c r="B122" s="32"/>
      <c r="C122" s="32"/>
      <c r="D122" s="32"/>
      <c r="E122" s="34" t="str">
        <f aca="false">IF($B122="","",IF($B122="OUT","Liters",IFERROR(INDEX(Setup!$F$3:$F$24,MATCH($C122,Setup!$A$3:$A$24,0)),"")))</f>
        <v/>
      </c>
      <c r="F122" s="28" t="str">
        <f aca="false">IF(OR($D122="",$E122=""),"",IFERROR($D122*INDEX(Setup!$B$27:$B$44,MATCH($E122,Setup!$A$27:$A$44,0)),"TBD"))</f>
        <v/>
      </c>
      <c r="G122" s="32"/>
      <c r="H122" s="32"/>
      <c r="I122" s="32"/>
      <c r="J122" s="32"/>
      <c r="K122" s="35"/>
      <c r="L122" s="32"/>
      <c r="M122" s="32"/>
    </row>
    <row r="123" customFormat="false" ht="15" hidden="false" customHeight="true" outlineLevel="0" collapsed="false">
      <c r="A123" s="32"/>
      <c r="B123" s="32"/>
      <c r="C123" s="32"/>
      <c r="D123" s="32"/>
      <c r="E123" s="34" t="str">
        <f aca="false">IF($B123="","",IF($B123="OUT","Liters",IFERROR(INDEX(Setup!$F$3:$F$24,MATCH($C123,Setup!$A$3:$A$24,0)),"")))</f>
        <v/>
      </c>
      <c r="F123" s="28" t="str">
        <f aca="false">IF(OR($D123="",$E123=""),"",IFERROR($D123*INDEX(Setup!$B$27:$B$44,MATCH($E123,Setup!$A$27:$A$44,0)),"TBD"))</f>
        <v/>
      </c>
      <c r="G123" s="32"/>
      <c r="H123" s="32"/>
      <c r="I123" s="32"/>
      <c r="J123" s="32"/>
      <c r="K123" s="35"/>
      <c r="L123" s="32"/>
      <c r="M123" s="32"/>
    </row>
    <row r="124" customFormat="false" ht="15" hidden="false" customHeight="true" outlineLevel="0" collapsed="false">
      <c r="A124" s="32"/>
      <c r="B124" s="32"/>
      <c r="C124" s="32"/>
      <c r="D124" s="32"/>
      <c r="E124" s="34" t="str">
        <f aca="false">IF($B124="","",IF($B124="OUT","Liters",IFERROR(INDEX(Setup!$F$3:$F$24,MATCH($C124,Setup!$A$3:$A$24,0)),"")))</f>
        <v/>
      </c>
      <c r="F124" s="28" t="str">
        <f aca="false">IF(OR($D124="",$E124=""),"",IFERROR($D124*INDEX(Setup!$B$27:$B$44,MATCH($E124,Setup!$A$27:$A$44,0)),"TBD"))</f>
        <v/>
      </c>
      <c r="G124" s="32"/>
      <c r="H124" s="32"/>
      <c r="I124" s="32"/>
      <c r="J124" s="32"/>
      <c r="K124" s="35"/>
      <c r="L124" s="32"/>
      <c r="M124" s="32"/>
    </row>
    <row r="125" customFormat="false" ht="15" hidden="false" customHeight="true" outlineLevel="0" collapsed="false">
      <c r="A125" s="32"/>
      <c r="B125" s="32"/>
      <c r="C125" s="32"/>
      <c r="D125" s="32"/>
      <c r="E125" s="34" t="str">
        <f aca="false">IF($B125="","",IF($B125="OUT","Liters",IFERROR(INDEX(Setup!$F$3:$F$24,MATCH($C125,Setup!$A$3:$A$24,0)),"")))</f>
        <v/>
      </c>
      <c r="F125" s="28" t="str">
        <f aca="false">IF(OR($D125="",$E125=""),"",IFERROR($D125*INDEX(Setup!$B$27:$B$44,MATCH($E125,Setup!$A$27:$A$44,0)),"TBD"))</f>
        <v/>
      </c>
      <c r="G125" s="32"/>
      <c r="H125" s="32"/>
      <c r="I125" s="32"/>
      <c r="J125" s="32"/>
      <c r="K125" s="35"/>
      <c r="L125" s="32"/>
      <c r="M125" s="32"/>
    </row>
    <row r="126" customFormat="false" ht="15" hidden="false" customHeight="true" outlineLevel="0" collapsed="false">
      <c r="A126" s="32"/>
      <c r="B126" s="32"/>
      <c r="C126" s="32"/>
      <c r="D126" s="32"/>
      <c r="E126" s="34" t="str">
        <f aca="false">IF($B126="","",IF($B126="OUT","Liters",IFERROR(INDEX(Setup!$F$3:$F$24,MATCH($C126,Setup!$A$3:$A$24,0)),"")))</f>
        <v/>
      </c>
      <c r="F126" s="28" t="str">
        <f aca="false">IF(OR($D126="",$E126=""),"",IFERROR($D126*INDEX(Setup!$B$27:$B$44,MATCH($E126,Setup!$A$27:$A$44,0)),"TBD"))</f>
        <v/>
      </c>
      <c r="G126" s="32"/>
      <c r="H126" s="32"/>
      <c r="I126" s="32"/>
      <c r="J126" s="32"/>
      <c r="K126" s="35"/>
      <c r="L126" s="32"/>
      <c r="M126" s="32"/>
    </row>
    <row r="127" customFormat="false" ht="15" hidden="false" customHeight="true" outlineLevel="0" collapsed="false">
      <c r="A127" s="32"/>
      <c r="B127" s="32"/>
      <c r="C127" s="32"/>
      <c r="D127" s="32"/>
      <c r="E127" s="34" t="str">
        <f aca="false">IF($B127="","",IF($B127="OUT","Liters",IFERROR(INDEX(Setup!$F$3:$F$24,MATCH($C127,Setup!$A$3:$A$24,0)),"")))</f>
        <v/>
      </c>
      <c r="F127" s="28" t="str">
        <f aca="false">IF(OR($D127="",$E127=""),"",IFERROR($D127*INDEX(Setup!$B$27:$B$44,MATCH($E127,Setup!$A$27:$A$44,0)),"TBD"))</f>
        <v/>
      </c>
      <c r="G127" s="32"/>
      <c r="H127" s="32"/>
      <c r="I127" s="32"/>
      <c r="J127" s="32"/>
      <c r="K127" s="35"/>
      <c r="L127" s="32"/>
      <c r="M127" s="32"/>
    </row>
    <row r="128" customFormat="false" ht="15" hidden="false" customHeight="true" outlineLevel="0" collapsed="false">
      <c r="A128" s="32"/>
      <c r="B128" s="32"/>
      <c r="C128" s="32"/>
      <c r="D128" s="32"/>
      <c r="E128" s="34" t="str">
        <f aca="false">IF($B128="","",IF($B128="OUT","Liters",IFERROR(INDEX(Setup!$F$3:$F$24,MATCH($C128,Setup!$A$3:$A$24,0)),"")))</f>
        <v/>
      </c>
      <c r="F128" s="28" t="str">
        <f aca="false">IF(OR($D128="",$E128=""),"",IFERROR($D128*INDEX(Setup!$B$27:$B$44,MATCH($E128,Setup!$A$27:$A$44,0)),"TBD"))</f>
        <v/>
      </c>
      <c r="G128" s="32"/>
      <c r="H128" s="32"/>
      <c r="I128" s="32"/>
      <c r="J128" s="32"/>
      <c r="K128" s="35"/>
      <c r="L128" s="32"/>
      <c r="M128" s="32"/>
    </row>
    <row r="129" customFormat="false" ht="15" hidden="false" customHeight="true" outlineLevel="0" collapsed="false">
      <c r="A129" s="32"/>
      <c r="B129" s="32"/>
      <c r="C129" s="32"/>
      <c r="D129" s="32"/>
      <c r="E129" s="34" t="str">
        <f aca="false">IF($B129="","",IF($B129="OUT","Liters",IFERROR(INDEX(Setup!$F$3:$F$24,MATCH($C129,Setup!$A$3:$A$24,0)),"")))</f>
        <v/>
      </c>
      <c r="F129" s="28" t="str">
        <f aca="false">IF(OR($D129="",$E129=""),"",IFERROR($D129*INDEX(Setup!$B$27:$B$44,MATCH($E129,Setup!$A$27:$A$44,0)),"TBD"))</f>
        <v/>
      </c>
      <c r="G129" s="32"/>
      <c r="H129" s="32"/>
      <c r="I129" s="32"/>
      <c r="J129" s="32"/>
      <c r="K129" s="35"/>
      <c r="L129" s="32"/>
      <c r="M129" s="32"/>
    </row>
    <row r="130" customFormat="false" ht="15" hidden="false" customHeight="true" outlineLevel="0" collapsed="false">
      <c r="A130" s="32"/>
      <c r="B130" s="32"/>
      <c r="C130" s="32"/>
      <c r="D130" s="32"/>
      <c r="E130" s="34" t="str">
        <f aca="false">IF($B130="","",IF($B130="OUT","Liters",IFERROR(INDEX(Setup!$F$3:$F$24,MATCH($C130,Setup!$A$3:$A$24,0)),"")))</f>
        <v/>
      </c>
      <c r="F130" s="28" t="str">
        <f aca="false">IF(OR($D130="",$E130=""),"",IFERROR($D130*INDEX(Setup!$B$27:$B$44,MATCH($E130,Setup!$A$27:$A$44,0)),"TBD"))</f>
        <v/>
      </c>
      <c r="G130" s="32"/>
      <c r="H130" s="32"/>
      <c r="I130" s="32"/>
      <c r="J130" s="32"/>
      <c r="K130" s="35"/>
      <c r="L130" s="32"/>
      <c r="M130" s="32"/>
    </row>
    <row r="131" customFormat="false" ht="15" hidden="false" customHeight="true" outlineLevel="0" collapsed="false">
      <c r="A131" s="32"/>
      <c r="B131" s="32"/>
      <c r="C131" s="32"/>
      <c r="D131" s="32"/>
      <c r="E131" s="34" t="str">
        <f aca="false">IF($B131="","",IF($B131="OUT","Liters",IFERROR(INDEX(Setup!$F$3:$F$24,MATCH($C131,Setup!$A$3:$A$24,0)),"")))</f>
        <v/>
      </c>
      <c r="F131" s="28" t="str">
        <f aca="false">IF(OR($D131="",$E131=""),"",IFERROR($D131*INDEX(Setup!$B$27:$B$44,MATCH($E131,Setup!$A$27:$A$44,0)),"TBD"))</f>
        <v/>
      </c>
      <c r="G131" s="32"/>
      <c r="H131" s="32"/>
      <c r="I131" s="32"/>
      <c r="J131" s="32"/>
      <c r="K131" s="35"/>
      <c r="L131" s="32"/>
      <c r="M131" s="32"/>
    </row>
    <row r="132" customFormat="false" ht="15" hidden="false" customHeight="true" outlineLevel="0" collapsed="false">
      <c r="A132" s="32"/>
      <c r="B132" s="32"/>
      <c r="C132" s="32"/>
      <c r="D132" s="32"/>
      <c r="E132" s="34" t="str">
        <f aca="false">IF($B132="","",IF($B132="OUT","Liters",IFERROR(INDEX(Setup!$F$3:$F$24,MATCH($C132,Setup!$A$3:$A$24,0)),"")))</f>
        <v/>
      </c>
      <c r="F132" s="28" t="str">
        <f aca="false">IF(OR($D132="",$E132=""),"",IFERROR($D132*INDEX(Setup!$B$27:$B$44,MATCH($E132,Setup!$A$27:$A$44,0)),"TBD"))</f>
        <v/>
      </c>
      <c r="G132" s="32"/>
      <c r="H132" s="32"/>
      <c r="I132" s="32"/>
      <c r="J132" s="32"/>
      <c r="K132" s="35"/>
      <c r="L132" s="32"/>
      <c r="M132" s="32"/>
    </row>
    <row r="133" customFormat="false" ht="15" hidden="false" customHeight="true" outlineLevel="0" collapsed="false">
      <c r="A133" s="32"/>
      <c r="B133" s="32"/>
      <c r="C133" s="32"/>
      <c r="D133" s="32"/>
      <c r="E133" s="34" t="str">
        <f aca="false">IF($B133="","",IF($B133="OUT","Liters",IFERROR(INDEX(Setup!$F$3:$F$24,MATCH($C133,Setup!$A$3:$A$24,0)),"")))</f>
        <v/>
      </c>
      <c r="F133" s="28" t="str">
        <f aca="false">IF(OR($D133="",$E133=""),"",IFERROR($D133*INDEX(Setup!$B$27:$B$44,MATCH($E133,Setup!$A$27:$A$44,0)),"TBD"))</f>
        <v/>
      </c>
      <c r="G133" s="32"/>
      <c r="H133" s="32"/>
      <c r="I133" s="32"/>
      <c r="J133" s="32"/>
      <c r="K133" s="35"/>
      <c r="L133" s="32"/>
      <c r="M133" s="32"/>
    </row>
    <row r="134" customFormat="false" ht="15" hidden="false" customHeight="true" outlineLevel="0" collapsed="false">
      <c r="A134" s="32"/>
      <c r="B134" s="32"/>
      <c r="C134" s="32"/>
      <c r="D134" s="32"/>
      <c r="E134" s="34" t="str">
        <f aca="false">IF($B134="","",IF($B134="OUT","Liters",IFERROR(INDEX(Setup!$F$3:$F$24,MATCH($C134,Setup!$A$3:$A$24,0)),"")))</f>
        <v/>
      </c>
      <c r="F134" s="28" t="str">
        <f aca="false">IF(OR($D134="",$E134=""),"",IFERROR($D134*INDEX(Setup!$B$27:$B$44,MATCH($E134,Setup!$A$27:$A$44,0)),"TBD"))</f>
        <v/>
      </c>
      <c r="G134" s="32"/>
      <c r="H134" s="32"/>
      <c r="I134" s="32"/>
      <c r="J134" s="32"/>
      <c r="K134" s="35"/>
      <c r="L134" s="32"/>
      <c r="M134" s="32"/>
    </row>
    <row r="135" customFormat="false" ht="15" hidden="false" customHeight="true" outlineLevel="0" collapsed="false">
      <c r="A135" s="32"/>
      <c r="B135" s="32"/>
      <c r="C135" s="32"/>
      <c r="D135" s="32"/>
      <c r="E135" s="34" t="str">
        <f aca="false">IF($B135="","",IF($B135="OUT","Liters",IFERROR(INDEX(Setup!$F$3:$F$24,MATCH($C135,Setup!$A$3:$A$24,0)),"")))</f>
        <v/>
      </c>
      <c r="F135" s="28" t="str">
        <f aca="false">IF(OR($D135="",$E135=""),"",IFERROR($D135*INDEX(Setup!$B$27:$B$44,MATCH($E135,Setup!$A$27:$A$44,0)),"TBD"))</f>
        <v/>
      </c>
      <c r="G135" s="32"/>
      <c r="H135" s="32"/>
      <c r="I135" s="32"/>
      <c r="J135" s="32"/>
      <c r="K135" s="35"/>
      <c r="L135" s="32"/>
      <c r="M135" s="32"/>
    </row>
    <row r="136" customFormat="false" ht="15" hidden="false" customHeight="true" outlineLevel="0" collapsed="false">
      <c r="A136" s="32"/>
      <c r="B136" s="32"/>
      <c r="C136" s="32"/>
      <c r="D136" s="32"/>
      <c r="E136" s="34" t="str">
        <f aca="false">IF($B136="","",IF($B136="OUT","Liters",IFERROR(INDEX(Setup!$F$3:$F$24,MATCH($C136,Setup!$A$3:$A$24,0)),"")))</f>
        <v/>
      </c>
      <c r="F136" s="28" t="str">
        <f aca="false">IF(OR($D136="",$E136=""),"",IFERROR($D136*INDEX(Setup!$B$27:$B$44,MATCH($E136,Setup!$A$27:$A$44,0)),"TBD"))</f>
        <v/>
      </c>
      <c r="G136" s="32"/>
      <c r="H136" s="32"/>
      <c r="I136" s="32"/>
      <c r="J136" s="32"/>
      <c r="K136" s="35"/>
      <c r="L136" s="32"/>
      <c r="M136" s="32"/>
    </row>
    <row r="137" customFormat="false" ht="15" hidden="false" customHeight="true" outlineLevel="0" collapsed="false">
      <c r="A137" s="32"/>
      <c r="B137" s="32"/>
      <c r="C137" s="32"/>
      <c r="D137" s="32"/>
      <c r="E137" s="34" t="str">
        <f aca="false">IF($B137="","",IF($B137="OUT","Liters",IFERROR(INDEX(Setup!$F$3:$F$24,MATCH($C137,Setup!$A$3:$A$24,0)),"")))</f>
        <v/>
      </c>
      <c r="F137" s="28" t="str">
        <f aca="false">IF(OR($D137="",$E137=""),"",IFERROR($D137*INDEX(Setup!$B$27:$B$44,MATCH($E137,Setup!$A$27:$A$44,0)),"TBD"))</f>
        <v/>
      </c>
      <c r="G137" s="32"/>
      <c r="H137" s="32"/>
      <c r="I137" s="32"/>
      <c r="J137" s="32"/>
      <c r="K137" s="35"/>
      <c r="L137" s="32"/>
      <c r="M137" s="32"/>
    </row>
    <row r="138" customFormat="false" ht="15" hidden="false" customHeight="true" outlineLevel="0" collapsed="false">
      <c r="A138" s="32"/>
      <c r="B138" s="32"/>
      <c r="C138" s="32"/>
      <c r="D138" s="32"/>
      <c r="E138" s="34" t="str">
        <f aca="false">IF($B138="","",IF($B138="OUT","Liters",IFERROR(INDEX(Setup!$F$3:$F$24,MATCH($C138,Setup!$A$3:$A$24,0)),"")))</f>
        <v/>
      </c>
      <c r="F138" s="28" t="str">
        <f aca="false">IF(OR($D138="",$E138=""),"",IFERROR($D138*INDEX(Setup!$B$27:$B$44,MATCH($E138,Setup!$A$27:$A$44,0)),"TBD"))</f>
        <v/>
      </c>
      <c r="G138" s="32"/>
      <c r="H138" s="32"/>
      <c r="I138" s="32"/>
      <c r="J138" s="32"/>
      <c r="K138" s="35"/>
      <c r="L138" s="32"/>
      <c r="M138" s="32"/>
    </row>
    <row r="139" customFormat="false" ht="15" hidden="false" customHeight="true" outlineLevel="0" collapsed="false">
      <c r="A139" s="32"/>
      <c r="B139" s="32"/>
      <c r="C139" s="32"/>
      <c r="D139" s="32"/>
      <c r="E139" s="34" t="str">
        <f aca="false">IF($B139="","",IF($B139="OUT","Liters",IFERROR(INDEX(Setup!$F$3:$F$24,MATCH($C139,Setup!$A$3:$A$24,0)),"")))</f>
        <v/>
      </c>
      <c r="F139" s="28" t="str">
        <f aca="false">IF(OR($D139="",$E139=""),"",IFERROR($D139*INDEX(Setup!$B$27:$B$44,MATCH($E139,Setup!$A$27:$A$44,0)),"TBD"))</f>
        <v/>
      </c>
      <c r="G139" s="32"/>
      <c r="H139" s="32"/>
      <c r="I139" s="32"/>
      <c r="J139" s="32"/>
      <c r="K139" s="35"/>
      <c r="L139" s="32"/>
      <c r="M139" s="32"/>
    </row>
    <row r="140" customFormat="false" ht="15" hidden="false" customHeight="true" outlineLevel="0" collapsed="false">
      <c r="A140" s="32"/>
      <c r="B140" s="32"/>
      <c r="C140" s="32"/>
      <c r="D140" s="32"/>
      <c r="E140" s="34" t="str">
        <f aca="false">IF($B140="","",IF($B140="OUT","Liters",IFERROR(INDEX(Setup!$F$3:$F$24,MATCH($C140,Setup!$A$3:$A$24,0)),"")))</f>
        <v/>
      </c>
      <c r="F140" s="28" t="str">
        <f aca="false">IF(OR($D140="",$E140=""),"",IFERROR($D140*INDEX(Setup!$B$27:$B$44,MATCH($E140,Setup!$A$27:$A$44,0)),"TBD"))</f>
        <v/>
      </c>
      <c r="G140" s="32"/>
      <c r="H140" s="32"/>
      <c r="I140" s="32"/>
      <c r="J140" s="32"/>
      <c r="K140" s="35"/>
      <c r="L140" s="32"/>
      <c r="M140" s="32"/>
    </row>
    <row r="141" customFormat="false" ht="15" hidden="false" customHeight="true" outlineLevel="0" collapsed="false">
      <c r="A141" s="32"/>
      <c r="B141" s="32"/>
      <c r="C141" s="32"/>
      <c r="D141" s="32"/>
      <c r="E141" s="34" t="str">
        <f aca="false">IF($B141="","",IF($B141="OUT","Liters",IFERROR(INDEX(Setup!$F$3:$F$24,MATCH($C141,Setup!$A$3:$A$24,0)),"")))</f>
        <v/>
      </c>
      <c r="F141" s="28" t="str">
        <f aca="false">IF(OR($D141="",$E141=""),"",IFERROR($D141*INDEX(Setup!$B$27:$B$44,MATCH($E141,Setup!$A$27:$A$44,0)),"TBD"))</f>
        <v/>
      </c>
      <c r="G141" s="32"/>
      <c r="H141" s="32"/>
      <c r="I141" s="32"/>
      <c r="J141" s="32"/>
      <c r="K141" s="35"/>
      <c r="L141" s="32"/>
      <c r="M141" s="32"/>
    </row>
    <row r="142" customFormat="false" ht="15" hidden="false" customHeight="true" outlineLevel="0" collapsed="false">
      <c r="A142" s="32"/>
      <c r="B142" s="32"/>
      <c r="C142" s="32"/>
      <c r="D142" s="32"/>
      <c r="E142" s="34" t="str">
        <f aca="false">IF($B142="","",IF($B142="OUT","Liters",IFERROR(INDEX(Setup!$F$3:$F$24,MATCH($C142,Setup!$A$3:$A$24,0)),"")))</f>
        <v/>
      </c>
      <c r="F142" s="28" t="str">
        <f aca="false">IF(OR($D142="",$E142=""),"",IFERROR($D142*INDEX(Setup!$B$27:$B$44,MATCH($E142,Setup!$A$27:$A$44,0)),"TBD"))</f>
        <v/>
      </c>
      <c r="G142" s="32"/>
      <c r="H142" s="32"/>
      <c r="I142" s="32"/>
      <c r="J142" s="32"/>
      <c r="K142" s="35"/>
      <c r="L142" s="32"/>
      <c r="M142" s="32"/>
    </row>
    <row r="143" customFormat="false" ht="15" hidden="false" customHeight="true" outlineLevel="0" collapsed="false">
      <c r="A143" s="32"/>
      <c r="B143" s="32"/>
      <c r="C143" s="32"/>
      <c r="D143" s="32"/>
      <c r="E143" s="34" t="str">
        <f aca="false">IF($B143="","",IF($B143="OUT","Liters",IFERROR(INDEX(Setup!$F$3:$F$24,MATCH($C143,Setup!$A$3:$A$24,0)),"")))</f>
        <v/>
      </c>
      <c r="F143" s="28" t="str">
        <f aca="false">IF(OR($D143="",$E143=""),"",IFERROR($D143*INDEX(Setup!$B$27:$B$44,MATCH($E143,Setup!$A$27:$A$44,0)),"TBD"))</f>
        <v/>
      </c>
      <c r="G143" s="32"/>
      <c r="H143" s="32"/>
      <c r="I143" s="32"/>
      <c r="J143" s="32"/>
      <c r="K143" s="35"/>
      <c r="L143" s="32"/>
      <c r="M143" s="32"/>
    </row>
    <row r="144" customFormat="false" ht="15" hidden="false" customHeight="true" outlineLevel="0" collapsed="false">
      <c r="A144" s="32"/>
      <c r="B144" s="32"/>
      <c r="C144" s="32"/>
      <c r="D144" s="32"/>
      <c r="E144" s="34" t="str">
        <f aca="false">IF($B144="","",IF($B144="OUT","Liters",IFERROR(INDEX(Setup!$F$3:$F$24,MATCH($C144,Setup!$A$3:$A$24,0)),"")))</f>
        <v/>
      </c>
      <c r="F144" s="28" t="str">
        <f aca="false">IF(OR($D144="",$E144=""),"",IFERROR($D144*INDEX(Setup!$B$27:$B$44,MATCH($E144,Setup!$A$27:$A$44,0)),"TBD"))</f>
        <v/>
      </c>
      <c r="G144" s="32"/>
      <c r="H144" s="32"/>
      <c r="I144" s="32"/>
      <c r="J144" s="32"/>
      <c r="K144" s="35"/>
      <c r="L144" s="32"/>
      <c r="M144" s="32"/>
    </row>
    <row r="145" customFormat="false" ht="15" hidden="false" customHeight="true" outlineLevel="0" collapsed="false">
      <c r="A145" s="32"/>
      <c r="B145" s="32"/>
      <c r="C145" s="32"/>
      <c r="D145" s="32"/>
      <c r="E145" s="34" t="str">
        <f aca="false">IF($B145="","",IF($B145="OUT","Liters",IFERROR(INDEX(Setup!$F$3:$F$24,MATCH($C145,Setup!$A$3:$A$24,0)),"")))</f>
        <v/>
      </c>
      <c r="F145" s="28" t="str">
        <f aca="false">IF(OR($D145="",$E145=""),"",IFERROR($D145*INDEX(Setup!$B$27:$B$44,MATCH($E145,Setup!$A$27:$A$44,0)),"TBD"))</f>
        <v/>
      </c>
      <c r="G145" s="32"/>
      <c r="H145" s="32"/>
      <c r="I145" s="32"/>
      <c r="J145" s="32"/>
      <c r="K145" s="35"/>
      <c r="L145" s="32"/>
      <c r="M145" s="32"/>
    </row>
    <row r="146" customFormat="false" ht="15" hidden="false" customHeight="true" outlineLevel="0" collapsed="false">
      <c r="A146" s="32"/>
      <c r="B146" s="32"/>
      <c r="C146" s="32"/>
      <c r="D146" s="32"/>
      <c r="E146" s="34" t="str">
        <f aca="false">IF($B146="","",IF($B146="OUT","Liters",IFERROR(INDEX(Setup!$F$3:$F$24,MATCH($C146,Setup!$A$3:$A$24,0)),"")))</f>
        <v/>
      </c>
      <c r="F146" s="28" t="str">
        <f aca="false">IF(OR($D146="",$E146=""),"",IFERROR($D146*INDEX(Setup!$B$27:$B$44,MATCH($E146,Setup!$A$27:$A$44,0)),"TBD"))</f>
        <v/>
      </c>
      <c r="G146" s="32"/>
      <c r="H146" s="32"/>
      <c r="I146" s="32"/>
      <c r="J146" s="32"/>
      <c r="K146" s="35"/>
      <c r="L146" s="32"/>
      <c r="M146" s="32"/>
    </row>
    <row r="147" customFormat="false" ht="15" hidden="false" customHeight="true" outlineLevel="0" collapsed="false">
      <c r="A147" s="32"/>
      <c r="B147" s="32"/>
      <c r="C147" s="32"/>
      <c r="D147" s="32"/>
      <c r="E147" s="34" t="str">
        <f aca="false">IF($B147="","",IF($B147="OUT","Liters",IFERROR(INDEX(Setup!$F$3:$F$24,MATCH($C147,Setup!$A$3:$A$24,0)),"")))</f>
        <v/>
      </c>
      <c r="F147" s="28" t="str">
        <f aca="false">IF(OR($D147="",$E147=""),"",IFERROR($D147*INDEX(Setup!$B$27:$B$44,MATCH($E147,Setup!$A$27:$A$44,0)),"TBD"))</f>
        <v/>
      </c>
      <c r="G147" s="32"/>
      <c r="H147" s="32"/>
      <c r="I147" s="32"/>
      <c r="J147" s="32"/>
      <c r="K147" s="35"/>
      <c r="L147" s="32"/>
      <c r="M147" s="32"/>
    </row>
    <row r="148" customFormat="false" ht="15" hidden="false" customHeight="true" outlineLevel="0" collapsed="false">
      <c r="A148" s="32"/>
      <c r="B148" s="32"/>
      <c r="C148" s="32"/>
      <c r="D148" s="32"/>
      <c r="E148" s="34" t="str">
        <f aca="false">IF($B148="","",IF($B148="OUT","Liters",IFERROR(INDEX(Setup!$F$3:$F$24,MATCH($C148,Setup!$A$3:$A$24,0)),"")))</f>
        <v/>
      </c>
      <c r="F148" s="28" t="str">
        <f aca="false">IF(OR($D148="",$E148=""),"",IFERROR($D148*INDEX(Setup!$B$27:$B$44,MATCH($E148,Setup!$A$27:$A$44,0)),"TBD"))</f>
        <v/>
      </c>
      <c r="G148" s="32"/>
      <c r="H148" s="32"/>
      <c r="I148" s="32"/>
      <c r="J148" s="32"/>
      <c r="K148" s="35"/>
      <c r="L148" s="32"/>
      <c r="M148" s="32"/>
    </row>
    <row r="149" customFormat="false" ht="15" hidden="false" customHeight="true" outlineLevel="0" collapsed="false">
      <c r="A149" s="32"/>
      <c r="B149" s="32"/>
      <c r="C149" s="32"/>
      <c r="D149" s="32"/>
      <c r="E149" s="34" t="str">
        <f aca="false">IF($B149="","",IF($B149="OUT","Liters",IFERROR(INDEX(Setup!$F$3:$F$24,MATCH($C149,Setup!$A$3:$A$24,0)),"")))</f>
        <v/>
      </c>
      <c r="F149" s="28" t="str">
        <f aca="false">IF(OR($D149="",$E149=""),"",IFERROR($D149*INDEX(Setup!$B$27:$B$44,MATCH($E149,Setup!$A$27:$A$44,0)),"TBD"))</f>
        <v/>
      </c>
      <c r="G149" s="32"/>
      <c r="H149" s="32"/>
      <c r="I149" s="32"/>
      <c r="J149" s="32"/>
      <c r="K149" s="35"/>
      <c r="L149" s="32"/>
      <c r="M149" s="32"/>
    </row>
    <row r="150" customFormat="false" ht="15" hidden="false" customHeight="true" outlineLevel="0" collapsed="false">
      <c r="A150" s="32"/>
      <c r="B150" s="32"/>
      <c r="C150" s="32"/>
      <c r="D150" s="32"/>
      <c r="E150" s="34" t="str">
        <f aca="false">IF($B150="","",IF($B150="OUT","Liters",IFERROR(INDEX(Setup!$F$3:$F$24,MATCH($C150,Setup!$A$3:$A$24,0)),"")))</f>
        <v/>
      </c>
      <c r="F150" s="28" t="str">
        <f aca="false">IF(OR($D150="",$E150=""),"",IFERROR($D150*INDEX(Setup!$B$27:$B$44,MATCH($E150,Setup!$A$27:$A$44,0)),"TBD"))</f>
        <v/>
      </c>
      <c r="G150" s="32"/>
      <c r="H150" s="32"/>
      <c r="I150" s="32"/>
      <c r="J150" s="32"/>
      <c r="K150" s="35"/>
      <c r="L150" s="32"/>
      <c r="M150" s="32"/>
    </row>
    <row r="151" customFormat="false" ht="15" hidden="false" customHeight="true" outlineLevel="0" collapsed="false">
      <c r="A151" s="32"/>
      <c r="B151" s="32"/>
      <c r="C151" s="32"/>
      <c r="D151" s="32"/>
      <c r="E151" s="34" t="str">
        <f aca="false">IF($B151="","",IF($B151="OUT","Liters",IFERROR(INDEX(Setup!$F$3:$F$24,MATCH($C151,Setup!$A$3:$A$24,0)),"")))</f>
        <v/>
      </c>
      <c r="F151" s="28" t="str">
        <f aca="false">IF(OR($D151="",$E151=""),"",IFERROR($D151*INDEX(Setup!$B$27:$B$44,MATCH($E151,Setup!$A$27:$A$44,0)),"TBD"))</f>
        <v/>
      </c>
      <c r="G151" s="32"/>
      <c r="H151" s="32"/>
      <c r="I151" s="32"/>
      <c r="J151" s="32"/>
      <c r="K151" s="35"/>
      <c r="L151" s="32"/>
      <c r="M151" s="32"/>
    </row>
    <row r="152" customFormat="false" ht="15" hidden="false" customHeight="true" outlineLevel="0" collapsed="false">
      <c r="A152" s="32"/>
      <c r="B152" s="32"/>
      <c r="C152" s="32"/>
      <c r="D152" s="32"/>
      <c r="E152" s="34" t="str">
        <f aca="false">IF($B152="","",IF($B152="OUT","Liters",IFERROR(INDEX(Setup!$F$3:$F$24,MATCH($C152,Setup!$A$3:$A$24,0)),"")))</f>
        <v/>
      </c>
      <c r="F152" s="28" t="str">
        <f aca="false">IF(OR($D152="",$E152=""),"",IFERROR($D152*INDEX(Setup!$B$27:$B$44,MATCH($E152,Setup!$A$27:$A$44,0)),"TBD"))</f>
        <v/>
      </c>
      <c r="G152" s="32"/>
      <c r="H152" s="32"/>
      <c r="I152" s="32"/>
      <c r="J152" s="32"/>
      <c r="K152" s="35"/>
      <c r="L152" s="32"/>
      <c r="M152" s="32"/>
    </row>
    <row r="153" customFormat="false" ht="15" hidden="false" customHeight="true" outlineLevel="0" collapsed="false">
      <c r="A153" s="32"/>
      <c r="B153" s="32"/>
      <c r="C153" s="32"/>
      <c r="D153" s="32"/>
      <c r="E153" s="34" t="str">
        <f aca="false">IF($B153="","",IF($B153="OUT","Liters",IFERROR(INDEX(Setup!$F$3:$F$24,MATCH($C153,Setup!$A$3:$A$24,0)),"")))</f>
        <v/>
      </c>
      <c r="F153" s="28" t="str">
        <f aca="false">IF(OR($D153="",$E153=""),"",IFERROR($D153*INDEX(Setup!$B$27:$B$44,MATCH($E153,Setup!$A$27:$A$44,0)),"TBD"))</f>
        <v/>
      </c>
      <c r="G153" s="32"/>
      <c r="H153" s="32"/>
      <c r="I153" s="32"/>
      <c r="J153" s="32"/>
      <c r="K153" s="35"/>
      <c r="L153" s="32"/>
      <c r="M153" s="32"/>
    </row>
    <row r="154" customFormat="false" ht="15" hidden="false" customHeight="true" outlineLevel="0" collapsed="false">
      <c r="A154" s="32"/>
      <c r="B154" s="32"/>
      <c r="C154" s="32"/>
      <c r="D154" s="32"/>
      <c r="E154" s="34" t="str">
        <f aca="false">IF($B154="","",IF($B154="OUT","Liters",IFERROR(INDEX(Setup!$F$3:$F$24,MATCH($C154,Setup!$A$3:$A$24,0)),"")))</f>
        <v/>
      </c>
      <c r="F154" s="28" t="str">
        <f aca="false">IF(OR($D154="",$E154=""),"",IFERROR($D154*INDEX(Setup!$B$27:$B$44,MATCH($E154,Setup!$A$27:$A$44,0)),"TBD"))</f>
        <v/>
      </c>
      <c r="G154" s="32"/>
      <c r="H154" s="32"/>
      <c r="I154" s="32"/>
      <c r="J154" s="32"/>
      <c r="K154" s="35"/>
      <c r="L154" s="32"/>
      <c r="M154" s="32"/>
    </row>
    <row r="155" customFormat="false" ht="15" hidden="false" customHeight="true" outlineLevel="0" collapsed="false">
      <c r="A155" s="32"/>
      <c r="B155" s="32"/>
      <c r="C155" s="32"/>
      <c r="D155" s="32"/>
      <c r="E155" s="34" t="str">
        <f aca="false">IF($B155="","",IF($B155="OUT","Liters",IFERROR(INDEX(Setup!$F$3:$F$24,MATCH($C155,Setup!$A$3:$A$24,0)),"")))</f>
        <v/>
      </c>
      <c r="F155" s="28" t="str">
        <f aca="false">IF(OR($D155="",$E155=""),"",IFERROR($D155*INDEX(Setup!$B$27:$B$44,MATCH($E155,Setup!$A$27:$A$44,0)),"TBD"))</f>
        <v/>
      </c>
      <c r="G155" s="32"/>
      <c r="H155" s="32"/>
      <c r="I155" s="32"/>
      <c r="J155" s="32"/>
      <c r="K155" s="35"/>
      <c r="L155" s="32"/>
      <c r="M155" s="32"/>
    </row>
    <row r="156" customFormat="false" ht="15" hidden="false" customHeight="true" outlineLevel="0" collapsed="false">
      <c r="A156" s="32"/>
      <c r="B156" s="32"/>
      <c r="C156" s="32"/>
      <c r="D156" s="32"/>
      <c r="E156" s="34" t="str">
        <f aca="false">IF($B156="","",IF($B156="OUT","Liters",IFERROR(INDEX(Setup!$F$3:$F$24,MATCH($C156,Setup!$A$3:$A$24,0)),"")))</f>
        <v/>
      </c>
      <c r="F156" s="28" t="str">
        <f aca="false">IF(OR($D156="",$E156=""),"",IFERROR($D156*INDEX(Setup!$B$27:$B$44,MATCH($E156,Setup!$A$27:$A$44,0)),"TBD"))</f>
        <v/>
      </c>
      <c r="G156" s="32"/>
      <c r="H156" s="32"/>
      <c r="I156" s="32"/>
      <c r="J156" s="32"/>
      <c r="K156" s="35"/>
      <c r="L156" s="32"/>
      <c r="M156" s="32"/>
    </row>
    <row r="157" customFormat="false" ht="15" hidden="false" customHeight="true" outlineLevel="0" collapsed="false">
      <c r="A157" s="32"/>
      <c r="B157" s="32"/>
      <c r="C157" s="32"/>
      <c r="D157" s="32"/>
      <c r="E157" s="34" t="str">
        <f aca="false">IF($B157="","",IF($B157="OUT","Liters",IFERROR(INDEX(Setup!$F$3:$F$24,MATCH($C157,Setup!$A$3:$A$24,0)),"")))</f>
        <v/>
      </c>
      <c r="F157" s="28" t="str">
        <f aca="false">IF(OR($D157="",$E157=""),"",IFERROR($D157*INDEX(Setup!$B$27:$B$44,MATCH($E157,Setup!$A$27:$A$44,0)),"TBD"))</f>
        <v/>
      </c>
      <c r="G157" s="32"/>
      <c r="H157" s="32"/>
      <c r="I157" s="32"/>
      <c r="J157" s="32"/>
      <c r="K157" s="35"/>
      <c r="L157" s="32"/>
      <c r="M157" s="32"/>
    </row>
    <row r="158" customFormat="false" ht="15" hidden="false" customHeight="true" outlineLevel="0" collapsed="false">
      <c r="A158" s="32"/>
      <c r="B158" s="32"/>
      <c r="C158" s="32"/>
      <c r="D158" s="32"/>
      <c r="E158" s="34" t="str">
        <f aca="false">IF($B158="","",IF($B158="OUT","Liters",IFERROR(INDEX(Setup!$F$3:$F$24,MATCH($C158,Setup!$A$3:$A$24,0)),"")))</f>
        <v/>
      </c>
      <c r="F158" s="28" t="str">
        <f aca="false">IF(OR($D158="",$E158=""),"",IFERROR($D158*INDEX(Setup!$B$27:$B$44,MATCH($E158,Setup!$A$27:$A$44,0)),"TBD"))</f>
        <v/>
      </c>
      <c r="G158" s="32"/>
      <c r="H158" s="32"/>
      <c r="I158" s="32"/>
      <c r="J158" s="32"/>
      <c r="K158" s="35"/>
      <c r="L158" s="32"/>
      <c r="M158" s="32"/>
    </row>
    <row r="159" customFormat="false" ht="15" hidden="false" customHeight="true" outlineLevel="0" collapsed="false">
      <c r="A159" s="32"/>
      <c r="B159" s="32"/>
      <c r="C159" s="32"/>
      <c r="D159" s="32"/>
      <c r="E159" s="34" t="str">
        <f aca="false">IF($B159="","",IF($B159="OUT","Liters",IFERROR(INDEX(Setup!$F$3:$F$24,MATCH($C159,Setup!$A$3:$A$24,0)),"")))</f>
        <v/>
      </c>
      <c r="F159" s="28" t="str">
        <f aca="false">IF(OR($D159="",$E159=""),"",IFERROR($D159*INDEX(Setup!$B$27:$B$44,MATCH($E159,Setup!$A$27:$A$44,0)),"TBD"))</f>
        <v/>
      </c>
      <c r="G159" s="32"/>
      <c r="H159" s="32"/>
      <c r="I159" s="32"/>
      <c r="J159" s="32"/>
      <c r="K159" s="35"/>
      <c r="L159" s="32"/>
      <c r="M159" s="32"/>
    </row>
    <row r="160" customFormat="false" ht="15" hidden="false" customHeight="true" outlineLevel="0" collapsed="false">
      <c r="A160" s="32"/>
      <c r="B160" s="32"/>
      <c r="C160" s="32"/>
      <c r="D160" s="32"/>
      <c r="E160" s="34" t="str">
        <f aca="false">IF($B160="","",IF($B160="OUT","Liters",IFERROR(INDEX(Setup!$F$3:$F$24,MATCH($C160,Setup!$A$3:$A$24,0)),"")))</f>
        <v/>
      </c>
      <c r="F160" s="28" t="str">
        <f aca="false">IF(OR($D160="",$E160=""),"",IFERROR($D160*INDEX(Setup!$B$27:$B$44,MATCH($E160,Setup!$A$27:$A$44,0)),"TBD"))</f>
        <v/>
      </c>
      <c r="G160" s="32"/>
      <c r="H160" s="32"/>
      <c r="I160" s="32"/>
      <c r="J160" s="32"/>
      <c r="K160" s="35"/>
      <c r="L160" s="32"/>
      <c r="M160" s="32"/>
    </row>
    <row r="161" customFormat="false" ht="15" hidden="false" customHeight="true" outlineLevel="0" collapsed="false">
      <c r="A161" s="32"/>
      <c r="B161" s="32"/>
      <c r="C161" s="32"/>
      <c r="D161" s="32"/>
      <c r="E161" s="34" t="str">
        <f aca="false">IF($B161="","",IF($B161="OUT","Liters",IFERROR(INDEX(Setup!$F$3:$F$24,MATCH($C161,Setup!$A$3:$A$24,0)),"")))</f>
        <v/>
      </c>
      <c r="F161" s="28" t="str">
        <f aca="false">IF(OR($D161="",$E161=""),"",IFERROR($D161*INDEX(Setup!$B$27:$B$44,MATCH($E161,Setup!$A$27:$A$44,0)),"TBD"))</f>
        <v/>
      </c>
      <c r="G161" s="32"/>
      <c r="H161" s="32"/>
      <c r="I161" s="32"/>
      <c r="J161" s="32"/>
      <c r="K161" s="35"/>
      <c r="L161" s="32"/>
      <c r="M161" s="32"/>
    </row>
    <row r="162" customFormat="false" ht="15" hidden="false" customHeight="true" outlineLevel="0" collapsed="false">
      <c r="A162" s="32"/>
      <c r="B162" s="32"/>
      <c r="C162" s="32"/>
      <c r="D162" s="32"/>
      <c r="E162" s="34" t="str">
        <f aca="false">IF($B162="","",IF($B162="OUT","Liters",IFERROR(INDEX(Setup!$F$3:$F$24,MATCH($C162,Setup!$A$3:$A$24,0)),"")))</f>
        <v/>
      </c>
      <c r="F162" s="28" t="str">
        <f aca="false">IF(OR($D162="",$E162=""),"",IFERROR($D162*INDEX(Setup!$B$27:$B$44,MATCH($E162,Setup!$A$27:$A$44,0)),"TBD"))</f>
        <v/>
      </c>
      <c r="G162" s="32"/>
      <c r="H162" s="32"/>
      <c r="I162" s="32"/>
      <c r="J162" s="32"/>
      <c r="K162" s="35"/>
      <c r="L162" s="32"/>
      <c r="M162" s="32"/>
    </row>
    <row r="163" customFormat="false" ht="15" hidden="false" customHeight="true" outlineLevel="0" collapsed="false">
      <c r="A163" s="32"/>
      <c r="B163" s="32"/>
      <c r="C163" s="32"/>
      <c r="D163" s="32"/>
      <c r="E163" s="34" t="str">
        <f aca="false">IF($B163="","",IF($B163="OUT","Liters",IFERROR(INDEX(Setup!$F$3:$F$24,MATCH($C163,Setup!$A$3:$A$24,0)),"")))</f>
        <v/>
      </c>
      <c r="F163" s="28" t="str">
        <f aca="false">IF(OR($D163="",$E163=""),"",IFERROR($D163*INDEX(Setup!$B$27:$B$44,MATCH($E163,Setup!$A$27:$A$44,0)),"TBD"))</f>
        <v/>
      </c>
      <c r="G163" s="32"/>
      <c r="H163" s="32"/>
      <c r="I163" s="32"/>
      <c r="J163" s="32"/>
      <c r="K163" s="35"/>
      <c r="L163" s="32"/>
      <c r="M163" s="32"/>
    </row>
    <row r="164" customFormat="false" ht="15" hidden="false" customHeight="true" outlineLevel="0" collapsed="false">
      <c r="A164" s="32"/>
      <c r="B164" s="32"/>
      <c r="C164" s="32"/>
      <c r="D164" s="32"/>
      <c r="E164" s="34" t="str">
        <f aca="false">IF($B164="","",IF($B164="OUT","Liters",IFERROR(INDEX(Setup!$F$3:$F$24,MATCH($C164,Setup!$A$3:$A$24,0)),"")))</f>
        <v/>
      </c>
      <c r="F164" s="28" t="str">
        <f aca="false">IF(OR($D164="",$E164=""),"",IFERROR($D164*INDEX(Setup!$B$27:$B$44,MATCH($E164,Setup!$A$27:$A$44,0)),"TBD"))</f>
        <v/>
      </c>
      <c r="G164" s="32"/>
      <c r="H164" s="32"/>
      <c r="I164" s="32"/>
      <c r="J164" s="32"/>
      <c r="K164" s="35"/>
      <c r="L164" s="32"/>
      <c r="M164" s="32"/>
    </row>
    <row r="165" customFormat="false" ht="15" hidden="false" customHeight="true" outlineLevel="0" collapsed="false">
      <c r="A165" s="32"/>
      <c r="B165" s="32"/>
      <c r="C165" s="32"/>
      <c r="D165" s="32"/>
      <c r="E165" s="34" t="str">
        <f aca="false">IF($B165="","",IF($B165="OUT","Liters",IFERROR(INDEX(Setup!$F$3:$F$24,MATCH($C165,Setup!$A$3:$A$24,0)),"")))</f>
        <v/>
      </c>
      <c r="F165" s="28" t="str">
        <f aca="false">IF(OR($D165="",$E165=""),"",IFERROR($D165*INDEX(Setup!$B$27:$B$44,MATCH($E165,Setup!$A$27:$A$44,0)),"TBD"))</f>
        <v/>
      </c>
      <c r="G165" s="32"/>
      <c r="H165" s="32"/>
      <c r="I165" s="32"/>
      <c r="J165" s="32"/>
      <c r="K165" s="35"/>
      <c r="L165" s="32"/>
      <c r="M165" s="32"/>
    </row>
    <row r="166" customFormat="false" ht="15" hidden="false" customHeight="true" outlineLevel="0" collapsed="false">
      <c r="A166" s="32"/>
      <c r="B166" s="32"/>
      <c r="C166" s="32"/>
      <c r="D166" s="32"/>
      <c r="E166" s="34" t="str">
        <f aca="false">IF($B166="","",IF($B166="OUT","Liters",IFERROR(INDEX(Setup!$F$3:$F$24,MATCH($C166,Setup!$A$3:$A$24,0)),"")))</f>
        <v/>
      </c>
      <c r="F166" s="28" t="str">
        <f aca="false">IF(OR($D166="",$E166=""),"",IFERROR($D166*INDEX(Setup!$B$27:$B$44,MATCH($E166,Setup!$A$27:$A$44,0)),"TBD"))</f>
        <v/>
      </c>
      <c r="G166" s="32"/>
      <c r="H166" s="32"/>
      <c r="I166" s="32"/>
      <c r="J166" s="32"/>
      <c r="K166" s="35"/>
      <c r="L166" s="32"/>
      <c r="M166" s="32"/>
    </row>
    <row r="167" customFormat="false" ht="15" hidden="false" customHeight="true" outlineLevel="0" collapsed="false">
      <c r="A167" s="32"/>
      <c r="B167" s="32"/>
      <c r="C167" s="32"/>
      <c r="D167" s="32"/>
      <c r="E167" s="34" t="str">
        <f aca="false">IF($B167="","",IF($B167="OUT","Liters",IFERROR(INDEX(Setup!$F$3:$F$24,MATCH($C167,Setup!$A$3:$A$24,0)),"")))</f>
        <v/>
      </c>
      <c r="F167" s="28" t="str">
        <f aca="false">IF(OR($D167="",$E167=""),"",IFERROR($D167*INDEX(Setup!$B$27:$B$44,MATCH($E167,Setup!$A$27:$A$44,0)),"TBD"))</f>
        <v/>
      </c>
      <c r="G167" s="32"/>
      <c r="H167" s="32"/>
      <c r="I167" s="32"/>
      <c r="J167" s="32"/>
      <c r="K167" s="35"/>
      <c r="L167" s="32"/>
      <c r="M167" s="32"/>
    </row>
    <row r="168" customFormat="false" ht="15" hidden="false" customHeight="true" outlineLevel="0" collapsed="false">
      <c r="A168" s="32"/>
      <c r="B168" s="32"/>
      <c r="C168" s="32"/>
      <c r="D168" s="32"/>
      <c r="E168" s="34" t="str">
        <f aca="false">IF($B168="","",IF($B168="OUT","Liters",IFERROR(INDEX(Setup!$F$3:$F$24,MATCH($C168,Setup!$A$3:$A$24,0)),"")))</f>
        <v/>
      </c>
      <c r="F168" s="28" t="str">
        <f aca="false">IF(OR($D168="",$E168=""),"",IFERROR($D168*INDEX(Setup!$B$27:$B$44,MATCH($E168,Setup!$A$27:$A$44,0)),"TBD"))</f>
        <v/>
      </c>
      <c r="G168" s="32"/>
      <c r="H168" s="32"/>
      <c r="I168" s="32"/>
      <c r="J168" s="32"/>
      <c r="K168" s="35"/>
      <c r="L168" s="32"/>
      <c r="M168" s="32"/>
    </row>
    <row r="169" customFormat="false" ht="15" hidden="false" customHeight="true" outlineLevel="0" collapsed="false">
      <c r="A169" s="32"/>
      <c r="B169" s="32"/>
      <c r="C169" s="32"/>
      <c r="D169" s="32"/>
      <c r="E169" s="34" t="str">
        <f aca="false">IF($B169="","",IF($B169="OUT","Liters",IFERROR(INDEX(Setup!$F$3:$F$24,MATCH($C169,Setup!$A$3:$A$24,0)),"")))</f>
        <v/>
      </c>
      <c r="F169" s="28" t="str">
        <f aca="false">IF(OR($D169="",$E169=""),"",IFERROR($D169*INDEX(Setup!$B$27:$B$44,MATCH($E169,Setup!$A$27:$A$44,0)),"TBD"))</f>
        <v/>
      </c>
      <c r="G169" s="32"/>
      <c r="H169" s="32"/>
      <c r="I169" s="32"/>
      <c r="J169" s="32"/>
      <c r="K169" s="35"/>
      <c r="L169" s="32"/>
      <c r="M169" s="32"/>
    </row>
    <row r="170" customFormat="false" ht="15" hidden="false" customHeight="true" outlineLevel="0" collapsed="false">
      <c r="A170" s="32"/>
      <c r="B170" s="32"/>
      <c r="C170" s="32"/>
      <c r="D170" s="32"/>
      <c r="E170" s="34" t="str">
        <f aca="false">IF($B170="","",IF($B170="OUT","Liters",IFERROR(INDEX(Setup!$F$3:$F$24,MATCH($C170,Setup!$A$3:$A$24,0)),"")))</f>
        <v/>
      </c>
      <c r="F170" s="28" t="str">
        <f aca="false">IF(OR($D170="",$E170=""),"",IFERROR($D170*INDEX(Setup!$B$27:$B$44,MATCH($E170,Setup!$A$27:$A$44,0)),"TBD"))</f>
        <v/>
      </c>
      <c r="G170" s="32"/>
      <c r="H170" s="32"/>
      <c r="I170" s="32"/>
      <c r="J170" s="32"/>
      <c r="K170" s="35"/>
      <c r="L170" s="32"/>
      <c r="M170" s="32"/>
    </row>
    <row r="171" customFormat="false" ht="15" hidden="false" customHeight="true" outlineLevel="0" collapsed="false">
      <c r="A171" s="32"/>
      <c r="B171" s="32"/>
      <c r="C171" s="32"/>
      <c r="D171" s="32"/>
      <c r="E171" s="34" t="str">
        <f aca="false">IF($B171="","",IF($B171="OUT","Liters",IFERROR(INDEX(Setup!$F$3:$F$24,MATCH($C171,Setup!$A$3:$A$24,0)),"")))</f>
        <v/>
      </c>
      <c r="F171" s="28" t="str">
        <f aca="false">IF(OR($D171="",$E171=""),"",IFERROR($D171*INDEX(Setup!$B$27:$B$44,MATCH($E171,Setup!$A$27:$A$44,0)),"TBD"))</f>
        <v/>
      </c>
      <c r="G171" s="32"/>
      <c r="H171" s="32"/>
      <c r="I171" s="32"/>
      <c r="J171" s="32"/>
      <c r="K171" s="35"/>
      <c r="L171" s="32"/>
      <c r="M171" s="32"/>
    </row>
    <row r="172" customFormat="false" ht="15" hidden="false" customHeight="true" outlineLevel="0" collapsed="false">
      <c r="A172" s="32"/>
      <c r="B172" s="32"/>
      <c r="C172" s="32"/>
      <c r="D172" s="32"/>
      <c r="E172" s="34" t="str">
        <f aca="false">IF($B172="","",IF($B172="OUT","Liters",IFERROR(INDEX(Setup!$F$3:$F$24,MATCH($C172,Setup!$A$3:$A$24,0)),"")))</f>
        <v/>
      </c>
      <c r="F172" s="28" t="str">
        <f aca="false">IF(OR($D172="",$E172=""),"",IFERROR($D172*INDEX(Setup!$B$27:$B$44,MATCH($E172,Setup!$A$27:$A$44,0)),"TBD"))</f>
        <v/>
      </c>
      <c r="G172" s="32"/>
      <c r="H172" s="32"/>
      <c r="I172" s="32"/>
      <c r="J172" s="32"/>
      <c r="K172" s="35"/>
      <c r="L172" s="32"/>
      <c r="M172" s="32"/>
    </row>
    <row r="173" customFormat="false" ht="15" hidden="false" customHeight="true" outlineLevel="0" collapsed="false">
      <c r="A173" s="32"/>
      <c r="B173" s="32"/>
      <c r="C173" s="32"/>
      <c r="D173" s="32"/>
      <c r="E173" s="34" t="str">
        <f aca="false">IF($B173="","",IF($B173="OUT","Liters",IFERROR(INDEX(Setup!$F$3:$F$24,MATCH($C173,Setup!$A$3:$A$24,0)),"")))</f>
        <v/>
      </c>
      <c r="F173" s="28" t="str">
        <f aca="false">IF(OR($D173="",$E173=""),"",IFERROR($D173*INDEX(Setup!$B$27:$B$44,MATCH($E173,Setup!$A$27:$A$44,0)),"TBD"))</f>
        <v/>
      </c>
      <c r="G173" s="32"/>
      <c r="H173" s="32"/>
      <c r="I173" s="32"/>
      <c r="J173" s="32"/>
      <c r="K173" s="35"/>
      <c r="L173" s="32"/>
      <c r="M173" s="32"/>
    </row>
    <row r="174" customFormat="false" ht="15" hidden="false" customHeight="true" outlineLevel="0" collapsed="false">
      <c r="A174" s="32"/>
      <c r="B174" s="32"/>
      <c r="C174" s="32"/>
      <c r="D174" s="32"/>
      <c r="E174" s="34" t="str">
        <f aca="false">IF($B174="","",IF($B174="OUT","Liters",IFERROR(INDEX(Setup!$F$3:$F$24,MATCH($C174,Setup!$A$3:$A$24,0)),"")))</f>
        <v/>
      </c>
      <c r="F174" s="28" t="str">
        <f aca="false">IF(OR($D174="",$E174=""),"",IFERROR($D174*INDEX(Setup!$B$27:$B$44,MATCH($E174,Setup!$A$27:$A$44,0)),"TBD"))</f>
        <v/>
      </c>
      <c r="G174" s="32"/>
      <c r="H174" s="32"/>
      <c r="I174" s="32"/>
      <c r="J174" s="32"/>
      <c r="K174" s="35"/>
      <c r="L174" s="32"/>
      <c r="M174" s="32"/>
    </row>
    <row r="175" customFormat="false" ht="15" hidden="false" customHeight="true" outlineLevel="0" collapsed="false">
      <c r="A175" s="32"/>
      <c r="B175" s="32"/>
      <c r="C175" s="32"/>
      <c r="D175" s="32"/>
      <c r="E175" s="34" t="str">
        <f aca="false">IF($B175="","",IF($B175="OUT","Liters",IFERROR(INDEX(Setup!$F$3:$F$24,MATCH($C175,Setup!$A$3:$A$24,0)),"")))</f>
        <v/>
      </c>
      <c r="F175" s="28" t="str">
        <f aca="false">IF(OR($D175="",$E175=""),"",IFERROR($D175*INDEX(Setup!$B$27:$B$44,MATCH($E175,Setup!$A$27:$A$44,0)),"TBD"))</f>
        <v/>
      </c>
      <c r="G175" s="32"/>
      <c r="H175" s="32"/>
      <c r="I175" s="32"/>
      <c r="J175" s="32"/>
      <c r="K175" s="35"/>
      <c r="L175" s="32"/>
      <c r="M175" s="32"/>
    </row>
    <row r="176" customFormat="false" ht="15" hidden="false" customHeight="true" outlineLevel="0" collapsed="false">
      <c r="A176" s="32"/>
      <c r="B176" s="32"/>
      <c r="C176" s="32"/>
      <c r="D176" s="32"/>
      <c r="E176" s="34" t="str">
        <f aca="false">IF($B176="","",IF($B176="OUT","Liters",IFERROR(INDEX(Setup!$F$3:$F$24,MATCH($C176,Setup!$A$3:$A$24,0)),"")))</f>
        <v/>
      </c>
      <c r="F176" s="28" t="str">
        <f aca="false">IF(OR($D176="",$E176=""),"",IFERROR($D176*INDEX(Setup!$B$27:$B$44,MATCH($E176,Setup!$A$27:$A$44,0)),"TBD"))</f>
        <v/>
      </c>
      <c r="G176" s="32"/>
      <c r="H176" s="32"/>
      <c r="I176" s="32"/>
      <c r="J176" s="32"/>
      <c r="K176" s="35"/>
      <c r="L176" s="32"/>
      <c r="M176" s="32"/>
    </row>
    <row r="177" customFormat="false" ht="15" hidden="false" customHeight="true" outlineLevel="0" collapsed="false">
      <c r="A177" s="32"/>
      <c r="B177" s="32"/>
      <c r="C177" s="32"/>
      <c r="D177" s="32"/>
      <c r="E177" s="34" t="str">
        <f aca="false">IF($B177="","",IF($B177="OUT","Liters",IFERROR(INDEX(Setup!$F$3:$F$24,MATCH($C177,Setup!$A$3:$A$24,0)),"")))</f>
        <v/>
      </c>
      <c r="F177" s="28" t="str">
        <f aca="false">IF(OR($D177="",$E177=""),"",IFERROR($D177*INDEX(Setup!$B$27:$B$44,MATCH($E177,Setup!$A$27:$A$44,0)),"TBD"))</f>
        <v/>
      </c>
      <c r="G177" s="32"/>
      <c r="H177" s="32"/>
      <c r="I177" s="32"/>
      <c r="J177" s="32"/>
      <c r="K177" s="35"/>
      <c r="L177" s="32"/>
      <c r="M177" s="32"/>
    </row>
    <row r="178" customFormat="false" ht="15" hidden="false" customHeight="true" outlineLevel="0" collapsed="false">
      <c r="A178" s="32"/>
      <c r="B178" s="32"/>
      <c r="C178" s="32"/>
      <c r="D178" s="32"/>
      <c r="E178" s="34" t="str">
        <f aca="false">IF($B178="","",IF($B178="OUT","Liters",IFERROR(INDEX(Setup!$F$3:$F$24,MATCH($C178,Setup!$A$3:$A$24,0)),"")))</f>
        <v/>
      </c>
      <c r="F178" s="28" t="str">
        <f aca="false">IF(OR($D178="",$E178=""),"",IFERROR($D178*INDEX(Setup!$B$27:$B$44,MATCH($E178,Setup!$A$27:$A$44,0)),"TBD"))</f>
        <v/>
      </c>
      <c r="G178" s="32"/>
      <c r="H178" s="32"/>
      <c r="I178" s="32"/>
      <c r="J178" s="32"/>
      <c r="K178" s="35"/>
      <c r="L178" s="32"/>
      <c r="M178" s="32"/>
    </row>
    <row r="179" customFormat="false" ht="15" hidden="false" customHeight="true" outlineLevel="0" collapsed="false">
      <c r="A179" s="32"/>
      <c r="B179" s="32"/>
      <c r="C179" s="32"/>
      <c r="D179" s="32"/>
      <c r="E179" s="34" t="str">
        <f aca="false">IF($B179="","",IF($B179="OUT","Liters",IFERROR(INDEX(Setup!$F$3:$F$24,MATCH($C179,Setup!$A$3:$A$24,0)),"")))</f>
        <v/>
      </c>
      <c r="F179" s="28" t="str">
        <f aca="false">IF(OR($D179="",$E179=""),"",IFERROR($D179*INDEX(Setup!$B$27:$B$44,MATCH($E179,Setup!$A$27:$A$44,0)),"TBD"))</f>
        <v/>
      </c>
      <c r="G179" s="32"/>
      <c r="H179" s="32"/>
      <c r="I179" s="32"/>
      <c r="J179" s="32"/>
      <c r="K179" s="35"/>
      <c r="L179" s="32"/>
      <c r="M179" s="32"/>
    </row>
    <row r="180" customFormat="false" ht="15" hidden="false" customHeight="true" outlineLevel="0" collapsed="false">
      <c r="A180" s="32"/>
      <c r="B180" s="32"/>
      <c r="C180" s="32"/>
      <c r="D180" s="32"/>
      <c r="E180" s="34" t="str">
        <f aca="false">IF($B180="","",IF($B180="OUT","Liters",IFERROR(INDEX(Setup!$F$3:$F$24,MATCH($C180,Setup!$A$3:$A$24,0)),"")))</f>
        <v/>
      </c>
      <c r="F180" s="28" t="str">
        <f aca="false">IF(OR($D180="",$E180=""),"",IFERROR($D180*INDEX(Setup!$B$27:$B$44,MATCH($E180,Setup!$A$27:$A$44,0)),"TBD"))</f>
        <v/>
      </c>
      <c r="G180" s="32"/>
      <c r="H180" s="32"/>
      <c r="I180" s="32"/>
      <c r="J180" s="32"/>
      <c r="K180" s="35"/>
      <c r="L180" s="32"/>
      <c r="M180" s="32"/>
    </row>
    <row r="181" customFormat="false" ht="15" hidden="false" customHeight="true" outlineLevel="0" collapsed="false">
      <c r="A181" s="32"/>
      <c r="B181" s="32"/>
      <c r="C181" s="32"/>
      <c r="D181" s="32"/>
      <c r="E181" s="34" t="str">
        <f aca="false">IF($B181="","",IF($B181="OUT","Liters",IFERROR(INDEX(Setup!$F$3:$F$24,MATCH($C181,Setup!$A$3:$A$24,0)),"")))</f>
        <v/>
      </c>
      <c r="F181" s="28" t="str">
        <f aca="false">IF(OR($D181="",$E181=""),"",IFERROR($D181*INDEX(Setup!$B$27:$B$44,MATCH($E181,Setup!$A$27:$A$44,0)),"TBD"))</f>
        <v/>
      </c>
      <c r="G181" s="32"/>
      <c r="H181" s="32"/>
      <c r="I181" s="32"/>
      <c r="J181" s="32"/>
      <c r="K181" s="35"/>
      <c r="L181" s="32"/>
      <c r="M181" s="32"/>
    </row>
    <row r="182" customFormat="false" ht="15" hidden="false" customHeight="true" outlineLevel="0" collapsed="false">
      <c r="A182" s="32"/>
      <c r="B182" s="32"/>
      <c r="C182" s="32"/>
      <c r="D182" s="32"/>
      <c r="E182" s="34" t="str">
        <f aca="false">IF($B182="","",IF($B182="OUT","Liters",IFERROR(INDEX(Setup!$F$3:$F$24,MATCH($C182,Setup!$A$3:$A$24,0)),"")))</f>
        <v/>
      </c>
      <c r="F182" s="28" t="str">
        <f aca="false">IF(OR($D182="",$E182=""),"",IFERROR($D182*INDEX(Setup!$B$27:$B$44,MATCH($E182,Setup!$A$27:$A$44,0)),"TBD"))</f>
        <v/>
      </c>
      <c r="G182" s="32"/>
      <c r="H182" s="32"/>
      <c r="I182" s="32"/>
      <c r="J182" s="32"/>
      <c r="K182" s="35"/>
      <c r="L182" s="32"/>
      <c r="M182" s="32"/>
    </row>
    <row r="183" customFormat="false" ht="15" hidden="false" customHeight="true" outlineLevel="0" collapsed="false">
      <c r="A183" s="32"/>
      <c r="B183" s="32"/>
      <c r="C183" s="32"/>
      <c r="D183" s="32"/>
      <c r="E183" s="34" t="str">
        <f aca="false">IF($B183="","",IF($B183="OUT","Liters",IFERROR(INDEX(Setup!$F$3:$F$24,MATCH($C183,Setup!$A$3:$A$24,0)),"")))</f>
        <v/>
      </c>
      <c r="F183" s="28" t="str">
        <f aca="false">IF(OR($D183="",$E183=""),"",IFERROR($D183*INDEX(Setup!$B$27:$B$44,MATCH($E183,Setup!$A$27:$A$44,0)),"TBD"))</f>
        <v/>
      </c>
      <c r="G183" s="32"/>
      <c r="H183" s="32"/>
      <c r="I183" s="32"/>
      <c r="J183" s="32"/>
      <c r="K183" s="35"/>
      <c r="L183" s="32"/>
      <c r="M183" s="32"/>
    </row>
    <row r="184" customFormat="false" ht="15" hidden="false" customHeight="true" outlineLevel="0" collapsed="false">
      <c r="A184" s="32"/>
      <c r="B184" s="32"/>
      <c r="C184" s="32"/>
      <c r="D184" s="32"/>
      <c r="E184" s="34" t="str">
        <f aca="false">IF($B184="","",IF($B184="OUT","Liters",IFERROR(INDEX(Setup!$F$3:$F$24,MATCH($C184,Setup!$A$3:$A$24,0)),"")))</f>
        <v/>
      </c>
      <c r="F184" s="28" t="str">
        <f aca="false">IF(OR($D184="",$E184=""),"",IFERROR($D184*INDEX(Setup!$B$27:$B$44,MATCH($E184,Setup!$A$27:$A$44,0)),"TBD"))</f>
        <v/>
      </c>
      <c r="G184" s="32"/>
      <c r="H184" s="32"/>
      <c r="I184" s="32"/>
      <c r="J184" s="32"/>
      <c r="K184" s="35"/>
      <c r="L184" s="32"/>
      <c r="M184" s="32"/>
    </row>
    <row r="185" customFormat="false" ht="15" hidden="false" customHeight="true" outlineLevel="0" collapsed="false">
      <c r="A185" s="32"/>
      <c r="B185" s="32"/>
      <c r="C185" s="32"/>
      <c r="D185" s="32"/>
      <c r="E185" s="34" t="str">
        <f aca="false">IF($B185="","",IF($B185="OUT","Liters",IFERROR(INDEX(Setup!$F$3:$F$24,MATCH($C185,Setup!$A$3:$A$24,0)),"")))</f>
        <v/>
      </c>
      <c r="F185" s="28" t="str">
        <f aca="false">IF(OR($D185="",$E185=""),"",IFERROR($D185*INDEX(Setup!$B$27:$B$44,MATCH($E185,Setup!$A$27:$A$44,0)),"TBD"))</f>
        <v/>
      </c>
      <c r="G185" s="32"/>
      <c r="H185" s="32"/>
      <c r="I185" s="32"/>
      <c r="J185" s="32"/>
      <c r="K185" s="35"/>
      <c r="L185" s="32"/>
      <c r="M185" s="32"/>
    </row>
    <row r="186" customFormat="false" ht="15" hidden="false" customHeight="true" outlineLevel="0" collapsed="false">
      <c r="A186" s="32"/>
      <c r="B186" s="32"/>
      <c r="C186" s="32"/>
      <c r="D186" s="32"/>
      <c r="E186" s="34" t="str">
        <f aca="false">IF($B186="","",IF($B186="OUT","Liters",IFERROR(INDEX(Setup!$F$3:$F$24,MATCH($C186,Setup!$A$3:$A$24,0)),"")))</f>
        <v/>
      </c>
      <c r="F186" s="28" t="str">
        <f aca="false">IF(OR($D186="",$E186=""),"",IFERROR($D186*INDEX(Setup!$B$27:$B$44,MATCH($E186,Setup!$A$27:$A$44,0)),"TBD"))</f>
        <v/>
      </c>
      <c r="G186" s="32"/>
      <c r="H186" s="32"/>
      <c r="I186" s="32"/>
      <c r="J186" s="32"/>
      <c r="K186" s="35"/>
      <c r="L186" s="32"/>
      <c r="M186" s="32"/>
    </row>
    <row r="187" customFormat="false" ht="15" hidden="false" customHeight="true" outlineLevel="0" collapsed="false">
      <c r="A187" s="32"/>
      <c r="B187" s="32"/>
      <c r="C187" s="32"/>
      <c r="D187" s="32"/>
      <c r="E187" s="34" t="str">
        <f aca="false">IF($B187="","",IF($B187="OUT","Liters",IFERROR(INDEX(Setup!$F$3:$F$24,MATCH($C187,Setup!$A$3:$A$24,0)),"")))</f>
        <v/>
      </c>
      <c r="F187" s="28" t="str">
        <f aca="false">IF(OR($D187="",$E187=""),"",IFERROR($D187*INDEX(Setup!$B$27:$B$44,MATCH($E187,Setup!$A$27:$A$44,0)),"TBD"))</f>
        <v/>
      </c>
      <c r="G187" s="32"/>
      <c r="H187" s="32"/>
      <c r="I187" s="32"/>
      <c r="J187" s="32"/>
      <c r="K187" s="35"/>
      <c r="L187" s="32"/>
      <c r="M187" s="32"/>
    </row>
    <row r="188" customFormat="false" ht="15" hidden="false" customHeight="true" outlineLevel="0" collapsed="false">
      <c r="A188" s="32"/>
      <c r="B188" s="32"/>
      <c r="C188" s="32"/>
      <c r="D188" s="32"/>
      <c r="E188" s="34" t="str">
        <f aca="false">IF($B188="","",IF($B188="OUT","Liters",IFERROR(INDEX(Setup!$F$3:$F$24,MATCH($C188,Setup!$A$3:$A$24,0)),"")))</f>
        <v/>
      </c>
      <c r="F188" s="28" t="str">
        <f aca="false">IF(OR($D188="",$E188=""),"",IFERROR($D188*INDEX(Setup!$B$27:$B$44,MATCH($E188,Setup!$A$27:$A$44,0)),"TBD"))</f>
        <v/>
      </c>
      <c r="G188" s="32"/>
      <c r="H188" s="32"/>
      <c r="I188" s="32"/>
      <c r="J188" s="32"/>
      <c r="K188" s="35"/>
      <c r="L188" s="32"/>
      <c r="M188" s="32"/>
    </row>
    <row r="189" customFormat="false" ht="15" hidden="false" customHeight="true" outlineLevel="0" collapsed="false">
      <c r="A189" s="32"/>
      <c r="B189" s="32"/>
      <c r="C189" s="32"/>
      <c r="D189" s="32"/>
      <c r="E189" s="34" t="str">
        <f aca="false">IF($B189="","",IF($B189="OUT","Liters",IFERROR(INDEX(Setup!$F$3:$F$24,MATCH($C189,Setup!$A$3:$A$24,0)),"")))</f>
        <v/>
      </c>
      <c r="F189" s="28" t="str">
        <f aca="false">IF(OR($D189="",$E189=""),"",IFERROR($D189*INDEX(Setup!$B$27:$B$44,MATCH($E189,Setup!$A$27:$A$44,0)),"TBD"))</f>
        <v/>
      </c>
      <c r="G189" s="32"/>
      <c r="H189" s="32"/>
      <c r="I189" s="32"/>
      <c r="J189" s="32"/>
      <c r="K189" s="35"/>
      <c r="L189" s="32"/>
      <c r="M189" s="32"/>
    </row>
    <row r="190" customFormat="false" ht="15" hidden="false" customHeight="true" outlineLevel="0" collapsed="false">
      <c r="A190" s="32"/>
      <c r="B190" s="32"/>
      <c r="C190" s="32"/>
      <c r="D190" s="32"/>
      <c r="E190" s="34" t="str">
        <f aca="false">IF($B190="","",IF($B190="OUT","Liters",IFERROR(INDEX(Setup!$F$3:$F$24,MATCH($C190,Setup!$A$3:$A$24,0)),"")))</f>
        <v/>
      </c>
      <c r="F190" s="28" t="str">
        <f aca="false">IF(OR($D190="",$E190=""),"",IFERROR($D190*INDEX(Setup!$B$27:$B$44,MATCH($E190,Setup!$A$27:$A$44,0)),"TBD"))</f>
        <v/>
      </c>
      <c r="G190" s="32"/>
      <c r="H190" s="32"/>
      <c r="I190" s="32"/>
      <c r="J190" s="32"/>
      <c r="K190" s="35"/>
      <c r="L190" s="32"/>
      <c r="M190" s="32"/>
    </row>
    <row r="191" customFormat="false" ht="15" hidden="false" customHeight="true" outlineLevel="0" collapsed="false">
      <c r="A191" s="32"/>
      <c r="B191" s="32"/>
      <c r="C191" s="32"/>
      <c r="D191" s="32"/>
      <c r="E191" s="34" t="str">
        <f aca="false">IF($B191="","",IF($B191="OUT","Liters",IFERROR(INDEX(Setup!$F$3:$F$24,MATCH($C191,Setup!$A$3:$A$24,0)),"")))</f>
        <v/>
      </c>
      <c r="F191" s="28" t="str">
        <f aca="false">IF(OR($D191="",$E191=""),"",IFERROR($D191*INDEX(Setup!$B$27:$B$44,MATCH($E191,Setup!$A$27:$A$44,0)),"TBD"))</f>
        <v/>
      </c>
      <c r="G191" s="32"/>
      <c r="H191" s="32"/>
      <c r="I191" s="32"/>
      <c r="J191" s="32"/>
      <c r="K191" s="35"/>
      <c r="L191" s="32"/>
      <c r="M191" s="32"/>
    </row>
    <row r="192" customFormat="false" ht="15" hidden="false" customHeight="true" outlineLevel="0" collapsed="false">
      <c r="A192" s="32"/>
      <c r="B192" s="32"/>
      <c r="C192" s="32"/>
      <c r="D192" s="32"/>
      <c r="E192" s="34" t="str">
        <f aca="false">IF($B192="","",IF($B192="OUT","Liters",IFERROR(INDEX(Setup!$F$3:$F$24,MATCH($C192,Setup!$A$3:$A$24,0)),"")))</f>
        <v/>
      </c>
      <c r="F192" s="28" t="str">
        <f aca="false">IF(OR($D192="",$E192=""),"",IFERROR($D192*INDEX(Setup!$B$27:$B$44,MATCH($E192,Setup!$A$27:$A$44,0)),"TBD"))</f>
        <v/>
      </c>
      <c r="G192" s="32"/>
      <c r="H192" s="32"/>
      <c r="I192" s="32"/>
      <c r="J192" s="32"/>
      <c r="K192" s="35"/>
      <c r="L192" s="32"/>
      <c r="M192" s="32"/>
    </row>
    <row r="193" customFormat="false" ht="15" hidden="false" customHeight="true" outlineLevel="0" collapsed="false">
      <c r="A193" s="32"/>
      <c r="B193" s="32"/>
      <c r="C193" s="32"/>
      <c r="D193" s="32"/>
      <c r="E193" s="34" t="str">
        <f aca="false">IF($B193="","",IF($B193="OUT","Liters",IFERROR(INDEX(Setup!$F$3:$F$24,MATCH($C193,Setup!$A$3:$A$24,0)),"")))</f>
        <v/>
      </c>
      <c r="F193" s="28" t="str">
        <f aca="false">IF(OR($D193="",$E193=""),"",IFERROR($D193*INDEX(Setup!$B$27:$B$44,MATCH($E193,Setup!$A$27:$A$44,0)),"TBD"))</f>
        <v/>
      </c>
      <c r="G193" s="32"/>
      <c r="H193" s="32"/>
      <c r="I193" s="32"/>
      <c r="J193" s="32"/>
      <c r="K193" s="35"/>
      <c r="L193" s="32"/>
      <c r="M193" s="32"/>
    </row>
    <row r="194" customFormat="false" ht="15" hidden="false" customHeight="true" outlineLevel="0" collapsed="false">
      <c r="A194" s="32"/>
      <c r="B194" s="32"/>
      <c r="C194" s="32"/>
      <c r="D194" s="32"/>
      <c r="E194" s="34" t="str">
        <f aca="false">IF($B194="","",IF($B194="OUT","Liters",IFERROR(INDEX(Setup!$F$3:$F$24,MATCH($C194,Setup!$A$3:$A$24,0)),"")))</f>
        <v/>
      </c>
      <c r="F194" s="28" t="str">
        <f aca="false">IF(OR($D194="",$E194=""),"",IFERROR($D194*INDEX(Setup!$B$27:$B$44,MATCH($E194,Setup!$A$27:$A$44,0)),"TBD"))</f>
        <v/>
      </c>
      <c r="G194" s="32"/>
      <c r="H194" s="32"/>
      <c r="I194" s="32"/>
      <c r="J194" s="32"/>
      <c r="K194" s="35"/>
      <c r="L194" s="32"/>
      <c r="M194" s="32"/>
    </row>
    <row r="195" customFormat="false" ht="15" hidden="false" customHeight="true" outlineLevel="0" collapsed="false">
      <c r="A195" s="32"/>
      <c r="B195" s="32"/>
      <c r="C195" s="32"/>
      <c r="D195" s="32"/>
      <c r="E195" s="34" t="str">
        <f aca="false">IF($B195="","",IF($B195="OUT","Liters",IFERROR(INDEX(Setup!$F$3:$F$24,MATCH($C195,Setup!$A$3:$A$24,0)),"")))</f>
        <v/>
      </c>
      <c r="F195" s="28" t="str">
        <f aca="false">IF(OR($D195="",$E195=""),"",IFERROR($D195*INDEX(Setup!$B$27:$B$44,MATCH($E195,Setup!$A$27:$A$44,0)),"TBD"))</f>
        <v/>
      </c>
      <c r="G195" s="32"/>
      <c r="H195" s="32"/>
      <c r="I195" s="32"/>
      <c r="J195" s="32"/>
      <c r="K195" s="35"/>
      <c r="L195" s="32"/>
      <c r="M195" s="32"/>
    </row>
    <row r="196" customFormat="false" ht="15" hidden="false" customHeight="true" outlineLevel="0" collapsed="false">
      <c r="A196" s="32"/>
      <c r="B196" s="32"/>
      <c r="C196" s="32"/>
      <c r="D196" s="32"/>
      <c r="E196" s="34" t="str">
        <f aca="false">IF($B196="","",IF($B196="OUT","Liters",IFERROR(INDEX(Setup!$F$3:$F$24,MATCH($C196,Setup!$A$3:$A$24,0)),"")))</f>
        <v/>
      </c>
      <c r="F196" s="28" t="str">
        <f aca="false">IF(OR($D196="",$E196=""),"",IFERROR($D196*INDEX(Setup!$B$27:$B$44,MATCH($E196,Setup!$A$27:$A$44,0)),"TBD"))</f>
        <v/>
      </c>
      <c r="G196" s="32"/>
      <c r="H196" s="32"/>
      <c r="I196" s="32"/>
      <c r="J196" s="32"/>
      <c r="K196" s="35"/>
      <c r="L196" s="32"/>
      <c r="M196" s="32"/>
    </row>
    <row r="197" customFormat="false" ht="15" hidden="false" customHeight="true" outlineLevel="0" collapsed="false">
      <c r="A197" s="32"/>
      <c r="B197" s="32"/>
      <c r="C197" s="32"/>
      <c r="D197" s="32"/>
      <c r="E197" s="34" t="str">
        <f aca="false">IF($B197="","",IF($B197="OUT","Liters",IFERROR(INDEX(Setup!$F$3:$F$24,MATCH($C197,Setup!$A$3:$A$24,0)),"")))</f>
        <v/>
      </c>
      <c r="F197" s="28" t="str">
        <f aca="false">IF(OR($D197="",$E197=""),"",IFERROR($D197*INDEX(Setup!$B$27:$B$44,MATCH($E197,Setup!$A$27:$A$44,0)),"TBD"))</f>
        <v/>
      </c>
      <c r="G197" s="32"/>
      <c r="H197" s="32"/>
      <c r="I197" s="32"/>
      <c r="J197" s="32"/>
      <c r="K197" s="35"/>
      <c r="L197" s="32"/>
      <c r="M197" s="32"/>
    </row>
    <row r="198" customFormat="false" ht="15" hidden="false" customHeight="true" outlineLevel="0" collapsed="false">
      <c r="A198" s="32"/>
      <c r="B198" s="32"/>
      <c r="C198" s="32"/>
      <c r="D198" s="32"/>
      <c r="E198" s="34" t="str">
        <f aca="false">IF($B198="","",IF($B198="OUT","Liters",IFERROR(INDEX(Setup!$F$3:$F$24,MATCH($C198,Setup!$A$3:$A$24,0)),"")))</f>
        <v/>
      </c>
      <c r="F198" s="28" t="str">
        <f aca="false">IF(OR($D198="",$E198=""),"",IFERROR($D198*INDEX(Setup!$B$27:$B$44,MATCH($E198,Setup!$A$27:$A$44,0)),"TBD"))</f>
        <v/>
      </c>
      <c r="G198" s="32"/>
      <c r="H198" s="32"/>
      <c r="I198" s="32"/>
      <c r="J198" s="32"/>
      <c r="K198" s="35"/>
      <c r="L198" s="32"/>
      <c r="M198" s="32"/>
    </row>
    <row r="199" customFormat="false" ht="15" hidden="false" customHeight="true" outlineLevel="0" collapsed="false">
      <c r="A199" s="32"/>
      <c r="B199" s="32"/>
      <c r="C199" s="32"/>
      <c r="D199" s="32"/>
      <c r="E199" s="34" t="str">
        <f aca="false">IF($B199="","",IF($B199="OUT","Liters",IFERROR(INDEX(Setup!$F$3:$F$24,MATCH($C199,Setup!$A$3:$A$24,0)),"")))</f>
        <v/>
      </c>
      <c r="F199" s="28" t="str">
        <f aca="false">IF(OR($D199="",$E199=""),"",IFERROR($D199*INDEX(Setup!$B$27:$B$44,MATCH($E199,Setup!$A$27:$A$44,0)),"TBD"))</f>
        <v/>
      </c>
      <c r="G199" s="32"/>
      <c r="H199" s="32"/>
      <c r="I199" s="32"/>
      <c r="J199" s="32"/>
      <c r="K199" s="35"/>
      <c r="L199" s="32"/>
      <c r="M199" s="32"/>
    </row>
    <row r="200" customFormat="false" ht="15" hidden="false" customHeight="true" outlineLevel="0" collapsed="false">
      <c r="A200" s="32"/>
      <c r="B200" s="32"/>
      <c r="C200" s="32"/>
      <c r="D200" s="32"/>
      <c r="E200" s="34" t="str">
        <f aca="false">IF($B200="","",IF($B200="OUT","Liters",IFERROR(INDEX(Setup!$F$3:$F$24,MATCH($C200,Setup!$A$3:$A$24,0)),"")))</f>
        <v/>
      </c>
      <c r="F200" s="28" t="str">
        <f aca="false">IF(OR($D200="",$E200=""),"",IFERROR($D200*INDEX(Setup!$B$27:$B$44,MATCH($E200,Setup!$A$27:$A$44,0)),"TBD"))</f>
        <v/>
      </c>
      <c r="G200" s="32"/>
      <c r="H200" s="32"/>
      <c r="I200" s="32"/>
      <c r="J200" s="32"/>
      <c r="K200" s="35"/>
      <c r="L200" s="32"/>
      <c r="M200" s="32"/>
    </row>
    <row r="201" customFormat="false" ht="15" hidden="false" customHeight="true" outlineLevel="0" collapsed="false">
      <c r="A201" s="32"/>
      <c r="B201" s="32"/>
      <c r="C201" s="32"/>
      <c r="D201" s="32"/>
      <c r="E201" s="34" t="str">
        <f aca="false">IF($B201="","",IF($B201="OUT","Liters",IFERROR(INDEX(Setup!$F$3:$F$24,MATCH($C201,Setup!$A$3:$A$24,0)),"")))</f>
        <v/>
      </c>
      <c r="F201" s="28" t="str">
        <f aca="false">IF(OR($D201="",$E201=""),"",IFERROR($D201*INDEX(Setup!$B$27:$B$44,MATCH($E201,Setup!$A$27:$A$44,0)),"TBD"))</f>
        <v/>
      </c>
      <c r="G201" s="32"/>
      <c r="H201" s="32"/>
      <c r="I201" s="32"/>
      <c r="J201" s="32"/>
      <c r="K201" s="35"/>
      <c r="L201" s="32"/>
      <c r="M201" s="32"/>
    </row>
    <row r="202" customFormat="false" ht="15" hidden="false" customHeight="true" outlineLevel="0" collapsed="false">
      <c r="A202" s="32"/>
      <c r="B202" s="32"/>
      <c r="C202" s="32"/>
      <c r="D202" s="32"/>
      <c r="E202" s="34" t="str">
        <f aca="false">IF($B202="","",IF($B202="OUT","Liters",IFERROR(INDEX(Setup!$F$3:$F$24,MATCH($C202,Setup!$A$3:$A$24,0)),"")))</f>
        <v/>
      </c>
      <c r="F202" s="28" t="str">
        <f aca="false">IF(OR($D202="",$E202=""),"",IFERROR($D202*INDEX(Setup!$B$27:$B$44,MATCH($E202,Setup!$A$27:$A$44,0)),"TBD"))</f>
        <v/>
      </c>
      <c r="G202" s="32"/>
      <c r="H202" s="32"/>
      <c r="I202" s="32"/>
      <c r="J202" s="32"/>
      <c r="K202" s="35"/>
      <c r="L202" s="32"/>
      <c r="M202" s="32"/>
    </row>
    <row r="203" customFormat="false" ht="15" hidden="false" customHeight="true" outlineLevel="0" collapsed="false">
      <c r="A203" s="32"/>
      <c r="B203" s="32"/>
      <c r="C203" s="32"/>
      <c r="D203" s="32"/>
      <c r="E203" s="34" t="str">
        <f aca="false">IF($B203="","",IF($B203="OUT","Liters",IFERROR(INDEX(Setup!$F$3:$F$24,MATCH($C203,Setup!$A$3:$A$24,0)),"")))</f>
        <v/>
      </c>
      <c r="F203" s="28" t="str">
        <f aca="false">IF(OR($D203="",$E203=""),"",IFERROR($D203*INDEX(Setup!$B$27:$B$44,MATCH($E203,Setup!$A$27:$A$44,0)),"TBD"))</f>
        <v/>
      </c>
      <c r="G203" s="32"/>
      <c r="H203" s="32"/>
      <c r="I203" s="32"/>
      <c r="J203" s="32"/>
      <c r="K203" s="35"/>
      <c r="L203" s="32"/>
      <c r="M203" s="32"/>
    </row>
    <row r="204" customFormat="false" ht="15" hidden="false" customHeight="true" outlineLevel="0" collapsed="false">
      <c r="A204" s="32"/>
      <c r="B204" s="32"/>
      <c r="C204" s="32"/>
      <c r="D204" s="32"/>
      <c r="E204" s="34" t="str">
        <f aca="false">IF($B204="","",IF($B204="OUT","Liters",IFERROR(INDEX(Setup!$F$3:$F$24,MATCH($C204,Setup!$A$3:$A$24,0)),"")))</f>
        <v/>
      </c>
      <c r="F204" s="28" t="str">
        <f aca="false">IF(OR($D204="",$E204=""),"",IFERROR($D204*INDEX(Setup!$B$27:$B$44,MATCH($E204,Setup!$A$27:$A$44,0)),"TBD"))</f>
        <v/>
      </c>
      <c r="G204" s="32"/>
      <c r="H204" s="32"/>
      <c r="I204" s="32"/>
      <c r="J204" s="32"/>
      <c r="K204" s="35"/>
      <c r="L204" s="32"/>
      <c r="M204" s="32"/>
    </row>
    <row r="205" customFormat="false" ht="15" hidden="false" customHeight="true" outlineLevel="0" collapsed="false">
      <c r="A205" s="32"/>
      <c r="B205" s="32"/>
      <c r="C205" s="32"/>
      <c r="D205" s="32"/>
      <c r="E205" s="34" t="str">
        <f aca="false">IF($B205="","",IF($B205="OUT","Liters",IFERROR(INDEX(Setup!$F$3:$F$24,MATCH($C205,Setup!$A$3:$A$24,0)),"")))</f>
        <v/>
      </c>
      <c r="F205" s="28" t="str">
        <f aca="false">IF(OR($D205="",$E205=""),"",IFERROR($D205*INDEX(Setup!$B$27:$B$44,MATCH($E205,Setup!$A$27:$A$44,0)),"TBD"))</f>
        <v/>
      </c>
      <c r="G205" s="32"/>
      <c r="H205" s="32"/>
      <c r="I205" s="32"/>
      <c r="J205" s="32"/>
      <c r="K205" s="35"/>
      <c r="L205" s="32"/>
      <c r="M205" s="32"/>
    </row>
    <row r="206" customFormat="false" ht="15" hidden="false" customHeight="true" outlineLevel="0" collapsed="false">
      <c r="A206" s="32"/>
      <c r="B206" s="32"/>
      <c r="C206" s="32"/>
      <c r="D206" s="32"/>
      <c r="E206" s="34" t="str">
        <f aca="false">IF($B206="","",IF($B206="OUT","Liters",IFERROR(INDEX(Setup!$F$3:$F$24,MATCH($C206,Setup!$A$3:$A$24,0)),"")))</f>
        <v/>
      </c>
      <c r="F206" s="28" t="str">
        <f aca="false">IF(OR($D206="",$E206=""),"",IFERROR($D206*INDEX(Setup!$B$27:$B$44,MATCH($E206,Setup!$A$27:$A$44,0)),"TBD"))</f>
        <v/>
      </c>
      <c r="G206" s="32"/>
      <c r="H206" s="32"/>
      <c r="I206" s="32"/>
      <c r="J206" s="32"/>
      <c r="K206" s="35"/>
      <c r="L206" s="32"/>
      <c r="M206" s="32"/>
    </row>
    <row r="207" customFormat="false" ht="15" hidden="false" customHeight="true" outlineLevel="0" collapsed="false">
      <c r="A207" s="32"/>
      <c r="B207" s="32"/>
      <c r="C207" s="32"/>
      <c r="D207" s="32"/>
      <c r="E207" s="34" t="str">
        <f aca="false">IF($B207="","",IF($B207="OUT","Liters",IFERROR(INDEX(Setup!$F$3:$F$24,MATCH($C207,Setup!$A$3:$A$24,0)),"")))</f>
        <v/>
      </c>
      <c r="F207" s="28" t="str">
        <f aca="false">IF(OR($D207="",$E207=""),"",IFERROR($D207*INDEX(Setup!$B$27:$B$44,MATCH($E207,Setup!$A$27:$A$44,0)),"TBD"))</f>
        <v/>
      </c>
      <c r="G207" s="32"/>
      <c r="H207" s="32"/>
      <c r="I207" s="32"/>
      <c r="J207" s="32"/>
      <c r="K207" s="35"/>
      <c r="L207" s="32"/>
      <c r="M207" s="32"/>
    </row>
    <row r="208" customFormat="false" ht="15" hidden="false" customHeight="true" outlineLevel="0" collapsed="false">
      <c r="A208" s="32"/>
      <c r="B208" s="32"/>
      <c r="C208" s="32"/>
      <c r="D208" s="32"/>
      <c r="E208" s="34" t="str">
        <f aca="false">IF($B208="","",IF($B208="OUT","Liters",IFERROR(INDEX(Setup!$F$3:$F$24,MATCH($C208,Setup!$A$3:$A$24,0)),"")))</f>
        <v/>
      </c>
      <c r="F208" s="28" t="str">
        <f aca="false">IF(OR($D208="",$E208=""),"",IFERROR($D208*INDEX(Setup!$B$27:$B$44,MATCH($E208,Setup!$A$27:$A$44,0)),"TBD"))</f>
        <v/>
      </c>
      <c r="G208" s="32"/>
      <c r="H208" s="32"/>
      <c r="I208" s="32"/>
      <c r="J208" s="32"/>
      <c r="K208" s="35"/>
      <c r="L208" s="32"/>
      <c r="M208" s="32"/>
    </row>
    <row r="209" customFormat="false" ht="15" hidden="false" customHeight="true" outlineLevel="0" collapsed="false">
      <c r="A209" s="32"/>
      <c r="B209" s="32"/>
      <c r="C209" s="32"/>
      <c r="D209" s="32"/>
      <c r="E209" s="34" t="str">
        <f aca="false">IF($B209="","",IF($B209="OUT","Liters",IFERROR(INDEX(Setup!$F$3:$F$24,MATCH($C209,Setup!$A$3:$A$24,0)),"")))</f>
        <v/>
      </c>
      <c r="F209" s="28" t="str">
        <f aca="false">IF(OR($D209="",$E209=""),"",IFERROR($D209*INDEX(Setup!$B$27:$B$44,MATCH($E209,Setup!$A$27:$A$44,0)),"TBD"))</f>
        <v/>
      </c>
      <c r="G209" s="32"/>
      <c r="H209" s="32"/>
      <c r="I209" s="32"/>
      <c r="J209" s="32"/>
      <c r="K209" s="35"/>
      <c r="L209" s="32"/>
      <c r="M209" s="32"/>
    </row>
    <row r="210" customFormat="false" ht="15" hidden="false" customHeight="true" outlineLevel="0" collapsed="false">
      <c r="A210" s="32"/>
      <c r="B210" s="32"/>
      <c r="C210" s="32"/>
      <c r="D210" s="32"/>
      <c r="E210" s="34" t="str">
        <f aca="false">IF($B210="","",IF($B210="OUT","Liters",IFERROR(INDEX(Setup!$F$3:$F$24,MATCH($C210,Setup!$A$3:$A$24,0)),"")))</f>
        <v/>
      </c>
      <c r="F210" s="28" t="str">
        <f aca="false">IF(OR($D210="",$E210=""),"",IFERROR($D210*INDEX(Setup!$B$27:$B$44,MATCH($E210,Setup!$A$27:$A$44,0)),"TBD"))</f>
        <v/>
      </c>
      <c r="G210" s="32"/>
      <c r="H210" s="32"/>
      <c r="I210" s="32"/>
      <c r="J210" s="32"/>
      <c r="K210" s="35"/>
      <c r="L210" s="32"/>
      <c r="M210" s="32"/>
    </row>
    <row r="211" customFormat="false" ht="15" hidden="false" customHeight="true" outlineLevel="0" collapsed="false">
      <c r="A211" s="32"/>
      <c r="B211" s="32"/>
      <c r="C211" s="32"/>
      <c r="D211" s="32"/>
      <c r="E211" s="34" t="str">
        <f aca="false">IF($B211="","",IF($B211="OUT","Liters",IFERROR(INDEX(Setup!$F$3:$F$24,MATCH($C211,Setup!$A$3:$A$24,0)),"")))</f>
        <v/>
      </c>
      <c r="F211" s="28" t="str">
        <f aca="false">IF(OR($D211="",$E211=""),"",IFERROR($D211*INDEX(Setup!$B$27:$B$44,MATCH($E211,Setup!$A$27:$A$44,0)),"TBD"))</f>
        <v/>
      </c>
      <c r="G211" s="32"/>
      <c r="H211" s="32"/>
      <c r="I211" s="32"/>
      <c r="J211" s="32"/>
      <c r="K211" s="35"/>
      <c r="L211" s="32"/>
      <c r="M211" s="32"/>
    </row>
    <row r="212" customFormat="false" ht="15" hidden="false" customHeight="true" outlineLevel="0" collapsed="false">
      <c r="A212" s="32"/>
      <c r="B212" s="32"/>
      <c r="C212" s="32"/>
      <c r="D212" s="32"/>
      <c r="E212" s="34" t="str">
        <f aca="false">IF($B212="","",IF($B212="OUT","Liters",IFERROR(INDEX(Setup!$F$3:$F$24,MATCH($C212,Setup!$A$3:$A$24,0)),"")))</f>
        <v/>
      </c>
      <c r="F212" s="28" t="str">
        <f aca="false">IF(OR($D212="",$E212=""),"",IFERROR($D212*INDEX(Setup!$B$27:$B$44,MATCH($E212,Setup!$A$27:$A$44,0)),"TBD"))</f>
        <v/>
      </c>
      <c r="G212" s="32"/>
      <c r="H212" s="32"/>
      <c r="I212" s="32"/>
      <c r="J212" s="32"/>
      <c r="K212" s="35"/>
      <c r="L212" s="32"/>
      <c r="M212" s="32"/>
    </row>
    <row r="213" customFormat="false" ht="15" hidden="false" customHeight="true" outlineLevel="0" collapsed="false">
      <c r="A213" s="32"/>
      <c r="B213" s="32"/>
      <c r="C213" s="32"/>
      <c r="D213" s="32"/>
      <c r="E213" s="34" t="str">
        <f aca="false">IF($B213="","",IF($B213="OUT","Liters",IFERROR(INDEX(Setup!$F$3:$F$24,MATCH($C213,Setup!$A$3:$A$24,0)),"")))</f>
        <v/>
      </c>
      <c r="F213" s="28" t="str">
        <f aca="false">IF(OR($D213="",$E213=""),"",IFERROR($D213*INDEX(Setup!$B$27:$B$44,MATCH($E213,Setup!$A$27:$A$44,0)),"TBD"))</f>
        <v/>
      </c>
      <c r="G213" s="32"/>
      <c r="H213" s="32"/>
      <c r="I213" s="32"/>
      <c r="J213" s="32"/>
      <c r="K213" s="35"/>
      <c r="L213" s="32"/>
      <c r="M213" s="32"/>
    </row>
    <row r="214" customFormat="false" ht="15" hidden="false" customHeight="true" outlineLevel="0" collapsed="false">
      <c r="A214" s="32"/>
      <c r="B214" s="32"/>
      <c r="C214" s="32"/>
      <c r="D214" s="32"/>
      <c r="E214" s="34" t="str">
        <f aca="false">IF($B214="","",IF($B214="OUT","Liters",IFERROR(INDEX(Setup!$F$3:$F$24,MATCH($C214,Setup!$A$3:$A$24,0)),"")))</f>
        <v/>
      </c>
      <c r="F214" s="28" t="str">
        <f aca="false">IF(OR($D214="",$E214=""),"",IFERROR($D214*INDEX(Setup!$B$27:$B$44,MATCH($E214,Setup!$A$27:$A$44,0)),"TBD"))</f>
        <v/>
      </c>
      <c r="G214" s="32"/>
      <c r="H214" s="32"/>
      <c r="I214" s="32"/>
      <c r="J214" s="32"/>
      <c r="K214" s="35"/>
      <c r="L214" s="32"/>
      <c r="M214" s="32"/>
    </row>
    <row r="215" customFormat="false" ht="15" hidden="false" customHeight="true" outlineLevel="0" collapsed="false">
      <c r="A215" s="32"/>
      <c r="B215" s="32"/>
      <c r="C215" s="32"/>
      <c r="D215" s="32"/>
      <c r="E215" s="34" t="str">
        <f aca="false">IF($B215="","",IF($B215="OUT","Liters",IFERROR(INDEX(Setup!$F$3:$F$24,MATCH($C215,Setup!$A$3:$A$24,0)),"")))</f>
        <v/>
      </c>
      <c r="F215" s="28" t="str">
        <f aca="false">IF(OR($D215="",$E215=""),"",IFERROR($D215*INDEX(Setup!$B$27:$B$44,MATCH($E215,Setup!$A$27:$A$44,0)),"TBD"))</f>
        <v/>
      </c>
      <c r="G215" s="32"/>
      <c r="H215" s="32"/>
      <c r="I215" s="32"/>
      <c r="J215" s="32"/>
      <c r="K215" s="35"/>
      <c r="L215" s="32"/>
      <c r="M215" s="32"/>
    </row>
    <row r="216" customFormat="false" ht="15" hidden="false" customHeight="true" outlineLevel="0" collapsed="false">
      <c r="A216" s="32"/>
      <c r="B216" s="32"/>
      <c r="C216" s="32"/>
      <c r="D216" s="32"/>
      <c r="E216" s="34" t="str">
        <f aca="false">IF($B216="","",IF($B216="OUT","Liters",IFERROR(INDEX(Setup!$F$3:$F$24,MATCH($C216,Setup!$A$3:$A$24,0)),"")))</f>
        <v/>
      </c>
      <c r="F216" s="28" t="str">
        <f aca="false">IF(OR($D216="",$E216=""),"",IFERROR($D216*INDEX(Setup!$B$27:$B$44,MATCH($E216,Setup!$A$27:$A$44,0)),"TBD"))</f>
        <v/>
      </c>
      <c r="G216" s="32"/>
      <c r="H216" s="32"/>
      <c r="I216" s="32"/>
      <c r="J216" s="32"/>
      <c r="K216" s="35"/>
      <c r="L216" s="32"/>
      <c r="M216" s="32"/>
    </row>
    <row r="217" customFormat="false" ht="15" hidden="false" customHeight="true" outlineLevel="0" collapsed="false">
      <c r="A217" s="32"/>
      <c r="B217" s="32"/>
      <c r="C217" s="32"/>
      <c r="D217" s="32"/>
      <c r="E217" s="34" t="str">
        <f aca="false">IF($B217="","",IF($B217="OUT","Liters",IFERROR(INDEX(Setup!$F$3:$F$24,MATCH($C217,Setup!$A$3:$A$24,0)),"")))</f>
        <v/>
      </c>
      <c r="F217" s="28" t="str">
        <f aca="false">IF(OR($D217="",$E217=""),"",IFERROR($D217*INDEX(Setup!$B$27:$B$44,MATCH($E217,Setup!$A$27:$A$44,0)),"TBD"))</f>
        <v/>
      </c>
      <c r="G217" s="32"/>
      <c r="H217" s="32"/>
      <c r="I217" s="32"/>
      <c r="J217" s="32"/>
      <c r="K217" s="35"/>
      <c r="L217" s="32"/>
      <c r="M217" s="32"/>
    </row>
    <row r="218" customFormat="false" ht="15" hidden="false" customHeight="true" outlineLevel="0" collapsed="false">
      <c r="A218" s="32"/>
      <c r="B218" s="32"/>
      <c r="C218" s="32"/>
      <c r="D218" s="32"/>
      <c r="E218" s="34" t="str">
        <f aca="false">IF($B218="","",IF($B218="OUT","Liters",IFERROR(INDEX(Setup!$F$3:$F$24,MATCH($C218,Setup!$A$3:$A$24,0)),"")))</f>
        <v/>
      </c>
      <c r="F218" s="28" t="str">
        <f aca="false">IF(OR($D218="",$E218=""),"",IFERROR($D218*INDEX(Setup!$B$27:$B$44,MATCH($E218,Setup!$A$27:$A$44,0)),"TBD"))</f>
        <v/>
      </c>
      <c r="G218" s="32"/>
      <c r="H218" s="32"/>
      <c r="I218" s="32"/>
      <c r="J218" s="32"/>
      <c r="K218" s="35"/>
      <c r="L218" s="32"/>
      <c r="M218" s="32"/>
    </row>
    <row r="219" customFormat="false" ht="15" hidden="false" customHeight="true" outlineLevel="0" collapsed="false">
      <c r="A219" s="32"/>
      <c r="B219" s="32"/>
      <c r="C219" s="32"/>
      <c r="D219" s="32"/>
      <c r="E219" s="34" t="str">
        <f aca="false">IF($B219="","",IF($B219="OUT","Liters",IFERROR(INDEX(Setup!$F$3:$F$24,MATCH($C219,Setup!$A$3:$A$24,0)),"")))</f>
        <v/>
      </c>
      <c r="F219" s="28" t="str">
        <f aca="false">IF(OR($D219="",$E219=""),"",IFERROR($D219*INDEX(Setup!$B$27:$B$44,MATCH($E219,Setup!$A$27:$A$44,0)),"TBD"))</f>
        <v/>
      </c>
      <c r="G219" s="32"/>
      <c r="H219" s="32"/>
      <c r="I219" s="32"/>
      <c r="J219" s="32"/>
      <c r="K219" s="35"/>
      <c r="L219" s="32"/>
      <c r="M219" s="32"/>
    </row>
    <row r="220" customFormat="false" ht="15" hidden="false" customHeight="true" outlineLevel="0" collapsed="false">
      <c r="A220" s="32"/>
      <c r="B220" s="32"/>
      <c r="C220" s="32"/>
      <c r="D220" s="32"/>
      <c r="E220" s="34" t="str">
        <f aca="false">IF($B220="","",IF($B220="OUT","Liters",IFERROR(INDEX(Setup!$F$3:$F$24,MATCH($C220,Setup!$A$3:$A$24,0)),"")))</f>
        <v/>
      </c>
      <c r="F220" s="28" t="str">
        <f aca="false">IF(OR($D220="",$E220=""),"",IFERROR($D220*INDEX(Setup!$B$27:$B$44,MATCH($E220,Setup!$A$27:$A$44,0)),"TBD"))</f>
        <v/>
      </c>
      <c r="G220" s="32"/>
      <c r="H220" s="32"/>
      <c r="I220" s="32"/>
      <c r="J220" s="32"/>
      <c r="K220" s="35"/>
      <c r="L220" s="32"/>
      <c r="M220" s="32"/>
    </row>
    <row r="221" customFormat="false" ht="15" hidden="false" customHeight="true" outlineLevel="0" collapsed="false">
      <c r="A221" s="32"/>
      <c r="B221" s="32"/>
      <c r="C221" s="32"/>
      <c r="D221" s="32"/>
      <c r="E221" s="34" t="str">
        <f aca="false">IF($B221="","",IF($B221="OUT","Liters",IFERROR(INDEX(Setup!$F$3:$F$24,MATCH($C221,Setup!$A$3:$A$24,0)),"")))</f>
        <v/>
      </c>
      <c r="F221" s="28" t="str">
        <f aca="false">IF(OR($D221="",$E221=""),"",IFERROR($D221*INDEX(Setup!$B$27:$B$44,MATCH($E221,Setup!$A$27:$A$44,0)),"TBD"))</f>
        <v/>
      </c>
      <c r="G221" s="32"/>
      <c r="H221" s="32"/>
      <c r="I221" s="32"/>
      <c r="J221" s="32"/>
      <c r="K221" s="35"/>
      <c r="L221" s="32"/>
      <c r="M221" s="32"/>
    </row>
    <row r="222" customFormat="false" ht="15" hidden="false" customHeight="true" outlineLevel="0" collapsed="false">
      <c r="A222" s="32"/>
      <c r="B222" s="32"/>
      <c r="C222" s="32"/>
      <c r="D222" s="32"/>
      <c r="E222" s="34" t="str">
        <f aca="false">IF($B222="","",IF($B222="OUT","Liters",IFERROR(INDEX(Setup!$F$3:$F$24,MATCH($C222,Setup!$A$3:$A$24,0)),"")))</f>
        <v/>
      </c>
      <c r="F222" s="28" t="str">
        <f aca="false">IF(OR($D222="",$E222=""),"",IFERROR($D222*INDEX(Setup!$B$27:$B$44,MATCH($E222,Setup!$A$27:$A$44,0)),"TBD"))</f>
        <v/>
      </c>
      <c r="G222" s="32"/>
      <c r="H222" s="32"/>
      <c r="I222" s="32"/>
      <c r="J222" s="32"/>
      <c r="K222" s="35"/>
      <c r="L222" s="32"/>
      <c r="M222" s="32"/>
    </row>
    <row r="223" customFormat="false" ht="15" hidden="false" customHeight="true" outlineLevel="0" collapsed="false">
      <c r="A223" s="32"/>
      <c r="B223" s="32"/>
      <c r="C223" s="32"/>
      <c r="D223" s="32"/>
      <c r="E223" s="34" t="str">
        <f aca="false">IF($B223="","",IF($B223="OUT","Liters",IFERROR(INDEX(Setup!$F$3:$F$24,MATCH($C223,Setup!$A$3:$A$24,0)),"")))</f>
        <v/>
      </c>
      <c r="F223" s="28" t="str">
        <f aca="false">IF(OR($D223="",$E223=""),"",IFERROR($D223*INDEX(Setup!$B$27:$B$44,MATCH($E223,Setup!$A$27:$A$44,0)),"TBD"))</f>
        <v/>
      </c>
      <c r="G223" s="32"/>
      <c r="H223" s="32"/>
      <c r="I223" s="32"/>
      <c r="J223" s="32"/>
      <c r="K223" s="35"/>
      <c r="L223" s="32"/>
      <c r="M223" s="32"/>
    </row>
    <row r="224" customFormat="false" ht="15" hidden="false" customHeight="true" outlineLevel="0" collapsed="false">
      <c r="A224" s="32"/>
      <c r="B224" s="32"/>
      <c r="C224" s="32"/>
      <c r="D224" s="32"/>
      <c r="E224" s="34" t="str">
        <f aca="false">IF($B224="","",IF($B224="OUT","Liters",IFERROR(INDEX(Setup!$F$3:$F$24,MATCH($C224,Setup!$A$3:$A$24,0)),"")))</f>
        <v/>
      </c>
      <c r="F224" s="28" t="str">
        <f aca="false">IF(OR($D224="",$E224=""),"",IFERROR($D224*INDEX(Setup!$B$27:$B$44,MATCH($E224,Setup!$A$27:$A$44,0)),"TBD"))</f>
        <v/>
      </c>
      <c r="G224" s="32"/>
      <c r="H224" s="32"/>
      <c r="I224" s="32"/>
      <c r="J224" s="32"/>
      <c r="K224" s="35"/>
      <c r="L224" s="32"/>
      <c r="M224" s="32"/>
    </row>
    <row r="225" customFormat="false" ht="15" hidden="false" customHeight="true" outlineLevel="0" collapsed="false">
      <c r="A225" s="32"/>
      <c r="B225" s="32"/>
      <c r="C225" s="32"/>
      <c r="D225" s="32"/>
      <c r="E225" s="34" t="str">
        <f aca="false">IF($B225="","",IF($B225="OUT","Liters",IFERROR(INDEX(Setup!$F$3:$F$24,MATCH($C225,Setup!$A$3:$A$24,0)),"")))</f>
        <v/>
      </c>
      <c r="F225" s="28" t="str">
        <f aca="false">IF(OR($D225="",$E225=""),"",IFERROR($D225*INDEX(Setup!$B$27:$B$44,MATCH($E225,Setup!$A$27:$A$44,0)),"TBD"))</f>
        <v/>
      </c>
      <c r="G225" s="32"/>
      <c r="H225" s="32"/>
      <c r="I225" s="32"/>
      <c r="J225" s="32"/>
      <c r="K225" s="35"/>
      <c r="L225" s="32"/>
      <c r="M225" s="32"/>
    </row>
    <row r="226" customFormat="false" ht="15" hidden="false" customHeight="true" outlineLevel="0" collapsed="false">
      <c r="A226" s="32"/>
      <c r="B226" s="32"/>
      <c r="C226" s="32"/>
      <c r="D226" s="32"/>
      <c r="E226" s="34" t="str">
        <f aca="false">IF($B226="","",IF($B226="OUT","Liters",IFERROR(INDEX(Setup!$F$3:$F$24,MATCH($C226,Setup!$A$3:$A$24,0)),"")))</f>
        <v/>
      </c>
      <c r="F226" s="28" t="str">
        <f aca="false">IF(OR($D226="",$E226=""),"",IFERROR($D226*INDEX(Setup!$B$27:$B$44,MATCH($E226,Setup!$A$27:$A$44,0)),"TBD"))</f>
        <v/>
      </c>
      <c r="G226" s="32"/>
      <c r="H226" s="32"/>
      <c r="I226" s="32"/>
      <c r="J226" s="32"/>
      <c r="K226" s="35"/>
      <c r="L226" s="32"/>
      <c r="M226" s="32"/>
    </row>
    <row r="227" customFormat="false" ht="15" hidden="false" customHeight="true" outlineLevel="0" collapsed="false">
      <c r="A227" s="32"/>
      <c r="B227" s="32"/>
      <c r="C227" s="32"/>
      <c r="D227" s="32"/>
      <c r="E227" s="34" t="str">
        <f aca="false">IF($B227="","",IF($B227="OUT","Liters",IFERROR(INDEX(Setup!$F$3:$F$24,MATCH($C227,Setup!$A$3:$A$24,0)),"")))</f>
        <v/>
      </c>
      <c r="F227" s="28" t="str">
        <f aca="false">IF(OR($D227="",$E227=""),"",IFERROR($D227*INDEX(Setup!$B$27:$B$44,MATCH($E227,Setup!$A$27:$A$44,0)),"TBD"))</f>
        <v/>
      </c>
      <c r="G227" s="32"/>
      <c r="H227" s="32"/>
      <c r="I227" s="32"/>
      <c r="J227" s="32"/>
      <c r="K227" s="35"/>
      <c r="L227" s="32"/>
      <c r="M227" s="32"/>
    </row>
    <row r="228" customFormat="false" ht="15" hidden="false" customHeight="true" outlineLevel="0" collapsed="false">
      <c r="A228" s="32"/>
      <c r="B228" s="32"/>
      <c r="C228" s="32"/>
      <c r="D228" s="32"/>
      <c r="E228" s="34" t="str">
        <f aca="false">IF($B228="","",IF($B228="OUT","Liters",IFERROR(INDEX(Setup!$F$3:$F$24,MATCH($C228,Setup!$A$3:$A$24,0)),"")))</f>
        <v/>
      </c>
      <c r="F228" s="28" t="str">
        <f aca="false">IF(OR($D228="",$E228=""),"",IFERROR($D228*INDEX(Setup!$B$27:$B$44,MATCH($E228,Setup!$A$27:$A$44,0)),"TBD"))</f>
        <v/>
      </c>
      <c r="G228" s="32"/>
      <c r="H228" s="32"/>
      <c r="I228" s="32"/>
      <c r="J228" s="32"/>
      <c r="K228" s="35"/>
      <c r="L228" s="32"/>
      <c r="M228" s="32"/>
    </row>
    <row r="229" customFormat="false" ht="15" hidden="false" customHeight="true" outlineLevel="0" collapsed="false">
      <c r="A229" s="32"/>
      <c r="B229" s="32"/>
      <c r="C229" s="32"/>
      <c r="D229" s="32"/>
      <c r="E229" s="34" t="str">
        <f aca="false">IF($B229="","",IF($B229="OUT","Liters",IFERROR(INDEX(Setup!$F$3:$F$24,MATCH($C229,Setup!$A$3:$A$24,0)),"")))</f>
        <v/>
      </c>
      <c r="F229" s="28" t="str">
        <f aca="false">IF(OR($D229="",$E229=""),"",IFERROR($D229*INDEX(Setup!$B$27:$B$44,MATCH($E229,Setup!$A$27:$A$44,0)),"TBD"))</f>
        <v/>
      </c>
      <c r="G229" s="32"/>
      <c r="H229" s="32"/>
      <c r="I229" s="32"/>
      <c r="J229" s="32"/>
      <c r="K229" s="35"/>
      <c r="L229" s="32"/>
      <c r="M229" s="32"/>
    </row>
    <row r="230" customFormat="false" ht="15" hidden="false" customHeight="true" outlineLevel="0" collapsed="false">
      <c r="A230" s="32"/>
      <c r="B230" s="32"/>
      <c r="C230" s="32"/>
      <c r="D230" s="32"/>
      <c r="E230" s="34" t="str">
        <f aca="false">IF($B230="","",IF($B230="OUT","Liters",IFERROR(INDEX(Setup!$F$3:$F$24,MATCH($C230,Setup!$A$3:$A$24,0)),"")))</f>
        <v/>
      </c>
      <c r="F230" s="28" t="str">
        <f aca="false">IF(OR($D230="",$E230=""),"",IFERROR($D230*INDEX(Setup!$B$27:$B$44,MATCH($E230,Setup!$A$27:$A$44,0)),"TBD"))</f>
        <v/>
      </c>
      <c r="G230" s="32"/>
      <c r="H230" s="32"/>
      <c r="I230" s="32"/>
      <c r="J230" s="32"/>
      <c r="K230" s="35"/>
      <c r="L230" s="32"/>
      <c r="M230" s="32"/>
    </row>
    <row r="231" customFormat="false" ht="15" hidden="false" customHeight="true" outlineLevel="0" collapsed="false">
      <c r="A231" s="32"/>
      <c r="B231" s="32"/>
      <c r="C231" s="32"/>
      <c r="D231" s="32"/>
      <c r="E231" s="34" t="str">
        <f aca="false">IF($B231="","",IF($B231="OUT","Liters",IFERROR(INDEX(Setup!$F$3:$F$24,MATCH($C231,Setup!$A$3:$A$24,0)),"")))</f>
        <v/>
      </c>
      <c r="F231" s="28" t="str">
        <f aca="false">IF(OR($D231="",$E231=""),"",IFERROR($D231*INDEX(Setup!$B$27:$B$44,MATCH($E231,Setup!$A$27:$A$44,0)),"TBD"))</f>
        <v/>
      </c>
      <c r="G231" s="32"/>
      <c r="H231" s="32"/>
      <c r="I231" s="32"/>
      <c r="J231" s="32"/>
      <c r="K231" s="35"/>
      <c r="L231" s="32"/>
      <c r="M231" s="32"/>
    </row>
    <row r="232" customFormat="false" ht="15" hidden="false" customHeight="true" outlineLevel="0" collapsed="false">
      <c r="A232" s="32"/>
      <c r="B232" s="32"/>
      <c r="C232" s="32"/>
      <c r="D232" s="32"/>
      <c r="E232" s="34" t="str">
        <f aca="false">IF($B232="","",IF($B232="OUT","Liters",IFERROR(INDEX(Setup!$F$3:$F$24,MATCH($C232,Setup!$A$3:$A$24,0)),"")))</f>
        <v/>
      </c>
      <c r="F232" s="28" t="str">
        <f aca="false">IF(OR($D232="",$E232=""),"",IFERROR($D232*INDEX(Setup!$B$27:$B$44,MATCH($E232,Setup!$A$27:$A$44,0)),"TBD"))</f>
        <v/>
      </c>
      <c r="G232" s="32"/>
      <c r="H232" s="32"/>
      <c r="I232" s="32"/>
      <c r="J232" s="32"/>
      <c r="K232" s="35"/>
      <c r="L232" s="32"/>
      <c r="M232" s="32"/>
    </row>
    <row r="233" customFormat="false" ht="15" hidden="false" customHeight="true" outlineLevel="0" collapsed="false">
      <c r="A233" s="32"/>
      <c r="B233" s="32"/>
      <c r="C233" s="32"/>
      <c r="D233" s="32"/>
      <c r="E233" s="34" t="str">
        <f aca="false">IF($B233="","",IF($B233="OUT","Liters",IFERROR(INDEX(Setup!$F$3:$F$24,MATCH($C233,Setup!$A$3:$A$24,0)),"")))</f>
        <v/>
      </c>
      <c r="F233" s="28" t="str">
        <f aca="false">IF(OR($D233="",$E233=""),"",IFERROR($D233*INDEX(Setup!$B$27:$B$44,MATCH($E233,Setup!$A$27:$A$44,0)),"TBD"))</f>
        <v/>
      </c>
      <c r="G233" s="32"/>
      <c r="H233" s="32"/>
      <c r="I233" s="32"/>
      <c r="J233" s="32"/>
      <c r="K233" s="35"/>
      <c r="L233" s="32"/>
      <c r="M233" s="32"/>
    </row>
    <row r="234" customFormat="false" ht="15" hidden="false" customHeight="true" outlineLevel="0" collapsed="false">
      <c r="A234" s="32"/>
      <c r="B234" s="32"/>
      <c r="C234" s="32"/>
      <c r="D234" s="32"/>
      <c r="E234" s="34" t="str">
        <f aca="false">IF($B234="","",IF($B234="OUT","Liters",IFERROR(INDEX(Setup!$F$3:$F$24,MATCH($C234,Setup!$A$3:$A$24,0)),"")))</f>
        <v/>
      </c>
      <c r="F234" s="28" t="str">
        <f aca="false">IF(OR($D234="",$E234=""),"",IFERROR($D234*INDEX(Setup!$B$27:$B$44,MATCH($E234,Setup!$A$27:$A$44,0)),"TBD"))</f>
        <v/>
      </c>
      <c r="G234" s="32"/>
      <c r="H234" s="32"/>
      <c r="I234" s="32"/>
      <c r="J234" s="32"/>
      <c r="K234" s="35"/>
      <c r="L234" s="32"/>
      <c r="M234" s="32"/>
    </row>
    <row r="235" customFormat="false" ht="15" hidden="false" customHeight="true" outlineLevel="0" collapsed="false">
      <c r="A235" s="32"/>
      <c r="B235" s="32"/>
      <c r="C235" s="32"/>
      <c r="D235" s="32"/>
      <c r="E235" s="34" t="str">
        <f aca="false">IF($B235="","",IF($B235="OUT","Liters",IFERROR(INDEX(Setup!$F$3:$F$24,MATCH($C235,Setup!$A$3:$A$24,0)),"")))</f>
        <v/>
      </c>
      <c r="F235" s="28" t="str">
        <f aca="false">IF(OR($D235="",$E235=""),"",IFERROR($D235*INDEX(Setup!$B$27:$B$44,MATCH($E235,Setup!$A$27:$A$44,0)),"TBD"))</f>
        <v/>
      </c>
      <c r="G235" s="32"/>
      <c r="H235" s="32"/>
      <c r="I235" s="32"/>
      <c r="J235" s="32"/>
      <c r="K235" s="35"/>
      <c r="L235" s="32"/>
      <c r="M235" s="32"/>
    </row>
    <row r="236" customFormat="false" ht="15" hidden="false" customHeight="true" outlineLevel="0" collapsed="false">
      <c r="A236" s="32"/>
      <c r="B236" s="32"/>
      <c r="C236" s="32"/>
      <c r="D236" s="32"/>
      <c r="E236" s="34" t="str">
        <f aca="false">IF($B236="","",IF($B236="OUT","Liters",IFERROR(INDEX(Setup!$F$3:$F$24,MATCH($C236,Setup!$A$3:$A$24,0)),"")))</f>
        <v/>
      </c>
      <c r="F236" s="28" t="str">
        <f aca="false">IF(OR($D236="",$E236=""),"",IFERROR($D236*INDEX(Setup!$B$27:$B$44,MATCH($E236,Setup!$A$27:$A$44,0)),"TBD"))</f>
        <v/>
      </c>
      <c r="G236" s="32"/>
      <c r="H236" s="32"/>
      <c r="I236" s="32"/>
      <c r="J236" s="32"/>
      <c r="K236" s="35"/>
      <c r="L236" s="32"/>
      <c r="M236" s="32"/>
    </row>
    <row r="237" customFormat="false" ht="15" hidden="false" customHeight="true" outlineLevel="0" collapsed="false">
      <c r="A237" s="32"/>
      <c r="B237" s="32"/>
      <c r="C237" s="32"/>
      <c r="D237" s="32"/>
      <c r="E237" s="34" t="str">
        <f aca="false">IF($B237="","",IF($B237="OUT","Liters",IFERROR(INDEX(Setup!$F$3:$F$24,MATCH($C237,Setup!$A$3:$A$24,0)),"")))</f>
        <v/>
      </c>
      <c r="F237" s="28" t="str">
        <f aca="false">IF(OR($D237="",$E237=""),"",IFERROR($D237*INDEX(Setup!$B$27:$B$44,MATCH($E237,Setup!$A$27:$A$44,0)),"TBD"))</f>
        <v/>
      </c>
      <c r="G237" s="32"/>
      <c r="H237" s="32"/>
      <c r="I237" s="32"/>
      <c r="J237" s="32"/>
      <c r="K237" s="35"/>
      <c r="L237" s="32"/>
      <c r="M237" s="32"/>
    </row>
    <row r="238" customFormat="false" ht="15" hidden="false" customHeight="true" outlineLevel="0" collapsed="false">
      <c r="A238" s="32"/>
      <c r="B238" s="32"/>
      <c r="C238" s="32"/>
      <c r="D238" s="32"/>
      <c r="E238" s="34" t="str">
        <f aca="false">IF($B238="","",IF($B238="OUT","Liters",IFERROR(INDEX(Setup!$F$3:$F$24,MATCH($C238,Setup!$A$3:$A$24,0)),"")))</f>
        <v/>
      </c>
      <c r="F238" s="28" t="str">
        <f aca="false">IF(OR($D238="",$E238=""),"",IFERROR($D238*INDEX(Setup!$B$27:$B$44,MATCH($E238,Setup!$A$27:$A$44,0)),"TBD"))</f>
        <v/>
      </c>
      <c r="G238" s="32"/>
      <c r="H238" s="32"/>
      <c r="I238" s="32"/>
      <c r="J238" s="32"/>
      <c r="K238" s="35"/>
      <c r="L238" s="32"/>
      <c r="M238" s="32"/>
    </row>
    <row r="239" customFormat="false" ht="15" hidden="false" customHeight="true" outlineLevel="0" collapsed="false">
      <c r="A239" s="32"/>
      <c r="B239" s="32"/>
      <c r="C239" s="32"/>
      <c r="D239" s="32"/>
      <c r="E239" s="34" t="str">
        <f aca="false">IF($B239="","",IF($B239="OUT","Liters",IFERROR(INDEX(Setup!$F$3:$F$24,MATCH($C239,Setup!$A$3:$A$24,0)),"")))</f>
        <v/>
      </c>
      <c r="F239" s="28" t="str">
        <f aca="false">IF(OR($D239="",$E239=""),"",IFERROR($D239*INDEX(Setup!$B$27:$B$44,MATCH($E239,Setup!$A$27:$A$44,0)),"TBD"))</f>
        <v/>
      </c>
      <c r="G239" s="32"/>
      <c r="H239" s="32"/>
      <c r="I239" s="32"/>
      <c r="J239" s="32"/>
      <c r="K239" s="35"/>
      <c r="L239" s="32"/>
      <c r="M239" s="32"/>
    </row>
    <row r="240" customFormat="false" ht="15" hidden="false" customHeight="true" outlineLevel="0" collapsed="false">
      <c r="A240" s="32"/>
      <c r="B240" s="32"/>
      <c r="C240" s="32"/>
      <c r="D240" s="32"/>
      <c r="E240" s="34" t="str">
        <f aca="false">IF($B240="","",IF($B240="OUT","Liters",IFERROR(INDEX(Setup!$F$3:$F$24,MATCH($C240,Setup!$A$3:$A$24,0)),"")))</f>
        <v/>
      </c>
      <c r="F240" s="28" t="str">
        <f aca="false">IF(OR($D240="",$E240=""),"",IFERROR($D240*INDEX(Setup!$B$27:$B$44,MATCH($E240,Setup!$A$27:$A$44,0)),"TBD"))</f>
        <v/>
      </c>
      <c r="G240" s="32"/>
      <c r="H240" s="32"/>
      <c r="I240" s="32"/>
      <c r="J240" s="32"/>
      <c r="K240" s="35"/>
      <c r="L240" s="32"/>
      <c r="M240" s="32"/>
    </row>
    <row r="241" customFormat="false" ht="15" hidden="false" customHeight="true" outlineLevel="0" collapsed="false">
      <c r="A241" s="32"/>
      <c r="B241" s="32"/>
      <c r="C241" s="32"/>
      <c r="D241" s="32"/>
      <c r="E241" s="34" t="str">
        <f aca="false">IF($B241="","",IF($B241="OUT","Liters",IFERROR(INDEX(Setup!$F$3:$F$24,MATCH($C241,Setup!$A$3:$A$24,0)),"")))</f>
        <v/>
      </c>
      <c r="F241" s="28" t="str">
        <f aca="false">IF(OR($D241="",$E241=""),"",IFERROR($D241*INDEX(Setup!$B$27:$B$44,MATCH($E241,Setup!$A$27:$A$44,0)),"TBD"))</f>
        <v/>
      </c>
      <c r="G241" s="32"/>
      <c r="H241" s="32"/>
      <c r="I241" s="32"/>
      <c r="J241" s="32"/>
      <c r="K241" s="35"/>
      <c r="L241" s="32"/>
      <c r="M241" s="32"/>
    </row>
    <row r="242" customFormat="false" ht="15" hidden="false" customHeight="true" outlineLevel="0" collapsed="false">
      <c r="A242" s="32"/>
      <c r="B242" s="32"/>
      <c r="C242" s="32"/>
      <c r="D242" s="32"/>
      <c r="E242" s="34" t="str">
        <f aca="false">IF($B242="","",IF($B242="OUT","Liters",IFERROR(INDEX(Setup!$F$3:$F$24,MATCH($C242,Setup!$A$3:$A$24,0)),"")))</f>
        <v/>
      </c>
      <c r="F242" s="28" t="str">
        <f aca="false">IF(OR($D242="",$E242=""),"",IFERROR($D242*INDEX(Setup!$B$27:$B$44,MATCH($E242,Setup!$A$27:$A$44,0)),"TBD"))</f>
        <v/>
      </c>
      <c r="G242" s="32"/>
      <c r="H242" s="32"/>
      <c r="I242" s="32"/>
      <c r="J242" s="32"/>
      <c r="K242" s="35"/>
      <c r="L242" s="32"/>
      <c r="M242" s="32"/>
    </row>
    <row r="243" customFormat="false" ht="15" hidden="false" customHeight="true" outlineLevel="0" collapsed="false">
      <c r="A243" s="32"/>
      <c r="B243" s="32"/>
      <c r="C243" s="32"/>
      <c r="D243" s="32"/>
      <c r="E243" s="34" t="str">
        <f aca="false">IF($B243="","",IF($B243="OUT","Liters",IFERROR(INDEX(Setup!$F$3:$F$24,MATCH($C243,Setup!$A$3:$A$24,0)),"")))</f>
        <v/>
      </c>
      <c r="F243" s="28" t="str">
        <f aca="false">IF(OR($D243="",$E243=""),"",IFERROR($D243*INDEX(Setup!$B$27:$B$44,MATCH($E243,Setup!$A$27:$A$44,0)),"TBD"))</f>
        <v/>
      </c>
      <c r="G243" s="32"/>
      <c r="H243" s="32"/>
      <c r="I243" s="32"/>
      <c r="J243" s="32"/>
      <c r="K243" s="35"/>
      <c r="L243" s="32"/>
      <c r="M243" s="32"/>
    </row>
    <row r="244" customFormat="false" ht="15" hidden="false" customHeight="true" outlineLevel="0" collapsed="false">
      <c r="A244" s="32"/>
      <c r="B244" s="32"/>
      <c r="C244" s="32"/>
      <c r="D244" s="32"/>
      <c r="E244" s="34" t="str">
        <f aca="false">IF($B244="","",IF($B244="OUT","Liters",IFERROR(INDEX(Setup!$F$3:$F$24,MATCH($C244,Setup!$A$3:$A$24,0)),"")))</f>
        <v/>
      </c>
      <c r="F244" s="28" t="str">
        <f aca="false">IF(OR($D244="",$E244=""),"",IFERROR($D244*INDEX(Setup!$B$27:$B$44,MATCH($E244,Setup!$A$27:$A$44,0)),"TBD"))</f>
        <v/>
      </c>
      <c r="G244" s="32"/>
      <c r="H244" s="32"/>
      <c r="I244" s="32"/>
      <c r="J244" s="32"/>
      <c r="K244" s="35"/>
      <c r="L244" s="32"/>
      <c r="M244" s="32"/>
    </row>
    <row r="245" customFormat="false" ht="15" hidden="false" customHeight="true" outlineLevel="0" collapsed="false">
      <c r="A245" s="32"/>
      <c r="B245" s="32"/>
      <c r="C245" s="32"/>
      <c r="D245" s="32"/>
      <c r="E245" s="34" t="str">
        <f aca="false">IF($B245="","",IF($B245="OUT","Liters",IFERROR(INDEX(Setup!$F$3:$F$24,MATCH($C245,Setup!$A$3:$A$24,0)),"")))</f>
        <v/>
      </c>
      <c r="F245" s="28" t="str">
        <f aca="false">IF(OR($D245="",$E245=""),"",IFERROR($D245*INDEX(Setup!$B$27:$B$44,MATCH($E245,Setup!$A$27:$A$44,0)),"TBD"))</f>
        <v/>
      </c>
      <c r="G245" s="32"/>
      <c r="H245" s="32"/>
      <c r="I245" s="32"/>
      <c r="J245" s="32"/>
      <c r="K245" s="35"/>
      <c r="L245" s="32"/>
      <c r="M245" s="32"/>
    </row>
    <row r="246" customFormat="false" ht="15" hidden="false" customHeight="true" outlineLevel="0" collapsed="false">
      <c r="A246" s="32"/>
      <c r="B246" s="32"/>
      <c r="C246" s="32"/>
      <c r="D246" s="32"/>
      <c r="E246" s="34" t="str">
        <f aca="false">IF($B246="","",IF($B246="OUT","Liters",IFERROR(INDEX(Setup!$F$3:$F$24,MATCH($C246,Setup!$A$3:$A$24,0)),"")))</f>
        <v/>
      </c>
      <c r="F246" s="28" t="str">
        <f aca="false">IF(OR($D246="",$E246=""),"",IFERROR($D246*INDEX(Setup!$B$27:$B$44,MATCH($E246,Setup!$A$27:$A$44,0)),"TBD"))</f>
        <v/>
      </c>
      <c r="G246" s="32"/>
      <c r="H246" s="32"/>
      <c r="I246" s="32"/>
      <c r="J246" s="32"/>
      <c r="K246" s="35"/>
      <c r="L246" s="32"/>
      <c r="M246" s="32"/>
    </row>
    <row r="247" customFormat="false" ht="15" hidden="false" customHeight="true" outlineLevel="0" collapsed="false">
      <c r="A247" s="32"/>
      <c r="B247" s="32"/>
      <c r="C247" s="32"/>
      <c r="D247" s="32"/>
      <c r="E247" s="34" t="str">
        <f aca="false">IF($B247="","",IF($B247="OUT","Liters",IFERROR(INDEX(Setup!$F$3:$F$24,MATCH($C247,Setup!$A$3:$A$24,0)),"")))</f>
        <v/>
      </c>
      <c r="F247" s="28" t="str">
        <f aca="false">IF(OR($D247="",$E247=""),"",IFERROR($D247*INDEX(Setup!$B$27:$B$44,MATCH($E247,Setup!$A$27:$A$44,0)),"TBD"))</f>
        <v/>
      </c>
      <c r="G247" s="32"/>
      <c r="H247" s="32"/>
      <c r="I247" s="32"/>
      <c r="J247" s="32"/>
      <c r="K247" s="35"/>
      <c r="L247" s="32"/>
      <c r="M247" s="32"/>
    </row>
    <row r="248" customFormat="false" ht="15" hidden="false" customHeight="true" outlineLevel="0" collapsed="false">
      <c r="A248" s="32"/>
      <c r="B248" s="32"/>
      <c r="C248" s="32"/>
      <c r="D248" s="32"/>
      <c r="E248" s="34" t="str">
        <f aca="false">IF($B248="","",IF($B248="OUT","Liters",IFERROR(INDEX(Setup!$F$3:$F$24,MATCH($C248,Setup!$A$3:$A$24,0)),"")))</f>
        <v/>
      </c>
      <c r="F248" s="28" t="str">
        <f aca="false">IF(OR($D248="",$E248=""),"",IFERROR($D248*INDEX(Setup!$B$27:$B$44,MATCH($E248,Setup!$A$27:$A$44,0)),"TBD"))</f>
        <v/>
      </c>
      <c r="G248" s="32"/>
      <c r="H248" s="32"/>
      <c r="I248" s="32"/>
      <c r="J248" s="32"/>
      <c r="K248" s="35"/>
      <c r="L248" s="32"/>
      <c r="M248" s="32"/>
    </row>
    <row r="249" customFormat="false" ht="15" hidden="false" customHeight="true" outlineLevel="0" collapsed="false">
      <c r="A249" s="32"/>
      <c r="B249" s="32"/>
      <c r="C249" s="32"/>
      <c r="D249" s="32"/>
      <c r="E249" s="34" t="str">
        <f aca="false">IF($B249="","",IF($B249="OUT","Liters",IFERROR(INDEX(Setup!$F$3:$F$24,MATCH($C249,Setup!$A$3:$A$24,0)),"")))</f>
        <v/>
      </c>
      <c r="F249" s="28" t="str">
        <f aca="false">IF(OR($D249="",$E249=""),"",IFERROR($D249*INDEX(Setup!$B$27:$B$44,MATCH($E249,Setup!$A$27:$A$44,0)),"TBD"))</f>
        <v/>
      </c>
      <c r="G249" s="32"/>
      <c r="H249" s="32"/>
      <c r="I249" s="32"/>
      <c r="J249" s="32"/>
      <c r="K249" s="35"/>
      <c r="L249" s="32"/>
      <c r="M249" s="32"/>
    </row>
    <row r="250" customFormat="false" ht="15" hidden="false" customHeight="true" outlineLevel="0" collapsed="false">
      <c r="A250" s="32"/>
      <c r="B250" s="32"/>
      <c r="C250" s="32"/>
      <c r="D250" s="32"/>
      <c r="E250" s="34" t="str">
        <f aca="false">IF($B250="","",IF($B250="OUT","Liters",IFERROR(INDEX(Setup!$F$3:$F$24,MATCH($C250,Setup!$A$3:$A$24,0)),"")))</f>
        <v/>
      </c>
      <c r="F250" s="28" t="str">
        <f aca="false">IF(OR($D250="",$E250=""),"",IFERROR($D250*INDEX(Setup!$B$27:$B$44,MATCH($E250,Setup!$A$27:$A$44,0)),"TBD"))</f>
        <v/>
      </c>
      <c r="G250" s="32"/>
      <c r="H250" s="32"/>
      <c r="I250" s="32"/>
      <c r="J250" s="32"/>
      <c r="K250" s="35"/>
      <c r="L250" s="32"/>
      <c r="M250" s="32"/>
    </row>
    <row r="251" customFormat="false" ht="15" hidden="false" customHeight="true" outlineLevel="0" collapsed="false">
      <c r="A251" s="32"/>
      <c r="B251" s="32"/>
      <c r="C251" s="32"/>
      <c r="D251" s="32"/>
      <c r="E251" s="34" t="str">
        <f aca="false">IF($B251="","",IF($B251="OUT","Liters",IFERROR(INDEX(Setup!$F$3:$F$24,MATCH($C251,Setup!$A$3:$A$24,0)),"")))</f>
        <v/>
      </c>
      <c r="F251" s="28" t="str">
        <f aca="false">IF(OR($D251="",$E251=""),"",IFERROR($D251*INDEX(Setup!$B$27:$B$44,MATCH($E251,Setup!$A$27:$A$44,0)),"TBD"))</f>
        <v/>
      </c>
      <c r="G251" s="32"/>
      <c r="H251" s="32"/>
      <c r="I251" s="32"/>
      <c r="J251" s="32"/>
      <c r="K251" s="35"/>
      <c r="L251" s="32"/>
      <c r="M251" s="32"/>
    </row>
    <row r="252" customFormat="false" ht="15" hidden="false" customHeight="true" outlineLevel="0" collapsed="false">
      <c r="A252" s="32"/>
      <c r="B252" s="32"/>
      <c r="C252" s="32"/>
      <c r="D252" s="32"/>
      <c r="E252" s="34" t="str">
        <f aca="false">IF($B252="","",IF($B252="OUT","Liters",IFERROR(INDEX(Setup!$F$3:$F$24,MATCH($C252,Setup!$A$3:$A$24,0)),"")))</f>
        <v/>
      </c>
      <c r="F252" s="28" t="str">
        <f aca="false">IF(OR($D252="",$E252=""),"",IFERROR($D252*INDEX(Setup!$B$27:$B$44,MATCH($E252,Setup!$A$27:$A$44,0)),"TBD"))</f>
        <v/>
      </c>
      <c r="G252" s="32"/>
      <c r="H252" s="32"/>
      <c r="I252" s="32"/>
      <c r="J252" s="32"/>
      <c r="K252" s="35"/>
      <c r="L252" s="32"/>
      <c r="M252" s="32"/>
    </row>
    <row r="253" customFormat="false" ht="15" hidden="false" customHeight="true" outlineLevel="0" collapsed="false">
      <c r="A253" s="32"/>
      <c r="B253" s="32"/>
      <c r="C253" s="32"/>
      <c r="D253" s="32"/>
      <c r="E253" s="34" t="str">
        <f aca="false">IF($B253="","",IF($B253="OUT","Liters",IFERROR(INDEX(Setup!$F$3:$F$24,MATCH($C253,Setup!$A$3:$A$24,0)),"")))</f>
        <v/>
      </c>
      <c r="F253" s="28" t="str">
        <f aca="false">IF(OR($D253="",$E253=""),"",IFERROR($D253*INDEX(Setup!$B$27:$B$44,MATCH($E253,Setup!$A$27:$A$44,0)),"TBD"))</f>
        <v/>
      </c>
      <c r="G253" s="32"/>
      <c r="H253" s="32"/>
      <c r="I253" s="32"/>
      <c r="J253" s="32"/>
      <c r="K253" s="35"/>
      <c r="L253" s="32"/>
      <c r="M253" s="32"/>
    </row>
    <row r="254" customFormat="false" ht="15" hidden="false" customHeight="true" outlineLevel="0" collapsed="false">
      <c r="A254" s="32"/>
      <c r="B254" s="32"/>
      <c r="C254" s="32"/>
      <c r="D254" s="32"/>
      <c r="E254" s="34" t="str">
        <f aca="false">IF($B254="","",IF($B254="OUT","Liters",IFERROR(INDEX(Setup!$F$3:$F$24,MATCH($C254,Setup!$A$3:$A$24,0)),"")))</f>
        <v/>
      </c>
      <c r="F254" s="28" t="str">
        <f aca="false">IF(OR($D254="",$E254=""),"",IFERROR($D254*INDEX(Setup!$B$27:$B$44,MATCH($E254,Setup!$A$27:$A$44,0)),"TBD"))</f>
        <v/>
      </c>
      <c r="G254" s="32"/>
      <c r="H254" s="32"/>
      <c r="I254" s="32"/>
      <c r="J254" s="32"/>
      <c r="K254" s="35"/>
      <c r="L254" s="32"/>
      <c r="M254" s="32"/>
    </row>
    <row r="255" customFormat="false" ht="15" hidden="false" customHeight="true" outlineLevel="0" collapsed="false">
      <c r="A255" s="32"/>
      <c r="B255" s="32"/>
      <c r="C255" s="32"/>
      <c r="D255" s="32"/>
      <c r="E255" s="34" t="str">
        <f aca="false">IF($B255="","",IF($B255="OUT","Liters",IFERROR(INDEX(Setup!$F$3:$F$24,MATCH($C255,Setup!$A$3:$A$24,0)),"")))</f>
        <v/>
      </c>
      <c r="F255" s="28" t="str">
        <f aca="false">IF(OR($D255="",$E255=""),"",IFERROR($D255*INDEX(Setup!$B$27:$B$44,MATCH($E255,Setup!$A$27:$A$44,0)),"TBD"))</f>
        <v/>
      </c>
      <c r="G255" s="32"/>
      <c r="H255" s="32"/>
      <c r="I255" s="32"/>
      <c r="J255" s="32"/>
      <c r="K255" s="35"/>
      <c r="L255" s="32"/>
      <c r="M255" s="32"/>
    </row>
    <row r="256" customFormat="false" ht="15" hidden="false" customHeight="true" outlineLevel="0" collapsed="false">
      <c r="A256" s="32"/>
      <c r="B256" s="32"/>
      <c r="C256" s="32"/>
      <c r="D256" s="32"/>
      <c r="E256" s="34" t="str">
        <f aca="false">IF($B256="","",IF($B256="OUT","Liters",IFERROR(INDEX(Setup!$F$3:$F$24,MATCH($C256,Setup!$A$3:$A$24,0)),"")))</f>
        <v/>
      </c>
      <c r="F256" s="28" t="str">
        <f aca="false">IF(OR($D256="",$E256=""),"",IFERROR($D256*INDEX(Setup!$B$27:$B$44,MATCH($E256,Setup!$A$27:$A$44,0)),"TBD"))</f>
        <v/>
      </c>
      <c r="G256" s="32"/>
      <c r="H256" s="32"/>
      <c r="I256" s="32"/>
      <c r="J256" s="32"/>
      <c r="K256" s="35"/>
      <c r="L256" s="32"/>
      <c r="M256" s="32"/>
    </row>
    <row r="257" customFormat="false" ht="15" hidden="false" customHeight="true" outlineLevel="0" collapsed="false">
      <c r="A257" s="32"/>
      <c r="B257" s="32"/>
      <c r="C257" s="32"/>
      <c r="D257" s="32"/>
      <c r="E257" s="34" t="str">
        <f aca="false">IF($B257="","",IF($B257="OUT","Liters",IFERROR(INDEX(Setup!$F$3:$F$24,MATCH($C257,Setup!$A$3:$A$24,0)),"")))</f>
        <v/>
      </c>
      <c r="F257" s="28" t="str">
        <f aca="false">IF(OR($D257="",$E257=""),"",IFERROR($D257*INDEX(Setup!$B$27:$B$44,MATCH($E257,Setup!$A$27:$A$44,0)),"TBD"))</f>
        <v/>
      </c>
      <c r="G257" s="32"/>
      <c r="H257" s="32"/>
      <c r="I257" s="32"/>
      <c r="J257" s="32"/>
      <c r="K257" s="35"/>
      <c r="L257" s="32"/>
      <c r="M257" s="32"/>
    </row>
    <row r="258" customFormat="false" ht="15" hidden="false" customHeight="true" outlineLevel="0" collapsed="false">
      <c r="A258" s="32"/>
      <c r="B258" s="32"/>
      <c r="C258" s="32"/>
      <c r="D258" s="32"/>
      <c r="E258" s="34" t="str">
        <f aca="false">IF($B258="","",IF($B258="OUT","Liters",IFERROR(INDEX(Setup!$F$3:$F$24,MATCH($C258,Setup!$A$3:$A$24,0)),"")))</f>
        <v/>
      </c>
      <c r="F258" s="28" t="str">
        <f aca="false">IF(OR($D258="",$E258=""),"",IFERROR($D258*INDEX(Setup!$B$27:$B$44,MATCH($E258,Setup!$A$27:$A$44,0)),"TBD"))</f>
        <v/>
      </c>
      <c r="G258" s="32"/>
      <c r="H258" s="32"/>
      <c r="I258" s="32"/>
      <c r="J258" s="32"/>
      <c r="K258" s="35"/>
      <c r="L258" s="32"/>
      <c r="M258" s="32"/>
    </row>
    <row r="259" customFormat="false" ht="15" hidden="false" customHeight="true" outlineLevel="0" collapsed="false">
      <c r="A259" s="32"/>
      <c r="B259" s="32"/>
      <c r="C259" s="32"/>
      <c r="D259" s="32"/>
      <c r="E259" s="34" t="str">
        <f aca="false">IF($B259="","",IF($B259="OUT","Liters",IFERROR(INDEX(Setup!$F$3:$F$24,MATCH($C259,Setup!$A$3:$A$24,0)),"")))</f>
        <v/>
      </c>
      <c r="F259" s="28" t="str">
        <f aca="false">IF(OR($D259="",$E259=""),"",IFERROR($D259*INDEX(Setup!$B$27:$B$44,MATCH($E259,Setup!$A$27:$A$44,0)),"TBD"))</f>
        <v/>
      </c>
      <c r="G259" s="32"/>
      <c r="H259" s="32"/>
      <c r="I259" s="32"/>
      <c r="J259" s="32"/>
      <c r="K259" s="35"/>
      <c r="L259" s="32"/>
      <c r="M259" s="32"/>
    </row>
    <row r="260" customFormat="false" ht="15" hidden="false" customHeight="true" outlineLevel="0" collapsed="false">
      <c r="A260" s="32"/>
      <c r="B260" s="32"/>
      <c r="C260" s="32"/>
      <c r="D260" s="32"/>
      <c r="E260" s="34" t="str">
        <f aca="false">IF($B260="","",IF($B260="OUT","Liters",IFERROR(INDEX(Setup!$F$3:$F$24,MATCH($C260,Setup!$A$3:$A$24,0)),"")))</f>
        <v/>
      </c>
      <c r="F260" s="28" t="str">
        <f aca="false">IF(OR($D260="",$E260=""),"",IFERROR($D260*INDEX(Setup!$B$27:$B$44,MATCH($E260,Setup!$A$27:$A$44,0)),"TBD"))</f>
        <v/>
      </c>
      <c r="G260" s="32"/>
      <c r="H260" s="32"/>
      <c r="I260" s="32"/>
      <c r="J260" s="32"/>
      <c r="K260" s="35"/>
      <c r="L260" s="32"/>
      <c r="M260" s="32"/>
    </row>
    <row r="261" customFormat="false" ht="15" hidden="false" customHeight="true" outlineLevel="0" collapsed="false">
      <c r="A261" s="32"/>
      <c r="B261" s="32"/>
      <c r="C261" s="32"/>
      <c r="D261" s="32"/>
      <c r="E261" s="34" t="str">
        <f aca="false">IF($B261="","",IF($B261="OUT","Liters",IFERROR(INDEX(Setup!$F$3:$F$24,MATCH($C261,Setup!$A$3:$A$24,0)),"")))</f>
        <v/>
      </c>
      <c r="F261" s="28" t="str">
        <f aca="false">IF(OR($D261="",$E261=""),"",IFERROR($D261*INDEX(Setup!$B$27:$B$44,MATCH($E261,Setup!$A$27:$A$44,0)),"TBD"))</f>
        <v/>
      </c>
      <c r="G261" s="32"/>
      <c r="H261" s="32"/>
      <c r="I261" s="32"/>
      <c r="J261" s="32"/>
      <c r="K261" s="35"/>
      <c r="L261" s="32"/>
      <c r="M261" s="32"/>
    </row>
    <row r="262" customFormat="false" ht="15" hidden="false" customHeight="true" outlineLevel="0" collapsed="false">
      <c r="A262" s="32"/>
      <c r="B262" s="32"/>
      <c r="C262" s="32"/>
      <c r="D262" s="32"/>
      <c r="E262" s="34" t="str">
        <f aca="false">IF($B262="","",IF($B262="OUT","Liters",IFERROR(INDEX(Setup!$F$3:$F$24,MATCH($C262,Setup!$A$3:$A$24,0)),"")))</f>
        <v/>
      </c>
      <c r="F262" s="28" t="str">
        <f aca="false">IF(OR($D262="",$E262=""),"",IFERROR($D262*INDEX(Setup!$B$27:$B$44,MATCH($E262,Setup!$A$27:$A$44,0)),"TBD"))</f>
        <v/>
      </c>
      <c r="G262" s="32"/>
      <c r="H262" s="32"/>
      <c r="I262" s="32"/>
      <c r="J262" s="32"/>
      <c r="K262" s="35"/>
      <c r="L262" s="32"/>
      <c r="M262" s="32"/>
    </row>
    <row r="263" customFormat="false" ht="15" hidden="false" customHeight="true" outlineLevel="0" collapsed="false">
      <c r="A263" s="32"/>
      <c r="B263" s="32"/>
      <c r="C263" s="32"/>
      <c r="D263" s="32"/>
      <c r="E263" s="34" t="str">
        <f aca="false">IF($B263="","",IF($B263="OUT","Liters",IFERROR(INDEX(Setup!$F$3:$F$24,MATCH($C263,Setup!$A$3:$A$24,0)),"")))</f>
        <v/>
      </c>
      <c r="F263" s="28" t="str">
        <f aca="false">IF(OR($D263="",$E263=""),"",IFERROR($D263*INDEX(Setup!$B$27:$B$44,MATCH($E263,Setup!$A$27:$A$44,0)),"TBD"))</f>
        <v/>
      </c>
      <c r="G263" s="32"/>
      <c r="H263" s="32"/>
      <c r="I263" s="32"/>
      <c r="J263" s="32"/>
      <c r="K263" s="35"/>
      <c r="L263" s="32"/>
      <c r="M263" s="32"/>
    </row>
    <row r="264" customFormat="false" ht="15" hidden="false" customHeight="true" outlineLevel="0" collapsed="false">
      <c r="A264" s="32"/>
      <c r="B264" s="32"/>
      <c r="C264" s="32"/>
      <c r="D264" s="32"/>
      <c r="E264" s="34" t="str">
        <f aca="false">IF($B264="","",IF($B264="OUT","Liters",IFERROR(INDEX(Setup!$F$3:$F$24,MATCH($C264,Setup!$A$3:$A$24,0)),"")))</f>
        <v/>
      </c>
      <c r="F264" s="28" t="str">
        <f aca="false">IF(OR($D264="",$E264=""),"",IFERROR($D264*INDEX(Setup!$B$27:$B$44,MATCH($E264,Setup!$A$27:$A$44,0)),"TBD"))</f>
        <v/>
      </c>
      <c r="G264" s="32"/>
      <c r="H264" s="32"/>
      <c r="I264" s="32"/>
      <c r="J264" s="32"/>
      <c r="K264" s="35"/>
      <c r="L264" s="32"/>
      <c r="M264" s="32"/>
    </row>
    <row r="265" customFormat="false" ht="15" hidden="false" customHeight="true" outlineLevel="0" collapsed="false">
      <c r="A265" s="32"/>
      <c r="B265" s="32"/>
      <c r="C265" s="32"/>
      <c r="D265" s="32"/>
      <c r="E265" s="34" t="str">
        <f aca="false">IF($B265="","",IF($B265="OUT","Liters",IFERROR(INDEX(Setup!$F$3:$F$24,MATCH($C265,Setup!$A$3:$A$24,0)),"")))</f>
        <v/>
      </c>
      <c r="F265" s="28" t="str">
        <f aca="false">IF(OR($D265="",$E265=""),"",IFERROR($D265*INDEX(Setup!$B$27:$B$44,MATCH($E265,Setup!$A$27:$A$44,0)),"TBD"))</f>
        <v/>
      </c>
      <c r="G265" s="32"/>
      <c r="H265" s="32"/>
      <c r="I265" s="32"/>
      <c r="J265" s="32"/>
      <c r="K265" s="35"/>
      <c r="L265" s="32"/>
      <c r="M265" s="32"/>
    </row>
    <row r="266" customFormat="false" ht="15" hidden="false" customHeight="true" outlineLevel="0" collapsed="false">
      <c r="A266" s="32"/>
      <c r="B266" s="32"/>
      <c r="C266" s="32"/>
      <c r="D266" s="32"/>
      <c r="E266" s="34" t="str">
        <f aca="false">IF($B266="","",IF($B266="OUT","Liters",IFERROR(INDEX(Setup!$F$3:$F$24,MATCH($C266,Setup!$A$3:$A$24,0)),"")))</f>
        <v/>
      </c>
      <c r="F266" s="28" t="str">
        <f aca="false">IF(OR($D266="",$E266=""),"",IFERROR($D266*INDEX(Setup!$B$27:$B$44,MATCH($E266,Setup!$A$27:$A$44,0)),"TBD"))</f>
        <v/>
      </c>
      <c r="G266" s="32"/>
      <c r="H266" s="32"/>
      <c r="I266" s="32"/>
      <c r="J266" s="32"/>
      <c r="K266" s="35"/>
      <c r="L266" s="32"/>
      <c r="M266" s="32"/>
    </row>
    <row r="267" customFormat="false" ht="15" hidden="false" customHeight="true" outlineLevel="0" collapsed="false">
      <c r="A267" s="32"/>
      <c r="B267" s="32"/>
      <c r="C267" s="32"/>
      <c r="D267" s="32"/>
      <c r="E267" s="34" t="str">
        <f aca="false">IF($B267="","",IF($B267="OUT","Liters",IFERROR(INDEX(Setup!$F$3:$F$24,MATCH($C267,Setup!$A$3:$A$24,0)),"")))</f>
        <v/>
      </c>
      <c r="F267" s="28" t="str">
        <f aca="false">IF(OR($D267="",$E267=""),"",IFERROR($D267*INDEX(Setup!$B$27:$B$44,MATCH($E267,Setup!$A$27:$A$44,0)),"TBD"))</f>
        <v/>
      </c>
      <c r="G267" s="32"/>
      <c r="H267" s="32"/>
      <c r="I267" s="32"/>
      <c r="J267" s="32"/>
      <c r="K267" s="35"/>
      <c r="L267" s="32"/>
      <c r="M267" s="32"/>
    </row>
    <row r="268" customFormat="false" ht="15" hidden="false" customHeight="true" outlineLevel="0" collapsed="false">
      <c r="A268" s="32"/>
      <c r="B268" s="32"/>
      <c r="C268" s="32"/>
      <c r="D268" s="32"/>
      <c r="E268" s="34" t="str">
        <f aca="false">IF($B268="","",IF($B268="OUT","Liters",IFERROR(INDEX(Setup!$F$3:$F$24,MATCH($C268,Setup!$A$3:$A$24,0)),"")))</f>
        <v/>
      </c>
      <c r="F268" s="28" t="str">
        <f aca="false">IF(OR($D268="",$E268=""),"",IFERROR($D268*INDEX(Setup!$B$27:$B$44,MATCH($E268,Setup!$A$27:$A$44,0)),"TBD"))</f>
        <v/>
      </c>
      <c r="G268" s="32"/>
      <c r="H268" s="32"/>
      <c r="I268" s="32"/>
      <c r="J268" s="32"/>
      <c r="K268" s="35"/>
      <c r="L268" s="32"/>
      <c r="M268" s="32"/>
    </row>
    <row r="269" customFormat="false" ht="15" hidden="false" customHeight="true" outlineLevel="0" collapsed="false">
      <c r="A269" s="32"/>
      <c r="B269" s="32"/>
      <c r="C269" s="32"/>
      <c r="D269" s="32"/>
      <c r="E269" s="34" t="str">
        <f aca="false">IF($B269="","",IF($B269="OUT","Liters",IFERROR(INDEX(Setup!$F$3:$F$24,MATCH($C269,Setup!$A$3:$A$24,0)),"")))</f>
        <v/>
      </c>
      <c r="F269" s="28" t="str">
        <f aca="false">IF(OR($D269="",$E269=""),"",IFERROR($D269*INDEX(Setup!$B$27:$B$44,MATCH($E269,Setup!$A$27:$A$44,0)),"TBD"))</f>
        <v/>
      </c>
      <c r="G269" s="32"/>
      <c r="H269" s="32"/>
      <c r="I269" s="32"/>
      <c r="J269" s="32"/>
      <c r="K269" s="35"/>
      <c r="L269" s="32"/>
      <c r="M269" s="32"/>
    </row>
    <row r="270" customFormat="false" ht="15" hidden="false" customHeight="true" outlineLevel="0" collapsed="false">
      <c r="A270" s="32"/>
      <c r="B270" s="32"/>
      <c r="C270" s="32"/>
      <c r="D270" s="32"/>
      <c r="E270" s="34" t="str">
        <f aca="false">IF($B270="","",IF($B270="OUT","Liters",IFERROR(INDEX(Setup!$F$3:$F$24,MATCH($C270,Setup!$A$3:$A$24,0)),"")))</f>
        <v/>
      </c>
      <c r="F270" s="28" t="str">
        <f aca="false">IF(OR($D270="",$E270=""),"",IFERROR($D270*INDEX(Setup!$B$27:$B$44,MATCH($E270,Setup!$A$27:$A$44,0)),"TBD"))</f>
        <v/>
      </c>
      <c r="G270" s="32"/>
      <c r="H270" s="32"/>
      <c r="I270" s="32"/>
      <c r="J270" s="32"/>
      <c r="K270" s="35"/>
      <c r="L270" s="32"/>
      <c r="M270" s="32"/>
    </row>
    <row r="271" customFormat="false" ht="15" hidden="false" customHeight="true" outlineLevel="0" collapsed="false">
      <c r="A271" s="32"/>
      <c r="B271" s="32"/>
      <c r="C271" s="32"/>
      <c r="D271" s="32"/>
      <c r="E271" s="34" t="str">
        <f aca="false">IF($B271="","",IF($B271="OUT","Liters",IFERROR(INDEX(Setup!$F$3:$F$24,MATCH($C271,Setup!$A$3:$A$24,0)),"")))</f>
        <v/>
      </c>
      <c r="F271" s="28" t="str">
        <f aca="false">IF(OR($D271="",$E271=""),"",IFERROR($D271*INDEX(Setup!$B$27:$B$44,MATCH($E271,Setup!$A$27:$A$44,0)),"TBD"))</f>
        <v/>
      </c>
      <c r="G271" s="32"/>
      <c r="H271" s="32"/>
      <c r="I271" s="32"/>
      <c r="J271" s="32"/>
      <c r="K271" s="35"/>
      <c r="L271" s="32"/>
      <c r="M271" s="32"/>
    </row>
    <row r="272" customFormat="false" ht="15" hidden="false" customHeight="true" outlineLevel="0" collapsed="false">
      <c r="A272" s="32"/>
      <c r="B272" s="32"/>
      <c r="C272" s="32"/>
      <c r="D272" s="32"/>
      <c r="E272" s="34" t="str">
        <f aca="false">IF($B272="","",IF($B272="OUT","Liters",IFERROR(INDEX(Setup!$F$3:$F$24,MATCH($C272,Setup!$A$3:$A$24,0)),"")))</f>
        <v/>
      </c>
      <c r="F272" s="28" t="str">
        <f aca="false">IF(OR($D272="",$E272=""),"",IFERROR($D272*INDEX(Setup!$B$27:$B$44,MATCH($E272,Setup!$A$27:$A$44,0)),"TBD"))</f>
        <v/>
      </c>
      <c r="G272" s="32"/>
      <c r="H272" s="32"/>
      <c r="I272" s="32"/>
      <c r="J272" s="32"/>
      <c r="K272" s="35"/>
      <c r="L272" s="32"/>
      <c r="M272" s="32"/>
    </row>
    <row r="273" customFormat="false" ht="15" hidden="false" customHeight="true" outlineLevel="0" collapsed="false">
      <c r="A273" s="32"/>
      <c r="B273" s="32"/>
      <c r="C273" s="32"/>
      <c r="D273" s="32"/>
      <c r="E273" s="34" t="str">
        <f aca="false">IF($B273="","",IF($B273="OUT","Liters",IFERROR(INDEX(Setup!$F$3:$F$24,MATCH($C273,Setup!$A$3:$A$24,0)),"")))</f>
        <v/>
      </c>
      <c r="F273" s="28" t="str">
        <f aca="false">IF(OR($D273="",$E273=""),"",IFERROR($D273*INDEX(Setup!$B$27:$B$44,MATCH($E273,Setup!$A$27:$A$44,0)),"TBD"))</f>
        <v/>
      </c>
      <c r="G273" s="32"/>
      <c r="H273" s="32"/>
      <c r="I273" s="32"/>
      <c r="J273" s="32"/>
      <c r="K273" s="35"/>
      <c r="L273" s="32"/>
      <c r="M273" s="32"/>
    </row>
    <row r="274" customFormat="false" ht="15" hidden="false" customHeight="true" outlineLevel="0" collapsed="false">
      <c r="A274" s="32"/>
      <c r="B274" s="32"/>
      <c r="C274" s="32"/>
      <c r="D274" s="32"/>
      <c r="E274" s="34" t="str">
        <f aca="false">IF($B274="","",IF($B274="OUT","Liters",IFERROR(INDEX(Setup!$F$3:$F$24,MATCH($C274,Setup!$A$3:$A$24,0)),"")))</f>
        <v/>
      </c>
      <c r="F274" s="28" t="str">
        <f aca="false">IF(OR($D274="",$E274=""),"",IFERROR($D274*INDEX(Setup!$B$27:$B$44,MATCH($E274,Setup!$A$27:$A$44,0)),"TBD"))</f>
        <v/>
      </c>
      <c r="G274" s="32"/>
      <c r="H274" s="32"/>
      <c r="I274" s="32"/>
      <c r="J274" s="32"/>
      <c r="K274" s="35"/>
      <c r="L274" s="32"/>
      <c r="M274" s="32"/>
    </row>
    <row r="275" customFormat="false" ht="15" hidden="false" customHeight="true" outlineLevel="0" collapsed="false">
      <c r="A275" s="32"/>
      <c r="B275" s="32"/>
      <c r="C275" s="32"/>
      <c r="D275" s="32"/>
      <c r="E275" s="34" t="str">
        <f aca="false">IF($B275="","",IF($B275="OUT","Liters",IFERROR(INDEX(Setup!$F$3:$F$24,MATCH($C275,Setup!$A$3:$A$24,0)),"")))</f>
        <v/>
      </c>
      <c r="F275" s="28" t="str">
        <f aca="false">IF(OR($D275="",$E275=""),"",IFERROR($D275*INDEX(Setup!$B$27:$B$44,MATCH($E275,Setup!$A$27:$A$44,0)),"TBD"))</f>
        <v/>
      </c>
      <c r="G275" s="32"/>
      <c r="H275" s="32"/>
      <c r="I275" s="32"/>
      <c r="J275" s="32"/>
      <c r="K275" s="35"/>
      <c r="L275" s="32"/>
      <c r="M275" s="32"/>
    </row>
    <row r="276" customFormat="false" ht="15" hidden="false" customHeight="true" outlineLevel="0" collapsed="false">
      <c r="A276" s="32"/>
      <c r="B276" s="32"/>
      <c r="C276" s="32"/>
      <c r="D276" s="32"/>
      <c r="E276" s="34" t="str">
        <f aca="false">IF($B276="","",IF($B276="OUT","Liters",IFERROR(INDEX(Setup!$F$3:$F$24,MATCH($C276,Setup!$A$3:$A$24,0)),"")))</f>
        <v/>
      </c>
      <c r="F276" s="28" t="str">
        <f aca="false">IF(OR($D276="",$E276=""),"",IFERROR($D276*INDEX(Setup!$B$27:$B$44,MATCH($E276,Setup!$A$27:$A$44,0)),"TBD"))</f>
        <v/>
      </c>
      <c r="G276" s="32"/>
      <c r="H276" s="32"/>
      <c r="I276" s="32"/>
      <c r="J276" s="32"/>
      <c r="K276" s="35"/>
      <c r="L276" s="32"/>
      <c r="M276" s="32"/>
    </row>
    <row r="277" customFormat="false" ht="15" hidden="false" customHeight="true" outlineLevel="0" collapsed="false">
      <c r="A277" s="32"/>
      <c r="B277" s="32"/>
      <c r="C277" s="32"/>
      <c r="D277" s="32"/>
      <c r="E277" s="34" t="str">
        <f aca="false">IF($B277="","",IF($B277="OUT","Liters",IFERROR(INDEX(Setup!$F$3:$F$24,MATCH($C277,Setup!$A$3:$A$24,0)),"")))</f>
        <v/>
      </c>
      <c r="F277" s="28" t="str">
        <f aca="false">IF(OR($D277="",$E277=""),"",IFERROR($D277*INDEX(Setup!$B$27:$B$44,MATCH($E277,Setup!$A$27:$A$44,0)),"TBD"))</f>
        <v/>
      </c>
      <c r="G277" s="32"/>
      <c r="H277" s="32"/>
      <c r="I277" s="32"/>
      <c r="J277" s="32"/>
      <c r="K277" s="35"/>
      <c r="L277" s="32"/>
      <c r="M277" s="32"/>
    </row>
    <row r="278" customFormat="false" ht="15" hidden="false" customHeight="true" outlineLevel="0" collapsed="false">
      <c r="A278" s="32"/>
      <c r="B278" s="32"/>
      <c r="C278" s="32"/>
      <c r="D278" s="32"/>
      <c r="E278" s="34" t="str">
        <f aca="false">IF($B278="","",IF($B278="OUT","Liters",IFERROR(INDEX(Setup!$F$3:$F$24,MATCH($C278,Setup!$A$3:$A$24,0)),"")))</f>
        <v/>
      </c>
      <c r="F278" s="28" t="str">
        <f aca="false">IF(OR($D278="",$E278=""),"",IFERROR($D278*INDEX(Setup!$B$27:$B$44,MATCH($E278,Setup!$A$27:$A$44,0)),"TBD"))</f>
        <v/>
      </c>
      <c r="G278" s="32"/>
      <c r="H278" s="32"/>
      <c r="I278" s="32"/>
      <c r="J278" s="32"/>
      <c r="K278" s="35"/>
      <c r="L278" s="32"/>
      <c r="M278" s="32"/>
    </row>
    <row r="279" customFormat="false" ht="15" hidden="false" customHeight="true" outlineLevel="0" collapsed="false">
      <c r="A279" s="32"/>
      <c r="B279" s="32"/>
      <c r="C279" s="32"/>
      <c r="D279" s="32"/>
      <c r="E279" s="34" t="str">
        <f aca="false">IF($B279="","",IF($B279="OUT","Liters",IFERROR(INDEX(Setup!$F$3:$F$24,MATCH($C279,Setup!$A$3:$A$24,0)),"")))</f>
        <v/>
      </c>
      <c r="F279" s="28" t="str">
        <f aca="false">IF(OR($D279="",$E279=""),"",IFERROR($D279*INDEX(Setup!$B$27:$B$44,MATCH($E279,Setup!$A$27:$A$44,0)),"TBD"))</f>
        <v/>
      </c>
      <c r="G279" s="32"/>
      <c r="H279" s="32"/>
      <c r="I279" s="32"/>
      <c r="J279" s="32"/>
      <c r="K279" s="35"/>
      <c r="L279" s="32"/>
      <c r="M279" s="32"/>
    </row>
    <row r="280" customFormat="false" ht="15" hidden="false" customHeight="true" outlineLevel="0" collapsed="false">
      <c r="A280" s="32"/>
      <c r="B280" s="32"/>
      <c r="C280" s="32"/>
      <c r="D280" s="32"/>
      <c r="E280" s="34" t="str">
        <f aca="false">IF($B280="","",IF($B280="OUT","Liters",IFERROR(INDEX(Setup!$F$3:$F$24,MATCH($C280,Setup!$A$3:$A$24,0)),"")))</f>
        <v/>
      </c>
      <c r="F280" s="28" t="str">
        <f aca="false">IF(OR($D280="",$E280=""),"",IFERROR($D280*INDEX(Setup!$B$27:$B$44,MATCH($E280,Setup!$A$27:$A$44,0)),"TBD"))</f>
        <v/>
      </c>
      <c r="G280" s="32"/>
      <c r="H280" s="32"/>
      <c r="I280" s="32"/>
      <c r="J280" s="32"/>
      <c r="K280" s="35"/>
      <c r="L280" s="32"/>
      <c r="M280" s="32"/>
    </row>
    <row r="281" customFormat="false" ht="15" hidden="false" customHeight="true" outlineLevel="0" collapsed="false">
      <c r="A281" s="32"/>
      <c r="B281" s="32"/>
      <c r="C281" s="32"/>
      <c r="D281" s="32"/>
      <c r="E281" s="34" t="str">
        <f aca="false">IF($B281="","",IF($B281="OUT","Liters",IFERROR(INDEX(Setup!$F$3:$F$24,MATCH($C281,Setup!$A$3:$A$24,0)),"")))</f>
        <v/>
      </c>
      <c r="F281" s="28" t="str">
        <f aca="false">IF(OR($D281="",$E281=""),"",IFERROR($D281*INDEX(Setup!$B$27:$B$44,MATCH($E281,Setup!$A$27:$A$44,0)),"TBD"))</f>
        <v/>
      </c>
      <c r="G281" s="32"/>
      <c r="H281" s="32"/>
      <c r="I281" s="32"/>
      <c r="J281" s="32"/>
      <c r="K281" s="35"/>
      <c r="L281" s="32"/>
      <c r="M281" s="32"/>
    </row>
    <row r="282" customFormat="false" ht="15" hidden="false" customHeight="true" outlineLevel="0" collapsed="false">
      <c r="A282" s="32"/>
      <c r="B282" s="32"/>
      <c r="C282" s="32"/>
      <c r="D282" s="32"/>
      <c r="E282" s="34" t="str">
        <f aca="false">IF($B282="","",IF($B282="OUT","Liters",IFERROR(INDEX(Setup!$F$3:$F$24,MATCH($C282,Setup!$A$3:$A$24,0)),"")))</f>
        <v/>
      </c>
      <c r="F282" s="28" t="str">
        <f aca="false">IF(OR($D282="",$E282=""),"",IFERROR($D282*INDEX(Setup!$B$27:$B$44,MATCH($E282,Setup!$A$27:$A$44,0)),"TBD"))</f>
        <v/>
      </c>
      <c r="G282" s="32"/>
      <c r="H282" s="32"/>
      <c r="I282" s="32"/>
      <c r="J282" s="32"/>
      <c r="K282" s="35"/>
      <c r="L282" s="32"/>
      <c r="M282" s="32"/>
    </row>
    <row r="283" customFormat="false" ht="15" hidden="false" customHeight="true" outlineLevel="0" collapsed="false">
      <c r="A283" s="32"/>
      <c r="B283" s="32"/>
      <c r="C283" s="32"/>
      <c r="D283" s="32"/>
      <c r="E283" s="34" t="str">
        <f aca="false">IF($B283="","",IF($B283="OUT","Liters",IFERROR(INDEX(Setup!$F$3:$F$24,MATCH($C283,Setup!$A$3:$A$24,0)),"")))</f>
        <v/>
      </c>
      <c r="F283" s="28" t="str">
        <f aca="false">IF(OR($D283="",$E283=""),"",IFERROR($D283*INDEX(Setup!$B$27:$B$44,MATCH($E283,Setup!$A$27:$A$44,0)),"TBD"))</f>
        <v/>
      </c>
      <c r="G283" s="32"/>
      <c r="H283" s="32"/>
      <c r="I283" s="32"/>
      <c r="J283" s="32"/>
      <c r="K283" s="35"/>
      <c r="L283" s="32"/>
      <c r="M283" s="32"/>
    </row>
    <row r="284" customFormat="false" ht="15" hidden="false" customHeight="true" outlineLevel="0" collapsed="false">
      <c r="A284" s="32"/>
      <c r="B284" s="32"/>
      <c r="C284" s="32"/>
      <c r="D284" s="32"/>
      <c r="E284" s="34" t="str">
        <f aca="false">IF($B284="","",IF($B284="OUT","Liters",IFERROR(INDEX(Setup!$F$3:$F$24,MATCH($C284,Setup!$A$3:$A$24,0)),"")))</f>
        <v/>
      </c>
      <c r="F284" s="28" t="str">
        <f aca="false">IF(OR($D284="",$E284=""),"",IFERROR($D284*INDEX(Setup!$B$27:$B$44,MATCH($E284,Setup!$A$27:$A$44,0)),"TBD"))</f>
        <v/>
      </c>
      <c r="G284" s="32"/>
      <c r="H284" s="32"/>
      <c r="I284" s="32"/>
      <c r="J284" s="32"/>
      <c r="K284" s="35"/>
      <c r="L284" s="32"/>
      <c r="M284" s="32"/>
    </row>
    <row r="285" customFormat="false" ht="15" hidden="false" customHeight="true" outlineLevel="0" collapsed="false">
      <c r="A285" s="32"/>
      <c r="B285" s="32"/>
      <c r="C285" s="32"/>
      <c r="D285" s="32"/>
      <c r="E285" s="34" t="str">
        <f aca="false">IF($B285="","",IF($B285="OUT","Liters",IFERROR(INDEX(Setup!$F$3:$F$24,MATCH($C285,Setup!$A$3:$A$24,0)),"")))</f>
        <v/>
      </c>
      <c r="F285" s="28" t="str">
        <f aca="false">IF(OR($D285="",$E285=""),"",IFERROR($D285*INDEX(Setup!$B$27:$B$44,MATCH($E285,Setup!$A$27:$A$44,0)),"TBD"))</f>
        <v/>
      </c>
      <c r="G285" s="32"/>
      <c r="H285" s="32"/>
      <c r="I285" s="32"/>
      <c r="J285" s="32"/>
      <c r="K285" s="35"/>
      <c r="L285" s="32"/>
      <c r="M285" s="32"/>
    </row>
    <row r="286" customFormat="false" ht="15" hidden="false" customHeight="true" outlineLevel="0" collapsed="false">
      <c r="A286" s="32"/>
      <c r="B286" s="32"/>
      <c r="C286" s="32"/>
      <c r="D286" s="32"/>
      <c r="E286" s="34" t="str">
        <f aca="false">IF($B286="","",IF($B286="OUT","Liters",IFERROR(INDEX(Setup!$F$3:$F$24,MATCH($C286,Setup!$A$3:$A$24,0)),"")))</f>
        <v/>
      </c>
      <c r="F286" s="28" t="str">
        <f aca="false">IF(OR($D286="",$E286=""),"",IFERROR($D286*INDEX(Setup!$B$27:$B$44,MATCH($E286,Setup!$A$27:$A$44,0)),"TBD"))</f>
        <v/>
      </c>
      <c r="G286" s="32"/>
      <c r="H286" s="32"/>
      <c r="I286" s="32"/>
      <c r="J286" s="32"/>
      <c r="K286" s="35"/>
      <c r="L286" s="32"/>
      <c r="M286" s="32"/>
    </row>
    <row r="287" customFormat="false" ht="15" hidden="false" customHeight="true" outlineLevel="0" collapsed="false">
      <c r="A287" s="32"/>
      <c r="B287" s="32"/>
      <c r="C287" s="32"/>
      <c r="D287" s="32"/>
      <c r="E287" s="34" t="str">
        <f aca="false">IF($B287="","",IF($B287="OUT","Liters",IFERROR(INDEX(Setup!$F$3:$F$24,MATCH($C287,Setup!$A$3:$A$24,0)),"")))</f>
        <v/>
      </c>
      <c r="F287" s="28" t="str">
        <f aca="false">IF(OR($D287="",$E287=""),"",IFERROR($D287*INDEX(Setup!$B$27:$B$44,MATCH($E287,Setup!$A$27:$A$44,0)),"TBD"))</f>
        <v/>
      </c>
      <c r="G287" s="32"/>
      <c r="H287" s="32"/>
      <c r="I287" s="32"/>
      <c r="J287" s="32"/>
      <c r="K287" s="35"/>
      <c r="L287" s="32"/>
      <c r="M287" s="32"/>
    </row>
    <row r="288" customFormat="false" ht="15" hidden="false" customHeight="true" outlineLevel="0" collapsed="false">
      <c r="A288" s="32"/>
      <c r="B288" s="32"/>
      <c r="C288" s="32"/>
      <c r="D288" s="32"/>
      <c r="E288" s="34" t="str">
        <f aca="false">IF($B288="","",IF($B288="OUT","Liters",IFERROR(INDEX(Setup!$F$3:$F$24,MATCH($C288,Setup!$A$3:$A$24,0)),"")))</f>
        <v/>
      </c>
      <c r="F288" s="28" t="str">
        <f aca="false">IF(OR($D288="",$E288=""),"",IFERROR($D288*INDEX(Setup!$B$27:$B$44,MATCH($E288,Setup!$A$27:$A$44,0)),"TBD"))</f>
        <v/>
      </c>
      <c r="G288" s="32"/>
      <c r="H288" s="32"/>
      <c r="I288" s="32"/>
      <c r="J288" s="32"/>
      <c r="K288" s="35"/>
      <c r="L288" s="32"/>
      <c r="M288" s="32"/>
    </row>
    <row r="289" customFormat="false" ht="15" hidden="false" customHeight="true" outlineLevel="0" collapsed="false">
      <c r="A289" s="32"/>
      <c r="B289" s="32"/>
      <c r="C289" s="32"/>
      <c r="D289" s="32"/>
      <c r="E289" s="34" t="str">
        <f aca="false">IF($B289="","",IF($B289="OUT","Liters",IFERROR(INDEX(Setup!$F$3:$F$24,MATCH($C289,Setup!$A$3:$A$24,0)),"")))</f>
        <v/>
      </c>
      <c r="F289" s="28" t="str">
        <f aca="false">IF(OR($D289="",$E289=""),"",IFERROR($D289*INDEX(Setup!$B$27:$B$44,MATCH($E289,Setup!$A$27:$A$44,0)),"TBD"))</f>
        <v/>
      </c>
      <c r="G289" s="32"/>
      <c r="H289" s="32"/>
      <c r="I289" s="32"/>
      <c r="J289" s="32"/>
      <c r="K289" s="35"/>
      <c r="L289" s="32"/>
      <c r="M289" s="32"/>
    </row>
    <row r="290" customFormat="false" ht="15" hidden="false" customHeight="true" outlineLevel="0" collapsed="false">
      <c r="A290" s="32"/>
      <c r="B290" s="32"/>
      <c r="C290" s="32"/>
      <c r="D290" s="32"/>
      <c r="E290" s="34" t="str">
        <f aca="false">IF($B290="","",IF($B290="OUT","Liters",IFERROR(INDEX(Setup!$F$3:$F$24,MATCH($C290,Setup!$A$3:$A$24,0)),"")))</f>
        <v/>
      </c>
      <c r="F290" s="28" t="str">
        <f aca="false">IF(OR($D290="",$E290=""),"",IFERROR($D290*INDEX(Setup!$B$27:$B$44,MATCH($E290,Setup!$A$27:$A$44,0)),"TBD"))</f>
        <v/>
      </c>
      <c r="G290" s="32"/>
      <c r="H290" s="32"/>
      <c r="I290" s="32"/>
      <c r="J290" s="32"/>
      <c r="K290" s="35"/>
      <c r="L290" s="32"/>
      <c r="M290" s="32"/>
    </row>
    <row r="291" customFormat="false" ht="15" hidden="false" customHeight="true" outlineLevel="0" collapsed="false">
      <c r="A291" s="32"/>
      <c r="B291" s="32"/>
      <c r="C291" s="32"/>
      <c r="D291" s="32"/>
      <c r="E291" s="34" t="str">
        <f aca="false">IF($B291="","",IF($B291="OUT","Liters",IFERROR(INDEX(Setup!$F$3:$F$24,MATCH($C291,Setup!$A$3:$A$24,0)),"")))</f>
        <v/>
      </c>
      <c r="F291" s="28" t="str">
        <f aca="false">IF(OR($D291="",$E291=""),"",IFERROR($D291*INDEX(Setup!$B$27:$B$44,MATCH($E291,Setup!$A$27:$A$44,0)),"TBD"))</f>
        <v/>
      </c>
      <c r="G291" s="32"/>
      <c r="H291" s="32"/>
      <c r="I291" s="32"/>
      <c r="J291" s="32"/>
      <c r="K291" s="35"/>
      <c r="L291" s="32"/>
      <c r="M291" s="32"/>
    </row>
    <row r="292" customFormat="false" ht="15" hidden="false" customHeight="true" outlineLevel="0" collapsed="false">
      <c r="A292" s="32"/>
      <c r="B292" s="32"/>
      <c r="C292" s="32"/>
      <c r="D292" s="32"/>
      <c r="E292" s="34" t="str">
        <f aca="false">IF($B292="","",IF($B292="OUT","Liters",IFERROR(INDEX(Setup!$F$3:$F$24,MATCH($C292,Setup!$A$3:$A$24,0)),"")))</f>
        <v/>
      </c>
      <c r="F292" s="28" t="str">
        <f aca="false">IF(OR($D292="",$E292=""),"",IFERROR($D292*INDEX(Setup!$B$27:$B$44,MATCH($E292,Setup!$A$27:$A$44,0)),"TBD"))</f>
        <v/>
      </c>
      <c r="G292" s="32"/>
      <c r="H292" s="32"/>
      <c r="I292" s="32"/>
      <c r="J292" s="32"/>
      <c r="K292" s="35"/>
      <c r="L292" s="32"/>
      <c r="M292" s="32"/>
    </row>
    <row r="293" customFormat="false" ht="15" hidden="false" customHeight="true" outlineLevel="0" collapsed="false">
      <c r="A293" s="32"/>
      <c r="B293" s="32"/>
      <c r="C293" s="32"/>
      <c r="D293" s="32"/>
      <c r="E293" s="34" t="str">
        <f aca="false">IF($B293="","",IF($B293="OUT","Liters",IFERROR(INDEX(Setup!$F$3:$F$24,MATCH($C293,Setup!$A$3:$A$24,0)),"")))</f>
        <v/>
      </c>
      <c r="F293" s="28" t="str">
        <f aca="false">IF(OR($D293="",$E293=""),"",IFERROR($D293*INDEX(Setup!$B$27:$B$44,MATCH($E293,Setup!$A$27:$A$44,0)),"TBD"))</f>
        <v/>
      </c>
      <c r="G293" s="32"/>
      <c r="H293" s="32"/>
      <c r="I293" s="32"/>
      <c r="J293" s="32"/>
      <c r="K293" s="35"/>
      <c r="L293" s="32"/>
      <c r="M293" s="32"/>
    </row>
    <row r="294" customFormat="false" ht="15" hidden="false" customHeight="true" outlineLevel="0" collapsed="false">
      <c r="A294" s="32"/>
      <c r="B294" s="32"/>
      <c r="C294" s="32"/>
      <c r="D294" s="32"/>
      <c r="E294" s="34" t="str">
        <f aca="false">IF($B294="","",IF($B294="OUT","Liters",IFERROR(INDEX(Setup!$F$3:$F$24,MATCH($C294,Setup!$A$3:$A$24,0)),"")))</f>
        <v/>
      </c>
      <c r="F294" s="28" t="str">
        <f aca="false">IF(OR($D294="",$E294=""),"",IFERROR($D294*INDEX(Setup!$B$27:$B$44,MATCH($E294,Setup!$A$27:$A$44,0)),"TBD"))</f>
        <v/>
      </c>
      <c r="G294" s="32"/>
      <c r="H294" s="32"/>
      <c r="I294" s="32"/>
      <c r="J294" s="32"/>
      <c r="K294" s="35"/>
      <c r="L294" s="32"/>
      <c r="M294" s="32"/>
    </row>
    <row r="295" customFormat="false" ht="15" hidden="false" customHeight="true" outlineLevel="0" collapsed="false">
      <c r="A295" s="32"/>
      <c r="B295" s="32"/>
      <c r="C295" s="32"/>
      <c r="D295" s="32"/>
      <c r="E295" s="34" t="str">
        <f aca="false">IF($B295="","",IF($B295="OUT","Liters",IFERROR(INDEX(Setup!$F$3:$F$24,MATCH($C295,Setup!$A$3:$A$24,0)),"")))</f>
        <v/>
      </c>
      <c r="F295" s="28" t="str">
        <f aca="false">IF(OR($D295="",$E295=""),"",IFERROR($D295*INDEX(Setup!$B$27:$B$44,MATCH($E295,Setup!$A$27:$A$44,0)),"TBD"))</f>
        <v/>
      </c>
      <c r="G295" s="32"/>
      <c r="H295" s="32"/>
      <c r="I295" s="32"/>
      <c r="J295" s="32"/>
      <c r="K295" s="35"/>
      <c r="L295" s="32"/>
      <c r="M295" s="32"/>
    </row>
    <row r="296" customFormat="false" ht="15" hidden="false" customHeight="true" outlineLevel="0" collapsed="false">
      <c r="A296" s="32"/>
      <c r="B296" s="32"/>
      <c r="C296" s="32"/>
      <c r="D296" s="32"/>
      <c r="E296" s="34" t="str">
        <f aca="false">IF($B296="","",IF($B296="OUT","Liters",IFERROR(INDEX(Setup!$F$3:$F$24,MATCH($C296,Setup!$A$3:$A$24,0)),"")))</f>
        <v/>
      </c>
      <c r="F296" s="28" t="str">
        <f aca="false">IF(OR($D296="",$E296=""),"",IFERROR($D296*INDEX(Setup!$B$27:$B$44,MATCH($E296,Setup!$A$27:$A$44,0)),"TBD"))</f>
        <v/>
      </c>
      <c r="G296" s="32"/>
      <c r="H296" s="32"/>
      <c r="I296" s="32"/>
      <c r="J296" s="32"/>
      <c r="K296" s="35"/>
      <c r="L296" s="32"/>
      <c r="M296" s="32"/>
    </row>
    <row r="297" customFormat="false" ht="15" hidden="false" customHeight="true" outlineLevel="0" collapsed="false">
      <c r="A297" s="32"/>
      <c r="B297" s="32"/>
      <c r="C297" s="32"/>
      <c r="D297" s="32"/>
      <c r="E297" s="34" t="str">
        <f aca="false">IF($B297="","",IF($B297="OUT","Liters",IFERROR(INDEX(Setup!$F$3:$F$24,MATCH($C297,Setup!$A$3:$A$24,0)),"")))</f>
        <v/>
      </c>
      <c r="F297" s="28" t="str">
        <f aca="false">IF(OR($D297="",$E297=""),"",IFERROR($D297*INDEX(Setup!$B$27:$B$44,MATCH($E297,Setup!$A$27:$A$44,0)),"TBD"))</f>
        <v/>
      </c>
      <c r="G297" s="32"/>
      <c r="H297" s="32"/>
      <c r="I297" s="32"/>
      <c r="J297" s="32"/>
      <c r="K297" s="35"/>
      <c r="L297" s="32"/>
      <c r="M297" s="32"/>
    </row>
    <row r="298" customFormat="false" ht="15" hidden="false" customHeight="true" outlineLevel="0" collapsed="false">
      <c r="A298" s="32"/>
      <c r="B298" s="32"/>
      <c r="C298" s="32"/>
      <c r="D298" s="32"/>
      <c r="E298" s="34" t="str">
        <f aca="false">IF($B298="","",IF($B298="OUT","Liters",IFERROR(INDEX(Setup!$F$3:$F$24,MATCH($C298,Setup!$A$3:$A$24,0)),"")))</f>
        <v/>
      </c>
      <c r="F298" s="28" t="str">
        <f aca="false">IF(OR($D298="",$E298=""),"",IFERROR($D298*INDEX(Setup!$B$27:$B$44,MATCH($E298,Setup!$A$27:$A$44,0)),"TBD"))</f>
        <v/>
      </c>
      <c r="G298" s="32"/>
      <c r="H298" s="32"/>
      <c r="I298" s="32"/>
      <c r="J298" s="32"/>
      <c r="K298" s="35"/>
      <c r="L298" s="32"/>
      <c r="M298" s="32"/>
    </row>
    <row r="299" customFormat="false" ht="15" hidden="false" customHeight="true" outlineLevel="0" collapsed="false">
      <c r="A299" s="32"/>
      <c r="B299" s="32"/>
      <c r="C299" s="32"/>
      <c r="D299" s="32"/>
      <c r="E299" s="34" t="str">
        <f aca="false">IF($B299="","",IF($B299="OUT","Liters",IFERROR(INDEX(Setup!$F$3:$F$24,MATCH($C299,Setup!$A$3:$A$24,0)),"")))</f>
        <v/>
      </c>
      <c r="F299" s="28" t="str">
        <f aca="false">IF(OR($D299="",$E299=""),"",IFERROR($D299*INDEX(Setup!$B$27:$B$44,MATCH($E299,Setup!$A$27:$A$44,0)),"TBD"))</f>
        <v/>
      </c>
      <c r="G299" s="32"/>
      <c r="H299" s="32"/>
      <c r="I299" s="32"/>
      <c r="J299" s="32"/>
      <c r="K299" s="35"/>
      <c r="L299" s="32"/>
      <c r="M299" s="32"/>
    </row>
    <row r="300" customFormat="false" ht="15" hidden="false" customHeight="true" outlineLevel="0" collapsed="false">
      <c r="A300" s="32"/>
      <c r="B300" s="32"/>
      <c r="C300" s="32"/>
      <c r="D300" s="32"/>
      <c r="E300" s="34" t="str">
        <f aca="false">IF($B300="","",IF($B300="OUT","Liters",IFERROR(INDEX(Setup!$F$3:$F$24,MATCH($C300,Setup!$A$3:$A$24,0)),"")))</f>
        <v/>
      </c>
      <c r="F300" s="28" t="str">
        <f aca="false">IF(OR($D300="",$E300=""),"",IFERROR($D300*INDEX(Setup!$B$27:$B$44,MATCH($E300,Setup!$A$27:$A$44,0)),"TBD"))</f>
        <v/>
      </c>
      <c r="G300" s="32"/>
      <c r="H300" s="32"/>
      <c r="I300" s="32"/>
      <c r="J300" s="32"/>
      <c r="K300" s="35"/>
      <c r="L300" s="32"/>
      <c r="M300" s="32"/>
    </row>
    <row r="301" customFormat="false" ht="15" hidden="false" customHeight="true" outlineLevel="0" collapsed="false">
      <c r="A301" s="32"/>
      <c r="B301" s="32"/>
      <c r="C301" s="32"/>
      <c r="D301" s="32"/>
      <c r="E301" s="34" t="str">
        <f aca="false">IF($B301="","",IF($B301="OUT","Liters",IFERROR(INDEX(Setup!$F$3:$F$24,MATCH($C301,Setup!$A$3:$A$24,0)),"")))</f>
        <v/>
      </c>
      <c r="F301" s="28" t="str">
        <f aca="false">IF(OR($D301="",$E301=""),"",IFERROR($D301*INDEX(Setup!$B$27:$B$44,MATCH($E301,Setup!$A$27:$A$44,0)),"TBD"))</f>
        <v/>
      </c>
      <c r="G301" s="32"/>
      <c r="H301" s="32"/>
      <c r="I301" s="32"/>
      <c r="J301" s="32"/>
      <c r="K301" s="35"/>
      <c r="L301" s="32"/>
      <c r="M301" s="32"/>
    </row>
    <row r="302" customFormat="false" ht="15" hidden="false" customHeight="true" outlineLevel="0" collapsed="false">
      <c r="A302" s="32"/>
      <c r="B302" s="32"/>
      <c r="C302" s="32"/>
      <c r="D302" s="32"/>
      <c r="E302" s="34" t="str">
        <f aca="false">IF($B302="","",IF($B302="OUT","Liters",IFERROR(INDEX(Setup!$F$3:$F$24,MATCH($C302,Setup!$A$3:$A$24,0)),"")))</f>
        <v/>
      </c>
      <c r="F302" s="28" t="str">
        <f aca="false">IF(OR($D302="",$E302=""),"",IFERROR($D302*INDEX(Setup!$B$27:$B$44,MATCH($E302,Setup!$A$27:$A$44,0)),"TBD"))</f>
        <v/>
      </c>
      <c r="G302" s="32"/>
      <c r="H302" s="32"/>
      <c r="I302" s="32"/>
      <c r="J302" s="32"/>
      <c r="K302" s="35"/>
      <c r="L302" s="32"/>
      <c r="M302" s="32"/>
    </row>
    <row r="303" customFormat="false" ht="15" hidden="false" customHeight="true" outlineLevel="0" collapsed="false">
      <c r="A303" s="32"/>
      <c r="B303" s="32"/>
      <c r="C303" s="32"/>
      <c r="D303" s="32"/>
      <c r="E303" s="34" t="str">
        <f aca="false">IF($B303="","",IF($B303="OUT","Liters",IFERROR(INDEX(Setup!$F$3:$F$24,MATCH($C303,Setup!$A$3:$A$24,0)),"")))</f>
        <v/>
      </c>
      <c r="F303" s="28" t="str">
        <f aca="false">IF(OR($D303="",$E303=""),"",IFERROR($D303*INDEX(Setup!$B$27:$B$44,MATCH($E303,Setup!$A$27:$A$44,0)),"TBD"))</f>
        <v/>
      </c>
      <c r="G303" s="32"/>
      <c r="H303" s="32"/>
      <c r="I303" s="32"/>
      <c r="J303" s="32"/>
      <c r="K303" s="35"/>
      <c r="L303" s="32"/>
      <c r="M303" s="32"/>
    </row>
    <row r="304" customFormat="false" ht="15" hidden="false" customHeight="true" outlineLevel="0" collapsed="false">
      <c r="A304" s="32"/>
      <c r="B304" s="32"/>
      <c r="C304" s="32"/>
      <c r="D304" s="32"/>
      <c r="E304" s="34" t="str">
        <f aca="false">IF($B304="","",IF($B304="OUT","Liters",IFERROR(INDEX(Setup!$F$3:$F$24,MATCH($C304,Setup!$A$3:$A$24,0)),"")))</f>
        <v/>
      </c>
      <c r="F304" s="28" t="str">
        <f aca="false">IF(OR($D304="",$E304=""),"",IFERROR($D304*INDEX(Setup!$B$27:$B$44,MATCH($E304,Setup!$A$27:$A$44,0)),"TBD"))</f>
        <v/>
      </c>
      <c r="G304" s="32"/>
      <c r="H304" s="32"/>
      <c r="I304" s="32"/>
      <c r="J304" s="32"/>
      <c r="K304" s="35"/>
      <c r="L304" s="32"/>
      <c r="M304" s="32"/>
    </row>
    <row r="305" customFormat="false" ht="15" hidden="false" customHeight="true" outlineLevel="0" collapsed="false">
      <c r="A305" s="32"/>
      <c r="B305" s="32"/>
      <c r="C305" s="32"/>
      <c r="D305" s="32"/>
      <c r="E305" s="34" t="str">
        <f aca="false">IF($B305="","",IF($B305="OUT","Liters",IFERROR(INDEX(Setup!$F$3:$F$24,MATCH($C305,Setup!$A$3:$A$24,0)),"")))</f>
        <v/>
      </c>
      <c r="F305" s="28" t="str">
        <f aca="false">IF(OR($D305="",$E305=""),"",IFERROR($D305*INDEX(Setup!$B$27:$B$44,MATCH($E305,Setup!$A$27:$A$44,0)),"TBD"))</f>
        <v/>
      </c>
      <c r="G305" s="32"/>
      <c r="H305" s="32"/>
      <c r="I305" s="32"/>
      <c r="J305" s="32"/>
      <c r="K305" s="35"/>
      <c r="L305" s="32"/>
      <c r="M305" s="32"/>
    </row>
    <row r="306" customFormat="false" ht="15" hidden="false" customHeight="true" outlineLevel="0" collapsed="false">
      <c r="A306" s="32"/>
      <c r="B306" s="32"/>
      <c r="C306" s="32"/>
      <c r="D306" s="32"/>
      <c r="E306" s="34" t="str">
        <f aca="false">IF($B306="","",IF($B306="OUT","Liters",IFERROR(INDEX(Setup!$F$3:$F$24,MATCH($C306,Setup!$A$3:$A$24,0)),"")))</f>
        <v/>
      </c>
      <c r="F306" s="28" t="str">
        <f aca="false">IF(OR($D306="",$E306=""),"",IFERROR($D306*INDEX(Setup!$B$27:$B$44,MATCH($E306,Setup!$A$27:$A$44,0)),"TBD"))</f>
        <v/>
      </c>
      <c r="G306" s="32"/>
      <c r="H306" s="32"/>
      <c r="I306" s="32"/>
      <c r="J306" s="32"/>
      <c r="K306" s="35"/>
      <c r="L306" s="32"/>
      <c r="M306" s="32"/>
    </row>
    <row r="307" customFormat="false" ht="15" hidden="false" customHeight="true" outlineLevel="0" collapsed="false">
      <c r="A307" s="32"/>
      <c r="B307" s="32"/>
      <c r="C307" s="32"/>
      <c r="D307" s="32"/>
      <c r="E307" s="34" t="str">
        <f aca="false">IF($B307="","",IF($B307="OUT","Liters",IFERROR(INDEX(Setup!$F$3:$F$24,MATCH($C307,Setup!$A$3:$A$24,0)),"")))</f>
        <v/>
      </c>
      <c r="F307" s="28" t="str">
        <f aca="false">IF(OR($D307="",$E307=""),"",IFERROR($D307*INDEX(Setup!$B$27:$B$44,MATCH($E307,Setup!$A$27:$A$44,0)),"TBD"))</f>
        <v/>
      </c>
      <c r="G307" s="32"/>
      <c r="H307" s="32"/>
      <c r="I307" s="32"/>
      <c r="J307" s="32"/>
      <c r="K307" s="35"/>
      <c r="L307" s="32"/>
      <c r="M307" s="32"/>
    </row>
    <row r="308" customFormat="false" ht="15" hidden="false" customHeight="true" outlineLevel="0" collapsed="false">
      <c r="A308" s="32"/>
      <c r="B308" s="32"/>
      <c r="C308" s="32"/>
      <c r="D308" s="32"/>
      <c r="E308" s="34" t="str">
        <f aca="false">IF($B308="","",IF($B308="OUT","Liters",IFERROR(INDEX(Setup!$F$3:$F$24,MATCH($C308,Setup!$A$3:$A$24,0)),"")))</f>
        <v/>
      </c>
      <c r="F308" s="28" t="str">
        <f aca="false">IF(OR($D308="",$E308=""),"",IFERROR($D308*INDEX(Setup!$B$27:$B$44,MATCH($E308,Setup!$A$27:$A$44,0)),"TBD"))</f>
        <v/>
      </c>
      <c r="G308" s="32"/>
      <c r="H308" s="32"/>
      <c r="I308" s="32"/>
      <c r="J308" s="32"/>
      <c r="K308" s="35"/>
      <c r="L308" s="32"/>
      <c r="M308" s="32"/>
    </row>
    <row r="309" customFormat="false" ht="15" hidden="false" customHeight="true" outlineLevel="0" collapsed="false">
      <c r="A309" s="32"/>
      <c r="B309" s="32"/>
      <c r="C309" s="32"/>
      <c r="D309" s="32"/>
      <c r="E309" s="34" t="str">
        <f aca="false">IF($B309="","",IF($B309="OUT","Liters",IFERROR(INDEX(Setup!$F$3:$F$24,MATCH($C309,Setup!$A$3:$A$24,0)),"")))</f>
        <v/>
      </c>
      <c r="F309" s="28" t="str">
        <f aca="false">IF(OR($D309="",$E309=""),"",IFERROR($D309*INDEX(Setup!$B$27:$B$44,MATCH($E309,Setup!$A$27:$A$44,0)),"TBD"))</f>
        <v/>
      </c>
      <c r="G309" s="32"/>
      <c r="H309" s="32"/>
      <c r="I309" s="32"/>
      <c r="J309" s="32"/>
      <c r="K309" s="35"/>
      <c r="L309" s="32"/>
      <c r="M309" s="32"/>
    </row>
    <row r="310" customFormat="false" ht="15" hidden="false" customHeight="true" outlineLevel="0" collapsed="false">
      <c r="A310" s="32"/>
      <c r="B310" s="32"/>
      <c r="C310" s="32"/>
      <c r="D310" s="32"/>
      <c r="E310" s="34" t="str">
        <f aca="false">IF($B310="","",IF($B310="OUT","Liters",IFERROR(INDEX(Setup!$F$3:$F$24,MATCH($C310,Setup!$A$3:$A$24,0)),"")))</f>
        <v/>
      </c>
      <c r="F310" s="28" t="str">
        <f aca="false">IF(OR($D310="",$E310=""),"",IFERROR($D310*INDEX(Setup!$B$27:$B$44,MATCH($E310,Setup!$A$27:$A$44,0)),"TBD"))</f>
        <v/>
      </c>
      <c r="G310" s="32"/>
      <c r="H310" s="32"/>
      <c r="I310" s="32"/>
      <c r="J310" s="32"/>
      <c r="K310" s="35"/>
      <c r="L310" s="32"/>
      <c r="M310" s="32"/>
    </row>
    <row r="311" customFormat="false" ht="15" hidden="false" customHeight="true" outlineLevel="0" collapsed="false">
      <c r="A311" s="32"/>
      <c r="B311" s="32"/>
      <c r="C311" s="32"/>
      <c r="D311" s="32"/>
      <c r="E311" s="34" t="str">
        <f aca="false">IF($B311="","",IF($B311="OUT","Liters",IFERROR(INDEX(Setup!$F$3:$F$24,MATCH($C311,Setup!$A$3:$A$24,0)),"")))</f>
        <v/>
      </c>
      <c r="F311" s="28" t="str">
        <f aca="false">IF(OR($D311="",$E311=""),"",IFERROR($D311*INDEX(Setup!$B$27:$B$44,MATCH($E311,Setup!$A$27:$A$44,0)),"TBD"))</f>
        <v/>
      </c>
      <c r="G311" s="32"/>
      <c r="H311" s="32"/>
      <c r="I311" s="32"/>
      <c r="J311" s="32"/>
      <c r="K311" s="35"/>
      <c r="L311" s="32"/>
      <c r="M311" s="32"/>
    </row>
    <row r="312" customFormat="false" ht="15" hidden="false" customHeight="true" outlineLevel="0" collapsed="false">
      <c r="A312" s="32"/>
      <c r="B312" s="32"/>
      <c r="C312" s="32"/>
      <c r="D312" s="32"/>
      <c r="E312" s="34" t="str">
        <f aca="false">IF($B312="","",IF($B312="OUT","Liters",IFERROR(INDEX(Setup!$F$3:$F$24,MATCH($C312,Setup!$A$3:$A$24,0)),"")))</f>
        <v/>
      </c>
      <c r="F312" s="28" t="str">
        <f aca="false">IF(OR($D312="",$E312=""),"",IFERROR($D312*INDEX(Setup!$B$27:$B$44,MATCH($E312,Setup!$A$27:$A$44,0)),"TBD"))</f>
        <v/>
      </c>
      <c r="G312" s="32"/>
      <c r="H312" s="32"/>
      <c r="I312" s="32"/>
      <c r="J312" s="32"/>
      <c r="K312" s="35"/>
      <c r="L312" s="32"/>
      <c r="M312" s="32"/>
    </row>
    <row r="313" customFormat="false" ht="15" hidden="false" customHeight="true" outlineLevel="0" collapsed="false">
      <c r="A313" s="32"/>
      <c r="B313" s="32"/>
      <c r="C313" s="32"/>
      <c r="D313" s="32"/>
      <c r="E313" s="34" t="str">
        <f aca="false">IF($B313="","",IF($B313="OUT","Liters",IFERROR(INDEX(Setup!$F$3:$F$24,MATCH($C313,Setup!$A$3:$A$24,0)),"")))</f>
        <v/>
      </c>
      <c r="F313" s="28" t="str">
        <f aca="false">IF(OR($D313="",$E313=""),"",IFERROR($D313*INDEX(Setup!$B$27:$B$44,MATCH($E313,Setup!$A$27:$A$44,0)),"TBD"))</f>
        <v/>
      </c>
      <c r="G313" s="32"/>
      <c r="H313" s="32"/>
      <c r="I313" s="32"/>
      <c r="J313" s="32"/>
      <c r="K313" s="35"/>
      <c r="L313" s="32"/>
      <c r="M313" s="32"/>
    </row>
    <row r="314" customFormat="false" ht="15" hidden="false" customHeight="true" outlineLevel="0" collapsed="false">
      <c r="A314" s="32"/>
      <c r="B314" s="32"/>
      <c r="C314" s="32"/>
      <c r="D314" s="32"/>
      <c r="E314" s="34" t="str">
        <f aca="false">IF($B314="","",IF($B314="OUT","Liters",IFERROR(INDEX(Setup!$F$3:$F$24,MATCH($C314,Setup!$A$3:$A$24,0)),"")))</f>
        <v/>
      </c>
      <c r="F314" s="28" t="str">
        <f aca="false">IF(OR($D314="",$E314=""),"",IFERROR($D314*INDEX(Setup!$B$27:$B$44,MATCH($E314,Setup!$A$27:$A$44,0)),"TBD"))</f>
        <v/>
      </c>
      <c r="G314" s="32"/>
      <c r="H314" s="32"/>
      <c r="I314" s="32"/>
      <c r="J314" s="32"/>
      <c r="K314" s="35"/>
      <c r="L314" s="32"/>
      <c r="M314" s="32"/>
    </row>
    <row r="315" customFormat="false" ht="15" hidden="false" customHeight="true" outlineLevel="0" collapsed="false">
      <c r="A315" s="32"/>
      <c r="B315" s="32"/>
      <c r="C315" s="32"/>
      <c r="D315" s="32"/>
      <c r="E315" s="34" t="str">
        <f aca="false">IF($B315="","",IF($B315="OUT","Liters",IFERROR(INDEX(Setup!$F$3:$F$24,MATCH($C315,Setup!$A$3:$A$24,0)),"")))</f>
        <v/>
      </c>
      <c r="F315" s="28" t="str">
        <f aca="false">IF(OR($D315="",$E315=""),"",IFERROR($D315*INDEX(Setup!$B$27:$B$44,MATCH($E315,Setup!$A$27:$A$44,0)),"TBD"))</f>
        <v/>
      </c>
      <c r="G315" s="32"/>
      <c r="H315" s="32"/>
      <c r="I315" s="32"/>
      <c r="J315" s="32"/>
      <c r="K315" s="35"/>
      <c r="L315" s="32"/>
      <c r="M315" s="32"/>
    </row>
    <row r="316" customFormat="false" ht="15" hidden="false" customHeight="true" outlineLevel="0" collapsed="false">
      <c r="A316" s="32"/>
      <c r="B316" s="32"/>
      <c r="C316" s="32"/>
      <c r="D316" s="32"/>
      <c r="E316" s="34" t="str">
        <f aca="false">IF($B316="","",IF($B316="OUT","Liters",IFERROR(INDEX(Setup!$F$3:$F$24,MATCH($C316,Setup!$A$3:$A$24,0)),"")))</f>
        <v/>
      </c>
      <c r="F316" s="28" t="str">
        <f aca="false">IF(OR($D316="",$E316=""),"",IFERROR($D316*INDEX(Setup!$B$27:$B$44,MATCH($E316,Setup!$A$27:$A$44,0)),"TBD"))</f>
        <v/>
      </c>
      <c r="G316" s="32"/>
      <c r="H316" s="32"/>
      <c r="I316" s="32"/>
      <c r="J316" s="32"/>
      <c r="K316" s="35"/>
      <c r="L316" s="32"/>
      <c r="M316" s="32"/>
    </row>
    <row r="317" customFormat="false" ht="15" hidden="false" customHeight="true" outlineLevel="0" collapsed="false">
      <c r="A317" s="32"/>
      <c r="B317" s="32"/>
      <c r="C317" s="32"/>
      <c r="D317" s="32"/>
      <c r="E317" s="34" t="str">
        <f aca="false">IF($B317="","",IF($B317="OUT","Liters",IFERROR(INDEX(Setup!$F$3:$F$24,MATCH($C317,Setup!$A$3:$A$24,0)),"")))</f>
        <v/>
      </c>
      <c r="F317" s="28" t="str">
        <f aca="false">IF(OR($D317="",$E317=""),"",IFERROR($D317*INDEX(Setup!$B$27:$B$44,MATCH($E317,Setup!$A$27:$A$44,0)),"TBD"))</f>
        <v/>
      </c>
      <c r="G317" s="32"/>
      <c r="H317" s="32"/>
      <c r="I317" s="32"/>
      <c r="J317" s="32"/>
      <c r="K317" s="35"/>
      <c r="L317" s="32"/>
      <c r="M317" s="32"/>
    </row>
    <row r="318" customFormat="false" ht="15" hidden="false" customHeight="true" outlineLevel="0" collapsed="false">
      <c r="A318" s="32"/>
      <c r="B318" s="32"/>
      <c r="C318" s="32"/>
      <c r="D318" s="32"/>
      <c r="E318" s="34" t="str">
        <f aca="false">IF($B318="","",IF($B318="OUT","Liters",IFERROR(INDEX(Setup!$F$3:$F$24,MATCH($C318,Setup!$A$3:$A$24,0)),"")))</f>
        <v/>
      </c>
      <c r="F318" s="28" t="str">
        <f aca="false">IF(OR($D318="",$E318=""),"",IFERROR($D318*INDEX(Setup!$B$27:$B$44,MATCH($E318,Setup!$A$27:$A$44,0)),"TBD"))</f>
        <v/>
      </c>
      <c r="G318" s="32"/>
      <c r="H318" s="32"/>
      <c r="I318" s="32"/>
      <c r="J318" s="32"/>
      <c r="K318" s="35"/>
      <c r="L318" s="32"/>
      <c r="M318" s="32"/>
    </row>
    <row r="319" customFormat="false" ht="15" hidden="false" customHeight="true" outlineLevel="0" collapsed="false">
      <c r="A319" s="32"/>
      <c r="B319" s="32"/>
      <c r="C319" s="32"/>
      <c r="D319" s="32"/>
      <c r="E319" s="34" t="str">
        <f aca="false">IF($B319="","",IF($B319="OUT","Liters",IFERROR(INDEX(Setup!$F$3:$F$24,MATCH($C319,Setup!$A$3:$A$24,0)),"")))</f>
        <v/>
      </c>
      <c r="F319" s="28" t="str">
        <f aca="false">IF(OR($D319="",$E319=""),"",IFERROR($D319*INDEX(Setup!$B$27:$B$44,MATCH($E319,Setup!$A$27:$A$44,0)),"TBD"))</f>
        <v/>
      </c>
      <c r="G319" s="32"/>
      <c r="H319" s="32"/>
      <c r="I319" s="32"/>
      <c r="J319" s="32"/>
      <c r="K319" s="35"/>
      <c r="L319" s="32"/>
      <c r="M319" s="32"/>
    </row>
    <row r="320" customFormat="false" ht="15" hidden="false" customHeight="true" outlineLevel="0" collapsed="false">
      <c r="A320" s="32"/>
      <c r="B320" s="32"/>
      <c r="C320" s="32"/>
      <c r="D320" s="32"/>
      <c r="E320" s="34" t="str">
        <f aca="false">IF($B320="","",IF($B320="OUT","Liters",IFERROR(INDEX(Setup!$F$3:$F$24,MATCH($C320,Setup!$A$3:$A$24,0)),"")))</f>
        <v/>
      </c>
      <c r="F320" s="28" t="str">
        <f aca="false">IF(OR($D320="",$E320=""),"",IFERROR($D320*INDEX(Setup!$B$27:$B$44,MATCH($E320,Setup!$A$27:$A$44,0)),"TBD"))</f>
        <v/>
      </c>
      <c r="G320" s="32"/>
      <c r="H320" s="32"/>
      <c r="I320" s="32"/>
      <c r="J320" s="32"/>
      <c r="K320" s="35"/>
      <c r="L320" s="32"/>
      <c r="M320" s="32"/>
    </row>
    <row r="321" customFormat="false" ht="15" hidden="false" customHeight="true" outlineLevel="0" collapsed="false">
      <c r="A321" s="32"/>
      <c r="B321" s="32"/>
      <c r="C321" s="32"/>
      <c r="D321" s="32"/>
      <c r="E321" s="34" t="str">
        <f aca="false">IF($B321="","",IF($B321="OUT","Liters",IFERROR(INDEX(Setup!$F$3:$F$24,MATCH($C321,Setup!$A$3:$A$24,0)),"")))</f>
        <v/>
      </c>
      <c r="F321" s="28" t="str">
        <f aca="false">IF(OR($D321="",$E321=""),"",IFERROR($D321*INDEX(Setup!$B$27:$B$44,MATCH($E321,Setup!$A$27:$A$44,0)),"TBD"))</f>
        <v/>
      </c>
      <c r="G321" s="32"/>
      <c r="H321" s="32"/>
      <c r="I321" s="32"/>
      <c r="J321" s="32"/>
      <c r="K321" s="35"/>
      <c r="L321" s="32"/>
      <c r="M321" s="32"/>
    </row>
    <row r="322" customFormat="false" ht="15" hidden="false" customHeight="true" outlineLevel="0" collapsed="false">
      <c r="A322" s="32"/>
      <c r="B322" s="32"/>
      <c r="C322" s="32"/>
      <c r="D322" s="32"/>
      <c r="E322" s="34" t="str">
        <f aca="false">IF($B322="","",IF($B322="OUT","Liters",IFERROR(INDEX(Setup!$F$3:$F$24,MATCH($C322,Setup!$A$3:$A$24,0)),"")))</f>
        <v/>
      </c>
      <c r="F322" s="28" t="str">
        <f aca="false">IF(OR($D322="",$E322=""),"",IFERROR($D322*INDEX(Setup!$B$27:$B$44,MATCH($E322,Setup!$A$27:$A$44,0)),"TBD"))</f>
        <v/>
      </c>
      <c r="G322" s="32"/>
      <c r="H322" s="32"/>
      <c r="I322" s="32"/>
      <c r="J322" s="32"/>
      <c r="K322" s="35"/>
      <c r="L322" s="32"/>
      <c r="M322" s="32"/>
    </row>
    <row r="323" customFormat="false" ht="15" hidden="false" customHeight="true" outlineLevel="0" collapsed="false">
      <c r="A323" s="32"/>
      <c r="B323" s="32"/>
      <c r="C323" s="32"/>
      <c r="D323" s="32"/>
      <c r="E323" s="34" t="str">
        <f aca="false">IF($B323="","",IF($B323="OUT","Liters",IFERROR(INDEX(Setup!$F$3:$F$24,MATCH($C323,Setup!$A$3:$A$24,0)),"")))</f>
        <v/>
      </c>
      <c r="F323" s="28" t="str">
        <f aca="false">IF(OR($D323="",$E323=""),"",IFERROR($D323*INDEX(Setup!$B$27:$B$44,MATCH($E323,Setup!$A$27:$A$44,0)),"TBD"))</f>
        <v/>
      </c>
      <c r="G323" s="32"/>
      <c r="H323" s="32"/>
      <c r="I323" s="32"/>
      <c r="J323" s="32"/>
      <c r="K323" s="35"/>
      <c r="L323" s="32"/>
      <c r="M323" s="32"/>
    </row>
    <row r="324" customFormat="false" ht="15" hidden="false" customHeight="true" outlineLevel="0" collapsed="false">
      <c r="A324" s="32"/>
      <c r="B324" s="32"/>
      <c r="C324" s="32"/>
      <c r="D324" s="32"/>
      <c r="E324" s="34" t="str">
        <f aca="false">IF($B324="","",IF($B324="OUT","Liters",IFERROR(INDEX(Setup!$F$3:$F$24,MATCH($C324,Setup!$A$3:$A$24,0)),"")))</f>
        <v/>
      </c>
      <c r="F324" s="28" t="str">
        <f aca="false">IF(OR($D324="",$E324=""),"",IFERROR($D324*INDEX(Setup!$B$27:$B$44,MATCH($E324,Setup!$A$27:$A$44,0)),"TBD"))</f>
        <v/>
      </c>
      <c r="G324" s="32"/>
      <c r="H324" s="32"/>
      <c r="I324" s="32"/>
      <c r="J324" s="32"/>
      <c r="K324" s="35"/>
      <c r="L324" s="32"/>
      <c r="M324" s="32"/>
    </row>
    <row r="325" customFormat="false" ht="15" hidden="false" customHeight="true" outlineLevel="0" collapsed="false">
      <c r="A325" s="32"/>
      <c r="B325" s="32"/>
      <c r="C325" s="32"/>
      <c r="D325" s="32"/>
      <c r="E325" s="34" t="str">
        <f aca="false">IF($B325="","",IF($B325="OUT","Liters",IFERROR(INDEX(Setup!$F$3:$F$24,MATCH($C325,Setup!$A$3:$A$24,0)),"")))</f>
        <v/>
      </c>
      <c r="F325" s="28" t="str">
        <f aca="false">IF(OR($D325="",$E325=""),"",IFERROR($D325*INDEX(Setup!$B$27:$B$44,MATCH($E325,Setup!$A$27:$A$44,0)),"TBD"))</f>
        <v/>
      </c>
      <c r="G325" s="32"/>
      <c r="H325" s="32"/>
      <c r="I325" s="32"/>
      <c r="J325" s="32"/>
      <c r="K325" s="35"/>
      <c r="L325" s="32"/>
      <c r="M325" s="32"/>
    </row>
    <row r="326" customFormat="false" ht="15" hidden="false" customHeight="true" outlineLevel="0" collapsed="false">
      <c r="A326" s="32"/>
      <c r="B326" s="32"/>
      <c r="C326" s="32"/>
      <c r="D326" s="32"/>
      <c r="E326" s="34" t="str">
        <f aca="false">IF($B326="","",IF($B326="OUT","Liters",IFERROR(INDEX(Setup!$F$3:$F$24,MATCH($C326,Setup!$A$3:$A$24,0)),"")))</f>
        <v/>
      </c>
      <c r="F326" s="28" t="str">
        <f aca="false">IF(OR($D326="",$E326=""),"",IFERROR($D326*INDEX(Setup!$B$27:$B$44,MATCH($E326,Setup!$A$27:$A$44,0)),"TBD"))</f>
        <v/>
      </c>
      <c r="G326" s="32"/>
      <c r="H326" s="32"/>
      <c r="I326" s="32"/>
      <c r="J326" s="32"/>
      <c r="K326" s="35"/>
      <c r="L326" s="32"/>
      <c r="M326" s="32"/>
    </row>
    <row r="327" customFormat="false" ht="15" hidden="false" customHeight="true" outlineLevel="0" collapsed="false">
      <c r="A327" s="32"/>
      <c r="B327" s="32"/>
      <c r="C327" s="32"/>
      <c r="D327" s="32"/>
      <c r="E327" s="34" t="str">
        <f aca="false">IF($B327="","",IF($B327="OUT","Liters",IFERROR(INDEX(Setup!$F$3:$F$24,MATCH($C327,Setup!$A$3:$A$24,0)),"")))</f>
        <v/>
      </c>
      <c r="F327" s="28" t="str">
        <f aca="false">IF(OR($D327="",$E327=""),"",IFERROR($D327*INDEX(Setup!$B$27:$B$44,MATCH($E327,Setup!$A$27:$A$44,0)),"TBD"))</f>
        <v/>
      </c>
      <c r="G327" s="32"/>
      <c r="H327" s="32"/>
      <c r="I327" s="32"/>
      <c r="J327" s="32"/>
      <c r="K327" s="35"/>
      <c r="L327" s="32"/>
      <c r="M327" s="32"/>
    </row>
    <row r="328" customFormat="false" ht="15" hidden="false" customHeight="true" outlineLevel="0" collapsed="false">
      <c r="A328" s="32"/>
      <c r="B328" s="32"/>
      <c r="C328" s="32"/>
      <c r="D328" s="32"/>
      <c r="E328" s="34" t="str">
        <f aca="false">IF($B328="","",IF($B328="OUT","Liters",IFERROR(INDEX(Setup!$F$3:$F$24,MATCH($C328,Setup!$A$3:$A$24,0)),"")))</f>
        <v/>
      </c>
      <c r="F328" s="28" t="str">
        <f aca="false">IF(OR($D328="",$E328=""),"",IFERROR($D328*INDEX(Setup!$B$27:$B$44,MATCH($E328,Setup!$A$27:$A$44,0)),"TBD"))</f>
        <v/>
      </c>
      <c r="G328" s="32"/>
      <c r="H328" s="32"/>
      <c r="I328" s="32"/>
      <c r="J328" s="32"/>
      <c r="K328" s="35"/>
      <c r="L328" s="32"/>
      <c r="M328" s="32"/>
    </row>
    <row r="329" customFormat="false" ht="15" hidden="false" customHeight="true" outlineLevel="0" collapsed="false">
      <c r="A329" s="32"/>
      <c r="B329" s="32"/>
      <c r="C329" s="32"/>
      <c r="D329" s="32"/>
      <c r="E329" s="34" t="str">
        <f aca="false">IF($B329="","",IF($B329="OUT","Liters",IFERROR(INDEX(Setup!$F$3:$F$24,MATCH($C329,Setup!$A$3:$A$24,0)),"")))</f>
        <v/>
      </c>
      <c r="F329" s="28" t="str">
        <f aca="false">IF(OR($D329="",$E329=""),"",IFERROR($D329*INDEX(Setup!$B$27:$B$44,MATCH($E329,Setup!$A$27:$A$44,0)),"TBD"))</f>
        <v/>
      </c>
      <c r="G329" s="32"/>
      <c r="H329" s="32"/>
      <c r="I329" s="32"/>
      <c r="J329" s="32"/>
      <c r="K329" s="35"/>
      <c r="L329" s="32"/>
      <c r="M329" s="32"/>
    </row>
    <row r="330" customFormat="false" ht="15" hidden="false" customHeight="true" outlineLevel="0" collapsed="false">
      <c r="A330" s="32"/>
      <c r="B330" s="32"/>
      <c r="C330" s="32"/>
      <c r="D330" s="32"/>
      <c r="E330" s="34" t="str">
        <f aca="false">IF($B330="","",IF($B330="OUT","Liters",IFERROR(INDEX(Setup!$F$3:$F$24,MATCH($C330,Setup!$A$3:$A$24,0)),"")))</f>
        <v/>
      </c>
      <c r="F330" s="28" t="str">
        <f aca="false">IF(OR($D330="",$E330=""),"",IFERROR($D330*INDEX(Setup!$B$27:$B$44,MATCH($E330,Setup!$A$27:$A$44,0)),"TBD"))</f>
        <v/>
      </c>
      <c r="G330" s="32"/>
      <c r="H330" s="32"/>
      <c r="I330" s="32"/>
      <c r="J330" s="32"/>
      <c r="K330" s="35"/>
      <c r="L330" s="32"/>
      <c r="M330" s="32"/>
    </row>
    <row r="331" customFormat="false" ht="15" hidden="false" customHeight="true" outlineLevel="0" collapsed="false">
      <c r="A331" s="32"/>
      <c r="B331" s="32"/>
      <c r="C331" s="32"/>
      <c r="D331" s="32"/>
      <c r="E331" s="34" t="str">
        <f aca="false">IF($B331="","",IF($B331="OUT","Liters",IFERROR(INDEX(Setup!$F$3:$F$24,MATCH($C331,Setup!$A$3:$A$24,0)),"")))</f>
        <v/>
      </c>
      <c r="F331" s="28" t="str">
        <f aca="false">IF(OR($D331="",$E331=""),"",IFERROR($D331*INDEX(Setup!$B$27:$B$44,MATCH($E331,Setup!$A$27:$A$44,0)),"TBD"))</f>
        <v/>
      </c>
      <c r="G331" s="32"/>
      <c r="H331" s="32"/>
      <c r="I331" s="32"/>
      <c r="J331" s="32"/>
      <c r="K331" s="35"/>
      <c r="L331" s="32"/>
      <c r="M331" s="32"/>
    </row>
    <row r="332" customFormat="false" ht="15" hidden="false" customHeight="true" outlineLevel="0" collapsed="false">
      <c r="A332" s="32"/>
      <c r="B332" s="32"/>
      <c r="C332" s="32"/>
      <c r="D332" s="32"/>
      <c r="E332" s="34" t="str">
        <f aca="false">IF($B332="","",IF($B332="OUT","Liters",IFERROR(INDEX(Setup!$F$3:$F$24,MATCH($C332,Setup!$A$3:$A$24,0)),"")))</f>
        <v/>
      </c>
      <c r="F332" s="28" t="str">
        <f aca="false">IF(OR($D332="",$E332=""),"",IFERROR($D332*INDEX(Setup!$B$27:$B$44,MATCH($E332,Setup!$A$27:$A$44,0)),"TBD"))</f>
        <v/>
      </c>
      <c r="G332" s="32"/>
      <c r="H332" s="32"/>
      <c r="I332" s="32"/>
      <c r="J332" s="32"/>
      <c r="K332" s="35"/>
      <c r="L332" s="32"/>
      <c r="M332" s="32"/>
    </row>
    <row r="333" customFormat="false" ht="15" hidden="false" customHeight="true" outlineLevel="0" collapsed="false">
      <c r="A333" s="32"/>
      <c r="B333" s="32"/>
      <c r="C333" s="32"/>
      <c r="D333" s="32"/>
      <c r="E333" s="34" t="str">
        <f aca="false">IF($B333="","",IF($B333="OUT","Liters",IFERROR(INDEX(Setup!$F$3:$F$24,MATCH($C333,Setup!$A$3:$A$24,0)),"")))</f>
        <v/>
      </c>
      <c r="F333" s="28" t="str">
        <f aca="false">IF(OR($D333="",$E333=""),"",IFERROR($D333*INDEX(Setup!$B$27:$B$44,MATCH($E333,Setup!$A$27:$A$44,0)),"TBD"))</f>
        <v/>
      </c>
      <c r="G333" s="32"/>
      <c r="H333" s="32"/>
      <c r="I333" s="32"/>
      <c r="J333" s="32"/>
      <c r="K333" s="35"/>
      <c r="L333" s="32"/>
      <c r="M333" s="32"/>
    </row>
    <row r="334" customFormat="false" ht="15" hidden="false" customHeight="true" outlineLevel="0" collapsed="false">
      <c r="A334" s="32"/>
      <c r="B334" s="32"/>
      <c r="C334" s="32"/>
      <c r="D334" s="32"/>
      <c r="E334" s="34" t="str">
        <f aca="false">IF($B334="","",IF($B334="OUT","Liters",IFERROR(INDEX(Setup!$F$3:$F$24,MATCH($C334,Setup!$A$3:$A$24,0)),"")))</f>
        <v/>
      </c>
      <c r="F334" s="28" t="str">
        <f aca="false">IF(OR($D334="",$E334=""),"",IFERROR($D334*INDEX(Setup!$B$27:$B$44,MATCH($E334,Setup!$A$27:$A$44,0)),"TBD"))</f>
        <v/>
      </c>
      <c r="G334" s="32"/>
      <c r="H334" s="32"/>
      <c r="I334" s="32"/>
      <c r="J334" s="32"/>
      <c r="K334" s="35"/>
      <c r="L334" s="32"/>
      <c r="M334" s="32"/>
    </row>
    <row r="335" customFormat="false" ht="15" hidden="false" customHeight="true" outlineLevel="0" collapsed="false">
      <c r="A335" s="32"/>
      <c r="B335" s="32"/>
      <c r="C335" s="32"/>
      <c r="D335" s="32"/>
      <c r="E335" s="34" t="str">
        <f aca="false">IF($B335="","",IF($B335="OUT","Liters",IFERROR(INDEX(Setup!$F$3:$F$24,MATCH($C335,Setup!$A$3:$A$24,0)),"")))</f>
        <v/>
      </c>
      <c r="F335" s="28" t="str">
        <f aca="false">IF(OR($D335="",$E335=""),"",IFERROR($D335*INDEX(Setup!$B$27:$B$44,MATCH($E335,Setup!$A$27:$A$44,0)),"TBD"))</f>
        <v/>
      </c>
      <c r="G335" s="32"/>
      <c r="H335" s="32"/>
      <c r="I335" s="32"/>
      <c r="J335" s="32"/>
      <c r="K335" s="35"/>
      <c r="L335" s="32"/>
      <c r="M335" s="32"/>
    </row>
    <row r="336" customFormat="false" ht="15" hidden="false" customHeight="true" outlineLevel="0" collapsed="false">
      <c r="A336" s="32"/>
      <c r="B336" s="32"/>
      <c r="C336" s="32"/>
      <c r="D336" s="32"/>
      <c r="E336" s="34" t="str">
        <f aca="false">IF($B336="","",IF($B336="OUT","Liters",IFERROR(INDEX(Setup!$F$3:$F$24,MATCH($C336,Setup!$A$3:$A$24,0)),"")))</f>
        <v/>
      </c>
      <c r="F336" s="28" t="str">
        <f aca="false">IF(OR($D336="",$E336=""),"",IFERROR($D336*INDEX(Setup!$B$27:$B$44,MATCH($E336,Setup!$A$27:$A$44,0)),"TBD"))</f>
        <v/>
      </c>
      <c r="G336" s="32"/>
      <c r="H336" s="32"/>
      <c r="I336" s="32"/>
      <c r="J336" s="32"/>
      <c r="K336" s="35"/>
      <c r="L336" s="32"/>
      <c r="M336" s="32"/>
    </row>
    <row r="337" customFormat="false" ht="15" hidden="false" customHeight="true" outlineLevel="0" collapsed="false">
      <c r="A337" s="32"/>
      <c r="B337" s="32"/>
      <c r="C337" s="32"/>
      <c r="D337" s="32"/>
      <c r="E337" s="34" t="str">
        <f aca="false">IF($B337="","",IF($B337="OUT","Liters",IFERROR(INDEX(Setup!$F$3:$F$24,MATCH($C337,Setup!$A$3:$A$24,0)),"")))</f>
        <v/>
      </c>
      <c r="F337" s="28" t="str">
        <f aca="false">IF(OR($D337="",$E337=""),"",IFERROR($D337*INDEX(Setup!$B$27:$B$44,MATCH($E337,Setup!$A$27:$A$44,0)),"TBD"))</f>
        <v/>
      </c>
      <c r="G337" s="32"/>
      <c r="H337" s="32"/>
      <c r="I337" s="32"/>
      <c r="J337" s="32"/>
      <c r="K337" s="35"/>
      <c r="L337" s="32"/>
      <c r="M337" s="32"/>
    </row>
    <row r="338" customFormat="false" ht="15" hidden="false" customHeight="true" outlineLevel="0" collapsed="false">
      <c r="A338" s="32"/>
      <c r="B338" s="32"/>
      <c r="C338" s="32"/>
      <c r="D338" s="32"/>
      <c r="E338" s="34" t="str">
        <f aca="false">IF($B338="","",IF($B338="OUT","Liters",IFERROR(INDEX(Setup!$F$3:$F$24,MATCH($C338,Setup!$A$3:$A$24,0)),"")))</f>
        <v/>
      </c>
      <c r="F338" s="28" t="str">
        <f aca="false">IF(OR($D338="",$E338=""),"",IFERROR($D338*INDEX(Setup!$B$27:$B$44,MATCH($E338,Setup!$A$27:$A$44,0)),"TBD"))</f>
        <v/>
      </c>
      <c r="G338" s="32"/>
      <c r="H338" s="32"/>
      <c r="I338" s="32"/>
      <c r="J338" s="32"/>
      <c r="K338" s="35"/>
      <c r="L338" s="32"/>
      <c r="M338" s="32"/>
    </row>
    <row r="339" customFormat="false" ht="15" hidden="false" customHeight="true" outlineLevel="0" collapsed="false">
      <c r="A339" s="32"/>
      <c r="B339" s="32"/>
      <c r="C339" s="32"/>
      <c r="D339" s="32"/>
      <c r="E339" s="34" t="str">
        <f aca="false">IF($B339="","",IF($B339="OUT","Liters",IFERROR(INDEX(Setup!$F$3:$F$24,MATCH($C339,Setup!$A$3:$A$24,0)),"")))</f>
        <v/>
      </c>
      <c r="F339" s="28" t="str">
        <f aca="false">IF(OR($D339="",$E339=""),"",IFERROR($D339*INDEX(Setup!$B$27:$B$44,MATCH($E339,Setup!$A$27:$A$44,0)),"TBD"))</f>
        <v/>
      </c>
      <c r="G339" s="32"/>
      <c r="H339" s="32"/>
      <c r="I339" s="32"/>
      <c r="J339" s="32"/>
      <c r="K339" s="35"/>
      <c r="L339" s="32"/>
      <c r="M339" s="32"/>
    </row>
    <row r="340" customFormat="false" ht="15" hidden="false" customHeight="true" outlineLevel="0" collapsed="false">
      <c r="A340" s="32"/>
      <c r="B340" s="32"/>
      <c r="C340" s="32"/>
      <c r="D340" s="32"/>
      <c r="E340" s="34" t="str">
        <f aca="false">IF($B340="","",IF($B340="OUT","Liters",IFERROR(INDEX(Setup!$F$3:$F$24,MATCH($C340,Setup!$A$3:$A$24,0)),"")))</f>
        <v/>
      </c>
      <c r="F340" s="28" t="str">
        <f aca="false">IF(OR($D340="",$E340=""),"",IFERROR($D340*INDEX(Setup!$B$27:$B$44,MATCH($E340,Setup!$A$27:$A$44,0)),"TBD"))</f>
        <v/>
      </c>
      <c r="G340" s="32"/>
      <c r="H340" s="32"/>
      <c r="I340" s="32"/>
      <c r="J340" s="32"/>
      <c r="K340" s="35"/>
      <c r="L340" s="32"/>
      <c r="M340" s="32"/>
    </row>
    <row r="341" customFormat="false" ht="15" hidden="false" customHeight="true" outlineLevel="0" collapsed="false">
      <c r="A341" s="32"/>
      <c r="B341" s="32"/>
      <c r="C341" s="32"/>
      <c r="D341" s="32"/>
      <c r="E341" s="34" t="str">
        <f aca="false">IF($B341="","",IF($B341="OUT","Liters",IFERROR(INDEX(Setup!$F$3:$F$24,MATCH($C341,Setup!$A$3:$A$24,0)),"")))</f>
        <v/>
      </c>
      <c r="F341" s="28" t="str">
        <f aca="false">IF(OR($D341="",$E341=""),"",IFERROR($D341*INDEX(Setup!$B$27:$B$44,MATCH($E341,Setup!$A$27:$A$44,0)),"TBD"))</f>
        <v/>
      </c>
      <c r="G341" s="32"/>
      <c r="H341" s="32"/>
      <c r="I341" s="32"/>
      <c r="J341" s="32"/>
      <c r="K341" s="35"/>
      <c r="L341" s="32"/>
      <c r="M341" s="32"/>
    </row>
    <row r="342" customFormat="false" ht="15" hidden="false" customHeight="true" outlineLevel="0" collapsed="false">
      <c r="A342" s="32"/>
      <c r="B342" s="32"/>
      <c r="C342" s="32"/>
      <c r="D342" s="32"/>
      <c r="E342" s="34" t="str">
        <f aca="false">IF($B342="","",IF($B342="OUT","Liters",IFERROR(INDEX(Setup!$F$3:$F$24,MATCH($C342,Setup!$A$3:$A$24,0)),"")))</f>
        <v/>
      </c>
      <c r="F342" s="28" t="str">
        <f aca="false">IF(OR($D342="",$E342=""),"",IFERROR($D342*INDEX(Setup!$B$27:$B$44,MATCH($E342,Setup!$A$27:$A$44,0)),"TBD"))</f>
        <v/>
      </c>
      <c r="G342" s="32"/>
      <c r="H342" s="32"/>
      <c r="I342" s="32"/>
      <c r="J342" s="32"/>
      <c r="K342" s="35"/>
      <c r="L342" s="32"/>
      <c r="M342" s="32"/>
    </row>
    <row r="343" customFormat="false" ht="15" hidden="false" customHeight="true" outlineLevel="0" collapsed="false">
      <c r="A343" s="32"/>
      <c r="B343" s="32"/>
      <c r="C343" s="32"/>
      <c r="D343" s="32"/>
      <c r="E343" s="34" t="str">
        <f aca="false">IF($B343="","",IF($B343="OUT","Liters",IFERROR(INDEX(Setup!$F$3:$F$24,MATCH($C343,Setup!$A$3:$A$24,0)),"")))</f>
        <v/>
      </c>
      <c r="F343" s="28" t="str">
        <f aca="false">IF(OR($D343="",$E343=""),"",IFERROR($D343*INDEX(Setup!$B$27:$B$44,MATCH($E343,Setup!$A$27:$A$44,0)),"TBD"))</f>
        <v/>
      </c>
      <c r="G343" s="32"/>
      <c r="H343" s="32"/>
      <c r="I343" s="32"/>
      <c r="J343" s="32"/>
      <c r="K343" s="35"/>
      <c r="L343" s="32"/>
      <c r="M343" s="32"/>
    </row>
    <row r="344" customFormat="false" ht="15" hidden="false" customHeight="true" outlineLevel="0" collapsed="false">
      <c r="A344" s="32"/>
      <c r="B344" s="32"/>
      <c r="C344" s="32"/>
      <c r="D344" s="32"/>
      <c r="E344" s="34" t="str">
        <f aca="false">IF($B344="","",IF($B344="OUT","Liters",IFERROR(INDEX(Setup!$F$3:$F$24,MATCH($C344,Setup!$A$3:$A$24,0)),"")))</f>
        <v/>
      </c>
      <c r="F344" s="28" t="str">
        <f aca="false">IF(OR($D344="",$E344=""),"",IFERROR($D344*INDEX(Setup!$B$27:$B$44,MATCH($E344,Setup!$A$27:$A$44,0)),"TBD"))</f>
        <v/>
      </c>
      <c r="G344" s="32"/>
      <c r="H344" s="32"/>
      <c r="I344" s="32"/>
      <c r="J344" s="32"/>
      <c r="K344" s="35"/>
      <c r="L344" s="32"/>
      <c r="M344" s="32"/>
    </row>
    <row r="345" customFormat="false" ht="15" hidden="false" customHeight="true" outlineLevel="0" collapsed="false">
      <c r="A345" s="32"/>
      <c r="B345" s="32"/>
      <c r="C345" s="32"/>
      <c r="D345" s="32"/>
      <c r="E345" s="34" t="str">
        <f aca="false">IF($B345="","",IF($B345="OUT","Liters",IFERROR(INDEX(Setup!$F$3:$F$24,MATCH($C345,Setup!$A$3:$A$24,0)),"")))</f>
        <v/>
      </c>
      <c r="F345" s="28" t="str">
        <f aca="false">IF(OR($D345="",$E345=""),"",IFERROR($D345*INDEX(Setup!$B$27:$B$44,MATCH($E345,Setup!$A$27:$A$44,0)),"TBD"))</f>
        <v/>
      </c>
      <c r="G345" s="32"/>
      <c r="H345" s="32"/>
      <c r="I345" s="32"/>
      <c r="J345" s="32"/>
      <c r="K345" s="35"/>
      <c r="L345" s="32"/>
      <c r="M345" s="32"/>
    </row>
    <row r="346" customFormat="false" ht="15" hidden="false" customHeight="true" outlineLevel="0" collapsed="false">
      <c r="A346" s="32"/>
      <c r="B346" s="32"/>
      <c r="C346" s="32"/>
      <c r="D346" s="32"/>
      <c r="E346" s="34" t="str">
        <f aca="false">IF($B346="","",IF($B346="OUT","Liters",IFERROR(INDEX(Setup!$F$3:$F$24,MATCH($C346,Setup!$A$3:$A$24,0)),"")))</f>
        <v/>
      </c>
      <c r="F346" s="28" t="str">
        <f aca="false">IF(OR($D346="",$E346=""),"",IFERROR($D346*INDEX(Setup!$B$27:$B$44,MATCH($E346,Setup!$A$27:$A$44,0)),"TBD"))</f>
        <v/>
      </c>
      <c r="G346" s="32"/>
      <c r="H346" s="32"/>
      <c r="I346" s="32"/>
      <c r="J346" s="32"/>
      <c r="K346" s="35"/>
      <c r="L346" s="32"/>
      <c r="M346" s="32"/>
    </row>
    <row r="347" customFormat="false" ht="15" hidden="false" customHeight="true" outlineLevel="0" collapsed="false">
      <c r="A347" s="32"/>
      <c r="B347" s="32"/>
      <c r="C347" s="32"/>
      <c r="D347" s="32"/>
      <c r="E347" s="34" t="str">
        <f aca="false">IF($B347="","",IF($B347="OUT","Liters",IFERROR(INDEX(Setup!$F$3:$F$24,MATCH($C347,Setup!$A$3:$A$24,0)),"")))</f>
        <v/>
      </c>
      <c r="F347" s="28" t="str">
        <f aca="false">IF(OR($D347="",$E347=""),"",IFERROR($D347*INDEX(Setup!$B$27:$B$44,MATCH($E347,Setup!$A$27:$A$44,0)),"TBD"))</f>
        <v/>
      </c>
      <c r="G347" s="32"/>
      <c r="H347" s="32"/>
      <c r="I347" s="32"/>
      <c r="J347" s="32"/>
      <c r="K347" s="35"/>
      <c r="L347" s="32"/>
      <c r="M347" s="32"/>
    </row>
    <row r="348" customFormat="false" ht="15" hidden="false" customHeight="true" outlineLevel="0" collapsed="false">
      <c r="A348" s="32"/>
      <c r="B348" s="32"/>
      <c r="C348" s="32"/>
      <c r="D348" s="32"/>
      <c r="E348" s="34" t="str">
        <f aca="false">IF($B348="","",IF($B348="OUT","Liters",IFERROR(INDEX(Setup!$F$3:$F$24,MATCH($C348,Setup!$A$3:$A$24,0)),"")))</f>
        <v/>
      </c>
      <c r="F348" s="28" t="str">
        <f aca="false">IF(OR($D348="",$E348=""),"",IFERROR($D348*INDEX(Setup!$B$27:$B$44,MATCH($E348,Setup!$A$27:$A$44,0)),"TBD"))</f>
        <v/>
      </c>
      <c r="G348" s="32"/>
      <c r="H348" s="32"/>
      <c r="I348" s="32"/>
      <c r="J348" s="32"/>
      <c r="K348" s="35"/>
      <c r="L348" s="32"/>
      <c r="M348" s="32"/>
    </row>
    <row r="349" customFormat="false" ht="15" hidden="false" customHeight="true" outlineLevel="0" collapsed="false">
      <c r="A349" s="32"/>
      <c r="B349" s="32"/>
      <c r="C349" s="32"/>
      <c r="D349" s="32"/>
      <c r="E349" s="34" t="str">
        <f aca="false">IF($B349="","",IF($B349="OUT","Liters",IFERROR(INDEX(Setup!$F$3:$F$24,MATCH($C349,Setup!$A$3:$A$24,0)),"")))</f>
        <v/>
      </c>
      <c r="F349" s="28" t="str">
        <f aca="false">IF(OR($D349="",$E349=""),"",IFERROR($D349*INDEX(Setup!$B$27:$B$44,MATCH($E349,Setup!$A$27:$A$44,0)),"TBD"))</f>
        <v/>
      </c>
      <c r="G349" s="32"/>
      <c r="H349" s="32"/>
      <c r="I349" s="32"/>
      <c r="J349" s="32"/>
      <c r="K349" s="35"/>
      <c r="L349" s="32"/>
      <c r="M349" s="32"/>
    </row>
    <row r="350" customFormat="false" ht="15" hidden="false" customHeight="true" outlineLevel="0" collapsed="false">
      <c r="A350" s="32"/>
      <c r="B350" s="32"/>
      <c r="C350" s="32"/>
      <c r="D350" s="32"/>
      <c r="E350" s="34" t="str">
        <f aca="false">IF($B350="","",IF($B350="OUT","Liters",IFERROR(INDEX(Setup!$F$3:$F$24,MATCH($C350,Setup!$A$3:$A$24,0)),"")))</f>
        <v/>
      </c>
      <c r="F350" s="28" t="str">
        <f aca="false">IF(OR($D350="",$E350=""),"",IFERROR($D350*INDEX(Setup!$B$27:$B$44,MATCH($E350,Setup!$A$27:$A$44,0)),"TBD"))</f>
        <v/>
      </c>
      <c r="G350" s="32"/>
      <c r="H350" s="32"/>
      <c r="I350" s="32"/>
      <c r="J350" s="32"/>
      <c r="K350" s="35"/>
      <c r="L350" s="32"/>
      <c r="M350" s="32"/>
    </row>
    <row r="351" customFormat="false" ht="15" hidden="false" customHeight="true" outlineLevel="0" collapsed="false">
      <c r="A351" s="32"/>
      <c r="B351" s="32"/>
      <c r="C351" s="32"/>
      <c r="D351" s="32"/>
      <c r="E351" s="34" t="str">
        <f aca="false">IF($B351="","",IF($B351="OUT","Liters",IFERROR(INDEX(Setup!$F$3:$F$24,MATCH($C351,Setup!$A$3:$A$24,0)),"")))</f>
        <v/>
      </c>
      <c r="F351" s="28" t="str">
        <f aca="false">IF(OR($D351="",$E351=""),"",IFERROR($D351*INDEX(Setup!$B$27:$B$44,MATCH($E351,Setup!$A$27:$A$44,0)),"TBD"))</f>
        <v/>
      </c>
      <c r="G351" s="32"/>
      <c r="H351" s="32"/>
      <c r="I351" s="32"/>
      <c r="J351" s="32"/>
      <c r="K351" s="35"/>
      <c r="L351" s="32"/>
      <c r="M351" s="32"/>
    </row>
    <row r="352" customFormat="false" ht="15" hidden="false" customHeight="true" outlineLevel="0" collapsed="false">
      <c r="A352" s="32"/>
      <c r="B352" s="32"/>
      <c r="C352" s="32"/>
      <c r="D352" s="32"/>
      <c r="E352" s="34" t="str">
        <f aca="false">IF($B352="","",IF($B352="OUT","Liters",IFERROR(INDEX(Setup!$F$3:$F$24,MATCH($C352,Setup!$A$3:$A$24,0)),"")))</f>
        <v/>
      </c>
      <c r="F352" s="28" t="str">
        <f aca="false">IF(OR($D352="",$E352=""),"",IFERROR($D352*INDEX(Setup!$B$27:$B$44,MATCH($E352,Setup!$A$27:$A$44,0)),"TBD"))</f>
        <v/>
      </c>
      <c r="G352" s="32"/>
      <c r="H352" s="32"/>
      <c r="I352" s="32"/>
      <c r="J352" s="32"/>
      <c r="K352" s="35"/>
      <c r="L352" s="32"/>
      <c r="M352" s="32"/>
    </row>
    <row r="353" customFormat="false" ht="15" hidden="false" customHeight="true" outlineLevel="0" collapsed="false">
      <c r="A353" s="32"/>
      <c r="B353" s="32"/>
      <c r="C353" s="32"/>
      <c r="D353" s="32"/>
      <c r="E353" s="34" t="str">
        <f aca="false">IF($B353="","",IF($B353="OUT","Liters",IFERROR(INDEX(Setup!$F$3:$F$24,MATCH($C353,Setup!$A$3:$A$24,0)),"")))</f>
        <v/>
      </c>
      <c r="F353" s="28" t="str">
        <f aca="false">IF(OR($D353="",$E353=""),"",IFERROR($D353*INDEX(Setup!$B$27:$B$44,MATCH($E353,Setup!$A$27:$A$44,0)),"TBD"))</f>
        <v/>
      </c>
      <c r="G353" s="32"/>
      <c r="H353" s="32"/>
      <c r="I353" s="32"/>
      <c r="J353" s="32"/>
      <c r="K353" s="35"/>
      <c r="L353" s="32"/>
      <c r="M353" s="32"/>
    </row>
    <row r="354" customFormat="false" ht="15" hidden="false" customHeight="true" outlineLevel="0" collapsed="false">
      <c r="A354" s="32"/>
      <c r="B354" s="32"/>
      <c r="C354" s="32"/>
      <c r="D354" s="32"/>
      <c r="E354" s="34" t="str">
        <f aca="false">IF($B354="","",IF($B354="OUT","Liters",IFERROR(INDEX(Setup!$F$3:$F$24,MATCH($C354,Setup!$A$3:$A$24,0)),"")))</f>
        <v/>
      </c>
      <c r="F354" s="28" t="str">
        <f aca="false">IF(OR($D354="",$E354=""),"",IFERROR($D354*INDEX(Setup!$B$27:$B$44,MATCH($E354,Setup!$A$27:$A$44,0)),"TBD"))</f>
        <v/>
      </c>
      <c r="G354" s="32"/>
      <c r="H354" s="32"/>
      <c r="I354" s="32"/>
      <c r="J354" s="32"/>
      <c r="K354" s="35"/>
      <c r="L354" s="32"/>
      <c r="M354" s="32"/>
    </row>
    <row r="355" customFormat="false" ht="15" hidden="false" customHeight="true" outlineLevel="0" collapsed="false">
      <c r="A355" s="32"/>
      <c r="B355" s="32"/>
      <c r="C355" s="32"/>
      <c r="D355" s="32"/>
      <c r="E355" s="34" t="str">
        <f aca="false">IF($B355="","",IF($B355="OUT","Liters",IFERROR(INDEX(Setup!$F$3:$F$24,MATCH($C355,Setup!$A$3:$A$24,0)),"")))</f>
        <v/>
      </c>
      <c r="F355" s="28" t="str">
        <f aca="false">IF(OR($D355="",$E355=""),"",IFERROR($D355*INDEX(Setup!$B$27:$B$44,MATCH($E355,Setup!$A$27:$A$44,0)),"TBD"))</f>
        <v/>
      </c>
      <c r="G355" s="32"/>
      <c r="H355" s="32"/>
      <c r="I355" s="32"/>
      <c r="J355" s="32"/>
      <c r="K355" s="35"/>
      <c r="L355" s="32"/>
      <c r="M355" s="32"/>
    </row>
    <row r="356" customFormat="false" ht="15" hidden="false" customHeight="true" outlineLevel="0" collapsed="false">
      <c r="A356" s="32"/>
      <c r="B356" s="32"/>
      <c r="C356" s="32"/>
      <c r="D356" s="32"/>
      <c r="E356" s="34" t="str">
        <f aca="false">IF($B356="","",IF($B356="OUT","Liters",IFERROR(INDEX(Setup!$F$3:$F$24,MATCH($C356,Setup!$A$3:$A$24,0)),"")))</f>
        <v/>
      </c>
      <c r="F356" s="28" t="str">
        <f aca="false">IF(OR($D356="",$E356=""),"",IFERROR($D356*INDEX(Setup!$B$27:$B$44,MATCH($E356,Setup!$A$27:$A$44,0)),"TBD"))</f>
        <v/>
      </c>
      <c r="G356" s="32"/>
      <c r="H356" s="32"/>
      <c r="I356" s="32"/>
      <c r="J356" s="32"/>
      <c r="K356" s="35"/>
      <c r="L356" s="32"/>
      <c r="M356" s="32"/>
    </row>
    <row r="357" customFormat="false" ht="15" hidden="false" customHeight="true" outlineLevel="0" collapsed="false">
      <c r="A357" s="32"/>
      <c r="B357" s="32"/>
      <c r="C357" s="32"/>
      <c r="D357" s="32"/>
      <c r="E357" s="34" t="str">
        <f aca="false">IF($B357="","",IF($B357="OUT","Liters",IFERROR(INDEX(Setup!$F$3:$F$24,MATCH($C357,Setup!$A$3:$A$24,0)),"")))</f>
        <v/>
      </c>
      <c r="F357" s="28" t="str">
        <f aca="false">IF(OR($D357="",$E357=""),"",IFERROR($D357*INDEX(Setup!$B$27:$B$44,MATCH($E357,Setup!$A$27:$A$44,0)),"TBD"))</f>
        <v/>
      </c>
      <c r="G357" s="32"/>
      <c r="H357" s="32"/>
      <c r="I357" s="32"/>
      <c r="J357" s="32"/>
      <c r="K357" s="35"/>
      <c r="L357" s="32"/>
      <c r="M357" s="32"/>
    </row>
    <row r="358" customFormat="false" ht="15" hidden="false" customHeight="true" outlineLevel="0" collapsed="false">
      <c r="A358" s="32"/>
      <c r="B358" s="32"/>
      <c r="C358" s="32"/>
      <c r="D358" s="32"/>
      <c r="E358" s="34" t="str">
        <f aca="false">IF($B358="","",IF($B358="OUT","Liters",IFERROR(INDEX(Setup!$F$3:$F$24,MATCH($C358,Setup!$A$3:$A$24,0)),"")))</f>
        <v/>
      </c>
      <c r="F358" s="28" t="str">
        <f aca="false">IF(OR($D358="",$E358=""),"",IFERROR($D358*INDEX(Setup!$B$27:$B$44,MATCH($E358,Setup!$A$27:$A$44,0)),"TBD"))</f>
        <v/>
      </c>
      <c r="G358" s="32"/>
      <c r="H358" s="32"/>
      <c r="I358" s="32"/>
      <c r="J358" s="32"/>
      <c r="K358" s="35"/>
      <c r="L358" s="32"/>
      <c r="M358" s="32"/>
    </row>
    <row r="359" customFormat="false" ht="15" hidden="false" customHeight="true" outlineLevel="0" collapsed="false">
      <c r="A359" s="32"/>
      <c r="B359" s="32"/>
      <c r="C359" s="32"/>
      <c r="D359" s="32"/>
      <c r="E359" s="34" t="str">
        <f aca="false">IF($B359="","",IF($B359="OUT","Liters",IFERROR(INDEX(Setup!$F$3:$F$24,MATCH($C359,Setup!$A$3:$A$24,0)),"")))</f>
        <v/>
      </c>
      <c r="F359" s="28" t="str">
        <f aca="false">IF(OR($D359="",$E359=""),"",IFERROR($D359*INDEX(Setup!$B$27:$B$44,MATCH($E359,Setup!$A$27:$A$44,0)),"TBD"))</f>
        <v/>
      </c>
      <c r="G359" s="32"/>
      <c r="H359" s="32"/>
      <c r="I359" s="32"/>
      <c r="J359" s="32"/>
      <c r="K359" s="35"/>
      <c r="L359" s="32"/>
      <c r="M359" s="32"/>
    </row>
    <row r="360" customFormat="false" ht="15" hidden="false" customHeight="true" outlineLevel="0" collapsed="false">
      <c r="A360" s="32"/>
      <c r="B360" s="32"/>
      <c r="C360" s="32"/>
      <c r="D360" s="32"/>
      <c r="E360" s="34" t="str">
        <f aca="false">IF($B360="","",IF($B360="OUT","Liters",IFERROR(INDEX(Setup!$F$3:$F$24,MATCH($C360,Setup!$A$3:$A$24,0)),"")))</f>
        <v/>
      </c>
      <c r="F360" s="28" t="str">
        <f aca="false">IF(OR($D360="",$E360=""),"",IFERROR($D360*INDEX(Setup!$B$27:$B$44,MATCH($E360,Setup!$A$27:$A$44,0)),"TBD"))</f>
        <v/>
      </c>
      <c r="G360" s="32"/>
      <c r="H360" s="32"/>
      <c r="I360" s="32"/>
      <c r="J360" s="32"/>
      <c r="K360" s="35"/>
      <c r="L360" s="32"/>
      <c r="M360" s="32"/>
    </row>
    <row r="361" customFormat="false" ht="15" hidden="false" customHeight="true" outlineLevel="0" collapsed="false">
      <c r="A361" s="32"/>
      <c r="B361" s="32"/>
      <c r="C361" s="32"/>
      <c r="D361" s="32"/>
      <c r="E361" s="34" t="str">
        <f aca="false">IF($B361="","",IF($B361="OUT","Liters",IFERROR(INDEX(Setup!$F$3:$F$24,MATCH($C361,Setup!$A$3:$A$24,0)),"")))</f>
        <v/>
      </c>
      <c r="F361" s="28" t="str">
        <f aca="false">IF(OR($D361="",$E361=""),"",IFERROR($D361*INDEX(Setup!$B$27:$B$44,MATCH($E361,Setup!$A$27:$A$44,0)),"TBD"))</f>
        <v/>
      </c>
      <c r="G361" s="32"/>
      <c r="H361" s="32"/>
      <c r="I361" s="32"/>
      <c r="J361" s="32"/>
      <c r="K361" s="35"/>
      <c r="L361" s="32"/>
      <c r="M361" s="32"/>
    </row>
    <row r="362" customFormat="false" ht="15" hidden="false" customHeight="true" outlineLevel="0" collapsed="false">
      <c r="A362" s="32"/>
      <c r="B362" s="32"/>
      <c r="C362" s="32"/>
      <c r="D362" s="32"/>
      <c r="E362" s="34" t="str">
        <f aca="false">IF($B362="","",IF($B362="OUT","Liters",IFERROR(INDEX(Setup!$F$3:$F$24,MATCH($C362,Setup!$A$3:$A$24,0)),"")))</f>
        <v/>
      </c>
      <c r="F362" s="28" t="str">
        <f aca="false">IF(OR($D362="",$E362=""),"",IFERROR($D362*INDEX(Setup!$B$27:$B$44,MATCH($E362,Setup!$A$27:$A$44,0)),"TBD"))</f>
        <v/>
      </c>
      <c r="G362" s="32"/>
      <c r="H362" s="32"/>
      <c r="I362" s="32"/>
      <c r="J362" s="32"/>
      <c r="K362" s="35"/>
      <c r="L362" s="32"/>
      <c r="M362" s="32"/>
    </row>
    <row r="363" customFormat="false" ht="15" hidden="false" customHeight="true" outlineLevel="0" collapsed="false">
      <c r="A363" s="32"/>
      <c r="B363" s="32"/>
      <c r="C363" s="32"/>
      <c r="D363" s="32"/>
      <c r="E363" s="34" t="str">
        <f aca="false">IF($B363="","",IF($B363="OUT","Liters",IFERROR(INDEX(Setup!$F$3:$F$24,MATCH($C363,Setup!$A$3:$A$24,0)),"")))</f>
        <v/>
      </c>
      <c r="F363" s="28" t="str">
        <f aca="false">IF(OR($D363="",$E363=""),"",IFERROR($D363*INDEX(Setup!$B$27:$B$44,MATCH($E363,Setup!$A$27:$A$44,0)),"TBD"))</f>
        <v/>
      </c>
      <c r="G363" s="32"/>
      <c r="H363" s="32"/>
      <c r="I363" s="32"/>
      <c r="J363" s="32"/>
      <c r="K363" s="35"/>
      <c r="L363" s="32"/>
      <c r="M363" s="32"/>
    </row>
    <row r="364" customFormat="false" ht="15" hidden="false" customHeight="true" outlineLevel="0" collapsed="false">
      <c r="A364" s="32"/>
      <c r="B364" s="32"/>
      <c r="C364" s="32"/>
      <c r="D364" s="32"/>
      <c r="E364" s="34" t="str">
        <f aca="false">IF($B364="","",IF($B364="OUT","Liters",IFERROR(INDEX(Setup!$F$3:$F$24,MATCH($C364,Setup!$A$3:$A$24,0)),"")))</f>
        <v/>
      </c>
      <c r="F364" s="28" t="str">
        <f aca="false">IF(OR($D364="",$E364=""),"",IFERROR($D364*INDEX(Setup!$B$27:$B$44,MATCH($E364,Setup!$A$27:$A$44,0)),"TBD"))</f>
        <v/>
      </c>
      <c r="G364" s="32"/>
      <c r="H364" s="32"/>
      <c r="I364" s="32"/>
      <c r="J364" s="32"/>
      <c r="K364" s="35"/>
      <c r="L364" s="32"/>
      <c r="M364" s="32"/>
    </row>
    <row r="365" customFormat="false" ht="15" hidden="false" customHeight="true" outlineLevel="0" collapsed="false">
      <c r="A365" s="32"/>
      <c r="B365" s="32"/>
      <c r="C365" s="32"/>
      <c r="D365" s="32"/>
      <c r="E365" s="34" t="str">
        <f aca="false">IF($B365="","",IF($B365="OUT","Liters",IFERROR(INDEX(Setup!$F$3:$F$24,MATCH($C365,Setup!$A$3:$A$24,0)),"")))</f>
        <v/>
      </c>
      <c r="F365" s="28" t="str">
        <f aca="false">IF(OR($D365="",$E365=""),"",IFERROR($D365*INDEX(Setup!$B$27:$B$44,MATCH($E365,Setup!$A$27:$A$44,0)),"TBD"))</f>
        <v/>
      </c>
      <c r="G365" s="32"/>
      <c r="H365" s="32"/>
      <c r="I365" s="32"/>
      <c r="J365" s="32"/>
      <c r="K365" s="35"/>
      <c r="L365" s="32"/>
      <c r="M365" s="32"/>
    </row>
    <row r="366" customFormat="false" ht="15" hidden="false" customHeight="true" outlineLevel="0" collapsed="false">
      <c r="A366" s="32"/>
      <c r="B366" s="32"/>
      <c r="C366" s="32"/>
      <c r="D366" s="32"/>
      <c r="E366" s="34" t="str">
        <f aca="false">IF($B366="","",IF($B366="OUT","Liters",IFERROR(INDEX(Setup!$F$3:$F$24,MATCH($C366,Setup!$A$3:$A$24,0)),"")))</f>
        <v/>
      </c>
      <c r="F366" s="28" t="str">
        <f aca="false">IF(OR($D366="",$E366=""),"",IFERROR($D366*INDEX(Setup!$B$27:$B$44,MATCH($E366,Setup!$A$27:$A$44,0)),"TBD"))</f>
        <v/>
      </c>
      <c r="G366" s="32"/>
      <c r="H366" s="32"/>
      <c r="I366" s="32"/>
      <c r="J366" s="32"/>
      <c r="K366" s="35"/>
      <c r="L366" s="32"/>
      <c r="M366" s="32"/>
    </row>
    <row r="367" customFormat="false" ht="15" hidden="false" customHeight="true" outlineLevel="0" collapsed="false">
      <c r="A367" s="32"/>
      <c r="B367" s="32"/>
      <c r="C367" s="32"/>
      <c r="D367" s="32"/>
      <c r="E367" s="34" t="str">
        <f aca="false">IF($B367="","",IF($B367="OUT","Liters",IFERROR(INDEX(Setup!$F$3:$F$24,MATCH($C367,Setup!$A$3:$A$24,0)),"")))</f>
        <v/>
      </c>
      <c r="F367" s="28" t="str">
        <f aca="false">IF(OR($D367="",$E367=""),"",IFERROR($D367*INDEX(Setup!$B$27:$B$44,MATCH($E367,Setup!$A$27:$A$44,0)),"TBD"))</f>
        <v/>
      </c>
      <c r="G367" s="32"/>
      <c r="H367" s="32"/>
      <c r="I367" s="32"/>
      <c r="J367" s="32"/>
      <c r="K367" s="35"/>
      <c r="L367" s="32"/>
      <c r="M367" s="32"/>
    </row>
    <row r="368" customFormat="false" ht="15" hidden="false" customHeight="true" outlineLevel="0" collapsed="false">
      <c r="A368" s="32"/>
      <c r="B368" s="32"/>
      <c r="C368" s="32"/>
      <c r="D368" s="32"/>
      <c r="E368" s="34" t="str">
        <f aca="false">IF($B368="","",IF($B368="OUT","Liters",IFERROR(INDEX(Setup!$F$3:$F$24,MATCH($C368,Setup!$A$3:$A$24,0)),"")))</f>
        <v/>
      </c>
      <c r="F368" s="28" t="str">
        <f aca="false">IF(OR($D368="",$E368=""),"",IFERROR($D368*INDEX(Setup!$B$27:$B$44,MATCH($E368,Setup!$A$27:$A$44,0)),"TBD"))</f>
        <v/>
      </c>
      <c r="G368" s="32"/>
      <c r="H368" s="32"/>
      <c r="I368" s="32"/>
      <c r="J368" s="32"/>
      <c r="K368" s="35"/>
      <c r="L368" s="32"/>
      <c r="M368" s="32"/>
    </row>
    <row r="369" customFormat="false" ht="15" hidden="false" customHeight="true" outlineLevel="0" collapsed="false">
      <c r="A369" s="32"/>
      <c r="B369" s="32"/>
      <c r="C369" s="32"/>
      <c r="D369" s="32"/>
      <c r="E369" s="34" t="str">
        <f aca="false">IF($B369="","",IF($B369="OUT","Liters",IFERROR(INDEX(Setup!$F$3:$F$24,MATCH($C369,Setup!$A$3:$A$24,0)),"")))</f>
        <v/>
      </c>
      <c r="F369" s="28" t="str">
        <f aca="false">IF(OR($D369="",$E369=""),"",IFERROR($D369*INDEX(Setup!$B$27:$B$44,MATCH($E369,Setup!$A$27:$A$44,0)),"TBD"))</f>
        <v/>
      </c>
      <c r="G369" s="32"/>
      <c r="H369" s="32"/>
      <c r="I369" s="32"/>
      <c r="J369" s="32"/>
      <c r="K369" s="35"/>
      <c r="L369" s="32"/>
      <c r="M369" s="32"/>
    </row>
    <row r="370" customFormat="false" ht="15" hidden="false" customHeight="true" outlineLevel="0" collapsed="false">
      <c r="A370" s="32"/>
      <c r="B370" s="32"/>
      <c r="C370" s="32"/>
      <c r="D370" s="32"/>
      <c r="E370" s="34" t="str">
        <f aca="false">IF($B370="","",IF($B370="OUT","Liters",IFERROR(INDEX(Setup!$F$3:$F$24,MATCH($C370,Setup!$A$3:$A$24,0)),"")))</f>
        <v/>
      </c>
      <c r="F370" s="28" t="str">
        <f aca="false">IF(OR($D370="",$E370=""),"",IFERROR($D370*INDEX(Setup!$B$27:$B$44,MATCH($E370,Setup!$A$27:$A$44,0)),"TBD"))</f>
        <v/>
      </c>
      <c r="G370" s="32"/>
      <c r="H370" s="32"/>
      <c r="I370" s="32"/>
      <c r="J370" s="32"/>
      <c r="K370" s="35"/>
      <c r="L370" s="32"/>
      <c r="M370" s="32"/>
    </row>
    <row r="371" customFormat="false" ht="15" hidden="false" customHeight="true" outlineLevel="0" collapsed="false">
      <c r="A371" s="32"/>
      <c r="B371" s="32"/>
      <c r="C371" s="32"/>
      <c r="D371" s="32"/>
      <c r="E371" s="34" t="str">
        <f aca="false">IF($B371="","",IF($B371="OUT","Liters",IFERROR(INDEX(Setup!$F$3:$F$24,MATCH($C371,Setup!$A$3:$A$24,0)),"")))</f>
        <v/>
      </c>
      <c r="F371" s="28" t="str">
        <f aca="false">IF(OR($D371="",$E371=""),"",IFERROR($D371*INDEX(Setup!$B$27:$B$44,MATCH($E371,Setup!$A$27:$A$44,0)),"TBD"))</f>
        <v/>
      </c>
      <c r="G371" s="32"/>
      <c r="H371" s="32"/>
      <c r="I371" s="32"/>
      <c r="J371" s="32"/>
      <c r="K371" s="35"/>
      <c r="L371" s="32"/>
      <c r="M371" s="32"/>
    </row>
    <row r="372" customFormat="false" ht="15" hidden="false" customHeight="true" outlineLevel="0" collapsed="false">
      <c r="A372" s="32"/>
      <c r="B372" s="32"/>
      <c r="C372" s="32"/>
      <c r="D372" s="32"/>
      <c r="E372" s="34" t="str">
        <f aca="false">IF($B372="","",IF($B372="OUT","Liters",IFERROR(INDEX(Setup!$F$3:$F$24,MATCH($C372,Setup!$A$3:$A$24,0)),"")))</f>
        <v/>
      </c>
      <c r="F372" s="28" t="str">
        <f aca="false">IF(OR($D372="",$E372=""),"",IFERROR($D372*INDEX(Setup!$B$27:$B$44,MATCH($E372,Setup!$A$27:$A$44,0)),"TBD"))</f>
        <v/>
      </c>
      <c r="G372" s="32"/>
      <c r="H372" s="32"/>
      <c r="I372" s="32"/>
      <c r="J372" s="32"/>
      <c r="K372" s="35"/>
      <c r="L372" s="32"/>
      <c r="M372" s="32"/>
    </row>
    <row r="373" customFormat="false" ht="15" hidden="false" customHeight="true" outlineLevel="0" collapsed="false">
      <c r="A373" s="32"/>
      <c r="B373" s="32"/>
      <c r="C373" s="32"/>
      <c r="D373" s="32"/>
      <c r="E373" s="34" t="str">
        <f aca="false">IF($B373="","",IF($B373="OUT","Liters",IFERROR(INDEX(Setup!$F$3:$F$24,MATCH($C373,Setup!$A$3:$A$24,0)),"")))</f>
        <v/>
      </c>
      <c r="F373" s="28" t="str">
        <f aca="false">IF(OR($D373="",$E373=""),"",IFERROR($D373*INDEX(Setup!$B$27:$B$44,MATCH($E373,Setup!$A$27:$A$44,0)),"TBD"))</f>
        <v/>
      </c>
      <c r="G373" s="32"/>
      <c r="H373" s="32"/>
      <c r="I373" s="32"/>
      <c r="J373" s="32"/>
      <c r="K373" s="35"/>
      <c r="L373" s="32"/>
      <c r="M373" s="32"/>
    </row>
    <row r="374" customFormat="false" ht="15" hidden="false" customHeight="true" outlineLevel="0" collapsed="false">
      <c r="A374" s="32"/>
      <c r="B374" s="32"/>
      <c r="C374" s="32"/>
      <c r="D374" s="32"/>
      <c r="E374" s="34" t="str">
        <f aca="false">IF($B374="","",IF($B374="OUT","Liters",IFERROR(INDEX(Setup!$F$3:$F$24,MATCH($C374,Setup!$A$3:$A$24,0)),"")))</f>
        <v/>
      </c>
      <c r="F374" s="28" t="str">
        <f aca="false">IF(OR($D374="",$E374=""),"",IFERROR($D374*INDEX(Setup!$B$27:$B$44,MATCH($E374,Setup!$A$27:$A$44,0)),"TBD"))</f>
        <v/>
      </c>
      <c r="G374" s="32"/>
      <c r="H374" s="32"/>
      <c r="I374" s="32"/>
      <c r="J374" s="32"/>
      <c r="K374" s="35"/>
      <c r="L374" s="32"/>
      <c r="M374" s="32"/>
    </row>
    <row r="375" customFormat="false" ht="15" hidden="false" customHeight="true" outlineLevel="0" collapsed="false">
      <c r="A375" s="32"/>
      <c r="B375" s="32"/>
      <c r="C375" s="32"/>
      <c r="D375" s="32"/>
      <c r="E375" s="34" t="str">
        <f aca="false">IF($B375="","",IF($B375="OUT","Liters",IFERROR(INDEX(Setup!$F$3:$F$24,MATCH($C375,Setup!$A$3:$A$24,0)),"")))</f>
        <v/>
      </c>
      <c r="F375" s="28" t="str">
        <f aca="false">IF(OR($D375="",$E375=""),"",IFERROR($D375*INDEX(Setup!$B$27:$B$44,MATCH($E375,Setup!$A$27:$A$44,0)),"TBD"))</f>
        <v/>
      </c>
      <c r="G375" s="32"/>
      <c r="H375" s="32"/>
      <c r="I375" s="32"/>
      <c r="J375" s="32"/>
      <c r="K375" s="35"/>
      <c r="L375" s="32"/>
      <c r="M375" s="32"/>
    </row>
    <row r="376" customFormat="false" ht="15" hidden="false" customHeight="true" outlineLevel="0" collapsed="false">
      <c r="A376" s="32"/>
      <c r="B376" s="32"/>
      <c r="C376" s="32"/>
      <c r="D376" s="32"/>
      <c r="E376" s="34" t="str">
        <f aca="false">IF($B376="","",IF($B376="OUT","Liters",IFERROR(INDEX(Setup!$F$3:$F$24,MATCH($C376,Setup!$A$3:$A$24,0)),"")))</f>
        <v/>
      </c>
      <c r="F376" s="28" t="str">
        <f aca="false">IF(OR($D376="",$E376=""),"",IFERROR($D376*INDEX(Setup!$B$27:$B$44,MATCH($E376,Setup!$A$27:$A$44,0)),"TBD"))</f>
        <v/>
      </c>
      <c r="G376" s="32"/>
      <c r="H376" s="32"/>
      <c r="I376" s="32"/>
      <c r="J376" s="32"/>
      <c r="K376" s="35"/>
      <c r="L376" s="32"/>
      <c r="M376" s="32"/>
    </row>
    <row r="377" customFormat="false" ht="15" hidden="false" customHeight="true" outlineLevel="0" collapsed="false">
      <c r="A377" s="32"/>
      <c r="B377" s="32"/>
      <c r="C377" s="32"/>
      <c r="D377" s="32"/>
      <c r="E377" s="34" t="str">
        <f aca="false">IF($B377="","",IF($B377="OUT","Liters",IFERROR(INDEX(Setup!$F$3:$F$24,MATCH($C377,Setup!$A$3:$A$24,0)),"")))</f>
        <v/>
      </c>
      <c r="F377" s="28" t="str">
        <f aca="false">IF(OR($D377="",$E377=""),"",IFERROR($D377*INDEX(Setup!$B$27:$B$44,MATCH($E377,Setup!$A$27:$A$44,0)),"TBD"))</f>
        <v/>
      </c>
      <c r="G377" s="32"/>
      <c r="H377" s="32"/>
      <c r="I377" s="32"/>
      <c r="J377" s="32"/>
      <c r="K377" s="35"/>
      <c r="L377" s="32"/>
      <c r="M377" s="32"/>
    </row>
    <row r="378" customFormat="false" ht="15" hidden="false" customHeight="true" outlineLevel="0" collapsed="false">
      <c r="A378" s="32"/>
      <c r="B378" s="32"/>
      <c r="C378" s="32"/>
      <c r="D378" s="32"/>
      <c r="E378" s="34" t="str">
        <f aca="false">IF($B378="","",IF($B378="OUT","Liters",IFERROR(INDEX(Setup!$F$3:$F$24,MATCH($C378,Setup!$A$3:$A$24,0)),"")))</f>
        <v/>
      </c>
      <c r="F378" s="28" t="str">
        <f aca="false">IF(OR($D378="",$E378=""),"",IFERROR($D378*INDEX(Setup!$B$27:$B$44,MATCH($E378,Setup!$A$27:$A$44,0)),"TBD"))</f>
        <v/>
      </c>
      <c r="G378" s="32"/>
      <c r="H378" s="32"/>
      <c r="I378" s="32"/>
      <c r="J378" s="32"/>
      <c r="K378" s="35"/>
      <c r="L378" s="32"/>
      <c r="M378" s="32"/>
    </row>
    <row r="379" customFormat="false" ht="15" hidden="false" customHeight="true" outlineLevel="0" collapsed="false">
      <c r="A379" s="32"/>
      <c r="B379" s="32"/>
      <c r="C379" s="32"/>
      <c r="D379" s="32"/>
      <c r="E379" s="34" t="str">
        <f aca="false">IF($B379="","",IF($B379="OUT","Liters",IFERROR(INDEX(Setup!$F$3:$F$24,MATCH($C379,Setup!$A$3:$A$24,0)),"")))</f>
        <v/>
      </c>
      <c r="F379" s="28" t="str">
        <f aca="false">IF(OR($D379="",$E379=""),"",IFERROR($D379*INDEX(Setup!$B$27:$B$44,MATCH($E379,Setup!$A$27:$A$44,0)),"TBD"))</f>
        <v/>
      </c>
      <c r="G379" s="32"/>
      <c r="H379" s="32"/>
      <c r="I379" s="32"/>
      <c r="J379" s="32"/>
      <c r="K379" s="35"/>
      <c r="L379" s="32"/>
      <c r="M379" s="32"/>
    </row>
    <row r="380" customFormat="false" ht="15" hidden="false" customHeight="true" outlineLevel="0" collapsed="false">
      <c r="A380" s="32"/>
      <c r="B380" s="32"/>
      <c r="C380" s="32"/>
      <c r="D380" s="32"/>
      <c r="E380" s="34" t="str">
        <f aca="false">IF($B380="","",IF($B380="OUT","Liters",IFERROR(INDEX(Setup!$F$3:$F$24,MATCH($C380,Setup!$A$3:$A$24,0)),"")))</f>
        <v/>
      </c>
      <c r="F380" s="28" t="str">
        <f aca="false">IF(OR($D380="",$E380=""),"",IFERROR($D380*INDEX(Setup!$B$27:$B$44,MATCH($E380,Setup!$A$27:$A$44,0)),"TBD"))</f>
        <v/>
      </c>
      <c r="G380" s="32"/>
      <c r="H380" s="32"/>
      <c r="I380" s="32"/>
      <c r="J380" s="32"/>
      <c r="K380" s="35"/>
      <c r="L380" s="32"/>
      <c r="M380" s="32"/>
    </row>
    <row r="381" customFormat="false" ht="15" hidden="false" customHeight="true" outlineLevel="0" collapsed="false">
      <c r="A381" s="32"/>
      <c r="B381" s="32"/>
      <c r="C381" s="32"/>
      <c r="D381" s="32"/>
      <c r="E381" s="34" t="str">
        <f aca="false">IF($B381="","",IF($B381="OUT","Liters",IFERROR(INDEX(Setup!$F$3:$F$24,MATCH($C381,Setup!$A$3:$A$24,0)),"")))</f>
        <v/>
      </c>
      <c r="F381" s="28" t="str">
        <f aca="false">IF(OR($D381="",$E381=""),"",IFERROR($D381*INDEX(Setup!$B$27:$B$44,MATCH($E381,Setup!$A$27:$A$44,0)),"TBD"))</f>
        <v/>
      </c>
      <c r="G381" s="32"/>
      <c r="H381" s="32"/>
      <c r="I381" s="32"/>
      <c r="J381" s="32"/>
      <c r="K381" s="35"/>
      <c r="L381" s="32"/>
      <c r="M381" s="32"/>
    </row>
    <row r="382" customFormat="false" ht="15" hidden="false" customHeight="true" outlineLevel="0" collapsed="false">
      <c r="A382" s="32"/>
      <c r="B382" s="32"/>
      <c r="C382" s="32"/>
      <c r="D382" s="32"/>
      <c r="E382" s="34" t="str">
        <f aca="false">IF($B382="","",IF($B382="OUT","Liters",IFERROR(INDEX(Setup!$F$3:$F$24,MATCH($C382,Setup!$A$3:$A$24,0)),"")))</f>
        <v/>
      </c>
      <c r="F382" s="28" t="str">
        <f aca="false">IF(OR($D382="",$E382=""),"",IFERROR($D382*INDEX(Setup!$B$27:$B$44,MATCH($E382,Setup!$A$27:$A$44,0)),"TBD"))</f>
        <v/>
      </c>
      <c r="G382" s="32"/>
      <c r="H382" s="32"/>
      <c r="I382" s="32"/>
      <c r="J382" s="32"/>
      <c r="K382" s="35"/>
      <c r="L382" s="32"/>
      <c r="M382" s="32"/>
    </row>
    <row r="383" customFormat="false" ht="15" hidden="false" customHeight="true" outlineLevel="0" collapsed="false">
      <c r="A383" s="32"/>
      <c r="B383" s="32"/>
      <c r="C383" s="32"/>
      <c r="D383" s="32"/>
      <c r="E383" s="34" t="str">
        <f aca="false">IF($B383="","",IF($B383="OUT","Liters",IFERROR(INDEX(Setup!$F$3:$F$24,MATCH($C383,Setup!$A$3:$A$24,0)),"")))</f>
        <v/>
      </c>
      <c r="F383" s="28" t="str">
        <f aca="false">IF(OR($D383="",$E383=""),"",IFERROR($D383*INDEX(Setup!$B$27:$B$44,MATCH($E383,Setup!$A$27:$A$44,0)),"TBD"))</f>
        <v/>
      </c>
      <c r="G383" s="32"/>
      <c r="H383" s="32"/>
      <c r="I383" s="32"/>
      <c r="J383" s="32"/>
      <c r="K383" s="35"/>
      <c r="L383" s="32"/>
      <c r="M383" s="32"/>
    </row>
    <row r="384" customFormat="false" ht="15" hidden="false" customHeight="true" outlineLevel="0" collapsed="false">
      <c r="A384" s="32"/>
      <c r="B384" s="32"/>
      <c r="C384" s="32"/>
      <c r="D384" s="32"/>
      <c r="E384" s="34" t="str">
        <f aca="false">IF($B384="","",IF($B384="OUT","Liters",IFERROR(INDEX(Setup!$F$3:$F$24,MATCH($C384,Setup!$A$3:$A$24,0)),"")))</f>
        <v/>
      </c>
      <c r="F384" s="28" t="str">
        <f aca="false">IF(OR($D384="",$E384=""),"",IFERROR($D384*INDEX(Setup!$B$27:$B$44,MATCH($E384,Setup!$A$27:$A$44,0)),"TBD"))</f>
        <v/>
      </c>
      <c r="G384" s="32"/>
      <c r="H384" s="32"/>
      <c r="I384" s="32"/>
      <c r="J384" s="32"/>
      <c r="K384" s="35"/>
      <c r="L384" s="32"/>
      <c r="M384" s="32"/>
    </row>
    <row r="385" customFormat="false" ht="15" hidden="false" customHeight="true" outlineLevel="0" collapsed="false">
      <c r="A385" s="32"/>
      <c r="B385" s="32"/>
      <c r="C385" s="32"/>
      <c r="D385" s="32"/>
      <c r="E385" s="34" t="str">
        <f aca="false">IF($B385="","",IF($B385="OUT","Liters",IFERROR(INDEX(Setup!$F$3:$F$24,MATCH($C385,Setup!$A$3:$A$24,0)),"")))</f>
        <v/>
      </c>
      <c r="F385" s="28" t="str">
        <f aca="false">IF(OR($D385="",$E385=""),"",IFERROR($D385*INDEX(Setup!$B$27:$B$44,MATCH($E385,Setup!$A$27:$A$44,0)),"TBD"))</f>
        <v/>
      </c>
      <c r="G385" s="32"/>
      <c r="H385" s="32"/>
      <c r="I385" s="32"/>
      <c r="J385" s="32"/>
      <c r="K385" s="35"/>
      <c r="L385" s="32"/>
      <c r="M385" s="32"/>
    </row>
    <row r="386" customFormat="false" ht="15" hidden="false" customHeight="true" outlineLevel="0" collapsed="false">
      <c r="A386" s="32"/>
      <c r="B386" s="32"/>
      <c r="C386" s="32"/>
      <c r="D386" s="32"/>
      <c r="E386" s="34" t="str">
        <f aca="false">IF($B386="","",IF($B386="OUT","Liters",IFERROR(INDEX(Setup!$F$3:$F$24,MATCH($C386,Setup!$A$3:$A$24,0)),"")))</f>
        <v/>
      </c>
      <c r="F386" s="28" t="str">
        <f aca="false">IF(OR($D386="",$E386=""),"",IFERROR($D386*INDEX(Setup!$B$27:$B$44,MATCH($E386,Setup!$A$27:$A$44,0)),"TBD"))</f>
        <v/>
      </c>
      <c r="G386" s="32"/>
      <c r="H386" s="32"/>
      <c r="I386" s="32"/>
      <c r="J386" s="32"/>
      <c r="K386" s="35"/>
      <c r="L386" s="32"/>
      <c r="M386" s="32"/>
    </row>
    <row r="387" customFormat="false" ht="15" hidden="false" customHeight="true" outlineLevel="0" collapsed="false">
      <c r="A387" s="32"/>
      <c r="B387" s="32"/>
      <c r="C387" s="32"/>
      <c r="D387" s="32"/>
      <c r="E387" s="34" t="str">
        <f aca="false">IF($B387="","",IF($B387="OUT","Liters",IFERROR(INDEX(Setup!$F$3:$F$24,MATCH($C387,Setup!$A$3:$A$24,0)),"")))</f>
        <v/>
      </c>
      <c r="F387" s="28" t="str">
        <f aca="false">IF(OR($D387="",$E387=""),"",IFERROR($D387*INDEX(Setup!$B$27:$B$44,MATCH($E387,Setup!$A$27:$A$44,0)),"TBD"))</f>
        <v/>
      </c>
      <c r="G387" s="32"/>
      <c r="H387" s="32"/>
      <c r="I387" s="32"/>
      <c r="J387" s="32"/>
      <c r="K387" s="35"/>
      <c r="L387" s="32"/>
      <c r="M387" s="32"/>
    </row>
    <row r="388" customFormat="false" ht="15" hidden="false" customHeight="true" outlineLevel="0" collapsed="false">
      <c r="A388" s="32"/>
      <c r="B388" s="32"/>
      <c r="C388" s="32"/>
      <c r="D388" s="32"/>
      <c r="E388" s="34" t="str">
        <f aca="false">IF($B388="","",IF($B388="OUT","Liters",IFERROR(INDEX(Setup!$F$3:$F$24,MATCH($C388,Setup!$A$3:$A$24,0)),"")))</f>
        <v/>
      </c>
      <c r="F388" s="28" t="str">
        <f aca="false">IF(OR($D388="",$E388=""),"",IFERROR($D388*INDEX(Setup!$B$27:$B$44,MATCH($E388,Setup!$A$27:$A$44,0)),"TBD"))</f>
        <v/>
      </c>
      <c r="G388" s="32"/>
      <c r="H388" s="32"/>
      <c r="I388" s="32"/>
      <c r="J388" s="32"/>
      <c r="K388" s="35"/>
      <c r="L388" s="32"/>
      <c r="M388" s="32"/>
    </row>
    <row r="389" customFormat="false" ht="15" hidden="false" customHeight="true" outlineLevel="0" collapsed="false">
      <c r="A389" s="32"/>
      <c r="B389" s="32"/>
      <c r="C389" s="32"/>
      <c r="D389" s="32"/>
      <c r="E389" s="34" t="str">
        <f aca="false">IF($B389="","",IF($B389="OUT","Liters",IFERROR(INDEX(Setup!$F$3:$F$24,MATCH($C389,Setup!$A$3:$A$24,0)),"")))</f>
        <v/>
      </c>
      <c r="F389" s="28" t="str">
        <f aca="false">IF(OR($D389="",$E389=""),"",IFERROR($D389*INDEX(Setup!$B$27:$B$44,MATCH($E389,Setup!$A$27:$A$44,0)),"TBD"))</f>
        <v/>
      </c>
      <c r="G389" s="32"/>
      <c r="H389" s="32"/>
      <c r="I389" s="32"/>
      <c r="J389" s="32"/>
      <c r="K389" s="35"/>
      <c r="L389" s="32"/>
      <c r="M389" s="32"/>
    </row>
    <row r="390" customFormat="false" ht="15" hidden="false" customHeight="true" outlineLevel="0" collapsed="false">
      <c r="A390" s="32"/>
      <c r="B390" s="32"/>
      <c r="C390" s="32"/>
      <c r="D390" s="32"/>
      <c r="E390" s="34" t="str">
        <f aca="false">IF($B390="","",IF($B390="OUT","Liters",IFERROR(INDEX(Setup!$F$3:$F$24,MATCH($C390,Setup!$A$3:$A$24,0)),"")))</f>
        <v/>
      </c>
      <c r="F390" s="28" t="str">
        <f aca="false">IF(OR($D390="",$E390=""),"",IFERROR($D390*INDEX(Setup!$B$27:$B$44,MATCH($E390,Setup!$A$27:$A$44,0)),"TBD"))</f>
        <v/>
      </c>
      <c r="G390" s="32"/>
      <c r="H390" s="32"/>
      <c r="I390" s="32"/>
      <c r="J390" s="32"/>
      <c r="K390" s="35"/>
      <c r="L390" s="32"/>
      <c r="M390" s="32"/>
    </row>
    <row r="391" customFormat="false" ht="15" hidden="false" customHeight="true" outlineLevel="0" collapsed="false">
      <c r="A391" s="32"/>
      <c r="B391" s="32"/>
      <c r="C391" s="32"/>
      <c r="D391" s="32"/>
      <c r="E391" s="34" t="str">
        <f aca="false">IF($B391="","",IF($B391="OUT","Liters",IFERROR(INDEX(Setup!$F$3:$F$24,MATCH($C391,Setup!$A$3:$A$24,0)),"")))</f>
        <v/>
      </c>
      <c r="F391" s="28" t="str">
        <f aca="false">IF(OR($D391="",$E391=""),"",IFERROR($D391*INDEX(Setup!$B$27:$B$44,MATCH($E391,Setup!$A$27:$A$44,0)),"TBD"))</f>
        <v/>
      </c>
      <c r="G391" s="32"/>
      <c r="H391" s="32"/>
      <c r="I391" s="32"/>
      <c r="J391" s="32"/>
      <c r="K391" s="35"/>
      <c r="L391" s="32"/>
      <c r="M391" s="32"/>
    </row>
    <row r="392" customFormat="false" ht="15" hidden="false" customHeight="true" outlineLevel="0" collapsed="false">
      <c r="A392" s="32"/>
      <c r="B392" s="32"/>
      <c r="C392" s="32"/>
      <c r="D392" s="32"/>
      <c r="E392" s="34" t="str">
        <f aca="false">IF($B392="","",IF($B392="OUT","Liters",IFERROR(INDEX(Setup!$F$3:$F$24,MATCH($C392,Setup!$A$3:$A$24,0)),"")))</f>
        <v/>
      </c>
      <c r="F392" s="28" t="str">
        <f aca="false">IF(OR($D392="",$E392=""),"",IFERROR($D392*INDEX(Setup!$B$27:$B$44,MATCH($E392,Setup!$A$27:$A$44,0)),"TBD"))</f>
        <v/>
      </c>
      <c r="G392" s="32"/>
      <c r="H392" s="32"/>
      <c r="I392" s="32"/>
      <c r="J392" s="32"/>
      <c r="K392" s="35"/>
      <c r="L392" s="32"/>
      <c r="M392" s="32"/>
    </row>
    <row r="393" customFormat="false" ht="15" hidden="false" customHeight="true" outlineLevel="0" collapsed="false">
      <c r="A393" s="32"/>
      <c r="B393" s="32"/>
      <c r="C393" s="32"/>
      <c r="D393" s="32"/>
      <c r="E393" s="34" t="str">
        <f aca="false">IF($B393="","",IF($B393="OUT","Liters",IFERROR(INDEX(Setup!$F$3:$F$24,MATCH($C393,Setup!$A$3:$A$24,0)),"")))</f>
        <v/>
      </c>
      <c r="F393" s="28" t="str">
        <f aca="false">IF(OR($D393="",$E393=""),"",IFERROR($D393*INDEX(Setup!$B$27:$B$44,MATCH($E393,Setup!$A$27:$A$44,0)),"TBD"))</f>
        <v/>
      </c>
      <c r="G393" s="32"/>
      <c r="H393" s="32"/>
      <c r="I393" s="32"/>
      <c r="J393" s="32"/>
      <c r="K393" s="35"/>
      <c r="L393" s="32"/>
      <c r="M393" s="32"/>
    </row>
    <row r="394" customFormat="false" ht="15" hidden="false" customHeight="true" outlineLevel="0" collapsed="false">
      <c r="A394" s="32"/>
      <c r="B394" s="32"/>
      <c r="C394" s="32"/>
      <c r="D394" s="32"/>
      <c r="E394" s="34" t="str">
        <f aca="false">IF($B394="","",IF($B394="OUT","Liters",IFERROR(INDEX(Setup!$F$3:$F$24,MATCH($C394,Setup!$A$3:$A$24,0)),"")))</f>
        <v/>
      </c>
      <c r="F394" s="28" t="str">
        <f aca="false">IF(OR($D394="",$E394=""),"",IFERROR($D394*INDEX(Setup!$B$27:$B$44,MATCH($E394,Setup!$A$27:$A$44,0)),"TBD"))</f>
        <v/>
      </c>
      <c r="G394" s="32"/>
      <c r="H394" s="32"/>
      <c r="I394" s="32"/>
      <c r="J394" s="32"/>
      <c r="K394" s="35"/>
      <c r="L394" s="32"/>
      <c r="M394" s="32"/>
    </row>
    <row r="395" customFormat="false" ht="15" hidden="false" customHeight="true" outlineLevel="0" collapsed="false">
      <c r="A395" s="32"/>
      <c r="B395" s="32"/>
      <c r="C395" s="32"/>
      <c r="D395" s="32"/>
      <c r="E395" s="34" t="str">
        <f aca="false">IF($B395="","",IF($B395="OUT","Liters",IFERROR(INDEX(Setup!$F$3:$F$24,MATCH($C395,Setup!$A$3:$A$24,0)),"")))</f>
        <v/>
      </c>
      <c r="F395" s="28" t="str">
        <f aca="false">IF(OR($D395="",$E395=""),"",IFERROR($D395*INDEX(Setup!$B$27:$B$44,MATCH($E395,Setup!$A$27:$A$44,0)),"TBD"))</f>
        <v/>
      </c>
      <c r="G395" s="32"/>
      <c r="H395" s="32"/>
      <c r="I395" s="32"/>
      <c r="J395" s="32"/>
      <c r="K395" s="35"/>
      <c r="L395" s="32"/>
      <c r="M395" s="32"/>
    </row>
    <row r="396" customFormat="false" ht="15" hidden="false" customHeight="true" outlineLevel="0" collapsed="false">
      <c r="A396" s="32"/>
      <c r="B396" s="32"/>
      <c r="C396" s="32"/>
      <c r="D396" s="32"/>
      <c r="E396" s="34" t="str">
        <f aca="false">IF($B396="","",IF($B396="OUT","Liters",IFERROR(INDEX(Setup!$F$3:$F$24,MATCH($C396,Setup!$A$3:$A$24,0)),"")))</f>
        <v/>
      </c>
      <c r="F396" s="28" t="str">
        <f aca="false">IF(OR($D396="",$E396=""),"",IFERROR($D396*INDEX(Setup!$B$27:$B$44,MATCH($E396,Setup!$A$27:$A$44,0)),"TBD"))</f>
        <v/>
      </c>
      <c r="G396" s="32"/>
      <c r="H396" s="32"/>
      <c r="I396" s="32"/>
      <c r="J396" s="32"/>
      <c r="K396" s="35"/>
      <c r="L396" s="32"/>
      <c r="M396" s="32"/>
    </row>
    <row r="397" customFormat="false" ht="15" hidden="false" customHeight="true" outlineLevel="0" collapsed="false">
      <c r="A397" s="32"/>
      <c r="B397" s="32"/>
      <c r="C397" s="32"/>
      <c r="D397" s="32"/>
      <c r="E397" s="34" t="str">
        <f aca="false">IF($B397="","",IF($B397="OUT","Liters",IFERROR(INDEX(Setup!$F$3:$F$24,MATCH($C397,Setup!$A$3:$A$24,0)),"")))</f>
        <v/>
      </c>
      <c r="F397" s="28" t="str">
        <f aca="false">IF(OR($D397="",$E397=""),"",IFERROR($D397*INDEX(Setup!$B$27:$B$44,MATCH($E397,Setup!$A$27:$A$44,0)),"TBD"))</f>
        <v/>
      </c>
      <c r="G397" s="32"/>
      <c r="H397" s="32"/>
      <c r="I397" s="32"/>
      <c r="J397" s="32"/>
      <c r="K397" s="35"/>
      <c r="L397" s="32"/>
      <c r="M397" s="32"/>
    </row>
    <row r="398" customFormat="false" ht="15" hidden="false" customHeight="true" outlineLevel="0" collapsed="false">
      <c r="A398" s="32"/>
      <c r="B398" s="32"/>
      <c r="C398" s="32"/>
      <c r="D398" s="32"/>
      <c r="E398" s="34" t="str">
        <f aca="false">IF($B398="","",IF($B398="OUT","Liters",IFERROR(INDEX(Setup!$F$3:$F$24,MATCH($C398,Setup!$A$3:$A$24,0)),"")))</f>
        <v/>
      </c>
      <c r="F398" s="28" t="str">
        <f aca="false">IF(OR($D398="",$E398=""),"",IFERROR($D398*INDEX(Setup!$B$27:$B$44,MATCH($E398,Setup!$A$27:$A$44,0)),"TBD"))</f>
        <v/>
      </c>
      <c r="G398" s="32"/>
      <c r="H398" s="32"/>
      <c r="I398" s="32"/>
      <c r="J398" s="32"/>
      <c r="K398" s="35"/>
      <c r="L398" s="32"/>
      <c r="M398" s="32"/>
    </row>
    <row r="399" customFormat="false" ht="15" hidden="false" customHeight="true" outlineLevel="0" collapsed="false">
      <c r="A399" s="32"/>
      <c r="B399" s="32"/>
      <c r="C399" s="32"/>
      <c r="D399" s="32"/>
      <c r="E399" s="34" t="str">
        <f aca="false">IF($B399="","",IF($B399="OUT","Liters",IFERROR(INDEX(Setup!$F$3:$F$24,MATCH($C399,Setup!$A$3:$A$24,0)),"")))</f>
        <v/>
      </c>
      <c r="F399" s="28" t="str">
        <f aca="false">IF(OR($D399="",$E399=""),"",IFERROR($D399*INDEX(Setup!$B$27:$B$44,MATCH($E399,Setup!$A$27:$A$44,0)),"TBD"))</f>
        <v/>
      </c>
      <c r="G399" s="32"/>
      <c r="H399" s="32"/>
      <c r="I399" s="32"/>
      <c r="J399" s="32"/>
      <c r="K399" s="35"/>
      <c r="L399" s="32"/>
      <c r="M399" s="32"/>
    </row>
    <row r="400" customFormat="false" ht="15" hidden="false" customHeight="true" outlineLevel="0" collapsed="false">
      <c r="A400" s="32"/>
      <c r="B400" s="32"/>
      <c r="C400" s="32"/>
      <c r="D400" s="32"/>
      <c r="E400" s="34" t="str">
        <f aca="false">IF($B400="","",IF($B400="OUT","Liters",IFERROR(INDEX(Setup!$F$3:$F$24,MATCH($C400,Setup!$A$3:$A$24,0)),"")))</f>
        <v/>
      </c>
      <c r="F400" s="28" t="str">
        <f aca="false">IF(OR($D400="",$E400=""),"",IFERROR($D400*INDEX(Setup!$B$27:$B$44,MATCH($E400,Setup!$A$27:$A$44,0)),"TBD"))</f>
        <v/>
      </c>
      <c r="G400" s="32"/>
      <c r="H400" s="32"/>
      <c r="I400" s="32"/>
      <c r="J400" s="32"/>
      <c r="K400" s="35"/>
      <c r="L400" s="32"/>
      <c r="M400" s="32"/>
    </row>
    <row r="401" customFormat="false" ht="15" hidden="false" customHeight="true" outlineLevel="0" collapsed="false">
      <c r="A401" s="32"/>
      <c r="B401" s="32"/>
      <c r="C401" s="32"/>
      <c r="D401" s="32"/>
      <c r="E401" s="34" t="str">
        <f aca="false">IF($B401="","",IF($B401="OUT","Liters",IFERROR(INDEX(Setup!$F$3:$F$24,MATCH($C401,Setup!$A$3:$A$24,0)),"")))</f>
        <v/>
      </c>
      <c r="F401" s="28" t="str">
        <f aca="false">IF(OR($D401="",$E401=""),"",IFERROR($D401*INDEX(Setup!$B$27:$B$44,MATCH($E401,Setup!$A$27:$A$44,0)),"TBD"))</f>
        <v/>
      </c>
      <c r="G401" s="32"/>
      <c r="H401" s="32"/>
      <c r="I401" s="32"/>
      <c r="J401" s="32"/>
      <c r="K401" s="35"/>
      <c r="L401" s="32"/>
      <c r="M401" s="32"/>
    </row>
    <row r="402" customFormat="false" ht="15" hidden="false" customHeight="true" outlineLevel="0" collapsed="false">
      <c r="A402" s="32"/>
      <c r="B402" s="32"/>
      <c r="C402" s="32"/>
      <c r="D402" s="32"/>
      <c r="E402" s="34" t="str">
        <f aca="false">IF($B402="","",IF($B402="OUT","Liters",IFERROR(INDEX(Setup!$F$3:$F$24,MATCH($C402,Setup!$A$3:$A$24,0)),"")))</f>
        <v/>
      </c>
      <c r="F402" s="28" t="str">
        <f aca="false">IF(OR($D402="",$E402=""),"",IFERROR($D402*INDEX(Setup!$B$27:$B$44,MATCH($E402,Setup!$A$27:$A$44,0)),"TBD"))</f>
        <v/>
      </c>
      <c r="G402" s="32"/>
      <c r="H402" s="32"/>
      <c r="I402" s="32"/>
      <c r="J402" s="32"/>
      <c r="K402" s="35"/>
      <c r="L402" s="32"/>
      <c r="M402" s="32"/>
    </row>
    <row r="403" customFormat="false" ht="15" hidden="false" customHeight="true" outlineLevel="0" collapsed="false">
      <c r="A403" s="32"/>
      <c r="B403" s="32"/>
      <c r="C403" s="32"/>
      <c r="D403" s="32"/>
      <c r="E403" s="34" t="str">
        <f aca="false">IF($B403="","",IF($B403="OUT","Liters",IFERROR(INDEX(Setup!$F$3:$F$24,MATCH($C403,Setup!$A$3:$A$24,0)),"")))</f>
        <v/>
      </c>
      <c r="F403" s="28" t="str">
        <f aca="false">IF(OR($D403="",$E403=""),"",IFERROR($D403*INDEX(Setup!$B$27:$B$44,MATCH($E403,Setup!$A$27:$A$44,0)),"TBD"))</f>
        <v/>
      </c>
      <c r="G403" s="32"/>
      <c r="H403" s="32"/>
      <c r="I403" s="32"/>
      <c r="J403" s="32"/>
      <c r="K403" s="35"/>
      <c r="L403" s="32"/>
      <c r="M403" s="32"/>
    </row>
    <row r="404" customFormat="false" ht="15" hidden="false" customHeight="true" outlineLevel="0" collapsed="false">
      <c r="A404" s="32"/>
      <c r="B404" s="32"/>
      <c r="C404" s="32"/>
      <c r="D404" s="32"/>
      <c r="E404" s="34" t="str">
        <f aca="false">IF($B404="","",IF($B404="OUT","Liters",IFERROR(INDEX(Setup!$F$3:$F$24,MATCH($C404,Setup!$A$3:$A$24,0)),"")))</f>
        <v/>
      </c>
      <c r="F404" s="28" t="str">
        <f aca="false">IF(OR($D404="",$E404=""),"",IFERROR($D404*INDEX(Setup!$B$27:$B$44,MATCH($E404,Setup!$A$27:$A$44,0)),"TBD"))</f>
        <v/>
      </c>
      <c r="G404" s="32"/>
      <c r="H404" s="32"/>
      <c r="I404" s="32"/>
      <c r="J404" s="32"/>
      <c r="K404" s="35"/>
      <c r="L404" s="32"/>
      <c r="M404" s="32"/>
    </row>
    <row r="405" customFormat="false" ht="15" hidden="false" customHeight="true" outlineLevel="0" collapsed="false">
      <c r="A405" s="32"/>
      <c r="B405" s="32"/>
      <c r="C405" s="32"/>
      <c r="D405" s="32"/>
      <c r="E405" s="34" t="str">
        <f aca="false">IF($B405="","",IF($B405="OUT","Liters",IFERROR(INDEX(Setup!$F$3:$F$24,MATCH($C405,Setup!$A$3:$A$24,0)),"")))</f>
        <v/>
      </c>
      <c r="F405" s="28" t="str">
        <f aca="false">IF(OR($D405="",$E405=""),"",IFERROR($D405*INDEX(Setup!$B$27:$B$44,MATCH($E405,Setup!$A$27:$A$44,0)),"TBD"))</f>
        <v/>
      </c>
      <c r="G405" s="32"/>
      <c r="H405" s="32"/>
      <c r="I405" s="32"/>
      <c r="J405" s="32"/>
      <c r="K405" s="35"/>
      <c r="L405" s="32"/>
      <c r="M405" s="32"/>
    </row>
    <row r="406" customFormat="false" ht="15" hidden="false" customHeight="true" outlineLevel="0" collapsed="false">
      <c r="A406" s="32"/>
      <c r="B406" s="32"/>
      <c r="C406" s="32"/>
      <c r="D406" s="32"/>
      <c r="E406" s="34" t="str">
        <f aca="false">IF($B406="","",IF($B406="OUT","Liters",IFERROR(INDEX(Setup!$F$3:$F$24,MATCH($C406,Setup!$A$3:$A$24,0)),"")))</f>
        <v/>
      </c>
      <c r="F406" s="28" t="str">
        <f aca="false">IF(OR($D406="",$E406=""),"",IFERROR($D406*INDEX(Setup!$B$27:$B$44,MATCH($E406,Setup!$A$27:$A$44,0)),"TBD"))</f>
        <v/>
      </c>
      <c r="G406" s="32"/>
      <c r="H406" s="32"/>
      <c r="I406" s="32"/>
      <c r="J406" s="32"/>
      <c r="K406" s="35"/>
      <c r="L406" s="32"/>
      <c r="M406" s="32"/>
    </row>
    <row r="407" customFormat="false" ht="15" hidden="false" customHeight="true" outlineLevel="0" collapsed="false">
      <c r="A407" s="32"/>
      <c r="B407" s="32"/>
      <c r="C407" s="32"/>
      <c r="D407" s="32"/>
      <c r="E407" s="34" t="str">
        <f aca="false">IF($B407="","",IF($B407="OUT","Liters",IFERROR(INDEX(Setup!$F$3:$F$24,MATCH($C407,Setup!$A$3:$A$24,0)),"")))</f>
        <v/>
      </c>
      <c r="F407" s="28" t="str">
        <f aca="false">IF(OR($D407="",$E407=""),"",IFERROR($D407*INDEX(Setup!$B$27:$B$44,MATCH($E407,Setup!$A$27:$A$44,0)),"TBD"))</f>
        <v/>
      </c>
      <c r="G407" s="32"/>
      <c r="H407" s="32"/>
      <c r="I407" s="32"/>
      <c r="J407" s="32"/>
      <c r="K407" s="35"/>
      <c r="L407" s="32"/>
      <c r="M407" s="32"/>
    </row>
    <row r="408" customFormat="false" ht="15" hidden="false" customHeight="true" outlineLevel="0" collapsed="false">
      <c r="A408" s="32"/>
      <c r="B408" s="32"/>
      <c r="C408" s="32"/>
      <c r="D408" s="32"/>
      <c r="E408" s="34" t="str">
        <f aca="false">IF($B408="","",IF($B408="OUT","Liters",IFERROR(INDEX(Setup!$F$3:$F$24,MATCH($C408,Setup!$A$3:$A$24,0)),"")))</f>
        <v/>
      </c>
      <c r="F408" s="28" t="str">
        <f aca="false">IF(OR($D408="",$E408=""),"",IFERROR($D408*INDEX(Setup!$B$27:$B$44,MATCH($E408,Setup!$A$27:$A$44,0)),"TBD"))</f>
        <v/>
      </c>
      <c r="G408" s="32"/>
      <c r="H408" s="32"/>
      <c r="I408" s="32"/>
      <c r="J408" s="32"/>
      <c r="K408" s="35"/>
      <c r="L408" s="32"/>
      <c r="M408" s="32"/>
    </row>
    <row r="409" customFormat="false" ht="15" hidden="false" customHeight="true" outlineLevel="0" collapsed="false">
      <c r="A409" s="32"/>
      <c r="B409" s="32"/>
      <c r="C409" s="32"/>
      <c r="D409" s="32"/>
      <c r="E409" s="34" t="str">
        <f aca="false">IF($B409="","",IF($B409="OUT","Liters",IFERROR(INDEX(Setup!$F$3:$F$24,MATCH($C409,Setup!$A$3:$A$24,0)),"")))</f>
        <v/>
      </c>
      <c r="F409" s="28" t="str">
        <f aca="false">IF(OR($D409="",$E409=""),"",IFERROR($D409*INDEX(Setup!$B$27:$B$44,MATCH($E409,Setup!$A$27:$A$44,0)),"TBD"))</f>
        <v/>
      </c>
      <c r="G409" s="32"/>
      <c r="H409" s="32"/>
      <c r="I409" s="32"/>
      <c r="J409" s="32"/>
      <c r="K409" s="35"/>
      <c r="L409" s="32"/>
      <c r="M409" s="32"/>
    </row>
    <row r="410" customFormat="false" ht="15" hidden="false" customHeight="true" outlineLevel="0" collapsed="false">
      <c r="A410" s="32"/>
      <c r="B410" s="32"/>
      <c r="C410" s="32"/>
      <c r="D410" s="32"/>
      <c r="E410" s="34" t="str">
        <f aca="false">IF($B410="","",IF($B410="OUT","Liters",IFERROR(INDEX(Setup!$F$3:$F$24,MATCH($C410,Setup!$A$3:$A$24,0)),"")))</f>
        <v/>
      </c>
      <c r="F410" s="28" t="str">
        <f aca="false">IF(OR($D410="",$E410=""),"",IFERROR($D410*INDEX(Setup!$B$27:$B$44,MATCH($E410,Setup!$A$27:$A$44,0)),"TBD"))</f>
        <v/>
      </c>
      <c r="G410" s="32"/>
      <c r="H410" s="32"/>
      <c r="I410" s="32"/>
      <c r="J410" s="32"/>
      <c r="K410" s="35"/>
      <c r="L410" s="32"/>
      <c r="M410" s="32"/>
    </row>
    <row r="411" customFormat="false" ht="15" hidden="false" customHeight="true" outlineLevel="0" collapsed="false">
      <c r="A411" s="32"/>
      <c r="B411" s="32"/>
      <c r="C411" s="32"/>
      <c r="D411" s="32"/>
      <c r="E411" s="34" t="str">
        <f aca="false">IF($B411="","",IF($B411="OUT","Liters",IFERROR(INDEX(Setup!$F$3:$F$24,MATCH($C411,Setup!$A$3:$A$24,0)),"")))</f>
        <v/>
      </c>
      <c r="F411" s="28" t="str">
        <f aca="false">IF(OR($D411="",$E411=""),"",IFERROR($D411*INDEX(Setup!$B$27:$B$44,MATCH($E411,Setup!$A$27:$A$44,0)),"TBD"))</f>
        <v/>
      </c>
      <c r="G411" s="32"/>
      <c r="H411" s="32"/>
      <c r="I411" s="32"/>
      <c r="J411" s="32"/>
      <c r="K411" s="35"/>
      <c r="L411" s="32"/>
      <c r="M411" s="32"/>
    </row>
    <row r="412" customFormat="false" ht="15" hidden="false" customHeight="true" outlineLevel="0" collapsed="false">
      <c r="A412" s="32"/>
      <c r="B412" s="32"/>
      <c r="C412" s="32"/>
      <c r="D412" s="32"/>
      <c r="E412" s="34" t="str">
        <f aca="false">IF($B412="","",IF($B412="OUT","Liters",IFERROR(INDEX(Setup!$F$3:$F$24,MATCH($C412,Setup!$A$3:$A$24,0)),"")))</f>
        <v/>
      </c>
      <c r="F412" s="28" t="str">
        <f aca="false">IF(OR($D412="",$E412=""),"",IFERROR($D412*INDEX(Setup!$B$27:$B$44,MATCH($E412,Setup!$A$27:$A$44,0)),"TBD"))</f>
        <v/>
      </c>
      <c r="G412" s="32"/>
      <c r="H412" s="32"/>
      <c r="I412" s="32"/>
      <c r="J412" s="32"/>
      <c r="K412" s="35"/>
      <c r="L412" s="32"/>
      <c r="M412" s="32"/>
    </row>
    <row r="413" customFormat="false" ht="15" hidden="false" customHeight="true" outlineLevel="0" collapsed="false">
      <c r="A413" s="32"/>
      <c r="B413" s="32"/>
      <c r="C413" s="32"/>
      <c r="D413" s="32"/>
      <c r="E413" s="34" t="str">
        <f aca="false">IF($B413="","",IF($B413="OUT","Liters",IFERROR(INDEX(Setup!$F$3:$F$24,MATCH($C413,Setup!$A$3:$A$24,0)),"")))</f>
        <v/>
      </c>
      <c r="F413" s="28" t="str">
        <f aca="false">IF(OR($D413="",$E413=""),"",IFERROR($D413*INDEX(Setup!$B$27:$B$44,MATCH($E413,Setup!$A$27:$A$44,0)),"TBD"))</f>
        <v/>
      </c>
      <c r="G413" s="32"/>
      <c r="H413" s="32"/>
      <c r="I413" s="32"/>
      <c r="J413" s="32"/>
      <c r="K413" s="35"/>
      <c r="L413" s="32"/>
      <c r="M413" s="32"/>
    </row>
    <row r="414" customFormat="false" ht="15" hidden="false" customHeight="true" outlineLevel="0" collapsed="false">
      <c r="A414" s="32"/>
      <c r="B414" s="32"/>
      <c r="C414" s="32"/>
      <c r="D414" s="32"/>
      <c r="E414" s="34" t="str">
        <f aca="false">IF($B414="","",IF($B414="OUT","Liters",IFERROR(INDEX(Setup!$F$3:$F$24,MATCH($C414,Setup!$A$3:$A$24,0)),"")))</f>
        <v/>
      </c>
      <c r="F414" s="28" t="str">
        <f aca="false">IF(OR($D414="",$E414=""),"",IFERROR($D414*INDEX(Setup!$B$27:$B$44,MATCH($E414,Setup!$A$27:$A$44,0)),"TBD"))</f>
        <v/>
      </c>
      <c r="G414" s="32"/>
      <c r="H414" s="32"/>
      <c r="I414" s="32"/>
      <c r="J414" s="32"/>
      <c r="K414" s="35"/>
      <c r="L414" s="32"/>
      <c r="M414" s="32"/>
    </row>
    <row r="415" customFormat="false" ht="15" hidden="false" customHeight="true" outlineLevel="0" collapsed="false">
      <c r="A415" s="32"/>
      <c r="B415" s="32"/>
      <c r="C415" s="32"/>
      <c r="D415" s="32"/>
      <c r="E415" s="34" t="str">
        <f aca="false">IF($B415="","",IF($B415="OUT","Liters",IFERROR(INDEX(Setup!$F$3:$F$24,MATCH($C415,Setup!$A$3:$A$24,0)),"")))</f>
        <v/>
      </c>
      <c r="F415" s="28" t="str">
        <f aca="false">IF(OR($D415="",$E415=""),"",IFERROR($D415*INDEX(Setup!$B$27:$B$44,MATCH($E415,Setup!$A$27:$A$44,0)),"TBD"))</f>
        <v/>
      </c>
      <c r="G415" s="32"/>
      <c r="H415" s="32"/>
      <c r="I415" s="32"/>
      <c r="J415" s="32"/>
      <c r="K415" s="35"/>
      <c r="L415" s="32"/>
      <c r="M415" s="32"/>
    </row>
    <row r="416" customFormat="false" ht="15" hidden="false" customHeight="true" outlineLevel="0" collapsed="false">
      <c r="A416" s="32"/>
      <c r="B416" s="32"/>
      <c r="C416" s="32"/>
      <c r="D416" s="32"/>
      <c r="E416" s="34" t="str">
        <f aca="false">IF($B416="","",IF($B416="OUT","Liters",IFERROR(INDEX(Setup!$F$3:$F$24,MATCH($C416,Setup!$A$3:$A$24,0)),"")))</f>
        <v/>
      </c>
      <c r="F416" s="28" t="str">
        <f aca="false">IF(OR($D416="",$E416=""),"",IFERROR($D416*INDEX(Setup!$B$27:$B$44,MATCH($E416,Setup!$A$27:$A$44,0)),"TBD"))</f>
        <v/>
      </c>
      <c r="G416" s="32"/>
      <c r="H416" s="32"/>
      <c r="I416" s="32"/>
      <c r="J416" s="32"/>
      <c r="K416" s="35"/>
      <c r="L416" s="32"/>
      <c r="M416" s="32"/>
    </row>
    <row r="417" customFormat="false" ht="15" hidden="false" customHeight="true" outlineLevel="0" collapsed="false">
      <c r="A417" s="32"/>
      <c r="B417" s="32"/>
      <c r="C417" s="32"/>
      <c r="D417" s="32"/>
      <c r="E417" s="34" t="str">
        <f aca="false">IF($B417="","",IF($B417="OUT","Liters",IFERROR(INDEX(Setup!$F$3:$F$24,MATCH($C417,Setup!$A$3:$A$24,0)),"")))</f>
        <v/>
      </c>
      <c r="F417" s="28" t="str">
        <f aca="false">IF(OR($D417="",$E417=""),"",IFERROR($D417*INDEX(Setup!$B$27:$B$44,MATCH($E417,Setup!$A$27:$A$44,0)),"TBD"))</f>
        <v/>
      </c>
      <c r="G417" s="32"/>
      <c r="H417" s="32"/>
      <c r="I417" s="32"/>
      <c r="J417" s="32"/>
      <c r="K417" s="35"/>
      <c r="L417" s="32"/>
      <c r="M417" s="32"/>
    </row>
    <row r="418" customFormat="false" ht="15" hidden="false" customHeight="true" outlineLevel="0" collapsed="false">
      <c r="A418" s="32"/>
      <c r="B418" s="32"/>
      <c r="C418" s="32"/>
      <c r="D418" s="32"/>
      <c r="E418" s="34" t="str">
        <f aca="false">IF($B418="","",IF($B418="OUT","Liters",IFERROR(INDEX(Setup!$F$3:$F$24,MATCH($C418,Setup!$A$3:$A$24,0)),"")))</f>
        <v/>
      </c>
      <c r="F418" s="28" t="str">
        <f aca="false">IF(OR($D418="",$E418=""),"",IFERROR($D418*INDEX(Setup!$B$27:$B$44,MATCH($E418,Setup!$A$27:$A$44,0)),"TBD"))</f>
        <v/>
      </c>
      <c r="G418" s="32"/>
      <c r="H418" s="32"/>
      <c r="I418" s="32"/>
      <c r="J418" s="32"/>
      <c r="K418" s="35"/>
      <c r="L418" s="32"/>
      <c r="M418" s="32"/>
    </row>
    <row r="419" customFormat="false" ht="15" hidden="false" customHeight="true" outlineLevel="0" collapsed="false">
      <c r="A419" s="32"/>
      <c r="B419" s="32"/>
      <c r="C419" s="32"/>
      <c r="D419" s="32"/>
      <c r="E419" s="34" t="str">
        <f aca="false">IF($B419="","",IF($B419="OUT","Liters",IFERROR(INDEX(Setup!$F$3:$F$24,MATCH($C419,Setup!$A$3:$A$24,0)),"")))</f>
        <v/>
      </c>
      <c r="F419" s="28" t="str">
        <f aca="false">IF(OR($D419="",$E419=""),"",IFERROR($D419*INDEX(Setup!$B$27:$B$44,MATCH($E419,Setup!$A$27:$A$44,0)),"TBD"))</f>
        <v/>
      </c>
      <c r="G419" s="32"/>
      <c r="H419" s="32"/>
      <c r="I419" s="32"/>
      <c r="J419" s="32"/>
      <c r="K419" s="35"/>
      <c r="L419" s="32"/>
      <c r="M419" s="32"/>
    </row>
    <row r="420" customFormat="false" ht="15" hidden="false" customHeight="true" outlineLevel="0" collapsed="false">
      <c r="A420" s="32"/>
      <c r="B420" s="32"/>
      <c r="C420" s="32"/>
      <c r="D420" s="32"/>
      <c r="E420" s="34" t="str">
        <f aca="false">IF($B420="","",IF($B420="OUT","Liters",IFERROR(INDEX(Setup!$F$3:$F$24,MATCH($C420,Setup!$A$3:$A$24,0)),"")))</f>
        <v/>
      </c>
      <c r="F420" s="28" t="str">
        <f aca="false">IF(OR($D420="",$E420=""),"",IFERROR($D420*INDEX(Setup!$B$27:$B$44,MATCH($E420,Setup!$A$27:$A$44,0)),"TBD"))</f>
        <v/>
      </c>
      <c r="G420" s="32"/>
      <c r="H420" s="32"/>
      <c r="I420" s="32"/>
      <c r="J420" s="32"/>
      <c r="K420" s="35"/>
      <c r="L420" s="32"/>
      <c r="M420" s="32"/>
    </row>
    <row r="421" customFormat="false" ht="15" hidden="false" customHeight="true" outlineLevel="0" collapsed="false">
      <c r="A421" s="32"/>
      <c r="B421" s="32"/>
      <c r="C421" s="32"/>
      <c r="D421" s="32"/>
      <c r="E421" s="34" t="str">
        <f aca="false">IF($B421="","",IF($B421="OUT","Liters",IFERROR(INDEX(Setup!$F$3:$F$24,MATCH($C421,Setup!$A$3:$A$24,0)),"")))</f>
        <v/>
      </c>
      <c r="F421" s="28" t="str">
        <f aca="false">IF(OR($D421="",$E421=""),"",IFERROR($D421*INDEX(Setup!$B$27:$B$44,MATCH($E421,Setup!$A$27:$A$44,0)),"TBD"))</f>
        <v/>
      </c>
      <c r="G421" s="32"/>
      <c r="H421" s="32"/>
      <c r="I421" s="32"/>
      <c r="J421" s="32"/>
      <c r="K421" s="35"/>
      <c r="L421" s="32"/>
      <c r="M421" s="32"/>
    </row>
    <row r="422" customFormat="false" ht="15" hidden="false" customHeight="true" outlineLevel="0" collapsed="false">
      <c r="A422" s="32"/>
      <c r="B422" s="32"/>
      <c r="C422" s="32"/>
      <c r="D422" s="32"/>
      <c r="E422" s="34" t="str">
        <f aca="false">IF($B422="","",IF($B422="OUT","Liters",IFERROR(INDEX(Setup!$F$3:$F$24,MATCH($C422,Setup!$A$3:$A$24,0)),"")))</f>
        <v/>
      </c>
      <c r="F422" s="28" t="str">
        <f aca="false">IF(OR($D422="",$E422=""),"",IFERROR($D422*INDEX(Setup!$B$27:$B$44,MATCH($E422,Setup!$A$27:$A$44,0)),"TBD"))</f>
        <v/>
      </c>
      <c r="G422" s="32"/>
      <c r="H422" s="32"/>
      <c r="I422" s="32"/>
      <c r="J422" s="32"/>
      <c r="K422" s="35"/>
      <c r="L422" s="32"/>
      <c r="M422" s="32"/>
    </row>
    <row r="423" customFormat="false" ht="15" hidden="false" customHeight="true" outlineLevel="0" collapsed="false">
      <c r="A423" s="32"/>
      <c r="B423" s="32"/>
      <c r="C423" s="32"/>
      <c r="D423" s="32"/>
      <c r="E423" s="34" t="str">
        <f aca="false">IF($B423="","",IF($B423="OUT","Liters",IFERROR(INDEX(Setup!$F$3:$F$24,MATCH($C423,Setup!$A$3:$A$24,0)),"")))</f>
        <v/>
      </c>
      <c r="F423" s="28" t="str">
        <f aca="false">IF(OR($D423="",$E423=""),"",IFERROR($D423*INDEX(Setup!$B$27:$B$44,MATCH($E423,Setup!$A$27:$A$44,0)),"TBD"))</f>
        <v/>
      </c>
      <c r="G423" s="32"/>
      <c r="H423" s="32"/>
      <c r="I423" s="32"/>
      <c r="J423" s="32"/>
      <c r="K423" s="35"/>
      <c r="L423" s="32"/>
      <c r="M423" s="32"/>
    </row>
    <row r="424" customFormat="false" ht="15" hidden="false" customHeight="true" outlineLevel="0" collapsed="false">
      <c r="A424" s="32"/>
      <c r="B424" s="32"/>
      <c r="C424" s="32"/>
      <c r="D424" s="32"/>
      <c r="E424" s="34" t="str">
        <f aca="false">IF($B424="","",IF($B424="OUT","Liters",IFERROR(INDEX(Setup!$F$3:$F$24,MATCH($C424,Setup!$A$3:$A$24,0)),"")))</f>
        <v/>
      </c>
      <c r="F424" s="28" t="str">
        <f aca="false">IF(OR($D424="",$E424=""),"",IFERROR($D424*INDEX(Setup!$B$27:$B$44,MATCH($E424,Setup!$A$27:$A$44,0)),"TBD"))</f>
        <v/>
      </c>
      <c r="G424" s="32"/>
      <c r="H424" s="32"/>
      <c r="I424" s="32"/>
      <c r="J424" s="32"/>
      <c r="K424" s="35"/>
      <c r="L424" s="32"/>
      <c r="M424" s="32"/>
    </row>
    <row r="425" customFormat="false" ht="15" hidden="false" customHeight="true" outlineLevel="0" collapsed="false">
      <c r="A425" s="32"/>
      <c r="B425" s="32"/>
      <c r="C425" s="32"/>
      <c r="D425" s="32"/>
      <c r="E425" s="34" t="str">
        <f aca="false">IF($B425="","",IF($B425="OUT","Liters",IFERROR(INDEX(Setup!$F$3:$F$24,MATCH($C425,Setup!$A$3:$A$24,0)),"")))</f>
        <v/>
      </c>
      <c r="F425" s="28" t="str">
        <f aca="false">IF(OR($D425="",$E425=""),"",IFERROR($D425*INDEX(Setup!$B$27:$B$44,MATCH($E425,Setup!$A$27:$A$44,0)),"TBD"))</f>
        <v/>
      </c>
      <c r="G425" s="32"/>
      <c r="H425" s="32"/>
      <c r="I425" s="32"/>
      <c r="J425" s="32"/>
      <c r="K425" s="35"/>
      <c r="L425" s="32"/>
      <c r="M425" s="32"/>
    </row>
    <row r="426" customFormat="false" ht="15" hidden="false" customHeight="true" outlineLevel="0" collapsed="false">
      <c r="A426" s="32"/>
      <c r="B426" s="32"/>
      <c r="C426" s="32"/>
      <c r="D426" s="32"/>
      <c r="E426" s="34" t="str">
        <f aca="false">IF($B426="","",IF($B426="OUT","Liters",IFERROR(INDEX(Setup!$F$3:$F$24,MATCH($C426,Setup!$A$3:$A$24,0)),"")))</f>
        <v/>
      </c>
      <c r="F426" s="28" t="str">
        <f aca="false">IF(OR($D426="",$E426=""),"",IFERROR($D426*INDEX(Setup!$B$27:$B$44,MATCH($E426,Setup!$A$27:$A$44,0)),"TBD"))</f>
        <v/>
      </c>
      <c r="G426" s="32"/>
      <c r="H426" s="32"/>
      <c r="I426" s="32"/>
      <c r="J426" s="32"/>
      <c r="K426" s="35"/>
      <c r="L426" s="32"/>
      <c r="M426" s="32"/>
    </row>
    <row r="427" customFormat="false" ht="15" hidden="false" customHeight="true" outlineLevel="0" collapsed="false">
      <c r="A427" s="32"/>
      <c r="B427" s="32"/>
      <c r="C427" s="32"/>
      <c r="D427" s="32"/>
      <c r="E427" s="34" t="str">
        <f aca="false">IF($B427="","",IF($B427="OUT","Liters",IFERROR(INDEX(Setup!$F$3:$F$24,MATCH($C427,Setup!$A$3:$A$24,0)),"")))</f>
        <v/>
      </c>
      <c r="F427" s="28" t="str">
        <f aca="false">IF(OR($D427="",$E427=""),"",IFERROR($D427*INDEX(Setup!$B$27:$B$44,MATCH($E427,Setup!$A$27:$A$44,0)),"TBD"))</f>
        <v/>
      </c>
      <c r="G427" s="32"/>
      <c r="H427" s="32"/>
      <c r="I427" s="32"/>
      <c r="J427" s="32"/>
      <c r="K427" s="35"/>
      <c r="L427" s="32"/>
      <c r="M427" s="32"/>
    </row>
    <row r="428" customFormat="false" ht="15" hidden="false" customHeight="true" outlineLevel="0" collapsed="false">
      <c r="A428" s="32"/>
      <c r="B428" s="32"/>
      <c r="C428" s="32"/>
      <c r="D428" s="32"/>
      <c r="E428" s="34" t="str">
        <f aca="false">IF($B428="","",IF($B428="OUT","Liters",IFERROR(INDEX(Setup!$F$3:$F$24,MATCH($C428,Setup!$A$3:$A$24,0)),"")))</f>
        <v/>
      </c>
      <c r="F428" s="28" t="str">
        <f aca="false">IF(OR($D428="",$E428=""),"",IFERROR($D428*INDEX(Setup!$B$27:$B$44,MATCH($E428,Setup!$A$27:$A$44,0)),"TBD"))</f>
        <v/>
      </c>
      <c r="G428" s="32"/>
      <c r="H428" s="32"/>
      <c r="I428" s="32"/>
      <c r="J428" s="32"/>
      <c r="K428" s="35"/>
      <c r="L428" s="32"/>
      <c r="M428" s="32"/>
    </row>
    <row r="429" customFormat="false" ht="15" hidden="false" customHeight="true" outlineLevel="0" collapsed="false">
      <c r="A429" s="32"/>
      <c r="B429" s="32"/>
      <c r="C429" s="32"/>
      <c r="D429" s="32"/>
      <c r="E429" s="34" t="str">
        <f aca="false">IF($B429="","",IF($B429="OUT","Liters",IFERROR(INDEX(Setup!$F$3:$F$24,MATCH($C429,Setup!$A$3:$A$24,0)),"")))</f>
        <v/>
      </c>
      <c r="F429" s="28" t="str">
        <f aca="false">IF(OR($D429="",$E429=""),"",IFERROR($D429*INDEX(Setup!$B$27:$B$44,MATCH($E429,Setup!$A$27:$A$44,0)),"TBD"))</f>
        <v/>
      </c>
      <c r="G429" s="32"/>
      <c r="H429" s="32"/>
      <c r="I429" s="32"/>
      <c r="J429" s="32"/>
      <c r="K429" s="35"/>
      <c r="L429" s="32"/>
      <c r="M429" s="32"/>
    </row>
    <row r="430" customFormat="false" ht="15" hidden="false" customHeight="true" outlineLevel="0" collapsed="false">
      <c r="A430" s="32"/>
      <c r="B430" s="32"/>
      <c r="C430" s="32"/>
      <c r="D430" s="32"/>
      <c r="E430" s="34" t="str">
        <f aca="false">IF($B430="","",IF($B430="OUT","Liters",IFERROR(INDEX(Setup!$F$3:$F$24,MATCH($C430,Setup!$A$3:$A$24,0)),"")))</f>
        <v/>
      </c>
      <c r="F430" s="28" t="str">
        <f aca="false">IF(OR($D430="",$E430=""),"",IFERROR($D430*INDEX(Setup!$B$27:$B$44,MATCH($E430,Setup!$A$27:$A$44,0)),"TBD"))</f>
        <v/>
      </c>
      <c r="G430" s="32"/>
      <c r="H430" s="32"/>
      <c r="I430" s="32"/>
      <c r="J430" s="32"/>
      <c r="K430" s="35"/>
      <c r="L430" s="32"/>
      <c r="M430" s="32"/>
    </row>
    <row r="431" customFormat="false" ht="15" hidden="false" customHeight="true" outlineLevel="0" collapsed="false">
      <c r="A431" s="32"/>
      <c r="B431" s="32"/>
      <c r="C431" s="32"/>
      <c r="D431" s="32"/>
      <c r="E431" s="34" t="str">
        <f aca="false">IF($B431="","",IF($B431="OUT","Liters",IFERROR(INDEX(Setup!$F$3:$F$24,MATCH($C431,Setup!$A$3:$A$24,0)),"")))</f>
        <v/>
      </c>
      <c r="F431" s="28" t="str">
        <f aca="false">IF(OR($D431="",$E431=""),"",IFERROR($D431*INDEX(Setup!$B$27:$B$44,MATCH($E431,Setup!$A$27:$A$44,0)),"TBD"))</f>
        <v/>
      </c>
      <c r="G431" s="32"/>
      <c r="H431" s="32"/>
      <c r="I431" s="32"/>
      <c r="J431" s="32"/>
      <c r="K431" s="35"/>
      <c r="L431" s="32"/>
      <c r="M431" s="32"/>
    </row>
    <row r="432" customFormat="false" ht="15" hidden="false" customHeight="true" outlineLevel="0" collapsed="false">
      <c r="A432" s="32"/>
      <c r="B432" s="32"/>
      <c r="C432" s="32"/>
      <c r="D432" s="32"/>
      <c r="E432" s="34" t="str">
        <f aca="false">IF($B432="","",IF($B432="OUT","Liters",IFERROR(INDEX(Setup!$F$3:$F$24,MATCH($C432,Setup!$A$3:$A$24,0)),"")))</f>
        <v/>
      </c>
      <c r="F432" s="28" t="str">
        <f aca="false">IF(OR($D432="",$E432=""),"",IFERROR($D432*INDEX(Setup!$B$27:$B$44,MATCH($E432,Setup!$A$27:$A$44,0)),"TBD"))</f>
        <v/>
      </c>
      <c r="G432" s="32"/>
      <c r="H432" s="32"/>
      <c r="I432" s="32"/>
      <c r="J432" s="32"/>
      <c r="K432" s="35"/>
      <c r="L432" s="32"/>
      <c r="M432" s="32"/>
    </row>
    <row r="433" customFormat="false" ht="15" hidden="false" customHeight="true" outlineLevel="0" collapsed="false">
      <c r="A433" s="32"/>
      <c r="B433" s="32"/>
      <c r="C433" s="32"/>
      <c r="D433" s="32"/>
      <c r="E433" s="34" t="str">
        <f aca="false">IF($B433="","",IF($B433="OUT","Liters",IFERROR(INDEX(Setup!$F$3:$F$24,MATCH($C433,Setup!$A$3:$A$24,0)),"")))</f>
        <v/>
      </c>
      <c r="F433" s="28" t="str">
        <f aca="false">IF(OR($D433="",$E433=""),"",IFERROR($D433*INDEX(Setup!$B$27:$B$44,MATCH($E433,Setup!$A$27:$A$44,0)),"TBD"))</f>
        <v/>
      </c>
      <c r="G433" s="32"/>
      <c r="H433" s="32"/>
      <c r="I433" s="32"/>
      <c r="J433" s="32"/>
      <c r="K433" s="35"/>
      <c r="L433" s="32"/>
      <c r="M433" s="32"/>
    </row>
    <row r="434" customFormat="false" ht="15" hidden="false" customHeight="true" outlineLevel="0" collapsed="false">
      <c r="A434" s="32"/>
      <c r="B434" s="32"/>
      <c r="C434" s="32"/>
      <c r="D434" s="32"/>
      <c r="E434" s="34" t="str">
        <f aca="false">IF($B434="","",IF($B434="OUT","Liters",IFERROR(INDEX(Setup!$F$3:$F$24,MATCH($C434,Setup!$A$3:$A$24,0)),"")))</f>
        <v/>
      </c>
      <c r="F434" s="28" t="str">
        <f aca="false">IF(OR($D434="",$E434=""),"",IFERROR($D434*INDEX(Setup!$B$27:$B$44,MATCH($E434,Setup!$A$27:$A$44,0)),"TBD"))</f>
        <v/>
      </c>
      <c r="G434" s="32"/>
      <c r="H434" s="32"/>
      <c r="I434" s="32"/>
      <c r="J434" s="32"/>
      <c r="K434" s="35"/>
      <c r="L434" s="32"/>
      <c r="M434" s="32"/>
    </row>
    <row r="435" customFormat="false" ht="15" hidden="false" customHeight="true" outlineLevel="0" collapsed="false">
      <c r="A435" s="32"/>
      <c r="B435" s="32"/>
      <c r="C435" s="32"/>
      <c r="D435" s="32"/>
      <c r="E435" s="34" t="str">
        <f aca="false">IF($B435="","",IF($B435="OUT","Liters",IFERROR(INDEX(Setup!$F$3:$F$24,MATCH($C435,Setup!$A$3:$A$24,0)),"")))</f>
        <v/>
      </c>
      <c r="F435" s="28" t="str">
        <f aca="false">IF(OR($D435="",$E435=""),"",IFERROR($D435*INDEX(Setup!$B$27:$B$44,MATCH($E435,Setup!$A$27:$A$44,0)),"TBD"))</f>
        <v/>
      </c>
      <c r="G435" s="32"/>
      <c r="H435" s="32"/>
      <c r="I435" s="32"/>
      <c r="J435" s="32"/>
      <c r="K435" s="35"/>
      <c r="L435" s="32"/>
      <c r="M435" s="32"/>
    </row>
    <row r="436" customFormat="false" ht="15" hidden="false" customHeight="true" outlineLevel="0" collapsed="false">
      <c r="A436" s="32"/>
      <c r="B436" s="32"/>
      <c r="C436" s="32"/>
      <c r="D436" s="32"/>
      <c r="E436" s="34" t="str">
        <f aca="false">IF($B436="","",IF($B436="OUT","Liters",IFERROR(INDEX(Setup!$F$3:$F$24,MATCH($C436,Setup!$A$3:$A$24,0)),"")))</f>
        <v/>
      </c>
      <c r="F436" s="28" t="str">
        <f aca="false">IF(OR($D436="",$E436=""),"",IFERROR($D436*INDEX(Setup!$B$27:$B$44,MATCH($E436,Setup!$A$27:$A$44,0)),"TBD"))</f>
        <v/>
      </c>
      <c r="G436" s="32"/>
      <c r="H436" s="32"/>
      <c r="I436" s="32"/>
      <c r="J436" s="32"/>
      <c r="K436" s="35"/>
      <c r="L436" s="32"/>
      <c r="M436" s="32"/>
    </row>
    <row r="437" customFormat="false" ht="15" hidden="false" customHeight="true" outlineLevel="0" collapsed="false">
      <c r="A437" s="32"/>
      <c r="B437" s="32"/>
      <c r="C437" s="32"/>
      <c r="D437" s="32"/>
      <c r="E437" s="34" t="str">
        <f aca="false">IF($B437="","",IF($B437="OUT","Liters",IFERROR(INDEX(Setup!$F$3:$F$24,MATCH($C437,Setup!$A$3:$A$24,0)),"")))</f>
        <v/>
      </c>
      <c r="F437" s="28" t="str">
        <f aca="false">IF(OR($D437="",$E437=""),"",IFERROR($D437*INDEX(Setup!$B$27:$B$44,MATCH($E437,Setup!$A$27:$A$44,0)),"TBD"))</f>
        <v/>
      </c>
      <c r="G437" s="32"/>
      <c r="H437" s="32"/>
      <c r="I437" s="32"/>
      <c r="J437" s="32"/>
      <c r="K437" s="35"/>
      <c r="L437" s="32"/>
      <c r="M437" s="32"/>
    </row>
    <row r="438" customFormat="false" ht="15" hidden="false" customHeight="true" outlineLevel="0" collapsed="false">
      <c r="A438" s="32"/>
      <c r="B438" s="32"/>
      <c r="C438" s="32"/>
      <c r="D438" s="32"/>
      <c r="E438" s="34" t="str">
        <f aca="false">IF($B438="","",IF($B438="OUT","Liters",IFERROR(INDEX(Setup!$F$3:$F$24,MATCH($C438,Setup!$A$3:$A$24,0)),"")))</f>
        <v/>
      </c>
      <c r="F438" s="28" t="str">
        <f aca="false">IF(OR($D438="",$E438=""),"",IFERROR($D438*INDEX(Setup!$B$27:$B$44,MATCH($E438,Setup!$A$27:$A$44,0)),"TBD"))</f>
        <v/>
      </c>
      <c r="G438" s="32"/>
      <c r="H438" s="32"/>
      <c r="I438" s="32"/>
      <c r="J438" s="32"/>
      <c r="K438" s="35"/>
      <c r="L438" s="32"/>
      <c r="M438" s="32"/>
    </row>
    <row r="439" customFormat="false" ht="15" hidden="false" customHeight="true" outlineLevel="0" collapsed="false">
      <c r="A439" s="32"/>
      <c r="B439" s="32"/>
      <c r="C439" s="32"/>
      <c r="D439" s="32"/>
      <c r="E439" s="34" t="str">
        <f aca="false">IF($B439="","",IF($B439="OUT","Liters",IFERROR(INDEX(Setup!$F$3:$F$24,MATCH($C439,Setup!$A$3:$A$24,0)),"")))</f>
        <v/>
      </c>
      <c r="F439" s="28" t="str">
        <f aca="false">IF(OR($D439="",$E439=""),"",IFERROR($D439*INDEX(Setup!$B$27:$B$44,MATCH($E439,Setup!$A$27:$A$44,0)),"TBD"))</f>
        <v/>
      </c>
      <c r="G439" s="32"/>
      <c r="H439" s="32"/>
      <c r="I439" s="32"/>
      <c r="J439" s="32"/>
      <c r="K439" s="35"/>
      <c r="L439" s="32"/>
      <c r="M439" s="32"/>
    </row>
    <row r="440" customFormat="false" ht="15" hidden="false" customHeight="true" outlineLevel="0" collapsed="false">
      <c r="A440" s="32"/>
      <c r="B440" s="32"/>
      <c r="C440" s="32"/>
      <c r="D440" s="32"/>
      <c r="E440" s="34" t="str">
        <f aca="false">IF($B440="","",IF($B440="OUT","Liters",IFERROR(INDEX(Setup!$F$3:$F$24,MATCH($C440,Setup!$A$3:$A$24,0)),"")))</f>
        <v/>
      </c>
      <c r="F440" s="28" t="str">
        <f aca="false">IF(OR($D440="",$E440=""),"",IFERROR($D440*INDEX(Setup!$B$27:$B$44,MATCH($E440,Setup!$A$27:$A$44,0)),"TBD"))</f>
        <v/>
      </c>
      <c r="G440" s="32"/>
      <c r="H440" s="32"/>
      <c r="I440" s="32"/>
      <c r="J440" s="32"/>
      <c r="K440" s="35"/>
      <c r="L440" s="32"/>
      <c r="M440" s="32"/>
    </row>
    <row r="441" customFormat="false" ht="15" hidden="false" customHeight="true" outlineLevel="0" collapsed="false">
      <c r="A441" s="32"/>
      <c r="B441" s="32"/>
      <c r="C441" s="32"/>
      <c r="D441" s="32"/>
      <c r="E441" s="34" t="str">
        <f aca="false">IF($B441="","",IF($B441="OUT","Liters",IFERROR(INDEX(Setup!$F$3:$F$24,MATCH($C441,Setup!$A$3:$A$24,0)),"")))</f>
        <v/>
      </c>
      <c r="F441" s="28" t="str">
        <f aca="false">IF(OR($D441="",$E441=""),"",IFERROR($D441*INDEX(Setup!$B$27:$B$44,MATCH($E441,Setup!$A$27:$A$44,0)),"TBD"))</f>
        <v/>
      </c>
      <c r="G441" s="32"/>
      <c r="H441" s="32"/>
      <c r="I441" s="32"/>
      <c r="J441" s="32"/>
      <c r="K441" s="35"/>
      <c r="L441" s="32"/>
      <c r="M441" s="32"/>
    </row>
    <row r="442" customFormat="false" ht="15" hidden="false" customHeight="true" outlineLevel="0" collapsed="false">
      <c r="A442" s="32"/>
      <c r="B442" s="32"/>
      <c r="C442" s="32"/>
      <c r="D442" s="32"/>
      <c r="E442" s="34" t="str">
        <f aca="false">IF($B442="","",IF($B442="OUT","Liters",IFERROR(INDEX(Setup!$F$3:$F$24,MATCH($C442,Setup!$A$3:$A$24,0)),"")))</f>
        <v/>
      </c>
      <c r="F442" s="28" t="str">
        <f aca="false">IF(OR($D442="",$E442=""),"",IFERROR($D442*INDEX(Setup!$B$27:$B$44,MATCH($E442,Setup!$A$27:$A$44,0)),"TBD"))</f>
        <v/>
      </c>
      <c r="G442" s="32"/>
      <c r="H442" s="32"/>
      <c r="I442" s="32"/>
      <c r="J442" s="32"/>
      <c r="K442" s="35"/>
      <c r="L442" s="32"/>
      <c r="M442" s="32"/>
    </row>
    <row r="443" customFormat="false" ht="15" hidden="false" customHeight="true" outlineLevel="0" collapsed="false">
      <c r="A443" s="32"/>
      <c r="B443" s="32"/>
      <c r="C443" s="32"/>
      <c r="D443" s="32"/>
      <c r="E443" s="34" t="str">
        <f aca="false">IF($B443="","",IF($B443="OUT","Liters",IFERROR(INDEX(Setup!$F$3:$F$24,MATCH($C443,Setup!$A$3:$A$24,0)),"")))</f>
        <v/>
      </c>
      <c r="F443" s="28" t="str">
        <f aca="false">IF(OR($D443="",$E443=""),"",IFERROR($D443*INDEX(Setup!$B$27:$B$44,MATCH($E443,Setup!$A$27:$A$44,0)),"TBD"))</f>
        <v/>
      </c>
      <c r="G443" s="32"/>
      <c r="H443" s="32"/>
      <c r="I443" s="32"/>
      <c r="J443" s="32"/>
      <c r="K443" s="35"/>
      <c r="L443" s="32"/>
      <c r="M443" s="32"/>
    </row>
    <row r="444" customFormat="false" ht="15" hidden="false" customHeight="true" outlineLevel="0" collapsed="false">
      <c r="A444" s="32"/>
      <c r="B444" s="32"/>
      <c r="C444" s="32"/>
      <c r="D444" s="32"/>
      <c r="E444" s="34" t="str">
        <f aca="false">IF($B444="","",IF($B444="OUT","Liters",IFERROR(INDEX(Setup!$F$3:$F$24,MATCH($C444,Setup!$A$3:$A$24,0)),"")))</f>
        <v/>
      </c>
      <c r="F444" s="28" t="str">
        <f aca="false">IF(OR($D444="",$E444=""),"",IFERROR($D444*INDEX(Setup!$B$27:$B$44,MATCH($E444,Setup!$A$27:$A$44,0)),"TBD"))</f>
        <v/>
      </c>
      <c r="G444" s="32"/>
      <c r="H444" s="32"/>
      <c r="I444" s="32"/>
      <c r="J444" s="32"/>
      <c r="K444" s="35"/>
      <c r="L444" s="32"/>
      <c r="M444" s="32"/>
    </row>
    <row r="445" customFormat="false" ht="15" hidden="false" customHeight="true" outlineLevel="0" collapsed="false">
      <c r="A445" s="32"/>
      <c r="B445" s="32"/>
      <c r="C445" s="32"/>
      <c r="D445" s="32"/>
      <c r="E445" s="34" t="str">
        <f aca="false">IF($B445="","",IF($B445="OUT","Liters",IFERROR(INDEX(Setup!$F$3:$F$24,MATCH($C445,Setup!$A$3:$A$24,0)),"")))</f>
        <v/>
      </c>
      <c r="F445" s="28" t="str">
        <f aca="false">IF(OR($D445="",$E445=""),"",IFERROR($D445*INDEX(Setup!$B$27:$B$44,MATCH($E445,Setup!$A$27:$A$44,0)),"TBD"))</f>
        <v/>
      </c>
      <c r="G445" s="32"/>
      <c r="H445" s="32"/>
      <c r="I445" s="32"/>
      <c r="J445" s="32"/>
      <c r="K445" s="35"/>
      <c r="L445" s="32"/>
      <c r="M445" s="32"/>
    </row>
    <row r="446" customFormat="false" ht="15" hidden="false" customHeight="true" outlineLevel="0" collapsed="false">
      <c r="A446" s="32"/>
      <c r="B446" s="32"/>
      <c r="C446" s="32"/>
      <c r="D446" s="32"/>
      <c r="E446" s="34" t="str">
        <f aca="false">IF($B446="","",IF($B446="OUT","Liters",IFERROR(INDEX(Setup!$F$3:$F$24,MATCH($C446,Setup!$A$3:$A$24,0)),"")))</f>
        <v/>
      </c>
      <c r="F446" s="28" t="str">
        <f aca="false">IF(OR($D446="",$E446=""),"",IFERROR($D446*INDEX(Setup!$B$27:$B$44,MATCH($E446,Setup!$A$27:$A$44,0)),"TBD"))</f>
        <v/>
      </c>
      <c r="G446" s="32"/>
      <c r="H446" s="32"/>
      <c r="I446" s="32"/>
      <c r="J446" s="32"/>
      <c r="K446" s="35"/>
      <c r="L446" s="32"/>
      <c r="M446" s="32"/>
    </row>
    <row r="447" customFormat="false" ht="15" hidden="false" customHeight="true" outlineLevel="0" collapsed="false">
      <c r="A447" s="32"/>
      <c r="B447" s="32"/>
      <c r="C447" s="32"/>
      <c r="D447" s="32"/>
      <c r="E447" s="34" t="str">
        <f aca="false">IF($B447="","",IF($B447="OUT","Liters",IFERROR(INDEX(Setup!$F$3:$F$24,MATCH($C447,Setup!$A$3:$A$24,0)),"")))</f>
        <v/>
      </c>
      <c r="F447" s="28" t="str">
        <f aca="false">IF(OR($D447="",$E447=""),"",IFERROR($D447*INDEX(Setup!$B$27:$B$44,MATCH($E447,Setup!$A$27:$A$44,0)),"TBD"))</f>
        <v/>
      </c>
      <c r="G447" s="32"/>
      <c r="H447" s="32"/>
      <c r="I447" s="32"/>
      <c r="J447" s="32"/>
      <c r="K447" s="35"/>
      <c r="L447" s="32"/>
      <c r="M447" s="32"/>
    </row>
    <row r="448" customFormat="false" ht="15" hidden="false" customHeight="true" outlineLevel="0" collapsed="false">
      <c r="A448" s="32"/>
      <c r="B448" s="32"/>
      <c r="C448" s="32"/>
      <c r="D448" s="32"/>
      <c r="E448" s="34" t="str">
        <f aca="false">IF($B448="","",IF($B448="OUT","Liters",IFERROR(INDEX(Setup!$F$3:$F$24,MATCH($C448,Setup!$A$3:$A$24,0)),"")))</f>
        <v/>
      </c>
      <c r="F448" s="28" t="str">
        <f aca="false">IF(OR($D448="",$E448=""),"",IFERROR($D448*INDEX(Setup!$B$27:$B$44,MATCH($E448,Setup!$A$27:$A$44,0)),"TBD"))</f>
        <v/>
      </c>
      <c r="G448" s="32"/>
      <c r="H448" s="32"/>
      <c r="I448" s="32"/>
      <c r="J448" s="32"/>
      <c r="K448" s="35"/>
      <c r="L448" s="32"/>
      <c r="M448" s="32"/>
    </row>
    <row r="449" customFormat="false" ht="15" hidden="false" customHeight="true" outlineLevel="0" collapsed="false">
      <c r="A449" s="32"/>
      <c r="B449" s="32"/>
      <c r="C449" s="32"/>
      <c r="D449" s="32"/>
      <c r="E449" s="34" t="str">
        <f aca="false">IF($B449="","",IF($B449="OUT","Liters",IFERROR(INDEX(Setup!$F$3:$F$24,MATCH($C449,Setup!$A$3:$A$24,0)),"")))</f>
        <v/>
      </c>
      <c r="F449" s="28" t="str">
        <f aca="false">IF(OR($D449="",$E449=""),"",IFERROR($D449*INDEX(Setup!$B$27:$B$44,MATCH($E449,Setup!$A$27:$A$44,0)),"TBD"))</f>
        <v/>
      </c>
      <c r="G449" s="32"/>
      <c r="H449" s="32"/>
      <c r="I449" s="32"/>
      <c r="J449" s="32"/>
      <c r="K449" s="35"/>
      <c r="L449" s="32"/>
      <c r="M449" s="32"/>
    </row>
    <row r="450" customFormat="false" ht="15" hidden="false" customHeight="true" outlineLevel="0" collapsed="false">
      <c r="A450" s="32"/>
      <c r="B450" s="32"/>
      <c r="C450" s="32"/>
      <c r="D450" s="32"/>
      <c r="E450" s="34" t="str">
        <f aca="false">IF($B450="","",IF($B450="OUT","Liters",IFERROR(INDEX(Setup!$F$3:$F$24,MATCH($C450,Setup!$A$3:$A$24,0)),"")))</f>
        <v/>
      </c>
      <c r="F450" s="28" t="str">
        <f aca="false">IF(OR($D450="",$E450=""),"",IFERROR($D450*INDEX(Setup!$B$27:$B$44,MATCH($E450,Setup!$A$27:$A$44,0)),"TBD"))</f>
        <v/>
      </c>
      <c r="G450" s="32"/>
      <c r="H450" s="32"/>
      <c r="I450" s="32"/>
      <c r="J450" s="32"/>
      <c r="K450" s="35"/>
      <c r="L450" s="32"/>
      <c r="M450" s="32"/>
    </row>
    <row r="451" customFormat="false" ht="15" hidden="false" customHeight="true" outlineLevel="0" collapsed="false">
      <c r="A451" s="32"/>
      <c r="B451" s="32"/>
      <c r="C451" s="32"/>
      <c r="D451" s="32"/>
      <c r="E451" s="34" t="str">
        <f aca="false">IF($B451="","",IF($B451="OUT","Liters",IFERROR(INDEX(Setup!$F$3:$F$24,MATCH($C451,Setup!$A$3:$A$24,0)),"")))</f>
        <v/>
      </c>
      <c r="F451" s="28" t="str">
        <f aca="false">IF(OR($D451="",$E451=""),"",IFERROR($D451*INDEX(Setup!$B$27:$B$44,MATCH($E451,Setup!$A$27:$A$44,0)),"TBD"))</f>
        <v/>
      </c>
      <c r="G451" s="32"/>
      <c r="H451" s="32"/>
      <c r="I451" s="32"/>
      <c r="J451" s="32"/>
      <c r="K451" s="35"/>
      <c r="L451" s="32"/>
      <c r="M451" s="32"/>
    </row>
    <row r="452" customFormat="false" ht="15" hidden="false" customHeight="true" outlineLevel="0" collapsed="false">
      <c r="A452" s="32"/>
      <c r="B452" s="32"/>
      <c r="C452" s="32"/>
      <c r="D452" s="32"/>
      <c r="E452" s="34" t="str">
        <f aca="false">IF($B452="","",IF($B452="OUT","Liters",IFERROR(INDEX(Setup!$F$3:$F$24,MATCH($C452,Setup!$A$3:$A$24,0)),"")))</f>
        <v/>
      </c>
      <c r="F452" s="28" t="str">
        <f aca="false">IF(OR($D452="",$E452=""),"",IFERROR($D452*INDEX(Setup!$B$27:$B$44,MATCH($E452,Setup!$A$27:$A$44,0)),"TBD"))</f>
        <v/>
      </c>
      <c r="G452" s="32"/>
      <c r="H452" s="32"/>
      <c r="I452" s="32"/>
      <c r="J452" s="32"/>
      <c r="K452" s="35"/>
      <c r="L452" s="32"/>
      <c r="M452" s="32"/>
    </row>
    <row r="453" customFormat="false" ht="15" hidden="false" customHeight="true" outlineLevel="0" collapsed="false">
      <c r="A453" s="32"/>
      <c r="B453" s="32"/>
      <c r="C453" s="32"/>
      <c r="D453" s="32"/>
      <c r="E453" s="34" t="str">
        <f aca="false">IF($B453="","",IF($B453="OUT","Liters",IFERROR(INDEX(Setup!$F$3:$F$24,MATCH($C453,Setup!$A$3:$A$24,0)),"")))</f>
        <v/>
      </c>
      <c r="F453" s="28" t="str">
        <f aca="false">IF(OR($D453="",$E453=""),"",IFERROR($D453*INDEX(Setup!$B$27:$B$44,MATCH($E453,Setup!$A$27:$A$44,0)),"TBD"))</f>
        <v/>
      </c>
      <c r="G453" s="32"/>
      <c r="H453" s="32"/>
      <c r="I453" s="32"/>
      <c r="J453" s="32"/>
      <c r="K453" s="35"/>
      <c r="L453" s="32"/>
      <c r="M453" s="32"/>
    </row>
    <row r="454" customFormat="false" ht="15" hidden="false" customHeight="true" outlineLevel="0" collapsed="false">
      <c r="A454" s="32"/>
      <c r="B454" s="32"/>
      <c r="C454" s="32"/>
      <c r="D454" s="32"/>
      <c r="E454" s="34" t="str">
        <f aca="false">IF($B454="","",IF($B454="OUT","Liters",IFERROR(INDEX(Setup!$F$3:$F$24,MATCH($C454,Setup!$A$3:$A$24,0)),"")))</f>
        <v/>
      </c>
      <c r="F454" s="28" t="str">
        <f aca="false">IF(OR($D454="",$E454=""),"",IFERROR($D454*INDEX(Setup!$B$27:$B$44,MATCH($E454,Setup!$A$27:$A$44,0)),"TBD"))</f>
        <v/>
      </c>
      <c r="G454" s="32"/>
      <c r="H454" s="32"/>
      <c r="I454" s="32"/>
      <c r="J454" s="32"/>
      <c r="K454" s="35"/>
      <c r="L454" s="32"/>
      <c r="M454" s="32"/>
    </row>
    <row r="455" customFormat="false" ht="15" hidden="false" customHeight="true" outlineLevel="0" collapsed="false">
      <c r="A455" s="32"/>
      <c r="B455" s="32"/>
      <c r="C455" s="32"/>
      <c r="D455" s="32"/>
      <c r="E455" s="34" t="str">
        <f aca="false">IF($B455="","",IF($B455="OUT","Liters",IFERROR(INDEX(Setup!$F$3:$F$24,MATCH($C455,Setup!$A$3:$A$24,0)),"")))</f>
        <v/>
      </c>
      <c r="F455" s="28" t="str">
        <f aca="false">IF(OR($D455="",$E455=""),"",IFERROR($D455*INDEX(Setup!$B$27:$B$44,MATCH($E455,Setup!$A$27:$A$44,0)),"TBD"))</f>
        <v/>
      </c>
      <c r="G455" s="32"/>
      <c r="H455" s="32"/>
      <c r="I455" s="32"/>
      <c r="J455" s="32"/>
      <c r="K455" s="35"/>
      <c r="L455" s="32"/>
      <c r="M455" s="32"/>
    </row>
    <row r="456" customFormat="false" ht="15" hidden="false" customHeight="true" outlineLevel="0" collapsed="false">
      <c r="A456" s="32"/>
      <c r="B456" s="32"/>
      <c r="C456" s="32"/>
      <c r="D456" s="32"/>
      <c r="E456" s="34" t="str">
        <f aca="false">IF($B456="","",IF($B456="OUT","Liters",IFERROR(INDEX(Setup!$F$3:$F$24,MATCH($C456,Setup!$A$3:$A$24,0)),"")))</f>
        <v/>
      </c>
      <c r="F456" s="28" t="str">
        <f aca="false">IF(OR($D456="",$E456=""),"",IFERROR($D456*INDEX(Setup!$B$27:$B$44,MATCH($E456,Setup!$A$27:$A$44,0)),"TBD"))</f>
        <v/>
      </c>
      <c r="G456" s="32"/>
      <c r="H456" s="32"/>
      <c r="I456" s="32"/>
      <c r="J456" s="32"/>
      <c r="K456" s="35"/>
      <c r="L456" s="32"/>
      <c r="M456" s="32"/>
    </row>
    <row r="457" customFormat="false" ht="15" hidden="false" customHeight="true" outlineLevel="0" collapsed="false">
      <c r="A457" s="32"/>
      <c r="B457" s="32"/>
      <c r="C457" s="32"/>
      <c r="D457" s="32"/>
      <c r="E457" s="34" t="str">
        <f aca="false">IF($B457="","",IF($B457="OUT","Liters",IFERROR(INDEX(Setup!$F$3:$F$24,MATCH($C457,Setup!$A$3:$A$24,0)),"")))</f>
        <v/>
      </c>
      <c r="F457" s="28" t="str">
        <f aca="false">IF(OR($D457="",$E457=""),"",IFERROR($D457*INDEX(Setup!$B$27:$B$44,MATCH($E457,Setup!$A$27:$A$44,0)),"TBD"))</f>
        <v/>
      </c>
      <c r="G457" s="32"/>
      <c r="H457" s="32"/>
      <c r="I457" s="32"/>
      <c r="J457" s="32"/>
      <c r="K457" s="35"/>
      <c r="L457" s="32"/>
      <c r="M457" s="32"/>
    </row>
    <row r="458" customFormat="false" ht="15" hidden="false" customHeight="true" outlineLevel="0" collapsed="false">
      <c r="A458" s="32"/>
      <c r="B458" s="32"/>
      <c r="C458" s="32"/>
      <c r="D458" s="32"/>
      <c r="E458" s="34" t="str">
        <f aca="false">IF($B458="","",IF($B458="OUT","Liters",IFERROR(INDEX(Setup!$F$3:$F$24,MATCH($C458,Setup!$A$3:$A$24,0)),"")))</f>
        <v/>
      </c>
      <c r="F458" s="28" t="str">
        <f aca="false">IF(OR($D458="",$E458=""),"",IFERROR($D458*INDEX(Setup!$B$27:$B$44,MATCH($E458,Setup!$A$27:$A$44,0)),"TBD"))</f>
        <v/>
      </c>
      <c r="G458" s="32"/>
      <c r="H458" s="32"/>
      <c r="I458" s="32"/>
      <c r="J458" s="32"/>
      <c r="K458" s="35"/>
      <c r="L458" s="32"/>
      <c r="M458" s="32"/>
    </row>
    <row r="459" customFormat="false" ht="15" hidden="false" customHeight="true" outlineLevel="0" collapsed="false">
      <c r="A459" s="32"/>
      <c r="B459" s="32"/>
      <c r="C459" s="32"/>
      <c r="D459" s="32"/>
      <c r="E459" s="34" t="str">
        <f aca="false">IF($B459="","",IF($B459="OUT","Liters",IFERROR(INDEX(Setup!$F$3:$F$24,MATCH($C459,Setup!$A$3:$A$24,0)),"")))</f>
        <v/>
      </c>
      <c r="F459" s="28" t="str">
        <f aca="false">IF(OR($D459="",$E459=""),"",IFERROR($D459*INDEX(Setup!$B$27:$B$44,MATCH($E459,Setup!$A$27:$A$44,0)),"TBD"))</f>
        <v/>
      </c>
      <c r="G459" s="32"/>
      <c r="H459" s="32"/>
      <c r="I459" s="32"/>
      <c r="J459" s="32"/>
      <c r="K459" s="35"/>
      <c r="L459" s="32"/>
      <c r="M459" s="32"/>
    </row>
    <row r="460" customFormat="false" ht="15" hidden="false" customHeight="true" outlineLevel="0" collapsed="false">
      <c r="A460" s="32"/>
      <c r="B460" s="32"/>
      <c r="C460" s="32"/>
      <c r="D460" s="32"/>
      <c r="E460" s="34" t="str">
        <f aca="false">IF($B460="","",IF($B460="OUT","Liters",IFERROR(INDEX(Setup!$F$3:$F$24,MATCH($C460,Setup!$A$3:$A$24,0)),"")))</f>
        <v/>
      </c>
      <c r="F460" s="28" t="str">
        <f aca="false">IF(OR($D460="",$E460=""),"",IFERROR($D460*INDEX(Setup!$B$27:$B$44,MATCH($E460,Setup!$A$27:$A$44,0)),"TBD"))</f>
        <v/>
      </c>
      <c r="G460" s="32"/>
      <c r="H460" s="32"/>
      <c r="I460" s="32"/>
      <c r="J460" s="32"/>
      <c r="K460" s="35"/>
      <c r="L460" s="32"/>
      <c r="M460" s="32"/>
    </row>
    <row r="461" customFormat="false" ht="15" hidden="false" customHeight="true" outlineLevel="0" collapsed="false">
      <c r="A461" s="32"/>
      <c r="B461" s="32"/>
      <c r="C461" s="32"/>
      <c r="D461" s="32"/>
      <c r="E461" s="34" t="str">
        <f aca="false">IF($B461="","",IF($B461="OUT","Liters",IFERROR(INDEX(Setup!$F$3:$F$24,MATCH($C461,Setup!$A$3:$A$24,0)),"")))</f>
        <v/>
      </c>
      <c r="F461" s="28" t="str">
        <f aca="false">IF(OR($D461="",$E461=""),"",IFERROR($D461*INDEX(Setup!$B$27:$B$44,MATCH($E461,Setup!$A$27:$A$44,0)),"TBD"))</f>
        <v/>
      </c>
      <c r="G461" s="32"/>
      <c r="H461" s="32"/>
      <c r="I461" s="32"/>
      <c r="J461" s="32"/>
      <c r="K461" s="35"/>
      <c r="L461" s="32"/>
      <c r="M461" s="32"/>
    </row>
    <row r="462" customFormat="false" ht="15" hidden="false" customHeight="true" outlineLevel="0" collapsed="false">
      <c r="A462" s="32"/>
      <c r="B462" s="32"/>
      <c r="C462" s="32"/>
      <c r="D462" s="32"/>
      <c r="E462" s="34" t="str">
        <f aca="false">IF($B462="","",IF($B462="OUT","Liters",IFERROR(INDEX(Setup!$F$3:$F$24,MATCH($C462,Setup!$A$3:$A$24,0)),"")))</f>
        <v/>
      </c>
      <c r="F462" s="28" t="str">
        <f aca="false">IF(OR($D462="",$E462=""),"",IFERROR($D462*INDEX(Setup!$B$27:$B$44,MATCH($E462,Setup!$A$27:$A$44,0)),"TBD"))</f>
        <v/>
      </c>
      <c r="G462" s="32"/>
      <c r="H462" s="32"/>
      <c r="I462" s="32"/>
      <c r="J462" s="32"/>
      <c r="K462" s="35"/>
      <c r="L462" s="32"/>
      <c r="M462" s="32"/>
    </row>
    <row r="463" customFormat="false" ht="15" hidden="false" customHeight="true" outlineLevel="0" collapsed="false">
      <c r="A463" s="32"/>
      <c r="B463" s="32"/>
      <c r="C463" s="32"/>
      <c r="D463" s="32"/>
      <c r="E463" s="34" t="str">
        <f aca="false">IF($B463="","",IF($B463="OUT","Liters",IFERROR(INDEX(Setup!$F$3:$F$24,MATCH($C463,Setup!$A$3:$A$24,0)),"")))</f>
        <v/>
      </c>
      <c r="F463" s="28" t="str">
        <f aca="false">IF(OR($D463="",$E463=""),"",IFERROR($D463*INDEX(Setup!$B$27:$B$44,MATCH($E463,Setup!$A$27:$A$44,0)),"TBD"))</f>
        <v/>
      </c>
      <c r="G463" s="32"/>
      <c r="H463" s="32"/>
      <c r="I463" s="32"/>
      <c r="J463" s="32"/>
      <c r="K463" s="35"/>
      <c r="L463" s="32"/>
      <c r="M463" s="32"/>
    </row>
    <row r="464" customFormat="false" ht="15" hidden="false" customHeight="true" outlineLevel="0" collapsed="false">
      <c r="A464" s="32"/>
      <c r="B464" s="32"/>
      <c r="C464" s="32"/>
      <c r="D464" s="32"/>
      <c r="E464" s="34" t="str">
        <f aca="false">IF($B464="","",IF($B464="OUT","Liters",IFERROR(INDEX(Setup!$F$3:$F$24,MATCH($C464,Setup!$A$3:$A$24,0)),"")))</f>
        <v/>
      </c>
      <c r="F464" s="28" t="str">
        <f aca="false">IF(OR($D464="",$E464=""),"",IFERROR($D464*INDEX(Setup!$B$27:$B$44,MATCH($E464,Setup!$A$27:$A$44,0)),"TBD"))</f>
        <v/>
      </c>
      <c r="G464" s="32"/>
      <c r="H464" s="32"/>
      <c r="I464" s="32"/>
      <c r="J464" s="32"/>
      <c r="K464" s="35"/>
      <c r="L464" s="32"/>
      <c r="M464" s="32"/>
    </row>
    <row r="465" customFormat="false" ht="15" hidden="false" customHeight="true" outlineLevel="0" collapsed="false">
      <c r="A465" s="32"/>
      <c r="B465" s="32"/>
      <c r="C465" s="32"/>
      <c r="D465" s="32"/>
      <c r="E465" s="34" t="str">
        <f aca="false">IF($B465="","",IF($B465="OUT","Liters",IFERROR(INDEX(Setup!$F$3:$F$24,MATCH($C465,Setup!$A$3:$A$24,0)),"")))</f>
        <v/>
      </c>
      <c r="F465" s="28" t="str">
        <f aca="false">IF(OR($D465="",$E465=""),"",IFERROR($D465*INDEX(Setup!$B$27:$B$44,MATCH($E465,Setup!$A$27:$A$44,0)),"TBD"))</f>
        <v/>
      </c>
      <c r="G465" s="32"/>
      <c r="H465" s="32"/>
      <c r="I465" s="32"/>
      <c r="J465" s="32"/>
      <c r="K465" s="35"/>
      <c r="L465" s="32"/>
      <c r="M465" s="32"/>
    </row>
    <row r="466" customFormat="false" ht="15" hidden="false" customHeight="true" outlineLevel="0" collapsed="false">
      <c r="A466" s="32"/>
      <c r="B466" s="32"/>
      <c r="C466" s="32"/>
      <c r="D466" s="32"/>
      <c r="E466" s="34" t="str">
        <f aca="false">IF($B466="","",IF($B466="OUT","Liters",IFERROR(INDEX(Setup!$F$3:$F$24,MATCH($C466,Setup!$A$3:$A$24,0)),"")))</f>
        <v/>
      </c>
      <c r="F466" s="28" t="str">
        <f aca="false">IF(OR($D466="",$E466=""),"",IFERROR($D466*INDEX(Setup!$B$27:$B$44,MATCH($E466,Setup!$A$27:$A$44,0)),"TBD"))</f>
        <v/>
      </c>
      <c r="G466" s="32"/>
      <c r="H466" s="32"/>
      <c r="I466" s="32"/>
      <c r="J466" s="32"/>
      <c r="K466" s="35"/>
      <c r="L466" s="32"/>
      <c r="M466" s="32"/>
    </row>
    <row r="467" customFormat="false" ht="15" hidden="false" customHeight="true" outlineLevel="0" collapsed="false">
      <c r="A467" s="32"/>
      <c r="B467" s="32"/>
      <c r="C467" s="32"/>
      <c r="D467" s="32"/>
      <c r="E467" s="34" t="str">
        <f aca="false">IF($B467="","",IF($B467="OUT","Liters",IFERROR(INDEX(Setup!$F$3:$F$24,MATCH($C467,Setup!$A$3:$A$24,0)),"")))</f>
        <v/>
      </c>
      <c r="F467" s="28" t="str">
        <f aca="false">IF(OR($D467="",$E467=""),"",IFERROR($D467*INDEX(Setup!$B$27:$B$44,MATCH($E467,Setup!$A$27:$A$44,0)),"TBD"))</f>
        <v/>
      </c>
      <c r="G467" s="32"/>
      <c r="H467" s="32"/>
      <c r="I467" s="32"/>
      <c r="J467" s="32"/>
      <c r="K467" s="35"/>
      <c r="L467" s="32"/>
      <c r="M467" s="32"/>
    </row>
    <row r="468" customFormat="false" ht="15" hidden="false" customHeight="true" outlineLevel="0" collapsed="false">
      <c r="A468" s="32"/>
      <c r="B468" s="32"/>
      <c r="C468" s="32"/>
      <c r="D468" s="32"/>
      <c r="E468" s="34" t="str">
        <f aca="false">IF($B468="","",IF($B468="OUT","Liters",IFERROR(INDEX(Setup!$F$3:$F$24,MATCH($C468,Setup!$A$3:$A$24,0)),"")))</f>
        <v/>
      </c>
      <c r="F468" s="28" t="str">
        <f aca="false">IF(OR($D468="",$E468=""),"",IFERROR($D468*INDEX(Setup!$B$27:$B$44,MATCH($E468,Setup!$A$27:$A$44,0)),"TBD"))</f>
        <v/>
      </c>
      <c r="G468" s="32"/>
      <c r="H468" s="32"/>
      <c r="I468" s="32"/>
      <c r="J468" s="32"/>
      <c r="K468" s="35"/>
      <c r="L468" s="32"/>
      <c r="M468" s="32"/>
    </row>
    <row r="469" customFormat="false" ht="15" hidden="false" customHeight="true" outlineLevel="0" collapsed="false">
      <c r="A469" s="32"/>
      <c r="B469" s="32"/>
      <c r="C469" s="32"/>
      <c r="D469" s="32"/>
      <c r="E469" s="34" t="str">
        <f aca="false">IF($B469="","",IF($B469="OUT","Liters",IFERROR(INDEX(Setup!$F$3:$F$24,MATCH($C469,Setup!$A$3:$A$24,0)),"")))</f>
        <v/>
      </c>
      <c r="F469" s="28" t="str">
        <f aca="false">IF(OR($D469="",$E469=""),"",IFERROR($D469*INDEX(Setup!$B$27:$B$44,MATCH($E469,Setup!$A$27:$A$44,0)),"TBD"))</f>
        <v/>
      </c>
      <c r="G469" s="32"/>
      <c r="H469" s="32"/>
      <c r="I469" s="32"/>
      <c r="J469" s="32"/>
      <c r="K469" s="35"/>
      <c r="L469" s="32"/>
      <c r="M469" s="32"/>
    </row>
    <row r="470" customFormat="false" ht="15" hidden="false" customHeight="true" outlineLevel="0" collapsed="false">
      <c r="A470" s="32"/>
      <c r="B470" s="32"/>
      <c r="C470" s="32"/>
      <c r="D470" s="32"/>
      <c r="E470" s="34" t="str">
        <f aca="false">IF($B470="","",IF($B470="OUT","Liters",IFERROR(INDEX(Setup!$F$3:$F$24,MATCH($C470,Setup!$A$3:$A$24,0)),"")))</f>
        <v/>
      </c>
      <c r="F470" s="28" t="str">
        <f aca="false">IF(OR($D470="",$E470=""),"",IFERROR($D470*INDEX(Setup!$B$27:$B$44,MATCH($E470,Setup!$A$27:$A$44,0)),"TBD"))</f>
        <v/>
      </c>
      <c r="G470" s="32"/>
      <c r="H470" s="32"/>
      <c r="I470" s="32"/>
      <c r="J470" s="32"/>
      <c r="K470" s="35"/>
      <c r="L470" s="32"/>
      <c r="M470" s="32"/>
    </row>
    <row r="471" customFormat="false" ht="15" hidden="false" customHeight="true" outlineLevel="0" collapsed="false">
      <c r="A471" s="32"/>
      <c r="B471" s="32"/>
      <c r="C471" s="32"/>
      <c r="D471" s="32"/>
      <c r="E471" s="34" t="str">
        <f aca="false">IF($B471="","",IF($B471="OUT","Liters",IFERROR(INDEX(Setup!$F$3:$F$24,MATCH($C471,Setup!$A$3:$A$24,0)),"")))</f>
        <v/>
      </c>
      <c r="F471" s="28" t="str">
        <f aca="false">IF(OR($D471="",$E471=""),"",IFERROR($D471*INDEX(Setup!$B$27:$B$44,MATCH($E471,Setup!$A$27:$A$44,0)),"TBD"))</f>
        <v/>
      </c>
      <c r="G471" s="32"/>
      <c r="H471" s="32"/>
      <c r="I471" s="32"/>
      <c r="J471" s="32"/>
      <c r="K471" s="35"/>
      <c r="L471" s="32"/>
      <c r="M471" s="32"/>
    </row>
    <row r="472" customFormat="false" ht="15" hidden="false" customHeight="true" outlineLevel="0" collapsed="false">
      <c r="A472" s="32"/>
      <c r="B472" s="32"/>
      <c r="C472" s="32"/>
      <c r="D472" s="32"/>
      <c r="E472" s="34" t="str">
        <f aca="false">IF($B472="","",IF($B472="OUT","Liters",IFERROR(INDEX(Setup!$F$3:$F$24,MATCH($C472,Setup!$A$3:$A$24,0)),"")))</f>
        <v/>
      </c>
      <c r="F472" s="28" t="str">
        <f aca="false">IF(OR($D472="",$E472=""),"",IFERROR($D472*INDEX(Setup!$B$27:$B$44,MATCH($E472,Setup!$A$27:$A$44,0)),"TBD"))</f>
        <v/>
      </c>
      <c r="G472" s="32"/>
      <c r="H472" s="32"/>
      <c r="I472" s="32"/>
      <c r="J472" s="32"/>
      <c r="K472" s="35"/>
      <c r="L472" s="32"/>
      <c r="M472" s="32"/>
    </row>
    <row r="473" customFormat="false" ht="15" hidden="false" customHeight="true" outlineLevel="0" collapsed="false">
      <c r="A473" s="32"/>
      <c r="B473" s="32"/>
      <c r="C473" s="32"/>
      <c r="D473" s="32"/>
      <c r="E473" s="34" t="str">
        <f aca="false">IF($B473="","",IF($B473="OUT","Liters",IFERROR(INDEX(Setup!$F$3:$F$24,MATCH($C473,Setup!$A$3:$A$24,0)),"")))</f>
        <v/>
      </c>
      <c r="F473" s="28" t="str">
        <f aca="false">IF(OR($D473="",$E473=""),"",IFERROR($D473*INDEX(Setup!$B$27:$B$44,MATCH($E473,Setup!$A$27:$A$44,0)),"TBD"))</f>
        <v/>
      </c>
      <c r="G473" s="32"/>
      <c r="H473" s="32"/>
      <c r="I473" s="32"/>
      <c r="J473" s="32"/>
      <c r="K473" s="35"/>
      <c r="L473" s="32"/>
      <c r="M473" s="32"/>
    </row>
    <row r="474" customFormat="false" ht="15" hidden="false" customHeight="true" outlineLevel="0" collapsed="false">
      <c r="A474" s="32"/>
      <c r="B474" s="32"/>
      <c r="C474" s="32"/>
      <c r="D474" s="32"/>
      <c r="E474" s="34" t="str">
        <f aca="false">IF($B474="","",IF($B474="OUT","Liters",IFERROR(INDEX(Setup!$F$3:$F$24,MATCH($C474,Setup!$A$3:$A$24,0)),"")))</f>
        <v/>
      </c>
      <c r="F474" s="28" t="str">
        <f aca="false">IF(OR($D474="",$E474=""),"",IFERROR($D474*INDEX(Setup!$B$27:$B$44,MATCH($E474,Setup!$A$27:$A$44,0)),"TBD"))</f>
        <v/>
      </c>
      <c r="G474" s="32"/>
      <c r="H474" s="32"/>
      <c r="I474" s="32"/>
      <c r="J474" s="32"/>
      <c r="K474" s="35"/>
      <c r="L474" s="32"/>
      <c r="M474" s="32"/>
    </row>
    <row r="475" customFormat="false" ht="15" hidden="false" customHeight="true" outlineLevel="0" collapsed="false">
      <c r="A475" s="32"/>
      <c r="B475" s="32"/>
      <c r="C475" s="32"/>
      <c r="D475" s="32"/>
      <c r="E475" s="34" t="str">
        <f aca="false">IF($B475="","",IF($B475="OUT","Liters",IFERROR(INDEX(Setup!$F$3:$F$24,MATCH($C475,Setup!$A$3:$A$24,0)),"")))</f>
        <v/>
      </c>
      <c r="F475" s="28" t="str">
        <f aca="false">IF(OR($D475="",$E475=""),"",IFERROR($D475*INDEX(Setup!$B$27:$B$44,MATCH($E475,Setup!$A$27:$A$44,0)),"TBD"))</f>
        <v/>
      </c>
      <c r="G475" s="32"/>
      <c r="H475" s="32"/>
      <c r="I475" s="32"/>
      <c r="J475" s="32"/>
      <c r="K475" s="35"/>
      <c r="L475" s="32"/>
      <c r="M475" s="32"/>
    </row>
    <row r="476" customFormat="false" ht="15" hidden="false" customHeight="true" outlineLevel="0" collapsed="false">
      <c r="A476" s="32"/>
      <c r="B476" s="32"/>
      <c r="C476" s="32"/>
      <c r="D476" s="32"/>
      <c r="E476" s="34" t="str">
        <f aca="false">IF($B476="","",IF($B476="OUT","Liters",IFERROR(INDEX(Setup!$F$3:$F$24,MATCH($C476,Setup!$A$3:$A$24,0)),"")))</f>
        <v/>
      </c>
      <c r="F476" s="28" t="str">
        <f aca="false">IF(OR($D476="",$E476=""),"",IFERROR($D476*INDEX(Setup!$B$27:$B$44,MATCH($E476,Setup!$A$27:$A$44,0)),"TBD"))</f>
        <v/>
      </c>
      <c r="G476" s="32"/>
      <c r="H476" s="32"/>
      <c r="I476" s="32"/>
      <c r="J476" s="32"/>
      <c r="K476" s="35"/>
      <c r="L476" s="32"/>
      <c r="M476" s="32"/>
    </row>
    <row r="477" customFormat="false" ht="15" hidden="false" customHeight="true" outlineLevel="0" collapsed="false">
      <c r="A477" s="32"/>
      <c r="B477" s="32"/>
      <c r="C477" s="32"/>
      <c r="D477" s="32"/>
      <c r="E477" s="34" t="str">
        <f aca="false">IF($B477="","",IF($B477="OUT","Liters",IFERROR(INDEX(Setup!$F$3:$F$24,MATCH($C477,Setup!$A$3:$A$24,0)),"")))</f>
        <v/>
      </c>
      <c r="F477" s="28" t="str">
        <f aca="false">IF(OR($D477="",$E477=""),"",IFERROR($D477*INDEX(Setup!$B$27:$B$44,MATCH($E477,Setup!$A$27:$A$44,0)),"TBD"))</f>
        <v/>
      </c>
      <c r="G477" s="32"/>
      <c r="H477" s="32"/>
      <c r="I477" s="32"/>
      <c r="J477" s="32"/>
      <c r="K477" s="35"/>
      <c r="L477" s="32"/>
      <c r="M477" s="32"/>
    </row>
    <row r="478" customFormat="false" ht="15" hidden="false" customHeight="true" outlineLevel="0" collapsed="false">
      <c r="A478" s="32"/>
      <c r="B478" s="32"/>
      <c r="C478" s="32"/>
      <c r="D478" s="32"/>
      <c r="E478" s="34" t="str">
        <f aca="false">IF($B478="","",IF($B478="OUT","Liters",IFERROR(INDEX(Setup!$F$3:$F$24,MATCH($C478,Setup!$A$3:$A$24,0)),"")))</f>
        <v/>
      </c>
      <c r="F478" s="28" t="str">
        <f aca="false">IF(OR($D478="",$E478=""),"",IFERROR($D478*INDEX(Setup!$B$27:$B$44,MATCH($E478,Setup!$A$27:$A$44,0)),"TBD"))</f>
        <v/>
      </c>
      <c r="G478" s="32"/>
      <c r="H478" s="32"/>
      <c r="I478" s="32"/>
      <c r="J478" s="32"/>
      <c r="K478" s="35"/>
      <c r="L478" s="32"/>
      <c r="M478" s="32"/>
    </row>
    <row r="479" customFormat="false" ht="15" hidden="false" customHeight="true" outlineLevel="0" collapsed="false">
      <c r="A479" s="32"/>
      <c r="B479" s="32"/>
      <c r="C479" s="32"/>
      <c r="D479" s="32"/>
      <c r="E479" s="34" t="str">
        <f aca="false">IF($B479="","",IF($B479="OUT","Liters",IFERROR(INDEX(Setup!$F$3:$F$24,MATCH($C479,Setup!$A$3:$A$24,0)),"")))</f>
        <v/>
      </c>
      <c r="F479" s="28" t="str">
        <f aca="false">IF(OR($D479="",$E479=""),"",IFERROR($D479*INDEX(Setup!$B$27:$B$44,MATCH($E479,Setup!$A$27:$A$44,0)),"TBD"))</f>
        <v/>
      </c>
      <c r="G479" s="32"/>
      <c r="H479" s="32"/>
      <c r="I479" s="32"/>
      <c r="J479" s="32"/>
      <c r="K479" s="35"/>
      <c r="L479" s="32"/>
      <c r="M479" s="32"/>
    </row>
    <row r="480" customFormat="false" ht="15" hidden="false" customHeight="true" outlineLevel="0" collapsed="false">
      <c r="A480" s="32"/>
      <c r="B480" s="32"/>
      <c r="C480" s="32"/>
      <c r="D480" s="32"/>
      <c r="E480" s="34" t="str">
        <f aca="false">IF($B480="","",IF($B480="OUT","Liters",IFERROR(INDEX(Setup!$F$3:$F$24,MATCH($C480,Setup!$A$3:$A$24,0)),"")))</f>
        <v/>
      </c>
      <c r="F480" s="28" t="str">
        <f aca="false">IF(OR($D480="",$E480=""),"",IFERROR($D480*INDEX(Setup!$B$27:$B$44,MATCH($E480,Setup!$A$27:$A$44,0)),"TBD"))</f>
        <v/>
      </c>
      <c r="G480" s="32"/>
      <c r="H480" s="32"/>
      <c r="I480" s="32"/>
      <c r="J480" s="32"/>
      <c r="K480" s="35"/>
      <c r="L480" s="32"/>
      <c r="M480" s="32"/>
    </row>
    <row r="481" customFormat="false" ht="15" hidden="false" customHeight="true" outlineLevel="0" collapsed="false">
      <c r="A481" s="32"/>
      <c r="B481" s="32"/>
      <c r="C481" s="32"/>
      <c r="D481" s="32"/>
      <c r="E481" s="34" t="str">
        <f aca="false">IF($B481="","",IF($B481="OUT","Liters",IFERROR(INDEX(Setup!$F$3:$F$24,MATCH($C481,Setup!$A$3:$A$24,0)),"")))</f>
        <v/>
      </c>
      <c r="F481" s="28" t="str">
        <f aca="false">IF(OR($D481="",$E481=""),"",IFERROR($D481*INDEX(Setup!$B$27:$B$44,MATCH($E481,Setup!$A$27:$A$44,0)),"TBD"))</f>
        <v/>
      </c>
      <c r="G481" s="32"/>
      <c r="H481" s="32"/>
      <c r="I481" s="32"/>
      <c r="J481" s="32"/>
      <c r="K481" s="35"/>
      <c r="L481" s="32"/>
      <c r="M481" s="32"/>
    </row>
    <row r="482" customFormat="false" ht="15" hidden="false" customHeight="true" outlineLevel="0" collapsed="false">
      <c r="A482" s="32"/>
      <c r="B482" s="32"/>
      <c r="C482" s="32"/>
      <c r="D482" s="32"/>
      <c r="E482" s="34" t="str">
        <f aca="false">IF($B482="","",IF($B482="OUT","Liters",IFERROR(INDEX(Setup!$F$3:$F$24,MATCH($C482,Setup!$A$3:$A$24,0)),"")))</f>
        <v/>
      </c>
      <c r="F482" s="28" t="str">
        <f aca="false">IF(OR($D482="",$E482=""),"",IFERROR($D482*INDEX(Setup!$B$27:$B$44,MATCH($E482,Setup!$A$27:$A$44,0)),"TBD"))</f>
        <v/>
      </c>
      <c r="G482" s="32"/>
      <c r="H482" s="32"/>
      <c r="I482" s="32"/>
      <c r="J482" s="32"/>
      <c r="K482" s="35"/>
      <c r="L482" s="32"/>
      <c r="M482" s="32"/>
    </row>
    <row r="483" customFormat="false" ht="15" hidden="false" customHeight="true" outlineLevel="0" collapsed="false">
      <c r="A483" s="32"/>
      <c r="B483" s="32"/>
      <c r="C483" s="32"/>
      <c r="D483" s="32"/>
      <c r="E483" s="34" t="str">
        <f aca="false">IF($B483="","",IF($B483="OUT","Liters",IFERROR(INDEX(Setup!$F$3:$F$24,MATCH($C483,Setup!$A$3:$A$24,0)),"")))</f>
        <v/>
      </c>
      <c r="F483" s="28" t="str">
        <f aca="false">IF(OR($D483="",$E483=""),"",IFERROR($D483*INDEX(Setup!$B$27:$B$44,MATCH($E483,Setup!$A$27:$A$44,0)),"TBD"))</f>
        <v/>
      </c>
      <c r="G483" s="32"/>
      <c r="H483" s="32"/>
      <c r="I483" s="32"/>
      <c r="J483" s="32"/>
      <c r="K483" s="35"/>
      <c r="L483" s="32"/>
      <c r="M483" s="32"/>
    </row>
    <row r="484" customFormat="false" ht="15" hidden="false" customHeight="true" outlineLevel="0" collapsed="false">
      <c r="A484" s="32"/>
      <c r="B484" s="32"/>
      <c r="C484" s="32"/>
      <c r="D484" s="32"/>
      <c r="E484" s="34" t="str">
        <f aca="false">IF($B484="","",IF($B484="OUT","Liters",IFERROR(INDEX(Setup!$F$3:$F$24,MATCH($C484,Setup!$A$3:$A$24,0)),"")))</f>
        <v/>
      </c>
      <c r="F484" s="28" t="str">
        <f aca="false">IF(OR($D484="",$E484=""),"",IFERROR($D484*INDEX(Setup!$B$27:$B$44,MATCH($E484,Setup!$A$27:$A$44,0)),"TBD"))</f>
        <v/>
      </c>
      <c r="G484" s="32"/>
      <c r="H484" s="32"/>
      <c r="I484" s="32"/>
      <c r="J484" s="32"/>
      <c r="K484" s="35"/>
      <c r="L484" s="32"/>
      <c r="M484" s="32"/>
    </row>
    <row r="485" customFormat="false" ht="15" hidden="false" customHeight="true" outlineLevel="0" collapsed="false">
      <c r="A485" s="32"/>
      <c r="B485" s="32"/>
      <c r="C485" s="32"/>
      <c r="D485" s="32"/>
      <c r="E485" s="34" t="str">
        <f aca="false">IF($B485="","",IF($B485="OUT","Liters",IFERROR(INDEX(Setup!$F$3:$F$24,MATCH($C485,Setup!$A$3:$A$24,0)),"")))</f>
        <v/>
      </c>
      <c r="F485" s="28" t="str">
        <f aca="false">IF(OR($D485="",$E485=""),"",IFERROR($D485*INDEX(Setup!$B$27:$B$44,MATCH($E485,Setup!$A$27:$A$44,0)),"TBD"))</f>
        <v/>
      </c>
      <c r="G485" s="32"/>
      <c r="H485" s="32"/>
      <c r="I485" s="32"/>
      <c r="J485" s="32"/>
      <c r="K485" s="35"/>
      <c r="L485" s="32"/>
      <c r="M485" s="32"/>
    </row>
    <row r="486" customFormat="false" ht="15" hidden="false" customHeight="true" outlineLevel="0" collapsed="false">
      <c r="A486" s="32"/>
      <c r="B486" s="32"/>
      <c r="C486" s="32"/>
      <c r="D486" s="32"/>
      <c r="E486" s="34" t="str">
        <f aca="false">IF($B486="","",IF($B486="OUT","Liters",IFERROR(INDEX(Setup!$F$3:$F$24,MATCH($C486,Setup!$A$3:$A$24,0)),"")))</f>
        <v/>
      </c>
      <c r="F486" s="28" t="str">
        <f aca="false">IF(OR($D486="",$E486=""),"",IFERROR($D486*INDEX(Setup!$B$27:$B$44,MATCH($E486,Setup!$A$27:$A$44,0)),"TBD"))</f>
        <v/>
      </c>
      <c r="G486" s="32"/>
      <c r="H486" s="32"/>
      <c r="I486" s="32"/>
      <c r="J486" s="32"/>
      <c r="K486" s="35"/>
      <c r="L486" s="32"/>
      <c r="M486" s="32"/>
    </row>
    <row r="487" customFormat="false" ht="15" hidden="false" customHeight="true" outlineLevel="0" collapsed="false">
      <c r="A487" s="32"/>
      <c r="B487" s="32"/>
      <c r="C487" s="32"/>
      <c r="D487" s="32"/>
      <c r="E487" s="34" t="str">
        <f aca="false">IF($B487="","",IF($B487="OUT","Liters",IFERROR(INDEX(Setup!$F$3:$F$24,MATCH($C487,Setup!$A$3:$A$24,0)),"")))</f>
        <v/>
      </c>
      <c r="F487" s="28" t="str">
        <f aca="false">IF(OR($D487="",$E487=""),"",IFERROR($D487*INDEX(Setup!$B$27:$B$44,MATCH($E487,Setup!$A$27:$A$44,0)),"TBD"))</f>
        <v/>
      </c>
      <c r="G487" s="32"/>
      <c r="H487" s="32"/>
      <c r="I487" s="32"/>
      <c r="J487" s="32"/>
      <c r="K487" s="35"/>
      <c r="L487" s="32"/>
      <c r="M487" s="32"/>
    </row>
    <row r="488" customFormat="false" ht="15" hidden="false" customHeight="true" outlineLevel="0" collapsed="false">
      <c r="A488" s="32"/>
      <c r="B488" s="32"/>
      <c r="C488" s="32"/>
      <c r="D488" s="32"/>
      <c r="E488" s="34" t="str">
        <f aca="false">IF($B488="","",IF($B488="OUT","Liters",IFERROR(INDEX(Setup!$F$3:$F$24,MATCH($C488,Setup!$A$3:$A$24,0)),"")))</f>
        <v/>
      </c>
      <c r="F488" s="28" t="str">
        <f aca="false">IF(OR($D488="",$E488=""),"",IFERROR($D488*INDEX(Setup!$B$27:$B$44,MATCH($E488,Setup!$A$27:$A$44,0)),"TBD"))</f>
        <v/>
      </c>
      <c r="G488" s="32"/>
      <c r="H488" s="32"/>
      <c r="I488" s="32"/>
      <c r="J488" s="32"/>
      <c r="K488" s="35"/>
      <c r="L488" s="32"/>
      <c r="M488" s="32"/>
    </row>
    <row r="489" customFormat="false" ht="15" hidden="false" customHeight="true" outlineLevel="0" collapsed="false">
      <c r="A489" s="32"/>
      <c r="B489" s="32"/>
      <c r="C489" s="32"/>
      <c r="D489" s="32"/>
      <c r="E489" s="34" t="str">
        <f aca="false">IF($B489="","",IF($B489="OUT","Liters",IFERROR(INDEX(Setup!$F$3:$F$24,MATCH($C489,Setup!$A$3:$A$24,0)),"")))</f>
        <v/>
      </c>
      <c r="F489" s="28" t="str">
        <f aca="false">IF(OR($D489="",$E489=""),"",IFERROR($D489*INDEX(Setup!$B$27:$B$44,MATCH($E489,Setup!$A$27:$A$44,0)),"TBD"))</f>
        <v/>
      </c>
      <c r="G489" s="32"/>
      <c r="H489" s="32"/>
      <c r="I489" s="32"/>
      <c r="J489" s="32"/>
      <c r="K489" s="35"/>
      <c r="L489" s="32"/>
      <c r="M489" s="32"/>
    </row>
    <row r="490" customFormat="false" ht="15" hidden="false" customHeight="true" outlineLevel="0" collapsed="false">
      <c r="A490" s="32"/>
      <c r="B490" s="32"/>
      <c r="C490" s="32"/>
      <c r="D490" s="32"/>
      <c r="E490" s="34" t="str">
        <f aca="false">IF($B490="","",IF($B490="OUT","Liters",IFERROR(INDEX(Setup!$F$3:$F$24,MATCH($C490,Setup!$A$3:$A$24,0)),"")))</f>
        <v/>
      </c>
      <c r="F490" s="28" t="str">
        <f aca="false">IF(OR($D490="",$E490=""),"",IFERROR($D490*INDEX(Setup!$B$27:$B$44,MATCH($E490,Setup!$A$27:$A$44,0)),"TBD"))</f>
        <v/>
      </c>
      <c r="G490" s="32"/>
      <c r="H490" s="32"/>
      <c r="I490" s="32"/>
      <c r="J490" s="32"/>
      <c r="K490" s="35"/>
      <c r="L490" s="32"/>
      <c r="M490" s="32"/>
    </row>
    <row r="491" customFormat="false" ht="15" hidden="false" customHeight="true" outlineLevel="0" collapsed="false">
      <c r="A491" s="32"/>
      <c r="B491" s="32"/>
      <c r="C491" s="32"/>
      <c r="D491" s="32"/>
      <c r="E491" s="34" t="str">
        <f aca="false">IF($B491="","",IF($B491="OUT","Liters",IFERROR(INDEX(Setup!$F$3:$F$24,MATCH($C491,Setup!$A$3:$A$24,0)),"")))</f>
        <v/>
      </c>
      <c r="F491" s="28" t="str">
        <f aca="false">IF(OR($D491="",$E491=""),"",IFERROR($D491*INDEX(Setup!$B$27:$B$44,MATCH($E491,Setup!$A$27:$A$44,0)),"TBD"))</f>
        <v/>
      </c>
      <c r="G491" s="32"/>
      <c r="H491" s="32"/>
      <c r="I491" s="32"/>
      <c r="J491" s="32"/>
      <c r="K491" s="35"/>
      <c r="L491" s="32"/>
      <c r="M491" s="32"/>
    </row>
    <row r="492" customFormat="false" ht="15" hidden="false" customHeight="true" outlineLevel="0" collapsed="false">
      <c r="A492" s="32"/>
      <c r="B492" s="32"/>
      <c r="C492" s="32"/>
      <c r="D492" s="32"/>
      <c r="E492" s="34" t="str">
        <f aca="false">IF($B492="","",IF($B492="OUT","Liters",IFERROR(INDEX(Setup!$F$3:$F$24,MATCH($C492,Setup!$A$3:$A$24,0)),"")))</f>
        <v/>
      </c>
      <c r="F492" s="28" t="str">
        <f aca="false">IF(OR($D492="",$E492=""),"",IFERROR($D492*INDEX(Setup!$B$27:$B$44,MATCH($E492,Setup!$A$27:$A$44,0)),"TBD"))</f>
        <v/>
      </c>
      <c r="G492" s="32"/>
      <c r="H492" s="32"/>
      <c r="I492" s="32"/>
      <c r="J492" s="32"/>
      <c r="K492" s="35"/>
      <c r="L492" s="32"/>
      <c r="M492" s="32"/>
    </row>
    <row r="493" customFormat="false" ht="15" hidden="false" customHeight="true" outlineLevel="0" collapsed="false">
      <c r="A493" s="32"/>
      <c r="B493" s="32"/>
      <c r="C493" s="32"/>
      <c r="D493" s="32"/>
      <c r="E493" s="34" t="str">
        <f aca="false">IF($B493="","",IF($B493="OUT","Liters",IFERROR(INDEX(Setup!$F$3:$F$24,MATCH($C493,Setup!$A$3:$A$24,0)),"")))</f>
        <v/>
      </c>
      <c r="F493" s="28" t="str">
        <f aca="false">IF(OR($D493="",$E493=""),"",IFERROR($D493*INDEX(Setup!$B$27:$B$44,MATCH($E493,Setup!$A$27:$A$44,0)),"TBD"))</f>
        <v/>
      </c>
      <c r="G493" s="32"/>
      <c r="H493" s="32"/>
      <c r="I493" s="32"/>
      <c r="J493" s="32"/>
      <c r="K493" s="35"/>
      <c r="L493" s="32"/>
      <c r="M493" s="32"/>
    </row>
    <row r="494" customFormat="false" ht="15" hidden="false" customHeight="true" outlineLevel="0" collapsed="false">
      <c r="A494" s="32"/>
      <c r="B494" s="32"/>
      <c r="C494" s="32"/>
      <c r="D494" s="32"/>
      <c r="E494" s="34" t="str">
        <f aca="false">IF($B494="","",IF($B494="OUT","Liters",IFERROR(INDEX(Setup!$F$3:$F$24,MATCH($C494,Setup!$A$3:$A$24,0)),"")))</f>
        <v/>
      </c>
      <c r="F494" s="28" t="str">
        <f aca="false">IF(OR($D494="",$E494=""),"",IFERROR($D494*INDEX(Setup!$B$27:$B$44,MATCH($E494,Setup!$A$27:$A$44,0)),"TBD"))</f>
        <v/>
      </c>
      <c r="G494" s="32"/>
      <c r="H494" s="32"/>
      <c r="I494" s="32"/>
      <c r="J494" s="32"/>
      <c r="K494" s="35"/>
      <c r="L494" s="32"/>
      <c r="M494" s="32"/>
    </row>
    <row r="495" customFormat="false" ht="15" hidden="false" customHeight="true" outlineLevel="0" collapsed="false">
      <c r="A495" s="32"/>
      <c r="B495" s="32"/>
      <c r="C495" s="32"/>
      <c r="D495" s="32"/>
      <c r="E495" s="34" t="str">
        <f aca="false">IF($B495="","",IF($B495="OUT","Liters",IFERROR(INDEX(Setup!$F$3:$F$24,MATCH($C495,Setup!$A$3:$A$24,0)),"")))</f>
        <v/>
      </c>
      <c r="F495" s="28" t="str">
        <f aca="false">IF(OR($D495="",$E495=""),"",IFERROR($D495*INDEX(Setup!$B$27:$B$44,MATCH($E495,Setup!$A$27:$A$44,0)),"TBD"))</f>
        <v/>
      </c>
      <c r="G495" s="32"/>
      <c r="H495" s="32"/>
      <c r="I495" s="32"/>
      <c r="J495" s="32"/>
      <c r="K495" s="35"/>
      <c r="L495" s="32"/>
      <c r="M495" s="32"/>
    </row>
    <row r="496" customFormat="false" ht="15" hidden="false" customHeight="true" outlineLevel="0" collapsed="false">
      <c r="A496" s="32"/>
      <c r="B496" s="32"/>
      <c r="C496" s="32"/>
      <c r="D496" s="32"/>
      <c r="E496" s="34" t="str">
        <f aca="false">IF($B496="","",IF($B496="OUT","Liters",IFERROR(INDEX(Setup!$F$3:$F$24,MATCH($C496,Setup!$A$3:$A$24,0)),"")))</f>
        <v/>
      </c>
      <c r="F496" s="28" t="str">
        <f aca="false">IF(OR($D496="",$E496=""),"",IFERROR($D496*INDEX(Setup!$B$27:$B$44,MATCH($E496,Setup!$A$27:$A$44,0)),"TBD"))</f>
        <v/>
      </c>
      <c r="G496" s="32"/>
      <c r="H496" s="32"/>
      <c r="I496" s="32"/>
      <c r="J496" s="32"/>
      <c r="K496" s="35"/>
      <c r="L496" s="32"/>
      <c r="M496" s="32"/>
    </row>
    <row r="497" customFormat="false" ht="15" hidden="false" customHeight="true" outlineLevel="0" collapsed="false">
      <c r="A497" s="32"/>
      <c r="B497" s="32"/>
      <c r="C497" s="32"/>
      <c r="D497" s="32"/>
      <c r="E497" s="34" t="str">
        <f aca="false">IF($B497="","",IF($B497="OUT","Liters",IFERROR(INDEX(Setup!$F$3:$F$24,MATCH($C497,Setup!$A$3:$A$24,0)),"")))</f>
        <v/>
      </c>
      <c r="F497" s="28" t="str">
        <f aca="false">IF(OR($D497="",$E497=""),"",IFERROR($D497*INDEX(Setup!$B$27:$B$44,MATCH($E497,Setup!$A$27:$A$44,0)),"TBD"))</f>
        <v/>
      </c>
      <c r="G497" s="32"/>
      <c r="H497" s="32"/>
      <c r="I497" s="32"/>
      <c r="J497" s="32"/>
      <c r="K497" s="35"/>
      <c r="L497" s="32"/>
      <c r="M497" s="32"/>
    </row>
    <row r="498" customFormat="false" ht="15" hidden="false" customHeight="true" outlineLevel="0" collapsed="false">
      <c r="A498" s="32"/>
      <c r="B498" s="32"/>
      <c r="C498" s="32"/>
      <c r="D498" s="32"/>
      <c r="E498" s="34" t="str">
        <f aca="false">IF($B498="","",IF($B498="OUT","Liters",IFERROR(INDEX(Setup!$F$3:$F$24,MATCH($C498,Setup!$A$3:$A$24,0)),"")))</f>
        <v/>
      </c>
      <c r="F498" s="28" t="str">
        <f aca="false">IF(OR($D498="",$E498=""),"",IFERROR($D498*INDEX(Setup!$B$27:$B$44,MATCH($E498,Setup!$A$27:$A$44,0)),"TBD"))</f>
        <v/>
      </c>
      <c r="G498" s="32"/>
      <c r="H498" s="32"/>
      <c r="I498" s="32"/>
      <c r="J498" s="32"/>
      <c r="K498" s="35"/>
      <c r="L498" s="32"/>
      <c r="M498" s="32"/>
    </row>
    <row r="499" customFormat="false" ht="15" hidden="false" customHeight="true" outlineLevel="0" collapsed="false">
      <c r="A499" s="32"/>
      <c r="B499" s="32"/>
      <c r="C499" s="32"/>
      <c r="D499" s="32"/>
      <c r="E499" s="34" t="str">
        <f aca="false">IF($B499="","",IF($B499="OUT","Liters",IFERROR(INDEX(Setup!$F$3:$F$24,MATCH($C499,Setup!$A$3:$A$24,0)),"")))</f>
        <v/>
      </c>
      <c r="F499" s="28" t="str">
        <f aca="false">IF(OR($D499="",$E499=""),"",IFERROR($D499*INDEX(Setup!$B$27:$B$44,MATCH($E499,Setup!$A$27:$A$44,0)),"TBD"))</f>
        <v/>
      </c>
      <c r="G499" s="32"/>
      <c r="H499" s="32"/>
      <c r="I499" s="32"/>
      <c r="J499" s="32"/>
      <c r="K499" s="35"/>
      <c r="L499" s="32"/>
      <c r="M499" s="32"/>
    </row>
    <row r="500" customFormat="false" ht="15" hidden="false" customHeight="true" outlineLevel="0" collapsed="false">
      <c r="A500" s="32"/>
      <c r="B500" s="32"/>
      <c r="C500" s="32"/>
      <c r="D500" s="32"/>
      <c r="E500" s="34" t="str">
        <f aca="false">IF($B500="","",IF($B500="OUT","Liters",IFERROR(INDEX(Setup!$F$3:$F$24,MATCH($C500,Setup!$A$3:$A$24,0)),"")))</f>
        <v/>
      </c>
      <c r="F500" s="28" t="str">
        <f aca="false">IF(OR($D500="",$E500=""),"",IFERROR($D500*INDEX(Setup!$B$27:$B$44,MATCH($E500,Setup!$A$27:$A$44,0)),"TBD"))</f>
        <v/>
      </c>
      <c r="G500" s="32"/>
      <c r="H500" s="32"/>
      <c r="I500" s="32"/>
      <c r="J500" s="32"/>
      <c r="K500" s="35"/>
      <c r="L500" s="32"/>
      <c r="M500" s="32"/>
    </row>
    <row r="501" customFormat="false" ht="15" hidden="false" customHeight="true" outlineLevel="0" collapsed="false">
      <c r="A501" s="32"/>
      <c r="B501" s="32"/>
      <c r="C501" s="32"/>
      <c r="D501" s="32"/>
      <c r="E501" s="34" t="str">
        <f aca="false">IF($B501="","",IF($B501="OUT","Liters",IFERROR(INDEX(Setup!$F$3:$F$24,MATCH($C501,Setup!$A$3:$A$24,0)),"")))</f>
        <v/>
      </c>
      <c r="F501" s="28" t="str">
        <f aca="false">IF(OR($D501="",$E501=""),"",IFERROR($D501*INDEX(Setup!$B$27:$B$44,MATCH($E501,Setup!$A$27:$A$44,0)),"TBD"))</f>
        <v/>
      </c>
      <c r="G501" s="32"/>
      <c r="H501" s="32"/>
      <c r="I501" s="32"/>
      <c r="J501" s="32"/>
      <c r="K501" s="35"/>
      <c r="L501" s="32"/>
      <c r="M501" s="32"/>
    </row>
    <row r="502" customFormat="false" ht="15" hidden="false" customHeight="true" outlineLevel="0" collapsed="false">
      <c r="A502" s="32"/>
      <c r="B502" s="32"/>
      <c r="C502" s="32"/>
      <c r="D502" s="32"/>
      <c r="E502" s="34" t="str">
        <f aca="false">IF($B502="","",IF($B502="OUT","Liters",IFERROR(INDEX(Setup!$F$3:$F$24,MATCH($C502,Setup!$A$3:$A$24,0)),"")))</f>
        <v/>
      </c>
      <c r="F502" s="28" t="str">
        <f aca="false">IF(OR($D502="",$E502=""),"",IFERROR($D502*INDEX(Setup!$B$27:$B$44,MATCH($E502,Setup!$A$27:$A$44,0)),"TBD"))</f>
        <v/>
      </c>
      <c r="G502" s="32"/>
      <c r="H502" s="32"/>
      <c r="I502" s="32"/>
      <c r="J502" s="32"/>
      <c r="K502" s="35"/>
      <c r="L502" s="32"/>
      <c r="M502" s="32"/>
    </row>
    <row r="503" customFormat="false" ht="15" hidden="false" customHeight="true" outlineLevel="0" collapsed="false">
      <c r="A503" s="32"/>
      <c r="B503" s="32"/>
      <c r="C503" s="32"/>
      <c r="D503" s="32"/>
      <c r="E503" s="34" t="str">
        <f aca="false">IF($B503="","",IF($B503="OUT","Liters",IFERROR(INDEX(Setup!$F$3:$F$24,MATCH($C503,Setup!$A$3:$A$24,0)),"")))</f>
        <v/>
      </c>
      <c r="F503" s="28" t="str">
        <f aca="false">IF(OR($D503="",$E503=""),"",IFERROR($D503*INDEX(Setup!$B$27:$B$44,MATCH($E503,Setup!$A$27:$A$44,0)),"TBD"))</f>
        <v/>
      </c>
      <c r="G503" s="32"/>
      <c r="H503" s="32"/>
      <c r="I503" s="32"/>
      <c r="J503" s="32"/>
      <c r="K503" s="35"/>
      <c r="L503" s="32"/>
      <c r="M503" s="32"/>
    </row>
    <row r="504" customFormat="false" ht="15" hidden="false" customHeight="true" outlineLevel="0" collapsed="false">
      <c r="A504" s="32"/>
      <c r="B504" s="32"/>
      <c r="C504" s="32"/>
      <c r="D504" s="32"/>
      <c r="E504" s="34" t="str">
        <f aca="false">IF($B504="","",IF($B504="OUT","Liters",IFERROR(INDEX(Setup!$F$3:$F$24,MATCH($C504,Setup!$A$3:$A$24,0)),"")))</f>
        <v/>
      </c>
      <c r="F504" s="28" t="str">
        <f aca="false">IF(OR($D504="",$E504=""),"",IFERROR($D504*INDEX(Setup!$B$27:$B$44,MATCH($E504,Setup!$A$27:$A$44,0)),"TBD"))</f>
        <v/>
      </c>
      <c r="G504" s="32"/>
      <c r="H504" s="32"/>
      <c r="I504" s="32"/>
      <c r="J504" s="32"/>
      <c r="K504" s="35"/>
      <c r="L504" s="32"/>
      <c r="M504" s="32"/>
    </row>
    <row r="505" customFormat="false" ht="15" hidden="false" customHeight="true" outlineLevel="0" collapsed="false">
      <c r="A505" s="32"/>
      <c r="B505" s="32"/>
      <c r="C505" s="32"/>
      <c r="D505" s="32"/>
      <c r="E505" s="34" t="str">
        <f aca="false">IF($B505="","",IF($B505="OUT","Liters",IFERROR(INDEX(Setup!$F$3:$F$24,MATCH($C505,Setup!$A$3:$A$24,0)),"")))</f>
        <v/>
      </c>
      <c r="F505" s="28" t="str">
        <f aca="false">IF(OR($D505="",$E505=""),"",IFERROR($D505*INDEX(Setup!$B$27:$B$44,MATCH($E505,Setup!$A$27:$A$44,0)),"TBD"))</f>
        <v/>
      </c>
      <c r="G505" s="32"/>
      <c r="H505" s="32"/>
      <c r="I505" s="32"/>
      <c r="J505" s="32"/>
      <c r="K505" s="35"/>
      <c r="L505" s="32"/>
      <c r="M505" s="32"/>
    </row>
    <row r="506" customFormat="false" ht="15" hidden="false" customHeight="true" outlineLevel="0" collapsed="false">
      <c r="A506" s="32"/>
      <c r="B506" s="32"/>
      <c r="C506" s="32"/>
      <c r="D506" s="32"/>
      <c r="E506" s="34" t="str">
        <f aca="false">IF($B506="","",IF($B506="OUT","Liters",IFERROR(INDEX(Setup!$F$3:$F$24,MATCH($C506,Setup!$A$3:$A$24,0)),"")))</f>
        <v/>
      </c>
      <c r="F506" s="28" t="str">
        <f aca="false">IF(OR($D506="",$E506=""),"",IFERROR($D506*INDEX(Setup!$B$27:$B$44,MATCH($E506,Setup!$A$27:$A$44,0)),"TBD"))</f>
        <v/>
      </c>
      <c r="G506" s="32"/>
      <c r="H506" s="32"/>
      <c r="I506" s="32"/>
      <c r="J506" s="32"/>
      <c r="K506" s="35"/>
      <c r="L506" s="32"/>
      <c r="M506" s="32"/>
    </row>
    <row r="507" customFormat="false" ht="15" hidden="false" customHeight="true" outlineLevel="0" collapsed="false">
      <c r="A507" s="32"/>
      <c r="B507" s="32"/>
      <c r="C507" s="32"/>
      <c r="D507" s="32"/>
      <c r="E507" s="34" t="str">
        <f aca="false">IF($B507="","",IF($B507="OUT","Liters",IFERROR(INDEX(Setup!$F$3:$F$24,MATCH($C507,Setup!$A$3:$A$24,0)),"")))</f>
        <v/>
      </c>
      <c r="F507" s="28" t="str">
        <f aca="false">IF(OR($D507="",$E507=""),"",IFERROR($D507*INDEX(Setup!$B$27:$B$44,MATCH($E507,Setup!$A$27:$A$44,0)),"TBD"))</f>
        <v/>
      </c>
      <c r="G507" s="32"/>
      <c r="H507" s="32"/>
      <c r="I507" s="32"/>
      <c r="J507" s="32"/>
      <c r="K507" s="35"/>
      <c r="L507" s="32"/>
      <c r="M507" s="32"/>
    </row>
    <row r="508" customFormat="false" ht="15" hidden="false" customHeight="true" outlineLevel="0" collapsed="false">
      <c r="A508" s="32"/>
      <c r="B508" s="32"/>
      <c r="C508" s="32"/>
      <c r="D508" s="32"/>
      <c r="E508" s="34" t="str">
        <f aca="false">IF($B508="","",IF($B508="OUT","Liters",IFERROR(INDEX(Setup!$F$3:$F$24,MATCH($C508,Setup!$A$3:$A$24,0)),"")))</f>
        <v/>
      </c>
      <c r="F508" s="28" t="str">
        <f aca="false">IF(OR($D508="",$E508=""),"",IFERROR($D508*INDEX(Setup!$B$27:$B$44,MATCH($E508,Setup!$A$27:$A$44,0)),"TBD"))</f>
        <v/>
      </c>
      <c r="G508" s="32"/>
      <c r="H508" s="32"/>
      <c r="I508" s="32"/>
      <c r="J508" s="32"/>
      <c r="K508" s="35"/>
      <c r="L508" s="32"/>
      <c r="M508" s="32"/>
    </row>
    <row r="509" customFormat="false" ht="15" hidden="false" customHeight="true" outlineLevel="0" collapsed="false">
      <c r="A509" s="32"/>
      <c r="B509" s="32"/>
      <c r="C509" s="32"/>
      <c r="D509" s="32"/>
      <c r="E509" s="34" t="str">
        <f aca="false">IF($B509="","",IF($B509="OUT","Liters",IFERROR(INDEX(Setup!$F$3:$F$24,MATCH($C509,Setup!$A$3:$A$24,0)),"")))</f>
        <v/>
      </c>
      <c r="F509" s="28" t="str">
        <f aca="false">IF(OR($D509="",$E509=""),"",IFERROR($D509*INDEX(Setup!$B$27:$B$44,MATCH($E509,Setup!$A$27:$A$44,0)),"TBD"))</f>
        <v/>
      </c>
      <c r="G509" s="32"/>
      <c r="H509" s="32"/>
      <c r="I509" s="32"/>
      <c r="J509" s="32"/>
      <c r="K509" s="35"/>
      <c r="L509" s="32"/>
      <c r="M509" s="32"/>
    </row>
    <row r="510" customFormat="false" ht="15" hidden="false" customHeight="true" outlineLevel="0" collapsed="false">
      <c r="A510" s="32"/>
      <c r="B510" s="32"/>
      <c r="C510" s="32"/>
      <c r="D510" s="32"/>
      <c r="E510" s="34" t="str">
        <f aca="false">IF($B510="","",IF($B510="OUT","Liters",IFERROR(INDEX(Setup!$F$3:$F$24,MATCH($C510,Setup!$A$3:$A$24,0)),"")))</f>
        <v/>
      </c>
      <c r="F510" s="28" t="str">
        <f aca="false">IF(OR($D510="",$E510=""),"",IFERROR($D510*INDEX(Setup!$B$27:$B$44,MATCH($E510,Setup!$A$27:$A$44,0)),"TBD"))</f>
        <v/>
      </c>
      <c r="G510" s="32"/>
      <c r="H510" s="32"/>
      <c r="I510" s="32"/>
      <c r="J510" s="32"/>
      <c r="K510" s="35"/>
      <c r="L510" s="32"/>
      <c r="M510" s="32"/>
    </row>
    <row r="511" customFormat="false" ht="15" hidden="false" customHeight="true" outlineLevel="0" collapsed="false">
      <c r="A511" s="32"/>
      <c r="B511" s="32"/>
      <c r="C511" s="32"/>
      <c r="D511" s="32"/>
      <c r="E511" s="34" t="str">
        <f aca="false">IF($B511="","",IF($B511="OUT","Liters",IFERROR(INDEX(Setup!$F$3:$F$24,MATCH($C511,Setup!$A$3:$A$24,0)),"")))</f>
        <v/>
      </c>
      <c r="F511" s="28" t="str">
        <f aca="false">IF(OR($D511="",$E511=""),"",IFERROR($D511*INDEX(Setup!$B$27:$B$44,MATCH($E511,Setup!$A$27:$A$44,0)),"TBD"))</f>
        <v/>
      </c>
      <c r="G511" s="32"/>
      <c r="H511" s="32"/>
      <c r="I511" s="32"/>
      <c r="J511" s="32"/>
      <c r="K511" s="35"/>
      <c r="L511" s="32"/>
      <c r="M511" s="32"/>
    </row>
    <row r="512" customFormat="false" ht="15" hidden="false" customHeight="true" outlineLevel="0" collapsed="false">
      <c r="A512" s="32"/>
      <c r="B512" s="32"/>
      <c r="C512" s="32"/>
      <c r="D512" s="32"/>
      <c r="E512" s="34" t="str">
        <f aca="false">IF($B512="","",IF($B512="OUT","Liters",IFERROR(INDEX(Setup!$F$3:$F$24,MATCH($C512,Setup!$A$3:$A$24,0)),"")))</f>
        <v/>
      </c>
      <c r="F512" s="28" t="str">
        <f aca="false">IF(OR($D512="",$E512=""),"",IFERROR($D512*INDEX(Setup!$B$27:$B$44,MATCH($E512,Setup!$A$27:$A$44,0)),"TBD"))</f>
        <v/>
      </c>
      <c r="G512" s="32"/>
      <c r="H512" s="32"/>
      <c r="I512" s="32"/>
      <c r="J512" s="32"/>
      <c r="K512" s="35"/>
      <c r="L512" s="32"/>
      <c r="M512" s="32"/>
    </row>
    <row r="513" customFormat="false" ht="15" hidden="false" customHeight="true" outlineLevel="0" collapsed="false">
      <c r="A513" s="32"/>
      <c r="B513" s="32"/>
      <c r="C513" s="32"/>
      <c r="D513" s="32"/>
      <c r="E513" s="34" t="str">
        <f aca="false">IF($B513="","",IF($B513="OUT","Liters",IFERROR(INDEX(Setup!$F$3:$F$24,MATCH($C513,Setup!$A$3:$A$24,0)),"")))</f>
        <v/>
      </c>
      <c r="F513" s="28" t="str">
        <f aca="false">IF(OR($D513="",$E513=""),"",IFERROR($D513*INDEX(Setup!$B$27:$B$44,MATCH($E513,Setup!$A$27:$A$44,0)),"TBD"))</f>
        <v/>
      </c>
      <c r="G513" s="32"/>
      <c r="H513" s="32"/>
      <c r="I513" s="32"/>
      <c r="J513" s="32"/>
      <c r="K513" s="35"/>
      <c r="L513" s="32"/>
      <c r="M513" s="32"/>
    </row>
    <row r="514" customFormat="false" ht="15" hidden="false" customHeight="true" outlineLevel="0" collapsed="false">
      <c r="A514" s="32"/>
      <c r="B514" s="32"/>
      <c r="C514" s="32"/>
      <c r="D514" s="32"/>
      <c r="E514" s="34" t="str">
        <f aca="false">IF($B514="","",IF($B514="OUT","Liters",IFERROR(INDEX(Setup!$F$3:$F$24,MATCH($C514,Setup!$A$3:$A$24,0)),"")))</f>
        <v/>
      </c>
      <c r="F514" s="28" t="str">
        <f aca="false">IF(OR($D514="",$E514=""),"",IFERROR($D514*INDEX(Setup!$B$27:$B$44,MATCH($E514,Setup!$A$27:$A$44,0)),"TBD"))</f>
        <v/>
      </c>
      <c r="G514" s="32"/>
      <c r="H514" s="32"/>
      <c r="I514" s="32"/>
      <c r="J514" s="32"/>
      <c r="K514" s="35"/>
      <c r="L514" s="32"/>
      <c r="M514" s="32"/>
    </row>
    <row r="515" customFormat="false" ht="15" hidden="false" customHeight="true" outlineLevel="0" collapsed="false">
      <c r="A515" s="32"/>
      <c r="B515" s="32"/>
      <c r="C515" s="32"/>
      <c r="D515" s="32"/>
      <c r="E515" s="34" t="str">
        <f aca="false">IF($B515="","",IF($B515="OUT","Liters",IFERROR(INDEX(Setup!$F$3:$F$24,MATCH($C515,Setup!$A$3:$A$24,0)),"")))</f>
        <v/>
      </c>
      <c r="F515" s="28" t="str">
        <f aca="false">IF(OR($D515="",$E515=""),"",IFERROR($D515*INDEX(Setup!$B$27:$B$44,MATCH($E515,Setup!$A$27:$A$44,0)),"TBD"))</f>
        <v/>
      </c>
      <c r="G515" s="32"/>
      <c r="H515" s="32"/>
      <c r="I515" s="32"/>
      <c r="J515" s="32"/>
      <c r="K515" s="35"/>
      <c r="L515" s="32"/>
      <c r="M515" s="32"/>
    </row>
    <row r="516" customFormat="false" ht="15" hidden="false" customHeight="true" outlineLevel="0" collapsed="false">
      <c r="A516" s="32"/>
      <c r="B516" s="32"/>
      <c r="C516" s="32"/>
      <c r="D516" s="32"/>
      <c r="E516" s="34" t="str">
        <f aca="false">IF($B516="","",IF($B516="OUT","Liters",IFERROR(INDEX(Setup!$F$3:$F$24,MATCH($C516,Setup!$A$3:$A$24,0)),"")))</f>
        <v/>
      </c>
      <c r="F516" s="28" t="str">
        <f aca="false">IF(OR($D516="",$E516=""),"",IFERROR($D516*INDEX(Setup!$B$27:$B$44,MATCH($E516,Setup!$A$27:$A$44,0)),"TBD"))</f>
        <v/>
      </c>
      <c r="G516" s="32"/>
      <c r="H516" s="32"/>
      <c r="I516" s="32"/>
      <c r="J516" s="32"/>
      <c r="K516" s="35"/>
      <c r="L516" s="32"/>
      <c r="M516" s="32"/>
    </row>
    <row r="517" customFormat="false" ht="15" hidden="false" customHeight="true" outlineLevel="0" collapsed="false">
      <c r="A517" s="32"/>
      <c r="B517" s="32"/>
      <c r="C517" s="32"/>
      <c r="D517" s="32"/>
      <c r="E517" s="34" t="str">
        <f aca="false">IF($B517="","",IF($B517="OUT","Liters",IFERROR(INDEX(Setup!$F$3:$F$24,MATCH($C517,Setup!$A$3:$A$24,0)),"")))</f>
        <v/>
      </c>
      <c r="F517" s="28" t="str">
        <f aca="false">IF(OR($D517="",$E517=""),"",IFERROR($D517*INDEX(Setup!$B$27:$B$44,MATCH($E517,Setup!$A$27:$A$44,0)),"TBD"))</f>
        <v/>
      </c>
      <c r="G517" s="32"/>
      <c r="H517" s="32"/>
      <c r="I517" s="32"/>
      <c r="J517" s="32"/>
      <c r="K517" s="35"/>
      <c r="L517" s="32"/>
      <c r="M517" s="32"/>
    </row>
    <row r="518" customFormat="false" ht="15" hidden="false" customHeight="true" outlineLevel="0" collapsed="false">
      <c r="A518" s="32"/>
      <c r="B518" s="32"/>
      <c r="C518" s="32"/>
      <c r="D518" s="32"/>
      <c r="E518" s="34" t="str">
        <f aca="false">IF($B518="","",IF($B518="OUT","Liters",IFERROR(INDEX(Setup!$F$3:$F$24,MATCH($C518,Setup!$A$3:$A$24,0)),"")))</f>
        <v/>
      </c>
      <c r="F518" s="28" t="str">
        <f aca="false">IF(OR($D518="",$E518=""),"",IFERROR($D518*INDEX(Setup!$B$27:$B$44,MATCH($E518,Setup!$A$27:$A$44,0)),"TBD"))</f>
        <v/>
      </c>
      <c r="G518" s="32"/>
      <c r="H518" s="32"/>
      <c r="I518" s="32"/>
      <c r="J518" s="32"/>
      <c r="K518" s="35"/>
      <c r="L518" s="32"/>
      <c r="M518" s="32"/>
    </row>
    <row r="519" customFormat="false" ht="15" hidden="false" customHeight="true" outlineLevel="0" collapsed="false">
      <c r="A519" s="32"/>
      <c r="B519" s="32"/>
      <c r="C519" s="32"/>
      <c r="D519" s="32"/>
      <c r="E519" s="34" t="str">
        <f aca="false">IF($B519="","",IF($B519="OUT","Liters",IFERROR(INDEX(Setup!$F$3:$F$24,MATCH($C519,Setup!$A$3:$A$24,0)),"")))</f>
        <v/>
      </c>
      <c r="F519" s="28" t="str">
        <f aca="false">IF(OR($D519="",$E519=""),"",IFERROR($D519*INDEX(Setup!$B$27:$B$44,MATCH($E519,Setup!$A$27:$A$44,0)),"TBD"))</f>
        <v/>
      </c>
      <c r="G519" s="32"/>
      <c r="H519" s="32"/>
      <c r="I519" s="32"/>
      <c r="J519" s="32"/>
      <c r="K519" s="35"/>
      <c r="L519" s="32"/>
      <c r="M519" s="32"/>
    </row>
    <row r="520" customFormat="false" ht="15" hidden="false" customHeight="true" outlineLevel="0" collapsed="false">
      <c r="A520" s="32"/>
      <c r="B520" s="32"/>
      <c r="C520" s="32"/>
      <c r="D520" s="32"/>
      <c r="E520" s="34" t="str">
        <f aca="false">IF($B520="","",IF($B520="OUT","Liters",IFERROR(INDEX(Setup!$F$3:$F$24,MATCH($C520,Setup!$A$3:$A$24,0)),"")))</f>
        <v/>
      </c>
      <c r="F520" s="28" t="str">
        <f aca="false">IF(OR($D520="",$E520=""),"",IFERROR($D520*INDEX(Setup!$B$27:$B$44,MATCH($E520,Setup!$A$27:$A$44,0)),"TBD"))</f>
        <v/>
      </c>
      <c r="G520" s="32"/>
      <c r="H520" s="32"/>
      <c r="I520" s="32"/>
      <c r="J520" s="32"/>
      <c r="K520" s="35"/>
      <c r="L520" s="32"/>
      <c r="M520" s="32"/>
    </row>
    <row r="521" customFormat="false" ht="15" hidden="false" customHeight="true" outlineLevel="0" collapsed="false">
      <c r="A521" s="32"/>
      <c r="B521" s="32"/>
      <c r="C521" s="32"/>
      <c r="D521" s="32"/>
      <c r="E521" s="34" t="str">
        <f aca="false">IF($B521="","",IF($B521="OUT","Liters",IFERROR(INDEX(Setup!$F$3:$F$24,MATCH($C521,Setup!$A$3:$A$24,0)),"")))</f>
        <v/>
      </c>
      <c r="F521" s="28" t="str">
        <f aca="false">IF(OR($D521="",$E521=""),"",IFERROR($D521*INDEX(Setup!$B$27:$B$44,MATCH($E521,Setup!$A$27:$A$44,0)),"TBD"))</f>
        <v/>
      </c>
      <c r="G521" s="32"/>
      <c r="H521" s="32"/>
      <c r="I521" s="32"/>
      <c r="J521" s="32"/>
      <c r="K521" s="35"/>
      <c r="L521" s="32"/>
      <c r="M521" s="32"/>
    </row>
    <row r="522" customFormat="false" ht="15" hidden="false" customHeight="true" outlineLevel="0" collapsed="false">
      <c r="A522" s="32"/>
      <c r="B522" s="32"/>
      <c r="C522" s="32"/>
      <c r="D522" s="32"/>
      <c r="E522" s="34" t="str">
        <f aca="false">IF($B522="","",IF($B522="OUT","Liters",IFERROR(INDEX(Setup!$F$3:$F$24,MATCH($C522,Setup!$A$3:$A$24,0)),"")))</f>
        <v/>
      </c>
      <c r="F522" s="28" t="str">
        <f aca="false">IF(OR($D522="",$E522=""),"",IFERROR($D522*INDEX(Setup!$B$27:$B$44,MATCH($E522,Setup!$A$27:$A$44,0)),"TBD"))</f>
        <v/>
      </c>
      <c r="G522" s="32"/>
      <c r="H522" s="32"/>
      <c r="I522" s="32"/>
      <c r="J522" s="32"/>
      <c r="K522" s="35"/>
      <c r="L522" s="32"/>
      <c r="M522" s="32"/>
    </row>
    <row r="523" customFormat="false" ht="15" hidden="false" customHeight="true" outlineLevel="0" collapsed="false">
      <c r="A523" s="32"/>
      <c r="B523" s="32"/>
      <c r="C523" s="32"/>
      <c r="D523" s="32"/>
      <c r="E523" s="34" t="str">
        <f aca="false">IF($B523="","",IF($B523="OUT","Liters",IFERROR(INDEX(Setup!$F$3:$F$24,MATCH($C523,Setup!$A$3:$A$24,0)),"")))</f>
        <v/>
      </c>
      <c r="F523" s="28" t="str">
        <f aca="false">IF(OR($D523="",$E523=""),"",IFERROR($D523*INDEX(Setup!$B$27:$B$44,MATCH($E523,Setup!$A$27:$A$44,0)),"TBD"))</f>
        <v/>
      </c>
      <c r="G523" s="32"/>
      <c r="H523" s="32"/>
      <c r="I523" s="32"/>
      <c r="J523" s="32"/>
      <c r="K523" s="35"/>
      <c r="L523" s="32"/>
      <c r="M523" s="32"/>
    </row>
    <row r="524" customFormat="false" ht="15" hidden="false" customHeight="true" outlineLevel="0" collapsed="false">
      <c r="A524" s="32"/>
      <c r="B524" s="32"/>
      <c r="C524" s="32"/>
      <c r="D524" s="32"/>
      <c r="E524" s="34" t="str">
        <f aca="false">IF($B524="","",IF($B524="OUT","Liters",IFERROR(INDEX(Setup!$F$3:$F$24,MATCH($C524,Setup!$A$3:$A$24,0)),"")))</f>
        <v/>
      </c>
      <c r="F524" s="28" t="str">
        <f aca="false">IF(OR($D524="",$E524=""),"",IFERROR($D524*INDEX(Setup!$B$27:$B$44,MATCH($E524,Setup!$A$27:$A$44,0)),"TBD"))</f>
        <v/>
      </c>
      <c r="G524" s="32"/>
      <c r="H524" s="32"/>
      <c r="I524" s="32"/>
      <c r="J524" s="32"/>
      <c r="K524" s="35"/>
      <c r="L524" s="32"/>
      <c r="M524" s="32"/>
    </row>
    <row r="525" customFormat="false" ht="15" hidden="false" customHeight="true" outlineLevel="0" collapsed="false">
      <c r="A525" s="32"/>
      <c r="B525" s="32"/>
      <c r="C525" s="32"/>
      <c r="D525" s="32"/>
      <c r="E525" s="34" t="str">
        <f aca="false">IF($B525="","",IF($B525="OUT","Liters",IFERROR(INDEX(Setup!$F$3:$F$24,MATCH($C525,Setup!$A$3:$A$24,0)),"")))</f>
        <v/>
      </c>
      <c r="F525" s="28" t="str">
        <f aca="false">IF(OR($D525="",$E525=""),"",IFERROR($D525*INDEX(Setup!$B$27:$B$44,MATCH($E525,Setup!$A$27:$A$44,0)),"TBD"))</f>
        <v/>
      </c>
      <c r="G525" s="32"/>
      <c r="H525" s="32"/>
      <c r="I525" s="32"/>
      <c r="J525" s="32"/>
      <c r="K525" s="35"/>
      <c r="L525" s="32"/>
      <c r="M525" s="32"/>
    </row>
    <row r="526" customFormat="false" ht="15" hidden="false" customHeight="true" outlineLevel="0" collapsed="false">
      <c r="A526" s="32"/>
      <c r="B526" s="32"/>
      <c r="C526" s="32"/>
      <c r="D526" s="32"/>
      <c r="E526" s="34" t="str">
        <f aca="false">IF($B526="","",IF($B526="OUT","Liters",IFERROR(INDEX(Setup!$F$3:$F$24,MATCH($C526,Setup!$A$3:$A$24,0)),"")))</f>
        <v/>
      </c>
      <c r="F526" s="28" t="str">
        <f aca="false">IF(OR($D526="",$E526=""),"",IFERROR($D526*INDEX(Setup!$B$27:$B$44,MATCH($E526,Setup!$A$27:$A$44,0)),"TBD"))</f>
        <v/>
      </c>
      <c r="G526" s="32"/>
      <c r="H526" s="32"/>
      <c r="I526" s="32"/>
      <c r="J526" s="32"/>
      <c r="K526" s="35"/>
      <c r="L526" s="32"/>
      <c r="M526" s="32"/>
    </row>
    <row r="527" customFormat="false" ht="15" hidden="false" customHeight="true" outlineLevel="0" collapsed="false">
      <c r="A527" s="32"/>
      <c r="B527" s="32"/>
      <c r="C527" s="32"/>
      <c r="D527" s="32"/>
      <c r="E527" s="34" t="str">
        <f aca="false">IF($B527="","",IF($B527="OUT","Liters",IFERROR(INDEX(Setup!$F$3:$F$24,MATCH($C527,Setup!$A$3:$A$24,0)),"")))</f>
        <v/>
      </c>
      <c r="F527" s="28" t="str">
        <f aca="false">IF(OR($D527="",$E527=""),"",IFERROR($D527*INDEX(Setup!$B$27:$B$44,MATCH($E527,Setup!$A$27:$A$44,0)),"TBD"))</f>
        <v/>
      </c>
      <c r="G527" s="32"/>
      <c r="H527" s="32"/>
      <c r="I527" s="32"/>
      <c r="J527" s="32"/>
      <c r="K527" s="35"/>
      <c r="L527" s="32"/>
      <c r="M527" s="32"/>
    </row>
    <row r="528" customFormat="false" ht="15" hidden="false" customHeight="true" outlineLevel="0" collapsed="false">
      <c r="A528" s="32"/>
      <c r="B528" s="32"/>
      <c r="C528" s="32"/>
      <c r="D528" s="32"/>
      <c r="E528" s="34" t="str">
        <f aca="false">IF($B528="","",IF($B528="OUT","Liters",IFERROR(INDEX(Setup!$F$3:$F$24,MATCH($C528,Setup!$A$3:$A$24,0)),"")))</f>
        <v/>
      </c>
      <c r="F528" s="28" t="str">
        <f aca="false">IF(OR($D528="",$E528=""),"",IFERROR($D528*INDEX(Setup!$B$27:$B$44,MATCH($E528,Setup!$A$27:$A$44,0)),"TBD"))</f>
        <v/>
      </c>
      <c r="G528" s="32"/>
      <c r="H528" s="32"/>
      <c r="I528" s="32"/>
      <c r="J528" s="32"/>
      <c r="K528" s="35"/>
      <c r="L528" s="32"/>
      <c r="M528" s="32"/>
    </row>
    <row r="529" customFormat="false" ht="15" hidden="false" customHeight="true" outlineLevel="0" collapsed="false">
      <c r="A529" s="32"/>
      <c r="B529" s="32"/>
      <c r="C529" s="32"/>
      <c r="D529" s="32"/>
      <c r="E529" s="34" t="str">
        <f aca="false">IF($B529="","",IF($B529="OUT","Liters",IFERROR(INDEX(Setup!$F$3:$F$24,MATCH($C529,Setup!$A$3:$A$24,0)),"")))</f>
        <v/>
      </c>
      <c r="F529" s="28" t="str">
        <f aca="false">IF(OR($D529="",$E529=""),"",IFERROR($D529*INDEX(Setup!$B$27:$B$44,MATCH($E529,Setup!$A$27:$A$44,0)),"TBD"))</f>
        <v/>
      </c>
      <c r="G529" s="32"/>
      <c r="H529" s="32"/>
      <c r="I529" s="32"/>
      <c r="J529" s="32"/>
      <c r="K529" s="35"/>
      <c r="L529" s="32"/>
      <c r="M529" s="32"/>
    </row>
    <row r="530" customFormat="false" ht="15" hidden="false" customHeight="true" outlineLevel="0" collapsed="false">
      <c r="A530" s="32"/>
      <c r="B530" s="32"/>
      <c r="C530" s="32"/>
      <c r="D530" s="32"/>
      <c r="E530" s="34" t="str">
        <f aca="false">IF($B530="","",IF($B530="OUT","Liters",IFERROR(INDEX(Setup!$F$3:$F$24,MATCH($C530,Setup!$A$3:$A$24,0)),"")))</f>
        <v/>
      </c>
      <c r="F530" s="28" t="str">
        <f aca="false">IF(OR($D530="",$E530=""),"",IFERROR($D530*INDEX(Setup!$B$27:$B$44,MATCH($E530,Setup!$A$27:$A$44,0)),"TBD"))</f>
        <v/>
      </c>
      <c r="G530" s="32"/>
      <c r="H530" s="32"/>
      <c r="I530" s="32"/>
      <c r="J530" s="32"/>
      <c r="K530" s="35"/>
      <c r="L530" s="32"/>
      <c r="M530" s="32"/>
    </row>
    <row r="531" customFormat="false" ht="15" hidden="false" customHeight="true" outlineLevel="0" collapsed="false">
      <c r="A531" s="32"/>
      <c r="B531" s="32"/>
      <c r="C531" s="32"/>
      <c r="D531" s="32"/>
      <c r="E531" s="34" t="str">
        <f aca="false">IF($B531="","",IF($B531="OUT","Liters",IFERROR(INDEX(Setup!$F$3:$F$24,MATCH($C531,Setup!$A$3:$A$24,0)),"")))</f>
        <v/>
      </c>
      <c r="F531" s="28" t="str">
        <f aca="false">IF(OR($D531="",$E531=""),"",IFERROR($D531*INDEX(Setup!$B$27:$B$44,MATCH($E531,Setup!$A$27:$A$44,0)),"TBD"))</f>
        <v/>
      </c>
      <c r="G531" s="32"/>
      <c r="H531" s="32"/>
      <c r="I531" s="32"/>
      <c r="J531" s="32"/>
      <c r="K531" s="35"/>
      <c r="L531" s="32"/>
      <c r="M531" s="32"/>
    </row>
    <row r="532" customFormat="false" ht="15" hidden="false" customHeight="true" outlineLevel="0" collapsed="false">
      <c r="A532" s="32"/>
      <c r="B532" s="32"/>
      <c r="C532" s="32"/>
      <c r="D532" s="32"/>
      <c r="E532" s="34" t="str">
        <f aca="false">IF($B532="","",IF($B532="OUT","Liters",IFERROR(INDEX(Setup!$F$3:$F$24,MATCH($C532,Setup!$A$3:$A$24,0)),"")))</f>
        <v/>
      </c>
      <c r="F532" s="28" t="str">
        <f aca="false">IF(OR($D532="",$E532=""),"",IFERROR($D532*INDEX(Setup!$B$27:$B$44,MATCH($E532,Setup!$A$27:$A$44,0)),"TBD"))</f>
        <v/>
      </c>
      <c r="G532" s="32"/>
      <c r="H532" s="32"/>
      <c r="I532" s="32"/>
      <c r="J532" s="32"/>
      <c r="K532" s="35"/>
      <c r="L532" s="32"/>
      <c r="M532" s="32"/>
    </row>
    <row r="533" customFormat="false" ht="15" hidden="false" customHeight="true" outlineLevel="0" collapsed="false">
      <c r="A533" s="32"/>
      <c r="B533" s="32"/>
      <c r="C533" s="32"/>
      <c r="D533" s="32"/>
      <c r="E533" s="34" t="str">
        <f aca="false">IF($B533="","",IF($B533="OUT","Liters",IFERROR(INDEX(Setup!$F$3:$F$24,MATCH($C533,Setup!$A$3:$A$24,0)),"")))</f>
        <v/>
      </c>
      <c r="F533" s="28" t="str">
        <f aca="false">IF(OR($D533="",$E533=""),"",IFERROR($D533*INDEX(Setup!$B$27:$B$44,MATCH($E533,Setup!$A$27:$A$44,0)),"TBD"))</f>
        <v/>
      </c>
      <c r="G533" s="32"/>
      <c r="H533" s="32"/>
      <c r="I533" s="32"/>
      <c r="J533" s="32"/>
      <c r="K533" s="35"/>
      <c r="L533" s="32"/>
      <c r="M533" s="32"/>
    </row>
    <row r="534" customFormat="false" ht="15" hidden="false" customHeight="true" outlineLevel="0" collapsed="false">
      <c r="A534" s="32"/>
      <c r="B534" s="32"/>
      <c r="C534" s="32"/>
      <c r="D534" s="32"/>
      <c r="E534" s="34" t="str">
        <f aca="false">IF($B534="","",IF($B534="OUT","Liters",IFERROR(INDEX(Setup!$F$3:$F$24,MATCH($C534,Setup!$A$3:$A$24,0)),"")))</f>
        <v/>
      </c>
      <c r="F534" s="28" t="str">
        <f aca="false">IF(OR($D534="",$E534=""),"",IFERROR($D534*INDEX(Setup!$B$27:$B$44,MATCH($E534,Setup!$A$27:$A$44,0)),"TBD"))</f>
        <v/>
      </c>
      <c r="G534" s="32"/>
      <c r="H534" s="32"/>
      <c r="I534" s="32"/>
      <c r="J534" s="32"/>
      <c r="K534" s="35"/>
      <c r="L534" s="32"/>
      <c r="M534" s="32"/>
    </row>
    <row r="535" customFormat="false" ht="15" hidden="false" customHeight="true" outlineLevel="0" collapsed="false">
      <c r="A535" s="32"/>
      <c r="B535" s="32"/>
      <c r="C535" s="32"/>
      <c r="D535" s="32"/>
      <c r="E535" s="34" t="str">
        <f aca="false">IF($B535="","",IF($B535="OUT","Liters",IFERROR(INDEX(Setup!$F$3:$F$24,MATCH($C535,Setup!$A$3:$A$24,0)),"")))</f>
        <v/>
      </c>
      <c r="F535" s="28" t="str">
        <f aca="false">IF(OR($D535="",$E535=""),"",IFERROR($D535*INDEX(Setup!$B$27:$B$44,MATCH($E535,Setup!$A$27:$A$44,0)),"TBD"))</f>
        <v/>
      </c>
      <c r="G535" s="32"/>
      <c r="H535" s="32"/>
      <c r="I535" s="32"/>
      <c r="J535" s="32"/>
      <c r="K535" s="35"/>
      <c r="L535" s="32"/>
      <c r="M535" s="32"/>
    </row>
    <row r="536" customFormat="false" ht="15" hidden="false" customHeight="true" outlineLevel="0" collapsed="false">
      <c r="A536" s="32"/>
      <c r="B536" s="32"/>
      <c r="C536" s="32"/>
      <c r="D536" s="32"/>
      <c r="E536" s="34" t="str">
        <f aca="false">IF($B536="","",IF($B536="OUT","Liters",IFERROR(INDEX(Setup!$F$3:$F$24,MATCH($C536,Setup!$A$3:$A$24,0)),"")))</f>
        <v/>
      </c>
      <c r="F536" s="28" t="str">
        <f aca="false">IF(OR($D536="",$E536=""),"",IFERROR($D536*INDEX(Setup!$B$27:$B$44,MATCH($E536,Setup!$A$27:$A$44,0)),"TBD"))</f>
        <v/>
      </c>
      <c r="G536" s="32"/>
      <c r="H536" s="32"/>
      <c r="I536" s="32"/>
      <c r="J536" s="32"/>
      <c r="K536" s="35"/>
      <c r="L536" s="32"/>
      <c r="M536" s="32"/>
    </row>
    <row r="537" customFormat="false" ht="15" hidden="false" customHeight="true" outlineLevel="0" collapsed="false">
      <c r="A537" s="32"/>
      <c r="B537" s="32"/>
      <c r="C537" s="32"/>
      <c r="D537" s="32"/>
      <c r="E537" s="34" t="str">
        <f aca="false">IF($B537="","",IF($B537="OUT","Liters",IFERROR(INDEX(Setup!$F$3:$F$24,MATCH($C537,Setup!$A$3:$A$24,0)),"")))</f>
        <v/>
      </c>
      <c r="F537" s="28" t="str">
        <f aca="false">IF(OR($D537="",$E537=""),"",IFERROR($D537*INDEX(Setup!$B$27:$B$44,MATCH($E537,Setup!$A$27:$A$44,0)),"TBD"))</f>
        <v/>
      </c>
      <c r="G537" s="32"/>
      <c r="H537" s="32"/>
      <c r="I537" s="32"/>
      <c r="J537" s="32"/>
      <c r="K537" s="35"/>
      <c r="L537" s="32"/>
      <c r="M537" s="32"/>
    </row>
    <row r="538" customFormat="false" ht="15" hidden="false" customHeight="true" outlineLevel="0" collapsed="false">
      <c r="A538" s="32"/>
      <c r="B538" s="32"/>
      <c r="C538" s="32"/>
      <c r="D538" s="32"/>
      <c r="E538" s="34" t="str">
        <f aca="false">IF($B538="","",IF($B538="OUT","Liters",IFERROR(INDEX(Setup!$F$3:$F$24,MATCH($C538,Setup!$A$3:$A$24,0)),"")))</f>
        <v/>
      </c>
      <c r="F538" s="28" t="str">
        <f aca="false">IF(OR($D538="",$E538=""),"",IFERROR($D538*INDEX(Setup!$B$27:$B$44,MATCH($E538,Setup!$A$27:$A$44,0)),"TBD"))</f>
        <v/>
      </c>
      <c r="G538" s="32"/>
      <c r="H538" s="32"/>
      <c r="I538" s="32"/>
      <c r="J538" s="32"/>
      <c r="K538" s="35"/>
      <c r="L538" s="32"/>
      <c r="M538" s="32"/>
    </row>
    <row r="539" customFormat="false" ht="15" hidden="false" customHeight="true" outlineLevel="0" collapsed="false">
      <c r="A539" s="32"/>
      <c r="B539" s="32"/>
      <c r="C539" s="32"/>
      <c r="D539" s="32"/>
      <c r="E539" s="34" t="str">
        <f aca="false">IF($B539="","",IF($B539="OUT","Liters",IFERROR(INDEX(Setup!$F$3:$F$24,MATCH($C539,Setup!$A$3:$A$24,0)),"")))</f>
        <v/>
      </c>
      <c r="F539" s="28" t="str">
        <f aca="false">IF(OR($D539="",$E539=""),"",IFERROR($D539*INDEX(Setup!$B$27:$B$44,MATCH($E539,Setup!$A$27:$A$44,0)),"TBD"))</f>
        <v/>
      </c>
      <c r="G539" s="32"/>
      <c r="H539" s="32"/>
      <c r="I539" s="32"/>
      <c r="J539" s="32"/>
      <c r="K539" s="35"/>
      <c r="L539" s="32"/>
      <c r="M539" s="32"/>
    </row>
    <row r="540" customFormat="false" ht="15" hidden="false" customHeight="true" outlineLevel="0" collapsed="false">
      <c r="A540" s="32"/>
      <c r="B540" s="32"/>
      <c r="C540" s="32"/>
      <c r="D540" s="32"/>
      <c r="E540" s="34" t="str">
        <f aca="false">IF($B540="","",IF($B540="OUT","Liters",IFERROR(INDEX(Setup!$F$3:$F$24,MATCH($C540,Setup!$A$3:$A$24,0)),"")))</f>
        <v/>
      </c>
      <c r="F540" s="28" t="str">
        <f aca="false">IF(OR($D540="",$E540=""),"",IFERROR($D540*INDEX(Setup!$B$27:$B$44,MATCH($E540,Setup!$A$27:$A$44,0)),"TBD"))</f>
        <v/>
      </c>
      <c r="G540" s="32"/>
      <c r="H540" s="32"/>
      <c r="I540" s="32"/>
      <c r="J540" s="32"/>
      <c r="K540" s="35"/>
      <c r="L540" s="32"/>
      <c r="M540" s="32"/>
    </row>
    <row r="541" customFormat="false" ht="15" hidden="false" customHeight="true" outlineLevel="0" collapsed="false">
      <c r="A541" s="32"/>
      <c r="B541" s="32"/>
      <c r="C541" s="32"/>
      <c r="D541" s="32"/>
      <c r="E541" s="34" t="str">
        <f aca="false">IF($B541="","",IF($B541="OUT","Liters",IFERROR(INDEX(Setup!$F$3:$F$24,MATCH($C541,Setup!$A$3:$A$24,0)),"")))</f>
        <v/>
      </c>
      <c r="F541" s="28" t="str">
        <f aca="false">IF(OR($D541="",$E541=""),"",IFERROR($D541*INDEX(Setup!$B$27:$B$44,MATCH($E541,Setup!$A$27:$A$44,0)),"TBD"))</f>
        <v/>
      </c>
      <c r="G541" s="32"/>
      <c r="H541" s="32"/>
      <c r="I541" s="32"/>
      <c r="J541" s="32"/>
      <c r="K541" s="35"/>
      <c r="L541" s="32"/>
      <c r="M541" s="32"/>
    </row>
    <row r="542" customFormat="false" ht="15" hidden="false" customHeight="true" outlineLevel="0" collapsed="false">
      <c r="A542" s="32"/>
      <c r="B542" s="32"/>
      <c r="C542" s="32"/>
      <c r="D542" s="32"/>
      <c r="E542" s="34" t="str">
        <f aca="false">IF($B542="","",IF($B542="OUT","Liters",IFERROR(INDEX(Setup!$F$3:$F$24,MATCH($C542,Setup!$A$3:$A$24,0)),"")))</f>
        <v/>
      </c>
      <c r="F542" s="28" t="str">
        <f aca="false">IF(OR($D542="",$E542=""),"",IFERROR($D542*INDEX(Setup!$B$27:$B$44,MATCH($E542,Setup!$A$27:$A$44,0)),"TBD"))</f>
        <v/>
      </c>
      <c r="G542" s="32"/>
      <c r="H542" s="32"/>
      <c r="I542" s="32"/>
      <c r="J542" s="32"/>
      <c r="K542" s="35"/>
      <c r="L542" s="32"/>
      <c r="M542" s="32"/>
    </row>
    <row r="543" customFormat="false" ht="15" hidden="false" customHeight="true" outlineLevel="0" collapsed="false">
      <c r="A543" s="32"/>
      <c r="B543" s="32"/>
      <c r="C543" s="32"/>
      <c r="D543" s="32"/>
      <c r="E543" s="34" t="str">
        <f aca="false">IF($B543="","",IF($B543="OUT","Liters",IFERROR(INDEX(Setup!$F$3:$F$24,MATCH($C543,Setup!$A$3:$A$24,0)),"")))</f>
        <v/>
      </c>
      <c r="F543" s="28" t="str">
        <f aca="false">IF(OR($D543="",$E543=""),"",IFERROR($D543*INDEX(Setup!$B$27:$B$44,MATCH($E543,Setup!$A$27:$A$44,0)),"TBD"))</f>
        <v/>
      </c>
      <c r="G543" s="32"/>
      <c r="H543" s="32"/>
      <c r="I543" s="32"/>
      <c r="J543" s="32"/>
      <c r="K543" s="35"/>
      <c r="L543" s="32"/>
      <c r="M543" s="32"/>
    </row>
    <row r="544" customFormat="false" ht="15" hidden="false" customHeight="true" outlineLevel="0" collapsed="false">
      <c r="A544" s="32"/>
      <c r="B544" s="32"/>
      <c r="C544" s="32"/>
      <c r="D544" s="32"/>
      <c r="E544" s="34" t="str">
        <f aca="false">IF($B544="","",IF($B544="OUT","Liters",IFERROR(INDEX(Setup!$F$3:$F$24,MATCH($C544,Setup!$A$3:$A$24,0)),"")))</f>
        <v/>
      </c>
      <c r="F544" s="28" t="str">
        <f aca="false">IF(OR($D544="",$E544=""),"",IFERROR($D544*INDEX(Setup!$B$27:$B$44,MATCH($E544,Setup!$A$27:$A$44,0)),"TBD"))</f>
        <v/>
      </c>
      <c r="G544" s="32"/>
      <c r="H544" s="32"/>
      <c r="I544" s="32"/>
      <c r="J544" s="32"/>
      <c r="K544" s="35"/>
      <c r="L544" s="32"/>
      <c r="M544" s="32"/>
    </row>
    <row r="545" customFormat="false" ht="15" hidden="false" customHeight="true" outlineLevel="0" collapsed="false">
      <c r="A545" s="32"/>
      <c r="B545" s="32"/>
      <c r="C545" s="32"/>
      <c r="D545" s="32"/>
      <c r="E545" s="34" t="str">
        <f aca="false">IF($B545="","",IF($B545="OUT","Liters",IFERROR(INDEX(Setup!$F$3:$F$24,MATCH($C545,Setup!$A$3:$A$24,0)),"")))</f>
        <v/>
      </c>
      <c r="F545" s="28" t="str">
        <f aca="false">IF(OR($D545="",$E545=""),"",IFERROR($D545*INDEX(Setup!$B$27:$B$44,MATCH($E545,Setup!$A$27:$A$44,0)),"TBD"))</f>
        <v/>
      </c>
      <c r="G545" s="32"/>
      <c r="H545" s="32"/>
      <c r="I545" s="32"/>
      <c r="J545" s="32"/>
      <c r="K545" s="35"/>
      <c r="L545" s="32"/>
      <c r="M545" s="32"/>
    </row>
    <row r="546" customFormat="false" ht="15" hidden="false" customHeight="true" outlineLevel="0" collapsed="false">
      <c r="A546" s="32"/>
      <c r="B546" s="32"/>
      <c r="C546" s="32"/>
      <c r="D546" s="32"/>
      <c r="E546" s="34" t="str">
        <f aca="false">IF($B546="","",IF($B546="OUT","Liters",IFERROR(INDEX(Setup!$F$3:$F$24,MATCH($C546,Setup!$A$3:$A$24,0)),"")))</f>
        <v/>
      </c>
      <c r="F546" s="28" t="str">
        <f aca="false">IF(OR($D546="",$E546=""),"",IFERROR($D546*INDEX(Setup!$B$27:$B$44,MATCH($E546,Setup!$A$27:$A$44,0)),"TBD"))</f>
        <v/>
      </c>
      <c r="G546" s="32"/>
      <c r="H546" s="32"/>
      <c r="I546" s="32"/>
      <c r="J546" s="32"/>
      <c r="K546" s="35"/>
      <c r="L546" s="32"/>
      <c r="M546" s="32"/>
    </row>
    <row r="547" customFormat="false" ht="15" hidden="false" customHeight="true" outlineLevel="0" collapsed="false">
      <c r="A547" s="32"/>
      <c r="B547" s="32"/>
      <c r="C547" s="32"/>
      <c r="D547" s="32"/>
      <c r="E547" s="34" t="str">
        <f aca="false">IF($B547="","",IF($B547="OUT","Liters",IFERROR(INDEX(Setup!$F$3:$F$24,MATCH($C547,Setup!$A$3:$A$24,0)),"")))</f>
        <v/>
      </c>
      <c r="F547" s="28" t="str">
        <f aca="false">IF(OR($D547="",$E547=""),"",IFERROR($D547*INDEX(Setup!$B$27:$B$44,MATCH($E547,Setup!$A$27:$A$44,0)),"TBD"))</f>
        <v/>
      </c>
      <c r="G547" s="32"/>
      <c r="H547" s="32"/>
      <c r="I547" s="32"/>
      <c r="J547" s="32"/>
      <c r="K547" s="35"/>
      <c r="L547" s="32"/>
      <c r="M547" s="32"/>
    </row>
    <row r="548" customFormat="false" ht="15" hidden="false" customHeight="true" outlineLevel="0" collapsed="false">
      <c r="A548" s="32"/>
      <c r="B548" s="32"/>
      <c r="C548" s="32"/>
      <c r="D548" s="32"/>
      <c r="E548" s="34" t="str">
        <f aca="false">IF($B548="","",IF($B548="OUT","Liters",IFERROR(INDEX(Setup!$F$3:$F$24,MATCH($C548,Setup!$A$3:$A$24,0)),"")))</f>
        <v/>
      </c>
      <c r="F548" s="28" t="str">
        <f aca="false">IF(OR($D548="",$E548=""),"",IFERROR($D548*INDEX(Setup!$B$27:$B$44,MATCH($E548,Setup!$A$27:$A$44,0)),"TBD"))</f>
        <v/>
      </c>
      <c r="G548" s="32"/>
      <c r="H548" s="32"/>
      <c r="I548" s="32"/>
      <c r="J548" s="32"/>
      <c r="K548" s="35"/>
      <c r="L548" s="32"/>
      <c r="M548" s="32"/>
    </row>
    <row r="549" customFormat="false" ht="15" hidden="false" customHeight="true" outlineLevel="0" collapsed="false">
      <c r="A549" s="32"/>
      <c r="B549" s="32"/>
      <c r="C549" s="32"/>
      <c r="D549" s="32"/>
      <c r="E549" s="34" t="str">
        <f aca="false">IF($B549="","",IF($B549="OUT","Liters",IFERROR(INDEX(Setup!$F$3:$F$24,MATCH($C549,Setup!$A$3:$A$24,0)),"")))</f>
        <v/>
      </c>
      <c r="F549" s="28" t="str">
        <f aca="false">IF(OR($D549="",$E549=""),"",IFERROR($D549*INDEX(Setup!$B$27:$B$44,MATCH($E549,Setup!$A$27:$A$44,0)),"TBD"))</f>
        <v/>
      </c>
      <c r="G549" s="32"/>
      <c r="H549" s="32"/>
      <c r="I549" s="32"/>
      <c r="J549" s="32"/>
      <c r="K549" s="35"/>
      <c r="L549" s="32"/>
      <c r="M549" s="32"/>
    </row>
    <row r="550" customFormat="false" ht="15" hidden="false" customHeight="true" outlineLevel="0" collapsed="false">
      <c r="A550" s="32"/>
      <c r="B550" s="32"/>
      <c r="C550" s="32"/>
      <c r="D550" s="32"/>
      <c r="E550" s="34" t="str">
        <f aca="false">IF($B550="","",IF($B550="OUT","Liters",IFERROR(INDEX(Setup!$F$3:$F$24,MATCH($C550,Setup!$A$3:$A$24,0)),"")))</f>
        <v/>
      </c>
      <c r="F550" s="28" t="str">
        <f aca="false">IF(OR($D550="",$E550=""),"",IFERROR($D550*INDEX(Setup!$B$27:$B$44,MATCH($E550,Setup!$A$27:$A$44,0)),"TBD"))</f>
        <v/>
      </c>
      <c r="G550" s="32"/>
      <c r="H550" s="32"/>
      <c r="I550" s="32"/>
      <c r="J550" s="32"/>
      <c r="K550" s="35"/>
      <c r="L550" s="32"/>
      <c r="M550" s="32"/>
    </row>
    <row r="551" customFormat="false" ht="15" hidden="false" customHeight="true" outlineLevel="0" collapsed="false">
      <c r="A551" s="32"/>
      <c r="B551" s="32"/>
      <c r="C551" s="32"/>
      <c r="D551" s="32"/>
      <c r="E551" s="34" t="str">
        <f aca="false">IF($B551="","",IF($B551="OUT","Liters",IFERROR(INDEX(Setup!$F$3:$F$24,MATCH($C551,Setup!$A$3:$A$24,0)),"")))</f>
        <v/>
      </c>
      <c r="F551" s="28" t="str">
        <f aca="false">IF(OR($D551="",$E551=""),"",IFERROR($D551*INDEX(Setup!$B$27:$B$44,MATCH($E551,Setup!$A$27:$A$44,0)),"TBD"))</f>
        <v/>
      </c>
      <c r="G551" s="32"/>
      <c r="H551" s="32"/>
      <c r="I551" s="32"/>
      <c r="J551" s="32"/>
      <c r="K551" s="35"/>
      <c r="L551" s="32"/>
      <c r="M551" s="32"/>
    </row>
    <row r="552" customFormat="false" ht="15" hidden="false" customHeight="true" outlineLevel="0" collapsed="false">
      <c r="A552" s="32"/>
      <c r="B552" s="32"/>
      <c r="C552" s="32"/>
      <c r="D552" s="32"/>
      <c r="E552" s="34" t="str">
        <f aca="false">IF($B552="","",IF($B552="OUT","Liters",IFERROR(INDEX(Setup!$F$3:$F$24,MATCH($C552,Setup!$A$3:$A$24,0)),"")))</f>
        <v/>
      </c>
      <c r="F552" s="28" t="str">
        <f aca="false">IF(OR($D552="",$E552=""),"",IFERROR($D552*INDEX(Setup!$B$27:$B$44,MATCH($E552,Setup!$A$27:$A$44,0)),"TBD"))</f>
        <v/>
      </c>
      <c r="G552" s="32"/>
      <c r="H552" s="32"/>
      <c r="I552" s="32"/>
      <c r="J552" s="32"/>
      <c r="K552" s="35"/>
      <c r="L552" s="32"/>
      <c r="M552" s="32"/>
    </row>
    <row r="553" customFormat="false" ht="15" hidden="false" customHeight="true" outlineLevel="0" collapsed="false">
      <c r="A553" s="32"/>
      <c r="B553" s="32"/>
      <c r="C553" s="32"/>
      <c r="D553" s="32"/>
      <c r="E553" s="34" t="str">
        <f aca="false">IF($B553="","",IF($B553="OUT","Liters",IFERROR(INDEX(Setup!$F$3:$F$24,MATCH($C553,Setup!$A$3:$A$24,0)),"")))</f>
        <v/>
      </c>
      <c r="F553" s="28" t="str">
        <f aca="false">IF(OR($D553="",$E553=""),"",IFERROR($D553*INDEX(Setup!$B$27:$B$44,MATCH($E553,Setup!$A$27:$A$44,0)),"TBD"))</f>
        <v/>
      </c>
      <c r="G553" s="32"/>
      <c r="H553" s="32"/>
      <c r="I553" s="32"/>
      <c r="J553" s="32"/>
      <c r="K553" s="35"/>
      <c r="L553" s="32"/>
      <c r="M553" s="32"/>
    </row>
    <row r="554" customFormat="false" ht="15" hidden="false" customHeight="true" outlineLevel="0" collapsed="false">
      <c r="A554" s="32"/>
      <c r="B554" s="32"/>
      <c r="C554" s="32"/>
      <c r="D554" s="32"/>
      <c r="E554" s="34" t="str">
        <f aca="false">IF($B554="","",IF($B554="OUT","Liters",IFERROR(INDEX(Setup!$F$3:$F$24,MATCH($C554,Setup!$A$3:$A$24,0)),"")))</f>
        <v/>
      </c>
      <c r="F554" s="28" t="str">
        <f aca="false">IF(OR($D554="",$E554=""),"",IFERROR($D554*INDEX(Setup!$B$27:$B$44,MATCH($E554,Setup!$A$27:$A$44,0)),"TBD"))</f>
        <v/>
      </c>
      <c r="G554" s="32"/>
      <c r="H554" s="32"/>
      <c r="I554" s="32"/>
      <c r="J554" s="32"/>
      <c r="K554" s="35"/>
      <c r="L554" s="32"/>
      <c r="M554" s="32"/>
    </row>
    <row r="555" customFormat="false" ht="15" hidden="false" customHeight="true" outlineLevel="0" collapsed="false">
      <c r="A555" s="32"/>
      <c r="B555" s="32"/>
      <c r="C555" s="32"/>
      <c r="D555" s="32"/>
      <c r="E555" s="34" t="str">
        <f aca="false">IF($B555="","",IF($B555="OUT","Liters",IFERROR(INDEX(Setup!$F$3:$F$24,MATCH($C555,Setup!$A$3:$A$24,0)),"")))</f>
        <v/>
      </c>
      <c r="F555" s="28" t="str">
        <f aca="false">IF(OR($D555="",$E555=""),"",IFERROR($D555*INDEX(Setup!$B$27:$B$44,MATCH($E555,Setup!$A$27:$A$44,0)),"TBD"))</f>
        <v/>
      </c>
      <c r="G555" s="32"/>
      <c r="H555" s="32"/>
      <c r="I555" s="32"/>
      <c r="J555" s="32"/>
      <c r="K555" s="35"/>
      <c r="L555" s="32"/>
      <c r="M555" s="32"/>
    </row>
    <row r="556" customFormat="false" ht="15" hidden="false" customHeight="true" outlineLevel="0" collapsed="false">
      <c r="A556" s="32"/>
      <c r="B556" s="32"/>
      <c r="C556" s="32"/>
      <c r="D556" s="32"/>
      <c r="E556" s="34" t="str">
        <f aca="false">IF($B556="","",IF($B556="OUT","Liters",IFERROR(INDEX(Setup!$F$3:$F$24,MATCH($C556,Setup!$A$3:$A$24,0)),"")))</f>
        <v/>
      </c>
      <c r="F556" s="28" t="str">
        <f aca="false">IF(OR($D556="",$E556=""),"",IFERROR($D556*INDEX(Setup!$B$27:$B$44,MATCH($E556,Setup!$A$27:$A$44,0)),"TBD"))</f>
        <v/>
      </c>
      <c r="G556" s="32"/>
      <c r="H556" s="32"/>
      <c r="I556" s="32"/>
      <c r="J556" s="32"/>
      <c r="K556" s="35"/>
      <c r="L556" s="32"/>
      <c r="M556" s="32"/>
    </row>
    <row r="557" customFormat="false" ht="15" hidden="false" customHeight="true" outlineLevel="0" collapsed="false">
      <c r="A557" s="32"/>
      <c r="B557" s="32"/>
      <c r="C557" s="32"/>
      <c r="D557" s="32"/>
      <c r="E557" s="34" t="str">
        <f aca="false">IF($B557="","",IF($B557="OUT","Liters",IFERROR(INDEX(Setup!$F$3:$F$24,MATCH($C557,Setup!$A$3:$A$24,0)),"")))</f>
        <v/>
      </c>
      <c r="F557" s="28" t="str">
        <f aca="false">IF(OR($D557="",$E557=""),"",IFERROR($D557*INDEX(Setup!$B$27:$B$44,MATCH($E557,Setup!$A$27:$A$44,0)),"TBD"))</f>
        <v/>
      </c>
      <c r="G557" s="32"/>
      <c r="H557" s="32"/>
      <c r="I557" s="32"/>
      <c r="J557" s="32"/>
      <c r="K557" s="35"/>
      <c r="L557" s="32"/>
      <c r="M557" s="32"/>
    </row>
    <row r="558" customFormat="false" ht="15" hidden="false" customHeight="true" outlineLevel="0" collapsed="false">
      <c r="A558" s="32"/>
      <c r="B558" s="32"/>
      <c r="C558" s="32"/>
      <c r="D558" s="32"/>
      <c r="E558" s="34" t="str">
        <f aca="false">IF($B558="","",IF($B558="OUT","Liters",IFERROR(INDEX(Setup!$F$3:$F$24,MATCH($C558,Setup!$A$3:$A$24,0)),"")))</f>
        <v/>
      </c>
      <c r="F558" s="28" t="str">
        <f aca="false">IF(OR($D558="",$E558=""),"",IFERROR($D558*INDEX(Setup!$B$27:$B$44,MATCH($E558,Setup!$A$27:$A$44,0)),"TBD"))</f>
        <v/>
      </c>
      <c r="G558" s="32"/>
      <c r="H558" s="32"/>
      <c r="I558" s="32"/>
      <c r="J558" s="32"/>
      <c r="K558" s="35"/>
      <c r="L558" s="32"/>
      <c r="M558" s="32"/>
    </row>
    <row r="559" customFormat="false" ht="15" hidden="false" customHeight="true" outlineLevel="0" collapsed="false">
      <c r="A559" s="32"/>
      <c r="B559" s="32"/>
      <c r="C559" s="32"/>
      <c r="D559" s="32"/>
      <c r="E559" s="34" t="str">
        <f aca="false">IF($B559="","",IF($B559="OUT","Liters",IFERROR(INDEX(Setup!$F$3:$F$24,MATCH($C559,Setup!$A$3:$A$24,0)),"")))</f>
        <v/>
      </c>
      <c r="F559" s="28" t="str">
        <f aca="false">IF(OR($D559="",$E559=""),"",IFERROR($D559*INDEX(Setup!$B$27:$B$44,MATCH($E559,Setup!$A$27:$A$44,0)),"TBD"))</f>
        <v/>
      </c>
      <c r="G559" s="32"/>
      <c r="H559" s="32"/>
      <c r="I559" s="32"/>
      <c r="J559" s="32"/>
      <c r="K559" s="35"/>
      <c r="L559" s="32"/>
      <c r="M559" s="32"/>
    </row>
    <row r="560" customFormat="false" ht="15" hidden="false" customHeight="true" outlineLevel="0" collapsed="false">
      <c r="A560" s="32"/>
      <c r="B560" s="32"/>
      <c r="C560" s="32"/>
      <c r="D560" s="32"/>
      <c r="E560" s="34" t="str">
        <f aca="false">IF($B560="","",IF($B560="OUT","Liters",IFERROR(INDEX(Setup!$F$3:$F$24,MATCH($C560,Setup!$A$3:$A$24,0)),"")))</f>
        <v/>
      </c>
      <c r="F560" s="28" t="str">
        <f aca="false">IF(OR($D560="",$E560=""),"",IFERROR($D560*INDEX(Setup!$B$27:$B$44,MATCH($E560,Setup!$A$27:$A$44,0)),"TBD"))</f>
        <v/>
      </c>
      <c r="G560" s="32"/>
      <c r="H560" s="32"/>
      <c r="I560" s="32"/>
      <c r="J560" s="32"/>
      <c r="K560" s="35"/>
      <c r="L560" s="32"/>
      <c r="M560" s="32"/>
    </row>
    <row r="561" customFormat="false" ht="15" hidden="false" customHeight="true" outlineLevel="0" collapsed="false">
      <c r="A561" s="32"/>
      <c r="B561" s="32"/>
      <c r="C561" s="32"/>
      <c r="D561" s="32"/>
      <c r="E561" s="34" t="str">
        <f aca="false">IF($B561="","",IF($B561="OUT","Liters",IFERROR(INDEX(Setup!$F$3:$F$24,MATCH($C561,Setup!$A$3:$A$24,0)),"")))</f>
        <v/>
      </c>
      <c r="F561" s="28" t="str">
        <f aca="false">IF(OR($D561="",$E561=""),"",IFERROR($D561*INDEX(Setup!$B$27:$B$44,MATCH($E561,Setup!$A$27:$A$44,0)),"TBD"))</f>
        <v/>
      </c>
      <c r="G561" s="32"/>
      <c r="H561" s="32"/>
      <c r="I561" s="32"/>
      <c r="J561" s="32"/>
      <c r="K561" s="35"/>
      <c r="L561" s="32"/>
      <c r="M561" s="32"/>
    </row>
    <row r="562" customFormat="false" ht="15" hidden="false" customHeight="true" outlineLevel="0" collapsed="false">
      <c r="A562" s="32"/>
      <c r="B562" s="32"/>
      <c r="C562" s="32"/>
      <c r="D562" s="32"/>
      <c r="E562" s="34" t="str">
        <f aca="false">IF($B562="","",IF($B562="OUT","Liters",IFERROR(INDEX(Setup!$F$3:$F$24,MATCH($C562,Setup!$A$3:$A$24,0)),"")))</f>
        <v/>
      </c>
      <c r="F562" s="28" t="str">
        <f aca="false">IF(OR($D562="",$E562=""),"",IFERROR($D562*INDEX(Setup!$B$27:$B$44,MATCH($E562,Setup!$A$27:$A$44,0)),"TBD"))</f>
        <v/>
      </c>
      <c r="G562" s="32"/>
      <c r="H562" s="32"/>
      <c r="I562" s="32"/>
      <c r="J562" s="32"/>
      <c r="K562" s="35"/>
      <c r="L562" s="32"/>
      <c r="M562" s="32"/>
    </row>
    <row r="563" customFormat="false" ht="15" hidden="false" customHeight="true" outlineLevel="0" collapsed="false">
      <c r="A563" s="32"/>
      <c r="B563" s="32"/>
      <c r="C563" s="32"/>
      <c r="D563" s="32"/>
      <c r="E563" s="34" t="str">
        <f aca="false">IF($B563="","",IF($B563="OUT","Liters",IFERROR(INDEX(Setup!$F$3:$F$24,MATCH($C563,Setup!$A$3:$A$24,0)),"")))</f>
        <v/>
      </c>
      <c r="F563" s="28" t="str">
        <f aca="false">IF(OR($D563="",$E563=""),"",IFERROR($D563*INDEX(Setup!$B$27:$B$44,MATCH($E563,Setup!$A$27:$A$44,0)),"TBD"))</f>
        <v/>
      </c>
      <c r="G563" s="32"/>
      <c r="H563" s="32"/>
      <c r="I563" s="32"/>
      <c r="J563" s="32"/>
      <c r="K563" s="35"/>
      <c r="L563" s="32"/>
      <c r="M563" s="32"/>
    </row>
    <row r="564" customFormat="false" ht="15" hidden="false" customHeight="true" outlineLevel="0" collapsed="false">
      <c r="A564" s="32"/>
      <c r="B564" s="32"/>
      <c r="C564" s="32"/>
      <c r="D564" s="32"/>
      <c r="E564" s="34" t="str">
        <f aca="false">IF($B564="","",IF($B564="OUT","Liters",IFERROR(INDEX(Setup!$F$3:$F$24,MATCH($C564,Setup!$A$3:$A$24,0)),"")))</f>
        <v/>
      </c>
      <c r="F564" s="28" t="str">
        <f aca="false">IF(OR($D564="",$E564=""),"",IFERROR($D564*INDEX(Setup!$B$27:$B$44,MATCH($E564,Setup!$A$27:$A$44,0)),"TBD"))</f>
        <v/>
      </c>
      <c r="G564" s="32"/>
      <c r="H564" s="32"/>
      <c r="I564" s="32"/>
      <c r="J564" s="32"/>
      <c r="K564" s="35"/>
      <c r="L564" s="32"/>
      <c r="M564" s="32"/>
    </row>
    <row r="565" customFormat="false" ht="15" hidden="false" customHeight="true" outlineLevel="0" collapsed="false">
      <c r="A565" s="32"/>
      <c r="B565" s="32"/>
      <c r="C565" s="32"/>
      <c r="D565" s="32"/>
      <c r="E565" s="34" t="str">
        <f aca="false">IF($B565="","",IF($B565="OUT","Liters",IFERROR(INDEX(Setup!$F$3:$F$24,MATCH($C565,Setup!$A$3:$A$24,0)),"")))</f>
        <v/>
      </c>
      <c r="F565" s="28" t="str">
        <f aca="false">IF(OR($D565="",$E565=""),"",IFERROR($D565*INDEX(Setup!$B$27:$B$44,MATCH($E565,Setup!$A$27:$A$44,0)),"TBD"))</f>
        <v/>
      </c>
      <c r="G565" s="32"/>
      <c r="H565" s="32"/>
      <c r="I565" s="32"/>
      <c r="J565" s="32"/>
      <c r="K565" s="35"/>
      <c r="L565" s="32"/>
      <c r="M565" s="32"/>
    </row>
    <row r="566" customFormat="false" ht="15" hidden="false" customHeight="true" outlineLevel="0" collapsed="false">
      <c r="A566" s="32"/>
      <c r="B566" s="32"/>
      <c r="C566" s="32"/>
      <c r="D566" s="32"/>
      <c r="E566" s="34" t="str">
        <f aca="false">IF($B566="","",IF($B566="OUT","Liters",IFERROR(INDEX(Setup!$F$3:$F$24,MATCH($C566,Setup!$A$3:$A$24,0)),"")))</f>
        <v/>
      </c>
      <c r="F566" s="28" t="str">
        <f aca="false">IF(OR($D566="",$E566=""),"",IFERROR($D566*INDEX(Setup!$B$27:$B$44,MATCH($E566,Setup!$A$27:$A$44,0)),"TBD"))</f>
        <v/>
      </c>
      <c r="G566" s="32"/>
      <c r="H566" s="32"/>
      <c r="I566" s="32"/>
      <c r="J566" s="32"/>
      <c r="K566" s="35"/>
      <c r="L566" s="32"/>
      <c r="M566" s="32"/>
    </row>
    <row r="567" customFormat="false" ht="15" hidden="false" customHeight="true" outlineLevel="0" collapsed="false">
      <c r="A567" s="32"/>
      <c r="B567" s="32"/>
      <c r="C567" s="32"/>
      <c r="D567" s="32"/>
      <c r="E567" s="34" t="str">
        <f aca="false">IF($B567="","",IF($B567="OUT","Liters",IFERROR(INDEX(Setup!$F$3:$F$24,MATCH($C567,Setup!$A$3:$A$24,0)),"")))</f>
        <v/>
      </c>
      <c r="F567" s="28" t="str">
        <f aca="false">IF(OR($D567="",$E567=""),"",IFERROR($D567*INDEX(Setup!$B$27:$B$44,MATCH($E567,Setup!$A$27:$A$44,0)),"TBD"))</f>
        <v/>
      </c>
      <c r="G567" s="32"/>
      <c r="H567" s="32"/>
      <c r="I567" s="32"/>
      <c r="J567" s="32"/>
      <c r="K567" s="35"/>
      <c r="L567" s="32"/>
      <c r="M567" s="32"/>
    </row>
    <row r="568" customFormat="false" ht="15" hidden="false" customHeight="true" outlineLevel="0" collapsed="false">
      <c r="A568" s="32"/>
      <c r="B568" s="32"/>
      <c r="C568" s="32"/>
      <c r="D568" s="32"/>
      <c r="E568" s="34" t="str">
        <f aca="false">IF($B568="","",IF($B568="OUT","Liters",IFERROR(INDEX(Setup!$F$3:$F$24,MATCH($C568,Setup!$A$3:$A$24,0)),"")))</f>
        <v/>
      </c>
      <c r="F568" s="28" t="str">
        <f aca="false">IF(OR($D568="",$E568=""),"",IFERROR($D568*INDEX(Setup!$B$27:$B$44,MATCH($E568,Setup!$A$27:$A$44,0)),"TBD"))</f>
        <v/>
      </c>
      <c r="G568" s="32"/>
      <c r="H568" s="32"/>
      <c r="I568" s="32"/>
      <c r="J568" s="32"/>
      <c r="K568" s="35"/>
      <c r="L568" s="32"/>
      <c r="M568" s="32"/>
    </row>
    <row r="569" customFormat="false" ht="15" hidden="false" customHeight="true" outlineLevel="0" collapsed="false">
      <c r="A569" s="32"/>
      <c r="B569" s="32"/>
      <c r="C569" s="32"/>
      <c r="D569" s="32"/>
      <c r="E569" s="34" t="str">
        <f aca="false">IF($B569="","",IF($B569="OUT","Liters",IFERROR(INDEX(Setup!$F$3:$F$24,MATCH($C569,Setup!$A$3:$A$24,0)),"")))</f>
        <v/>
      </c>
      <c r="F569" s="28" t="str">
        <f aca="false">IF(OR($D569="",$E569=""),"",IFERROR($D569*INDEX(Setup!$B$27:$B$44,MATCH($E569,Setup!$A$27:$A$44,0)),"TBD"))</f>
        <v/>
      </c>
      <c r="G569" s="32"/>
      <c r="H569" s="32"/>
      <c r="I569" s="32"/>
      <c r="J569" s="32"/>
      <c r="K569" s="35"/>
      <c r="L569" s="32"/>
      <c r="M569" s="32"/>
    </row>
    <row r="570" customFormat="false" ht="15" hidden="false" customHeight="true" outlineLevel="0" collapsed="false">
      <c r="A570" s="32"/>
      <c r="B570" s="32"/>
      <c r="C570" s="32"/>
      <c r="D570" s="32"/>
      <c r="E570" s="34" t="str">
        <f aca="false">IF($B570="","",IF($B570="OUT","Liters",IFERROR(INDEX(Setup!$F$3:$F$24,MATCH($C570,Setup!$A$3:$A$24,0)),"")))</f>
        <v/>
      </c>
      <c r="F570" s="28" t="str">
        <f aca="false">IF(OR($D570="",$E570=""),"",IFERROR($D570*INDEX(Setup!$B$27:$B$44,MATCH($E570,Setup!$A$27:$A$44,0)),"TBD"))</f>
        <v/>
      </c>
      <c r="G570" s="32"/>
      <c r="H570" s="32"/>
      <c r="I570" s="32"/>
      <c r="J570" s="32"/>
      <c r="K570" s="35"/>
      <c r="L570" s="32"/>
      <c r="M570" s="32"/>
    </row>
    <row r="571" customFormat="false" ht="15" hidden="false" customHeight="true" outlineLevel="0" collapsed="false">
      <c r="A571" s="32"/>
      <c r="B571" s="32"/>
      <c r="C571" s="32"/>
      <c r="D571" s="32"/>
      <c r="E571" s="34" t="str">
        <f aca="false">IF($B571="","",IF($B571="OUT","Liters",IFERROR(INDEX(Setup!$F$3:$F$24,MATCH($C571,Setup!$A$3:$A$24,0)),"")))</f>
        <v/>
      </c>
      <c r="F571" s="28" t="str">
        <f aca="false">IF(OR($D571="",$E571=""),"",IFERROR($D571*INDEX(Setup!$B$27:$B$44,MATCH($E571,Setup!$A$27:$A$44,0)),"TBD"))</f>
        <v/>
      </c>
      <c r="G571" s="32"/>
      <c r="H571" s="32"/>
      <c r="I571" s="32"/>
      <c r="J571" s="32"/>
      <c r="K571" s="35"/>
      <c r="L571" s="32"/>
      <c r="M571" s="32"/>
    </row>
    <row r="572" customFormat="false" ht="15" hidden="false" customHeight="true" outlineLevel="0" collapsed="false">
      <c r="A572" s="32"/>
      <c r="B572" s="32"/>
      <c r="C572" s="32"/>
      <c r="D572" s="32"/>
      <c r="E572" s="34" t="str">
        <f aca="false">IF($B572="","",IF($B572="OUT","Liters",IFERROR(INDEX(Setup!$F$3:$F$24,MATCH($C572,Setup!$A$3:$A$24,0)),"")))</f>
        <v/>
      </c>
      <c r="F572" s="28" t="str">
        <f aca="false">IF(OR($D572="",$E572=""),"",IFERROR($D572*INDEX(Setup!$B$27:$B$44,MATCH($E572,Setup!$A$27:$A$44,0)),"TBD"))</f>
        <v/>
      </c>
      <c r="G572" s="32"/>
      <c r="H572" s="32"/>
      <c r="I572" s="32"/>
      <c r="J572" s="32"/>
      <c r="K572" s="35"/>
      <c r="L572" s="32"/>
      <c r="M572" s="32"/>
    </row>
    <row r="573" customFormat="false" ht="15" hidden="false" customHeight="true" outlineLevel="0" collapsed="false">
      <c r="A573" s="32"/>
      <c r="B573" s="32"/>
      <c r="C573" s="32"/>
      <c r="D573" s="32"/>
      <c r="E573" s="34" t="str">
        <f aca="false">IF($B573="","",IF($B573="OUT","Liters",IFERROR(INDEX(Setup!$F$3:$F$24,MATCH($C573,Setup!$A$3:$A$24,0)),"")))</f>
        <v/>
      </c>
      <c r="F573" s="28" t="str">
        <f aca="false">IF(OR($D573="",$E573=""),"",IFERROR($D573*INDEX(Setup!$B$27:$B$44,MATCH($E573,Setup!$A$27:$A$44,0)),"TBD"))</f>
        <v/>
      </c>
      <c r="G573" s="32"/>
      <c r="H573" s="32"/>
      <c r="I573" s="32"/>
      <c r="J573" s="32"/>
      <c r="K573" s="35"/>
      <c r="L573" s="32"/>
      <c r="M573" s="32"/>
    </row>
    <row r="574" customFormat="false" ht="15" hidden="false" customHeight="true" outlineLevel="0" collapsed="false">
      <c r="A574" s="32"/>
      <c r="B574" s="32"/>
      <c r="C574" s="32"/>
      <c r="D574" s="32"/>
      <c r="E574" s="34" t="str">
        <f aca="false">IF($B574="","",IF($B574="OUT","Liters",IFERROR(INDEX(Setup!$F$3:$F$24,MATCH($C574,Setup!$A$3:$A$24,0)),"")))</f>
        <v/>
      </c>
      <c r="F574" s="28" t="str">
        <f aca="false">IF(OR($D574="",$E574=""),"",IFERROR($D574*INDEX(Setup!$B$27:$B$44,MATCH($E574,Setup!$A$27:$A$44,0)),"TBD"))</f>
        <v/>
      </c>
      <c r="G574" s="32"/>
      <c r="H574" s="32"/>
      <c r="I574" s="32"/>
      <c r="J574" s="32"/>
      <c r="K574" s="35"/>
      <c r="L574" s="32"/>
      <c r="M574" s="32"/>
    </row>
    <row r="575" customFormat="false" ht="15" hidden="false" customHeight="true" outlineLevel="0" collapsed="false">
      <c r="A575" s="32"/>
      <c r="B575" s="32"/>
      <c r="C575" s="32"/>
      <c r="D575" s="32"/>
      <c r="E575" s="34" t="str">
        <f aca="false">IF($B575="","",IF($B575="OUT","Liters",IFERROR(INDEX(Setup!$F$3:$F$24,MATCH($C575,Setup!$A$3:$A$24,0)),"")))</f>
        <v/>
      </c>
      <c r="F575" s="28" t="str">
        <f aca="false">IF(OR($D575="",$E575=""),"",IFERROR($D575*INDEX(Setup!$B$27:$B$44,MATCH($E575,Setup!$A$27:$A$44,0)),"TBD"))</f>
        <v/>
      </c>
      <c r="G575" s="32"/>
      <c r="H575" s="32"/>
      <c r="I575" s="32"/>
      <c r="J575" s="32"/>
      <c r="K575" s="35"/>
      <c r="L575" s="32"/>
      <c r="M575" s="32"/>
    </row>
    <row r="576" customFormat="false" ht="15" hidden="false" customHeight="true" outlineLevel="0" collapsed="false">
      <c r="A576" s="32"/>
      <c r="B576" s="32"/>
      <c r="C576" s="32"/>
      <c r="D576" s="32"/>
      <c r="E576" s="34" t="str">
        <f aca="false">IF($B576="","",IF($B576="OUT","Liters",IFERROR(INDEX(Setup!$F$3:$F$24,MATCH($C576,Setup!$A$3:$A$24,0)),"")))</f>
        <v/>
      </c>
      <c r="F576" s="28" t="str">
        <f aca="false">IF(OR($D576="",$E576=""),"",IFERROR($D576*INDEX(Setup!$B$27:$B$44,MATCH($E576,Setup!$A$27:$A$44,0)),"TBD"))</f>
        <v/>
      </c>
      <c r="G576" s="32"/>
      <c r="H576" s="32"/>
      <c r="I576" s="32"/>
      <c r="J576" s="32"/>
      <c r="K576" s="35"/>
      <c r="L576" s="32"/>
      <c r="M576" s="32"/>
    </row>
    <row r="577" customFormat="false" ht="15" hidden="false" customHeight="true" outlineLevel="0" collapsed="false">
      <c r="A577" s="32"/>
      <c r="B577" s="32"/>
      <c r="C577" s="32"/>
      <c r="D577" s="32"/>
      <c r="E577" s="34" t="str">
        <f aca="false">IF($B577="","",IF($B577="OUT","Liters",IFERROR(INDEX(Setup!$F$3:$F$24,MATCH($C577,Setup!$A$3:$A$24,0)),"")))</f>
        <v/>
      </c>
      <c r="F577" s="28" t="str">
        <f aca="false">IF(OR($D577="",$E577=""),"",IFERROR($D577*INDEX(Setup!$B$27:$B$44,MATCH($E577,Setup!$A$27:$A$44,0)),"TBD"))</f>
        <v/>
      </c>
      <c r="G577" s="32"/>
      <c r="H577" s="32"/>
      <c r="I577" s="32"/>
      <c r="J577" s="32"/>
      <c r="K577" s="35"/>
      <c r="L577" s="32"/>
      <c r="M577" s="32"/>
    </row>
    <row r="578" customFormat="false" ht="15" hidden="false" customHeight="true" outlineLevel="0" collapsed="false">
      <c r="A578" s="32"/>
      <c r="B578" s="32"/>
      <c r="C578" s="32"/>
      <c r="D578" s="32"/>
      <c r="E578" s="34" t="str">
        <f aca="false">IF($B578="","",IF($B578="OUT","Liters",IFERROR(INDEX(Setup!$F$3:$F$24,MATCH($C578,Setup!$A$3:$A$24,0)),"")))</f>
        <v/>
      </c>
      <c r="F578" s="28" t="str">
        <f aca="false">IF(OR($D578="",$E578=""),"",IFERROR($D578*INDEX(Setup!$B$27:$B$44,MATCH($E578,Setup!$A$27:$A$44,0)),"TBD"))</f>
        <v/>
      </c>
      <c r="G578" s="32"/>
      <c r="H578" s="32"/>
      <c r="I578" s="32"/>
      <c r="J578" s="32"/>
      <c r="K578" s="35"/>
      <c r="L578" s="32"/>
      <c r="M578" s="32"/>
    </row>
    <row r="579" customFormat="false" ht="15" hidden="false" customHeight="true" outlineLevel="0" collapsed="false">
      <c r="A579" s="32"/>
      <c r="B579" s="32"/>
      <c r="C579" s="32"/>
      <c r="D579" s="32"/>
      <c r="E579" s="34" t="str">
        <f aca="false">IF($B579="","",IF($B579="OUT","Liters",IFERROR(INDEX(Setup!$F$3:$F$24,MATCH($C579,Setup!$A$3:$A$24,0)),"")))</f>
        <v/>
      </c>
      <c r="F579" s="28" t="str">
        <f aca="false">IF(OR($D579="",$E579=""),"",IFERROR($D579*INDEX(Setup!$B$27:$B$44,MATCH($E579,Setup!$A$27:$A$44,0)),"TBD"))</f>
        <v/>
      </c>
      <c r="G579" s="32"/>
      <c r="H579" s="32"/>
      <c r="I579" s="32"/>
      <c r="J579" s="32"/>
      <c r="K579" s="35"/>
      <c r="L579" s="32"/>
      <c r="M579" s="32"/>
    </row>
    <row r="580" customFormat="false" ht="15" hidden="false" customHeight="true" outlineLevel="0" collapsed="false">
      <c r="A580" s="32"/>
      <c r="B580" s="32"/>
      <c r="C580" s="32"/>
      <c r="D580" s="32"/>
      <c r="E580" s="34" t="str">
        <f aca="false">IF($B580="","",IF($B580="OUT","Liters",IFERROR(INDEX(Setup!$F$3:$F$24,MATCH($C580,Setup!$A$3:$A$24,0)),"")))</f>
        <v/>
      </c>
      <c r="F580" s="28" t="str">
        <f aca="false">IF(OR($D580="",$E580=""),"",IFERROR($D580*INDEX(Setup!$B$27:$B$44,MATCH($E580,Setup!$A$27:$A$44,0)),"TBD"))</f>
        <v/>
      </c>
      <c r="G580" s="32"/>
      <c r="H580" s="32"/>
      <c r="I580" s="32"/>
      <c r="J580" s="32"/>
      <c r="K580" s="35"/>
      <c r="L580" s="32"/>
      <c r="M580" s="32"/>
    </row>
    <row r="581" customFormat="false" ht="15" hidden="false" customHeight="true" outlineLevel="0" collapsed="false">
      <c r="A581" s="32"/>
      <c r="B581" s="32"/>
      <c r="C581" s="32"/>
      <c r="D581" s="32"/>
      <c r="E581" s="34" t="str">
        <f aca="false">IF($B581="","",IF($B581="OUT","Liters",IFERROR(INDEX(Setup!$F$3:$F$24,MATCH($C581,Setup!$A$3:$A$24,0)),"")))</f>
        <v/>
      </c>
      <c r="F581" s="28" t="str">
        <f aca="false">IF(OR($D581="",$E581=""),"",IFERROR($D581*INDEX(Setup!$B$27:$B$44,MATCH($E581,Setup!$A$27:$A$44,0)),"TBD"))</f>
        <v/>
      </c>
      <c r="G581" s="32"/>
      <c r="H581" s="32"/>
      <c r="I581" s="32"/>
      <c r="J581" s="32"/>
      <c r="K581" s="35"/>
      <c r="L581" s="32"/>
      <c r="M581" s="32"/>
    </row>
    <row r="582" customFormat="false" ht="15" hidden="false" customHeight="true" outlineLevel="0" collapsed="false">
      <c r="A582" s="32"/>
      <c r="B582" s="32"/>
      <c r="C582" s="32"/>
      <c r="D582" s="32"/>
      <c r="E582" s="34" t="str">
        <f aca="false">IF($B582="","",IF($B582="OUT","Liters",IFERROR(INDEX(Setup!$F$3:$F$24,MATCH($C582,Setup!$A$3:$A$24,0)),"")))</f>
        <v/>
      </c>
      <c r="F582" s="28" t="str">
        <f aca="false">IF(OR($D582="",$E582=""),"",IFERROR($D582*INDEX(Setup!$B$27:$B$44,MATCH($E582,Setup!$A$27:$A$44,0)),"TBD"))</f>
        <v/>
      </c>
      <c r="G582" s="32"/>
      <c r="H582" s="32"/>
      <c r="I582" s="32"/>
      <c r="J582" s="32"/>
      <c r="K582" s="35"/>
      <c r="L582" s="32"/>
      <c r="M582" s="32"/>
    </row>
    <row r="583" customFormat="false" ht="15" hidden="false" customHeight="true" outlineLevel="0" collapsed="false">
      <c r="A583" s="32"/>
      <c r="B583" s="32"/>
      <c r="C583" s="32"/>
      <c r="D583" s="32"/>
      <c r="E583" s="34" t="str">
        <f aca="false">IF($B583="","",IF($B583="OUT","Liters",IFERROR(INDEX(Setup!$F$3:$F$24,MATCH($C583,Setup!$A$3:$A$24,0)),"")))</f>
        <v/>
      </c>
      <c r="F583" s="28" t="str">
        <f aca="false">IF(OR($D583="",$E583=""),"",IFERROR($D583*INDEX(Setup!$B$27:$B$44,MATCH($E583,Setup!$A$27:$A$44,0)),"TBD"))</f>
        <v/>
      </c>
      <c r="G583" s="32"/>
      <c r="H583" s="32"/>
      <c r="I583" s="32"/>
      <c r="J583" s="32"/>
      <c r="K583" s="35"/>
      <c r="L583" s="32"/>
      <c r="M583" s="32"/>
    </row>
    <row r="584" customFormat="false" ht="15" hidden="false" customHeight="true" outlineLevel="0" collapsed="false">
      <c r="A584" s="32"/>
      <c r="B584" s="32"/>
      <c r="C584" s="32"/>
      <c r="D584" s="32"/>
      <c r="E584" s="34" t="str">
        <f aca="false">IF($B584="","",IF($B584="OUT","Liters",IFERROR(INDEX(Setup!$F$3:$F$24,MATCH($C584,Setup!$A$3:$A$24,0)),"")))</f>
        <v/>
      </c>
      <c r="F584" s="28" t="str">
        <f aca="false">IF(OR($D584="",$E584=""),"",IFERROR($D584*INDEX(Setup!$B$27:$B$44,MATCH($E584,Setup!$A$27:$A$44,0)),"TBD"))</f>
        <v/>
      </c>
      <c r="G584" s="32"/>
      <c r="H584" s="32"/>
      <c r="I584" s="32"/>
      <c r="J584" s="32"/>
      <c r="K584" s="35"/>
      <c r="L584" s="32"/>
      <c r="M584" s="32"/>
    </row>
    <row r="585" customFormat="false" ht="15" hidden="false" customHeight="true" outlineLevel="0" collapsed="false">
      <c r="A585" s="32"/>
      <c r="B585" s="32"/>
      <c r="C585" s="32"/>
      <c r="D585" s="32"/>
      <c r="E585" s="34" t="str">
        <f aca="false">IF($B585="","",IF($B585="OUT","Liters",IFERROR(INDEX(Setup!$F$3:$F$24,MATCH($C585,Setup!$A$3:$A$24,0)),"")))</f>
        <v/>
      </c>
      <c r="F585" s="28" t="str">
        <f aca="false">IF(OR($D585="",$E585=""),"",IFERROR($D585*INDEX(Setup!$B$27:$B$44,MATCH($E585,Setup!$A$27:$A$44,0)),"TBD"))</f>
        <v/>
      </c>
      <c r="G585" s="32"/>
      <c r="H585" s="32"/>
      <c r="I585" s="32"/>
      <c r="J585" s="32"/>
      <c r="K585" s="35"/>
      <c r="L585" s="32"/>
      <c r="M585" s="32"/>
    </row>
    <row r="586" customFormat="false" ht="15" hidden="false" customHeight="true" outlineLevel="0" collapsed="false">
      <c r="A586" s="32"/>
      <c r="B586" s="32"/>
      <c r="C586" s="32"/>
      <c r="D586" s="32"/>
      <c r="E586" s="34" t="str">
        <f aca="false">IF($B586="","",IF($B586="OUT","Liters",IFERROR(INDEX(Setup!$F$3:$F$24,MATCH($C586,Setup!$A$3:$A$24,0)),"")))</f>
        <v/>
      </c>
      <c r="F586" s="28" t="str">
        <f aca="false">IF(OR($D586="",$E586=""),"",IFERROR($D586*INDEX(Setup!$B$27:$B$44,MATCH($E586,Setup!$A$27:$A$44,0)),"TBD"))</f>
        <v/>
      </c>
      <c r="G586" s="32"/>
      <c r="H586" s="32"/>
      <c r="I586" s="32"/>
      <c r="J586" s="32"/>
      <c r="K586" s="35"/>
      <c r="L586" s="32"/>
      <c r="M586" s="32"/>
    </row>
    <row r="587" customFormat="false" ht="15" hidden="false" customHeight="true" outlineLevel="0" collapsed="false">
      <c r="A587" s="32"/>
      <c r="B587" s="32"/>
      <c r="C587" s="32"/>
      <c r="D587" s="32"/>
      <c r="E587" s="34" t="str">
        <f aca="false">IF($B587="","",IF($B587="OUT","Liters",IFERROR(INDEX(Setup!$F$3:$F$24,MATCH($C587,Setup!$A$3:$A$24,0)),"")))</f>
        <v/>
      </c>
      <c r="F587" s="28" t="str">
        <f aca="false">IF(OR($D587="",$E587=""),"",IFERROR($D587*INDEX(Setup!$B$27:$B$44,MATCH($E587,Setup!$A$27:$A$44,0)),"TBD"))</f>
        <v/>
      </c>
      <c r="G587" s="32"/>
      <c r="H587" s="32"/>
      <c r="I587" s="32"/>
      <c r="J587" s="32"/>
      <c r="K587" s="35"/>
      <c r="L587" s="32"/>
      <c r="M587" s="32"/>
    </row>
    <row r="588" customFormat="false" ht="15" hidden="false" customHeight="true" outlineLevel="0" collapsed="false">
      <c r="A588" s="32"/>
      <c r="B588" s="32"/>
      <c r="C588" s="32"/>
      <c r="D588" s="32"/>
      <c r="E588" s="34" t="str">
        <f aca="false">IF($B588="","",IF($B588="OUT","Liters",IFERROR(INDEX(Setup!$F$3:$F$24,MATCH($C588,Setup!$A$3:$A$24,0)),"")))</f>
        <v/>
      </c>
      <c r="F588" s="28" t="str">
        <f aca="false">IF(OR($D588="",$E588=""),"",IFERROR($D588*INDEX(Setup!$B$27:$B$44,MATCH($E588,Setup!$A$27:$A$44,0)),"TBD"))</f>
        <v/>
      </c>
      <c r="G588" s="32"/>
      <c r="H588" s="32"/>
      <c r="I588" s="32"/>
      <c r="J588" s="32"/>
      <c r="K588" s="35"/>
      <c r="L588" s="32"/>
      <c r="M588" s="32"/>
    </row>
    <row r="589" customFormat="false" ht="15" hidden="false" customHeight="true" outlineLevel="0" collapsed="false">
      <c r="A589" s="32"/>
      <c r="B589" s="32"/>
      <c r="C589" s="32"/>
      <c r="D589" s="32"/>
      <c r="E589" s="34" t="str">
        <f aca="false">IF($B589="","",IF($B589="OUT","Liters",IFERROR(INDEX(Setup!$F$3:$F$24,MATCH($C589,Setup!$A$3:$A$24,0)),"")))</f>
        <v/>
      </c>
      <c r="F589" s="28" t="str">
        <f aca="false">IF(OR($D589="",$E589=""),"",IFERROR($D589*INDEX(Setup!$B$27:$B$44,MATCH($E589,Setup!$A$27:$A$44,0)),"TBD"))</f>
        <v/>
      </c>
      <c r="G589" s="32"/>
      <c r="H589" s="32"/>
      <c r="I589" s="32"/>
      <c r="J589" s="32"/>
      <c r="K589" s="35"/>
      <c r="L589" s="32"/>
      <c r="M589" s="32"/>
    </row>
    <row r="590" customFormat="false" ht="15" hidden="false" customHeight="true" outlineLevel="0" collapsed="false">
      <c r="A590" s="32"/>
      <c r="B590" s="32"/>
      <c r="C590" s="32"/>
      <c r="D590" s="32"/>
      <c r="E590" s="34" t="str">
        <f aca="false">IF($B590="","",IF($B590="OUT","Liters",IFERROR(INDEX(Setup!$F$3:$F$24,MATCH($C590,Setup!$A$3:$A$24,0)),"")))</f>
        <v/>
      </c>
      <c r="F590" s="28" t="str">
        <f aca="false">IF(OR($D590="",$E590=""),"",IFERROR($D590*INDEX(Setup!$B$27:$B$44,MATCH($E590,Setup!$A$27:$A$44,0)),"TBD"))</f>
        <v/>
      </c>
      <c r="G590" s="32"/>
      <c r="H590" s="32"/>
      <c r="I590" s="32"/>
      <c r="J590" s="32"/>
      <c r="K590" s="35"/>
      <c r="L590" s="32"/>
      <c r="M590" s="32"/>
    </row>
    <row r="591" customFormat="false" ht="15" hidden="false" customHeight="true" outlineLevel="0" collapsed="false">
      <c r="A591" s="32"/>
      <c r="B591" s="32"/>
      <c r="C591" s="32"/>
      <c r="D591" s="32"/>
      <c r="E591" s="34" t="str">
        <f aca="false">IF($B591="","",IF($B591="OUT","Liters",IFERROR(INDEX(Setup!$F$3:$F$24,MATCH($C591,Setup!$A$3:$A$24,0)),"")))</f>
        <v/>
      </c>
      <c r="F591" s="28" t="str">
        <f aca="false">IF(OR($D591="",$E591=""),"",IFERROR($D591*INDEX(Setup!$B$27:$B$44,MATCH($E591,Setup!$A$27:$A$44,0)),"TBD"))</f>
        <v/>
      </c>
      <c r="G591" s="32"/>
      <c r="H591" s="32"/>
      <c r="I591" s="32"/>
      <c r="J591" s="32"/>
      <c r="K591" s="35"/>
      <c r="L591" s="32"/>
      <c r="M591" s="32"/>
    </row>
    <row r="592" customFormat="false" ht="15" hidden="false" customHeight="true" outlineLevel="0" collapsed="false">
      <c r="A592" s="32"/>
      <c r="B592" s="32"/>
      <c r="C592" s="32"/>
      <c r="D592" s="32"/>
      <c r="E592" s="34" t="str">
        <f aca="false">IF($B592="","",IF($B592="OUT","Liters",IFERROR(INDEX(Setup!$F$3:$F$24,MATCH($C592,Setup!$A$3:$A$24,0)),"")))</f>
        <v/>
      </c>
      <c r="F592" s="28" t="str">
        <f aca="false">IF(OR($D592="",$E592=""),"",IFERROR($D592*INDEX(Setup!$B$27:$B$44,MATCH($E592,Setup!$A$27:$A$44,0)),"TBD"))</f>
        <v/>
      </c>
      <c r="G592" s="32"/>
      <c r="H592" s="32"/>
      <c r="I592" s="32"/>
      <c r="J592" s="32"/>
      <c r="K592" s="35"/>
      <c r="L592" s="32"/>
      <c r="M592" s="32"/>
    </row>
    <row r="593" customFormat="false" ht="15" hidden="false" customHeight="true" outlineLevel="0" collapsed="false">
      <c r="A593" s="32"/>
      <c r="B593" s="32"/>
      <c r="C593" s="32"/>
      <c r="D593" s="32"/>
      <c r="E593" s="34" t="str">
        <f aca="false">IF($B593="","",IF($B593="OUT","Liters",IFERROR(INDEX(Setup!$F$3:$F$24,MATCH($C593,Setup!$A$3:$A$24,0)),"")))</f>
        <v/>
      </c>
      <c r="F593" s="28" t="str">
        <f aca="false">IF(OR($D593="",$E593=""),"",IFERROR($D593*INDEX(Setup!$B$27:$B$44,MATCH($E593,Setup!$A$27:$A$44,0)),"TBD"))</f>
        <v/>
      </c>
      <c r="G593" s="32"/>
      <c r="H593" s="32"/>
      <c r="I593" s="32"/>
      <c r="J593" s="32"/>
      <c r="K593" s="35"/>
      <c r="L593" s="32"/>
      <c r="M593" s="32"/>
    </row>
    <row r="594" customFormat="false" ht="15" hidden="false" customHeight="true" outlineLevel="0" collapsed="false">
      <c r="A594" s="32"/>
      <c r="B594" s="32"/>
      <c r="C594" s="32"/>
      <c r="D594" s="32"/>
      <c r="E594" s="34" t="str">
        <f aca="false">IF($B594="","",IF($B594="OUT","Liters",IFERROR(INDEX(Setup!$F$3:$F$24,MATCH($C594,Setup!$A$3:$A$24,0)),"")))</f>
        <v/>
      </c>
      <c r="F594" s="28" t="str">
        <f aca="false">IF(OR($D594="",$E594=""),"",IFERROR($D594*INDEX(Setup!$B$27:$B$44,MATCH($E594,Setup!$A$27:$A$44,0)),"TBD"))</f>
        <v/>
      </c>
      <c r="G594" s="32"/>
      <c r="H594" s="32"/>
      <c r="I594" s="32"/>
      <c r="J594" s="32"/>
      <c r="K594" s="35"/>
      <c r="L594" s="32"/>
      <c r="M594" s="32"/>
    </row>
    <row r="595" customFormat="false" ht="15" hidden="false" customHeight="true" outlineLevel="0" collapsed="false">
      <c r="A595" s="32"/>
      <c r="B595" s="32"/>
      <c r="C595" s="32"/>
      <c r="D595" s="32"/>
      <c r="E595" s="34" t="str">
        <f aca="false">IF($B595="","",IF($B595="OUT","Liters",IFERROR(INDEX(Setup!$F$3:$F$24,MATCH($C595,Setup!$A$3:$A$24,0)),"")))</f>
        <v/>
      </c>
      <c r="F595" s="28" t="str">
        <f aca="false">IF(OR($D595="",$E595=""),"",IFERROR($D595*INDEX(Setup!$B$27:$B$44,MATCH($E595,Setup!$A$27:$A$44,0)),"TBD"))</f>
        <v/>
      </c>
      <c r="G595" s="32"/>
      <c r="H595" s="32"/>
      <c r="I595" s="32"/>
      <c r="J595" s="32"/>
      <c r="K595" s="35"/>
      <c r="L595" s="32"/>
      <c r="M595" s="32"/>
    </row>
    <row r="596" customFormat="false" ht="15" hidden="false" customHeight="true" outlineLevel="0" collapsed="false">
      <c r="A596" s="32"/>
      <c r="B596" s="32"/>
      <c r="C596" s="32"/>
      <c r="D596" s="32"/>
      <c r="E596" s="34" t="str">
        <f aca="false">IF($B596="","",IF($B596="OUT","Liters",IFERROR(INDEX(Setup!$F$3:$F$24,MATCH($C596,Setup!$A$3:$A$24,0)),"")))</f>
        <v/>
      </c>
      <c r="F596" s="28" t="str">
        <f aca="false">IF(OR($D596="",$E596=""),"",IFERROR($D596*INDEX(Setup!$B$27:$B$44,MATCH($E596,Setup!$A$27:$A$44,0)),"TBD"))</f>
        <v/>
      </c>
      <c r="G596" s="32"/>
      <c r="H596" s="32"/>
      <c r="I596" s="32"/>
      <c r="J596" s="32"/>
      <c r="K596" s="35"/>
      <c r="L596" s="32"/>
      <c r="M596" s="32"/>
    </row>
    <row r="597" customFormat="false" ht="15" hidden="false" customHeight="true" outlineLevel="0" collapsed="false">
      <c r="A597" s="32"/>
      <c r="B597" s="32"/>
      <c r="C597" s="32"/>
      <c r="D597" s="32"/>
      <c r="E597" s="34" t="str">
        <f aca="false">IF($B597="","",IF($B597="OUT","Liters",IFERROR(INDEX(Setup!$F$3:$F$24,MATCH($C597,Setup!$A$3:$A$24,0)),"")))</f>
        <v/>
      </c>
      <c r="F597" s="28" t="str">
        <f aca="false">IF(OR($D597="",$E597=""),"",IFERROR($D597*INDEX(Setup!$B$27:$B$44,MATCH($E597,Setup!$A$27:$A$44,0)),"TBD"))</f>
        <v/>
      </c>
      <c r="G597" s="32"/>
      <c r="H597" s="32"/>
      <c r="I597" s="32"/>
      <c r="J597" s="32"/>
      <c r="K597" s="35"/>
      <c r="L597" s="32"/>
      <c r="M597" s="32"/>
    </row>
    <row r="598" customFormat="false" ht="15" hidden="false" customHeight="true" outlineLevel="0" collapsed="false">
      <c r="A598" s="32"/>
      <c r="B598" s="32"/>
      <c r="C598" s="32"/>
      <c r="D598" s="32"/>
      <c r="E598" s="34" t="str">
        <f aca="false">IF($B598="","",IF($B598="OUT","Liters",IFERROR(INDEX(Setup!$F$3:$F$24,MATCH($C598,Setup!$A$3:$A$24,0)),"")))</f>
        <v/>
      </c>
      <c r="F598" s="28" t="str">
        <f aca="false">IF(OR($D598="",$E598=""),"",IFERROR($D598*INDEX(Setup!$B$27:$B$44,MATCH($E598,Setup!$A$27:$A$44,0)),"TBD"))</f>
        <v/>
      </c>
      <c r="G598" s="32"/>
      <c r="H598" s="32"/>
      <c r="I598" s="32"/>
      <c r="J598" s="32"/>
      <c r="K598" s="35"/>
      <c r="L598" s="32"/>
      <c r="M598" s="32"/>
    </row>
    <row r="599" customFormat="false" ht="15" hidden="false" customHeight="true" outlineLevel="0" collapsed="false">
      <c r="A599" s="32"/>
      <c r="B599" s="32"/>
      <c r="C599" s="32"/>
      <c r="D599" s="32"/>
      <c r="E599" s="34" t="str">
        <f aca="false">IF($B599="","",IF($B599="OUT","Liters",IFERROR(INDEX(Setup!$F$3:$F$24,MATCH($C599,Setup!$A$3:$A$24,0)),"")))</f>
        <v/>
      </c>
      <c r="F599" s="28" t="str">
        <f aca="false">IF(OR($D599="",$E599=""),"",IFERROR($D599*INDEX(Setup!$B$27:$B$44,MATCH($E599,Setup!$A$27:$A$44,0)),"TBD"))</f>
        <v/>
      </c>
      <c r="G599" s="32"/>
      <c r="H599" s="32"/>
      <c r="I599" s="32"/>
      <c r="J599" s="32"/>
      <c r="K599" s="35"/>
      <c r="L599" s="32"/>
      <c r="M599" s="32"/>
    </row>
    <row r="600" customFormat="false" ht="15" hidden="false" customHeight="true" outlineLevel="0" collapsed="false">
      <c r="A600" s="32"/>
      <c r="B600" s="32"/>
      <c r="C600" s="32"/>
      <c r="D600" s="32"/>
      <c r="E600" s="34" t="str">
        <f aca="false">IF($B600="","",IF($B600="OUT","Liters",IFERROR(INDEX(Setup!$F$3:$F$24,MATCH($C600,Setup!$A$3:$A$24,0)),"")))</f>
        <v/>
      </c>
      <c r="F600" s="28" t="str">
        <f aca="false">IF(OR($D600="",$E600=""),"",IFERROR($D600*INDEX(Setup!$B$27:$B$44,MATCH($E600,Setup!$A$27:$A$44,0)),"TBD"))</f>
        <v/>
      </c>
      <c r="G600" s="32"/>
      <c r="H600" s="32"/>
      <c r="I600" s="32"/>
      <c r="J600" s="32"/>
      <c r="K600" s="35"/>
      <c r="L600" s="32"/>
      <c r="M600" s="32"/>
    </row>
    <row r="601" customFormat="false" ht="15" hidden="false" customHeight="true" outlineLevel="0" collapsed="false">
      <c r="A601" s="32"/>
      <c r="B601" s="32"/>
      <c r="C601" s="32"/>
      <c r="D601" s="32"/>
      <c r="E601" s="34" t="str">
        <f aca="false">IF($B601="","",IF($B601="OUT","Liters",IFERROR(INDEX(Setup!$F$3:$F$24,MATCH($C601,Setup!$A$3:$A$24,0)),"")))</f>
        <v/>
      </c>
      <c r="F601" s="28" t="str">
        <f aca="false">IF(OR($D601="",$E601=""),"",IFERROR($D601*INDEX(Setup!$B$27:$B$44,MATCH($E601,Setup!$A$27:$A$44,0)),"TBD"))</f>
        <v/>
      </c>
      <c r="G601" s="32"/>
      <c r="H601" s="32"/>
      <c r="I601" s="32"/>
      <c r="J601" s="32"/>
      <c r="K601" s="35"/>
      <c r="L601" s="32"/>
      <c r="M601" s="32"/>
    </row>
    <row r="602" customFormat="false" ht="15" hidden="false" customHeight="true" outlineLevel="0" collapsed="false">
      <c r="A602" s="32"/>
      <c r="B602" s="32"/>
      <c r="C602" s="32"/>
      <c r="D602" s="32"/>
      <c r="E602" s="34" t="str">
        <f aca="false">IF($B602="","",IF($B602="OUT","Liters",IFERROR(INDEX(Setup!$F$3:$F$24,MATCH($C602,Setup!$A$3:$A$24,0)),"")))</f>
        <v/>
      </c>
      <c r="F602" s="28" t="str">
        <f aca="false">IF(OR($D602="",$E602=""),"",IFERROR($D602*INDEX(Setup!$B$27:$B$44,MATCH($E602,Setup!$A$27:$A$44,0)),"TBD"))</f>
        <v/>
      </c>
      <c r="G602" s="32"/>
      <c r="H602" s="32"/>
      <c r="I602" s="32"/>
      <c r="J602" s="32"/>
      <c r="K602" s="35"/>
      <c r="L602" s="32"/>
      <c r="M602" s="32"/>
    </row>
    <row r="603" customFormat="false" ht="15" hidden="false" customHeight="true" outlineLevel="0" collapsed="false">
      <c r="A603" s="32"/>
      <c r="B603" s="32"/>
      <c r="C603" s="32"/>
      <c r="D603" s="32"/>
      <c r="E603" s="34" t="str">
        <f aca="false">IF($B603="","",IF($B603="OUT","Liters",IFERROR(INDEX(Setup!$F$3:$F$24,MATCH($C603,Setup!$A$3:$A$24,0)),"")))</f>
        <v/>
      </c>
      <c r="F603" s="28" t="str">
        <f aca="false">IF(OR($D603="",$E603=""),"",IFERROR($D603*INDEX(Setup!$B$27:$B$44,MATCH($E603,Setup!$A$27:$A$44,0)),"TBD"))</f>
        <v/>
      </c>
      <c r="G603" s="32"/>
      <c r="H603" s="32"/>
      <c r="I603" s="32"/>
      <c r="J603" s="32"/>
      <c r="K603" s="35"/>
      <c r="L603" s="32"/>
      <c r="M603" s="32"/>
    </row>
    <row r="604" customFormat="false" ht="15" hidden="false" customHeight="true" outlineLevel="0" collapsed="false">
      <c r="A604" s="32"/>
      <c r="B604" s="32"/>
      <c r="C604" s="32"/>
      <c r="D604" s="32"/>
      <c r="E604" s="34" t="str">
        <f aca="false">IF($B604="","",IF($B604="OUT","Liters",IFERROR(INDEX(Setup!$F$3:$F$24,MATCH($C604,Setup!$A$3:$A$24,0)),"")))</f>
        <v/>
      </c>
      <c r="F604" s="28" t="str">
        <f aca="false">IF(OR($D604="",$E604=""),"",IFERROR($D604*INDEX(Setup!$B$27:$B$44,MATCH($E604,Setup!$A$27:$A$44,0)),"TBD"))</f>
        <v/>
      </c>
      <c r="G604" s="32"/>
      <c r="H604" s="32"/>
      <c r="I604" s="32"/>
      <c r="J604" s="32"/>
      <c r="K604" s="35"/>
      <c r="L604" s="32"/>
      <c r="M604" s="32"/>
    </row>
    <row r="605" customFormat="false" ht="15" hidden="false" customHeight="true" outlineLevel="0" collapsed="false">
      <c r="A605" s="32"/>
      <c r="B605" s="32"/>
      <c r="C605" s="32"/>
      <c r="D605" s="32"/>
      <c r="E605" s="34" t="str">
        <f aca="false">IF($B605="","",IF($B605="OUT","Liters",IFERROR(INDEX(Setup!$F$3:$F$24,MATCH($C605,Setup!$A$3:$A$24,0)),"")))</f>
        <v/>
      </c>
      <c r="F605" s="28" t="str">
        <f aca="false">IF(OR($D605="",$E605=""),"",IFERROR($D605*INDEX(Setup!$B$27:$B$44,MATCH($E605,Setup!$A$27:$A$44,0)),"TBD"))</f>
        <v/>
      </c>
      <c r="G605" s="32"/>
      <c r="H605" s="32"/>
      <c r="I605" s="32"/>
      <c r="J605" s="32"/>
      <c r="K605" s="35"/>
      <c r="L605" s="32"/>
      <c r="M605" s="32"/>
    </row>
    <row r="606" customFormat="false" ht="15" hidden="false" customHeight="true" outlineLevel="0" collapsed="false">
      <c r="A606" s="32"/>
      <c r="B606" s="32"/>
      <c r="C606" s="32"/>
      <c r="D606" s="32"/>
      <c r="E606" s="34" t="str">
        <f aca="false">IF($B606="","",IF($B606="OUT","Liters",IFERROR(INDEX(Setup!$F$3:$F$24,MATCH($C606,Setup!$A$3:$A$24,0)),"")))</f>
        <v/>
      </c>
      <c r="F606" s="28" t="str">
        <f aca="false">IF(OR($D606="",$E606=""),"",IFERROR($D606*INDEX(Setup!$B$27:$B$44,MATCH($E606,Setup!$A$27:$A$44,0)),"TBD"))</f>
        <v/>
      </c>
      <c r="G606" s="32"/>
      <c r="H606" s="32"/>
      <c r="I606" s="32"/>
      <c r="J606" s="32"/>
      <c r="K606" s="35"/>
      <c r="L606" s="32"/>
      <c r="M606" s="32"/>
    </row>
    <row r="607" customFormat="false" ht="15" hidden="false" customHeight="true" outlineLevel="0" collapsed="false">
      <c r="A607" s="32"/>
      <c r="B607" s="32"/>
      <c r="C607" s="32"/>
      <c r="D607" s="32"/>
      <c r="E607" s="34" t="str">
        <f aca="false">IF($B607="","",IF($B607="OUT","Liters",IFERROR(INDEX(Setup!$F$3:$F$24,MATCH($C607,Setup!$A$3:$A$24,0)),"")))</f>
        <v/>
      </c>
      <c r="F607" s="28" t="str">
        <f aca="false">IF(OR($D607="",$E607=""),"",IFERROR($D607*INDEX(Setup!$B$27:$B$44,MATCH($E607,Setup!$A$27:$A$44,0)),"TBD"))</f>
        <v/>
      </c>
      <c r="G607" s="32"/>
      <c r="H607" s="32"/>
      <c r="I607" s="32"/>
      <c r="J607" s="32"/>
      <c r="K607" s="35"/>
      <c r="L607" s="32"/>
      <c r="M607" s="32"/>
    </row>
    <row r="608" customFormat="false" ht="15" hidden="false" customHeight="true" outlineLevel="0" collapsed="false">
      <c r="A608" s="32"/>
      <c r="B608" s="32"/>
      <c r="C608" s="32"/>
      <c r="D608" s="32"/>
      <c r="E608" s="34" t="str">
        <f aca="false">IF($B608="","",IF($B608="OUT","Liters",IFERROR(INDEX(Setup!$F$3:$F$24,MATCH($C608,Setup!$A$3:$A$24,0)),"")))</f>
        <v/>
      </c>
      <c r="F608" s="28" t="str">
        <f aca="false">IF(OR($D608="",$E608=""),"",IFERROR($D608*INDEX(Setup!$B$27:$B$44,MATCH($E608,Setup!$A$27:$A$44,0)),"TBD"))</f>
        <v/>
      </c>
      <c r="G608" s="32"/>
      <c r="H608" s="32"/>
      <c r="I608" s="32"/>
      <c r="J608" s="32"/>
      <c r="K608" s="35"/>
      <c r="L608" s="32"/>
      <c r="M608" s="32"/>
    </row>
    <row r="609" customFormat="false" ht="15" hidden="false" customHeight="true" outlineLevel="0" collapsed="false">
      <c r="A609" s="32"/>
      <c r="B609" s="32"/>
      <c r="C609" s="32"/>
      <c r="D609" s="32"/>
      <c r="E609" s="34" t="str">
        <f aca="false">IF($B609="","",IF($B609="OUT","Liters",IFERROR(INDEX(Setup!$F$3:$F$24,MATCH($C609,Setup!$A$3:$A$24,0)),"")))</f>
        <v/>
      </c>
      <c r="F609" s="28" t="str">
        <f aca="false">IF(OR($D609="",$E609=""),"",IFERROR($D609*INDEX(Setup!$B$27:$B$44,MATCH($E609,Setup!$A$27:$A$44,0)),"TBD"))</f>
        <v/>
      </c>
      <c r="G609" s="32"/>
      <c r="H609" s="32"/>
      <c r="I609" s="32"/>
      <c r="J609" s="32"/>
      <c r="K609" s="35"/>
      <c r="L609" s="32"/>
      <c r="M609" s="32"/>
    </row>
    <row r="610" customFormat="false" ht="15" hidden="false" customHeight="true" outlineLevel="0" collapsed="false">
      <c r="A610" s="32"/>
      <c r="B610" s="32"/>
      <c r="C610" s="32"/>
      <c r="D610" s="32"/>
      <c r="E610" s="34" t="str">
        <f aca="false">IF($B610="","",IF($B610="OUT","Liters",IFERROR(INDEX(Setup!$F$3:$F$24,MATCH($C610,Setup!$A$3:$A$24,0)),"")))</f>
        <v/>
      </c>
      <c r="F610" s="28" t="str">
        <f aca="false">IF(OR($D610="",$E610=""),"",IFERROR($D610*INDEX(Setup!$B$27:$B$44,MATCH($E610,Setup!$A$27:$A$44,0)),"TBD"))</f>
        <v/>
      </c>
      <c r="G610" s="32"/>
      <c r="H610" s="32"/>
      <c r="I610" s="32"/>
      <c r="J610" s="32"/>
      <c r="K610" s="35"/>
      <c r="L610" s="32"/>
      <c r="M610" s="32"/>
    </row>
    <row r="611" customFormat="false" ht="15" hidden="false" customHeight="true" outlineLevel="0" collapsed="false">
      <c r="A611" s="32"/>
      <c r="B611" s="32"/>
      <c r="C611" s="32"/>
      <c r="D611" s="32"/>
      <c r="E611" s="34" t="str">
        <f aca="false">IF($B611="","",IF($B611="OUT","Liters",IFERROR(INDEX(Setup!$F$3:$F$24,MATCH($C611,Setup!$A$3:$A$24,0)),"")))</f>
        <v/>
      </c>
      <c r="F611" s="28" t="str">
        <f aca="false">IF(OR($D611="",$E611=""),"",IFERROR($D611*INDEX(Setup!$B$27:$B$44,MATCH($E611,Setup!$A$27:$A$44,0)),"TBD"))</f>
        <v/>
      </c>
      <c r="G611" s="32"/>
      <c r="H611" s="32"/>
      <c r="I611" s="32"/>
      <c r="J611" s="32"/>
      <c r="K611" s="35"/>
      <c r="L611" s="32"/>
      <c r="M611" s="32"/>
    </row>
    <row r="612" customFormat="false" ht="15" hidden="false" customHeight="true" outlineLevel="0" collapsed="false">
      <c r="A612" s="32"/>
      <c r="B612" s="32"/>
      <c r="C612" s="32"/>
      <c r="D612" s="32"/>
      <c r="E612" s="34" t="str">
        <f aca="false">IF($B612="","",IF($B612="OUT","Liters",IFERROR(INDEX(Setup!$F$3:$F$24,MATCH($C612,Setup!$A$3:$A$24,0)),"")))</f>
        <v/>
      </c>
      <c r="F612" s="28" t="str">
        <f aca="false">IF(OR($D612="",$E612=""),"",IFERROR($D612*INDEX(Setup!$B$27:$B$44,MATCH($E612,Setup!$A$27:$A$44,0)),"TBD"))</f>
        <v/>
      </c>
      <c r="G612" s="32"/>
      <c r="H612" s="32"/>
      <c r="I612" s="32"/>
      <c r="J612" s="32"/>
      <c r="K612" s="35"/>
      <c r="L612" s="32"/>
      <c r="M612" s="32"/>
    </row>
    <row r="613" customFormat="false" ht="15" hidden="false" customHeight="true" outlineLevel="0" collapsed="false">
      <c r="A613" s="32"/>
      <c r="B613" s="32"/>
      <c r="C613" s="32"/>
      <c r="D613" s="32"/>
      <c r="E613" s="34" t="str">
        <f aca="false">IF($B613="","",IF($B613="OUT","Liters",IFERROR(INDEX(Setup!$F$3:$F$24,MATCH($C613,Setup!$A$3:$A$24,0)),"")))</f>
        <v/>
      </c>
      <c r="F613" s="28" t="str">
        <f aca="false">IF(OR($D613="",$E613=""),"",IFERROR($D613*INDEX(Setup!$B$27:$B$44,MATCH($E613,Setup!$A$27:$A$44,0)),"TBD"))</f>
        <v/>
      </c>
      <c r="G613" s="32"/>
      <c r="H613" s="32"/>
      <c r="I613" s="32"/>
      <c r="J613" s="32"/>
      <c r="K613" s="35"/>
      <c r="L613" s="32"/>
      <c r="M613" s="32"/>
    </row>
    <row r="614" customFormat="false" ht="15" hidden="false" customHeight="true" outlineLevel="0" collapsed="false">
      <c r="A614" s="32"/>
      <c r="B614" s="32"/>
      <c r="C614" s="32"/>
      <c r="D614" s="32"/>
      <c r="E614" s="34" t="str">
        <f aca="false">IF($B614="","",IF($B614="OUT","Liters",IFERROR(INDEX(Setup!$F$3:$F$24,MATCH($C614,Setup!$A$3:$A$24,0)),"")))</f>
        <v/>
      </c>
      <c r="F614" s="28" t="str">
        <f aca="false">IF(OR($D614="",$E614=""),"",IFERROR($D614*INDEX(Setup!$B$27:$B$44,MATCH($E614,Setup!$A$27:$A$44,0)),"TBD"))</f>
        <v/>
      </c>
      <c r="G614" s="32"/>
      <c r="H614" s="32"/>
      <c r="I614" s="32"/>
      <c r="J614" s="32"/>
      <c r="K614" s="35"/>
      <c r="L614" s="32"/>
      <c r="M614" s="32"/>
    </row>
    <row r="615" customFormat="false" ht="15" hidden="false" customHeight="true" outlineLevel="0" collapsed="false">
      <c r="A615" s="32"/>
      <c r="B615" s="32"/>
      <c r="C615" s="32"/>
      <c r="D615" s="32"/>
      <c r="E615" s="34" t="str">
        <f aca="false">IF($B615="","",IF($B615="OUT","Liters",IFERROR(INDEX(Setup!$F$3:$F$24,MATCH($C615,Setup!$A$3:$A$24,0)),"")))</f>
        <v/>
      </c>
      <c r="F615" s="28" t="str">
        <f aca="false">IF(OR($D615="",$E615=""),"",IFERROR($D615*INDEX(Setup!$B$27:$B$44,MATCH($E615,Setup!$A$27:$A$44,0)),"TBD"))</f>
        <v/>
      </c>
      <c r="G615" s="32"/>
      <c r="H615" s="32"/>
      <c r="I615" s="32"/>
      <c r="J615" s="32"/>
      <c r="K615" s="35"/>
      <c r="L615" s="32"/>
      <c r="M615" s="32"/>
    </row>
    <row r="616" customFormat="false" ht="15" hidden="false" customHeight="true" outlineLevel="0" collapsed="false">
      <c r="A616" s="32"/>
      <c r="B616" s="32"/>
      <c r="C616" s="32"/>
      <c r="D616" s="32"/>
      <c r="E616" s="34" t="str">
        <f aca="false">IF($B616="","",IF($B616="OUT","Liters",IFERROR(INDEX(Setup!$F$3:$F$24,MATCH($C616,Setup!$A$3:$A$24,0)),"")))</f>
        <v/>
      </c>
      <c r="F616" s="28" t="str">
        <f aca="false">IF(OR($D616="",$E616=""),"",IFERROR($D616*INDEX(Setup!$B$27:$B$44,MATCH($E616,Setup!$A$27:$A$44,0)),"TBD"))</f>
        <v/>
      </c>
      <c r="G616" s="32"/>
      <c r="H616" s="32"/>
      <c r="I616" s="32"/>
      <c r="J616" s="32"/>
      <c r="K616" s="35"/>
      <c r="L616" s="32"/>
      <c r="M616" s="32"/>
    </row>
    <row r="617" customFormat="false" ht="15" hidden="false" customHeight="true" outlineLevel="0" collapsed="false">
      <c r="A617" s="32"/>
      <c r="B617" s="32"/>
      <c r="C617" s="32"/>
      <c r="D617" s="32"/>
      <c r="E617" s="34" t="str">
        <f aca="false">IF($B617="","",IF($B617="OUT","Liters",IFERROR(INDEX(Setup!$F$3:$F$24,MATCH($C617,Setup!$A$3:$A$24,0)),"")))</f>
        <v/>
      </c>
      <c r="F617" s="28" t="str">
        <f aca="false">IF(OR($D617="",$E617=""),"",IFERROR($D617*INDEX(Setup!$B$27:$B$44,MATCH($E617,Setup!$A$27:$A$44,0)),"TBD"))</f>
        <v/>
      </c>
      <c r="G617" s="32"/>
      <c r="H617" s="32"/>
      <c r="I617" s="32"/>
      <c r="J617" s="32"/>
      <c r="K617" s="35"/>
      <c r="L617" s="32"/>
      <c r="M617" s="32"/>
    </row>
    <row r="618" customFormat="false" ht="15" hidden="false" customHeight="true" outlineLevel="0" collapsed="false">
      <c r="A618" s="32"/>
      <c r="B618" s="32"/>
      <c r="C618" s="32"/>
      <c r="D618" s="32"/>
      <c r="E618" s="34" t="str">
        <f aca="false">IF($B618="","",IF($B618="OUT","Liters",IFERROR(INDEX(Setup!$F$3:$F$24,MATCH($C618,Setup!$A$3:$A$24,0)),"")))</f>
        <v/>
      </c>
      <c r="F618" s="28" t="str">
        <f aca="false">IF(OR($D618="",$E618=""),"",IFERROR($D618*INDEX(Setup!$B$27:$B$44,MATCH($E618,Setup!$A$27:$A$44,0)),"TBD"))</f>
        <v/>
      </c>
      <c r="G618" s="32"/>
      <c r="H618" s="32"/>
      <c r="I618" s="32"/>
      <c r="J618" s="32"/>
      <c r="K618" s="35"/>
      <c r="L618" s="32"/>
      <c r="M618" s="32"/>
    </row>
    <row r="619" customFormat="false" ht="15" hidden="false" customHeight="true" outlineLevel="0" collapsed="false">
      <c r="A619" s="32"/>
      <c r="B619" s="32"/>
      <c r="C619" s="32"/>
      <c r="D619" s="32"/>
      <c r="E619" s="34" t="str">
        <f aca="false">IF($B619="","",IF($B619="OUT","Liters",IFERROR(INDEX(Setup!$F$3:$F$24,MATCH($C619,Setup!$A$3:$A$24,0)),"")))</f>
        <v/>
      </c>
      <c r="F619" s="28" t="str">
        <f aca="false">IF(OR($D619="",$E619=""),"",IFERROR($D619*INDEX(Setup!$B$27:$B$44,MATCH($E619,Setup!$A$27:$A$44,0)),"TBD"))</f>
        <v/>
      </c>
      <c r="G619" s="32"/>
      <c r="H619" s="32"/>
      <c r="I619" s="32"/>
      <c r="J619" s="32"/>
      <c r="K619" s="35"/>
      <c r="L619" s="32"/>
      <c r="M619" s="32"/>
    </row>
    <row r="620" customFormat="false" ht="15" hidden="false" customHeight="true" outlineLevel="0" collapsed="false">
      <c r="A620" s="32"/>
      <c r="B620" s="32"/>
      <c r="C620" s="32"/>
      <c r="D620" s="32"/>
      <c r="E620" s="34" t="str">
        <f aca="false">IF($B620="","",IF($B620="OUT","Liters",IFERROR(INDEX(Setup!$F$3:$F$24,MATCH($C620,Setup!$A$3:$A$24,0)),"")))</f>
        <v/>
      </c>
      <c r="F620" s="28" t="str">
        <f aca="false">IF(OR($D620="",$E620=""),"",IFERROR($D620*INDEX(Setup!$B$27:$B$44,MATCH($E620,Setup!$A$27:$A$44,0)),"TBD"))</f>
        <v/>
      </c>
      <c r="G620" s="32"/>
      <c r="H620" s="32"/>
      <c r="I620" s="32"/>
      <c r="J620" s="32"/>
      <c r="K620" s="35"/>
      <c r="L620" s="32"/>
      <c r="M620" s="32"/>
    </row>
    <row r="621" customFormat="false" ht="15" hidden="false" customHeight="true" outlineLevel="0" collapsed="false">
      <c r="A621" s="32"/>
      <c r="B621" s="32"/>
      <c r="C621" s="32"/>
      <c r="D621" s="32"/>
      <c r="E621" s="34" t="str">
        <f aca="false">IF($B621="","",IF($B621="OUT","Liters",IFERROR(INDEX(Setup!$F$3:$F$24,MATCH($C621,Setup!$A$3:$A$24,0)),"")))</f>
        <v/>
      </c>
      <c r="F621" s="28" t="str">
        <f aca="false">IF(OR($D621="",$E621=""),"",IFERROR($D621*INDEX(Setup!$B$27:$B$44,MATCH($E621,Setup!$A$27:$A$44,0)),"TBD"))</f>
        <v/>
      </c>
      <c r="G621" s="32"/>
      <c r="H621" s="32"/>
      <c r="I621" s="32"/>
      <c r="J621" s="32"/>
      <c r="K621" s="35"/>
      <c r="L621" s="32"/>
      <c r="M621" s="32"/>
    </row>
    <row r="622" customFormat="false" ht="15" hidden="false" customHeight="true" outlineLevel="0" collapsed="false">
      <c r="A622" s="32"/>
      <c r="B622" s="32"/>
      <c r="C622" s="32"/>
      <c r="D622" s="32"/>
      <c r="E622" s="34" t="str">
        <f aca="false">IF($B622="","",IF($B622="OUT","Liters",IFERROR(INDEX(Setup!$F$3:$F$24,MATCH($C622,Setup!$A$3:$A$24,0)),"")))</f>
        <v/>
      </c>
      <c r="F622" s="28" t="str">
        <f aca="false">IF(OR($D622="",$E622=""),"",IFERROR($D622*INDEX(Setup!$B$27:$B$44,MATCH($E622,Setup!$A$27:$A$44,0)),"TBD"))</f>
        <v/>
      </c>
      <c r="G622" s="32"/>
      <c r="H622" s="32"/>
      <c r="I622" s="32"/>
      <c r="J622" s="32"/>
      <c r="K622" s="35"/>
      <c r="L622" s="32"/>
      <c r="M622" s="32"/>
    </row>
    <row r="623" customFormat="false" ht="15" hidden="false" customHeight="true" outlineLevel="0" collapsed="false">
      <c r="A623" s="32"/>
      <c r="B623" s="32"/>
      <c r="C623" s="32"/>
      <c r="D623" s="32"/>
      <c r="E623" s="34" t="str">
        <f aca="false">IF($B623="","",IF($B623="OUT","Liters",IFERROR(INDEX(Setup!$F$3:$F$24,MATCH($C623,Setup!$A$3:$A$24,0)),"")))</f>
        <v/>
      </c>
      <c r="F623" s="28" t="str">
        <f aca="false">IF(OR($D623="",$E623=""),"",IFERROR($D623*INDEX(Setup!$B$27:$B$44,MATCH($E623,Setup!$A$27:$A$44,0)),"TBD"))</f>
        <v/>
      </c>
      <c r="G623" s="32"/>
      <c r="H623" s="32"/>
      <c r="I623" s="32"/>
      <c r="J623" s="32"/>
      <c r="K623" s="35"/>
      <c r="L623" s="32"/>
      <c r="M623" s="32"/>
    </row>
    <row r="624" customFormat="false" ht="15" hidden="false" customHeight="true" outlineLevel="0" collapsed="false">
      <c r="A624" s="32"/>
      <c r="B624" s="32"/>
      <c r="C624" s="32"/>
      <c r="D624" s="32"/>
      <c r="E624" s="34" t="str">
        <f aca="false">IF($B624="","",IF($B624="OUT","Liters",IFERROR(INDEX(Setup!$F$3:$F$24,MATCH($C624,Setup!$A$3:$A$24,0)),"")))</f>
        <v/>
      </c>
      <c r="F624" s="28" t="str">
        <f aca="false">IF(OR($D624="",$E624=""),"",IFERROR($D624*INDEX(Setup!$B$27:$B$44,MATCH($E624,Setup!$A$27:$A$44,0)),"TBD"))</f>
        <v/>
      </c>
      <c r="G624" s="32"/>
      <c r="H624" s="32"/>
      <c r="I624" s="32"/>
      <c r="J624" s="32"/>
      <c r="K624" s="35"/>
      <c r="L624" s="32"/>
      <c r="M624" s="32"/>
    </row>
    <row r="625" customFormat="false" ht="15" hidden="false" customHeight="true" outlineLevel="0" collapsed="false">
      <c r="A625" s="32"/>
      <c r="B625" s="32"/>
      <c r="C625" s="32"/>
      <c r="D625" s="32"/>
      <c r="E625" s="34" t="str">
        <f aca="false">IF($B625="","",IF($B625="OUT","Liters",IFERROR(INDEX(Setup!$F$3:$F$24,MATCH($C625,Setup!$A$3:$A$24,0)),"")))</f>
        <v/>
      </c>
      <c r="F625" s="28" t="str">
        <f aca="false">IF(OR($D625="",$E625=""),"",IFERROR($D625*INDEX(Setup!$B$27:$B$44,MATCH($E625,Setup!$A$27:$A$44,0)),"TBD"))</f>
        <v/>
      </c>
      <c r="G625" s="32"/>
      <c r="H625" s="32"/>
      <c r="I625" s="32"/>
      <c r="J625" s="32"/>
      <c r="K625" s="35"/>
      <c r="L625" s="32"/>
      <c r="M625" s="32"/>
    </row>
    <row r="626" customFormat="false" ht="15" hidden="false" customHeight="true" outlineLevel="0" collapsed="false">
      <c r="A626" s="32"/>
      <c r="B626" s="32"/>
      <c r="C626" s="32"/>
      <c r="D626" s="32"/>
      <c r="E626" s="34" t="str">
        <f aca="false">IF($B626="","",IF($B626="OUT","Liters",IFERROR(INDEX(Setup!$F$3:$F$24,MATCH($C626,Setup!$A$3:$A$24,0)),"")))</f>
        <v/>
      </c>
      <c r="F626" s="28" t="str">
        <f aca="false">IF(OR($D626="",$E626=""),"",IFERROR($D626*INDEX(Setup!$B$27:$B$44,MATCH($E626,Setup!$A$27:$A$44,0)),"TBD"))</f>
        <v/>
      </c>
      <c r="G626" s="32"/>
      <c r="H626" s="32"/>
      <c r="I626" s="32"/>
      <c r="J626" s="32"/>
      <c r="K626" s="35"/>
      <c r="L626" s="32"/>
      <c r="M626" s="32"/>
    </row>
    <row r="627" customFormat="false" ht="15" hidden="false" customHeight="true" outlineLevel="0" collapsed="false">
      <c r="A627" s="32"/>
      <c r="B627" s="32"/>
      <c r="C627" s="32"/>
      <c r="D627" s="32"/>
      <c r="E627" s="34" t="str">
        <f aca="false">IF($B627="","",IF($B627="OUT","Liters",IFERROR(INDEX(Setup!$F$3:$F$24,MATCH($C627,Setup!$A$3:$A$24,0)),"")))</f>
        <v/>
      </c>
      <c r="F627" s="28" t="str">
        <f aca="false">IF(OR($D627="",$E627=""),"",IFERROR($D627*INDEX(Setup!$B$27:$B$44,MATCH($E627,Setup!$A$27:$A$44,0)),"TBD"))</f>
        <v/>
      </c>
      <c r="G627" s="32"/>
      <c r="H627" s="32"/>
      <c r="I627" s="32"/>
      <c r="J627" s="32"/>
      <c r="K627" s="35"/>
      <c r="L627" s="32"/>
      <c r="M627" s="32"/>
    </row>
    <row r="628" customFormat="false" ht="15" hidden="false" customHeight="true" outlineLevel="0" collapsed="false">
      <c r="A628" s="32"/>
      <c r="B628" s="32"/>
      <c r="C628" s="32"/>
      <c r="D628" s="32"/>
      <c r="E628" s="34" t="str">
        <f aca="false">IF($B628="","",IF($B628="OUT","Liters",IFERROR(INDEX(Setup!$F$3:$F$24,MATCH($C628,Setup!$A$3:$A$24,0)),"")))</f>
        <v/>
      </c>
      <c r="F628" s="28" t="str">
        <f aca="false">IF(OR($D628="",$E628=""),"",IFERROR($D628*INDEX(Setup!$B$27:$B$44,MATCH($E628,Setup!$A$27:$A$44,0)),"TBD"))</f>
        <v/>
      </c>
      <c r="G628" s="32"/>
      <c r="H628" s="32"/>
      <c r="I628" s="32"/>
      <c r="J628" s="32"/>
      <c r="K628" s="35"/>
      <c r="L628" s="32"/>
      <c r="M628" s="32"/>
    </row>
    <row r="629" customFormat="false" ht="15" hidden="false" customHeight="true" outlineLevel="0" collapsed="false">
      <c r="A629" s="32"/>
      <c r="B629" s="32"/>
      <c r="C629" s="32"/>
      <c r="D629" s="32"/>
      <c r="E629" s="34" t="str">
        <f aca="false">IF($B629="","",IF($B629="OUT","Liters",IFERROR(INDEX(Setup!$F$3:$F$24,MATCH($C629,Setup!$A$3:$A$24,0)),"")))</f>
        <v/>
      </c>
      <c r="F629" s="28" t="str">
        <f aca="false">IF(OR($D629="",$E629=""),"",IFERROR($D629*INDEX(Setup!$B$27:$B$44,MATCH($E629,Setup!$A$27:$A$44,0)),"TBD"))</f>
        <v/>
      </c>
      <c r="G629" s="32"/>
      <c r="H629" s="32"/>
      <c r="I629" s="32"/>
      <c r="J629" s="32"/>
      <c r="K629" s="35"/>
      <c r="L629" s="32"/>
      <c r="M629" s="32"/>
    </row>
    <row r="630" customFormat="false" ht="15" hidden="false" customHeight="true" outlineLevel="0" collapsed="false">
      <c r="A630" s="32"/>
      <c r="B630" s="32"/>
      <c r="C630" s="32"/>
      <c r="D630" s="32"/>
      <c r="E630" s="34" t="str">
        <f aca="false">IF($B630="","",IF($B630="OUT","Liters",IFERROR(INDEX(Setup!$F$3:$F$24,MATCH($C630,Setup!$A$3:$A$24,0)),"")))</f>
        <v/>
      </c>
      <c r="F630" s="28" t="str">
        <f aca="false">IF(OR($D630="",$E630=""),"",IFERROR($D630*INDEX(Setup!$B$27:$B$44,MATCH($E630,Setup!$A$27:$A$44,0)),"TBD"))</f>
        <v/>
      </c>
      <c r="G630" s="32"/>
      <c r="H630" s="32"/>
      <c r="I630" s="32"/>
      <c r="J630" s="32"/>
      <c r="K630" s="35"/>
      <c r="L630" s="32"/>
      <c r="M630" s="32"/>
    </row>
    <row r="631" customFormat="false" ht="15" hidden="false" customHeight="true" outlineLevel="0" collapsed="false">
      <c r="A631" s="32"/>
      <c r="B631" s="32"/>
      <c r="C631" s="32"/>
      <c r="D631" s="32"/>
      <c r="E631" s="34" t="str">
        <f aca="false">IF($B631="","",IF($B631="OUT","Liters",IFERROR(INDEX(Setup!$F$3:$F$24,MATCH($C631,Setup!$A$3:$A$24,0)),"")))</f>
        <v/>
      </c>
      <c r="F631" s="28" t="str">
        <f aca="false">IF(OR($D631="",$E631=""),"",IFERROR($D631*INDEX(Setup!$B$27:$B$44,MATCH($E631,Setup!$A$27:$A$44,0)),"TBD"))</f>
        <v/>
      </c>
      <c r="G631" s="32"/>
      <c r="H631" s="32"/>
      <c r="I631" s="32"/>
      <c r="J631" s="32"/>
      <c r="K631" s="35"/>
      <c r="L631" s="32"/>
      <c r="M631" s="32"/>
    </row>
    <row r="632" customFormat="false" ht="15" hidden="false" customHeight="true" outlineLevel="0" collapsed="false">
      <c r="A632" s="32"/>
      <c r="B632" s="32"/>
      <c r="C632" s="32"/>
      <c r="D632" s="32"/>
      <c r="E632" s="34" t="str">
        <f aca="false">IF($B632="","",IF($B632="OUT","Liters",IFERROR(INDEX(Setup!$F$3:$F$24,MATCH($C632,Setup!$A$3:$A$24,0)),"")))</f>
        <v/>
      </c>
      <c r="F632" s="28" t="str">
        <f aca="false">IF(OR($D632="",$E632=""),"",IFERROR($D632*INDEX(Setup!$B$27:$B$44,MATCH($E632,Setup!$A$27:$A$44,0)),"TBD"))</f>
        <v/>
      </c>
      <c r="G632" s="32"/>
      <c r="H632" s="32"/>
      <c r="I632" s="32"/>
      <c r="J632" s="32"/>
      <c r="K632" s="35"/>
      <c r="L632" s="32"/>
      <c r="M632" s="32"/>
    </row>
    <row r="633" customFormat="false" ht="15" hidden="false" customHeight="true" outlineLevel="0" collapsed="false">
      <c r="A633" s="32"/>
      <c r="B633" s="32"/>
      <c r="C633" s="32"/>
      <c r="D633" s="32"/>
      <c r="E633" s="34" t="str">
        <f aca="false">IF($B633="","",IF($B633="OUT","Liters",IFERROR(INDEX(Setup!$F$3:$F$24,MATCH($C633,Setup!$A$3:$A$24,0)),"")))</f>
        <v/>
      </c>
      <c r="F633" s="28" t="str">
        <f aca="false">IF(OR($D633="",$E633=""),"",IFERROR($D633*INDEX(Setup!$B$27:$B$44,MATCH($E633,Setup!$A$27:$A$44,0)),"TBD"))</f>
        <v/>
      </c>
      <c r="G633" s="32"/>
      <c r="H633" s="32"/>
      <c r="I633" s="32"/>
      <c r="J633" s="32"/>
      <c r="K633" s="35"/>
      <c r="L633" s="32"/>
      <c r="M633" s="32"/>
    </row>
    <row r="634" customFormat="false" ht="15" hidden="false" customHeight="true" outlineLevel="0" collapsed="false">
      <c r="A634" s="32"/>
      <c r="B634" s="32"/>
      <c r="C634" s="32"/>
      <c r="D634" s="32"/>
      <c r="E634" s="34" t="str">
        <f aca="false">IF($B634="","",IF($B634="OUT","Liters",IFERROR(INDEX(Setup!$F$3:$F$24,MATCH($C634,Setup!$A$3:$A$24,0)),"")))</f>
        <v/>
      </c>
      <c r="F634" s="28" t="str">
        <f aca="false">IF(OR($D634="",$E634=""),"",IFERROR($D634*INDEX(Setup!$B$27:$B$44,MATCH($E634,Setup!$A$27:$A$44,0)),"TBD"))</f>
        <v/>
      </c>
      <c r="G634" s="32"/>
      <c r="H634" s="32"/>
      <c r="I634" s="32"/>
      <c r="J634" s="32"/>
      <c r="K634" s="35"/>
      <c r="L634" s="32"/>
      <c r="M634" s="32"/>
    </row>
    <row r="635" customFormat="false" ht="15" hidden="false" customHeight="true" outlineLevel="0" collapsed="false">
      <c r="A635" s="32"/>
      <c r="B635" s="32"/>
      <c r="C635" s="32"/>
      <c r="D635" s="32"/>
      <c r="E635" s="34" t="str">
        <f aca="false">IF($B635="","",IF($B635="OUT","Liters",IFERROR(INDEX(Setup!$F$3:$F$24,MATCH($C635,Setup!$A$3:$A$24,0)),"")))</f>
        <v/>
      </c>
      <c r="F635" s="28" t="str">
        <f aca="false">IF(OR($D635="",$E635=""),"",IFERROR($D635*INDEX(Setup!$B$27:$B$44,MATCH($E635,Setup!$A$27:$A$44,0)),"TBD"))</f>
        <v/>
      </c>
      <c r="G635" s="32"/>
      <c r="H635" s="32"/>
      <c r="I635" s="32"/>
      <c r="J635" s="32"/>
      <c r="K635" s="35"/>
      <c r="L635" s="32"/>
      <c r="M635" s="32"/>
    </row>
    <row r="636" customFormat="false" ht="15" hidden="false" customHeight="true" outlineLevel="0" collapsed="false">
      <c r="A636" s="32"/>
      <c r="B636" s="32"/>
      <c r="C636" s="32"/>
      <c r="D636" s="32"/>
      <c r="E636" s="34" t="str">
        <f aca="false">IF($B636="","",IF($B636="OUT","Liters",IFERROR(INDEX(Setup!$F$3:$F$24,MATCH($C636,Setup!$A$3:$A$24,0)),"")))</f>
        <v/>
      </c>
      <c r="F636" s="28" t="str">
        <f aca="false">IF(OR($D636="",$E636=""),"",IFERROR($D636*INDEX(Setup!$B$27:$B$44,MATCH($E636,Setup!$A$27:$A$44,0)),"TBD"))</f>
        <v/>
      </c>
      <c r="G636" s="32"/>
      <c r="H636" s="32"/>
      <c r="I636" s="32"/>
      <c r="J636" s="32"/>
      <c r="K636" s="35"/>
      <c r="L636" s="32"/>
      <c r="M636" s="32"/>
    </row>
    <row r="637" customFormat="false" ht="15" hidden="false" customHeight="true" outlineLevel="0" collapsed="false">
      <c r="A637" s="32"/>
      <c r="B637" s="32"/>
      <c r="C637" s="32"/>
      <c r="D637" s="32"/>
      <c r="E637" s="34" t="str">
        <f aca="false">IF($B637="","",IF($B637="OUT","Liters",IFERROR(INDEX(Setup!$F$3:$F$24,MATCH($C637,Setup!$A$3:$A$24,0)),"")))</f>
        <v/>
      </c>
      <c r="F637" s="28" t="str">
        <f aca="false">IF(OR($D637="",$E637=""),"",IFERROR($D637*INDEX(Setup!$B$27:$B$44,MATCH($E637,Setup!$A$27:$A$44,0)),"TBD"))</f>
        <v/>
      </c>
      <c r="G637" s="32"/>
      <c r="H637" s="32"/>
      <c r="I637" s="32"/>
      <c r="J637" s="32"/>
      <c r="K637" s="35"/>
      <c r="L637" s="32"/>
      <c r="M637" s="32"/>
    </row>
    <row r="638" customFormat="false" ht="15" hidden="false" customHeight="true" outlineLevel="0" collapsed="false">
      <c r="A638" s="32"/>
      <c r="B638" s="32"/>
      <c r="C638" s="32"/>
      <c r="D638" s="32"/>
      <c r="E638" s="34" t="str">
        <f aca="false">IF($B638="","",IF($B638="OUT","Liters",IFERROR(INDEX(Setup!$F$3:$F$24,MATCH($C638,Setup!$A$3:$A$24,0)),"")))</f>
        <v/>
      </c>
      <c r="F638" s="28" t="str">
        <f aca="false">IF(OR($D638="",$E638=""),"",IFERROR($D638*INDEX(Setup!$B$27:$B$44,MATCH($E638,Setup!$A$27:$A$44,0)),"TBD"))</f>
        <v/>
      </c>
      <c r="G638" s="32"/>
      <c r="H638" s="32"/>
      <c r="I638" s="32"/>
      <c r="J638" s="32"/>
      <c r="K638" s="35"/>
      <c r="L638" s="32"/>
      <c r="M638" s="32"/>
    </row>
    <row r="639" customFormat="false" ht="15" hidden="false" customHeight="true" outlineLevel="0" collapsed="false">
      <c r="A639" s="32"/>
      <c r="B639" s="32"/>
      <c r="C639" s="32"/>
      <c r="D639" s="32"/>
      <c r="E639" s="34" t="str">
        <f aca="false">IF($B639="","",IF($B639="OUT","Liters",IFERROR(INDEX(Setup!$F$3:$F$24,MATCH($C639,Setup!$A$3:$A$24,0)),"")))</f>
        <v/>
      </c>
      <c r="F639" s="28" t="str">
        <f aca="false">IF(OR($D639="",$E639=""),"",IFERROR($D639*INDEX(Setup!$B$27:$B$44,MATCH($E639,Setup!$A$27:$A$44,0)),"TBD"))</f>
        <v/>
      </c>
      <c r="G639" s="32"/>
      <c r="H639" s="32"/>
      <c r="I639" s="32"/>
      <c r="J639" s="32"/>
      <c r="K639" s="35"/>
      <c r="L639" s="32"/>
      <c r="M639" s="32"/>
    </row>
    <row r="640" customFormat="false" ht="15" hidden="false" customHeight="true" outlineLevel="0" collapsed="false">
      <c r="A640" s="32"/>
      <c r="B640" s="32"/>
      <c r="C640" s="32"/>
      <c r="D640" s="32"/>
      <c r="E640" s="34" t="str">
        <f aca="false">IF($B640="","",IF($B640="OUT","Liters",IFERROR(INDEX(Setup!$F$3:$F$24,MATCH($C640,Setup!$A$3:$A$24,0)),"")))</f>
        <v/>
      </c>
      <c r="F640" s="28" t="str">
        <f aca="false">IF(OR($D640="",$E640=""),"",IFERROR($D640*INDEX(Setup!$B$27:$B$44,MATCH($E640,Setup!$A$27:$A$44,0)),"TBD"))</f>
        <v/>
      </c>
      <c r="G640" s="32"/>
      <c r="H640" s="32"/>
      <c r="I640" s="32"/>
      <c r="J640" s="32"/>
      <c r="K640" s="35"/>
      <c r="L640" s="32"/>
      <c r="M640" s="32"/>
    </row>
    <row r="641" customFormat="false" ht="15" hidden="false" customHeight="true" outlineLevel="0" collapsed="false">
      <c r="A641" s="32"/>
      <c r="B641" s="32"/>
      <c r="C641" s="32"/>
      <c r="D641" s="32"/>
      <c r="E641" s="34" t="str">
        <f aca="false">IF($B641="","",IF($B641="OUT","Liters",IFERROR(INDEX(Setup!$F$3:$F$24,MATCH($C641,Setup!$A$3:$A$24,0)),"")))</f>
        <v/>
      </c>
      <c r="F641" s="28" t="str">
        <f aca="false">IF(OR($D641="",$E641=""),"",IFERROR($D641*INDEX(Setup!$B$27:$B$44,MATCH($E641,Setup!$A$27:$A$44,0)),"TBD"))</f>
        <v/>
      </c>
      <c r="G641" s="32"/>
      <c r="H641" s="32"/>
      <c r="I641" s="32"/>
      <c r="J641" s="32"/>
      <c r="K641" s="35"/>
      <c r="L641" s="32"/>
      <c r="M641" s="32"/>
    </row>
    <row r="642" customFormat="false" ht="15" hidden="false" customHeight="true" outlineLevel="0" collapsed="false">
      <c r="A642" s="32"/>
      <c r="B642" s="32"/>
      <c r="C642" s="32"/>
      <c r="D642" s="32"/>
      <c r="E642" s="34" t="str">
        <f aca="false">IF($B642="","",IF($B642="OUT","Liters",IFERROR(INDEX(Setup!$F$3:$F$24,MATCH($C642,Setup!$A$3:$A$24,0)),"")))</f>
        <v/>
      </c>
      <c r="F642" s="28" t="str">
        <f aca="false">IF(OR($D642="",$E642=""),"",IFERROR($D642*INDEX(Setup!$B$27:$B$44,MATCH($E642,Setup!$A$27:$A$44,0)),"TBD"))</f>
        <v/>
      </c>
      <c r="G642" s="32"/>
      <c r="H642" s="32"/>
      <c r="I642" s="32"/>
      <c r="J642" s="32"/>
      <c r="K642" s="35"/>
      <c r="L642" s="32"/>
      <c r="M642" s="32"/>
    </row>
    <row r="643" customFormat="false" ht="15" hidden="false" customHeight="true" outlineLevel="0" collapsed="false">
      <c r="A643" s="32"/>
      <c r="B643" s="32"/>
      <c r="C643" s="32"/>
      <c r="D643" s="32"/>
      <c r="E643" s="34" t="str">
        <f aca="false">IF($B643="","",IF($B643="OUT","Liters",IFERROR(INDEX(Setup!$F$3:$F$24,MATCH($C643,Setup!$A$3:$A$24,0)),"")))</f>
        <v/>
      </c>
      <c r="F643" s="28" t="str">
        <f aca="false">IF(OR($D643="",$E643=""),"",IFERROR($D643*INDEX(Setup!$B$27:$B$44,MATCH($E643,Setup!$A$27:$A$44,0)),"TBD"))</f>
        <v/>
      </c>
      <c r="G643" s="32"/>
      <c r="H643" s="32"/>
      <c r="I643" s="32"/>
      <c r="J643" s="32"/>
      <c r="K643" s="35"/>
      <c r="L643" s="32"/>
      <c r="M643" s="32"/>
    </row>
    <row r="644" customFormat="false" ht="15" hidden="false" customHeight="true" outlineLevel="0" collapsed="false">
      <c r="A644" s="32"/>
      <c r="B644" s="32"/>
      <c r="C644" s="32"/>
      <c r="D644" s="32"/>
      <c r="E644" s="34" t="str">
        <f aca="false">IF($B644="","",IF($B644="OUT","Liters",IFERROR(INDEX(Setup!$F$3:$F$24,MATCH($C644,Setup!$A$3:$A$24,0)),"")))</f>
        <v/>
      </c>
      <c r="F644" s="28" t="str">
        <f aca="false">IF(OR($D644="",$E644=""),"",IFERROR($D644*INDEX(Setup!$B$27:$B$44,MATCH($E644,Setup!$A$27:$A$44,0)),"TBD"))</f>
        <v/>
      </c>
      <c r="G644" s="32"/>
      <c r="H644" s="32"/>
      <c r="I644" s="32"/>
      <c r="J644" s="32"/>
      <c r="K644" s="35"/>
      <c r="L644" s="32"/>
      <c r="M644" s="32"/>
    </row>
    <row r="645" customFormat="false" ht="15" hidden="false" customHeight="true" outlineLevel="0" collapsed="false">
      <c r="A645" s="32"/>
      <c r="B645" s="32"/>
      <c r="C645" s="32"/>
      <c r="D645" s="32"/>
      <c r="E645" s="34" t="str">
        <f aca="false">IF($B645="","",IF($B645="OUT","Liters",IFERROR(INDEX(Setup!$F$3:$F$24,MATCH($C645,Setup!$A$3:$A$24,0)),"")))</f>
        <v/>
      </c>
      <c r="F645" s="28" t="str">
        <f aca="false">IF(OR($D645="",$E645=""),"",IFERROR($D645*INDEX(Setup!$B$27:$B$44,MATCH($E645,Setup!$A$27:$A$44,0)),"TBD"))</f>
        <v/>
      </c>
      <c r="G645" s="32"/>
      <c r="H645" s="32"/>
      <c r="I645" s="32"/>
      <c r="J645" s="32"/>
      <c r="K645" s="35"/>
      <c r="L645" s="32"/>
      <c r="M645" s="32"/>
    </row>
    <row r="646" customFormat="false" ht="15" hidden="false" customHeight="true" outlineLevel="0" collapsed="false">
      <c r="A646" s="32"/>
      <c r="B646" s="32"/>
      <c r="C646" s="32"/>
      <c r="D646" s="32"/>
      <c r="E646" s="34" t="str">
        <f aca="false">IF($B646="","",IF($B646="OUT","Liters",IFERROR(INDEX(Setup!$F$3:$F$24,MATCH($C646,Setup!$A$3:$A$24,0)),"")))</f>
        <v/>
      </c>
      <c r="F646" s="28" t="str">
        <f aca="false">IF(OR($D646="",$E646=""),"",IFERROR($D646*INDEX(Setup!$B$27:$B$44,MATCH($E646,Setup!$A$27:$A$44,0)),"TBD"))</f>
        <v/>
      </c>
      <c r="G646" s="32"/>
      <c r="H646" s="32"/>
      <c r="I646" s="32"/>
      <c r="J646" s="32"/>
      <c r="K646" s="35"/>
      <c r="L646" s="32"/>
      <c r="M646" s="32"/>
    </row>
    <row r="647" customFormat="false" ht="15" hidden="false" customHeight="true" outlineLevel="0" collapsed="false">
      <c r="A647" s="32"/>
      <c r="B647" s="32"/>
      <c r="C647" s="32"/>
      <c r="D647" s="32"/>
      <c r="E647" s="34" t="str">
        <f aca="false">IF($B647="","",IF($B647="OUT","Liters",IFERROR(INDEX(Setup!$F$3:$F$24,MATCH($C647,Setup!$A$3:$A$24,0)),"")))</f>
        <v/>
      </c>
      <c r="F647" s="28" t="str">
        <f aca="false">IF(OR($D647="",$E647=""),"",IFERROR($D647*INDEX(Setup!$B$27:$B$44,MATCH($E647,Setup!$A$27:$A$44,0)),"TBD"))</f>
        <v/>
      </c>
      <c r="G647" s="32"/>
      <c r="H647" s="32"/>
      <c r="I647" s="32"/>
      <c r="J647" s="32"/>
      <c r="K647" s="35"/>
      <c r="L647" s="32"/>
      <c r="M647" s="32"/>
    </row>
    <row r="648" customFormat="false" ht="15" hidden="false" customHeight="true" outlineLevel="0" collapsed="false">
      <c r="A648" s="32"/>
      <c r="B648" s="32"/>
      <c r="C648" s="32"/>
      <c r="D648" s="32"/>
      <c r="E648" s="34" t="str">
        <f aca="false">IF($B648="","",IF($B648="OUT","Liters",IFERROR(INDEX(Setup!$F$3:$F$24,MATCH($C648,Setup!$A$3:$A$24,0)),"")))</f>
        <v/>
      </c>
      <c r="F648" s="28" t="str">
        <f aca="false">IF(OR($D648="",$E648=""),"",IFERROR($D648*INDEX(Setup!$B$27:$B$44,MATCH($E648,Setup!$A$27:$A$44,0)),"TBD"))</f>
        <v/>
      </c>
      <c r="G648" s="32"/>
      <c r="H648" s="32"/>
      <c r="I648" s="32"/>
      <c r="J648" s="32"/>
      <c r="K648" s="35"/>
      <c r="L648" s="32"/>
      <c r="M648" s="32"/>
    </row>
    <row r="649" customFormat="false" ht="15" hidden="false" customHeight="true" outlineLevel="0" collapsed="false">
      <c r="A649" s="32"/>
      <c r="B649" s="32"/>
      <c r="C649" s="32"/>
      <c r="D649" s="32"/>
      <c r="E649" s="34" t="str">
        <f aca="false">IF($B649="","",IF($B649="OUT","Liters",IFERROR(INDEX(Setup!$F$3:$F$24,MATCH($C649,Setup!$A$3:$A$24,0)),"")))</f>
        <v/>
      </c>
      <c r="F649" s="28" t="str">
        <f aca="false">IF(OR($D649="",$E649=""),"",IFERROR($D649*INDEX(Setup!$B$27:$B$44,MATCH($E649,Setup!$A$27:$A$44,0)),"TBD"))</f>
        <v/>
      </c>
      <c r="G649" s="32"/>
      <c r="H649" s="32"/>
      <c r="I649" s="32"/>
      <c r="J649" s="32"/>
      <c r="K649" s="35"/>
      <c r="L649" s="32"/>
      <c r="M649" s="32"/>
    </row>
    <row r="650" customFormat="false" ht="15" hidden="false" customHeight="true" outlineLevel="0" collapsed="false">
      <c r="A650" s="32"/>
      <c r="B650" s="32"/>
      <c r="C650" s="32"/>
      <c r="D650" s="32"/>
      <c r="E650" s="34" t="str">
        <f aca="false">IF($B650="","",IF($B650="OUT","Liters",IFERROR(INDEX(Setup!$F$3:$F$24,MATCH($C650,Setup!$A$3:$A$24,0)),"")))</f>
        <v/>
      </c>
      <c r="F650" s="28" t="str">
        <f aca="false">IF(OR($D650="",$E650=""),"",IFERROR($D650*INDEX(Setup!$B$27:$B$44,MATCH($E650,Setup!$A$27:$A$44,0)),"TBD"))</f>
        <v/>
      </c>
      <c r="G650" s="32"/>
      <c r="H650" s="32"/>
      <c r="I650" s="32"/>
      <c r="J650" s="32"/>
      <c r="K650" s="35"/>
      <c r="L650" s="32"/>
      <c r="M650" s="32"/>
    </row>
    <row r="651" customFormat="false" ht="15" hidden="false" customHeight="true" outlineLevel="0" collapsed="false">
      <c r="A651" s="32"/>
      <c r="B651" s="32"/>
      <c r="C651" s="32"/>
      <c r="D651" s="32"/>
      <c r="E651" s="34" t="str">
        <f aca="false">IF($B651="","",IF($B651="OUT","Liters",IFERROR(INDEX(Setup!$F$3:$F$24,MATCH($C651,Setup!$A$3:$A$24,0)),"")))</f>
        <v/>
      </c>
      <c r="F651" s="28" t="str">
        <f aca="false">IF(OR($D651="",$E651=""),"",IFERROR($D651*INDEX(Setup!$B$27:$B$44,MATCH($E651,Setup!$A$27:$A$44,0)),"TBD"))</f>
        <v/>
      </c>
      <c r="G651" s="32"/>
      <c r="H651" s="32"/>
      <c r="I651" s="32"/>
      <c r="J651" s="32"/>
      <c r="K651" s="35"/>
      <c r="L651" s="32"/>
      <c r="M651" s="32"/>
    </row>
    <row r="652" customFormat="false" ht="15" hidden="false" customHeight="true" outlineLevel="0" collapsed="false">
      <c r="A652" s="32"/>
      <c r="B652" s="32"/>
      <c r="C652" s="32"/>
      <c r="D652" s="32"/>
      <c r="E652" s="34" t="str">
        <f aca="false">IF($B652="","",IF($B652="OUT","Liters",IFERROR(INDEX(Setup!$F$3:$F$24,MATCH($C652,Setup!$A$3:$A$24,0)),"")))</f>
        <v/>
      </c>
      <c r="F652" s="28" t="str">
        <f aca="false">IF(OR($D652="",$E652=""),"",IFERROR($D652*INDEX(Setup!$B$27:$B$44,MATCH($E652,Setup!$A$27:$A$44,0)),"TBD"))</f>
        <v/>
      </c>
      <c r="G652" s="32"/>
      <c r="H652" s="32"/>
      <c r="I652" s="32"/>
      <c r="J652" s="32"/>
      <c r="K652" s="35"/>
      <c r="L652" s="32"/>
      <c r="M652" s="32"/>
    </row>
    <row r="653" customFormat="false" ht="15" hidden="false" customHeight="true" outlineLevel="0" collapsed="false">
      <c r="A653" s="32"/>
      <c r="B653" s="32"/>
      <c r="C653" s="32"/>
      <c r="D653" s="32"/>
      <c r="E653" s="34" t="str">
        <f aca="false">IF($B653="","",IF($B653="OUT","Liters",IFERROR(INDEX(Setup!$F$3:$F$24,MATCH($C653,Setup!$A$3:$A$24,0)),"")))</f>
        <v/>
      </c>
      <c r="F653" s="28" t="str">
        <f aca="false">IF(OR($D653="",$E653=""),"",IFERROR($D653*INDEX(Setup!$B$27:$B$44,MATCH($E653,Setup!$A$27:$A$44,0)),"TBD"))</f>
        <v/>
      </c>
      <c r="G653" s="32"/>
      <c r="H653" s="32"/>
      <c r="I653" s="32"/>
      <c r="J653" s="32"/>
      <c r="K653" s="35"/>
      <c r="L653" s="32"/>
      <c r="M653" s="32"/>
    </row>
    <row r="654" customFormat="false" ht="15" hidden="false" customHeight="true" outlineLevel="0" collapsed="false">
      <c r="A654" s="32"/>
      <c r="B654" s="32"/>
      <c r="C654" s="32"/>
      <c r="D654" s="32"/>
      <c r="E654" s="34" t="str">
        <f aca="false">IF($B654="","",IF($B654="OUT","Liters",IFERROR(INDEX(Setup!$F$3:$F$24,MATCH($C654,Setup!$A$3:$A$24,0)),"")))</f>
        <v/>
      </c>
      <c r="F654" s="28" t="str">
        <f aca="false">IF(OR($D654="",$E654=""),"",IFERROR($D654*INDEX(Setup!$B$27:$B$44,MATCH($E654,Setup!$A$27:$A$44,0)),"TBD"))</f>
        <v/>
      </c>
      <c r="G654" s="32"/>
      <c r="H654" s="32"/>
      <c r="I654" s="32"/>
      <c r="J654" s="32"/>
      <c r="K654" s="35"/>
      <c r="L654" s="32"/>
      <c r="M654" s="32"/>
    </row>
    <row r="655" customFormat="false" ht="15" hidden="false" customHeight="true" outlineLevel="0" collapsed="false">
      <c r="A655" s="32"/>
      <c r="B655" s="32"/>
      <c r="C655" s="32"/>
      <c r="D655" s="32"/>
      <c r="E655" s="34" t="str">
        <f aca="false">IF($B655="","",IF($B655="OUT","Liters",IFERROR(INDEX(Setup!$F$3:$F$24,MATCH($C655,Setup!$A$3:$A$24,0)),"")))</f>
        <v/>
      </c>
      <c r="F655" s="28" t="str">
        <f aca="false">IF(OR($D655="",$E655=""),"",IFERROR($D655*INDEX(Setup!$B$27:$B$44,MATCH($E655,Setup!$A$27:$A$44,0)),"TBD"))</f>
        <v/>
      </c>
      <c r="G655" s="32"/>
      <c r="H655" s="32"/>
      <c r="I655" s="32"/>
      <c r="J655" s="32"/>
      <c r="K655" s="35"/>
      <c r="L655" s="32"/>
      <c r="M655" s="32"/>
    </row>
    <row r="656" customFormat="false" ht="15" hidden="false" customHeight="true" outlineLevel="0" collapsed="false">
      <c r="A656" s="32"/>
      <c r="B656" s="32"/>
      <c r="C656" s="32"/>
      <c r="D656" s="32"/>
      <c r="E656" s="34" t="str">
        <f aca="false">IF($B656="","",IF($B656="OUT","Liters",IFERROR(INDEX(Setup!$F$3:$F$24,MATCH($C656,Setup!$A$3:$A$24,0)),"")))</f>
        <v/>
      </c>
      <c r="F656" s="28" t="str">
        <f aca="false">IF(OR($D656="",$E656=""),"",IFERROR($D656*INDEX(Setup!$B$27:$B$44,MATCH($E656,Setup!$A$27:$A$44,0)),"TBD"))</f>
        <v/>
      </c>
      <c r="G656" s="32"/>
      <c r="H656" s="32"/>
      <c r="I656" s="32"/>
      <c r="J656" s="32"/>
      <c r="K656" s="35"/>
      <c r="L656" s="32"/>
      <c r="M656" s="32"/>
    </row>
    <row r="657" customFormat="false" ht="15" hidden="false" customHeight="true" outlineLevel="0" collapsed="false">
      <c r="A657" s="32"/>
      <c r="B657" s="32"/>
      <c r="C657" s="32"/>
      <c r="D657" s="32"/>
      <c r="E657" s="34" t="str">
        <f aca="false">IF($B657="","",IF($B657="OUT","Liters",IFERROR(INDEX(Setup!$F$3:$F$24,MATCH($C657,Setup!$A$3:$A$24,0)),"")))</f>
        <v/>
      </c>
      <c r="F657" s="28" t="str">
        <f aca="false">IF(OR($D657="",$E657=""),"",IFERROR($D657*INDEX(Setup!$B$27:$B$44,MATCH($E657,Setup!$A$27:$A$44,0)),"TBD"))</f>
        <v/>
      </c>
      <c r="G657" s="32"/>
      <c r="H657" s="32"/>
      <c r="I657" s="32"/>
      <c r="J657" s="32"/>
      <c r="K657" s="35"/>
      <c r="L657" s="32"/>
      <c r="M657" s="32"/>
    </row>
    <row r="658" customFormat="false" ht="15" hidden="false" customHeight="true" outlineLevel="0" collapsed="false">
      <c r="A658" s="32"/>
      <c r="B658" s="32"/>
      <c r="C658" s="32"/>
      <c r="D658" s="32"/>
      <c r="E658" s="34" t="str">
        <f aca="false">IF($B658="","",IF($B658="OUT","Liters",IFERROR(INDEX(Setup!$F$3:$F$24,MATCH($C658,Setup!$A$3:$A$24,0)),"")))</f>
        <v/>
      </c>
      <c r="F658" s="28" t="str">
        <f aca="false">IF(OR($D658="",$E658=""),"",IFERROR($D658*INDEX(Setup!$B$27:$B$44,MATCH($E658,Setup!$A$27:$A$44,0)),"TBD"))</f>
        <v/>
      </c>
      <c r="G658" s="32"/>
      <c r="H658" s="32"/>
      <c r="I658" s="32"/>
      <c r="J658" s="32"/>
      <c r="K658" s="35"/>
      <c r="L658" s="32"/>
      <c r="M658" s="32"/>
    </row>
    <row r="659" customFormat="false" ht="15" hidden="false" customHeight="true" outlineLevel="0" collapsed="false">
      <c r="A659" s="32"/>
      <c r="B659" s="32"/>
      <c r="C659" s="32"/>
      <c r="D659" s="32"/>
      <c r="E659" s="34" t="str">
        <f aca="false">IF($B659="","",IF($B659="OUT","Liters",IFERROR(INDEX(Setup!$F$3:$F$24,MATCH($C659,Setup!$A$3:$A$24,0)),"")))</f>
        <v/>
      </c>
      <c r="F659" s="28" t="str">
        <f aca="false">IF(OR($D659="",$E659=""),"",IFERROR($D659*INDEX(Setup!$B$27:$B$44,MATCH($E659,Setup!$A$27:$A$44,0)),"TBD"))</f>
        <v/>
      </c>
      <c r="G659" s="32"/>
      <c r="H659" s="32"/>
      <c r="I659" s="32"/>
      <c r="J659" s="32"/>
      <c r="K659" s="35"/>
      <c r="L659" s="32"/>
      <c r="M659" s="32"/>
    </row>
    <row r="660" customFormat="false" ht="15" hidden="false" customHeight="true" outlineLevel="0" collapsed="false">
      <c r="A660" s="32"/>
      <c r="B660" s="32"/>
      <c r="C660" s="32"/>
      <c r="D660" s="32"/>
      <c r="E660" s="34" t="str">
        <f aca="false">IF($B660="","",IF($B660="OUT","Liters",IFERROR(INDEX(Setup!$F$3:$F$24,MATCH($C660,Setup!$A$3:$A$24,0)),"")))</f>
        <v/>
      </c>
      <c r="F660" s="28" t="str">
        <f aca="false">IF(OR($D660="",$E660=""),"",IFERROR($D660*INDEX(Setup!$B$27:$B$44,MATCH($E660,Setup!$A$27:$A$44,0)),"TBD"))</f>
        <v/>
      </c>
      <c r="G660" s="32"/>
      <c r="H660" s="32"/>
      <c r="I660" s="32"/>
      <c r="J660" s="32"/>
      <c r="K660" s="35"/>
      <c r="L660" s="32"/>
      <c r="M660" s="32"/>
    </row>
    <row r="661" customFormat="false" ht="15" hidden="false" customHeight="true" outlineLevel="0" collapsed="false">
      <c r="A661" s="32"/>
      <c r="B661" s="32"/>
      <c r="C661" s="32"/>
      <c r="D661" s="32"/>
      <c r="E661" s="34" t="str">
        <f aca="false">IF($B661="","",IF($B661="OUT","Liters",IFERROR(INDEX(Setup!$F$3:$F$24,MATCH($C661,Setup!$A$3:$A$24,0)),"")))</f>
        <v/>
      </c>
      <c r="F661" s="28" t="str">
        <f aca="false">IF(OR($D661="",$E661=""),"",IFERROR($D661*INDEX(Setup!$B$27:$B$44,MATCH($E661,Setup!$A$27:$A$44,0)),"TBD"))</f>
        <v/>
      </c>
      <c r="G661" s="32"/>
      <c r="H661" s="32"/>
      <c r="I661" s="32"/>
      <c r="J661" s="32"/>
      <c r="K661" s="35"/>
      <c r="L661" s="32"/>
      <c r="M661" s="32"/>
    </row>
    <row r="662" customFormat="false" ht="15" hidden="false" customHeight="true" outlineLevel="0" collapsed="false">
      <c r="A662" s="32"/>
      <c r="B662" s="32"/>
      <c r="C662" s="32"/>
      <c r="D662" s="32"/>
      <c r="E662" s="34" t="str">
        <f aca="false">IF($B662="","",IF($B662="OUT","Liters",IFERROR(INDEX(Setup!$F$3:$F$24,MATCH($C662,Setup!$A$3:$A$24,0)),"")))</f>
        <v/>
      </c>
      <c r="F662" s="28" t="str">
        <f aca="false">IF(OR($D662="",$E662=""),"",IFERROR($D662*INDEX(Setup!$B$27:$B$44,MATCH($E662,Setup!$A$27:$A$44,0)),"TBD"))</f>
        <v/>
      </c>
      <c r="G662" s="32"/>
      <c r="H662" s="32"/>
      <c r="I662" s="32"/>
      <c r="J662" s="32"/>
      <c r="K662" s="35"/>
      <c r="L662" s="32"/>
      <c r="M662" s="32"/>
    </row>
    <row r="663" customFormat="false" ht="15" hidden="false" customHeight="true" outlineLevel="0" collapsed="false">
      <c r="A663" s="32"/>
      <c r="B663" s="32"/>
      <c r="C663" s="32"/>
      <c r="D663" s="32"/>
      <c r="E663" s="34" t="str">
        <f aca="false">IF($B663="","",IF($B663="OUT","Liters",IFERROR(INDEX(Setup!$F$3:$F$24,MATCH($C663,Setup!$A$3:$A$24,0)),"")))</f>
        <v/>
      </c>
      <c r="F663" s="28" t="str">
        <f aca="false">IF(OR($D663="",$E663=""),"",IFERROR($D663*INDEX(Setup!$B$27:$B$44,MATCH($E663,Setup!$A$27:$A$44,0)),"TBD"))</f>
        <v/>
      </c>
      <c r="G663" s="32"/>
      <c r="H663" s="32"/>
      <c r="I663" s="32"/>
      <c r="J663" s="32"/>
      <c r="K663" s="35"/>
      <c r="L663" s="32"/>
      <c r="M663" s="32"/>
    </row>
    <row r="664" customFormat="false" ht="15" hidden="false" customHeight="true" outlineLevel="0" collapsed="false">
      <c r="A664" s="32"/>
      <c r="B664" s="32"/>
      <c r="C664" s="32"/>
      <c r="D664" s="32"/>
      <c r="E664" s="34" t="str">
        <f aca="false">IF($B664="","",IF($B664="OUT","Liters",IFERROR(INDEX(Setup!$F$3:$F$24,MATCH($C664,Setup!$A$3:$A$24,0)),"")))</f>
        <v/>
      </c>
      <c r="F664" s="28" t="str">
        <f aca="false">IF(OR($D664="",$E664=""),"",IFERROR($D664*INDEX(Setup!$B$27:$B$44,MATCH($E664,Setup!$A$27:$A$44,0)),"TBD"))</f>
        <v/>
      </c>
      <c r="G664" s="32"/>
      <c r="H664" s="32"/>
      <c r="I664" s="32"/>
      <c r="J664" s="32"/>
      <c r="K664" s="35"/>
      <c r="L664" s="32"/>
      <c r="M664" s="32"/>
    </row>
    <row r="665" customFormat="false" ht="15" hidden="false" customHeight="true" outlineLevel="0" collapsed="false">
      <c r="A665" s="32"/>
      <c r="B665" s="32"/>
      <c r="C665" s="32"/>
      <c r="D665" s="32"/>
      <c r="E665" s="34" t="str">
        <f aca="false">IF($B665="","",IF($B665="OUT","Liters",IFERROR(INDEX(Setup!$F$3:$F$24,MATCH($C665,Setup!$A$3:$A$24,0)),"")))</f>
        <v/>
      </c>
      <c r="F665" s="28" t="str">
        <f aca="false">IF(OR($D665="",$E665=""),"",IFERROR($D665*INDEX(Setup!$B$27:$B$44,MATCH($E665,Setup!$A$27:$A$44,0)),"TBD"))</f>
        <v/>
      </c>
      <c r="G665" s="32"/>
      <c r="H665" s="32"/>
      <c r="I665" s="32"/>
      <c r="J665" s="32"/>
      <c r="K665" s="35"/>
      <c r="L665" s="32"/>
      <c r="M665" s="32"/>
    </row>
    <row r="666" customFormat="false" ht="15" hidden="false" customHeight="true" outlineLevel="0" collapsed="false">
      <c r="A666" s="32"/>
      <c r="B666" s="32"/>
      <c r="C666" s="32"/>
      <c r="D666" s="32"/>
      <c r="E666" s="34" t="str">
        <f aca="false">IF($B666="","",IF($B666="OUT","Liters",IFERROR(INDEX(Setup!$F$3:$F$24,MATCH($C666,Setup!$A$3:$A$24,0)),"")))</f>
        <v/>
      </c>
      <c r="F666" s="28" t="str">
        <f aca="false">IF(OR($D666="",$E666=""),"",IFERROR($D666*INDEX(Setup!$B$27:$B$44,MATCH($E666,Setup!$A$27:$A$44,0)),"TBD"))</f>
        <v/>
      </c>
      <c r="G666" s="32"/>
      <c r="H666" s="32"/>
      <c r="I666" s="32"/>
      <c r="J666" s="32"/>
      <c r="K666" s="35"/>
      <c r="L666" s="32"/>
      <c r="M666" s="32"/>
    </row>
    <row r="667" customFormat="false" ht="15" hidden="false" customHeight="true" outlineLevel="0" collapsed="false">
      <c r="A667" s="32"/>
      <c r="B667" s="32"/>
      <c r="C667" s="32"/>
      <c r="D667" s="32"/>
      <c r="E667" s="34" t="str">
        <f aca="false">IF($B667="","",IF($B667="OUT","Liters",IFERROR(INDEX(Setup!$F$3:$F$24,MATCH($C667,Setup!$A$3:$A$24,0)),"")))</f>
        <v/>
      </c>
      <c r="F667" s="28" t="str">
        <f aca="false">IF(OR($D667="",$E667=""),"",IFERROR($D667*INDEX(Setup!$B$27:$B$44,MATCH($E667,Setup!$A$27:$A$44,0)),"TBD"))</f>
        <v/>
      </c>
      <c r="G667" s="32"/>
      <c r="H667" s="32"/>
      <c r="I667" s="32"/>
      <c r="J667" s="32"/>
      <c r="K667" s="35"/>
      <c r="L667" s="32"/>
      <c r="M667" s="32"/>
    </row>
    <row r="668" customFormat="false" ht="15" hidden="false" customHeight="true" outlineLevel="0" collapsed="false">
      <c r="A668" s="32"/>
      <c r="B668" s="32"/>
      <c r="C668" s="32"/>
      <c r="D668" s="32"/>
      <c r="E668" s="34" t="str">
        <f aca="false">IF($B668="","",IF($B668="OUT","Liters",IFERROR(INDEX(Setup!$F$3:$F$24,MATCH($C668,Setup!$A$3:$A$24,0)),"")))</f>
        <v/>
      </c>
      <c r="F668" s="28" t="str">
        <f aca="false">IF(OR($D668="",$E668=""),"",IFERROR($D668*INDEX(Setup!$B$27:$B$44,MATCH($E668,Setup!$A$27:$A$44,0)),"TBD"))</f>
        <v/>
      </c>
      <c r="G668" s="32"/>
      <c r="H668" s="32"/>
      <c r="I668" s="32"/>
      <c r="J668" s="32"/>
      <c r="K668" s="35"/>
      <c r="L668" s="32"/>
      <c r="M668" s="32"/>
    </row>
    <row r="669" customFormat="false" ht="15" hidden="false" customHeight="true" outlineLevel="0" collapsed="false">
      <c r="A669" s="32"/>
      <c r="B669" s="32"/>
      <c r="C669" s="32"/>
      <c r="D669" s="32"/>
      <c r="E669" s="34" t="str">
        <f aca="false">IF($B669="","",IF($B669="OUT","Liters",IFERROR(INDEX(Setup!$F$3:$F$24,MATCH($C669,Setup!$A$3:$A$24,0)),"")))</f>
        <v/>
      </c>
      <c r="F669" s="28" t="str">
        <f aca="false">IF(OR($D669="",$E669=""),"",IFERROR($D669*INDEX(Setup!$B$27:$B$44,MATCH($E669,Setup!$A$27:$A$44,0)),"TBD"))</f>
        <v/>
      </c>
      <c r="G669" s="32"/>
      <c r="H669" s="32"/>
      <c r="I669" s="32"/>
      <c r="J669" s="32"/>
      <c r="K669" s="35"/>
      <c r="L669" s="32"/>
      <c r="M669" s="32"/>
    </row>
    <row r="670" customFormat="false" ht="15" hidden="false" customHeight="true" outlineLevel="0" collapsed="false">
      <c r="A670" s="32"/>
      <c r="B670" s="32"/>
      <c r="C670" s="32"/>
      <c r="D670" s="32"/>
      <c r="E670" s="34" t="str">
        <f aca="false">IF($B670="","",IF($B670="OUT","Liters",IFERROR(INDEX(Setup!$F$3:$F$24,MATCH($C670,Setup!$A$3:$A$24,0)),"")))</f>
        <v/>
      </c>
      <c r="F670" s="28" t="str">
        <f aca="false">IF(OR($D670="",$E670=""),"",IFERROR($D670*INDEX(Setup!$B$27:$B$44,MATCH($E670,Setup!$A$27:$A$44,0)),"TBD"))</f>
        <v/>
      </c>
      <c r="G670" s="32"/>
      <c r="H670" s="32"/>
      <c r="I670" s="32"/>
      <c r="J670" s="32"/>
      <c r="K670" s="35"/>
      <c r="L670" s="32"/>
      <c r="M670" s="32"/>
    </row>
    <row r="671" customFormat="false" ht="15" hidden="false" customHeight="true" outlineLevel="0" collapsed="false">
      <c r="A671" s="32"/>
      <c r="B671" s="32"/>
      <c r="C671" s="32"/>
      <c r="D671" s="32"/>
      <c r="E671" s="34" t="str">
        <f aca="false">IF($B671="","",IF($B671="OUT","Liters",IFERROR(INDEX(Setup!$F$3:$F$24,MATCH($C671,Setup!$A$3:$A$24,0)),"")))</f>
        <v/>
      </c>
      <c r="F671" s="28" t="str">
        <f aca="false">IF(OR($D671="",$E671=""),"",IFERROR($D671*INDEX(Setup!$B$27:$B$44,MATCH($E671,Setup!$A$27:$A$44,0)),"TBD"))</f>
        <v/>
      </c>
      <c r="G671" s="32"/>
      <c r="H671" s="32"/>
      <c r="I671" s="32"/>
      <c r="J671" s="32"/>
      <c r="K671" s="35"/>
      <c r="L671" s="32"/>
      <c r="M671" s="32"/>
    </row>
    <row r="672" customFormat="false" ht="15" hidden="false" customHeight="true" outlineLevel="0" collapsed="false">
      <c r="A672" s="32"/>
      <c r="B672" s="32"/>
      <c r="C672" s="32"/>
      <c r="D672" s="32"/>
      <c r="E672" s="34" t="str">
        <f aca="false">IF($B672="","",IF($B672="OUT","Liters",IFERROR(INDEX(Setup!$F$3:$F$24,MATCH($C672,Setup!$A$3:$A$24,0)),"")))</f>
        <v/>
      </c>
      <c r="F672" s="28" t="str">
        <f aca="false">IF(OR($D672="",$E672=""),"",IFERROR($D672*INDEX(Setup!$B$27:$B$44,MATCH($E672,Setup!$A$27:$A$44,0)),"TBD"))</f>
        <v/>
      </c>
      <c r="G672" s="32"/>
      <c r="H672" s="32"/>
      <c r="I672" s="32"/>
      <c r="J672" s="32"/>
      <c r="K672" s="35"/>
      <c r="L672" s="32"/>
      <c r="M672" s="32"/>
    </row>
    <row r="673" customFormat="false" ht="15" hidden="false" customHeight="true" outlineLevel="0" collapsed="false">
      <c r="A673" s="32"/>
      <c r="B673" s="32"/>
      <c r="C673" s="32"/>
      <c r="D673" s="32"/>
      <c r="E673" s="34" t="str">
        <f aca="false">IF($B673="","",IF($B673="OUT","Liters",IFERROR(INDEX(Setup!$F$3:$F$24,MATCH($C673,Setup!$A$3:$A$24,0)),"")))</f>
        <v/>
      </c>
      <c r="F673" s="28" t="str">
        <f aca="false">IF(OR($D673="",$E673=""),"",IFERROR($D673*INDEX(Setup!$B$27:$B$44,MATCH($E673,Setup!$A$27:$A$44,0)),"TBD"))</f>
        <v/>
      </c>
      <c r="G673" s="32"/>
      <c r="H673" s="32"/>
      <c r="I673" s="32"/>
      <c r="J673" s="32"/>
      <c r="K673" s="35"/>
      <c r="L673" s="32"/>
      <c r="M673" s="32"/>
    </row>
    <row r="674" customFormat="false" ht="15" hidden="false" customHeight="true" outlineLevel="0" collapsed="false">
      <c r="A674" s="32"/>
      <c r="B674" s="32"/>
      <c r="C674" s="32"/>
      <c r="D674" s="32"/>
      <c r="E674" s="34" t="str">
        <f aca="false">IF($B674="","",IF($B674="OUT","Liters",IFERROR(INDEX(Setup!$F$3:$F$24,MATCH($C674,Setup!$A$3:$A$24,0)),"")))</f>
        <v/>
      </c>
      <c r="F674" s="28" t="str">
        <f aca="false">IF(OR($D674="",$E674=""),"",IFERROR($D674*INDEX(Setup!$B$27:$B$44,MATCH($E674,Setup!$A$27:$A$44,0)),"TBD"))</f>
        <v/>
      </c>
      <c r="G674" s="32"/>
      <c r="H674" s="32"/>
      <c r="I674" s="32"/>
      <c r="J674" s="32"/>
      <c r="K674" s="35"/>
      <c r="L674" s="32"/>
      <c r="M674" s="32"/>
    </row>
    <row r="675" customFormat="false" ht="15" hidden="false" customHeight="true" outlineLevel="0" collapsed="false">
      <c r="A675" s="32"/>
      <c r="B675" s="32"/>
      <c r="C675" s="32"/>
      <c r="D675" s="32"/>
      <c r="E675" s="34" t="str">
        <f aca="false">IF($B675="","",IF($B675="OUT","Liters",IFERROR(INDEX(Setup!$F$3:$F$24,MATCH($C675,Setup!$A$3:$A$24,0)),"")))</f>
        <v/>
      </c>
      <c r="F675" s="28" t="str">
        <f aca="false">IF(OR($D675="",$E675=""),"",IFERROR($D675*INDEX(Setup!$B$27:$B$44,MATCH($E675,Setup!$A$27:$A$44,0)),"TBD"))</f>
        <v/>
      </c>
      <c r="G675" s="32"/>
      <c r="H675" s="32"/>
      <c r="I675" s="32"/>
      <c r="J675" s="32"/>
      <c r="K675" s="35"/>
      <c r="L675" s="32"/>
      <c r="M675" s="32"/>
    </row>
    <row r="676" customFormat="false" ht="15" hidden="false" customHeight="true" outlineLevel="0" collapsed="false">
      <c r="A676" s="32"/>
      <c r="B676" s="32"/>
      <c r="C676" s="32"/>
      <c r="D676" s="32"/>
      <c r="E676" s="34" t="str">
        <f aca="false">IF($B676="","",IF($B676="OUT","Liters",IFERROR(INDEX(Setup!$F$3:$F$24,MATCH($C676,Setup!$A$3:$A$24,0)),"")))</f>
        <v/>
      </c>
      <c r="F676" s="28" t="str">
        <f aca="false">IF(OR($D676="",$E676=""),"",IFERROR($D676*INDEX(Setup!$B$27:$B$44,MATCH($E676,Setup!$A$27:$A$44,0)),"TBD"))</f>
        <v/>
      </c>
      <c r="G676" s="32"/>
      <c r="H676" s="32"/>
      <c r="I676" s="32"/>
      <c r="J676" s="32"/>
      <c r="K676" s="35"/>
      <c r="L676" s="32"/>
      <c r="M676" s="32"/>
    </row>
    <row r="677" customFormat="false" ht="15" hidden="false" customHeight="true" outlineLevel="0" collapsed="false">
      <c r="A677" s="32"/>
      <c r="B677" s="32"/>
      <c r="C677" s="32"/>
      <c r="D677" s="32"/>
      <c r="E677" s="34" t="str">
        <f aca="false">IF($B677="","",IF($B677="OUT","Liters",IFERROR(INDEX(Setup!$F$3:$F$24,MATCH($C677,Setup!$A$3:$A$24,0)),"")))</f>
        <v/>
      </c>
      <c r="F677" s="28" t="str">
        <f aca="false">IF(OR($D677="",$E677=""),"",IFERROR($D677*INDEX(Setup!$B$27:$B$44,MATCH($E677,Setup!$A$27:$A$44,0)),"TBD"))</f>
        <v/>
      </c>
      <c r="G677" s="32"/>
      <c r="H677" s="32"/>
      <c r="I677" s="32"/>
      <c r="J677" s="32"/>
      <c r="K677" s="35"/>
      <c r="L677" s="32"/>
      <c r="M677" s="32"/>
    </row>
    <row r="678" customFormat="false" ht="15" hidden="false" customHeight="true" outlineLevel="0" collapsed="false">
      <c r="A678" s="32"/>
      <c r="B678" s="32"/>
      <c r="C678" s="32"/>
      <c r="D678" s="32"/>
      <c r="E678" s="34" t="str">
        <f aca="false">IF($B678="","",IF($B678="OUT","Liters",IFERROR(INDEX(Setup!$F$3:$F$24,MATCH($C678,Setup!$A$3:$A$24,0)),"")))</f>
        <v/>
      </c>
      <c r="F678" s="28" t="str">
        <f aca="false">IF(OR($D678="",$E678=""),"",IFERROR($D678*INDEX(Setup!$B$27:$B$44,MATCH($E678,Setup!$A$27:$A$44,0)),"TBD"))</f>
        <v/>
      </c>
      <c r="G678" s="32"/>
      <c r="H678" s="32"/>
      <c r="I678" s="32"/>
      <c r="J678" s="32"/>
      <c r="K678" s="35"/>
      <c r="L678" s="32"/>
      <c r="M678" s="32"/>
    </row>
    <row r="679" customFormat="false" ht="15" hidden="false" customHeight="true" outlineLevel="0" collapsed="false">
      <c r="A679" s="32"/>
      <c r="B679" s="32"/>
      <c r="C679" s="32"/>
      <c r="D679" s="32"/>
      <c r="E679" s="34" t="str">
        <f aca="false">IF($B679="","",IF($B679="OUT","Liters",IFERROR(INDEX(Setup!$F$3:$F$24,MATCH($C679,Setup!$A$3:$A$24,0)),"")))</f>
        <v/>
      </c>
      <c r="F679" s="28" t="str">
        <f aca="false">IF(OR($D679="",$E679=""),"",IFERROR($D679*INDEX(Setup!$B$27:$B$44,MATCH($E679,Setup!$A$27:$A$44,0)),"TBD"))</f>
        <v/>
      </c>
      <c r="G679" s="32"/>
      <c r="H679" s="32"/>
      <c r="I679" s="32"/>
      <c r="J679" s="32"/>
      <c r="K679" s="35"/>
      <c r="L679" s="32"/>
      <c r="M679" s="32"/>
    </row>
    <row r="680" customFormat="false" ht="15" hidden="false" customHeight="true" outlineLevel="0" collapsed="false">
      <c r="A680" s="32"/>
      <c r="B680" s="32"/>
      <c r="C680" s="32"/>
      <c r="D680" s="32"/>
      <c r="E680" s="34" t="str">
        <f aca="false">IF($B680="","",IF($B680="OUT","Liters",IFERROR(INDEX(Setup!$F$3:$F$24,MATCH($C680,Setup!$A$3:$A$24,0)),"")))</f>
        <v/>
      </c>
      <c r="F680" s="28" t="str">
        <f aca="false">IF(OR($D680="",$E680=""),"",IFERROR($D680*INDEX(Setup!$B$27:$B$44,MATCH($E680,Setup!$A$27:$A$44,0)),"TBD"))</f>
        <v/>
      </c>
      <c r="G680" s="32"/>
      <c r="H680" s="32"/>
      <c r="I680" s="32"/>
      <c r="J680" s="32"/>
      <c r="K680" s="35"/>
      <c r="L680" s="32"/>
      <c r="M680" s="32"/>
    </row>
    <row r="681" customFormat="false" ht="15" hidden="false" customHeight="true" outlineLevel="0" collapsed="false">
      <c r="A681" s="32"/>
      <c r="B681" s="32"/>
      <c r="C681" s="32"/>
      <c r="D681" s="32"/>
      <c r="E681" s="34" t="str">
        <f aca="false">IF($B681="","",IF($B681="OUT","Liters",IFERROR(INDEX(Setup!$F$3:$F$24,MATCH($C681,Setup!$A$3:$A$24,0)),"")))</f>
        <v/>
      </c>
      <c r="F681" s="28" t="str">
        <f aca="false">IF(OR($D681="",$E681=""),"",IFERROR($D681*INDEX(Setup!$B$27:$B$44,MATCH($E681,Setup!$A$27:$A$44,0)),"TBD"))</f>
        <v/>
      </c>
      <c r="G681" s="32"/>
      <c r="H681" s="32"/>
      <c r="I681" s="32"/>
      <c r="J681" s="32"/>
      <c r="K681" s="35"/>
      <c r="L681" s="32"/>
      <c r="M681" s="32"/>
    </row>
    <row r="682" customFormat="false" ht="15" hidden="false" customHeight="true" outlineLevel="0" collapsed="false">
      <c r="A682" s="32"/>
      <c r="B682" s="32"/>
      <c r="C682" s="32"/>
      <c r="D682" s="32"/>
      <c r="E682" s="34" t="str">
        <f aca="false">IF($B682="","",IF($B682="OUT","Liters",IFERROR(INDEX(Setup!$F$3:$F$24,MATCH($C682,Setup!$A$3:$A$24,0)),"")))</f>
        <v/>
      </c>
      <c r="F682" s="28" t="str">
        <f aca="false">IF(OR($D682="",$E682=""),"",IFERROR($D682*INDEX(Setup!$B$27:$B$44,MATCH($E682,Setup!$A$27:$A$44,0)),"TBD"))</f>
        <v/>
      </c>
      <c r="G682" s="32"/>
      <c r="H682" s="32"/>
      <c r="I682" s="32"/>
      <c r="J682" s="32"/>
      <c r="K682" s="35"/>
      <c r="L682" s="32"/>
      <c r="M682" s="32"/>
    </row>
    <row r="683" customFormat="false" ht="15" hidden="false" customHeight="true" outlineLevel="0" collapsed="false">
      <c r="A683" s="32"/>
      <c r="B683" s="32"/>
      <c r="C683" s="32"/>
      <c r="D683" s="32"/>
      <c r="E683" s="34" t="str">
        <f aca="false">IF($B683="","",IF($B683="OUT","Liters",IFERROR(INDEX(Setup!$F$3:$F$24,MATCH($C683,Setup!$A$3:$A$24,0)),"")))</f>
        <v/>
      </c>
      <c r="F683" s="28" t="str">
        <f aca="false">IF(OR($D683="",$E683=""),"",IFERROR($D683*INDEX(Setup!$B$27:$B$44,MATCH($E683,Setup!$A$27:$A$44,0)),"TBD"))</f>
        <v/>
      </c>
      <c r="G683" s="32"/>
      <c r="H683" s="32"/>
      <c r="I683" s="32"/>
      <c r="J683" s="32"/>
      <c r="K683" s="35"/>
      <c r="L683" s="32"/>
      <c r="M683" s="32"/>
    </row>
    <row r="684" customFormat="false" ht="15" hidden="false" customHeight="true" outlineLevel="0" collapsed="false">
      <c r="A684" s="32"/>
      <c r="B684" s="32"/>
      <c r="C684" s="32"/>
      <c r="D684" s="32"/>
      <c r="E684" s="34" t="str">
        <f aca="false">IF($B684="","",IF($B684="OUT","Liters",IFERROR(INDEX(Setup!$F$3:$F$24,MATCH($C684,Setup!$A$3:$A$24,0)),"")))</f>
        <v/>
      </c>
      <c r="F684" s="28" t="str">
        <f aca="false">IF(OR($D684="",$E684=""),"",IFERROR($D684*INDEX(Setup!$B$27:$B$44,MATCH($E684,Setup!$A$27:$A$44,0)),"TBD"))</f>
        <v/>
      </c>
      <c r="G684" s="32"/>
      <c r="H684" s="32"/>
      <c r="I684" s="32"/>
      <c r="J684" s="32"/>
      <c r="K684" s="35"/>
      <c r="L684" s="32"/>
      <c r="M684" s="32"/>
    </row>
    <row r="685" customFormat="false" ht="15" hidden="false" customHeight="true" outlineLevel="0" collapsed="false">
      <c r="A685" s="32"/>
      <c r="B685" s="32"/>
      <c r="C685" s="32"/>
      <c r="D685" s="32"/>
      <c r="E685" s="34" t="str">
        <f aca="false">IF($B685="","",IF($B685="OUT","Liters",IFERROR(INDEX(Setup!$F$3:$F$24,MATCH($C685,Setup!$A$3:$A$24,0)),"")))</f>
        <v/>
      </c>
      <c r="F685" s="28" t="str">
        <f aca="false">IF(OR($D685="",$E685=""),"",IFERROR($D685*INDEX(Setup!$B$27:$B$44,MATCH($E685,Setup!$A$27:$A$44,0)),"TBD"))</f>
        <v/>
      </c>
      <c r="G685" s="32"/>
      <c r="H685" s="32"/>
      <c r="I685" s="32"/>
      <c r="J685" s="32"/>
      <c r="K685" s="35"/>
      <c r="L685" s="32"/>
      <c r="M685" s="32"/>
    </row>
    <row r="686" customFormat="false" ht="15" hidden="false" customHeight="true" outlineLevel="0" collapsed="false">
      <c r="A686" s="32"/>
      <c r="B686" s="32"/>
      <c r="C686" s="32"/>
      <c r="D686" s="32"/>
      <c r="E686" s="34" t="str">
        <f aca="false">IF($B686="","",IF($B686="OUT","Liters",IFERROR(INDEX(Setup!$F$3:$F$24,MATCH($C686,Setup!$A$3:$A$24,0)),"")))</f>
        <v/>
      </c>
      <c r="F686" s="28" t="str">
        <f aca="false">IF(OR($D686="",$E686=""),"",IFERROR($D686*INDEX(Setup!$B$27:$B$44,MATCH($E686,Setup!$A$27:$A$44,0)),"TBD"))</f>
        <v/>
      </c>
      <c r="G686" s="32"/>
      <c r="H686" s="32"/>
      <c r="I686" s="32"/>
      <c r="J686" s="32"/>
      <c r="K686" s="35"/>
      <c r="L686" s="32"/>
      <c r="M686" s="32"/>
    </row>
    <row r="687" customFormat="false" ht="15" hidden="false" customHeight="true" outlineLevel="0" collapsed="false">
      <c r="A687" s="32"/>
      <c r="B687" s="32"/>
      <c r="C687" s="32"/>
      <c r="D687" s="32"/>
      <c r="E687" s="34" t="str">
        <f aca="false">IF($B687="","",IF($B687="OUT","Liters",IFERROR(INDEX(Setup!$F$3:$F$24,MATCH($C687,Setup!$A$3:$A$24,0)),"")))</f>
        <v/>
      </c>
      <c r="F687" s="28" t="str">
        <f aca="false">IF(OR($D687="",$E687=""),"",IFERROR($D687*INDEX(Setup!$B$27:$B$44,MATCH($E687,Setup!$A$27:$A$44,0)),"TBD"))</f>
        <v/>
      </c>
      <c r="G687" s="32"/>
      <c r="H687" s="32"/>
      <c r="I687" s="32"/>
      <c r="J687" s="32"/>
      <c r="K687" s="35"/>
      <c r="L687" s="32"/>
      <c r="M687" s="32"/>
    </row>
    <row r="688" customFormat="false" ht="15" hidden="false" customHeight="true" outlineLevel="0" collapsed="false">
      <c r="A688" s="32"/>
      <c r="B688" s="32"/>
      <c r="C688" s="32"/>
      <c r="D688" s="32"/>
      <c r="E688" s="34" t="str">
        <f aca="false">IF($B688="","",IF($B688="OUT","Liters",IFERROR(INDEX(Setup!$F$3:$F$24,MATCH($C688,Setup!$A$3:$A$24,0)),"")))</f>
        <v/>
      </c>
      <c r="F688" s="28" t="str">
        <f aca="false">IF(OR($D688="",$E688=""),"",IFERROR($D688*INDEX(Setup!$B$27:$B$44,MATCH($E688,Setup!$A$27:$A$44,0)),"TBD"))</f>
        <v/>
      </c>
      <c r="G688" s="32"/>
      <c r="H688" s="32"/>
      <c r="I688" s="32"/>
      <c r="J688" s="32"/>
      <c r="K688" s="35"/>
      <c r="L688" s="32"/>
      <c r="M688" s="32"/>
    </row>
    <row r="689" customFormat="false" ht="15" hidden="false" customHeight="true" outlineLevel="0" collapsed="false">
      <c r="A689" s="32"/>
      <c r="B689" s="32"/>
      <c r="C689" s="32"/>
      <c r="D689" s="32"/>
      <c r="E689" s="34" t="str">
        <f aca="false">IF($B689="","",IF($B689="OUT","Liters",IFERROR(INDEX(Setup!$F$3:$F$24,MATCH($C689,Setup!$A$3:$A$24,0)),"")))</f>
        <v/>
      </c>
      <c r="F689" s="28" t="str">
        <f aca="false">IF(OR($D689="",$E689=""),"",IFERROR($D689*INDEX(Setup!$B$27:$B$44,MATCH($E689,Setup!$A$27:$A$44,0)),"TBD"))</f>
        <v/>
      </c>
      <c r="G689" s="32"/>
      <c r="H689" s="32"/>
      <c r="I689" s="32"/>
      <c r="J689" s="32"/>
      <c r="K689" s="35"/>
      <c r="L689" s="32"/>
      <c r="M689" s="32"/>
    </row>
    <row r="690" customFormat="false" ht="15" hidden="false" customHeight="true" outlineLevel="0" collapsed="false">
      <c r="A690" s="32"/>
      <c r="B690" s="32"/>
      <c r="C690" s="32"/>
      <c r="D690" s="32"/>
      <c r="E690" s="34" t="str">
        <f aca="false">IF($B690="","",IF($B690="OUT","Liters",IFERROR(INDEX(Setup!$F$3:$F$24,MATCH($C690,Setup!$A$3:$A$24,0)),"")))</f>
        <v/>
      </c>
      <c r="F690" s="28" t="str">
        <f aca="false">IF(OR($D690="",$E690=""),"",IFERROR($D690*INDEX(Setup!$B$27:$B$44,MATCH($E690,Setup!$A$27:$A$44,0)),"TBD"))</f>
        <v/>
      </c>
      <c r="G690" s="32"/>
      <c r="H690" s="32"/>
      <c r="I690" s="32"/>
      <c r="J690" s="32"/>
      <c r="K690" s="35"/>
      <c r="L690" s="32"/>
      <c r="M690" s="32"/>
    </row>
    <row r="691" customFormat="false" ht="15" hidden="false" customHeight="true" outlineLevel="0" collapsed="false">
      <c r="A691" s="32"/>
      <c r="B691" s="32"/>
      <c r="C691" s="32"/>
      <c r="D691" s="32"/>
      <c r="E691" s="34" t="str">
        <f aca="false">IF($B691="","",IF($B691="OUT","Liters",IFERROR(INDEX(Setup!$F$3:$F$24,MATCH($C691,Setup!$A$3:$A$24,0)),"")))</f>
        <v/>
      </c>
      <c r="F691" s="28" t="str">
        <f aca="false">IF(OR($D691="",$E691=""),"",IFERROR($D691*INDEX(Setup!$B$27:$B$44,MATCH($E691,Setup!$A$27:$A$44,0)),"TBD"))</f>
        <v/>
      </c>
      <c r="G691" s="32"/>
      <c r="H691" s="32"/>
      <c r="I691" s="32"/>
      <c r="J691" s="32"/>
      <c r="K691" s="35"/>
      <c r="L691" s="32"/>
      <c r="M691" s="32"/>
    </row>
    <row r="692" customFormat="false" ht="15" hidden="false" customHeight="true" outlineLevel="0" collapsed="false">
      <c r="A692" s="32"/>
      <c r="B692" s="32"/>
      <c r="C692" s="32"/>
      <c r="D692" s="32"/>
      <c r="E692" s="34" t="str">
        <f aca="false">IF($B692="","",IF($B692="OUT","Liters",IFERROR(INDEX(Setup!$F$3:$F$24,MATCH($C692,Setup!$A$3:$A$24,0)),"")))</f>
        <v/>
      </c>
      <c r="F692" s="28" t="str">
        <f aca="false">IF(OR($D692="",$E692=""),"",IFERROR($D692*INDEX(Setup!$B$27:$B$44,MATCH($E692,Setup!$A$27:$A$44,0)),"TBD"))</f>
        <v/>
      </c>
      <c r="G692" s="32"/>
      <c r="H692" s="32"/>
      <c r="I692" s="32"/>
      <c r="J692" s="32"/>
      <c r="K692" s="35"/>
      <c r="L692" s="32"/>
      <c r="M692" s="32"/>
    </row>
    <row r="693" customFormat="false" ht="15" hidden="false" customHeight="true" outlineLevel="0" collapsed="false">
      <c r="A693" s="32"/>
      <c r="B693" s="32"/>
      <c r="C693" s="32"/>
      <c r="D693" s="32"/>
      <c r="E693" s="34" t="str">
        <f aca="false">IF($B693="","",IF($B693="OUT","Liters",IFERROR(INDEX(Setup!$F$3:$F$24,MATCH($C693,Setup!$A$3:$A$24,0)),"")))</f>
        <v/>
      </c>
      <c r="F693" s="28" t="str">
        <f aca="false">IF(OR($D693="",$E693=""),"",IFERROR($D693*INDEX(Setup!$B$27:$B$44,MATCH($E693,Setup!$A$27:$A$44,0)),"TBD"))</f>
        <v/>
      </c>
      <c r="G693" s="32"/>
      <c r="H693" s="32"/>
      <c r="I693" s="32"/>
      <c r="J693" s="32"/>
      <c r="K693" s="35"/>
      <c r="L693" s="32"/>
      <c r="M693" s="32"/>
    </row>
    <row r="694" customFormat="false" ht="15" hidden="false" customHeight="true" outlineLevel="0" collapsed="false">
      <c r="A694" s="32"/>
      <c r="B694" s="32"/>
      <c r="C694" s="32"/>
      <c r="D694" s="32"/>
      <c r="E694" s="34" t="str">
        <f aca="false">IF($B694="","",IF($B694="OUT","Liters",IFERROR(INDEX(Setup!$F$3:$F$24,MATCH($C694,Setup!$A$3:$A$24,0)),"")))</f>
        <v/>
      </c>
      <c r="F694" s="28" t="str">
        <f aca="false">IF(OR($D694="",$E694=""),"",IFERROR($D694*INDEX(Setup!$B$27:$B$44,MATCH($E694,Setup!$A$27:$A$44,0)),"TBD"))</f>
        <v/>
      </c>
      <c r="G694" s="32"/>
      <c r="H694" s="32"/>
      <c r="I694" s="32"/>
      <c r="J694" s="32"/>
      <c r="K694" s="35"/>
      <c r="L694" s="32"/>
      <c r="M694" s="32"/>
    </row>
    <row r="695" customFormat="false" ht="15" hidden="false" customHeight="true" outlineLevel="0" collapsed="false">
      <c r="A695" s="32"/>
      <c r="B695" s="32"/>
      <c r="C695" s="32"/>
      <c r="D695" s="32"/>
      <c r="E695" s="34" t="str">
        <f aca="false">IF($B695="","",IF($B695="OUT","Liters",IFERROR(INDEX(Setup!$F$3:$F$24,MATCH($C695,Setup!$A$3:$A$24,0)),"")))</f>
        <v/>
      </c>
      <c r="F695" s="28" t="str">
        <f aca="false">IF(OR($D695="",$E695=""),"",IFERROR($D695*INDEX(Setup!$B$27:$B$44,MATCH($E695,Setup!$A$27:$A$44,0)),"TBD"))</f>
        <v/>
      </c>
      <c r="G695" s="32"/>
      <c r="H695" s="32"/>
      <c r="I695" s="32"/>
      <c r="J695" s="32"/>
      <c r="K695" s="35"/>
      <c r="L695" s="32"/>
      <c r="M695" s="32"/>
    </row>
    <row r="696" customFormat="false" ht="15" hidden="false" customHeight="true" outlineLevel="0" collapsed="false">
      <c r="A696" s="32"/>
      <c r="B696" s="32"/>
      <c r="C696" s="32"/>
      <c r="D696" s="32"/>
      <c r="E696" s="34" t="str">
        <f aca="false">IF($B696="","",IF($B696="OUT","Liters",IFERROR(INDEX(Setup!$F$3:$F$24,MATCH($C696,Setup!$A$3:$A$24,0)),"")))</f>
        <v/>
      </c>
      <c r="F696" s="28" t="str">
        <f aca="false">IF(OR($D696="",$E696=""),"",IFERROR($D696*INDEX(Setup!$B$27:$B$44,MATCH($E696,Setup!$A$27:$A$44,0)),"TBD"))</f>
        <v/>
      </c>
      <c r="G696" s="32"/>
      <c r="H696" s="32"/>
      <c r="I696" s="32"/>
      <c r="J696" s="32"/>
      <c r="K696" s="35"/>
      <c r="L696" s="32"/>
      <c r="M696" s="32"/>
    </row>
    <row r="697" customFormat="false" ht="15" hidden="false" customHeight="true" outlineLevel="0" collapsed="false">
      <c r="A697" s="32"/>
      <c r="B697" s="32"/>
      <c r="C697" s="32"/>
      <c r="D697" s="32"/>
      <c r="E697" s="34" t="str">
        <f aca="false">IF($B697="","",IF($B697="OUT","Liters",IFERROR(INDEX(Setup!$F$3:$F$24,MATCH($C697,Setup!$A$3:$A$24,0)),"")))</f>
        <v/>
      </c>
      <c r="F697" s="28" t="str">
        <f aca="false">IF(OR($D697="",$E697=""),"",IFERROR($D697*INDEX(Setup!$B$27:$B$44,MATCH($E697,Setup!$A$27:$A$44,0)),"TBD"))</f>
        <v/>
      </c>
      <c r="G697" s="32"/>
      <c r="H697" s="32"/>
      <c r="I697" s="32"/>
      <c r="J697" s="32"/>
      <c r="K697" s="35"/>
      <c r="L697" s="32"/>
      <c r="M697" s="32"/>
    </row>
    <row r="698" customFormat="false" ht="15" hidden="false" customHeight="true" outlineLevel="0" collapsed="false">
      <c r="A698" s="32"/>
      <c r="B698" s="32"/>
      <c r="C698" s="32"/>
      <c r="D698" s="32"/>
      <c r="E698" s="34" t="str">
        <f aca="false">IF($B698="","",IF($B698="OUT","Liters",IFERROR(INDEX(Setup!$F$3:$F$24,MATCH($C698,Setup!$A$3:$A$24,0)),"")))</f>
        <v/>
      </c>
      <c r="F698" s="28" t="str">
        <f aca="false">IF(OR($D698="",$E698=""),"",IFERROR($D698*INDEX(Setup!$B$27:$B$44,MATCH($E698,Setup!$A$27:$A$44,0)),"TBD"))</f>
        <v/>
      </c>
      <c r="G698" s="32"/>
      <c r="H698" s="32"/>
      <c r="I698" s="32"/>
      <c r="J698" s="32"/>
      <c r="K698" s="35"/>
      <c r="L698" s="32"/>
      <c r="M698" s="32"/>
    </row>
    <row r="699" customFormat="false" ht="15" hidden="false" customHeight="true" outlineLevel="0" collapsed="false">
      <c r="A699" s="32"/>
      <c r="B699" s="32"/>
      <c r="C699" s="32"/>
      <c r="D699" s="32"/>
      <c r="E699" s="34" t="str">
        <f aca="false">IF($B699="","",IF($B699="OUT","Liters",IFERROR(INDEX(Setup!$F$3:$F$24,MATCH($C699,Setup!$A$3:$A$24,0)),"")))</f>
        <v/>
      </c>
      <c r="F699" s="28" t="str">
        <f aca="false">IF(OR($D699="",$E699=""),"",IFERROR($D699*INDEX(Setup!$B$27:$B$44,MATCH($E699,Setup!$A$27:$A$44,0)),"TBD"))</f>
        <v/>
      </c>
      <c r="G699" s="32"/>
      <c r="H699" s="32"/>
      <c r="I699" s="32"/>
      <c r="J699" s="32"/>
      <c r="K699" s="35"/>
      <c r="L699" s="32"/>
      <c r="M699" s="32"/>
    </row>
    <row r="700" customFormat="false" ht="15" hidden="false" customHeight="true" outlineLevel="0" collapsed="false">
      <c r="A700" s="32"/>
      <c r="B700" s="32"/>
      <c r="C700" s="32"/>
      <c r="D700" s="32"/>
      <c r="E700" s="34" t="str">
        <f aca="false">IF($B700="","",IF($B700="OUT","Liters",IFERROR(INDEX(Setup!$F$3:$F$24,MATCH($C700,Setup!$A$3:$A$24,0)),"")))</f>
        <v/>
      </c>
      <c r="F700" s="28" t="str">
        <f aca="false">IF(OR($D700="",$E700=""),"",IFERROR($D700*INDEX(Setup!$B$27:$B$44,MATCH($E700,Setup!$A$27:$A$44,0)),"TBD"))</f>
        <v/>
      </c>
      <c r="G700" s="32"/>
      <c r="H700" s="32"/>
      <c r="I700" s="32"/>
      <c r="J700" s="32"/>
      <c r="K700" s="35"/>
      <c r="L700" s="32"/>
      <c r="M700" s="32"/>
    </row>
    <row r="701" customFormat="false" ht="15" hidden="false" customHeight="true" outlineLevel="0" collapsed="false">
      <c r="A701" s="32"/>
      <c r="B701" s="32"/>
      <c r="C701" s="32"/>
      <c r="D701" s="32"/>
      <c r="E701" s="34" t="str">
        <f aca="false">IF($B701="","",IF($B701="OUT","Liters",IFERROR(INDEX(Setup!$F$3:$F$24,MATCH($C701,Setup!$A$3:$A$24,0)),"")))</f>
        <v/>
      </c>
      <c r="F701" s="28" t="str">
        <f aca="false">IF(OR($D701="",$E701=""),"",IFERROR($D701*INDEX(Setup!$B$27:$B$44,MATCH($E701,Setup!$A$27:$A$44,0)),"TBD"))</f>
        <v/>
      </c>
      <c r="G701" s="32"/>
      <c r="H701" s="32"/>
      <c r="I701" s="32"/>
      <c r="J701" s="32"/>
      <c r="K701" s="35"/>
      <c r="L701" s="32"/>
      <c r="M701" s="32"/>
    </row>
    <row r="702" customFormat="false" ht="15" hidden="false" customHeight="true" outlineLevel="0" collapsed="false">
      <c r="A702" s="32"/>
      <c r="B702" s="32"/>
      <c r="C702" s="32"/>
      <c r="D702" s="32"/>
      <c r="E702" s="34" t="str">
        <f aca="false">IF($B702="","",IF($B702="OUT","Liters",IFERROR(INDEX(Setup!$F$3:$F$24,MATCH($C702,Setup!$A$3:$A$24,0)),"")))</f>
        <v/>
      </c>
      <c r="F702" s="28" t="str">
        <f aca="false">IF(OR($D702="",$E702=""),"",IFERROR($D702*INDEX(Setup!$B$27:$B$44,MATCH($E702,Setup!$A$27:$A$44,0)),"TBD"))</f>
        <v/>
      </c>
      <c r="G702" s="32"/>
      <c r="H702" s="32"/>
      <c r="I702" s="32"/>
      <c r="J702" s="32"/>
      <c r="K702" s="35"/>
      <c r="L702" s="32"/>
      <c r="M702" s="32"/>
    </row>
    <row r="703" customFormat="false" ht="15" hidden="false" customHeight="true" outlineLevel="0" collapsed="false">
      <c r="A703" s="32"/>
      <c r="B703" s="32"/>
      <c r="C703" s="32"/>
      <c r="D703" s="32"/>
      <c r="E703" s="34" t="str">
        <f aca="false">IF($B703="","",IF($B703="OUT","Liters",IFERROR(INDEX(Setup!$F$3:$F$24,MATCH($C703,Setup!$A$3:$A$24,0)),"")))</f>
        <v/>
      </c>
      <c r="F703" s="28" t="str">
        <f aca="false">IF(OR($D703="",$E703=""),"",IFERROR($D703*INDEX(Setup!$B$27:$B$44,MATCH($E703,Setup!$A$27:$A$44,0)),"TBD"))</f>
        <v/>
      </c>
      <c r="G703" s="32"/>
      <c r="H703" s="32"/>
      <c r="I703" s="32"/>
      <c r="J703" s="32"/>
      <c r="K703" s="35"/>
      <c r="L703" s="32"/>
      <c r="M703" s="32"/>
    </row>
    <row r="704" customFormat="false" ht="15" hidden="false" customHeight="true" outlineLevel="0" collapsed="false">
      <c r="A704" s="32"/>
      <c r="B704" s="32"/>
      <c r="C704" s="32"/>
      <c r="D704" s="32"/>
      <c r="E704" s="34" t="str">
        <f aca="false">IF($B704="","",IF($B704="OUT","Liters",IFERROR(INDEX(Setup!$F$3:$F$24,MATCH($C704,Setup!$A$3:$A$24,0)),"")))</f>
        <v/>
      </c>
      <c r="F704" s="28" t="str">
        <f aca="false">IF(OR($D704="",$E704=""),"",IFERROR($D704*INDEX(Setup!$B$27:$B$44,MATCH($E704,Setup!$A$27:$A$44,0)),"TBD"))</f>
        <v/>
      </c>
      <c r="G704" s="32"/>
      <c r="H704" s="32"/>
      <c r="I704" s="32"/>
      <c r="J704" s="32"/>
      <c r="K704" s="35"/>
      <c r="L704" s="32"/>
      <c r="M704" s="32"/>
    </row>
    <row r="705" customFormat="false" ht="15" hidden="false" customHeight="true" outlineLevel="0" collapsed="false">
      <c r="A705" s="32"/>
      <c r="B705" s="32"/>
      <c r="C705" s="32"/>
      <c r="D705" s="32"/>
      <c r="E705" s="34" t="str">
        <f aca="false">IF($B705="","",IF($B705="OUT","Liters",IFERROR(INDEX(Setup!$F$3:$F$24,MATCH($C705,Setup!$A$3:$A$24,0)),"")))</f>
        <v/>
      </c>
      <c r="F705" s="28" t="str">
        <f aca="false">IF(OR($D705="",$E705=""),"",IFERROR($D705*INDEX(Setup!$B$27:$B$44,MATCH($E705,Setup!$A$27:$A$44,0)),"TBD"))</f>
        <v/>
      </c>
      <c r="G705" s="32"/>
      <c r="H705" s="32"/>
      <c r="I705" s="32"/>
      <c r="J705" s="32"/>
      <c r="K705" s="35"/>
      <c r="L705" s="32"/>
      <c r="M705" s="32"/>
    </row>
    <row r="706" customFormat="false" ht="15" hidden="false" customHeight="true" outlineLevel="0" collapsed="false">
      <c r="A706" s="32"/>
      <c r="B706" s="32"/>
      <c r="C706" s="32"/>
      <c r="D706" s="32"/>
      <c r="E706" s="34" t="str">
        <f aca="false">IF($B706="","",IF($B706="OUT","Liters",IFERROR(INDEX(Setup!$F$3:$F$24,MATCH($C706,Setup!$A$3:$A$24,0)),"")))</f>
        <v/>
      </c>
      <c r="F706" s="28" t="str">
        <f aca="false">IF(OR($D706="",$E706=""),"",IFERROR($D706*INDEX(Setup!$B$27:$B$44,MATCH($E706,Setup!$A$27:$A$44,0)),"TBD"))</f>
        <v/>
      </c>
      <c r="G706" s="32"/>
      <c r="H706" s="32"/>
      <c r="I706" s="32"/>
      <c r="J706" s="32"/>
      <c r="K706" s="35"/>
      <c r="L706" s="32"/>
      <c r="M706" s="32"/>
    </row>
    <row r="707" customFormat="false" ht="15" hidden="false" customHeight="true" outlineLevel="0" collapsed="false">
      <c r="A707" s="32"/>
      <c r="B707" s="32"/>
      <c r="C707" s="32"/>
      <c r="D707" s="32"/>
      <c r="E707" s="34" t="str">
        <f aca="false">IF($B707="","",IF($B707="OUT","Liters",IFERROR(INDEX(Setup!$F$3:$F$24,MATCH($C707,Setup!$A$3:$A$24,0)),"")))</f>
        <v/>
      </c>
      <c r="F707" s="28" t="str">
        <f aca="false">IF(OR($D707="",$E707=""),"",IFERROR($D707*INDEX(Setup!$B$27:$B$44,MATCH($E707,Setup!$A$27:$A$44,0)),"TBD"))</f>
        <v/>
      </c>
      <c r="G707" s="32"/>
      <c r="H707" s="32"/>
      <c r="I707" s="32"/>
      <c r="J707" s="32"/>
      <c r="K707" s="35"/>
      <c r="L707" s="32"/>
      <c r="M707" s="32"/>
    </row>
    <row r="708" customFormat="false" ht="15" hidden="false" customHeight="true" outlineLevel="0" collapsed="false">
      <c r="A708" s="32"/>
      <c r="B708" s="32"/>
      <c r="C708" s="32"/>
      <c r="D708" s="32"/>
      <c r="E708" s="34" t="str">
        <f aca="false">IF($B708="","",IF($B708="OUT","Liters",IFERROR(INDEX(Setup!$F$3:$F$24,MATCH($C708,Setup!$A$3:$A$24,0)),"")))</f>
        <v/>
      </c>
      <c r="F708" s="28" t="str">
        <f aca="false">IF(OR($D708="",$E708=""),"",IFERROR($D708*INDEX(Setup!$B$27:$B$44,MATCH($E708,Setup!$A$27:$A$44,0)),"TBD"))</f>
        <v/>
      </c>
      <c r="G708" s="32"/>
      <c r="H708" s="32"/>
      <c r="I708" s="32"/>
      <c r="J708" s="32"/>
      <c r="K708" s="35"/>
      <c r="L708" s="32"/>
      <c r="M708" s="32"/>
    </row>
    <row r="709" customFormat="false" ht="15" hidden="false" customHeight="true" outlineLevel="0" collapsed="false">
      <c r="A709" s="32"/>
      <c r="B709" s="32"/>
      <c r="C709" s="32"/>
      <c r="D709" s="32"/>
      <c r="E709" s="34" t="str">
        <f aca="false">IF($B709="","",IF($B709="OUT","Liters",IFERROR(INDEX(Setup!$F$3:$F$24,MATCH($C709,Setup!$A$3:$A$24,0)),"")))</f>
        <v/>
      </c>
      <c r="F709" s="28" t="str">
        <f aca="false">IF(OR($D709="",$E709=""),"",IFERROR($D709*INDEX(Setup!$B$27:$B$44,MATCH($E709,Setup!$A$27:$A$44,0)),"TBD"))</f>
        <v/>
      </c>
      <c r="G709" s="32"/>
      <c r="H709" s="32"/>
      <c r="I709" s="32"/>
      <c r="J709" s="32"/>
      <c r="K709" s="35"/>
      <c r="L709" s="32"/>
      <c r="M709" s="32"/>
    </row>
    <row r="710" customFormat="false" ht="15" hidden="false" customHeight="true" outlineLevel="0" collapsed="false">
      <c r="A710" s="32"/>
      <c r="B710" s="32"/>
      <c r="C710" s="32"/>
      <c r="D710" s="32"/>
      <c r="E710" s="34" t="str">
        <f aca="false">IF($B710="","",IF($B710="OUT","Liters",IFERROR(INDEX(Setup!$F$3:$F$24,MATCH($C710,Setup!$A$3:$A$24,0)),"")))</f>
        <v/>
      </c>
      <c r="F710" s="28" t="str">
        <f aca="false">IF(OR($D710="",$E710=""),"",IFERROR($D710*INDEX(Setup!$B$27:$B$44,MATCH($E710,Setup!$A$27:$A$44,0)),"TBD"))</f>
        <v/>
      </c>
      <c r="G710" s="32"/>
      <c r="H710" s="32"/>
      <c r="I710" s="32"/>
      <c r="J710" s="32"/>
      <c r="K710" s="35"/>
      <c r="L710" s="32"/>
      <c r="M710" s="32"/>
    </row>
    <row r="711" customFormat="false" ht="15" hidden="false" customHeight="true" outlineLevel="0" collapsed="false">
      <c r="A711" s="32"/>
      <c r="B711" s="32"/>
      <c r="C711" s="32"/>
      <c r="D711" s="32"/>
      <c r="E711" s="34" t="str">
        <f aca="false">IF($B711="","",IF($B711="OUT","Liters",IFERROR(INDEX(Setup!$F$3:$F$24,MATCH($C711,Setup!$A$3:$A$24,0)),"")))</f>
        <v/>
      </c>
      <c r="F711" s="28" t="str">
        <f aca="false">IF(OR($D711="",$E711=""),"",IFERROR($D711*INDEX(Setup!$B$27:$B$44,MATCH($E711,Setup!$A$27:$A$44,0)),"TBD"))</f>
        <v/>
      </c>
      <c r="G711" s="32"/>
      <c r="H711" s="32"/>
      <c r="I711" s="32"/>
      <c r="J711" s="32"/>
      <c r="K711" s="35"/>
      <c r="L711" s="32"/>
      <c r="M711" s="32"/>
    </row>
    <row r="712" customFormat="false" ht="15" hidden="false" customHeight="true" outlineLevel="0" collapsed="false">
      <c r="A712" s="32"/>
      <c r="B712" s="32"/>
      <c r="C712" s="32"/>
      <c r="D712" s="32"/>
      <c r="E712" s="34" t="str">
        <f aca="false">IF($B712="","",IF($B712="OUT","Liters",IFERROR(INDEX(Setup!$F$3:$F$24,MATCH($C712,Setup!$A$3:$A$24,0)),"")))</f>
        <v/>
      </c>
      <c r="F712" s="28" t="str">
        <f aca="false">IF(OR($D712="",$E712=""),"",IFERROR($D712*INDEX(Setup!$B$27:$B$44,MATCH($E712,Setup!$A$27:$A$44,0)),"TBD"))</f>
        <v/>
      </c>
      <c r="G712" s="32"/>
      <c r="H712" s="32"/>
      <c r="I712" s="32"/>
      <c r="J712" s="32"/>
      <c r="K712" s="35"/>
      <c r="L712" s="32"/>
      <c r="M712" s="32"/>
    </row>
    <row r="713" customFormat="false" ht="15" hidden="false" customHeight="true" outlineLevel="0" collapsed="false">
      <c r="A713" s="32"/>
      <c r="B713" s="32"/>
      <c r="C713" s="32"/>
      <c r="D713" s="32"/>
      <c r="E713" s="34" t="str">
        <f aca="false">IF($B713="","",IF($B713="OUT","Liters",IFERROR(INDEX(Setup!$F$3:$F$24,MATCH($C713,Setup!$A$3:$A$24,0)),"")))</f>
        <v/>
      </c>
      <c r="F713" s="28" t="str">
        <f aca="false">IF(OR($D713="",$E713=""),"",IFERROR($D713*INDEX(Setup!$B$27:$B$44,MATCH($E713,Setup!$A$27:$A$44,0)),"TBD"))</f>
        <v/>
      </c>
      <c r="G713" s="32"/>
      <c r="H713" s="32"/>
      <c r="I713" s="32"/>
      <c r="J713" s="32"/>
      <c r="K713" s="35"/>
      <c r="L713" s="32"/>
      <c r="M713" s="32"/>
    </row>
    <row r="714" customFormat="false" ht="15" hidden="false" customHeight="true" outlineLevel="0" collapsed="false">
      <c r="A714" s="32"/>
      <c r="B714" s="32"/>
      <c r="C714" s="32"/>
      <c r="D714" s="32"/>
      <c r="E714" s="34" t="str">
        <f aca="false">IF($B714="","",IF($B714="OUT","Liters",IFERROR(INDEX(Setup!$F$3:$F$24,MATCH($C714,Setup!$A$3:$A$24,0)),"")))</f>
        <v/>
      </c>
      <c r="F714" s="28" t="str">
        <f aca="false">IF(OR($D714="",$E714=""),"",IFERROR($D714*INDEX(Setup!$B$27:$B$44,MATCH($E714,Setup!$A$27:$A$44,0)),"TBD"))</f>
        <v/>
      </c>
      <c r="G714" s="32"/>
      <c r="H714" s="32"/>
      <c r="I714" s="32"/>
      <c r="J714" s="32"/>
      <c r="K714" s="35"/>
      <c r="L714" s="32"/>
      <c r="M714" s="32"/>
    </row>
    <row r="715" customFormat="false" ht="15" hidden="false" customHeight="true" outlineLevel="0" collapsed="false">
      <c r="A715" s="32"/>
      <c r="B715" s="32"/>
      <c r="C715" s="32"/>
      <c r="D715" s="32"/>
      <c r="E715" s="34" t="str">
        <f aca="false">IF($B715="","",IF($B715="OUT","Liters",IFERROR(INDEX(Setup!$F$3:$F$24,MATCH($C715,Setup!$A$3:$A$24,0)),"")))</f>
        <v/>
      </c>
      <c r="F715" s="28" t="str">
        <f aca="false">IF(OR($D715="",$E715=""),"",IFERROR($D715*INDEX(Setup!$B$27:$B$44,MATCH($E715,Setup!$A$27:$A$44,0)),"TBD"))</f>
        <v/>
      </c>
      <c r="G715" s="32"/>
      <c r="H715" s="32"/>
      <c r="I715" s="32"/>
      <c r="J715" s="32"/>
      <c r="K715" s="35"/>
      <c r="L715" s="32"/>
      <c r="M715" s="32"/>
    </row>
    <row r="716" customFormat="false" ht="15" hidden="false" customHeight="true" outlineLevel="0" collapsed="false">
      <c r="A716" s="32"/>
      <c r="B716" s="32"/>
      <c r="C716" s="32"/>
      <c r="D716" s="32"/>
      <c r="E716" s="34" t="str">
        <f aca="false">IF($B716="","",IF($B716="OUT","Liters",IFERROR(INDEX(Setup!$F$3:$F$24,MATCH($C716,Setup!$A$3:$A$24,0)),"")))</f>
        <v/>
      </c>
      <c r="F716" s="28" t="str">
        <f aca="false">IF(OR($D716="",$E716=""),"",IFERROR($D716*INDEX(Setup!$B$27:$B$44,MATCH($E716,Setup!$A$27:$A$44,0)),"TBD"))</f>
        <v/>
      </c>
      <c r="G716" s="32"/>
      <c r="H716" s="32"/>
      <c r="I716" s="32"/>
      <c r="J716" s="32"/>
      <c r="K716" s="35"/>
      <c r="L716" s="32"/>
      <c r="M716" s="32"/>
    </row>
    <row r="717" customFormat="false" ht="15" hidden="false" customHeight="true" outlineLevel="0" collapsed="false">
      <c r="A717" s="32"/>
      <c r="B717" s="32"/>
      <c r="C717" s="32"/>
      <c r="D717" s="32"/>
      <c r="E717" s="34" t="str">
        <f aca="false">IF($B717="","",IF($B717="OUT","Liters",IFERROR(INDEX(Setup!$F$3:$F$24,MATCH($C717,Setup!$A$3:$A$24,0)),"")))</f>
        <v/>
      </c>
      <c r="F717" s="28" t="str">
        <f aca="false">IF(OR($D717="",$E717=""),"",IFERROR($D717*INDEX(Setup!$B$27:$B$44,MATCH($E717,Setup!$A$27:$A$44,0)),"TBD"))</f>
        <v/>
      </c>
      <c r="G717" s="32"/>
      <c r="H717" s="32"/>
      <c r="I717" s="32"/>
      <c r="J717" s="32"/>
      <c r="K717" s="35"/>
      <c r="L717" s="32"/>
      <c r="M717" s="32"/>
    </row>
    <row r="718" customFormat="false" ht="15" hidden="false" customHeight="true" outlineLevel="0" collapsed="false">
      <c r="A718" s="32"/>
      <c r="B718" s="32"/>
      <c r="C718" s="32"/>
      <c r="D718" s="32"/>
      <c r="E718" s="34" t="str">
        <f aca="false">IF($B718="","",IF($B718="OUT","Liters",IFERROR(INDEX(Setup!$F$3:$F$24,MATCH($C718,Setup!$A$3:$A$24,0)),"")))</f>
        <v/>
      </c>
      <c r="F718" s="28" t="str">
        <f aca="false">IF(OR($D718="",$E718=""),"",IFERROR($D718*INDEX(Setup!$B$27:$B$44,MATCH($E718,Setup!$A$27:$A$44,0)),"TBD"))</f>
        <v/>
      </c>
      <c r="G718" s="32"/>
      <c r="H718" s="32"/>
      <c r="I718" s="32"/>
      <c r="J718" s="32"/>
      <c r="K718" s="35"/>
      <c r="L718" s="32"/>
      <c r="M718" s="32"/>
    </row>
    <row r="719" customFormat="false" ht="15" hidden="false" customHeight="true" outlineLevel="0" collapsed="false">
      <c r="A719" s="32"/>
      <c r="B719" s="32"/>
      <c r="C719" s="32"/>
      <c r="D719" s="32"/>
      <c r="E719" s="34" t="str">
        <f aca="false">IF($B719="","",IF($B719="OUT","Liters",IFERROR(INDEX(Setup!$F$3:$F$24,MATCH($C719,Setup!$A$3:$A$24,0)),"")))</f>
        <v/>
      </c>
      <c r="F719" s="28" t="str">
        <f aca="false">IF(OR($D719="",$E719=""),"",IFERROR($D719*INDEX(Setup!$B$27:$B$44,MATCH($E719,Setup!$A$27:$A$44,0)),"TBD"))</f>
        <v/>
      </c>
      <c r="G719" s="32"/>
      <c r="H719" s="32"/>
      <c r="I719" s="32"/>
      <c r="J719" s="32"/>
      <c r="K719" s="35"/>
      <c r="L719" s="32"/>
      <c r="M719" s="32"/>
    </row>
    <row r="720" customFormat="false" ht="15" hidden="false" customHeight="true" outlineLevel="0" collapsed="false">
      <c r="A720" s="32"/>
      <c r="B720" s="32"/>
      <c r="C720" s="32"/>
      <c r="D720" s="32"/>
      <c r="E720" s="34" t="str">
        <f aca="false">IF($B720="","",IF($B720="OUT","Liters",IFERROR(INDEX(Setup!$F$3:$F$24,MATCH($C720,Setup!$A$3:$A$24,0)),"")))</f>
        <v/>
      </c>
      <c r="F720" s="28" t="str">
        <f aca="false">IF(OR($D720="",$E720=""),"",IFERROR($D720*INDEX(Setup!$B$27:$B$44,MATCH($E720,Setup!$A$27:$A$44,0)),"TBD"))</f>
        <v/>
      </c>
      <c r="G720" s="32"/>
      <c r="H720" s="32"/>
      <c r="I720" s="32"/>
      <c r="J720" s="32"/>
      <c r="K720" s="35"/>
      <c r="L720" s="32"/>
      <c r="M720" s="32"/>
    </row>
    <row r="721" customFormat="false" ht="15" hidden="false" customHeight="true" outlineLevel="0" collapsed="false">
      <c r="A721" s="32"/>
      <c r="B721" s="32"/>
      <c r="C721" s="32"/>
      <c r="D721" s="32"/>
      <c r="E721" s="34" t="str">
        <f aca="false">IF($B721="","",IF($B721="OUT","Liters",IFERROR(INDEX(Setup!$F$3:$F$24,MATCH($C721,Setup!$A$3:$A$24,0)),"")))</f>
        <v/>
      </c>
      <c r="F721" s="28" t="str">
        <f aca="false">IF(OR($D721="",$E721=""),"",IFERROR($D721*INDEX(Setup!$B$27:$B$44,MATCH($E721,Setup!$A$27:$A$44,0)),"TBD"))</f>
        <v/>
      </c>
      <c r="G721" s="32"/>
      <c r="H721" s="32"/>
      <c r="I721" s="32"/>
      <c r="J721" s="32"/>
      <c r="K721" s="35"/>
      <c r="L721" s="32"/>
      <c r="M721" s="32"/>
    </row>
    <row r="722" customFormat="false" ht="15" hidden="false" customHeight="true" outlineLevel="0" collapsed="false">
      <c r="A722" s="32"/>
      <c r="B722" s="32"/>
      <c r="C722" s="32"/>
      <c r="D722" s="32"/>
      <c r="E722" s="34" t="str">
        <f aca="false">IF($B722="","",IF($B722="OUT","Liters",IFERROR(INDEX(Setup!$F$3:$F$24,MATCH($C722,Setup!$A$3:$A$24,0)),"")))</f>
        <v/>
      </c>
      <c r="F722" s="28" t="str">
        <f aca="false">IF(OR($D722="",$E722=""),"",IFERROR($D722*INDEX(Setup!$B$27:$B$44,MATCH($E722,Setup!$A$27:$A$44,0)),"TBD"))</f>
        <v/>
      </c>
      <c r="G722" s="32"/>
      <c r="H722" s="32"/>
      <c r="I722" s="32"/>
      <c r="J722" s="32"/>
      <c r="K722" s="35"/>
      <c r="L722" s="32"/>
      <c r="M722" s="32"/>
    </row>
    <row r="723" customFormat="false" ht="15" hidden="false" customHeight="true" outlineLevel="0" collapsed="false">
      <c r="A723" s="32"/>
      <c r="B723" s="32"/>
      <c r="C723" s="32"/>
      <c r="D723" s="32"/>
      <c r="E723" s="34" t="str">
        <f aca="false">IF($B723="","",IF($B723="OUT","Liters",IFERROR(INDEX(Setup!$F$3:$F$24,MATCH($C723,Setup!$A$3:$A$24,0)),"")))</f>
        <v/>
      </c>
      <c r="F723" s="28" t="str">
        <f aca="false">IF(OR($D723="",$E723=""),"",IFERROR($D723*INDEX(Setup!$B$27:$B$44,MATCH($E723,Setup!$A$27:$A$44,0)),"TBD"))</f>
        <v/>
      </c>
      <c r="G723" s="32"/>
      <c r="H723" s="32"/>
      <c r="I723" s="32"/>
      <c r="J723" s="32"/>
      <c r="K723" s="35"/>
      <c r="L723" s="32"/>
      <c r="M723" s="32"/>
    </row>
    <row r="724" customFormat="false" ht="15" hidden="false" customHeight="true" outlineLevel="0" collapsed="false">
      <c r="A724" s="32"/>
      <c r="B724" s="32"/>
      <c r="C724" s="32"/>
      <c r="D724" s="32"/>
      <c r="E724" s="34" t="str">
        <f aca="false">IF($B724="","",IF($B724="OUT","Liters",IFERROR(INDEX(Setup!$F$3:$F$24,MATCH($C724,Setup!$A$3:$A$24,0)),"")))</f>
        <v/>
      </c>
      <c r="F724" s="28" t="str">
        <f aca="false">IF(OR($D724="",$E724=""),"",IFERROR($D724*INDEX(Setup!$B$27:$B$44,MATCH($E724,Setup!$A$27:$A$44,0)),"TBD"))</f>
        <v/>
      </c>
      <c r="G724" s="32"/>
      <c r="H724" s="32"/>
      <c r="I724" s="32"/>
      <c r="J724" s="32"/>
      <c r="K724" s="35"/>
      <c r="L724" s="32"/>
      <c r="M724" s="32"/>
    </row>
    <row r="725" customFormat="false" ht="15" hidden="false" customHeight="true" outlineLevel="0" collapsed="false">
      <c r="A725" s="32"/>
      <c r="B725" s="32"/>
      <c r="C725" s="32"/>
      <c r="D725" s="32"/>
      <c r="E725" s="34" t="str">
        <f aca="false">IF($B725="","",IF($B725="OUT","Liters",IFERROR(INDEX(Setup!$F$3:$F$24,MATCH($C725,Setup!$A$3:$A$24,0)),"")))</f>
        <v/>
      </c>
      <c r="F725" s="28" t="str">
        <f aca="false">IF(OR($D725="",$E725=""),"",IFERROR($D725*INDEX(Setup!$B$27:$B$44,MATCH($E725,Setup!$A$27:$A$44,0)),"TBD"))</f>
        <v/>
      </c>
      <c r="G725" s="32"/>
      <c r="H725" s="32"/>
      <c r="I725" s="32"/>
      <c r="J725" s="32"/>
      <c r="K725" s="35"/>
      <c r="L725" s="32"/>
      <c r="M725" s="32"/>
    </row>
    <row r="726" customFormat="false" ht="15" hidden="false" customHeight="true" outlineLevel="0" collapsed="false">
      <c r="A726" s="32"/>
      <c r="B726" s="32"/>
      <c r="C726" s="32"/>
      <c r="D726" s="32"/>
      <c r="E726" s="34" t="str">
        <f aca="false">IF($B726="","",IF($B726="OUT","Liters",IFERROR(INDEX(Setup!$F$3:$F$24,MATCH($C726,Setup!$A$3:$A$24,0)),"")))</f>
        <v/>
      </c>
      <c r="F726" s="28" t="str">
        <f aca="false">IF(OR($D726="",$E726=""),"",IFERROR($D726*INDEX(Setup!$B$27:$B$44,MATCH($E726,Setup!$A$27:$A$44,0)),"TBD"))</f>
        <v/>
      </c>
      <c r="G726" s="32"/>
      <c r="H726" s="32"/>
      <c r="I726" s="32"/>
      <c r="J726" s="32"/>
      <c r="K726" s="35"/>
      <c r="L726" s="32"/>
      <c r="M726" s="32"/>
    </row>
    <row r="727" customFormat="false" ht="15" hidden="false" customHeight="true" outlineLevel="0" collapsed="false">
      <c r="A727" s="32"/>
      <c r="B727" s="32"/>
      <c r="C727" s="32"/>
      <c r="D727" s="32"/>
      <c r="E727" s="34" t="str">
        <f aca="false">IF($B727="","",IF($B727="OUT","Liters",IFERROR(INDEX(Setup!$F$3:$F$24,MATCH($C727,Setup!$A$3:$A$24,0)),"")))</f>
        <v/>
      </c>
      <c r="F727" s="28" t="str">
        <f aca="false">IF(OR($D727="",$E727=""),"",IFERROR($D727*INDEX(Setup!$B$27:$B$44,MATCH($E727,Setup!$A$27:$A$44,0)),"TBD"))</f>
        <v/>
      </c>
      <c r="G727" s="32"/>
      <c r="H727" s="32"/>
      <c r="I727" s="32"/>
      <c r="J727" s="32"/>
      <c r="K727" s="35"/>
      <c r="L727" s="32"/>
      <c r="M727" s="32"/>
    </row>
    <row r="728" customFormat="false" ht="15" hidden="false" customHeight="true" outlineLevel="0" collapsed="false">
      <c r="A728" s="32"/>
      <c r="B728" s="32"/>
      <c r="C728" s="32"/>
      <c r="D728" s="32"/>
      <c r="E728" s="34" t="str">
        <f aca="false">IF($B728="","",IF($B728="OUT","Liters",IFERROR(INDEX(Setup!$F$3:$F$24,MATCH($C728,Setup!$A$3:$A$24,0)),"")))</f>
        <v/>
      </c>
      <c r="F728" s="28" t="str">
        <f aca="false">IF(OR($D728="",$E728=""),"",IFERROR($D728*INDEX(Setup!$B$27:$B$44,MATCH($E728,Setup!$A$27:$A$44,0)),"TBD"))</f>
        <v/>
      </c>
      <c r="G728" s="32"/>
      <c r="H728" s="32"/>
      <c r="I728" s="32"/>
      <c r="J728" s="32"/>
      <c r="K728" s="35"/>
      <c r="L728" s="32"/>
      <c r="M728" s="32"/>
    </row>
    <row r="729" customFormat="false" ht="15" hidden="false" customHeight="true" outlineLevel="0" collapsed="false">
      <c r="A729" s="32"/>
      <c r="B729" s="32"/>
      <c r="C729" s="32"/>
      <c r="D729" s="32"/>
      <c r="E729" s="34" t="str">
        <f aca="false">IF($B729="","",IF($B729="OUT","Liters",IFERROR(INDEX(Setup!$F$3:$F$24,MATCH($C729,Setup!$A$3:$A$24,0)),"")))</f>
        <v/>
      </c>
      <c r="F729" s="28" t="str">
        <f aca="false">IF(OR($D729="",$E729=""),"",IFERROR($D729*INDEX(Setup!$B$27:$B$44,MATCH($E729,Setup!$A$27:$A$44,0)),"TBD"))</f>
        <v/>
      </c>
      <c r="G729" s="32"/>
      <c r="H729" s="32"/>
      <c r="I729" s="32"/>
      <c r="J729" s="32"/>
      <c r="K729" s="35"/>
      <c r="L729" s="32"/>
      <c r="M729" s="32"/>
    </row>
    <row r="730" customFormat="false" ht="15" hidden="false" customHeight="true" outlineLevel="0" collapsed="false">
      <c r="A730" s="32"/>
      <c r="B730" s="32"/>
      <c r="C730" s="32"/>
      <c r="D730" s="32"/>
      <c r="E730" s="34" t="str">
        <f aca="false">IF($B730="","",IF($B730="OUT","Liters",IFERROR(INDEX(Setup!$F$3:$F$24,MATCH($C730,Setup!$A$3:$A$24,0)),"")))</f>
        <v/>
      </c>
      <c r="F730" s="28" t="str">
        <f aca="false">IF(OR($D730="",$E730=""),"",IFERROR($D730*INDEX(Setup!$B$27:$B$44,MATCH($E730,Setup!$A$27:$A$44,0)),"TBD"))</f>
        <v/>
      </c>
      <c r="G730" s="32"/>
      <c r="H730" s="32"/>
      <c r="I730" s="32"/>
      <c r="J730" s="32"/>
      <c r="K730" s="35"/>
      <c r="L730" s="32"/>
      <c r="M730" s="32"/>
    </row>
    <row r="731" customFormat="false" ht="15" hidden="false" customHeight="true" outlineLevel="0" collapsed="false">
      <c r="A731" s="32"/>
      <c r="B731" s="32"/>
      <c r="C731" s="32"/>
      <c r="D731" s="32"/>
      <c r="E731" s="34" t="str">
        <f aca="false">IF($B731="","",IF($B731="OUT","Liters",IFERROR(INDEX(Setup!$F$3:$F$24,MATCH($C731,Setup!$A$3:$A$24,0)),"")))</f>
        <v/>
      </c>
      <c r="F731" s="28" t="str">
        <f aca="false">IF(OR($D731="",$E731=""),"",IFERROR($D731*INDEX(Setup!$B$27:$B$44,MATCH($E731,Setup!$A$27:$A$44,0)),"TBD"))</f>
        <v/>
      </c>
      <c r="G731" s="32"/>
      <c r="H731" s="32"/>
      <c r="I731" s="32"/>
      <c r="J731" s="32"/>
      <c r="K731" s="35"/>
      <c r="L731" s="32"/>
      <c r="M731" s="32"/>
    </row>
    <row r="732" customFormat="false" ht="15" hidden="false" customHeight="true" outlineLevel="0" collapsed="false">
      <c r="A732" s="32"/>
      <c r="B732" s="32"/>
      <c r="C732" s="32"/>
      <c r="D732" s="32"/>
      <c r="E732" s="34" t="str">
        <f aca="false">IF($B732="","",IF($B732="OUT","Liters",IFERROR(INDEX(Setup!$F$3:$F$24,MATCH($C732,Setup!$A$3:$A$24,0)),"")))</f>
        <v/>
      </c>
      <c r="F732" s="28" t="str">
        <f aca="false">IF(OR($D732="",$E732=""),"",IFERROR($D732*INDEX(Setup!$B$27:$B$44,MATCH($E732,Setup!$A$27:$A$44,0)),"TBD"))</f>
        <v/>
      </c>
      <c r="G732" s="32"/>
      <c r="H732" s="32"/>
      <c r="I732" s="32"/>
      <c r="J732" s="32"/>
      <c r="K732" s="35"/>
      <c r="L732" s="32"/>
      <c r="M732" s="32"/>
    </row>
    <row r="733" customFormat="false" ht="15" hidden="false" customHeight="true" outlineLevel="0" collapsed="false">
      <c r="A733" s="32"/>
      <c r="B733" s="32"/>
      <c r="C733" s="32"/>
      <c r="D733" s="32"/>
      <c r="E733" s="34" t="str">
        <f aca="false">IF($B733="","",IF($B733="OUT","Liters",IFERROR(INDEX(Setup!$F$3:$F$24,MATCH($C733,Setup!$A$3:$A$24,0)),"")))</f>
        <v/>
      </c>
      <c r="F733" s="28" t="str">
        <f aca="false">IF(OR($D733="",$E733=""),"",IFERROR($D733*INDEX(Setup!$B$27:$B$44,MATCH($E733,Setup!$A$27:$A$44,0)),"TBD"))</f>
        <v/>
      </c>
      <c r="G733" s="32"/>
      <c r="H733" s="32"/>
      <c r="I733" s="32"/>
      <c r="J733" s="32"/>
      <c r="K733" s="35"/>
      <c r="L733" s="32"/>
      <c r="M733" s="32"/>
    </row>
    <row r="734" customFormat="false" ht="15" hidden="false" customHeight="true" outlineLevel="0" collapsed="false">
      <c r="A734" s="32"/>
      <c r="B734" s="32"/>
      <c r="C734" s="32"/>
      <c r="D734" s="32"/>
      <c r="E734" s="34" t="str">
        <f aca="false">IF($B734="","",IF($B734="OUT","Liters",IFERROR(INDEX(Setup!$F$3:$F$24,MATCH($C734,Setup!$A$3:$A$24,0)),"")))</f>
        <v/>
      </c>
      <c r="F734" s="28" t="str">
        <f aca="false">IF(OR($D734="",$E734=""),"",IFERROR($D734*INDEX(Setup!$B$27:$B$44,MATCH($E734,Setup!$A$27:$A$44,0)),"TBD"))</f>
        <v/>
      </c>
      <c r="G734" s="32"/>
      <c r="H734" s="32"/>
      <c r="I734" s="32"/>
      <c r="J734" s="32"/>
      <c r="K734" s="35"/>
      <c r="L734" s="32"/>
      <c r="M734" s="32"/>
    </row>
    <row r="735" customFormat="false" ht="15" hidden="false" customHeight="true" outlineLevel="0" collapsed="false">
      <c r="A735" s="32"/>
      <c r="B735" s="32"/>
      <c r="C735" s="32"/>
      <c r="D735" s="32"/>
      <c r="E735" s="34" t="str">
        <f aca="false">IF($B735="","",IF($B735="OUT","Liters",IFERROR(INDEX(Setup!$F$3:$F$24,MATCH($C735,Setup!$A$3:$A$24,0)),"")))</f>
        <v/>
      </c>
      <c r="F735" s="28" t="str">
        <f aca="false">IF(OR($D735="",$E735=""),"",IFERROR($D735*INDEX(Setup!$B$27:$B$44,MATCH($E735,Setup!$A$27:$A$44,0)),"TBD"))</f>
        <v/>
      </c>
      <c r="G735" s="32"/>
      <c r="H735" s="32"/>
      <c r="I735" s="32"/>
      <c r="J735" s="32"/>
      <c r="K735" s="35"/>
      <c r="L735" s="32"/>
      <c r="M735" s="32"/>
    </row>
    <row r="736" customFormat="false" ht="15" hidden="false" customHeight="true" outlineLevel="0" collapsed="false">
      <c r="A736" s="32"/>
      <c r="B736" s="32"/>
      <c r="C736" s="32"/>
      <c r="D736" s="32"/>
      <c r="E736" s="34" t="str">
        <f aca="false">IF($B736="","",IF($B736="OUT","Liters",IFERROR(INDEX(Setup!$F$3:$F$24,MATCH($C736,Setup!$A$3:$A$24,0)),"")))</f>
        <v/>
      </c>
      <c r="F736" s="28" t="str">
        <f aca="false">IF(OR($D736="",$E736=""),"",IFERROR($D736*INDEX(Setup!$B$27:$B$44,MATCH($E736,Setup!$A$27:$A$44,0)),"TBD"))</f>
        <v/>
      </c>
      <c r="G736" s="32"/>
      <c r="H736" s="32"/>
      <c r="I736" s="32"/>
      <c r="J736" s="32"/>
      <c r="K736" s="35"/>
      <c r="L736" s="32"/>
      <c r="M736" s="32"/>
    </row>
    <row r="737" customFormat="false" ht="15" hidden="false" customHeight="true" outlineLevel="0" collapsed="false">
      <c r="A737" s="32"/>
      <c r="B737" s="32"/>
      <c r="C737" s="32"/>
      <c r="D737" s="32"/>
      <c r="E737" s="34" t="str">
        <f aca="false">IF($B737="","",IF($B737="OUT","Liters",IFERROR(INDEX(Setup!$F$3:$F$24,MATCH($C737,Setup!$A$3:$A$24,0)),"")))</f>
        <v/>
      </c>
      <c r="F737" s="28" t="str">
        <f aca="false">IF(OR($D737="",$E737=""),"",IFERROR($D737*INDEX(Setup!$B$27:$B$44,MATCH($E737,Setup!$A$27:$A$44,0)),"TBD"))</f>
        <v/>
      </c>
      <c r="G737" s="32"/>
      <c r="H737" s="32"/>
      <c r="I737" s="32"/>
      <c r="J737" s="32"/>
      <c r="K737" s="35"/>
      <c r="L737" s="32"/>
      <c r="M737" s="32"/>
    </row>
    <row r="738" customFormat="false" ht="15" hidden="false" customHeight="true" outlineLevel="0" collapsed="false">
      <c r="A738" s="32"/>
      <c r="B738" s="32"/>
      <c r="C738" s="32"/>
      <c r="D738" s="32"/>
      <c r="E738" s="34" t="str">
        <f aca="false">IF($B738="","",IF($B738="OUT","Liters",IFERROR(INDEX(Setup!$F$3:$F$24,MATCH($C738,Setup!$A$3:$A$24,0)),"")))</f>
        <v/>
      </c>
      <c r="F738" s="28" t="str">
        <f aca="false">IF(OR($D738="",$E738=""),"",IFERROR($D738*INDEX(Setup!$B$27:$B$44,MATCH($E738,Setup!$A$27:$A$44,0)),"TBD"))</f>
        <v/>
      </c>
      <c r="G738" s="32"/>
      <c r="H738" s="32"/>
      <c r="I738" s="32"/>
      <c r="J738" s="32"/>
      <c r="K738" s="35"/>
      <c r="L738" s="32"/>
      <c r="M738" s="32"/>
    </row>
    <row r="739" customFormat="false" ht="15" hidden="false" customHeight="true" outlineLevel="0" collapsed="false">
      <c r="A739" s="32"/>
      <c r="B739" s="32"/>
      <c r="C739" s="32"/>
      <c r="D739" s="32"/>
      <c r="E739" s="34" t="str">
        <f aca="false">IF($B739="","",IF($B739="OUT","Liters",IFERROR(INDEX(Setup!$F$3:$F$24,MATCH($C739,Setup!$A$3:$A$24,0)),"")))</f>
        <v/>
      </c>
      <c r="F739" s="28" t="str">
        <f aca="false">IF(OR($D739="",$E739=""),"",IFERROR($D739*INDEX(Setup!$B$27:$B$44,MATCH($E739,Setup!$A$27:$A$44,0)),"TBD"))</f>
        <v/>
      </c>
      <c r="G739" s="32"/>
      <c r="H739" s="32"/>
      <c r="I739" s="32"/>
      <c r="J739" s="32"/>
      <c r="K739" s="35"/>
      <c r="L739" s="32"/>
      <c r="M739" s="32"/>
    </row>
    <row r="740" customFormat="false" ht="15" hidden="false" customHeight="true" outlineLevel="0" collapsed="false">
      <c r="A740" s="32"/>
      <c r="B740" s="32"/>
      <c r="C740" s="32"/>
      <c r="D740" s="32"/>
      <c r="E740" s="34" t="str">
        <f aca="false">IF($B740="","",IF($B740="OUT","Liters",IFERROR(INDEX(Setup!$F$3:$F$24,MATCH($C740,Setup!$A$3:$A$24,0)),"")))</f>
        <v/>
      </c>
      <c r="F740" s="28" t="str">
        <f aca="false">IF(OR($D740="",$E740=""),"",IFERROR($D740*INDEX(Setup!$B$27:$B$44,MATCH($E740,Setup!$A$27:$A$44,0)),"TBD"))</f>
        <v/>
      </c>
      <c r="G740" s="32"/>
      <c r="H740" s="32"/>
      <c r="I740" s="32"/>
      <c r="J740" s="32"/>
      <c r="K740" s="35"/>
      <c r="L740" s="32"/>
      <c r="M740" s="32"/>
    </row>
    <row r="741" customFormat="false" ht="15" hidden="false" customHeight="true" outlineLevel="0" collapsed="false">
      <c r="A741" s="32"/>
      <c r="B741" s="32"/>
      <c r="C741" s="32"/>
      <c r="D741" s="32"/>
      <c r="E741" s="34" t="str">
        <f aca="false">IF($B741="","",IF($B741="OUT","Liters",IFERROR(INDEX(Setup!$F$3:$F$24,MATCH($C741,Setup!$A$3:$A$24,0)),"")))</f>
        <v/>
      </c>
      <c r="F741" s="28" t="str">
        <f aca="false">IF(OR($D741="",$E741=""),"",IFERROR($D741*INDEX(Setup!$B$27:$B$44,MATCH($E741,Setup!$A$27:$A$44,0)),"TBD"))</f>
        <v/>
      </c>
      <c r="G741" s="32"/>
      <c r="H741" s="32"/>
      <c r="I741" s="32"/>
      <c r="J741" s="32"/>
      <c r="K741" s="35"/>
      <c r="L741" s="32"/>
      <c r="M741" s="32"/>
    </row>
    <row r="742" customFormat="false" ht="15" hidden="false" customHeight="true" outlineLevel="0" collapsed="false">
      <c r="A742" s="32"/>
      <c r="B742" s="32"/>
      <c r="C742" s="32"/>
      <c r="D742" s="32"/>
      <c r="E742" s="34" t="str">
        <f aca="false">IF($B742="","",IF($B742="OUT","Liters",IFERROR(INDEX(Setup!$F$3:$F$24,MATCH($C742,Setup!$A$3:$A$24,0)),"")))</f>
        <v/>
      </c>
      <c r="F742" s="28" t="str">
        <f aca="false">IF(OR($D742="",$E742=""),"",IFERROR($D742*INDEX(Setup!$B$27:$B$44,MATCH($E742,Setup!$A$27:$A$44,0)),"TBD"))</f>
        <v/>
      </c>
      <c r="G742" s="32"/>
      <c r="H742" s="32"/>
      <c r="I742" s="32"/>
      <c r="J742" s="32"/>
      <c r="K742" s="35"/>
      <c r="L742" s="32"/>
      <c r="M742" s="32"/>
    </row>
    <row r="743" customFormat="false" ht="15" hidden="false" customHeight="true" outlineLevel="0" collapsed="false">
      <c r="A743" s="32"/>
      <c r="B743" s="32"/>
      <c r="C743" s="32"/>
      <c r="D743" s="32"/>
      <c r="E743" s="34" t="str">
        <f aca="false">IF($B743="","",IF($B743="OUT","Liters",IFERROR(INDEX(Setup!$F$3:$F$24,MATCH($C743,Setup!$A$3:$A$24,0)),"")))</f>
        <v/>
      </c>
      <c r="F743" s="28" t="str">
        <f aca="false">IF(OR($D743="",$E743=""),"",IFERROR($D743*INDEX(Setup!$B$27:$B$44,MATCH($E743,Setup!$A$27:$A$44,0)),"TBD"))</f>
        <v/>
      </c>
      <c r="G743" s="32"/>
      <c r="H743" s="32"/>
      <c r="I743" s="32"/>
      <c r="J743" s="32"/>
      <c r="K743" s="35"/>
      <c r="L743" s="32"/>
      <c r="M743" s="32"/>
    </row>
    <row r="744" customFormat="false" ht="15" hidden="false" customHeight="true" outlineLevel="0" collapsed="false">
      <c r="A744" s="32"/>
      <c r="B744" s="32"/>
      <c r="C744" s="32"/>
      <c r="D744" s="32"/>
      <c r="E744" s="34" t="str">
        <f aca="false">IF($B744="","",IF($B744="OUT","Liters",IFERROR(INDEX(Setup!$F$3:$F$24,MATCH($C744,Setup!$A$3:$A$24,0)),"")))</f>
        <v/>
      </c>
      <c r="F744" s="28" t="str">
        <f aca="false">IF(OR($D744="",$E744=""),"",IFERROR($D744*INDEX(Setup!$B$27:$B$44,MATCH($E744,Setup!$A$27:$A$44,0)),"TBD"))</f>
        <v/>
      </c>
      <c r="G744" s="32"/>
      <c r="H744" s="32"/>
      <c r="I744" s="32"/>
      <c r="J744" s="32"/>
      <c r="K744" s="35"/>
      <c r="L744" s="32"/>
      <c r="M744" s="32"/>
    </row>
    <row r="745" customFormat="false" ht="15" hidden="false" customHeight="true" outlineLevel="0" collapsed="false">
      <c r="A745" s="32"/>
      <c r="B745" s="32"/>
      <c r="C745" s="32"/>
      <c r="D745" s="32"/>
      <c r="E745" s="34" t="str">
        <f aca="false">IF($B745="","",IF($B745="OUT","Liters",IFERROR(INDEX(Setup!$F$3:$F$24,MATCH($C745,Setup!$A$3:$A$24,0)),"")))</f>
        <v/>
      </c>
      <c r="F745" s="28" t="str">
        <f aca="false">IF(OR($D745="",$E745=""),"",IFERROR($D745*INDEX(Setup!$B$27:$B$44,MATCH($E745,Setup!$A$27:$A$44,0)),"TBD"))</f>
        <v/>
      </c>
      <c r="G745" s="32"/>
      <c r="H745" s="32"/>
      <c r="I745" s="32"/>
      <c r="J745" s="32"/>
      <c r="K745" s="35"/>
      <c r="L745" s="32"/>
      <c r="M745" s="32"/>
    </row>
    <row r="746" customFormat="false" ht="15" hidden="false" customHeight="true" outlineLevel="0" collapsed="false">
      <c r="A746" s="32"/>
      <c r="B746" s="32"/>
      <c r="C746" s="32"/>
      <c r="D746" s="32"/>
      <c r="E746" s="34" t="str">
        <f aca="false">IF($B746="","",IF($B746="OUT","Liters",IFERROR(INDEX(Setup!$F$3:$F$24,MATCH($C746,Setup!$A$3:$A$24,0)),"")))</f>
        <v/>
      </c>
      <c r="F746" s="28" t="str">
        <f aca="false">IF(OR($D746="",$E746=""),"",IFERROR($D746*INDEX(Setup!$B$27:$B$44,MATCH($E746,Setup!$A$27:$A$44,0)),"TBD"))</f>
        <v/>
      </c>
      <c r="G746" s="32"/>
      <c r="H746" s="32"/>
      <c r="I746" s="32"/>
      <c r="J746" s="32"/>
      <c r="K746" s="35"/>
      <c r="L746" s="32"/>
      <c r="M746" s="32"/>
    </row>
    <row r="747" customFormat="false" ht="15" hidden="false" customHeight="true" outlineLevel="0" collapsed="false">
      <c r="A747" s="32"/>
      <c r="B747" s="32"/>
      <c r="C747" s="32"/>
      <c r="D747" s="32"/>
      <c r="E747" s="34" t="str">
        <f aca="false">IF($B747="","",IF($B747="OUT","Liters",IFERROR(INDEX(Setup!$F$3:$F$24,MATCH($C747,Setup!$A$3:$A$24,0)),"")))</f>
        <v/>
      </c>
      <c r="F747" s="28" t="str">
        <f aca="false">IF(OR($D747="",$E747=""),"",IFERROR($D747*INDEX(Setup!$B$27:$B$44,MATCH($E747,Setup!$A$27:$A$44,0)),"TBD"))</f>
        <v/>
      </c>
      <c r="G747" s="32"/>
      <c r="H747" s="32"/>
      <c r="I747" s="32"/>
      <c r="J747" s="32"/>
      <c r="K747" s="35"/>
      <c r="L747" s="32"/>
      <c r="M747" s="32"/>
    </row>
    <row r="748" customFormat="false" ht="15" hidden="false" customHeight="true" outlineLevel="0" collapsed="false">
      <c r="A748" s="32"/>
      <c r="B748" s="32"/>
      <c r="C748" s="32"/>
      <c r="D748" s="32"/>
      <c r="E748" s="34" t="str">
        <f aca="false">IF($B748="","",IF($B748="OUT","Liters",IFERROR(INDEX(Setup!$F$3:$F$24,MATCH($C748,Setup!$A$3:$A$24,0)),"")))</f>
        <v/>
      </c>
      <c r="F748" s="28" t="str">
        <f aca="false">IF(OR($D748="",$E748=""),"",IFERROR($D748*INDEX(Setup!$B$27:$B$44,MATCH($E748,Setup!$A$27:$A$44,0)),"TBD"))</f>
        <v/>
      </c>
      <c r="G748" s="32"/>
      <c r="H748" s="32"/>
      <c r="I748" s="32"/>
      <c r="J748" s="32"/>
      <c r="K748" s="35"/>
      <c r="L748" s="32"/>
      <c r="M748" s="32"/>
    </row>
    <row r="749" customFormat="false" ht="15" hidden="false" customHeight="true" outlineLevel="0" collapsed="false">
      <c r="A749" s="32"/>
      <c r="B749" s="32"/>
      <c r="C749" s="32"/>
      <c r="D749" s="32"/>
      <c r="E749" s="34" t="str">
        <f aca="false">IF($B749="","",IF($B749="OUT","Liters",IFERROR(INDEX(Setup!$F$3:$F$24,MATCH($C749,Setup!$A$3:$A$24,0)),"")))</f>
        <v/>
      </c>
      <c r="F749" s="28" t="str">
        <f aca="false">IF(OR($D749="",$E749=""),"",IFERROR($D749*INDEX(Setup!$B$27:$B$44,MATCH($E749,Setup!$A$27:$A$44,0)),"TBD"))</f>
        <v/>
      </c>
      <c r="G749" s="32"/>
      <c r="H749" s="32"/>
      <c r="I749" s="32"/>
      <c r="J749" s="32"/>
      <c r="K749" s="35"/>
      <c r="L749" s="32"/>
      <c r="M749" s="32"/>
    </row>
    <row r="750" customFormat="false" ht="15" hidden="false" customHeight="true" outlineLevel="0" collapsed="false">
      <c r="A750" s="32"/>
      <c r="B750" s="32"/>
      <c r="C750" s="32"/>
      <c r="D750" s="32"/>
      <c r="E750" s="34" t="str">
        <f aca="false">IF($B750="","",IF($B750="OUT","Liters",IFERROR(INDEX(Setup!$F$3:$F$24,MATCH($C750,Setup!$A$3:$A$24,0)),"")))</f>
        <v/>
      </c>
      <c r="F750" s="28" t="str">
        <f aca="false">IF(OR($D750="",$E750=""),"",IFERROR($D750*INDEX(Setup!$B$27:$B$44,MATCH($E750,Setup!$A$27:$A$44,0)),"TBD"))</f>
        <v/>
      </c>
      <c r="G750" s="32"/>
      <c r="H750" s="32"/>
      <c r="I750" s="32"/>
      <c r="J750" s="32"/>
      <c r="K750" s="35"/>
      <c r="L750" s="32"/>
      <c r="M750" s="32"/>
    </row>
    <row r="751" customFormat="false" ht="15" hidden="false" customHeight="true" outlineLevel="0" collapsed="false">
      <c r="A751" s="32"/>
      <c r="B751" s="32"/>
      <c r="C751" s="32"/>
      <c r="D751" s="32"/>
      <c r="E751" s="34" t="str">
        <f aca="false">IF($B751="","",IF($B751="OUT","Liters",IFERROR(INDEX(Setup!$F$3:$F$24,MATCH($C751,Setup!$A$3:$A$24,0)),"")))</f>
        <v/>
      </c>
      <c r="F751" s="28" t="str">
        <f aca="false">IF(OR($D751="",$E751=""),"",IFERROR($D751*INDEX(Setup!$B$27:$B$44,MATCH($E751,Setup!$A$27:$A$44,0)),"TBD"))</f>
        <v/>
      </c>
      <c r="G751" s="32"/>
      <c r="H751" s="32"/>
      <c r="I751" s="32"/>
      <c r="J751" s="32"/>
      <c r="K751" s="35"/>
      <c r="L751" s="32"/>
      <c r="M751" s="32"/>
    </row>
    <row r="752" customFormat="false" ht="15" hidden="false" customHeight="true" outlineLevel="0" collapsed="false">
      <c r="A752" s="32"/>
      <c r="B752" s="32"/>
      <c r="C752" s="32"/>
      <c r="D752" s="32"/>
      <c r="E752" s="34" t="str">
        <f aca="false">IF($B752="","",IF($B752="OUT","Liters",IFERROR(INDEX(Setup!$F$3:$F$24,MATCH($C752,Setup!$A$3:$A$24,0)),"")))</f>
        <v/>
      </c>
      <c r="F752" s="28" t="str">
        <f aca="false">IF(OR($D752="",$E752=""),"",IFERROR($D752*INDEX(Setup!$B$27:$B$44,MATCH($E752,Setup!$A$27:$A$44,0)),"TBD"))</f>
        <v/>
      </c>
      <c r="G752" s="32"/>
      <c r="H752" s="32"/>
      <c r="I752" s="32"/>
      <c r="J752" s="32"/>
      <c r="K752" s="35"/>
      <c r="L752" s="32"/>
      <c r="M752" s="32"/>
    </row>
    <row r="753" customFormat="false" ht="15" hidden="false" customHeight="true" outlineLevel="0" collapsed="false">
      <c r="A753" s="32"/>
      <c r="B753" s="32"/>
      <c r="C753" s="32"/>
      <c r="D753" s="32"/>
      <c r="E753" s="34" t="str">
        <f aca="false">IF($B753="","",IF($B753="OUT","Liters",IFERROR(INDEX(Setup!$F$3:$F$24,MATCH($C753,Setup!$A$3:$A$24,0)),"")))</f>
        <v/>
      </c>
      <c r="F753" s="28" t="str">
        <f aca="false">IF(OR($D753="",$E753=""),"",IFERROR($D753*INDEX(Setup!$B$27:$B$44,MATCH($E753,Setup!$A$27:$A$44,0)),"TBD"))</f>
        <v/>
      </c>
      <c r="G753" s="32"/>
      <c r="H753" s="32"/>
      <c r="I753" s="32"/>
      <c r="J753" s="32"/>
      <c r="K753" s="35"/>
      <c r="L753" s="32"/>
      <c r="M753" s="32"/>
    </row>
    <row r="754" customFormat="false" ht="15" hidden="false" customHeight="true" outlineLevel="0" collapsed="false">
      <c r="A754" s="32"/>
      <c r="B754" s="32"/>
      <c r="C754" s="32"/>
      <c r="D754" s="32"/>
      <c r="E754" s="34" t="str">
        <f aca="false">IF($B754="","",IF($B754="OUT","Liters",IFERROR(INDEX(Setup!$F$3:$F$24,MATCH($C754,Setup!$A$3:$A$24,0)),"")))</f>
        <v/>
      </c>
      <c r="F754" s="28" t="str">
        <f aca="false">IF(OR($D754="",$E754=""),"",IFERROR($D754*INDEX(Setup!$B$27:$B$44,MATCH($E754,Setup!$A$27:$A$44,0)),"TBD"))</f>
        <v/>
      </c>
      <c r="G754" s="32"/>
      <c r="H754" s="32"/>
      <c r="I754" s="32"/>
      <c r="J754" s="32"/>
      <c r="K754" s="35"/>
      <c r="L754" s="32"/>
      <c r="M754" s="32"/>
    </row>
    <row r="755" customFormat="false" ht="15" hidden="false" customHeight="true" outlineLevel="0" collapsed="false">
      <c r="A755" s="32"/>
      <c r="B755" s="32"/>
      <c r="C755" s="32"/>
      <c r="D755" s="32"/>
      <c r="E755" s="34" t="str">
        <f aca="false">IF($B755="","",IF($B755="OUT","Liters",IFERROR(INDEX(Setup!$F$3:$F$24,MATCH($C755,Setup!$A$3:$A$24,0)),"")))</f>
        <v/>
      </c>
      <c r="F755" s="28" t="str">
        <f aca="false">IF(OR($D755="",$E755=""),"",IFERROR($D755*INDEX(Setup!$B$27:$B$44,MATCH($E755,Setup!$A$27:$A$44,0)),"TBD"))</f>
        <v/>
      </c>
      <c r="G755" s="32"/>
      <c r="H755" s="32"/>
      <c r="I755" s="32"/>
      <c r="J755" s="32"/>
      <c r="K755" s="35"/>
      <c r="L755" s="32"/>
      <c r="M755" s="32"/>
    </row>
    <row r="756" customFormat="false" ht="15" hidden="false" customHeight="true" outlineLevel="0" collapsed="false">
      <c r="A756" s="32"/>
      <c r="B756" s="32"/>
      <c r="C756" s="32"/>
      <c r="D756" s="32"/>
      <c r="E756" s="34" t="str">
        <f aca="false">IF($B756="","",IF($B756="OUT","Liters",IFERROR(INDEX(Setup!$F$3:$F$24,MATCH($C756,Setup!$A$3:$A$24,0)),"")))</f>
        <v/>
      </c>
      <c r="F756" s="28" t="str">
        <f aca="false">IF(OR($D756="",$E756=""),"",IFERROR($D756*INDEX(Setup!$B$27:$B$44,MATCH($E756,Setup!$A$27:$A$44,0)),"TBD"))</f>
        <v/>
      </c>
      <c r="G756" s="32"/>
      <c r="H756" s="32"/>
      <c r="I756" s="32"/>
      <c r="J756" s="32"/>
      <c r="K756" s="35"/>
      <c r="L756" s="32"/>
      <c r="M756" s="32"/>
    </row>
    <row r="757" customFormat="false" ht="15" hidden="false" customHeight="true" outlineLevel="0" collapsed="false">
      <c r="A757" s="32"/>
      <c r="B757" s="32"/>
      <c r="C757" s="32"/>
      <c r="D757" s="32"/>
      <c r="E757" s="34" t="str">
        <f aca="false">IF($B757="","",IF($B757="OUT","Liters",IFERROR(INDEX(Setup!$F$3:$F$24,MATCH($C757,Setup!$A$3:$A$24,0)),"")))</f>
        <v/>
      </c>
      <c r="F757" s="28" t="str">
        <f aca="false">IF(OR($D757="",$E757=""),"",IFERROR($D757*INDEX(Setup!$B$27:$B$44,MATCH($E757,Setup!$A$27:$A$44,0)),"TBD"))</f>
        <v/>
      </c>
      <c r="G757" s="32"/>
      <c r="H757" s="32"/>
      <c r="I757" s="32"/>
      <c r="J757" s="32"/>
      <c r="K757" s="35"/>
      <c r="L757" s="32"/>
      <c r="M757" s="32"/>
    </row>
    <row r="758" customFormat="false" ht="15" hidden="false" customHeight="true" outlineLevel="0" collapsed="false">
      <c r="A758" s="32"/>
      <c r="B758" s="32"/>
      <c r="C758" s="32"/>
      <c r="D758" s="32"/>
      <c r="E758" s="34" t="str">
        <f aca="false">IF($B758="","",IF($B758="OUT","Liters",IFERROR(INDEX(Setup!$F$3:$F$24,MATCH($C758,Setup!$A$3:$A$24,0)),"")))</f>
        <v/>
      </c>
      <c r="F758" s="28" t="str">
        <f aca="false">IF(OR($D758="",$E758=""),"",IFERROR($D758*INDEX(Setup!$B$27:$B$44,MATCH($E758,Setup!$A$27:$A$44,0)),"TBD"))</f>
        <v/>
      </c>
      <c r="G758" s="32"/>
      <c r="H758" s="32"/>
      <c r="I758" s="32"/>
      <c r="J758" s="32"/>
      <c r="K758" s="35"/>
      <c r="L758" s="32"/>
      <c r="M758" s="32"/>
    </row>
    <row r="759" customFormat="false" ht="15" hidden="false" customHeight="true" outlineLevel="0" collapsed="false">
      <c r="A759" s="32"/>
      <c r="B759" s="32"/>
      <c r="C759" s="32"/>
      <c r="D759" s="32"/>
      <c r="E759" s="34" t="str">
        <f aca="false">IF($B759="","",IF($B759="OUT","Liters",IFERROR(INDEX(Setup!$F$3:$F$24,MATCH($C759,Setup!$A$3:$A$24,0)),"")))</f>
        <v/>
      </c>
      <c r="F759" s="28" t="str">
        <f aca="false">IF(OR($D759="",$E759=""),"",IFERROR($D759*INDEX(Setup!$B$27:$B$44,MATCH($E759,Setup!$A$27:$A$44,0)),"TBD"))</f>
        <v/>
      </c>
      <c r="G759" s="32"/>
      <c r="H759" s="32"/>
      <c r="I759" s="32"/>
      <c r="J759" s="32"/>
      <c r="K759" s="35"/>
      <c r="L759" s="32"/>
      <c r="M759" s="32"/>
    </row>
    <row r="760" customFormat="false" ht="15" hidden="false" customHeight="true" outlineLevel="0" collapsed="false">
      <c r="A760" s="32"/>
      <c r="B760" s="32"/>
      <c r="C760" s="32"/>
      <c r="D760" s="32"/>
      <c r="E760" s="34" t="str">
        <f aca="false">IF($B760="","",IF($B760="OUT","Liters",IFERROR(INDEX(Setup!$F$3:$F$24,MATCH($C760,Setup!$A$3:$A$24,0)),"")))</f>
        <v/>
      </c>
      <c r="F760" s="28" t="str">
        <f aca="false">IF(OR($D760="",$E760=""),"",IFERROR($D760*INDEX(Setup!$B$27:$B$44,MATCH($E760,Setup!$A$27:$A$44,0)),"TBD"))</f>
        <v/>
      </c>
      <c r="G760" s="32"/>
      <c r="H760" s="32"/>
      <c r="I760" s="32"/>
      <c r="J760" s="32"/>
      <c r="K760" s="35"/>
      <c r="L760" s="32"/>
      <c r="M760" s="32"/>
    </row>
    <row r="761" customFormat="false" ht="15" hidden="false" customHeight="true" outlineLevel="0" collapsed="false">
      <c r="A761" s="32"/>
      <c r="B761" s="32"/>
      <c r="C761" s="32"/>
      <c r="D761" s="32"/>
      <c r="E761" s="34" t="str">
        <f aca="false">IF($B761="","",IF($B761="OUT","Liters",IFERROR(INDEX(Setup!$F$3:$F$24,MATCH($C761,Setup!$A$3:$A$24,0)),"")))</f>
        <v/>
      </c>
      <c r="F761" s="28" t="str">
        <f aca="false">IF(OR($D761="",$E761=""),"",IFERROR($D761*INDEX(Setup!$B$27:$B$44,MATCH($E761,Setup!$A$27:$A$44,0)),"TBD"))</f>
        <v/>
      </c>
      <c r="G761" s="32"/>
      <c r="H761" s="32"/>
      <c r="I761" s="32"/>
      <c r="J761" s="32"/>
      <c r="K761" s="35"/>
      <c r="L761" s="32"/>
      <c r="M761" s="32"/>
    </row>
    <row r="762" customFormat="false" ht="15" hidden="false" customHeight="true" outlineLevel="0" collapsed="false">
      <c r="A762" s="32"/>
      <c r="B762" s="32"/>
      <c r="C762" s="32"/>
      <c r="D762" s="32"/>
      <c r="E762" s="34" t="str">
        <f aca="false">IF($B762="","",IF($B762="OUT","Liters",IFERROR(INDEX(Setup!$F$3:$F$24,MATCH($C762,Setup!$A$3:$A$24,0)),"")))</f>
        <v/>
      </c>
      <c r="F762" s="28" t="str">
        <f aca="false">IF(OR($D762="",$E762=""),"",IFERROR($D762*INDEX(Setup!$B$27:$B$44,MATCH($E762,Setup!$A$27:$A$44,0)),"TBD"))</f>
        <v/>
      </c>
      <c r="G762" s="32"/>
      <c r="H762" s="32"/>
      <c r="I762" s="32"/>
      <c r="J762" s="32"/>
      <c r="K762" s="35"/>
      <c r="L762" s="32"/>
      <c r="M762" s="32"/>
    </row>
    <row r="763" customFormat="false" ht="15" hidden="false" customHeight="true" outlineLevel="0" collapsed="false">
      <c r="A763" s="32"/>
      <c r="B763" s="32"/>
      <c r="C763" s="32"/>
      <c r="D763" s="32"/>
      <c r="E763" s="34" t="str">
        <f aca="false">IF($B763="","",IF($B763="OUT","Liters",IFERROR(INDEX(Setup!$F$3:$F$24,MATCH($C763,Setup!$A$3:$A$24,0)),"")))</f>
        <v/>
      </c>
      <c r="F763" s="28" t="str">
        <f aca="false">IF(OR($D763="",$E763=""),"",IFERROR($D763*INDEX(Setup!$B$27:$B$44,MATCH($E763,Setup!$A$27:$A$44,0)),"TBD"))</f>
        <v/>
      </c>
      <c r="G763" s="32"/>
      <c r="H763" s="32"/>
      <c r="I763" s="32"/>
      <c r="J763" s="32"/>
      <c r="K763" s="35"/>
      <c r="L763" s="32"/>
      <c r="M763" s="32"/>
    </row>
    <row r="764" customFormat="false" ht="15" hidden="false" customHeight="true" outlineLevel="0" collapsed="false">
      <c r="A764" s="32"/>
      <c r="B764" s="32"/>
      <c r="C764" s="32"/>
      <c r="D764" s="32"/>
      <c r="E764" s="34" t="str">
        <f aca="false">IF($B764="","",IF($B764="OUT","Liters",IFERROR(INDEX(Setup!$F$3:$F$24,MATCH($C764,Setup!$A$3:$A$24,0)),"")))</f>
        <v/>
      </c>
      <c r="F764" s="28" t="str">
        <f aca="false">IF(OR($D764="",$E764=""),"",IFERROR($D764*INDEX(Setup!$B$27:$B$44,MATCH($E764,Setup!$A$27:$A$44,0)),"TBD"))</f>
        <v/>
      </c>
      <c r="G764" s="32"/>
      <c r="H764" s="32"/>
      <c r="I764" s="32"/>
      <c r="J764" s="32"/>
      <c r="K764" s="35"/>
      <c r="L764" s="32"/>
      <c r="M764" s="32"/>
    </row>
    <row r="765" customFormat="false" ht="15" hidden="false" customHeight="true" outlineLevel="0" collapsed="false">
      <c r="A765" s="32"/>
      <c r="B765" s="32"/>
      <c r="C765" s="32"/>
      <c r="D765" s="32"/>
      <c r="E765" s="34" t="str">
        <f aca="false">IF($B765="","",IF($B765="OUT","Liters",IFERROR(INDEX(Setup!$F$3:$F$24,MATCH($C765,Setup!$A$3:$A$24,0)),"")))</f>
        <v/>
      </c>
      <c r="F765" s="28" t="str">
        <f aca="false">IF(OR($D765="",$E765=""),"",IFERROR($D765*INDEX(Setup!$B$27:$B$44,MATCH($E765,Setup!$A$27:$A$44,0)),"TBD"))</f>
        <v/>
      </c>
      <c r="G765" s="32"/>
      <c r="H765" s="32"/>
      <c r="I765" s="32"/>
      <c r="J765" s="32"/>
      <c r="K765" s="35"/>
      <c r="L765" s="32"/>
      <c r="M765" s="32"/>
    </row>
    <row r="766" customFormat="false" ht="15" hidden="false" customHeight="true" outlineLevel="0" collapsed="false">
      <c r="A766" s="32"/>
      <c r="B766" s="32"/>
      <c r="C766" s="32"/>
      <c r="D766" s="32"/>
      <c r="E766" s="34" t="str">
        <f aca="false">IF($B766="","",IF($B766="OUT","Liters",IFERROR(INDEX(Setup!$F$3:$F$24,MATCH($C766,Setup!$A$3:$A$24,0)),"")))</f>
        <v/>
      </c>
      <c r="F766" s="28" t="str">
        <f aca="false">IF(OR($D766="",$E766=""),"",IFERROR($D766*INDEX(Setup!$B$27:$B$44,MATCH($E766,Setup!$A$27:$A$44,0)),"TBD"))</f>
        <v/>
      </c>
      <c r="G766" s="32"/>
      <c r="H766" s="32"/>
      <c r="I766" s="32"/>
      <c r="J766" s="32"/>
      <c r="K766" s="35"/>
      <c r="L766" s="32"/>
      <c r="M766" s="32"/>
    </row>
    <row r="767" customFormat="false" ht="15" hidden="false" customHeight="true" outlineLevel="0" collapsed="false">
      <c r="A767" s="32"/>
      <c r="B767" s="32"/>
      <c r="C767" s="32"/>
      <c r="D767" s="32"/>
      <c r="E767" s="34" t="str">
        <f aca="false">IF($B767="","",IF($B767="OUT","Liters",IFERROR(INDEX(Setup!$F$3:$F$24,MATCH($C767,Setup!$A$3:$A$24,0)),"")))</f>
        <v/>
      </c>
      <c r="F767" s="28" t="str">
        <f aca="false">IF(OR($D767="",$E767=""),"",IFERROR($D767*INDEX(Setup!$B$27:$B$44,MATCH($E767,Setup!$A$27:$A$44,0)),"TBD"))</f>
        <v/>
      </c>
      <c r="G767" s="32"/>
      <c r="H767" s="32"/>
      <c r="I767" s="32"/>
      <c r="J767" s="32"/>
      <c r="K767" s="35"/>
      <c r="L767" s="32"/>
      <c r="M767" s="32"/>
    </row>
    <row r="768" customFormat="false" ht="15" hidden="false" customHeight="true" outlineLevel="0" collapsed="false">
      <c r="A768" s="32"/>
      <c r="B768" s="32"/>
      <c r="C768" s="32"/>
      <c r="D768" s="32"/>
      <c r="E768" s="34" t="str">
        <f aca="false">IF($B768="","",IF($B768="OUT","Liters",IFERROR(INDEX(Setup!$F$3:$F$24,MATCH($C768,Setup!$A$3:$A$24,0)),"")))</f>
        <v/>
      </c>
      <c r="F768" s="28" t="str">
        <f aca="false">IF(OR($D768="",$E768=""),"",IFERROR($D768*INDEX(Setup!$B$27:$B$44,MATCH($E768,Setup!$A$27:$A$44,0)),"TBD"))</f>
        <v/>
      </c>
      <c r="G768" s="32"/>
      <c r="H768" s="32"/>
      <c r="I768" s="32"/>
      <c r="J768" s="32"/>
      <c r="K768" s="35"/>
      <c r="L768" s="32"/>
      <c r="M768" s="32"/>
    </row>
    <row r="769" customFormat="false" ht="15" hidden="false" customHeight="true" outlineLevel="0" collapsed="false">
      <c r="A769" s="32"/>
      <c r="B769" s="32"/>
      <c r="C769" s="32"/>
      <c r="D769" s="32"/>
      <c r="E769" s="34" t="str">
        <f aca="false">IF($B769="","",IF($B769="OUT","Liters",IFERROR(INDEX(Setup!$F$3:$F$24,MATCH($C769,Setup!$A$3:$A$24,0)),"")))</f>
        <v/>
      </c>
      <c r="F769" s="28" t="str">
        <f aca="false">IF(OR($D769="",$E769=""),"",IFERROR($D769*INDEX(Setup!$B$27:$B$44,MATCH($E769,Setup!$A$27:$A$44,0)),"TBD"))</f>
        <v/>
      </c>
      <c r="G769" s="32"/>
      <c r="H769" s="32"/>
      <c r="I769" s="32"/>
      <c r="J769" s="32"/>
      <c r="K769" s="35"/>
      <c r="L769" s="32"/>
      <c r="M769" s="32"/>
    </row>
    <row r="770" customFormat="false" ht="15" hidden="false" customHeight="true" outlineLevel="0" collapsed="false">
      <c r="A770" s="32"/>
      <c r="B770" s="32"/>
      <c r="C770" s="32"/>
      <c r="D770" s="32"/>
      <c r="E770" s="34" t="str">
        <f aca="false">IF($B770="","",IF($B770="OUT","Liters",IFERROR(INDEX(Setup!$F$3:$F$24,MATCH($C770,Setup!$A$3:$A$24,0)),"")))</f>
        <v/>
      </c>
      <c r="F770" s="28" t="str">
        <f aca="false">IF(OR($D770="",$E770=""),"",IFERROR($D770*INDEX(Setup!$B$27:$B$44,MATCH($E770,Setup!$A$27:$A$44,0)),"TBD"))</f>
        <v/>
      </c>
      <c r="G770" s="32"/>
      <c r="H770" s="32"/>
      <c r="I770" s="32"/>
      <c r="J770" s="32"/>
      <c r="K770" s="35"/>
      <c r="L770" s="32"/>
      <c r="M770" s="32"/>
    </row>
    <row r="771" customFormat="false" ht="15" hidden="false" customHeight="true" outlineLevel="0" collapsed="false">
      <c r="A771" s="32"/>
      <c r="B771" s="32"/>
      <c r="C771" s="32"/>
      <c r="D771" s="32"/>
      <c r="E771" s="34" t="str">
        <f aca="false">IF($B771="","",IF($B771="OUT","Liters",IFERROR(INDEX(Setup!$F$3:$F$24,MATCH($C771,Setup!$A$3:$A$24,0)),"")))</f>
        <v/>
      </c>
      <c r="F771" s="28" t="str">
        <f aca="false">IF(OR($D771="",$E771=""),"",IFERROR($D771*INDEX(Setup!$B$27:$B$44,MATCH($E771,Setup!$A$27:$A$44,0)),"TBD"))</f>
        <v/>
      </c>
      <c r="G771" s="32"/>
      <c r="H771" s="32"/>
      <c r="I771" s="32"/>
      <c r="J771" s="32"/>
      <c r="K771" s="35"/>
      <c r="L771" s="32"/>
      <c r="M771" s="32"/>
    </row>
    <row r="772" customFormat="false" ht="15" hidden="false" customHeight="true" outlineLevel="0" collapsed="false">
      <c r="A772" s="32"/>
      <c r="B772" s="32"/>
      <c r="C772" s="32"/>
      <c r="D772" s="32"/>
      <c r="E772" s="34" t="str">
        <f aca="false">IF($B772="","",IF($B772="OUT","Liters",IFERROR(INDEX(Setup!$F$3:$F$24,MATCH($C772,Setup!$A$3:$A$24,0)),"")))</f>
        <v/>
      </c>
      <c r="F772" s="28" t="str">
        <f aca="false">IF(OR($D772="",$E772=""),"",IFERROR($D772*INDEX(Setup!$B$27:$B$44,MATCH($E772,Setup!$A$27:$A$44,0)),"TBD"))</f>
        <v/>
      </c>
      <c r="G772" s="32"/>
      <c r="H772" s="32"/>
      <c r="I772" s="32"/>
      <c r="J772" s="32"/>
      <c r="K772" s="35"/>
      <c r="L772" s="32"/>
      <c r="M772" s="32"/>
    </row>
    <row r="773" customFormat="false" ht="15" hidden="false" customHeight="true" outlineLevel="0" collapsed="false">
      <c r="A773" s="32"/>
      <c r="B773" s="32"/>
      <c r="C773" s="32"/>
      <c r="D773" s="32"/>
      <c r="E773" s="34" t="str">
        <f aca="false">IF($B773="","",IF($B773="OUT","Liters",IFERROR(INDEX(Setup!$F$3:$F$24,MATCH($C773,Setup!$A$3:$A$24,0)),"")))</f>
        <v/>
      </c>
      <c r="F773" s="28" t="str">
        <f aca="false">IF(OR($D773="",$E773=""),"",IFERROR($D773*INDEX(Setup!$B$27:$B$44,MATCH($E773,Setup!$A$27:$A$44,0)),"TBD"))</f>
        <v/>
      </c>
      <c r="G773" s="32"/>
      <c r="H773" s="32"/>
      <c r="I773" s="32"/>
      <c r="J773" s="32"/>
      <c r="K773" s="35"/>
      <c r="L773" s="32"/>
      <c r="M773" s="32"/>
    </row>
    <row r="774" customFormat="false" ht="15" hidden="false" customHeight="true" outlineLevel="0" collapsed="false">
      <c r="A774" s="32"/>
      <c r="B774" s="32"/>
      <c r="C774" s="32"/>
      <c r="D774" s="32"/>
      <c r="E774" s="34" t="str">
        <f aca="false">IF($B774="","",IF($B774="OUT","Liters",IFERROR(INDEX(Setup!$F$3:$F$24,MATCH($C774,Setup!$A$3:$A$24,0)),"")))</f>
        <v/>
      </c>
      <c r="F774" s="28" t="str">
        <f aca="false">IF(OR($D774="",$E774=""),"",IFERROR($D774*INDEX(Setup!$B$27:$B$44,MATCH($E774,Setup!$A$27:$A$44,0)),"TBD"))</f>
        <v/>
      </c>
      <c r="G774" s="32"/>
      <c r="H774" s="32"/>
      <c r="I774" s="32"/>
      <c r="J774" s="32"/>
      <c r="K774" s="35"/>
      <c r="L774" s="32"/>
      <c r="M774" s="32"/>
    </row>
    <row r="775" customFormat="false" ht="15" hidden="false" customHeight="true" outlineLevel="0" collapsed="false">
      <c r="A775" s="32"/>
      <c r="B775" s="32"/>
      <c r="C775" s="32"/>
      <c r="D775" s="32"/>
      <c r="E775" s="34" t="str">
        <f aca="false">IF($B775="","",IF($B775="OUT","Liters",IFERROR(INDEX(Setup!$F$3:$F$24,MATCH($C775,Setup!$A$3:$A$24,0)),"")))</f>
        <v/>
      </c>
      <c r="F775" s="28" t="str">
        <f aca="false">IF(OR($D775="",$E775=""),"",IFERROR($D775*INDEX(Setup!$B$27:$B$44,MATCH($E775,Setup!$A$27:$A$44,0)),"TBD"))</f>
        <v/>
      </c>
      <c r="G775" s="32"/>
      <c r="H775" s="32"/>
      <c r="I775" s="32"/>
      <c r="J775" s="32"/>
      <c r="K775" s="35"/>
      <c r="L775" s="32"/>
      <c r="M775" s="32"/>
    </row>
    <row r="776" customFormat="false" ht="15" hidden="false" customHeight="true" outlineLevel="0" collapsed="false">
      <c r="A776" s="32"/>
      <c r="B776" s="32"/>
      <c r="C776" s="32"/>
      <c r="D776" s="32"/>
      <c r="E776" s="34" t="str">
        <f aca="false">IF($B776="","",IF($B776="OUT","Liters",IFERROR(INDEX(Setup!$F$3:$F$24,MATCH($C776,Setup!$A$3:$A$24,0)),"")))</f>
        <v/>
      </c>
      <c r="F776" s="28" t="str">
        <f aca="false">IF(OR($D776="",$E776=""),"",IFERROR($D776*INDEX(Setup!$B$27:$B$44,MATCH($E776,Setup!$A$27:$A$44,0)),"TBD"))</f>
        <v/>
      </c>
      <c r="G776" s="32"/>
      <c r="H776" s="32"/>
      <c r="I776" s="32"/>
      <c r="J776" s="32"/>
      <c r="K776" s="35"/>
      <c r="L776" s="32"/>
      <c r="M776" s="32"/>
    </row>
    <row r="777" customFormat="false" ht="15" hidden="false" customHeight="true" outlineLevel="0" collapsed="false">
      <c r="A777" s="32"/>
      <c r="B777" s="32"/>
      <c r="C777" s="32"/>
      <c r="D777" s="32"/>
      <c r="E777" s="34" t="str">
        <f aca="false">IF($B777="","",IF($B777="OUT","Liters",IFERROR(INDEX(Setup!$F$3:$F$24,MATCH($C777,Setup!$A$3:$A$24,0)),"")))</f>
        <v/>
      </c>
      <c r="F777" s="28" t="str">
        <f aca="false">IF(OR($D777="",$E777=""),"",IFERROR($D777*INDEX(Setup!$B$27:$B$44,MATCH($E777,Setup!$A$27:$A$44,0)),"TBD"))</f>
        <v/>
      </c>
      <c r="G777" s="32"/>
      <c r="H777" s="32"/>
      <c r="I777" s="32"/>
      <c r="J777" s="32"/>
      <c r="K777" s="35"/>
      <c r="L777" s="32"/>
      <c r="M777" s="32"/>
    </row>
    <row r="778" customFormat="false" ht="15" hidden="false" customHeight="true" outlineLevel="0" collapsed="false">
      <c r="A778" s="32"/>
      <c r="B778" s="32"/>
      <c r="C778" s="32"/>
      <c r="D778" s="32"/>
      <c r="E778" s="34" t="str">
        <f aca="false">IF($B778="","",IF($B778="OUT","Liters",IFERROR(INDEX(Setup!$F$3:$F$24,MATCH($C778,Setup!$A$3:$A$24,0)),"")))</f>
        <v/>
      </c>
      <c r="F778" s="28" t="str">
        <f aca="false">IF(OR($D778="",$E778=""),"",IFERROR($D778*INDEX(Setup!$B$27:$B$44,MATCH($E778,Setup!$A$27:$A$44,0)),"TBD"))</f>
        <v/>
      </c>
      <c r="G778" s="32"/>
      <c r="H778" s="32"/>
      <c r="I778" s="32"/>
      <c r="J778" s="32"/>
      <c r="K778" s="35"/>
      <c r="L778" s="32"/>
      <c r="M778" s="32"/>
    </row>
    <row r="779" customFormat="false" ht="15" hidden="false" customHeight="true" outlineLevel="0" collapsed="false">
      <c r="A779" s="32"/>
      <c r="B779" s="32"/>
      <c r="C779" s="32"/>
      <c r="D779" s="32"/>
      <c r="E779" s="34" t="str">
        <f aca="false">IF($B779="","",IF($B779="OUT","Liters",IFERROR(INDEX(Setup!$F$3:$F$24,MATCH($C779,Setup!$A$3:$A$24,0)),"")))</f>
        <v/>
      </c>
      <c r="F779" s="28" t="str">
        <f aca="false">IF(OR($D779="",$E779=""),"",IFERROR($D779*INDEX(Setup!$B$27:$B$44,MATCH($E779,Setup!$A$27:$A$44,0)),"TBD"))</f>
        <v/>
      </c>
      <c r="G779" s="32"/>
      <c r="H779" s="32"/>
      <c r="I779" s="32"/>
      <c r="J779" s="32"/>
      <c r="K779" s="35"/>
      <c r="L779" s="32"/>
      <c r="M779" s="32"/>
    </row>
    <row r="780" customFormat="false" ht="15" hidden="false" customHeight="true" outlineLevel="0" collapsed="false">
      <c r="A780" s="32"/>
      <c r="B780" s="32"/>
      <c r="C780" s="32"/>
      <c r="D780" s="32"/>
      <c r="E780" s="34" t="str">
        <f aca="false">IF($B780="","",IF($B780="OUT","Liters",IFERROR(INDEX(Setup!$F$3:$F$24,MATCH($C780,Setup!$A$3:$A$24,0)),"")))</f>
        <v/>
      </c>
      <c r="F780" s="28" t="str">
        <f aca="false">IF(OR($D780="",$E780=""),"",IFERROR($D780*INDEX(Setup!$B$27:$B$44,MATCH($E780,Setup!$A$27:$A$44,0)),"TBD"))</f>
        <v/>
      </c>
      <c r="G780" s="32"/>
      <c r="H780" s="32"/>
      <c r="I780" s="32"/>
      <c r="J780" s="32"/>
      <c r="K780" s="35"/>
      <c r="L780" s="32"/>
      <c r="M780" s="32"/>
    </row>
    <row r="781" customFormat="false" ht="15" hidden="false" customHeight="true" outlineLevel="0" collapsed="false">
      <c r="A781" s="32"/>
      <c r="B781" s="32"/>
      <c r="C781" s="32"/>
      <c r="D781" s="32"/>
      <c r="E781" s="34" t="str">
        <f aca="false">IF($B781="","",IF($B781="OUT","Liters",IFERROR(INDEX(Setup!$F$3:$F$24,MATCH($C781,Setup!$A$3:$A$24,0)),"")))</f>
        <v/>
      </c>
      <c r="F781" s="28" t="str">
        <f aca="false">IF(OR($D781="",$E781=""),"",IFERROR($D781*INDEX(Setup!$B$27:$B$44,MATCH($E781,Setup!$A$27:$A$44,0)),"TBD"))</f>
        <v/>
      </c>
      <c r="G781" s="32"/>
      <c r="H781" s="32"/>
      <c r="I781" s="32"/>
      <c r="J781" s="32"/>
      <c r="K781" s="35"/>
      <c r="L781" s="32"/>
      <c r="M781" s="32"/>
    </row>
    <row r="782" customFormat="false" ht="15" hidden="false" customHeight="true" outlineLevel="0" collapsed="false">
      <c r="A782" s="32"/>
      <c r="B782" s="32"/>
      <c r="C782" s="32"/>
      <c r="D782" s="32"/>
      <c r="E782" s="34" t="str">
        <f aca="false">IF($B782="","",IF($B782="OUT","Liters",IFERROR(INDEX(Setup!$F$3:$F$24,MATCH($C782,Setup!$A$3:$A$24,0)),"")))</f>
        <v/>
      </c>
      <c r="F782" s="28" t="str">
        <f aca="false">IF(OR($D782="",$E782=""),"",IFERROR($D782*INDEX(Setup!$B$27:$B$44,MATCH($E782,Setup!$A$27:$A$44,0)),"TBD"))</f>
        <v/>
      </c>
      <c r="G782" s="32"/>
      <c r="H782" s="32"/>
      <c r="I782" s="32"/>
      <c r="J782" s="32"/>
      <c r="K782" s="35"/>
      <c r="L782" s="32"/>
      <c r="M782" s="32"/>
    </row>
    <row r="783" customFormat="false" ht="15" hidden="false" customHeight="true" outlineLevel="0" collapsed="false">
      <c r="A783" s="32"/>
      <c r="B783" s="32"/>
      <c r="C783" s="32"/>
      <c r="D783" s="32"/>
      <c r="E783" s="34" t="str">
        <f aca="false">IF($B783="","",IF($B783="OUT","Liters",IFERROR(INDEX(Setup!$F$3:$F$24,MATCH($C783,Setup!$A$3:$A$24,0)),"")))</f>
        <v/>
      </c>
      <c r="F783" s="28" t="str">
        <f aca="false">IF(OR($D783="",$E783=""),"",IFERROR($D783*INDEX(Setup!$B$27:$B$44,MATCH($E783,Setup!$A$27:$A$44,0)),"TBD"))</f>
        <v/>
      </c>
      <c r="G783" s="32"/>
      <c r="H783" s="32"/>
      <c r="I783" s="32"/>
      <c r="J783" s="32"/>
      <c r="K783" s="35"/>
      <c r="L783" s="32"/>
      <c r="M783" s="32"/>
    </row>
    <row r="784" customFormat="false" ht="15" hidden="false" customHeight="true" outlineLevel="0" collapsed="false">
      <c r="A784" s="32"/>
      <c r="B784" s="32"/>
      <c r="C784" s="32"/>
      <c r="D784" s="32"/>
      <c r="E784" s="34" t="str">
        <f aca="false">IF($B784="","",IF($B784="OUT","Liters",IFERROR(INDEX(Setup!$F$3:$F$24,MATCH($C784,Setup!$A$3:$A$24,0)),"")))</f>
        <v/>
      </c>
      <c r="F784" s="28" t="str">
        <f aca="false">IF(OR($D784="",$E784=""),"",IFERROR($D784*INDEX(Setup!$B$27:$B$44,MATCH($E784,Setup!$A$27:$A$44,0)),"TBD"))</f>
        <v/>
      </c>
      <c r="G784" s="32"/>
      <c r="H784" s="32"/>
      <c r="I784" s="32"/>
      <c r="J784" s="32"/>
      <c r="K784" s="35"/>
      <c r="L784" s="32"/>
      <c r="M784" s="32"/>
    </row>
    <row r="785" customFormat="false" ht="15" hidden="false" customHeight="true" outlineLevel="0" collapsed="false">
      <c r="A785" s="32"/>
      <c r="B785" s="32"/>
      <c r="C785" s="32"/>
      <c r="D785" s="32"/>
      <c r="E785" s="34" t="str">
        <f aca="false">IF($B785="","",IF($B785="OUT","Liters",IFERROR(INDEX(Setup!$F$3:$F$24,MATCH($C785,Setup!$A$3:$A$24,0)),"")))</f>
        <v/>
      </c>
      <c r="F785" s="28" t="str">
        <f aca="false">IF(OR($D785="",$E785=""),"",IFERROR($D785*INDEX(Setup!$B$27:$B$44,MATCH($E785,Setup!$A$27:$A$44,0)),"TBD"))</f>
        <v/>
      </c>
      <c r="G785" s="32"/>
      <c r="H785" s="32"/>
      <c r="I785" s="32"/>
      <c r="J785" s="32"/>
      <c r="K785" s="35"/>
      <c r="L785" s="32"/>
      <c r="M785" s="32"/>
    </row>
    <row r="786" customFormat="false" ht="15" hidden="false" customHeight="true" outlineLevel="0" collapsed="false">
      <c r="A786" s="32"/>
      <c r="B786" s="32"/>
      <c r="C786" s="32"/>
      <c r="D786" s="32"/>
      <c r="E786" s="34" t="str">
        <f aca="false">IF($B786="","",IF($B786="OUT","Liters",IFERROR(INDEX(Setup!$F$3:$F$24,MATCH($C786,Setup!$A$3:$A$24,0)),"")))</f>
        <v/>
      </c>
      <c r="F786" s="28" t="str">
        <f aca="false">IF(OR($D786="",$E786=""),"",IFERROR($D786*INDEX(Setup!$B$27:$B$44,MATCH($E786,Setup!$A$27:$A$44,0)),"TBD"))</f>
        <v/>
      </c>
      <c r="G786" s="32"/>
      <c r="H786" s="32"/>
      <c r="I786" s="32"/>
      <c r="J786" s="32"/>
      <c r="K786" s="35"/>
      <c r="L786" s="32"/>
      <c r="M786" s="32"/>
    </row>
    <row r="787" customFormat="false" ht="15" hidden="false" customHeight="true" outlineLevel="0" collapsed="false">
      <c r="A787" s="32"/>
      <c r="B787" s="32"/>
      <c r="C787" s="32"/>
      <c r="D787" s="32"/>
      <c r="E787" s="34" t="str">
        <f aca="false">IF($B787="","",IF($B787="OUT","Liters",IFERROR(INDEX(Setup!$F$3:$F$24,MATCH($C787,Setup!$A$3:$A$24,0)),"")))</f>
        <v/>
      </c>
      <c r="F787" s="28" t="str">
        <f aca="false">IF(OR($D787="",$E787=""),"",IFERROR($D787*INDEX(Setup!$B$27:$B$44,MATCH($E787,Setup!$A$27:$A$44,0)),"TBD"))</f>
        <v/>
      </c>
      <c r="G787" s="32"/>
      <c r="H787" s="32"/>
      <c r="I787" s="32"/>
      <c r="J787" s="32"/>
      <c r="K787" s="35"/>
      <c r="L787" s="32"/>
      <c r="M787" s="32"/>
    </row>
    <row r="788" customFormat="false" ht="15" hidden="false" customHeight="true" outlineLevel="0" collapsed="false">
      <c r="A788" s="32"/>
      <c r="B788" s="32"/>
      <c r="C788" s="32"/>
      <c r="D788" s="32"/>
      <c r="E788" s="34" t="str">
        <f aca="false">IF($B788="","",IF($B788="OUT","Liters",IFERROR(INDEX(Setup!$F$3:$F$24,MATCH($C788,Setup!$A$3:$A$24,0)),"")))</f>
        <v/>
      </c>
      <c r="F788" s="28" t="str">
        <f aca="false">IF(OR($D788="",$E788=""),"",IFERROR($D788*INDEX(Setup!$B$27:$B$44,MATCH($E788,Setup!$A$27:$A$44,0)),"TBD"))</f>
        <v/>
      </c>
      <c r="G788" s="32"/>
      <c r="H788" s="32"/>
      <c r="I788" s="32"/>
      <c r="J788" s="32"/>
      <c r="K788" s="35"/>
      <c r="L788" s="32"/>
      <c r="M788" s="32"/>
    </row>
    <row r="789" customFormat="false" ht="15" hidden="false" customHeight="true" outlineLevel="0" collapsed="false">
      <c r="A789" s="32"/>
      <c r="B789" s="32"/>
      <c r="C789" s="32"/>
      <c r="D789" s="32"/>
      <c r="E789" s="34" t="str">
        <f aca="false">IF($B789="","",IF($B789="OUT","Liters",IFERROR(INDEX(Setup!$F$3:$F$24,MATCH($C789,Setup!$A$3:$A$24,0)),"")))</f>
        <v/>
      </c>
      <c r="F789" s="28" t="str">
        <f aca="false">IF(OR($D789="",$E789=""),"",IFERROR($D789*INDEX(Setup!$B$27:$B$44,MATCH($E789,Setup!$A$27:$A$44,0)),"TBD"))</f>
        <v/>
      </c>
      <c r="G789" s="32"/>
      <c r="H789" s="32"/>
      <c r="I789" s="32"/>
      <c r="J789" s="32"/>
      <c r="K789" s="35"/>
      <c r="L789" s="32"/>
      <c r="M789" s="32"/>
    </row>
    <row r="790" customFormat="false" ht="15" hidden="false" customHeight="true" outlineLevel="0" collapsed="false">
      <c r="A790" s="32"/>
      <c r="B790" s="32"/>
      <c r="C790" s="32"/>
      <c r="D790" s="32"/>
      <c r="E790" s="34" t="str">
        <f aca="false">IF($B790="","",IF($B790="OUT","Liters",IFERROR(INDEX(Setup!$F$3:$F$24,MATCH($C790,Setup!$A$3:$A$24,0)),"")))</f>
        <v/>
      </c>
      <c r="F790" s="28" t="str">
        <f aca="false">IF(OR($D790="",$E790=""),"",IFERROR($D790*INDEX(Setup!$B$27:$B$44,MATCH($E790,Setup!$A$27:$A$44,0)),"TBD"))</f>
        <v/>
      </c>
      <c r="G790" s="32"/>
      <c r="H790" s="32"/>
      <c r="I790" s="32"/>
      <c r="J790" s="32"/>
      <c r="K790" s="35"/>
      <c r="L790" s="32"/>
      <c r="M790" s="32"/>
    </row>
    <row r="791" customFormat="false" ht="15" hidden="false" customHeight="true" outlineLevel="0" collapsed="false">
      <c r="A791" s="32"/>
      <c r="B791" s="32"/>
      <c r="C791" s="32"/>
      <c r="D791" s="32"/>
      <c r="E791" s="34" t="str">
        <f aca="false">IF($B791="","",IF($B791="OUT","Liters",IFERROR(INDEX(Setup!$F$3:$F$24,MATCH($C791,Setup!$A$3:$A$24,0)),"")))</f>
        <v/>
      </c>
      <c r="F791" s="28" t="str">
        <f aca="false">IF(OR($D791="",$E791=""),"",IFERROR($D791*INDEX(Setup!$B$27:$B$44,MATCH($E791,Setup!$A$27:$A$44,0)),"TBD"))</f>
        <v/>
      </c>
      <c r="G791" s="32"/>
      <c r="H791" s="32"/>
      <c r="I791" s="32"/>
      <c r="J791" s="32"/>
      <c r="K791" s="35"/>
      <c r="L791" s="32"/>
      <c r="M791" s="32"/>
    </row>
    <row r="792" customFormat="false" ht="15" hidden="false" customHeight="true" outlineLevel="0" collapsed="false">
      <c r="A792" s="32"/>
      <c r="B792" s="32"/>
      <c r="C792" s="32"/>
      <c r="D792" s="32"/>
      <c r="E792" s="34" t="str">
        <f aca="false">IF($B792="","",IF($B792="OUT","Liters",IFERROR(INDEX(Setup!$F$3:$F$24,MATCH($C792,Setup!$A$3:$A$24,0)),"")))</f>
        <v/>
      </c>
      <c r="F792" s="28" t="str">
        <f aca="false">IF(OR($D792="",$E792=""),"",IFERROR($D792*INDEX(Setup!$B$27:$B$44,MATCH($E792,Setup!$A$27:$A$44,0)),"TBD"))</f>
        <v/>
      </c>
      <c r="G792" s="32"/>
      <c r="H792" s="32"/>
      <c r="I792" s="32"/>
      <c r="J792" s="32"/>
      <c r="K792" s="35"/>
      <c r="L792" s="32"/>
      <c r="M792" s="32"/>
    </row>
    <row r="793" customFormat="false" ht="15" hidden="false" customHeight="true" outlineLevel="0" collapsed="false">
      <c r="A793" s="32"/>
      <c r="B793" s="32"/>
      <c r="C793" s="32"/>
      <c r="D793" s="32"/>
      <c r="E793" s="34" t="str">
        <f aca="false">IF($B793="","",IF($B793="OUT","Liters",IFERROR(INDEX(Setup!$F$3:$F$24,MATCH($C793,Setup!$A$3:$A$24,0)),"")))</f>
        <v/>
      </c>
      <c r="F793" s="28" t="str">
        <f aca="false">IF(OR($D793="",$E793=""),"",IFERROR($D793*INDEX(Setup!$B$27:$B$44,MATCH($E793,Setup!$A$27:$A$44,0)),"TBD"))</f>
        <v/>
      </c>
      <c r="G793" s="32"/>
      <c r="H793" s="32"/>
      <c r="I793" s="32"/>
      <c r="J793" s="32"/>
      <c r="K793" s="35"/>
      <c r="L793" s="32"/>
      <c r="M793" s="32"/>
    </row>
    <row r="794" customFormat="false" ht="15" hidden="false" customHeight="true" outlineLevel="0" collapsed="false">
      <c r="A794" s="32"/>
      <c r="B794" s="32"/>
      <c r="C794" s="32"/>
      <c r="D794" s="32"/>
      <c r="E794" s="34" t="str">
        <f aca="false">IF($B794="","",IF($B794="OUT","Liters",IFERROR(INDEX(Setup!$F$3:$F$24,MATCH($C794,Setup!$A$3:$A$24,0)),"")))</f>
        <v/>
      </c>
      <c r="F794" s="28" t="str">
        <f aca="false">IF(OR($D794="",$E794=""),"",IFERROR($D794*INDEX(Setup!$B$27:$B$44,MATCH($E794,Setup!$A$27:$A$44,0)),"TBD"))</f>
        <v/>
      </c>
      <c r="G794" s="32"/>
      <c r="H794" s="32"/>
      <c r="I794" s="32"/>
      <c r="J794" s="32"/>
      <c r="K794" s="35"/>
      <c r="L794" s="32"/>
      <c r="M794" s="32"/>
    </row>
    <row r="795" customFormat="false" ht="15" hidden="false" customHeight="true" outlineLevel="0" collapsed="false">
      <c r="A795" s="32"/>
      <c r="B795" s="32"/>
      <c r="C795" s="32"/>
      <c r="D795" s="32"/>
      <c r="E795" s="34" t="str">
        <f aca="false">IF($B795="","",IF($B795="OUT","Liters",IFERROR(INDEX(Setup!$F$3:$F$24,MATCH($C795,Setup!$A$3:$A$24,0)),"")))</f>
        <v/>
      </c>
      <c r="F795" s="28" t="str">
        <f aca="false">IF(OR($D795="",$E795=""),"",IFERROR($D795*INDEX(Setup!$B$27:$B$44,MATCH($E795,Setup!$A$27:$A$44,0)),"TBD"))</f>
        <v/>
      </c>
      <c r="G795" s="32"/>
      <c r="H795" s="32"/>
      <c r="I795" s="32"/>
      <c r="J795" s="32"/>
      <c r="K795" s="35"/>
      <c r="L795" s="32"/>
      <c r="M795" s="32"/>
    </row>
    <row r="796" customFormat="false" ht="15" hidden="false" customHeight="true" outlineLevel="0" collapsed="false">
      <c r="A796" s="32"/>
      <c r="B796" s="32"/>
      <c r="C796" s="32"/>
      <c r="D796" s="32"/>
      <c r="E796" s="34" t="str">
        <f aca="false">IF($B796="","",IF($B796="OUT","Liters",IFERROR(INDEX(Setup!$F$3:$F$24,MATCH($C796,Setup!$A$3:$A$24,0)),"")))</f>
        <v/>
      </c>
      <c r="F796" s="28" t="str">
        <f aca="false">IF(OR($D796="",$E796=""),"",IFERROR($D796*INDEX(Setup!$B$27:$B$44,MATCH($E796,Setup!$A$27:$A$44,0)),"TBD"))</f>
        <v/>
      </c>
      <c r="G796" s="32"/>
      <c r="H796" s="32"/>
      <c r="I796" s="32"/>
      <c r="J796" s="32"/>
      <c r="K796" s="35"/>
      <c r="L796" s="32"/>
      <c r="M796" s="32"/>
    </row>
    <row r="797" customFormat="false" ht="15" hidden="false" customHeight="true" outlineLevel="0" collapsed="false">
      <c r="A797" s="32"/>
      <c r="B797" s="32"/>
      <c r="C797" s="32"/>
      <c r="D797" s="32"/>
      <c r="E797" s="34" t="str">
        <f aca="false">IF($B797="","",IF($B797="OUT","Liters",IFERROR(INDEX(Setup!$F$3:$F$24,MATCH($C797,Setup!$A$3:$A$24,0)),"")))</f>
        <v/>
      </c>
      <c r="F797" s="28" t="str">
        <f aca="false">IF(OR($D797="",$E797=""),"",IFERROR($D797*INDEX(Setup!$B$27:$B$44,MATCH($E797,Setup!$A$27:$A$44,0)),"TBD"))</f>
        <v/>
      </c>
      <c r="G797" s="32"/>
      <c r="H797" s="32"/>
      <c r="I797" s="32"/>
      <c r="J797" s="32"/>
      <c r="K797" s="35"/>
      <c r="L797" s="32"/>
      <c r="M797" s="32"/>
    </row>
    <row r="798" customFormat="false" ht="15" hidden="false" customHeight="true" outlineLevel="0" collapsed="false">
      <c r="A798" s="32"/>
      <c r="B798" s="32"/>
      <c r="C798" s="32"/>
      <c r="D798" s="32"/>
      <c r="E798" s="34" t="str">
        <f aca="false">IF($B798="","",IF($B798="OUT","Liters",IFERROR(INDEX(Setup!$F$3:$F$24,MATCH($C798,Setup!$A$3:$A$24,0)),"")))</f>
        <v/>
      </c>
      <c r="F798" s="28" t="str">
        <f aca="false">IF(OR($D798="",$E798=""),"",IFERROR($D798*INDEX(Setup!$B$27:$B$44,MATCH($E798,Setup!$A$27:$A$44,0)),"TBD"))</f>
        <v/>
      </c>
      <c r="G798" s="32"/>
      <c r="H798" s="32"/>
      <c r="I798" s="32"/>
      <c r="J798" s="32"/>
      <c r="K798" s="35"/>
      <c r="L798" s="32"/>
      <c r="M798" s="32"/>
    </row>
    <row r="799" customFormat="false" ht="15" hidden="false" customHeight="true" outlineLevel="0" collapsed="false">
      <c r="A799" s="32"/>
      <c r="B799" s="32"/>
      <c r="C799" s="32"/>
      <c r="D799" s="32"/>
      <c r="E799" s="34" t="str">
        <f aca="false">IF($B799="","",IF($B799="OUT","Liters",IFERROR(INDEX(Setup!$F$3:$F$24,MATCH($C799,Setup!$A$3:$A$24,0)),"")))</f>
        <v/>
      </c>
      <c r="F799" s="28" t="str">
        <f aca="false">IF(OR($D799="",$E799=""),"",IFERROR($D799*INDEX(Setup!$B$27:$B$44,MATCH($E799,Setup!$A$27:$A$44,0)),"TBD"))</f>
        <v/>
      </c>
      <c r="G799" s="32"/>
      <c r="H799" s="32"/>
      <c r="I799" s="32"/>
      <c r="J799" s="32"/>
      <c r="K799" s="35"/>
      <c r="L799" s="32"/>
      <c r="M799" s="32"/>
    </row>
    <row r="800" customFormat="false" ht="15" hidden="false" customHeight="true" outlineLevel="0" collapsed="false">
      <c r="A800" s="32"/>
      <c r="B800" s="32"/>
      <c r="C800" s="32"/>
      <c r="D800" s="32"/>
      <c r="E800" s="34" t="str">
        <f aca="false">IF($B800="","",IF($B800="OUT","Liters",IFERROR(INDEX(Setup!$F$3:$F$24,MATCH($C800,Setup!$A$3:$A$24,0)),"")))</f>
        <v/>
      </c>
      <c r="F800" s="28" t="str">
        <f aca="false">IF(OR($D800="",$E800=""),"",IFERROR($D800*INDEX(Setup!$B$27:$B$44,MATCH($E800,Setup!$A$27:$A$44,0)),"TBD"))</f>
        <v/>
      </c>
      <c r="G800" s="32"/>
      <c r="H800" s="32"/>
      <c r="I800" s="32"/>
      <c r="J800" s="32"/>
      <c r="K800" s="35"/>
      <c r="L800" s="32"/>
      <c r="M800" s="32"/>
    </row>
    <row r="801" customFormat="false" ht="15" hidden="false" customHeight="true" outlineLevel="0" collapsed="false">
      <c r="A801" s="32"/>
      <c r="B801" s="32"/>
      <c r="C801" s="32"/>
      <c r="D801" s="32"/>
      <c r="E801" s="34" t="str">
        <f aca="false">IF($B801="","",IF($B801="OUT","Liters",IFERROR(INDEX(Setup!$F$3:$F$24,MATCH($C801,Setup!$A$3:$A$24,0)),"")))</f>
        <v/>
      </c>
      <c r="F801" s="28" t="str">
        <f aca="false">IF(OR($D801="",$E801=""),"",IFERROR($D801*INDEX(Setup!$B$27:$B$44,MATCH($E801,Setup!$A$27:$A$44,0)),"TBD"))</f>
        <v/>
      </c>
      <c r="G801" s="32"/>
      <c r="H801" s="32"/>
      <c r="I801" s="32"/>
      <c r="J801" s="32"/>
      <c r="K801" s="35"/>
      <c r="L801" s="32"/>
      <c r="M801" s="32"/>
    </row>
    <row r="802" customFormat="false" ht="15" hidden="false" customHeight="true" outlineLevel="0" collapsed="false">
      <c r="A802" s="32"/>
      <c r="B802" s="32"/>
      <c r="C802" s="32"/>
      <c r="D802" s="32"/>
      <c r="E802" s="34" t="str">
        <f aca="false">IF($B802="","",IF($B802="OUT","Liters",IFERROR(INDEX(Setup!$F$3:$F$24,MATCH($C802,Setup!$A$3:$A$24,0)),"")))</f>
        <v/>
      </c>
      <c r="F802" s="28" t="str">
        <f aca="false">IF(OR($D802="",$E802=""),"",IFERROR($D802*INDEX(Setup!$B$27:$B$44,MATCH($E802,Setup!$A$27:$A$44,0)),"TBD"))</f>
        <v/>
      </c>
      <c r="G802" s="32"/>
      <c r="H802" s="32"/>
      <c r="I802" s="32"/>
      <c r="J802" s="32"/>
      <c r="K802" s="35"/>
      <c r="L802" s="32"/>
      <c r="M802" s="32"/>
    </row>
    <row r="803" customFormat="false" ht="15" hidden="false" customHeight="true" outlineLevel="0" collapsed="false">
      <c r="A803" s="32"/>
      <c r="B803" s="32"/>
      <c r="C803" s="32"/>
      <c r="D803" s="32"/>
      <c r="E803" s="34" t="str">
        <f aca="false">IF($B803="","",IF($B803="OUT","Liters",IFERROR(INDEX(Setup!$F$3:$F$24,MATCH($C803,Setup!$A$3:$A$24,0)),"")))</f>
        <v/>
      </c>
      <c r="F803" s="28" t="str">
        <f aca="false">IF(OR($D803="",$E803=""),"",IFERROR($D803*INDEX(Setup!$B$27:$B$44,MATCH($E803,Setup!$A$27:$A$44,0)),"TBD"))</f>
        <v/>
      </c>
      <c r="G803" s="32"/>
      <c r="H803" s="32"/>
      <c r="I803" s="32"/>
      <c r="J803" s="32"/>
      <c r="K803" s="35"/>
      <c r="L803" s="32"/>
      <c r="M803" s="32"/>
    </row>
    <row r="804" customFormat="false" ht="15" hidden="false" customHeight="true" outlineLevel="0" collapsed="false">
      <c r="A804" s="32"/>
      <c r="B804" s="32"/>
      <c r="C804" s="32"/>
      <c r="D804" s="32"/>
      <c r="E804" s="34" t="str">
        <f aca="false">IF($B804="","",IF($B804="OUT","Liters",IFERROR(INDEX(Setup!$F$3:$F$24,MATCH($C804,Setup!$A$3:$A$24,0)),"")))</f>
        <v/>
      </c>
      <c r="F804" s="28" t="str">
        <f aca="false">IF(OR($D804="",$E804=""),"",IFERROR($D804*INDEX(Setup!$B$27:$B$44,MATCH($E804,Setup!$A$27:$A$44,0)),"TBD"))</f>
        <v/>
      </c>
      <c r="G804" s="32"/>
      <c r="H804" s="32"/>
      <c r="I804" s="32"/>
      <c r="J804" s="32"/>
      <c r="K804" s="35"/>
      <c r="L804" s="32"/>
      <c r="M804" s="32"/>
    </row>
    <row r="805" customFormat="false" ht="15" hidden="false" customHeight="true" outlineLevel="0" collapsed="false">
      <c r="A805" s="32"/>
      <c r="B805" s="32"/>
      <c r="C805" s="32"/>
      <c r="D805" s="32"/>
      <c r="E805" s="34" t="str">
        <f aca="false">IF($B805="","",IF($B805="OUT","Liters",IFERROR(INDEX(Setup!$F$3:$F$24,MATCH($C805,Setup!$A$3:$A$24,0)),"")))</f>
        <v/>
      </c>
      <c r="F805" s="28" t="str">
        <f aca="false">IF(OR($D805="",$E805=""),"",IFERROR($D805*INDEX(Setup!$B$27:$B$44,MATCH($E805,Setup!$A$27:$A$44,0)),"TBD"))</f>
        <v/>
      </c>
      <c r="G805" s="32"/>
      <c r="H805" s="32"/>
      <c r="I805" s="32"/>
      <c r="J805" s="32"/>
      <c r="K805" s="35"/>
      <c r="L805" s="32"/>
      <c r="M805" s="32"/>
    </row>
    <row r="806" customFormat="false" ht="15" hidden="false" customHeight="true" outlineLevel="0" collapsed="false">
      <c r="A806" s="32"/>
      <c r="B806" s="32"/>
      <c r="C806" s="32"/>
      <c r="D806" s="32"/>
      <c r="E806" s="34" t="str">
        <f aca="false">IF($B806="","",IF($B806="OUT","Liters",IFERROR(INDEX(Setup!$F$3:$F$24,MATCH($C806,Setup!$A$3:$A$24,0)),"")))</f>
        <v/>
      </c>
      <c r="F806" s="28" t="str">
        <f aca="false">IF(OR($D806="",$E806=""),"",IFERROR($D806*INDEX(Setup!$B$27:$B$44,MATCH($E806,Setup!$A$27:$A$44,0)),"TBD"))</f>
        <v/>
      </c>
      <c r="G806" s="32"/>
      <c r="H806" s="32"/>
      <c r="I806" s="32"/>
      <c r="J806" s="32"/>
      <c r="K806" s="35"/>
      <c r="L806" s="32"/>
      <c r="M806" s="32"/>
    </row>
    <row r="807" customFormat="false" ht="15" hidden="false" customHeight="true" outlineLevel="0" collapsed="false">
      <c r="A807" s="32"/>
      <c r="B807" s="32"/>
      <c r="C807" s="32"/>
      <c r="D807" s="32"/>
      <c r="E807" s="34" t="str">
        <f aca="false">IF($B807="","",IF($B807="OUT","Liters",IFERROR(INDEX(Setup!$F$3:$F$24,MATCH($C807,Setup!$A$3:$A$24,0)),"")))</f>
        <v/>
      </c>
      <c r="F807" s="28" t="str">
        <f aca="false">IF(OR($D807="",$E807=""),"",IFERROR($D807*INDEX(Setup!$B$27:$B$44,MATCH($E807,Setup!$A$27:$A$44,0)),"TBD"))</f>
        <v/>
      </c>
      <c r="G807" s="32"/>
      <c r="H807" s="32"/>
      <c r="I807" s="32"/>
      <c r="J807" s="32"/>
      <c r="K807" s="35"/>
      <c r="L807" s="32"/>
      <c r="M807" s="32"/>
    </row>
    <row r="808" customFormat="false" ht="15" hidden="false" customHeight="true" outlineLevel="0" collapsed="false">
      <c r="A808" s="32"/>
      <c r="B808" s="32"/>
      <c r="C808" s="32"/>
      <c r="D808" s="32"/>
      <c r="E808" s="34" t="str">
        <f aca="false">IF($B808="","",IF($B808="OUT","Liters",IFERROR(INDEX(Setup!$F$3:$F$24,MATCH($C808,Setup!$A$3:$A$24,0)),"")))</f>
        <v/>
      </c>
      <c r="F808" s="28" t="str">
        <f aca="false">IF(OR($D808="",$E808=""),"",IFERROR($D808*INDEX(Setup!$B$27:$B$44,MATCH($E808,Setup!$A$27:$A$44,0)),"TBD"))</f>
        <v/>
      </c>
      <c r="G808" s="32"/>
      <c r="H808" s="32"/>
      <c r="I808" s="32"/>
      <c r="J808" s="32"/>
      <c r="K808" s="35"/>
      <c r="L808" s="32"/>
      <c r="M808" s="32"/>
    </row>
    <row r="809" customFormat="false" ht="15" hidden="false" customHeight="true" outlineLevel="0" collapsed="false">
      <c r="A809" s="32"/>
      <c r="B809" s="32"/>
      <c r="C809" s="32"/>
      <c r="D809" s="32"/>
      <c r="E809" s="34" t="str">
        <f aca="false">IF($B809="","",IF($B809="OUT","Liters",IFERROR(INDEX(Setup!$F$3:$F$24,MATCH($C809,Setup!$A$3:$A$24,0)),"")))</f>
        <v/>
      </c>
      <c r="F809" s="28" t="str">
        <f aca="false">IF(OR($D809="",$E809=""),"",IFERROR($D809*INDEX(Setup!$B$27:$B$44,MATCH($E809,Setup!$A$27:$A$44,0)),"TBD"))</f>
        <v/>
      </c>
      <c r="G809" s="32"/>
      <c r="H809" s="32"/>
      <c r="I809" s="32"/>
      <c r="J809" s="32"/>
      <c r="K809" s="35"/>
      <c r="L809" s="32"/>
      <c r="M809" s="32"/>
    </row>
    <row r="810" customFormat="false" ht="15" hidden="false" customHeight="true" outlineLevel="0" collapsed="false">
      <c r="A810" s="32"/>
      <c r="B810" s="32"/>
      <c r="C810" s="32"/>
      <c r="D810" s="32"/>
      <c r="E810" s="34" t="str">
        <f aca="false">IF($B810="","",IF($B810="OUT","Liters",IFERROR(INDEX(Setup!$F$3:$F$24,MATCH($C810,Setup!$A$3:$A$24,0)),"")))</f>
        <v/>
      </c>
      <c r="F810" s="28" t="str">
        <f aca="false">IF(OR($D810="",$E810=""),"",IFERROR($D810*INDEX(Setup!$B$27:$B$44,MATCH($E810,Setup!$A$27:$A$44,0)),"TBD"))</f>
        <v/>
      </c>
      <c r="G810" s="32"/>
      <c r="H810" s="32"/>
      <c r="I810" s="32"/>
      <c r="J810" s="32"/>
      <c r="K810" s="35"/>
      <c r="L810" s="32"/>
      <c r="M810" s="32"/>
    </row>
    <row r="811" customFormat="false" ht="15" hidden="false" customHeight="true" outlineLevel="0" collapsed="false">
      <c r="A811" s="32"/>
      <c r="B811" s="32"/>
      <c r="C811" s="32"/>
      <c r="D811" s="32"/>
      <c r="E811" s="34" t="str">
        <f aca="false">IF($B811="","",IF($B811="OUT","Liters",IFERROR(INDEX(Setup!$F$3:$F$24,MATCH($C811,Setup!$A$3:$A$24,0)),"")))</f>
        <v/>
      </c>
      <c r="F811" s="28" t="str">
        <f aca="false">IF(OR($D811="",$E811=""),"",IFERROR($D811*INDEX(Setup!$B$27:$B$44,MATCH($E811,Setup!$A$27:$A$44,0)),"TBD"))</f>
        <v/>
      </c>
      <c r="G811" s="32"/>
      <c r="H811" s="32"/>
      <c r="I811" s="32"/>
      <c r="J811" s="32"/>
      <c r="K811" s="35"/>
      <c r="L811" s="32"/>
      <c r="M811" s="32"/>
    </row>
    <row r="812" customFormat="false" ht="15" hidden="false" customHeight="true" outlineLevel="0" collapsed="false">
      <c r="A812" s="32"/>
      <c r="B812" s="32"/>
      <c r="C812" s="32"/>
      <c r="D812" s="32"/>
      <c r="E812" s="34" t="str">
        <f aca="false">IF($B812="","",IF($B812="OUT","Liters",IFERROR(INDEX(Setup!$F$3:$F$24,MATCH($C812,Setup!$A$3:$A$24,0)),"")))</f>
        <v/>
      </c>
      <c r="F812" s="28" t="str">
        <f aca="false">IF(OR($D812="",$E812=""),"",IFERROR($D812*INDEX(Setup!$B$27:$B$44,MATCH($E812,Setup!$A$27:$A$44,0)),"TBD"))</f>
        <v/>
      </c>
      <c r="G812" s="32"/>
      <c r="H812" s="32"/>
      <c r="I812" s="32"/>
      <c r="J812" s="32"/>
      <c r="K812" s="35"/>
      <c r="L812" s="32"/>
      <c r="M812" s="32"/>
    </row>
    <row r="813" customFormat="false" ht="15" hidden="false" customHeight="true" outlineLevel="0" collapsed="false">
      <c r="A813" s="32"/>
      <c r="B813" s="32"/>
      <c r="C813" s="32"/>
      <c r="D813" s="32"/>
      <c r="E813" s="34" t="str">
        <f aca="false">IF($B813="","",IF($B813="OUT","Liters",IFERROR(INDEX(Setup!$F$3:$F$24,MATCH($C813,Setup!$A$3:$A$24,0)),"")))</f>
        <v/>
      </c>
      <c r="F813" s="28" t="str">
        <f aca="false">IF(OR($D813="",$E813=""),"",IFERROR($D813*INDEX(Setup!$B$27:$B$44,MATCH($E813,Setup!$A$27:$A$44,0)),"TBD"))</f>
        <v/>
      </c>
      <c r="G813" s="32"/>
      <c r="H813" s="32"/>
      <c r="I813" s="32"/>
      <c r="J813" s="32"/>
      <c r="K813" s="35"/>
      <c r="L813" s="32"/>
      <c r="M813" s="32"/>
    </row>
    <row r="814" customFormat="false" ht="15" hidden="false" customHeight="true" outlineLevel="0" collapsed="false">
      <c r="A814" s="32"/>
      <c r="B814" s="32"/>
      <c r="C814" s="32"/>
      <c r="D814" s="32"/>
      <c r="E814" s="34" t="str">
        <f aca="false">IF($B814="","",IF($B814="OUT","Liters",IFERROR(INDEX(Setup!$F$3:$F$24,MATCH($C814,Setup!$A$3:$A$24,0)),"")))</f>
        <v/>
      </c>
      <c r="F814" s="28" t="str">
        <f aca="false">IF(OR($D814="",$E814=""),"",IFERROR($D814*INDEX(Setup!$B$27:$B$44,MATCH($E814,Setup!$A$27:$A$44,0)),"TBD"))</f>
        <v/>
      </c>
      <c r="G814" s="32"/>
      <c r="H814" s="32"/>
      <c r="I814" s="32"/>
      <c r="J814" s="32"/>
      <c r="K814" s="35"/>
      <c r="L814" s="32"/>
      <c r="M814" s="32"/>
    </row>
    <row r="815" customFormat="false" ht="15" hidden="false" customHeight="true" outlineLevel="0" collapsed="false">
      <c r="A815" s="32"/>
      <c r="B815" s="32"/>
      <c r="C815" s="32"/>
      <c r="D815" s="32"/>
      <c r="E815" s="34" t="str">
        <f aca="false">IF($B815="","",IF($B815="OUT","Liters",IFERROR(INDEX(Setup!$F$3:$F$24,MATCH($C815,Setup!$A$3:$A$24,0)),"")))</f>
        <v/>
      </c>
      <c r="F815" s="28" t="str">
        <f aca="false">IF(OR($D815="",$E815=""),"",IFERROR($D815*INDEX(Setup!$B$27:$B$44,MATCH($E815,Setup!$A$27:$A$44,0)),"TBD"))</f>
        <v/>
      </c>
      <c r="G815" s="32"/>
      <c r="H815" s="32"/>
      <c r="I815" s="32"/>
      <c r="J815" s="32"/>
      <c r="K815" s="35"/>
      <c r="L815" s="32"/>
      <c r="M815" s="32"/>
    </row>
    <row r="816" customFormat="false" ht="15" hidden="false" customHeight="true" outlineLevel="0" collapsed="false">
      <c r="A816" s="32"/>
      <c r="B816" s="32"/>
      <c r="C816" s="32"/>
      <c r="D816" s="32"/>
      <c r="E816" s="34" t="str">
        <f aca="false">IF($B816="","",IF($B816="OUT","Liters",IFERROR(INDEX(Setup!$F$3:$F$24,MATCH($C816,Setup!$A$3:$A$24,0)),"")))</f>
        <v/>
      </c>
      <c r="F816" s="28" t="str">
        <f aca="false">IF(OR($D816="",$E816=""),"",IFERROR($D816*INDEX(Setup!$B$27:$B$44,MATCH($E816,Setup!$A$27:$A$44,0)),"TBD"))</f>
        <v/>
      </c>
      <c r="G816" s="32"/>
      <c r="H816" s="32"/>
      <c r="I816" s="32"/>
      <c r="J816" s="32"/>
      <c r="K816" s="35"/>
      <c r="L816" s="32"/>
      <c r="M816" s="32"/>
    </row>
    <row r="817" customFormat="false" ht="15" hidden="false" customHeight="true" outlineLevel="0" collapsed="false">
      <c r="A817" s="32"/>
      <c r="B817" s="32"/>
      <c r="C817" s="32"/>
      <c r="D817" s="32"/>
      <c r="E817" s="34" t="str">
        <f aca="false">IF($B817="","",IF($B817="OUT","Liters",IFERROR(INDEX(Setup!$F$3:$F$24,MATCH($C817,Setup!$A$3:$A$24,0)),"")))</f>
        <v/>
      </c>
      <c r="F817" s="28" t="str">
        <f aca="false">IF(OR($D817="",$E817=""),"",IFERROR($D817*INDEX(Setup!$B$27:$B$44,MATCH($E817,Setup!$A$27:$A$44,0)),"TBD"))</f>
        <v/>
      </c>
      <c r="G817" s="32"/>
      <c r="H817" s="32"/>
      <c r="I817" s="32"/>
      <c r="J817" s="32"/>
      <c r="K817" s="35"/>
      <c r="L817" s="32"/>
      <c r="M817" s="32"/>
    </row>
    <row r="818" customFormat="false" ht="15" hidden="false" customHeight="true" outlineLevel="0" collapsed="false">
      <c r="A818" s="32"/>
      <c r="B818" s="32"/>
      <c r="C818" s="32"/>
      <c r="D818" s="32"/>
      <c r="E818" s="34" t="str">
        <f aca="false">IF($B818="","",IF($B818="OUT","Liters",IFERROR(INDEX(Setup!$F$3:$F$24,MATCH($C818,Setup!$A$3:$A$24,0)),"")))</f>
        <v/>
      </c>
      <c r="F818" s="28" t="str">
        <f aca="false">IF(OR($D818="",$E818=""),"",IFERROR($D818*INDEX(Setup!$B$27:$B$44,MATCH($E818,Setup!$A$27:$A$44,0)),"TBD"))</f>
        <v/>
      </c>
      <c r="G818" s="32"/>
      <c r="H818" s="32"/>
      <c r="I818" s="32"/>
      <c r="J818" s="32"/>
      <c r="K818" s="35"/>
      <c r="L818" s="32"/>
      <c r="M818" s="32"/>
    </row>
    <row r="819" customFormat="false" ht="15" hidden="false" customHeight="true" outlineLevel="0" collapsed="false">
      <c r="A819" s="32"/>
      <c r="B819" s="32"/>
      <c r="C819" s="32"/>
      <c r="D819" s="32"/>
      <c r="E819" s="34" t="str">
        <f aca="false">IF($B819="","",IF($B819="OUT","Liters",IFERROR(INDEX(Setup!$F$3:$F$24,MATCH($C819,Setup!$A$3:$A$24,0)),"")))</f>
        <v/>
      </c>
      <c r="F819" s="28" t="str">
        <f aca="false">IF(OR($D819="",$E819=""),"",IFERROR($D819*INDEX(Setup!$B$27:$B$44,MATCH($E819,Setup!$A$27:$A$44,0)),"TBD"))</f>
        <v/>
      </c>
      <c r="G819" s="32"/>
      <c r="H819" s="32"/>
      <c r="I819" s="32"/>
      <c r="J819" s="32"/>
      <c r="K819" s="35"/>
      <c r="L819" s="32"/>
      <c r="M819" s="32"/>
    </row>
    <row r="820" customFormat="false" ht="15" hidden="false" customHeight="true" outlineLevel="0" collapsed="false">
      <c r="A820" s="32"/>
      <c r="B820" s="32"/>
      <c r="C820" s="32"/>
      <c r="D820" s="32"/>
      <c r="E820" s="34" t="str">
        <f aca="false">IF($B820="","",IF($B820="OUT","Liters",IFERROR(INDEX(Setup!$F$3:$F$24,MATCH($C820,Setup!$A$3:$A$24,0)),"")))</f>
        <v/>
      </c>
      <c r="F820" s="28" t="str">
        <f aca="false">IF(OR($D820="",$E820=""),"",IFERROR($D820*INDEX(Setup!$B$27:$B$44,MATCH($E820,Setup!$A$27:$A$44,0)),"TBD"))</f>
        <v/>
      </c>
      <c r="G820" s="32"/>
      <c r="H820" s="32"/>
      <c r="I820" s="32"/>
      <c r="J820" s="32"/>
      <c r="K820" s="35"/>
      <c r="L820" s="32"/>
      <c r="M820" s="32"/>
    </row>
    <row r="821" customFormat="false" ht="15" hidden="false" customHeight="true" outlineLevel="0" collapsed="false">
      <c r="A821" s="32"/>
      <c r="B821" s="32"/>
      <c r="C821" s="32"/>
      <c r="D821" s="32"/>
      <c r="E821" s="34" t="str">
        <f aca="false">IF($B821="","",IF($B821="OUT","Liters",IFERROR(INDEX(Setup!$F$3:$F$24,MATCH($C821,Setup!$A$3:$A$24,0)),"")))</f>
        <v/>
      </c>
      <c r="F821" s="28" t="str">
        <f aca="false">IF(OR($D821="",$E821=""),"",IFERROR($D821*INDEX(Setup!$B$27:$B$44,MATCH($E821,Setup!$A$27:$A$44,0)),"TBD"))</f>
        <v/>
      </c>
      <c r="G821" s="32"/>
      <c r="H821" s="32"/>
      <c r="I821" s="32"/>
      <c r="J821" s="32"/>
      <c r="K821" s="35"/>
      <c r="L821" s="32"/>
      <c r="M821" s="32"/>
    </row>
    <row r="822" customFormat="false" ht="15" hidden="false" customHeight="true" outlineLevel="0" collapsed="false">
      <c r="A822" s="32"/>
      <c r="B822" s="32"/>
      <c r="C822" s="32"/>
      <c r="D822" s="32"/>
      <c r="E822" s="34" t="str">
        <f aca="false">IF($B822="","",IF($B822="OUT","Liters",IFERROR(INDEX(Setup!$F$3:$F$24,MATCH($C822,Setup!$A$3:$A$24,0)),"")))</f>
        <v/>
      </c>
      <c r="F822" s="28" t="str">
        <f aca="false">IF(OR($D822="",$E822=""),"",IFERROR($D822*INDEX(Setup!$B$27:$B$44,MATCH($E822,Setup!$A$27:$A$44,0)),"TBD"))</f>
        <v/>
      </c>
      <c r="G822" s="32"/>
      <c r="H822" s="32"/>
      <c r="I822" s="32"/>
      <c r="J822" s="32"/>
      <c r="K822" s="35"/>
      <c r="L822" s="32"/>
      <c r="M822" s="32"/>
    </row>
    <row r="823" customFormat="false" ht="15" hidden="false" customHeight="true" outlineLevel="0" collapsed="false">
      <c r="A823" s="32"/>
      <c r="B823" s="32"/>
      <c r="C823" s="32"/>
      <c r="D823" s="32"/>
      <c r="E823" s="34" t="str">
        <f aca="false">IF($B823="","",IF($B823="OUT","Liters",IFERROR(INDEX(Setup!$F$3:$F$24,MATCH($C823,Setup!$A$3:$A$24,0)),"")))</f>
        <v/>
      </c>
      <c r="F823" s="28" t="str">
        <f aca="false">IF(OR($D823="",$E823=""),"",IFERROR($D823*INDEX(Setup!$B$27:$B$44,MATCH($E823,Setup!$A$27:$A$44,0)),"TBD"))</f>
        <v/>
      </c>
      <c r="G823" s="32"/>
      <c r="H823" s="32"/>
      <c r="I823" s="32"/>
      <c r="J823" s="32"/>
      <c r="K823" s="35"/>
      <c r="L823" s="32"/>
      <c r="M823" s="32"/>
    </row>
    <row r="824" customFormat="false" ht="15" hidden="false" customHeight="true" outlineLevel="0" collapsed="false">
      <c r="A824" s="32"/>
      <c r="B824" s="32"/>
      <c r="C824" s="32"/>
      <c r="D824" s="32"/>
      <c r="E824" s="34" t="str">
        <f aca="false">IF($B824="","",IF($B824="OUT","Liters",IFERROR(INDEX(Setup!$F$3:$F$24,MATCH($C824,Setup!$A$3:$A$24,0)),"")))</f>
        <v/>
      </c>
      <c r="F824" s="28" t="str">
        <f aca="false">IF(OR($D824="",$E824=""),"",IFERROR($D824*INDEX(Setup!$B$27:$B$44,MATCH($E824,Setup!$A$27:$A$44,0)),"TBD"))</f>
        <v/>
      </c>
      <c r="G824" s="32"/>
      <c r="H824" s="32"/>
      <c r="I824" s="32"/>
      <c r="J824" s="32"/>
      <c r="K824" s="35"/>
      <c r="L824" s="32"/>
      <c r="M824" s="32"/>
    </row>
    <row r="825" customFormat="false" ht="15" hidden="false" customHeight="true" outlineLevel="0" collapsed="false">
      <c r="A825" s="32"/>
      <c r="B825" s="32"/>
      <c r="C825" s="32"/>
      <c r="D825" s="32"/>
      <c r="E825" s="34" t="str">
        <f aca="false">IF($B825="","",IF($B825="OUT","Liters",IFERROR(INDEX(Setup!$F$3:$F$24,MATCH($C825,Setup!$A$3:$A$24,0)),"")))</f>
        <v/>
      </c>
      <c r="F825" s="28" t="str">
        <f aca="false">IF(OR($D825="",$E825=""),"",IFERROR($D825*INDEX(Setup!$B$27:$B$44,MATCH($E825,Setup!$A$27:$A$44,0)),"TBD"))</f>
        <v/>
      </c>
      <c r="G825" s="32"/>
      <c r="H825" s="32"/>
      <c r="I825" s="32"/>
      <c r="J825" s="32"/>
      <c r="K825" s="35"/>
      <c r="L825" s="32"/>
      <c r="M825" s="32"/>
    </row>
    <row r="826" customFormat="false" ht="15" hidden="false" customHeight="true" outlineLevel="0" collapsed="false">
      <c r="A826" s="32"/>
      <c r="B826" s="32"/>
      <c r="C826" s="32"/>
      <c r="D826" s="32"/>
      <c r="E826" s="34" t="str">
        <f aca="false">IF($B826="","",IF($B826="OUT","Liters",IFERROR(INDEX(Setup!$F$3:$F$24,MATCH($C826,Setup!$A$3:$A$24,0)),"")))</f>
        <v/>
      </c>
      <c r="F826" s="28" t="str">
        <f aca="false">IF(OR($D826="",$E826=""),"",IFERROR($D826*INDEX(Setup!$B$27:$B$44,MATCH($E826,Setup!$A$27:$A$44,0)),"TBD"))</f>
        <v/>
      </c>
      <c r="G826" s="32"/>
      <c r="H826" s="32"/>
      <c r="I826" s="32"/>
      <c r="J826" s="32"/>
      <c r="K826" s="35"/>
      <c r="L826" s="32"/>
      <c r="M826" s="32"/>
    </row>
    <row r="827" customFormat="false" ht="15" hidden="false" customHeight="true" outlineLevel="0" collapsed="false">
      <c r="A827" s="32"/>
      <c r="B827" s="32"/>
      <c r="C827" s="32"/>
      <c r="D827" s="32"/>
      <c r="E827" s="34" t="str">
        <f aca="false">IF($B827="","",IF($B827="OUT","Liters",IFERROR(INDEX(Setup!$F$3:$F$24,MATCH($C827,Setup!$A$3:$A$24,0)),"")))</f>
        <v/>
      </c>
      <c r="F827" s="28" t="str">
        <f aca="false">IF(OR($D827="",$E827=""),"",IFERROR($D827*INDEX(Setup!$B$27:$B$44,MATCH($E827,Setup!$A$27:$A$44,0)),"TBD"))</f>
        <v/>
      </c>
      <c r="G827" s="32"/>
      <c r="H827" s="32"/>
      <c r="I827" s="32"/>
      <c r="J827" s="32"/>
      <c r="K827" s="35"/>
      <c r="L827" s="32"/>
      <c r="M827" s="32"/>
    </row>
    <row r="828" customFormat="false" ht="15" hidden="false" customHeight="true" outlineLevel="0" collapsed="false">
      <c r="A828" s="32"/>
      <c r="B828" s="32"/>
      <c r="C828" s="32"/>
      <c r="D828" s="32"/>
      <c r="E828" s="34" t="str">
        <f aca="false">IF($B828="","",IF($B828="OUT","Liters",IFERROR(INDEX(Setup!$F$3:$F$24,MATCH($C828,Setup!$A$3:$A$24,0)),"")))</f>
        <v/>
      </c>
      <c r="F828" s="28" t="str">
        <f aca="false">IF(OR($D828="",$E828=""),"",IFERROR($D828*INDEX(Setup!$B$27:$B$44,MATCH($E828,Setup!$A$27:$A$44,0)),"TBD"))</f>
        <v/>
      </c>
      <c r="G828" s="32"/>
      <c r="H828" s="32"/>
      <c r="I828" s="32"/>
      <c r="J828" s="32"/>
      <c r="K828" s="35"/>
      <c r="L828" s="32"/>
      <c r="M828" s="32"/>
    </row>
    <row r="829" customFormat="false" ht="15" hidden="false" customHeight="true" outlineLevel="0" collapsed="false">
      <c r="A829" s="32"/>
      <c r="B829" s="32"/>
      <c r="C829" s="32"/>
      <c r="D829" s="32"/>
      <c r="E829" s="34" t="str">
        <f aca="false">IF($B829="","",IF($B829="OUT","Liters",IFERROR(INDEX(Setup!$F$3:$F$24,MATCH($C829,Setup!$A$3:$A$24,0)),"")))</f>
        <v/>
      </c>
      <c r="F829" s="28" t="str">
        <f aca="false">IF(OR($D829="",$E829=""),"",IFERROR($D829*INDEX(Setup!$B$27:$B$44,MATCH($E829,Setup!$A$27:$A$44,0)),"TBD"))</f>
        <v/>
      </c>
      <c r="G829" s="32"/>
      <c r="H829" s="32"/>
      <c r="I829" s="32"/>
      <c r="J829" s="32"/>
      <c r="K829" s="35"/>
      <c r="L829" s="32"/>
      <c r="M829" s="32"/>
    </row>
    <row r="830" customFormat="false" ht="15" hidden="false" customHeight="true" outlineLevel="0" collapsed="false">
      <c r="A830" s="32"/>
      <c r="B830" s="32"/>
      <c r="C830" s="32"/>
      <c r="D830" s="32"/>
      <c r="E830" s="34" t="str">
        <f aca="false">IF($B830="","",IF($B830="OUT","Liters",IFERROR(INDEX(Setup!$F$3:$F$24,MATCH($C830,Setup!$A$3:$A$24,0)),"")))</f>
        <v/>
      </c>
      <c r="F830" s="28" t="str">
        <f aca="false">IF(OR($D830="",$E830=""),"",IFERROR($D830*INDEX(Setup!$B$27:$B$44,MATCH($E830,Setup!$A$27:$A$44,0)),"TBD"))</f>
        <v/>
      </c>
      <c r="G830" s="32"/>
      <c r="H830" s="32"/>
      <c r="I830" s="32"/>
      <c r="J830" s="32"/>
      <c r="K830" s="35"/>
      <c r="L830" s="32"/>
      <c r="M830" s="32"/>
    </row>
    <row r="831" customFormat="false" ht="15" hidden="false" customHeight="true" outlineLevel="0" collapsed="false">
      <c r="A831" s="32"/>
      <c r="B831" s="32"/>
      <c r="C831" s="32"/>
      <c r="D831" s="32"/>
      <c r="E831" s="34" t="str">
        <f aca="false">IF($B831="","",IF($B831="OUT","Liters",IFERROR(INDEX(Setup!$F$3:$F$24,MATCH($C831,Setup!$A$3:$A$24,0)),"")))</f>
        <v/>
      </c>
      <c r="F831" s="28" t="str">
        <f aca="false">IF(OR($D831="",$E831=""),"",IFERROR($D831*INDEX(Setup!$B$27:$B$44,MATCH($E831,Setup!$A$27:$A$44,0)),"TBD"))</f>
        <v/>
      </c>
      <c r="G831" s="32"/>
      <c r="H831" s="32"/>
      <c r="I831" s="32"/>
      <c r="J831" s="32"/>
      <c r="K831" s="35"/>
      <c r="L831" s="32"/>
      <c r="M831" s="32"/>
    </row>
    <row r="832" customFormat="false" ht="15" hidden="false" customHeight="true" outlineLevel="0" collapsed="false">
      <c r="A832" s="32"/>
      <c r="B832" s="32"/>
      <c r="C832" s="32"/>
      <c r="D832" s="32"/>
      <c r="E832" s="34" t="str">
        <f aca="false">IF($B832="","",IF($B832="OUT","Liters",IFERROR(INDEX(Setup!$F$3:$F$24,MATCH($C832,Setup!$A$3:$A$24,0)),"")))</f>
        <v/>
      </c>
      <c r="F832" s="28" t="str">
        <f aca="false">IF(OR($D832="",$E832=""),"",IFERROR($D832*INDEX(Setup!$B$27:$B$44,MATCH($E832,Setup!$A$27:$A$44,0)),"TBD"))</f>
        <v/>
      </c>
      <c r="G832" s="32"/>
      <c r="H832" s="32"/>
      <c r="I832" s="32"/>
      <c r="J832" s="32"/>
      <c r="K832" s="35"/>
      <c r="L832" s="32"/>
      <c r="M832" s="32"/>
    </row>
    <row r="833" customFormat="false" ht="15" hidden="false" customHeight="true" outlineLevel="0" collapsed="false">
      <c r="A833" s="32"/>
      <c r="B833" s="32"/>
      <c r="C833" s="32"/>
      <c r="D833" s="32"/>
      <c r="E833" s="34" t="str">
        <f aca="false">IF($B833="","",IF($B833="OUT","Liters",IFERROR(INDEX(Setup!$F$3:$F$24,MATCH($C833,Setup!$A$3:$A$24,0)),"")))</f>
        <v/>
      </c>
      <c r="F833" s="28" t="str">
        <f aca="false">IF(OR($D833="",$E833=""),"",IFERROR($D833*INDEX(Setup!$B$27:$B$44,MATCH($E833,Setup!$A$27:$A$44,0)),"TBD"))</f>
        <v/>
      </c>
      <c r="G833" s="32"/>
      <c r="H833" s="32"/>
      <c r="I833" s="32"/>
      <c r="J833" s="32"/>
      <c r="K833" s="35"/>
      <c r="L833" s="32"/>
      <c r="M833" s="32"/>
    </row>
    <row r="834" customFormat="false" ht="15" hidden="false" customHeight="true" outlineLevel="0" collapsed="false">
      <c r="A834" s="32"/>
      <c r="B834" s="32"/>
      <c r="C834" s="32"/>
      <c r="D834" s="32"/>
      <c r="E834" s="34" t="str">
        <f aca="false">IF($B834="","",IF($B834="OUT","Liters",IFERROR(INDEX(Setup!$F$3:$F$24,MATCH($C834,Setup!$A$3:$A$24,0)),"")))</f>
        <v/>
      </c>
      <c r="F834" s="28" t="str">
        <f aca="false">IF(OR($D834="",$E834=""),"",IFERROR($D834*INDEX(Setup!$B$27:$B$44,MATCH($E834,Setup!$A$27:$A$44,0)),"TBD"))</f>
        <v/>
      </c>
      <c r="G834" s="32"/>
      <c r="H834" s="32"/>
      <c r="I834" s="32"/>
      <c r="J834" s="32"/>
      <c r="K834" s="35"/>
      <c r="L834" s="32"/>
      <c r="M834" s="32"/>
    </row>
    <row r="835" customFormat="false" ht="15" hidden="false" customHeight="true" outlineLevel="0" collapsed="false">
      <c r="A835" s="32"/>
      <c r="B835" s="32"/>
      <c r="C835" s="32"/>
      <c r="D835" s="32"/>
      <c r="E835" s="34" t="str">
        <f aca="false">IF($B835="","",IF($B835="OUT","Liters",IFERROR(INDEX(Setup!$F$3:$F$24,MATCH($C835,Setup!$A$3:$A$24,0)),"")))</f>
        <v/>
      </c>
      <c r="F835" s="28" t="str">
        <f aca="false">IF(OR($D835="",$E835=""),"",IFERROR($D835*INDEX(Setup!$B$27:$B$44,MATCH($E835,Setup!$A$27:$A$44,0)),"TBD"))</f>
        <v/>
      </c>
      <c r="G835" s="32"/>
      <c r="H835" s="32"/>
      <c r="I835" s="32"/>
      <c r="J835" s="32"/>
      <c r="K835" s="35"/>
      <c r="L835" s="32"/>
      <c r="M835" s="32"/>
    </row>
    <row r="836" customFormat="false" ht="15" hidden="false" customHeight="true" outlineLevel="0" collapsed="false">
      <c r="A836" s="32"/>
      <c r="B836" s="32"/>
      <c r="C836" s="32"/>
      <c r="D836" s="32"/>
      <c r="E836" s="34" t="str">
        <f aca="false">IF($B836="","",IF($B836="OUT","Liters",IFERROR(INDEX(Setup!$F$3:$F$24,MATCH($C836,Setup!$A$3:$A$24,0)),"")))</f>
        <v/>
      </c>
      <c r="F836" s="28" t="str">
        <f aca="false">IF(OR($D836="",$E836=""),"",IFERROR($D836*INDEX(Setup!$B$27:$B$44,MATCH($E836,Setup!$A$27:$A$44,0)),"TBD"))</f>
        <v/>
      </c>
      <c r="G836" s="32"/>
      <c r="H836" s="32"/>
      <c r="I836" s="32"/>
      <c r="J836" s="32"/>
      <c r="K836" s="35"/>
      <c r="L836" s="32"/>
      <c r="M836" s="32"/>
    </row>
    <row r="837" customFormat="false" ht="15" hidden="false" customHeight="true" outlineLevel="0" collapsed="false">
      <c r="A837" s="32"/>
      <c r="B837" s="32"/>
      <c r="C837" s="32"/>
      <c r="D837" s="32"/>
      <c r="E837" s="34" t="str">
        <f aca="false">IF($B837="","",IF($B837="OUT","Liters",IFERROR(INDEX(Setup!$F$3:$F$24,MATCH($C837,Setup!$A$3:$A$24,0)),"")))</f>
        <v/>
      </c>
      <c r="F837" s="28" t="str">
        <f aca="false">IF(OR($D837="",$E837=""),"",IFERROR($D837*INDEX(Setup!$B$27:$B$44,MATCH($E837,Setup!$A$27:$A$44,0)),"TBD"))</f>
        <v/>
      </c>
      <c r="G837" s="32"/>
      <c r="H837" s="32"/>
      <c r="I837" s="32"/>
      <c r="J837" s="32"/>
      <c r="K837" s="35"/>
      <c r="L837" s="32"/>
      <c r="M837" s="32"/>
    </row>
    <row r="838" customFormat="false" ht="15" hidden="false" customHeight="true" outlineLevel="0" collapsed="false">
      <c r="A838" s="32"/>
      <c r="B838" s="32"/>
      <c r="C838" s="32"/>
      <c r="D838" s="32"/>
      <c r="E838" s="34" t="str">
        <f aca="false">IF($B838="","",IF($B838="OUT","Liters",IFERROR(INDEX(Setup!$F$3:$F$24,MATCH($C838,Setup!$A$3:$A$24,0)),"")))</f>
        <v/>
      </c>
      <c r="F838" s="28" t="str">
        <f aca="false">IF(OR($D838="",$E838=""),"",IFERROR($D838*INDEX(Setup!$B$27:$B$44,MATCH($E838,Setup!$A$27:$A$44,0)),"TBD"))</f>
        <v/>
      </c>
      <c r="G838" s="32"/>
      <c r="H838" s="32"/>
      <c r="I838" s="32"/>
      <c r="J838" s="32"/>
      <c r="K838" s="35"/>
      <c r="L838" s="32"/>
      <c r="M838" s="32"/>
    </row>
    <row r="839" customFormat="false" ht="15" hidden="false" customHeight="true" outlineLevel="0" collapsed="false">
      <c r="A839" s="32"/>
      <c r="B839" s="32"/>
      <c r="C839" s="32"/>
      <c r="D839" s="32"/>
      <c r="E839" s="34" t="str">
        <f aca="false">IF($B839="","",IF($B839="OUT","Liters",IFERROR(INDEX(Setup!$F$3:$F$24,MATCH($C839,Setup!$A$3:$A$24,0)),"")))</f>
        <v/>
      </c>
      <c r="F839" s="28" t="str">
        <f aca="false">IF(OR($D839="",$E839=""),"",IFERROR($D839*INDEX(Setup!$B$27:$B$44,MATCH($E839,Setup!$A$27:$A$44,0)),"TBD"))</f>
        <v/>
      </c>
      <c r="G839" s="32"/>
      <c r="H839" s="32"/>
      <c r="I839" s="32"/>
      <c r="J839" s="32"/>
      <c r="K839" s="35"/>
      <c r="L839" s="32"/>
      <c r="M839" s="32"/>
    </row>
    <row r="840" customFormat="false" ht="15" hidden="false" customHeight="true" outlineLevel="0" collapsed="false">
      <c r="A840" s="32"/>
      <c r="B840" s="32"/>
      <c r="C840" s="32"/>
      <c r="D840" s="32"/>
      <c r="E840" s="34" t="str">
        <f aca="false">IF($B840="","",IF($B840="OUT","Liters",IFERROR(INDEX(Setup!$F$3:$F$24,MATCH($C840,Setup!$A$3:$A$24,0)),"")))</f>
        <v/>
      </c>
      <c r="F840" s="28" t="str">
        <f aca="false">IF(OR($D840="",$E840=""),"",IFERROR($D840*INDEX(Setup!$B$27:$B$44,MATCH($E840,Setup!$A$27:$A$44,0)),"TBD"))</f>
        <v/>
      </c>
      <c r="G840" s="32"/>
      <c r="H840" s="32"/>
      <c r="I840" s="32"/>
      <c r="J840" s="32"/>
      <c r="K840" s="35"/>
      <c r="L840" s="32"/>
      <c r="M840" s="32"/>
    </row>
    <row r="841" customFormat="false" ht="15" hidden="false" customHeight="true" outlineLevel="0" collapsed="false">
      <c r="A841" s="32"/>
      <c r="B841" s="32"/>
      <c r="C841" s="32"/>
      <c r="D841" s="32"/>
      <c r="E841" s="34" t="str">
        <f aca="false">IF($B841="","",IF($B841="OUT","Liters",IFERROR(INDEX(Setup!$F$3:$F$24,MATCH($C841,Setup!$A$3:$A$24,0)),"")))</f>
        <v/>
      </c>
      <c r="F841" s="28" t="str">
        <f aca="false">IF(OR($D841="",$E841=""),"",IFERROR($D841*INDEX(Setup!$B$27:$B$44,MATCH($E841,Setup!$A$27:$A$44,0)),"TBD"))</f>
        <v/>
      </c>
      <c r="G841" s="32"/>
      <c r="H841" s="32"/>
      <c r="I841" s="32"/>
      <c r="J841" s="32"/>
      <c r="K841" s="35"/>
      <c r="L841" s="32"/>
      <c r="M841" s="32"/>
    </row>
    <row r="842" customFormat="false" ht="15" hidden="false" customHeight="true" outlineLevel="0" collapsed="false">
      <c r="A842" s="32"/>
      <c r="B842" s="32"/>
      <c r="C842" s="32"/>
      <c r="D842" s="32"/>
      <c r="E842" s="34" t="str">
        <f aca="false">IF($B842="","",IF($B842="OUT","Liters",IFERROR(INDEX(Setup!$F$3:$F$24,MATCH($C842,Setup!$A$3:$A$24,0)),"")))</f>
        <v/>
      </c>
      <c r="F842" s="28" t="str">
        <f aca="false">IF(OR($D842="",$E842=""),"",IFERROR($D842*INDEX(Setup!$B$27:$B$44,MATCH($E842,Setup!$A$27:$A$44,0)),"TBD"))</f>
        <v/>
      </c>
      <c r="G842" s="32"/>
      <c r="H842" s="32"/>
      <c r="I842" s="32"/>
      <c r="J842" s="32"/>
      <c r="K842" s="35"/>
      <c r="L842" s="32"/>
      <c r="M842" s="32"/>
    </row>
    <row r="843" customFormat="false" ht="15" hidden="false" customHeight="true" outlineLevel="0" collapsed="false">
      <c r="A843" s="32"/>
      <c r="B843" s="32"/>
      <c r="C843" s="32"/>
      <c r="D843" s="32"/>
      <c r="E843" s="34" t="str">
        <f aca="false">IF($B843="","",IF($B843="OUT","Liters",IFERROR(INDEX(Setup!$F$3:$F$24,MATCH($C843,Setup!$A$3:$A$24,0)),"")))</f>
        <v/>
      </c>
      <c r="F843" s="28" t="str">
        <f aca="false">IF(OR($D843="",$E843=""),"",IFERROR($D843*INDEX(Setup!$B$27:$B$44,MATCH($E843,Setup!$A$27:$A$44,0)),"TBD"))</f>
        <v/>
      </c>
      <c r="G843" s="32"/>
      <c r="H843" s="32"/>
      <c r="I843" s="32"/>
      <c r="J843" s="32"/>
      <c r="K843" s="35"/>
      <c r="L843" s="32"/>
      <c r="M843" s="32"/>
    </row>
    <row r="844" customFormat="false" ht="15" hidden="false" customHeight="true" outlineLevel="0" collapsed="false">
      <c r="A844" s="32"/>
      <c r="B844" s="32"/>
      <c r="C844" s="32"/>
      <c r="D844" s="32"/>
      <c r="E844" s="34" t="str">
        <f aca="false">IF($B844="","",IF($B844="OUT","Liters",IFERROR(INDEX(Setup!$F$3:$F$24,MATCH($C844,Setup!$A$3:$A$24,0)),"")))</f>
        <v/>
      </c>
      <c r="F844" s="28" t="str">
        <f aca="false">IF(OR($D844="",$E844=""),"",IFERROR($D844*INDEX(Setup!$B$27:$B$44,MATCH($E844,Setup!$A$27:$A$44,0)),"TBD"))</f>
        <v/>
      </c>
      <c r="G844" s="32"/>
      <c r="H844" s="32"/>
      <c r="I844" s="32"/>
      <c r="J844" s="32"/>
      <c r="K844" s="35"/>
      <c r="L844" s="32"/>
      <c r="M844" s="32"/>
    </row>
    <row r="845" customFormat="false" ht="15" hidden="false" customHeight="true" outlineLevel="0" collapsed="false">
      <c r="A845" s="32"/>
      <c r="B845" s="32"/>
      <c r="C845" s="32"/>
      <c r="D845" s="32"/>
      <c r="E845" s="34" t="str">
        <f aca="false">IF($B845="","",IF($B845="OUT","Liters",IFERROR(INDEX(Setup!$F$3:$F$24,MATCH($C845,Setup!$A$3:$A$24,0)),"")))</f>
        <v/>
      </c>
      <c r="F845" s="28" t="str">
        <f aca="false">IF(OR($D845="",$E845=""),"",IFERROR($D845*INDEX(Setup!$B$27:$B$44,MATCH($E845,Setup!$A$27:$A$44,0)),"TBD"))</f>
        <v/>
      </c>
      <c r="G845" s="32"/>
      <c r="H845" s="32"/>
      <c r="I845" s="32"/>
      <c r="J845" s="32"/>
      <c r="K845" s="35"/>
      <c r="L845" s="32"/>
      <c r="M845" s="32"/>
    </row>
    <row r="846" customFormat="false" ht="15" hidden="false" customHeight="true" outlineLevel="0" collapsed="false">
      <c r="A846" s="32"/>
      <c r="B846" s="32"/>
      <c r="C846" s="32"/>
      <c r="D846" s="32"/>
      <c r="E846" s="34" t="str">
        <f aca="false">IF($B846="","",IF($B846="OUT","Liters",IFERROR(INDEX(Setup!$F$3:$F$24,MATCH($C846,Setup!$A$3:$A$24,0)),"")))</f>
        <v/>
      </c>
      <c r="F846" s="28" t="str">
        <f aca="false">IF(OR($D846="",$E846=""),"",IFERROR($D846*INDEX(Setup!$B$27:$B$44,MATCH($E846,Setup!$A$27:$A$44,0)),"TBD"))</f>
        <v/>
      </c>
      <c r="G846" s="32"/>
      <c r="H846" s="32"/>
      <c r="I846" s="32"/>
      <c r="J846" s="32"/>
      <c r="K846" s="35"/>
      <c r="L846" s="32"/>
      <c r="M846" s="32"/>
    </row>
    <row r="847" customFormat="false" ht="15" hidden="false" customHeight="true" outlineLevel="0" collapsed="false">
      <c r="A847" s="32"/>
      <c r="B847" s="32"/>
      <c r="C847" s="32"/>
      <c r="D847" s="32"/>
      <c r="E847" s="34" t="str">
        <f aca="false">IF($B847="","",IF($B847="OUT","Liters",IFERROR(INDEX(Setup!$F$3:$F$24,MATCH($C847,Setup!$A$3:$A$24,0)),"")))</f>
        <v/>
      </c>
      <c r="F847" s="28" t="str">
        <f aca="false">IF(OR($D847="",$E847=""),"",IFERROR($D847*INDEX(Setup!$B$27:$B$44,MATCH($E847,Setup!$A$27:$A$44,0)),"TBD"))</f>
        <v/>
      </c>
      <c r="G847" s="32"/>
      <c r="H847" s="32"/>
      <c r="I847" s="32"/>
      <c r="J847" s="32"/>
      <c r="K847" s="35"/>
      <c r="L847" s="32"/>
      <c r="M847" s="32"/>
    </row>
    <row r="848" customFormat="false" ht="15" hidden="false" customHeight="true" outlineLevel="0" collapsed="false">
      <c r="A848" s="32"/>
      <c r="B848" s="32"/>
      <c r="C848" s="32"/>
      <c r="D848" s="32"/>
      <c r="E848" s="34" t="str">
        <f aca="false">IF($B848="","",IF($B848="OUT","Liters",IFERROR(INDEX(Setup!$F$3:$F$24,MATCH($C848,Setup!$A$3:$A$24,0)),"")))</f>
        <v/>
      </c>
      <c r="F848" s="28" t="str">
        <f aca="false">IF(OR($D848="",$E848=""),"",IFERROR($D848*INDEX(Setup!$B$27:$B$44,MATCH($E848,Setup!$A$27:$A$44,0)),"TBD"))</f>
        <v/>
      </c>
      <c r="G848" s="32"/>
      <c r="H848" s="32"/>
      <c r="I848" s="32"/>
      <c r="J848" s="32"/>
      <c r="K848" s="35"/>
      <c r="L848" s="32"/>
      <c r="M848" s="32"/>
    </row>
    <row r="849" customFormat="false" ht="15" hidden="false" customHeight="true" outlineLevel="0" collapsed="false">
      <c r="A849" s="32"/>
      <c r="B849" s="32"/>
      <c r="C849" s="32"/>
      <c r="D849" s="32"/>
      <c r="E849" s="34" t="str">
        <f aca="false">IF($B849="","",IF($B849="OUT","Liters",IFERROR(INDEX(Setup!$F$3:$F$24,MATCH($C849,Setup!$A$3:$A$24,0)),"")))</f>
        <v/>
      </c>
      <c r="F849" s="28" t="str">
        <f aca="false">IF(OR($D849="",$E849=""),"",IFERROR($D849*INDEX(Setup!$B$27:$B$44,MATCH($E849,Setup!$A$27:$A$44,0)),"TBD"))</f>
        <v/>
      </c>
      <c r="G849" s="32"/>
      <c r="H849" s="32"/>
      <c r="I849" s="32"/>
      <c r="J849" s="32"/>
      <c r="K849" s="35"/>
      <c r="L849" s="32"/>
      <c r="M849" s="32"/>
    </row>
    <row r="850" customFormat="false" ht="15" hidden="false" customHeight="true" outlineLevel="0" collapsed="false">
      <c r="A850" s="32"/>
      <c r="B850" s="32"/>
      <c r="C850" s="32"/>
      <c r="D850" s="32"/>
      <c r="E850" s="34" t="str">
        <f aca="false">IF($B850="","",IF($B850="OUT","Liters",IFERROR(INDEX(Setup!$F$3:$F$24,MATCH($C850,Setup!$A$3:$A$24,0)),"")))</f>
        <v/>
      </c>
      <c r="F850" s="28" t="str">
        <f aca="false">IF(OR($D850="",$E850=""),"",IFERROR($D850*INDEX(Setup!$B$27:$B$44,MATCH($E850,Setup!$A$27:$A$44,0)),"TBD"))</f>
        <v/>
      </c>
      <c r="G850" s="32"/>
      <c r="H850" s="32"/>
      <c r="I850" s="32"/>
      <c r="J850" s="32"/>
      <c r="K850" s="35"/>
      <c r="L850" s="32"/>
      <c r="M850" s="32"/>
    </row>
    <row r="851" customFormat="false" ht="15" hidden="false" customHeight="true" outlineLevel="0" collapsed="false">
      <c r="A851" s="32"/>
      <c r="B851" s="32"/>
      <c r="C851" s="32"/>
      <c r="D851" s="32"/>
      <c r="E851" s="34" t="str">
        <f aca="false">IF($B851="","",IF($B851="OUT","Liters",IFERROR(INDEX(Setup!$F$3:$F$24,MATCH($C851,Setup!$A$3:$A$24,0)),"")))</f>
        <v/>
      </c>
      <c r="F851" s="28" t="str">
        <f aca="false">IF(OR($D851="",$E851=""),"",IFERROR($D851*INDEX(Setup!$B$27:$B$44,MATCH($E851,Setup!$A$27:$A$44,0)),"TBD"))</f>
        <v/>
      </c>
      <c r="G851" s="32"/>
      <c r="H851" s="32"/>
      <c r="I851" s="32"/>
      <c r="J851" s="32"/>
      <c r="K851" s="35"/>
      <c r="L851" s="32"/>
      <c r="M851" s="32"/>
    </row>
    <row r="852" customFormat="false" ht="15" hidden="false" customHeight="true" outlineLevel="0" collapsed="false">
      <c r="A852" s="32"/>
      <c r="B852" s="32"/>
      <c r="C852" s="32"/>
      <c r="D852" s="32"/>
      <c r="E852" s="34" t="str">
        <f aca="false">IF($B852="","",IF($B852="OUT","Liters",IFERROR(INDEX(Setup!$F$3:$F$24,MATCH($C852,Setup!$A$3:$A$24,0)),"")))</f>
        <v/>
      </c>
      <c r="F852" s="28" t="str">
        <f aca="false">IF(OR($D852="",$E852=""),"",IFERROR($D852*INDEX(Setup!$B$27:$B$44,MATCH($E852,Setup!$A$27:$A$44,0)),"TBD"))</f>
        <v/>
      </c>
      <c r="G852" s="32"/>
      <c r="H852" s="32"/>
      <c r="I852" s="32"/>
      <c r="J852" s="32"/>
      <c r="K852" s="35"/>
      <c r="L852" s="32"/>
      <c r="M852" s="32"/>
    </row>
    <row r="853" customFormat="false" ht="15" hidden="false" customHeight="true" outlineLevel="0" collapsed="false">
      <c r="A853" s="32"/>
      <c r="B853" s="32"/>
      <c r="C853" s="32"/>
      <c r="D853" s="32"/>
      <c r="E853" s="34" t="str">
        <f aca="false">IF($B853="","",IF($B853="OUT","Liters",IFERROR(INDEX(Setup!$F$3:$F$24,MATCH($C853,Setup!$A$3:$A$24,0)),"")))</f>
        <v/>
      </c>
      <c r="F853" s="28" t="str">
        <f aca="false">IF(OR($D853="",$E853=""),"",IFERROR($D853*INDEX(Setup!$B$27:$B$44,MATCH($E853,Setup!$A$27:$A$44,0)),"TBD"))</f>
        <v/>
      </c>
      <c r="G853" s="32"/>
      <c r="H853" s="32"/>
      <c r="I853" s="32"/>
      <c r="J853" s="32"/>
      <c r="K853" s="35"/>
      <c r="L853" s="32"/>
      <c r="M853" s="32"/>
    </row>
    <row r="854" customFormat="false" ht="15" hidden="false" customHeight="true" outlineLevel="0" collapsed="false">
      <c r="A854" s="32"/>
      <c r="B854" s="32"/>
      <c r="C854" s="32"/>
      <c r="D854" s="32"/>
      <c r="E854" s="34" t="str">
        <f aca="false">IF($B854="","",IF($B854="OUT","Liters",IFERROR(INDEX(Setup!$F$3:$F$24,MATCH($C854,Setup!$A$3:$A$24,0)),"")))</f>
        <v/>
      </c>
      <c r="F854" s="28" t="str">
        <f aca="false">IF(OR($D854="",$E854=""),"",IFERROR($D854*INDEX(Setup!$B$27:$B$44,MATCH($E854,Setup!$A$27:$A$44,0)),"TBD"))</f>
        <v/>
      </c>
      <c r="G854" s="32"/>
      <c r="H854" s="32"/>
      <c r="I854" s="32"/>
      <c r="J854" s="32"/>
      <c r="K854" s="35"/>
      <c r="L854" s="32"/>
      <c r="M854" s="32"/>
    </row>
    <row r="855" customFormat="false" ht="15" hidden="false" customHeight="true" outlineLevel="0" collapsed="false">
      <c r="A855" s="32"/>
      <c r="B855" s="32"/>
      <c r="C855" s="32"/>
      <c r="D855" s="32"/>
      <c r="E855" s="34" t="str">
        <f aca="false">IF($B855="","",IF($B855="OUT","Liters",IFERROR(INDEX(Setup!$F$3:$F$24,MATCH($C855,Setup!$A$3:$A$24,0)),"")))</f>
        <v/>
      </c>
      <c r="F855" s="28" t="str">
        <f aca="false">IF(OR($D855="",$E855=""),"",IFERROR($D855*INDEX(Setup!$B$27:$B$44,MATCH($E855,Setup!$A$27:$A$44,0)),"TBD"))</f>
        <v/>
      </c>
      <c r="G855" s="32"/>
      <c r="H855" s="32"/>
      <c r="I855" s="32"/>
      <c r="J855" s="32"/>
      <c r="K855" s="35"/>
      <c r="L855" s="32"/>
      <c r="M855" s="32"/>
    </row>
    <row r="856" customFormat="false" ht="15" hidden="false" customHeight="true" outlineLevel="0" collapsed="false">
      <c r="A856" s="32"/>
      <c r="B856" s="32"/>
      <c r="C856" s="32"/>
      <c r="D856" s="32"/>
      <c r="E856" s="34" t="str">
        <f aca="false">IF($B856="","",IF($B856="OUT","Liters",IFERROR(INDEX(Setup!$F$3:$F$24,MATCH($C856,Setup!$A$3:$A$24,0)),"")))</f>
        <v/>
      </c>
      <c r="F856" s="28" t="str">
        <f aca="false">IF(OR($D856="",$E856=""),"",IFERROR($D856*INDEX(Setup!$B$27:$B$44,MATCH($E856,Setup!$A$27:$A$44,0)),"TBD"))</f>
        <v/>
      </c>
      <c r="G856" s="32"/>
      <c r="H856" s="32"/>
      <c r="I856" s="32"/>
      <c r="J856" s="32"/>
      <c r="K856" s="35"/>
      <c r="L856" s="32"/>
      <c r="M856" s="32"/>
    </row>
    <row r="857" customFormat="false" ht="15" hidden="false" customHeight="true" outlineLevel="0" collapsed="false">
      <c r="A857" s="32"/>
      <c r="B857" s="32"/>
      <c r="C857" s="32"/>
      <c r="D857" s="32"/>
      <c r="E857" s="34" t="str">
        <f aca="false">IF($B857="","",IF($B857="OUT","Liters",IFERROR(INDEX(Setup!$F$3:$F$24,MATCH($C857,Setup!$A$3:$A$24,0)),"")))</f>
        <v/>
      </c>
      <c r="F857" s="28" t="str">
        <f aca="false">IF(OR($D857="",$E857=""),"",IFERROR($D857*INDEX(Setup!$B$27:$B$44,MATCH($E857,Setup!$A$27:$A$44,0)),"TBD"))</f>
        <v/>
      </c>
      <c r="G857" s="32"/>
      <c r="H857" s="32"/>
      <c r="I857" s="32"/>
      <c r="J857" s="32"/>
      <c r="K857" s="35"/>
      <c r="L857" s="32"/>
      <c r="M857" s="32"/>
    </row>
    <row r="858" customFormat="false" ht="15" hidden="false" customHeight="true" outlineLevel="0" collapsed="false">
      <c r="A858" s="32"/>
      <c r="B858" s="32"/>
      <c r="C858" s="32"/>
      <c r="D858" s="32"/>
      <c r="E858" s="34" t="str">
        <f aca="false">IF($B858="","",IF($B858="OUT","Liters",IFERROR(INDEX(Setup!$F$3:$F$24,MATCH($C858,Setup!$A$3:$A$24,0)),"")))</f>
        <v/>
      </c>
      <c r="F858" s="28" t="str">
        <f aca="false">IF(OR($D858="",$E858=""),"",IFERROR($D858*INDEX(Setup!$B$27:$B$44,MATCH($E858,Setup!$A$27:$A$44,0)),"TBD"))</f>
        <v/>
      </c>
      <c r="G858" s="32"/>
      <c r="H858" s="32"/>
      <c r="I858" s="32"/>
      <c r="J858" s="32"/>
      <c r="K858" s="35"/>
      <c r="L858" s="32"/>
      <c r="M858" s="32"/>
    </row>
    <row r="859" customFormat="false" ht="15" hidden="false" customHeight="true" outlineLevel="0" collapsed="false">
      <c r="A859" s="32"/>
      <c r="B859" s="32"/>
      <c r="C859" s="32"/>
      <c r="D859" s="32"/>
      <c r="E859" s="34" t="str">
        <f aca="false">IF($B859="","",IF($B859="OUT","Liters",IFERROR(INDEX(Setup!$F$3:$F$24,MATCH($C859,Setup!$A$3:$A$24,0)),"")))</f>
        <v/>
      </c>
      <c r="F859" s="28" t="str">
        <f aca="false">IF(OR($D859="",$E859=""),"",IFERROR($D859*INDEX(Setup!$B$27:$B$44,MATCH($E859,Setup!$A$27:$A$44,0)),"TBD"))</f>
        <v/>
      </c>
      <c r="G859" s="32"/>
      <c r="H859" s="32"/>
      <c r="I859" s="32"/>
      <c r="J859" s="32"/>
      <c r="K859" s="35"/>
      <c r="L859" s="32"/>
      <c r="M859" s="32"/>
    </row>
    <row r="860" customFormat="false" ht="15" hidden="false" customHeight="true" outlineLevel="0" collapsed="false">
      <c r="A860" s="32"/>
      <c r="B860" s="32"/>
      <c r="C860" s="32"/>
      <c r="D860" s="32"/>
      <c r="E860" s="34" t="str">
        <f aca="false">IF($B860="","",IF($B860="OUT","Liters",IFERROR(INDEX(Setup!$F$3:$F$24,MATCH($C860,Setup!$A$3:$A$24,0)),"")))</f>
        <v/>
      </c>
      <c r="F860" s="28" t="str">
        <f aca="false">IF(OR($D860="",$E860=""),"",IFERROR($D860*INDEX(Setup!$B$27:$B$44,MATCH($E860,Setup!$A$27:$A$44,0)),"TBD"))</f>
        <v/>
      </c>
      <c r="G860" s="32"/>
      <c r="H860" s="32"/>
      <c r="I860" s="32"/>
      <c r="J860" s="32"/>
      <c r="K860" s="35"/>
      <c r="L860" s="32"/>
      <c r="M860" s="32"/>
    </row>
    <row r="861" customFormat="false" ht="15" hidden="false" customHeight="true" outlineLevel="0" collapsed="false">
      <c r="A861" s="32"/>
      <c r="B861" s="32"/>
      <c r="C861" s="32"/>
      <c r="D861" s="32"/>
      <c r="E861" s="34" t="str">
        <f aca="false">IF($B861="","",IF($B861="OUT","Liters",IFERROR(INDEX(Setup!$F$3:$F$24,MATCH($C861,Setup!$A$3:$A$24,0)),"")))</f>
        <v/>
      </c>
      <c r="F861" s="28" t="str">
        <f aca="false">IF(OR($D861="",$E861=""),"",IFERROR($D861*INDEX(Setup!$B$27:$B$44,MATCH($E861,Setup!$A$27:$A$44,0)),"TBD"))</f>
        <v/>
      </c>
      <c r="G861" s="32"/>
      <c r="H861" s="32"/>
      <c r="I861" s="32"/>
      <c r="J861" s="32"/>
      <c r="K861" s="35"/>
      <c r="L861" s="32"/>
      <c r="M861" s="32"/>
    </row>
    <row r="862" customFormat="false" ht="15" hidden="false" customHeight="true" outlineLevel="0" collapsed="false">
      <c r="A862" s="32"/>
      <c r="B862" s="32"/>
      <c r="C862" s="32"/>
      <c r="D862" s="32"/>
      <c r="E862" s="34" t="str">
        <f aca="false">IF($B862="","",IF($B862="OUT","Liters",IFERROR(INDEX(Setup!$F$3:$F$24,MATCH($C862,Setup!$A$3:$A$24,0)),"")))</f>
        <v/>
      </c>
      <c r="F862" s="28" t="str">
        <f aca="false">IF(OR($D862="",$E862=""),"",IFERROR($D862*INDEX(Setup!$B$27:$B$44,MATCH($E862,Setup!$A$27:$A$44,0)),"TBD"))</f>
        <v/>
      </c>
      <c r="G862" s="32"/>
      <c r="H862" s="32"/>
      <c r="I862" s="32"/>
      <c r="J862" s="32"/>
      <c r="K862" s="35"/>
      <c r="L862" s="32"/>
      <c r="M862" s="32"/>
    </row>
    <row r="863" customFormat="false" ht="15" hidden="false" customHeight="true" outlineLevel="0" collapsed="false">
      <c r="A863" s="32"/>
      <c r="B863" s="32"/>
      <c r="C863" s="32"/>
      <c r="D863" s="32"/>
      <c r="E863" s="34" t="str">
        <f aca="false">IF($B863="","",IF($B863="OUT","Liters",IFERROR(INDEX(Setup!$F$3:$F$24,MATCH($C863,Setup!$A$3:$A$24,0)),"")))</f>
        <v/>
      </c>
      <c r="F863" s="28" t="str">
        <f aca="false">IF(OR($D863="",$E863=""),"",IFERROR($D863*INDEX(Setup!$B$27:$B$44,MATCH($E863,Setup!$A$27:$A$44,0)),"TBD"))</f>
        <v/>
      </c>
      <c r="G863" s="32"/>
      <c r="H863" s="32"/>
      <c r="I863" s="32"/>
      <c r="J863" s="32"/>
      <c r="K863" s="35"/>
      <c r="L863" s="32"/>
      <c r="M863" s="32"/>
    </row>
    <row r="864" customFormat="false" ht="15" hidden="false" customHeight="true" outlineLevel="0" collapsed="false">
      <c r="A864" s="32"/>
      <c r="B864" s="32"/>
      <c r="C864" s="32"/>
      <c r="D864" s="32"/>
      <c r="E864" s="34" t="str">
        <f aca="false">IF($B864="","",IF($B864="OUT","Liters",IFERROR(INDEX(Setup!$F$3:$F$24,MATCH($C864,Setup!$A$3:$A$24,0)),"")))</f>
        <v/>
      </c>
      <c r="F864" s="28" t="str">
        <f aca="false">IF(OR($D864="",$E864=""),"",IFERROR($D864*INDEX(Setup!$B$27:$B$44,MATCH($E864,Setup!$A$27:$A$44,0)),"TBD"))</f>
        <v/>
      </c>
      <c r="G864" s="32"/>
      <c r="H864" s="32"/>
      <c r="I864" s="32"/>
      <c r="J864" s="32"/>
      <c r="K864" s="35"/>
      <c r="L864" s="32"/>
      <c r="M864" s="32"/>
    </row>
    <row r="865" customFormat="false" ht="15" hidden="false" customHeight="true" outlineLevel="0" collapsed="false">
      <c r="A865" s="32"/>
      <c r="B865" s="32"/>
      <c r="C865" s="32"/>
      <c r="D865" s="32"/>
      <c r="E865" s="34" t="str">
        <f aca="false">IF($B865="","",IF($B865="OUT","Liters",IFERROR(INDEX(Setup!$F$3:$F$24,MATCH($C865,Setup!$A$3:$A$24,0)),"")))</f>
        <v/>
      </c>
      <c r="F865" s="28" t="str">
        <f aca="false">IF(OR($D865="",$E865=""),"",IFERROR($D865*INDEX(Setup!$B$27:$B$44,MATCH($E865,Setup!$A$27:$A$44,0)),"TBD"))</f>
        <v/>
      </c>
      <c r="G865" s="32"/>
      <c r="H865" s="32"/>
      <c r="I865" s="32"/>
      <c r="J865" s="32"/>
      <c r="K865" s="35"/>
      <c r="L865" s="32"/>
      <c r="M865" s="32"/>
    </row>
    <row r="866" customFormat="false" ht="15" hidden="false" customHeight="true" outlineLevel="0" collapsed="false">
      <c r="A866" s="32"/>
      <c r="B866" s="32"/>
      <c r="C866" s="32"/>
      <c r="D866" s="32"/>
      <c r="E866" s="34" t="str">
        <f aca="false">IF($B866="","",IF($B866="OUT","Liters",IFERROR(INDEX(Setup!$F$3:$F$24,MATCH($C866,Setup!$A$3:$A$24,0)),"")))</f>
        <v/>
      </c>
      <c r="F866" s="28" t="str">
        <f aca="false">IF(OR($D866="",$E866=""),"",IFERROR($D866*INDEX(Setup!$B$27:$B$44,MATCH($E866,Setup!$A$27:$A$44,0)),"TBD"))</f>
        <v/>
      </c>
      <c r="G866" s="32"/>
      <c r="H866" s="32"/>
      <c r="I866" s="32"/>
      <c r="J866" s="32"/>
      <c r="K866" s="35"/>
      <c r="L866" s="32"/>
      <c r="M866" s="32"/>
    </row>
    <row r="867" customFormat="false" ht="15" hidden="false" customHeight="true" outlineLevel="0" collapsed="false">
      <c r="A867" s="32"/>
      <c r="B867" s="32"/>
      <c r="C867" s="32"/>
      <c r="D867" s="32"/>
      <c r="E867" s="34" t="str">
        <f aca="false">IF($B867="","",IF($B867="OUT","Liters",IFERROR(INDEX(Setup!$F$3:$F$24,MATCH($C867,Setup!$A$3:$A$24,0)),"")))</f>
        <v/>
      </c>
      <c r="F867" s="28" t="str">
        <f aca="false">IF(OR($D867="",$E867=""),"",IFERROR($D867*INDEX(Setup!$B$27:$B$44,MATCH($E867,Setup!$A$27:$A$44,0)),"TBD"))</f>
        <v/>
      </c>
      <c r="G867" s="32"/>
      <c r="H867" s="32"/>
      <c r="I867" s="32"/>
      <c r="J867" s="32"/>
      <c r="K867" s="35"/>
      <c r="L867" s="32"/>
      <c r="M867" s="32"/>
    </row>
    <row r="868" customFormat="false" ht="15" hidden="false" customHeight="true" outlineLevel="0" collapsed="false">
      <c r="A868" s="32"/>
      <c r="B868" s="32"/>
      <c r="C868" s="32"/>
      <c r="D868" s="32"/>
      <c r="E868" s="34" t="str">
        <f aca="false">IF($B868="","",IF($B868="OUT","Liters",IFERROR(INDEX(Setup!$F$3:$F$24,MATCH($C868,Setup!$A$3:$A$24,0)),"")))</f>
        <v/>
      </c>
      <c r="F868" s="28" t="str">
        <f aca="false">IF(OR($D868="",$E868=""),"",IFERROR($D868*INDEX(Setup!$B$27:$B$44,MATCH($E868,Setup!$A$27:$A$44,0)),"TBD"))</f>
        <v/>
      </c>
      <c r="G868" s="32"/>
      <c r="H868" s="32"/>
      <c r="I868" s="32"/>
      <c r="J868" s="32"/>
      <c r="K868" s="35"/>
      <c r="L868" s="32"/>
      <c r="M868" s="32"/>
    </row>
    <row r="869" customFormat="false" ht="15" hidden="false" customHeight="true" outlineLevel="0" collapsed="false">
      <c r="A869" s="32"/>
      <c r="B869" s="32"/>
      <c r="C869" s="32"/>
      <c r="D869" s="32"/>
      <c r="E869" s="34" t="str">
        <f aca="false">IF($B869="","",IF($B869="OUT","Liters",IFERROR(INDEX(Setup!$F$3:$F$24,MATCH($C869,Setup!$A$3:$A$24,0)),"")))</f>
        <v/>
      </c>
      <c r="F869" s="28" t="str">
        <f aca="false">IF(OR($D869="",$E869=""),"",IFERROR($D869*INDEX(Setup!$B$27:$B$44,MATCH($E869,Setup!$A$27:$A$44,0)),"TBD"))</f>
        <v/>
      </c>
      <c r="G869" s="32"/>
      <c r="H869" s="32"/>
      <c r="I869" s="32"/>
      <c r="J869" s="32"/>
      <c r="K869" s="35"/>
      <c r="L869" s="32"/>
      <c r="M869" s="32"/>
    </row>
    <row r="870" customFormat="false" ht="15" hidden="false" customHeight="true" outlineLevel="0" collapsed="false">
      <c r="A870" s="32"/>
      <c r="B870" s="32"/>
      <c r="C870" s="32"/>
      <c r="D870" s="32"/>
      <c r="E870" s="34" t="str">
        <f aca="false">IF($B870="","",IF($B870="OUT","Liters",IFERROR(INDEX(Setup!$F$3:$F$24,MATCH($C870,Setup!$A$3:$A$24,0)),"")))</f>
        <v/>
      </c>
      <c r="F870" s="28" t="str">
        <f aca="false">IF(OR($D870="",$E870=""),"",IFERROR($D870*INDEX(Setup!$B$27:$B$44,MATCH($E870,Setup!$A$27:$A$44,0)),"TBD"))</f>
        <v/>
      </c>
      <c r="G870" s="32"/>
      <c r="H870" s="32"/>
      <c r="I870" s="32"/>
      <c r="J870" s="32"/>
      <c r="K870" s="35"/>
      <c r="L870" s="32"/>
      <c r="M870" s="32"/>
    </row>
    <row r="871" customFormat="false" ht="15" hidden="false" customHeight="true" outlineLevel="0" collapsed="false">
      <c r="A871" s="32"/>
      <c r="B871" s="32"/>
      <c r="C871" s="32"/>
      <c r="D871" s="32"/>
      <c r="E871" s="34" t="str">
        <f aca="false">IF($B871="","",IF($B871="OUT","Liters",IFERROR(INDEX(Setup!$F$3:$F$24,MATCH($C871,Setup!$A$3:$A$24,0)),"")))</f>
        <v/>
      </c>
      <c r="F871" s="28" t="str">
        <f aca="false">IF(OR($D871="",$E871=""),"",IFERROR($D871*INDEX(Setup!$B$27:$B$44,MATCH($E871,Setup!$A$27:$A$44,0)),"TBD"))</f>
        <v/>
      </c>
      <c r="G871" s="32"/>
      <c r="H871" s="32"/>
      <c r="I871" s="32"/>
      <c r="J871" s="32"/>
      <c r="K871" s="35"/>
      <c r="L871" s="32"/>
      <c r="M871" s="32"/>
    </row>
    <row r="872" customFormat="false" ht="15" hidden="false" customHeight="true" outlineLevel="0" collapsed="false">
      <c r="A872" s="32"/>
      <c r="B872" s="32"/>
      <c r="C872" s="32"/>
      <c r="D872" s="32"/>
      <c r="E872" s="34" t="str">
        <f aca="false">IF($B872="","",IF($B872="OUT","Liters",IFERROR(INDEX(Setup!$F$3:$F$24,MATCH($C872,Setup!$A$3:$A$24,0)),"")))</f>
        <v/>
      </c>
      <c r="F872" s="28" t="str">
        <f aca="false">IF(OR($D872="",$E872=""),"",IFERROR($D872*INDEX(Setup!$B$27:$B$44,MATCH($E872,Setup!$A$27:$A$44,0)),"TBD"))</f>
        <v/>
      </c>
      <c r="G872" s="32"/>
      <c r="H872" s="32"/>
      <c r="I872" s="32"/>
      <c r="J872" s="32"/>
      <c r="K872" s="35"/>
      <c r="L872" s="32"/>
      <c r="M872" s="32"/>
    </row>
    <row r="873" customFormat="false" ht="15" hidden="false" customHeight="true" outlineLevel="0" collapsed="false">
      <c r="A873" s="32"/>
      <c r="B873" s="32"/>
      <c r="C873" s="32"/>
      <c r="D873" s="32"/>
      <c r="E873" s="34" t="str">
        <f aca="false">IF($B873="","",IF($B873="OUT","Liters",IFERROR(INDEX(Setup!$F$3:$F$24,MATCH($C873,Setup!$A$3:$A$24,0)),"")))</f>
        <v/>
      </c>
      <c r="F873" s="28" t="str">
        <f aca="false">IF(OR($D873="",$E873=""),"",IFERROR($D873*INDEX(Setup!$B$27:$B$44,MATCH($E873,Setup!$A$27:$A$44,0)),"TBD"))</f>
        <v/>
      </c>
      <c r="G873" s="32"/>
      <c r="H873" s="32"/>
      <c r="I873" s="32"/>
      <c r="J873" s="32"/>
      <c r="K873" s="35"/>
      <c r="L873" s="32"/>
      <c r="M873" s="32"/>
    </row>
    <row r="874" customFormat="false" ht="15" hidden="false" customHeight="true" outlineLevel="0" collapsed="false">
      <c r="A874" s="32"/>
      <c r="B874" s="32"/>
      <c r="C874" s="32"/>
      <c r="D874" s="32"/>
      <c r="E874" s="34" t="str">
        <f aca="false">IF($B874="","",IF($B874="OUT","Liters",IFERROR(INDEX(Setup!$F$3:$F$24,MATCH($C874,Setup!$A$3:$A$24,0)),"")))</f>
        <v/>
      </c>
      <c r="F874" s="28" t="str">
        <f aca="false">IF(OR($D874="",$E874=""),"",IFERROR($D874*INDEX(Setup!$B$27:$B$44,MATCH($E874,Setup!$A$27:$A$44,0)),"TBD"))</f>
        <v/>
      </c>
      <c r="G874" s="32"/>
      <c r="H874" s="32"/>
      <c r="I874" s="32"/>
      <c r="J874" s="32"/>
      <c r="K874" s="35"/>
      <c r="L874" s="32"/>
      <c r="M874" s="32"/>
    </row>
    <row r="875" customFormat="false" ht="15" hidden="false" customHeight="true" outlineLevel="0" collapsed="false">
      <c r="A875" s="32"/>
      <c r="B875" s="32"/>
      <c r="C875" s="32"/>
      <c r="D875" s="32"/>
      <c r="E875" s="34" t="str">
        <f aca="false">IF($B875="","",IF($B875="OUT","Liters",IFERROR(INDEX(Setup!$F$3:$F$24,MATCH($C875,Setup!$A$3:$A$24,0)),"")))</f>
        <v/>
      </c>
      <c r="F875" s="28" t="str">
        <f aca="false">IF(OR($D875="",$E875=""),"",IFERROR($D875*INDEX(Setup!$B$27:$B$44,MATCH($E875,Setup!$A$27:$A$44,0)),"TBD"))</f>
        <v/>
      </c>
      <c r="G875" s="32"/>
      <c r="H875" s="32"/>
      <c r="I875" s="32"/>
      <c r="J875" s="32"/>
      <c r="K875" s="35"/>
      <c r="L875" s="32"/>
      <c r="M875" s="32"/>
    </row>
    <row r="876" customFormat="false" ht="15" hidden="false" customHeight="true" outlineLevel="0" collapsed="false">
      <c r="A876" s="32"/>
      <c r="B876" s="32"/>
      <c r="C876" s="32"/>
      <c r="D876" s="32"/>
      <c r="E876" s="34" t="str">
        <f aca="false">IF($B876="","",IF($B876="OUT","Liters",IFERROR(INDEX(Setup!$F$3:$F$24,MATCH($C876,Setup!$A$3:$A$24,0)),"")))</f>
        <v/>
      </c>
      <c r="F876" s="28" t="str">
        <f aca="false">IF(OR($D876="",$E876=""),"",IFERROR($D876*INDEX(Setup!$B$27:$B$44,MATCH($E876,Setup!$A$27:$A$44,0)),"TBD"))</f>
        <v/>
      </c>
      <c r="G876" s="32"/>
      <c r="H876" s="32"/>
      <c r="I876" s="32"/>
      <c r="J876" s="32"/>
      <c r="K876" s="35"/>
      <c r="L876" s="32"/>
      <c r="M876" s="32"/>
    </row>
    <row r="877" customFormat="false" ht="15" hidden="false" customHeight="true" outlineLevel="0" collapsed="false">
      <c r="A877" s="32"/>
      <c r="B877" s="32"/>
      <c r="C877" s="32"/>
      <c r="D877" s="32"/>
      <c r="E877" s="34" t="str">
        <f aca="false">IF($B877="","",IF($B877="OUT","Liters",IFERROR(INDEX(Setup!$F$3:$F$24,MATCH($C877,Setup!$A$3:$A$24,0)),"")))</f>
        <v/>
      </c>
      <c r="F877" s="28" t="str">
        <f aca="false">IF(OR($D877="",$E877=""),"",IFERROR($D877*INDEX(Setup!$B$27:$B$44,MATCH($E877,Setup!$A$27:$A$44,0)),"TBD"))</f>
        <v/>
      </c>
      <c r="G877" s="32"/>
      <c r="H877" s="32"/>
      <c r="I877" s="32"/>
      <c r="J877" s="32"/>
      <c r="K877" s="35"/>
      <c r="L877" s="32"/>
      <c r="M877" s="32"/>
    </row>
    <row r="878" customFormat="false" ht="15" hidden="false" customHeight="true" outlineLevel="0" collapsed="false">
      <c r="A878" s="32"/>
      <c r="B878" s="32"/>
      <c r="C878" s="32"/>
      <c r="D878" s="32"/>
      <c r="E878" s="34" t="str">
        <f aca="false">IF($B878="","",IF($B878="OUT","Liters",IFERROR(INDEX(Setup!$F$3:$F$24,MATCH($C878,Setup!$A$3:$A$24,0)),"")))</f>
        <v/>
      </c>
      <c r="F878" s="28" t="str">
        <f aca="false">IF(OR($D878="",$E878=""),"",IFERROR($D878*INDEX(Setup!$B$27:$B$44,MATCH($E878,Setup!$A$27:$A$44,0)),"TBD"))</f>
        <v/>
      </c>
      <c r="G878" s="32"/>
      <c r="H878" s="32"/>
      <c r="I878" s="32"/>
      <c r="J878" s="32"/>
      <c r="K878" s="35"/>
      <c r="L878" s="32"/>
      <c r="M878" s="32"/>
    </row>
    <row r="879" customFormat="false" ht="15" hidden="false" customHeight="true" outlineLevel="0" collapsed="false">
      <c r="A879" s="32"/>
      <c r="B879" s="32"/>
      <c r="C879" s="32"/>
      <c r="D879" s="32"/>
      <c r="E879" s="34" t="str">
        <f aca="false">IF($B879="","",IF($B879="OUT","Liters",IFERROR(INDEX(Setup!$F$3:$F$24,MATCH($C879,Setup!$A$3:$A$24,0)),"")))</f>
        <v/>
      </c>
      <c r="F879" s="28" t="str">
        <f aca="false">IF(OR($D879="",$E879=""),"",IFERROR($D879*INDEX(Setup!$B$27:$B$44,MATCH($E879,Setup!$A$27:$A$44,0)),"TBD"))</f>
        <v/>
      </c>
      <c r="G879" s="32"/>
      <c r="H879" s="32"/>
      <c r="I879" s="32"/>
      <c r="J879" s="32"/>
      <c r="K879" s="35"/>
      <c r="L879" s="32"/>
      <c r="M879" s="32"/>
    </row>
    <row r="880" customFormat="false" ht="15" hidden="false" customHeight="true" outlineLevel="0" collapsed="false">
      <c r="A880" s="32"/>
      <c r="B880" s="32"/>
      <c r="C880" s="32"/>
      <c r="D880" s="32"/>
      <c r="E880" s="34" t="str">
        <f aca="false">IF($B880="","",IF($B880="OUT","Liters",IFERROR(INDEX(Setup!$F$3:$F$24,MATCH($C880,Setup!$A$3:$A$24,0)),"")))</f>
        <v/>
      </c>
      <c r="F880" s="28" t="str">
        <f aca="false">IF(OR($D880="",$E880=""),"",IFERROR($D880*INDEX(Setup!$B$27:$B$44,MATCH($E880,Setup!$A$27:$A$44,0)),"TBD"))</f>
        <v/>
      </c>
      <c r="G880" s="32"/>
      <c r="H880" s="32"/>
      <c r="I880" s="32"/>
      <c r="J880" s="32"/>
      <c r="K880" s="35"/>
      <c r="L880" s="32"/>
      <c r="M880" s="32"/>
    </row>
    <row r="881" customFormat="false" ht="15" hidden="false" customHeight="true" outlineLevel="0" collapsed="false">
      <c r="A881" s="32"/>
      <c r="B881" s="32"/>
      <c r="C881" s="32"/>
      <c r="D881" s="32"/>
      <c r="E881" s="34" t="str">
        <f aca="false">IF($B881="","",IF($B881="OUT","Liters",IFERROR(INDEX(Setup!$F$3:$F$24,MATCH($C881,Setup!$A$3:$A$24,0)),"")))</f>
        <v/>
      </c>
      <c r="F881" s="28" t="str">
        <f aca="false">IF(OR($D881="",$E881=""),"",IFERROR($D881*INDEX(Setup!$B$27:$B$44,MATCH($E881,Setup!$A$27:$A$44,0)),"TBD"))</f>
        <v/>
      </c>
      <c r="G881" s="32"/>
      <c r="H881" s="32"/>
      <c r="I881" s="32"/>
      <c r="J881" s="32"/>
      <c r="K881" s="35"/>
      <c r="L881" s="32"/>
      <c r="M881" s="32"/>
    </row>
    <row r="882" customFormat="false" ht="15" hidden="false" customHeight="true" outlineLevel="0" collapsed="false">
      <c r="A882" s="32"/>
      <c r="B882" s="32"/>
      <c r="C882" s="32"/>
      <c r="D882" s="32"/>
      <c r="E882" s="34" t="str">
        <f aca="false">IF($B882="","",IF($B882="OUT","Liters",IFERROR(INDEX(Setup!$F$3:$F$24,MATCH($C882,Setup!$A$3:$A$24,0)),"")))</f>
        <v/>
      </c>
      <c r="F882" s="28" t="str">
        <f aca="false">IF(OR($D882="",$E882=""),"",IFERROR($D882*INDEX(Setup!$B$27:$B$44,MATCH($E882,Setup!$A$27:$A$44,0)),"TBD"))</f>
        <v/>
      </c>
      <c r="G882" s="32"/>
      <c r="H882" s="32"/>
      <c r="I882" s="32"/>
      <c r="J882" s="32"/>
      <c r="K882" s="35"/>
      <c r="L882" s="32"/>
      <c r="M882" s="32"/>
    </row>
    <row r="883" customFormat="false" ht="15" hidden="false" customHeight="true" outlineLevel="0" collapsed="false">
      <c r="A883" s="32"/>
      <c r="B883" s="32"/>
      <c r="C883" s="32"/>
      <c r="D883" s="32"/>
      <c r="E883" s="34" t="str">
        <f aca="false">IF($B883="","",IF($B883="OUT","Liters",IFERROR(INDEX(Setup!$F$3:$F$24,MATCH($C883,Setup!$A$3:$A$24,0)),"")))</f>
        <v/>
      </c>
      <c r="F883" s="28" t="str">
        <f aca="false">IF(OR($D883="",$E883=""),"",IFERROR($D883*INDEX(Setup!$B$27:$B$44,MATCH($E883,Setup!$A$27:$A$44,0)),"TBD"))</f>
        <v/>
      </c>
      <c r="G883" s="32"/>
      <c r="H883" s="32"/>
      <c r="I883" s="32"/>
      <c r="J883" s="32"/>
      <c r="K883" s="35"/>
      <c r="L883" s="32"/>
      <c r="M883" s="32"/>
    </row>
    <row r="884" customFormat="false" ht="15" hidden="false" customHeight="true" outlineLevel="0" collapsed="false">
      <c r="A884" s="32"/>
      <c r="B884" s="32"/>
      <c r="C884" s="32"/>
      <c r="D884" s="32"/>
      <c r="E884" s="34" t="str">
        <f aca="false">IF($B884="","",IF($B884="OUT","Liters",IFERROR(INDEX(Setup!$F$3:$F$24,MATCH($C884,Setup!$A$3:$A$24,0)),"")))</f>
        <v/>
      </c>
      <c r="F884" s="28" t="str">
        <f aca="false">IF(OR($D884="",$E884=""),"",IFERROR($D884*INDEX(Setup!$B$27:$B$44,MATCH($E884,Setup!$A$27:$A$44,0)),"TBD"))</f>
        <v/>
      </c>
      <c r="G884" s="32"/>
      <c r="H884" s="32"/>
      <c r="I884" s="32"/>
      <c r="J884" s="32"/>
      <c r="K884" s="35"/>
      <c r="L884" s="32"/>
      <c r="M884" s="32"/>
    </row>
    <row r="885" customFormat="false" ht="15" hidden="false" customHeight="true" outlineLevel="0" collapsed="false">
      <c r="A885" s="32"/>
      <c r="B885" s="32"/>
      <c r="C885" s="32"/>
      <c r="D885" s="32"/>
      <c r="E885" s="34" t="str">
        <f aca="false">IF($B885="","",IF($B885="OUT","Liters",IFERROR(INDEX(Setup!$F$3:$F$24,MATCH($C885,Setup!$A$3:$A$24,0)),"")))</f>
        <v/>
      </c>
      <c r="F885" s="28" t="str">
        <f aca="false">IF(OR($D885="",$E885=""),"",IFERROR($D885*INDEX(Setup!$B$27:$B$44,MATCH($E885,Setup!$A$27:$A$44,0)),"TBD"))</f>
        <v/>
      </c>
      <c r="G885" s="32"/>
      <c r="H885" s="32"/>
      <c r="I885" s="32"/>
      <c r="J885" s="32"/>
      <c r="K885" s="35"/>
      <c r="L885" s="32"/>
      <c r="M885" s="32"/>
    </row>
    <row r="886" customFormat="false" ht="15" hidden="false" customHeight="true" outlineLevel="0" collapsed="false">
      <c r="A886" s="32"/>
      <c r="B886" s="32"/>
      <c r="C886" s="32"/>
      <c r="D886" s="32"/>
      <c r="E886" s="34" t="str">
        <f aca="false">IF($B886="","",IF($B886="OUT","Liters",IFERROR(INDEX(Setup!$F$3:$F$24,MATCH($C886,Setup!$A$3:$A$24,0)),"")))</f>
        <v/>
      </c>
      <c r="F886" s="28" t="str">
        <f aca="false">IF(OR($D886="",$E886=""),"",IFERROR($D886*INDEX(Setup!$B$27:$B$44,MATCH($E886,Setup!$A$27:$A$44,0)),"TBD"))</f>
        <v/>
      </c>
      <c r="G886" s="32"/>
      <c r="H886" s="32"/>
      <c r="I886" s="32"/>
      <c r="J886" s="32"/>
      <c r="K886" s="35"/>
      <c r="L886" s="32"/>
      <c r="M886" s="32"/>
    </row>
    <row r="887" customFormat="false" ht="15" hidden="false" customHeight="true" outlineLevel="0" collapsed="false">
      <c r="A887" s="32"/>
      <c r="B887" s="32"/>
      <c r="C887" s="32"/>
      <c r="D887" s="32"/>
      <c r="E887" s="34" t="str">
        <f aca="false">IF($B887="","",IF($B887="OUT","Liters",IFERROR(INDEX(Setup!$F$3:$F$24,MATCH($C887,Setup!$A$3:$A$24,0)),"")))</f>
        <v/>
      </c>
      <c r="F887" s="28" t="str">
        <f aca="false">IF(OR($D887="",$E887=""),"",IFERROR($D887*INDEX(Setup!$B$27:$B$44,MATCH($E887,Setup!$A$27:$A$44,0)),"TBD"))</f>
        <v/>
      </c>
      <c r="G887" s="32"/>
      <c r="H887" s="32"/>
      <c r="I887" s="32"/>
      <c r="J887" s="32"/>
      <c r="K887" s="35"/>
      <c r="L887" s="32"/>
      <c r="M887" s="32"/>
    </row>
    <row r="888" customFormat="false" ht="15" hidden="false" customHeight="true" outlineLevel="0" collapsed="false">
      <c r="A888" s="32"/>
      <c r="B888" s="32"/>
      <c r="C888" s="32"/>
      <c r="D888" s="32"/>
      <c r="E888" s="34" t="str">
        <f aca="false">IF($B888="","",IF($B888="OUT","Liters",IFERROR(INDEX(Setup!$F$3:$F$24,MATCH($C888,Setup!$A$3:$A$24,0)),"")))</f>
        <v/>
      </c>
      <c r="F888" s="28" t="str">
        <f aca="false">IF(OR($D888="",$E888=""),"",IFERROR($D888*INDEX(Setup!$B$27:$B$44,MATCH($E888,Setup!$A$27:$A$44,0)),"TBD"))</f>
        <v/>
      </c>
      <c r="G888" s="32"/>
      <c r="H888" s="32"/>
      <c r="I888" s="32"/>
      <c r="J888" s="32"/>
      <c r="K888" s="35"/>
      <c r="L888" s="32"/>
      <c r="M888" s="32"/>
    </row>
    <row r="889" customFormat="false" ht="15" hidden="false" customHeight="true" outlineLevel="0" collapsed="false">
      <c r="A889" s="32"/>
      <c r="B889" s="32"/>
      <c r="C889" s="32"/>
      <c r="D889" s="32"/>
      <c r="E889" s="34" t="str">
        <f aca="false">IF($B889="","",IF($B889="OUT","Liters",IFERROR(INDEX(Setup!$F$3:$F$24,MATCH($C889,Setup!$A$3:$A$24,0)),"")))</f>
        <v/>
      </c>
      <c r="F889" s="28" t="str">
        <f aca="false">IF(OR($D889="",$E889=""),"",IFERROR($D889*INDEX(Setup!$B$27:$B$44,MATCH($E889,Setup!$A$27:$A$44,0)),"TBD"))</f>
        <v/>
      </c>
      <c r="G889" s="32"/>
      <c r="H889" s="32"/>
      <c r="I889" s="32"/>
      <c r="J889" s="32"/>
      <c r="K889" s="35"/>
      <c r="L889" s="32"/>
      <c r="M889" s="32"/>
    </row>
    <row r="890" customFormat="false" ht="15" hidden="false" customHeight="true" outlineLevel="0" collapsed="false">
      <c r="A890" s="32"/>
      <c r="B890" s="32"/>
      <c r="C890" s="32"/>
      <c r="D890" s="32"/>
      <c r="E890" s="34" t="str">
        <f aca="false">IF($B890="","",IF($B890="OUT","Liters",IFERROR(INDEX(Setup!$F$3:$F$24,MATCH($C890,Setup!$A$3:$A$24,0)),"")))</f>
        <v/>
      </c>
      <c r="F890" s="28" t="str">
        <f aca="false">IF(OR($D890="",$E890=""),"",IFERROR($D890*INDEX(Setup!$B$27:$B$44,MATCH($E890,Setup!$A$27:$A$44,0)),"TBD"))</f>
        <v/>
      </c>
      <c r="G890" s="32"/>
      <c r="H890" s="32"/>
      <c r="I890" s="32"/>
      <c r="J890" s="32"/>
      <c r="K890" s="35"/>
      <c r="L890" s="32"/>
      <c r="M890" s="32"/>
    </row>
    <row r="891" customFormat="false" ht="15" hidden="false" customHeight="true" outlineLevel="0" collapsed="false">
      <c r="A891" s="32"/>
      <c r="B891" s="32"/>
      <c r="C891" s="32"/>
      <c r="D891" s="32"/>
      <c r="E891" s="34" t="str">
        <f aca="false">IF($B891="","",IF($B891="OUT","Liters",IFERROR(INDEX(Setup!$F$3:$F$24,MATCH($C891,Setup!$A$3:$A$24,0)),"")))</f>
        <v/>
      </c>
      <c r="F891" s="28" t="str">
        <f aca="false">IF(OR($D891="",$E891=""),"",IFERROR($D891*INDEX(Setup!$B$27:$B$44,MATCH($E891,Setup!$A$27:$A$44,0)),"TBD"))</f>
        <v/>
      </c>
      <c r="G891" s="32"/>
      <c r="H891" s="32"/>
      <c r="I891" s="32"/>
      <c r="J891" s="32"/>
      <c r="K891" s="35"/>
      <c r="L891" s="32"/>
      <c r="M891" s="32"/>
    </row>
    <row r="892" customFormat="false" ht="15" hidden="false" customHeight="true" outlineLevel="0" collapsed="false">
      <c r="A892" s="32"/>
      <c r="B892" s="32"/>
      <c r="C892" s="32"/>
      <c r="D892" s="32"/>
      <c r="E892" s="34" t="str">
        <f aca="false">IF($B892="","",IF($B892="OUT","Liters",IFERROR(INDEX(Setup!$F$3:$F$24,MATCH($C892,Setup!$A$3:$A$24,0)),"")))</f>
        <v/>
      </c>
      <c r="F892" s="28" t="str">
        <f aca="false">IF(OR($D892="",$E892=""),"",IFERROR($D892*INDEX(Setup!$B$27:$B$44,MATCH($E892,Setup!$A$27:$A$44,0)),"TBD"))</f>
        <v/>
      </c>
      <c r="G892" s="32"/>
      <c r="H892" s="32"/>
      <c r="I892" s="32"/>
      <c r="J892" s="32"/>
      <c r="K892" s="35"/>
      <c r="L892" s="32"/>
      <c r="M892" s="32"/>
    </row>
    <row r="893" customFormat="false" ht="15" hidden="false" customHeight="true" outlineLevel="0" collapsed="false">
      <c r="A893" s="32"/>
      <c r="B893" s="32"/>
      <c r="C893" s="32"/>
      <c r="D893" s="32"/>
      <c r="E893" s="34" t="str">
        <f aca="false">IF($B893="","",IF($B893="OUT","Liters",IFERROR(INDEX(Setup!$F$3:$F$24,MATCH($C893,Setup!$A$3:$A$24,0)),"")))</f>
        <v/>
      </c>
      <c r="F893" s="28" t="str">
        <f aca="false">IF(OR($D893="",$E893=""),"",IFERROR($D893*INDEX(Setup!$B$27:$B$44,MATCH($E893,Setup!$A$27:$A$44,0)),"TBD"))</f>
        <v/>
      </c>
      <c r="G893" s="32"/>
      <c r="H893" s="32"/>
      <c r="I893" s="32"/>
      <c r="J893" s="32"/>
      <c r="K893" s="35"/>
      <c r="L893" s="32"/>
      <c r="M893" s="32"/>
    </row>
    <row r="894" customFormat="false" ht="15" hidden="false" customHeight="true" outlineLevel="0" collapsed="false">
      <c r="A894" s="32"/>
      <c r="B894" s="32"/>
      <c r="C894" s="32"/>
      <c r="D894" s="32"/>
      <c r="E894" s="34" t="str">
        <f aca="false">IF($B894="","",IF($B894="OUT","Liters",IFERROR(INDEX(Setup!$F$3:$F$24,MATCH($C894,Setup!$A$3:$A$24,0)),"")))</f>
        <v/>
      </c>
      <c r="F894" s="28" t="str">
        <f aca="false">IF(OR($D894="",$E894=""),"",IFERROR($D894*INDEX(Setup!$B$27:$B$44,MATCH($E894,Setup!$A$27:$A$44,0)),"TBD"))</f>
        <v/>
      </c>
      <c r="G894" s="32"/>
      <c r="H894" s="32"/>
      <c r="I894" s="32"/>
      <c r="J894" s="32"/>
      <c r="K894" s="35"/>
      <c r="L894" s="32"/>
      <c r="M894" s="32"/>
    </row>
    <row r="895" customFormat="false" ht="15" hidden="false" customHeight="true" outlineLevel="0" collapsed="false">
      <c r="A895" s="32"/>
      <c r="B895" s="32"/>
      <c r="C895" s="32"/>
      <c r="D895" s="32"/>
      <c r="E895" s="34" t="str">
        <f aca="false">IF($B895="","",IF($B895="OUT","Liters",IFERROR(INDEX(Setup!$F$3:$F$24,MATCH($C895,Setup!$A$3:$A$24,0)),"")))</f>
        <v/>
      </c>
      <c r="F895" s="28" t="str">
        <f aca="false">IF(OR($D895="",$E895=""),"",IFERROR($D895*INDEX(Setup!$B$27:$B$44,MATCH($E895,Setup!$A$27:$A$44,0)),"TBD"))</f>
        <v/>
      </c>
      <c r="G895" s="32"/>
      <c r="H895" s="32"/>
      <c r="I895" s="32"/>
      <c r="J895" s="32"/>
      <c r="K895" s="35"/>
      <c r="L895" s="32"/>
      <c r="M895" s="32"/>
    </row>
    <row r="896" customFormat="false" ht="15" hidden="false" customHeight="true" outlineLevel="0" collapsed="false">
      <c r="A896" s="32"/>
      <c r="B896" s="32"/>
      <c r="C896" s="32"/>
      <c r="D896" s="32"/>
      <c r="E896" s="34" t="str">
        <f aca="false">IF($B896="","",IF($B896="OUT","Liters",IFERROR(INDEX(Setup!$F$3:$F$24,MATCH($C896,Setup!$A$3:$A$24,0)),"")))</f>
        <v/>
      </c>
      <c r="F896" s="28" t="str">
        <f aca="false">IF(OR($D896="",$E896=""),"",IFERROR($D896*INDEX(Setup!$B$27:$B$44,MATCH($E896,Setup!$A$27:$A$44,0)),"TBD"))</f>
        <v/>
      </c>
      <c r="G896" s="32"/>
      <c r="H896" s="32"/>
      <c r="I896" s="32"/>
      <c r="J896" s="32"/>
      <c r="K896" s="35"/>
      <c r="L896" s="32"/>
      <c r="M896" s="32"/>
    </row>
    <row r="897" customFormat="false" ht="15" hidden="false" customHeight="true" outlineLevel="0" collapsed="false">
      <c r="A897" s="32"/>
      <c r="B897" s="32"/>
      <c r="C897" s="32"/>
      <c r="D897" s="32"/>
      <c r="E897" s="34" t="str">
        <f aca="false">IF($B897="","",IF($B897="OUT","Liters",IFERROR(INDEX(Setup!$F$3:$F$24,MATCH($C897,Setup!$A$3:$A$24,0)),"")))</f>
        <v/>
      </c>
      <c r="F897" s="28" t="str">
        <f aca="false">IF(OR($D897="",$E897=""),"",IFERROR($D897*INDEX(Setup!$B$27:$B$44,MATCH($E897,Setup!$A$27:$A$44,0)),"TBD"))</f>
        <v/>
      </c>
      <c r="G897" s="32"/>
      <c r="H897" s="32"/>
      <c r="I897" s="32"/>
      <c r="J897" s="32"/>
      <c r="K897" s="35"/>
      <c r="L897" s="32"/>
      <c r="M897" s="32"/>
    </row>
    <row r="898" customFormat="false" ht="15" hidden="false" customHeight="true" outlineLevel="0" collapsed="false">
      <c r="A898" s="32"/>
      <c r="B898" s="32"/>
      <c r="C898" s="32"/>
      <c r="D898" s="32"/>
      <c r="E898" s="34" t="str">
        <f aca="false">IF($B898="","",IF($B898="OUT","Liters",IFERROR(INDEX(Setup!$F$3:$F$24,MATCH($C898,Setup!$A$3:$A$24,0)),"")))</f>
        <v/>
      </c>
      <c r="F898" s="28" t="str">
        <f aca="false">IF(OR($D898="",$E898=""),"",IFERROR($D898*INDEX(Setup!$B$27:$B$44,MATCH($E898,Setup!$A$27:$A$44,0)),"TBD"))</f>
        <v/>
      </c>
      <c r="G898" s="32"/>
      <c r="H898" s="32"/>
      <c r="I898" s="32"/>
      <c r="J898" s="32"/>
      <c r="K898" s="35"/>
      <c r="L898" s="32"/>
      <c r="M898" s="32"/>
    </row>
    <row r="899" customFormat="false" ht="15" hidden="false" customHeight="true" outlineLevel="0" collapsed="false">
      <c r="A899" s="32"/>
      <c r="B899" s="32"/>
      <c r="C899" s="32"/>
      <c r="D899" s="32"/>
      <c r="E899" s="34" t="str">
        <f aca="false">IF($B899="","",IF($B899="OUT","Liters",IFERROR(INDEX(Setup!$F$3:$F$24,MATCH($C899,Setup!$A$3:$A$24,0)),"")))</f>
        <v/>
      </c>
      <c r="F899" s="28" t="str">
        <f aca="false">IF(OR($D899="",$E899=""),"",IFERROR($D899*INDEX(Setup!$B$27:$B$44,MATCH($E899,Setup!$A$27:$A$44,0)),"TBD"))</f>
        <v/>
      </c>
      <c r="G899" s="32"/>
      <c r="H899" s="32"/>
      <c r="I899" s="32"/>
      <c r="J899" s="32"/>
      <c r="K899" s="35"/>
      <c r="L899" s="32"/>
      <c r="M899" s="32"/>
    </row>
    <row r="900" customFormat="false" ht="15" hidden="false" customHeight="true" outlineLevel="0" collapsed="false">
      <c r="A900" s="32"/>
      <c r="B900" s="32"/>
      <c r="C900" s="32"/>
      <c r="D900" s="32"/>
      <c r="E900" s="34" t="str">
        <f aca="false">IF($B900="","",IF($B900="OUT","Liters",IFERROR(INDEX(Setup!$F$3:$F$24,MATCH($C900,Setup!$A$3:$A$24,0)),"")))</f>
        <v/>
      </c>
      <c r="F900" s="28" t="str">
        <f aca="false">IF(OR($D900="",$E900=""),"",IFERROR($D900*INDEX(Setup!$B$27:$B$44,MATCH($E900,Setup!$A$27:$A$44,0)),"TBD"))</f>
        <v/>
      </c>
      <c r="G900" s="32"/>
      <c r="H900" s="32"/>
      <c r="I900" s="32"/>
      <c r="J900" s="32"/>
      <c r="K900" s="35"/>
      <c r="L900" s="32"/>
      <c r="M900" s="32"/>
    </row>
    <row r="901" customFormat="false" ht="15" hidden="false" customHeight="true" outlineLevel="0" collapsed="false">
      <c r="A901" s="32"/>
      <c r="B901" s="32"/>
      <c r="C901" s="32"/>
      <c r="D901" s="32"/>
      <c r="E901" s="34" t="str">
        <f aca="false">IF($B901="","",IF($B901="OUT","Liters",IFERROR(INDEX(Setup!$F$3:$F$24,MATCH($C901,Setup!$A$3:$A$24,0)),"")))</f>
        <v/>
      </c>
      <c r="F901" s="28" t="str">
        <f aca="false">IF(OR($D901="",$E901=""),"",IFERROR($D901*INDEX(Setup!$B$27:$B$44,MATCH($E901,Setup!$A$27:$A$44,0)),"TBD"))</f>
        <v/>
      </c>
      <c r="G901" s="32"/>
      <c r="H901" s="32"/>
      <c r="I901" s="32"/>
      <c r="J901" s="32"/>
      <c r="K901" s="35"/>
      <c r="L901" s="32"/>
      <c r="M901" s="32"/>
    </row>
    <row r="902" customFormat="false" ht="15" hidden="false" customHeight="true" outlineLevel="0" collapsed="false">
      <c r="A902" s="32"/>
      <c r="B902" s="32"/>
      <c r="C902" s="32"/>
      <c r="D902" s="32"/>
      <c r="E902" s="34" t="str">
        <f aca="false">IF($B902="","",IF($B902="OUT","Liters",IFERROR(INDEX(Setup!$F$3:$F$24,MATCH($C902,Setup!$A$3:$A$24,0)),"")))</f>
        <v/>
      </c>
      <c r="F902" s="28" t="str">
        <f aca="false">IF(OR($D902="",$E902=""),"",IFERROR($D902*INDEX(Setup!$B$27:$B$44,MATCH($E902,Setup!$A$27:$A$44,0)),"TBD"))</f>
        <v/>
      </c>
      <c r="G902" s="32"/>
      <c r="H902" s="32"/>
      <c r="I902" s="32"/>
      <c r="J902" s="32"/>
      <c r="K902" s="35"/>
      <c r="L902" s="32"/>
      <c r="M902" s="32"/>
    </row>
    <row r="903" customFormat="false" ht="15" hidden="false" customHeight="true" outlineLevel="0" collapsed="false">
      <c r="A903" s="32"/>
      <c r="B903" s="32"/>
      <c r="C903" s="32"/>
      <c r="D903" s="32"/>
      <c r="E903" s="34" t="str">
        <f aca="false">IF($B903="","",IF($B903="OUT","Liters",IFERROR(INDEX(Setup!$F$3:$F$24,MATCH($C903,Setup!$A$3:$A$24,0)),"")))</f>
        <v/>
      </c>
      <c r="F903" s="28" t="str">
        <f aca="false">IF(OR($D903="",$E903=""),"",IFERROR($D903*INDEX(Setup!$B$27:$B$44,MATCH($E903,Setup!$A$27:$A$44,0)),"TBD"))</f>
        <v/>
      </c>
      <c r="G903" s="32"/>
      <c r="H903" s="32"/>
      <c r="I903" s="32"/>
      <c r="J903" s="32"/>
      <c r="K903" s="35"/>
      <c r="L903" s="32"/>
      <c r="M903" s="32"/>
    </row>
    <row r="904" customFormat="false" ht="15" hidden="false" customHeight="true" outlineLevel="0" collapsed="false">
      <c r="A904" s="32"/>
      <c r="B904" s="32"/>
      <c r="C904" s="32"/>
      <c r="D904" s="32"/>
      <c r="E904" s="34" t="str">
        <f aca="false">IF($B904="","",IF($B904="OUT","Liters",IFERROR(INDEX(Setup!$F$3:$F$24,MATCH($C904,Setup!$A$3:$A$24,0)),"")))</f>
        <v/>
      </c>
      <c r="F904" s="28" t="str">
        <f aca="false">IF(OR($D904="",$E904=""),"",IFERROR($D904*INDEX(Setup!$B$27:$B$44,MATCH($E904,Setup!$A$27:$A$44,0)),"TBD"))</f>
        <v/>
      </c>
      <c r="G904" s="32"/>
      <c r="H904" s="32"/>
      <c r="I904" s="32"/>
      <c r="J904" s="32"/>
      <c r="K904" s="35"/>
      <c r="L904" s="32"/>
      <c r="M904" s="32"/>
    </row>
    <row r="905" customFormat="false" ht="15" hidden="false" customHeight="true" outlineLevel="0" collapsed="false">
      <c r="A905" s="32"/>
      <c r="B905" s="32"/>
      <c r="C905" s="32"/>
      <c r="D905" s="32"/>
      <c r="E905" s="34" t="str">
        <f aca="false">IF($B905="","",IF($B905="OUT","Liters",IFERROR(INDEX(Setup!$F$3:$F$24,MATCH($C905,Setup!$A$3:$A$24,0)),"")))</f>
        <v/>
      </c>
      <c r="F905" s="28" t="str">
        <f aca="false">IF(OR($D905="",$E905=""),"",IFERROR($D905*INDEX(Setup!$B$27:$B$44,MATCH($E905,Setup!$A$27:$A$44,0)),"TBD"))</f>
        <v/>
      </c>
      <c r="G905" s="32"/>
      <c r="H905" s="32"/>
      <c r="I905" s="32"/>
      <c r="J905" s="32"/>
      <c r="K905" s="35"/>
      <c r="L905" s="32"/>
      <c r="M905" s="32"/>
    </row>
    <row r="906" customFormat="false" ht="15" hidden="false" customHeight="true" outlineLevel="0" collapsed="false">
      <c r="A906" s="32"/>
      <c r="B906" s="32"/>
      <c r="C906" s="32"/>
      <c r="D906" s="32"/>
      <c r="E906" s="34" t="str">
        <f aca="false">IF($B906="","",IF($B906="OUT","Liters",IFERROR(INDEX(Setup!$F$3:$F$24,MATCH($C906,Setup!$A$3:$A$24,0)),"")))</f>
        <v/>
      </c>
      <c r="F906" s="28" t="str">
        <f aca="false">IF(OR($D906="",$E906=""),"",IFERROR($D906*INDEX(Setup!$B$27:$B$44,MATCH($E906,Setup!$A$27:$A$44,0)),"TBD"))</f>
        <v/>
      </c>
      <c r="G906" s="32"/>
      <c r="H906" s="32"/>
      <c r="I906" s="32"/>
      <c r="J906" s="32"/>
      <c r="K906" s="35"/>
      <c r="L906" s="32"/>
      <c r="M906" s="32"/>
    </row>
    <row r="907" customFormat="false" ht="15" hidden="false" customHeight="true" outlineLevel="0" collapsed="false">
      <c r="A907" s="32"/>
      <c r="B907" s="32"/>
      <c r="C907" s="32"/>
      <c r="D907" s="32"/>
      <c r="E907" s="34" t="str">
        <f aca="false">IF($B907="","",IF($B907="OUT","Liters",IFERROR(INDEX(Setup!$F$3:$F$24,MATCH($C907,Setup!$A$3:$A$24,0)),"")))</f>
        <v/>
      </c>
      <c r="F907" s="28" t="str">
        <f aca="false">IF(OR($D907="",$E907=""),"",IFERROR($D907*INDEX(Setup!$B$27:$B$44,MATCH($E907,Setup!$A$27:$A$44,0)),"TBD"))</f>
        <v/>
      </c>
      <c r="G907" s="32"/>
      <c r="H907" s="32"/>
      <c r="I907" s="32"/>
      <c r="J907" s="32"/>
      <c r="K907" s="35"/>
      <c r="L907" s="32"/>
      <c r="M907" s="32"/>
    </row>
    <row r="908" customFormat="false" ht="15" hidden="false" customHeight="true" outlineLevel="0" collapsed="false">
      <c r="A908" s="32"/>
      <c r="B908" s="32"/>
      <c r="C908" s="32"/>
      <c r="D908" s="32"/>
      <c r="E908" s="34" t="str">
        <f aca="false">IF($B908="","",IF($B908="OUT","Liters",IFERROR(INDEX(Setup!$F$3:$F$24,MATCH($C908,Setup!$A$3:$A$24,0)),"")))</f>
        <v/>
      </c>
      <c r="F908" s="28" t="str">
        <f aca="false">IF(OR($D908="",$E908=""),"",IFERROR($D908*INDEX(Setup!$B$27:$B$44,MATCH($E908,Setup!$A$27:$A$44,0)),"TBD"))</f>
        <v/>
      </c>
      <c r="G908" s="32"/>
      <c r="H908" s="32"/>
      <c r="I908" s="32"/>
      <c r="J908" s="32"/>
      <c r="K908" s="35"/>
      <c r="L908" s="32"/>
      <c r="M908" s="32"/>
    </row>
    <row r="909" customFormat="false" ht="15" hidden="false" customHeight="true" outlineLevel="0" collapsed="false">
      <c r="A909" s="32"/>
      <c r="B909" s="32"/>
      <c r="C909" s="32"/>
      <c r="D909" s="32"/>
      <c r="E909" s="34" t="str">
        <f aca="false">IF($B909="","",IF($B909="OUT","Liters",IFERROR(INDEX(Setup!$F$3:$F$24,MATCH($C909,Setup!$A$3:$A$24,0)),"")))</f>
        <v/>
      </c>
      <c r="F909" s="28" t="str">
        <f aca="false">IF(OR($D909="",$E909=""),"",IFERROR($D909*INDEX(Setup!$B$27:$B$44,MATCH($E909,Setup!$A$27:$A$44,0)),"TBD"))</f>
        <v/>
      </c>
      <c r="G909" s="32"/>
      <c r="H909" s="32"/>
      <c r="I909" s="32"/>
      <c r="J909" s="32"/>
      <c r="K909" s="35"/>
      <c r="L909" s="32"/>
      <c r="M909" s="32"/>
    </row>
    <row r="910" customFormat="false" ht="15" hidden="false" customHeight="true" outlineLevel="0" collapsed="false">
      <c r="A910" s="32"/>
      <c r="B910" s="32"/>
      <c r="C910" s="32"/>
      <c r="D910" s="32"/>
      <c r="E910" s="34" t="str">
        <f aca="false">IF($B910="","",IF($B910="OUT","Liters",IFERROR(INDEX(Setup!$F$3:$F$24,MATCH($C910,Setup!$A$3:$A$24,0)),"")))</f>
        <v/>
      </c>
      <c r="F910" s="28" t="str">
        <f aca="false">IF(OR($D910="",$E910=""),"",IFERROR($D910*INDEX(Setup!$B$27:$B$44,MATCH($E910,Setup!$A$27:$A$44,0)),"TBD"))</f>
        <v/>
      </c>
      <c r="G910" s="32"/>
      <c r="H910" s="32"/>
      <c r="I910" s="32"/>
      <c r="J910" s="32"/>
      <c r="K910" s="35"/>
      <c r="L910" s="32"/>
      <c r="M910" s="32"/>
    </row>
    <row r="911" customFormat="false" ht="15" hidden="false" customHeight="true" outlineLevel="0" collapsed="false">
      <c r="A911" s="32"/>
      <c r="B911" s="32"/>
      <c r="C911" s="32"/>
      <c r="D911" s="32"/>
      <c r="E911" s="34" t="str">
        <f aca="false">IF($B911="","",IF($B911="OUT","Liters",IFERROR(INDEX(Setup!$F$3:$F$24,MATCH($C911,Setup!$A$3:$A$24,0)),"")))</f>
        <v/>
      </c>
      <c r="F911" s="28" t="str">
        <f aca="false">IF(OR($D911="",$E911=""),"",IFERROR($D911*INDEX(Setup!$B$27:$B$44,MATCH($E911,Setup!$A$27:$A$44,0)),"TBD"))</f>
        <v/>
      </c>
      <c r="G911" s="32"/>
      <c r="H911" s="32"/>
      <c r="I911" s="32"/>
      <c r="J911" s="32"/>
      <c r="K911" s="35"/>
      <c r="L911" s="32"/>
      <c r="M911" s="32"/>
    </row>
    <row r="912" customFormat="false" ht="15" hidden="false" customHeight="true" outlineLevel="0" collapsed="false">
      <c r="A912" s="32"/>
      <c r="B912" s="32"/>
      <c r="C912" s="32"/>
      <c r="D912" s="32"/>
      <c r="E912" s="34" t="str">
        <f aca="false">IF($B912="","",IF($B912="OUT","Liters",IFERROR(INDEX(Setup!$F$3:$F$24,MATCH($C912,Setup!$A$3:$A$24,0)),"")))</f>
        <v/>
      </c>
      <c r="F912" s="28" t="str">
        <f aca="false">IF(OR($D912="",$E912=""),"",IFERROR($D912*INDEX(Setup!$B$27:$B$44,MATCH($E912,Setup!$A$27:$A$44,0)),"TBD"))</f>
        <v/>
      </c>
      <c r="G912" s="32"/>
      <c r="H912" s="32"/>
      <c r="I912" s="32"/>
      <c r="J912" s="32"/>
      <c r="K912" s="35"/>
      <c r="L912" s="32"/>
      <c r="M912" s="32"/>
    </row>
    <row r="913" customFormat="false" ht="15" hidden="false" customHeight="true" outlineLevel="0" collapsed="false">
      <c r="A913" s="32"/>
      <c r="B913" s="32"/>
      <c r="C913" s="32"/>
      <c r="D913" s="32"/>
      <c r="E913" s="34" t="str">
        <f aca="false">IF($B913="","",IF($B913="OUT","Liters",IFERROR(INDEX(Setup!$F$3:$F$24,MATCH($C913,Setup!$A$3:$A$24,0)),"")))</f>
        <v/>
      </c>
      <c r="F913" s="28" t="str">
        <f aca="false">IF(OR($D913="",$E913=""),"",IFERROR($D913*INDEX(Setup!$B$27:$B$44,MATCH($E913,Setup!$A$27:$A$44,0)),"TBD"))</f>
        <v/>
      </c>
      <c r="G913" s="32"/>
      <c r="H913" s="32"/>
      <c r="I913" s="32"/>
      <c r="J913" s="32"/>
      <c r="K913" s="35"/>
      <c r="L913" s="32"/>
      <c r="M913" s="32"/>
    </row>
    <row r="914" customFormat="false" ht="15" hidden="false" customHeight="true" outlineLevel="0" collapsed="false">
      <c r="A914" s="32"/>
      <c r="B914" s="32"/>
      <c r="C914" s="32"/>
      <c r="D914" s="32"/>
      <c r="E914" s="34" t="str">
        <f aca="false">IF($B914="","",IF($B914="OUT","Liters",IFERROR(INDEX(Setup!$F$3:$F$24,MATCH($C914,Setup!$A$3:$A$24,0)),"")))</f>
        <v/>
      </c>
      <c r="F914" s="28" t="str">
        <f aca="false">IF(OR($D914="",$E914=""),"",IFERROR($D914*INDEX(Setup!$B$27:$B$44,MATCH($E914,Setup!$A$27:$A$44,0)),"TBD"))</f>
        <v/>
      </c>
      <c r="G914" s="32"/>
      <c r="H914" s="32"/>
      <c r="I914" s="32"/>
      <c r="J914" s="32"/>
      <c r="K914" s="35"/>
      <c r="L914" s="32"/>
      <c r="M914" s="32"/>
    </row>
    <row r="915" customFormat="false" ht="15" hidden="false" customHeight="true" outlineLevel="0" collapsed="false">
      <c r="A915" s="32"/>
      <c r="B915" s="32"/>
      <c r="C915" s="32"/>
      <c r="D915" s="32"/>
      <c r="E915" s="34" t="str">
        <f aca="false">IF($B915="","",IF($B915="OUT","Liters",IFERROR(INDEX(Setup!$F$3:$F$24,MATCH($C915,Setup!$A$3:$A$24,0)),"")))</f>
        <v/>
      </c>
      <c r="F915" s="28" t="str">
        <f aca="false">IF(OR($D915="",$E915=""),"",IFERROR($D915*INDEX(Setup!$B$27:$B$44,MATCH($E915,Setup!$A$27:$A$44,0)),"TBD"))</f>
        <v/>
      </c>
      <c r="G915" s="32"/>
      <c r="H915" s="32"/>
      <c r="I915" s="32"/>
      <c r="J915" s="32"/>
      <c r="K915" s="35"/>
      <c r="L915" s="32"/>
      <c r="M915" s="32"/>
    </row>
    <row r="916" customFormat="false" ht="15" hidden="false" customHeight="true" outlineLevel="0" collapsed="false">
      <c r="A916" s="32"/>
      <c r="B916" s="32"/>
      <c r="C916" s="32"/>
      <c r="D916" s="32"/>
      <c r="E916" s="34" t="str">
        <f aca="false">IF($B916="","",IF($B916="OUT","Liters",IFERROR(INDEX(Setup!$F$3:$F$24,MATCH($C916,Setup!$A$3:$A$24,0)),"")))</f>
        <v/>
      </c>
      <c r="F916" s="28" t="str">
        <f aca="false">IF(OR($D916="",$E916=""),"",IFERROR($D916*INDEX(Setup!$B$27:$B$44,MATCH($E916,Setup!$A$27:$A$44,0)),"TBD"))</f>
        <v/>
      </c>
      <c r="G916" s="32"/>
      <c r="H916" s="32"/>
      <c r="I916" s="32"/>
      <c r="J916" s="32"/>
      <c r="K916" s="35"/>
      <c r="L916" s="32"/>
      <c r="M916" s="32"/>
    </row>
    <row r="917" customFormat="false" ht="15" hidden="false" customHeight="true" outlineLevel="0" collapsed="false">
      <c r="A917" s="32"/>
      <c r="B917" s="32"/>
      <c r="C917" s="32"/>
      <c r="D917" s="32"/>
      <c r="E917" s="34" t="str">
        <f aca="false">IF($B917="","",IF($B917="OUT","Liters",IFERROR(INDEX(Setup!$F$3:$F$24,MATCH($C917,Setup!$A$3:$A$24,0)),"")))</f>
        <v/>
      </c>
      <c r="F917" s="28" t="str">
        <f aca="false">IF(OR($D917="",$E917=""),"",IFERROR($D917*INDEX(Setup!$B$27:$B$44,MATCH($E917,Setup!$A$27:$A$44,0)),"TBD"))</f>
        <v/>
      </c>
      <c r="G917" s="32"/>
      <c r="H917" s="32"/>
      <c r="I917" s="32"/>
      <c r="J917" s="32"/>
      <c r="K917" s="35"/>
      <c r="L917" s="32"/>
      <c r="M917" s="32"/>
    </row>
    <row r="918" customFormat="false" ht="15" hidden="false" customHeight="true" outlineLevel="0" collapsed="false">
      <c r="A918" s="32"/>
      <c r="B918" s="32"/>
      <c r="C918" s="32"/>
      <c r="D918" s="32"/>
      <c r="E918" s="34" t="str">
        <f aca="false">IF($B918="","",IF($B918="OUT","Liters",IFERROR(INDEX(Setup!$F$3:$F$24,MATCH($C918,Setup!$A$3:$A$24,0)),"")))</f>
        <v/>
      </c>
      <c r="F918" s="28" t="str">
        <f aca="false">IF(OR($D918="",$E918=""),"",IFERROR($D918*INDEX(Setup!$B$27:$B$44,MATCH($E918,Setup!$A$27:$A$44,0)),"TBD"))</f>
        <v/>
      </c>
      <c r="G918" s="32"/>
      <c r="H918" s="32"/>
      <c r="I918" s="32"/>
      <c r="J918" s="32"/>
      <c r="K918" s="35"/>
      <c r="L918" s="32"/>
      <c r="M918" s="32"/>
    </row>
    <row r="919" customFormat="false" ht="15" hidden="false" customHeight="true" outlineLevel="0" collapsed="false">
      <c r="A919" s="32"/>
      <c r="B919" s="32"/>
      <c r="C919" s="32"/>
      <c r="D919" s="32"/>
      <c r="E919" s="34" t="str">
        <f aca="false">IF($B919="","",IF($B919="OUT","Liters",IFERROR(INDEX(Setup!$F$3:$F$24,MATCH($C919,Setup!$A$3:$A$24,0)),"")))</f>
        <v/>
      </c>
      <c r="F919" s="28" t="str">
        <f aca="false">IF(OR($D919="",$E919=""),"",IFERROR($D919*INDEX(Setup!$B$27:$B$44,MATCH($E919,Setup!$A$27:$A$44,0)),"TBD"))</f>
        <v/>
      </c>
      <c r="G919" s="32"/>
      <c r="H919" s="32"/>
      <c r="I919" s="32"/>
      <c r="J919" s="32"/>
      <c r="K919" s="35"/>
      <c r="L919" s="32"/>
      <c r="M919" s="32"/>
    </row>
    <row r="920" customFormat="false" ht="15" hidden="false" customHeight="true" outlineLevel="0" collapsed="false">
      <c r="A920" s="32"/>
      <c r="B920" s="32"/>
      <c r="C920" s="32"/>
      <c r="D920" s="32"/>
      <c r="E920" s="34" t="str">
        <f aca="false">IF($B920="","",IF($B920="OUT","Liters",IFERROR(INDEX(Setup!$F$3:$F$24,MATCH($C920,Setup!$A$3:$A$24,0)),"")))</f>
        <v/>
      </c>
      <c r="F920" s="28" t="str">
        <f aca="false">IF(OR($D920="",$E920=""),"",IFERROR($D920*INDEX(Setup!$B$27:$B$44,MATCH($E920,Setup!$A$27:$A$44,0)),"TBD"))</f>
        <v/>
      </c>
      <c r="G920" s="32"/>
      <c r="H920" s="32"/>
      <c r="I920" s="32"/>
      <c r="J920" s="32"/>
      <c r="K920" s="35"/>
      <c r="L920" s="32"/>
      <c r="M920" s="32"/>
    </row>
    <row r="921" customFormat="false" ht="15" hidden="false" customHeight="true" outlineLevel="0" collapsed="false">
      <c r="A921" s="32"/>
      <c r="B921" s="32"/>
      <c r="C921" s="32"/>
      <c r="D921" s="32"/>
      <c r="E921" s="34" t="str">
        <f aca="false">IF($B921="","",IF($B921="OUT","Liters",IFERROR(INDEX(Setup!$F$3:$F$24,MATCH($C921,Setup!$A$3:$A$24,0)),"")))</f>
        <v/>
      </c>
      <c r="F921" s="28" t="str">
        <f aca="false">IF(OR($D921="",$E921=""),"",IFERROR($D921*INDEX(Setup!$B$27:$B$44,MATCH($E921,Setup!$A$27:$A$44,0)),"TBD"))</f>
        <v/>
      </c>
      <c r="G921" s="32"/>
      <c r="H921" s="32"/>
      <c r="I921" s="32"/>
      <c r="J921" s="32"/>
      <c r="K921" s="35"/>
      <c r="L921" s="32"/>
      <c r="M921" s="32"/>
    </row>
    <row r="922" customFormat="false" ht="15" hidden="false" customHeight="true" outlineLevel="0" collapsed="false">
      <c r="A922" s="32"/>
      <c r="B922" s="32"/>
      <c r="C922" s="32"/>
      <c r="D922" s="32"/>
      <c r="E922" s="34" t="str">
        <f aca="false">IF($B922="","",IF($B922="OUT","Liters",IFERROR(INDEX(Setup!$F$3:$F$24,MATCH($C922,Setup!$A$3:$A$24,0)),"")))</f>
        <v/>
      </c>
      <c r="F922" s="28" t="str">
        <f aca="false">IF(OR($D922="",$E922=""),"",IFERROR($D922*INDEX(Setup!$B$27:$B$44,MATCH($E922,Setup!$A$27:$A$44,0)),"TBD"))</f>
        <v/>
      </c>
      <c r="G922" s="32"/>
      <c r="H922" s="32"/>
      <c r="I922" s="32"/>
      <c r="J922" s="32"/>
      <c r="K922" s="35"/>
      <c r="L922" s="32"/>
      <c r="M922" s="32"/>
    </row>
    <row r="923" customFormat="false" ht="15" hidden="false" customHeight="true" outlineLevel="0" collapsed="false">
      <c r="A923" s="32"/>
      <c r="B923" s="32"/>
      <c r="C923" s="32"/>
      <c r="D923" s="32"/>
      <c r="E923" s="34" t="str">
        <f aca="false">IF($B923="","",IF($B923="OUT","Liters",IFERROR(INDEX(Setup!$F$3:$F$24,MATCH($C923,Setup!$A$3:$A$24,0)),"")))</f>
        <v/>
      </c>
      <c r="F923" s="28" t="str">
        <f aca="false">IF(OR($D923="",$E923=""),"",IFERROR($D923*INDEX(Setup!$B$27:$B$44,MATCH($E923,Setup!$A$27:$A$44,0)),"TBD"))</f>
        <v/>
      </c>
      <c r="G923" s="32"/>
      <c r="H923" s="32"/>
      <c r="I923" s="32"/>
      <c r="J923" s="32"/>
      <c r="K923" s="35"/>
      <c r="L923" s="32"/>
      <c r="M923" s="32"/>
    </row>
    <row r="924" customFormat="false" ht="15" hidden="false" customHeight="true" outlineLevel="0" collapsed="false">
      <c r="A924" s="32"/>
      <c r="B924" s="32"/>
      <c r="C924" s="32"/>
      <c r="D924" s="32"/>
      <c r="E924" s="34" t="str">
        <f aca="false">IF($B924="","",IF($B924="OUT","Liters",IFERROR(INDEX(Setup!$F$3:$F$24,MATCH($C924,Setup!$A$3:$A$24,0)),"")))</f>
        <v/>
      </c>
      <c r="F924" s="28" t="str">
        <f aca="false">IF(OR($D924="",$E924=""),"",IFERROR($D924*INDEX(Setup!$B$27:$B$44,MATCH($E924,Setup!$A$27:$A$44,0)),"TBD"))</f>
        <v/>
      </c>
      <c r="G924" s="32"/>
      <c r="H924" s="32"/>
      <c r="I924" s="32"/>
      <c r="J924" s="32"/>
      <c r="K924" s="35"/>
      <c r="L924" s="32"/>
      <c r="M924" s="32"/>
    </row>
    <row r="925" customFormat="false" ht="15" hidden="false" customHeight="true" outlineLevel="0" collapsed="false">
      <c r="A925" s="32"/>
      <c r="B925" s="32"/>
      <c r="C925" s="32"/>
      <c r="D925" s="32"/>
      <c r="E925" s="34" t="str">
        <f aca="false">IF($B925="","",IF($B925="OUT","Liters",IFERROR(INDEX(Setup!$F$3:$F$24,MATCH($C925,Setup!$A$3:$A$24,0)),"")))</f>
        <v/>
      </c>
      <c r="F925" s="28" t="str">
        <f aca="false">IF(OR($D925="",$E925=""),"",IFERROR($D925*INDEX(Setup!$B$27:$B$44,MATCH($E925,Setup!$A$27:$A$44,0)),"TBD"))</f>
        <v/>
      </c>
      <c r="G925" s="32"/>
      <c r="H925" s="32"/>
      <c r="I925" s="32"/>
      <c r="J925" s="32"/>
      <c r="K925" s="35"/>
      <c r="L925" s="32"/>
      <c r="M925" s="32"/>
    </row>
    <row r="926" customFormat="false" ht="15" hidden="false" customHeight="true" outlineLevel="0" collapsed="false">
      <c r="A926" s="32"/>
      <c r="B926" s="32"/>
      <c r="C926" s="32"/>
      <c r="D926" s="32"/>
      <c r="E926" s="34" t="str">
        <f aca="false">IF($B926="","",IF($B926="OUT","Liters",IFERROR(INDEX(Setup!$F$3:$F$24,MATCH($C926,Setup!$A$3:$A$24,0)),"")))</f>
        <v/>
      </c>
      <c r="F926" s="28" t="str">
        <f aca="false">IF(OR($D926="",$E926=""),"",IFERROR($D926*INDEX(Setup!$B$27:$B$44,MATCH($E926,Setup!$A$27:$A$44,0)),"TBD"))</f>
        <v/>
      </c>
      <c r="G926" s="32"/>
      <c r="H926" s="32"/>
      <c r="I926" s="32"/>
      <c r="J926" s="32"/>
      <c r="K926" s="35"/>
      <c r="L926" s="32"/>
      <c r="M926" s="32"/>
    </row>
    <row r="927" customFormat="false" ht="15" hidden="false" customHeight="true" outlineLevel="0" collapsed="false">
      <c r="A927" s="32"/>
      <c r="B927" s="32"/>
      <c r="C927" s="32"/>
      <c r="D927" s="32"/>
      <c r="E927" s="34" t="str">
        <f aca="false">IF($B927="","",IF($B927="OUT","Liters",IFERROR(INDEX(Setup!$F$3:$F$24,MATCH($C927,Setup!$A$3:$A$24,0)),"")))</f>
        <v/>
      </c>
      <c r="F927" s="28" t="str">
        <f aca="false">IF(OR($D927="",$E927=""),"",IFERROR($D927*INDEX(Setup!$B$27:$B$44,MATCH($E927,Setup!$A$27:$A$44,0)),"TBD"))</f>
        <v/>
      </c>
      <c r="G927" s="32"/>
      <c r="H927" s="32"/>
      <c r="I927" s="32"/>
      <c r="J927" s="32"/>
      <c r="K927" s="35"/>
      <c r="L927" s="32"/>
      <c r="M927" s="32"/>
    </row>
    <row r="928" customFormat="false" ht="15" hidden="false" customHeight="true" outlineLevel="0" collapsed="false">
      <c r="A928" s="32"/>
      <c r="B928" s="32"/>
      <c r="C928" s="32"/>
      <c r="D928" s="32"/>
      <c r="E928" s="34" t="str">
        <f aca="false">IF($B928="","",IF($B928="OUT","Liters",IFERROR(INDEX(Setup!$F$3:$F$24,MATCH($C928,Setup!$A$3:$A$24,0)),"")))</f>
        <v/>
      </c>
      <c r="F928" s="28" t="str">
        <f aca="false">IF(OR($D928="",$E928=""),"",IFERROR($D928*INDEX(Setup!$B$27:$B$44,MATCH($E928,Setup!$A$27:$A$44,0)),"TBD"))</f>
        <v/>
      </c>
      <c r="G928" s="32"/>
      <c r="H928" s="32"/>
      <c r="I928" s="32"/>
      <c r="J928" s="32"/>
      <c r="K928" s="35"/>
      <c r="L928" s="32"/>
      <c r="M928" s="32"/>
    </row>
    <row r="929" customFormat="false" ht="15" hidden="false" customHeight="true" outlineLevel="0" collapsed="false">
      <c r="A929" s="32"/>
      <c r="B929" s="32"/>
      <c r="C929" s="32"/>
      <c r="D929" s="32"/>
      <c r="E929" s="34" t="str">
        <f aca="false">IF($B929="","",IF($B929="OUT","Liters",IFERROR(INDEX(Setup!$F$3:$F$24,MATCH($C929,Setup!$A$3:$A$24,0)),"")))</f>
        <v/>
      </c>
      <c r="F929" s="28" t="str">
        <f aca="false">IF(OR($D929="",$E929=""),"",IFERROR($D929*INDEX(Setup!$B$27:$B$44,MATCH($E929,Setup!$A$27:$A$44,0)),"TBD"))</f>
        <v/>
      </c>
      <c r="G929" s="32"/>
      <c r="H929" s="32"/>
      <c r="I929" s="32"/>
      <c r="J929" s="32"/>
      <c r="K929" s="35"/>
      <c r="L929" s="32"/>
      <c r="M929" s="32"/>
    </row>
    <row r="930" customFormat="false" ht="15" hidden="false" customHeight="true" outlineLevel="0" collapsed="false">
      <c r="A930" s="32"/>
      <c r="B930" s="32"/>
      <c r="C930" s="32"/>
      <c r="D930" s="32"/>
      <c r="E930" s="34" t="str">
        <f aca="false">IF($B930="","",IF($B930="OUT","Liters",IFERROR(INDEX(Setup!$F$3:$F$24,MATCH($C930,Setup!$A$3:$A$24,0)),"")))</f>
        <v/>
      </c>
      <c r="F930" s="28" t="str">
        <f aca="false">IF(OR($D930="",$E930=""),"",IFERROR($D930*INDEX(Setup!$B$27:$B$44,MATCH($E930,Setup!$A$27:$A$44,0)),"TBD"))</f>
        <v/>
      </c>
      <c r="G930" s="32"/>
      <c r="H930" s="32"/>
      <c r="I930" s="32"/>
      <c r="J930" s="32"/>
      <c r="K930" s="35"/>
      <c r="L930" s="32"/>
      <c r="M930" s="32"/>
    </row>
    <row r="931" customFormat="false" ht="15" hidden="false" customHeight="true" outlineLevel="0" collapsed="false">
      <c r="A931" s="32"/>
      <c r="B931" s="32"/>
      <c r="C931" s="32"/>
      <c r="D931" s="32"/>
      <c r="E931" s="34" t="str">
        <f aca="false">IF($B931="","",IF($B931="OUT","Liters",IFERROR(INDEX(Setup!$F$3:$F$24,MATCH($C931,Setup!$A$3:$A$24,0)),"")))</f>
        <v/>
      </c>
      <c r="F931" s="28" t="str">
        <f aca="false">IF(OR($D931="",$E931=""),"",IFERROR($D931*INDEX(Setup!$B$27:$B$44,MATCH($E931,Setup!$A$27:$A$44,0)),"TBD"))</f>
        <v/>
      </c>
      <c r="G931" s="32"/>
      <c r="H931" s="32"/>
      <c r="I931" s="32"/>
      <c r="J931" s="32"/>
      <c r="K931" s="35"/>
      <c r="L931" s="32"/>
      <c r="M931" s="32"/>
    </row>
    <row r="932" customFormat="false" ht="15" hidden="false" customHeight="true" outlineLevel="0" collapsed="false">
      <c r="A932" s="32"/>
      <c r="B932" s="32"/>
      <c r="C932" s="32"/>
      <c r="D932" s="32"/>
      <c r="E932" s="34" t="str">
        <f aca="false">IF($B932="","",IF($B932="OUT","Liters",IFERROR(INDEX(Setup!$F$3:$F$24,MATCH($C932,Setup!$A$3:$A$24,0)),"")))</f>
        <v/>
      </c>
      <c r="F932" s="28" t="str">
        <f aca="false">IF(OR($D932="",$E932=""),"",IFERROR($D932*INDEX(Setup!$B$27:$B$44,MATCH($E932,Setup!$A$27:$A$44,0)),"TBD"))</f>
        <v/>
      </c>
      <c r="G932" s="32"/>
      <c r="H932" s="32"/>
      <c r="I932" s="32"/>
      <c r="J932" s="32"/>
      <c r="K932" s="35"/>
      <c r="L932" s="32"/>
      <c r="M932" s="32"/>
    </row>
    <row r="933" customFormat="false" ht="15" hidden="false" customHeight="true" outlineLevel="0" collapsed="false">
      <c r="A933" s="32"/>
      <c r="B933" s="32"/>
      <c r="C933" s="32"/>
      <c r="D933" s="32"/>
      <c r="E933" s="34" t="str">
        <f aca="false">IF($B933="","",IF($B933="OUT","Liters",IFERROR(INDEX(Setup!$F$3:$F$24,MATCH($C933,Setup!$A$3:$A$24,0)),"")))</f>
        <v/>
      </c>
      <c r="F933" s="28" t="str">
        <f aca="false">IF(OR($D933="",$E933=""),"",IFERROR($D933*INDEX(Setup!$B$27:$B$44,MATCH($E933,Setup!$A$27:$A$44,0)),"TBD"))</f>
        <v/>
      </c>
      <c r="G933" s="32"/>
      <c r="H933" s="32"/>
      <c r="I933" s="32"/>
      <c r="J933" s="32"/>
      <c r="K933" s="35"/>
      <c r="L933" s="32"/>
      <c r="M933" s="32"/>
    </row>
    <row r="934" customFormat="false" ht="15" hidden="false" customHeight="true" outlineLevel="0" collapsed="false">
      <c r="A934" s="32"/>
      <c r="B934" s="32"/>
      <c r="C934" s="32"/>
      <c r="D934" s="32"/>
      <c r="E934" s="34" t="str">
        <f aca="false">IF($B934="","",IF($B934="OUT","Liters",IFERROR(INDEX(Setup!$F$3:$F$24,MATCH($C934,Setup!$A$3:$A$24,0)),"")))</f>
        <v/>
      </c>
      <c r="F934" s="28" t="str">
        <f aca="false">IF(OR($D934="",$E934=""),"",IFERROR($D934*INDEX(Setup!$B$27:$B$44,MATCH($E934,Setup!$A$27:$A$44,0)),"TBD"))</f>
        <v/>
      </c>
      <c r="G934" s="32"/>
      <c r="H934" s="32"/>
      <c r="I934" s="32"/>
      <c r="J934" s="32"/>
      <c r="K934" s="35"/>
      <c r="L934" s="32"/>
      <c r="M934" s="32"/>
    </row>
    <row r="935" customFormat="false" ht="15" hidden="false" customHeight="true" outlineLevel="0" collapsed="false">
      <c r="A935" s="32"/>
      <c r="B935" s="32"/>
      <c r="C935" s="32"/>
      <c r="D935" s="32"/>
      <c r="E935" s="34" t="str">
        <f aca="false">IF($B935="","",IF($B935="OUT","Liters",IFERROR(INDEX(Setup!$F$3:$F$24,MATCH($C935,Setup!$A$3:$A$24,0)),"")))</f>
        <v/>
      </c>
      <c r="F935" s="28" t="str">
        <f aca="false">IF(OR($D935="",$E935=""),"",IFERROR($D935*INDEX(Setup!$B$27:$B$44,MATCH($E935,Setup!$A$27:$A$44,0)),"TBD"))</f>
        <v/>
      </c>
      <c r="G935" s="32"/>
      <c r="H935" s="32"/>
      <c r="I935" s="32"/>
      <c r="J935" s="32"/>
      <c r="K935" s="35"/>
      <c r="L935" s="32"/>
      <c r="M935" s="32"/>
    </row>
    <row r="936" customFormat="false" ht="15" hidden="false" customHeight="true" outlineLevel="0" collapsed="false">
      <c r="A936" s="32"/>
      <c r="B936" s="32"/>
      <c r="C936" s="32"/>
      <c r="D936" s="32"/>
      <c r="E936" s="34" t="str">
        <f aca="false">IF($B936="","",IF($B936="OUT","Liters",IFERROR(INDEX(Setup!$F$3:$F$24,MATCH($C936,Setup!$A$3:$A$24,0)),"")))</f>
        <v/>
      </c>
      <c r="F936" s="28" t="str">
        <f aca="false">IF(OR($D936="",$E936=""),"",IFERROR($D936*INDEX(Setup!$B$27:$B$44,MATCH($E936,Setup!$A$27:$A$44,0)),"TBD"))</f>
        <v/>
      </c>
      <c r="G936" s="32"/>
      <c r="H936" s="32"/>
      <c r="I936" s="32"/>
      <c r="J936" s="32"/>
      <c r="K936" s="35"/>
      <c r="L936" s="32"/>
      <c r="M936" s="32"/>
    </row>
    <row r="937" customFormat="false" ht="15" hidden="false" customHeight="true" outlineLevel="0" collapsed="false">
      <c r="A937" s="32"/>
      <c r="B937" s="32"/>
      <c r="C937" s="32"/>
      <c r="D937" s="32"/>
      <c r="E937" s="34" t="str">
        <f aca="false">IF($B937="","",IF($B937="OUT","Liters",IFERROR(INDEX(Setup!$F$3:$F$24,MATCH($C937,Setup!$A$3:$A$24,0)),"")))</f>
        <v/>
      </c>
      <c r="F937" s="28" t="str">
        <f aca="false">IF(OR($D937="",$E937=""),"",IFERROR($D937*INDEX(Setup!$B$27:$B$44,MATCH($E937,Setup!$A$27:$A$44,0)),"TBD"))</f>
        <v/>
      </c>
      <c r="G937" s="32"/>
      <c r="H937" s="32"/>
      <c r="I937" s="32"/>
      <c r="J937" s="32"/>
      <c r="K937" s="35"/>
      <c r="L937" s="32"/>
      <c r="M937" s="32"/>
    </row>
    <row r="938" customFormat="false" ht="15" hidden="false" customHeight="true" outlineLevel="0" collapsed="false">
      <c r="A938" s="32"/>
      <c r="B938" s="32"/>
      <c r="C938" s="32"/>
      <c r="D938" s="32"/>
      <c r="E938" s="34" t="str">
        <f aca="false">IF($B938="","",IF($B938="OUT","Liters",IFERROR(INDEX(Setup!$F$3:$F$24,MATCH($C938,Setup!$A$3:$A$24,0)),"")))</f>
        <v/>
      </c>
      <c r="F938" s="28" t="str">
        <f aca="false">IF(OR($D938="",$E938=""),"",IFERROR($D938*INDEX(Setup!$B$27:$B$44,MATCH($E938,Setup!$A$27:$A$44,0)),"TBD"))</f>
        <v/>
      </c>
      <c r="G938" s="32"/>
      <c r="H938" s="32"/>
      <c r="I938" s="32"/>
      <c r="J938" s="32"/>
      <c r="K938" s="35"/>
      <c r="L938" s="32"/>
      <c r="M938" s="32"/>
    </row>
    <row r="939" customFormat="false" ht="15" hidden="false" customHeight="true" outlineLevel="0" collapsed="false">
      <c r="A939" s="32"/>
      <c r="B939" s="32"/>
      <c r="C939" s="32"/>
      <c r="D939" s="32"/>
      <c r="E939" s="34" t="str">
        <f aca="false">IF($B939="","",IF($B939="OUT","Liters",IFERROR(INDEX(Setup!$F$3:$F$24,MATCH($C939,Setup!$A$3:$A$24,0)),"")))</f>
        <v/>
      </c>
      <c r="F939" s="28" t="str">
        <f aca="false">IF(OR($D939="",$E939=""),"",IFERROR($D939*INDEX(Setup!$B$27:$B$44,MATCH($E939,Setup!$A$27:$A$44,0)),"TBD"))</f>
        <v/>
      </c>
      <c r="G939" s="32"/>
      <c r="H939" s="32"/>
      <c r="I939" s="32"/>
      <c r="J939" s="32"/>
      <c r="K939" s="35"/>
      <c r="L939" s="32"/>
      <c r="M939" s="32"/>
    </row>
    <row r="940" customFormat="false" ht="15" hidden="false" customHeight="true" outlineLevel="0" collapsed="false">
      <c r="A940" s="32"/>
      <c r="B940" s="32"/>
      <c r="C940" s="32"/>
      <c r="D940" s="32"/>
      <c r="E940" s="34" t="str">
        <f aca="false">IF($B940="","",IF($B940="OUT","Liters",IFERROR(INDEX(Setup!$F$3:$F$24,MATCH($C940,Setup!$A$3:$A$24,0)),"")))</f>
        <v/>
      </c>
      <c r="F940" s="28" t="str">
        <f aca="false">IF(OR($D940="",$E940=""),"",IFERROR($D940*INDEX(Setup!$B$27:$B$44,MATCH($E940,Setup!$A$27:$A$44,0)),"TBD"))</f>
        <v/>
      </c>
      <c r="G940" s="32"/>
      <c r="H940" s="32"/>
      <c r="I940" s="32"/>
      <c r="J940" s="32"/>
      <c r="K940" s="35"/>
      <c r="L940" s="32"/>
      <c r="M940" s="32"/>
    </row>
    <row r="941" customFormat="false" ht="15" hidden="false" customHeight="true" outlineLevel="0" collapsed="false">
      <c r="A941" s="32"/>
      <c r="B941" s="32"/>
      <c r="C941" s="32"/>
      <c r="D941" s="32"/>
      <c r="E941" s="34" t="str">
        <f aca="false">IF($B941="","",IF($B941="OUT","Liters",IFERROR(INDEX(Setup!$F$3:$F$24,MATCH($C941,Setup!$A$3:$A$24,0)),"")))</f>
        <v/>
      </c>
      <c r="F941" s="28" t="str">
        <f aca="false">IF(OR($D941="",$E941=""),"",IFERROR($D941*INDEX(Setup!$B$27:$B$44,MATCH($E941,Setup!$A$27:$A$44,0)),"TBD"))</f>
        <v/>
      </c>
      <c r="G941" s="32"/>
      <c r="H941" s="32"/>
      <c r="I941" s="32"/>
      <c r="J941" s="32"/>
      <c r="K941" s="35"/>
      <c r="L941" s="32"/>
      <c r="M941" s="32"/>
    </row>
    <row r="942" customFormat="false" ht="15" hidden="false" customHeight="true" outlineLevel="0" collapsed="false">
      <c r="A942" s="32"/>
      <c r="B942" s="32"/>
      <c r="C942" s="32"/>
      <c r="D942" s="32"/>
      <c r="E942" s="34" t="str">
        <f aca="false">IF($B942="","",IF($B942="OUT","Liters",IFERROR(INDEX(Setup!$F$3:$F$24,MATCH($C942,Setup!$A$3:$A$24,0)),"")))</f>
        <v/>
      </c>
      <c r="F942" s="28" t="str">
        <f aca="false">IF(OR($D942="",$E942=""),"",IFERROR($D942*INDEX(Setup!$B$27:$B$44,MATCH($E942,Setup!$A$27:$A$44,0)),"TBD"))</f>
        <v/>
      </c>
      <c r="G942" s="32"/>
      <c r="H942" s="32"/>
      <c r="I942" s="32"/>
      <c r="J942" s="32"/>
      <c r="K942" s="35"/>
      <c r="L942" s="32"/>
      <c r="M942" s="32"/>
    </row>
    <row r="943" customFormat="false" ht="15" hidden="false" customHeight="true" outlineLevel="0" collapsed="false">
      <c r="A943" s="32"/>
      <c r="B943" s="32"/>
      <c r="C943" s="32"/>
      <c r="D943" s="32"/>
      <c r="E943" s="34" t="str">
        <f aca="false">IF($B943="","",IF($B943="OUT","Liters",IFERROR(INDEX(Setup!$F$3:$F$24,MATCH($C943,Setup!$A$3:$A$24,0)),"")))</f>
        <v/>
      </c>
      <c r="F943" s="28" t="str">
        <f aca="false">IF(OR($D943="",$E943=""),"",IFERROR($D943*INDEX(Setup!$B$27:$B$44,MATCH($E943,Setup!$A$27:$A$44,0)),"TBD"))</f>
        <v/>
      </c>
      <c r="G943" s="32"/>
      <c r="H943" s="32"/>
      <c r="I943" s="32"/>
      <c r="J943" s="32"/>
      <c r="K943" s="35"/>
      <c r="L943" s="32"/>
      <c r="M943" s="32"/>
    </row>
    <row r="944" customFormat="false" ht="15" hidden="false" customHeight="true" outlineLevel="0" collapsed="false">
      <c r="A944" s="32"/>
      <c r="B944" s="32"/>
      <c r="C944" s="32"/>
      <c r="D944" s="32"/>
      <c r="E944" s="34" t="str">
        <f aca="false">IF($B944="","",IF($B944="OUT","Liters",IFERROR(INDEX(Setup!$F$3:$F$24,MATCH($C944,Setup!$A$3:$A$24,0)),"")))</f>
        <v/>
      </c>
      <c r="F944" s="28" t="str">
        <f aca="false">IF(OR($D944="",$E944=""),"",IFERROR($D944*INDEX(Setup!$B$27:$B$44,MATCH($E944,Setup!$A$27:$A$44,0)),"TBD"))</f>
        <v/>
      </c>
      <c r="G944" s="32"/>
      <c r="H944" s="32"/>
      <c r="I944" s="32"/>
      <c r="J944" s="32"/>
      <c r="K944" s="35"/>
      <c r="L944" s="32"/>
      <c r="M944" s="32"/>
    </row>
    <row r="945" customFormat="false" ht="15" hidden="false" customHeight="true" outlineLevel="0" collapsed="false">
      <c r="A945" s="32"/>
      <c r="B945" s="32"/>
      <c r="C945" s="32"/>
      <c r="D945" s="32"/>
      <c r="E945" s="34" t="str">
        <f aca="false">IF($B945="","",IF($B945="OUT","Liters",IFERROR(INDEX(Setup!$F$3:$F$24,MATCH($C945,Setup!$A$3:$A$24,0)),"")))</f>
        <v/>
      </c>
      <c r="F945" s="28" t="str">
        <f aca="false">IF(OR($D945="",$E945=""),"",IFERROR($D945*INDEX(Setup!$B$27:$B$44,MATCH($E945,Setup!$A$27:$A$44,0)),"TBD"))</f>
        <v/>
      </c>
      <c r="G945" s="32"/>
      <c r="H945" s="32"/>
      <c r="I945" s="32"/>
      <c r="J945" s="32"/>
      <c r="K945" s="35"/>
      <c r="L945" s="32"/>
      <c r="M945" s="32"/>
    </row>
    <row r="946" customFormat="false" ht="15" hidden="false" customHeight="true" outlineLevel="0" collapsed="false">
      <c r="A946" s="32"/>
      <c r="B946" s="32"/>
      <c r="C946" s="32"/>
      <c r="D946" s="32"/>
      <c r="E946" s="34" t="str">
        <f aca="false">IF($B946="","",IF($B946="OUT","Liters",IFERROR(INDEX(Setup!$F$3:$F$24,MATCH($C946,Setup!$A$3:$A$24,0)),"")))</f>
        <v/>
      </c>
      <c r="F946" s="28" t="str">
        <f aca="false">IF(OR($D946="",$E946=""),"",IFERROR($D946*INDEX(Setup!$B$27:$B$44,MATCH($E946,Setup!$A$27:$A$44,0)),"TBD"))</f>
        <v/>
      </c>
      <c r="G946" s="32"/>
      <c r="H946" s="32"/>
      <c r="I946" s="32"/>
      <c r="J946" s="32"/>
      <c r="K946" s="35"/>
      <c r="L946" s="32"/>
      <c r="M946" s="32"/>
    </row>
    <row r="947" customFormat="false" ht="15" hidden="false" customHeight="true" outlineLevel="0" collapsed="false">
      <c r="A947" s="32"/>
      <c r="B947" s="32"/>
      <c r="C947" s="32"/>
      <c r="D947" s="32"/>
      <c r="E947" s="34" t="str">
        <f aca="false">IF($B947="","",IF($B947="OUT","Liters",IFERROR(INDEX(Setup!$F$3:$F$24,MATCH($C947,Setup!$A$3:$A$24,0)),"")))</f>
        <v/>
      </c>
      <c r="F947" s="28" t="str">
        <f aca="false">IF(OR($D947="",$E947=""),"",IFERROR($D947*INDEX(Setup!$B$27:$B$44,MATCH($E947,Setup!$A$27:$A$44,0)),"TBD"))</f>
        <v/>
      </c>
      <c r="G947" s="32"/>
      <c r="H947" s="32"/>
      <c r="I947" s="32"/>
      <c r="J947" s="32"/>
      <c r="K947" s="35"/>
      <c r="L947" s="32"/>
      <c r="M947" s="32"/>
    </row>
    <row r="948" customFormat="false" ht="15" hidden="false" customHeight="true" outlineLevel="0" collapsed="false">
      <c r="A948" s="32"/>
      <c r="B948" s="32"/>
      <c r="C948" s="32"/>
      <c r="D948" s="32"/>
      <c r="E948" s="34" t="str">
        <f aca="false">IF($B948="","",IF($B948="OUT","Liters",IFERROR(INDEX(Setup!$F$3:$F$24,MATCH($C948,Setup!$A$3:$A$24,0)),"")))</f>
        <v/>
      </c>
      <c r="F948" s="28" t="str">
        <f aca="false">IF(OR($D948="",$E948=""),"",IFERROR($D948*INDEX(Setup!$B$27:$B$44,MATCH($E948,Setup!$A$27:$A$44,0)),"TBD"))</f>
        <v/>
      </c>
      <c r="G948" s="32"/>
      <c r="H948" s="32"/>
      <c r="I948" s="32"/>
      <c r="J948" s="32"/>
      <c r="K948" s="35"/>
      <c r="L948" s="32"/>
      <c r="M948" s="32"/>
    </row>
    <row r="949" customFormat="false" ht="15" hidden="false" customHeight="true" outlineLevel="0" collapsed="false">
      <c r="A949" s="32"/>
      <c r="B949" s="32"/>
      <c r="C949" s="32"/>
      <c r="D949" s="32"/>
      <c r="E949" s="34" t="str">
        <f aca="false">IF($B949="","",IF($B949="OUT","Liters",IFERROR(INDEX(Setup!$F$3:$F$24,MATCH($C949,Setup!$A$3:$A$24,0)),"")))</f>
        <v/>
      </c>
      <c r="F949" s="28" t="str">
        <f aca="false">IF(OR($D949="",$E949=""),"",IFERROR($D949*INDEX(Setup!$B$27:$B$44,MATCH($E949,Setup!$A$27:$A$44,0)),"TBD"))</f>
        <v/>
      </c>
      <c r="G949" s="32"/>
      <c r="H949" s="32"/>
      <c r="I949" s="32"/>
      <c r="J949" s="32"/>
      <c r="K949" s="35"/>
      <c r="L949" s="32"/>
      <c r="M949" s="32"/>
    </row>
    <row r="950" customFormat="false" ht="15" hidden="false" customHeight="true" outlineLevel="0" collapsed="false">
      <c r="A950" s="32"/>
      <c r="B950" s="32"/>
      <c r="C950" s="32"/>
      <c r="D950" s="32"/>
      <c r="E950" s="34" t="str">
        <f aca="false">IF($B950="","",IF($B950="OUT","Liters",IFERROR(INDEX(Setup!$F$3:$F$24,MATCH($C950,Setup!$A$3:$A$24,0)),"")))</f>
        <v/>
      </c>
      <c r="F950" s="28" t="str">
        <f aca="false">IF(OR($D950="",$E950=""),"",IFERROR($D950*INDEX(Setup!$B$27:$B$44,MATCH($E950,Setup!$A$27:$A$44,0)),"TBD"))</f>
        <v/>
      </c>
      <c r="G950" s="32"/>
      <c r="H950" s="32"/>
      <c r="I950" s="32"/>
      <c r="J950" s="32"/>
      <c r="K950" s="35"/>
      <c r="L950" s="32"/>
      <c r="M950" s="32"/>
    </row>
    <row r="951" customFormat="false" ht="15" hidden="false" customHeight="true" outlineLevel="0" collapsed="false">
      <c r="A951" s="32"/>
      <c r="B951" s="32"/>
      <c r="C951" s="32"/>
      <c r="D951" s="32"/>
      <c r="E951" s="34" t="str">
        <f aca="false">IF($B951="","",IF($B951="OUT","Liters",IFERROR(INDEX(Setup!$F$3:$F$24,MATCH($C951,Setup!$A$3:$A$24,0)),"")))</f>
        <v/>
      </c>
      <c r="F951" s="28" t="str">
        <f aca="false">IF(OR($D951="",$E951=""),"",IFERROR($D951*INDEX(Setup!$B$27:$B$44,MATCH($E951,Setup!$A$27:$A$44,0)),"TBD"))</f>
        <v/>
      </c>
      <c r="G951" s="32"/>
      <c r="H951" s="32"/>
      <c r="I951" s="32"/>
      <c r="J951" s="32"/>
      <c r="K951" s="35"/>
      <c r="L951" s="32"/>
      <c r="M951" s="32"/>
    </row>
    <row r="952" customFormat="false" ht="15" hidden="false" customHeight="true" outlineLevel="0" collapsed="false">
      <c r="A952" s="32"/>
      <c r="B952" s="32"/>
      <c r="C952" s="32"/>
      <c r="D952" s="32"/>
      <c r="E952" s="34" t="str">
        <f aca="false">IF($B952="","",IF($B952="OUT","Liters",IFERROR(INDEX(Setup!$F$3:$F$24,MATCH($C952,Setup!$A$3:$A$24,0)),"")))</f>
        <v/>
      </c>
      <c r="F952" s="28" t="str">
        <f aca="false">IF(OR($D952="",$E952=""),"",IFERROR($D952*INDEX(Setup!$B$27:$B$44,MATCH($E952,Setup!$A$27:$A$44,0)),"TBD"))</f>
        <v/>
      </c>
      <c r="G952" s="32"/>
      <c r="H952" s="32"/>
      <c r="I952" s="32"/>
      <c r="J952" s="32"/>
      <c r="K952" s="35"/>
      <c r="L952" s="32"/>
      <c r="M952" s="32"/>
    </row>
    <row r="953" customFormat="false" ht="15" hidden="false" customHeight="true" outlineLevel="0" collapsed="false">
      <c r="A953" s="32"/>
      <c r="B953" s="32"/>
      <c r="C953" s="32"/>
      <c r="D953" s="32"/>
      <c r="E953" s="34" t="str">
        <f aca="false">IF($B953="","",IF($B953="OUT","Liters",IFERROR(INDEX(Setup!$F$3:$F$24,MATCH($C953,Setup!$A$3:$A$24,0)),"")))</f>
        <v/>
      </c>
      <c r="F953" s="28" t="str">
        <f aca="false">IF(OR($D953="",$E953=""),"",IFERROR($D953*INDEX(Setup!$B$27:$B$44,MATCH($E953,Setup!$A$27:$A$44,0)),"TBD"))</f>
        <v/>
      </c>
      <c r="G953" s="32"/>
      <c r="H953" s="32"/>
      <c r="I953" s="32"/>
      <c r="J953" s="32"/>
      <c r="K953" s="35"/>
      <c r="L953" s="32"/>
      <c r="M953" s="32"/>
    </row>
    <row r="954" customFormat="false" ht="15" hidden="false" customHeight="true" outlineLevel="0" collapsed="false">
      <c r="A954" s="32"/>
      <c r="B954" s="32"/>
      <c r="C954" s="32"/>
      <c r="D954" s="32"/>
      <c r="E954" s="34" t="str">
        <f aca="false">IF($B954="","",IF($B954="OUT","Liters",IFERROR(INDEX(Setup!$F$3:$F$24,MATCH($C954,Setup!$A$3:$A$24,0)),"")))</f>
        <v/>
      </c>
      <c r="F954" s="28" t="str">
        <f aca="false">IF(OR($D954="",$E954=""),"",IFERROR($D954*INDEX(Setup!$B$27:$B$44,MATCH($E954,Setup!$A$27:$A$44,0)),"TBD"))</f>
        <v/>
      </c>
      <c r="G954" s="32"/>
      <c r="H954" s="32"/>
      <c r="I954" s="32"/>
      <c r="J954" s="32"/>
      <c r="K954" s="35"/>
      <c r="L954" s="32"/>
      <c r="M954" s="32"/>
    </row>
    <row r="955" customFormat="false" ht="15" hidden="false" customHeight="true" outlineLevel="0" collapsed="false">
      <c r="A955" s="32"/>
      <c r="B955" s="32"/>
      <c r="C955" s="32"/>
      <c r="D955" s="32"/>
      <c r="E955" s="34" t="str">
        <f aca="false">IF($B955="","",IF($B955="OUT","Liters",IFERROR(INDEX(Setup!$F$3:$F$24,MATCH($C955,Setup!$A$3:$A$24,0)),"")))</f>
        <v/>
      </c>
      <c r="F955" s="28" t="str">
        <f aca="false">IF(OR($D955="",$E955=""),"",IFERROR($D955*INDEX(Setup!$B$27:$B$44,MATCH($E955,Setup!$A$27:$A$44,0)),"TBD"))</f>
        <v/>
      </c>
      <c r="G955" s="32"/>
      <c r="H955" s="32"/>
      <c r="I955" s="32"/>
      <c r="J955" s="32"/>
      <c r="K955" s="35"/>
      <c r="L955" s="32"/>
      <c r="M955" s="32"/>
    </row>
    <row r="956" customFormat="false" ht="15" hidden="false" customHeight="true" outlineLevel="0" collapsed="false">
      <c r="A956" s="32"/>
      <c r="B956" s="32"/>
      <c r="C956" s="32"/>
      <c r="D956" s="32"/>
      <c r="E956" s="34" t="str">
        <f aca="false">IF($B956="","",IF($B956="OUT","Liters",IFERROR(INDEX(Setup!$F$3:$F$24,MATCH($C956,Setup!$A$3:$A$24,0)),"")))</f>
        <v/>
      </c>
      <c r="F956" s="28" t="str">
        <f aca="false">IF(OR($D956="",$E956=""),"",IFERROR($D956*INDEX(Setup!$B$27:$B$44,MATCH($E956,Setup!$A$27:$A$44,0)),"TBD"))</f>
        <v/>
      </c>
      <c r="G956" s="32"/>
      <c r="H956" s="32"/>
      <c r="I956" s="32"/>
      <c r="J956" s="32"/>
      <c r="K956" s="35"/>
      <c r="L956" s="32"/>
      <c r="M956" s="32"/>
    </row>
    <row r="957" customFormat="false" ht="15" hidden="false" customHeight="true" outlineLevel="0" collapsed="false">
      <c r="A957" s="32"/>
      <c r="B957" s="32"/>
      <c r="C957" s="32"/>
      <c r="D957" s="32"/>
      <c r="E957" s="34" t="str">
        <f aca="false">IF($B957="","",IF($B957="OUT","Liters",IFERROR(INDEX(Setup!$F$3:$F$24,MATCH($C957,Setup!$A$3:$A$24,0)),"")))</f>
        <v/>
      </c>
      <c r="F957" s="28" t="str">
        <f aca="false">IF(OR($D957="",$E957=""),"",IFERROR($D957*INDEX(Setup!$B$27:$B$44,MATCH($E957,Setup!$A$27:$A$44,0)),"TBD"))</f>
        <v/>
      </c>
      <c r="G957" s="32"/>
      <c r="H957" s="32"/>
      <c r="I957" s="32"/>
      <c r="J957" s="32"/>
      <c r="K957" s="35"/>
      <c r="L957" s="32"/>
      <c r="M957" s="32"/>
    </row>
    <row r="958" customFormat="false" ht="15" hidden="false" customHeight="true" outlineLevel="0" collapsed="false">
      <c r="A958" s="32"/>
      <c r="B958" s="32"/>
      <c r="C958" s="32"/>
      <c r="D958" s="32"/>
      <c r="E958" s="34" t="str">
        <f aca="false">IF($B958="","",IF($B958="OUT","Liters",IFERROR(INDEX(Setup!$F$3:$F$24,MATCH($C958,Setup!$A$3:$A$24,0)),"")))</f>
        <v/>
      </c>
      <c r="F958" s="28" t="str">
        <f aca="false">IF(OR($D958="",$E958=""),"",IFERROR($D958*INDEX(Setup!$B$27:$B$44,MATCH($E958,Setup!$A$27:$A$44,0)),"TBD"))</f>
        <v/>
      </c>
      <c r="G958" s="32"/>
      <c r="H958" s="32"/>
      <c r="I958" s="32"/>
      <c r="J958" s="32"/>
      <c r="K958" s="35"/>
      <c r="L958" s="32"/>
      <c r="M958" s="32"/>
    </row>
    <row r="959" customFormat="false" ht="15" hidden="false" customHeight="true" outlineLevel="0" collapsed="false">
      <c r="A959" s="32"/>
      <c r="B959" s="32"/>
      <c r="C959" s="32"/>
      <c r="D959" s="32"/>
      <c r="E959" s="34" t="str">
        <f aca="false">IF($B959="","",IF($B959="OUT","Liters",IFERROR(INDEX(Setup!$F$3:$F$24,MATCH($C959,Setup!$A$3:$A$24,0)),"")))</f>
        <v/>
      </c>
      <c r="F959" s="28" t="str">
        <f aca="false">IF(OR($D959="",$E959=""),"",IFERROR($D959*INDEX(Setup!$B$27:$B$44,MATCH($E959,Setup!$A$27:$A$44,0)),"TBD"))</f>
        <v/>
      </c>
      <c r="G959" s="32"/>
      <c r="H959" s="32"/>
      <c r="I959" s="32"/>
      <c r="J959" s="32"/>
      <c r="K959" s="35"/>
      <c r="L959" s="32"/>
      <c r="M959" s="32"/>
    </row>
    <row r="960" customFormat="false" ht="15" hidden="false" customHeight="true" outlineLevel="0" collapsed="false">
      <c r="A960" s="32"/>
      <c r="B960" s="32"/>
      <c r="C960" s="32"/>
      <c r="D960" s="32"/>
      <c r="E960" s="34" t="str">
        <f aca="false">IF($B960="","",IF($B960="OUT","Liters",IFERROR(INDEX(Setup!$F$3:$F$24,MATCH($C960,Setup!$A$3:$A$24,0)),"")))</f>
        <v/>
      </c>
      <c r="F960" s="28" t="str">
        <f aca="false">IF(OR($D960="",$E960=""),"",IFERROR($D960*INDEX(Setup!$B$27:$B$44,MATCH($E960,Setup!$A$27:$A$44,0)),"TBD"))</f>
        <v/>
      </c>
      <c r="G960" s="32"/>
      <c r="H960" s="32"/>
      <c r="I960" s="32"/>
      <c r="J960" s="32"/>
      <c r="K960" s="35"/>
      <c r="L960" s="32"/>
      <c r="M960" s="32"/>
    </row>
    <row r="961" customFormat="false" ht="15" hidden="false" customHeight="true" outlineLevel="0" collapsed="false">
      <c r="A961" s="32"/>
      <c r="B961" s="32"/>
      <c r="C961" s="32"/>
      <c r="D961" s="32"/>
      <c r="E961" s="34" t="str">
        <f aca="false">IF($B961="","",IF($B961="OUT","Liters",IFERROR(INDEX(Setup!$F$3:$F$24,MATCH($C961,Setup!$A$3:$A$24,0)),"")))</f>
        <v/>
      </c>
      <c r="F961" s="28" t="str">
        <f aca="false">IF(OR($D961="",$E961=""),"",IFERROR($D961*INDEX(Setup!$B$27:$B$44,MATCH($E961,Setup!$A$27:$A$44,0)),"TBD"))</f>
        <v/>
      </c>
      <c r="G961" s="32"/>
      <c r="H961" s="32"/>
      <c r="I961" s="32"/>
      <c r="J961" s="32"/>
      <c r="K961" s="35"/>
      <c r="L961" s="32"/>
      <c r="M961" s="32"/>
    </row>
    <row r="962" customFormat="false" ht="15" hidden="false" customHeight="true" outlineLevel="0" collapsed="false">
      <c r="A962" s="32"/>
      <c r="B962" s="32"/>
      <c r="C962" s="32"/>
      <c r="D962" s="32"/>
      <c r="E962" s="34" t="str">
        <f aca="false">IF($B962="","",IF($B962="OUT","Liters",IFERROR(INDEX(Setup!$F$3:$F$24,MATCH($C962,Setup!$A$3:$A$24,0)),"")))</f>
        <v/>
      </c>
      <c r="F962" s="28" t="str">
        <f aca="false">IF(OR($D962="",$E962=""),"",IFERROR($D962*INDEX(Setup!$B$27:$B$44,MATCH($E962,Setup!$A$27:$A$44,0)),"TBD"))</f>
        <v/>
      </c>
      <c r="G962" s="32"/>
      <c r="H962" s="32"/>
      <c r="I962" s="32"/>
      <c r="J962" s="32"/>
      <c r="K962" s="35"/>
      <c r="L962" s="32"/>
      <c r="M962" s="32"/>
    </row>
    <row r="963" customFormat="false" ht="15" hidden="false" customHeight="true" outlineLevel="0" collapsed="false">
      <c r="A963" s="32"/>
      <c r="B963" s="32"/>
      <c r="C963" s="32"/>
      <c r="D963" s="32"/>
      <c r="E963" s="34" t="str">
        <f aca="false">IF($B963="","",IF($B963="OUT","Liters",IFERROR(INDEX(Setup!$F$3:$F$24,MATCH($C963,Setup!$A$3:$A$24,0)),"")))</f>
        <v/>
      </c>
      <c r="F963" s="28" t="str">
        <f aca="false">IF(OR($D963="",$E963=""),"",IFERROR($D963*INDEX(Setup!$B$27:$B$44,MATCH($E963,Setup!$A$27:$A$44,0)),"TBD"))</f>
        <v/>
      </c>
      <c r="G963" s="32"/>
      <c r="H963" s="32"/>
      <c r="I963" s="32"/>
      <c r="J963" s="32"/>
      <c r="K963" s="35"/>
      <c r="L963" s="32"/>
      <c r="M963" s="32"/>
    </row>
    <row r="964" customFormat="false" ht="15" hidden="false" customHeight="true" outlineLevel="0" collapsed="false">
      <c r="A964" s="32"/>
      <c r="B964" s="32"/>
      <c r="C964" s="32"/>
      <c r="D964" s="32"/>
      <c r="E964" s="34" t="str">
        <f aca="false">IF($B964="","",IF($B964="OUT","Liters",IFERROR(INDEX(Setup!$F$3:$F$24,MATCH($C964,Setup!$A$3:$A$24,0)),"")))</f>
        <v/>
      </c>
      <c r="F964" s="28" t="str">
        <f aca="false">IF(OR($D964="",$E964=""),"",IFERROR($D964*INDEX(Setup!$B$27:$B$44,MATCH($E964,Setup!$A$27:$A$44,0)),"TBD"))</f>
        <v/>
      </c>
      <c r="G964" s="32"/>
      <c r="H964" s="32"/>
      <c r="I964" s="32"/>
      <c r="J964" s="32"/>
      <c r="K964" s="35"/>
      <c r="L964" s="32"/>
      <c r="M964" s="32"/>
    </row>
    <row r="965" customFormat="false" ht="15" hidden="false" customHeight="true" outlineLevel="0" collapsed="false">
      <c r="A965" s="32"/>
      <c r="B965" s="32"/>
      <c r="C965" s="32"/>
      <c r="D965" s="32"/>
      <c r="E965" s="34" t="str">
        <f aca="false">IF($B965="","",IF($B965="OUT","Liters",IFERROR(INDEX(Setup!$F$3:$F$24,MATCH($C965,Setup!$A$3:$A$24,0)),"")))</f>
        <v/>
      </c>
      <c r="F965" s="28" t="str">
        <f aca="false">IF(OR($D965="",$E965=""),"",IFERROR($D965*INDEX(Setup!$B$27:$B$44,MATCH($E965,Setup!$A$27:$A$44,0)),"TBD"))</f>
        <v/>
      </c>
      <c r="G965" s="32"/>
      <c r="H965" s="32"/>
      <c r="I965" s="32"/>
      <c r="J965" s="32"/>
      <c r="K965" s="35"/>
      <c r="L965" s="32"/>
      <c r="M965" s="32"/>
    </row>
    <row r="966" customFormat="false" ht="15" hidden="false" customHeight="true" outlineLevel="0" collapsed="false">
      <c r="A966" s="32"/>
      <c r="B966" s="32"/>
      <c r="C966" s="32"/>
      <c r="D966" s="32"/>
      <c r="E966" s="34" t="str">
        <f aca="false">IF($B966="","",IF($B966="OUT","Liters",IFERROR(INDEX(Setup!$F$3:$F$24,MATCH($C966,Setup!$A$3:$A$24,0)),"")))</f>
        <v/>
      </c>
      <c r="F966" s="28" t="str">
        <f aca="false">IF(OR($D966="",$E966=""),"",IFERROR($D966*INDEX(Setup!$B$27:$B$44,MATCH($E966,Setup!$A$27:$A$44,0)),"TBD"))</f>
        <v/>
      </c>
      <c r="G966" s="32"/>
      <c r="H966" s="32"/>
      <c r="I966" s="32"/>
      <c r="J966" s="32"/>
      <c r="K966" s="35"/>
      <c r="L966" s="32"/>
      <c r="M966" s="32"/>
    </row>
    <row r="967" customFormat="false" ht="15" hidden="false" customHeight="true" outlineLevel="0" collapsed="false">
      <c r="A967" s="32"/>
      <c r="B967" s="32"/>
      <c r="C967" s="32"/>
      <c r="D967" s="32"/>
      <c r="E967" s="34" t="str">
        <f aca="false">IF($B967="","",IF($B967="OUT","Liters",IFERROR(INDEX(Setup!$F$3:$F$24,MATCH($C967,Setup!$A$3:$A$24,0)),"")))</f>
        <v/>
      </c>
      <c r="F967" s="28" t="str">
        <f aca="false">IF(OR($D967="",$E967=""),"",IFERROR($D967*INDEX(Setup!$B$27:$B$44,MATCH($E967,Setup!$A$27:$A$44,0)),"TBD"))</f>
        <v/>
      </c>
      <c r="G967" s="32"/>
      <c r="H967" s="32"/>
      <c r="I967" s="32"/>
      <c r="J967" s="32"/>
      <c r="K967" s="35"/>
      <c r="L967" s="32"/>
      <c r="M967" s="32"/>
    </row>
    <row r="968" customFormat="false" ht="15" hidden="false" customHeight="true" outlineLevel="0" collapsed="false">
      <c r="A968" s="32"/>
      <c r="B968" s="32"/>
      <c r="C968" s="32"/>
      <c r="D968" s="32"/>
      <c r="E968" s="34" t="str">
        <f aca="false">IF($B968="","",IF($B968="OUT","Liters",IFERROR(INDEX(Setup!$F$3:$F$24,MATCH($C968,Setup!$A$3:$A$24,0)),"")))</f>
        <v/>
      </c>
      <c r="F968" s="28" t="str">
        <f aca="false">IF(OR($D968="",$E968=""),"",IFERROR($D968*INDEX(Setup!$B$27:$B$44,MATCH($E968,Setup!$A$27:$A$44,0)),"TBD"))</f>
        <v/>
      </c>
      <c r="G968" s="32"/>
      <c r="H968" s="32"/>
      <c r="I968" s="32"/>
      <c r="J968" s="32"/>
      <c r="K968" s="35"/>
      <c r="L968" s="32"/>
      <c r="M968" s="32"/>
    </row>
    <row r="969" customFormat="false" ht="15" hidden="false" customHeight="true" outlineLevel="0" collapsed="false">
      <c r="A969" s="32"/>
      <c r="B969" s="32"/>
      <c r="C969" s="32"/>
      <c r="D969" s="32"/>
      <c r="E969" s="34" t="str">
        <f aca="false">IF($B969="","",IF($B969="OUT","Liters",IFERROR(INDEX(Setup!$F$3:$F$24,MATCH($C969,Setup!$A$3:$A$24,0)),"")))</f>
        <v/>
      </c>
      <c r="F969" s="28" t="str">
        <f aca="false">IF(OR($D969="",$E969=""),"",IFERROR($D969*INDEX(Setup!$B$27:$B$44,MATCH($E969,Setup!$A$27:$A$44,0)),"TBD"))</f>
        <v/>
      </c>
      <c r="G969" s="32"/>
      <c r="H969" s="32"/>
      <c r="I969" s="32"/>
      <c r="J969" s="32"/>
      <c r="K969" s="35"/>
      <c r="L969" s="32"/>
      <c r="M969" s="32"/>
    </row>
    <row r="970" customFormat="false" ht="15" hidden="false" customHeight="true" outlineLevel="0" collapsed="false">
      <c r="A970" s="32"/>
      <c r="B970" s="32"/>
      <c r="C970" s="32"/>
      <c r="D970" s="32"/>
      <c r="E970" s="34" t="str">
        <f aca="false">IF($B970="","",IF($B970="OUT","Liters",IFERROR(INDEX(Setup!$F$3:$F$24,MATCH($C970,Setup!$A$3:$A$24,0)),"")))</f>
        <v/>
      </c>
      <c r="F970" s="28" t="str">
        <f aca="false">IF(OR($D970="",$E970=""),"",IFERROR($D970*INDEX(Setup!$B$27:$B$44,MATCH($E970,Setup!$A$27:$A$44,0)),"TBD"))</f>
        <v/>
      </c>
      <c r="G970" s="32"/>
      <c r="H970" s="32"/>
      <c r="I970" s="32"/>
      <c r="J970" s="32"/>
      <c r="K970" s="35"/>
      <c r="L970" s="32"/>
      <c r="M970" s="32"/>
    </row>
    <row r="971" customFormat="false" ht="15" hidden="false" customHeight="true" outlineLevel="0" collapsed="false">
      <c r="A971" s="32"/>
      <c r="B971" s="32"/>
      <c r="C971" s="32"/>
      <c r="D971" s="32"/>
      <c r="E971" s="34" t="str">
        <f aca="false">IF($B971="","",IF($B971="OUT","Liters",IFERROR(INDEX(Setup!$F$3:$F$24,MATCH($C971,Setup!$A$3:$A$24,0)),"")))</f>
        <v/>
      </c>
      <c r="F971" s="28" t="str">
        <f aca="false">IF(OR($D971="",$E971=""),"",IFERROR($D971*INDEX(Setup!$B$27:$B$44,MATCH($E971,Setup!$A$27:$A$44,0)),"TBD"))</f>
        <v/>
      </c>
      <c r="G971" s="32"/>
      <c r="H971" s="32"/>
      <c r="I971" s="32"/>
      <c r="J971" s="32"/>
      <c r="K971" s="35"/>
      <c r="L971" s="32"/>
      <c r="M971" s="32"/>
    </row>
    <row r="972" customFormat="false" ht="15" hidden="false" customHeight="true" outlineLevel="0" collapsed="false">
      <c r="A972" s="32"/>
      <c r="B972" s="32"/>
      <c r="C972" s="32"/>
      <c r="D972" s="32"/>
      <c r="E972" s="34" t="str">
        <f aca="false">IF($B972="","",IF($B972="OUT","Liters",IFERROR(INDEX(Setup!$F$3:$F$24,MATCH($C972,Setup!$A$3:$A$24,0)),"")))</f>
        <v/>
      </c>
      <c r="F972" s="28" t="str">
        <f aca="false">IF(OR($D972="",$E972=""),"",IFERROR($D972*INDEX(Setup!$B$27:$B$44,MATCH($E972,Setup!$A$27:$A$44,0)),"TBD"))</f>
        <v/>
      </c>
      <c r="G972" s="32"/>
      <c r="H972" s="32"/>
      <c r="I972" s="32"/>
      <c r="J972" s="32"/>
      <c r="K972" s="35"/>
      <c r="L972" s="32"/>
      <c r="M972" s="32"/>
    </row>
    <row r="973" customFormat="false" ht="15" hidden="false" customHeight="true" outlineLevel="0" collapsed="false">
      <c r="A973" s="32"/>
      <c r="B973" s="32"/>
      <c r="C973" s="32"/>
      <c r="D973" s="32"/>
      <c r="E973" s="34" t="str">
        <f aca="false">IF($B973="","",IF($B973="OUT","Liters",IFERROR(INDEX(Setup!$F$3:$F$24,MATCH($C973,Setup!$A$3:$A$24,0)),"")))</f>
        <v/>
      </c>
      <c r="F973" s="28" t="str">
        <f aca="false">IF(OR($D973="",$E973=""),"",IFERROR($D973*INDEX(Setup!$B$27:$B$44,MATCH($E973,Setup!$A$27:$A$44,0)),"TBD"))</f>
        <v/>
      </c>
      <c r="G973" s="32"/>
      <c r="H973" s="32"/>
      <c r="I973" s="32"/>
      <c r="J973" s="32"/>
      <c r="K973" s="35"/>
      <c r="L973" s="32"/>
      <c r="M973" s="32"/>
    </row>
    <row r="974" customFormat="false" ht="15" hidden="false" customHeight="true" outlineLevel="0" collapsed="false">
      <c r="A974" s="32"/>
      <c r="B974" s="32"/>
      <c r="C974" s="32"/>
      <c r="D974" s="32"/>
      <c r="E974" s="34" t="str">
        <f aca="false">IF($B974="","",IF($B974="OUT","Liters",IFERROR(INDEX(Setup!$F$3:$F$24,MATCH($C974,Setup!$A$3:$A$24,0)),"")))</f>
        <v/>
      </c>
      <c r="F974" s="28" t="str">
        <f aca="false">IF(OR($D974="",$E974=""),"",IFERROR($D974*INDEX(Setup!$B$27:$B$44,MATCH($E974,Setup!$A$27:$A$44,0)),"TBD"))</f>
        <v/>
      </c>
      <c r="G974" s="32"/>
      <c r="H974" s="32"/>
      <c r="I974" s="32"/>
      <c r="J974" s="32"/>
      <c r="K974" s="35"/>
      <c r="L974" s="32"/>
      <c r="M974" s="32"/>
    </row>
    <row r="975" customFormat="false" ht="15" hidden="false" customHeight="true" outlineLevel="0" collapsed="false">
      <c r="A975" s="32"/>
      <c r="B975" s="32"/>
      <c r="C975" s="32"/>
      <c r="D975" s="32"/>
      <c r="E975" s="34" t="str">
        <f aca="false">IF($B975="","",IF($B975="OUT","Liters",IFERROR(INDEX(Setup!$F$3:$F$24,MATCH($C975,Setup!$A$3:$A$24,0)),"")))</f>
        <v/>
      </c>
      <c r="F975" s="28" t="str">
        <f aca="false">IF(OR($D975="",$E975=""),"",IFERROR($D975*INDEX(Setup!$B$27:$B$44,MATCH($E975,Setup!$A$27:$A$44,0)),"TBD"))</f>
        <v/>
      </c>
      <c r="G975" s="32"/>
      <c r="H975" s="32"/>
      <c r="I975" s="32"/>
      <c r="J975" s="32"/>
      <c r="K975" s="35"/>
      <c r="L975" s="32"/>
      <c r="M975" s="32"/>
    </row>
    <row r="976" customFormat="false" ht="15" hidden="false" customHeight="true" outlineLevel="0" collapsed="false">
      <c r="A976" s="32"/>
      <c r="B976" s="32"/>
      <c r="C976" s="32"/>
      <c r="D976" s="32"/>
      <c r="E976" s="34" t="str">
        <f aca="false">IF($B976="","",IF($B976="OUT","Liters",IFERROR(INDEX(Setup!$F$3:$F$24,MATCH($C976,Setup!$A$3:$A$24,0)),"")))</f>
        <v/>
      </c>
      <c r="F976" s="28" t="str">
        <f aca="false">IF(OR($D976="",$E976=""),"",IFERROR($D976*INDEX(Setup!$B$27:$B$44,MATCH($E976,Setup!$A$27:$A$44,0)),"TBD"))</f>
        <v/>
      </c>
      <c r="G976" s="32"/>
      <c r="H976" s="32"/>
      <c r="I976" s="32"/>
      <c r="J976" s="32"/>
      <c r="K976" s="35"/>
      <c r="L976" s="32"/>
      <c r="M976" s="32"/>
    </row>
    <row r="977" customFormat="false" ht="15" hidden="false" customHeight="true" outlineLevel="0" collapsed="false">
      <c r="A977" s="32"/>
      <c r="B977" s="32"/>
      <c r="C977" s="32"/>
      <c r="D977" s="32"/>
      <c r="E977" s="34" t="str">
        <f aca="false">IF($B977="","",IF($B977="OUT","Liters",IFERROR(INDEX(Setup!$F$3:$F$24,MATCH($C977,Setup!$A$3:$A$24,0)),"")))</f>
        <v/>
      </c>
      <c r="F977" s="28" t="str">
        <f aca="false">IF(OR($D977="",$E977=""),"",IFERROR($D977*INDEX(Setup!$B$27:$B$44,MATCH($E977,Setup!$A$27:$A$44,0)),"TBD"))</f>
        <v/>
      </c>
      <c r="G977" s="32"/>
      <c r="H977" s="32"/>
      <c r="I977" s="32"/>
      <c r="J977" s="32"/>
      <c r="K977" s="35"/>
      <c r="L977" s="32"/>
      <c r="M977" s="32"/>
    </row>
    <row r="978" customFormat="false" ht="15" hidden="false" customHeight="true" outlineLevel="0" collapsed="false">
      <c r="A978" s="32"/>
      <c r="B978" s="32"/>
      <c r="C978" s="32"/>
      <c r="D978" s="32"/>
      <c r="E978" s="34" t="str">
        <f aca="false">IF($B978="","",IF($B978="OUT","Liters",IFERROR(INDEX(Setup!$F$3:$F$24,MATCH($C978,Setup!$A$3:$A$24,0)),"")))</f>
        <v/>
      </c>
      <c r="F978" s="28" t="str">
        <f aca="false">IF(OR($D978="",$E978=""),"",IFERROR($D978*INDEX(Setup!$B$27:$B$44,MATCH($E978,Setup!$A$27:$A$44,0)),"TBD"))</f>
        <v/>
      </c>
      <c r="G978" s="32"/>
      <c r="H978" s="32"/>
      <c r="I978" s="32"/>
      <c r="J978" s="32"/>
      <c r="K978" s="35"/>
      <c r="L978" s="32"/>
      <c r="M978" s="32"/>
    </row>
    <row r="979" customFormat="false" ht="15" hidden="false" customHeight="true" outlineLevel="0" collapsed="false">
      <c r="A979" s="32"/>
      <c r="B979" s="32"/>
      <c r="C979" s="32"/>
      <c r="D979" s="32"/>
      <c r="E979" s="34" t="str">
        <f aca="false">IF($B979="","",IF($B979="OUT","Liters",IFERROR(INDEX(Setup!$F$3:$F$24,MATCH($C979,Setup!$A$3:$A$24,0)),"")))</f>
        <v/>
      </c>
      <c r="F979" s="28" t="str">
        <f aca="false">IF(OR($D979="",$E979=""),"",IFERROR($D979*INDEX(Setup!$B$27:$B$44,MATCH($E979,Setup!$A$27:$A$44,0)),"TBD"))</f>
        <v/>
      </c>
      <c r="G979" s="32"/>
      <c r="H979" s="32"/>
      <c r="I979" s="32"/>
      <c r="J979" s="32"/>
      <c r="K979" s="35"/>
      <c r="L979" s="32"/>
      <c r="M979" s="32"/>
    </row>
    <row r="980" customFormat="false" ht="15" hidden="false" customHeight="true" outlineLevel="0" collapsed="false">
      <c r="A980" s="32"/>
      <c r="B980" s="32"/>
      <c r="C980" s="32"/>
      <c r="D980" s="32"/>
      <c r="E980" s="34" t="str">
        <f aca="false">IF($B980="","",IF($B980="OUT","Liters",IFERROR(INDEX(Setup!$F$3:$F$24,MATCH($C980,Setup!$A$3:$A$24,0)),"")))</f>
        <v/>
      </c>
      <c r="F980" s="28" t="str">
        <f aca="false">IF(OR($D980="",$E980=""),"",IFERROR($D980*INDEX(Setup!$B$27:$B$44,MATCH($E980,Setup!$A$27:$A$44,0)),"TBD"))</f>
        <v/>
      </c>
      <c r="G980" s="32"/>
      <c r="H980" s="32"/>
      <c r="I980" s="32"/>
      <c r="J980" s="32"/>
      <c r="K980" s="35"/>
      <c r="L980" s="32"/>
      <c r="M980" s="32"/>
    </row>
    <row r="981" customFormat="false" ht="15" hidden="false" customHeight="true" outlineLevel="0" collapsed="false">
      <c r="A981" s="32"/>
      <c r="B981" s="32"/>
      <c r="C981" s="32"/>
      <c r="D981" s="32"/>
      <c r="E981" s="34" t="str">
        <f aca="false">IF($B981="","",IF($B981="OUT","Liters",IFERROR(INDEX(Setup!$F$3:$F$24,MATCH($C981,Setup!$A$3:$A$24,0)),"")))</f>
        <v/>
      </c>
      <c r="F981" s="28" t="str">
        <f aca="false">IF(OR($D981="",$E981=""),"",IFERROR($D981*INDEX(Setup!$B$27:$B$44,MATCH($E981,Setup!$A$27:$A$44,0)),"TBD"))</f>
        <v/>
      </c>
      <c r="G981" s="32"/>
      <c r="H981" s="32"/>
      <c r="I981" s="32"/>
      <c r="J981" s="32"/>
      <c r="K981" s="35"/>
      <c r="L981" s="32"/>
      <c r="M981" s="32"/>
    </row>
    <row r="982" customFormat="false" ht="15" hidden="false" customHeight="true" outlineLevel="0" collapsed="false">
      <c r="A982" s="32"/>
      <c r="B982" s="32"/>
      <c r="C982" s="32"/>
      <c r="D982" s="32"/>
      <c r="E982" s="34" t="str">
        <f aca="false">IF($B982="","",IF($B982="OUT","Liters",IFERROR(INDEX(Setup!$F$3:$F$24,MATCH($C982,Setup!$A$3:$A$24,0)),"")))</f>
        <v/>
      </c>
      <c r="F982" s="28" t="str">
        <f aca="false">IF(OR($D982="",$E982=""),"",IFERROR($D982*INDEX(Setup!$B$27:$B$44,MATCH($E982,Setup!$A$27:$A$44,0)),"TBD"))</f>
        <v/>
      </c>
      <c r="G982" s="32"/>
      <c r="H982" s="32"/>
      <c r="I982" s="32"/>
      <c r="J982" s="32"/>
      <c r="K982" s="35"/>
      <c r="L982" s="32"/>
      <c r="M982" s="32"/>
    </row>
    <row r="983" customFormat="false" ht="15" hidden="false" customHeight="true" outlineLevel="0" collapsed="false">
      <c r="A983" s="32"/>
      <c r="B983" s="32"/>
      <c r="C983" s="32"/>
      <c r="D983" s="32"/>
      <c r="E983" s="34" t="str">
        <f aca="false">IF($B983="","",IF($B983="OUT","Liters",IFERROR(INDEX(Setup!$F$3:$F$24,MATCH($C983,Setup!$A$3:$A$24,0)),"")))</f>
        <v/>
      </c>
      <c r="F983" s="28" t="str">
        <f aca="false">IF(OR($D983="",$E983=""),"",IFERROR($D983*INDEX(Setup!$B$27:$B$44,MATCH($E983,Setup!$A$27:$A$44,0)),"TBD"))</f>
        <v/>
      </c>
      <c r="G983" s="32"/>
      <c r="H983" s="32"/>
      <c r="I983" s="32"/>
      <c r="J983" s="32"/>
      <c r="K983" s="35"/>
      <c r="L983" s="32"/>
      <c r="M983" s="32"/>
    </row>
    <row r="984" customFormat="false" ht="15" hidden="false" customHeight="true" outlineLevel="0" collapsed="false">
      <c r="A984" s="32"/>
      <c r="B984" s="32"/>
      <c r="C984" s="32"/>
      <c r="D984" s="32"/>
      <c r="E984" s="34" t="str">
        <f aca="false">IF($B984="","",IF($B984="OUT","Liters",IFERROR(INDEX(Setup!$F$3:$F$24,MATCH($C984,Setup!$A$3:$A$24,0)),"")))</f>
        <v/>
      </c>
      <c r="F984" s="28" t="str">
        <f aca="false">IF(OR($D984="",$E984=""),"",IFERROR($D984*INDEX(Setup!$B$27:$B$44,MATCH($E984,Setup!$A$27:$A$44,0)),"TBD"))</f>
        <v/>
      </c>
      <c r="G984" s="32"/>
      <c r="H984" s="32"/>
      <c r="I984" s="32"/>
      <c r="J984" s="32"/>
      <c r="K984" s="35"/>
      <c r="L984" s="32"/>
      <c r="M984" s="32"/>
    </row>
    <row r="985" customFormat="false" ht="15" hidden="false" customHeight="true" outlineLevel="0" collapsed="false">
      <c r="A985" s="32"/>
      <c r="B985" s="32"/>
      <c r="C985" s="32"/>
      <c r="D985" s="32"/>
      <c r="E985" s="34" t="str">
        <f aca="false">IF($B985="","",IF($B985="OUT","Liters",IFERROR(INDEX(Setup!$F$3:$F$24,MATCH($C985,Setup!$A$3:$A$24,0)),"")))</f>
        <v/>
      </c>
      <c r="F985" s="28" t="str">
        <f aca="false">IF(OR($D985="",$E985=""),"",IFERROR($D985*INDEX(Setup!$B$27:$B$44,MATCH($E985,Setup!$A$27:$A$44,0)),"TBD"))</f>
        <v/>
      </c>
      <c r="G985" s="32"/>
      <c r="H985" s="32"/>
      <c r="I985" s="32"/>
      <c r="J985" s="32"/>
      <c r="K985" s="35"/>
      <c r="L985" s="32"/>
      <c r="M985" s="32"/>
    </row>
    <row r="986" customFormat="false" ht="15" hidden="false" customHeight="true" outlineLevel="0" collapsed="false">
      <c r="A986" s="32"/>
      <c r="B986" s="32"/>
      <c r="C986" s="32"/>
      <c r="D986" s="32"/>
      <c r="E986" s="34" t="str">
        <f aca="false">IF($B986="","",IF($B986="OUT","Liters",IFERROR(INDEX(Setup!$F$3:$F$24,MATCH($C986,Setup!$A$3:$A$24,0)),"")))</f>
        <v/>
      </c>
      <c r="F986" s="28" t="str">
        <f aca="false">IF(OR($D986="",$E986=""),"",IFERROR($D986*INDEX(Setup!$B$27:$B$44,MATCH($E986,Setup!$A$27:$A$44,0)),"TBD"))</f>
        <v/>
      </c>
      <c r="G986" s="32"/>
      <c r="H986" s="32"/>
      <c r="I986" s="32"/>
      <c r="J986" s="32"/>
      <c r="K986" s="35"/>
      <c r="L986" s="32"/>
      <c r="M986" s="32"/>
    </row>
    <row r="987" customFormat="false" ht="15" hidden="false" customHeight="true" outlineLevel="0" collapsed="false">
      <c r="A987" s="32"/>
      <c r="B987" s="32"/>
      <c r="C987" s="32"/>
      <c r="D987" s="32"/>
      <c r="E987" s="34" t="str">
        <f aca="false">IF($B987="","",IF($B987="OUT","Liters",IFERROR(INDEX(Setup!$F$3:$F$24,MATCH($C987,Setup!$A$3:$A$24,0)),"")))</f>
        <v/>
      </c>
      <c r="F987" s="28" t="str">
        <f aca="false">IF(OR($D987="",$E987=""),"",IFERROR($D987*INDEX(Setup!$B$27:$B$44,MATCH($E987,Setup!$A$27:$A$44,0)),"TBD"))</f>
        <v/>
      </c>
      <c r="G987" s="32"/>
      <c r="H987" s="32"/>
      <c r="I987" s="32"/>
      <c r="J987" s="32"/>
      <c r="K987" s="35"/>
      <c r="L987" s="32"/>
      <c r="M987" s="32"/>
    </row>
    <row r="988" customFormat="false" ht="15" hidden="false" customHeight="true" outlineLevel="0" collapsed="false">
      <c r="A988" s="32"/>
      <c r="B988" s="32"/>
      <c r="C988" s="32"/>
      <c r="D988" s="32"/>
      <c r="E988" s="34" t="str">
        <f aca="false">IF($B988="","",IF($B988="OUT","Liters",IFERROR(INDEX(Setup!$F$3:$F$24,MATCH($C988,Setup!$A$3:$A$24,0)),"")))</f>
        <v/>
      </c>
      <c r="F988" s="28" t="str">
        <f aca="false">IF(OR($D988="",$E988=""),"",IFERROR($D988*INDEX(Setup!$B$27:$B$44,MATCH($E988,Setup!$A$27:$A$44,0)),"TBD"))</f>
        <v/>
      </c>
      <c r="G988" s="32"/>
      <c r="H988" s="32"/>
      <c r="I988" s="32"/>
      <c r="J988" s="32"/>
      <c r="K988" s="35"/>
      <c r="L988" s="32"/>
      <c r="M988" s="32"/>
    </row>
    <row r="989" customFormat="false" ht="15" hidden="false" customHeight="true" outlineLevel="0" collapsed="false">
      <c r="A989" s="32"/>
      <c r="B989" s="32"/>
      <c r="C989" s="32"/>
      <c r="D989" s="32"/>
      <c r="E989" s="34" t="str">
        <f aca="false">IF($B989="","",IF($B989="OUT","Liters",IFERROR(INDEX(Setup!$F$3:$F$24,MATCH($C989,Setup!$A$3:$A$24,0)),"")))</f>
        <v/>
      </c>
      <c r="F989" s="28" t="str">
        <f aca="false">IF(OR($D989="",$E989=""),"",IFERROR($D989*INDEX(Setup!$B$27:$B$44,MATCH($E989,Setup!$A$27:$A$44,0)),"TBD"))</f>
        <v/>
      </c>
      <c r="G989" s="32"/>
      <c r="H989" s="32"/>
      <c r="I989" s="32"/>
      <c r="J989" s="32"/>
      <c r="K989" s="35"/>
      <c r="L989" s="32"/>
      <c r="M989" s="32"/>
    </row>
    <row r="990" customFormat="false" ht="15" hidden="false" customHeight="true" outlineLevel="0" collapsed="false">
      <c r="A990" s="32"/>
      <c r="B990" s="32"/>
      <c r="C990" s="32"/>
      <c r="D990" s="32"/>
      <c r="E990" s="34" t="str">
        <f aca="false">IF($B990="","",IF($B990="OUT","Liters",IFERROR(INDEX(Setup!$F$3:$F$24,MATCH($C990,Setup!$A$3:$A$24,0)),"")))</f>
        <v/>
      </c>
      <c r="F990" s="28" t="str">
        <f aca="false">IF(OR($D990="",$E990=""),"",IFERROR($D990*INDEX(Setup!$B$27:$B$44,MATCH($E990,Setup!$A$27:$A$44,0)),"TBD"))</f>
        <v/>
      </c>
      <c r="G990" s="32"/>
      <c r="H990" s="32"/>
      <c r="I990" s="32"/>
      <c r="J990" s="32"/>
      <c r="K990" s="35"/>
      <c r="L990" s="32"/>
      <c r="M990" s="32"/>
    </row>
    <row r="991" customFormat="false" ht="15" hidden="false" customHeight="true" outlineLevel="0" collapsed="false">
      <c r="A991" s="32"/>
      <c r="B991" s="32"/>
      <c r="C991" s="32"/>
      <c r="D991" s="32"/>
      <c r="E991" s="34" t="str">
        <f aca="false">IF($B991="","",IF($B991="OUT","Liters",IFERROR(INDEX(Setup!$F$3:$F$24,MATCH($C991,Setup!$A$3:$A$24,0)),"")))</f>
        <v/>
      </c>
      <c r="F991" s="28" t="str">
        <f aca="false">IF(OR($D991="",$E991=""),"",IFERROR($D991*INDEX(Setup!$B$27:$B$44,MATCH($E991,Setup!$A$27:$A$44,0)),"TBD"))</f>
        <v/>
      </c>
      <c r="G991" s="32"/>
      <c r="H991" s="32"/>
      <c r="I991" s="32"/>
      <c r="J991" s="32"/>
      <c r="K991" s="35"/>
      <c r="L991" s="32"/>
      <c r="M991" s="32"/>
    </row>
    <row r="992" customFormat="false" ht="15" hidden="false" customHeight="true" outlineLevel="0" collapsed="false">
      <c r="A992" s="32"/>
      <c r="B992" s="32"/>
      <c r="C992" s="32"/>
      <c r="D992" s="32"/>
      <c r="E992" s="34" t="str">
        <f aca="false">IF($B992="","",IF($B992="OUT","Liters",IFERROR(INDEX(Setup!$F$3:$F$24,MATCH($C992,Setup!$A$3:$A$24,0)),"")))</f>
        <v/>
      </c>
      <c r="F992" s="28" t="str">
        <f aca="false">IF(OR($D992="",$E992=""),"",IFERROR($D992*INDEX(Setup!$B$27:$B$44,MATCH($E992,Setup!$A$27:$A$44,0)),"TBD"))</f>
        <v/>
      </c>
      <c r="G992" s="32"/>
      <c r="H992" s="32"/>
      <c r="I992" s="32"/>
      <c r="J992" s="32"/>
      <c r="K992" s="35"/>
      <c r="L992" s="32"/>
      <c r="M992" s="32"/>
    </row>
    <row r="993" customFormat="false" ht="15" hidden="false" customHeight="true" outlineLevel="0" collapsed="false">
      <c r="A993" s="32"/>
      <c r="B993" s="32"/>
      <c r="C993" s="32"/>
      <c r="D993" s="32"/>
      <c r="E993" s="34" t="str">
        <f aca="false">IF($B993="","",IF($B993="OUT","Liters",IFERROR(INDEX(Setup!$F$3:$F$24,MATCH($C993,Setup!$A$3:$A$24,0)),"")))</f>
        <v/>
      </c>
      <c r="F993" s="28" t="str">
        <f aca="false">IF(OR($D993="",$E993=""),"",IFERROR($D993*INDEX(Setup!$B$27:$B$44,MATCH($E993,Setup!$A$27:$A$44,0)),"TBD"))</f>
        <v/>
      </c>
      <c r="G993" s="32"/>
      <c r="H993" s="32"/>
      <c r="I993" s="32"/>
      <c r="J993" s="32"/>
      <c r="K993" s="35"/>
      <c r="L993" s="32"/>
      <c r="M993" s="32"/>
    </row>
    <row r="994" customFormat="false" ht="15" hidden="false" customHeight="true" outlineLevel="0" collapsed="false">
      <c r="A994" s="32"/>
      <c r="B994" s="32"/>
      <c r="C994" s="32"/>
      <c r="D994" s="32"/>
      <c r="E994" s="34" t="str">
        <f aca="false">IF($B994="","",IF($B994="OUT","Liters",IFERROR(INDEX(Setup!$F$3:$F$24,MATCH($C994,Setup!$A$3:$A$24,0)),"")))</f>
        <v/>
      </c>
      <c r="F994" s="28" t="str">
        <f aca="false">IF(OR($D994="",$E994=""),"",IFERROR($D994*INDEX(Setup!$B$27:$B$44,MATCH($E994,Setup!$A$27:$A$44,0)),"TBD"))</f>
        <v/>
      </c>
      <c r="G994" s="32"/>
      <c r="H994" s="32"/>
      <c r="I994" s="32"/>
      <c r="J994" s="32"/>
      <c r="K994" s="35"/>
      <c r="L994" s="32"/>
      <c r="M994" s="32"/>
    </row>
    <row r="995" customFormat="false" ht="15" hidden="false" customHeight="true" outlineLevel="0" collapsed="false">
      <c r="A995" s="32"/>
      <c r="B995" s="32"/>
      <c r="C995" s="32"/>
      <c r="D995" s="32"/>
      <c r="E995" s="34" t="str">
        <f aca="false">IF($B995="","",IF($B995="OUT","Liters",IFERROR(INDEX(Setup!$F$3:$F$24,MATCH($C995,Setup!$A$3:$A$24,0)),"")))</f>
        <v/>
      </c>
      <c r="F995" s="28" t="str">
        <f aca="false">IF(OR($D995="",$E995=""),"",IFERROR($D995*INDEX(Setup!$B$27:$B$44,MATCH($E995,Setup!$A$27:$A$44,0)),"TBD"))</f>
        <v/>
      </c>
      <c r="G995" s="32"/>
      <c r="H995" s="32"/>
      <c r="I995" s="32"/>
      <c r="J995" s="32"/>
      <c r="K995" s="35"/>
      <c r="L995" s="32"/>
      <c r="M995" s="32"/>
    </row>
    <row r="996" customFormat="false" ht="15" hidden="false" customHeight="true" outlineLevel="0" collapsed="false">
      <c r="A996" s="32"/>
      <c r="B996" s="32"/>
      <c r="C996" s="32"/>
      <c r="D996" s="32"/>
      <c r="E996" s="34" t="str">
        <f aca="false">IF($B996="","",IF($B996="OUT","Liters",IFERROR(INDEX(Setup!$F$3:$F$24,MATCH($C996,Setup!$A$3:$A$24,0)),"")))</f>
        <v/>
      </c>
      <c r="F996" s="28" t="str">
        <f aca="false">IF(OR($D996="",$E996=""),"",IFERROR($D996*INDEX(Setup!$B$27:$B$44,MATCH($E996,Setup!$A$27:$A$44,0)),"TBD"))</f>
        <v/>
      </c>
      <c r="G996" s="32"/>
      <c r="H996" s="32"/>
      <c r="I996" s="32"/>
      <c r="J996" s="32"/>
      <c r="K996" s="35"/>
      <c r="L996" s="32"/>
      <c r="M996" s="32"/>
    </row>
    <row r="997" customFormat="false" ht="15" hidden="false" customHeight="true" outlineLevel="0" collapsed="false">
      <c r="A997" s="32"/>
      <c r="B997" s="32"/>
      <c r="C997" s="32"/>
      <c r="D997" s="32"/>
      <c r="E997" s="34" t="str">
        <f aca="false">IF($B997="","",IF($B997="OUT","Liters",IFERROR(INDEX(Setup!$F$3:$F$24,MATCH($C997,Setup!$A$3:$A$24,0)),"")))</f>
        <v/>
      </c>
      <c r="F997" s="28" t="str">
        <f aca="false">IF(OR($D997="",$E997=""),"",IFERROR($D997*INDEX(Setup!$B$27:$B$44,MATCH($E997,Setup!$A$27:$A$44,0)),"TBD"))</f>
        <v/>
      </c>
      <c r="G997" s="32"/>
      <c r="H997" s="32"/>
      <c r="I997" s="32"/>
      <c r="J997" s="32"/>
      <c r="K997" s="35"/>
      <c r="L997" s="32"/>
      <c r="M997" s="32"/>
    </row>
    <row r="998" customFormat="false" ht="15" hidden="false" customHeight="true" outlineLevel="0" collapsed="false">
      <c r="A998" s="32"/>
      <c r="B998" s="32"/>
      <c r="C998" s="32"/>
      <c r="D998" s="32"/>
      <c r="E998" s="34" t="str">
        <f aca="false">IF($B998="","",IF($B998="OUT","Liters",IFERROR(INDEX(Setup!$F$3:$F$24,MATCH($C998,Setup!$A$3:$A$24,0)),"")))</f>
        <v/>
      </c>
      <c r="F998" s="28" t="str">
        <f aca="false">IF(OR($D998="",$E998=""),"",IFERROR($D998*INDEX(Setup!$B$27:$B$44,MATCH($E998,Setup!$A$27:$A$44,0)),"TBD"))</f>
        <v/>
      </c>
      <c r="G998" s="32"/>
      <c r="H998" s="32"/>
      <c r="I998" s="32"/>
      <c r="J998" s="32"/>
      <c r="K998" s="35"/>
      <c r="L998" s="32"/>
      <c r="M998" s="32"/>
    </row>
    <row r="999" customFormat="false" ht="15" hidden="false" customHeight="true" outlineLevel="0" collapsed="false">
      <c r="A999" s="32"/>
      <c r="B999" s="32"/>
      <c r="C999" s="32"/>
      <c r="D999" s="32"/>
      <c r="E999" s="34" t="str">
        <f aca="false">IF($B999="","",IF($B999="OUT","Liters",IFERROR(INDEX(Setup!$F$3:$F$24,MATCH($C999,Setup!$A$3:$A$24,0)),"")))</f>
        <v/>
      </c>
      <c r="F999" s="28" t="str">
        <f aca="false">IF(OR($D999="",$E999=""),"",IFERROR($D999*INDEX(Setup!$B$27:$B$44,MATCH($E999,Setup!$A$27:$A$44,0)),"TBD"))</f>
        <v/>
      </c>
      <c r="G999" s="32"/>
      <c r="H999" s="32"/>
      <c r="I999" s="32"/>
      <c r="J999" s="32"/>
      <c r="K999" s="35"/>
      <c r="L999" s="32"/>
      <c r="M999" s="32"/>
    </row>
    <row r="1000" customFormat="false" ht="15" hidden="false" customHeight="true" outlineLevel="0" collapsed="false">
      <c r="A1000" s="32"/>
      <c r="B1000" s="32"/>
      <c r="C1000" s="32"/>
      <c r="D1000" s="32"/>
      <c r="E1000" s="34" t="str">
        <f aca="false">IF($B1000="","",IF($B1000="OUT","Liters",IFERROR(INDEX(Setup!$F$3:$F$24,MATCH($C1000,Setup!$A$3:$A$24,0)),"")))</f>
        <v/>
      </c>
      <c r="F1000" s="28" t="str">
        <f aca="false">IF(OR($D1000="",$E1000=""),"",IFERROR($D1000*INDEX(Setup!$B$27:$B$44,MATCH($E1000,Setup!$A$27:$A$44,0)),"TBD"))</f>
        <v/>
      </c>
      <c r="G1000" s="32"/>
      <c r="H1000" s="32"/>
      <c r="I1000" s="32"/>
      <c r="J1000" s="32"/>
      <c r="K1000" s="35"/>
      <c r="L1000" s="32"/>
      <c r="M1000" s="32"/>
    </row>
    <row r="1001" customFormat="false" ht="15" hidden="false" customHeight="true" outlineLevel="0" collapsed="false">
      <c r="A1001" s="32"/>
      <c r="B1001" s="32"/>
      <c r="C1001" s="32"/>
      <c r="D1001" s="32"/>
      <c r="E1001" s="34" t="str">
        <f aca="false">IF($B1001="","",IF($B1001="OUT","Liters",IFERROR(INDEX(Setup!$F$3:$F$24,MATCH($C1001,Setup!$A$3:$A$24,0)),"")))</f>
        <v/>
      </c>
      <c r="F1001" s="28" t="str">
        <f aca="false">IF(OR($D1001="",$E1001=""),"",IFERROR($D1001*INDEX(Setup!$B$27:$B$44,MATCH($E1001,Setup!$A$27:$A$44,0)),"TBD"))</f>
        <v/>
      </c>
      <c r="G1001" s="32"/>
      <c r="H1001" s="32"/>
      <c r="I1001" s="32"/>
      <c r="J1001" s="32"/>
      <c r="K1001" s="35"/>
      <c r="L1001" s="32"/>
      <c r="M1001" s="32"/>
    </row>
    <row r="1002" customFormat="false" ht="15" hidden="false" customHeight="true" outlineLevel="0" collapsed="false">
      <c r="A1002" s="32"/>
      <c r="B1002" s="32"/>
      <c r="C1002" s="32"/>
      <c r="D1002" s="32"/>
      <c r="E1002" s="34" t="str">
        <f aca="false">IF($B1002="","",IF($B1002="OUT","Liters",IFERROR(INDEX(Setup!$F$3:$F$24,MATCH($C1002,Setup!$A$3:$A$24,0)),"")))</f>
        <v/>
      </c>
      <c r="F1002" s="28" t="str">
        <f aca="false">IF(OR($D1002="",$E1002=""),"",IFERROR($D1002*INDEX(Setup!$B$27:$B$44,MATCH($E1002,Setup!$A$27:$A$44,0)),"TBD"))</f>
        <v/>
      </c>
      <c r="G1002" s="32"/>
      <c r="H1002" s="32"/>
      <c r="I1002" s="32"/>
      <c r="J1002" s="32"/>
      <c r="K1002" s="35"/>
      <c r="L1002" s="32"/>
      <c r="M1002" s="32"/>
    </row>
    <row r="1003" customFormat="false" ht="15" hidden="false" customHeight="true" outlineLevel="0" collapsed="false">
      <c r="A1003" s="32"/>
      <c r="B1003" s="32"/>
      <c r="C1003" s="32"/>
      <c r="D1003" s="32"/>
      <c r="E1003" s="34" t="str">
        <f aca="false">IF($B1003="","",IF($B1003="OUT","Liters",IFERROR(INDEX(Setup!$F$3:$F$24,MATCH($C1003,Setup!$A$3:$A$24,0)),"")))</f>
        <v/>
      </c>
      <c r="F1003" s="28" t="str">
        <f aca="false">IF(OR($D1003="",$E1003=""),"",IFERROR($D1003*INDEX(Setup!$B$27:$B$44,MATCH($E1003,Setup!$A$27:$A$44,0)),"TBD"))</f>
        <v/>
      </c>
      <c r="G1003" s="32"/>
      <c r="H1003" s="32"/>
      <c r="I1003" s="32"/>
      <c r="J1003" s="32"/>
      <c r="K1003" s="35"/>
      <c r="L1003" s="32"/>
      <c r="M1003" s="32"/>
    </row>
    <row r="1004" customFormat="false" ht="15" hidden="false" customHeight="true" outlineLevel="0" collapsed="false">
      <c r="A1004" s="32"/>
      <c r="B1004" s="32"/>
      <c r="C1004" s="32"/>
      <c r="D1004" s="32"/>
      <c r="E1004" s="34" t="str">
        <f aca="false">IF($B1004="","",IF($B1004="OUT","Liters",IFERROR(INDEX(Setup!$F$3:$F$24,MATCH($C1004,Setup!$A$3:$A$24,0)),"")))</f>
        <v/>
      </c>
      <c r="F1004" s="28" t="str">
        <f aca="false">IF(OR($D1004="",$E1004=""),"",IFERROR($D1004*INDEX(Setup!$B$27:$B$44,MATCH($E1004,Setup!$A$27:$A$44,0)),"TBD"))</f>
        <v/>
      </c>
      <c r="G1004" s="32"/>
      <c r="H1004" s="32"/>
      <c r="I1004" s="32"/>
      <c r="J1004" s="32"/>
      <c r="K1004" s="35"/>
      <c r="L1004" s="32"/>
      <c r="M1004" s="32"/>
    </row>
    <row r="1005" customFormat="false" ht="15" hidden="false" customHeight="true" outlineLevel="0" collapsed="false">
      <c r="A1005" s="32"/>
      <c r="B1005" s="32"/>
      <c r="C1005" s="32"/>
      <c r="D1005" s="32"/>
      <c r="E1005" s="34" t="str">
        <f aca="false">IF($B1005="","",IF($B1005="OUT","Liters",IFERROR(INDEX(Setup!$F$3:$F$24,MATCH($C1005,Setup!$A$3:$A$24,0)),"")))</f>
        <v/>
      </c>
      <c r="F1005" s="28" t="str">
        <f aca="false">IF(OR($D1005="",$E1005=""),"",IFERROR($D1005*INDEX(Setup!$B$27:$B$44,MATCH($E1005,Setup!$A$27:$A$44,0)),"TBD"))</f>
        <v/>
      </c>
      <c r="G1005" s="32"/>
      <c r="H1005" s="32"/>
      <c r="I1005" s="32"/>
      <c r="J1005" s="32"/>
      <c r="K1005" s="35"/>
      <c r="L1005" s="32"/>
      <c r="M1005" s="32"/>
    </row>
    <row r="1006" customFormat="false" ht="15" hidden="false" customHeight="true" outlineLevel="0" collapsed="false">
      <c r="A1006" s="32"/>
      <c r="B1006" s="32"/>
      <c r="C1006" s="32"/>
      <c r="D1006" s="32"/>
      <c r="E1006" s="34" t="str">
        <f aca="false">IF($B1006="","",IF($B1006="OUT","Liters",IFERROR(INDEX(Setup!$F$3:$F$24,MATCH($C1006,Setup!$A$3:$A$24,0)),"")))</f>
        <v/>
      </c>
      <c r="F1006" s="28" t="str">
        <f aca="false">IF(OR($D1006="",$E1006=""),"",IFERROR($D1006*INDEX(Setup!$B$27:$B$44,MATCH($E1006,Setup!$A$27:$A$44,0)),"TBD"))</f>
        <v/>
      </c>
      <c r="G1006" s="32"/>
      <c r="H1006" s="32"/>
      <c r="I1006" s="32"/>
      <c r="J1006" s="32"/>
      <c r="K1006" s="35"/>
      <c r="L1006" s="32"/>
      <c r="M1006" s="32"/>
    </row>
    <row r="1007" customFormat="false" ht="15" hidden="false" customHeight="true" outlineLevel="0" collapsed="false">
      <c r="A1007" s="32"/>
      <c r="B1007" s="32"/>
      <c r="C1007" s="32"/>
      <c r="D1007" s="32"/>
      <c r="E1007" s="34" t="str">
        <f aca="false">IF($B1007="","",IF($B1007="OUT","Liters",IFERROR(INDEX(Setup!$F$3:$F$24,MATCH($C1007,Setup!$A$3:$A$24,0)),"")))</f>
        <v/>
      </c>
      <c r="F1007" s="28" t="str">
        <f aca="false">IF(OR($D1007="",$E1007=""),"",IFERROR($D1007*INDEX(Setup!$B$27:$B$44,MATCH($E1007,Setup!$A$27:$A$44,0)),"TBD"))</f>
        <v/>
      </c>
      <c r="G1007" s="32"/>
      <c r="H1007" s="32"/>
      <c r="I1007" s="32"/>
      <c r="J1007" s="32"/>
      <c r="K1007" s="35"/>
      <c r="L1007" s="32"/>
      <c r="M1007" s="32"/>
    </row>
    <row r="1008" customFormat="false" ht="15" hidden="false" customHeight="true" outlineLevel="0" collapsed="false">
      <c r="A1008" s="32"/>
      <c r="B1008" s="32"/>
      <c r="C1008" s="32"/>
      <c r="D1008" s="32"/>
      <c r="E1008" s="34" t="str">
        <f aca="false">IF($B1008="","",IF($B1008="OUT","Liters",IFERROR(INDEX(Setup!$F$3:$F$24,MATCH($C1008,Setup!$A$3:$A$24,0)),"")))</f>
        <v/>
      </c>
      <c r="F1008" s="28" t="str">
        <f aca="false">IF(OR($D1008="",$E1008=""),"",IFERROR($D1008*INDEX(Setup!$B$27:$B$44,MATCH($E1008,Setup!$A$27:$A$44,0)),"TBD"))</f>
        <v/>
      </c>
      <c r="G1008" s="32"/>
      <c r="H1008" s="32"/>
      <c r="I1008" s="32"/>
      <c r="J1008" s="32"/>
      <c r="K1008" s="35"/>
      <c r="L1008" s="32"/>
      <c r="M1008" s="32"/>
    </row>
    <row r="1009" customFormat="false" ht="15" hidden="false" customHeight="true" outlineLevel="0" collapsed="false">
      <c r="A1009" s="32"/>
      <c r="B1009" s="32"/>
      <c r="C1009" s="32"/>
      <c r="D1009" s="32"/>
      <c r="E1009" s="34" t="str">
        <f aca="false">IF($B1009="","",IF($B1009="OUT","Liters",IFERROR(INDEX(Setup!$F$3:$F$24,MATCH($C1009,Setup!$A$3:$A$24,0)),"")))</f>
        <v/>
      </c>
      <c r="F1009" s="28" t="str">
        <f aca="false">IF(OR($D1009="",$E1009=""),"",IFERROR($D1009*INDEX(Setup!$B$27:$B$44,MATCH($E1009,Setup!$A$27:$A$44,0)),"TBD"))</f>
        <v/>
      </c>
      <c r="G1009" s="32"/>
      <c r="H1009" s="32"/>
      <c r="I1009" s="32"/>
      <c r="J1009" s="32"/>
      <c r="K1009" s="35"/>
      <c r="L1009" s="32"/>
      <c r="M1009" s="32"/>
    </row>
    <row r="1010" customFormat="false" ht="15" hidden="false" customHeight="true" outlineLevel="0" collapsed="false">
      <c r="A1010" s="32"/>
      <c r="B1010" s="32"/>
      <c r="C1010" s="32"/>
      <c r="D1010" s="32"/>
      <c r="E1010" s="34" t="str">
        <f aca="false">IF($B1010="","",IF($B1010="OUT","Liters",IFERROR(INDEX(Setup!$F$3:$F$24,MATCH($C1010,Setup!$A$3:$A$24,0)),"")))</f>
        <v/>
      </c>
      <c r="F1010" s="28" t="str">
        <f aca="false">IF(OR($D1010="",$E1010=""),"",IFERROR($D1010*INDEX(Setup!$B$27:$B$44,MATCH($E1010,Setup!$A$27:$A$44,0)),"TBD"))</f>
        <v/>
      </c>
      <c r="G1010" s="32"/>
      <c r="H1010" s="32"/>
      <c r="I1010" s="32"/>
      <c r="J1010" s="32"/>
      <c r="K1010" s="35"/>
      <c r="L1010" s="32"/>
      <c r="M1010" s="32"/>
    </row>
    <row r="1011" customFormat="false" ht="15" hidden="false" customHeight="true" outlineLevel="0" collapsed="false">
      <c r="A1011" s="32"/>
      <c r="B1011" s="32"/>
      <c r="C1011" s="32"/>
      <c r="D1011" s="32"/>
      <c r="E1011" s="34" t="str">
        <f aca="false">IF($B1011="","",IF($B1011="OUT","Liters",IFERROR(INDEX(Setup!$F$3:$F$24,MATCH($C1011,Setup!$A$3:$A$24,0)),"")))</f>
        <v/>
      </c>
      <c r="F1011" s="28" t="str">
        <f aca="false">IF(OR($D1011="",$E1011=""),"",IFERROR($D1011*INDEX(Setup!$B$27:$B$44,MATCH($E1011,Setup!$A$27:$A$44,0)),"TBD"))</f>
        <v/>
      </c>
      <c r="G1011" s="32"/>
      <c r="H1011" s="32"/>
      <c r="I1011" s="32"/>
      <c r="J1011" s="32"/>
      <c r="K1011" s="35"/>
      <c r="L1011" s="32"/>
      <c r="M1011" s="32"/>
    </row>
    <row r="1012" customFormat="false" ht="15" hidden="false" customHeight="true" outlineLevel="0" collapsed="false">
      <c r="A1012" s="32"/>
      <c r="B1012" s="32"/>
      <c r="C1012" s="32"/>
      <c r="D1012" s="32"/>
      <c r="E1012" s="34" t="str">
        <f aca="false">IF($B1012="","",IF($B1012="OUT","Liters",IFERROR(INDEX(Setup!$F$3:$F$24,MATCH($C1012,Setup!$A$3:$A$24,0)),"")))</f>
        <v/>
      </c>
      <c r="F1012" s="28" t="str">
        <f aca="false">IF(OR($D1012="",$E1012=""),"",IFERROR($D1012*INDEX(Setup!$B$27:$B$44,MATCH($E1012,Setup!$A$27:$A$44,0)),"TBD"))</f>
        <v/>
      </c>
      <c r="G1012" s="32"/>
      <c r="H1012" s="32"/>
      <c r="I1012" s="32"/>
      <c r="J1012" s="32"/>
      <c r="K1012" s="35"/>
      <c r="L1012" s="32"/>
      <c r="M1012" s="32"/>
    </row>
    <row r="1013" customFormat="false" ht="15" hidden="false" customHeight="true" outlineLevel="0" collapsed="false">
      <c r="A1013" s="32"/>
      <c r="B1013" s="32"/>
      <c r="C1013" s="32"/>
      <c r="D1013" s="32"/>
      <c r="E1013" s="34" t="str">
        <f aca="false">IF($B1013="","",IF($B1013="OUT","Liters",IFERROR(INDEX(Setup!$F$3:$F$24,MATCH($C1013,Setup!$A$3:$A$24,0)),"")))</f>
        <v/>
      </c>
      <c r="F1013" s="28" t="str">
        <f aca="false">IF(OR($D1013="",$E1013=""),"",IFERROR($D1013*INDEX(Setup!$B$27:$B$44,MATCH($E1013,Setup!$A$27:$A$44,0)),"TBD"))</f>
        <v/>
      </c>
      <c r="G1013" s="32"/>
      <c r="H1013" s="32"/>
      <c r="I1013" s="32"/>
      <c r="J1013" s="32"/>
      <c r="K1013" s="35"/>
      <c r="L1013" s="32"/>
      <c r="M1013" s="32"/>
    </row>
    <row r="1014" customFormat="false" ht="15" hidden="false" customHeight="true" outlineLevel="0" collapsed="false">
      <c r="A1014" s="32"/>
      <c r="B1014" s="32"/>
      <c r="C1014" s="32"/>
      <c r="D1014" s="32"/>
      <c r="E1014" s="34" t="str">
        <f aca="false">IF($B1014="","",IF($B1014="OUT","Liters",IFERROR(INDEX(Setup!$F$3:$F$24,MATCH($C1014,Setup!$A$3:$A$24,0)),"")))</f>
        <v/>
      </c>
      <c r="F1014" s="28" t="str">
        <f aca="false">IF(OR($D1014="",$E1014=""),"",IFERROR($D1014*INDEX(Setup!$B$27:$B$44,MATCH($E1014,Setup!$A$27:$A$44,0)),"TBD"))</f>
        <v/>
      </c>
      <c r="G1014" s="32"/>
      <c r="H1014" s="32"/>
      <c r="I1014" s="32"/>
      <c r="J1014" s="32"/>
      <c r="K1014" s="35"/>
      <c r="L1014" s="32"/>
      <c r="M1014" s="32"/>
    </row>
    <row r="1015" customFormat="false" ht="15" hidden="false" customHeight="true" outlineLevel="0" collapsed="false">
      <c r="A1015" s="32"/>
      <c r="B1015" s="32"/>
      <c r="C1015" s="32"/>
      <c r="D1015" s="32"/>
      <c r="E1015" s="34" t="str">
        <f aca="false">IF($B1015="","",IF($B1015="OUT","Liters",IFERROR(INDEX(Setup!$F$3:$F$24,MATCH($C1015,Setup!$A$3:$A$24,0)),"")))</f>
        <v/>
      </c>
      <c r="F1015" s="28" t="str">
        <f aca="false">IF(OR($D1015="",$E1015=""),"",IFERROR($D1015*INDEX(Setup!$B$27:$B$44,MATCH($E1015,Setup!$A$27:$A$44,0)),"TBD"))</f>
        <v/>
      </c>
      <c r="G1015" s="32"/>
      <c r="H1015" s="32"/>
      <c r="I1015" s="32"/>
      <c r="J1015" s="32"/>
      <c r="K1015" s="35"/>
      <c r="L1015" s="32"/>
      <c r="M1015" s="32"/>
    </row>
    <row r="1016" customFormat="false" ht="15" hidden="false" customHeight="true" outlineLevel="0" collapsed="false">
      <c r="A1016" s="32"/>
      <c r="B1016" s="32"/>
      <c r="C1016" s="32"/>
      <c r="D1016" s="32"/>
      <c r="E1016" s="34" t="str">
        <f aca="false">IF($B1016="","",IF($B1016="OUT","Liters",IFERROR(INDEX(Setup!$F$3:$F$24,MATCH($C1016,Setup!$A$3:$A$24,0)),"")))</f>
        <v/>
      </c>
      <c r="F1016" s="28" t="str">
        <f aca="false">IF(OR($D1016="",$E1016=""),"",IFERROR($D1016*INDEX(Setup!$B$27:$B$44,MATCH($E1016,Setup!$A$27:$A$44,0)),"TBD"))</f>
        <v/>
      </c>
      <c r="G1016" s="32"/>
      <c r="H1016" s="32"/>
      <c r="I1016" s="32"/>
      <c r="J1016" s="32"/>
      <c r="K1016" s="35"/>
      <c r="L1016" s="32"/>
      <c r="M1016" s="32"/>
    </row>
    <row r="1017" customFormat="false" ht="15" hidden="false" customHeight="true" outlineLevel="0" collapsed="false">
      <c r="A1017" s="32"/>
      <c r="B1017" s="32"/>
      <c r="C1017" s="32"/>
      <c r="D1017" s="32"/>
      <c r="E1017" s="34" t="str">
        <f aca="false">IF($B1017="","",IF($B1017="OUT","Liters",IFERROR(INDEX(Setup!$F$3:$F$24,MATCH($C1017,Setup!$A$3:$A$24,0)),"")))</f>
        <v/>
      </c>
      <c r="F1017" s="28" t="str">
        <f aca="false">IF(OR($D1017="",$E1017=""),"",IFERROR($D1017*INDEX(Setup!$B$27:$B$44,MATCH($E1017,Setup!$A$27:$A$44,0)),"TBD"))</f>
        <v/>
      </c>
      <c r="G1017" s="32"/>
      <c r="H1017" s="32"/>
      <c r="I1017" s="32"/>
      <c r="J1017" s="32"/>
      <c r="K1017" s="35"/>
      <c r="L1017" s="32"/>
      <c r="M1017" s="32"/>
    </row>
    <row r="1018" customFormat="false" ht="15" hidden="false" customHeight="true" outlineLevel="0" collapsed="false">
      <c r="A1018" s="32"/>
      <c r="B1018" s="32"/>
      <c r="C1018" s="32"/>
      <c r="D1018" s="32"/>
      <c r="E1018" s="34" t="str">
        <f aca="false">IF($B1018="","",IF($B1018="OUT","Liters",IFERROR(INDEX(Setup!$F$3:$F$24,MATCH($C1018,Setup!$A$3:$A$24,0)),"")))</f>
        <v/>
      </c>
      <c r="F1018" s="28" t="str">
        <f aca="false">IF(OR($D1018="",$E1018=""),"",IFERROR($D1018*INDEX(Setup!$B$27:$B$44,MATCH($E1018,Setup!$A$27:$A$44,0)),"TBD"))</f>
        <v/>
      </c>
      <c r="G1018" s="32"/>
      <c r="H1018" s="32"/>
      <c r="I1018" s="32"/>
      <c r="J1018" s="32"/>
      <c r="K1018" s="35"/>
      <c r="L1018" s="32"/>
      <c r="M1018" s="32"/>
    </row>
    <row r="1019" customFormat="false" ht="15" hidden="false" customHeight="true" outlineLevel="0" collapsed="false">
      <c r="A1019" s="32"/>
      <c r="B1019" s="32"/>
      <c r="C1019" s="32"/>
      <c r="D1019" s="32"/>
      <c r="E1019" s="34" t="str">
        <f aca="false">IF($B1019="","",IF($B1019="OUT","Liters",IFERROR(INDEX(Setup!$F$3:$F$24,MATCH($C1019,Setup!$A$3:$A$24,0)),"")))</f>
        <v/>
      </c>
      <c r="F1019" s="28" t="str">
        <f aca="false">IF(OR($D1019="",$E1019=""),"",IFERROR($D1019*INDEX(Setup!$B$27:$B$44,MATCH($E1019,Setup!$A$27:$A$44,0)),"TBD"))</f>
        <v/>
      </c>
      <c r="G1019" s="32"/>
      <c r="H1019" s="32"/>
      <c r="I1019" s="32"/>
      <c r="J1019" s="32"/>
      <c r="K1019" s="35"/>
      <c r="L1019" s="32"/>
      <c r="M1019" s="32"/>
    </row>
    <row r="1020" customFormat="false" ht="15" hidden="false" customHeight="true" outlineLevel="0" collapsed="false">
      <c r="A1020" s="32"/>
      <c r="B1020" s="32"/>
      <c r="C1020" s="32"/>
      <c r="D1020" s="32"/>
      <c r="E1020" s="34" t="str">
        <f aca="false">IF($B1020="","",IF($B1020="OUT","Liters",IFERROR(INDEX(Setup!$F$3:$F$24,MATCH($C1020,Setup!$A$3:$A$24,0)),"")))</f>
        <v/>
      </c>
      <c r="F1020" s="28" t="str">
        <f aca="false">IF(OR($D1020="",$E1020=""),"",IFERROR($D1020*INDEX(Setup!$B$27:$B$44,MATCH($E1020,Setup!$A$27:$A$44,0)),"TBD"))</f>
        <v/>
      </c>
      <c r="G1020" s="32"/>
      <c r="H1020" s="32"/>
      <c r="I1020" s="32"/>
      <c r="J1020" s="32"/>
      <c r="K1020" s="35"/>
      <c r="L1020" s="32"/>
      <c r="M1020" s="32"/>
    </row>
    <row r="1021" customFormat="false" ht="15" hidden="false" customHeight="true" outlineLevel="0" collapsed="false">
      <c r="A1021" s="32"/>
      <c r="B1021" s="32"/>
      <c r="C1021" s="32"/>
      <c r="D1021" s="32"/>
      <c r="E1021" s="34" t="str">
        <f aca="false">IF($B1021="","",IF($B1021="OUT","Liters",IFERROR(INDEX(Setup!$F$3:$F$24,MATCH($C1021,Setup!$A$3:$A$24,0)),"")))</f>
        <v/>
      </c>
      <c r="F1021" s="28" t="str">
        <f aca="false">IF(OR($D1021="",$E1021=""),"",IFERROR($D1021*INDEX(Setup!$B$27:$B$44,MATCH($E1021,Setup!$A$27:$A$44,0)),"TBD"))</f>
        <v/>
      </c>
      <c r="G1021" s="32"/>
      <c r="H1021" s="32"/>
      <c r="I1021" s="32"/>
      <c r="J1021" s="32"/>
      <c r="K1021" s="35"/>
      <c r="L1021" s="32"/>
      <c r="M1021" s="32"/>
    </row>
    <row r="1022" customFormat="false" ht="15" hidden="false" customHeight="true" outlineLevel="0" collapsed="false">
      <c r="A1022" s="32"/>
      <c r="B1022" s="32"/>
      <c r="C1022" s="32"/>
      <c r="D1022" s="32"/>
      <c r="E1022" s="34" t="str">
        <f aca="false">IF($B1022="","",IF($B1022="OUT","Liters",IFERROR(INDEX(Setup!$F$3:$F$24,MATCH($C1022,Setup!$A$3:$A$24,0)),"")))</f>
        <v/>
      </c>
      <c r="F1022" s="28" t="str">
        <f aca="false">IF(OR($D1022="",$E1022=""),"",IFERROR($D1022*INDEX(Setup!$B$27:$B$44,MATCH($E1022,Setup!$A$27:$A$44,0)),"TBD"))</f>
        <v/>
      </c>
      <c r="G1022" s="32"/>
      <c r="H1022" s="32"/>
      <c r="I1022" s="32"/>
      <c r="J1022" s="32"/>
      <c r="K1022" s="35"/>
      <c r="L1022" s="32"/>
      <c r="M1022" s="32"/>
    </row>
    <row r="1023" customFormat="false" ht="15" hidden="false" customHeight="true" outlineLevel="0" collapsed="false">
      <c r="A1023" s="32"/>
      <c r="B1023" s="32"/>
      <c r="C1023" s="32"/>
      <c r="D1023" s="32"/>
      <c r="E1023" s="34" t="str">
        <f aca="false">IF($B1023="","",IF($B1023="OUT","Liters",IFERROR(INDEX(Setup!$F$3:$F$24,MATCH($C1023,Setup!$A$3:$A$24,0)),"")))</f>
        <v/>
      </c>
      <c r="F1023" s="28" t="str">
        <f aca="false">IF(OR($D1023="",$E1023=""),"",IFERROR($D1023*INDEX(Setup!$B$27:$B$44,MATCH($E1023,Setup!$A$27:$A$44,0)),"TBD"))</f>
        <v/>
      </c>
      <c r="G1023" s="32"/>
      <c r="H1023" s="32"/>
      <c r="I1023" s="32"/>
      <c r="J1023" s="32"/>
      <c r="K1023" s="35"/>
      <c r="L1023" s="32"/>
      <c r="M1023" s="32"/>
    </row>
    <row r="1024" customFormat="false" ht="15" hidden="false" customHeight="true" outlineLevel="0" collapsed="false">
      <c r="A1024" s="32"/>
      <c r="B1024" s="32"/>
      <c r="C1024" s="32"/>
      <c r="D1024" s="32"/>
      <c r="E1024" s="34" t="str">
        <f aca="false">IF($B1024="","",IF($B1024="OUT","Liters",IFERROR(INDEX(Setup!$F$3:$F$24,MATCH($C1024,Setup!$A$3:$A$24,0)),"")))</f>
        <v/>
      </c>
      <c r="F1024" s="28" t="str">
        <f aca="false">IF(OR($D1024="",$E1024=""),"",IFERROR($D1024*INDEX(Setup!$B$27:$B$44,MATCH($E1024,Setup!$A$27:$A$44,0)),"TBD"))</f>
        <v/>
      </c>
      <c r="G1024" s="32"/>
      <c r="H1024" s="32"/>
      <c r="I1024" s="32"/>
      <c r="J1024" s="32"/>
      <c r="K1024" s="35"/>
      <c r="L1024" s="32"/>
      <c r="M1024" s="32"/>
    </row>
    <row r="1025" customFormat="false" ht="15" hidden="false" customHeight="true" outlineLevel="0" collapsed="false">
      <c r="A1025" s="32"/>
      <c r="B1025" s="32"/>
      <c r="C1025" s="32"/>
      <c r="D1025" s="32"/>
      <c r="E1025" s="34" t="str">
        <f aca="false">IF($B1025="","",IF($B1025="OUT","Liters",IFERROR(INDEX(Setup!$F$3:$F$24,MATCH($C1025,Setup!$A$3:$A$24,0)),"")))</f>
        <v/>
      </c>
      <c r="F1025" s="28" t="str">
        <f aca="false">IF(OR($D1025="",$E1025=""),"",IFERROR($D1025*INDEX(Setup!$B$27:$B$44,MATCH($E1025,Setup!$A$27:$A$44,0)),"TBD"))</f>
        <v/>
      </c>
      <c r="G1025" s="32"/>
      <c r="H1025" s="32"/>
      <c r="I1025" s="32"/>
      <c r="J1025" s="32"/>
      <c r="K1025" s="35"/>
      <c r="L1025" s="32"/>
      <c r="M1025" s="32"/>
    </row>
    <row r="1026" customFormat="false" ht="15" hidden="false" customHeight="true" outlineLevel="0" collapsed="false">
      <c r="A1026" s="32"/>
      <c r="B1026" s="32"/>
      <c r="C1026" s="32"/>
      <c r="D1026" s="32"/>
      <c r="E1026" s="34" t="str">
        <f aca="false">IF($B1026="","",IF($B1026="OUT","Liters",IFERROR(INDEX(Setup!$F$3:$F$24,MATCH($C1026,Setup!$A$3:$A$24,0)),"")))</f>
        <v/>
      </c>
      <c r="F1026" s="28" t="str">
        <f aca="false">IF(OR($D1026="",$E1026=""),"",IFERROR($D1026*INDEX(Setup!$B$27:$B$44,MATCH($E1026,Setup!$A$27:$A$44,0)),"TBD"))</f>
        <v/>
      </c>
      <c r="G1026" s="32"/>
      <c r="H1026" s="32"/>
      <c r="I1026" s="32"/>
      <c r="J1026" s="32"/>
      <c r="K1026" s="35"/>
      <c r="L1026" s="32"/>
      <c r="M1026" s="32"/>
    </row>
    <row r="1027" customFormat="false" ht="15" hidden="false" customHeight="true" outlineLevel="0" collapsed="false">
      <c r="A1027" s="32"/>
      <c r="B1027" s="32"/>
      <c r="C1027" s="32"/>
      <c r="D1027" s="32"/>
      <c r="E1027" s="34" t="str">
        <f aca="false">IF($B1027="","",IF($B1027="OUT","Liters",IFERROR(INDEX(Setup!$F$3:$F$24,MATCH($C1027,Setup!$A$3:$A$24,0)),"")))</f>
        <v/>
      </c>
      <c r="F1027" s="28" t="str">
        <f aca="false">IF(OR($D1027="",$E1027=""),"",IFERROR($D1027*INDEX(Setup!$B$27:$B$44,MATCH($E1027,Setup!$A$27:$A$44,0)),"TBD"))</f>
        <v/>
      </c>
      <c r="G1027" s="32"/>
      <c r="H1027" s="32"/>
      <c r="I1027" s="32"/>
      <c r="J1027" s="32"/>
      <c r="K1027" s="35"/>
      <c r="L1027" s="32"/>
      <c r="M1027" s="32"/>
    </row>
    <row r="1028" customFormat="false" ht="15" hidden="false" customHeight="true" outlineLevel="0" collapsed="false">
      <c r="A1028" s="32"/>
      <c r="B1028" s="32"/>
      <c r="C1028" s="32"/>
      <c r="D1028" s="32"/>
      <c r="E1028" s="34" t="str">
        <f aca="false">IF($B1028="","",IF($B1028="OUT","Liters",IFERROR(INDEX(Setup!$F$3:$F$24,MATCH($C1028,Setup!$A$3:$A$24,0)),"")))</f>
        <v/>
      </c>
      <c r="F1028" s="28" t="str">
        <f aca="false">IF(OR($D1028="",$E1028=""),"",IFERROR($D1028*INDEX(Setup!$B$27:$B$44,MATCH($E1028,Setup!$A$27:$A$44,0)),"TBD"))</f>
        <v/>
      </c>
      <c r="G1028" s="32"/>
      <c r="H1028" s="32"/>
      <c r="I1028" s="32"/>
      <c r="J1028" s="32"/>
      <c r="K1028" s="35"/>
      <c r="L1028" s="32"/>
      <c r="M1028" s="32"/>
    </row>
    <row r="1029" customFormat="false" ht="15" hidden="false" customHeight="true" outlineLevel="0" collapsed="false">
      <c r="A1029" s="32"/>
      <c r="B1029" s="32"/>
      <c r="C1029" s="32"/>
      <c r="D1029" s="32"/>
      <c r="E1029" s="34" t="str">
        <f aca="false">IF($B1029="","",IF($B1029="OUT","Liters",IFERROR(INDEX(Setup!$F$3:$F$24,MATCH($C1029,Setup!$A$3:$A$24,0)),"")))</f>
        <v/>
      </c>
      <c r="F1029" s="28" t="str">
        <f aca="false">IF(OR($D1029="",$E1029=""),"",IFERROR($D1029*INDEX(Setup!$B$27:$B$44,MATCH($E1029,Setup!$A$27:$A$44,0)),"TBD"))</f>
        <v/>
      </c>
      <c r="G1029" s="32"/>
      <c r="H1029" s="32"/>
      <c r="I1029" s="32"/>
      <c r="J1029" s="32"/>
      <c r="K1029" s="35"/>
      <c r="L1029" s="32"/>
      <c r="M1029" s="32"/>
    </row>
    <row r="1030" customFormat="false" ht="15" hidden="false" customHeight="true" outlineLevel="0" collapsed="false">
      <c r="A1030" s="32"/>
      <c r="B1030" s="32"/>
      <c r="C1030" s="32"/>
      <c r="D1030" s="32"/>
      <c r="E1030" s="34" t="str">
        <f aca="false">IF($B1030="","",IF($B1030="OUT","Liters",IFERROR(INDEX(Setup!$F$3:$F$24,MATCH($C1030,Setup!$A$3:$A$24,0)),"")))</f>
        <v/>
      </c>
      <c r="F1030" s="28" t="str">
        <f aca="false">IF(OR($D1030="",$E1030=""),"",IFERROR($D1030*INDEX(Setup!$B$27:$B$44,MATCH($E1030,Setup!$A$27:$A$44,0)),"TBD"))</f>
        <v/>
      </c>
      <c r="G1030" s="32"/>
      <c r="H1030" s="32"/>
      <c r="I1030" s="32"/>
      <c r="J1030" s="32"/>
      <c r="K1030" s="35"/>
      <c r="L1030" s="32"/>
      <c r="M1030" s="32"/>
    </row>
    <row r="1031" customFormat="false" ht="15" hidden="false" customHeight="true" outlineLevel="0" collapsed="false">
      <c r="A1031" s="32"/>
      <c r="B1031" s="32"/>
      <c r="C1031" s="32"/>
      <c r="D1031" s="32"/>
      <c r="E1031" s="34" t="str">
        <f aca="false">IF($B1031="","",IF($B1031="OUT","Liters",IFERROR(INDEX(Setup!$F$3:$F$24,MATCH($C1031,Setup!$A$3:$A$24,0)),"")))</f>
        <v/>
      </c>
      <c r="F1031" s="28" t="str">
        <f aca="false">IF(OR($D1031="",$E1031=""),"",IFERROR($D1031*INDEX(Setup!$B$27:$B$44,MATCH($E1031,Setup!$A$27:$A$44,0)),"TBD"))</f>
        <v/>
      </c>
      <c r="G1031" s="32"/>
      <c r="H1031" s="32"/>
      <c r="I1031" s="32"/>
      <c r="J1031" s="32"/>
      <c r="K1031" s="35"/>
      <c r="L1031" s="32"/>
      <c r="M1031" s="32"/>
    </row>
    <row r="1032" customFormat="false" ht="15" hidden="false" customHeight="true" outlineLevel="0" collapsed="false">
      <c r="A1032" s="32"/>
      <c r="B1032" s="32"/>
      <c r="C1032" s="32"/>
      <c r="D1032" s="32"/>
      <c r="E1032" s="34" t="str">
        <f aca="false">IF($B1032="","",IF($B1032="OUT","Liters",IFERROR(INDEX(Setup!$F$3:$F$24,MATCH($C1032,Setup!$A$3:$A$24,0)),"")))</f>
        <v/>
      </c>
      <c r="F1032" s="28" t="str">
        <f aca="false">IF(OR($D1032="",$E1032=""),"",IFERROR($D1032*INDEX(Setup!$B$27:$B$44,MATCH($E1032,Setup!$A$27:$A$44,0)),"TBD"))</f>
        <v/>
      </c>
      <c r="G1032" s="32"/>
      <c r="H1032" s="32"/>
      <c r="I1032" s="32"/>
      <c r="J1032" s="32"/>
      <c r="K1032" s="35"/>
      <c r="L1032" s="32"/>
      <c r="M1032" s="32"/>
    </row>
    <row r="1033" customFormat="false" ht="15" hidden="false" customHeight="true" outlineLevel="0" collapsed="false">
      <c r="A1033" s="32"/>
      <c r="B1033" s="32"/>
      <c r="C1033" s="32"/>
      <c r="D1033" s="32"/>
      <c r="E1033" s="34" t="str">
        <f aca="false">IF($B1033="","",IF($B1033="OUT","Liters",IFERROR(INDEX(Setup!$F$3:$F$24,MATCH($C1033,Setup!$A$3:$A$24,0)),"")))</f>
        <v/>
      </c>
      <c r="F1033" s="28" t="str">
        <f aca="false">IF(OR($D1033="",$E1033=""),"",IFERROR($D1033*INDEX(Setup!$B$27:$B$44,MATCH($E1033,Setup!$A$27:$A$44,0)),"TBD"))</f>
        <v/>
      </c>
      <c r="G1033" s="32"/>
      <c r="H1033" s="32"/>
      <c r="I1033" s="32"/>
      <c r="J1033" s="32"/>
      <c r="K1033" s="35"/>
      <c r="L1033" s="32"/>
      <c r="M1033" s="32"/>
    </row>
    <row r="1034" customFormat="false" ht="15" hidden="false" customHeight="true" outlineLevel="0" collapsed="false">
      <c r="A1034" s="32"/>
      <c r="B1034" s="32"/>
      <c r="C1034" s="32"/>
      <c r="D1034" s="32"/>
      <c r="E1034" s="34" t="str">
        <f aca="false">IF($B1034="","",IF($B1034="OUT","Liters",IFERROR(INDEX(Setup!$F$3:$F$24,MATCH($C1034,Setup!$A$3:$A$24,0)),"")))</f>
        <v/>
      </c>
      <c r="F1034" s="28" t="str">
        <f aca="false">IF(OR($D1034="",$E1034=""),"",IFERROR($D1034*INDEX(Setup!$B$27:$B$44,MATCH($E1034,Setup!$A$27:$A$44,0)),"TBD"))</f>
        <v/>
      </c>
      <c r="G1034" s="32"/>
      <c r="H1034" s="32"/>
      <c r="I1034" s="32"/>
      <c r="J1034" s="32"/>
      <c r="K1034" s="35"/>
      <c r="L1034" s="32"/>
      <c r="M1034" s="32"/>
    </row>
    <row r="1035" customFormat="false" ht="15" hidden="false" customHeight="true" outlineLevel="0" collapsed="false">
      <c r="A1035" s="32"/>
      <c r="B1035" s="32"/>
      <c r="C1035" s="32"/>
      <c r="D1035" s="32"/>
      <c r="E1035" s="34" t="str">
        <f aca="false">IF($B1035="","",IF($B1035="OUT","Liters",IFERROR(INDEX(Setup!$F$3:$F$24,MATCH($C1035,Setup!$A$3:$A$24,0)),"")))</f>
        <v/>
      </c>
      <c r="F1035" s="28" t="str">
        <f aca="false">IF(OR($D1035="",$E1035=""),"",IFERROR($D1035*INDEX(Setup!$B$27:$B$44,MATCH($E1035,Setup!$A$27:$A$44,0)),"TBD"))</f>
        <v/>
      </c>
      <c r="G1035" s="32"/>
      <c r="H1035" s="32"/>
      <c r="I1035" s="32"/>
      <c r="J1035" s="32"/>
      <c r="K1035" s="35"/>
      <c r="L1035" s="32"/>
      <c r="M1035" s="32"/>
    </row>
    <row r="1036" customFormat="false" ht="15" hidden="false" customHeight="true" outlineLevel="0" collapsed="false">
      <c r="A1036" s="32"/>
      <c r="B1036" s="32"/>
      <c r="C1036" s="32"/>
      <c r="D1036" s="32"/>
      <c r="E1036" s="34" t="str">
        <f aca="false">IF($B1036="","",IF($B1036="OUT","Liters",IFERROR(INDEX(Setup!$F$3:$F$24,MATCH($C1036,Setup!$A$3:$A$24,0)),"")))</f>
        <v/>
      </c>
      <c r="F1036" s="28" t="str">
        <f aca="false">IF(OR($D1036="",$E1036=""),"",IFERROR($D1036*INDEX(Setup!$B$27:$B$44,MATCH($E1036,Setup!$A$27:$A$44,0)),"TBD"))</f>
        <v/>
      </c>
      <c r="G1036" s="32"/>
      <c r="H1036" s="32"/>
      <c r="I1036" s="32"/>
      <c r="J1036" s="32"/>
      <c r="K1036" s="35"/>
      <c r="L1036" s="32"/>
      <c r="M1036" s="32"/>
    </row>
    <row r="1037" customFormat="false" ht="15" hidden="false" customHeight="true" outlineLevel="0" collapsed="false">
      <c r="A1037" s="32"/>
      <c r="B1037" s="32"/>
      <c r="C1037" s="32"/>
      <c r="D1037" s="32"/>
      <c r="E1037" s="34" t="str">
        <f aca="false">IF($B1037="","",IF($B1037="OUT","Liters",IFERROR(INDEX(Setup!$F$3:$F$24,MATCH($C1037,Setup!$A$3:$A$24,0)),"")))</f>
        <v/>
      </c>
      <c r="F1037" s="28" t="str">
        <f aca="false">IF(OR($D1037="",$E1037=""),"",IFERROR($D1037*INDEX(Setup!$B$27:$B$44,MATCH($E1037,Setup!$A$27:$A$44,0)),"TBD"))</f>
        <v/>
      </c>
      <c r="G1037" s="32"/>
      <c r="H1037" s="32"/>
      <c r="I1037" s="32"/>
      <c r="J1037" s="32"/>
      <c r="K1037" s="35"/>
      <c r="L1037" s="32"/>
      <c r="M1037" s="32"/>
    </row>
    <row r="1038" customFormat="false" ht="15" hidden="false" customHeight="true" outlineLevel="0" collapsed="false">
      <c r="A1038" s="32"/>
      <c r="B1038" s="32"/>
      <c r="C1038" s="32"/>
      <c r="D1038" s="32"/>
      <c r="E1038" s="34" t="str">
        <f aca="false">IF($B1038="","",IF($B1038="OUT","Liters",IFERROR(INDEX(Setup!$F$3:$F$24,MATCH($C1038,Setup!$A$3:$A$24,0)),"")))</f>
        <v/>
      </c>
      <c r="F1038" s="28" t="str">
        <f aca="false">IF(OR($D1038="",$E1038=""),"",IFERROR($D1038*INDEX(Setup!$B$27:$B$44,MATCH($E1038,Setup!$A$27:$A$44,0)),"TBD"))</f>
        <v/>
      </c>
      <c r="G1038" s="32"/>
      <c r="H1038" s="32"/>
      <c r="I1038" s="32"/>
      <c r="J1038" s="32"/>
      <c r="K1038" s="35"/>
      <c r="L1038" s="32"/>
      <c r="M1038" s="32"/>
    </row>
    <row r="1039" customFormat="false" ht="15" hidden="false" customHeight="true" outlineLevel="0" collapsed="false">
      <c r="A1039" s="32"/>
      <c r="B1039" s="32"/>
      <c r="C1039" s="32"/>
      <c r="D1039" s="32"/>
      <c r="E1039" s="34" t="str">
        <f aca="false">IF($B1039="","",IF($B1039="OUT","Liters",IFERROR(INDEX(Setup!$F$3:$F$24,MATCH($C1039,Setup!$A$3:$A$24,0)),"")))</f>
        <v/>
      </c>
      <c r="F1039" s="28" t="str">
        <f aca="false">IF(OR($D1039="",$E1039=""),"",IFERROR($D1039*INDEX(Setup!$B$27:$B$44,MATCH($E1039,Setup!$A$27:$A$44,0)),"TBD"))</f>
        <v/>
      </c>
      <c r="G1039" s="32"/>
      <c r="H1039" s="32"/>
      <c r="I1039" s="32"/>
      <c r="J1039" s="32"/>
      <c r="K1039" s="35"/>
      <c r="L1039" s="32"/>
      <c r="M1039" s="32"/>
    </row>
    <row r="1040" customFormat="false" ht="15" hidden="false" customHeight="true" outlineLevel="0" collapsed="false">
      <c r="A1040" s="32"/>
      <c r="B1040" s="32"/>
      <c r="C1040" s="32"/>
      <c r="D1040" s="32"/>
      <c r="E1040" s="34" t="str">
        <f aca="false">IF($B1040="","",IF($B1040="OUT","Liters",IFERROR(INDEX(Setup!$F$3:$F$24,MATCH($C1040,Setup!$A$3:$A$24,0)),"")))</f>
        <v/>
      </c>
      <c r="F1040" s="28" t="str">
        <f aca="false">IF(OR($D1040="",$E1040=""),"",IFERROR($D1040*INDEX(Setup!$B$27:$B$44,MATCH($E1040,Setup!$A$27:$A$44,0)),"TBD"))</f>
        <v/>
      </c>
      <c r="G1040" s="32"/>
      <c r="H1040" s="32"/>
      <c r="I1040" s="32"/>
      <c r="J1040" s="32"/>
      <c r="K1040" s="35"/>
      <c r="L1040" s="32"/>
      <c r="M1040" s="32"/>
    </row>
    <row r="1041" customFormat="false" ht="15" hidden="false" customHeight="true" outlineLevel="0" collapsed="false">
      <c r="A1041" s="32"/>
      <c r="B1041" s="32"/>
      <c r="C1041" s="32"/>
      <c r="D1041" s="32"/>
      <c r="E1041" s="34" t="str">
        <f aca="false">IF($B1041="","",IF($B1041="OUT","Liters",IFERROR(INDEX(Setup!$F$3:$F$24,MATCH($C1041,Setup!$A$3:$A$24,0)),"")))</f>
        <v/>
      </c>
      <c r="F1041" s="28" t="str">
        <f aca="false">IF(OR($D1041="",$E1041=""),"",IFERROR($D1041*INDEX(Setup!$B$27:$B$44,MATCH($E1041,Setup!$A$27:$A$44,0)),"TBD"))</f>
        <v/>
      </c>
      <c r="G1041" s="32"/>
      <c r="H1041" s="32"/>
      <c r="I1041" s="32"/>
      <c r="J1041" s="32"/>
      <c r="K1041" s="35"/>
      <c r="L1041" s="32"/>
      <c r="M1041" s="32"/>
    </row>
    <row r="1042" customFormat="false" ht="15" hidden="false" customHeight="true" outlineLevel="0" collapsed="false">
      <c r="A1042" s="32"/>
      <c r="B1042" s="32"/>
      <c r="C1042" s="32"/>
      <c r="D1042" s="32"/>
      <c r="E1042" s="34" t="str">
        <f aca="false">IF($B1042="","",IF($B1042="OUT","Liters",IFERROR(INDEX(Setup!$F$3:$F$24,MATCH($C1042,Setup!$A$3:$A$24,0)),"")))</f>
        <v/>
      </c>
      <c r="F1042" s="28" t="str">
        <f aca="false">IF(OR($D1042="",$E1042=""),"",IFERROR($D1042*INDEX(Setup!$B$27:$B$44,MATCH($E1042,Setup!$A$27:$A$44,0)),"TBD"))</f>
        <v/>
      </c>
      <c r="G1042" s="32"/>
      <c r="H1042" s="32"/>
      <c r="I1042" s="32"/>
      <c r="J1042" s="32"/>
      <c r="K1042" s="35"/>
      <c r="L1042" s="32"/>
      <c r="M1042" s="32"/>
    </row>
    <row r="1043" customFormat="false" ht="15" hidden="false" customHeight="true" outlineLevel="0" collapsed="false">
      <c r="A1043" s="32"/>
      <c r="B1043" s="32"/>
      <c r="C1043" s="32"/>
      <c r="D1043" s="32"/>
      <c r="E1043" s="34" t="str">
        <f aca="false">IF($B1043="","",IF($B1043="OUT","Liters",IFERROR(INDEX(Setup!$F$3:$F$24,MATCH($C1043,Setup!$A$3:$A$24,0)),"")))</f>
        <v/>
      </c>
      <c r="F1043" s="28" t="str">
        <f aca="false">IF(OR($D1043="",$E1043=""),"",IFERROR($D1043*INDEX(Setup!$B$27:$B$44,MATCH($E1043,Setup!$A$27:$A$44,0)),"TBD"))</f>
        <v/>
      </c>
      <c r="G1043" s="32"/>
      <c r="H1043" s="32"/>
      <c r="I1043" s="32"/>
      <c r="J1043" s="32"/>
      <c r="K1043" s="35"/>
      <c r="L1043" s="32"/>
      <c r="M1043" s="32"/>
    </row>
    <row r="1044" customFormat="false" ht="15" hidden="false" customHeight="true" outlineLevel="0" collapsed="false">
      <c r="A1044" s="32"/>
      <c r="B1044" s="32"/>
      <c r="C1044" s="32"/>
      <c r="D1044" s="32"/>
      <c r="E1044" s="34" t="str">
        <f aca="false">IF($B1044="","",IF($B1044="OUT","Liters",IFERROR(INDEX(Setup!$F$3:$F$24,MATCH($C1044,Setup!$A$3:$A$24,0)),"")))</f>
        <v/>
      </c>
      <c r="F1044" s="28" t="str">
        <f aca="false">IF(OR($D1044="",$E1044=""),"",IFERROR($D1044*INDEX(Setup!$B$27:$B$44,MATCH($E1044,Setup!$A$27:$A$44,0)),"TBD"))</f>
        <v/>
      </c>
      <c r="G1044" s="32"/>
      <c r="H1044" s="32"/>
      <c r="I1044" s="32"/>
      <c r="J1044" s="32"/>
      <c r="K1044" s="35"/>
      <c r="L1044" s="32"/>
      <c r="M1044" s="32"/>
    </row>
    <row r="1045" customFormat="false" ht="15" hidden="false" customHeight="true" outlineLevel="0" collapsed="false">
      <c r="A1045" s="32"/>
      <c r="B1045" s="32"/>
      <c r="C1045" s="32"/>
      <c r="D1045" s="32"/>
      <c r="E1045" s="34" t="str">
        <f aca="false">IF($B1045="","",IF($B1045="OUT","Liters",IFERROR(INDEX(Setup!$F$3:$F$24,MATCH($C1045,Setup!$A$3:$A$24,0)),"")))</f>
        <v/>
      </c>
      <c r="F1045" s="28" t="str">
        <f aca="false">IF(OR($D1045="",$E1045=""),"",IFERROR($D1045*INDEX(Setup!$B$27:$B$44,MATCH($E1045,Setup!$A$27:$A$44,0)),"TBD"))</f>
        <v/>
      </c>
      <c r="G1045" s="32"/>
      <c r="H1045" s="32"/>
      <c r="I1045" s="32"/>
      <c r="J1045" s="32"/>
      <c r="K1045" s="35"/>
      <c r="L1045" s="32"/>
      <c r="M1045" s="32"/>
    </row>
    <row r="1046" customFormat="false" ht="15" hidden="false" customHeight="true" outlineLevel="0" collapsed="false">
      <c r="A1046" s="32"/>
      <c r="B1046" s="32"/>
      <c r="C1046" s="32"/>
      <c r="D1046" s="32"/>
      <c r="E1046" s="34" t="str">
        <f aca="false">IF($B1046="","",IF($B1046="OUT","Liters",IFERROR(INDEX(Setup!$F$3:$F$24,MATCH($C1046,Setup!$A$3:$A$24,0)),"")))</f>
        <v/>
      </c>
      <c r="F1046" s="28" t="str">
        <f aca="false">IF(OR($D1046="",$E1046=""),"",IFERROR($D1046*INDEX(Setup!$B$27:$B$44,MATCH($E1046,Setup!$A$27:$A$44,0)),"TBD"))</f>
        <v/>
      </c>
      <c r="G1046" s="32"/>
      <c r="H1046" s="32"/>
      <c r="I1046" s="32"/>
      <c r="J1046" s="32"/>
      <c r="K1046" s="35"/>
      <c r="L1046" s="32"/>
      <c r="M1046" s="32"/>
    </row>
    <row r="1047" customFormat="false" ht="15" hidden="false" customHeight="true" outlineLevel="0" collapsed="false">
      <c r="A1047" s="32"/>
      <c r="B1047" s="32"/>
      <c r="C1047" s="32"/>
      <c r="D1047" s="32"/>
      <c r="E1047" s="34" t="str">
        <f aca="false">IF($B1047="","",IF($B1047="OUT","Liters",IFERROR(INDEX(Setup!$F$3:$F$24,MATCH($C1047,Setup!$A$3:$A$24,0)),"")))</f>
        <v/>
      </c>
      <c r="F1047" s="28" t="str">
        <f aca="false">IF(OR($D1047="",$E1047=""),"",IFERROR($D1047*INDEX(Setup!$B$27:$B$44,MATCH($E1047,Setup!$A$27:$A$44,0)),"TBD"))</f>
        <v/>
      </c>
      <c r="G1047" s="32"/>
      <c r="H1047" s="32"/>
      <c r="I1047" s="32"/>
      <c r="J1047" s="32"/>
      <c r="K1047" s="35"/>
      <c r="L1047" s="32"/>
      <c r="M1047" s="32"/>
    </row>
    <row r="1048" customFormat="false" ht="15" hidden="false" customHeight="true" outlineLevel="0" collapsed="false">
      <c r="A1048" s="32"/>
      <c r="B1048" s="32"/>
      <c r="C1048" s="32"/>
      <c r="D1048" s="32"/>
      <c r="E1048" s="34" t="str">
        <f aca="false">IF($B1048="","",IF($B1048="OUT","Liters",IFERROR(INDEX(Setup!$F$3:$F$24,MATCH($C1048,Setup!$A$3:$A$24,0)),"")))</f>
        <v/>
      </c>
      <c r="F1048" s="28" t="str">
        <f aca="false">IF(OR($D1048="",$E1048=""),"",IFERROR($D1048*INDEX(Setup!$B$27:$B$44,MATCH($E1048,Setup!$A$27:$A$44,0)),"TBD"))</f>
        <v/>
      </c>
      <c r="G1048" s="32"/>
      <c r="H1048" s="32"/>
      <c r="I1048" s="32"/>
      <c r="J1048" s="32"/>
      <c r="K1048" s="35"/>
      <c r="L1048" s="32"/>
      <c r="M1048" s="32"/>
    </row>
    <row r="1049" customFormat="false" ht="15" hidden="false" customHeight="true" outlineLevel="0" collapsed="false">
      <c r="A1049" s="32"/>
      <c r="B1049" s="32"/>
      <c r="C1049" s="32"/>
      <c r="D1049" s="32"/>
      <c r="E1049" s="34" t="str">
        <f aca="false">IF($B1049="","",IF($B1049="OUT","Liters",IFERROR(INDEX(Setup!$F$3:$F$24,MATCH($C1049,Setup!$A$3:$A$24,0)),"")))</f>
        <v/>
      </c>
      <c r="F1049" s="28" t="str">
        <f aca="false">IF(OR($D1049="",$E1049=""),"",IFERROR($D1049*INDEX(Setup!$B$27:$B$44,MATCH($E1049,Setup!$A$27:$A$44,0)),"TBD"))</f>
        <v/>
      </c>
      <c r="G1049" s="32"/>
      <c r="H1049" s="32"/>
      <c r="I1049" s="32"/>
      <c r="J1049" s="32"/>
      <c r="K1049" s="35"/>
      <c r="L1049" s="32"/>
      <c r="M1049" s="32"/>
    </row>
    <row r="1050" customFormat="false" ht="15" hidden="false" customHeight="true" outlineLevel="0" collapsed="false">
      <c r="A1050" s="32"/>
      <c r="B1050" s="32"/>
      <c r="C1050" s="32"/>
      <c r="D1050" s="32"/>
      <c r="E1050" s="34" t="str">
        <f aca="false">IF($B1050="","",IF($B1050="OUT","Liters",IFERROR(INDEX(Setup!$F$3:$F$24,MATCH($C1050,Setup!$A$3:$A$24,0)),"")))</f>
        <v/>
      </c>
      <c r="F1050" s="28" t="str">
        <f aca="false">IF(OR($D1050="",$E1050=""),"",IFERROR($D1050*INDEX(Setup!$B$27:$B$44,MATCH($E1050,Setup!$A$27:$A$44,0)),"TBD"))</f>
        <v/>
      </c>
      <c r="G1050" s="32"/>
      <c r="H1050" s="32"/>
      <c r="I1050" s="32"/>
      <c r="J1050" s="32"/>
      <c r="K1050" s="35"/>
      <c r="L1050" s="32"/>
      <c r="M1050" s="32"/>
    </row>
    <row r="1051" customFormat="false" ht="15" hidden="false" customHeight="true" outlineLevel="0" collapsed="false">
      <c r="A1051" s="32"/>
      <c r="B1051" s="32"/>
      <c r="C1051" s="32"/>
      <c r="D1051" s="32"/>
      <c r="E1051" s="34" t="str">
        <f aca="false">IF($B1051="","",IF($B1051="OUT","Liters",IFERROR(INDEX(Setup!$F$3:$F$24,MATCH($C1051,Setup!$A$3:$A$24,0)),"")))</f>
        <v/>
      </c>
      <c r="F1051" s="28" t="str">
        <f aca="false">IF(OR($D1051="",$E1051=""),"",IFERROR($D1051*INDEX(Setup!$B$27:$B$44,MATCH($E1051,Setup!$A$27:$A$44,0)),"TBD"))</f>
        <v/>
      </c>
      <c r="G1051" s="32"/>
      <c r="H1051" s="32"/>
      <c r="I1051" s="32"/>
      <c r="J1051" s="32"/>
      <c r="K1051" s="35"/>
      <c r="L1051" s="32"/>
      <c r="M1051" s="32"/>
    </row>
    <row r="1052" customFormat="false" ht="15" hidden="false" customHeight="true" outlineLevel="0" collapsed="false">
      <c r="A1052" s="32"/>
      <c r="B1052" s="32"/>
      <c r="C1052" s="32"/>
      <c r="D1052" s="32"/>
      <c r="E1052" s="34" t="str">
        <f aca="false">IF($B1052="","",IF($B1052="OUT","Liters",IFERROR(INDEX(Setup!$F$3:$F$24,MATCH($C1052,Setup!$A$3:$A$24,0)),"")))</f>
        <v/>
      </c>
      <c r="F1052" s="28" t="str">
        <f aca="false">IF(OR($D1052="",$E1052=""),"",IFERROR($D1052*INDEX(Setup!$B$27:$B$44,MATCH($E1052,Setup!$A$27:$A$44,0)),"TBD"))</f>
        <v/>
      </c>
      <c r="G1052" s="32"/>
      <c r="H1052" s="32"/>
      <c r="I1052" s="32"/>
      <c r="J1052" s="32"/>
      <c r="K1052" s="35"/>
      <c r="L1052" s="32"/>
      <c r="M1052" s="32"/>
    </row>
    <row r="1053" customFormat="false" ht="15" hidden="false" customHeight="true" outlineLevel="0" collapsed="false">
      <c r="A1053" s="32"/>
      <c r="B1053" s="32"/>
      <c r="C1053" s="32"/>
      <c r="D1053" s="32"/>
      <c r="E1053" s="34" t="str">
        <f aca="false">IF($B1053="","",IF($B1053="OUT","Liters",IFERROR(INDEX(Setup!$F$3:$F$24,MATCH($C1053,Setup!$A$3:$A$24,0)),"")))</f>
        <v/>
      </c>
      <c r="F1053" s="28" t="str">
        <f aca="false">IF(OR($D1053="",$E1053=""),"",IFERROR($D1053*INDEX(Setup!$B$27:$B$44,MATCH($E1053,Setup!$A$27:$A$44,0)),"TBD"))</f>
        <v/>
      </c>
      <c r="G1053" s="32"/>
      <c r="H1053" s="32"/>
      <c r="I1053" s="32"/>
      <c r="J1053" s="32"/>
      <c r="K1053" s="35"/>
      <c r="L1053" s="32"/>
      <c r="M1053" s="32"/>
    </row>
    <row r="1054" customFormat="false" ht="15" hidden="false" customHeight="true" outlineLevel="0" collapsed="false">
      <c r="A1054" s="32"/>
      <c r="B1054" s="32"/>
      <c r="C1054" s="32"/>
      <c r="D1054" s="32"/>
      <c r="E1054" s="34" t="str">
        <f aca="false">IF($B1054="","",IF($B1054="OUT","Liters",IFERROR(INDEX(Setup!$F$3:$F$24,MATCH($C1054,Setup!$A$3:$A$24,0)),"")))</f>
        <v/>
      </c>
      <c r="F1054" s="28" t="str">
        <f aca="false">IF(OR($D1054="",$E1054=""),"",IFERROR($D1054*INDEX(Setup!$B$27:$B$44,MATCH($E1054,Setup!$A$27:$A$44,0)),"TBD"))</f>
        <v/>
      </c>
      <c r="G1054" s="32"/>
      <c r="H1054" s="32"/>
      <c r="I1054" s="32"/>
      <c r="J1054" s="32"/>
      <c r="K1054" s="35"/>
      <c r="L1054" s="32"/>
      <c r="M1054" s="32"/>
    </row>
    <row r="1055" customFormat="false" ht="15" hidden="false" customHeight="true" outlineLevel="0" collapsed="false">
      <c r="A1055" s="32"/>
      <c r="B1055" s="32"/>
      <c r="C1055" s="32"/>
      <c r="D1055" s="32"/>
      <c r="E1055" s="34" t="str">
        <f aca="false">IF($B1055="","",IF($B1055="OUT","Liters",IFERROR(INDEX(Setup!$F$3:$F$24,MATCH($C1055,Setup!$A$3:$A$24,0)),"")))</f>
        <v/>
      </c>
      <c r="F1055" s="28" t="str">
        <f aca="false">IF(OR($D1055="",$E1055=""),"",IFERROR($D1055*INDEX(Setup!$B$27:$B$44,MATCH($E1055,Setup!$A$27:$A$44,0)),"TBD"))</f>
        <v/>
      </c>
      <c r="G1055" s="32"/>
      <c r="H1055" s="32"/>
      <c r="I1055" s="32"/>
      <c r="J1055" s="32"/>
      <c r="K1055" s="35"/>
      <c r="L1055" s="32"/>
      <c r="M1055" s="32"/>
    </row>
    <row r="1056" customFormat="false" ht="15" hidden="false" customHeight="true" outlineLevel="0" collapsed="false">
      <c r="A1056" s="32"/>
      <c r="B1056" s="32"/>
      <c r="C1056" s="32"/>
      <c r="D1056" s="32"/>
      <c r="E1056" s="34" t="str">
        <f aca="false">IF($B1056="","",IF($B1056="OUT","Liters",IFERROR(INDEX(Setup!$F$3:$F$24,MATCH($C1056,Setup!$A$3:$A$24,0)),"")))</f>
        <v/>
      </c>
      <c r="F1056" s="28" t="str">
        <f aca="false">IF(OR($D1056="",$E1056=""),"",IFERROR($D1056*INDEX(Setup!$B$27:$B$44,MATCH($E1056,Setup!$A$27:$A$44,0)),"TBD"))</f>
        <v/>
      </c>
      <c r="G1056" s="32"/>
      <c r="H1056" s="32"/>
      <c r="I1056" s="32"/>
      <c r="J1056" s="32"/>
      <c r="K1056" s="35"/>
      <c r="L1056" s="32"/>
      <c r="M1056" s="32"/>
    </row>
    <row r="1057" customFormat="false" ht="15" hidden="false" customHeight="true" outlineLevel="0" collapsed="false">
      <c r="A1057" s="32"/>
      <c r="B1057" s="32"/>
      <c r="C1057" s="32"/>
      <c r="D1057" s="32"/>
      <c r="E1057" s="34" t="str">
        <f aca="false">IF($B1057="","",IF($B1057="OUT","Liters",IFERROR(INDEX(Setup!$F$3:$F$24,MATCH($C1057,Setup!$A$3:$A$24,0)),"")))</f>
        <v/>
      </c>
      <c r="F1057" s="28" t="str">
        <f aca="false">IF(OR($D1057="",$E1057=""),"",IFERROR($D1057*INDEX(Setup!$B$27:$B$44,MATCH($E1057,Setup!$A$27:$A$44,0)),"TBD"))</f>
        <v/>
      </c>
      <c r="G1057" s="32"/>
      <c r="H1057" s="32"/>
      <c r="I1057" s="32"/>
      <c r="J1057" s="32"/>
      <c r="K1057" s="35"/>
      <c r="L1057" s="32"/>
      <c r="M1057" s="32"/>
    </row>
    <row r="1058" customFormat="false" ht="15" hidden="false" customHeight="true" outlineLevel="0" collapsed="false">
      <c r="A1058" s="32"/>
      <c r="B1058" s="32"/>
      <c r="C1058" s="32"/>
      <c r="D1058" s="32"/>
      <c r="E1058" s="34" t="str">
        <f aca="false">IF($B1058="","",IF($B1058="OUT","Liters",IFERROR(INDEX(Setup!$F$3:$F$24,MATCH($C1058,Setup!$A$3:$A$24,0)),"")))</f>
        <v/>
      </c>
      <c r="F1058" s="28" t="str">
        <f aca="false">IF(OR($D1058="",$E1058=""),"",IFERROR($D1058*INDEX(Setup!$B$27:$B$44,MATCH($E1058,Setup!$A$27:$A$44,0)),"TBD"))</f>
        <v/>
      </c>
      <c r="G1058" s="32"/>
      <c r="H1058" s="32"/>
      <c r="I1058" s="32"/>
      <c r="J1058" s="32"/>
      <c r="K1058" s="35"/>
      <c r="L1058" s="32"/>
      <c r="M1058" s="32"/>
    </row>
    <row r="1059" customFormat="false" ht="15" hidden="false" customHeight="true" outlineLevel="0" collapsed="false">
      <c r="A1059" s="32"/>
      <c r="B1059" s="32"/>
      <c r="C1059" s="32"/>
      <c r="D1059" s="32"/>
      <c r="E1059" s="34" t="str">
        <f aca="false">IF($B1059="","",IF($B1059="OUT","Liters",IFERROR(INDEX(Setup!$F$3:$F$24,MATCH($C1059,Setup!$A$3:$A$24,0)),"")))</f>
        <v/>
      </c>
      <c r="F1059" s="28" t="str">
        <f aca="false">IF(OR($D1059="",$E1059=""),"",IFERROR($D1059*INDEX(Setup!$B$27:$B$44,MATCH($E1059,Setup!$A$27:$A$44,0)),"TBD"))</f>
        <v/>
      </c>
      <c r="G1059" s="32"/>
      <c r="H1059" s="32"/>
      <c r="I1059" s="32"/>
      <c r="J1059" s="32"/>
      <c r="K1059" s="35"/>
      <c r="L1059" s="32"/>
      <c r="M1059" s="32"/>
    </row>
    <row r="1060" customFormat="false" ht="15" hidden="false" customHeight="true" outlineLevel="0" collapsed="false">
      <c r="A1060" s="32"/>
      <c r="B1060" s="32"/>
      <c r="C1060" s="32"/>
      <c r="D1060" s="32"/>
      <c r="E1060" s="34" t="str">
        <f aca="false">IF($B1060="","",IF($B1060="OUT","Liters",IFERROR(INDEX(Setup!$F$3:$F$24,MATCH($C1060,Setup!$A$3:$A$24,0)),"")))</f>
        <v/>
      </c>
      <c r="F1060" s="28" t="str">
        <f aca="false">IF(OR($D1060="",$E1060=""),"",IFERROR($D1060*INDEX(Setup!$B$27:$B$44,MATCH($E1060,Setup!$A$27:$A$44,0)),"TBD"))</f>
        <v/>
      </c>
      <c r="G1060" s="32"/>
      <c r="H1060" s="32"/>
      <c r="I1060" s="32"/>
      <c r="J1060" s="32"/>
      <c r="K1060" s="35"/>
      <c r="L1060" s="32"/>
      <c r="M1060" s="32"/>
    </row>
    <row r="1061" customFormat="false" ht="15" hidden="false" customHeight="true" outlineLevel="0" collapsed="false">
      <c r="A1061" s="32"/>
      <c r="B1061" s="32"/>
      <c r="C1061" s="32"/>
      <c r="D1061" s="32"/>
      <c r="E1061" s="34" t="str">
        <f aca="false">IF($B1061="","",IF($B1061="OUT","Liters",IFERROR(INDEX(Setup!$F$3:$F$24,MATCH($C1061,Setup!$A$3:$A$24,0)),"")))</f>
        <v/>
      </c>
      <c r="F1061" s="28" t="str">
        <f aca="false">IF(OR($D1061="",$E1061=""),"",IFERROR($D1061*INDEX(Setup!$B$27:$B$44,MATCH($E1061,Setup!$A$27:$A$44,0)),"TBD"))</f>
        <v/>
      </c>
      <c r="G1061" s="32"/>
      <c r="H1061" s="32"/>
      <c r="I1061" s="32"/>
      <c r="J1061" s="32"/>
      <c r="K1061" s="35"/>
      <c r="L1061" s="32"/>
      <c r="M1061" s="32"/>
    </row>
    <row r="1062" customFormat="false" ht="15" hidden="false" customHeight="true" outlineLevel="0" collapsed="false">
      <c r="A1062" s="32"/>
      <c r="B1062" s="32"/>
      <c r="C1062" s="32"/>
      <c r="D1062" s="32"/>
      <c r="E1062" s="34" t="str">
        <f aca="false">IF($B1062="","",IF($B1062="OUT","Liters",IFERROR(INDEX(Setup!$F$3:$F$24,MATCH($C1062,Setup!$A$3:$A$24,0)),"")))</f>
        <v/>
      </c>
      <c r="F1062" s="28" t="str">
        <f aca="false">IF(OR($D1062="",$E1062=""),"",IFERROR($D1062*INDEX(Setup!$B$27:$B$44,MATCH($E1062,Setup!$A$27:$A$44,0)),"TBD"))</f>
        <v/>
      </c>
      <c r="G1062" s="32"/>
      <c r="H1062" s="32"/>
      <c r="I1062" s="32"/>
      <c r="J1062" s="32"/>
      <c r="K1062" s="35"/>
      <c r="L1062" s="32"/>
      <c r="M1062" s="32"/>
    </row>
    <row r="1063" customFormat="false" ht="15" hidden="false" customHeight="true" outlineLevel="0" collapsed="false">
      <c r="A1063" s="32"/>
      <c r="B1063" s="32"/>
      <c r="C1063" s="32"/>
      <c r="D1063" s="32"/>
      <c r="E1063" s="34" t="str">
        <f aca="false">IF($B1063="","",IF($B1063="OUT","Liters",IFERROR(INDEX(Setup!$F$3:$F$24,MATCH($C1063,Setup!$A$3:$A$24,0)),"")))</f>
        <v/>
      </c>
      <c r="F1063" s="28" t="str">
        <f aca="false">IF(OR($D1063="",$E1063=""),"",IFERROR($D1063*INDEX(Setup!$B$27:$B$44,MATCH($E1063,Setup!$A$27:$A$44,0)),"TBD"))</f>
        <v/>
      </c>
      <c r="G1063" s="32"/>
      <c r="H1063" s="32"/>
      <c r="I1063" s="32"/>
      <c r="J1063" s="32"/>
      <c r="K1063" s="35"/>
      <c r="L1063" s="32"/>
      <c r="M1063" s="32"/>
    </row>
    <row r="1064" customFormat="false" ht="15" hidden="false" customHeight="true" outlineLevel="0" collapsed="false">
      <c r="A1064" s="32"/>
      <c r="B1064" s="32"/>
      <c r="C1064" s="32"/>
      <c r="D1064" s="32"/>
      <c r="E1064" s="34" t="str">
        <f aca="false">IF($B1064="","",IF($B1064="OUT","Liters",IFERROR(INDEX(Setup!$F$3:$F$24,MATCH($C1064,Setup!$A$3:$A$24,0)),"")))</f>
        <v/>
      </c>
      <c r="F1064" s="28" t="str">
        <f aca="false">IF(OR($D1064="",$E1064=""),"",IFERROR($D1064*INDEX(Setup!$B$27:$B$44,MATCH($E1064,Setup!$A$27:$A$44,0)),"TBD"))</f>
        <v/>
      </c>
      <c r="G1064" s="32"/>
      <c r="H1064" s="32"/>
      <c r="I1064" s="32"/>
      <c r="J1064" s="32"/>
      <c r="K1064" s="35"/>
      <c r="L1064" s="32"/>
      <c r="M1064" s="32"/>
    </row>
    <row r="1065" customFormat="false" ht="15" hidden="false" customHeight="true" outlineLevel="0" collapsed="false">
      <c r="A1065" s="32"/>
      <c r="B1065" s="32"/>
      <c r="C1065" s="32"/>
      <c r="D1065" s="32"/>
      <c r="E1065" s="34" t="str">
        <f aca="false">IF($B1065="","",IF($B1065="OUT","Liters",IFERROR(INDEX(Setup!$F$3:$F$24,MATCH($C1065,Setup!$A$3:$A$24,0)),"")))</f>
        <v/>
      </c>
      <c r="F1065" s="28" t="str">
        <f aca="false">IF(OR($D1065="",$E1065=""),"",IFERROR($D1065*INDEX(Setup!$B$27:$B$44,MATCH($E1065,Setup!$A$27:$A$44,0)),"TBD"))</f>
        <v/>
      </c>
      <c r="G1065" s="32"/>
      <c r="H1065" s="32"/>
      <c r="I1065" s="32"/>
      <c r="J1065" s="32"/>
      <c r="K1065" s="35"/>
      <c r="L1065" s="32"/>
      <c r="M1065" s="32"/>
    </row>
    <row r="1066" customFormat="false" ht="15" hidden="false" customHeight="true" outlineLevel="0" collapsed="false">
      <c r="A1066" s="32"/>
      <c r="B1066" s="32"/>
      <c r="C1066" s="32"/>
      <c r="D1066" s="32"/>
      <c r="E1066" s="34" t="str">
        <f aca="false">IF($B1066="","",IF($B1066="OUT","Liters",IFERROR(INDEX(Setup!$F$3:$F$24,MATCH($C1066,Setup!$A$3:$A$24,0)),"")))</f>
        <v/>
      </c>
      <c r="F1066" s="28" t="str">
        <f aca="false">IF(OR($D1066="",$E1066=""),"",IFERROR($D1066*INDEX(Setup!$B$27:$B$44,MATCH($E1066,Setup!$A$27:$A$44,0)),"TBD"))</f>
        <v/>
      </c>
      <c r="G1066" s="32"/>
      <c r="H1066" s="32"/>
      <c r="I1066" s="32"/>
      <c r="J1066" s="32"/>
      <c r="K1066" s="35"/>
      <c r="L1066" s="32"/>
      <c r="M1066" s="32"/>
    </row>
    <row r="1067" customFormat="false" ht="15" hidden="false" customHeight="true" outlineLevel="0" collapsed="false">
      <c r="A1067" s="32"/>
      <c r="B1067" s="32"/>
      <c r="C1067" s="32"/>
      <c r="D1067" s="32"/>
      <c r="E1067" s="34" t="str">
        <f aca="false">IF($B1067="","",IF($B1067="OUT","Liters",IFERROR(INDEX(Setup!$F$3:$F$24,MATCH($C1067,Setup!$A$3:$A$24,0)),"")))</f>
        <v/>
      </c>
      <c r="F1067" s="28" t="str">
        <f aca="false">IF(OR($D1067="",$E1067=""),"",IFERROR($D1067*INDEX(Setup!$B$27:$B$44,MATCH($E1067,Setup!$A$27:$A$44,0)),"TBD"))</f>
        <v/>
      </c>
      <c r="G1067" s="32"/>
      <c r="H1067" s="32"/>
      <c r="I1067" s="32"/>
      <c r="J1067" s="32"/>
      <c r="K1067" s="35"/>
      <c r="L1067" s="32"/>
      <c r="M1067" s="32"/>
    </row>
    <row r="1068" customFormat="false" ht="15" hidden="false" customHeight="true" outlineLevel="0" collapsed="false">
      <c r="A1068" s="32"/>
      <c r="B1068" s="32"/>
      <c r="C1068" s="32"/>
      <c r="D1068" s="32"/>
      <c r="E1068" s="34" t="str">
        <f aca="false">IF($B1068="","",IF($B1068="OUT","Liters",IFERROR(INDEX(Setup!$F$3:$F$24,MATCH($C1068,Setup!$A$3:$A$24,0)),"")))</f>
        <v/>
      </c>
      <c r="F1068" s="28" t="str">
        <f aca="false">IF(OR($D1068="",$E1068=""),"",IFERROR($D1068*INDEX(Setup!$B$27:$B$44,MATCH($E1068,Setup!$A$27:$A$44,0)),"TBD"))</f>
        <v/>
      </c>
      <c r="G1068" s="32"/>
      <c r="H1068" s="32"/>
      <c r="I1068" s="32"/>
      <c r="J1068" s="32"/>
      <c r="K1068" s="35"/>
      <c r="L1068" s="32"/>
      <c r="M1068" s="32"/>
    </row>
    <row r="1069" customFormat="false" ht="15" hidden="false" customHeight="true" outlineLevel="0" collapsed="false">
      <c r="A1069" s="32"/>
      <c r="B1069" s="32"/>
      <c r="C1069" s="32"/>
      <c r="D1069" s="32"/>
      <c r="E1069" s="34" t="str">
        <f aca="false">IF($B1069="","",IF($B1069="OUT","Liters",IFERROR(INDEX(Setup!$F$3:$F$24,MATCH($C1069,Setup!$A$3:$A$24,0)),"")))</f>
        <v/>
      </c>
      <c r="F1069" s="28" t="str">
        <f aca="false">IF(OR($D1069="",$E1069=""),"",IFERROR($D1069*INDEX(Setup!$B$27:$B$44,MATCH($E1069,Setup!$A$27:$A$44,0)),"TBD"))</f>
        <v/>
      </c>
      <c r="G1069" s="32"/>
      <c r="H1069" s="32"/>
      <c r="I1069" s="32"/>
      <c r="J1069" s="32"/>
      <c r="K1069" s="35"/>
      <c r="L1069" s="32"/>
      <c r="M1069" s="32"/>
    </row>
    <row r="1070" customFormat="false" ht="15" hidden="false" customHeight="true" outlineLevel="0" collapsed="false">
      <c r="A1070" s="32"/>
      <c r="B1070" s="32"/>
      <c r="C1070" s="32"/>
      <c r="D1070" s="32"/>
      <c r="E1070" s="34" t="str">
        <f aca="false">IF($B1070="","",IF($B1070="OUT","Liters",IFERROR(INDEX(Setup!$F$3:$F$24,MATCH($C1070,Setup!$A$3:$A$24,0)),"")))</f>
        <v/>
      </c>
      <c r="F1070" s="28" t="str">
        <f aca="false">IF(OR($D1070="",$E1070=""),"",IFERROR($D1070*INDEX(Setup!$B$27:$B$44,MATCH($E1070,Setup!$A$27:$A$44,0)),"TBD"))</f>
        <v/>
      </c>
      <c r="G1070" s="32"/>
      <c r="H1070" s="32"/>
      <c r="I1070" s="32"/>
      <c r="J1070" s="32"/>
      <c r="K1070" s="35"/>
      <c r="L1070" s="32"/>
      <c r="M1070" s="32"/>
    </row>
    <row r="1071" customFormat="false" ht="15" hidden="false" customHeight="true" outlineLevel="0" collapsed="false">
      <c r="A1071" s="32"/>
      <c r="B1071" s="32"/>
      <c r="C1071" s="32"/>
      <c r="D1071" s="32"/>
      <c r="E1071" s="34" t="str">
        <f aca="false">IF($B1071="","",IF($B1071="OUT","Liters",IFERROR(INDEX(Setup!$F$3:$F$24,MATCH($C1071,Setup!$A$3:$A$24,0)),"")))</f>
        <v/>
      </c>
      <c r="F1071" s="28" t="str">
        <f aca="false">IF(OR($D1071="",$E1071=""),"",IFERROR($D1071*INDEX(Setup!$B$27:$B$44,MATCH($E1071,Setup!$A$27:$A$44,0)),"TBD"))</f>
        <v/>
      </c>
      <c r="G1071" s="32"/>
      <c r="H1071" s="32"/>
      <c r="I1071" s="32"/>
      <c r="J1071" s="32"/>
      <c r="K1071" s="35"/>
      <c r="L1071" s="32"/>
      <c r="M1071" s="32"/>
    </row>
    <row r="1072" customFormat="false" ht="15" hidden="false" customHeight="true" outlineLevel="0" collapsed="false">
      <c r="A1072" s="32"/>
      <c r="B1072" s="32"/>
      <c r="C1072" s="32"/>
      <c r="D1072" s="32"/>
      <c r="E1072" s="34" t="str">
        <f aca="false">IF($B1072="","",IF($B1072="OUT","Liters",IFERROR(INDEX(Setup!$F$3:$F$24,MATCH($C1072,Setup!$A$3:$A$24,0)),"")))</f>
        <v/>
      </c>
      <c r="F1072" s="28" t="str">
        <f aca="false">IF(OR($D1072="",$E1072=""),"",IFERROR($D1072*INDEX(Setup!$B$27:$B$44,MATCH($E1072,Setup!$A$27:$A$44,0)),"TBD"))</f>
        <v/>
      </c>
      <c r="G1072" s="32"/>
      <c r="H1072" s="32"/>
      <c r="I1072" s="32"/>
      <c r="J1072" s="32"/>
      <c r="K1072" s="35"/>
      <c r="L1072" s="32"/>
      <c r="M1072" s="32"/>
    </row>
    <row r="1073" customFormat="false" ht="15" hidden="false" customHeight="true" outlineLevel="0" collapsed="false">
      <c r="A1073" s="32"/>
      <c r="B1073" s="32"/>
      <c r="C1073" s="32"/>
      <c r="D1073" s="32"/>
      <c r="E1073" s="34" t="str">
        <f aca="false">IF($B1073="","",IF($B1073="OUT","Liters",IFERROR(INDEX(Setup!$F$3:$F$24,MATCH($C1073,Setup!$A$3:$A$24,0)),"")))</f>
        <v/>
      </c>
      <c r="F1073" s="28" t="str">
        <f aca="false">IF(OR($D1073="",$E1073=""),"",IFERROR($D1073*INDEX(Setup!$B$27:$B$44,MATCH($E1073,Setup!$A$27:$A$44,0)),"TBD"))</f>
        <v/>
      </c>
      <c r="G1073" s="32"/>
      <c r="H1073" s="32"/>
      <c r="I1073" s="32"/>
      <c r="J1073" s="32"/>
      <c r="K1073" s="35"/>
      <c r="L1073" s="32"/>
      <c r="M1073" s="32"/>
    </row>
    <row r="1074" customFormat="false" ht="15" hidden="false" customHeight="true" outlineLevel="0" collapsed="false">
      <c r="A1074" s="32"/>
      <c r="B1074" s="32"/>
      <c r="C1074" s="32"/>
      <c r="D1074" s="32"/>
      <c r="E1074" s="34" t="str">
        <f aca="false">IF($B1074="","",IF($B1074="OUT","Liters",IFERROR(INDEX(Setup!$F$3:$F$24,MATCH($C1074,Setup!$A$3:$A$24,0)),"")))</f>
        <v/>
      </c>
      <c r="F1074" s="28" t="str">
        <f aca="false">IF(OR($D1074="",$E1074=""),"",IFERROR($D1074*INDEX(Setup!$B$27:$B$44,MATCH($E1074,Setup!$A$27:$A$44,0)),"TBD"))</f>
        <v/>
      </c>
      <c r="G1074" s="32"/>
      <c r="H1074" s="32"/>
      <c r="I1074" s="32"/>
      <c r="J1074" s="32"/>
      <c r="K1074" s="35"/>
      <c r="L1074" s="32"/>
      <c r="M1074" s="32"/>
    </row>
    <row r="1075" customFormat="false" ht="15" hidden="false" customHeight="true" outlineLevel="0" collapsed="false">
      <c r="A1075" s="32"/>
      <c r="B1075" s="32"/>
      <c r="C1075" s="32"/>
      <c r="D1075" s="32"/>
      <c r="E1075" s="34" t="str">
        <f aca="false">IF($B1075="","",IF($B1075="OUT","Liters",IFERROR(INDEX(Setup!$F$3:$F$24,MATCH($C1075,Setup!$A$3:$A$24,0)),"")))</f>
        <v/>
      </c>
      <c r="F1075" s="28" t="str">
        <f aca="false">IF(OR($D1075="",$E1075=""),"",IFERROR($D1075*INDEX(Setup!$B$27:$B$44,MATCH($E1075,Setup!$A$27:$A$44,0)),"TBD"))</f>
        <v/>
      </c>
      <c r="G1075" s="32"/>
      <c r="H1075" s="32"/>
      <c r="I1075" s="32"/>
      <c r="J1075" s="32"/>
      <c r="K1075" s="35"/>
      <c r="L1075" s="32"/>
      <c r="M1075" s="32"/>
    </row>
    <row r="1076" customFormat="false" ht="15" hidden="false" customHeight="true" outlineLevel="0" collapsed="false">
      <c r="A1076" s="32"/>
      <c r="B1076" s="32"/>
      <c r="C1076" s="32"/>
      <c r="D1076" s="32"/>
      <c r="E1076" s="34" t="str">
        <f aca="false">IF($B1076="","",IF($B1076="OUT","Liters",IFERROR(INDEX(Setup!$F$3:$F$24,MATCH($C1076,Setup!$A$3:$A$24,0)),"")))</f>
        <v/>
      </c>
      <c r="F1076" s="28" t="str">
        <f aca="false">IF(OR($D1076="",$E1076=""),"",IFERROR($D1076*INDEX(Setup!$B$27:$B$44,MATCH($E1076,Setup!$A$27:$A$44,0)),"TBD"))</f>
        <v/>
      </c>
      <c r="G1076" s="32"/>
      <c r="H1076" s="32"/>
      <c r="I1076" s="32"/>
      <c r="J1076" s="32"/>
      <c r="K1076" s="35"/>
      <c r="L1076" s="32"/>
      <c r="M1076" s="32"/>
    </row>
    <row r="1077" customFormat="false" ht="15" hidden="false" customHeight="true" outlineLevel="0" collapsed="false">
      <c r="A1077" s="32"/>
      <c r="B1077" s="32"/>
      <c r="C1077" s="32"/>
      <c r="D1077" s="32"/>
      <c r="E1077" s="34" t="str">
        <f aca="false">IF($B1077="","",IF($B1077="OUT","Liters",IFERROR(INDEX(Setup!$F$3:$F$24,MATCH($C1077,Setup!$A$3:$A$24,0)),"")))</f>
        <v/>
      </c>
      <c r="F1077" s="28" t="str">
        <f aca="false">IF(OR($D1077="",$E1077=""),"",IFERROR($D1077*INDEX(Setup!$B$27:$B$44,MATCH($E1077,Setup!$A$27:$A$44,0)),"TBD"))</f>
        <v/>
      </c>
      <c r="G1077" s="32"/>
      <c r="H1077" s="32"/>
      <c r="I1077" s="32"/>
      <c r="J1077" s="32"/>
      <c r="K1077" s="35"/>
      <c r="L1077" s="32"/>
      <c r="M1077" s="32"/>
    </row>
    <row r="1078" customFormat="false" ht="15" hidden="false" customHeight="true" outlineLevel="0" collapsed="false">
      <c r="A1078" s="32"/>
      <c r="B1078" s="32"/>
      <c r="C1078" s="32"/>
      <c r="D1078" s="32"/>
      <c r="E1078" s="34" t="str">
        <f aca="false">IF($B1078="","",IF($B1078="OUT","Liters",IFERROR(INDEX(Setup!$F$3:$F$24,MATCH($C1078,Setup!$A$3:$A$24,0)),"")))</f>
        <v/>
      </c>
      <c r="F1078" s="28" t="str">
        <f aca="false">IF(OR($D1078="",$E1078=""),"",IFERROR($D1078*INDEX(Setup!$B$27:$B$44,MATCH($E1078,Setup!$A$27:$A$44,0)),"TBD"))</f>
        <v/>
      </c>
      <c r="G1078" s="32"/>
      <c r="H1078" s="32"/>
      <c r="I1078" s="32"/>
      <c r="J1078" s="32"/>
      <c r="K1078" s="35"/>
      <c r="L1078" s="32"/>
      <c r="M1078" s="32"/>
    </row>
    <row r="1079" customFormat="false" ht="15" hidden="false" customHeight="true" outlineLevel="0" collapsed="false">
      <c r="A1079" s="32"/>
      <c r="B1079" s="32"/>
      <c r="C1079" s="32"/>
      <c r="D1079" s="32"/>
      <c r="E1079" s="34" t="str">
        <f aca="false">IF($B1079="","",IF($B1079="OUT","Liters",IFERROR(INDEX(Setup!$F$3:$F$24,MATCH($C1079,Setup!$A$3:$A$24,0)),"")))</f>
        <v/>
      </c>
      <c r="F1079" s="28" t="str">
        <f aca="false">IF(OR($D1079="",$E1079=""),"",IFERROR($D1079*INDEX(Setup!$B$27:$B$44,MATCH($E1079,Setup!$A$27:$A$44,0)),"TBD"))</f>
        <v/>
      </c>
      <c r="G1079" s="32"/>
      <c r="H1079" s="32"/>
      <c r="I1079" s="32"/>
      <c r="J1079" s="32"/>
      <c r="K1079" s="35"/>
      <c r="L1079" s="32"/>
      <c r="M1079" s="32"/>
    </row>
    <row r="1080" customFormat="false" ht="15" hidden="false" customHeight="true" outlineLevel="0" collapsed="false">
      <c r="A1080" s="32"/>
      <c r="B1080" s="32"/>
      <c r="C1080" s="32"/>
      <c r="D1080" s="32"/>
      <c r="E1080" s="34" t="str">
        <f aca="false">IF($B1080="","",IF($B1080="OUT","Liters",IFERROR(INDEX(Setup!$F$3:$F$24,MATCH($C1080,Setup!$A$3:$A$24,0)),"")))</f>
        <v/>
      </c>
      <c r="F1080" s="28" t="str">
        <f aca="false">IF(OR($D1080="",$E1080=""),"",IFERROR($D1080*INDEX(Setup!$B$27:$B$44,MATCH($E1080,Setup!$A$27:$A$44,0)),"TBD"))</f>
        <v/>
      </c>
      <c r="G1080" s="32"/>
      <c r="H1080" s="32"/>
      <c r="I1080" s="32"/>
      <c r="J1080" s="32"/>
      <c r="K1080" s="35"/>
      <c r="L1080" s="32"/>
      <c r="M1080" s="32"/>
    </row>
    <row r="1081" customFormat="false" ht="15" hidden="false" customHeight="true" outlineLevel="0" collapsed="false">
      <c r="A1081" s="32"/>
      <c r="B1081" s="32"/>
      <c r="C1081" s="32"/>
      <c r="D1081" s="32"/>
      <c r="E1081" s="34" t="str">
        <f aca="false">IF($B1081="","",IF($B1081="OUT","Liters",IFERROR(INDEX(Setup!$F$3:$F$24,MATCH($C1081,Setup!$A$3:$A$24,0)),"")))</f>
        <v/>
      </c>
      <c r="F1081" s="28" t="str">
        <f aca="false">IF(OR($D1081="",$E1081=""),"",IFERROR($D1081*INDEX(Setup!$B$27:$B$44,MATCH($E1081,Setup!$A$27:$A$44,0)),"TBD"))</f>
        <v/>
      </c>
      <c r="G1081" s="32"/>
      <c r="H1081" s="32"/>
      <c r="I1081" s="32"/>
      <c r="J1081" s="32"/>
      <c r="K1081" s="35"/>
      <c r="L1081" s="32"/>
      <c r="M1081" s="32"/>
    </row>
    <row r="1082" customFormat="false" ht="15" hidden="false" customHeight="true" outlineLevel="0" collapsed="false">
      <c r="A1082" s="32"/>
      <c r="B1082" s="32"/>
      <c r="C1082" s="32"/>
      <c r="D1082" s="32"/>
      <c r="E1082" s="34" t="str">
        <f aca="false">IF($B1082="","",IF($B1082="OUT","Liters",IFERROR(INDEX(Setup!$F$3:$F$24,MATCH($C1082,Setup!$A$3:$A$24,0)),"")))</f>
        <v/>
      </c>
      <c r="F1082" s="28" t="str">
        <f aca="false">IF(OR($D1082="",$E1082=""),"",IFERROR($D1082*INDEX(Setup!$B$27:$B$44,MATCH($E1082,Setup!$A$27:$A$44,0)),"TBD"))</f>
        <v/>
      </c>
      <c r="G1082" s="32"/>
      <c r="H1082" s="32"/>
      <c r="I1082" s="32"/>
      <c r="J1082" s="32"/>
      <c r="K1082" s="35"/>
      <c r="L1082" s="32"/>
      <c r="M1082" s="32"/>
    </row>
    <row r="1083" customFormat="false" ht="15" hidden="false" customHeight="true" outlineLevel="0" collapsed="false">
      <c r="A1083" s="32"/>
      <c r="B1083" s="32"/>
      <c r="C1083" s="32"/>
      <c r="D1083" s="32"/>
      <c r="E1083" s="34" t="str">
        <f aca="false">IF($B1083="","",IF($B1083="OUT","Liters",IFERROR(INDEX(Setup!$F$3:$F$24,MATCH($C1083,Setup!$A$3:$A$24,0)),"")))</f>
        <v/>
      </c>
      <c r="F1083" s="28" t="str">
        <f aca="false">IF(OR($D1083="",$E1083=""),"",IFERROR($D1083*INDEX(Setup!$B$27:$B$44,MATCH($E1083,Setup!$A$27:$A$44,0)),"TBD"))</f>
        <v/>
      </c>
      <c r="G1083" s="32"/>
      <c r="H1083" s="32"/>
      <c r="I1083" s="32"/>
      <c r="J1083" s="32"/>
      <c r="K1083" s="35"/>
      <c r="L1083" s="32"/>
      <c r="M1083" s="32"/>
    </row>
    <row r="1084" customFormat="false" ht="15" hidden="false" customHeight="true" outlineLevel="0" collapsed="false">
      <c r="A1084" s="32"/>
      <c r="B1084" s="32"/>
      <c r="C1084" s="32"/>
      <c r="D1084" s="32"/>
      <c r="E1084" s="34" t="str">
        <f aca="false">IF($B1084="","",IF($B1084="OUT","Liters",IFERROR(INDEX(Setup!$F$3:$F$24,MATCH($C1084,Setup!$A$3:$A$24,0)),"")))</f>
        <v/>
      </c>
      <c r="F1084" s="28" t="str">
        <f aca="false">IF(OR($D1084="",$E1084=""),"",IFERROR($D1084*INDEX(Setup!$B$27:$B$44,MATCH($E1084,Setup!$A$27:$A$44,0)),"TBD"))</f>
        <v/>
      </c>
      <c r="G1084" s="32"/>
      <c r="H1084" s="32"/>
      <c r="I1084" s="32"/>
      <c r="J1084" s="32"/>
      <c r="K1084" s="35"/>
      <c r="L1084" s="32"/>
      <c r="M1084" s="32"/>
    </row>
    <row r="1085" customFormat="false" ht="15" hidden="false" customHeight="true" outlineLevel="0" collapsed="false">
      <c r="A1085" s="32"/>
      <c r="B1085" s="32"/>
      <c r="C1085" s="32"/>
      <c r="D1085" s="32"/>
      <c r="E1085" s="34" t="str">
        <f aca="false">IF($B1085="","",IF($B1085="OUT","Liters",IFERROR(INDEX(Setup!$F$3:$F$24,MATCH($C1085,Setup!$A$3:$A$24,0)),"")))</f>
        <v/>
      </c>
      <c r="F1085" s="28" t="str">
        <f aca="false">IF(OR($D1085="",$E1085=""),"",IFERROR($D1085*INDEX(Setup!$B$27:$B$44,MATCH($E1085,Setup!$A$27:$A$44,0)),"TBD"))</f>
        <v/>
      </c>
      <c r="G1085" s="32"/>
      <c r="H1085" s="32"/>
      <c r="I1085" s="32"/>
      <c r="J1085" s="32"/>
      <c r="K1085" s="35"/>
      <c r="L1085" s="32"/>
      <c r="M1085" s="32"/>
    </row>
    <row r="1086" customFormat="false" ht="15" hidden="false" customHeight="true" outlineLevel="0" collapsed="false">
      <c r="A1086" s="32"/>
      <c r="B1086" s="32"/>
      <c r="C1086" s="32"/>
      <c r="D1086" s="32"/>
      <c r="E1086" s="34" t="str">
        <f aca="false">IF($B1086="","",IF($B1086="OUT","Liters",IFERROR(INDEX(Setup!$F$3:$F$24,MATCH($C1086,Setup!$A$3:$A$24,0)),"")))</f>
        <v/>
      </c>
      <c r="F1086" s="28" t="str">
        <f aca="false">IF(OR($D1086="",$E1086=""),"",IFERROR($D1086*INDEX(Setup!$B$27:$B$44,MATCH($E1086,Setup!$A$27:$A$44,0)),"TBD"))</f>
        <v/>
      </c>
      <c r="G1086" s="32"/>
      <c r="H1086" s="32"/>
      <c r="I1086" s="32"/>
      <c r="J1086" s="32"/>
      <c r="K1086" s="35"/>
      <c r="L1086" s="32"/>
      <c r="M1086" s="32"/>
    </row>
    <row r="1087" customFormat="false" ht="15" hidden="false" customHeight="true" outlineLevel="0" collapsed="false">
      <c r="A1087" s="32"/>
      <c r="B1087" s="32"/>
      <c r="C1087" s="32"/>
      <c r="D1087" s="32"/>
      <c r="E1087" s="34" t="str">
        <f aca="false">IF($B1087="","",IF($B1087="OUT","Liters",IFERROR(INDEX(Setup!$F$3:$F$24,MATCH($C1087,Setup!$A$3:$A$24,0)),"")))</f>
        <v/>
      </c>
      <c r="F1087" s="28" t="str">
        <f aca="false">IF(OR($D1087="",$E1087=""),"",IFERROR($D1087*INDEX(Setup!$B$27:$B$44,MATCH($E1087,Setup!$A$27:$A$44,0)),"TBD"))</f>
        <v/>
      </c>
      <c r="G1087" s="32"/>
      <c r="H1087" s="32"/>
      <c r="I1087" s="32"/>
      <c r="J1087" s="32"/>
      <c r="K1087" s="35"/>
      <c r="L1087" s="32"/>
      <c r="M1087" s="32"/>
    </row>
    <row r="1088" customFormat="false" ht="15" hidden="false" customHeight="true" outlineLevel="0" collapsed="false">
      <c r="A1088" s="32"/>
      <c r="B1088" s="32"/>
      <c r="C1088" s="32"/>
      <c r="D1088" s="32"/>
      <c r="E1088" s="34" t="str">
        <f aca="false">IF($B1088="","",IF($B1088="OUT","Liters",IFERROR(INDEX(Setup!$F$3:$F$24,MATCH($C1088,Setup!$A$3:$A$24,0)),"")))</f>
        <v/>
      </c>
      <c r="F1088" s="28" t="str">
        <f aca="false">IF(OR($D1088="",$E1088=""),"",IFERROR($D1088*INDEX(Setup!$B$27:$B$44,MATCH($E1088,Setup!$A$27:$A$44,0)),"TBD"))</f>
        <v/>
      </c>
      <c r="G1088" s="32"/>
      <c r="H1088" s="32"/>
      <c r="I1088" s="32"/>
      <c r="J1088" s="32"/>
      <c r="K1088" s="35"/>
      <c r="L1088" s="32"/>
      <c r="M1088" s="32"/>
    </row>
    <row r="1089" customFormat="false" ht="15" hidden="false" customHeight="true" outlineLevel="0" collapsed="false">
      <c r="A1089" s="32"/>
      <c r="B1089" s="32"/>
      <c r="C1089" s="32"/>
      <c r="D1089" s="32"/>
      <c r="E1089" s="34" t="str">
        <f aca="false">IF($B1089="","",IF($B1089="OUT","Liters",IFERROR(INDEX(Setup!$F$3:$F$24,MATCH($C1089,Setup!$A$3:$A$24,0)),"")))</f>
        <v/>
      </c>
      <c r="F1089" s="28" t="str">
        <f aca="false">IF(OR($D1089="",$E1089=""),"",IFERROR($D1089*INDEX(Setup!$B$27:$B$44,MATCH($E1089,Setup!$A$27:$A$44,0)),"TBD"))</f>
        <v/>
      </c>
      <c r="G1089" s="32"/>
      <c r="H1089" s="32"/>
      <c r="I1089" s="32"/>
      <c r="J1089" s="32"/>
      <c r="K1089" s="35"/>
      <c r="L1089" s="32"/>
      <c r="M1089" s="32"/>
    </row>
    <row r="1090" customFormat="false" ht="15" hidden="false" customHeight="true" outlineLevel="0" collapsed="false">
      <c r="A1090" s="32"/>
      <c r="B1090" s="32"/>
      <c r="C1090" s="32"/>
      <c r="D1090" s="32"/>
      <c r="E1090" s="34" t="str">
        <f aca="false">IF($B1090="","",IF($B1090="OUT","Liters",IFERROR(INDEX(Setup!$F$3:$F$24,MATCH($C1090,Setup!$A$3:$A$24,0)),"")))</f>
        <v/>
      </c>
      <c r="F1090" s="28" t="str">
        <f aca="false">IF(OR($D1090="",$E1090=""),"",IFERROR($D1090*INDEX(Setup!$B$27:$B$44,MATCH($E1090,Setup!$A$27:$A$44,0)),"TBD"))</f>
        <v/>
      </c>
      <c r="G1090" s="32"/>
      <c r="H1090" s="32"/>
      <c r="I1090" s="32"/>
      <c r="J1090" s="32"/>
      <c r="K1090" s="35"/>
      <c r="L1090" s="32"/>
      <c r="M1090" s="32"/>
    </row>
    <row r="1091" customFormat="false" ht="15" hidden="false" customHeight="true" outlineLevel="0" collapsed="false">
      <c r="A1091" s="32"/>
      <c r="B1091" s="32"/>
      <c r="C1091" s="32"/>
      <c r="D1091" s="32"/>
      <c r="E1091" s="34" t="str">
        <f aca="false">IF($B1091="","",IF($B1091="OUT","Liters",IFERROR(INDEX(Setup!$F$3:$F$24,MATCH($C1091,Setup!$A$3:$A$24,0)),"")))</f>
        <v/>
      </c>
      <c r="F1091" s="28" t="str">
        <f aca="false">IF(OR($D1091="",$E1091=""),"",IFERROR($D1091*INDEX(Setup!$B$27:$B$44,MATCH($E1091,Setup!$A$27:$A$44,0)),"TBD"))</f>
        <v/>
      </c>
      <c r="G1091" s="32"/>
      <c r="H1091" s="32"/>
      <c r="I1091" s="32"/>
      <c r="J1091" s="32"/>
      <c r="K1091" s="35"/>
      <c r="L1091" s="32"/>
      <c r="M1091" s="32"/>
    </row>
    <row r="1092" customFormat="false" ht="15" hidden="false" customHeight="true" outlineLevel="0" collapsed="false">
      <c r="A1092" s="32"/>
      <c r="B1092" s="32"/>
      <c r="C1092" s="32"/>
      <c r="D1092" s="32"/>
      <c r="E1092" s="34" t="str">
        <f aca="false">IF($B1092="","",IF($B1092="OUT","Liters",IFERROR(INDEX(Setup!$F$3:$F$24,MATCH($C1092,Setup!$A$3:$A$24,0)),"")))</f>
        <v/>
      </c>
      <c r="F1092" s="28" t="str">
        <f aca="false">IF(OR($D1092="",$E1092=""),"",IFERROR($D1092*INDEX(Setup!$B$27:$B$44,MATCH($E1092,Setup!$A$27:$A$44,0)),"TBD"))</f>
        <v/>
      </c>
      <c r="G1092" s="32"/>
      <c r="H1092" s="32"/>
      <c r="I1092" s="32"/>
      <c r="J1092" s="32"/>
      <c r="K1092" s="35"/>
      <c r="L1092" s="32"/>
      <c r="M1092" s="32"/>
    </row>
    <row r="1093" customFormat="false" ht="15" hidden="false" customHeight="true" outlineLevel="0" collapsed="false">
      <c r="A1093" s="32"/>
      <c r="B1093" s="32"/>
      <c r="C1093" s="32"/>
      <c r="D1093" s="32"/>
      <c r="E1093" s="34" t="str">
        <f aca="false">IF($B1093="","",IF($B1093="OUT","Liters",IFERROR(INDEX(Setup!$F$3:$F$24,MATCH($C1093,Setup!$A$3:$A$24,0)),"")))</f>
        <v/>
      </c>
      <c r="F1093" s="28" t="str">
        <f aca="false">IF(OR($D1093="",$E1093=""),"",IFERROR($D1093*INDEX(Setup!$B$27:$B$44,MATCH($E1093,Setup!$A$27:$A$44,0)),"TBD"))</f>
        <v/>
      </c>
      <c r="G1093" s="32"/>
      <c r="H1093" s="32"/>
      <c r="I1093" s="32"/>
      <c r="J1093" s="32"/>
      <c r="K1093" s="35"/>
      <c r="L1093" s="32"/>
      <c r="M1093" s="32"/>
    </row>
    <row r="1094" customFormat="false" ht="15" hidden="false" customHeight="true" outlineLevel="0" collapsed="false">
      <c r="A1094" s="32"/>
      <c r="B1094" s="32"/>
      <c r="C1094" s="32"/>
      <c r="D1094" s="32"/>
      <c r="E1094" s="34" t="str">
        <f aca="false">IF($B1094="","",IF($B1094="OUT","Liters",IFERROR(INDEX(Setup!$F$3:$F$24,MATCH($C1094,Setup!$A$3:$A$24,0)),"")))</f>
        <v/>
      </c>
      <c r="F1094" s="28" t="str">
        <f aca="false">IF(OR($D1094="",$E1094=""),"",IFERROR($D1094*INDEX(Setup!$B$27:$B$44,MATCH($E1094,Setup!$A$27:$A$44,0)),"TBD"))</f>
        <v/>
      </c>
      <c r="G1094" s="32"/>
      <c r="H1094" s="32"/>
      <c r="I1094" s="32"/>
      <c r="J1094" s="32"/>
      <c r="K1094" s="35"/>
      <c r="L1094" s="32"/>
      <c r="M1094" s="32"/>
    </row>
    <row r="1095" customFormat="false" ht="15" hidden="false" customHeight="true" outlineLevel="0" collapsed="false">
      <c r="A1095" s="32"/>
      <c r="B1095" s="32"/>
      <c r="C1095" s="32"/>
      <c r="D1095" s="32"/>
      <c r="E1095" s="34" t="str">
        <f aca="false">IF($B1095="","",IF($B1095="OUT","Liters",IFERROR(INDEX(Setup!$F$3:$F$24,MATCH($C1095,Setup!$A$3:$A$24,0)),"")))</f>
        <v/>
      </c>
      <c r="F1095" s="28" t="str">
        <f aca="false">IF(OR($D1095="",$E1095=""),"",IFERROR($D1095*INDEX(Setup!$B$27:$B$44,MATCH($E1095,Setup!$A$27:$A$44,0)),"TBD"))</f>
        <v/>
      </c>
      <c r="G1095" s="32"/>
      <c r="H1095" s="32"/>
      <c r="I1095" s="32"/>
      <c r="J1095" s="32"/>
      <c r="K1095" s="35"/>
      <c r="L1095" s="32"/>
      <c r="M1095" s="32"/>
    </row>
    <row r="1096" customFormat="false" ht="15" hidden="false" customHeight="true" outlineLevel="0" collapsed="false">
      <c r="A1096" s="32"/>
      <c r="B1096" s="32"/>
      <c r="C1096" s="32"/>
      <c r="D1096" s="32"/>
      <c r="E1096" s="34" t="str">
        <f aca="false">IF($B1096="","",IF($B1096="OUT","Liters",IFERROR(INDEX(Setup!$F$3:$F$24,MATCH($C1096,Setup!$A$3:$A$24,0)),"")))</f>
        <v/>
      </c>
      <c r="F1096" s="28" t="str">
        <f aca="false">IF(OR($D1096="",$E1096=""),"",IFERROR($D1096*INDEX(Setup!$B$27:$B$44,MATCH($E1096,Setup!$A$27:$A$44,0)),"TBD"))</f>
        <v/>
      </c>
      <c r="G1096" s="32"/>
      <c r="H1096" s="32"/>
      <c r="I1096" s="32"/>
      <c r="J1096" s="32"/>
      <c r="K1096" s="35"/>
      <c r="L1096" s="32"/>
      <c r="M1096" s="32"/>
    </row>
    <row r="1097" customFormat="false" ht="15" hidden="false" customHeight="true" outlineLevel="0" collapsed="false">
      <c r="A1097" s="32"/>
      <c r="B1097" s="32"/>
      <c r="C1097" s="32"/>
      <c r="D1097" s="32"/>
      <c r="E1097" s="34" t="str">
        <f aca="false">IF($B1097="","",IF($B1097="OUT","Liters",IFERROR(INDEX(Setup!$F$3:$F$24,MATCH($C1097,Setup!$A$3:$A$24,0)),"")))</f>
        <v/>
      </c>
      <c r="F1097" s="28" t="str">
        <f aca="false">IF(OR($D1097="",$E1097=""),"",IFERROR($D1097*INDEX(Setup!$B$27:$B$44,MATCH($E1097,Setup!$A$27:$A$44,0)),"TBD"))</f>
        <v/>
      </c>
      <c r="G1097" s="32"/>
      <c r="H1097" s="32"/>
      <c r="I1097" s="32"/>
      <c r="J1097" s="32"/>
      <c r="K1097" s="35"/>
      <c r="L1097" s="32"/>
      <c r="M1097" s="32"/>
    </row>
    <row r="1098" customFormat="false" ht="15" hidden="false" customHeight="true" outlineLevel="0" collapsed="false">
      <c r="A1098" s="32"/>
      <c r="B1098" s="32"/>
      <c r="C1098" s="32"/>
      <c r="D1098" s="32"/>
      <c r="E1098" s="34" t="str">
        <f aca="false">IF($B1098="","",IF($B1098="OUT","Liters",IFERROR(INDEX(Setup!$F$3:$F$24,MATCH($C1098,Setup!$A$3:$A$24,0)),"")))</f>
        <v/>
      </c>
      <c r="F1098" s="28" t="str">
        <f aca="false">IF(OR($D1098="",$E1098=""),"",IFERROR($D1098*INDEX(Setup!$B$27:$B$44,MATCH($E1098,Setup!$A$27:$A$44,0)),"TBD"))</f>
        <v/>
      </c>
      <c r="G1098" s="32"/>
      <c r="H1098" s="32"/>
      <c r="I1098" s="32"/>
      <c r="J1098" s="32"/>
      <c r="K1098" s="35"/>
      <c r="L1098" s="32"/>
      <c r="M1098" s="32"/>
    </row>
    <row r="1099" customFormat="false" ht="15" hidden="false" customHeight="true" outlineLevel="0" collapsed="false">
      <c r="A1099" s="32"/>
      <c r="B1099" s="32"/>
      <c r="C1099" s="32"/>
      <c r="D1099" s="32"/>
      <c r="E1099" s="34" t="str">
        <f aca="false">IF($B1099="","",IF($B1099="OUT","Liters",IFERROR(INDEX(Setup!$F$3:$F$24,MATCH($C1099,Setup!$A$3:$A$24,0)),"")))</f>
        <v/>
      </c>
      <c r="F1099" s="28" t="str">
        <f aca="false">IF(OR($D1099="",$E1099=""),"",IFERROR($D1099*INDEX(Setup!$B$27:$B$44,MATCH($E1099,Setup!$A$27:$A$44,0)),"TBD"))</f>
        <v/>
      </c>
      <c r="G1099" s="32"/>
      <c r="H1099" s="32"/>
      <c r="I1099" s="32"/>
      <c r="J1099" s="32"/>
      <c r="K1099" s="35"/>
      <c r="L1099" s="32"/>
      <c r="M1099" s="32"/>
    </row>
    <row r="1100" customFormat="false" ht="15" hidden="false" customHeight="true" outlineLevel="0" collapsed="false">
      <c r="A1100" s="32"/>
      <c r="B1100" s="32"/>
      <c r="C1100" s="32"/>
      <c r="D1100" s="32"/>
      <c r="E1100" s="34" t="str">
        <f aca="false">IF($B1100="","",IF($B1100="OUT","Liters",IFERROR(INDEX(Setup!$F$3:$F$24,MATCH($C1100,Setup!$A$3:$A$24,0)),"")))</f>
        <v/>
      </c>
      <c r="F1100" s="28" t="str">
        <f aca="false">IF(OR($D1100="",$E1100=""),"",IFERROR($D1100*INDEX(Setup!$B$27:$B$44,MATCH($E1100,Setup!$A$27:$A$44,0)),"TBD"))</f>
        <v/>
      </c>
      <c r="G1100" s="32"/>
      <c r="H1100" s="32"/>
      <c r="I1100" s="32"/>
      <c r="J1100" s="32"/>
      <c r="K1100" s="35"/>
      <c r="L1100" s="32"/>
      <c r="M1100" s="32"/>
    </row>
    <row r="1101" customFormat="false" ht="15" hidden="false" customHeight="true" outlineLevel="0" collapsed="false">
      <c r="A1101" s="32"/>
      <c r="B1101" s="32"/>
      <c r="C1101" s="32"/>
      <c r="D1101" s="32"/>
      <c r="E1101" s="34" t="str">
        <f aca="false">IF($B1101="","",IF($B1101="OUT","Liters",IFERROR(INDEX(Setup!$F$3:$F$24,MATCH($C1101,Setup!$A$3:$A$24,0)),"")))</f>
        <v/>
      </c>
      <c r="F1101" s="28" t="str">
        <f aca="false">IF(OR($D1101="",$E1101=""),"",IFERROR($D1101*INDEX(Setup!$B$27:$B$44,MATCH($E1101,Setup!$A$27:$A$44,0)),"TBD"))</f>
        <v/>
      </c>
      <c r="G1101" s="32"/>
      <c r="H1101" s="32"/>
      <c r="I1101" s="32"/>
      <c r="J1101" s="32"/>
      <c r="K1101" s="35"/>
      <c r="L1101" s="32"/>
      <c r="M1101" s="32"/>
    </row>
    <row r="1102" customFormat="false" ht="15" hidden="false" customHeight="true" outlineLevel="0" collapsed="false">
      <c r="A1102" s="32"/>
      <c r="B1102" s="32"/>
      <c r="C1102" s="32"/>
      <c r="D1102" s="32"/>
      <c r="E1102" s="34" t="str">
        <f aca="false">IF($B1102="","",IF($B1102="OUT","Liters",IFERROR(INDEX(Setup!$F$3:$F$24,MATCH($C1102,Setup!$A$3:$A$24,0)),"")))</f>
        <v/>
      </c>
      <c r="F1102" s="28" t="str">
        <f aca="false">IF(OR($D1102="",$E1102=""),"",IFERROR($D1102*INDEX(Setup!$B$27:$B$44,MATCH($E1102,Setup!$A$27:$A$44,0)),"TBD"))</f>
        <v/>
      </c>
      <c r="G1102" s="32"/>
      <c r="H1102" s="32"/>
      <c r="I1102" s="32"/>
      <c r="J1102" s="32"/>
      <c r="K1102" s="35"/>
      <c r="L1102" s="32"/>
      <c r="M1102" s="32"/>
    </row>
    <row r="1103" customFormat="false" ht="15" hidden="false" customHeight="true" outlineLevel="0" collapsed="false">
      <c r="A1103" s="32"/>
      <c r="B1103" s="32"/>
      <c r="C1103" s="32"/>
      <c r="D1103" s="32"/>
      <c r="E1103" s="34" t="str">
        <f aca="false">IF($B1103="","",IF($B1103="OUT","Liters",IFERROR(INDEX(Setup!$F$3:$F$24,MATCH($C1103,Setup!$A$3:$A$24,0)),"")))</f>
        <v/>
      </c>
      <c r="F1103" s="28" t="str">
        <f aca="false">IF(OR($D1103="",$E1103=""),"",IFERROR($D1103*INDEX(Setup!$B$27:$B$44,MATCH($E1103,Setup!$A$27:$A$44,0)),"TBD"))</f>
        <v/>
      </c>
      <c r="G1103" s="32"/>
      <c r="H1103" s="32"/>
      <c r="I1103" s="32"/>
      <c r="J1103" s="32"/>
      <c r="K1103" s="35"/>
      <c r="L1103" s="32"/>
      <c r="M1103" s="32"/>
    </row>
    <row r="1104" customFormat="false" ht="15" hidden="false" customHeight="true" outlineLevel="0" collapsed="false">
      <c r="A1104" s="32"/>
      <c r="B1104" s="32"/>
      <c r="C1104" s="32"/>
      <c r="D1104" s="32"/>
      <c r="E1104" s="34" t="str">
        <f aca="false">IF($B1104="","",IF($B1104="OUT","Liters",IFERROR(INDEX(Setup!$F$3:$F$24,MATCH($C1104,Setup!$A$3:$A$24,0)),"")))</f>
        <v/>
      </c>
      <c r="F1104" s="28" t="str">
        <f aca="false">IF(OR($D1104="",$E1104=""),"",IFERROR($D1104*INDEX(Setup!$B$27:$B$44,MATCH($E1104,Setup!$A$27:$A$44,0)),"TBD"))</f>
        <v/>
      </c>
      <c r="G1104" s="32"/>
      <c r="H1104" s="32"/>
      <c r="I1104" s="32"/>
      <c r="J1104" s="32"/>
      <c r="K1104" s="35"/>
      <c r="L1104" s="32"/>
      <c r="M1104" s="32"/>
    </row>
    <row r="1105" customFormat="false" ht="15" hidden="false" customHeight="true" outlineLevel="0" collapsed="false">
      <c r="A1105" s="32"/>
      <c r="B1105" s="32"/>
      <c r="C1105" s="32"/>
      <c r="D1105" s="32"/>
      <c r="E1105" s="34" t="str">
        <f aca="false">IF($B1105="","",IF($B1105="OUT","Liters",IFERROR(INDEX(Setup!$F$3:$F$24,MATCH($C1105,Setup!$A$3:$A$24,0)),"")))</f>
        <v/>
      </c>
      <c r="F1105" s="28" t="str">
        <f aca="false">IF(OR($D1105="",$E1105=""),"",IFERROR($D1105*INDEX(Setup!$B$27:$B$44,MATCH($E1105,Setup!$A$27:$A$44,0)),"TBD"))</f>
        <v/>
      </c>
      <c r="G1105" s="32"/>
      <c r="H1105" s="32"/>
      <c r="I1105" s="32"/>
      <c r="J1105" s="32"/>
      <c r="K1105" s="35"/>
      <c r="L1105" s="32"/>
      <c r="M1105" s="32"/>
    </row>
    <row r="1106" customFormat="false" ht="15" hidden="false" customHeight="true" outlineLevel="0" collapsed="false">
      <c r="A1106" s="32"/>
      <c r="B1106" s="32"/>
      <c r="C1106" s="32"/>
      <c r="D1106" s="32"/>
      <c r="E1106" s="34" t="str">
        <f aca="false">IF($B1106="","",IF($B1106="OUT","Liters",IFERROR(INDEX(Setup!$F$3:$F$24,MATCH($C1106,Setup!$A$3:$A$24,0)),"")))</f>
        <v/>
      </c>
      <c r="F1106" s="28" t="str">
        <f aca="false">IF(OR($D1106="",$E1106=""),"",IFERROR($D1106*INDEX(Setup!$B$27:$B$44,MATCH($E1106,Setup!$A$27:$A$44,0)),"TBD"))</f>
        <v/>
      </c>
      <c r="G1106" s="32"/>
      <c r="H1106" s="32"/>
      <c r="I1106" s="32"/>
      <c r="J1106" s="32"/>
      <c r="K1106" s="35"/>
      <c r="L1106" s="32"/>
      <c r="M1106" s="32"/>
    </row>
    <row r="1107" customFormat="false" ht="15" hidden="false" customHeight="true" outlineLevel="0" collapsed="false">
      <c r="A1107" s="32"/>
      <c r="B1107" s="32"/>
      <c r="C1107" s="32"/>
      <c r="D1107" s="32"/>
      <c r="E1107" s="34" t="str">
        <f aca="false">IF($B1107="","",IF($B1107="OUT","Liters",IFERROR(INDEX(Setup!$F$3:$F$24,MATCH($C1107,Setup!$A$3:$A$24,0)),"")))</f>
        <v/>
      </c>
      <c r="F1107" s="28" t="str">
        <f aca="false">IF(OR($D1107="",$E1107=""),"",IFERROR($D1107*INDEX(Setup!$B$27:$B$44,MATCH($E1107,Setup!$A$27:$A$44,0)),"TBD"))</f>
        <v/>
      </c>
      <c r="G1107" s="32"/>
      <c r="H1107" s="32"/>
      <c r="I1107" s="32"/>
      <c r="J1107" s="32"/>
      <c r="K1107" s="35"/>
      <c r="L1107" s="32"/>
      <c r="M1107" s="32"/>
    </row>
    <row r="1108" customFormat="false" ht="15" hidden="false" customHeight="true" outlineLevel="0" collapsed="false">
      <c r="A1108" s="32"/>
      <c r="B1108" s="32"/>
      <c r="C1108" s="32"/>
      <c r="D1108" s="32"/>
      <c r="E1108" s="34" t="str">
        <f aca="false">IF($B1108="","",IF($B1108="OUT","Liters",IFERROR(INDEX(Setup!$F$3:$F$24,MATCH($C1108,Setup!$A$3:$A$24,0)),"")))</f>
        <v/>
      </c>
      <c r="F1108" s="28" t="str">
        <f aca="false">IF(OR($D1108="",$E1108=""),"",IFERROR($D1108*INDEX(Setup!$B$27:$B$44,MATCH($E1108,Setup!$A$27:$A$44,0)),"TBD"))</f>
        <v/>
      </c>
      <c r="G1108" s="32"/>
      <c r="H1108" s="32"/>
      <c r="I1108" s="32"/>
      <c r="J1108" s="32"/>
      <c r="K1108" s="35"/>
      <c r="L1108" s="32"/>
      <c r="M1108" s="32"/>
    </row>
    <row r="1109" customFormat="false" ht="15" hidden="false" customHeight="true" outlineLevel="0" collapsed="false">
      <c r="A1109" s="32"/>
      <c r="B1109" s="32"/>
      <c r="C1109" s="32"/>
      <c r="D1109" s="32"/>
      <c r="E1109" s="34" t="str">
        <f aca="false">IF($B1109="","",IF($B1109="OUT","Liters",IFERROR(INDEX(Setup!$F$3:$F$24,MATCH($C1109,Setup!$A$3:$A$24,0)),"")))</f>
        <v/>
      </c>
      <c r="F1109" s="28" t="str">
        <f aca="false">IF(OR($D1109="",$E1109=""),"",IFERROR($D1109*INDEX(Setup!$B$27:$B$44,MATCH($E1109,Setup!$A$27:$A$44,0)),"TBD"))</f>
        <v/>
      </c>
      <c r="G1109" s="32"/>
      <c r="H1109" s="32"/>
      <c r="I1109" s="32"/>
      <c r="J1109" s="32"/>
      <c r="K1109" s="35"/>
      <c r="L1109" s="32"/>
      <c r="M1109" s="32"/>
    </row>
    <row r="1110" customFormat="false" ht="15" hidden="false" customHeight="true" outlineLevel="0" collapsed="false">
      <c r="A1110" s="32"/>
      <c r="B1110" s="32"/>
      <c r="C1110" s="32"/>
      <c r="D1110" s="32"/>
      <c r="E1110" s="34" t="str">
        <f aca="false">IF($B1110="","",IF($B1110="OUT","Liters",IFERROR(INDEX(Setup!$F$3:$F$24,MATCH($C1110,Setup!$A$3:$A$24,0)),"")))</f>
        <v/>
      </c>
      <c r="F1110" s="28" t="str">
        <f aca="false">IF(OR($D1110="",$E1110=""),"",IFERROR($D1110*INDEX(Setup!$B$27:$B$44,MATCH($E1110,Setup!$A$27:$A$44,0)),"TBD"))</f>
        <v/>
      </c>
      <c r="G1110" s="32"/>
      <c r="H1110" s="32"/>
      <c r="I1110" s="32"/>
      <c r="J1110" s="32"/>
      <c r="K1110" s="35"/>
      <c r="L1110" s="32"/>
      <c r="M1110" s="32"/>
    </row>
    <row r="1111" customFormat="false" ht="15" hidden="false" customHeight="true" outlineLevel="0" collapsed="false">
      <c r="A1111" s="32"/>
      <c r="B1111" s="32"/>
      <c r="C1111" s="32"/>
      <c r="D1111" s="32"/>
      <c r="E1111" s="34" t="str">
        <f aca="false">IF($B1111="","",IF($B1111="OUT","Liters",IFERROR(INDEX(Setup!$F$3:$F$24,MATCH($C1111,Setup!$A$3:$A$24,0)),"")))</f>
        <v/>
      </c>
      <c r="F1111" s="28" t="str">
        <f aca="false">IF(OR($D1111="",$E1111=""),"",IFERROR($D1111*INDEX(Setup!$B$27:$B$44,MATCH($E1111,Setup!$A$27:$A$44,0)),"TBD"))</f>
        <v/>
      </c>
      <c r="G1111" s="32"/>
      <c r="H1111" s="32"/>
      <c r="I1111" s="32"/>
      <c r="J1111" s="32"/>
      <c r="K1111" s="35"/>
      <c r="L1111" s="32"/>
      <c r="M1111" s="32"/>
    </row>
    <row r="1112" customFormat="false" ht="15" hidden="false" customHeight="true" outlineLevel="0" collapsed="false">
      <c r="A1112" s="32"/>
      <c r="B1112" s="32"/>
      <c r="C1112" s="32"/>
      <c r="D1112" s="32"/>
      <c r="E1112" s="34" t="str">
        <f aca="false">IF($B1112="","",IF($B1112="OUT","Liters",IFERROR(INDEX(Setup!$F$3:$F$24,MATCH($C1112,Setup!$A$3:$A$24,0)),"")))</f>
        <v/>
      </c>
      <c r="F1112" s="28" t="str">
        <f aca="false">IF(OR($D1112="",$E1112=""),"",IFERROR($D1112*INDEX(Setup!$B$27:$B$44,MATCH($E1112,Setup!$A$27:$A$44,0)),"TBD"))</f>
        <v/>
      </c>
      <c r="G1112" s="32"/>
      <c r="H1112" s="32"/>
      <c r="I1112" s="32"/>
      <c r="J1112" s="32"/>
      <c r="K1112" s="35"/>
      <c r="L1112" s="32"/>
      <c r="M1112" s="32"/>
    </row>
    <row r="1113" customFormat="false" ht="15" hidden="false" customHeight="true" outlineLevel="0" collapsed="false">
      <c r="A1113" s="32"/>
      <c r="B1113" s="32"/>
      <c r="C1113" s="32"/>
      <c r="D1113" s="32"/>
      <c r="E1113" s="34" t="str">
        <f aca="false">IF($B1113="","",IF($B1113="OUT","Liters",IFERROR(INDEX(Setup!$F$3:$F$24,MATCH($C1113,Setup!$A$3:$A$24,0)),"")))</f>
        <v/>
      </c>
      <c r="F1113" s="28" t="str">
        <f aca="false">IF(OR($D1113="",$E1113=""),"",IFERROR($D1113*INDEX(Setup!$B$27:$B$44,MATCH($E1113,Setup!$A$27:$A$44,0)),"TBD"))</f>
        <v/>
      </c>
      <c r="G1113" s="32"/>
      <c r="H1113" s="32"/>
      <c r="I1113" s="32"/>
      <c r="J1113" s="32"/>
      <c r="K1113" s="35"/>
      <c r="L1113" s="32"/>
      <c r="M1113" s="32"/>
    </row>
    <row r="1114" customFormat="false" ht="15" hidden="false" customHeight="true" outlineLevel="0" collapsed="false">
      <c r="A1114" s="32"/>
      <c r="B1114" s="32"/>
      <c r="C1114" s="32"/>
      <c r="D1114" s="32"/>
      <c r="E1114" s="34" t="str">
        <f aca="false">IF($B1114="","",IF($B1114="OUT","Liters",IFERROR(INDEX(Setup!$F$3:$F$24,MATCH($C1114,Setup!$A$3:$A$24,0)),"")))</f>
        <v/>
      </c>
      <c r="F1114" s="28" t="str">
        <f aca="false">IF(OR($D1114="",$E1114=""),"",IFERROR($D1114*INDEX(Setup!$B$27:$B$44,MATCH($E1114,Setup!$A$27:$A$44,0)),"TBD"))</f>
        <v/>
      </c>
      <c r="G1114" s="32"/>
      <c r="H1114" s="32"/>
      <c r="I1114" s="32"/>
      <c r="J1114" s="32"/>
      <c r="K1114" s="35"/>
      <c r="L1114" s="32"/>
      <c r="M1114" s="32"/>
    </row>
    <row r="1115" customFormat="false" ht="15" hidden="false" customHeight="true" outlineLevel="0" collapsed="false">
      <c r="A1115" s="32"/>
      <c r="B1115" s="32"/>
      <c r="C1115" s="32"/>
      <c r="D1115" s="32"/>
      <c r="E1115" s="34" t="str">
        <f aca="false">IF($B1115="","",IF($B1115="OUT","Liters",IFERROR(INDEX(Setup!$F$3:$F$24,MATCH($C1115,Setup!$A$3:$A$24,0)),"")))</f>
        <v/>
      </c>
      <c r="F1115" s="28" t="str">
        <f aca="false">IF(OR($D1115="",$E1115=""),"",IFERROR($D1115*INDEX(Setup!$B$27:$B$44,MATCH($E1115,Setup!$A$27:$A$44,0)),"TBD"))</f>
        <v/>
      </c>
      <c r="G1115" s="32"/>
      <c r="H1115" s="32"/>
      <c r="I1115" s="32"/>
      <c r="J1115" s="32"/>
      <c r="K1115" s="35"/>
      <c r="L1115" s="32"/>
      <c r="M1115" s="32"/>
    </row>
    <row r="1116" customFormat="false" ht="15" hidden="false" customHeight="true" outlineLevel="0" collapsed="false">
      <c r="A1116" s="32"/>
      <c r="B1116" s="32"/>
      <c r="C1116" s="32"/>
      <c r="D1116" s="32"/>
      <c r="E1116" s="34" t="str">
        <f aca="false">IF($B1116="","",IF($B1116="OUT","Liters",IFERROR(INDEX(Setup!$F$3:$F$24,MATCH($C1116,Setup!$A$3:$A$24,0)),"")))</f>
        <v/>
      </c>
      <c r="F1116" s="28" t="str">
        <f aca="false">IF(OR($D1116="",$E1116=""),"",IFERROR($D1116*INDEX(Setup!$B$27:$B$44,MATCH($E1116,Setup!$A$27:$A$44,0)),"TBD"))</f>
        <v/>
      </c>
      <c r="G1116" s="32"/>
      <c r="H1116" s="32"/>
      <c r="I1116" s="32"/>
      <c r="J1116" s="32"/>
      <c r="K1116" s="35"/>
      <c r="L1116" s="32"/>
      <c r="M1116" s="32"/>
    </row>
    <row r="1117" customFormat="false" ht="15" hidden="false" customHeight="true" outlineLevel="0" collapsed="false">
      <c r="A1117" s="32"/>
      <c r="B1117" s="32"/>
      <c r="C1117" s="32"/>
      <c r="D1117" s="32"/>
      <c r="E1117" s="34" t="str">
        <f aca="false">IF($B1117="","",IF($B1117="OUT","Liters",IFERROR(INDEX(Setup!$F$3:$F$24,MATCH($C1117,Setup!$A$3:$A$24,0)),"")))</f>
        <v/>
      </c>
      <c r="F1117" s="28" t="str">
        <f aca="false">IF(OR($D1117="",$E1117=""),"",IFERROR($D1117*INDEX(Setup!$B$27:$B$44,MATCH($E1117,Setup!$A$27:$A$44,0)),"TBD"))</f>
        <v/>
      </c>
      <c r="G1117" s="32"/>
      <c r="H1117" s="32"/>
      <c r="I1117" s="32"/>
      <c r="J1117" s="32"/>
      <c r="K1117" s="35"/>
      <c r="L1117" s="32"/>
      <c r="M1117" s="32"/>
    </row>
    <row r="1118" customFormat="false" ht="15" hidden="false" customHeight="true" outlineLevel="0" collapsed="false">
      <c r="A1118" s="32"/>
      <c r="B1118" s="32"/>
      <c r="C1118" s="32"/>
      <c r="D1118" s="32"/>
      <c r="E1118" s="34" t="str">
        <f aca="false">IF($B1118="","",IF($B1118="OUT","Liters",IFERROR(INDEX(Setup!$F$3:$F$24,MATCH($C1118,Setup!$A$3:$A$24,0)),"")))</f>
        <v/>
      </c>
      <c r="F1118" s="28" t="str">
        <f aca="false">IF(OR($D1118="",$E1118=""),"",IFERROR($D1118*INDEX(Setup!$B$27:$B$44,MATCH($E1118,Setup!$A$27:$A$44,0)),"TBD"))</f>
        <v/>
      </c>
      <c r="G1118" s="32"/>
      <c r="H1118" s="32"/>
      <c r="I1118" s="32"/>
      <c r="J1118" s="32"/>
      <c r="K1118" s="35"/>
      <c r="L1118" s="32"/>
      <c r="M1118" s="32"/>
    </row>
    <row r="1119" customFormat="false" ht="15" hidden="false" customHeight="true" outlineLevel="0" collapsed="false">
      <c r="A1119" s="32"/>
      <c r="B1119" s="32"/>
      <c r="C1119" s="32"/>
      <c r="D1119" s="32"/>
      <c r="E1119" s="34" t="str">
        <f aca="false">IF($B1119="","",IF($B1119="OUT","Liters",IFERROR(INDEX(Setup!$F$3:$F$24,MATCH($C1119,Setup!$A$3:$A$24,0)),"")))</f>
        <v/>
      </c>
      <c r="F1119" s="28" t="str">
        <f aca="false">IF(OR($D1119="",$E1119=""),"",IFERROR($D1119*INDEX(Setup!$B$27:$B$44,MATCH($E1119,Setup!$A$27:$A$44,0)),"TBD"))</f>
        <v/>
      </c>
      <c r="G1119" s="32"/>
      <c r="H1119" s="32"/>
      <c r="I1119" s="32"/>
      <c r="J1119" s="32"/>
      <c r="K1119" s="35"/>
      <c r="L1119" s="32"/>
      <c r="M1119" s="32"/>
    </row>
    <row r="1120" customFormat="false" ht="15" hidden="false" customHeight="true" outlineLevel="0" collapsed="false">
      <c r="A1120" s="32"/>
      <c r="B1120" s="32"/>
      <c r="C1120" s="32"/>
      <c r="D1120" s="32"/>
      <c r="E1120" s="34" t="str">
        <f aca="false">IF($B1120="","",IF($B1120="OUT","Liters",IFERROR(INDEX(Setup!$F$3:$F$24,MATCH($C1120,Setup!$A$3:$A$24,0)),"")))</f>
        <v/>
      </c>
      <c r="F1120" s="28" t="str">
        <f aca="false">IF(OR($D1120="",$E1120=""),"",IFERROR($D1120*INDEX(Setup!$B$27:$B$44,MATCH($E1120,Setup!$A$27:$A$44,0)),"TBD"))</f>
        <v/>
      </c>
      <c r="G1120" s="32"/>
      <c r="H1120" s="32"/>
      <c r="I1120" s="32"/>
      <c r="J1120" s="32"/>
      <c r="K1120" s="35"/>
      <c r="L1120" s="32"/>
      <c r="M1120" s="32"/>
    </row>
    <row r="1121" customFormat="false" ht="15" hidden="false" customHeight="true" outlineLevel="0" collapsed="false">
      <c r="A1121" s="32"/>
      <c r="B1121" s="32"/>
      <c r="C1121" s="32"/>
      <c r="D1121" s="32"/>
      <c r="E1121" s="34" t="str">
        <f aca="false">IF($B1121="","",IF($B1121="OUT","Liters",IFERROR(INDEX(Setup!$F$3:$F$24,MATCH($C1121,Setup!$A$3:$A$24,0)),"")))</f>
        <v/>
      </c>
      <c r="F1121" s="28" t="str">
        <f aca="false">IF(OR($D1121="",$E1121=""),"",IFERROR($D1121*INDEX(Setup!$B$27:$B$44,MATCH($E1121,Setup!$A$27:$A$44,0)),"TBD"))</f>
        <v/>
      </c>
      <c r="G1121" s="32"/>
      <c r="H1121" s="32"/>
      <c r="I1121" s="32"/>
      <c r="J1121" s="32"/>
      <c r="K1121" s="35"/>
      <c r="L1121" s="32"/>
      <c r="M1121" s="32"/>
    </row>
    <row r="1122" customFormat="false" ht="15" hidden="false" customHeight="true" outlineLevel="0" collapsed="false">
      <c r="A1122" s="32"/>
      <c r="B1122" s="32"/>
      <c r="C1122" s="32"/>
      <c r="D1122" s="32"/>
      <c r="E1122" s="34" t="str">
        <f aca="false">IF($B1122="","",IF($B1122="OUT","Liters",IFERROR(INDEX(Setup!$F$3:$F$24,MATCH($C1122,Setup!$A$3:$A$24,0)),"")))</f>
        <v/>
      </c>
      <c r="F1122" s="28" t="str">
        <f aca="false">IF(OR($D1122="",$E1122=""),"",IFERROR($D1122*INDEX(Setup!$B$27:$B$44,MATCH($E1122,Setup!$A$27:$A$44,0)),"TBD"))</f>
        <v/>
      </c>
      <c r="G1122" s="32"/>
      <c r="H1122" s="32"/>
      <c r="I1122" s="32"/>
      <c r="J1122" s="32"/>
      <c r="K1122" s="35"/>
      <c r="L1122" s="32"/>
      <c r="M1122" s="32"/>
    </row>
    <row r="1123" customFormat="false" ht="15" hidden="false" customHeight="true" outlineLevel="0" collapsed="false">
      <c r="A1123" s="32"/>
      <c r="B1123" s="32"/>
      <c r="C1123" s="32"/>
      <c r="D1123" s="32"/>
      <c r="E1123" s="34" t="str">
        <f aca="false">IF($B1123="","",IF($B1123="OUT","Liters",IFERROR(INDEX(Setup!$F$3:$F$24,MATCH($C1123,Setup!$A$3:$A$24,0)),"")))</f>
        <v/>
      </c>
      <c r="F1123" s="28" t="str">
        <f aca="false">IF(OR($D1123="",$E1123=""),"",IFERROR($D1123*INDEX(Setup!$B$27:$B$44,MATCH($E1123,Setup!$A$27:$A$44,0)),"TBD"))</f>
        <v/>
      </c>
      <c r="G1123" s="32"/>
      <c r="H1123" s="32"/>
      <c r="I1123" s="32"/>
      <c r="J1123" s="32"/>
      <c r="K1123" s="35"/>
      <c r="L1123" s="32"/>
      <c r="M1123" s="32"/>
    </row>
    <row r="1124" customFormat="false" ht="15" hidden="false" customHeight="true" outlineLevel="0" collapsed="false">
      <c r="A1124" s="32"/>
      <c r="B1124" s="32"/>
      <c r="C1124" s="32"/>
      <c r="D1124" s="32"/>
      <c r="E1124" s="34" t="str">
        <f aca="false">IF($B1124="","",IF($B1124="OUT","Liters",IFERROR(INDEX(Setup!$F$3:$F$24,MATCH($C1124,Setup!$A$3:$A$24,0)),"")))</f>
        <v/>
      </c>
      <c r="F1124" s="28" t="str">
        <f aca="false">IF(OR($D1124="",$E1124=""),"",IFERROR($D1124*INDEX(Setup!$B$27:$B$44,MATCH($E1124,Setup!$A$27:$A$44,0)),"TBD"))</f>
        <v/>
      </c>
      <c r="G1124" s="32"/>
      <c r="H1124" s="32"/>
      <c r="I1124" s="32"/>
      <c r="J1124" s="32"/>
      <c r="K1124" s="35"/>
      <c r="L1124" s="32"/>
      <c r="M1124" s="32"/>
    </row>
    <row r="1125" customFormat="false" ht="15" hidden="false" customHeight="true" outlineLevel="0" collapsed="false">
      <c r="A1125" s="32"/>
      <c r="B1125" s="32"/>
      <c r="C1125" s="32"/>
      <c r="D1125" s="32"/>
      <c r="E1125" s="34" t="str">
        <f aca="false">IF($B1125="","",IF($B1125="OUT","Liters",IFERROR(INDEX(Setup!$F$3:$F$24,MATCH($C1125,Setup!$A$3:$A$24,0)),"")))</f>
        <v/>
      </c>
      <c r="F1125" s="28" t="str">
        <f aca="false">IF(OR($D1125="",$E1125=""),"",IFERROR($D1125*INDEX(Setup!$B$27:$B$44,MATCH($E1125,Setup!$A$27:$A$44,0)),"TBD"))</f>
        <v/>
      </c>
      <c r="G1125" s="32"/>
      <c r="H1125" s="32"/>
      <c r="I1125" s="32"/>
      <c r="J1125" s="32"/>
      <c r="K1125" s="35"/>
      <c r="L1125" s="32"/>
      <c r="M1125" s="32"/>
    </row>
    <row r="1126" customFormat="false" ht="15" hidden="false" customHeight="true" outlineLevel="0" collapsed="false">
      <c r="A1126" s="32"/>
      <c r="B1126" s="32"/>
      <c r="C1126" s="32"/>
      <c r="D1126" s="32"/>
      <c r="E1126" s="34" t="str">
        <f aca="false">IF($B1126="","",IF($B1126="OUT","Liters",IFERROR(INDEX(Setup!$F$3:$F$24,MATCH($C1126,Setup!$A$3:$A$24,0)),"")))</f>
        <v/>
      </c>
      <c r="F1126" s="28" t="str">
        <f aca="false">IF(OR($D1126="",$E1126=""),"",IFERROR($D1126*INDEX(Setup!$B$27:$B$44,MATCH($E1126,Setup!$A$27:$A$44,0)),"TBD"))</f>
        <v/>
      </c>
      <c r="G1126" s="32"/>
      <c r="H1126" s="32"/>
      <c r="I1126" s="32"/>
      <c r="J1126" s="32"/>
      <c r="K1126" s="35"/>
      <c r="L1126" s="32"/>
      <c r="M1126" s="32"/>
    </row>
    <row r="1127" customFormat="false" ht="15" hidden="false" customHeight="true" outlineLevel="0" collapsed="false">
      <c r="A1127" s="32"/>
      <c r="B1127" s="32"/>
      <c r="C1127" s="32"/>
      <c r="D1127" s="32"/>
      <c r="E1127" s="34" t="str">
        <f aca="false">IF($B1127="","",IF($B1127="OUT","Liters",IFERROR(INDEX(Setup!$F$3:$F$24,MATCH($C1127,Setup!$A$3:$A$24,0)),"")))</f>
        <v/>
      </c>
      <c r="F1127" s="28" t="str">
        <f aca="false">IF(OR($D1127="",$E1127=""),"",IFERROR($D1127*INDEX(Setup!$B$27:$B$44,MATCH($E1127,Setup!$A$27:$A$44,0)),"TBD"))</f>
        <v/>
      </c>
      <c r="G1127" s="32"/>
      <c r="H1127" s="32"/>
      <c r="I1127" s="32"/>
      <c r="J1127" s="32"/>
      <c r="K1127" s="35"/>
      <c r="L1127" s="32"/>
      <c r="M1127" s="32"/>
    </row>
    <row r="1128" customFormat="false" ht="15" hidden="false" customHeight="true" outlineLevel="0" collapsed="false">
      <c r="A1128" s="32"/>
      <c r="B1128" s="32"/>
      <c r="C1128" s="32"/>
      <c r="D1128" s="32"/>
      <c r="E1128" s="34" t="str">
        <f aca="false">IF($B1128="","",IF($B1128="OUT","Liters",IFERROR(INDEX(Setup!$F$3:$F$24,MATCH($C1128,Setup!$A$3:$A$24,0)),"")))</f>
        <v/>
      </c>
      <c r="F1128" s="28" t="str">
        <f aca="false">IF(OR($D1128="",$E1128=""),"",IFERROR($D1128*INDEX(Setup!$B$27:$B$44,MATCH($E1128,Setup!$A$27:$A$44,0)),"TBD"))</f>
        <v/>
      </c>
      <c r="G1128" s="32"/>
      <c r="H1128" s="32"/>
      <c r="I1128" s="32"/>
      <c r="J1128" s="32"/>
      <c r="K1128" s="35"/>
      <c r="L1128" s="32"/>
      <c r="M1128" s="32"/>
    </row>
    <row r="1129" customFormat="false" ht="15" hidden="false" customHeight="true" outlineLevel="0" collapsed="false">
      <c r="A1129" s="32"/>
      <c r="B1129" s="32"/>
      <c r="C1129" s="32"/>
      <c r="D1129" s="32"/>
      <c r="E1129" s="34" t="str">
        <f aca="false">IF($B1129="","",IF($B1129="OUT","Liters",IFERROR(INDEX(Setup!$F$3:$F$24,MATCH($C1129,Setup!$A$3:$A$24,0)),"")))</f>
        <v/>
      </c>
      <c r="F1129" s="28" t="str">
        <f aca="false">IF(OR($D1129="",$E1129=""),"",IFERROR($D1129*INDEX(Setup!$B$27:$B$44,MATCH($E1129,Setup!$A$27:$A$44,0)),"TBD"))</f>
        <v/>
      </c>
      <c r="G1129" s="32"/>
      <c r="H1129" s="32"/>
      <c r="I1129" s="32"/>
      <c r="J1129" s="32"/>
      <c r="K1129" s="35"/>
      <c r="L1129" s="32"/>
      <c r="M1129" s="32"/>
    </row>
    <row r="1130" customFormat="false" ht="15" hidden="false" customHeight="true" outlineLevel="0" collapsed="false">
      <c r="A1130" s="32"/>
      <c r="B1130" s="32"/>
      <c r="C1130" s="32"/>
      <c r="D1130" s="32"/>
      <c r="E1130" s="34" t="str">
        <f aca="false">IF($B1130="","",IF($B1130="OUT","Liters",IFERROR(INDEX(Setup!$F$3:$F$24,MATCH($C1130,Setup!$A$3:$A$24,0)),"")))</f>
        <v/>
      </c>
      <c r="F1130" s="28" t="str">
        <f aca="false">IF(OR($D1130="",$E1130=""),"",IFERROR($D1130*INDEX(Setup!$B$27:$B$44,MATCH($E1130,Setup!$A$27:$A$44,0)),"TBD"))</f>
        <v/>
      </c>
      <c r="G1130" s="32"/>
      <c r="H1130" s="32"/>
      <c r="I1130" s="32"/>
      <c r="J1130" s="32"/>
      <c r="K1130" s="35"/>
      <c r="L1130" s="32"/>
      <c r="M1130" s="32"/>
    </row>
    <row r="1131" customFormat="false" ht="15" hidden="false" customHeight="true" outlineLevel="0" collapsed="false">
      <c r="A1131" s="32"/>
      <c r="B1131" s="32"/>
      <c r="C1131" s="32"/>
      <c r="D1131" s="32"/>
      <c r="E1131" s="34" t="str">
        <f aca="false">IF($B1131="","",IF($B1131="OUT","Liters",IFERROR(INDEX(Setup!$F$3:$F$24,MATCH($C1131,Setup!$A$3:$A$24,0)),"")))</f>
        <v/>
      </c>
      <c r="F1131" s="28" t="str">
        <f aca="false">IF(OR($D1131="",$E1131=""),"",IFERROR($D1131*INDEX(Setup!$B$27:$B$44,MATCH($E1131,Setup!$A$27:$A$44,0)),"TBD"))</f>
        <v/>
      </c>
      <c r="G1131" s="32"/>
      <c r="H1131" s="32"/>
      <c r="I1131" s="32"/>
      <c r="J1131" s="32"/>
      <c r="K1131" s="35"/>
      <c r="L1131" s="32"/>
      <c r="M1131" s="32"/>
    </row>
    <row r="1132" customFormat="false" ht="15" hidden="false" customHeight="true" outlineLevel="0" collapsed="false">
      <c r="A1132" s="32"/>
      <c r="B1132" s="32"/>
      <c r="C1132" s="32"/>
      <c r="D1132" s="32"/>
      <c r="E1132" s="34" t="str">
        <f aca="false">IF($B1132="","",IF($B1132="OUT","Liters",IFERROR(INDEX(Setup!$F$3:$F$24,MATCH($C1132,Setup!$A$3:$A$24,0)),"")))</f>
        <v/>
      </c>
      <c r="F1132" s="28" t="str">
        <f aca="false">IF(OR($D1132="",$E1132=""),"",IFERROR($D1132*INDEX(Setup!$B$27:$B$44,MATCH($E1132,Setup!$A$27:$A$44,0)),"TBD"))</f>
        <v/>
      </c>
      <c r="G1132" s="32"/>
      <c r="H1132" s="32"/>
      <c r="I1132" s="32"/>
      <c r="J1132" s="32"/>
      <c r="K1132" s="35"/>
      <c r="L1132" s="32"/>
      <c r="M1132" s="32"/>
    </row>
    <row r="1133" customFormat="false" ht="15" hidden="false" customHeight="true" outlineLevel="0" collapsed="false">
      <c r="A1133" s="32"/>
      <c r="B1133" s="32"/>
      <c r="C1133" s="32"/>
      <c r="D1133" s="32"/>
      <c r="E1133" s="34" t="str">
        <f aca="false">IF($B1133="","",IF($B1133="OUT","Liters",IFERROR(INDEX(Setup!$F$3:$F$24,MATCH($C1133,Setup!$A$3:$A$24,0)),"")))</f>
        <v/>
      </c>
      <c r="F1133" s="28" t="str">
        <f aca="false">IF(OR($D1133="",$E1133=""),"",IFERROR($D1133*INDEX(Setup!$B$27:$B$44,MATCH($E1133,Setup!$A$27:$A$44,0)),"TBD"))</f>
        <v/>
      </c>
      <c r="G1133" s="32"/>
      <c r="H1133" s="32"/>
      <c r="I1133" s="32"/>
      <c r="J1133" s="32"/>
      <c r="K1133" s="35"/>
      <c r="L1133" s="32"/>
      <c r="M1133" s="32"/>
    </row>
    <row r="1134" customFormat="false" ht="15" hidden="false" customHeight="true" outlineLevel="0" collapsed="false">
      <c r="A1134" s="32"/>
      <c r="B1134" s="32"/>
      <c r="C1134" s="32"/>
      <c r="D1134" s="32"/>
      <c r="E1134" s="34" t="str">
        <f aca="false">IF($B1134="","",IF($B1134="OUT","Liters",IFERROR(INDEX(Setup!$F$3:$F$24,MATCH($C1134,Setup!$A$3:$A$24,0)),"")))</f>
        <v/>
      </c>
      <c r="F1134" s="28" t="str">
        <f aca="false">IF(OR($D1134="",$E1134=""),"",IFERROR($D1134*INDEX(Setup!$B$27:$B$44,MATCH($E1134,Setup!$A$27:$A$44,0)),"TBD"))</f>
        <v/>
      </c>
      <c r="G1134" s="32"/>
      <c r="H1134" s="32"/>
      <c r="I1134" s="32"/>
      <c r="J1134" s="32"/>
      <c r="K1134" s="35"/>
      <c r="L1134" s="32"/>
      <c r="M1134" s="32"/>
    </row>
    <row r="1135" customFormat="false" ht="15" hidden="false" customHeight="true" outlineLevel="0" collapsed="false">
      <c r="A1135" s="32"/>
      <c r="B1135" s="32"/>
      <c r="C1135" s="32"/>
      <c r="D1135" s="32"/>
      <c r="E1135" s="34" t="str">
        <f aca="false">IF($B1135="","",IF($B1135="OUT","Liters",IFERROR(INDEX(Setup!$F$3:$F$24,MATCH($C1135,Setup!$A$3:$A$24,0)),"")))</f>
        <v/>
      </c>
      <c r="F1135" s="28" t="str">
        <f aca="false">IF(OR($D1135="",$E1135=""),"",IFERROR($D1135*INDEX(Setup!$B$27:$B$44,MATCH($E1135,Setup!$A$27:$A$44,0)),"TBD"))</f>
        <v/>
      </c>
      <c r="G1135" s="32"/>
      <c r="H1135" s="32"/>
      <c r="I1135" s="32"/>
      <c r="J1135" s="32"/>
      <c r="K1135" s="35"/>
      <c r="L1135" s="32"/>
      <c r="M1135" s="32"/>
    </row>
    <row r="1136" customFormat="false" ht="15" hidden="false" customHeight="true" outlineLevel="0" collapsed="false">
      <c r="A1136" s="32"/>
      <c r="B1136" s="32"/>
      <c r="C1136" s="32"/>
      <c r="D1136" s="32"/>
      <c r="E1136" s="34" t="str">
        <f aca="false">IF($B1136="","",IF($B1136="OUT","Liters",IFERROR(INDEX(Setup!$F$3:$F$24,MATCH($C1136,Setup!$A$3:$A$24,0)),"")))</f>
        <v/>
      </c>
      <c r="F1136" s="28" t="str">
        <f aca="false">IF(OR($D1136="",$E1136=""),"",IFERROR($D1136*INDEX(Setup!$B$27:$B$44,MATCH($E1136,Setup!$A$27:$A$44,0)),"TBD"))</f>
        <v/>
      </c>
      <c r="G1136" s="32"/>
      <c r="H1136" s="32"/>
      <c r="I1136" s="32"/>
      <c r="J1136" s="32"/>
      <c r="K1136" s="35"/>
      <c r="L1136" s="32"/>
      <c r="M1136" s="32"/>
    </row>
    <row r="1137" customFormat="false" ht="15" hidden="false" customHeight="true" outlineLevel="0" collapsed="false">
      <c r="A1137" s="32"/>
      <c r="B1137" s="32"/>
      <c r="C1137" s="32"/>
      <c r="D1137" s="32"/>
      <c r="E1137" s="34" t="str">
        <f aca="false">IF($B1137="","",IF($B1137="OUT","Liters",IFERROR(INDEX(Setup!$F$3:$F$24,MATCH($C1137,Setup!$A$3:$A$24,0)),"")))</f>
        <v/>
      </c>
      <c r="F1137" s="28" t="str">
        <f aca="false">IF(OR($D1137="",$E1137=""),"",IFERROR($D1137*INDEX(Setup!$B$27:$B$44,MATCH($E1137,Setup!$A$27:$A$44,0)),"TBD"))</f>
        <v/>
      </c>
      <c r="G1137" s="32"/>
      <c r="H1137" s="32"/>
      <c r="I1137" s="32"/>
      <c r="J1137" s="32"/>
      <c r="K1137" s="35"/>
      <c r="L1137" s="32"/>
      <c r="M1137" s="32"/>
    </row>
    <row r="1138" customFormat="false" ht="15" hidden="false" customHeight="true" outlineLevel="0" collapsed="false">
      <c r="A1138" s="32"/>
      <c r="B1138" s="32"/>
      <c r="C1138" s="32"/>
      <c r="D1138" s="32"/>
      <c r="E1138" s="34" t="str">
        <f aca="false">IF($B1138="","",IF($B1138="OUT","Liters",IFERROR(INDEX(Setup!$F$3:$F$24,MATCH($C1138,Setup!$A$3:$A$24,0)),"")))</f>
        <v/>
      </c>
      <c r="F1138" s="28" t="str">
        <f aca="false">IF(OR($D1138="",$E1138=""),"",IFERROR($D1138*INDEX(Setup!$B$27:$B$44,MATCH($E1138,Setup!$A$27:$A$44,0)),"TBD"))</f>
        <v/>
      </c>
      <c r="G1138" s="32"/>
      <c r="H1138" s="32"/>
      <c r="I1138" s="32"/>
      <c r="J1138" s="32"/>
      <c r="K1138" s="35"/>
      <c r="L1138" s="32"/>
      <c r="M1138" s="32"/>
    </row>
    <row r="1139" customFormat="false" ht="15" hidden="false" customHeight="true" outlineLevel="0" collapsed="false">
      <c r="A1139" s="32"/>
      <c r="B1139" s="32"/>
      <c r="C1139" s="32"/>
      <c r="D1139" s="32"/>
      <c r="E1139" s="34" t="str">
        <f aca="false">IF($B1139="","",IF($B1139="OUT","Liters",IFERROR(INDEX(Setup!$F$3:$F$24,MATCH($C1139,Setup!$A$3:$A$24,0)),"")))</f>
        <v/>
      </c>
      <c r="F1139" s="28" t="str">
        <f aca="false">IF(OR($D1139="",$E1139=""),"",IFERROR($D1139*INDEX(Setup!$B$27:$B$44,MATCH($E1139,Setup!$A$27:$A$44,0)),"TBD"))</f>
        <v/>
      </c>
      <c r="G1139" s="32"/>
      <c r="H1139" s="32"/>
      <c r="I1139" s="32"/>
      <c r="J1139" s="32"/>
      <c r="K1139" s="35"/>
      <c r="L1139" s="32"/>
      <c r="M1139" s="32"/>
    </row>
    <row r="1140" customFormat="false" ht="15" hidden="false" customHeight="true" outlineLevel="0" collapsed="false">
      <c r="A1140" s="32"/>
      <c r="B1140" s="32"/>
      <c r="C1140" s="32"/>
      <c r="D1140" s="32"/>
      <c r="E1140" s="34" t="str">
        <f aca="false">IF($B1140="","",IF($B1140="OUT","Liters",IFERROR(INDEX(Setup!$F$3:$F$24,MATCH($C1140,Setup!$A$3:$A$24,0)),"")))</f>
        <v/>
      </c>
      <c r="F1140" s="28" t="str">
        <f aca="false">IF(OR($D1140="",$E1140=""),"",IFERROR($D1140*INDEX(Setup!$B$27:$B$44,MATCH($E1140,Setup!$A$27:$A$44,0)),"TBD"))</f>
        <v/>
      </c>
      <c r="G1140" s="32"/>
      <c r="H1140" s="32"/>
      <c r="I1140" s="32"/>
      <c r="J1140" s="32"/>
      <c r="K1140" s="35"/>
      <c r="L1140" s="32"/>
      <c r="M1140" s="32"/>
    </row>
    <row r="1141" customFormat="false" ht="15" hidden="false" customHeight="true" outlineLevel="0" collapsed="false">
      <c r="A1141" s="32"/>
      <c r="B1141" s="32"/>
      <c r="C1141" s="32"/>
      <c r="D1141" s="32"/>
      <c r="E1141" s="34" t="str">
        <f aca="false">IF($B1141="","",IF($B1141="OUT","Liters",IFERROR(INDEX(Setup!$F$3:$F$24,MATCH($C1141,Setup!$A$3:$A$24,0)),"")))</f>
        <v/>
      </c>
      <c r="F1141" s="28" t="str">
        <f aca="false">IF(OR($D1141="",$E1141=""),"",IFERROR($D1141*INDEX(Setup!$B$27:$B$44,MATCH($E1141,Setup!$A$27:$A$44,0)),"TBD"))</f>
        <v/>
      </c>
      <c r="G1141" s="32"/>
      <c r="H1141" s="32"/>
      <c r="I1141" s="32"/>
      <c r="J1141" s="32"/>
      <c r="K1141" s="35"/>
      <c r="L1141" s="32"/>
      <c r="M1141" s="32"/>
    </row>
    <row r="1142" customFormat="false" ht="15" hidden="false" customHeight="true" outlineLevel="0" collapsed="false">
      <c r="A1142" s="32"/>
      <c r="B1142" s="32"/>
      <c r="C1142" s="32"/>
      <c r="D1142" s="32"/>
      <c r="E1142" s="34" t="str">
        <f aca="false">IF($B1142="","",IF($B1142="OUT","Liters",IFERROR(INDEX(Setup!$F$3:$F$24,MATCH($C1142,Setup!$A$3:$A$24,0)),"")))</f>
        <v/>
      </c>
      <c r="F1142" s="28" t="str">
        <f aca="false">IF(OR($D1142="",$E1142=""),"",IFERROR($D1142*INDEX(Setup!$B$27:$B$44,MATCH($E1142,Setup!$A$27:$A$44,0)),"TBD"))</f>
        <v/>
      </c>
      <c r="G1142" s="32"/>
      <c r="H1142" s="32"/>
      <c r="I1142" s="32"/>
      <c r="J1142" s="32"/>
      <c r="K1142" s="35"/>
      <c r="L1142" s="32"/>
      <c r="M1142" s="32"/>
    </row>
    <row r="1143" customFormat="false" ht="15" hidden="false" customHeight="true" outlineLevel="0" collapsed="false">
      <c r="A1143" s="32"/>
      <c r="B1143" s="32"/>
      <c r="C1143" s="32"/>
      <c r="D1143" s="32"/>
      <c r="E1143" s="34" t="str">
        <f aca="false">IF($B1143="","",IF($B1143="OUT","Liters",IFERROR(INDEX(Setup!$F$3:$F$24,MATCH($C1143,Setup!$A$3:$A$24,0)),"")))</f>
        <v/>
      </c>
      <c r="F1143" s="28" t="str">
        <f aca="false">IF(OR($D1143="",$E1143=""),"",IFERROR($D1143*INDEX(Setup!$B$27:$B$44,MATCH($E1143,Setup!$A$27:$A$44,0)),"TBD"))</f>
        <v/>
      </c>
      <c r="G1143" s="32"/>
      <c r="H1143" s="32"/>
      <c r="I1143" s="32"/>
      <c r="J1143" s="32"/>
      <c r="K1143" s="35"/>
      <c r="L1143" s="32"/>
      <c r="M1143" s="32"/>
    </row>
    <row r="1144" customFormat="false" ht="15" hidden="false" customHeight="true" outlineLevel="0" collapsed="false">
      <c r="A1144" s="32"/>
      <c r="B1144" s="32"/>
      <c r="C1144" s="32"/>
      <c r="D1144" s="32"/>
      <c r="E1144" s="34" t="str">
        <f aca="false">IF($B1144="","",IF($B1144="OUT","Liters",IFERROR(INDEX(Setup!$F$3:$F$24,MATCH($C1144,Setup!$A$3:$A$24,0)),"")))</f>
        <v/>
      </c>
      <c r="F1144" s="28" t="str">
        <f aca="false">IF(OR($D1144="",$E1144=""),"",IFERROR($D1144*INDEX(Setup!$B$27:$B$44,MATCH($E1144,Setup!$A$27:$A$44,0)),"TBD"))</f>
        <v/>
      </c>
      <c r="G1144" s="32"/>
      <c r="H1144" s="32"/>
      <c r="I1144" s="32"/>
      <c r="J1144" s="32"/>
      <c r="K1144" s="35"/>
      <c r="L1144" s="32"/>
      <c r="M1144" s="32"/>
    </row>
    <row r="1145" customFormat="false" ht="15" hidden="false" customHeight="true" outlineLevel="0" collapsed="false">
      <c r="A1145" s="32"/>
      <c r="B1145" s="32"/>
      <c r="C1145" s="32"/>
      <c r="D1145" s="32"/>
      <c r="E1145" s="34" t="str">
        <f aca="false">IF($B1145="","",IF($B1145="OUT","Liters",IFERROR(INDEX(Setup!$F$3:$F$24,MATCH($C1145,Setup!$A$3:$A$24,0)),"")))</f>
        <v/>
      </c>
      <c r="F1145" s="28" t="str">
        <f aca="false">IF(OR($D1145="",$E1145=""),"",IFERROR($D1145*INDEX(Setup!$B$27:$B$44,MATCH($E1145,Setup!$A$27:$A$44,0)),"TBD"))</f>
        <v/>
      </c>
      <c r="G1145" s="32"/>
      <c r="H1145" s="32"/>
      <c r="I1145" s="32"/>
      <c r="J1145" s="32"/>
      <c r="K1145" s="35"/>
      <c r="L1145" s="32"/>
      <c r="M1145" s="32"/>
    </row>
    <row r="1146" customFormat="false" ht="15" hidden="false" customHeight="true" outlineLevel="0" collapsed="false">
      <c r="A1146" s="32"/>
      <c r="B1146" s="32"/>
      <c r="C1146" s="32"/>
      <c r="D1146" s="32"/>
      <c r="E1146" s="34" t="str">
        <f aca="false">IF($B1146="","",IF($B1146="OUT","Liters",IFERROR(INDEX(Setup!$F$3:$F$24,MATCH($C1146,Setup!$A$3:$A$24,0)),"")))</f>
        <v/>
      </c>
      <c r="F1146" s="28" t="str">
        <f aca="false">IF(OR($D1146="",$E1146=""),"",IFERROR($D1146*INDEX(Setup!$B$27:$B$44,MATCH($E1146,Setup!$A$27:$A$44,0)),"TBD"))</f>
        <v/>
      </c>
      <c r="G1146" s="32"/>
      <c r="H1146" s="32"/>
      <c r="I1146" s="32"/>
      <c r="J1146" s="32"/>
      <c r="K1146" s="35"/>
      <c r="L1146" s="32"/>
      <c r="M1146" s="32"/>
    </row>
    <row r="1147" customFormat="false" ht="15" hidden="false" customHeight="true" outlineLevel="0" collapsed="false">
      <c r="A1147" s="32"/>
      <c r="B1147" s="32"/>
      <c r="C1147" s="32"/>
      <c r="D1147" s="32"/>
      <c r="E1147" s="34" t="str">
        <f aca="false">IF($B1147="","",IF($B1147="OUT","Liters",IFERROR(INDEX(Setup!$F$3:$F$24,MATCH($C1147,Setup!$A$3:$A$24,0)),"")))</f>
        <v/>
      </c>
      <c r="F1147" s="28" t="str">
        <f aca="false">IF(OR($D1147="",$E1147=""),"",IFERROR($D1147*INDEX(Setup!$B$27:$B$44,MATCH($E1147,Setup!$A$27:$A$44,0)),"TBD"))</f>
        <v/>
      </c>
      <c r="G1147" s="32"/>
      <c r="H1147" s="32"/>
      <c r="I1147" s="32"/>
      <c r="J1147" s="32"/>
      <c r="K1147" s="35"/>
      <c r="L1147" s="32"/>
      <c r="M1147" s="32"/>
    </row>
    <row r="1148" customFormat="false" ht="15" hidden="false" customHeight="true" outlineLevel="0" collapsed="false">
      <c r="A1148" s="32"/>
      <c r="B1148" s="32"/>
      <c r="C1148" s="32"/>
      <c r="D1148" s="32"/>
      <c r="E1148" s="34" t="str">
        <f aca="false">IF($B1148="","",IF($B1148="OUT","Liters",IFERROR(INDEX(Setup!$F$3:$F$24,MATCH($C1148,Setup!$A$3:$A$24,0)),"")))</f>
        <v/>
      </c>
      <c r="F1148" s="28" t="str">
        <f aca="false">IF(OR($D1148="",$E1148=""),"",IFERROR($D1148*INDEX(Setup!$B$27:$B$44,MATCH($E1148,Setup!$A$27:$A$44,0)),"TBD"))</f>
        <v/>
      </c>
      <c r="G1148" s="32"/>
      <c r="H1148" s="32"/>
      <c r="I1148" s="32"/>
      <c r="J1148" s="32"/>
      <c r="K1148" s="35"/>
      <c r="L1148" s="32"/>
      <c r="M1148" s="32"/>
    </row>
    <row r="1149" customFormat="false" ht="15" hidden="false" customHeight="true" outlineLevel="0" collapsed="false">
      <c r="A1149" s="32"/>
      <c r="B1149" s="32"/>
      <c r="C1149" s="32"/>
      <c r="D1149" s="32"/>
      <c r="E1149" s="34" t="str">
        <f aca="false">IF($B1149="","",IF($B1149="OUT","Liters",IFERROR(INDEX(Setup!$F$3:$F$24,MATCH($C1149,Setup!$A$3:$A$24,0)),"")))</f>
        <v/>
      </c>
      <c r="F1149" s="28" t="str">
        <f aca="false">IF(OR($D1149="",$E1149=""),"",IFERROR($D1149*INDEX(Setup!$B$27:$B$44,MATCH($E1149,Setup!$A$27:$A$44,0)),"TBD"))</f>
        <v/>
      </c>
      <c r="G1149" s="32"/>
      <c r="H1149" s="32"/>
      <c r="I1149" s="32"/>
      <c r="J1149" s="32"/>
      <c r="K1149" s="35"/>
      <c r="L1149" s="32"/>
      <c r="M1149" s="32"/>
    </row>
    <row r="1150" customFormat="false" ht="15" hidden="false" customHeight="true" outlineLevel="0" collapsed="false">
      <c r="A1150" s="32"/>
      <c r="B1150" s="32"/>
      <c r="C1150" s="32"/>
      <c r="D1150" s="32"/>
      <c r="E1150" s="34" t="str">
        <f aca="false">IF($B1150="","",IF($B1150="OUT","Liters",IFERROR(INDEX(Setup!$F$3:$F$24,MATCH($C1150,Setup!$A$3:$A$24,0)),"")))</f>
        <v/>
      </c>
      <c r="F1150" s="28" t="str">
        <f aca="false">IF(OR($D1150="",$E1150=""),"",IFERROR($D1150*INDEX(Setup!$B$27:$B$44,MATCH($E1150,Setup!$A$27:$A$44,0)),"TBD"))</f>
        <v/>
      </c>
      <c r="G1150" s="32"/>
      <c r="H1150" s="32"/>
      <c r="I1150" s="32"/>
      <c r="J1150" s="32"/>
      <c r="K1150" s="35"/>
      <c r="L1150" s="32"/>
      <c r="M1150" s="32"/>
    </row>
    <row r="1151" customFormat="false" ht="15" hidden="false" customHeight="true" outlineLevel="0" collapsed="false">
      <c r="A1151" s="32"/>
      <c r="B1151" s="32"/>
      <c r="C1151" s="32"/>
      <c r="D1151" s="32"/>
      <c r="E1151" s="34" t="str">
        <f aca="false">IF($B1151="","",IF($B1151="OUT","Liters",IFERROR(INDEX(Setup!$F$3:$F$24,MATCH($C1151,Setup!$A$3:$A$24,0)),"")))</f>
        <v/>
      </c>
      <c r="F1151" s="28" t="str">
        <f aca="false">IF(OR($D1151="",$E1151=""),"",IFERROR($D1151*INDEX(Setup!$B$27:$B$44,MATCH($E1151,Setup!$A$27:$A$44,0)),"TBD"))</f>
        <v/>
      </c>
      <c r="G1151" s="32"/>
      <c r="H1151" s="32"/>
      <c r="I1151" s="32"/>
      <c r="J1151" s="32"/>
      <c r="K1151" s="35"/>
      <c r="L1151" s="32"/>
      <c r="M1151" s="32"/>
    </row>
    <row r="1152" customFormat="false" ht="15" hidden="false" customHeight="true" outlineLevel="0" collapsed="false">
      <c r="A1152" s="32"/>
      <c r="B1152" s="32"/>
      <c r="C1152" s="32"/>
      <c r="D1152" s="32"/>
      <c r="E1152" s="34" t="str">
        <f aca="false">IF($B1152="","",IF($B1152="OUT","Liters",IFERROR(INDEX(Setup!$F$3:$F$24,MATCH($C1152,Setup!$A$3:$A$24,0)),"")))</f>
        <v/>
      </c>
      <c r="F1152" s="28" t="str">
        <f aca="false">IF(OR($D1152="",$E1152=""),"",IFERROR($D1152*INDEX(Setup!$B$27:$B$44,MATCH($E1152,Setup!$A$27:$A$44,0)),"TBD"))</f>
        <v/>
      </c>
      <c r="G1152" s="32"/>
      <c r="H1152" s="32"/>
      <c r="I1152" s="32"/>
      <c r="J1152" s="32"/>
      <c r="K1152" s="35"/>
      <c r="L1152" s="32"/>
      <c r="M1152" s="32"/>
    </row>
    <row r="1153" customFormat="false" ht="15" hidden="false" customHeight="true" outlineLevel="0" collapsed="false">
      <c r="A1153" s="32"/>
      <c r="B1153" s="32"/>
      <c r="C1153" s="32"/>
      <c r="D1153" s="32"/>
      <c r="E1153" s="34" t="str">
        <f aca="false">IF($B1153="","",IF($B1153="OUT","Liters",IFERROR(INDEX(Setup!$F$3:$F$24,MATCH($C1153,Setup!$A$3:$A$24,0)),"")))</f>
        <v/>
      </c>
      <c r="F1153" s="28" t="str">
        <f aca="false">IF(OR($D1153="",$E1153=""),"",IFERROR($D1153*INDEX(Setup!$B$27:$B$44,MATCH($E1153,Setup!$A$27:$A$44,0)),"TBD"))</f>
        <v/>
      </c>
      <c r="G1153" s="32"/>
      <c r="H1153" s="32"/>
      <c r="I1153" s="32"/>
      <c r="J1153" s="32"/>
      <c r="K1153" s="35"/>
      <c r="L1153" s="32"/>
      <c r="M1153" s="32"/>
    </row>
    <row r="1154" customFormat="false" ht="15" hidden="false" customHeight="true" outlineLevel="0" collapsed="false">
      <c r="A1154" s="32"/>
      <c r="B1154" s="32"/>
      <c r="C1154" s="32"/>
      <c r="D1154" s="32"/>
      <c r="E1154" s="34" t="str">
        <f aca="false">IF($B1154="","",IF($B1154="OUT","Liters",IFERROR(INDEX(Setup!$F$3:$F$24,MATCH($C1154,Setup!$A$3:$A$24,0)),"")))</f>
        <v/>
      </c>
      <c r="F1154" s="28" t="str">
        <f aca="false">IF(OR($D1154="",$E1154=""),"",IFERROR($D1154*INDEX(Setup!$B$27:$B$44,MATCH($E1154,Setup!$A$27:$A$44,0)),"TBD"))</f>
        <v/>
      </c>
      <c r="G1154" s="32"/>
      <c r="H1154" s="32"/>
      <c r="I1154" s="32"/>
      <c r="J1154" s="32"/>
      <c r="K1154" s="35"/>
      <c r="L1154" s="32"/>
      <c r="M1154" s="32"/>
    </row>
    <row r="1155" customFormat="false" ht="15" hidden="false" customHeight="true" outlineLevel="0" collapsed="false">
      <c r="A1155" s="32"/>
      <c r="B1155" s="32"/>
      <c r="C1155" s="32"/>
      <c r="D1155" s="32"/>
      <c r="E1155" s="34" t="str">
        <f aca="false">IF($B1155="","",IF($B1155="OUT","Liters",IFERROR(INDEX(Setup!$F$3:$F$24,MATCH($C1155,Setup!$A$3:$A$24,0)),"")))</f>
        <v/>
      </c>
      <c r="F1155" s="28" t="str">
        <f aca="false">IF(OR($D1155="",$E1155=""),"",IFERROR($D1155*INDEX(Setup!$B$27:$B$44,MATCH($E1155,Setup!$A$27:$A$44,0)),"TBD"))</f>
        <v/>
      </c>
      <c r="G1155" s="32"/>
      <c r="H1155" s="32"/>
      <c r="I1155" s="32"/>
      <c r="J1155" s="32"/>
      <c r="K1155" s="35"/>
      <c r="L1155" s="32"/>
      <c r="M1155" s="32"/>
    </row>
    <row r="1156" customFormat="false" ht="15" hidden="false" customHeight="true" outlineLevel="0" collapsed="false">
      <c r="A1156" s="32"/>
      <c r="B1156" s="32"/>
      <c r="C1156" s="32"/>
      <c r="D1156" s="32"/>
      <c r="E1156" s="34" t="str">
        <f aca="false">IF($B1156="","",IF($B1156="OUT","Liters",IFERROR(INDEX(Setup!$F$3:$F$24,MATCH($C1156,Setup!$A$3:$A$24,0)),"")))</f>
        <v/>
      </c>
      <c r="F1156" s="28" t="str">
        <f aca="false">IF(OR($D1156="",$E1156=""),"",IFERROR($D1156*INDEX(Setup!$B$27:$B$44,MATCH($E1156,Setup!$A$27:$A$44,0)),"TBD"))</f>
        <v/>
      </c>
      <c r="G1156" s="32"/>
      <c r="H1156" s="32"/>
      <c r="I1156" s="32"/>
      <c r="J1156" s="32"/>
      <c r="K1156" s="35"/>
      <c r="L1156" s="32"/>
      <c r="M1156" s="32"/>
    </row>
    <row r="1157" customFormat="false" ht="15" hidden="false" customHeight="true" outlineLevel="0" collapsed="false">
      <c r="A1157" s="32"/>
      <c r="B1157" s="32"/>
      <c r="C1157" s="32"/>
      <c r="D1157" s="32"/>
      <c r="E1157" s="34" t="str">
        <f aca="false">IF($B1157="","",IF($B1157="OUT","Liters",IFERROR(INDEX(Setup!$F$3:$F$24,MATCH($C1157,Setup!$A$3:$A$24,0)),"")))</f>
        <v/>
      </c>
      <c r="F1157" s="28" t="str">
        <f aca="false">IF(OR($D1157="",$E1157=""),"",IFERROR($D1157*INDEX(Setup!$B$27:$B$44,MATCH($E1157,Setup!$A$27:$A$44,0)),"TBD"))</f>
        <v/>
      </c>
      <c r="G1157" s="32"/>
      <c r="H1157" s="32"/>
      <c r="I1157" s="32"/>
      <c r="J1157" s="32"/>
      <c r="K1157" s="35"/>
      <c r="L1157" s="32"/>
      <c r="M1157" s="32"/>
    </row>
    <row r="1158" customFormat="false" ht="15" hidden="false" customHeight="true" outlineLevel="0" collapsed="false">
      <c r="A1158" s="32"/>
      <c r="B1158" s="32"/>
      <c r="C1158" s="32"/>
      <c r="D1158" s="32"/>
      <c r="E1158" s="34" t="str">
        <f aca="false">IF($B1158="","",IF($B1158="OUT","Liters",IFERROR(INDEX(Setup!$F$3:$F$24,MATCH($C1158,Setup!$A$3:$A$24,0)),"")))</f>
        <v/>
      </c>
      <c r="F1158" s="28" t="str">
        <f aca="false">IF(OR($D1158="",$E1158=""),"",IFERROR($D1158*INDEX(Setup!$B$27:$B$44,MATCH($E1158,Setup!$A$27:$A$44,0)),"TBD"))</f>
        <v/>
      </c>
      <c r="G1158" s="32"/>
      <c r="H1158" s="32"/>
      <c r="I1158" s="32"/>
      <c r="J1158" s="32"/>
      <c r="K1158" s="35"/>
      <c r="L1158" s="32"/>
      <c r="M1158" s="32"/>
    </row>
    <row r="1159" customFormat="false" ht="15" hidden="false" customHeight="true" outlineLevel="0" collapsed="false">
      <c r="A1159" s="32"/>
      <c r="B1159" s="32"/>
      <c r="C1159" s="32"/>
      <c r="D1159" s="32"/>
      <c r="E1159" s="34" t="str">
        <f aca="false">IF($B1159="","",IF($B1159="OUT","Liters",IFERROR(INDEX(Setup!$F$3:$F$24,MATCH($C1159,Setup!$A$3:$A$24,0)),"")))</f>
        <v/>
      </c>
      <c r="F1159" s="28" t="str">
        <f aca="false">IF(OR($D1159="",$E1159=""),"",IFERROR($D1159*INDEX(Setup!$B$27:$B$44,MATCH($E1159,Setup!$A$27:$A$44,0)),"TBD"))</f>
        <v/>
      </c>
      <c r="G1159" s="32"/>
      <c r="H1159" s="32"/>
      <c r="I1159" s="32"/>
      <c r="J1159" s="32"/>
      <c r="K1159" s="35"/>
      <c r="L1159" s="32"/>
      <c r="M1159" s="32"/>
    </row>
    <row r="1160" customFormat="false" ht="15" hidden="false" customHeight="true" outlineLevel="0" collapsed="false">
      <c r="A1160" s="32"/>
      <c r="B1160" s="32"/>
      <c r="C1160" s="32"/>
      <c r="D1160" s="32"/>
      <c r="E1160" s="34" t="str">
        <f aca="false">IF($B1160="","",IF($B1160="OUT","Liters",IFERROR(INDEX(Setup!$F$3:$F$24,MATCH($C1160,Setup!$A$3:$A$24,0)),"")))</f>
        <v/>
      </c>
      <c r="F1160" s="28" t="str">
        <f aca="false">IF(OR($D1160="",$E1160=""),"",IFERROR($D1160*INDEX(Setup!$B$27:$B$44,MATCH($E1160,Setup!$A$27:$A$44,0)),"TBD"))</f>
        <v/>
      </c>
      <c r="G1160" s="32"/>
      <c r="H1160" s="32"/>
      <c r="I1160" s="32"/>
      <c r="J1160" s="32"/>
      <c r="K1160" s="35"/>
      <c r="L1160" s="32"/>
      <c r="M1160" s="32"/>
    </row>
    <row r="1161" customFormat="false" ht="15" hidden="false" customHeight="true" outlineLevel="0" collapsed="false">
      <c r="A1161" s="32"/>
      <c r="B1161" s="32"/>
      <c r="C1161" s="32"/>
      <c r="D1161" s="32"/>
      <c r="E1161" s="34" t="str">
        <f aca="false">IF($B1161="","",IF($B1161="OUT","Liters",IFERROR(INDEX(Setup!$F$3:$F$24,MATCH($C1161,Setup!$A$3:$A$24,0)),"")))</f>
        <v/>
      </c>
      <c r="F1161" s="28" t="str">
        <f aca="false">IF(OR($D1161="",$E1161=""),"",IFERROR($D1161*INDEX(Setup!$B$27:$B$44,MATCH($E1161,Setup!$A$27:$A$44,0)),"TBD"))</f>
        <v/>
      </c>
      <c r="G1161" s="32"/>
      <c r="H1161" s="32"/>
      <c r="I1161" s="32"/>
      <c r="J1161" s="32"/>
      <c r="K1161" s="35"/>
      <c r="L1161" s="32"/>
      <c r="M1161" s="32"/>
    </row>
    <row r="1162" customFormat="false" ht="15" hidden="false" customHeight="true" outlineLevel="0" collapsed="false">
      <c r="A1162" s="32"/>
      <c r="B1162" s="32"/>
      <c r="C1162" s="32"/>
      <c r="D1162" s="32"/>
      <c r="E1162" s="34" t="str">
        <f aca="false">IF($B1162="","",IF($B1162="OUT","Liters",IFERROR(INDEX(Setup!$F$3:$F$24,MATCH($C1162,Setup!$A$3:$A$24,0)),"")))</f>
        <v/>
      </c>
      <c r="F1162" s="28" t="str">
        <f aca="false">IF(OR($D1162="",$E1162=""),"",IFERROR($D1162*INDEX(Setup!$B$27:$B$44,MATCH($E1162,Setup!$A$27:$A$44,0)),"TBD"))</f>
        <v/>
      </c>
      <c r="G1162" s="32"/>
      <c r="H1162" s="32"/>
      <c r="I1162" s="32"/>
      <c r="J1162" s="32"/>
      <c r="K1162" s="35"/>
      <c r="L1162" s="32"/>
      <c r="M1162" s="32"/>
    </row>
    <row r="1163" customFormat="false" ht="15" hidden="false" customHeight="true" outlineLevel="0" collapsed="false">
      <c r="A1163" s="32"/>
      <c r="B1163" s="32"/>
      <c r="C1163" s="32"/>
      <c r="D1163" s="32"/>
      <c r="E1163" s="34" t="str">
        <f aca="false">IF($B1163="","",IF($B1163="OUT","Liters",IFERROR(INDEX(Setup!$F$3:$F$24,MATCH($C1163,Setup!$A$3:$A$24,0)),"")))</f>
        <v/>
      </c>
      <c r="F1163" s="28" t="str">
        <f aca="false">IF(OR($D1163="",$E1163=""),"",IFERROR($D1163*INDEX(Setup!$B$27:$B$44,MATCH($E1163,Setup!$A$27:$A$44,0)),"TBD"))</f>
        <v/>
      </c>
      <c r="G1163" s="32"/>
      <c r="H1163" s="32"/>
      <c r="I1163" s="32"/>
      <c r="J1163" s="32"/>
      <c r="K1163" s="35"/>
      <c r="L1163" s="32"/>
      <c r="M1163" s="32"/>
    </row>
    <row r="1164" customFormat="false" ht="15" hidden="false" customHeight="true" outlineLevel="0" collapsed="false">
      <c r="A1164" s="32"/>
      <c r="B1164" s="32"/>
      <c r="C1164" s="32"/>
      <c r="D1164" s="32"/>
      <c r="E1164" s="34" t="str">
        <f aca="false">IF($B1164="","",IF($B1164="OUT","Liters",IFERROR(INDEX(Setup!$F$3:$F$24,MATCH($C1164,Setup!$A$3:$A$24,0)),"")))</f>
        <v/>
      </c>
      <c r="F1164" s="28" t="str">
        <f aca="false">IF(OR($D1164="",$E1164=""),"",IFERROR($D1164*INDEX(Setup!$B$27:$B$44,MATCH($E1164,Setup!$A$27:$A$44,0)),"TBD"))</f>
        <v/>
      </c>
      <c r="G1164" s="32"/>
      <c r="H1164" s="32"/>
      <c r="I1164" s="32"/>
      <c r="J1164" s="32"/>
      <c r="K1164" s="35"/>
      <c r="L1164" s="32"/>
      <c r="M1164" s="32"/>
    </row>
    <row r="1165" customFormat="false" ht="15" hidden="false" customHeight="true" outlineLevel="0" collapsed="false">
      <c r="A1165" s="32"/>
      <c r="B1165" s="32"/>
      <c r="C1165" s="32"/>
      <c r="D1165" s="32"/>
      <c r="E1165" s="34" t="str">
        <f aca="false">IF($B1165="","",IF($B1165="OUT","Liters",IFERROR(INDEX(Setup!$F$3:$F$24,MATCH($C1165,Setup!$A$3:$A$24,0)),"")))</f>
        <v/>
      </c>
      <c r="F1165" s="28" t="str">
        <f aca="false">IF(OR($D1165="",$E1165=""),"",IFERROR($D1165*INDEX(Setup!$B$27:$B$44,MATCH($E1165,Setup!$A$27:$A$44,0)),"TBD"))</f>
        <v/>
      </c>
      <c r="G1165" s="32"/>
      <c r="H1165" s="32"/>
      <c r="I1165" s="32"/>
      <c r="J1165" s="32"/>
      <c r="K1165" s="35"/>
      <c r="L1165" s="32"/>
      <c r="M1165" s="32"/>
    </row>
    <row r="1166" customFormat="false" ht="15" hidden="false" customHeight="true" outlineLevel="0" collapsed="false">
      <c r="A1166" s="32"/>
      <c r="B1166" s="32"/>
      <c r="C1166" s="32"/>
      <c r="D1166" s="32"/>
      <c r="E1166" s="34" t="str">
        <f aca="false">IF($B1166="","",IF($B1166="OUT","Liters",IFERROR(INDEX(Setup!$F$3:$F$24,MATCH($C1166,Setup!$A$3:$A$24,0)),"")))</f>
        <v/>
      </c>
      <c r="F1166" s="28" t="str">
        <f aca="false">IF(OR($D1166="",$E1166=""),"",IFERROR($D1166*INDEX(Setup!$B$27:$B$44,MATCH($E1166,Setup!$A$27:$A$44,0)),"TBD"))</f>
        <v/>
      </c>
      <c r="G1166" s="32"/>
      <c r="H1166" s="32"/>
      <c r="I1166" s="32"/>
      <c r="J1166" s="32"/>
      <c r="K1166" s="35"/>
      <c r="L1166" s="32"/>
      <c r="M1166" s="32"/>
    </row>
    <row r="1167" customFormat="false" ht="15" hidden="false" customHeight="true" outlineLevel="0" collapsed="false">
      <c r="A1167" s="32"/>
      <c r="B1167" s="32"/>
      <c r="C1167" s="32"/>
      <c r="D1167" s="32"/>
      <c r="E1167" s="34" t="str">
        <f aca="false">IF($B1167="","",IF($B1167="OUT","Liters",IFERROR(INDEX(Setup!$F$3:$F$24,MATCH($C1167,Setup!$A$3:$A$24,0)),"")))</f>
        <v/>
      </c>
      <c r="F1167" s="28" t="str">
        <f aca="false">IF(OR($D1167="",$E1167=""),"",IFERROR($D1167*INDEX(Setup!$B$27:$B$44,MATCH($E1167,Setup!$A$27:$A$44,0)),"TBD"))</f>
        <v/>
      </c>
      <c r="G1167" s="32"/>
      <c r="H1167" s="32"/>
      <c r="I1167" s="32"/>
      <c r="J1167" s="32"/>
      <c r="K1167" s="35"/>
      <c r="L1167" s="32"/>
      <c r="M1167" s="32"/>
    </row>
    <row r="1168" customFormat="false" ht="15" hidden="false" customHeight="true" outlineLevel="0" collapsed="false">
      <c r="A1168" s="32"/>
      <c r="B1168" s="32"/>
      <c r="C1168" s="32"/>
      <c r="D1168" s="32"/>
      <c r="E1168" s="34" t="str">
        <f aca="false">IF($B1168="","",IF($B1168="OUT","Liters",IFERROR(INDEX(Setup!$F$3:$F$24,MATCH($C1168,Setup!$A$3:$A$24,0)),"")))</f>
        <v/>
      </c>
      <c r="F1168" s="28" t="str">
        <f aca="false">IF(OR($D1168="",$E1168=""),"",IFERROR($D1168*INDEX(Setup!$B$27:$B$44,MATCH($E1168,Setup!$A$27:$A$44,0)),"TBD"))</f>
        <v/>
      </c>
      <c r="G1168" s="32"/>
      <c r="H1168" s="32"/>
      <c r="I1168" s="32"/>
      <c r="J1168" s="32"/>
      <c r="K1168" s="35"/>
      <c r="L1168" s="32"/>
      <c r="M1168" s="32"/>
    </row>
    <row r="1169" customFormat="false" ht="15" hidden="false" customHeight="true" outlineLevel="0" collapsed="false">
      <c r="A1169" s="32"/>
      <c r="B1169" s="32"/>
      <c r="C1169" s="32"/>
      <c r="D1169" s="32"/>
      <c r="E1169" s="34" t="str">
        <f aca="false">IF($B1169="","",IF($B1169="OUT","Liters",IFERROR(INDEX(Setup!$F$3:$F$24,MATCH($C1169,Setup!$A$3:$A$24,0)),"")))</f>
        <v/>
      </c>
      <c r="F1169" s="28" t="str">
        <f aca="false">IF(OR($D1169="",$E1169=""),"",IFERROR($D1169*INDEX(Setup!$B$27:$B$44,MATCH($E1169,Setup!$A$27:$A$44,0)),"TBD"))</f>
        <v/>
      </c>
      <c r="G1169" s="32"/>
      <c r="H1169" s="32"/>
      <c r="I1169" s="32"/>
      <c r="J1169" s="32"/>
      <c r="K1169" s="35"/>
      <c r="L1169" s="32"/>
      <c r="M1169" s="32"/>
    </row>
    <row r="1170" customFormat="false" ht="15" hidden="false" customHeight="true" outlineLevel="0" collapsed="false">
      <c r="A1170" s="32"/>
      <c r="B1170" s="32"/>
      <c r="C1170" s="32"/>
      <c r="D1170" s="32"/>
      <c r="E1170" s="34" t="str">
        <f aca="false">IF($B1170="","",IF($B1170="OUT","Liters",IFERROR(INDEX(Setup!$F$3:$F$24,MATCH($C1170,Setup!$A$3:$A$24,0)),"")))</f>
        <v/>
      </c>
      <c r="F1170" s="28" t="str">
        <f aca="false">IF(OR($D1170="",$E1170=""),"",IFERROR($D1170*INDEX(Setup!$B$27:$B$44,MATCH($E1170,Setup!$A$27:$A$44,0)),"TBD"))</f>
        <v/>
      </c>
      <c r="G1170" s="32"/>
      <c r="H1170" s="32"/>
      <c r="I1170" s="32"/>
      <c r="J1170" s="32"/>
      <c r="K1170" s="35"/>
      <c r="L1170" s="32"/>
      <c r="M1170" s="32"/>
    </row>
    <row r="1171" customFormat="false" ht="15" hidden="false" customHeight="true" outlineLevel="0" collapsed="false">
      <c r="A1171" s="32"/>
      <c r="B1171" s="32"/>
      <c r="C1171" s="32"/>
      <c r="D1171" s="32"/>
      <c r="E1171" s="34" t="str">
        <f aca="false">IF($B1171="","",IF($B1171="OUT","Liters",IFERROR(INDEX(Setup!$F$3:$F$24,MATCH($C1171,Setup!$A$3:$A$24,0)),"")))</f>
        <v/>
      </c>
      <c r="F1171" s="28" t="str">
        <f aca="false">IF(OR($D1171="",$E1171=""),"",IFERROR($D1171*INDEX(Setup!$B$27:$B$44,MATCH($E1171,Setup!$A$27:$A$44,0)),"TBD"))</f>
        <v/>
      </c>
      <c r="G1171" s="32"/>
      <c r="H1171" s="32"/>
      <c r="I1171" s="32"/>
      <c r="J1171" s="32"/>
      <c r="K1171" s="35"/>
      <c r="L1171" s="32"/>
      <c r="M1171" s="32"/>
    </row>
    <row r="1172" customFormat="false" ht="15" hidden="false" customHeight="true" outlineLevel="0" collapsed="false">
      <c r="A1172" s="32"/>
      <c r="B1172" s="32"/>
      <c r="C1172" s="32"/>
      <c r="D1172" s="32"/>
      <c r="E1172" s="34" t="str">
        <f aca="false">IF($B1172="","",IF($B1172="OUT","Liters",IFERROR(INDEX(Setup!$F$3:$F$24,MATCH($C1172,Setup!$A$3:$A$24,0)),"")))</f>
        <v/>
      </c>
      <c r="F1172" s="28" t="str">
        <f aca="false">IF(OR($D1172="",$E1172=""),"",IFERROR($D1172*INDEX(Setup!$B$27:$B$44,MATCH($E1172,Setup!$A$27:$A$44,0)),"TBD"))</f>
        <v/>
      </c>
      <c r="G1172" s="32"/>
      <c r="H1172" s="32"/>
      <c r="I1172" s="32"/>
      <c r="J1172" s="32"/>
      <c r="K1172" s="35"/>
      <c r="L1172" s="32"/>
      <c r="M1172" s="32"/>
    </row>
    <row r="1173" customFormat="false" ht="15" hidden="false" customHeight="true" outlineLevel="0" collapsed="false">
      <c r="A1173" s="32"/>
      <c r="B1173" s="32"/>
      <c r="C1173" s="32"/>
      <c r="D1173" s="32"/>
      <c r="E1173" s="34" t="str">
        <f aca="false">IF($B1173="","",IF($B1173="OUT","Liters",IFERROR(INDEX(Setup!$F$3:$F$24,MATCH($C1173,Setup!$A$3:$A$24,0)),"")))</f>
        <v/>
      </c>
      <c r="F1173" s="28" t="str">
        <f aca="false">IF(OR($D1173="",$E1173=""),"",IFERROR($D1173*INDEX(Setup!$B$27:$B$44,MATCH($E1173,Setup!$A$27:$A$44,0)),"TBD"))</f>
        <v/>
      </c>
      <c r="G1173" s="32"/>
      <c r="H1173" s="32"/>
      <c r="I1173" s="32"/>
      <c r="J1173" s="32"/>
      <c r="K1173" s="35"/>
      <c r="L1173" s="32"/>
      <c r="M1173" s="32"/>
    </row>
    <row r="1174" customFormat="false" ht="15" hidden="false" customHeight="true" outlineLevel="0" collapsed="false">
      <c r="A1174" s="32"/>
      <c r="B1174" s="32"/>
      <c r="C1174" s="32"/>
      <c r="D1174" s="32"/>
      <c r="E1174" s="34" t="str">
        <f aca="false">IF($B1174="","",IF($B1174="OUT","Liters",IFERROR(INDEX(Setup!$F$3:$F$24,MATCH($C1174,Setup!$A$3:$A$24,0)),"")))</f>
        <v/>
      </c>
      <c r="F1174" s="28" t="str">
        <f aca="false">IF(OR($D1174="",$E1174=""),"",IFERROR($D1174*INDEX(Setup!$B$27:$B$44,MATCH($E1174,Setup!$A$27:$A$44,0)),"TBD"))</f>
        <v/>
      </c>
      <c r="G1174" s="32"/>
      <c r="H1174" s="32"/>
      <c r="I1174" s="32"/>
      <c r="J1174" s="32"/>
      <c r="K1174" s="35"/>
      <c r="L1174" s="32"/>
      <c r="M1174" s="32"/>
    </row>
    <row r="1175" customFormat="false" ht="15" hidden="false" customHeight="true" outlineLevel="0" collapsed="false">
      <c r="A1175" s="32"/>
      <c r="B1175" s="32"/>
      <c r="C1175" s="32"/>
      <c r="D1175" s="32"/>
      <c r="E1175" s="34" t="str">
        <f aca="false">IF($B1175="","",IF($B1175="OUT","Liters",IFERROR(INDEX(Setup!$F$3:$F$24,MATCH($C1175,Setup!$A$3:$A$24,0)),"")))</f>
        <v/>
      </c>
      <c r="F1175" s="28" t="str">
        <f aca="false">IF(OR($D1175="",$E1175=""),"",IFERROR($D1175*INDEX(Setup!$B$27:$B$44,MATCH($E1175,Setup!$A$27:$A$44,0)),"TBD"))</f>
        <v/>
      </c>
      <c r="G1175" s="32"/>
      <c r="H1175" s="32"/>
      <c r="I1175" s="32"/>
      <c r="J1175" s="32"/>
      <c r="K1175" s="35"/>
      <c r="L1175" s="32"/>
      <c r="M1175" s="32"/>
    </row>
    <row r="1176" customFormat="false" ht="15" hidden="false" customHeight="true" outlineLevel="0" collapsed="false">
      <c r="A1176" s="32"/>
      <c r="B1176" s="32"/>
      <c r="C1176" s="32"/>
      <c r="D1176" s="32"/>
      <c r="E1176" s="34" t="str">
        <f aca="false">IF($B1176="","",IF($B1176="OUT","Liters",IFERROR(INDEX(Setup!$F$3:$F$24,MATCH($C1176,Setup!$A$3:$A$24,0)),"")))</f>
        <v/>
      </c>
      <c r="F1176" s="28" t="str">
        <f aca="false">IF(OR($D1176="",$E1176=""),"",IFERROR($D1176*INDEX(Setup!$B$27:$B$44,MATCH($E1176,Setup!$A$27:$A$44,0)),"TBD"))</f>
        <v/>
      </c>
      <c r="G1176" s="32"/>
      <c r="H1176" s="32"/>
      <c r="I1176" s="32"/>
      <c r="J1176" s="32"/>
      <c r="K1176" s="35"/>
      <c r="L1176" s="32"/>
      <c r="M1176" s="32"/>
    </row>
    <row r="1177" customFormat="false" ht="15" hidden="false" customHeight="true" outlineLevel="0" collapsed="false">
      <c r="A1177" s="32"/>
      <c r="B1177" s="32"/>
      <c r="C1177" s="32"/>
      <c r="D1177" s="32"/>
      <c r="E1177" s="34" t="str">
        <f aca="false">IF($B1177="","",IF($B1177="OUT","Liters",IFERROR(INDEX(Setup!$F$3:$F$24,MATCH($C1177,Setup!$A$3:$A$24,0)),"")))</f>
        <v/>
      </c>
      <c r="F1177" s="28" t="str">
        <f aca="false">IF(OR($D1177="",$E1177=""),"",IFERROR($D1177*INDEX(Setup!$B$27:$B$44,MATCH($E1177,Setup!$A$27:$A$44,0)),"TBD"))</f>
        <v/>
      </c>
      <c r="G1177" s="32"/>
      <c r="H1177" s="32"/>
      <c r="I1177" s="32"/>
      <c r="J1177" s="32"/>
      <c r="K1177" s="35"/>
      <c r="L1177" s="32"/>
      <c r="M1177" s="32"/>
    </row>
    <row r="1178" customFormat="false" ht="15" hidden="false" customHeight="true" outlineLevel="0" collapsed="false">
      <c r="A1178" s="32"/>
      <c r="B1178" s="32"/>
      <c r="C1178" s="32"/>
      <c r="D1178" s="32"/>
      <c r="E1178" s="34" t="str">
        <f aca="false">IF($B1178="","",IF($B1178="OUT","Liters",IFERROR(INDEX(Setup!$F$3:$F$24,MATCH($C1178,Setup!$A$3:$A$24,0)),"")))</f>
        <v/>
      </c>
      <c r="F1178" s="28" t="str">
        <f aca="false">IF(OR($D1178="",$E1178=""),"",IFERROR($D1178*INDEX(Setup!$B$27:$B$44,MATCH($E1178,Setup!$A$27:$A$44,0)),"TBD"))</f>
        <v/>
      </c>
      <c r="G1178" s="32"/>
      <c r="H1178" s="32"/>
      <c r="I1178" s="32"/>
      <c r="J1178" s="32"/>
      <c r="K1178" s="35"/>
      <c r="L1178" s="32"/>
      <c r="M1178" s="32"/>
    </row>
    <row r="1179" customFormat="false" ht="15" hidden="false" customHeight="true" outlineLevel="0" collapsed="false">
      <c r="A1179" s="32"/>
      <c r="B1179" s="32"/>
      <c r="C1179" s="32"/>
      <c r="D1179" s="32"/>
      <c r="E1179" s="34" t="str">
        <f aca="false">IF($B1179="","",IF($B1179="OUT","Liters",IFERROR(INDEX(Setup!$F$3:$F$24,MATCH($C1179,Setup!$A$3:$A$24,0)),"")))</f>
        <v/>
      </c>
      <c r="F1179" s="28" t="str">
        <f aca="false">IF(OR($D1179="",$E1179=""),"",IFERROR($D1179*INDEX(Setup!$B$27:$B$44,MATCH($E1179,Setup!$A$27:$A$44,0)),"TBD"))</f>
        <v/>
      </c>
      <c r="G1179" s="32"/>
      <c r="H1179" s="32"/>
      <c r="I1179" s="32"/>
      <c r="J1179" s="32"/>
      <c r="K1179" s="35"/>
      <c r="L1179" s="32"/>
      <c r="M1179" s="32"/>
    </row>
    <row r="1180" customFormat="false" ht="15" hidden="false" customHeight="true" outlineLevel="0" collapsed="false">
      <c r="A1180" s="32"/>
      <c r="B1180" s="32"/>
      <c r="C1180" s="32"/>
      <c r="D1180" s="32"/>
      <c r="E1180" s="34" t="str">
        <f aca="false">IF($B1180="","",IF($B1180="OUT","Liters",IFERROR(INDEX(Setup!$F$3:$F$24,MATCH($C1180,Setup!$A$3:$A$24,0)),"")))</f>
        <v/>
      </c>
      <c r="F1180" s="28" t="str">
        <f aca="false">IF(OR($D1180="",$E1180=""),"",IFERROR($D1180*INDEX(Setup!$B$27:$B$44,MATCH($E1180,Setup!$A$27:$A$44,0)),"TBD"))</f>
        <v/>
      </c>
      <c r="G1180" s="32"/>
      <c r="H1180" s="32"/>
      <c r="I1180" s="32"/>
      <c r="J1180" s="32"/>
      <c r="K1180" s="35"/>
      <c r="L1180" s="32"/>
      <c r="M1180" s="32"/>
    </row>
    <row r="1181" customFormat="false" ht="15" hidden="false" customHeight="true" outlineLevel="0" collapsed="false">
      <c r="A1181" s="32"/>
      <c r="B1181" s="32"/>
      <c r="C1181" s="32"/>
      <c r="D1181" s="32"/>
      <c r="E1181" s="34" t="str">
        <f aca="false">IF($B1181="","",IF($B1181="OUT","Liters",IFERROR(INDEX(Setup!$F$3:$F$24,MATCH($C1181,Setup!$A$3:$A$24,0)),"")))</f>
        <v/>
      </c>
      <c r="F1181" s="28" t="str">
        <f aca="false">IF(OR($D1181="",$E1181=""),"",IFERROR($D1181*INDEX(Setup!$B$27:$B$44,MATCH($E1181,Setup!$A$27:$A$44,0)),"TBD"))</f>
        <v/>
      </c>
      <c r="G1181" s="32"/>
      <c r="H1181" s="32"/>
      <c r="I1181" s="32"/>
      <c r="J1181" s="32"/>
      <c r="K1181" s="35"/>
      <c r="L1181" s="32"/>
      <c r="M1181" s="32"/>
    </row>
    <row r="1182" customFormat="false" ht="15" hidden="false" customHeight="true" outlineLevel="0" collapsed="false">
      <c r="A1182" s="32"/>
      <c r="B1182" s="32"/>
      <c r="C1182" s="32"/>
      <c r="D1182" s="32"/>
      <c r="E1182" s="34" t="str">
        <f aca="false">IF($B1182="","",IF($B1182="OUT","Liters",IFERROR(INDEX(Setup!$F$3:$F$24,MATCH($C1182,Setup!$A$3:$A$24,0)),"")))</f>
        <v/>
      </c>
      <c r="F1182" s="28" t="str">
        <f aca="false">IF(OR($D1182="",$E1182=""),"",IFERROR($D1182*INDEX(Setup!$B$27:$B$44,MATCH($E1182,Setup!$A$27:$A$44,0)),"TBD"))</f>
        <v/>
      </c>
      <c r="G1182" s="32"/>
      <c r="H1182" s="32"/>
      <c r="I1182" s="32"/>
      <c r="J1182" s="32"/>
      <c r="K1182" s="35"/>
      <c r="L1182" s="32"/>
      <c r="M1182" s="32"/>
    </row>
    <row r="1183" customFormat="false" ht="15" hidden="false" customHeight="true" outlineLevel="0" collapsed="false">
      <c r="A1183" s="32"/>
      <c r="B1183" s="32"/>
      <c r="C1183" s="32"/>
      <c r="D1183" s="32"/>
      <c r="E1183" s="34" t="str">
        <f aca="false">IF($B1183="","",IF($B1183="OUT","Liters",IFERROR(INDEX(Setup!$F$3:$F$24,MATCH($C1183,Setup!$A$3:$A$24,0)),"")))</f>
        <v/>
      </c>
      <c r="F1183" s="28" t="str">
        <f aca="false">IF(OR($D1183="",$E1183=""),"",IFERROR($D1183*INDEX(Setup!$B$27:$B$44,MATCH($E1183,Setup!$A$27:$A$44,0)),"TBD"))</f>
        <v/>
      </c>
      <c r="G1183" s="32"/>
      <c r="H1183" s="32"/>
      <c r="I1183" s="32"/>
      <c r="J1183" s="32"/>
      <c r="K1183" s="35"/>
      <c r="L1183" s="32"/>
      <c r="M1183" s="32"/>
    </row>
    <row r="1184" customFormat="false" ht="15" hidden="false" customHeight="true" outlineLevel="0" collapsed="false">
      <c r="A1184" s="32"/>
      <c r="B1184" s="32"/>
      <c r="C1184" s="32"/>
      <c r="D1184" s="32"/>
      <c r="E1184" s="34" t="str">
        <f aca="false">IF($B1184="","",IF($B1184="OUT","Liters",IFERROR(INDEX(Setup!$F$3:$F$24,MATCH($C1184,Setup!$A$3:$A$24,0)),"")))</f>
        <v/>
      </c>
      <c r="F1184" s="28" t="str">
        <f aca="false">IF(OR($D1184="",$E1184=""),"",IFERROR($D1184*INDEX(Setup!$B$27:$B$44,MATCH($E1184,Setup!$A$27:$A$44,0)),"TBD"))</f>
        <v/>
      </c>
      <c r="G1184" s="32"/>
      <c r="H1184" s="32"/>
      <c r="I1184" s="32"/>
      <c r="J1184" s="32"/>
      <c r="K1184" s="35"/>
      <c r="L1184" s="32"/>
      <c r="M1184" s="32"/>
    </row>
    <row r="1185" customFormat="false" ht="15" hidden="false" customHeight="true" outlineLevel="0" collapsed="false">
      <c r="A1185" s="32"/>
      <c r="B1185" s="32"/>
      <c r="C1185" s="32"/>
      <c r="D1185" s="32"/>
      <c r="E1185" s="34" t="str">
        <f aca="false">IF($B1185="","",IF($B1185="OUT","Liters",IFERROR(INDEX(Setup!$F$3:$F$24,MATCH($C1185,Setup!$A$3:$A$24,0)),"")))</f>
        <v/>
      </c>
      <c r="F1185" s="28" t="str">
        <f aca="false">IF(OR($D1185="",$E1185=""),"",IFERROR($D1185*INDEX(Setup!$B$27:$B$44,MATCH($E1185,Setup!$A$27:$A$44,0)),"TBD"))</f>
        <v/>
      </c>
      <c r="G1185" s="32"/>
      <c r="H1185" s="32"/>
      <c r="I1185" s="32"/>
      <c r="J1185" s="32"/>
      <c r="K1185" s="35"/>
      <c r="L1185" s="32"/>
      <c r="M1185" s="32"/>
    </row>
    <row r="1186" customFormat="false" ht="15" hidden="false" customHeight="true" outlineLevel="0" collapsed="false">
      <c r="A1186" s="32"/>
      <c r="B1186" s="32"/>
      <c r="C1186" s="32"/>
      <c r="D1186" s="32"/>
      <c r="E1186" s="34" t="str">
        <f aca="false">IF($B1186="","",IF($B1186="OUT","Liters",IFERROR(INDEX(Setup!$F$3:$F$24,MATCH($C1186,Setup!$A$3:$A$24,0)),"")))</f>
        <v/>
      </c>
      <c r="F1186" s="28" t="str">
        <f aca="false">IF(OR($D1186="",$E1186=""),"",IFERROR($D1186*INDEX(Setup!$B$27:$B$44,MATCH($E1186,Setup!$A$27:$A$44,0)),"TBD"))</f>
        <v/>
      </c>
      <c r="G1186" s="32"/>
      <c r="H1186" s="32"/>
      <c r="I1186" s="32"/>
      <c r="J1186" s="32"/>
      <c r="K1186" s="35"/>
      <c r="L1186" s="32"/>
      <c r="M1186" s="32"/>
    </row>
    <row r="1187" customFormat="false" ht="15" hidden="false" customHeight="true" outlineLevel="0" collapsed="false">
      <c r="A1187" s="32"/>
      <c r="B1187" s="32"/>
      <c r="C1187" s="32"/>
      <c r="D1187" s="32"/>
      <c r="E1187" s="34" t="str">
        <f aca="false">IF($B1187="","",IF($B1187="OUT","Liters",IFERROR(INDEX(Setup!$F$3:$F$24,MATCH($C1187,Setup!$A$3:$A$24,0)),"")))</f>
        <v/>
      </c>
      <c r="F1187" s="28" t="str">
        <f aca="false">IF(OR($D1187="",$E1187=""),"",IFERROR($D1187*INDEX(Setup!$B$27:$B$44,MATCH($E1187,Setup!$A$27:$A$44,0)),"TBD"))</f>
        <v/>
      </c>
      <c r="G1187" s="32"/>
      <c r="H1187" s="32"/>
      <c r="I1187" s="32"/>
      <c r="J1187" s="32"/>
      <c r="K1187" s="35"/>
      <c r="L1187" s="32"/>
      <c r="M1187" s="32"/>
    </row>
    <row r="1188" customFormat="false" ht="15" hidden="false" customHeight="true" outlineLevel="0" collapsed="false">
      <c r="A1188" s="32"/>
      <c r="B1188" s="32"/>
      <c r="C1188" s="32"/>
      <c r="D1188" s="32"/>
      <c r="E1188" s="34" t="str">
        <f aca="false">IF($B1188="","",IF($B1188="OUT","Liters",IFERROR(INDEX(Setup!$F$3:$F$24,MATCH($C1188,Setup!$A$3:$A$24,0)),"")))</f>
        <v/>
      </c>
      <c r="F1188" s="28" t="str">
        <f aca="false">IF(OR($D1188="",$E1188=""),"",IFERROR($D1188*INDEX(Setup!$B$27:$B$44,MATCH($E1188,Setup!$A$27:$A$44,0)),"TBD"))</f>
        <v/>
      </c>
      <c r="G1188" s="32"/>
      <c r="H1188" s="32"/>
      <c r="I1188" s="32"/>
      <c r="J1188" s="32"/>
      <c r="K1188" s="35"/>
      <c r="L1188" s="32"/>
      <c r="M1188" s="32"/>
    </row>
    <row r="1189" customFormat="false" ht="15" hidden="false" customHeight="true" outlineLevel="0" collapsed="false">
      <c r="A1189" s="32"/>
      <c r="B1189" s="32"/>
      <c r="C1189" s="32"/>
      <c r="D1189" s="32"/>
      <c r="E1189" s="34" t="str">
        <f aca="false">IF($B1189="","",IF($B1189="OUT","Liters",IFERROR(INDEX(Setup!$F$3:$F$24,MATCH($C1189,Setup!$A$3:$A$24,0)),"")))</f>
        <v/>
      </c>
      <c r="F1189" s="28" t="str">
        <f aca="false">IF(OR($D1189="",$E1189=""),"",IFERROR($D1189*INDEX(Setup!$B$27:$B$44,MATCH($E1189,Setup!$A$27:$A$44,0)),"TBD"))</f>
        <v/>
      </c>
      <c r="G1189" s="32"/>
      <c r="H1189" s="32"/>
      <c r="I1189" s="32"/>
      <c r="J1189" s="32"/>
      <c r="K1189" s="35"/>
      <c r="L1189" s="32"/>
      <c r="M1189" s="32"/>
    </row>
    <row r="1190" customFormat="false" ht="15" hidden="false" customHeight="true" outlineLevel="0" collapsed="false">
      <c r="A1190" s="32"/>
      <c r="B1190" s="32"/>
      <c r="C1190" s="32"/>
      <c r="D1190" s="32"/>
      <c r="E1190" s="34" t="str">
        <f aca="false">IF($B1190="","",IF($B1190="OUT","Liters",IFERROR(INDEX(Setup!$F$3:$F$24,MATCH($C1190,Setup!$A$3:$A$24,0)),"")))</f>
        <v/>
      </c>
      <c r="F1190" s="28" t="str">
        <f aca="false">IF(OR($D1190="",$E1190=""),"",IFERROR($D1190*INDEX(Setup!$B$27:$B$44,MATCH($E1190,Setup!$A$27:$A$44,0)),"TBD"))</f>
        <v/>
      </c>
      <c r="G1190" s="32"/>
      <c r="H1190" s="32"/>
      <c r="I1190" s="32"/>
      <c r="J1190" s="32"/>
      <c r="K1190" s="35"/>
      <c r="L1190" s="32"/>
      <c r="M1190" s="32"/>
    </row>
    <row r="1191" customFormat="false" ht="15" hidden="false" customHeight="true" outlineLevel="0" collapsed="false">
      <c r="A1191" s="32"/>
      <c r="B1191" s="32"/>
      <c r="C1191" s="32"/>
      <c r="D1191" s="32"/>
      <c r="E1191" s="34" t="str">
        <f aca="false">IF($B1191="","",IF($B1191="OUT","Liters",IFERROR(INDEX(Setup!$F$3:$F$24,MATCH($C1191,Setup!$A$3:$A$24,0)),"")))</f>
        <v/>
      </c>
      <c r="F1191" s="28" t="str">
        <f aca="false">IF(OR($D1191="",$E1191=""),"",IFERROR($D1191*INDEX(Setup!$B$27:$B$44,MATCH($E1191,Setup!$A$27:$A$44,0)),"TBD"))</f>
        <v/>
      </c>
      <c r="G1191" s="32"/>
      <c r="H1191" s="32"/>
      <c r="I1191" s="32"/>
      <c r="J1191" s="32"/>
      <c r="K1191" s="35"/>
      <c r="L1191" s="32"/>
      <c r="M1191" s="32"/>
    </row>
    <row r="1192" customFormat="false" ht="15" hidden="false" customHeight="true" outlineLevel="0" collapsed="false">
      <c r="A1192" s="32"/>
      <c r="B1192" s="32"/>
      <c r="C1192" s="32"/>
      <c r="D1192" s="32"/>
      <c r="E1192" s="34" t="str">
        <f aca="false">IF($B1192="","",IF($B1192="OUT","Liters",IFERROR(INDEX(Setup!$F$3:$F$24,MATCH($C1192,Setup!$A$3:$A$24,0)),"")))</f>
        <v/>
      </c>
      <c r="F1192" s="28" t="str">
        <f aca="false">IF(OR($D1192="",$E1192=""),"",IFERROR($D1192*INDEX(Setup!$B$27:$B$44,MATCH($E1192,Setup!$A$27:$A$44,0)),"TBD"))</f>
        <v/>
      </c>
      <c r="G1192" s="32"/>
      <c r="H1192" s="32"/>
      <c r="I1192" s="32"/>
      <c r="J1192" s="32"/>
      <c r="K1192" s="35"/>
      <c r="L1192" s="32"/>
      <c r="M1192" s="32"/>
    </row>
    <row r="1193" customFormat="false" ht="15" hidden="false" customHeight="true" outlineLevel="0" collapsed="false">
      <c r="A1193" s="32"/>
      <c r="B1193" s="32"/>
      <c r="C1193" s="32"/>
      <c r="D1193" s="32"/>
      <c r="E1193" s="34" t="str">
        <f aca="false">IF($B1193="","",IF($B1193="OUT","Liters",IFERROR(INDEX(Setup!$F$3:$F$24,MATCH($C1193,Setup!$A$3:$A$24,0)),"")))</f>
        <v/>
      </c>
      <c r="F1193" s="28" t="str">
        <f aca="false">IF(OR($D1193="",$E1193=""),"",IFERROR($D1193*INDEX(Setup!$B$27:$B$44,MATCH($E1193,Setup!$A$27:$A$44,0)),"TBD"))</f>
        <v/>
      </c>
      <c r="G1193" s="32"/>
      <c r="H1193" s="32"/>
      <c r="I1193" s="32"/>
      <c r="J1193" s="32"/>
      <c r="K1193" s="35"/>
      <c r="L1193" s="32"/>
      <c r="M1193" s="32"/>
    </row>
    <row r="1194" customFormat="false" ht="15" hidden="false" customHeight="true" outlineLevel="0" collapsed="false">
      <c r="A1194" s="32"/>
      <c r="B1194" s="32"/>
      <c r="C1194" s="32"/>
      <c r="D1194" s="32"/>
      <c r="E1194" s="34" t="str">
        <f aca="false">IF($B1194="","",IF($B1194="OUT","Liters",IFERROR(INDEX(Setup!$F$3:$F$24,MATCH($C1194,Setup!$A$3:$A$24,0)),"")))</f>
        <v/>
      </c>
      <c r="F1194" s="28" t="str">
        <f aca="false">IF(OR($D1194="",$E1194=""),"",IFERROR($D1194*INDEX(Setup!$B$27:$B$44,MATCH($E1194,Setup!$A$27:$A$44,0)),"TBD"))</f>
        <v/>
      </c>
      <c r="G1194" s="32"/>
      <c r="H1194" s="32"/>
      <c r="I1194" s="32"/>
      <c r="J1194" s="32"/>
      <c r="K1194" s="35"/>
      <c r="L1194" s="32"/>
      <c r="M1194" s="32"/>
    </row>
    <row r="1195" customFormat="false" ht="15" hidden="false" customHeight="true" outlineLevel="0" collapsed="false">
      <c r="A1195" s="32"/>
      <c r="B1195" s="32"/>
      <c r="C1195" s="32"/>
      <c r="D1195" s="32"/>
      <c r="E1195" s="34" t="str">
        <f aca="false">IF($B1195="","",IF($B1195="OUT","Liters",IFERROR(INDEX(Setup!$F$3:$F$24,MATCH($C1195,Setup!$A$3:$A$24,0)),"")))</f>
        <v/>
      </c>
      <c r="F1195" s="28" t="str">
        <f aca="false">IF(OR($D1195="",$E1195=""),"",IFERROR($D1195*INDEX(Setup!$B$27:$B$44,MATCH($E1195,Setup!$A$27:$A$44,0)),"TBD"))</f>
        <v/>
      </c>
      <c r="G1195" s="32"/>
      <c r="H1195" s="32"/>
      <c r="I1195" s="32"/>
      <c r="J1195" s="32"/>
      <c r="K1195" s="35"/>
      <c r="L1195" s="32"/>
      <c r="M1195" s="32"/>
    </row>
    <row r="1196" customFormat="false" ht="15" hidden="false" customHeight="true" outlineLevel="0" collapsed="false">
      <c r="A1196" s="32"/>
      <c r="B1196" s="32"/>
      <c r="C1196" s="32"/>
      <c r="D1196" s="32"/>
      <c r="E1196" s="34" t="str">
        <f aca="false">IF($B1196="","",IF($B1196="OUT","Liters",IFERROR(INDEX(Setup!$F$3:$F$24,MATCH($C1196,Setup!$A$3:$A$24,0)),"")))</f>
        <v/>
      </c>
      <c r="F1196" s="28" t="str">
        <f aca="false">IF(OR($D1196="",$E1196=""),"",IFERROR($D1196*INDEX(Setup!$B$27:$B$44,MATCH($E1196,Setup!$A$27:$A$44,0)),"TBD"))</f>
        <v/>
      </c>
      <c r="G1196" s="32"/>
      <c r="H1196" s="32"/>
      <c r="I1196" s="32"/>
      <c r="J1196" s="32"/>
      <c r="K1196" s="35"/>
      <c r="L1196" s="32"/>
      <c r="M1196" s="32"/>
    </row>
    <row r="1197" customFormat="false" ht="15" hidden="false" customHeight="true" outlineLevel="0" collapsed="false">
      <c r="A1197" s="32"/>
      <c r="B1197" s="32"/>
      <c r="C1197" s="32"/>
      <c r="D1197" s="32"/>
      <c r="E1197" s="34" t="str">
        <f aca="false">IF($B1197="","",IF($B1197="OUT","Liters",IFERROR(INDEX(Setup!$F$3:$F$24,MATCH($C1197,Setup!$A$3:$A$24,0)),"")))</f>
        <v/>
      </c>
      <c r="F1197" s="28" t="str">
        <f aca="false">IF(OR($D1197="",$E1197=""),"",IFERROR($D1197*INDEX(Setup!$B$27:$B$44,MATCH($E1197,Setup!$A$27:$A$44,0)),"TBD"))</f>
        <v/>
      </c>
      <c r="G1197" s="32"/>
      <c r="H1197" s="32"/>
      <c r="I1197" s="32"/>
      <c r="J1197" s="32"/>
      <c r="K1197" s="35"/>
      <c r="L1197" s="32"/>
      <c r="M1197" s="32"/>
    </row>
    <row r="1198" customFormat="false" ht="15" hidden="false" customHeight="true" outlineLevel="0" collapsed="false">
      <c r="A1198" s="32"/>
      <c r="B1198" s="32"/>
      <c r="C1198" s="32"/>
      <c r="D1198" s="32"/>
      <c r="E1198" s="34" t="str">
        <f aca="false">IF($B1198="","",IF($B1198="OUT","Liters",IFERROR(INDEX(Setup!$F$3:$F$24,MATCH($C1198,Setup!$A$3:$A$24,0)),"")))</f>
        <v/>
      </c>
      <c r="F1198" s="28" t="str">
        <f aca="false">IF(OR($D1198="",$E1198=""),"",IFERROR($D1198*INDEX(Setup!$B$27:$B$44,MATCH($E1198,Setup!$A$27:$A$44,0)),"TBD"))</f>
        <v/>
      </c>
      <c r="G1198" s="32"/>
      <c r="H1198" s="32"/>
      <c r="I1198" s="32"/>
      <c r="J1198" s="32"/>
      <c r="K1198" s="35"/>
      <c r="L1198" s="32"/>
      <c r="M1198" s="32"/>
    </row>
    <row r="1199" customFormat="false" ht="15" hidden="false" customHeight="true" outlineLevel="0" collapsed="false">
      <c r="A1199" s="32"/>
      <c r="B1199" s="32"/>
      <c r="C1199" s="32"/>
      <c r="D1199" s="32"/>
      <c r="E1199" s="34" t="str">
        <f aca="false">IF($B1199="","",IF($B1199="OUT","Liters",IFERROR(INDEX(Setup!$F$3:$F$24,MATCH($C1199,Setup!$A$3:$A$24,0)),"")))</f>
        <v/>
      </c>
      <c r="F1199" s="28" t="str">
        <f aca="false">IF(OR($D1199="",$E1199=""),"",IFERROR($D1199*INDEX(Setup!$B$27:$B$44,MATCH($E1199,Setup!$A$27:$A$44,0)),"TBD"))</f>
        <v/>
      </c>
      <c r="G1199" s="32"/>
      <c r="H1199" s="32"/>
      <c r="I1199" s="32"/>
      <c r="J1199" s="32"/>
      <c r="K1199" s="35"/>
      <c r="L1199" s="32"/>
      <c r="M1199" s="32"/>
    </row>
    <row r="1200" customFormat="false" ht="15" hidden="false" customHeight="true" outlineLevel="0" collapsed="false">
      <c r="A1200" s="32"/>
      <c r="B1200" s="32"/>
      <c r="C1200" s="32"/>
      <c r="D1200" s="32"/>
      <c r="E1200" s="34" t="str">
        <f aca="false">IF($B1200="","",IF($B1200="OUT","Liters",IFERROR(INDEX(Setup!$F$3:$F$24,MATCH($C1200,Setup!$A$3:$A$24,0)),"")))</f>
        <v/>
      </c>
      <c r="F1200" s="28" t="str">
        <f aca="false">IF(OR($D1200="",$E1200=""),"",IFERROR($D1200*INDEX(Setup!$B$27:$B$44,MATCH($E1200,Setup!$A$27:$A$44,0)),"TBD"))</f>
        <v/>
      </c>
      <c r="G1200" s="32"/>
      <c r="H1200" s="32"/>
      <c r="I1200" s="32"/>
      <c r="J1200" s="32"/>
      <c r="K1200" s="35"/>
      <c r="L1200" s="32"/>
      <c r="M1200" s="32"/>
    </row>
    <row r="1201" customFormat="false" ht="15" hidden="false" customHeight="true" outlineLevel="0" collapsed="false">
      <c r="A1201" s="32"/>
      <c r="B1201" s="32"/>
      <c r="C1201" s="32"/>
      <c r="D1201" s="32"/>
      <c r="E1201" s="34" t="str">
        <f aca="false">IF($B1201="","",IF($B1201="OUT","Liters",IFERROR(INDEX(Setup!$F$3:$F$24,MATCH($C1201,Setup!$A$3:$A$24,0)),"")))</f>
        <v/>
      </c>
      <c r="F1201" s="28" t="str">
        <f aca="false">IF(OR($D1201="",$E1201=""),"",IFERROR($D1201*INDEX(Setup!$B$27:$B$44,MATCH($E1201,Setup!$A$27:$A$44,0)),"TBD"))</f>
        <v/>
      </c>
      <c r="G1201" s="32"/>
      <c r="H1201" s="32"/>
      <c r="I1201" s="32"/>
      <c r="J1201" s="32"/>
      <c r="K1201" s="35"/>
      <c r="L1201" s="32"/>
      <c r="M1201" s="32"/>
    </row>
    <row r="1202" customFormat="false" ht="15" hidden="false" customHeight="true" outlineLevel="0" collapsed="false">
      <c r="A1202" s="32"/>
      <c r="B1202" s="32"/>
      <c r="C1202" s="32"/>
      <c r="D1202" s="32"/>
      <c r="E1202" s="34" t="str">
        <f aca="false">IF($B1202="","",IF($B1202="OUT","Liters",IFERROR(INDEX(Setup!$F$3:$F$24,MATCH($C1202,Setup!$A$3:$A$24,0)),"")))</f>
        <v/>
      </c>
      <c r="F1202" s="28" t="str">
        <f aca="false">IF(OR($D1202="",$E1202=""),"",IFERROR($D1202*INDEX(Setup!$B$27:$B$44,MATCH($E1202,Setup!$A$27:$A$44,0)),"TBD"))</f>
        <v/>
      </c>
      <c r="G1202" s="32"/>
      <c r="H1202" s="32"/>
      <c r="I1202" s="32"/>
      <c r="J1202" s="32"/>
      <c r="K1202" s="35"/>
      <c r="L1202" s="32"/>
      <c r="M1202" s="32"/>
    </row>
    <row r="1203" customFormat="false" ht="15" hidden="false" customHeight="true" outlineLevel="0" collapsed="false">
      <c r="A1203" s="32"/>
      <c r="B1203" s="32"/>
      <c r="C1203" s="32"/>
      <c r="D1203" s="32"/>
      <c r="E1203" s="34" t="str">
        <f aca="false">IF($B1203="","",IF($B1203="OUT","Liters",IFERROR(INDEX(Setup!$F$3:$F$24,MATCH($C1203,Setup!$A$3:$A$24,0)),"")))</f>
        <v/>
      </c>
      <c r="F1203" s="28" t="str">
        <f aca="false">IF(OR($D1203="",$E1203=""),"",IFERROR($D1203*INDEX(Setup!$B$27:$B$44,MATCH($E1203,Setup!$A$27:$A$44,0)),"TBD"))</f>
        <v/>
      </c>
      <c r="G1203" s="32"/>
      <c r="H1203" s="32"/>
      <c r="I1203" s="32"/>
      <c r="J1203" s="32"/>
      <c r="K1203" s="35"/>
      <c r="L1203" s="32"/>
      <c r="M1203" s="32"/>
    </row>
    <row r="1204" customFormat="false" ht="15" hidden="false" customHeight="true" outlineLevel="0" collapsed="false">
      <c r="A1204" s="32"/>
      <c r="B1204" s="32"/>
      <c r="C1204" s="32"/>
      <c r="D1204" s="32"/>
      <c r="E1204" s="34" t="str">
        <f aca="false">IF($B1204="","",IF($B1204="OUT","Liters",IFERROR(INDEX(Setup!$F$3:$F$24,MATCH($C1204,Setup!$A$3:$A$24,0)),"")))</f>
        <v/>
      </c>
      <c r="F1204" s="28" t="str">
        <f aca="false">IF(OR($D1204="",$E1204=""),"",IFERROR($D1204*INDEX(Setup!$B$27:$B$44,MATCH($E1204,Setup!$A$27:$A$44,0)),"TBD"))</f>
        <v/>
      </c>
      <c r="G1204" s="32"/>
      <c r="H1204" s="32"/>
      <c r="I1204" s="32"/>
      <c r="J1204" s="32"/>
      <c r="K1204" s="35"/>
      <c r="L1204" s="32"/>
      <c r="M1204" s="32"/>
    </row>
    <row r="1205" customFormat="false" ht="15" hidden="false" customHeight="true" outlineLevel="0" collapsed="false">
      <c r="A1205" s="32"/>
      <c r="B1205" s="32"/>
      <c r="C1205" s="32"/>
      <c r="D1205" s="32"/>
      <c r="E1205" s="34" t="str">
        <f aca="false">IF($B1205="","",IF($B1205="OUT","Liters",IFERROR(INDEX(Setup!$F$3:$F$24,MATCH($C1205,Setup!$A$3:$A$24,0)),"")))</f>
        <v/>
      </c>
      <c r="F1205" s="28" t="str">
        <f aca="false">IF(OR($D1205="",$E1205=""),"",IFERROR($D1205*INDEX(Setup!$B$27:$B$44,MATCH($E1205,Setup!$A$27:$A$44,0)),"TBD"))</f>
        <v/>
      </c>
      <c r="G1205" s="32"/>
      <c r="H1205" s="32"/>
      <c r="I1205" s="32"/>
      <c r="J1205" s="32"/>
      <c r="K1205" s="35"/>
      <c r="L1205" s="32"/>
      <c r="M1205" s="32"/>
    </row>
    <row r="1206" customFormat="false" ht="15" hidden="false" customHeight="true" outlineLevel="0" collapsed="false">
      <c r="A1206" s="32"/>
      <c r="B1206" s="32"/>
      <c r="C1206" s="32"/>
      <c r="D1206" s="32"/>
      <c r="E1206" s="34" t="str">
        <f aca="false">IF($B1206="","",IF($B1206="OUT","Liters",IFERROR(INDEX(Setup!$F$3:$F$24,MATCH($C1206,Setup!$A$3:$A$24,0)),"")))</f>
        <v/>
      </c>
      <c r="F1206" s="28" t="str">
        <f aca="false">IF(OR($D1206="",$E1206=""),"",IFERROR($D1206*INDEX(Setup!$B$27:$B$44,MATCH($E1206,Setup!$A$27:$A$44,0)),"TBD"))</f>
        <v/>
      </c>
      <c r="G1206" s="32"/>
      <c r="H1206" s="32"/>
      <c r="I1206" s="32"/>
      <c r="J1206" s="32"/>
      <c r="K1206" s="35"/>
      <c r="L1206" s="32"/>
      <c r="M1206" s="32"/>
    </row>
    <row r="1207" customFormat="false" ht="15" hidden="false" customHeight="true" outlineLevel="0" collapsed="false">
      <c r="A1207" s="32"/>
      <c r="B1207" s="32"/>
      <c r="C1207" s="32"/>
      <c r="D1207" s="32"/>
      <c r="E1207" s="34" t="str">
        <f aca="false">IF($B1207="","",IF($B1207="OUT","Liters",IFERROR(INDEX(Setup!$F$3:$F$24,MATCH($C1207,Setup!$A$3:$A$24,0)),"")))</f>
        <v/>
      </c>
      <c r="F1207" s="28" t="str">
        <f aca="false">IF(OR($D1207="",$E1207=""),"",IFERROR($D1207*INDEX(Setup!$B$27:$B$44,MATCH($E1207,Setup!$A$27:$A$44,0)),"TBD"))</f>
        <v/>
      </c>
      <c r="G1207" s="32"/>
      <c r="H1207" s="32"/>
      <c r="I1207" s="32"/>
      <c r="J1207" s="32"/>
      <c r="K1207" s="35"/>
      <c r="L1207" s="32"/>
      <c r="M1207" s="32"/>
    </row>
    <row r="1208" customFormat="false" ht="15" hidden="false" customHeight="true" outlineLevel="0" collapsed="false">
      <c r="A1208" s="32"/>
      <c r="B1208" s="32"/>
      <c r="C1208" s="32"/>
      <c r="D1208" s="32"/>
      <c r="E1208" s="34" t="str">
        <f aca="false">IF($B1208="","",IF($B1208="OUT","Liters",IFERROR(INDEX(Setup!$F$3:$F$24,MATCH($C1208,Setup!$A$3:$A$24,0)),"")))</f>
        <v/>
      </c>
      <c r="F1208" s="28" t="str">
        <f aca="false">IF(OR($D1208="",$E1208=""),"",IFERROR($D1208*INDEX(Setup!$B$27:$B$44,MATCH($E1208,Setup!$A$27:$A$44,0)),"TBD"))</f>
        <v/>
      </c>
      <c r="G1208" s="32"/>
      <c r="H1208" s="32"/>
      <c r="I1208" s="32"/>
      <c r="J1208" s="32"/>
      <c r="K1208" s="35"/>
      <c r="L1208" s="32"/>
      <c r="M1208" s="32"/>
    </row>
    <row r="1209" customFormat="false" ht="15" hidden="false" customHeight="true" outlineLevel="0" collapsed="false">
      <c r="A1209" s="32"/>
      <c r="B1209" s="32"/>
      <c r="C1209" s="32"/>
      <c r="D1209" s="32"/>
      <c r="E1209" s="34" t="str">
        <f aca="false">IF($B1209="","",IF($B1209="OUT","Liters",IFERROR(INDEX(Setup!$F$3:$F$24,MATCH($C1209,Setup!$A$3:$A$24,0)),"")))</f>
        <v/>
      </c>
      <c r="F1209" s="28" t="str">
        <f aca="false">IF(OR($D1209="",$E1209=""),"",IFERROR($D1209*INDEX(Setup!$B$27:$B$44,MATCH($E1209,Setup!$A$27:$A$44,0)),"TBD"))</f>
        <v/>
      </c>
      <c r="G1209" s="32"/>
      <c r="H1209" s="32"/>
      <c r="I1209" s="32"/>
      <c r="J1209" s="32"/>
      <c r="K1209" s="35"/>
      <c r="L1209" s="32"/>
      <c r="M1209" s="32"/>
    </row>
    <row r="1210" customFormat="false" ht="15" hidden="false" customHeight="true" outlineLevel="0" collapsed="false">
      <c r="A1210" s="32"/>
      <c r="B1210" s="32"/>
      <c r="C1210" s="32"/>
      <c r="D1210" s="32"/>
      <c r="E1210" s="34" t="str">
        <f aca="false">IF($B1210="","",IF($B1210="OUT","Liters",IFERROR(INDEX(Setup!$F$3:$F$24,MATCH($C1210,Setup!$A$3:$A$24,0)),"")))</f>
        <v/>
      </c>
      <c r="F1210" s="28" t="str">
        <f aca="false">IF(OR($D1210="",$E1210=""),"",IFERROR($D1210*INDEX(Setup!$B$27:$B$44,MATCH($E1210,Setup!$A$27:$A$44,0)),"TBD"))</f>
        <v/>
      </c>
      <c r="G1210" s="32"/>
      <c r="H1210" s="32"/>
      <c r="I1210" s="32"/>
      <c r="J1210" s="32"/>
      <c r="K1210" s="35"/>
      <c r="L1210" s="32"/>
      <c r="M1210" s="32"/>
    </row>
    <row r="1211" customFormat="false" ht="15" hidden="false" customHeight="true" outlineLevel="0" collapsed="false">
      <c r="A1211" s="32"/>
      <c r="B1211" s="32"/>
      <c r="C1211" s="32"/>
      <c r="D1211" s="32"/>
      <c r="E1211" s="34" t="str">
        <f aca="false">IF($B1211="","",IF($B1211="OUT","Liters",IFERROR(INDEX(Setup!$F$3:$F$24,MATCH($C1211,Setup!$A$3:$A$24,0)),"")))</f>
        <v/>
      </c>
      <c r="F1211" s="28" t="str">
        <f aca="false">IF(OR($D1211="",$E1211=""),"",IFERROR($D1211*INDEX(Setup!$B$27:$B$44,MATCH($E1211,Setup!$A$27:$A$44,0)),"TBD"))</f>
        <v/>
      </c>
      <c r="G1211" s="32"/>
      <c r="H1211" s="32"/>
      <c r="I1211" s="32"/>
      <c r="J1211" s="32"/>
      <c r="K1211" s="35"/>
      <c r="L1211" s="32"/>
      <c r="M1211" s="32"/>
    </row>
    <row r="1212" customFormat="false" ht="15" hidden="false" customHeight="true" outlineLevel="0" collapsed="false">
      <c r="A1212" s="32"/>
      <c r="B1212" s="32"/>
      <c r="C1212" s="32"/>
      <c r="D1212" s="32"/>
      <c r="E1212" s="34" t="str">
        <f aca="false">IF($B1212="","",IF($B1212="OUT","Liters",IFERROR(INDEX(Setup!$F$3:$F$24,MATCH($C1212,Setup!$A$3:$A$24,0)),"")))</f>
        <v/>
      </c>
      <c r="F1212" s="28" t="str">
        <f aca="false">IF(OR($D1212="",$E1212=""),"",IFERROR($D1212*INDEX(Setup!$B$27:$B$44,MATCH($E1212,Setup!$A$27:$A$44,0)),"TBD"))</f>
        <v/>
      </c>
      <c r="G1212" s="32"/>
      <c r="H1212" s="32"/>
      <c r="I1212" s="32"/>
      <c r="J1212" s="32"/>
      <c r="K1212" s="35"/>
      <c r="L1212" s="32"/>
      <c r="M1212" s="32"/>
    </row>
    <row r="1213" customFormat="false" ht="15" hidden="false" customHeight="true" outlineLevel="0" collapsed="false">
      <c r="A1213" s="32"/>
      <c r="B1213" s="32"/>
      <c r="C1213" s="32"/>
      <c r="D1213" s="32"/>
      <c r="E1213" s="34" t="str">
        <f aca="false">IF($B1213="","",IF($B1213="OUT","Liters",IFERROR(INDEX(Setup!$F$3:$F$24,MATCH($C1213,Setup!$A$3:$A$24,0)),"")))</f>
        <v/>
      </c>
      <c r="F1213" s="28" t="str">
        <f aca="false">IF(OR($D1213="",$E1213=""),"",IFERROR($D1213*INDEX(Setup!$B$27:$B$44,MATCH($E1213,Setup!$A$27:$A$44,0)),"TBD"))</f>
        <v/>
      </c>
      <c r="G1213" s="32"/>
      <c r="H1213" s="32"/>
      <c r="I1213" s="32"/>
      <c r="J1213" s="32"/>
      <c r="K1213" s="35"/>
      <c r="L1213" s="32"/>
      <c r="M1213" s="32"/>
    </row>
    <row r="1214" customFormat="false" ht="15" hidden="false" customHeight="true" outlineLevel="0" collapsed="false">
      <c r="A1214" s="32"/>
      <c r="B1214" s="32"/>
      <c r="C1214" s="32"/>
      <c r="D1214" s="32"/>
      <c r="E1214" s="34" t="str">
        <f aca="false">IF($B1214="","",IF($B1214="OUT","Liters",IFERROR(INDEX(Setup!$F$3:$F$24,MATCH($C1214,Setup!$A$3:$A$24,0)),"")))</f>
        <v/>
      </c>
      <c r="F1214" s="28" t="str">
        <f aca="false">IF(OR($D1214="",$E1214=""),"",IFERROR($D1214*INDEX(Setup!$B$27:$B$44,MATCH($E1214,Setup!$A$27:$A$44,0)),"TBD"))</f>
        <v/>
      </c>
      <c r="G1214" s="32"/>
      <c r="H1214" s="32"/>
      <c r="I1214" s="32"/>
      <c r="J1214" s="32"/>
      <c r="K1214" s="35"/>
      <c r="L1214" s="32"/>
      <c r="M1214" s="32"/>
    </row>
    <row r="1215" customFormat="false" ht="15" hidden="false" customHeight="true" outlineLevel="0" collapsed="false">
      <c r="A1215" s="32"/>
      <c r="B1215" s="32"/>
      <c r="C1215" s="32"/>
      <c r="D1215" s="32"/>
      <c r="E1215" s="34" t="str">
        <f aca="false">IF($B1215="","",IF($B1215="OUT","Liters",IFERROR(INDEX(Setup!$F$3:$F$24,MATCH($C1215,Setup!$A$3:$A$24,0)),"")))</f>
        <v/>
      </c>
      <c r="F1215" s="28" t="str">
        <f aca="false">IF(OR($D1215="",$E1215=""),"",IFERROR($D1215*INDEX(Setup!$B$27:$B$44,MATCH($E1215,Setup!$A$27:$A$44,0)),"TBD"))</f>
        <v/>
      </c>
      <c r="G1215" s="32"/>
      <c r="H1215" s="32"/>
      <c r="I1215" s="32"/>
      <c r="J1215" s="32"/>
      <c r="K1215" s="35"/>
      <c r="L1215" s="32"/>
      <c r="M1215" s="32"/>
    </row>
    <row r="1216" customFormat="false" ht="15" hidden="false" customHeight="true" outlineLevel="0" collapsed="false">
      <c r="A1216" s="32"/>
      <c r="B1216" s="32"/>
      <c r="C1216" s="32"/>
      <c r="D1216" s="32"/>
      <c r="E1216" s="34" t="str">
        <f aca="false">IF($B1216="","",IF($B1216="OUT","Liters",IFERROR(INDEX(Setup!$F$3:$F$24,MATCH($C1216,Setup!$A$3:$A$24,0)),"")))</f>
        <v/>
      </c>
      <c r="F1216" s="28" t="str">
        <f aca="false">IF(OR($D1216="",$E1216=""),"",IFERROR($D1216*INDEX(Setup!$B$27:$B$44,MATCH($E1216,Setup!$A$27:$A$44,0)),"TBD"))</f>
        <v/>
      </c>
      <c r="G1216" s="32"/>
      <c r="H1216" s="32"/>
      <c r="I1216" s="32"/>
      <c r="J1216" s="32"/>
      <c r="K1216" s="35"/>
      <c r="L1216" s="32"/>
      <c r="M1216" s="32"/>
    </row>
    <row r="1217" customFormat="false" ht="15" hidden="false" customHeight="true" outlineLevel="0" collapsed="false">
      <c r="A1217" s="32"/>
      <c r="B1217" s="32"/>
      <c r="C1217" s="32"/>
      <c r="D1217" s="32"/>
      <c r="E1217" s="34" t="str">
        <f aca="false">IF($B1217="","",IF($B1217="OUT","Liters",IFERROR(INDEX(Setup!$F$3:$F$24,MATCH($C1217,Setup!$A$3:$A$24,0)),"")))</f>
        <v/>
      </c>
      <c r="F1217" s="28" t="str">
        <f aca="false">IF(OR($D1217="",$E1217=""),"",IFERROR($D1217*INDEX(Setup!$B$27:$B$44,MATCH($E1217,Setup!$A$27:$A$44,0)),"TBD"))</f>
        <v/>
      </c>
      <c r="G1217" s="32"/>
      <c r="H1217" s="32"/>
      <c r="I1217" s="32"/>
      <c r="J1217" s="32"/>
      <c r="K1217" s="35"/>
      <c r="L1217" s="32"/>
      <c r="M1217" s="32"/>
    </row>
    <row r="1218" customFormat="false" ht="15" hidden="false" customHeight="true" outlineLevel="0" collapsed="false">
      <c r="A1218" s="32"/>
      <c r="B1218" s="32"/>
      <c r="C1218" s="32"/>
      <c r="D1218" s="32"/>
      <c r="E1218" s="34" t="str">
        <f aca="false">IF($B1218="","",IF($B1218="OUT","Liters",IFERROR(INDEX(Setup!$F$3:$F$24,MATCH($C1218,Setup!$A$3:$A$24,0)),"")))</f>
        <v/>
      </c>
      <c r="F1218" s="28" t="str">
        <f aca="false">IF(OR($D1218="",$E1218=""),"",IFERROR($D1218*INDEX(Setup!$B$27:$B$44,MATCH($E1218,Setup!$A$27:$A$44,0)),"TBD"))</f>
        <v/>
      </c>
      <c r="G1218" s="32"/>
      <c r="H1218" s="32"/>
      <c r="I1218" s="32"/>
      <c r="J1218" s="32"/>
      <c r="K1218" s="35"/>
      <c r="L1218" s="32"/>
      <c r="M1218" s="32"/>
    </row>
    <row r="1219" customFormat="false" ht="15" hidden="false" customHeight="true" outlineLevel="0" collapsed="false">
      <c r="A1219" s="32"/>
      <c r="B1219" s="32"/>
      <c r="C1219" s="32"/>
      <c r="D1219" s="32"/>
      <c r="E1219" s="34" t="str">
        <f aca="false">IF($B1219="","",IF($B1219="OUT","Liters",IFERROR(INDEX(Setup!$F$3:$F$24,MATCH($C1219,Setup!$A$3:$A$24,0)),"")))</f>
        <v/>
      </c>
      <c r="F1219" s="28" t="str">
        <f aca="false">IF(OR($D1219="",$E1219=""),"",IFERROR($D1219*INDEX(Setup!$B$27:$B$44,MATCH($E1219,Setup!$A$27:$A$44,0)),"TBD"))</f>
        <v/>
      </c>
      <c r="G1219" s="32"/>
      <c r="H1219" s="32"/>
      <c r="I1219" s="32"/>
      <c r="J1219" s="32"/>
      <c r="K1219" s="35"/>
      <c r="L1219" s="32"/>
      <c r="M1219" s="32"/>
    </row>
    <row r="1220" customFormat="false" ht="15" hidden="false" customHeight="true" outlineLevel="0" collapsed="false">
      <c r="A1220" s="32"/>
      <c r="B1220" s="32"/>
      <c r="C1220" s="32"/>
      <c r="D1220" s="32"/>
      <c r="E1220" s="34" t="str">
        <f aca="false">IF($B1220="","",IF($B1220="OUT","Liters",IFERROR(INDEX(Setup!$F$3:$F$24,MATCH($C1220,Setup!$A$3:$A$24,0)),"")))</f>
        <v/>
      </c>
      <c r="F1220" s="28" t="str">
        <f aca="false">IF(OR($D1220="",$E1220=""),"",IFERROR($D1220*INDEX(Setup!$B$27:$B$44,MATCH($E1220,Setup!$A$27:$A$44,0)),"TBD"))</f>
        <v/>
      </c>
      <c r="G1220" s="32"/>
      <c r="H1220" s="32"/>
      <c r="I1220" s="32"/>
      <c r="J1220" s="32"/>
      <c r="K1220" s="35"/>
      <c r="L1220" s="32"/>
      <c r="M1220" s="32"/>
    </row>
    <row r="1221" customFormat="false" ht="15" hidden="false" customHeight="true" outlineLevel="0" collapsed="false">
      <c r="A1221" s="32"/>
      <c r="B1221" s="32"/>
      <c r="C1221" s="32"/>
      <c r="D1221" s="32"/>
      <c r="E1221" s="34" t="str">
        <f aca="false">IF($B1221="","",IF($B1221="OUT","Liters",IFERROR(INDEX(Setup!$F$3:$F$24,MATCH($C1221,Setup!$A$3:$A$24,0)),"")))</f>
        <v/>
      </c>
      <c r="F1221" s="28" t="str">
        <f aca="false">IF(OR($D1221="",$E1221=""),"",IFERROR($D1221*INDEX(Setup!$B$27:$B$44,MATCH($E1221,Setup!$A$27:$A$44,0)),"TBD"))</f>
        <v/>
      </c>
      <c r="G1221" s="32"/>
      <c r="H1221" s="32"/>
      <c r="I1221" s="32"/>
      <c r="J1221" s="32"/>
      <c r="K1221" s="35"/>
      <c r="L1221" s="32"/>
      <c r="M1221" s="32"/>
    </row>
    <row r="1222" customFormat="false" ht="15" hidden="false" customHeight="true" outlineLevel="0" collapsed="false">
      <c r="A1222" s="32"/>
      <c r="B1222" s="32"/>
      <c r="C1222" s="32"/>
      <c r="D1222" s="32"/>
      <c r="E1222" s="34" t="str">
        <f aca="false">IF($B1222="","",IF($B1222="OUT","Liters",IFERROR(INDEX(Setup!$F$3:$F$24,MATCH($C1222,Setup!$A$3:$A$24,0)),"")))</f>
        <v/>
      </c>
      <c r="F1222" s="28" t="str">
        <f aca="false">IF(OR($D1222="",$E1222=""),"",IFERROR($D1222*INDEX(Setup!$B$27:$B$44,MATCH($E1222,Setup!$A$27:$A$44,0)),"TBD"))</f>
        <v/>
      </c>
      <c r="G1222" s="32"/>
      <c r="H1222" s="32"/>
      <c r="I1222" s="32"/>
      <c r="J1222" s="32"/>
      <c r="K1222" s="35"/>
      <c r="L1222" s="32"/>
      <c r="M1222" s="32"/>
    </row>
    <row r="1223" customFormat="false" ht="15" hidden="false" customHeight="true" outlineLevel="0" collapsed="false">
      <c r="A1223" s="32"/>
      <c r="B1223" s="32"/>
      <c r="C1223" s="32"/>
      <c r="D1223" s="32"/>
      <c r="E1223" s="34" t="str">
        <f aca="false">IF($B1223="","",IF($B1223="OUT","Liters",IFERROR(INDEX(Setup!$F$3:$F$24,MATCH($C1223,Setup!$A$3:$A$24,0)),"")))</f>
        <v/>
      </c>
      <c r="F1223" s="28" t="str">
        <f aca="false">IF(OR($D1223="",$E1223=""),"",IFERROR($D1223*INDEX(Setup!$B$27:$B$44,MATCH($E1223,Setup!$A$27:$A$44,0)),"TBD"))</f>
        <v/>
      </c>
      <c r="G1223" s="32"/>
      <c r="H1223" s="32"/>
      <c r="I1223" s="32"/>
      <c r="J1223" s="32"/>
      <c r="K1223" s="35"/>
      <c r="L1223" s="32"/>
      <c r="M1223" s="32"/>
    </row>
    <row r="1224" customFormat="false" ht="15" hidden="false" customHeight="true" outlineLevel="0" collapsed="false">
      <c r="A1224" s="32"/>
      <c r="B1224" s="32"/>
      <c r="C1224" s="32"/>
      <c r="D1224" s="32"/>
      <c r="E1224" s="34" t="str">
        <f aca="false">IF($B1224="","",IF($B1224="OUT","Liters",IFERROR(INDEX(Setup!$F$3:$F$24,MATCH($C1224,Setup!$A$3:$A$24,0)),"")))</f>
        <v/>
      </c>
      <c r="F1224" s="28" t="str">
        <f aca="false">IF(OR($D1224="",$E1224=""),"",IFERROR($D1224*INDEX(Setup!$B$27:$B$44,MATCH($E1224,Setup!$A$27:$A$44,0)),"TBD"))</f>
        <v/>
      </c>
      <c r="G1224" s="32"/>
      <c r="H1224" s="32"/>
      <c r="I1224" s="32"/>
      <c r="J1224" s="32"/>
      <c r="K1224" s="35"/>
      <c r="L1224" s="32"/>
      <c r="M1224" s="32"/>
    </row>
    <row r="1225" customFormat="false" ht="15" hidden="false" customHeight="true" outlineLevel="0" collapsed="false">
      <c r="A1225" s="32"/>
      <c r="B1225" s="32"/>
      <c r="C1225" s="32"/>
      <c r="D1225" s="32"/>
      <c r="E1225" s="34" t="str">
        <f aca="false">IF($B1225="","",IF($B1225="OUT","Liters",IFERROR(INDEX(Setup!$F$3:$F$24,MATCH($C1225,Setup!$A$3:$A$24,0)),"")))</f>
        <v/>
      </c>
      <c r="F1225" s="28" t="str">
        <f aca="false">IF(OR($D1225="",$E1225=""),"",IFERROR($D1225*INDEX(Setup!$B$27:$B$44,MATCH($E1225,Setup!$A$27:$A$44,0)),"TBD"))</f>
        <v/>
      </c>
      <c r="G1225" s="32"/>
      <c r="H1225" s="32"/>
      <c r="I1225" s="32"/>
      <c r="J1225" s="32"/>
      <c r="K1225" s="35"/>
      <c r="L1225" s="32"/>
      <c r="M1225" s="32"/>
    </row>
    <row r="1226" customFormat="false" ht="15" hidden="false" customHeight="true" outlineLevel="0" collapsed="false">
      <c r="A1226" s="32"/>
      <c r="B1226" s="32"/>
      <c r="C1226" s="32"/>
      <c r="D1226" s="32"/>
      <c r="E1226" s="34" t="str">
        <f aca="false">IF($B1226="","",IF($B1226="OUT","Liters",IFERROR(INDEX(Setup!$F$3:$F$24,MATCH($C1226,Setup!$A$3:$A$24,0)),"")))</f>
        <v/>
      </c>
      <c r="F1226" s="28" t="str">
        <f aca="false">IF(OR($D1226="",$E1226=""),"",IFERROR($D1226*INDEX(Setup!$B$27:$B$44,MATCH($E1226,Setup!$A$27:$A$44,0)),"TBD"))</f>
        <v/>
      </c>
      <c r="G1226" s="32"/>
      <c r="H1226" s="32"/>
      <c r="I1226" s="32"/>
      <c r="J1226" s="32"/>
      <c r="K1226" s="35"/>
      <c r="L1226" s="32"/>
      <c r="M1226" s="32"/>
    </row>
    <row r="1227" customFormat="false" ht="15" hidden="false" customHeight="true" outlineLevel="0" collapsed="false">
      <c r="A1227" s="32"/>
      <c r="B1227" s="32"/>
      <c r="C1227" s="32"/>
      <c r="D1227" s="32"/>
      <c r="E1227" s="34" t="str">
        <f aca="false">IF($B1227="","",IF($B1227="OUT","Liters",IFERROR(INDEX(Setup!$F$3:$F$24,MATCH($C1227,Setup!$A$3:$A$24,0)),"")))</f>
        <v/>
      </c>
      <c r="F1227" s="28" t="str">
        <f aca="false">IF(OR($D1227="",$E1227=""),"",IFERROR($D1227*INDEX(Setup!$B$27:$B$44,MATCH($E1227,Setup!$A$27:$A$44,0)),"TBD"))</f>
        <v/>
      </c>
      <c r="G1227" s="32"/>
      <c r="H1227" s="32"/>
      <c r="I1227" s="32"/>
      <c r="J1227" s="32"/>
      <c r="K1227" s="35"/>
      <c r="L1227" s="32"/>
      <c r="M1227" s="32"/>
    </row>
    <row r="1228" customFormat="false" ht="15" hidden="false" customHeight="true" outlineLevel="0" collapsed="false">
      <c r="A1228" s="32"/>
      <c r="B1228" s="32"/>
      <c r="C1228" s="32"/>
      <c r="D1228" s="32"/>
      <c r="E1228" s="34" t="str">
        <f aca="false">IF($B1228="","",IF($B1228="OUT","Liters",IFERROR(INDEX(Setup!$F$3:$F$24,MATCH($C1228,Setup!$A$3:$A$24,0)),"")))</f>
        <v/>
      </c>
      <c r="F1228" s="28" t="str">
        <f aca="false">IF(OR($D1228="",$E1228=""),"",IFERROR($D1228*INDEX(Setup!$B$27:$B$44,MATCH($E1228,Setup!$A$27:$A$44,0)),"TBD"))</f>
        <v/>
      </c>
      <c r="G1228" s="32"/>
      <c r="H1228" s="32"/>
      <c r="I1228" s="32"/>
      <c r="J1228" s="32"/>
      <c r="K1228" s="35"/>
      <c r="L1228" s="32"/>
      <c r="M1228" s="32"/>
    </row>
    <row r="1229" customFormat="false" ht="15" hidden="false" customHeight="true" outlineLevel="0" collapsed="false">
      <c r="A1229" s="32"/>
      <c r="B1229" s="32"/>
      <c r="C1229" s="32"/>
      <c r="D1229" s="32"/>
      <c r="E1229" s="34" t="str">
        <f aca="false">IF($B1229="","",IF($B1229="OUT","Liters",IFERROR(INDEX(Setup!$F$3:$F$24,MATCH($C1229,Setup!$A$3:$A$24,0)),"")))</f>
        <v/>
      </c>
      <c r="F1229" s="28" t="str">
        <f aca="false">IF(OR($D1229="",$E1229=""),"",IFERROR($D1229*INDEX(Setup!$B$27:$B$44,MATCH($E1229,Setup!$A$27:$A$44,0)),"TBD"))</f>
        <v/>
      </c>
      <c r="G1229" s="32"/>
      <c r="H1229" s="32"/>
      <c r="I1229" s="32"/>
      <c r="J1229" s="32"/>
      <c r="K1229" s="35"/>
      <c r="L1229" s="32"/>
      <c r="M1229" s="32"/>
    </row>
    <row r="1230" customFormat="false" ht="15" hidden="false" customHeight="true" outlineLevel="0" collapsed="false">
      <c r="A1230" s="32"/>
      <c r="B1230" s="32"/>
      <c r="C1230" s="32"/>
      <c r="D1230" s="32"/>
      <c r="E1230" s="34" t="str">
        <f aca="false">IF($B1230="","",IF($B1230="OUT","Liters",IFERROR(INDEX(Setup!$F$3:$F$24,MATCH($C1230,Setup!$A$3:$A$24,0)),"")))</f>
        <v/>
      </c>
      <c r="F1230" s="28" t="str">
        <f aca="false">IF(OR($D1230="",$E1230=""),"",IFERROR($D1230*INDEX(Setup!$B$27:$B$44,MATCH($E1230,Setup!$A$27:$A$44,0)),"TBD"))</f>
        <v/>
      </c>
      <c r="G1230" s="32"/>
      <c r="H1230" s="32"/>
      <c r="I1230" s="32"/>
      <c r="J1230" s="32"/>
      <c r="K1230" s="35"/>
      <c r="L1230" s="32"/>
      <c r="M1230" s="32"/>
    </row>
    <row r="1231" customFormat="false" ht="15" hidden="false" customHeight="true" outlineLevel="0" collapsed="false">
      <c r="A1231" s="32"/>
      <c r="B1231" s="32"/>
      <c r="C1231" s="32"/>
      <c r="D1231" s="32"/>
      <c r="E1231" s="34" t="str">
        <f aca="false">IF($B1231="","",IF($B1231="OUT","Liters",IFERROR(INDEX(Setup!$F$3:$F$24,MATCH($C1231,Setup!$A$3:$A$24,0)),"")))</f>
        <v/>
      </c>
      <c r="F1231" s="28" t="str">
        <f aca="false">IF(OR($D1231="",$E1231=""),"",IFERROR($D1231*INDEX(Setup!$B$27:$B$44,MATCH($E1231,Setup!$A$27:$A$44,0)),"TBD"))</f>
        <v/>
      </c>
      <c r="G1231" s="32"/>
      <c r="H1231" s="32"/>
      <c r="I1231" s="32"/>
      <c r="J1231" s="32"/>
      <c r="K1231" s="35"/>
      <c r="L1231" s="32"/>
      <c r="M1231" s="32"/>
    </row>
    <row r="1232" customFormat="false" ht="15" hidden="false" customHeight="true" outlineLevel="0" collapsed="false">
      <c r="A1232" s="32"/>
      <c r="B1232" s="32"/>
      <c r="C1232" s="32"/>
      <c r="D1232" s="32"/>
      <c r="E1232" s="34" t="str">
        <f aca="false">IF($B1232="","",IF($B1232="OUT","Liters",IFERROR(INDEX(Setup!$F$3:$F$24,MATCH($C1232,Setup!$A$3:$A$24,0)),"")))</f>
        <v/>
      </c>
      <c r="F1232" s="28" t="str">
        <f aca="false">IF(OR($D1232="",$E1232=""),"",IFERROR($D1232*INDEX(Setup!$B$27:$B$44,MATCH($E1232,Setup!$A$27:$A$44,0)),"TBD"))</f>
        <v/>
      </c>
      <c r="G1232" s="32"/>
      <c r="H1232" s="32"/>
      <c r="I1232" s="32"/>
      <c r="J1232" s="32"/>
      <c r="K1232" s="35"/>
      <c r="L1232" s="32"/>
      <c r="M1232" s="32"/>
    </row>
    <row r="1233" customFormat="false" ht="15" hidden="false" customHeight="true" outlineLevel="0" collapsed="false">
      <c r="A1233" s="32"/>
      <c r="B1233" s="32"/>
      <c r="C1233" s="32"/>
      <c r="D1233" s="32"/>
      <c r="E1233" s="34" t="str">
        <f aca="false">IF($B1233="","",IF($B1233="OUT","Liters",IFERROR(INDEX(Setup!$F$3:$F$24,MATCH($C1233,Setup!$A$3:$A$24,0)),"")))</f>
        <v/>
      </c>
      <c r="F1233" s="28" t="str">
        <f aca="false">IF(OR($D1233="",$E1233=""),"",IFERROR($D1233*INDEX(Setup!$B$27:$B$44,MATCH($E1233,Setup!$A$27:$A$44,0)),"TBD"))</f>
        <v/>
      </c>
      <c r="G1233" s="32"/>
      <c r="H1233" s="32"/>
      <c r="I1233" s="32"/>
      <c r="J1233" s="32"/>
      <c r="K1233" s="35"/>
      <c r="L1233" s="32"/>
      <c r="M1233" s="32"/>
    </row>
    <row r="1234" customFormat="false" ht="15" hidden="false" customHeight="true" outlineLevel="0" collapsed="false">
      <c r="A1234" s="32"/>
      <c r="B1234" s="32"/>
      <c r="C1234" s="32"/>
      <c r="D1234" s="32"/>
      <c r="E1234" s="34" t="str">
        <f aca="false">IF($B1234="","",IF($B1234="OUT","Liters",IFERROR(INDEX(Setup!$F$3:$F$24,MATCH($C1234,Setup!$A$3:$A$24,0)),"")))</f>
        <v/>
      </c>
      <c r="F1234" s="28" t="str">
        <f aca="false">IF(OR($D1234="",$E1234=""),"",IFERROR($D1234*INDEX(Setup!$B$27:$B$44,MATCH($E1234,Setup!$A$27:$A$44,0)),"TBD"))</f>
        <v/>
      </c>
      <c r="G1234" s="32"/>
      <c r="H1234" s="32"/>
      <c r="I1234" s="32"/>
      <c r="J1234" s="32"/>
      <c r="K1234" s="35"/>
      <c r="L1234" s="32"/>
      <c r="M1234" s="32"/>
    </row>
    <row r="1235" customFormat="false" ht="15" hidden="false" customHeight="true" outlineLevel="0" collapsed="false">
      <c r="A1235" s="32"/>
      <c r="B1235" s="32"/>
      <c r="C1235" s="32"/>
      <c r="D1235" s="32"/>
      <c r="E1235" s="34" t="str">
        <f aca="false">IF($B1235="","",IF($B1235="OUT","Liters",IFERROR(INDEX(Setup!$F$3:$F$24,MATCH($C1235,Setup!$A$3:$A$24,0)),"")))</f>
        <v/>
      </c>
      <c r="F1235" s="28" t="str">
        <f aca="false">IF(OR($D1235="",$E1235=""),"",IFERROR($D1235*INDEX(Setup!$B$27:$B$44,MATCH($E1235,Setup!$A$27:$A$44,0)),"TBD"))</f>
        <v/>
      </c>
      <c r="G1235" s="32"/>
      <c r="H1235" s="32"/>
      <c r="I1235" s="32"/>
      <c r="J1235" s="32"/>
      <c r="K1235" s="35"/>
      <c r="L1235" s="32"/>
      <c r="M1235" s="32"/>
    </row>
    <row r="1236" customFormat="false" ht="15" hidden="false" customHeight="true" outlineLevel="0" collapsed="false">
      <c r="A1236" s="32"/>
      <c r="B1236" s="32"/>
      <c r="C1236" s="32"/>
      <c r="D1236" s="32"/>
      <c r="E1236" s="34" t="str">
        <f aca="false">IF($B1236="","",IF($B1236="OUT","Liters",IFERROR(INDEX(Setup!$F$3:$F$24,MATCH($C1236,Setup!$A$3:$A$24,0)),"")))</f>
        <v/>
      </c>
      <c r="F1236" s="28" t="str">
        <f aca="false">IF(OR($D1236="",$E1236=""),"",IFERROR($D1236*INDEX(Setup!$B$27:$B$44,MATCH($E1236,Setup!$A$27:$A$44,0)),"TBD"))</f>
        <v/>
      </c>
      <c r="G1236" s="32"/>
      <c r="H1236" s="32"/>
      <c r="I1236" s="32"/>
      <c r="J1236" s="32"/>
      <c r="K1236" s="35"/>
      <c r="L1236" s="32"/>
      <c r="M1236" s="32"/>
    </row>
    <row r="1237" customFormat="false" ht="15" hidden="false" customHeight="true" outlineLevel="0" collapsed="false">
      <c r="A1237" s="32"/>
      <c r="B1237" s="32"/>
      <c r="C1237" s="32"/>
      <c r="D1237" s="32"/>
      <c r="E1237" s="34" t="str">
        <f aca="false">IF($B1237="","",IF($B1237="OUT","Liters",IFERROR(INDEX(Setup!$F$3:$F$24,MATCH($C1237,Setup!$A$3:$A$24,0)),"")))</f>
        <v/>
      </c>
      <c r="F1237" s="28" t="str">
        <f aca="false">IF(OR($D1237="",$E1237=""),"",IFERROR($D1237*INDEX(Setup!$B$27:$B$44,MATCH($E1237,Setup!$A$27:$A$44,0)),"TBD"))</f>
        <v/>
      </c>
      <c r="G1237" s="32"/>
      <c r="H1237" s="32"/>
      <c r="I1237" s="32"/>
      <c r="J1237" s="32"/>
      <c r="K1237" s="35"/>
      <c r="L1237" s="32"/>
      <c r="M1237" s="32"/>
    </row>
    <row r="1238" customFormat="false" ht="15" hidden="false" customHeight="true" outlineLevel="0" collapsed="false">
      <c r="A1238" s="32"/>
      <c r="B1238" s="32"/>
      <c r="C1238" s="32"/>
      <c r="D1238" s="32"/>
      <c r="E1238" s="34" t="str">
        <f aca="false">IF($B1238="","",IF($B1238="OUT","Liters",IFERROR(INDEX(Setup!$F$3:$F$24,MATCH($C1238,Setup!$A$3:$A$24,0)),"")))</f>
        <v/>
      </c>
      <c r="F1238" s="28" t="str">
        <f aca="false">IF(OR($D1238="",$E1238=""),"",IFERROR($D1238*INDEX(Setup!$B$27:$B$44,MATCH($E1238,Setup!$A$27:$A$44,0)),"TBD"))</f>
        <v/>
      </c>
      <c r="G1238" s="32"/>
      <c r="H1238" s="32"/>
      <c r="I1238" s="32"/>
      <c r="J1238" s="32"/>
      <c r="K1238" s="35"/>
      <c r="L1238" s="32"/>
      <c r="M1238" s="32"/>
    </row>
    <row r="1239" customFormat="false" ht="15" hidden="false" customHeight="true" outlineLevel="0" collapsed="false">
      <c r="A1239" s="32"/>
      <c r="B1239" s="32"/>
      <c r="C1239" s="32"/>
      <c r="D1239" s="32"/>
      <c r="E1239" s="34" t="str">
        <f aca="false">IF($B1239="","",IF($B1239="OUT","Liters",IFERROR(INDEX(Setup!$F$3:$F$24,MATCH($C1239,Setup!$A$3:$A$24,0)),"")))</f>
        <v/>
      </c>
      <c r="F1239" s="28" t="str">
        <f aca="false">IF(OR($D1239="",$E1239=""),"",IFERROR($D1239*INDEX(Setup!$B$27:$B$44,MATCH($E1239,Setup!$A$27:$A$44,0)),"TBD"))</f>
        <v/>
      </c>
      <c r="G1239" s="32"/>
      <c r="H1239" s="32"/>
      <c r="I1239" s="32"/>
      <c r="J1239" s="32"/>
      <c r="K1239" s="35"/>
      <c r="L1239" s="32"/>
      <c r="M1239" s="32"/>
    </row>
    <row r="1240" customFormat="false" ht="15" hidden="false" customHeight="true" outlineLevel="0" collapsed="false">
      <c r="A1240" s="32"/>
      <c r="B1240" s="32"/>
      <c r="C1240" s="32"/>
      <c r="D1240" s="32"/>
      <c r="E1240" s="34" t="str">
        <f aca="false">IF($B1240="","",IF($B1240="OUT","Liters",IFERROR(INDEX(Setup!$F$3:$F$24,MATCH($C1240,Setup!$A$3:$A$24,0)),"")))</f>
        <v/>
      </c>
      <c r="F1240" s="28" t="str">
        <f aca="false">IF(OR($D1240="",$E1240=""),"",IFERROR($D1240*INDEX(Setup!$B$27:$B$44,MATCH($E1240,Setup!$A$27:$A$44,0)),"TBD"))</f>
        <v/>
      </c>
      <c r="G1240" s="32"/>
      <c r="H1240" s="32"/>
      <c r="I1240" s="32"/>
      <c r="J1240" s="32"/>
      <c r="K1240" s="35"/>
      <c r="L1240" s="32"/>
      <c r="M1240" s="32"/>
    </row>
    <row r="1241" customFormat="false" ht="15" hidden="false" customHeight="true" outlineLevel="0" collapsed="false">
      <c r="A1241" s="32"/>
      <c r="B1241" s="32"/>
      <c r="C1241" s="32"/>
      <c r="D1241" s="32"/>
      <c r="E1241" s="34" t="str">
        <f aca="false">IF($B1241="","",IF($B1241="OUT","Liters",IFERROR(INDEX(Setup!$F$3:$F$24,MATCH($C1241,Setup!$A$3:$A$24,0)),"")))</f>
        <v/>
      </c>
      <c r="F1241" s="28" t="str">
        <f aca="false">IF(OR($D1241="",$E1241=""),"",IFERROR($D1241*INDEX(Setup!$B$27:$B$44,MATCH($E1241,Setup!$A$27:$A$44,0)),"TBD"))</f>
        <v/>
      </c>
      <c r="G1241" s="32"/>
      <c r="H1241" s="32"/>
      <c r="I1241" s="32"/>
      <c r="J1241" s="32"/>
      <c r="K1241" s="35"/>
      <c r="L1241" s="32"/>
      <c r="M1241" s="32"/>
    </row>
    <row r="1242" customFormat="false" ht="15" hidden="false" customHeight="true" outlineLevel="0" collapsed="false">
      <c r="A1242" s="32"/>
      <c r="B1242" s="32"/>
      <c r="C1242" s="32"/>
      <c r="D1242" s="32"/>
      <c r="E1242" s="34" t="str">
        <f aca="false">IF($B1242="","",IF($B1242="OUT","Liters",IFERROR(INDEX(Setup!$F$3:$F$24,MATCH($C1242,Setup!$A$3:$A$24,0)),"")))</f>
        <v/>
      </c>
      <c r="F1242" s="28" t="str">
        <f aca="false">IF(OR($D1242="",$E1242=""),"",IFERROR($D1242*INDEX(Setup!$B$27:$B$44,MATCH($E1242,Setup!$A$27:$A$44,0)),"TBD"))</f>
        <v/>
      </c>
      <c r="G1242" s="32"/>
      <c r="H1242" s="32"/>
      <c r="I1242" s="32"/>
      <c r="J1242" s="32"/>
      <c r="K1242" s="35"/>
      <c r="L1242" s="32"/>
      <c r="M1242" s="32"/>
    </row>
    <row r="1243" customFormat="false" ht="15" hidden="false" customHeight="true" outlineLevel="0" collapsed="false">
      <c r="A1243" s="32"/>
      <c r="B1243" s="32"/>
      <c r="C1243" s="32"/>
      <c r="D1243" s="32"/>
      <c r="E1243" s="34" t="str">
        <f aca="false">IF($B1243="","",IF($B1243="OUT","Liters",IFERROR(INDEX(Setup!$F$3:$F$24,MATCH($C1243,Setup!$A$3:$A$24,0)),"")))</f>
        <v/>
      </c>
      <c r="F1243" s="28" t="str">
        <f aca="false">IF(OR($D1243="",$E1243=""),"",IFERROR($D1243*INDEX(Setup!$B$27:$B$44,MATCH($E1243,Setup!$A$27:$A$44,0)),"TBD"))</f>
        <v/>
      </c>
      <c r="G1243" s="32"/>
      <c r="H1243" s="32"/>
      <c r="I1243" s="32"/>
      <c r="J1243" s="32"/>
      <c r="K1243" s="35"/>
      <c r="L1243" s="32"/>
      <c r="M1243" s="32"/>
    </row>
    <row r="1244" customFormat="false" ht="15" hidden="false" customHeight="true" outlineLevel="0" collapsed="false">
      <c r="A1244" s="32"/>
      <c r="B1244" s="32"/>
      <c r="C1244" s="32"/>
      <c r="D1244" s="32"/>
      <c r="E1244" s="34" t="str">
        <f aca="false">IF($B1244="","",IF($B1244="OUT","Liters",IFERROR(INDEX(Setup!$F$3:$F$24,MATCH($C1244,Setup!$A$3:$A$24,0)),"")))</f>
        <v/>
      </c>
      <c r="F1244" s="28" t="str">
        <f aca="false">IF(OR($D1244="",$E1244=""),"",IFERROR($D1244*INDEX(Setup!$B$27:$B$44,MATCH($E1244,Setup!$A$27:$A$44,0)),"TBD"))</f>
        <v/>
      </c>
      <c r="G1244" s="32"/>
      <c r="H1244" s="32"/>
      <c r="I1244" s="32"/>
      <c r="J1244" s="32"/>
      <c r="K1244" s="35"/>
      <c r="L1244" s="32"/>
      <c r="M1244" s="32"/>
    </row>
    <row r="1245" customFormat="false" ht="15" hidden="false" customHeight="true" outlineLevel="0" collapsed="false">
      <c r="A1245" s="32"/>
      <c r="B1245" s="32"/>
      <c r="C1245" s="32"/>
      <c r="D1245" s="32"/>
      <c r="E1245" s="34" t="str">
        <f aca="false">IF($B1245="","",IF($B1245="OUT","Liters",IFERROR(INDEX(Setup!$F$3:$F$24,MATCH($C1245,Setup!$A$3:$A$24,0)),"")))</f>
        <v/>
      </c>
      <c r="F1245" s="28" t="str">
        <f aca="false">IF(OR($D1245="",$E1245=""),"",IFERROR($D1245*INDEX(Setup!$B$27:$B$44,MATCH($E1245,Setup!$A$27:$A$44,0)),"TBD"))</f>
        <v/>
      </c>
      <c r="G1245" s="32"/>
      <c r="H1245" s="32"/>
      <c r="I1245" s="32"/>
      <c r="J1245" s="32"/>
      <c r="K1245" s="35"/>
      <c r="L1245" s="32"/>
      <c r="M1245" s="32"/>
    </row>
    <row r="1246" customFormat="false" ht="15" hidden="false" customHeight="true" outlineLevel="0" collapsed="false">
      <c r="A1246" s="32"/>
      <c r="B1246" s="32"/>
      <c r="C1246" s="32"/>
      <c r="D1246" s="32"/>
      <c r="E1246" s="34" t="str">
        <f aca="false">IF($B1246="","",IF($B1246="OUT","Liters",IFERROR(INDEX(Setup!$F$3:$F$24,MATCH($C1246,Setup!$A$3:$A$24,0)),"")))</f>
        <v/>
      </c>
      <c r="F1246" s="28" t="str">
        <f aca="false">IF(OR($D1246="",$E1246=""),"",IFERROR($D1246*INDEX(Setup!$B$27:$B$44,MATCH($E1246,Setup!$A$27:$A$44,0)),"TBD"))</f>
        <v/>
      </c>
      <c r="G1246" s="32"/>
      <c r="H1246" s="32"/>
      <c r="I1246" s="32"/>
      <c r="J1246" s="32"/>
      <c r="K1246" s="35"/>
      <c r="L1246" s="32"/>
      <c r="M1246" s="32"/>
    </row>
    <row r="1247" customFormat="false" ht="15" hidden="false" customHeight="true" outlineLevel="0" collapsed="false">
      <c r="A1247" s="32"/>
      <c r="B1247" s="32"/>
      <c r="C1247" s="32"/>
      <c r="D1247" s="32"/>
      <c r="E1247" s="34" t="str">
        <f aca="false">IF($B1247="","",IF($B1247="OUT","Liters",IFERROR(INDEX(Setup!$F$3:$F$24,MATCH($C1247,Setup!$A$3:$A$24,0)),"")))</f>
        <v/>
      </c>
      <c r="F1247" s="28" t="str">
        <f aca="false">IF(OR($D1247="",$E1247=""),"",IFERROR($D1247*INDEX(Setup!$B$27:$B$44,MATCH($E1247,Setup!$A$27:$A$44,0)),"TBD"))</f>
        <v/>
      </c>
      <c r="G1247" s="32"/>
      <c r="H1247" s="32"/>
      <c r="I1247" s="32"/>
      <c r="J1247" s="32"/>
      <c r="K1247" s="35"/>
      <c r="L1247" s="32"/>
      <c r="M1247" s="32"/>
    </row>
    <row r="1248" customFormat="false" ht="15" hidden="false" customHeight="true" outlineLevel="0" collapsed="false">
      <c r="A1248" s="32"/>
      <c r="B1248" s="32"/>
      <c r="C1248" s="32"/>
      <c r="D1248" s="32"/>
      <c r="E1248" s="34" t="str">
        <f aca="false">IF($B1248="","",IF($B1248="OUT","Liters",IFERROR(INDEX(Setup!$F$3:$F$24,MATCH($C1248,Setup!$A$3:$A$24,0)),"")))</f>
        <v/>
      </c>
      <c r="F1248" s="28" t="str">
        <f aca="false">IF(OR($D1248="",$E1248=""),"",IFERROR($D1248*INDEX(Setup!$B$27:$B$44,MATCH($E1248,Setup!$A$27:$A$44,0)),"TBD"))</f>
        <v/>
      </c>
      <c r="G1248" s="32"/>
      <c r="H1248" s="32"/>
      <c r="I1248" s="32"/>
      <c r="J1248" s="32"/>
      <c r="K1248" s="35"/>
      <c r="L1248" s="32"/>
      <c r="M1248" s="32"/>
    </row>
    <row r="1249" customFormat="false" ht="15" hidden="false" customHeight="true" outlineLevel="0" collapsed="false">
      <c r="A1249" s="32"/>
      <c r="B1249" s="32"/>
      <c r="C1249" s="32"/>
      <c r="D1249" s="32"/>
      <c r="E1249" s="34" t="str">
        <f aca="false">IF($B1249="","",IF($B1249="OUT","Liters",IFERROR(INDEX(Setup!$F$3:$F$24,MATCH($C1249,Setup!$A$3:$A$24,0)),"")))</f>
        <v/>
      </c>
      <c r="F1249" s="28" t="str">
        <f aca="false">IF(OR($D1249="",$E1249=""),"",IFERROR($D1249*INDEX(Setup!$B$27:$B$44,MATCH($E1249,Setup!$A$27:$A$44,0)),"TBD"))</f>
        <v/>
      </c>
      <c r="G1249" s="32"/>
      <c r="H1249" s="32"/>
      <c r="I1249" s="32"/>
      <c r="J1249" s="32"/>
      <c r="K1249" s="35"/>
      <c r="L1249" s="32"/>
      <c r="M1249" s="32"/>
    </row>
    <row r="1250" customFormat="false" ht="15" hidden="false" customHeight="true" outlineLevel="0" collapsed="false">
      <c r="A1250" s="32"/>
      <c r="B1250" s="32"/>
      <c r="C1250" s="32"/>
      <c r="D1250" s="32"/>
      <c r="E1250" s="34" t="str">
        <f aca="false">IF($B1250="","",IF($B1250="OUT","Liters",IFERROR(INDEX(Setup!$F$3:$F$24,MATCH($C1250,Setup!$A$3:$A$24,0)),"")))</f>
        <v/>
      </c>
      <c r="F1250" s="28" t="str">
        <f aca="false">IF(OR($D1250="",$E1250=""),"",IFERROR($D1250*INDEX(Setup!$B$27:$B$44,MATCH($E1250,Setup!$A$27:$A$44,0)),"TBD"))</f>
        <v/>
      </c>
      <c r="G1250" s="32"/>
      <c r="H1250" s="32"/>
      <c r="I1250" s="32"/>
      <c r="J1250" s="32"/>
      <c r="K1250" s="35"/>
      <c r="L1250" s="32"/>
      <c r="M1250" s="32"/>
    </row>
    <row r="1251" customFormat="false" ht="15" hidden="false" customHeight="true" outlineLevel="0" collapsed="false">
      <c r="A1251" s="32"/>
      <c r="B1251" s="32"/>
      <c r="C1251" s="32"/>
      <c r="D1251" s="32"/>
      <c r="E1251" s="34" t="str">
        <f aca="false">IF($B1251="","",IF($B1251="OUT","Liters",IFERROR(INDEX(Setup!$F$3:$F$24,MATCH($C1251,Setup!$A$3:$A$24,0)),"")))</f>
        <v/>
      </c>
      <c r="F1251" s="28" t="str">
        <f aca="false">IF(OR($D1251="",$E1251=""),"",IFERROR($D1251*INDEX(Setup!$B$27:$B$44,MATCH($E1251,Setup!$A$27:$A$44,0)),"TBD"))</f>
        <v/>
      </c>
      <c r="G1251" s="32"/>
      <c r="H1251" s="32"/>
      <c r="I1251" s="32"/>
      <c r="J1251" s="32"/>
      <c r="K1251" s="35"/>
      <c r="L1251" s="32"/>
      <c r="M1251" s="32"/>
    </row>
    <row r="1252" customFormat="false" ht="15" hidden="false" customHeight="true" outlineLevel="0" collapsed="false">
      <c r="A1252" s="32"/>
      <c r="B1252" s="32"/>
      <c r="C1252" s="32"/>
      <c r="D1252" s="32"/>
      <c r="E1252" s="34" t="str">
        <f aca="false">IF($B1252="","",IF($B1252="OUT","Liters",IFERROR(INDEX(Setup!$F$3:$F$24,MATCH($C1252,Setup!$A$3:$A$24,0)),"")))</f>
        <v/>
      </c>
      <c r="F1252" s="28" t="str">
        <f aca="false">IF(OR($D1252="",$E1252=""),"",IFERROR($D1252*INDEX(Setup!$B$27:$B$44,MATCH($E1252,Setup!$A$27:$A$44,0)),"TBD"))</f>
        <v/>
      </c>
      <c r="G1252" s="32"/>
      <c r="H1252" s="32"/>
      <c r="I1252" s="32"/>
      <c r="J1252" s="32"/>
      <c r="K1252" s="35"/>
      <c r="L1252" s="32"/>
      <c r="M1252" s="32"/>
    </row>
    <row r="1253" customFormat="false" ht="15" hidden="false" customHeight="true" outlineLevel="0" collapsed="false">
      <c r="A1253" s="32"/>
      <c r="B1253" s="32"/>
      <c r="C1253" s="32"/>
      <c r="D1253" s="32"/>
      <c r="E1253" s="34" t="str">
        <f aca="false">IF($B1253="","",IF($B1253="OUT","Liters",IFERROR(INDEX(Setup!$F$3:$F$24,MATCH($C1253,Setup!$A$3:$A$24,0)),"")))</f>
        <v/>
      </c>
      <c r="F1253" s="28" t="str">
        <f aca="false">IF(OR($D1253="",$E1253=""),"",IFERROR($D1253*INDEX(Setup!$B$27:$B$44,MATCH($E1253,Setup!$A$27:$A$44,0)),"TBD"))</f>
        <v/>
      </c>
      <c r="G1253" s="32"/>
      <c r="H1253" s="32"/>
      <c r="I1253" s="32"/>
      <c r="J1253" s="32"/>
      <c r="K1253" s="35"/>
      <c r="L1253" s="32"/>
      <c r="M1253" s="32"/>
    </row>
    <row r="1254" customFormat="false" ht="15" hidden="false" customHeight="true" outlineLevel="0" collapsed="false">
      <c r="A1254" s="32"/>
      <c r="B1254" s="32"/>
      <c r="C1254" s="32"/>
      <c r="D1254" s="32"/>
      <c r="E1254" s="34" t="str">
        <f aca="false">IF($B1254="","",IF($B1254="OUT","Liters",IFERROR(INDEX(Setup!$F$3:$F$24,MATCH($C1254,Setup!$A$3:$A$24,0)),"")))</f>
        <v/>
      </c>
      <c r="F1254" s="28" t="str">
        <f aca="false">IF(OR($D1254="",$E1254=""),"",IFERROR($D1254*INDEX(Setup!$B$27:$B$44,MATCH($E1254,Setup!$A$27:$A$44,0)),"TBD"))</f>
        <v/>
      </c>
      <c r="G1254" s="32"/>
      <c r="H1254" s="32"/>
      <c r="I1254" s="32"/>
      <c r="J1254" s="32"/>
      <c r="K1254" s="35"/>
      <c r="L1254" s="32"/>
      <c r="M1254" s="32"/>
    </row>
    <row r="1255" customFormat="false" ht="15" hidden="false" customHeight="true" outlineLevel="0" collapsed="false">
      <c r="A1255" s="32"/>
      <c r="B1255" s="32"/>
      <c r="C1255" s="32"/>
      <c r="D1255" s="32"/>
      <c r="E1255" s="34" t="str">
        <f aca="false">IF($B1255="","",IF($B1255="OUT","Liters",IFERROR(INDEX(Setup!$F$3:$F$24,MATCH($C1255,Setup!$A$3:$A$24,0)),"")))</f>
        <v/>
      </c>
      <c r="F1255" s="28" t="str">
        <f aca="false">IF(OR($D1255="",$E1255=""),"",IFERROR($D1255*INDEX(Setup!$B$27:$B$44,MATCH($E1255,Setup!$A$27:$A$44,0)),"TBD"))</f>
        <v/>
      </c>
      <c r="G1255" s="32"/>
      <c r="H1255" s="32"/>
      <c r="I1255" s="32"/>
      <c r="J1255" s="32"/>
      <c r="K1255" s="35"/>
      <c r="L1255" s="32"/>
      <c r="M1255" s="32"/>
    </row>
    <row r="1256" customFormat="false" ht="15" hidden="false" customHeight="true" outlineLevel="0" collapsed="false">
      <c r="A1256" s="32"/>
      <c r="B1256" s="32"/>
      <c r="C1256" s="32"/>
      <c r="D1256" s="32"/>
      <c r="E1256" s="34" t="str">
        <f aca="false">IF($B1256="","",IF($B1256="OUT","Liters",IFERROR(INDEX(Setup!$F$3:$F$24,MATCH($C1256,Setup!$A$3:$A$24,0)),"")))</f>
        <v/>
      </c>
      <c r="F1256" s="28" t="str">
        <f aca="false">IF(OR($D1256="",$E1256=""),"",IFERROR($D1256*INDEX(Setup!$B$27:$B$44,MATCH($E1256,Setup!$A$27:$A$44,0)),"TBD"))</f>
        <v/>
      </c>
      <c r="G1256" s="32"/>
      <c r="H1256" s="32"/>
      <c r="I1256" s="32"/>
      <c r="J1256" s="32"/>
      <c r="K1256" s="35"/>
      <c r="L1256" s="32"/>
      <c r="M1256" s="32"/>
    </row>
    <row r="1257" customFormat="false" ht="15" hidden="false" customHeight="true" outlineLevel="0" collapsed="false">
      <c r="A1257" s="32"/>
      <c r="B1257" s="32"/>
      <c r="C1257" s="32"/>
      <c r="D1257" s="32"/>
      <c r="E1257" s="34" t="str">
        <f aca="false">IF($B1257="","",IF($B1257="OUT","Liters",IFERROR(INDEX(Setup!$F$3:$F$24,MATCH($C1257,Setup!$A$3:$A$24,0)),"")))</f>
        <v/>
      </c>
      <c r="F1257" s="28" t="str">
        <f aca="false">IF(OR($D1257="",$E1257=""),"",IFERROR($D1257*INDEX(Setup!$B$27:$B$44,MATCH($E1257,Setup!$A$27:$A$44,0)),"TBD"))</f>
        <v/>
      </c>
      <c r="G1257" s="32"/>
      <c r="H1257" s="32"/>
      <c r="I1257" s="32"/>
      <c r="J1257" s="32"/>
      <c r="K1257" s="35"/>
      <c r="L1257" s="32"/>
      <c r="M1257" s="32"/>
    </row>
    <row r="1258" customFormat="false" ht="15" hidden="false" customHeight="true" outlineLevel="0" collapsed="false">
      <c r="A1258" s="32"/>
      <c r="B1258" s="32"/>
      <c r="C1258" s="32"/>
      <c r="D1258" s="32"/>
      <c r="E1258" s="34" t="str">
        <f aca="false">IF($B1258="","",IF($B1258="OUT","Liters",IFERROR(INDEX(Setup!$F$3:$F$24,MATCH($C1258,Setup!$A$3:$A$24,0)),"")))</f>
        <v/>
      </c>
      <c r="F1258" s="28" t="str">
        <f aca="false">IF(OR($D1258="",$E1258=""),"",IFERROR($D1258*INDEX(Setup!$B$27:$B$44,MATCH($E1258,Setup!$A$27:$A$44,0)),"TBD"))</f>
        <v/>
      </c>
      <c r="G1258" s="32"/>
      <c r="H1258" s="32"/>
      <c r="I1258" s="32"/>
      <c r="J1258" s="32"/>
      <c r="K1258" s="35"/>
      <c r="L1258" s="32"/>
      <c r="M1258" s="32"/>
    </row>
    <row r="1259" customFormat="false" ht="15" hidden="false" customHeight="true" outlineLevel="0" collapsed="false">
      <c r="A1259" s="32"/>
      <c r="B1259" s="32"/>
      <c r="C1259" s="32"/>
      <c r="D1259" s="32"/>
      <c r="E1259" s="34" t="str">
        <f aca="false">IF($B1259="","",IF($B1259="OUT","Liters",IFERROR(INDEX(Setup!$F$3:$F$24,MATCH($C1259,Setup!$A$3:$A$24,0)),"")))</f>
        <v/>
      </c>
      <c r="F1259" s="28" t="str">
        <f aca="false">IF(OR($D1259="",$E1259=""),"",IFERROR($D1259*INDEX(Setup!$B$27:$B$44,MATCH($E1259,Setup!$A$27:$A$44,0)),"TBD"))</f>
        <v/>
      </c>
      <c r="G1259" s="32"/>
      <c r="H1259" s="32"/>
      <c r="I1259" s="32"/>
      <c r="J1259" s="32"/>
      <c r="K1259" s="35"/>
      <c r="L1259" s="32"/>
      <c r="M1259" s="32"/>
    </row>
    <row r="1260" customFormat="false" ht="15" hidden="false" customHeight="true" outlineLevel="0" collapsed="false">
      <c r="A1260" s="32"/>
      <c r="B1260" s="32"/>
      <c r="C1260" s="32"/>
      <c r="D1260" s="32"/>
      <c r="E1260" s="34" t="str">
        <f aca="false">IF($B1260="","",IF($B1260="OUT","Liters",IFERROR(INDEX(Setup!$F$3:$F$24,MATCH($C1260,Setup!$A$3:$A$24,0)),"")))</f>
        <v/>
      </c>
      <c r="F1260" s="28" t="str">
        <f aca="false">IF(OR($D1260="",$E1260=""),"",IFERROR($D1260*INDEX(Setup!$B$27:$B$44,MATCH($E1260,Setup!$A$27:$A$44,0)),"TBD"))</f>
        <v/>
      </c>
      <c r="G1260" s="32"/>
      <c r="H1260" s="32"/>
      <c r="I1260" s="32"/>
      <c r="J1260" s="32"/>
      <c r="K1260" s="35"/>
      <c r="L1260" s="32"/>
      <c r="M1260" s="32"/>
    </row>
    <row r="1261" customFormat="false" ht="15" hidden="false" customHeight="true" outlineLevel="0" collapsed="false">
      <c r="A1261" s="32"/>
      <c r="B1261" s="32"/>
      <c r="C1261" s="32"/>
      <c r="D1261" s="32"/>
      <c r="E1261" s="34" t="str">
        <f aca="false">IF($B1261="","",IF($B1261="OUT","Liters",IFERROR(INDEX(Setup!$F$3:$F$24,MATCH($C1261,Setup!$A$3:$A$24,0)),"")))</f>
        <v/>
      </c>
      <c r="F1261" s="28" t="str">
        <f aca="false">IF(OR($D1261="",$E1261=""),"",IFERROR($D1261*INDEX(Setup!$B$27:$B$44,MATCH($E1261,Setup!$A$27:$A$44,0)),"TBD"))</f>
        <v/>
      </c>
      <c r="G1261" s="32"/>
      <c r="H1261" s="32"/>
      <c r="I1261" s="32"/>
      <c r="J1261" s="32"/>
      <c r="K1261" s="35"/>
      <c r="L1261" s="32"/>
      <c r="M1261" s="32"/>
    </row>
    <row r="1262" customFormat="false" ht="15" hidden="false" customHeight="true" outlineLevel="0" collapsed="false">
      <c r="A1262" s="32"/>
      <c r="B1262" s="32"/>
      <c r="C1262" s="32"/>
      <c r="D1262" s="32"/>
      <c r="E1262" s="34" t="str">
        <f aca="false">IF($B1262="","",IF($B1262="OUT","Liters",IFERROR(INDEX(Setup!$F$3:$F$24,MATCH($C1262,Setup!$A$3:$A$24,0)),"")))</f>
        <v/>
      </c>
      <c r="F1262" s="28" t="str">
        <f aca="false">IF(OR($D1262="",$E1262=""),"",IFERROR($D1262*INDEX(Setup!$B$27:$B$44,MATCH($E1262,Setup!$A$27:$A$44,0)),"TBD"))</f>
        <v/>
      </c>
      <c r="G1262" s="32"/>
      <c r="H1262" s="32"/>
      <c r="I1262" s="32"/>
      <c r="J1262" s="32"/>
      <c r="K1262" s="35"/>
      <c r="L1262" s="32"/>
      <c r="M1262" s="32"/>
    </row>
    <row r="1263" customFormat="false" ht="15" hidden="false" customHeight="true" outlineLevel="0" collapsed="false">
      <c r="A1263" s="32"/>
      <c r="B1263" s="32"/>
      <c r="C1263" s="32"/>
      <c r="D1263" s="32"/>
      <c r="E1263" s="34" t="str">
        <f aca="false">IF($B1263="","",IF($B1263="OUT","Liters",IFERROR(INDEX(Setup!$F$3:$F$24,MATCH($C1263,Setup!$A$3:$A$24,0)),"")))</f>
        <v/>
      </c>
      <c r="F1263" s="28" t="str">
        <f aca="false">IF(OR($D1263="",$E1263=""),"",IFERROR($D1263*INDEX(Setup!$B$27:$B$44,MATCH($E1263,Setup!$A$27:$A$44,0)),"TBD"))</f>
        <v/>
      </c>
      <c r="G1263" s="32"/>
      <c r="H1263" s="32"/>
      <c r="I1263" s="32"/>
      <c r="J1263" s="32"/>
      <c r="K1263" s="35"/>
      <c r="L1263" s="32"/>
      <c r="M1263" s="32"/>
    </row>
    <row r="1264" customFormat="false" ht="15" hidden="false" customHeight="true" outlineLevel="0" collapsed="false">
      <c r="A1264" s="32"/>
      <c r="B1264" s="32"/>
      <c r="C1264" s="32"/>
      <c r="D1264" s="32"/>
      <c r="E1264" s="34" t="str">
        <f aca="false">IF($B1264="","",IF($B1264="OUT","Liters",IFERROR(INDEX(Setup!$F$3:$F$24,MATCH($C1264,Setup!$A$3:$A$24,0)),"")))</f>
        <v/>
      </c>
      <c r="F1264" s="28" t="str">
        <f aca="false">IF(OR($D1264="",$E1264=""),"",IFERROR($D1264*INDEX(Setup!$B$27:$B$44,MATCH($E1264,Setup!$A$27:$A$44,0)),"TBD"))</f>
        <v/>
      </c>
      <c r="G1264" s="32"/>
      <c r="H1264" s="32"/>
      <c r="I1264" s="32"/>
      <c r="J1264" s="32"/>
      <c r="K1264" s="35"/>
      <c r="L1264" s="32"/>
      <c r="M1264" s="32"/>
    </row>
    <row r="1265" customFormat="false" ht="15" hidden="false" customHeight="true" outlineLevel="0" collapsed="false">
      <c r="A1265" s="32"/>
      <c r="B1265" s="32"/>
      <c r="C1265" s="32"/>
      <c r="D1265" s="32"/>
      <c r="E1265" s="34" t="str">
        <f aca="false">IF($B1265="","",IF($B1265="OUT","Liters",IFERROR(INDEX(Setup!$F$3:$F$24,MATCH($C1265,Setup!$A$3:$A$24,0)),"")))</f>
        <v/>
      </c>
      <c r="F1265" s="28" t="str">
        <f aca="false">IF(OR($D1265="",$E1265=""),"",IFERROR($D1265*INDEX(Setup!$B$27:$B$44,MATCH($E1265,Setup!$A$27:$A$44,0)),"TBD"))</f>
        <v/>
      </c>
      <c r="G1265" s="32"/>
      <c r="H1265" s="32"/>
      <c r="I1265" s="32"/>
      <c r="J1265" s="32"/>
      <c r="K1265" s="35"/>
      <c r="L1265" s="32"/>
      <c r="M1265" s="32"/>
    </row>
    <row r="1266" customFormat="false" ht="15" hidden="false" customHeight="true" outlineLevel="0" collapsed="false">
      <c r="A1266" s="32"/>
      <c r="B1266" s="32"/>
      <c r="C1266" s="32"/>
      <c r="D1266" s="32"/>
      <c r="E1266" s="34" t="str">
        <f aca="false">IF($B1266="","",IF($B1266="OUT","Liters",IFERROR(INDEX(Setup!$F$3:$F$24,MATCH($C1266,Setup!$A$3:$A$24,0)),"")))</f>
        <v/>
      </c>
      <c r="F1266" s="28" t="str">
        <f aca="false">IF(OR($D1266="",$E1266=""),"",IFERROR($D1266*INDEX(Setup!$B$27:$B$44,MATCH($E1266,Setup!$A$27:$A$44,0)),"TBD"))</f>
        <v/>
      </c>
      <c r="G1266" s="32"/>
      <c r="H1266" s="32"/>
      <c r="I1266" s="32"/>
      <c r="J1266" s="32"/>
      <c r="K1266" s="35"/>
      <c r="L1266" s="32"/>
      <c r="M1266" s="32"/>
    </row>
    <row r="1267" customFormat="false" ht="15" hidden="false" customHeight="true" outlineLevel="0" collapsed="false">
      <c r="A1267" s="32"/>
      <c r="B1267" s="32"/>
      <c r="C1267" s="32"/>
      <c r="D1267" s="32"/>
      <c r="E1267" s="34" t="str">
        <f aca="false">IF($B1267="","",IF($B1267="OUT","Liters",IFERROR(INDEX(Setup!$F$3:$F$24,MATCH($C1267,Setup!$A$3:$A$24,0)),"")))</f>
        <v/>
      </c>
      <c r="F1267" s="28" t="str">
        <f aca="false">IF(OR($D1267="",$E1267=""),"",IFERROR($D1267*INDEX(Setup!$B$27:$B$44,MATCH($E1267,Setup!$A$27:$A$44,0)),"TBD"))</f>
        <v/>
      </c>
      <c r="G1267" s="32"/>
      <c r="H1267" s="32"/>
      <c r="I1267" s="32"/>
      <c r="J1267" s="32"/>
      <c r="K1267" s="35"/>
      <c r="L1267" s="32"/>
      <c r="M1267" s="32"/>
    </row>
    <row r="1268" customFormat="false" ht="15" hidden="false" customHeight="true" outlineLevel="0" collapsed="false">
      <c r="A1268" s="32"/>
      <c r="B1268" s="32"/>
      <c r="C1268" s="32"/>
      <c r="D1268" s="32"/>
      <c r="E1268" s="34" t="str">
        <f aca="false">IF($B1268="","",IF($B1268="OUT","Liters",IFERROR(INDEX(Setup!$F$3:$F$24,MATCH($C1268,Setup!$A$3:$A$24,0)),"")))</f>
        <v/>
      </c>
      <c r="F1268" s="28" t="str">
        <f aca="false">IF(OR($D1268="",$E1268=""),"",IFERROR($D1268*INDEX(Setup!$B$27:$B$44,MATCH($E1268,Setup!$A$27:$A$44,0)),"TBD"))</f>
        <v/>
      </c>
      <c r="G1268" s="32"/>
      <c r="H1268" s="32"/>
      <c r="I1268" s="32"/>
      <c r="J1268" s="32"/>
      <c r="K1268" s="35"/>
      <c r="L1268" s="32"/>
      <c r="M1268" s="32"/>
    </row>
    <row r="1269" customFormat="false" ht="15" hidden="false" customHeight="true" outlineLevel="0" collapsed="false">
      <c r="A1269" s="32"/>
      <c r="B1269" s="32"/>
      <c r="C1269" s="32"/>
      <c r="D1269" s="32"/>
      <c r="E1269" s="34" t="str">
        <f aca="false">IF($B1269="","",IF($B1269="OUT","Liters",IFERROR(INDEX(Setup!$F$3:$F$24,MATCH($C1269,Setup!$A$3:$A$24,0)),"")))</f>
        <v/>
      </c>
      <c r="F1269" s="28" t="str">
        <f aca="false">IF(OR($D1269="",$E1269=""),"",IFERROR($D1269*INDEX(Setup!$B$27:$B$44,MATCH($E1269,Setup!$A$27:$A$44,0)),"TBD"))</f>
        <v/>
      </c>
      <c r="G1269" s="32"/>
      <c r="H1269" s="32"/>
      <c r="I1269" s="32"/>
      <c r="J1269" s="32"/>
      <c r="K1269" s="35"/>
      <c r="L1269" s="32"/>
      <c r="M1269" s="32"/>
    </row>
    <row r="1270" customFormat="false" ht="15" hidden="false" customHeight="true" outlineLevel="0" collapsed="false">
      <c r="A1270" s="32"/>
      <c r="B1270" s="32"/>
      <c r="C1270" s="32"/>
      <c r="D1270" s="32"/>
      <c r="E1270" s="34" t="str">
        <f aca="false">IF($B1270="","",IF($B1270="OUT","Liters",IFERROR(INDEX(Setup!$F$3:$F$24,MATCH($C1270,Setup!$A$3:$A$24,0)),"")))</f>
        <v/>
      </c>
      <c r="F1270" s="28" t="str">
        <f aca="false">IF(OR($D1270="",$E1270=""),"",IFERROR($D1270*INDEX(Setup!$B$27:$B$44,MATCH($E1270,Setup!$A$27:$A$44,0)),"TBD"))</f>
        <v/>
      </c>
      <c r="G1270" s="32"/>
      <c r="H1270" s="32"/>
      <c r="I1270" s="32"/>
      <c r="J1270" s="32"/>
      <c r="K1270" s="35"/>
      <c r="L1270" s="32"/>
      <c r="M1270" s="32"/>
    </row>
    <row r="1271" customFormat="false" ht="15" hidden="false" customHeight="true" outlineLevel="0" collapsed="false">
      <c r="A1271" s="32"/>
      <c r="B1271" s="32"/>
      <c r="C1271" s="32"/>
      <c r="D1271" s="32"/>
      <c r="E1271" s="34" t="str">
        <f aca="false">IF($B1271="","",IF($B1271="OUT","Liters",IFERROR(INDEX(Setup!$F$3:$F$24,MATCH($C1271,Setup!$A$3:$A$24,0)),"")))</f>
        <v/>
      </c>
      <c r="F1271" s="28" t="str">
        <f aca="false">IF(OR($D1271="",$E1271=""),"",IFERROR($D1271*INDEX(Setup!$B$27:$B$44,MATCH($E1271,Setup!$A$27:$A$44,0)),"TBD"))</f>
        <v/>
      </c>
      <c r="G1271" s="32"/>
      <c r="H1271" s="32"/>
      <c r="I1271" s="32"/>
      <c r="J1271" s="32"/>
      <c r="K1271" s="35"/>
      <c r="L1271" s="32"/>
      <c r="M1271" s="32"/>
    </row>
    <row r="1272" customFormat="false" ht="15" hidden="false" customHeight="true" outlineLevel="0" collapsed="false">
      <c r="A1272" s="32"/>
      <c r="B1272" s="32"/>
      <c r="C1272" s="32"/>
      <c r="D1272" s="32"/>
      <c r="E1272" s="34" t="str">
        <f aca="false">IF($B1272="","",IF($B1272="OUT","Liters",IFERROR(INDEX(Setup!$F$3:$F$24,MATCH($C1272,Setup!$A$3:$A$24,0)),"")))</f>
        <v/>
      </c>
      <c r="F1272" s="28" t="str">
        <f aca="false">IF(OR($D1272="",$E1272=""),"",IFERROR($D1272*INDEX(Setup!$B$27:$B$44,MATCH($E1272,Setup!$A$27:$A$44,0)),"TBD"))</f>
        <v/>
      </c>
      <c r="G1272" s="32"/>
      <c r="H1272" s="32"/>
      <c r="I1272" s="32"/>
      <c r="J1272" s="32"/>
      <c r="K1272" s="35"/>
      <c r="L1272" s="32"/>
      <c r="M1272" s="32"/>
    </row>
    <row r="1273" customFormat="false" ht="15" hidden="false" customHeight="true" outlineLevel="0" collapsed="false">
      <c r="A1273" s="32"/>
      <c r="B1273" s="32"/>
      <c r="C1273" s="32"/>
      <c r="D1273" s="32"/>
      <c r="E1273" s="34" t="str">
        <f aca="false">IF($B1273="","",IF($B1273="OUT","Liters",IFERROR(INDEX(Setup!$F$3:$F$24,MATCH($C1273,Setup!$A$3:$A$24,0)),"")))</f>
        <v/>
      </c>
      <c r="F1273" s="28" t="str">
        <f aca="false">IF(OR($D1273="",$E1273=""),"",IFERROR($D1273*INDEX(Setup!$B$27:$B$44,MATCH($E1273,Setup!$A$27:$A$44,0)),"TBD"))</f>
        <v/>
      </c>
      <c r="G1273" s="32"/>
      <c r="H1273" s="32"/>
      <c r="I1273" s="32"/>
      <c r="J1273" s="32"/>
      <c r="K1273" s="35"/>
      <c r="L1273" s="32"/>
      <c r="M1273" s="32"/>
    </row>
    <row r="1274" customFormat="false" ht="15" hidden="false" customHeight="true" outlineLevel="0" collapsed="false">
      <c r="A1274" s="32"/>
      <c r="B1274" s="32"/>
      <c r="C1274" s="32"/>
      <c r="D1274" s="32"/>
      <c r="E1274" s="34" t="str">
        <f aca="false">IF($B1274="","",IF($B1274="OUT","Liters",IFERROR(INDEX(Setup!$F$3:$F$24,MATCH($C1274,Setup!$A$3:$A$24,0)),"")))</f>
        <v/>
      </c>
      <c r="F1274" s="28" t="str">
        <f aca="false">IF(OR($D1274="",$E1274=""),"",IFERROR($D1274*INDEX(Setup!$B$27:$B$44,MATCH($E1274,Setup!$A$27:$A$44,0)),"TBD"))</f>
        <v/>
      </c>
      <c r="G1274" s="32"/>
      <c r="H1274" s="32"/>
      <c r="I1274" s="32"/>
      <c r="J1274" s="32"/>
      <c r="K1274" s="35"/>
      <c r="L1274" s="32"/>
      <c r="M1274" s="32"/>
    </row>
    <row r="1275" customFormat="false" ht="15" hidden="false" customHeight="true" outlineLevel="0" collapsed="false">
      <c r="A1275" s="32"/>
      <c r="B1275" s="32"/>
      <c r="C1275" s="32"/>
      <c r="D1275" s="32"/>
      <c r="E1275" s="34" t="str">
        <f aca="false">IF($B1275="","",IF($B1275="OUT","Liters",IFERROR(INDEX(Setup!$F$3:$F$24,MATCH($C1275,Setup!$A$3:$A$24,0)),"")))</f>
        <v/>
      </c>
      <c r="F1275" s="28" t="str">
        <f aca="false">IF(OR($D1275="",$E1275=""),"",IFERROR($D1275*INDEX(Setup!$B$27:$B$44,MATCH($E1275,Setup!$A$27:$A$44,0)),"TBD"))</f>
        <v/>
      </c>
      <c r="G1275" s="32"/>
      <c r="H1275" s="32"/>
      <c r="I1275" s="32"/>
      <c r="J1275" s="32"/>
      <c r="K1275" s="35"/>
      <c r="L1275" s="32"/>
      <c r="M1275" s="32"/>
    </row>
    <row r="1276" customFormat="false" ht="15" hidden="false" customHeight="true" outlineLevel="0" collapsed="false">
      <c r="A1276" s="32"/>
      <c r="B1276" s="32"/>
      <c r="C1276" s="32"/>
      <c r="D1276" s="32"/>
      <c r="E1276" s="34" t="str">
        <f aca="false">IF($B1276="","",IF($B1276="OUT","Liters",IFERROR(INDEX(Setup!$F$3:$F$24,MATCH($C1276,Setup!$A$3:$A$24,0)),"")))</f>
        <v/>
      </c>
      <c r="F1276" s="28" t="str">
        <f aca="false">IF(OR($D1276="",$E1276=""),"",IFERROR($D1276*INDEX(Setup!$B$27:$B$44,MATCH($E1276,Setup!$A$27:$A$44,0)),"TBD"))</f>
        <v/>
      </c>
      <c r="G1276" s="32"/>
      <c r="H1276" s="32"/>
      <c r="I1276" s="32"/>
      <c r="J1276" s="32"/>
      <c r="K1276" s="35"/>
      <c r="L1276" s="32"/>
      <c r="M1276" s="32"/>
    </row>
    <row r="1277" customFormat="false" ht="15" hidden="false" customHeight="true" outlineLevel="0" collapsed="false">
      <c r="A1277" s="32"/>
      <c r="B1277" s="32"/>
      <c r="C1277" s="32"/>
      <c r="D1277" s="32"/>
      <c r="E1277" s="34" t="str">
        <f aca="false">IF($B1277="","",IF($B1277="OUT","Liters",IFERROR(INDEX(Setup!$F$3:$F$24,MATCH($C1277,Setup!$A$3:$A$24,0)),"")))</f>
        <v/>
      </c>
      <c r="F1277" s="28" t="str">
        <f aca="false">IF(OR($D1277="",$E1277=""),"",IFERROR($D1277*INDEX(Setup!$B$27:$B$44,MATCH($E1277,Setup!$A$27:$A$44,0)),"TBD"))</f>
        <v/>
      </c>
      <c r="G1277" s="32"/>
      <c r="H1277" s="32"/>
      <c r="I1277" s="32"/>
      <c r="J1277" s="32"/>
      <c r="K1277" s="35"/>
      <c r="L1277" s="32"/>
      <c r="M1277" s="32"/>
    </row>
    <row r="1278" customFormat="false" ht="15" hidden="false" customHeight="true" outlineLevel="0" collapsed="false">
      <c r="A1278" s="32"/>
      <c r="B1278" s="32"/>
      <c r="C1278" s="32"/>
      <c r="D1278" s="32"/>
      <c r="E1278" s="34" t="str">
        <f aca="false">IF($B1278="","",IF($B1278="OUT","Liters",IFERROR(INDEX(Setup!$F$3:$F$24,MATCH($C1278,Setup!$A$3:$A$24,0)),"")))</f>
        <v/>
      </c>
      <c r="F1278" s="28" t="str">
        <f aca="false">IF(OR($D1278="",$E1278=""),"",IFERROR($D1278*INDEX(Setup!$B$27:$B$44,MATCH($E1278,Setup!$A$27:$A$44,0)),"TBD"))</f>
        <v/>
      </c>
      <c r="G1278" s="32"/>
      <c r="H1278" s="32"/>
      <c r="I1278" s="32"/>
      <c r="J1278" s="32"/>
      <c r="K1278" s="35"/>
      <c r="L1278" s="32"/>
      <c r="M1278" s="32"/>
    </row>
    <row r="1279" customFormat="false" ht="15" hidden="false" customHeight="true" outlineLevel="0" collapsed="false">
      <c r="A1279" s="32"/>
      <c r="B1279" s="32"/>
      <c r="C1279" s="32"/>
      <c r="D1279" s="32"/>
      <c r="E1279" s="34" t="str">
        <f aca="false">IF($B1279="","",IF($B1279="OUT","Liters",IFERROR(INDEX(Setup!$F$3:$F$24,MATCH($C1279,Setup!$A$3:$A$24,0)),"")))</f>
        <v/>
      </c>
      <c r="F1279" s="28" t="str">
        <f aca="false">IF(OR($D1279="",$E1279=""),"",IFERROR($D1279*INDEX(Setup!$B$27:$B$44,MATCH($E1279,Setup!$A$27:$A$44,0)),"TBD"))</f>
        <v/>
      </c>
      <c r="G1279" s="32"/>
      <c r="H1279" s="32"/>
      <c r="I1279" s="32"/>
      <c r="J1279" s="32"/>
      <c r="K1279" s="35"/>
      <c r="L1279" s="32"/>
      <c r="M1279" s="32"/>
    </row>
    <row r="1280" customFormat="false" ht="15" hidden="false" customHeight="true" outlineLevel="0" collapsed="false">
      <c r="A1280" s="32"/>
      <c r="B1280" s="32"/>
      <c r="C1280" s="32"/>
      <c r="D1280" s="32"/>
      <c r="E1280" s="34" t="str">
        <f aca="false">IF($B1280="","",IF($B1280="OUT","Liters",IFERROR(INDEX(Setup!$F$3:$F$24,MATCH($C1280,Setup!$A$3:$A$24,0)),"")))</f>
        <v/>
      </c>
      <c r="F1280" s="28" t="str">
        <f aca="false">IF(OR($D1280="",$E1280=""),"",IFERROR($D1280*INDEX(Setup!$B$27:$B$44,MATCH($E1280,Setup!$A$27:$A$44,0)),"TBD"))</f>
        <v/>
      </c>
      <c r="G1280" s="32"/>
      <c r="H1280" s="32"/>
      <c r="I1280" s="32"/>
      <c r="J1280" s="32"/>
      <c r="K1280" s="35"/>
      <c r="L1280" s="32"/>
      <c r="M1280" s="32"/>
    </row>
    <row r="1281" customFormat="false" ht="15" hidden="false" customHeight="true" outlineLevel="0" collapsed="false">
      <c r="A1281" s="32"/>
      <c r="B1281" s="32"/>
      <c r="C1281" s="32"/>
      <c r="D1281" s="32"/>
      <c r="E1281" s="34" t="str">
        <f aca="false">IF($B1281="","",IF($B1281="OUT","Liters",IFERROR(INDEX(Setup!$F$3:$F$24,MATCH($C1281,Setup!$A$3:$A$24,0)),"")))</f>
        <v/>
      </c>
      <c r="F1281" s="28" t="str">
        <f aca="false">IF(OR($D1281="",$E1281=""),"",IFERROR($D1281*INDEX(Setup!$B$27:$B$44,MATCH($E1281,Setup!$A$27:$A$44,0)),"TBD"))</f>
        <v/>
      </c>
      <c r="G1281" s="32"/>
      <c r="H1281" s="32"/>
      <c r="I1281" s="32"/>
      <c r="J1281" s="32"/>
      <c r="K1281" s="35"/>
      <c r="L1281" s="32"/>
      <c r="M1281" s="32"/>
    </row>
    <row r="1282" customFormat="false" ht="15" hidden="false" customHeight="true" outlineLevel="0" collapsed="false">
      <c r="A1282" s="32"/>
      <c r="B1282" s="32"/>
      <c r="C1282" s="32"/>
      <c r="D1282" s="32"/>
      <c r="E1282" s="34" t="str">
        <f aca="false">IF($B1282="","",IF($B1282="OUT","Liters",IFERROR(INDEX(Setup!$F$3:$F$24,MATCH($C1282,Setup!$A$3:$A$24,0)),"")))</f>
        <v/>
      </c>
      <c r="F1282" s="28" t="str">
        <f aca="false">IF(OR($D1282="",$E1282=""),"",IFERROR($D1282*INDEX(Setup!$B$27:$B$44,MATCH($E1282,Setup!$A$27:$A$44,0)),"TBD"))</f>
        <v/>
      </c>
      <c r="G1282" s="32"/>
      <c r="H1282" s="32"/>
      <c r="I1282" s="32"/>
      <c r="J1282" s="32"/>
      <c r="K1282" s="35"/>
      <c r="L1282" s="32"/>
      <c r="M1282" s="32"/>
    </row>
    <row r="1283" customFormat="false" ht="15" hidden="false" customHeight="true" outlineLevel="0" collapsed="false">
      <c r="A1283" s="32"/>
      <c r="B1283" s="32"/>
      <c r="C1283" s="32"/>
      <c r="D1283" s="32"/>
      <c r="E1283" s="34" t="str">
        <f aca="false">IF($B1283="","",IF($B1283="OUT","Liters",IFERROR(INDEX(Setup!$F$3:$F$24,MATCH($C1283,Setup!$A$3:$A$24,0)),"")))</f>
        <v/>
      </c>
      <c r="F1283" s="28" t="str">
        <f aca="false">IF(OR($D1283="",$E1283=""),"",IFERROR($D1283*INDEX(Setup!$B$27:$B$44,MATCH($E1283,Setup!$A$27:$A$44,0)),"TBD"))</f>
        <v/>
      </c>
      <c r="G1283" s="32"/>
      <c r="H1283" s="32"/>
      <c r="I1283" s="32"/>
      <c r="J1283" s="32"/>
      <c r="K1283" s="35"/>
      <c r="L1283" s="32"/>
      <c r="M1283" s="32"/>
    </row>
    <row r="1284" customFormat="false" ht="15" hidden="false" customHeight="true" outlineLevel="0" collapsed="false">
      <c r="A1284" s="32"/>
      <c r="B1284" s="32"/>
      <c r="C1284" s="32"/>
      <c r="D1284" s="32"/>
      <c r="E1284" s="34" t="str">
        <f aca="false">IF($B1284="","",IF($B1284="OUT","Liters",IFERROR(INDEX(Setup!$F$3:$F$24,MATCH($C1284,Setup!$A$3:$A$24,0)),"")))</f>
        <v/>
      </c>
      <c r="F1284" s="28" t="str">
        <f aca="false">IF(OR($D1284="",$E1284=""),"",IFERROR($D1284*INDEX(Setup!$B$27:$B$44,MATCH($E1284,Setup!$A$27:$A$44,0)),"TBD"))</f>
        <v/>
      </c>
      <c r="G1284" s="32"/>
      <c r="H1284" s="32"/>
      <c r="I1284" s="32"/>
      <c r="J1284" s="32"/>
      <c r="K1284" s="35"/>
      <c r="L1284" s="32"/>
      <c r="M1284" s="32"/>
    </row>
    <row r="1285" customFormat="false" ht="15" hidden="false" customHeight="true" outlineLevel="0" collapsed="false">
      <c r="A1285" s="32"/>
      <c r="B1285" s="32"/>
      <c r="C1285" s="32"/>
      <c r="D1285" s="32"/>
      <c r="E1285" s="34" t="str">
        <f aca="false">IF($B1285="","",IF($B1285="OUT","Liters",IFERROR(INDEX(Setup!$F$3:$F$24,MATCH($C1285,Setup!$A$3:$A$24,0)),"")))</f>
        <v/>
      </c>
      <c r="F1285" s="28" t="str">
        <f aca="false">IF(OR($D1285="",$E1285=""),"",IFERROR($D1285*INDEX(Setup!$B$27:$B$44,MATCH($E1285,Setup!$A$27:$A$44,0)),"TBD"))</f>
        <v/>
      </c>
      <c r="G1285" s="32"/>
      <c r="H1285" s="32"/>
      <c r="I1285" s="32"/>
      <c r="J1285" s="32"/>
      <c r="K1285" s="35"/>
      <c r="L1285" s="32"/>
      <c r="M1285" s="32"/>
    </row>
    <row r="1286" customFormat="false" ht="15" hidden="false" customHeight="true" outlineLevel="0" collapsed="false">
      <c r="A1286" s="32"/>
      <c r="B1286" s="32"/>
      <c r="C1286" s="32"/>
      <c r="D1286" s="32"/>
      <c r="E1286" s="34" t="str">
        <f aca="false">IF($B1286="","",IF($B1286="OUT","Liters",IFERROR(INDEX(Setup!$F$3:$F$24,MATCH($C1286,Setup!$A$3:$A$24,0)),"")))</f>
        <v/>
      </c>
      <c r="F1286" s="28" t="str">
        <f aca="false">IF(OR($D1286="",$E1286=""),"",IFERROR($D1286*INDEX(Setup!$B$27:$B$44,MATCH($E1286,Setup!$A$27:$A$44,0)),"TBD"))</f>
        <v/>
      </c>
      <c r="G1286" s="32"/>
      <c r="H1286" s="32"/>
      <c r="I1286" s="32"/>
      <c r="J1286" s="32"/>
      <c r="K1286" s="35"/>
      <c r="L1286" s="32"/>
      <c r="M1286" s="32"/>
    </row>
    <row r="1287" customFormat="false" ht="15" hidden="false" customHeight="true" outlineLevel="0" collapsed="false">
      <c r="A1287" s="32"/>
      <c r="B1287" s="32"/>
      <c r="C1287" s="32"/>
      <c r="D1287" s="32"/>
      <c r="E1287" s="34" t="str">
        <f aca="false">IF($B1287="","",IF($B1287="OUT","Liters",IFERROR(INDEX(Setup!$F$3:$F$24,MATCH($C1287,Setup!$A$3:$A$24,0)),"")))</f>
        <v/>
      </c>
      <c r="F1287" s="28" t="str">
        <f aca="false">IF(OR($D1287="",$E1287=""),"",IFERROR($D1287*INDEX(Setup!$B$27:$B$44,MATCH($E1287,Setup!$A$27:$A$44,0)),"TBD"))</f>
        <v/>
      </c>
      <c r="G1287" s="32"/>
      <c r="H1287" s="32"/>
      <c r="I1287" s="32"/>
      <c r="J1287" s="32"/>
      <c r="K1287" s="35"/>
      <c r="L1287" s="32"/>
      <c r="M1287" s="32"/>
    </row>
    <row r="1288" customFormat="false" ht="15" hidden="false" customHeight="true" outlineLevel="0" collapsed="false">
      <c r="A1288" s="32"/>
      <c r="B1288" s="32"/>
      <c r="C1288" s="32"/>
      <c r="D1288" s="32"/>
      <c r="E1288" s="34" t="str">
        <f aca="false">IF($B1288="","",IF($B1288="OUT","Liters",IFERROR(INDEX(Setup!$F$3:$F$24,MATCH($C1288,Setup!$A$3:$A$24,0)),"")))</f>
        <v/>
      </c>
      <c r="F1288" s="28" t="str">
        <f aca="false">IF(OR($D1288="",$E1288=""),"",IFERROR($D1288*INDEX(Setup!$B$27:$B$44,MATCH($E1288,Setup!$A$27:$A$44,0)),"TBD"))</f>
        <v/>
      </c>
      <c r="G1288" s="32"/>
      <c r="H1288" s="32"/>
      <c r="I1288" s="32"/>
      <c r="J1288" s="32"/>
      <c r="K1288" s="35"/>
      <c r="L1288" s="32"/>
      <c r="M1288" s="32"/>
    </row>
    <row r="1289" customFormat="false" ht="15" hidden="false" customHeight="true" outlineLevel="0" collapsed="false">
      <c r="A1289" s="32"/>
      <c r="B1289" s="32"/>
      <c r="C1289" s="32"/>
      <c r="D1289" s="32"/>
      <c r="E1289" s="34" t="str">
        <f aca="false">IF($B1289="","",IF($B1289="OUT","Liters",IFERROR(INDEX(Setup!$F$3:$F$24,MATCH($C1289,Setup!$A$3:$A$24,0)),"")))</f>
        <v/>
      </c>
      <c r="F1289" s="28" t="str">
        <f aca="false">IF(OR($D1289="",$E1289=""),"",IFERROR($D1289*INDEX(Setup!$B$27:$B$44,MATCH($E1289,Setup!$A$27:$A$44,0)),"TBD"))</f>
        <v/>
      </c>
      <c r="G1289" s="32"/>
      <c r="H1289" s="32"/>
      <c r="I1289" s="32"/>
      <c r="J1289" s="32"/>
      <c r="K1289" s="35"/>
      <c r="L1289" s="32"/>
      <c r="M1289" s="32"/>
    </row>
    <row r="1290" customFormat="false" ht="15" hidden="false" customHeight="true" outlineLevel="0" collapsed="false">
      <c r="A1290" s="32"/>
      <c r="B1290" s="32"/>
      <c r="C1290" s="32"/>
      <c r="D1290" s="32"/>
      <c r="E1290" s="34" t="str">
        <f aca="false">IF($B1290="","",IF($B1290="OUT","Liters",IFERROR(INDEX(Setup!$F$3:$F$24,MATCH($C1290,Setup!$A$3:$A$24,0)),"")))</f>
        <v/>
      </c>
      <c r="F1290" s="28" t="str">
        <f aca="false">IF(OR($D1290="",$E1290=""),"",IFERROR($D1290*INDEX(Setup!$B$27:$B$44,MATCH($E1290,Setup!$A$27:$A$44,0)),"TBD"))</f>
        <v/>
      </c>
      <c r="G1290" s="32"/>
      <c r="H1290" s="32"/>
      <c r="I1290" s="32"/>
      <c r="J1290" s="32"/>
      <c r="K1290" s="35"/>
      <c r="L1290" s="32"/>
      <c r="M1290" s="32"/>
    </row>
    <row r="1291" customFormat="false" ht="15" hidden="false" customHeight="true" outlineLevel="0" collapsed="false">
      <c r="A1291" s="32"/>
      <c r="B1291" s="32"/>
      <c r="C1291" s="32"/>
      <c r="D1291" s="32"/>
      <c r="E1291" s="34" t="str">
        <f aca="false">IF($B1291="","",IF($B1291="OUT","Liters",IFERROR(INDEX(Setup!$F$3:$F$24,MATCH($C1291,Setup!$A$3:$A$24,0)),"")))</f>
        <v/>
      </c>
      <c r="F1291" s="28" t="str">
        <f aca="false">IF(OR($D1291="",$E1291=""),"",IFERROR($D1291*INDEX(Setup!$B$27:$B$44,MATCH($E1291,Setup!$A$27:$A$44,0)),"TBD"))</f>
        <v/>
      </c>
      <c r="G1291" s="32"/>
      <c r="H1291" s="32"/>
      <c r="I1291" s="32"/>
      <c r="J1291" s="32"/>
      <c r="K1291" s="35"/>
      <c r="L1291" s="32"/>
      <c r="M1291" s="32"/>
    </row>
    <row r="1292" customFormat="false" ht="15" hidden="false" customHeight="true" outlineLevel="0" collapsed="false">
      <c r="A1292" s="32"/>
      <c r="B1292" s="32"/>
      <c r="C1292" s="32"/>
      <c r="D1292" s="32"/>
      <c r="E1292" s="34" t="str">
        <f aca="false">IF($B1292="","",IF($B1292="OUT","Liters",IFERROR(INDEX(Setup!$F$3:$F$24,MATCH($C1292,Setup!$A$3:$A$24,0)),"")))</f>
        <v/>
      </c>
      <c r="F1292" s="28" t="str">
        <f aca="false">IF(OR($D1292="",$E1292=""),"",IFERROR($D1292*INDEX(Setup!$B$27:$B$44,MATCH($E1292,Setup!$A$27:$A$44,0)),"TBD"))</f>
        <v/>
      </c>
      <c r="G1292" s="32"/>
      <c r="H1292" s="32"/>
      <c r="I1292" s="32"/>
      <c r="J1292" s="32"/>
      <c r="K1292" s="35"/>
      <c r="L1292" s="32"/>
      <c r="M1292" s="32"/>
    </row>
    <row r="1293" customFormat="false" ht="15" hidden="false" customHeight="true" outlineLevel="0" collapsed="false">
      <c r="A1293" s="32"/>
      <c r="B1293" s="32"/>
      <c r="C1293" s="32"/>
      <c r="D1293" s="32"/>
      <c r="E1293" s="34" t="str">
        <f aca="false">IF($B1293="","",IF($B1293="OUT","Liters",IFERROR(INDEX(Setup!$F$3:$F$24,MATCH($C1293,Setup!$A$3:$A$24,0)),"")))</f>
        <v/>
      </c>
      <c r="F1293" s="28" t="str">
        <f aca="false">IF(OR($D1293="",$E1293=""),"",IFERROR($D1293*INDEX(Setup!$B$27:$B$44,MATCH($E1293,Setup!$A$27:$A$44,0)),"TBD"))</f>
        <v/>
      </c>
      <c r="G1293" s="32"/>
      <c r="H1293" s="32"/>
      <c r="I1293" s="32"/>
      <c r="J1293" s="32"/>
      <c r="K1293" s="35"/>
      <c r="L1293" s="32"/>
      <c r="M1293" s="32"/>
    </row>
    <row r="1294" customFormat="false" ht="15" hidden="false" customHeight="true" outlineLevel="0" collapsed="false">
      <c r="A1294" s="32"/>
      <c r="B1294" s="32"/>
      <c r="C1294" s="32"/>
      <c r="D1294" s="32"/>
      <c r="E1294" s="34" t="str">
        <f aca="false">IF($B1294="","",IF($B1294="OUT","Liters",IFERROR(INDEX(Setup!$F$3:$F$24,MATCH($C1294,Setup!$A$3:$A$24,0)),"")))</f>
        <v/>
      </c>
      <c r="F1294" s="28" t="str">
        <f aca="false">IF(OR($D1294="",$E1294=""),"",IFERROR($D1294*INDEX(Setup!$B$27:$B$44,MATCH($E1294,Setup!$A$27:$A$44,0)),"TBD"))</f>
        <v/>
      </c>
      <c r="G1294" s="32"/>
      <c r="H1294" s="32"/>
      <c r="I1294" s="32"/>
      <c r="J1294" s="32"/>
      <c r="K1294" s="35"/>
      <c r="L1294" s="32"/>
      <c r="M1294" s="32"/>
    </row>
    <row r="1295" customFormat="false" ht="15" hidden="false" customHeight="true" outlineLevel="0" collapsed="false">
      <c r="A1295" s="32"/>
      <c r="B1295" s="32"/>
      <c r="C1295" s="32"/>
      <c r="D1295" s="32"/>
      <c r="E1295" s="34" t="str">
        <f aca="false">IF($B1295="","",IF($B1295="OUT","Liters",IFERROR(INDEX(Setup!$F$3:$F$24,MATCH($C1295,Setup!$A$3:$A$24,0)),"")))</f>
        <v/>
      </c>
      <c r="F1295" s="28" t="str">
        <f aca="false">IF(OR($D1295="",$E1295=""),"",IFERROR($D1295*INDEX(Setup!$B$27:$B$44,MATCH($E1295,Setup!$A$27:$A$44,0)),"TBD"))</f>
        <v/>
      </c>
      <c r="G1295" s="32"/>
      <c r="H1295" s="32"/>
      <c r="I1295" s="32"/>
      <c r="J1295" s="32"/>
      <c r="K1295" s="35"/>
      <c r="L1295" s="32"/>
      <c r="M1295" s="32"/>
    </row>
    <row r="1296" customFormat="false" ht="15" hidden="false" customHeight="true" outlineLevel="0" collapsed="false">
      <c r="A1296" s="32"/>
      <c r="B1296" s="32"/>
      <c r="C1296" s="32"/>
      <c r="D1296" s="32"/>
      <c r="E1296" s="34" t="str">
        <f aca="false">IF($B1296="","",IF($B1296="OUT","Liters",IFERROR(INDEX(Setup!$F$3:$F$24,MATCH($C1296,Setup!$A$3:$A$24,0)),"")))</f>
        <v/>
      </c>
      <c r="F1296" s="28" t="str">
        <f aca="false">IF(OR($D1296="",$E1296=""),"",IFERROR($D1296*INDEX(Setup!$B$27:$B$44,MATCH($E1296,Setup!$A$27:$A$44,0)),"TBD"))</f>
        <v/>
      </c>
      <c r="G1296" s="32"/>
      <c r="H1296" s="32"/>
      <c r="I1296" s="32"/>
      <c r="J1296" s="32"/>
      <c r="K1296" s="35"/>
      <c r="L1296" s="32"/>
      <c r="M1296" s="32"/>
    </row>
    <row r="1297" customFormat="false" ht="15" hidden="false" customHeight="true" outlineLevel="0" collapsed="false">
      <c r="A1297" s="32"/>
      <c r="B1297" s="32"/>
      <c r="C1297" s="32"/>
      <c r="D1297" s="32"/>
      <c r="E1297" s="34" t="str">
        <f aca="false">IF($B1297="","",IF($B1297="OUT","Liters",IFERROR(INDEX(Setup!$F$3:$F$24,MATCH($C1297,Setup!$A$3:$A$24,0)),"")))</f>
        <v/>
      </c>
      <c r="F1297" s="28" t="str">
        <f aca="false">IF(OR($D1297="",$E1297=""),"",IFERROR($D1297*INDEX(Setup!$B$27:$B$44,MATCH($E1297,Setup!$A$27:$A$44,0)),"TBD"))</f>
        <v/>
      </c>
      <c r="G1297" s="32"/>
      <c r="H1297" s="32"/>
      <c r="I1297" s="32"/>
      <c r="J1297" s="32"/>
      <c r="K1297" s="35"/>
      <c r="L1297" s="32"/>
      <c r="M1297" s="32"/>
    </row>
    <row r="1298" customFormat="false" ht="15" hidden="false" customHeight="true" outlineLevel="0" collapsed="false">
      <c r="A1298" s="32"/>
      <c r="B1298" s="32"/>
      <c r="C1298" s="32"/>
      <c r="D1298" s="32"/>
      <c r="E1298" s="34" t="str">
        <f aca="false">IF($B1298="","",IF($B1298="OUT","Liters",IFERROR(INDEX(Setup!$F$3:$F$24,MATCH($C1298,Setup!$A$3:$A$24,0)),"")))</f>
        <v/>
      </c>
      <c r="F1298" s="28" t="str">
        <f aca="false">IF(OR($D1298="",$E1298=""),"",IFERROR($D1298*INDEX(Setup!$B$27:$B$44,MATCH($E1298,Setup!$A$27:$A$44,0)),"TBD"))</f>
        <v/>
      </c>
      <c r="G1298" s="32"/>
      <c r="H1298" s="32"/>
      <c r="I1298" s="32"/>
      <c r="J1298" s="32"/>
      <c r="K1298" s="35"/>
      <c r="L1298" s="32"/>
      <c r="M1298" s="32"/>
    </row>
    <row r="1299" customFormat="false" ht="15" hidden="false" customHeight="true" outlineLevel="0" collapsed="false">
      <c r="A1299" s="32"/>
      <c r="B1299" s="32"/>
      <c r="C1299" s="32"/>
      <c r="D1299" s="32"/>
      <c r="E1299" s="34" t="str">
        <f aca="false">IF($B1299="","",IF($B1299="OUT","Liters",IFERROR(INDEX(Setup!$F$3:$F$24,MATCH($C1299,Setup!$A$3:$A$24,0)),"")))</f>
        <v/>
      </c>
      <c r="F1299" s="28" t="str">
        <f aca="false">IF(OR($D1299="",$E1299=""),"",IFERROR($D1299*INDEX(Setup!$B$27:$B$44,MATCH($E1299,Setup!$A$27:$A$44,0)),"TBD"))</f>
        <v/>
      </c>
      <c r="G1299" s="32"/>
      <c r="H1299" s="32"/>
      <c r="I1299" s="32"/>
      <c r="J1299" s="32"/>
      <c r="K1299" s="35"/>
      <c r="L1299" s="32"/>
      <c r="M1299" s="32"/>
    </row>
    <row r="1300" customFormat="false" ht="15" hidden="false" customHeight="true" outlineLevel="0" collapsed="false">
      <c r="A1300" s="32"/>
      <c r="B1300" s="32"/>
      <c r="C1300" s="32"/>
      <c r="D1300" s="32"/>
      <c r="E1300" s="34" t="str">
        <f aca="false">IF($B1300="","",IF($B1300="OUT","Liters",IFERROR(INDEX(Setup!$F$3:$F$24,MATCH($C1300,Setup!$A$3:$A$24,0)),"")))</f>
        <v/>
      </c>
      <c r="F1300" s="28" t="str">
        <f aca="false">IF(OR($D1300="",$E1300=""),"",IFERROR($D1300*INDEX(Setup!$B$27:$B$44,MATCH($E1300,Setup!$A$27:$A$44,0)),"TBD"))</f>
        <v/>
      </c>
      <c r="G1300" s="32"/>
      <c r="H1300" s="32"/>
      <c r="I1300" s="32"/>
      <c r="J1300" s="32"/>
      <c r="K1300" s="35"/>
      <c r="L1300" s="32"/>
      <c r="M1300" s="32"/>
    </row>
    <row r="1301" customFormat="false" ht="15" hidden="false" customHeight="true" outlineLevel="0" collapsed="false">
      <c r="A1301" s="32"/>
      <c r="B1301" s="32"/>
      <c r="C1301" s="32"/>
      <c r="D1301" s="32"/>
      <c r="E1301" s="34" t="str">
        <f aca="false">IF($B1301="","",IF($B1301="OUT","Liters",IFERROR(INDEX(Setup!$F$3:$F$24,MATCH($C1301,Setup!$A$3:$A$24,0)),"")))</f>
        <v/>
      </c>
      <c r="F1301" s="28" t="str">
        <f aca="false">IF(OR($D1301="",$E1301=""),"",IFERROR($D1301*INDEX(Setup!$B$27:$B$44,MATCH($E1301,Setup!$A$27:$A$44,0)),"TBD"))</f>
        <v/>
      </c>
      <c r="G1301" s="32"/>
      <c r="H1301" s="32"/>
      <c r="I1301" s="32"/>
      <c r="J1301" s="32"/>
      <c r="K1301" s="35"/>
      <c r="L1301" s="32"/>
      <c r="M1301" s="32"/>
    </row>
    <row r="1302" customFormat="false" ht="15" hidden="false" customHeight="true" outlineLevel="0" collapsed="false">
      <c r="A1302" s="32"/>
      <c r="B1302" s="32"/>
      <c r="C1302" s="32"/>
      <c r="D1302" s="32"/>
      <c r="E1302" s="34" t="str">
        <f aca="false">IF($B1302="","",IF($B1302="OUT","Liters",IFERROR(INDEX(Setup!$F$3:$F$24,MATCH($C1302,Setup!$A$3:$A$24,0)),"")))</f>
        <v/>
      </c>
      <c r="F1302" s="28" t="str">
        <f aca="false">IF(OR($D1302="",$E1302=""),"",IFERROR($D1302*INDEX(Setup!$B$27:$B$44,MATCH($E1302,Setup!$A$27:$A$44,0)),"TBD"))</f>
        <v/>
      </c>
      <c r="G1302" s="32"/>
      <c r="H1302" s="32"/>
      <c r="I1302" s="32"/>
      <c r="J1302" s="32"/>
      <c r="K1302" s="35"/>
      <c r="L1302" s="32"/>
      <c r="M1302" s="32"/>
    </row>
    <row r="1303" customFormat="false" ht="15" hidden="false" customHeight="true" outlineLevel="0" collapsed="false">
      <c r="A1303" s="32"/>
      <c r="B1303" s="32"/>
      <c r="C1303" s="32"/>
      <c r="D1303" s="32"/>
      <c r="E1303" s="34" t="str">
        <f aca="false">IF($B1303="","",IF($B1303="OUT","Liters",IFERROR(INDEX(Setup!$F$3:$F$24,MATCH($C1303,Setup!$A$3:$A$24,0)),"")))</f>
        <v/>
      </c>
      <c r="F1303" s="28" t="str">
        <f aca="false">IF(OR($D1303="",$E1303=""),"",IFERROR($D1303*INDEX(Setup!$B$27:$B$44,MATCH($E1303,Setup!$A$27:$A$44,0)),"TBD"))</f>
        <v/>
      </c>
      <c r="G1303" s="32"/>
      <c r="H1303" s="32"/>
      <c r="I1303" s="32"/>
      <c r="J1303" s="32"/>
      <c r="K1303" s="35"/>
      <c r="L1303" s="32"/>
      <c r="M1303" s="32"/>
    </row>
    <row r="1304" customFormat="false" ht="15" hidden="false" customHeight="true" outlineLevel="0" collapsed="false">
      <c r="A1304" s="32"/>
      <c r="B1304" s="32"/>
      <c r="C1304" s="32"/>
      <c r="D1304" s="32"/>
      <c r="E1304" s="34" t="str">
        <f aca="false">IF($B1304="","",IF($B1304="OUT","Liters",IFERROR(INDEX(Setup!$F$3:$F$24,MATCH($C1304,Setup!$A$3:$A$24,0)),"")))</f>
        <v/>
      </c>
      <c r="F1304" s="28" t="str">
        <f aca="false">IF(OR($D1304="",$E1304=""),"",IFERROR($D1304*INDEX(Setup!$B$27:$B$44,MATCH($E1304,Setup!$A$27:$A$44,0)),"TBD"))</f>
        <v/>
      </c>
      <c r="G1304" s="32"/>
      <c r="H1304" s="32"/>
      <c r="I1304" s="32"/>
      <c r="J1304" s="32"/>
      <c r="K1304" s="35"/>
      <c r="L1304" s="32"/>
      <c r="M1304" s="32"/>
    </row>
    <row r="1305" customFormat="false" ht="15" hidden="false" customHeight="true" outlineLevel="0" collapsed="false">
      <c r="A1305" s="32"/>
      <c r="B1305" s="32"/>
      <c r="C1305" s="32"/>
      <c r="D1305" s="32"/>
      <c r="E1305" s="34" t="str">
        <f aca="false">IF($B1305="","",IF($B1305="OUT","Liters",IFERROR(INDEX(Setup!$F$3:$F$24,MATCH($C1305,Setup!$A$3:$A$24,0)),"")))</f>
        <v/>
      </c>
      <c r="F1305" s="28" t="str">
        <f aca="false">IF(OR($D1305="",$E1305=""),"",IFERROR($D1305*INDEX(Setup!$B$27:$B$44,MATCH($E1305,Setup!$A$27:$A$44,0)),"TBD"))</f>
        <v/>
      </c>
      <c r="G1305" s="32"/>
      <c r="H1305" s="32"/>
      <c r="I1305" s="32"/>
      <c r="J1305" s="32"/>
      <c r="K1305" s="35"/>
      <c r="L1305" s="32"/>
      <c r="M1305" s="32"/>
    </row>
    <row r="1306" customFormat="false" ht="15" hidden="false" customHeight="true" outlineLevel="0" collapsed="false">
      <c r="A1306" s="32"/>
      <c r="B1306" s="32"/>
      <c r="C1306" s="32"/>
      <c r="D1306" s="32"/>
      <c r="E1306" s="34" t="str">
        <f aca="false">IF($B1306="","",IF($B1306="OUT","Liters",IFERROR(INDEX(Setup!$F$3:$F$24,MATCH($C1306,Setup!$A$3:$A$24,0)),"")))</f>
        <v/>
      </c>
      <c r="F1306" s="28" t="str">
        <f aca="false">IF(OR($D1306="",$E1306=""),"",IFERROR($D1306*INDEX(Setup!$B$27:$B$44,MATCH($E1306,Setup!$A$27:$A$44,0)),"TBD"))</f>
        <v/>
      </c>
      <c r="G1306" s="32"/>
      <c r="H1306" s="32"/>
      <c r="I1306" s="32"/>
      <c r="J1306" s="32"/>
      <c r="K1306" s="35"/>
      <c r="L1306" s="32"/>
      <c r="M1306" s="32"/>
    </row>
    <row r="1307" customFormat="false" ht="15" hidden="false" customHeight="true" outlineLevel="0" collapsed="false">
      <c r="A1307" s="32"/>
      <c r="B1307" s="32"/>
      <c r="C1307" s="32"/>
      <c r="D1307" s="32"/>
      <c r="E1307" s="34" t="str">
        <f aca="false">IF($B1307="","",IF($B1307="OUT","Liters",IFERROR(INDEX(Setup!$F$3:$F$24,MATCH($C1307,Setup!$A$3:$A$24,0)),"")))</f>
        <v/>
      </c>
      <c r="F1307" s="28" t="str">
        <f aca="false">IF(OR($D1307="",$E1307=""),"",IFERROR($D1307*INDEX(Setup!$B$27:$B$44,MATCH($E1307,Setup!$A$27:$A$44,0)),"TBD"))</f>
        <v/>
      </c>
      <c r="G1307" s="32"/>
      <c r="H1307" s="32"/>
      <c r="I1307" s="32"/>
      <c r="J1307" s="32"/>
      <c r="K1307" s="35"/>
      <c r="L1307" s="32"/>
      <c r="M1307" s="32"/>
    </row>
    <row r="1308" customFormat="false" ht="15" hidden="false" customHeight="true" outlineLevel="0" collapsed="false">
      <c r="A1308" s="32"/>
      <c r="B1308" s="32"/>
      <c r="C1308" s="32"/>
      <c r="D1308" s="32"/>
      <c r="E1308" s="34" t="str">
        <f aca="false">IF($B1308="","",IF($B1308="OUT","Liters",IFERROR(INDEX(Setup!$F$3:$F$24,MATCH($C1308,Setup!$A$3:$A$24,0)),"")))</f>
        <v/>
      </c>
      <c r="F1308" s="28" t="str">
        <f aca="false">IF(OR($D1308="",$E1308=""),"",IFERROR($D1308*INDEX(Setup!$B$27:$B$44,MATCH($E1308,Setup!$A$27:$A$44,0)),"TBD"))</f>
        <v/>
      </c>
      <c r="G1308" s="32"/>
      <c r="H1308" s="32"/>
      <c r="I1308" s="32"/>
      <c r="J1308" s="32"/>
      <c r="K1308" s="35"/>
      <c r="L1308" s="32"/>
      <c r="M1308" s="32"/>
    </row>
    <row r="1309" customFormat="false" ht="15" hidden="false" customHeight="true" outlineLevel="0" collapsed="false">
      <c r="A1309" s="32"/>
      <c r="B1309" s="32"/>
      <c r="C1309" s="32"/>
      <c r="D1309" s="32"/>
      <c r="E1309" s="34" t="str">
        <f aca="false">IF($B1309="","",IF($B1309="OUT","Liters",IFERROR(INDEX(Setup!$F$3:$F$24,MATCH($C1309,Setup!$A$3:$A$24,0)),"")))</f>
        <v/>
      </c>
      <c r="F1309" s="28" t="str">
        <f aca="false">IF(OR($D1309="",$E1309=""),"",IFERROR($D1309*INDEX(Setup!$B$27:$B$44,MATCH($E1309,Setup!$A$27:$A$44,0)),"TBD"))</f>
        <v/>
      </c>
      <c r="G1309" s="32"/>
      <c r="H1309" s="32"/>
      <c r="I1309" s="32"/>
      <c r="J1309" s="32"/>
      <c r="K1309" s="35"/>
      <c r="L1309" s="32"/>
      <c r="M1309" s="32"/>
    </row>
    <row r="1310" customFormat="false" ht="15" hidden="false" customHeight="true" outlineLevel="0" collapsed="false">
      <c r="A1310" s="32"/>
      <c r="B1310" s="32"/>
      <c r="C1310" s="32"/>
      <c r="D1310" s="32"/>
      <c r="E1310" s="34" t="str">
        <f aca="false">IF($B1310="","",IF($B1310="OUT","Liters",IFERROR(INDEX(Setup!$F$3:$F$24,MATCH($C1310,Setup!$A$3:$A$24,0)),"")))</f>
        <v/>
      </c>
      <c r="F1310" s="28" t="str">
        <f aca="false">IF(OR($D1310="",$E1310=""),"",IFERROR($D1310*INDEX(Setup!$B$27:$B$44,MATCH($E1310,Setup!$A$27:$A$44,0)),"TBD"))</f>
        <v/>
      </c>
      <c r="G1310" s="32"/>
      <c r="H1310" s="32"/>
      <c r="I1310" s="32"/>
      <c r="J1310" s="32"/>
      <c r="K1310" s="35"/>
      <c r="L1310" s="32"/>
      <c r="M1310" s="32"/>
    </row>
    <row r="1311" customFormat="false" ht="15" hidden="false" customHeight="true" outlineLevel="0" collapsed="false">
      <c r="A1311" s="32"/>
      <c r="B1311" s="32"/>
      <c r="C1311" s="32"/>
      <c r="D1311" s="32"/>
      <c r="E1311" s="34" t="str">
        <f aca="false">IF($B1311="","",IF($B1311="OUT","Liters",IFERROR(INDEX(Setup!$F$3:$F$24,MATCH($C1311,Setup!$A$3:$A$24,0)),"")))</f>
        <v/>
      </c>
      <c r="F1311" s="28" t="str">
        <f aca="false">IF(OR($D1311="",$E1311=""),"",IFERROR($D1311*INDEX(Setup!$B$27:$B$44,MATCH($E1311,Setup!$A$27:$A$44,0)),"TBD"))</f>
        <v/>
      </c>
      <c r="G1311" s="32"/>
      <c r="H1311" s="32"/>
      <c r="I1311" s="32"/>
      <c r="J1311" s="32"/>
      <c r="K1311" s="35"/>
      <c r="L1311" s="32"/>
      <c r="M1311" s="32"/>
    </row>
    <row r="1312" customFormat="false" ht="15" hidden="false" customHeight="true" outlineLevel="0" collapsed="false">
      <c r="A1312" s="32"/>
      <c r="B1312" s="32"/>
      <c r="C1312" s="32"/>
      <c r="D1312" s="32"/>
      <c r="E1312" s="34" t="str">
        <f aca="false">IF($B1312="","",IF($B1312="OUT","Liters",IFERROR(INDEX(Setup!$F$3:$F$24,MATCH($C1312,Setup!$A$3:$A$24,0)),"")))</f>
        <v/>
      </c>
      <c r="F1312" s="28" t="str">
        <f aca="false">IF(OR($D1312="",$E1312=""),"",IFERROR($D1312*INDEX(Setup!$B$27:$B$44,MATCH($E1312,Setup!$A$27:$A$44,0)),"TBD"))</f>
        <v/>
      </c>
      <c r="G1312" s="32"/>
      <c r="H1312" s="32"/>
      <c r="I1312" s="32"/>
      <c r="J1312" s="32"/>
      <c r="K1312" s="35"/>
      <c r="L1312" s="32"/>
      <c r="M1312" s="32"/>
    </row>
    <row r="1313" customFormat="false" ht="15" hidden="false" customHeight="true" outlineLevel="0" collapsed="false">
      <c r="A1313" s="32"/>
      <c r="B1313" s="32"/>
      <c r="C1313" s="32"/>
      <c r="D1313" s="32"/>
      <c r="E1313" s="34" t="str">
        <f aca="false">IF($B1313="","",IF($B1313="OUT","Liters",IFERROR(INDEX(Setup!$F$3:$F$24,MATCH($C1313,Setup!$A$3:$A$24,0)),"")))</f>
        <v/>
      </c>
      <c r="F1313" s="28" t="str">
        <f aca="false">IF(OR($D1313="",$E1313=""),"",IFERROR($D1313*INDEX(Setup!$B$27:$B$44,MATCH($E1313,Setup!$A$27:$A$44,0)),"TBD"))</f>
        <v/>
      </c>
      <c r="G1313" s="32"/>
      <c r="H1313" s="32"/>
      <c r="I1313" s="32"/>
      <c r="J1313" s="32"/>
      <c r="K1313" s="35"/>
      <c r="L1313" s="32"/>
      <c r="M1313" s="32"/>
    </row>
    <row r="1314" customFormat="false" ht="15" hidden="false" customHeight="true" outlineLevel="0" collapsed="false">
      <c r="A1314" s="32"/>
      <c r="B1314" s="32"/>
      <c r="C1314" s="32"/>
      <c r="D1314" s="32"/>
      <c r="E1314" s="34" t="str">
        <f aca="false">IF($B1314="","",IF($B1314="OUT","Liters",IFERROR(INDEX(Setup!$F$3:$F$24,MATCH($C1314,Setup!$A$3:$A$24,0)),"")))</f>
        <v/>
      </c>
      <c r="F1314" s="28" t="str">
        <f aca="false">IF(OR($D1314="",$E1314=""),"",IFERROR($D1314*INDEX(Setup!$B$27:$B$44,MATCH($E1314,Setup!$A$27:$A$44,0)),"TBD"))</f>
        <v/>
      </c>
      <c r="G1314" s="32"/>
      <c r="H1314" s="32"/>
      <c r="I1314" s="32"/>
      <c r="J1314" s="32"/>
      <c r="K1314" s="35"/>
      <c r="L1314" s="32"/>
      <c r="M1314" s="32"/>
    </row>
    <row r="1315" customFormat="false" ht="15" hidden="false" customHeight="true" outlineLevel="0" collapsed="false">
      <c r="A1315" s="32"/>
      <c r="B1315" s="32"/>
      <c r="C1315" s="32"/>
      <c r="D1315" s="32"/>
      <c r="E1315" s="34" t="str">
        <f aca="false">IF($B1315="","",IF($B1315="OUT","Liters",IFERROR(INDEX(Setup!$F$3:$F$24,MATCH($C1315,Setup!$A$3:$A$24,0)),"")))</f>
        <v/>
      </c>
      <c r="F1315" s="28" t="str">
        <f aca="false">IF(OR($D1315="",$E1315=""),"",IFERROR($D1315*INDEX(Setup!$B$27:$B$44,MATCH($E1315,Setup!$A$27:$A$44,0)),"TBD"))</f>
        <v/>
      </c>
      <c r="G1315" s="32"/>
      <c r="H1315" s="32"/>
      <c r="I1315" s="32"/>
      <c r="J1315" s="32"/>
      <c r="K1315" s="35"/>
      <c r="L1315" s="32"/>
      <c r="M1315" s="32"/>
    </row>
    <row r="1316" customFormat="false" ht="15" hidden="false" customHeight="true" outlineLevel="0" collapsed="false">
      <c r="A1316" s="32"/>
      <c r="B1316" s="32"/>
      <c r="C1316" s="32"/>
      <c r="D1316" s="32"/>
      <c r="E1316" s="34" t="str">
        <f aca="false">IF($B1316="","",IF($B1316="OUT","Liters",IFERROR(INDEX(Setup!$F$3:$F$24,MATCH($C1316,Setup!$A$3:$A$24,0)),"")))</f>
        <v/>
      </c>
      <c r="F1316" s="28" t="str">
        <f aca="false">IF(OR($D1316="",$E1316=""),"",IFERROR($D1316*INDEX(Setup!$B$27:$B$44,MATCH($E1316,Setup!$A$27:$A$44,0)),"TBD"))</f>
        <v/>
      </c>
      <c r="G1316" s="32"/>
      <c r="H1316" s="32"/>
      <c r="I1316" s="32"/>
      <c r="J1316" s="32"/>
      <c r="K1316" s="35"/>
      <c r="L1316" s="32"/>
      <c r="M1316" s="32"/>
    </row>
    <row r="1317" customFormat="false" ht="15" hidden="false" customHeight="true" outlineLevel="0" collapsed="false">
      <c r="A1317" s="32"/>
      <c r="B1317" s="32"/>
      <c r="C1317" s="32"/>
      <c r="D1317" s="32"/>
      <c r="E1317" s="34" t="str">
        <f aca="false">IF($B1317="","",IF($B1317="OUT","Liters",IFERROR(INDEX(Setup!$F$3:$F$24,MATCH($C1317,Setup!$A$3:$A$24,0)),"")))</f>
        <v/>
      </c>
      <c r="F1317" s="28" t="str">
        <f aca="false">IF(OR($D1317="",$E1317=""),"",IFERROR($D1317*INDEX(Setup!$B$27:$B$44,MATCH($E1317,Setup!$A$27:$A$44,0)),"TBD"))</f>
        <v/>
      </c>
      <c r="G1317" s="32"/>
      <c r="H1317" s="32"/>
      <c r="I1317" s="32"/>
      <c r="J1317" s="32"/>
      <c r="K1317" s="35"/>
      <c r="L1317" s="32"/>
      <c r="M1317" s="32"/>
    </row>
    <row r="1318" customFormat="false" ht="15" hidden="false" customHeight="true" outlineLevel="0" collapsed="false">
      <c r="A1318" s="32"/>
      <c r="B1318" s="32"/>
      <c r="C1318" s="32"/>
      <c r="D1318" s="32"/>
      <c r="E1318" s="34" t="str">
        <f aca="false">IF($B1318="","",IF($B1318="OUT","Liters",IFERROR(INDEX(Setup!$F$3:$F$24,MATCH($C1318,Setup!$A$3:$A$24,0)),"")))</f>
        <v/>
      </c>
      <c r="F1318" s="28" t="str">
        <f aca="false">IF(OR($D1318="",$E1318=""),"",IFERROR($D1318*INDEX(Setup!$B$27:$B$44,MATCH($E1318,Setup!$A$27:$A$44,0)),"TBD"))</f>
        <v/>
      </c>
      <c r="G1318" s="32"/>
      <c r="H1318" s="32"/>
      <c r="I1318" s="32"/>
      <c r="J1318" s="32"/>
      <c r="K1318" s="35"/>
      <c r="L1318" s="32"/>
      <c r="M1318" s="32"/>
    </row>
    <row r="1319" customFormat="false" ht="15" hidden="false" customHeight="true" outlineLevel="0" collapsed="false">
      <c r="A1319" s="32"/>
      <c r="B1319" s="32"/>
      <c r="C1319" s="32"/>
      <c r="D1319" s="32"/>
      <c r="E1319" s="34" t="str">
        <f aca="false">IF($B1319="","",IF($B1319="OUT","Liters",IFERROR(INDEX(Setup!$F$3:$F$24,MATCH($C1319,Setup!$A$3:$A$24,0)),"")))</f>
        <v/>
      </c>
      <c r="F1319" s="28" t="str">
        <f aca="false">IF(OR($D1319="",$E1319=""),"",IFERROR($D1319*INDEX(Setup!$B$27:$B$44,MATCH($E1319,Setup!$A$27:$A$44,0)),"TBD"))</f>
        <v/>
      </c>
      <c r="G1319" s="32"/>
      <c r="H1319" s="32"/>
      <c r="I1319" s="32"/>
      <c r="J1319" s="32"/>
      <c r="K1319" s="35"/>
      <c r="L1319" s="32"/>
      <c r="M1319" s="32"/>
    </row>
    <row r="1320" customFormat="false" ht="15" hidden="false" customHeight="true" outlineLevel="0" collapsed="false">
      <c r="A1320" s="32"/>
      <c r="B1320" s="32"/>
      <c r="C1320" s="32"/>
      <c r="D1320" s="32"/>
      <c r="E1320" s="34" t="str">
        <f aca="false">IF($B1320="","",IF($B1320="OUT","Liters",IFERROR(INDEX(Setup!$F$3:$F$24,MATCH($C1320,Setup!$A$3:$A$24,0)),"")))</f>
        <v/>
      </c>
      <c r="F1320" s="28" t="str">
        <f aca="false">IF(OR($D1320="",$E1320=""),"",IFERROR($D1320*INDEX(Setup!$B$27:$B$44,MATCH($E1320,Setup!$A$27:$A$44,0)),"TBD"))</f>
        <v/>
      </c>
      <c r="G1320" s="32"/>
      <c r="H1320" s="32"/>
      <c r="I1320" s="32"/>
      <c r="J1320" s="32"/>
      <c r="K1320" s="35"/>
      <c r="L1320" s="32"/>
      <c r="M1320" s="32"/>
    </row>
    <row r="1321" customFormat="false" ht="15" hidden="false" customHeight="true" outlineLevel="0" collapsed="false">
      <c r="A1321" s="32"/>
      <c r="B1321" s="32"/>
      <c r="C1321" s="32"/>
      <c r="D1321" s="32"/>
      <c r="E1321" s="34" t="str">
        <f aca="false">IF($B1321="","",IF($B1321="OUT","Liters",IFERROR(INDEX(Setup!$F$3:$F$24,MATCH($C1321,Setup!$A$3:$A$24,0)),"")))</f>
        <v/>
      </c>
      <c r="F1321" s="28" t="str">
        <f aca="false">IF(OR($D1321="",$E1321=""),"",IFERROR($D1321*INDEX(Setup!$B$27:$B$44,MATCH($E1321,Setup!$A$27:$A$44,0)),"TBD"))</f>
        <v/>
      </c>
      <c r="G1321" s="32"/>
      <c r="H1321" s="32"/>
      <c r="I1321" s="32"/>
      <c r="J1321" s="32"/>
      <c r="K1321" s="35"/>
      <c r="L1321" s="32"/>
      <c r="M1321" s="32"/>
    </row>
    <row r="1322" customFormat="false" ht="15" hidden="false" customHeight="true" outlineLevel="0" collapsed="false">
      <c r="A1322" s="32"/>
      <c r="B1322" s="32"/>
      <c r="C1322" s="32"/>
      <c r="D1322" s="32"/>
      <c r="E1322" s="34" t="str">
        <f aca="false">IF($B1322="","",IF($B1322="OUT","Liters",IFERROR(INDEX(Setup!$F$3:$F$24,MATCH($C1322,Setup!$A$3:$A$24,0)),"")))</f>
        <v/>
      </c>
      <c r="F1322" s="28" t="str">
        <f aca="false">IF(OR($D1322="",$E1322=""),"",IFERROR($D1322*INDEX(Setup!$B$27:$B$44,MATCH($E1322,Setup!$A$27:$A$44,0)),"TBD"))</f>
        <v/>
      </c>
      <c r="G1322" s="32"/>
      <c r="H1322" s="32"/>
      <c r="I1322" s="32"/>
      <c r="J1322" s="32"/>
      <c r="K1322" s="35"/>
      <c r="L1322" s="32"/>
      <c r="M1322" s="32"/>
    </row>
    <row r="1323" customFormat="false" ht="15" hidden="false" customHeight="true" outlineLevel="0" collapsed="false">
      <c r="A1323" s="32"/>
      <c r="B1323" s="32"/>
      <c r="C1323" s="32"/>
      <c r="D1323" s="32"/>
      <c r="E1323" s="34" t="str">
        <f aca="false">IF($B1323="","",IF($B1323="OUT","Liters",IFERROR(INDEX(Setup!$F$3:$F$24,MATCH($C1323,Setup!$A$3:$A$24,0)),"")))</f>
        <v/>
      </c>
      <c r="F1323" s="28" t="str">
        <f aca="false">IF(OR($D1323="",$E1323=""),"",IFERROR($D1323*INDEX(Setup!$B$27:$B$44,MATCH($E1323,Setup!$A$27:$A$44,0)),"TBD"))</f>
        <v/>
      </c>
      <c r="G1323" s="32"/>
      <c r="H1323" s="32"/>
      <c r="I1323" s="32"/>
      <c r="J1323" s="32"/>
      <c r="K1323" s="35"/>
      <c r="L1323" s="32"/>
      <c r="M1323" s="32"/>
    </row>
    <row r="1324" customFormat="false" ht="15" hidden="false" customHeight="true" outlineLevel="0" collapsed="false">
      <c r="A1324" s="32"/>
      <c r="B1324" s="32"/>
      <c r="C1324" s="32"/>
      <c r="D1324" s="32"/>
      <c r="E1324" s="34" t="str">
        <f aca="false">IF($B1324="","",IF($B1324="OUT","Liters",IFERROR(INDEX(Setup!$F$3:$F$24,MATCH($C1324,Setup!$A$3:$A$24,0)),"")))</f>
        <v/>
      </c>
      <c r="F1324" s="28" t="str">
        <f aca="false">IF(OR($D1324="",$E1324=""),"",IFERROR($D1324*INDEX(Setup!$B$27:$B$44,MATCH($E1324,Setup!$A$27:$A$44,0)),"TBD"))</f>
        <v/>
      </c>
      <c r="G1324" s="32"/>
      <c r="H1324" s="32"/>
      <c r="I1324" s="32"/>
      <c r="J1324" s="32"/>
      <c r="K1324" s="35"/>
      <c r="L1324" s="32"/>
      <c r="M1324" s="32"/>
    </row>
    <row r="1325" customFormat="false" ht="15" hidden="false" customHeight="true" outlineLevel="0" collapsed="false">
      <c r="A1325" s="32"/>
      <c r="B1325" s="32"/>
      <c r="C1325" s="32"/>
      <c r="D1325" s="32"/>
      <c r="E1325" s="34" t="str">
        <f aca="false">IF($B1325="","",IF($B1325="OUT","Liters",IFERROR(INDEX(Setup!$F$3:$F$24,MATCH($C1325,Setup!$A$3:$A$24,0)),"")))</f>
        <v/>
      </c>
      <c r="F1325" s="28" t="str">
        <f aca="false">IF(OR($D1325="",$E1325=""),"",IFERROR($D1325*INDEX(Setup!$B$27:$B$44,MATCH($E1325,Setup!$A$27:$A$44,0)),"TBD"))</f>
        <v/>
      </c>
      <c r="G1325" s="32"/>
      <c r="H1325" s="32"/>
      <c r="I1325" s="32"/>
      <c r="J1325" s="32"/>
      <c r="K1325" s="35"/>
      <c r="L1325" s="32"/>
      <c r="M1325" s="32"/>
    </row>
    <row r="1326" customFormat="false" ht="15" hidden="false" customHeight="true" outlineLevel="0" collapsed="false">
      <c r="A1326" s="32"/>
      <c r="B1326" s="32"/>
      <c r="C1326" s="32"/>
      <c r="D1326" s="32"/>
      <c r="E1326" s="34" t="str">
        <f aca="false">IF($B1326="","",IF($B1326="OUT","Liters",IFERROR(INDEX(Setup!$F$3:$F$24,MATCH($C1326,Setup!$A$3:$A$24,0)),"")))</f>
        <v/>
      </c>
      <c r="F1326" s="28" t="str">
        <f aca="false">IF(OR($D1326="",$E1326=""),"",IFERROR($D1326*INDEX(Setup!$B$27:$B$44,MATCH($E1326,Setup!$A$27:$A$44,0)),"TBD"))</f>
        <v/>
      </c>
      <c r="G1326" s="32"/>
      <c r="H1326" s="32"/>
      <c r="I1326" s="32"/>
      <c r="J1326" s="32"/>
      <c r="K1326" s="35"/>
      <c r="L1326" s="32"/>
      <c r="M1326" s="32"/>
    </row>
    <row r="1327" customFormat="false" ht="15" hidden="false" customHeight="true" outlineLevel="0" collapsed="false">
      <c r="A1327" s="32"/>
      <c r="B1327" s="32"/>
      <c r="C1327" s="32"/>
      <c r="D1327" s="32"/>
      <c r="E1327" s="34" t="str">
        <f aca="false">IF($B1327="","",IF($B1327="OUT","Liters",IFERROR(INDEX(Setup!$F$3:$F$24,MATCH($C1327,Setup!$A$3:$A$24,0)),"")))</f>
        <v/>
      </c>
      <c r="F1327" s="28" t="str">
        <f aca="false">IF(OR($D1327="",$E1327=""),"",IFERROR($D1327*INDEX(Setup!$B$27:$B$44,MATCH($E1327,Setup!$A$27:$A$44,0)),"TBD"))</f>
        <v/>
      </c>
      <c r="G1327" s="32"/>
      <c r="H1327" s="32"/>
      <c r="I1327" s="32"/>
      <c r="J1327" s="32"/>
      <c r="K1327" s="35"/>
      <c r="L1327" s="32"/>
      <c r="M1327" s="32"/>
    </row>
    <row r="1328" customFormat="false" ht="15" hidden="false" customHeight="true" outlineLevel="0" collapsed="false">
      <c r="A1328" s="32"/>
      <c r="B1328" s="32"/>
      <c r="C1328" s="32"/>
      <c r="D1328" s="32"/>
      <c r="E1328" s="34" t="str">
        <f aca="false">IF($B1328="","",IF($B1328="OUT","Liters",IFERROR(INDEX(Setup!$F$3:$F$24,MATCH($C1328,Setup!$A$3:$A$24,0)),"")))</f>
        <v/>
      </c>
      <c r="F1328" s="28" t="str">
        <f aca="false">IF(OR($D1328="",$E1328=""),"",IFERROR($D1328*INDEX(Setup!$B$27:$B$44,MATCH($E1328,Setup!$A$27:$A$44,0)),"TBD"))</f>
        <v/>
      </c>
      <c r="G1328" s="32"/>
      <c r="H1328" s="32"/>
      <c r="I1328" s="32"/>
      <c r="J1328" s="32"/>
      <c r="K1328" s="35"/>
      <c r="L1328" s="32"/>
      <c r="M1328" s="32"/>
    </row>
    <row r="1329" customFormat="false" ht="15" hidden="false" customHeight="true" outlineLevel="0" collapsed="false">
      <c r="A1329" s="32"/>
      <c r="B1329" s="32"/>
      <c r="C1329" s="32"/>
      <c r="D1329" s="32"/>
      <c r="E1329" s="34" t="str">
        <f aca="false">IF($B1329="","",IF($B1329="OUT","Liters",IFERROR(INDEX(Setup!$F$3:$F$24,MATCH($C1329,Setup!$A$3:$A$24,0)),"")))</f>
        <v/>
      </c>
      <c r="F1329" s="28" t="str">
        <f aca="false">IF(OR($D1329="",$E1329=""),"",IFERROR($D1329*INDEX(Setup!$B$27:$B$44,MATCH($E1329,Setup!$A$27:$A$44,0)),"TBD"))</f>
        <v/>
      </c>
      <c r="G1329" s="32"/>
      <c r="H1329" s="32"/>
      <c r="I1329" s="32"/>
      <c r="J1329" s="32"/>
      <c r="K1329" s="35"/>
      <c r="L1329" s="32"/>
      <c r="M1329" s="32"/>
    </row>
    <row r="1330" customFormat="false" ht="15" hidden="false" customHeight="true" outlineLevel="0" collapsed="false">
      <c r="A1330" s="32"/>
      <c r="B1330" s="32"/>
      <c r="C1330" s="32"/>
      <c r="D1330" s="32"/>
      <c r="E1330" s="34" t="str">
        <f aca="false">IF($B1330="","",IF($B1330="OUT","Liters",IFERROR(INDEX(Setup!$F$3:$F$24,MATCH($C1330,Setup!$A$3:$A$24,0)),"")))</f>
        <v/>
      </c>
      <c r="F1330" s="28" t="str">
        <f aca="false">IF(OR($D1330="",$E1330=""),"",IFERROR($D1330*INDEX(Setup!$B$27:$B$44,MATCH($E1330,Setup!$A$27:$A$44,0)),"TBD"))</f>
        <v/>
      </c>
      <c r="G1330" s="32"/>
      <c r="H1330" s="32"/>
      <c r="I1330" s="32"/>
      <c r="J1330" s="32"/>
      <c r="K1330" s="35"/>
      <c r="L1330" s="32"/>
      <c r="M1330" s="32"/>
    </row>
    <row r="1331" customFormat="false" ht="15" hidden="false" customHeight="true" outlineLevel="0" collapsed="false">
      <c r="A1331" s="32"/>
      <c r="B1331" s="32"/>
      <c r="C1331" s="32"/>
      <c r="D1331" s="32"/>
      <c r="E1331" s="34" t="str">
        <f aca="false">IF($B1331="","",IF($B1331="OUT","Liters",IFERROR(INDEX(Setup!$F$3:$F$24,MATCH($C1331,Setup!$A$3:$A$24,0)),"")))</f>
        <v/>
      </c>
      <c r="F1331" s="28" t="str">
        <f aca="false">IF(OR($D1331="",$E1331=""),"",IFERROR($D1331*INDEX(Setup!$B$27:$B$44,MATCH($E1331,Setup!$A$27:$A$44,0)),"TBD"))</f>
        <v/>
      </c>
      <c r="G1331" s="32"/>
      <c r="H1331" s="32"/>
      <c r="I1331" s="32"/>
      <c r="J1331" s="32"/>
      <c r="K1331" s="35"/>
      <c r="L1331" s="32"/>
      <c r="M1331" s="32"/>
    </row>
    <row r="1332" customFormat="false" ht="15" hidden="false" customHeight="true" outlineLevel="0" collapsed="false">
      <c r="A1332" s="32"/>
      <c r="B1332" s="32"/>
      <c r="C1332" s="32"/>
      <c r="D1332" s="32"/>
      <c r="E1332" s="34" t="str">
        <f aca="false">IF($B1332="","",IF($B1332="OUT","Liters",IFERROR(INDEX(Setup!$F$3:$F$24,MATCH($C1332,Setup!$A$3:$A$24,0)),"")))</f>
        <v/>
      </c>
      <c r="F1332" s="28" t="str">
        <f aca="false">IF(OR($D1332="",$E1332=""),"",IFERROR($D1332*INDEX(Setup!$B$27:$B$44,MATCH($E1332,Setup!$A$27:$A$44,0)),"TBD"))</f>
        <v/>
      </c>
      <c r="G1332" s="32"/>
      <c r="H1332" s="32"/>
      <c r="I1332" s="32"/>
      <c r="J1332" s="32"/>
      <c r="K1332" s="35"/>
      <c r="L1332" s="32"/>
      <c r="M1332" s="32"/>
    </row>
    <row r="1333" customFormat="false" ht="15" hidden="false" customHeight="true" outlineLevel="0" collapsed="false">
      <c r="A1333" s="32"/>
      <c r="B1333" s="32"/>
      <c r="C1333" s="32"/>
      <c r="D1333" s="32"/>
      <c r="E1333" s="34" t="str">
        <f aca="false">IF($B1333="","",IF($B1333="OUT","Liters",IFERROR(INDEX(Setup!$F$3:$F$24,MATCH($C1333,Setup!$A$3:$A$24,0)),"")))</f>
        <v/>
      </c>
      <c r="F1333" s="28" t="str">
        <f aca="false">IF(OR($D1333="",$E1333=""),"",IFERROR($D1333*INDEX(Setup!$B$27:$B$44,MATCH($E1333,Setup!$A$27:$A$44,0)),"TBD"))</f>
        <v/>
      </c>
      <c r="G1333" s="32"/>
      <c r="H1333" s="32"/>
      <c r="I1333" s="32"/>
      <c r="J1333" s="32"/>
      <c r="K1333" s="35"/>
      <c r="L1333" s="32"/>
      <c r="M1333" s="32"/>
    </row>
    <row r="1334" customFormat="false" ht="15" hidden="false" customHeight="true" outlineLevel="0" collapsed="false">
      <c r="A1334" s="32"/>
      <c r="B1334" s="32"/>
      <c r="C1334" s="32"/>
      <c r="D1334" s="32"/>
      <c r="E1334" s="34" t="str">
        <f aca="false">IF($B1334="","",IF($B1334="OUT","Liters",IFERROR(INDEX(Setup!$F$3:$F$24,MATCH($C1334,Setup!$A$3:$A$24,0)),"")))</f>
        <v/>
      </c>
      <c r="F1334" s="28" t="str">
        <f aca="false">IF(OR($D1334="",$E1334=""),"",IFERROR($D1334*INDEX(Setup!$B$27:$B$44,MATCH($E1334,Setup!$A$27:$A$44,0)),"TBD"))</f>
        <v/>
      </c>
      <c r="G1334" s="32"/>
      <c r="H1334" s="32"/>
      <c r="I1334" s="32"/>
      <c r="J1334" s="32"/>
      <c r="K1334" s="35"/>
      <c r="L1334" s="32"/>
      <c r="M1334" s="32"/>
    </row>
    <row r="1335" customFormat="false" ht="15" hidden="false" customHeight="true" outlineLevel="0" collapsed="false">
      <c r="A1335" s="32"/>
      <c r="B1335" s="32"/>
      <c r="C1335" s="32"/>
      <c r="D1335" s="32"/>
      <c r="E1335" s="34" t="str">
        <f aca="false">IF($B1335="","",IF($B1335="OUT","Liters",IFERROR(INDEX(Setup!$F$3:$F$24,MATCH($C1335,Setup!$A$3:$A$24,0)),"")))</f>
        <v/>
      </c>
      <c r="F1335" s="28" t="str">
        <f aca="false">IF(OR($D1335="",$E1335=""),"",IFERROR($D1335*INDEX(Setup!$B$27:$B$44,MATCH($E1335,Setup!$A$27:$A$44,0)),"TBD"))</f>
        <v/>
      </c>
      <c r="G1335" s="32"/>
      <c r="H1335" s="32"/>
      <c r="I1335" s="32"/>
      <c r="J1335" s="32"/>
      <c r="K1335" s="35"/>
      <c r="L1335" s="32"/>
      <c r="M1335" s="32"/>
    </row>
    <row r="1336" customFormat="false" ht="15" hidden="false" customHeight="true" outlineLevel="0" collapsed="false">
      <c r="A1336" s="32"/>
      <c r="B1336" s="32"/>
      <c r="C1336" s="32"/>
      <c r="D1336" s="32"/>
      <c r="E1336" s="34" t="str">
        <f aca="false">IF($B1336="","",IF($B1336="OUT","Liters",IFERROR(INDEX(Setup!$F$3:$F$24,MATCH($C1336,Setup!$A$3:$A$24,0)),"")))</f>
        <v/>
      </c>
      <c r="F1336" s="28" t="str">
        <f aca="false">IF(OR($D1336="",$E1336=""),"",IFERROR($D1336*INDEX(Setup!$B$27:$B$44,MATCH($E1336,Setup!$A$27:$A$44,0)),"TBD"))</f>
        <v/>
      </c>
      <c r="G1336" s="32"/>
      <c r="H1336" s="32"/>
      <c r="I1336" s="32"/>
      <c r="J1336" s="32"/>
      <c r="K1336" s="35"/>
      <c r="L1336" s="32"/>
      <c r="M1336" s="32"/>
    </row>
    <row r="1337" customFormat="false" ht="15" hidden="false" customHeight="true" outlineLevel="0" collapsed="false">
      <c r="A1337" s="32"/>
      <c r="B1337" s="32"/>
      <c r="C1337" s="32"/>
      <c r="D1337" s="32"/>
      <c r="E1337" s="34" t="str">
        <f aca="false">IF($B1337="","",IF($B1337="OUT","Liters",IFERROR(INDEX(Setup!$F$3:$F$24,MATCH($C1337,Setup!$A$3:$A$24,0)),"")))</f>
        <v/>
      </c>
      <c r="F1337" s="28" t="str">
        <f aca="false">IF(OR($D1337="",$E1337=""),"",IFERROR($D1337*INDEX(Setup!$B$27:$B$44,MATCH($E1337,Setup!$A$27:$A$44,0)),"TBD"))</f>
        <v/>
      </c>
      <c r="G1337" s="32"/>
      <c r="H1337" s="32"/>
      <c r="I1337" s="32"/>
      <c r="J1337" s="32"/>
      <c r="K1337" s="35"/>
      <c r="L1337" s="32"/>
      <c r="M1337" s="32"/>
    </row>
    <row r="1338" customFormat="false" ht="15" hidden="false" customHeight="true" outlineLevel="0" collapsed="false">
      <c r="A1338" s="32"/>
      <c r="B1338" s="32"/>
      <c r="C1338" s="32"/>
      <c r="D1338" s="32"/>
      <c r="E1338" s="34" t="str">
        <f aca="false">IF($B1338="","",IF($B1338="OUT","Liters",IFERROR(INDEX(Setup!$F$3:$F$24,MATCH($C1338,Setup!$A$3:$A$24,0)),"")))</f>
        <v/>
      </c>
      <c r="F1338" s="28" t="str">
        <f aca="false">IF(OR($D1338="",$E1338=""),"",IFERROR($D1338*INDEX(Setup!$B$27:$B$44,MATCH($E1338,Setup!$A$27:$A$44,0)),"TBD"))</f>
        <v/>
      </c>
      <c r="G1338" s="32"/>
      <c r="H1338" s="32"/>
      <c r="I1338" s="32"/>
      <c r="J1338" s="32"/>
      <c r="K1338" s="35"/>
      <c r="L1338" s="32"/>
      <c r="M1338" s="32"/>
    </row>
    <row r="1339" customFormat="false" ht="15" hidden="false" customHeight="true" outlineLevel="0" collapsed="false">
      <c r="A1339" s="32"/>
      <c r="B1339" s="32"/>
      <c r="C1339" s="32"/>
      <c r="D1339" s="32"/>
      <c r="E1339" s="34" t="str">
        <f aca="false">IF($B1339="","",IF($B1339="OUT","Liters",IFERROR(INDEX(Setup!$F$3:$F$24,MATCH($C1339,Setup!$A$3:$A$24,0)),"")))</f>
        <v/>
      </c>
      <c r="F1339" s="28" t="str">
        <f aca="false">IF(OR($D1339="",$E1339=""),"",IFERROR($D1339*INDEX(Setup!$B$27:$B$44,MATCH($E1339,Setup!$A$27:$A$44,0)),"TBD"))</f>
        <v/>
      </c>
      <c r="G1339" s="32"/>
      <c r="H1339" s="32"/>
      <c r="I1339" s="32"/>
      <c r="J1339" s="32"/>
      <c r="K1339" s="35"/>
      <c r="L1339" s="32"/>
      <c r="M1339" s="32"/>
    </row>
    <row r="1340" customFormat="false" ht="15" hidden="false" customHeight="true" outlineLevel="0" collapsed="false">
      <c r="A1340" s="32"/>
      <c r="B1340" s="32"/>
      <c r="C1340" s="32"/>
      <c r="D1340" s="32"/>
      <c r="E1340" s="34" t="str">
        <f aca="false">IF($B1340="","",IF($B1340="OUT","Liters",IFERROR(INDEX(Setup!$F$3:$F$24,MATCH($C1340,Setup!$A$3:$A$24,0)),"")))</f>
        <v/>
      </c>
      <c r="F1340" s="28" t="str">
        <f aca="false">IF(OR($D1340="",$E1340=""),"",IFERROR($D1340*INDEX(Setup!$B$27:$B$44,MATCH($E1340,Setup!$A$27:$A$44,0)),"TBD"))</f>
        <v/>
      </c>
      <c r="G1340" s="32"/>
      <c r="H1340" s="32"/>
      <c r="I1340" s="32"/>
      <c r="J1340" s="32"/>
      <c r="K1340" s="35"/>
      <c r="L1340" s="32"/>
      <c r="M1340" s="32"/>
    </row>
    <row r="1341" customFormat="false" ht="15" hidden="false" customHeight="true" outlineLevel="0" collapsed="false">
      <c r="A1341" s="32"/>
      <c r="B1341" s="32"/>
      <c r="C1341" s="32"/>
      <c r="D1341" s="32"/>
      <c r="E1341" s="34" t="str">
        <f aca="false">IF($B1341="","",IF($B1341="OUT","Liters",IFERROR(INDEX(Setup!$F$3:$F$24,MATCH($C1341,Setup!$A$3:$A$24,0)),"")))</f>
        <v/>
      </c>
      <c r="F1341" s="28" t="str">
        <f aca="false">IF(OR($D1341="",$E1341=""),"",IFERROR($D1341*INDEX(Setup!$B$27:$B$44,MATCH($E1341,Setup!$A$27:$A$44,0)),"TBD"))</f>
        <v/>
      </c>
      <c r="G1341" s="32"/>
      <c r="H1341" s="32"/>
      <c r="I1341" s="32"/>
      <c r="J1341" s="32"/>
      <c r="K1341" s="35"/>
      <c r="L1341" s="32"/>
      <c r="M1341" s="32"/>
    </row>
    <row r="1342" customFormat="false" ht="15" hidden="false" customHeight="true" outlineLevel="0" collapsed="false">
      <c r="A1342" s="32"/>
      <c r="B1342" s="32"/>
      <c r="C1342" s="32"/>
      <c r="D1342" s="32"/>
      <c r="E1342" s="34" t="str">
        <f aca="false">IF($B1342="","",IF($B1342="OUT","Liters",IFERROR(INDEX(Setup!$F$3:$F$24,MATCH($C1342,Setup!$A$3:$A$24,0)),"")))</f>
        <v/>
      </c>
      <c r="F1342" s="28" t="str">
        <f aca="false">IF(OR($D1342="",$E1342=""),"",IFERROR($D1342*INDEX(Setup!$B$27:$B$44,MATCH($E1342,Setup!$A$27:$A$44,0)),"TBD"))</f>
        <v/>
      </c>
      <c r="G1342" s="32"/>
      <c r="H1342" s="32"/>
      <c r="I1342" s="32"/>
      <c r="J1342" s="32"/>
      <c r="K1342" s="35"/>
      <c r="L1342" s="32"/>
      <c r="M1342" s="32"/>
    </row>
    <row r="1343" customFormat="false" ht="15" hidden="false" customHeight="true" outlineLevel="0" collapsed="false">
      <c r="A1343" s="32"/>
      <c r="B1343" s="32"/>
      <c r="C1343" s="32"/>
      <c r="D1343" s="32"/>
      <c r="E1343" s="34" t="str">
        <f aca="false">IF($B1343="","",IF($B1343="OUT","Liters",IFERROR(INDEX(Setup!$F$3:$F$24,MATCH($C1343,Setup!$A$3:$A$24,0)),"")))</f>
        <v/>
      </c>
      <c r="F1343" s="28" t="str">
        <f aca="false">IF(OR($D1343="",$E1343=""),"",IFERROR($D1343*INDEX(Setup!$B$27:$B$44,MATCH($E1343,Setup!$A$27:$A$44,0)),"TBD"))</f>
        <v/>
      </c>
      <c r="G1343" s="32"/>
      <c r="H1343" s="32"/>
      <c r="I1343" s="32"/>
      <c r="J1343" s="32"/>
      <c r="K1343" s="35"/>
      <c r="L1343" s="32"/>
      <c r="M1343" s="32"/>
    </row>
    <row r="1344" customFormat="false" ht="15" hidden="false" customHeight="true" outlineLevel="0" collapsed="false">
      <c r="A1344" s="32"/>
      <c r="B1344" s="32"/>
      <c r="C1344" s="32"/>
      <c r="D1344" s="32"/>
      <c r="E1344" s="34" t="str">
        <f aca="false">IF($B1344="","",IF($B1344="OUT","Liters",IFERROR(INDEX(Setup!$F$3:$F$24,MATCH($C1344,Setup!$A$3:$A$24,0)),"")))</f>
        <v/>
      </c>
      <c r="F1344" s="28" t="str">
        <f aca="false">IF(OR($D1344="",$E1344=""),"",IFERROR($D1344*INDEX(Setup!$B$27:$B$44,MATCH($E1344,Setup!$A$27:$A$44,0)),"TBD"))</f>
        <v/>
      </c>
      <c r="G1344" s="32"/>
      <c r="H1344" s="32"/>
      <c r="I1344" s="32"/>
      <c r="J1344" s="32"/>
      <c r="K1344" s="35"/>
      <c r="L1344" s="32"/>
      <c r="M1344" s="32"/>
    </row>
    <row r="1345" customFormat="false" ht="15" hidden="false" customHeight="true" outlineLevel="0" collapsed="false">
      <c r="A1345" s="32"/>
      <c r="B1345" s="32"/>
      <c r="C1345" s="32"/>
      <c r="D1345" s="32"/>
      <c r="E1345" s="34" t="str">
        <f aca="false">IF($B1345="","",IF($B1345="OUT","Liters",IFERROR(INDEX(Setup!$F$3:$F$24,MATCH($C1345,Setup!$A$3:$A$24,0)),"")))</f>
        <v/>
      </c>
      <c r="F1345" s="28" t="str">
        <f aca="false">IF(OR($D1345="",$E1345=""),"",IFERROR($D1345*INDEX(Setup!$B$27:$B$44,MATCH($E1345,Setup!$A$27:$A$44,0)),"TBD"))</f>
        <v/>
      </c>
      <c r="G1345" s="32"/>
      <c r="H1345" s="32"/>
      <c r="I1345" s="32"/>
      <c r="J1345" s="32"/>
      <c r="K1345" s="35"/>
      <c r="L1345" s="32"/>
      <c r="M1345" s="32"/>
    </row>
    <row r="1346" customFormat="false" ht="15" hidden="false" customHeight="true" outlineLevel="0" collapsed="false">
      <c r="A1346" s="32"/>
      <c r="B1346" s="32"/>
      <c r="C1346" s="32"/>
      <c r="D1346" s="32"/>
      <c r="E1346" s="34" t="str">
        <f aca="false">IF($B1346="","",IF($B1346="OUT","Liters",IFERROR(INDEX(Setup!$F$3:$F$24,MATCH($C1346,Setup!$A$3:$A$24,0)),"")))</f>
        <v/>
      </c>
      <c r="F1346" s="28" t="str">
        <f aca="false">IF(OR($D1346="",$E1346=""),"",IFERROR($D1346*INDEX(Setup!$B$27:$B$44,MATCH($E1346,Setup!$A$27:$A$44,0)),"TBD"))</f>
        <v/>
      </c>
      <c r="G1346" s="32"/>
      <c r="H1346" s="32"/>
      <c r="I1346" s="32"/>
      <c r="J1346" s="32"/>
      <c r="K1346" s="35"/>
      <c r="L1346" s="32"/>
      <c r="M1346" s="32"/>
    </row>
    <row r="1347" customFormat="false" ht="15" hidden="false" customHeight="true" outlineLevel="0" collapsed="false">
      <c r="A1347" s="32"/>
      <c r="B1347" s="32"/>
      <c r="C1347" s="32"/>
      <c r="D1347" s="32"/>
      <c r="E1347" s="34" t="str">
        <f aca="false">IF($B1347="","",IF($B1347="OUT","Liters",IFERROR(INDEX(Setup!$F$3:$F$24,MATCH($C1347,Setup!$A$3:$A$24,0)),"")))</f>
        <v/>
      </c>
      <c r="F1347" s="28" t="str">
        <f aca="false">IF(OR($D1347="",$E1347=""),"",IFERROR($D1347*INDEX(Setup!$B$27:$B$44,MATCH($E1347,Setup!$A$27:$A$44,0)),"TBD"))</f>
        <v/>
      </c>
      <c r="G1347" s="32"/>
      <c r="H1347" s="32"/>
      <c r="I1347" s="32"/>
      <c r="J1347" s="32"/>
      <c r="K1347" s="35"/>
      <c r="L1347" s="32"/>
      <c r="M1347" s="32"/>
    </row>
    <row r="1348" customFormat="false" ht="15" hidden="false" customHeight="true" outlineLevel="0" collapsed="false">
      <c r="A1348" s="32"/>
      <c r="B1348" s="32"/>
      <c r="C1348" s="32"/>
      <c r="D1348" s="32"/>
      <c r="E1348" s="34" t="str">
        <f aca="false">IF($B1348="","",IF($B1348="OUT","Liters",IFERROR(INDEX(Setup!$F$3:$F$24,MATCH($C1348,Setup!$A$3:$A$24,0)),"")))</f>
        <v/>
      </c>
      <c r="F1348" s="28" t="str">
        <f aca="false">IF(OR($D1348="",$E1348=""),"",IFERROR($D1348*INDEX(Setup!$B$27:$B$44,MATCH($E1348,Setup!$A$27:$A$44,0)),"TBD"))</f>
        <v/>
      </c>
      <c r="G1348" s="32"/>
      <c r="H1348" s="32"/>
      <c r="I1348" s="32"/>
      <c r="J1348" s="32"/>
      <c r="K1348" s="35"/>
      <c r="L1348" s="32"/>
      <c r="M1348" s="32"/>
    </row>
    <row r="1349" customFormat="false" ht="15" hidden="false" customHeight="true" outlineLevel="0" collapsed="false">
      <c r="A1349" s="32"/>
      <c r="B1349" s="32"/>
      <c r="C1349" s="32"/>
      <c r="D1349" s="32"/>
      <c r="E1349" s="34" t="str">
        <f aca="false">IF($B1349="","",IF($B1349="OUT","Liters",IFERROR(INDEX(Setup!$F$3:$F$24,MATCH($C1349,Setup!$A$3:$A$24,0)),"")))</f>
        <v/>
      </c>
      <c r="F1349" s="28" t="str">
        <f aca="false">IF(OR($D1349="",$E1349=""),"",IFERROR($D1349*INDEX(Setup!$B$27:$B$44,MATCH($E1349,Setup!$A$27:$A$44,0)),"TBD"))</f>
        <v/>
      </c>
      <c r="G1349" s="32"/>
      <c r="H1349" s="32"/>
      <c r="I1349" s="32"/>
      <c r="J1349" s="32"/>
      <c r="K1349" s="35"/>
      <c r="L1349" s="32"/>
      <c r="M1349" s="32"/>
    </row>
    <row r="1350" customFormat="false" ht="15" hidden="false" customHeight="true" outlineLevel="0" collapsed="false">
      <c r="A1350" s="32"/>
      <c r="B1350" s="32"/>
      <c r="C1350" s="32"/>
      <c r="D1350" s="32"/>
      <c r="E1350" s="34" t="str">
        <f aca="false">IF($B1350="","",IF($B1350="OUT","Liters",IFERROR(INDEX(Setup!$F$3:$F$24,MATCH($C1350,Setup!$A$3:$A$24,0)),"")))</f>
        <v/>
      </c>
      <c r="F1350" s="28" t="str">
        <f aca="false">IF(OR($D1350="",$E1350=""),"",IFERROR($D1350*INDEX(Setup!$B$27:$B$44,MATCH($E1350,Setup!$A$27:$A$44,0)),"TBD"))</f>
        <v/>
      </c>
      <c r="G1350" s="32"/>
      <c r="H1350" s="32"/>
      <c r="I1350" s="32"/>
      <c r="J1350" s="32"/>
      <c r="K1350" s="35"/>
      <c r="L1350" s="32"/>
      <c r="M1350" s="32"/>
    </row>
    <row r="1351" customFormat="false" ht="15" hidden="false" customHeight="true" outlineLevel="0" collapsed="false">
      <c r="A1351" s="32"/>
      <c r="B1351" s="32"/>
      <c r="C1351" s="32"/>
      <c r="D1351" s="32"/>
      <c r="E1351" s="34" t="str">
        <f aca="false">IF($B1351="","",IF($B1351="OUT","Liters",IFERROR(INDEX(Setup!$F$3:$F$24,MATCH($C1351,Setup!$A$3:$A$24,0)),"")))</f>
        <v/>
      </c>
      <c r="F1351" s="28" t="str">
        <f aca="false">IF(OR($D1351="",$E1351=""),"",IFERROR($D1351*INDEX(Setup!$B$27:$B$44,MATCH($E1351,Setup!$A$27:$A$44,0)),"TBD"))</f>
        <v/>
      </c>
      <c r="G1351" s="32"/>
      <c r="H1351" s="32"/>
      <c r="I1351" s="32"/>
      <c r="J1351" s="32"/>
      <c r="K1351" s="35"/>
      <c r="L1351" s="32"/>
      <c r="M1351" s="32"/>
    </row>
    <row r="1352" customFormat="false" ht="15" hidden="false" customHeight="true" outlineLevel="0" collapsed="false">
      <c r="A1352" s="32"/>
      <c r="B1352" s="32"/>
      <c r="C1352" s="32"/>
      <c r="D1352" s="32"/>
      <c r="E1352" s="34" t="str">
        <f aca="false">IF($B1352="","",IF($B1352="OUT","Liters",IFERROR(INDEX(Setup!$F$3:$F$24,MATCH($C1352,Setup!$A$3:$A$24,0)),"")))</f>
        <v/>
      </c>
      <c r="F1352" s="28" t="str">
        <f aca="false">IF(OR($D1352="",$E1352=""),"",IFERROR($D1352*INDEX(Setup!$B$27:$B$44,MATCH($E1352,Setup!$A$27:$A$44,0)),"TBD"))</f>
        <v/>
      </c>
      <c r="G1352" s="32"/>
      <c r="H1352" s="32"/>
      <c r="I1352" s="32"/>
      <c r="J1352" s="32"/>
      <c r="K1352" s="35"/>
      <c r="L1352" s="32"/>
      <c r="M1352" s="32"/>
    </row>
    <row r="1353" customFormat="false" ht="15" hidden="false" customHeight="true" outlineLevel="0" collapsed="false">
      <c r="A1353" s="32"/>
      <c r="B1353" s="32"/>
      <c r="C1353" s="32"/>
      <c r="D1353" s="32"/>
      <c r="E1353" s="34" t="str">
        <f aca="false">IF($B1353="","",IF($B1353="OUT","Liters",IFERROR(INDEX(Setup!$F$3:$F$24,MATCH($C1353,Setup!$A$3:$A$24,0)),"")))</f>
        <v/>
      </c>
      <c r="F1353" s="28" t="str">
        <f aca="false">IF(OR($D1353="",$E1353=""),"",IFERROR($D1353*INDEX(Setup!$B$27:$B$44,MATCH($E1353,Setup!$A$27:$A$44,0)),"TBD"))</f>
        <v/>
      </c>
      <c r="G1353" s="32"/>
      <c r="H1353" s="32"/>
      <c r="I1353" s="32"/>
      <c r="J1353" s="32"/>
      <c r="K1353" s="35"/>
      <c r="L1353" s="32"/>
      <c r="M1353" s="32"/>
    </row>
    <row r="1354" customFormat="false" ht="15" hidden="false" customHeight="true" outlineLevel="0" collapsed="false">
      <c r="A1354" s="32"/>
      <c r="B1354" s="32"/>
      <c r="C1354" s="32"/>
      <c r="D1354" s="32"/>
      <c r="E1354" s="34" t="str">
        <f aca="false">IF($B1354="","",IF($B1354="OUT","Liters",IFERROR(INDEX(Setup!$F$3:$F$24,MATCH($C1354,Setup!$A$3:$A$24,0)),"")))</f>
        <v/>
      </c>
      <c r="F1354" s="28" t="str">
        <f aca="false">IF(OR($D1354="",$E1354=""),"",IFERROR($D1354*INDEX(Setup!$B$27:$B$44,MATCH($E1354,Setup!$A$27:$A$44,0)),"TBD"))</f>
        <v/>
      </c>
      <c r="G1354" s="32"/>
      <c r="H1354" s="32"/>
      <c r="I1354" s="32"/>
      <c r="J1354" s="32"/>
      <c r="K1354" s="35"/>
      <c r="L1354" s="32"/>
      <c r="M1354" s="32"/>
    </row>
    <row r="1355" customFormat="false" ht="15" hidden="false" customHeight="true" outlineLevel="0" collapsed="false">
      <c r="A1355" s="32"/>
      <c r="B1355" s="32"/>
      <c r="C1355" s="32"/>
      <c r="D1355" s="32"/>
      <c r="E1355" s="34" t="str">
        <f aca="false">IF($B1355="","",IF($B1355="OUT","Liters",IFERROR(INDEX(Setup!$F$3:$F$24,MATCH($C1355,Setup!$A$3:$A$24,0)),"")))</f>
        <v/>
      </c>
      <c r="F1355" s="28" t="str">
        <f aca="false">IF(OR($D1355="",$E1355=""),"",IFERROR($D1355*INDEX(Setup!$B$27:$B$44,MATCH($E1355,Setup!$A$27:$A$44,0)),"TBD"))</f>
        <v/>
      </c>
      <c r="G1355" s="32"/>
      <c r="H1355" s="32"/>
      <c r="I1355" s="32"/>
      <c r="J1355" s="32"/>
      <c r="K1355" s="35"/>
      <c r="L1355" s="32"/>
      <c r="M1355" s="32"/>
    </row>
    <row r="1356" customFormat="false" ht="15" hidden="false" customHeight="true" outlineLevel="0" collapsed="false">
      <c r="A1356" s="32"/>
      <c r="B1356" s="32"/>
      <c r="C1356" s="32"/>
      <c r="D1356" s="32"/>
      <c r="E1356" s="34" t="str">
        <f aca="false">IF($B1356="","",IF($B1356="OUT","Liters",IFERROR(INDEX(Setup!$F$3:$F$24,MATCH($C1356,Setup!$A$3:$A$24,0)),"")))</f>
        <v/>
      </c>
      <c r="F1356" s="28" t="str">
        <f aca="false">IF(OR($D1356="",$E1356=""),"",IFERROR($D1356*INDEX(Setup!$B$27:$B$44,MATCH($E1356,Setup!$A$27:$A$44,0)),"TBD"))</f>
        <v/>
      </c>
      <c r="G1356" s="32"/>
      <c r="H1356" s="32"/>
      <c r="I1356" s="32"/>
      <c r="J1356" s="32"/>
      <c r="K1356" s="35"/>
      <c r="L1356" s="32"/>
      <c r="M1356" s="32"/>
    </row>
    <row r="1357" customFormat="false" ht="15" hidden="false" customHeight="true" outlineLevel="0" collapsed="false">
      <c r="A1357" s="32"/>
      <c r="B1357" s="32"/>
      <c r="C1357" s="32"/>
      <c r="D1357" s="32"/>
      <c r="E1357" s="34" t="str">
        <f aca="false">IF($B1357="","",IF($B1357="OUT","Liters",IFERROR(INDEX(Setup!$F$3:$F$24,MATCH($C1357,Setup!$A$3:$A$24,0)),"")))</f>
        <v/>
      </c>
      <c r="F1357" s="28" t="str">
        <f aca="false">IF(OR($D1357="",$E1357=""),"",IFERROR($D1357*INDEX(Setup!$B$27:$B$44,MATCH($E1357,Setup!$A$27:$A$44,0)),"TBD"))</f>
        <v/>
      </c>
      <c r="G1357" s="32"/>
      <c r="H1357" s="32"/>
      <c r="I1357" s="32"/>
      <c r="J1357" s="32"/>
      <c r="K1357" s="35"/>
      <c r="L1357" s="32"/>
      <c r="M1357" s="32"/>
    </row>
    <row r="1358" customFormat="false" ht="15" hidden="false" customHeight="true" outlineLevel="0" collapsed="false">
      <c r="A1358" s="32"/>
      <c r="B1358" s="32"/>
      <c r="C1358" s="32"/>
      <c r="D1358" s="32"/>
      <c r="E1358" s="34" t="str">
        <f aca="false">IF($B1358="","",IF($B1358="OUT","Liters",IFERROR(INDEX(Setup!$F$3:$F$24,MATCH($C1358,Setup!$A$3:$A$24,0)),"")))</f>
        <v/>
      </c>
      <c r="F1358" s="28" t="str">
        <f aca="false">IF(OR($D1358="",$E1358=""),"",IFERROR($D1358*INDEX(Setup!$B$27:$B$44,MATCH($E1358,Setup!$A$27:$A$44,0)),"TBD"))</f>
        <v/>
      </c>
      <c r="G1358" s="32"/>
      <c r="H1358" s="32"/>
      <c r="I1358" s="32"/>
      <c r="J1358" s="32"/>
      <c r="K1358" s="35"/>
      <c r="L1358" s="32"/>
      <c r="M1358" s="32"/>
    </row>
    <row r="1359" customFormat="false" ht="15" hidden="false" customHeight="true" outlineLevel="0" collapsed="false">
      <c r="A1359" s="32"/>
      <c r="B1359" s="32"/>
      <c r="C1359" s="32"/>
      <c r="D1359" s="32"/>
      <c r="E1359" s="34" t="str">
        <f aca="false">IF($B1359="","",IF($B1359="OUT","Liters",IFERROR(INDEX(Setup!$F$3:$F$24,MATCH($C1359,Setup!$A$3:$A$24,0)),"")))</f>
        <v/>
      </c>
      <c r="F1359" s="28" t="str">
        <f aca="false">IF(OR($D1359="",$E1359=""),"",IFERROR($D1359*INDEX(Setup!$B$27:$B$44,MATCH($E1359,Setup!$A$27:$A$44,0)),"TBD"))</f>
        <v/>
      </c>
      <c r="G1359" s="32"/>
      <c r="H1359" s="32"/>
      <c r="I1359" s="32"/>
      <c r="J1359" s="32"/>
      <c r="K1359" s="35"/>
      <c r="L1359" s="32"/>
      <c r="M1359" s="32"/>
    </row>
    <row r="1360" customFormat="false" ht="15" hidden="false" customHeight="true" outlineLevel="0" collapsed="false">
      <c r="A1360" s="32"/>
      <c r="B1360" s="32"/>
      <c r="C1360" s="32"/>
      <c r="D1360" s="32"/>
      <c r="E1360" s="34" t="str">
        <f aca="false">IF($B1360="","",IF($B1360="OUT","Liters",IFERROR(INDEX(Setup!$F$3:$F$24,MATCH($C1360,Setup!$A$3:$A$24,0)),"")))</f>
        <v/>
      </c>
      <c r="F1360" s="28" t="str">
        <f aca="false">IF(OR($D1360="",$E1360=""),"",IFERROR($D1360*INDEX(Setup!$B$27:$B$44,MATCH($E1360,Setup!$A$27:$A$44,0)),"TBD"))</f>
        <v/>
      </c>
      <c r="G1360" s="32"/>
      <c r="H1360" s="32"/>
      <c r="I1360" s="32"/>
      <c r="J1360" s="32"/>
      <c r="K1360" s="35"/>
      <c r="L1360" s="32"/>
      <c r="M1360" s="32"/>
    </row>
    <row r="1361" customFormat="false" ht="15" hidden="false" customHeight="true" outlineLevel="0" collapsed="false">
      <c r="A1361" s="32"/>
      <c r="B1361" s="32"/>
      <c r="C1361" s="32"/>
      <c r="D1361" s="32"/>
      <c r="E1361" s="34" t="str">
        <f aca="false">IF($B1361="","",IF($B1361="OUT","Liters",IFERROR(INDEX(Setup!$F$3:$F$24,MATCH($C1361,Setup!$A$3:$A$24,0)),"")))</f>
        <v/>
      </c>
      <c r="F1361" s="28" t="str">
        <f aca="false">IF(OR($D1361="",$E1361=""),"",IFERROR($D1361*INDEX(Setup!$B$27:$B$44,MATCH($E1361,Setup!$A$27:$A$44,0)),"TBD"))</f>
        <v/>
      </c>
      <c r="G1361" s="32"/>
      <c r="H1361" s="32"/>
      <c r="I1361" s="32"/>
      <c r="J1361" s="32"/>
      <c r="K1361" s="35"/>
      <c r="L1361" s="32"/>
      <c r="M1361" s="32"/>
    </row>
    <row r="1362" customFormat="false" ht="15" hidden="false" customHeight="true" outlineLevel="0" collapsed="false">
      <c r="A1362" s="32"/>
      <c r="B1362" s="32"/>
      <c r="C1362" s="32"/>
      <c r="D1362" s="32"/>
      <c r="E1362" s="34" t="str">
        <f aca="false">IF($B1362="","",IF($B1362="OUT","Liters",IFERROR(INDEX(Setup!$F$3:$F$24,MATCH($C1362,Setup!$A$3:$A$24,0)),"")))</f>
        <v/>
      </c>
      <c r="F1362" s="28" t="str">
        <f aca="false">IF(OR($D1362="",$E1362=""),"",IFERROR($D1362*INDEX(Setup!$B$27:$B$44,MATCH($E1362,Setup!$A$27:$A$44,0)),"TBD"))</f>
        <v/>
      </c>
      <c r="G1362" s="32"/>
      <c r="H1362" s="32"/>
      <c r="I1362" s="32"/>
      <c r="J1362" s="32"/>
      <c r="K1362" s="35"/>
      <c r="L1362" s="32"/>
      <c r="M1362" s="32"/>
    </row>
    <row r="1363" customFormat="false" ht="15" hidden="false" customHeight="true" outlineLevel="0" collapsed="false">
      <c r="A1363" s="32"/>
      <c r="B1363" s="32"/>
      <c r="C1363" s="32"/>
      <c r="D1363" s="32"/>
      <c r="E1363" s="34" t="str">
        <f aca="false">IF($B1363="","",IF($B1363="OUT","Liters",IFERROR(INDEX(Setup!$F$3:$F$24,MATCH($C1363,Setup!$A$3:$A$24,0)),"")))</f>
        <v/>
      </c>
      <c r="F1363" s="28" t="str">
        <f aca="false">IF(OR($D1363="",$E1363=""),"",IFERROR($D1363*INDEX(Setup!$B$27:$B$44,MATCH($E1363,Setup!$A$27:$A$44,0)),"TBD"))</f>
        <v/>
      </c>
      <c r="G1363" s="32"/>
      <c r="H1363" s="32"/>
      <c r="I1363" s="32"/>
      <c r="J1363" s="32"/>
      <c r="K1363" s="35"/>
      <c r="L1363" s="32"/>
      <c r="M1363" s="32"/>
    </row>
    <row r="1364" customFormat="false" ht="15" hidden="false" customHeight="true" outlineLevel="0" collapsed="false">
      <c r="A1364" s="32"/>
      <c r="B1364" s="32"/>
      <c r="C1364" s="32"/>
      <c r="D1364" s="32"/>
      <c r="E1364" s="34" t="str">
        <f aca="false">IF($B1364="","",IF($B1364="OUT","Liters",IFERROR(INDEX(Setup!$F$3:$F$24,MATCH($C1364,Setup!$A$3:$A$24,0)),"")))</f>
        <v/>
      </c>
      <c r="F1364" s="28" t="str">
        <f aca="false">IF(OR($D1364="",$E1364=""),"",IFERROR($D1364*INDEX(Setup!$B$27:$B$44,MATCH($E1364,Setup!$A$27:$A$44,0)),"TBD"))</f>
        <v/>
      </c>
      <c r="G1364" s="32"/>
      <c r="H1364" s="32"/>
      <c r="I1364" s="32"/>
      <c r="J1364" s="32"/>
      <c r="K1364" s="35"/>
      <c r="L1364" s="32"/>
      <c r="M1364" s="32"/>
    </row>
    <row r="1365" customFormat="false" ht="15" hidden="false" customHeight="true" outlineLevel="0" collapsed="false">
      <c r="A1365" s="32"/>
      <c r="B1365" s="32"/>
      <c r="C1365" s="32"/>
      <c r="D1365" s="32"/>
      <c r="E1365" s="34" t="str">
        <f aca="false">IF($B1365="","",IF($B1365="OUT","Liters",IFERROR(INDEX(Setup!$F$3:$F$24,MATCH($C1365,Setup!$A$3:$A$24,0)),"")))</f>
        <v/>
      </c>
      <c r="F1365" s="28" t="str">
        <f aca="false">IF(OR($D1365="",$E1365=""),"",IFERROR($D1365*INDEX(Setup!$B$27:$B$44,MATCH($E1365,Setup!$A$27:$A$44,0)),"TBD"))</f>
        <v/>
      </c>
      <c r="G1365" s="32"/>
      <c r="H1365" s="32"/>
      <c r="I1365" s="32"/>
      <c r="J1365" s="32"/>
      <c r="K1365" s="35"/>
      <c r="L1365" s="32"/>
      <c r="M1365" s="32"/>
    </row>
    <row r="1366" customFormat="false" ht="15" hidden="false" customHeight="true" outlineLevel="0" collapsed="false">
      <c r="A1366" s="32"/>
      <c r="B1366" s="32"/>
      <c r="C1366" s="32"/>
      <c r="D1366" s="32"/>
      <c r="E1366" s="34" t="str">
        <f aca="false">IF($B1366="","",IF($B1366="OUT","Liters",IFERROR(INDEX(Setup!$F$3:$F$24,MATCH($C1366,Setup!$A$3:$A$24,0)),"")))</f>
        <v/>
      </c>
      <c r="F1366" s="28" t="str">
        <f aca="false">IF(OR($D1366="",$E1366=""),"",IFERROR($D1366*INDEX(Setup!$B$27:$B$44,MATCH($E1366,Setup!$A$27:$A$44,0)),"TBD"))</f>
        <v/>
      </c>
      <c r="G1366" s="32"/>
      <c r="H1366" s="32"/>
      <c r="I1366" s="32"/>
      <c r="J1366" s="32"/>
      <c r="K1366" s="35"/>
      <c r="L1366" s="32"/>
      <c r="M1366" s="32"/>
    </row>
    <row r="1367" customFormat="false" ht="15" hidden="false" customHeight="true" outlineLevel="0" collapsed="false">
      <c r="A1367" s="32"/>
      <c r="B1367" s="32"/>
      <c r="C1367" s="32"/>
      <c r="D1367" s="32"/>
      <c r="E1367" s="34" t="str">
        <f aca="false">IF($B1367="","",IF($B1367="OUT","Liters",IFERROR(INDEX(Setup!$F$3:$F$24,MATCH($C1367,Setup!$A$3:$A$24,0)),"")))</f>
        <v/>
      </c>
      <c r="F1367" s="28" t="str">
        <f aca="false">IF(OR($D1367="",$E1367=""),"",IFERROR($D1367*INDEX(Setup!$B$27:$B$44,MATCH($E1367,Setup!$A$27:$A$44,0)),"TBD"))</f>
        <v/>
      </c>
      <c r="G1367" s="32"/>
      <c r="H1367" s="32"/>
      <c r="I1367" s="32"/>
      <c r="J1367" s="32"/>
      <c r="K1367" s="35"/>
      <c r="L1367" s="32"/>
      <c r="M1367" s="32"/>
    </row>
    <row r="1368" customFormat="false" ht="15" hidden="false" customHeight="true" outlineLevel="0" collapsed="false">
      <c r="A1368" s="32"/>
      <c r="B1368" s="32"/>
      <c r="C1368" s="32"/>
      <c r="D1368" s="32"/>
      <c r="E1368" s="34" t="str">
        <f aca="false">IF($B1368="","",IF($B1368="OUT","Liters",IFERROR(INDEX(Setup!$F$3:$F$24,MATCH($C1368,Setup!$A$3:$A$24,0)),"")))</f>
        <v/>
      </c>
      <c r="F1368" s="28" t="str">
        <f aca="false">IF(OR($D1368="",$E1368=""),"",IFERROR($D1368*INDEX(Setup!$B$27:$B$44,MATCH($E1368,Setup!$A$27:$A$44,0)),"TBD"))</f>
        <v/>
      </c>
      <c r="G1368" s="32"/>
      <c r="H1368" s="32"/>
      <c r="I1368" s="32"/>
      <c r="J1368" s="32"/>
      <c r="K1368" s="35"/>
      <c r="L1368" s="32"/>
      <c r="M1368" s="32"/>
    </row>
    <row r="1369" customFormat="false" ht="15" hidden="false" customHeight="true" outlineLevel="0" collapsed="false">
      <c r="A1369" s="32"/>
      <c r="B1369" s="32"/>
      <c r="C1369" s="32"/>
      <c r="D1369" s="32"/>
      <c r="E1369" s="34" t="str">
        <f aca="false">IF($B1369="","",IF($B1369="OUT","Liters",IFERROR(INDEX(Setup!$F$3:$F$24,MATCH($C1369,Setup!$A$3:$A$24,0)),"")))</f>
        <v/>
      </c>
      <c r="F1369" s="28" t="str">
        <f aca="false">IF(OR($D1369="",$E1369=""),"",IFERROR($D1369*INDEX(Setup!$B$27:$B$44,MATCH($E1369,Setup!$A$27:$A$44,0)),"TBD"))</f>
        <v/>
      </c>
      <c r="G1369" s="32"/>
      <c r="H1369" s="32"/>
      <c r="I1369" s="32"/>
      <c r="J1369" s="32"/>
      <c r="K1369" s="35"/>
      <c r="L1369" s="32"/>
      <c r="M1369" s="32"/>
    </row>
    <row r="1370" customFormat="false" ht="15" hidden="false" customHeight="true" outlineLevel="0" collapsed="false">
      <c r="A1370" s="32"/>
      <c r="B1370" s="32"/>
      <c r="C1370" s="32"/>
      <c r="D1370" s="32"/>
      <c r="E1370" s="34" t="str">
        <f aca="false">IF($B1370="","",IF($B1370="OUT","Liters",IFERROR(INDEX(Setup!$F$3:$F$24,MATCH($C1370,Setup!$A$3:$A$24,0)),"")))</f>
        <v/>
      </c>
      <c r="F1370" s="28" t="str">
        <f aca="false">IF(OR($D1370="",$E1370=""),"",IFERROR($D1370*INDEX(Setup!$B$27:$B$44,MATCH($E1370,Setup!$A$27:$A$44,0)),"TBD"))</f>
        <v/>
      </c>
      <c r="G1370" s="32"/>
      <c r="H1370" s="32"/>
      <c r="I1370" s="32"/>
      <c r="J1370" s="32"/>
      <c r="K1370" s="35"/>
      <c r="L1370" s="32"/>
      <c r="M1370" s="32"/>
    </row>
    <row r="1371" customFormat="false" ht="15" hidden="false" customHeight="true" outlineLevel="0" collapsed="false">
      <c r="A1371" s="32"/>
      <c r="B1371" s="32"/>
      <c r="C1371" s="32"/>
      <c r="D1371" s="32"/>
      <c r="E1371" s="34" t="str">
        <f aca="false">IF($B1371="","",IF($B1371="OUT","Liters",IFERROR(INDEX(Setup!$F$3:$F$24,MATCH($C1371,Setup!$A$3:$A$24,0)),"")))</f>
        <v/>
      </c>
      <c r="F1371" s="28" t="str">
        <f aca="false">IF(OR($D1371="",$E1371=""),"",IFERROR($D1371*INDEX(Setup!$B$27:$B$44,MATCH($E1371,Setup!$A$27:$A$44,0)),"TBD"))</f>
        <v/>
      </c>
      <c r="G1371" s="32"/>
      <c r="H1371" s="32"/>
      <c r="I1371" s="32"/>
      <c r="J1371" s="32"/>
      <c r="K1371" s="35"/>
      <c r="L1371" s="32"/>
      <c r="M1371" s="32"/>
    </row>
    <row r="1372" customFormat="false" ht="15" hidden="false" customHeight="true" outlineLevel="0" collapsed="false">
      <c r="A1372" s="32"/>
      <c r="B1372" s="32"/>
      <c r="C1372" s="32"/>
      <c r="D1372" s="32"/>
      <c r="E1372" s="34" t="str">
        <f aca="false">IF($B1372="","",IF($B1372="OUT","Liters",IFERROR(INDEX(Setup!$F$3:$F$24,MATCH($C1372,Setup!$A$3:$A$24,0)),"")))</f>
        <v/>
      </c>
      <c r="F1372" s="28" t="str">
        <f aca="false">IF(OR($D1372="",$E1372=""),"",IFERROR($D1372*INDEX(Setup!$B$27:$B$44,MATCH($E1372,Setup!$A$27:$A$44,0)),"TBD"))</f>
        <v/>
      </c>
      <c r="G1372" s="32"/>
      <c r="H1372" s="32"/>
      <c r="I1372" s="32"/>
      <c r="J1372" s="32"/>
      <c r="K1372" s="35"/>
      <c r="L1372" s="32"/>
      <c r="M1372" s="32"/>
    </row>
    <row r="1373" customFormat="false" ht="15" hidden="false" customHeight="true" outlineLevel="0" collapsed="false">
      <c r="A1373" s="32"/>
      <c r="B1373" s="32"/>
      <c r="C1373" s="32"/>
      <c r="D1373" s="32"/>
      <c r="E1373" s="34" t="str">
        <f aca="false">IF($B1373="","",IF($B1373="OUT","Liters",IFERROR(INDEX(Setup!$F$3:$F$24,MATCH($C1373,Setup!$A$3:$A$24,0)),"")))</f>
        <v/>
      </c>
      <c r="F1373" s="28" t="str">
        <f aca="false">IF(OR($D1373="",$E1373=""),"",IFERROR($D1373*INDEX(Setup!$B$27:$B$44,MATCH($E1373,Setup!$A$27:$A$44,0)),"TBD"))</f>
        <v/>
      </c>
      <c r="G1373" s="32"/>
      <c r="H1373" s="32"/>
      <c r="I1373" s="32"/>
      <c r="J1373" s="32"/>
      <c r="K1373" s="35"/>
      <c r="L1373" s="32"/>
      <c r="M1373" s="32"/>
    </row>
    <row r="1374" customFormat="false" ht="15" hidden="false" customHeight="true" outlineLevel="0" collapsed="false">
      <c r="A1374" s="32"/>
      <c r="B1374" s="32"/>
      <c r="C1374" s="32"/>
      <c r="D1374" s="32"/>
      <c r="E1374" s="34" t="str">
        <f aca="false">IF($B1374="","",IF($B1374="OUT","Liters",IFERROR(INDEX(Setup!$F$3:$F$24,MATCH($C1374,Setup!$A$3:$A$24,0)),"")))</f>
        <v/>
      </c>
      <c r="F1374" s="28" t="str">
        <f aca="false">IF(OR($D1374="",$E1374=""),"",IFERROR($D1374*INDEX(Setup!$B$27:$B$44,MATCH($E1374,Setup!$A$27:$A$44,0)),"TBD"))</f>
        <v/>
      </c>
      <c r="G1374" s="32"/>
      <c r="H1374" s="32"/>
      <c r="I1374" s="32"/>
      <c r="J1374" s="32"/>
      <c r="K1374" s="35"/>
      <c r="L1374" s="32"/>
      <c r="M1374" s="32"/>
    </row>
    <row r="1375" customFormat="false" ht="15" hidden="false" customHeight="true" outlineLevel="0" collapsed="false">
      <c r="A1375" s="32"/>
      <c r="B1375" s="32"/>
      <c r="C1375" s="32"/>
      <c r="D1375" s="32"/>
      <c r="E1375" s="34" t="str">
        <f aca="false">IF($B1375="","",IF($B1375="OUT","Liters",IFERROR(INDEX(Setup!$F$3:$F$24,MATCH($C1375,Setup!$A$3:$A$24,0)),"")))</f>
        <v/>
      </c>
      <c r="F1375" s="28" t="str">
        <f aca="false">IF(OR($D1375="",$E1375=""),"",IFERROR($D1375*INDEX(Setup!$B$27:$B$44,MATCH($E1375,Setup!$A$27:$A$44,0)),"TBD"))</f>
        <v/>
      </c>
      <c r="G1375" s="32"/>
      <c r="H1375" s="32"/>
      <c r="I1375" s="32"/>
      <c r="J1375" s="32"/>
      <c r="K1375" s="35"/>
      <c r="L1375" s="32"/>
      <c r="M1375" s="32"/>
    </row>
    <row r="1376" customFormat="false" ht="15" hidden="false" customHeight="true" outlineLevel="0" collapsed="false">
      <c r="A1376" s="32"/>
      <c r="B1376" s="32"/>
      <c r="C1376" s="32"/>
      <c r="D1376" s="32"/>
      <c r="E1376" s="34" t="str">
        <f aca="false">IF($B1376="","",IF($B1376="OUT","Liters",IFERROR(INDEX(Setup!$F$3:$F$24,MATCH($C1376,Setup!$A$3:$A$24,0)),"")))</f>
        <v/>
      </c>
      <c r="F1376" s="28" t="str">
        <f aca="false">IF(OR($D1376="",$E1376=""),"",IFERROR($D1376*INDEX(Setup!$B$27:$B$44,MATCH($E1376,Setup!$A$27:$A$44,0)),"TBD"))</f>
        <v/>
      </c>
      <c r="G1376" s="32"/>
      <c r="H1376" s="32"/>
      <c r="I1376" s="32"/>
      <c r="J1376" s="32"/>
      <c r="K1376" s="35"/>
      <c r="L1376" s="32"/>
      <c r="M1376" s="32"/>
    </row>
    <row r="1377" customFormat="false" ht="15" hidden="false" customHeight="true" outlineLevel="0" collapsed="false">
      <c r="A1377" s="32"/>
      <c r="B1377" s="32"/>
      <c r="C1377" s="32"/>
      <c r="D1377" s="32"/>
      <c r="E1377" s="34" t="str">
        <f aca="false">IF($B1377="","",IF($B1377="OUT","Liters",IFERROR(INDEX(Setup!$F$3:$F$24,MATCH($C1377,Setup!$A$3:$A$24,0)),"")))</f>
        <v/>
      </c>
      <c r="F1377" s="28" t="str">
        <f aca="false">IF(OR($D1377="",$E1377=""),"",IFERROR($D1377*INDEX(Setup!$B$27:$B$44,MATCH($E1377,Setup!$A$27:$A$44,0)),"TBD"))</f>
        <v/>
      </c>
      <c r="G1377" s="32"/>
      <c r="H1377" s="32"/>
      <c r="I1377" s="32"/>
      <c r="J1377" s="32"/>
      <c r="K1377" s="35"/>
      <c r="L1377" s="32"/>
      <c r="M1377" s="32"/>
    </row>
    <row r="1378" customFormat="false" ht="15" hidden="false" customHeight="true" outlineLevel="0" collapsed="false">
      <c r="A1378" s="32"/>
      <c r="B1378" s="32"/>
      <c r="C1378" s="32"/>
      <c r="D1378" s="32"/>
      <c r="E1378" s="34" t="str">
        <f aca="false">IF($B1378="","",IF($B1378="OUT","Liters",IFERROR(INDEX(Setup!$F$3:$F$24,MATCH($C1378,Setup!$A$3:$A$24,0)),"")))</f>
        <v/>
      </c>
      <c r="F1378" s="28" t="str">
        <f aca="false">IF(OR($D1378="",$E1378=""),"",IFERROR($D1378*INDEX(Setup!$B$27:$B$44,MATCH($E1378,Setup!$A$27:$A$44,0)),"TBD"))</f>
        <v/>
      </c>
      <c r="G1378" s="32"/>
      <c r="H1378" s="32"/>
      <c r="I1378" s="32"/>
      <c r="J1378" s="32"/>
      <c r="K1378" s="35"/>
      <c r="L1378" s="32"/>
      <c r="M1378" s="32"/>
    </row>
    <row r="1379" customFormat="false" ht="15" hidden="false" customHeight="true" outlineLevel="0" collapsed="false">
      <c r="A1379" s="32"/>
      <c r="B1379" s="32"/>
      <c r="C1379" s="32"/>
      <c r="D1379" s="32"/>
      <c r="E1379" s="34" t="str">
        <f aca="false">IF($B1379="","",IF($B1379="OUT","Liters",IFERROR(INDEX(Setup!$F$3:$F$24,MATCH($C1379,Setup!$A$3:$A$24,0)),"")))</f>
        <v/>
      </c>
      <c r="F1379" s="28" t="str">
        <f aca="false">IF(OR($D1379="",$E1379=""),"",IFERROR($D1379*INDEX(Setup!$B$27:$B$44,MATCH($E1379,Setup!$A$27:$A$44,0)),"TBD"))</f>
        <v/>
      </c>
      <c r="G1379" s="32"/>
      <c r="H1379" s="32"/>
      <c r="I1379" s="32"/>
      <c r="J1379" s="32"/>
      <c r="K1379" s="35"/>
      <c r="L1379" s="32"/>
      <c r="M1379" s="32"/>
    </row>
    <row r="1380" customFormat="false" ht="15" hidden="false" customHeight="true" outlineLevel="0" collapsed="false">
      <c r="A1380" s="32"/>
      <c r="B1380" s="32"/>
      <c r="C1380" s="32"/>
      <c r="D1380" s="32"/>
      <c r="E1380" s="34" t="str">
        <f aca="false">IF($B1380="","",IF($B1380="OUT","Liters",IFERROR(INDEX(Setup!$F$3:$F$24,MATCH($C1380,Setup!$A$3:$A$24,0)),"")))</f>
        <v/>
      </c>
      <c r="F1380" s="28" t="str">
        <f aca="false">IF(OR($D1380="",$E1380=""),"",IFERROR($D1380*INDEX(Setup!$B$27:$B$44,MATCH($E1380,Setup!$A$27:$A$44,0)),"TBD"))</f>
        <v/>
      </c>
      <c r="G1380" s="32"/>
      <c r="H1380" s="32"/>
      <c r="I1380" s="32"/>
      <c r="J1380" s="32"/>
      <c r="K1380" s="35"/>
      <c r="L1380" s="32"/>
      <c r="M1380" s="32"/>
    </row>
    <row r="1381" customFormat="false" ht="15" hidden="false" customHeight="true" outlineLevel="0" collapsed="false">
      <c r="A1381" s="32"/>
      <c r="B1381" s="32"/>
      <c r="C1381" s="32"/>
      <c r="D1381" s="32"/>
      <c r="E1381" s="34" t="str">
        <f aca="false">IF($B1381="","",IF($B1381="OUT","Liters",IFERROR(INDEX(Setup!$F$3:$F$24,MATCH($C1381,Setup!$A$3:$A$24,0)),"")))</f>
        <v/>
      </c>
      <c r="F1381" s="28" t="str">
        <f aca="false">IF(OR($D1381="",$E1381=""),"",IFERROR($D1381*INDEX(Setup!$B$27:$B$44,MATCH($E1381,Setup!$A$27:$A$44,0)),"TBD"))</f>
        <v/>
      </c>
      <c r="G1381" s="32"/>
      <c r="H1381" s="32"/>
      <c r="I1381" s="32"/>
      <c r="J1381" s="32"/>
      <c r="K1381" s="35"/>
      <c r="L1381" s="32"/>
      <c r="M1381" s="32"/>
    </row>
    <row r="1382" customFormat="false" ht="15" hidden="false" customHeight="true" outlineLevel="0" collapsed="false">
      <c r="A1382" s="32"/>
      <c r="B1382" s="32"/>
      <c r="C1382" s="32"/>
      <c r="D1382" s="32"/>
      <c r="E1382" s="34" t="str">
        <f aca="false">IF($B1382="","",IF($B1382="OUT","Liters",IFERROR(INDEX(Setup!$F$3:$F$24,MATCH($C1382,Setup!$A$3:$A$24,0)),"")))</f>
        <v/>
      </c>
      <c r="F1382" s="28" t="str">
        <f aca="false">IF(OR($D1382="",$E1382=""),"",IFERROR($D1382*INDEX(Setup!$B$27:$B$44,MATCH($E1382,Setup!$A$27:$A$44,0)),"TBD"))</f>
        <v/>
      </c>
      <c r="G1382" s="32"/>
      <c r="H1382" s="32"/>
      <c r="I1382" s="32"/>
      <c r="J1382" s="32"/>
      <c r="K1382" s="35"/>
      <c r="L1382" s="32"/>
      <c r="M1382" s="32"/>
    </row>
    <row r="1383" customFormat="false" ht="15" hidden="false" customHeight="true" outlineLevel="0" collapsed="false">
      <c r="A1383" s="32"/>
      <c r="B1383" s="32"/>
      <c r="C1383" s="32"/>
      <c r="D1383" s="32"/>
      <c r="E1383" s="34" t="str">
        <f aca="false">IF($B1383="","",IF($B1383="OUT","Liters",IFERROR(INDEX(Setup!$F$3:$F$24,MATCH($C1383,Setup!$A$3:$A$24,0)),"")))</f>
        <v/>
      </c>
      <c r="F1383" s="28" t="str">
        <f aca="false">IF(OR($D1383="",$E1383=""),"",IFERROR($D1383*INDEX(Setup!$B$27:$B$44,MATCH($E1383,Setup!$A$27:$A$44,0)),"TBD"))</f>
        <v/>
      </c>
      <c r="G1383" s="32"/>
      <c r="H1383" s="32"/>
      <c r="I1383" s="32"/>
      <c r="J1383" s="32"/>
      <c r="K1383" s="35"/>
      <c r="L1383" s="32"/>
      <c r="M1383" s="32"/>
    </row>
    <row r="1384" customFormat="false" ht="15" hidden="false" customHeight="true" outlineLevel="0" collapsed="false">
      <c r="A1384" s="32"/>
      <c r="B1384" s="32"/>
      <c r="C1384" s="32"/>
      <c r="D1384" s="32"/>
      <c r="E1384" s="34" t="str">
        <f aca="false">IF($B1384="","",IF($B1384="OUT","Liters",IFERROR(INDEX(Setup!$F$3:$F$24,MATCH($C1384,Setup!$A$3:$A$24,0)),"")))</f>
        <v/>
      </c>
      <c r="F1384" s="28" t="str">
        <f aca="false">IF(OR($D1384="",$E1384=""),"",IFERROR($D1384*INDEX(Setup!$B$27:$B$44,MATCH($E1384,Setup!$A$27:$A$44,0)),"TBD"))</f>
        <v/>
      </c>
      <c r="G1384" s="32"/>
      <c r="H1384" s="32"/>
      <c r="I1384" s="32"/>
      <c r="J1384" s="32"/>
      <c r="K1384" s="35"/>
      <c r="L1384" s="32"/>
      <c r="M1384" s="32"/>
    </row>
    <row r="1385" customFormat="false" ht="15" hidden="false" customHeight="true" outlineLevel="0" collapsed="false">
      <c r="A1385" s="32"/>
      <c r="B1385" s="32"/>
      <c r="C1385" s="32"/>
      <c r="D1385" s="32"/>
      <c r="E1385" s="34" t="str">
        <f aca="false">IF($B1385="","",IF($B1385="OUT","Liters",IFERROR(INDEX(Setup!$F$3:$F$24,MATCH($C1385,Setup!$A$3:$A$24,0)),"")))</f>
        <v/>
      </c>
      <c r="F1385" s="28" t="str">
        <f aca="false">IF(OR($D1385="",$E1385=""),"",IFERROR($D1385*INDEX(Setup!$B$27:$B$44,MATCH($E1385,Setup!$A$27:$A$44,0)),"TBD"))</f>
        <v/>
      </c>
      <c r="G1385" s="32"/>
      <c r="H1385" s="32"/>
      <c r="I1385" s="32"/>
      <c r="J1385" s="32"/>
      <c r="K1385" s="35"/>
      <c r="L1385" s="32"/>
      <c r="M1385" s="32"/>
    </row>
    <row r="1386" customFormat="false" ht="15" hidden="false" customHeight="true" outlineLevel="0" collapsed="false">
      <c r="A1386" s="32"/>
      <c r="B1386" s="32"/>
      <c r="C1386" s="32"/>
      <c r="D1386" s="32"/>
      <c r="E1386" s="34" t="str">
        <f aca="false">IF($B1386="","",IF($B1386="OUT","Liters",IFERROR(INDEX(Setup!$F$3:$F$24,MATCH($C1386,Setup!$A$3:$A$24,0)),"")))</f>
        <v/>
      </c>
      <c r="F1386" s="28" t="str">
        <f aca="false">IF(OR($D1386="",$E1386=""),"",IFERROR($D1386*INDEX(Setup!$B$27:$B$44,MATCH($E1386,Setup!$A$27:$A$44,0)),"TBD"))</f>
        <v/>
      </c>
      <c r="G1386" s="32"/>
      <c r="H1386" s="32"/>
      <c r="I1386" s="32"/>
      <c r="J1386" s="32"/>
      <c r="K1386" s="35"/>
      <c r="L1386" s="32"/>
      <c r="M1386" s="32"/>
    </row>
    <row r="1387" customFormat="false" ht="15" hidden="false" customHeight="true" outlineLevel="0" collapsed="false">
      <c r="A1387" s="32"/>
      <c r="B1387" s="32"/>
      <c r="C1387" s="32"/>
      <c r="D1387" s="32"/>
      <c r="E1387" s="34" t="str">
        <f aca="false">IF($B1387="","",IF($B1387="OUT","Liters",IFERROR(INDEX(Setup!$F$3:$F$24,MATCH($C1387,Setup!$A$3:$A$24,0)),"")))</f>
        <v/>
      </c>
      <c r="F1387" s="28" t="str">
        <f aca="false">IF(OR($D1387="",$E1387=""),"",IFERROR($D1387*INDEX(Setup!$B$27:$B$44,MATCH($E1387,Setup!$A$27:$A$44,0)),"TBD"))</f>
        <v/>
      </c>
      <c r="G1387" s="32"/>
      <c r="H1387" s="32"/>
      <c r="I1387" s="32"/>
      <c r="J1387" s="32"/>
      <c r="K1387" s="35"/>
      <c r="L1387" s="32"/>
      <c r="M1387" s="32"/>
    </row>
    <row r="1388" customFormat="false" ht="15" hidden="false" customHeight="true" outlineLevel="0" collapsed="false">
      <c r="A1388" s="32"/>
      <c r="B1388" s="32"/>
      <c r="C1388" s="32"/>
      <c r="D1388" s="32"/>
      <c r="E1388" s="34" t="str">
        <f aca="false">IF($B1388="","",IF($B1388="OUT","Liters",IFERROR(INDEX(Setup!$F$3:$F$24,MATCH($C1388,Setup!$A$3:$A$24,0)),"")))</f>
        <v/>
      </c>
      <c r="F1388" s="28" t="str">
        <f aca="false">IF(OR($D1388="",$E1388=""),"",IFERROR($D1388*INDEX(Setup!$B$27:$B$44,MATCH($E1388,Setup!$A$27:$A$44,0)),"TBD"))</f>
        <v/>
      </c>
      <c r="G1388" s="32"/>
      <c r="H1388" s="32"/>
      <c r="I1388" s="32"/>
      <c r="J1388" s="32"/>
      <c r="K1388" s="35"/>
      <c r="L1388" s="32"/>
      <c r="M1388" s="32"/>
    </row>
    <row r="1389" customFormat="false" ht="15" hidden="false" customHeight="true" outlineLevel="0" collapsed="false">
      <c r="A1389" s="32"/>
      <c r="B1389" s="32"/>
      <c r="C1389" s="32"/>
      <c r="D1389" s="32"/>
      <c r="E1389" s="34" t="str">
        <f aca="false">IF($B1389="","",IF($B1389="OUT","Liters",IFERROR(INDEX(Setup!$F$3:$F$24,MATCH($C1389,Setup!$A$3:$A$24,0)),"")))</f>
        <v/>
      </c>
      <c r="F1389" s="28" t="str">
        <f aca="false">IF(OR($D1389="",$E1389=""),"",IFERROR($D1389*INDEX(Setup!$B$27:$B$44,MATCH($E1389,Setup!$A$27:$A$44,0)),"TBD"))</f>
        <v/>
      </c>
      <c r="G1389" s="32"/>
      <c r="H1389" s="32"/>
      <c r="I1389" s="32"/>
      <c r="J1389" s="32"/>
      <c r="K1389" s="35"/>
      <c r="L1389" s="32"/>
      <c r="M1389" s="32"/>
    </row>
    <row r="1390" customFormat="false" ht="15" hidden="false" customHeight="true" outlineLevel="0" collapsed="false">
      <c r="A1390" s="32"/>
      <c r="B1390" s="32"/>
      <c r="C1390" s="32"/>
      <c r="D1390" s="32"/>
      <c r="E1390" s="34" t="str">
        <f aca="false">IF($B1390="","",IF($B1390="OUT","Liters",IFERROR(INDEX(Setup!$F$3:$F$24,MATCH($C1390,Setup!$A$3:$A$24,0)),"")))</f>
        <v/>
      </c>
      <c r="F1390" s="28" t="str">
        <f aca="false">IF(OR($D1390="",$E1390=""),"",IFERROR($D1390*INDEX(Setup!$B$27:$B$44,MATCH($E1390,Setup!$A$27:$A$44,0)),"TBD"))</f>
        <v/>
      </c>
      <c r="G1390" s="32"/>
      <c r="H1390" s="32"/>
      <c r="I1390" s="32"/>
      <c r="J1390" s="32"/>
      <c r="K1390" s="35"/>
      <c r="L1390" s="32"/>
      <c r="M1390" s="32"/>
    </row>
    <row r="1391" customFormat="false" ht="15" hidden="false" customHeight="true" outlineLevel="0" collapsed="false">
      <c r="A1391" s="32"/>
      <c r="B1391" s="32"/>
      <c r="C1391" s="32"/>
      <c r="D1391" s="32"/>
      <c r="E1391" s="34" t="str">
        <f aca="false">IF($B1391="","",IF($B1391="OUT","Liters",IFERROR(INDEX(Setup!$F$3:$F$24,MATCH($C1391,Setup!$A$3:$A$24,0)),"")))</f>
        <v/>
      </c>
      <c r="F1391" s="28" t="str">
        <f aca="false">IF(OR($D1391="",$E1391=""),"",IFERROR($D1391*INDEX(Setup!$B$27:$B$44,MATCH($E1391,Setup!$A$27:$A$44,0)),"TBD"))</f>
        <v/>
      </c>
      <c r="G1391" s="32"/>
      <c r="H1391" s="32"/>
      <c r="I1391" s="32"/>
      <c r="J1391" s="32"/>
      <c r="K1391" s="35"/>
      <c r="L1391" s="32"/>
      <c r="M1391" s="32"/>
    </row>
    <row r="1392" customFormat="false" ht="15" hidden="false" customHeight="true" outlineLevel="0" collapsed="false">
      <c r="A1392" s="32"/>
      <c r="B1392" s="32"/>
      <c r="C1392" s="32"/>
      <c r="D1392" s="32"/>
      <c r="E1392" s="34" t="str">
        <f aca="false">IF($B1392="","",IF($B1392="OUT","Liters",IFERROR(INDEX(Setup!$F$3:$F$24,MATCH($C1392,Setup!$A$3:$A$24,0)),"")))</f>
        <v/>
      </c>
      <c r="F1392" s="28" t="str">
        <f aca="false">IF(OR($D1392="",$E1392=""),"",IFERROR($D1392*INDEX(Setup!$B$27:$B$44,MATCH($E1392,Setup!$A$27:$A$44,0)),"TBD"))</f>
        <v/>
      </c>
      <c r="G1392" s="32"/>
      <c r="H1392" s="32"/>
      <c r="I1392" s="32"/>
      <c r="J1392" s="32"/>
      <c r="K1392" s="35"/>
      <c r="L1392" s="32"/>
      <c r="M1392" s="32"/>
    </row>
    <row r="1393" customFormat="false" ht="15" hidden="false" customHeight="true" outlineLevel="0" collapsed="false">
      <c r="A1393" s="32"/>
      <c r="B1393" s="32"/>
      <c r="C1393" s="32"/>
      <c r="D1393" s="32"/>
      <c r="E1393" s="34" t="str">
        <f aca="false">IF($B1393="","",IF($B1393="OUT","Liters",IFERROR(INDEX(Setup!$F$3:$F$24,MATCH($C1393,Setup!$A$3:$A$24,0)),"")))</f>
        <v/>
      </c>
      <c r="F1393" s="28" t="str">
        <f aca="false">IF(OR($D1393="",$E1393=""),"",IFERROR($D1393*INDEX(Setup!$B$27:$B$44,MATCH($E1393,Setup!$A$27:$A$44,0)),"TBD"))</f>
        <v/>
      </c>
      <c r="G1393" s="32"/>
      <c r="H1393" s="32"/>
      <c r="I1393" s="32"/>
      <c r="J1393" s="32"/>
      <c r="K1393" s="35"/>
      <c r="L1393" s="32"/>
      <c r="M1393" s="32"/>
    </row>
    <row r="1394" customFormat="false" ht="15" hidden="false" customHeight="true" outlineLevel="0" collapsed="false">
      <c r="A1394" s="32"/>
      <c r="B1394" s="32"/>
      <c r="C1394" s="32"/>
      <c r="D1394" s="32"/>
      <c r="E1394" s="34" t="str">
        <f aca="false">IF($B1394="","",IF($B1394="OUT","Liters",IFERROR(INDEX(Setup!$F$3:$F$24,MATCH($C1394,Setup!$A$3:$A$24,0)),"")))</f>
        <v/>
      </c>
      <c r="F1394" s="28" t="str">
        <f aca="false">IF(OR($D1394="",$E1394=""),"",IFERROR($D1394*INDEX(Setup!$B$27:$B$44,MATCH($E1394,Setup!$A$27:$A$44,0)),"TBD"))</f>
        <v/>
      </c>
      <c r="G1394" s="32"/>
      <c r="H1394" s="32"/>
      <c r="I1394" s="32"/>
      <c r="J1394" s="32"/>
      <c r="K1394" s="35"/>
      <c r="L1394" s="32"/>
      <c r="M1394" s="32"/>
    </row>
    <row r="1395" customFormat="false" ht="15" hidden="false" customHeight="true" outlineLevel="0" collapsed="false">
      <c r="A1395" s="32"/>
      <c r="B1395" s="32"/>
      <c r="C1395" s="32"/>
      <c r="D1395" s="32"/>
      <c r="E1395" s="34" t="str">
        <f aca="false">IF($B1395="","",IF($B1395="OUT","Liters",IFERROR(INDEX(Setup!$F$3:$F$24,MATCH($C1395,Setup!$A$3:$A$24,0)),"")))</f>
        <v/>
      </c>
      <c r="F1395" s="28" t="str">
        <f aca="false">IF(OR($D1395="",$E1395=""),"",IFERROR($D1395*INDEX(Setup!$B$27:$B$44,MATCH($E1395,Setup!$A$27:$A$44,0)),"TBD"))</f>
        <v/>
      </c>
      <c r="G1395" s="32"/>
      <c r="H1395" s="32"/>
      <c r="I1395" s="32"/>
      <c r="J1395" s="32"/>
      <c r="K1395" s="35"/>
      <c r="L1395" s="32"/>
      <c r="M1395" s="32"/>
    </row>
    <row r="1396" customFormat="false" ht="15" hidden="false" customHeight="true" outlineLevel="0" collapsed="false">
      <c r="A1396" s="32"/>
      <c r="B1396" s="32"/>
      <c r="C1396" s="32"/>
      <c r="D1396" s="32"/>
      <c r="E1396" s="34" t="str">
        <f aca="false">IF($B1396="","",IF($B1396="OUT","Liters",IFERROR(INDEX(Setup!$F$3:$F$24,MATCH($C1396,Setup!$A$3:$A$24,0)),"")))</f>
        <v/>
      </c>
      <c r="F1396" s="28" t="str">
        <f aca="false">IF(OR($D1396="",$E1396=""),"",IFERROR($D1396*INDEX(Setup!$B$27:$B$44,MATCH($E1396,Setup!$A$27:$A$44,0)),"TBD"))</f>
        <v/>
      </c>
      <c r="G1396" s="32"/>
      <c r="H1396" s="32"/>
      <c r="I1396" s="32"/>
      <c r="J1396" s="32"/>
      <c r="K1396" s="35"/>
      <c r="L1396" s="32"/>
      <c r="M1396" s="32"/>
    </row>
    <row r="1397" customFormat="false" ht="15" hidden="false" customHeight="true" outlineLevel="0" collapsed="false">
      <c r="A1397" s="32"/>
      <c r="B1397" s="32"/>
      <c r="C1397" s="32"/>
      <c r="D1397" s="32"/>
      <c r="E1397" s="34" t="str">
        <f aca="false">IF($B1397="","",IF($B1397="OUT","Liters",IFERROR(INDEX(Setup!$F$3:$F$24,MATCH($C1397,Setup!$A$3:$A$24,0)),"")))</f>
        <v/>
      </c>
      <c r="F1397" s="28" t="str">
        <f aca="false">IF(OR($D1397="",$E1397=""),"",IFERROR($D1397*INDEX(Setup!$B$27:$B$44,MATCH($E1397,Setup!$A$27:$A$44,0)),"TBD"))</f>
        <v/>
      </c>
      <c r="G1397" s="32"/>
      <c r="H1397" s="32"/>
      <c r="I1397" s="32"/>
      <c r="J1397" s="32"/>
      <c r="K1397" s="35"/>
      <c r="L1397" s="32"/>
      <c r="M1397" s="32"/>
    </row>
    <row r="1398" customFormat="false" ht="15" hidden="false" customHeight="true" outlineLevel="0" collapsed="false">
      <c r="A1398" s="32"/>
      <c r="B1398" s="32"/>
      <c r="C1398" s="32"/>
      <c r="D1398" s="32"/>
      <c r="E1398" s="34" t="str">
        <f aca="false">IF($B1398="","",IF($B1398="OUT","Liters",IFERROR(INDEX(Setup!$F$3:$F$24,MATCH($C1398,Setup!$A$3:$A$24,0)),"")))</f>
        <v/>
      </c>
      <c r="F1398" s="28" t="str">
        <f aca="false">IF(OR($D1398="",$E1398=""),"",IFERROR($D1398*INDEX(Setup!$B$27:$B$44,MATCH($E1398,Setup!$A$27:$A$44,0)),"TBD"))</f>
        <v/>
      </c>
      <c r="G1398" s="32"/>
      <c r="H1398" s="32"/>
      <c r="I1398" s="32"/>
      <c r="J1398" s="32"/>
      <c r="K1398" s="35"/>
      <c r="L1398" s="32"/>
      <c r="M1398" s="32"/>
    </row>
    <row r="1399" customFormat="false" ht="15" hidden="false" customHeight="true" outlineLevel="0" collapsed="false">
      <c r="A1399" s="32"/>
      <c r="B1399" s="32"/>
      <c r="C1399" s="32"/>
      <c r="D1399" s="32"/>
      <c r="E1399" s="34" t="str">
        <f aca="false">IF($B1399="","",IF($B1399="OUT","Liters",IFERROR(INDEX(Setup!$F$3:$F$24,MATCH($C1399,Setup!$A$3:$A$24,0)),"")))</f>
        <v/>
      </c>
      <c r="F1399" s="28" t="str">
        <f aca="false">IF(OR($D1399="",$E1399=""),"",IFERROR($D1399*INDEX(Setup!$B$27:$B$44,MATCH($E1399,Setup!$A$27:$A$44,0)),"TBD"))</f>
        <v/>
      </c>
      <c r="G1399" s="32"/>
      <c r="H1399" s="32"/>
      <c r="I1399" s="32"/>
      <c r="J1399" s="32"/>
      <c r="K1399" s="35"/>
      <c r="L1399" s="32"/>
      <c r="M1399" s="32"/>
    </row>
    <row r="1400" customFormat="false" ht="15" hidden="false" customHeight="true" outlineLevel="0" collapsed="false">
      <c r="A1400" s="32"/>
      <c r="B1400" s="32"/>
      <c r="C1400" s="32"/>
      <c r="D1400" s="32"/>
      <c r="E1400" s="34" t="str">
        <f aca="false">IF($B1400="","",IF($B1400="OUT","Liters",IFERROR(INDEX(Setup!$F$3:$F$24,MATCH($C1400,Setup!$A$3:$A$24,0)),"")))</f>
        <v/>
      </c>
      <c r="F1400" s="28" t="str">
        <f aca="false">IF(OR($D1400="",$E1400=""),"",IFERROR($D1400*INDEX(Setup!$B$27:$B$44,MATCH($E1400,Setup!$A$27:$A$44,0)),"TBD"))</f>
        <v/>
      </c>
      <c r="G1400" s="32"/>
      <c r="H1400" s="32"/>
      <c r="I1400" s="32"/>
      <c r="J1400" s="32"/>
      <c r="K1400" s="35"/>
      <c r="L1400" s="32"/>
      <c r="M1400" s="32"/>
    </row>
    <row r="1401" customFormat="false" ht="15" hidden="false" customHeight="true" outlineLevel="0" collapsed="false">
      <c r="A1401" s="32"/>
      <c r="B1401" s="32"/>
      <c r="C1401" s="32"/>
      <c r="D1401" s="32"/>
      <c r="E1401" s="34" t="str">
        <f aca="false">IF($B1401="","",IF($B1401="OUT","Liters",IFERROR(INDEX(Setup!$F$3:$F$24,MATCH($C1401,Setup!$A$3:$A$24,0)),"")))</f>
        <v/>
      </c>
      <c r="F1401" s="28" t="str">
        <f aca="false">IF(OR($D1401="",$E1401=""),"",IFERROR($D1401*INDEX(Setup!$B$27:$B$44,MATCH($E1401,Setup!$A$27:$A$44,0)),"TBD"))</f>
        <v/>
      </c>
      <c r="G1401" s="32"/>
      <c r="H1401" s="32"/>
      <c r="I1401" s="32"/>
      <c r="J1401" s="32"/>
      <c r="K1401" s="35"/>
      <c r="L1401" s="32"/>
      <c r="M1401" s="32"/>
    </row>
    <row r="1402" customFormat="false" ht="15" hidden="false" customHeight="true" outlineLevel="0" collapsed="false">
      <c r="A1402" s="32"/>
      <c r="B1402" s="32"/>
      <c r="C1402" s="32"/>
      <c r="D1402" s="32"/>
      <c r="E1402" s="34" t="str">
        <f aca="false">IF($B1402="","",IF($B1402="OUT","Liters",IFERROR(INDEX(Setup!$F$3:$F$24,MATCH($C1402,Setup!$A$3:$A$24,0)),"")))</f>
        <v/>
      </c>
      <c r="F1402" s="28" t="str">
        <f aca="false">IF(OR($D1402="",$E1402=""),"",IFERROR($D1402*INDEX(Setup!$B$27:$B$44,MATCH($E1402,Setup!$A$27:$A$44,0)),"TBD"))</f>
        <v/>
      </c>
      <c r="G1402" s="32"/>
      <c r="H1402" s="32"/>
      <c r="I1402" s="32"/>
      <c r="J1402" s="32"/>
      <c r="K1402" s="35"/>
      <c r="L1402" s="32"/>
      <c r="M1402" s="32"/>
    </row>
    <row r="1403" customFormat="false" ht="15" hidden="false" customHeight="true" outlineLevel="0" collapsed="false">
      <c r="A1403" s="32"/>
      <c r="B1403" s="32"/>
      <c r="C1403" s="32"/>
      <c r="D1403" s="32"/>
      <c r="E1403" s="34" t="str">
        <f aca="false">IF($B1403="","",IF($B1403="OUT","Liters",IFERROR(INDEX(Setup!$F$3:$F$24,MATCH($C1403,Setup!$A$3:$A$24,0)),"")))</f>
        <v/>
      </c>
      <c r="F1403" s="28" t="str">
        <f aca="false">IF(OR($D1403="",$E1403=""),"",IFERROR($D1403*INDEX(Setup!$B$27:$B$44,MATCH($E1403,Setup!$A$27:$A$44,0)),"TBD"))</f>
        <v/>
      </c>
      <c r="G1403" s="32"/>
      <c r="H1403" s="32"/>
      <c r="I1403" s="32"/>
      <c r="J1403" s="32"/>
      <c r="K1403" s="35"/>
      <c r="L1403" s="32"/>
      <c r="M1403" s="32"/>
    </row>
    <row r="1404" customFormat="false" ht="15" hidden="false" customHeight="true" outlineLevel="0" collapsed="false">
      <c r="A1404" s="32"/>
      <c r="B1404" s="32"/>
      <c r="C1404" s="32"/>
      <c r="D1404" s="32"/>
      <c r="E1404" s="34" t="str">
        <f aca="false">IF($B1404="","",IF($B1404="OUT","Liters",IFERROR(INDEX(Setup!$F$3:$F$24,MATCH($C1404,Setup!$A$3:$A$24,0)),"")))</f>
        <v/>
      </c>
      <c r="F1404" s="28" t="str">
        <f aca="false">IF(OR($D1404="",$E1404=""),"",IFERROR($D1404*INDEX(Setup!$B$27:$B$44,MATCH($E1404,Setup!$A$27:$A$44,0)),"TBD"))</f>
        <v/>
      </c>
      <c r="G1404" s="32"/>
      <c r="H1404" s="32"/>
      <c r="I1404" s="32"/>
      <c r="J1404" s="32"/>
      <c r="K1404" s="35"/>
      <c r="L1404" s="32"/>
      <c r="M1404" s="32"/>
    </row>
    <row r="1405" customFormat="false" ht="15" hidden="false" customHeight="true" outlineLevel="0" collapsed="false">
      <c r="A1405" s="32"/>
      <c r="B1405" s="32"/>
      <c r="C1405" s="32"/>
      <c r="D1405" s="32"/>
      <c r="E1405" s="34" t="str">
        <f aca="false">IF($B1405="","",IF($B1405="OUT","Liters",IFERROR(INDEX(Setup!$F$3:$F$24,MATCH($C1405,Setup!$A$3:$A$24,0)),"")))</f>
        <v/>
      </c>
      <c r="F1405" s="28" t="str">
        <f aca="false">IF(OR($D1405="",$E1405=""),"",IFERROR($D1405*INDEX(Setup!$B$27:$B$44,MATCH($E1405,Setup!$A$27:$A$44,0)),"TBD"))</f>
        <v/>
      </c>
      <c r="G1405" s="32"/>
      <c r="H1405" s="32"/>
      <c r="I1405" s="32"/>
      <c r="J1405" s="32"/>
      <c r="K1405" s="35"/>
      <c r="L1405" s="32"/>
      <c r="M1405" s="32"/>
    </row>
    <row r="1406" customFormat="false" ht="15" hidden="false" customHeight="true" outlineLevel="0" collapsed="false">
      <c r="A1406" s="32"/>
      <c r="B1406" s="32"/>
      <c r="C1406" s="32"/>
      <c r="D1406" s="32"/>
      <c r="E1406" s="34" t="str">
        <f aca="false">IF($B1406="","",IF($B1406="OUT","Liters",IFERROR(INDEX(Setup!$F$3:$F$24,MATCH($C1406,Setup!$A$3:$A$24,0)),"")))</f>
        <v/>
      </c>
      <c r="F1406" s="28" t="str">
        <f aca="false">IF(OR($D1406="",$E1406=""),"",IFERROR($D1406*INDEX(Setup!$B$27:$B$44,MATCH($E1406,Setup!$A$27:$A$44,0)),"TBD"))</f>
        <v/>
      </c>
      <c r="G1406" s="32"/>
      <c r="H1406" s="32"/>
      <c r="I1406" s="32"/>
      <c r="J1406" s="32"/>
      <c r="K1406" s="35"/>
      <c r="L1406" s="32"/>
      <c r="M1406" s="32"/>
    </row>
    <row r="1407" customFormat="false" ht="15" hidden="false" customHeight="true" outlineLevel="0" collapsed="false">
      <c r="A1407" s="32"/>
      <c r="B1407" s="32"/>
      <c r="C1407" s="32"/>
      <c r="D1407" s="32"/>
      <c r="E1407" s="34" t="str">
        <f aca="false">IF($B1407="","",IF($B1407="OUT","Liters",IFERROR(INDEX(Setup!$F$3:$F$24,MATCH($C1407,Setup!$A$3:$A$24,0)),"")))</f>
        <v/>
      </c>
      <c r="F1407" s="28" t="str">
        <f aca="false">IF(OR($D1407="",$E1407=""),"",IFERROR($D1407*INDEX(Setup!$B$27:$B$44,MATCH($E1407,Setup!$A$27:$A$44,0)),"TBD"))</f>
        <v/>
      </c>
      <c r="G1407" s="32"/>
      <c r="H1407" s="32"/>
      <c r="I1407" s="32"/>
      <c r="J1407" s="32"/>
      <c r="K1407" s="35"/>
      <c r="L1407" s="32"/>
      <c r="M1407" s="32"/>
    </row>
    <row r="1408" customFormat="false" ht="15" hidden="false" customHeight="true" outlineLevel="0" collapsed="false">
      <c r="A1408" s="32"/>
      <c r="B1408" s="32"/>
      <c r="C1408" s="32"/>
      <c r="D1408" s="32"/>
      <c r="E1408" s="34" t="str">
        <f aca="false">IF($B1408="","",IF($B1408="OUT","Liters",IFERROR(INDEX(Setup!$F$3:$F$24,MATCH($C1408,Setup!$A$3:$A$24,0)),"")))</f>
        <v/>
      </c>
      <c r="F1408" s="28" t="str">
        <f aca="false">IF(OR($D1408="",$E1408=""),"",IFERROR($D1408*INDEX(Setup!$B$27:$B$44,MATCH($E1408,Setup!$A$27:$A$44,0)),"TBD"))</f>
        <v/>
      </c>
      <c r="G1408" s="32"/>
      <c r="H1408" s="32"/>
      <c r="I1408" s="32"/>
      <c r="J1408" s="32"/>
      <c r="K1408" s="35"/>
      <c r="L1408" s="32"/>
      <c r="M1408" s="32"/>
    </row>
    <row r="1409" customFormat="false" ht="15" hidden="false" customHeight="true" outlineLevel="0" collapsed="false">
      <c r="A1409" s="32"/>
      <c r="B1409" s="32"/>
      <c r="C1409" s="32"/>
      <c r="D1409" s="32"/>
      <c r="E1409" s="34" t="str">
        <f aca="false">IF($B1409="","",IF($B1409="OUT","Liters",IFERROR(INDEX(Setup!$F$3:$F$24,MATCH($C1409,Setup!$A$3:$A$24,0)),"")))</f>
        <v/>
      </c>
      <c r="F1409" s="28" t="str">
        <f aca="false">IF(OR($D1409="",$E1409=""),"",IFERROR($D1409*INDEX(Setup!$B$27:$B$44,MATCH($E1409,Setup!$A$27:$A$44,0)),"TBD"))</f>
        <v/>
      </c>
      <c r="G1409" s="32"/>
      <c r="H1409" s="32"/>
      <c r="I1409" s="32"/>
      <c r="J1409" s="32"/>
      <c r="K1409" s="35"/>
      <c r="L1409" s="32"/>
      <c r="M1409" s="32"/>
    </row>
    <row r="1410" customFormat="false" ht="15" hidden="false" customHeight="true" outlineLevel="0" collapsed="false">
      <c r="A1410" s="32"/>
      <c r="B1410" s="32"/>
      <c r="C1410" s="32"/>
      <c r="D1410" s="32"/>
      <c r="E1410" s="34" t="str">
        <f aca="false">IF($B1410="","",IF($B1410="OUT","Liters",IFERROR(INDEX(Setup!$F$3:$F$24,MATCH($C1410,Setup!$A$3:$A$24,0)),"")))</f>
        <v/>
      </c>
      <c r="F1410" s="28" t="str">
        <f aca="false">IF(OR($D1410="",$E1410=""),"",IFERROR($D1410*INDEX(Setup!$B$27:$B$44,MATCH($E1410,Setup!$A$27:$A$44,0)),"TBD"))</f>
        <v/>
      </c>
      <c r="G1410" s="32"/>
      <c r="H1410" s="32"/>
      <c r="I1410" s="32"/>
      <c r="J1410" s="32"/>
      <c r="K1410" s="35"/>
      <c r="L1410" s="32"/>
      <c r="M1410" s="32"/>
    </row>
    <row r="1411" customFormat="false" ht="15" hidden="false" customHeight="true" outlineLevel="0" collapsed="false">
      <c r="A1411" s="32"/>
      <c r="B1411" s="32"/>
      <c r="C1411" s="32"/>
      <c r="D1411" s="32"/>
      <c r="E1411" s="34" t="str">
        <f aca="false">IF($B1411="","",IF($B1411="OUT","Liters",IFERROR(INDEX(Setup!$F$3:$F$24,MATCH($C1411,Setup!$A$3:$A$24,0)),"")))</f>
        <v/>
      </c>
      <c r="F1411" s="28" t="str">
        <f aca="false">IF(OR($D1411="",$E1411=""),"",IFERROR($D1411*INDEX(Setup!$B$27:$B$44,MATCH($E1411,Setup!$A$27:$A$44,0)),"TBD"))</f>
        <v/>
      </c>
      <c r="G1411" s="32"/>
      <c r="H1411" s="32"/>
      <c r="I1411" s="32"/>
      <c r="J1411" s="32"/>
      <c r="K1411" s="35"/>
      <c r="L1411" s="32"/>
      <c r="M1411" s="32"/>
    </row>
    <row r="1412" customFormat="false" ht="15" hidden="false" customHeight="true" outlineLevel="0" collapsed="false">
      <c r="A1412" s="32"/>
      <c r="B1412" s="32"/>
      <c r="C1412" s="32"/>
      <c r="D1412" s="32"/>
      <c r="E1412" s="34" t="str">
        <f aca="false">IF($B1412="","",IF($B1412="OUT","Liters",IFERROR(INDEX(Setup!$F$3:$F$24,MATCH($C1412,Setup!$A$3:$A$24,0)),"")))</f>
        <v/>
      </c>
      <c r="F1412" s="28" t="str">
        <f aca="false">IF(OR($D1412="",$E1412=""),"",IFERROR($D1412*INDEX(Setup!$B$27:$B$44,MATCH($E1412,Setup!$A$27:$A$44,0)),"TBD"))</f>
        <v/>
      </c>
      <c r="G1412" s="32"/>
      <c r="H1412" s="32"/>
      <c r="I1412" s="32"/>
      <c r="J1412" s="32"/>
      <c r="K1412" s="35"/>
      <c r="L1412" s="32"/>
      <c r="M1412" s="32"/>
    </row>
    <row r="1413" customFormat="false" ht="15" hidden="false" customHeight="true" outlineLevel="0" collapsed="false">
      <c r="A1413" s="32"/>
      <c r="B1413" s="32"/>
      <c r="C1413" s="32"/>
      <c r="D1413" s="32"/>
      <c r="E1413" s="34" t="str">
        <f aca="false">IF($B1413="","",IF($B1413="OUT","Liters",IFERROR(INDEX(Setup!$F$3:$F$24,MATCH($C1413,Setup!$A$3:$A$24,0)),"")))</f>
        <v/>
      </c>
      <c r="F1413" s="28" t="str">
        <f aca="false">IF(OR($D1413="",$E1413=""),"",IFERROR($D1413*INDEX(Setup!$B$27:$B$44,MATCH($E1413,Setup!$A$27:$A$44,0)),"TBD"))</f>
        <v/>
      </c>
      <c r="G1413" s="32"/>
      <c r="H1413" s="32"/>
      <c r="I1413" s="32"/>
      <c r="J1413" s="32"/>
      <c r="K1413" s="35"/>
      <c r="L1413" s="32"/>
      <c r="M1413" s="32"/>
    </row>
    <row r="1414" customFormat="false" ht="15" hidden="false" customHeight="true" outlineLevel="0" collapsed="false">
      <c r="A1414" s="32"/>
      <c r="B1414" s="32"/>
      <c r="C1414" s="32"/>
      <c r="D1414" s="32"/>
      <c r="E1414" s="34" t="str">
        <f aca="false">IF($B1414="","",IF($B1414="OUT","Liters",IFERROR(INDEX(Setup!$F$3:$F$24,MATCH($C1414,Setup!$A$3:$A$24,0)),"")))</f>
        <v/>
      </c>
      <c r="F1414" s="28" t="str">
        <f aca="false">IF(OR($D1414="",$E1414=""),"",IFERROR($D1414*INDEX(Setup!$B$27:$B$44,MATCH($E1414,Setup!$A$27:$A$44,0)),"TBD"))</f>
        <v/>
      </c>
      <c r="G1414" s="32"/>
      <c r="H1414" s="32"/>
      <c r="I1414" s="32"/>
      <c r="J1414" s="32"/>
      <c r="K1414" s="35"/>
      <c r="L1414" s="32"/>
      <c r="M1414" s="32"/>
    </row>
    <row r="1415" customFormat="false" ht="15" hidden="false" customHeight="true" outlineLevel="0" collapsed="false">
      <c r="A1415" s="32"/>
      <c r="B1415" s="32"/>
      <c r="C1415" s="32"/>
      <c r="D1415" s="32"/>
      <c r="E1415" s="34" t="str">
        <f aca="false">IF($B1415="","",IF($B1415="OUT","Liters",IFERROR(INDEX(Setup!$F$3:$F$24,MATCH($C1415,Setup!$A$3:$A$24,0)),"")))</f>
        <v/>
      </c>
      <c r="F1415" s="28" t="str">
        <f aca="false">IF(OR($D1415="",$E1415=""),"",IFERROR($D1415*INDEX(Setup!$B$27:$B$44,MATCH($E1415,Setup!$A$27:$A$44,0)),"TBD"))</f>
        <v/>
      </c>
      <c r="G1415" s="32"/>
      <c r="H1415" s="32"/>
      <c r="I1415" s="32"/>
      <c r="J1415" s="32"/>
      <c r="K1415" s="35"/>
      <c r="L1415" s="32"/>
      <c r="M1415" s="32"/>
    </row>
    <row r="1416" customFormat="false" ht="15" hidden="false" customHeight="true" outlineLevel="0" collapsed="false">
      <c r="A1416" s="32"/>
      <c r="B1416" s="32"/>
      <c r="C1416" s="32"/>
      <c r="D1416" s="32"/>
      <c r="E1416" s="34" t="str">
        <f aca="false">IF($B1416="","",IF($B1416="OUT","Liters",IFERROR(INDEX(Setup!$F$3:$F$24,MATCH($C1416,Setup!$A$3:$A$24,0)),"")))</f>
        <v/>
      </c>
      <c r="F1416" s="28" t="str">
        <f aca="false">IF(OR($D1416="",$E1416=""),"",IFERROR($D1416*INDEX(Setup!$B$27:$B$44,MATCH($E1416,Setup!$A$27:$A$44,0)),"TBD"))</f>
        <v/>
      </c>
      <c r="G1416" s="32"/>
      <c r="H1416" s="32"/>
      <c r="I1416" s="32"/>
      <c r="J1416" s="32"/>
      <c r="K1416" s="35"/>
      <c r="L1416" s="32"/>
      <c r="M1416" s="32"/>
    </row>
    <row r="1417" customFormat="false" ht="15" hidden="false" customHeight="true" outlineLevel="0" collapsed="false">
      <c r="A1417" s="32"/>
      <c r="B1417" s="32"/>
      <c r="C1417" s="32"/>
      <c r="D1417" s="32"/>
      <c r="E1417" s="34" t="str">
        <f aca="false">IF($B1417="","",IF($B1417="OUT","Liters",IFERROR(INDEX(Setup!$F$3:$F$24,MATCH($C1417,Setup!$A$3:$A$24,0)),"")))</f>
        <v/>
      </c>
      <c r="F1417" s="28" t="str">
        <f aca="false">IF(OR($D1417="",$E1417=""),"",IFERROR($D1417*INDEX(Setup!$B$27:$B$44,MATCH($E1417,Setup!$A$27:$A$44,0)),"TBD"))</f>
        <v/>
      </c>
      <c r="G1417" s="32"/>
      <c r="H1417" s="32"/>
      <c r="I1417" s="32"/>
      <c r="J1417" s="32"/>
      <c r="K1417" s="35"/>
      <c r="L1417" s="32"/>
      <c r="M1417" s="32"/>
    </row>
    <row r="1418" customFormat="false" ht="15" hidden="false" customHeight="true" outlineLevel="0" collapsed="false">
      <c r="A1418" s="32"/>
      <c r="B1418" s="32"/>
      <c r="C1418" s="32"/>
      <c r="D1418" s="32"/>
      <c r="E1418" s="34" t="str">
        <f aca="false">IF($B1418="","",IF($B1418="OUT","Liters",IFERROR(INDEX(Setup!$F$3:$F$24,MATCH($C1418,Setup!$A$3:$A$24,0)),"")))</f>
        <v/>
      </c>
      <c r="F1418" s="28" t="str">
        <f aca="false">IF(OR($D1418="",$E1418=""),"",IFERROR($D1418*INDEX(Setup!$B$27:$B$44,MATCH($E1418,Setup!$A$27:$A$44,0)),"TBD"))</f>
        <v/>
      </c>
      <c r="G1418" s="32"/>
      <c r="H1418" s="32"/>
      <c r="I1418" s="32"/>
      <c r="J1418" s="32"/>
      <c r="K1418" s="35"/>
      <c r="L1418" s="32"/>
      <c r="M1418" s="32"/>
    </row>
    <row r="1419" customFormat="false" ht="15" hidden="false" customHeight="true" outlineLevel="0" collapsed="false">
      <c r="A1419" s="32"/>
      <c r="B1419" s="32"/>
      <c r="C1419" s="32"/>
      <c r="D1419" s="32"/>
      <c r="E1419" s="34" t="str">
        <f aca="false">IF($B1419="","",IF($B1419="OUT","Liters",IFERROR(INDEX(Setup!$F$3:$F$24,MATCH($C1419,Setup!$A$3:$A$24,0)),"")))</f>
        <v/>
      </c>
      <c r="F1419" s="28" t="str">
        <f aca="false">IF(OR($D1419="",$E1419=""),"",IFERROR($D1419*INDEX(Setup!$B$27:$B$44,MATCH($E1419,Setup!$A$27:$A$44,0)),"TBD"))</f>
        <v/>
      </c>
      <c r="G1419" s="32"/>
      <c r="H1419" s="32"/>
      <c r="I1419" s="32"/>
      <c r="J1419" s="32"/>
      <c r="K1419" s="35"/>
      <c r="L1419" s="32"/>
      <c r="M1419" s="32"/>
    </row>
    <row r="1420" customFormat="false" ht="15" hidden="false" customHeight="true" outlineLevel="0" collapsed="false">
      <c r="A1420" s="32"/>
      <c r="B1420" s="32"/>
      <c r="C1420" s="32"/>
      <c r="D1420" s="32"/>
      <c r="E1420" s="34" t="str">
        <f aca="false">IF($B1420="","",IF($B1420="OUT","Liters",IFERROR(INDEX(Setup!$F$3:$F$24,MATCH($C1420,Setup!$A$3:$A$24,0)),"")))</f>
        <v/>
      </c>
      <c r="F1420" s="28" t="str">
        <f aca="false">IF(OR($D1420="",$E1420=""),"",IFERROR($D1420*INDEX(Setup!$B$27:$B$44,MATCH($E1420,Setup!$A$27:$A$44,0)),"TBD"))</f>
        <v/>
      </c>
      <c r="G1420" s="32"/>
      <c r="H1420" s="32"/>
      <c r="I1420" s="32"/>
      <c r="J1420" s="32"/>
      <c r="K1420" s="35"/>
      <c r="L1420" s="32"/>
      <c r="M1420" s="32"/>
    </row>
    <row r="1421" customFormat="false" ht="15" hidden="false" customHeight="true" outlineLevel="0" collapsed="false">
      <c r="A1421" s="32"/>
      <c r="B1421" s="32"/>
      <c r="C1421" s="32"/>
      <c r="D1421" s="32"/>
      <c r="E1421" s="34" t="str">
        <f aca="false">IF($B1421="","",IF($B1421="OUT","Liters",IFERROR(INDEX(Setup!$F$3:$F$24,MATCH($C1421,Setup!$A$3:$A$24,0)),"")))</f>
        <v/>
      </c>
      <c r="F1421" s="28" t="str">
        <f aca="false">IF(OR($D1421="",$E1421=""),"",IFERROR($D1421*INDEX(Setup!$B$27:$B$44,MATCH($E1421,Setup!$A$27:$A$44,0)),"TBD"))</f>
        <v/>
      </c>
      <c r="G1421" s="32"/>
      <c r="H1421" s="32"/>
      <c r="I1421" s="32"/>
      <c r="J1421" s="32"/>
      <c r="K1421" s="35"/>
      <c r="L1421" s="32"/>
      <c r="M1421" s="32"/>
    </row>
    <row r="1422" customFormat="false" ht="15" hidden="false" customHeight="true" outlineLevel="0" collapsed="false">
      <c r="A1422" s="32"/>
      <c r="B1422" s="32"/>
      <c r="C1422" s="32"/>
      <c r="D1422" s="32"/>
      <c r="E1422" s="34" t="str">
        <f aca="false">IF($B1422="","",IF($B1422="OUT","Liters",IFERROR(INDEX(Setup!$F$3:$F$24,MATCH($C1422,Setup!$A$3:$A$24,0)),"")))</f>
        <v/>
      </c>
      <c r="F1422" s="28" t="str">
        <f aca="false">IF(OR($D1422="",$E1422=""),"",IFERROR($D1422*INDEX(Setup!$B$27:$B$44,MATCH($E1422,Setup!$A$27:$A$44,0)),"TBD"))</f>
        <v/>
      </c>
      <c r="G1422" s="32"/>
      <c r="H1422" s="32"/>
      <c r="I1422" s="32"/>
      <c r="J1422" s="32"/>
      <c r="K1422" s="35"/>
      <c r="L1422" s="32"/>
      <c r="M1422" s="32"/>
    </row>
    <row r="1423" customFormat="false" ht="15" hidden="false" customHeight="true" outlineLevel="0" collapsed="false">
      <c r="A1423" s="32"/>
      <c r="B1423" s="32"/>
      <c r="C1423" s="32"/>
      <c r="D1423" s="32"/>
      <c r="E1423" s="34" t="str">
        <f aca="false">IF($B1423="","",IF($B1423="OUT","Liters",IFERROR(INDEX(Setup!$F$3:$F$24,MATCH($C1423,Setup!$A$3:$A$24,0)),"")))</f>
        <v/>
      </c>
      <c r="F1423" s="28" t="str">
        <f aca="false">IF(OR($D1423="",$E1423=""),"",IFERROR($D1423*INDEX(Setup!$B$27:$B$44,MATCH($E1423,Setup!$A$27:$A$44,0)),"TBD"))</f>
        <v/>
      </c>
      <c r="G1423" s="32"/>
      <c r="H1423" s="32"/>
      <c r="I1423" s="32"/>
      <c r="J1423" s="32"/>
      <c r="K1423" s="35"/>
      <c r="L1423" s="32"/>
      <c r="M1423" s="32"/>
    </row>
    <row r="1424" customFormat="false" ht="15" hidden="false" customHeight="true" outlineLevel="0" collapsed="false">
      <c r="A1424" s="32"/>
      <c r="B1424" s="32"/>
      <c r="C1424" s="32"/>
      <c r="D1424" s="32"/>
      <c r="E1424" s="34" t="str">
        <f aca="false">IF($B1424="","",IF($B1424="OUT","Liters",IFERROR(INDEX(Setup!$F$3:$F$24,MATCH($C1424,Setup!$A$3:$A$24,0)),"")))</f>
        <v/>
      </c>
      <c r="F1424" s="28" t="str">
        <f aca="false">IF(OR($D1424="",$E1424=""),"",IFERROR($D1424*INDEX(Setup!$B$27:$B$44,MATCH($E1424,Setup!$A$27:$A$44,0)),"TBD"))</f>
        <v/>
      </c>
      <c r="G1424" s="32"/>
      <c r="H1424" s="32"/>
      <c r="I1424" s="32"/>
      <c r="J1424" s="32"/>
      <c r="K1424" s="35"/>
      <c r="L1424" s="32"/>
      <c r="M1424" s="32"/>
    </row>
    <row r="1425" customFormat="false" ht="15" hidden="false" customHeight="true" outlineLevel="0" collapsed="false">
      <c r="A1425" s="32"/>
      <c r="B1425" s="32"/>
      <c r="C1425" s="32"/>
      <c r="D1425" s="32"/>
      <c r="E1425" s="34" t="str">
        <f aca="false">IF($B1425="","",IF($B1425="OUT","Liters",IFERROR(INDEX(Setup!$F$3:$F$24,MATCH($C1425,Setup!$A$3:$A$24,0)),"")))</f>
        <v/>
      </c>
      <c r="F1425" s="28" t="str">
        <f aca="false">IF(OR($D1425="",$E1425=""),"",IFERROR($D1425*INDEX(Setup!$B$27:$B$44,MATCH($E1425,Setup!$A$27:$A$44,0)),"TBD"))</f>
        <v/>
      </c>
      <c r="G1425" s="32"/>
      <c r="H1425" s="32"/>
      <c r="I1425" s="32"/>
      <c r="J1425" s="32"/>
      <c r="K1425" s="35"/>
      <c r="L1425" s="32"/>
      <c r="M1425" s="32"/>
    </row>
    <row r="1426" customFormat="false" ht="15" hidden="false" customHeight="true" outlineLevel="0" collapsed="false">
      <c r="A1426" s="32"/>
      <c r="B1426" s="32"/>
      <c r="C1426" s="32"/>
      <c r="D1426" s="32"/>
      <c r="E1426" s="34" t="str">
        <f aca="false">IF($B1426="","",IF($B1426="OUT","Liters",IFERROR(INDEX(Setup!$F$3:$F$24,MATCH($C1426,Setup!$A$3:$A$24,0)),"")))</f>
        <v/>
      </c>
      <c r="F1426" s="28" t="str">
        <f aca="false">IF(OR($D1426="",$E1426=""),"",IFERROR($D1426*INDEX(Setup!$B$27:$B$44,MATCH($E1426,Setup!$A$27:$A$44,0)),"TBD"))</f>
        <v/>
      </c>
      <c r="G1426" s="32"/>
      <c r="H1426" s="32"/>
      <c r="I1426" s="32"/>
      <c r="J1426" s="32"/>
      <c r="K1426" s="35"/>
      <c r="L1426" s="32"/>
      <c r="M1426" s="32"/>
    </row>
    <row r="1427" customFormat="false" ht="15" hidden="false" customHeight="true" outlineLevel="0" collapsed="false">
      <c r="A1427" s="32"/>
      <c r="B1427" s="32"/>
      <c r="C1427" s="32"/>
      <c r="D1427" s="32"/>
      <c r="E1427" s="34" t="str">
        <f aca="false">IF($B1427="","",IF($B1427="OUT","Liters",IFERROR(INDEX(Setup!$F$3:$F$24,MATCH($C1427,Setup!$A$3:$A$24,0)),"")))</f>
        <v/>
      </c>
      <c r="F1427" s="28" t="str">
        <f aca="false">IF(OR($D1427="",$E1427=""),"",IFERROR($D1427*INDEX(Setup!$B$27:$B$44,MATCH($E1427,Setup!$A$27:$A$44,0)),"TBD"))</f>
        <v/>
      </c>
      <c r="G1427" s="32"/>
      <c r="H1427" s="32"/>
      <c r="I1427" s="32"/>
      <c r="J1427" s="32"/>
      <c r="K1427" s="35"/>
      <c r="L1427" s="32"/>
      <c r="M1427" s="32"/>
    </row>
    <row r="1428" customFormat="false" ht="15" hidden="false" customHeight="true" outlineLevel="0" collapsed="false">
      <c r="A1428" s="32"/>
      <c r="B1428" s="32"/>
      <c r="C1428" s="32"/>
      <c r="D1428" s="32"/>
      <c r="E1428" s="34" t="str">
        <f aca="false">IF($B1428="","",IF($B1428="OUT","Liters",IFERROR(INDEX(Setup!$F$3:$F$24,MATCH($C1428,Setup!$A$3:$A$24,0)),"")))</f>
        <v/>
      </c>
      <c r="F1428" s="28" t="str">
        <f aca="false">IF(OR($D1428="",$E1428=""),"",IFERROR($D1428*INDEX(Setup!$B$27:$B$44,MATCH($E1428,Setup!$A$27:$A$44,0)),"TBD"))</f>
        <v/>
      </c>
      <c r="G1428" s="32"/>
      <c r="H1428" s="32"/>
      <c r="I1428" s="32"/>
      <c r="J1428" s="32"/>
      <c r="K1428" s="35"/>
      <c r="L1428" s="32"/>
      <c r="M1428" s="32"/>
    </row>
    <row r="1429" customFormat="false" ht="15" hidden="false" customHeight="true" outlineLevel="0" collapsed="false">
      <c r="A1429" s="32"/>
      <c r="B1429" s="32"/>
      <c r="C1429" s="32"/>
      <c r="D1429" s="32"/>
      <c r="E1429" s="34" t="str">
        <f aca="false">IF($B1429="","",IF($B1429="OUT","Liters",IFERROR(INDEX(Setup!$F$3:$F$24,MATCH($C1429,Setup!$A$3:$A$24,0)),"")))</f>
        <v/>
      </c>
      <c r="F1429" s="28" t="str">
        <f aca="false">IF(OR($D1429="",$E1429=""),"",IFERROR($D1429*INDEX(Setup!$B$27:$B$44,MATCH($E1429,Setup!$A$27:$A$44,0)),"TBD"))</f>
        <v/>
      </c>
      <c r="G1429" s="32"/>
      <c r="H1429" s="32"/>
      <c r="I1429" s="32"/>
      <c r="J1429" s="32"/>
      <c r="K1429" s="35"/>
      <c r="L1429" s="32"/>
      <c r="M1429" s="32"/>
    </row>
    <row r="1430" customFormat="false" ht="15" hidden="false" customHeight="true" outlineLevel="0" collapsed="false">
      <c r="A1430" s="32"/>
      <c r="B1430" s="32"/>
      <c r="C1430" s="32"/>
      <c r="D1430" s="32"/>
      <c r="E1430" s="34" t="str">
        <f aca="false">IF($B1430="","",IF($B1430="OUT","Liters",IFERROR(INDEX(Setup!$F$3:$F$24,MATCH($C1430,Setup!$A$3:$A$24,0)),"")))</f>
        <v/>
      </c>
      <c r="F1430" s="28" t="str">
        <f aca="false">IF(OR($D1430="",$E1430=""),"",IFERROR($D1430*INDEX(Setup!$B$27:$B$44,MATCH($E1430,Setup!$A$27:$A$44,0)),"TBD"))</f>
        <v/>
      </c>
      <c r="G1430" s="32"/>
      <c r="H1430" s="32"/>
      <c r="I1430" s="32"/>
      <c r="J1430" s="32"/>
      <c r="K1430" s="35"/>
      <c r="L1430" s="32"/>
      <c r="M1430" s="32"/>
    </row>
    <row r="1431" customFormat="false" ht="15" hidden="false" customHeight="true" outlineLevel="0" collapsed="false">
      <c r="A1431" s="32"/>
      <c r="B1431" s="32"/>
      <c r="C1431" s="32"/>
      <c r="D1431" s="32"/>
      <c r="E1431" s="34" t="str">
        <f aca="false">IF($B1431="","",IF($B1431="OUT","Liters",IFERROR(INDEX(Setup!$F$3:$F$24,MATCH($C1431,Setup!$A$3:$A$24,0)),"")))</f>
        <v/>
      </c>
      <c r="F1431" s="28" t="str">
        <f aca="false">IF(OR($D1431="",$E1431=""),"",IFERROR($D1431*INDEX(Setup!$B$27:$B$44,MATCH($E1431,Setup!$A$27:$A$44,0)),"TBD"))</f>
        <v/>
      </c>
      <c r="G1431" s="32"/>
      <c r="H1431" s="32"/>
      <c r="I1431" s="32"/>
      <c r="J1431" s="32"/>
      <c r="K1431" s="35"/>
      <c r="L1431" s="32"/>
      <c r="M1431" s="32"/>
    </row>
    <row r="1432" customFormat="false" ht="15" hidden="false" customHeight="true" outlineLevel="0" collapsed="false">
      <c r="A1432" s="32"/>
      <c r="B1432" s="32"/>
      <c r="C1432" s="32"/>
      <c r="D1432" s="32"/>
      <c r="E1432" s="34" t="str">
        <f aca="false">IF($B1432="","",IF($B1432="OUT","Liters",IFERROR(INDEX(Setup!$F$3:$F$24,MATCH($C1432,Setup!$A$3:$A$24,0)),"")))</f>
        <v/>
      </c>
      <c r="F1432" s="28" t="str">
        <f aca="false">IF(OR($D1432="",$E1432=""),"",IFERROR($D1432*INDEX(Setup!$B$27:$B$44,MATCH($E1432,Setup!$A$27:$A$44,0)),"TBD"))</f>
        <v/>
      </c>
      <c r="G1432" s="32"/>
      <c r="H1432" s="32"/>
      <c r="I1432" s="32"/>
      <c r="J1432" s="32"/>
      <c r="K1432" s="35"/>
      <c r="L1432" s="32"/>
      <c r="M1432" s="32"/>
    </row>
    <row r="1433" customFormat="false" ht="15" hidden="false" customHeight="true" outlineLevel="0" collapsed="false">
      <c r="A1433" s="32"/>
      <c r="B1433" s="32"/>
      <c r="C1433" s="32"/>
      <c r="D1433" s="32"/>
      <c r="E1433" s="34" t="str">
        <f aca="false">IF($B1433="","",IF($B1433="OUT","Liters",IFERROR(INDEX(Setup!$F$3:$F$24,MATCH($C1433,Setup!$A$3:$A$24,0)),"")))</f>
        <v/>
      </c>
      <c r="F1433" s="28" t="str">
        <f aca="false">IF(OR($D1433="",$E1433=""),"",IFERROR($D1433*INDEX(Setup!$B$27:$B$44,MATCH($E1433,Setup!$A$27:$A$44,0)),"TBD"))</f>
        <v/>
      </c>
      <c r="G1433" s="32"/>
      <c r="H1433" s="32"/>
      <c r="I1433" s="32"/>
      <c r="J1433" s="32"/>
      <c r="K1433" s="35"/>
      <c r="L1433" s="32"/>
      <c r="M1433" s="32"/>
    </row>
    <row r="1434" customFormat="false" ht="15" hidden="false" customHeight="true" outlineLevel="0" collapsed="false">
      <c r="A1434" s="32"/>
      <c r="B1434" s="32"/>
      <c r="C1434" s="32"/>
      <c r="D1434" s="32"/>
      <c r="E1434" s="34" t="str">
        <f aca="false">IF($B1434="","",IF($B1434="OUT","Liters",IFERROR(INDEX(Setup!$F$3:$F$24,MATCH($C1434,Setup!$A$3:$A$24,0)),"")))</f>
        <v/>
      </c>
      <c r="F1434" s="28" t="str">
        <f aca="false">IF(OR($D1434="",$E1434=""),"",IFERROR($D1434*INDEX(Setup!$B$27:$B$44,MATCH($E1434,Setup!$A$27:$A$44,0)),"TBD"))</f>
        <v/>
      </c>
      <c r="G1434" s="32"/>
      <c r="H1434" s="32"/>
      <c r="I1434" s="32"/>
      <c r="J1434" s="32"/>
      <c r="K1434" s="35"/>
      <c r="L1434" s="32"/>
      <c r="M1434" s="32"/>
    </row>
    <row r="1435" customFormat="false" ht="15" hidden="false" customHeight="true" outlineLevel="0" collapsed="false">
      <c r="A1435" s="32"/>
      <c r="B1435" s="32"/>
      <c r="C1435" s="32"/>
      <c r="D1435" s="32"/>
      <c r="E1435" s="34" t="str">
        <f aca="false">IF($B1435="","",IF($B1435="OUT","Liters",IFERROR(INDEX(Setup!$F$3:$F$24,MATCH($C1435,Setup!$A$3:$A$24,0)),"")))</f>
        <v/>
      </c>
      <c r="F1435" s="28" t="str">
        <f aca="false">IF(OR($D1435="",$E1435=""),"",IFERROR($D1435*INDEX(Setup!$B$27:$B$44,MATCH($E1435,Setup!$A$27:$A$44,0)),"TBD"))</f>
        <v/>
      </c>
      <c r="G1435" s="32"/>
      <c r="H1435" s="32"/>
      <c r="I1435" s="32"/>
      <c r="J1435" s="32"/>
      <c r="K1435" s="35"/>
      <c r="L1435" s="32"/>
      <c r="M1435" s="32"/>
    </row>
    <row r="1436" customFormat="false" ht="15" hidden="false" customHeight="true" outlineLevel="0" collapsed="false">
      <c r="A1436" s="32"/>
      <c r="B1436" s="32"/>
      <c r="C1436" s="32"/>
      <c r="D1436" s="32"/>
      <c r="E1436" s="34" t="str">
        <f aca="false">IF($B1436="","",IF($B1436="OUT","Liters",IFERROR(INDEX(Setup!$F$3:$F$24,MATCH($C1436,Setup!$A$3:$A$24,0)),"")))</f>
        <v/>
      </c>
      <c r="F1436" s="28" t="str">
        <f aca="false">IF(OR($D1436="",$E1436=""),"",IFERROR($D1436*INDEX(Setup!$B$27:$B$44,MATCH($E1436,Setup!$A$27:$A$44,0)),"TBD"))</f>
        <v/>
      </c>
      <c r="G1436" s="32"/>
      <c r="H1436" s="32"/>
      <c r="I1436" s="32"/>
      <c r="J1436" s="32"/>
      <c r="K1436" s="35"/>
      <c r="L1436" s="32"/>
      <c r="M1436" s="32"/>
    </row>
    <row r="1437" customFormat="false" ht="15" hidden="false" customHeight="true" outlineLevel="0" collapsed="false">
      <c r="A1437" s="32"/>
      <c r="B1437" s="32"/>
      <c r="C1437" s="32"/>
      <c r="D1437" s="32"/>
      <c r="E1437" s="34" t="str">
        <f aca="false">IF($B1437="","",IF($B1437="OUT","Liters",IFERROR(INDEX(Setup!$F$3:$F$24,MATCH($C1437,Setup!$A$3:$A$24,0)),"")))</f>
        <v/>
      </c>
      <c r="F1437" s="28" t="str">
        <f aca="false">IF(OR($D1437="",$E1437=""),"",IFERROR($D1437*INDEX(Setup!$B$27:$B$44,MATCH($E1437,Setup!$A$27:$A$44,0)),"TBD"))</f>
        <v/>
      </c>
      <c r="G1437" s="32"/>
      <c r="H1437" s="32"/>
      <c r="I1437" s="32"/>
      <c r="J1437" s="32"/>
      <c r="K1437" s="35"/>
      <c r="L1437" s="32"/>
      <c r="M1437" s="32"/>
    </row>
    <row r="1438" customFormat="false" ht="15" hidden="false" customHeight="true" outlineLevel="0" collapsed="false">
      <c r="A1438" s="32"/>
      <c r="B1438" s="32"/>
      <c r="C1438" s="32"/>
      <c r="D1438" s="32"/>
      <c r="E1438" s="34" t="str">
        <f aca="false">IF($B1438="","",IF($B1438="OUT","Liters",IFERROR(INDEX(Setup!$F$3:$F$24,MATCH($C1438,Setup!$A$3:$A$24,0)),"")))</f>
        <v/>
      </c>
      <c r="F1438" s="28" t="str">
        <f aca="false">IF(OR($D1438="",$E1438=""),"",IFERROR($D1438*INDEX(Setup!$B$27:$B$44,MATCH($E1438,Setup!$A$27:$A$44,0)),"TBD"))</f>
        <v/>
      </c>
      <c r="G1438" s="32"/>
      <c r="H1438" s="32"/>
      <c r="I1438" s="32"/>
      <c r="J1438" s="32"/>
      <c r="K1438" s="35"/>
      <c r="L1438" s="32"/>
      <c r="M1438" s="32"/>
    </row>
    <row r="1439" customFormat="false" ht="15" hidden="false" customHeight="true" outlineLevel="0" collapsed="false">
      <c r="A1439" s="32"/>
      <c r="B1439" s="32"/>
      <c r="C1439" s="32"/>
      <c r="D1439" s="32"/>
      <c r="E1439" s="34" t="str">
        <f aca="false">IF($B1439="","",IF($B1439="OUT","Liters",IFERROR(INDEX(Setup!$F$3:$F$24,MATCH($C1439,Setup!$A$3:$A$24,0)),"")))</f>
        <v/>
      </c>
      <c r="F1439" s="28" t="str">
        <f aca="false">IF(OR($D1439="",$E1439=""),"",IFERROR($D1439*INDEX(Setup!$B$27:$B$44,MATCH($E1439,Setup!$A$27:$A$44,0)),"TBD"))</f>
        <v/>
      </c>
      <c r="G1439" s="32"/>
      <c r="H1439" s="32"/>
      <c r="I1439" s="32"/>
      <c r="J1439" s="32"/>
      <c r="K1439" s="35"/>
      <c r="L1439" s="32"/>
      <c r="M1439" s="32"/>
    </row>
    <row r="1440" customFormat="false" ht="15" hidden="false" customHeight="true" outlineLevel="0" collapsed="false">
      <c r="A1440" s="32"/>
      <c r="B1440" s="32"/>
      <c r="C1440" s="32"/>
      <c r="D1440" s="32"/>
      <c r="E1440" s="34" t="str">
        <f aca="false">IF($B1440="","",IF($B1440="OUT","Liters",IFERROR(INDEX(Setup!$F$3:$F$24,MATCH($C1440,Setup!$A$3:$A$24,0)),"")))</f>
        <v/>
      </c>
      <c r="F1440" s="28" t="str">
        <f aca="false">IF(OR($D1440="",$E1440=""),"",IFERROR($D1440*INDEX(Setup!$B$27:$B$44,MATCH($E1440,Setup!$A$27:$A$44,0)),"TBD"))</f>
        <v/>
      </c>
      <c r="G1440" s="32"/>
      <c r="H1440" s="32"/>
      <c r="I1440" s="32"/>
      <c r="J1440" s="32"/>
      <c r="K1440" s="35"/>
      <c r="L1440" s="32"/>
      <c r="M1440" s="32"/>
    </row>
    <row r="1441" customFormat="false" ht="15" hidden="false" customHeight="true" outlineLevel="0" collapsed="false">
      <c r="A1441" s="32"/>
      <c r="B1441" s="32"/>
      <c r="C1441" s="32"/>
      <c r="D1441" s="32"/>
      <c r="E1441" s="34" t="str">
        <f aca="false">IF($B1441="","",IF($B1441="OUT","Liters",IFERROR(INDEX(Setup!$F$3:$F$24,MATCH($C1441,Setup!$A$3:$A$24,0)),"")))</f>
        <v/>
      </c>
      <c r="F1441" s="28" t="str">
        <f aca="false">IF(OR($D1441="",$E1441=""),"",IFERROR($D1441*INDEX(Setup!$B$27:$B$44,MATCH($E1441,Setup!$A$27:$A$44,0)),"TBD"))</f>
        <v/>
      </c>
      <c r="G1441" s="32"/>
      <c r="H1441" s="32"/>
      <c r="I1441" s="32"/>
      <c r="J1441" s="32"/>
      <c r="K1441" s="35"/>
      <c r="L1441" s="32"/>
      <c r="M1441" s="32"/>
    </row>
    <row r="1442" customFormat="false" ht="15" hidden="false" customHeight="true" outlineLevel="0" collapsed="false">
      <c r="A1442" s="32"/>
      <c r="B1442" s="32"/>
      <c r="C1442" s="32"/>
      <c r="D1442" s="32"/>
      <c r="E1442" s="34" t="str">
        <f aca="false">IF($B1442="","",IF($B1442="OUT","Liters",IFERROR(INDEX(Setup!$F$3:$F$24,MATCH($C1442,Setup!$A$3:$A$24,0)),"")))</f>
        <v/>
      </c>
      <c r="F1442" s="28" t="str">
        <f aca="false">IF(OR($D1442="",$E1442=""),"",IFERROR($D1442*INDEX(Setup!$B$27:$B$44,MATCH($E1442,Setup!$A$27:$A$44,0)),"TBD"))</f>
        <v/>
      </c>
      <c r="G1442" s="32"/>
      <c r="H1442" s="32"/>
      <c r="I1442" s="32"/>
      <c r="J1442" s="32"/>
      <c r="K1442" s="35"/>
      <c r="L1442" s="32"/>
      <c r="M1442" s="32"/>
    </row>
    <row r="1443" customFormat="false" ht="15" hidden="false" customHeight="true" outlineLevel="0" collapsed="false">
      <c r="A1443" s="32"/>
      <c r="B1443" s="32"/>
      <c r="C1443" s="32"/>
      <c r="D1443" s="32"/>
      <c r="E1443" s="34" t="str">
        <f aca="false">IF($B1443="","",IF($B1443="OUT","Liters",IFERROR(INDEX(Setup!$F$3:$F$24,MATCH($C1443,Setup!$A$3:$A$24,0)),"")))</f>
        <v/>
      </c>
      <c r="F1443" s="28" t="str">
        <f aca="false">IF(OR($D1443="",$E1443=""),"",IFERROR($D1443*INDEX(Setup!$B$27:$B$44,MATCH($E1443,Setup!$A$27:$A$44,0)),"TBD"))</f>
        <v/>
      </c>
      <c r="G1443" s="32"/>
      <c r="H1443" s="32"/>
      <c r="I1443" s="32"/>
      <c r="J1443" s="32"/>
      <c r="K1443" s="35"/>
      <c r="L1443" s="32"/>
      <c r="M1443" s="32"/>
    </row>
    <row r="1444" customFormat="false" ht="15" hidden="false" customHeight="true" outlineLevel="0" collapsed="false">
      <c r="A1444" s="32"/>
      <c r="B1444" s="32"/>
      <c r="C1444" s="32"/>
      <c r="D1444" s="32"/>
      <c r="E1444" s="34" t="str">
        <f aca="false">IF($B1444="","",IF($B1444="OUT","Liters",IFERROR(INDEX(Setup!$F$3:$F$24,MATCH($C1444,Setup!$A$3:$A$24,0)),"")))</f>
        <v/>
      </c>
      <c r="F1444" s="28" t="str">
        <f aca="false">IF(OR($D1444="",$E1444=""),"",IFERROR($D1444*INDEX(Setup!$B$27:$B$44,MATCH($E1444,Setup!$A$27:$A$44,0)),"TBD"))</f>
        <v/>
      </c>
      <c r="G1444" s="32"/>
      <c r="H1444" s="32"/>
      <c r="I1444" s="32"/>
      <c r="J1444" s="32"/>
      <c r="K1444" s="35"/>
      <c r="L1444" s="32"/>
      <c r="M1444" s="32"/>
    </row>
    <row r="1445" customFormat="false" ht="15" hidden="false" customHeight="true" outlineLevel="0" collapsed="false">
      <c r="A1445" s="32"/>
      <c r="B1445" s="32"/>
      <c r="C1445" s="32"/>
      <c r="D1445" s="32"/>
      <c r="E1445" s="34" t="str">
        <f aca="false">IF($B1445="","",IF($B1445="OUT","Liters",IFERROR(INDEX(Setup!$F$3:$F$24,MATCH($C1445,Setup!$A$3:$A$24,0)),"")))</f>
        <v/>
      </c>
      <c r="F1445" s="28" t="str">
        <f aca="false">IF(OR($D1445="",$E1445=""),"",IFERROR($D1445*INDEX(Setup!$B$27:$B$44,MATCH($E1445,Setup!$A$27:$A$44,0)),"TBD"))</f>
        <v/>
      </c>
      <c r="G1445" s="32"/>
      <c r="H1445" s="32"/>
      <c r="I1445" s="32"/>
      <c r="J1445" s="32"/>
      <c r="K1445" s="35"/>
      <c r="L1445" s="32"/>
      <c r="M1445" s="32"/>
    </row>
    <row r="1446" customFormat="false" ht="15" hidden="false" customHeight="true" outlineLevel="0" collapsed="false">
      <c r="A1446" s="32"/>
      <c r="B1446" s="32"/>
      <c r="C1446" s="32"/>
      <c r="D1446" s="32"/>
      <c r="E1446" s="34" t="str">
        <f aca="false">IF($B1446="","",IF($B1446="OUT","Liters",IFERROR(INDEX(Setup!$F$3:$F$24,MATCH($C1446,Setup!$A$3:$A$24,0)),"")))</f>
        <v/>
      </c>
      <c r="F1446" s="28" t="str">
        <f aca="false">IF(OR($D1446="",$E1446=""),"",IFERROR($D1446*INDEX(Setup!$B$27:$B$44,MATCH($E1446,Setup!$A$27:$A$44,0)),"TBD"))</f>
        <v/>
      </c>
      <c r="G1446" s="32"/>
      <c r="H1446" s="32"/>
      <c r="I1446" s="32"/>
      <c r="J1446" s="32"/>
      <c r="K1446" s="35"/>
      <c r="L1446" s="32"/>
      <c r="M1446" s="32"/>
    </row>
    <row r="1447" customFormat="false" ht="15" hidden="false" customHeight="true" outlineLevel="0" collapsed="false">
      <c r="A1447" s="32"/>
      <c r="B1447" s="32"/>
      <c r="C1447" s="32"/>
      <c r="D1447" s="32"/>
      <c r="E1447" s="34" t="str">
        <f aca="false">IF($B1447="","",IF($B1447="OUT","Liters",IFERROR(INDEX(Setup!$F$3:$F$24,MATCH($C1447,Setup!$A$3:$A$24,0)),"")))</f>
        <v/>
      </c>
      <c r="F1447" s="28" t="str">
        <f aca="false">IF(OR($D1447="",$E1447=""),"",IFERROR($D1447*INDEX(Setup!$B$27:$B$44,MATCH($E1447,Setup!$A$27:$A$44,0)),"TBD"))</f>
        <v/>
      </c>
      <c r="G1447" s="32"/>
      <c r="H1447" s="32"/>
      <c r="I1447" s="32"/>
      <c r="J1447" s="32"/>
      <c r="K1447" s="35"/>
      <c r="L1447" s="32"/>
      <c r="M1447" s="32"/>
    </row>
    <row r="1448" customFormat="false" ht="15" hidden="false" customHeight="true" outlineLevel="0" collapsed="false">
      <c r="A1448" s="32"/>
      <c r="B1448" s="32"/>
      <c r="C1448" s="32"/>
      <c r="D1448" s="32"/>
      <c r="E1448" s="34" t="str">
        <f aca="false">IF($B1448="","",IF($B1448="OUT","Liters",IFERROR(INDEX(Setup!$F$3:$F$24,MATCH($C1448,Setup!$A$3:$A$24,0)),"")))</f>
        <v/>
      </c>
      <c r="F1448" s="28" t="str">
        <f aca="false">IF(OR($D1448="",$E1448=""),"",IFERROR($D1448*INDEX(Setup!$B$27:$B$44,MATCH($E1448,Setup!$A$27:$A$44,0)),"TBD"))</f>
        <v/>
      </c>
      <c r="G1448" s="32"/>
      <c r="H1448" s="32"/>
      <c r="I1448" s="32"/>
      <c r="J1448" s="32"/>
      <c r="K1448" s="35"/>
      <c r="L1448" s="32"/>
      <c r="M1448" s="32"/>
    </row>
    <row r="1449" customFormat="false" ht="15" hidden="false" customHeight="true" outlineLevel="0" collapsed="false">
      <c r="A1449" s="32"/>
      <c r="B1449" s="32"/>
      <c r="C1449" s="32"/>
      <c r="D1449" s="32"/>
      <c r="E1449" s="34" t="str">
        <f aca="false">IF($B1449="","",IF($B1449="OUT","Liters",IFERROR(INDEX(Setup!$F$3:$F$24,MATCH($C1449,Setup!$A$3:$A$24,0)),"")))</f>
        <v/>
      </c>
      <c r="F1449" s="28" t="str">
        <f aca="false">IF(OR($D1449="",$E1449=""),"",IFERROR($D1449*INDEX(Setup!$B$27:$B$44,MATCH($E1449,Setup!$A$27:$A$44,0)),"TBD"))</f>
        <v/>
      </c>
      <c r="G1449" s="32"/>
      <c r="H1449" s="32"/>
      <c r="I1449" s="32"/>
      <c r="J1449" s="32"/>
      <c r="K1449" s="35"/>
      <c r="L1449" s="32"/>
      <c r="M1449" s="32"/>
    </row>
    <row r="1450" customFormat="false" ht="15" hidden="false" customHeight="true" outlineLevel="0" collapsed="false">
      <c r="A1450" s="32"/>
      <c r="B1450" s="32"/>
      <c r="C1450" s="32"/>
      <c r="D1450" s="32"/>
      <c r="E1450" s="34" t="str">
        <f aca="false">IF($B1450="","",IF($B1450="OUT","Liters",IFERROR(INDEX(Setup!$F$3:$F$24,MATCH($C1450,Setup!$A$3:$A$24,0)),"")))</f>
        <v/>
      </c>
      <c r="F1450" s="28" t="str">
        <f aca="false">IF(OR($D1450="",$E1450=""),"",IFERROR($D1450*INDEX(Setup!$B$27:$B$44,MATCH($E1450,Setup!$A$27:$A$44,0)),"TBD"))</f>
        <v/>
      </c>
      <c r="G1450" s="32"/>
      <c r="H1450" s="32"/>
      <c r="I1450" s="32"/>
      <c r="J1450" s="32"/>
      <c r="K1450" s="35"/>
      <c r="L1450" s="32"/>
      <c r="M1450" s="32"/>
    </row>
    <row r="1451" customFormat="false" ht="15" hidden="false" customHeight="true" outlineLevel="0" collapsed="false">
      <c r="A1451" s="32"/>
      <c r="B1451" s="32"/>
      <c r="C1451" s="32"/>
      <c r="D1451" s="32"/>
      <c r="E1451" s="34" t="str">
        <f aca="false">IF($B1451="","",IF($B1451="OUT","Liters",IFERROR(INDEX(Setup!$F$3:$F$24,MATCH($C1451,Setup!$A$3:$A$24,0)),"")))</f>
        <v/>
      </c>
      <c r="F1451" s="28" t="str">
        <f aca="false">IF(OR($D1451="",$E1451=""),"",IFERROR($D1451*INDEX(Setup!$B$27:$B$44,MATCH($E1451,Setup!$A$27:$A$44,0)),"TBD"))</f>
        <v/>
      </c>
      <c r="G1451" s="32"/>
      <c r="H1451" s="32"/>
      <c r="I1451" s="32"/>
      <c r="J1451" s="32"/>
      <c r="K1451" s="35"/>
      <c r="L1451" s="32"/>
      <c r="M1451" s="32"/>
    </row>
    <row r="1452" customFormat="false" ht="15" hidden="false" customHeight="true" outlineLevel="0" collapsed="false">
      <c r="A1452" s="32"/>
      <c r="B1452" s="32"/>
      <c r="C1452" s="32"/>
      <c r="D1452" s="32"/>
      <c r="E1452" s="34" t="str">
        <f aca="false">IF($B1452="","",IF($B1452="OUT","Liters",IFERROR(INDEX(Setup!$F$3:$F$24,MATCH($C1452,Setup!$A$3:$A$24,0)),"")))</f>
        <v/>
      </c>
      <c r="F1452" s="28" t="str">
        <f aca="false">IF(OR($D1452="",$E1452=""),"",IFERROR($D1452*INDEX(Setup!$B$27:$B$44,MATCH($E1452,Setup!$A$27:$A$44,0)),"TBD"))</f>
        <v/>
      </c>
      <c r="G1452" s="32"/>
      <c r="H1452" s="32"/>
      <c r="I1452" s="32"/>
      <c r="J1452" s="32"/>
      <c r="K1452" s="35"/>
      <c r="L1452" s="32"/>
      <c r="M1452" s="32"/>
    </row>
    <row r="1453" customFormat="false" ht="15" hidden="false" customHeight="true" outlineLevel="0" collapsed="false">
      <c r="A1453" s="32"/>
      <c r="B1453" s="32"/>
      <c r="C1453" s="32"/>
      <c r="D1453" s="32"/>
      <c r="E1453" s="34" t="str">
        <f aca="false">IF($B1453="","",IF($B1453="OUT","Liters",IFERROR(INDEX(Setup!$F$3:$F$24,MATCH($C1453,Setup!$A$3:$A$24,0)),"")))</f>
        <v/>
      </c>
      <c r="F1453" s="28" t="str">
        <f aca="false">IF(OR($D1453="",$E1453=""),"",IFERROR($D1453*INDEX(Setup!$B$27:$B$44,MATCH($E1453,Setup!$A$27:$A$44,0)),"TBD"))</f>
        <v/>
      </c>
      <c r="G1453" s="32"/>
      <c r="H1453" s="32"/>
      <c r="I1453" s="32"/>
      <c r="J1453" s="32"/>
      <c r="K1453" s="35"/>
      <c r="L1453" s="32"/>
      <c r="M1453" s="32"/>
    </row>
    <row r="1454" customFormat="false" ht="15" hidden="false" customHeight="true" outlineLevel="0" collapsed="false">
      <c r="A1454" s="32"/>
      <c r="B1454" s="32"/>
      <c r="C1454" s="32"/>
      <c r="D1454" s="32"/>
      <c r="E1454" s="34" t="str">
        <f aca="false">IF($B1454="","",IF($B1454="OUT","Liters",IFERROR(INDEX(Setup!$F$3:$F$24,MATCH($C1454,Setup!$A$3:$A$24,0)),"")))</f>
        <v/>
      </c>
      <c r="F1454" s="28" t="str">
        <f aca="false">IF(OR($D1454="",$E1454=""),"",IFERROR($D1454*INDEX(Setup!$B$27:$B$44,MATCH($E1454,Setup!$A$27:$A$44,0)),"TBD"))</f>
        <v/>
      </c>
      <c r="G1454" s="32"/>
      <c r="H1454" s="32"/>
      <c r="I1454" s="32"/>
      <c r="J1454" s="32"/>
      <c r="K1454" s="35"/>
      <c r="L1454" s="32"/>
      <c r="M1454" s="32"/>
    </row>
    <row r="1455" customFormat="false" ht="15" hidden="false" customHeight="true" outlineLevel="0" collapsed="false">
      <c r="A1455" s="32"/>
      <c r="B1455" s="32"/>
      <c r="C1455" s="32"/>
      <c r="D1455" s="32"/>
      <c r="E1455" s="34" t="str">
        <f aca="false">IF($B1455="","",IF($B1455="OUT","Liters",IFERROR(INDEX(Setup!$F$3:$F$24,MATCH($C1455,Setup!$A$3:$A$24,0)),"")))</f>
        <v/>
      </c>
      <c r="F1455" s="28" t="str">
        <f aca="false">IF(OR($D1455="",$E1455=""),"",IFERROR($D1455*INDEX(Setup!$B$27:$B$44,MATCH($E1455,Setup!$A$27:$A$44,0)),"TBD"))</f>
        <v/>
      </c>
      <c r="G1455" s="32"/>
      <c r="H1455" s="32"/>
      <c r="I1455" s="32"/>
      <c r="J1455" s="32"/>
      <c r="K1455" s="35"/>
      <c r="L1455" s="32"/>
      <c r="M1455" s="32"/>
    </row>
    <row r="1456" customFormat="false" ht="15" hidden="false" customHeight="true" outlineLevel="0" collapsed="false">
      <c r="A1456" s="32"/>
      <c r="B1456" s="32"/>
      <c r="C1456" s="32"/>
      <c r="D1456" s="32"/>
      <c r="E1456" s="34" t="str">
        <f aca="false">IF($B1456="","",IF($B1456="OUT","Liters",IFERROR(INDEX(Setup!$F$3:$F$24,MATCH($C1456,Setup!$A$3:$A$24,0)),"")))</f>
        <v/>
      </c>
      <c r="F1456" s="28" t="str">
        <f aca="false">IF(OR($D1456="",$E1456=""),"",IFERROR($D1456*INDEX(Setup!$B$27:$B$44,MATCH($E1456,Setup!$A$27:$A$44,0)),"TBD"))</f>
        <v/>
      </c>
      <c r="G1456" s="32"/>
      <c r="H1456" s="32"/>
      <c r="I1456" s="32"/>
      <c r="J1456" s="32"/>
      <c r="K1456" s="35"/>
      <c r="L1456" s="32"/>
      <c r="M1456" s="32"/>
    </row>
    <row r="1457" customFormat="false" ht="15" hidden="false" customHeight="true" outlineLevel="0" collapsed="false">
      <c r="A1457" s="32"/>
      <c r="B1457" s="32"/>
      <c r="C1457" s="32"/>
      <c r="D1457" s="32"/>
      <c r="E1457" s="34" t="str">
        <f aca="false">IF($B1457="","",IF($B1457="OUT","Liters",IFERROR(INDEX(Setup!$F$3:$F$24,MATCH($C1457,Setup!$A$3:$A$24,0)),"")))</f>
        <v/>
      </c>
      <c r="F1457" s="28" t="str">
        <f aca="false">IF(OR($D1457="",$E1457=""),"",IFERROR($D1457*INDEX(Setup!$B$27:$B$44,MATCH($E1457,Setup!$A$27:$A$44,0)),"TBD"))</f>
        <v/>
      </c>
      <c r="G1457" s="32"/>
      <c r="H1457" s="32"/>
      <c r="I1457" s="32"/>
      <c r="J1457" s="32"/>
      <c r="K1457" s="35"/>
      <c r="L1457" s="32"/>
      <c r="M1457" s="32"/>
    </row>
    <row r="1458" customFormat="false" ht="15" hidden="false" customHeight="true" outlineLevel="0" collapsed="false">
      <c r="A1458" s="32"/>
      <c r="B1458" s="32"/>
      <c r="C1458" s="32"/>
      <c r="D1458" s="32"/>
      <c r="E1458" s="34" t="str">
        <f aca="false">IF($B1458="","",IF($B1458="OUT","Liters",IFERROR(INDEX(Setup!$F$3:$F$24,MATCH($C1458,Setup!$A$3:$A$24,0)),"")))</f>
        <v/>
      </c>
      <c r="F1458" s="28" t="str">
        <f aca="false">IF(OR($D1458="",$E1458=""),"",IFERROR($D1458*INDEX(Setup!$B$27:$B$44,MATCH($E1458,Setup!$A$27:$A$44,0)),"TBD"))</f>
        <v/>
      </c>
      <c r="G1458" s="32"/>
      <c r="H1458" s="32"/>
      <c r="I1458" s="32"/>
      <c r="J1458" s="32"/>
      <c r="K1458" s="35"/>
      <c r="L1458" s="32"/>
      <c r="M1458" s="32"/>
    </row>
    <row r="1459" customFormat="false" ht="15" hidden="false" customHeight="true" outlineLevel="0" collapsed="false">
      <c r="A1459" s="32"/>
      <c r="B1459" s="32"/>
      <c r="C1459" s="32"/>
      <c r="D1459" s="32"/>
      <c r="E1459" s="34" t="str">
        <f aca="false">IF($B1459="","",IF($B1459="OUT","Liters",IFERROR(INDEX(Setup!$F$3:$F$24,MATCH($C1459,Setup!$A$3:$A$24,0)),"")))</f>
        <v/>
      </c>
      <c r="F1459" s="28" t="str">
        <f aca="false">IF(OR($D1459="",$E1459=""),"",IFERROR($D1459*INDEX(Setup!$B$27:$B$44,MATCH($E1459,Setup!$A$27:$A$44,0)),"TBD"))</f>
        <v/>
      </c>
      <c r="G1459" s="32"/>
      <c r="H1459" s="32"/>
      <c r="I1459" s="32"/>
      <c r="J1459" s="32"/>
      <c r="K1459" s="35"/>
      <c r="L1459" s="32"/>
      <c r="M1459" s="32"/>
    </row>
    <row r="1460" customFormat="false" ht="15" hidden="false" customHeight="true" outlineLevel="0" collapsed="false">
      <c r="A1460" s="32"/>
      <c r="B1460" s="32"/>
      <c r="C1460" s="32"/>
      <c r="D1460" s="32"/>
      <c r="E1460" s="34" t="str">
        <f aca="false">IF($B1460="","",IF($B1460="OUT","Liters",IFERROR(INDEX(Setup!$F$3:$F$24,MATCH($C1460,Setup!$A$3:$A$24,0)),"")))</f>
        <v/>
      </c>
      <c r="F1460" s="28" t="str">
        <f aca="false">IF(OR($D1460="",$E1460=""),"",IFERROR($D1460*INDEX(Setup!$B$27:$B$44,MATCH($E1460,Setup!$A$27:$A$44,0)),"TBD"))</f>
        <v/>
      </c>
      <c r="G1460" s="32"/>
      <c r="H1460" s="32"/>
      <c r="I1460" s="32"/>
      <c r="J1460" s="32"/>
      <c r="K1460" s="35"/>
      <c r="L1460" s="32"/>
      <c r="M1460" s="32"/>
    </row>
    <row r="1461" customFormat="false" ht="15" hidden="false" customHeight="true" outlineLevel="0" collapsed="false">
      <c r="A1461" s="32"/>
      <c r="B1461" s="32"/>
      <c r="C1461" s="32"/>
      <c r="D1461" s="32"/>
      <c r="E1461" s="34" t="str">
        <f aca="false">IF($B1461="","",IF($B1461="OUT","Liters",IFERROR(INDEX(Setup!$F$3:$F$24,MATCH($C1461,Setup!$A$3:$A$24,0)),"")))</f>
        <v/>
      </c>
      <c r="F1461" s="28" t="str">
        <f aca="false">IF(OR($D1461="",$E1461=""),"",IFERROR($D1461*INDEX(Setup!$B$27:$B$44,MATCH($E1461,Setup!$A$27:$A$44,0)),"TBD"))</f>
        <v/>
      </c>
      <c r="G1461" s="32"/>
      <c r="H1461" s="32"/>
      <c r="I1461" s="32"/>
      <c r="J1461" s="32"/>
      <c r="K1461" s="35"/>
      <c r="L1461" s="32"/>
      <c r="M1461" s="32"/>
    </row>
    <row r="1462" customFormat="false" ht="15" hidden="false" customHeight="true" outlineLevel="0" collapsed="false">
      <c r="A1462" s="32"/>
      <c r="B1462" s="32"/>
      <c r="C1462" s="32"/>
      <c r="D1462" s="32"/>
      <c r="E1462" s="34" t="str">
        <f aca="false">IF($B1462="","",IF($B1462="OUT","Liters",IFERROR(INDEX(Setup!$F$3:$F$24,MATCH($C1462,Setup!$A$3:$A$24,0)),"")))</f>
        <v/>
      </c>
      <c r="F1462" s="28" t="str">
        <f aca="false">IF(OR($D1462="",$E1462=""),"",IFERROR($D1462*INDEX(Setup!$B$27:$B$44,MATCH($E1462,Setup!$A$27:$A$44,0)),"TBD"))</f>
        <v/>
      </c>
      <c r="G1462" s="32"/>
      <c r="H1462" s="32"/>
      <c r="I1462" s="32"/>
      <c r="J1462" s="32"/>
      <c r="K1462" s="35"/>
      <c r="L1462" s="32"/>
      <c r="M1462" s="32"/>
    </row>
    <row r="1463" customFormat="false" ht="15" hidden="false" customHeight="true" outlineLevel="0" collapsed="false">
      <c r="A1463" s="32"/>
      <c r="B1463" s="32"/>
      <c r="C1463" s="32"/>
      <c r="D1463" s="32"/>
      <c r="E1463" s="34" t="str">
        <f aca="false">IF($B1463="","",IF($B1463="OUT","Liters",IFERROR(INDEX(Setup!$F$3:$F$24,MATCH($C1463,Setup!$A$3:$A$24,0)),"")))</f>
        <v/>
      </c>
      <c r="F1463" s="28" t="str">
        <f aca="false">IF(OR($D1463="",$E1463=""),"",IFERROR($D1463*INDEX(Setup!$B$27:$B$44,MATCH($E1463,Setup!$A$27:$A$44,0)),"TBD"))</f>
        <v/>
      </c>
      <c r="G1463" s="32"/>
      <c r="H1463" s="32"/>
      <c r="I1463" s="32"/>
      <c r="J1463" s="32"/>
      <c r="K1463" s="35"/>
      <c r="L1463" s="32"/>
      <c r="M1463" s="32"/>
    </row>
    <row r="1464" customFormat="false" ht="15" hidden="false" customHeight="true" outlineLevel="0" collapsed="false">
      <c r="A1464" s="32"/>
      <c r="B1464" s="32"/>
      <c r="C1464" s="32"/>
      <c r="D1464" s="32"/>
      <c r="E1464" s="34" t="str">
        <f aca="false">IF($B1464="","",IF($B1464="OUT","Liters",IFERROR(INDEX(Setup!$F$3:$F$24,MATCH($C1464,Setup!$A$3:$A$24,0)),"")))</f>
        <v/>
      </c>
      <c r="F1464" s="28" t="str">
        <f aca="false">IF(OR($D1464="",$E1464=""),"",IFERROR($D1464*INDEX(Setup!$B$27:$B$44,MATCH($E1464,Setup!$A$27:$A$44,0)),"TBD"))</f>
        <v/>
      </c>
      <c r="G1464" s="32"/>
      <c r="H1464" s="32"/>
      <c r="I1464" s="32"/>
      <c r="J1464" s="32"/>
      <c r="K1464" s="35"/>
      <c r="L1464" s="32"/>
      <c r="M1464" s="32"/>
    </row>
    <row r="1465" customFormat="false" ht="15" hidden="false" customHeight="true" outlineLevel="0" collapsed="false">
      <c r="A1465" s="32"/>
      <c r="B1465" s="32"/>
      <c r="C1465" s="32"/>
      <c r="D1465" s="32"/>
      <c r="E1465" s="34" t="str">
        <f aca="false">IF($B1465="","",IF($B1465="OUT","Liters",IFERROR(INDEX(Setup!$F$3:$F$24,MATCH($C1465,Setup!$A$3:$A$24,0)),"")))</f>
        <v/>
      </c>
      <c r="F1465" s="28" t="str">
        <f aca="false">IF(OR($D1465="",$E1465=""),"",IFERROR($D1465*INDEX(Setup!$B$27:$B$44,MATCH($E1465,Setup!$A$27:$A$44,0)),"TBD"))</f>
        <v/>
      </c>
      <c r="G1465" s="32"/>
      <c r="H1465" s="32"/>
      <c r="I1465" s="32"/>
      <c r="J1465" s="32"/>
      <c r="K1465" s="35"/>
      <c r="L1465" s="32"/>
      <c r="M1465" s="32"/>
    </row>
    <row r="1466" customFormat="false" ht="15" hidden="false" customHeight="true" outlineLevel="0" collapsed="false">
      <c r="A1466" s="32"/>
      <c r="B1466" s="32"/>
      <c r="C1466" s="32"/>
      <c r="D1466" s="32"/>
      <c r="E1466" s="34" t="str">
        <f aca="false">IF($B1466="","",IF($B1466="OUT","Liters",IFERROR(INDEX(Setup!$F$3:$F$24,MATCH($C1466,Setup!$A$3:$A$24,0)),"")))</f>
        <v/>
      </c>
      <c r="F1466" s="28" t="str">
        <f aca="false">IF(OR($D1466="",$E1466=""),"",IFERROR($D1466*INDEX(Setup!$B$27:$B$44,MATCH($E1466,Setup!$A$27:$A$44,0)),"TBD"))</f>
        <v/>
      </c>
      <c r="G1466" s="32"/>
      <c r="H1466" s="32"/>
      <c r="I1466" s="32"/>
      <c r="J1466" s="32"/>
      <c r="K1466" s="35"/>
      <c r="L1466" s="32"/>
      <c r="M1466" s="32"/>
    </row>
    <row r="1467" customFormat="false" ht="15" hidden="false" customHeight="true" outlineLevel="0" collapsed="false">
      <c r="A1467" s="32"/>
      <c r="B1467" s="32"/>
      <c r="C1467" s="32"/>
      <c r="D1467" s="32"/>
      <c r="E1467" s="34" t="str">
        <f aca="false">IF($B1467="","",IF($B1467="OUT","Liters",IFERROR(INDEX(Setup!$F$3:$F$24,MATCH($C1467,Setup!$A$3:$A$24,0)),"")))</f>
        <v/>
      </c>
      <c r="F1467" s="28" t="str">
        <f aca="false">IF(OR($D1467="",$E1467=""),"",IFERROR($D1467*INDEX(Setup!$B$27:$B$44,MATCH($E1467,Setup!$A$27:$A$44,0)),"TBD"))</f>
        <v/>
      </c>
      <c r="G1467" s="32"/>
      <c r="H1467" s="32"/>
      <c r="I1467" s="32"/>
      <c r="J1467" s="32"/>
      <c r="K1467" s="35"/>
      <c r="L1467" s="32"/>
      <c r="M1467" s="32"/>
    </row>
    <row r="1468" customFormat="false" ht="15" hidden="false" customHeight="true" outlineLevel="0" collapsed="false">
      <c r="A1468" s="32"/>
      <c r="B1468" s="32"/>
      <c r="C1468" s="32"/>
      <c r="D1468" s="32"/>
      <c r="E1468" s="34" t="str">
        <f aca="false">IF($B1468="","",IF($B1468="OUT","Liters",IFERROR(INDEX(Setup!$F$3:$F$24,MATCH($C1468,Setup!$A$3:$A$24,0)),"")))</f>
        <v/>
      </c>
      <c r="F1468" s="28" t="str">
        <f aca="false">IF(OR($D1468="",$E1468=""),"",IFERROR($D1468*INDEX(Setup!$B$27:$B$44,MATCH($E1468,Setup!$A$27:$A$44,0)),"TBD"))</f>
        <v/>
      </c>
      <c r="G1468" s="32"/>
      <c r="H1468" s="32"/>
      <c r="I1468" s="32"/>
      <c r="J1468" s="32"/>
      <c r="K1468" s="35"/>
      <c r="L1468" s="32"/>
      <c r="M1468" s="32"/>
    </row>
    <row r="1469" customFormat="false" ht="15" hidden="false" customHeight="true" outlineLevel="0" collapsed="false">
      <c r="A1469" s="32"/>
      <c r="B1469" s="32"/>
      <c r="C1469" s="32"/>
      <c r="D1469" s="32"/>
      <c r="E1469" s="34" t="str">
        <f aca="false">IF($B1469="","",IF($B1469="OUT","Liters",IFERROR(INDEX(Setup!$F$3:$F$24,MATCH($C1469,Setup!$A$3:$A$24,0)),"")))</f>
        <v/>
      </c>
      <c r="F1469" s="28" t="str">
        <f aca="false">IF(OR($D1469="",$E1469=""),"",IFERROR($D1469*INDEX(Setup!$B$27:$B$44,MATCH($E1469,Setup!$A$27:$A$44,0)),"TBD"))</f>
        <v/>
      </c>
      <c r="G1469" s="32"/>
      <c r="H1469" s="32"/>
      <c r="I1469" s="32"/>
      <c r="J1469" s="32"/>
      <c r="K1469" s="35"/>
      <c r="L1469" s="32"/>
      <c r="M1469" s="32"/>
    </row>
    <row r="1470" customFormat="false" ht="15" hidden="false" customHeight="true" outlineLevel="0" collapsed="false">
      <c r="A1470" s="32"/>
      <c r="B1470" s="32"/>
      <c r="C1470" s="32"/>
      <c r="D1470" s="32"/>
      <c r="E1470" s="34" t="str">
        <f aca="false">IF($B1470="","",IF($B1470="OUT","Liters",IFERROR(INDEX(Setup!$F$3:$F$24,MATCH($C1470,Setup!$A$3:$A$24,0)),"")))</f>
        <v/>
      </c>
      <c r="F1470" s="28" t="str">
        <f aca="false">IF(OR($D1470="",$E1470=""),"",IFERROR($D1470*INDEX(Setup!$B$27:$B$44,MATCH($E1470,Setup!$A$27:$A$44,0)),"TBD"))</f>
        <v/>
      </c>
      <c r="G1470" s="32"/>
      <c r="H1470" s="32"/>
      <c r="I1470" s="32"/>
      <c r="J1470" s="32"/>
      <c r="K1470" s="35"/>
      <c r="L1470" s="32"/>
      <c r="M1470" s="32"/>
    </row>
    <row r="1471" customFormat="false" ht="15" hidden="false" customHeight="true" outlineLevel="0" collapsed="false">
      <c r="A1471" s="32"/>
      <c r="B1471" s="32"/>
      <c r="C1471" s="32"/>
      <c r="D1471" s="32"/>
      <c r="E1471" s="34" t="str">
        <f aca="false">IF($B1471="","",IF($B1471="OUT","Liters",IFERROR(INDEX(Setup!$F$3:$F$24,MATCH($C1471,Setup!$A$3:$A$24,0)),"")))</f>
        <v/>
      </c>
      <c r="F1471" s="28" t="str">
        <f aca="false">IF(OR($D1471="",$E1471=""),"",IFERROR($D1471*INDEX(Setup!$B$27:$B$44,MATCH($E1471,Setup!$A$27:$A$44,0)),"TBD"))</f>
        <v/>
      </c>
      <c r="G1471" s="32"/>
      <c r="H1471" s="32"/>
      <c r="I1471" s="32"/>
      <c r="J1471" s="32"/>
      <c r="K1471" s="35"/>
      <c r="L1471" s="32"/>
      <c r="M1471" s="32"/>
    </row>
    <row r="1472" customFormat="false" ht="15" hidden="false" customHeight="true" outlineLevel="0" collapsed="false">
      <c r="A1472" s="32"/>
      <c r="B1472" s="32"/>
      <c r="C1472" s="32"/>
      <c r="D1472" s="32"/>
      <c r="E1472" s="34" t="str">
        <f aca="false">IF($B1472="","",IF($B1472="OUT","Liters",IFERROR(INDEX(Setup!$F$3:$F$24,MATCH($C1472,Setup!$A$3:$A$24,0)),"")))</f>
        <v/>
      </c>
      <c r="F1472" s="28" t="str">
        <f aca="false">IF(OR($D1472="",$E1472=""),"",IFERROR($D1472*INDEX(Setup!$B$27:$B$44,MATCH($E1472,Setup!$A$27:$A$44,0)),"TBD"))</f>
        <v/>
      </c>
      <c r="G1472" s="32"/>
      <c r="H1472" s="32"/>
      <c r="I1472" s="32"/>
      <c r="J1472" s="32"/>
      <c r="K1472" s="35"/>
      <c r="L1472" s="32"/>
      <c r="M1472" s="32"/>
    </row>
    <row r="1473" customFormat="false" ht="15" hidden="false" customHeight="true" outlineLevel="0" collapsed="false">
      <c r="A1473" s="32"/>
      <c r="B1473" s="32"/>
      <c r="C1473" s="32"/>
      <c r="D1473" s="32"/>
      <c r="E1473" s="34" t="str">
        <f aca="false">IF($B1473="","",IF($B1473="OUT","Liters",IFERROR(INDEX(Setup!$F$3:$F$24,MATCH($C1473,Setup!$A$3:$A$24,0)),"")))</f>
        <v/>
      </c>
      <c r="F1473" s="28" t="str">
        <f aca="false">IF(OR($D1473="",$E1473=""),"",IFERROR($D1473*INDEX(Setup!$B$27:$B$44,MATCH($E1473,Setup!$A$27:$A$44,0)),"TBD"))</f>
        <v/>
      </c>
      <c r="G1473" s="32"/>
      <c r="H1473" s="32"/>
      <c r="I1473" s="32"/>
      <c r="J1473" s="32"/>
      <c r="K1473" s="35"/>
      <c r="L1473" s="32"/>
      <c r="M1473" s="32"/>
    </row>
    <row r="1474" customFormat="false" ht="15" hidden="false" customHeight="true" outlineLevel="0" collapsed="false">
      <c r="A1474" s="32"/>
      <c r="B1474" s="32"/>
      <c r="C1474" s="32"/>
      <c r="D1474" s="32"/>
      <c r="E1474" s="34" t="str">
        <f aca="false">IF($B1474="","",IF($B1474="OUT","Liters",IFERROR(INDEX(Setup!$F$3:$F$24,MATCH($C1474,Setup!$A$3:$A$24,0)),"")))</f>
        <v/>
      </c>
      <c r="F1474" s="28" t="str">
        <f aca="false">IF(OR($D1474="",$E1474=""),"",IFERROR($D1474*INDEX(Setup!$B$27:$B$44,MATCH($E1474,Setup!$A$27:$A$44,0)),"TBD"))</f>
        <v/>
      </c>
      <c r="G1474" s="32"/>
      <c r="H1474" s="32"/>
      <c r="I1474" s="32"/>
      <c r="J1474" s="32"/>
      <c r="K1474" s="35"/>
      <c r="L1474" s="32"/>
      <c r="M1474" s="32"/>
    </row>
    <row r="1475" customFormat="false" ht="15" hidden="false" customHeight="true" outlineLevel="0" collapsed="false">
      <c r="A1475" s="32"/>
      <c r="B1475" s="32"/>
      <c r="C1475" s="32"/>
      <c r="D1475" s="32"/>
      <c r="E1475" s="34" t="str">
        <f aca="false">IF($B1475="","",IF($B1475="OUT","Liters",IFERROR(INDEX(Setup!$F$3:$F$24,MATCH($C1475,Setup!$A$3:$A$24,0)),"")))</f>
        <v/>
      </c>
      <c r="F1475" s="28" t="str">
        <f aca="false">IF(OR($D1475="",$E1475=""),"",IFERROR($D1475*INDEX(Setup!$B$27:$B$44,MATCH($E1475,Setup!$A$27:$A$44,0)),"TBD"))</f>
        <v/>
      </c>
      <c r="G1475" s="32"/>
      <c r="H1475" s="32"/>
      <c r="I1475" s="32"/>
      <c r="J1475" s="32"/>
      <c r="K1475" s="35"/>
      <c r="L1475" s="32"/>
      <c r="M1475" s="32"/>
    </row>
    <row r="1476" customFormat="false" ht="15" hidden="false" customHeight="true" outlineLevel="0" collapsed="false">
      <c r="A1476" s="32"/>
      <c r="B1476" s="32"/>
      <c r="C1476" s="32"/>
      <c r="D1476" s="32"/>
      <c r="E1476" s="34" t="str">
        <f aca="false">IF($B1476="","",IF($B1476="OUT","Liters",IFERROR(INDEX(Setup!$F$3:$F$24,MATCH($C1476,Setup!$A$3:$A$24,0)),"")))</f>
        <v/>
      </c>
      <c r="F1476" s="28" t="str">
        <f aca="false">IF(OR($D1476="",$E1476=""),"",IFERROR($D1476*INDEX(Setup!$B$27:$B$44,MATCH($E1476,Setup!$A$27:$A$44,0)),"TBD"))</f>
        <v/>
      </c>
      <c r="G1476" s="32"/>
      <c r="H1476" s="32"/>
      <c r="I1476" s="32"/>
      <c r="J1476" s="32"/>
      <c r="K1476" s="35"/>
      <c r="L1476" s="32"/>
      <c r="M1476" s="32"/>
    </row>
    <row r="1477" customFormat="false" ht="15" hidden="false" customHeight="true" outlineLevel="0" collapsed="false">
      <c r="A1477" s="32"/>
      <c r="B1477" s="32"/>
      <c r="C1477" s="32"/>
      <c r="D1477" s="32"/>
      <c r="E1477" s="34" t="str">
        <f aca="false">IF($B1477="","",IF($B1477="OUT","Liters",IFERROR(INDEX(Setup!$F$3:$F$24,MATCH($C1477,Setup!$A$3:$A$24,0)),"")))</f>
        <v/>
      </c>
      <c r="F1477" s="28" t="str">
        <f aca="false">IF(OR($D1477="",$E1477=""),"",IFERROR($D1477*INDEX(Setup!$B$27:$B$44,MATCH($E1477,Setup!$A$27:$A$44,0)),"TBD"))</f>
        <v/>
      </c>
      <c r="G1477" s="32"/>
      <c r="H1477" s="32"/>
      <c r="I1477" s="32"/>
      <c r="J1477" s="32"/>
      <c r="K1477" s="35"/>
      <c r="L1477" s="32"/>
      <c r="M1477" s="32"/>
    </row>
    <row r="1478" customFormat="false" ht="15" hidden="false" customHeight="true" outlineLevel="0" collapsed="false">
      <c r="A1478" s="32"/>
      <c r="B1478" s="32"/>
      <c r="C1478" s="32"/>
      <c r="D1478" s="32"/>
      <c r="E1478" s="34" t="str">
        <f aca="false">IF($B1478="","",IF($B1478="OUT","Liters",IFERROR(INDEX(Setup!$F$3:$F$24,MATCH($C1478,Setup!$A$3:$A$24,0)),"")))</f>
        <v/>
      </c>
      <c r="F1478" s="28" t="str">
        <f aca="false">IF(OR($D1478="",$E1478=""),"",IFERROR($D1478*INDEX(Setup!$B$27:$B$44,MATCH($E1478,Setup!$A$27:$A$44,0)),"TBD"))</f>
        <v/>
      </c>
      <c r="G1478" s="32"/>
      <c r="H1478" s="32"/>
      <c r="I1478" s="32"/>
      <c r="J1478" s="32"/>
      <c r="K1478" s="35"/>
      <c r="L1478" s="32"/>
      <c r="M1478" s="32"/>
    </row>
    <row r="1479" customFormat="false" ht="15" hidden="false" customHeight="true" outlineLevel="0" collapsed="false">
      <c r="A1479" s="32"/>
      <c r="B1479" s="32"/>
      <c r="C1479" s="32"/>
      <c r="D1479" s="32"/>
      <c r="E1479" s="34" t="str">
        <f aca="false">IF($B1479="","",IF($B1479="OUT","Liters",IFERROR(INDEX(Setup!$F$3:$F$24,MATCH($C1479,Setup!$A$3:$A$24,0)),"")))</f>
        <v/>
      </c>
      <c r="F1479" s="28" t="str">
        <f aca="false">IF(OR($D1479="",$E1479=""),"",IFERROR($D1479*INDEX(Setup!$B$27:$B$44,MATCH($E1479,Setup!$A$27:$A$44,0)),"TBD"))</f>
        <v/>
      </c>
      <c r="G1479" s="32"/>
      <c r="H1479" s="32"/>
      <c r="I1479" s="32"/>
      <c r="J1479" s="32"/>
      <c r="K1479" s="35"/>
      <c r="L1479" s="32"/>
      <c r="M1479" s="32"/>
    </row>
    <row r="1480" customFormat="false" ht="15" hidden="false" customHeight="true" outlineLevel="0" collapsed="false">
      <c r="A1480" s="32"/>
      <c r="B1480" s="32"/>
      <c r="C1480" s="32"/>
      <c r="D1480" s="32"/>
      <c r="E1480" s="34" t="str">
        <f aca="false">IF($B1480="","",IF($B1480="OUT","Liters",IFERROR(INDEX(Setup!$F$3:$F$24,MATCH($C1480,Setup!$A$3:$A$24,0)),"")))</f>
        <v/>
      </c>
      <c r="F1480" s="28" t="str">
        <f aca="false">IF(OR($D1480="",$E1480=""),"",IFERROR($D1480*INDEX(Setup!$B$27:$B$44,MATCH($E1480,Setup!$A$27:$A$44,0)),"TBD"))</f>
        <v/>
      </c>
      <c r="G1480" s="32"/>
      <c r="H1480" s="32"/>
      <c r="I1480" s="32"/>
      <c r="J1480" s="32"/>
      <c r="K1480" s="35"/>
      <c r="L1480" s="32"/>
      <c r="M1480" s="32"/>
    </row>
    <row r="1481" customFormat="false" ht="15" hidden="false" customHeight="true" outlineLevel="0" collapsed="false">
      <c r="A1481" s="32"/>
      <c r="B1481" s="32"/>
      <c r="C1481" s="32"/>
      <c r="D1481" s="32"/>
      <c r="E1481" s="34" t="str">
        <f aca="false">IF($B1481="","",IF($B1481="OUT","Liters",IFERROR(INDEX(Setup!$F$3:$F$24,MATCH($C1481,Setup!$A$3:$A$24,0)),"")))</f>
        <v/>
      </c>
      <c r="F1481" s="28" t="str">
        <f aca="false">IF(OR($D1481="",$E1481=""),"",IFERROR($D1481*INDEX(Setup!$B$27:$B$44,MATCH($E1481,Setup!$A$27:$A$44,0)),"TBD"))</f>
        <v/>
      </c>
      <c r="G1481" s="32"/>
      <c r="H1481" s="32"/>
      <c r="I1481" s="32"/>
      <c r="J1481" s="32"/>
      <c r="K1481" s="35"/>
      <c r="L1481" s="32"/>
      <c r="M1481" s="32"/>
    </row>
    <row r="1482" customFormat="false" ht="15" hidden="false" customHeight="true" outlineLevel="0" collapsed="false">
      <c r="A1482" s="32"/>
      <c r="B1482" s="32"/>
      <c r="C1482" s="32"/>
      <c r="D1482" s="32"/>
      <c r="E1482" s="34" t="str">
        <f aca="false">IF($B1482="","",IF($B1482="OUT","Liters",IFERROR(INDEX(Setup!$F$3:$F$24,MATCH($C1482,Setup!$A$3:$A$24,0)),"")))</f>
        <v/>
      </c>
      <c r="F1482" s="28" t="str">
        <f aca="false">IF(OR($D1482="",$E1482=""),"",IFERROR($D1482*INDEX(Setup!$B$27:$B$44,MATCH($E1482,Setup!$A$27:$A$44,0)),"TBD"))</f>
        <v/>
      </c>
      <c r="G1482" s="32"/>
      <c r="H1482" s="32"/>
      <c r="I1482" s="32"/>
      <c r="J1482" s="32"/>
      <c r="K1482" s="35"/>
      <c r="L1482" s="32"/>
      <c r="M1482" s="32"/>
    </row>
    <row r="1483" customFormat="false" ht="15" hidden="false" customHeight="true" outlineLevel="0" collapsed="false">
      <c r="A1483" s="32"/>
      <c r="B1483" s="32"/>
      <c r="C1483" s="32"/>
      <c r="D1483" s="32"/>
      <c r="E1483" s="34" t="str">
        <f aca="false">IF($B1483="","",IF($B1483="OUT","Liters",IFERROR(INDEX(Setup!$F$3:$F$24,MATCH($C1483,Setup!$A$3:$A$24,0)),"")))</f>
        <v/>
      </c>
      <c r="F1483" s="28" t="str">
        <f aca="false">IF(OR($D1483="",$E1483=""),"",IFERROR($D1483*INDEX(Setup!$B$27:$B$44,MATCH($E1483,Setup!$A$27:$A$44,0)),"TBD"))</f>
        <v/>
      </c>
      <c r="G1483" s="32"/>
      <c r="H1483" s="32"/>
      <c r="I1483" s="32"/>
      <c r="J1483" s="32"/>
      <c r="K1483" s="35"/>
      <c r="L1483" s="32"/>
      <c r="M1483" s="32"/>
    </row>
    <row r="1484" customFormat="false" ht="15" hidden="false" customHeight="true" outlineLevel="0" collapsed="false">
      <c r="A1484" s="32"/>
      <c r="B1484" s="32"/>
      <c r="C1484" s="32"/>
      <c r="D1484" s="32"/>
      <c r="E1484" s="34" t="str">
        <f aca="false">IF($B1484="","",IF($B1484="OUT","Liters",IFERROR(INDEX(Setup!$F$3:$F$24,MATCH($C1484,Setup!$A$3:$A$24,0)),"")))</f>
        <v/>
      </c>
      <c r="F1484" s="28" t="str">
        <f aca="false">IF(OR($D1484="",$E1484=""),"",IFERROR($D1484*INDEX(Setup!$B$27:$B$44,MATCH($E1484,Setup!$A$27:$A$44,0)),"TBD"))</f>
        <v/>
      </c>
      <c r="G1484" s="32"/>
      <c r="H1484" s="32"/>
      <c r="I1484" s="32"/>
      <c r="J1484" s="32"/>
      <c r="K1484" s="35"/>
      <c r="L1484" s="32"/>
      <c r="M1484" s="32"/>
    </row>
    <row r="1485" customFormat="false" ht="15" hidden="false" customHeight="true" outlineLevel="0" collapsed="false">
      <c r="A1485" s="32"/>
      <c r="B1485" s="32"/>
      <c r="C1485" s="32"/>
      <c r="D1485" s="32"/>
      <c r="E1485" s="34" t="str">
        <f aca="false">IF($B1485="","",IF($B1485="OUT","Liters",IFERROR(INDEX(Setup!$F$3:$F$24,MATCH($C1485,Setup!$A$3:$A$24,0)),"")))</f>
        <v/>
      </c>
      <c r="F1485" s="28" t="str">
        <f aca="false">IF(OR($D1485="",$E1485=""),"",IFERROR($D1485*INDEX(Setup!$B$27:$B$44,MATCH($E1485,Setup!$A$27:$A$44,0)),"TBD"))</f>
        <v/>
      </c>
      <c r="G1485" s="32"/>
      <c r="H1485" s="32"/>
      <c r="I1485" s="32"/>
      <c r="J1485" s="32"/>
      <c r="K1485" s="35"/>
      <c r="L1485" s="32"/>
      <c r="M1485" s="32"/>
    </row>
    <row r="1486" customFormat="false" ht="15" hidden="false" customHeight="true" outlineLevel="0" collapsed="false">
      <c r="A1486" s="32"/>
      <c r="B1486" s="32"/>
      <c r="C1486" s="32"/>
      <c r="D1486" s="32"/>
      <c r="E1486" s="34" t="str">
        <f aca="false">IF($B1486="","",IF($B1486="OUT","Liters",IFERROR(INDEX(Setup!$F$3:$F$24,MATCH($C1486,Setup!$A$3:$A$24,0)),"")))</f>
        <v/>
      </c>
      <c r="F1486" s="28" t="str">
        <f aca="false">IF(OR($D1486="",$E1486=""),"",IFERROR($D1486*INDEX(Setup!$B$27:$B$44,MATCH($E1486,Setup!$A$27:$A$44,0)),"TBD"))</f>
        <v/>
      </c>
      <c r="G1486" s="32"/>
      <c r="H1486" s="32"/>
      <c r="I1486" s="32"/>
      <c r="J1486" s="32"/>
      <c r="K1486" s="35"/>
      <c r="L1486" s="32"/>
      <c r="M1486" s="32"/>
    </row>
    <row r="1487" customFormat="false" ht="15" hidden="false" customHeight="true" outlineLevel="0" collapsed="false">
      <c r="A1487" s="32"/>
      <c r="B1487" s="32"/>
      <c r="C1487" s="32"/>
      <c r="D1487" s="32"/>
      <c r="E1487" s="34" t="str">
        <f aca="false">IF($B1487="","",IF($B1487="OUT","Liters",IFERROR(INDEX(Setup!$F$3:$F$24,MATCH($C1487,Setup!$A$3:$A$24,0)),"")))</f>
        <v/>
      </c>
      <c r="F1487" s="28" t="str">
        <f aca="false">IF(OR($D1487="",$E1487=""),"",IFERROR($D1487*INDEX(Setup!$B$27:$B$44,MATCH($E1487,Setup!$A$27:$A$44,0)),"TBD"))</f>
        <v/>
      </c>
      <c r="G1487" s="32"/>
      <c r="H1487" s="32"/>
      <c r="I1487" s="32"/>
      <c r="J1487" s="32"/>
      <c r="K1487" s="35"/>
      <c r="L1487" s="32"/>
      <c r="M1487" s="32"/>
    </row>
    <row r="1488" customFormat="false" ht="15" hidden="false" customHeight="true" outlineLevel="0" collapsed="false">
      <c r="A1488" s="32"/>
      <c r="B1488" s="32"/>
      <c r="C1488" s="32"/>
      <c r="D1488" s="32"/>
      <c r="E1488" s="34" t="str">
        <f aca="false">IF($B1488="","",IF($B1488="OUT","Liters",IFERROR(INDEX(Setup!$F$3:$F$24,MATCH($C1488,Setup!$A$3:$A$24,0)),"")))</f>
        <v/>
      </c>
      <c r="F1488" s="28" t="str">
        <f aca="false">IF(OR($D1488="",$E1488=""),"",IFERROR($D1488*INDEX(Setup!$B$27:$B$44,MATCH($E1488,Setup!$A$27:$A$44,0)),"TBD"))</f>
        <v/>
      </c>
      <c r="G1488" s="32"/>
      <c r="H1488" s="32"/>
      <c r="I1488" s="32"/>
      <c r="J1488" s="32"/>
      <c r="K1488" s="35"/>
      <c r="L1488" s="32"/>
      <c r="M1488" s="32"/>
    </row>
    <row r="1489" customFormat="false" ht="15" hidden="false" customHeight="true" outlineLevel="0" collapsed="false">
      <c r="A1489" s="32"/>
      <c r="B1489" s="32"/>
      <c r="C1489" s="32"/>
      <c r="D1489" s="32"/>
      <c r="E1489" s="34" t="str">
        <f aca="false">IF($B1489="","",IF($B1489="OUT","Liters",IFERROR(INDEX(Setup!$F$3:$F$24,MATCH($C1489,Setup!$A$3:$A$24,0)),"")))</f>
        <v/>
      </c>
      <c r="F1489" s="28" t="str">
        <f aca="false">IF(OR($D1489="",$E1489=""),"",IFERROR($D1489*INDEX(Setup!$B$27:$B$44,MATCH($E1489,Setup!$A$27:$A$44,0)),"TBD"))</f>
        <v/>
      </c>
      <c r="G1489" s="32"/>
      <c r="H1489" s="32"/>
      <c r="I1489" s="32"/>
      <c r="J1489" s="32"/>
      <c r="K1489" s="35"/>
      <c r="L1489" s="32"/>
      <c r="M1489" s="32"/>
    </row>
    <row r="1490" customFormat="false" ht="15" hidden="false" customHeight="true" outlineLevel="0" collapsed="false">
      <c r="A1490" s="32"/>
      <c r="B1490" s="32"/>
      <c r="C1490" s="32"/>
      <c r="D1490" s="32"/>
      <c r="E1490" s="34" t="str">
        <f aca="false">IF($B1490="","",IF($B1490="OUT","Liters",IFERROR(INDEX(Setup!$F$3:$F$24,MATCH($C1490,Setup!$A$3:$A$24,0)),"")))</f>
        <v/>
      </c>
      <c r="F1490" s="28" t="str">
        <f aca="false">IF(OR($D1490="",$E1490=""),"",IFERROR($D1490*INDEX(Setup!$B$27:$B$44,MATCH($E1490,Setup!$A$27:$A$44,0)),"TBD"))</f>
        <v/>
      </c>
      <c r="G1490" s="32"/>
      <c r="H1490" s="32"/>
      <c r="I1490" s="32"/>
      <c r="J1490" s="32"/>
      <c r="K1490" s="35"/>
      <c r="L1490" s="32"/>
      <c r="M1490" s="32"/>
    </row>
    <row r="1491" customFormat="false" ht="15" hidden="false" customHeight="true" outlineLevel="0" collapsed="false">
      <c r="A1491" s="32"/>
      <c r="B1491" s="32"/>
      <c r="C1491" s="32"/>
      <c r="D1491" s="32"/>
      <c r="E1491" s="34" t="str">
        <f aca="false">IF($B1491="","",IF($B1491="OUT","Liters",IFERROR(INDEX(Setup!$F$3:$F$24,MATCH($C1491,Setup!$A$3:$A$24,0)),"")))</f>
        <v/>
      </c>
      <c r="F1491" s="28" t="str">
        <f aca="false">IF(OR($D1491="",$E1491=""),"",IFERROR($D1491*INDEX(Setup!$B$27:$B$44,MATCH($E1491,Setup!$A$27:$A$44,0)),"TBD"))</f>
        <v/>
      </c>
      <c r="G1491" s="32"/>
      <c r="H1491" s="32"/>
      <c r="I1491" s="32"/>
      <c r="J1491" s="32"/>
      <c r="K1491" s="35"/>
      <c r="L1491" s="32"/>
      <c r="M1491" s="32"/>
    </row>
    <row r="1492" customFormat="false" ht="15" hidden="false" customHeight="true" outlineLevel="0" collapsed="false">
      <c r="A1492" s="32"/>
      <c r="B1492" s="32"/>
      <c r="C1492" s="32"/>
      <c r="D1492" s="32"/>
      <c r="E1492" s="34" t="str">
        <f aca="false">IF($B1492="","",IF($B1492="OUT","Liters",IFERROR(INDEX(Setup!$F$3:$F$24,MATCH($C1492,Setup!$A$3:$A$24,0)),"")))</f>
        <v/>
      </c>
      <c r="F1492" s="28" t="str">
        <f aca="false">IF(OR($D1492="",$E1492=""),"",IFERROR($D1492*INDEX(Setup!$B$27:$B$44,MATCH($E1492,Setup!$A$27:$A$44,0)),"TBD"))</f>
        <v/>
      </c>
      <c r="G1492" s="32"/>
      <c r="H1492" s="32"/>
      <c r="I1492" s="32"/>
      <c r="J1492" s="32"/>
      <c r="K1492" s="35"/>
      <c r="L1492" s="32"/>
      <c r="M1492" s="32"/>
    </row>
    <row r="1493" customFormat="false" ht="15" hidden="false" customHeight="true" outlineLevel="0" collapsed="false">
      <c r="A1493" s="32"/>
      <c r="B1493" s="32"/>
      <c r="C1493" s="32"/>
      <c r="D1493" s="32"/>
      <c r="E1493" s="34" t="str">
        <f aca="false">IF($B1493="","",IF($B1493="OUT","Liters",IFERROR(INDEX(Setup!$F$3:$F$24,MATCH($C1493,Setup!$A$3:$A$24,0)),"")))</f>
        <v/>
      </c>
      <c r="F1493" s="28" t="str">
        <f aca="false">IF(OR($D1493="",$E1493=""),"",IFERROR($D1493*INDEX(Setup!$B$27:$B$44,MATCH($E1493,Setup!$A$27:$A$44,0)),"TBD"))</f>
        <v/>
      </c>
      <c r="G1493" s="32"/>
      <c r="H1493" s="32"/>
      <c r="I1493" s="32"/>
      <c r="J1493" s="32"/>
      <c r="K1493" s="35"/>
      <c r="L1493" s="32"/>
      <c r="M1493" s="32"/>
    </row>
    <row r="1494" customFormat="false" ht="15" hidden="false" customHeight="true" outlineLevel="0" collapsed="false">
      <c r="A1494" s="32"/>
      <c r="B1494" s="32"/>
      <c r="C1494" s="32"/>
      <c r="D1494" s="32"/>
      <c r="E1494" s="34" t="str">
        <f aca="false">IF($B1494="","",IF($B1494="OUT","Liters",IFERROR(INDEX(Setup!$F$3:$F$24,MATCH($C1494,Setup!$A$3:$A$24,0)),"")))</f>
        <v/>
      </c>
      <c r="F1494" s="28" t="str">
        <f aca="false">IF(OR($D1494="",$E1494=""),"",IFERROR($D1494*INDEX(Setup!$B$27:$B$44,MATCH($E1494,Setup!$A$27:$A$44,0)),"TBD"))</f>
        <v/>
      </c>
      <c r="G1494" s="32"/>
      <c r="H1494" s="32"/>
      <c r="I1494" s="32"/>
      <c r="J1494" s="32"/>
      <c r="K1494" s="35"/>
      <c r="L1494" s="32"/>
      <c r="M1494" s="32"/>
    </row>
    <row r="1495" customFormat="false" ht="15" hidden="false" customHeight="true" outlineLevel="0" collapsed="false">
      <c r="A1495" s="32"/>
      <c r="B1495" s="32"/>
      <c r="C1495" s="32"/>
      <c r="D1495" s="32"/>
      <c r="E1495" s="34" t="str">
        <f aca="false">IF($B1495="","",IF($B1495="OUT","Liters",IFERROR(INDEX(Setup!$F$3:$F$24,MATCH($C1495,Setup!$A$3:$A$24,0)),"")))</f>
        <v/>
      </c>
      <c r="F1495" s="28" t="str">
        <f aca="false">IF(OR($D1495="",$E1495=""),"",IFERROR($D1495*INDEX(Setup!$B$27:$B$44,MATCH($E1495,Setup!$A$27:$A$44,0)),"TBD"))</f>
        <v/>
      </c>
      <c r="G1495" s="32"/>
      <c r="H1495" s="32"/>
      <c r="I1495" s="32"/>
      <c r="J1495" s="32"/>
      <c r="K1495" s="35"/>
      <c r="L1495" s="32"/>
      <c r="M1495" s="32"/>
    </row>
    <row r="1496" customFormat="false" ht="15" hidden="false" customHeight="true" outlineLevel="0" collapsed="false">
      <c r="A1496" s="32"/>
      <c r="B1496" s="32"/>
      <c r="C1496" s="32"/>
      <c r="D1496" s="32"/>
      <c r="E1496" s="34" t="str">
        <f aca="false">IF($B1496="","",IF($B1496="OUT","Liters",IFERROR(INDEX(Setup!$F$3:$F$24,MATCH($C1496,Setup!$A$3:$A$24,0)),"")))</f>
        <v/>
      </c>
      <c r="F1496" s="28" t="str">
        <f aca="false">IF(OR($D1496="",$E1496=""),"",IFERROR($D1496*INDEX(Setup!$B$27:$B$44,MATCH($E1496,Setup!$A$27:$A$44,0)),"TBD"))</f>
        <v/>
      </c>
      <c r="G1496" s="32"/>
      <c r="H1496" s="32"/>
      <c r="I1496" s="32"/>
      <c r="J1496" s="32"/>
      <c r="K1496" s="35"/>
      <c r="L1496" s="32"/>
      <c r="M1496" s="32"/>
    </row>
    <row r="1497" customFormat="false" ht="15" hidden="false" customHeight="true" outlineLevel="0" collapsed="false">
      <c r="A1497" s="32"/>
      <c r="B1497" s="32"/>
      <c r="C1497" s="32"/>
      <c r="D1497" s="32"/>
      <c r="E1497" s="34" t="str">
        <f aca="false">IF($B1497="","",IF($B1497="OUT","Liters",IFERROR(INDEX(Setup!$F$3:$F$24,MATCH($C1497,Setup!$A$3:$A$24,0)),"")))</f>
        <v/>
      </c>
      <c r="F1497" s="28" t="str">
        <f aca="false">IF(OR($D1497="",$E1497=""),"",IFERROR($D1497*INDEX(Setup!$B$27:$B$44,MATCH($E1497,Setup!$A$27:$A$44,0)),"TBD"))</f>
        <v/>
      </c>
      <c r="G1497" s="32"/>
      <c r="H1497" s="32"/>
      <c r="I1497" s="32"/>
      <c r="J1497" s="32"/>
      <c r="K1497" s="35"/>
      <c r="L1497" s="32"/>
      <c r="M1497" s="32"/>
    </row>
    <row r="1498" customFormat="false" ht="15" hidden="false" customHeight="true" outlineLevel="0" collapsed="false">
      <c r="A1498" s="32"/>
      <c r="B1498" s="32"/>
      <c r="C1498" s="32"/>
      <c r="D1498" s="32"/>
      <c r="E1498" s="34" t="str">
        <f aca="false">IF($B1498="","",IF($B1498="OUT","Liters",IFERROR(INDEX(Setup!$F$3:$F$24,MATCH($C1498,Setup!$A$3:$A$24,0)),"")))</f>
        <v/>
      </c>
      <c r="F1498" s="28" t="str">
        <f aca="false">IF(OR($D1498="",$E1498=""),"",IFERROR($D1498*INDEX(Setup!$B$27:$B$44,MATCH($E1498,Setup!$A$27:$A$44,0)),"TBD"))</f>
        <v/>
      </c>
      <c r="G1498" s="32"/>
      <c r="H1498" s="32"/>
      <c r="I1498" s="32"/>
      <c r="J1498" s="32"/>
      <c r="K1498" s="35"/>
      <c r="L1498" s="32"/>
      <c r="M1498" s="32"/>
    </row>
    <row r="1499" customFormat="false" ht="15" hidden="false" customHeight="true" outlineLevel="0" collapsed="false">
      <c r="A1499" s="32"/>
      <c r="B1499" s="32"/>
      <c r="C1499" s="32"/>
      <c r="D1499" s="32"/>
      <c r="E1499" s="34" t="str">
        <f aca="false">IF($B1499="","",IF($B1499="OUT","Liters",IFERROR(INDEX(Setup!$F$3:$F$24,MATCH($C1499,Setup!$A$3:$A$24,0)),"")))</f>
        <v/>
      </c>
      <c r="F1499" s="28" t="str">
        <f aca="false">IF(OR($D1499="",$E1499=""),"",IFERROR($D1499*INDEX(Setup!$B$27:$B$44,MATCH($E1499,Setup!$A$27:$A$44,0)),"TBD"))</f>
        <v/>
      </c>
      <c r="G1499" s="32"/>
      <c r="H1499" s="32"/>
      <c r="I1499" s="32"/>
      <c r="J1499" s="32"/>
      <c r="K1499" s="35"/>
      <c r="L1499" s="32"/>
      <c r="M1499" s="32"/>
    </row>
    <row r="1500" customFormat="false" ht="15" hidden="false" customHeight="true" outlineLevel="0" collapsed="false">
      <c r="A1500" s="32"/>
      <c r="B1500" s="32"/>
      <c r="C1500" s="32"/>
      <c r="D1500" s="32"/>
      <c r="E1500" s="34" t="str">
        <f aca="false">IF($B1500="","",IF($B1500="OUT","Liters",IFERROR(INDEX(Setup!$F$3:$F$24,MATCH($C1500,Setup!$A$3:$A$24,0)),"")))</f>
        <v/>
      </c>
      <c r="F1500" s="28" t="str">
        <f aca="false">IF(OR($D1500="",$E1500=""),"",IFERROR($D1500*INDEX(Setup!$B$27:$B$44,MATCH($E1500,Setup!$A$27:$A$44,0)),"TBD"))</f>
        <v/>
      </c>
      <c r="G1500" s="32"/>
      <c r="H1500" s="32"/>
      <c r="I1500" s="32"/>
      <c r="J1500" s="32"/>
      <c r="K1500" s="35"/>
      <c r="L1500" s="32"/>
      <c r="M1500" s="32"/>
    </row>
    <row r="1501" customFormat="false" ht="15" hidden="false" customHeight="true" outlineLevel="0" collapsed="false">
      <c r="A1501" s="32"/>
      <c r="B1501" s="32"/>
      <c r="C1501" s="32"/>
      <c r="D1501" s="32"/>
      <c r="E1501" s="34" t="str">
        <f aca="false">IF($B1501="","",IF($B1501="OUT","Liters",IFERROR(INDEX(Setup!$F$3:$F$24,MATCH($C1501,Setup!$A$3:$A$24,0)),"")))</f>
        <v/>
      </c>
      <c r="F1501" s="28" t="str">
        <f aca="false">IF(OR($D1501="",$E1501=""),"",IFERROR($D1501*INDEX(Setup!$B$27:$B$44,MATCH($E1501,Setup!$A$27:$A$44,0)),"TBD"))</f>
        <v/>
      </c>
      <c r="G1501" s="32"/>
      <c r="H1501" s="32"/>
      <c r="I1501" s="32"/>
      <c r="J1501" s="32"/>
      <c r="K1501" s="35"/>
      <c r="L1501" s="32"/>
      <c r="M1501" s="32"/>
    </row>
    <row r="1502" customFormat="false" ht="15" hidden="false" customHeight="true" outlineLevel="0" collapsed="false">
      <c r="A1502" s="32"/>
      <c r="B1502" s="32"/>
      <c r="C1502" s="32"/>
      <c r="D1502" s="32"/>
      <c r="E1502" s="34" t="str">
        <f aca="false">IF($B1502="","",IF($B1502="OUT","Liters",IFERROR(INDEX(Setup!$F$3:$F$24,MATCH($C1502,Setup!$A$3:$A$24,0)),"")))</f>
        <v/>
      </c>
      <c r="F1502" s="28" t="str">
        <f aca="false">IF(OR($D1502="",$E1502=""),"",IFERROR($D1502*INDEX(Setup!$B$27:$B$44,MATCH($E1502,Setup!$A$27:$A$44,0)),"TBD"))</f>
        <v/>
      </c>
      <c r="G1502" s="32"/>
      <c r="H1502" s="32"/>
      <c r="I1502" s="32"/>
      <c r="J1502" s="32"/>
      <c r="K1502" s="35"/>
      <c r="L1502" s="32"/>
      <c r="M1502" s="32"/>
    </row>
    <row r="1503" customFormat="false" ht="15" hidden="false" customHeight="true" outlineLevel="0" collapsed="false">
      <c r="A1503" s="32"/>
      <c r="B1503" s="32"/>
      <c r="C1503" s="32"/>
      <c r="D1503" s="32"/>
      <c r="E1503" s="34" t="str">
        <f aca="false">IF($B1503="","",IF($B1503="OUT","Liters",IFERROR(INDEX(Setup!$F$3:$F$24,MATCH($C1503,Setup!$A$3:$A$24,0)),"")))</f>
        <v/>
      </c>
      <c r="F1503" s="28" t="str">
        <f aca="false">IF(OR($D1503="",$E1503=""),"",IFERROR($D1503*INDEX(Setup!$B$27:$B$44,MATCH($E1503,Setup!$A$27:$A$44,0)),"TBD"))</f>
        <v/>
      </c>
      <c r="G1503" s="32"/>
      <c r="H1503" s="32"/>
      <c r="I1503" s="32"/>
      <c r="J1503" s="32"/>
      <c r="K1503" s="35"/>
      <c r="L1503" s="32"/>
      <c r="M1503" s="32"/>
    </row>
    <row r="1504" customFormat="false" ht="15" hidden="false" customHeight="true" outlineLevel="0" collapsed="false">
      <c r="A1504" s="32"/>
      <c r="B1504" s="32"/>
      <c r="C1504" s="32"/>
      <c r="D1504" s="32"/>
      <c r="E1504" s="34" t="str">
        <f aca="false">IF($B1504="","",IF($B1504="OUT","Liters",IFERROR(INDEX(Setup!$F$3:$F$24,MATCH($C1504,Setup!$A$3:$A$24,0)),"")))</f>
        <v/>
      </c>
      <c r="F1504" s="28" t="str">
        <f aca="false">IF(OR($D1504="",$E1504=""),"",IFERROR($D1504*INDEX(Setup!$B$27:$B$44,MATCH($E1504,Setup!$A$27:$A$44,0)),"TBD"))</f>
        <v/>
      </c>
      <c r="G1504" s="32"/>
      <c r="H1504" s="32"/>
      <c r="I1504" s="32"/>
      <c r="J1504" s="32"/>
      <c r="K1504" s="35"/>
      <c r="L1504" s="32"/>
      <c r="M1504" s="32"/>
    </row>
    <row r="1505" customFormat="false" ht="15" hidden="false" customHeight="true" outlineLevel="0" collapsed="false">
      <c r="A1505" s="32"/>
      <c r="B1505" s="32"/>
      <c r="C1505" s="32"/>
      <c r="D1505" s="32"/>
      <c r="E1505" s="34" t="str">
        <f aca="false">IF($B1505="","",IF($B1505="OUT","Liters",IFERROR(INDEX(Setup!$F$3:$F$24,MATCH($C1505,Setup!$A$3:$A$24,0)),"")))</f>
        <v/>
      </c>
      <c r="F1505" s="28" t="str">
        <f aca="false">IF(OR($D1505="",$E1505=""),"",IFERROR($D1505*INDEX(Setup!$B$27:$B$44,MATCH($E1505,Setup!$A$27:$A$44,0)),"TBD"))</f>
        <v/>
      </c>
      <c r="G1505" s="32"/>
      <c r="H1505" s="32"/>
      <c r="I1505" s="32"/>
      <c r="J1505" s="32"/>
      <c r="K1505" s="35"/>
      <c r="L1505" s="32"/>
      <c r="M1505" s="32"/>
    </row>
    <row r="1506" customFormat="false" ht="15" hidden="false" customHeight="true" outlineLevel="0" collapsed="false">
      <c r="A1506" s="32"/>
      <c r="B1506" s="32"/>
      <c r="C1506" s="32"/>
      <c r="D1506" s="32"/>
      <c r="E1506" s="34" t="str">
        <f aca="false">IF($B1506="","",IF($B1506="OUT","Liters",IFERROR(INDEX(Setup!$F$3:$F$24,MATCH($C1506,Setup!$A$3:$A$24,0)),"")))</f>
        <v/>
      </c>
      <c r="F1506" s="28" t="str">
        <f aca="false">IF(OR($D1506="",$E1506=""),"",IFERROR($D1506*INDEX(Setup!$B$27:$B$44,MATCH($E1506,Setup!$A$27:$A$44,0)),"TBD"))</f>
        <v/>
      </c>
      <c r="G1506" s="32"/>
      <c r="H1506" s="32"/>
      <c r="I1506" s="32"/>
      <c r="J1506" s="32"/>
      <c r="K1506" s="35"/>
      <c r="L1506" s="32"/>
      <c r="M1506" s="32"/>
    </row>
    <row r="1507" customFormat="false" ht="15" hidden="false" customHeight="true" outlineLevel="0" collapsed="false">
      <c r="A1507" s="32"/>
      <c r="B1507" s="32"/>
      <c r="C1507" s="32"/>
      <c r="D1507" s="32"/>
      <c r="E1507" s="34" t="str">
        <f aca="false">IF($B1507="","",IF($B1507="OUT","Liters",IFERROR(INDEX(Setup!$F$3:$F$24,MATCH($C1507,Setup!$A$3:$A$24,0)),"")))</f>
        <v/>
      </c>
      <c r="F1507" s="28" t="str">
        <f aca="false">IF(OR($D1507="",$E1507=""),"",IFERROR($D1507*INDEX(Setup!$B$27:$B$44,MATCH($E1507,Setup!$A$27:$A$44,0)),"TBD"))</f>
        <v/>
      </c>
      <c r="G1507" s="32"/>
      <c r="H1507" s="32"/>
      <c r="I1507" s="32"/>
      <c r="J1507" s="32"/>
      <c r="K1507" s="35"/>
      <c r="L1507" s="32"/>
      <c r="M1507" s="32"/>
    </row>
    <row r="1508" customFormat="false" ht="15" hidden="false" customHeight="true" outlineLevel="0" collapsed="false">
      <c r="A1508" s="32"/>
      <c r="B1508" s="32"/>
      <c r="C1508" s="32"/>
      <c r="D1508" s="32"/>
      <c r="E1508" s="34" t="str">
        <f aca="false">IF($B1508="","",IF($B1508="OUT","Liters",IFERROR(INDEX(Setup!$F$3:$F$24,MATCH($C1508,Setup!$A$3:$A$24,0)),"")))</f>
        <v/>
      </c>
      <c r="F1508" s="28" t="str">
        <f aca="false">IF(OR($D1508="",$E1508=""),"",IFERROR($D1508*INDEX(Setup!$B$27:$B$44,MATCH($E1508,Setup!$A$27:$A$44,0)),"TBD"))</f>
        <v/>
      </c>
      <c r="G1508" s="32"/>
      <c r="H1508" s="32"/>
      <c r="I1508" s="32"/>
      <c r="J1508" s="32"/>
      <c r="K1508" s="35"/>
      <c r="L1508" s="32"/>
      <c r="M1508" s="32"/>
    </row>
    <row r="1509" customFormat="false" ht="15" hidden="false" customHeight="true" outlineLevel="0" collapsed="false">
      <c r="A1509" s="32"/>
      <c r="B1509" s="32"/>
      <c r="C1509" s="32"/>
      <c r="D1509" s="32"/>
      <c r="E1509" s="34" t="str">
        <f aca="false">IF($B1509="","",IF($B1509="OUT","Liters",IFERROR(INDEX(Setup!$F$3:$F$24,MATCH($C1509,Setup!$A$3:$A$24,0)),"")))</f>
        <v/>
      </c>
      <c r="F1509" s="28" t="str">
        <f aca="false">IF(OR($D1509="",$E1509=""),"",IFERROR($D1509*INDEX(Setup!$B$27:$B$44,MATCH($E1509,Setup!$A$27:$A$44,0)),"TBD"))</f>
        <v/>
      </c>
      <c r="G1509" s="32"/>
      <c r="H1509" s="32"/>
      <c r="I1509" s="32"/>
      <c r="J1509" s="32"/>
      <c r="K1509" s="35"/>
      <c r="L1509" s="32"/>
      <c r="M1509" s="32"/>
    </row>
    <row r="1510" customFormat="false" ht="15" hidden="false" customHeight="true" outlineLevel="0" collapsed="false">
      <c r="A1510" s="32"/>
      <c r="B1510" s="32"/>
      <c r="C1510" s="32"/>
      <c r="D1510" s="32"/>
      <c r="E1510" s="34" t="str">
        <f aca="false">IF($B1510="","",IF($B1510="OUT","Liters",IFERROR(INDEX(Setup!$F$3:$F$24,MATCH($C1510,Setup!$A$3:$A$24,0)),"")))</f>
        <v/>
      </c>
      <c r="F1510" s="28" t="str">
        <f aca="false">IF(OR($D1510="",$E1510=""),"",IFERROR($D1510*INDEX(Setup!$B$27:$B$44,MATCH($E1510,Setup!$A$27:$A$44,0)),"TBD"))</f>
        <v/>
      </c>
      <c r="G1510" s="32"/>
      <c r="H1510" s="32"/>
      <c r="I1510" s="32"/>
      <c r="J1510" s="32"/>
      <c r="K1510" s="35"/>
      <c r="L1510" s="32"/>
      <c r="M1510" s="32"/>
    </row>
    <row r="1511" customFormat="false" ht="15" hidden="false" customHeight="true" outlineLevel="0" collapsed="false">
      <c r="A1511" s="32"/>
      <c r="B1511" s="32"/>
      <c r="C1511" s="32"/>
      <c r="D1511" s="32"/>
      <c r="E1511" s="34" t="str">
        <f aca="false">IF($B1511="","",IF($B1511="OUT","Liters",IFERROR(INDEX(Setup!$F$3:$F$24,MATCH($C1511,Setup!$A$3:$A$24,0)),"")))</f>
        <v/>
      </c>
      <c r="F1511" s="28" t="str">
        <f aca="false">IF(OR($D1511="",$E1511=""),"",IFERROR($D1511*INDEX(Setup!$B$27:$B$44,MATCH($E1511,Setup!$A$27:$A$44,0)),"TBD"))</f>
        <v/>
      </c>
      <c r="G1511" s="32"/>
      <c r="H1511" s="32"/>
      <c r="I1511" s="32"/>
      <c r="J1511" s="32"/>
      <c r="K1511" s="35"/>
      <c r="L1511" s="32"/>
      <c r="M1511" s="32"/>
    </row>
    <row r="1512" customFormat="false" ht="15" hidden="false" customHeight="true" outlineLevel="0" collapsed="false">
      <c r="A1512" s="32"/>
      <c r="B1512" s="32"/>
      <c r="C1512" s="32"/>
      <c r="D1512" s="32"/>
      <c r="E1512" s="34" t="str">
        <f aca="false">IF($B1512="","",IF($B1512="OUT","Liters",IFERROR(INDEX(Setup!$F$3:$F$24,MATCH($C1512,Setup!$A$3:$A$24,0)),"")))</f>
        <v/>
      </c>
      <c r="F1512" s="28" t="str">
        <f aca="false">IF(OR($D1512="",$E1512=""),"",IFERROR($D1512*INDEX(Setup!$B$27:$B$44,MATCH($E1512,Setup!$A$27:$A$44,0)),"TBD"))</f>
        <v/>
      </c>
      <c r="G1512" s="32"/>
      <c r="H1512" s="32"/>
      <c r="I1512" s="32"/>
      <c r="J1512" s="32"/>
      <c r="K1512" s="35"/>
      <c r="L1512" s="32"/>
      <c r="M1512" s="32"/>
    </row>
    <row r="1513" customFormat="false" ht="15" hidden="false" customHeight="true" outlineLevel="0" collapsed="false">
      <c r="A1513" s="32"/>
      <c r="B1513" s="32"/>
      <c r="C1513" s="32"/>
      <c r="D1513" s="32"/>
      <c r="E1513" s="34" t="str">
        <f aca="false">IF($B1513="","",IF($B1513="OUT","Liters",IFERROR(INDEX(Setup!$F$3:$F$24,MATCH($C1513,Setup!$A$3:$A$24,0)),"")))</f>
        <v/>
      </c>
      <c r="F1513" s="28" t="str">
        <f aca="false">IF(OR($D1513="",$E1513=""),"",IFERROR($D1513*INDEX(Setup!$B$27:$B$44,MATCH($E1513,Setup!$A$27:$A$44,0)),"TBD"))</f>
        <v/>
      </c>
      <c r="G1513" s="32"/>
      <c r="H1513" s="32"/>
      <c r="I1513" s="32"/>
      <c r="J1513" s="32"/>
      <c r="K1513" s="35"/>
      <c r="L1513" s="32"/>
      <c r="M1513" s="32"/>
    </row>
    <row r="1514" customFormat="false" ht="15" hidden="false" customHeight="true" outlineLevel="0" collapsed="false">
      <c r="A1514" s="32"/>
      <c r="B1514" s="32"/>
      <c r="C1514" s="32"/>
      <c r="D1514" s="32"/>
      <c r="E1514" s="34" t="str">
        <f aca="false">IF($B1514="","",IF($B1514="OUT","Liters",IFERROR(INDEX(Setup!$F$3:$F$24,MATCH($C1514,Setup!$A$3:$A$24,0)),"")))</f>
        <v/>
      </c>
      <c r="F1514" s="28" t="str">
        <f aca="false">IF(OR($D1514="",$E1514=""),"",IFERROR($D1514*INDEX(Setup!$B$27:$B$44,MATCH($E1514,Setup!$A$27:$A$44,0)),"TBD"))</f>
        <v/>
      </c>
      <c r="G1514" s="32"/>
      <c r="H1514" s="32"/>
      <c r="I1514" s="32"/>
      <c r="J1514" s="32"/>
      <c r="K1514" s="35"/>
      <c r="L1514" s="32"/>
      <c r="M1514" s="32"/>
    </row>
    <row r="1515" customFormat="false" ht="15" hidden="false" customHeight="true" outlineLevel="0" collapsed="false">
      <c r="A1515" s="32"/>
      <c r="B1515" s="32"/>
      <c r="C1515" s="32"/>
      <c r="D1515" s="32"/>
      <c r="E1515" s="34" t="str">
        <f aca="false">IF($B1515="","",IF($B1515="OUT","Liters",IFERROR(INDEX(Setup!$F$3:$F$24,MATCH($C1515,Setup!$A$3:$A$24,0)),"")))</f>
        <v/>
      </c>
      <c r="F1515" s="28" t="str">
        <f aca="false">IF(OR($D1515="",$E1515=""),"",IFERROR($D1515*INDEX(Setup!$B$27:$B$44,MATCH($E1515,Setup!$A$27:$A$44,0)),"TBD"))</f>
        <v/>
      </c>
      <c r="G1515" s="32"/>
      <c r="H1515" s="32"/>
      <c r="I1515" s="32"/>
      <c r="J1515" s="32"/>
      <c r="K1515" s="35"/>
      <c r="L1515" s="32"/>
      <c r="M1515" s="32"/>
    </row>
    <row r="1516" customFormat="false" ht="15" hidden="false" customHeight="true" outlineLevel="0" collapsed="false">
      <c r="A1516" s="32"/>
      <c r="B1516" s="32"/>
      <c r="C1516" s="32"/>
      <c r="D1516" s="32"/>
      <c r="E1516" s="34" t="str">
        <f aca="false">IF($B1516="","",IF($B1516="OUT","Liters",IFERROR(INDEX(Setup!$F$3:$F$24,MATCH($C1516,Setup!$A$3:$A$24,0)),"")))</f>
        <v/>
      </c>
      <c r="F1516" s="28" t="str">
        <f aca="false">IF(OR($D1516="",$E1516=""),"",IFERROR($D1516*INDEX(Setup!$B$27:$B$44,MATCH($E1516,Setup!$A$27:$A$44,0)),"TBD"))</f>
        <v/>
      </c>
      <c r="G1516" s="32"/>
      <c r="H1516" s="32"/>
      <c r="I1516" s="32"/>
      <c r="J1516" s="32"/>
      <c r="K1516" s="35"/>
      <c r="L1516" s="32"/>
      <c r="M1516" s="32"/>
    </row>
    <row r="1517" customFormat="false" ht="15" hidden="false" customHeight="true" outlineLevel="0" collapsed="false">
      <c r="A1517" s="32"/>
      <c r="B1517" s="32"/>
      <c r="C1517" s="32"/>
      <c r="D1517" s="32"/>
      <c r="E1517" s="34" t="str">
        <f aca="false">IF($B1517="","",IF($B1517="OUT","Liters",IFERROR(INDEX(Setup!$F$3:$F$24,MATCH($C1517,Setup!$A$3:$A$24,0)),"")))</f>
        <v/>
      </c>
      <c r="F1517" s="28" t="str">
        <f aca="false">IF(OR($D1517="",$E1517=""),"",IFERROR($D1517*INDEX(Setup!$B$27:$B$44,MATCH($E1517,Setup!$A$27:$A$44,0)),"TBD"))</f>
        <v/>
      </c>
      <c r="G1517" s="32"/>
      <c r="H1517" s="32"/>
      <c r="I1517" s="32"/>
      <c r="J1517" s="32"/>
      <c r="K1517" s="35"/>
      <c r="L1517" s="32"/>
      <c r="M1517" s="32"/>
    </row>
    <row r="1518" customFormat="false" ht="15" hidden="false" customHeight="true" outlineLevel="0" collapsed="false">
      <c r="A1518" s="32"/>
      <c r="B1518" s="32"/>
      <c r="C1518" s="32"/>
      <c r="D1518" s="32"/>
      <c r="E1518" s="34" t="str">
        <f aca="false">IF($B1518="","",IF($B1518="OUT","Liters",IFERROR(INDEX(Setup!$F$3:$F$24,MATCH($C1518,Setup!$A$3:$A$24,0)),"")))</f>
        <v/>
      </c>
      <c r="F1518" s="28" t="str">
        <f aca="false">IF(OR($D1518="",$E1518=""),"",IFERROR($D1518*INDEX(Setup!$B$27:$B$44,MATCH($E1518,Setup!$A$27:$A$44,0)),"TBD"))</f>
        <v/>
      </c>
      <c r="G1518" s="32"/>
      <c r="H1518" s="32"/>
      <c r="I1518" s="32"/>
      <c r="J1518" s="32"/>
      <c r="K1518" s="35"/>
      <c r="L1518" s="32"/>
      <c r="M1518" s="32"/>
    </row>
    <row r="1519" customFormat="false" ht="15" hidden="false" customHeight="true" outlineLevel="0" collapsed="false">
      <c r="A1519" s="32"/>
      <c r="B1519" s="32"/>
      <c r="C1519" s="32"/>
      <c r="D1519" s="32"/>
      <c r="E1519" s="34" t="str">
        <f aca="false">IF($B1519="","",IF($B1519="OUT","Liters",IFERROR(INDEX(Setup!$F$3:$F$24,MATCH($C1519,Setup!$A$3:$A$24,0)),"")))</f>
        <v/>
      </c>
      <c r="F1519" s="28" t="str">
        <f aca="false">IF(OR($D1519="",$E1519=""),"",IFERROR($D1519*INDEX(Setup!$B$27:$B$44,MATCH($E1519,Setup!$A$27:$A$44,0)),"TBD"))</f>
        <v/>
      </c>
      <c r="G1519" s="32"/>
      <c r="H1519" s="32"/>
      <c r="I1519" s="32"/>
      <c r="J1519" s="32"/>
      <c r="K1519" s="35"/>
      <c r="L1519" s="32"/>
      <c r="M1519" s="32"/>
    </row>
    <row r="1520" customFormat="false" ht="15" hidden="false" customHeight="true" outlineLevel="0" collapsed="false">
      <c r="A1520" s="32"/>
      <c r="B1520" s="32"/>
      <c r="C1520" s="32"/>
      <c r="D1520" s="32"/>
      <c r="E1520" s="34" t="str">
        <f aca="false">IF($B1520="","",IF($B1520="OUT","Liters",IFERROR(INDEX(Setup!$F$3:$F$24,MATCH($C1520,Setup!$A$3:$A$24,0)),"")))</f>
        <v/>
      </c>
      <c r="F1520" s="28" t="str">
        <f aca="false">IF(OR($D1520="",$E1520=""),"",IFERROR($D1520*INDEX(Setup!$B$27:$B$44,MATCH($E1520,Setup!$A$27:$A$44,0)),"TBD"))</f>
        <v/>
      </c>
      <c r="G1520" s="32"/>
      <c r="H1520" s="32"/>
      <c r="I1520" s="32"/>
      <c r="J1520" s="32"/>
      <c r="K1520" s="35"/>
      <c r="L1520" s="32"/>
      <c r="M1520" s="32"/>
    </row>
    <row r="1521" customFormat="false" ht="15" hidden="false" customHeight="true" outlineLevel="0" collapsed="false">
      <c r="A1521" s="32"/>
      <c r="B1521" s="32"/>
      <c r="C1521" s="32"/>
      <c r="D1521" s="32"/>
      <c r="E1521" s="34" t="str">
        <f aca="false">IF($B1521="","",IF($B1521="OUT","Liters",IFERROR(INDEX(Setup!$F$3:$F$24,MATCH($C1521,Setup!$A$3:$A$24,0)),"")))</f>
        <v/>
      </c>
      <c r="F1521" s="28" t="str">
        <f aca="false">IF(OR($D1521="",$E1521=""),"",IFERROR($D1521*INDEX(Setup!$B$27:$B$44,MATCH($E1521,Setup!$A$27:$A$44,0)),"TBD"))</f>
        <v/>
      </c>
      <c r="G1521" s="32"/>
      <c r="H1521" s="32"/>
      <c r="I1521" s="32"/>
      <c r="J1521" s="32"/>
      <c r="K1521" s="35"/>
      <c r="L1521" s="32"/>
      <c r="M1521" s="32"/>
    </row>
    <row r="1522" customFormat="false" ht="15" hidden="false" customHeight="true" outlineLevel="0" collapsed="false">
      <c r="A1522" s="32"/>
      <c r="B1522" s="32"/>
      <c r="C1522" s="32"/>
      <c r="D1522" s="32"/>
      <c r="E1522" s="34" t="str">
        <f aca="false">IF($B1522="","",IF($B1522="OUT","Liters",IFERROR(INDEX(Setup!$F$3:$F$24,MATCH($C1522,Setup!$A$3:$A$24,0)),"")))</f>
        <v/>
      </c>
      <c r="F1522" s="28" t="str">
        <f aca="false">IF(OR($D1522="",$E1522=""),"",IFERROR($D1522*INDEX(Setup!$B$27:$B$44,MATCH($E1522,Setup!$A$27:$A$44,0)),"TBD"))</f>
        <v/>
      </c>
      <c r="G1522" s="32"/>
      <c r="H1522" s="32"/>
      <c r="I1522" s="32"/>
      <c r="J1522" s="32"/>
      <c r="K1522" s="35"/>
      <c r="L1522" s="32"/>
      <c r="M1522" s="32"/>
    </row>
    <row r="1523" customFormat="false" ht="15" hidden="false" customHeight="true" outlineLevel="0" collapsed="false">
      <c r="A1523" s="32"/>
      <c r="B1523" s="32"/>
      <c r="C1523" s="32"/>
      <c r="D1523" s="32"/>
      <c r="E1523" s="34" t="str">
        <f aca="false">IF($B1523="","",IF($B1523="OUT","Liters",IFERROR(INDEX(Setup!$F$3:$F$24,MATCH($C1523,Setup!$A$3:$A$24,0)),"")))</f>
        <v/>
      </c>
      <c r="F1523" s="28" t="str">
        <f aca="false">IF(OR($D1523="",$E1523=""),"",IFERROR($D1523*INDEX(Setup!$B$27:$B$44,MATCH($E1523,Setup!$A$27:$A$44,0)),"TBD"))</f>
        <v/>
      </c>
      <c r="G1523" s="32"/>
      <c r="H1523" s="32"/>
      <c r="I1523" s="32"/>
      <c r="J1523" s="32"/>
      <c r="K1523" s="35"/>
      <c r="L1523" s="32"/>
      <c r="M1523" s="32"/>
    </row>
    <row r="1524" customFormat="false" ht="15" hidden="false" customHeight="true" outlineLevel="0" collapsed="false">
      <c r="A1524" s="32"/>
      <c r="B1524" s="32"/>
      <c r="C1524" s="32"/>
      <c r="D1524" s="32"/>
      <c r="E1524" s="34" t="str">
        <f aca="false">IF($B1524="","",IF($B1524="OUT","Liters",IFERROR(INDEX(Setup!$F$3:$F$24,MATCH($C1524,Setup!$A$3:$A$24,0)),"")))</f>
        <v/>
      </c>
      <c r="F1524" s="28" t="str">
        <f aca="false">IF(OR($D1524="",$E1524=""),"",IFERROR($D1524*INDEX(Setup!$B$27:$B$44,MATCH($E1524,Setup!$A$27:$A$44,0)),"TBD"))</f>
        <v/>
      </c>
      <c r="G1524" s="32"/>
      <c r="H1524" s="32"/>
      <c r="I1524" s="32"/>
      <c r="J1524" s="32"/>
      <c r="K1524" s="35"/>
      <c r="L1524" s="32"/>
      <c r="M1524" s="32"/>
    </row>
    <row r="1525" customFormat="false" ht="15" hidden="false" customHeight="true" outlineLevel="0" collapsed="false">
      <c r="A1525" s="32"/>
      <c r="B1525" s="32"/>
      <c r="C1525" s="32"/>
      <c r="D1525" s="32"/>
      <c r="E1525" s="34" t="str">
        <f aca="false">IF($B1525="","",IF($B1525="OUT","Liters",IFERROR(INDEX(Setup!$F$3:$F$24,MATCH($C1525,Setup!$A$3:$A$24,0)),"")))</f>
        <v/>
      </c>
      <c r="F1525" s="28" t="str">
        <f aca="false">IF(OR($D1525="",$E1525=""),"",IFERROR($D1525*INDEX(Setup!$B$27:$B$44,MATCH($E1525,Setup!$A$27:$A$44,0)),"TBD"))</f>
        <v/>
      </c>
      <c r="G1525" s="32"/>
      <c r="H1525" s="32"/>
      <c r="I1525" s="32"/>
      <c r="J1525" s="32"/>
      <c r="K1525" s="35"/>
      <c r="L1525" s="32"/>
      <c r="M1525" s="32"/>
    </row>
    <row r="1526" customFormat="false" ht="15" hidden="false" customHeight="true" outlineLevel="0" collapsed="false">
      <c r="A1526" s="32"/>
      <c r="B1526" s="32"/>
      <c r="C1526" s="32"/>
      <c r="D1526" s="32"/>
      <c r="E1526" s="34" t="str">
        <f aca="false">IF($B1526="","",IF($B1526="OUT","Liters",IFERROR(INDEX(Setup!$F$3:$F$24,MATCH($C1526,Setup!$A$3:$A$24,0)),"")))</f>
        <v/>
      </c>
      <c r="F1526" s="28" t="str">
        <f aca="false">IF(OR($D1526="",$E1526=""),"",IFERROR($D1526*INDEX(Setup!$B$27:$B$44,MATCH($E1526,Setup!$A$27:$A$44,0)),"TBD"))</f>
        <v/>
      </c>
      <c r="G1526" s="32"/>
      <c r="H1526" s="32"/>
      <c r="I1526" s="32"/>
      <c r="J1526" s="32"/>
      <c r="K1526" s="35"/>
      <c r="L1526" s="32"/>
      <c r="M1526" s="32"/>
    </row>
    <row r="1527" customFormat="false" ht="15" hidden="false" customHeight="true" outlineLevel="0" collapsed="false">
      <c r="A1527" s="32"/>
      <c r="B1527" s="32"/>
      <c r="C1527" s="32"/>
      <c r="D1527" s="32"/>
      <c r="E1527" s="34" t="str">
        <f aca="false">IF($B1527="","",IF($B1527="OUT","Liters",IFERROR(INDEX(Setup!$F$3:$F$24,MATCH($C1527,Setup!$A$3:$A$24,0)),"")))</f>
        <v/>
      </c>
      <c r="F1527" s="28" t="str">
        <f aca="false">IF(OR($D1527="",$E1527=""),"",IFERROR($D1527*INDEX(Setup!$B$27:$B$44,MATCH($E1527,Setup!$A$27:$A$44,0)),"TBD"))</f>
        <v/>
      </c>
      <c r="G1527" s="32"/>
      <c r="H1527" s="32"/>
      <c r="I1527" s="32"/>
      <c r="J1527" s="32"/>
      <c r="K1527" s="35"/>
      <c r="L1527" s="32"/>
      <c r="M1527" s="32"/>
    </row>
    <row r="1528" customFormat="false" ht="15" hidden="false" customHeight="true" outlineLevel="0" collapsed="false">
      <c r="A1528" s="32"/>
      <c r="B1528" s="32"/>
      <c r="C1528" s="32"/>
      <c r="D1528" s="32"/>
      <c r="E1528" s="34" t="str">
        <f aca="false">IF($B1528="","",IF($B1528="OUT","Liters",IFERROR(INDEX(Setup!$F$3:$F$24,MATCH($C1528,Setup!$A$3:$A$24,0)),"")))</f>
        <v/>
      </c>
      <c r="F1528" s="28" t="str">
        <f aca="false">IF(OR($D1528="",$E1528=""),"",IFERROR($D1528*INDEX(Setup!$B$27:$B$44,MATCH($E1528,Setup!$A$27:$A$44,0)),"TBD"))</f>
        <v/>
      </c>
      <c r="G1528" s="32"/>
      <c r="H1528" s="32"/>
      <c r="I1528" s="32"/>
      <c r="J1528" s="32"/>
      <c r="K1528" s="35"/>
      <c r="L1528" s="32"/>
      <c r="M1528" s="32"/>
    </row>
    <row r="1529" customFormat="false" ht="15" hidden="false" customHeight="true" outlineLevel="0" collapsed="false">
      <c r="A1529" s="32"/>
      <c r="B1529" s="32"/>
      <c r="C1529" s="32"/>
      <c r="D1529" s="32"/>
      <c r="E1529" s="34" t="str">
        <f aca="false">IF($B1529="","",IF($B1529="OUT","Liters",IFERROR(INDEX(Setup!$F$3:$F$24,MATCH($C1529,Setup!$A$3:$A$24,0)),"")))</f>
        <v/>
      </c>
      <c r="F1529" s="28" t="str">
        <f aca="false">IF(OR($D1529="",$E1529=""),"",IFERROR($D1529*INDEX(Setup!$B$27:$B$44,MATCH($E1529,Setup!$A$27:$A$44,0)),"TBD"))</f>
        <v/>
      </c>
      <c r="G1529" s="32"/>
      <c r="H1529" s="32"/>
      <c r="I1529" s="32"/>
      <c r="J1529" s="32"/>
      <c r="K1529" s="35"/>
      <c r="L1529" s="32"/>
      <c r="M1529" s="32"/>
    </row>
    <row r="1530" customFormat="false" ht="15" hidden="false" customHeight="true" outlineLevel="0" collapsed="false">
      <c r="A1530" s="32"/>
      <c r="B1530" s="32"/>
      <c r="C1530" s="32"/>
      <c r="D1530" s="32"/>
      <c r="E1530" s="34" t="str">
        <f aca="false">IF($B1530="","",IF($B1530="OUT","Liters",IFERROR(INDEX(Setup!$F$3:$F$24,MATCH($C1530,Setup!$A$3:$A$24,0)),"")))</f>
        <v/>
      </c>
      <c r="F1530" s="28" t="str">
        <f aca="false">IF(OR($D1530="",$E1530=""),"",IFERROR($D1530*INDEX(Setup!$B$27:$B$44,MATCH($E1530,Setup!$A$27:$A$44,0)),"TBD"))</f>
        <v/>
      </c>
      <c r="G1530" s="32"/>
      <c r="H1530" s="32"/>
      <c r="I1530" s="32"/>
      <c r="J1530" s="32"/>
      <c r="K1530" s="35"/>
      <c r="L1530" s="32"/>
      <c r="M1530" s="32"/>
    </row>
    <row r="1531" customFormat="false" ht="15" hidden="false" customHeight="true" outlineLevel="0" collapsed="false">
      <c r="A1531" s="32"/>
      <c r="B1531" s="32"/>
      <c r="C1531" s="32"/>
      <c r="D1531" s="32"/>
      <c r="E1531" s="34" t="str">
        <f aca="false">IF($B1531="","",IF($B1531="OUT","Liters",IFERROR(INDEX(Setup!$F$3:$F$24,MATCH($C1531,Setup!$A$3:$A$24,0)),"")))</f>
        <v/>
      </c>
      <c r="F1531" s="28" t="str">
        <f aca="false">IF(OR($D1531="",$E1531=""),"",IFERROR($D1531*INDEX(Setup!$B$27:$B$44,MATCH($E1531,Setup!$A$27:$A$44,0)),"TBD"))</f>
        <v/>
      </c>
      <c r="G1531" s="32"/>
      <c r="H1531" s="32"/>
      <c r="I1531" s="32"/>
      <c r="J1531" s="32"/>
      <c r="K1531" s="35"/>
      <c r="L1531" s="32"/>
      <c r="M1531" s="32"/>
    </row>
    <row r="1532" customFormat="false" ht="15" hidden="false" customHeight="true" outlineLevel="0" collapsed="false">
      <c r="A1532" s="32"/>
      <c r="B1532" s="32"/>
      <c r="C1532" s="32"/>
      <c r="D1532" s="32"/>
      <c r="E1532" s="34" t="str">
        <f aca="false">IF($B1532="","",IF($B1532="OUT","Liters",IFERROR(INDEX(Setup!$F$3:$F$24,MATCH($C1532,Setup!$A$3:$A$24,0)),"")))</f>
        <v/>
      </c>
      <c r="F1532" s="28" t="str">
        <f aca="false">IF(OR($D1532="",$E1532=""),"",IFERROR($D1532*INDEX(Setup!$B$27:$B$44,MATCH($E1532,Setup!$A$27:$A$44,0)),"TBD"))</f>
        <v/>
      </c>
      <c r="G1532" s="32"/>
      <c r="H1532" s="32"/>
      <c r="I1532" s="32"/>
      <c r="J1532" s="32"/>
      <c r="K1532" s="35"/>
      <c r="L1532" s="32"/>
      <c r="M1532" s="32"/>
    </row>
    <row r="1533" customFormat="false" ht="15" hidden="false" customHeight="true" outlineLevel="0" collapsed="false">
      <c r="A1533" s="32"/>
      <c r="B1533" s="32"/>
      <c r="C1533" s="32"/>
      <c r="D1533" s="32"/>
      <c r="E1533" s="34" t="str">
        <f aca="false">IF($B1533="","",IF($B1533="OUT","Liters",IFERROR(INDEX(Setup!$F$3:$F$24,MATCH($C1533,Setup!$A$3:$A$24,0)),"")))</f>
        <v/>
      </c>
      <c r="F1533" s="28" t="str">
        <f aca="false">IF(OR($D1533="",$E1533=""),"",IFERROR($D1533*INDEX(Setup!$B$27:$B$44,MATCH($E1533,Setup!$A$27:$A$44,0)),"TBD"))</f>
        <v/>
      </c>
      <c r="G1533" s="32"/>
      <c r="H1533" s="32"/>
      <c r="I1533" s="32"/>
      <c r="J1533" s="32"/>
      <c r="K1533" s="35"/>
      <c r="L1533" s="32"/>
      <c r="M1533" s="32"/>
    </row>
    <row r="1534" customFormat="false" ht="15" hidden="false" customHeight="true" outlineLevel="0" collapsed="false">
      <c r="A1534" s="32"/>
      <c r="B1534" s="32"/>
      <c r="C1534" s="32"/>
      <c r="D1534" s="32"/>
      <c r="E1534" s="34" t="str">
        <f aca="false">IF($B1534="","",IF($B1534="OUT","Liters",IFERROR(INDEX(Setup!$F$3:$F$24,MATCH($C1534,Setup!$A$3:$A$24,0)),"")))</f>
        <v/>
      </c>
      <c r="F1534" s="28" t="str">
        <f aca="false">IF(OR($D1534="",$E1534=""),"",IFERROR($D1534*INDEX(Setup!$B$27:$B$44,MATCH($E1534,Setup!$A$27:$A$44,0)),"TBD"))</f>
        <v/>
      </c>
      <c r="G1534" s="32"/>
      <c r="H1534" s="32"/>
      <c r="I1534" s="32"/>
      <c r="J1534" s="32"/>
      <c r="K1534" s="35"/>
      <c r="L1534" s="32"/>
      <c r="M1534" s="32"/>
    </row>
    <row r="1535" customFormat="false" ht="15" hidden="false" customHeight="true" outlineLevel="0" collapsed="false">
      <c r="A1535" s="32"/>
      <c r="B1535" s="32"/>
      <c r="C1535" s="32"/>
      <c r="D1535" s="32"/>
      <c r="E1535" s="34" t="str">
        <f aca="false">IF($B1535="","",IF($B1535="OUT","Liters",IFERROR(INDEX(Setup!$F$3:$F$24,MATCH($C1535,Setup!$A$3:$A$24,0)),"")))</f>
        <v/>
      </c>
      <c r="F1535" s="28" t="str">
        <f aca="false">IF(OR($D1535="",$E1535=""),"",IFERROR($D1535*INDEX(Setup!$B$27:$B$44,MATCH($E1535,Setup!$A$27:$A$44,0)),"TBD"))</f>
        <v/>
      </c>
      <c r="G1535" s="32"/>
      <c r="H1535" s="32"/>
      <c r="I1535" s="32"/>
      <c r="J1535" s="32"/>
      <c r="K1535" s="35"/>
      <c r="L1535" s="32"/>
      <c r="M1535" s="32"/>
    </row>
    <row r="1536" customFormat="false" ht="15" hidden="false" customHeight="true" outlineLevel="0" collapsed="false">
      <c r="A1536" s="32"/>
      <c r="B1536" s="32"/>
      <c r="C1536" s="32"/>
      <c r="D1536" s="32"/>
      <c r="E1536" s="34" t="str">
        <f aca="false">IF($B1536="","",IF($B1536="OUT","Liters",IFERROR(INDEX(Setup!$F$3:$F$24,MATCH($C1536,Setup!$A$3:$A$24,0)),"")))</f>
        <v/>
      </c>
      <c r="F1536" s="28" t="str">
        <f aca="false">IF(OR($D1536="",$E1536=""),"",IFERROR($D1536*INDEX(Setup!$B$27:$B$44,MATCH($E1536,Setup!$A$27:$A$44,0)),"TBD"))</f>
        <v/>
      </c>
      <c r="G1536" s="32"/>
      <c r="H1536" s="32"/>
      <c r="I1536" s="32"/>
      <c r="J1536" s="32"/>
      <c r="K1536" s="35"/>
      <c r="L1536" s="32"/>
      <c r="M1536" s="32"/>
    </row>
    <row r="1537" customFormat="false" ht="15" hidden="false" customHeight="true" outlineLevel="0" collapsed="false">
      <c r="A1537" s="32"/>
      <c r="B1537" s="32"/>
      <c r="C1537" s="32"/>
      <c r="D1537" s="32"/>
      <c r="E1537" s="34" t="str">
        <f aca="false">IF($B1537="","",IF($B1537="OUT","Liters",IFERROR(INDEX(Setup!$F$3:$F$24,MATCH($C1537,Setup!$A$3:$A$24,0)),"")))</f>
        <v/>
      </c>
      <c r="F1537" s="28" t="str">
        <f aca="false">IF(OR($D1537="",$E1537=""),"",IFERROR($D1537*INDEX(Setup!$B$27:$B$44,MATCH($E1537,Setup!$A$27:$A$44,0)),"TBD"))</f>
        <v/>
      </c>
      <c r="G1537" s="32"/>
      <c r="H1537" s="32"/>
      <c r="I1537" s="32"/>
      <c r="J1537" s="32"/>
      <c r="K1537" s="35"/>
      <c r="L1537" s="32"/>
      <c r="M1537" s="32"/>
    </row>
    <row r="1538" customFormat="false" ht="15" hidden="false" customHeight="true" outlineLevel="0" collapsed="false">
      <c r="A1538" s="32"/>
      <c r="B1538" s="32"/>
      <c r="C1538" s="32"/>
      <c r="D1538" s="32"/>
      <c r="E1538" s="34" t="str">
        <f aca="false">IF($B1538="","",IF($B1538="OUT","Liters",IFERROR(INDEX(Setup!$F$3:$F$24,MATCH($C1538,Setup!$A$3:$A$24,0)),"")))</f>
        <v/>
      </c>
      <c r="F1538" s="28" t="str">
        <f aca="false">IF(OR($D1538="",$E1538=""),"",IFERROR($D1538*INDEX(Setup!$B$27:$B$44,MATCH($E1538,Setup!$A$27:$A$44,0)),"TBD"))</f>
        <v/>
      </c>
      <c r="G1538" s="32"/>
      <c r="H1538" s="32"/>
      <c r="I1538" s="32"/>
      <c r="J1538" s="32"/>
      <c r="K1538" s="35"/>
      <c r="L1538" s="32"/>
      <c r="M1538" s="32"/>
    </row>
    <row r="1539" customFormat="false" ht="15" hidden="false" customHeight="true" outlineLevel="0" collapsed="false">
      <c r="A1539" s="32"/>
      <c r="B1539" s="32"/>
      <c r="C1539" s="32"/>
      <c r="D1539" s="32"/>
      <c r="E1539" s="34" t="str">
        <f aca="false">IF($B1539="","",IF($B1539="OUT","Liters",IFERROR(INDEX(Setup!$F$3:$F$24,MATCH($C1539,Setup!$A$3:$A$24,0)),"")))</f>
        <v/>
      </c>
      <c r="F1539" s="28" t="str">
        <f aca="false">IF(OR($D1539="",$E1539=""),"",IFERROR($D1539*INDEX(Setup!$B$27:$B$44,MATCH($E1539,Setup!$A$27:$A$44,0)),"TBD"))</f>
        <v/>
      </c>
      <c r="G1539" s="32"/>
      <c r="H1539" s="32"/>
      <c r="I1539" s="32"/>
      <c r="J1539" s="32"/>
      <c r="K1539" s="35"/>
      <c r="L1539" s="32"/>
      <c r="M1539" s="32"/>
    </row>
    <row r="1540" customFormat="false" ht="15" hidden="false" customHeight="true" outlineLevel="0" collapsed="false">
      <c r="A1540" s="32"/>
      <c r="B1540" s="32"/>
      <c r="C1540" s="32"/>
      <c r="D1540" s="32"/>
      <c r="E1540" s="34" t="str">
        <f aca="false">IF($B1540="","",IF($B1540="OUT","Liters",IFERROR(INDEX(Setup!$F$3:$F$24,MATCH($C1540,Setup!$A$3:$A$24,0)),"")))</f>
        <v/>
      </c>
      <c r="F1540" s="28" t="str">
        <f aca="false">IF(OR($D1540="",$E1540=""),"",IFERROR($D1540*INDEX(Setup!$B$27:$B$44,MATCH($E1540,Setup!$A$27:$A$44,0)),"TBD"))</f>
        <v/>
      </c>
      <c r="G1540" s="32"/>
      <c r="H1540" s="32"/>
      <c r="I1540" s="32"/>
      <c r="J1540" s="32"/>
      <c r="K1540" s="35"/>
      <c r="L1540" s="32"/>
      <c r="M1540" s="32"/>
    </row>
    <row r="1541" customFormat="false" ht="15" hidden="false" customHeight="true" outlineLevel="0" collapsed="false">
      <c r="A1541" s="32"/>
      <c r="B1541" s="32"/>
      <c r="C1541" s="32"/>
      <c r="D1541" s="32"/>
      <c r="E1541" s="34" t="str">
        <f aca="false">IF($B1541="","",IF($B1541="OUT","Liters",IFERROR(INDEX(Setup!$F$3:$F$24,MATCH($C1541,Setup!$A$3:$A$24,0)),"")))</f>
        <v/>
      </c>
      <c r="F1541" s="28" t="str">
        <f aca="false">IF(OR($D1541="",$E1541=""),"",IFERROR($D1541*INDEX(Setup!$B$27:$B$44,MATCH($E1541,Setup!$A$27:$A$44,0)),"TBD"))</f>
        <v/>
      </c>
      <c r="G1541" s="32"/>
      <c r="H1541" s="32"/>
      <c r="I1541" s="32"/>
      <c r="J1541" s="32"/>
      <c r="K1541" s="35"/>
      <c r="L1541" s="32"/>
      <c r="M1541" s="32"/>
    </row>
    <row r="1542" customFormat="false" ht="15" hidden="false" customHeight="true" outlineLevel="0" collapsed="false">
      <c r="A1542" s="32"/>
      <c r="B1542" s="32"/>
      <c r="C1542" s="32"/>
      <c r="D1542" s="32"/>
      <c r="E1542" s="34" t="str">
        <f aca="false">IF($B1542="","",IF($B1542="OUT","Liters",IFERROR(INDEX(Setup!$F$3:$F$24,MATCH($C1542,Setup!$A$3:$A$24,0)),"")))</f>
        <v/>
      </c>
      <c r="F1542" s="28" t="str">
        <f aca="false">IF(OR($D1542="",$E1542=""),"",IFERROR($D1542*INDEX(Setup!$B$27:$B$44,MATCH($E1542,Setup!$A$27:$A$44,0)),"TBD"))</f>
        <v/>
      </c>
      <c r="G1542" s="32"/>
      <c r="H1542" s="32"/>
      <c r="I1542" s="32"/>
      <c r="J1542" s="32"/>
      <c r="K1542" s="35"/>
      <c r="L1542" s="32"/>
      <c r="M1542" s="32"/>
    </row>
    <row r="1543" customFormat="false" ht="15" hidden="false" customHeight="true" outlineLevel="0" collapsed="false">
      <c r="A1543" s="32"/>
      <c r="B1543" s="32"/>
      <c r="C1543" s="32"/>
      <c r="D1543" s="32"/>
      <c r="E1543" s="34" t="str">
        <f aca="false">IF($B1543="","",IF($B1543="OUT","Liters",IFERROR(INDEX(Setup!$F$3:$F$24,MATCH($C1543,Setup!$A$3:$A$24,0)),"")))</f>
        <v/>
      </c>
      <c r="F1543" s="28" t="str">
        <f aca="false">IF(OR($D1543="",$E1543=""),"",IFERROR($D1543*INDEX(Setup!$B$27:$B$44,MATCH($E1543,Setup!$A$27:$A$44,0)),"TBD"))</f>
        <v/>
      </c>
      <c r="G1543" s="32"/>
      <c r="H1543" s="32"/>
      <c r="I1543" s="32"/>
      <c r="J1543" s="32"/>
      <c r="K1543" s="35"/>
      <c r="L1543" s="32"/>
      <c r="M1543" s="32"/>
    </row>
    <row r="1544" customFormat="false" ht="15" hidden="false" customHeight="true" outlineLevel="0" collapsed="false">
      <c r="A1544" s="32"/>
      <c r="B1544" s="32"/>
      <c r="C1544" s="32"/>
      <c r="D1544" s="32"/>
      <c r="E1544" s="34" t="str">
        <f aca="false">IF($B1544="","",IF($B1544="OUT","Liters",IFERROR(INDEX(Setup!$F$3:$F$24,MATCH($C1544,Setup!$A$3:$A$24,0)),"")))</f>
        <v/>
      </c>
      <c r="F1544" s="28" t="str">
        <f aca="false">IF(OR($D1544="",$E1544=""),"",IFERROR($D1544*INDEX(Setup!$B$27:$B$44,MATCH($E1544,Setup!$A$27:$A$44,0)),"TBD"))</f>
        <v/>
      </c>
      <c r="G1544" s="32"/>
      <c r="H1544" s="32"/>
      <c r="I1544" s="32"/>
      <c r="J1544" s="32"/>
      <c r="K1544" s="35"/>
      <c r="L1544" s="32"/>
      <c r="M1544" s="32"/>
    </row>
    <row r="1545" customFormat="false" ht="15" hidden="false" customHeight="true" outlineLevel="0" collapsed="false">
      <c r="A1545" s="32"/>
      <c r="B1545" s="32"/>
      <c r="C1545" s="32"/>
      <c r="D1545" s="32"/>
      <c r="E1545" s="34" t="str">
        <f aca="false">IF($B1545="","",IF($B1545="OUT","Liters",IFERROR(INDEX(Setup!$F$3:$F$24,MATCH($C1545,Setup!$A$3:$A$24,0)),"")))</f>
        <v/>
      </c>
      <c r="F1545" s="28" t="str">
        <f aca="false">IF(OR($D1545="",$E1545=""),"",IFERROR($D1545*INDEX(Setup!$B$27:$B$44,MATCH($E1545,Setup!$A$27:$A$44,0)),"TBD"))</f>
        <v/>
      </c>
      <c r="G1545" s="32"/>
      <c r="H1545" s="32"/>
      <c r="I1545" s="32"/>
      <c r="J1545" s="32"/>
      <c r="K1545" s="35"/>
      <c r="L1545" s="32"/>
      <c r="M1545" s="32"/>
    </row>
    <row r="1546" customFormat="false" ht="15" hidden="false" customHeight="true" outlineLevel="0" collapsed="false">
      <c r="A1546" s="32"/>
      <c r="B1546" s="32"/>
      <c r="C1546" s="32"/>
      <c r="D1546" s="32"/>
      <c r="E1546" s="34" t="str">
        <f aca="false">IF($B1546="","",IF($B1546="OUT","Liters",IFERROR(INDEX(Setup!$F$3:$F$24,MATCH($C1546,Setup!$A$3:$A$24,0)),"")))</f>
        <v/>
      </c>
      <c r="F1546" s="28" t="str">
        <f aca="false">IF(OR($D1546="",$E1546=""),"",IFERROR($D1546*INDEX(Setup!$B$27:$B$44,MATCH($E1546,Setup!$A$27:$A$44,0)),"TBD"))</f>
        <v/>
      </c>
      <c r="G1546" s="32"/>
      <c r="H1546" s="32"/>
      <c r="I1546" s="32"/>
      <c r="J1546" s="32"/>
      <c r="K1546" s="35"/>
      <c r="L1546" s="32"/>
      <c r="M1546" s="32"/>
    </row>
    <row r="1547" customFormat="false" ht="15" hidden="false" customHeight="true" outlineLevel="0" collapsed="false">
      <c r="A1547" s="32"/>
      <c r="B1547" s="32"/>
      <c r="C1547" s="32"/>
      <c r="D1547" s="32"/>
      <c r="E1547" s="34" t="str">
        <f aca="false">IF($B1547="","",IF($B1547="OUT","Liters",IFERROR(INDEX(Setup!$F$3:$F$24,MATCH($C1547,Setup!$A$3:$A$24,0)),"")))</f>
        <v/>
      </c>
      <c r="F1547" s="28" t="str">
        <f aca="false">IF(OR($D1547="",$E1547=""),"",IFERROR($D1547*INDEX(Setup!$B$27:$B$44,MATCH($E1547,Setup!$A$27:$A$44,0)),"TBD"))</f>
        <v/>
      </c>
      <c r="G1547" s="32"/>
      <c r="H1547" s="32"/>
      <c r="I1547" s="32"/>
      <c r="J1547" s="32"/>
      <c r="K1547" s="35"/>
      <c r="L1547" s="32"/>
      <c r="M1547" s="32"/>
    </row>
    <row r="1548" customFormat="false" ht="15" hidden="false" customHeight="true" outlineLevel="0" collapsed="false">
      <c r="A1548" s="32"/>
      <c r="B1548" s="32"/>
      <c r="C1548" s="32"/>
      <c r="D1548" s="32"/>
      <c r="E1548" s="34" t="str">
        <f aca="false">IF($B1548="","",IF($B1548="OUT","Liters",IFERROR(INDEX(Setup!$F$3:$F$24,MATCH($C1548,Setup!$A$3:$A$24,0)),"")))</f>
        <v/>
      </c>
      <c r="F1548" s="28" t="str">
        <f aca="false">IF(OR($D1548="",$E1548=""),"",IFERROR($D1548*INDEX(Setup!$B$27:$B$44,MATCH($E1548,Setup!$A$27:$A$44,0)),"TBD"))</f>
        <v/>
      </c>
      <c r="G1548" s="32"/>
      <c r="H1548" s="32"/>
      <c r="I1548" s="32"/>
      <c r="J1548" s="32"/>
      <c r="K1548" s="35"/>
      <c r="L1548" s="32"/>
      <c r="M1548" s="32"/>
    </row>
    <row r="1549" customFormat="false" ht="15" hidden="false" customHeight="true" outlineLevel="0" collapsed="false">
      <c r="A1549" s="32"/>
      <c r="B1549" s="32"/>
      <c r="C1549" s="32"/>
      <c r="D1549" s="32"/>
      <c r="E1549" s="34" t="str">
        <f aca="false">IF($B1549="","",IF($B1549="OUT","Liters",IFERROR(INDEX(Setup!$F$3:$F$24,MATCH($C1549,Setup!$A$3:$A$24,0)),"")))</f>
        <v/>
      </c>
      <c r="F1549" s="28" t="str">
        <f aca="false">IF(OR($D1549="",$E1549=""),"",IFERROR($D1549*INDEX(Setup!$B$27:$B$44,MATCH($E1549,Setup!$A$27:$A$44,0)),"TBD"))</f>
        <v/>
      </c>
      <c r="G1549" s="32"/>
      <c r="H1549" s="32"/>
      <c r="I1549" s="32"/>
      <c r="J1549" s="32"/>
      <c r="K1549" s="35"/>
      <c r="L1549" s="32"/>
      <c r="M1549" s="32"/>
    </row>
    <row r="1550" customFormat="false" ht="15" hidden="false" customHeight="true" outlineLevel="0" collapsed="false">
      <c r="A1550" s="32"/>
      <c r="B1550" s="32"/>
      <c r="C1550" s="32"/>
      <c r="D1550" s="32"/>
      <c r="E1550" s="34" t="str">
        <f aca="false">IF($B1550="","",IF($B1550="OUT","Liters",IFERROR(INDEX(Setup!$F$3:$F$24,MATCH($C1550,Setup!$A$3:$A$24,0)),"")))</f>
        <v/>
      </c>
      <c r="F1550" s="28" t="str">
        <f aca="false">IF(OR($D1550="",$E1550=""),"",IFERROR($D1550*INDEX(Setup!$B$27:$B$44,MATCH($E1550,Setup!$A$27:$A$44,0)),"TBD"))</f>
        <v/>
      </c>
      <c r="G1550" s="32"/>
      <c r="H1550" s="32"/>
      <c r="I1550" s="32"/>
      <c r="J1550" s="32"/>
      <c r="K1550" s="35"/>
      <c r="L1550" s="32"/>
      <c r="M1550" s="32"/>
    </row>
    <row r="1551" customFormat="false" ht="15" hidden="false" customHeight="true" outlineLevel="0" collapsed="false">
      <c r="A1551" s="32"/>
      <c r="B1551" s="32"/>
      <c r="C1551" s="32"/>
      <c r="D1551" s="32"/>
      <c r="E1551" s="34" t="str">
        <f aca="false">IF($B1551="","",IF($B1551="OUT","Liters",IFERROR(INDEX(Setup!$F$3:$F$24,MATCH($C1551,Setup!$A$3:$A$24,0)),"")))</f>
        <v/>
      </c>
      <c r="F1551" s="28" t="str">
        <f aca="false">IF(OR($D1551="",$E1551=""),"",IFERROR($D1551*INDEX(Setup!$B$27:$B$44,MATCH($E1551,Setup!$A$27:$A$44,0)),"TBD"))</f>
        <v/>
      </c>
      <c r="G1551" s="32"/>
      <c r="H1551" s="32"/>
      <c r="I1551" s="32"/>
      <c r="J1551" s="32"/>
      <c r="K1551" s="35"/>
      <c r="L1551" s="32"/>
      <c r="M1551" s="32"/>
    </row>
    <row r="1552" customFormat="false" ht="15" hidden="false" customHeight="true" outlineLevel="0" collapsed="false">
      <c r="A1552" s="32"/>
      <c r="B1552" s="32"/>
      <c r="C1552" s="32"/>
      <c r="D1552" s="32"/>
      <c r="E1552" s="34" t="str">
        <f aca="false">IF($B1552="","",IF($B1552="OUT","Liters",IFERROR(INDEX(Setup!$F$3:$F$24,MATCH($C1552,Setup!$A$3:$A$24,0)),"")))</f>
        <v/>
      </c>
      <c r="F1552" s="28" t="str">
        <f aca="false">IF(OR($D1552="",$E1552=""),"",IFERROR($D1552*INDEX(Setup!$B$27:$B$44,MATCH($E1552,Setup!$A$27:$A$44,0)),"TBD"))</f>
        <v/>
      </c>
      <c r="G1552" s="32"/>
      <c r="H1552" s="32"/>
      <c r="I1552" s="32"/>
      <c r="J1552" s="32"/>
      <c r="K1552" s="35"/>
      <c r="L1552" s="32"/>
      <c r="M1552" s="32"/>
    </row>
    <row r="1553" customFormat="false" ht="15" hidden="false" customHeight="true" outlineLevel="0" collapsed="false">
      <c r="A1553" s="32"/>
      <c r="B1553" s="32"/>
      <c r="C1553" s="32"/>
      <c r="D1553" s="32"/>
      <c r="E1553" s="34" t="str">
        <f aca="false">IF($B1553="","",IF($B1553="OUT","Liters",IFERROR(INDEX(Setup!$F$3:$F$24,MATCH($C1553,Setup!$A$3:$A$24,0)),"")))</f>
        <v/>
      </c>
      <c r="F1553" s="28" t="str">
        <f aca="false">IF(OR($D1553="",$E1553=""),"",IFERROR($D1553*INDEX(Setup!$B$27:$B$44,MATCH($E1553,Setup!$A$27:$A$44,0)),"TBD"))</f>
        <v/>
      </c>
      <c r="G1553" s="32"/>
      <c r="H1553" s="32"/>
      <c r="I1553" s="32"/>
      <c r="J1553" s="32"/>
      <c r="K1553" s="35"/>
      <c r="L1553" s="32"/>
      <c r="M1553" s="32"/>
    </row>
    <row r="1554" customFormat="false" ht="15" hidden="false" customHeight="true" outlineLevel="0" collapsed="false">
      <c r="A1554" s="32"/>
      <c r="B1554" s="32"/>
      <c r="C1554" s="32"/>
      <c r="D1554" s="32"/>
      <c r="E1554" s="34" t="str">
        <f aca="false">IF($B1554="","",IF($B1554="OUT","Liters",IFERROR(INDEX(Setup!$F$3:$F$24,MATCH($C1554,Setup!$A$3:$A$24,0)),"")))</f>
        <v/>
      </c>
      <c r="F1554" s="28" t="str">
        <f aca="false">IF(OR($D1554="",$E1554=""),"",IFERROR($D1554*INDEX(Setup!$B$27:$B$44,MATCH($E1554,Setup!$A$27:$A$44,0)),"TBD"))</f>
        <v/>
      </c>
      <c r="G1554" s="32"/>
      <c r="H1554" s="32"/>
      <c r="I1554" s="32"/>
      <c r="J1554" s="32"/>
      <c r="K1554" s="35"/>
      <c r="L1554" s="32"/>
      <c r="M1554" s="32"/>
    </row>
    <row r="1555" customFormat="false" ht="15" hidden="false" customHeight="true" outlineLevel="0" collapsed="false">
      <c r="A1555" s="32"/>
      <c r="B1555" s="32"/>
      <c r="C1555" s="32"/>
      <c r="D1555" s="32"/>
      <c r="E1555" s="34" t="str">
        <f aca="false">IF($B1555="","",IF($B1555="OUT","Liters",IFERROR(INDEX(Setup!$F$3:$F$24,MATCH($C1555,Setup!$A$3:$A$24,0)),"")))</f>
        <v/>
      </c>
      <c r="F1555" s="28" t="str">
        <f aca="false">IF(OR($D1555="",$E1555=""),"",IFERROR($D1555*INDEX(Setup!$B$27:$B$44,MATCH($E1555,Setup!$A$27:$A$44,0)),"TBD"))</f>
        <v/>
      </c>
      <c r="G1555" s="32"/>
      <c r="H1555" s="32"/>
      <c r="I1555" s="32"/>
      <c r="J1555" s="32"/>
      <c r="K1555" s="35"/>
      <c r="L1555" s="32"/>
      <c r="M1555" s="32"/>
    </row>
    <row r="1556" customFormat="false" ht="15" hidden="false" customHeight="true" outlineLevel="0" collapsed="false">
      <c r="A1556" s="32"/>
      <c r="B1556" s="32"/>
      <c r="C1556" s="32"/>
      <c r="D1556" s="32"/>
      <c r="E1556" s="34" t="str">
        <f aca="false">IF($B1556="","",IF($B1556="OUT","Liters",IFERROR(INDEX(Setup!$F$3:$F$24,MATCH($C1556,Setup!$A$3:$A$24,0)),"")))</f>
        <v/>
      </c>
      <c r="F1556" s="28" t="str">
        <f aca="false">IF(OR($D1556="",$E1556=""),"",IFERROR($D1556*INDEX(Setup!$B$27:$B$44,MATCH($E1556,Setup!$A$27:$A$44,0)),"TBD"))</f>
        <v/>
      </c>
      <c r="G1556" s="32"/>
      <c r="H1556" s="32"/>
      <c r="I1556" s="32"/>
      <c r="J1556" s="32"/>
      <c r="K1556" s="35"/>
      <c r="L1556" s="32"/>
      <c r="M1556" s="32"/>
    </row>
    <row r="1557" customFormat="false" ht="15" hidden="false" customHeight="true" outlineLevel="0" collapsed="false">
      <c r="A1557" s="32"/>
      <c r="B1557" s="32"/>
      <c r="C1557" s="32"/>
      <c r="D1557" s="32"/>
      <c r="E1557" s="34" t="str">
        <f aca="false">IF($B1557="","",IF($B1557="OUT","Liters",IFERROR(INDEX(Setup!$F$3:$F$24,MATCH($C1557,Setup!$A$3:$A$24,0)),"")))</f>
        <v/>
      </c>
      <c r="F1557" s="28" t="str">
        <f aca="false">IF(OR($D1557="",$E1557=""),"",IFERROR($D1557*INDEX(Setup!$B$27:$B$44,MATCH($E1557,Setup!$A$27:$A$44,0)),"TBD"))</f>
        <v/>
      </c>
      <c r="G1557" s="32"/>
      <c r="H1557" s="32"/>
      <c r="I1557" s="32"/>
      <c r="J1557" s="32"/>
      <c r="K1557" s="35"/>
      <c r="L1557" s="32"/>
      <c r="M1557" s="32"/>
    </row>
    <row r="1558" customFormat="false" ht="15" hidden="false" customHeight="true" outlineLevel="0" collapsed="false">
      <c r="A1558" s="32"/>
      <c r="B1558" s="32"/>
      <c r="C1558" s="32"/>
      <c r="D1558" s="32"/>
      <c r="E1558" s="34" t="str">
        <f aca="false">IF($B1558="","",IF($B1558="OUT","Liters",IFERROR(INDEX(Setup!$F$3:$F$24,MATCH($C1558,Setup!$A$3:$A$24,0)),"")))</f>
        <v/>
      </c>
      <c r="F1558" s="28" t="str">
        <f aca="false">IF(OR($D1558="",$E1558=""),"",IFERROR($D1558*INDEX(Setup!$B$27:$B$44,MATCH($E1558,Setup!$A$27:$A$44,0)),"TBD"))</f>
        <v/>
      </c>
      <c r="G1558" s="32"/>
      <c r="H1558" s="32"/>
      <c r="I1558" s="32"/>
      <c r="J1558" s="32"/>
      <c r="K1558" s="35"/>
      <c r="L1558" s="32"/>
      <c r="M1558" s="32"/>
    </row>
    <row r="1559" customFormat="false" ht="15" hidden="false" customHeight="true" outlineLevel="0" collapsed="false">
      <c r="A1559" s="32"/>
      <c r="B1559" s="32"/>
      <c r="C1559" s="32"/>
      <c r="D1559" s="32"/>
      <c r="E1559" s="34" t="str">
        <f aca="false">IF($B1559="","",IF($B1559="OUT","Liters",IFERROR(INDEX(Setup!$F$3:$F$24,MATCH($C1559,Setup!$A$3:$A$24,0)),"")))</f>
        <v/>
      </c>
      <c r="F1559" s="28" t="str">
        <f aca="false">IF(OR($D1559="",$E1559=""),"",IFERROR($D1559*INDEX(Setup!$B$27:$B$44,MATCH($E1559,Setup!$A$27:$A$44,0)),"TBD"))</f>
        <v/>
      </c>
      <c r="G1559" s="32"/>
      <c r="H1559" s="32"/>
      <c r="I1559" s="32"/>
      <c r="J1559" s="32"/>
      <c r="K1559" s="35"/>
      <c r="L1559" s="32"/>
      <c r="M1559" s="32"/>
    </row>
    <row r="1560" customFormat="false" ht="15" hidden="false" customHeight="true" outlineLevel="0" collapsed="false">
      <c r="A1560" s="32"/>
      <c r="B1560" s="32"/>
      <c r="C1560" s="32"/>
      <c r="D1560" s="32"/>
      <c r="E1560" s="34" t="str">
        <f aca="false">IF($B1560="","",IF($B1560="OUT","Liters",IFERROR(INDEX(Setup!$F$3:$F$24,MATCH($C1560,Setup!$A$3:$A$24,0)),"")))</f>
        <v/>
      </c>
      <c r="F1560" s="28" t="str">
        <f aca="false">IF(OR($D1560="",$E1560=""),"",IFERROR($D1560*INDEX(Setup!$B$27:$B$44,MATCH($E1560,Setup!$A$27:$A$44,0)),"TBD"))</f>
        <v/>
      </c>
      <c r="G1560" s="32"/>
      <c r="H1560" s="32"/>
      <c r="I1560" s="32"/>
      <c r="J1560" s="32"/>
      <c r="K1560" s="35"/>
      <c r="L1560" s="32"/>
      <c r="M1560" s="32"/>
    </row>
    <row r="1561" customFormat="false" ht="15" hidden="false" customHeight="true" outlineLevel="0" collapsed="false">
      <c r="A1561" s="32"/>
      <c r="B1561" s="32"/>
      <c r="C1561" s="32"/>
      <c r="D1561" s="32"/>
      <c r="E1561" s="34" t="str">
        <f aca="false">IF($B1561="","",IF($B1561="OUT","Liters",IFERROR(INDEX(Setup!$F$3:$F$24,MATCH($C1561,Setup!$A$3:$A$24,0)),"")))</f>
        <v/>
      </c>
      <c r="F1561" s="28" t="str">
        <f aca="false">IF(OR($D1561="",$E1561=""),"",IFERROR($D1561*INDEX(Setup!$B$27:$B$44,MATCH($E1561,Setup!$A$27:$A$44,0)),"TBD"))</f>
        <v/>
      </c>
      <c r="G1561" s="32"/>
      <c r="H1561" s="32"/>
      <c r="I1561" s="32"/>
      <c r="J1561" s="32"/>
      <c r="K1561" s="35"/>
      <c r="L1561" s="32"/>
      <c r="M1561" s="32"/>
    </row>
    <row r="1562" customFormat="false" ht="15" hidden="false" customHeight="true" outlineLevel="0" collapsed="false">
      <c r="A1562" s="32"/>
      <c r="B1562" s="32"/>
      <c r="C1562" s="32"/>
      <c r="D1562" s="32"/>
      <c r="E1562" s="34" t="str">
        <f aca="false">IF($B1562="","",IF($B1562="OUT","Liters",IFERROR(INDEX(Setup!$F$3:$F$24,MATCH($C1562,Setup!$A$3:$A$24,0)),"")))</f>
        <v/>
      </c>
      <c r="F1562" s="28" t="str">
        <f aca="false">IF(OR($D1562="",$E1562=""),"",IFERROR($D1562*INDEX(Setup!$B$27:$B$44,MATCH($E1562,Setup!$A$27:$A$44,0)),"TBD"))</f>
        <v/>
      </c>
      <c r="G1562" s="32"/>
      <c r="H1562" s="32"/>
      <c r="I1562" s="32"/>
      <c r="J1562" s="32"/>
      <c r="K1562" s="35"/>
      <c r="L1562" s="32"/>
      <c r="M1562" s="32"/>
    </row>
    <row r="1563" customFormat="false" ht="15" hidden="false" customHeight="true" outlineLevel="0" collapsed="false">
      <c r="A1563" s="32"/>
      <c r="B1563" s="32"/>
      <c r="C1563" s="32"/>
      <c r="D1563" s="32"/>
      <c r="E1563" s="34" t="str">
        <f aca="false">IF($B1563="","",IF($B1563="OUT","Liters",IFERROR(INDEX(Setup!$F$3:$F$24,MATCH($C1563,Setup!$A$3:$A$24,0)),"")))</f>
        <v/>
      </c>
      <c r="F1563" s="28" t="str">
        <f aca="false">IF(OR($D1563="",$E1563=""),"",IFERROR($D1563*INDEX(Setup!$B$27:$B$44,MATCH($E1563,Setup!$A$27:$A$44,0)),"TBD"))</f>
        <v/>
      </c>
      <c r="G1563" s="32"/>
      <c r="H1563" s="32"/>
      <c r="I1563" s="32"/>
      <c r="J1563" s="32"/>
      <c r="K1563" s="35"/>
      <c r="L1563" s="32"/>
      <c r="M1563" s="32"/>
    </row>
    <row r="1564" customFormat="false" ht="15" hidden="false" customHeight="true" outlineLevel="0" collapsed="false">
      <c r="A1564" s="32"/>
      <c r="B1564" s="32"/>
      <c r="C1564" s="32"/>
      <c r="D1564" s="32"/>
      <c r="E1564" s="34" t="str">
        <f aca="false">IF($B1564="","",IF($B1564="OUT","Liters",IFERROR(INDEX(Setup!$F$3:$F$24,MATCH($C1564,Setup!$A$3:$A$24,0)),"")))</f>
        <v/>
      </c>
      <c r="F1564" s="28" t="str">
        <f aca="false">IF(OR($D1564="",$E1564=""),"",IFERROR($D1564*INDEX(Setup!$B$27:$B$44,MATCH($E1564,Setup!$A$27:$A$44,0)),"TBD"))</f>
        <v/>
      </c>
      <c r="G1564" s="32"/>
      <c r="H1564" s="32"/>
      <c r="I1564" s="32"/>
      <c r="J1564" s="32"/>
      <c r="K1564" s="35"/>
      <c r="L1564" s="32"/>
      <c r="M1564" s="32"/>
    </row>
    <row r="1565" customFormat="false" ht="15" hidden="false" customHeight="true" outlineLevel="0" collapsed="false">
      <c r="A1565" s="32"/>
      <c r="B1565" s="32"/>
      <c r="C1565" s="32"/>
      <c r="D1565" s="32"/>
      <c r="E1565" s="34" t="str">
        <f aca="false">IF($B1565="","",IF($B1565="OUT","Liters",IFERROR(INDEX(Setup!$F$3:$F$24,MATCH($C1565,Setup!$A$3:$A$24,0)),"")))</f>
        <v/>
      </c>
      <c r="F1565" s="28" t="str">
        <f aca="false">IF(OR($D1565="",$E1565=""),"",IFERROR($D1565*INDEX(Setup!$B$27:$B$44,MATCH($E1565,Setup!$A$27:$A$44,0)),"TBD"))</f>
        <v/>
      </c>
      <c r="G1565" s="32"/>
      <c r="H1565" s="32"/>
      <c r="I1565" s="32"/>
      <c r="J1565" s="32"/>
      <c r="K1565" s="35"/>
      <c r="L1565" s="32"/>
      <c r="M1565" s="32"/>
    </row>
    <row r="1566" customFormat="false" ht="15" hidden="false" customHeight="true" outlineLevel="0" collapsed="false">
      <c r="A1566" s="32"/>
      <c r="B1566" s="32"/>
      <c r="C1566" s="32"/>
      <c r="D1566" s="32"/>
      <c r="E1566" s="34" t="str">
        <f aca="false">IF($B1566="","",IF($B1566="OUT","Liters",IFERROR(INDEX(Setup!$F$3:$F$24,MATCH($C1566,Setup!$A$3:$A$24,0)),"")))</f>
        <v/>
      </c>
      <c r="F1566" s="28" t="str">
        <f aca="false">IF(OR($D1566="",$E1566=""),"",IFERROR($D1566*INDEX(Setup!$B$27:$B$44,MATCH($E1566,Setup!$A$27:$A$44,0)),"TBD"))</f>
        <v/>
      </c>
      <c r="G1566" s="32"/>
      <c r="H1566" s="32"/>
      <c r="I1566" s="32"/>
      <c r="J1566" s="32"/>
      <c r="K1566" s="35"/>
      <c r="L1566" s="32"/>
      <c r="M1566" s="32"/>
    </row>
    <row r="1567" customFormat="false" ht="15" hidden="false" customHeight="true" outlineLevel="0" collapsed="false">
      <c r="A1567" s="32"/>
      <c r="B1567" s="32"/>
      <c r="C1567" s="32"/>
      <c r="D1567" s="32"/>
      <c r="E1567" s="34" t="str">
        <f aca="false">IF($B1567="","",IF($B1567="OUT","Liters",IFERROR(INDEX(Setup!$F$3:$F$24,MATCH($C1567,Setup!$A$3:$A$24,0)),"")))</f>
        <v/>
      </c>
      <c r="F1567" s="28" t="str">
        <f aca="false">IF(OR($D1567="",$E1567=""),"",IFERROR($D1567*INDEX(Setup!$B$27:$B$44,MATCH($E1567,Setup!$A$27:$A$44,0)),"TBD"))</f>
        <v/>
      </c>
      <c r="G1567" s="32"/>
      <c r="H1567" s="32"/>
      <c r="I1567" s="32"/>
      <c r="J1567" s="32"/>
      <c r="K1567" s="35"/>
      <c r="L1567" s="32"/>
      <c r="M1567" s="32"/>
    </row>
    <row r="1568" customFormat="false" ht="15" hidden="false" customHeight="true" outlineLevel="0" collapsed="false">
      <c r="A1568" s="32"/>
      <c r="B1568" s="32"/>
      <c r="C1568" s="32"/>
      <c r="D1568" s="32"/>
      <c r="E1568" s="34" t="str">
        <f aca="false">IF($B1568="","",IF($B1568="OUT","Liters",IFERROR(INDEX(Setup!$F$3:$F$24,MATCH($C1568,Setup!$A$3:$A$24,0)),"")))</f>
        <v/>
      </c>
      <c r="F1568" s="28" t="str">
        <f aca="false">IF(OR($D1568="",$E1568=""),"",IFERROR($D1568*INDEX(Setup!$B$27:$B$44,MATCH($E1568,Setup!$A$27:$A$44,0)),"TBD"))</f>
        <v/>
      </c>
      <c r="G1568" s="32"/>
      <c r="H1568" s="32"/>
      <c r="I1568" s="32"/>
      <c r="J1568" s="32"/>
      <c r="K1568" s="35"/>
      <c r="L1568" s="32"/>
      <c r="M1568" s="32"/>
    </row>
    <row r="1569" customFormat="false" ht="15" hidden="false" customHeight="true" outlineLevel="0" collapsed="false">
      <c r="A1569" s="32"/>
      <c r="B1569" s="32"/>
      <c r="C1569" s="32"/>
      <c r="D1569" s="32"/>
      <c r="E1569" s="34" t="str">
        <f aca="false">IF($B1569="","",IF($B1569="OUT","Liters",IFERROR(INDEX(Setup!$F$3:$F$24,MATCH($C1569,Setup!$A$3:$A$24,0)),"")))</f>
        <v/>
      </c>
      <c r="F1569" s="28" t="str">
        <f aca="false">IF(OR($D1569="",$E1569=""),"",IFERROR($D1569*INDEX(Setup!$B$27:$B$44,MATCH($E1569,Setup!$A$27:$A$44,0)),"TBD"))</f>
        <v/>
      </c>
      <c r="G1569" s="32"/>
      <c r="H1569" s="32"/>
      <c r="I1569" s="32"/>
      <c r="J1569" s="32"/>
      <c r="K1569" s="35"/>
      <c r="L1569" s="32"/>
      <c r="M1569" s="32"/>
    </row>
    <row r="1570" customFormat="false" ht="15" hidden="false" customHeight="true" outlineLevel="0" collapsed="false">
      <c r="A1570" s="32"/>
      <c r="B1570" s="32"/>
      <c r="C1570" s="32"/>
      <c r="D1570" s="32"/>
      <c r="E1570" s="34" t="str">
        <f aca="false">IF($B1570="","",IF($B1570="OUT","Liters",IFERROR(INDEX(Setup!$F$3:$F$24,MATCH($C1570,Setup!$A$3:$A$24,0)),"")))</f>
        <v/>
      </c>
      <c r="F1570" s="28" t="str">
        <f aca="false">IF(OR($D1570="",$E1570=""),"",IFERROR($D1570*INDEX(Setup!$B$27:$B$44,MATCH($E1570,Setup!$A$27:$A$44,0)),"TBD"))</f>
        <v/>
      </c>
      <c r="G1570" s="32"/>
      <c r="H1570" s="32"/>
      <c r="I1570" s="32"/>
      <c r="J1570" s="32"/>
      <c r="K1570" s="35"/>
      <c r="L1570" s="32"/>
      <c r="M1570" s="32"/>
    </row>
    <row r="1571" customFormat="false" ht="15" hidden="false" customHeight="true" outlineLevel="0" collapsed="false">
      <c r="A1571" s="32"/>
      <c r="B1571" s="32"/>
      <c r="C1571" s="32"/>
      <c r="D1571" s="32"/>
      <c r="E1571" s="34" t="str">
        <f aca="false">IF($B1571="","",IF($B1571="OUT","Liters",IFERROR(INDEX(Setup!$F$3:$F$24,MATCH($C1571,Setup!$A$3:$A$24,0)),"")))</f>
        <v/>
      </c>
      <c r="F1571" s="28" t="str">
        <f aca="false">IF(OR($D1571="",$E1571=""),"",IFERROR($D1571*INDEX(Setup!$B$27:$B$44,MATCH($E1571,Setup!$A$27:$A$44,0)),"TBD"))</f>
        <v/>
      </c>
      <c r="G1571" s="32"/>
      <c r="H1571" s="32"/>
      <c r="I1571" s="32"/>
      <c r="J1571" s="32"/>
      <c r="K1571" s="35"/>
      <c r="L1571" s="32"/>
      <c r="M1571" s="32"/>
    </row>
    <row r="1572" customFormat="false" ht="15" hidden="false" customHeight="true" outlineLevel="0" collapsed="false">
      <c r="A1572" s="32"/>
      <c r="B1572" s="32"/>
      <c r="C1572" s="32"/>
      <c r="D1572" s="32"/>
      <c r="E1572" s="34" t="str">
        <f aca="false">IF($B1572="","",IF($B1572="OUT","Liters",IFERROR(INDEX(Setup!$F$3:$F$24,MATCH($C1572,Setup!$A$3:$A$24,0)),"")))</f>
        <v/>
      </c>
      <c r="F1572" s="28" t="str">
        <f aca="false">IF(OR($D1572="",$E1572=""),"",IFERROR($D1572*INDEX(Setup!$B$27:$B$44,MATCH($E1572,Setup!$A$27:$A$44,0)),"TBD"))</f>
        <v/>
      </c>
      <c r="G1572" s="32"/>
      <c r="H1572" s="32"/>
      <c r="I1572" s="32"/>
      <c r="J1572" s="32"/>
      <c r="K1572" s="35"/>
      <c r="L1572" s="32"/>
      <c r="M1572" s="32"/>
    </row>
    <row r="1573" customFormat="false" ht="15" hidden="false" customHeight="true" outlineLevel="0" collapsed="false">
      <c r="A1573" s="32"/>
      <c r="B1573" s="32"/>
      <c r="C1573" s="32"/>
      <c r="D1573" s="32"/>
      <c r="E1573" s="34" t="str">
        <f aca="false">IF($B1573="","",IF($B1573="OUT","Liters",IFERROR(INDEX(Setup!$F$3:$F$24,MATCH($C1573,Setup!$A$3:$A$24,0)),"")))</f>
        <v/>
      </c>
      <c r="F1573" s="28" t="str">
        <f aca="false">IF(OR($D1573="",$E1573=""),"",IFERROR($D1573*INDEX(Setup!$B$27:$B$44,MATCH($E1573,Setup!$A$27:$A$44,0)),"TBD"))</f>
        <v/>
      </c>
      <c r="G1573" s="32"/>
      <c r="H1573" s="32"/>
      <c r="I1573" s="32"/>
      <c r="J1573" s="32"/>
      <c r="K1573" s="35"/>
      <c r="L1573" s="32"/>
      <c r="M1573" s="32"/>
    </row>
    <row r="1574" customFormat="false" ht="15" hidden="false" customHeight="true" outlineLevel="0" collapsed="false">
      <c r="A1574" s="32"/>
      <c r="B1574" s="32"/>
      <c r="C1574" s="32"/>
      <c r="D1574" s="32"/>
      <c r="E1574" s="34" t="str">
        <f aca="false">IF($B1574="","",IF($B1574="OUT","Liters",IFERROR(INDEX(Setup!$F$3:$F$24,MATCH($C1574,Setup!$A$3:$A$24,0)),"")))</f>
        <v/>
      </c>
      <c r="F1574" s="28" t="str">
        <f aca="false">IF(OR($D1574="",$E1574=""),"",IFERROR($D1574*INDEX(Setup!$B$27:$B$44,MATCH($E1574,Setup!$A$27:$A$44,0)),"TBD"))</f>
        <v/>
      </c>
      <c r="G1574" s="32"/>
      <c r="H1574" s="32"/>
      <c r="I1574" s="32"/>
      <c r="J1574" s="32"/>
      <c r="K1574" s="35"/>
      <c r="L1574" s="32"/>
      <c r="M1574" s="32"/>
    </row>
    <row r="1575" customFormat="false" ht="15" hidden="false" customHeight="true" outlineLevel="0" collapsed="false">
      <c r="A1575" s="32"/>
      <c r="B1575" s="32"/>
      <c r="C1575" s="32"/>
      <c r="D1575" s="32"/>
      <c r="E1575" s="34" t="str">
        <f aca="false">IF($B1575="","",IF($B1575="OUT","Liters",IFERROR(INDEX(Setup!$F$3:$F$24,MATCH($C1575,Setup!$A$3:$A$24,0)),"")))</f>
        <v/>
      </c>
      <c r="F1575" s="28" t="str">
        <f aca="false">IF(OR($D1575="",$E1575=""),"",IFERROR($D1575*INDEX(Setup!$B$27:$B$44,MATCH($E1575,Setup!$A$27:$A$44,0)),"TBD"))</f>
        <v/>
      </c>
      <c r="G1575" s="32"/>
      <c r="H1575" s="32"/>
      <c r="I1575" s="32"/>
      <c r="J1575" s="32"/>
      <c r="K1575" s="35"/>
      <c r="L1575" s="32"/>
      <c r="M1575" s="32"/>
    </row>
    <row r="1576" customFormat="false" ht="15" hidden="false" customHeight="true" outlineLevel="0" collapsed="false">
      <c r="A1576" s="32"/>
      <c r="B1576" s="32"/>
      <c r="C1576" s="32"/>
      <c r="D1576" s="32"/>
      <c r="E1576" s="34" t="str">
        <f aca="false">IF($B1576="","",IF($B1576="OUT","Liters",IFERROR(INDEX(Setup!$F$3:$F$24,MATCH($C1576,Setup!$A$3:$A$24,0)),"")))</f>
        <v/>
      </c>
      <c r="F1576" s="28" t="str">
        <f aca="false">IF(OR($D1576="",$E1576=""),"",IFERROR($D1576*INDEX(Setup!$B$27:$B$44,MATCH($E1576,Setup!$A$27:$A$44,0)),"TBD"))</f>
        <v/>
      </c>
      <c r="G1576" s="32"/>
      <c r="H1576" s="32"/>
      <c r="I1576" s="32"/>
      <c r="J1576" s="32"/>
      <c r="K1576" s="35"/>
      <c r="L1576" s="32"/>
      <c r="M1576" s="32"/>
    </row>
    <row r="1577" customFormat="false" ht="15" hidden="false" customHeight="true" outlineLevel="0" collapsed="false">
      <c r="A1577" s="32"/>
      <c r="B1577" s="32"/>
      <c r="C1577" s="32"/>
      <c r="D1577" s="32"/>
      <c r="E1577" s="34" t="str">
        <f aca="false">IF($B1577="","",IF($B1577="OUT","Liters",IFERROR(INDEX(Setup!$F$3:$F$24,MATCH($C1577,Setup!$A$3:$A$24,0)),"")))</f>
        <v/>
      </c>
      <c r="F1577" s="28" t="str">
        <f aca="false">IF(OR($D1577="",$E1577=""),"",IFERROR($D1577*INDEX(Setup!$B$27:$B$44,MATCH($E1577,Setup!$A$27:$A$44,0)),"TBD"))</f>
        <v/>
      </c>
      <c r="G1577" s="32"/>
      <c r="H1577" s="32"/>
      <c r="I1577" s="32"/>
      <c r="J1577" s="32"/>
      <c r="K1577" s="35"/>
      <c r="L1577" s="32"/>
      <c r="M1577" s="32"/>
    </row>
    <row r="1578" customFormat="false" ht="15" hidden="false" customHeight="true" outlineLevel="0" collapsed="false">
      <c r="A1578" s="32"/>
      <c r="B1578" s="32"/>
      <c r="C1578" s="32"/>
      <c r="D1578" s="32"/>
      <c r="E1578" s="34" t="str">
        <f aca="false">IF($B1578="","",IF($B1578="OUT","Liters",IFERROR(INDEX(Setup!$F$3:$F$24,MATCH($C1578,Setup!$A$3:$A$24,0)),"")))</f>
        <v/>
      </c>
      <c r="F1578" s="28" t="str">
        <f aca="false">IF(OR($D1578="",$E1578=""),"",IFERROR($D1578*INDEX(Setup!$B$27:$B$44,MATCH($E1578,Setup!$A$27:$A$44,0)),"TBD"))</f>
        <v/>
      </c>
      <c r="G1578" s="32"/>
      <c r="H1578" s="32"/>
      <c r="I1578" s="32"/>
      <c r="J1578" s="32"/>
      <c r="K1578" s="35"/>
      <c r="L1578" s="32"/>
      <c r="M1578" s="32"/>
    </row>
    <row r="1579" customFormat="false" ht="15" hidden="false" customHeight="true" outlineLevel="0" collapsed="false">
      <c r="A1579" s="32"/>
      <c r="B1579" s="32"/>
      <c r="C1579" s="32"/>
      <c r="D1579" s="32"/>
      <c r="E1579" s="34" t="str">
        <f aca="false">IF($B1579="","",IF($B1579="OUT","Liters",IFERROR(INDEX(Setup!$F$3:$F$24,MATCH($C1579,Setup!$A$3:$A$24,0)),"")))</f>
        <v/>
      </c>
      <c r="F1579" s="28" t="str">
        <f aca="false">IF(OR($D1579="",$E1579=""),"",IFERROR($D1579*INDEX(Setup!$B$27:$B$44,MATCH($E1579,Setup!$A$27:$A$44,0)),"TBD"))</f>
        <v/>
      </c>
      <c r="G1579" s="32"/>
      <c r="H1579" s="32"/>
      <c r="I1579" s="32"/>
      <c r="J1579" s="32"/>
      <c r="K1579" s="35"/>
      <c r="L1579" s="32"/>
      <c r="M1579" s="32"/>
    </row>
    <row r="1580" customFormat="false" ht="15" hidden="false" customHeight="true" outlineLevel="0" collapsed="false">
      <c r="A1580" s="32"/>
      <c r="B1580" s="32"/>
      <c r="C1580" s="32"/>
      <c r="D1580" s="32"/>
      <c r="E1580" s="34" t="str">
        <f aca="false">IF($B1580="","",IF($B1580="OUT","Liters",IFERROR(INDEX(Setup!$F$3:$F$24,MATCH($C1580,Setup!$A$3:$A$24,0)),"")))</f>
        <v/>
      </c>
      <c r="F1580" s="28" t="str">
        <f aca="false">IF(OR($D1580="",$E1580=""),"",IFERROR($D1580*INDEX(Setup!$B$27:$B$44,MATCH($E1580,Setup!$A$27:$A$44,0)),"TBD"))</f>
        <v/>
      </c>
      <c r="G1580" s="32"/>
      <c r="H1580" s="32"/>
      <c r="I1580" s="32"/>
      <c r="J1580" s="32"/>
      <c r="K1580" s="35"/>
      <c r="L1580" s="32"/>
      <c r="M1580" s="32"/>
    </row>
    <row r="1581" customFormat="false" ht="15" hidden="false" customHeight="true" outlineLevel="0" collapsed="false">
      <c r="A1581" s="32"/>
      <c r="B1581" s="32"/>
      <c r="C1581" s="32"/>
      <c r="D1581" s="32"/>
      <c r="E1581" s="34" t="str">
        <f aca="false">IF($B1581="","",IF($B1581="OUT","Liters",IFERROR(INDEX(Setup!$F$3:$F$24,MATCH($C1581,Setup!$A$3:$A$24,0)),"")))</f>
        <v/>
      </c>
      <c r="F1581" s="28" t="str">
        <f aca="false">IF(OR($D1581="",$E1581=""),"",IFERROR($D1581*INDEX(Setup!$B$27:$B$44,MATCH($E1581,Setup!$A$27:$A$44,0)),"TBD"))</f>
        <v/>
      </c>
      <c r="G1581" s="32"/>
      <c r="H1581" s="32"/>
      <c r="I1581" s="32"/>
      <c r="J1581" s="32"/>
      <c r="K1581" s="35"/>
      <c r="L1581" s="32"/>
      <c r="M1581" s="32"/>
    </row>
    <row r="1582" customFormat="false" ht="15" hidden="false" customHeight="true" outlineLevel="0" collapsed="false">
      <c r="A1582" s="32"/>
      <c r="B1582" s="32"/>
      <c r="C1582" s="32"/>
      <c r="D1582" s="32"/>
      <c r="E1582" s="34" t="str">
        <f aca="false">IF($B1582="","",IF($B1582="OUT","Liters",IFERROR(INDEX(Setup!$F$3:$F$24,MATCH($C1582,Setup!$A$3:$A$24,0)),"")))</f>
        <v/>
      </c>
      <c r="F1582" s="28" t="str">
        <f aca="false">IF(OR($D1582="",$E1582=""),"",IFERROR($D1582*INDEX(Setup!$B$27:$B$44,MATCH($E1582,Setup!$A$27:$A$44,0)),"TBD"))</f>
        <v/>
      </c>
      <c r="G1582" s="32"/>
      <c r="H1582" s="32"/>
      <c r="I1582" s="32"/>
      <c r="J1582" s="32"/>
      <c r="K1582" s="35"/>
      <c r="L1582" s="32"/>
      <c r="M1582" s="32"/>
    </row>
    <row r="1583" customFormat="false" ht="15" hidden="false" customHeight="true" outlineLevel="0" collapsed="false">
      <c r="A1583" s="32"/>
      <c r="B1583" s="32"/>
      <c r="C1583" s="32"/>
      <c r="D1583" s="32"/>
      <c r="E1583" s="34" t="str">
        <f aca="false">IF($B1583="","",IF($B1583="OUT","Liters",IFERROR(INDEX(Setup!$F$3:$F$24,MATCH($C1583,Setup!$A$3:$A$24,0)),"")))</f>
        <v/>
      </c>
      <c r="F1583" s="28" t="str">
        <f aca="false">IF(OR($D1583="",$E1583=""),"",IFERROR($D1583*INDEX(Setup!$B$27:$B$44,MATCH($E1583,Setup!$A$27:$A$44,0)),"TBD"))</f>
        <v/>
      </c>
      <c r="G1583" s="32"/>
      <c r="H1583" s="32"/>
      <c r="I1583" s="32"/>
      <c r="J1583" s="32"/>
      <c r="K1583" s="35"/>
      <c r="L1583" s="32"/>
      <c r="M1583" s="32"/>
    </row>
    <row r="1584" customFormat="false" ht="15" hidden="false" customHeight="true" outlineLevel="0" collapsed="false">
      <c r="A1584" s="32"/>
      <c r="B1584" s="32"/>
      <c r="C1584" s="32"/>
      <c r="D1584" s="32"/>
      <c r="E1584" s="34" t="str">
        <f aca="false">IF($B1584="","",IF($B1584="OUT","Liters",IFERROR(INDEX(Setup!$F$3:$F$24,MATCH($C1584,Setup!$A$3:$A$24,0)),"")))</f>
        <v/>
      </c>
      <c r="F1584" s="28" t="str">
        <f aca="false">IF(OR($D1584="",$E1584=""),"",IFERROR($D1584*INDEX(Setup!$B$27:$B$44,MATCH($E1584,Setup!$A$27:$A$44,0)),"TBD"))</f>
        <v/>
      </c>
      <c r="G1584" s="32"/>
      <c r="H1584" s="32"/>
      <c r="I1584" s="32"/>
      <c r="J1584" s="32"/>
      <c r="K1584" s="35"/>
      <c r="L1584" s="32"/>
      <c r="M1584" s="32"/>
    </row>
    <row r="1585" customFormat="false" ht="15" hidden="false" customHeight="true" outlineLevel="0" collapsed="false">
      <c r="A1585" s="32"/>
      <c r="B1585" s="32"/>
      <c r="C1585" s="32"/>
      <c r="D1585" s="32"/>
      <c r="E1585" s="34" t="str">
        <f aca="false">IF($B1585="","",IF($B1585="OUT","Liters",IFERROR(INDEX(Setup!$F$3:$F$24,MATCH($C1585,Setup!$A$3:$A$24,0)),"")))</f>
        <v/>
      </c>
      <c r="F1585" s="28" t="str">
        <f aca="false">IF(OR($D1585="",$E1585=""),"",IFERROR($D1585*INDEX(Setup!$B$27:$B$44,MATCH($E1585,Setup!$A$27:$A$44,0)),"TBD"))</f>
        <v/>
      </c>
      <c r="G1585" s="32"/>
      <c r="H1585" s="32"/>
      <c r="I1585" s="32"/>
      <c r="J1585" s="32"/>
      <c r="K1585" s="35"/>
      <c r="L1585" s="32"/>
      <c r="M1585" s="32"/>
    </row>
    <row r="1586" customFormat="false" ht="15" hidden="false" customHeight="true" outlineLevel="0" collapsed="false">
      <c r="A1586" s="32"/>
      <c r="B1586" s="32"/>
      <c r="C1586" s="32"/>
      <c r="D1586" s="32"/>
      <c r="E1586" s="34" t="str">
        <f aca="false">IF($B1586="","",IF($B1586="OUT","Liters",IFERROR(INDEX(Setup!$F$3:$F$24,MATCH($C1586,Setup!$A$3:$A$24,0)),"")))</f>
        <v/>
      </c>
      <c r="F1586" s="28" t="str">
        <f aca="false">IF(OR($D1586="",$E1586=""),"",IFERROR($D1586*INDEX(Setup!$B$27:$B$44,MATCH($E1586,Setup!$A$27:$A$44,0)),"TBD"))</f>
        <v/>
      </c>
      <c r="G1586" s="32"/>
      <c r="H1586" s="32"/>
      <c r="I1586" s="32"/>
      <c r="J1586" s="32"/>
      <c r="K1586" s="35"/>
      <c r="L1586" s="32"/>
      <c r="M1586" s="32"/>
    </row>
    <row r="1587" customFormat="false" ht="15" hidden="false" customHeight="true" outlineLevel="0" collapsed="false">
      <c r="A1587" s="32"/>
      <c r="B1587" s="32"/>
      <c r="C1587" s="32"/>
      <c r="D1587" s="32"/>
      <c r="E1587" s="34" t="str">
        <f aca="false">IF($B1587="","",IF($B1587="OUT","Liters",IFERROR(INDEX(Setup!$F$3:$F$24,MATCH($C1587,Setup!$A$3:$A$24,0)),"")))</f>
        <v/>
      </c>
      <c r="F1587" s="28" t="str">
        <f aca="false">IF(OR($D1587="",$E1587=""),"",IFERROR($D1587*INDEX(Setup!$B$27:$B$44,MATCH($E1587,Setup!$A$27:$A$44,0)),"TBD"))</f>
        <v/>
      </c>
      <c r="G1587" s="32"/>
      <c r="H1587" s="32"/>
      <c r="I1587" s="32"/>
      <c r="J1587" s="32"/>
      <c r="K1587" s="35"/>
      <c r="L1587" s="32"/>
      <c r="M1587" s="32"/>
    </row>
    <row r="1588" customFormat="false" ht="15" hidden="false" customHeight="true" outlineLevel="0" collapsed="false">
      <c r="A1588" s="32"/>
      <c r="B1588" s="32"/>
      <c r="C1588" s="32"/>
      <c r="D1588" s="32"/>
      <c r="E1588" s="34" t="str">
        <f aca="false">IF($B1588="","",IF($B1588="OUT","Liters",IFERROR(INDEX(Setup!$F$3:$F$24,MATCH($C1588,Setup!$A$3:$A$24,0)),"")))</f>
        <v/>
      </c>
      <c r="F1588" s="28" t="str">
        <f aca="false">IF(OR($D1588="",$E1588=""),"",IFERROR($D1588*INDEX(Setup!$B$27:$B$44,MATCH($E1588,Setup!$A$27:$A$44,0)),"TBD"))</f>
        <v/>
      </c>
      <c r="G1588" s="32"/>
      <c r="H1588" s="32"/>
      <c r="I1588" s="32"/>
      <c r="J1588" s="32"/>
      <c r="K1588" s="35"/>
      <c r="L1588" s="32"/>
      <c r="M1588" s="32"/>
    </row>
    <row r="1589" customFormat="false" ht="15" hidden="false" customHeight="true" outlineLevel="0" collapsed="false">
      <c r="A1589" s="32"/>
      <c r="B1589" s="32"/>
      <c r="C1589" s="32"/>
      <c r="D1589" s="32"/>
      <c r="E1589" s="34" t="str">
        <f aca="false">IF($B1589="","",IF($B1589="OUT","Liters",IFERROR(INDEX(Setup!$F$3:$F$24,MATCH($C1589,Setup!$A$3:$A$24,0)),"")))</f>
        <v/>
      </c>
      <c r="F1589" s="28" t="str">
        <f aca="false">IF(OR($D1589="",$E1589=""),"",IFERROR($D1589*INDEX(Setup!$B$27:$B$44,MATCH($E1589,Setup!$A$27:$A$44,0)),"TBD"))</f>
        <v/>
      </c>
      <c r="G1589" s="32"/>
      <c r="H1589" s="32"/>
      <c r="I1589" s="32"/>
      <c r="J1589" s="32"/>
      <c r="K1589" s="35"/>
      <c r="L1589" s="32"/>
      <c r="M1589" s="32"/>
    </row>
    <row r="1590" customFormat="false" ht="15" hidden="false" customHeight="true" outlineLevel="0" collapsed="false">
      <c r="A1590" s="32"/>
      <c r="B1590" s="32"/>
      <c r="C1590" s="32"/>
      <c r="D1590" s="32"/>
      <c r="E1590" s="34" t="str">
        <f aca="false">IF($B1590="","",IF($B1590="OUT","Liters",IFERROR(INDEX(Setup!$F$3:$F$24,MATCH($C1590,Setup!$A$3:$A$24,0)),"")))</f>
        <v/>
      </c>
      <c r="F1590" s="28" t="str">
        <f aca="false">IF(OR($D1590="",$E1590=""),"",IFERROR($D1590*INDEX(Setup!$B$27:$B$44,MATCH($E1590,Setup!$A$27:$A$44,0)),"TBD"))</f>
        <v/>
      </c>
      <c r="G1590" s="32"/>
      <c r="H1590" s="32"/>
      <c r="I1590" s="32"/>
      <c r="J1590" s="32"/>
      <c r="K1590" s="35"/>
      <c r="L1590" s="32"/>
      <c r="M1590" s="32"/>
    </row>
    <row r="1591" customFormat="false" ht="15" hidden="false" customHeight="true" outlineLevel="0" collapsed="false">
      <c r="A1591" s="32"/>
      <c r="B1591" s="32"/>
      <c r="C1591" s="32"/>
      <c r="D1591" s="32"/>
      <c r="E1591" s="34" t="str">
        <f aca="false">IF($B1591="","",IF($B1591="OUT","Liters",IFERROR(INDEX(Setup!$F$3:$F$24,MATCH($C1591,Setup!$A$3:$A$24,0)),"")))</f>
        <v/>
      </c>
      <c r="F1591" s="28" t="str">
        <f aca="false">IF(OR($D1591="",$E1591=""),"",IFERROR($D1591*INDEX(Setup!$B$27:$B$44,MATCH($E1591,Setup!$A$27:$A$44,0)),"TBD"))</f>
        <v/>
      </c>
      <c r="G1591" s="32"/>
      <c r="H1591" s="32"/>
      <c r="I1591" s="32"/>
      <c r="J1591" s="32"/>
      <c r="K1591" s="35"/>
      <c r="L1591" s="32"/>
      <c r="M1591" s="32"/>
    </row>
    <row r="1592" customFormat="false" ht="15" hidden="false" customHeight="true" outlineLevel="0" collapsed="false">
      <c r="A1592" s="32"/>
      <c r="B1592" s="32"/>
      <c r="C1592" s="32"/>
      <c r="D1592" s="32"/>
      <c r="E1592" s="34" t="str">
        <f aca="false">IF($B1592="","",IF($B1592="OUT","Liters",IFERROR(INDEX(Setup!$F$3:$F$24,MATCH($C1592,Setup!$A$3:$A$24,0)),"")))</f>
        <v/>
      </c>
      <c r="F1592" s="28" t="str">
        <f aca="false">IF(OR($D1592="",$E1592=""),"",IFERROR($D1592*INDEX(Setup!$B$27:$B$44,MATCH($E1592,Setup!$A$27:$A$44,0)),"TBD"))</f>
        <v/>
      </c>
      <c r="G1592" s="32"/>
      <c r="H1592" s="32"/>
      <c r="I1592" s="32"/>
      <c r="J1592" s="32"/>
      <c r="K1592" s="35"/>
      <c r="L1592" s="32"/>
      <c r="M1592" s="32"/>
    </row>
    <row r="1593" customFormat="false" ht="15" hidden="false" customHeight="true" outlineLevel="0" collapsed="false">
      <c r="A1593" s="32"/>
      <c r="B1593" s="32"/>
      <c r="C1593" s="32"/>
      <c r="D1593" s="32"/>
      <c r="E1593" s="34" t="str">
        <f aca="false">IF($B1593="","",IF($B1593="OUT","Liters",IFERROR(INDEX(Setup!$F$3:$F$24,MATCH($C1593,Setup!$A$3:$A$24,0)),"")))</f>
        <v/>
      </c>
      <c r="F1593" s="28" t="str">
        <f aca="false">IF(OR($D1593="",$E1593=""),"",IFERROR($D1593*INDEX(Setup!$B$27:$B$44,MATCH($E1593,Setup!$A$27:$A$44,0)),"TBD"))</f>
        <v/>
      </c>
      <c r="G1593" s="32"/>
      <c r="H1593" s="32"/>
      <c r="I1593" s="32"/>
      <c r="J1593" s="32"/>
      <c r="K1593" s="35"/>
      <c r="L1593" s="32"/>
      <c r="M1593" s="32"/>
    </row>
    <row r="1594" customFormat="false" ht="15" hidden="false" customHeight="true" outlineLevel="0" collapsed="false">
      <c r="A1594" s="32"/>
      <c r="B1594" s="32"/>
      <c r="C1594" s="32"/>
      <c r="D1594" s="32"/>
      <c r="E1594" s="34" t="str">
        <f aca="false">IF($B1594="","",IF($B1594="OUT","Liters",IFERROR(INDEX(Setup!$F$3:$F$24,MATCH($C1594,Setup!$A$3:$A$24,0)),"")))</f>
        <v/>
      </c>
      <c r="F1594" s="28" t="str">
        <f aca="false">IF(OR($D1594="",$E1594=""),"",IFERROR($D1594*INDEX(Setup!$B$27:$B$44,MATCH($E1594,Setup!$A$27:$A$44,0)),"TBD"))</f>
        <v/>
      </c>
      <c r="G1594" s="32"/>
      <c r="H1594" s="32"/>
      <c r="I1594" s="32"/>
      <c r="J1594" s="32"/>
      <c r="K1594" s="35"/>
      <c r="L1594" s="32"/>
      <c r="M1594" s="32"/>
    </row>
    <row r="1595" customFormat="false" ht="15" hidden="false" customHeight="true" outlineLevel="0" collapsed="false">
      <c r="A1595" s="32"/>
      <c r="B1595" s="32"/>
      <c r="C1595" s="32"/>
      <c r="D1595" s="32"/>
      <c r="E1595" s="34" t="str">
        <f aca="false">IF($B1595="","",IF($B1595="OUT","Liters",IFERROR(INDEX(Setup!$F$3:$F$24,MATCH($C1595,Setup!$A$3:$A$24,0)),"")))</f>
        <v/>
      </c>
      <c r="F1595" s="28" t="str">
        <f aca="false">IF(OR($D1595="",$E1595=""),"",IFERROR($D1595*INDEX(Setup!$B$27:$B$44,MATCH($E1595,Setup!$A$27:$A$44,0)),"TBD"))</f>
        <v/>
      </c>
      <c r="G1595" s="32"/>
      <c r="H1595" s="32"/>
      <c r="I1595" s="32"/>
      <c r="J1595" s="32"/>
      <c r="K1595" s="35"/>
      <c r="L1595" s="32"/>
      <c r="M1595" s="32"/>
    </row>
    <row r="1596" customFormat="false" ht="15" hidden="false" customHeight="true" outlineLevel="0" collapsed="false">
      <c r="A1596" s="32"/>
      <c r="B1596" s="32"/>
      <c r="C1596" s="32"/>
      <c r="D1596" s="32"/>
      <c r="E1596" s="34" t="str">
        <f aca="false">IF($B1596="","",IF($B1596="OUT","Liters",IFERROR(INDEX(Setup!$F$3:$F$24,MATCH($C1596,Setup!$A$3:$A$24,0)),"")))</f>
        <v/>
      </c>
      <c r="F1596" s="28" t="str">
        <f aca="false">IF(OR($D1596="",$E1596=""),"",IFERROR($D1596*INDEX(Setup!$B$27:$B$44,MATCH($E1596,Setup!$A$27:$A$44,0)),"TBD"))</f>
        <v/>
      </c>
      <c r="G1596" s="32"/>
      <c r="H1596" s="32"/>
      <c r="I1596" s="32"/>
      <c r="J1596" s="32"/>
      <c r="K1596" s="35"/>
      <c r="L1596" s="32"/>
      <c r="M1596" s="32"/>
    </row>
    <row r="1597" customFormat="false" ht="15" hidden="false" customHeight="true" outlineLevel="0" collapsed="false">
      <c r="A1597" s="32"/>
      <c r="B1597" s="32"/>
      <c r="C1597" s="32"/>
      <c r="D1597" s="32"/>
      <c r="E1597" s="34" t="str">
        <f aca="false">IF($B1597="","",IF($B1597="OUT","Liters",IFERROR(INDEX(Setup!$F$3:$F$24,MATCH($C1597,Setup!$A$3:$A$24,0)),"")))</f>
        <v/>
      </c>
      <c r="F1597" s="28" t="str">
        <f aca="false">IF(OR($D1597="",$E1597=""),"",IFERROR($D1597*INDEX(Setup!$B$27:$B$44,MATCH($E1597,Setup!$A$27:$A$44,0)),"TBD"))</f>
        <v/>
      </c>
      <c r="G1597" s="32"/>
      <c r="H1597" s="32"/>
      <c r="I1597" s="32"/>
      <c r="J1597" s="32"/>
      <c r="K1597" s="35"/>
      <c r="L1597" s="32"/>
      <c r="M1597" s="32"/>
    </row>
    <row r="1598" customFormat="false" ht="15" hidden="false" customHeight="true" outlineLevel="0" collapsed="false">
      <c r="A1598" s="32"/>
      <c r="B1598" s="32"/>
      <c r="C1598" s="32"/>
      <c r="D1598" s="32"/>
      <c r="E1598" s="34" t="str">
        <f aca="false">IF($B1598="","",IF($B1598="OUT","Liters",IFERROR(INDEX(Setup!$F$3:$F$24,MATCH($C1598,Setup!$A$3:$A$24,0)),"")))</f>
        <v/>
      </c>
      <c r="F1598" s="28" t="str">
        <f aca="false">IF(OR($D1598="",$E1598=""),"",IFERROR($D1598*INDEX(Setup!$B$27:$B$44,MATCH($E1598,Setup!$A$27:$A$44,0)),"TBD"))</f>
        <v/>
      </c>
      <c r="G1598" s="32"/>
      <c r="H1598" s="32"/>
      <c r="I1598" s="32"/>
      <c r="J1598" s="32"/>
      <c r="K1598" s="35"/>
      <c r="L1598" s="32"/>
      <c r="M1598" s="32"/>
    </row>
    <row r="1599" customFormat="false" ht="15" hidden="false" customHeight="true" outlineLevel="0" collapsed="false">
      <c r="A1599" s="32"/>
      <c r="B1599" s="32"/>
      <c r="C1599" s="32"/>
      <c r="D1599" s="32"/>
      <c r="E1599" s="34" t="str">
        <f aca="false">IF($B1599="","",IF($B1599="OUT","Liters",IFERROR(INDEX(Setup!$F$3:$F$24,MATCH($C1599,Setup!$A$3:$A$24,0)),"")))</f>
        <v/>
      </c>
      <c r="F1599" s="28" t="str">
        <f aca="false">IF(OR($D1599="",$E1599=""),"",IFERROR($D1599*INDEX(Setup!$B$27:$B$44,MATCH($E1599,Setup!$A$27:$A$44,0)),"TBD"))</f>
        <v/>
      </c>
      <c r="G1599" s="32"/>
      <c r="H1599" s="32"/>
      <c r="I1599" s="32"/>
      <c r="J1599" s="32"/>
      <c r="K1599" s="35"/>
      <c r="L1599" s="32"/>
      <c r="M1599" s="32"/>
    </row>
    <row r="1600" customFormat="false" ht="15" hidden="false" customHeight="true" outlineLevel="0" collapsed="false">
      <c r="A1600" s="32"/>
      <c r="B1600" s="32"/>
      <c r="C1600" s="32"/>
      <c r="D1600" s="32"/>
      <c r="E1600" s="34" t="str">
        <f aca="false">IF($B1600="","",IF($B1600="OUT","Liters",IFERROR(INDEX(Setup!$F$3:$F$24,MATCH($C1600,Setup!$A$3:$A$24,0)),"")))</f>
        <v/>
      </c>
      <c r="F1600" s="28" t="str">
        <f aca="false">IF(OR($D1600="",$E1600=""),"",IFERROR($D1600*INDEX(Setup!$B$27:$B$44,MATCH($E1600,Setup!$A$27:$A$44,0)),"TBD"))</f>
        <v/>
      </c>
      <c r="G1600" s="32"/>
      <c r="H1600" s="32"/>
      <c r="I1600" s="32"/>
      <c r="J1600" s="32"/>
      <c r="K1600" s="35"/>
      <c r="L1600" s="32"/>
      <c r="M1600" s="32"/>
    </row>
    <row r="1601" customFormat="false" ht="15" hidden="false" customHeight="true" outlineLevel="0" collapsed="false">
      <c r="A1601" s="32"/>
      <c r="B1601" s="32"/>
      <c r="C1601" s="32"/>
      <c r="D1601" s="32"/>
      <c r="E1601" s="34" t="str">
        <f aca="false">IF($B1601="","",IF($B1601="OUT","Liters",IFERROR(INDEX(Setup!$F$3:$F$24,MATCH($C1601,Setup!$A$3:$A$24,0)),"")))</f>
        <v/>
      </c>
      <c r="F1601" s="28" t="str">
        <f aca="false">IF(OR($D1601="",$E1601=""),"",IFERROR($D1601*INDEX(Setup!$B$27:$B$44,MATCH($E1601,Setup!$A$27:$A$44,0)),"TBD"))</f>
        <v/>
      </c>
      <c r="G1601" s="32"/>
      <c r="H1601" s="32"/>
      <c r="I1601" s="32"/>
      <c r="J1601" s="32"/>
      <c r="K1601" s="35"/>
      <c r="L1601" s="32"/>
      <c r="M1601" s="32"/>
    </row>
    <row r="1602" customFormat="false" ht="15" hidden="false" customHeight="true" outlineLevel="0" collapsed="false">
      <c r="A1602" s="32"/>
      <c r="B1602" s="32"/>
      <c r="C1602" s="32"/>
      <c r="D1602" s="32"/>
      <c r="E1602" s="34" t="str">
        <f aca="false">IF($B1602="","",IF($B1602="OUT","Liters",IFERROR(INDEX(Setup!$F$3:$F$24,MATCH($C1602,Setup!$A$3:$A$24,0)),"")))</f>
        <v/>
      </c>
      <c r="F1602" s="28" t="str">
        <f aca="false">IF(OR($D1602="",$E1602=""),"",IFERROR($D1602*INDEX(Setup!$B$27:$B$44,MATCH($E1602,Setup!$A$27:$A$44,0)),"TBD"))</f>
        <v/>
      </c>
      <c r="G1602" s="32"/>
      <c r="H1602" s="32"/>
      <c r="I1602" s="32"/>
      <c r="J1602" s="32"/>
      <c r="K1602" s="35"/>
      <c r="L1602" s="32"/>
      <c r="M1602" s="32"/>
    </row>
    <row r="1603" customFormat="false" ht="15" hidden="false" customHeight="true" outlineLevel="0" collapsed="false">
      <c r="A1603" s="32"/>
      <c r="B1603" s="32"/>
      <c r="C1603" s="32"/>
      <c r="D1603" s="32"/>
      <c r="E1603" s="34" t="str">
        <f aca="false">IF($B1603="","",IF($B1603="OUT","Liters",IFERROR(INDEX(Setup!$F$3:$F$24,MATCH($C1603,Setup!$A$3:$A$24,0)),"")))</f>
        <v/>
      </c>
      <c r="F1603" s="28" t="str">
        <f aca="false">IF(OR($D1603="",$E1603=""),"",IFERROR($D1603*INDEX(Setup!$B$27:$B$44,MATCH($E1603,Setup!$A$27:$A$44,0)),"TBD"))</f>
        <v/>
      </c>
      <c r="G1603" s="32"/>
      <c r="H1603" s="32"/>
      <c r="I1603" s="32"/>
      <c r="J1603" s="32"/>
      <c r="K1603" s="35"/>
      <c r="L1603" s="32"/>
      <c r="M1603" s="32"/>
    </row>
    <row r="1604" customFormat="false" ht="15" hidden="false" customHeight="true" outlineLevel="0" collapsed="false">
      <c r="A1604" s="32"/>
      <c r="B1604" s="32"/>
      <c r="C1604" s="32"/>
      <c r="D1604" s="32"/>
      <c r="E1604" s="34" t="str">
        <f aca="false">IF($B1604="","",IF($B1604="OUT","Liters",IFERROR(INDEX(Setup!$F$3:$F$24,MATCH($C1604,Setup!$A$3:$A$24,0)),"")))</f>
        <v/>
      </c>
      <c r="F1604" s="28" t="str">
        <f aca="false">IF(OR($D1604="",$E1604=""),"",IFERROR($D1604*INDEX(Setup!$B$27:$B$44,MATCH($E1604,Setup!$A$27:$A$44,0)),"TBD"))</f>
        <v/>
      </c>
      <c r="G1604" s="32"/>
      <c r="H1604" s="32"/>
      <c r="I1604" s="32"/>
      <c r="J1604" s="32"/>
      <c r="K1604" s="35"/>
      <c r="L1604" s="32"/>
      <c r="M1604" s="32"/>
    </row>
    <row r="1605" customFormat="false" ht="15" hidden="false" customHeight="true" outlineLevel="0" collapsed="false">
      <c r="A1605" s="32"/>
      <c r="B1605" s="32"/>
      <c r="C1605" s="32"/>
      <c r="D1605" s="32"/>
      <c r="E1605" s="34" t="str">
        <f aca="false">IF($B1605="","",IF($B1605="OUT","Liters",IFERROR(INDEX(Setup!$F$3:$F$24,MATCH($C1605,Setup!$A$3:$A$24,0)),"")))</f>
        <v/>
      </c>
      <c r="F1605" s="28" t="str">
        <f aca="false">IF(OR($D1605="",$E1605=""),"",IFERROR($D1605*INDEX(Setup!$B$27:$B$44,MATCH($E1605,Setup!$A$27:$A$44,0)),"TBD"))</f>
        <v/>
      </c>
      <c r="G1605" s="32"/>
      <c r="H1605" s="32"/>
      <c r="I1605" s="32"/>
      <c r="J1605" s="32"/>
      <c r="K1605" s="35"/>
      <c r="L1605" s="32"/>
      <c r="M1605" s="32"/>
    </row>
    <row r="1606" customFormat="false" ht="15" hidden="false" customHeight="true" outlineLevel="0" collapsed="false">
      <c r="A1606" s="32"/>
      <c r="B1606" s="32"/>
      <c r="C1606" s="32"/>
      <c r="D1606" s="32"/>
      <c r="E1606" s="34" t="str">
        <f aca="false">IF($B1606="","",IF($B1606="OUT","Liters",IFERROR(INDEX(Setup!$F$3:$F$24,MATCH($C1606,Setup!$A$3:$A$24,0)),"")))</f>
        <v/>
      </c>
      <c r="F1606" s="28" t="str">
        <f aca="false">IF(OR($D1606="",$E1606=""),"",IFERROR($D1606*INDEX(Setup!$B$27:$B$44,MATCH($E1606,Setup!$A$27:$A$44,0)),"TBD"))</f>
        <v/>
      </c>
      <c r="G1606" s="32"/>
      <c r="H1606" s="32"/>
      <c r="I1606" s="32"/>
      <c r="J1606" s="32"/>
      <c r="K1606" s="35"/>
      <c r="L1606" s="32"/>
      <c r="M1606" s="32"/>
    </row>
    <row r="1607" customFormat="false" ht="15" hidden="false" customHeight="true" outlineLevel="0" collapsed="false">
      <c r="A1607" s="32"/>
      <c r="B1607" s="32"/>
      <c r="C1607" s="32"/>
      <c r="D1607" s="32"/>
      <c r="E1607" s="34" t="str">
        <f aca="false">IF($B1607="","",IF($B1607="OUT","Liters",IFERROR(INDEX(Setup!$F$3:$F$24,MATCH($C1607,Setup!$A$3:$A$24,0)),"")))</f>
        <v/>
      </c>
      <c r="F1607" s="28" t="str">
        <f aca="false">IF(OR($D1607="",$E1607=""),"",IFERROR($D1607*INDEX(Setup!$B$27:$B$44,MATCH($E1607,Setup!$A$27:$A$44,0)),"TBD"))</f>
        <v/>
      </c>
      <c r="G1607" s="32"/>
      <c r="H1607" s="32"/>
      <c r="I1607" s="32"/>
      <c r="J1607" s="32"/>
      <c r="K1607" s="35"/>
      <c r="L1607" s="32"/>
      <c r="M1607" s="32"/>
    </row>
    <row r="1608" customFormat="false" ht="15" hidden="false" customHeight="true" outlineLevel="0" collapsed="false">
      <c r="A1608" s="32"/>
      <c r="B1608" s="32"/>
      <c r="C1608" s="32"/>
      <c r="D1608" s="32"/>
      <c r="E1608" s="34" t="str">
        <f aca="false">IF($B1608="","",IF($B1608="OUT","Liters",IFERROR(INDEX(Setup!$F$3:$F$24,MATCH($C1608,Setup!$A$3:$A$24,0)),"")))</f>
        <v/>
      </c>
      <c r="F1608" s="28" t="str">
        <f aca="false">IF(OR($D1608="",$E1608=""),"",IFERROR($D1608*INDEX(Setup!$B$27:$B$44,MATCH($E1608,Setup!$A$27:$A$44,0)),"TBD"))</f>
        <v/>
      </c>
      <c r="G1608" s="32"/>
      <c r="H1608" s="32"/>
      <c r="I1608" s="32"/>
      <c r="J1608" s="32"/>
      <c r="K1608" s="35"/>
      <c r="L1608" s="32"/>
      <c r="M1608" s="32"/>
    </row>
    <row r="1609" customFormat="false" ht="15" hidden="false" customHeight="true" outlineLevel="0" collapsed="false">
      <c r="A1609" s="32"/>
      <c r="B1609" s="32"/>
      <c r="C1609" s="32"/>
      <c r="D1609" s="32"/>
      <c r="E1609" s="34" t="str">
        <f aca="false">IF($B1609="","",IF($B1609="OUT","Liters",IFERROR(INDEX(Setup!$F$3:$F$24,MATCH($C1609,Setup!$A$3:$A$24,0)),"")))</f>
        <v/>
      </c>
      <c r="F1609" s="28" t="str">
        <f aca="false">IF(OR($D1609="",$E1609=""),"",IFERROR($D1609*INDEX(Setup!$B$27:$B$44,MATCH($E1609,Setup!$A$27:$A$44,0)),"TBD"))</f>
        <v/>
      </c>
      <c r="G1609" s="32"/>
      <c r="H1609" s="32"/>
      <c r="I1609" s="32"/>
      <c r="J1609" s="32"/>
      <c r="K1609" s="35"/>
      <c r="L1609" s="32"/>
      <c r="M1609" s="32"/>
    </row>
    <row r="1610" customFormat="false" ht="15" hidden="false" customHeight="true" outlineLevel="0" collapsed="false">
      <c r="A1610" s="32"/>
      <c r="B1610" s="32"/>
      <c r="C1610" s="32"/>
      <c r="D1610" s="32"/>
      <c r="E1610" s="34" t="str">
        <f aca="false">IF($B1610="","",IF($B1610="OUT","Liters",IFERROR(INDEX(Setup!$F$3:$F$24,MATCH($C1610,Setup!$A$3:$A$24,0)),"")))</f>
        <v/>
      </c>
      <c r="F1610" s="28" t="str">
        <f aca="false">IF(OR($D1610="",$E1610=""),"",IFERROR($D1610*INDEX(Setup!$B$27:$B$44,MATCH($E1610,Setup!$A$27:$A$44,0)),"TBD"))</f>
        <v/>
      </c>
      <c r="G1610" s="32"/>
      <c r="H1610" s="32"/>
      <c r="I1610" s="32"/>
      <c r="J1610" s="32"/>
      <c r="K1610" s="35"/>
      <c r="L1610" s="32"/>
      <c r="M1610" s="32"/>
    </row>
    <row r="1611" customFormat="false" ht="15" hidden="false" customHeight="true" outlineLevel="0" collapsed="false">
      <c r="A1611" s="32"/>
      <c r="B1611" s="32"/>
      <c r="C1611" s="32"/>
      <c r="D1611" s="32"/>
      <c r="E1611" s="34" t="str">
        <f aca="false">IF($B1611="","",IF($B1611="OUT","Liters",IFERROR(INDEX(Setup!$F$3:$F$24,MATCH($C1611,Setup!$A$3:$A$24,0)),"")))</f>
        <v/>
      </c>
      <c r="F1611" s="28" t="str">
        <f aca="false">IF(OR($D1611="",$E1611=""),"",IFERROR($D1611*INDEX(Setup!$B$27:$B$44,MATCH($E1611,Setup!$A$27:$A$44,0)),"TBD"))</f>
        <v/>
      </c>
      <c r="G1611" s="32"/>
      <c r="H1611" s="32"/>
      <c r="I1611" s="32"/>
      <c r="J1611" s="32"/>
      <c r="K1611" s="35"/>
      <c r="L1611" s="32"/>
      <c r="M1611" s="32"/>
    </row>
    <row r="1612" customFormat="false" ht="15" hidden="false" customHeight="true" outlineLevel="0" collapsed="false">
      <c r="A1612" s="32"/>
      <c r="B1612" s="32"/>
      <c r="C1612" s="32"/>
      <c r="D1612" s="32"/>
      <c r="E1612" s="34" t="str">
        <f aca="false">IF($B1612="","",IF($B1612="OUT","Liters",IFERROR(INDEX(Setup!$F$3:$F$24,MATCH($C1612,Setup!$A$3:$A$24,0)),"")))</f>
        <v/>
      </c>
      <c r="F1612" s="28" t="str">
        <f aca="false">IF(OR($D1612="",$E1612=""),"",IFERROR($D1612*INDEX(Setup!$B$27:$B$44,MATCH($E1612,Setup!$A$27:$A$44,0)),"TBD"))</f>
        <v/>
      </c>
      <c r="G1612" s="32"/>
      <c r="H1612" s="32"/>
      <c r="I1612" s="32"/>
      <c r="J1612" s="32"/>
      <c r="K1612" s="35"/>
      <c r="L1612" s="32"/>
      <c r="M1612" s="32"/>
    </row>
    <row r="1613" customFormat="false" ht="15" hidden="false" customHeight="true" outlineLevel="0" collapsed="false">
      <c r="A1613" s="32"/>
      <c r="B1613" s="32"/>
      <c r="C1613" s="32"/>
      <c r="D1613" s="32"/>
      <c r="E1613" s="34" t="str">
        <f aca="false">IF($B1613="","",IF($B1613="OUT","Liters",IFERROR(INDEX(Setup!$F$3:$F$24,MATCH($C1613,Setup!$A$3:$A$24,0)),"")))</f>
        <v/>
      </c>
      <c r="F1613" s="28" t="str">
        <f aca="false">IF(OR($D1613="",$E1613=""),"",IFERROR($D1613*INDEX(Setup!$B$27:$B$44,MATCH($E1613,Setup!$A$27:$A$44,0)),"TBD"))</f>
        <v/>
      </c>
      <c r="G1613" s="32"/>
      <c r="H1613" s="32"/>
      <c r="I1613" s="32"/>
      <c r="J1613" s="32"/>
      <c r="K1613" s="35"/>
      <c r="L1613" s="32"/>
      <c r="M1613" s="32"/>
    </row>
    <row r="1614" customFormat="false" ht="15" hidden="false" customHeight="true" outlineLevel="0" collapsed="false">
      <c r="A1614" s="32"/>
      <c r="B1614" s="32"/>
      <c r="C1614" s="32"/>
      <c r="D1614" s="32"/>
      <c r="E1614" s="34" t="str">
        <f aca="false">IF($B1614="","",IF($B1614="OUT","Liters",IFERROR(INDEX(Setup!$F$3:$F$24,MATCH($C1614,Setup!$A$3:$A$24,0)),"")))</f>
        <v/>
      </c>
      <c r="F1614" s="28" t="str">
        <f aca="false">IF(OR($D1614="",$E1614=""),"",IFERROR($D1614*INDEX(Setup!$B$27:$B$44,MATCH($E1614,Setup!$A$27:$A$44,0)),"TBD"))</f>
        <v/>
      </c>
      <c r="G1614" s="32"/>
      <c r="H1614" s="32"/>
      <c r="I1614" s="32"/>
      <c r="J1614" s="32"/>
      <c r="K1614" s="35"/>
      <c r="L1614" s="32"/>
      <c r="M1614" s="32"/>
    </row>
    <row r="1615" customFormat="false" ht="15" hidden="false" customHeight="true" outlineLevel="0" collapsed="false">
      <c r="A1615" s="32"/>
      <c r="B1615" s="32"/>
      <c r="C1615" s="32"/>
      <c r="D1615" s="32"/>
      <c r="E1615" s="34" t="str">
        <f aca="false">IF($B1615="","",IF($B1615="OUT","Liters",IFERROR(INDEX(Setup!$F$3:$F$24,MATCH($C1615,Setup!$A$3:$A$24,0)),"")))</f>
        <v/>
      </c>
      <c r="F1615" s="28" t="str">
        <f aca="false">IF(OR($D1615="",$E1615=""),"",IFERROR($D1615*INDEX(Setup!$B$27:$B$44,MATCH($E1615,Setup!$A$27:$A$44,0)),"TBD"))</f>
        <v/>
      </c>
      <c r="G1615" s="32"/>
      <c r="H1615" s="32"/>
      <c r="I1615" s="32"/>
      <c r="J1615" s="32"/>
      <c r="K1615" s="35"/>
      <c r="L1615" s="32"/>
      <c r="M1615" s="32"/>
    </row>
    <row r="1616" customFormat="false" ht="15" hidden="false" customHeight="true" outlineLevel="0" collapsed="false">
      <c r="A1616" s="32"/>
      <c r="B1616" s="32"/>
      <c r="C1616" s="32"/>
      <c r="D1616" s="32"/>
      <c r="E1616" s="34" t="str">
        <f aca="false">IF($B1616="","",IF($B1616="OUT","Liters",IFERROR(INDEX(Setup!$F$3:$F$24,MATCH($C1616,Setup!$A$3:$A$24,0)),"")))</f>
        <v/>
      </c>
      <c r="F1616" s="28" t="str">
        <f aca="false">IF(OR($D1616="",$E1616=""),"",IFERROR($D1616*INDEX(Setup!$B$27:$B$44,MATCH($E1616,Setup!$A$27:$A$44,0)),"TBD"))</f>
        <v/>
      </c>
      <c r="G1616" s="32"/>
      <c r="H1616" s="32"/>
      <c r="I1616" s="32"/>
      <c r="J1616" s="32"/>
      <c r="K1616" s="35"/>
      <c r="L1616" s="32"/>
      <c r="M1616" s="32"/>
    </row>
    <row r="1617" customFormat="false" ht="15" hidden="false" customHeight="true" outlineLevel="0" collapsed="false">
      <c r="A1617" s="32"/>
      <c r="B1617" s="32"/>
      <c r="C1617" s="32"/>
      <c r="D1617" s="32"/>
      <c r="E1617" s="34" t="str">
        <f aca="false">IF($B1617="","",IF($B1617="OUT","Liters",IFERROR(INDEX(Setup!$F$3:$F$24,MATCH($C1617,Setup!$A$3:$A$24,0)),"")))</f>
        <v/>
      </c>
      <c r="F1617" s="28" t="str">
        <f aca="false">IF(OR($D1617="",$E1617=""),"",IFERROR($D1617*INDEX(Setup!$B$27:$B$44,MATCH($E1617,Setup!$A$27:$A$44,0)),"TBD"))</f>
        <v/>
      </c>
      <c r="G1617" s="32"/>
      <c r="H1617" s="32"/>
      <c r="I1617" s="32"/>
      <c r="J1617" s="32"/>
      <c r="K1617" s="35"/>
      <c r="L1617" s="32"/>
      <c r="M1617" s="32"/>
    </row>
    <row r="1618" customFormat="false" ht="15" hidden="false" customHeight="true" outlineLevel="0" collapsed="false">
      <c r="A1618" s="32"/>
      <c r="B1618" s="32"/>
      <c r="C1618" s="32"/>
      <c r="D1618" s="32"/>
      <c r="E1618" s="34" t="str">
        <f aca="false">IF($B1618="","",IF($B1618="OUT","Liters",IFERROR(INDEX(Setup!$F$3:$F$24,MATCH($C1618,Setup!$A$3:$A$24,0)),"")))</f>
        <v/>
      </c>
      <c r="F1618" s="28" t="str">
        <f aca="false">IF(OR($D1618="",$E1618=""),"",IFERROR($D1618*INDEX(Setup!$B$27:$B$44,MATCH($E1618,Setup!$A$27:$A$44,0)),"TBD"))</f>
        <v/>
      </c>
      <c r="G1618" s="32"/>
      <c r="H1618" s="32"/>
      <c r="I1618" s="32"/>
      <c r="J1618" s="32"/>
      <c r="K1618" s="35"/>
      <c r="L1618" s="32"/>
      <c r="M1618" s="32"/>
    </row>
    <row r="1619" customFormat="false" ht="15" hidden="false" customHeight="true" outlineLevel="0" collapsed="false">
      <c r="A1619" s="32"/>
      <c r="B1619" s="32"/>
      <c r="C1619" s="32"/>
      <c r="D1619" s="32"/>
      <c r="E1619" s="34" t="str">
        <f aca="false">IF($B1619="","",IF($B1619="OUT","Liters",IFERROR(INDEX(Setup!$F$3:$F$24,MATCH($C1619,Setup!$A$3:$A$24,0)),"")))</f>
        <v/>
      </c>
      <c r="F1619" s="28" t="str">
        <f aca="false">IF(OR($D1619="",$E1619=""),"",IFERROR($D1619*INDEX(Setup!$B$27:$B$44,MATCH($E1619,Setup!$A$27:$A$44,0)),"TBD"))</f>
        <v/>
      </c>
      <c r="G1619" s="32"/>
      <c r="H1619" s="32"/>
      <c r="I1619" s="32"/>
      <c r="J1619" s="32"/>
      <c r="K1619" s="35"/>
      <c r="L1619" s="32"/>
      <c r="M1619" s="32"/>
    </row>
    <row r="1620" customFormat="false" ht="15" hidden="false" customHeight="true" outlineLevel="0" collapsed="false">
      <c r="A1620" s="32"/>
      <c r="B1620" s="32"/>
      <c r="C1620" s="32"/>
      <c r="D1620" s="32"/>
      <c r="E1620" s="34" t="str">
        <f aca="false">IF($B1620="","",IF($B1620="OUT","Liters",IFERROR(INDEX(Setup!$F$3:$F$24,MATCH($C1620,Setup!$A$3:$A$24,0)),"")))</f>
        <v/>
      </c>
      <c r="F1620" s="28" t="str">
        <f aca="false">IF(OR($D1620="",$E1620=""),"",IFERROR($D1620*INDEX(Setup!$B$27:$B$44,MATCH($E1620,Setup!$A$27:$A$44,0)),"TBD"))</f>
        <v/>
      </c>
      <c r="G1620" s="32"/>
      <c r="H1620" s="32"/>
      <c r="I1620" s="32"/>
      <c r="J1620" s="32"/>
      <c r="K1620" s="35"/>
      <c r="L1620" s="32"/>
      <c r="M1620" s="32"/>
    </row>
    <row r="1621" customFormat="false" ht="15" hidden="false" customHeight="true" outlineLevel="0" collapsed="false">
      <c r="A1621" s="32"/>
      <c r="B1621" s="32"/>
      <c r="C1621" s="32"/>
      <c r="D1621" s="32"/>
      <c r="E1621" s="34" t="str">
        <f aca="false">IF($B1621="","",IF($B1621="OUT","Liters",IFERROR(INDEX(Setup!$F$3:$F$24,MATCH($C1621,Setup!$A$3:$A$24,0)),"")))</f>
        <v/>
      </c>
      <c r="F1621" s="28" t="str">
        <f aca="false">IF(OR($D1621="",$E1621=""),"",IFERROR($D1621*INDEX(Setup!$B$27:$B$44,MATCH($E1621,Setup!$A$27:$A$44,0)),"TBD"))</f>
        <v/>
      </c>
      <c r="G1621" s="32"/>
      <c r="H1621" s="32"/>
      <c r="I1621" s="32"/>
      <c r="J1621" s="32"/>
      <c r="K1621" s="35"/>
      <c r="L1621" s="32"/>
      <c r="M1621" s="32"/>
    </row>
    <row r="1622" customFormat="false" ht="15" hidden="false" customHeight="true" outlineLevel="0" collapsed="false">
      <c r="A1622" s="32"/>
      <c r="B1622" s="32"/>
      <c r="C1622" s="32"/>
      <c r="D1622" s="32"/>
      <c r="E1622" s="34" t="str">
        <f aca="false">IF($B1622="","",IF($B1622="OUT","Liters",IFERROR(INDEX(Setup!$F$3:$F$24,MATCH($C1622,Setup!$A$3:$A$24,0)),"")))</f>
        <v/>
      </c>
      <c r="F1622" s="28" t="str">
        <f aca="false">IF(OR($D1622="",$E1622=""),"",IFERROR($D1622*INDEX(Setup!$B$27:$B$44,MATCH($E1622,Setup!$A$27:$A$44,0)),"TBD"))</f>
        <v/>
      </c>
      <c r="G1622" s="32"/>
      <c r="H1622" s="32"/>
      <c r="I1622" s="32"/>
      <c r="J1622" s="32"/>
      <c r="K1622" s="35"/>
      <c r="L1622" s="32"/>
      <c r="M1622" s="32"/>
    </row>
    <row r="1623" customFormat="false" ht="15" hidden="false" customHeight="true" outlineLevel="0" collapsed="false">
      <c r="A1623" s="32"/>
      <c r="B1623" s="32"/>
      <c r="C1623" s="32"/>
      <c r="D1623" s="32"/>
      <c r="E1623" s="34" t="str">
        <f aca="false">IF($B1623="","",IF($B1623="OUT","Liters",IFERROR(INDEX(Setup!$F$3:$F$24,MATCH($C1623,Setup!$A$3:$A$24,0)),"")))</f>
        <v/>
      </c>
      <c r="F1623" s="28" t="str">
        <f aca="false">IF(OR($D1623="",$E1623=""),"",IFERROR($D1623*INDEX(Setup!$B$27:$B$44,MATCH($E1623,Setup!$A$27:$A$44,0)),"TBD"))</f>
        <v/>
      </c>
      <c r="G1623" s="32"/>
      <c r="H1623" s="32"/>
      <c r="I1623" s="32"/>
      <c r="J1623" s="32"/>
      <c r="K1623" s="35"/>
      <c r="L1623" s="32"/>
      <c r="M1623" s="32"/>
    </row>
    <row r="1624" customFormat="false" ht="15" hidden="false" customHeight="true" outlineLevel="0" collapsed="false">
      <c r="A1624" s="32"/>
      <c r="B1624" s="32"/>
      <c r="C1624" s="32"/>
      <c r="D1624" s="32"/>
      <c r="E1624" s="34" t="str">
        <f aca="false">IF($B1624="","",IF($B1624="OUT","Liters",IFERROR(INDEX(Setup!$F$3:$F$24,MATCH($C1624,Setup!$A$3:$A$24,0)),"")))</f>
        <v/>
      </c>
      <c r="F1624" s="28" t="str">
        <f aca="false">IF(OR($D1624="",$E1624=""),"",IFERROR($D1624*INDEX(Setup!$B$27:$B$44,MATCH($E1624,Setup!$A$27:$A$44,0)),"TBD"))</f>
        <v/>
      </c>
      <c r="G1624" s="32"/>
      <c r="H1624" s="32"/>
      <c r="I1624" s="32"/>
      <c r="J1624" s="32"/>
      <c r="K1624" s="35"/>
      <c r="L1624" s="32"/>
      <c r="M1624" s="32"/>
    </row>
    <row r="1625" customFormat="false" ht="15" hidden="false" customHeight="true" outlineLevel="0" collapsed="false">
      <c r="A1625" s="32"/>
      <c r="B1625" s="32"/>
      <c r="C1625" s="32"/>
      <c r="D1625" s="32"/>
      <c r="E1625" s="34" t="str">
        <f aca="false">IF($B1625="","",IF($B1625="OUT","Liters",IFERROR(INDEX(Setup!$F$3:$F$24,MATCH($C1625,Setup!$A$3:$A$24,0)),"")))</f>
        <v/>
      </c>
      <c r="F1625" s="28" t="str">
        <f aca="false">IF(OR($D1625="",$E1625=""),"",IFERROR($D1625*INDEX(Setup!$B$27:$B$44,MATCH($E1625,Setup!$A$27:$A$44,0)),"TBD"))</f>
        <v/>
      </c>
      <c r="G1625" s="32"/>
      <c r="H1625" s="32"/>
      <c r="I1625" s="32"/>
      <c r="J1625" s="32"/>
      <c r="K1625" s="35"/>
      <c r="L1625" s="32"/>
      <c r="M1625" s="32"/>
    </row>
    <row r="1626" customFormat="false" ht="15" hidden="false" customHeight="true" outlineLevel="0" collapsed="false">
      <c r="A1626" s="32"/>
      <c r="B1626" s="32"/>
      <c r="C1626" s="32"/>
      <c r="D1626" s="32"/>
      <c r="E1626" s="34" t="str">
        <f aca="false">IF($B1626="","",IF($B1626="OUT","Liters",IFERROR(INDEX(Setup!$F$3:$F$24,MATCH($C1626,Setup!$A$3:$A$24,0)),"")))</f>
        <v/>
      </c>
      <c r="F1626" s="28" t="str">
        <f aca="false">IF(OR($D1626="",$E1626=""),"",IFERROR($D1626*INDEX(Setup!$B$27:$B$44,MATCH($E1626,Setup!$A$27:$A$44,0)),"TBD"))</f>
        <v/>
      </c>
      <c r="G1626" s="32"/>
      <c r="H1626" s="32"/>
      <c r="I1626" s="32"/>
      <c r="J1626" s="32"/>
      <c r="K1626" s="35"/>
      <c r="L1626" s="32"/>
      <c r="M1626" s="32"/>
    </row>
    <row r="1627" customFormat="false" ht="15" hidden="false" customHeight="true" outlineLevel="0" collapsed="false">
      <c r="A1627" s="32"/>
      <c r="B1627" s="32"/>
      <c r="C1627" s="32"/>
      <c r="D1627" s="32"/>
      <c r="E1627" s="34" t="str">
        <f aca="false">IF($B1627="","",IF($B1627="OUT","Liters",IFERROR(INDEX(Setup!$F$3:$F$24,MATCH($C1627,Setup!$A$3:$A$24,0)),"")))</f>
        <v/>
      </c>
      <c r="F1627" s="28" t="str">
        <f aca="false">IF(OR($D1627="",$E1627=""),"",IFERROR($D1627*INDEX(Setup!$B$27:$B$44,MATCH($E1627,Setup!$A$27:$A$44,0)),"TBD"))</f>
        <v/>
      </c>
      <c r="G1627" s="32"/>
      <c r="H1627" s="32"/>
      <c r="I1627" s="32"/>
      <c r="J1627" s="32"/>
      <c r="K1627" s="35"/>
      <c r="L1627" s="32"/>
      <c r="M1627" s="32"/>
    </row>
    <row r="1628" customFormat="false" ht="15" hidden="false" customHeight="true" outlineLevel="0" collapsed="false">
      <c r="A1628" s="32"/>
      <c r="B1628" s="32"/>
      <c r="C1628" s="32"/>
      <c r="D1628" s="32"/>
      <c r="E1628" s="34" t="str">
        <f aca="false">IF($B1628="","",IF($B1628="OUT","Liters",IFERROR(INDEX(Setup!$F$3:$F$24,MATCH($C1628,Setup!$A$3:$A$24,0)),"")))</f>
        <v/>
      </c>
      <c r="F1628" s="28" t="str">
        <f aca="false">IF(OR($D1628="",$E1628=""),"",IFERROR($D1628*INDEX(Setup!$B$27:$B$44,MATCH($E1628,Setup!$A$27:$A$44,0)),"TBD"))</f>
        <v/>
      </c>
      <c r="G1628" s="32"/>
      <c r="H1628" s="32"/>
      <c r="I1628" s="32"/>
      <c r="J1628" s="32"/>
      <c r="K1628" s="35"/>
      <c r="L1628" s="32"/>
      <c r="M1628" s="32"/>
    </row>
    <row r="1629" customFormat="false" ht="15" hidden="false" customHeight="true" outlineLevel="0" collapsed="false">
      <c r="A1629" s="32"/>
      <c r="B1629" s="32"/>
      <c r="C1629" s="32"/>
      <c r="D1629" s="32"/>
      <c r="E1629" s="34" t="str">
        <f aca="false">IF($B1629="","",IF($B1629="OUT","Liters",IFERROR(INDEX(Setup!$F$3:$F$24,MATCH($C1629,Setup!$A$3:$A$24,0)),"")))</f>
        <v/>
      </c>
      <c r="F1629" s="28" t="str">
        <f aca="false">IF(OR($D1629="",$E1629=""),"",IFERROR($D1629*INDEX(Setup!$B$27:$B$44,MATCH($E1629,Setup!$A$27:$A$44,0)),"TBD"))</f>
        <v/>
      </c>
      <c r="G1629" s="32"/>
      <c r="H1629" s="32"/>
      <c r="I1629" s="32"/>
      <c r="J1629" s="32"/>
      <c r="K1629" s="35"/>
      <c r="L1629" s="32"/>
      <c r="M1629" s="32"/>
    </row>
    <row r="1630" customFormat="false" ht="15" hidden="false" customHeight="true" outlineLevel="0" collapsed="false">
      <c r="A1630" s="32"/>
      <c r="B1630" s="32"/>
      <c r="C1630" s="32"/>
      <c r="D1630" s="32"/>
      <c r="E1630" s="34" t="str">
        <f aca="false">IF($B1630="","",IF($B1630="OUT","Liters",IFERROR(INDEX(Setup!$F$3:$F$24,MATCH($C1630,Setup!$A$3:$A$24,0)),"")))</f>
        <v/>
      </c>
      <c r="F1630" s="28" t="str">
        <f aca="false">IF(OR($D1630="",$E1630=""),"",IFERROR($D1630*INDEX(Setup!$B$27:$B$44,MATCH($E1630,Setup!$A$27:$A$44,0)),"TBD"))</f>
        <v/>
      </c>
      <c r="G1630" s="32"/>
      <c r="H1630" s="32"/>
      <c r="I1630" s="32"/>
      <c r="J1630" s="32"/>
      <c r="K1630" s="35"/>
      <c r="L1630" s="32"/>
      <c r="M1630" s="32"/>
    </row>
    <row r="1631" customFormat="false" ht="15" hidden="false" customHeight="true" outlineLevel="0" collapsed="false">
      <c r="A1631" s="32"/>
      <c r="B1631" s="32"/>
      <c r="C1631" s="32"/>
      <c r="D1631" s="32"/>
      <c r="E1631" s="34" t="str">
        <f aca="false">IF($B1631="","",IF($B1631="OUT","Liters",IFERROR(INDEX(Setup!$F$3:$F$24,MATCH($C1631,Setup!$A$3:$A$24,0)),"")))</f>
        <v/>
      </c>
      <c r="F1631" s="28" t="str">
        <f aca="false">IF(OR($D1631="",$E1631=""),"",IFERROR($D1631*INDEX(Setup!$B$27:$B$44,MATCH($E1631,Setup!$A$27:$A$44,0)),"TBD"))</f>
        <v/>
      </c>
      <c r="G1631" s="32"/>
      <c r="H1631" s="32"/>
      <c r="I1631" s="32"/>
      <c r="J1631" s="32"/>
      <c r="K1631" s="35"/>
      <c r="L1631" s="32"/>
      <c r="M1631" s="32"/>
    </row>
    <row r="1632" customFormat="false" ht="15" hidden="false" customHeight="true" outlineLevel="0" collapsed="false">
      <c r="A1632" s="32"/>
      <c r="B1632" s="32"/>
      <c r="C1632" s="32"/>
      <c r="D1632" s="32"/>
      <c r="E1632" s="34" t="str">
        <f aca="false">IF($B1632="","",IF($B1632="OUT","Liters",IFERROR(INDEX(Setup!$F$3:$F$24,MATCH($C1632,Setup!$A$3:$A$24,0)),"")))</f>
        <v/>
      </c>
      <c r="F1632" s="28" t="str">
        <f aca="false">IF(OR($D1632="",$E1632=""),"",IFERROR($D1632*INDEX(Setup!$B$27:$B$44,MATCH($E1632,Setup!$A$27:$A$44,0)),"TBD"))</f>
        <v/>
      </c>
      <c r="G1632" s="32"/>
      <c r="H1632" s="32"/>
      <c r="I1632" s="32"/>
      <c r="J1632" s="32"/>
      <c r="K1632" s="35"/>
      <c r="L1632" s="32"/>
      <c r="M1632" s="32"/>
    </row>
    <row r="1633" customFormat="false" ht="15" hidden="false" customHeight="true" outlineLevel="0" collapsed="false">
      <c r="A1633" s="32"/>
      <c r="B1633" s="32"/>
      <c r="C1633" s="32"/>
      <c r="D1633" s="32"/>
      <c r="E1633" s="34" t="str">
        <f aca="false">IF($B1633="","",IF($B1633="OUT","Liters",IFERROR(INDEX(Setup!$F$3:$F$24,MATCH($C1633,Setup!$A$3:$A$24,0)),"")))</f>
        <v/>
      </c>
      <c r="F1633" s="28" t="str">
        <f aca="false">IF(OR($D1633="",$E1633=""),"",IFERROR($D1633*INDEX(Setup!$B$27:$B$44,MATCH($E1633,Setup!$A$27:$A$44,0)),"TBD"))</f>
        <v/>
      </c>
      <c r="G1633" s="32"/>
      <c r="H1633" s="32"/>
      <c r="I1633" s="32"/>
      <c r="J1633" s="32"/>
      <c r="K1633" s="35"/>
      <c r="L1633" s="32"/>
      <c r="M1633" s="32"/>
    </row>
    <row r="1634" customFormat="false" ht="15" hidden="false" customHeight="true" outlineLevel="0" collapsed="false">
      <c r="A1634" s="32"/>
      <c r="B1634" s="32"/>
      <c r="C1634" s="32"/>
      <c r="D1634" s="32"/>
      <c r="E1634" s="34" t="str">
        <f aca="false">IF($B1634="","",IF($B1634="OUT","Liters",IFERROR(INDEX(Setup!$F$3:$F$24,MATCH($C1634,Setup!$A$3:$A$24,0)),"")))</f>
        <v/>
      </c>
      <c r="F1634" s="28" t="str">
        <f aca="false">IF(OR($D1634="",$E1634=""),"",IFERROR($D1634*INDEX(Setup!$B$27:$B$44,MATCH($E1634,Setup!$A$27:$A$44,0)),"TBD"))</f>
        <v/>
      </c>
      <c r="G1634" s="32"/>
      <c r="H1634" s="32"/>
      <c r="I1634" s="32"/>
      <c r="J1634" s="32"/>
      <c r="K1634" s="35"/>
      <c r="L1634" s="32"/>
      <c r="M1634" s="32"/>
    </row>
    <row r="1635" customFormat="false" ht="15" hidden="false" customHeight="true" outlineLevel="0" collapsed="false">
      <c r="A1635" s="32"/>
      <c r="B1635" s="32"/>
      <c r="C1635" s="32"/>
      <c r="D1635" s="32"/>
      <c r="E1635" s="34" t="str">
        <f aca="false">IF($B1635="","",IF($B1635="OUT","Liters",IFERROR(INDEX(Setup!$F$3:$F$24,MATCH($C1635,Setup!$A$3:$A$24,0)),"")))</f>
        <v/>
      </c>
      <c r="F1635" s="28" t="str">
        <f aca="false">IF(OR($D1635="",$E1635=""),"",IFERROR($D1635*INDEX(Setup!$B$27:$B$44,MATCH($E1635,Setup!$A$27:$A$44,0)),"TBD"))</f>
        <v/>
      </c>
      <c r="G1635" s="32"/>
      <c r="H1635" s="32"/>
      <c r="I1635" s="32"/>
      <c r="J1635" s="32"/>
      <c r="K1635" s="35"/>
      <c r="L1635" s="32"/>
      <c r="M1635" s="32"/>
    </row>
    <row r="1636" customFormat="false" ht="15" hidden="false" customHeight="true" outlineLevel="0" collapsed="false">
      <c r="A1636" s="32"/>
      <c r="B1636" s="32"/>
      <c r="C1636" s="32"/>
      <c r="D1636" s="32"/>
      <c r="E1636" s="34" t="str">
        <f aca="false">IF($B1636="","",IF($B1636="OUT","Liters",IFERROR(INDEX(Setup!$F$3:$F$24,MATCH($C1636,Setup!$A$3:$A$24,0)),"")))</f>
        <v/>
      </c>
      <c r="F1636" s="28" t="str">
        <f aca="false">IF(OR($D1636="",$E1636=""),"",IFERROR($D1636*INDEX(Setup!$B$27:$B$44,MATCH($E1636,Setup!$A$27:$A$44,0)),"TBD"))</f>
        <v/>
      </c>
      <c r="G1636" s="32"/>
      <c r="H1636" s="32"/>
      <c r="I1636" s="32"/>
      <c r="J1636" s="32"/>
      <c r="K1636" s="35"/>
      <c r="L1636" s="32"/>
      <c r="M1636" s="32"/>
    </row>
    <row r="1637" customFormat="false" ht="15" hidden="false" customHeight="true" outlineLevel="0" collapsed="false">
      <c r="A1637" s="32"/>
      <c r="B1637" s="32"/>
      <c r="C1637" s="32"/>
      <c r="D1637" s="32"/>
      <c r="E1637" s="34" t="str">
        <f aca="false">IF($B1637="","",IF($B1637="OUT","Liters",IFERROR(INDEX(Setup!$F$3:$F$24,MATCH($C1637,Setup!$A$3:$A$24,0)),"")))</f>
        <v/>
      </c>
      <c r="F1637" s="28" t="str">
        <f aca="false">IF(OR($D1637="",$E1637=""),"",IFERROR($D1637*INDEX(Setup!$B$27:$B$44,MATCH($E1637,Setup!$A$27:$A$44,0)),"TBD"))</f>
        <v/>
      </c>
      <c r="G1637" s="32"/>
      <c r="H1637" s="32"/>
      <c r="I1637" s="32"/>
      <c r="J1637" s="32"/>
      <c r="K1637" s="35"/>
      <c r="L1637" s="32"/>
      <c r="M1637" s="32"/>
    </row>
    <row r="1638" customFormat="false" ht="15" hidden="false" customHeight="true" outlineLevel="0" collapsed="false">
      <c r="A1638" s="32"/>
      <c r="B1638" s="32"/>
      <c r="C1638" s="32"/>
      <c r="D1638" s="32"/>
      <c r="E1638" s="34" t="str">
        <f aca="false">IF($B1638="","",IF($B1638="OUT","Liters",IFERROR(INDEX(Setup!$F$3:$F$24,MATCH($C1638,Setup!$A$3:$A$24,0)),"")))</f>
        <v/>
      </c>
      <c r="F1638" s="28" t="str">
        <f aca="false">IF(OR($D1638="",$E1638=""),"",IFERROR($D1638*INDEX(Setup!$B$27:$B$44,MATCH($E1638,Setup!$A$27:$A$44,0)),"TBD"))</f>
        <v/>
      </c>
      <c r="G1638" s="32"/>
      <c r="H1638" s="32"/>
      <c r="I1638" s="32"/>
      <c r="J1638" s="32"/>
      <c r="K1638" s="35"/>
      <c r="L1638" s="32"/>
      <c r="M1638" s="32"/>
    </row>
    <row r="1639" customFormat="false" ht="15" hidden="false" customHeight="true" outlineLevel="0" collapsed="false">
      <c r="A1639" s="32"/>
      <c r="B1639" s="32"/>
      <c r="C1639" s="32"/>
      <c r="D1639" s="32"/>
      <c r="E1639" s="34" t="str">
        <f aca="false">IF($B1639="","",IF($B1639="OUT","Liters",IFERROR(INDEX(Setup!$F$3:$F$24,MATCH($C1639,Setup!$A$3:$A$24,0)),"")))</f>
        <v/>
      </c>
      <c r="F1639" s="28" t="str">
        <f aca="false">IF(OR($D1639="",$E1639=""),"",IFERROR($D1639*INDEX(Setup!$B$27:$B$44,MATCH($E1639,Setup!$A$27:$A$44,0)),"TBD"))</f>
        <v/>
      </c>
      <c r="G1639" s="32"/>
      <c r="H1639" s="32"/>
      <c r="I1639" s="32"/>
      <c r="J1639" s="32"/>
      <c r="K1639" s="35"/>
      <c r="L1639" s="32"/>
      <c r="M1639" s="32"/>
    </row>
    <row r="1640" customFormat="false" ht="15" hidden="false" customHeight="true" outlineLevel="0" collapsed="false">
      <c r="A1640" s="32"/>
      <c r="B1640" s="32"/>
      <c r="C1640" s="32"/>
      <c r="D1640" s="32"/>
      <c r="E1640" s="34" t="str">
        <f aca="false">IF($B1640="","",IF($B1640="OUT","Liters",IFERROR(INDEX(Setup!$F$3:$F$24,MATCH($C1640,Setup!$A$3:$A$24,0)),"")))</f>
        <v/>
      </c>
      <c r="F1640" s="28" t="str">
        <f aca="false">IF(OR($D1640="",$E1640=""),"",IFERROR($D1640*INDEX(Setup!$B$27:$B$44,MATCH($E1640,Setup!$A$27:$A$44,0)),"TBD"))</f>
        <v/>
      </c>
      <c r="G1640" s="32"/>
      <c r="H1640" s="32"/>
      <c r="I1640" s="32"/>
      <c r="J1640" s="32"/>
      <c r="K1640" s="35"/>
      <c r="L1640" s="32"/>
      <c r="M1640" s="32"/>
    </row>
    <row r="1641" customFormat="false" ht="15" hidden="false" customHeight="true" outlineLevel="0" collapsed="false">
      <c r="A1641" s="32"/>
      <c r="B1641" s="32"/>
      <c r="C1641" s="32"/>
      <c r="D1641" s="32"/>
      <c r="E1641" s="34" t="str">
        <f aca="false">IF($B1641="","",IF($B1641="OUT","Liters",IFERROR(INDEX(Setup!$F$3:$F$24,MATCH($C1641,Setup!$A$3:$A$24,0)),"")))</f>
        <v/>
      </c>
      <c r="F1641" s="28" t="str">
        <f aca="false">IF(OR($D1641="",$E1641=""),"",IFERROR($D1641*INDEX(Setup!$B$27:$B$44,MATCH($E1641,Setup!$A$27:$A$44,0)),"TBD"))</f>
        <v/>
      </c>
      <c r="G1641" s="32"/>
      <c r="H1641" s="32"/>
      <c r="I1641" s="32"/>
      <c r="J1641" s="32"/>
      <c r="K1641" s="35"/>
      <c r="L1641" s="32"/>
      <c r="M1641" s="32"/>
    </row>
    <row r="1642" customFormat="false" ht="15" hidden="false" customHeight="true" outlineLevel="0" collapsed="false">
      <c r="A1642" s="32"/>
      <c r="B1642" s="32"/>
      <c r="C1642" s="32"/>
      <c r="D1642" s="32"/>
      <c r="E1642" s="34" t="str">
        <f aca="false">IF($B1642="","",IF($B1642="OUT","Liters",IFERROR(INDEX(Setup!$F$3:$F$24,MATCH($C1642,Setup!$A$3:$A$24,0)),"")))</f>
        <v/>
      </c>
      <c r="F1642" s="28" t="str">
        <f aca="false">IF(OR($D1642="",$E1642=""),"",IFERROR($D1642*INDEX(Setup!$B$27:$B$44,MATCH($E1642,Setup!$A$27:$A$44,0)),"TBD"))</f>
        <v/>
      </c>
      <c r="G1642" s="32"/>
      <c r="H1642" s="32"/>
      <c r="I1642" s="32"/>
      <c r="J1642" s="32"/>
      <c r="K1642" s="35"/>
      <c r="L1642" s="32"/>
      <c r="M1642" s="32"/>
    </row>
    <row r="1643" customFormat="false" ht="15" hidden="false" customHeight="true" outlineLevel="0" collapsed="false">
      <c r="A1643" s="32"/>
      <c r="B1643" s="32"/>
      <c r="C1643" s="32"/>
      <c r="D1643" s="32"/>
      <c r="E1643" s="34" t="str">
        <f aca="false">IF($B1643="","",IF($B1643="OUT","Liters",IFERROR(INDEX(Setup!$F$3:$F$24,MATCH($C1643,Setup!$A$3:$A$24,0)),"")))</f>
        <v/>
      </c>
      <c r="F1643" s="28" t="str">
        <f aca="false">IF(OR($D1643="",$E1643=""),"",IFERROR($D1643*INDEX(Setup!$B$27:$B$44,MATCH($E1643,Setup!$A$27:$A$44,0)),"TBD"))</f>
        <v/>
      </c>
      <c r="G1643" s="32"/>
      <c r="H1643" s="32"/>
      <c r="I1643" s="32"/>
      <c r="J1643" s="32"/>
      <c r="K1643" s="35"/>
      <c r="L1643" s="32"/>
      <c r="M1643" s="32"/>
    </row>
    <row r="1644" customFormat="false" ht="15" hidden="false" customHeight="true" outlineLevel="0" collapsed="false">
      <c r="A1644" s="32"/>
      <c r="B1644" s="32"/>
      <c r="C1644" s="32"/>
      <c r="D1644" s="32"/>
      <c r="E1644" s="34" t="str">
        <f aca="false">IF($B1644="","",IF($B1644="OUT","Liters",IFERROR(INDEX(Setup!$F$3:$F$24,MATCH($C1644,Setup!$A$3:$A$24,0)),"")))</f>
        <v/>
      </c>
      <c r="F1644" s="28" t="str">
        <f aca="false">IF(OR($D1644="",$E1644=""),"",IFERROR($D1644*INDEX(Setup!$B$27:$B$44,MATCH($E1644,Setup!$A$27:$A$44,0)),"TBD"))</f>
        <v/>
      </c>
      <c r="G1644" s="32"/>
      <c r="H1644" s="32"/>
      <c r="I1644" s="32"/>
      <c r="J1644" s="32"/>
      <c r="K1644" s="35"/>
      <c r="L1644" s="32"/>
      <c r="M1644" s="32"/>
    </row>
    <row r="1645" customFormat="false" ht="15" hidden="false" customHeight="true" outlineLevel="0" collapsed="false">
      <c r="A1645" s="32"/>
      <c r="B1645" s="32"/>
      <c r="C1645" s="32"/>
      <c r="D1645" s="32"/>
      <c r="E1645" s="34" t="str">
        <f aca="false">IF($B1645="","",IF($B1645="OUT","Liters",IFERROR(INDEX(Setup!$F$3:$F$24,MATCH($C1645,Setup!$A$3:$A$24,0)),"")))</f>
        <v/>
      </c>
      <c r="F1645" s="28" t="str">
        <f aca="false">IF(OR($D1645="",$E1645=""),"",IFERROR($D1645*INDEX(Setup!$B$27:$B$44,MATCH($E1645,Setup!$A$27:$A$44,0)),"TBD"))</f>
        <v/>
      </c>
      <c r="G1645" s="32"/>
      <c r="H1645" s="32"/>
      <c r="I1645" s="32"/>
      <c r="J1645" s="32"/>
      <c r="K1645" s="35"/>
      <c r="L1645" s="32"/>
      <c r="M1645" s="32"/>
    </row>
    <row r="1646" customFormat="false" ht="15" hidden="false" customHeight="true" outlineLevel="0" collapsed="false">
      <c r="A1646" s="32"/>
      <c r="B1646" s="32"/>
      <c r="C1646" s="32"/>
      <c r="D1646" s="32"/>
      <c r="E1646" s="34" t="str">
        <f aca="false">IF($B1646="","",IF($B1646="OUT","Liters",IFERROR(INDEX(Setup!$F$3:$F$24,MATCH($C1646,Setup!$A$3:$A$24,0)),"")))</f>
        <v/>
      </c>
      <c r="F1646" s="28" t="str">
        <f aca="false">IF(OR($D1646="",$E1646=""),"",IFERROR($D1646*INDEX(Setup!$B$27:$B$44,MATCH($E1646,Setup!$A$27:$A$44,0)),"TBD"))</f>
        <v/>
      </c>
      <c r="G1646" s="32"/>
      <c r="H1646" s="32"/>
      <c r="I1646" s="32"/>
      <c r="J1646" s="32"/>
      <c r="K1646" s="35"/>
      <c r="L1646" s="32"/>
      <c r="M1646" s="32"/>
    </row>
    <row r="1647" customFormat="false" ht="15" hidden="false" customHeight="true" outlineLevel="0" collapsed="false">
      <c r="A1647" s="32"/>
      <c r="B1647" s="32"/>
      <c r="C1647" s="32"/>
      <c r="D1647" s="32"/>
      <c r="E1647" s="34" t="str">
        <f aca="false">IF($B1647="","",IF($B1647="OUT","Liters",IFERROR(INDEX(Setup!$F$3:$F$24,MATCH($C1647,Setup!$A$3:$A$24,0)),"")))</f>
        <v/>
      </c>
      <c r="F1647" s="28" t="str">
        <f aca="false">IF(OR($D1647="",$E1647=""),"",IFERROR($D1647*INDEX(Setup!$B$27:$B$44,MATCH($E1647,Setup!$A$27:$A$44,0)),"TBD"))</f>
        <v/>
      </c>
      <c r="G1647" s="32"/>
      <c r="H1647" s="32"/>
      <c r="I1647" s="32"/>
      <c r="J1647" s="32"/>
      <c r="K1647" s="35"/>
      <c r="L1647" s="32"/>
      <c r="M1647" s="32"/>
    </row>
    <row r="1648" customFormat="false" ht="15" hidden="false" customHeight="true" outlineLevel="0" collapsed="false">
      <c r="A1648" s="32"/>
      <c r="B1648" s="32"/>
      <c r="C1648" s="32"/>
      <c r="D1648" s="32"/>
      <c r="E1648" s="34" t="str">
        <f aca="false">IF($B1648="","",IF($B1648="OUT","Liters",IFERROR(INDEX(Setup!$F$3:$F$24,MATCH($C1648,Setup!$A$3:$A$24,0)),"")))</f>
        <v/>
      </c>
      <c r="F1648" s="28" t="str">
        <f aca="false">IF(OR($D1648="",$E1648=""),"",IFERROR($D1648*INDEX(Setup!$B$27:$B$44,MATCH($E1648,Setup!$A$27:$A$44,0)),"TBD"))</f>
        <v/>
      </c>
      <c r="G1648" s="32"/>
      <c r="H1648" s="32"/>
      <c r="I1648" s="32"/>
      <c r="J1648" s="32"/>
      <c r="K1648" s="35"/>
      <c r="L1648" s="32"/>
      <c r="M1648" s="32"/>
    </row>
    <row r="1649" customFormat="false" ht="15" hidden="false" customHeight="true" outlineLevel="0" collapsed="false">
      <c r="A1649" s="32"/>
      <c r="B1649" s="32"/>
      <c r="C1649" s="32"/>
      <c r="D1649" s="32"/>
      <c r="E1649" s="34" t="str">
        <f aca="false">IF($B1649="","",IF($B1649="OUT","Liters",IFERROR(INDEX(Setup!$F$3:$F$24,MATCH($C1649,Setup!$A$3:$A$24,0)),"")))</f>
        <v/>
      </c>
      <c r="F1649" s="28" t="str">
        <f aca="false">IF(OR($D1649="",$E1649=""),"",IFERROR($D1649*INDEX(Setup!$B$27:$B$44,MATCH($E1649,Setup!$A$27:$A$44,0)),"TBD"))</f>
        <v/>
      </c>
      <c r="G1649" s="32"/>
      <c r="H1649" s="32"/>
      <c r="I1649" s="32"/>
      <c r="J1649" s="32"/>
      <c r="K1649" s="35"/>
      <c r="L1649" s="32"/>
      <c r="M1649" s="32"/>
    </row>
    <row r="1650" customFormat="false" ht="15" hidden="false" customHeight="true" outlineLevel="0" collapsed="false">
      <c r="A1650" s="32"/>
      <c r="B1650" s="32"/>
      <c r="C1650" s="32"/>
      <c r="D1650" s="32"/>
      <c r="E1650" s="34" t="str">
        <f aca="false">IF($B1650="","",IF($B1650="OUT","Liters",IFERROR(INDEX(Setup!$F$3:$F$24,MATCH($C1650,Setup!$A$3:$A$24,0)),"")))</f>
        <v/>
      </c>
      <c r="F1650" s="28" t="str">
        <f aca="false">IF(OR($D1650="",$E1650=""),"",IFERROR($D1650*INDEX(Setup!$B$27:$B$44,MATCH($E1650,Setup!$A$27:$A$44,0)),"TBD"))</f>
        <v/>
      </c>
      <c r="G1650" s="32"/>
      <c r="H1650" s="32"/>
      <c r="I1650" s="32"/>
      <c r="J1650" s="32"/>
      <c r="K1650" s="35"/>
      <c r="L1650" s="32"/>
      <c r="M1650" s="32"/>
    </row>
    <row r="1651" customFormat="false" ht="15" hidden="false" customHeight="true" outlineLevel="0" collapsed="false">
      <c r="A1651" s="32"/>
      <c r="B1651" s="32"/>
      <c r="C1651" s="32"/>
      <c r="D1651" s="32"/>
      <c r="E1651" s="34" t="str">
        <f aca="false">IF($B1651="","",IF($B1651="OUT","Liters",IFERROR(INDEX(Setup!$F$3:$F$24,MATCH($C1651,Setup!$A$3:$A$24,0)),"")))</f>
        <v/>
      </c>
      <c r="F1651" s="28" t="str">
        <f aca="false">IF(OR($D1651="",$E1651=""),"",IFERROR($D1651*INDEX(Setup!$B$27:$B$44,MATCH($E1651,Setup!$A$27:$A$44,0)),"TBD"))</f>
        <v/>
      </c>
      <c r="G1651" s="32"/>
      <c r="H1651" s="32"/>
      <c r="I1651" s="32"/>
      <c r="J1651" s="32"/>
      <c r="K1651" s="35"/>
      <c r="L1651" s="32"/>
      <c r="M1651" s="32"/>
    </row>
    <row r="1652" customFormat="false" ht="15" hidden="false" customHeight="true" outlineLevel="0" collapsed="false">
      <c r="A1652" s="32"/>
      <c r="B1652" s="32"/>
      <c r="C1652" s="32"/>
      <c r="D1652" s="32"/>
      <c r="E1652" s="34" t="str">
        <f aca="false">IF($B1652="","",IF($B1652="OUT","Liters",IFERROR(INDEX(Setup!$F$3:$F$24,MATCH($C1652,Setup!$A$3:$A$24,0)),"")))</f>
        <v/>
      </c>
      <c r="F1652" s="28" t="str">
        <f aca="false">IF(OR($D1652="",$E1652=""),"",IFERROR($D1652*INDEX(Setup!$B$27:$B$44,MATCH($E1652,Setup!$A$27:$A$44,0)),"TBD"))</f>
        <v/>
      </c>
      <c r="G1652" s="32"/>
      <c r="H1652" s="32"/>
      <c r="I1652" s="32"/>
      <c r="J1652" s="32"/>
      <c r="K1652" s="35"/>
      <c r="L1652" s="32"/>
      <c r="M1652" s="32"/>
    </row>
    <row r="1653" customFormat="false" ht="15" hidden="false" customHeight="true" outlineLevel="0" collapsed="false">
      <c r="A1653" s="32"/>
      <c r="B1653" s="32"/>
      <c r="C1653" s="32"/>
      <c r="D1653" s="32"/>
      <c r="E1653" s="34" t="str">
        <f aca="false">IF($B1653="","",IF($B1653="OUT","Liters",IFERROR(INDEX(Setup!$F$3:$F$24,MATCH($C1653,Setup!$A$3:$A$24,0)),"")))</f>
        <v/>
      </c>
      <c r="F1653" s="28" t="str">
        <f aca="false">IF(OR($D1653="",$E1653=""),"",IFERROR($D1653*INDEX(Setup!$B$27:$B$44,MATCH($E1653,Setup!$A$27:$A$44,0)),"TBD"))</f>
        <v/>
      </c>
      <c r="G1653" s="32"/>
      <c r="H1653" s="32"/>
      <c r="I1653" s="32"/>
      <c r="J1653" s="32"/>
      <c r="K1653" s="35"/>
      <c r="L1653" s="32"/>
      <c r="M1653" s="32"/>
    </row>
    <row r="1654" customFormat="false" ht="15" hidden="false" customHeight="true" outlineLevel="0" collapsed="false">
      <c r="A1654" s="32"/>
      <c r="B1654" s="32"/>
      <c r="C1654" s="32"/>
      <c r="D1654" s="32"/>
      <c r="E1654" s="34" t="str">
        <f aca="false">IF($B1654="","",IF($B1654="OUT","Liters",IFERROR(INDEX(Setup!$F$3:$F$24,MATCH($C1654,Setup!$A$3:$A$24,0)),"")))</f>
        <v/>
      </c>
      <c r="F1654" s="28" t="str">
        <f aca="false">IF(OR($D1654="",$E1654=""),"",IFERROR($D1654*INDEX(Setup!$B$27:$B$44,MATCH($E1654,Setup!$A$27:$A$44,0)),"TBD"))</f>
        <v/>
      </c>
      <c r="G1654" s="32"/>
      <c r="H1654" s="32"/>
      <c r="I1654" s="32"/>
      <c r="J1654" s="32"/>
      <c r="K1654" s="35"/>
      <c r="L1654" s="32"/>
      <c r="M1654" s="32"/>
    </row>
    <row r="1655" customFormat="false" ht="15" hidden="false" customHeight="true" outlineLevel="0" collapsed="false">
      <c r="A1655" s="32"/>
      <c r="B1655" s="32"/>
      <c r="C1655" s="32"/>
      <c r="D1655" s="32"/>
      <c r="E1655" s="34" t="str">
        <f aca="false">IF($B1655="","",IF($B1655="OUT","Liters",IFERROR(INDEX(Setup!$F$3:$F$24,MATCH($C1655,Setup!$A$3:$A$24,0)),"")))</f>
        <v/>
      </c>
      <c r="F1655" s="28" t="str">
        <f aca="false">IF(OR($D1655="",$E1655=""),"",IFERROR($D1655*INDEX(Setup!$B$27:$B$44,MATCH($E1655,Setup!$A$27:$A$44,0)),"TBD"))</f>
        <v/>
      </c>
      <c r="G1655" s="32"/>
      <c r="H1655" s="32"/>
      <c r="I1655" s="32"/>
      <c r="J1655" s="32"/>
      <c r="K1655" s="35"/>
      <c r="L1655" s="32"/>
      <c r="M1655" s="32"/>
    </row>
    <row r="1656" customFormat="false" ht="15" hidden="false" customHeight="true" outlineLevel="0" collapsed="false">
      <c r="A1656" s="32"/>
      <c r="B1656" s="32"/>
      <c r="C1656" s="32"/>
      <c r="D1656" s="32"/>
      <c r="E1656" s="34" t="str">
        <f aca="false">IF($B1656="","",IF($B1656="OUT","Liters",IFERROR(INDEX(Setup!$F$3:$F$24,MATCH($C1656,Setup!$A$3:$A$24,0)),"")))</f>
        <v/>
      </c>
      <c r="F1656" s="28" t="str">
        <f aca="false">IF(OR($D1656="",$E1656=""),"",IFERROR($D1656*INDEX(Setup!$B$27:$B$44,MATCH($E1656,Setup!$A$27:$A$44,0)),"TBD"))</f>
        <v/>
      </c>
      <c r="G1656" s="32"/>
      <c r="H1656" s="32"/>
      <c r="I1656" s="32"/>
      <c r="J1656" s="32"/>
      <c r="K1656" s="35"/>
      <c r="L1656" s="32"/>
      <c r="M1656" s="32"/>
    </row>
    <row r="1657" customFormat="false" ht="15" hidden="false" customHeight="true" outlineLevel="0" collapsed="false">
      <c r="A1657" s="32"/>
      <c r="B1657" s="32"/>
      <c r="C1657" s="32"/>
      <c r="D1657" s="32"/>
      <c r="E1657" s="34" t="str">
        <f aca="false">IF($B1657="","",IF($B1657="OUT","Liters",IFERROR(INDEX(Setup!$F$3:$F$24,MATCH($C1657,Setup!$A$3:$A$24,0)),"")))</f>
        <v/>
      </c>
      <c r="F1657" s="28" t="str">
        <f aca="false">IF(OR($D1657="",$E1657=""),"",IFERROR($D1657*INDEX(Setup!$B$27:$B$44,MATCH($E1657,Setup!$A$27:$A$44,0)),"TBD"))</f>
        <v/>
      </c>
      <c r="G1657" s="32"/>
      <c r="H1657" s="32"/>
      <c r="I1657" s="32"/>
      <c r="J1657" s="32"/>
      <c r="K1657" s="35"/>
      <c r="L1657" s="32"/>
      <c r="M1657" s="32"/>
    </row>
    <row r="1658" customFormat="false" ht="15" hidden="false" customHeight="true" outlineLevel="0" collapsed="false">
      <c r="A1658" s="32"/>
      <c r="B1658" s="32"/>
      <c r="C1658" s="32"/>
      <c r="D1658" s="32"/>
      <c r="E1658" s="34" t="str">
        <f aca="false">IF($B1658="","",IF($B1658="OUT","Liters",IFERROR(INDEX(Setup!$F$3:$F$24,MATCH($C1658,Setup!$A$3:$A$24,0)),"")))</f>
        <v/>
      </c>
      <c r="F1658" s="28" t="str">
        <f aca="false">IF(OR($D1658="",$E1658=""),"",IFERROR($D1658*INDEX(Setup!$B$27:$B$44,MATCH($E1658,Setup!$A$27:$A$44,0)),"TBD"))</f>
        <v/>
      </c>
      <c r="G1658" s="32"/>
      <c r="H1658" s="32"/>
      <c r="I1658" s="32"/>
      <c r="J1658" s="32"/>
      <c r="K1658" s="35"/>
      <c r="L1658" s="32"/>
      <c r="M1658" s="32"/>
    </row>
    <row r="1659" customFormat="false" ht="15" hidden="false" customHeight="true" outlineLevel="0" collapsed="false">
      <c r="A1659" s="32"/>
      <c r="B1659" s="32"/>
      <c r="C1659" s="32"/>
      <c r="D1659" s="32"/>
      <c r="E1659" s="34" t="str">
        <f aca="false">IF($B1659="","",IF($B1659="OUT","Liters",IFERROR(INDEX(Setup!$F$3:$F$24,MATCH($C1659,Setup!$A$3:$A$24,0)),"")))</f>
        <v/>
      </c>
      <c r="F1659" s="28" t="str">
        <f aca="false">IF(OR($D1659="",$E1659=""),"",IFERROR($D1659*INDEX(Setup!$B$27:$B$44,MATCH($E1659,Setup!$A$27:$A$44,0)),"TBD"))</f>
        <v/>
      </c>
      <c r="G1659" s="32"/>
      <c r="H1659" s="32"/>
      <c r="I1659" s="32"/>
      <c r="J1659" s="32"/>
      <c r="K1659" s="35"/>
      <c r="L1659" s="32"/>
      <c r="M1659" s="32"/>
    </row>
    <row r="1660" customFormat="false" ht="15" hidden="false" customHeight="true" outlineLevel="0" collapsed="false">
      <c r="A1660" s="32"/>
      <c r="B1660" s="32"/>
      <c r="C1660" s="32"/>
      <c r="D1660" s="32"/>
      <c r="E1660" s="34" t="str">
        <f aca="false">IF($B1660="","",IF($B1660="OUT","Liters",IFERROR(INDEX(Setup!$F$3:$F$24,MATCH($C1660,Setup!$A$3:$A$24,0)),"")))</f>
        <v/>
      </c>
      <c r="F1660" s="28" t="str">
        <f aca="false">IF(OR($D1660="",$E1660=""),"",IFERROR($D1660*INDEX(Setup!$B$27:$B$44,MATCH($E1660,Setup!$A$27:$A$44,0)),"TBD"))</f>
        <v/>
      </c>
      <c r="G1660" s="32"/>
      <c r="H1660" s="32"/>
      <c r="I1660" s="32"/>
      <c r="J1660" s="32"/>
      <c r="K1660" s="35"/>
      <c r="L1660" s="32"/>
      <c r="M1660" s="32"/>
    </row>
    <row r="1661" customFormat="false" ht="15" hidden="false" customHeight="true" outlineLevel="0" collapsed="false">
      <c r="A1661" s="32"/>
      <c r="B1661" s="32"/>
      <c r="C1661" s="32"/>
      <c r="D1661" s="32"/>
      <c r="E1661" s="34" t="str">
        <f aca="false">IF($B1661="","",IF($B1661="OUT","Liters",IFERROR(INDEX(Setup!$F$3:$F$24,MATCH($C1661,Setup!$A$3:$A$24,0)),"")))</f>
        <v/>
      </c>
      <c r="F1661" s="28" t="str">
        <f aca="false">IF(OR($D1661="",$E1661=""),"",IFERROR($D1661*INDEX(Setup!$B$27:$B$44,MATCH($E1661,Setup!$A$27:$A$44,0)),"TBD"))</f>
        <v/>
      </c>
      <c r="G1661" s="32"/>
      <c r="H1661" s="32"/>
      <c r="I1661" s="32"/>
      <c r="J1661" s="32"/>
      <c r="K1661" s="35"/>
      <c r="L1661" s="32"/>
      <c r="M1661" s="32"/>
    </row>
    <row r="1662" customFormat="false" ht="15" hidden="false" customHeight="true" outlineLevel="0" collapsed="false">
      <c r="A1662" s="32"/>
      <c r="B1662" s="32"/>
      <c r="C1662" s="32"/>
      <c r="D1662" s="32"/>
      <c r="E1662" s="34" t="str">
        <f aca="false">IF($B1662="","",IF($B1662="OUT","Liters",IFERROR(INDEX(Setup!$F$3:$F$24,MATCH($C1662,Setup!$A$3:$A$24,0)),"")))</f>
        <v/>
      </c>
      <c r="F1662" s="28" t="str">
        <f aca="false">IF(OR($D1662="",$E1662=""),"",IFERROR($D1662*INDEX(Setup!$B$27:$B$44,MATCH($E1662,Setup!$A$27:$A$44,0)),"TBD"))</f>
        <v/>
      </c>
      <c r="G1662" s="32"/>
      <c r="H1662" s="32"/>
      <c r="I1662" s="32"/>
      <c r="J1662" s="32"/>
      <c r="K1662" s="35"/>
      <c r="L1662" s="32"/>
      <c r="M1662" s="32"/>
    </row>
    <row r="1663" customFormat="false" ht="15" hidden="false" customHeight="true" outlineLevel="0" collapsed="false">
      <c r="A1663" s="32"/>
      <c r="B1663" s="32"/>
      <c r="C1663" s="32"/>
      <c r="D1663" s="32"/>
      <c r="E1663" s="34" t="str">
        <f aca="false">IF($B1663="","",IF($B1663="OUT","Liters",IFERROR(INDEX(Setup!$F$3:$F$24,MATCH($C1663,Setup!$A$3:$A$24,0)),"")))</f>
        <v/>
      </c>
      <c r="F1663" s="28" t="str">
        <f aca="false">IF(OR($D1663="",$E1663=""),"",IFERROR($D1663*INDEX(Setup!$B$27:$B$44,MATCH($E1663,Setup!$A$27:$A$44,0)),"TBD"))</f>
        <v/>
      </c>
      <c r="G1663" s="32"/>
      <c r="H1663" s="32"/>
      <c r="I1663" s="32"/>
      <c r="J1663" s="32"/>
      <c r="K1663" s="35"/>
      <c r="L1663" s="32"/>
      <c r="M1663" s="32"/>
    </row>
    <row r="1664" customFormat="false" ht="15" hidden="false" customHeight="true" outlineLevel="0" collapsed="false">
      <c r="A1664" s="32"/>
      <c r="B1664" s="32"/>
      <c r="C1664" s="32"/>
      <c r="D1664" s="32"/>
      <c r="E1664" s="34" t="str">
        <f aca="false">IF($B1664="","",IF($B1664="OUT","Liters",IFERROR(INDEX(Setup!$F$3:$F$24,MATCH($C1664,Setup!$A$3:$A$24,0)),"")))</f>
        <v/>
      </c>
      <c r="F1664" s="28" t="str">
        <f aca="false">IF(OR($D1664="",$E1664=""),"",IFERROR($D1664*INDEX(Setup!$B$27:$B$44,MATCH($E1664,Setup!$A$27:$A$44,0)),"TBD"))</f>
        <v/>
      </c>
      <c r="G1664" s="32"/>
      <c r="H1664" s="32"/>
      <c r="I1664" s="32"/>
      <c r="J1664" s="32"/>
      <c r="K1664" s="35"/>
      <c r="L1664" s="32"/>
      <c r="M1664" s="32"/>
    </row>
    <row r="1665" customFormat="false" ht="15" hidden="false" customHeight="true" outlineLevel="0" collapsed="false">
      <c r="A1665" s="32"/>
      <c r="B1665" s="32"/>
      <c r="C1665" s="32"/>
      <c r="D1665" s="32"/>
      <c r="E1665" s="34" t="str">
        <f aca="false">IF($B1665="","",IF($B1665="OUT","Liters",IFERROR(INDEX(Setup!$F$3:$F$24,MATCH($C1665,Setup!$A$3:$A$24,0)),"")))</f>
        <v/>
      </c>
      <c r="F1665" s="28" t="str">
        <f aca="false">IF(OR($D1665="",$E1665=""),"",IFERROR($D1665*INDEX(Setup!$B$27:$B$44,MATCH($E1665,Setup!$A$27:$A$44,0)),"TBD"))</f>
        <v/>
      </c>
      <c r="G1665" s="32"/>
      <c r="H1665" s="32"/>
      <c r="I1665" s="32"/>
      <c r="J1665" s="32"/>
      <c r="K1665" s="35"/>
      <c r="L1665" s="32"/>
      <c r="M1665" s="32"/>
    </row>
    <row r="1666" customFormat="false" ht="15" hidden="false" customHeight="true" outlineLevel="0" collapsed="false">
      <c r="A1666" s="32"/>
      <c r="B1666" s="32"/>
      <c r="C1666" s="32"/>
      <c r="D1666" s="32"/>
      <c r="E1666" s="34" t="str">
        <f aca="false">IF($B1666="","",IF($B1666="OUT","Liters",IFERROR(INDEX(Setup!$F$3:$F$24,MATCH($C1666,Setup!$A$3:$A$24,0)),"")))</f>
        <v/>
      </c>
      <c r="F1666" s="28" t="str">
        <f aca="false">IF(OR($D1666="",$E1666=""),"",IFERROR($D1666*INDEX(Setup!$B$27:$B$44,MATCH($E1666,Setup!$A$27:$A$44,0)),"TBD"))</f>
        <v/>
      </c>
      <c r="G1666" s="32"/>
      <c r="H1666" s="32"/>
      <c r="I1666" s="32"/>
      <c r="J1666" s="32"/>
      <c r="K1666" s="35"/>
      <c r="L1666" s="32"/>
      <c r="M1666" s="32"/>
    </row>
    <row r="1667" customFormat="false" ht="15" hidden="false" customHeight="true" outlineLevel="0" collapsed="false">
      <c r="A1667" s="32"/>
      <c r="B1667" s="32"/>
      <c r="C1667" s="32"/>
      <c r="D1667" s="32"/>
      <c r="E1667" s="34" t="str">
        <f aca="false">IF($B1667="","",IF($B1667="OUT","Liters",IFERROR(INDEX(Setup!$F$3:$F$24,MATCH($C1667,Setup!$A$3:$A$24,0)),"")))</f>
        <v/>
      </c>
      <c r="F1667" s="28" t="str">
        <f aca="false">IF(OR($D1667="",$E1667=""),"",IFERROR($D1667*INDEX(Setup!$B$27:$B$44,MATCH($E1667,Setup!$A$27:$A$44,0)),"TBD"))</f>
        <v/>
      </c>
      <c r="G1667" s="32"/>
      <c r="H1667" s="32"/>
      <c r="I1667" s="32"/>
      <c r="J1667" s="32"/>
      <c r="K1667" s="35"/>
      <c r="L1667" s="32"/>
      <c r="M1667" s="32"/>
    </row>
    <row r="1668" customFormat="false" ht="15" hidden="false" customHeight="true" outlineLevel="0" collapsed="false">
      <c r="A1668" s="32"/>
      <c r="B1668" s="32"/>
      <c r="C1668" s="32"/>
      <c r="D1668" s="32"/>
      <c r="E1668" s="34" t="str">
        <f aca="false">IF($B1668="","",IF($B1668="OUT","Liters",IFERROR(INDEX(Setup!$F$3:$F$24,MATCH($C1668,Setup!$A$3:$A$24,0)),"")))</f>
        <v/>
      </c>
      <c r="F1668" s="28" t="str">
        <f aca="false">IF(OR($D1668="",$E1668=""),"",IFERROR($D1668*INDEX(Setup!$B$27:$B$44,MATCH($E1668,Setup!$A$27:$A$44,0)),"TBD"))</f>
        <v/>
      </c>
      <c r="G1668" s="32"/>
      <c r="H1668" s="32"/>
      <c r="I1668" s="32"/>
      <c r="J1668" s="32"/>
      <c r="K1668" s="35"/>
      <c r="L1668" s="32"/>
      <c r="M1668" s="32"/>
    </row>
    <row r="1669" customFormat="false" ht="15" hidden="false" customHeight="true" outlineLevel="0" collapsed="false">
      <c r="A1669" s="32"/>
      <c r="B1669" s="32"/>
      <c r="C1669" s="32"/>
      <c r="D1669" s="32"/>
      <c r="E1669" s="34" t="str">
        <f aca="false">IF($B1669="","",IF($B1669="OUT","Liters",IFERROR(INDEX(Setup!$F$3:$F$24,MATCH($C1669,Setup!$A$3:$A$24,0)),"")))</f>
        <v/>
      </c>
      <c r="F1669" s="28" t="str">
        <f aca="false">IF(OR($D1669="",$E1669=""),"",IFERROR($D1669*INDEX(Setup!$B$27:$B$44,MATCH($E1669,Setup!$A$27:$A$44,0)),"TBD"))</f>
        <v/>
      </c>
      <c r="G1669" s="32"/>
      <c r="H1669" s="32"/>
      <c r="I1669" s="32"/>
      <c r="J1669" s="32"/>
      <c r="K1669" s="35"/>
      <c r="L1669" s="32"/>
      <c r="M1669" s="32"/>
    </row>
    <row r="1670" customFormat="false" ht="15" hidden="false" customHeight="true" outlineLevel="0" collapsed="false">
      <c r="A1670" s="32"/>
      <c r="B1670" s="32"/>
      <c r="C1670" s="32"/>
      <c r="D1670" s="32"/>
      <c r="E1670" s="34" t="str">
        <f aca="false">IF($B1670="","",IF($B1670="OUT","Liters",IFERROR(INDEX(Setup!$F$3:$F$24,MATCH($C1670,Setup!$A$3:$A$24,0)),"")))</f>
        <v/>
      </c>
      <c r="F1670" s="28" t="str">
        <f aca="false">IF(OR($D1670="",$E1670=""),"",IFERROR($D1670*INDEX(Setup!$B$27:$B$44,MATCH($E1670,Setup!$A$27:$A$44,0)),"TBD"))</f>
        <v/>
      </c>
      <c r="G1670" s="32"/>
      <c r="H1670" s="32"/>
      <c r="I1670" s="32"/>
      <c r="J1670" s="32"/>
      <c r="K1670" s="35"/>
      <c r="L1670" s="32"/>
      <c r="M1670" s="32"/>
    </row>
    <row r="1671" customFormat="false" ht="15" hidden="false" customHeight="true" outlineLevel="0" collapsed="false">
      <c r="A1671" s="32"/>
      <c r="B1671" s="32"/>
      <c r="C1671" s="32"/>
      <c r="D1671" s="32"/>
      <c r="E1671" s="34" t="str">
        <f aca="false">IF($B1671="","",IF($B1671="OUT","Liters",IFERROR(INDEX(Setup!$F$3:$F$24,MATCH($C1671,Setup!$A$3:$A$24,0)),"")))</f>
        <v/>
      </c>
      <c r="F1671" s="28" t="str">
        <f aca="false">IF(OR($D1671="",$E1671=""),"",IFERROR($D1671*INDEX(Setup!$B$27:$B$44,MATCH($E1671,Setup!$A$27:$A$44,0)),"TBD"))</f>
        <v/>
      </c>
      <c r="G1671" s="32"/>
      <c r="H1671" s="32"/>
      <c r="I1671" s="32"/>
      <c r="J1671" s="32"/>
      <c r="K1671" s="35"/>
      <c r="L1671" s="32"/>
      <c r="M1671" s="32"/>
    </row>
    <row r="1672" customFormat="false" ht="15" hidden="false" customHeight="true" outlineLevel="0" collapsed="false">
      <c r="A1672" s="32"/>
      <c r="B1672" s="32"/>
      <c r="C1672" s="32"/>
      <c r="D1672" s="32"/>
      <c r="E1672" s="34" t="str">
        <f aca="false">IF($B1672="","",IF($B1672="OUT","Liters",IFERROR(INDEX(Setup!$F$3:$F$24,MATCH($C1672,Setup!$A$3:$A$24,0)),"")))</f>
        <v/>
      </c>
      <c r="F1672" s="28" t="str">
        <f aca="false">IF(OR($D1672="",$E1672=""),"",IFERROR($D1672*INDEX(Setup!$B$27:$B$44,MATCH($E1672,Setup!$A$27:$A$44,0)),"TBD"))</f>
        <v/>
      </c>
      <c r="G1672" s="32"/>
      <c r="H1672" s="32"/>
      <c r="I1672" s="32"/>
      <c r="J1672" s="32"/>
      <c r="K1672" s="35"/>
      <c r="L1672" s="32"/>
      <c r="M1672" s="32"/>
    </row>
    <row r="1673" customFormat="false" ht="15" hidden="false" customHeight="true" outlineLevel="0" collapsed="false">
      <c r="A1673" s="32"/>
      <c r="B1673" s="32"/>
      <c r="C1673" s="32"/>
      <c r="D1673" s="32"/>
      <c r="E1673" s="34" t="str">
        <f aca="false">IF($B1673="","",IF($B1673="OUT","Liters",IFERROR(INDEX(Setup!$F$3:$F$24,MATCH($C1673,Setup!$A$3:$A$24,0)),"")))</f>
        <v/>
      </c>
      <c r="F1673" s="28" t="str">
        <f aca="false">IF(OR($D1673="",$E1673=""),"",IFERROR($D1673*INDEX(Setup!$B$27:$B$44,MATCH($E1673,Setup!$A$27:$A$44,0)),"TBD"))</f>
        <v/>
      </c>
      <c r="G1673" s="32"/>
      <c r="H1673" s="32"/>
      <c r="I1673" s="32"/>
      <c r="J1673" s="32"/>
      <c r="K1673" s="35"/>
      <c r="L1673" s="32"/>
      <c r="M1673" s="32"/>
    </row>
    <row r="1674" customFormat="false" ht="15" hidden="false" customHeight="true" outlineLevel="0" collapsed="false">
      <c r="A1674" s="32"/>
      <c r="B1674" s="32"/>
      <c r="C1674" s="32"/>
      <c r="D1674" s="32"/>
      <c r="E1674" s="34" t="str">
        <f aca="false">IF($B1674="","",IF($B1674="OUT","Liters",IFERROR(INDEX(Setup!$F$3:$F$24,MATCH($C1674,Setup!$A$3:$A$24,0)),"")))</f>
        <v/>
      </c>
      <c r="F1674" s="28" t="str">
        <f aca="false">IF(OR($D1674="",$E1674=""),"",IFERROR($D1674*INDEX(Setup!$B$27:$B$44,MATCH($E1674,Setup!$A$27:$A$44,0)),"TBD"))</f>
        <v/>
      </c>
      <c r="G1674" s="32"/>
      <c r="H1674" s="32"/>
      <c r="I1674" s="32"/>
      <c r="J1674" s="32"/>
      <c r="K1674" s="35"/>
      <c r="L1674" s="32"/>
      <c r="M1674" s="32"/>
    </row>
    <row r="1675" customFormat="false" ht="15" hidden="false" customHeight="true" outlineLevel="0" collapsed="false">
      <c r="A1675" s="32"/>
      <c r="B1675" s="32"/>
      <c r="C1675" s="32"/>
      <c r="D1675" s="32"/>
      <c r="E1675" s="34" t="str">
        <f aca="false">IF($B1675="","",IF($B1675="OUT","Liters",IFERROR(INDEX(Setup!$F$3:$F$24,MATCH($C1675,Setup!$A$3:$A$24,0)),"")))</f>
        <v/>
      </c>
      <c r="F1675" s="28" t="str">
        <f aca="false">IF(OR($D1675="",$E1675=""),"",IFERROR($D1675*INDEX(Setup!$B$27:$B$44,MATCH($E1675,Setup!$A$27:$A$44,0)),"TBD"))</f>
        <v/>
      </c>
      <c r="G1675" s="32"/>
      <c r="H1675" s="32"/>
      <c r="I1675" s="32"/>
      <c r="J1675" s="32"/>
      <c r="K1675" s="35"/>
      <c r="L1675" s="32"/>
      <c r="M1675" s="32"/>
    </row>
    <row r="1676" customFormat="false" ht="15" hidden="false" customHeight="true" outlineLevel="0" collapsed="false">
      <c r="A1676" s="32"/>
      <c r="B1676" s="32"/>
      <c r="C1676" s="32"/>
      <c r="D1676" s="32"/>
      <c r="E1676" s="34" t="str">
        <f aca="false">IF($B1676="","",IF($B1676="OUT","Liters",IFERROR(INDEX(Setup!$F$3:$F$24,MATCH($C1676,Setup!$A$3:$A$24,0)),"")))</f>
        <v/>
      </c>
      <c r="F1676" s="28" t="str">
        <f aca="false">IF(OR($D1676="",$E1676=""),"",IFERROR($D1676*INDEX(Setup!$B$27:$B$44,MATCH($E1676,Setup!$A$27:$A$44,0)),"TBD"))</f>
        <v/>
      </c>
      <c r="G1676" s="32"/>
      <c r="H1676" s="32"/>
      <c r="I1676" s="32"/>
      <c r="J1676" s="32"/>
      <c r="K1676" s="35"/>
      <c r="L1676" s="32"/>
      <c r="M1676" s="32"/>
    </row>
    <row r="1677" customFormat="false" ht="15" hidden="false" customHeight="true" outlineLevel="0" collapsed="false">
      <c r="A1677" s="32"/>
      <c r="B1677" s="32"/>
      <c r="C1677" s="32"/>
      <c r="D1677" s="32"/>
      <c r="E1677" s="34" t="str">
        <f aca="false">IF($B1677="","",IF($B1677="OUT","Liters",IFERROR(INDEX(Setup!$F$3:$F$24,MATCH($C1677,Setup!$A$3:$A$24,0)),"")))</f>
        <v/>
      </c>
      <c r="F1677" s="28" t="str">
        <f aca="false">IF(OR($D1677="",$E1677=""),"",IFERROR($D1677*INDEX(Setup!$B$27:$B$44,MATCH($E1677,Setup!$A$27:$A$44,0)),"TBD"))</f>
        <v/>
      </c>
      <c r="G1677" s="32"/>
      <c r="H1677" s="32"/>
      <c r="I1677" s="32"/>
      <c r="J1677" s="32"/>
      <c r="K1677" s="35"/>
      <c r="L1677" s="32"/>
      <c r="M1677" s="32"/>
    </row>
    <row r="1678" customFormat="false" ht="15" hidden="false" customHeight="true" outlineLevel="0" collapsed="false">
      <c r="A1678" s="32"/>
      <c r="B1678" s="32"/>
      <c r="C1678" s="32"/>
      <c r="D1678" s="32"/>
      <c r="E1678" s="34" t="str">
        <f aca="false">IF($B1678="","",IF($B1678="OUT","Liters",IFERROR(INDEX(Setup!$F$3:$F$24,MATCH($C1678,Setup!$A$3:$A$24,0)),"")))</f>
        <v/>
      </c>
      <c r="F1678" s="28" t="str">
        <f aca="false">IF(OR($D1678="",$E1678=""),"",IFERROR($D1678*INDEX(Setup!$B$27:$B$44,MATCH($E1678,Setup!$A$27:$A$44,0)),"TBD"))</f>
        <v/>
      </c>
      <c r="G1678" s="32"/>
      <c r="H1678" s="32"/>
      <c r="I1678" s="32"/>
      <c r="J1678" s="32"/>
      <c r="K1678" s="35"/>
      <c r="L1678" s="32"/>
      <c r="M1678" s="32"/>
    </row>
    <row r="1679" customFormat="false" ht="15" hidden="false" customHeight="true" outlineLevel="0" collapsed="false">
      <c r="A1679" s="32"/>
      <c r="B1679" s="32"/>
      <c r="C1679" s="32"/>
      <c r="D1679" s="32"/>
      <c r="E1679" s="34" t="str">
        <f aca="false">IF($B1679="","",IF($B1679="OUT","Liters",IFERROR(INDEX(Setup!$F$3:$F$24,MATCH($C1679,Setup!$A$3:$A$24,0)),"")))</f>
        <v/>
      </c>
      <c r="F1679" s="28" t="str">
        <f aca="false">IF(OR($D1679="",$E1679=""),"",IFERROR($D1679*INDEX(Setup!$B$27:$B$44,MATCH($E1679,Setup!$A$27:$A$44,0)),"TBD"))</f>
        <v/>
      </c>
      <c r="G1679" s="32"/>
      <c r="H1679" s="32"/>
      <c r="I1679" s="32"/>
      <c r="J1679" s="32"/>
      <c r="K1679" s="35"/>
      <c r="L1679" s="32"/>
      <c r="M1679" s="32"/>
    </row>
    <row r="1680" customFormat="false" ht="15" hidden="false" customHeight="true" outlineLevel="0" collapsed="false">
      <c r="A1680" s="32"/>
      <c r="B1680" s="32"/>
      <c r="C1680" s="32"/>
      <c r="D1680" s="32"/>
      <c r="E1680" s="34" t="str">
        <f aca="false">IF($B1680="","",IF($B1680="OUT","Liters",IFERROR(INDEX(Setup!$F$3:$F$24,MATCH($C1680,Setup!$A$3:$A$24,0)),"")))</f>
        <v/>
      </c>
      <c r="F1680" s="28" t="str">
        <f aca="false">IF(OR($D1680="",$E1680=""),"",IFERROR($D1680*INDEX(Setup!$B$27:$B$44,MATCH($E1680,Setup!$A$27:$A$44,0)),"TBD"))</f>
        <v/>
      </c>
      <c r="G1680" s="32"/>
      <c r="H1680" s="32"/>
      <c r="I1680" s="32"/>
      <c r="J1680" s="32"/>
      <c r="K1680" s="35"/>
      <c r="L1680" s="32"/>
      <c r="M1680" s="32"/>
    </row>
    <row r="1681" customFormat="false" ht="15" hidden="false" customHeight="true" outlineLevel="0" collapsed="false">
      <c r="A1681" s="32"/>
      <c r="B1681" s="32"/>
      <c r="C1681" s="32"/>
      <c r="D1681" s="32"/>
      <c r="E1681" s="34" t="str">
        <f aca="false">IF($B1681="","",IF($B1681="OUT","Liters",IFERROR(INDEX(Setup!$F$3:$F$24,MATCH($C1681,Setup!$A$3:$A$24,0)),"")))</f>
        <v/>
      </c>
      <c r="F1681" s="28" t="str">
        <f aca="false">IF(OR($D1681="",$E1681=""),"",IFERROR($D1681*INDEX(Setup!$B$27:$B$44,MATCH($E1681,Setup!$A$27:$A$44,0)),"TBD"))</f>
        <v/>
      </c>
      <c r="G1681" s="32"/>
      <c r="H1681" s="32"/>
      <c r="I1681" s="32"/>
      <c r="J1681" s="32"/>
      <c r="K1681" s="35"/>
      <c r="L1681" s="32"/>
      <c r="M1681" s="32"/>
    </row>
    <row r="1682" customFormat="false" ht="15" hidden="false" customHeight="true" outlineLevel="0" collapsed="false">
      <c r="A1682" s="32"/>
      <c r="B1682" s="32"/>
      <c r="C1682" s="32"/>
      <c r="D1682" s="32"/>
      <c r="E1682" s="34" t="str">
        <f aca="false">IF($B1682="","",IF($B1682="OUT","Liters",IFERROR(INDEX(Setup!$F$3:$F$24,MATCH($C1682,Setup!$A$3:$A$24,0)),"")))</f>
        <v/>
      </c>
      <c r="F1682" s="28" t="str">
        <f aca="false">IF(OR($D1682="",$E1682=""),"",IFERROR($D1682*INDEX(Setup!$B$27:$B$44,MATCH($E1682,Setup!$A$27:$A$44,0)),"TBD"))</f>
        <v/>
      </c>
      <c r="G1682" s="32"/>
      <c r="H1682" s="32"/>
      <c r="I1682" s="32"/>
      <c r="J1682" s="32"/>
      <c r="K1682" s="35"/>
      <c r="L1682" s="32"/>
      <c r="M1682" s="32"/>
    </row>
    <row r="1683" customFormat="false" ht="15" hidden="false" customHeight="true" outlineLevel="0" collapsed="false">
      <c r="A1683" s="32"/>
      <c r="B1683" s="32"/>
      <c r="C1683" s="32"/>
      <c r="D1683" s="32"/>
      <c r="E1683" s="34" t="str">
        <f aca="false">IF($B1683="","",IF($B1683="OUT","Liters",IFERROR(INDEX(Setup!$F$3:$F$24,MATCH($C1683,Setup!$A$3:$A$24,0)),"")))</f>
        <v/>
      </c>
      <c r="F1683" s="28" t="str">
        <f aca="false">IF(OR($D1683="",$E1683=""),"",IFERROR($D1683*INDEX(Setup!$B$27:$B$44,MATCH($E1683,Setup!$A$27:$A$44,0)),"TBD"))</f>
        <v/>
      </c>
      <c r="G1683" s="32"/>
      <c r="H1683" s="32"/>
      <c r="I1683" s="32"/>
      <c r="J1683" s="32"/>
      <c r="K1683" s="35"/>
      <c r="L1683" s="32"/>
      <c r="M1683" s="32"/>
    </row>
    <row r="1684" customFormat="false" ht="15" hidden="false" customHeight="true" outlineLevel="0" collapsed="false">
      <c r="A1684" s="32"/>
      <c r="B1684" s="32"/>
      <c r="C1684" s="32"/>
      <c r="D1684" s="32"/>
      <c r="E1684" s="34" t="str">
        <f aca="false">IF($B1684="","",IF($B1684="OUT","Liters",IFERROR(INDEX(Setup!$F$3:$F$24,MATCH($C1684,Setup!$A$3:$A$24,0)),"")))</f>
        <v/>
      </c>
      <c r="F1684" s="28" t="str">
        <f aca="false">IF(OR($D1684="",$E1684=""),"",IFERROR($D1684*INDEX(Setup!$B$27:$B$44,MATCH($E1684,Setup!$A$27:$A$44,0)),"TBD"))</f>
        <v/>
      </c>
      <c r="G1684" s="32"/>
      <c r="H1684" s="32"/>
      <c r="I1684" s="32"/>
      <c r="J1684" s="32"/>
      <c r="K1684" s="35"/>
      <c r="L1684" s="32"/>
      <c r="M1684" s="32"/>
    </row>
    <row r="1685" customFormat="false" ht="15" hidden="false" customHeight="true" outlineLevel="0" collapsed="false">
      <c r="A1685" s="32"/>
      <c r="B1685" s="32"/>
      <c r="C1685" s="32"/>
      <c r="D1685" s="32"/>
      <c r="E1685" s="34" t="str">
        <f aca="false">IF($B1685="","",IF($B1685="OUT","Liters",IFERROR(INDEX(Setup!$F$3:$F$24,MATCH($C1685,Setup!$A$3:$A$24,0)),"")))</f>
        <v/>
      </c>
      <c r="F1685" s="28" t="str">
        <f aca="false">IF(OR($D1685="",$E1685=""),"",IFERROR($D1685*INDEX(Setup!$B$27:$B$44,MATCH($E1685,Setup!$A$27:$A$44,0)),"TBD"))</f>
        <v/>
      </c>
      <c r="G1685" s="32"/>
      <c r="H1685" s="32"/>
      <c r="I1685" s="32"/>
      <c r="J1685" s="32"/>
      <c r="K1685" s="35"/>
      <c r="L1685" s="32"/>
      <c r="M1685" s="32"/>
    </row>
    <row r="1686" customFormat="false" ht="15" hidden="false" customHeight="true" outlineLevel="0" collapsed="false">
      <c r="A1686" s="32"/>
      <c r="B1686" s="32"/>
      <c r="C1686" s="32"/>
      <c r="D1686" s="32"/>
      <c r="E1686" s="34" t="str">
        <f aca="false">IF($B1686="","",IF($B1686="OUT","Liters",IFERROR(INDEX(Setup!$F$3:$F$24,MATCH($C1686,Setup!$A$3:$A$24,0)),"")))</f>
        <v/>
      </c>
      <c r="F1686" s="28" t="str">
        <f aca="false">IF(OR($D1686="",$E1686=""),"",IFERROR($D1686*INDEX(Setup!$B$27:$B$44,MATCH($E1686,Setup!$A$27:$A$44,0)),"TBD"))</f>
        <v/>
      </c>
      <c r="G1686" s="32"/>
      <c r="H1686" s="32"/>
      <c r="I1686" s="32"/>
      <c r="J1686" s="32"/>
      <c r="K1686" s="35"/>
      <c r="L1686" s="32"/>
      <c r="M1686" s="32"/>
    </row>
    <row r="1687" customFormat="false" ht="15" hidden="false" customHeight="true" outlineLevel="0" collapsed="false">
      <c r="A1687" s="32"/>
      <c r="B1687" s="32"/>
      <c r="C1687" s="32"/>
      <c r="D1687" s="32"/>
      <c r="E1687" s="34" t="str">
        <f aca="false">IF($B1687="","",IF($B1687="OUT","Liters",IFERROR(INDEX(Setup!$F$3:$F$24,MATCH($C1687,Setup!$A$3:$A$24,0)),"")))</f>
        <v/>
      </c>
      <c r="F1687" s="28" t="str">
        <f aca="false">IF(OR($D1687="",$E1687=""),"",IFERROR($D1687*INDEX(Setup!$B$27:$B$44,MATCH($E1687,Setup!$A$27:$A$44,0)),"TBD"))</f>
        <v/>
      </c>
      <c r="G1687" s="32"/>
      <c r="H1687" s="32"/>
      <c r="I1687" s="32"/>
      <c r="J1687" s="32"/>
      <c r="K1687" s="35"/>
      <c r="L1687" s="32"/>
      <c r="M1687" s="32"/>
    </row>
    <row r="1688" customFormat="false" ht="15" hidden="false" customHeight="true" outlineLevel="0" collapsed="false">
      <c r="A1688" s="32"/>
      <c r="B1688" s="32"/>
      <c r="C1688" s="32"/>
      <c r="D1688" s="32"/>
      <c r="E1688" s="34" t="str">
        <f aca="false">IF($B1688="","",IF($B1688="OUT","Liters",IFERROR(INDEX(Setup!$F$3:$F$24,MATCH($C1688,Setup!$A$3:$A$24,0)),"")))</f>
        <v/>
      </c>
      <c r="F1688" s="28" t="str">
        <f aca="false">IF(OR($D1688="",$E1688=""),"",IFERROR($D1688*INDEX(Setup!$B$27:$B$44,MATCH($E1688,Setup!$A$27:$A$44,0)),"TBD"))</f>
        <v/>
      </c>
      <c r="G1688" s="32"/>
      <c r="H1688" s="32"/>
      <c r="I1688" s="32"/>
      <c r="J1688" s="32"/>
      <c r="K1688" s="35"/>
      <c r="L1688" s="32"/>
      <c r="M1688" s="32"/>
    </row>
    <row r="1689" customFormat="false" ht="15" hidden="false" customHeight="true" outlineLevel="0" collapsed="false">
      <c r="A1689" s="32"/>
      <c r="B1689" s="32"/>
      <c r="C1689" s="32"/>
      <c r="D1689" s="32"/>
      <c r="E1689" s="34" t="str">
        <f aca="false">IF($B1689="","",IF($B1689="OUT","Liters",IFERROR(INDEX(Setup!$F$3:$F$24,MATCH($C1689,Setup!$A$3:$A$24,0)),"")))</f>
        <v/>
      </c>
      <c r="F1689" s="28" t="str">
        <f aca="false">IF(OR($D1689="",$E1689=""),"",IFERROR($D1689*INDEX(Setup!$B$27:$B$44,MATCH($E1689,Setup!$A$27:$A$44,0)),"TBD"))</f>
        <v/>
      </c>
      <c r="G1689" s="32"/>
      <c r="H1689" s="32"/>
      <c r="I1689" s="32"/>
      <c r="J1689" s="32"/>
      <c r="K1689" s="35"/>
      <c r="L1689" s="32"/>
      <c r="M1689" s="32"/>
    </row>
    <row r="1690" customFormat="false" ht="15" hidden="false" customHeight="true" outlineLevel="0" collapsed="false">
      <c r="A1690" s="32"/>
      <c r="B1690" s="32"/>
      <c r="C1690" s="32"/>
      <c r="D1690" s="32"/>
      <c r="E1690" s="34" t="str">
        <f aca="false">IF($B1690="","",IF($B1690="OUT","Liters",IFERROR(INDEX(Setup!$F$3:$F$24,MATCH($C1690,Setup!$A$3:$A$24,0)),"")))</f>
        <v/>
      </c>
      <c r="F1690" s="28" t="str">
        <f aca="false">IF(OR($D1690="",$E1690=""),"",IFERROR($D1690*INDEX(Setup!$B$27:$B$44,MATCH($E1690,Setup!$A$27:$A$44,0)),"TBD"))</f>
        <v/>
      </c>
      <c r="G1690" s="32"/>
      <c r="H1690" s="32"/>
      <c r="I1690" s="32"/>
      <c r="J1690" s="32"/>
      <c r="K1690" s="35"/>
      <c r="L1690" s="32"/>
      <c r="M1690" s="32"/>
    </row>
    <row r="1691" customFormat="false" ht="15" hidden="false" customHeight="true" outlineLevel="0" collapsed="false">
      <c r="A1691" s="32"/>
      <c r="B1691" s="32"/>
      <c r="C1691" s="32"/>
      <c r="D1691" s="32"/>
      <c r="E1691" s="34" t="str">
        <f aca="false">IF($B1691="","",IF($B1691="OUT","Liters",IFERROR(INDEX(Setup!$F$3:$F$24,MATCH($C1691,Setup!$A$3:$A$24,0)),"")))</f>
        <v/>
      </c>
      <c r="F1691" s="28" t="str">
        <f aca="false">IF(OR($D1691="",$E1691=""),"",IFERROR($D1691*INDEX(Setup!$B$27:$B$44,MATCH($E1691,Setup!$A$27:$A$44,0)),"TBD"))</f>
        <v/>
      </c>
      <c r="G1691" s="32"/>
      <c r="H1691" s="32"/>
      <c r="I1691" s="32"/>
      <c r="J1691" s="32"/>
      <c r="K1691" s="35"/>
      <c r="L1691" s="32"/>
      <c r="M1691" s="32"/>
    </row>
    <row r="1692" customFormat="false" ht="15" hidden="false" customHeight="true" outlineLevel="0" collapsed="false">
      <c r="A1692" s="32"/>
      <c r="B1692" s="32"/>
      <c r="C1692" s="32"/>
      <c r="D1692" s="32"/>
      <c r="E1692" s="34" t="str">
        <f aca="false">IF($B1692="","",IF($B1692="OUT","Liters",IFERROR(INDEX(Setup!$F$3:$F$24,MATCH($C1692,Setup!$A$3:$A$24,0)),"")))</f>
        <v/>
      </c>
      <c r="F1692" s="28" t="str">
        <f aca="false">IF(OR($D1692="",$E1692=""),"",IFERROR($D1692*INDEX(Setup!$B$27:$B$44,MATCH($E1692,Setup!$A$27:$A$44,0)),"TBD"))</f>
        <v/>
      </c>
      <c r="G1692" s="32"/>
      <c r="H1692" s="32"/>
      <c r="I1692" s="32"/>
      <c r="J1692" s="32"/>
      <c r="K1692" s="35"/>
      <c r="L1692" s="32"/>
      <c r="M1692" s="32"/>
    </row>
    <row r="1693" customFormat="false" ht="15" hidden="false" customHeight="true" outlineLevel="0" collapsed="false">
      <c r="A1693" s="32"/>
      <c r="B1693" s="32"/>
      <c r="C1693" s="32"/>
      <c r="D1693" s="32"/>
      <c r="E1693" s="34" t="str">
        <f aca="false">IF($B1693="","",IF($B1693="OUT","Liters",IFERROR(INDEX(Setup!$F$3:$F$24,MATCH($C1693,Setup!$A$3:$A$24,0)),"")))</f>
        <v/>
      </c>
      <c r="F1693" s="28" t="str">
        <f aca="false">IF(OR($D1693="",$E1693=""),"",IFERROR($D1693*INDEX(Setup!$B$27:$B$44,MATCH($E1693,Setup!$A$27:$A$44,0)),"TBD"))</f>
        <v/>
      </c>
      <c r="G1693" s="32"/>
      <c r="H1693" s="32"/>
      <c r="I1693" s="32"/>
      <c r="J1693" s="32"/>
      <c r="K1693" s="35"/>
      <c r="L1693" s="32"/>
      <c r="M1693" s="32"/>
    </row>
    <row r="1694" customFormat="false" ht="15" hidden="false" customHeight="true" outlineLevel="0" collapsed="false">
      <c r="A1694" s="32"/>
      <c r="B1694" s="32"/>
      <c r="C1694" s="32"/>
      <c r="D1694" s="32"/>
      <c r="E1694" s="34" t="str">
        <f aca="false">IF($B1694="","",IF($B1694="OUT","Liters",IFERROR(INDEX(Setup!$F$3:$F$24,MATCH($C1694,Setup!$A$3:$A$24,0)),"")))</f>
        <v/>
      </c>
      <c r="F1694" s="28" t="str">
        <f aca="false">IF(OR($D1694="",$E1694=""),"",IFERROR($D1694*INDEX(Setup!$B$27:$B$44,MATCH($E1694,Setup!$A$27:$A$44,0)),"TBD"))</f>
        <v/>
      </c>
      <c r="G1694" s="32"/>
      <c r="H1694" s="32"/>
      <c r="I1694" s="32"/>
      <c r="J1694" s="32"/>
      <c r="K1694" s="35"/>
      <c r="L1694" s="32"/>
      <c r="M1694" s="32"/>
    </row>
    <row r="1695" customFormat="false" ht="15" hidden="false" customHeight="true" outlineLevel="0" collapsed="false">
      <c r="A1695" s="32"/>
      <c r="B1695" s="32"/>
      <c r="C1695" s="32"/>
      <c r="D1695" s="32"/>
      <c r="E1695" s="34" t="str">
        <f aca="false">IF($B1695="","",IF($B1695="OUT","Liters",IFERROR(INDEX(Setup!$F$3:$F$24,MATCH($C1695,Setup!$A$3:$A$24,0)),"")))</f>
        <v/>
      </c>
      <c r="F1695" s="28" t="str">
        <f aca="false">IF(OR($D1695="",$E1695=""),"",IFERROR($D1695*INDEX(Setup!$B$27:$B$44,MATCH($E1695,Setup!$A$27:$A$44,0)),"TBD"))</f>
        <v/>
      </c>
      <c r="G1695" s="32"/>
      <c r="H1695" s="32"/>
      <c r="I1695" s="32"/>
      <c r="J1695" s="32"/>
      <c r="K1695" s="35"/>
      <c r="L1695" s="32"/>
      <c r="M1695" s="32"/>
    </row>
    <row r="1696" customFormat="false" ht="15" hidden="false" customHeight="true" outlineLevel="0" collapsed="false">
      <c r="A1696" s="32"/>
      <c r="B1696" s="32"/>
      <c r="C1696" s="32"/>
      <c r="D1696" s="32"/>
      <c r="E1696" s="34" t="str">
        <f aca="false">IF($B1696="","",IF($B1696="OUT","Liters",IFERROR(INDEX(Setup!$F$3:$F$24,MATCH($C1696,Setup!$A$3:$A$24,0)),"")))</f>
        <v/>
      </c>
      <c r="F1696" s="28" t="str">
        <f aca="false">IF(OR($D1696="",$E1696=""),"",IFERROR($D1696*INDEX(Setup!$B$27:$B$44,MATCH($E1696,Setup!$A$27:$A$44,0)),"TBD"))</f>
        <v/>
      </c>
      <c r="G1696" s="32"/>
      <c r="H1696" s="32"/>
      <c r="I1696" s="32"/>
      <c r="J1696" s="32"/>
      <c r="K1696" s="35"/>
      <c r="L1696" s="32"/>
      <c r="M1696" s="32"/>
    </row>
    <row r="1697" customFormat="false" ht="15" hidden="false" customHeight="true" outlineLevel="0" collapsed="false">
      <c r="A1697" s="32"/>
      <c r="B1697" s="32"/>
      <c r="C1697" s="32"/>
      <c r="D1697" s="32"/>
      <c r="E1697" s="34" t="str">
        <f aca="false">IF($B1697="","",IF($B1697="OUT","Liters",IFERROR(INDEX(Setup!$F$3:$F$24,MATCH($C1697,Setup!$A$3:$A$24,0)),"")))</f>
        <v/>
      </c>
      <c r="F1697" s="28" t="str">
        <f aca="false">IF(OR($D1697="",$E1697=""),"",IFERROR($D1697*INDEX(Setup!$B$27:$B$44,MATCH($E1697,Setup!$A$27:$A$44,0)),"TBD"))</f>
        <v/>
      </c>
      <c r="G1697" s="32"/>
      <c r="H1697" s="32"/>
      <c r="I1697" s="32"/>
      <c r="J1697" s="32"/>
      <c r="K1697" s="35"/>
      <c r="L1697" s="32"/>
      <c r="M1697" s="32"/>
    </row>
    <row r="1698" customFormat="false" ht="15" hidden="false" customHeight="true" outlineLevel="0" collapsed="false">
      <c r="A1698" s="32"/>
      <c r="B1698" s="32"/>
      <c r="C1698" s="32"/>
      <c r="D1698" s="32"/>
      <c r="E1698" s="34" t="str">
        <f aca="false">IF($B1698="","",IF($B1698="OUT","Liters",IFERROR(INDEX(Setup!$F$3:$F$24,MATCH($C1698,Setup!$A$3:$A$24,0)),"")))</f>
        <v/>
      </c>
      <c r="F1698" s="28" t="str">
        <f aca="false">IF(OR($D1698="",$E1698=""),"",IFERROR($D1698*INDEX(Setup!$B$27:$B$44,MATCH($E1698,Setup!$A$27:$A$44,0)),"TBD"))</f>
        <v/>
      </c>
      <c r="G1698" s="32"/>
      <c r="H1698" s="32"/>
      <c r="I1698" s="32"/>
      <c r="J1698" s="32"/>
      <c r="K1698" s="35"/>
      <c r="L1698" s="32"/>
      <c r="M1698" s="32"/>
    </row>
    <row r="1699" customFormat="false" ht="15" hidden="false" customHeight="true" outlineLevel="0" collapsed="false">
      <c r="A1699" s="32"/>
      <c r="B1699" s="32"/>
      <c r="C1699" s="32"/>
      <c r="D1699" s="32"/>
      <c r="E1699" s="34" t="str">
        <f aca="false">IF($B1699="","",IF($B1699="OUT","Liters",IFERROR(INDEX(Setup!$F$3:$F$24,MATCH($C1699,Setup!$A$3:$A$24,0)),"")))</f>
        <v/>
      </c>
      <c r="F1699" s="28" t="str">
        <f aca="false">IF(OR($D1699="",$E1699=""),"",IFERROR($D1699*INDEX(Setup!$B$27:$B$44,MATCH($E1699,Setup!$A$27:$A$44,0)),"TBD"))</f>
        <v/>
      </c>
      <c r="G1699" s="32"/>
      <c r="H1699" s="32"/>
      <c r="I1699" s="32"/>
      <c r="J1699" s="32"/>
      <c r="K1699" s="35"/>
      <c r="L1699" s="32"/>
      <c r="M1699" s="32"/>
    </row>
    <row r="1700" customFormat="false" ht="15" hidden="false" customHeight="true" outlineLevel="0" collapsed="false">
      <c r="A1700" s="32"/>
      <c r="B1700" s="32"/>
      <c r="C1700" s="32"/>
      <c r="D1700" s="32"/>
      <c r="E1700" s="34" t="str">
        <f aca="false">IF($B1700="","",IF($B1700="OUT","Liters",IFERROR(INDEX(Setup!$F$3:$F$24,MATCH($C1700,Setup!$A$3:$A$24,0)),"")))</f>
        <v/>
      </c>
      <c r="F1700" s="28" t="str">
        <f aca="false">IF(OR($D1700="",$E1700=""),"",IFERROR($D1700*INDEX(Setup!$B$27:$B$44,MATCH($E1700,Setup!$A$27:$A$44,0)),"TBD"))</f>
        <v/>
      </c>
      <c r="G1700" s="32"/>
      <c r="H1700" s="32"/>
      <c r="I1700" s="32"/>
      <c r="J1700" s="32"/>
      <c r="K1700" s="35"/>
      <c r="L1700" s="32"/>
      <c r="M1700" s="32"/>
    </row>
    <row r="1701" customFormat="false" ht="15" hidden="false" customHeight="true" outlineLevel="0" collapsed="false">
      <c r="A1701" s="32"/>
      <c r="B1701" s="32"/>
      <c r="C1701" s="32"/>
      <c r="D1701" s="32"/>
      <c r="E1701" s="34" t="str">
        <f aca="false">IF($B1701="","",IF($B1701="OUT","Liters",IFERROR(INDEX(Setup!$F$3:$F$24,MATCH($C1701,Setup!$A$3:$A$24,0)),"")))</f>
        <v/>
      </c>
      <c r="F1701" s="28" t="str">
        <f aca="false">IF(OR($D1701="",$E1701=""),"",IFERROR($D1701*INDEX(Setup!$B$27:$B$44,MATCH($E1701,Setup!$A$27:$A$44,0)),"TBD"))</f>
        <v/>
      </c>
      <c r="G1701" s="32"/>
      <c r="H1701" s="32"/>
      <c r="I1701" s="32"/>
      <c r="J1701" s="32"/>
      <c r="K1701" s="35"/>
      <c r="L1701" s="32"/>
      <c r="M1701" s="32"/>
    </row>
    <row r="1702" customFormat="false" ht="15" hidden="false" customHeight="true" outlineLevel="0" collapsed="false">
      <c r="A1702" s="32"/>
      <c r="B1702" s="32"/>
      <c r="C1702" s="32"/>
      <c r="D1702" s="32"/>
      <c r="E1702" s="34" t="str">
        <f aca="false">IF($B1702="","",IF($B1702="OUT","Liters",IFERROR(INDEX(Setup!$F$3:$F$24,MATCH($C1702,Setup!$A$3:$A$24,0)),"")))</f>
        <v/>
      </c>
      <c r="F1702" s="28" t="str">
        <f aca="false">IF(OR($D1702="",$E1702=""),"",IFERROR($D1702*INDEX(Setup!$B$27:$B$44,MATCH($E1702,Setup!$A$27:$A$44,0)),"TBD"))</f>
        <v/>
      </c>
      <c r="G1702" s="32"/>
      <c r="H1702" s="32"/>
      <c r="I1702" s="32"/>
      <c r="J1702" s="32"/>
      <c r="K1702" s="35"/>
      <c r="L1702" s="32"/>
      <c r="M1702" s="32"/>
    </row>
    <row r="1703" customFormat="false" ht="15" hidden="false" customHeight="true" outlineLevel="0" collapsed="false">
      <c r="A1703" s="32"/>
      <c r="B1703" s="32"/>
      <c r="C1703" s="32"/>
      <c r="D1703" s="32"/>
      <c r="E1703" s="34" t="str">
        <f aca="false">IF($B1703="","",IF($B1703="OUT","Liters",IFERROR(INDEX(Setup!$F$3:$F$24,MATCH($C1703,Setup!$A$3:$A$24,0)),"")))</f>
        <v/>
      </c>
      <c r="F1703" s="28" t="str">
        <f aca="false">IF(OR($D1703="",$E1703=""),"",IFERROR($D1703*INDEX(Setup!$B$27:$B$44,MATCH($E1703,Setup!$A$27:$A$44,0)),"TBD"))</f>
        <v/>
      </c>
      <c r="G1703" s="32"/>
      <c r="H1703" s="32"/>
      <c r="I1703" s="32"/>
      <c r="J1703" s="32"/>
      <c r="K1703" s="35"/>
      <c r="L1703" s="32"/>
      <c r="M1703" s="32"/>
    </row>
    <row r="1704" customFormat="false" ht="15" hidden="false" customHeight="true" outlineLevel="0" collapsed="false">
      <c r="A1704" s="32"/>
      <c r="B1704" s="32"/>
      <c r="C1704" s="32"/>
      <c r="D1704" s="32"/>
      <c r="E1704" s="34" t="str">
        <f aca="false">IF($B1704="","",IF($B1704="OUT","Liters",IFERROR(INDEX(Setup!$F$3:$F$24,MATCH($C1704,Setup!$A$3:$A$24,0)),"")))</f>
        <v/>
      </c>
      <c r="F1704" s="28" t="str">
        <f aca="false">IF(OR($D1704="",$E1704=""),"",IFERROR($D1704*INDEX(Setup!$B$27:$B$44,MATCH($E1704,Setup!$A$27:$A$44,0)),"TBD"))</f>
        <v/>
      </c>
      <c r="G1704" s="32"/>
      <c r="H1704" s="32"/>
      <c r="I1704" s="32"/>
      <c r="J1704" s="32"/>
      <c r="K1704" s="35"/>
      <c r="L1704" s="32"/>
      <c r="M1704" s="32"/>
    </row>
    <row r="1705" customFormat="false" ht="15" hidden="false" customHeight="true" outlineLevel="0" collapsed="false">
      <c r="A1705" s="32"/>
      <c r="B1705" s="32"/>
      <c r="C1705" s="32"/>
      <c r="D1705" s="32"/>
      <c r="E1705" s="34" t="str">
        <f aca="false">IF($B1705="","",IF($B1705="OUT","Liters",IFERROR(INDEX(Setup!$F$3:$F$24,MATCH($C1705,Setup!$A$3:$A$24,0)),"")))</f>
        <v/>
      </c>
      <c r="F1705" s="28" t="str">
        <f aca="false">IF(OR($D1705="",$E1705=""),"",IFERROR($D1705*INDEX(Setup!$B$27:$B$44,MATCH($E1705,Setup!$A$27:$A$44,0)),"TBD"))</f>
        <v/>
      </c>
      <c r="G1705" s="32"/>
      <c r="H1705" s="32"/>
      <c r="I1705" s="32"/>
      <c r="J1705" s="32"/>
      <c r="K1705" s="35"/>
      <c r="L1705" s="32"/>
      <c r="M1705" s="32"/>
    </row>
    <row r="1706" customFormat="false" ht="15" hidden="false" customHeight="true" outlineLevel="0" collapsed="false">
      <c r="A1706" s="32"/>
      <c r="B1706" s="32"/>
      <c r="C1706" s="32"/>
      <c r="D1706" s="32"/>
      <c r="E1706" s="34" t="str">
        <f aca="false">IF($B1706="","",IF($B1706="OUT","Liters",IFERROR(INDEX(Setup!$F$3:$F$24,MATCH($C1706,Setup!$A$3:$A$24,0)),"")))</f>
        <v/>
      </c>
      <c r="F1706" s="28" t="str">
        <f aca="false">IF(OR($D1706="",$E1706=""),"",IFERROR($D1706*INDEX(Setup!$B$27:$B$44,MATCH($E1706,Setup!$A$27:$A$44,0)),"TBD"))</f>
        <v/>
      </c>
      <c r="G1706" s="32"/>
      <c r="H1706" s="32"/>
      <c r="I1706" s="32"/>
      <c r="J1706" s="32"/>
      <c r="K1706" s="35"/>
      <c r="L1706" s="32"/>
      <c r="M1706" s="32"/>
    </row>
    <row r="1707" customFormat="false" ht="15" hidden="false" customHeight="true" outlineLevel="0" collapsed="false">
      <c r="A1707" s="32"/>
      <c r="B1707" s="32"/>
      <c r="C1707" s="32"/>
      <c r="D1707" s="32"/>
      <c r="E1707" s="34" t="str">
        <f aca="false">IF($B1707="","",IF($B1707="OUT","Liters",IFERROR(INDEX(Setup!$F$3:$F$24,MATCH($C1707,Setup!$A$3:$A$24,0)),"")))</f>
        <v/>
      </c>
      <c r="F1707" s="28" t="str">
        <f aca="false">IF(OR($D1707="",$E1707=""),"",IFERROR($D1707*INDEX(Setup!$B$27:$B$44,MATCH($E1707,Setup!$A$27:$A$44,0)),"TBD"))</f>
        <v/>
      </c>
      <c r="G1707" s="32"/>
      <c r="H1707" s="32"/>
      <c r="I1707" s="32"/>
      <c r="J1707" s="32"/>
      <c r="K1707" s="35"/>
      <c r="L1707" s="32"/>
      <c r="M1707" s="32"/>
    </row>
    <row r="1708" customFormat="false" ht="15" hidden="false" customHeight="true" outlineLevel="0" collapsed="false">
      <c r="A1708" s="32"/>
      <c r="B1708" s="32"/>
      <c r="C1708" s="32"/>
      <c r="D1708" s="32"/>
      <c r="E1708" s="34" t="str">
        <f aca="false">IF($B1708="","",IF($B1708="OUT","Liters",IFERROR(INDEX(Setup!$F$3:$F$24,MATCH($C1708,Setup!$A$3:$A$24,0)),"")))</f>
        <v/>
      </c>
      <c r="F1708" s="28" t="str">
        <f aca="false">IF(OR($D1708="",$E1708=""),"",IFERROR($D1708*INDEX(Setup!$B$27:$B$44,MATCH($E1708,Setup!$A$27:$A$44,0)),"TBD"))</f>
        <v/>
      </c>
      <c r="G1708" s="32"/>
      <c r="H1708" s="32"/>
      <c r="I1708" s="32"/>
      <c r="J1708" s="32"/>
      <c r="K1708" s="35"/>
      <c r="L1708" s="32"/>
      <c r="M1708" s="32"/>
    </row>
    <row r="1709" customFormat="false" ht="15" hidden="false" customHeight="true" outlineLevel="0" collapsed="false">
      <c r="A1709" s="32"/>
      <c r="B1709" s="32"/>
      <c r="C1709" s="32"/>
      <c r="D1709" s="32"/>
      <c r="E1709" s="34" t="str">
        <f aca="false">IF($B1709="","",IF($B1709="OUT","Liters",IFERROR(INDEX(Setup!$F$3:$F$24,MATCH($C1709,Setup!$A$3:$A$24,0)),"")))</f>
        <v/>
      </c>
      <c r="F1709" s="28" t="str">
        <f aca="false">IF(OR($D1709="",$E1709=""),"",IFERROR($D1709*INDEX(Setup!$B$27:$B$44,MATCH($E1709,Setup!$A$27:$A$44,0)),"TBD"))</f>
        <v/>
      </c>
      <c r="G1709" s="32"/>
      <c r="H1709" s="32"/>
      <c r="I1709" s="32"/>
      <c r="J1709" s="32"/>
      <c r="K1709" s="35"/>
      <c r="L1709" s="32"/>
      <c r="M1709" s="32"/>
    </row>
    <row r="1710" customFormat="false" ht="15" hidden="false" customHeight="true" outlineLevel="0" collapsed="false">
      <c r="A1710" s="32"/>
      <c r="B1710" s="32"/>
      <c r="C1710" s="32"/>
      <c r="D1710" s="32"/>
      <c r="E1710" s="34" t="str">
        <f aca="false">IF($B1710="","",IF($B1710="OUT","Liters",IFERROR(INDEX(Setup!$F$3:$F$24,MATCH($C1710,Setup!$A$3:$A$24,0)),"")))</f>
        <v/>
      </c>
      <c r="F1710" s="28" t="str">
        <f aca="false">IF(OR($D1710="",$E1710=""),"",IFERROR($D1710*INDEX(Setup!$B$27:$B$44,MATCH($E1710,Setup!$A$27:$A$44,0)),"TBD"))</f>
        <v/>
      </c>
      <c r="G1710" s="32"/>
      <c r="H1710" s="32"/>
      <c r="I1710" s="32"/>
      <c r="J1710" s="32"/>
      <c r="K1710" s="35"/>
      <c r="L1710" s="32"/>
      <c r="M1710" s="32"/>
    </row>
    <row r="1711" customFormat="false" ht="15" hidden="false" customHeight="true" outlineLevel="0" collapsed="false">
      <c r="A1711" s="32"/>
      <c r="B1711" s="32"/>
      <c r="C1711" s="32"/>
      <c r="D1711" s="32"/>
      <c r="E1711" s="34" t="str">
        <f aca="false">IF($B1711="","",IF($B1711="OUT","Liters",IFERROR(INDEX(Setup!$F$3:$F$24,MATCH($C1711,Setup!$A$3:$A$24,0)),"")))</f>
        <v/>
      </c>
      <c r="F1711" s="28" t="str">
        <f aca="false">IF(OR($D1711="",$E1711=""),"",IFERROR($D1711*INDEX(Setup!$B$27:$B$44,MATCH($E1711,Setup!$A$27:$A$44,0)),"TBD"))</f>
        <v/>
      </c>
      <c r="G1711" s="32"/>
      <c r="H1711" s="32"/>
      <c r="I1711" s="32"/>
      <c r="J1711" s="32"/>
      <c r="K1711" s="35"/>
      <c r="L1711" s="32"/>
      <c r="M1711" s="32"/>
    </row>
    <row r="1712" customFormat="false" ht="15" hidden="false" customHeight="true" outlineLevel="0" collapsed="false">
      <c r="A1712" s="32"/>
      <c r="B1712" s="32"/>
      <c r="C1712" s="32"/>
      <c r="D1712" s="32"/>
      <c r="E1712" s="34" t="str">
        <f aca="false">IF($B1712="","",IF($B1712="OUT","Liters",IFERROR(INDEX(Setup!$F$3:$F$24,MATCH($C1712,Setup!$A$3:$A$24,0)),"")))</f>
        <v/>
      </c>
      <c r="F1712" s="28" t="str">
        <f aca="false">IF(OR($D1712="",$E1712=""),"",IFERROR($D1712*INDEX(Setup!$B$27:$B$44,MATCH($E1712,Setup!$A$27:$A$44,0)),"TBD"))</f>
        <v/>
      </c>
      <c r="G1712" s="32"/>
      <c r="H1712" s="32"/>
      <c r="I1712" s="32"/>
      <c r="J1712" s="32"/>
      <c r="K1712" s="35"/>
      <c r="L1712" s="32"/>
      <c r="M1712" s="32"/>
    </row>
    <row r="1713" customFormat="false" ht="15" hidden="false" customHeight="true" outlineLevel="0" collapsed="false">
      <c r="A1713" s="32"/>
      <c r="B1713" s="32"/>
      <c r="C1713" s="32"/>
      <c r="D1713" s="32"/>
      <c r="E1713" s="34" t="str">
        <f aca="false">IF($B1713="","",IF($B1713="OUT","Liters",IFERROR(INDEX(Setup!$F$3:$F$24,MATCH($C1713,Setup!$A$3:$A$24,0)),"")))</f>
        <v/>
      </c>
      <c r="F1713" s="28" t="str">
        <f aca="false">IF(OR($D1713="",$E1713=""),"",IFERROR($D1713*INDEX(Setup!$B$27:$B$44,MATCH($E1713,Setup!$A$27:$A$44,0)),"TBD"))</f>
        <v/>
      </c>
      <c r="G1713" s="32"/>
      <c r="H1713" s="32"/>
      <c r="I1713" s="32"/>
      <c r="J1713" s="32"/>
      <c r="K1713" s="35"/>
      <c r="L1713" s="32"/>
      <c r="M1713" s="32"/>
    </row>
    <row r="1714" customFormat="false" ht="15" hidden="false" customHeight="true" outlineLevel="0" collapsed="false">
      <c r="A1714" s="32"/>
      <c r="B1714" s="32"/>
      <c r="C1714" s="32"/>
      <c r="D1714" s="32"/>
      <c r="E1714" s="34" t="str">
        <f aca="false">IF($B1714="","",IF($B1714="OUT","Liters",IFERROR(INDEX(Setup!$F$3:$F$24,MATCH($C1714,Setup!$A$3:$A$24,0)),"")))</f>
        <v/>
      </c>
      <c r="F1714" s="28" t="str">
        <f aca="false">IF(OR($D1714="",$E1714=""),"",IFERROR($D1714*INDEX(Setup!$B$27:$B$44,MATCH($E1714,Setup!$A$27:$A$44,0)),"TBD"))</f>
        <v/>
      </c>
      <c r="G1714" s="32"/>
      <c r="H1714" s="32"/>
      <c r="I1714" s="32"/>
      <c r="J1714" s="32"/>
      <c r="K1714" s="35"/>
      <c r="L1714" s="32"/>
      <c r="M1714" s="32"/>
    </row>
    <row r="1715" customFormat="false" ht="15" hidden="false" customHeight="true" outlineLevel="0" collapsed="false">
      <c r="A1715" s="32"/>
      <c r="B1715" s="32"/>
      <c r="C1715" s="32"/>
      <c r="D1715" s="32"/>
      <c r="E1715" s="34" t="str">
        <f aca="false">IF($B1715="","",IF($B1715="OUT","Liters",IFERROR(INDEX(Setup!$F$3:$F$24,MATCH($C1715,Setup!$A$3:$A$24,0)),"")))</f>
        <v/>
      </c>
      <c r="F1715" s="28" t="str">
        <f aca="false">IF(OR($D1715="",$E1715=""),"",IFERROR($D1715*INDEX(Setup!$B$27:$B$44,MATCH($E1715,Setup!$A$27:$A$44,0)),"TBD"))</f>
        <v/>
      </c>
      <c r="G1715" s="32"/>
      <c r="H1715" s="32"/>
      <c r="I1715" s="32"/>
      <c r="J1715" s="32"/>
      <c r="K1715" s="35"/>
      <c r="L1715" s="32"/>
      <c r="M1715" s="32"/>
    </row>
    <row r="1716" customFormat="false" ht="15" hidden="false" customHeight="true" outlineLevel="0" collapsed="false">
      <c r="A1716" s="32"/>
      <c r="B1716" s="32"/>
      <c r="C1716" s="32"/>
      <c r="D1716" s="32"/>
      <c r="E1716" s="34" t="str">
        <f aca="false">IF($B1716="","",IF($B1716="OUT","Liters",IFERROR(INDEX(Setup!$F$3:$F$24,MATCH($C1716,Setup!$A$3:$A$24,0)),"")))</f>
        <v/>
      </c>
      <c r="F1716" s="28" t="str">
        <f aca="false">IF(OR($D1716="",$E1716=""),"",IFERROR($D1716*INDEX(Setup!$B$27:$B$44,MATCH($E1716,Setup!$A$27:$A$44,0)),"TBD"))</f>
        <v/>
      </c>
      <c r="G1716" s="32"/>
      <c r="H1716" s="32"/>
      <c r="I1716" s="32"/>
      <c r="J1716" s="32"/>
      <c r="K1716" s="35"/>
      <c r="L1716" s="32"/>
      <c r="M1716" s="32"/>
    </row>
    <row r="1717" customFormat="false" ht="15" hidden="false" customHeight="true" outlineLevel="0" collapsed="false">
      <c r="A1717" s="32"/>
      <c r="B1717" s="32"/>
      <c r="C1717" s="32"/>
      <c r="D1717" s="32"/>
      <c r="E1717" s="34" t="str">
        <f aca="false">IF($B1717="","",IF($B1717="OUT","Liters",IFERROR(INDEX(Setup!$F$3:$F$24,MATCH($C1717,Setup!$A$3:$A$24,0)),"")))</f>
        <v/>
      </c>
      <c r="F1717" s="28" t="str">
        <f aca="false">IF(OR($D1717="",$E1717=""),"",IFERROR($D1717*INDEX(Setup!$B$27:$B$44,MATCH($E1717,Setup!$A$27:$A$44,0)),"TBD"))</f>
        <v/>
      </c>
      <c r="G1717" s="32"/>
      <c r="H1717" s="32"/>
      <c r="I1717" s="32"/>
      <c r="J1717" s="32"/>
      <c r="K1717" s="35"/>
      <c r="L1717" s="32"/>
      <c r="M1717" s="32"/>
    </row>
    <row r="1718" customFormat="false" ht="15" hidden="false" customHeight="true" outlineLevel="0" collapsed="false">
      <c r="A1718" s="32"/>
      <c r="B1718" s="32"/>
      <c r="C1718" s="32"/>
      <c r="D1718" s="32"/>
      <c r="E1718" s="34" t="str">
        <f aca="false">IF($B1718="","",IF($B1718="OUT","Liters",IFERROR(INDEX(Setup!$F$3:$F$24,MATCH($C1718,Setup!$A$3:$A$24,0)),"")))</f>
        <v/>
      </c>
      <c r="F1718" s="28" t="str">
        <f aca="false">IF(OR($D1718="",$E1718=""),"",IFERROR($D1718*INDEX(Setup!$B$27:$B$44,MATCH($E1718,Setup!$A$27:$A$44,0)),"TBD"))</f>
        <v/>
      </c>
      <c r="G1718" s="32"/>
      <c r="H1718" s="32"/>
      <c r="I1718" s="32"/>
      <c r="J1718" s="32"/>
      <c r="K1718" s="35"/>
      <c r="L1718" s="32"/>
      <c r="M1718" s="32"/>
    </row>
    <row r="1719" customFormat="false" ht="15" hidden="false" customHeight="true" outlineLevel="0" collapsed="false">
      <c r="A1719" s="32"/>
      <c r="B1719" s="32"/>
      <c r="C1719" s="32"/>
      <c r="D1719" s="32"/>
      <c r="E1719" s="34" t="str">
        <f aca="false">IF($B1719="","",IF($B1719="OUT","Liters",IFERROR(INDEX(Setup!$F$3:$F$24,MATCH($C1719,Setup!$A$3:$A$24,0)),"")))</f>
        <v/>
      </c>
      <c r="F1719" s="28" t="str">
        <f aca="false">IF(OR($D1719="",$E1719=""),"",IFERROR($D1719*INDEX(Setup!$B$27:$B$44,MATCH($E1719,Setup!$A$27:$A$44,0)),"TBD"))</f>
        <v/>
      </c>
      <c r="G1719" s="32"/>
      <c r="H1719" s="32"/>
      <c r="I1719" s="32"/>
      <c r="J1719" s="32"/>
      <c r="K1719" s="35"/>
      <c r="L1719" s="32"/>
      <c r="M1719" s="32"/>
    </row>
    <row r="1720" customFormat="false" ht="15" hidden="false" customHeight="true" outlineLevel="0" collapsed="false">
      <c r="A1720" s="32"/>
      <c r="B1720" s="32"/>
      <c r="C1720" s="32"/>
      <c r="D1720" s="32"/>
      <c r="E1720" s="34" t="str">
        <f aca="false">IF($B1720="","",IF($B1720="OUT","Liters",IFERROR(INDEX(Setup!$F$3:$F$24,MATCH($C1720,Setup!$A$3:$A$24,0)),"")))</f>
        <v/>
      </c>
      <c r="F1720" s="28" t="str">
        <f aca="false">IF(OR($D1720="",$E1720=""),"",IFERROR($D1720*INDEX(Setup!$B$27:$B$44,MATCH($E1720,Setup!$A$27:$A$44,0)),"TBD"))</f>
        <v/>
      </c>
      <c r="G1720" s="32"/>
      <c r="H1720" s="32"/>
      <c r="I1720" s="32"/>
      <c r="J1720" s="32"/>
      <c r="K1720" s="35"/>
      <c r="L1720" s="32"/>
      <c r="M1720" s="32"/>
    </row>
    <row r="1721" customFormat="false" ht="15" hidden="false" customHeight="true" outlineLevel="0" collapsed="false">
      <c r="A1721" s="32"/>
      <c r="B1721" s="32"/>
      <c r="C1721" s="32"/>
      <c r="D1721" s="32"/>
      <c r="E1721" s="34" t="str">
        <f aca="false">IF($B1721="","",IF($B1721="OUT","Liters",IFERROR(INDEX(Setup!$F$3:$F$24,MATCH($C1721,Setup!$A$3:$A$24,0)),"")))</f>
        <v/>
      </c>
      <c r="F1721" s="28" t="str">
        <f aca="false">IF(OR($D1721="",$E1721=""),"",IFERROR($D1721*INDEX(Setup!$B$27:$B$44,MATCH($E1721,Setup!$A$27:$A$44,0)),"TBD"))</f>
        <v/>
      </c>
      <c r="G1721" s="32"/>
      <c r="H1721" s="32"/>
      <c r="I1721" s="32"/>
      <c r="J1721" s="32"/>
      <c r="K1721" s="35"/>
      <c r="L1721" s="32"/>
      <c r="M1721" s="32"/>
    </row>
    <row r="1722" customFormat="false" ht="15" hidden="false" customHeight="true" outlineLevel="0" collapsed="false">
      <c r="A1722" s="32"/>
      <c r="B1722" s="32"/>
      <c r="C1722" s="32"/>
      <c r="D1722" s="32"/>
      <c r="E1722" s="34" t="str">
        <f aca="false">IF($B1722="","",IF($B1722="OUT","Liters",IFERROR(INDEX(Setup!$F$3:$F$24,MATCH($C1722,Setup!$A$3:$A$24,0)),"")))</f>
        <v/>
      </c>
      <c r="F1722" s="28" t="str">
        <f aca="false">IF(OR($D1722="",$E1722=""),"",IFERROR($D1722*INDEX(Setup!$B$27:$B$44,MATCH($E1722,Setup!$A$27:$A$44,0)),"TBD"))</f>
        <v/>
      </c>
      <c r="G1722" s="32"/>
      <c r="H1722" s="32"/>
      <c r="I1722" s="32"/>
      <c r="J1722" s="32"/>
      <c r="K1722" s="35"/>
      <c r="L1722" s="32"/>
      <c r="M1722" s="32"/>
    </row>
    <row r="1723" customFormat="false" ht="15" hidden="false" customHeight="true" outlineLevel="0" collapsed="false">
      <c r="A1723" s="32"/>
      <c r="B1723" s="32"/>
      <c r="C1723" s="32"/>
      <c r="D1723" s="32"/>
      <c r="E1723" s="34" t="str">
        <f aca="false">IF($B1723="","",IF($B1723="OUT","Liters",IFERROR(INDEX(Setup!$F$3:$F$24,MATCH($C1723,Setup!$A$3:$A$24,0)),"")))</f>
        <v/>
      </c>
      <c r="F1723" s="28" t="str">
        <f aca="false">IF(OR($D1723="",$E1723=""),"",IFERROR($D1723*INDEX(Setup!$B$27:$B$44,MATCH($E1723,Setup!$A$27:$A$44,0)),"TBD"))</f>
        <v/>
      </c>
      <c r="G1723" s="32"/>
      <c r="H1723" s="32"/>
      <c r="I1723" s="32"/>
      <c r="J1723" s="32"/>
      <c r="K1723" s="35"/>
      <c r="L1723" s="32"/>
      <c r="M1723" s="32"/>
    </row>
    <row r="1724" customFormat="false" ht="15" hidden="false" customHeight="true" outlineLevel="0" collapsed="false">
      <c r="A1724" s="32"/>
      <c r="B1724" s="32"/>
      <c r="C1724" s="32"/>
      <c r="D1724" s="32"/>
      <c r="E1724" s="34" t="str">
        <f aca="false">IF($B1724="","",IF($B1724="OUT","Liters",IFERROR(INDEX(Setup!$F$3:$F$24,MATCH($C1724,Setup!$A$3:$A$24,0)),"")))</f>
        <v/>
      </c>
      <c r="F1724" s="28" t="str">
        <f aca="false">IF(OR($D1724="",$E1724=""),"",IFERROR($D1724*INDEX(Setup!$B$27:$B$44,MATCH($E1724,Setup!$A$27:$A$44,0)),"TBD"))</f>
        <v/>
      </c>
      <c r="G1724" s="32"/>
      <c r="H1724" s="32"/>
      <c r="I1724" s="32"/>
      <c r="J1724" s="32"/>
      <c r="K1724" s="35"/>
      <c r="L1724" s="32"/>
      <c r="M1724" s="32"/>
    </row>
    <row r="1725" customFormat="false" ht="15" hidden="false" customHeight="true" outlineLevel="0" collapsed="false">
      <c r="A1725" s="32"/>
      <c r="B1725" s="32"/>
      <c r="C1725" s="32"/>
      <c r="D1725" s="32"/>
      <c r="E1725" s="34" t="str">
        <f aca="false">IF($B1725="","",IF($B1725="OUT","Liters",IFERROR(INDEX(Setup!$F$3:$F$24,MATCH($C1725,Setup!$A$3:$A$24,0)),"")))</f>
        <v/>
      </c>
      <c r="F1725" s="28" t="str">
        <f aca="false">IF(OR($D1725="",$E1725=""),"",IFERROR($D1725*INDEX(Setup!$B$27:$B$44,MATCH($E1725,Setup!$A$27:$A$44,0)),"TBD"))</f>
        <v/>
      </c>
      <c r="G1725" s="32"/>
      <c r="H1725" s="32"/>
      <c r="I1725" s="32"/>
      <c r="J1725" s="32"/>
      <c r="K1725" s="35"/>
      <c r="L1725" s="32"/>
      <c r="M1725" s="32"/>
    </row>
    <row r="1726" customFormat="false" ht="15" hidden="false" customHeight="true" outlineLevel="0" collapsed="false">
      <c r="A1726" s="32"/>
      <c r="B1726" s="32"/>
      <c r="C1726" s="32"/>
      <c r="D1726" s="32"/>
      <c r="E1726" s="34" t="str">
        <f aca="false">IF($B1726="","",IF($B1726="OUT","Liters",IFERROR(INDEX(Setup!$F$3:$F$24,MATCH($C1726,Setup!$A$3:$A$24,0)),"")))</f>
        <v/>
      </c>
      <c r="F1726" s="28" t="str">
        <f aca="false">IF(OR($D1726="",$E1726=""),"",IFERROR($D1726*INDEX(Setup!$B$27:$B$44,MATCH($E1726,Setup!$A$27:$A$44,0)),"TBD"))</f>
        <v/>
      </c>
      <c r="G1726" s="32"/>
      <c r="H1726" s="32"/>
      <c r="I1726" s="32"/>
      <c r="J1726" s="32"/>
      <c r="K1726" s="35"/>
      <c r="L1726" s="32"/>
      <c r="M1726" s="32"/>
    </row>
    <row r="1727" customFormat="false" ht="15" hidden="false" customHeight="true" outlineLevel="0" collapsed="false">
      <c r="A1727" s="32"/>
      <c r="B1727" s="32"/>
      <c r="C1727" s="32"/>
      <c r="D1727" s="32"/>
      <c r="E1727" s="34" t="str">
        <f aca="false">IF($B1727="","",IF($B1727="OUT","Liters",IFERROR(INDEX(Setup!$F$3:$F$24,MATCH($C1727,Setup!$A$3:$A$24,0)),"")))</f>
        <v/>
      </c>
      <c r="F1727" s="28" t="str">
        <f aca="false">IF(OR($D1727="",$E1727=""),"",IFERROR($D1727*INDEX(Setup!$B$27:$B$44,MATCH($E1727,Setup!$A$27:$A$44,0)),"TBD"))</f>
        <v/>
      </c>
      <c r="G1727" s="32"/>
      <c r="H1727" s="32"/>
      <c r="I1727" s="32"/>
      <c r="J1727" s="32"/>
      <c r="K1727" s="35"/>
      <c r="L1727" s="32"/>
      <c r="M1727" s="32"/>
    </row>
    <row r="1728" customFormat="false" ht="15" hidden="false" customHeight="true" outlineLevel="0" collapsed="false">
      <c r="A1728" s="32"/>
      <c r="B1728" s="32"/>
      <c r="C1728" s="32"/>
      <c r="D1728" s="32"/>
      <c r="E1728" s="34" t="str">
        <f aca="false">IF($B1728="","",IF($B1728="OUT","Liters",IFERROR(INDEX(Setup!$F$3:$F$24,MATCH($C1728,Setup!$A$3:$A$24,0)),"")))</f>
        <v/>
      </c>
      <c r="F1728" s="28" t="str">
        <f aca="false">IF(OR($D1728="",$E1728=""),"",IFERROR($D1728*INDEX(Setup!$B$27:$B$44,MATCH($E1728,Setup!$A$27:$A$44,0)),"TBD"))</f>
        <v/>
      </c>
      <c r="G1728" s="32"/>
      <c r="H1728" s="32"/>
      <c r="I1728" s="32"/>
      <c r="J1728" s="32"/>
      <c r="K1728" s="35"/>
      <c r="L1728" s="32"/>
      <c r="M1728" s="32"/>
    </row>
    <row r="1729" customFormat="false" ht="15" hidden="false" customHeight="true" outlineLevel="0" collapsed="false">
      <c r="A1729" s="32"/>
      <c r="B1729" s="32"/>
      <c r="C1729" s="32"/>
      <c r="D1729" s="32"/>
      <c r="E1729" s="34" t="str">
        <f aca="false">IF($B1729="","",IF($B1729="OUT","Liters",IFERROR(INDEX(Setup!$F$3:$F$24,MATCH($C1729,Setup!$A$3:$A$24,0)),"")))</f>
        <v/>
      </c>
      <c r="F1729" s="28" t="str">
        <f aca="false">IF(OR($D1729="",$E1729=""),"",IFERROR($D1729*INDEX(Setup!$B$27:$B$44,MATCH($E1729,Setup!$A$27:$A$44,0)),"TBD"))</f>
        <v/>
      </c>
      <c r="G1729" s="32"/>
      <c r="H1729" s="32"/>
      <c r="I1729" s="32"/>
      <c r="J1729" s="32"/>
      <c r="K1729" s="35"/>
      <c r="L1729" s="32"/>
      <c r="M1729" s="32"/>
    </row>
    <row r="1730" customFormat="false" ht="15" hidden="false" customHeight="true" outlineLevel="0" collapsed="false">
      <c r="A1730" s="32"/>
      <c r="B1730" s="32"/>
      <c r="C1730" s="32"/>
      <c r="D1730" s="32"/>
      <c r="E1730" s="34" t="str">
        <f aca="false">IF($B1730="","",IF($B1730="OUT","Liters",IFERROR(INDEX(Setup!$F$3:$F$24,MATCH($C1730,Setup!$A$3:$A$24,0)),"")))</f>
        <v/>
      </c>
      <c r="F1730" s="28" t="str">
        <f aca="false">IF(OR($D1730="",$E1730=""),"",IFERROR($D1730*INDEX(Setup!$B$27:$B$44,MATCH($E1730,Setup!$A$27:$A$44,0)),"TBD"))</f>
        <v/>
      </c>
      <c r="G1730" s="32"/>
      <c r="H1730" s="32"/>
      <c r="I1730" s="32"/>
      <c r="J1730" s="32"/>
      <c r="K1730" s="35"/>
      <c r="L1730" s="32"/>
      <c r="M1730" s="32"/>
    </row>
    <row r="1731" customFormat="false" ht="15" hidden="false" customHeight="true" outlineLevel="0" collapsed="false">
      <c r="A1731" s="32"/>
      <c r="B1731" s="32"/>
      <c r="C1731" s="32"/>
      <c r="D1731" s="32"/>
      <c r="E1731" s="34" t="str">
        <f aca="false">IF($B1731="","",IF($B1731="OUT","Liters",IFERROR(INDEX(Setup!$F$3:$F$24,MATCH($C1731,Setup!$A$3:$A$24,0)),"")))</f>
        <v/>
      </c>
      <c r="F1731" s="28" t="str">
        <f aca="false">IF(OR($D1731="",$E1731=""),"",IFERROR($D1731*INDEX(Setup!$B$27:$B$44,MATCH($E1731,Setup!$A$27:$A$44,0)),"TBD"))</f>
        <v/>
      </c>
      <c r="G1731" s="32"/>
      <c r="H1731" s="32"/>
      <c r="I1731" s="32"/>
      <c r="J1731" s="32"/>
      <c r="K1731" s="35"/>
      <c r="L1731" s="32"/>
      <c r="M1731" s="32"/>
    </row>
    <row r="1732" customFormat="false" ht="15" hidden="false" customHeight="true" outlineLevel="0" collapsed="false">
      <c r="A1732" s="32"/>
      <c r="B1732" s="32"/>
      <c r="C1732" s="32"/>
      <c r="D1732" s="32"/>
      <c r="E1732" s="34" t="str">
        <f aca="false">IF($B1732="","",IF($B1732="OUT","Liters",IFERROR(INDEX(Setup!$F$3:$F$24,MATCH($C1732,Setup!$A$3:$A$24,0)),"")))</f>
        <v/>
      </c>
      <c r="F1732" s="28" t="str">
        <f aca="false">IF(OR($D1732="",$E1732=""),"",IFERROR($D1732*INDEX(Setup!$B$27:$B$44,MATCH($E1732,Setup!$A$27:$A$44,0)),"TBD"))</f>
        <v/>
      </c>
      <c r="G1732" s="32"/>
      <c r="H1732" s="32"/>
      <c r="I1732" s="32"/>
      <c r="J1732" s="32"/>
      <c r="K1732" s="35"/>
      <c r="L1732" s="32"/>
      <c r="M1732" s="32"/>
    </row>
    <row r="1733" customFormat="false" ht="15" hidden="false" customHeight="true" outlineLevel="0" collapsed="false">
      <c r="A1733" s="32"/>
      <c r="B1733" s="32"/>
      <c r="C1733" s="32"/>
      <c r="D1733" s="32"/>
      <c r="E1733" s="34" t="str">
        <f aca="false">IF($B1733="","",IF($B1733="OUT","Liters",IFERROR(INDEX(Setup!$F$3:$F$24,MATCH($C1733,Setup!$A$3:$A$24,0)),"")))</f>
        <v/>
      </c>
      <c r="F1733" s="28" t="str">
        <f aca="false">IF(OR($D1733="",$E1733=""),"",IFERROR($D1733*INDEX(Setup!$B$27:$B$44,MATCH($E1733,Setup!$A$27:$A$44,0)),"TBD"))</f>
        <v/>
      </c>
      <c r="G1733" s="32"/>
      <c r="H1733" s="32"/>
      <c r="I1733" s="32"/>
      <c r="J1733" s="32"/>
      <c r="K1733" s="35"/>
      <c r="L1733" s="32"/>
      <c r="M1733" s="32"/>
    </row>
    <row r="1734" customFormat="false" ht="15" hidden="false" customHeight="true" outlineLevel="0" collapsed="false">
      <c r="A1734" s="32"/>
      <c r="B1734" s="32"/>
      <c r="C1734" s="32"/>
      <c r="D1734" s="32"/>
      <c r="E1734" s="34" t="str">
        <f aca="false">IF($B1734="","",IF($B1734="OUT","Liters",IFERROR(INDEX(Setup!$F$3:$F$24,MATCH($C1734,Setup!$A$3:$A$24,0)),"")))</f>
        <v/>
      </c>
      <c r="F1734" s="28" t="str">
        <f aca="false">IF(OR($D1734="",$E1734=""),"",IFERROR($D1734*INDEX(Setup!$B$27:$B$44,MATCH($E1734,Setup!$A$27:$A$44,0)),"TBD"))</f>
        <v/>
      </c>
      <c r="G1734" s="32"/>
      <c r="H1734" s="32"/>
      <c r="I1734" s="32"/>
      <c r="J1734" s="32"/>
      <c r="K1734" s="35"/>
      <c r="L1734" s="32"/>
      <c r="M1734" s="32"/>
    </row>
    <row r="1735" customFormat="false" ht="15" hidden="false" customHeight="true" outlineLevel="0" collapsed="false">
      <c r="A1735" s="32"/>
      <c r="B1735" s="32"/>
      <c r="C1735" s="32"/>
      <c r="D1735" s="32"/>
      <c r="E1735" s="34" t="str">
        <f aca="false">IF($B1735="","",IF($B1735="OUT","Liters",IFERROR(INDEX(Setup!$F$3:$F$24,MATCH($C1735,Setup!$A$3:$A$24,0)),"")))</f>
        <v/>
      </c>
      <c r="F1735" s="28" t="str">
        <f aca="false">IF(OR($D1735="",$E1735=""),"",IFERROR($D1735*INDEX(Setup!$B$27:$B$44,MATCH($E1735,Setup!$A$27:$A$44,0)),"TBD"))</f>
        <v/>
      </c>
      <c r="G1735" s="32"/>
      <c r="H1735" s="32"/>
      <c r="I1735" s="32"/>
      <c r="J1735" s="32"/>
      <c r="K1735" s="35"/>
      <c r="L1735" s="32"/>
      <c r="M1735" s="32"/>
    </row>
    <row r="1736" customFormat="false" ht="15" hidden="false" customHeight="true" outlineLevel="0" collapsed="false">
      <c r="A1736" s="32"/>
      <c r="B1736" s="32"/>
      <c r="C1736" s="32"/>
      <c r="D1736" s="32"/>
      <c r="E1736" s="34" t="str">
        <f aca="false">IF($B1736="","",IF($B1736="OUT","Liters",IFERROR(INDEX(Setup!$F$3:$F$24,MATCH($C1736,Setup!$A$3:$A$24,0)),"")))</f>
        <v/>
      </c>
      <c r="F1736" s="28" t="str">
        <f aca="false">IF(OR($D1736="",$E1736=""),"",IFERROR($D1736*INDEX(Setup!$B$27:$B$44,MATCH($E1736,Setup!$A$27:$A$44,0)),"TBD"))</f>
        <v/>
      </c>
      <c r="G1736" s="32"/>
      <c r="H1736" s="32"/>
      <c r="I1736" s="32"/>
      <c r="J1736" s="32"/>
      <c r="K1736" s="35"/>
      <c r="L1736" s="32"/>
      <c r="M1736" s="32"/>
    </row>
    <row r="1737" customFormat="false" ht="15" hidden="false" customHeight="true" outlineLevel="0" collapsed="false">
      <c r="A1737" s="32"/>
      <c r="B1737" s="32"/>
      <c r="C1737" s="32"/>
      <c r="D1737" s="32"/>
      <c r="E1737" s="34" t="str">
        <f aca="false">IF($B1737="","",IF($B1737="OUT","Liters",IFERROR(INDEX(Setup!$F$3:$F$24,MATCH($C1737,Setup!$A$3:$A$24,0)),"")))</f>
        <v/>
      </c>
      <c r="F1737" s="28" t="str">
        <f aca="false">IF(OR($D1737="",$E1737=""),"",IFERROR($D1737*INDEX(Setup!$B$27:$B$44,MATCH($E1737,Setup!$A$27:$A$44,0)),"TBD"))</f>
        <v/>
      </c>
      <c r="G1737" s="32"/>
      <c r="H1737" s="32"/>
      <c r="I1737" s="32"/>
      <c r="J1737" s="32"/>
      <c r="K1737" s="35"/>
      <c r="L1737" s="32"/>
      <c r="M1737" s="32"/>
    </row>
    <row r="1738" customFormat="false" ht="15" hidden="false" customHeight="true" outlineLevel="0" collapsed="false">
      <c r="A1738" s="32"/>
      <c r="B1738" s="32"/>
      <c r="C1738" s="32"/>
      <c r="D1738" s="32"/>
      <c r="E1738" s="34" t="str">
        <f aca="false">IF($B1738="","",IF($B1738="OUT","Liters",IFERROR(INDEX(Setup!$F$3:$F$24,MATCH($C1738,Setup!$A$3:$A$24,0)),"")))</f>
        <v/>
      </c>
      <c r="F1738" s="28" t="str">
        <f aca="false">IF(OR($D1738="",$E1738=""),"",IFERROR($D1738*INDEX(Setup!$B$27:$B$44,MATCH($E1738,Setup!$A$27:$A$44,0)),"TBD"))</f>
        <v/>
      </c>
      <c r="G1738" s="32"/>
      <c r="H1738" s="32"/>
      <c r="I1738" s="32"/>
      <c r="J1738" s="32"/>
      <c r="K1738" s="35"/>
      <c r="L1738" s="32"/>
      <c r="M1738" s="32"/>
    </row>
    <row r="1739" customFormat="false" ht="15" hidden="false" customHeight="true" outlineLevel="0" collapsed="false">
      <c r="A1739" s="32"/>
      <c r="B1739" s="32"/>
      <c r="C1739" s="32"/>
      <c r="D1739" s="32"/>
      <c r="E1739" s="34" t="str">
        <f aca="false">IF($B1739="","",IF($B1739="OUT","Liters",IFERROR(INDEX(Setup!$F$3:$F$24,MATCH($C1739,Setup!$A$3:$A$24,0)),"")))</f>
        <v/>
      </c>
      <c r="F1739" s="28" t="str">
        <f aca="false">IF(OR($D1739="",$E1739=""),"",IFERROR($D1739*INDEX(Setup!$B$27:$B$44,MATCH($E1739,Setup!$A$27:$A$44,0)),"TBD"))</f>
        <v/>
      </c>
      <c r="G1739" s="32"/>
      <c r="H1739" s="32"/>
      <c r="I1739" s="32"/>
      <c r="J1739" s="32"/>
      <c r="K1739" s="35"/>
      <c r="L1739" s="32"/>
      <c r="M1739" s="32"/>
    </row>
    <row r="1740" customFormat="false" ht="15" hidden="false" customHeight="true" outlineLevel="0" collapsed="false">
      <c r="A1740" s="32"/>
      <c r="B1740" s="32"/>
      <c r="C1740" s="32"/>
      <c r="D1740" s="32"/>
      <c r="E1740" s="34" t="str">
        <f aca="false">IF($B1740="","",IF($B1740="OUT","Liters",IFERROR(INDEX(Setup!$F$3:$F$24,MATCH($C1740,Setup!$A$3:$A$24,0)),"")))</f>
        <v/>
      </c>
      <c r="F1740" s="28" t="str">
        <f aca="false">IF(OR($D1740="",$E1740=""),"",IFERROR($D1740*INDEX(Setup!$B$27:$B$44,MATCH($E1740,Setup!$A$27:$A$44,0)),"TBD"))</f>
        <v/>
      </c>
      <c r="G1740" s="32"/>
      <c r="H1740" s="32"/>
      <c r="I1740" s="32"/>
      <c r="J1740" s="32"/>
      <c r="K1740" s="35"/>
      <c r="L1740" s="32"/>
      <c r="M1740" s="32"/>
    </row>
    <row r="1741" customFormat="false" ht="15" hidden="false" customHeight="true" outlineLevel="0" collapsed="false">
      <c r="A1741" s="32"/>
      <c r="B1741" s="32"/>
      <c r="C1741" s="32"/>
      <c r="D1741" s="32"/>
      <c r="E1741" s="34" t="str">
        <f aca="false">IF($B1741="","",IF($B1741="OUT","Liters",IFERROR(INDEX(Setup!$F$3:$F$24,MATCH($C1741,Setup!$A$3:$A$24,0)),"")))</f>
        <v/>
      </c>
      <c r="F1741" s="28" t="str">
        <f aca="false">IF(OR($D1741="",$E1741=""),"",IFERROR($D1741*INDEX(Setup!$B$27:$B$44,MATCH($E1741,Setup!$A$27:$A$44,0)),"TBD"))</f>
        <v/>
      </c>
      <c r="G1741" s="32"/>
      <c r="H1741" s="32"/>
      <c r="I1741" s="32"/>
      <c r="J1741" s="32"/>
      <c r="K1741" s="35"/>
      <c r="L1741" s="32"/>
      <c r="M1741" s="32"/>
    </row>
    <row r="1742" customFormat="false" ht="15" hidden="false" customHeight="true" outlineLevel="0" collapsed="false">
      <c r="A1742" s="32"/>
      <c r="B1742" s="32"/>
      <c r="C1742" s="32"/>
      <c r="D1742" s="32"/>
      <c r="E1742" s="34" t="str">
        <f aca="false">IF($B1742="","",IF($B1742="OUT","Liters",IFERROR(INDEX(Setup!$F$3:$F$24,MATCH($C1742,Setup!$A$3:$A$24,0)),"")))</f>
        <v/>
      </c>
      <c r="F1742" s="28" t="str">
        <f aca="false">IF(OR($D1742="",$E1742=""),"",IFERROR($D1742*INDEX(Setup!$B$27:$B$44,MATCH($E1742,Setup!$A$27:$A$44,0)),"TBD"))</f>
        <v/>
      </c>
      <c r="G1742" s="32"/>
      <c r="H1742" s="32"/>
      <c r="I1742" s="32"/>
      <c r="J1742" s="32"/>
      <c r="K1742" s="35"/>
      <c r="L1742" s="32"/>
      <c r="M1742" s="32"/>
    </row>
    <row r="1743" customFormat="false" ht="15" hidden="false" customHeight="true" outlineLevel="0" collapsed="false">
      <c r="A1743" s="32"/>
      <c r="B1743" s="32"/>
      <c r="C1743" s="32"/>
      <c r="D1743" s="32"/>
      <c r="E1743" s="34" t="str">
        <f aca="false">IF($B1743="","",IF($B1743="OUT","Liters",IFERROR(INDEX(Setup!$F$3:$F$24,MATCH($C1743,Setup!$A$3:$A$24,0)),"")))</f>
        <v/>
      </c>
      <c r="F1743" s="28" t="str">
        <f aca="false">IF(OR($D1743="",$E1743=""),"",IFERROR($D1743*INDEX(Setup!$B$27:$B$44,MATCH($E1743,Setup!$A$27:$A$44,0)),"TBD"))</f>
        <v/>
      </c>
      <c r="G1743" s="32"/>
      <c r="H1743" s="32"/>
      <c r="I1743" s="32"/>
      <c r="J1743" s="32"/>
      <c r="K1743" s="35"/>
      <c r="L1743" s="32"/>
      <c r="M1743" s="32"/>
    </row>
    <row r="1744" customFormat="false" ht="15" hidden="false" customHeight="true" outlineLevel="0" collapsed="false">
      <c r="A1744" s="32"/>
      <c r="B1744" s="32"/>
      <c r="C1744" s="32"/>
      <c r="D1744" s="32"/>
      <c r="E1744" s="34" t="str">
        <f aca="false">IF($B1744="","",IF($B1744="OUT","Liters",IFERROR(INDEX(Setup!$F$3:$F$24,MATCH($C1744,Setup!$A$3:$A$24,0)),"")))</f>
        <v/>
      </c>
      <c r="F1744" s="28" t="str">
        <f aca="false">IF(OR($D1744="",$E1744=""),"",IFERROR($D1744*INDEX(Setup!$B$27:$B$44,MATCH($E1744,Setup!$A$27:$A$44,0)),"TBD"))</f>
        <v/>
      </c>
      <c r="G1744" s="32"/>
      <c r="H1744" s="32"/>
      <c r="I1744" s="32"/>
      <c r="J1744" s="32"/>
      <c r="K1744" s="35"/>
      <c r="L1744" s="32"/>
      <c r="M1744" s="32"/>
    </row>
    <row r="1745" customFormat="false" ht="15" hidden="false" customHeight="true" outlineLevel="0" collapsed="false">
      <c r="A1745" s="32"/>
      <c r="B1745" s="32"/>
      <c r="C1745" s="32"/>
      <c r="D1745" s="32"/>
      <c r="E1745" s="34" t="str">
        <f aca="false">IF($B1745="","",IF($B1745="OUT","Liters",IFERROR(INDEX(Setup!$F$3:$F$24,MATCH($C1745,Setup!$A$3:$A$24,0)),"")))</f>
        <v/>
      </c>
      <c r="F1745" s="28" t="str">
        <f aca="false">IF(OR($D1745="",$E1745=""),"",IFERROR($D1745*INDEX(Setup!$B$27:$B$44,MATCH($E1745,Setup!$A$27:$A$44,0)),"TBD"))</f>
        <v/>
      </c>
      <c r="G1745" s="32"/>
      <c r="H1745" s="32"/>
      <c r="I1745" s="32"/>
      <c r="J1745" s="32"/>
      <c r="K1745" s="35"/>
      <c r="L1745" s="32"/>
      <c r="M1745" s="32"/>
    </row>
    <row r="1746" customFormat="false" ht="15" hidden="false" customHeight="true" outlineLevel="0" collapsed="false">
      <c r="A1746" s="32"/>
      <c r="B1746" s="32"/>
      <c r="C1746" s="32"/>
      <c r="D1746" s="32"/>
      <c r="E1746" s="34" t="str">
        <f aca="false">IF($B1746="","",IF($B1746="OUT","Liters",IFERROR(INDEX(Setup!$F$3:$F$24,MATCH($C1746,Setup!$A$3:$A$24,0)),"")))</f>
        <v/>
      </c>
      <c r="F1746" s="28" t="str">
        <f aca="false">IF(OR($D1746="",$E1746=""),"",IFERROR($D1746*INDEX(Setup!$B$27:$B$44,MATCH($E1746,Setup!$A$27:$A$44,0)),"TBD"))</f>
        <v/>
      </c>
      <c r="G1746" s="32"/>
      <c r="H1746" s="32"/>
      <c r="I1746" s="32"/>
      <c r="J1746" s="32"/>
      <c r="K1746" s="35"/>
      <c r="L1746" s="32"/>
      <c r="M1746" s="32"/>
    </row>
    <row r="1747" customFormat="false" ht="15" hidden="false" customHeight="true" outlineLevel="0" collapsed="false">
      <c r="A1747" s="32"/>
      <c r="B1747" s="32"/>
      <c r="C1747" s="32"/>
      <c r="D1747" s="32"/>
      <c r="E1747" s="34" t="str">
        <f aca="false">IF($B1747="","",IF($B1747="OUT","Liters",IFERROR(INDEX(Setup!$F$3:$F$24,MATCH($C1747,Setup!$A$3:$A$24,0)),"")))</f>
        <v/>
      </c>
      <c r="F1747" s="28" t="str">
        <f aca="false">IF(OR($D1747="",$E1747=""),"",IFERROR($D1747*INDEX(Setup!$B$27:$B$44,MATCH($E1747,Setup!$A$27:$A$44,0)),"TBD"))</f>
        <v/>
      </c>
      <c r="G1747" s="32"/>
      <c r="H1747" s="32"/>
      <c r="I1747" s="32"/>
      <c r="J1747" s="32"/>
      <c r="K1747" s="35"/>
      <c r="L1747" s="32"/>
      <c r="M1747" s="32"/>
    </row>
    <row r="1748" customFormat="false" ht="15" hidden="false" customHeight="true" outlineLevel="0" collapsed="false">
      <c r="A1748" s="32"/>
      <c r="B1748" s="32"/>
      <c r="C1748" s="32"/>
      <c r="D1748" s="32"/>
      <c r="E1748" s="34" t="str">
        <f aca="false">IF($B1748="","",IF($B1748="OUT","Liters",IFERROR(INDEX(Setup!$F$3:$F$24,MATCH($C1748,Setup!$A$3:$A$24,0)),"")))</f>
        <v/>
      </c>
      <c r="F1748" s="28" t="str">
        <f aca="false">IF(OR($D1748="",$E1748=""),"",IFERROR($D1748*INDEX(Setup!$B$27:$B$44,MATCH($E1748,Setup!$A$27:$A$44,0)),"TBD"))</f>
        <v/>
      </c>
      <c r="G1748" s="32"/>
      <c r="H1748" s="32"/>
      <c r="I1748" s="32"/>
      <c r="J1748" s="32"/>
      <c r="K1748" s="35"/>
      <c r="L1748" s="32"/>
      <c r="M1748" s="32"/>
    </row>
    <row r="1749" customFormat="false" ht="15" hidden="false" customHeight="true" outlineLevel="0" collapsed="false">
      <c r="A1749" s="32"/>
      <c r="B1749" s="32"/>
      <c r="C1749" s="32"/>
      <c r="D1749" s="32"/>
      <c r="E1749" s="34" t="str">
        <f aca="false">IF($B1749="","",IF($B1749="OUT","Liters",IFERROR(INDEX(Setup!$F$3:$F$24,MATCH($C1749,Setup!$A$3:$A$24,0)),"")))</f>
        <v/>
      </c>
      <c r="F1749" s="28" t="str">
        <f aca="false">IF(OR($D1749="",$E1749=""),"",IFERROR($D1749*INDEX(Setup!$B$27:$B$44,MATCH($E1749,Setup!$A$27:$A$44,0)),"TBD"))</f>
        <v/>
      </c>
      <c r="G1749" s="32"/>
      <c r="H1749" s="32"/>
      <c r="I1749" s="32"/>
      <c r="J1749" s="32"/>
      <c r="K1749" s="35"/>
      <c r="L1749" s="32"/>
      <c r="M1749" s="32"/>
    </row>
    <row r="1750" customFormat="false" ht="15" hidden="false" customHeight="true" outlineLevel="0" collapsed="false">
      <c r="A1750" s="32"/>
      <c r="B1750" s="32"/>
      <c r="C1750" s="32"/>
      <c r="D1750" s="32"/>
      <c r="E1750" s="34" t="str">
        <f aca="false">IF($B1750="","",IF($B1750="OUT","Liters",IFERROR(INDEX(Setup!$F$3:$F$24,MATCH($C1750,Setup!$A$3:$A$24,0)),"")))</f>
        <v/>
      </c>
      <c r="F1750" s="28" t="str">
        <f aca="false">IF(OR($D1750="",$E1750=""),"",IFERROR($D1750*INDEX(Setup!$B$27:$B$44,MATCH($E1750,Setup!$A$27:$A$44,0)),"TBD"))</f>
        <v/>
      </c>
      <c r="G1750" s="32"/>
      <c r="H1750" s="32"/>
      <c r="I1750" s="32"/>
      <c r="J1750" s="32"/>
      <c r="K1750" s="35"/>
      <c r="L1750" s="32"/>
      <c r="M1750" s="32"/>
    </row>
    <row r="1751" customFormat="false" ht="15" hidden="false" customHeight="true" outlineLevel="0" collapsed="false">
      <c r="A1751" s="32"/>
      <c r="B1751" s="32"/>
      <c r="C1751" s="32"/>
      <c r="D1751" s="32"/>
      <c r="E1751" s="34" t="str">
        <f aca="false">IF($B1751="","",IF($B1751="OUT","Liters",IFERROR(INDEX(Setup!$F$3:$F$24,MATCH($C1751,Setup!$A$3:$A$24,0)),"")))</f>
        <v/>
      </c>
      <c r="F1751" s="28" t="str">
        <f aca="false">IF(OR($D1751="",$E1751=""),"",IFERROR($D1751*INDEX(Setup!$B$27:$B$44,MATCH($E1751,Setup!$A$27:$A$44,0)),"TBD"))</f>
        <v/>
      </c>
      <c r="G1751" s="32"/>
      <c r="H1751" s="32"/>
      <c r="I1751" s="32"/>
      <c r="J1751" s="32"/>
      <c r="K1751" s="35"/>
      <c r="L1751" s="32"/>
      <c r="M1751" s="32"/>
    </row>
    <row r="1752" customFormat="false" ht="15" hidden="false" customHeight="true" outlineLevel="0" collapsed="false">
      <c r="A1752" s="32"/>
      <c r="B1752" s="32"/>
      <c r="C1752" s="32"/>
      <c r="D1752" s="32"/>
      <c r="E1752" s="34" t="str">
        <f aca="false">IF($B1752="","",IF($B1752="OUT","Liters",IFERROR(INDEX(Setup!$F$3:$F$24,MATCH($C1752,Setup!$A$3:$A$24,0)),"")))</f>
        <v/>
      </c>
      <c r="F1752" s="28" t="str">
        <f aca="false">IF(OR($D1752="",$E1752=""),"",IFERROR($D1752*INDEX(Setup!$B$27:$B$44,MATCH($E1752,Setup!$A$27:$A$44,0)),"TBD"))</f>
        <v/>
      </c>
      <c r="G1752" s="32"/>
      <c r="H1752" s="32"/>
      <c r="I1752" s="32"/>
      <c r="J1752" s="32"/>
      <c r="K1752" s="35"/>
      <c r="L1752" s="32"/>
      <c r="M1752" s="32"/>
    </row>
    <row r="1753" customFormat="false" ht="15" hidden="false" customHeight="true" outlineLevel="0" collapsed="false">
      <c r="A1753" s="32"/>
      <c r="B1753" s="32"/>
      <c r="C1753" s="32"/>
      <c r="D1753" s="32"/>
      <c r="E1753" s="34" t="str">
        <f aca="false">IF($B1753="","",IF($B1753="OUT","Liters",IFERROR(INDEX(Setup!$F$3:$F$24,MATCH($C1753,Setup!$A$3:$A$24,0)),"")))</f>
        <v/>
      </c>
      <c r="F1753" s="28" t="str">
        <f aca="false">IF(OR($D1753="",$E1753=""),"",IFERROR($D1753*INDEX(Setup!$B$27:$B$44,MATCH($E1753,Setup!$A$27:$A$44,0)),"TBD"))</f>
        <v/>
      </c>
      <c r="G1753" s="32"/>
      <c r="H1753" s="32"/>
      <c r="I1753" s="32"/>
      <c r="J1753" s="32"/>
      <c r="K1753" s="35"/>
      <c r="L1753" s="32"/>
      <c r="M1753" s="32"/>
    </row>
    <row r="1754" customFormat="false" ht="15" hidden="false" customHeight="true" outlineLevel="0" collapsed="false">
      <c r="A1754" s="32"/>
      <c r="B1754" s="32"/>
      <c r="C1754" s="32"/>
      <c r="D1754" s="32"/>
      <c r="E1754" s="34" t="str">
        <f aca="false">IF($B1754="","",IF($B1754="OUT","Liters",IFERROR(INDEX(Setup!$F$3:$F$24,MATCH($C1754,Setup!$A$3:$A$24,0)),"")))</f>
        <v/>
      </c>
      <c r="F1754" s="28" t="str">
        <f aca="false">IF(OR($D1754="",$E1754=""),"",IFERROR($D1754*INDEX(Setup!$B$27:$B$44,MATCH($E1754,Setup!$A$27:$A$44,0)),"TBD"))</f>
        <v/>
      </c>
      <c r="G1754" s="32"/>
      <c r="H1754" s="32"/>
      <c r="I1754" s="32"/>
      <c r="J1754" s="32"/>
      <c r="K1754" s="35"/>
      <c r="L1754" s="32"/>
      <c r="M1754" s="32"/>
    </row>
    <row r="1755" customFormat="false" ht="15" hidden="false" customHeight="true" outlineLevel="0" collapsed="false">
      <c r="A1755" s="32"/>
      <c r="B1755" s="32"/>
      <c r="C1755" s="32"/>
      <c r="D1755" s="32"/>
      <c r="E1755" s="34" t="str">
        <f aca="false">IF($B1755="","",IF($B1755="OUT","Liters",IFERROR(INDEX(Setup!$F$3:$F$24,MATCH($C1755,Setup!$A$3:$A$24,0)),"")))</f>
        <v/>
      </c>
      <c r="F1755" s="28" t="str">
        <f aca="false">IF(OR($D1755="",$E1755=""),"",IFERROR($D1755*INDEX(Setup!$B$27:$B$44,MATCH($E1755,Setup!$A$27:$A$44,0)),"TBD"))</f>
        <v/>
      </c>
      <c r="G1755" s="32"/>
      <c r="H1755" s="32"/>
      <c r="I1755" s="32"/>
      <c r="J1755" s="32"/>
      <c r="K1755" s="35"/>
      <c r="L1755" s="32"/>
      <c r="M1755" s="32"/>
    </row>
    <row r="1756" customFormat="false" ht="15" hidden="false" customHeight="true" outlineLevel="0" collapsed="false">
      <c r="A1756" s="32"/>
      <c r="B1756" s="32"/>
      <c r="C1756" s="32"/>
      <c r="D1756" s="32"/>
      <c r="E1756" s="34" t="str">
        <f aca="false">IF($B1756="","",IF($B1756="OUT","Liters",IFERROR(INDEX(Setup!$F$3:$F$24,MATCH($C1756,Setup!$A$3:$A$24,0)),"")))</f>
        <v/>
      </c>
      <c r="F1756" s="28" t="str">
        <f aca="false">IF(OR($D1756="",$E1756=""),"",IFERROR($D1756*INDEX(Setup!$B$27:$B$44,MATCH($E1756,Setup!$A$27:$A$44,0)),"TBD"))</f>
        <v/>
      </c>
      <c r="G1756" s="32"/>
      <c r="H1756" s="32"/>
      <c r="I1756" s="32"/>
      <c r="J1756" s="32"/>
      <c r="K1756" s="35"/>
      <c r="L1756" s="32"/>
      <c r="M1756" s="32"/>
    </row>
    <row r="1757" customFormat="false" ht="15" hidden="false" customHeight="true" outlineLevel="0" collapsed="false">
      <c r="A1757" s="32"/>
      <c r="B1757" s="32"/>
      <c r="C1757" s="32"/>
      <c r="D1757" s="32"/>
      <c r="E1757" s="34" t="str">
        <f aca="false">IF($B1757="","",IF($B1757="OUT","Liters",IFERROR(INDEX(Setup!$F$3:$F$24,MATCH($C1757,Setup!$A$3:$A$24,0)),"")))</f>
        <v/>
      </c>
      <c r="F1757" s="28" t="str">
        <f aca="false">IF(OR($D1757="",$E1757=""),"",IFERROR($D1757*INDEX(Setup!$B$27:$B$44,MATCH($E1757,Setup!$A$27:$A$44,0)),"TBD"))</f>
        <v/>
      </c>
      <c r="G1757" s="32"/>
      <c r="H1757" s="32"/>
      <c r="I1757" s="32"/>
      <c r="J1757" s="32"/>
      <c r="K1757" s="35"/>
      <c r="L1757" s="32"/>
      <c r="M1757" s="32"/>
    </row>
    <row r="1758" customFormat="false" ht="15" hidden="false" customHeight="true" outlineLevel="0" collapsed="false">
      <c r="A1758" s="32"/>
      <c r="B1758" s="32"/>
      <c r="C1758" s="32"/>
      <c r="D1758" s="32"/>
      <c r="E1758" s="34" t="str">
        <f aca="false">IF($B1758="","",IF($B1758="OUT","Liters",IFERROR(INDEX(Setup!$F$3:$F$24,MATCH($C1758,Setup!$A$3:$A$24,0)),"")))</f>
        <v/>
      </c>
      <c r="F1758" s="28" t="str">
        <f aca="false">IF(OR($D1758="",$E1758=""),"",IFERROR($D1758*INDEX(Setup!$B$27:$B$44,MATCH($E1758,Setup!$A$27:$A$44,0)),"TBD"))</f>
        <v/>
      </c>
      <c r="G1758" s="32"/>
      <c r="H1758" s="32"/>
      <c r="I1758" s="32"/>
      <c r="J1758" s="32"/>
      <c r="K1758" s="35"/>
      <c r="L1758" s="32"/>
      <c r="M1758" s="32"/>
    </row>
    <row r="1759" customFormat="false" ht="15" hidden="false" customHeight="true" outlineLevel="0" collapsed="false">
      <c r="A1759" s="32"/>
      <c r="B1759" s="32"/>
      <c r="C1759" s="32"/>
      <c r="D1759" s="32"/>
      <c r="E1759" s="34" t="str">
        <f aca="false">IF($B1759="","",IF($B1759="OUT","Liters",IFERROR(INDEX(Setup!$F$3:$F$24,MATCH($C1759,Setup!$A$3:$A$24,0)),"")))</f>
        <v/>
      </c>
      <c r="F1759" s="28" t="str">
        <f aca="false">IF(OR($D1759="",$E1759=""),"",IFERROR($D1759*INDEX(Setup!$B$27:$B$44,MATCH($E1759,Setup!$A$27:$A$44,0)),"TBD"))</f>
        <v/>
      </c>
      <c r="G1759" s="32"/>
      <c r="H1759" s="32"/>
      <c r="I1759" s="32"/>
      <c r="J1759" s="32"/>
      <c r="K1759" s="35"/>
      <c r="L1759" s="32"/>
      <c r="M1759" s="32"/>
    </row>
    <row r="1760" customFormat="false" ht="15" hidden="false" customHeight="true" outlineLevel="0" collapsed="false">
      <c r="A1760" s="32"/>
      <c r="B1760" s="32"/>
      <c r="C1760" s="32"/>
      <c r="D1760" s="32"/>
      <c r="E1760" s="34" t="str">
        <f aca="false">IF($B1760="","",IF($B1760="OUT","Liters",IFERROR(INDEX(Setup!$F$3:$F$24,MATCH($C1760,Setup!$A$3:$A$24,0)),"")))</f>
        <v/>
      </c>
      <c r="F1760" s="28" t="str">
        <f aca="false">IF(OR($D1760="",$E1760=""),"",IFERROR($D1760*INDEX(Setup!$B$27:$B$44,MATCH($E1760,Setup!$A$27:$A$44,0)),"TBD"))</f>
        <v/>
      </c>
      <c r="G1760" s="32"/>
      <c r="H1760" s="32"/>
      <c r="I1760" s="32"/>
      <c r="J1760" s="32"/>
      <c r="K1760" s="35"/>
      <c r="L1760" s="32"/>
      <c r="M1760" s="32"/>
    </row>
    <row r="1761" customFormat="false" ht="15" hidden="false" customHeight="true" outlineLevel="0" collapsed="false">
      <c r="A1761" s="32"/>
      <c r="B1761" s="32"/>
      <c r="C1761" s="32"/>
      <c r="D1761" s="32"/>
      <c r="E1761" s="34" t="str">
        <f aca="false">IF($B1761="","",IF($B1761="OUT","Liters",IFERROR(INDEX(Setup!$F$3:$F$24,MATCH($C1761,Setup!$A$3:$A$24,0)),"")))</f>
        <v/>
      </c>
      <c r="F1761" s="28" t="str">
        <f aca="false">IF(OR($D1761="",$E1761=""),"",IFERROR($D1761*INDEX(Setup!$B$27:$B$44,MATCH($E1761,Setup!$A$27:$A$44,0)),"TBD"))</f>
        <v/>
      </c>
      <c r="G1761" s="32"/>
      <c r="H1761" s="32"/>
      <c r="I1761" s="32"/>
      <c r="J1761" s="32"/>
      <c r="K1761" s="35"/>
      <c r="L1761" s="32"/>
      <c r="M1761" s="32"/>
    </row>
    <row r="1762" customFormat="false" ht="15" hidden="false" customHeight="true" outlineLevel="0" collapsed="false">
      <c r="A1762" s="32"/>
      <c r="B1762" s="32"/>
      <c r="C1762" s="32"/>
      <c r="D1762" s="32"/>
      <c r="E1762" s="34" t="str">
        <f aca="false">IF($B1762="","",IF($B1762="OUT","Liters",IFERROR(INDEX(Setup!$F$3:$F$24,MATCH($C1762,Setup!$A$3:$A$24,0)),"")))</f>
        <v/>
      </c>
      <c r="F1762" s="28" t="str">
        <f aca="false">IF(OR($D1762="",$E1762=""),"",IFERROR($D1762*INDEX(Setup!$B$27:$B$44,MATCH($E1762,Setup!$A$27:$A$44,0)),"TBD"))</f>
        <v/>
      </c>
      <c r="G1762" s="32"/>
      <c r="H1762" s="32"/>
      <c r="I1762" s="32"/>
      <c r="J1762" s="32"/>
      <c r="K1762" s="35"/>
      <c r="L1762" s="32"/>
      <c r="M1762" s="32"/>
    </row>
    <row r="1763" customFormat="false" ht="15" hidden="false" customHeight="true" outlineLevel="0" collapsed="false">
      <c r="A1763" s="32"/>
      <c r="B1763" s="32"/>
      <c r="C1763" s="32"/>
      <c r="D1763" s="32"/>
      <c r="E1763" s="34" t="str">
        <f aca="false">IF($B1763="","",IF($B1763="OUT","Liters",IFERROR(INDEX(Setup!$F$3:$F$24,MATCH($C1763,Setup!$A$3:$A$24,0)),"")))</f>
        <v/>
      </c>
      <c r="F1763" s="28" t="str">
        <f aca="false">IF(OR($D1763="",$E1763=""),"",IFERROR($D1763*INDEX(Setup!$B$27:$B$44,MATCH($E1763,Setup!$A$27:$A$44,0)),"TBD"))</f>
        <v/>
      </c>
      <c r="G1763" s="32"/>
      <c r="H1763" s="32"/>
      <c r="I1763" s="32"/>
      <c r="J1763" s="32"/>
      <c r="K1763" s="35"/>
      <c r="L1763" s="32"/>
      <c r="M1763" s="32"/>
    </row>
    <row r="1764" customFormat="false" ht="15" hidden="false" customHeight="true" outlineLevel="0" collapsed="false">
      <c r="A1764" s="32"/>
      <c r="B1764" s="32"/>
      <c r="C1764" s="32"/>
      <c r="D1764" s="32"/>
      <c r="E1764" s="34" t="str">
        <f aca="false">IF($B1764="","",IF($B1764="OUT","Liters",IFERROR(INDEX(Setup!$F$3:$F$24,MATCH($C1764,Setup!$A$3:$A$24,0)),"")))</f>
        <v/>
      </c>
      <c r="F1764" s="28" t="str">
        <f aca="false">IF(OR($D1764="",$E1764=""),"",IFERROR($D1764*INDEX(Setup!$B$27:$B$44,MATCH($E1764,Setup!$A$27:$A$44,0)),"TBD"))</f>
        <v/>
      </c>
      <c r="G1764" s="32"/>
      <c r="H1764" s="32"/>
      <c r="I1764" s="32"/>
      <c r="J1764" s="32"/>
      <c r="K1764" s="35"/>
      <c r="L1764" s="32"/>
      <c r="M1764" s="32"/>
    </row>
    <row r="1765" customFormat="false" ht="15" hidden="false" customHeight="true" outlineLevel="0" collapsed="false">
      <c r="A1765" s="32"/>
      <c r="B1765" s="32"/>
      <c r="C1765" s="32"/>
      <c r="D1765" s="32"/>
      <c r="E1765" s="34" t="str">
        <f aca="false">IF($B1765="","",IF($B1765="OUT","Liters",IFERROR(INDEX(Setup!$F$3:$F$24,MATCH($C1765,Setup!$A$3:$A$24,0)),"")))</f>
        <v/>
      </c>
      <c r="F1765" s="28" t="str">
        <f aca="false">IF(OR($D1765="",$E1765=""),"",IFERROR($D1765*INDEX(Setup!$B$27:$B$44,MATCH($E1765,Setup!$A$27:$A$44,0)),"TBD"))</f>
        <v/>
      </c>
      <c r="G1765" s="32"/>
      <c r="H1765" s="32"/>
      <c r="I1765" s="32"/>
      <c r="J1765" s="32"/>
      <c r="K1765" s="35"/>
      <c r="L1765" s="32"/>
      <c r="M1765" s="32"/>
    </row>
    <row r="1766" customFormat="false" ht="15" hidden="false" customHeight="true" outlineLevel="0" collapsed="false">
      <c r="A1766" s="32"/>
      <c r="B1766" s="32"/>
      <c r="C1766" s="32"/>
      <c r="D1766" s="32"/>
      <c r="E1766" s="34" t="str">
        <f aca="false">IF($B1766="","",IF($B1766="OUT","Liters",IFERROR(INDEX(Setup!$F$3:$F$24,MATCH($C1766,Setup!$A$3:$A$24,0)),"")))</f>
        <v/>
      </c>
      <c r="F1766" s="28" t="str">
        <f aca="false">IF(OR($D1766="",$E1766=""),"",IFERROR($D1766*INDEX(Setup!$B$27:$B$44,MATCH($E1766,Setup!$A$27:$A$44,0)),"TBD"))</f>
        <v/>
      </c>
      <c r="G1766" s="32"/>
      <c r="H1766" s="32"/>
      <c r="I1766" s="32"/>
      <c r="J1766" s="32"/>
      <c r="K1766" s="35"/>
      <c r="L1766" s="32"/>
      <c r="M1766" s="32"/>
    </row>
    <row r="1767" customFormat="false" ht="15" hidden="false" customHeight="true" outlineLevel="0" collapsed="false">
      <c r="A1767" s="32"/>
      <c r="B1767" s="32"/>
      <c r="C1767" s="32"/>
      <c r="D1767" s="32"/>
      <c r="E1767" s="34" t="str">
        <f aca="false">IF($B1767="","",IF($B1767="OUT","Liters",IFERROR(INDEX(Setup!$F$3:$F$24,MATCH($C1767,Setup!$A$3:$A$24,0)),"")))</f>
        <v/>
      </c>
      <c r="F1767" s="28" t="str">
        <f aca="false">IF(OR($D1767="",$E1767=""),"",IFERROR($D1767*INDEX(Setup!$B$27:$B$44,MATCH($E1767,Setup!$A$27:$A$44,0)),"TBD"))</f>
        <v/>
      </c>
      <c r="G1767" s="32"/>
      <c r="H1767" s="32"/>
      <c r="I1767" s="32"/>
      <c r="J1767" s="32"/>
      <c r="K1767" s="35"/>
      <c r="L1767" s="32"/>
      <c r="M1767" s="32"/>
    </row>
    <row r="1768" customFormat="false" ht="15" hidden="false" customHeight="true" outlineLevel="0" collapsed="false">
      <c r="A1768" s="32"/>
      <c r="B1768" s="32"/>
      <c r="C1768" s="32"/>
      <c r="D1768" s="32"/>
      <c r="E1768" s="34" t="str">
        <f aca="false">IF($B1768="","",IF($B1768="OUT","Liters",IFERROR(INDEX(Setup!$F$3:$F$24,MATCH($C1768,Setup!$A$3:$A$24,0)),"")))</f>
        <v/>
      </c>
      <c r="F1768" s="28" t="str">
        <f aca="false">IF(OR($D1768="",$E1768=""),"",IFERROR($D1768*INDEX(Setup!$B$27:$B$44,MATCH($E1768,Setup!$A$27:$A$44,0)),"TBD"))</f>
        <v/>
      </c>
      <c r="G1768" s="32"/>
      <c r="H1768" s="32"/>
      <c r="I1768" s="32"/>
      <c r="J1768" s="32"/>
      <c r="K1768" s="35"/>
      <c r="L1768" s="32"/>
      <c r="M1768" s="32"/>
    </row>
    <row r="1769" customFormat="false" ht="15" hidden="false" customHeight="true" outlineLevel="0" collapsed="false">
      <c r="A1769" s="32"/>
      <c r="B1769" s="32"/>
      <c r="C1769" s="32"/>
      <c r="D1769" s="32"/>
      <c r="E1769" s="34" t="str">
        <f aca="false">IF($B1769="","",IF($B1769="OUT","Liters",IFERROR(INDEX(Setup!$F$3:$F$24,MATCH($C1769,Setup!$A$3:$A$24,0)),"")))</f>
        <v/>
      </c>
      <c r="F1769" s="28" t="str">
        <f aca="false">IF(OR($D1769="",$E1769=""),"",IFERROR($D1769*INDEX(Setup!$B$27:$B$44,MATCH($E1769,Setup!$A$27:$A$44,0)),"TBD"))</f>
        <v/>
      </c>
      <c r="G1769" s="32"/>
      <c r="H1769" s="32"/>
      <c r="I1769" s="32"/>
      <c r="J1769" s="32"/>
      <c r="K1769" s="35"/>
      <c r="L1769" s="32"/>
      <c r="M1769" s="32"/>
    </row>
    <row r="1770" customFormat="false" ht="15" hidden="false" customHeight="true" outlineLevel="0" collapsed="false">
      <c r="A1770" s="32"/>
      <c r="B1770" s="32"/>
      <c r="C1770" s="32"/>
      <c r="D1770" s="32"/>
      <c r="E1770" s="34" t="str">
        <f aca="false">IF($B1770="","",IF($B1770="OUT","Liters",IFERROR(INDEX(Setup!$F$3:$F$24,MATCH($C1770,Setup!$A$3:$A$24,0)),"")))</f>
        <v/>
      </c>
      <c r="F1770" s="28" t="str">
        <f aca="false">IF(OR($D1770="",$E1770=""),"",IFERROR($D1770*INDEX(Setup!$B$27:$B$44,MATCH($E1770,Setup!$A$27:$A$44,0)),"TBD"))</f>
        <v/>
      </c>
      <c r="G1770" s="32"/>
      <c r="H1770" s="32"/>
      <c r="I1770" s="32"/>
      <c r="J1770" s="32"/>
      <c r="K1770" s="35"/>
      <c r="L1770" s="32"/>
      <c r="M1770" s="32"/>
    </row>
    <row r="1771" customFormat="false" ht="15" hidden="false" customHeight="true" outlineLevel="0" collapsed="false">
      <c r="A1771" s="32"/>
      <c r="B1771" s="32"/>
      <c r="C1771" s="32"/>
      <c r="D1771" s="32"/>
      <c r="E1771" s="34" t="str">
        <f aca="false">IF($B1771="","",IF($B1771="OUT","Liters",IFERROR(INDEX(Setup!$F$3:$F$24,MATCH($C1771,Setup!$A$3:$A$24,0)),"")))</f>
        <v/>
      </c>
      <c r="F1771" s="28" t="str">
        <f aca="false">IF(OR($D1771="",$E1771=""),"",IFERROR($D1771*INDEX(Setup!$B$27:$B$44,MATCH($E1771,Setup!$A$27:$A$44,0)),"TBD"))</f>
        <v/>
      </c>
      <c r="G1771" s="32"/>
      <c r="H1771" s="32"/>
      <c r="I1771" s="32"/>
      <c r="J1771" s="32"/>
      <c r="K1771" s="35"/>
      <c r="L1771" s="32"/>
      <c r="M1771" s="32"/>
    </row>
    <row r="1772" customFormat="false" ht="15" hidden="false" customHeight="true" outlineLevel="0" collapsed="false">
      <c r="A1772" s="32"/>
      <c r="B1772" s="32"/>
      <c r="C1772" s="32"/>
      <c r="D1772" s="32"/>
      <c r="E1772" s="34" t="str">
        <f aca="false">IF($B1772="","",IF($B1772="OUT","Liters",IFERROR(INDEX(Setup!$F$3:$F$24,MATCH($C1772,Setup!$A$3:$A$24,0)),"")))</f>
        <v/>
      </c>
      <c r="F1772" s="28" t="str">
        <f aca="false">IF(OR($D1772="",$E1772=""),"",IFERROR($D1772*INDEX(Setup!$B$27:$B$44,MATCH($E1772,Setup!$A$27:$A$44,0)),"TBD"))</f>
        <v/>
      </c>
      <c r="G1772" s="32"/>
      <c r="H1772" s="32"/>
      <c r="I1772" s="32"/>
      <c r="J1772" s="32"/>
      <c r="K1772" s="35"/>
      <c r="L1772" s="32"/>
      <c r="M1772" s="32"/>
    </row>
    <row r="1773" customFormat="false" ht="15" hidden="false" customHeight="true" outlineLevel="0" collapsed="false">
      <c r="A1773" s="32"/>
      <c r="B1773" s="32"/>
      <c r="C1773" s="32"/>
      <c r="D1773" s="32"/>
      <c r="E1773" s="34" t="str">
        <f aca="false">IF($B1773="","",IF($B1773="OUT","Liters",IFERROR(INDEX(Setup!$F$3:$F$24,MATCH($C1773,Setup!$A$3:$A$24,0)),"")))</f>
        <v/>
      </c>
      <c r="F1773" s="28" t="str">
        <f aca="false">IF(OR($D1773="",$E1773=""),"",IFERROR($D1773*INDEX(Setup!$B$27:$B$44,MATCH($E1773,Setup!$A$27:$A$44,0)),"TBD"))</f>
        <v/>
      </c>
      <c r="G1773" s="32"/>
      <c r="H1773" s="32"/>
      <c r="I1773" s="32"/>
      <c r="J1773" s="32"/>
      <c r="K1773" s="35"/>
      <c r="L1773" s="32"/>
      <c r="M1773" s="32"/>
    </row>
    <row r="1774" customFormat="false" ht="15" hidden="false" customHeight="true" outlineLevel="0" collapsed="false">
      <c r="A1774" s="32"/>
      <c r="B1774" s="32"/>
      <c r="C1774" s="32"/>
      <c r="D1774" s="32"/>
      <c r="E1774" s="34" t="str">
        <f aca="false">IF($B1774="","",IF($B1774="OUT","Liters",IFERROR(INDEX(Setup!$F$3:$F$24,MATCH($C1774,Setup!$A$3:$A$24,0)),"")))</f>
        <v/>
      </c>
      <c r="F1774" s="28" t="str">
        <f aca="false">IF(OR($D1774="",$E1774=""),"",IFERROR($D1774*INDEX(Setup!$B$27:$B$44,MATCH($E1774,Setup!$A$27:$A$44,0)),"TBD"))</f>
        <v/>
      </c>
      <c r="G1774" s="32"/>
      <c r="H1774" s="32"/>
      <c r="I1774" s="32"/>
      <c r="J1774" s="32"/>
      <c r="K1774" s="35"/>
      <c r="L1774" s="32"/>
      <c r="M1774" s="32"/>
    </row>
    <row r="1775" customFormat="false" ht="15" hidden="false" customHeight="true" outlineLevel="0" collapsed="false">
      <c r="A1775" s="32"/>
      <c r="B1775" s="32"/>
      <c r="C1775" s="32"/>
      <c r="D1775" s="32"/>
      <c r="E1775" s="34" t="str">
        <f aca="false">IF($B1775="","",IF($B1775="OUT","Liters",IFERROR(INDEX(Setup!$F$3:$F$24,MATCH($C1775,Setup!$A$3:$A$24,0)),"")))</f>
        <v/>
      </c>
      <c r="F1775" s="28" t="str">
        <f aca="false">IF(OR($D1775="",$E1775=""),"",IFERROR($D1775*INDEX(Setup!$B$27:$B$44,MATCH($E1775,Setup!$A$27:$A$44,0)),"TBD"))</f>
        <v/>
      </c>
      <c r="G1775" s="32"/>
      <c r="H1775" s="32"/>
      <c r="I1775" s="32"/>
      <c r="J1775" s="32"/>
      <c r="K1775" s="35"/>
      <c r="L1775" s="32"/>
      <c r="M1775" s="32"/>
    </row>
    <row r="1776" customFormat="false" ht="15" hidden="false" customHeight="true" outlineLevel="0" collapsed="false">
      <c r="A1776" s="32"/>
      <c r="B1776" s="32"/>
      <c r="C1776" s="32"/>
      <c r="D1776" s="32"/>
      <c r="E1776" s="34" t="str">
        <f aca="false">IF($B1776="","",IF($B1776="OUT","Liters",IFERROR(INDEX(Setup!$F$3:$F$24,MATCH($C1776,Setup!$A$3:$A$24,0)),"")))</f>
        <v/>
      </c>
      <c r="F1776" s="28" t="str">
        <f aca="false">IF(OR($D1776="",$E1776=""),"",IFERROR($D1776*INDEX(Setup!$B$27:$B$44,MATCH($E1776,Setup!$A$27:$A$44,0)),"TBD"))</f>
        <v/>
      </c>
      <c r="G1776" s="32"/>
      <c r="H1776" s="32"/>
      <c r="I1776" s="32"/>
      <c r="J1776" s="32"/>
      <c r="K1776" s="35"/>
      <c r="L1776" s="32"/>
      <c r="M1776" s="32"/>
    </row>
    <row r="1777" customFormat="false" ht="15" hidden="false" customHeight="true" outlineLevel="0" collapsed="false">
      <c r="A1777" s="32"/>
      <c r="B1777" s="32"/>
      <c r="C1777" s="32"/>
      <c r="D1777" s="32"/>
      <c r="E1777" s="34" t="str">
        <f aca="false">IF($B1777="","",IF($B1777="OUT","Liters",IFERROR(INDEX(Setup!$F$3:$F$24,MATCH($C1777,Setup!$A$3:$A$24,0)),"")))</f>
        <v/>
      </c>
      <c r="F1777" s="28" t="str">
        <f aca="false">IF(OR($D1777="",$E1777=""),"",IFERROR($D1777*INDEX(Setup!$B$27:$B$44,MATCH($E1777,Setup!$A$27:$A$44,0)),"TBD"))</f>
        <v/>
      </c>
      <c r="G1777" s="32"/>
      <c r="H1777" s="32"/>
      <c r="I1777" s="32"/>
      <c r="J1777" s="32"/>
      <c r="K1777" s="35"/>
      <c r="L1777" s="32"/>
      <c r="M1777" s="32"/>
    </row>
    <row r="1778" customFormat="false" ht="15" hidden="false" customHeight="true" outlineLevel="0" collapsed="false">
      <c r="A1778" s="32"/>
      <c r="B1778" s="32"/>
      <c r="C1778" s="32"/>
      <c r="D1778" s="32"/>
      <c r="E1778" s="34" t="str">
        <f aca="false">IF($B1778="","",IF($B1778="OUT","Liters",IFERROR(INDEX(Setup!$F$3:$F$24,MATCH($C1778,Setup!$A$3:$A$24,0)),"")))</f>
        <v/>
      </c>
      <c r="F1778" s="28" t="str">
        <f aca="false">IF(OR($D1778="",$E1778=""),"",IFERROR($D1778*INDEX(Setup!$B$27:$B$44,MATCH($E1778,Setup!$A$27:$A$44,0)),"TBD"))</f>
        <v/>
      </c>
      <c r="G1778" s="32"/>
      <c r="H1778" s="32"/>
      <c r="I1778" s="32"/>
      <c r="J1778" s="32"/>
      <c r="K1778" s="35"/>
      <c r="L1778" s="32"/>
      <c r="M1778" s="32"/>
    </row>
    <row r="1779" customFormat="false" ht="15" hidden="false" customHeight="true" outlineLevel="0" collapsed="false">
      <c r="A1779" s="32"/>
      <c r="B1779" s="32"/>
      <c r="C1779" s="32"/>
      <c r="D1779" s="32"/>
      <c r="E1779" s="34" t="str">
        <f aca="false">IF($B1779="","",IF($B1779="OUT","Liters",IFERROR(INDEX(Setup!$F$3:$F$24,MATCH($C1779,Setup!$A$3:$A$24,0)),"")))</f>
        <v/>
      </c>
      <c r="F1779" s="28" t="str">
        <f aca="false">IF(OR($D1779="",$E1779=""),"",IFERROR($D1779*INDEX(Setup!$B$27:$B$44,MATCH($E1779,Setup!$A$27:$A$44,0)),"TBD"))</f>
        <v/>
      </c>
      <c r="G1779" s="32"/>
      <c r="H1779" s="32"/>
      <c r="I1779" s="32"/>
      <c r="J1779" s="32"/>
      <c r="K1779" s="35"/>
      <c r="L1779" s="32"/>
      <c r="M1779" s="32"/>
    </row>
    <row r="1780" customFormat="false" ht="15" hidden="false" customHeight="true" outlineLevel="0" collapsed="false">
      <c r="A1780" s="32"/>
      <c r="B1780" s="32"/>
      <c r="C1780" s="32"/>
      <c r="D1780" s="32"/>
      <c r="E1780" s="34" t="str">
        <f aca="false">IF($B1780="","",IF($B1780="OUT","Liters",IFERROR(INDEX(Setup!$F$3:$F$24,MATCH($C1780,Setup!$A$3:$A$24,0)),"")))</f>
        <v/>
      </c>
      <c r="F1780" s="28" t="str">
        <f aca="false">IF(OR($D1780="",$E1780=""),"",IFERROR($D1780*INDEX(Setup!$B$27:$B$44,MATCH($E1780,Setup!$A$27:$A$44,0)),"TBD"))</f>
        <v/>
      </c>
      <c r="G1780" s="32"/>
      <c r="H1780" s="32"/>
      <c r="I1780" s="32"/>
      <c r="J1780" s="32"/>
      <c r="K1780" s="35"/>
      <c r="L1780" s="32"/>
      <c r="M1780" s="32"/>
    </row>
    <row r="1781" customFormat="false" ht="15" hidden="false" customHeight="true" outlineLevel="0" collapsed="false">
      <c r="A1781" s="32"/>
      <c r="B1781" s="32"/>
      <c r="C1781" s="32"/>
      <c r="D1781" s="32"/>
      <c r="E1781" s="34" t="str">
        <f aca="false">IF($B1781="","",IF($B1781="OUT","Liters",IFERROR(INDEX(Setup!$F$3:$F$24,MATCH($C1781,Setup!$A$3:$A$24,0)),"")))</f>
        <v/>
      </c>
      <c r="F1781" s="28" t="str">
        <f aca="false">IF(OR($D1781="",$E1781=""),"",IFERROR($D1781*INDEX(Setup!$B$27:$B$44,MATCH($E1781,Setup!$A$27:$A$44,0)),"TBD"))</f>
        <v/>
      </c>
      <c r="G1781" s="32"/>
      <c r="H1781" s="32"/>
      <c r="I1781" s="32"/>
      <c r="J1781" s="32"/>
      <c r="K1781" s="35"/>
      <c r="L1781" s="32"/>
      <c r="M1781" s="32"/>
    </row>
    <row r="1782" customFormat="false" ht="15" hidden="false" customHeight="true" outlineLevel="0" collapsed="false">
      <c r="A1782" s="32"/>
      <c r="B1782" s="32"/>
      <c r="C1782" s="32"/>
      <c r="D1782" s="32"/>
      <c r="E1782" s="34" t="str">
        <f aca="false">IF($B1782="","",IF($B1782="OUT","Liters",IFERROR(INDEX(Setup!$F$3:$F$24,MATCH($C1782,Setup!$A$3:$A$24,0)),"")))</f>
        <v/>
      </c>
      <c r="F1782" s="28" t="str">
        <f aca="false">IF(OR($D1782="",$E1782=""),"",IFERROR($D1782*INDEX(Setup!$B$27:$B$44,MATCH($E1782,Setup!$A$27:$A$44,0)),"TBD"))</f>
        <v/>
      </c>
      <c r="G1782" s="32"/>
      <c r="H1782" s="32"/>
      <c r="I1782" s="32"/>
      <c r="J1782" s="32"/>
      <c r="K1782" s="35"/>
      <c r="L1782" s="32"/>
      <c r="M1782" s="32"/>
    </row>
    <row r="1783" customFormat="false" ht="15" hidden="false" customHeight="true" outlineLevel="0" collapsed="false">
      <c r="A1783" s="32"/>
      <c r="B1783" s="32"/>
      <c r="C1783" s="32"/>
      <c r="D1783" s="32"/>
      <c r="E1783" s="34" t="str">
        <f aca="false">IF($B1783="","",IF($B1783="OUT","Liters",IFERROR(INDEX(Setup!$F$3:$F$24,MATCH($C1783,Setup!$A$3:$A$24,0)),"")))</f>
        <v/>
      </c>
      <c r="F1783" s="28" t="str">
        <f aca="false">IF(OR($D1783="",$E1783=""),"",IFERROR($D1783*INDEX(Setup!$B$27:$B$44,MATCH($E1783,Setup!$A$27:$A$44,0)),"TBD"))</f>
        <v/>
      </c>
      <c r="G1783" s="32"/>
      <c r="H1783" s="32"/>
      <c r="I1783" s="32"/>
      <c r="J1783" s="32"/>
      <c r="K1783" s="35"/>
      <c r="L1783" s="32"/>
      <c r="M1783" s="32"/>
    </row>
    <row r="1784" customFormat="false" ht="15" hidden="false" customHeight="true" outlineLevel="0" collapsed="false">
      <c r="A1784" s="32"/>
      <c r="B1784" s="32"/>
      <c r="C1784" s="32"/>
      <c r="D1784" s="32"/>
      <c r="E1784" s="34" t="str">
        <f aca="false">IF($B1784="","",IF($B1784="OUT","Liters",IFERROR(INDEX(Setup!$F$3:$F$24,MATCH($C1784,Setup!$A$3:$A$24,0)),"")))</f>
        <v/>
      </c>
      <c r="F1784" s="28" t="str">
        <f aca="false">IF(OR($D1784="",$E1784=""),"",IFERROR($D1784*INDEX(Setup!$B$27:$B$44,MATCH($E1784,Setup!$A$27:$A$44,0)),"TBD"))</f>
        <v/>
      </c>
      <c r="G1784" s="32"/>
      <c r="H1784" s="32"/>
      <c r="I1784" s="32"/>
      <c r="J1784" s="32"/>
      <c r="K1784" s="35"/>
      <c r="L1784" s="32"/>
      <c r="M1784" s="32"/>
    </row>
    <row r="1785" customFormat="false" ht="15" hidden="false" customHeight="true" outlineLevel="0" collapsed="false">
      <c r="A1785" s="32"/>
      <c r="B1785" s="32"/>
      <c r="C1785" s="32"/>
      <c r="D1785" s="32"/>
      <c r="E1785" s="34" t="str">
        <f aca="false">IF($B1785="","",IF($B1785="OUT","Liters",IFERROR(INDEX(Setup!$F$3:$F$24,MATCH($C1785,Setup!$A$3:$A$24,0)),"")))</f>
        <v/>
      </c>
      <c r="F1785" s="28" t="str">
        <f aca="false">IF(OR($D1785="",$E1785=""),"",IFERROR($D1785*INDEX(Setup!$B$27:$B$44,MATCH($E1785,Setup!$A$27:$A$44,0)),"TBD"))</f>
        <v/>
      </c>
      <c r="G1785" s="32"/>
      <c r="H1785" s="32"/>
      <c r="I1785" s="32"/>
      <c r="J1785" s="32"/>
      <c r="K1785" s="35"/>
      <c r="L1785" s="32"/>
      <c r="M1785" s="32"/>
    </row>
    <row r="1786" customFormat="false" ht="15" hidden="false" customHeight="true" outlineLevel="0" collapsed="false">
      <c r="A1786" s="32"/>
      <c r="B1786" s="32"/>
      <c r="C1786" s="32"/>
      <c r="D1786" s="32"/>
      <c r="E1786" s="34" t="str">
        <f aca="false">IF($B1786="","",IF($B1786="OUT","Liters",IFERROR(INDEX(Setup!$F$3:$F$24,MATCH($C1786,Setup!$A$3:$A$24,0)),"")))</f>
        <v/>
      </c>
      <c r="F1786" s="28" t="str">
        <f aca="false">IF(OR($D1786="",$E1786=""),"",IFERROR($D1786*INDEX(Setup!$B$27:$B$44,MATCH($E1786,Setup!$A$27:$A$44,0)),"TBD"))</f>
        <v/>
      </c>
      <c r="G1786" s="32"/>
      <c r="H1786" s="32"/>
      <c r="I1786" s="32"/>
      <c r="J1786" s="32"/>
      <c r="K1786" s="35"/>
      <c r="L1786" s="32"/>
      <c r="M1786" s="32"/>
    </row>
    <row r="1787" customFormat="false" ht="15" hidden="false" customHeight="true" outlineLevel="0" collapsed="false">
      <c r="A1787" s="32"/>
      <c r="B1787" s="32"/>
      <c r="C1787" s="32"/>
      <c r="D1787" s="32"/>
      <c r="E1787" s="34" t="str">
        <f aca="false">IF($B1787="","",IF($B1787="OUT","Liters",IFERROR(INDEX(Setup!$F$3:$F$24,MATCH($C1787,Setup!$A$3:$A$24,0)),"")))</f>
        <v/>
      </c>
      <c r="F1787" s="28" t="str">
        <f aca="false">IF(OR($D1787="",$E1787=""),"",IFERROR($D1787*INDEX(Setup!$B$27:$B$44,MATCH($E1787,Setup!$A$27:$A$44,0)),"TBD"))</f>
        <v/>
      </c>
      <c r="G1787" s="32"/>
      <c r="H1787" s="32"/>
      <c r="I1787" s="32"/>
      <c r="J1787" s="32"/>
      <c r="K1787" s="35"/>
      <c r="L1787" s="32"/>
      <c r="M1787" s="32"/>
    </row>
    <row r="1788" customFormat="false" ht="15" hidden="false" customHeight="true" outlineLevel="0" collapsed="false">
      <c r="A1788" s="32"/>
      <c r="B1788" s="32"/>
      <c r="C1788" s="32"/>
      <c r="D1788" s="32"/>
      <c r="E1788" s="34" t="str">
        <f aca="false">IF($B1788="","",IF($B1788="OUT","Liters",IFERROR(INDEX(Setup!$F$3:$F$24,MATCH($C1788,Setup!$A$3:$A$24,0)),"")))</f>
        <v/>
      </c>
      <c r="F1788" s="28" t="str">
        <f aca="false">IF(OR($D1788="",$E1788=""),"",IFERROR($D1788*INDEX(Setup!$B$27:$B$44,MATCH($E1788,Setup!$A$27:$A$44,0)),"TBD"))</f>
        <v/>
      </c>
      <c r="G1788" s="32"/>
      <c r="H1788" s="32"/>
      <c r="I1788" s="32"/>
      <c r="J1788" s="32"/>
      <c r="K1788" s="35"/>
      <c r="L1788" s="32"/>
      <c r="M1788" s="32"/>
    </row>
    <row r="1789" customFormat="false" ht="15" hidden="false" customHeight="true" outlineLevel="0" collapsed="false">
      <c r="A1789" s="32"/>
      <c r="B1789" s="32"/>
      <c r="C1789" s="32"/>
      <c r="D1789" s="32"/>
      <c r="E1789" s="34" t="str">
        <f aca="false">IF($B1789="","",IF($B1789="OUT","Liters",IFERROR(INDEX(Setup!$F$3:$F$24,MATCH($C1789,Setup!$A$3:$A$24,0)),"")))</f>
        <v/>
      </c>
      <c r="F1789" s="28" t="str">
        <f aca="false">IF(OR($D1789="",$E1789=""),"",IFERROR($D1789*INDEX(Setup!$B$27:$B$44,MATCH($E1789,Setup!$A$27:$A$44,0)),"TBD"))</f>
        <v/>
      </c>
      <c r="G1789" s="32"/>
      <c r="H1789" s="32"/>
      <c r="I1789" s="32"/>
      <c r="J1789" s="32"/>
      <c r="K1789" s="35"/>
      <c r="L1789" s="32"/>
      <c r="M1789" s="32"/>
    </row>
    <row r="1790" customFormat="false" ht="15" hidden="false" customHeight="true" outlineLevel="0" collapsed="false">
      <c r="A1790" s="32"/>
      <c r="B1790" s="32"/>
      <c r="C1790" s="32"/>
      <c r="D1790" s="32"/>
      <c r="E1790" s="34" t="str">
        <f aca="false">IF($B1790="","",IF($B1790="OUT","Liters",IFERROR(INDEX(Setup!$F$3:$F$24,MATCH($C1790,Setup!$A$3:$A$24,0)),"")))</f>
        <v/>
      </c>
      <c r="F1790" s="28" t="str">
        <f aca="false">IF(OR($D1790="",$E1790=""),"",IFERROR($D1790*INDEX(Setup!$B$27:$B$44,MATCH($E1790,Setup!$A$27:$A$44,0)),"TBD"))</f>
        <v/>
      </c>
      <c r="G1790" s="32"/>
      <c r="H1790" s="32"/>
      <c r="I1790" s="32"/>
      <c r="J1790" s="32"/>
      <c r="K1790" s="35"/>
      <c r="L1790" s="32"/>
      <c r="M1790" s="32"/>
    </row>
    <row r="1791" customFormat="false" ht="15" hidden="false" customHeight="true" outlineLevel="0" collapsed="false">
      <c r="A1791" s="32"/>
      <c r="B1791" s="32"/>
      <c r="C1791" s="32"/>
      <c r="D1791" s="32"/>
      <c r="E1791" s="34" t="str">
        <f aca="false">IF($B1791="","",IF($B1791="OUT","Liters",IFERROR(INDEX(Setup!$F$3:$F$24,MATCH($C1791,Setup!$A$3:$A$24,0)),"")))</f>
        <v/>
      </c>
      <c r="F1791" s="28" t="str">
        <f aca="false">IF(OR($D1791="",$E1791=""),"",IFERROR($D1791*INDEX(Setup!$B$27:$B$44,MATCH($E1791,Setup!$A$27:$A$44,0)),"TBD"))</f>
        <v/>
      </c>
      <c r="G1791" s="32"/>
      <c r="H1791" s="32"/>
      <c r="I1791" s="32"/>
      <c r="J1791" s="32"/>
      <c r="K1791" s="35"/>
      <c r="L1791" s="32"/>
      <c r="M1791" s="32"/>
    </row>
    <row r="1792" customFormat="false" ht="15" hidden="false" customHeight="true" outlineLevel="0" collapsed="false">
      <c r="A1792" s="32"/>
      <c r="B1792" s="32"/>
      <c r="C1792" s="32"/>
      <c r="D1792" s="32"/>
      <c r="E1792" s="34" t="str">
        <f aca="false">IF($B1792="","",IF($B1792="OUT","Liters",IFERROR(INDEX(Setup!$F$3:$F$24,MATCH($C1792,Setup!$A$3:$A$24,0)),"")))</f>
        <v/>
      </c>
      <c r="F1792" s="28" t="str">
        <f aca="false">IF(OR($D1792="",$E1792=""),"",IFERROR($D1792*INDEX(Setup!$B$27:$B$44,MATCH($E1792,Setup!$A$27:$A$44,0)),"TBD"))</f>
        <v/>
      </c>
      <c r="G1792" s="32"/>
      <c r="H1792" s="32"/>
      <c r="I1792" s="32"/>
      <c r="J1792" s="32"/>
      <c r="K1792" s="35"/>
      <c r="L1792" s="32"/>
      <c r="M1792" s="32"/>
    </row>
    <row r="1793" customFormat="false" ht="15" hidden="false" customHeight="true" outlineLevel="0" collapsed="false">
      <c r="A1793" s="32"/>
      <c r="B1793" s="32"/>
      <c r="C1793" s="32"/>
      <c r="D1793" s="32"/>
      <c r="E1793" s="34" t="str">
        <f aca="false">IF($B1793="","",IF($B1793="OUT","Liters",IFERROR(INDEX(Setup!$F$3:$F$24,MATCH($C1793,Setup!$A$3:$A$24,0)),"")))</f>
        <v/>
      </c>
      <c r="F1793" s="28" t="str">
        <f aca="false">IF(OR($D1793="",$E1793=""),"",IFERROR($D1793*INDEX(Setup!$B$27:$B$44,MATCH($E1793,Setup!$A$27:$A$44,0)),"TBD"))</f>
        <v/>
      </c>
      <c r="G1793" s="32"/>
      <c r="H1793" s="32"/>
      <c r="I1793" s="32"/>
      <c r="J1793" s="32"/>
      <c r="K1793" s="35"/>
      <c r="L1793" s="32"/>
      <c r="M1793" s="32"/>
    </row>
    <row r="1794" customFormat="false" ht="15" hidden="false" customHeight="true" outlineLevel="0" collapsed="false">
      <c r="A1794" s="32"/>
      <c r="B1794" s="32"/>
      <c r="C1794" s="32"/>
      <c r="D1794" s="32"/>
      <c r="E1794" s="34" t="str">
        <f aca="false">IF($B1794="","",IF($B1794="OUT","Liters",IFERROR(INDEX(Setup!$F$3:$F$24,MATCH($C1794,Setup!$A$3:$A$24,0)),"")))</f>
        <v/>
      </c>
      <c r="F1794" s="28" t="str">
        <f aca="false">IF(OR($D1794="",$E1794=""),"",IFERROR($D1794*INDEX(Setup!$B$27:$B$44,MATCH($E1794,Setup!$A$27:$A$44,0)),"TBD"))</f>
        <v/>
      </c>
      <c r="G1794" s="32"/>
      <c r="H1794" s="32"/>
      <c r="I1794" s="32"/>
      <c r="J1794" s="32"/>
      <c r="K1794" s="35"/>
      <c r="L1794" s="32"/>
      <c r="M1794" s="32"/>
    </row>
    <row r="1795" customFormat="false" ht="15" hidden="false" customHeight="true" outlineLevel="0" collapsed="false">
      <c r="A1795" s="32"/>
      <c r="B1795" s="32"/>
      <c r="C1795" s="32"/>
      <c r="D1795" s="32"/>
      <c r="E1795" s="34" t="str">
        <f aca="false">IF($B1795="","",IF($B1795="OUT","Liters",IFERROR(INDEX(Setup!$F$3:$F$24,MATCH($C1795,Setup!$A$3:$A$24,0)),"")))</f>
        <v/>
      </c>
      <c r="F1795" s="28" t="str">
        <f aca="false">IF(OR($D1795="",$E1795=""),"",IFERROR($D1795*INDEX(Setup!$B$27:$B$44,MATCH($E1795,Setup!$A$27:$A$44,0)),"TBD"))</f>
        <v/>
      </c>
      <c r="G1795" s="32"/>
      <c r="H1795" s="32"/>
      <c r="I1795" s="32"/>
      <c r="J1795" s="32"/>
      <c r="K1795" s="35"/>
      <c r="L1795" s="32"/>
      <c r="M1795" s="32"/>
    </row>
    <row r="1796" customFormat="false" ht="15" hidden="false" customHeight="true" outlineLevel="0" collapsed="false">
      <c r="A1796" s="32"/>
      <c r="B1796" s="32"/>
      <c r="C1796" s="32"/>
      <c r="D1796" s="32"/>
      <c r="E1796" s="34" t="str">
        <f aca="false">IF($B1796="","",IF($B1796="OUT","Liters",IFERROR(INDEX(Setup!$F$3:$F$24,MATCH($C1796,Setup!$A$3:$A$24,0)),"")))</f>
        <v/>
      </c>
      <c r="F1796" s="28" t="str">
        <f aca="false">IF(OR($D1796="",$E1796=""),"",IFERROR($D1796*INDEX(Setup!$B$27:$B$44,MATCH($E1796,Setup!$A$27:$A$44,0)),"TBD"))</f>
        <v/>
      </c>
      <c r="G1796" s="32"/>
      <c r="H1796" s="32"/>
      <c r="I1796" s="32"/>
      <c r="J1796" s="32"/>
      <c r="K1796" s="35"/>
      <c r="L1796" s="32"/>
      <c r="M1796" s="32"/>
    </row>
    <row r="1797" customFormat="false" ht="15" hidden="false" customHeight="true" outlineLevel="0" collapsed="false">
      <c r="A1797" s="32"/>
      <c r="B1797" s="32"/>
      <c r="C1797" s="32"/>
      <c r="D1797" s="32"/>
      <c r="E1797" s="34" t="str">
        <f aca="false">IF($B1797="","",IF($B1797="OUT","Liters",IFERROR(INDEX(Setup!$F$3:$F$24,MATCH($C1797,Setup!$A$3:$A$24,0)),"")))</f>
        <v/>
      </c>
      <c r="F1797" s="28" t="str">
        <f aca="false">IF(OR($D1797="",$E1797=""),"",IFERROR($D1797*INDEX(Setup!$B$27:$B$44,MATCH($E1797,Setup!$A$27:$A$44,0)),"TBD"))</f>
        <v/>
      </c>
      <c r="G1797" s="32"/>
      <c r="H1797" s="32"/>
      <c r="I1797" s="32"/>
      <c r="J1797" s="32"/>
      <c r="K1797" s="35"/>
      <c r="L1797" s="32"/>
      <c r="M1797" s="32"/>
    </row>
    <row r="1798" customFormat="false" ht="15" hidden="false" customHeight="true" outlineLevel="0" collapsed="false">
      <c r="A1798" s="32"/>
      <c r="B1798" s="32"/>
      <c r="C1798" s="32"/>
      <c r="D1798" s="32"/>
      <c r="E1798" s="34" t="str">
        <f aca="false">IF($B1798="","",IF($B1798="OUT","Liters",IFERROR(INDEX(Setup!$F$3:$F$24,MATCH($C1798,Setup!$A$3:$A$24,0)),"")))</f>
        <v/>
      </c>
      <c r="F1798" s="28" t="str">
        <f aca="false">IF(OR($D1798="",$E1798=""),"",IFERROR($D1798*INDEX(Setup!$B$27:$B$44,MATCH($E1798,Setup!$A$27:$A$44,0)),"TBD"))</f>
        <v/>
      </c>
      <c r="G1798" s="32"/>
      <c r="H1798" s="32"/>
      <c r="I1798" s="32"/>
      <c r="J1798" s="32"/>
      <c r="K1798" s="35"/>
      <c r="L1798" s="32"/>
      <c r="M1798" s="32"/>
    </row>
    <row r="1799" customFormat="false" ht="15" hidden="false" customHeight="true" outlineLevel="0" collapsed="false">
      <c r="A1799" s="32"/>
      <c r="B1799" s="32"/>
      <c r="C1799" s="32"/>
      <c r="D1799" s="32"/>
      <c r="E1799" s="34" t="str">
        <f aca="false">IF($B1799="","",IF($B1799="OUT","Liters",IFERROR(INDEX(Setup!$F$3:$F$24,MATCH($C1799,Setup!$A$3:$A$24,0)),"")))</f>
        <v/>
      </c>
      <c r="F1799" s="28" t="str">
        <f aca="false">IF(OR($D1799="",$E1799=""),"",IFERROR($D1799*INDEX(Setup!$B$27:$B$44,MATCH($E1799,Setup!$A$27:$A$44,0)),"TBD"))</f>
        <v/>
      </c>
      <c r="G1799" s="32"/>
      <c r="H1799" s="32"/>
      <c r="I1799" s="32"/>
      <c r="J1799" s="32"/>
      <c r="K1799" s="35"/>
      <c r="L1799" s="32"/>
      <c r="M1799" s="32"/>
    </row>
    <row r="1800" customFormat="false" ht="15" hidden="false" customHeight="true" outlineLevel="0" collapsed="false">
      <c r="A1800" s="32"/>
      <c r="B1800" s="32"/>
      <c r="C1800" s="32"/>
      <c r="D1800" s="32"/>
      <c r="E1800" s="34" t="str">
        <f aca="false">IF($B1800="","",IF($B1800="OUT","Liters",IFERROR(INDEX(Setup!$F$3:$F$24,MATCH($C1800,Setup!$A$3:$A$24,0)),"")))</f>
        <v/>
      </c>
      <c r="F1800" s="28" t="str">
        <f aca="false">IF(OR($D1800="",$E1800=""),"",IFERROR($D1800*INDEX(Setup!$B$27:$B$44,MATCH($E1800,Setup!$A$27:$A$44,0)),"TBD"))</f>
        <v/>
      </c>
      <c r="G1800" s="32"/>
      <c r="H1800" s="32"/>
      <c r="I1800" s="32"/>
      <c r="J1800" s="32"/>
      <c r="K1800" s="35"/>
      <c r="L1800" s="32"/>
      <c r="M1800" s="32"/>
    </row>
    <row r="1801" customFormat="false" ht="15" hidden="false" customHeight="true" outlineLevel="0" collapsed="false">
      <c r="A1801" s="32"/>
      <c r="B1801" s="32"/>
      <c r="C1801" s="32"/>
      <c r="D1801" s="32"/>
      <c r="E1801" s="34" t="str">
        <f aca="false">IF($B1801="","",IF($B1801="OUT","Liters",IFERROR(INDEX(Setup!$F$3:$F$24,MATCH($C1801,Setup!$A$3:$A$24,0)),"")))</f>
        <v/>
      </c>
      <c r="F1801" s="28" t="str">
        <f aca="false">IF(OR($D1801="",$E1801=""),"",IFERROR($D1801*INDEX(Setup!$B$27:$B$44,MATCH($E1801,Setup!$A$27:$A$44,0)),"TBD"))</f>
        <v/>
      </c>
      <c r="G1801" s="32"/>
      <c r="H1801" s="32"/>
      <c r="I1801" s="32"/>
      <c r="J1801" s="32"/>
      <c r="K1801" s="35"/>
      <c r="L1801" s="32"/>
      <c r="M1801" s="32"/>
    </row>
    <row r="1802" customFormat="false" ht="15" hidden="false" customHeight="true" outlineLevel="0" collapsed="false">
      <c r="A1802" s="32"/>
      <c r="B1802" s="32"/>
      <c r="C1802" s="32"/>
      <c r="D1802" s="32"/>
      <c r="E1802" s="34" t="str">
        <f aca="false">IF($B1802="","",IF($B1802="OUT","Liters",IFERROR(INDEX(Setup!$F$3:$F$24,MATCH($C1802,Setup!$A$3:$A$24,0)),"")))</f>
        <v/>
      </c>
      <c r="F1802" s="28" t="str">
        <f aca="false">IF(OR($D1802="",$E1802=""),"",IFERROR($D1802*INDEX(Setup!$B$27:$B$44,MATCH($E1802,Setup!$A$27:$A$44,0)),"TBD"))</f>
        <v/>
      </c>
      <c r="G1802" s="32"/>
      <c r="H1802" s="32"/>
      <c r="I1802" s="32"/>
      <c r="J1802" s="32"/>
      <c r="K1802" s="35"/>
      <c r="L1802" s="32"/>
      <c r="M1802" s="32"/>
    </row>
    <row r="1803" customFormat="false" ht="15" hidden="false" customHeight="true" outlineLevel="0" collapsed="false">
      <c r="A1803" s="32"/>
      <c r="B1803" s="32"/>
      <c r="C1803" s="32"/>
      <c r="D1803" s="32"/>
      <c r="E1803" s="34" t="str">
        <f aca="false">IF($B1803="","",IF($B1803="OUT","Liters",IFERROR(INDEX(Setup!$F$3:$F$24,MATCH($C1803,Setup!$A$3:$A$24,0)),"")))</f>
        <v/>
      </c>
      <c r="F1803" s="28" t="str">
        <f aca="false">IF(OR($D1803="",$E1803=""),"",IFERROR($D1803*INDEX(Setup!$B$27:$B$44,MATCH($E1803,Setup!$A$27:$A$44,0)),"TBD"))</f>
        <v/>
      </c>
      <c r="G1803" s="32"/>
      <c r="H1803" s="32"/>
      <c r="I1803" s="32"/>
      <c r="J1803" s="32"/>
      <c r="K1803" s="35"/>
      <c r="L1803" s="32"/>
      <c r="M1803" s="32"/>
    </row>
    <row r="1804" customFormat="false" ht="15" hidden="false" customHeight="true" outlineLevel="0" collapsed="false">
      <c r="A1804" s="32"/>
      <c r="B1804" s="32"/>
      <c r="C1804" s="32"/>
      <c r="D1804" s="32"/>
      <c r="E1804" s="34" t="str">
        <f aca="false">IF($B1804="","",IF($B1804="OUT","Liters",IFERROR(INDEX(Setup!$F$3:$F$24,MATCH($C1804,Setup!$A$3:$A$24,0)),"")))</f>
        <v/>
      </c>
      <c r="F1804" s="28" t="str">
        <f aca="false">IF(OR($D1804="",$E1804=""),"",IFERROR($D1804*INDEX(Setup!$B$27:$B$44,MATCH($E1804,Setup!$A$27:$A$44,0)),"TBD"))</f>
        <v/>
      </c>
      <c r="G1804" s="32"/>
      <c r="H1804" s="32"/>
      <c r="I1804" s="32"/>
      <c r="J1804" s="32"/>
      <c r="K1804" s="35"/>
      <c r="L1804" s="32"/>
      <c r="M1804" s="32"/>
    </row>
    <row r="1805" customFormat="false" ht="15" hidden="false" customHeight="true" outlineLevel="0" collapsed="false">
      <c r="A1805" s="32"/>
      <c r="B1805" s="32"/>
      <c r="C1805" s="32"/>
      <c r="D1805" s="32"/>
      <c r="E1805" s="34" t="str">
        <f aca="false">IF($B1805="","",IF($B1805="OUT","Liters",IFERROR(INDEX(Setup!$F$3:$F$24,MATCH($C1805,Setup!$A$3:$A$24,0)),"")))</f>
        <v/>
      </c>
      <c r="F1805" s="28" t="str">
        <f aca="false">IF(OR($D1805="",$E1805=""),"",IFERROR($D1805*INDEX(Setup!$B$27:$B$44,MATCH($E1805,Setup!$A$27:$A$44,0)),"TBD"))</f>
        <v/>
      </c>
      <c r="G1805" s="32"/>
      <c r="H1805" s="32"/>
      <c r="I1805" s="32"/>
      <c r="J1805" s="32"/>
      <c r="K1805" s="35"/>
      <c r="L1805" s="32"/>
      <c r="M1805" s="32"/>
    </row>
    <row r="1806" customFormat="false" ht="15" hidden="false" customHeight="true" outlineLevel="0" collapsed="false">
      <c r="A1806" s="32"/>
      <c r="B1806" s="32"/>
      <c r="C1806" s="32"/>
      <c r="D1806" s="32"/>
      <c r="E1806" s="34" t="str">
        <f aca="false">IF($B1806="","",IF($B1806="OUT","Liters",IFERROR(INDEX(Setup!$F$3:$F$24,MATCH($C1806,Setup!$A$3:$A$24,0)),"")))</f>
        <v/>
      </c>
      <c r="F1806" s="28" t="str">
        <f aca="false">IF(OR($D1806="",$E1806=""),"",IFERROR($D1806*INDEX(Setup!$B$27:$B$44,MATCH($E1806,Setup!$A$27:$A$44,0)),"TBD"))</f>
        <v/>
      </c>
      <c r="G1806" s="32"/>
      <c r="H1806" s="32"/>
      <c r="I1806" s="32"/>
      <c r="J1806" s="32"/>
      <c r="K1806" s="35"/>
      <c r="L1806" s="32"/>
      <c r="M1806" s="32"/>
    </row>
    <row r="1807" customFormat="false" ht="15" hidden="false" customHeight="true" outlineLevel="0" collapsed="false">
      <c r="A1807" s="32"/>
      <c r="B1807" s="32"/>
      <c r="C1807" s="32"/>
      <c r="D1807" s="32"/>
      <c r="E1807" s="34" t="str">
        <f aca="false">IF($B1807="","",IF($B1807="OUT","Liters",IFERROR(INDEX(Setup!$F$3:$F$24,MATCH($C1807,Setup!$A$3:$A$24,0)),"")))</f>
        <v/>
      </c>
      <c r="F1807" s="28" t="str">
        <f aca="false">IF(OR($D1807="",$E1807=""),"",IFERROR($D1807*INDEX(Setup!$B$27:$B$44,MATCH($E1807,Setup!$A$27:$A$44,0)),"TBD"))</f>
        <v/>
      </c>
      <c r="G1807" s="32"/>
      <c r="H1807" s="32"/>
      <c r="I1807" s="32"/>
      <c r="J1807" s="32"/>
      <c r="K1807" s="35"/>
      <c r="L1807" s="32"/>
      <c r="M1807" s="32"/>
    </row>
    <row r="1808" customFormat="false" ht="15" hidden="false" customHeight="true" outlineLevel="0" collapsed="false">
      <c r="A1808" s="32"/>
      <c r="B1808" s="32"/>
      <c r="C1808" s="32"/>
      <c r="D1808" s="32"/>
      <c r="E1808" s="34" t="str">
        <f aca="false">IF($B1808="","",IF($B1808="OUT","Liters",IFERROR(INDEX(Setup!$F$3:$F$24,MATCH($C1808,Setup!$A$3:$A$24,0)),"")))</f>
        <v/>
      </c>
      <c r="F1808" s="28" t="str">
        <f aca="false">IF(OR($D1808="",$E1808=""),"",IFERROR($D1808*INDEX(Setup!$B$27:$B$44,MATCH($E1808,Setup!$A$27:$A$44,0)),"TBD"))</f>
        <v/>
      </c>
      <c r="G1808" s="32"/>
      <c r="H1808" s="32"/>
      <c r="I1808" s="32"/>
      <c r="J1808" s="32"/>
      <c r="K1808" s="35"/>
      <c r="L1808" s="32"/>
      <c r="M1808" s="32"/>
    </row>
    <row r="1809" customFormat="false" ht="15" hidden="false" customHeight="true" outlineLevel="0" collapsed="false">
      <c r="A1809" s="32"/>
      <c r="B1809" s="32"/>
      <c r="C1809" s="32"/>
      <c r="D1809" s="32"/>
      <c r="E1809" s="34" t="str">
        <f aca="false">IF($B1809="","",IF($B1809="OUT","Liters",IFERROR(INDEX(Setup!$F$3:$F$24,MATCH($C1809,Setup!$A$3:$A$24,0)),"")))</f>
        <v/>
      </c>
      <c r="F1809" s="28" t="str">
        <f aca="false">IF(OR($D1809="",$E1809=""),"",IFERROR($D1809*INDEX(Setup!$B$27:$B$44,MATCH($E1809,Setup!$A$27:$A$44,0)),"TBD"))</f>
        <v/>
      </c>
      <c r="G1809" s="32"/>
      <c r="H1809" s="32"/>
      <c r="I1809" s="32"/>
      <c r="J1809" s="32"/>
      <c r="K1809" s="35"/>
      <c r="L1809" s="32"/>
      <c r="M1809" s="32"/>
    </row>
    <row r="1810" customFormat="false" ht="15" hidden="false" customHeight="true" outlineLevel="0" collapsed="false">
      <c r="A1810" s="32"/>
      <c r="B1810" s="32"/>
      <c r="C1810" s="32"/>
      <c r="D1810" s="32"/>
      <c r="E1810" s="34" t="str">
        <f aca="false">IF($B1810="","",IF($B1810="OUT","Liters",IFERROR(INDEX(Setup!$F$3:$F$24,MATCH($C1810,Setup!$A$3:$A$24,0)),"")))</f>
        <v/>
      </c>
      <c r="F1810" s="28" t="str">
        <f aca="false">IF(OR($D1810="",$E1810=""),"",IFERROR($D1810*INDEX(Setup!$B$27:$B$44,MATCH($E1810,Setup!$A$27:$A$44,0)),"TBD"))</f>
        <v/>
      </c>
      <c r="G1810" s="32"/>
      <c r="H1810" s="32"/>
      <c r="I1810" s="32"/>
      <c r="J1810" s="32"/>
      <c r="K1810" s="35"/>
      <c r="L1810" s="32"/>
      <c r="M1810" s="32"/>
    </row>
    <row r="1811" customFormat="false" ht="15" hidden="false" customHeight="true" outlineLevel="0" collapsed="false">
      <c r="A1811" s="32"/>
      <c r="B1811" s="32"/>
      <c r="C1811" s="32"/>
      <c r="D1811" s="32"/>
      <c r="E1811" s="34" t="str">
        <f aca="false">IF($B1811="","",IF($B1811="OUT","Liters",IFERROR(INDEX(Setup!$F$3:$F$24,MATCH($C1811,Setup!$A$3:$A$24,0)),"")))</f>
        <v/>
      </c>
      <c r="F1811" s="28" t="str">
        <f aca="false">IF(OR($D1811="",$E1811=""),"",IFERROR($D1811*INDEX(Setup!$B$27:$B$44,MATCH($E1811,Setup!$A$27:$A$44,0)),"TBD"))</f>
        <v/>
      </c>
      <c r="G1811" s="32"/>
      <c r="H1811" s="32"/>
      <c r="I1811" s="32"/>
      <c r="J1811" s="32"/>
      <c r="K1811" s="35"/>
      <c r="L1811" s="32"/>
      <c r="M1811" s="32"/>
    </row>
    <row r="1812" customFormat="false" ht="15" hidden="false" customHeight="true" outlineLevel="0" collapsed="false">
      <c r="A1812" s="32"/>
      <c r="B1812" s="32"/>
      <c r="C1812" s="32"/>
      <c r="D1812" s="32"/>
      <c r="E1812" s="34" t="str">
        <f aca="false">IF($B1812="","",IF($B1812="OUT","Liters",IFERROR(INDEX(Setup!$F$3:$F$24,MATCH($C1812,Setup!$A$3:$A$24,0)),"")))</f>
        <v/>
      </c>
      <c r="F1812" s="28" t="str">
        <f aca="false">IF(OR($D1812="",$E1812=""),"",IFERROR($D1812*INDEX(Setup!$B$27:$B$44,MATCH($E1812,Setup!$A$27:$A$44,0)),"TBD"))</f>
        <v/>
      </c>
      <c r="G1812" s="32"/>
      <c r="H1812" s="32"/>
      <c r="I1812" s="32"/>
      <c r="J1812" s="32"/>
      <c r="K1812" s="35"/>
      <c r="L1812" s="32"/>
      <c r="M1812" s="32"/>
    </row>
    <row r="1813" customFormat="false" ht="15" hidden="false" customHeight="true" outlineLevel="0" collapsed="false">
      <c r="A1813" s="32"/>
      <c r="B1813" s="32"/>
      <c r="C1813" s="32"/>
      <c r="D1813" s="32"/>
      <c r="E1813" s="34" t="str">
        <f aca="false">IF($B1813="","",IF($B1813="OUT","Liters",IFERROR(INDEX(Setup!$F$3:$F$24,MATCH($C1813,Setup!$A$3:$A$24,0)),"")))</f>
        <v/>
      </c>
      <c r="F1813" s="28" t="str">
        <f aca="false">IF(OR($D1813="",$E1813=""),"",IFERROR($D1813*INDEX(Setup!$B$27:$B$44,MATCH($E1813,Setup!$A$27:$A$44,0)),"TBD"))</f>
        <v/>
      </c>
      <c r="G1813" s="32"/>
      <c r="H1813" s="32"/>
      <c r="I1813" s="32"/>
      <c r="J1813" s="32"/>
      <c r="K1813" s="35"/>
      <c r="L1813" s="32"/>
      <c r="M1813" s="32"/>
    </row>
    <row r="1814" customFormat="false" ht="15" hidden="false" customHeight="true" outlineLevel="0" collapsed="false">
      <c r="A1814" s="32"/>
      <c r="B1814" s="32"/>
      <c r="C1814" s="32"/>
      <c r="D1814" s="32"/>
      <c r="E1814" s="34" t="str">
        <f aca="false">IF($B1814="","",IF($B1814="OUT","Liters",IFERROR(INDEX(Setup!$F$3:$F$24,MATCH($C1814,Setup!$A$3:$A$24,0)),"")))</f>
        <v/>
      </c>
      <c r="F1814" s="28" t="str">
        <f aca="false">IF(OR($D1814="",$E1814=""),"",IFERROR($D1814*INDEX(Setup!$B$27:$B$44,MATCH($E1814,Setup!$A$27:$A$44,0)),"TBD"))</f>
        <v/>
      </c>
      <c r="G1814" s="32"/>
      <c r="H1814" s="32"/>
      <c r="I1814" s="32"/>
      <c r="J1814" s="32"/>
      <c r="K1814" s="35"/>
      <c r="L1814" s="32"/>
      <c r="M1814" s="32"/>
    </row>
    <row r="1815" customFormat="false" ht="15" hidden="false" customHeight="true" outlineLevel="0" collapsed="false">
      <c r="A1815" s="32"/>
      <c r="B1815" s="32"/>
      <c r="C1815" s="32"/>
      <c r="D1815" s="32"/>
      <c r="E1815" s="34" t="str">
        <f aca="false">IF($B1815="","",IF($B1815="OUT","Liters",IFERROR(INDEX(Setup!$F$3:$F$24,MATCH($C1815,Setup!$A$3:$A$24,0)),"")))</f>
        <v/>
      </c>
      <c r="F1815" s="28" t="str">
        <f aca="false">IF(OR($D1815="",$E1815=""),"",IFERROR($D1815*INDEX(Setup!$B$27:$B$44,MATCH($E1815,Setup!$A$27:$A$44,0)),"TBD"))</f>
        <v/>
      </c>
      <c r="G1815" s="32"/>
      <c r="H1815" s="32"/>
      <c r="I1815" s="32"/>
      <c r="J1815" s="32"/>
      <c r="K1815" s="35"/>
      <c r="L1815" s="32"/>
      <c r="M1815" s="32"/>
    </row>
    <row r="1816" customFormat="false" ht="15" hidden="false" customHeight="true" outlineLevel="0" collapsed="false">
      <c r="A1816" s="32"/>
      <c r="B1816" s="32"/>
      <c r="C1816" s="32"/>
      <c r="D1816" s="32"/>
      <c r="E1816" s="34" t="str">
        <f aca="false">IF($B1816="","",IF($B1816="OUT","Liters",IFERROR(INDEX(Setup!$F$3:$F$24,MATCH($C1816,Setup!$A$3:$A$24,0)),"")))</f>
        <v/>
      </c>
      <c r="F1816" s="28" t="str">
        <f aca="false">IF(OR($D1816="",$E1816=""),"",IFERROR($D1816*INDEX(Setup!$B$27:$B$44,MATCH($E1816,Setup!$A$27:$A$44,0)),"TBD"))</f>
        <v/>
      </c>
      <c r="G1816" s="32"/>
      <c r="H1816" s="32"/>
      <c r="I1816" s="32"/>
      <c r="J1816" s="32"/>
      <c r="K1816" s="35"/>
      <c r="L1816" s="32"/>
      <c r="M1816" s="32"/>
    </row>
    <row r="1817" customFormat="false" ht="15" hidden="false" customHeight="true" outlineLevel="0" collapsed="false">
      <c r="A1817" s="32"/>
      <c r="B1817" s="32"/>
      <c r="C1817" s="32"/>
      <c r="D1817" s="32"/>
      <c r="E1817" s="34" t="str">
        <f aca="false">IF($B1817="","",IF($B1817="OUT","Liters",IFERROR(INDEX(Setup!$F$3:$F$24,MATCH($C1817,Setup!$A$3:$A$24,0)),"")))</f>
        <v/>
      </c>
      <c r="F1817" s="28" t="str">
        <f aca="false">IF(OR($D1817="",$E1817=""),"",IFERROR($D1817*INDEX(Setup!$B$27:$B$44,MATCH($E1817,Setup!$A$27:$A$44,0)),"TBD"))</f>
        <v/>
      </c>
      <c r="G1817" s="32"/>
      <c r="H1817" s="32"/>
      <c r="I1817" s="32"/>
      <c r="J1817" s="32"/>
      <c r="K1817" s="35"/>
      <c r="L1817" s="32"/>
      <c r="M1817" s="32"/>
    </row>
    <row r="1818" customFormat="false" ht="15" hidden="false" customHeight="true" outlineLevel="0" collapsed="false">
      <c r="A1818" s="32"/>
      <c r="B1818" s="32"/>
      <c r="C1818" s="32"/>
      <c r="D1818" s="32"/>
      <c r="E1818" s="34" t="str">
        <f aca="false">IF($B1818="","",IF($B1818="OUT","Liters",IFERROR(INDEX(Setup!$F$3:$F$24,MATCH($C1818,Setup!$A$3:$A$24,0)),"")))</f>
        <v/>
      </c>
      <c r="F1818" s="28" t="str">
        <f aca="false">IF(OR($D1818="",$E1818=""),"",IFERROR($D1818*INDEX(Setup!$B$27:$B$44,MATCH($E1818,Setup!$A$27:$A$44,0)),"TBD"))</f>
        <v/>
      </c>
      <c r="G1818" s="32"/>
      <c r="H1818" s="32"/>
      <c r="I1818" s="32"/>
      <c r="J1818" s="32"/>
      <c r="K1818" s="35"/>
      <c r="L1818" s="32"/>
      <c r="M1818" s="32"/>
    </row>
    <row r="1819" customFormat="false" ht="15" hidden="false" customHeight="true" outlineLevel="0" collapsed="false">
      <c r="A1819" s="32"/>
      <c r="B1819" s="32"/>
      <c r="C1819" s="32"/>
      <c r="D1819" s="32"/>
      <c r="E1819" s="34" t="str">
        <f aca="false">IF($B1819="","",IF($B1819="OUT","Liters",IFERROR(INDEX(Setup!$F$3:$F$24,MATCH($C1819,Setup!$A$3:$A$24,0)),"")))</f>
        <v/>
      </c>
      <c r="F1819" s="28" t="str">
        <f aca="false">IF(OR($D1819="",$E1819=""),"",IFERROR($D1819*INDEX(Setup!$B$27:$B$44,MATCH($E1819,Setup!$A$27:$A$44,0)),"TBD"))</f>
        <v/>
      </c>
      <c r="G1819" s="32"/>
      <c r="H1819" s="32"/>
      <c r="I1819" s="32"/>
      <c r="J1819" s="32"/>
      <c r="K1819" s="35"/>
      <c r="L1819" s="32"/>
      <c r="M1819" s="32"/>
    </row>
    <row r="1820" customFormat="false" ht="15" hidden="false" customHeight="true" outlineLevel="0" collapsed="false">
      <c r="A1820" s="32"/>
      <c r="B1820" s="32"/>
      <c r="C1820" s="32"/>
      <c r="D1820" s="32"/>
      <c r="E1820" s="34" t="str">
        <f aca="false">IF($B1820="","",IF($B1820="OUT","Liters",IFERROR(INDEX(Setup!$F$3:$F$24,MATCH($C1820,Setup!$A$3:$A$24,0)),"")))</f>
        <v/>
      </c>
      <c r="F1820" s="28" t="str">
        <f aca="false">IF(OR($D1820="",$E1820=""),"",IFERROR($D1820*INDEX(Setup!$B$27:$B$44,MATCH($E1820,Setup!$A$27:$A$44,0)),"TBD"))</f>
        <v/>
      </c>
      <c r="G1820" s="32"/>
      <c r="H1820" s="32"/>
      <c r="I1820" s="32"/>
      <c r="J1820" s="32"/>
      <c r="K1820" s="35"/>
      <c r="L1820" s="32"/>
      <c r="M1820" s="32"/>
    </row>
    <row r="1821" customFormat="false" ht="15" hidden="false" customHeight="true" outlineLevel="0" collapsed="false">
      <c r="A1821" s="32"/>
      <c r="B1821" s="32"/>
      <c r="C1821" s="32"/>
      <c r="D1821" s="32"/>
      <c r="E1821" s="34" t="str">
        <f aca="false">IF($B1821="","",IF($B1821="OUT","Liters",IFERROR(INDEX(Setup!$F$3:$F$24,MATCH($C1821,Setup!$A$3:$A$24,0)),"")))</f>
        <v/>
      </c>
      <c r="F1821" s="28" t="str">
        <f aca="false">IF(OR($D1821="",$E1821=""),"",IFERROR($D1821*INDEX(Setup!$B$27:$B$44,MATCH($E1821,Setup!$A$27:$A$44,0)),"TBD"))</f>
        <v/>
      </c>
      <c r="G1821" s="32"/>
      <c r="H1821" s="32"/>
      <c r="I1821" s="32"/>
      <c r="J1821" s="32"/>
      <c r="K1821" s="35"/>
      <c r="L1821" s="32"/>
      <c r="M1821" s="32"/>
    </row>
    <row r="1822" customFormat="false" ht="15" hidden="false" customHeight="true" outlineLevel="0" collapsed="false">
      <c r="A1822" s="32"/>
      <c r="B1822" s="32"/>
      <c r="C1822" s="32"/>
      <c r="D1822" s="32"/>
      <c r="E1822" s="34" t="str">
        <f aca="false">IF($B1822="","",IF($B1822="OUT","Liters",IFERROR(INDEX(Setup!$F$3:$F$24,MATCH($C1822,Setup!$A$3:$A$24,0)),"")))</f>
        <v/>
      </c>
      <c r="F1822" s="28" t="str">
        <f aca="false">IF(OR($D1822="",$E1822=""),"",IFERROR($D1822*INDEX(Setup!$B$27:$B$44,MATCH($E1822,Setup!$A$27:$A$44,0)),"TBD"))</f>
        <v/>
      </c>
      <c r="G1822" s="32"/>
      <c r="H1822" s="32"/>
      <c r="I1822" s="32"/>
      <c r="J1822" s="32"/>
      <c r="K1822" s="35"/>
      <c r="L1822" s="32"/>
      <c r="M1822" s="32"/>
    </row>
    <row r="1823" customFormat="false" ht="15" hidden="false" customHeight="true" outlineLevel="0" collapsed="false">
      <c r="A1823" s="32"/>
      <c r="B1823" s="32"/>
      <c r="C1823" s="32"/>
      <c r="D1823" s="32"/>
      <c r="E1823" s="34" t="str">
        <f aca="false">IF($B1823="","",IF($B1823="OUT","Liters",IFERROR(INDEX(Setup!$F$3:$F$24,MATCH($C1823,Setup!$A$3:$A$24,0)),"")))</f>
        <v/>
      </c>
      <c r="F1823" s="28" t="str">
        <f aca="false">IF(OR($D1823="",$E1823=""),"",IFERROR($D1823*INDEX(Setup!$B$27:$B$44,MATCH($E1823,Setup!$A$27:$A$44,0)),"TBD"))</f>
        <v/>
      </c>
      <c r="G1823" s="32"/>
      <c r="H1823" s="32"/>
      <c r="I1823" s="32"/>
      <c r="J1823" s="32"/>
      <c r="K1823" s="35"/>
      <c r="L1823" s="32"/>
      <c r="M1823" s="32"/>
    </row>
    <row r="1824" customFormat="false" ht="15" hidden="false" customHeight="true" outlineLevel="0" collapsed="false">
      <c r="A1824" s="32"/>
      <c r="B1824" s="32"/>
      <c r="C1824" s="32"/>
      <c r="D1824" s="32"/>
      <c r="E1824" s="34" t="str">
        <f aca="false">IF($B1824="","",IF($B1824="OUT","Liters",IFERROR(INDEX(Setup!$F$3:$F$24,MATCH($C1824,Setup!$A$3:$A$24,0)),"")))</f>
        <v/>
      </c>
      <c r="F1824" s="28" t="str">
        <f aca="false">IF(OR($D1824="",$E1824=""),"",IFERROR($D1824*INDEX(Setup!$B$27:$B$44,MATCH($E1824,Setup!$A$27:$A$44,0)),"TBD"))</f>
        <v/>
      </c>
      <c r="G1824" s="32"/>
      <c r="H1824" s="32"/>
      <c r="I1824" s="32"/>
      <c r="J1824" s="32"/>
      <c r="K1824" s="35"/>
      <c r="L1824" s="32"/>
      <c r="M1824" s="32"/>
    </row>
    <row r="1825" customFormat="false" ht="15" hidden="false" customHeight="true" outlineLevel="0" collapsed="false">
      <c r="A1825" s="32"/>
      <c r="B1825" s="32"/>
      <c r="C1825" s="32"/>
      <c r="D1825" s="32"/>
      <c r="E1825" s="34" t="str">
        <f aca="false">IF($B1825="","",IF($B1825="OUT","Liters",IFERROR(INDEX(Setup!$F$3:$F$24,MATCH($C1825,Setup!$A$3:$A$24,0)),"")))</f>
        <v/>
      </c>
      <c r="F1825" s="28" t="str">
        <f aca="false">IF(OR($D1825="",$E1825=""),"",IFERROR($D1825*INDEX(Setup!$B$27:$B$44,MATCH($E1825,Setup!$A$27:$A$44,0)),"TBD"))</f>
        <v/>
      </c>
      <c r="G1825" s="32"/>
      <c r="H1825" s="32"/>
      <c r="I1825" s="32"/>
      <c r="J1825" s="32"/>
      <c r="K1825" s="35"/>
      <c r="L1825" s="32"/>
      <c r="M1825" s="32"/>
    </row>
    <row r="1826" customFormat="false" ht="15" hidden="false" customHeight="true" outlineLevel="0" collapsed="false">
      <c r="A1826" s="32"/>
      <c r="B1826" s="32"/>
      <c r="C1826" s="32"/>
      <c r="D1826" s="32"/>
      <c r="E1826" s="34" t="str">
        <f aca="false">IF($B1826="","",IF($B1826="OUT","Liters",IFERROR(INDEX(Setup!$F$3:$F$24,MATCH($C1826,Setup!$A$3:$A$24,0)),"")))</f>
        <v/>
      </c>
      <c r="F1826" s="28" t="str">
        <f aca="false">IF(OR($D1826="",$E1826=""),"",IFERROR($D1826*INDEX(Setup!$B$27:$B$44,MATCH($E1826,Setup!$A$27:$A$44,0)),"TBD"))</f>
        <v/>
      </c>
      <c r="G1826" s="32"/>
      <c r="H1826" s="32"/>
      <c r="I1826" s="32"/>
      <c r="J1826" s="32"/>
      <c r="K1826" s="35"/>
      <c r="L1826" s="32"/>
      <c r="M1826" s="32"/>
    </row>
    <row r="1827" customFormat="false" ht="15" hidden="false" customHeight="true" outlineLevel="0" collapsed="false">
      <c r="A1827" s="32"/>
      <c r="B1827" s="32"/>
      <c r="C1827" s="32"/>
      <c r="D1827" s="32"/>
      <c r="E1827" s="34" t="str">
        <f aca="false">IF($B1827="","",IF($B1827="OUT","Liters",IFERROR(INDEX(Setup!$F$3:$F$24,MATCH($C1827,Setup!$A$3:$A$24,0)),"")))</f>
        <v/>
      </c>
      <c r="F1827" s="28" t="str">
        <f aca="false">IF(OR($D1827="",$E1827=""),"",IFERROR($D1827*INDEX(Setup!$B$27:$B$44,MATCH($E1827,Setup!$A$27:$A$44,0)),"TBD"))</f>
        <v/>
      </c>
      <c r="G1827" s="32"/>
      <c r="H1827" s="32"/>
      <c r="I1827" s="32"/>
      <c r="J1827" s="32"/>
      <c r="K1827" s="35"/>
      <c r="L1827" s="32"/>
      <c r="M1827" s="32"/>
    </row>
    <row r="1828" customFormat="false" ht="15" hidden="false" customHeight="true" outlineLevel="0" collapsed="false">
      <c r="A1828" s="32"/>
      <c r="B1828" s="32"/>
      <c r="C1828" s="32"/>
      <c r="D1828" s="32"/>
      <c r="E1828" s="34" t="str">
        <f aca="false">IF($B1828="","",IF($B1828="OUT","Liters",IFERROR(INDEX(Setup!$F$3:$F$24,MATCH($C1828,Setup!$A$3:$A$24,0)),"")))</f>
        <v/>
      </c>
      <c r="F1828" s="28" t="str">
        <f aca="false">IF(OR($D1828="",$E1828=""),"",IFERROR($D1828*INDEX(Setup!$B$27:$B$44,MATCH($E1828,Setup!$A$27:$A$44,0)),"TBD"))</f>
        <v/>
      </c>
      <c r="G1828" s="32"/>
      <c r="H1828" s="32"/>
      <c r="I1828" s="32"/>
      <c r="J1828" s="32"/>
      <c r="K1828" s="35"/>
      <c r="L1828" s="32"/>
      <c r="M1828" s="32"/>
    </row>
    <row r="1829" customFormat="false" ht="15" hidden="false" customHeight="true" outlineLevel="0" collapsed="false">
      <c r="A1829" s="32"/>
      <c r="B1829" s="32"/>
      <c r="C1829" s="32"/>
      <c r="D1829" s="32"/>
      <c r="E1829" s="34" t="str">
        <f aca="false">IF($B1829="","",IF($B1829="OUT","Liters",IFERROR(INDEX(Setup!$F$3:$F$24,MATCH($C1829,Setup!$A$3:$A$24,0)),"")))</f>
        <v/>
      </c>
      <c r="F1829" s="28" t="str">
        <f aca="false">IF(OR($D1829="",$E1829=""),"",IFERROR($D1829*INDEX(Setup!$B$27:$B$44,MATCH($E1829,Setup!$A$27:$A$44,0)),"TBD"))</f>
        <v/>
      </c>
      <c r="G1829" s="32"/>
      <c r="H1829" s="32"/>
      <c r="I1829" s="32"/>
      <c r="J1829" s="32"/>
      <c r="K1829" s="35"/>
      <c r="L1829" s="32"/>
      <c r="M1829" s="32"/>
    </row>
    <row r="1830" customFormat="false" ht="15" hidden="false" customHeight="true" outlineLevel="0" collapsed="false">
      <c r="A1830" s="32"/>
      <c r="B1830" s="32"/>
      <c r="C1830" s="32"/>
      <c r="D1830" s="32"/>
      <c r="E1830" s="34" t="str">
        <f aca="false">IF($B1830="","",IF($B1830="OUT","Liters",IFERROR(INDEX(Setup!$F$3:$F$24,MATCH($C1830,Setup!$A$3:$A$24,0)),"")))</f>
        <v/>
      </c>
      <c r="F1830" s="28" t="str">
        <f aca="false">IF(OR($D1830="",$E1830=""),"",IFERROR($D1830*INDEX(Setup!$B$27:$B$44,MATCH($E1830,Setup!$A$27:$A$44,0)),"TBD"))</f>
        <v/>
      </c>
      <c r="G1830" s="32"/>
      <c r="H1830" s="32"/>
      <c r="I1830" s="32"/>
      <c r="J1830" s="32"/>
      <c r="K1830" s="35"/>
      <c r="L1830" s="32"/>
      <c r="M1830" s="32"/>
    </row>
    <row r="1831" customFormat="false" ht="15" hidden="false" customHeight="true" outlineLevel="0" collapsed="false">
      <c r="A1831" s="32"/>
      <c r="B1831" s="32"/>
      <c r="C1831" s="32"/>
      <c r="D1831" s="32"/>
      <c r="E1831" s="34" t="str">
        <f aca="false">IF($B1831="","",IF($B1831="OUT","Liters",IFERROR(INDEX(Setup!$F$3:$F$24,MATCH($C1831,Setup!$A$3:$A$24,0)),"")))</f>
        <v/>
      </c>
      <c r="F1831" s="28" t="str">
        <f aca="false">IF(OR($D1831="",$E1831=""),"",IFERROR($D1831*INDEX(Setup!$B$27:$B$44,MATCH($E1831,Setup!$A$27:$A$44,0)),"TBD"))</f>
        <v/>
      </c>
      <c r="G1831" s="32"/>
      <c r="H1831" s="32"/>
      <c r="I1831" s="32"/>
      <c r="J1831" s="32"/>
      <c r="K1831" s="35"/>
      <c r="L1831" s="32"/>
      <c r="M1831" s="32"/>
    </row>
    <row r="1832" customFormat="false" ht="15" hidden="false" customHeight="true" outlineLevel="0" collapsed="false">
      <c r="A1832" s="32"/>
      <c r="B1832" s="32"/>
      <c r="C1832" s="32"/>
      <c r="D1832" s="32"/>
      <c r="E1832" s="34" t="str">
        <f aca="false">IF($B1832="","",IF($B1832="OUT","Liters",IFERROR(INDEX(Setup!$F$3:$F$24,MATCH($C1832,Setup!$A$3:$A$24,0)),"")))</f>
        <v/>
      </c>
      <c r="F1832" s="28" t="str">
        <f aca="false">IF(OR($D1832="",$E1832=""),"",IFERROR($D1832*INDEX(Setup!$B$27:$B$44,MATCH($E1832,Setup!$A$27:$A$44,0)),"TBD"))</f>
        <v/>
      </c>
      <c r="G1832" s="32"/>
      <c r="H1832" s="32"/>
      <c r="I1832" s="32"/>
      <c r="J1832" s="32"/>
      <c r="K1832" s="35"/>
      <c r="L1832" s="32"/>
      <c r="M1832" s="32"/>
    </row>
    <row r="1833" customFormat="false" ht="15" hidden="false" customHeight="true" outlineLevel="0" collapsed="false">
      <c r="A1833" s="32"/>
      <c r="B1833" s="32"/>
      <c r="C1833" s="32"/>
      <c r="D1833" s="32"/>
      <c r="E1833" s="34" t="str">
        <f aca="false">IF($B1833="","",IF($B1833="OUT","Liters",IFERROR(INDEX(Setup!$F$3:$F$24,MATCH($C1833,Setup!$A$3:$A$24,0)),"")))</f>
        <v/>
      </c>
      <c r="F1833" s="28" t="str">
        <f aca="false">IF(OR($D1833="",$E1833=""),"",IFERROR($D1833*INDEX(Setup!$B$27:$B$44,MATCH($E1833,Setup!$A$27:$A$44,0)),"TBD"))</f>
        <v/>
      </c>
      <c r="G1833" s="32"/>
      <c r="H1833" s="32"/>
      <c r="I1833" s="32"/>
      <c r="J1833" s="32"/>
      <c r="K1833" s="35"/>
      <c r="L1833" s="32"/>
      <c r="M1833" s="32"/>
    </row>
    <row r="1834" customFormat="false" ht="15" hidden="false" customHeight="true" outlineLevel="0" collapsed="false">
      <c r="A1834" s="32"/>
      <c r="B1834" s="32"/>
      <c r="C1834" s="32"/>
      <c r="D1834" s="32"/>
      <c r="E1834" s="34" t="str">
        <f aca="false">IF($B1834="","",IF($B1834="OUT","Liters",IFERROR(INDEX(Setup!$F$3:$F$24,MATCH($C1834,Setup!$A$3:$A$24,0)),"")))</f>
        <v/>
      </c>
      <c r="F1834" s="28" t="str">
        <f aca="false">IF(OR($D1834="",$E1834=""),"",IFERROR($D1834*INDEX(Setup!$B$27:$B$44,MATCH($E1834,Setup!$A$27:$A$44,0)),"TBD"))</f>
        <v/>
      </c>
      <c r="G1834" s="32"/>
      <c r="H1834" s="32"/>
      <c r="I1834" s="32"/>
      <c r="J1834" s="32"/>
      <c r="K1834" s="35"/>
      <c r="L1834" s="32"/>
      <c r="M1834" s="32"/>
    </row>
    <row r="1835" customFormat="false" ht="15" hidden="false" customHeight="true" outlineLevel="0" collapsed="false">
      <c r="A1835" s="32"/>
      <c r="B1835" s="32"/>
      <c r="C1835" s="32"/>
      <c r="D1835" s="32"/>
      <c r="E1835" s="34" t="str">
        <f aca="false">IF($B1835="","",IF($B1835="OUT","Liters",IFERROR(INDEX(Setup!$F$3:$F$24,MATCH($C1835,Setup!$A$3:$A$24,0)),"")))</f>
        <v/>
      </c>
      <c r="F1835" s="28" t="str">
        <f aca="false">IF(OR($D1835="",$E1835=""),"",IFERROR($D1835*INDEX(Setup!$B$27:$B$44,MATCH($E1835,Setup!$A$27:$A$44,0)),"TBD"))</f>
        <v/>
      </c>
      <c r="G1835" s="32"/>
      <c r="H1835" s="32"/>
      <c r="I1835" s="32"/>
      <c r="J1835" s="32"/>
      <c r="K1835" s="35"/>
      <c r="L1835" s="32"/>
      <c r="M1835" s="32"/>
    </row>
    <row r="1836" customFormat="false" ht="15" hidden="false" customHeight="true" outlineLevel="0" collapsed="false">
      <c r="A1836" s="32"/>
      <c r="B1836" s="32"/>
      <c r="C1836" s="32"/>
      <c r="D1836" s="32"/>
      <c r="E1836" s="34" t="str">
        <f aca="false">IF($B1836="","",IF($B1836="OUT","Liters",IFERROR(INDEX(Setup!$F$3:$F$24,MATCH($C1836,Setup!$A$3:$A$24,0)),"")))</f>
        <v/>
      </c>
      <c r="F1836" s="28" t="str">
        <f aca="false">IF(OR($D1836="",$E1836=""),"",IFERROR($D1836*INDEX(Setup!$B$27:$B$44,MATCH($E1836,Setup!$A$27:$A$44,0)),"TBD"))</f>
        <v/>
      </c>
      <c r="G1836" s="32"/>
      <c r="H1836" s="32"/>
      <c r="I1836" s="32"/>
      <c r="J1836" s="32"/>
      <c r="K1836" s="35"/>
      <c r="L1836" s="32"/>
      <c r="M1836" s="32"/>
    </row>
    <row r="1837" customFormat="false" ht="15" hidden="false" customHeight="true" outlineLevel="0" collapsed="false">
      <c r="A1837" s="32"/>
      <c r="B1837" s="32"/>
      <c r="C1837" s="32"/>
      <c r="D1837" s="32"/>
      <c r="E1837" s="34" t="str">
        <f aca="false">IF($B1837="","",IF($B1837="OUT","Liters",IFERROR(INDEX(Setup!$F$3:$F$24,MATCH($C1837,Setup!$A$3:$A$24,0)),"")))</f>
        <v/>
      </c>
      <c r="F1837" s="28" t="str">
        <f aca="false">IF(OR($D1837="",$E1837=""),"",IFERROR($D1837*INDEX(Setup!$B$27:$B$44,MATCH($E1837,Setup!$A$27:$A$44,0)),"TBD"))</f>
        <v/>
      </c>
      <c r="G1837" s="32"/>
      <c r="H1837" s="32"/>
      <c r="I1837" s="32"/>
      <c r="J1837" s="32"/>
      <c r="K1837" s="35"/>
      <c r="L1837" s="32"/>
      <c r="M1837" s="32"/>
    </row>
    <row r="1838" customFormat="false" ht="15" hidden="false" customHeight="true" outlineLevel="0" collapsed="false">
      <c r="A1838" s="32"/>
      <c r="B1838" s="32"/>
      <c r="C1838" s="32"/>
      <c r="D1838" s="32"/>
      <c r="E1838" s="34" t="str">
        <f aca="false">IF($B1838="","",IF($B1838="OUT","Liters",IFERROR(INDEX(Setup!$F$3:$F$24,MATCH($C1838,Setup!$A$3:$A$24,0)),"")))</f>
        <v/>
      </c>
      <c r="F1838" s="28" t="str">
        <f aca="false">IF(OR($D1838="",$E1838=""),"",IFERROR($D1838*INDEX(Setup!$B$27:$B$44,MATCH($E1838,Setup!$A$27:$A$44,0)),"TBD"))</f>
        <v/>
      </c>
      <c r="G1838" s="32"/>
      <c r="H1838" s="32"/>
      <c r="I1838" s="32"/>
      <c r="J1838" s="32"/>
      <c r="K1838" s="35"/>
      <c r="L1838" s="32"/>
      <c r="M1838" s="32"/>
    </row>
    <row r="1839" customFormat="false" ht="15" hidden="false" customHeight="true" outlineLevel="0" collapsed="false">
      <c r="A1839" s="32"/>
      <c r="B1839" s="32"/>
      <c r="C1839" s="32"/>
      <c r="D1839" s="32"/>
      <c r="E1839" s="34" t="str">
        <f aca="false">IF($B1839="","",IF($B1839="OUT","Liters",IFERROR(INDEX(Setup!$F$3:$F$24,MATCH($C1839,Setup!$A$3:$A$24,0)),"")))</f>
        <v/>
      </c>
      <c r="F1839" s="28" t="str">
        <f aca="false">IF(OR($D1839="",$E1839=""),"",IFERROR($D1839*INDEX(Setup!$B$27:$B$44,MATCH($E1839,Setup!$A$27:$A$44,0)),"TBD"))</f>
        <v/>
      </c>
      <c r="G1839" s="32"/>
      <c r="H1839" s="32"/>
      <c r="I1839" s="32"/>
      <c r="J1839" s="32"/>
      <c r="K1839" s="35"/>
      <c r="L1839" s="32"/>
      <c r="M1839" s="32"/>
    </row>
    <row r="1840" customFormat="false" ht="15" hidden="false" customHeight="true" outlineLevel="0" collapsed="false">
      <c r="A1840" s="32"/>
      <c r="B1840" s="32"/>
      <c r="C1840" s="32"/>
      <c r="D1840" s="32"/>
      <c r="E1840" s="34" t="str">
        <f aca="false">IF($B1840="","",IF($B1840="OUT","Liters",IFERROR(INDEX(Setup!$F$3:$F$24,MATCH($C1840,Setup!$A$3:$A$24,0)),"")))</f>
        <v/>
      </c>
      <c r="F1840" s="28" t="str">
        <f aca="false">IF(OR($D1840="",$E1840=""),"",IFERROR($D1840*INDEX(Setup!$B$27:$B$44,MATCH($E1840,Setup!$A$27:$A$44,0)),"TBD"))</f>
        <v/>
      </c>
      <c r="G1840" s="32"/>
      <c r="H1840" s="32"/>
      <c r="I1840" s="32"/>
      <c r="J1840" s="32"/>
      <c r="K1840" s="35"/>
      <c r="L1840" s="32"/>
      <c r="M1840" s="32"/>
    </row>
    <row r="1841" customFormat="false" ht="15" hidden="false" customHeight="true" outlineLevel="0" collapsed="false">
      <c r="A1841" s="32"/>
      <c r="B1841" s="32"/>
      <c r="C1841" s="32"/>
      <c r="D1841" s="32"/>
      <c r="E1841" s="34" t="str">
        <f aca="false">IF($B1841="","",IF($B1841="OUT","Liters",IFERROR(INDEX(Setup!$F$3:$F$24,MATCH($C1841,Setup!$A$3:$A$24,0)),"")))</f>
        <v/>
      </c>
      <c r="F1841" s="28" t="str">
        <f aca="false">IF(OR($D1841="",$E1841=""),"",IFERROR($D1841*INDEX(Setup!$B$27:$B$44,MATCH($E1841,Setup!$A$27:$A$44,0)),"TBD"))</f>
        <v/>
      </c>
      <c r="G1841" s="32"/>
      <c r="H1841" s="32"/>
      <c r="I1841" s="32"/>
      <c r="J1841" s="32"/>
      <c r="K1841" s="35"/>
      <c r="L1841" s="32"/>
      <c r="M1841" s="32"/>
    </row>
    <row r="1842" customFormat="false" ht="15" hidden="false" customHeight="true" outlineLevel="0" collapsed="false">
      <c r="A1842" s="32"/>
      <c r="B1842" s="32"/>
      <c r="C1842" s="32"/>
      <c r="D1842" s="32"/>
      <c r="E1842" s="34" t="str">
        <f aca="false">IF($B1842="","",IF($B1842="OUT","Liters",IFERROR(INDEX(Setup!$F$3:$F$24,MATCH($C1842,Setup!$A$3:$A$24,0)),"")))</f>
        <v/>
      </c>
      <c r="F1842" s="28" t="str">
        <f aca="false">IF(OR($D1842="",$E1842=""),"",IFERROR($D1842*INDEX(Setup!$B$27:$B$44,MATCH($E1842,Setup!$A$27:$A$44,0)),"TBD"))</f>
        <v/>
      </c>
      <c r="G1842" s="32"/>
      <c r="H1842" s="32"/>
      <c r="I1842" s="32"/>
      <c r="J1842" s="32"/>
      <c r="K1842" s="35"/>
      <c r="L1842" s="32"/>
      <c r="M1842" s="32"/>
    </row>
    <row r="1843" customFormat="false" ht="15" hidden="false" customHeight="true" outlineLevel="0" collapsed="false">
      <c r="A1843" s="32"/>
      <c r="B1843" s="32"/>
      <c r="C1843" s="32"/>
      <c r="D1843" s="32"/>
      <c r="E1843" s="34" t="str">
        <f aca="false">IF($B1843="","",IF($B1843="OUT","Liters",IFERROR(INDEX(Setup!$F$3:$F$24,MATCH($C1843,Setup!$A$3:$A$24,0)),"")))</f>
        <v/>
      </c>
      <c r="F1843" s="28" t="str">
        <f aca="false">IF(OR($D1843="",$E1843=""),"",IFERROR($D1843*INDEX(Setup!$B$27:$B$44,MATCH($E1843,Setup!$A$27:$A$44,0)),"TBD"))</f>
        <v/>
      </c>
      <c r="G1843" s="32"/>
      <c r="H1843" s="32"/>
      <c r="I1843" s="32"/>
      <c r="J1843" s="32"/>
      <c r="K1843" s="35"/>
      <c r="L1843" s="32"/>
      <c r="M1843" s="32"/>
    </row>
    <row r="1844" customFormat="false" ht="15" hidden="false" customHeight="true" outlineLevel="0" collapsed="false">
      <c r="A1844" s="32"/>
      <c r="B1844" s="32"/>
      <c r="C1844" s="32"/>
      <c r="D1844" s="32"/>
      <c r="E1844" s="34" t="str">
        <f aca="false">IF($B1844="","",IF($B1844="OUT","Liters",IFERROR(INDEX(Setup!$F$3:$F$24,MATCH($C1844,Setup!$A$3:$A$24,0)),"")))</f>
        <v/>
      </c>
      <c r="F1844" s="28" t="str">
        <f aca="false">IF(OR($D1844="",$E1844=""),"",IFERROR($D1844*INDEX(Setup!$B$27:$B$44,MATCH($E1844,Setup!$A$27:$A$44,0)),"TBD"))</f>
        <v/>
      </c>
      <c r="G1844" s="32"/>
      <c r="H1844" s="32"/>
      <c r="I1844" s="32"/>
      <c r="J1844" s="32"/>
      <c r="K1844" s="35"/>
      <c r="L1844" s="32"/>
      <c r="M1844" s="32"/>
    </row>
    <row r="1845" customFormat="false" ht="15" hidden="false" customHeight="true" outlineLevel="0" collapsed="false">
      <c r="A1845" s="32"/>
      <c r="B1845" s="32"/>
      <c r="C1845" s="32"/>
      <c r="D1845" s="32"/>
      <c r="E1845" s="34" t="str">
        <f aca="false">IF($B1845="","",IF($B1845="OUT","Liters",IFERROR(INDEX(Setup!$F$3:$F$24,MATCH($C1845,Setup!$A$3:$A$24,0)),"")))</f>
        <v/>
      </c>
      <c r="F1845" s="28" t="str">
        <f aca="false">IF(OR($D1845="",$E1845=""),"",IFERROR($D1845*INDEX(Setup!$B$27:$B$44,MATCH($E1845,Setup!$A$27:$A$44,0)),"TBD"))</f>
        <v/>
      </c>
      <c r="G1845" s="32"/>
      <c r="H1845" s="32"/>
      <c r="I1845" s="32"/>
      <c r="J1845" s="32"/>
      <c r="K1845" s="35"/>
      <c r="L1845" s="32"/>
      <c r="M1845" s="32"/>
    </row>
    <row r="1846" customFormat="false" ht="15" hidden="false" customHeight="true" outlineLevel="0" collapsed="false">
      <c r="A1846" s="32"/>
      <c r="B1846" s="32"/>
      <c r="C1846" s="32"/>
      <c r="D1846" s="32"/>
      <c r="E1846" s="34" t="str">
        <f aca="false">IF($B1846="","",IF($B1846="OUT","Liters",IFERROR(INDEX(Setup!$F$3:$F$24,MATCH($C1846,Setup!$A$3:$A$24,0)),"")))</f>
        <v/>
      </c>
      <c r="F1846" s="28" t="str">
        <f aca="false">IF(OR($D1846="",$E1846=""),"",IFERROR($D1846*INDEX(Setup!$B$27:$B$44,MATCH($E1846,Setup!$A$27:$A$44,0)),"TBD"))</f>
        <v/>
      </c>
      <c r="G1846" s="32"/>
      <c r="H1846" s="32"/>
      <c r="I1846" s="32"/>
      <c r="J1846" s="32"/>
      <c r="K1846" s="35"/>
      <c r="L1846" s="32"/>
      <c r="M1846" s="32"/>
    </row>
    <row r="1847" customFormat="false" ht="15" hidden="false" customHeight="true" outlineLevel="0" collapsed="false">
      <c r="A1847" s="32"/>
      <c r="B1847" s="32"/>
      <c r="C1847" s="32"/>
      <c r="D1847" s="32"/>
      <c r="E1847" s="34" t="str">
        <f aca="false">IF($B1847="","",IF($B1847="OUT","Liters",IFERROR(INDEX(Setup!$F$3:$F$24,MATCH($C1847,Setup!$A$3:$A$24,0)),"")))</f>
        <v/>
      </c>
      <c r="F1847" s="28" t="str">
        <f aca="false">IF(OR($D1847="",$E1847=""),"",IFERROR($D1847*INDEX(Setup!$B$27:$B$44,MATCH($E1847,Setup!$A$27:$A$44,0)),"TBD"))</f>
        <v/>
      </c>
      <c r="G1847" s="32"/>
      <c r="H1847" s="32"/>
      <c r="I1847" s="32"/>
      <c r="J1847" s="32"/>
      <c r="K1847" s="35"/>
      <c r="L1847" s="32"/>
      <c r="M1847" s="32"/>
    </row>
    <row r="1848" customFormat="false" ht="15" hidden="false" customHeight="true" outlineLevel="0" collapsed="false">
      <c r="A1848" s="32"/>
      <c r="B1848" s="32"/>
      <c r="C1848" s="32"/>
      <c r="D1848" s="32"/>
      <c r="E1848" s="34" t="str">
        <f aca="false">IF($B1848="","",IF($B1848="OUT","Liters",IFERROR(INDEX(Setup!$F$3:$F$24,MATCH($C1848,Setup!$A$3:$A$24,0)),"")))</f>
        <v/>
      </c>
      <c r="F1848" s="28" t="str">
        <f aca="false">IF(OR($D1848="",$E1848=""),"",IFERROR($D1848*INDEX(Setup!$B$27:$B$44,MATCH($E1848,Setup!$A$27:$A$44,0)),"TBD"))</f>
        <v/>
      </c>
      <c r="G1848" s="32"/>
      <c r="H1848" s="32"/>
      <c r="I1848" s="32"/>
      <c r="J1848" s="32"/>
      <c r="K1848" s="35"/>
      <c r="L1848" s="32"/>
      <c r="M1848" s="32"/>
    </row>
    <row r="1849" customFormat="false" ht="15" hidden="false" customHeight="true" outlineLevel="0" collapsed="false">
      <c r="A1849" s="32"/>
      <c r="B1849" s="32"/>
      <c r="C1849" s="32"/>
      <c r="D1849" s="32"/>
      <c r="E1849" s="34" t="str">
        <f aca="false">IF($B1849="","",IF($B1849="OUT","Liters",IFERROR(INDEX(Setup!$F$3:$F$24,MATCH($C1849,Setup!$A$3:$A$24,0)),"")))</f>
        <v/>
      </c>
      <c r="F1849" s="28" t="str">
        <f aca="false">IF(OR($D1849="",$E1849=""),"",IFERROR($D1849*INDEX(Setup!$B$27:$B$44,MATCH($E1849,Setup!$A$27:$A$44,0)),"TBD"))</f>
        <v/>
      </c>
      <c r="G1849" s="32"/>
      <c r="H1849" s="32"/>
      <c r="I1849" s="32"/>
      <c r="J1849" s="32"/>
      <c r="K1849" s="35"/>
      <c r="L1849" s="32"/>
      <c r="M1849" s="32"/>
    </row>
    <row r="1850" customFormat="false" ht="15" hidden="false" customHeight="true" outlineLevel="0" collapsed="false">
      <c r="A1850" s="32"/>
      <c r="B1850" s="32"/>
      <c r="C1850" s="32"/>
      <c r="D1850" s="32"/>
      <c r="E1850" s="34" t="str">
        <f aca="false">IF($B1850="","",IF($B1850="OUT","Liters",IFERROR(INDEX(Setup!$F$3:$F$24,MATCH($C1850,Setup!$A$3:$A$24,0)),"")))</f>
        <v/>
      </c>
      <c r="F1850" s="28" t="str">
        <f aca="false">IF(OR($D1850="",$E1850=""),"",IFERROR($D1850*INDEX(Setup!$B$27:$B$44,MATCH($E1850,Setup!$A$27:$A$44,0)),"TBD"))</f>
        <v/>
      </c>
      <c r="G1850" s="32"/>
      <c r="H1850" s="32"/>
      <c r="I1850" s="32"/>
      <c r="J1850" s="32"/>
      <c r="K1850" s="35"/>
      <c r="L1850" s="32"/>
      <c r="M1850" s="32"/>
    </row>
    <row r="1851" customFormat="false" ht="15" hidden="false" customHeight="true" outlineLevel="0" collapsed="false">
      <c r="A1851" s="32"/>
      <c r="B1851" s="32"/>
      <c r="C1851" s="32"/>
      <c r="D1851" s="32"/>
      <c r="E1851" s="34" t="str">
        <f aca="false">IF($B1851="","",IF($B1851="OUT","Liters",IFERROR(INDEX(Setup!$F$3:$F$24,MATCH($C1851,Setup!$A$3:$A$24,0)),"")))</f>
        <v/>
      </c>
      <c r="F1851" s="28" t="str">
        <f aca="false">IF(OR($D1851="",$E1851=""),"",IFERROR($D1851*INDEX(Setup!$B$27:$B$44,MATCH($E1851,Setup!$A$27:$A$44,0)),"TBD"))</f>
        <v/>
      </c>
      <c r="G1851" s="32"/>
      <c r="H1851" s="32"/>
      <c r="I1851" s="32"/>
      <c r="J1851" s="32"/>
      <c r="K1851" s="35"/>
      <c r="L1851" s="32"/>
      <c r="M1851" s="32"/>
    </row>
    <row r="1852" customFormat="false" ht="15" hidden="false" customHeight="true" outlineLevel="0" collapsed="false">
      <c r="A1852" s="32"/>
      <c r="B1852" s="32"/>
      <c r="C1852" s="32"/>
      <c r="D1852" s="32"/>
      <c r="E1852" s="34" t="str">
        <f aca="false">IF($B1852="","",IF($B1852="OUT","Liters",IFERROR(INDEX(Setup!$F$3:$F$24,MATCH($C1852,Setup!$A$3:$A$24,0)),"")))</f>
        <v/>
      </c>
      <c r="F1852" s="28" t="str">
        <f aca="false">IF(OR($D1852="",$E1852=""),"",IFERROR($D1852*INDEX(Setup!$B$27:$B$44,MATCH($E1852,Setup!$A$27:$A$44,0)),"TBD"))</f>
        <v/>
      </c>
      <c r="G1852" s="32"/>
      <c r="H1852" s="32"/>
      <c r="I1852" s="32"/>
      <c r="J1852" s="32"/>
      <c r="K1852" s="35"/>
      <c r="L1852" s="32"/>
      <c r="M1852" s="32"/>
    </row>
    <row r="1853" customFormat="false" ht="15" hidden="false" customHeight="true" outlineLevel="0" collapsed="false">
      <c r="A1853" s="32"/>
      <c r="B1853" s="32"/>
      <c r="C1853" s="32"/>
      <c r="D1853" s="32"/>
      <c r="E1853" s="34" t="str">
        <f aca="false">IF($B1853="","",IF($B1853="OUT","Liters",IFERROR(INDEX(Setup!$F$3:$F$24,MATCH($C1853,Setup!$A$3:$A$24,0)),"")))</f>
        <v/>
      </c>
      <c r="F1853" s="28" t="str">
        <f aca="false">IF(OR($D1853="",$E1853=""),"",IFERROR($D1853*INDEX(Setup!$B$27:$B$44,MATCH($E1853,Setup!$A$27:$A$44,0)),"TBD"))</f>
        <v/>
      </c>
      <c r="G1853" s="32"/>
      <c r="H1853" s="32"/>
      <c r="I1853" s="32"/>
      <c r="J1853" s="32"/>
      <c r="K1853" s="35"/>
      <c r="L1853" s="32"/>
      <c r="M1853" s="32"/>
    </row>
    <row r="1854" customFormat="false" ht="15" hidden="false" customHeight="true" outlineLevel="0" collapsed="false">
      <c r="A1854" s="32"/>
      <c r="B1854" s="32"/>
      <c r="C1854" s="32"/>
      <c r="D1854" s="32"/>
      <c r="E1854" s="34" t="str">
        <f aca="false">IF($B1854="","",IF($B1854="OUT","Liters",IFERROR(INDEX(Setup!$F$3:$F$24,MATCH($C1854,Setup!$A$3:$A$24,0)),"")))</f>
        <v/>
      </c>
      <c r="F1854" s="28" t="str">
        <f aca="false">IF(OR($D1854="",$E1854=""),"",IFERROR($D1854*INDEX(Setup!$B$27:$B$44,MATCH($E1854,Setup!$A$27:$A$44,0)),"TBD"))</f>
        <v/>
      </c>
      <c r="G1854" s="32"/>
      <c r="H1854" s="32"/>
      <c r="I1854" s="32"/>
      <c r="J1854" s="32"/>
      <c r="K1854" s="35"/>
      <c r="L1854" s="32"/>
      <c r="M1854" s="32"/>
    </row>
    <row r="1855" customFormat="false" ht="15" hidden="false" customHeight="true" outlineLevel="0" collapsed="false">
      <c r="A1855" s="32"/>
      <c r="B1855" s="32"/>
      <c r="C1855" s="32"/>
      <c r="D1855" s="32"/>
      <c r="E1855" s="34" t="str">
        <f aca="false">IF($B1855="","",IF($B1855="OUT","Liters",IFERROR(INDEX(Setup!$F$3:$F$24,MATCH($C1855,Setup!$A$3:$A$24,0)),"")))</f>
        <v/>
      </c>
      <c r="F1855" s="28" t="str">
        <f aca="false">IF(OR($D1855="",$E1855=""),"",IFERROR($D1855*INDEX(Setup!$B$27:$B$44,MATCH($E1855,Setup!$A$27:$A$44,0)),"TBD"))</f>
        <v/>
      </c>
      <c r="G1855" s="32"/>
      <c r="H1855" s="32"/>
      <c r="I1855" s="32"/>
      <c r="J1855" s="32"/>
      <c r="K1855" s="35"/>
      <c r="L1855" s="32"/>
      <c r="M1855" s="32"/>
    </row>
    <row r="1856" customFormat="false" ht="15" hidden="false" customHeight="true" outlineLevel="0" collapsed="false">
      <c r="A1856" s="32"/>
      <c r="B1856" s="32"/>
      <c r="C1856" s="32"/>
      <c r="D1856" s="32"/>
      <c r="E1856" s="34" t="str">
        <f aca="false">IF($B1856="","",IF($B1856="OUT","Liters",IFERROR(INDEX(Setup!$F$3:$F$24,MATCH($C1856,Setup!$A$3:$A$24,0)),"")))</f>
        <v/>
      </c>
      <c r="F1856" s="28" t="str">
        <f aca="false">IF(OR($D1856="",$E1856=""),"",IFERROR($D1856*INDEX(Setup!$B$27:$B$44,MATCH($E1856,Setup!$A$27:$A$44,0)),"TBD"))</f>
        <v/>
      </c>
      <c r="G1856" s="32"/>
      <c r="H1856" s="32"/>
      <c r="I1856" s="32"/>
      <c r="J1856" s="32"/>
      <c r="K1856" s="35"/>
      <c r="L1856" s="32"/>
      <c r="M1856" s="32"/>
    </row>
    <row r="1857" customFormat="false" ht="15" hidden="false" customHeight="true" outlineLevel="0" collapsed="false">
      <c r="A1857" s="32"/>
      <c r="B1857" s="32"/>
      <c r="C1857" s="32"/>
      <c r="D1857" s="32"/>
      <c r="E1857" s="34" t="str">
        <f aca="false">IF($B1857="","",IF($B1857="OUT","Liters",IFERROR(INDEX(Setup!$F$3:$F$24,MATCH($C1857,Setup!$A$3:$A$24,0)),"")))</f>
        <v/>
      </c>
      <c r="F1857" s="28" t="str">
        <f aca="false">IF(OR($D1857="",$E1857=""),"",IFERROR($D1857*INDEX(Setup!$B$27:$B$44,MATCH($E1857,Setup!$A$27:$A$44,0)),"TBD"))</f>
        <v/>
      </c>
      <c r="G1857" s="32"/>
      <c r="H1857" s="32"/>
      <c r="I1857" s="32"/>
      <c r="J1857" s="32"/>
      <c r="K1857" s="35"/>
      <c r="L1857" s="32"/>
      <c r="M1857" s="32"/>
    </row>
    <row r="1858" customFormat="false" ht="15" hidden="false" customHeight="true" outlineLevel="0" collapsed="false">
      <c r="A1858" s="32"/>
      <c r="B1858" s="32"/>
      <c r="C1858" s="32"/>
      <c r="D1858" s="32"/>
      <c r="E1858" s="34" t="str">
        <f aca="false">IF($B1858="","",IF($B1858="OUT","Liters",IFERROR(INDEX(Setup!$F$3:$F$24,MATCH($C1858,Setup!$A$3:$A$24,0)),"")))</f>
        <v/>
      </c>
      <c r="F1858" s="28" t="str">
        <f aca="false">IF(OR($D1858="",$E1858=""),"",IFERROR($D1858*INDEX(Setup!$B$27:$B$44,MATCH($E1858,Setup!$A$27:$A$44,0)),"TBD"))</f>
        <v/>
      </c>
      <c r="G1858" s="32"/>
      <c r="H1858" s="32"/>
      <c r="I1858" s="32"/>
      <c r="J1858" s="32"/>
      <c r="K1858" s="35"/>
      <c r="L1858" s="32"/>
      <c r="M1858" s="32"/>
    </row>
    <row r="1859" customFormat="false" ht="15" hidden="false" customHeight="true" outlineLevel="0" collapsed="false">
      <c r="A1859" s="32"/>
      <c r="B1859" s="32"/>
      <c r="C1859" s="32"/>
      <c r="D1859" s="32"/>
      <c r="E1859" s="34" t="str">
        <f aca="false">IF($B1859="","",IF($B1859="OUT","Liters",IFERROR(INDEX(Setup!$F$3:$F$24,MATCH($C1859,Setup!$A$3:$A$24,0)),"")))</f>
        <v/>
      </c>
      <c r="F1859" s="28" t="str">
        <f aca="false">IF(OR($D1859="",$E1859=""),"",IFERROR($D1859*INDEX(Setup!$B$27:$B$44,MATCH($E1859,Setup!$A$27:$A$44,0)),"TBD"))</f>
        <v/>
      </c>
      <c r="G1859" s="32"/>
      <c r="H1859" s="32"/>
      <c r="I1859" s="32"/>
      <c r="J1859" s="32"/>
      <c r="K1859" s="35"/>
      <c r="L1859" s="32"/>
      <c r="M1859" s="32"/>
    </row>
    <row r="1860" customFormat="false" ht="15" hidden="false" customHeight="true" outlineLevel="0" collapsed="false">
      <c r="A1860" s="32"/>
      <c r="B1860" s="32"/>
      <c r="C1860" s="32"/>
      <c r="D1860" s="32"/>
      <c r="E1860" s="34" t="str">
        <f aca="false">IF($B1860="","",IF($B1860="OUT","Liters",IFERROR(INDEX(Setup!$F$3:$F$24,MATCH($C1860,Setup!$A$3:$A$24,0)),"")))</f>
        <v/>
      </c>
      <c r="F1860" s="28" t="str">
        <f aca="false">IF(OR($D1860="",$E1860=""),"",IFERROR($D1860*INDEX(Setup!$B$27:$B$44,MATCH($E1860,Setup!$A$27:$A$44,0)),"TBD"))</f>
        <v/>
      </c>
      <c r="G1860" s="32"/>
      <c r="H1860" s="32"/>
      <c r="I1860" s="32"/>
      <c r="J1860" s="32"/>
      <c r="K1860" s="35"/>
      <c r="L1860" s="32"/>
      <c r="M1860" s="32"/>
    </row>
    <row r="1861" customFormat="false" ht="15" hidden="false" customHeight="true" outlineLevel="0" collapsed="false">
      <c r="A1861" s="32"/>
      <c r="B1861" s="32"/>
      <c r="C1861" s="32"/>
      <c r="D1861" s="32"/>
      <c r="E1861" s="34" t="str">
        <f aca="false">IF($B1861="","",IF($B1861="OUT","Liters",IFERROR(INDEX(Setup!$F$3:$F$24,MATCH($C1861,Setup!$A$3:$A$24,0)),"")))</f>
        <v/>
      </c>
      <c r="F1861" s="28" t="str">
        <f aca="false">IF(OR($D1861="",$E1861=""),"",IFERROR($D1861*INDEX(Setup!$B$27:$B$44,MATCH($E1861,Setup!$A$27:$A$44,0)),"TBD"))</f>
        <v/>
      </c>
      <c r="G1861" s="32"/>
      <c r="H1861" s="32"/>
      <c r="I1861" s="32"/>
      <c r="J1861" s="32"/>
      <c r="K1861" s="35"/>
      <c r="L1861" s="32"/>
      <c r="M1861" s="32"/>
    </row>
    <row r="1862" customFormat="false" ht="15" hidden="false" customHeight="true" outlineLevel="0" collapsed="false">
      <c r="A1862" s="32"/>
      <c r="B1862" s="32"/>
      <c r="C1862" s="32"/>
      <c r="D1862" s="32"/>
      <c r="E1862" s="34" t="str">
        <f aca="false">IF($B1862="","",IF($B1862="OUT","Liters",IFERROR(INDEX(Setup!$F$3:$F$24,MATCH($C1862,Setup!$A$3:$A$24,0)),"")))</f>
        <v/>
      </c>
      <c r="F1862" s="28" t="str">
        <f aca="false">IF(OR($D1862="",$E1862=""),"",IFERROR($D1862*INDEX(Setup!$B$27:$B$44,MATCH($E1862,Setup!$A$27:$A$44,0)),"TBD"))</f>
        <v/>
      </c>
      <c r="G1862" s="32"/>
      <c r="H1862" s="32"/>
      <c r="I1862" s="32"/>
      <c r="J1862" s="32"/>
      <c r="K1862" s="35"/>
      <c r="L1862" s="32"/>
      <c r="M1862" s="32"/>
    </row>
    <row r="1863" customFormat="false" ht="15" hidden="false" customHeight="true" outlineLevel="0" collapsed="false">
      <c r="A1863" s="32"/>
      <c r="B1863" s="32"/>
      <c r="C1863" s="32"/>
      <c r="D1863" s="32"/>
      <c r="E1863" s="34" t="str">
        <f aca="false">IF($B1863="","",IF($B1863="OUT","Liters",IFERROR(INDEX(Setup!$F$3:$F$24,MATCH($C1863,Setup!$A$3:$A$24,0)),"")))</f>
        <v/>
      </c>
      <c r="F1863" s="28" t="str">
        <f aca="false">IF(OR($D1863="",$E1863=""),"",IFERROR($D1863*INDEX(Setup!$B$27:$B$44,MATCH($E1863,Setup!$A$27:$A$44,0)),"TBD"))</f>
        <v/>
      </c>
      <c r="G1863" s="32"/>
      <c r="H1863" s="32"/>
      <c r="I1863" s="32"/>
      <c r="J1863" s="32"/>
      <c r="K1863" s="35"/>
      <c r="L1863" s="32"/>
      <c r="M1863" s="32"/>
    </row>
    <row r="1864" customFormat="false" ht="15" hidden="false" customHeight="true" outlineLevel="0" collapsed="false">
      <c r="A1864" s="32"/>
      <c r="B1864" s="32"/>
      <c r="C1864" s="32"/>
      <c r="D1864" s="32"/>
      <c r="E1864" s="34" t="str">
        <f aca="false">IF($B1864="","",IF($B1864="OUT","Liters",IFERROR(INDEX(Setup!$F$3:$F$24,MATCH($C1864,Setup!$A$3:$A$24,0)),"")))</f>
        <v/>
      </c>
      <c r="F1864" s="28" t="str">
        <f aca="false">IF(OR($D1864="",$E1864=""),"",IFERROR($D1864*INDEX(Setup!$B$27:$B$44,MATCH($E1864,Setup!$A$27:$A$44,0)),"TBD"))</f>
        <v/>
      </c>
      <c r="G1864" s="32"/>
      <c r="H1864" s="32"/>
      <c r="I1864" s="32"/>
      <c r="J1864" s="32"/>
      <c r="K1864" s="35"/>
      <c r="L1864" s="32"/>
      <c r="M1864" s="32"/>
    </row>
    <row r="1865" customFormat="false" ht="15" hidden="false" customHeight="true" outlineLevel="0" collapsed="false">
      <c r="A1865" s="32"/>
      <c r="B1865" s="32"/>
      <c r="C1865" s="32"/>
      <c r="D1865" s="32"/>
      <c r="E1865" s="34" t="str">
        <f aca="false">IF($B1865="","",IF($B1865="OUT","Liters",IFERROR(INDEX(Setup!$F$3:$F$24,MATCH($C1865,Setup!$A$3:$A$24,0)),"")))</f>
        <v/>
      </c>
      <c r="F1865" s="28" t="str">
        <f aca="false">IF(OR($D1865="",$E1865=""),"",IFERROR($D1865*INDEX(Setup!$B$27:$B$44,MATCH($E1865,Setup!$A$27:$A$44,0)),"TBD"))</f>
        <v/>
      </c>
      <c r="G1865" s="32"/>
      <c r="H1865" s="32"/>
      <c r="I1865" s="32"/>
      <c r="J1865" s="32"/>
      <c r="K1865" s="35"/>
      <c r="L1865" s="32"/>
      <c r="M1865" s="32"/>
    </row>
    <row r="1866" customFormat="false" ht="15" hidden="false" customHeight="true" outlineLevel="0" collapsed="false">
      <c r="A1866" s="32"/>
      <c r="B1866" s="32"/>
      <c r="C1866" s="32"/>
      <c r="D1866" s="32"/>
      <c r="E1866" s="34" t="str">
        <f aca="false">IF($B1866="","",IF($B1866="OUT","Liters",IFERROR(INDEX(Setup!$F$3:$F$24,MATCH($C1866,Setup!$A$3:$A$24,0)),"")))</f>
        <v/>
      </c>
      <c r="F1866" s="28" t="str">
        <f aca="false">IF(OR($D1866="",$E1866=""),"",IFERROR($D1866*INDEX(Setup!$B$27:$B$44,MATCH($E1866,Setup!$A$27:$A$44,0)),"TBD"))</f>
        <v/>
      </c>
      <c r="G1866" s="32"/>
      <c r="H1866" s="32"/>
      <c r="I1866" s="32"/>
      <c r="J1866" s="32"/>
      <c r="K1866" s="35"/>
      <c r="L1866" s="32"/>
      <c r="M1866" s="32"/>
    </row>
    <row r="1867" customFormat="false" ht="15" hidden="false" customHeight="true" outlineLevel="0" collapsed="false">
      <c r="A1867" s="32"/>
      <c r="B1867" s="32"/>
      <c r="C1867" s="32"/>
      <c r="D1867" s="32"/>
      <c r="E1867" s="34" t="str">
        <f aca="false">IF($B1867="","",IF($B1867="OUT","Liters",IFERROR(INDEX(Setup!$F$3:$F$24,MATCH($C1867,Setup!$A$3:$A$24,0)),"")))</f>
        <v/>
      </c>
      <c r="F1867" s="28" t="str">
        <f aca="false">IF(OR($D1867="",$E1867=""),"",IFERROR($D1867*INDEX(Setup!$B$27:$B$44,MATCH($E1867,Setup!$A$27:$A$44,0)),"TBD"))</f>
        <v/>
      </c>
      <c r="G1867" s="32"/>
      <c r="H1867" s="32"/>
      <c r="I1867" s="32"/>
      <c r="J1867" s="32"/>
      <c r="K1867" s="35"/>
      <c r="L1867" s="32"/>
      <c r="M1867" s="32"/>
    </row>
    <row r="1868" customFormat="false" ht="15" hidden="false" customHeight="true" outlineLevel="0" collapsed="false">
      <c r="A1868" s="32"/>
      <c r="B1868" s="32"/>
      <c r="C1868" s="32"/>
      <c r="D1868" s="32"/>
      <c r="E1868" s="34" t="str">
        <f aca="false">IF($B1868="","",IF($B1868="OUT","Liters",IFERROR(INDEX(Setup!$F$3:$F$24,MATCH($C1868,Setup!$A$3:$A$24,0)),"")))</f>
        <v/>
      </c>
      <c r="F1868" s="28" t="str">
        <f aca="false">IF(OR($D1868="",$E1868=""),"",IFERROR($D1868*INDEX(Setup!$B$27:$B$44,MATCH($E1868,Setup!$A$27:$A$44,0)),"TBD"))</f>
        <v/>
      </c>
      <c r="G1868" s="32"/>
      <c r="H1868" s="32"/>
      <c r="I1868" s="32"/>
      <c r="J1868" s="32"/>
      <c r="K1868" s="35"/>
      <c r="L1868" s="32"/>
      <c r="M1868" s="32"/>
    </row>
    <row r="1869" customFormat="false" ht="15" hidden="false" customHeight="true" outlineLevel="0" collapsed="false">
      <c r="A1869" s="32"/>
      <c r="B1869" s="32"/>
      <c r="C1869" s="32"/>
      <c r="D1869" s="32"/>
      <c r="E1869" s="34" t="str">
        <f aca="false">IF($B1869="","",IF($B1869="OUT","Liters",IFERROR(INDEX(Setup!$F$3:$F$24,MATCH($C1869,Setup!$A$3:$A$24,0)),"")))</f>
        <v/>
      </c>
      <c r="F1869" s="28" t="str">
        <f aca="false">IF(OR($D1869="",$E1869=""),"",IFERROR($D1869*INDEX(Setup!$B$27:$B$44,MATCH($E1869,Setup!$A$27:$A$44,0)),"TBD"))</f>
        <v/>
      </c>
      <c r="G1869" s="32"/>
      <c r="H1869" s="32"/>
      <c r="I1869" s="32"/>
      <c r="J1869" s="32"/>
      <c r="K1869" s="35"/>
      <c r="L1869" s="32"/>
      <c r="M1869" s="32"/>
    </row>
    <row r="1870" customFormat="false" ht="15" hidden="false" customHeight="true" outlineLevel="0" collapsed="false">
      <c r="A1870" s="32"/>
      <c r="B1870" s="32"/>
      <c r="C1870" s="32"/>
      <c r="D1870" s="32"/>
      <c r="E1870" s="34" t="str">
        <f aca="false">IF($B1870="","",IF($B1870="OUT","Liters",IFERROR(INDEX(Setup!$F$3:$F$24,MATCH($C1870,Setup!$A$3:$A$24,0)),"")))</f>
        <v/>
      </c>
      <c r="F1870" s="28" t="str">
        <f aca="false">IF(OR($D1870="",$E1870=""),"",IFERROR($D1870*INDEX(Setup!$B$27:$B$44,MATCH($E1870,Setup!$A$27:$A$44,0)),"TBD"))</f>
        <v/>
      </c>
      <c r="G1870" s="32"/>
      <c r="H1870" s="32"/>
      <c r="I1870" s="32"/>
      <c r="J1870" s="32"/>
      <c r="K1870" s="35"/>
      <c r="L1870" s="32"/>
      <c r="M1870" s="32"/>
    </row>
    <row r="1871" customFormat="false" ht="15" hidden="false" customHeight="true" outlineLevel="0" collapsed="false">
      <c r="A1871" s="32"/>
      <c r="B1871" s="32"/>
      <c r="C1871" s="32"/>
      <c r="D1871" s="32"/>
      <c r="E1871" s="34" t="str">
        <f aca="false">IF($B1871="","",IF($B1871="OUT","Liters",IFERROR(INDEX(Setup!$F$3:$F$24,MATCH($C1871,Setup!$A$3:$A$24,0)),"")))</f>
        <v/>
      </c>
      <c r="F1871" s="28" t="str">
        <f aca="false">IF(OR($D1871="",$E1871=""),"",IFERROR($D1871*INDEX(Setup!$B$27:$B$44,MATCH($E1871,Setup!$A$27:$A$44,0)),"TBD"))</f>
        <v/>
      </c>
      <c r="G1871" s="32"/>
      <c r="H1871" s="32"/>
      <c r="I1871" s="32"/>
      <c r="J1871" s="32"/>
      <c r="K1871" s="35"/>
      <c r="L1871" s="32"/>
      <c r="M1871" s="32"/>
    </row>
    <row r="1872" customFormat="false" ht="15" hidden="false" customHeight="true" outlineLevel="0" collapsed="false">
      <c r="A1872" s="32"/>
      <c r="B1872" s="32"/>
      <c r="C1872" s="32"/>
      <c r="D1872" s="32"/>
      <c r="E1872" s="34" t="str">
        <f aca="false">IF($B1872="","",IF($B1872="OUT","Liters",IFERROR(INDEX(Setup!$F$3:$F$24,MATCH($C1872,Setup!$A$3:$A$24,0)),"")))</f>
        <v/>
      </c>
      <c r="F1872" s="28" t="str">
        <f aca="false">IF(OR($D1872="",$E1872=""),"",IFERROR($D1872*INDEX(Setup!$B$27:$B$44,MATCH($E1872,Setup!$A$27:$A$44,0)),"TBD"))</f>
        <v/>
      </c>
      <c r="G1872" s="32"/>
      <c r="H1872" s="32"/>
      <c r="I1872" s="32"/>
      <c r="J1872" s="32"/>
      <c r="K1872" s="35"/>
      <c r="L1872" s="32"/>
      <c r="M1872" s="32"/>
    </row>
    <row r="1873" customFormat="false" ht="15" hidden="false" customHeight="true" outlineLevel="0" collapsed="false">
      <c r="A1873" s="32"/>
      <c r="B1873" s="32"/>
      <c r="C1873" s="32"/>
      <c r="D1873" s="32"/>
      <c r="E1873" s="34" t="str">
        <f aca="false">IF($B1873="","",IF($B1873="OUT","Liters",IFERROR(INDEX(Setup!$F$3:$F$24,MATCH($C1873,Setup!$A$3:$A$24,0)),"")))</f>
        <v/>
      </c>
      <c r="F1873" s="28" t="str">
        <f aca="false">IF(OR($D1873="",$E1873=""),"",IFERROR($D1873*INDEX(Setup!$B$27:$B$44,MATCH($E1873,Setup!$A$27:$A$44,0)),"TBD"))</f>
        <v/>
      </c>
      <c r="G1873" s="32"/>
      <c r="H1873" s="32"/>
      <c r="I1873" s="32"/>
      <c r="J1873" s="32"/>
      <c r="K1873" s="35"/>
      <c r="L1873" s="32"/>
      <c r="M1873" s="32"/>
    </row>
    <row r="1874" customFormat="false" ht="15" hidden="false" customHeight="true" outlineLevel="0" collapsed="false">
      <c r="A1874" s="32"/>
      <c r="B1874" s="32"/>
      <c r="C1874" s="32"/>
      <c r="D1874" s="32"/>
      <c r="E1874" s="34" t="str">
        <f aca="false">IF($B1874="","",IF($B1874="OUT","Liters",IFERROR(INDEX(Setup!$F$3:$F$24,MATCH($C1874,Setup!$A$3:$A$24,0)),"")))</f>
        <v/>
      </c>
      <c r="F1874" s="28" t="str">
        <f aca="false">IF(OR($D1874="",$E1874=""),"",IFERROR($D1874*INDEX(Setup!$B$27:$B$44,MATCH($E1874,Setup!$A$27:$A$44,0)),"TBD"))</f>
        <v/>
      </c>
      <c r="G1874" s="32"/>
      <c r="H1874" s="32"/>
      <c r="I1874" s="32"/>
      <c r="J1874" s="32"/>
      <c r="K1874" s="35"/>
      <c r="L1874" s="32"/>
      <c r="M1874" s="32"/>
    </row>
    <row r="1875" customFormat="false" ht="15" hidden="false" customHeight="true" outlineLevel="0" collapsed="false">
      <c r="A1875" s="32"/>
      <c r="B1875" s="32"/>
      <c r="C1875" s="32"/>
      <c r="D1875" s="32"/>
      <c r="E1875" s="34" t="str">
        <f aca="false">IF($B1875="","",IF($B1875="OUT","Liters",IFERROR(INDEX(Setup!$F$3:$F$24,MATCH($C1875,Setup!$A$3:$A$24,0)),"")))</f>
        <v/>
      </c>
      <c r="F1875" s="28" t="str">
        <f aca="false">IF(OR($D1875="",$E1875=""),"",IFERROR($D1875*INDEX(Setup!$B$27:$B$44,MATCH($E1875,Setup!$A$27:$A$44,0)),"TBD"))</f>
        <v/>
      </c>
      <c r="G1875" s="32"/>
      <c r="H1875" s="32"/>
      <c r="I1875" s="32"/>
      <c r="J1875" s="32"/>
      <c r="K1875" s="35"/>
      <c r="L1875" s="32"/>
      <c r="M1875" s="32"/>
    </row>
    <row r="1876" customFormat="false" ht="15" hidden="false" customHeight="true" outlineLevel="0" collapsed="false">
      <c r="A1876" s="32"/>
      <c r="B1876" s="32"/>
      <c r="C1876" s="32"/>
      <c r="D1876" s="32"/>
      <c r="E1876" s="34" t="str">
        <f aca="false">IF($B1876="","",IF($B1876="OUT","Liters",IFERROR(INDEX(Setup!$F$3:$F$24,MATCH($C1876,Setup!$A$3:$A$24,0)),"")))</f>
        <v/>
      </c>
      <c r="F1876" s="28" t="str">
        <f aca="false">IF(OR($D1876="",$E1876=""),"",IFERROR($D1876*INDEX(Setup!$B$27:$B$44,MATCH($E1876,Setup!$A$27:$A$44,0)),"TBD"))</f>
        <v/>
      </c>
      <c r="G1876" s="32"/>
      <c r="H1876" s="32"/>
      <c r="I1876" s="32"/>
      <c r="J1876" s="32"/>
      <c r="K1876" s="35"/>
      <c r="L1876" s="32"/>
      <c r="M1876" s="32"/>
    </row>
    <row r="1877" customFormat="false" ht="15" hidden="false" customHeight="true" outlineLevel="0" collapsed="false">
      <c r="A1877" s="32"/>
      <c r="B1877" s="32"/>
      <c r="C1877" s="32"/>
      <c r="D1877" s="32"/>
      <c r="E1877" s="34" t="str">
        <f aca="false">IF($B1877="","",IF($B1877="OUT","Liters",IFERROR(INDEX(Setup!$F$3:$F$24,MATCH($C1877,Setup!$A$3:$A$24,0)),"")))</f>
        <v/>
      </c>
      <c r="F1877" s="28" t="str">
        <f aca="false">IF(OR($D1877="",$E1877=""),"",IFERROR($D1877*INDEX(Setup!$B$27:$B$44,MATCH($E1877,Setup!$A$27:$A$44,0)),"TBD"))</f>
        <v/>
      </c>
      <c r="G1877" s="32"/>
      <c r="H1877" s="32"/>
      <c r="I1877" s="32"/>
      <c r="J1877" s="32"/>
      <c r="K1877" s="35"/>
      <c r="L1877" s="32"/>
      <c r="M1877" s="32"/>
    </row>
    <row r="1878" customFormat="false" ht="15" hidden="false" customHeight="true" outlineLevel="0" collapsed="false">
      <c r="A1878" s="32"/>
      <c r="B1878" s="32"/>
      <c r="C1878" s="32"/>
      <c r="D1878" s="32"/>
      <c r="E1878" s="34" t="str">
        <f aca="false">IF($B1878="","",IF($B1878="OUT","Liters",IFERROR(INDEX(Setup!$F$3:$F$24,MATCH($C1878,Setup!$A$3:$A$24,0)),"")))</f>
        <v/>
      </c>
      <c r="F1878" s="28" t="str">
        <f aca="false">IF(OR($D1878="",$E1878=""),"",IFERROR($D1878*INDEX(Setup!$B$27:$B$44,MATCH($E1878,Setup!$A$27:$A$44,0)),"TBD"))</f>
        <v/>
      </c>
      <c r="G1878" s="32"/>
      <c r="H1878" s="32"/>
      <c r="I1878" s="32"/>
      <c r="J1878" s="32"/>
      <c r="K1878" s="35"/>
      <c r="L1878" s="32"/>
      <c r="M1878" s="32"/>
    </row>
    <row r="1879" customFormat="false" ht="15" hidden="false" customHeight="true" outlineLevel="0" collapsed="false">
      <c r="A1879" s="32"/>
      <c r="B1879" s="32"/>
      <c r="C1879" s="32"/>
      <c r="D1879" s="32"/>
      <c r="E1879" s="34" t="str">
        <f aca="false">IF($B1879="","",IF($B1879="OUT","Liters",IFERROR(INDEX(Setup!$F$3:$F$24,MATCH($C1879,Setup!$A$3:$A$24,0)),"")))</f>
        <v/>
      </c>
      <c r="F1879" s="28" t="str">
        <f aca="false">IF(OR($D1879="",$E1879=""),"",IFERROR($D1879*INDEX(Setup!$B$27:$B$44,MATCH($E1879,Setup!$A$27:$A$44,0)),"TBD"))</f>
        <v/>
      </c>
      <c r="G1879" s="32"/>
      <c r="H1879" s="32"/>
      <c r="I1879" s="32"/>
      <c r="J1879" s="32"/>
      <c r="K1879" s="35"/>
      <c r="L1879" s="32"/>
      <c r="M1879" s="32"/>
    </row>
    <row r="1880" customFormat="false" ht="15" hidden="false" customHeight="true" outlineLevel="0" collapsed="false">
      <c r="A1880" s="32"/>
      <c r="B1880" s="32"/>
      <c r="C1880" s="32"/>
      <c r="D1880" s="32"/>
      <c r="E1880" s="34" t="str">
        <f aca="false">IF($B1880="","",IF($B1880="OUT","Liters",IFERROR(INDEX(Setup!$F$3:$F$24,MATCH($C1880,Setup!$A$3:$A$24,0)),"")))</f>
        <v/>
      </c>
      <c r="F1880" s="28" t="str">
        <f aca="false">IF(OR($D1880="",$E1880=""),"",IFERROR($D1880*INDEX(Setup!$B$27:$B$44,MATCH($E1880,Setup!$A$27:$A$44,0)),"TBD"))</f>
        <v/>
      </c>
      <c r="G1880" s="32"/>
      <c r="H1880" s="32"/>
      <c r="I1880" s="32"/>
      <c r="J1880" s="32"/>
      <c r="K1880" s="35"/>
      <c r="L1880" s="32"/>
      <c r="M1880" s="32"/>
    </row>
    <row r="1881" customFormat="false" ht="15" hidden="false" customHeight="true" outlineLevel="0" collapsed="false">
      <c r="A1881" s="32"/>
      <c r="B1881" s="32"/>
      <c r="C1881" s="32"/>
      <c r="D1881" s="32"/>
      <c r="E1881" s="34" t="str">
        <f aca="false">IF($B1881="","",IF($B1881="OUT","Liters",IFERROR(INDEX(Setup!$F$3:$F$24,MATCH($C1881,Setup!$A$3:$A$24,0)),"")))</f>
        <v/>
      </c>
      <c r="F1881" s="28" t="str">
        <f aca="false">IF(OR($D1881="",$E1881=""),"",IFERROR($D1881*INDEX(Setup!$B$27:$B$44,MATCH($E1881,Setup!$A$27:$A$44,0)),"TBD"))</f>
        <v/>
      </c>
      <c r="G1881" s="32"/>
      <c r="H1881" s="32"/>
      <c r="I1881" s="32"/>
      <c r="J1881" s="32"/>
      <c r="K1881" s="35"/>
      <c r="L1881" s="32"/>
      <c r="M1881" s="32"/>
    </row>
    <row r="1882" customFormat="false" ht="15" hidden="false" customHeight="true" outlineLevel="0" collapsed="false">
      <c r="A1882" s="32"/>
      <c r="B1882" s="32"/>
      <c r="C1882" s="32"/>
      <c r="D1882" s="32"/>
      <c r="E1882" s="34" t="str">
        <f aca="false">IF($B1882="","",IF($B1882="OUT","Liters",IFERROR(INDEX(Setup!$F$3:$F$24,MATCH($C1882,Setup!$A$3:$A$24,0)),"")))</f>
        <v/>
      </c>
      <c r="F1882" s="28" t="str">
        <f aca="false">IF(OR($D1882="",$E1882=""),"",IFERROR($D1882*INDEX(Setup!$B$27:$B$44,MATCH($E1882,Setup!$A$27:$A$44,0)),"TBD"))</f>
        <v/>
      </c>
      <c r="G1882" s="32"/>
      <c r="H1882" s="32"/>
      <c r="I1882" s="32"/>
      <c r="J1882" s="32"/>
      <c r="K1882" s="35"/>
      <c r="L1882" s="32"/>
      <c r="M1882" s="32"/>
    </row>
    <row r="1883" customFormat="false" ht="15" hidden="false" customHeight="true" outlineLevel="0" collapsed="false">
      <c r="A1883" s="32"/>
      <c r="B1883" s="32"/>
      <c r="C1883" s="32"/>
      <c r="D1883" s="32"/>
      <c r="E1883" s="34" t="str">
        <f aca="false">IF($B1883="","",IF($B1883="OUT","Liters",IFERROR(INDEX(Setup!$F$3:$F$24,MATCH($C1883,Setup!$A$3:$A$24,0)),"")))</f>
        <v/>
      </c>
      <c r="F1883" s="28" t="str">
        <f aca="false">IF(OR($D1883="",$E1883=""),"",IFERROR($D1883*INDEX(Setup!$B$27:$B$44,MATCH($E1883,Setup!$A$27:$A$44,0)),"TBD"))</f>
        <v/>
      </c>
      <c r="G1883" s="32"/>
      <c r="H1883" s="32"/>
      <c r="I1883" s="32"/>
      <c r="J1883" s="32"/>
      <c r="K1883" s="35"/>
      <c r="L1883" s="32"/>
      <c r="M1883" s="32"/>
    </row>
    <row r="1884" customFormat="false" ht="15" hidden="false" customHeight="true" outlineLevel="0" collapsed="false">
      <c r="A1884" s="32"/>
      <c r="B1884" s="32"/>
      <c r="C1884" s="32"/>
      <c r="D1884" s="32"/>
      <c r="E1884" s="34" t="str">
        <f aca="false">IF($B1884="","",IF($B1884="OUT","Liters",IFERROR(INDEX(Setup!$F$3:$F$24,MATCH($C1884,Setup!$A$3:$A$24,0)),"")))</f>
        <v/>
      </c>
      <c r="F1884" s="28" t="str">
        <f aca="false">IF(OR($D1884="",$E1884=""),"",IFERROR($D1884*INDEX(Setup!$B$27:$B$44,MATCH($E1884,Setup!$A$27:$A$44,0)),"TBD"))</f>
        <v/>
      </c>
      <c r="G1884" s="32"/>
      <c r="H1884" s="32"/>
      <c r="I1884" s="32"/>
      <c r="J1884" s="32"/>
      <c r="K1884" s="35"/>
      <c r="L1884" s="32"/>
      <c r="M1884" s="32"/>
    </row>
    <row r="1885" customFormat="false" ht="15" hidden="false" customHeight="true" outlineLevel="0" collapsed="false">
      <c r="A1885" s="32"/>
      <c r="B1885" s="32"/>
      <c r="C1885" s="32"/>
      <c r="D1885" s="32"/>
      <c r="E1885" s="34" t="str">
        <f aca="false">IF($B1885="","",IF($B1885="OUT","Liters",IFERROR(INDEX(Setup!$F$3:$F$24,MATCH($C1885,Setup!$A$3:$A$24,0)),"")))</f>
        <v/>
      </c>
      <c r="F1885" s="28" t="str">
        <f aca="false">IF(OR($D1885="",$E1885=""),"",IFERROR($D1885*INDEX(Setup!$B$27:$B$44,MATCH($E1885,Setup!$A$27:$A$44,0)),"TBD"))</f>
        <v/>
      </c>
      <c r="G1885" s="32"/>
      <c r="H1885" s="32"/>
      <c r="I1885" s="32"/>
      <c r="J1885" s="32"/>
      <c r="K1885" s="35"/>
      <c r="L1885" s="32"/>
      <c r="M1885" s="32"/>
    </row>
    <row r="1886" customFormat="false" ht="15" hidden="false" customHeight="true" outlineLevel="0" collapsed="false">
      <c r="A1886" s="32"/>
      <c r="B1886" s="32"/>
      <c r="C1886" s="32"/>
      <c r="D1886" s="32"/>
      <c r="E1886" s="34" t="str">
        <f aca="false">IF($B1886="","",IF($B1886="OUT","Liters",IFERROR(INDEX(Setup!$F$3:$F$24,MATCH($C1886,Setup!$A$3:$A$24,0)),"")))</f>
        <v/>
      </c>
      <c r="F1886" s="28" t="str">
        <f aca="false">IF(OR($D1886="",$E1886=""),"",IFERROR($D1886*INDEX(Setup!$B$27:$B$44,MATCH($E1886,Setup!$A$27:$A$44,0)),"TBD"))</f>
        <v/>
      </c>
      <c r="G1886" s="32"/>
      <c r="H1886" s="32"/>
      <c r="I1886" s="32"/>
      <c r="J1886" s="32"/>
      <c r="K1886" s="35"/>
      <c r="L1886" s="32"/>
      <c r="M1886" s="32"/>
    </row>
    <row r="1887" customFormat="false" ht="15" hidden="false" customHeight="true" outlineLevel="0" collapsed="false">
      <c r="A1887" s="32"/>
      <c r="B1887" s="32"/>
      <c r="C1887" s="32"/>
      <c r="D1887" s="32"/>
      <c r="E1887" s="34" t="str">
        <f aca="false">IF($B1887="","",IF($B1887="OUT","Liters",IFERROR(INDEX(Setup!$F$3:$F$24,MATCH($C1887,Setup!$A$3:$A$24,0)),"")))</f>
        <v/>
      </c>
      <c r="F1887" s="28" t="str">
        <f aca="false">IF(OR($D1887="",$E1887=""),"",IFERROR($D1887*INDEX(Setup!$B$27:$B$44,MATCH($E1887,Setup!$A$27:$A$44,0)),"TBD"))</f>
        <v/>
      </c>
      <c r="G1887" s="32"/>
      <c r="H1887" s="32"/>
      <c r="I1887" s="32"/>
      <c r="J1887" s="32"/>
      <c r="K1887" s="35"/>
      <c r="L1887" s="32"/>
      <c r="M1887" s="32"/>
    </row>
    <row r="1888" customFormat="false" ht="15" hidden="false" customHeight="true" outlineLevel="0" collapsed="false">
      <c r="A1888" s="32"/>
      <c r="B1888" s="32"/>
      <c r="C1888" s="32"/>
      <c r="D1888" s="32"/>
      <c r="E1888" s="34" t="str">
        <f aca="false">IF($B1888="","",IF($B1888="OUT","Liters",IFERROR(INDEX(Setup!$F$3:$F$24,MATCH($C1888,Setup!$A$3:$A$24,0)),"")))</f>
        <v/>
      </c>
      <c r="F1888" s="28" t="str">
        <f aca="false">IF(OR($D1888="",$E1888=""),"",IFERROR($D1888*INDEX(Setup!$B$27:$B$44,MATCH($E1888,Setup!$A$27:$A$44,0)),"TBD"))</f>
        <v/>
      </c>
      <c r="G1888" s="32"/>
      <c r="H1888" s="32"/>
      <c r="I1888" s="32"/>
      <c r="J1888" s="32"/>
      <c r="K1888" s="35"/>
      <c r="L1888" s="32"/>
      <c r="M1888" s="32"/>
    </row>
    <row r="1889" customFormat="false" ht="15" hidden="false" customHeight="true" outlineLevel="0" collapsed="false">
      <c r="A1889" s="32"/>
      <c r="B1889" s="32"/>
      <c r="C1889" s="32"/>
      <c r="D1889" s="32"/>
      <c r="E1889" s="34" t="str">
        <f aca="false">IF($B1889="","",IF($B1889="OUT","Liters",IFERROR(INDEX(Setup!$F$3:$F$24,MATCH($C1889,Setup!$A$3:$A$24,0)),"")))</f>
        <v/>
      </c>
      <c r="F1889" s="28" t="str">
        <f aca="false">IF(OR($D1889="",$E1889=""),"",IFERROR($D1889*INDEX(Setup!$B$27:$B$44,MATCH($E1889,Setup!$A$27:$A$44,0)),"TBD"))</f>
        <v/>
      </c>
      <c r="G1889" s="32"/>
      <c r="H1889" s="32"/>
      <c r="I1889" s="32"/>
      <c r="J1889" s="32"/>
      <c r="K1889" s="35"/>
      <c r="L1889" s="32"/>
      <c r="M1889" s="32"/>
    </row>
    <row r="1890" customFormat="false" ht="15" hidden="false" customHeight="true" outlineLevel="0" collapsed="false">
      <c r="A1890" s="32"/>
      <c r="B1890" s="32"/>
      <c r="C1890" s="32"/>
      <c r="D1890" s="32"/>
      <c r="E1890" s="34" t="str">
        <f aca="false">IF($B1890="","",IF($B1890="OUT","Liters",IFERROR(INDEX(Setup!$F$3:$F$24,MATCH($C1890,Setup!$A$3:$A$24,0)),"")))</f>
        <v/>
      </c>
      <c r="F1890" s="28" t="str">
        <f aca="false">IF(OR($D1890="",$E1890=""),"",IFERROR($D1890*INDEX(Setup!$B$27:$B$44,MATCH($E1890,Setup!$A$27:$A$44,0)),"TBD"))</f>
        <v/>
      </c>
      <c r="G1890" s="32"/>
      <c r="H1890" s="32"/>
      <c r="I1890" s="32"/>
      <c r="J1890" s="32"/>
      <c r="K1890" s="35"/>
      <c r="L1890" s="32"/>
      <c r="M1890" s="32"/>
    </row>
    <row r="1891" customFormat="false" ht="15" hidden="false" customHeight="true" outlineLevel="0" collapsed="false">
      <c r="A1891" s="32"/>
      <c r="B1891" s="32"/>
      <c r="C1891" s="32"/>
      <c r="D1891" s="32"/>
      <c r="E1891" s="34" t="str">
        <f aca="false">IF($B1891="","",IF($B1891="OUT","Liters",IFERROR(INDEX(Setup!$F$3:$F$24,MATCH($C1891,Setup!$A$3:$A$24,0)),"")))</f>
        <v/>
      </c>
      <c r="F1891" s="28" t="str">
        <f aca="false">IF(OR($D1891="",$E1891=""),"",IFERROR($D1891*INDEX(Setup!$B$27:$B$44,MATCH($E1891,Setup!$A$27:$A$44,0)),"TBD"))</f>
        <v/>
      </c>
      <c r="G1891" s="32"/>
      <c r="H1891" s="32"/>
      <c r="I1891" s="32"/>
      <c r="J1891" s="32"/>
      <c r="K1891" s="35"/>
      <c r="L1891" s="32"/>
      <c r="M1891" s="32"/>
    </row>
    <row r="1892" customFormat="false" ht="15" hidden="false" customHeight="true" outlineLevel="0" collapsed="false">
      <c r="A1892" s="32"/>
      <c r="B1892" s="32"/>
      <c r="C1892" s="32"/>
      <c r="D1892" s="32"/>
      <c r="E1892" s="34" t="str">
        <f aca="false">IF($B1892="","",IF($B1892="OUT","Liters",IFERROR(INDEX(Setup!$F$3:$F$24,MATCH($C1892,Setup!$A$3:$A$24,0)),"")))</f>
        <v/>
      </c>
      <c r="F1892" s="28" t="str">
        <f aca="false">IF(OR($D1892="",$E1892=""),"",IFERROR($D1892*INDEX(Setup!$B$27:$B$44,MATCH($E1892,Setup!$A$27:$A$44,0)),"TBD"))</f>
        <v/>
      </c>
      <c r="G1892" s="32"/>
      <c r="H1892" s="32"/>
      <c r="I1892" s="32"/>
      <c r="J1892" s="32"/>
      <c r="K1892" s="35"/>
      <c r="L1892" s="32"/>
      <c r="M1892" s="32"/>
    </row>
    <row r="1893" customFormat="false" ht="15" hidden="false" customHeight="true" outlineLevel="0" collapsed="false">
      <c r="A1893" s="32"/>
      <c r="B1893" s="32"/>
      <c r="C1893" s="32"/>
      <c r="D1893" s="32"/>
      <c r="E1893" s="34" t="str">
        <f aca="false">IF($B1893="","",IF($B1893="OUT","Liters",IFERROR(INDEX(Setup!$F$3:$F$24,MATCH($C1893,Setup!$A$3:$A$24,0)),"")))</f>
        <v/>
      </c>
      <c r="F1893" s="28" t="str">
        <f aca="false">IF(OR($D1893="",$E1893=""),"",IFERROR($D1893*INDEX(Setup!$B$27:$B$44,MATCH($E1893,Setup!$A$27:$A$44,0)),"TBD"))</f>
        <v/>
      </c>
      <c r="G1893" s="32"/>
      <c r="H1893" s="32"/>
      <c r="I1893" s="32"/>
      <c r="J1893" s="32"/>
      <c r="K1893" s="35"/>
      <c r="L1893" s="32"/>
      <c r="M1893" s="32"/>
    </row>
    <row r="1894" customFormat="false" ht="15" hidden="false" customHeight="true" outlineLevel="0" collapsed="false">
      <c r="A1894" s="32"/>
      <c r="B1894" s="32"/>
      <c r="C1894" s="32"/>
      <c r="D1894" s="32"/>
      <c r="E1894" s="34" t="str">
        <f aca="false">IF($B1894="","",IF($B1894="OUT","Liters",IFERROR(INDEX(Setup!$F$3:$F$24,MATCH($C1894,Setup!$A$3:$A$24,0)),"")))</f>
        <v/>
      </c>
      <c r="F1894" s="28" t="str">
        <f aca="false">IF(OR($D1894="",$E1894=""),"",IFERROR($D1894*INDEX(Setup!$B$27:$B$44,MATCH($E1894,Setup!$A$27:$A$44,0)),"TBD"))</f>
        <v/>
      </c>
      <c r="G1894" s="32"/>
      <c r="H1894" s="32"/>
      <c r="I1894" s="32"/>
      <c r="J1894" s="32"/>
      <c r="K1894" s="35"/>
      <c r="L1894" s="32"/>
      <c r="M1894" s="32"/>
    </row>
    <row r="1895" customFormat="false" ht="15" hidden="false" customHeight="true" outlineLevel="0" collapsed="false">
      <c r="A1895" s="32"/>
      <c r="B1895" s="32"/>
      <c r="C1895" s="32"/>
      <c r="D1895" s="32"/>
      <c r="E1895" s="34" t="str">
        <f aca="false">IF($B1895="","",IF($B1895="OUT","Liters",IFERROR(INDEX(Setup!$F$3:$F$24,MATCH($C1895,Setup!$A$3:$A$24,0)),"")))</f>
        <v/>
      </c>
      <c r="F1895" s="28" t="str">
        <f aca="false">IF(OR($D1895="",$E1895=""),"",IFERROR($D1895*INDEX(Setup!$B$27:$B$44,MATCH($E1895,Setup!$A$27:$A$44,0)),"TBD"))</f>
        <v/>
      </c>
      <c r="G1895" s="32"/>
      <c r="H1895" s="32"/>
      <c r="I1895" s="32"/>
      <c r="J1895" s="32"/>
      <c r="K1895" s="35"/>
      <c r="L1895" s="32"/>
      <c r="M1895" s="32"/>
    </row>
    <row r="1896" customFormat="false" ht="15" hidden="false" customHeight="true" outlineLevel="0" collapsed="false">
      <c r="A1896" s="32"/>
      <c r="B1896" s="32"/>
      <c r="C1896" s="32"/>
      <c r="D1896" s="32"/>
      <c r="E1896" s="34" t="str">
        <f aca="false">IF($B1896="","",IF($B1896="OUT","Liters",IFERROR(INDEX(Setup!$F$3:$F$24,MATCH($C1896,Setup!$A$3:$A$24,0)),"")))</f>
        <v/>
      </c>
      <c r="F1896" s="28" t="str">
        <f aca="false">IF(OR($D1896="",$E1896=""),"",IFERROR($D1896*INDEX(Setup!$B$27:$B$44,MATCH($E1896,Setup!$A$27:$A$44,0)),"TBD"))</f>
        <v/>
      </c>
      <c r="G1896" s="32"/>
      <c r="H1896" s="32"/>
      <c r="I1896" s="32"/>
      <c r="J1896" s="32"/>
      <c r="K1896" s="35"/>
      <c r="L1896" s="32"/>
      <c r="M1896" s="32"/>
    </row>
    <row r="1897" customFormat="false" ht="15" hidden="false" customHeight="true" outlineLevel="0" collapsed="false">
      <c r="A1897" s="32"/>
      <c r="B1897" s="32"/>
      <c r="C1897" s="32"/>
      <c r="D1897" s="32"/>
      <c r="E1897" s="34" t="str">
        <f aca="false">IF($B1897="","",IF($B1897="OUT","Liters",IFERROR(INDEX(Setup!$F$3:$F$24,MATCH($C1897,Setup!$A$3:$A$24,0)),"")))</f>
        <v/>
      </c>
      <c r="F1897" s="28" t="str">
        <f aca="false">IF(OR($D1897="",$E1897=""),"",IFERROR($D1897*INDEX(Setup!$B$27:$B$44,MATCH($E1897,Setup!$A$27:$A$44,0)),"TBD"))</f>
        <v/>
      </c>
      <c r="G1897" s="32"/>
      <c r="H1897" s="32"/>
      <c r="I1897" s="32"/>
      <c r="J1897" s="32"/>
      <c r="K1897" s="35"/>
      <c r="L1897" s="32"/>
      <c r="M1897" s="32"/>
    </row>
    <row r="1898" customFormat="false" ht="15" hidden="false" customHeight="true" outlineLevel="0" collapsed="false">
      <c r="A1898" s="32"/>
      <c r="B1898" s="32"/>
      <c r="C1898" s="32"/>
      <c r="D1898" s="32"/>
      <c r="E1898" s="34" t="str">
        <f aca="false">IF($B1898="","",IF($B1898="OUT","Liters",IFERROR(INDEX(Setup!$F$3:$F$24,MATCH($C1898,Setup!$A$3:$A$24,0)),"")))</f>
        <v/>
      </c>
      <c r="F1898" s="28" t="str">
        <f aca="false">IF(OR($D1898="",$E1898=""),"",IFERROR($D1898*INDEX(Setup!$B$27:$B$44,MATCH($E1898,Setup!$A$27:$A$44,0)),"TBD"))</f>
        <v/>
      </c>
      <c r="G1898" s="32"/>
      <c r="H1898" s="32"/>
      <c r="I1898" s="32"/>
      <c r="J1898" s="32"/>
      <c r="K1898" s="35"/>
      <c r="L1898" s="32"/>
      <c r="M1898" s="32"/>
    </row>
    <row r="1899" customFormat="false" ht="15" hidden="false" customHeight="true" outlineLevel="0" collapsed="false">
      <c r="A1899" s="32"/>
      <c r="B1899" s="32"/>
      <c r="C1899" s="32"/>
      <c r="D1899" s="32"/>
      <c r="E1899" s="34" t="str">
        <f aca="false">IF($B1899="","",IF($B1899="OUT","Liters",IFERROR(INDEX(Setup!$F$3:$F$24,MATCH($C1899,Setup!$A$3:$A$24,0)),"")))</f>
        <v/>
      </c>
      <c r="F1899" s="28" t="str">
        <f aca="false">IF(OR($D1899="",$E1899=""),"",IFERROR($D1899*INDEX(Setup!$B$27:$B$44,MATCH($E1899,Setup!$A$27:$A$44,0)),"TBD"))</f>
        <v/>
      </c>
      <c r="G1899" s="32"/>
      <c r="H1899" s="32"/>
      <c r="I1899" s="32"/>
      <c r="J1899" s="32"/>
      <c r="K1899" s="35"/>
      <c r="L1899" s="32"/>
      <c r="M1899" s="32"/>
    </row>
    <row r="1900" customFormat="false" ht="15" hidden="false" customHeight="true" outlineLevel="0" collapsed="false">
      <c r="A1900" s="32"/>
      <c r="B1900" s="32"/>
      <c r="C1900" s="32"/>
      <c r="D1900" s="32"/>
      <c r="E1900" s="34" t="str">
        <f aca="false">IF($B1900="","",IF($B1900="OUT","Liters",IFERROR(INDEX(Setup!$F$3:$F$24,MATCH($C1900,Setup!$A$3:$A$24,0)),"")))</f>
        <v/>
      </c>
      <c r="F1900" s="28" t="str">
        <f aca="false">IF(OR($D1900="",$E1900=""),"",IFERROR($D1900*INDEX(Setup!$B$27:$B$44,MATCH($E1900,Setup!$A$27:$A$44,0)),"TBD"))</f>
        <v/>
      </c>
      <c r="G1900" s="32"/>
      <c r="H1900" s="32"/>
      <c r="I1900" s="32"/>
      <c r="J1900" s="32"/>
      <c r="K1900" s="35"/>
      <c r="L1900" s="32"/>
      <c r="M1900" s="32"/>
    </row>
    <row r="1901" customFormat="false" ht="15" hidden="false" customHeight="true" outlineLevel="0" collapsed="false">
      <c r="A1901" s="32"/>
      <c r="B1901" s="32"/>
      <c r="C1901" s="32"/>
      <c r="D1901" s="32"/>
      <c r="E1901" s="34" t="str">
        <f aca="false">IF($B1901="","",IF($B1901="OUT","Liters",IFERROR(INDEX(Setup!$F$3:$F$24,MATCH($C1901,Setup!$A$3:$A$24,0)),"")))</f>
        <v/>
      </c>
      <c r="F1901" s="28" t="str">
        <f aca="false">IF(OR($D1901="",$E1901=""),"",IFERROR($D1901*INDEX(Setup!$B$27:$B$44,MATCH($E1901,Setup!$A$27:$A$44,0)),"TBD"))</f>
        <v/>
      </c>
      <c r="G1901" s="32"/>
      <c r="H1901" s="32"/>
      <c r="I1901" s="32"/>
      <c r="J1901" s="32"/>
      <c r="K1901" s="35"/>
      <c r="L1901" s="32"/>
      <c r="M1901" s="32"/>
    </row>
    <row r="1902" customFormat="false" ht="15" hidden="false" customHeight="true" outlineLevel="0" collapsed="false">
      <c r="A1902" s="32"/>
      <c r="B1902" s="32"/>
      <c r="C1902" s="32"/>
      <c r="D1902" s="32"/>
      <c r="E1902" s="34" t="str">
        <f aca="false">IF($B1902="","",IF($B1902="OUT","Liters",IFERROR(INDEX(Setup!$F$3:$F$24,MATCH($C1902,Setup!$A$3:$A$24,0)),"")))</f>
        <v/>
      </c>
      <c r="F1902" s="28" t="str">
        <f aca="false">IF(OR($D1902="",$E1902=""),"",IFERROR($D1902*INDEX(Setup!$B$27:$B$44,MATCH($E1902,Setup!$A$27:$A$44,0)),"TBD"))</f>
        <v/>
      </c>
      <c r="G1902" s="32"/>
      <c r="H1902" s="32"/>
      <c r="I1902" s="32"/>
      <c r="J1902" s="32"/>
      <c r="K1902" s="35"/>
      <c r="L1902" s="32"/>
      <c r="M1902" s="32"/>
    </row>
    <row r="1903" customFormat="false" ht="15" hidden="false" customHeight="true" outlineLevel="0" collapsed="false">
      <c r="A1903" s="32"/>
      <c r="B1903" s="32"/>
      <c r="C1903" s="32"/>
      <c r="D1903" s="32"/>
      <c r="E1903" s="34" t="str">
        <f aca="false">IF($B1903="","",IF($B1903="OUT","Liters",IFERROR(INDEX(Setup!$F$3:$F$24,MATCH($C1903,Setup!$A$3:$A$24,0)),"")))</f>
        <v/>
      </c>
      <c r="F1903" s="28" t="str">
        <f aca="false">IF(OR($D1903="",$E1903=""),"",IFERROR($D1903*INDEX(Setup!$B$27:$B$44,MATCH($E1903,Setup!$A$27:$A$44,0)),"TBD"))</f>
        <v/>
      </c>
      <c r="G1903" s="32"/>
      <c r="H1903" s="32"/>
      <c r="I1903" s="32"/>
      <c r="J1903" s="32"/>
      <c r="K1903" s="35"/>
      <c r="L1903" s="32"/>
      <c r="M1903" s="32"/>
    </row>
    <row r="1904" customFormat="false" ht="15" hidden="false" customHeight="true" outlineLevel="0" collapsed="false">
      <c r="A1904" s="32"/>
      <c r="B1904" s="32"/>
      <c r="C1904" s="32"/>
      <c r="D1904" s="32"/>
      <c r="E1904" s="34" t="str">
        <f aca="false">IF($B1904="","",IF($B1904="OUT","Liters",IFERROR(INDEX(Setup!$F$3:$F$24,MATCH($C1904,Setup!$A$3:$A$24,0)),"")))</f>
        <v/>
      </c>
      <c r="F1904" s="28" t="str">
        <f aca="false">IF(OR($D1904="",$E1904=""),"",IFERROR($D1904*INDEX(Setup!$B$27:$B$44,MATCH($E1904,Setup!$A$27:$A$44,0)),"TBD"))</f>
        <v/>
      </c>
      <c r="G1904" s="32"/>
      <c r="H1904" s="32"/>
      <c r="I1904" s="32"/>
      <c r="J1904" s="32"/>
      <c r="K1904" s="35"/>
      <c r="L1904" s="32"/>
      <c r="M1904" s="32"/>
    </row>
    <row r="1905" customFormat="false" ht="15" hidden="false" customHeight="true" outlineLevel="0" collapsed="false">
      <c r="A1905" s="32"/>
      <c r="B1905" s="32"/>
      <c r="C1905" s="32"/>
      <c r="D1905" s="32"/>
      <c r="E1905" s="34" t="str">
        <f aca="false">IF($B1905="","",IF($B1905="OUT","Liters",IFERROR(INDEX(Setup!$F$3:$F$24,MATCH($C1905,Setup!$A$3:$A$24,0)),"")))</f>
        <v/>
      </c>
      <c r="F1905" s="28" t="str">
        <f aca="false">IF(OR($D1905="",$E1905=""),"",IFERROR($D1905*INDEX(Setup!$B$27:$B$44,MATCH($E1905,Setup!$A$27:$A$44,0)),"TBD"))</f>
        <v/>
      </c>
      <c r="G1905" s="32"/>
      <c r="H1905" s="32"/>
      <c r="I1905" s="32"/>
      <c r="J1905" s="32"/>
      <c r="K1905" s="35"/>
      <c r="L1905" s="32"/>
      <c r="M1905" s="32"/>
    </row>
    <row r="1906" customFormat="false" ht="15" hidden="false" customHeight="true" outlineLevel="0" collapsed="false">
      <c r="A1906" s="32"/>
      <c r="B1906" s="32"/>
      <c r="C1906" s="32"/>
      <c r="D1906" s="32"/>
      <c r="E1906" s="34" t="str">
        <f aca="false">IF($B1906="","",IF($B1906="OUT","Liters",IFERROR(INDEX(Setup!$F$3:$F$24,MATCH($C1906,Setup!$A$3:$A$24,0)),"")))</f>
        <v/>
      </c>
      <c r="F1906" s="28" t="str">
        <f aca="false">IF(OR($D1906="",$E1906=""),"",IFERROR($D1906*INDEX(Setup!$B$27:$B$44,MATCH($E1906,Setup!$A$27:$A$44,0)),"TBD"))</f>
        <v/>
      </c>
      <c r="G1906" s="32"/>
      <c r="H1906" s="32"/>
      <c r="I1906" s="32"/>
      <c r="J1906" s="32"/>
      <c r="K1906" s="35"/>
      <c r="L1906" s="32"/>
      <c r="M1906" s="32"/>
    </row>
    <row r="1907" customFormat="false" ht="15" hidden="false" customHeight="true" outlineLevel="0" collapsed="false">
      <c r="A1907" s="32"/>
      <c r="B1907" s="32"/>
      <c r="C1907" s="32"/>
      <c r="D1907" s="32"/>
      <c r="E1907" s="34" t="str">
        <f aca="false">IF($B1907="","",IF($B1907="OUT","Liters",IFERROR(INDEX(Setup!$F$3:$F$24,MATCH($C1907,Setup!$A$3:$A$24,0)),"")))</f>
        <v/>
      </c>
      <c r="F1907" s="28" t="str">
        <f aca="false">IF(OR($D1907="",$E1907=""),"",IFERROR($D1907*INDEX(Setup!$B$27:$B$44,MATCH($E1907,Setup!$A$27:$A$44,0)),"TBD"))</f>
        <v/>
      </c>
      <c r="G1907" s="32"/>
      <c r="H1907" s="32"/>
      <c r="I1907" s="32"/>
      <c r="J1907" s="32"/>
      <c r="K1907" s="35"/>
      <c r="L1907" s="32"/>
      <c r="M1907" s="32"/>
    </row>
    <row r="1908" customFormat="false" ht="15" hidden="false" customHeight="true" outlineLevel="0" collapsed="false">
      <c r="A1908" s="32"/>
      <c r="B1908" s="32"/>
      <c r="C1908" s="32"/>
      <c r="D1908" s="32"/>
      <c r="E1908" s="34" t="str">
        <f aca="false">IF($B1908="","",IF($B1908="OUT","Liters",IFERROR(INDEX(Setup!$F$3:$F$24,MATCH($C1908,Setup!$A$3:$A$24,0)),"")))</f>
        <v/>
      </c>
      <c r="F1908" s="28" t="str">
        <f aca="false">IF(OR($D1908="",$E1908=""),"",IFERROR($D1908*INDEX(Setup!$B$27:$B$44,MATCH($E1908,Setup!$A$27:$A$44,0)),"TBD"))</f>
        <v/>
      </c>
      <c r="G1908" s="32"/>
      <c r="H1908" s="32"/>
      <c r="I1908" s="32"/>
      <c r="J1908" s="32"/>
      <c r="K1908" s="35"/>
      <c r="L1908" s="32"/>
      <c r="M1908" s="32"/>
    </row>
    <row r="1909" customFormat="false" ht="15" hidden="false" customHeight="true" outlineLevel="0" collapsed="false">
      <c r="A1909" s="32"/>
      <c r="B1909" s="32"/>
      <c r="C1909" s="32"/>
      <c r="D1909" s="32"/>
      <c r="E1909" s="34" t="str">
        <f aca="false">IF($B1909="","",IF($B1909="OUT","Liters",IFERROR(INDEX(Setup!$F$3:$F$24,MATCH($C1909,Setup!$A$3:$A$24,0)),"")))</f>
        <v/>
      </c>
      <c r="F1909" s="28" t="str">
        <f aca="false">IF(OR($D1909="",$E1909=""),"",IFERROR($D1909*INDEX(Setup!$B$27:$B$44,MATCH($E1909,Setup!$A$27:$A$44,0)),"TBD"))</f>
        <v/>
      </c>
      <c r="G1909" s="32"/>
      <c r="H1909" s="32"/>
      <c r="I1909" s="32"/>
      <c r="J1909" s="32"/>
      <c r="K1909" s="35"/>
      <c r="L1909" s="32"/>
      <c r="M1909" s="32"/>
    </row>
    <row r="1910" customFormat="false" ht="15" hidden="false" customHeight="true" outlineLevel="0" collapsed="false">
      <c r="A1910" s="32"/>
      <c r="B1910" s="32"/>
      <c r="C1910" s="32"/>
      <c r="D1910" s="32"/>
      <c r="E1910" s="34" t="str">
        <f aca="false">IF($B1910="","",IF($B1910="OUT","Liters",IFERROR(INDEX(Setup!$F$3:$F$24,MATCH($C1910,Setup!$A$3:$A$24,0)),"")))</f>
        <v/>
      </c>
      <c r="F1910" s="28" t="str">
        <f aca="false">IF(OR($D1910="",$E1910=""),"",IFERROR($D1910*INDEX(Setup!$B$27:$B$44,MATCH($E1910,Setup!$A$27:$A$44,0)),"TBD"))</f>
        <v/>
      </c>
      <c r="G1910" s="32"/>
      <c r="H1910" s="32"/>
      <c r="I1910" s="32"/>
      <c r="J1910" s="32"/>
      <c r="K1910" s="35"/>
      <c r="L1910" s="32"/>
      <c r="M1910" s="32"/>
    </row>
    <row r="1911" customFormat="false" ht="15" hidden="false" customHeight="true" outlineLevel="0" collapsed="false">
      <c r="A1911" s="32"/>
      <c r="B1911" s="32"/>
      <c r="C1911" s="32"/>
      <c r="D1911" s="32"/>
      <c r="E1911" s="34" t="str">
        <f aca="false">IF($B1911="","",IF($B1911="OUT","Liters",IFERROR(INDEX(Setup!$F$3:$F$24,MATCH($C1911,Setup!$A$3:$A$24,0)),"")))</f>
        <v/>
      </c>
      <c r="F1911" s="28" t="str">
        <f aca="false">IF(OR($D1911="",$E1911=""),"",IFERROR($D1911*INDEX(Setup!$B$27:$B$44,MATCH($E1911,Setup!$A$27:$A$44,0)),"TBD"))</f>
        <v/>
      </c>
      <c r="G1911" s="32"/>
      <c r="H1911" s="32"/>
      <c r="I1911" s="32"/>
      <c r="J1911" s="32"/>
      <c r="K1911" s="35"/>
      <c r="L1911" s="32"/>
      <c r="M1911" s="32"/>
    </row>
    <row r="1912" customFormat="false" ht="15" hidden="false" customHeight="true" outlineLevel="0" collapsed="false">
      <c r="A1912" s="32"/>
      <c r="B1912" s="32"/>
      <c r="C1912" s="32"/>
      <c r="D1912" s="32"/>
      <c r="E1912" s="34" t="str">
        <f aca="false">IF($B1912="","",IF($B1912="OUT","Liters",IFERROR(INDEX(Setup!$F$3:$F$24,MATCH($C1912,Setup!$A$3:$A$24,0)),"")))</f>
        <v/>
      </c>
      <c r="F1912" s="28" t="str">
        <f aca="false">IF(OR($D1912="",$E1912=""),"",IFERROR($D1912*INDEX(Setup!$B$27:$B$44,MATCH($E1912,Setup!$A$27:$A$44,0)),"TBD"))</f>
        <v/>
      </c>
      <c r="G1912" s="32"/>
      <c r="H1912" s="32"/>
      <c r="I1912" s="32"/>
      <c r="J1912" s="32"/>
      <c r="K1912" s="35"/>
      <c r="L1912" s="32"/>
      <c r="M1912" s="32"/>
    </row>
    <row r="1913" customFormat="false" ht="15" hidden="false" customHeight="true" outlineLevel="0" collapsed="false">
      <c r="A1913" s="32"/>
      <c r="B1913" s="32"/>
      <c r="C1913" s="32"/>
      <c r="D1913" s="32"/>
      <c r="E1913" s="34" t="str">
        <f aca="false">IF($B1913="","",IF($B1913="OUT","Liters",IFERROR(INDEX(Setup!$F$3:$F$24,MATCH($C1913,Setup!$A$3:$A$24,0)),"")))</f>
        <v/>
      </c>
      <c r="F1913" s="28" t="str">
        <f aca="false">IF(OR($D1913="",$E1913=""),"",IFERROR($D1913*INDEX(Setup!$B$27:$B$44,MATCH($E1913,Setup!$A$27:$A$44,0)),"TBD"))</f>
        <v/>
      </c>
      <c r="G1913" s="32"/>
      <c r="H1913" s="32"/>
      <c r="I1913" s="32"/>
      <c r="J1913" s="32"/>
      <c r="K1913" s="35"/>
      <c r="L1913" s="32"/>
      <c r="M1913" s="32"/>
    </row>
    <row r="1914" customFormat="false" ht="15" hidden="false" customHeight="true" outlineLevel="0" collapsed="false">
      <c r="A1914" s="32"/>
      <c r="B1914" s="32"/>
      <c r="C1914" s="32"/>
      <c r="D1914" s="32"/>
      <c r="E1914" s="34" t="str">
        <f aca="false">IF($B1914="","",IF($B1914="OUT","Liters",IFERROR(INDEX(Setup!$F$3:$F$24,MATCH($C1914,Setup!$A$3:$A$24,0)),"")))</f>
        <v/>
      </c>
      <c r="F1914" s="28" t="str">
        <f aca="false">IF(OR($D1914="",$E1914=""),"",IFERROR($D1914*INDEX(Setup!$B$27:$B$44,MATCH($E1914,Setup!$A$27:$A$44,0)),"TBD"))</f>
        <v/>
      </c>
      <c r="G1914" s="32"/>
      <c r="H1914" s="32"/>
      <c r="I1914" s="32"/>
      <c r="J1914" s="32"/>
      <c r="K1914" s="35"/>
      <c r="L1914" s="32"/>
      <c r="M1914" s="32"/>
    </row>
    <row r="1915" customFormat="false" ht="15" hidden="false" customHeight="true" outlineLevel="0" collapsed="false">
      <c r="A1915" s="32"/>
      <c r="B1915" s="32"/>
      <c r="C1915" s="32"/>
      <c r="D1915" s="32"/>
      <c r="E1915" s="34" t="str">
        <f aca="false">IF($B1915="","",IF($B1915="OUT","Liters",IFERROR(INDEX(Setup!$F$3:$F$24,MATCH($C1915,Setup!$A$3:$A$24,0)),"")))</f>
        <v/>
      </c>
      <c r="F1915" s="28" t="str">
        <f aca="false">IF(OR($D1915="",$E1915=""),"",IFERROR($D1915*INDEX(Setup!$B$27:$B$44,MATCH($E1915,Setup!$A$27:$A$44,0)),"TBD"))</f>
        <v/>
      </c>
      <c r="G1915" s="32"/>
      <c r="H1915" s="32"/>
      <c r="I1915" s="32"/>
      <c r="J1915" s="32"/>
      <c r="K1915" s="35"/>
      <c r="L1915" s="32"/>
      <c r="M1915" s="32"/>
    </row>
    <row r="1916" customFormat="false" ht="15" hidden="false" customHeight="true" outlineLevel="0" collapsed="false">
      <c r="A1916" s="32"/>
      <c r="B1916" s="32"/>
      <c r="C1916" s="32"/>
      <c r="D1916" s="32"/>
      <c r="E1916" s="34" t="str">
        <f aca="false">IF($B1916="","",IF($B1916="OUT","Liters",IFERROR(INDEX(Setup!$F$3:$F$24,MATCH($C1916,Setup!$A$3:$A$24,0)),"")))</f>
        <v/>
      </c>
      <c r="F1916" s="28" t="str">
        <f aca="false">IF(OR($D1916="",$E1916=""),"",IFERROR($D1916*INDEX(Setup!$B$27:$B$44,MATCH($E1916,Setup!$A$27:$A$44,0)),"TBD"))</f>
        <v/>
      </c>
      <c r="G1916" s="32"/>
      <c r="H1916" s="32"/>
      <c r="I1916" s="32"/>
      <c r="J1916" s="32"/>
      <c r="K1916" s="35"/>
      <c r="L1916" s="32"/>
      <c r="M1916" s="32"/>
    </row>
    <row r="1917" customFormat="false" ht="15" hidden="false" customHeight="true" outlineLevel="0" collapsed="false">
      <c r="A1917" s="32"/>
      <c r="B1917" s="32"/>
      <c r="C1917" s="32"/>
      <c r="D1917" s="32"/>
      <c r="E1917" s="34" t="str">
        <f aca="false">IF($B1917="","",IF($B1917="OUT","Liters",IFERROR(INDEX(Setup!$F$3:$F$24,MATCH($C1917,Setup!$A$3:$A$24,0)),"")))</f>
        <v/>
      </c>
      <c r="F1917" s="28" t="str">
        <f aca="false">IF(OR($D1917="",$E1917=""),"",IFERROR($D1917*INDEX(Setup!$B$27:$B$44,MATCH($E1917,Setup!$A$27:$A$44,0)),"TBD"))</f>
        <v/>
      </c>
      <c r="G1917" s="32"/>
      <c r="H1917" s="32"/>
      <c r="I1917" s="32"/>
      <c r="J1917" s="32"/>
      <c r="K1917" s="35"/>
      <c r="L1917" s="32"/>
      <c r="M1917" s="32"/>
    </row>
    <row r="1918" customFormat="false" ht="15" hidden="false" customHeight="true" outlineLevel="0" collapsed="false">
      <c r="A1918" s="32"/>
      <c r="B1918" s="32"/>
      <c r="C1918" s="32"/>
      <c r="D1918" s="32"/>
      <c r="E1918" s="34" t="str">
        <f aca="false">IF($B1918="","",IF($B1918="OUT","Liters",IFERROR(INDEX(Setup!$F$3:$F$24,MATCH($C1918,Setup!$A$3:$A$24,0)),"")))</f>
        <v/>
      </c>
      <c r="F1918" s="28" t="str">
        <f aca="false">IF(OR($D1918="",$E1918=""),"",IFERROR($D1918*INDEX(Setup!$B$27:$B$44,MATCH($E1918,Setup!$A$27:$A$44,0)),"TBD"))</f>
        <v/>
      </c>
      <c r="G1918" s="32"/>
      <c r="H1918" s="32"/>
      <c r="I1918" s="32"/>
      <c r="J1918" s="32"/>
      <c r="K1918" s="35"/>
      <c r="L1918" s="32"/>
      <c r="M1918" s="32"/>
    </row>
    <row r="1919" customFormat="false" ht="15" hidden="false" customHeight="true" outlineLevel="0" collapsed="false">
      <c r="A1919" s="32"/>
      <c r="B1919" s="32"/>
      <c r="C1919" s="32"/>
      <c r="D1919" s="32"/>
      <c r="E1919" s="34" t="str">
        <f aca="false">IF($B1919="","",IF($B1919="OUT","Liters",IFERROR(INDEX(Setup!$F$3:$F$24,MATCH($C1919,Setup!$A$3:$A$24,0)),"")))</f>
        <v/>
      </c>
      <c r="F1919" s="28" t="str">
        <f aca="false">IF(OR($D1919="",$E1919=""),"",IFERROR($D1919*INDEX(Setup!$B$27:$B$44,MATCH($E1919,Setup!$A$27:$A$44,0)),"TBD"))</f>
        <v/>
      </c>
      <c r="G1919" s="32"/>
      <c r="H1919" s="32"/>
      <c r="I1919" s="32"/>
      <c r="J1919" s="32"/>
      <c r="K1919" s="35"/>
      <c r="L1919" s="32"/>
      <c r="M1919" s="32"/>
    </row>
    <row r="1920" customFormat="false" ht="15" hidden="false" customHeight="true" outlineLevel="0" collapsed="false">
      <c r="A1920" s="32"/>
      <c r="B1920" s="32"/>
      <c r="C1920" s="32"/>
      <c r="D1920" s="32"/>
      <c r="E1920" s="34" t="str">
        <f aca="false">IF($B1920="","",IF($B1920="OUT","Liters",IFERROR(INDEX(Setup!$F$3:$F$24,MATCH($C1920,Setup!$A$3:$A$24,0)),"")))</f>
        <v/>
      </c>
      <c r="F1920" s="28" t="str">
        <f aca="false">IF(OR($D1920="",$E1920=""),"",IFERROR($D1920*INDEX(Setup!$B$27:$B$44,MATCH($E1920,Setup!$A$27:$A$44,0)),"TBD"))</f>
        <v/>
      </c>
      <c r="G1920" s="32"/>
      <c r="H1920" s="32"/>
      <c r="I1920" s="32"/>
      <c r="J1920" s="32"/>
      <c r="K1920" s="35"/>
      <c r="L1920" s="32"/>
      <c r="M1920" s="32"/>
    </row>
    <row r="1921" customFormat="false" ht="15" hidden="false" customHeight="true" outlineLevel="0" collapsed="false">
      <c r="A1921" s="32"/>
      <c r="B1921" s="32"/>
      <c r="C1921" s="32"/>
      <c r="D1921" s="32"/>
      <c r="E1921" s="34" t="str">
        <f aca="false">IF($B1921="","",IF($B1921="OUT","Liters",IFERROR(INDEX(Setup!$F$3:$F$24,MATCH($C1921,Setup!$A$3:$A$24,0)),"")))</f>
        <v/>
      </c>
      <c r="F1921" s="28" t="str">
        <f aca="false">IF(OR($D1921="",$E1921=""),"",IFERROR($D1921*INDEX(Setup!$B$27:$B$44,MATCH($E1921,Setup!$A$27:$A$44,0)),"TBD"))</f>
        <v/>
      </c>
      <c r="G1921" s="32"/>
      <c r="H1921" s="32"/>
      <c r="I1921" s="32"/>
      <c r="J1921" s="32"/>
      <c r="K1921" s="35"/>
      <c r="L1921" s="32"/>
      <c r="M1921" s="32"/>
    </row>
    <row r="1922" customFormat="false" ht="15" hidden="false" customHeight="true" outlineLevel="0" collapsed="false">
      <c r="A1922" s="32"/>
      <c r="B1922" s="32"/>
      <c r="C1922" s="32"/>
      <c r="D1922" s="32"/>
      <c r="E1922" s="34" t="str">
        <f aca="false">IF($B1922="","",IF($B1922="OUT","Liters",IFERROR(INDEX(Setup!$F$3:$F$24,MATCH($C1922,Setup!$A$3:$A$24,0)),"")))</f>
        <v/>
      </c>
      <c r="F1922" s="28" t="str">
        <f aca="false">IF(OR($D1922="",$E1922=""),"",IFERROR($D1922*INDEX(Setup!$B$27:$B$44,MATCH($E1922,Setup!$A$27:$A$44,0)),"TBD"))</f>
        <v/>
      </c>
      <c r="G1922" s="32"/>
      <c r="H1922" s="32"/>
      <c r="I1922" s="32"/>
      <c r="J1922" s="32"/>
      <c r="K1922" s="35"/>
      <c r="L1922" s="32"/>
      <c r="M1922" s="32"/>
    </row>
    <row r="1923" customFormat="false" ht="15" hidden="false" customHeight="true" outlineLevel="0" collapsed="false">
      <c r="A1923" s="32"/>
      <c r="B1923" s="32"/>
      <c r="C1923" s="32"/>
      <c r="D1923" s="32"/>
      <c r="E1923" s="34" t="str">
        <f aca="false">IF($B1923="","",IF($B1923="OUT","Liters",IFERROR(INDEX(Setup!$F$3:$F$24,MATCH($C1923,Setup!$A$3:$A$24,0)),"")))</f>
        <v/>
      </c>
      <c r="F1923" s="28" t="str">
        <f aca="false">IF(OR($D1923="",$E1923=""),"",IFERROR($D1923*INDEX(Setup!$B$27:$B$44,MATCH($E1923,Setup!$A$27:$A$44,0)),"TBD"))</f>
        <v/>
      </c>
      <c r="G1923" s="32"/>
      <c r="H1923" s="32"/>
      <c r="I1923" s="32"/>
      <c r="J1923" s="32"/>
      <c r="K1923" s="35"/>
      <c r="L1923" s="32"/>
      <c r="M1923" s="32"/>
    </row>
    <row r="1924" customFormat="false" ht="15" hidden="false" customHeight="true" outlineLevel="0" collapsed="false">
      <c r="A1924" s="32"/>
      <c r="B1924" s="32"/>
      <c r="C1924" s="32"/>
      <c r="D1924" s="32"/>
      <c r="E1924" s="34" t="str">
        <f aca="false">IF($B1924="","",IF($B1924="OUT","Liters",IFERROR(INDEX(Setup!$F$3:$F$24,MATCH($C1924,Setup!$A$3:$A$24,0)),"")))</f>
        <v/>
      </c>
      <c r="F1924" s="28" t="str">
        <f aca="false">IF(OR($D1924="",$E1924=""),"",IFERROR($D1924*INDEX(Setup!$B$27:$B$44,MATCH($E1924,Setup!$A$27:$A$44,0)),"TBD"))</f>
        <v/>
      </c>
      <c r="G1924" s="32"/>
      <c r="H1924" s="32"/>
      <c r="I1924" s="32"/>
      <c r="J1924" s="32"/>
      <c r="K1924" s="35"/>
      <c r="L1924" s="32"/>
      <c r="M1924" s="32"/>
    </row>
    <row r="1925" customFormat="false" ht="15" hidden="false" customHeight="true" outlineLevel="0" collapsed="false">
      <c r="A1925" s="32"/>
      <c r="B1925" s="32"/>
      <c r="C1925" s="32"/>
      <c r="D1925" s="32"/>
      <c r="E1925" s="34" t="str">
        <f aca="false">IF($B1925="","",IF($B1925="OUT","Liters",IFERROR(INDEX(Setup!$F$3:$F$24,MATCH($C1925,Setup!$A$3:$A$24,0)),"")))</f>
        <v/>
      </c>
      <c r="F1925" s="28" t="str">
        <f aca="false">IF(OR($D1925="",$E1925=""),"",IFERROR($D1925*INDEX(Setup!$B$27:$B$44,MATCH($E1925,Setup!$A$27:$A$44,0)),"TBD"))</f>
        <v/>
      </c>
      <c r="G1925" s="32"/>
      <c r="H1925" s="32"/>
      <c r="I1925" s="32"/>
      <c r="J1925" s="32"/>
      <c r="K1925" s="35"/>
      <c r="L1925" s="32"/>
      <c r="M1925" s="32"/>
    </row>
    <row r="1926" customFormat="false" ht="15" hidden="false" customHeight="true" outlineLevel="0" collapsed="false">
      <c r="A1926" s="32"/>
      <c r="B1926" s="32"/>
      <c r="C1926" s="32"/>
      <c r="D1926" s="32"/>
      <c r="E1926" s="34" t="str">
        <f aca="false">IF($B1926="","",IF($B1926="OUT","Liters",IFERROR(INDEX(Setup!$F$3:$F$24,MATCH($C1926,Setup!$A$3:$A$24,0)),"")))</f>
        <v/>
      </c>
      <c r="F1926" s="28" t="str">
        <f aca="false">IF(OR($D1926="",$E1926=""),"",IFERROR($D1926*INDEX(Setup!$B$27:$B$44,MATCH($E1926,Setup!$A$27:$A$44,0)),"TBD"))</f>
        <v/>
      </c>
      <c r="G1926" s="32"/>
      <c r="H1926" s="32"/>
      <c r="I1926" s="32"/>
      <c r="J1926" s="32"/>
      <c r="K1926" s="35"/>
      <c r="L1926" s="32"/>
      <c r="M1926" s="32"/>
    </row>
    <row r="1927" customFormat="false" ht="15" hidden="false" customHeight="true" outlineLevel="0" collapsed="false">
      <c r="A1927" s="32"/>
      <c r="B1927" s="32"/>
      <c r="C1927" s="32"/>
      <c r="D1927" s="32"/>
      <c r="E1927" s="34" t="str">
        <f aca="false">IF($B1927="","",IF($B1927="OUT","Liters",IFERROR(INDEX(Setup!$F$3:$F$24,MATCH($C1927,Setup!$A$3:$A$24,0)),"")))</f>
        <v/>
      </c>
      <c r="F1927" s="28" t="str">
        <f aca="false">IF(OR($D1927="",$E1927=""),"",IFERROR($D1927*INDEX(Setup!$B$27:$B$44,MATCH($E1927,Setup!$A$27:$A$44,0)),"TBD"))</f>
        <v/>
      </c>
      <c r="G1927" s="32"/>
      <c r="H1927" s="32"/>
      <c r="I1927" s="32"/>
      <c r="J1927" s="32"/>
      <c r="K1927" s="35"/>
      <c r="L1927" s="32"/>
      <c r="M1927" s="32"/>
    </row>
    <row r="1928" customFormat="false" ht="15" hidden="false" customHeight="true" outlineLevel="0" collapsed="false">
      <c r="A1928" s="32"/>
      <c r="B1928" s="32"/>
      <c r="C1928" s="32"/>
      <c r="D1928" s="32"/>
      <c r="E1928" s="34" t="str">
        <f aca="false">IF($B1928="","",IF($B1928="OUT","Liters",IFERROR(INDEX(Setup!$F$3:$F$24,MATCH($C1928,Setup!$A$3:$A$24,0)),"")))</f>
        <v/>
      </c>
      <c r="F1928" s="28" t="str">
        <f aca="false">IF(OR($D1928="",$E1928=""),"",IFERROR($D1928*INDEX(Setup!$B$27:$B$44,MATCH($E1928,Setup!$A$27:$A$44,0)),"TBD"))</f>
        <v/>
      </c>
      <c r="G1928" s="32"/>
      <c r="H1928" s="32"/>
      <c r="I1928" s="32"/>
      <c r="J1928" s="32"/>
      <c r="K1928" s="35"/>
      <c r="L1928" s="32"/>
      <c r="M1928" s="32"/>
    </row>
    <row r="1929" customFormat="false" ht="15" hidden="false" customHeight="true" outlineLevel="0" collapsed="false">
      <c r="A1929" s="32"/>
      <c r="B1929" s="32"/>
      <c r="C1929" s="32"/>
      <c r="D1929" s="32"/>
      <c r="E1929" s="34" t="str">
        <f aca="false">IF($B1929="","",IF($B1929="OUT","Liters",IFERROR(INDEX(Setup!$F$3:$F$24,MATCH($C1929,Setup!$A$3:$A$24,0)),"")))</f>
        <v/>
      </c>
      <c r="F1929" s="28" t="str">
        <f aca="false">IF(OR($D1929="",$E1929=""),"",IFERROR($D1929*INDEX(Setup!$B$27:$B$44,MATCH($E1929,Setup!$A$27:$A$44,0)),"TBD"))</f>
        <v/>
      </c>
      <c r="G1929" s="32"/>
      <c r="H1929" s="32"/>
      <c r="I1929" s="32"/>
      <c r="J1929" s="32"/>
      <c r="K1929" s="35"/>
      <c r="L1929" s="32"/>
      <c r="M1929" s="32"/>
    </row>
    <row r="1930" customFormat="false" ht="15" hidden="false" customHeight="true" outlineLevel="0" collapsed="false">
      <c r="A1930" s="32"/>
      <c r="B1930" s="32"/>
      <c r="C1930" s="32"/>
      <c r="D1930" s="32"/>
      <c r="E1930" s="34" t="str">
        <f aca="false">IF($B1930="","",IF($B1930="OUT","Liters",IFERROR(INDEX(Setup!$F$3:$F$24,MATCH($C1930,Setup!$A$3:$A$24,0)),"")))</f>
        <v/>
      </c>
      <c r="F1930" s="28" t="str">
        <f aca="false">IF(OR($D1930="",$E1930=""),"",IFERROR($D1930*INDEX(Setup!$B$27:$B$44,MATCH($E1930,Setup!$A$27:$A$44,0)),"TBD"))</f>
        <v/>
      </c>
      <c r="G1930" s="32"/>
      <c r="H1930" s="32"/>
      <c r="I1930" s="32"/>
      <c r="J1930" s="32"/>
      <c r="K1930" s="35"/>
      <c r="L1930" s="32"/>
      <c r="M1930" s="32"/>
    </row>
    <row r="1931" customFormat="false" ht="15" hidden="false" customHeight="true" outlineLevel="0" collapsed="false">
      <c r="A1931" s="32"/>
      <c r="B1931" s="32"/>
      <c r="C1931" s="32"/>
      <c r="D1931" s="32"/>
      <c r="E1931" s="34" t="str">
        <f aca="false">IF($B1931="","",IF($B1931="OUT","Liters",IFERROR(INDEX(Setup!$F$3:$F$24,MATCH($C1931,Setup!$A$3:$A$24,0)),"")))</f>
        <v/>
      </c>
      <c r="F1931" s="28" t="str">
        <f aca="false">IF(OR($D1931="",$E1931=""),"",IFERROR($D1931*INDEX(Setup!$B$27:$B$44,MATCH($E1931,Setup!$A$27:$A$44,0)),"TBD"))</f>
        <v/>
      </c>
      <c r="G1931" s="32"/>
      <c r="H1931" s="32"/>
      <c r="I1931" s="32"/>
      <c r="J1931" s="32"/>
      <c r="K1931" s="35"/>
      <c r="L1931" s="32"/>
      <c r="M1931" s="32"/>
    </row>
    <row r="1932" customFormat="false" ht="15" hidden="false" customHeight="true" outlineLevel="0" collapsed="false">
      <c r="A1932" s="32"/>
      <c r="B1932" s="32"/>
      <c r="C1932" s="32"/>
      <c r="D1932" s="32"/>
      <c r="E1932" s="34" t="str">
        <f aca="false">IF($B1932="","",IF($B1932="OUT","Liters",IFERROR(INDEX(Setup!$F$3:$F$24,MATCH($C1932,Setup!$A$3:$A$24,0)),"")))</f>
        <v/>
      </c>
      <c r="F1932" s="28" t="str">
        <f aca="false">IF(OR($D1932="",$E1932=""),"",IFERROR($D1932*INDEX(Setup!$B$27:$B$44,MATCH($E1932,Setup!$A$27:$A$44,0)),"TBD"))</f>
        <v/>
      </c>
      <c r="G1932" s="32"/>
      <c r="H1932" s="32"/>
      <c r="I1932" s="32"/>
      <c r="J1932" s="32"/>
      <c r="K1932" s="35"/>
      <c r="L1932" s="32"/>
      <c r="M1932" s="32"/>
    </row>
    <row r="1933" customFormat="false" ht="15" hidden="false" customHeight="true" outlineLevel="0" collapsed="false">
      <c r="A1933" s="32"/>
      <c r="B1933" s="32"/>
      <c r="C1933" s="32"/>
      <c r="D1933" s="32"/>
      <c r="E1933" s="34" t="str">
        <f aca="false">IF($B1933="","",IF($B1933="OUT","Liters",IFERROR(INDEX(Setup!$F$3:$F$24,MATCH($C1933,Setup!$A$3:$A$24,0)),"")))</f>
        <v/>
      </c>
      <c r="F1933" s="28" t="str">
        <f aca="false">IF(OR($D1933="",$E1933=""),"",IFERROR($D1933*INDEX(Setup!$B$27:$B$44,MATCH($E1933,Setup!$A$27:$A$44,0)),"TBD"))</f>
        <v/>
      </c>
      <c r="G1933" s="32"/>
      <c r="H1933" s="32"/>
      <c r="I1933" s="32"/>
      <c r="J1933" s="32"/>
      <c r="K1933" s="35"/>
      <c r="L1933" s="32"/>
      <c r="M1933" s="32"/>
    </row>
    <row r="1934" customFormat="false" ht="15" hidden="false" customHeight="true" outlineLevel="0" collapsed="false">
      <c r="A1934" s="32"/>
      <c r="B1934" s="32"/>
      <c r="C1934" s="32"/>
      <c r="D1934" s="32"/>
      <c r="E1934" s="34" t="str">
        <f aca="false">IF($B1934="","",IF($B1934="OUT","Liters",IFERROR(INDEX(Setup!$F$3:$F$24,MATCH($C1934,Setup!$A$3:$A$24,0)),"")))</f>
        <v/>
      </c>
      <c r="F1934" s="28" t="str">
        <f aca="false">IF(OR($D1934="",$E1934=""),"",IFERROR($D1934*INDEX(Setup!$B$27:$B$44,MATCH($E1934,Setup!$A$27:$A$44,0)),"TBD"))</f>
        <v/>
      </c>
      <c r="G1934" s="32"/>
      <c r="H1934" s="32"/>
      <c r="I1934" s="32"/>
      <c r="J1934" s="32"/>
      <c r="K1934" s="35"/>
      <c r="L1934" s="32"/>
      <c r="M1934" s="32"/>
    </row>
    <row r="1935" customFormat="false" ht="15" hidden="false" customHeight="true" outlineLevel="0" collapsed="false">
      <c r="A1935" s="32"/>
      <c r="B1935" s="32"/>
      <c r="C1935" s="32"/>
      <c r="D1935" s="32"/>
      <c r="E1935" s="34" t="str">
        <f aca="false">IF($B1935="","",IF($B1935="OUT","Liters",IFERROR(INDEX(Setup!$F$3:$F$24,MATCH($C1935,Setup!$A$3:$A$24,0)),"")))</f>
        <v/>
      </c>
      <c r="F1935" s="28" t="str">
        <f aca="false">IF(OR($D1935="",$E1935=""),"",IFERROR($D1935*INDEX(Setup!$B$27:$B$44,MATCH($E1935,Setup!$A$27:$A$44,0)),"TBD"))</f>
        <v/>
      </c>
      <c r="G1935" s="32"/>
      <c r="H1935" s="32"/>
      <c r="I1935" s="32"/>
      <c r="J1935" s="32"/>
      <c r="K1935" s="35"/>
      <c r="L1935" s="32"/>
      <c r="M1935" s="32"/>
    </row>
    <row r="1936" customFormat="false" ht="15" hidden="false" customHeight="true" outlineLevel="0" collapsed="false">
      <c r="A1936" s="32"/>
      <c r="B1936" s="32"/>
      <c r="C1936" s="32"/>
      <c r="D1936" s="32"/>
      <c r="E1936" s="34" t="str">
        <f aca="false">IF($B1936="","",IF($B1936="OUT","Liters",IFERROR(INDEX(Setup!$F$3:$F$24,MATCH($C1936,Setup!$A$3:$A$24,0)),"")))</f>
        <v/>
      </c>
      <c r="F1936" s="28" t="str">
        <f aca="false">IF(OR($D1936="",$E1936=""),"",IFERROR($D1936*INDEX(Setup!$B$27:$B$44,MATCH($E1936,Setup!$A$27:$A$44,0)),"TBD"))</f>
        <v/>
      </c>
      <c r="G1936" s="32"/>
      <c r="H1936" s="32"/>
      <c r="I1936" s="32"/>
      <c r="J1936" s="32"/>
      <c r="K1936" s="35"/>
      <c r="L1936" s="32"/>
      <c r="M1936" s="32"/>
    </row>
    <row r="1937" customFormat="false" ht="15" hidden="false" customHeight="true" outlineLevel="0" collapsed="false">
      <c r="A1937" s="32"/>
      <c r="B1937" s="32"/>
      <c r="C1937" s="32"/>
      <c r="D1937" s="32"/>
      <c r="E1937" s="34" t="str">
        <f aca="false">IF($B1937="","",IF($B1937="OUT","Liters",IFERROR(INDEX(Setup!$F$3:$F$24,MATCH($C1937,Setup!$A$3:$A$24,0)),"")))</f>
        <v/>
      </c>
      <c r="F1937" s="28" t="str">
        <f aca="false">IF(OR($D1937="",$E1937=""),"",IFERROR($D1937*INDEX(Setup!$B$27:$B$44,MATCH($E1937,Setup!$A$27:$A$44,0)),"TBD"))</f>
        <v/>
      </c>
      <c r="G1937" s="32"/>
      <c r="H1937" s="32"/>
      <c r="I1937" s="32"/>
      <c r="J1937" s="32"/>
      <c r="K1937" s="35"/>
      <c r="L1937" s="32"/>
      <c r="M1937" s="32"/>
    </row>
    <row r="1938" customFormat="false" ht="15" hidden="false" customHeight="true" outlineLevel="0" collapsed="false">
      <c r="A1938" s="32"/>
      <c r="B1938" s="32"/>
      <c r="C1938" s="32"/>
      <c r="D1938" s="32"/>
      <c r="E1938" s="34" t="str">
        <f aca="false">IF($B1938="","",IF($B1938="OUT","Liters",IFERROR(INDEX(Setup!$F$3:$F$24,MATCH($C1938,Setup!$A$3:$A$24,0)),"")))</f>
        <v/>
      </c>
      <c r="F1938" s="28" t="str">
        <f aca="false">IF(OR($D1938="",$E1938=""),"",IFERROR($D1938*INDEX(Setup!$B$27:$B$44,MATCH($E1938,Setup!$A$27:$A$44,0)),"TBD"))</f>
        <v/>
      </c>
      <c r="G1938" s="32"/>
      <c r="H1938" s="32"/>
      <c r="I1938" s="32"/>
      <c r="J1938" s="32"/>
      <c r="K1938" s="35"/>
      <c r="L1938" s="32"/>
      <c r="M1938" s="32"/>
    </row>
    <row r="1939" customFormat="false" ht="15" hidden="false" customHeight="true" outlineLevel="0" collapsed="false">
      <c r="A1939" s="32"/>
      <c r="B1939" s="32"/>
      <c r="C1939" s="32"/>
      <c r="D1939" s="32"/>
      <c r="E1939" s="34" t="str">
        <f aca="false">IF($B1939="","",IF($B1939="OUT","Liters",IFERROR(INDEX(Setup!$F$3:$F$24,MATCH($C1939,Setup!$A$3:$A$24,0)),"")))</f>
        <v/>
      </c>
      <c r="F1939" s="28" t="str">
        <f aca="false">IF(OR($D1939="",$E1939=""),"",IFERROR($D1939*INDEX(Setup!$B$27:$B$44,MATCH($E1939,Setup!$A$27:$A$44,0)),"TBD"))</f>
        <v/>
      </c>
      <c r="G1939" s="32"/>
      <c r="H1939" s="32"/>
      <c r="I1939" s="32"/>
      <c r="J1939" s="32"/>
      <c r="K1939" s="35"/>
      <c r="L1939" s="32"/>
      <c r="M1939" s="32"/>
    </row>
    <row r="1940" customFormat="false" ht="15" hidden="false" customHeight="true" outlineLevel="0" collapsed="false">
      <c r="A1940" s="32"/>
      <c r="B1940" s="32"/>
      <c r="C1940" s="32"/>
      <c r="D1940" s="32"/>
      <c r="E1940" s="34" t="str">
        <f aca="false">IF($B1940="","",IF($B1940="OUT","Liters",IFERROR(INDEX(Setup!$F$3:$F$24,MATCH($C1940,Setup!$A$3:$A$24,0)),"")))</f>
        <v/>
      </c>
      <c r="F1940" s="28" t="str">
        <f aca="false">IF(OR($D1940="",$E1940=""),"",IFERROR($D1940*INDEX(Setup!$B$27:$B$44,MATCH($E1940,Setup!$A$27:$A$44,0)),"TBD"))</f>
        <v/>
      </c>
      <c r="G1940" s="32"/>
      <c r="H1940" s="32"/>
      <c r="I1940" s="32"/>
      <c r="J1940" s="32"/>
      <c r="K1940" s="35"/>
      <c r="L1940" s="32"/>
      <c r="M1940" s="32"/>
    </row>
    <row r="1941" customFormat="false" ht="15" hidden="false" customHeight="true" outlineLevel="0" collapsed="false">
      <c r="A1941" s="32"/>
      <c r="B1941" s="32"/>
      <c r="C1941" s="32"/>
      <c r="D1941" s="32"/>
      <c r="E1941" s="34" t="str">
        <f aca="false">IF($B1941="","",IF($B1941="OUT","Liters",IFERROR(INDEX(Setup!$F$3:$F$24,MATCH($C1941,Setup!$A$3:$A$24,0)),"")))</f>
        <v/>
      </c>
      <c r="F1941" s="28" t="str">
        <f aca="false">IF(OR($D1941="",$E1941=""),"",IFERROR($D1941*INDEX(Setup!$B$27:$B$44,MATCH($E1941,Setup!$A$27:$A$44,0)),"TBD"))</f>
        <v/>
      </c>
      <c r="G1941" s="32"/>
      <c r="H1941" s="32"/>
      <c r="I1941" s="32"/>
      <c r="J1941" s="32"/>
      <c r="K1941" s="35"/>
      <c r="L1941" s="32"/>
      <c r="M1941" s="32"/>
    </row>
    <row r="1942" customFormat="false" ht="15" hidden="false" customHeight="true" outlineLevel="0" collapsed="false">
      <c r="A1942" s="32"/>
      <c r="B1942" s="32"/>
      <c r="C1942" s="32"/>
      <c r="D1942" s="32"/>
      <c r="E1942" s="34" t="str">
        <f aca="false">IF($B1942="","",IF($B1942="OUT","Liters",IFERROR(INDEX(Setup!$F$3:$F$24,MATCH($C1942,Setup!$A$3:$A$24,0)),"")))</f>
        <v/>
      </c>
      <c r="F1942" s="28" t="str">
        <f aca="false">IF(OR($D1942="",$E1942=""),"",IFERROR($D1942*INDEX(Setup!$B$27:$B$44,MATCH($E1942,Setup!$A$27:$A$44,0)),"TBD"))</f>
        <v/>
      </c>
      <c r="G1942" s="32"/>
      <c r="H1942" s="32"/>
      <c r="I1942" s="32"/>
      <c r="J1942" s="32"/>
      <c r="K1942" s="35"/>
      <c r="L1942" s="32"/>
      <c r="M1942" s="32"/>
    </row>
    <row r="1943" customFormat="false" ht="15" hidden="false" customHeight="true" outlineLevel="0" collapsed="false">
      <c r="A1943" s="32"/>
      <c r="B1943" s="32"/>
      <c r="C1943" s="32"/>
      <c r="D1943" s="32"/>
      <c r="E1943" s="34" t="str">
        <f aca="false">IF($B1943="","",IF($B1943="OUT","Liters",IFERROR(INDEX(Setup!$F$3:$F$24,MATCH($C1943,Setup!$A$3:$A$24,0)),"")))</f>
        <v/>
      </c>
      <c r="F1943" s="28" t="str">
        <f aca="false">IF(OR($D1943="",$E1943=""),"",IFERROR($D1943*INDEX(Setup!$B$27:$B$44,MATCH($E1943,Setup!$A$27:$A$44,0)),"TBD"))</f>
        <v/>
      </c>
      <c r="G1943" s="32"/>
      <c r="H1943" s="32"/>
      <c r="I1943" s="32"/>
      <c r="J1943" s="32"/>
      <c r="K1943" s="35"/>
      <c r="L1943" s="32"/>
      <c r="M1943" s="32"/>
    </row>
    <row r="1944" customFormat="false" ht="15" hidden="false" customHeight="true" outlineLevel="0" collapsed="false">
      <c r="A1944" s="32"/>
      <c r="B1944" s="32"/>
      <c r="C1944" s="32"/>
      <c r="D1944" s="32"/>
      <c r="E1944" s="34" t="str">
        <f aca="false">IF($B1944="","",IF($B1944="OUT","Liters",IFERROR(INDEX(Setup!$F$3:$F$24,MATCH($C1944,Setup!$A$3:$A$24,0)),"")))</f>
        <v/>
      </c>
      <c r="F1944" s="28" t="str">
        <f aca="false">IF(OR($D1944="",$E1944=""),"",IFERROR($D1944*INDEX(Setup!$B$27:$B$44,MATCH($E1944,Setup!$A$27:$A$44,0)),"TBD"))</f>
        <v/>
      </c>
      <c r="G1944" s="32"/>
      <c r="H1944" s="32"/>
      <c r="I1944" s="32"/>
      <c r="J1944" s="32"/>
      <c r="K1944" s="35"/>
      <c r="L1944" s="32"/>
      <c r="M1944" s="32"/>
    </row>
    <row r="1945" customFormat="false" ht="15" hidden="false" customHeight="true" outlineLevel="0" collapsed="false">
      <c r="A1945" s="32"/>
      <c r="B1945" s="32"/>
      <c r="C1945" s="32"/>
      <c r="D1945" s="32"/>
      <c r="E1945" s="34" t="str">
        <f aca="false">IF($B1945="","",IF($B1945="OUT","Liters",IFERROR(INDEX(Setup!$F$3:$F$24,MATCH($C1945,Setup!$A$3:$A$24,0)),"")))</f>
        <v/>
      </c>
      <c r="F1945" s="28" t="str">
        <f aca="false">IF(OR($D1945="",$E1945=""),"",IFERROR($D1945*INDEX(Setup!$B$27:$B$44,MATCH($E1945,Setup!$A$27:$A$44,0)),"TBD"))</f>
        <v/>
      </c>
      <c r="G1945" s="32"/>
      <c r="H1945" s="32"/>
      <c r="I1945" s="32"/>
      <c r="J1945" s="32"/>
      <c r="K1945" s="35"/>
      <c r="L1945" s="32"/>
      <c r="M1945" s="32"/>
    </row>
    <row r="1946" customFormat="false" ht="15" hidden="false" customHeight="true" outlineLevel="0" collapsed="false">
      <c r="A1946" s="32"/>
      <c r="B1946" s="32"/>
      <c r="C1946" s="32"/>
      <c r="D1946" s="32"/>
      <c r="E1946" s="34" t="str">
        <f aca="false">IF($B1946="","",IF($B1946="OUT","Liters",IFERROR(INDEX(Setup!$F$3:$F$24,MATCH($C1946,Setup!$A$3:$A$24,0)),"")))</f>
        <v/>
      </c>
      <c r="F1946" s="28" t="str">
        <f aca="false">IF(OR($D1946="",$E1946=""),"",IFERROR($D1946*INDEX(Setup!$B$27:$B$44,MATCH($E1946,Setup!$A$27:$A$44,0)),"TBD"))</f>
        <v/>
      </c>
      <c r="G1946" s="32"/>
      <c r="H1946" s="32"/>
      <c r="I1946" s="32"/>
      <c r="J1946" s="32"/>
      <c r="K1946" s="35"/>
      <c r="L1946" s="32"/>
      <c r="M1946" s="32"/>
    </row>
    <row r="1947" customFormat="false" ht="15" hidden="false" customHeight="true" outlineLevel="0" collapsed="false">
      <c r="A1947" s="32"/>
      <c r="B1947" s="32"/>
      <c r="C1947" s="32"/>
      <c r="D1947" s="32"/>
      <c r="E1947" s="34" t="str">
        <f aca="false">IF($B1947="","",IF($B1947="OUT","Liters",IFERROR(INDEX(Setup!$F$3:$F$24,MATCH($C1947,Setup!$A$3:$A$24,0)),"")))</f>
        <v/>
      </c>
      <c r="F1947" s="28" t="str">
        <f aca="false">IF(OR($D1947="",$E1947=""),"",IFERROR($D1947*INDEX(Setup!$B$27:$B$44,MATCH($E1947,Setup!$A$27:$A$44,0)),"TBD"))</f>
        <v/>
      </c>
      <c r="G1947" s="32"/>
      <c r="H1947" s="32"/>
      <c r="I1947" s="32"/>
      <c r="J1947" s="32"/>
      <c r="K1947" s="35"/>
      <c r="L1947" s="32"/>
      <c r="M1947" s="32"/>
    </row>
    <row r="1948" customFormat="false" ht="15" hidden="false" customHeight="true" outlineLevel="0" collapsed="false">
      <c r="A1948" s="32"/>
      <c r="B1948" s="32"/>
      <c r="C1948" s="32"/>
      <c r="D1948" s="32"/>
      <c r="E1948" s="34" t="str">
        <f aca="false">IF($B1948="","",IF($B1948="OUT","Liters",IFERROR(INDEX(Setup!$F$3:$F$24,MATCH($C1948,Setup!$A$3:$A$24,0)),"")))</f>
        <v/>
      </c>
      <c r="F1948" s="28" t="str">
        <f aca="false">IF(OR($D1948="",$E1948=""),"",IFERROR($D1948*INDEX(Setup!$B$27:$B$44,MATCH($E1948,Setup!$A$27:$A$44,0)),"TBD"))</f>
        <v/>
      </c>
      <c r="G1948" s="32"/>
      <c r="H1948" s="32"/>
      <c r="I1948" s="32"/>
      <c r="J1948" s="32"/>
      <c r="K1948" s="35"/>
      <c r="L1948" s="32"/>
      <c r="M1948" s="32"/>
    </row>
    <row r="1949" customFormat="false" ht="15" hidden="false" customHeight="true" outlineLevel="0" collapsed="false">
      <c r="A1949" s="32"/>
      <c r="B1949" s="32"/>
      <c r="C1949" s="32"/>
      <c r="D1949" s="32"/>
      <c r="E1949" s="34" t="str">
        <f aca="false">IF($B1949="","",IF($B1949="OUT","Liters",IFERROR(INDEX(Setup!$F$3:$F$24,MATCH($C1949,Setup!$A$3:$A$24,0)),"")))</f>
        <v/>
      </c>
      <c r="F1949" s="28" t="str">
        <f aca="false">IF(OR($D1949="",$E1949=""),"",IFERROR($D1949*INDEX(Setup!$B$27:$B$44,MATCH($E1949,Setup!$A$27:$A$44,0)),"TBD"))</f>
        <v/>
      </c>
      <c r="G1949" s="32"/>
      <c r="H1949" s="32"/>
      <c r="I1949" s="32"/>
      <c r="J1949" s="32"/>
      <c r="K1949" s="35"/>
      <c r="L1949" s="32"/>
      <c r="M1949" s="32"/>
    </row>
    <row r="1950" customFormat="false" ht="15" hidden="false" customHeight="true" outlineLevel="0" collapsed="false">
      <c r="A1950" s="32"/>
      <c r="B1950" s="32"/>
      <c r="C1950" s="32"/>
      <c r="D1950" s="32"/>
      <c r="E1950" s="34" t="str">
        <f aca="false">IF($B1950="","",IF($B1950="OUT","Liters",IFERROR(INDEX(Setup!$F$3:$F$24,MATCH($C1950,Setup!$A$3:$A$24,0)),"")))</f>
        <v/>
      </c>
      <c r="F1950" s="28" t="str">
        <f aca="false">IF(OR($D1950="",$E1950=""),"",IFERROR($D1950*INDEX(Setup!$B$27:$B$44,MATCH($E1950,Setup!$A$27:$A$44,0)),"TBD"))</f>
        <v/>
      </c>
      <c r="G1950" s="32"/>
      <c r="H1950" s="32"/>
      <c r="I1950" s="32"/>
      <c r="J1950" s="32"/>
      <c r="K1950" s="35"/>
      <c r="L1950" s="32"/>
      <c r="M1950" s="32"/>
    </row>
    <row r="1951" customFormat="false" ht="15" hidden="false" customHeight="true" outlineLevel="0" collapsed="false">
      <c r="A1951" s="32"/>
      <c r="B1951" s="32"/>
      <c r="C1951" s="32"/>
      <c r="D1951" s="32"/>
      <c r="E1951" s="34" t="str">
        <f aca="false">IF($B1951="","",IF($B1951="OUT","Liters",IFERROR(INDEX(Setup!$F$3:$F$24,MATCH($C1951,Setup!$A$3:$A$24,0)),"")))</f>
        <v/>
      </c>
      <c r="F1951" s="28" t="str">
        <f aca="false">IF(OR($D1951="",$E1951=""),"",IFERROR($D1951*INDEX(Setup!$B$27:$B$44,MATCH($E1951,Setup!$A$27:$A$44,0)),"TBD"))</f>
        <v/>
      </c>
      <c r="G1951" s="32"/>
      <c r="H1951" s="32"/>
      <c r="I1951" s="32"/>
      <c r="J1951" s="32"/>
      <c r="K1951" s="35"/>
      <c r="L1951" s="32"/>
      <c r="M1951" s="32"/>
    </row>
    <row r="1952" customFormat="false" ht="15" hidden="false" customHeight="true" outlineLevel="0" collapsed="false">
      <c r="A1952" s="32"/>
      <c r="B1952" s="32"/>
      <c r="C1952" s="32"/>
      <c r="D1952" s="32"/>
      <c r="E1952" s="34" t="str">
        <f aca="false">IF($B1952="","",IF($B1952="OUT","Liters",IFERROR(INDEX(Setup!$F$3:$F$24,MATCH($C1952,Setup!$A$3:$A$24,0)),"")))</f>
        <v/>
      </c>
      <c r="F1952" s="28" t="str">
        <f aca="false">IF(OR($D1952="",$E1952=""),"",IFERROR($D1952*INDEX(Setup!$B$27:$B$44,MATCH($E1952,Setup!$A$27:$A$44,0)),"TBD"))</f>
        <v/>
      </c>
      <c r="G1952" s="32"/>
      <c r="H1952" s="32"/>
      <c r="I1952" s="32"/>
      <c r="J1952" s="32"/>
      <c r="K1952" s="35"/>
      <c r="L1952" s="32"/>
      <c r="M1952" s="32"/>
    </row>
    <row r="1953" customFormat="false" ht="15" hidden="false" customHeight="true" outlineLevel="0" collapsed="false">
      <c r="A1953" s="32"/>
      <c r="B1953" s="32"/>
      <c r="C1953" s="32"/>
      <c r="D1953" s="32"/>
      <c r="E1953" s="34" t="str">
        <f aca="false">IF($B1953="","",IF($B1953="OUT","Liters",IFERROR(INDEX(Setup!$F$3:$F$24,MATCH($C1953,Setup!$A$3:$A$24,0)),"")))</f>
        <v/>
      </c>
      <c r="F1953" s="28" t="str">
        <f aca="false">IF(OR($D1953="",$E1953=""),"",IFERROR($D1953*INDEX(Setup!$B$27:$B$44,MATCH($E1953,Setup!$A$27:$A$44,0)),"TBD"))</f>
        <v/>
      </c>
      <c r="G1953" s="32"/>
      <c r="H1953" s="32"/>
      <c r="I1953" s="32"/>
      <c r="J1953" s="32"/>
      <c r="K1953" s="35"/>
      <c r="L1953" s="32"/>
      <c r="M1953" s="32"/>
    </row>
    <row r="1954" customFormat="false" ht="15" hidden="false" customHeight="true" outlineLevel="0" collapsed="false">
      <c r="A1954" s="32"/>
      <c r="B1954" s="32"/>
      <c r="C1954" s="32"/>
      <c r="D1954" s="32"/>
      <c r="E1954" s="34" t="str">
        <f aca="false">IF($B1954="","",IF($B1954="OUT","Liters",IFERROR(INDEX(Setup!$F$3:$F$24,MATCH($C1954,Setup!$A$3:$A$24,0)),"")))</f>
        <v/>
      </c>
      <c r="F1954" s="28" t="str">
        <f aca="false">IF(OR($D1954="",$E1954=""),"",IFERROR($D1954*INDEX(Setup!$B$27:$B$44,MATCH($E1954,Setup!$A$27:$A$44,0)),"TBD"))</f>
        <v/>
      </c>
      <c r="G1954" s="32"/>
      <c r="H1954" s="32"/>
      <c r="I1954" s="32"/>
      <c r="J1954" s="32"/>
      <c r="K1954" s="35"/>
      <c r="L1954" s="32"/>
      <c r="M1954" s="32"/>
    </row>
    <row r="1955" customFormat="false" ht="15" hidden="false" customHeight="true" outlineLevel="0" collapsed="false">
      <c r="A1955" s="32"/>
      <c r="B1955" s="32"/>
      <c r="C1955" s="32"/>
      <c r="D1955" s="32"/>
      <c r="E1955" s="34" t="str">
        <f aca="false">IF($B1955="","",IF($B1955="OUT","Liters",IFERROR(INDEX(Setup!$F$3:$F$24,MATCH($C1955,Setup!$A$3:$A$24,0)),"")))</f>
        <v/>
      </c>
      <c r="F1955" s="28" t="str">
        <f aca="false">IF(OR($D1955="",$E1955=""),"",IFERROR($D1955*INDEX(Setup!$B$27:$B$44,MATCH($E1955,Setup!$A$27:$A$44,0)),"TBD"))</f>
        <v/>
      </c>
      <c r="G1955" s="32"/>
      <c r="H1955" s="32"/>
      <c r="I1955" s="32"/>
      <c r="J1955" s="32"/>
      <c r="K1955" s="35"/>
      <c r="L1955" s="32"/>
      <c r="M1955" s="32"/>
    </row>
    <row r="1956" customFormat="false" ht="15" hidden="false" customHeight="true" outlineLevel="0" collapsed="false">
      <c r="A1956" s="32"/>
      <c r="B1956" s="32"/>
      <c r="C1956" s="32"/>
      <c r="D1956" s="32"/>
      <c r="E1956" s="34" t="str">
        <f aca="false">IF($B1956="","",IF($B1956="OUT","Liters",IFERROR(INDEX(Setup!$F$3:$F$24,MATCH($C1956,Setup!$A$3:$A$24,0)),"")))</f>
        <v/>
      </c>
      <c r="F1956" s="28" t="str">
        <f aca="false">IF(OR($D1956="",$E1956=""),"",IFERROR($D1956*INDEX(Setup!$B$27:$B$44,MATCH($E1956,Setup!$A$27:$A$44,0)),"TBD"))</f>
        <v/>
      </c>
      <c r="G1956" s="32"/>
      <c r="H1956" s="32"/>
      <c r="I1956" s="32"/>
      <c r="J1956" s="32"/>
      <c r="K1956" s="35"/>
      <c r="L1956" s="32"/>
      <c r="M1956" s="32"/>
    </row>
    <row r="1957" customFormat="false" ht="15" hidden="false" customHeight="true" outlineLevel="0" collapsed="false">
      <c r="A1957" s="32"/>
      <c r="B1957" s="32"/>
      <c r="C1957" s="32"/>
      <c r="D1957" s="32"/>
      <c r="E1957" s="34" t="str">
        <f aca="false">IF($B1957="","",IF($B1957="OUT","Liters",IFERROR(INDEX(Setup!$F$3:$F$24,MATCH($C1957,Setup!$A$3:$A$24,0)),"")))</f>
        <v/>
      </c>
      <c r="F1957" s="28" t="str">
        <f aca="false">IF(OR($D1957="",$E1957=""),"",IFERROR($D1957*INDEX(Setup!$B$27:$B$44,MATCH($E1957,Setup!$A$27:$A$44,0)),"TBD"))</f>
        <v/>
      </c>
      <c r="G1957" s="32"/>
      <c r="H1957" s="32"/>
      <c r="I1957" s="32"/>
      <c r="J1957" s="32"/>
      <c r="K1957" s="35"/>
      <c r="L1957" s="32"/>
      <c r="M1957" s="32"/>
    </row>
    <row r="1958" customFormat="false" ht="15" hidden="false" customHeight="true" outlineLevel="0" collapsed="false">
      <c r="A1958" s="32"/>
      <c r="B1958" s="32"/>
      <c r="C1958" s="32"/>
      <c r="D1958" s="32"/>
      <c r="E1958" s="34" t="str">
        <f aca="false">IF($B1958="","",IF($B1958="OUT","Liters",IFERROR(INDEX(Setup!$F$3:$F$24,MATCH($C1958,Setup!$A$3:$A$24,0)),"")))</f>
        <v/>
      </c>
      <c r="F1958" s="28" t="str">
        <f aca="false">IF(OR($D1958="",$E1958=""),"",IFERROR($D1958*INDEX(Setup!$B$27:$B$44,MATCH($E1958,Setup!$A$27:$A$44,0)),"TBD"))</f>
        <v/>
      </c>
      <c r="G1958" s="32"/>
      <c r="H1958" s="32"/>
      <c r="I1958" s="32"/>
      <c r="J1958" s="32"/>
      <c r="K1958" s="35"/>
      <c r="L1958" s="32"/>
      <c r="M1958" s="32"/>
    </row>
    <row r="1959" customFormat="false" ht="15" hidden="false" customHeight="true" outlineLevel="0" collapsed="false">
      <c r="A1959" s="32"/>
      <c r="B1959" s="32"/>
      <c r="C1959" s="32"/>
      <c r="D1959" s="32"/>
      <c r="E1959" s="34" t="str">
        <f aca="false">IF($B1959="","",IF($B1959="OUT","Liters",IFERROR(INDEX(Setup!$F$3:$F$24,MATCH($C1959,Setup!$A$3:$A$24,0)),"")))</f>
        <v/>
      </c>
      <c r="F1959" s="28" t="str">
        <f aca="false">IF(OR($D1959="",$E1959=""),"",IFERROR($D1959*INDEX(Setup!$B$27:$B$44,MATCH($E1959,Setup!$A$27:$A$44,0)),"TBD"))</f>
        <v/>
      </c>
      <c r="G1959" s="32"/>
      <c r="H1959" s="32"/>
      <c r="I1959" s="32"/>
      <c r="J1959" s="32"/>
      <c r="K1959" s="35"/>
      <c r="L1959" s="32"/>
      <c r="M1959" s="32"/>
    </row>
    <row r="1960" customFormat="false" ht="15" hidden="false" customHeight="true" outlineLevel="0" collapsed="false">
      <c r="A1960" s="32"/>
      <c r="B1960" s="32"/>
      <c r="C1960" s="32"/>
      <c r="D1960" s="32"/>
      <c r="E1960" s="34" t="str">
        <f aca="false">IF($B1960="","",IF($B1960="OUT","Liters",IFERROR(INDEX(Setup!$F$3:$F$24,MATCH($C1960,Setup!$A$3:$A$24,0)),"")))</f>
        <v/>
      </c>
      <c r="F1960" s="28" t="str">
        <f aca="false">IF(OR($D1960="",$E1960=""),"",IFERROR($D1960*INDEX(Setup!$B$27:$B$44,MATCH($E1960,Setup!$A$27:$A$44,0)),"TBD"))</f>
        <v/>
      </c>
      <c r="G1960" s="32"/>
      <c r="H1960" s="32"/>
      <c r="I1960" s="32"/>
      <c r="J1960" s="32"/>
      <c r="K1960" s="35"/>
      <c r="L1960" s="32"/>
      <c r="M1960" s="32"/>
    </row>
    <row r="1961" customFormat="false" ht="15" hidden="false" customHeight="true" outlineLevel="0" collapsed="false">
      <c r="A1961" s="32"/>
      <c r="B1961" s="32"/>
      <c r="C1961" s="32"/>
      <c r="D1961" s="32"/>
      <c r="E1961" s="34" t="str">
        <f aca="false">IF($B1961="","",IF($B1961="OUT","Liters",IFERROR(INDEX(Setup!$F$3:$F$24,MATCH($C1961,Setup!$A$3:$A$24,0)),"")))</f>
        <v/>
      </c>
      <c r="F1961" s="28" t="str">
        <f aca="false">IF(OR($D1961="",$E1961=""),"",IFERROR($D1961*INDEX(Setup!$B$27:$B$44,MATCH($E1961,Setup!$A$27:$A$44,0)),"TBD"))</f>
        <v/>
      </c>
      <c r="G1961" s="32"/>
      <c r="H1961" s="32"/>
      <c r="I1961" s="32"/>
      <c r="J1961" s="32"/>
      <c r="K1961" s="35"/>
      <c r="L1961" s="32"/>
      <c r="M1961" s="32"/>
    </row>
    <row r="1962" customFormat="false" ht="15" hidden="false" customHeight="true" outlineLevel="0" collapsed="false">
      <c r="A1962" s="32"/>
      <c r="B1962" s="32"/>
      <c r="C1962" s="32"/>
      <c r="D1962" s="32"/>
      <c r="E1962" s="34" t="str">
        <f aca="false">IF($B1962="","",IF($B1962="OUT","Liters",IFERROR(INDEX(Setup!$F$3:$F$24,MATCH($C1962,Setup!$A$3:$A$24,0)),"")))</f>
        <v/>
      </c>
      <c r="F1962" s="28" t="str">
        <f aca="false">IF(OR($D1962="",$E1962=""),"",IFERROR($D1962*INDEX(Setup!$B$27:$B$44,MATCH($E1962,Setup!$A$27:$A$44,0)),"TBD"))</f>
        <v/>
      </c>
      <c r="G1962" s="32"/>
      <c r="H1962" s="32"/>
      <c r="I1962" s="32"/>
      <c r="J1962" s="32"/>
      <c r="K1962" s="35"/>
      <c r="L1962" s="32"/>
      <c r="M1962" s="32"/>
    </row>
    <row r="1963" customFormat="false" ht="15" hidden="false" customHeight="true" outlineLevel="0" collapsed="false">
      <c r="A1963" s="32"/>
      <c r="B1963" s="32"/>
      <c r="C1963" s="32"/>
      <c r="D1963" s="32"/>
      <c r="E1963" s="34" t="str">
        <f aca="false">IF($B1963="","",IF($B1963="OUT","Liters",IFERROR(INDEX(Setup!$F$3:$F$24,MATCH($C1963,Setup!$A$3:$A$24,0)),"")))</f>
        <v/>
      </c>
      <c r="F1963" s="28" t="str">
        <f aca="false">IF(OR($D1963="",$E1963=""),"",IFERROR($D1963*INDEX(Setup!$B$27:$B$44,MATCH($E1963,Setup!$A$27:$A$44,0)),"TBD"))</f>
        <v/>
      </c>
      <c r="G1963" s="32"/>
      <c r="H1963" s="32"/>
      <c r="I1963" s="32"/>
      <c r="J1963" s="32"/>
      <c r="K1963" s="35"/>
      <c r="L1963" s="32"/>
      <c r="M1963" s="32"/>
    </row>
    <row r="1964" customFormat="false" ht="15" hidden="false" customHeight="true" outlineLevel="0" collapsed="false">
      <c r="A1964" s="32"/>
      <c r="B1964" s="32"/>
      <c r="C1964" s="32"/>
      <c r="D1964" s="32"/>
      <c r="E1964" s="34" t="str">
        <f aca="false">IF($B1964="","",IF($B1964="OUT","Liters",IFERROR(INDEX(Setup!$F$3:$F$24,MATCH($C1964,Setup!$A$3:$A$24,0)),"")))</f>
        <v/>
      </c>
      <c r="F1964" s="28" t="str">
        <f aca="false">IF(OR($D1964="",$E1964=""),"",IFERROR($D1964*INDEX(Setup!$B$27:$B$44,MATCH($E1964,Setup!$A$27:$A$44,0)),"TBD"))</f>
        <v/>
      </c>
      <c r="G1964" s="32"/>
      <c r="H1964" s="32"/>
      <c r="I1964" s="32"/>
      <c r="J1964" s="32"/>
      <c r="K1964" s="35"/>
      <c r="L1964" s="32"/>
      <c r="M1964" s="32"/>
    </row>
    <row r="1965" customFormat="false" ht="15" hidden="false" customHeight="true" outlineLevel="0" collapsed="false">
      <c r="A1965" s="32"/>
      <c r="B1965" s="32"/>
      <c r="C1965" s="32"/>
      <c r="D1965" s="32"/>
      <c r="E1965" s="34" t="str">
        <f aca="false">IF($B1965="","",IF($B1965="OUT","Liters",IFERROR(INDEX(Setup!$F$3:$F$24,MATCH($C1965,Setup!$A$3:$A$24,0)),"")))</f>
        <v/>
      </c>
      <c r="F1965" s="28" t="str">
        <f aca="false">IF(OR($D1965="",$E1965=""),"",IFERROR($D1965*INDEX(Setup!$B$27:$B$44,MATCH($E1965,Setup!$A$27:$A$44,0)),"TBD"))</f>
        <v/>
      </c>
      <c r="G1965" s="32"/>
      <c r="H1965" s="32"/>
      <c r="I1965" s="32"/>
      <c r="J1965" s="32"/>
      <c r="K1965" s="35"/>
      <c r="L1965" s="32"/>
      <c r="M1965" s="32"/>
    </row>
    <row r="1966" customFormat="false" ht="15" hidden="false" customHeight="true" outlineLevel="0" collapsed="false">
      <c r="A1966" s="32"/>
      <c r="B1966" s="32"/>
      <c r="C1966" s="32"/>
      <c r="D1966" s="32"/>
      <c r="E1966" s="34" t="str">
        <f aca="false">IF($B1966="","",IF($B1966="OUT","Liters",IFERROR(INDEX(Setup!$F$3:$F$24,MATCH($C1966,Setup!$A$3:$A$24,0)),"")))</f>
        <v/>
      </c>
      <c r="F1966" s="28" t="str">
        <f aca="false">IF(OR($D1966="",$E1966=""),"",IFERROR($D1966*INDEX(Setup!$B$27:$B$44,MATCH($E1966,Setup!$A$27:$A$44,0)),"TBD"))</f>
        <v/>
      </c>
      <c r="G1966" s="32"/>
      <c r="H1966" s="32"/>
      <c r="I1966" s="32"/>
      <c r="J1966" s="32"/>
      <c r="K1966" s="35"/>
      <c r="L1966" s="32"/>
      <c r="M1966" s="32"/>
    </row>
    <row r="1967" customFormat="false" ht="15" hidden="false" customHeight="true" outlineLevel="0" collapsed="false">
      <c r="A1967" s="32"/>
      <c r="B1967" s="32"/>
      <c r="C1967" s="32"/>
      <c r="D1967" s="32"/>
      <c r="E1967" s="34" t="str">
        <f aca="false">IF($B1967="","",IF($B1967="OUT","Liters",IFERROR(INDEX(Setup!$F$3:$F$24,MATCH($C1967,Setup!$A$3:$A$24,0)),"")))</f>
        <v/>
      </c>
      <c r="F1967" s="28" t="str">
        <f aca="false">IF(OR($D1967="",$E1967=""),"",IFERROR($D1967*INDEX(Setup!$B$27:$B$44,MATCH($E1967,Setup!$A$27:$A$44,0)),"TBD"))</f>
        <v/>
      </c>
      <c r="G1967" s="32"/>
      <c r="H1967" s="32"/>
      <c r="I1967" s="32"/>
      <c r="J1967" s="32"/>
      <c r="K1967" s="35"/>
      <c r="L1967" s="32"/>
      <c r="M1967" s="32"/>
    </row>
    <row r="1968" customFormat="false" ht="15" hidden="false" customHeight="true" outlineLevel="0" collapsed="false">
      <c r="A1968" s="32"/>
      <c r="B1968" s="32"/>
      <c r="C1968" s="32"/>
      <c r="D1968" s="32"/>
      <c r="E1968" s="34" t="str">
        <f aca="false">IF($B1968="","",IF($B1968="OUT","Liters",IFERROR(INDEX(Setup!$F$3:$F$24,MATCH($C1968,Setup!$A$3:$A$24,0)),"")))</f>
        <v/>
      </c>
      <c r="F1968" s="28" t="str">
        <f aca="false">IF(OR($D1968="",$E1968=""),"",IFERROR($D1968*INDEX(Setup!$B$27:$B$44,MATCH($E1968,Setup!$A$27:$A$44,0)),"TBD"))</f>
        <v/>
      </c>
      <c r="G1968" s="32"/>
      <c r="H1968" s="32"/>
      <c r="I1968" s="32"/>
      <c r="J1968" s="32"/>
      <c r="K1968" s="35"/>
      <c r="L1968" s="32"/>
      <c r="M1968" s="32"/>
    </row>
    <row r="1969" customFormat="false" ht="15" hidden="false" customHeight="true" outlineLevel="0" collapsed="false">
      <c r="A1969" s="32"/>
      <c r="B1969" s="32"/>
      <c r="C1969" s="32"/>
      <c r="D1969" s="32"/>
      <c r="E1969" s="34" t="str">
        <f aca="false">IF($B1969="","",IF($B1969="OUT","Liters",IFERROR(INDEX(Setup!$F$3:$F$24,MATCH($C1969,Setup!$A$3:$A$24,0)),"")))</f>
        <v/>
      </c>
      <c r="F1969" s="28" t="str">
        <f aca="false">IF(OR($D1969="",$E1969=""),"",IFERROR($D1969*INDEX(Setup!$B$27:$B$44,MATCH($E1969,Setup!$A$27:$A$44,0)),"TBD"))</f>
        <v/>
      </c>
      <c r="G1969" s="32"/>
      <c r="H1969" s="32"/>
      <c r="I1969" s="32"/>
      <c r="J1969" s="32"/>
      <c r="K1969" s="35"/>
      <c r="L1969" s="32"/>
      <c r="M1969" s="32"/>
    </row>
    <row r="1970" customFormat="false" ht="15" hidden="false" customHeight="true" outlineLevel="0" collapsed="false">
      <c r="A1970" s="32"/>
      <c r="B1970" s="32"/>
      <c r="C1970" s="32"/>
      <c r="D1970" s="32"/>
      <c r="E1970" s="34" t="str">
        <f aca="false">IF($B1970="","",IF($B1970="OUT","Liters",IFERROR(INDEX(Setup!$F$3:$F$24,MATCH($C1970,Setup!$A$3:$A$24,0)),"")))</f>
        <v/>
      </c>
      <c r="F1970" s="28" t="str">
        <f aca="false">IF(OR($D1970="",$E1970=""),"",IFERROR($D1970*INDEX(Setup!$B$27:$B$44,MATCH($E1970,Setup!$A$27:$A$44,0)),"TBD"))</f>
        <v/>
      </c>
      <c r="G1970" s="32"/>
      <c r="H1970" s="32"/>
      <c r="I1970" s="32"/>
      <c r="J1970" s="32"/>
      <c r="K1970" s="35"/>
      <c r="L1970" s="32"/>
      <c r="M1970" s="32"/>
    </row>
    <row r="1971" customFormat="false" ht="15" hidden="false" customHeight="true" outlineLevel="0" collapsed="false">
      <c r="A1971" s="32"/>
      <c r="B1971" s="32"/>
      <c r="C1971" s="32"/>
      <c r="D1971" s="32"/>
      <c r="E1971" s="34" t="str">
        <f aca="false">IF($B1971="","",IF($B1971="OUT","Liters",IFERROR(INDEX(Setup!$F$3:$F$24,MATCH($C1971,Setup!$A$3:$A$24,0)),"")))</f>
        <v/>
      </c>
      <c r="F1971" s="28" t="str">
        <f aca="false">IF(OR($D1971="",$E1971=""),"",IFERROR($D1971*INDEX(Setup!$B$27:$B$44,MATCH($E1971,Setup!$A$27:$A$44,0)),"TBD"))</f>
        <v/>
      </c>
      <c r="G1971" s="32"/>
      <c r="H1971" s="32"/>
      <c r="I1971" s="32"/>
      <c r="J1971" s="32"/>
      <c r="K1971" s="35"/>
      <c r="L1971" s="32"/>
      <c r="M1971" s="32"/>
    </row>
    <row r="1972" customFormat="false" ht="15" hidden="false" customHeight="true" outlineLevel="0" collapsed="false">
      <c r="A1972" s="32"/>
      <c r="B1972" s="32"/>
      <c r="C1972" s="32"/>
      <c r="D1972" s="32"/>
      <c r="E1972" s="34" t="str">
        <f aca="false">IF($B1972="","",IF($B1972="OUT","Liters",IFERROR(INDEX(Setup!$F$3:$F$24,MATCH($C1972,Setup!$A$3:$A$24,0)),"")))</f>
        <v/>
      </c>
      <c r="F1972" s="28" t="str">
        <f aca="false">IF(OR($D1972="",$E1972=""),"",IFERROR($D1972*INDEX(Setup!$B$27:$B$44,MATCH($E1972,Setup!$A$27:$A$44,0)),"TBD"))</f>
        <v/>
      </c>
      <c r="G1972" s="32"/>
      <c r="H1972" s="32"/>
      <c r="I1972" s="32"/>
      <c r="J1972" s="32"/>
      <c r="K1972" s="35"/>
      <c r="L1972" s="32"/>
      <c r="M1972" s="32"/>
    </row>
    <row r="1973" customFormat="false" ht="15" hidden="false" customHeight="true" outlineLevel="0" collapsed="false">
      <c r="A1973" s="32"/>
      <c r="B1973" s="32"/>
      <c r="C1973" s="32"/>
      <c r="D1973" s="32"/>
      <c r="E1973" s="34" t="str">
        <f aca="false">IF($B1973="","",IF($B1973="OUT","Liters",IFERROR(INDEX(Setup!$F$3:$F$24,MATCH($C1973,Setup!$A$3:$A$24,0)),"")))</f>
        <v/>
      </c>
      <c r="F1973" s="28" t="str">
        <f aca="false">IF(OR($D1973="",$E1973=""),"",IFERROR($D1973*INDEX(Setup!$B$27:$B$44,MATCH($E1973,Setup!$A$27:$A$44,0)),"TBD"))</f>
        <v/>
      </c>
      <c r="G1973" s="32"/>
      <c r="H1973" s="32"/>
      <c r="I1973" s="32"/>
      <c r="J1973" s="32"/>
      <c r="K1973" s="35"/>
      <c r="L1973" s="32"/>
      <c r="M1973" s="32"/>
    </row>
    <row r="1974" customFormat="false" ht="15" hidden="false" customHeight="true" outlineLevel="0" collapsed="false">
      <c r="A1974" s="32"/>
      <c r="B1974" s="32"/>
      <c r="C1974" s="32"/>
      <c r="D1974" s="32"/>
      <c r="E1974" s="34" t="str">
        <f aca="false">IF($B1974="","",IF($B1974="OUT","Liters",IFERROR(INDEX(Setup!$F$3:$F$24,MATCH($C1974,Setup!$A$3:$A$24,0)),"")))</f>
        <v/>
      </c>
      <c r="F1974" s="28" t="str">
        <f aca="false">IF(OR($D1974="",$E1974=""),"",IFERROR($D1974*INDEX(Setup!$B$27:$B$44,MATCH($E1974,Setup!$A$27:$A$44,0)),"TBD"))</f>
        <v/>
      </c>
      <c r="G1974" s="32"/>
      <c r="H1974" s="32"/>
      <c r="I1974" s="32"/>
      <c r="J1974" s="32"/>
      <c r="K1974" s="35"/>
      <c r="L1974" s="32"/>
      <c r="M1974" s="32"/>
    </row>
    <row r="1975" customFormat="false" ht="15" hidden="false" customHeight="true" outlineLevel="0" collapsed="false">
      <c r="A1975" s="32"/>
      <c r="B1975" s="32"/>
      <c r="C1975" s="32"/>
      <c r="D1975" s="32"/>
      <c r="E1975" s="34" t="str">
        <f aca="false">IF($B1975="","",IF($B1975="OUT","Liters",IFERROR(INDEX(Setup!$F$3:$F$24,MATCH($C1975,Setup!$A$3:$A$24,0)),"")))</f>
        <v/>
      </c>
      <c r="F1975" s="28" t="str">
        <f aca="false">IF(OR($D1975="",$E1975=""),"",IFERROR($D1975*INDEX(Setup!$B$27:$B$44,MATCH($E1975,Setup!$A$27:$A$44,0)),"TBD"))</f>
        <v/>
      </c>
      <c r="G1975" s="32"/>
      <c r="H1975" s="32"/>
      <c r="I1975" s="32"/>
      <c r="J1975" s="32"/>
      <c r="K1975" s="35"/>
      <c r="L1975" s="32"/>
      <c r="M1975" s="32"/>
    </row>
    <row r="1976" customFormat="false" ht="15" hidden="false" customHeight="true" outlineLevel="0" collapsed="false">
      <c r="A1976" s="32"/>
      <c r="B1976" s="32"/>
      <c r="C1976" s="32"/>
      <c r="D1976" s="32"/>
      <c r="E1976" s="34" t="str">
        <f aca="false">IF($B1976="","",IF($B1976="OUT","Liters",IFERROR(INDEX(Setup!$F$3:$F$24,MATCH($C1976,Setup!$A$3:$A$24,0)),"")))</f>
        <v/>
      </c>
      <c r="F1976" s="28" t="str">
        <f aca="false">IF(OR($D1976="",$E1976=""),"",IFERROR($D1976*INDEX(Setup!$B$27:$B$44,MATCH($E1976,Setup!$A$27:$A$44,0)),"TBD"))</f>
        <v/>
      </c>
      <c r="G1976" s="32"/>
      <c r="H1976" s="32"/>
      <c r="I1976" s="32"/>
      <c r="J1976" s="32"/>
      <c r="K1976" s="35"/>
      <c r="L1976" s="32"/>
      <c r="M1976" s="32"/>
    </row>
    <row r="1977" customFormat="false" ht="15" hidden="false" customHeight="true" outlineLevel="0" collapsed="false">
      <c r="A1977" s="32"/>
      <c r="B1977" s="32"/>
      <c r="C1977" s="32"/>
      <c r="D1977" s="32"/>
      <c r="E1977" s="34" t="str">
        <f aca="false">IF($B1977="","",IF($B1977="OUT","Liters",IFERROR(INDEX(Setup!$F$3:$F$24,MATCH($C1977,Setup!$A$3:$A$24,0)),"")))</f>
        <v/>
      </c>
      <c r="F1977" s="28" t="str">
        <f aca="false">IF(OR($D1977="",$E1977=""),"",IFERROR($D1977*INDEX(Setup!$B$27:$B$44,MATCH($E1977,Setup!$A$27:$A$44,0)),"TBD"))</f>
        <v/>
      </c>
      <c r="G1977" s="32"/>
      <c r="H1977" s="32"/>
      <c r="I1977" s="32"/>
      <c r="J1977" s="32"/>
      <c r="K1977" s="35"/>
      <c r="L1977" s="32"/>
      <c r="M1977" s="32"/>
    </row>
    <row r="1978" customFormat="false" ht="15" hidden="false" customHeight="true" outlineLevel="0" collapsed="false">
      <c r="A1978" s="32"/>
      <c r="B1978" s="32"/>
      <c r="C1978" s="32"/>
      <c r="D1978" s="32"/>
      <c r="E1978" s="34" t="str">
        <f aca="false">IF($B1978="","",IF($B1978="OUT","Liters",IFERROR(INDEX(Setup!$F$3:$F$24,MATCH($C1978,Setup!$A$3:$A$24,0)),"")))</f>
        <v/>
      </c>
      <c r="F1978" s="28" t="str">
        <f aca="false">IF(OR($D1978="",$E1978=""),"",IFERROR($D1978*INDEX(Setup!$B$27:$B$44,MATCH($E1978,Setup!$A$27:$A$44,0)),"TBD"))</f>
        <v/>
      </c>
      <c r="G1978" s="32"/>
      <c r="H1978" s="32"/>
      <c r="I1978" s="32"/>
      <c r="J1978" s="32"/>
      <c r="K1978" s="35"/>
      <c r="L1978" s="32"/>
      <c r="M1978" s="32"/>
    </row>
    <row r="1979" customFormat="false" ht="15" hidden="false" customHeight="true" outlineLevel="0" collapsed="false">
      <c r="A1979" s="32"/>
      <c r="B1979" s="32"/>
      <c r="C1979" s="32"/>
      <c r="D1979" s="32"/>
      <c r="E1979" s="34" t="str">
        <f aca="false">IF($B1979="","",IF($B1979="OUT","Liters",IFERROR(INDEX(Setup!$F$3:$F$24,MATCH($C1979,Setup!$A$3:$A$24,0)),"")))</f>
        <v/>
      </c>
      <c r="F1979" s="28" t="str">
        <f aca="false">IF(OR($D1979="",$E1979=""),"",IFERROR($D1979*INDEX(Setup!$B$27:$B$44,MATCH($E1979,Setup!$A$27:$A$44,0)),"TBD"))</f>
        <v/>
      </c>
      <c r="G1979" s="32"/>
      <c r="H1979" s="32"/>
      <c r="I1979" s="32"/>
      <c r="J1979" s="32"/>
      <c r="K1979" s="35"/>
      <c r="L1979" s="32"/>
      <c r="M1979" s="32"/>
    </row>
    <row r="1980" customFormat="false" ht="15" hidden="false" customHeight="true" outlineLevel="0" collapsed="false">
      <c r="A1980" s="32"/>
      <c r="B1980" s="32"/>
      <c r="C1980" s="32"/>
      <c r="D1980" s="32"/>
      <c r="E1980" s="34" t="str">
        <f aca="false">IF($B1980="","",IF($B1980="OUT","Liters",IFERROR(INDEX(Setup!$F$3:$F$24,MATCH($C1980,Setup!$A$3:$A$24,0)),"")))</f>
        <v/>
      </c>
      <c r="F1980" s="28" t="str">
        <f aca="false">IF(OR($D1980="",$E1980=""),"",IFERROR($D1980*INDEX(Setup!$B$27:$B$44,MATCH($E1980,Setup!$A$27:$A$44,0)),"TBD"))</f>
        <v/>
      </c>
      <c r="G1980" s="32"/>
      <c r="H1980" s="32"/>
      <c r="I1980" s="32"/>
      <c r="J1980" s="32"/>
      <c r="K1980" s="35"/>
      <c r="L1980" s="32"/>
      <c r="M1980" s="32"/>
    </row>
    <row r="1981" customFormat="false" ht="15" hidden="false" customHeight="true" outlineLevel="0" collapsed="false">
      <c r="A1981" s="32"/>
      <c r="B1981" s="32"/>
      <c r="C1981" s="32"/>
      <c r="D1981" s="32"/>
      <c r="E1981" s="34" t="str">
        <f aca="false">IF($B1981="","",IF($B1981="OUT","Liters",IFERROR(INDEX(Setup!$F$3:$F$24,MATCH($C1981,Setup!$A$3:$A$24,0)),"")))</f>
        <v/>
      </c>
      <c r="F1981" s="28" t="str">
        <f aca="false">IF(OR($D1981="",$E1981=""),"",IFERROR($D1981*INDEX(Setup!$B$27:$B$44,MATCH($E1981,Setup!$A$27:$A$44,0)),"TBD"))</f>
        <v/>
      </c>
      <c r="G1981" s="32"/>
      <c r="H1981" s="32"/>
      <c r="I1981" s="32"/>
      <c r="J1981" s="32"/>
      <c r="K1981" s="35"/>
      <c r="L1981" s="32"/>
      <c r="M1981" s="32"/>
    </row>
    <row r="1982" customFormat="false" ht="15" hidden="false" customHeight="true" outlineLevel="0" collapsed="false">
      <c r="A1982" s="32"/>
      <c r="B1982" s="32"/>
      <c r="C1982" s="32"/>
      <c r="D1982" s="32"/>
      <c r="E1982" s="34" t="str">
        <f aca="false">IF($B1982="","",IF($B1982="OUT","Liters",IFERROR(INDEX(Setup!$F$3:$F$24,MATCH($C1982,Setup!$A$3:$A$24,0)),"")))</f>
        <v/>
      </c>
      <c r="F1982" s="28" t="str">
        <f aca="false">IF(OR($D1982="",$E1982=""),"",IFERROR($D1982*INDEX(Setup!$B$27:$B$44,MATCH($E1982,Setup!$A$27:$A$44,0)),"TBD"))</f>
        <v/>
      </c>
      <c r="G1982" s="32"/>
      <c r="H1982" s="32"/>
      <c r="I1982" s="32"/>
      <c r="J1982" s="32"/>
      <c r="K1982" s="35"/>
      <c r="L1982" s="32"/>
      <c r="M1982" s="32"/>
    </row>
    <row r="1983" customFormat="false" ht="15" hidden="false" customHeight="true" outlineLevel="0" collapsed="false">
      <c r="A1983" s="32"/>
      <c r="B1983" s="32"/>
      <c r="C1983" s="32"/>
      <c r="D1983" s="32"/>
      <c r="E1983" s="34" t="str">
        <f aca="false">IF($B1983="","",IF($B1983="OUT","Liters",IFERROR(INDEX(Setup!$F$3:$F$24,MATCH($C1983,Setup!$A$3:$A$24,0)),"")))</f>
        <v/>
      </c>
      <c r="F1983" s="28" t="str">
        <f aca="false">IF(OR($D1983="",$E1983=""),"",IFERROR($D1983*INDEX(Setup!$B$27:$B$44,MATCH($E1983,Setup!$A$27:$A$44,0)),"TBD"))</f>
        <v/>
      </c>
      <c r="G1983" s="32"/>
      <c r="H1983" s="32"/>
      <c r="I1983" s="32"/>
      <c r="J1983" s="32"/>
      <c r="K1983" s="35"/>
      <c r="L1983" s="32"/>
      <c r="M1983" s="32"/>
    </row>
    <row r="1984" customFormat="false" ht="15" hidden="false" customHeight="true" outlineLevel="0" collapsed="false">
      <c r="A1984" s="32"/>
      <c r="B1984" s="32"/>
      <c r="C1984" s="32"/>
      <c r="D1984" s="32"/>
      <c r="E1984" s="34" t="str">
        <f aca="false">IF($B1984="","",IF($B1984="OUT","Liters",IFERROR(INDEX(Setup!$F$3:$F$24,MATCH($C1984,Setup!$A$3:$A$24,0)),"")))</f>
        <v/>
      </c>
      <c r="F1984" s="28" t="str">
        <f aca="false">IF(OR($D1984="",$E1984=""),"",IFERROR($D1984*INDEX(Setup!$B$27:$B$44,MATCH($E1984,Setup!$A$27:$A$44,0)),"TBD"))</f>
        <v/>
      </c>
      <c r="G1984" s="32"/>
      <c r="H1984" s="32"/>
      <c r="I1984" s="32"/>
      <c r="J1984" s="32"/>
      <c r="K1984" s="35"/>
      <c r="L1984" s="32"/>
      <c r="M1984" s="32"/>
    </row>
    <row r="1985" customFormat="false" ht="15" hidden="false" customHeight="true" outlineLevel="0" collapsed="false">
      <c r="A1985" s="32"/>
      <c r="B1985" s="32"/>
      <c r="C1985" s="32"/>
      <c r="D1985" s="32"/>
      <c r="E1985" s="34" t="str">
        <f aca="false">IF($B1985="","",IF($B1985="OUT","Liters",IFERROR(INDEX(Setup!$F$3:$F$24,MATCH($C1985,Setup!$A$3:$A$24,0)),"")))</f>
        <v/>
      </c>
      <c r="F1985" s="28" t="str">
        <f aca="false">IF(OR($D1985="",$E1985=""),"",IFERROR($D1985*INDEX(Setup!$B$27:$B$44,MATCH($E1985,Setup!$A$27:$A$44,0)),"TBD"))</f>
        <v/>
      </c>
      <c r="G1985" s="32"/>
      <c r="H1985" s="32"/>
      <c r="I1985" s="32"/>
      <c r="J1985" s="32"/>
      <c r="K1985" s="35"/>
      <c r="L1985" s="32"/>
      <c r="M1985" s="32"/>
    </row>
    <row r="1986" customFormat="false" ht="15" hidden="false" customHeight="true" outlineLevel="0" collapsed="false">
      <c r="A1986" s="32"/>
      <c r="B1986" s="32"/>
      <c r="C1986" s="32"/>
      <c r="D1986" s="32"/>
      <c r="E1986" s="34" t="str">
        <f aca="false">IF($B1986="","",IF($B1986="OUT","Liters",IFERROR(INDEX(Setup!$F$3:$F$24,MATCH($C1986,Setup!$A$3:$A$24,0)),"")))</f>
        <v/>
      </c>
      <c r="F1986" s="28" t="str">
        <f aca="false">IF(OR($D1986="",$E1986=""),"",IFERROR($D1986*INDEX(Setup!$B$27:$B$44,MATCH($E1986,Setup!$A$27:$A$44,0)),"TBD"))</f>
        <v/>
      </c>
      <c r="G1986" s="32"/>
      <c r="H1986" s="32"/>
      <c r="I1986" s="32"/>
      <c r="J1986" s="32"/>
      <c r="K1986" s="35"/>
      <c r="L1986" s="32"/>
      <c r="M1986" s="32"/>
    </row>
    <row r="1987" customFormat="false" ht="15" hidden="false" customHeight="true" outlineLevel="0" collapsed="false">
      <c r="A1987" s="32"/>
      <c r="B1987" s="32"/>
      <c r="C1987" s="32"/>
      <c r="D1987" s="32"/>
      <c r="E1987" s="34" t="str">
        <f aca="false">IF($B1987="","",IF($B1987="OUT","Liters",IFERROR(INDEX(Setup!$F$3:$F$24,MATCH($C1987,Setup!$A$3:$A$24,0)),"")))</f>
        <v/>
      </c>
      <c r="F1987" s="28" t="str">
        <f aca="false">IF(OR($D1987="",$E1987=""),"",IFERROR($D1987*INDEX(Setup!$B$27:$B$44,MATCH($E1987,Setup!$A$27:$A$44,0)),"TBD"))</f>
        <v/>
      </c>
      <c r="G1987" s="32"/>
      <c r="H1987" s="32"/>
      <c r="I1987" s="32"/>
      <c r="J1987" s="32"/>
      <c r="K1987" s="35"/>
      <c r="L1987" s="32"/>
      <c r="M1987" s="32"/>
    </row>
    <row r="1988" customFormat="false" ht="15" hidden="false" customHeight="true" outlineLevel="0" collapsed="false">
      <c r="A1988" s="32"/>
      <c r="B1988" s="32"/>
      <c r="C1988" s="32"/>
      <c r="D1988" s="32"/>
      <c r="E1988" s="34" t="str">
        <f aca="false">IF($B1988="","",IF($B1988="OUT","Liters",IFERROR(INDEX(Setup!$F$3:$F$24,MATCH($C1988,Setup!$A$3:$A$24,0)),"")))</f>
        <v/>
      </c>
      <c r="F1988" s="28" t="str">
        <f aca="false">IF(OR($D1988="",$E1988=""),"",IFERROR($D1988*INDEX(Setup!$B$27:$B$44,MATCH($E1988,Setup!$A$27:$A$44,0)),"TBD"))</f>
        <v/>
      </c>
      <c r="G1988" s="32"/>
      <c r="H1988" s="32"/>
      <c r="I1988" s="32"/>
      <c r="J1988" s="32"/>
      <c r="K1988" s="35"/>
      <c r="L1988" s="32"/>
      <c r="M1988" s="32"/>
    </row>
    <row r="1989" customFormat="false" ht="15" hidden="false" customHeight="true" outlineLevel="0" collapsed="false">
      <c r="A1989" s="32"/>
      <c r="B1989" s="32"/>
      <c r="C1989" s="32"/>
      <c r="D1989" s="32"/>
      <c r="E1989" s="34" t="str">
        <f aca="false">IF($B1989="","",IF($B1989="OUT","Liters",IFERROR(INDEX(Setup!$F$3:$F$24,MATCH($C1989,Setup!$A$3:$A$24,0)),"")))</f>
        <v/>
      </c>
      <c r="F1989" s="28" t="str">
        <f aca="false">IF(OR($D1989="",$E1989=""),"",IFERROR($D1989*INDEX(Setup!$B$27:$B$44,MATCH($E1989,Setup!$A$27:$A$44,0)),"TBD"))</f>
        <v/>
      </c>
      <c r="G1989" s="32"/>
      <c r="H1989" s="32"/>
      <c r="I1989" s="32"/>
      <c r="J1989" s="32"/>
      <c r="K1989" s="35"/>
      <c r="L1989" s="32"/>
      <c r="M1989" s="32"/>
    </row>
    <row r="1990" customFormat="false" ht="15" hidden="false" customHeight="true" outlineLevel="0" collapsed="false">
      <c r="A1990" s="32"/>
      <c r="B1990" s="32"/>
      <c r="C1990" s="32"/>
      <c r="D1990" s="32"/>
      <c r="E1990" s="34" t="str">
        <f aca="false">IF($B1990="","",IF($B1990="OUT","Liters",IFERROR(INDEX(Setup!$F$3:$F$24,MATCH($C1990,Setup!$A$3:$A$24,0)),"")))</f>
        <v/>
      </c>
      <c r="F1990" s="28" t="str">
        <f aca="false">IF(OR($D1990="",$E1990=""),"",IFERROR($D1990*INDEX(Setup!$B$27:$B$44,MATCH($E1990,Setup!$A$27:$A$44,0)),"TBD"))</f>
        <v/>
      </c>
      <c r="G1990" s="32"/>
      <c r="H1990" s="32"/>
      <c r="I1990" s="32"/>
      <c r="J1990" s="32"/>
      <c r="K1990" s="35"/>
      <c r="L1990" s="32"/>
      <c r="M1990" s="32"/>
    </row>
    <row r="1991" customFormat="false" ht="15" hidden="false" customHeight="true" outlineLevel="0" collapsed="false">
      <c r="A1991" s="32"/>
      <c r="B1991" s="32"/>
      <c r="C1991" s="32"/>
      <c r="D1991" s="32"/>
      <c r="E1991" s="34" t="str">
        <f aca="false">IF($B1991="","",IF($B1991="OUT","Liters",IFERROR(INDEX(Setup!$F$3:$F$24,MATCH($C1991,Setup!$A$3:$A$24,0)),"")))</f>
        <v/>
      </c>
      <c r="F1991" s="28" t="str">
        <f aca="false">IF(OR($D1991="",$E1991=""),"",IFERROR($D1991*INDEX(Setup!$B$27:$B$44,MATCH($E1991,Setup!$A$27:$A$44,0)),"TBD"))</f>
        <v/>
      </c>
      <c r="G1991" s="32"/>
      <c r="H1991" s="32"/>
      <c r="I1991" s="32"/>
      <c r="J1991" s="32"/>
      <c r="K1991" s="35"/>
      <c r="L1991" s="32"/>
      <c r="M1991" s="32"/>
    </row>
    <row r="1992" customFormat="false" ht="15" hidden="false" customHeight="true" outlineLevel="0" collapsed="false">
      <c r="A1992" s="32"/>
      <c r="B1992" s="32"/>
      <c r="C1992" s="32"/>
      <c r="D1992" s="32"/>
      <c r="E1992" s="34" t="str">
        <f aca="false">IF($B1992="","",IF($B1992="OUT","Liters",IFERROR(INDEX(Setup!$F$3:$F$24,MATCH($C1992,Setup!$A$3:$A$24,0)),"")))</f>
        <v/>
      </c>
      <c r="F1992" s="28" t="str">
        <f aca="false">IF(OR($D1992="",$E1992=""),"",IFERROR($D1992*INDEX(Setup!$B$27:$B$44,MATCH($E1992,Setup!$A$27:$A$44,0)),"TBD"))</f>
        <v/>
      </c>
      <c r="G1992" s="32"/>
      <c r="H1992" s="32"/>
      <c r="I1992" s="32"/>
      <c r="J1992" s="32"/>
      <c r="K1992" s="35"/>
      <c r="L1992" s="32"/>
      <c r="M1992" s="32"/>
    </row>
    <row r="1993" customFormat="false" ht="15" hidden="false" customHeight="true" outlineLevel="0" collapsed="false">
      <c r="A1993" s="32"/>
      <c r="B1993" s="32"/>
      <c r="C1993" s="32"/>
      <c r="D1993" s="32"/>
      <c r="E1993" s="34" t="str">
        <f aca="false">IF($B1993="","",IF($B1993="OUT","Liters",IFERROR(INDEX(Setup!$F$3:$F$24,MATCH($C1993,Setup!$A$3:$A$24,0)),"")))</f>
        <v/>
      </c>
      <c r="F1993" s="28" t="str">
        <f aca="false">IF(OR($D1993="",$E1993=""),"",IFERROR($D1993*INDEX(Setup!$B$27:$B$44,MATCH($E1993,Setup!$A$27:$A$44,0)),"TBD"))</f>
        <v/>
      </c>
      <c r="G1993" s="32"/>
      <c r="H1993" s="32"/>
      <c r="I1993" s="32"/>
      <c r="J1993" s="32"/>
      <c r="K1993" s="35"/>
      <c r="L1993" s="32"/>
      <c r="M1993" s="32"/>
    </row>
    <row r="1994" customFormat="false" ht="15" hidden="false" customHeight="true" outlineLevel="0" collapsed="false">
      <c r="A1994" s="32"/>
      <c r="B1994" s="32"/>
      <c r="C1994" s="32"/>
      <c r="D1994" s="32"/>
      <c r="E1994" s="34" t="str">
        <f aca="false">IF($B1994="","",IF($B1994="OUT","Liters",IFERROR(INDEX(Setup!$F$3:$F$24,MATCH($C1994,Setup!$A$3:$A$24,0)),"")))</f>
        <v/>
      </c>
      <c r="F1994" s="28" t="str">
        <f aca="false">IF(OR($D1994="",$E1994=""),"",IFERROR($D1994*INDEX(Setup!$B$27:$B$44,MATCH($E1994,Setup!$A$27:$A$44,0)),"TBD"))</f>
        <v/>
      </c>
      <c r="G1994" s="32"/>
      <c r="H1994" s="32"/>
      <c r="I1994" s="32"/>
      <c r="J1994" s="32"/>
      <c r="K1994" s="35"/>
      <c r="L1994" s="32"/>
      <c r="M1994" s="32"/>
    </row>
    <row r="1995" customFormat="false" ht="15" hidden="false" customHeight="true" outlineLevel="0" collapsed="false">
      <c r="A1995" s="32"/>
      <c r="B1995" s="32"/>
      <c r="C1995" s="32"/>
      <c r="D1995" s="32"/>
      <c r="E1995" s="34" t="str">
        <f aca="false">IF($B1995="","",IF($B1995="OUT","Liters",IFERROR(INDEX(Setup!$F$3:$F$24,MATCH($C1995,Setup!$A$3:$A$24,0)),"")))</f>
        <v/>
      </c>
      <c r="F1995" s="28" t="str">
        <f aca="false">IF(OR($D1995="",$E1995=""),"",IFERROR($D1995*INDEX(Setup!$B$27:$B$44,MATCH($E1995,Setup!$A$27:$A$44,0)),"TBD"))</f>
        <v/>
      </c>
      <c r="G1995" s="32"/>
      <c r="H1995" s="32"/>
      <c r="I1995" s="32"/>
      <c r="J1995" s="32"/>
      <c r="K1995" s="35"/>
      <c r="L1995" s="32"/>
      <c r="M1995" s="32"/>
    </row>
    <row r="1996" customFormat="false" ht="15" hidden="false" customHeight="true" outlineLevel="0" collapsed="false">
      <c r="A1996" s="32"/>
      <c r="B1996" s="32"/>
      <c r="C1996" s="32"/>
      <c r="D1996" s="32"/>
      <c r="E1996" s="34" t="str">
        <f aca="false">IF($B1996="","",IF($B1996="OUT","Liters",IFERROR(INDEX(Setup!$F$3:$F$24,MATCH($C1996,Setup!$A$3:$A$24,0)),"")))</f>
        <v/>
      </c>
      <c r="F1996" s="28" t="str">
        <f aca="false">IF(OR($D1996="",$E1996=""),"",IFERROR($D1996*INDEX(Setup!$B$27:$B$44,MATCH($E1996,Setup!$A$27:$A$44,0)),"TBD"))</f>
        <v/>
      </c>
      <c r="G1996" s="32"/>
      <c r="H1996" s="32"/>
      <c r="I1996" s="32"/>
      <c r="J1996" s="32"/>
      <c r="K1996" s="35"/>
      <c r="L1996" s="32"/>
      <c r="M1996" s="32"/>
    </row>
    <row r="1997" customFormat="false" ht="15" hidden="false" customHeight="true" outlineLevel="0" collapsed="false">
      <c r="A1997" s="32"/>
      <c r="B1997" s="32"/>
      <c r="C1997" s="32"/>
      <c r="D1997" s="32"/>
      <c r="E1997" s="34" t="str">
        <f aca="false">IF($B1997="","",IF($B1997="OUT","Liters",IFERROR(INDEX(Setup!$F$3:$F$24,MATCH($C1997,Setup!$A$3:$A$24,0)),"")))</f>
        <v/>
      </c>
      <c r="F1997" s="28" t="str">
        <f aca="false">IF(OR($D1997="",$E1997=""),"",IFERROR($D1997*INDEX(Setup!$B$27:$B$44,MATCH($E1997,Setup!$A$27:$A$44,0)),"TBD"))</f>
        <v/>
      </c>
      <c r="G1997" s="32"/>
      <c r="H1997" s="32"/>
      <c r="I1997" s="32"/>
      <c r="J1997" s="32"/>
      <c r="K1997" s="35"/>
      <c r="L1997" s="32"/>
      <c r="M1997" s="32"/>
    </row>
    <row r="1998" customFormat="false" ht="15" hidden="false" customHeight="true" outlineLevel="0" collapsed="false">
      <c r="A1998" s="32"/>
      <c r="B1998" s="32"/>
      <c r="C1998" s="32"/>
      <c r="D1998" s="32"/>
      <c r="E1998" s="34" t="str">
        <f aca="false">IF($B1998="","",IF($B1998="OUT","Liters",IFERROR(INDEX(Setup!$F$3:$F$24,MATCH($C1998,Setup!$A$3:$A$24,0)),"")))</f>
        <v/>
      </c>
      <c r="F1998" s="28" t="str">
        <f aca="false">IF(OR($D1998="",$E1998=""),"",IFERROR($D1998*INDEX(Setup!$B$27:$B$44,MATCH($E1998,Setup!$A$27:$A$44,0)),"TBD"))</f>
        <v/>
      </c>
      <c r="G1998" s="32"/>
      <c r="H1998" s="32"/>
      <c r="I1998" s="32"/>
      <c r="J1998" s="32"/>
      <c r="K1998" s="35"/>
      <c r="L1998" s="32"/>
      <c r="M1998" s="32"/>
    </row>
    <row r="1999" customFormat="false" ht="15" hidden="false" customHeight="true" outlineLevel="0" collapsed="false">
      <c r="A1999" s="32"/>
      <c r="B1999" s="32"/>
      <c r="C1999" s="32"/>
      <c r="D1999" s="32"/>
      <c r="E1999" s="34" t="str">
        <f aca="false">IF($B1999="","",IF($B1999="OUT","Liters",IFERROR(INDEX(Setup!$F$3:$F$24,MATCH($C1999,Setup!$A$3:$A$24,0)),"")))</f>
        <v/>
      </c>
      <c r="F1999" s="28" t="str">
        <f aca="false">IF(OR($D1999="",$E1999=""),"",IFERROR($D1999*INDEX(Setup!$B$27:$B$44,MATCH($E1999,Setup!$A$27:$A$44,0)),"TBD"))</f>
        <v/>
      </c>
      <c r="G1999" s="32"/>
      <c r="H1999" s="32"/>
      <c r="I1999" s="32"/>
      <c r="J1999" s="32"/>
      <c r="K1999" s="35"/>
      <c r="L1999" s="32"/>
      <c r="M1999" s="32"/>
    </row>
    <row r="2000" customFormat="false" ht="15" hidden="false" customHeight="true" outlineLevel="0" collapsed="false">
      <c r="A2000" s="32"/>
      <c r="B2000" s="32"/>
      <c r="C2000" s="32"/>
      <c r="D2000" s="32"/>
      <c r="E2000" s="34" t="str">
        <f aca="false">IF($B2000="","",IF($B2000="OUT","Liters",IFERROR(INDEX(Setup!$F$3:$F$24,MATCH($C2000,Setup!$A$3:$A$24,0)),"")))</f>
        <v/>
      </c>
      <c r="F2000" s="28" t="str">
        <f aca="false">IF(OR($D2000="",$E2000=""),"",IFERROR($D2000*INDEX(Setup!$B$27:$B$44,MATCH($E2000,Setup!$A$27:$A$44,0)),"TBD"))</f>
        <v/>
      </c>
      <c r="G2000" s="32"/>
      <c r="H2000" s="32"/>
      <c r="I2000" s="32"/>
      <c r="J2000" s="32"/>
      <c r="K2000" s="35"/>
      <c r="L2000" s="32"/>
      <c r="M2000" s="32"/>
    </row>
    <row r="2001" customFormat="false" ht="15" hidden="false" customHeight="true" outlineLevel="0" collapsed="false">
      <c r="A2001" s="32"/>
      <c r="B2001" s="32"/>
      <c r="C2001" s="32"/>
      <c r="D2001" s="32"/>
      <c r="E2001" s="34" t="str">
        <f aca="false">IF($B2001="","",IF($B2001="OUT","Liters",IFERROR(INDEX(Setup!$F$3:$F$24,MATCH($C2001,Setup!$A$3:$A$24,0)),"")))</f>
        <v/>
      </c>
      <c r="F2001" s="28" t="str">
        <f aca="false">IF(OR($D2001="",$E2001=""),"",IFERROR($D2001*INDEX(Setup!$B$27:$B$44,MATCH($E2001,Setup!$A$27:$A$44,0)),"TBD"))</f>
        <v/>
      </c>
      <c r="G2001" s="32"/>
      <c r="H2001" s="32"/>
      <c r="I2001" s="32"/>
      <c r="J2001" s="32"/>
      <c r="K2001" s="35"/>
      <c r="L2001" s="32"/>
      <c r="M2001" s="32"/>
    </row>
    <row r="2002" customFormat="false" ht="15" hidden="false" customHeight="true" outlineLevel="0" collapsed="false">
      <c r="A2002" s="32"/>
      <c r="B2002" s="32"/>
      <c r="C2002" s="32"/>
      <c r="D2002" s="32"/>
      <c r="E2002" s="34" t="str">
        <f aca="false">IF($B2002="","",IF($B2002="OUT","Liters",IFERROR(INDEX(Setup!$F$3:$F$24,MATCH($C2002,Setup!$A$3:$A$24,0)),"")))</f>
        <v/>
      </c>
      <c r="F2002" s="28" t="str">
        <f aca="false">IF(OR($D2002="",$E2002=""),"",IFERROR($D2002*INDEX(Setup!$B$27:$B$44,MATCH($E2002,Setup!$A$27:$A$44,0)),"TBD"))</f>
        <v/>
      </c>
      <c r="G2002" s="32"/>
      <c r="H2002" s="32"/>
      <c r="I2002" s="32"/>
      <c r="J2002" s="32"/>
      <c r="K2002" s="35"/>
      <c r="L2002" s="32"/>
      <c r="M2002" s="32"/>
    </row>
    <row r="2003" customFormat="false" ht="15" hidden="false" customHeight="true" outlineLevel="0" collapsed="false">
      <c r="A2003" s="32"/>
      <c r="B2003" s="32"/>
      <c r="C2003" s="32"/>
      <c r="D2003" s="32"/>
      <c r="E2003" s="34" t="str">
        <f aca="false">IF($B2003="","",IF($B2003="OUT","Liters",IFERROR(INDEX(Setup!$F$3:$F$24,MATCH($C2003,Setup!$A$3:$A$24,0)),"")))</f>
        <v/>
      </c>
      <c r="F2003" s="28" t="str">
        <f aca="false">IF(OR($D2003="",$E2003=""),"",IFERROR($D2003*INDEX(Setup!$B$27:$B$44,MATCH($E2003,Setup!$A$27:$A$44,0)),"TBD"))</f>
        <v/>
      </c>
      <c r="G2003" s="32"/>
      <c r="H2003" s="32"/>
      <c r="I2003" s="32"/>
      <c r="J2003" s="32"/>
      <c r="K2003" s="35"/>
      <c r="L2003" s="32"/>
      <c r="M2003" s="32"/>
    </row>
    <row r="2004" customFormat="false" ht="15" hidden="false" customHeight="true" outlineLevel="0" collapsed="false">
      <c r="A2004" s="32"/>
      <c r="B2004" s="32"/>
      <c r="C2004" s="32"/>
      <c r="D2004" s="32"/>
      <c r="E2004" s="34" t="str">
        <f aca="false">IF($B2004="","",IF($B2004="OUT","Liters",IFERROR(INDEX(Setup!$F$3:$F$24,MATCH($C2004,Setup!$A$3:$A$24,0)),"")))</f>
        <v/>
      </c>
      <c r="F2004" s="28" t="str">
        <f aca="false">IF(OR($D2004="",$E2004=""),"",IFERROR($D2004*INDEX(Setup!$B$27:$B$44,MATCH($E2004,Setup!$A$27:$A$44,0)),"TBD"))</f>
        <v/>
      </c>
      <c r="G2004" s="32"/>
      <c r="H2004" s="32"/>
      <c r="I2004" s="32"/>
      <c r="J2004" s="32"/>
      <c r="K2004" s="35"/>
      <c r="L2004" s="32"/>
      <c r="M2004" s="32"/>
    </row>
    <row r="2005" customFormat="false" ht="15" hidden="false" customHeight="true" outlineLevel="0" collapsed="false">
      <c r="A2005" s="32"/>
      <c r="B2005" s="32"/>
      <c r="C2005" s="32"/>
      <c r="D2005" s="32"/>
      <c r="E2005" s="34" t="str">
        <f aca="false">IF($B2005="","",IF($B2005="OUT","Liters",IFERROR(INDEX(Setup!$F$3:$F$24,MATCH($C2005,Setup!$A$3:$A$24,0)),"")))</f>
        <v/>
      </c>
      <c r="F2005" s="28" t="str">
        <f aca="false">IF(OR($D2005="",$E2005=""),"",IFERROR($D2005*INDEX(Setup!$B$27:$B$44,MATCH($E2005,Setup!$A$27:$A$44,0)),"TBD"))</f>
        <v/>
      </c>
      <c r="G2005" s="32"/>
      <c r="H2005" s="32"/>
      <c r="I2005" s="32"/>
      <c r="J2005" s="32"/>
      <c r="K2005" s="35"/>
      <c r="L2005" s="32"/>
      <c r="M2005" s="32"/>
    </row>
    <row r="2006" customFormat="false" ht="15" hidden="false" customHeight="true" outlineLevel="0" collapsed="false">
      <c r="A2006" s="32"/>
      <c r="B2006" s="32"/>
      <c r="C2006" s="32"/>
      <c r="D2006" s="32"/>
      <c r="E2006" s="34" t="str">
        <f aca="false">IF($B2006="","",IF($B2006="OUT","Liters",IFERROR(INDEX(Setup!$F$3:$F$24,MATCH($C2006,Setup!$A$3:$A$24,0)),"")))</f>
        <v/>
      </c>
      <c r="F2006" s="28" t="str">
        <f aca="false">IF(OR($D2006="",$E2006=""),"",IFERROR($D2006*INDEX(Setup!$B$27:$B$44,MATCH($E2006,Setup!$A$27:$A$44,0)),"TBD"))</f>
        <v/>
      </c>
      <c r="G2006" s="32"/>
      <c r="H2006" s="32"/>
      <c r="I2006" s="32"/>
      <c r="J2006" s="32"/>
      <c r="K2006" s="35"/>
      <c r="L2006" s="32"/>
      <c r="M2006" s="32"/>
    </row>
    <row r="2007" customFormat="false" ht="15" hidden="false" customHeight="true" outlineLevel="0" collapsed="false">
      <c r="A2007" s="32"/>
      <c r="B2007" s="32"/>
      <c r="C2007" s="32"/>
      <c r="D2007" s="32"/>
      <c r="E2007" s="34" t="str">
        <f aca="false">IF($B2007="","",IF($B2007="OUT","Liters",IFERROR(INDEX(Setup!$F$3:$F$24,MATCH($C2007,Setup!$A$3:$A$24,0)),"")))</f>
        <v/>
      </c>
      <c r="F2007" s="28" t="str">
        <f aca="false">IF(OR($D2007="",$E2007=""),"",IFERROR($D2007*INDEX(Setup!$B$27:$B$44,MATCH($E2007,Setup!$A$27:$A$44,0)),"TBD"))</f>
        <v/>
      </c>
      <c r="G2007" s="32"/>
      <c r="H2007" s="32"/>
      <c r="I2007" s="32"/>
      <c r="J2007" s="32"/>
      <c r="K2007" s="35"/>
      <c r="L2007" s="32"/>
      <c r="M2007" s="32"/>
    </row>
    <row r="2008" customFormat="false" ht="15" hidden="false" customHeight="true" outlineLevel="0" collapsed="false">
      <c r="A2008" s="32"/>
      <c r="B2008" s="32"/>
      <c r="C2008" s="32"/>
      <c r="D2008" s="32"/>
      <c r="E2008" s="34" t="str">
        <f aca="false">IF($B2008="","",IF($B2008="OUT","Liters",IFERROR(INDEX(Setup!$F$3:$F$24,MATCH($C2008,Setup!$A$3:$A$24,0)),"")))</f>
        <v/>
      </c>
      <c r="F2008" s="28" t="str">
        <f aca="false">IF(OR($D2008="",$E2008=""),"",IFERROR($D2008*INDEX(Setup!$B$27:$B$44,MATCH($E2008,Setup!$A$27:$A$44,0)),"TBD"))</f>
        <v/>
      </c>
      <c r="G2008" s="32"/>
      <c r="H2008" s="32"/>
      <c r="I2008" s="32"/>
      <c r="J2008" s="32"/>
      <c r="K2008" s="35"/>
      <c r="L2008" s="32"/>
      <c r="M2008" s="32"/>
    </row>
    <row r="2009" customFormat="false" ht="15" hidden="false" customHeight="true" outlineLevel="0" collapsed="false">
      <c r="A2009" s="32"/>
      <c r="B2009" s="32"/>
      <c r="C2009" s="32"/>
      <c r="D2009" s="32"/>
      <c r="E2009" s="34" t="str">
        <f aca="false">IF($B2009="","",IF($B2009="OUT","Liters",IFERROR(INDEX(Setup!$F$3:$F$24,MATCH($C2009,Setup!$A$3:$A$24,0)),"")))</f>
        <v/>
      </c>
      <c r="F2009" s="28" t="str">
        <f aca="false">IF(OR($D2009="",$E2009=""),"",IFERROR($D2009*INDEX(Setup!$B$27:$B$44,MATCH($E2009,Setup!$A$27:$A$44,0)),"TBD"))</f>
        <v/>
      </c>
      <c r="G2009" s="32"/>
      <c r="H2009" s="32"/>
      <c r="I2009" s="32"/>
      <c r="J2009" s="32"/>
      <c r="K2009" s="35"/>
      <c r="L2009" s="32"/>
      <c r="M2009" s="32"/>
    </row>
    <row r="2010" customFormat="false" ht="15" hidden="false" customHeight="true" outlineLevel="0" collapsed="false">
      <c r="A2010" s="32"/>
      <c r="B2010" s="32"/>
      <c r="C2010" s="32"/>
      <c r="D2010" s="32"/>
      <c r="E2010" s="34" t="str">
        <f aca="false">IF($B2010="","",IF($B2010="OUT","Liters",IFERROR(INDEX(Setup!$F$3:$F$24,MATCH($C2010,Setup!$A$3:$A$24,0)),"")))</f>
        <v/>
      </c>
      <c r="F2010" s="28" t="str">
        <f aca="false">IF(OR($D2010="",$E2010=""),"",IFERROR($D2010*INDEX(Setup!$B$27:$B$44,MATCH($E2010,Setup!$A$27:$A$44,0)),"TBD"))</f>
        <v/>
      </c>
      <c r="G2010" s="32"/>
      <c r="H2010" s="32"/>
      <c r="I2010" s="32"/>
      <c r="J2010" s="32"/>
      <c r="K2010" s="35"/>
      <c r="L2010" s="32"/>
      <c r="M2010" s="32"/>
    </row>
    <row r="2011" customFormat="false" ht="15" hidden="false" customHeight="true" outlineLevel="0" collapsed="false">
      <c r="A2011" s="32"/>
      <c r="B2011" s="32"/>
      <c r="C2011" s="32"/>
      <c r="D2011" s="32"/>
      <c r="E2011" s="34" t="str">
        <f aca="false">IF($B2011="","",IF($B2011="OUT","Liters",IFERROR(INDEX(Setup!$F$3:$F$24,MATCH($C2011,Setup!$A$3:$A$24,0)),"")))</f>
        <v/>
      </c>
      <c r="F2011" s="28" t="str">
        <f aca="false">IF(OR($D2011="",$E2011=""),"",IFERROR($D2011*INDEX(Setup!$B$27:$B$44,MATCH($E2011,Setup!$A$27:$A$44,0)),"TBD"))</f>
        <v/>
      </c>
      <c r="G2011" s="32"/>
      <c r="H2011" s="32"/>
      <c r="I2011" s="32"/>
      <c r="J2011" s="32"/>
      <c r="K2011" s="35"/>
      <c r="L2011" s="32"/>
      <c r="M2011" s="32"/>
    </row>
    <row r="2012" customFormat="false" ht="15" hidden="false" customHeight="true" outlineLevel="0" collapsed="false">
      <c r="A2012" s="32"/>
      <c r="B2012" s="32"/>
      <c r="C2012" s="32"/>
      <c r="D2012" s="32"/>
      <c r="E2012" s="34" t="str">
        <f aca="false">IF($B2012="","",IF($B2012="OUT","Liters",IFERROR(INDEX(Setup!$F$3:$F$24,MATCH($C2012,Setup!$A$3:$A$24,0)),"")))</f>
        <v/>
      </c>
      <c r="F2012" s="28" t="str">
        <f aca="false">IF(OR($D2012="",$E2012=""),"",IFERROR($D2012*INDEX(Setup!$B$27:$B$44,MATCH($E2012,Setup!$A$27:$A$44,0)),"TBD"))</f>
        <v/>
      </c>
      <c r="G2012" s="32"/>
      <c r="H2012" s="32"/>
      <c r="I2012" s="32"/>
      <c r="J2012" s="32"/>
      <c r="K2012" s="35"/>
      <c r="L2012" s="32"/>
      <c r="M2012" s="32"/>
    </row>
    <row r="2013" customFormat="false" ht="15" hidden="false" customHeight="true" outlineLevel="0" collapsed="false">
      <c r="A2013" s="32"/>
      <c r="B2013" s="32"/>
      <c r="C2013" s="32"/>
      <c r="D2013" s="32"/>
      <c r="E2013" s="34" t="str">
        <f aca="false">IF($B2013="","",IF($B2013="OUT","Liters",IFERROR(INDEX(Setup!$F$3:$F$24,MATCH($C2013,Setup!$A$3:$A$24,0)),"")))</f>
        <v/>
      </c>
      <c r="F2013" s="28" t="str">
        <f aca="false">IF(OR($D2013="",$E2013=""),"",IFERROR($D2013*INDEX(Setup!$B$27:$B$44,MATCH($E2013,Setup!$A$27:$A$44,0)),"TBD"))</f>
        <v/>
      </c>
      <c r="G2013" s="32"/>
      <c r="H2013" s="32"/>
      <c r="I2013" s="32"/>
      <c r="J2013" s="32"/>
      <c r="K2013" s="35"/>
      <c r="L2013" s="32"/>
      <c r="M2013" s="32"/>
    </row>
    <row r="2014" customFormat="false" ht="15" hidden="false" customHeight="true" outlineLevel="0" collapsed="false">
      <c r="A2014" s="32"/>
      <c r="B2014" s="32"/>
      <c r="C2014" s="32"/>
      <c r="D2014" s="32"/>
      <c r="E2014" s="34" t="str">
        <f aca="false">IF($B2014="","",IF($B2014="OUT","Liters",IFERROR(INDEX(Setup!$F$3:$F$24,MATCH($C2014,Setup!$A$3:$A$24,0)),"")))</f>
        <v/>
      </c>
      <c r="F2014" s="28" t="str">
        <f aca="false">IF(OR($D2014="",$E2014=""),"",IFERROR($D2014*INDEX(Setup!$B$27:$B$44,MATCH($E2014,Setup!$A$27:$A$44,0)),"TBD"))</f>
        <v/>
      </c>
      <c r="G2014" s="32"/>
      <c r="H2014" s="32"/>
      <c r="I2014" s="32"/>
      <c r="J2014" s="32"/>
      <c r="K2014" s="35"/>
      <c r="L2014" s="32"/>
      <c r="M2014" s="32"/>
    </row>
    <row r="2015" customFormat="false" ht="15" hidden="false" customHeight="true" outlineLevel="0" collapsed="false">
      <c r="A2015" s="32"/>
      <c r="B2015" s="32"/>
      <c r="C2015" s="32"/>
      <c r="D2015" s="32"/>
      <c r="E2015" s="34" t="str">
        <f aca="false">IF($B2015="","",IF($B2015="OUT","Liters",IFERROR(INDEX(Setup!$F$3:$F$24,MATCH($C2015,Setup!$A$3:$A$24,0)),"")))</f>
        <v/>
      </c>
      <c r="F2015" s="28" t="str">
        <f aca="false">IF(OR($D2015="",$E2015=""),"",IFERROR($D2015*INDEX(Setup!$B$27:$B$44,MATCH($E2015,Setup!$A$27:$A$44,0)),"TBD"))</f>
        <v/>
      </c>
      <c r="G2015" s="32"/>
      <c r="H2015" s="32"/>
      <c r="I2015" s="32"/>
      <c r="J2015" s="32"/>
      <c r="K2015" s="35"/>
      <c r="L2015" s="32"/>
      <c r="M2015" s="32"/>
    </row>
    <row r="2016" customFormat="false" ht="15" hidden="false" customHeight="true" outlineLevel="0" collapsed="false">
      <c r="A2016" s="32"/>
      <c r="B2016" s="32"/>
      <c r="C2016" s="32"/>
      <c r="D2016" s="32"/>
      <c r="E2016" s="34" t="str">
        <f aca="false">IF($B2016="","",IF($B2016="OUT","Liters",IFERROR(INDEX(Setup!$F$3:$F$24,MATCH($C2016,Setup!$A$3:$A$24,0)),"")))</f>
        <v/>
      </c>
      <c r="F2016" s="28" t="str">
        <f aca="false">IF(OR($D2016="",$E2016=""),"",IFERROR($D2016*INDEX(Setup!$B$27:$B$44,MATCH($E2016,Setup!$A$27:$A$44,0)),"TBD"))</f>
        <v/>
      </c>
      <c r="G2016" s="32"/>
      <c r="H2016" s="32"/>
      <c r="I2016" s="32"/>
      <c r="J2016" s="32"/>
      <c r="K2016" s="35"/>
      <c r="L2016" s="32"/>
      <c r="M2016" s="32"/>
    </row>
    <row r="2017" customFormat="false" ht="15" hidden="false" customHeight="true" outlineLevel="0" collapsed="false">
      <c r="A2017" s="32"/>
      <c r="B2017" s="32"/>
      <c r="C2017" s="32"/>
      <c r="D2017" s="32"/>
      <c r="E2017" s="34" t="str">
        <f aca="false">IF($B2017="","",IF($B2017="OUT","Liters",IFERROR(INDEX(Setup!$F$3:$F$24,MATCH($C2017,Setup!$A$3:$A$24,0)),"")))</f>
        <v/>
      </c>
      <c r="F2017" s="28" t="str">
        <f aca="false">IF(OR($D2017="",$E2017=""),"",IFERROR($D2017*INDEX(Setup!$B$27:$B$44,MATCH($E2017,Setup!$A$27:$A$44,0)),"TBD"))</f>
        <v/>
      </c>
      <c r="G2017" s="32"/>
      <c r="H2017" s="32"/>
      <c r="I2017" s="32"/>
      <c r="J2017" s="32"/>
      <c r="K2017" s="35"/>
      <c r="L2017" s="32"/>
      <c r="M2017" s="32"/>
    </row>
    <row r="2018" customFormat="false" ht="15" hidden="false" customHeight="true" outlineLevel="0" collapsed="false">
      <c r="A2018" s="32"/>
      <c r="B2018" s="32"/>
      <c r="C2018" s="32"/>
      <c r="D2018" s="32"/>
      <c r="E2018" s="34" t="str">
        <f aca="false">IF($B2018="","",IF($B2018="OUT","Liters",IFERROR(INDEX(Setup!$F$3:$F$24,MATCH($C2018,Setup!$A$3:$A$24,0)),"")))</f>
        <v/>
      </c>
      <c r="F2018" s="28" t="str">
        <f aca="false">IF(OR($D2018="",$E2018=""),"",IFERROR($D2018*INDEX(Setup!$B$27:$B$44,MATCH($E2018,Setup!$A$27:$A$44,0)),"TBD"))</f>
        <v/>
      </c>
      <c r="G2018" s="32"/>
      <c r="H2018" s="32"/>
      <c r="I2018" s="32"/>
      <c r="J2018" s="32"/>
      <c r="K2018" s="35"/>
      <c r="L2018" s="32"/>
      <c r="M2018" s="32"/>
    </row>
    <row r="2019" customFormat="false" ht="15" hidden="false" customHeight="true" outlineLevel="0" collapsed="false">
      <c r="A2019" s="32"/>
      <c r="B2019" s="32"/>
      <c r="C2019" s="32"/>
      <c r="D2019" s="32"/>
      <c r="E2019" s="34" t="str">
        <f aca="false">IF($B2019="","",IF($B2019="OUT","Liters",IFERROR(INDEX(Setup!$F$3:$F$24,MATCH($C2019,Setup!$A$3:$A$24,0)),"")))</f>
        <v/>
      </c>
      <c r="F2019" s="28" t="str">
        <f aca="false">IF(OR($D2019="",$E2019=""),"",IFERROR($D2019*INDEX(Setup!$B$27:$B$44,MATCH($E2019,Setup!$A$27:$A$44,0)),"TBD"))</f>
        <v/>
      </c>
      <c r="G2019" s="32"/>
      <c r="H2019" s="32"/>
      <c r="I2019" s="32"/>
      <c r="J2019" s="32"/>
      <c r="K2019" s="35"/>
      <c r="L2019" s="32"/>
      <c r="M2019" s="32"/>
    </row>
    <row r="2020" customFormat="false" ht="15" hidden="false" customHeight="true" outlineLevel="0" collapsed="false">
      <c r="A2020" s="32"/>
      <c r="B2020" s="32"/>
      <c r="C2020" s="32"/>
      <c r="D2020" s="32"/>
      <c r="E2020" s="34" t="str">
        <f aca="false">IF($B2020="","",IF($B2020="OUT","Liters",IFERROR(INDEX(Setup!$F$3:$F$24,MATCH($C2020,Setup!$A$3:$A$24,0)),"")))</f>
        <v/>
      </c>
      <c r="F2020" s="28" t="str">
        <f aca="false">IF(OR($D2020="",$E2020=""),"",IFERROR($D2020*INDEX(Setup!$B$27:$B$44,MATCH($E2020,Setup!$A$27:$A$44,0)),"TBD"))</f>
        <v/>
      </c>
      <c r="G2020" s="32"/>
      <c r="H2020" s="32"/>
      <c r="I2020" s="32"/>
      <c r="J2020" s="32"/>
      <c r="K2020" s="35"/>
      <c r="L2020" s="32"/>
      <c r="M2020" s="32"/>
    </row>
    <row r="2021" customFormat="false" ht="15" hidden="false" customHeight="true" outlineLevel="0" collapsed="false">
      <c r="A2021" s="32"/>
      <c r="B2021" s="32"/>
      <c r="C2021" s="32"/>
      <c r="D2021" s="32"/>
      <c r="E2021" s="34" t="str">
        <f aca="false">IF($B2021="","",IF($B2021="OUT","Liters",IFERROR(INDEX(Setup!$F$3:$F$24,MATCH($C2021,Setup!$A$3:$A$24,0)),"")))</f>
        <v/>
      </c>
      <c r="F2021" s="28" t="str">
        <f aca="false">IF(OR($D2021="",$E2021=""),"",IFERROR($D2021*INDEX(Setup!$B$27:$B$44,MATCH($E2021,Setup!$A$27:$A$44,0)),"TBD"))</f>
        <v/>
      </c>
      <c r="G2021" s="32"/>
      <c r="H2021" s="32"/>
      <c r="I2021" s="32"/>
      <c r="J2021" s="32"/>
      <c r="K2021" s="35"/>
      <c r="L2021" s="32"/>
      <c r="M2021" s="32"/>
    </row>
    <row r="2022" customFormat="false" ht="15" hidden="false" customHeight="true" outlineLevel="0" collapsed="false">
      <c r="A2022" s="32"/>
      <c r="B2022" s="32"/>
      <c r="C2022" s="32"/>
      <c r="D2022" s="32"/>
      <c r="E2022" s="34" t="str">
        <f aca="false">IF($B2022="","",IF($B2022="OUT","Liters",IFERROR(INDEX(Setup!$F$3:$F$24,MATCH($C2022,Setup!$A$3:$A$24,0)),"")))</f>
        <v/>
      </c>
      <c r="F2022" s="28" t="str">
        <f aca="false">IF(OR($D2022="",$E2022=""),"",IFERROR($D2022*INDEX(Setup!$B$27:$B$44,MATCH($E2022,Setup!$A$27:$A$44,0)),"TBD"))</f>
        <v/>
      </c>
      <c r="G2022" s="32"/>
      <c r="H2022" s="32"/>
      <c r="I2022" s="32"/>
      <c r="J2022" s="32"/>
      <c r="K2022" s="35"/>
      <c r="L2022" s="32"/>
      <c r="M2022" s="32"/>
    </row>
    <row r="2023" customFormat="false" ht="15" hidden="false" customHeight="true" outlineLevel="0" collapsed="false">
      <c r="A2023" s="32"/>
      <c r="B2023" s="32"/>
      <c r="C2023" s="32"/>
      <c r="D2023" s="32"/>
      <c r="E2023" s="34" t="str">
        <f aca="false">IF($B2023="","",IF($B2023="OUT","Liters",IFERROR(INDEX(Setup!$F$3:$F$24,MATCH($C2023,Setup!$A$3:$A$24,0)),"")))</f>
        <v/>
      </c>
      <c r="F2023" s="28" t="str">
        <f aca="false">IF(OR($D2023="",$E2023=""),"",IFERROR($D2023*INDEX(Setup!$B$27:$B$44,MATCH($E2023,Setup!$A$27:$A$44,0)),"TBD"))</f>
        <v/>
      </c>
      <c r="G2023" s="32"/>
      <c r="H2023" s="32"/>
      <c r="I2023" s="32"/>
      <c r="J2023" s="32"/>
      <c r="K2023" s="35"/>
      <c r="L2023" s="32"/>
      <c r="M2023" s="32"/>
    </row>
    <row r="2024" customFormat="false" ht="15" hidden="false" customHeight="true" outlineLevel="0" collapsed="false">
      <c r="A2024" s="32"/>
      <c r="B2024" s="32"/>
      <c r="C2024" s="32"/>
      <c r="D2024" s="32"/>
      <c r="E2024" s="34" t="str">
        <f aca="false">IF($B2024="","",IF($B2024="OUT","Liters",IFERROR(INDEX(Setup!$F$3:$F$24,MATCH($C2024,Setup!$A$3:$A$24,0)),"")))</f>
        <v/>
      </c>
      <c r="F2024" s="28" t="str">
        <f aca="false">IF(OR($D2024="",$E2024=""),"",IFERROR($D2024*INDEX(Setup!$B$27:$B$44,MATCH($E2024,Setup!$A$27:$A$44,0)),"TBD"))</f>
        <v/>
      </c>
      <c r="G2024" s="32"/>
      <c r="H2024" s="32"/>
      <c r="I2024" s="32"/>
      <c r="J2024" s="32"/>
      <c r="K2024" s="35"/>
      <c r="L2024" s="32"/>
      <c r="M2024" s="32"/>
    </row>
    <row r="2025" customFormat="false" ht="15" hidden="false" customHeight="true" outlineLevel="0" collapsed="false">
      <c r="A2025" s="32"/>
      <c r="B2025" s="32"/>
      <c r="C2025" s="32"/>
      <c r="D2025" s="32"/>
      <c r="E2025" s="34" t="str">
        <f aca="false">IF($B2025="","",IF($B2025="OUT","Liters",IFERROR(INDEX(Setup!$F$3:$F$24,MATCH($C2025,Setup!$A$3:$A$24,0)),"")))</f>
        <v/>
      </c>
      <c r="F2025" s="28" t="str">
        <f aca="false">IF(OR($D2025="",$E2025=""),"",IFERROR($D2025*INDEX(Setup!$B$27:$B$44,MATCH($E2025,Setup!$A$27:$A$44,0)),"TBD"))</f>
        <v/>
      </c>
      <c r="G2025" s="32"/>
      <c r="H2025" s="32"/>
      <c r="I2025" s="32"/>
      <c r="J2025" s="32"/>
      <c r="K2025" s="35"/>
      <c r="L2025" s="32"/>
      <c r="M2025" s="32"/>
    </row>
    <row r="2026" customFormat="false" ht="15" hidden="false" customHeight="true" outlineLevel="0" collapsed="false">
      <c r="A2026" s="32"/>
      <c r="B2026" s="32"/>
      <c r="C2026" s="32"/>
      <c r="D2026" s="32"/>
      <c r="E2026" s="34" t="str">
        <f aca="false">IF($B2026="","",IF($B2026="OUT","Liters",IFERROR(INDEX(Setup!$F$3:$F$24,MATCH($C2026,Setup!$A$3:$A$24,0)),"")))</f>
        <v/>
      </c>
      <c r="F2026" s="28" t="str">
        <f aca="false">IF(OR($D2026="",$E2026=""),"",IFERROR($D2026*INDEX(Setup!$B$27:$B$44,MATCH($E2026,Setup!$A$27:$A$44,0)),"TBD"))</f>
        <v/>
      </c>
      <c r="G2026" s="32"/>
      <c r="H2026" s="32"/>
      <c r="I2026" s="32"/>
      <c r="J2026" s="32"/>
      <c r="K2026" s="35"/>
      <c r="L2026" s="32"/>
      <c r="M2026" s="32"/>
    </row>
    <row r="2027" customFormat="false" ht="15" hidden="false" customHeight="true" outlineLevel="0" collapsed="false">
      <c r="A2027" s="32"/>
      <c r="B2027" s="32"/>
      <c r="C2027" s="32"/>
      <c r="D2027" s="32"/>
      <c r="E2027" s="34" t="str">
        <f aca="false">IF($B2027="","",IF($B2027="OUT","Liters",IFERROR(INDEX(Setup!$F$3:$F$24,MATCH($C2027,Setup!$A$3:$A$24,0)),"")))</f>
        <v/>
      </c>
      <c r="F2027" s="28" t="str">
        <f aca="false">IF(OR($D2027="",$E2027=""),"",IFERROR($D2027*INDEX(Setup!$B$27:$B$44,MATCH($E2027,Setup!$A$27:$A$44,0)),"TBD"))</f>
        <v/>
      </c>
      <c r="G2027" s="32"/>
      <c r="H2027" s="32"/>
      <c r="I2027" s="32"/>
      <c r="J2027" s="32"/>
      <c r="K2027" s="35"/>
      <c r="L2027" s="32"/>
      <c r="M2027" s="32"/>
    </row>
    <row r="2028" customFormat="false" ht="15" hidden="false" customHeight="true" outlineLevel="0" collapsed="false">
      <c r="A2028" s="32"/>
      <c r="B2028" s="32"/>
      <c r="C2028" s="32"/>
      <c r="D2028" s="32"/>
      <c r="E2028" s="34" t="str">
        <f aca="false">IF($B2028="","",IF($B2028="OUT","Liters",IFERROR(INDEX(Setup!$F$3:$F$24,MATCH($C2028,Setup!$A$3:$A$24,0)),"")))</f>
        <v/>
      </c>
      <c r="F2028" s="28" t="str">
        <f aca="false">IF(OR($D2028="",$E2028=""),"",IFERROR($D2028*INDEX(Setup!$B$27:$B$44,MATCH($E2028,Setup!$A$27:$A$44,0)),"TBD"))</f>
        <v/>
      </c>
      <c r="G2028" s="32"/>
      <c r="H2028" s="32"/>
      <c r="I2028" s="32"/>
      <c r="J2028" s="32"/>
      <c r="K2028" s="35"/>
      <c r="L2028" s="32"/>
      <c r="M2028" s="32"/>
    </row>
    <row r="2029" customFormat="false" ht="15" hidden="false" customHeight="true" outlineLevel="0" collapsed="false">
      <c r="A2029" s="32"/>
      <c r="B2029" s="32"/>
      <c r="C2029" s="32"/>
      <c r="D2029" s="32"/>
      <c r="E2029" s="34" t="str">
        <f aca="false">IF($B2029="","",IF($B2029="OUT","Liters",IFERROR(INDEX(Setup!$F$3:$F$24,MATCH($C2029,Setup!$A$3:$A$24,0)),"")))</f>
        <v/>
      </c>
      <c r="F2029" s="28" t="str">
        <f aca="false">IF(OR($D2029="",$E2029=""),"",IFERROR($D2029*INDEX(Setup!$B$27:$B$44,MATCH($E2029,Setup!$A$27:$A$44,0)),"TBD"))</f>
        <v/>
      </c>
      <c r="G2029" s="32"/>
      <c r="H2029" s="32"/>
      <c r="I2029" s="32"/>
      <c r="J2029" s="32"/>
      <c r="K2029" s="35"/>
      <c r="L2029" s="32"/>
      <c r="M2029" s="32"/>
    </row>
    <row r="2030" customFormat="false" ht="15" hidden="false" customHeight="true" outlineLevel="0" collapsed="false">
      <c r="A2030" s="32"/>
      <c r="B2030" s="32"/>
      <c r="C2030" s="32"/>
      <c r="D2030" s="32"/>
      <c r="E2030" s="34" t="str">
        <f aca="false">IF($B2030="","",IF($B2030="OUT","Liters",IFERROR(INDEX(Setup!$F$3:$F$24,MATCH($C2030,Setup!$A$3:$A$24,0)),"")))</f>
        <v/>
      </c>
      <c r="F2030" s="28" t="str">
        <f aca="false">IF(OR($D2030="",$E2030=""),"",IFERROR($D2030*INDEX(Setup!$B$27:$B$44,MATCH($E2030,Setup!$A$27:$A$44,0)),"TBD"))</f>
        <v/>
      </c>
      <c r="G2030" s="32"/>
      <c r="H2030" s="32"/>
      <c r="I2030" s="32"/>
      <c r="J2030" s="32"/>
      <c r="K2030" s="35"/>
      <c r="L2030" s="32"/>
      <c r="M2030" s="32"/>
    </row>
    <row r="2031" customFormat="false" ht="15" hidden="false" customHeight="true" outlineLevel="0" collapsed="false">
      <c r="A2031" s="32"/>
      <c r="B2031" s="32"/>
      <c r="C2031" s="32"/>
      <c r="D2031" s="32"/>
      <c r="E2031" s="34" t="str">
        <f aca="false">IF($B2031="","",IF($B2031="OUT","Liters",IFERROR(INDEX(Setup!$F$3:$F$24,MATCH($C2031,Setup!$A$3:$A$24,0)),"")))</f>
        <v/>
      </c>
      <c r="F2031" s="28" t="str">
        <f aca="false">IF(OR($D2031="",$E2031=""),"",IFERROR($D2031*INDEX(Setup!$B$27:$B$44,MATCH($E2031,Setup!$A$27:$A$44,0)),"TBD"))</f>
        <v/>
      </c>
      <c r="G2031" s="32"/>
      <c r="H2031" s="32"/>
      <c r="I2031" s="32"/>
      <c r="J2031" s="32"/>
      <c r="K2031" s="35"/>
      <c r="L2031" s="32"/>
      <c r="M2031" s="32"/>
    </row>
    <row r="2032" customFormat="false" ht="15" hidden="false" customHeight="true" outlineLevel="0" collapsed="false">
      <c r="A2032" s="32"/>
      <c r="B2032" s="32"/>
      <c r="C2032" s="32"/>
      <c r="D2032" s="32"/>
      <c r="E2032" s="34" t="str">
        <f aca="false">IF($B2032="","",IF($B2032="OUT","Liters",IFERROR(INDEX(Setup!$F$3:$F$24,MATCH($C2032,Setup!$A$3:$A$24,0)),"")))</f>
        <v/>
      </c>
      <c r="F2032" s="28" t="str">
        <f aca="false">IF(OR($D2032="",$E2032=""),"",IFERROR($D2032*INDEX(Setup!$B$27:$B$44,MATCH($E2032,Setup!$A$27:$A$44,0)),"TBD"))</f>
        <v/>
      </c>
      <c r="G2032" s="32"/>
      <c r="H2032" s="32"/>
      <c r="I2032" s="32"/>
      <c r="J2032" s="32"/>
      <c r="K2032" s="35"/>
      <c r="L2032" s="32"/>
      <c r="M2032" s="32"/>
    </row>
    <row r="2033" customFormat="false" ht="15" hidden="false" customHeight="true" outlineLevel="0" collapsed="false">
      <c r="A2033" s="32"/>
      <c r="B2033" s="32"/>
      <c r="C2033" s="32"/>
      <c r="D2033" s="32"/>
      <c r="E2033" s="34" t="str">
        <f aca="false">IF($B2033="","",IF($B2033="OUT","Liters",IFERROR(INDEX(Setup!$F$3:$F$24,MATCH($C2033,Setup!$A$3:$A$24,0)),"")))</f>
        <v/>
      </c>
      <c r="F2033" s="28" t="str">
        <f aca="false">IF(OR($D2033="",$E2033=""),"",IFERROR($D2033*INDEX(Setup!$B$27:$B$44,MATCH($E2033,Setup!$A$27:$A$44,0)),"TBD"))</f>
        <v/>
      </c>
      <c r="G2033" s="32"/>
      <c r="H2033" s="32"/>
      <c r="I2033" s="32"/>
      <c r="J2033" s="32"/>
      <c r="K2033" s="35"/>
      <c r="L2033" s="32"/>
      <c r="M2033" s="32"/>
    </row>
    <row r="2034" customFormat="false" ht="15" hidden="false" customHeight="true" outlineLevel="0" collapsed="false">
      <c r="A2034" s="32"/>
      <c r="B2034" s="32"/>
      <c r="C2034" s="32"/>
      <c r="D2034" s="32"/>
      <c r="E2034" s="34" t="str">
        <f aca="false">IF($B2034="","",IF($B2034="OUT","Liters",IFERROR(INDEX(Setup!$F$3:$F$24,MATCH($C2034,Setup!$A$3:$A$24,0)),"")))</f>
        <v/>
      </c>
      <c r="F2034" s="28" t="str">
        <f aca="false">IF(OR($D2034="",$E2034=""),"",IFERROR($D2034*INDEX(Setup!$B$27:$B$44,MATCH($E2034,Setup!$A$27:$A$44,0)),"TBD"))</f>
        <v/>
      </c>
      <c r="G2034" s="32"/>
      <c r="H2034" s="32"/>
      <c r="I2034" s="32"/>
      <c r="J2034" s="32"/>
      <c r="K2034" s="35"/>
      <c r="L2034" s="32"/>
      <c r="M2034" s="32"/>
    </row>
    <row r="2035" customFormat="false" ht="15" hidden="false" customHeight="true" outlineLevel="0" collapsed="false">
      <c r="A2035" s="32"/>
      <c r="B2035" s="32"/>
      <c r="C2035" s="32"/>
      <c r="D2035" s="32"/>
      <c r="E2035" s="34" t="str">
        <f aca="false">IF($B2035="","",IF($B2035="OUT","Liters",IFERROR(INDEX(Setup!$F$3:$F$24,MATCH($C2035,Setup!$A$3:$A$24,0)),"")))</f>
        <v/>
      </c>
      <c r="F2035" s="28" t="str">
        <f aca="false">IF(OR($D2035="",$E2035=""),"",IFERROR($D2035*INDEX(Setup!$B$27:$B$44,MATCH($E2035,Setup!$A$27:$A$44,0)),"TBD"))</f>
        <v/>
      </c>
      <c r="G2035" s="32"/>
      <c r="H2035" s="32"/>
      <c r="I2035" s="32"/>
      <c r="J2035" s="32"/>
      <c r="K2035" s="35"/>
      <c r="L2035" s="32"/>
      <c r="M2035" s="32"/>
    </row>
    <row r="2036" customFormat="false" ht="15" hidden="false" customHeight="true" outlineLevel="0" collapsed="false">
      <c r="A2036" s="32"/>
      <c r="B2036" s="32"/>
      <c r="C2036" s="32"/>
      <c r="D2036" s="32"/>
      <c r="E2036" s="34" t="str">
        <f aca="false">IF($B2036="","",IF($B2036="OUT","Liters",IFERROR(INDEX(Setup!$F$3:$F$24,MATCH($C2036,Setup!$A$3:$A$24,0)),"")))</f>
        <v/>
      </c>
      <c r="F2036" s="28" t="str">
        <f aca="false">IF(OR($D2036="",$E2036=""),"",IFERROR($D2036*INDEX(Setup!$B$27:$B$44,MATCH($E2036,Setup!$A$27:$A$44,0)),"TBD"))</f>
        <v/>
      </c>
      <c r="G2036" s="32"/>
      <c r="H2036" s="32"/>
      <c r="I2036" s="32"/>
      <c r="J2036" s="32"/>
      <c r="K2036" s="35"/>
      <c r="L2036" s="32"/>
      <c r="M2036" s="32"/>
    </row>
    <row r="2037" customFormat="false" ht="15" hidden="false" customHeight="true" outlineLevel="0" collapsed="false">
      <c r="A2037" s="32"/>
      <c r="B2037" s="32"/>
      <c r="C2037" s="32"/>
      <c r="D2037" s="32"/>
      <c r="E2037" s="34" t="str">
        <f aca="false">IF($B2037="","",IF($B2037="OUT","Liters",IFERROR(INDEX(Setup!$F$3:$F$24,MATCH($C2037,Setup!$A$3:$A$24,0)),"")))</f>
        <v/>
      </c>
      <c r="F2037" s="28" t="str">
        <f aca="false">IF(OR($D2037="",$E2037=""),"",IFERROR($D2037*INDEX(Setup!$B$27:$B$44,MATCH($E2037,Setup!$A$27:$A$44,0)),"TBD"))</f>
        <v/>
      </c>
      <c r="G2037" s="32"/>
      <c r="H2037" s="32"/>
      <c r="I2037" s="32"/>
      <c r="J2037" s="32"/>
      <c r="K2037" s="35"/>
      <c r="L2037" s="32"/>
      <c r="M2037" s="32"/>
    </row>
    <row r="2038" customFormat="false" ht="15" hidden="false" customHeight="true" outlineLevel="0" collapsed="false">
      <c r="A2038" s="32"/>
      <c r="B2038" s="32"/>
      <c r="C2038" s="32"/>
      <c r="D2038" s="32"/>
      <c r="E2038" s="34" t="str">
        <f aca="false">IF($B2038="","",IF($B2038="OUT","Liters",IFERROR(INDEX(Setup!$F$3:$F$24,MATCH($C2038,Setup!$A$3:$A$24,0)),"")))</f>
        <v/>
      </c>
      <c r="F2038" s="28" t="str">
        <f aca="false">IF(OR($D2038="",$E2038=""),"",IFERROR($D2038*INDEX(Setup!$B$27:$B$44,MATCH($E2038,Setup!$A$27:$A$44,0)),"TBD"))</f>
        <v/>
      </c>
      <c r="G2038" s="32"/>
      <c r="H2038" s="32"/>
      <c r="I2038" s="32"/>
      <c r="J2038" s="32"/>
      <c r="K2038" s="35"/>
      <c r="L2038" s="32"/>
      <c r="M2038" s="32"/>
    </row>
    <row r="2039" customFormat="false" ht="15" hidden="false" customHeight="true" outlineLevel="0" collapsed="false">
      <c r="A2039" s="32"/>
      <c r="B2039" s="32"/>
      <c r="C2039" s="32"/>
      <c r="D2039" s="32"/>
      <c r="E2039" s="34" t="str">
        <f aca="false">IF($B2039="","",IF($B2039="OUT","Liters",IFERROR(INDEX(Setup!$F$3:$F$24,MATCH($C2039,Setup!$A$3:$A$24,0)),"")))</f>
        <v/>
      </c>
      <c r="F2039" s="28" t="str">
        <f aca="false">IF(OR($D2039="",$E2039=""),"",IFERROR($D2039*INDEX(Setup!$B$27:$B$44,MATCH($E2039,Setup!$A$27:$A$44,0)),"TBD"))</f>
        <v/>
      </c>
      <c r="G2039" s="32"/>
      <c r="H2039" s="32"/>
      <c r="I2039" s="32"/>
      <c r="J2039" s="32"/>
      <c r="K2039" s="35"/>
      <c r="L2039" s="32"/>
      <c r="M2039" s="32"/>
    </row>
    <row r="2040" customFormat="false" ht="15" hidden="false" customHeight="true" outlineLevel="0" collapsed="false">
      <c r="A2040" s="32"/>
      <c r="B2040" s="32"/>
      <c r="C2040" s="32"/>
      <c r="D2040" s="32"/>
      <c r="E2040" s="34" t="str">
        <f aca="false">IF($B2040="","",IF($B2040="OUT","Liters",IFERROR(INDEX(Setup!$F$3:$F$24,MATCH($C2040,Setup!$A$3:$A$24,0)),"")))</f>
        <v/>
      </c>
      <c r="F2040" s="28" t="str">
        <f aca="false">IF(OR($D2040="",$E2040=""),"",IFERROR($D2040*INDEX(Setup!$B$27:$B$44,MATCH($E2040,Setup!$A$27:$A$44,0)),"TBD"))</f>
        <v/>
      </c>
      <c r="G2040" s="32"/>
      <c r="H2040" s="32"/>
      <c r="I2040" s="32"/>
      <c r="J2040" s="32"/>
      <c r="K2040" s="35"/>
      <c r="L2040" s="32"/>
      <c r="M2040" s="32"/>
    </row>
    <row r="2041" customFormat="false" ht="15" hidden="false" customHeight="true" outlineLevel="0" collapsed="false">
      <c r="A2041" s="32"/>
      <c r="B2041" s="32"/>
      <c r="C2041" s="32"/>
      <c r="D2041" s="32"/>
      <c r="E2041" s="34" t="str">
        <f aca="false">IF($B2041="","",IF($B2041="OUT","Liters",IFERROR(INDEX(Setup!$F$3:$F$24,MATCH($C2041,Setup!$A$3:$A$24,0)),"")))</f>
        <v/>
      </c>
      <c r="F2041" s="28" t="str">
        <f aca="false">IF(OR($D2041="",$E2041=""),"",IFERROR($D2041*INDEX(Setup!$B$27:$B$44,MATCH($E2041,Setup!$A$27:$A$44,0)),"TBD"))</f>
        <v/>
      </c>
      <c r="G2041" s="32"/>
      <c r="H2041" s="32"/>
      <c r="I2041" s="32"/>
      <c r="J2041" s="32"/>
      <c r="K2041" s="35"/>
      <c r="L2041" s="32"/>
      <c r="M2041" s="32"/>
    </row>
    <row r="2042" customFormat="false" ht="15" hidden="false" customHeight="true" outlineLevel="0" collapsed="false">
      <c r="A2042" s="32"/>
      <c r="B2042" s="32"/>
      <c r="C2042" s="32"/>
      <c r="D2042" s="32"/>
      <c r="E2042" s="34" t="str">
        <f aca="false">IF($B2042="","",IF($B2042="OUT","Liters",IFERROR(INDEX(Setup!$F$3:$F$24,MATCH($C2042,Setup!$A$3:$A$24,0)),"")))</f>
        <v/>
      </c>
      <c r="F2042" s="28" t="str">
        <f aca="false">IF(OR($D2042="",$E2042=""),"",IFERROR($D2042*INDEX(Setup!$B$27:$B$44,MATCH($E2042,Setup!$A$27:$A$44,0)),"TBD"))</f>
        <v/>
      </c>
      <c r="G2042" s="32"/>
      <c r="H2042" s="32"/>
      <c r="I2042" s="32"/>
      <c r="J2042" s="32"/>
      <c r="K2042" s="35"/>
      <c r="L2042" s="32"/>
      <c r="M2042" s="32"/>
    </row>
    <row r="2043" customFormat="false" ht="15" hidden="false" customHeight="true" outlineLevel="0" collapsed="false">
      <c r="A2043" s="32"/>
      <c r="B2043" s="32"/>
      <c r="C2043" s="32"/>
      <c r="D2043" s="32"/>
      <c r="E2043" s="34" t="str">
        <f aca="false">IF($B2043="","",IF($B2043="OUT","Liters",IFERROR(INDEX(Setup!$F$3:$F$24,MATCH($C2043,Setup!$A$3:$A$24,0)),"")))</f>
        <v/>
      </c>
      <c r="F2043" s="28" t="str">
        <f aca="false">IF(OR($D2043="",$E2043=""),"",IFERROR($D2043*INDEX(Setup!$B$27:$B$44,MATCH($E2043,Setup!$A$27:$A$44,0)),"TBD"))</f>
        <v/>
      </c>
      <c r="G2043" s="32"/>
      <c r="H2043" s="32"/>
      <c r="I2043" s="32"/>
      <c r="J2043" s="32"/>
      <c r="K2043" s="35"/>
      <c r="L2043" s="32"/>
      <c r="M2043" s="32"/>
    </row>
    <row r="2044" customFormat="false" ht="15" hidden="false" customHeight="true" outlineLevel="0" collapsed="false">
      <c r="A2044" s="32"/>
      <c r="B2044" s="32"/>
      <c r="C2044" s="32"/>
      <c r="D2044" s="32"/>
      <c r="E2044" s="34" t="str">
        <f aca="false">IF($B2044="","",IF($B2044="OUT","Liters",IFERROR(INDEX(Setup!$F$3:$F$24,MATCH($C2044,Setup!$A$3:$A$24,0)),"")))</f>
        <v/>
      </c>
      <c r="F2044" s="28" t="str">
        <f aca="false">IF(OR($D2044="",$E2044=""),"",IFERROR($D2044*INDEX(Setup!$B$27:$B$44,MATCH($E2044,Setup!$A$27:$A$44,0)),"TBD"))</f>
        <v/>
      </c>
      <c r="G2044" s="32"/>
      <c r="H2044" s="32"/>
      <c r="I2044" s="32"/>
      <c r="J2044" s="32"/>
      <c r="K2044" s="35"/>
      <c r="L2044" s="32"/>
      <c r="M2044" s="32"/>
    </row>
    <row r="2045" customFormat="false" ht="15" hidden="false" customHeight="true" outlineLevel="0" collapsed="false">
      <c r="A2045" s="32"/>
      <c r="B2045" s="32"/>
      <c r="C2045" s="32"/>
      <c r="D2045" s="32"/>
      <c r="E2045" s="34" t="str">
        <f aca="false">IF($B2045="","",IF($B2045="OUT","Liters",IFERROR(INDEX(Setup!$F$3:$F$24,MATCH($C2045,Setup!$A$3:$A$24,0)),"")))</f>
        <v/>
      </c>
      <c r="F2045" s="28" t="str">
        <f aca="false">IF(OR($D2045="",$E2045=""),"",IFERROR($D2045*INDEX(Setup!$B$27:$B$44,MATCH($E2045,Setup!$A$27:$A$44,0)),"TBD"))</f>
        <v/>
      </c>
      <c r="G2045" s="32"/>
      <c r="H2045" s="32"/>
      <c r="I2045" s="32"/>
      <c r="J2045" s="32"/>
      <c r="K2045" s="35"/>
      <c r="L2045" s="32"/>
      <c r="M2045" s="32"/>
    </row>
    <row r="2046" customFormat="false" ht="15" hidden="false" customHeight="true" outlineLevel="0" collapsed="false">
      <c r="A2046" s="32"/>
      <c r="B2046" s="32"/>
      <c r="C2046" s="32"/>
      <c r="D2046" s="32"/>
      <c r="E2046" s="34" t="str">
        <f aca="false">IF($B2046="","",IF($B2046="OUT","Liters",IFERROR(INDEX(Setup!$F$3:$F$24,MATCH($C2046,Setup!$A$3:$A$24,0)),"")))</f>
        <v/>
      </c>
      <c r="F2046" s="28" t="str">
        <f aca="false">IF(OR($D2046="",$E2046=""),"",IFERROR($D2046*INDEX(Setup!$B$27:$B$44,MATCH($E2046,Setup!$A$27:$A$44,0)),"TBD"))</f>
        <v/>
      </c>
      <c r="G2046" s="32"/>
      <c r="H2046" s="32"/>
      <c r="I2046" s="32"/>
      <c r="J2046" s="32"/>
      <c r="K2046" s="35"/>
      <c r="L2046" s="32"/>
      <c r="M2046" s="32"/>
    </row>
    <row r="2047" customFormat="false" ht="15" hidden="false" customHeight="true" outlineLevel="0" collapsed="false">
      <c r="A2047" s="32"/>
      <c r="B2047" s="32"/>
      <c r="C2047" s="32"/>
      <c r="D2047" s="32"/>
      <c r="E2047" s="34" t="str">
        <f aca="false">IF($B2047="","",IF($B2047="OUT","Liters",IFERROR(INDEX(Setup!$F$3:$F$24,MATCH($C2047,Setup!$A$3:$A$24,0)),"")))</f>
        <v/>
      </c>
      <c r="F2047" s="28" t="str">
        <f aca="false">IF(OR($D2047="",$E2047=""),"",IFERROR($D2047*INDEX(Setup!$B$27:$B$44,MATCH($E2047,Setup!$A$27:$A$44,0)),"TBD"))</f>
        <v/>
      </c>
      <c r="G2047" s="32"/>
      <c r="H2047" s="32"/>
      <c r="I2047" s="32"/>
      <c r="J2047" s="32"/>
      <c r="K2047" s="35"/>
      <c r="L2047" s="32"/>
      <c r="M2047" s="32"/>
    </row>
    <row r="2048" customFormat="false" ht="15" hidden="false" customHeight="true" outlineLevel="0" collapsed="false">
      <c r="A2048" s="32"/>
      <c r="B2048" s="32"/>
      <c r="C2048" s="32"/>
      <c r="D2048" s="32"/>
      <c r="E2048" s="34" t="str">
        <f aca="false">IF($B2048="","",IF($B2048="OUT","Liters",IFERROR(INDEX(Setup!$F$3:$F$24,MATCH($C2048,Setup!$A$3:$A$24,0)),"")))</f>
        <v/>
      </c>
      <c r="F2048" s="28" t="str">
        <f aca="false">IF(OR($D2048="",$E2048=""),"",IFERROR($D2048*INDEX(Setup!$B$27:$B$44,MATCH($E2048,Setup!$A$27:$A$44,0)),"TBD"))</f>
        <v/>
      </c>
      <c r="G2048" s="32"/>
      <c r="H2048" s="32"/>
      <c r="I2048" s="32"/>
      <c r="J2048" s="32"/>
      <c r="K2048" s="35"/>
      <c r="L2048" s="32"/>
      <c r="M2048" s="32"/>
    </row>
    <row r="2049" customFormat="false" ht="15" hidden="false" customHeight="true" outlineLevel="0" collapsed="false">
      <c r="A2049" s="32"/>
      <c r="B2049" s="32"/>
      <c r="C2049" s="32"/>
      <c r="D2049" s="32"/>
      <c r="E2049" s="34" t="str">
        <f aca="false">IF($B2049="","",IF($B2049="OUT","Liters",IFERROR(INDEX(Setup!$F$3:$F$24,MATCH($C2049,Setup!$A$3:$A$24,0)),"")))</f>
        <v/>
      </c>
      <c r="F2049" s="28" t="str">
        <f aca="false">IF(OR($D2049="",$E2049=""),"",IFERROR($D2049*INDEX(Setup!$B$27:$B$44,MATCH($E2049,Setup!$A$27:$A$44,0)),"TBD"))</f>
        <v/>
      </c>
      <c r="G2049" s="32"/>
      <c r="H2049" s="32"/>
      <c r="I2049" s="32"/>
      <c r="J2049" s="32"/>
      <c r="K2049" s="35"/>
      <c r="L2049" s="32"/>
      <c r="M2049" s="32"/>
    </row>
    <row r="2050" customFormat="false" ht="15" hidden="false" customHeight="true" outlineLevel="0" collapsed="false">
      <c r="A2050" s="32"/>
      <c r="B2050" s="32"/>
      <c r="C2050" s="32"/>
      <c r="D2050" s="32"/>
      <c r="E2050" s="34" t="str">
        <f aca="false">IF($B2050="","",IF($B2050="OUT","Liters",IFERROR(INDEX(Setup!$F$3:$F$24,MATCH($C2050,Setup!$A$3:$A$24,0)),"")))</f>
        <v/>
      </c>
      <c r="F2050" s="28" t="str">
        <f aca="false">IF(OR($D2050="",$E2050=""),"",IFERROR($D2050*INDEX(Setup!$B$27:$B$44,MATCH($E2050,Setup!$A$27:$A$44,0)),"TBD"))</f>
        <v/>
      </c>
      <c r="G2050" s="32"/>
      <c r="H2050" s="32"/>
      <c r="I2050" s="32"/>
      <c r="J2050" s="32"/>
      <c r="K2050" s="35"/>
      <c r="L2050" s="32"/>
      <c r="M2050" s="32"/>
    </row>
    <row r="2051" customFormat="false" ht="15" hidden="false" customHeight="true" outlineLevel="0" collapsed="false">
      <c r="A2051" s="32"/>
      <c r="B2051" s="32"/>
      <c r="C2051" s="32"/>
      <c r="D2051" s="32"/>
      <c r="E2051" s="34" t="str">
        <f aca="false">IF($B2051="","",IF($B2051="OUT","Liters",IFERROR(INDEX(Setup!$F$3:$F$24,MATCH($C2051,Setup!$A$3:$A$24,0)),"")))</f>
        <v/>
      </c>
      <c r="F2051" s="28" t="str">
        <f aca="false">IF(OR($D2051="",$E2051=""),"",IFERROR($D2051*INDEX(Setup!$B$27:$B$44,MATCH($E2051,Setup!$A$27:$A$44,0)),"TBD"))</f>
        <v/>
      </c>
      <c r="G2051" s="32"/>
      <c r="H2051" s="32"/>
      <c r="I2051" s="32"/>
      <c r="J2051" s="32"/>
      <c r="K2051" s="35"/>
      <c r="L2051" s="32"/>
      <c r="M2051" s="32"/>
    </row>
    <row r="2052" customFormat="false" ht="15" hidden="false" customHeight="true" outlineLevel="0" collapsed="false">
      <c r="A2052" s="32"/>
      <c r="B2052" s="32"/>
      <c r="C2052" s="32"/>
      <c r="D2052" s="32"/>
      <c r="E2052" s="34" t="str">
        <f aca="false">IF($B2052="","",IF($B2052="OUT","Liters",IFERROR(INDEX(Setup!$F$3:$F$24,MATCH($C2052,Setup!$A$3:$A$24,0)),"")))</f>
        <v/>
      </c>
      <c r="F2052" s="28" t="str">
        <f aca="false">IF(OR($D2052="",$E2052=""),"",IFERROR($D2052*INDEX(Setup!$B$27:$B$44,MATCH($E2052,Setup!$A$27:$A$44,0)),"TBD"))</f>
        <v/>
      </c>
      <c r="G2052" s="32"/>
      <c r="H2052" s="32"/>
      <c r="I2052" s="32"/>
      <c r="J2052" s="32"/>
      <c r="K2052" s="35"/>
      <c r="L2052" s="32"/>
      <c r="M2052" s="32"/>
    </row>
    <row r="2053" customFormat="false" ht="15" hidden="false" customHeight="true" outlineLevel="0" collapsed="false">
      <c r="A2053" s="32"/>
      <c r="B2053" s="32"/>
      <c r="C2053" s="32"/>
      <c r="D2053" s="32"/>
      <c r="E2053" s="34" t="str">
        <f aca="false">IF($B2053="","",IF($B2053="OUT","Liters",IFERROR(INDEX(Setup!$F$3:$F$24,MATCH($C2053,Setup!$A$3:$A$24,0)),"")))</f>
        <v/>
      </c>
      <c r="F2053" s="28" t="str">
        <f aca="false">IF(OR($D2053="",$E2053=""),"",IFERROR($D2053*INDEX(Setup!$B$27:$B$44,MATCH($E2053,Setup!$A$27:$A$44,0)),"TBD"))</f>
        <v/>
      </c>
      <c r="G2053" s="32"/>
      <c r="H2053" s="32"/>
      <c r="I2053" s="32"/>
      <c r="J2053" s="32"/>
      <c r="K2053" s="35"/>
      <c r="L2053" s="32"/>
      <c r="M2053" s="32"/>
    </row>
    <row r="2054" customFormat="false" ht="15" hidden="false" customHeight="true" outlineLevel="0" collapsed="false">
      <c r="A2054" s="32"/>
      <c r="B2054" s="32"/>
      <c r="C2054" s="32"/>
      <c r="D2054" s="32"/>
      <c r="E2054" s="34" t="str">
        <f aca="false">IF($B2054="","",IF($B2054="OUT","Liters",IFERROR(INDEX(Setup!$F$3:$F$24,MATCH($C2054,Setup!$A$3:$A$24,0)),"")))</f>
        <v/>
      </c>
      <c r="F2054" s="28" t="str">
        <f aca="false">IF(OR($D2054="",$E2054=""),"",IFERROR($D2054*INDEX(Setup!$B$27:$B$44,MATCH($E2054,Setup!$A$27:$A$44,0)),"TBD"))</f>
        <v/>
      </c>
      <c r="G2054" s="32"/>
      <c r="H2054" s="32"/>
      <c r="I2054" s="32"/>
      <c r="J2054" s="32"/>
      <c r="K2054" s="35"/>
      <c r="L2054" s="32"/>
      <c r="M2054" s="32"/>
    </row>
    <row r="2055" customFormat="false" ht="15" hidden="false" customHeight="true" outlineLevel="0" collapsed="false">
      <c r="A2055" s="32"/>
      <c r="B2055" s="32"/>
      <c r="C2055" s="32"/>
      <c r="D2055" s="32"/>
      <c r="E2055" s="34" t="str">
        <f aca="false">IF($B2055="","",IF($B2055="OUT","Liters",IFERROR(INDEX(Setup!$F$3:$F$24,MATCH($C2055,Setup!$A$3:$A$24,0)),"")))</f>
        <v/>
      </c>
      <c r="F2055" s="28" t="str">
        <f aca="false">IF(OR($D2055="",$E2055=""),"",IFERROR($D2055*INDEX(Setup!$B$27:$B$44,MATCH($E2055,Setup!$A$27:$A$44,0)),"TBD"))</f>
        <v/>
      </c>
      <c r="G2055" s="32"/>
      <c r="H2055" s="32"/>
      <c r="I2055" s="32"/>
      <c r="J2055" s="32"/>
      <c r="K2055" s="35"/>
      <c r="L2055" s="32"/>
      <c r="M2055" s="32"/>
    </row>
    <row r="2056" customFormat="false" ht="15" hidden="false" customHeight="true" outlineLevel="0" collapsed="false">
      <c r="A2056" s="32"/>
      <c r="B2056" s="32"/>
      <c r="C2056" s="32"/>
      <c r="D2056" s="32"/>
      <c r="E2056" s="34" t="str">
        <f aca="false">IF($B2056="","",IF($B2056="OUT","Liters",IFERROR(INDEX(Setup!$F$3:$F$24,MATCH($C2056,Setup!$A$3:$A$24,0)),"")))</f>
        <v/>
      </c>
      <c r="F2056" s="28" t="str">
        <f aca="false">IF(OR($D2056="",$E2056=""),"",IFERROR($D2056*INDEX(Setup!$B$27:$B$44,MATCH($E2056,Setup!$A$27:$A$44,0)),"TBD"))</f>
        <v/>
      </c>
      <c r="G2056" s="32"/>
      <c r="H2056" s="32"/>
      <c r="I2056" s="32"/>
      <c r="J2056" s="32"/>
      <c r="K2056" s="35"/>
      <c r="L2056" s="32"/>
      <c r="M2056" s="32"/>
    </row>
    <row r="2057" customFormat="false" ht="15" hidden="false" customHeight="true" outlineLevel="0" collapsed="false">
      <c r="A2057" s="32"/>
      <c r="B2057" s="32"/>
      <c r="C2057" s="32"/>
      <c r="D2057" s="32"/>
      <c r="E2057" s="34" t="str">
        <f aca="false">IF($B2057="","",IF($B2057="OUT","Liters",IFERROR(INDEX(Setup!$F$3:$F$24,MATCH($C2057,Setup!$A$3:$A$24,0)),"")))</f>
        <v/>
      </c>
      <c r="F2057" s="28" t="str">
        <f aca="false">IF(OR($D2057="",$E2057=""),"",IFERROR($D2057*INDEX(Setup!$B$27:$B$44,MATCH($E2057,Setup!$A$27:$A$44,0)),"TBD"))</f>
        <v/>
      </c>
      <c r="G2057" s="32"/>
      <c r="H2057" s="32"/>
      <c r="I2057" s="32"/>
      <c r="J2057" s="32"/>
      <c r="K2057" s="35"/>
      <c r="L2057" s="32"/>
      <c r="M2057" s="32"/>
    </row>
    <row r="2058" customFormat="false" ht="15" hidden="false" customHeight="true" outlineLevel="0" collapsed="false">
      <c r="A2058" s="32"/>
      <c r="B2058" s="32"/>
      <c r="C2058" s="32"/>
      <c r="D2058" s="32"/>
      <c r="E2058" s="34" t="str">
        <f aca="false">IF($B2058="","",IF($B2058="OUT","Liters",IFERROR(INDEX(Setup!$F$3:$F$24,MATCH($C2058,Setup!$A$3:$A$24,0)),"")))</f>
        <v/>
      </c>
      <c r="F2058" s="28" t="str">
        <f aca="false">IF(OR($D2058="",$E2058=""),"",IFERROR($D2058*INDEX(Setup!$B$27:$B$44,MATCH($E2058,Setup!$A$27:$A$44,0)),"TBD"))</f>
        <v/>
      </c>
      <c r="G2058" s="32"/>
      <c r="H2058" s="32"/>
      <c r="I2058" s="32"/>
      <c r="J2058" s="32"/>
      <c r="K2058" s="35"/>
      <c r="L2058" s="32"/>
      <c r="M2058" s="32"/>
    </row>
    <row r="2059" customFormat="false" ht="15" hidden="false" customHeight="true" outlineLevel="0" collapsed="false">
      <c r="A2059" s="32"/>
      <c r="B2059" s="32"/>
      <c r="C2059" s="32"/>
      <c r="D2059" s="32"/>
      <c r="E2059" s="34" t="str">
        <f aca="false">IF($B2059="","",IF($B2059="OUT","Liters",IFERROR(INDEX(Setup!$F$3:$F$24,MATCH($C2059,Setup!$A$3:$A$24,0)),"")))</f>
        <v/>
      </c>
      <c r="F2059" s="28" t="str">
        <f aca="false">IF(OR($D2059="",$E2059=""),"",IFERROR($D2059*INDEX(Setup!$B$27:$B$44,MATCH($E2059,Setup!$A$27:$A$44,0)),"TBD"))</f>
        <v/>
      </c>
      <c r="G2059" s="32"/>
      <c r="H2059" s="32"/>
      <c r="I2059" s="32"/>
      <c r="J2059" s="32"/>
      <c r="K2059" s="35"/>
      <c r="L2059" s="32"/>
      <c r="M2059" s="32"/>
    </row>
    <row r="2060" customFormat="false" ht="15" hidden="false" customHeight="true" outlineLevel="0" collapsed="false">
      <c r="A2060" s="32"/>
      <c r="B2060" s="32"/>
      <c r="C2060" s="32"/>
      <c r="D2060" s="32"/>
      <c r="E2060" s="34" t="str">
        <f aca="false">IF($B2060="","",IF($B2060="OUT","Liters",IFERROR(INDEX(Setup!$F$3:$F$24,MATCH($C2060,Setup!$A$3:$A$24,0)),"")))</f>
        <v/>
      </c>
      <c r="F2060" s="28" t="str">
        <f aca="false">IF(OR($D2060="",$E2060=""),"",IFERROR($D2060*INDEX(Setup!$B$27:$B$44,MATCH($E2060,Setup!$A$27:$A$44,0)),"TBD"))</f>
        <v/>
      </c>
      <c r="G2060" s="32"/>
      <c r="H2060" s="32"/>
      <c r="I2060" s="32"/>
      <c r="J2060" s="32"/>
      <c r="K2060" s="35"/>
      <c r="L2060" s="32"/>
      <c r="M2060" s="32"/>
    </row>
    <row r="2061" customFormat="false" ht="15" hidden="false" customHeight="true" outlineLevel="0" collapsed="false">
      <c r="A2061" s="32"/>
      <c r="B2061" s="32"/>
      <c r="C2061" s="32"/>
      <c r="D2061" s="32"/>
      <c r="E2061" s="34" t="str">
        <f aca="false">IF($B2061="","",IF($B2061="OUT","Liters",IFERROR(INDEX(Setup!$F$3:$F$24,MATCH($C2061,Setup!$A$3:$A$24,0)),"")))</f>
        <v/>
      </c>
      <c r="F2061" s="28" t="str">
        <f aca="false">IF(OR($D2061="",$E2061=""),"",IFERROR($D2061*INDEX(Setup!$B$27:$B$44,MATCH($E2061,Setup!$A$27:$A$44,0)),"TBD"))</f>
        <v/>
      </c>
      <c r="G2061" s="32"/>
      <c r="H2061" s="32"/>
      <c r="I2061" s="32"/>
      <c r="J2061" s="32"/>
      <c r="K2061" s="35"/>
      <c r="L2061" s="32"/>
      <c r="M2061" s="32"/>
    </row>
    <row r="2062" customFormat="false" ht="15" hidden="false" customHeight="true" outlineLevel="0" collapsed="false">
      <c r="A2062" s="32"/>
      <c r="B2062" s="32"/>
      <c r="C2062" s="32"/>
      <c r="D2062" s="32"/>
      <c r="E2062" s="34" t="str">
        <f aca="false">IF($B2062="","",IF($B2062="OUT","Liters",IFERROR(INDEX(Setup!$F$3:$F$24,MATCH($C2062,Setup!$A$3:$A$24,0)),"")))</f>
        <v/>
      </c>
      <c r="F2062" s="28" t="str">
        <f aca="false">IF(OR($D2062="",$E2062=""),"",IFERROR($D2062*INDEX(Setup!$B$27:$B$44,MATCH($E2062,Setup!$A$27:$A$44,0)),"TBD"))</f>
        <v/>
      </c>
      <c r="G2062" s="32"/>
      <c r="H2062" s="32"/>
      <c r="I2062" s="32"/>
      <c r="J2062" s="32"/>
      <c r="K2062" s="35"/>
      <c r="L2062" s="32"/>
      <c r="M2062" s="32"/>
    </row>
    <row r="2063" customFormat="false" ht="15" hidden="false" customHeight="true" outlineLevel="0" collapsed="false">
      <c r="A2063" s="32"/>
      <c r="B2063" s="32"/>
      <c r="C2063" s="32"/>
      <c r="D2063" s="32"/>
      <c r="E2063" s="34" t="str">
        <f aca="false">IF($B2063="","",IF($B2063="OUT","Liters",IFERROR(INDEX(Setup!$F$3:$F$24,MATCH($C2063,Setup!$A$3:$A$24,0)),"")))</f>
        <v/>
      </c>
      <c r="F2063" s="28" t="str">
        <f aca="false">IF(OR($D2063="",$E2063=""),"",IFERROR($D2063*INDEX(Setup!$B$27:$B$44,MATCH($E2063,Setup!$A$27:$A$44,0)),"TBD"))</f>
        <v/>
      </c>
      <c r="G2063" s="32"/>
      <c r="H2063" s="32"/>
      <c r="I2063" s="32"/>
      <c r="J2063" s="32"/>
      <c r="K2063" s="35"/>
      <c r="L2063" s="32"/>
      <c r="M2063" s="32"/>
    </row>
    <row r="2064" customFormat="false" ht="15" hidden="false" customHeight="true" outlineLevel="0" collapsed="false">
      <c r="A2064" s="32"/>
      <c r="B2064" s="32"/>
      <c r="C2064" s="32"/>
      <c r="D2064" s="32"/>
      <c r="E2064" s="34" t="str">
        <f aca="false">IF($B2064="","",IF($B2064="OUT","Liters",IFERROR(INDEX(Setup!$F$3:$F$24,MATCH($C2064,Setup!$A$3:$A$24,0)),"")))</f>
        <v/>
      </c>
      <c r="F2064" s="28" t="str">
        <f aca="false">IF(OR($D2064="",$E2064=""),"",IFERROR($D2064*INDEX(Setup!$B$27:$B$44,MATCH($E2064,Setup!$A$27:$A$44,0)),"TBD"))</f>
        <v/>
      </c>
      <c r="G2064" s="32"/>
      <c r="H2064" s="32"/>
      <c r="I2064" s="32"/>
      <c r="J2064" s="32"/>
      <c r="K2064" s="35"/>
      <c r="L2064" s="32"/>
      <c r="M2064" s="32"/>
    </row>
    <row r="2065" customFormat="false" ht="15" hidden="false" customHeight="true" outlineLevel="0" collapsed="false">
      <c r="A2065" s="32"/>
      <c r="B2065" s="32"/>
      <c r="C2065" s="32"/>
      <c r="D2065" s="32"/>
      <c r="E2065" s="34" t="str">
        <f aca="false">IF($B2065="","",IF($B2065="OUT","Liters",IFERROR(INDEX(Setup!$F$3:$F$24,MATCH($C2065,Setup!$A$3:$A$24,0)),"")))</f>
        <v/>
      </c>
      <c r="F2065" s="28" t="str">
        <f aca="false">IF(OR($D2065="",$E2065=""),"",IFERROR($D2065*INDEX(Setup!$B$27:$B$44,MATCH($E2065,Setup!$A$27:$A$44,0)),"TBD"))</f>
        <v/>
      </c>
      <c r="G2065" s="32"/>
      <c r="H2065" s="32"/>
      <c r="I2065" s="32"/>
      <c r="J2065" s="32"/>
      <c r="K2065" s="35"/>
      <c r="L2065" s="32"/>
      <c r="M2065" s="32"/>
    </row>
    <row r="2066" customFormat="false" ht="15" hidden="false" customHeight="true" outlineLevel="0" collapsed="false">
      <c r="A2066" s="32"/>
      <c r="B2066" s="32"/>
      <c r="C2066" s="32"/>
      <c r="D2066" s="32"/>
      <c r="E2066" s="34" t="str">
        <f aca="false">IF($B2066="","",IF($B2066="OUT","Liters",IFERROR(INDEX(Setup!$F$3:$F$24,MATCH($C2066,Setup!$A$3:$A$24,0)),"")))</f>
        <v/>
      </c>
      <c r="F2066" s="28" t="str">
        <f aca="false">IF(OR($D2066="",$E2066=""),"",IFERROR($D2066*INDEX(Setup!$B$27:$B$44,MATCH($E2066,Setup!$A$27:$A$44,0)),"TBD"))</f>
        <v/>
      </c>
      <c r="G2066" s="32"/>
      <c r="H2066" s="32"/>
      <c r="I2066" s="32"/>
      <c r="J2066" s="32"/>
      <c r="K2066" s="35"/>
      <c r="L2066" s="32"/>
      <c r="M2066" s="32"/>
    </row>
    <row r="2067" customFormat="false" ht="15" hidden="false" customHeight="true" outlineLevel="0" collapsed="false">
      <c r="A2067" s="32"/>
      <c r="B2067" s="32"/>
      <c r="C2067" s="32"/>
      <c r="D2067" s="32"/>
      <c r="E2067" s="34" t="str">
        <f aca="false">IF($B2067="","",IF($B2067="OUT","Liters",IFERROR(INDEX(Setup!$F$3:$F$24,MATCH($C2067,Setup!$A$3:$A$24,0)),"")))</f>
        <v/>
      </c>
      <c r="F2067" s="28" t="str">
        <f aca="false">IF(OR($D2067="",$E2067=""),"",IFERROR($D2067*INDEX(Setup!$B$27:$B$44,MATCH($E2067,Setup!$A$27:$A$44,0)),"TBD"))</f>
        <v/>
      </c>
      <c r="G2067" s="32"/>
      <c r="H2067" s="32"/>
      <c r="I2067" s="32"/>
      <c r="J2067" s="32"/>
      <c r="K2067" s="35"/>
      <c r="L2067" s="32"/>
      <c r="M2067" s="32"/>
    </row>
    <row r="2068" customFormat="false" ht="15" hidden="false" customHeight="true" outlineLevel="0" collapsed="false">
      <c r="A2068" s="32"/>
      <c r="B2068" s="32"/>
      <c r="C2068" s="32"/>
      <c r="D2068" s="32"/>
      <c r="E2068" s="34" t="str">
        <f aca="false">IF($B2068="","",IF($B2068="OUT","Liters",IFERROR(INDEX(Setup!$F$3:$F$24,MATCH($C2068,Setup!$A$3:$A$24,0)),"")))</f>
        <v/>
      </c>
      <c r="F2068" s="28" t="str">
        <f aca="false">IF(OR($D2068="",$E2068=""),"",IFERROR($D2068*INDEX(Setup!$B$27:$B$44,MATCH($E2068,Setup!$A$27:$A$44,0)),"TBD"))</f>
        <v/>
      </c>
      <c r="G2068" s="32"/>
      <c r="H2068" s="32"/>
      <c r="I2068" s="32"/>
      <c r="J2068" s="32"/>
      <c r="K2068" s="35"/>
      <c r="L2068" s="32"/>
      <c r="M2068" s="32"/>
    </row>
    <row r="2069" customFormat="false" ht="15" hidden="false" customHeight="true" outlineLevel="0" collapsed="false">
      <c r="A2069" s="32"/>
      <c r="B2069" s="32"/>
      <c r="C2069" s="32"/>
      <c r="D2069" s="32"/>
      <c r="E2069" s="34" t="str">
        <f aca="false">IF($B2069="","",IF($B2069="OUT","Liters",IFERROR(INDEX(Setup!$F$3:$F$24,MATCH($C2069,Setup!$A$3:$A$24,0)),"")))</f>
        <v/>
      </c>
      <c r="F2069" s="28" t="str">
        <f aca="false">IF(OR($D2069="",$E2069=""),"",IFERROR($D2069*INDEX(Setup!$B$27:$B$44,MATCH($E2069,Setup!$A$27:$A$44,0)),"TBD"))</f>
        <v/>
      </c>
      <c r="G2069" s="32"/>
      <c r="H2069" s="32"/>
      <c r="I2069" s="32"/>
      <c r="J2069" s="32"/>
      <c r="K2069" s="35"/>
      <c r="L2069" s="32"/>
      <c r="M2069" s="32"/>
    </row>
    <row r="2070" customFormat="false" ht="15" hidden="false" customHeight="true" outlineLevel="0" collapsed="false">
      <c r="A2070" s="32"/>
      <c r="B2070" s="32"/>
      <c r="C2070" s="32"/>
      <c r="D2070" s="32"/>
      <c r="E2070" s="34" t="str">
        <f aca="false">IF($B2070="","",IF($B2070="OUT","Liters",IFERROR(INDEX(Setup!$F$3:$F$24,MATCH($C2070,Setup!$A$3:$A$24,0)),"")))</f>
        <v/>
      </c>
      <c r="F2070" s="28" t="str">
        <f aca="false">IF(OR($D2070="",$E2070=""),"",IFERROR($D2070*INDEX(Setup!$B$27:$B$44,MATCH($E2070,Setup!$A$27:$A$44,0)),"TBD"))</f>
        <v/>
      </c>
      <c r="G2070" s="32"/>
      <c r="H2070" s="32"/>
      <c r="I2070" s="32"/>
      <c r="J2070" s="32"/>
      <c r="K2070" s="35"/>
      <c r="L2070" s="32"/>
      <c r="M2070" s="32"/>
    </row>
    <row r="2071" customFormat="false" ht="15" hidden="false" customHeight="true" outlineLevel="0" collapsed="false">
      <c r="A2071" s="32"/>
      <c r="B2071" s="32"/>
      <c r="C2071" s="32"/>
      <c r="D2071" s="32"/>
      <c r="E2071" s="34" t="str">
        <f aca="false">IF($B2071="","",IF($B2071="OUT","Liters",IFERROR(INDEX(Setup!$F$3:$F$24,MATCH($C2071,Setup!$A$3:$A$24,0)),"")))</f>
        <v/>
      </c>
      <c r="F2071" s="28" t="str">
        <f aca="false">IF(OR($D2071="",$E2071=""),"",IFERROR($D2071*INDEX(Setup!$B$27:$B$44,MATCH($E2071,Setup!$A$27:$A$44,0)),"TBD"))</f>
        <v/>
      </c>
      <c r="G2071" s="32"/>
      <c r="H2071" s="32"/>
      <c r="I2071" s="32"/>
      <c r="J2071" s="32"/>
      <c r="K2071" s="35"/>
      <c r="L2071" s="32"/>
      <c r="M2071" s="32"/>
    </row>
    <row r="2072" customFormat="false" ht="15" hidden="false" customHeight="true" outlineLevel="0" collapsed="false">
      <c r="A2072" s="32"/>
      <c r="B2072" s="32"/>
      <c r="C2072" s="32"/>
      <c r="D2072" s="32"/>
      <c r="E2072" s="34" t="str">
        <f aca="false">IF($B2072="","",IF($B2072="OUT","Liters",IFERROR(INDEX(Setup!$F$3:$F$24,MATCH($C2072,Setup!$A$3:$A$24,0)),"")))</f>
        <v/>
      </c>
      <c r="F2072" s="28" t="str">
        <f aca="false">IF(OR($D2072="",$E2072=""),"",IFERROR($D2072*INDEX(Setup!$B$27:$B$44,MATCH($E2072,Setup!$A$27:$A$44,0)),"TBD"))</f>
        <v/>
      </c>
      <c r="G2072" s="32"/>
      <c r="H2072" s="32"/>
      <c r="I2072" s="32"/>
      <c r="J2072" s="32"/>
      <c r="K2072" s="35"/>
      <c r="L2072" s="32"/>
      <c r="M2072" s="32"/>
    </row>
    <row r="2073" customFormat="false" ht="15" hidden="false" customHeight="true" outlineLevel="0" collapsed="false">
      <c r="A2073" s="32"/>
      <c r="B2073" s="32"/>
      <c r="C2073" s="32"/>
      <c r="D2073" s="32"/>
      <c r="E2073" s="34" t="str">
        <f aca="false">IF($B2073="","",IF($B2073="OUT","Liters",IFERROR(INDEX(Setup!$F$3:$F$24,MATCH($C2073,Setup!$A$3:$A$24,0)),"")))</f>
        <v/>
      </c>
      <c r="F2073" s="28" t="str">
        <f aca="false">IF(OR($D2073="",$E2073=""),"",IFERROR($D2073*INDEX(Setup!$B$27:$B$44,MATCH($E2073,Setup!$A$27:$A$44,0)),"TBD"))</f>
        <v/>
      </c>
      <c r="G2073" s="32"/>
      <c r="H2073" s="32"/>
      <c r="I2073" s="32"/>
      <c r="J2073" s="32"/>
      <c r="K2073" s="35"/>
      <c r="L2073" s="32"/>
      <c r="M2073" s="32"/>
    </row>
    <row r="2074" customFormat="false" ht="15" hidden="false" customHeight="true" outlineLevel="0" collapsed="false">
      <c r="A2074" s="32"/>
      <c r="B2074" s="32"/>
      <c r="C2074" s="32"/>
      <c r="D2074" s="32"/>
      <c r="E2074" s="34" t="str">
        <f aca="false">IF($B2074="","",IF($B2074="OUT","Liters",IFERROR(INDEX(Setup!$F$3:$F$24,MATCH($C2074,Setup!$A$3:$A$24,0)),"")))</f>
        <v/>
      </c>
      <c r="F2074" s="28" t="str">
        <f aca="false">IF(OR($D2074="",$E2074=""),"",IFERROR($D2074*INDEX(Setup!$B$27:$B$44,MATCH($E2074,Setup!$A$27:$A$44,0)),"TBD"))</f>
        <v/>
      </c>
      <c r="G2074" s="32"/>
      <c r="H2074" s="32"/>
      <c r="I2074" s="32"/>
      <c r="J2074" s="32"/>
      <c r="K2074" s="35"/>
      <c r="L2074" s="32"/>
      <c r="M2074" s="32"/>
    </row>
    <row r="2075" customFormat="false" ht="15" hidden="false" customHeight="true" outlineLevel="0" collapsed="false">
      <c r="A2075" s="32"/>
      <c r="B2075" s="32"/>
      <c r="C2075" s="32"/>
      <c r="D2075" s="32"/>
      <c r="E2075" s="34" t="str">
        <f aca="false">IF($B2075="","",IF($B2075="OUT","Liters",IFERROR(INDEX(Setup!$F$3:$F$24,MATCH($C2075,Setup!$A$3:$A$24,0)),"")))</f>
        <v/>
      </c>
      <c r="F2075" s="28" t="str">
        <f aca="false">IF(OR($D2075="",$E2075=""),"",IFERROR($D2075*INDEX(Setup!$B$27:$B$44,MATCH($E2075,Setup!$A$27:$A$44,0)),"TBD"))</f>
        <v/>
      </c>
      <c r="G2075" s="32"/>
      <c r="H2075" s="32"/>
      <c r="I2075" s="32"/>
      <c r="J2075" s="32"/>
      <c r="K2075" s="35"/>
      <c r="L2075" s="32"/>
      <c r="M2075" s="32"/>
    </row>
    <row r="2076" customFormat="false" ht="15" hidden="false" customHeight="true" outlineLevel="0" collapsed="false">
      <c r="A2076" s="32"/>
      <c r="B2076" s="32"/>
      <c r="C2076" s="32"/>
      <c r="D2076" s="32"/>
      <c r="E2076" s="34" t="str">
        <f aca="false">IF($B2076="","",IF($B2076="OUT","Liters",IFERROR(INDEX(Setup!$F$3:$F$24,MATCH($C2076,Setup!$A$3:$A$24,0)),"")))</f>
        <v/>
      </c>
      <c r="F2076" s="28" t="str">
        <f aca="false">IF(OR($D2076="",$E2076=""),"",IFERROR($D2076*INDEX(Setup!$B$27:$B$44,MATCH($E2076,Setup!$A$27:$A$44,0)),"TBD"))</f>
        <v/>
      </c>
      <c r="G2076" s="32"/>
      <c r="H2076" s="32"/>
      <c r="I2076" s="32"/>
      <c r="J2076" s="32"/>
      <c r="K2076" s="35"/>
      <c r="L2076" s="32"/>
      <c r="M2076" s="32"/>
    </row>
    <row r="2077" customFormat="false" ht="15" hidden="false" customHeight="true" outlineLevel="0" collapsed="false">
      <c r="A2077" s="32"/>
      <c r="B2077" s="32"/>
      <c r="C2077" s="32"/>
      <c r="D2077" s="32"/>
      <c r="E2077" s="34" t="str">
        <f aca="false">IF($B2077="","",IF($B2077="OUT","Liters",IFERROR(INDEX(Setup!$F$3:$F$24,MATCH($C2077,Setup!$A$3:$A$24,0)),"")))</f>
        <v/>
      </c>
      <c r="F2077" s="28" t="str">
        <f aca="false">IF(OR($D2077="",$E2077=""),"",IFERROR($D2077*INDEX(Setup!$B$27:$B$44,MATCH($E2077,Setup!$A$27:$A$44,0)),"TBD"))</f>
        <v/>
      </c>
      <c r="G2077" s="32"/>
      <c r="H2077" s="32"/>
      <c r="I2077" s="32"/>
      <c r="J2077" s="32"/>
      <c r="K2077" s="35"/>
      <c r="L2077" s="32"/>
      <c r="M2077" s="32"/>
    </row>
    <row r="2078" customFormat="false" ht="15" hidden="false" customHeight="true" outlineLevel="0" collapsed="false">
      <c r="A2078" s="32"/>
      <c r="B2078" s="32"/>
      <c r="C2078" s="32"/>
      <c r="D2078" s="32"/>
      <c r="E2078" s="34" t="str">
        <f aca="false">IF($B2078="","",IF($B2078="OUT","Liters",IFERROR(INDEX(Setup!$F$3:$F$24,MATCH($C2078,Setup!$A$3:$A$24,0)),"")))</f>
        <v/>
      </c>
      <c r="F2078" s="28" t="str">
        <f aca="false">IF(OR($D2078="",$E2078=""),"",IFERROR($D2078*INDEX(Setup!$B$27:$B$44,MATCH($E2078,Setup!$A$27:$A$44,0)),"TBD"))</f>
        <v/>
      </c>
      <c r="G2078" s="32"/>
      <c r="H2078" s="32"/>
      <c r="I2078" s="32"/>
      <c r="J2078" s="32"/>
      <c r="K2078" s="35"/>
      <c r="L2078" s="32"/>
      <c r="M2078" s="32"/>
    </row>
    <row r="2079" customFormat="false" ht="15" hidden="false" customHeight="true" outlineLevel="0" collapsed="false">
      <c r="A2079" s="32"/>
      <c r="B2079" s="32"/>
      <c r="C2079" s="32"/>
      <c r="D2079" s="32"/>
      <c r="E2079" s="34" t="str">
        <f aca="false">IF($B2079="","",IF($B2079="OUT","Liters",IFERROR(INDEX(Setup!$F$3:$F$24,MATCH($C2079,Setup!$A$3:$A$24,0)),"")))</f>
        <v/>
      </c>
      <c r="F2079" s="28" t="str">
        <f aca="false">IF(OR($D2079="",$E2079=""),"",IFERROR($D2079*INDEX(Setup!$B$27:$B$44,MATCH($E2079,Setup!$A$27:$A$44,0)),"TBD"))</f>
        <v/>
      </c>
      <c r="G2079" s="32"/>
      <c r="H2079" s="32"/>
      <c r="I2079" s="32"/>
      <c r="J2079" s="32"/>
      <c r="K2079" s="35"/>
      <c r="L2079" s="32"/>
      <c r="M2079" s="32"/>
    </row>
    <row r="2080" customFormat="false" ht="15" hidden="false" customHeight="true" outlineLevel="0" collapsed="false">
      <c r="A2080" s="32"/>
      <c r="B2080" s="32"/>
      <c r="C2080" s="32"/>
      <c r="D2080" s="32"/>
      <c r="E2080" s="34" t="str">
        <f aca="false">IF($B2080="","",IF($B2080="OUT","Liters",IFERROR(INDEX(Setup!$F$3:$F$24,MATCH($C2080,Setup!$A$3:$A$24,0)),"")))</f>
        <v/>
      </c>
      <c r="F2080" s="28" t="str">
        <f aca="false">IF(OR($D2080="",$E2080=""),"",IFERROR($D2080*INDEX(Setup!$B$27:$B$44,MATCH($E2080,Setup!$A$27:$A$44,0)),"TBD"))</f>
        <v/>
      </c>
      <c r="G2080" s="32"/>
      <c r="H2080" s="32"/>
      <c r="I2080" s="32"/>
      <c r="J2080" s="32"/>
      <c r="K2080" s="35"/>
      <c r="L2080" s="32"/>
      <c r="M2080" s="32"/>
    </row>
    <row r="2081" customFormat="false" ht="15" hidden="false" customHeight="true" outlineLevel="0" collapsed="false">
      <c r="A2081" s="32"/>
      <c r="B2081" s="32"/>
      <c r="C2081" s="32"/>
      <c r="D2081" s="32"/>
      <c r="E2081" s="34" t="str">
        <f aca="false">IF($B2081="","",IF($B2081="OUT","Liters",IFERROR(INDEX(Setup!$F$3:$F$24,MATCH($C2081,Setup!$A$3:$A$24,0)),"")))</f>
        <v/>
      </c>
      <c r="F2081" s="28" t="str">
        <f aca="false">IF(OR($D2081="",$E2081=""),"",IFERROR($D2081*INDEX(Setup!$B$27:$B$44,MATCH($E2081,Setup!$A$27:$A$44,0)),"TBD"))</f>
        <v/>
      </c>
      <c r="G2081" s="32"/>
      <c r="H2081" s="32"/>
      <c r="I2081" s="32"/>
      <c r="J2081" s="32"/>
      <c r="K2081" s="35"/>
      <c r="L2081" s="32"/>
      <c r="M2081" s="32"/>
    </row>
    <row r="2082" customFormat="false" ht="15" hidden="false" customHeight="true" outlineLevel="0" collapsed="false">
      <c r="A2082" s="32"/>
      <c r="B2082" s="32"/>
      <c r="C2082" s="32"/>
      <c r="D2082" s="32"/>
      <c r="E2082" s="34" t="str">
        <f aca="false">IF($B2082="","",IF($B2082="OUT","Liters",IFERROR(INDEX(Setup!$F$3:$F$24,MATCH($C2082,Setup!$A$3:$A$24,0)),"")))</f>
        <v/>
      </c>
      <c r="F2082" s="28" t="str">
        <f aca="false">IF(OR($D2082="",$E2082=""),"",IFERROR($D2082*INDEX(Setup!$B$27:$B$44,MATCH($E2082,Setup!$A$27:$A$44,0)),"TBD"))</f>
        <v/>
      </c>
      <c r="G2082" s="32"/>
      <c r="H2082" s="32"/>
      <c r="I2082" s="32"/>
      <c r="J2082" s="32"/>
      <c r="K2082" s="35"/>
      <c r="L2082" s="32"/>
      <c r="M2082" s="32"/>
    </row>
    <row r="2083" customFormat="false" ht="15" hidden="false" customHeight="true" outlineLevel="0" collapsed="false">
      <c r="A2083" s="32"/>
      <c r="B2083" s="32"/>
      <c r="C2083" s="32"/>
      <c r="D2083" s="32"/>
      <c r="E2083" s="34" t="str">
        <f aca="false">IF($B2083="","",IF($B2083="OUT","Liters",IFERROR(INDEX(Setup!$F$3:$F$24,MATCH($C2083,Setup!$A$3:$A$24,0)),"")))</f>
        <v/>
      </c>
      <c r="F2083" s="28" t="str">
        <f aca="false">IF(OR($D2083="",$E2083=""),"",IFERROR($D2083*INDEX(Setup!$B$27:$B$44,MATCH($E2083,Setup!$A$27:$A$44,0)),"TBD"))</f>
        <v/>
      </c>
      <c r="G2083" s="32"/>
      <c r="H2083" s="32"/>
      <c r="I2083" s="32"/>
      <c r="J2083" s="32"/>
      <c r="K2083" s="35"/>
      <c r="L2083" s="32"/>
      <c r="M2083" s="32"/>
    </row>
    <row r="2084" customFormat="false" ht="15" hidden="false" customHeight="true" outlineLevel="0" collapsed="false">
      <c r="A2084" s="32"/>
      <c r="B2084" s="32"/>
      <c r="C2084" s="32"/>
      <c r="D2084" s="32"/>
      <c r="E2084" s="34" t="str">
        <f aca="false">IF($B2084="","",IF($B2084="OUT","Liters",IFERROR(INDEX(Setup!$F$3:$F$24,MATCH($C2084,Setup!$A$3:$A$24,0)),"")))</f>
        <v/>
      </c>
      <c r="F2084" s="28" t="str">
        <f aca="false">IF(OR($D2084="",$E2084=""),"",IFERROR($D2084*INDEX(Setup!$B$27:$B$44,MATCH($E2084,Setup!$A$27:$A$44,0)),"TBD"))</f>
        <v/>
      </c>
      <c r="G2084" s="32"/>
      <c r="H2084" s="32"/>
      <c r="I2084" s="32"/>
      <c r="J2084" s="32"/>
      <c r="K2084" s="35"/>
      <c r="L2084" s="32"/>
      <c r="M2084" s="32"/>
    </row>
    <row r="2085" customFormat="false" ht="15" hidden="false" customHeight="true" outlineLevel="0" collapsed="false">
      <c r="A2085" s="32"/>
      <c r="B2085" s="32"/>
      <c r="C2085" s="32"/>
      <c r="D2085" s="32"/>
      <c r="E2085" s="34" t="str">
        <f aca="false">IF($B2085="","",IF($B2085="OUT","Liters",IFERROR(INDEX(Setup!$F$3:$F$24,MATCH($C2085,Setup!$A$3:$A$24,0)),"")))</f>
        <v/>
      </c>
      <c r="F2085" s="28" t="str">
        <f aca="false">IF(OR($D2085="",$E2085=""),"",IFERROR($D2085*INDEX(Setup!$B$27:$B$44,MATCH($E2085,Setup!$A$27:$A$44,0)),"TBD"))</f>
        <v/>
      </c>
      <c r="G2085" s="32"/>
      <c r="H2085" s="32"/>
      <c r="I2085" s="32"/>
      <c r="J2085" s="32"/>
      <c r="K2085" s="35"/>
      <c r="L2085" s="32"/>
      <c r="M2085" s="32"/>
    </row>
    <row r="2086" customFormat="false" ht="15" hidden="false" customHeight="true" outlineLevel="0" collapsed="false">
      <c r="A2086" s="32"/>
      <c r="B2086" s="32"/>
      <c r="C2086" s="32"/>
      <c r="D2086" s="32"/>
      <c r="E2086" s="34" t="str">
        <f aca="false">IF($B2086="","",IF($B2086="OUT","Liters",IFERROR(INDEX(Setup!$F$3:$F$24,MATCH($C2086,Setup!$A$3:$A$24,0)),"")))</f>
        <v/>
      </c>
      <c r="F2086" s="28" t="str">
        <f aca="false">IF(OR($D2086="",$E2086=""),"",IFERROR($D2086*INDEX(Setup!$B$27:$B$44,MATCH($E2086,Setup!$A$27:$A$44,0)),"TBD"))</f>
        <v/>
      </c>
      <c r="G2086" s="32"/>
      <c r="H2086" s="32"/>
      <c r="I2086" s="32"/>
      <c r="J2086" s="32"/>
      <c r="K2086" s="35"/>
      <c r="L2086" s="32"/>
      <c r="M2086" s="32"/>
    </row>
    <row r="2087" customFormat="false" ht="15" hidden="false" customHeight="true" outlineLevel="0" collapsed="false">
      <c r="A2087" s="32"/>
      <c r="B2087" s="32"/>
      <c r="C2087" s="32"/>
      <c r="D2087" s="32"/>
      <c r="E2087" s="34" t="str">
        <f aca="false">IF($B2087="","",IF($B2087="OUT","Liters",IFERROR(INDEX(Setup!$F$3:$F$24,MATCH($C2087,Setup!$A$3:$A$24,0)),"")))</f>
        <v/>
      </c>
      <c r="F2087" s="28" t="str">
        <f aca="false">IF(OR($D2087="",$E2087=""),"",IFERROR($D2087*INDEX(Setup!$B$27:$B$44,MATCH($E2087,Setup!$A$27:$A$44,0)),"TBD"))</f>
        <v/>
      </c>
      <c r="G2087" s="32"/>
      <c r="H2087" s="32"/>
      <c r="I2087" s="32"/>
      <c r="J2087" s="32"/>
      <c r="K2087" s="35"/>
      <c r="L2087" s="32"/>
      <c r="M2087" s="32"/>
    </row>
    <row r="2088" customFormat="false" ht="15" hidden="false" customHeight="true" outlineLevel="0" collapsed="false">
      <c r="A2088" s="32"/>
      <c r="B2088" s="32"/>
      <c r="C2088" s="32"/>
      <c r="D2088" s="32"/>
      <c r="E2088" s="34" t="str">
        <f aca="false">IF($B2088="","",IF($B2088="OUT","Liters",IFERROR(INDEX(Setup!$F$3:$F$24,MATCH($C2088,Setup!$A$3:$A$24,0)),"")))</f>
        <v/>
      </c>
      <c r="F2088" s="28" t="str">
        <f aca="false">IF(OR($D2088="",$E2088=""),"",IFERROR($D2088*INDEX(Setup!$B$27:$B$44,MATCH($E2088,Setup!$A$27:$A$44,0)),"TBD"))</f>
        <v/>
      </c>
      <c r="G2088" s="32"/>
      <c r="H2088" s="32"/>
      <c r="I2088" s="32"/>
      <c r="J2088" s="32"/>
      <c r="K2088" s="35"/>
      <c r="L2088" s="32"/>
      <c r="M2088" s="32"/>
    </row>
    <row r="2089" customFormat="false" ht="15" hidden="false" customHeight="true" outlineLevel="0" collapsed="false">
      <c r="A2089" s="32"/>
      <c r="B2089" s="32"/>
      <c r="C2089" s="32"/>
      <c r="D2089" s="32"/>
      <c r="E2089" s="34" t="str">
        <f aca="false">IF($B2089="","",IF($B2089="OUT","Liters",IFERROR(INDEX(Setup!$F$3:$F$24,MATCH($C2089,Setup!$A$3:$A$24,0)),"")))</f>
        <v/>
      </c>
      <c r="F2089" s="28" t="str">
        <f aca="false">IF(OR($D2089="",$E2089=""),"",IFERROR($D2089*INDEX(Setup!$B$27:$B$44,MATCH($E2089,Setup!$A$27:$A$44,0)),"TBD"))</f>
        <v/>
      </c>
      <c r="G2089" s="32"/>
      <c r="H2089" s="32"/>
      <c r="I2089" s="32"/>
      <c r="J2089" s="32"/>
      <c r="K2089" s="35"/>
      <c r="L2089" s="32"/>
      <c r="M2089" s="32"/>
    </row>
    <row r="2090" customFormat="false" ht="15" hidden="false" customHeight="true" outlineLevel="0" collapsed="false">
      <c r="A2090" s="32"/>
      <c r="B2090" s="32"/>
      <c r="C2090" s="32"/>
      <c r="D2090" s="32"/>
      <c r="E2090" s="34" t="str">
        <f aca="false">IF($B2090="","",IF($B2090="OUT","Liters",IFERROR(INDEX(Setup!$F$3:$F$24,MATCH($C2090,Setup!$A$3:$A$24,0)),"")))</f>
        <v/>
      </c>
      <c r="F2090" s="28" t="str">
        <f aca="false">IF(OR($D2090="",$E2090=""),"",IFERROR($D2090*INDEX(Setup!$B$27:$B$44,MATCH($E2090,Setup!$A$27:$A$44,0)),"TBD"))</f>
        <v/>
      </c>
      <c r="G2090" s="32"/>
      <c r="H2090" s="32"/>
      <c r="I2090" s="32"/>
      <c r="J2090" s="32"/>
      <c r="K2090" s="35"/>
      <c r="L2090" s="32"/>
      <c r="M2090" s="32"/>
    </row>
    <row r="2091" customFormat="false" ht="15" hidden="false" customHeight="true" outlineLevel="0" collapsed="false">
      <c r="A2091" s="32"/>
      <c r="B2091" s="32"/>
      <c r="C2091" s="32"/>
      <c r="D2091" s="32"/>
      <c r="E2091" s="34" t="str">
        <f aca="false">IF($B2091="","",IF($B2091="OUT","Liters",IFERROR(INDEX(Setup!$F$3:$F$24,MATCH($C2091,Setup!$A$3:$A$24,0)),"")))</f>
        <v/>
      </c>
      <c r="F2091" s="28" t="str">
        <f aca="false">IF(OR($D2091="",$E2091=""),"",IFERROR($D2091*INDEX(Setup!$B$27:$B$44,MATCH($E2091,Setup!$A$27:$A$44,0)),"TBD"))</f>
        <v/>
      </c>
      <c r="G2091" s="32"/>
      <c r="H2091" s="32"/>
      <c r="I2091" s="32"/>
      <c r="J2091" s="32"/>
      <c r="K2091" s="35"/>
      <c r="L2091" s="32"/>
      <c r="M2091" s="32"/>
    </row>
    <row r="2092" customFormat="false" ht="15" hidden="false" customHeight="true" outlineLevel="0" collapsed="false">
      <c r="A2092" s="32"/>
      <c r="B2092" s="32"/>
      <c r="C2092" s="32"/>
      <c r="D2092" s="32"/>
      <c r="E2092" s="34" t="str">
        <f aca="false">IF($B2092="","",IF($B2092="OUT","Liters",IFERROR(INDEX(Setup!$F$3:$F$24,MATCH($C2092,Setup!$A$3:$A$24,0)),"")))</f>
        <v/>
      </c>
      <c r="F2092" s="28" t="str">
        <f aca="false">IF(OR($D2092="",$E2092=""),"",IFERROR($D2092*INDEX(Setup!$B$27:$B$44,MATCH($E2092,Setup!$A$27:$A$44,0)),"TBD"))</f>
        <v/>
      </c>
      <c r="G2092" s="32"/>
      <c r="H2092" s="32"/>
      <c r="I2092" s="32"/>
      <c r="J2092" s="32"/>
      <c r="K2092" s="35"/>
      <c r="L2092" s="32"/>
      <c r="M2092" s="32"/>
    </row>
    <row r="2093" customFormat="false" ht="15" hidden="false" customHeight="true" outlineLevel="0" collapsed="false">
      <c r="A2093" s="32"/>
      <c r="B2093" s="32"/>
      <c r="C2093" s="32"/>
      <c r="D2093" s="32"/>
      <c r="E2093" s="34" t="str">
        <f aca="false">IF($B2093="","",IF($B2093="OUT","Liters",IFERROR(INDEX(Setup!$F$3:$F$24,MATCH($C2093,Setup!$A$3:$A$24,0)),"")))</f>
        <v/>
      </c>
      <c r="F2093" s="28" t="str">
        <f aca="false">IF(OR($D2093="",$E2093=""),"",IFERROR($D2093*INDEX(Setup!$B$27:$B$44,MATCH($E2093,Setup!$A$27:$A$44,0)),"TBD"))</f>
        <v/>
      </c>
      <c r="G2093" s="32"/>
      <c r="H2093" s="32"/>
      <c r="I2093" s="32"/>
      <c r="J2093" s="32"/>
      <c r="K2093" s="35"/>
      <c r="L2093" s="32"/>
      <c r="M2093" s="32"/>
    </row>
    <row r="2094" customFormat="false" ht="15" hidden="false" customHeight="true" outlineLevel="0" collapsed="false">
      <c r="A2094" s="32"/>
      <c r="B2094" s="32"/>
      <c r="C2094" s="32"/>
      <c r="D2094" s="32"/>
      <c r="E2094" s="34" t="str">
        <f aca="false">IF($B2094="","",IF($B2094="OUT","Liters",IFERROR(INDEX(Setup!$F$3:$F$24,MATCH($C2094,Setup!$A$3:$A$24,0)),"")))</f>
        <v/>
      </c>
      <c r="F2094" s="28" t="str">
        <f aca="false">IF(OR($D2094="",$E2094=""),"",IFERROR($D2094*INDEX(Setup!$B$27:$B$44,MATCH($E2094,Setup!$A$27:$A$44,0)),"TBD"))</f>
        <v/>
      </c>
      <c r="G2094" s="32"/>
      <c r="H2094" s="32"/>
      <c r="I2094" s="32"/>
      <c r="J2094" s="32"/>
      <c r="K2094" s="35"/>
      <c r="L2094" s="32"/>
      <c r="M2094" s="32"/>
    </row>
    <row r="2095" customFormat="false" ht="15" hidden="false" customHeight="true" outlineLevel="0" collapsed="false">
      <c r="A2095" s="32"/>
      <c r="B2095" s="32"/>
      <c r="C2095" s="32"/>
      <c r="D2095" s="32"/>
      <c r="E2095" s="34" t="str">
        <f aca="false">IF($B2095="","",IF($B2095="OUT","Liters",IFERROR(INDEX(Setup!$F$3:$F$24,MATCH($C2095,Setup!$A$3:$A$24,0)),"")))</f>
        <v/>
      </c>
      <c r="F2095" s="28" t="str">
        <f aca="false">IF(OR($D2095="",$E2095=""),"",IFERROR($D2095*INDEX(Setup!$B$27:$B$44,MATCH($E2095,Setup!$A$27:$A$44,0)),"TBD"))</f>
        <v/>
      </c>
      <c r="G2095" s="32"/>
      <c r="H2095" s="32"/>
      <c r="I2095" s="32"/>
      <c r="J2095" s="32"/>
      <c r="K2095" s="35"/>
      <c r="L2095" s="32"/>
      <c r="M2095" s="32"/>
    </row>
    <row r="2096" customFormat="false" ht="15" hidden="false" customHeight="true" outlineLevel="0" collapsed="false">
      <c r="A2096" s="32"/>
      <c r="B2096" s="32"/>
      <c r="C2096" s="32"/>
      <c r="D2096" s="32"/>
      <c r="E2096" s="34" t="str">
        <f aca="false">IF($B2096="","",IF($B2096="OUT","Liters",IFERROR(INDEX(Setup!$F$3:$F$24,MATCH($C2096,Setup!$A$3:$A$24,0)),"")))</f>
        <v/>
      </c>
      <c r="F2096" s="28" t="str">
        <f aca="false">IF(OR($D2096="",$E2096=""),"",IFERROR($D2096*INDEX(Setup!$B$27:$B$44,MATCH($E2096,Setup!$A$27:$A$44,0)),"TBD"))</f>
        <v/>
      </c>
      <c r="G2096" s="32"/>
      <c r="H2096" s="32"/>
      <c r="I2096" s="32"/>
      <c r="J2096" s="32"/>
      <c r="K2096" s="35"/>
      <c r="L2096" s="32"/>
      <c r="M2096" s="32"/>
    </row>
    <row r="2097" customFormat="false" ht="15" hidden="false" customHeight="true" outlineLevel="0" collapsed="false">
      <c r="A2097" s="32"/>
      <c r="B2097" s="32"/>
      <c r="C2097" s="32"/>
      <c r="D2097" s="32"/>
      <c r="E2097" s="34" t="str">
        <f aca="false">IF($B2097="","",IF($B2097="OUT","Liters",IFERROR(INDEX(Setup!$F$3:$F$24,MATCH($C2097,Setup!$A$3:$A$24,0)),"")))</f>
        <v/>
      </c>
      <c r="F2097" s="28" t="str">
        <f aca="false">IF(OR($D2097="",$E2097=""),"",IFERROR($D2097*INDEX(Setup!$B$27:$B$44,MATCH($E2097,Setup!$A$27:$A$44,0)),"TBD"))</f>
        <v/>
      </c>
      <c r="G2097" s="32"/>
      <c r="H2097" s="32"/>
      <c r="I2097" s="32"/>
      <c r="J2097" s="32"/>
      <c r="K2097" s="35"/>
      <c r="L2097" s="32"/>
      <c r="M2097" s="32"/>
    </row>
    <row r="2098" customFormat="false" ht="15" hidden="false" customHeight="true" outlineLevel="0" collapsed="false">
      <c r="A2098" s="32"/>
      <c r="B2098" s="32"/>
      <c r="C2098" s="32"/>
      <c r="D2098" s="32"/>
      <c r="E2098" s="34" t="str">
        <f aca="false">IF($B2098="","",IF($B2098="OUT","Liters",IFERROR(INDEX(Setup!$F$3:$F$24,MATCH($C2098,Setup!$A$3:$A$24,0)),"")))</f>
        <v/>
      </c>
      <c r="F2098" s="28" t="str">
        <f aca="false">IF(OR($D2098="",$E2098=""),"",IFERROR($D2098*INDEX(Setup!$B$27:$B$44,MATCH($E2098,Setup!$A$27:$A$44,0)),"TBD"))</f>
        <v/>
      </c>
      <c r="G2098" s="32"/>
      <c r="H2098" s="32"/>
      <c r="I2098" s="32"/>
      <c r="J2098" s="32"/>
      <c r="K2098" s="35"/>
      <c r="L2098" s="32"/>
      <c r="M2098" s="32"/>
    </row>
    <row r="2099" customFormat="false" ht="15" hidden="false" customHeight="true" outlineLevel="0" collapsed="false">
      <c r="A2099" s="32"/>
      <c r="B2099" s="32"/>
      <c r="C2099" s="32"/>
      <c r="D2099" s="32"/>
      <c r="E2099" s="34" t="str">
        <f aca="false">IF($B2099="","",IF($B2099="OUT","Liters",IFERROR(INDEX(Setup!$F$3:$F$24,MATCH($C2099,Setup!$A$3:$A$24,0)),"")))</f>
        <v/>
      </c>
      <c r="F2099" s="28" t="str">
        <f aca="false">IF(OR($D2099="",$E2099=""),"",IFERROR($D2099*INDEX(Setup!$B$27:$B$44,MATCH($E2099,Setup!$A$27:$A$44,0)),"TBD"))</f>
        <v/>
      </c>
      <c r="G2099" s="32"/>
      <c r="H2099" s="32"/>
      <c r="I2099" s="32"/>
      <c r="J2099" s="32"/>
      <c r="K2099" s="35"/>
      <c r="L2099" s="32"/>
      <c r="M2099" s="32"/>
    </row>
    <row r="2100" customFormat="false" ht="15" hidden="false" customHeight="true" outlineLevel="0" collapsed="false">
      <c r="A2100" s="32"/>
      <c r="B2100" s="32"/>
      <c r="C2100" s="32"/>
      <c r="D2100" s="32"/>
      <c r="E2100" s="34" t="str">
        <f aca="false">IF($B2100="","",IF($B2100="OUT","Liters",IFERROR(INDEX(Setup!$F$3:$F$24,MATCH($C2100,Setup!$A$3:$A$24,0)),"")))</f>
        <v/>
      </c>
      <c r="F2100" s="28" t="str">
        <f aca="false">IF(OR($D2100="",$E2100=""),"",IFERROR($D2100*INDEX(Setup!$B$27:$B$44,MATCH($E2100,Setup!$A$27:$A$44,0)),"TBD"))</f>
        <v/>
      </c>
      <c r="G2100" s="32"/>
      <c r="H2100" s="32"/>
      <c r="I2100" s="32"/>
      <c r="J2100" s="32"/>
      <c r="K2100" s="35"/>
      <c r="L2100" s="32"/>
      <c r="M2100" s="32"/>
    </row>
    <row r="2101" customFormat="false" ht="15" hidden="false" customHeight="true" outlineLevel="0" collapsed="false">
      <c r="A2101" s="32"/>
      <c r="B2101" s="32"/>
      <c r="C2101" s="32"/>
      <c r="D2101" s="32"/>
      <c r="E2101" s="34" t="str">
        <f aca="false">IF($B2101="","",IF($B2101="OUT","Liters",IFERROR(INDEX(Setup!$F$3:$F$24,MATCH($C2101,Setup!$A$3:$A$24,0)),"")))</f>
        <v/>
      </c>
      <c r="F2101" s="28" t="str">
        <f aca="false">IF(OR($D2101="",$E2101=""),"",IFERROR($D2101*INDEX(Setup!$B$27:$B$44,MATCH($E2101,Setup!$A$27:$A$44,0)),"TBD"))</f>
        <v/>
      </c>
      <c r="G2101" s="32"/>
      <c r="H2101" s="32"/>
      <c r="I2101" s="32"/>
      <c r="J2101" s="32"/>
      <c r="K2101" s="35"/>
      <c r="L2101" s="32"/>
      <c r="M2101" s="32"/>
    </row>
    <row r="2102" customFormat="false" ht="15" hidden="false" customHeight="true" outlineLevel="0" collapsed="false">
      <c r="A2102" s="32"/>
      <c r="B2102" s="32"/>
      <c r="C2102" s="32"/>
      <c r="D2102" s="32"/>
      <c r="E2102" s="34" t="str">
        <f aca="false">IF($B2102="","",IF($B2102="OUT","Liters",IFERROR(INDEX(Setup!$F$3:$F$24,MATCH($C2102,Setup!$A$3:$A$24,0)),"")))</f>
        <v/>
      </c>
      <c r="F2102" s="28" t="str">
        <f aca="false">IF(OR($D2102="",$E2102=""),"",IFERROR($D2102*INDEX(Setup!$B$27:$B$44,MATCH($E2102,Setup!$A$27:$A$44,0)),"TBD"))</f>
        <v/>
      </c>
      <c r="G2102" s="32"/>
      <c r="H2102" s="32"/>
      <c r="I2102" s="32"/>
      <c r="J2102" s="32"/>
      <c r="K2102" s="35"/>
      <c r="L2102" s="32"/>
      <c r="M2102" s="32"/>
    </row>
    <row r="2103" customFormat="false" ht="15" hidden="false" customHeight="true" outlineLevel="0" collapsed="false">
      <c r="A2103" s="32"/>
      <c r="B2103" s="32"/>
      <c r="C2103" s="32"/>
      <c r="D2103" s="32"/>
      <c r="E2103" s="34" t="str">
        <f aca="false">IF($B2103="","",IF($B2103="OUT","Liters",IFERROR(INDEX(Setup!$F$3:$F$24,MATCH($C2103,Setup!$A$3:$A$24,0)),"")))</f>
        <v/>
      </c>
      <c r="F2103" s="28" t="str">
        <f aca="false">IF(OR($D2103="",$E2103=""),"",IFERROR($D2103*INDEX(Setup!$B$27:$B$44,MATCH($E2103,Setup!$A$27:$A$44,0)),"TBD"))</f>
        <v/>
      </c>
      <c r="G2103" s="32"/>
      <c r="H2103" s="32"/>
      <c r="I2103" s="32"/>
      <c r="J2103" s="32"/>
      <c r="K2103" s="35"/>
      <c r="L2103" s="32"/>
      <c r="M2103" s="32"/>
    </row>
    <row r="2104" customFormat="false" ht="15" hidden="false" customHeight="true" outlineLevel="0" collapsed="false">
      <c r="A2104" s="32"/>
      <c r="B2104" s="32"/>
      <c r="C2104" s="32"/>
      <c r="D2104" s="32"/>
      <c r="E2104" s="34" t="str">
        <f aca="false">IF($B2104="","",IF($B2104="OUT","Liters",IFERROR(INDEX(Setup!$F$3:$F$24,MATCH($C2104,Setup!$A$3:$A$24,0)),"")))</f>
        <v/>
      </c>
      <c r="F2104" s="28" t="str">
        <f aca="false">IF(OR($D2104="",$E2104=""),"",IFERROR($D2104*INDEX(Setup!$B$27:$B$44,MATCH($E2104,Setup!$A$27:$A$44,0)),"TBD"))</f>
        <v/>
      </c>
      <c r="G2104" s="32"/>
      <c r="H2104" s="32"/>
      <c r="I2104" s="32"/>
      <c r="J2104" s="32"/>
      <c r="K2104" s="35"/>
      <c r="L2104" s="32"/>
      <c r="M2104" s="32"/>
    </row>
    <row r="2105" customFormat="false" ht="15" hidden="false" customHeight="true" outlineLevel="0" collapsed="false">
      <c r="A2105" s="32"/>
      <c r="B2105" s="32"/>
      <c r="C2105" s="32"/>
      <c r="D2105" s="32"/>
      <c r="E2105" s="34" t="str">
        <f aca="false">IF($B2105="","",IF($B2105="OUT","Liters",IFERROR(INDEX(Setup!$F$3:$F$24,MATCH($C2105,Setup!$A$3:$A$24,0)),"")))</f>
        <v/>
      </c>
      <c r="F2105" s="28" t="str">
        <f aca="false">IF(OR($D2105="",$E2105=""),"",IFERROR($D2105*INDEX(Setup!$B$27:$B$44,MATCH($E2105,Setup!$A$27:$A$44,0)),"TBD"))</f>
        <v/>
      </c>
      <c r="G2105" s="32"/>
      <c r="H2105" s="32"/>
      <c r="I2105" s="32"/>
      <c r="J2105" s="32"/>
      <c r="K2105" s="35"/>
      <c r="L2105" s="32"/>
      <c r="M2105" s="32"/>
    </row>
    <row r="2106" customFormat="false" ht="15" hidden="false" customHeight="true" outlineLevel="0" collapsed="false">
      <c r="A2106" s="32"/>
      <c r="B2106" s="32"/>
      <c r="C2106" s="32"/>
      <c r="D2106" s="32"/>
      <c r="E2106" s="34" t="str">
        <f aca="false">IF($B2106="","",IF($B2106="OUT","Liters",IFERROR(INDEX(Setup!$F$3:$F$24,MATCH($C2106,Setup!$A$3:$A$24,0)),"")))</f>
        <v/>
      </c>
      <c r="F2106" s="28" t="str">
        <f aca="false">IF(OR($D2106="",$E2106=""),"",IFERROR($D2106*INDEX(Setup!$B$27:$B$44,MATCH($E2106,Setup!$A$27:$A$44,0)),"TBD"))</f>
        <v/>
      </c>
      <c r="G2106" s="32"/>
      <c r="H2106" s="32"/>
      <c r="I2106" s="32"/>
      <c r="J2106" s="32"/>
      <c r="K2106" s="35"/>
      <c r="L2106" s="32"/>
      <c r="M2106" s="32"/>
    </row>
    <row r="2107" customFormat="false" ht="15" hidden="false" customHeight="true" outlineLevel="0" collapsed="false">
      <c r="A2107" s="32"/>
      <c r="B2107" s="32"/>
      <c r="C2107" s="32"/>
      <c r="D2107" s="32"/>
      <c r="E2107" s="34" t="str">
        <f aca="false">IF($B2107="","",IF($B2107="OUT","Liters",IFERROR(INDEX(Setup!$F$3:$F$24,MATCH($C2107,Setup!$A$3:$A$24,0)),"")))</f>
        <v/>
      </c>
      <c r="F2107" s="28" t="str">
        <f aca="false">IF(OR($D2107="",$E2107=""),"",IFERROR($D2107*INDEX(Setup!$B$27:$B$44,MATCH($E2107,Setup!$A$27:$A$44,0)),"TBD"))</f>
        <v/>
      </c>
      <c r="G2107" s="32"/>
      <c r="H2107" s="32"/>
      <c r="I2107" s="32"/>
      <c r="J2107" s="32"/>
      <c r="K2107" s="35"/>
      <c r="L2107" s="32"/>
      <c r="M2107" s="32"/>
    </row>
    <row r="2108" customFormat="false" ht="15" hidden="false" customHeight="true" outlineLevel="0" collapsed="false">
      <c r="A2108" s="32"/>
      <c r="B2108" s="32"/>
      <c r="C2108" s="32"/>
      <c r="D2108" s="32"/>
      <c r="E2108" s="34" t="str">
        <f aca="false">IF($B2108="","",IF($B2108="OUT","Liters",IFERROR(INDEX(Setup!$F$3:$F$24,MATCH($C2108,Setup!$A$3:$A$24,0)),"")))</f>
        <v/>
      </c>
      <c r="F2108" s="28" t="str">
        <f aca="false">IF(OR($D2108="",$E2108=""),"",IFERROR($D2108*INDEX(Setup!$B$27:$B$44,MATCH($E2108,Setup!$A$27:$A$44,0)),"TBD"))</f>
        <v/>
      </c>
      <c r="G2108" s="32"/>
      <c r="H2108" s="32"/>
      <c r="I2108" s="32"/>
      <c r="J2108" s="32"/>
      <c r="K2108" s="35"/>
      <c r="L2108" s="32"/>
      <c r="M2108" s="32"/>
    </row>
    <row r="2109" customFormat="false" ht="15" hidden="false" customHeight="true" outlineLevel="0" collapsed="false">
      <c r="A2109" s="32"/>
      <c r="B2109" s="32"/>
      <c r="C2109" s="32"/>
      <c r="D2109" s="32"/>
      <c r="E2109" s="34" t="str">
        <f aca="false">IF($B2109="","",IF($B2109="OUT","Liters",IFERROR(INDEX(Setup!$F$3:$F$24,MATCH($C2109,Setup!$A$3:$A$24,0)),"")))</f>
        <v/>
      </c>
      <c r="F2109" s="28" t="str">
        <f aca="false">IF(OR($D2109="",$E2109=""),"",IFERROR($D2109*INDEX(Setup!$B$27:$B$44,MATCH($E2109,Setup!$A$27:$A$44,0)),"TBD"))</f>
        <v/>
      </c>
      <c r="G2109" s="32"/>
      <c r="H2109" s="32"/>
      <c r="I2109" s="32"/>
      <c r="J2109" s="32"/>
      <c r="K2109" s="35"/>
      <c r="L2109" s="32"/>
      <c r="M2109" s="32"/>
    </row>
    <row r="2110" customFormat="false" ht="15" hidden="false" customHeight="true" outlineLevel="0" collapsed="false">
      <c r="A2110" s="32"/>
      <c r="B2110" s="32"/>
      <c r="C2110" s="32"/>
      <c r="D2110" s="32"/>
      <c r="E2110" s="34" t="str">
        <f aca="false">IF($B2110="","",IF($B2110="OUT","Liters",IFERROR(INDEX(Setup!$F$3:$F$24,MATCH($C2110,Setup!$A$3:$A$24,0)),"")))</f>
        <v/>
      </c>
      <c r="F2110" s="28" t="str">
        <f aca="false">IF(OR($D2110="",$E2110=""),"",IFERROR($D2110*INDEX(Setup!$B$27:$B$44,MATCH($E2110,Setup!$A$27:$A$44,0)),"TBD"))</f>
        <v/>
      </c>
      <c r="G2110" s="32"/>
      <c r="H2110" s="32"/>
      <c r="I2110" s="32"/>
      <c r="J2110" s="32"/>
      <c r="K2110" s="35"/>
      <c r="L2110" s="32"/>
      <c r="M2110" s="32"/>
    </row>
    <row r="2111" customFormat="false" ht="15" hidden="false" customHeight="true" outlineLevel="0" collapsed="false">
      <c r="A2111" s="32"/>
      <c r="B2111" s="32"/>
      <c r="C2111" s="32"/>
      <c r="D2111" s="32"/>
      <c r="E2111" s="34" t="str">
        <f aca="false">IF($B2111="","",IF($B2111="OUT","Liters",IFERROR(INDEX(Setup!$F$3:$F$24,MATCH($C2111,Setup!$A$3:$A$24,0)),"")))</f>
        <v/>
      </c>
      <c r="F2111" s="28" t="str">
        <f aca="false">IF(OR($D2111="",$E2111=""),"",IFERROR($D2111*INDEX(Setup!$B$27:$B$44,MATCH($E2111,Setup!$A$27:$A$44,0)),"TBD"))</f>
        <v/>
      </c>
      <c r="G2111" s="32"/>
      <c r="H2111" s="32"/>
      <c r="I2111" s="32"/>
      <c r="J2111" s="32"/>
      <c r="K2111" s="35"/>
      <c r="L2111" s="32"/>
      <c r="M2111" s="32"/>
    </row>
    <row r="2112" customFormat="false" ht="15" hidden="false" customHeight="true" outlineLevel="0" collapsed="false">
      <c r="A2112" s="32"/>
      <c r="B2112" s="32"/>
      <c r="C2112" s="32"/>
      <c r="D2112" s="32"/>
      <c r="E2112" s="34" t="str">
        <f aca="false">IF($B2112="","",IF($B2112="OUT","Liters",IFERROR(INDEX(Setup!$F$3:$F$24,MATCH($C2112,Setup!$A$3:$A$24,0)),"")))</f>
        <v/>
      </c>
      <c r="F2112" s="28" t="str">
        <f aca="false">IF(OR($D2112="",$E2112=""),"",IFERROR($D2112*INDEX(Setup!$B$27:$B$44,MATCH($E2112,Setup!$A$27:$A$44,0)),"TBD"))</f>
        <v/>
      </c>
      <c r="G2112" s="32"/>
      <c r="H2112" s="32"/>
      <c r="I2112" s="32"/>
      <c r="J2112" s="32"/>
      <c r="K2112" s="35"/>
      <c r="L2112" s="32"/>
      <c r="M2112" s="32"/>
    </row>
    <row r="2113" customFormat="false" ht="15" hidden="false" customHeight="true" outlineLevel="0" collapsed="false">
      <c r="A2113" s="32"/>
      <c r="B2113" s="32"/>
      <c r="C2113" s="32"/>
      <c r="D2113" s="32"/>
      <c r="E2113" s="34" t="str">
        <f aca="false">IF($B2113="","",IF($B2113="OUT","Liters",IFERROR(INDEX(Setup!$F$3:$F$24,MATCH($C2113,Setup!$A$3:$A$24,0)),"")))</f>
        <v/>
      </c>
      <c r="F2113" s="28" t="str">
        <f aca="false">IF(OR($D2113="",$E2113=""),"",IFERROR($D2113*INDEX(Setup!$B$27:$B$44,MATCH($E2113,Setup!$A$27:$A$44,0)),"TBD"))</f>
        <v/>
      </c>
      <c r="G2113" s="32"/>
      <c r="H2113" s="32"/>
      <c r="I2113" s="32"/>
      <c r="J2113" s="32"/>
      <c r="K2113" s="35"/>
      <c r="L2113" s="32"/>
      <c r="M2113" s="32"/>
    </row>
    <row r="2114" customFormat="false" ht="15" hidden="false" customHeight="true" outlineLevel="0" collapsed="false">
      <c r="A2114" s="32"/>
      <c r="B2114" s="32"/>
      <c r="C2114" s="32"/>
      <c r="D2114" s="32"/>
      <c r="E2114" s="34" t="str">
        <f aca="false">IF($B2114="","",IF($B2114="OUT","Liters",IFERROR(INDEX(Setup!$F$3:$F$24,MATCH($C2114,Setup!$A$3:$A$24,0)),"")))</f>
        <v/>
      </c>
      <c r="F2114" s="28" t="str">
        <f aca="false">IF(OR($D2114="",$E2114=""),"",IFERROR($D2114*INDEX(Setup!$B$27:$B$44,MATCH($E2114,Setup!$A$27:$A$44,0)),"TBD"))</f>
        <v/>
      </c>
      <c r="G2114" s="32"/>
      <c r="H2114" s="32"/>
      <c r="I2114" s="32"/>
      <c r="J2114" s="32"/>
      <c r="K2114" s="35"/>
      <c r="L2114" s="32"/>
      <c r="M2114" s="32"/>
    </row>
    <row r="2115" customFormat="false" ht="15" hidden="false" customHeight="true" outlineLevel="0" collapsed="false">
      <c r="A2115" s="32"/>
      <c r="B2115" s="32"/>
      <c r="C2115" s="32"/>
      <c r="D2115" s="32"/>
      <c r="E2115" s="34" t="str">
        <f aca="false">IF($B2115="","",IF($B2115="OUT","Liters",IFERROR(INDEX(Setup!$F$3:$F$24,MATCH($C2115,Setup!$A$3:$A$24,0)),"")))</f>
        <v/>
      </c>
      <c r="F2115" s="28" t="str">
        <f aca="false">IF(OR($D2115="",$E2115=""),"",IFERROR($D2115*INDEX(Setup!$B$27:$B$44,MATCH($E2115,Setup!$A$27:$A$44,0)),"TBD"))</f>
        <v/>
      </c>
      <c r="G2115" s="32"/>
      <c r="H2115" s="32"/>
      <c r="I2115" s="32"/>
      <c r="J2115" s="32"/>
      <c r="K2115" s="35"/>
      <c r="L2115" s="32"/>
      <c r="M2115" s="32"/>
    </row>
    <row r="2116" customFormat="false" ht="15" hidden="false" customHeight="true" outlineLevel="0" collapsed="false">
      <c r="A2116" s="32"/>
      <c r="B2116" s="32"/>
      <c r="C2116" s="32"/>
      <c r="D2116" s="32"/>
      <c r="E2116" s="34" t="str">
        <f aca="false">IF($B2116="","",IF($B2116="OUT","Liters",IFERROR(INDEX(Setup!$F$3:$F$24,MATCH($C2116,Setup!$A$3:$A$24,0)),"")))</f>
        <v/>
      </c>
      <c r="F2116" s="28" t="str">
        <f aca="false">IF(OR($D2116="",$E2116=""),"",IFERROR($D2116*INDEX(Setup!$B$27:$B$44,MATCH($E2116,Setup!$A$27:$A$44,0)),"TBD"))</f>
        <v/>
      </c>
      <c r="G2116" s="32"/>
      <c r="H2116" s="32"/>
      <c r="I2116" s="32"/>
      <c r="J2116" s="32"/>
      <c r="K2116" s="35"/>
      <c r="L2116" s="32"/>
      <c r="M2116" s="32"/>
    </row>
    <row r="2117" customFormat="false" ht="15" hidden="false" customHeight="true" outlineLevel="0" collapsed="false">
      <c r="A2117" s="32"/>
      <c r="B2117" s="32"/>
      <c r="C2117" s="32"/>
      <c r="D2117" s="32"/>
      <c r="E2117" s="34" t="str">
        <f aca="false">IF($B2117="","",IF($B2117="OUT","Liters",IFERROR(INDEX(Setup!$F$3:$F$24,MATCH($C2117,Setup!$A$3:$A$24,0)),"")))</f>
        <v/>
      </c>
      <c r="F2117" s="28" t="str">
        <f aca="false">IF(OR($D2117="",$E2117=""),"",IFERROR($D2117*INDEX(Setup!$B$27:$B$44,MATCH($E2117,Setup!$A$27:$A$44,0)),"TBD"))</f>
        <v/>
      </c>
      <c r="G2117" s="32"/>
      <c r="H2117" s="32"/>
      <c r="I2117" s="32"/>
      <c r="J2117" s="32"/>
      <c r="K2117" s="35"/>
      <c r="L2117" s="32"/>
      <c r="M2117" s="32"/>
    </row>
    <row r="2118" customFormat="false" ht="15" hidden="false" customHeight="true" outlineLevel="0" collapsed="false">
      <c r="A2118" s="32"/>
      <c r="B2118" s="32"/>
      <c r="C2118" s="32"/>
      <c r="D2118" s="32"/>
      <c r="E2118" s="34" t="str">
        <f aca="false">IF($B2118="","",IF($B2118="OUT","Liters",IFERROR(INDEX(Setup!$F$3:$F$24,MATCH($C2118,Setup!$A$3:$A$24,0)),"")))</f>
        <v/>
      </c>
      <c r="F2118" s="28" t="str">
        <f aca="false">IF(OR($D2118="",$E2118=""),"",IFERROR($D2118*INDEX(Setup!$B$27:$B$44,MATCH($E2118,Setup!$A$27:$A$44,0)),"TBD"))</f>
        <v/>
      </c>
      <c r="G2118" s="32"/>
      <c r="H2118" s="32"/>
      <c r="I2118" s="32"/>
      <c r="J2118" s="32"/>
      <c r="K2118" s="35"/>
      <c r="L2118" s="32"/>
      <c r="M2118" s="32"/>
    </row>
    <row r="2119" customFormat="false" ht="15" hidden="false" customHeight="true" outlineLevel="0" collapsed="false">
      <c r="A2119" s="32"/>
      <c r="B2119" s="32"/>
      <c r="C2119" s="32"/>
      <c r="D2119" s="32"/>
      <c r="E2119" s="34" t="str">
        <f aca="false">IF($B2119="","",IF($B2119="OUT","Liters",IFERROR(INDEX(Setup!$F$3:$F$24,MATCH($C2119,Setup!$A$3:$A$24,0)),"")))</f>
        <v/>
      </c>
      <c r="F2119" s="28" t="str">
        <f aca="false">IF(OR($D2119="",$E2119=""),"",IFERROR($D2119*INDEX(Setup!$B$27:$B$44,MATCH($E2119,Setup!$A$27:$A$44,0)),"TBD"))</f>
        <v/>
      </c>
      <c r="G2119" s="32"/>
      <c r="H2119" s="32"/>
      <c r="I2119" s="32"/>
      <c r="J2119" s="32"/>
      <c r="K2119" s="35"/>
      <c r="L2119" s="32"/>
      <c r="M2119" s="32"/>
    </row>
    <row r="2120" customFormat="false" ht="15" hidden="false" customHeight="true" outlineLevel="0" collapsed="false">
      <c r="A2120" s="32"/>
      <c r="B2120" s="32"/>
      <c r="C2120" s="32"/>
      <c r="D2120" s="32"/>
      <c r="E2120" s="34" t="str">
        <f aca="false">IF($B2120="","",IF($B2120="OUT","Liters",IFERROR(INDEX(Setup!$F$3:$F$24,MATCH($C2120,Setup!$A$3:$A$24,0)),"")))</f>
        <v/>
      </c>
      <c r="F2120" s="28" t="str">
        <f aca="false">IF(OR($D2120="",$E2120=""),"",IFERROR($D2120*INDEX(Setup!$B$27:$B$44,MATCH($E2120,Setup!$A$27:$A$44,0)),"TBD"))</f>
        <v/>
      </c>
      <c r="G2120" s="32"/>
      <c r="H2120" s="32"/>
      <c r="I2120" s="32"/>
      <c r="J2120" s="32"/>
      <c r="K2120" s="35"/>
      <c r="L2120" s="32"/>
      <c r="M2120" s="32"/>
    </row>
    <row r="2121" customFormat="false" ht="15" hidden="false" customHeight="true" outlineLevel="0" collapsed="false">
      <c r="A2121" s="32"/>
      <c r="B2121" s="32"/>
      <c r="C2121" s="32"/>
      <c r="D2121" s="32"/>
      <c r="E2121" s="34" t="str">
        <f aca="false">IF($B2121="","",IF($B2121="OUT","Liters",IFERROR(INDEX(Setup!$F$3:$F$24,MATCH($C2121,Setup!$A$3:$A$24,0)),"")))</f>
        <v/>
      </c>
      <c r="F2121" s="28" t="str">
        <f aca="false">IF(OR($D2121="",$E2121=""),"",IFERROR($D2121*INDEX(Setup!$B$27:$B$44,MATCH($E2121,Setup!$A$27:$A$44,0)),"TBD"))</f>
        <v/>
      </c>
      <c r="G2121" s="32"/>
      <c r="H2121" s="32"/>
      <c r="I2121" s="32"/>
      <c r="J2121" s="32"/>
      <c r="K2121" s="35"/>
      <c r="L2121" s="32"/>
      <c r="M2121" s="32"/>
    </row>
    <row r="2122" customFormat="false" ht="15" hidden="false" customHeight="true" outlineLevel="0" collapsed="false">
      <c r="A2122" s="32"/>
      <c r="B2122" s="32"/>
      <c r="C2122" s="32"/>
      <c r="D2122" s="32"/>
      <c r="E2122" s="34" t="str">
        <f aca="false">IF($B2122="","",IF($B2122="OUT","Liters",IFERROR(INDEX(Setup!$F$3:$F$24,MATCH($C2122,Setup!$A$3:$A$24,0)),"")))</f>
        <v/>
      </c>
      <c r="F2122" s="28" t="str">
        <f aca="false">IF(OR($D2122="",$E2122=""),"",IFERROR($D2122*INDEX(Setup!$B$27:$B$44,MATCH($E2122,Setup!$A$27:$A$44,0)),"TBD"))</f>
        <v/>
      </c>
      <c r="G2122" s="32"/>
      <c r="H2122" s="32"/>
      <c r="I2122" s="32"/>
      <c r="J2122" s="32"/>
      <c r="K2122" s="35"/>
      <c r="L2122" s="32"/>
      <c r="M2122" s="32"/>
    </row>
    <row r="2123" customFormat="false" ht="15" hidden="false" customHeight="true" outlineLevel="0" collapsed="false">
      <c r="A2123" s="32"/>
      <c r="B2123" s="32"/>
      <c r="C2123" s="32"/>
      <c r="D2123" s="32"/>
      <c r="E2123" s="34" t="str">
        <f aca="false">IF($B2123="","",IF($B2123="OUT","Liters",IFERROR(INDEX(Setup!$F$3:$F$24,MATCH($C2123,Setup!$A$3:$A$24,0)),"")))</f>
        <v/>
      </c>
      <c r="F2123" s="28" t="str">
        <f aca="false">IF(OR($D2123="",$E2123=""),"",IFERROR($D2123*INDEX(Setup!$B$27:$B$44,MATCH($E2123,Setup!$A$27:$A$44,0)),"TBD"))</f>
        <v/>
      </c>
      <c r="G2123" s="32"/>
      <c r="H2123" s="32"/>
      <c r="I2123" s="32"/>
      <c r="J2123" s="32"/>
      <c r="K2123" s="35"/>
      <c r="L2123" s="32"/>
      <c r="M2123" s="32"/>
    </row>
    <row r="2124" customFormat="false" ht="15" hidden="false" customHeight="true" outlineLevel="0" collapsed="false">
      <c r="A2124" s="32"/>
      <c r="B2124" s="32"/>
      <c r="C2124" s="32"/>
      <c r="D2124" s="32"/>
      <c r="E2124" s="34" t="str">
        <f aca="false">IF($B2124="","",IF($B2124="OUT","Liters",IFERROR(INDEX(Setup!$F$3:$F$24,MATCH($C2124,Setup!$A$3:$A$24,0)),"")))</f>
        <v/>
      </c>
      <c r="F2124" s="28" t="str">
        <f aca="false">IF(OR($D2124="",$E2124=""),"",IFERROR($D2124*INDEX(Setup!$B$27:$B$44,MATCH($E2124,Setup!$A$27:$A$44,0)),"TBD"))</f>
        <v/>
      </c>
      <c r="G2124" s="32"/>
      <c r="H2124" s="32"/>
      <c r="I2124" s="32"/>
      <c r="J2124" s="32"/>
      <c r="K2124" s="35"/>
      <c r="L2124" s="32"/>
      <c r="M2124" s="32"/>
    </row>
    <row r="2125" customFormat="false" ht="15" hidden="false" customHeight="true" outlineLevel="0" collapsed="false">
      <c r="A2125" s="32"/>
      <c r="B2125" s="32"/>
      <c r="C2125" s="32"/>
      <c r="D2125" s="32"/>
      <c r="E2125" s="34" t="str">
        <f aca="false">IF($B2125="","",IF($B2125="OUT","Liters",IFERROR(INDEX(Setup!$F$3:$F$24,MATCH($C2125,Setup!$A$3:$A$24,0)),"")))</f>
        <v/>
      </c>
      <c r="F2125" s="28" t="str">
        <f aca="false">IF(OR($D2125="",$E2125=""),"",IFERROR($D2125*INDEX(Setup!$B$27:$B$44,MATCH($E2125,Setup!$A$27:$A$44,0)),"TBD"))</f>
        <v/>
      </c>
      <c r="G2125" s="32"/>
      <c r="H2125" s="32"/>
      <c r="I2125" s="32"/>
      <c r="J2125" s="32"/>
      <c r="K2125" s="35"/>
      <c r="L2125" s="32"/>
      <c r="M2125" s="32"/>
    </row>
    <row r="2126" customFormat="false" ht="15" hidden="false" customHeight="true" outlineLevel="0" collapsed="false">
      <c r="A2126" s="32"/>
      <c r="B2126" s="32"/>
      <c r="C2126" s="32"/>
      <c r="D2126" s="32"/>
      <c r="E2126" s="34" t="str">
        <f aca="false">IF($B2126="","",IF($B2126="OUT","Liters",IFERROR(INDEX(Setup!$F$3:$F$24,MATCH($C2126,Setup!$A$3:$A$24,0)),"")))</f>
        <v/>
      </c>
      <c r="F2126" s="28" t="str">
        <f aca="false">IF(OR($D2126="",$E2126=""),"",IFERROR($D2126*INDEX(Setup!$B$27:$B$44,MATCH($E2126,Setup!$A$27:$A$44,0)),"TBD"))</f>
        <v/>
      </c>
      <c r="G2126" s="32"/>
      <c r="H2126" s="32"/>
      <c r="I2126" s="32"/>
      <c r="J2126" s="32"/>
      <c r="K2126" s="35"/>
      <c r="L2126" s="32"/>
      <c r="M2126" s="32"/>
    </row>
    <row r="2127" customFormat="false" ht="15" hidden="false" customHeight="true" outlineLevel="0" collapsed="false">
      <c r="A2127" s="32"/>
      <c r="B2127" s="32"/>
      <c r="C2127" s="32"/>
      <c r="D2127" s="32"/>
      <c r="E2127" s="34" t="str">
        <f aca="false">IF($B2127="","",IF($B2127="OUT","Liters",IFERROR(INDEX(Setup!$F$3:$F$24,MATCH($C2127,Setup!$A$3:$A$24,0)),"")))</f>
        <v/>
      </c>
      <c r="F2127" s="28" t="str">
        <f aca="false">IF(OR($D2127="",$E2127=""),"",IFERROR($D2127*INDEX(Setup!$B$27:$B$44,MATCH($E2127,Setup!$A$27:$A$44,0)),"TBD"))</f>
        <v/>
      </c>
      <c r="G2127" s="32"/>
      <c r="H2127" s="32"/>
      <c r="I2127" s="32"/>
      <c r="J2127" s="32"/>
      <c r="K2127" s="35"/>
      <c r="L2127" s="32"/>
      <c r="M2127" s="32"/>
    </row>
    <row r="2128" customFormat="false" ht="15" hidden="false" customHeight="true" outlineLevel="0" collapsed="false">
      <c r="A2128" s="32"/>
      <c r="B2128" s="32"/>
      <c r="C2128" s="32"/>
      <c r="D2128" s="32"/>
      <c r="E2128" s="34" t="str">
        <f aca="false">IF($B2128="","",IF($B2128="OUT","Liters",IFERROR(INDEX(Setup!$F$3:$F$24,MATCH($C2128,Setup!$A$3:$A$24,0)),"")))</f>
        <v/>
      </c>
      <c r="F2128" s="28" t="str">
        <f aca="false">IF(OR($D2128="",$E2128=""),"",IFERROR($D2128*INDEX(Setup!$B$27:$B$44,MATCH($E2128,Setup!$A$27:$A$44,0)),"TBD"))</f>
        <v/>
      </c>
      <c r="G2128" s="32"/>
      <c r="H2128" s="32"/>
      <c r="I2128" s="32"/>
      <c r="J2128" s="32"/>
      <c r="K2128" s="35"/>
      <c r="L2128" s="32"/>
      <c r="M2128" s="32"/>
    </row>
    <row r="2129" customFormat="false" ht="15" hidden="false" customHeight="true" outlineLevel="0" collapsed="false">
      <c r="A2129" s="32"/>
      <c r="B2129" s="32"/>
      <c r="C2129" s="32"/>
      <c r="D2129" s="32"/>
      <c r="E2129" s="34" t="str">
        <f aca="false">IF($B2129="","",IF($B2129="OUT","Liters",IFERROR(INDEX(Setup!$F$3:$F$24,MATCH($C2129,Setup!$A$3:$A$24,0)),"")))</f>
        <v/>
      </c>
      <c r="F2129" s="28" t="str">
        <f aca="false">IF(OR($D2129="",$E2129=""),"",IFERROR($D2129*INDEX(Setup!$B$27:$B$44,MATCH($E2129,Setup!$A$27:$A$44,0)),"TBD"))</f>
        <v/>
      </c>
      <c r="G2129" s="32"/>
      <c r="H2129" s="32"/>
      <c r="I2129" s="32"/>
      <c r="J2129" s="32"/>
      <c r="K2129" s="35"/>
      <c r="L2129" s="32"/>
      <c r="M2129" s="32"/>
    </row>
    <row r="2130" customFormat="false" ht="15" hidden="false" customHeight="true" outlineLevel="0" collapsed="false">
      <c r="A2130" s="32"/>
      <c r="B2130" s="32"/>
      <c r="C2130" s="32"/>
      <c r="D2130" s="32"/>
      <c r="E2130" s="34" t="str">
        <f aca="false">IF($B2130="","",IF($B2130="OUT","Liters",IFERROR(INDEX(Setup!$F$3:$F$24,MATCH($C2130,Setup!$A$3:$A$24,0)),"")))</f>
        <v/>
      </c>
      <c r="F2130" s="28" t="str">
        <f aca="false">IF(OR($D2130="",$E2130=""),"",IFERROR($D2130*INDEX(Setup!$B$27:$B$44,MATCH($E2130,Setup!$A$27:$A$44,0)),"TBD"))</f>
        <v/>
      </c>
      <c r="G2130" s="32"/>
      <c r="H2130" s="32"/>
      <c r="I2130" s="32"/>
      <c r="J2130" s="32"/>
      <c r="K2130" s="35"/>
      <c r="L2130" s="32"/>
      <c r="M2130" s="32"/>
    </row>
    <row r="2131" customFormat="false" ht="15" hidden="false" customHeight="true" outlineLevel="0" collapsed="false">
      <c r="A2131" s="32"/>
      <c r="B2131" s="32"/>
      <c r="C2131" s="32"/>
      <c r="D2131" s="32"/>
      <c r="E2131" s="34" t="str">
        <f aca="false">IF($B2131="","",IF($B2131="OUT","Liters",IFERROR(INDEX(Setup!$F$3:$F$24,MATCH($C2131,Setup!$A$3:$A$24,0)),"")))</f>
        <v/>
      </c>
      <c r="F2131" s="28" t="str">
        <f aca="false">IF(OR($D2131="",$E2131=""),"",IFERROR($D2131*INDEX(Setup!$B$27:$B$44,MATCH($E2131,Setup!$A$27:$A$44,0)),"TBD"))</f>
        <v/>
      </c>
      <c r="G2131" s="32"/>
      <c r="H2131" s="32"/>
      <c r="I2131" s="32"/>
      <c r="J2131" s="32"/>
      <c r="K2131" s="35"/>
      <c r="L2131" s="32"/>
      <c r="M2131" s="32"/>
    </row>
    <row r="2132" customFormat="false" ht="15" hidden="false" customHeight="true" outlineLevel="0" collapsed="false">
      <c r="A2132" s="32"/>
      <c r="B2132" s="32"/>
      <c r="C2132" s="32"/>
      <c r="D2132" s="32"/>
      <c r="E2132" s="34" t="str">
        <f aca="false">IF($B2132="","",IF($B2132="OUT","Liters",IFERROR(INDEX(Setup!$F$3:$F$24,MATCH($C2132,Setup!$A$3:$A$24,0)),"")))</f>
        <v/>
      </c>
      <c r="F2132" s="28" t="str">
        <f aca="false">IF(OR($D2132="",$E2132=""),"",IFERROR($D2132*INDEX(Setup!$B$27:$B$44,MATCH($E2132,Setup!$A$27:$A$44,0)),"TBD"))</f>
        <v/>
      </c>
      <c r="G2132" s="32"/>
      <c r="H2132" s="32"/>
      <c r="I2132" s="32"/>
      <c r="J2132" s="32"/>
      <c r="K2132" s="35"/>
      <c r="L2132" s="32"/>
      <c r="M2132" s="32"/>
    </row>
    <row r="2133" customFormat="false" ht="15" hidden="false" customHeight="true" outlineLevel="0" collapsed="false">
      <c r="A2133" s="32"/>
      <c r="B2133" s="32"/>
      <c r="C2133" s="32"/>
      <c r="D2133" s="32"/>
      <c r="E2133" s="34" t="str">
        <f aca="false">IF($B2133="","",IF($B2133="OUT","Liters",IFERROR(INDEX(Setup!$F$3:$F$24,MATCH($C2133,Setup!$A$3:$A$24,0)),"")))</f>
        <v/>
      </c>
      <c r="F2133" s="28" t="str">
        <f aca="false">IF(OR($D2133="",$E2133=""),"",IFERROR($D2133*INDEX(Setup!$B$27:$B$44,MATCH($E2133,Setup!$A$27:$A$44,0)),"TBD"))</f>
        <v/>
      </c>
      <c r="G2133" s="32"/>
      <c r="H2133" s="32"/>
      <c r="I2133" s="32"/>
      <c r="J2133" s="32"/>
      <c r="K2133" s="35"/>
      <c r="L2133" s="32"/>
      <c r="M2133" s="32"/>
    </row>
    <row r="2134" customFormat="false" ht="15" hidden="false" customHeight="true" outlineLevel="0" collapsed="false">
      <c r="A2134" s="32"/>
      <c r="B2134" s="32"/>
      <c r="C2134" s="32"/>
      <c r="D2134" s="32"/>
      <c r="E2134" s="34" t="str">
        <f aca="false">IF($B2134="","",IF($B2134="OUT","Liters",IFERROR(INDEX(Setup!$F$3:$F$24,MATCH($C2134,Setup!$A$3:$A$24,0)),"")))</f>
        <v/>
      </c>
      <c r="F2134" s="28" t="str">
        <f aca="false">IF(OR($D2134="",$E2134=""),"",IFERROR($D2134*INDEX(Setup!$B$27:$B$44,MATCH($E2134,Setup!$A$27:$A$44,0)),"TBD"))</f>
        <v/>
      </c>
      <c r="G2134" s="32"/>
      <c r="H2134" s="32"/>
      <c r="I2134" s="32"/>
      <c r="J2134" s="32"/>
      <c r="K2134" s="35"/>
      <c r="L2134" s="32"/>
      <c r="M2134" s="32"/>
    </row>
    <row r="2135" customFormat="false" ht="15" hidden="false" customHeight="true" outlineLevel="0" collapsed="false">
      <c r="A2135" s="32"/>
      <c r="B2135" s="32"/>
      <c r="C2135" s="32"/>
      <c r="D2135" s="32"/>
      <c r="E2135" s="34" t="str">
        <f aca="false">IF($B2135="","",IF($B2135="OUT","Liters",IFERROR(INDEX(Setup!$F$3:$F$24,MATCH($C2135,Setup!$A$3:$A$24,0)),"")))</f>
        <v/>
      </c>
      <c r="F2135" s="28" t="str">
        <f aca="false">IF(OR($D2135="",$E2135=""),"",IFERROR($D2135*INDEX(Setup!$B$27:$B$44,MATCH($E2135,Setup!$A$27:$A$44,0)),"TBD"))</f>
        <v/>
      </c>
      <c r="G2135" s="32"/>
      <c r="H2135" s="32"/>
      <c r="I2135" s="32"/>
      <c r="J2135" s="32"/>
      <c r="K2135" s="35"/>
      <c r="L2135" s="32"/>
      <c r="M2135" s="32"/>
    </row>
    <row r="2136" customFormat="false" ht="15" hidden="false" customHeight="true" outlineLevel="0" collapsed="false">
      <c r="A2136" s="32"/>
      <c r="B2136" s="32"/>
      <c r="C2136" s="32"/>
      <c r="D2136" s="32"/>
      <c r="E2136" s="34" t="str">
        <f aca="false">IF($B2136="","",IF($B2136="OUT","Liters",IFERROR(INDEX(Setup!$F$3:$F$24,MATCH($C2136,Setup!$A$3:$A$24,0)),"")))</f>
        <v/>
      </c>
      <c r="F2136" s="28" t="str">
        <f aca="false">IF(OR($D2136="",$E2136=""),"",IFERROR($D2136*INDEX(Setup!$B$27:$B$44,MATCH($E2136,Setup!$A$27:$A$44,0)),"TBD"))</f>
        <v/>
      </c>
      <c r="G2136" s="32"/>
      <c r="H2136" s="32"/>
      <c r="I2136" s="32"/>
      <c r="J2136" s="32"/>
      <c r="K2136" s="35"/>
      <c r="L2136" s="32"/>
      <c r="M2136" s="32"/>
    </row>
    <row r="2137" customFormat="false" ht="15" hidden="false" customHeight="true" outlineLevel="0" collapsed="false">
      <c r="A2137" s="32"/>
      <c r="B2137" s="32"/>
      <c r="C2137" s="32"/>
      <c r="D2137" s="32"/>
      <c r="E2137" s="34" t="str">
        <f aca="false">IF($B2137="","",IF($B2137="OUT","Liters",IFERROR(INDEX(Setup!$F$3:$F$24,MATCH($C2137,Setup!$A$3:$A$24,0)),"")))</f>
        <v/>
      </c>
      <c r="F2137" s="28" t="str">
        <f aca="false">IF(OR($D2137="",$E2137=""),"",IFERROR($D2137*INDEX(Setup!$B$27:$B$44,MATCH($E2137,Setup!$A$27:$A$44,0)),"TBD"))</f>
        <v/>
      </c>
      <c r="G2137" s="32"/>
      <c r="H2137" s="32"/>
      <c r="I2137" s="32"/>
      <c r="J2137" s="32"/>
      <c r="K2137" s="35"/>
      <c r="L2137" s="32"/>
      <c r="M2137" s="32"/>
    </row>
    <row r="2138" customFormat="false" ht="15" hidden="false" customHeight="true" outlineLevel="0" collapsed="false">
      <c r="A2138" s="32"/>
      <c r="B2138" s="32"/>
      <c r="C2138" s="32"/>
      <c r="D2138" s="32"/>
      <c r="E2138" s="34" t="str">
        <f aca="false">IF($B2138="","",IF($B2138="OUT","Liters",IFERROR(INDEX(Setup!$F$3:$F$24,MATCH($C2138,Setup!$A$3:$A$24,0)),"")))</f>
        <v/>
      </c>
      <c r="F2138" s="28" t="str">
        <f aca="false">IF(OR($D2138="",$E2138=""),"",IFERROR($D2138*INDEX(Setup!$B$27:$B$44,MATCH($E2138,Setup!$A$27:$A$44,0)),"TBD"))</f>
        <v/>
      </c>
      <c r="G2138" s="32"/>
      <c r="H2138" s="32"/>
      <c r="I2138" s="32"/>
      <c r="J2138" s="32"/>
      <c r="K2138" s="35"/>
      <c r="L2138" s="32"/>
      <c r="M2138" s="32"/>
    </row>
    <row r="2139" customFormat="false" ht="15" hidden="false" customHeight="true" outlineLevel="0" collapsed="false">
      <c r="A2139" s="32"/>
      <c r="B2139" s="32"/>
      <c r="C2139" s="32"/>
      <c r="D2139" s="32"/>
      <c r="E2139" s="34" t="str">
        <f aca="false">IF($B2139="","",IF($B2139="OUT","Liters",IFERROR(INDEX(Setup!$F$3:$F$24,MATCH($C2139,Setup!$A$3:$A$24,0)),"")))</f>
        <v/>
      </c>
      <c r="F2139" s="28" t="str">
        <f aca="false">IF(OR($D2139="",$E2139=""),"",IFERROR($D2139*INDEX(Setup!$B$27:$B$44,MATCH($E2139,Setup!$A$27:$A$44,0)),"TBD"))</f>
        <v/>
      </c>
      <c r="G2139" s="32"/>
      <c r="H2139" s="32"/>
      <c r="I2139" s="32"/>
      <c r="J2139" s="32"/>
      <c r="K2139" s="35"/>
      <c r="L2139" s="32"/>
      <c r="M2139" s="32"/>
    </row>
    <row r="2140" customFormat="false" ht="15" hidden="false" customHeight="true" outlineLevel="0" collapsed="false">
      <c r="A2140" s="32"/>
      <c r="B2140" s="32"/>
      <c r="C2140" s="32"/>
      <c r="D2140" s="32"/>
      <c r="E2140" s="34" t="str">
        <f aca="false">IF($B2140="","",IF($B2140="OUT","Liters",IFERROR(INDEX(Setup!$F$3:$F$24,MATCH($C2140,Setup!$A$3:$A$24,0)),"")))</f>
        <v/>
      </c>
      <c r="F2140" s="28" t="str">
        <f aca="false">IF(OR($D2140="",$E2140=""),"",IFERROR($D2140*INDEX(Setup!$B$27:$B$44,MATCH($E2140,Setup!$A$27:$A$44,0)),"TBD"))</f>
        <v/>
      </c>
      <c r="G2140" s="32"/>
      <c r="H2140" s="32"/>
      <c r="I2140" s="32"/>
      <c r="J2140" s="32"/>
      <c r="K2140" s="35"/>
      <c r="L2140" s="32"/>
      <c r="M2140" s="32"/>
    </row>
    <row r="2141" customFormat="false" ht="15" hidden="false" customHeight="true" outlineLevel="0" collapsed="false">
      <c r="A2141" s="32"/>
      <c r="B2141" s="32"/>
      <c r="C2141" s="32"/>
      <c r="D2141" s="32"/>
      <c r="E2141" s="34" t="str">
        <f aca="false">IF($B2141="","",IF($B2141="OUT","Liters",IFERROR(INDEX(Setup!$F$3:$F$24,MATCH($C2141,Setup!$A$3:$A$24,0)),"")))</f>
        <v/>
      </c>
      <c r="F2141" s="28" t="str">
        <f aca="false">IF(OR($D2141="",$E2141=""),"",IFERROR($D2141*INDEX(Setup!$B$27:$B$44,MATCH($E2141,Setup!$A$27:$A$44,0)),"TBD"))</f>
        <v/>
      </c>
      <c r="G2141" s="32"/>
      <c r="H2141" s="32"/>
      <c r="I2141" s="32"/>
      <c r="J2141" s="32"/>
      <c r="K2141" s="35"/>
      <c r="L2141" s="32"/>
      <c r="M2141" s="32"/>
    </row>
    <row r="2142" customFormat="false" ht="15" hidden="false" customHeight="true" outlineLevel="0" collapsed="false">
      <c r="A2142" s="32"/>
      <c r="B2142" s="32"/>
      <c r="C2142" s="32"/>
      <c r="D2142" s="32"/>
      <c r="E2142" s="34" t="str">
        <f aca="false">IF($B2142="","",IF($B2142="OUT","Liters",IFERROR(INDEX(Setup!$F$3:$F$24,MATCH($C2142,Setup!$A$3:$A$24,0)),"")))</f>
        <v/>
      </c>
      <c r="F2142" s="28" t="str">
        <f aca="false">IF(OR($D2142="",$E2142=""),"",IFERROR($D2142*INDEX(Setup!$B$27:$B$44,MATCH($E2142,Setup!$A$27:$A$44,0)),"TBD"))</f>
        <v/>
      </c>
      <c r="G2142" s="32"/>
      <c r="H2142" s="32"/>
      <c r="I2142" s="32"/>
      <c r="J2142" s="32"/>
      <c r="K2142" s="35"/>
      <c r="L2142" s="32"/>
      <c r="M2142" s="32"/>
    </row>
    <row r="2143" customFormat="false" ht="15" hidden="false" customHeight="true" outlineLevel="0" collapsed="false">
      <c r="A2143" s="32"/>
      <c r="B2143" s="32"/>
      <c r="C2143" s="32"/>
      <c r="D2143" s="32"/>
      <c r="E2143" s="34" t="str">
        <f aca="false">IF($B2143="","",IF($B2143="OUT","Liters",IFERROR(INDEX(Setup!$F$3:$F$24,MATCH($C2143,Setup!$A$3:$A$24,0)),"")))</f>
        <v/>
      </c>
      <c r="F2143" s="28" t="str">
        <f aca="false">IF(OR($D2143="",$E2143=""),"",IFERROR($D2143*INDEX(Setup!$B$27:$B$44,MATCH($E2143,Setup!$A$27:$A$44,0)),"TBD"))</f>
        <v/>
      </c>
      <c r="G2143" s="32"/>
      <c r="H2143" s="32"/>
      <c r="I2143" s="32"/>
      <c r="J2143" s="32"/>
      <c r="K2143" s="35"/>
      <c r="L2143" s="32"/>
      <c r="M2143" s="32"/>
    </row>
    <row r="2144" customFormat="false" ht="15" hidden="false" customHeight="true" outlineLevel="0" collapsed="false">
      <c r="A2144" s="32"/>
      <c r="B2144" s="32"/>
      <c r="C2144" s="32"/>
      <c r="D2144" s="32"/>
      <c r="E2144" s="34" t="str">
        <f aca="false">IF($B2144="","",IF($B2144="OUT","Liters",IFERROR(INDEX(Setup!$F$3:$F$24,MATCH($C2144,Setup!$A$3:$A$24,0)),"")))</f>
        <v/>
      </c>
      <c r="F2144" s="28" t="str">
        <f aca="false">IF(OR($D2144="",$E2144=""),"",IFERROR($D2144*INDEX(Setup!$B$27:$B$44,MATCH($E2144,Setup!$A$27:$A$44,0)),"TBD"))</f>
        <v/>
      </c>
      <c r="G2144" s="32"/>
      <c r="H2144" s="32"/>
      <c r="I2144" s="32"/>
      <c r="J2144" s="32"/>
      <c r="K2144" s="35"/>
      <c r="L2144" s="32"/>
      <c r="M2144" s="32"/>
    </row>
    <row r="2145" customFormat="false" ht="15" hidden="false" customHeight="true" outlineLevel="0" collapsed="false">
      <c r="A2145" s="32"/>
      <c r="B2145" s="32"/>
      <c r="C2145" s="32"/>
      <c r="D2145" s="32"/>
      <c r="E2145" s="34" t="str">
        <f aca="false">IF($B2145="","",IF($B2145="OUT","Liters",IFERROR(INDEX(Setup!$F$3:$F$24,MATCH($C2145,Setup!$A$3:$A$24,0)),"")))</f>
        <v/>
      </c>
      <c r="F2145" s="28" t="str">
        <f aca="false">IF(OR($D2145="",$E2145=""),"",IFERROR($D2145*INDEX(Setup!$B$27:$B$44,MATCH($E2145,Setup!$A$27:$A$44,0)),"TBD"))</f>
        <v/>
      </c>
      <c r="G2145" s="32"/>
      <c r="H2145" s="32"/>
      <c r="I2145" s="32"/>
      <c r="J2145" s="32"/>
      <c r="K2145" s="35"/>
      <c r="L2145" s="32"/>
      <c r="M2145" s="32"/>
    </row>
    <row r="2146" customFormat="false" ht="15" hidden="false" customHeight="true" outlineLevel="0" collapsed="false">
      <c r="A2146" s="32"/>
      <c r="B2146" s="32"/>
      <c r="C2146" s="32"/>
      <c r="D2146" s="32"/>
      <c r="E2146" s="34" t="str">
        <f aca="false">IF($B2146="","",IF($B2146="OUT","Liters",IFERROR(INDEX(Setup!$F$3:$F$24,MATCH($C2146,Setup!$A$3:$A$24,0)),"")))</f>
        <v/>
      </c>
      <c r="F2146" s="28" t="str">
        <f aca="false">IF(OR($D2146="",$E2146=""),"",IFERROR($D2146*INDEX(Setup!$B$27:$B$44,MATCH($E2146,Setup!$A$27:$A$44,0)),"TBD"))</f>
        <v/>
      </c>
      <c r="G2146" s="32"/>
      <c r="H2146" s="32"/>
      <c r="I2146" s="32"/>
      <c r="J2146" s="32"/>
      <c r="K2146" s="35"/>
      <c r="L2146" s="32"/>
      <c r="M2146" s="32"/>
    </row>
    <row r="2147" customFormat="false" ht="15" hidden="false" customHeight="true" outlineLevel="0" collapsed="false">
      <c r="A2147" s="32"/>
      <c r="B2147" s="32"/>
      <c r="C2147" s="32"/>
      <c r="D2147" s="32"/>
      <c r="E2147" s="34" t="str">
        <f aca="false">IF($B2147="","",IF($B2147="OUT","Liters",IFERROR(INDEX(Setup!$F$3:$F$24,MATCH($C2147,Setup!$A$3:$A$24,0)),"")))</f>
        <v/>
      </c>
      <c r="F2147" s="28" t="str">
        <f aca="false">IF(OR($D2147="",$E2147=""),"",IFERROR($D2147*INDEX(Setup!$B$27:$B$44,MATCH($E2147,Setup!$A$27:$A$44,0)),"TBD"))</f>
        <v/>
      </c>
      <c r="G2147" s="32"/>
      <c r="H2147" s="32"/>
      <c r="I2147" s="32"/>
      <c r="J2147" s="32"/>
      <c r="K2147" s="35"/>
      <c r="L2147" s="32"/>
      <c r="M2147" s="32"/>
    </row>
    <row r="2148" customFormat="false" ht="15" hidden="false" customHeight="true" outlineLevel="0" collapsed="false">
      <c r="A2148" s="32"/>
      <c r="B2148" s="32"/>
      <c r="C2148" s="32"/>
      <c r="D2148" s="32"/>
      <c r="E2148" s="34" t="str">
        <f aca="false">IF($B2148="","",IF($B2148="OUT","Liters",IFERROR(INDEX(Setup!$F$3:$F$24,MATCH($C2148,Setup!$A$3:$A$24,0)),"")))</f>
        <v/>
      </c>
      <c r="F2148" s="28" t="str">
        <f aca="false">IF(OR($D2148="",$E2148=""),"",IFERROR($D2148*INDEX(Setup!$B$27:$B$44,MATCH($E2148,Setup!$A$27:$A$44,0)),"TBD"))</f>
        <v/>
      </c>
      <c r="G2148" s="32"/>
      <c r="H2148" s="32"/>
      <c r="I2148" s="32"/>
      <c r="J2148" s="32"/>
      <c r="K2148" s="35"/>
      <c r="L2148" s="32"/>
      <c r="M2148" s="32"/>
    </row>
    <row r="2149" customFormat="false" ht="15" hidden="false" customHeight="true" outlineLevel="0" collapsed="false">
      <c r="A2149" s="32"/>
      <c r="B2149" s="32"/>
      <c r="C2149" s="32"/>
      <c r="D2149" s="32"/>
      <c r="E2149" s="34" t="str">
        <f aca="false">IF($B2149="","",IF($B2149="OUT","Liters",IFERROR(INDEX(Setup!$F$3:$F$24,MATCH($C2149,Setup!$A$3:$A$24,0)),"")))</f>
        <v/>
      </c>
      <c r="F2149" s="28" t="str">
        <f aca="false">IF(OR($D2149="",$E2149=""),"",IFERROR($D2149*INDEX(Setup!$B$27:$B$44,MATCH($E2149,Setup!$A$27:$A$44,0)),"TBD"))</f>
        <v/>
      </c>
      <c r="G2149" s="32"/>
      <c r="H2149" s="32"/>
      <c r="I2149" s="32"/>
      <c r="J2149" s="32"/>
      <c r="K2149" s="35"/>
      <c r="L2149" s="32"/>
      <c r="M2149" s="32"/>
    </row>
    <row r="2150" customFormat="false" ht="15" hidden="false" customHeight="true" outlineLevel="0" collapsed="false">
      <c r="A2150" s="32"/>
      <c r="B2150" s="32"/>
      <c r="C2150" s="32"/>
      <c r="D2150" s="32"/>
      <c r="E2150" s="34" t="str">
        <f aca="false">IF($B2150="","",IF($B2150="OUT","Liters",IFERROR(INDEX(Setup!$F$3:$F$24,MATCH($C2150,Setup!$A$3:$A$24,0)),"")))</f>
        <v/>
      </c>
      <c r="F2150" s="28" t="str">
        <f aca="false">IF(OR($D2150="",$E2150=""),"",IFERROR($D2150*INDEX(Setup!$B$27:$B$44,MATCH($E2150,Setup!$A$27:$A$44,0)),"TBD"))</f>
        <v/>
      </c>
      <c r="G2150" s="32"/>
      <c r="H2150" s="32"/>
      <c r="I2150" s="32"/>
      <c r="J2150" s="32"/>
      <c r="K2150" s="35"/>
      <c r="L2150" s="32"/>
      <c r="M2150" s="32"/>
    </row>
    <row r="2151" customFormat="false" ht="15" hidden="false" customHeight="true" outlineLevel="0" collapsed="false">
      <c r="A2151" s="32"/>
      <c r="B2151" s="32"/>
      <c r="C2151" s="32"/>
      <c r="D2151" s="32"/>
      <c r="E2151" s="34" t="str">
        <f aca="false">IF($B2151="","",IF($B2151="OUT","Liters",IFERROR(INDEX(Setup!$F$3:$F$24,MATCH($C2151,Setup!$A$3:$A$24,0)),"")))</f>
        <v/>
      </c>
      <c r="F2151" s="28" t="str">
        <f aca="false">IF(OR($D2151="",$E2151=""),"",IFERROR($D2151*INDEX(Setup!$B$27:$B$44,MATCH($E2151,Setup!$A$27:$A$44,0)),"TBD"))</f>
        <v/>
      </c>
      <c r="G2151" s="32"/>
      <c r="H2151" s="32"/>
      <c r="I2151" s="32"/>
      <c r="J2151" s="32"/>
      <c r="K2151" s="35"/>
      <c r="L2151" s="32"/>
      <c r="M2151" s="32"/>
    </row>
    <row r="2152" customFormat="false" ht="15" hidden="false" customHeight="true" outlineLevel="0" collapsed="false">
      <c r="A2152" s="32"/>
      <c r="B2152" s="32"/>
      <c r="C2152" s="32"/>
      <c r="D2152" s="32"/>
      <c r="E2152" s="34" t="str">
        <f aca="false">IF($B2152="","",IF($B2152="OUT","Liters",IFERROR(INDEX(Setup!$F$3:$F$24,MATCH($C2152,Setup!$A$3:$A$24,0)),"")))</f>
        <v/>
      </c>
      <c r="F2152" s="28" t="str">
        <f aca="false">IF(OR($D2152="",$E2152=""),"",IFERROR($D2152*INDEX(Setup!$B$27:$B$44,MATCH($E2152,Setup!$A$27:$A$44,0)),"TBD"))</f>
        <v/>
      </c>
      <c r="G2152" s="32"/>
      <c r="H2152" s="32"/>
      <c r="I2152" s="32"/>
      <c r="J2152" s="32"/>
      <c r="K2152" s="35"/>
      <c r="L2152" s="32"/>
      <c r="M2152" s="32"/>
    </row>
    <row r="2153" customFormat="false" ht="15" hidden="false" customHeight="true" outlineLevel="0" collapsed="false">
      <c r="A2153" s="32"/>
      <c r="B2153" s="32"/>
      <c r="C2153" s="32"/>
      <c r="D2153" s="32"/>
      <c r="E2153" s="34" t="str">
        <f aca="false">IF($B2153="","",IF($B2153="OUT","Liters",IFERROR(INDEX(Setup!$F$3:$F$24,MATCH($C2153,Setup!$A$3:$A$24,0)),"")))</f>
        <v/>
      </c>
      <c r="F2153" s="28" t="str">
        <f aca="false">IF(OR($D2153="",$E2153=""),"",IFERROR($D2153*INDEX(Setup!$B$27:$B$44,MATCH($E2153,Setup!$A$27:$A$44,0)),"TBD"))</f>
        <v/>
      </c>
      <c r="G2153" s="32"/>
      <c r="H2153" s="32"/>
      <c r="I2153" s="32"/>
      <c r="J2153" s="32"/>
      <c r="K2153" s="35"/>
      <c r="L2153" s="32"/>
      <c r="M2153" s="32"/>
    </row>
    <row r="2154" customFormat="false" ht="15" hidden="false" customHeight="true" outlineLevel="0" collapsed="false">
      <c r="A2154" s="32"/>
      <c r="B2154" s="32"/>
      <c r="C2154" s="32"/>
      <c r="D2154" s="32"/>
      <c r="E2154" s="34" t="str">
        <f aca="false">IF($B2154="","",IF($B2154="OUT","Liters",IFERROR(INDEX(Setup!$F$3:$F$24,MATCH($C2154,Setup!$A$3:$A$24,0)),"")))</f>
        <v/>
      </c>
      <c r="F2154" s="28" t="str">
        <f aca="false">IF(OR($D2154="",$E2154=""),"",IFERROR($D2154*INDEX(Setup!$B$27:$B$44,MATCH($E2154,Setup!$A$27:$A$44,0)),"TBD"))</f>
        <v/>
      </c>
      <c r="G2154" s="32"/>
      <c r="H2154" s="32"/>
      <c r="I2154" s="32"/>
      <c r="J2154" s="32"/>
      <c r="K2154" s="35"/>
      <c r="L2154" s="32"/>
      <c r="M2154" s="32"/>
    </row>
    <row r="2155" customFormat="false" ht="15" hidden="false" customHeight="true" outlineLevel="0" collapsed="false">
      <c r="A2155" s="32"/>
      <c r="B2155" s="32"/>
      <c r="C2155" s="32"/>
      <c r="D2155" s="32"/>
      <c r="E2155" s="34" t="str">
        <f aca="false">IF($B2155="","",IF($B2155="OUT","Liters",IFERROR(INDEX(Setup!$F$3:$F$24,MATCH($C2155,Setup!$A$3:$A$24,0)),"")))</f>
        <v/>
      </c>
      <c r="F2155" s="28" t="str">
        <f aca="false">IF(OR($D2155="",$E2155=""),"",IFERROR($D2155*INDEX(Setup!$B$27:$B$44,MATCH($E2155,Setup!$A$27:$A$44,0)),"TBD"))</f>
        <v/>
      </c>
      <c r="G2155" s="32"/>
      <c r="H2155" s="32"/>
      <c r="I2155" s="32"/>
      <c r="J2155" s="32"/>
      <c r="K2155" s="35"/>
      <c r="L2155" s="32"/>
      <c r="M2155" s="32"/>
    </row>
    <row r="2156" customFormat="false" ht="15" hidden="false" customHeight="true" outlineLevel="0" collapsed="false">
      <c r="A2156" s="32"/>
      <c r="B2156" s="32"/>
      <c r="C2156" s="32"/>
      <c r="D2156" s="32"/>
      <c r="E2156" s="34" t="str">
        <f aca="false">IF($B2156="","",IF($B2156="OUT","Liters",IFERROR(INDEX(Setup!$F$3:$F$24,MATCH($C2156,Setup!$A$3:$A$24,0)),"")))</f>
        <v/>
      </c>
      <c r="F2156" s="28" t="str">
        <f aca="false">IF(OR($D2156="",$E2156=""),"",IFERROR($D2156*INDEX(Setup!$B$27:$B$44,MATCH($E2156,Setup!$A$27:$A$44,0)),"TBD"))</f>
        <v/>
      </c>
      <c r="G2156" s="32"/>
      <c r="H2156" s="32"/>
      <c r="I2156" s="32"/>
      <c r="J2156" s="32"/>
      <c r="K2156" s="35"/>
      <c r="L2156" s="32"/>
      <c r="M2156" s="32"/>
    </row>
    <row r="2157" customFormat="false" ht="15" hidden="false" customHeight="true" outlineLevel="0" collapsed="false">
      <c r="A2157" s="32"/>
      <c r="B2157" s="32"/>
      <c r="C2157" s="32"/>
      <c r="D2157" s="32"/>
      <c r="E2157" s="34" t="str">
        <f aca="false">IF($B2157="","",IF($B2157="OUT","Liters",IFERROR(INDEX(Setup!$F$3:$F$24,MATCH($C2157,Setup!$A$3:$A$24,0)),"")))</f>
        <v/>
      </c>
      <c r="F2157" s="28" t="str">
        <f aca="false">IF(OR($D2157="",$E2157=""),"",IFERROR($D2157*INDEX(Setup!$B$27:$B$44,MATCH($E2157,Setup!$A$27:$A$44,0)),"TBD"))</f>
        <v/>
      </c>
      <c r="G2157" s="32"/>
      <c r="H2157" s="32"/>
      <c r="I2157" s="32"/>
      <c r="J2157" s="32"/>
      <c r="K2157" s="35"/>
      <c r="L2157" s="32"/>
      <c r="M2157" s="32"/>
    </row>
    <row r="2158" customFormat="false" ht="15" hidden="false" customHeight="true" outlineLevel="0" collapsed="false">
      <c r="A2158" s="32"/>
      <c r="B2158" s="32"/>
      <c r="C2158" s="32"/>
      <c r="D2158" s="32"/>
      <c r="E2158" s="34" t="str">
        <f aca="false">IF($B2158="","",IF($B2158="OUT","Liters",IFERROR(INDEX(Setup!$F$3:$F$24,MATCH($C2158,Setup!$A$3:$A$24,0)),"")))</f>
        <v/>
      </c>
      <c r="F2158" s="28" t="str">
        <f aca="false">IF(OR($D2158="",$E2158=""),"",IFERROR($D2158*INDEX(Setup!$B$27:$B$44,MATCH($E2158,Setup!$A$27:$A$44,0)),"TBD"))</f>
        <v/>
      </c>
      <c r="G2158" s="32"/>
      <c r="H2158" s="32"/>
      <c r="I2158" s="32"/>
      <c r="J2158" s="32"/>
      <c r="K2158" s="35"/>
      <c r="L2158" s="32"/>
      <c r="M2158" s="32"/>
    </row>
    <row r="2159" customFormat="false" ht="15" hidden="false" customHeight="true" outlineLevel="0" collapsed="false">
      <c r="A2159" s="32"/>
      <c r="B2159" s="32"/>
      <c r="C2159" s="32"/>
      <c r="D2159" s="32"/>
      <c r="E2159" s="34" t="str">
        <f aca="false">IF($B2159="","",IF($B2159="OUT","Liters",IFERROR(INDEX(Setup!$F$3:$F$24,MATCH($C2159,Setup!$A$3:$A$24,0)),"")))</f>
        <v/>
      </c>
      <c r="F2159" s="28" t="str">
        <f aca="false">IF(OR($D2159="",$E2159=""),"",IFERROR($D2159*INDEX(Setup!$B$27:$B$44,MATCH($E2159,Setup!$A$27:$A$44,0)),"TBD"))</f>
        <v/>
      </c>
      <c r="G2159" s="32"/>
      <c r="H2159" s="32"/>
      <c r="I2159" s="32"/>
      <c r="J2159" s="32"/>
      <c r="K2159" s="35"/>
      <c r="L2159" s="32"/>
      <c r="M2159" s="32"/>
    </row>
    <row r="2160" customFormat="false" ht="15" hidden="false" customHeight="true" outlineLevel="0" collapsed="false">
      <c r="A2160" s="32"/>
      <c r="B2160" s="32"/>
      <c r="C2160" s="32"/>
      <c r="D2160" s="32"/>
      <c r="E2160" s="34" t="str">
        <f aca="false">IF($B2160="","",IF($B2160="OUT","Liters",IFERROR(INDEX(Setup!$F$3:$F$24,MATCH($C2160,Setup!$A$3:$A$24,0)),"")))</f>
        <v/>
      </c>
      <c r="F2160" s="28" t="str">
        <f aca="false">IF(OR($D2160="",$E2160=""),"",IFERROR($D2160*INDEX(Setup!$B$27:$B$44,MATCH($E2160,Setup!$A$27:$A$44,0)),"TBD"))</f>
        <v/>
      </c>
      <c r="G2160" s="32"/>
      <c r="H2160" s="32"/>
      <c r="I2160" s="32"/>
      <c r="J2160" s="32"/>
      <c r="K2160" s="35"/>
      <c r="L2160" s="32"/>
      <c r="M2160" s="32"/>
    </row>
    <row r="2161" customFormat="false" ht="15" hidden="false" customHeight="true" outlineLevel="0" collapsed="false">
      <c r="A2161" s="32"/>
      <c r="B2161" s="32"/>
      <c r="C2161" s="32"/>
      <c r="D2161" s="32"/>
      <c r="E2161" s="34" t="str">
        <f aca="false">IF($B2161="","",IF($B2161="OUT","Liters",IFERROR(INDEX(Setup!$F$3:$F$24,MATCH($C2161,Setup!$A$3:$A$24,0)),"")))</f>
        <v/>
      </c>
      <c r="F2161" s="28" t="str">
        <f aca="false">IF(OR($D2161="",$E2161=""),"",IFERROR($D2161*INDEX(Setup!$B$27:$B$44,MATCH($E2161,Setup!$A$27:$A$44,0)),"TBD"))</f>
        <v/>
      </c>
      <c r="G2161" s="32"/>
      <c r="H2161" s="32"/>
      <c r="I2161" s="32"/>
      <c r="J2161" s="32"/>
      <c r="K2161" s="35"/>
      <c r="L2161" s="32"/>
      <c r="M2161" s="32"/>
    </row>
    <row r="2162" customFormat="false" ht="15" hidden="false" customHeight="true" outlineLevel="0" collapsed="false">
      <c r="A2162" s="32"/>
      <c r="B2162" s="32"/>
      <c r="C2162" s="32"/>
      <c r="D2162" s="32"/>
      <c r="E2162" s="34" t="str">
        <f aca="false">IF($B2162="","",IF($B2162="OUT","Liters",IFERROR(INDEX(Setup!$F$3:$F$24,MATCH($C2162,Setup!$A$3:$A$24,0)),"")))</f>
        <v/>
      </c>
      <c r="F2162" s="28" t="str">
        <f aca="false">IF(OR($D2162="",$E2162=""),"",IFERROR($D2162*INDEX(Setup!$B$27:$B$44,MATCH($E2162,Setup!$A$27:$A$44,0)),"TBD"))</f>
        <v/>
      </c>
      <c r="G2162" s="32"/>
      <c r="H2162" s="32"/>
      <c r="I2162" s="32"/>
      <c r="J2162" s="32"/>
      <c r="K2162" s="35"/>
      <c r="L2162" s="32"/>
      <c r="M2162" s="32"/>
    </row>
    <row r="2163" customFormat="false" ht="15" hidden="false" customHeight="true" outlineLevel="0" collapsed="false">
      <c r="A2163" s="32"/>
      <c r="B2163" s="32"/>
      <c r="C2163" s="32"/>
      <c r="D2163" s="32"/>
      <c r="E2163" s="34" t="str">
        <f aca="false">IF($B2163="","",IF($B2163="OUT","Liters",IFERROR(INDEX(Setup!$F$3:$F$24,MATCH($C2163,Setup!$A$3:$A$24,0)),"")))</f>
        <v/>
      </c>
      <c r="F2163" s="28" t="str">
        <f aca="false">IF(OR($D2163="",$E2163=""),"",IFERROR($D2163*INDEX(Setup!$B$27:$B$44,MATCH($E2163,Setup!$A$27:$A$44,0)),"TBD"))</f>
        <v/>
      </c>
      <c r="G2163" s="32"/>
      <c r="H2163" s="32"/>
      <c r="I2163" s="32"/>
      <c r="J2163" s="32"/>
      <c r="K2163" s="35"/>
      <c r="L2163" s="32"/>
      <c r="M2163" s="32"/>
    </row>
    <row r="2164" customFormat="false" ht="15" hidden="false" customHeight="true" outlineLevel="0" collapsed="false">
      <c r="A2164" s="32"/>
      <c r="B2164" s="32"/>
      <c r="C2164" s="32"/>
      <c r="D2164" s="32"/>
      <c r="E2164" s="34" t="str">
        <f aca="false">IF($B2164="","",IF($B2164="OUT","Liters",IFERROR(INDEX(Setup!$F$3:$F$24,MATCH($C2164,Setup!$A$3:$A$24,0)),"")))</f>
        <v/>
      </c>
      <c r="F2164" s="28" t="str">
        <f aca="false">IF(OR($D2164="",$E2164=""),"",IFERROR($D2164*INDEX(Setup!$B$27:$B$44,MATCH($E2164,Setup!$A$27:$A$44,0)),"TBD"))</f>
        <v/>
      </c>
      <c r="G2164" s="32"/>
      <c r="H2164" s="32"/>
      <c r="I2164" s="32"/>
      <c r="J2164" s="32"/>
      <c r="K2164" s="35"/>
      <c r="L2164" s="32"/>
      <c r="M2164" s="32"/>
    </row>
    <row r="2165" customFormat="false" ht="15" hidden="false" customHeight="true" outlineLevel="0" collapsed="false">
      <c r="A2165" s="32"/>
      <c r="B2165" s="32"/>
      <c r="C2165" s="32"/>
      <c r="D2165" s="32"/>
      <c r="E2165" s="34" t="str">
        <f aca="false">IF($B2165="","",IF($B2165="OUT","Liters",IFERROR(INDEX(Setup!$F$3:$F$24,MATCH($C2165,Setup!$A$3:$A$24,0)),"")))</f>
        <v/>
      </c>
      <c r="F2165" s="28" t="str">
        <f aca="false">IF(OR($D2165="",$E2165=""),"",IFERROR($D2165*INDEX(Setup!$B$27:$B$44,MATCH($E2165,Setup!$A$27:$A$44,0)),"TBD"))</f>
        <v/>
      </c>
      <c r="G2165" s="32"/>
      <c r="H2165" s="32"/>
      <c r="I2165" s="32"/>
      <c r="J2165" s="32"/>
      <c r="K2165" s="35"/>
      <c r="L2165" s="32"/>
      <c r="M2165" s="32"/>
    </row>
    <row r="2166" customFormat="false" ht="15" hidden="false" customHeight="true" outlineLevel="0" collapsed="false">
      <c r="A2166" s="32"/>
      <c r="B2166" s="32"/>
      <c r="C2166" s="32"/>
      <c r="D2166" s="32"/>
      <c r="E2166" s="34" t="str">
        <f aca="false">IF($B2166="","",IF($B2166="OUT","Liters",IFERROR(INDEX(Setup!$F$3:$F$24,MATCH($C2166,Setup!$A$3:$A$24,0)),"")))</f>
        <v/>
      </c>
      <c r="F2166" s="28" t="str">
        <f aca="false">IF(OR($D2166="",$E2166=""),"",IFERROR($D2166*INDEX(Setup!$B$27:$B$44,MATCH($E2166,Setup!$A$27:$A$44,0)),"TBD"))</f>
        <v/>
      </c>
      <c r="G2166" s="32"/>
      <c r="H2166" s="32"/>
      <c r="I2166" s="32"/>
      <c r="J2166" s="32"/>
      <c r="K2166" s="35"/>
      <c r="L2166" s="32"/>
      <c r="M2166" s="32"/>
    </row>
    <row r="2167" customFormat="false" ht="15" hidden="false" customHeight="true" outlineLevel="0" collapsed="false">
      <c r="A2167" s="32"/>
      <c r="B2167" s="32"/>
      <c r="C2167" s="32"/>
      <c r="D2167" s="32"/>
      <c r="E2167" s="34" t="str">
        <f aca="false">IF($B2167="","",IF($B2167="OUT","Liters",IFERROR(INDEX(Setup!$F$3:$F$24,MATCH($C2167,Setup!$A$3:$A$24,0)),"")))</f>
        <v/>
      </c>
      <c r="F2167" s="28" t="str">
        <f aca="false">IF(OR($D2167="",$E2167=""),"",IFERROR($D2167*INDEX(Setup!$B$27:$B$44,MATCH($E2167,Setup!$A$27:$A$44,0)),"TBD"))</f>
        <v/>
      </c>
      <c r="G2167" s="32"/>
      <c r="H2167" s="32"/>
      <c r="I2167" s="32"/>
      <c r="J2167" s="32"/>
      <c r="K2167" s="35"/>
      <c r="L2167" s="32"/>
      <c r="M2167" s="32"/>
    </row>
    <row r="2168" customFormat="false" ht="15" hidden="false" customHeight="true" outlineLevel="0" collapsed="false">
      <c r="A2168" s="32"/>
      <c r="B2168" s="32"/>
      <c r="C2168" s="32"/>
      <c r="D2168" s="32"/>
      <c r="E2168" s="34" t="str">
        <f aca="false">IF($B2168="","",IF($B2168="OUT","Liters",IFERROR(INDEX(Setup!$F$3:$F$24,MATCH($C2168,Setup!$A$3:$A$24,0)),"")))</f>
        <v/>
      </c>
      <c r="F2168" s="28" t="str">
        <f aca="false">IF(OR($D2168="",$E2168=""),"",IFERROR($D2168*INDEX(Setup!$B$27:$B$44,MATCH($E2168,Setup!$A$27:$A$44,0)),"TBD"))</f>
        <v/>
      </c>
      <c r="G2168" s="32"/>
      <c r="H2168" s="32"/>
      <c r="I2168" s="32"/>
      <c r="J2168" s="32"/>
      <c r="K2168" s="35"/>
      <c r="L2168" s="32"/>
      <c r="M2168" s="32"/>
    </row>
    <row r="2169" customFormat="false" ht="15" hidden="false" customHeight="true" outlineLevel="0" collapsed="false">
      <c r="A2169" s="32"/>
      <c r="B2169" s="32"/>
      <c r="C2169" s="32"/>
      <c r="D2169" s="32"/>
      <c r="E2169" s="34" t="str">
        <f aca="false">IF($B2169="","",IF($B2169="OUT","Liters",IFERROR(INDEX(Setup!$F$3:$F$24,MATCH($C2169,Setup!$A$3:$A$24,0)),"")))</f>
        <v/>
      </c>
      <c r="F2169" s="28" t="str">
        <f aca="false">IF(OR($D2169="",$E2169=""),"",IFERROR($D2169*INDEX(Setup!$B$27:$B$44,MATCH($E2169,Setup!$A$27:$A$44,0)),"TBD"))</f>
        <v/>
      </c>
      <c r="G2169" s="32"/>
      <c r="H2169" s="32"/>
      <c r="I2169" s="32"/>
      <c r="J2169" s="32"/>
      <c r="K2169" s="35"/>
      <c r="L2169" s="32"/>
      <c r="M2169" s="32"/>
    </row>
    <row r="2170" customFormat="false" ht="15" hidden="false" customHeight="true" outlineLevel="0" collapsed="false">
      <c r="A2170" s="32"/>
      <c r="B2170" s="32"/>
      <c r="C2170" s="32"/>
      <c r="D2170" s="32"/>
      <c r="E2170" s="34" t="str">
        <f aca="false">IF($B2170="","",IF($B2170="OUT","Liters",IFERROR(INDEX(Setup!$F$3:$F$24,MATCH($C2170,Setup!$A$3:$A$24,0)),"")))</f>
        <v/>
      </c>
      <c r="F2170" s="28" t="str">
        <f aca="false">IF(OR($D2170="",$E2170=""),"",IFERROR($D2170*INDEX(Setup!$B$27:$B$44,MATCH($E2170,Setup!$A$27:$A$44,0)),"TBD"))</f>
        <v/>
      </c>
      <c r="G2170" s="32"/>
      <c r="H2170" s="32"/>
      <c r="I2170" s="32"/>
      <c r="J2170" s="32"/>
      <c r="K2170" s="35"/>
      <c r="L2170" s="32"/>
      <c r="M2170" s="32"/>
    </row>
    <row r="2171" customFormat="false" ht="15" hidden="false" customHeight="true" outlineLevel="0" collapsed="false">
      <c r="A2171" s="32"/>
      <c r="B2171" s="32"/>
      <c r="C2171" s="32"/>
      <c r="D2171" s="32"/>
      <c r="E2171" s="34" t="str">
        <f aca="false">IF($B2171="","",IF($B2171="OUT","Liters",IFERROR(INDEX(Setup!$F$3:$F$24,MATCH($C2171,Setup!$A$3:$A$24,0)),"")))</f>
        <v/>
      </c>
      <c r="F2171" s="28" t="str">
        <f aca="false">IF(OR($D2171="",$E2171=""),"",IFERROR($D2171*INDEX(Setup!$B$27:$B$44,MATCH($E2171,Setup!$A$27:$A$44,0)),"TBD"))</f>
        <v/>
      </c>
      <c r="G2171" s="32"/>
      <c r="H2171" s="32"/>
      <c r="I2171" s="32"/>
      <c r="J2171" s="32"/>
      <c r="K2171" s="35"/>
      <c r="L2171" s="32"/>
      <c r="M2171" s="32"/>
    </row>
    <row r="2172" customFormat="false" ht="15" hidden="false" customHeight="true" outlineLevel="0" collapsed="false">
      <c r="A2172" s="32"/>
      <c r="B2172" s="32"/>
      <c r="C2172" s="32"/>
      <c r="D2172" s="32"/>
      <c r="E2172" s="34" t="str">
        <f aca="false">IF($B2172="","",IF($B2172="OUT","Liters",IFERROR(INDEX(Setup!$F$3:$F$24,MATCH($C2172,Setup!$A$3:$A$24,0)),"")))</f>
        <v/>
      </c>
      <c r="F2172" s="28" t="str">
        <f aca="false">IF(OR($D2172="",$E2172=""),"",IFERROR($D2172*INDEX(Setup!$B$27:$B$44,MATCH($E2172,Setup!$A$27:$A$44,0)),"TBD"))</f>
        <v/>
      </c>
      <c r="G2172" s="32"/>
      <c r="H2172" s="32"/>
      <c r="I2172" s="32"/>
      <c r="J2172" s="32"/>
      <c r="K2172" s="35"/>
      <c r="L2172" s="32"/>
      <c r="M2172" s="32"/>
    </row>
    <row r="2173" customFormat="false" ht="15" hidden="false" customHeight="true" outlineLevel="0" collapsed="false">
      <c r="A2173" s="32"/>
      <c r="B2173" s="32"/>
      <c r="C2173" s="32"/>
      <c r="D2173" s="32"/>
      <c r="E2173" s="34" t="str">
        <f aca="false">IF($B2173="","",IF($B2173="OUT","Liters",IFERROR(INDEX(Setup!$F$3:$F$24,MATCH($C2173,Setup!$A$3:$A$24,0)),"")))</f>
        <v/>
      </c>
      <c r="F2173" s="28" t="str">
        <f aca="false">IF(OR($D2173="",$E2173=""),"",IFERROR($D2173*INDEX(Setup!$B$27:$B$44,MATCH($E2173,Setup!$A$27:$A$44,0)),"TBD"))</f>
        <v/>
      </c>
      <c r="G2173" s="32"/>
      <c r="H2173" s="32"/>
      <c r="I2173" s="32"/>
      <c r="J2173" s="32"/>
      <c r="K2173" s="35"/>
      <c r="L2173" s="32"/>
      <c r="M2173" s="32"/>
    </row>
    <row r="2174" customFormat="false" ht="15" hidden="false" customHeight="true" outlineLevel="0" collapsed="false">
      <c r="A2174" s="32"/>
      <c r="B2174" s="32"/>
      <c r="C2174" s="32"/>
      <c r="D2174" s="32"/>
      <c r="E2174" s="34" t="str">
        <f aca="false">IF($B2174="","",IF($B2174="OUT","Liters",IFERROR(INDEX(Setup!$F$3:$F$24,MATCH($C2174,Setup!$A$3:$A$24,0)),"")))</f>
        <v/>
      </c>
      <c r="F2174" s="28" t="str">
        <f aca="false">IF(OR($D2174="",$E2174=""),"",IFERROR($D2174*INDEX(Setup!$B$27:$B$44,MATCH($E2174,Setup!$A$27:$A$44,0)),"TBD"))</f>
        <v/>
      </c>
      <c r="G2174" s="32"/>
      <c r="H2174" s="32"/>
      <c r="I2174" s="32"/>
      <c r="J2174" s="32"/>
      <c r="K2174" s="35"/>
      <c r="L2174" s="32"/>
      <c r="M2174" s="32"/>
    </row>
    <row r="2175" customFormat="false" ht="15" hidden="false" customHeight="true" outlineLevel="0" collapsed="false">
      <c r="A2175" s="32"/>
      <c r="B2175" s="32"/>
      <c r="C2175" s="32"/>
      <c r="D2175" s="32"/>
      <c r="E2175" s="34" t="str">
        <f aca="false">IF($B2175="","",IF($B2175="OUT","Liters",IFERROR(INDEX(Setup!$F$3:$F$24,MATCH($C2175,Setup!$A$3:$A$24,0)),"")))</f>
        <v/>
      </c>
      <c r="F2175" s="28" t="str">
        <f aca="false">IF(OR($D2175="",$E2175=""),"",IFERROR($D2175*INDEX(Setup!$B$27:$B$44,MATCH($E2175,Setup!$A$27:$A$44,0)),"TBD"))</f>
        <v/>
      </c>
      <c r="G2175" s="32"/>
      <c r="H2175" s="32"/>
      <c r="I2175" s="32"/>
      <c r="J2175" s="32"/>
      <c r="K2175" s="35"/>
      <c r="L2175" s="32"/>
      <c r="M2175" s="32"/>
    </row>
    <row r="2176" customFormat="false" ht="15" hidden="false" customHeight="true" outlineLevel="0" collapsed="false">
      <c r="A2176" s="32"/>
      <c r="B2176" s="32"/>
      <c r="C2176" s="32"/>
      <c r="D2176" s="32"/>
      <c r="E2176" s="34" t="str">
        <f aca="false">IF($B2176="","",IF($B2176="OUT","Liters",IFERROR(INDEX(Setup!$F$3:$F$24,MATCH($C2176,Setup!$A$3:$A$24,0)),"")))</f>
        <v/>
      </c>
      <c r="F2176" s="28" t="str">
        <f aca="false">IF(OR($D2176="",$E2176=""),"",IFERROR($D2176*INDEX(Setup!$B$27:$B$44,MATCH($E2176,Setup!$A$27:$A$44,0)),"TBD"))</f>
        <v/>
      </c>
      <c r="G2176" s="32"/>
      <c r="H2176" s="32"/>
      <c r="I2176" s="32"/>
      <c r="J2176" s="32"/>
      <c r="K2176" s="35"/>
      <c r="L2176" s="32"/>
      <c r="M2176" s="32"/>
    </row>
    <row r="2177" customFormat="false" ht="15" hidden="false" customHeight="true" outlineLevel="0" collapsed="false">
      <c r="A2177" s="32"/>
      <c r="B2177" s="32"/>
      <c r="C2177" s="32"/>
      <c r="D2177" s="32"/>
      <c r="E2177" s="34" t="str">
        <f aca="false">IF($B2177="","",IF($B2177="OUT","Liters",IFERROR(INDEX(Setup!$F$3:$F$24,MATCH($C2177,Setup!$A$3:$A$24,0)),"")))</f>
        <v/>
      </c>
      <c r="F2177" s="28" t="str">
        <f aca="false">IF(OR($D2177="",$E2177=""),"",IFERROR($D2177*INDEX(Setup!$B$27:$B$44,MATCH($E2177,Setup!$A$27:$A$44,0)),"TBD"))</f>
        <v/>
      </c>
      <c r="G2177" s="32"/>
      <c r="H2177" s="32"/>
      <c r="I2177" s="32"/>
      <c r="J2177" s="32"/>
      <c r="K2177" s="35"/>
      <c r="L2177" s="32"/>
      <c r="M2177" s="32"/>
    </row>
    <row r="2178" customFormat="false" ht="15" hidden="false" customHeight="true" outlineLevel="0" collapsed="false">
      <c r="A2178" s="32"/>
      <c r="B2178" s="32"/>
      <c r="C2178" s="32"/>
      <c r="D2178" s="32"/>
      <c r="E2178" s="34" t="str">
        <f aca="false">IF($B2178="","",IF($B2178="OUT","Liters",IFERROR(INDEX(Setup!$F$3:$F$24,MATCH($C2178,Setup!$A$3:$A$24,0)),"")))</f>
        <v/>
      </c>
      <c r="F2178" s="28" t="str">
        <f aca="false">IF(OR($D2178="",$E2178=""),"",IFERROR($D2178*INDEX(Setup!$B$27:$B$44,MATCH($E2178,Setup!$A$27:$A$44,0)),"TBD"))</f>
        <v/>
      </c>
      <c r="G2178" s="32"/>
      <c r="H2178" s="32"/>
      <c r="I2178" s="32"/>
      <c r="J2178" s="32"/>
      <c r="K2178" s="35"/>
      <c r="L2178" s="32"/>
      <c r="M2178" s="32"/>
    </row>
    <row r="2179" customFormat="false" ht="15" hidden="false" customHeight="true" outlineLevel="0" collapsed="false">
      <c r="A2179" s="32"/>
      <c r="B2179" s="32"/>
      <c r="C2179" s="32"/>
      <c r="D2179" s="32"/>
      <c r="E2179" s="34" t="str">
        <f aca="false">IF($B2179="","",IF($B2179="OUT","Liters",IFERROR(INDEX(Setup!$F$3:$F$24,MATCH($C2179,Setup!$A$3:$A$24,0)),"")))</f>
        <v/>
      </c>
      <c r="F2179" s="28" t="str">
        <f aca="false">IF(OR($D2179="",$E2179=""),"",IFERROR($D2179*INDEX(Setup!$B$27:$B$44,MATCH($E2179,Setup!$A$27:$A$44,0)),"TBD"))</f>
        <v/>
      </c>
      <c r="G2179" s="32"/>
      <c r="H2179" s="32"/>
      <c r="I2179" s="32"/>
      <c r="J2179" s="32"/>
      <c r="K2179" s="35"/>
      <c r="L2179" s="32"/>
      <c r="M2179" s="32"/>
    </row>
    <row r="2180" customFormat="false" ht="15" hidden="false" customHeight="true" outlineLevel="0" collapsed="false">
      <c r="A2180" s="32"/>
      <c r="B2180" s="32"/>
      <c r="C2180" s="32"/>
      <c r="D2180" s="32"/>
      <c r="E2180" s="34" t="str">
        <f aca="false">IF($B2180="","",IF($B2180="OUT","Liters",IFERROR(INDEX(Setup!$F$3:$F$24,MATCH($C2180,Setup!$A$3:$A$24,0)),"")))</f>
        <v/>
      </c>
      <c r="F2180" s="28" t="str">
        <f aca="false">IF(OR($D2180="",$E2180=""),"",IFERROR($D2180*INDEX(Setup!$B$27:$B$44,MATCH($E2180,Setup!$A$27:$A$44,0)),"TBD"))</f>
        <v/>
      </c>
      <c r="G2180" s="32"/>
      <c r="H2180" s="32"/>
      <c r="I2180" s="32"/>
      <c r="J2180" s="32"/>
      <c r="K2180" s="35"/>
      <c r="L2180" s="32"/>
      <c r="M2180" s="32"/>
    </row>
    <row r="2181" customFormat="false" ht="15" hidden="false" customHeight="true" outlineLevel="0" collapsed="false">
      <c r="A2181" s="32"/>
      <c r="B2181" s="32"/>
      <c r="C2181" s="32"/>
      <c r="D2181" s="32"/>
      <c r="E2181" s="34" t="str">
        <f aca="false">IF($B2181="","",IF($B2181="OUT","Liters",IFERROR(INDEX(Setup!$F$3:$F$24,MATCH($C2181,Setup!$A$3:$A$24,0)),"")))</f>
        <v/>
      </c>
      <c r="F2181" s="28" t="str">
        <f aca="false">IF(OR($D2181="",$E2181=""),"",IFERROR($D2181*INDEX(Setup!$B$27:$B$44,MATCH($E2181,Setup!$A$27:$A$44,0)),"TBD"))</f>
        <v/>
      </c>
      <c r="G2181" s="32"/>
      <c r="H2181" s="32"/>
      <c r="I2181" s="32"/>
      <c r="J2181" s="32"/>
      <c r="K2181" s="35"/>
      <c r="L2181" s="32"/>
      <c r="M2181" s="32"/>
    </row>
    <row r="2182" customFormat="false" ht="15" hidden="false" customHeight="true" outlineLevel="0" collapsed="false">
      <c r="A2182" s="32"/>
      <c r="B2182" s="32"/>
      <c r="C2182" s="32"/>
      <c r="D2182" s="32"/>
      <c r="E2182" s="34" t="str">
        <f aca="false">IF($B2182="","",IF($B2182="OUT","Liters",IFERROR(INDEX(Setup!$F$3:$F$24,MATCH($C2182,Setup!$A$3:$A$24,0)),"")))</f>
        <v/>
      </c>
      <c r="F2182" s="28" t="str">
        <f aca="false">IF(OR($D2182="",$E2182=""),"",IFERROR($D2182*INDEX(Setup!$B$27:$B$44,MATCH($E2182,Setup!$A$27:$A$44,0)),"TBD"))</f>
        <v/>
      </c>
      <c r="G2182" s="32"/>
      <c r="H2182" s="32"/>
      <c r="I2182" s="32"/>
      <c r="J2182" s="32"/>
      <c r="K2182" s="35"/>
      <c r="L2182" s="32"/>
      <c r="M2182" s="32"/>
    </row>
    <row r="2183" customFormat="false" ht="15" hidden="false" customHeight="true" outlineLevel="0" collapsed="false">
      <c r="A2183" s="32"/>
      <c r="B2183" s="32"/>
      <c r="C2183" s="32"/>
      <c r="D2183" s="32"/>
      <c r="E2183" s="34" t="str">
        <f aca="false">IF($B2183="","",IF($B2183="OUT","Liters",IFERROR(INDEX(Setup!$F$3:$F$24,MATCH($C2183,Setup!$A$3:$A$24,0)),"")))</f>
        <v/>
      </c>
      <c r="F2183" s="28" t="str">
        <f aca="false">IF(OR($D2183="",$E2183=""),"",IFERROR($D2183*INDEX(Setup!$B$27:$B$44,MATCH($E2183,Setup!$A$27:$A$44,0)),"TBD"))</f>
        <v/>
      </c>
      <c r="G2183" s="32"/>
      <c r="H2183" s="32"/>
      <c r="I2183" s="32"/>
      <c r="J2183" s="32"/>
      <c r="K2183" s="35"/>
      <c r="L2183" s="32"/>
      <c r="M2183" s="32"/>
    </row>
    <row r="2184" customFormat="false" ht="15" hidden="false" customHeight="true" outlineLevel="0" collapsed="false">
      <c r="A2184" s="32"/>
      <c r="B2184" s="32"/>
      <c r="C2184" s="32"/>
      <c r="D2184" s="32"/>
      <c r="E2184" s="34" t="str">
        <f aca="false">IF($B2184="","",IF($B2184="OUT","Liters",IFERROR(INDEX(Setup!$F$3:$F$24,MATCH($C2184,Setup!$A$3:$A$24,0)),"")))</f>
        <v/>
      </c>
      <c r="F2184" s="28" t="str">
        <f aca="false">IF(OR($D2184="",$E2184=""),"",IFERROR($D2184*INDEX(Setup!$B$27:$B$44,MATCH($E2184,Setup!$A$27:$A$44,0)),"TBD"))</f>
        <v/>
      </c>
      <c r="G2184" s="32"/>
      <c r="H2184" s="32"/>
      <c r="I2184" s="32"/>
      <c r="J2184" s="32"/>
      <c r="K2184" s="35"/>
      <c r="L2184" s="32"/>
      <c r="M2184" s="32"/>
    </row>
    <row r="2185" customFormat="false" ht="15" hidden="false" customHeight="true" outlineLevel="0" collapsed="false">
      <c r="A2185" s="32"/>
      <c r="B2185" s="32"/>
      <c r="C2185" s="32"/>
      <c r="D2185" s="32"/>
      <c r="E2185" s="34" t="str">
        <f aca="false">IF($B2185="","",IF($B2185="OUT","Liters",IFERROR(INDEX(Setup!$F$3:$F$24,MATCH($C2185,Setup!$A$3:$A$24,0)),"")))</f>
        <v/>
      </c>
      <c r="F2185" s="28" t="str">
        <f aca="false">IF(OR($D2185="",$E2185=""),"",IFERROR($D2185*INDEX(Setup!$B$27:$B$44,MATCH($E2185,Setup!$A$27:$A$44,0)),"TBD"))</f>
        <v/>
      </c>
      <c r="G2185" s="32"/>
      <c r="H2185" s="32"/>
      <c r="I2185" s="32"/>
      <c r="J2185" s="32"/>
      <c r="K2185" s="35"/>
      <c r="L2185" s="32"/>
      <c r="M2185" s="32"/>
    </row>
    <row r="2186" customFormat="false" ht="15" hidden="false" customHeight="true" outlineLevel="0" collapsed="false">
      <c r="A2186" s="32"/>
      <c r="B2186" s="32"/>
      <c r="C2186" s="32"/>
      <c r="D2186" s="32"/>
      <c r="E2186" s="34" t="str">
        <f aca="false">IF($B2186="","",IF($B2186="OUT","Liters",IFERROR(INDEX(Setup!$F$3:$F$24,MATCH($C2186,Setup!$A$3:$A$24,0)),"")))</f>
        <v/>
      </c>
      <c r="F2186" s="28" t="str">
        <f aca="false">IF(OR($D2186="",$E2186=""),"",IFERROR($D2186*INDEX(Setup!$B$27:$B$44,MATCH($E2186,Setup!$A$27:$A$44,0)),"TBD"))</f>
        <v/>
      </c>
      <c r="G2186" s="32"/>
      <c r="H2186" s="32"/>
      <c r="I2186" s="32"/>
      <c r="J2186" s="32"/>
      <c r="K2186" s="35"/>
      <c r="L2186" s="32"/>
      <c r="M2186" s="32"/>
    </row>
    <row r="2187" customFormat="false" ht="15" hidden="false" customHeight="true" outlineLevel="0" collapsed="false">
      <c r="A2187" s="32"/>
      <c r="B2187" s="32"/>
      <c r="C2187" s="32"/>
      <c r="D2187" s="32"/>
      <c r="E2187" s="34" t="str">
        <f aca="false">IF($B2187="","",IF($B2187="OUT","Liters",IFERROR(INDEX(Setup!$F$3:$F$24,MATCH($C2187,Setup!$A$3:$A$24,0)),"")))</f>
        <v/>
      </c>
      <c r="F2187" s="28" t="str">
        <f aca="false">IF(OR($D2187="",$E2187=""),"",IFERROR($D2187*INDEX(Setup!$B$27:$B$44,MATCH($E2187,Setup!$A$27:$A$44,0)),"TBD"))</f>
        <v/>
      </c>
      <c r="G2187" s="32"/>
      <c r="H2187" s="32"/>
      <c r="I2187" s="32"/>
      <c r="J2187" s="32"/>
      <c r="K2187" s="35"/>
      <c r="L2187" s="32"/>
      <c r="M2187" s="32"/>
    </row>
    <row r="2188" customFormat="false" ht="15" hidden="false" customHeight="true" outlineLevel="0" collapsed="false">
      <c r="A2188" s="32"/>
      <c r="B2188" s="32"/>
      <c r="C2188" s="32"/>
      <c r="D2188" s="32"/>
      <c r="E2188" s="34" t="str">
        <f aca="false">IF($B2188="","",IF($B2188="OUT","Liters",IFERROR(INDEX(Setup!$F$3:$F$24,MATCH($C2188,Setup!$A$3:$A$24,0)),"")))</f>
        <v/>
      </c>
      <c r="F2188" s="28" t="str">
        <f aca="false">IF(OR($D2188="",$E2188=""),"",IFERROR($D2188*INDEX(Setup!$B$27:$B$44,MATCH($E2188,Setup!$A$27:$A$44,0)),"TBD"))</f>
        <v/>
      </c>
      <c r="G2188" s="32"/>
      <c r="H2188" s="32"/>
      <c r="I2188" s="32"/>
      <c r="J2188" s="32"/>
      <c r="K2188" s="35"/>
      <c r="L2188" s="32"/>
      <c r="M2188" s="32"/>
    </row>
    <row r="2189" customFormat="false" ht="15" hidden="false" customHeight="true" outlineLevel="0" collapsed="false">
      <c r="A2189" s="32"/>
      <c r="B2189" s="32"/>
      <c r="C2189" s="32"/>
      <c r="D2189" s="32"/>
      <c r="E2189" s="34" t="str">
        <f aca="false">IF($B2189="","",IF($B2189="OUT","Liters",IFERROR(INDEX(Setup!$F$3:$F$24,MATCH($C2189,Setup!$A$3:$A$24,0)),"")))</f>
        <v/>
      </c>
      <c r="F2189" s="28" t="str">
        <f aca="false">IF(OR($D2189="",$E2189=""),"",IFERROR($D2189*INDEX(Setup!$B$27:$B$44,MATCH($E2189,Setup!$A$27:$A$44,0)),"TBD"))</f>
        <v/>
      </c>
      <c r="G2189" s="32"/>
      <c r="H2189" s="32"/>
      <c r="I2189" s="32"/>
      <c r="J2189" s="32"/>
      <c r="K2189" s="35"/>
      <c r="L2189" s="32"/>
      <c r="M2189" s="32"/>
    </row>
    <row r="2190" customFormat="false" ht="15" hidden="false" customHeight="true" outlineLevel="0" collapsed="false">
      <c r="A2190" s="32"/>
      <c r="B2190" s="32"/>
      <c r="C2190" s="32"/>
      <c r="D2190" s="32"/>
      <c r="E2190" s="34" t="str">
        <f aca="false">IF($B2190="","",IF($B2190="OUT","Liters",IFERROR(INDEX(Setup!$F$3:$F$24,MATCH($C2190,Setup!$A$3:$A$24,0)),"")))</f>
        <v/>
      </c>
      <c r="F2190" s="28" t="str">
        <f aca="false">IF(OR($D2190="",$E2190=""),"",IFERROR($D2190*INDEX(Setup!$B$27:$B$44,MATCH($E2190,Setup!$A$27:$A$44,0)),"TBD"))</f>
        <v/>
      </c>
      <c r="G2190" s="32"/>
      <c r="H2190" s="32"/>
      <c r="I2190" s="32"/>
      <c r="J2190" s="32"/>
      <c r="K2190" s="35"/>
      <c r="L2190" s="32"/>
      <c r="M2190" s="32"/>
    </row>
    <row r="2191" customFormat="false" ht="15" hidden="false" customHeight="true" outlineLevel="0" collapsed="false">
      <c r="A2191" s="32"/>
      <c r="B2191" s="32"/>
      <c r="C2191" s="32"/>
      <c r="D2191" s="32"/>
      <c r="E2191" s="34" t="str">
        <f aca="false">IF($B2191="","",IF($B2191="OUT","Liters",IFERROR(INDEX(Setup!$F$3:$F$24,MATCH($C2191,Setup!$A$3:$A$24,0)),"")))</f>
        <v/>
      </c>
      <c r="F2191" s="28" t="str">
        <f aca="false">IF(OR($D2191="",$E2191=""),"",IFERROR($D2191*INDEX(Setup!$B$27:$B$44,MATCH($E2191,Setup!$A$27:$A$44,0)),"TBD"))</f>
        <v/>
      </c>
      <c r="G2191" s="32"/>
      <c r="H2191" s="32"/>
      <c r="I2191" s="32"/>
      <c r="J2191" s="32"/>
      <c r="K2191" s="35"/>
      <c r="L2191" s="32"/>
      <c r="M2191" s="32"/>
    </row>
    <row r="2192" customFormat="false" ht="15" hidden="false" customHeight="true" outlineLevel="0" collapsed="false">
      <c r="A2192" s="32"/>
      <c r="B2192" s="32"/>
      <c r="C2192" s="32"/>
      <c r="D2192" s="32"/>
      <c r="E2192" s="34" t="str">
        <f aca="false">IF($B2192="","",IF($B2192="OUT","Liters",IFERROR(INDEX(Setup!$F$3:$F$24,MATCH($C2192,Setup!$A$3:$A$24,0)),"")))</f>
        <v/>
      </c>
      <c r="F2192" s="28" t="str">
        <f aca="false">IF(OR($D2192="",$E2192=""),"",IFERROR($D2192*INDEX(Setup!$B$27:$B$44,MATCH($E2192,Setup!$A$27:$A$44,0)),"TBD"))</f>
        <v/>
      </c>
      <c r="G2192" s="32"/>
      <c r="H2192" s="32"/>
      <c r="I2192" s="32"/>
      <c r="J2192" s="32"/>
      <c r="K2192" s="35"/>
      <c r="L2192" s="32"/>
      <c r="M2192" s="32"/>
    </row>
    <row r="2193" customFormat="false" ht="15" hidden="false" customHeight="true" outlineLevel="0" collapsed="false">
      <c r="A2193" s="32"/>
      <c r="B2193" s="32"/>
      <c r="C2193" s="32"/>
      <c r="D2193" s="32"/>
      <c r="E2193" s="34" t="str">
        <f aca="false">IF($B2193="","",IF($B2193="OUT","Liters",IFERROR(INDEX(Setup!$F$3:$F$24,MATCH($C2193,Setup!$A$3:$A$24,0)),"")))</f>
        <v/>
      </c>
      <c r="F2193" s="28" t="str">
        <f aca="false">IF(OR($D2193="",$E2193=""),"",IFERROR($D2193*INDEX(Setup!$B$27:$B$44,MATCH($E2193,Setup!$A$27:$A$44,0)),"TBD"))</f>
        <v/>
      </c>
      <c r="G2193" s="32"/>
      <c r="H2193" s="32"/>
      <c r="I2193" s="32"/>
      <c r="J2193" s="32"/>
      <c r="K2193" s="35"/>
      <c r="L2193" s="32"/>
      <c r="M2193" s="32"/>
    </row>
    <row r="2194" customFormat="false" ht="15" hidden="false" customHeight="true" outlineLevel="0" collapsed="false">
      <c r="A2194" s="32"/>
      <c r="B2194" s="32"/>
      <c r="C2194" s="32"/>
      <c r="D2194" s="32"/>
      <c r="E2194" s="34" t="str">
        <f aca="false">IF($B2194="","",IF($B2194="OUT","Liters",IFERROR(INDEX(Setup!$F$3:$F$24,MATCH($C2194,Setup!$A$3:$A$24,0)),"")))</f>
        <v/>
      </c>
      <c r="F2194" s="28" t="str">
        <f aca="false">IF(OR($D2194="",$E2194=""),"",IFERROR($D2194*INDEX(Setup!$B$27:$B$44,MATCH($E2194,Setup!$A$27:$A$44,0)),"TBD"))</f>
        <v/>
      </c>
      <c r="G2194" s="32"/>
      <c r="H2194" s="32"/>
      <c r="I2194" s="32"/>
      <c r="J2194" s="32"/>
      <c r="K2194" s="35"/>
      <c r="L2194" s="32"/>
      <c r="M2194" s="32"/>
    </row>
    <row r="2195" customFormat="false" ht="15" hidden="false" customHeight="true" outlineLevel="0" collapsed="false">
      <c r="A2195" s="32"/>
      <c r="B2195" s="32"/>
      <c r="C2195" s="32"/>
      <c r="D2195" s="32"/>
      <c r="E2195" s="34" t="str">
        <f aca="false">IF($B2195="","",IF($B2195="OUT","Liters",IFERROR(INDEX(Setup!$F$3:$F$24,MATCH($C2195,Setup!$A$3:$A$24,0)),"")))</f>
        <v/>
      </c>
      <c r="F2195" s="28" t="str">
        <f aca="false">IF(OR($D2195="",$E2195=""),"",IFERROR($D2195*INDEX(Setup!$B$27:$B$44,MATCH($E2195,Setup!$A$27:$A$44,0)),"TBD"))</f>
        <v/>
      </c>
      <c r="G2195" s="32"/>
      <c r="H2195" s="32"/>
      <c r="I2195" s="32"/>
      <c r="J2195" s="32"/>
      <c r="K2195" s="35"/>
      <c r="L2195" s="32"/>
      <c r="M2195" s="32"/>
    </row>
    <row r="2196" customFormat="false" ht="15" hidden="false" customHeight="true" outlineLevel="0" collapsed="false">
      <c r="A2196" s="32"/>
      <c r="B2196" s="32"/>
      <c r="C2196" s="32"/>
      <c r="D2196" s="32"/>
      <c r="E2196" s="34" t="str">
        <f aca="false">IF($B2196="","",IF($B2196="OUT","Liters",IFERROR(INDEX(Setup!$F$3:$F$24,MATCH($C2196,Setup!$A$3:$A$24,0)),"")))</f>
        <v/>
      </c>
      <c r="F2196" s="28" t="str">
        <f aca="false">IF(OR($D2196="",$E2196=""),"",IFERROR($D2196*INDEX(Setup!$B$27:$B$44,MATCH($E2196,Setup!$A$27:$A$44,0)),"TBD"))</f>
        <v/>
      </c>
      <c r="G2196" s="32"/>
      <c r="H2196" s="32"/>
      <c r="I2196" s="32"/>
      <c r="J2196" s="32"/>
      <c r="K2196" s="35"/>
      <c r="L2196" s="32"/>
      <c r="M2196" s="32"/>
    </row>
    <row r="2197" customFormat="false" ht="15" hidden="false" customHeight="true" outlineLevel="0" collapsed="false">
      <c r="A2197" s="32"/>
      <c r="B2197" s="32"/>
      <c r="C2197" s="32"/>
      <c r="D2197" s="32"/>
      <c r="E2197" s="34" t="str">
        <f aca="false">IF($B2197="","",IF($B2197="OUT","Liters",IFERROR(INDEX(Setup!$F$3:$F$24,MATCH($C2197,Setup!$A$3:$A$24,0)),"")))</f>
        <v/>
      </c>
      <c r="F2197" s="28" t="str">
        <f aca="false">IF(OR($D2197="",$E2197=""),"",IFERROR($D2197*INDEX(Setup!$B$27:$B$44,MATCH($E2197,Setup!$A$27:$A$44,0)),"TBD"))</f>
        <v/>
      </c>
      <c r="G2197" s="32"/>
      <c r="H2197" s="32"/>
      <c r="I2197" s="32"/>
      <c r="J2197" s="32"/>
      <c r="K2197" s="35"/>
      <c r="L2197" s="32"/>
      <c r="M2197" s="32"/>
    </row>
    <row r="2198" customFormat="false" ht="15" hidden="false" customHeight="true" outlineLevel="0" collapsed="false">
      <c r="A2198" s="32"/>
      <c r="B2198" s="32"/>
      <c r="C2198" s="32"/>
      <c r="D2198" s="32"/>
      <c r="E2198" s="34" t="str">
        <f aca="false">IF($B2198="","",IF($B2198="OUT","Liters",IFERROR(INDEX(Setup!$F$3:$F$24,MATCH($C2198,Setup!$A$3:$A$24,0)),"")))</f>
        <v/>
      </c>
      <c r="F2198" s="28" t="str">
        <f aca="false">IF(OR($D2198="",$E2198=""),"",IFERROR($D2198*INDEX(Setup!$B$27:$B$44,MATCH($E2198,Setup!$A$27:$A$44,0)),"TBD"))</f>
        <v/>
      </c>
      <c r="G2198" s="32"/>
      <c r="H2198" s="32"/>
      <c r="I2198" s="32"/>
      <c r="J2198" s="32"/>
      <c r="K2198" s="35"/>
      <c r="L2198" s="32"/>
      <c r="M2198" s="32"/>
    </row>
    <row r="2199" customFormat="false" ht="15" hidden="false" customHeight="true" outlineLevel="0" collapsed="false">
      <c r="A2199" s="32"/>
      <c r="B2199" s="32"/>
      <c r="C2199" s="32"/>
      <c r="D2199" s="32"/>
      <c r="E2199" s="34" t="str">
        <f aca="false">IF($B2199="","",IF($B2199="OUT","Liters",IFERROR(INDEX(Setup!$F$3:$F$24,MATCH($C2199,Setup!$A$3:$A$24,0)),"")))</f>
        <v/>
      </c>
      <c r="F2199" s="28" t="str">
        <f aca="false">IF(OR($D2199="",$E2199=""),"",IFERROR($D2199*INDEX(Setup!$B$27:$B$44,MATCH($E2199,Setup!$A$27:$A$44,0)),"TBD"))</f>
        <v/>
      </c>
      <c r="G2199" s="32"/>
      <c r="H2199" s="32"/>
      <c r="I2199" s="32"/>
      <c r="J2199" s="32"/>
      <c r="K2199" s="35"/>
      <c r="L2199" s="32"/>
      <c r="M2199" s="32"/>
    </row>
    <row r="2200" customFormat="false" ht="15" hidden="false" customHeight="true" outlineLevel="0" collapsed="false">
      <c r="A2200" s="32"/>
      <c r="B2200" s="32"/>
      <c r="C2200" s="32"/>
      <c r="D2200" s="32"/>
      <c r="E2200" s="34" t="str">
        <f aca="false">IF($B2200="","",IF($B2200="OUT","Liters",IFERROR(INDEX(Setup!$F$3:$F$24,MATCH($C2200,Setup!$A$3:$A$24,0)),"")))</f>
        <v/>
      </c>
      <c r="F2200" s="28" t="str">
        <f aca="false">IF(OR($D2200="",$E2200=""),"",IFERROR($D2200*INDEX(Setup!$B$27:$B$44,MATCH($E2200,Setup!$A$27:$A$44,0)),"TBD"))</f>
        <v/>
      </c>
      <c r="G2200" s="32"/>
      <c r="H2200" s="32"/>
      <c r="I2200" s="32"/>
      <c r="J2200" s="32"/>
      <c r="K2200" s="35"/>
      <c r="L2200" s="32"/>
      <c r="M2200" s="32"/>
    </row>
    <row r="2201" customFormat="false" ht="15" hidden="false" customHeight="true" outlineLevel="0" collapsed="false">
      <c r="A2201" s="32"/>
      <c r="B2201" s="32"/>
      <c r="C2201" s="32"/>
      <c r="D2201" s="32"/>
      <c r="E2201" s="34" t="str">
        <f aca="false">IF($B2201="","",IF($B2201="OUT","Liters",IFERROR(INDEX(Setup!$F$3:$F$24,MATCH($C2201,Setup!$A$3:$A$24,0)),"")))</f>
        <v/>
      </c>
      <c r="F2201" s="28" t="str">
        <f aca="false">IF(OR($D2201="",$E2201=""),"",IFERROR($D2201*INDEX(Setup!$B$27:$B$44,MATCH($E2201,Setup!$A$27:$A$44,0)),"TBD"))</f>
        <v/>
      </c>
      <c r="G2201" s="32"/>
      <c r="H2201" s="32"/>
      <c r="I2201" s="32"/>
      <c r="J2201" s="32"/>
      <c r="K2201" s="35"/>
      <c r="L2201" s="32"/>
      <c r="M2201" s="32"/>
    </row>
    <row r="2202" customFormat="false" ht="15" hidden="false" customHeight="true" outlineLevel="0" collapsed="false">
      <c r="A2202" s="32"/>
      <c r="B2202" s="32"/>
      <c r="C2202" s="32"/>
      <c r="D2202" s="32"/>
      <c r="E2202" s="34" t="str">
        <f aca="false">IF($B2202="","",IF($B2202="OUT","Liters",IFERROR(INDEX(Setup!$F$3:$F$24,MATCH($C2202,Setup!$A$3:$A$24,0)),"")))</f>
        <v/>
      </c>
      <c r="F2202" s="28" t="str">
        <f aca="false">IF(OR($D2202="",$E2202=""),"",IFERROR($D2202*INDEX(Setup!$B$27:$B$44,MATCH($E2202,Setup!$A$27:$A$44,0)),"TBD"))</f>
        <v/>
      </c>
      <c r="G2202" s="32"/>
      <c r="H2202" s="32"/>
      <c r="I2202" s="32"/>
      <c r="J2202" s="32"/>
      <c r="K2202" s="35"/>
      <c r="L2202" s="32"/>
      <c r="M2202" s="32"/>
    </row>
    <row r="2203" customFormat="false" ht="15" hidden="false" customHeight="true" outlineLevel="0" collapsed="false">
      <c r="A2203" s="32"/>
      <c r="B2203" s="32"/>
      <c r="C2203" s="32"/>
      <c r="D2203" s="32"/>
      <c r="E2203" s="34" t="str">
        <f aca="false">IF($B2203="","",IF($B2203="OUT","Liters",IFERROR(INDEX(Setup!$F$3:$F$24,MATCH($C2203,Setup!$A$3:$A$24,0)),"")))</f>
        <v/>
      </c>
      <c r="F2203" s="28" t="str">
        <f aca="false">IF(OR($D2203="",$E2203=""),"",IFERROR($D2203*INDEX(Setup!$B$27:$B$44,MATCH($E2203,Setup!$A$27:$A$44,0)),"TBD"))</f>
        <v/>
      </c>
      <c r="G2203" s="32"/>
      <c r="H2203" s="32"/>
      <c r="I2203" s="32"/>
      <c r="J2203" s="32"/>
      <c r="K2203" s="35"/>
      <c r="L2203" s="32"/>
      <c r="M2203" s="32"/>
    </row>
    <row r="2204" customFormat="false" ht="15" hidden="false" customHeight="true" outlineLevel="0" collapsed="false">
      <c r="A2204" s="32"/>
      <c r="B2204" s="32"/>
      <c r="C2204" s="32"/>
      <c r="D2204" s="32"/>
      <c r="E2204" s="34" t="str">
        <f aca="false">IF($B2204="","",IF($B2204="OUT","Liters",IFERROR(INDEX(Setup!$F$3:$F$24,MATCH($C2204,Setup!$A$3:$A$24,0)),"")))</f>
        <v/>
      </c>
      <c r="F2204" s="28" t="str">
        <f aca="false">IF(OR($D2204="",$E2204=""),"",IFERROR($D2204*INDEX(Setup!$B$27:$B$44,MATCH($E2204,Setup!$A$27:$A$44,0)),"TBD"))</f>
        <v/>
      </c>
      <c r="G2204" s="32"/>
      <c r="H2204" s="32"/>
      <c r="I2204" s="32"/>
      <c r="J2204" s="32"/>
      <c r="K2204" s="35"/>
      <c r="L2204" s="32"/>
      <c r="M2204" s="32"/>
    </row>
    <row r="2205" customFormat="false" ht="15" hidden="false" customHeight="true" outlineLevel="0" collapsed="false">
      <c r="A2205" s="32"/>
      <c r="B2205" s="32"/>
      <c r="C2205" s="32"/>
      <c r="D2205" s="32"/>
      <c r="E2205" s="34" t="str">
        <f aca="false">IF($B2205="","",IF($B2205="OUT","Liters",IFERROR(INDEX(Setup!$F$3:$F$24,MATCH($C2205,Setup!$A$3:$A$24,0)),"")))</f>
        <v/>
      </c>
      <c r="F2205" s="28" t="str">
        <f aca="false">IF(OR($D2205="",$E2205=""),"",IFERROR($D2205*INDEX(Setup!$B$27:$B$44,MATCH($E2205,Setup!$A$27:$A$44,0)),"TBD"))</f>
        <v/>
      </c>
      <c r="G2205" s="32"/>
      <c r="H2205" s="32"/>
      <c r="I2205" s="32"/>
      <c r="J2205" s="32"/>
      <c r="K2205" s="35"/>
      <c r="L2205" s="32"/>
      <c r="M2205" s="32"/>
    </row>
    <row r="2206" customFormat="false" ht="15" hidden="false" customHeight="true" outlineLevel="0" collapsed="false">
      <c r="A2206" s="32"/>
      <c r="B2206" s="32"/>
      <c r="C2206" s="32"/>
      <c r="D2206" s="32"/>
      <c r="E2206" s="34" t="str">
        <f aca="false">IF($B2206="","",IF($B2206="OUT","Liters",IFERROR(INDEX(Setup!$F$3:$F$24,MATCH($C2206,Setup!$A$3:$A$24,0)),"")))</f>
        <v/>
      </c>
      <c r="F2206" s="28" t="str">
        <f aca="false">IF(OR($D2206="",$E2206=""),"",IFERROR($D2206*INDEX(Setup!$B$27:$B$44,MATCH($E2206,Setup!$A$27:$A$44,0)),"TBD"))</f>
        <v/>
      </c>
      <c r="G2206" s="32"/>
      <c r="H2206" s="32"/>
      <c r="I2206" s="32"/>
      <c r="J2206" s="32"/>
      <c r="K2206" s="35"/>
      <c r="L2206" s="32"/>
      <c r="M2206" s="32"/>
    </row>
    <row r="2207" customFormat="false" ht="15" hidden="false" customHeight="true" outlineLevel="0" collapsed="false">
      <c r="A2207" s="32"/>
      <c r="B2207" s="32"/>
      <c r="C2207" s="32"/>
      <c r="D2207" s="32"/>
      <c r="E2207" s="34" t="str">
        <f aca="false">IF($B2207="","",IF($B2207="OUT","Liters",IFERROR(INDEX(Setup!$F$3:$F$24,MATCH($C2207,Setup!$A$3:$A$24,0)),"")))</f>
        <v/>
      </c>
      <c r="F2207" s="28" t="str">
        <f aca="false">IF(OR($D2207="",$E2207=""),"",IFERROR($D2207*INDEX(Setup!$B$27:$B$44,MATCH($E2207,Setup!$A$27:$A$44,0)),"TBD"))</f>
        <v/>
      </c>
      <c r="G2207" s="32"/>
      <c r="H2207" s="32"/>
      <c r="I2207" s="32"/>
      <c r="J2207" s="32"/>
      <c r="K2207" s="35"/>
      <c r="L2207" s="32"/>
      <c r="M2207" s="32"/>
    </row>
    <row r="2208" customFormat="false" ht="15" hidden="false" customHeight="true" outlineLevel="0" collapsed="false">
      <c r="A2208" s="32"/>
      <c r="B2208" s="32"/>
      <c r="C2208" s="32"/>
      <c r="D2208" s="32"/>
      <c r="E2208" s="34" t="str">
        <f aca="false">IF($B2208="","",IF($B2208="OUT","Liters",IFERROR(INDEX(Setup!$F$3:$F$24,MATCH($C2208,Setup!$A$3:$A$24,0)),"")))</f>
        <v/>
      </c>
      <c r="F2208" s="28" t="str">
        <f aca="false">IF(OR($D2208="",$E2208=""),"",IFERROR($D2208*INDEX(Setup!$B$27:$B$44,MATCH($E2208,Setup!$A$27:$A$44,0)),"TBD"))</f>
        <v/>
      </c>
      <c r="G2208" s="32"/>
      <c r="H2208" s="32"/>
      <c r="I2208" s="32"/>
      <c r="J2208" s="32"/>
      <c r="K2208" s="35"/>
      <c r="L2208" s="32"/>
      <c r="M2208" s="32"/>
    </row>
    <row r="2209" customFormat="false" ht="15" hidden="false" customHeight="true" outlineLevel="0" collapsed="false">
      <c r="A2209" s="32"/>
      <c r="B2209" s="32"/>
      <c r="C2209" s="32"/>
      <c r="D2209" s="32"/>
      <c r="E2209" s="34" t="str">
        <f aca="false">IF($B2209="","",IF($B2209="OUT","Liters",IFERROR(INDEX(Setup!$F$3:$F$24,MATCH($C2209,Setup!$A$3:$A$24,0)),"")))</f>
        <v/>
      </c>
      <c r="F2209" s="28" t="str">
        <f aca="false">IF(OR($D2209="",$E2209=""),"",IFERROR($D2209*INDEX(Setup!$B$27:$B$44,MATCH($E2209,Setup!$A$27:$A$44,0)),"TBD"))</f>
        <v/>
      </c>
      <c r="G2209" s="32"/>
      <c r="H2209" s="32"/>
      <c r="I2209" s="32"/>
      <c r="J2209" s="32"/>
      <c r="K2209" s="35"/>
      <c r="L2209" s="32"/>
      <c r="M2209" s="32"/>
    </row>
    <row r="2210" customFormat="false" ht="15" hidden="false" customHeight="true" outlineLevel="0" collapsed="false">
      <c r="A2210" s="32"/>
      <c r="B2210" s="32"/>
      <c r="C2210" s="32"/>
      <c r="D2210" s="32"/>
      <c r="E2210" s="34" t="str">
        <f aca="false">IF($B2210="","",IF($B2210="OUT","Liters",IFERROR(INDEX(Setup!$F$3:$F$24,MATCH($C2210,Setup!$A$3:$A$24,0)),"")))</f>
        <v/>
      </c>
      <c r="F2210" s="28" t="str">
        <f aca="false">IF(OR($D2210="",$E2210=""),"",IFERROR($D2210*INDEX(Setup!$B$27:$B$44,MATCH($E2210,Setup!$A$27:$A$44,0)),"TBD"))</f>
        <v/>
      </c>
      <c r="G2210" s="32"/>
      <c r="H2210" s="32"/>
      <c r="I2210" s="32"/>
      <c r="J2210" s="32"/>
      <c r="K2210" s="35"/>
      <c r="L2210" s="32"/>
      <c r="M2210" s="32"/>
    </row>
    <row r="2211" customFormat="false" ht="15" hidden="false" customHeight="true" outlineLevel="0" collapsed="false">
      <c r="A2211" s="32"/>
      <c r="B2211" s="32"/>
      <c r="C2211" s="32"/>
      <c r="D2211" s="32"/>
      <c r="E2211" s="34" t="str">
        <f aca="false">IF($B2211="","",IF($B2211="OUT","Liters",IFERROR(INDEX(Setup!$F$3:$F$24,MATCH($C2211,Setup!$A$3:$A$24,0)),"")))</f>
        <v/>
      </c>
      <c r="F2211" s="28" t="str">
        <f aca="false">IF(OR($D2211="",$E2211=""),"",IFERROR($D2211*INDEX(Setup!$B$27:$B$44,MATCH($E2211,Setup!$A$27:$A$44,0)),"TBD"))</f>
        <v/>
      </c>
      <c r="G2211" s="32"/>
      <c r="H2211" s="32"/>
      <c r="I2211" s="32"/>
      <c r="J2211" s="32"/>
      <c r="K2211" s="35"/>
      <c r="L2211" s="32"/>
      <c r="M2211" s="32"/>
    </row>
    <row r="2212" customFormat="false" ht="15" hidden="false" customHeight="true" outlineLevel="0" collapsed="false">
      <c r="A2212" s="32"/>
      <c r="B2212" s="32"/>
      <c r="C2212" s="32"/>
      <c r="D2212" s="32"/>
      <c r="E2212" s="34" t="str">
        <f aca="false">IF($B2212="","",IF($B2212="OUT","Liters",IFERROR(INDEX(Setup!$F$3:$F$24,MATCH($C2212,Setup!$A$3:$A$24,0)),"")))</f>
        <v/>
      </c>
      <c r="F2212" s="28" t="str">
        <f aca="false">IF(OR($D2212="",$E2212=""),"",IFERROR($D2212*INDEX(Setup!$B$27:$B$44,MATCH($E2212,Setup!$A$27:$A$44,0)),"TBD"))</f>
        <v/>
      </c>
      <c r="G2212" s="32"/>
      <c r="H2212" s="32"/>
      <c r="I2212" s="32"/>
      <c r="J2212" s="32"/>
      <c r="K2212" s="35"/>
      <c r="L2212" s="32"/>
      <c r="M2212" s="32"/>
    </row>
    <row r="2213" customFormat="false" ht="15" hidden="false" customHeight="true" outlineLevel="0" collapsed="false">
      <c r="A2213" s="32"/>
      <c r="B2213" s="32"/>
      <c r="C2213" s="32"/>
      <c r="D2213" s="32"/>
      <c r="E2213" s="34" t="str">
        <f aca="false">IF($B2213="","",IF($B2213="OUT","Liters",IFERROR(INDEX(Setup!$F$3:$F$24,MATCH($C2213,Setup!$A$3:$A$24,0)),"")))</f>
        <v/>
      </c>
      <c r="F2213" s="28" t="str">
        <f aca="false">IF(OR($D2213="",$E2213=""),"",IFERROR($D2213*INDEX(Setup!$B$27:$B$44,MATCH($E2213,Setup!$A$27:$A$44,0)),"TBD"))</f>
        <v/>
      </c>
      <c r="G2213" s="32"/>
      <c r="H2213" s="32"/>
      <c r="I2213" s="32"/>
      <c r="J2213" s="32"/>
      <c r="K2213" s="35"/>
      <c r="L2213" s="32"/>
      <c r="M2213" s="32"/>
    </row>
    <row r="2214" customFormat="false" ht="15" hidden="false" customHeight="true" outlineLevel="0" collapsed="false">
      <c r="A2214" s="32"/>
      <c r="B2214" s="32"/>
      <c r="C2214" s="32"/>
      <c r="D2214" s="32"/>
      <c r="E2214" s="34" t="str">
        <f aca="false">IF($B2214="","",IF($B2214="OUT","Liters",IFERROR(INDEX(Setup!$F$3:$F$24,MATCH($C2214,Setup!$A$3:$A$24,0)),"")))</f>
        <v/>
      </c>
      <c r="F2214" s="28" t="str">
        <f aca="false">IF(OR($D2214="",$E2214=""),"",IFERROR($D2214*INDEX(Setup!$B$27:$B$44,MATCH($E2214,Setup!$A$27:$A$44,0)),"TBD"))</f>
        <v/>
      </c>
      <c r="G2214" s="32"/>
      <c r="H2214" s="32"/>
      <c r="I2214" s="32"/>
      <c r="J2214" s="32"/>
      <c r="K2214" s="35"/>
      <c r="L2214" s="32"/>
      <c r="M2214" s="32"/>
    </row>
    <row r="2215" customFormat="false" ht="15" hidden="false" customHeight="true" outlineLevel="0" collapsed="false">
      <c r="A2215" s="32"/>
      <c r="B2215" s="32"/>
      <c r="C2215" s="32"/>
      <c r="D2215" s="32"/>
      <c r="E2215" s="34" t="str">
        <f aca="false">IF($B2215="","",IF($B2215="OUT","Liters",IFERROR(INDEX(Setup!$F$3:$F$24,MATCH($C2215,Setup!$A$3:$A$24,0)),"")))</f>
        <v/>
      </c>
      <c r="F2215" s="28" t="str">
        <f aca="false">IF(OR($D2215="",$E2215=""),"",IFERROR($D2215*INDEX(Setup!$B$27:$B$44,MATCH($E2215,Setup!$A$27:$A$44,0)),"TBD"))</f>
        <v/>
      </c>
      <c r="G2215" s="32"/>
      <c r="H2215" s="32"/>
      <c r="I2215" s="32"/>
      <c r="J2215" s="32"/>
      <c r="K2215" s="35"/>
      <c r="L2215" s="32"/>
      <c r="M2215" s="32"/>
    </row>
    <row r="2216" customFormat="false" ht="15" hidden="false" customHeight="true" outlineLevel="0" collapsed="false">
      <c r="A2216" s="32"/>
      <c r="B2216" s="32"/>
      <c r="C2216" s="32"/>
      <c r="D2216" s="32"/>
      <c r="E2216" s="34" t="str">
        <f aca="false">IF($B2216="","",IF($B2216="OUT","Liters",IFERROR(INDEX(Setup!$F$3:$F$24,MATCH($C2216,Setup!$A$3:$A$24,0)),"")))</f>
        <v/>
      </c>
      <c r="F2216" s="28" t="str">
        <f aca="false">IF(OR($D2216="",$E2216=""),"",IFERROR($D2216*INDEX(Setup!$B$27:$B$44,MATCH($E2216,Setup!$A$27:$A$44,0)),"TBD"))</f>
        <v/>
      </c>
      <c r="G2216" s="32"/>
      <c r="H2216" s="32"/>
      <c r="I2216" s="32"/>
      <c r="J2216" s="32"/>
      <c r="K2216" s="35"/>
      <c r="L2216" s="32"/>
      <c r="M2216" s="32"/>
    </row>
    <row r="2217" customFormat="false" ht="15" hidden="false" customHeight="true" outlineLevel="0" collapsed="false">
      <c r="A2217" s="32"/>
      <c r="B2217" s="32"/>
      <c r="C2217" s="32"/>
      <c r="D2217" s="32"/>
      <c r="E2217" s="34" t="str">
        <f aca="false">IF($B2217="","",IF($B2217="OUT","Liters",IFERROR(INDEX(Setup!$F$3:$F$24,MATCH($C2217,Setup!$A$3:$A$24,0)),"")))</f>
        <v/>
      </c>
      <c r="F2217" s="28" t="str">
        <f aca="false">IF(OR($D2217="",$E2217=""),"",IFERROR($D2217*INDEX(Setup!$B$27:$B$44,MATCH($E2217,Setup!$A$27:$A$44,0)),"TBD"))</f>
        <v/>
      </c>
      <c r="G2217" s="32"/>
      <c r="H2217" s="32"/>
      <c r="I2217" s="32"/>
      <c r="J2217" s="32"/>
      <c r="K2217" s="35"/>
      <c r="L2217" s="32"/>
      <c r="M2217" s="32"/>
    </row>
    <row r="2218" customFormat="false" ht="15" hidden="false" customHeight="true" outlineLevel="0" collapsed="false">
      <c r="A2218" s="32"/>
      <c r="B2218" s="32"/>
      <c r="C2218" s="32"/>
      <c r="D2218" s="32"/>
      <c r="E2218" s="34" t="str">
        <f aca="false">IF($B2218="","",IF($B2218="OUT","Liters",IFERROR(INDEX(Setup!$F$3:$F$24,MATCH($C2218,Setup!$A$3:$A$24,0)),"")))</f>
        <v/>
      </c>
      <c r="F2218" s="28" t="str">
        <f aca="false">IF(OR($D2218="",$E2218=""),"",IFERROR($D2218*INDEX(Setup!$B$27:$B$44,MATCH($E2218,Setup!$A$27:$A$44,0)),"TBD"))</f>
        <v/>
      </c>
      <c r="G2218" s="32"/>
      <c r="H2218" s="32"/>
      <c r="I2218" s="32"/>
      <c r="J2218" s="32"/>
      <c r="K2218" s="35"/>
      <c r="L2218" s="32"/>
      <c r="M2218" s="32"/>
    </row>
    <row r="2219" customFormat="false" ht="15" hidden="false" customHeight="true" outlineLevel="0" collapsed="false">
      <c r="A2219" s="32"/>
      <c r="B2219" s="32"/>
      <c r="C2219" s="32"/>
      <c r="D2219" s="32"/>
      <c r="E2219" s="34" t="str">
        <f aca="false">IF($B2219="","",IF($B2219="OUT","Liters",IFERROR(INDEX(Setup!$F$3:$F$24,MATCH($C2219,Setup!$A$3:$A$24,0)),"")))</f>
        <v/>
      </c>
      <c r="F2219" s="28" t="str">
        <f aca="false">IF(OR($D2219="",$E2219=""),"",IFERROR($D2219*INDEX(Setup!$B$27:$B$44,MATCH($E2219,Setup!$A$27:$A$44,0)),"TBD"))</f>
        <v/>
      </c>
      <c r="G2219" s="32"/>
      <c r="H2219" s="32"/>
      <c r="I2219" s="32"/>
      <c r="J2219" s="32"/>
      <c r="K2219" s="35"/>
      <c r="L2219" s="32"/>
      <c r="M2219" s="32"/>
    </row>
    <row r="2220" customFormat="false" ht="15" hidden="false" customHeight="true" outlineLevel="0" collapsed="false">
      <c r="A2220" s="32"/>
      <c r="B2220" s="32"/>
      <c r="C2220" s="32"/>
      <c r="D2220" s="32"/>
      <c r="E2220" s="34" t="str">
        <f aca="false">IF($B2220="","",IF($B2220="OUT","Liters",IFERROR(INDEX(Setup!$F$3:$F$24,MATCH($C2220,Setup!$A$3:$A$24,0)),"")))</f>
        <v/>
      </c>
      <c r="F2220" s="28" t="str">
        <f aca="false">IF(OR($D2220="",$E2220=""),"",IFERROR($D2220*INDEX(Setup!$B$27:$B$44,MATCH($E2220,Setup!$A$27:$A$44,0)),"TBD"))</f>
        <v/>
      </c>
      <c r="G2220" s="32"/>
      <c r="H2220" s="32"/>
      <c r="I2220" s="32"/>
      <c r="J2220" s="32"/>
      <c r="K2220" s="35"/>
      <c r="L2220" s="32"/>
      <c r="M2220" s="32"/>
    </row>
    <row r="2221" customFormat="false" ht="15" hidden="false" customHeight="true" outlineLevel="0" collapsed="false">
      <c r="A2221" s="32"/>
      <c r="B2221" s="32"/>
      <c r="C2221" s="32"/>
      <c r="D2221" s="32"/>
      <c r="E2221" s="34" t="str">
        <f aca="false">IF($B2221="","",IF($B2221="OUT","Liters",IFERROR(INDEX(Setup!$F$3:$F$24,MATCH($C2221,Setup!$A$3:$A$24,0)),"")))</f>
        <v/>
      </c>
      <c r="F2221" s="28" t="str">
        <f aca="false">IF(OR($D2221="",$E2221=""),"",IFERROR($D2221*INDEX(Setup!$B$27:$B$44,MATCH($E2221,Setup!$A$27:$A$44,0)),"TBD"))</f>
        <v/>
      </c>
      <c r="G2221" s="32"/>
      <c r="H2221" s="32"/>
      <c r="I2221" s="32"/>
      <c r="J2221" s="32"/>
      <c r="K2221" s="35"/>
      <c r="L2221" s="32"/>
      <c r="M2221" s="32"/>
    </row>
    <row r="2222" customFormat="false" ht="15" hidden="false" customHeight="true" outlineLevel="0" collapsed="false">
      <c r="A2222" s="32"/>
      <c r="B2222" s="32"/>
      <c r="C2222" s="32"/>
      <c r="D2222" s="32"/>
      <c r="E2222" s="34" t="str">
        <f aca="false">IF($B2222="","",IF($B2222="OUT","Liters",IFERROR(INDEX(Setup!$F$3:$F$24,MATCH($C2222,Setup!$A$3:$A$24,0)),"")))</f>
        <v/>
      </c>
      <c r="F2222" s="28" t="str">
        <f aca="false">IF(OR($D2222="",$E2222=""),"",IFERROR($D2222*INDEX(Setup!$B$27:$B$44,MATCH($E2222,Setup!$A$27:$A$44,0)),"TBD"))</f>
        <v/>
      </c>
      <c r="G2222" s="32"/>
      <c r="H2222" s="32"/>
      <c r="I2222" s="32"/>
      <c r="J2222" s="32"/>
      <c r="K2222" s="35"/>
      <c r="L2222" s="32"/>
      <c r="M2222" s="32"/>
    </row>
    <row r="2223" customFormat="false" ht="15" hidden="false" customHeight="true" outlineLevel="0" collapsed="false">
      <c r="A2223" s="32"/>
      <c r="B2223" s="32"/>
      <c r="C2223" s="32"/>
      <c r="D2223" s="32"/>
      <c r="E2223" s="34" t="str">
        <f aca="false">IF($B2223="","",IF($B2223="OUT","Liters",IFERROR(INDEX(Setup!$F$3:$F$24,MATCH($C2223,Setup!$A$3:$A$24,0)),"")))</f>
        <v/>
      </c>
      <c r="F2223" s="28" t="str">
        <f aca="false">IF(OR($D2223="",$E2223=""),"",IFERROR($D2223*INDEX(Setup!$B$27:$B$44,MATCH($E2223,Setup!$A$27:$A$44,0)),"TBD"))</f>
        <v/>
      </c>
      <c r="G2223" s="32"/>
      <c r="H2223" s="32"/>
      <c r="I2223" s="32"/>
      <c r="J2223" s="32"/>
      <c r="K2223" s="35"/>
      <c r="L2223" s="32"/>
      <c r="M2223" s="32"/>
    </row>
    <row r="2224" customFormat="false" ht="15" hidden="false" customHeight="true" outlineLevel="0" collapsed="false">
      <c r="A2224" s="32"/>
      <c r="B2224" s="32"/>
      <c r="C2224" s="32"/>
      <c r="D2224" s="32"/>
      <c r="E2224" s="34" t="str">
        <f aca="false">IF($B2224="","",IF($B2224="OUT","Liters",IFERROR(INDEX(Setup!$F$3:$F$24,MATCH($C2224,Setup!$A$3:$A$24,0)),"")))</f>
        <v/>
      </c>
      <c r="F2224" s="28" t="str">
        <f aca="false">IF(OR($D2224="",$E2224=""),"",IFERROR($D2224*INDEX(Setup!$B$27:$B$44,MATCH($E2224,Setup!$A$27:$A$44,0)),"TBD"))</f>
        <v/>
      </c>
      <c r="G2224" s="32"/>
      <c r="H2224" s="32"/>
      <c r="I2224" s="32"/>
      <c r="J2224" s="32"/>
      <c r="K2224" s="35"/>
      <c r="L2224" s="32"/>
      <c r="M2224" s="32"/>
    </row>
    <row r="2225" customFormat="false" ht="15" hidden="false" customHeight="true" outlineLevel="0" collapsed="false">
      <c r="A2225" s="32"/>
      <c r="B2225" s="32"/>
      <c r="C2225" s="32"/>
      <c r="D2225" s="32"/>
      <c r="E2225" s="34" t="str">
        <f aca="false">IF($B2225="","",IF($B2225="OUT","Liters",IFERROR(INDEX(Setup!$F$3:$F$24,MATCH($C2225,Setup!$A$3:$A$24,0)),"")))</f>
        <v/>
      </c>
      <c r="F2225" s="28" t="str">
        <f aca="false">IF(OR($D2225="",$E2225=""),"",IFERROR($D2225*INDEX(Setup!$B$27:$B$44,MATCH($E2225,Setup!$A$27:$A$44,0)),"TBD"))</f>
        <v/>
      </c>
      <c r="G2225" s="32"/>
      <c r="H2225" s="32"/>
      <c r="I2225" s="32"/>
      <c r="J2225" s="32"/>
      <c r="K2225" s="35"/>
      <c r="L2225" s="32"/>
      <c r="M2225" s="32"/>
    </row>
    <row r="2226" customFormat="false" ht="15" hidden="false" customHeight="true" outlineLevel="0" collapsed="false">
      <c r="A2226" s="32"/>
      <c r="B2226" s="32"/>
      <c r="C2226" s="32"/>
      <c r="D2226" s="32"/>
      <c r="E2226" s="34" t="str">
        <f aca="false">IF($B2226="","",IF($B2226="OUT","Liters",IFERROR(INDEX(Setup!$F$3:$F$24,MATCH($C2226,Setup!$A$3:$A$24,0)),"")))</f>
        <v/>
      </c>
      <c r="F2226" s="28" t="str">
        <f aca="false">IF(OR($D2226="",$E2226=""),"",IFERROR($D2226*INDEX(Setup!$B$27:$B$44,MATCH($E2226,Setup!$A$27:$A$44,0)),"TBD"))</f>
        <v/>
      </c>
      <c r="G2226" s="32"/>
      <c r="H2226" s="32"/>
      <c r="I2226" s="32"/>
      <c r="J2226" s="32"/>
      <c r="K2226" s="35"/>
      <c r="L2226" s="32"/>
      <c r="M2226" s="32"/>
    </row>
    <row r="2227" customFormat="false" ht="15" hidden="false" customHeight="true" outlineLevel="0" collapsed="false">
      <c r="A2227" s="32"/>
      <c r="B2227" s="32"/>
      <c r="C2227" s="32"/>
      <c r="D2227" s="32"/>
      <c r="E2227" s="34" t="str">
        <f aca="false">IF($B2227="","",IF($B2227="OUT","Liters",IFERROR(INDEX(Setup!$F$3:$F$24,MATCH($C2227,Setup!$A$3:$A$24,0)),"")))</f>
        <v/>
      </c>
      <c r="F2227" s="28" t="str">
        <f aca="false">IF(OR($D2227="",$E2227=""),"",IFERROR($D2227*INDEX(Setup!$B$27:$B$44,MATCH($E2227,Setup!$A$27:$A$44,0)),"TBD"))</f>
        <v/>
      </c>
      <c r="G2227" s="32"/>
      <c r="H2227" s="32"/>
      <c r="I2227" s="32"/>
      <c r="J2227" s="32"/>
      <c r="K2227" s="35"/>
      <c r="L2227" s="32"/>
      <c r="M2227" s="32"/>
    </row>
    <row r="2228" customFormat="false" ht="15" hidden="false" customHeight="true" outlineLevel="0" collapsed="false">
      <c r="A2228" s="32"/>
      <c r="B2228" s="32"/>
      <c r="C2228" s="32"/>
      <c r="D2228" s="32"/>
      <c r="E2228" s="34" t="str">
        <f aca="false">IF($B2228="","",IF($B2228="OUT","Liters",IFERROR(INDEX(Setup!$F$3:$F$24,MATCH($C2228,Setup!$A$3:$A$24,0)),"")))</f>
        <v/>
      </c>
      <c r="F2228" s="28" t="str">
        <f aca="false">IF(OR($D2228="",$E2228=""),"",IFERROR($D2228*INDEX(Setup!$B$27:$B$44,MATCH($E2228,Setup!$A$27:$A$44,0)),"TBD"))</f>
        <v/>
      </c>
      <c r="G2228" s="32"/>
      <c r="H2228" s="32"/>
      <c r="I2228" s="32"/>
      <c r="J2228" s="32"/>
      <c r="K2228" s="35"/>
      <c r="L2228" s="32"/>
      <c r="M2228" s="32"/>
    </row>
    <row r="2229" customFormat="false" ht="15" hidden="false" customHeight="true" outlineLevel="0" collapsed="false">
      <c r="A2229" s="32"/>
      <c r="B2229" s="32"/>
      <c r="C2229" s="32"/>
      <c r="D2229" s="32"/>
      <c r="E2229" s="34" t="str">
        <f aca="false">IF($B2229="","",IF($B2229="OUT","Liters",IFERROR(INDEX(Setup!$F$3:$F$24,MATCH($C2229,Setup!$A$3:$A$24,0)),"")))</f>
        <v/>
      </c>
      <c r="F2229" s="28" t="str">
        <f aca="false">IF(OR($D2229="",$E2229=""),"",IFERROR($D2229*INDEX(Setup!$B$27:$B$44,MATCH($E2229,Setup!$A$27:$A$44,0)),"TBD"))</f>
        <v/>
      </c>
      <c r="G2229" s="32"/>
      <c r="H2229" s="32"/>
      <c r="I2229" s="32"/>
      <c r="J2229" s="32"/>
      <c r="K2229" s="35"/>
      <c r="L2229" s="32"/>
      <c r="M2229" s="32"/>
    </row>
    <row r="2230" customFormat="false" ht="15" hidden="false" customHeight="true" outlineLevel="0" collapsed="false">
      <c r="A2230" s="32"/>
      <c r="B2230" s="32"/>
      <c r="C2230" s="32"/>
      <c r="D2230" s="32"/>
      <c r="E2230" s="34" t="str">
        <f aca="false">IF($B2230="","",IF($B2230="OUT","Liters",IFERROR(INDEX(Setup!$F$3:$F$24,MATCH($C2230,Setup!$A$3:$A$24,0)),"")))</f>
        <v/>
      </c>
      <c r="F2230" s="28" t="str">
        <f aca="false">IF(OR($D2230="",$E2230=""),"",IFERROR($D2230*INDEX(Setup!$B$27:$B$44,MATCH($E2230,Setup!$A$27:$A$44,0)),"TBD"))</f>
        <v/>
      </c>
      <c r="G2230" s="32"/>
      <c r="H2230" s="32"/>
      <c r="I2230" s="32"/>
      <c r="J2230" s="32"/>
      <c r="K2230" s="35"/>
      <c r="L2230" s="32"/>
      <c r="M2230" s="32"/>
    </row>
    <row r="2231" customFormat="false" ht="15" hidden="false" customHeight="true" outlineLevel="0" collapsed="false">
      <c r="A2231" s="32"/>
      <c r="B2231" s="32"/>
      <c r="C2231" s="32"/>
      <c r="D2231" s="32"/>
      <c r="E2231" s="34" t="str">
        <f aca="false">IF($B2231="","",IF($B2231="OUT","Liters",IFERROR(INDEX(Setup!$F$3:$F$24,MATCH($C2231,Setup!$A$3:$A$24,0)),"")))</f>
        <v/>
      </c>
      <c r="F2231" s="28" t="str">
        <f aca="false">IF(OR($D2231="",$E2231=""),"",IFERROR($D2231*INDEX(Setup!$B$27:$B$44,MATCH($E2231,Setup!$A$27:$A$44,0)),"TBD"))</f>
        <v/>
      </c>
      <c r="G2231" s="32"/>
      <c r="H2231" s="32"/>
      <c r="I2231" s="32"/>
      <c r="J2231" s="32"/>
      <c r="K2231" s="35"/>
      <c r="L2231" s="32"/>
      <c r="M2231" s="32"/>
    </row>
    <row r="2232" customFormat="false" ht="15" hidden="false" customHeight="true" outlineLevel="0" collapsed="false">
      <c r="A2232" s="32"/>
      <c r="B2232" s="32"/>
      <c r="C2232" s="32"/>
      <c r="D2232" s="32"/>
      <c r="E2232" s="34" t="str">
        <f aca="false">IF($B2232="","",IF($B2232="OUT","Liters",IFERROR(INDEX(Setup!$F$3:$F$24,MATCH($C2232,Setup!$A$3:$A$24,0)),"")))</f>
        <v/>
      </c>
      <c r="F2232" s="28" t="str">
        <f aca="false">IF(OR($D2232="",$E2232=""),"",IFERROR($D2232*INDEX(Setup!$B$27:$B$44,MATCH($E2232,Setup!$A$27:$A$44,0)),"TBD"))</f>
        <v/>
      </c>
      <c r="G2232" s="32"/>
      <c r="H2232" s="32"/>
      <c r="I2232" s="32"/>
      <c r="J2232" s="32"/>
      <c r="K2232" s="35"/>
      <c r="L2232" s="32"/>
      <c r="M2232" s="32"/>
    </row>
    <row r="2233" customFormat="false" ht="15" hidden="false" customHeight="true" outlineLevel="0" collapsed="false">
      <c r="A2233" s="32"/>
      <c r="B2233" s="32"/>
      <c r="C2233" s="32"/>
      <c r="D2233" s="32"/>
      <c r="E2233" s="34" t="str">
        <f aca="false">IF($B2233="","",IF($B2233="OUT","Liters",IFERROR(INDEX(Setup!$F$3:$F$24,MATCH($C2233,Setup!$A$3:$A$24,0)),"")))</f>
        <v/>
      </c>
      <c r="F2233" s="28" t="str">
        <f aca="false">IF(OR($D2233="",$E2233=""),"",IFERROR($D2233*INDEX(Setup!$B$27:$B$44,MATCH($E2233,Setup!$A$27:$A$44,0)),"TBD"))</f>
        <v/>
      </c>
      <c r="G2233" s="32"/>
      <c r="H2233" s="32"/>
      <c r="I2233" s="32"/>
      <c r="J2233" s="32"/>
      <c r="K2233" s="35"/>
      <c r="L2233" s="32"/>
      <c r="M2233" s="32"/>
    </row>
    <row r="2234" customFormat="false" ht="15" hidden="false" customHeight="true" outlineLevel="0" collapsed="false">
      <c r="A2234" s="32"/>
      <c r="B2234" s="32"/>
      <c r="C2234" s="32"/>
      <c r="D2234" s="32"/>
      <c r="E2234" s="34" t="str">
        <f aca="false">IF($B2234="","",IF($B2234="OUT","Liters",IFERROR(INDEX(Setup!$F$3:$F$24,MATCH($C2234,Setup!$A$3:$A$24,0)),"")))</f>
        <v/>
      </c>
      <c r="F2234" s="28" t="str">
        <f aca="false">IF(OR($D2234="",$E2234=""),"",IFERROR($D2234*INDEX(Setup!$B$27:$B$44,MATCH($E2234,Setup!$A$27:$A$44,0)),"TBD"))</f>
        <v/>
      </c>
      <c r="G2234" s="32"/>
      <c r="H2234" s="32"/>
      <c r="I2234" s="32"/>
      <c r="J2234" s="32"/>
      <c r="K2234" s="35"/>
      <c r="L2234" s="32"/>
      <c r="M2234" s="32"/>
    </row>
    <row r="2235" customFormat="false" ht="15" hidden="false" customHeight="true" outlineLevel="0" collapsed="false">
      <c r="A2235" s="32"/>
      <c r="B2235" s="32"/>
      <c r="C2235" s="32"/>
      <c r="D2235" s="32"/>
      <c r="E2235" s="34" t="str">
        <f aca="false">IF($B2235="","",IF($B2235="OUT","Liters",IFERROR(INDEX(Setup!$F$3:$F$24,MATCH($C2235,Setup!$A$3:$A$24,0)),"")))</f>
        <v/>
      </c>
      <c r="F2235" s="28" t="str">
        <f aca="false">IF(OR($D2235="",$E2235=""),"",IFERROR($D2235*INDEX(Setup!$B$27:$B$44,MATCH($E2235,Setup!$A$27:$A$44,0)),"TBD"))</f>
        <v/>
      </c>
      <c r="G2235" s="32"/>
      <c r="H2235" s="32"/>
      <c r="I2235" s="32"/>
      <c r="J2235" s="32"/>
      <c r="K2235" s="35"/>
      <c r="L2235" s="32"/>
      <c r="M2235" s="32"/>
    </row>
    <row r="2236" customFormat="false" ht="15" hidden="false" customHeight="true" outlineLevel="0" collapsed="false">
      <c r="A2236" s="32"/>
      <c r="B2236" s="32"/>
      <c r="C2236" s="32"/>
      <c r="D2236" s="32"/>
      <c r="E2236" s="34" t="str">
        <f aca="false">IF($B2236="","",IF($B2236="OUT","Liters",IFERROR(INDEX(Setup!$F$3:$F$24,MATCH($C2236,Setup!$A$3:$A$24,0)),"")))</f>
        <v/>
      </c>
      <c r="F2236" s="28" t="str">
        <f aca="false">IF(OR($D2236="",$E2236=""),"",IFERROR($D2236*INDEX(Setup!$B$27:$B$44,MATCH($E2236,Setup!$A$27:$A$44,0)),"TBD"))</f>
        <v/>
      </c>
      <c r="G2236" s="32"/>
      <c r="H2236" s="32"/>
      <c r="I2236" s="32"/>
      <c r="J2236" s="32"/>
      <c r="K2236" s="35"/>
      <c r="L2236" s="32"/>
      <c r="M2236" s="32"/>
    </row>
    <row r="2237" customFormat="false" ht="15" hidden="false" customHeight="true" outlineLevel="0" collapsed="false">
      <c r="A2237" s="32"/>
      <c r="B2237" s="32"/>
      <c r="C2237" s="32"/>
      <c r="D2237" s="32"/>
      <c r="E2237" s="34" t="str">
        <f aca="false">IF($B2237="","",IF($B2237="OUT","Liters",IFERROR(INDEX(Setup!$F$3:$F$24,MATCH($C2237,Setup!$A$3:$A$24,0)),"")))</f>
        <v/>
      </c>
      <c r="F2237" s="28" t="str">
        <f aca="false">IF(OR($D2237="",$E2237=""),"",IFERROR($D2237*INDEX(Setup!$B$27:$B$44,MATCH($E2237,Setup!$A$27:$A$44,0)),"TBD"))</f>
        <v/>
      </c>
      <c r="G2237" s="32"/>
      <c r="H2237" s="32"/>
      <c r="I2237" s="32"/>
      <c r="J2237" s="32"/>
      <c r="K2237" s="35"/>
      <c r="L2237" s="32"/>
      <c r="M2237" s="32"/>
    </row>
    <row r="2238" customFormat="false" ht="15" hidden="false" customHeight="true" outlineLevel="0" collapsed="false">
      <c r="A2238" s="32"/>
      <c r="B2238" s="32"/>
      <c r="C2238" s="32"/>
      <c r="D2238" s="32"/>
      <c r="E2238" s="34" t="str">
        <f aca="false">IF($B2238="","",IF($B2238="OUT","Liters",IFERROR(INDEX(Setup!$F$3:$F$24,MATCH($C2238,Setup!$A$3:$A$24,0)),"")))</f>
        <v/>
      </c>
      <c r="F2238" s="28" t="str">
        <f aca="false">IF(OR($D2238="",$E2238=""),"",IFERROR($D2238*INDEX(Setup!$B$27:$B$44,MATCH($E2238,Setup!$A$27:$A$44,0)),"TBD"))</f>
        <v/>
      </c>
      <c r="G2238" s="32"/>
      <c r="H2238" s="32"/>
      <c r="I2238" s="32"/>
      <c r="J2238" s="32"/>
      <c r="K2238" s="35"/>
      <c r="L2238" s="32"/>
      <c r="M2238" s="32"/>
    </row>
    <row r="2239" customFormat="false" ht="15" hidden="false" customHeight="true" outlineLevel="0" collapsed="false">
      <c r="A2239" s="32"/>
      <c r="B2239" s="32"/>
      <c r="C2239" s="32"/>
      <c r="D2239" s="32"/>
      <c r="E2239" s="34" t="str">
        <f aca="false">IF($B2239="","",IF($B2239="OUT","Liters",IFERROR(INDEX(Setup!$F$3:$F$24,MATCH($C2239,Setup!$A$3:$A$24,0)),"")))</f>
        <v/>
      </c>
      <c r="F2239" s="28" t="str">
        <f aca="false">IF(OR($D2239="",$E2239=""),"",IFERROR($D2239*INDEX(Setup!$B$27:$B$44,MATCH($E2239,Setup!$A$27:$A$44,0)),"TBD"))</f>
        <v/>
      </c>
      <c r="G2239" s="32"/>
      <c r="H2239" s="32"/>
      <c r="I2239" s="32"/>
      <c r="J2239" s="32"/>
      <c r="K2239" s="35"/>
      <c r="L2239" s="32"/>
      <c r="M2239" s="32"/>
    </row>
    <row r="2240" customFormat="false" ht="15" hidden="false" customHeight="true" outlineLevel="0" collapsed="false">
      <c r="A2240" s="32"/>
      <c r="B2240" s="32"/>
      <c r="C2240" s="32"/>
      <c r="D2240" s="32"/>
      <c r="E2240" s="34" t="str">
        <f aca="false">IF($B2240="","",IF($B2240="OUT","Liters",IFERROR(INDEX(Setup!$F$3:$F$24,MATCH($C2240,Setup!$A$3:$A$24,0)),"")))</f>
        <v/>
      </c>
      <c r="F2240" s="28" t="str">
        <f aca="false">IF(OR($D2240="",$E2240=""),"",IFERROR($D2240*INDEX(Setup!$B$27:$B$44,MATCH($E2240,Setup!$A$27:$A$44,0)),"TBD"))</f>
        <v/>
      </c>
      <c r="G2240" s="32"/>
      <c r="H2240" s="32"/>
      <c r="I2240" s="32"/>
      <c r="J2240" s="32"/>
      <c r="K2240" s="35"/>
      <c r="L2240" s="32"/>
      <c r="M2240" s="32"/>
    </row>
    <row r="2241" customFormat="false" ht="15" hidden="false" customHeight="true" outlineLevel="0" collapsed="false">
      <c r="A2241" s="32"/>
      <c r="B2241" s="32"/>
      <c r="C2241" s="32"/>
      <c r="D2241" s="32"/>
      <c r="E2241" s="34" t="str">
        <f aca="false">IF($B2241="","",IF($B2241="OUT","Liters",IFERROR(INDEX(Setup!$F$3:$F$24,MATCH($C2241,Setup!$A$3:$A$24,0)),"")))</f>
        <v/>
      </c>
      <c r="F2241" s="28" t="str">
        <f aca="false">IF(OR($D2241="",$E2241=""),"",IFERROR($D2241*INDEX(Setup!$B$27:$B$44,MATCH($E2241,Setup!$A$27:$A$44,0)),"TBD"))</f>
        <v/>
      </c>
      <c r="G2241" s="32"/>
      <c r="H2241" s="32"/>
      <c r="I2241" s="32"/>
      <c r="J2241" s="32"/>
      <c r="K2241" s="35"/>
      <c r="L2241" s="32"/>
      <c r="M2241" s="32"/>
    </row>
    <row r="2242" customFormat="false" ht="15" hidden="false" customHeight="true" outlineLevel="0" collapsed="false">
      <c r="A2242" s="32"/>
      <c r="B2242" s="32"/>
      <c r="C2242" s="32"/>
      <c r="D2242" s="32"/>
      <c r="E2242" s="34" t="str">
        <f aca="false">IF($B2242="","",IF($B2242="OUT","Liters",IFERROR(INDEX(Setup!$F$3:$F$24,MATCH($C2242,Setup!$A$3:$A$24,0)),"")))</f>
        <v/>
      </c>
      <c r="F2242" s="28" t="str">
        <f aca="false">IF(OR($D2242="",$E2242=""),"",IFERROR($D2242*INDEX(Setup!$B$27:$B$44,MATCH($E2242,Setup!$A$27:$A$44,0)),"TBD"))</f>
        <v/>
      </c>
      <c r="G2242" s="32"/>
      <c r="H2242" s="32"/>
      <c r="I2242" s="32"/>
      <c r="J2242" s="32"/>
      <c r="K2242" s="35"/>
      <c r="L2242" s="32"/>
      <c r="M2242" s="32"/>
    </row>
    <row r="2243" customFormat="false" ht="15" hidden="false" customHeight="true" outlineLevel="0" collapsed="false">
      <c r="A2243" s="32"/>
      <c r="B2243" s="32"/>
      <c r="C2243" s="32"/>
      <c r="D2243" s="32"/>
      <c r="E2243" s="34" t="str">
        <f aca="false">IF($B2243="","",IF($B2243="OUT","Liters",IFERROR(INDEX(Setup!$F$3:$F$24,MATCH($C2243,Setup!$A$3:$A$24,0)),"")))</f>
        <v/>
      </c>
      <c r="F2243" s="28" t="str">
        <f aca="false">IF(OR($D2243="",$E2243=""),"",IFERROR($D2243*INDEX(Setup!$B$27:$B$44,MATCH($E2243,Setup!$A$27:$A$44,0)),"TBD"))</f>
        <v/>
      </c>
      <c r="G2243" s="32"/>
      <c r="H2243" s="32"/>
      <c r="I2243" s="32"/>
      <c r="J2243" s="32"/>
      <c r="K2243" s="35"/>
      <c r="L2243" s="32"/>
      <c r="M2243" s="32"/>
    </row>
    <row r="2244" customFormat="false" ht="15" hidden="false" customHeight="true" outlineLevel="0" collapsed="false">
      <c r="A2244" s="32"/>
      <c r="B2244" s="32"/>
      <c r="C2244" s="32"/>
      <c r="D2244" s="32"/>
      <c r="E2244" s="34" t="str">
        <f aca="false">IF($B2244="","",IF($B2244="OUT","Liters",IFERROR(INDEX(Setup!$F$3:$F$24,MATCH($C2244,Setup!$A$3:$A$24,0)),"")))</f>
        <v/>
      </c>
      <c r="F2244" s="28" t="str">
        <f aca="false">IF(OR($D2244="",$E2244=""),"",IFERROR($D2244*INDEX(Setup!$B$27:$B$44,MATCH($E2244,Setup!$A$27:$A$44,0)),"TBD"))</f>
        <v/>
      </c>
      <c r="G2244" s="32"/>
      <c r="H2244" s="32"/>
      <c r="I2244" s="32"/>
      <c r="J2244" s="32"/>
      <c r="K2244" s="35"/>
      <c r="L2244" s="32"/>
      <c r="M2244" s="32"/>
    </row>
    <row r="2245" customFormat="false" ht="15" hidden="false" customHeight="true" outlineLevel="0" collapsed="false">
      <c r="A2245" s="32"/>
      <c r="B2245" s="32"/>
      <c r="C2245" s="32"/>
      <c r="D2245" s="32"/>
      <c r="E2245" s="34" t="str">
        <f aca="false">IF($B2245="","",IF($B2245="OUT","Liters",IFERROR(INDEX(Setup!$F$3:$F$24,MATCH($C2245,Setup!$A$3:$A$24,0)),"")))</f>
        <v/>
      </c>
      <c r="F2245" s="28" t="str">
        <f aca="false">IF(OR($D2245="",$E2245=""),"",IFERROR($D2245*INDEX(Setup!$B$27:$B$44,MATCH($E2245,Setup!$A$27:$A$44,0)),"TBD"))</f>
        <v/>
      </c>
      <c r="G2245" s="32"/>
      <c r="H2245" s="32"/>
      <c r="I2245" s="32"/>
      <c r="J2245" s="32"/>
      <c r="K2245" s="35"/>
      <c r="L2245" s="32"/>
      <c r="M2245" s="32"/>
    </row>
    <row r="2246" customFormat="false" ht="15" hidden="false" customHeight="true" outlineLevel="0" collapsed="false">
      <c r="A2246" s="32"/>
      <c r="B2246" s="32"/>
      <c r="C2246" s="32"/>
      <c r="D2246" s="32"/>
      <c r="E2246" s="34" t="str">
        <f aca="false">IF($B2246="","",IF($B2246="OUT","Liters",IFERROR(INDEX(Setup!$F$3:$F$24,MATCH($C2246,Setup!$A$3:$A$24,0)),"")))</f>
        <v/>
      </c>
      <c r="F2246" s="28" t="str">
        <f aca="false">IF(OR($D2246="",$E2246=""),"",IFERROR($D2246*INDEX(Setup!$B$27:$B$44,MATCH($E2246,Setup!$A$27:$A$44,0)),"TBD"))</f>
        <v/>
      </c>
      <c r="G2246" s="32"/>
      <c r="H2246" s="32"/>
      <c r="I2246" s="32"/>
      <c r="J2246" s="32"/>
      <c r="K2246" s="35"/>
      <c r="L2246" s="32"/>
      <c r="M2246" s="32"/>
    </row>
    <row r="2247" customFormat="false" ht="15" hidden="false" customHeight="true" outlineLevel="0" collapsed="false">
      <c r="A2247" s="32"/>
      <c r="B2247" s="32"/>
      <c r="C2247" s="32"/>
      <c r="D2247" s="32"/>
      <c r="E2247" s="34" t="str">
        <f aca="false">IF($B2247="","",IF($B2247="OUT","Liters",IFERROR(INDEX(Setup!$F$3:$F$24,MATCH($C2247,Setup!$A$3:$A$24,0)),"")))</f>
        <v/>
      </c>
      <c r="F2247" s="28" t="str">
        <f aca="false">IF(OR($D2247="",$E2247=""),"",IFERROR($D2247*INDEX(Setup!$B$27:$B$44,MATCH($E2247,Setup!$A$27:$A$44,0)),"TBD"))</f>
        <v/>
      </c>
      <c r="G2247" s="32"/>
      <c r="H2247" s="32"/>
      <c r="I2247" s="32"/>
      <c r="J2247" s="32"/>
      <c r="K2247" s="35"/>
      <c r="L2247" s="32"/>
      <c r="M2247" s="32"/>
    </row>
    <row r="2248" customFormat="false" ht="15" hidden="false" customHeight="true" outlineLevel="0" collapsed="false">
      <c r="A2248" s="32"/>
      <c r="B2248" s="32"/>
      <c r="C2248" s="32"/>
      <c r="D2248" s="32"/>
      <c r="E2248" s="34" t="str">
        <f aca="false">IF($B2248="","",IF($B2248="OUT","Liters",IFERROR(INDEX(Setup!$F$3:$F$24,MATCH($C2248,Setup!$A$3:$A$24,0)),"")))</f>
        <v/>
      </c>
      <c r="F2248" s="28" t="str">
        <f aca="false">IF(OR($D2248="",$E2248=""),"",IFERROR($D2248*INDEX(Setup!$B$27:$B$44,MATCH($E2248,Setup!$A$27:$A$44,0)),"TBD"))</f>
        <v/>
      </c>
      <c r="G2248" s="32"/>
      <c r="H2248" s="32"/>
      <c r="I2248" s="32"/>
      <c r="J2248" s="32"/>
      <c r="K2248" s="35"/>
      <c r="L2248" s="32"/>
      <c r="M2248" s="32"/>
    </row>
    <row r="2249" customFormat="false" ht="15" hidden="false" customHeight="true" outlineLevel="0" collapsed="false">
      <c r="A2249" s="32"/>
      <c r="B2249" s="32"/>
      <c r="C2249" s="32"/>
      <c r="D2249" s="32"/>
      <c r="E2249" s="34" t="str">
        <f aca="false">IF($B2249="","",IF($B2249="OUT","Liters",IFERROR(INDEX(Setup!$F$3:$F$24,MATCH($C2249,Setup!$A$3:$A$24,0)),"")))</f>
        <v/>
      </c>
      <c r="F2249" s="28" t="str">
        <f aca="false">IF(OR($D2249="",$E2249=""),"",IFERROR($D2249*INDEX(Setup!$B$27:$B$44,MATCH($E2249,Setup!$A$27:$A$44,0)),"TBD"))</f>
        <v/>
      </c>
      <c r="G2249" s="32"/>
      <c r="H2249" s="32"/>
      <c r="I2249" s="32"/>
      <c r="J2249" s="32"/>
      <c r="K2249" s="35"/>
      <c r="L2249" s="32"/>
      <c r="M2249" s="32"/>
    </row>
    <row r="2250" customFormat="false" ht="15" hidden="false" customHeight="true" outlineLevel="0" collapsed="false">
      <c r="A2250" s="32"/>
      <c r="B2250" s="32"/>
      <c r="C2250" s="32"/>
      <c r="D2250" s="32"/>
      <c r="E2250" s="34" t="str">
        <f aca="false">IF($B2250="","",IF($B2250="OUT","Liters",IFERROR(INDEX(Setup!$F$3:$F$24,MATCH($C2250,Setup!$A$3:$A$24,0)),"")))</f>
        <v/>
      </c>
      <c r="F2250" s="28" t="str">
        <f aca="false">IF(OR($D2250="",$E2250=""),"",IFERROR($D2250*INDEX(Setup!$B$27:$B$44,MATCH($E2250,Setup!$A$27:$A$44,0)),"TBD"))</f>
        <v/>
      </c>
      <c r="G2250" s="32"/>
      <c r="H2250" s="32"/>
      <c r="I2250" s="32"/>
      <c r="J2250" s="32"/>
      <c r="K2250" s="35"/>
      <c r="L2250" s="32"/>
      <c r="M2250" s="32"/>
    </row>
    <row r="2251" customFormat="false" ht="15" hidden="false" customHeight="true" outlineLevel="0" collapsed="false">
      <c r="A2251" s="32"/>
      <c r="B2251" s="32"/>
      <c r="C2251" s="32"/>
      <c r="D2251" s="32"/>
      <c r="E2251" s="34" t="str">
        <f aca="false">IF($B2251="","",IF($B2251="OUT","Liters",IFERROR(INDEX(Setup!$F$3:$F$24,MATCH($C2251,Setup!$A$3:$A$24,0)),"")))</f>
        <v/>
      </c>
      <c r="F2251" s="28" t="str">
        <f aca="false">IF(OR($D2251="",$E2251=""),"",IFERROR($D2251*INDEX(Setup!$B$27:$B$44,MATCH($E2251,Setup!$A$27:$A$44,0)),"TBD"))</f>
        <v/>
      </c>
      <c r="G2251" s="32"/>
      <c r="H2251" s="32"/>
      <c r="I2251" s="32"/>
      <c r="J2251" s="32"/>
      <c r="K2251" s="35"/>
      <c r="L2251" s="32"/>
      <c r="M2251" s="32"/>
    </row>
    <row r="2252" customFormat="false" ht="15" hidden="false" customHeight="true" outlineLevel="0" collapsed="false">
      <c r="A2252" s="32"/>
      <c r="B2252" s="32"/>
      <c r="C2252" s="32"/>
      <c r="D2252" s="32"/>
      <c r="E2252" s="34" t="str">
        <f aca="false">IF($B2252="","",IF($B2252="OUT","Liters",IFERROR(INDEX(Setup!$F$3:$F$24,MATCH($C2252,Setup!$A$3:$A$24,0)),"")))</f>
        <v/>
      </c>
      <c r="F2252" s="28" t="str">
        <f aca="false">IF(OR($D2252="",$E2252=""),"",IFERROR($D2252*INDEX(Setup!$B$27:$B$44,MATCH($E2252,Setup!$A$27:$A$44,0)),"TBD"))</f>
        <v/>
      </c>
      <c r="G2252" s="32"/>
      <c r="H2252" s="32"/>
      <c r="I2252" s="32"/>
      <c r="J2252" s="32"/>
      <c r="K2252" s="35"/>
      <c r="L2252" s="32"/>
      <c r="M2252" s="32"/>
    </row>
    <row r="2253" customFormat="false" ht="15" hidden="false" customHeight="true" outlineLevel="0" collapsed="false">
      <c r="A2253" s="32"/>
      <c r="B2253" s="32"/>
      <c r="C2253" s="32"/>
      <c r="D2253" s="32"/>
      <c r="E2253" s="34" t="str">
        <f aca="false">IF($B2253="","",IF($B2253="OUT","Liters",IFERROR(INDEX(Setup!$F$3:$F$24,MATCH($C2253,Setup!$A$3:$A$24,0)),"")))</f>
        <v/>
      </c>
      <c r="F2253" s="28" t="str">
        <f aca="false">IF(OR($D2253="",$E2253=""),"",IFERROR($D2253*INDEX(Setup!$B$27:$B$44,MATCH($E2253,Setup!$A$27:$A$44,0)),"TBD"))</f>
        <v/>
      </c>
      <c r="G2253" s="32"/>
      <c r="H2253" s="32"/>
      <c r="I2253" s="32"/>
      <c r="J2253" s="32"/>
      <c r="K2253" s="35"/>
      <c r="L2253" s="32"/>
      <c r="M2253" s="32"/>
    </row>
    <row r="2254" customFormat="false" ht="15" hidden="false" customHeight="true" outlineLevel="0" collapsed="false">
      <c r="A2254" s="32"/>
      <c r="B2254" s="32"/>
      <c r="C2254" s="32"/>
      <c r="D2254" s="32"/>
      <c r="E2254" s="34" t="str">
        <f aca="false">IF($B2254="","",IF($B2254="OUT","Liters",IFERROR(INDEX(Setup!$F$3:$F$24,MATCH($C2254,Setup!$A$3:$A$24,0)),"")))</f>
        <v/>
      </c>
      <c r="F2254" s="28" t="str">
        <f aca="false">IF(OR($D2254="",$E2254=""),"",IFERROR($D2254*INDEX(Setup!$B$27:$B$44,MATCH($E2254,Setup!$A$27:$A$44,0)),"TBD"))</f>
        <v/>
      </c>
      <c r="G2254" s="32"/>
      <c r="H2254" s="32"/>
      <c r="I2254" s="32"/>
      <c r="J2254" s="32"/>
      <c r="K2254" s="35"/>
      <c r="L2254" s="32"/>
      <c r="M2254" s="32"/>
    </row>
    <row r="2255" customFormat="false" ht="15" hidden="false" customHeight="true" outlineLevel="0" collapsed="false">
      <c r="A2255" s="32"/>
      <c r="B2255" s="32"/>
      <c r="C2255" s="32"/>
      <c r="D2255" s="32"/>
      <c r="E2255" s="34" t="str">
        <f aca="false">IF($B2255="","",IF($B2255="OUT","Liters",IFERROR(INDEX(Setup!$F$3:$F$24,MATCH($C2255,Setup!$A$3:$A$24,0)),"")))</f>
        <v/>
      </c>
      <c r="F2255" s="28" t="str">
        <f aca="false">IF(OR($D2255="",$E2255=""),"",IFERROR($D2255*INDEX(Setup!$B$27:$B$44,MATCH($E2255,Setup!$A$27:$A$44,0)),"TBD"))</f>
        <v/>
      </c>
      <c r="G2255" s="32"/>
      <c r="H2255" s="32"/>
      <c r="I2255" s="32"/>
      <c r="J2255" s="32"/>
      <c r="K2255" s="35"/>
      <c r="L2255" s="32"/>
      <c r="M2255" s="32"/>
    </row>
    <row r="2256" customFormat="false" ht="15" hidden="false" customHeight="true" outlineLevel="0" collapsed="false">
      <c r="A2256" s="32"/>
      <c r="B2256" s="32"/>
      <c r="C2256" s="32"/>
      <c r="D2256" s="32"/>
      <c r="E2256" s="34" t="str">
        <f aca="false">IF($B2256="","",IF($B2256="OUT","Liters",IFERROR(INDEX(Setup!$F$3:$F$24,MATCH($C2256,Setup!$A$3:$A$24,0)),"")))</f>
        <v/>
      </c>
      <c r="F2256" s="28" t="str">
        <f aca="false">IF(OR($D2256="",$E2256=""),"",IFERROR($D2256*INDEX(Setup!$B$27:$B$44,MATCH($E2256,Setup!$A$27:$A$44,0)),"TBD"))</f>
        <v/>
      </c>
      <c r="G2256" s="32"/>
      <c r="H2256" s="32"/>
      <c r="I2256" s="32"/>
      <c r="J2256" s="32"/>
      <c r="K2256" s="35"/>
      <c r="L2256" s="32"/>
      <c r="M2256" s="32"/>
    </row>
    <row r="2257" customFormat="false" ht="15" hidden="false" customHeight="true" outlineLevel="0" collapsed="false">
      <c r="A2257" s="32"/>
      <c r="B2257" s="32"/>
      <c r="C2257" s="32"/>
      <c r="D2257" s="32"/>
      <c r="E2257" s="34" t="str">
        <f aca="false">IF($B2257="","",IF($B2257="OUT","Liters",IFERROR(INDEX(Setup!$F$3:$F$24,MATCH($C2257,Setup!$A$3:$A$24,0)),"")))</f>
        <v/>
      </c>
      <c r="F2257" s="28" t="str">
        <f aca="false">IF(OR($D2257="",$E2257=""),"",IFERROR($D2257*INDEX(Setup!$B$27:$B$44,MATCH($E2257,Setup!$A$27:$A$44,0)),"TBD"))</f>
        <v/>
      </c>
      <c r="G2257" s="32"/>
      <c r="H2257" s="32"/>
      <c r="I2257" s="32"/>
      <c r="J2257" s="32"/>
      <c r="K2257" s="35"/>
      <c r="L2257" s="32"/>
      <c r="M2257" s="32"/>
    </row>
    <row r="2258" customFormat="false" ht="15" hidden="false" customHeight="true" outlineLevel="0" collapsed="false">
      <c r="A2258" s="32"/>
      <c r="B2258" s="32"/>
      <c r="C2258" s="32"/>
      <c r="D2258" s="32"/>
      <c r="E2258" s="34" t="str">
        <f aca="false">IF($B2258="","",IF($B2258="OUT","Liters",IFERROR(INDEX(Setup!$F$3:$F$24,MATCH($C2258,Setup!$A$3:$A$24,0)),"")))</f>
        <v/>
      </c>
      <c r="F2258" s="28" t="str">
        <f aca="false">IF(OR($D2258="",$E2258=""),"",IFERROR($D2258*INDEX(Setup!$B$27:$B$44,MATCH($E2258,Setup!$A$27:$A$44,0)),"TBD"))</f>
        <v/>
      </c>
      <c r="G2258" s="32"/>
      <c r="H2258" s="32"/>
      <c r="I2258" s="32"/>
      <c r="J2258" s="32"/>
      <c r="K2258" s="35"/>
      <c r="L2258" s="32"/>
      <c r="M2258" s="32"/>
    </row>
    <row r="2259" customFormat="false" ht="15" hidden="false" customHeight="true" outlineLevel="0" collapsed="false">
      <c r="A2259" s="32"/>
      <c r="B2259" s="32"/>
      <c r="C2259" s="32"/>
      <c r="D2259" s="32"/>
      <c r="E2259" s="34" t="str">
        <f aca="false">IF($B2259="","",IF($B2259="OUT","Liters",IFERROR(INDEX(Setup!$F$3:$F$24,MATCH($C2259,Setup!$A$3:$A$24,0)),"")))</f>
        <v/>
      </c>
      <c r="F2259" s="28" t="str">
        <f aca="false">IF(OR($D2259="",$E2259=""),"",IFERROR($D2259*INDEX(Setup!$B$27:$B$44,MATCH($E2259,Setup!$A$27:$A$44,0)),"TBD"))</f>
        <v/>
      </c>
      <c r="G2259" s="32"/>
      <c r="H2259" s="32"/>
      <c r="I2259" s="32"/>
      <c r="J2259" s="32"/>
      <c r="K2259" s="35"/>
      <c r="L2259" s="32"/>
      <c r="M2259" s="32"/>
    </row>
    <row r="2260" customFormat="false" ht="15" hidden="false" customHeight="true" outlineLevel="0" collapsed="false">
      <c r="A2260" s="32"/>
      <c r="B2260" s="32"/>
      <c r="C2260" s="32"/>
      <c r="D2260" s="32"/>
      <c r="E2260" s="34" t="str">
        <f aca="false">IF($B2260="","",IF($B2260="OUT","Liters",IFERROR(INDEX(Setup!$F$3:$F$24,MATCH($C2260,Setup!$A$3:$A$24,0)),"")))</f>
        <v/>
      </c>
      <c r="F2260" s="28" t="str">
        <f aca="false">IF(OR($D2260="",$E2260=""),"",IFERROR($D2260*INDEX(Setup!$B$27:$B$44,MATCH($E2260,Setup!$A$27:$A$44,0)),"TBD"))</f>
        <v/>
      </c>
      <c r="G2260" s="32"/>
      <c r="H2260" s="32"/>
      <c r="I2260" s="32"/>
      <c r="J2260" s="32"/>
      <c r="K2260" s="35"/>
      <c r="L2260" s="32"/>
      <c r="M2260" s="32"/>
    </row>
    <row r="2261" customFormat="false" ht="15" hidden="false" customHeight="true" outlineLevel="0" collapsed="false">
      <c r="A2261" s="32"/>
      <c r="B2261" s="32"/>
      <c r="C2261" s="32"/>
      <c r="D2261" s="32"/>
      <c r="E2261" s="34" t="str">
        <f aca="false">IF($B2261="","",IF($B2261="OUT","Liters",IFERROR(INDEX(Setup!$F$3:$F$24,MATCH($C2261,Setup!$A$3:$A$24,0)),"")))</f>
        <v/>
      </c>
      <c r="F2261" s="28" t="str">
        <f aca="false">IF(OR($D2261="",$E2261=""),"",IFERROR($D2261*INDEX(Setup!$B$27:$B$44,MATCH($E2261,Setup!$A$27:$A$44,0)),"TBD"))</f>
        <v/>
      </c>
      <c r="G2261" s="32"/>
      <c r="H2261" s="32"/>
      <c r="I2261" s="32"/>
      <c r="J2261" s="32"/>
      <c r="K2261" s="35"/>
      <c r="L2261" s="32"/>
      <c r="M2261" s="32"/>
    </row>
    <row r="2262" customFormat="false" ht="15" hidden="false" customHeight="true" outlineLevel="0" collapsed="false">
      <c r="A2262" s="32"/>
      <c r="B2262" s="32"/>
      <c r="C2262" s="32"/>
      <c r="D2262" s="32"/>
      <c r="E2262" s="34" t="str">
        <f aca="false">IF($B2262="","",IF($B2262="OUT","Liters",IFERROR(INDEX(Setup!$F$3:$F$24,MATCH($C2262,Setup!$A$3:$A$24,0)),"")))</f>
        <v/>
      </c>
      <c r="F2262" s="28" t="str">
        <f aca="false">IF(OR($D2262="",$E2262=""),"",IFERROR($D2262*INDEX(Setup!$B$27:$B$44,MATCH($E2262,Setup!$A$27:$A$44,0)),"TBD"))</f>
        <v/>
      </c>
      <c r="G2262" s="32"/>
      <c r="H2262" s="32"/>
      <c r="I2262" s="32"/>
      <c r="J2262" s="32"/>
      <c r="K2262" s="35"/>
      <c r="L2262" s="32"/>
      <c r="M2262" s="32"/>
    </row>
    <row r="2263" customFormat="false" ht="15" hidden="false" customHeight="true" outlineLevel="0" collapsed="false">
      <c r="A2263" s="32"/>
      <c r="B2263" s="32"/>
      <c r="C2263" s="32"/>
      <c r="D2263" s="32"/>
      <c r="E2263" s="34" t="str">
        <f aca="false">IF($B2263="","",IF($B2263="OUT","Liters",IFERROR(INDEX(Setup!$F$3:$F$24,MATCH($C2263,Setup!$A$3:$A$24,0)),"")))</f>
        <v/>
      </c>
      <c r="F2263" s="28" t="str">
        <f aca="false">IF(OR($D2263="",$E2263=""),"",IFERROR($D2263*INDEX(Setup!$B$27:$B$44,MATCH($E2263,Setup!$A$27:$A$44,0)),"TBD"))</f>
        <v/>
      </c>
      <c r="G2263" s="32"/>
      <c r="H2263" s="32"/>
      <c r="I2263" s="32"/>
      <c r="J2263" s="32"/>
      <c r="K2263" s="35"/>
      <c r="L2263" s="32"/>
      <c r="M2263" s="32"/>
    </row>
    <row r="2264" customFormat="false" ht="15" hidden="false" customHeight="true" outlineLevel="0" collapsed="false">
      <c r="A2264" s="32"/>
      <c r="B2264" s="32"/>
      <c r="C2264" s="32"/>
      <c r="D2264" s="32"/>
      <c r="E2264" s="34" t="str">
        <f aca="false">IF($B2264="","",IF($B2264="OUT","Liters",IFERROR(INDEX(Setup!$F$3:$F$24,MATCH($C2264,Setup!$A$3:$A$24,0)),"")))</f>
        <v/>
      </c>
      <c r="F2264" s="28" t="str">
        <f aca="false">IF(OR($D2264="",$E2264=""),"",IFERROR($D2264*INDEX(Setup!$B$27:$B$44,MATCH($E2264,Setup!$A$27:$A$44,0)),"TBD"))</f>
        <v/>
      </c>
      <c r="G2264" s="32"/>
      <c r="H2264" s="32"/>
      <c r="I2264" s="32"/>
      <c r="J2264" s="32"/>
      <c r="K2264" s="35"/>
      <c r="L2264" s="32"/>
      <c r="M2264" s="32"/>
    </row>
    <row r="2265" customFormat="false" ht="15" hidden="false" customHeight="true" outlineLevel="0" collapsed="false">
      <c r="A2265" s="32"/>
      <c r="B2265" s="32"/>
      <c r="C2265" s="32"/>
      <c r="D2265" s="32"/>
      <c r="E2265" s="34" t="str">
        <f aca="false">IF($B2265="","",IF($B2265="OUT","Liters",IFERROR(INDEX(Setup!$F$3:$F$24,MATCH($C2265,Setup!$A$3:$A$24,0)),"")))</f>
        <v/>
      </c>
      <c r="F2265" s="28" t="str">
        <f aca="false">IF(OR($D2265="",$E2265=""),"",IFERROR($D2265*INDEX(Setup!$B$27:$B$44,MATCH($E2265,Setup!$A$27:$A$44,0)),"TBD"))</f>
        <v/>
      </c>
      <c r="G2265" s="32"/>
      <c r="H2265" s="32"/>
      <c r="I2265" s="32"/>
      <c r="J2265" s="32"/>
      <c r="K2265" s="35"/>
      <c r="L2265" s="32"/>
      <c r="M2265" s="32"/>
    </row>
    <row r="2266" customFormat="false" ht="15" hidden="false" customHeight="true" outlineLevel="0" collapsed="false">
      <c r="A2266" s="32"/>
      <c r="B2266" s="32"/>
      <c r="C2266" s="32"/>
      <c r="D2266" s="32"/>
      <c r="E2266" s="34" t="str">
        <f aca="false">IF($B2266="","",IF($B2266="OUT","Liters",IFERROR(INDEX(Setup!$F$3:$F$24,MATCH($C2266,Setup!$A$3:$A$24,0)),"")))</f>
        <v/>
      </c>
      <c r="F2266" s="28" t="str">
        <f aca="false">IF(OR($D2266="",$E2266=""),"",IFERROR($D2266*INDEX(Setup!$B$27:$B$44,MATCH($E2266,Setup!$A$27:$A$44,0)),"TBD"))</f>
        <v/>
      </c>
      <c r="G2266" s="32"/>
      <c r="H2266" s="32"/>
      <c r="I2266" s="32"/>
      <c r="J2266" s="32"/>
      <c r="K2266" s="35"/>
      <c r="L2266" s="32"/>
      <c r="M2266" s="32"/>
    </row>
    <row r="2267" customFormat="false" ht="15" hidden="false" customHeight="true" outlineLevel="0" collapsed="false">
      <c r="A2267" s="32"/>
      <c r="B2267" s="32"/>
      <c r="C2267" s="32"/>
      <c r="D2267" s="32"/>
      <c r="E2267" s="34" t="str">
        <f aca="false">IF($B2267="","",IF($B2267="OUT","Liters",IFERROR(INDEX(Setup!$F$3:$F$24,MATCH($C2267,Setup!$A$3:$A$24,0)),"")))</f>
        <v/>
      </c>
      <c r="F2267" s="28" t="str">
        <f aca="false">IF(OR($D2267="",$E2267=""),"",IFERROR($D2267*INDEX(Setup!$B$27:$B$44,MATCH($E2267,Setup!$A$27:$A$44,0)),"TBD"))</f>
        <v/>
      </c>
      <c r="G2267" s="32"/>
      <c r="H2267" s="32"/>
      <c r="I2267" s="32"/>
      <c r="J2267" s="32"/>
      <c r="K2267" s="35"/>
      <c r="L2267" s="32"/>
      <c r="M2267" s="32"/>
    </row>
    <row r="2268" customFormat="false" ht="15" hidden="false" customHeight="true" outlineLevel="0" collapsed="false">
      <c r="A2268" s="32"/>
      <c r="B2268" s="32"/>
      <c r="C2268" s="32"/>
      <c r="D2268" s="32"/>
      <c r="E2268" s="34" t="str">
        <f aca="false">IF($B2268="","",IF($B2268="OUT","Liters",IFERROR(INDEX(Setup!$F$3:$F$24,MATCH($C2268,Setup!$A$3:$A$24,0)),"")))</f>
        <v/>
      </c>
      <c r="F2268" s="28" t="str">
        <f aca="false">IF(OR($D2268="",$E2268=""),"",IFERROR($D2268*INDEX(Setup!$B$27:$B$44,MATCH($E2268,Setup!$A$27:$A$44,0)),"TBD"))</f>
        <v/>
      </c>
      <c r="G2268" s="32"/>
      <c r="H2268" s="32"/>
      <c r="I2268" s="32"/>
      <c r="J2268" s="32"/>
      <c r="K2268" s="35"/>
      <c r="L2268" s="32"/>
      <c r="M2268" s="32"/>
    </row>
    <row r="2269" customFormat="false" ht="15" hidden="false" customHeight="true" outlineLevel="0" collapsed="false">
      <c r="A2269" s="32"/>
      <c r="B2269" s="32"/>
      <c r="C2269" s="32"/>
      <c r="D2269" s="32"/>
      <c r="E2269" s="34" t="str">
        <f aca="false">IF($B2269="","",IF($B2269="OUT","Liters",IFERROR(INDEX(Setup!$F$3:$F$24,MATCH($C2269,Setup!$A$3:$A$24,0)),"")))</f>
        <v/>
      </c>
      <c r="F2269" s="28" t="str">
        <f aca="false">IF(OR($D2269="",$E2269=""),"",IFERROR($D2269*INDEX(Setup!$B$27:$B$44,MATCH($E2269,Setup!$A$27:$A$44,0)),"TBD"))</f>
        <v/>
      </c>
      <c r="G2269" s="32"/>
      <c r="H2269" s="32"/>
      <c r="I2269" s="32"/>
      <c r="J2269" s="32"/>
      <c r="K2269" s="35"/>
      <c r="L2269" s="32"/>
      <c r="M2269" s="32"/>
    </row>
    <row r="2270" customFormat="false" ht="15" hidden="false" customHeight="true" outlineLevel="0" collapsed="false">
      <c r="A2270" s="32"/>
      <c r="B2270" s="32"/>
      <c r="C2270" s="32"/>
      <c r="D2270" s="32"/>
      <c r="E2270" s="34" t="str">
        <f aca="false">IF($B2270="","",IF($B2270="OUT","Liters",IFERROR(INDEX(Setup!$F$3:$F$24,MATCH($C2270,Setup!$A$3:$A$24,0)),"")))</f>
        <v/>
      </c>
      <c r="F2270" s="28" t="str">
        <f aca="false">IF(OR($D2270="",$E2270=""),"",IFERROR($D2270*INDEX(Setup!$B$27:$B$44,MATCH($E2270,Setup!$A$27:$A$44,0)),"TBD"))</f>
        <v/>
      </c>
      <c r="G2270" s="32"/>
      <c r="H2270" s="32"/>
      <c r="I2270" s="32"/>
      <c r="J2270" s="32"/>
      <c r="K2270" s="35"/>
      <c r="L2270" s="32"/>
      <c r="M2270" s="32"/>
    </row>
    <row r="2271" customFormat="false" ht="15" hidden="false" customHeight="true" outlineLevel="0" collapsed="false">
      <c r="A2271" s="32"/>
      <c r="B2271" s="32"/>
      <c r="C2271" s="32"/>
      <c r="D2271" s="32"/>
      <c r="E2271" s="34" t="str">
        <f aca="false">IF($B2271="","",IF($B2271="OUT","Liters",IFERROR(INDEX(Setup!$F$3:$F$24,MATCH($C2271,Setup!$A$3:$A$24,0)),"")))</f>
        <v/>
      </c>
      <c r="F2271" s="28" t="str">
        <f aca="false">IF(OR($D2271="",$E2271=""),"",IFERROR($D2271*INDEX(Setup!$B$27:$B$44,MATCH($E2271,Setup!$A$27:$A$44,0)),"TBD"))</f>
        <v/>
      </c>
      <c r="G2271" s="32"/>
      <c r="H2271" s="32"/>
      <c r="I2271" s="32"/>
      <c r="J2271" s="32"/>
      <c r="K2271" s="35"/>
      <c r="L2271" s="32"/>
      <c r="M2271" s="32"/>
    </row>
    <row r="2272" customFormat="false" ht="15" hidden="false" customHeight="true" outlineLevel="0" collapsed="false">
      <c r="A2272" s="32"/>
      <c r="B2272" s="32"/>
      <c r="C2272" s="32"/>
      <c r="D2272" s="32"/>
      <c r="E2272" s="34" t="str">
        <f aca="false">IF($B2272="","",IF($B2272="OUT","Liters",IFERROR(INDEX(Setup!$F$3:$F$24,MATCH($C2272,Setup!$A$3:$A$24,0)),"")))</f>
        <v/>
      </c>
      <c r="F2272" s="28" t="str">
        <f aca="false">IF(OR($D2272="",$E2272=""),"",IFERROR($D2272*INDEX(Setup!$B$27:$B$44,MATCH($E2272,Setup!$A$27:$A$44,0)),"TBD"))</f>
        <v/>
      </c>
      <c r="G2272" s="32"/>
      <c r="H2272" s="32"/>
      <c r="I2272" s="32"/>
      <c r="J2272" s="32"/>
      <c r="K2272" s="35"/>
      <c r="L2272" s="32"/>
      <c r="M2272" s="32"/>
    </row>
    <row r="2273" customFormat="false" ht="15" hidden="false" customHeight="true" outlineLevel="0" collapsed="false">
      <c r="A2273" s="32"/>
      <c r="B2273" s="32"/>
      <c r="C2273" s="32"/>
      <c r="D2273" s="32"/>
      <c r="E2273" s="34" t="str">
        <f aca="false">IF($B2273="","",IF($B2273="OUT","Liters",IFERROR(INDEX(Setup!$F$3:$F$24,MATCH($C2273,Setup!$A$3:$A$24,0)),"")))</f>
        <v/>
      </c>
      <c r="F2273" s="28" t="str">
        <f aca="false">IF(OR($D2273="",$E2273=""),"",IFERROR($D2273*INDEX(Setup!$B$27:$B$44,MATCH($E2273,Setup!$A$27:$A$44,0)),"TBD"))</f>
        <v/>
      </c>
      <c r="G2273" s="32"/>
      <c r="H2273" s="32"/>
      <c r="I2273" s="32"/>
      <c r="J2273" s="32"/>
      <c r="K2273" s="35"/>
      <c r="L2273" s="32"/>
      <c r="M2273" s="32"/>
    </row>
    <row r="2274" customFormat="false" ht="15" hidden="false" customHeight="true" outlineLevel="0" collapsed="false">
      <c r="A2274" s="32"/>
      <c r="B2274" s="32"/>
      <c r="C2274" s="32"/>
      <c r="D2274" s="32"/>
      <c r="E2274" s="34" t="str">
        <f aca="false">IF($B2274="","",IF($B2274="OUT","Liters",IFERROR(INDEX(Setup!$F$3:$F$24,MATCH($C2274,Setup!$A$3:$A$24,0)),"")))</f>
        <v/>
      </c>
      <c r="F2274" s="28" t="str">
        <f aca="false">IF(OR($D2274="",$E2274=""),"",IFERROR($D2274*INDEX(Setup!$B$27:$B$44,MATCH($E2274,Setup!$A$27:$A$44,0)),"TBD"))</f>
        <v/>
      </c>
      <c r="G2274" s="32"/>
      <c r="H2274" s="32"/>
      <c r="I2274" s="32"/>
      <c r="J2274" s="32"/>
      <c r="K2274" s="35"/>
      <c r="L2274" s="32"/>
      <c r="M2274" s="32"/>
    </row>
    <row r="2275" customFormat="false" ht="15" hidden="false" customHeight="true" outlineLevel="0" collapsed="false">
      <c r="A2275" s="32"/>
      <c r="B2275" s="32"/>
      <c r="C2275" s="32"/>
      <c r="D2275" s="32"/>
      <c r="E2275" s="34" t="str">
        <f aca="false">IF($B2275="","",IF($B2275="OUT","Liters",IFERROR(INDEX(Setup!$F$3:$F$24,MATCH($C2275,Setup!$A$3:$A$24,0)),"")))</f>
        <v/>
      </c>
      <c r="F2275" s="28" t="str">
        <f aca="false">IF(OR($D2275="",$E2275=""),"",IFERROR($D2275*INDEX(Setup!$B$27:$B$44,MATCH($E2275,Setup!$A$27:$A$44,0)),"TBD"))</f>
        <v/>
      </c>
      <c r="G2275" s="32"/>
      <c r="H2275" s="32"/>
      <c r="I2275" s="32"/>
      <c r="J2275" s="32"/>
      <c r="K2275" s="35"/>
      <c r="L2275" s="32"/>
      <c r="M2275" s="32"/>
    </row>
    <row r="2276" customFormat="false" ht="15" hidden="false" customHeight="true" outlineLevel="0" collapsed="false">
      <c r="A2276" s="32"/>
      <c r="B2276" s="32"/>
      <c r="C2276" s="32"/>
      <c r="D2276" s="32"/>
      <c r="E2276" s="34" t="str">
        <f aca="false">IF($B2276="","",IF($B2276="OUT","Liters",IFERROR(INDEX(Setup!$F$3:$F$24,MATCH($C2276,Setup!$A$3:$A$24,0)),"")))</f>
        <v/>
      </c>
      <c r="F2276" s="28" t="str">
        <f aca="false">IF(OR($D2276="",$E2276=""),"",IFERROR($D2276*INDEX(Setup!$B$27:$B$44,MATCH($E2276,Setup!$A$27:$A$44,0)),"TBD"))</f>
        <v/>
      </c>
      <c r="G2276" s="32"/>
      <c r="H2276" s="32"/>
      <c r="I2276" s="32"/>
      <c r="J2276" s="32"/>
      <c r="K2276" s="35"/>
      <c r="L2276" s="32"/>
      <c r="M2276" s="32"/>
    </row>
    <row r="2277" customFormat="false" ht="15" hidden="false" customHeight="true" outlineLevel="0" collapsed="false">
      <c r="A2277" s="32"/>
      <c r="B2277" s="32"/>
      <c r="C2277" s="32"/>
      <c r="D2277" s="32"/>
      <c r="E2277" s="34" t="str">
        <f aca="false">IF($B2277="","",IF($B2277="OUT","Liters",IFERROR(INDEX(Setup!$F$3:$F$24,MATCH($C2277,Setup!$A$3:$A$24,0)),"")))</f>
        <v/>
      </c>
      <c r="F2277" s="28" t="str">
        <f aca="false">IF(OR($D2277="",$E2277=""),"",IFERROR($D2277*INDEX(Setup!$B$27:$B$44,MATCH($E2277,Setup!$A$27:$A$44,0)),"TBD"))</f>
        <v/>
      </c>
      <c r="G2277" s="32"/>
      <c r="H2277" s="32"/>
      <c r="I2277" s="32"/>
      <c r="J2277" s="32"/>
      <c r="K2277" s="35"/>
      <c r="L2277" s="32"/>
      <c r="M2277" s="32"/>
    </row>
    <row r="2278" customFormat="false" ht="15" hidden="false" customHeight="true" outlineLevel="0" collapsed="false">
      <c r="A2278" s="32"/>
      <c r="B2278" s="32"/>
      <c r="C2278" s="32"/>
      <c r="D2278" s="32"/>
      <c r="E2278" s="34" t="str">
        <f aca="false">IF($B2278="","",IF($B2278="OUT","Liters",IFERROR(INDEX(Setup!$F$3:$F$24,MATCH($C2278,Setup!$A$3:$A$24,0)),"")))</f>
        <v/>
      </c>
      <c r="F2278" s="28" t="str">
        <f aca="false">IF(OR($D2278="",$E2278=""),"",IFERROR($D2278*INDEX(Setup!$B$27:$B$44,MATCH($E2278,Setup!$A$27:$A$44,0)),"TBD"))</f>
        <v/>
      </c>
      <c r="G2278" s="32"/>
      <c r="H2278" s="32"/>
      <c r="I2278" s="32"/>
      <c r="J2278" s="32"/>
      <c r="K2278" s="35"/>
      <c r="L2278" s="32"/>
      <c r="M2278" s="32"/>
    </row>
    <row r="2279" customFormat="false" ht="15" hidden="false" customHeight="true" outlineLevel="0" collapsed="false">
      <c r="A2279" s="32"/>
      <c r="B2279" s="32"/>
      <c r="C2279" s="32"/>
      <c r="D2279" s="32"/>
      <c r="E2279" s="34" t="str">
        <f aca="false">IF($B2279="","",IF($B2279="OUT","Liters",IFERROR(INDEX(Setup!$F$3:$F$24,MATCH($C2279,Setup!$A$3:$A$24,0)),"")))</f>
        <v/>
      </c>
      <c r="F2279" s="28" t="str">
        <f aca="false">IF(OR($D2279="",$E2279=""),"",IFERROR($D2279*INDEX(Setup!$B$27:$B$44,MATCH($E2279,Setup!$A$27:$A$44,0)),"TBD"))</f>
        <v/>
      </c>
      <c r="G2279" s="32"/>
      <c r="H2279" s="32"/>
      <c r="I2279" s="32"/>
      <c r="J2279" s="32"/>
      <c r="K2279" s="35"/>
      <c r="L2279" s="32"/>
      <c r="M2279" s="32"/>
    </row>
    <row r="2280" customFormat="false" ht="15" hidden="false" customHeight="true" outlineLevel="0" collapsed="false">
      <c r="A2280" s="32"/>
      <c r="B2280" s="32"/>
      <c r="C2280" s="32"/>
      <c r="D2280" s="32"/>
      <c r="E2280" s="34" t="str">
        <f aca="false">IF($B2280="","",IF($B2280="OUT","Liters",IFERROR(INDEX(Setup!$F$3:$F$24,MATCH($C2280,Setup!$A$3:$A$24,0)),"")))</f>
        <v/>
      </c>
      <c r="F2280" s="28" t="str">
        <f aca="false">IF(OR($D2280="",$E2280=""),"",IFERROR($D2280*INDEX(Setup!$B$27:$B$44,MATCH($E2280,Setup!$A$27:$A$44,0)),"TBD"))</f>
        <v/>
      </c>
      <c r="G2280" s="32"/>
      <c r="H2280" s="32"/>
      <c r="I2280" s="32"/>
      <c r="J2280" s="32"/>
      <c r="K2280" s="35"/>
      <c r="L2280" s="32"/>
      <c r="M2280" s="32"/>
    </row>
    <row r="2281" customFormat="false" ht="15" hidden="false" customHeight="true" outlineLevel="0" collapsed="false">
      <c r="A2281" s="32"/>
      <c r="B2281" s="32"/>
      <c r="C2281" s="32"/>
      <c r="D2281" s="32"/>
      <c r="E2281" s="34" t="str">
        <f aca="false">IF($B2281="","",IF($B2281="OUT","Liters",IFERROR(INDEX(Setup!$F$3:$F$24,MATCH($C2281,Setup!$A$3:$A$24,0)),"")))</f>
        <v/>
      </c>
      <c r="F2281" s="28" t="str">
        <f aca="false">IF(OR($D2281="",$E2281=""),"",IFERROR($D2281*INDEX(Setup!$B$27:$B$44,MATCH($E2281,Setup!$A$27:$A$44,0)),"TBD"))</f>
        <v/>
      </c>
      <c r="G2281" s="32"/>
      <c r="H2281" s="32"/>
      <c r="I2281" s="32"/>
      <c r="J2281" s="32"/>
      <c r="K2281" s="35"/>
      <c r="L2281" s="32"/>
      <c r="M2281" s="32"/>
    </row>
    <row r="2282" customFormat="false" ht="15" hidden="false" customHeight="true" outlineLevel="0" collapsed="false">
      <c r="A2282" s="32"/>
      <c r="B2282" s="32"/>
      <c r="C2282" s="32"/>
      <c r="D2282" s="32"/>
      <c r="E2282" s="34" t="str">
        <f aca="false">IF($B2282="","",IF($B2282="OUT","Liters",IFERROR(INDEX(Setup!$F$3:$F$24,MATCH($C2282,Setup!$A$3:$A$24,0)),"")))</f>
        <v/>
      </c>
      <c r="F2282" s="28" t="str">
        <f aca="false">IF(OR($D2282="",$E2282=""),"",IFERROR($D2282*INDEX(Setup!$B$27:$B$44,MATCH($E2282,Setup!$A$27:$A$44,0)),"TBD"))</f>
        <v/>
      </c>
      <c r="G2282" s="32"/>
      <c r="H2282" s="32"/>
      <c r="I2282" s="32"/>
      <c r="J2282" s="32"/>
      <c r="K2282" s="35"/>
      <c r="L2282" s="32"/>
      <c r="M2282" s="32"/>
    </row>
    <row r="2283" customFormat="false" ht="15" hidden="false" customHeight="true" outlineLevel="0" collapsed="false">
      <c r="A2283" s="32"/>
      <c r="B2283" s="32"/>
      <c r="C2283" s="32"/>
      <c r="D2283" s="32"/>
      <c r="E2283" s="34" t="str">
        <f aca="false">IF($B2283="","",IF($B2283="OUT","Liters",IFERROR(INDEX(Setup!$F$3:$F$24,MATCH($C2283,Setup!$A$3:$A$24,0)),"")))</f>
        <v/>
      </c>
      <c r="F2283" s="28" t="str">
        <f aca="false">IF(OR($D2283="",$E2283=""),"",IFERROR($D2283*INDEX(Setup!$B$27:$B$44,MATCH($E2283,Setup!$A$27:$A$44,0)),"TBD"))</f>
        <v/>
      </c>
      <c r="G2283" s="32"/>
      <c r="H2283" s="32"/>
      <c r="I2283" s="32"/>
      <c r="J2283" s="32"/>
      <c r="K2283" s="35"/>
      <c r="L2283" s="32"/>
      <c r="M2283" s="32"/>
    </row>
    <row r="2284" customFormat="false" ht="15" hidden="false" customHeight="true" outlineLevel="0" collapsed="false">
      <c r="A2284" s="32"/>
      <c r="B2284" s="32"/>
      <c r="C2284" s="32"/>
      <c r="D2284" s="32"/>
      <c r="E2284" s="34" t="str">
        <f aca="false">IF($B2284="","",IF($B2284="OUT","Liters",IFERROR(INDEX(Setup!$F$3:$F$24,MATCH($C2284,Setup!$A$3:$A$24,0)),"")))</f>
        <v/>
      </c>
      <c r="F2284" s="28" t="str">
        <f aca="false">IF(OR($D2284="",$E2284=""),"",IFERROR($D2284*INDEX(Setup!$B$27:$B$44,MATCH($E2284,Setup!$A$27:$A$44,0)),"TBD"))</f>
        <v/>
      </c>
      <c r="G2284" s="32"/>
      <c r="H2284" s="32"/>
      <c r="I2284" s="32"/>
      <c r="J2284" s="32"/>
      <c r="K2284" s="35"/>
      <c r="L2284" s="32"/>
      <c r="M2284" s="32"/>
    </row>
    <row r="2285" customFormat="false" ht="15" hidden="false" customHeight="true" outlineLevel="0" collapsed="false">
      <c r="A2285" s="32"/>
      <c r="B2285" s="32"/>
      <c r="C2285" s="32"/>
      <c r="D2285" s="32"/>
      <c r="E2285" s="34" t="str">
        <f aca="false">IF($B2285="","",IF($B2285="OUT","Liters",IFERROR(INDEX(Setup!$F$3:$F$24,MATCH($C2285,Setup!$A$3:$A$24,0)),"")))</f>
        <v/>
      </c>
      <c r="F2285" s="28" t="str">
        <f aca="false">IF(OR($D2285="",$E2285=""),"",IFERROR($D2285*INDEX(Setup!$B$27:$B$44,MATCH($E2285,Setup!$A$27:$A$44,0)),"TBD"))</f>
        <v/>
      </c>
      <c r="G2285" s="32"/>
      <c r="H2285" s="32"/>
      <c r="I2285" s="32"/>
      <c r="J2285" s="32"/>
      <c r="K2285" s="35"/>
      <c r="L2285" s="32"/>
      <c r="M2285" s="32"/>
    </row>
    <row r="2286" customFormat="false" ht="15" hidden="false" customHeight="true" outlineLevel="0" collapsed="false">
      <c r="A2286" s="32"/>
      <c r="B2286" s="32"/>
      <c r="C2286" s="32"/>
      <c r="D2286" s="32"/>
      <c r="E2286" s="34" t="str">
        <f aca="false">IF($B2286="","",IF($B2286="OUT","Liters",IFERROR(INDEX(Setup!$F$3:$F$24,MATCH($C2286,Setup!$A$3:$A$24,0)),"")))</f>
        <v/>
      </c>
      <c r="F2286" s="28" t="str">
        <f aca="false">IF(OR($D2286="",$E2286=""),"",IFERROR($D2286*INDEX(Setup!$B$27:$B$44,MATCH($E2286,Setup!$A$27:$A$44,0)),"TBD"))</f>
        <v/>
      </c>
      <c r="G2286" s="32"/>
      <c r="H2286" s="32"/>
      <c r="I2286" s="32"/>
      <c r="J2286" s="32"/>
      <c r="K2286" s="35"/>
      <c r="L2286" s="32"/>
      <c r="M2286" s="32"/>
    </row>
    <row r="2287" customFormat="false" ht="15" hidden="false" customHeight="true" outlineLevel="0" collapsed="false">
      <c r="A2287" s="32"/>
      <c r="B2287" s="32"/>
      <c r="C2287" s="32"/>
      <c r="D2287" s="32"/>
      <c r="E2287" s="34" t="str">
        <f aca="false">IF($B2287="","",IF($B2287="OUT","Liters",IFERROR(INDEX(Setup!$F$3:$F$24,MATCH($C2287,Setup!$A$3:$A$24,0)),"")))</f>
        <v/>
      </c>
      <c r="F2287" s="28" t="str">
        <f aca="false">IF(OR($D2287="",$E2287=""),"",IFERROR($D2287*INDEX(Setup!$B$27:$B$44,MATCH($E2287,Setup!$A$27:$A$44,0)),"TBD"))</f>
        <v/>
      </c>
      <c r="G2287" s="32"/>
      <c r="H2287" s="32"/>
      <c r="I2287" s="32"/>
      <c r="J2287" s="32"/>
      <c r="K2287" s="35"/>
      <c r="L2287" s="32"/>
      <c r="M2287" s="32"/>
    </row>
    <row r="2288" customFormat="false" ht="15" hidden="false" customHeight="true" outlineLevel="0" collapsed="false">
      <c r="A2288" s="32"/>
      <c r="B2288" s="32"/>
      <c r="C2288" s="32"/>
      <c r="D2288" s="32"/>
      <c r="E2288" s="34" t="str">
        <f aca="false">IF($B2288="","",IF($B2288="OUT","Liters",IFERROR(INDEX(Setup!$F$3:$F$24,MATCH($C2288,Setup!$A$3:$A$24,0)),"")))</f>
        <v/>
      </c>
      <c r="F2288" s="28" t="str">
        <f aca="false">IF(OR($D2288="",$E2288=""),"",IFERROR($D2288*INDEX(Setup!$B$27:$B$44,MATCH($E2288,Setup!$A$27:$A$44,0)),"TBD"))</f>
        <v/>
      </c>
      <c r="G2288" s="32"/>
      <c r="H2288" s="32"/>
      <c r="I2288" s="32"/>
      <c r="J2288" s="32"/>
      <c r="K2288" s="35"/>
      <c r="L2288" s="32"/>
      <c r="M2288" s="32"/>
    </row>
    <row r="2289" customFormat="false" ht="15" hidden="false" customHeight="true" outlineLevel="0" collapsed="false">
      <c r="A2289" s="32"/>
      <c r="B2289" s="32"/>
      <c r="C2289" s="32"/>
      <c r="D2289" s="32"/>
      <c r="E2289" s="34" t="str">
        <f aca="false">IF($B2289="","",IF($B2289="OUT","Liters",IFERROR(INDEX(Setup!$F$3:$F$24,MATCH($C2289,Setup!$A$3:$A$24,0)),"")))</f>
        <v/>
      </c>
      <c r="F2289" s="28" t="str">
        <f aca="false">IF(OR($D2289="",$E2289=""),"",IFERROR($D2289*INDEX(Setup!$B$27:$B$44,MATCH($E2289,Setup!$A$27:$A$44,0)),"TBD"))</f>
        <v/>
      </c>
      <c r="G2289" s="32"/>
      <c r="H2289" s="32"/>
      <c r="I2289" s="32"/>
      <c r="J2289" s="32"/>
      <c r="K2289" s="35"/>
      <c r="L2289" s="32"/>
      <c r="M2289" s="32"/>
    </row>
    <row r="2290" customFormat="false" ht="15" hidden="false" customHeight="true" outlineLevel="0" collapsed="false">
      <c r="A2290" s="32"/>
      <c r="B2290" s="32"/>
      <c r="C2290" s="32"/>
      <c r="D2290" s="32"/>
      <c r="E2290" s="34" t="str">
        <f aca="false">IF($B2290="","",IF($B2290="OUT","Liters",IFERROR(INDEX(Setup!$F$3:$F$24,MATCH($C2290,Setup!$A$3:$A$24,0)),"")))</f>
        <v/>
      </c>
      <c r="F2290" s="28" t="str">
        <f aca="false">IF(OR($D2290="",$E2290=""),"",IFERROR($D2290*INDEX(Setup!$B$27:$B$44,MATCH($E2290,Setup!$A$27:$A$44,0)),"TBD"))</f>
        <v/>
      </c>
      <c r="G2290" s="32"/>
      <c r="H2290" s="32"/>
      <c r="I2290" s="32"/>
      <c r="J2290" s="32"/>
      <c r="K2290" s="35"/>
      <c r="L2290" s="32"/>
      <c r="M2290" s="32"/>
    </row>
    <row r="2291" customFormat="false" ht="15" hidden="false" customHeight="true" outlineLevel="0" collapsed="false">
      <c r="A2291" s="32"/>
      <c r="B2291" s="32"/>
      <c r="C2291" s="32"/>
      <c r="D2291" s="32"/>
      <c r="E2291" s="34" t="str">
        <f aca="false">IF($B2291="","",IF($B2291="OUT","Liters",IFERROR(INDEX(Setup!$F$3:$F$24,MATCH($C2291,Setup!$A$3:$A$24,0)),"")))</f>
        <v/>
      </c>
      <c r="F2291" s="28" t="str">
        <f aca="false">IF(OR($D2291="",$E2291=""),"",IFERROR($D2291*INDEX(Setup!$B$27:$B$44,MATCH($E2291,Setup!$A$27:$A$44,0)),"TBD"))</f>
        <v/>
      </c>
      <c r="G2291" s="32"/>
      <c r="H2291" s="32"/>
      <c r="I2291" s="32"/>
      <c r="J2291" s="32"/>
      <c r="K2291" s="35"/>
      <c r="L2291" s="32"/>
      <c r="M2291" s="32"/>
    </row>
    <row r="2292" customFormat="false" ht="15" hidden="false" customHeight="true" outlineLevel="0" collapsed="false">
      <c r="A2292" s="32"/>
      <c r="B2292" s="32"/>
      <c r="C2292" s="32"/>
      <c r="D2292" s="32"/>
      <c r="E2292" s="34" t="str">
        <f aca="false">IF($B2292="","",IF($B2292="OUT","Liters",IFERROR(INDEX(Setup!$F$3:$F$24,MATCH($C2292,Setup!$A$3:$A$24,0)),"")))</f>
        <v/>
      </c>
      <c r="F2292" s="28" t="str">
        <f aca="false">IF(OR($D2292="",$E2292=""),"",IFERROR($D2292*INDEX(Setup!$B$27:$B$44,MATCH($E2292,Setup!$A$27:$A$44,0)),"TBD"))</f>
        <v/>
      </c>
      <c r="G2292" s="32"/>
      <c r="H2292" s="32"/>
      <c r="I2292" s="32"/>
      <c r="J2292" s="32"/>
      <c r="K2292" s="35"/>
      <c r="L2292" s="32"/>
      <c r="M2292" s="32"/>
    </row>
    <row r="2293" customFormat="false" ht="15" hidden="false" customHeight="true" outlineLevel="0" collapsed="false">
      <c r="A2293" s="32"/>
      <c r="B2293" s="32"/>
      <c r="C2293" s="32"/>
      <c r="D2293" s="32"/>
      <c r="E2293" s="34" t="str">
        <f aca="false">IF($B2293="","",IF($B2293="OUT","Liters",IFERROR(INDEX(Setup!$F$3:$F$24,MATCH($C2293,Setup!$A$3:$A$24,0)),"")))</f>
        <v/>
      </c>
      <c r="F2293" s="28" t="str">
        <f aca="false">IF(OR($D2293="",$E2293=""),"",IFERROR($D2293*INDEX(Setup!$B$27:$B$44,MATCH($E2293,Setup!$A$27:$A$44,0)),"TBD"))</f>
        <v/>
      </c>
      <c r="G2293" s="32"/>
      <c r="H2293" s="32"/>
      <c r="I2293" s="32"/>
      <c r="J2293" s="32"/>
      <c r="K2293" s="35"/>
      <c r="L2293" s="32"/>
      <c r="M2293" s="32"/>
    </row>
    <row r="2294" customFormat="false" ht="15" hidden="false" customHeight="true" outlineLevel="0" collapsed="false">
      <c r="A2294" s="32"/>
      <c r="B2294" s="32"/>
      <c r="C2294" s="32"/>
      <c r="D2294" s="32"/>
      <c r="E2294" s="34" t="str">
        <f aca="false">IF($B2294="","",IF($B2294="OUT","Liters",IFERROR(INDEX(Setup!$F$3:$F$24,MATCH($C2294,Setup!$A$3:$A$24,0)),"")))</f>
        <v/>
      </c>
      <c r="F2294" s="28" t="str">
        <f aca="false">IF(OR($D2294="",$E2294=""),"",IFERROR($D2294*INDEX(Setup!$B$27:$B$44,MATCH($E2294,Setup!$A$27:$A$44,0)),"TBD"))</f>
        <v/>
      </c>
      <c r="G2294" s="32"/>
      <c r="H2294" s="32"/>
      <c r="I2294" s="32"/>
      <c r="J2294" s="32"/>
      <c r="K2294" s="35"/>
      <c r="L2294" s="32"/>
      <c r="M2294" s="32"/>
    </row>
    <row r="2295" customFormat="false" ht="15" hidden="false" customHeight="true" outlineLevel="0" collapsed="false">
      <c r="A2295" s="32"/>
      <c r="B2295" s="32"/>
      <c r="C2295" s="32"/>
      <c r="D2295" s="32"/>
      <c r="E2295" s="34" t="str">
        <f aca="false">IF($B2295="","",IF($B2295="OUT","Liters",IFERROR(INDEX(Setup!$F$3:$F$24,MATCH($C2295,Setup!$A$3:$A$24,0)),"")))</f>
        <v/>
      </c>
      <c r="F2295" s="28" t="str">
        <f aca="false">IF(OR($D2295="",$E2295=""),"",IFERROR($D2295*INDEX(Setup!$B$27:$B$44,MATCH($E2295,Setup!$A$27:$A$44,0)),"TBD"))</f>
        <v/>
      </c>
      <c r="G2295" s="32"/>
      <c r="H2295" s="32"/>
      <c r="I2295" s="32"/>
      <c r="J2295" s="32"/>
      <c r="K2295" s="35"/>
      <c r="L2295" s="32"/>
      <c r="M2295" s="32"/>
    </row>
    <row r="2296" customFormat="false" ht="15" hidden="false" customHeight="true" outlineLevel="0" collapsed="false">
      <c r="A2296" s="32"/>
      <c r="B2296" s="32"/>
      <c r="C2296" s="32"/>
      <c r="D2296" s="32"/>
      <c r="E2296" s="34" t="str">
        <f aca="false">IF($B2296="","",IF($B2296="OUT","Liters",IFERROR(INDEX(Setup!$F$3:$F$24,MATCH($C2296,Setup!$A$3:$A$24,0)),"")))</f>
        <v/>
      </c>
      <c r="F2296" s="28" t="str">
        <f aca="false">IF(OR($D2296="",$E2296=""),"",IFERROR($D2296*INDEX(Setup!$B$27:$B$44,MATCH($E2296,Setup!$A$27:$A$44,0)),"TBD"))</f>
        <v/>
      </c>
      <c r="G2296" s="32"/>
      <c r="H2296" s="32"/>
      <c r="I2296" s="32"/>
      <c r="J2296" s="32"/>
      <c r="K2296" s="35"/>
      <c r="L2296" s="32"/>
      <c r="M2296" s="32"/>
    </row>
    <row r="2297" customFormat="false" ht="15" hidden="false" customHeight="true" outlineLevel="0" collapsed="false">
      <c r="A2297" s="32"/>
      <c r="B2297" s="32"/>
      <c r="C2297" s="32"/>
      <c r="D2297" s="32"/>
      <c r="E2297" s="34" t="str">
        <f aca="false">IF($B2297="","",IF($B2297="OUT","Liters",IFERROR(INDEX(Setup!$F$3:$F$24,MATCH($C2297,Setup!$A$3:$A$24,0)),"")))</f>
        <v/>
      </c>
      <c r="F2297" s="28" t="str">
        <f aca="false">IF(OR($D2297="",$E2297=""),"",IFERROR($D2297*INDEX(Setup!$B$27:$B$44,MATCH($E2297,Setup!$A$27:$A$44,0)),"TBD"))</f>
        <v/>
      </c>
      <c r="G2297" s="32"/>
      <c r="H2297" s="32"/>
      <c r="I2297" s="32"/>
      <c r="J2297" s="32"/>
      <c r="K2297" s="35"/>
      <c r="L2297" s="32"/>
      <c r="M2297" s="32"/>
    </row>
    <row r="2298" customFormat="false" ht="15" hidden="false" customHeight="true" outlineLevel="0" collapsed="false">
      <c r="A2298" s="32"/>
      <c r="B2298" s="32"/>
      <c r="C2298" s="32"/>
      <c r="D2298" s="32"/>
      <c r="E2298" s="34" t="str">
        <f aca="false">IF($B2298="","",IF($B2298="OUT","Liters",IFERROR(INDEX(Setup!$F$3:$F$24,MATCH($C2298,Setup!$A$3:$A$24,0)),"")))</f>
        <v/>
      </c>
      <c r="F2298" s="28" t="str">
        <f aca="false">IF(OR($D2298="",$E2298=""),"",IFERROR($D2298*INDEX(Setup!$B$27:$B$44,MATCH($E2298,Setup!$A$27:$A$44,0)),"TBD"))</f>
        <v/>
      </c>
      <c r="G2298" s="32"/>
      <c r="H2298" s="32"/>
      <c r="I2298" s="32"/>
      <c r="J2298" s="32"/>
      <c r="K2298" s="35"/>
      <c r="L2298" s="32"/>
      <c r="M2298" s="32"/>
    </row>
    <row r="2299" customFormat="false" ht="15" hidden="false" customHeight="true" outlineLevel="0" collapsed="false">
      <c r="A2299" s="32"/>
      <c r="B2299" s="32"/>
      <c r="C2299" s="32"/>
      <c r="D2299" s="32"/>
      <c r="E2299" s="34" t="str">
        <f aca="false">IF($B2299="","",IF($B2299="OUT","Liters",IFERROR(INDEX(Setup!$F$3:$F$24,MATCH($C2299,Setup!$A$3:$A$24,0)),"")))</f>
        <v/>
      </c>
      <c r="F2299" s="28" t="str">
        <f aca="false">IF(OR($D2299="",$E2299=""),"",IFERROR($D2299*INDEX(Setup!$B$27:$B$44,MATCH($E2299,Setup!$A$27:$A$44,0)),"TBD"))</f>
        <v/>
      </c>
      <c r="G2299" s="32"/>
      <c r="H2299" s="32"/>
      <c r="I2299" s="32"/>
      <c r="J2299" s="32"/>
      <c r="K2299" s="35"/>
      <c r="L2299" s="32"/>
      <c r="M2299" s="32"/>
    </row>
    <row r="2300" customFormat="false" ht="15" hidden="false" customHeight="true" outlineLevel="0" collapsed="false">
      <c r="A2300" s="32"/>
      <c r="B2300" s="32"/>
      <c r="C2300" s="32"/>
      <c r="D2300" s="32"/>
      <c r="E2300" s="34" t="str">
        <f aca="false">IF($B2300="","",IF($B2300="OUT","Liters",IFERROR(INDEX(Setup!$F$3:$F$24,MATCH($C2300,Setup!$A$3:$A$24,0)),"")))</f>
        <v/>
      </c>
      <c r="F2300" s="28" t="str">
        <f aca="false">IF(OR($D2300="",$E2300=""),"",IFERROR($D2300*INDEX(Setup!$B$27:$B$44,MATCH($E2300,Setup!$A$27:$A$44,0)),"TBD"))</f>
        <v/>
      </c>
      <c r="G2300" s="32"/>
      <c r="H2300" s="32"/>
      <c r="I2300" s="32"/>
      <c r="J2300" s="32"/>
      <c r="K2300" s="35"/>
      <c r="L2300" s="32"/>
      <c r="M2300" s="32"/>
    </row>
    <row r="2301" customFormat="false" ht="15" hidden="false" customHeight="true" outlineLevel="0" collapsed="false">
      <c r="A2301" s="32"/>
      <c r="B2301" s="32"/>
      <c r="C2301" s="32"/>
      <c r="D2301" s="32"/>
      <c r="E2301" s="34" t="str">
        <f aca="false">IF($B2301="","",IF($B2301="OUT","Liters",IFERROR(INDEX(Setup!$F$3:$F$24,MATCH($C2301,Setup!$A$3:$A$24,0)),"")))</f>
        <v/>
      </c>
      <c r="F2301" s="28" t="str">
        <f aca="false">IF(OR($D2301="",$E2301=""),"",IFERROR($D2301*INDEX(Setup!$B$27:$B$44,MATCH($E2301,Setup!$A$27:$A$44,0)),"TBD"))</f>
        <v/>
      </c>
      <c r="G2301" s="32"/>
      <c r="H2301" s="32"/>
      <c r="I2301" s="32"/>
      <c r="J2301" s="32"/>
      <c r="K2301" s="35"/>
      <c r="L2301" s="32"/>
      <c r="M2301" s="32"/>
    </row>
    <row r="2302" customFormat="false" ht="15" hidden="false" customHeight="true" outlineLevel="0" collapsed="false">
      <c r="A2302" s="32"/>
      <c r="B2302" s="32"/>
      <c r="C2302" s="32"/>
      <c r="D2302" s="32"/>
      <c r="E2302" s="34" t="str">
        <f aca="false">IF($B2302="","",IF($B2302="OUT","Liters",IFERROR(INDEX(Setup!$F$3:$F$24,MATCH($C2302,Setup!$A$3:$A$24,0)),"")))</f>
        <v/>
      </c>
      <c r="F2302" s="28" t="str">
        <f aca="false">IF(OR($D2302="",$E2302=""),"",IFERROR($D2302*INDEX(Setup!$B$27:$B$44,MATCH($E2302,Setup!$A$27:$A$44,0)),"TBD"))</f>
        <v/>
      </c>
      <c r="G2302" s="32"/>
      <c r="H2302" s="32"/>
      <c r="I2302" s="32"/>
      <c r="J2302" s="32"/>
      <c r="K2302" s="35"/>
      <c r="L2302" s="32"/>
      <c r="M2302" s="32"/>
    </row>
    <row r="2303" customFormat="false" ht="15" hidden="false" customHeight="true" outlineLevel="0" collapsed="false">
      <c r="A2303" s="32"/>
      <c r="B2303" s="32"/>
      <c r="C2303" s="32"/>
      <c r="D2303" s="32"/>
      <c r="E2303" s="34" t="str">
        <f aca="false">IF($B2303="","",IF($B2303="OUT","Liters",IFERROR(INDEX(Setup!$F$3:$F$24,MATCH($C2303,Setup!$A$3:$A$24,0)),"")))</f>
        <v/>
      </c>
      <c r="F2303" s="28" t="str">
        <f aca="false">IF(OR($D2303="",$E2303=""),"",IFERROR($D2303*INDEX(Setup!$B$27:$B$44,MATCH($E2303,Setup!$A$27:$A$44,0)),"TBD"))</f>
        <v/>
      </c>
      <c r="G2303" s="32"/>
      <c r="H2303" s="32"/>
      <c r="I2303" s="32"/>
      <c r="J2303" s="32"/>
      <c r="K2303" s="35"/>
      <c r="L2303" s="32"/>
      <c r="M2303" s="32"/>
    </row>
    <row r="2304" customFormat="false" ht="15" hidden="false" customHeight="true" outlineLevel="0" collapsed="false">
      <c r="A2304" s="32"/>
      <c r="B2304" s="32"/>
      <c r="C2304" s="32"/>
      <c r="D2304" s="32"/>
      <c r="E2304" s="34" t="str">
        <f aca="false">IF($B2304="","",IF($B2304="OUT","Liters",IFERROR(INDEX(Setup!$F$3:$F$24,MATCH($C2304,Setup!$A$3:$A$24,0)),"")))</f>
        <v/>
      </c>
      <c r="F2304" s="28" t="str">
        <f aca="false">IF(OR($D2304="",$E2304=""),"",IFERROR($D2304*INDEX(Setup!$B$27:$B$44,MATCH($E2304,Setup!$A$27:$A$44,0)),"TBD"))</f>
        <v/>
      </c>
      <c r="G2304" s="32"/>
      <c r="H2304" s="32"/>
      <c r="I2304" s="32"/>
      <c r="J2304" s="32"/>
      <c r="K2304" s="35"/>
      <c r="L2304" s="32"/>
      <c r="M2304" s="32"/>
    </row>
    <row r="2305" customFormat="false" ht="15" hidden="false" customHeight="true" outlineLevel="0" collapsed="false">
      <c r="A2305" s="32"/>
      <c r="B2305" s="32"/>
      <c r="C2305" s="32"/>
      <c r="D2305" s="32"/>
      <c r="E2305" s="34" t="str">
        <f aca="false">IF($B2305="","",IF($B2305="OUT","Liters",IFERROR(INDEX(Setup!$F$3:$F$24,MATCH($C2305,Setup!$A$3:$A$24,0)),"")))</f>
        <v/>
      </c>
      <c r="F2305" s="28" t="str">
        <f aca="false">IF(OR($D2305="",$E2305=""),"",IFERROR($D2305*INDEX(Setup!$B$27:$B$44,MATCH($E2305,Setup!$A$27:$A$44,0)),"TBD"))</f>
        <v/>
      </c>
      <c r="G2305" s="32"/>
      <c r="H2305" s="32"/>
      <c r="I2305" s="32"/>
      <c r="J2305" s="32"/>
      <c r="K2305" s="35"/>
      <c r="L2305" s="32"/>
      <c r="M2305" s="32"/>
    </row>
    <row r="2306" customFormat="false" ht="15" hidden="false" customHeight="true" outlineLevel="0" collapsed="false">
      <c r="A2306" s="32"/>
      <c r="B2306" s="32"/>
      <c r="C2306" s="32"/>
      <c r="D2306" s="32"/>
      <c r="E2306" s="34" t="str">
        <f aca="false">IF($B2306="","",IF($B2306="OUT","Liters",IFERROR(INDEX(Setup!$F$3:$F$24,MATCH($C2306,Setup!$A$3:$A$24,0)),"")))</f>
        <v/>
      </c>
      <c r="F2306" s="28" t="str">
        <f aca="false">IF(OR($D2306="",$E2306=""),"",IFERROR($D2306*INDEX(Setup!$B$27:$B$44,MATCH($E2306,Setup!$A$27:$A$44,0)),"TBD"))</f>
        <v/>
      </c>
      <c r="G2306" s="32"/>
      <c r="H2306" s="32"/>
      <c r="I2306" s="32"/>
      <c r="J2306" s="32"/>
      <c r="K2306" s="35"/>
      <c r="L2306" s="32"/>
      <c r="M2306" s="32"/>
    </row>
    <row r="2307" customFormat="false" ht="15" hidden="false" customHeight="true" outlineLevel="0" collapsed="false">
      <c r="A2307" s="32"/>
      <c r="B2307" s="32"/>
      <c r="C2307" s="32"/>
      <c r="D2307" s="32"/>
      <c r="E2307" s="34" t="str">
        <f aca="false">IF($B2307="","",IF($B2307="OUT","Liters",IFERROR(INDEX(Setup!$F$3:$F$24,MATCH($C2307,Setup!$A$3:$A$24,0)),"")))</f>
        <v/>
      </c>
      <c r="F2307" s="28" t="str">
        <f aca="false">IF(OR($D2307="",$E2307=""),"",IFERROR($D2307*INDEX(Setup!$B$27:$B$44,MATCH($E2307,Setup!$A$27:$A$44,0)),"TBD"))</f>
        <v/>
      </c>
      <c r="G2307" s="32"/>
      <c r="H2307" s="32"/>
      <c r="I2307" s="32"/>
      <c r="J2307" s="32"/>
      <c r="K2307" s="35"/>
      <c r="L2307" s="32"/>
      <c r="M2307" s="32"/>
    </row>
    <row r="2308" customFormat="false" ht="15" hidden="false" customHeight="true" outlineLevel="0" collapsed="false">
      <c r="A2308" s="32"/>
      <c r="B2308" s="32"/>
      <c r="C2308" s="32"/>
      <c r="D2308" s="32"/>
      <c r="E2308" s="34" t="str">
        <f aca="false">IF($B2308="","",IF($B2308="OUT","Liters",IFERROR(INDEX(Setup!$F$3:$F$24,MATCH($C2308,Setup!$A$3:$A$24,0)),"")))</f>
        <v/>
      </c>
      <c r="F2308" s="28" t="str">
        <f aca="false">IF(OR($D2308="",$E2308=""),"",IFERROR($D2308*INDEX(Setup!$B$27:$B$44,MATCH($E2308,Setup!$A$27:$A$44,0)),"TBD"))</f>
        <v/>
      </c>
      <c r="G2308" s="32"/>
      <c r="H2308" s="32"/>
      <c r="I2308" s="32"/>
      <c r="J2308" s="32"/>
      <c r="K2308" s="35"/>
      <c r="L2308" s="32"/>
      <c r="M2308" s="32"/>
    </row>
    <row r="2309" customFormat="false" ht="15" hidden="false" customHeight="true" outlineLevel="0" collapsed="false">
      <c r="A2309" s="32"/>
      <c r="B2309" s="32"/>
      <c r="C2309" s="32"/>
      <c r="D2309" s="32"/>
      <c r="E2309" s="34" t="str">
        <f aca="false">IF($B2309="","",IF($B2309="OUT","Liters",IFERROR(INDEX(Setup!$F$3:$F$24,MATCH($C2309,Setup!$A$3:$A$24,0)),"")))</f>
        <v/>
      </c>
      <c r="F2309" s="28" t="str">
        <f aca="false">IF(OR($D2309="",$E2309=""),"",IFERROR($D2309*INDEX(Setup!$B$27:$B$44,MATCH($E2309,Setup!$A$27:$A$44,0)),"TBD"))</f>
        <v/>
      </c>
      <c r="G2309" s="32"/>
      <c r="H2309" s="32"/>
      <c r="I2309" s="32"/>
      <c r="J2309" s="32"/>
      <c r="K2309" s="35"/>
      <c r="L2309" s="32"/>
      <c r="M2309" s="32"/>
    </row>
    <row r="2310" customFormat="false" ht="15" hidden="false" customHeight="true" outlineLevel="0" collapsed="false">
      <c r="A2310" s="32"/>
      <c r="B2310" s="32"/>
      <c r="C2310" s="32"/>
      <c r="D2310" s="32"/>
      <c r="E2310" s="34" t="str">
        <f aca="false">IF($B2310="","",IF($B2310="OUT","Liters",IFERROR(INDEX(Setup!$F$3:$F$24,MATCH($C2310,Setup!$A$3:$A$24,0)),"")))</f>
        <v/>
      </c>
      <c r="F2310" s="28" t="str">
        <f aca="false">IF(OR($D2310="",$E2310=""),"",IFERROR($D2310*INDEX(Setup!$B$27:$B$44,MATCH($E2310,Setup!$A$27:$A$44,0)),"TBD"))</f>
        <v/>
      </c>
      <c r="G2310" s="32"/>
      <c r="H2310" s="32"/>
      <c r="I2310" s="32"/>
      <c r="J2310" s="32"/>
      <c r="K2310" s="35"/>
      <c r="L2310" s="32"/>
      <c r="M2310" s="32"/>
    </row>
    <row r="2311" customFormat="false" ht="15" hidden="false" customHeight="true" outlineLevel="0" collapsed="false">
      <c r="A2311" s="32"/>
      <c r="B2311" s="32"/>
      <c r="C2311" s="32"/>
      <c r="D2311" s="32"/>
      <c r="E2311" s="34" t="str">
        <f aca="false">IF($B2311="","",IF($B2311="OUT","Liters",IFERROR(INDEX(Setup!$F$3:$F$24,MATCH($C2311,Setup!$A$3:$A$24,0)),"")))</f>
        <v/>
      </c>
      <c r="F2311" s="28" t="str">
        <f aca="false">IF(OR($D2311="",$E2311=""),"",IFERROR($D2311*INDEX(Setup!$B$27:$B$44,MATCH($E2311,Setup!$A$27:$A$44,0)),"TBD"))</f>
        <v/>
      </c>
      <c r="G2311" s="32"/>
      <c r="H2311" s="32"/>
      <c r="I2311" s="32"/>
      <c r="J2311" s="32"/>
      <c r="K2311" s="35"/>
      <c r="L2311" s="32"/>
      <c r="M2311" s="32"/>
    </row>
    <row r="2312" customFormat="false" ht="15" hidden="false" customHeight="true" outlineLevel="0" collapsed="false">
      <c r="A2312" s="32"/>
      <c r="B2312" s="32"/>
      <c r="C2312" s="32"/>
      <c r="D2312" s="32"/>
      <c r="E2312" s="34" t="str">
        <f aca="false">IF($B2312="","",IF($B2312="OUT","Liters",IFERROR(INDEX(Setup!$F$3:$F$24,MATCH($C2312,Setup!$A$3:$A$24,0)),"")))</f>
        <v/>
      </c>
      <c r="F2312" s="28" t="str">
        <f aca="false">IF(OR($D2312="",$E2312=""),"",IFERROR($D2312*INDEX(Setup!$B$27:$B$44,MATCH($E2312,Setup!$A$27:$A$44,0)),"TBD"))</f>
        <v/>
      </c>
      <c r="G2312" s="32"/>
      <c r="H2312" s="32"/>
      <c r="I2312" s="32"/>
      <c r="J2312" s="32"/>
      <c r="K2312" s="35"/>
      <c r="L2312" s="32"/>
      <c r="M2312" s="32"/>
    </row>
    <row r="2313" customFormat="false" ht="15" hidden="false" customHeight="true" outlineLevel="0" collapsed="false">
      <c r="A2313" s="32"/>
      <c r="B2313" s="32"/>
      <c r="C2313" s="32"/>
      <c r="D2313" s="32"/>
      <c r="E2313" s="34" t="str">
        <f aca="false">IF($B2313="","",IF($B2313="OUT","Liters",IFERROR(INDEX(Setup!$F$3:$F$24,MATCH($C2313,Setup!$A$3:$A$24,0)),"")))</f>
        <v/>
      </c>
      <c r="F2313" s="28" t="str">
        <f aca="false">IF(OR($D2313="",$E2313=""),"",IFERROR($D2313*INDEX(Setup!$B$27:$B$44,MATCH($E2313,Setup!$A$27:$A$44,0)),"TBD"))</f>
        <v/>
      </c>
      <c r="G2313" s="32"/>
      <c r="H2313" s="32"/>
      <c r="I2313" s="32"/>
      <c r="J2313" s="32"/>
      <c r="K2313" s="35"/>
      <c r="L2313" s="32"/>
      <c r="M2313" s="32"/>
    </row>
    <row r="2314" customFormat="false" ht="15" hidden="false" customHeight="true" outlineLevel="0" collapsed="false">
      <c r="A2314" s="32"/>
      <c r="B2314" s="32"/>
      <c r="C2314" s="32"/>
      <c r="D2314" s="32"/>
      <c r="E2314" s="34" t="str">
        <f aca="false">IF($B2314="","",IF($B2314="OUT","Liters",IFERROR(INDEX(Setup!$F$3:$F$24,MATCH($C2314,Setup!$A$3:$A$24,0)),"")))</f>
        <v/>
      </c>
      <c r="F2314" s="28" t="str">
        <f aca="false">IF(OR($D2314="",$E2314=""),"",IFERROR($D2314*INDEX(Setup!$B$27:$B$44,MATCH($E2314,Setup!$A$27:$A$44,0)),"TBD"))</f>
        <v/>
      </c>
      <c r="G2314" s="32"/>
      <c r="H2314" s="32"/>
      <c r="I2314" s="32"/>
      <c r="J2314" s="32"/>
      <c r="K2314" s="35"/>
      <c r="L2314" s="32"/>
      <c r="M2314" s="32"/>
    </row>
    <row r="2315" customFormat="false" ht="15" hidden="false" customHeight="true" outlineLevel="0" collapsed="false">
      <c r="A2315" s="32"/>
      <c r="B2315" s="32"/>
      <c r="C2315" s="32"/>
      <c r="D2315" s="32"/>
      <c r="E2315" s="34" t="str">
        <f aca="false">IF($B2315="","",IF($B2315="OUT","Liters",IFERROR(INDEX(Setup!$F$3:$F$24,MATCH($C2315,Setup!$A$3:$A$24,0)),"")))</f>
        <v/>
      </c>
      <c r="F2315" s="28" t="str">
        <f aca="false">IF(OR($D2315="",$E2315=""),"",IFERROR($D2315*INDEX(Setup!$B$27:$B$44,MATCH($E2315,Setup!$A$27:$A$44,0)),"TBD"))</f>
        <v/>
      </c>
      <c r="G2315" s="32"/>
      <c r="H2315" s="32"/>
      <c r="I2315" s="32"/>
      <c r="J2315" s="32"/>
      <c r="K2315" s="35"/>
      <c r="L2315" s="32"/>
      <c r="M2315" s="32"/>
    </row>
    <row r="2316" customFormat="false" ht="15" hidden="false" customHeight="true" outlineLevel="0" collapsed="false">
      <c r="A2316" s="32"/>
      <c r="B2316" s="32"/>
      <c r="C2316" s="32"/>
      <c r="D2316" s="32"/>
      <c r="E2316" s="34" t="str">
        <f aca="false">IF($B2316="","",IF($B2316="OUT","Liters",IFERROR(INDEX(Setup!$F$3:$F$24,MATCH($C2316,Setup!$A$3:$A$24,0)),"")))</f>
        <v/>
      </c>
      <c r="F2316" s="28" t="str">
        <f aca="false">IF(OR($D2316="",$E2316=""),"",IFERROR($D2316*INDEX(Setup!$B$27:$B$44,MATCH($E2316,Setup!$A$27:$A$44,0)),"TBD"))</f>
        <v/>
      </c>
      <c r="G2316" s="32"/>
      <c r="H2316" s="32"/>
      <c r="I2316" s="32"/>
      <c r="J2316" s="32"/>
      <c r="K2316" s="35"/>
      <c r="L2316" s="32"/>
      <c r="M2316" s="32"/>
    </row>
    <row r="2317" customFormat="false" ht="15" hidden="false" customHeight="true" outlineLevel="0" collapsed="false">
      <c r="A2317" s="32"/>
      <c r="B2317" s="32"/>
      <c r="C2317" s="32"/>
      <c r="D2317" s="32"/>
      <c r="E2317" s="34" t="str">
        <f aca="false">IF($B2317="","",IF($B2317="OUT","Liters",IFERROR(INDEX(Setup!$F$3:$F$24,MATCH($C2317,Setup!$A$3:$A$24,0)),"")))</f>
        <v/>
      </c>
      <c r="F2317" s="28" t="str">
        <f aca="false">IF(OR($D2317="",$E2317=""),"",IFERROR($D2317*INDEX(Setup!$B$27:$B$44,MATCH($E2317,Setup!$A$27:$A$44,0)),"TBD"))</f>
        <v/>
      </c>
      <c r="G2317" s="32"/>
      <c r="H2317" s="32"/>
      <c r="I2317" s="32"/>
      <c r="J2317" s="32"/>
      <c r="K2317" s="35"/>
      <c r="L2317" s="32"/>
      <c r="M2317" s="32"/>
    </row>
    <row r="2318" customFormat="false" ht="15" hidden="false" customHeight="true" outlineLevel="0" collapsed="false">
      <c r="A2318" s="32"/>
      <c r="B2318" s="32"/>
      <c r="C2318" s="32"/>
      <c r="D2318" s="32"/>
      <c r="E2318" s="34" t="str">
        <f aca="false">IF($B2318="","",IF($B2318="OUT","Liters",IFERROR(INDEX(Setup!$F$3:$F$24,MATCH($C2318,Setup!$A$3:$A$24,0)),"")))</f>
        <v/>
      </c>
      <c r="F2318" s="28" t="str">
        <f aca="false">IF(OR($D2318="",$E2318=""),"",IFERROR($D2318*INDEX(Setup!$B$27:$B$44,MATCH($E2318,Setup!$A$27:$A$44,0)),"TBD"))</f>
        <v/>
      </c>
      <c r="G2318" s="32"/>
      <c r="H2318" s="32"/>
      <c r="I2318" s="32"/>
      <c r="J2318" s="32"/>
      <c r="K2318" s="35"/>
      <c r="L2318" s="32"/>
      <c r="M2318" s="32"/>
    </row>
    <row r="2319" customFormat="false" ht="15" hidden="false" customHeight="true" outlineLevel="0" collapsed="false">
      <c r="A2319" s="32"/>
      <c r="B2319" s="32"/>
      <c r="C2319" s="32"/>
      <c r="D2319" s="32"/>
      <c r="E2319" s="34" t="str">
        <f aca="false">IF($B2319="","",IF($B2319="OUT","Liters",IFERROR(INDEX(Setup!$F$3:$F$24,MATCH($C2319,Setup!$A$3:$A$24,0)),"")))</f>
        <v/>
      </c>
      <c r="F2319" s="28" t="str">
        <f aca="false">IF(OR($D2319="",$E2319=""),"",IFERROR($D2319*INDEX(Setup!$B$27:$B$44,MATCH($E2319,Setup!$A$27:$A$44,0)),"TBD"))</f>
        <v/>
      </c>
      <c r="G2319" s="32"/>
      <c r="H2319" s="32"/>
      <c r="I2319" s="32"/>
      <c r="J2319" s="32"/>
      <c r="K2319" s="35"/>
      <c r="L2319" s="32"/>
      <c r="M2319" s="32"/>
    </row>
    <row r="2320" customFormat="false" ht="15" hidden="false" customHeight="true" outlineLevel="0" collapsed="false">
      <c r="A2320" s="32"/>
      <c r="B2320" s="32"/>
      <c r="C2320" s="32"/>
      <c r="D2320" s="32"/>
      <c r="E2320" s="34" t="str">
        <f aca="false">IF($B2320="","",IF($B2320="OUT","Liters",IFERROR(INDEX(Setup!$F$3:$F$24,MATCH($C2320,Setup!$A$3:$A$24,0)),"")))</f>
        <v/>
      </c>
      <c r="F2320" s="28" t="str">
        <f aca="false">IF(OR($D2320="",$E2320=""),"",IFERROR($D2320*INDEX(Setup!$B$27:$B$44,MATCH($E2320,Setup!$A$27:$A$44,0)),"TBD"))</f>
        <v/>
      </c>
      <c r="G2320" s="32"/>
      <c r="H2320" s="32"/>
      <c r="I2320" s="32"/>
      <c r="J2320" s="32"/>
      <c r="K2320" s="35"/>
      <c r="L2320" s="32"/>
      <c r="M2320" s="32"/>
    </row>
    <row r="2321" customFormat="false" ht="15" hidden="false" customHeight="true" outlineLevel="0" collapsed="false">
      <c r="A2321" s="32"/>
      <c r="B2321" s="32"/>
      <c r="C2321" s="32"/>
      <c r="D2321" s="32"/>
      <c r="E2321" s="34" t="str">
        <f aca="false">IF($B2321="","",IF($B2321="OUT","Liters",IFERROR(INDEX(Setup!$F$3:$F$24,MATCH($C2321,Setup!$A$3:$A$24,0)),"")))</f>
        <v/>
      </c>
      <c r="F2321" s="28" t="str">
        <f aca="false">IF(OR($D2321="",$E2321=""),"",IFERROR($D2321*INDEX(Setup!$B$27:$B$44,MATCH($E2321,Setup!$A$27:$A$44,0)),"TBD"))</f>
        <v/>
      </c>
      <c r="G2321" s="32"/>
      <c r="H2321" s="32"/>
      <c r="I2321" s="32"/>
      <c r="J2321" s="32"/>
      <c r="K2321" s="35"/>
      <c r="L2321" s="32"/>
      <c r="M2321" s="32"/>
    </row>
    <row r="2322" customFormat="false" ht="15" hidden="false" customHeight="true" outlineLevel="0" collapsed="false">
      <c r="A2322" s="32"/>
      <c r="B2322" s="32"/>
      <c r="C2322" s="32"/>
      <c r="D2322" s="32"/>
      <c r="E2322" s="34" t="str">
        <f aca="false">IF($B2322="","",IF($B2322="OUT","Liters",IFERROR(INDEX(Setup!$F$3:$F$24,MATCH($C2322,Setup!$A$3:$A$24,0)),"")))</f>
        <v/>
      </c>
      <c r="F2322" s="28" t="str">
        <f aca="false">IF(OR($D2322="",$E2322=""),"",IFERROR($D2322*INDEX(Setup!$B$27:$B$44,MATCH($E2322,Setup!$A$27:$A$44,0)),"TBD"))</f>
        <v/>
      </c>
      <c r="G2322" s="32"/>
      <c r="H2322" s="32"/>
      <c r="I2322" s="32"/>
      <c r="J2322" s="32"/>
      <c r="K2322" s="35"/>
      <c r="L2322" s="32"/>
      <c r="M2322" s="32"/>
    </row>
    <row r="2323" customFormat="false" ht="15" hidden="false" customHeight="true" outlineLevel="0" collapsed="false">
      <c r="A2323" s="32"/>
      <c r="B2323" s="32"/>
      <c r="C2323" s="32"/>
      <c r="D2323" s="32"/>
      <c r="E2323" s="34" t="str">
        <f aca="false">IF($B2323="","",IF($B2323="OUT","Liters",IFERROR(INDEX(Setup!$F$3:$F$24,MATCH($C2323,Setup!$A$3:$A$24,0)),"")))</f>
        <v/>
      </c>
      <c r="F2323" s="28" t="str">
        <f aca="false">IF(OR($D2323="",$E2323=""),"",IFERROR($D2323*INDEX(Setup!$B$27:$B$44,MATCH($E2323,Setup!$A$27:$A$44,0)),"TBD"))</f>
        <v/>
      </c>
      <c r="G2323" s="32"/>
      <c r="H2323" s="32"/>
      <c r="I2323" s="32"/>
      <c r="J2323" s="32"/>
      <c r="K2323" s="35"/>
      <c r="L2323" s="32"/>
      <c r="M2323" s="32"/>
    </row>
    <row r="2324" customFormat="false" ht="15" hidden="false" customHeight="true" outlineLevel="0" collapsed="false">
      <c r="A2324" s="32"/>
      <c r="B2324" s="32"/>
      <c r="C2324" s="32"/>
      <c r="D2324" s="32"/>
      <c r="E2324" s="34" t="str">
        <f aca="false">IF($B2324="","",IF($B2324="OUT","Liters",IFERROR(INDEX(Setup!$F$3:$F$24,MATCH($C2324,Setup!$A$3:$A$24,0)),"")))</f>
        <v/>
      </c>
      <c r="F2324" s="28" t="str">
        <f aca="false">IF(OR($D2324="",$E2324=""),"",IFERROR($D2324*INDEX(Setup!$B$27:$B$44,MATCH($E2324,Setup!$A$27:$A$44,0)),"TBD"))</f>
        <v/>
      </c>
      <c r="G2324" s="32"/>
      <c r="H2324" s="32"/>
      <c r="I2324" s="32"/>
      <c r="J2324" s="32"/>
      <c r="K2324" s="35"/>
      <c r="L2324" s="32"/>
      <c r="M2324" s="32"/>
    </row>
    <row r="2325" customFormat="false" ht="15" hidden="false" customHeight="true" outlineLevel="0" collapsed="false">
      <c r="A2325" s="32"/>
      <c r="B2325" s="32"/>
      <c r="C2325" s="32"/>
      <c r="D2325" s="32"/>
      <c r="E2325" s="34" t="str">
        <f aca="false">IF($B2325="","",IF($B2325="OUT","Liters",IFERROR(INDEX(Setup!$F$3:$F$24,MATCH($C2325,Setup!$A$3:$A$24,0)),"")))</f>
        <v/>
      </c>
      <c r="F2325" s="28" t="str">
        <f aca="false">IF(OR($D2325="",$E2325=""),"",IFERROR($D2325*INDEX(Setup!$B$27:$B$44,MATCH($E2325,Setup!$A$27:$A$44,0)),"TBD"))</f>
        <v/>
      </c>
      <c r="G2325" s="32"/>
      <c r="H2325" s="32"/>
      <c r="I2325" s="32"/>
      <c r="J2325" s="32"/>
      <c r="K2325" s="35"/>
      <c r="L2325" s="32"/>
      <c r="M2325" s="32"/>
    </row>
    <row r="2326" customFormat="false" ht="15" hidden="false" customHeight="true" outlineLevel="0" collapsed="false">
      <c r="A2326" s="32"/>
      <c r="B2326" s="32"/>
      <c r="C2326" s="32"/>
      <c r="D2326" s="32"/>
      <c r="E2326" s="34" t="str">
        <f aca="false">IF($B2326="","",IF($B2326="OUT","Liters",IFERROR(INDEX(Setup!$F$3:$F$24,MATCH($C2326,Setup!$A$3:$A$24,0)),"")))</f>
        <v/>
      </c>
      <c r="F2326" s="28" t="str">
        <f aca="false">IF(OR($D2326="",$E2326=""),"",IFERROR($D2326*INDEX(Setup!$B$27:$B$44,MATCH($E2326,Setup!$A$27:$A$44,0)),"TBD"))</f>
        <v/>
      </c>
      <c r="G2326" s="32"/>
      <c r="H2326" s="32"/>
      <c r="I2326" s="32"/>
      <c r="J2326" s="32"/>
      <c r="K2326" s="35"/>
      <c r="L2326" s="32"/>
      <c r="M2326" s="32"/>
    </row>
    <row r="2327" customFormat="false" ht="15" hidden="false" customHeight="true" outlineLevel="0" collapsed="false">
      <c r="A2327" s="32"/>
      <c r="B2327" s="32"/>
      <c r="C2327" s="32"/>
      <c r="D2327" s="32"/>
      <c r="E2327" s="34" t="str">
        <f aca="false">IF($B2327="","",IF($B2327="OUT","Liters",IFERROR(INDEX(Setup!$F$3:$F$24,MATCH($C2327,Setup!$A$3:$A$24,0)),"")))</f>
        <v/>
      </c>
      <c r="F2327" s="28" t="str">
        <f aca="false">IF(OR($D2327="",$E2327=""),"",IFERROR($D2327*INDEX(Setup!$B$27:$B$44,MATCH($E2327,Setup!$A$27:$A$44,0)),"TBD"))</f>
        <v/>
      </c>
      <c r="G2327" s="32"/>
      <c r="H2327" s="32"/>
      <c r="I2327" s="32"/>
      <c r="J2327" s="32"/>
      <c r="K2327" s="35"/>
      <c r="L2327" s="32"/>
      <c r="M2327" s="32"/>
    </row>
    <row r="2328" customFormat="false" ht="15" hidden="false" customHeight="true" outlineLevel="0" collapsed="false">
      <c r="A2328" s="32"/>
      <c r="B2328" s="32"/>
      <c r="C2328" s="32"/>
      <c r="D2328" s="32"/>
      <c r="E2328" s="34" t="str">
        <f aca="false">IF($B2328="","",IF($B2328="OUT","Liters",IFERROR(INDEX(Setup!$F$3:$F$24,MATCH($C2328,Setup!$A$3:$A$24,0)),"")))</f>
        <v/>
      </c>
      <c r="F2328" s="28" t="str">
        <f aca="false">IF(OR($D2328="",$E2328=""),"",IFERROR($D2328*INDEX(Setup!$B$27:$B$44,MATCH($E2328,Setup!$A$27:$A$44,0)),"TBD"))</f>
        <v/>
      </c>
      <c r="G2328" s="32"/>
      <c r="H2328" s="32"/>
      <c r="I2328" s="32"/>
      <c r="J2328" s="32"/>
      <c r="K2328" s="35"/>
      <c r="L2328" s="32"/>
      <c r="M2328" s="32"/>
    </row>
    <row r="2329" customFormat="false" ht="15" hidden="false" customHeight="true" outlineLevel="0" collapsed="false">
      <c r="A2329" s="32"/>
      <c r="B2329" s="32"/>
      <c r="C2329" s="32"/>
      <c r="D2329" s="32"/>
      <c r="E2329" s="34" t="str">
        <f aca="false">IF($B2329="","",IF($B2329="OUT","Liters",IFERROR(INDEX(Setup!$F$3:$F$24,MATCH($C2329,Setup!$A$3:$A$24,0)),"")))</f>
        <v/>
      </c>
      <c r="F2329" s="28" t="str">
        <f aca="false">IF(OR($D2329="",$E2329=""),"",IFERROR($D2329*INDEX(Setup!$B$27:$B$44,MATCH($E2329,Setup!$A$27:$A$44,0)),"TBD"))</f>
        <v/>
      </c>
      <c r="G2329" s="32"/>
      <c r="H2329" s="32"/>
      <c r="I2329" s="32"/>
      <c r="J2329" s="32"/>
      <c r="K2329" s="35"/>
      <c r="L2329" s="32"/>
      <c r="M2329" s="32"/>
    </row>
    <row r="2330" customFormat="false" ht="15" hidden="false" customHeight="true" outlineLevel="0" collapsed="false">
      <c r="A2330" s="32"/>
      <c r="B2330" s="32"/>
      <c r="C2330" s="32"/>
      <c r="D2330" s="32"/>
      <c r="E2330" s="34" t="str">
        <f aca="false">IF($B2330="","",IF($B2330="OUT","Liters",IFERROR(INDEX(Setup!$F$3:$F$24,MATCH($C2330,Setup!$A$3:$A$24,0)),"")))</f>
        <v/>
      </c>
      <c r="F2330" s="28" t="str">
        <f aca="false">IF(OR($D2330="",$E2330=""),"",IFERROR($D2330*INDEX(Setup!$B$27:$B$44,MATCH($E2330,Setup!$A$27:$A$44,0)),"TBD"))</f>
        <v/>
      </c>
      <c r="G2330" s="32"/>
      <c r="H2330" s="32"/>
      <c r="I2330" s="32"/>
      <c r="J2330" s="32"/>
      <c r="K2330" s="35"/>
      <c r="L2330" s="32"/>
      <c r="M2330" s="32"/>
    </row>
    <row r="2331" customFormat="false" ht="15" hidden="false" customHeight="true" outlineLevel="0" collapsed="false">
      <c r="A2331" s="32"/>
      <c r="B2331" s="32"/>
      <c r="C2331" s="32"/>
      <c r="D2331" s="32"/>
      <c r="E2331" s="34" t="str">
        <f aca="false">IF($B2331="","",IF($B2331="OUT","Liters",IFERROR(INDEX(Setup!$F$3:$F$24,MATCH($C2331,Setup!$A$3:$A$24,0)),"")))</f>
        <v/>
      </c>
      <c r="F2331" s="28" t="str">
        <f aca="false">IF(OR($D2331="",$E2331=""),"",IFERROR($D2331*INDEX(Setup!$B$27:$B$44,MATCH($E2331,Setup!$A$27:$A$44,0)),"TBD"))</f>
        <v/>
      </c>
      <c r="G2331" s="32"/>
      <c r="H2331" s="32"/>
      <c r="I2331" s="32"/>
      <c r="J2331" s="32"/>
      <c r="K2331" s="35"/>
      <c r="L2331" s="32"/>
      <c r="M2331" s="32"/>
    </row>
    <row r="2332" customFormat="false" ht="15" hidden="false" customHeight="true" outlineLevel="0" collapsed="false">
      <c r="A2332" s="32"/>
      <c r="B2332" s="32"/>
      <c r="C2332" s="32"/>
      <c r="D2332" s="32"/>
      <c r="E2332" s="34" t="str">
        <f aca="false">IF($B2332="","",IF($B2332="OUT","Liters",IFERROR(INDEX(Setup!$F$3:$F$24,MATCH($C2332,Setup!$A$3:$A$24,0)),"")))</f>
        <v/>
      </c>
      <c r="F2332" s="28" t="str">
        <f aca="false">IF(OR($D2332="",$E2332=""),"",IFERROR($D2332*INDEX(Setup!$B$27:$B$44,MATCH($E2332,Setup!$A$27:$A$44,0)),"TBD"))</f>
        <v/>
      </c>
      <c r="G2332" s="32"/>
      <c r="H2332" s="32"/>
      <c r="I2332" s="32"/>
      <c r="J2332" s="32"/>
      <c r="K2332" s="35"/>
      <c r="L2332" s="32"/>
      <c r="M2332" s="32"/>
    </row>
    <row r="2333" customFormat="false" ht="15" hidden="false" customHeight="true" outlineLevel="0" collapsed="false">
      <c r="A2333" s="32"/>
      <c r="B2333" s="32"/>
      <c r="C2333" s="32"/>
      <c r="D2333" s="32"/>
      <c r="E2333" s="34" t="str">
        <f aca="false">IF($B2333="","",IF($B2333="OUT","Liters",IFERROR(INDEX(Setup!$F$3:$F$24,MATCH($C2333,Setup!$A$3:$A$24,0)),"")))</f>
        <v/>
      </c>
      <c r="F2333" s="28" t="str">
        <f aca="false">IF(OR($D2333="",$E2333=""),"",IFERROR($D2333*INDEX(Setup!$B$27:$B$44,MATCH($E2333,Setup!$A$27:$A$44,0)),"TBD"))</f>
        <v/>
      </c>
      <c r="G2333" s="32"/>
      <c r="H2333" s="32"/>
      <c r="I2333" s="32"/>
      <c r="J2333" s="32"/>
      <c r="K2333" s="35"/>
      <c r="L2333" s="32"/>
      <c r="M2333" s="32"/>
    </row>
    <row r="2334" customFormat="false" ht="15" hidden="false" customHeight="true" outlineLevel="0" collapsed="false">
      <c r="A2334" s="32"/>
      <c r="B2334" s="32"/>
      <c r="C2334" s="32"/>
      <c r="D2334" s="32"/>
      <c r="E2334" s="34" t="str">
        <f aca="false">IF($B2334="","",IF($B2334="OUT","Liters",IFERROR(INDEX(Setup!$F$3:$F$24,MATCH($C2334,Setup!$A$3:$A$24,0)),"")))</f>
        <v/>
      </c>
      <c r="F2334" s="28" t="str">
        <f aca="false">IF(OR($D2334="",$E2334=""),"",IFERROR($D2334*INDEX(Setup!$B$27:$B$44,MATCH($E2334,Setup!$A$27:$A$44,0)),"TBD"))</f>
        <v/>
      </c>
      <c r="G2334" s="32"/>
      <c r="H2334" s="32"/>
      <c r="I2334" s="32"/>
      <c r="J2334" s="32"/>
      <c r="K2334" s="35"/>
      <c r="L2334" s="32"/>
      <c r="M2334" s="32"/>
    </row>
    <row r="2335" customFormat="false" ht="15" hidden="false" customHeight="true" outlineLevel="0" collapsed="false">
      <c r="A2335" s="32"/>
      <c r="B2335" s="32"/>
      <c r="C2335" s="32"/>
      <c r="D2335" s="32"/>
      <c r="E2335" s="34" t="str">
        <f aca="false">IF($B2335="","",IF($B2335="OUT","Liters",IFERROR(INDEX(Setup!$F$3:$F$24,MATCH($C2335,Setup!$A$3:$A$24,0)),"")))</f>
        <v/>
      </c>
      <c r="F2335" s="28" t="str">
        <f aca="false">IF(OR($D2335="",$E2335=""),"",IFERROR($D2335*INDEX(Setup!$B$27:$B$44,MATCH($E2335,Setup!$A$27:$A$44,0)),"TBD"))</f>
        <v/>
      </c>
      <c r="G2335" s="32"/>
      <c r="H2335" s="32"/>
      <c r="I2335" s="32"/>
      <c r="J2335" s="32"/>
      <c r="K2335" s="35"/>
      <c r="L2335" s="32"/>
      <c r="M2335" s="32"/>
    </row>
    <row r="2336" customFormat="false" ht="15" hidden="false" customHeight="true" outlineLevel="0" collapsed="false">
      <c r="A2336" s="32"/>
      <c r="B2336" s="32"/>
      <c r="C2336" s="32"/>
      <c r="D2336" s="32"/>
      <c r="E2336" s="34" t="str">
        <f aca="false">IF($B2336="","",IF($B2336="OUT","Liters",IFERROR(INDEX(Setup!$F$3:$F$24,MATCH($C2336,Setup!$A$3:$A$24,0)),"")))</f>
        <v/>
      </c>
      <c r="F2336" s="28" t="str">
        <f aca="false">IF(OR($D2336="",$E2336=""),"",IFERROR($D2336*INDEX(Setup!$B$27:$B$44,MATCH($E2336,Setup!$A$27:$A$44,0)),"TBD"))</f>
        <v/>
      </c>
      <c r="G2336" s="32"/>
      <c r="H2336" s="32"/>
      <c r="I2336" s="32"/>
      <c r="J2336" s="32"/>
      <c r="K2336" s="35"/>
      <c r="L2336" s="32"/>
      <c r="M2336" s="32"/>
    </row>
    <row r="2337" customFormat="false" ht="15" hidden="false" customHeight="true" outlineLevel="0" collapsed="false">
      <c r="A2337" s="32"/>
      <c r="B2337" s="32"/>
      <c r="C2337" s="32"/>
      <c r="D2337" s="32"/>
      <c r="E2337" s="34" t="str">
        <f aca="false">IF($B2337="","",IF($B2337="OUT","Liters",IFERROR(INDEX(Setup!$F$3:$F$24,MATCH($C2337,Setup!$A$3:$A$24,0)),"")))</f>
        <v/>
      </c>
      <c r="F2337" s="28" t="str">
        <f aca="false">IF(OR($D2337="",$E2337=""),"",IFERROR($D2337*INDEX(Setup!$B$27:$B$44,MATCH($E2337,Setup!$A$27:$A$44,0)),"TBD"))</f>
        <v/>
      </c>
      <c r="G2337" s="32"/>
      <c r="H2337" s="32"/>
      <c r="I2337" s="32"/>
      <c r="J2337" s="32"/>
      <c r="K2337" s="35"/>
      <c r="L2337" s="32"/>
      <c r="M2337" s="32"/>
    </row>
    <row r="2338" customFormat="false" ht="15" hidden="false" customHeight="true" outlineLevel="0" collapsed="false">
      <c r="A2338" s="32"/>
      <c r="B2338" s="32"/>
      <c r="C2338" s="32"/>
      <c r="D2338" s="32"/>
      <c r="E2338" s="34" t="str">
        <f aca="false">IF($B2338="","",IF($B2338="OUT","Liters",IFERROR(INDEX(Setup!$F$3:$F$24,MATCH($C2338,Setup!$A$3:$A$24,0)),"")))</f>
        <v/>
      </c>
      <c r="F2338" s="28" t="str">
        <f aca="false">IF(OR($D2338="",$E2338=""),"",IFERROR($D2338*INDEX(Setup!$B$27:$B$44,MATCH($E2338,Setup!$A$27:$A$44,0)),"TBD"))</f>
        <v/>
      </c>
      <c r="G2338" s="32"/>
      <c r="H2338" s="32"/>
      <c r="I2338" s="32"/>
      <c r="J2338" s="32"/>
      <c r="K2338" s="35"/>
      <c r="L2338" s="32"/>
      <c r="M2338" s="32"/>
    </row>
    <row r="2339" customFormat="false" ht="15" hidden="false" customHeight="true" outlineLevel="0" collapsed="false">
      <c r="A2339" s="32"/>
      <c r="B2339" s="32"/>
      <c r="C2339" s="32"/>
      <c r="D2339" s="32"/>
      <c r="E2339" s="34" t="str">
        <f aca="false">IF($B2339="","",IF($B2339="OUT","Liters",IFERROR(INDEX(Setup!$F$3:$F$24,MATCH($C2339,Setup!$A$3:$A$24,0)),"")))</f>
        <v/>
      </c>
      <c r="F2339" s="28" t="str">
        <f aca="false">IF(OR($D2339="",$E2339=""),"",IFERROR($D2339*INDEX(Setup!$B$27:$B$44,MATCH($E2339,Setup!$A$27:$A$44,0)),"TBD"))</f>
        <v/>
      </c>
      <c r="G2339" s="32"/>
      <c r="H2339" s="32"/>
      <c r="I2339" s="32"/>
      <c r="J2339" s="32"/>
      <c r="K2339" s="35"/>
      <c r="L2339" s="32"/>
      <c r="M2339" s="32"/>
    </row>
    <row r="2340" customFormat="false" ht="15" hidden="false" customHeight="true" outlineLevel="0" collapsed="false">
      <c r="A2340" s="32"/>
      <c r="B2340" s="32"/>
      <c r="C2340" s="32"/>
      <c r="D2340" s="32"/>
      <c r="E2340" s="34" t="str">
        <f aca="false">IF($B2340="","",IF($B2340="OUT","Liters",IFERROR(INDEX(Setup!$F$3:$F$24,MATCH($C2340,Setup!$A$3:$A$24,0)),"")))</f>
        <v/>
      </c>
      <c r="F2340" s="28" t="str">
        <f aca="false">IF(OR($D2340="",$E2340=""),"",IFERROR($D2340*INDEX(Setup!$B$27:$B$44,MATCH($E2340,Setup!$A$27:$A$44,0)),"TBD"))</f>
        <v/>
      </c>
      <c r="G2340" s="32"/>
      <c r="H2340" s="32"/>
      <c r="I2340" s="32"/>
      <c r="J2340" s="32"/>
      <c r="K2340" s="35"/>
      <c r="L2340" s="32"/>
      <c r="M2340" s="32"/>
    </row>
    <row r="2341" customFormat="false" ht="15" hidden="false" customHeight="true" outlineLevel="0" collapsed="false">
      <c r="A2341" s="32"/>
      <c r="B2341" s="32"/>
      <c r="C2341" s="32"/>
      <c r="D2341" s="32"/>
      <c r="E2341" s="34" t="str">
        <f aca="false">IF($B2341="","",IF($B2341="OUT","Liters",IFERROR(INDEX(Setup!$F$3:$F$24,MATCH($C2341,Setup!$A$3:$A$24,0)),"")))</f>
        <v/>
      </c>
      <c r="F2341" s="28" t="str">
        <f aca="false">IF(OR($D2341="",$E2341=""),"",IFERROR($D2341*INDEX(Setup!$B$27:$B$44,MATCH($E2341,Setup!$A$27:$A$44,0)),"TBD"))</f>
        <v/>
      </c>
      <c r="G2341" s="32"/>
      <c r="H2341" s="32"/>
      <c r="I2341" s="32"/>
      <c r="J2341" s="32"/>
      <c r="K2341" s="35"/>
      <c r="L2341" s="32"/>
      <c r="M2341" s="32"/>
    </row>
    <row r="2342" customFormat="false" ht="15" hidden="false" customHeight="true" outlineLevel="0" collapsed="false">
      <c r="A2342" s="32"/>
      <c r="B2342" s="32"/>
      <c r="C2342" s="32"/>
      <c r="D2342" s="32"/>
      <c r="E2342" s="34" t="str">
        <f aca="false">IF($B2342="","",IF($B2342="OUT","Liters",IFERROR(INDEX(Setup!$F$3:$F$24,MATCH($C2342,Setup!$A$3:$A$24,0)),"")))</f>
        <v/>
      </c>
      <c r="F2342" s="28" t="str">
        <f aca="false">IF(OR($D2342="",$E2342=""),"",IFERROR($D2342*INDEX(Setup!$B$27:$B$44,MATCH($E2342,Setup!$A$27:$A$44,0)),"TBD"))</f>
        <v/>
      </c>
      <c r="G2342" s="32"/>
      <c r="H2342" s="32"/>
      <c r="I2342" s="32"/>
      <c r="J2342" s="32"/>
      <c r="K2342" s="35"/>
      <c r="L2342" s="32"/>
      <c r="M2342" s="32"/>
    </row>
    <row r="2343" customFormat="false" ht="15" hidden="false" customHeight="true" outlineLevel="0" collapsed="false">
      <c r="A2343" s="32"/>
      <c r="B2343" s="32"/>
      <c r="C2343" s="32"/>
      <c r="D2343" s="32"/>
      <c r="E2343" s="34" t="str">
        <f aca="false">IF($B2343="","",IF($B2343="OUT","Liters",IFERROR(INDEX(Setup!$F$3:$F$24,MATCH($C2343,Setup!$A$3:$A$24,0)),"")))</f>
        <v/>
      </c>
      <c r="F2343" s="28" t="str">
        <f aca="false">IF(OR($D2343="",$E2343=""),"",IFERROR($D2343*INDEX(Setup!$B$27:$B$44,MATCH($E2343,Setup!$A$27:$A$44,0)),"TBD"))</f>
        <v/>
      </c>
      <c r="G2343" s="32"/>
      <c r="H2343" s="32"/>
      <c r="I2343" s="32"/>
      <c r="J2343" s="32"/>
      <c r="K2343" s="35"/>
      <c r="L2343" s="32"/>
      <c r="M2343" s="32"/>
    </row>
    <row r="2344" customFormat="false" ht="15" hidden="false" customHeight="true" outlineLevel="0" collapsed="false">
      <c r="A2344" s="32"/>
      <c r="B2344" s="32"/>
      <c r="C2344" s="32"/>
      <c r="D2344" s="32"/>
      <c r="E2344" s="34" t="str">
        <f aca="false">IF($B2344="","",IF($B2344="OUT","Liters",IFERROR(INDEX(Setup!$F$3:$F$24,MATCH($C2344,Setup!$A$3:$A$24,0)),"")))</f>
        <v/>
      </c>
      <c r="F2344" s="28" t="str">
        <f aca="false">IF(OR($D2344="",$E2344=""),"",IFERROR($D2344*INDEX(Setup!$B$27:$B$44,MATCH($E2344,Setup!$A$27:$A$44,0)),"TBD"))</f>
        <v/>
      </c>
      <c r="G2344" s="32"/>
      <c r="H2344" s="32"/>
      <c r="I2344" s="32"/>
      <c r="J2344" s="32"/>
      <c r="K2344" s="35"/>
      <c r="L2344" s="32"/>
      <c r="M2344" s="32"/>
    </row>
    <row r="2345" customFormat="false" ht="15" hidden="false" customHeight="true" outlineLevel="0" collapsed="false">
      <c r="A2345" s="32"/>
      <c r="B2345" s="32"/>
      <c r="C2345" s="32"/>
      <c r="D2345" s="32"/>
      <c r="E2345" s="34" t="str">
        <f aca="false">IF($B2345="","",IF($B2345="OUT","Liters",IFERROR(INDEX(Setup!$F$3:$F$24,MATCH($C2345,Setup!$A$3:$A$24,0)),"")))</f>
        <v/>
      </c>
      <c r="F2345" s="28" t="str">
        <f aca="false">IF(OR($D2345="",$E2345=""),"",IFERROR($D2345*INDEX(Setup!$B$27:$B$44,MATCH($E2345,Setup!$A$27:$A$44,0)),"TBD"))</f>
        <v/>
      </c>
      <c r="G2345" s="32"/>
      <c r="H2345" s="32"/>
      <c r="I2345" s="32"/>
      <c r="J2345" s="32"/>
      <c r="K2345" s="35"/>
      <c r="L2345" s="32"/>
      <c r="M2345" s="32"/>
    </row>
    <row r="2346" customFormat="false" ht="15" hidden="false" customHeight="true" outlineLevel="0" collapsed="false">
      <c r="A2346" s="32"/>
      <c r="B2346" s="32"/>
      <c r="C2346" s="32"/>
      <c r="D2346" s="32"/>
      <c r="E2346" s="34" t="str">
        <f aca="false">IF($B2346="","",IF($B2346="OUT","Liters",IFERROR(INDEX(Setup!$F$3:$F$24,MATCH($C2346,Setup!$A$3:$A$24,0)),"")))</f>
        <v/>
      </c>
      <c r="F2346" s="28" t="str">
        <f aca="false">IF(OR($D2346="",$E2346=""),"",IFERROR($D2346*INDEX(Setup!$B$27:$B$44,MATCH($E2346,Setup!$A$27:$A$44,0)),"TBD"))</f>
        <v/>
      </c>
      <c r="G2346" s="32"/>
      <c r="H2346" s="32"/>
      <c r="I2346" s="32"/>
      <c r="J2346" s="32"/>
      <c r="K2346" s="35"/>
      <c r="L2346" s="32"/>
      <c r="M2346" s="32"/>
    </row>
    <row r="2347" customFormat="false" ht="15" hidden="false" customHeight="true" outlineLevel="0" collapsed="false">
      <c r="A2347" s="32"/>
      <c r="B2347" s="32"/>
      <c r="C2347" s="32"/>
      <c r="D2347" s="32"/>
      <c r="E2347" s="34" t="str">
        <f aca="false">IF($B2347="","",IF($B2347="OUT","Liters",IFERROR(INDEX(Setup!$F$3:$F$24,MATCH($C2347,Setup!$A$3:$A$24,0)),"")))</f>
        <v/>
      </c>
      <c r="F2347" s="28" t="str">
        <f aca="false">IF(OR($D2347="",$E2347=""),"",IFERROR($D2347*INDEX(Setup!$B$27:$B$44,MATCH($E2347,Setup!$A$27:$A$44,0)),"TBD"))</f>
        <v/>
      </c>
      <c r="G2347" s="32"/>
      <c r="H2347" s="32"/>
      <c r="I2347" s="32"/>
      <c r="J2347" s="32"/>
      <c r="K2347" s="35"/>
      <c r="L2347" s="32"/>
      <c r="M2347" s="32"/>
    </row>
    <row r="2348" customFormat="false" ht="15" hidden="false" customHeight="true" outlineLevel="0" collapsed="false">
      <c r="A2348" s="32"/>
      <c r="B2348" s="32"/>
      <c r="C2348" s="32"/>
      <c r="D2348" s="32"/>
      <c r="E2348" s="34" t="str">
        <f aca="false">IF($B2348="","",IF($B2348="OUT","Liters",IFERROR(INDEX(Setup!$F$3:$F$24,MATCH($C2348,Setup!$A$3:$A$24,0)),"")))</f>
        <v/>
      </c>
      <c r="F2348" s="28" t="str">
        <f aca="false">IF(OR($D2348="",$E2348=""),"",IFERROR($D2348*INDEX(Setup!$B$27:$B$44,MATCH($E2348,Setup!$A$27:$A$44,0)),"TBD"))</f>
        <v/>
      </c>
      <c r="G2348" s="32"/>
      <c r="H2348" s="32"/>
      <c r="I2348" s="32"/>
      <c r="J2348" s="32"/>
      <c r="K2348" s="35"/>
      <c r="L2348" s="32"/>
      <c r="M2348" s="32"/>
    </row>
    <row r="2349" customFormat="false" ht="15" hidden="false" customHeight="true" outlineLevel="0" collapsed="false">
      <c r="A2349" s="32"/>
      <c r="B2349" s="32"/>
      <c r="C2349" s="32"/>
      <c r="D2349" s="32"/>
      <c r="E2349" s="34" t="str">
        <f aca="false">IF($B2349="","",IF($B2349="OUT","Liters",IFERROR(INDEX(Setup!$F$3:$F$24,MATCH($C2349,Setup!$A$3:$A$24,0)),"")))</f>
        <v/>
      </c>
      <c r="F2349" s="28" t="str">
        <f aca="false">IF(OR($D2349="",$E2349=""),"",IFERROR($D2349*INDEX(Setup!$B$27:$B$44,MATCH($E2349,Setup!$A$27:$A$44,0)),"TBD"))</f>
        <v/>
      </c>
      <c r="G2349" s="32"/>
      <c r="H2349" s="32"/>
      <c r="I2349" s="32"/>
      <c r="J2349" s="32"/>
      <c r="K2349" s="35"/>
      <c r="L2349" s="32"/>
      <c r="M2349" s="32"/>
    </row>
    <row r="2350" customFormat="false" ht="15" hidden="false" customHeight="true" outlineLevel="0" collapsed="false">
      <c r="A2350" s="32"/>
      <c r="B2350" s="32"/>
      <c r="C2350" s="32"/>
      <c r="D2350" s="32"/>
      <c r="E2350" s="34" t="str">
        <f aca="false">IF($B2350="","",IF($B2350="OUT","Liters",IFERROR(INDEX(Setup!$F$3:$F$24,MATCH($C2350,Setup!$A$3:$A$24,0)),"")))</f>
        <v/>
      </c>
      <c r="F2350" s="28" t="str">
        <f aca="false">IF(OR($D2350="",$E2350=""),"",IFERROR($D2350*INDEX(Setup!$B$27:$B$44,MATCH($E2350,Setup!$A$27:$A$44,0)),"TBD"))</f>
        <v/>
      </c>
      <c r="G2350" s="32"/>
      <c r="H2350" s="32"/>
      <c r="I2350" s="32"/>
      <c r="J2350" s="32"/>
      <c r="K2350" s="35"/>
      <c r="L2350" s="32"/>
      <c r="M2350" s="32"/>
    </row>
    <row r="2351" customFormat="false" ht="15" hidden="false" customHeight="true" outlineLevel="0" collapsed="false">
      <c r="A2351" s="32"/>
      <c r="B2351" s="32"/>
      <c r="C2351" s="32"/>
      <c r="D2351" s="32"/>
      <c r="E2351" s="34" t="str">
        <f aca="false">IF($B2351="","",IF($B2351="OUT","Liters",IFERROR(INDEX(Setup!$F$3:$F$24,MATCH($C2351,Setup!$A$3:$A$24,0)),"")))</f>
        <v/>
      </c>
      <c r="F2351" s="28" t="str">
        <f aca="false">IF(OR($D2351="",$E2351=""),"",IFERROR($D2351*INDEX(Setup!$B$27:$B$44,MATCH($E2351,Setup!$A$27:$A$44,0)),"TBD"))</f>
        <v/>
      </c>
      <c r="G2351" s="32"/>
      <c r="H2351" s="32"/>
      <c r="I2351" s="32"/>
      <c r="J2351" s="32"/>
      <c r="K2351" s="35"/>
      <c r="L2351" s="32"/>
      <c r="M2351" s="32"/>
    </row>
    <row r="2352" customFormat="false" ht="15" hidden="false" customHeight="true" outlineLevel="0" collapsed="false">
      <c r="A2352" s="32"/>
      <c r="B2352" s="32"/>
      <c r="C2352" s="32"/>
      <c r="D2352" s="32"/>
      <c r="E2352" s="34" t="str">
        <f aca="false">IF($B2352="","",IF($B2352="OUT","Liters",IFERROR(INDEX(Setup!$F$3:$F$24,MATCH($C2352,Setup!$A$3:$A$24,0)),"")))</f>
        <v/>
      </c>
      <c r="F2352" s="28" t="str">
        <f aca="false">IF(OR($D2352="",$E2352=""),"",IFERROR($D2352*INDEX(Setup!$B$27:$B$44,MATCH($E2352,Setup!$A$27:$A$44,0)),"TBD"))</f>
        <v/>
      </c>
      <c r="G2352" s="32"/>
      <c r="H2352" s="32"/>
      <c r="I2352" s="32"/>
      <c r="J2352" s="32"/>
      <c r="K2352" s="35"/>
      <c r="L2352" s="32"/>
      <c r="M2352" s="32"/>
    </row>
    <row r="2353" customFormat="false" ht="15" hidden="false" customHeight="true" outlineLevel="0" collapsed="false">
      <c r="A2353" s="32"/>
      <c r="B2353" s="32"/>
      <c r="C2353" s="32"/>
      <c r="D2353" s="32"/>
      <c r="E2353" s="34" t="str">
        <f aca="false">IF($B2353="","",IF($B2353="OUT","Liters",IFERROR(INDEX(Setup!$F$3:$F$24,MATCH($C2353,Setup!$A$3:$A$24,0)),"")))</f>
        <v/>
      </c>
      <c r="F2353" s="28" t="str">
        <f aca="false">IF(OR($D2353="",$E2353=""),"",IFERROR($D2353*INDEX(Setup!$B$27:$B$44,MATCH($E2353,Setup!$A$27:$A$44,0)),"TBD"))</f>
        <v/>
      </c>
      <c r="G2353" s="32"/>
      <c r="H2353" s="32"/>
      <c r="I2353" s="32"/>
      <c r="J2353" s="32"/>
      <c r="K2353" s="35"/>
      <c r="L2353" s="32"/>
      <c r="M2353" s="32"/>
    </row>
    <row r="2354" customFormat="false" ht="15" hidden="false" customHeight="true" outlineLevel="0" collapsed="false">
      <c r="A2354" s="32"/>
      <c r="B2354" s="32"/>
      <c r="C2354" s="32"/>
      <c r="D2354" s="32"/>
      <c r="E2354" s="34" t="str">
        <f aca="false">IF($B2354="","",IF($B2354="OUT","Liters",IFERROR(INDEX(Setup!$F$3:$F$24,MATCH($C2354,Setup!$A$3:$A$24,0)),"")))</f>
        <v/>
      </c>
      <c r="F2354" s="28" t="str">
        <f aca="false">IF(OR($D2354="",$E2354=""),"",IFERROR($D2354*INDEX(Setup!$B$27:$B$44,MATCH($E2354,Setup!$A$27:$A$44,0)),"TBD"))</f>
        <v/>
      </c>
      <c r="G2354" s="32"/>
      <c r="H2354" s="32"/>
      <c r="I2354" s="32"/>
      <c r="J2354" s="32"/>
      <c r="K2354" s="35"/>
      <c r="L2354" s="32"/>
      <c r="M2354" s="32"/>
    </row>
    <row r="2355" customFormat="false" ht="15" hidden="false" customHeight="true" outlineLevel="0" collapsed="false">
      <c r="A2355" s="32"/>
      <c r="B2355" s="32"/>
      <c r="C2355" s="32"/>
      <c r="D2355" s="32"/>
      <c r="E2355" s="34" t="str">
        <f aca="false">IF($B2355="","",IF($B2355="OUT","Liters",IFERROR(INDEX(Setup!$F$3:$F$24,MATCH($C2355,Setup!$A$3:$A$24,0)),"")))</f>
        <v/>
      </c>
      <c r="F2355" s="28" t="str">
        <f aca="false">IF(OR($D2355="",$E2355=""),"",IFERROR($D2355*INDEX(Setup!$B$27:$B$44,MATCH($E2355,Setup!$A$27:$A$44,0)),"TBD"))</f>
        <v/>
      </c>
      <c r="G2355" s="32"/>
      <c r="H2355" s="32"/>
      <c r="I2355" s="32"/>
      <c r="J2355" s="32"/>
      <c r="K2355" s="35"/>
      <c r="L2355" s="32"/>
      <c r="M2355" s="32"/>
    </row>
    <row r="2356" customFormat="false" ht="15" hidden="false" customHeight="true" outlineLevel="0" collapsed="false">
      <c r="A2356" s="32"/>
      <c r="B2356" s="32"/>
      <c r="C2356" s="32"/>
      <c r="D2356" s="32"/>
      <c r="E2356" s="34" t="str">
        <f aca="false">IF($B2356="","",IF($B2356="OUT","Liters",IFERROR(INDEX(Setup!$F$3:$F$24,MATCH($C2356,Setup!$A$3:$A$24,0)),"")))</f>
        <v/>
      </c>
      <c r="F2356" s="28" t="str">
        <f aca="false">IF(OR($D2356="",$E2356=""),"",IFERROR($D2356*INDEX(Setup!$B$27:$B$44,MATCH($E2356,Setup!$A$27:$A$44,0)),"TBD"))</f>
        <v/>
      </c>
      <c r="G2356" s="32"/>
      <c r="H2356" s="32"/>
      <c r="I2356" s="32"/>
      <c r="J2356" s="32"/>
      <c r="K2356" s="35"/>
      <c r="L2356" s="32"/>
      <c r="M2356" s="32"/>
    </row>
    <row r="2357" customFormat="false" ht="15" hidden="false" customHeight="true" outlineLevel="0" collapsed="false">
      <c r="A2357" s="32"/>
      <c r="B2357" s="32"/>
      <c r="C2357" s="32"/>
      <c r="D2357" s="32"/>
      <c r="E2357" s="34" t="str">
        <f aca="false">IF($B2357="","",IF($B2357="OUT","Liters",IFERROR(INDEX(Setup!$F$3:$F$24,MATCH($C2357,Setup!$A$3:$A$24,0)),"")))</f>
        <v/>
      </c>
      <c r="F2357" s="28" t="str">
        <f aca="false">IF(OR($D2357="",$E2357=""),"",IFERROR($D2357*INDEX(Setup!$B$27:$B$44,MATCH($E2357,Setup!$A$27:$A$44,0)),"TBD"))</f>
        <v/>
      </c>
      <c r="G2357" s="32"/>
      <c r="H2357" s="32"/>
      <c r="I2357" s="32"/>
      <c r="J2357" s="32"/>
      <c r="K2357" s="35"/>
      <c r="L2357" s="32"/>
      <c r="M2357" s="32"/>
    </row>
    <row r="2358" customFormat="false" ht="15" hidden="false" customHeight="true" outlineLevel="0" collapsed="false">
      <c r="A2358" s="32"/>
      <c r="B2358" s="32"/>
      <c r="C2358" s="32"/>
      <c r="D2358" s="32"/>
      <c r="E2358" s="34" t="str">
        <f aca="false">IF($B2358="","",IF($B2358="OUT","Liters",IFERROR(INDEX(Setup!$F$3:$F$24,MATCH($C2358,Setup!$A$3:$A$24,0)),"")))</f>
        <v/>
      </c>
      <c r="F2358" s="28" t="str">
        <f aca="false">IF(OR($D2358="",$E2358=""),"",IFERROR($D2358*INDEX(Setup!$B$27:$B$44,MATCH($E2358,Setup!$A$27:$A$44,0)),"TBD"))</f>
        <v/>
      </c>
      <c r="G2358" s="32"/>
      <c r="H2358" s="32"/>
      <c r="I2358" s="32"/>
      <c r="J2358" s="32"/>
      <c r="K2358" s="35"/>
      <c r="L2358" s="32"/>
      <c r="M2358" s="32"/>
    </row>
    <row r="2359" customFormat="false" ht="15" hidden="false" customHeight="true" outlineLevel="0" collapsed="false">
      <c r="A2359" s="32"/>
      <c r="B2359" s="32"/>
      <c r="C2359" s="32"/>
      <c r="D2359" s="32"/>
      <c r="E2359" s="34" t="str">
        <f aca="false">IF($B2359="","",IF($B2359="OUT","Liters",IFERROR(INDEX(Setup!$F$3:$F$24,MATCH($C2359,Setup!$A$3:$A$24,0)),"")))</f>
        <v/>
      </c>
      <c r="F2359" s="28" t="str">
        <f aca="false">IF(OR($D2359="",$E2359=""),"",IFERROR($D2359*INDEX(Setup!$B$27:$B$44,MATCH($E2359,Setup!$A$27:$A$44,0)),"TBD"))</f>
        <v/>
      </c>
      <c r="G2359" s="32"/>
      <c r="H2359" s="32"/>
      <c r="I2359" s="32"/>
      <c r="J2359" s="32"/>
      <c r="K2359" s="35"/>
      <c r="L2359" s="32"/>
      <c r="M2359" s="32"/>
    </row>
    <row r="2360" customFormat="false" ht="15" hidden="false" customHeight="true" outlineLevel="0" collapsed="false">
      <c r="A2360" s="32"/>
      <c r="B2360" s="32"/>
      <c r="C2360" s="32"/>
      <c r="D2360" s="32"/>
      <c r="E2360" s="34" t="str">
        <f aca="false">IF($B2360="","",IF($B2360="OUT","Liters",IFERROR(INDEX(Setup!$F$3:$F$24,MATCH($C2360,Setup!$A$3:$A$24,0)),"")))</f>
        <v/>
      </c>
      <c r="F2360" s="28" t="str">
        <f aca="false">IF(OR($D2360="",$E2360=""),"",IFERROR($D2360*INDEX(Setup!$B$27:$B$44,MATCH($E2360,Setup!$A$27:$A$44,0)),"TBD"))</f>
        <v/>
      </c>
      <c r="G2360" s="32"/>
      <c r="H2360" s="32"/>
      <c r="I2360" s="32"/>
      <c r="J2360" s="32"/>
      <c r="K2360" s="35"/>
      <c r="L2360" s="32"/>
      <c r="M2360" s="32"/>
    </row>
    <row r="2361" customFormat="false" ht="15" hidden="false" customHeight="true" outlineLevel="0" collapsed="false">
      <c r="A2361" s="32"/>
      <c r="B2361" s="32"/>
      <c r="C2361" s="32"/>
      <c r="D2361" s="32"/>
      <c r="E2361" s="34" t="str">
        <f aca="false">IF($B2361="","",IF($B2361="OUT","Liters",IFERROR(INDEX(Setup!$F$3:$F$24,MATCH($C2361,Setup!$A$3:$A$24,0)),"")))</f>
        <v/>
      </c>
      <c r="F2361" s="28" t="str">
        <f aca="false">IF(OR($D2361="",$E2361=""),"",IFERROR($D2361*INDEX(Setup!$B$27:$B$44,MATCH($E2361,Setup!$A$27:$A$44,0)),"TBD"))</f>
        <v/>
      </c>
      <c r="G2361" s="32"/>
      <c r="H2361" s="32"/>
      <c r="I2361" s="32"/>
      <c r="J2361" s="32"/>
      <c r="K2361" s="35"/>
      <c r="L2361" s="32"/>
      <c r="M2361" s="32"/>
    </row>
    <row r="2362" customFormat="false" ht="15" hidden="false" customHeight="true" outlineLevel="0" collapsed="false">
      <c r="A2362" s="32"/>
      <c r="B2362" s="32"/>
      <c r="C2362" s="32"/>
      <c r="D2362" s="32"/>
      <c r="E2362" s="34" t="str">
        <f aca="false">IF($B2362="","",IF($B2362="OUT","Liters",IFERROR(INDEX(Setup!$F$3:$F$24,MATCH($C2362,Setup!$A$3:$A$24,0)),"")))</f>
        <v/>
      </c>
      <c r="F2362" s="28" t="str">
        <f aca="false">IF(OR($D2362="",$E2362=""),"",IFERROR($D2362*INDEX(Setup!$B$27:$B$44,MATCH($E2362,Setup!$A$27:$A$44,0)),"TBD"))</f>
        <v/>
      </c>
      <c r="G2362" s="32"/>
      <c r="H2362" s="32"/>
      <c r="I2362" s="32"/>
      <c r="J2362" s="32"/>
      <c r="K2362" s="35"/>
      <c r="L2362" s="32"/>
      <c r="M2362" s="32"/>
    </row>
    <row r="2363" customFormat="false" ht="15" hidden="false" customHeight="true" outlineLevel="0" collapsed="false">
      <c r="A2363" s="32"/>
      <c r="B2363" s="32"/>
      <c r="C2363" s="32"/>
      <c r="D2363" s="32"/>
      <c r="E2363" s="34" t="str">
        <f aca="false">IF($B2363="","",IF($B2363="OUT","Liters",IFERROR(INDEX(Setup!$F$3:$F$24,MATCH($C2363,Setup!$A$3:$A$24,0)),"")))</f>
        <v/>
      </c>
      <c r="F2363" s="28" t="str">
        <f aca="false">IF(OR($D2363="",$E2363=""),"",IFERROR($D2363*INDEX(Setup!$B$27:$B$44,MATCH($E2363,Setup!$A$27:$A$44,0)),"TBD"))</f>
        <v/>
      </c>
      <c r="G2363" s="32"/>
      <c r="H2363" s="32"/>
      <c r="I2363" s="32"/>
      <c r="J2363" s="32"/>
      <c r="K2363" s="35"/>
      <c r="L2363" s="32"/>
      <c r="M2363" s="32"/>
    </row>
    <row r="2364" customFormat="false" ht="15" hidden="false" customHeight="true" outlineLevel="0" collapsed="false">
      <c r="A2364" s="32"/>
      <c r="B2364" s="32"/>
      <c r="C2364" s="32"/>
      <c r="D2364" s="32"/>
      <c r="E2364" s="34" t="str">
        <f aca="false">IF($B2364="","",IF($B2364="OUT","Liters",IFERROR(INDEX(Setup!$F$3:$F$24,MATCH($C2364,Setup!$A$3:$A$24,0)),"")))</f>
        <v/>
      </c>
      <c r="F2364" s="28" t="str">
        <f aca="false">IF(OR($D2364="",$E2364=""),"",IFERROR($D2364*INDEX(Setup!$B$27:$B$44,MATCH($E2364,Setup!$A$27:$A$44,0)),"TBD"))</f>
        <v/>
      </c>
      <c r="G2364" s="32"/>
      <c r="H2364" s="32"/>
      <c r="I2364" s="32"/>
      <c r="J2364" s="32"/>
      <c r="K2364" s="35"/>
      <c r="L2364" s="32"/>
      <c r="M2364" s="32"/>
    </row>
    <row r="2365" customFormat="false" ht="15" hidden="false" customHeight="true" outlineLevel="0" collapsed="false">
      <c r="A2365" s="32"/>
      <c r="B2365" s="32"/>
      <c r="C2365" s="32"/>
      <c r="D2365" s="32"/>
      <c r="E2365" s="34" t="str">
        <f aca="false">IF($B2365="","",IF($B2365="OUT","Liters",IFERROR(INDEX(Setup!$F$3:$F$24,MATCH($C2365,Setup!$A$3:$A$24,0)),"")))</f>
        <v/>
      </c>
      <c r="F2365" s="28" t="str">
        <f aca="false">IF(OR($D2365="",$E2365=""),"",IFERROR($D2365*INDEX(Setup!$B$27:$B$44,MATCH($E2365,Setup!$A$27:$A$44,0)),"TBD"))</f>
        <v/>
      </c>
      <c r="G2365" s="32"/>
      <c r="H2365" s="32"/>
      <c r="I2365" s="32"/>
      <c r="J2365" s="32"/>
      <c r="K2365" s="35"/>
      <c r="L2365" s="32"/>
      <c r="M2365" s="32"/>
    </row>
    <row r="2366" customFormat="false" ht="15" hidden="false" customHeight="true" outlineLevel="0" collapsed="false">
      <c r="A2366" s="32"/>
      <c r="B2366" s="32"/>
      <c r="C2366" s="32"/>
      <c r="D2366" s="32"/>
      <c r="E2366" s="34" t="str">
        <f aca="false">IF($B2366="","",IF($B2366="OUT","Liters",IFERROR(INDEX(Setup!$F$3:$F$24,MATCH($C2366,Setup!$A$3:$A$24,0)),"")))</f>
        <v/>
      </c>
      <c r="F2366" s="28" t="str">
        <f aca="false">IF(OR($D2366="",$E2366=""),"",IFERROR($D2366*INDEX(Setup!$B$27:$B$44,MATCH($E2366,Setup!$A$27:$A$44,0)),"TBD"))</f>
        <v/>
      </c>
      <c r="G2366" s="32"/>
      <c r="H2366" s="32"/>
      <c r="I2366" s="32"/>
      <c r="J2366" s="32"/>
      <c r="K2366" s="35"/>
      <c r="L2366" s="32"/>
      <c r="M2366" s="32"/>
    </row>
    <row r="2367" customFormat="false" ht="15" hidden="false" customHeight="true" outlineLevel="0" collapsed="false">
      <c r="A2367" s="32"/>
      <c r="B2367" s="32"/>
      <c r="C2367" s="32"/>
      <c r="D2367" s="32"/>
      <c r="E2367" s="34" t="str">
        <f aca="false">IF($B2367="","",IF($B2367="OUT","Liters",IFERROR(INDEX(Setup!$F$3:$F$24,MATCH($C2367,Setup!$A$3:$A$24,0)),"")))</f>
        <v/>
      </c>
      <c r="F2367" s="28" t="str">
        <f aca="false">IF(OR($D2367="",$E2367=""),"",IFERROR($D2367*INDEX(Setup!$B$27:$B$44,MATCH($E2367,Setup!$A$27:$A$44,0)),"TBD"))</f>
        <v/>
      </c>
      <c r="G2367" s="32"/>
      <c r="H2367" s="32"/>
      <c r="I2367" s="32"/>
      <c r="J2367" s="32"/>
      <c r="K2367" s="35"/>
      <c r="L2367" s="32"/>
      <c r="M2367" s="32"/>
    </row>
    <row r="2368" customFormat="false" ht="15" hidden="false" customHeight="true" outlineLevel="0" collapsed="false">
      <c r="A2368" s="32"/>
      <c r="B2368" s="32"/>
      <c r="C2368" s="32"/>
      <c r="D2368" s="32"/>
      <c r="E2368" s="34" t="str">
        <f aca="false">IF($B2368="","",IF($B2368="OUT","Liters",IFERROR(INDEX(Setup!$F$3:$F$24,MATCH($C2368,Setup!$A$3:$A$24,0)),"")))</f>
        <v/>
      </c>
      <c r="F2368" s="28" t="str">
        <f aca="false">IF(OR($D2368="",$E2368=""),"",IFERROR($D2368*INDEX(Setup!$B$27:$B$44,MATCH($E2368,Setup!$A$27:$A$44,0)),"TBD"))</f>
        <v/>
      </c>
      <c r="G2368" s="32"/>
      <c r="H2368" s="32"/>
      <c r="I2368" s="32"/>
      <c r="J2368" s="32"/>
      <c r="K2368" s="35"/>
      <c r="L2368" s="32"/>
      <c r="M2368" s="32"/>
    </row>
    <row r="2369" customFormat="false" ht="15" hidden="false" customHeight="true" outlineLevel="0" collapsed="false">
      <c r="A2369" s="32"/>
      <c r="B2369" s="32"/>
      <c r="C2369" s="32"/>
      <c r="D2369" s="32"/>
      <c r="E2369" s="34" t="str">
        <f aca="false">IF($B2369="","",IF($B2369="OUT","Liters",IFERROR(INDEX(Setup!$F$3:$F$24,MATCH($C2369,Setup!$A$3:$A$24,0)),"")))</f>
        <v/>
      </c>
      <c r="F2369" s="28" t="str">
        <f aca="false">IF(OR($D2369="",$E2369=""),"",IFERROR($D2369*INDEX(Setup!$B$27:$B$44,MATCH($E2369,Setup!$A$27:$A$44,0)),"TBD"))</f>
        <v/>
      </c>
      <c r="G2369" s="32"/>
      <c r="H2369" s="32"/>
      <c r="I2369" s="32"/>
      <c r="J2369" s="32"/>
      <c r="K2369" s="35"/>
      <c r="L2369" s="32"/>
      <c r="M2369" s="32"/>
    </row>
    <row r="2370" customFormat="false" ht="15" hidden="false" customHeight="true" outlineLevel="0" collapsed="false">
      <c r="A2370" s="32"/>
      <c r="B2370" s="32"/>
      <c r="C2370" s="32"/>
      <c r="D2370" s="32"/>
      <c r="E2370" s="34" t="str">
        <f aca="false">IF($B2370="","",IF($B2370="OUT","Liters",IFERROR(INDEX(Setup!$F$3:$F$24,MATCH($C2370,Setup!$A$3:$A$24,0)),"")))</f>
        <v/>
      </c>
      <c r="F2370" s="28" t="str">
        <f aca="false">IF(OR($D2370="",$E2370=""),"",IFERROR($D2370*INDEX(Setup!$B$27:$B$44,MATCH($E2370,Setup!$A$27:$A$44,0)),"TBD"))</f>
        <v/>
      </c>
      <c r="G2370" s="32"/>
      <c r="H2370" s="32"/>
      <c r="I2370" s="32"/>
      <c r="J2370" s="32"/>
      <c r="K2370" s="35"/>
      <c r="L2370" s="32"/>
      <c r="M2370" s="32"/>
    </row>
    <row r="2371" customFormat="false" ht="15" hidden="false" customHeight="true" outlineLevel="0" collapsed="false">
      <c r="A2371" s="32"/>
      <c r="B2371" s="32"/>
      <c r="C2371" s="32"/>
      <c r="D2371" s="32"/>
      <c r="E2371" s="34" t="str">
        <f aca="false">IF($B2371="","",IF($B2371="OUT","Liters",IFERROR(INDEX(Setup!$F$3:$F$24,MATCH($C2371,Setup!$A$3:$A$24,0)),"")))</f>
        <v/>
      </c>
      <c r="F2371" s="28" t="str">
        <f aca="false">IF(OR($D2371="",$E2371=""),"",IFERROR($D2371*INDEX(Setup!$B$27:$B$44,MATCH($E2371,Setup!$A$27:$A$44,0)),"TBD"))</f>
        <v/>
      </c>
      <c r="G2371" s="32"/>
      <c r="H2371" s="32"/>
      <c r="I2371" s="32"/>
      <c r="J2371" s="32"/>
      <c r="K2371" s="35"/>
      <c r="L2371" s="32"/>
      <c r="M2371" s="32"/>
    </row>
    <row r="2372" customFormat="false" ht="15" hidden="false" customHeight="true" outlineLevel="0" collapsed="false">
      <c r="A2372" s="32"/>
      <c r="B2372" s="32"/>
      <c r="C2372" s="32"/>
      <c r="D2372" s="32"/>
      <c r="E2372" s="34" t="str">
        <f aca="false">IF($B2372="","",IF($B2372="OUT","Liters",IFERROR(INDEX(Setup!$F$3:$F$24,MATCH($C2372,Setup!$A$3:$A$24,0)),"")))</f>
        <v/>
      </c>
      <c r="F2372" s="28" t="str">
        <f aca="false">IF(OR($D2372="",$E2372=""),"",IFERROR($D2372*INDEX(Setup!$B$27:$B$44,MATCH($E2372,Setup!$A$27:$A$44,0)),"TBD"))</f>
        <v/>
      </c>
      <c r="G2372" s="32"/>
      <c r="H2372" s="32"/>
      <c r="I2372" s="32"/>
      <c r="J2372" s="32"/>
      <c r="K2372" s="35"/>
      <c r="L2372" s="32"/>
      <c r="M2372" s="32"/>
    </row>
    <row r="2373" customFormat="false" ht="15" hidden="false" customHeight="true" outlineLevel="0" collapsed="false">
      <c r="A2373" s="32"/>
      <c r="B2373" s="32"/>
      <c r="C2373" s="32"/>
      <c r="D2373" s="32"/>
      <c r="E2373" s="34" t="str">
        <f aca="false">IF($B2373="","",IF($B2373="OUT","Liters",IFERROR(INDEX(Setup!$F$3:$F$24,MATCH($C2373,Setup!$A$3:$A$24,0)),"")))</f>
        <v/>
      </c>
      <c r="F2373" s="28" t="str">
        <f aca="false">IF(OR($D2373="",$E2373=""),"",IFERROR($D2373*INDEX(Setup!$B$27:$B$44,MATCH($E2373,Setup!$A$27:$A$44,0)),"TBD"))</f>
        <v/>
      </c>
      <c r="G2373" s="32"/>
      <c r="H2373" s="32"/>
      <c r="I2373" s="32"/>
      <c r="J2373" s="32"/>
      <c r="K2373" s="35"/>
      <c r="L2373" s="32"/>
      <c r="M2373" s="32"/>
    </row>
    <row r="2374" customFormat="false" ht="15" hidden="false" customHeight="true" outlineLevel="0" collapsed="false">
      <c r="A2374" s="32"/>
      <c r="B2374" s="32"/>
      <c r="C2374" s="32"/>
      <c r="D2374" s="32"/>
      <c r="E2374" s="34" t="str">
        <f aca="false">IF($B2374="","",IF($B2374="OUT","Liters",IFERROR(INDEX(Setup!$F$3:$F$24,MATCH($C2374,Setup!$A$3:$A$24,0)),"")))</f>
        <v/>
      </c>
      <c r="F2374" s="28" t="str">
        <f aca="false">IF(OR($D2374="",$E2374=""),"",IFERROR($D2374*INDEX(Setup!$B$27:$B$44,MATCH($E2374,Setup!$A$27:$A$44,0)),"TBD"))</f>
        <v/>
      </c>
      <c r="G2374" s="32"/>
      <c r="H2374" s="32"/>
      <c r="I2374" s="32"/>
      <c r="J2374" s="32"/>
      <c r="K2374" s="35"/>
      <c r="L2374" s="32"/>
      <c r="M2374" s="32"/>
    </row>
    <row r="2375" customFormat="false" ht="15" hidden="false" customHeight="true" outlineLevel="0" collapsed="false">
      <c r="A2375" s="32"/>
      <c r="B2375" s="32"/>
      <c r="C2375" s="32"/>
      <c r="D2375" s="32"/>
      <c r="E2375" s="34" t="str">
        <f aca="false">IF($B2375="","",IF($B2375="OUT","Liters",IFERROR(INDEX(Setup!$F$3:$F$24,MATCH($C2375,Setup!$A$3:$A$24,0)),"")))</f>
        <v/>
      </c>
      <c r="F2375" s="28" t="str">
        <f aca="false">IF(OR($D2375="",$E2375=""),"",IFERROR($D2375*INDEX(Setup!$B$27:$B$44,MATCH($E2375,Setup!$A$27:$A$44,0)),"TBD"))</f>
        <v/>
      </c>
      <c r="G2375" s="32"/>
      <c r="H2375" s="32"/>
      <c r="I2375" s="32"/>
      <c r="J2375" s="32"/>
      <c r="K2375" s="35"/>
      <c r="L2375" s="32"/>
      <c r="M2375" s="32"/>
    </row>
    <row r="2376" customFormat="false" ht="15" hidden="false" customHeight="true" outlineLevel="0" collapsed="false">
      <c r="A2376" s="32"/>
      <c r="B2376" s="32"/>
      <c r="C2376" s="32"/>
      <c r="D2376" s="32"/>
      <c r="E2376" s="34" t="str">
        <f aca="false">IF($B2376="","",IF($B2376="OUT","Liters",IFERROR(INDEX(Setup!$F$3:$F$24,MATCH($C2376,Setup!$A$3:$A$24,0)),"")))</f>
        <v/>
      </c>
      <c r="F2376" s="28" t="str">
        <f aca="false">IF(OR($D2376="",$E2376=""),"",IFERROR($D2376*INDEX(Setup!$B$27:$B$44,MATCH($E2376,Setup!$A$27:$A$44,0)),"TBD"))</f>
        <v/>
      </c>
      <c r="G2376" s="32"/>
      <c r="H2376" s="32"/>
      <c r="I2376" s="32"/>
      <c r="J2376" s="32"/>
      <c r="K2376" s="35"/>
      <c r="L2376" s="32"/>
      <c r="M2376" s="32"/>
    </row>
    <row r="2377" customFormat="false" ht="15" hidden="false" customHeight="true" outlineLevel="0" collapsed="false">
      <c r="A2377" s="32"/>
      <c r="B2377" s="32"/>
      <c r="C2377" s="32"/>
      <c r="D2377" s="32"/>
      <c r="E2377" s="34" t="str">
        <f aca="false">IF($B2377="","",IF($B2377="OUT","Liters",IFERROR(INDEX(Setup!$F$3:$F$24,MATCH($C2377,Setup!$A$3:$A$24,0)),"")))</f>
        <v/>
      </c>
      <c r="F2377" s="28" t="str">
        <f aca="false">IF(OR($D2377="",$E2377=""),"",IFERROR($D2377*INDEX(Setup!$B$27:$B$44,MATCH($E2377,Setup!$A$27:$A$44,0)),"TBD"))</f>
        <v/>
      </c>
      <c r="G2377" s="32"/>
      <c r="H2377" s="32"/>
      <c r="I2377" s="32"/>
      <c r="J2377" s="32"/>
      <c r="K2377" s="35"/>
      <c r="L2377" s="32"/>
      <c r="M2377" s="32"/>
    </row>
    <row r="2378" customFormat="false" ht="15" hidden="false" customHeight="true" outlineLevel="0" collapsed="false">
      <c r="A2378" s="32"/>
      <c r="B2378" s="32"/>
      <c r="C2378" s="32"/>
      <c r="D2378" s="32"/>
      <c r="E2378" s="34" t="str">
        <f aca="false">IF($B2378="","",IF($B2378="OUT","Liters",IFERROR(INDEX(Setup!$F$3:$F$24,MATCH($C2378,Setup!$A$3:$A$24,0)),"")))</f>
        <v/>
      </c>
      <c r="F2378" s="28" t="str">
        <f aca="false">IF(OR($D2378="",$E2378=""),"",IFERROR($D2378*INDEX(Setup!$B$27:$B$44,MATCH($E2378,Setup!$A$27:$A$44,0)),"TBD"))</f>
        <v/>
      </c>
      <c r="G2378" s="32"/>
      <c r="H2378" s="32"/>
      <c r="I2378" s="32"/>
      <c r="J2378" s="32"/>
      <c r="K2378" s="35"/>
      <c r="L2378" s="32"/>
      <c r="M2378" s="32"/>
    </row>
    <row r="2379" customFormat="false" ht="15" hidden="false" customHeight="true" outlineLevel="0" collapsed="false">
      <c r="A2379" s="32"/>
      <c r="B2379" s="32"/>
      <c r="C2379" s="32"/>
      <c r="D2379" s="32"/>
      <c r="E2379" s="34" t="str">
        <f aca="false">IF($B2379="","",IF($B2379="OUT","Liters",IFERROR(INDEX(Setup!$F$3:$F$24,MATCH($C2379,Setup!$A$3:$A$24,0)),"")))</f>
        <v/>
      </c>
      <c r="F2379" s="28" t="str">
        <f aca="false">IF(OR($D2379="",$E2379=""),"",IFERROR($D2379*INDEX(Setup!$B$27:$B$44,MATCH($E2379,Setup!$A$27:$A$44,0)),"TBD"))</f>
        <v/>
      </c>
      <c r="G2379" s="32"/>
      <c r="H2379" s="32"/>
      <c r="I2379" s="32"/>
      <c r="J2379" s="32"/>
      <c r="K2379" s="35"/>
      <c r="L2379" s="32"/>
      <c r="M2379" s="32"/>
    </row>
    <row r="2380" customFormat="false" ht="15" hidden="false" customHeight="true" outlineLevel="0" collapsed="false">
      <c r="A2380" s="32"/>
      <c r="B2380" s="32"/>
      <c r="C2380" s="32"/>
      <c r="D2380" s="32"/>
      <c r="E2380" s="34" t="str">
        <f aca="false">IF($B2380="","",IF($B2380="OUT","Liters",IFERROR(INDEX(Setup!$F$3:$F$24,MATCH($C2380,Setup!$A$3:$A$24,0)),"")))</f>
        <v/>
      </c>
      <c r="F2380" s="28" t="str">
        <f aca="false">IF(OR($D2380="",$E2380=""),"",IFERROR($D2380*INDEX(Setup!$B$27:$B$44,MATCH($E2380,Setup!$A$27:$A$44,0)),"TBD"))</f>
        <v/>
      </c>
      <c r="G2380" s="32"/>
      <c r="H2380" s="32"/>
      <c r="I2380" s="32"/>
      <c r="J2380" s="32"/>
      <c r="K2380" s="35"/>
      <c r="L2380" s="32"/>
      <c r="M2380" s="32"/>
    </row>
    <row r="2381" customFormat="false" ht="15" hidden="false" customHeight="true" outlineLevel="0" collapsed="false">
      <c r="A2381" s="32"/>
      <c r="B2381" s="32"/>
      <c r="C2381" s="32"/>
      <c r="D2381" s="32"/>
      <c r="E2381" s="34" t="str">
        <f aca="false">IF($B2381="","",IF($B2381="OUT","Liters",IFERROR(INDEX(Setup!$F$3:$F$24,MATCH($C2381,Setup!$A$3:$A$24,0)),"")))</f>
        <v/>
      </c>
      <c r="F2381" s="28" t="str">
        <f aca="false">IF(OR($D2381="",$E2381=""),"",IFERROR($D2381*INDEX(Setup!$B$27:$B$44,MATCH($E2381,Setup!$A$27:$A$44,0)),"TBD"))</f>
        <v/>
      </c>
      <c r="G2381" s="32"/>
      <c r="H2381" s="32"/>
      <c r="I2381" s="32"/>
      <c r="J2381" s="32"/>
      <c r="K2381" s="35"/>
      <c r="L2381" s="32"/>
      <c r="M2381" s="32"/>
    </row>
    <row r="2382" customFormat="false" ht="15" hidden="false" customHeight="true" outlineLevel="0" collapsed="false">
      <c r="A2382" s="32"/>
      <c r="B2382" s="32"/>
      <c r="C2382" s="32"/>
      <c r="D2382" s="32"/>
      <c r="E2382" s="34" t="str">
        <f aca="false">IF($B2382="","",IF($B2382="OUT","Liters",IFERROR(INDEX(Setup!$F$3:$F$24,MATCH($C2382,Setup!$A$3:$A$24,0)),"")))</f>
        <v/>
      </c>
      <c r="F2382" s="28" t="str">
        <f aca="false">IF(OR($D2382="",$E2382=""),"",IFERROR($D2382*INDEX(Setup!$B$27:$B$44,MATCH($E2382,Setup!$A$27:$A$44,0)),"TBD"))</f>
        <v/>
      </c>
      <c r="G2382" s="32"/>
      <c r="H2382" s="32"/>
      <c r="I2382" s="32"/>
      <c r="J2382" s="32"/>
      <c r="K2382" s="35"/>
      <c r="L2382" s="32"/>
      <c r="M2382" s="32"/>
    </row>
    <row r="2383" customFormat="false" ht="15" hidden="false" customHeight="true" outlineLevel="0" collapsed="false">
      <c r="A2383" s="32"/>
      <c r="B2383" s="32"/>
      <c r="C2383" s="32"/>
      <c r="D2383" s="32"/>
      <c r="E2383" s="34" t="str">
        <f aca="false">IF($B2383="","",IF($B2383="OUT","Liters",IFERROR(INDEX(Setup!$F$3:$F$24,MATCH($C2383,Setup!$A$3:$A$24,0)),"")))</f>
        <v/>
      </c>
      <c r="F2383" s="28" t="str">
        <f aca="false">IF(OR($D2383="",$E2383=""),"",IFERROR($D2383*INDEX(Setup!$B$27:$B$44,MATCH($E2383,Setup!$A$27:$A$44,0)),"TBD"))</f>
        <v/>
      </c>
      <c r="G2383" s="32"/>
      <c r="H2383" s="32"/>
      <c r="I2383" s="32"/>
      <c r="J2383" s="32"/>
      <c r="K2383" s="35"/>
      <c r="L2383" s="32"/>
      <c r="M2383" s="32"/>
    </row>
    <row r="2384" customFormat="false" ht="15" hidden="false" customHeight="true" outlineLevel="0" collapsed="false">
      <c r="A2384" s="32"/>
      <c r="B2384" s="32"/>
      <c r="C2384" s="32"/>
      <c r="D2384" s="32"/>
      <c r="E2384" s="34" t="str">
        <f aca="false">IF($B2384="","",IF($B2384="OUT","Liters",IFERROR(INDEX(Setup!$F$3:$F$24,MATCH($C2384,Setup!$A$3:$A$24,0)),"")))</f>
        <v/>
      </c>
      <c r="F2384" s="28" t="str">
        <f aca="false">IF(OR($D2384="",$E2384=""),"",IFERROR($D2384*INDEX(Setup!$B$27:$B$44,MATCH($E2384,Setup!$A$27:$A$44,0)),"TBD"))</f>
        <v/>
      </c>
      <c r="G2384" s="32"/>
      <c r="H2384" s="32"/>
      <c r="I2384" s="32"/>
      <c r="J2384" s="32"/>
      <c r="K2384" s="35"/>
      <c r="L2384" s="32"/>
      <c r="M2384" s="32"/>
    </row>
    <row r="2385" customFormat="false" ht="15" hidden="false" customHeight="true" outlineLevel="0" collapsed="false">
      <c r="A2385" s="32"/>
      <c r="B2385" s="32"/>
      <c r="C2385" s="32"/>
      <c r="D2385" s="32"/>
      <c r="E2385" s="34" t="str">
        <f aca="false">IF($B2385="","",IF($B2385="OUT","Liters",IFERROR(INDEX(Setup!$F$3:$F$24,MATCH($C2385,Setup!$A$3:$A$24,0)),"")))</f>
        <v/>
      </c>
      <c r="F2385" s="28" t="str">
        <f aca="false">IF(OR($D2385="",$E2385=""),"",IFERROR($D2385*INDEX(Setup!$B$27:$B$44,MATCH($E2385,Setup!$A$27:$A$44,0)),"TBD"))</f>
        <v/>
      </c>
      <c r="G2385" s="32"/>
      <c r="H2385" s="32"/>
      <c r="I2385" s="32"/>
      <c r="J2385" s="32"/>
      <c r="K2385" s="35"/>
      <c r="L2385" s="32"/>
      <c r="M2385" s="32"/>
    </row>
    <row r="2386" customFormat="false" ht="15" hidden="false" customHeight="true" outlineLevel="0" collapsed="false">
      <c r="A2386" s="32"/>
      <c r="B2386" s="32"/>
      <c r="C2386" s="32"/>
      <c r="D2386" s="32"/>
      <c r="E2386" s="34" t="str">
        <f aca="false">IF($B2386="","",IF($B2386="OUT","Liters",IFERROR(INDEX(Setup!$F$3:$F$24,MATCH($C2386,Setup!$A$3:$A$24,0)),"")))</f>
        <v/>
      </c>
      <c r="F2386" s="28" t="str">
        <f aca="false">IF(OR($D2386="",$E2386=""),"",IFERROR($D2386*INDEX(Setup!$B$27:$B$44,MATCH($E2386,Setup!$A$27:$A$44,0)),"TBD"))</f>
        <v/>
      </c>
      <c r="G2386" s="32"/>
      <c r="H2386" s="32"/>
      <c r="I2386" s="32"/>
      <c r="J2386" s="32"/>
      <c r="K2386" s="35"/>
      <c r="L2386" s="32"/>
      <c r="M2386" s="32"/>
    </row>
    <row r="2387" customFormat="false" ht="15" hidden="false" customHeight="true" outlineLevel="0" collapsed="false">
      <c r="A2387" s="32"/>
      <c r="B2387" s="32"/>
      <c r="C2387" s="32"/>
      <c r="D2387" s="32"/>
      <c r="E2387" s="34" t="str">
        <f aca="false">IF($B2387="","",IF($B2387="OUT","Liters",IFERROR(INDEX(Setup!$F$3:$F$24,MATCH($C2387,Setup!$A$3:$A$24,0)),"")))</f>
        <v/>
      </c>
      <c r="F2387" s="28" t="str">
        <f aca="false">IF(OR($D2387="",$E2387=""),"",IFERROR($D2387*INDEX(Setup!$B$27:$B$44,MATCH($E2387,Setup!$A$27:$A$44,0)),"TBD"))</f>
        <v/>
      </c>
      <c r="G2387" s="32"/>
      <c r="H2387" s="32"/>
      <c r="I2387" s="32"/>
      <c r="J2387" s="32"/>
      <c r="K2387" s="35"/>
      <c r="L2387" s="32"/>
      <c r="M2387" s="32"/>
    </row>
    <row r="2388" customFormat="false" ht="15" hidden="false" customHeight="true" outlineLevel="0" collapsed="false">
      <c r="A2388" s="32"/>
      <c r="B2388" s="32"/>
      <c r="C2388" s="32"/>
      <c r="D2388" s="32"/>
      <c r="E2388" s="34" t="str">
        <f aca="false">IF($B2388="","",IF($B2388="OUT","Liters",IFERROR(INDEX(Setup!$F$3:$F$24,MATCH($C2388,Setup!$A$3:$A$24,0)),"")))</f>
        <v/>
      </c>
      <c r="F2388" s="28" t="str">
        <f aca="false">IF(OR($D2388="",$E2388=""),"",IFERROR($D2388*INDEX(Setup!$B$27:$B$44,MATCH($E2388,Setup!$A$27:$A$44,0)),"TBD"))</f>
        <v/>
      </c>
      <c r="G2388" s="32"/>
      <c r="H2388" s="32"/>
      <c r="I2388" s="32"/>
      <c r="J2388" s="32"/>
      <c r="K2388" s="35"/>
      <c r="L2388" s="32"/>
      <c r="M2388" s="32"/>
    </row>
    <row r="2389" customFormat="false" ht="15" hidden="false" customHeight="true" outlineLevel="0" collapsed="false">
      <c r="A2389" s="32"/>
      <c r="B2389" s="32"/>
      <c r="C2389" s="32"/>
      <c r="D2389" s="32"/>
      <c r="E2389" s="34" t="str">
        <f aca="false">IF($B2389="","",IF($B2389="OUT","Liters",IFERROR(INDEX(Setup!$F$3:$F$24,MATCH($C2389,Setup!$A$3:$A$24,0)),"")))</f>
        <v/>
      </c>
      <c r="F2389" s="28" t="str">
        <f aca="false">IF(OR($D2389="",$E2389=""),"",IFERROR($D2389*INDEX(Setup!$B$27:$B$44,MATCH($E2389,Setup!$A$27:$A$44,0)),"TBD"))</f>
        <v/>
      </c>
      <c r="G2389" s="32"/>
      <c r="H2389" s="32"/>
      <c r="I2389" s="32"/>
      <c r="J2389" s="32"/>
      <c r="K2389" s="35"/>
      <c r="L2389" s="32"/>
      <c r="M2389" s="32"/>
    </row>
    <row r="2390" customFormat="false" ht="15" hidden="false" customHeight="true" outlineLevel="0" collapsed="false">
      <c r="A2390" s="32"/>
      <c r="B2390" s="32"/>
      <c r="C2390" s="32"/>
      <c r="D2390" s="32"/>
      <c r="E2390" s="34" t="str">
        <f aca="false">IF($B2390="","",IF($B2390="OUT","Liters",IFERROR(INDEX(Setup!$F$3:$F$24,MATCH($C2390,Setup!$A$3:$A$24,0)),"")))</f>
        <v/>
      </c>
      <c r="F2390" s="28" t="str">
        <f aca="false">IF(OR($D2390="",$E2390=""),"",IFERROR($D2390*INDEX(Setup!$B$27:$B$44,MATCH($E2390,Setup!$A$27:$A$44,0)),"TBD"))</f>
        <v/>
      </c>
      <c r="G2390" s="32"/>
      <c r="H2390" s="32"/>
      <c r="I2390" s="32"/>
      <c r="J2390" s="32"/>
      <c r="K2390" s="35"/>
      <c r="L2390" s="32"/>
      <c r="M2390" s="32"/>
    </row>
    <row r="2391" customFormat="false" ht="15" hidden="false" customHeight="true" outlineLevel="0" collapsed="false">
      <c r="A2391" s="32"/>
      <c r="B2391" s="32"/>
      <c r="C2391" s="32"/>
      <c r="D2391" s="32"/>
      <c r="E2391" s="34" t="str">
        <f aca="false">IF($B2391="","",IF($B2391="OUT","Liters",IFERROR(INDEX(Setup!$F$3:$F$24,MATCH($C2391,Setup!$A$3:$A$24,0)),"")))</f>
        <v/>
      </c>
      <c r="F2391" s="28" t="str">
        <f aca="false">IF(OR($D2391="",$E2391=""),"",IFERROR($D2391*INDEX(Setup!$B$27:$B$44,MATCH($E2391,Setup!$A$27:$A$44,0)),"TBD"))</f>
        <v/>
      </c>
      <c r="G2391" s="32"/>
      <c r="H2391" s="32"/>
      <c r="I2391" s="32"/>
      <c r="J2391" s="32"/>
      <c r="K2391" s="35"/>
      <c r="L2391" s="32"/>
      <c r="M2391" s="32"/>
    </row>
    <row r="2392" customFormat="false" ht="15" hidden="false" customHeight="true" outlineLevel="0" collapsed="false">
      <c r="A2392" s="32"/>
      <c r="B2392" s="32"/>
      <c r="C2392" s="32"/>
      <c r="D2392" s="32"/>
      <c r="E2392" s="34" t="str">
        <f aca="false">IF($B2392="","",IF($B2392="OUT","Liters",IFERROR(INDEX(Setup!$F$3:$F$24,MATCH($C2392,Setup!$A$3:$A$24,0)),"")))</f>
        <v/>
      </c>
      <c r="F2392" s="28" t="str">
        <f aca="false">IF(OR($D2392="",$E2392=""),"",IFERROR($D2392*INDEX(Setup!$B$27:$B$44,MATCH($E2392,Setup!$A$27:$A$44,0)),"TBD"))</f>
        <v/>
      </c>
      <c r="G2392" s="32"/>
      <c r="H2392" s="32"/>
      <c r="I2392" s="32"/>
      <c r="J2392" s="32"/>
      <c r="K2392" s="35"/>
      <c r="L2392" s="32"/>
      <c r="M2392" s="32"/>
    </row>
    <row r="2393" customFormat="false" ht="15" hidden="false" customHeight="true" outlineLevel="0" collapsed="false">
      <c r="A2393" s="32"/>
      <c r="B2393" s="32"/>
      <c r="C2393" s="32"/>
      <c r="D2393" s="32"/>
      <c r="E2393" s="34" t="str">
        <f aca="false">IF($B2393="","",IF($B2393="OUT","Liters",IFERROR(INDEX(Setup!$F$3:$F$24,MATCH($C2393,Setup!$A$3:$A$24,0)),"")))</f>
        <v/>
      </c>
      <c r="F2393" s="28" t="str">
        <f aca="false">IF(OR($D2393="",$E2393=""),"",IFERROR($D2393*INDEX(Setup!$B$27:$B$44,MATCH($E2393,Setup!$A$27:$A$44,0)),"TBD"))</f>
        <v/>
      </c>
      <c r="G2393" s="32"/>
      <c r="H2393" s="32"/>
      <c r="I2393" s="32"/>
      <c r="J2393" s="32"/>
      <c r="K2393" s="35"/>
      <c r="L2393" s="32"/>
      <c r="M2393" s="32"/>
    </row>
    <row r="2394" customFormat="false" ht="15" hidden="false" customHeight="true" outlineLevel="0" collapsed="false">
      <c r="A2394" s="32"/>
      <c r="B2394" s="32"/>
      <c r="C2394" s="32"/>
      <c r="D2394" s="32"/>
      <c r="E2394" s="34" t="str">
        <f aca="false">IF($B2394="","",IF($B2394="OUT","Liters",IFERROR(INDEX(Setup!$F$3:$F$24,MATCH($C2394,Setup!$A$3:$A$24,0)),"")))</f>
        <v/>
      </c>
      <c r="F2394" s="28" t="str">
        <f aca="false">IF(OR($D2394="",$E2394=""),"",IFERROR($D2394*INDEX(Setup!$B$27:$B$44,MATCH($E2394,Setup!$A$27:$A$44,0)),"TBD"))</f>
        <v/>
      </c>
      <c r="G2394" s="32"/>
      <c r="H2394" s="32"/>
      <c r="I2394" s="32"/>
      <c r="J2394" s="32"/>
      <c r="K2394" s="35"/>
      <c r="L2394" s="32"/>
      <c r="M2394" s="32"/>
    </row>
    <row r="2395" customFormat="false" ht="15" hidden="false" customHeight="true" outlineLevel="0" collapsed="false">
      <c r="A2395" s="32"/>
      <c r="B2395" s="32"/>
      <c r="C2395" s="32"/>
      <c r="D2395" s="32"/>
      <c r="E2395" s="34" t="str">
        <f aca="false">IF($B2395="","",IF($B2395="OUT","Liters",IFERROR(INDEX(Setup!$F$3:$F$24,MATCH($C2395,Setup!$A$3:$A$24,0)),"")))</f>
        <v/>
      </c>
      <c r="F2395" s="28" t="str">
        <f aca="false">IF(OR($D2395="",$E2395=""),"",IFERROR($D2395*INDEX(Setup!$B$27:$B$44,MATCH($E2395,Setup!$A$27:$A$44,0)),"TBD"))</f>
        <v/>
      </c>
      <c r="G2395" s="32"/>
      <c r="H2395" s="32"/>
      <c r="I2395" s="32"/>
      <c r="J2395" s="32"/>
      <c r="K2395" s="35"/>
      <c r="L2395" s="32"/>
      <c r="M2395" s="32"/>
    </row>
    <row r="2396" customFormat="false" ht="15" hidden="false" customHeight="true" outlineLevel="0" collapsed="false">
      <c r="A2396" s="32"/>
      <c r="B2396" s="32"/>
      <c r="C2396" s="32"/>
      <c r="D2396" s="32"/>
      <c r="E2396" s="34" t="str">
        <f aca="false">IF($B2396="","",IF($B2396="OUT","Liters",IFERROR(INDEX(Setup!$F$3:$F$24,MATCH($C2396,Setup!$A$3:$A$24,0)),"")))</f>
        <v/>
      </c>
      <c r="F2396" s="28" t="str">
        <f aca="false">IF(OR($D2396="",$E2396=""),"",IFERROR($D2396*INDEX(Setup!$B$27:$B$44,MATCH($E2396,Setup!$A$27:$A$44,0)),"TBD"))</f>
        <v/>
      </c>
      <c r="G2396" s="32"/>
      <c r="H2396" s="32"/>
      <c r="I2396" s="32"/>
      <c r="J2396" s="32"/>
      <c r="K2396" s="35"/>
      <c r="L2396" s="32"/>
      <c r="M2396" s="32"/>
    </row>
    <row r="2397" customFormat="false" ht="15" hidden="false" customHeight="true" outlineLevel="0" collapsed="false">
      <c r="A2397" s="32"/>
      <c r="B2397" s="32"/>
      <c r="C2397" s="32"/>
      <c r="D2397" s="32"/>
      <c r="E2397" s="34" t="str">
        <f aca="false">IF($B2397="","",IF($B2397="OUT","Liters",IFERROR(INDEX(Setup!$F$3:$F$24,MATCH($C2397,Setup!$A$3:$A$24,0)),"")))</f>
        <v/>
      </c>
      <c r="F2397" s="28" t="str">
        <f aca="false">IF(OR($D2397="",$E2397=""),"",IFERROR($D2397*INDEX(Setup!$B$27:$B$44,MATCH($E2397,Setup!$A$27:$A$44,0)),"TBD"))</f>
        <v/>
      </c>
      <c r="G2397" s="32"/>
      <c r="H2397" s="32"/>
      <c r="I2397" s="32"/>
      <c r="J2397" s="32"/>
      <c r="K2397" s="35"/>
      <c r="L2397" s="32"/>
      <c r="M2397" s="32"/>
    </row>
    <row r="2398" customFormat="false" ht="15" hidden="false" customHeight="true" outlineLevel="0" collapsed="false">
      <c r="A2398" s="32"/>
      <c r="B2398" s="32"/>
      <c r="C2398" s="32"/>
      <c r="D2398" s="32"/>
      <c r="E2398" s="34" t="str">
        <f aca="false">IF($B2398="","",IF($B2398="OUT","Liters",IFERROR(INDEX(Setup!$F$3:$F$24,MATCH($C2398,Setup!$A$3:$A$24,0)),"")))</f>
        <v/>
      </c>
      <c r="F2398" s="28" t="str">
        <f aca="false">IF(OR($D2398="",$E2398=""),"",IFERROR($D2398*INDEX(Setup!$B$27:$B$44,MATCH($E2398,Setup!$A$27:$A$44,0)),"TBD"))</f>
        <v/>
      </c>
      <c r="G2398" s="32"/>
      <c r="H2398" s="32"/>
      <c r="I2398" s="32"/>
      <c r="J2398" s="32"/>
      <c r="K2398" s="35"/>
      <c r="L2398" s="32"/>
      <c r="M2398" s="32"/>
    </row>
    <row r="2399" customFormat="false" ht="15" hidden="false" customHeight="true" outlineLevel="0" collapsed="false">
      <c r="A2399" s="32"/>
      <c r="B2399" s="32"/>
      <c r="C2399" s="32"/>
      <c r="D2399" s="32"/>
      <c r="E2399" s="34" t="str">
        <f aca="false">IF($B2399="","",IF($B2399="OUT","Liters",IFERROR(INDEX(Setup!$F$3:$F$24,MATCH($C2399,Setup!$A$3:$A$24,0)),"")))</f>
        <v/>
      </c>
      <c r="F2399" s="28" t="str">
        <f aca="false">IF(OR($D2399="",$E2399=""),"",IFERROR($D2399*INDEX(Setup!$B$27:$B$44,MATCH($E2399,Setup!$A$27:$A$44,0)),"TBD"))</f>
        <v/>
      </c>
      <c r="G2399" s="32"/>
      <c r="H2399" s="32"/>
      <c r="I2399" s="32"/>
      <c r="J2399" s="32"/>
      <c r="K2399" s="35"/>
      <c r="L2399" s="32"/>
      <c r="M2399" s="32"/>
    </row>
    <row r="2400" customFormat="false" ht="15" hidden="false" customHeight="true" outlineLevel="0" collapsed="false">
      <c r="A2400" s="32"/>
      <c r="B2400" s="32"/>
      <c r="C2400" s="32"/>
      <c r="D2400" s="32"/>
      <c r="E2400" s="34" t="str">
        <f aca="false">IF($B2400="","",IF($B2400="OUT","Liters",IFERROR(INDEX(Setup!$F$3:$F$24,MATCH($C2400,Setup!$A$3:$A$24,0)),"")))</f>
        <v/>
      </c>
      <c r="F2400" s="28" t="str">
        <f aca="false">IF(OR($D2400="",$E2400=""),"",IFERROR($D2400*INDEX(Setup!$B$27:$B$44,MATCH($E2400,Setup!$A$27:$A$44,0)),"TBD"))</f>
        <v/>
      </c>
      <c r="G2400" s="32"/>
      <c r="H2400" s="32"/>
      <c r="I2400" s="32"/>
      <c r="J2400" s="32"/>
      <c r="K2400" s="35"/>
      <c r="L2400" s="32"/>
      <c r="M2400" s="32"/>
    </row>
    <row r="2401" customFormat="false" ht="15" hidden="false" customHeight="true" outlineLevel="0" collapsed="false">
      <c r="A2401" s="32"/>
      <c r="B2401" s="32"/>
      <c r="C2401" s="32"/>
      <c r="D2401" s="32"/>
      <c r="E2401" s="34" t="str">
        <f aca="false">IF($B2401="","",IF($B2401="OUT","Liters",IFERROR(INDEX(Setup!$F$3:$F$24,MATCH($C2401,Setup!$A$3:$A$24,0)),"")))</f>
        <v/>
      </c>
      <c r="F2401" s="28" t="str">
        <f aca="false">IF(OR($D2401="",$E2401=""),"",IFERROR($D2401*INDEX(Setup!$B$27:$B$44,MATCH($E2401,Setup!$A$27:$A$44,0)),"TBD"))</f>
        <v/>
      </c>
      <c r="G2401" s="32"/>
      <c r="H2401" s="32"/>
      <c r="I2401" s="32"/>
      <c r="J2401" s="32"/>
      <c r="K2401" s="35"/>
      <c r="L2401" s="32"/>
      <c r="M2401" s="32"/>
    </row>
    <row r="2402" customFormat="false" ht="15" hidden="false" customHeight="true" outlineLevel="0" collapsed="false">
      <c r="A2402" s="32"/>
      <c r="B2402" s="32"/>
      <c r="C2402" s="32"/>
      <c r="D2402" s="32"/>
      <c r="E2402" s="34" t="str">
        <f aca="false">IF($B2402="","",IF($B2402="OUT","Liters",IFERROR(INDEX(Setup!$F$3:$F$24,MATCH($C2402,Setup!$A$3:$A$24,0)),"")))</f>
        <v/>
      </c>
      <c r="F2402" s="28" t="str">
        <f aca="false">IF(OR($D2402="",$E2402=""),"",IFERROR($D2402*INDEX(Setup!$B$27:$B$44,MATCH($E2402,Setup!$A$27:$A$44,0)),"TBD"))</f>
        <v/>
      </c>
      <c r="G2402" s="32"/>
      <c r="H2402" s="32"/>
      <c r="I2402" s="32"/>
      <c r="J2402" s="32"/>
      <c r="K2402" s="35"/>
      <c r="L2402" s="32"/>
      <c r="M2402" s="32"/>
    </row>
    <row r="2403" customFormat="false" ht="15" hidden="false" customHeight="true" outlineLevel="0" collapsed="false">
      <c r="A2403" s="32"/>
      <c r="B2403" s="32"/>
      <c r="C2403" s="32"/>
      <c r="D2403" s="32"/>
      <c r="E2403" s="34" t="str">
        <f aca="false">IF($B2403="","",IF($B2403="OUT","Liters",IFERROR(INDEX(Setup!$F$3:$F$24,MATCH($C2403,Setup!$A$3:$A$24,0)),"")))</f>
        <v/>
      </c>
      <c r="F2403" s="28" t="str">
        <f aca="false">IF(OR($D2403="",$E2403=""),"",IFERROR($D2403*INDEX(Setup!$B$27:$B$44,MATCH($E2403,Setup!$A$27:$A$44,0)),"TBD"))</f>
        <v/>
      </c>
      <c r="G2403" s="32"/>
      <c r="H2403" s="32"/>
      <c r="I2403" s="32"/>
      <c r="J2403" s="32"/>
      <c r="K2403" s="35"/>
      <c r="L2403" s="32"/>
      <c r="M2403" s="32"/>
    </row>
    <row r="2404" customFormat="false" ht="15" hidden="false" customHeight="true" outlineLevel="0" collapsed="false">
      <c r="A2404" s="32"/>
      <c r="B2404" s="32"/>
      <c r="C2404" s="32"/>
      <c r="D2404" s="32"/>
      <c r="E2404" s="34" t="str">
        <f aca="false">IF($B2404="","",IF($B2404="OUT","Liters",IFERROR(INDEX(Setup!$F$3:$F$24,MATCH($C2404,Setup!$A$3:$A$24,0)),"")))</f>
        <v/>
      </c>
      <c r="F2404" s="28" t="str">
        <f aca="false">IF(OR($D2404="",$E2404=""),"",IFERROR($D2404*INDEX(Setup!$B$27:$B$44,MATCH($E2404,Setup!$A$27:$A$44,0)),"TBD"))</f>
        <v/>
      </c>
      <c r="G2404" s="32"/>
      <c r="H2404" s="32"/>
      <c r="I2404" s="32"/>
      <c r="J2404" s="32"/>
      <c r="K2404" s="35"/>
      <c r="L2404" s="32"/>
      <c r="M2404" s="32"/>
    </row>
    <row r="2405" customFormat="false" ht="15" hidden="false" customHeight="true" outlineLevel="0" collapsed="false">
      <c r="A2405" s="32"/>
      <c r="B2405" s="32"/>
      <c r="C2405" s="32"/>
      <c r="D2405" s="32"/>
      <c r="E2405" s="34" t="str">
        <f aca="false">IF($B2405="","",IF($B2405="OUT","Liters",IFERROR(INDEX(Setup!$F$3:$F$24,MATCH($C2405,Setup!$A$3:$A$24,0)),"")))</f>
        <v/>
      </c>
      <c r="F2405" s="28" t="str">
        <f aca="false">IF(OR($D2405="",$E2405=""),"",IFERROR($D2405*INDEX(Setup!$B$27:$B$44,MATCH($E2405,Setup!$A$27:$A$44,0)),"TBD"))</f>
        <v/>
      </c>
      <c r="G2405" s="32"/>
      <c r="H2405" s="32"/>
      <c r="I2405" s="32"/>
      <c r="J2405" s="32"/>
      <c r="K2405" s="35"/>
      <c r="L2405" s="32"/>
      <c r="M2405" s="32"/>
    </row>
    <row r="2406" customFormat="false" ht="15" hidden="false" customHeight="true" outlineLevel="0" collapsed="false">
      <c r="A2406" s="32"/>
      <c r="B2406" s="32"/>
      <c r="C2406" s="32"/>
      <c r="D2406" s="32"/>
      <c r="E2406" s="34" t="str">
        <f aca="false">IF($B2406="","",IF($B2406="OUT","Liters",IFERROR(INDEX(Setup!$F$3:$F$24,MATCH($C2406,Setup!$A$3:$A$24,0)),"")))</f>
        <v/>
      </c>
      <c r="F2406" s="28" t="str">
        <f aca="false">IF(OR($D2406="",$E2406=""),"",IFERROR($D2406*INDEX(Setup!$B$27:$B$44,MATCH($E2406,Setup!$A$27:$A$44,0)),"TBD"))</f>
        <v/>
      </c>
      <c r="G2406" s="32"/>
      <c r="H2406" s="32"/>
      <c r="I2406" s="32"/>
      <c r="J2406" s="32"/>
      <c r="K2406" s="35"/>
      <c r="L2406" s="32"/>
      <c r="M2406" s="32"/>
    </row>
    <row r="2407" customFormat="false" ht="15" hidden="false" customHeight="true" outlineLevel="0" collapsed="false">
      <c r="A2407" s="32"/>
      <c r="B2407" s="32"/>
      <c r="C2407" s="32"/>
      <c r="D2407" s="32"/>
      <c r="E2407" s="34" t="str">
        <f aca="false">IF($B2407="","",IF($B2407="OUT","Liters",IFERROR(INDEX(Setup!$F$3:$F$24,MATCH($C2407,Setup!$A$3:$A$24,0)),"")))</f>
        <v/>
      </c>
      <c r="F2407" s="28" t="str">
        <f aca="false">IF(OR($D2407="",$E2407=""),"",IFERROR($D2407*INDEX(Setup!$B$27:$B$44,MATCH($E2407,Setup!$A$27:$A$44,0)),"TBD"))</f>
        <v/>
      </c>
      <c r="G2407" s="32"/>
      <c r="H2407" s="32"/>
      <c r="I2407" s="32"/>
      <c r="J2407" s="32"/>
      <c r="K2407" s="35"/>
      <c r="L2407" s="32"/>
      <c r="M2407" s="32"/>
    </row>
    <row r="2408" customFormat="false" ht="15" hidden="false" customHeight="true" outlineLevel="0" collapsed="false">
      <c r="A2408" s="32"/>
      <c r="B2408" s="32"/>
      <c r="C2408" s="32"/>
      <c r="D2408" s="32"/>
      <c r="E2408" s="34" t="str">
        <f aca="false">IF($B2408="","",IF($B2408="OUT","Liters",IFERROR(INDEX(Setup!$F$3:$F$24,MATCH($C2408,Setup!$A$3:$A$24,0)),"")))</f>
        <v/>
      </c>
      <c r="F2408" s="28" t="str">
        <f aca="false">IF(OR($D2408="",$E2408=""),"",IFERROR($D2408*INDEX(Setup!$B$27:$B$44,MATCH($E2408,Setup!$A$27:$A$44,0)),"TBD"))</f>
        <v/>
      </c>
      <c r="G2408" s="32"/>
      <c r="H2408" s="32"/>
      <c r="I2408" s="32"/>
      <c r="J2408" s="32"/>
      <c r="K2408" s="35"/>
      <c r="L2408" s="32"/>
      <c r="M2408" s="32"/>
    </row>
    <row r="2409" customFormat="false" ht="15" hidden="false" customHeight="true" outlineLevel="0" collapsed="false">
      <c r="A2409" s="32"/>
      <c r="B2409" s="32"/>
      <c r="C2409" s="32"/>
      <c r="D2409" s="32"/>
      <c r="E2409" s="34" t="str">
        <f aca="false">IF($B2409="","",IF($B2409="OUT","Liters",IFERROR(INDEX(Setup!$F$3:$F$24,MATCH($C2409,Setup!$A$3:$A$24,0)),"")))</f>
        <v/>
      </c>
      <c r="F2409" s="28" t="str">
        <f aca="false">IF(OR($D2409="",$E2409=""),"",IFERROR($D2409*INDEX(Setup!$B$27:$B$44,MATCH($E2409,Setup!$A$27:$A$44,0)),"TBD"))</f>
        <v/>
      </c>
      <c r="G2409" s="32"/>
      <c r="H2409" s="32"/>
      <c r="I2409" s="32"/>
      <c r="J2409" s="32"/>
      <c r="K2409" s="35"/>
      <c r="L2409" s="32"/>
      <c r="M2409" s="32"/>
    </row>
    <row r="2410" customFormat="false" ht="15" hidden="false" customHeight="true" outlineLevel="0" collapsed="false">
      <c r="A2410" s="32"/>
      <c r="B2410" s="32"/>
      <c r="C2410" s="32"/>
      <c r="D2410" s="32"/>
      <c r="E2410" s="34" t="str">
        <f aca="false">IF($B2410="","",IF($B2410="OUT","Liters",IFERROR(INDEX(Setup!$F$3:$F$24,MATCH($C2410,Setup!$A$3:$A$24,0)),"")))</f>
        <v/>
      </c>
      <c r="F2410" s="28" t="str">
        <f aca="false">IF(OR($D2410="",$E2410=""),"",IFERROR($D2410*INDEX(Setup!$B$27:$B$44,MATCH($E2410,Setup!$A$27:$A$44,0)),"TBD"))</f>
        <v/>
      </c>
      <c r="G2410" s="32"/>
      <c r="H2410" s="32"/>
      <c r="I2410" s="32"/>
      <c r="J2410" s="32"/>
      <c r="K2410" s="35"/>
      <c r="L2410" s="32"/>
      <c r="M2410" s="32"/>
    </row>
    <row r="2411" customFormat="false" ht="15" hidden="false" customHeight="true" outlineLevel="0" collapsed="false">
      <c r="A2411" s="32"/>
      <c r="B2411" s="32"/>
      <c r="C2411" s="32"/>
      <c r="D2411" s="32"/>
      <c r="E2411" s="34" t="str">
        <f aca="false">IF($B2411="","",IF($B2411="OUT","Liters",IFERROR(INDEX(Setup!$F$3:$F$24,MATCH($C2411,Setup!$A$3:$A$24,0)),"")))</f>
        <v/>
      </c>
      <c r="F2411" s="28" t="str">
        <f aca="false">IF(OR($D2411="",$E2411=""),"",IFERROR($D2411*INDEX(Setup!$B$27:$B$44,MATCH($E2411,Setup!$A$27:$A$44,0)),"TBD"))</f>
        <v/>
      </c>
      <c r="G2411" s="32"/>
      <c r="H2411" s="32"/>
      <c r="I2411" s="32"/>
      <c r="J2411" s="32"/>
      <c r="K2411" s="35"/>
      <c r="L2411" s="32"/>
      <c r="M2411" s="32"/>
    </row>
    <row r="2412" customFormat="false" ht="15" hidden="false" customHeight="true" outlineLevel="0" collapsed="false">
      <c r="A2412" s="32"/>
      <c r="B2412" s="32"/>
      <c r="C2412" s="32"/>
      <c r="D2412" s="32"/>
      <c r="E2412" s="34" t="str">
        <f aca="false">IF($B2412="","",IF($B2412="OUT","Liters",IFERROR(INDEX(Setup!$F$3:$F$24,MATCH($C2412,Setup!$A$3:$A$24,0)),"")))</f>
        <v/>
      </c>
      <c r="F2412" s="28" t="str">
        <f aca="false">IF(OR($D2412="",$E2412=""),"",IFERROR($D2412*INDEX(Setup!$B$27:$B$44,MATCH($E2412,Setup!$A$27:$A$44,0)),"TBD"))</f>
        <v/>
      </c>
      <c r="G2412" s="32"/>
      <c r="H2412" s="32"/>
      <c r="I2412" s="32"/>
      <c r="J2412" s="32"/>
      <c r="K2412" s="35"/>
      <c r="L2412" s="32"/>
      <c r="M2412" s="32"/>
    </row>
    <row r="2413" customFormat="false" ht="15" hidden="false" customHeight="true" outlineLevel="0" collapsed="false">
      <c r="A2413" s="32"/>
      <c r="B2413" s="32"/>
      <c r="C2413" s="32"/>
      <c r="D2413" s="32"/>
      <c r="E2413" s="34" t="str">
        <f aca="false">IF($B2413="","",IF($B2413="OUT","Liters",IFERROR(INDEX(Setup!$F$3:$F$24,MATCH($C2413,Setup!$A$3:$A$24,0)),"")))</f>
        <v/>
      </c>
      <c r="F2413" s="28" t="str">
        <f aca="false">IF(OR($D2413="",$E2413=""),"",IFERROR($D2413*INDEX(Setup!$B$27:$B$44,MATCH($E2413,Setup!$A$27:$A$44,0)),"TBD"))</f>
        <v/>
      </c>
      <c r="G2413" s="32"/>
      <c r="H2413" s="32"/>
      <c r="I2413" s="32"/>
      <c r="J2413" s="32"/>
      <c r="K2413" s="35"/>
      <c r="L2413" s="32"/>
      <c r="M2413" s="32"/>
    </row>
    <row r="2414" customFormat="false" ht="15" hidden="false" customHeight="true" outlineLevel="0" collapsed="false">
      <c r="A2414" s="32"/>
      <c r="B2414" s="32"/>
      <c r="C2414" s="32"/>
      <c r="D2414" s="32"/>
      <c r="E2414" s="34" t="str">
        <f aca="false">IF($B2414="","",IF($B2414="OUT","Liters",IFERROR(INDEX(Setup!$F$3:$F$24,MATCH($C2414,Setup!$A$3:$A$24,0)),"")))</f>
        <v/>
      </c>
      <c r="F2414" s="28" t="str">
        <f aca="false">IF(OR($D2414="",$E2414=""),"",IFERROR($D2414*INDEX(Setup!$B$27:$B$44,MATCH($E2414,Setup!$A$27:$A$44,0)),"TBD"))</f>
        <v/>
      </c>
      <c r="G2414" s="32"/>
      <c r="H2414" s="32"/>
      <c r="I2414" s="32"/>
      <c r="J2414" s="32"/>
      <c r="K2414" s="35"/>
      <c r="L2414" s="32"/>
      <c r="M2414" s="32"/>
    </row>
    <row r="2415" customFormat="false" ht="15" hidden="false" customHeight="true" outlineLevel="0" collapsed="false">
      <c r="A2415" s="32"/>
      <c r="B2415" s="32"/>
      <c r="C2415" s="32"/>
      <c r="D2415" s="32"/>
      <c r="E2415" s="34" t="str">
        <f aca="false">IF($B2415="","",IF($B2415="OUT","Liters",IFERROR(INDEX(Setup!$F$3:$F$24,MATCH($C2415,Setup!$A$3:$A$24,0)),"")))</f>
        <v/>
      </c>
      <c r="F2415" s="28" t="str">
        <f aca="false">IF(OR($D2415="",$E2415=""),"",IFERROR($D2415*INDEX(Setup!$B$27:$B$44,MATCH($E2415,Setup!$A$27:$A$44,0)),"TBD"))</f>
        <v/>
      </c>
      <c r="G2415" s="32"/>
      <c r="H2415" s="32"/>
      <c r="I2415" s="32"/>
      <c r="J2415" s="32"/>
      <c r="K2415" s="35"/>
      <c r="L2415" s="32"/>
      <c r="M2415" s="32"/>
    </row>
    <row r="2416" customFormat="false" ht="15" hidden="false" customHeight="true" outlineLevel="0" collapsed="false">
      <c r="A2416" s="32"/>
      <c r="B2416" s="32"/>
      <c r="C2416" s="32"/>
      <c r="D2416" s="32"/>
      <c r="E2416" s="34" t="str">
        <f aca="false">IF($B2416="","",IF($B2416="OUT","Liters",IFERROR(INDEX(Setup!$F$3:$F$24,MATCH($C2416,Setup!$A$3:$A$24,0)),"")))</f>
        <v/>
      </c>
      <c r="F2416" s="28" t="str">
        <f aca="false">IF(OR($D2416="",$E2416=""),"",IFERROR($D2416*INDEX(Setup!$B$27:$B$44,MATCH($E2416,Setup!$A$27:$A$44,0)),"TBD"))</f>
        <v/>
      </c>
      <c r="G2416" s="32"/>
      <c r="H2416" s="32"/>
      <c r="I2416" s="32"/>
      <c r="J2416" s="32"/>
      <c r="K2416" s="35"/>
      <c r="L2416" s="32"/>
      <c r="M2416" s="32"/>
    </row>
    <row r="2417" customFormat="false" ht="15" hidden="false" customHeight="true" outlineLevel="0" collapsed="false">
      <c r="A2417" s="32"/>
      <c r="B2417" s="32"/>
      <c r="C2417" s="32"/>
      <c r="D2417" s="32"/>
      <c r="E2417" s="34" t="str">
        <f aca="false">IF($B2417="","",IF($B2417="OUT","Liters",IFERROR(INDEX(Setup!$F$3:$F$24,MATCH($C2417,Setup!$A$3:$A$24,0)),"")))</f>
        <v/>
      </c>
      <c r="F2417" s="28" t="str">
        <f aca="false">IF(OR($D2417="",$E2417=""),"",IFERROR($D2417*INDEX(Setup!$B$27:$B$44,MATCH($E2417,Setup!$A$27:$A$44,0)),"TBD"))</f>
        <v/>
      </c>
      <c r="G2417" s="32"/>
      <c r="H2417" s="32"/>
      <c r="I2417" s="32"/>
      <c r="J2417" s="32"/>
      <c r="K2417" s="35"/>
      <c r="L2417" s="32"/>
      <c r="M2417" s="32"/>
    </row>
    <row r="2418" customFormat="false" ht="15" hidden="false" customHeight="true" outlineLevel="0" collapsed="false">
      <c r="A2418" s="32"/>
      <c r="B2418" s="32"/>
      <c r="C2418" s="32"/>
      <c r="D2418" s="32"/>
      <c r="E2418" s="34" t="str">
        <f aca="false">IF($B2418="","",IF($B2418="OUT","Liters",IFERROR(INDEX(Setup!$F$3:$F$24,MATCH($C2418,Setup!$A$3:$A$24,0)),"")))</f>
        <v/>
      </c>
      <c r="F2418" s="28" t="str">
        <f aca="false">IF(OR($D2418="",$E2418=""),"",IFERROR($D2418*INDEX(Setup!$B$27:$B$44,MATCH($E2418,Setup!$A$27:$A$44,0)),"TBD"))</f>
        <v/>
      </c>
      <c r="G2418" s="32"/>
      <c r="H2418" s="32"/>
      <c r="I2418" s="32"/>
      <c r="J2418" s="32"/>
      <c r="K2418" s="35"/>
      <c r="L2418" s="32"/>
      <c r="M2418" s="32"/>
    </row>
    <row r="2419" customFormat="false" ht="15" hidden="false" customHeight="true" outlineLevel="0" collapsed="false">
      <c r="A2419" s="32"/>
      <c r="B2419" s="32"/>
      <c r="C2419" s="32"/>
      <c r="D2419" s="32"/>
      <c r="E2419" s="34" t="str">
        <f aca="false">IF($B2419="","",IF($B2419="OUT","Liters",IFERROR(INDEX(Setup!$F$3:$F$24,MATCH($C2419,Setup!$A$3:$A$24,0)),"")))</f>
        <v/>
      </c>
      <c r="F2419" s="28" t="str">
        <f aca="false">IF(OR($D2419="",$E2419=""),"",IFERROR($D2419*INDEX(Setup!$B$27:$B$44,MATCH($E2419,Setup!$A$27:$A$44,0)),"TBD"))</f>
        <v/>
      </c>
      <c r="G2419" s="32"/>
      <c r="H2419" s="32"/>
      <c r="I2419" s="32"/>
      <c r="J2419" s="32"/>
      <c r="K2419" s="35"/>
      <c r="L2419" s="32"/>
      <c r="M2419" s="32"/>
    </row>
    <row r="2420" customFormat="false" ht="15" hidden="false" customHeight="true" outlineLevel="0" collapsed="false">
      <c r="A2420" s="32"/>
      <c r="B2420" s="32"/>
      <c r="C2420" s="32"/>
      <c r="D2420" s="32"/>
      <c r="E2420" s="34" t="str">
        <f aca="false">IF($B2420="","",IF($B2420="OUT","Liters",IFERROR(INDEX(Setup!$F$3:$F$24,MATCH($C2420,Setup!$A$3:$A$24,0)),"")))</f>
        <v/>
      </c>
      <c r="F2420" s="28" t="str">
        <f aca="false">IF(OR($D2420="",$E2420=""),"",IFERROR($D2420*INDEX(Setup!$B$27:$B$44,MATCH($E2420,Setup!$A$27:$A$44,0)),"TBD"))</f>
        <v/>
      </c>
      <c r="G2420" s="32"/>
      <c r="H2420" s="32"/>
      <c r="I2420" s="32"/>
      <c r="J2420" s="32"/>
      <c r="K2420" s="35"/>
      <c r="L2420" s="32"/>
      <c r="M2420" s="32"/>
    </row>
    <row r="2421" customFormat="false" ht="15" hidden="false" customHeight="true" outlineLevel="0" collapsed="false">
      <c r="A2421" s="32"/>
      <c r="B2421" s="32"/>
      <c r="C2421" s="32"/>
      <c r="D2421" s="32"/>
      <c r="E2421" s="34" t="str">
        <f aca="false">IF($B2421="","",IF($B2421="OUT","Liters",IFERROR(INDEX(Setup!$F$3:$F$24,MATCH($C2421,Setup!$A$3:$A$24,0)),"")))</f>
        <v/>
      </c>
      <c r="F2421" s="28" t="str">
        <f aca="false">IF(OR($D2421="",$E2421=""),"",IFERROR($D2421*INDEX(Setup!$B$27:$B$44,MATCH($E2421,Setup!$A$27:$A$44,0)),"TBD"))</f>
        <v/>
      </c>
      <c r="G2421" s="32"/>
      <c r="H2421" s="32"/>
      <c r="I2421" s="32"/>
      <c r="J2421" s="32"/>
      <c r="K2421" s="35"/>
      <c r="L2421" s="32"/>
      <c r="M2421" s="32"/>
    </row>
    <row r="2422" customFormat="false" ht="15" hidden="false" customHeight="true" outlineLevel="0" collapsed="false">
      <c r="A2422" s="32"/>
      <c r="B2422" s="32"/>
      <c r="C2422" s="32"/>
      <c r="D2422" s="32"/>
      <c r="E2422" s="34" t="str">
        <f aca="false">IF($B2422="","",IF($B2422="OUT","Liters",IFERROR(INDEX(Setup!$F$3:$F$24,MATCH($C2422,Setup!$A$3:$A$24,0)),"")))</f>
        <v/>
      </c>
      <c r="F2422" s="28" t="str">
        <f aca="false">IF(OR($D2422="",$E2422=""),"",IFERROR($D2422*INDEX(Setup!$B$27:$B$44,MATCH($E2422,Setup!$A$27:$A$44,0)),"TBD"))</f>
        <v/>
      </c>
      <c r="G2422" s="32"/>
      <c r="H2422" s="32"/>
      <c r="I2422" s="32"/>
      <c r="J2422" s="32"/>
      <c r="K2422" s="35"/>
      <c r="L2422" s="32"/>
      <c r="M2422" s="32"/>
    </row>
    <row r="2423" customFormat="false" ht="15" hidden="false" customHeight="true" outlineLevel="0" collapsed="false">
      <c r="A2423" s="32"/>
      <c r="B2423" s="32"/>
      <c r="C2423" s="32"/>
      <c r="D2423" s="32"/>
      <c r="E2423" s="34" t="str">
        <f aca="false">IF($B2423="","",IF($B2423="OUT","Liters",IFERROR(INDEX(Setup!$F$3:$F$24,MATCH($C2423,Setup!$A$3:$A$24,0)),"")))</f>
        <v/>
      </c>
      <c r="F2423" s="28" t="str">
        <f aca="false">IF(OR($D2423="",$E2423=""),"",IFERROR($D2423*INDEX(Setup!$B$27:$B$44,MATCH($E2423,Setup!$A$27:$A$44,0)),"TBD"))</f>
        <v/>
      </c>
      <c r="G2423" s="32"/>
      <c r="H2423" s="32"/>
      <c r="I2423" s="32"/>
      <c r="J2423" s="32"/>
      <c r="K2423" s="35"/>
      <c r="L2423" s="32"/>
      <c r="M2423" s="32"/>
    </row>
    <row r="2424" customFormat="false" ht="15" hidden="false" customHeight="true" outlineLevel="0" collapsed="false">
      <c r="A2424" s="32"/>
      <c r="B2424" s="32"/>
      <c r="C2424" s="32"/>
      <c r="D2424" s="32"/>
      <c r="E2424" s="34" t="str">
        <f aca="false">IF($B2424="","",IF($B2424="OUT","Liters",IFERROR(INDEX(Setup!$F$3:$F$24,MATCH($C2424,Setup!$A$3:$A$24,0)),"")))</f>
        <v/>
      </c>
      <c r="F2424" s="28" t="str">
        <f aca="false">IF(OR($D2424="",$E2424=""),"",IFERROR($D2424*INDEX(Setup!$B$27:$B$44,MATCH($E2424,Setup!$A$27:$A$44,0)),"TBD"))</f>
        <v/>
      </c>
      <c r="G2424" s="32"/>
      <c r="H2424" s="32"/>
      <c r="I2424" s="32"/>
      <c r="J2424" s="32"/>
      <c r="K2424" s="35"/>
      <c r="L2424" s="32"/>
      <c r="M2424" s="32"/>
    </row>
    <row r="2425" customFormat="false" ht="15" hidden="false" customHeight="true" outlineLevel="0" collapsed="false">
      <c r="A2425" s="32"/>
      <c r="B2425" s="32"/>
      <c r="C2425" s="32"/>
      <c r="D2425" s="32"/>
      <c r="E2425" s="34" t="str">
        <f aca="false">IF($B2425="","",IF($B2425="OUT","Liters",IFERROR(INDEX(Setup!$F$3:$F$24,MATCH($C2425,Setup!$A$3:$A$24,0)),"")))</f>
        <v/>
      </c>
      <c r="F2425" s="28" t="str">
        <f aca="false">IF(OR($D2425="",$E2425=""),"",IFERROR($D2425*INDEX(Setup!$B$27:$B$44,MATCH($E2425,Setup!$A$27:$A$44,0)),"TBD"))</f>
        <v/>
      </c>
      <c r="G2425" s="32"/>
      <c r="H2425" s="32"/>
      <c r="I2425" s="32"/>
      <c r="J2425" s="32"/>
      <c r="K2425" s="35"/>
      <c r="L2425" s="32"/>
      <c r="M2425" s="32"/>
    </row>
    <row r="2426" customFormat="false" ht="15" hidden="false" customHeight="true" outlineLevel="0" collapsed="false">
      <c r="A2426" s="32"/>
      <c r="B2426" s="32"/>
      <c r="C2426" s="32"/>
      <c r="D2426" s="32"/>
      <c r="E2426" s="34" t="str">
        <f aca="false">IF($B2426="","",IF($B2426="OUT","Liters",IFERROR(INDEX(Setup!$F$3:$F$24,MATCH($C2426,Setup!$A$3:$A$24,0)),"")))</f>
        <v/>
      </c>
      <c r="F2426" s="28" t="str">
        <f aca="false">IF(OR($D2426="",$E2426=""),"",IFERROR($D2426*INDEX(Setup!$B$27:$B$44,MATCH($E2426,Setup!$A$27:$A$44,0)),"TBD"))</f>
        <v/>
      </c>
      <c r="G2426" s="32"/>
      <c r="H2426" s="32"/>
      <c r="I2426" s="32"/>
      <c r="J2426" s="32"/>
      <c r="K2426" s="35"/>
      <c r="L2426" s="32"/>
      <c r="M2426" s="32"/>
    </row>
    <row r="2427" customFormat="false" ht="15" hidden="false" customHeight="true" outlineLevel="0" collapsed="false">
      <c r="A2427" s="32"/>
      <c r="B2427" s="32"/>
      <c r="C2427" s="32"/>
      <c r="D2427" s="32"/>
      <c r="E2427" s="34" t="str">
        <f aca="false">IF($B2427="","",IF($B2427="OUT","Liters",IFERROR(INDEX(Setup!$F$3:$F$24,MATCH($C2427,Setup!$A$3:$A$24,0)),"")))</f>
        <v/>
      </c>
      <c r="F2427" s="28" t="str">
        <f aca="false">IF(OR($D2427="",$E2427=""),"",IFERROR($D2427*INDEX(Setup!$B$27:$B$44,MATCH($E2427,Setup!$A$27:$A$44,0)),"TBD"))</f>
        <v/>
      </c>
      <c r="G2427" s="32"/>
      <c r="H2427" s="32"/>
      <c r="I2427" s="32"/>
      <c r="J2427" s="32"/>
      <c r="K2427" s="35"/>
      <c r="L2427" s="32"/>
      <c r="M2427" s="32"/>
    </row>
    <row r="2428" customFormat="false" ht="15" hidden="false" customHeight="true" outlineLevel="0" collapsed="false">
      <c r="A2428" s="32"/>
      <c r="B2428" s="32"/>
      <c r="C2428" s="32"/>
      <c r="D2428" s="32"/>
      <c r="E2428" s="34" t="str">
        <f aca="false">IF($B2428="","",IF($B2428="OUT","Liters",IFERROR(INDEX(Setup!$F$3:$F$24,MATCH($C2428,Setup!$A$3:$A$24,0)),"")))</f>
        <v/>
      </c>
      <c r="F2428" s="28" t="str">
        <f aca="false">IF(OR($D2428="",$E2428=""),"",IFERROR($D2428*INDEX(Setup!$B$27:$B$44,MATCH($E2428,Setup!$A$27:$A$44,0)),"TBD"))</f>
        <v/>
      </c>
      <c r="G2428" s="32"/>
      <c r="H2428" s="32"/>
      <c r="I2428" s="32"/>
      <c r="J2428" s="32"/>
      <c r="K2428" s="35"/>
      <c r="L2428" s="32"/>
      <c r="M2428" s="32"/>
    </row>
    <row r="2429" customFormat="false" ht="15" hidden="false" customHeight="true" outlineLevel="0" collapsed="false">
      <c r="A2429" s="32"/>
      <c r="B2429" s="32"/>
      <c r="C2429" s="32"/>
      <c r="D2429" s="32"/>
      <c r="E2429" s="34" t="str">
        <f aca="false">IF($B2429="","",IF($B2429="OUT","Liters",IFERROR(INDEX(Setup!$F$3:$F$24,MATCH($C2429,Setup!$A$3:$A$24,0)),"")))</f>
        <v/>
      </c>
      <c r="F2429" s="28" t="str">
        <f aca="false">IF(OR($D2429="",$E2429=""),"",IFERROR($D2429*INDEX(Setup!$B$27:$B$44,MATCH($E2429,Setup!$A$27:$A$44,0)),"TBD"))</f>
        <v/>
      </c>
      <c r="G2429" s="32"/>
      <c r="H2429" s="32"/>
      <c r="I2429" s="32"/>
      <c r="J2429" s="32"/>
      <c r="K2429" s="35"/>
      <c r="L2429" s="32"/>
      <c r="M2429" s="32"/>
    </row>
    <row r="2430" customFormat="false" ht="15" hidden="false" customHeight="true" outlineLevel="0" collapsed="false">
      <c r="A2430" s="32"/>
      <c r="B2430" s="32"/>
      <c r="C2430" s="32"/>
      <c r="D2430" s="32"/>
      <c r="E2430" s="34" t="str">
        <f aca="false">IF($B2430="","",IF($B2430="OUT","Liters",IFERROR(INDEX(Setup!$F$3:$F$24,MATCH($C2430,Setup!$A$3:$A$24,0)),"")))</f>
        <v/>
      </c>
      <c r="F2430" s="28" t="str">
        <f aca="false">IF(OR($D2430="",$E2430=""),"",IFERROR($D2430*INDEX(Setup!$B$27:$B$44,MATCH($E2430,Setup!$A$27:$A$44,0)),"TBD"))</f>
        <v/>
      </c>
      <c r="G2430" s="32"/>
      <c r="H2430" s="32"/>
      <c r="I2430" s="32"/>
      <c r="J2430" s="32"/>
      <c r="K2430" s="35"/>
      <c r="L2430" s="32"/>
      <c r="M2430" s="32"/>
    </row>
    <row r="2431" customFormat="false" ht="15" hidden="false" customHeight="true" outlineLevel="0" collapsed="false">
      <c r="A2431" s="32"/>
      <c r="B2431" s="32"/>
      <c r="C2431" s="32"/>
      <c r="D2431" s="32"/>
      <c r="E2431" s="34" t="str">
        <f aca="false">IF($B2431="","",IF($B2431="OUT","Liters",IFERROR(INDEX(Setup!$F$3:$F$24,MATCH($C2431,Setup!$A$3:$A$24,0)),"")))</f>
        <v/>
      </c>
      <c r="F2431" s="28" t="str">
        <f aca="false">IF(OR($D2431="",$E2431=""),"",IFERROR($D2431*INDEX(Setup!$B$27:$B$44,MATCH($E2431,Setup!$A$27:$A$44,0)),"TBD"))</f>
        <v/>
      </c>
      <c r="G2431" s="32"/>
      <c r="H2431" s="32"/>
      <c r="I2431" s="32"/>
      <c r="J2431" s="32"/>
      <c r="K2431" s="35"/>
      <c r="L2431" s="32"/>
      <c r="M2431" s="32"/>
    </row>
    <row r="2432" customFormat="false" ht="15" hidden="false" customHeight="true" outlineLevel="0" collapsed="false">
      <c r="A2432" s="32"/>
      <c r="B2432" s="32"/>
      <c r="C2432" s="32"/>
      <c r="D2432" s="32"/>
      <c r="E2432" s="34" t="str">
        <f aca="false">IF($B2432="","",IF($B2432="OUT","Liters",IFERROR(INDEX(Setup!$F$3:$F$24,MATCH($C2432,Setup!$A$3:$A$24,0)),"")))</f>
        <v/>
      </c>
      <c r="F2432" s="28" t="str">
        <f aca="false">IF(OR($D2432="",$E2432=""),"",IFERROR($D2432*INDEX(Setup!$B$27:$B$44,MATCH($E2432,Setup!$A$27:$A$44,0)),"TBD"))</f>
        <v/>
      </c>
      <c r="G2432" s="32"/>
      <c r="H2432" s="32"/>
      <c r="I2432" s="32"/>
      <c r="J2432" s="32"/>
      <c r="K2432" s="35"/>
      <c r="L2432" s="32"/>
      <c r="M2432" s="32"/>
    </row>
    <row r="2433" customFormat="false" ht="15" hidden="false" customHeight="true" outlineLevel="0" collapsed="false">
      <c r="A2433" s="32"/>
      <c r="B2433" s="32"/>
      <c r="C2433" s="32"/>
      <c r="D2433" s="32"/>
      <c r="E2433" s="34" t="str">
        <f aca="false">IF($B2433="","",IF($B2433="OUT","Liters",IFERROR(INDEX(Setup!$F$3:$F$24,MATCH($C2433,Setup!$A$3:$A$24,0)),"")))</f>
        <v/>
      </c>
      <c r="F2433" s="28" t="str">
        <f aca="false">IF(OR($D2433="",$E2433=""),"",IFERROR($D2433*INDEX(Setup!$B$27:$B$44,MATCH($E2433,Setup!$A$27:$A$44,0)),"TBD"))</f>
        <v/>
      </c>
      <c r="G2433" s="32"/>
      <c r="H2433" s="32"/>
      <c r="I2433" s="32"/>
      <c r="J2433" s="32"/>
      <c r="K2433" s="35"/>
      <c r="L2433" s="32"/>
      <c r="M2433" s="32"/>
    </row>
    <row r="2434" customFormat="false" ht="15" hidden="false" customHeight="true" outlineLevel="0" collapsed="false">
      <c r="A2434" s="32"/>
      <c r="B2434" s="32"/>
      <c r="C2434" s="32"/>
      <c r="D2434" s="32"/>
      <c r="E2434" s="34" t="str">
        <f aca="false">IF($B2434="","",IF($B2434="OUT","Liters",IFERROR(INDEX(Setup!$F$3:$F$24,MATCH($C2434,Setup!$A$3:$A$24,0)),"")))</f>
        <v/>
      </c>
      <c r="F2434" s="28" t="str">
        <f aca="false">IF(OR($D2434="",$E2434=""),"",IFERROR($D2434*INDEX(Setup!$B$27:$B$44,MATCH($E2434,Setup!$A$27:$A$44,0)),"TBD"))</f>
        <v/>
      </c>
      <c r="G2434" s="32"/>
      <c r="H2434" s="32"/>
      <c r="I2434" s="32"/>
      <c r="J2434" s="32"/>
      <c r="K2434" s="35"/>
      <c r="L2434" s="32"/>
      <c r="M2434" s="32"/>
    </row>
    <row r="2435" customFormat="false" ht="15" hidden="false" customHeight="true" outlineLevel="0" collapsed="false">
      <c r="A2435" s="32"/>
      <c r="B2435" s="32"/>
      <c r="C2435" s="32"/>
      <c r="D2435" s="32"/>
      <c r="E2435" s="34" t="str">
        <f aca="false">IF($B2435="","",IF($B2435="OUT","Liters",IFERROR(INDEX(Setup!$F$3:$F$24,MATCH($C2435,Setup!$A$3:$A$24,0)),"")))</f>
        <v/>
      </c>
      <c r="F2435" s="28" t="str">
        <f aca="false">IF(OR($D2435="",$E2435=""),"",IFERROR($D2435*INDEX(Setup!$B$27:$B$44,MATCH($E2435,Setup!$A$27:$A$44,0)),"TBD"))</f>
        <v/>
      </c>
      <c r="G2435" s="32"/>
      <c r="H2435" s="32"/>
      <c r="I2435" s="32"/>
      <c r="J2435" s="32"/>
      <c r="K2435" s="35"/>
      <c r="L2435" s="32"/>
      <c r="M2435" s="32"/>
    </row>
    <row r="2436" customFormat="false" ht="15" hidden="false" customHeight="true" outlineLevel="0" collapsed="false">
      <c r="A2436" s="32"/>
      <c r="B2436" s="32"/>
      <c r="C2436" s="32"/>
      <c r="D2436" s="32"/>
      <c r="E2436" s="34" t="str">
        <f aca="false">IF($B2436="","",IF($B2436="OUT","Liters",IFERROR(INDEX(Setup!$F$3:$F$24,MATCH($C2436,Setup!$A$3:$A$24,0)),"")))</f>
        <v/>
      </c>
      <c r="F2436" s="28" t="str">
        <f aca="false">IF(OR($D2436="",$E2436=""),"",IFERROR($D2436*INDEX(Setup!$B$27:$B$44,MATCH($E2436,Setup!$A$27:$A$44,0)),"TBD"))</f>
        <v/>
      </c>
      <c r="G2436" s="32"/>
      <c r="H2436" s="32"/>
      <c r="I2436" s="32"/>
      <c r="J2436" s="32"/>
      <c r="K2436" s="35"/>
      <c r="L2436" s="32"/>
      <c r="M2436" s="32"/>
    </row>
    <row r="2437" customFormat="false" ht="15" hidden="false" customHeight="true" outlineLevel="0" collapsed="false">
      <c r="A2437" s="32"/>
      <c r="B2437" s="32"/>
      <c r="C2437" s="32"/>
      <c r="D2437" s="32"/>
      <c r="E2437" s="34" t="str">
        <f aca="false">IF($B2437="","",IF($B2437="OUT","Liters",IFERROR(INDEX(Setup!$F$3:$F$24,MATCH($C2437,Setup!$A$3:$A$24,0)),"")))</f>
        <v/>
      </c>
      <c r="F2437" s="28" t="str">
        <f aca="false">IF(OR($D2437="",$E2437=""),"",IFERROR($D2437*INDEX(Setup!$B$27:$B$44,MATCH($E2437,Setup!$A$27:$A$44,0)),"TBD"))</f>
        <v/>
      </c>
      <c r="G2437" s="32"/>
      <c r="H2437" s="32"/>
      <c r="I2437" s="32"/>
      <c r="J2437" s="32"/>
      <c r="K2437" s="35"/>
      <c r="L2437" s="32"/>
      <c r="M2437" s="32"/>
    </row>
    <row r="2438" customFormat="false" ht="15" hidden="false" customHeight="true" outlineLevel="0" collapsed="false">
      <c r="A2438" s="32"/>
      <c r="B2438" s="32"/>
      <c r="C2438" s="32"/>
      <c r="D2438" s="32"/>
      <c r="E2438" s="34" t="str">
        <f aca="false">IF($B2438="","",IF($B2438="OUT","Liters",IFERROR(INDEX(Setup!$F$3:$F$24,MATCH($C2438,Setup!$A$3:$A$24,0)),"")))</f>
        <v/>
      </c>
      <c r="F2438" s="28" t="str">
        <f aca="false">IF(OR($D2438="",$E2438=""),"",IFERROR($D2438*INDEX(Setup!$B$27:$B$44,MATCH($E2438,Setup!$A$27:$A$44,0)),"TBD"))</f>
        <v/>
      </c>
      <c r="G2438" s="32"/>
      <c r="H2438" s="32"/>
      <c r="I2438" s="32"/>
      <c r="J2438" s="32"/>
      <c r="K2438" s="35"/>
      <c r="L2438" s="32"/>
      <c r="M2438" s="32"/>
    </row>
    <row r="2439" customFormat="false" ht="15" hidden="false" customHeight="true" outlineLevel="0" collapsed="false">
      <c r="A2439" s="32"/>
      <c r="B2439" s="32"/>
      <c r="C2439" s="32"/>
      <c r="D2439" s="32"/>
      <c r="E2439" s="34" t="str">
        <f aca="false">IF($B2439="","",IF($B2439="OUT","Liters",IFERROR(INDEX(Setup!$F$3:$F$24,MATCH($C2439,Setup!$A$3:$A$24,0)),"")))</f>
        <v/>
      </c>
      <c r="F2439" s="28" t="str">
        <f aca="false">IF(OR($D2439="",$E2439=""),"",IFERROR($D2439*INDEX(Setup!$B$27:$B$44,MATCH($E2439,Setup!$A$27:$A$44,0)),"TBD"))</f>
        <v/>
      </c>
      <c r="G2439" s="32"/>
      <c r="H2439" s="32"/>
      <c r="I2439" s="32"/>
      <c r="J2439" s="32"/>
      <c r="K2439" s="35"/>
      <c r="L2439" s="32"/>
      <c r="M2439" s="32"/>
    </row>
    <row r="2440" customFormat="false" ht="15" hidden="false" customHeight="true" outlineLevel="0" collapsed="false">
      <c r="A2440" s="32"/>
      <c r="B2440" s="32"/>
      <c r="C2440" s="32"/>
      <c r="D2440" s="32"/>
      <c r="E2440" s="34" t="str">
        <f aca="false">IF($B2440="","",IF($B2440="OUT","Liters",IFERROR(INDEX(Setup!$F$3:$F$24,MATCH($C2440,Setup!$A$3:$A$24,0)),"")))</f>
        <v/>
      </c>
      <c r="F2440" s="28" t="str">
        <f aca="false">IF(OR($D2440="",$E2440=""),"",IFERROR($D2440*INDEX(Setup!$B$27:$B$44,MATCH($E2440,Setup!$A$27:$A$44,0)),"TBD"))</f>
        <v/>
      </c>
      <c r="G2440" s="32"/>
      <c r="H2440" s="32"/>
      <c r="I2440" s="32"/>
      <c r="J2440" s="32"/>
      <c r="K2440" s="35"/>
      <c r="L2440" s="32"/>
      <c r="M2440" s="32"/>
    </row>
    <row r="2441" customFormat="false" ht="15" hidden="false" customHeight="true" outlineLevel="0" collapsed="false">
      <c r="A2441" s="32"/>
      <c r="B2441" s="32"/>
      <c r="C2441" s="32"/>
      <c r="D2441" s="32"/>
      <c r="E2441" s="34" t="str">
        <f aca="false">IF($B2441="","",IF($B2441="OUT","Liters",IFERROR(INDEX(Setup!$F$3:$F$24,MATCH($C2441,Setup!$A$3:$A$24,0)),"")))</f>
        <v/>
      </c>
      <c r="F2441" s="28" t="str">
        <f aca="false">IF(OR($D2441="",$E2441=""),"",IFERROR($D2441*INDEX(Setup!$B$27:$B$44,MATCH($E2441,Setup!$A$27:$A$44,0)),"TBD"))</f>
        <v/>
      </c>
      <c r="G2441" s="32"/>
      <c r="H2441" s="32"/>
      <c r="I2441" s="32"/>
      <c r="J2441" s="32"/>
      <c r="K2441" s="35"/>
      <c r="L2441" s="32"/>
      <c r="M2441" s="32"/>
    </row>
    <row r="2442" customFormat="false" ht="15" hidden="false" customHeight="true" outlineLevel="0" collapsed="false">
      <c r="A2442" s="32"/>
      <c r="B2442" s="32"/>
      <c r="C2442" s="32"/>
      <c r="D2442" s="32"/>
      <c r="E2442" s="34" t="str">
        <f aca="false">IF($B2442="","",IF($B2442="OUT","Liters",IFERROR(INDEX(Setup!$F$3:$F$24,MATCH($C2442,Setup!$A$3:$A$24,0)),"")))</f>
        <v/>
      </c>
      <c r="F2442" s="28" t="str">
        <f aca="false">IF(OR($D2442="",$E2442=""),"",IFERROR($D2442*INDEX(Setup!$B$27:$B$44,MATCH($E2442,Setup!$A$27:$A$44,0)),"TBD"))</f>
        <v/>
      </c>
      <c r="G2442" s="32"/>
      <c r="H2442" s="32"/>
      <c r="I2442" s="32"/>
      <c r="J2442" s="32"/>
      <c r="K2442" s="35"/>
      <c r="L2442" s="32"/>
      <c r="M2442" s="32"/>
    </row>
    <row r="2443" customFormat="false" ht="15" hidden="false" customHeight="true" outlineLevel="0" collapsed="false">
      <c r="A2443" s="32"/>
      <c r="B2443" s="32"/>
      <c r="C2443" s="32"/>
      <c r="D2443" s="32"/>
      <c r="E2443" s="34" t="str">
        <f aca="false">IF($B2443="","",IF($B2443="OUT","Liters",IFERROR(INDEX(Setup!$F$3:$F$24,MATCH($C2443,Setup!$A$3:$A$24,0)),"")))</f>
        <v/>
      </c>
      <c r="F2443" s="28" t="str">
        <f aca="false">IF(OR($D2443="",$E2443=""),"",IFERROR($D2443*INDEX(Setup!$B$27:$B$44,MATCH($E2443,Setup!$A$27:$A$44,0)),"TBD"))</f>
        <v/>
      </c>
      <c r="G2443" s="32"/>
      <c r="H2443" s="32"/>
      <c r="I2443" s="32"/>
      <c r="J2443" s="32"/>
      <c r="K2443" s="35"/>
      <c r="L2443" s="32"/>
      <c r="M2443" s="32"/>
    </row>
    <row r="2444" customFormat="false" ht="15" hidden="false" customHeight="true" outlineLevel="0" collapsed="false">
      <c r="A2444" s="32"/>
      <c r="B2444" s="32"/>
      <c r="C2444" s="32"/>
      <c r="D2444" s="32"/>
      <c r="E2444" s="34" t="str">
        <f aca="false">IF($B2444="","",IF($B2444="OUT","Liters",IFERROR(INDEX(Setup!$F$3:$F$24,MATCH($C2444,Setup!$A$3:$A$24,0)),"")))</f>
        <v/>
      </c>
      <c r="F2444" s="28" t="str">
        <f aca="false">IF(OR($D2444="",$E2444=""),"",IFERROR($D2444*INDEX(Setup!$B$27:$B$44,MATCH($E2444,Setup!$A$27:$A$44,0)),"TBD"))</f>
        <v/>
      </c>
      <c r="G2444" s="32"/>
      <c r="H2444" s="32"/>
      <c r="I2444" s="32"/>
      <c r="J2444" s="32"/>
      <c r="K2444" s="35"/>
      <c r="L2444" s="32"/>
      <c r="M2444" s="32"/>
    </row>
    <row r="2445" customFormat="false" ht="15" hidden="false" customHeight="true" outlineLevel="0" collapsed="false">
      <c r="A2445" s="32"/>
      <c r="B2445" s="32"/>
      <c r="C2445" s="32"/>
      <c r="D2445" s="32"/>
      <c r="E2445" s="34" t="str">
        <f aca="false">IF($B2445="","",IF($B2445="OUT","Liters",IFERROR(INDEX(Setup!$F$3:$F$24,MATCH($C2445,Setup!$A$3:$A$24,0)),"")))</f>
        <v/>
      </c>
      <c r="F2445" s="28" t="str">
        <f aca="false">IF(OR($D2445="",$E2445=""),"",IFERROR($D2445*INDEX(Setup!$B$27:$B$44,MATCH($E2445,Setup!$A$27:$A$44,0)),"TBD"))</f>
        <v/>
      </c>
      <c r="G2445" s="32"/>
      <c r="H2445" s="32"/>
      <c r="I2445" s="32"/>
      <c r="J2445" s="32"/>
      <c r="K2445" s="35"/>
      <c r="L2445" s="32"/>
      <c r="M2445" s="32"/>
    </row>
    <row r="2446" customFormat="false" ht="15" hidden="false" customHeight="true" outlineLevel="0" collapsed="false">
      <c r="A2446" s="32"/>
      <c r="B2446" s="32"/>
      <c r="C2446" s="32"/>
      <c r="D2446" s="32"/>
      <c r="E2446" s="34" t="str">
        <f aca="false">IF($B2446="","",IF($B2446="OUT","Liters",IFERROR(INDEX(Setup!$F$3:$F$24,MATCH($C2446,Setup!$A$3:$A$24,0)),"")))</f>
        <v/>
      </c>
      <c r="F2446" s="28" t="str">
        <f aca="false">IF(OR($D2446="",$E2446=""),"",IFERROR($D2446*INDEX(Setup!$B$27:$B$44,MATCH($E2446,Setup!$A$27:$A$44,0)),"TBD"))</f>
        <v/>
      </c>
      <c r="G2446" s="32"/>
      <c r="H2446" s="32"/>
      <c r="I2446" s="32"/>
      <c r="J2446" s="32"/>
      <c r="K2446" s="35"/>
      <c r="L2446" s="32"/>
      <c r="M2446" s="32"/>
    </row>
    <row r="2447" customFormat="false" ht="15" hidden="false" customHeight="true" outlineLevel="0" collapsed="false">
      <c r="A2447" s="32"/>
      <c r="B2447" s="32"/>
      <c r="C2447" s="32"/>
      <c r="D2447" s="32"/>
      <c r="E2447" s="34" t="str">
        <f aca="false">IF($B2447="","",IF($B2447="OUT","Liters",IFERROR(INDEX(Setup!$F$3:$F$24,MATCH($C2447,Setup!$A$3:$A$24,0)),"")))</f>
        <v/>
      </c>
      <c r="F2447" s="28" t="str">
        <f aca="false">IF(OR($D2447="",$E2447=""),"",IFERROR($D2447*INDEX(Setup!$B$27:$B$44,MATCH($E2447,Setup!$A$27:$A$44,0)),"TBD"))</f>
        <v/>
      </c>
      <c r="G2447" s="32"/>
      <c r="H2447" s="32"/>
      <c r="I2447" s="32"/>
      <c r="J2447" s="32"/>
      <c r="K2447" s="35"/>
      <c r="L2447" s="32"/>
      <c r="M2447" s="32"/>
    </row>
    <row r="2448" customFormat="false" ht="15" hidden="false" customHeight="true" outlineLevel="0" collapsed="false">
      <c r="A2448" s="32"/>
      <c r="B2448" s="32"/>
      <c r="C2448" s="32"/>
      <c r="D2448" s="32"/>
      <c r="E2448" s="34" t="str">
        <f aca="false">IF($B2448="","",IF($B2448="OUT","Liters",IFERROR(INDEX(Setup!$F$3:$F$24,MATCH($C2448,Setup!$A$3:$A$24,0)),"")))</f>
        <v/>
      </c>
      <c r="F2448" s="28" t="str">
        <f aca="false">IF(OR($D2448="",$E2448=""),"",IFERROR($D2448*INDEX(Setup!$B$27:$B$44,MATCH($E2448,Setup!$A$27:$A$44,0)),"TBD"))</f>
        <v/>
      </c>
      <c r="G2448" s="32"/>
      <c r="H2448" s="32"/>
      <c r="I2448" s="32"/>
      <c r="J2448" s="32"/>
      <c r="K2448" s="35"/>
      <c r="L2448" s="32"/>
      <c r="M2448" s="32"/>
    </row>
    <row r="2449" customFormat="false" ht="15" hidden="false" customHeight="true" outlineLevel="0" collapsed="false">
      <c r="A2449" s="32"/>
      <c r="B2449" s="32"/>
      <c r="C2449" s="32"/>
      <c r="D2449" s="32"/>
      <c r="E2449" s="34" t="str">
        <f aca="false">IF($B2449="","",IF($B2449="OUT","Liters",IFERROR(INDEX(Setup!$F$3:$F$24,MATCH($C2449,Setup!$A$3:$A$24,0)),"")))</f>
        <v/>
      </c>
      <c r="F2449" s="28" t="str">
        <f aca="false">IF(OR($D2449="",$E2449=""),"",IFERROR($D2449*INDEX(Setup!$B$27:$B$44,MATCH($E2449,Setup!$A$27:$A$44,0)),"TBD"))</f>
        <v/>
      </c>
      <c r="G2449" s="32"/>
      <c r="H2449" s="32"/>
      <c r="I2449" s="32"/>
      <c r="J2449" s="32"/>
      <c r="K2449" s="35"/>
      <c r="L2449" s="32"/>
      <c r="M2449" s="32"/>
    </row>
    <row r="2450" customFormat="false" ht="15" hidden="false" customHeight="true" outlineLevel="0" collapsed="false">
      <c r="A2450" s="32"/>
      <c r="B2450" s="32"/>
      <c r="C2450" s="32"/>
      <c r="D2450" s="32"/>
      <c r="E2450" s="34" t="str">
        <f aca="false">IF($B2450="","",IF($B2450="OUT","Liters",IFERROR(INDEX(Setup!$F$3:$F$24,MATCH($C2450,Setup!$A$3:$A$24,0)),"")))</f>
        <v/>
      </c>
      <c r="F2450" s="28" t="str">
        <f aca="false">IF(OR($D2450="",$E2450=""),"",IFERROR($D2450*INDEX(Setup!$B$27:$B$44,MATCH($E2450,Setup!$A$27:$A$44,0)),"TBD"))</f>
        <v/>
      </c>
      <c r="G2450" s="32"/>
      <c r="H2450" s="32"/>
      <c r="I2450" s="32"/>
      <c r="J2450" s="32"/>
      <c r="K2450" s="35"/>
      <c r="L2450" s="32"/>
      <c r="M2450" s="32"/>
    </row>
    <row r="2451" customFormat="false" ht="15" hidden="false" customHeight="true" outlineLevel="0" collapsed="false">
      <c r="A2451" s="32"/>
      <c r="B2451" s="32"/>
      <c r="C2451" s="32"/>
      <c r="D2451" s="32"/>
      <c r="E2451" s="34" t="str">
        <f aca="false">IF($B2451="","",IF($B2451="OUT","Liters",IFERROR(INDEX(Setup!$F$3:$F$24,MATCH($C2451,Setup!$A$3:$A$24,0)),"")))</f>
        <v/>
      </c>
      <c r="F2451" s="28" t="str">
        <f aca="false">IF(OR($D2451="",$E2451=""),"",IFERROR($D2451*INDEX(Setup!$B$27:$B$44,MATCH($E2451,Setup!$A$27:$A$44,0)),"TBD"))</f>
        <v/>
      </c>
      <c r="G2451" s="32"/>
      <c r="H2451" s="32"/>
      <c r="I2451" s="32"/>
      <c r="J2451" s="32"/>
      <c r="K2451" s="35"/>
      <c r="L2451" s="32"/>
      <c r="M2451" s="32"/>
    </row>
    <row r="2452" customFormat="false" ht="15" hidden="false" customHeight="true" outlineLevel="0" collapsed="false">
      <c r="A2452" s="32"/>
      <c r="B2452" s="32"/>
      <c r="C2452" s="32"/>
      <c r="D2452" s="32"/>
      <c r="E2452" s="34" t="str">
        <f aca="false">IF($B2452="","",IF($B2452="OUT","Liters",IFERROR(INDEX(Setup!$F$3:$F$24,MATCH($C2452,Setup!$A$3:$A$24,0)),"")))</f>
        <v/>
      </c>
      <c r="F2452" s="28" t="str">
        <f aca="false">IF(OR($D2452="",$E2452=""),"",IFERROR($D2452*INDEX(Setup!$B$27:$B$44,MATCH($E2452,Setup!$A$27:$A$44,0)),"TBD"))</f>
        <v/>
      </c>
      <c r="G2452" s="32"/>
      <c r="H2452" s="32"/>
      <c r="I2452" s="32"/>
      <c r="J2452" s="32"/>
      <c r="K2452" s="35"/>
      <c r="L2452" s="32"/>
      <c r="M2452" s="32"/>
    </row>
    <row r="2453" customFormat="false" ht="15" hidden="false" customHeight="true" outlineLevel="0" collapsed="false">
      <c r="A2453" s="32"/>
      <c r="B2453" s="32"/>
      <c r="C2453" s="32"/>
      <c r="D2453" s="32"/>
      <c r="E2453" s="34" t="str">
        <f aca="false">IF($B2453="","",IF($B2453="OUT","Liters",IFERROR(INDEX(Setup!$F$3:$F$24,MATCH($C2453,Setup!$A$3:$A$24,0)),"")))</f>
        <v/>
      </c>
      <c r="F2453" s="28" t="str">
        <f aca="false">IF(OR($D2453="",$E2453=""),"",IFERROR($D2453*INDEX(Setup!$B$27:$B$44,MATCH($E2453,Setup!$A$27:$A$44,0)),"TBD"))</f>
        <v/>
      </c>
      <c r="G2453" s="32"/>
      <c r="H2453" s="32"/>
      <c r="I2453" s="32"/>
      <c r="J2453" s="32"/>
      <c r="K2453" s="35"/>
      <c r="L2453" s="32"/>
      <c r="M2453" s="32"/>
    </row>
    <row r="2454" customFormat="false" ht="15" hidden="false" customHeight="true" outlineLevel="0" collapsed="false">
      <c r="A2454" s="32"/>
      <c r="B2454" s="32"/>
      <c r="C2454" s="32"/>
      <c r="D2454" s="32"/>
      <c r="E2454" s="34" t="str">
        <f aca="false">IF($B2454="","",IF($B2454="OUT","Liters",IFERROR(INDEX(Setup!$F$3:$F$24,MATCH($C2454,Setup!$A$3:$A$24,0)),"")))</f>
        <v/>
      </c>
      <c r="F2454" s="28" t="str">
        <f aca="false">IF(OR($D2454="",$E2454=""),"",IFERROR($D2454*INDEX(Setup!$B$27:$B$44,MATCH($E2454,Setup!$A$27:$A$44,0)),"TBD"))</f>
        <v/>
      </c>
      <c r="G2454" s="32"/>
      <c r="H2454" s="32"/>
      <c r="I2454" s="32"/>
      <c r="J2454" s="32"/>
      <c r="K2454" s="35"/>
      <c r="L2454" s="32"/>
      <c r="M2454" s="32"/>
    </row>
    <row r="2455" customFormat="false" ht="15" hidden="false" customHeight="true" outlineLevel="0" collapsed="false">
      <c r="A2455" s="32"/>
      <c r="B2455" s="32"/>
      <c r="C2455" s="32"/>
      <c r="D2455" s="32"/>
      <c r="E2455" s="34" t="str">
        <f aca="false">IF($B2455="","",IF($B2455="OUT","Liters",IFERROR(INDEX(Setup!$F$3:$F$24,MATCH($C2455,Setup!$A$3:$A$24,0)),"")))</f>
        <v/>
      </c>
      <c r="F2455" s="28" t="str">
        <f aca="false">IF(OR($D2455="",$E2455=""),"",IFERROR($D2455*INDEX(Setup!$B$27:$B$44,MATCH($E2455,Setup!$A$27:$A$44,0)),"TBD"))</f>
        <v/>
      </c>
      <c r="G2455" s="32"/>
      <c r="H2455" s="32"/>
      <c r="I2455" s="32"/>
      <c r="J2455" s="32"/>
      <c r="K2455" s="35"/>
      <c r="L2455" s="32"/>
      <c r="M2455" s="32"/>
    </row>
    <row r="2456" customFormat="false" ht="15" hidden="false" customHeight="true" outlineLevel="0" collapsed="false">
      <c r="A2456" s="32"/>
      <c r="B2456" s="32"/>
      <c r="C2456" s="32"/>
      <c r="D2456" s="32"/>
      <c r="E2456" s="34" t="str">
        <f aca="false">IF($B2456="","",IF($B2456="OUT","Liters",IFERROR(INDEX(Setup!$F$3:$F$24,MATCH($C2456,Setup!$A$3:$A$24,0)),"")))</f>
        <v/>
      </c>
      <c r="F2456" s="28" t="str">
        <f aca="false">IF(OR($D2456="",$E2456=""),"",IFERROR($D2456*INDEX(Setup!$B$27:$B$44,MATCH($E2456,Setup!$A$27:$A$44,0)),"TBD"))</f>
        <v/>
      </c>
      <c r="G2456" s="32"/>
      <c r="H2456" s="32"/>
      <c r="I2456" s="32"/>
      <c r="J2456" s="32"/>
      <c r="K2456" s="35"/>
      <c r="L2456" s="32"/>
      <c r="M2456" s="32"/>
    </row>
    <row r="2457" customFormat="false" ht="15" hidden="false" customHeight="true" outlineLevel="0" collapsed="false">
      <c r="A2457" s="32"/>
      <c r="B2457" s="32"/>
      <c r="C2457" s="32"/>
      <c r="D2457" s="32"/>
      <c r="E2457" s="34" t="str">
        <f aca="false">IF($B2457="","",IF($B2457="OUT","Liters",IFERROR(INDEX(Setup!$F$3:$F$24,MATCH($C2457,Setup!$A$3:$A$24,0)),"")))</f>
        <v/>
      </c>
      <c r="F2457" s="28" t="str">
        <f aca="false">IF(OR($D2457="",$E2457=""),"",IFERROR($D2457*INDEX(Setup!$B$27:$B$44,MATCH($E2457,Setup!$A$27:$A$44,0)),"TBD"))</f>
        <v/>
      </c>
      <c r="G2457" s="32"/>
      <c r="H2457" s="32"/>
      <c r="I2457" s="32"/>
      <c r="J2457" s="32"/>
      <c r="K2457" s="35"/>
      <c r="L2457" s="32"/>
      <c r="M2457" s="32"/>
    </row>
    <row r="2458" customFormat="false" ht="15" hidden="false" customHeight="true" outlineLevel="0" collapsed="false">
      <c r="A2458" s="32"/>
      <c r="B2458" s="32"/>
      <c r="C2458" s="32"/>
      <c r="D2458" s="32"/>
      <c r="E2458" s="34" t="str">
        <f aca="false">IF($B2458="","",IF($B2458="OUT","Liters",IFERROR(INDEX(Setup!$F$3:$F$24,MATCH($C2458,Setup!$A$3:$A$24,0)),"")))</f>
        <v/>
      </c>
      <c r="F2458" s="28" t="str">
        <f aca="false">IF(OR($D2458="",$E2458=""),"",IFERROR($D2458*INDEX(Setup!$B$27:$B$44,MATCH($E2458,Setup!$A$27:$A$44,0)),"TBD"))</f>
        <v/>
      </c>
      <c r="G2458" s="32"/>
      <c r="H2458" s="32"/>
      <c r="I2458" s="32"/>
      <c r="J2458" s="32"/>
      <c r="K2458" s="35"/>
      <c r="L2458" s="32"/>
      <c r="M2458" s="32"/>
    </row>
    <row r="2459" customFormat="false" ht="15" hidden="false" customHeight="true" outlineLevel="0" collapsed="false">
      <c r="A2459" s="32"/>
      <c r="B2459" s="32"/>
      <c r="C2459" s="32"/>
      <c r="D2459" s="32"/>
      <c r="E2459" s="34" t="str">
        <f aca="false">IF($B2459="","",IF($B2459="OUT","Liters",IFERROR(INDEX(Setup!$F$3:$F$24,MATCH($C2459,Setup!$A$3:$A$24,0)),"")))</f>
        <v/>
      </c>
      <c r="F2459" s="28" t="str">
        <f aca="false">IF(OR($D2459="",$E2459=""),"",IFERROR($D2459*INDEX(Setup!$B$27:$B$44,MATCH($E2459,Setup!$A$27:$A$44,0)),"TBD"))</f>
        <v/>
      </c>
      <c r="G2459" s="32"/>
      <c r="H2459" s="32"/>
      <c r="I2459" s="32"/>
      <c r="J2459" s="32"/>
      <c r="K2459" s="35"/>
      <c r="L2459" s="32"/>
      <c r="M2459" s="32"/>
    </row>
    <row r="2460" customFormat="false" ht="15" hidden="false" customHeight="true" outlineLevel="0" collapsed="false">
      <c r="A2460" s="32"/>
      <c r="B2460" s="32"/>
      <c r="C2460" s="32"/>
      <c r="D2460" s="32"/>
      <c r="E2460" s="34" t="str">
        <f aca="false">IF($B2460="","",IF($B2460="OUT","Liters",IFERROR(INDEX(Setup!$F$3:$F$24,MATCH($C2460,Setup!$A$3:$A$24,0)),"")))</f>
        <v/>
      </c>
      <c r="F2460" s="28" t="str">
        <f aca="false">IF(OR($D2460="",$E2460=""),"",IFERROR($D2460*INDEX(Setup!$B$27:$B$44,MATCH($E2460,Setup!$A$27:$A$44,0)),"TBD"))</f>
        <v/>
      </c>
      <c r="G2460" s="32"/>
      <c r="H2460" s="32"/>
      <c r="I2460" s="32"/>
      <c r="J2460" s="32"/>
      <c r="K2460" s="35"/>
      <c r="L2460" s="32"/>
      <c r="M2460" s="32"/>
    </row>
    <row r="2461" customFormat="false" ht="15" hidden="false" customHeight="true" outlineLevel="0" collapsed="false">
      <c r="A2461" s="32"/>
      <c r="B2461" s="32"/>
      <c r="C2461" s="32"/>
      <c r="D2461" s="32"/>
      <c r="E2461" s="34" t="str">
        <f aca="false">IF($B2461="","",IF($B2461="OUT","Liters",IFERROR(INDEX(Setup!$F$3:$F$24,MATCH($C2461,Setup!$A$3:$A$24,0)),"")))</f>
        <v/>
      </c>
      <c r="F2461" s="28" t="str">
        <f aca="false">IF(OR($D2461="",$E2461=""),"",IFERROR($D2461*INDEX(Setup!$B$27:$B$44,MATCH($E2461,Setup!$A$27:$A$44,0)),"TBD"))</f>
        <v/>
      </c>
      <c r="G2461" s="32"/>
      <c r="H2461" s="32"/>
      <c r="I2461" s="32"/>
      <c r="J2461" s="32"/>
      <c r="K2461" s="35"/>
      <c r="L2461" s="32"/>
      <c r="M2461" s="32"/>
    </row>
    <row r="2462" customFormat="false" ht="15" hidden="false" customHeight="true" outlineLevel="0" collapsed="false">
      <c r="A2462" s="32"/>
      <c r="B2462" s="32"/>
      <c r="C2462" s="32"/>
      <c r="D2462" s="32"/>
      <c r="E2462" s="34" t="str">
        <f aca="false">IF($B2462="","",IF($B2462="OUT","Liters",IFERROR(INDEX(Setup!$F$3:$F$24,MATCH($C2462,Setup!$A$3:$A$24,0)),"")))</f>
        <v/>
      </c>
      <c r="F2462" s="28" t="str">
        <f aca="false">IF(OR($D2462="",$E2462=""),"",IFERROR($D2462*INDEX(Setup!$B$27:$B$44,MATCH($E2462,Setup!$A$27:$A$44,0)),"TBD"))</f>
        <v/>
      </c>
      <c r="G2462" s="32"/>
      <c r="H2462" s="32"/>
      <c r="I2462" s="32"/>
      <c r="J2462" s="32"/>
      <c r="K2462" s="35"/>
      <c r="L2462" s="32"/>
      <c r="M2462" s="32"/>
    </row>
    <row r="2463" customFormat="false" ht="15" hidden="false" customHeight="true" outlineLevel="0" collapsed="false">
      <c r="A2463" s="32"/>
      <c r="B2463" s="32"/>
      <c r="C2463" s="32"/>
      <c r="D2463" s="32"/>
      <c r="E2463" s="34" t="str">
        <f aca="false">IF($B2463="","",IF($B2463="OUT","Liters",IFERROR(INDEX(Setup!$F$3:$F$24,MATCH($C2463,Setup!$A$3:$A$24,0)),"")))</f>
        <v/>
      </c>
      <c r="F2463" s="28" t="str">
        <f aca="false">IF(OR($D2463="",$E2463=""),"",IFERROR($D2463*INDEX(Setup!$B$27:$B$44,MATCH($E2463,Setup!$A$27:$A$44,0)),"TBD"))</f>
        <v/>
      </c>
      <c r="G2463" s="32"/>
      <c r="H2463" s="32"/>
      <c r="I2463" s="32"/>
      <c r="J2463" s="32"/>
      <c r="K2463" s="35"/>
      <c r="L2463" s="32"/>
      <c r="M2463" s="32"/>
    </row>
    <row r="2464" customFormat="false" ht="15" hidden="false" customHeight="true" outlineLevel="0" collapsed="false">
      <c r="A2464" s="32"/>
      <c r="B2464" s="32"/>
      <c r="C2464" s="32"/>
      <c r="D2464" s="32"/>
      <c r="E2464" s="34" t="str">
        <f aca="false">IF($B2464="","",IF($B2464="OUT","Liters",IFERROR(INDEX(Setup!$F$3:$F$24,MATCH($C2464,Setup!$A$3:$A$24,0)),"")))</f>
        <v/>
      </c>
      <c r="F2464" s="28" t="str">
        <f aca="false">IF(OR($D2464="",$E2464=""),"",IFERROR($D2464*INDEX(Setup!$B$27:$B$44,MATCH($E2464,Setup!$A$27:$A$44,0)),"TBD"))</f>
        <v/>
      </c>
      <c r="G2464" s="32"/>
      <c r="H2464" s="32"/>
      <c r="I2464" s="32"/>
      <c r="J2464" s="32"/>
      <c r="K2464" s="35"/>
      <c r="L2464" s="32"/>
      <c r="M2464" s="32"/>
    </row>
    <row r="2465" customFormat="false" ht="15" hidden="false" customHeight="true" outlineLevel="0" collapsed="false">
      <c r="A2465" s="32"/>
      <c r="B2465" s="32"/>
      <c r="C2465" s="32"/>
      <c r="D2465" s="32"/>
      <c r="E2465" s="34" t="str">
        <f aca="false">IF($B2465="","",IF($B2465="OUT","Liters",IFERROR(INDEX(Setup!$F$3:$F$24,MATCH($C2465,Setup!$A$3:$A$24,0)),"")))</f>
        <v/>
      </c>
      <c r="F2465" s="28" t="str">
        <f aca="false">IF(OR($D2465="",$E2465=""),"",IFERROR($D2465*INDEX(Setup!$B$27:$B$44,MATCH($E2465,Setup!$A$27:$A$44,0)),"TBD"))</f>
        <v/>
      </c>
      <c r="G2465" s="32"/>
      <c r="H2465" s="32"/>
      <c r="I2465" s="32"/>
      <c r="J2465" s="32"/>
      <c r="K2465" s="35"/>
      <c r="L2465" s="32"/>
      <c r="M2465" s="32"/>
    </row>
    <row r="2466" customFormat="false" ht="15" hidden="false" customHeight="true" outlineLevel="0" collapsed="false">
      <c r="A2466" s="32"/>
      <c r="B2466" s="32"/>
      <c r="C2466" s="32"/>
      <c r="D2466" s="32"/>
      <c r="E2466" s="34" t="str">
        <f aca="false">IF($B2466="","",IF($B2466="OUT","Liters",IFERROR(INDEX(Setup!$F$3:$F$24,MATCH($C2466,Setup!$A$3:$A$24,0)),"")))</f>
        <v/>
      </c>
      <c r="F2466" s="28" t="str">
        <f aca="false">IF(OR($D2466="",$E2466=""),"",IFERROR($D2466*INDEX(Setup!$B$27:$B$44,MATCH($E2466,Setup!$A$27:$A$44,0)),"TBD"))</f>
        <v/>
      </c>
      <c r="G2466" s="32"/>
      <c r="H2466" s="32"/>
      <c r="I2466" s="32"/>
      <c r="J2466" s="32"/>
      <c r="K2466" s="35"/>
      <c r="L2466" s="32"/>
      <c r="M2466" s="32"/>
    </row>
    <row r="2467" customFormat="false" ht="15" hidden="false" customHeight="true" outlineLevel="0" collapsed="false">
      <c r="A2467" s="32"/>
      <c r="B2467" s="32"/>
      <c r="C2467" s="32"/>
      <c r="D2467" s="32"/>
      <c r="E2467" s="34" t="str">
        <f aca="false">IF($B2467="","",IF($B2467="OUT","Liters",IFERROR(INDEX(Setup!$F$3:$F$24,MATCH($C2467,Setup!$A$3:$A$24,0)),"")))</f>
        <v/>
      </c>
      <c r="F2467" s="28" t="str">
        <f aca="false">IF(OR($D2467="",$E2467=""),"",IFERROR($D2467*INDEX(Setup!$B$27:$B$44,MATCH($E2467,Setup!$A$27:$A$44,0)),"TBD"))</f>
        <v/>
      </c>
      <c r="G2467" s="32"/>
      <c r="H2467" s="32"/>
      <c r="I2467" s="32"/>
      <c r="J2467" s="32"/>
      <c r="K2467" s="35"/>
      <c r="L2467" s="32"/>
      <c r="M2467" s="32"/>
    </row>
    <row r="2468" customFormat="false" ht="15" hidden="false" customHeight="true" outlineLevel="0" collapsed="false">
      <c r="A2468" s="32"/>
      <c r="B2468" s="32"/>
      <c r="C2468" s="32"/>
      <c r="D2468" s="32"/>
      <c r="E2468" s="34" t="str">
        <f aca="false">IF($B2468="","",IF($B2468="OUT","Liters",IFERROR(INDEX(Setup!$F$3:$F$24,MATCH($C2468,Setup!$A$3:$A$24,0)),"")))</f>
        <v/>
      </c>
      <c r="F2468" s="28" t="str">
        <f aca="false">IF(OR($D2468="",$E2468=""),"",IFERROR($D2468*INDEX(Setup!$B$27:$B$44,MATCH($E2468,Setup!$A$27:$A$44,0)),"TBD"))</f>
        <v/>
      </c>
      <c r="G2468" s="32"/>
      <c r="H2468" s="32"/>
      <c r="I2468" s="32"/>
      <c r="J2468" s="32"/>
      <c r="K2468" s="35"/>
      <c r="L2468" s="32"/>
      <c r="M2468" s="32"/>
    </row>
    <row r="2469" customFormat="false" ht="15" hidden="false" customHeight="true" outlineLevel="0" collapsed="false">
      <c r="A2469" s="32"/>
      <c r="B2469" s="32"/>
      <c r="C2469" s="32"/>
      <c r="D2469" s="32"/>
      <c r="E2469" s="34" t="str">
        <f aca="false">IF($B2469="","",IF($B2469="OUT","Liters",IFERROR(INDEX(Setup!$F$3:$F$24,MATCH($C2469,Setup!$A$3:$A$24,0)),"")))</f>
        <v/>
      </c>
      <c r="F2469" s="28" t="str">
        <f aca="false">IF(OR($D2469="",$E2469=""),"",IFERROR($D2469*INDEX(Setup!$B$27:$B$44,MATCH($E2469,Setup!$A$27:$A$44,0)),"TBD"))</f>
        <v/>
      </c>
      <c r="G2469" s="32"/>
      <c r="H2469" s="32"/>
      <c r="I2469" s="32"/>
      <c r="J2469" s="32"/>
      <c r="K2469" s="35"/>
      <c r="L2469" s="32"/>
      <c r="M2469" s="32"/>
    </row>
    <row r="2470" customFormat="false" ht="15" hidden="false" customHeight="true" outlineLevel="0" collapsed="false">
      <c r="A2470" s="32"/>
      <c r="B2470" s="32"/>
      <c r="C2470" s="32"/>
      <c r="D2470" s="32"/>
      <c r="E2470" s="34" t="str">
        <f aca="false">IF($B2470="","",IF($B2470="OUT","Liters",IFERROR(INDEX(Setup!$F$3:$F$24,MATCH($C2470,Setup!$A$3:$A$24,0)),"")))</f>
        <v/>
      </c>
      <c r="F2470" s="28" t="str">
        <f aca="false">IF(OR($D2470="",$E2470=""),"",IFERROR($D2470*INDEX(Setup!$B$27:$B$44,MATCH($E2470,Setup!$A$27:$A$44,0)),"TBD"))</f>
        <v/>
      </c>
      <c r="G2470" s="32"/>
      <c r="H2470" s="32"/>
      <c r="I2470" s="32"/>
      <c r="J2470" s="32"/>
      <c r="K2470" s="35"/>
      <c r="L2470" s="32"/>
      <c r="M2470" s="32"/>
    </row>
    <row r="2471" customFormat="false" ht="15" hidden="false" customHeight="true" outlineLevel="0" collapsed="false">
      <c r="A2471" s="32"/>
      <c r="B2471" s="32"/>
      <c r="C2471" s="32"/>
      <c r="D2471" s="32"/>
      <c r="E2471" s="34" t="str">
        <f aca="false">IF($B2471="","",IF($B2471="OUT","Liters",IFERROR(INDEX(Setup!$F$3:$F$24,MATCH($C2471,Setup!$A$3:$A$24,0)),"")))</f>
        <v/>
      </c>
      <c r="F2471" s="28" t="str">
        <f aca="false">IF(OR($D2471="",$E2471=""),"",IFERROR($D2471*INDEX(Setup!$B$27:$B$44,MATCH($E2471,Setup!$A$27:$A$44,0)),"TBD"))</f>
        <v/>
      </c>
      <c r="G2471" s="32"/>
      <c r="H2471" s="32"/>
      <c r="I2471" s="32"/>
      <c r="J2471" s="32"/>
      <c r="K2471" s="35"/>
      <c r="L2471" s="32"/>
      <c r="M2471" s="32"/>
    </row>
    <row r="2472" customFormat="false" ht="15" hidden="false" customHeight="true" outlineLevel="0" collapsed="false">
      <c r="A2472" s="32"/>
      <c r="B2472" s="32"/>
      <c r="C2472" s="32"/>
      <c r="D2472" s="32"/>
      <c r="E2472" s="34" t="str">
        <f aca="false">IF($B2472="","",IF($B2472="OUT","Liters",IFERROR(INDEX(Setup!$F$3:$F$24,MATCH($C2472,Setup!$A$3:$A$24,0)),"")))</f>
        <v/>
      </c>
      <c r="F2472" s="28" t="str">
        <f aca="false">IF(OR($D2472="",$E2472=""),"",IFERROR($D2472*INDEX(Setup!$B$27:$B$44,MATCH($E2472,Setup!$A$27:$A$44,0)),"TBD"))</f>
        <v/>
      </c>
      <c r="G2472" s="32"/>
      <c r="H2472" s="32"/>
      <c r="I2472" s="32"/>
      <c r="J2472" s="32"/>
      <c r="K2472" s="35"/>
      <c r="L2472" s="32"/>
      <c r="M2472" s="32"/>
    </row>
    <row r="2473" customFormat="false" ht="15" hidden="false" customHeight="true" outlineLevel="0" collapsed="false">
      <c r="A2473" s="32"/>
      <c r="B2473" s="32"/>
      <c r="C2473" s="32"/>
      <c r="D2473" s="32"/>
      <c r="E2473" s="34" t="str">
        <f aca="false">IF($B2473="","",IF($B2473="OUT","Liters",IFERROR(INDEX(Setup!$F$3:$F$24,MATCH($C2473,Setup!$A$3:$A$24,0)),"")))</f>
        <v/>
      </c>
      <c r="F2473" s="28" t="str">
        <f aca="false">IF(OR($D2473="",$E2473=""),"",IFERROR($D2473*INDEX(Setup!$B$27:$B$44,MATCH($E2473,Setup!$A$27:$A$44,0)),"TBD"))</f>
        <v/>
      </c>
      <c r="G2473" s="32"/>
      <c r="H2473" s="32"/>
      <c r="I2473" s="32"/>
      <c r="J2473" s="32"/>
      <c r="K2473" s="35"/>
      <c r="L2473" s="32"/>
      <c r="M2473" s="32"/>
    </row>
    <row r="2474" customFormat="false" ht="15" hidden="false" customHeight="true" outlineLevel="0" collapsed="false">
      <c r="A2474" s="32"/>
      <c r="B2474" s="32"/>
      <c r="C2474" s="32"/>
      <c r="D2474" s="32"/>
      <c r="E2474" s="34" t="str">
        <f aca="false">IF($B2474="","",IF($B2474="OUT","Liters",IFERROR(INDEX(Setup!$F$3:$F$24,MATCH($C2474,Setup!$A$3:$A$24,0)),"")))</f>
        <v/>
      </c>
      <c r="F2474" s="28" t="str">
        <f aca="false">IF(OR($D2474="",$E2474=""),"",IFERROR($D2474*INDEX(Setup!$B$27:$B$44,MATCH($E2474,Setup!$A$27:$A$44,0)),"TBD"))</f>
        <v/>
      </c>
      <c r="G2474" s="32"/>
      <c r="H2474" s="32"/>
      <c r="I2474" s="32"/>
      <c r="J2474" s="32"/>
      <c r="K2474" s="35"/>
      <c r="L2474" s="32"/>
      <c r="M2474" s="32"/>
    </row>
    <row r="2475" customFormat="false" ht="15" hidden="false" customHeight="true" outlineLevel="0" collapsed="false">
      <c r="A2475" s="32"/>
      <c r="B2475" s="32"/>
      <c r="C2475" s="32"/>
      <c r="D2475" s="32"/>
      <c r="E2475" s="34" t="str">
        <f aca="false">IF($B2475="","",IF($B2475="OUT","Liters",IFERROR(INDEX(Setup!$F$3:$F$24,MATCH($C2475,Setup!$A$3:$A$24,0)),"")))</f>
        <v/>
      </c>
      <c r="F2475" s="28" t="str">
        <f aca="false">IF(OR($D2475="",$E2475=""),"",IFERROR($D2475*INDEX(Setup!$B$27:$B$44,MATCH($E2475,Setup!$A$27:$A$44,0)),"TBD"))</f>
        <v/>
      </c>
      <c r="G2475" s="32"/>
      <c r="H2475" s="32"/>
      <c r="I2475" s="32"/>
      <c r="J2475" s="32"/>
      <c r="K2475" s="35"/>
      <c r="L2475" s="32"/>
      <c r="M2475" s="32"/>
    </row>
    <row r="2476" customFormat="false" ht="15" hidden="false" customHeight="true" outlineLevel="0" collapsed="false">
      <c r="A2476" s="32"/>
      <c r="B2476" s="32"/>
      <c r="C2476" s="32"/>
      <c r="D2476" s="32"/>
      <c r="E2476" s="34" t="str">
        <f aca="false">IF($B2476="","",IF($B2476="OUT","Liters",IFERROR(INDEX(Setup!$F$3:$F$24,MATCH($C2476,Setup!$A$3:$A$24,0)),"")))</f>
        <v/>
      </c>
      <c r="F2476" s="28" t="str">
        <f aca="false">IF(OR($D2476="",$E2476=""),"",IFERROR($D2476*INDEX(Setup!$B$27:$B$44,MATCH($E2476,Setup!$A$27:$A$44,0)),"TBD"))</f>
        <v/>
      </c>
      <c r="G2476" s="32"/>
      <c r="H2476" s="32"/>
      <c r="I2476" s="32"/>
      <c r="J2476" s="32"/>
      <c r="K2476" s="35"/>
      <c r="L2476" s="32"/>
      <c r="M2476" s="32"/>
    </row>
    <row r="2477" customFormat="false" ht="15" hidden="false" customHeight="true" outlineLevel="0" collapsed="false">
      <c r="A2477" s="32"/>
      <c r="B2477" s="32"/>
      <c r="C2477" s="32"/>
      <c r="D2477" s="32"/>
      <c r="E2477" s="34" t="str">
        <f aca="false">IF($B2477="","",IF($B2477="OUT","Liters",IFERROR(INDEX(Setup!$F$3:$F$24,MATCH($C2477,Setup!$A$3:$A$24,0)),"")))</f>
        <v/>
      </c>
      <c r="F2477" s="28" t="str">
        <f aca="false">IF(OR($D2477="",$E2477=""),"",IFERROR($D2477*INDEX(Setup!$B$27:$B$44,MATCH($E2477,Setup!$A$27:$A$44,0)),"TBD"))</f>
        <v/>
      </c>
      <c r="G2477" s="32"/>
      <c r="H2477" s="32"/>
      <c r="I2477" s="32"/>
      <c r="J2477" s="32"/>
      <c r="K2477" s="35"/>
      <c r="L2477" s="32"/>
      <c r="M2477" s="32"/>
    </row>
    <row r="2478" customFormat="false" ht="15" hidden="false" customHeight="true" outlineLevel="0" collapsed="false">
      <c r="A2478" s="32"/>
      <c r="B2478" s="32"/>
      <c r="C2478" s="32"/>
      <c r="D2478" s="32"/>
      <c r="E2478" s="34" t="str">
        <f aca="false">IF($B2478="","",IF($B2478="OUT","Liters",IFERROR(INDEX(Setup!$F$3:$F$24,MATCH($C2478,Setup!$A$3:$A$24,0)),"")))</f>
        <v/>
      </c>
      <c r="F2478" s="28" t="str">
        <f aca="false">IF(OR($D2478="",$E2478=""),"",IFERROR($D2478*INDEX(Setup!$B$27:$B$44,MATCH($E2478,Setup!$A$27:$A$44,0)),"TBD"))</f>
        <v/>
      </c>
      <c r="G2478" s="32"/>
      <c r="H2478" s="32"/>
      <c r="I2478" s="32"/>
      <c r="J2478" s="32"/>
      <c r="K2478" s="35"/>
      <c r="L2478" s="32"/>
      <c r="M2478" s="32"/>
    </row>
    <row r="2479" customFormat="false" ht="15" hidden="false" customHeight="true" outlineLevel="0" collapsed="false">
      <c r="A2479" s="32"/>
      <c r="B2479" s="32"/>
      <c r="C2479" s="32"/>
      <c r="D2479" s="32"/>
      <c r="E2479" s="34" t="str">
        <f aca="false">IF($B2479="","",IF($B2479="OUT","Liters",IFERROR(INDEX(Setup!$F$3:$F$24,MATCH($C2479,Setup!$A$3:$A$24,0)),"")))</f>
        <v/>
      </c>
      <c r="F2479" s="28" t="str">
        <f aca="false">IF(OR($D2479="",$E2479=""),"",IFERROR($D2479*INDEX(Setup!$B$27:$B$44,MATCH($E2479,Setup!$A$27:$A$44,0)),"TBD"))</f>
        <v/>
      </c>
      <c r="G2479" s="32"/>
      <c r="H2479" s="32"/>
      <c r="I2479" s="32"/>
      <c r="J2479" s="32"/>
      <c r="K2479" s="35"/>
      <c r="L2479" s="32"/>
      <c r="M2479" s="32"/>
    </row>
    <row r="2480" customFormat="false" ht="15" hidden="false" customHeight="true" outlineLevel="0" collapsed="false">
      <c r="A2480" s="32"/>
      <c r="B2480" s="32"/>
      <c r="C2480" s="32"/>
      <c r="D2480" s="32"/>
      <c r="E2480" s="34" t="str">
        <f aca="false">IF($B2480="","",IF($B2480="OUT","Liters",IFERROR(INDEX(Setup!$F$3:$F$24,MATCH($C2480,Setup!$A$3:$A$24,0)),"")))</f>
        <v/>
      </c>
      <c r="F2480" s="28" t="str">
        <f aca="false">IF(OR($D2480="",$E2480=""),"",IFERROR($D2480*INDEX(Setup!$B$27:$B$44,MATCH($E2480,Setup!$A$27:$A$44,0)),"TBD"))</f>
        <v/>
      </c>
      <c r="G2480" s="32"/>
      <c r="H2480" s="32"/>
      <c r="I2480" s="32"/>
      <c r="J2480" s="32"/>
      <c r="K2480" s="35"/>
      <c r="L2480" s="32"/>
      <c r="M2480" s="32"/>
    </row>
    <row r="2481" customFormat="false" ht="15" hidden="false" customHeight="true" outlineLevel="0" collapsed="false">
      <c r="A2481" s="32"/>
      <c r="B2481" s="32"/>
      <c r="C2481" s="32"/>
      <c r="D2481" s="32"/>
      <c r="E2481" s="34" t="str">
        <f aca="false">IF($B2481="","",IF($B2481="OUT","Liters",IFERROR(INDEX(Setup!$F$3:$F$24,MATCH($C2481,Setup!$A$3:$A$24,0)),"")))</f>
        <v/>
      </c>
      <c r="F2481" s="28" t="str">
        <f aca="false">IF(OR($D2481="",$E2481=""),"",IFERROR($D2481*INDEX(Setup!$B$27:$B$44,MATCH($E2481,Setup!$A$27:$A$44,0)),"TBD"))</f>
        <v/>
      </c>
      <c r="G2481" s="32"/>
      <c r="H2481" s="32"/>
      <c r="I2481" s="32"/>
      <c r="J2481" s="32"/>
      <c r="K2481" s="35"/>
      <c r="L2481" s="32"/>
      <c r="M2481" s="32"/>
    </row>
    <row r="2482" customFormat="false" ht="15" hidden="false" customHeight="true" outlineLevel="0" collapsed="false">
      <c r="A2482" s="32"/>
      <c r="B2482" s="32"/>
      <c r="C2482" s="32"/>
      <c r="D2482" s="32"/>
      <c r="E2482" s="34" t="str">
        <f aca="false">IF($B2482="","",IF($B2482="OUT","Liters",IFERROR(INDEX(Setup!$F$3:$F$24,MATCH($C2482,Setup!$A$3:$A$24,0)),"")))</f>
        <v/>
      </c>
      <c r="F2482" s="28" t="str">
        <f aca="false">IF(OR($D2482="",$E2482=""),"",IFERROR($D2482*INDEX(Setup!$B$27:$B$44,MATCH($E2482,Setup!$A$27:$A$44,0)),"TBD"))</f>
        <v/>
      </c>
      <c r="G2482" s="32"/>
      <c r="H2482" s="32"/>
      <c r="I2482" s="32"/>
      <c r="J2482" s="32"/>
      <c r="K2482" s="35"/>
      <c r="L2482" s="32"/>
      <c r="M2482" s="32"/>
    </row>
    <row r="2483" customFormat="false" ht="15" hidden="false" customHeight="true" outlineLevel="0" collapsed="false">
      <c r="A2483" s="32"/>
      <c r="B2483" s="32"/>
      <c r="C2483" s="32"/>
      <c r="D2483" s="32"/>
      <c r="E2483" s="34" t="str">
        <f aca="false">IF($B2483="","",IF($B2483="OUT","Liters",IFERROR(INDEX(Setup!$F$3:$F$24,MATCH($C2483,Setup!$A$3:$A$24,0)),"")))</f>
        <v/>
      </c>
      <c r="F2483" s="28" t="str">
        <f aca="false">IF(OR($D2483="",$E2483=""),"",IFERROR($D2483*INDEX(Setup!$B$27:$B$44,MATCH($E2483,Setup!$A$27:$A$44,0)),"TBD"))</f>
        <v/>
      </c>
      <c r="G2483" s="32"/>
      <c r="H2483" s="32"/>
      <c r="I2483" s="32"/>
      <c r="J2483" s="32"/>
      <c r="K2483" s="35"/>
      <c r="L2483" s="32"/>
      <c r="M2483" s="32"/>
    </row>
    <row r="2484" customFormat="false" ht="15" hidden="false" customHeight="true" outlineLevel="0" collapsed="false">
      <c r="A2484" s="32"/>
      <c r="B2484" s="32"/>
      <c r="C2484" s="32"/>
      <c r="D2484" s="32"/>
      <c r="E2484" s="34" t="str">
        <f aca="false">IF($B2484="","",IF($B2484="OUT","Liters",IFERROR(INDEX(Setup!$F$3:$F$24,MATCH($C2484,Setup!$A$3:$A$24,0)),"")))</f>
        <v/>
      </c>
      <c r="F2484" s="28" t="str">
        <f aca="false">IF(OR($D2484="",$E2484=""),"",IFERROR($D2484*INDEX(Setup!$B$27:$B$44,MATCH($E2484,Setup!$A$27:$A$44,0)),"TBD"))</f>
        <v/>
      </c>
      <c r="G2484" s="32"/>
      <c r="H2484" s="32"/>
      <c r="I2484" s="32"/>
      <c r="J2484" s="32"/>
      <c r="K2484" s="35"/>
      <c r="L2484" s="32"/>
      <c r="M2484" s="32"/>
    </row>
    <row r="2485" customFormat="false" ht="15" hidden="false" customHeight="true" outlineLevel="0" collapsed="false">
      <c r="A2485" s="32"/>
      <c r="B2485" s="32"/>
      <c r="C2485" s="32"/>
      <c r="D2485" s="32"/>
      <c r="E2485" s="34" t="str">
        <f aca="false">IF($B2485="","",IF($B2485="OUT","Liters",IFERROR(INDEX(Setup!$F$3:$F$24,MATCH($C2485,Setup!$A$3:$A$24,0)),"")))</f>
        <v/>
      </c>
      <c r="F2485" s="28" t="str">
        <f aca="false">IF(OR($D2485="",$E2485=""),"",IFERROR($D2485*INDEX(Setup!$B$27:$B$44,MATCH($E2485,Setup!$A$27:$A$44,0)),"TBD"))</f>
        <v/>
      </c>
      <c r="G2485" s="32"/>
      <c r="H2485" s="32"/>
      <c r="I2485" s="32"/>
      <c r="J2485" s="32"/>
      <c r="K2485" s="35"/>
      <c r="L2485" s="32"/>
      <c r="M2485" s="32"/>
    </row>
    <row r="2486" customFormat="false" ht="15" hidden="false" customHeight="true" outlineLevel="0" collapsed="false">
      <c r="A2486" s="32"/>
      <c r="B2486" s="32"/>
      <c r="C2486" s="32"/>
      <c r="D2486" s="32"/>
      <c r="E2486" s="34" t="str">
        <f aca="false">IF($B2486="","",IF($B2486="OUT","Liters",IFERROR(INDEX(Setup!$F$3:$F$24,MATCH($C2486,Setup!$A$3:$A$24,0)),"")))</f>
        <v/>
      </c>
      <c r="F2486" s="28" t="str">
        <f aca="false">IF(OR($D2486="",$E2486=""),"",IFERROR($D2486*INDEX(Setup!$B$27:$B$44,MATCH($E2486,Setup!$A$27:$A$44,0)),"TBD"))</f>
        <v/>
      </c>
      <c r="G2486" s="32"/>
      <c r="H2486" s="32"/>
      <c r="I2486" s="32"/>
      <c r="J2486" s="32"/>
      <c r="K2486" s="35"/>
      <c r="L2486" s="32"/>
      <c r="M2486" s="32"/>
    </row>
    <row r="2487" customFormat="false" ht="15" hidden="false" customHeight="true" outlineLevel="0" collapsed="false">
      <c r="A2487" s="32"/>
      <c r="B2487" s="32"/>
      <c r="C2487" s="32"/>
      <c r="D2487" s="32"/>
      <c r="E2487" s="34" t="str">
        <f aca="false">IF($B2487="","",IF($B2487="OUT","Liters",IFERROR(INDEX(Setup!$F$3:$F$24,MATCH($C2487,Setup!$A$3:$A$24,0)),"")))</f>
        <v/>
      </c>
      <c r="F2487" s="28" t="str">
        <f aca="false">IF(OR($D2487="",$E2487=""),"",IFERROR($D2487*INDEX(Setup!$B$27:$B$44,MATCH($E2487,Setup!$A$27:$A$44,0)),"TBD"))</f>
        <v/>
      </c>
      <c r="G2487" s="32"/>
      <c r="H2487" s="32"/>
      <c r="I2487" s="32"/>
      <c r="J2487" s="32"/>
      <c r="K2487" s="35"/>
      <c r="L2487" s="32"/>
      <c r="M2487" s="32"/>
    </row>
    <row r="2488" customFormat="false" ht="15" hidden="false" customHeight="true" outlineLevel="0" collapsed="false">
      <c r="A2488" s="32"/>
      <c r="B2488" s="32"/>
      <c r="C2488" s="32"/>
      <c r="D2488" s="32"/>
      <c r="E2488" s="34" t="str">
        <f aca="false">IF($B2488="","",IF($B2488="OUT","Liters",IFERROR(INDEX(Setup!$F$3:$F$24,MATCH($C2488,Setup!$A$3:$A$24,0)),"")))</f>
        <v/>
      </c>
      <c r="F2488" s="28" t="str">
        <f aca="false">IF(OR($D2488="",$E2488=""),"",IFERROR($D2488*INDEX(Setup!$B$27:$B$44,MATCH($E2488,Setup!$A$27:$A$44,0)),"TBD"))</f>
        <v/>
      </c>
      <c r="G2488" s="32"/>
      <c r="H2488" s="32"/>
      <c r="I2488" s="32"/>
      <c r="J2488" s="32"/>
      <c r="K2488" s="35"/>
      <c r="L2488" s="32"/>
      <c r="M2488" s="32"/>
    </row>
    <row r="2489" customFormat="false" ht="15" hidden="false" customHeight="true" outlineLevel="0" collapsed="false">
      <c r="A2489" s="32"/>
      <c r="B2489" s="32"/>
      <c r="C2489" s="32"/>
      <c r="D2489" s="32"/>
      <c r="E2489" s="34" t="str">
        <f aca="false">IF($B2489="","",IF($B2489="OUT","Liters",IFERROR(INDEX(Setup!$F$3:$F$24,MATCH($C2489,Setup!$A$3:$A$24,0)),"")))</f>
        <v/>
      </c>
      <c r="F2489" s="28" t="str">
        <f aca="false">IF(OR($D2489="",$E2489=""),"",IFERROR($D2489*INDEX(Setup!$B$27:$B$44,MATCH($E2489,Setup!$A$27:$A$44,0)),"TBD"))</f>
        <v/>
      </c>
      <c r="G2489" s="32"/>
      <c r="H2489" s="32"/>
      <c r="I2489" s="32"/>
      <c r="J2489" s="32"/>
      <c r="K2489" s="35"/>
      <c r="L2489" s="32"/>
      <c r="M2489" s="32"/>
    </row>
    <row r="2490" customFormat="false" ht="15" hidden="false" customHeight="true" outlineLevel="0" collapsed="false">
      <c r="A2490" s="32"/>
      <c r="B2490" s="32"/>
      <c r="C2490" s="32"/>
      <c r="D2490" s="32"/>
      <c r="E2490" s="34" t="str">
        <f aca="false">IF($B2490="","",IF($B2490="OUT","Liters",IFERROR(INDEX(Setup!$F$3:$F$24,MATCH($C2490,Setup!$A$3:$A$24,0)),"")))</f>
        <v/>
      </c>
      <c r="F2490" s="28" t="str">
        <f aca="false">IF(OR($D2490="",$E2490=""),"",IFERROR($D2490*INDEX(Setup!$B$27:$B$44,MATCH($E2490,Setup!$A$27:$A$44,0)),"TBD"))</f>
        <v/>
      </c>
      <c r="G2490" s="32"/>
      <c r="H2490" s="32"/>
      <c r="I2490" s="32"/>
      <c r="J2490" s="32"/>
      <c r="K2490" s="35"/>
      <c r="L2490" s="32"/>
      <c r="M2490" s="32"/>
    </row>
    <row r="2491" customFormat="false" ht="15" hidden="false" customHeight="true" outlineLevel="0" collapsed="false">
      <c r="A2491" s="32"/>
      <c r="B2491" s="32"/>
      <c r="C2491" s="32"/>
      <c r="D2491" s="32"/>
      <c r="E2491" s="34" t="str">
        <f aca="false">IF($B2491="","",IF($B2491="OUT","Liters",IFERROR(INDEX(Setup!$F$3:$F$24,MATCH($C2491,Setup!$A$3:$A$24,0)),"")))</f>
        <v/>
      </c>
      <c r="F2491" s="28" t="str">
        <f aca="false">IF(OR($D2491="",$E2491=""),"",IFERROR($D2491*INDEX(Setup!$B$27:$B$44,MATCH($E2491,Setup!$A$27:$A$44,0)),"TBD"))</f>
        <v/>
      </c>
      <c r="G2491" s="32"/>
      <c r="H2491" s="32"/>
      <c r="I2491" s="32"/>
      <c r="J2491" s="32"/>
      <c r="K2491" s="35"/>
      <c r="L2491" s="32"/>
      <c r="M2491" s="32"/>
    </row>
    <row r="2492" customFormat="false" ht="15" hidden="false" customHeight="true" outlineLevel="0" collapsed="false">
      <c r="A2492" s="32"/>
      <c r="B2492" s="32"/>
      <c r="C2492" s="32"/>
      <c r="D2492" s="32"/>
      <c r="E2492" s="34" t="str">
        <f aca="false">IF($B2492="","",IF($B2492="OUT","Liters",IFERROR(INDEX(Setup!$F$3:$F$24,MATCH($C2492,Setup!$A$3:$A$24,0)),"")))</f>
        <v/>
      </c>
      <c r="F2492" s="28" t="str">
        <f aca="false">IF(OR($D2492="",$E2492=""),"",IFERROR($D2492*INDEX(Setup!$B$27:$B$44,MATCH($E2492,Setup!$A$27:$A$44,0)),"TBD"))</f>
        <v/>
      </c>
      <c r="G2492" s="32"/>
      <c r="H2492" s="32"/>
      <c r="I2492" s="32"/>
      <c r="J2492" s="32"/>
      <c r="K2492" s="35"/>
      <c r="L2492" s="32"/>
      <c r="M2492" s="32"/>
    </row>
    <row r="2493" customFormat="false" ht="15" hidden="false" customHeight="true" outlineLevel="0" collapsed="false">
      <c r="A2493" s="32"/>
      <c r="B2493" s="32"/>
      <c r="C2493" s="32"/>
      <c r="D2493" s="32"/>
      <c r="E2493" s="34" t="str">
        <f aca="false">IF($B2493="","",IF($B2493="OUT","Liters",IFERROR(INDEX(Setup!$F$3:$F$24,MATCH($C2493,Setup!$A$3:$A$24,0)),"")))</f>
        <v/>
      </c>
      <c r="F2493" s="28" t="str">
        <f aca="false">IF(OR($D2493="",$E2493=""),"",IFERROR($D2493*INDEX(Setup!$B$27:$B$44,MATCH($E2493,Setup!$A$27:$A$44,0)),"TBD"))</f>
        <v/>
      </c>
      <c r="G2493" s="32"/>
      <c r="H2493" s="32"/>
      <c r="I2493" s="32"/>
      <c r="J2493" s="32"/>
      <c r="K2493" s="35"/>
      <c r="L2493" s="32"/>
      <c r="M2493" s="32"/>
    </row>
    <row r="2494" customFormat="false" ht="15" hidden="false" customHeight="true" outlineLevel="0" collapsed="false">
      <c r="A2494" s="32"/>
      <c r="B2494" s="32"/>
      <c r="C2494" s="32"/>
      <c r="D2494" s="32"/>
      <c r="E2494" s="34" t="str">
        <f aca="false">IF($B2494="","",IF($B2494="OUT","Liters",IFERROR(INDEX(Setup!$F$3:$F$24,MATCH($C2494,Setup!$A$3:$A$24,0)),"")))</f>
        <v/>
      </c>
      <c r="F2494" s="28" t="str">
        <f aca="false">IF(OR($D2494="",$E2494=""),"",IFERROR($D2494*INDEX(Setup!$B$27:$B$44,MATCH($E2494,Setup!$A$27:$A$44,0)),"TBD"))</f>
        <v/>
      </c>
      <c r="G2494" s="32"/>
      <c r="H2494" s="32"/>
      <c r="I2494" s="32"/>
      <c r="J2494" s="32"/>
      <c r="K2494" s="35"/>
      <c r="L2494" s="32"/>
      <c r="M2494" s="32"/>
    </row>
    <row r="2495" customFormat="false" ht="15" hidden="false" customHeight="true" outlineLevel="0" collapsed="false">
      <c r="A2495" s="32"/>
      <c r="B2495" s="32"/>
      <c r="C2495" s="32"/>
      <c r="D2495" s="32"/>
      <c r="E2495" s="34" t="str">
        <f aca="false">IF($B2495="","",IF($B2495="OUT","Liters",IFERROR(INDEX(Setup!$F$3:$F$24,MATCH($C2495,Setup!$A$3:$A$24,0)),"")))</f>
        <v/>
      </c>
      <c r="F2495" s="28" t="str">
        <f aca="false">IF(OR($D2495="",$E2495=""),"",IFERROR($D2495*INDEX(Setup!$B$27:$B$44,MATCH($E2495,Setup!$A$27:$A$44,0)),"TBD"))</f>
        <v/>
      </c>
      <c r="G2495" s="32"/>
      <c r="H2495" s="32"/>
      <c r="I2495" s="32"/>
      <c r="J2495" s="32"/>
      <c r="K2495" s="35"/>
      <c r="L2495" s="32"/>
      <c r="M2495" s="32"/>
    </row>
    <row r="2496" customFormat="false" ht="15" hidden="false" customHeight="true" outlineLevel="0" collapsed="false">
      <c r="A2496" s="32"/>
      <c r="B2496" s="32"/>
      <c r="C2496" s="32"/>
      <c r="D2496" s="32"/>
      <c r="E2496" s="34" t="str">
        <f aca="false">IF($B2496="","",IF($B2496="OUT","Liters",IFERROR(INDEX(Setup!$F$3:$F$24,MATCH($C2496,Setup!$A$3:$A$24,0)),"")))</f>
        <v/>
      </c>
      <c r="F2496" s="28" t="str">
        <f aca="false">IF(OR($D2496="",$E2496=""),"",IFERROR($D2496*INDEX(Setup!$B$27:$B$44,MATCH($E2496,Setup!$A$27:$A$44,0)),"TBD"))</f>
        <v/>
      </c>
      <c r="G2496" s="32"/>
      <c r="H2496" s="32"/>
      <c r="I2496" s="32"/>
      <c r="J2496" s="32"/>
      <c r="K2496" s="35"/>
      <c r="L2496" s="32"/>
      <c r="M2496" s="32"/>
    </row>
    <row r="2497" customFormat="false" ht="15" hidden="false" customHeight="true" outlineLevel="0" collapsed="false">
      <c r="A2497" s="32"/>
      <c r="B2497" s="32"/>
      <c r="C2497" s="32"/>
      <c r="D2497" s="32"/>
      <c r="E2497" s="34" t="str">
        <f aca="false">IF($B2497="","",IF($B2497="OUT","Liters",IFERROR(INDEX(Setup!$F$3:$F$24,MATCH($C2497,Setup!$A$3:$A$24,0)),"")))</f>
        <v/>
      </c>
      <c r="F2497" s="28" t="str">
        <f aca="false">IF(OR($D2497="",$E2497=""),"",IFERROR($D2497*INDEX(Setup!$B$27:$B$44,MATCH($E2497,Setup!$A$27:$A$44,0)),"TBD"))</f>
        <v/>
      </c>
      <c r="G2497" s="32"/>
      <c r="H2497" s="32"/>
      <c r="I2497" s="32"/>
      <c r="J2497" s="32"/>
      <c r="K2497" s="35"/>
      <c r="L2497" s="32"/>
      <c r="M2497" s="32"/>
    </row>
    <row r="2498" customFormat="false" ht="15" hidden="false" customHeight="true" outlineLevel="0" collapsed="false">
      <c r="A2498" s="32"/>
      <c r="B2498" s="32"/>
      <c r="C2498" s="32"/>
      <c r="D2498" s="32"/>
      <c r="E2498" s="34" t="str">
        <f aca="false">IF($B2498="","",IF($B2498="OUT","Liters",IFERROR(INDEX(Setup!$F$3:$F$24,MATCH($C2498,Setup!$A$3:$A$24,0)),"")))</f>
        <v/>
      </c>
      <c r="F2498" s="28" t="str">
        <f aca="false">IF(OR($D2498="",$E2498=""),"",IFERROR($D2498*INDEX(Setup!$B$27:$B$44,MATCH($E2498,Setup!$A$27:$A$44,0)),"TBD"))</f>
        <v/>
      </c>
      <c r="G2498" s="32"/>
      <c r="H2498" s="32"/>
      <c r="I2498" s="32"/>
      <c r="J2498" s="32"/>
      <c r="K2498" s="35"/>
      <c r="L2498" s="32"/>
      <c r="M2498" s="32"/>
    </row>
    <row r="2499" customFormat="false" ht="15" hidden="false" customHeight="true" outlineLevel="0" collapsed="false">
      <c r="A2499" s="32"/>
      <c r="B2499" s="32"/>
      <c r="C2499" s="32"/>
      <c r="D2499" s="32"/>
      <c r="E2499" s="34" t="str">
        <f aca="false">IF($B2499="","",IF($B2499="OUT","Liters",IFERROR(INDEX(Setup!$F$3:$F$24,MATCH($C2499,Setup!$A$3:$A$24,0)),"")))</f>
        <v/>
      </c>
      <c r="F2499" s="28" t="str">
        <f aca="false">IF(OR($D2499="",$E2499=""),"",IFERROR($D2499*INDEX(Setup!$B$27:$B$44,MATCH($E2499,Setup!$A$27:$A$44,0)),"TBD"))</f>
        <v/>
      </c>
      <c r="G2499" s="32"/>
      <c r="H2499" s="32"/>
      <c r="I2499" s="32"/>
      <c r="J2499" s="32"/>
      <c r="K2499" s="35"/>
      <c r="L2499" s="32"/>
      <c r="M2499" s="32"/>
    </row>
    <row r="2500" customFormat="false" ht="15" hidden="false" customHeight="true" outlineLevel="0" collapsed="false">
      <c r="A2500" s="32"/>
      <c r="B2500" s="32"/>
      <c r="C2500" s="32"/>
      <c r="D2500" s="32"/>
      <c r="E2500" s="34" t="str">
        <f aca="false">IF($B2500="","",IF($B2500="OUT","Liters",IFERROR(INDEX(Setup!$F$3:$F$24,MATCH($C2500,Setup!$A$3:$A$24,0)),"")))</f>
        <v/>
      </c>
      <c r="F2500" s="28" t="str">
        <f aca="false">IF(OR($D2500="",$E2500=""),"",IFERROR($D2500*INDEX(Setup!$B$27:$B$44,MATCH($E2500,Setup!$A$27:$A$44,0)),"TBD"))</f>
        <v/>
      </c>
      <c r="G2500" s="32"/>
      <c r="H2500" s="32"/>
      <c r="I2500" s="32"/>
      <c r="J2500" s="32"/>
      <c r="K2500" s="35"/>
      <c r="L2500" s="32"/>
      <c r="M2500" s="32"/>
    </row>
    <row r="2501" customFormat="false" ht="15" hidden="false" customHeight="true" outlineLevel="0" collapsed="false">
      <c r="A2501" s="32"/>
      <c r="B2501" s="32"/>
      <c r="C2501" s="32"/>
      <c r="D2501" s="32"/>
      <c r="E2501" s="34" t="str">
        <f aca="false">IF($B2501="","",IF($B2501="OUT","Liters",IFERROR(INDEX(Setup!$F$3:$F$24,MATCH($C2501,Setup!$A$3:$A$24,0)),"")))</f>
        <v/>
      </c>
      <c r="F2501" s="28" t="str">
        <f aca="false">IF(OR($D2501="",$E2501=""),"",IFERROR($D2501*INDEX(Setup!$B$27:$B$44,MATCH($E2501,Setup!$A$27:$A$44,0)),"TBD"))</f>
        <v/>
      </c>
      <c r="G2501" s="32"/>
      <c r="H2501" s="32"/>
      <c r="I2501" s="32"/>
      <c r="J2501" s="32"/>
      <c r="K2501" s="35"/>
      <c r="L2501" s="32"/>
      <c r="M2501" s="32"/>
    </row>
    <row r="2502" customFormat="false" ht="15" hidden="false" customHeight="true" outlineLevel="0" collapsed="false">
      <c r="A2502" s="32"/>
      <c r="B2502" s="32"/>
      <c r="C2502" s="32"/>
      <c r="D2502" s="32"/>
      <c r="E2502" s="34" t="str">
        <f aca="false">IF($B2502="","",IF($B2502="OUT","Liters",IFERROR(INDEX(Setup!$F$3:$F$24,MATCH($C2502,Setup!$A$3:$A$24,0)),"")))</f>
        <v/>
      </c>
      <c r="F2502" s="28" t="str">
        <f aca="false">IF(OR($D2502="",$E2502=""),"",IFERROR($D2502*INDEX(Setup!$B$27:$B$44,MATCH($E2502,Setup!$A$27:$A$44,0)),"TBD"))</f>
        <v/>
      </c>
      <c r="G2502" s="32"/>
      <c r="H2502" s="32"/>
      <c r="I2502" s="32"/>
      <c r="J2502" s="32"/>
      <c r="K2502" s="35"/>
      <c r="L2502" s="32"/>
      <c r="M2502" s="32"/>
    </row>
    <row r="2503" customFormat="false" ht="15" hidden="false" customHeight="true" outlineLevel="0" collapsed="false">
      <c r="A2503" s="32"/>
      <c r="B2503" s="32"/>
      <c r="C2503" s="32"/>
      <c r="D2503" s="32"/>
      <c r="E2503" s="34" t="str">
        <f aca="false">IF($B2503="","",IF($B2503="OUT","Liters",IFERROR(INDEX(Setup!$F$3:$F$24,MATCH($C2503,Setup!$A$3:$A$24,0)),"")))</f>
        <v/>
      </c>
      <c r="F2503" s="28" t="str">
        <f aca="false">IF(OR($D2503="",$E2503=""),"",IFERROR($D2503*INDEX(Setup!$B$27:$B$44,MATCH($E2503,Setup!$A$27:$A$44,0)),"TBD"))</f>
        <v/>
      </c>
      <c r="G2503" s="32"/>
      <c r="H2503" s="32"/>
      <c r="I2503" s="32"/>
      <c r="J2503" s="32"/>
      <c r="K2503" s="35"/>
      <c r="L2503" s="32"/>
      <c r="M2503" s="32"/>
    </row>
    <row r="2504" customFormat="false" ht="15" hidden="false" customHeight="true" outlineLevel="0" collapsed="false">
      <c r="A2504" s="32"/>
      <c r="B2504" s="32"/>
      <c r="C2504" s="32"/>
      <c r="D2504" s="32"/>
      <c r="E2504" s="34" t="str">
        <f aca="false">IF($B2504="","",IF($B2504="OUT","Liters",IFERROR(INDEX(Setup!$F$3:$F$24,MATCH($C2504,Setup!$A$3:$A$24,0)),"")))</f>
        <v/>
      </c>
      <c r="F2504" s="28" t="str">
        <f aca="false">IF(OR($D2504="",$E2504=""),"",IFERROR($D2504*INDEX(Setup!$B$27:$B$44,MATCH($E2504,Setup!$A$27:$A$44,0)),"TBD"))</f>
        <v/>
      </c>
      <c r="G2504" s="32"/>
      <c r="H2504" s="32"/>
      <c r="I2504" s="32"/>
      <c r="J2504" s="32"/>
      <c r="K2504" s="35"/>
      <c r="L2504" s="32"/>
      <c r="M2504" s="32"/>
    </row>
    <row r="2505" customFormat="false" ht="15" hidden="false" customHeight="true" outlineLevel="0" collapsed="false">
      <c r="A2505" s="32"/>
      <c r="B2505" s="32"/>
      <c r="C2505" s="32"/>
      <c r="D2505" s="32"/>
      <c r="E2505" s="34" t="str">
        <f aca="false">IF($B2505="","",IF($B2505="OUT","Liters",IFERROR(INDEX(Setup!$F$3:$F$24,MATCH($C2505,Setup!$A$3:$A$24,0)),"")))</f>
        <v/>
      </c>
      <c r="F2505" s="28" t="str">
        <f aca="false">IF(OR($D2505="",$E2505=""),"",IFERROR($D2505*INDEX(Setup!$B$27:$B$44,MATCH($E2505,Setup!$A$27:$A$44,0)),"TBD"))</f>
        <v/>
      </c>
      <c r="G2505" s="32"/>
      <c r="H2505" s="32"/>
      <c r="I2505" s="32"/>
      <c r="J2505" s="32"/>
      <c r="K2505" s="35"/>
      <c r="L2505" s="32"/>
      <c r="M2505" s="32"/>
    </row>
    <row r="2506" customFormat="false" ht="15" hidden="false" customHeight="true" outlineLevel="0" collapsed="false">
      <c r="A2506" s="32"/>
      <c r="B2506" s="32"/>
      <c r="C2506" s="32"/>
      <c r="D2506" s="32"/>
      <c r="E2506" s="34" t="str">
        <f aca="false">IF($B2506="","",IF($B2506="OUT","Liters",IFERROR(INDEX(Setup!$F$3:$F$24,MATCH($C2506,Setup!$A$3:$A$24,0)),"")))</f>
        <v/>
      </c>
      <c r="F2506" s="28" t="str">
        <f aca="false">IF(OR($D2506="",$E2506=""),"",IFERROR($D2506*INDEX(Setup!$B$27:$B$44,MATCH($E2506,Setup!$A$27:$A$44,0)),"TBD"))</f>
        <v/>
      </c>
      <c r="G2506" s="32"/>
      <c r="H2506" s="32"/>
      <c r="I2506" s="32"/>
      <c r="J2506" s="32"/>
      <c r="K2506" s="35"/>
      <c r="L2506" s="32"/>
      <c r="M2506" s="32"/>
    </row>
    <row r="2507" customFormat="false" ht="15" hidden="false" customHeight="true" outlineLevel="0" collapsed="false">
      <c r="A2507" s="32"/>
      <c r="B2507" s="32"/>
      <c r="C2507" s="32"/>
      <c r="D2507" s="32"/>
      <c r="E2507" s="34" t="str">
        <f aca="false">IF($B2507="","",IF($B2507="OUT","Liters",IFERROR(INDEX(Setup!$F$3:$F$24,MATCH($C2507,Setup!$A$3:$A$24,0)),"")))</f>
        <v/>
      </c>
      <c r="F2507" s="28" t="str">
        <f aca="false">IF(OR($D2507="",$E2507=""),"",IFERROR($D2507*INDEX(Setup!$B$27:$B$44,MATCH($E2507,Setup!$A$27:$A$44,0)),"TBD"))</f>
        <v/>
      </c>
      <c r="G2507" s="32"/>
      <c r="H2507" s="32"/>
      <c r="I2507" s="32"/>
      <c r="J2507" s="32"/>
      <c r="K2507" s="35"/>
      <c r="L2507" s="32"/>
      <c r="M2507" s="32"/>
    </row>
    <row r="2508" customFormat="false" ht="15" hidden="false" customHeight="true" outlineLevel="0" collapsed="false">
      <c r="A2508" s="32"/>
      <c r="B2508" s="32"/>
      <c r="C2508" s="32"/>
      <c r="D2508" s="32"/>
      <c r="E2508" s="34" t="str">
        <f aca="false">IF($B2508="","",IF($B2508="OUT","Liters",IFERROR(INDEX(Setup!$F$3:$F$24,MATCH($C2508,Setup!$A$3:$A$24,0)),"")))</f>
        <v/>
      </c>
      <c r="F2508" s="28" t="str">
        <f aca="false">IF(OR($D2508="",$E2508=""),"",IFERROR($D2508*INDEX(Setup!$B$27:$B$44,MATCH($E2508,Setup!$A$27:$A$44,0)),"TBD"))</f>
        <v/>
      </c>
      <c r="G2508" s="32"/>
      <c r="H2508" s="32"/>
      <c r="I2508" s="32"/>
      <c r="J2508" s="32"/>
      <c r="K2508" s="35"/>
      <c r="L2508" s="32"/>
      <c r="M2508" s="32"/>
    </row>
    <row r="2509" customFormat="false" ht="15" hidden="false" customHeight="true" outlineLevel="0" collapsed="false">
      <c r="A2509" s="32"/>
      <c r="B2509" s="32"/>
      <c r="C2509" s="32"/>
      <c r="D2509" s="32"/>
      <c r="E2509" s="34" t="str">
        <f aca="false">IF($B2509="","",IF($B2509="OUT","Liters",IFERROR(INDEX(Setup!$F$3:$F$24,MATCH($C2509,Setup!$A$3:$A$24,0)),"")))</f>
        <v/>
      </c>
      <c r="F2509" s="28" t="str">
        <f aca="false">IF(OR($D2509="",$E2509=""),"",IFERROR($D2509*INDEX(Setup!$B$27:$B$44,MATCH($E2509,Setup!$A$27:$A$44,0)),"TBD"))</f>
        <v/>
      </c>
      <c r="G2509" s="32"/>
      <c r="H2509" s="32"/>
      <c r="I2509" s="32"/>
      <c r="J2509" s="32"/>
      <c r="K2509" s="35"/>
      <c r="L2509" s="32"/>
      <c r="M2509" s="32"/>
    </row>
    <row r="2510" customFormat="false" ht="15" hidden="false" customHeight="true" outlineLevel="0" collapsed="false">
      <c r="A2510" s="32"/>
      <c r="B2510" s="32"/>
      <c r="C2510" s="32"/>
      <c r="D2510" s="32"/>
      <c r="E2510" s="34" t="str">
        <f aca="false">IF($B2510="","",IF($B2510="OUT","Liters",IFERROR(INDEX(Setup!$F$3:$F$24,MATCH($C2510,Setup!$A$3:$A$24,0)),"")))</f>
        <v/>
      </c>
      <c r="F2510" s="28" t="str">
        <f aca="false">IF(OR($D2510="",$E2510=""),"",IFERROR($D2510*INDEX(Setup!$B$27:$B$44,MATCH($E2510,Setup!$A$27:$A$44,0)),"TBD"))</f>
        <v/>
      </c>
      <c r="G2510" s="32"/>
      <c r="H2510" s="32"/>
      <c r="I2510" s="32"/>
      <c r="J2510" s="32"/>
      <c r="K2510" s="35"/>
      <c r="L2510" s="32"/>
      <c r="M2510" s="32"/>
    </row>
    <row r="2511" customFormat="false" ht="15" hidden="false" customHeight="true" outlineLevel="0" collapsed="false">
      <c r="A2511" s="32"/>
      <c r="B2511" s="32"/>
      <c r="C2511" s="32"/>
      <c r="D2511" s="32"/>
      <c r="E2511" s="34" t="str">
        <f aca="false">IF($B2511="","",IF($B2511="OUT","Liters",IFERROR(INDEX(Setup!$F$3:$F$24,MATCH($C2511,Setup!$A$3:$A$24,0)),"")))</f>
        <v/>
      </c>
      <c r="F2511" s="28" t="str">
        <f aca="false">IF(OR($D2511="",$E2511=""),"",IFERROR($D2511*INDEX(Setup!$B$27:$B$44,MATCH($E2511,Setup!$A$27:$A$44,0)),"TBD"))</f>
        <v/>
      </c>
      <c r="G2511" s="32"/>
      <c r="H2511" s="32"/>
      <c r="I2511" s="32"/>
      <c r="J2511" s="32"/>
      <c r="K2511" s="35"/>
      <c r="L2511" s="32"/>
      <c r="M2511" s="32"/>
    </row>
    <row r="2512" customFormat="false" ht="15" hidden="false" customHeight="true" outlineLevel="0" collapsed="false">
      <c r="A2512" s="32"/>
      <c r="B2512" s="32"/>
      <c r="C2512" s="32"/>
      <c r="D2512" s="32"/>
      <c r="E2512" s="34" t="str">
        <f aca="false">IF($B2512="","",IF($B2512="OUT","Liters",IFERROR(INDEX(Setup!$F$3:$F$24,MATCH($C2512,Setup!$A$3:$A$24,0)),"")))</f>
        <v/>
      </c>
      <c r="F2512" s="28" t="str">
        <f aca="false">IF(OR($D2512="",$E2512=""),"",IFERROR($D2512*INDEX(Setup!$B$27:$B$44,MATCH($E2512,Setup!$A$27:$A$44,0)),"TBD"))</f>
        <v/>
      </c>
      <c r="G2512" s="32"/>
      <c r="H2512" s="32"/>
      <c r="I2512" s="32"/>
      <c r="J2512" s="32"/>
      <c r="K2512" s="35"/>
      <c r="L2512" s="32"/>
      <c r="M2512" s="32"/>
    </row>
    <row r="2513" customFormat="false" ht="15" hidden="false" customHeight="true" outlineLevel="0" collapsed="false">
      <c r="A2513" s="32"/>
      <c r="B2513" s="32"/>
      <c r="C2513" s="32"/>
      <c r="D2513" s="32"/>
      <c r="E2513" s="34" t="str">
        <f aca="false">IF($B2513="","",IF($B2513="OUT","Liters",IFERROR(INDEX(Setup!$F$3:$F$24,MATCH($C2513,Setup!$A$3:$A$24,0)),"")))</f>
        <v/>
      </c>
      <c r="F2513" s="28" t="str">
        <f aca="false">IF(OR($D2513="",$E2513=""),"",IFERROR($D2513*INDEX(Setup!$B$27:$B$44,MATCH($E2513,Setup!$A$27:$A$44,0)),"TBD"))</f>
        <v/>
      </c>
      <c r="G2513" s="32"/>
      <c r="H2513" s="32"/>
      <c r="I2513" s="32"/>
      <c r="J2513" s="32"/>
      <c r="K2513" s="35"/>
      <c r="L2513" s="32"/>
      <c r="M2513" s="32"/>
    </row>
    <row r="2514" customFormat="false" ht="15" hidden="false" customHeight="true" outlineLevel="0" collapsed="false">
      <c r="A2514" s="32"/>
      <c r="B2514" s="32"/>
      <c r="C2514" s="32"/>
      <c r="D2514" s="32"/>
      <c r="E2514" s="34" t="str">
        <f aca="false">IF($B2514="","",IF($B2514="OUT","Liters",IFERROR(INDEX(Setup!$F$3:$F$24,MATCH($C2514,Setup!$A$3:$A$24,0)),"")))</f>
        <v/>
      </c>
      <c r="F2514" s="28" t="str">
        <f aca="false">IF(OR($D2514="",$E2514=""),"",IFERROR($D2514*INDEX(Setup!$B$27:$B$44,MATCH($E2514,Setup!$A$27:$A$44,0)),"TBD"))</f>
        <v/>
      </c>
      <c r="G2514" s="32"/>
      <c r="H2514" s="32"/>
      <c r="I2514" s="32"/>
      <c r="J2514" s="32"/>
      <c r="K2514" s="35"/>
      <c r="L2514" s="32"/>
      <c r="M2514" s="32"/>
    </row>
    <row r="2515" customFormat="false" ht="15" hidden="false" customHeight="true" outlineLevel="0" collapsed="false">
      <c r="A2515" s="32"/>
      <c r="B2515" s="32"/>
      <c r="C2515" s="32"/>
      <c r="D2515" s="32"/>
      <c r="E2515" s="34" t="str">
        <f aca="false">IF($B2515="","",IF($B2515="OUT","Liters",IFERROR(INDEX(Setup!$F$3:$F$24,MATCH($C2515,Setup!$A$3:$A$24,0)),"")))</f>
        <v/>
      </c>
      <c r="F2515" s="28" t="str">
        <f aca="false">IF(OR($D2515="",$E2515=""),"",IFERROR($D2515*INDEX(Setup!$B$27:$B$44,MATCH($E2515,Setup!$A$27:$A$44,0)),"TBD"))</f>
        <v/>
      </c>
      <c r="G2515" s="32"/>
      <c r="H2515" s="32"/>
      <c r="I2515" s="32"/>
      <c r="J2515" s="32"/>
      <c r="K2515" s="35"/>
      <c r="L2515" s="32"/>
      <c r="M2515" s="32"/>
    </row>
    <row r="2516" customFormat="false" ht="15" hidden="false" customHeight="true" outlineLevel="0" collapsed="false">
      <c r="A2516" s="32"/>
      <c r="B2516" s="32"/>
      <c r="C2516" s="32"/>
      <c r="D2516" s="32"/>
      <c r="E2516" s="34" t="str">
        <f aca="false">IF($B2516="","",IF($B2516="OUT","Liters",IFERROR(INDEX(Setup!$F$3:$F$24,MATCH($C2516,Setup!$A$3:$A$24,0)),"")))</f>
        <v/>
      </c>
      <c r="F2516" s="28" t="str">
        <f aca="false">IF(OR($D2516="",$E2516=""),"",IFERROR($D2516*INDEX(Setup!$B$27:$B$44,MATCH($E2516,Setup!$A$27:$A$44,0)),"TBD"))</f>
        <v/>
      </c>
      <c r="G2516" s="32"/>
      <c r="H2516" s="32"/>
      <c r="I2516" s="32"/>
      <c r="J2516" s="32"/>
      <c r="K2516" s="35"/>
      <c r="L2516" s="32"/>
      <c r="M2516" s="32"/>
    </row>
    <row r="2517" customFormat="false" ht="15" hidden="false" customHeight="true" outlineLevel="0" collapsed="false">
      <c r="A2517" s="32"/>
      <c r="B2517" s="32"/>
      <c r="C2517" s="32"/>
      <c r="D2517" s="32"/>
      <c r="E2517" s="34" t="str">
        <f aca="false">IF($B2517="","",IF($B2517="OUT","Liters",IFERROR(INDEX(Setup!$F$3:$F$24,MATCH($C2517,Setup!$A$3:$A$24,0)),"")))</f>
        <v/>
      </c>
      <c r="F2517" s="28" t="str">
        <f aca="false">IF(OR($D2517="",$E2517=""),"",IFERROR($D2517*INDEX(Setup!$B$27:$B$44,MATCH($E2517,Setup!$A$27:$A$44,0)),"TBD"))</f>
        <v/>
      </c>
      <c r="G2517" s="32"/>
      <c r="H2517" s="32"/>
      <c r="I2517" s="32"/>
      <c r="J2517" s="32"/>
      <c r="K2517" s="35"/>
      <c r="L2517" s="32"/>
      <c r="M2517" s="32"/>
    </row>
    <row r="2518" customFormat="false" ht="15" hidden="false" customHeight="true" outlineLevel="0" collapsed="false">
      <c r="A2518" s="32"/>
      <c r="B2518" s="32"/>
      <c r="C2518" s="32"/>
      <c r="D2518" s="32"/>
      <c r="E2518" s="34" t="str">
        <f aca="false">IF($B2518="","",IF($B2518="OUT","Liters",IFERROR(INDEX(Setup!$F$3:$F$24,MATCH($C2518,Setup!$A$3:$A$24,0)),"")))</f>
        <v/>
      </c>
      <c r="F2518" s="28" t="str">
        <f aca="false">IF(OR($D2518="",$E2518=""),"",IFERROR($D2518*INDEX(Setup!$B$27:$B$44,MATCH($E2518,Setup!$A$27:$A$44,0)),"TBD"))</f>
        <v/>
      </c>
      <c r="G2518" s="32"/>
      <c r="H2518" s="32"/>
      <c r="I2518" s="32"/>
      <c r="J2518" s="32"/>
      <c r="K2518" s="35"/>
      <c r="L2518" s="32"/>
      <c r="M2518" s="32"/>
    </row>
    <row r="2519" customFormat="false" ht="15" hidden="false" customHeight="true" outlineLevel="0" collapsed="false">
      <c r="A2519" s="32"/>
      <c r="B2519" s="32"/>
      <c r="C2519" s="32"/>
      <c r="D2519" s="32"/>
      <c r="E2519" s="34" t="str">
        <f aca="false">IF($B2519="","",IF($B2519="OUT","Liters",IFERROR(INDEX(Setup!$F$3:$F$24,MATCH($C2519,Setup!$A$3:$A$24,0)),"")))</f>
        <v/>
      </c>
      <c r="F2519" s="28" t="str">
        <f aca="false">IF(OR($D2519="",$E2519=""),"",IFERROR($D2519*INDEX(Setup!$B$27:$B$44,MATCH($E2519,Setup!$A$27:$A$44,0)),"TBD"))</f>
        <v/>
      </c>
      <c r="G2519" s="32"/>
      <c r="H2519" s="32"/>
      <c r="I2519" s="32"/>
      <c r="J2519" s="32"/>
      <c r="K2519" s="35"/>
      <c r="L2519" s="32"/>
      <c r="M2519" s="32"/>
    </row>
    <row r="2520" customFormat="false" ht="15" hidden="false" customHeight="true" outlineLevel="0" collapsed="false">
      <c r="A2520" s="32"/>
      <c r="B2520" s="32"/>
      <c r="C2520" s="32"/>
      <c r="D2520" s="32"/>
      <c r="E2520" s="34" t="str">
        <f aca="false">IF($B2520="","",IF($B2520="OUT","Liters",IFERROR(INDEX(Setup!$F$3:$F$24,MATCH($C2520,Setup!$A$3:$A$24,0)),"")))</f>
        <v/>
      </c>
      <c r="F2520" s="28" t="str">
        <f aca="false">IF(OR($D2520="",$E2520=""),"",IFERROR($D2520*INDEX(Setup!$B$27:$B$44,MATCH($E2520,Setup!$A$27:$A$44,0)),"TBD"))</f>
        <v/>
      </c>
      <c r="G2520" s="32"/>
      <c r="H2520" s="32"/>
      <c r="I2520" s="32"/>
      <c r="J2520" s="32"/>
      <c r="K2520" s="35"/>
      <c r="L2520" s="32"/>
      <c r="M2520" s="32"/>
    </row>
    <row r="2521" customFormat="false" ht="15" hidden="false" customHeight="true" outlineLevel="0" collapsed="false">
      <c r="A2521" s="32"/>
      <c r="B2521" s="32"/>
      <c r="C2521" s="32"/>
      <c r="D2521" s="32"/>
      <c r="E2521" s="34" t="str">
        <f aca="false">IF($B2521="","",IF($B2521="OUT","Liters",IFERROR(INDEX(Setup!$F$3:$F$24,MATCH($C2521,Setup!$A$3:$A$24,0)),"")))</f>
        <v/>
      </c>
      <c r="F2521" s="28" t="str">
        <f aca="false">IF(OR($D2521="",$E2521=""),"",IFERROR($D2521*INDEX(Setup!$B$27:$B$44,MATCH($E2521,Setup!$A$27:$A$44,0)),"TBD"))</f>
        <v/>
      </c>
      <c r="G2521" s="32"/>
      <c r="H2521" s="32"/>
      <c r="I2521" s="32"/>
      <c r="J2521" s="32"/>
      <c r="K2521" s="35"/>
      <c r="L2521" s="32"/>
      <c r="M2521" s="32"/>
    </row>
    <row r="2522" customFormat="false" ht="15" hidden="false" customHeight="true" outlineLevel="0" collapsed="false">
      <c r="A2522" s="32"/>
      <c r="B2522" s="32"/>
      <c r="C2522" s="32"/>
      <c r="D2522" s="32"/>
      <c r="E2522" s="34" t="str">
        <f aca="false">IF($B2522="","",IF($B2522="OUT","Liters",IFERROR(INDEX(Setup!$F$3:$F$24,MATCH($C2522,Setup!$A$3:$A$24,0)),"")))</f>
        <v/>
      </c>
      <c r="F2522" s="28" t="str">
        <f aca="false">IF(OR($D2522="",$E2522=""),"",IFERROR($D2522*INDEX(Setup!$B$27:$B$44,MATCH($E2522,Setup!$A$27:$A$44,0)),"TBD"))</f>
        <v/>
      </c>
      <c r="G2522" s="32"/>
      <c r="H2522" s="32"/>
      <c r="I2522" s="32"/>
      <c r="J2522" s="32"/>
      <c r="K2522" s="35"/>
      <c r="L2522" s="32"/>
      <c r="M2522" s="32"/>
    </row>
    <row r="2523" customFormat="false" ht="15" hidden="false" customHeight="true" outlineLevel="0" collapsed="false">
      <c r="A2523" s="32"/>
      <c r="B2523" s="32"/>
      <c r="C2523" s="32"/>
      <c r="D2523" s="32"/>
      <c r="E2523" s="34" t="str">
        <f aca="false">IF($B2523="","",IF($B2523="OUT","Liters",IFERROR(INDEX(Setup!$F$3:$F$24,MATCH($C2523,Setup!$A$3:$A$24,0)),"")))</f>
        <v/>
      </c>
      <c r="F2523" s="28" t="str">
        <f aca="false">IF(OR($D2523="",$E2523=""),"",IFERROR($D2523*INDEX(Setup!$B$27:$B$44,MATCH($E2523,Setup!$A$27:$A$44,0)),"TBD"))</f>
        <v/>
      </c>
      <c r="G2523" s="32"/>
      <c r="H2523" s="32"/>
      <c r="I2523" s="32"/>
      <c r="J2523" s="32"/>
      <c r="K2523" s="35"/>
      <c r="L2523" s="32"/>
      <c r="M2523" s="32"/>
    </row>
    <row r="2524" customFormat="false" ht="15" hidden="false" customHeight="true" outlineLevel="0" collapsed="false">
      <c r="A2524" s="32"/>
      <c r="B2524" s="32"/>
      <c r="C2524" s="32"/>
      <c r="D2524" s="32"/>
      <c r="E2524" s="34" t="str">
        <f aca="false">IF($B2524="","",IF($B2524="OUT","Liters",IFERROR(INDEX(Setup!$F$3:$F$24,MATCH($C2524,Setup!$A$3:$A$24,0)),"")))</f>
        <v/>
      </c>
      <c r="F2524" s="28" t="str">
        <f aca="false">IF(OR($D2524="",$E2524=""),"",IFERROR($D2524*INDEX(Setup!$B$27:$B$44,MATCH($E2524,Setup!$A$27:$A$44,0)),"TBD"))</f>
        <v/>
      </c>
      <c r="G2524" s="32"/>
      <c r="H2524" s="32"/>
      <c r="I2524" s="32"/>
      <c r="J2524" s="32"/>
      <c r="K2524" s="35"/>
      <c r="L2524" s="32"/>
      <c r="M2524" s="32"/>
    </row>
    <row r="2525" customFormat="false" ht="15" hidden="false" customHeight="true" outlineLevel="0" collapsed="false">
      <c r="A2525" s="32"/>
      <c r="B2525" s="32"/>
      <c r="C2525" s="32"/>
      <c r="D2525" s="32"/>
      <c r="E2525" s="34" t="str">
        <f aca="false">IF($B2525="","",IF($B2525="OUT","Liters",IFERROR(INDEX(Setup!$F$3:$F$24,MATCH($C2525,Setup!$A$3:$A$24,0)),"")))</f>
        <v/>
      </c>
      <c r="F2525" s="28" t="str">
        <f aca="false">IF(OR($D2525="",$E2525=""),"",IFERROR($D2525*INDEX(Setup!$B$27:$B$44,MATCH($E2525,Setup!$A$27:$A$44,0)),"TBD"))</f>
        <v/>
      </c>
      <c r="G2525" s="32"/>
      <c r="H2525" s="32"/>
      <c r="I2525" s="32"/>
      <c r="J2525" s="32"/>
      <c r="K2525" s="35"/>
      <c r="L2525" s="32"/>
      <c r="M2525" s="32"/>
    </row>
    <row r="2526" customFormat="false" ht="15" hidden="false" customHeight="true" outlineLevel="0" collapsed="false">
      <c r="A2526" s="32"/>
      <c r="B2526" s="32"/>
      <c r="C2526" s="32"/>
      <c r="D2526" s="32"/>
      <c r="E2526" s="34" t="str">
        <f aca="false">IF($B2526="","",IF($B2526="OUT","Liters",IFERROR(INDEX(Setup!$F$3:$F$24,MATCH($C2526,Setup!$A$3:$A$24,0)),"")))</f>
        <v/>
      </c>
      <c r="F2526" s="28" t="str">
        <f aca="false">IF(OR($D2526="",$E2526=""),"",IFERROR($D2526*INDEX(Setup!$B$27:$B$44,MATCH($E2526,Setup!$A$27:$A$44,0)),"TBD"))</f>
        <v/>
      </c>
      <c r="G2526" s="32"/>
      <c r="H2526" s="32"/>
      <c r="I2526" s="32"/>
      <c r="J2526" s="32"/>
      <c r="K2526" s="35"/>
      <c r="L2526" s="32"/>
      <c r="M2526" s="32"/>
    </row>
    <row r="2527" customFormat="false" ht="15" hidden="false" customHeight="true" outlineLevel="0" collapsed="false">
      <c r="A2527" s="32"/>
      <c r="B2527" s="32"/>
      <c r="C2527" s="32"/>
      <c r="D2527" s="32"/>
      <c r="E2527" s="34" t="str">
        <f aca="false">IF($B2527="","",IF($B2527="OUT","Liters",IFERROR(INDEX(Setup!$F$3:$F$24,MATCH($C2527,Setup!$A$3:$A$24,0)),"")))</f>
        <v/>
      </c>
      <c r="F2527" s="28" t="str">
        <f aca="false">IF(OR($D2527="",$E2527=""),"",IFERROR($D2527*INDEX(Setup!$B$27:$B$44,MATCH($E2527,Setup!$A$27:$A$44,0)),"TBD"))</f>
        <v/>
      </c>
      <c r="G2527" s="32"/>
      <c r="H2527" s="32"/>
      <c r="I2527" s="32"/>
      <c r="J2527" s="32"/>
      <c r="K2527" s="35"/>
      <c r="L2527" s="32"/>
      <c r="M2527" s="32"/>
    </row>
    <row r="2528" customFormat="false" ht="15" hidden="false" customHeight="true" outlineLevel="0" collapsed="false">
      <c r="A2528" s="32"/>
      <c r="B2528" s="32"/>
      <c r="C2528" s="32"/>
      <c r="D2528" s="32"/>
      <c r="E2528" s="34" t="str">
        <f aca="false">IF($B2528="","",IF($B2528="OUT","Liters",IFERROR(INDEX(Setup!$F$3:$F$24,MATCH($C2528,Setup!$A$3:$A$24,0)),"")))</f>
        <v/>
      </c>
      <c r="F2528" s="28" t="str">
        <f aca="false">IF(OR($D2528="",$E2528=""),"",IFERROR($D2528*INDEX(Setup!$B$27:$B$44,MATCH($E2528,Setup!$A$27:$A$44,0)),"TBD"))</f>
        <v/>
      </c>
      <c r="G2528" s="32"/>
      <c r="H2528" s="32"/>
      <c r="I2528" s="32"/>
      <c r="J2528" s="32"/>
      <c r="K2528" s="35"/>
      <c r="L2528" s="32"/>
      <c r="M2528" s="32"/>
    </row>
    <row r="2529" customFormat="false" ht="15" hidden="false" customHeight="true" outlineLevel="0" collapsed="false">
      <c r="A2529" s="32"/>
      <c r="B2529" s="32"/>
      <c r="C2529" s="32"/>
      <c r="D2529" s="32"/>
      <c r="E2529" s="34" t="str">
        <f aca="false">IF($B2529="","",IF($B2529="OUT","Liters",IFERROR(INDEX(Setup!$F$3:$F$24,MATCH($C2529,Setup!$A$3:$A$24,0)),"")))</f>
        <v/>
      </c>
      <c r="F2529" s="28" t="str">
        <f aca="false">IF(OR($D2529="",$E2529=""),"",IFERROR($D2529*INDEX(Setup!$B$27:$B$44,MATCH($E2529,Setup!$A$27:$A$44,0)),"TBD"))</f>
        <v/>
      </c>
      <c r="G2529" s="32"/>
      <c r="H2529" s="32"/>
      <c r="I2529" s="32"/>
      <c r="J2529" s="32"/>
      <c r="K2529" s="35"/>
      <c r="L2529" s="32"/>
      <c r="M2529" s="32"/>
    </row>
    <row r="2530" customFormat="false" ht="15" hidden="false" customHeight="true" outlineLevel="0" collapsed="false">
      <c r="A2530" s="32"/>
      <c r="B2530" s="32"/>
      <c r="C2530" s="32"/>
      <c r="D2530" s="32"/>
      <c r="E2530" s="34" t="str">
        <f aca="false">IF($B2530="","",IF($B2530="OUT","Liters",IFERROR(INDEX(Setup!$F$3:$F$24,MATCH($C2530,Setup!$A$3:$A$24,0)),"")))</f>
        <v/>
      </c>
      <c r="F2530" s="28" t="str">
        <f aca="false">IF(OR($D2530="",$E2530=""),"",IFERROR($D2530*INDEX(Setup!$B$27:$B$44,MATCH($E2530,Setup!$A$27:$A$44,0)),"TBD"))</f>
        <v/>
      </c>
      <c r="G2530" s="32"/>
      <c r="H2530" s="32"/>
      <c r="I2530" s="32"/>
      <c r="J2530" s="32"/>
      <c r="K2530" s="35"/>
      <c r="L2530" s="32"/>
      <c r="M2530" s="32"/>
    </row>
    <row r="2531" customFormat="false" ht="15" hidden="false" customHeight="true" outlineLevel="0" collapsed="false">
      <c r="A2531" s="32"/>
      <c r="B2531" s="32"/>
      <c r="C2531" s="32"/>
      <c r="D2531" s="32"/>
      <c r="E2531" s="34" t="str">
        <f aca="false">IF($B2531="","",IF($B2531="OUT","Liters",IFERROR(INDEX(Setup!$F$3:$F$24,MATCH($C2531,Setup!$A$3:$A$24,0)),"")))</f>
        <v/>
      </c>
      <c r="F2531" s="28" t="str">
        <f aca="false">IF(OR($D2531="",$E2531=""),"",IFERROR($D2531*INDEX(Setup!$B$27:$B$44,MATCH($E2531,Setup!$A$27:$A$44,0)),"TBD"))</f>
        <v/>
      </c>
      <c r="G2531" s="32"/>
      <c r="H2531" s="32"/>
      <c r="I2531" s="32"/>
      <c r="J2531" s="32"/>
      <c r="K2531" s="35"/>
      <c r="L2531" s="32"/>
      <c r="M2531" s="32"/>
    </row>
    <row r="2532" customFormat="false" ht="15" hidden="false" customHeight="true" outlineLevel="0" collapsed="false">
      <c r="A2532" s="32"/>
      <c r="B2532" s="32"/>
      <c r="C2532" s="32"/>
      <c r="D2532" s="32"/>
      <c r="E2532" s="34" t="str">
        <f aca="false">IF($B2532="","",IF($B2532="OUT","Liters",IFERROR(INDEX(Setup!$F$3:$F$24,MATCH($C2532,Setup!$A$3:$A$24,0)),"")))</f>
        <v/>
      </c>
      <c r="F2532" s="28" t="str">
        <f aca="false">IF(OR($D2532="",$E2532=""),"",IFERROR($D2532*INDEX(Setup!$B$27:$B$44,MATCH($E2532,Setup!$A$27:$A$44,0)),"TBD"))</f>
        <v/>
      </c>
      <c r="G2532" s="32"/>
      <c r="H2532" s="32"/>
      <c r="I2532" s="32"/>
      <c r="J2532" s="32"/>
      <c r="K2532" s="35"/>
      <c r="L2532" s="32"/>
      <c r="M2532" s="32"/>
    </row>
    <row r="2533" customFormat="false" ht="15" hidden="false" customHeight="true" outlineLevel="0" collapsed="false">
      <c r="A2533" s="32"/>
      <c r="B2533" s="32"/>
      <c r="C2533" s="32"/>
      <c r="D2533" s="32"/>
      <c r="E2533" s="34" t="str">
        <f aca="false">IF($B2533="","",IF($B2533="OUT","Liters",IFERROR(INDEX(Setup!$F$3:$F$24,MATCH($C2533,Setup!$A$3:$A$24,0)),"")))</f>
        <v/>
      </c>
      <c r="F2533" s="28" t="str">
        <f aca="false">IF(OR($D2533="",$E2533=""),"",IFERROR($D2533*INDEX(Setup!$B$27:$B$44,MATCH($E2533,Setup!$A$27:$A$44,0)),"TBD"))</f>
        <v/>
      </c>
      <c r="G2533" s="32"/>
      <c r="H2533" s="32"/>
      <c r="I2533" s="32"/>
      <c r="J2533" s="32"/>
      <c r="K2533" s="35"/>
      <c r="L2533" s="32"/>
      <c r="M2533" s="32"/>
    </row>
    <row r="2534" customFormat="false" ht="15" hidden="false" customHeight="true" outlineLevel="0" collapsed="false">
      <c r="A2534" s="32"/>
      <c r="B2534" s="32"/>
      <c r="C2534" s="32"/>
      <c r="D2534" s="32"/>
      <c r="E2534" s="34" t="str">
        <f aca="false">IF($B2534="","",IF($B2534="OUT","Liters",IFERROR(INDEX(Setup!$F$3:$F$24,MATCH($C2534,Setup!$A$3:$A$24,0)),"")))</f>
        <v/>
      </c>
      <c r="F2534" s="28" t="str">
        <f aca="false">IF(OR($D2534="",$E2534=""),"",IFERROR($D2534*INDEX(Setup!$B$27:$B$44,MATCH($E2534,Setup!$A$27:$A$44,0)),"TBD"))</f>
        <v/>
      </c>
      <c r="G2534" s="32"/>
      <c r="H2534" s="32"/>
      <c r="I2534" s="32"/>
      <c r="J2534" s="32"/>
      <c r="K2534" s="35"/>
      <c r="L2534" s="32"/>
      <c r="M2534" s="32"/>
    </row>
    <row r="2535" customFormat="false" ht="15" hidden="false" customHeight="true" outlineLevel="0" collapsed="false">
      <c r="A2535" s="32"/>
      <c r="B2535" s="32"/>
      <c r="C2535" s="32"/>
      <c r="D2535" s="32"/>
      <c r="E2535" s="34" t="str">
        <f aca="false">IF($B2535="","",IF($B2535="OUT","Liters",IFERROR(INDEX(Setup!$F$3:$F$24,MATCH($C2535,Setup!$A$3:$A$24,0)),"")))</f>
        <v/>
      </c>
      <c r="F2535" s="28" t="str">
        <f aca="false">IF(OR($D2535="",$E2535=""),"",IFERROR($D2535*INDEX(Setup!$B$27:$B$44,MATCH($E2535,Setup!$A$27:$A$44,0)),"TBD"))</f>
        <v/>
      </c>
      <c r="G2535" s="32"/>
      <c r="H2535" s="32"/>
      <c r="I2535" s="32"/>
      <c r="J2535" s="32"/>
      <c r="K2535" s="35"/>
      <c r="L2535" s="32"/>
      <c r="M2535" s="32"/>
    </row>
    <row r="2536" customFormat="false" ht="15" hidden="false" customHeight="true" outlineLevel="0" collapsed="false">
      <c r="A2536" s="32"/>
      <c r="B2536" s="32"/>
      <c r="C2536" s="32"/>
      <c r="D2536" s="32"/>
      <c r="E2536" s="34" t="str">
        <f aca="false">IF($B2536="","",IF($B2536="OUT","Liters",IFERROR(INDEX(Setup!$F$3:$F$24,MATCH($C2536,Setup!$A$3:$A$24,0)),"")))</f>
        <v/>
      </c>
      <c r="F2536" s="28" t="str">
        <f aca="false">IF(OR($D2536="",$E2536=""),"",IFERROR($D2536*INDEX(Setup!$B$27:$B$44,MATCH($E2536,Setup!$A$27:$A$44,0)),"TBD"))</f>
        <v/>
      </c>
      <c r="G2536" s="32"/>
      <c r="H2536" s="32"/>
      <c r="I2536" s="32"/>
      <c r="J2536" s="32"/>
      <c r="K2536" s="35"/>
      <c r="L2536" s="32"/>
      <c r="M2536" s="32"/>
    </row>
    <row r="2537" customFormat="false" ht="15" hidden="false" customHeight="true" outlineLevel="0" collapsed="false">
      <c r="A2537" s="32"/>
      <c r="B2537" s="32"/>
      <c r="C2537" s="32"/>
      <c r="D2537" s="32"/>
      <c r="E2537" s="34" t="str">
        <f aca="false">IF($B2537="","",IF($B2537="OUT","Liters",IFERROR(INDEX(Setup!$F$3:$F$24,MATCH($C2537,Setup!$A$3:$A$24,0)),"")))</f>
        <v/>
      </c>
      <c r="F2537" s="28" t="str">
        <f aca="false">IF(OR($D2537="",$E2537=""),"",IFERROR($D2537*INDEX(Setup!$B$27:$B$44,MATCH($E2537,Setup!$A$27:$A$44,0)),"TBD"))</f>
        <v/>
      </c>
      <c r="G2537" s="32"/>
      <c r="H2537" s="32"/>
      <c r="I2537" s="32"/>
      <c r="J2537" s="32"/>
      <c r="K2537" s="35"/>
      <c r="L2537" s="32"/>
      <c r="M2537" s="32"/>
    </row>
    <row r="2538" customFormat="false" ht="15" hidden="false" customHeight="true" outlineLevel="0" collapsed="false">
      <c r="A2538" s="32"/>
      <c r="B2538" s="32"/>
      <c r="C2538" s="32"/>
      <c r="D2538" s="32"/>
      <c r="E2538" s="34" t="str">
        <f aca="false">IF($B2538="","",IF($B2538="OUT","Liters",IFERROR(INDEX(Setup!$F$3:$F$24,MATCH($C2538,Setup!$A$3:$A$24,0)),"")))</f>
        <v/>
      </c>
      <c r="F2538" s="28" t="str">
        <f aca="false">IF(OR($D2538="",$E2538=""),"",IFERROR($D2538*INDEX(Setup!$B$27:$B$44,MATCH($E2538,Setup!$A$27:$A$44,0)),"TBD"))</f>
        <v/>
      </c>
      <c r="G2538" s="32"/>
      <c r="H2538" s="32"/>
      <c r="I2538" s="32"/>
      <c r="J2538" s="32"/>
      <c r="K2538" s="35"/>
      <c r="L2538" s="32"/>
      <c r="M2538" s="32"/>
    </row>
    <row r="2539" customFormat="false" ht="15" hidden="false" customHeight="true" outlineLevel="0" collapsed="false">
      <c r="A2539" s="32"/>
      <c r="B2539" s="32"/>
      <c r="C2539" s="32"/>
      <c r="D2539" s="32"/>
      <c r="E2539" s="34" t="str">
        <f aca="false">IF($B2539="","",IF($B2539="OUT","Liters",IFERROR(INDEX(Setup!$F$3:$F$24,MATCH($C2539,Setup!$A$3:$A$24,0)),"")))</f>
        <v/>
      </c>
      <c r="F2539" s="28" t="str">
        <f aca="false">IF(OR($D2539="",$E2539=""),"",IFERROR($D2539*INDEX(Setup!$B$27:$B$44,MATCH($E2539,Setup!$A$27:$A$44,0)),"TBD"))</f>
        <v/>
      </c>
      <c r="G2539" s="32"/>
      <c r="H2539" s="32"/>
      <c r="I2539" s="32"/>
      <c r="J2539" s="32"/>
      <c r="K2539" s="35"/>
      <c r="L2539" s="32"/>
      <c r="M2539" s="32"/>
    </row>
    <row r="2540" customFormat="false" ht="15" hidden="false" customHeight="true" outlineLevel="0" collapsed="false">
      <c r="A2540" s="32"/>
      <c r="B2540" s="32"/>
      <c r="C2540" s="32"/>
      <c r="D2540" s="32"/>
      <c r="E2540" s="34" t="str">
        <f aca="false">IF($B2540="","",IF($B2540="OUT","Liters",IFERROR(INDEX(Setup!$F$3:$F$24,MATCH($C2540,Setup!$A$3:$A$24,0)),"")))</f>
        <v/>
      </c>
      <c r="F2540" s="28" t="str">
        <f aca="false">IF(OR($D2540="",$E2540=""),"",IFERROR($D2540*INDEX(Setup!$B$27:$B$44,MATCH($E2540,Setup!$A$27:$A$44,0)),"TBD"))</f>
        <v/>
      </c>
      <c r="G2540" s="32"/>
      <c r="H2540" s="32"/>
      <c r="I2540" s="32"/>
      <c r="J2540" s="32"/>
      <c r="K2540" s="35"/>
      <c r="L2540" s="32"/>
      <c r="M2540" s="32"/>
    </row>
    <row r="2541" customFormat="false" ht="15" hidden="false" customHeight="true" outlineLevel="0" collapsed="false">
      <c r="A2541" s="32"/>
      <c r="B2541" s="32"/>
      <c r="C2541" s="32"/>
      <c r="D2541" s="32"/>
      <c r="E2541" s="34" t="str">
        <f aca="false">IF($B2541="","",IF($B2541="OUT","Liters",IFERROR(INDEX(Setup!$F$3:$F$24,MATCH($C2541,Setup!$A$3:$A$24,0)),"")))</f>
        <v/>
      </c>
      <c r="F2541" s="28" t="str">
        <f aca="false">IF(OR($D2541="",$E2541=""),"",IFERROR($D2541*INDEX(Setup!$B$27:$B$44,MATCH($E2541,Setup!$A$27:$A$44,0)),"TBD"))</f>
        <v/>
      </c>
      <c r="G2541" s="32"/>
      <c r="H2541" s="32"/>
      <c r="I2541" s="32"/>
      <c r="J2541" s="32"/>
      <c r="K2541" s="35"/>
      <c r="L2541" s="32"/>
      <c r="M2541" s="32"/>
    </row>
    <row r="2542" customFormat="false" ht="15" hidden="false" customHeight="true" outlineLevel="0" collapsed="false">
      <c r="A2542" s="32"/>
      <c r="B2542" s="32"/>
      <c r="C2542" s="32"/>
      <c r="D2542" s="32"/>
      <c r="E2542" s="34" t="str">
        <f aca="false">IF($B2542="","",IF($B2542="OUT","Liters",IFERROR(INDEX(Setup!$F$3:$F$24,MATCH($C2542,Setup!$A$3:$A$24,0)),"")))</f>
        <v/>
      </c>
      <c r="F2542" s="28" t="str">
        <f aca="false">IF(OR($D2542="",$E2542=""),"",IFERROR($D2542*INDEX(Setup!$B$27:$B$44,MATCH($E2542,Setup!$A$27:$A$44,0)),"TBD"))</f>
        <v/>
      </c>
      <c r="G2542" s="32"/>
      <c r="H2542" s="32"/>
      <c r="I2542" s="32"/>
      <c r="J2542" s="32"/>
      <c r="K2542" s="35"/>
      <c r="L2542" s="32"/>
      <c r="M2542" s="32"/>
    </row>
    <row r="2543" customFormat="false" ht="15" hidden="false" customHeight="true" outlineLevel="0" collapsed="false">
      <c r="A2543" s="32"/>
      <c r="B2543" s="32"/>
      <c r="C2543" s="32"/>
      <c r="D2543" s="32"/>
      <c r="E2543" s="34" t="str">
        <f aca="false">IF($B2543="","",IF($B2543="OUT","Liters",IFERROR(INDEX(Setup!$F$3:$F$24,MATCH($C2543,Setup!$A$3:$A$24,0)),"")))</f>
        <v/>
      </c>
      <c r="F2543" s="28" t="str">
        <f aca="false">IF(OR($D2543="",$E2543=""),"",IFERROR($D2543*INDEX(Setup!$B$27:$B$44,MATCH($E2543,Setup!$A$27:$A$44,0)),"TBD"))</f>
        <v/>
      </c>
      <c r="G2543" s="32"/>
      <c r="H2543" s="32"/>
      <c r="I2543" s="32"/>
      <c r="J2543" s="32"/>
      <c r="K2543" s="35"/>
      <c r="L2543" s="32"/>
      <c r="M2543" s="32"/>
    </row>
    <row r="2544" customFormat="false" ht="15" hidden="false" customHeight="true" outlineLevel="0" collapsed="false">
      <c r="A2544" s="32"/>
      <c r="B2544" s="32"/>
      <c r="C2544" s="32"/>
      <c r="D2544" s="32"/>
      <c r="E2544" s="34" t="str">
        <f aca="false">IF($B2544="","",IF($B2544="OUT","Liters",IFERROR(INDEX(Setup!$F$3:$F$24,MATCH($C2544,Setup!$A$3:$A$24,0)),"")))</f>
        <v/>
      </c>
      <c r="F2544" s="28" t="str">
        <f aca="false">IF(OR($D2544="",$E2544=""),"",IFERROR($D2544*INDEX(Setup!$B$27:$B$44,MATCH($E2544,Setup!$A$27:$A$44,0)),"TBD"))</f>
        <v/>
      </c>
      <c r="G2544" s="32"/>
      <c r="H2544" s="32"/>
      <c r="I2544" s="32"/>
      <c r="J2544" s="32"/>
      <c r="K2544" s="35"/>
      <c r="L2544" s="32"/>
      <c r="M2544" s="32"/>
    </row>
    <row r="2545" customFormat="false" ht="15" hidden="false" customHeight="true" outlineLevel="0" collapsed="false">
      <c r="A2545" s="32"/>
      <c r="B2545" s="32"/>
      <c r="C2545" s="32"/>
      <c r="D2545" s="32"/>
      <c r="E2545" s="34" t="str">
        <f aca="false">IF($B2545="","",IF($B2545="OUT","Liters",IFERROR(INDEX(Setup!$F$3:$F$24,MATCH($C2545,Setup!$A$3:$A$24,0)),"")))</f>
        <v/>
      </c>
      <c r="F2545" s="28" t="str">
        <f aca="false">IF(OR($D2545="",$E2545=""),"",IFERROR($D2545*INDEX(Setup!$B$27:$B$44,MATCH($E2545,Setup!$A$27:$A$44,0)),"TBD"))</f>
        <v/>
      </c>
      <c r="G2545" s="32"/>
      <c r="H2545" s="32"/>
      <c r="I2545" s="32"/>
      <c r="J2545" s="32"/>
      <c r="K2545" s="35"/>
      <c r="L2545" s="32"/>
      <c r="M2545" s="32"/>
    </row>
    <row r="2546" customFormat="false" ht="15" hidden="false" customHeight="true" outlineLevel="0" collapsed="false">
      <c r="A2546" s="32"/>
      <c r="B2546" s="32"/>
      <c r="C2546" s="32"/>
      <c r="D2546" s="32"/>
      <c r="E2546" s="34" t="str">
        <f aca="false">IF($B2546="","",IF($B2546="OUT","Liters",IFERROR(INDEX(Setup!$F$3:$F$24,MATCH($C2546,Setup!$A$3:$A$24,0)),"")))</f>
        <v/>
      </c>
      <c r="F2546" s="28" t="str">
        <f aca="false">IF(OR($D2546="",$E2546=""),"",IFERROR($D2546*INDEX(Setup!$B$27:$B$44,MATCH($E2546,Setup!$A$27:$A$44,0)),"TBD"))</f>
        <v/>
      </c>
      <c r="G2546" s="32"/>
      <c r="H2546" s="32"/>
      <c r="I2546" s="32"/>
      <c r="J2546" s="32"/>
      <c r="K2546" s="35"/>
      <c r="L2546" s="32"/>
      <c r="M2546" s="32"/>
    </row>
    <row r="2547" customFormat="false" ht="15" hidden="false" customHeight="true" outlineLevel="0" collapsed="false">
      <c r="A2547" s="32"/>
      <c r="B2547" s="32"/>
      <c r="C2547" s="32"/>
      <c r="D2547" s="32"/>
      <c r="E2547" s="34" t="str">
        <f aca="false">IF($B2547="","",IF($B2547="OUT","Liters",IFERROR(INDEX(Setup!$F$3:$F$24,MATCH($C2547,Setup!$A$3:$A$24,0)),"")))</f>
        <v/>
      </c>
      <c r="F2547" s="28" t="str">
        <f aca="false">IF(OR($D2547="",$E2547=""),"",IFERROR($D2547*INDEX(Setup!$B$27:$B$44,MATCH($E2547,Setup!$A$27:$A$44,0)),"TBD"))</f>
        <v/>
      </c>
      <c r="G2547" s="32"/>
      <c r="H2547" s="32"/>
      <c r="I2547" s="32"/>
      <c r="J2547" s="32"/>
      <c r="K2547" s="35"/>
      <c r="L2547" s="32"/>
      <c r="M2547" s="32"/>
    </row>
    <row r="2548" customFormat="false" ht="15" hidden="false" customHeight="true" outlineLevel="0" collapsed="false">
      <c r="A2548" s="32"/>
      <c r="B2548" s="32"/>
      <c r="C2548" s="32"/>
      <c r="D2548" s="32"/>
      <c r="E2548" s="34" t="str">
        <f aca="false">IF($B2548="","",IF($B2548="OUT","Liters",IFERROR(INDEX(Setup!$F$3:$F$24,MATCH($C2548,Setup!$A$3:$A$24,0)),"")))</f>
        <v/>
      </c>
      <c r="F2548" s="28" t="str">
        <f aca="false">IF(OR($D2548="",$E2548=""),"",IFERROR($D2548*INDEX(Setup!$B$27:$B$44,MATCH($E2548,Setup!$A$27:$A$44,0)),"TBD"))</f>
        <v/>
      </c>
      <c r="G2548" s="32"/>
      <c r="H2548" s="32"/>
      <c r="I2548" s="32"/>
      <c r="J2548" s="32"/>
      <c r="K2548" s="35"/>
      <c r="L2548" s="32"/>
      <c r="M2548" s="32"/>
    </row>
    <row r="2549" customFormat="false" ht="15" hidden="false" customHeight="true" outlineLevel="0" collapsed="false">
      <c r="A2549" s="32"/>
      <c r="B2549" s="32"/>
      <c r="C2549" s="32"/>
      <c r="D2549" s="32"/>
      <c r="E2549" s="34" t="str">
        <f aca="false">IF($B2549="","",IF($B2549="OUT","Liters",IFERROR(INDEX(Setup!$F$3:$F$24,MATCH($C2549,Setup!$A$3:$A$24,0)),"")))</f>
        <v/>
      </c>
      <c r="F2549" s="28" t="str">
        <f aca="false">IF(OR($D2549="",$E2549=""),"",IFERROR($D2549*INDEX(Setup!$B$27:$B$44,MATCH($E2549,Setup!$A$27:$A$44,0)),"TBD"))</f>
        <v/>
      </c>
      <c r="G2549" s="32"/>
      <c r="H2549" s="32"/>
      <c r="I2549" s="32"/>
      <c r="J2549" s="32"/>
      <c r="K2549" s="35"/>
      <c r="L2549" s="32"/>
      <c r="M2549" s="32"/>
    </row>
    <row r="2550" customFormat="false" ht="15" hidden="false" customHeight="true" outlineLevel="0" collapsed="false">
      <c r="A2550" s="32"/>
      <c r="B2550" s="32"/>
      <c r="C2550" s="32"/>
      <c r="D2550" s="32"/>
      <c r="E2550" s="34" t="str">
        <f aca="false">IF($B2550="","",IF($B2550="OUT","Liters",IFERROR(INDEX(Setup!$F$3:$F$24,MATCH($C2550,Setup!$A$3:$A$24,0)),"")))</f>
        <v/>
      </c>
      <c r="F2550" s="28" t="str">
        <f aca="false">IF(OR($D2550="",$E2550=""),"",IFERROR($D2550*INDEX(Setup!$B$27:$B$44,MATCH($E2550,Setup!$A$27:$A$44,0)),"TBD"))</f>
        <v/>
      </c>
      <c r="G2550" s="32"/>
      <c r="H2550" s="32"/>
      <c r="I2550" s="32"/>
      <c r="J2550" s="32"/>
      <c r="K2550" s="35"/>
      <c r="L2550" s="32"/>
      <c r="M2550" s="32"/>
    </row>
    <row r="2551" customFormat="false" ht="15" hidden="false" customHeight="true" outlineLevel="0" collapsed="false">
      <c r="A2551" s="32"/>
      <c r="B2551" s="32"/>
      <c r="C2551" s="32"/>
      <c r="D2551" s="32"/>
      <c r="E2551" s="34" t="str">
        <f aca="false">IF($B2551="","",IF($B2551="OUT","Liters",IFERROR(INDEX(Setup!$F$3:$F$24,MATCH($C2551,Setup!$A$3:$A$24,0)),"")))</f>
        <v/>
      </c>
      <c r="F2551" s="28" t="str">
        <f aca="false">IF(OR($D2551="",$E2551=""),"",IFERROR($D2551*INDEX(Setup!$B$27:$B$44,MATCH($E2551,Setup!$A$27:$A$44,0)),"TBD"))</f>
        <v/>
      </c>
      <c r="G2551" s="32"/>
      <c r="H2551" s="32"/>
      <c r="I2551" s="32"/>
      <c r="J2551" s="32"/>
      <c r="K2551" s="35"/>
      <c r="L2551" s="32"/>
      <c r="M2551" s="32"/>
    </row>
    <row r="2552" customFormat="false" ht="15" hidden="false" customHeight="true" outlineLevel="0" collapsed="false">
      <c r="A2552" s="32"/>
      <c r="B2552" s="32"/>
      <c r="C2552" s="32"/>
      <c r="D2552" s="32"/>
      <c r="E2552" s="34" t="str">
        <f aca="false">IF($B2552="","",IF($B2552="OUT","Liters",IFERROR(INDEX(Setup!$F$3:$F$24,MATCH($C2552,Setup!$A$3:$A$24,0)),"")))</f>
        <v/>
      </c>
      <c r="F2552" s="28" t="str">
        <f aca="false">IF(OR($D2552="",$E2552=""),"",IFERROR($D2552*INDEX(Setup!$B$27:$B$44,MATCH($E2552,Setup!$A$27:$A$44,0)),"TBD"))</f>
        <v/>
      </c>
      <c r="G2552" s="32"/>
      <c r="H2552" s="32"/>
      <c r="I2552" s="32"/>
      <c r="J2552" s="32"/>
      <c r="K2552" s="35"/>
      <c r="L2552" s="32"/>
      <c r="M2552" s="32"/>
    </row>
    <row r="2553" customFormat="false" ht="15" hidden="false" customHeight="true" outlineLevel="0" collapsed="false">
      <c r="A2553" s="32"/>
      <c r="B2553" s="32"/>
      <c r="C2553" s="32"/>
      <c r="D2553" s="32"/>
      <c r="E2553" s="34" t="str">
        <f aca="false">IF($B2553="","",IF($B2553="OUT","Liters",IFERROR(INDEX(Setup!$F$3:$F$24,MATCH($C2553,Setup!$A$3:$A$24,0)),"")))</f>
        <v/>
      </c>
      <c r="F2553" s="28" t="str">
        <f aca="false">IF(OR($D2553="",$E2553=""),"",IFERROR($D2553*INDEX(Setup!$B$27:$B$44,MATCH($E2553,Setup!$A$27:$A$44,0)),"TBD"))</f>
        <v/>
      </c>
      <c r="G2553" s="32"/>
      <c r="H2553" s="32"/>
      <c r="I2553" s="32"/>
      <c r="J2553" s="32"/>
      <c r="K2553" s="35"/>
      <c r="L2553" s="32"/>
      <c r="M2553" s="32"/>
    </row>
    <row r="2554" customFormat="false" ht="15" hidden="false" customHeight="true" outlineLevel="0" collapsed="false">
      <c r="A2554" s="32"/>
      <c r="B2554" s="32"/>
      <c r="C2554" s="32"/>
      <c r="D2554" s="32"/>
      <c r="E2554" s="34" t="str">
        <f aca="false">IF($B2554="","",IF($B2554="OUT","Liters",IFERROR(INDEX(Setup!$F$3:$F$24,MATCH($C2554,Setup!$A$3:$A$24,0)),"")))</f>
        <v/>
      </c>
      <c r="F2554" s="28" t="str">
        <f aca="false">IF(OR($D2554="",$E2554=""),"",IFERROR($D2554*INDEX(Setup!$B$27:$B$44,MATCH($E2554,Setup!$A$27:$A$44,0)),"TBD"))</f>
        <v/>
      </c>
      <c r="G2554" s="32"/>
      <c r="H2554" s="32"/>
      <c r="I2554" s="32"/>
      <c r="J2554" s="32"/>
      <c r="K2554" s="35"/>
      <c r="L2554" s="32"/>
      <c r="M2554" s="32"/>
    </row>
    <row r="2555" customFormat="false" ht="15" hidden="false" customHeight="true" outlineLevel="0" collapsed="false">
      <c r="A2555" s="32"/>
      <c r="B2555" s="32"/>
      <c r="C2555" s="32"/>
      <c r="D2555" s="32"/>
      <c r="E2555" s="34" t="str">
        <f aca="false">IF($B2555="","",IF($B2555="OUT","Liters",IFERROR(INDEX(Setup!$F$3:$F$24,MATCH($C2555,Setup!$A$3:$A$24,0)),"")))</f>
        <v/>
      </c>
      <c r="F2555" s="28" t="str">
        <f aca="false">IF(OR($D2555="",$E2555=""),"",IFERROR($D2555*INDEX(Setup!$B$27:$B$44,MATCH($E2555,Setup!$A$27:$A$44,0)),"TBD"))</f>
        <v/>
      </c>
      <c r="G2555" s="32"/>
      <c r="H2555" s="32"/>
      <c r="I2555" s="32"/>
      <c r="J2555" s="32"/>
      <c r="K2555" s="35"/>
      <c r="L2555" s="32"/>
      <c r="M2555" s="32"/>
    </row>
    <row r="2556" customFormat="false" ht="15" hidden="false" customHeight="true" outlineLevel="0" collapsed="false">
      <c r="A2556" s="32"/>
      <c r="B2556" s="32"/>
      <c r="C2556" s="32"/>
      <c r="D2556" s="32"/>
      <c r="E2556" s="34" t="str">
        <f aca="false">IF($B2556="","",IF($B2556="OUT","Liters",IFERROR(INDEX(Setup!$F$3:$F$24,MATCH($C2556,Setup!$A$3:$A$24,0)),"")))</f>
        <v/>
      </c>
      <c r="F2556" s="28" t="str">
        <f aca="false">IF(OR($D2556="",$E2556=""),"",IFERROR($D2556*INDEX(Setup!$B$27:$B$44,MATCH($E2556,Setup!$A$27:$A$44,0)),"TBD"))</f>
        <v/>
      </c>
      <c r="G2556" s="32"/>
      <c r="H2556" s="32"/>
      <c r="I2556" s="32"/>
      <c r="J2556" s="32"/>
      <c r="K2556" s="35"/>
      <c r="L2556" s="32"/>
      <c r="M2556" s="32"/>
    </row>
    <row r="2557" customFormat="false" ht="15" hidden="false" customHeight="true" outlineLevel="0" collapsed="false">
      <c r="A2557" s="32"/>
      <c r="B2557" s="32"/>
      <c r="C2557" s="32"/>
      <c r="D2557" s="32"/>
      <c r="E2557" s="34" t="str">
        <f aca="false">IF($B2557="","",IF($B2557="OUT","Liters",IFERROR(INDEX(Setup!$F$3:$F$24,MATCH($C2557,Setup!$A$3:$A$24,0)),"")))</f>
        <v/>
      </c>
      <c r="F2557" s="28" t="str">
        <f aca="false">IF(OR($D2557="",$E2557=""),"",IFERROR($D2557*INDEX(Setup!$B$27:$B$44,MATCH($E2557,Setup!$A$27:$A$44,0)),"TBD"))</f>
        <v/>
      </c>
      <c r="G2557" s="32"/>
      <c r="H2557" s="32"/>
      <c r="I2557" s="32"/>
      <c r="J2557" s="32"/>
      <c r="K2557" s="35"/>
      <c r="L2557" s="32"/>
      <c r="M2557" s="32"/>
    </row>
    <row r="2558" customFormat="false" ht="15" hidden="false" customHeight="true" outlineLevel="0" collapsed="false">
      <c r="A2558" s="32"/>
      <c r="B2558" s="32"/>
      <c r="C2558" s="32"/>
      <c r="D2558" s="32"/>
      <c r="E2558" s="34" t="str">
        <f aca="false">IF($B2558="","",IF($B2558="OUT","Liters",IFERROR(INDEX(Setup!$F$3:$F$24,MATCH($C2558,Setup!$A$3:$A$24,0)),"")))</f>
        <v/>
      </c>
      <c r="F2558" s="28" t="str">
        <f aca="false">IF(OR($D2558="",$E2558=""),"",IFERROR($D2558*INDEX(Setup!$B$27:$B$44,MATCH($E2558,Setup!$A$27:$A$44,0)),"TBD"))</f>
        <v/>
      </c>
      <c r="G2558" s="32"/>
      <c r="H2558" s="32"/>
      <c r="I2558" s="32"/>
      <c r="J2558" s="32"/>
      <c r="K2558" s="35"/>
      <c r="L2558" s="32"/>
      <c r="M2558" s="32"/>
    </row>
    <row r="2559" customFormat="false" ht="15" hidden="false" customHeight="true" outlineLevel="0" collapsed="false">
      <c r="A2559" s="32"/>
      <c r="B2559" s="32"/>
      <c r="C2559" s="32"/>
      <c r="D2559" s="32"/>
      <c r="E2559" s="34" t="str">
        <f aca="false">IF($B2559="","",IF($B2559="OUT","Liters",IFERROR(INDEX(Setup!$F$3:$F$24,MATCH($C2559,Setup!$A$3:$A$24,0)),"")))</f>
        <v/>
      </c>
      <c r="F2559" s="28" t="str">
        <f aca="false">IF(OR($D2559="",$E2559=""),"",IFERROR($D2559*INDEX(Setup!$B$27:$B$44,MATCH($E2559,Setup!$A$27:$A$44,0)),"TBD"))</f>
        <v/>
      </c>
      <c r="G2559" s="32"/>
      <c r="H2559" s="32"/>
      <c r="I2559" s="32"/>
      <c r="J2559" s="32"/>
      <c r="K2559" s="35"/>
      <c r="L2559" s="32"/>
      <c r="M2559" s="32"/>
    </row>
    <row r="2560" customFormat="false" ht="15" hidden="false" customHeight="true" outlineLevel="0" collapsed="false">
      <c r="A2560" s="32"/>
      <c r="B2560" s="32"/>
      <c r="C2560" s="32"/>
      <c r="D2560" s="32"/>
      <c r="E2560" s="34" t="str">
        <f aca="false">IF($B2560="","",IF($B2560="OUT","Liters",IFERROR(INDEX(Setup!$F$3:$F$24,MATCH($C2560,Setup!$A$3:$A$24,0)),"")))</f>
        <v/>
      </c>
      <c r="F2560" s="28" t="str">
        <f aca="false">IF(OR($D2560="",$E2560=""),"",IFERROR($D2560*INDEX(Setup!$B$27:$B$44,MATCH($E2560,Setup!$A$27:$A$44,0)),"TBD"))</f>
        <v/>
      </c>
      <c r="G2560" s="32"/>
      <c r="H2560" s="32"/>
      <c r="I2560" s="32"/>
      <c r="J2560" s="32"/>
      <c r="K2560" s="35"/>
      <c r="L2560" s="32"/>
      <c r="M2560" s="32"/>
    </row>
    <row r="2561" customFormat="false" ht="15" hidden="false" customHeight="true" outlineLevel="0" collapsed="false">
      <c r="A2561" s="32"/>
      <c r="B2561" s="32"/>
      <c r="C2561" s="32"/>
      <c r="D2561" s="32"/>
      <c r="E2561" s="34" t="str">
        <f aca="false">IF($B2561="","",IF($B2561="OUT","Liters",IFERROR(INDEX(Setup!$F$3:$F$24,MATCH($C2561,Setup!$A$3:$A$24,0)),"")))</f>
        <v/>
      </c>
      <c r="F2561" s="28" t="str">
        <f aca="false">IF(OR($D2561="",$E2561=""),"",IFERROR($D2561*INDEX(Setup!$B$27:$B$44,MATCH($E2561,Setup!$A$27:$A$44,0)),"TBD"))</f>
        <v/>
      </c>
      <c r="G2561" s="32"/>
      <c r="H2561" s="32"/>
      <c r="I2561" s="32"/>
      <c r="J2561" s="32"/>
      <c r="K2561" s="35"/>
      <c r="L2561" s="32"/>
      <c r="M2561" s="32"/>
    </row>
    <row r="2562" customFormat="false" ht="15" hidden="false" customHeight="true" outlineLevel="0" collapsed="false">
      <c r="A2562" s="32"/>
      <c r="B2562" s="32"/>
      <c r="C2562" s="32"/>
      <c r="D2562" s="32"/>
      <c r="E2562" s="34" t="str">
        <f aca="false">IF($B2562="","",IF($B2562="OUT","Liters",IFERROR(INDEX(Setup!$F$3:$F$24,MATCH($C2562,Setup!$A$3:$A$24,0)),"")))</f>
        <v/>
      </c>
      <c r="F2562" s="28" t="str">
        <f aca="false">IF(OR($D2562="",$E2562=""),"",IFERROR($D2562*INDEX(Setup!$B$27:$B$44,MATCH($E2562,Setup!$A$27:$A$44,0)),"TBD"))</f>
        <v/>
      </c>
      <c r="G2562" s="32"/>
      <c r="H2562" s="32"/>
      <c r="I2562" s="32"/>
      <c r="J2562" s="32"/>
      <c r="K2562" s="35"/>
      <c r="L2562" s="32"/>
      <c r="M2562" s="32"/>
    </row>
    <row r="2563" customFormat="false" ht="15" hidden="false" customHeight="true" outlineLevel="0" collapsed="false">
      <c r="A2563" s="32"/>
      <c r="B2563" s="32"/>
      <c r="C2563" s="32"/>
      <c r="D2563" s="32"/>
      <c r="E2563" s="34" t="str">
        <f aca="false">IF($B2563="","",IF($B2563="OUT","Liters",IFERROR(INDEX(Setup!$F$3:$F$24,MATCH($C2563,Setup!$A$3:$A$24,0)),"")))</f>
        <v/>
      </c>
      <c r="F2563" s="28" t="str">
        <f aca="false">IF(OR($D2563="",$E2563=""),"",IFERROR($D2563*INDEX(Setup!$B$27:$B$44,MATCH($E2563,Setup!$A$27:$A$44,0)),"TBD"))</f>
        <v/>
      </c>
      <c r="G2563" s="32"/>
      <c r="H2563" s="32"/>
      <c r="I2563" s="32"/>
      <c r="J2563" s="32"/>
      <c r="K2563" s="35"/>
      <c r="L2563" s="32"/>
      <c r="M2563" s="32"/>
    </row>
    <row r="2564" customFormat="false" ht="15" hidden="false" customHeight="true" outlineLevel="0" collapsed="false">
      <c r="A2564" s="32"/>
      <c r="B2564" s="32"/>
      <c r="C2564" s="32"/>
      <c r="D2564" s="32"/>
      <c r="E2564" s="34" t="str">
        <f aca="false">IF($B2564="","",IF($B2564="OUT","Liters",IFERROR(INDEX(Setup!$F$3:$F$24,MATCH($C2564,Setup!$A$3:$A$24,0)),"")))</f>
        <v/>
      </c>
      <c r="F2564" s="28" t="str">
        <f aca="false">IF(OR($D2564="",$E2564=""),"",IFERROR($D2564*INDEX(Setup!$B$27:$B$44,MATCH($E2564,Setup!$A$27:$A$44,0)),"TBD"))</f>
        <v/>
      </c>
      <c r="G2564" s="32"/>
      <c r="H2564" s="32"/>
      <c r="I2564" s="32"/>
      <c r="J2564" s="32"/>
      <c r="K2564" s="35"/>
      <c r="L2564" s="32"/>
      <c r="M2564" s="32"/>
    </row>
    <row r="2565" customFormat="false" ht="15" hidden="false" customHeight="true" outlineLevel="0" collapsed="false">
      <c r="A2565" s="32"/>
      <c r="B2565" s="32"/>
      <c r="C2565" s="32"/>
      <c r="D2565" s="32"/>
      <c r="E2565" s="34" t="str">
        <f aca="false">IF($B2565="","",IF($B2565="OUT","Liters",IFERROR(INDEX(Setup!$F$3:$F$24,MATCH($C2565,Setup!$A$3:$A$24,0)),"")))</f>
        <v/>
      </c>
      <c r="F2565" s="28" t="str">
        <f aca="false">IF(OR($D2565="",$E2565=""),"",IFERROR($D2565*INDEX(Setup!$B$27:$B$44,MATCH($E2565,Setup!$A$27:$A$44,0)),"TBD"))</f>
        <v/>
      </c>
      <c r="G2565" s="32"/>
      <c r="H2565" s="32"/>
      <c r="I2565" s="32"/>
      <c r="J2565" s="32"/>
      <c r="K2565" s="35"/>
      <c r="L2565" s="32"/>
      <c r="M2565" s="32"/>
    </row>
    <row r="2566" customFormat="false" ht="15" hidden="false" customHeight="true" outlineLevel="0" collapsed="false">
      <c r="A2566" s="32"/>
      <c r="B2566" s="32"/>
      <c r="C2566" s="32"/>
      <c r="D2566" s="32"/>
      <c r="E2566" s="34" t="str">
        <f aca="false">IF($B2566="","",IF($B2566="OUT","Liters",IFERROR(INDEX(Setup!$F$3:$F$24,MATCH($C2566,Setup!$A$3:$A$24,0)),"")))</f>
        <v/>
      </c>
      <c r="F2566" s="28" t="str">
        <f aca="false">IF(OR($D2566="",$E2566=""),"",IFERROR($D2566*INDEX(Setup!$B$27:$B$44,MATCH($E2566,Setup!$A$27:$A$44,0)),"TBD"))</f>
        <v/>
      </c>
      <c r="G2566" s="32"/>
      <c r="H2566" s="32"/>
      <c r="I2566" s="32"/>
      <c r="J2566" s="32"/>
      <c r="K2566" s="35"/>
      <c r="L2566" s="32"/>
      <c r="M2566" s="32"/>
    </row>
    <row r="2567" customFormat="false" ht="15" hidden="false" customHeight="true" outlineLevel="0" collapsed="false">
      <c r="A2567" s="32"/>
      <c r="B2567" s="32"/>
      <c r="C2567" s="32"/>
      <c r="D2567" s="32"/>
      <c r="E2567" s="34" t="str">
        <f aca="false">IF($B2567="","",IF($B2567="OUT","Liters",IFERROR(INDEX(Setup!$F$3:$F$24,MATCH($C2567,Setup!$A$3:$A$24,0)),"")))</f>
        <v/>
      </c>
      <c r="F2567" s="28" t="str">
        <f aca="false">IF(OR($D2567="",$E2567=""),"",IFERROR($D2567*INDEX(Setup!$B$27:$B$44,MATCH($E2567,Setup!$A$27:$A$44,0)),"TBD"))</f>
        <v/>
      </c>
      <c r="G2567" s="32"/>
      <c r="H2567" s="32"/>
      <c r="I2567" s="32"/>
      <c r="J2567" s="32"/>
      <c r="K2567" s="35"/>
      <c r="L2567" s="32"/>
      <c r="M2567" s="32"/>
    </row>
    <row r="2568" customFormat="false" ht="15" hidden="false" customHeight="true" outlineLevel="0" collapsed="false">
      <c r="A2568" s="32"/>
      <c r="B2568" s="32"/>
      <c r="C2568" s="32"/>
      <c r="D2568" s="32"/>
      <c r="E2568" s="34" t="str">
        <f aca="false">IF($B2568="","",IF($B2568="OUT","Liters",IFERROR(INDEX(Setup!$F$3:$F$24,MATCH($C2568,Setup!$A$3:$A$24,0)),"")))</f>
        <v/>
      </c>
      <c r="F2568" s="28" t="str">
        <f aca="false">IF(OR($D2568="",$E2568=""),"",IFERROR($D2568*INDEX(Setup!$B$27:$B$44,MATCH($E2568,Setup!$A$27:$A$44,0)),"TBD"))</f>
        <v/>
      </c>
      <c r="G2568" s="32"/>
      <c r="H2568" s="32"/>
      <c r="I2568" s="32"/>
      <c r="J2568" s="32"/>
      <c r="K2568" s="35"/>
      <c r="L2568" s="32"/>
      <c r="M2568" s="32"/>
    </row>
    <row r="2569" customFormat="false" ht="15" hidden="false" customHeight="true" outlineLevel="0" collapsed="false">
      <c r="A2569" s="32"/>
      <c r="B2569" s="32"/>
      <c r="C2569" s="32"/>
      <c r="D2569" s="32"/>
      <c r="E2569" s="34" t="str">
        <f aca="false">IF($B2569="","",IF($B2569="OUT","Liters",IFERROR(INDEX(Setup!$F$3:$F$24,MATCH($C2569,Setup!$A$3:$A$24,0)),"")))</f>
        <v/>
      </c>
      <c r="F2569" s="28" t="str">
        <f aca="false">IF(OR($D2569="",$E2569=""),"",IFERROR($D2569*INDEX(Setup!$B$27:$B$44,MATCH($E2569,Setup!$A$27:$A$44,0)),"TBD"))</f>
        <v/>
      </c>
      <c r="G2569" s="32"/>
      <c r="H2569" s="32"/>
      <c r="I2569" s="32"/>
      <c r="J2569" s="32"/>
      <c r="K2569" s="35"/>
      <c r="L2569" s="32"/>
      <c r="M2569" s="32"/>
    </row>
    <row r="2570" customFormat="false" ht="15" hidden="false" customHeight="true" outlineLevel="0" collapsed="false">
      <c r="A2570" s="32"/>
      <c r="B2570" s="32"/>
      <c r="C2570" s="32"/>
      <c r="D2570" s="32"/>
      <c r="E2570" s="34" t="str">
        <f aca="false">IF($B2570="","",IF($B2570="OUT","Liters",IFERROR(INDEX(Setup!$F$3:$F$24,MATCH($C2570,Setup!$A$3:$A$24,0)),"")))</f>
        <v/>
      </c>
      <c r="F2570" s="28" t="str">
        <f aca="false">IF(OR($D2570="",$E2570=""),"",IFERROR($D2570*INDEX(Setup!$B$27:$B$44,MATCH($E2570,Setup!$A$27:$A$44,0)),"TBD"))</f>
        <v/>
      </c>
      <c r="G2570" s="32"/>
      <c r="H2570" s="32"/>
      <c r="I2570" s="32"/>
      <c r="J2570" s="32"/>
      <c r="K2570" s="35"/>
      <c r="L2570" s="32"/>
      <c r="M2570" s="32"/>
    </row>
    <row r="2571" customFormat="false" ht="15" hidden="false" customHeight="true" outlineLevel="0" collapsed="false">
      <c r="A2571" s="32"/>
      <c r="B2571" s="32"/>
      <c r="C2571" s="32"/>
      <c r="D2571" s="32"/>
      <c r="E2571" s="34" t="str">
        <f aca="false">IF($B2571="","",IF($B2571="OUT","Liters",IFERROR(INDEX(Setup!$F$3:$F$24,MATCH($C2571,Setup!$A$3:$A$24,0)),"")))</f>
        <v/>
      </c>
      <c r="F2571" s="28" t="str">
        <f aca="false">IF(OR($D2571="",$E2571=""),"",IFERROR($D2571*INDEX(Setup!$B$27:$B$44,MATCH($E2571,Setup!$A$27:$A$44,0)),"TBD"))</f>
        <v/>
      </c>
      <c r="G2571" s="32"/>
      <c r="H2571" s="32"/>
      <c r="I2571" s="32"/>
      <c r="J2571" s="32"/>
      <c r="K2571" s="35"/>
      <c r="L2571" s="32"/>
      <c r="M2571" s="32"/>
    </row>
    <row r="2572" customFormat="false" ht="15" hidden="false" customHeight="true" outlineLevel="0" collapsed="false">
      <c r="A2572" s="32"/>
      <c r="B2572" s="32"/>
      <c r="C2572" s="32"/>
      <c r="D2572" s="32"/>
      <c r="E2572" s="34" t="str">
        <f aca="false">IF($B2572="","",IF($B2572="OUT","Liters",IFERROR(INDEX(Setup!$F$3:$F$24,MATCH($C2572,Setup!$A$3:$A$24,0)),"")))</f>
        <v/>
      </c>
      <c r="F2572" s="28" t="str">
        <f aca="false">IF(OR($D2572="",$E2572=""),"",IFERROR($D2572*INDEX(Setup!$B$27:$B$44,MATCH($E2572,Setup!$A$27:$A$44,0)),"TBD"))</f>
        <v/>
      </c>
      <c r="G2572" s="32"/>
      <c r="H2572" s="32"/>
      <c r="I2572" s="32"/>
      <c r="J2572" s="32"/>
      <c r="K2572" s="35"/>
      <c r="L2572" s="32"/>
      <c r="M2572" s="32"/>
    </row>
    <row r="2573" customFormat="false" ht="15" hidden="false" customHeight="true" outlineLevel="0" collapsed="false">
      <c r="A2573" s="32"/>
      <c r="B2573" s="32"/>
      <c r="C2573" s="32"/>
      <c r="D2573" s="32"/>
      <c r="E2573" s="34" t="str">
        <f aca="false">IF($B2573="","",IF($B2573="OUT","Liters",IFERROR(INDEX(Setup!$F$3:$F$24,MATCH($C2573,Setup!$A$3:$A$24,0)),"")))</f>
        <v/>
      </c>
      <c r="F2573" s="28" t="str">
        <f aca="false">IF(OR($D2573="",$E2573=""),"",IFERROR($D2573*INDEX(Setup!$B$27:$B$44,MATCH($E2573,Setup!$A$27:$A$44,0)),"TBD"))</f>
        <v/>
      </c>
      <c r="G2573" s="32"/>
      <c r="H2573" s="32"/>
      <c r="I2573" s="32"/>
      <c r="J2573" s="32"/>
      <c r="K2573" s="35"/>
      <c r="L2573" s="32"/>
      <c r="M2573" s="32"/>
    </row>
    <row r="2574" customFormat="false" ht="15" hidden="false" customHeight="true" outlineLevel="0" collapsed="false">
      <c r="A2574" s="32"/>
      <c r="B2574" s="32"/>
      <c r="C2574" s="32"/>
      <c r="D2574" s="32"/>
      <c r="E2574" s="34" t="str">
        <f aca="false">IF($B2574="","",IF($B2574="OUT","Liters",IFERROR(INDEX(Setup!$F$3:$F$24,MATCH($C2574,Setup!$A$3:$A$24,0)),"")))</f>
        <v/>
      </c>
      <c r="F2574" s="28" t="str">
        <f aca="false">IF(OR($D2574="",$E2574=""),"",IFERROR($D2574*INDEX(Setup!$B$27:$B$44,MATCH($E2574,Setup!$A$27:$A$44,0)),"TBD"))</f>
        <v/>
      </c>
      <c r="G2574" s="32"/>
      <c r="H2574" s="32"/>
      <c r="I2574" s="32"/>
      <c r="J2574" s="32"/>
      <c r="K2574" s="35"/>
      <c r="L2574" s="32"/>
      <c r="M2574" s="32"/>
    </row>
    <row r="2575" customFormat="false" ht="15" hidden="false" customHeight="true" outlineLevel="0" collapsed="false">
      <c r="A2575" s="32"/>
      <c r="B2575" s="32"/>
      <c r="C2575" s="32"/>
      <c r="D2575" s="32"/>
      <c r="E2575" s="34" t="str">
        <f aca="false">IF($B2575="","",IF($B2575="OUT","Liters",IFERROR(INDEX(Setup!$F$3:$F$24,MATCH($C2575,Setup!$A$3:$A$24,0)),"")))</f>
        <v/>
      </c>
      <c r="F2575" s="28" t="str">
        <f aca="false">IF(OR($D2575="",$E2575=""),"",IFERROR($D2575*INDEX(Setup!$B$27:$B$44,MATCH($E2575,Setup!$A$27:$A$44,0)),"TBD"))</f>
        <v/>
      </c>
      <c r="G2575" s="32"/>
      <c r="H2575" s="32"/>
      <c r="I2575" s="32"/>
      <c r="J2575" s="32"/>
      <c r="K2575" s="35"/>
      <c r="L2575" s="32"/>
      <c r="M2575" s="32"/>
    </row>
    <row r="2576" customFormat="false" ht="15" hidden="false" customHeight="true" outlineLevel="0" collapsed="false">
      <c r="A2576" s="32"/>
      <c r="B2576" s="32"/>
      <c r="C2576" s="32"/>
      <c r="D2576" s="32"/>
      <c r="E2576" s="34" t="str">
        <f aca="false">IF($B2576="","",IF($B2576="OUT","Liters",IFERROR(INDEX(Setup!$F$3:$F$24,MATCH($C2576,Setup!$A$3:$A$24,0)),"")))</f>
        <v/>
      </c>
      <c r="F2576" s="28" t="str">
        <f aca="false">IF(OR($D2576="",$E2576=""),"",IFERROR($D2576*INDEX(Setup!$B$27:$B$44,MATCH($E2576,Setup!$A$27:$A$44,0)),"TBD"))</f>
        <v/>
      </c>
      <c r="G2576" s="32"/>
      <c r="H2576" s="32"/>
      <c r="I2576" s="32"/>
      <c r="J2576" s="32"/>
      <c r="K2576" s="35"/>
      <c r="L2576" s="32"/>
      <c r="M2576" s="32"/>
    </row>
    <row r="2577" customFormat="false" ht="15" hidden="false" customHeight="true" outlineLevel="0" collapsed="false">
      <c r="A2577" s="32"/>
      <c r="B2577" s="32"/>
      <c r="C2577" s="32"/>
      <c r="D2577" s="32"/>
      <c r="E2577" s="34" t="str">
        <f aca="false">IF($B2577="","",IF($B2577="OUT","Liters",IFERROR(INDEX(Setup!$F$3:$F$24,MATCH($C2577,Setup!$A$3:$A$24,0)),"")))</f>
        <v/>
      </c>
      <c r="F2577" s="28" t="str">
        <f aca="false">IF(OR($D2577="",$E2577=""),"",IFERROR($D2577*INDEX(Setup!$B$27:$B$44,MATCH($E2577,Setup!$A$27:$A$44,0)),"TBD"))</f>
        <v/>
      </c>
      <c r="G2577" s="32"/>
      <c r="H2577" s="32"/>
      <c r="I2577" s="32"/>
      <c r="J2577" s="32"/>
      <c r="K2577" s="35"/>
      <c r="L2577" s="32"/>
      <c r="M2577" s="32"/>
    </row>
    <row r="2578" customFormat="false" ht="15" hidden="false" customHeight="true" outlineLevel="0" collapsed="false">
      <c r="A2578" s="32"/>
      <c r="B2578" s="32"/>
      <c r="C2578" s="32"/>
      <c r="D2578" s="32"/>
      <c r="E2578" s="34" t="str">
        <f aca="false">IF($B2578="","",IF($B2578="OUT","Liters",IFERROR(INDEX(Setup!$F$3:$F$24,MATCH($C2578,Setup!$A$3:$A$24,0)),"")))</f>
        <v/>
      </c>
      <c r="F2578" s="28" t="str">
        <f aca="false">IF(OR($D2578="",$E2578=""),"",IFERROR($D2578*INDEX(Setup!$B$27:$B$44,MATCH($E2578,Setup!$A$27:$A$44,0)),"TBD"))</f>
        <v/>
      </c>
      <c r="G2578" s="32"/>
      <c r="H2578" s="32"/>
      <c r="I2578" s="32"/>
      <c r="J2578" s="32"/>
      <c r="K2578" s="35"/>
      <c r="L2578" s="32"/>
      <c r="M2578" s="32"/>
    </row>
    <row r="2579" customFormat="false" ht="15" hidden="false" customHeight="true" outlineLevel="0" collapsed="false">
      <c r="A2579" s="32"/>
      <c r="B2579" s="32"/>
      <c r="C2579" s="32"/>
      <c r="D2579" s="32"/>
      <c r="E2579" s="34" t="str">
        <f aca="false">IF($B2579="","",IF($B2579="OUT","Liters",IFERROR(INDEX(Setup!$F$3:$F$24,MATCH($C2579,Setup!$A$3:$A$24,0)),"")))</f>
        <v/>
      </c>
      <c r="F2579" s="28" t="str">
        <f aca="false">IF(OR($D2579="",$E2579=""),"",IFERROR($D2579*INDEX(Setup!$B$27:$B$44,MATCH($E2579,Setup!$A$27:$A$44,0)),"TBD"))</f>
        <v/>
      </c>
      <c r="G2579" s="32"/>
      <c r="H2579" s="32"/>
      <c r="I2579" s="32"/>
      <c r="J2579" s="32"/>
      <c r="K2579" s="35"/>
      <c r="L2579" s="32"/>
      <c r="M2579" s="32"/>
    </row>
    <row r="2580" customFormat="false" ht="15" hidden="false" customHeight="true" outlineLevel="0" collapsed="false">
      <c r="A2580" s="32"/>
      <c r="B2580" s="32"/>
      <c r="C2580" s="32"/>
      <c r="D2580" s="32"/>
      <c r="E2580" s="34" t="str">
        <f aca="false">IF($B2580="","",IF($B2580="OUT","Liters",IFERROR(INDEX(Setup!$F$3:$F$24,MATCH($C2580,Setup!$A$3:$A$24,0)),"")))</f>
        <v/>
      </c>
      <c r="F2580" s="28" t="str">
        <f aca="false">IF(OR($D2580="",$E2580=""),"",IFERROR($D2580*INDEX(Setup!$B$27:$B$44,MATCH($E2580,Setup!$A$27:$A$44,0)),"TBD"))</f>
        <v/>
      </c>
      <c r="G2580" s="32"/>
      <c r="H2580" s="32"/>
      <c r="I2580" s="32"/>
      <c r="J2580" s="32"/>
      <c r="K2580" s="35"/>
      <c r="L2580" s="32"/>
      <c r="M2580" s="32"/>
    </row>
    <row r="2581" customFormat="false" ht="15" hidden="false" customHeight="true" outlineLevel="0" collapsed="false">
      <c r="A2581" s="32"/>
      <c r="B2581" s="32"/>
      <c r="C2581" s="32"/>
      <c r="D2581" s="32"/>
      <c r="E2581" s="34" t="str">
        <f aca="false">IF($B2581="","",IF($B2581="OUT","Liters",IFERROR(INDEX(Setup!$F$3:$F$24,MATCH($C2581,Setup!$A$3:$A$24,0)),"")))</f>
        <v/>
      </c>
      <c r="F2581" s="28" t="str">
        <f aca="false">IF(OR($D2581="",$E2581=""),"",IFERROR($D2581*INDEX(Setup!$B$27:$B$44,MATCH($E2581,Setup!$A$27:$A$44,0)),"TBD"))</f>
        <v/>
      </c>
      <c r="G2581" s="32"/>
      <c r="H2581" s="32"/>
      <c r="I2581" s="32"/>
      <c r="J2581" s="32"/>
      <c r="K2581" s="35"/>
      <c r="L2581" s="32"/>
      <c r="M2581" s="32"/>
    </row>
    <row r="2582" customFormat="false" ht="15" hidden="false" customHeight="true" outlineLevel="0" collapsed="false">
      <c r="A2582" s="32"/>
      <c r="B2582" s="32"/>
      <c r="C2582" s="32"/>
      <c r="D2582" s="32"/>
      <c r="E2582" s="34" t="str">
        <f aca="false">IF($B2582="","",IF($B2582="OUT","Liters",IFERROR(INDEX(Setup!$F$3:$F$24,MATCH($C2582,Setup!$A$3:$A$24,0)),"")))</f>
        <v/>
      </c>
      <c r="F2582" s="28" t="str">
        <f aca="false">IF(OR($D2582="",$E2582=""),"",IFERROR($D2582*INDEX(Setup!$B$27:$B$44,MATCH($E2582,Setup!$A$27:$A$44,0)),"TBD"))</f>
        <v/>
      </c>
      <c r="G2582" s="32"/>
      <c r="H2582" s="32"/>
      <c r="I2582" s="32"/>
      <c r="J2582" s="32"/>
      <c r="K2582" s="35"/>
      <c r="L2582" s="32"/>
      <c r="M2582" s="32"/>
    </row>
    <row r="2583" customFormat="false" ht="15" hidden="false" customHeight="true" outlineLevel="0" collapsed="false">
      <c r="A2583" s="32"/>
      <c r="B2583" s="32"/>
      <c r="C2583" s="32"/>
      <c r="D2583" s="32"/>
      <c r="E2583" s="34" t="str">
        <f aca="false">IF($B2583="","",IF($B2583="OUT","Liters",IFERROR(INDEX(Setup!$F$3:$F$24,MATCH($C2583,Setup!$A$3:$A$24,0)),"")))</f>
        <v/>
      </c>
      <c r="F2583" s="28" t="str">
        <f aca="false">IF(OR($D2583="",$E2583=""),"",IFERROR($D2583*INDEX(Setup!$B$27:$B$44,MATCH($E2583,Setup!$A$27:$A$44,0)),"TBD"))</f>
        <v/>
      </c>
      <c r="G2583" s="32"/>
      <c r="H2583" s="32"/>
      <c r="I2583" s="32"/>
      <c r="J2583" s="32"/>
      <c r="K2583" s="35"/>
      <c r="L2583" s="32"/>
      <c r="M2583" s="32"/>
    </row>
    <row r="2584" customFormat="false" ht="15" hidden="false" customHeight="true" outlineLevel="0" collapsed="false">
      <c r="A2584" s="32"/>
      <c r="B2584" s="32"/>
      <c r="C2584" s="32"/>
      <c r="D2584" s="32"/>
      <c r="E2584" s="34" t="str">
        <f aca="false">IF($B2584="","",IF($B2584="OUT","Liters",IFERROR(INDEX(Setup!$F$3:$F$24,MATCH($C2584,Setup!$A$3:$A$24,0)),"")))</f>
        <v/>
      </c>
      <c r="F2584" s="28" t="str">
        <f aca="false">IF(OR($D2584="",$E2584=""),"",IFERROR($D2584*INDEX(Setup!$B$27:$B$44,MATCH($E2584,Setup!$A$27:$A$44,0)),"TBD"))</f>
        <v/>
      </c>
      <c r="G2584" s="32"/>
      <c r="H2584" s="32"/>
      <c r="I2584" s="32"/>
      <c r="J2584" s="32"/>
      <c r="K2584" s="35"/>
      <c r="L2584" s="32"/>
      <c r="M2584" s="32"/>
    </row>
    <row r="2585" customFormat="false" ht="15" hidden="false" customHeight="true" outlineLevel="0" collapsed="false">
      <c r="A2585" s="32"/>
      <c r="B2585" s="32"/>
      <c r="C2585" s="32"/>
      <c r="D2585" s="32"/>
      <c r="E2585" s="34" t="str">
        <f aca="false">IF($B2585="","",IF($B2585="OUT","Liters",IFERROR(INDEX(Setup!$F$3:$F$24,MATCH($C2585,Setup!$A$3:$A$24,0)),"")))</f>
        <v/>
      </c>
      <c r="F2585" s="28" t="str">
        <f aca="false">IF(OR($D2585="",$E2585=""),"",IFERROR($D2585*INDEX(Setup!$B$27:$B$44,MATCH($E2585,Setup!$A$27:$A$44,0)),"TBD"))</f>
        <v/>
      </c>
      <c r="G2585" s="32"/>
      <c r="H2585" s="32"/>
      <c r="I2585" s="32"/>
      <c r="J2585" s="32"/>
      <c r="K2585" s="35"/>
      <c r="L2585" s="32"/>
      <c r="M2585" s="32"/>
    </row>
    <row r="2586" customFormat="false" ht="15" hidden="false" customHeight="true" outlineLevel="0" collapsed="false">
      <c r="A2586" s="32"/>
      <c r="B2586" s="32"/>
      <c r="C2586" s="32"/>
      <c r="D2586" s="32"/>
      <c r="E2586" s="34" t="str">
        <f aca="false">IF($B2586="","",IF($B2586="OUT","Liters",IFERROR(INDEX(Setup!$F$3:$F$24,MATCH($C2586,Setup!$A$3:$A$24,0)),"")))</f>
        <v/>
      </c>
      <c r="F2586" s="28" t="str">
        <f aca="false">IF(OR($D2586="",$E2586=""),"",IFERROR($D2586*INDEX(Setup!$B$27:$B$44,MATCH($E2586,Setup!$A$27:$A$44,0)),"TBD"))</f>
        <v/>
      </c>
      <c r="G2586" s="32"/>
      <c r="H2586" s="32"/>
      <c r="I2586" s="32"/>
      <c r="J2586" s="32"/>
      <c r="K2586" s="35"/>
      <c r="L2586" s="32"/>
      <c r="M2586" s="32"/>
    </row>
    <row r="2587" customFormat="false" ht="15" hidden="false" customHeight="true" outlineLevel="0" collapsed="false">
      <c r="A2587" s="32"/>
      <c r="B2587" s="32"/>
      <c r="C2587" s="32"/>
      <c r="D2587" s="32"/>
      <c r="E2587" s="34" t="str">
        <f aca="false">IF($B2587="","",IF($B2587="OUT","Liters",IFERROR(INDEX(Setup!$F$3:$F$24,MATCH($C2587,Setup!$A$3:$A$24,0)),"")))</f>
        <v/>
      </c>
      <c r="F2587" s="28" t="str">
        <f aca="false">IF(OR($D2587="",$E2587=""),"",IFERROR($D2587*INDEX(Setup!$B$27:$B$44,MATCH($E2587,Setup!$A$27:$A$44,0)),"TBD"))</f>
        <v/>
      </c>
      <c r="G2587" s="32"/>
      <c r="H2587" s="32"/>
      <c r="I2587" s="32"/>
      <c r="J2587" s="32"/>
      <c r="K2587" s="35"/>
      <c r="L2587" s="32"/>
      <c r="M2587" s="32"/>
    </row>
    <row r="2588" customFormat="false" ht="15" hidden="false" customHeight="true" outlineLevel="0" collapsed="false">
      <c r="A2588" s="32"/>
      <c r="B2588" s="32"/>
      <c r="C2588" s="32"/>
      <c r="D2588" s="32"/>
      <c r="E2588" s="34" t="str">
        <f aca="false">IF($B2588="","",IF($B2588="OUT","Liters",IFERROR(INDEX(Setup!$F$3:$F$24,MATCH($C2588,Setup!$A$3:$A$24,0)),"")))</f>
        <v/>
      </c>
      <c r="F2588" s="28" t="str">
        <f aca="false">IF(OR($D2588="",$E2588=""),"",IFERROR($D2588*INDEX(Setup!$B$27:$B$44,MATCH($E2588,Setup!$A$27:$A$44,0)),"TBD"))</f>
        <v/>
      </c>
      <c r="G2588" s="32"/>
      <c r="H2588" s="32"/>
      <c r="I2588" s="32"/>
      <c r="J2588" s="32"/>
      <c r="K2588" s="35"/>
      <c r="L2588" s="32"/>
      <c r="M2588" s="32"/>
    </row>
    <row r="2589" customFormat="false" ht="15" hidden="false" customHeight="true" outlineLevel="0" collapsed="false">
      <c r="A2589" s="32"/>
      <c r="B2589" s="32"/>
      <c r="C2589" s="32"/>
      <c r="D2589" s="32"/>
      <c r="E2589" s="34" t="str">
        <f aca="false">IF($B2589="","",IF($B2589="OUT","Liters",IFERROR(INDEX(Setup!$F$3:$F$24,MATCH($C2589,Setup!$A$3:$A$24,0)),"")))</f>
        <v/>
      </c>
      <c r="F2589" s="28" t="str">
        <f aca="false">IF(OR($D2589="",$E2589=""),"",IFERROR($D2589*INDEX(Setup!$B$27:$B$44,MATCH($E2589,Setup!$A$27:$A$44,0)),"TBD"))</f>
        <v/>
      </c>
      <c r="G2589" s="32"/>
      <c r="H2589" s="32"/>
      <c r="I2589" s="32"/>
      <c r="J2589" s="32"/>
      <c r="K2589" s="35"/>
      <c r="L2589" s="32"/>
      <c r="M2589" s="32"/>
    </row>
    <row r="2590" customFormat="false" ht="15" hidden="false" customHeight="true" outlineLevel="0" collapsed="false">
      <c r="A2590" s="32"/>
      <c r="B2590" s="32"/>
      <c r="C2590" s="32"/>
      <c r="D2590" s="32"/>
      <c r="E2590" s="34" t="str">
        <f aca="false">IF($B2590="","",IF($B2590="OUT","Liters",IFERROR(INDEX(Setup!$F$3:$F$24,MATCH($C2590,Setup!$A$3:$A$24,0)),"")))</f>
        <v/>
      </c>
      <c r="F2590" s="28" t="str">
        <f aca="false">IF(OR($D2590="",$E2590=""),"",IFERROR($D2590*INDEX(Setup!$B$27:$B$44,MATCH($E2590,Setup!$A$27:$A$44,0)),"TBD"))</f>
        <v/>
      </c>
      <c r="G2590" s="32"/>
      <c r="H2590" s="32"/>
      <c r="I2590" s="32"/>
      <c r="J2590" s="32"/>
      <c r="K2590" s="35"/>
      <c r="L2590" s="32"/>
      <c r="M2590" s="32"/>
    </row>
    <row r="2591" customFormat="false" ht="15" hidden="false" customHeight="true" outlineLevel="0" collapsed="false">
      <c r="A2591" s="32"/>
      <c r="B2591" s="32"/>
      <c r="C2591" s="32"/>
      <c r="D2591" s="32"/>
      <c r="E2591" s="34" t="str">
        <f aca="false">IF($B2591="","",IF($B2591="OUT","Liters",IFERROR(INDEX(Setup!$F$3:$F$24,MATCH($C2591,Setup!$A$3:$A$24,0)),"")))</f>
        <v/>
      </c>
      <c r="F2591" s="28" t="str">
        <f aca="false">IF(OR($D2591="",$E2591=""),"",IFERROR($D2591*INDEX(Setup!$B$27:$B$44,MATCH($E2591,Setup!$A$27:$A$44,0)),"TBD"))</f>
        <v/>
      </c>
      <c r="G2591" s="32"/>
      <c r="H2591" s="32"/>
      <c r="I2591" s="32"/>
      <c r="J2591" s="32"/>
      <c r="K2591" s="35"/>
      <c r="L2591" s="32"/>
      <c r="M2591" s="32"/>
    </row>
    <row r="2592" customFormat="false" ht="15" hidden="false" customHeight="true" outlineLevel="0" collapsed="false">
      <c r="A2592" s="32"/>
      <c r="B2592" s="32"/>
      <c r="C2592" s="32"/>
      <c r="D2592" s="32"/>
      <c r="E2592" s="34" t="str">
        <f aca="false">IF($B2592="","",IF($B2592="OUT","Liters",IFERROR(INDEX(Setup!$F$3:$F$24,MATCH($C2592,Setup!$A$3:$A$24,0)),"")))</f>
        <v/>
      </c>
      <c r="F2592" s="28" t="str">
        <f aca="false">IF(OR($D2592="",$E2592=""),"",IFERROR($D2592*INDEX(Setup!$B$27:$B$44,MATCH($E2592,Setup!$A$27:$A$44,0)),"TBD"))</f>
        <v/>
      </c>
      <c r="G2592" s="32"/>
      <c r="H2592" s="32"/>
      <c r="I2592" s="32"/>
      <c r="J2592" s="32"/>
      <c r="K2592" s="35"/>
      <c r="L2592" s="32"/>
      <c r="M2592" s="32"/>
    </row>
    <row r="2593" customFormat="false" ht="15" hidden="false" customHeight="true" outlineLevel="0" collapsed="false">
      <c r="A2593" s="32"/>
      <c r="B2593" s="32"/>
      <c r="C2593" s="32"/>
      <c r="D2593" s="32"/>
      <c r="E2593" s="34" t="str">
        <f aca="false">IF($B2593="","",IF($B2593="OUT","Liters",IFERROR(INDEX(Setup!$F$3:$F$24,MATCH($C2593,Setup!$A$3:$A$24,0)),"")))</f>
        <v/>
      </c>
      <c r="F2593" s="28" t="str">
        <f aca="false">IF(OR($D2593="",$E2593=""),"",IFERROR($D2593*INDEX(Setup!$B$27:$B$44,MATCH($E2593,Setup!$A$27:$A$44,0)),"TBD"))</f>
        <v/>
      </c>
      <c r="G2593" s="32"/>
      <c r="H2593" s="32"/>
      <c r="I2593" s="32"/>
      <c r="J2593" s="32"/>
      <c r="K2593" s="35"/>
      <c r="L2593" s="32"/>
      <c r="M2593" s="32"/>
    </row>
    <row r="2594" customFormat="false" ht="15" hidden="false" customHeight="true" outlineLevel="0" collapsed="false">
      <c r="A2594" s="32"/>
      <c r="B2594" s="32"/>
      <c r="C2594" s="32"/>
      <c r="D2594" s="32"/>
      <c r="E2594" s="34" t="str">
        <f aca="false">IF($B2594="","",IF($B2594="OUT","Liters",IFERROR(INDEX(Setup!$F$3:$F$24,MATCH($C2594,Setup!$A$3:$A$24,0)),"")))</f>
        <v/>
      </c>
      <c r="F2594" s="28" t="str">
        <f aca="false">IF(OR($D2594="",$E2594=""),"",IFERROR($D2594*INDEX(Setup!$B$27:$B$44,MATCH($E2594,Setup!$A$27:$A$44,0)),"TBD"))</f>
        <v/>
      </c>
      <c r="G2594" s="32"/>
      <c r="H2594" s="32"/>
      <c r="I2594" s="32"/>
      <c r="J2594" s="32"/>
      <c r="K2594" s="35"/>
      <c r="L2594" s="32"/>
      <c r="M2594" s="32"/>
    </row>
    <row r="2595" customFormat="false" ht="15" hidden="false" customHeight="true" outlineLevel="0" collapsed="false">
      <c r="A2595" s="32"/>
      <c r="B2595" s="32"/>
      <c r="C2595" s="32"/>
      <c r="D2595" s="32"/>
      <c r="E2595" s="34" t="str">
        <f aca="false">IF($B2595="","",IF($B2595="OUT","Liters",IFERROR(INDEX(Setup!$F$3:$F$24,MATCH($C2595,Setup!$A$3:$A$24,0)),"")))</f>
        <v/>
      </c>
      <c r="F2595" s="28" t="str">
        <f aca="false">IF(OR($D2595="",$E2595=""),"",IFERROR($D2595*INDEX(Setup!$B$27:$B$44,MATCH($E2595,Setup!$A$27:$A$44,0)),"TBD"))</f>
        <v/>
      </c>
      <c r="G2595" s="32"/>
      <c r="H2595" s="32"/>
      <c r="I2595" s="32"/>
      <c r="J2595" s="32"/>
      <c r="K2595" s="35"/>
      <c r="L2595" s="32"/>
      <c r="M2595" s="32"/>
    </row>
    <row r="2596" customFormat="false" ht="15" hidden="false" customHeight="true" outlineLevel="0" collapsed="false">
      <c r="A2596" s="32"/>
      <c r="B2596" s="32"/>
      <c r="C2596" s="32"/>
      <c r="D2596" s="32"/>
      <c r="E2596" s="34" t="str">
        <f aca="false">IF($B2596="","",IF($B2596="OUT","Liters",IFERROR(INDEX(Setup!$F$3:$F$24,MATCH($C2596,Setup!$A$3:$A$24,0)),"")))</f>
        <v/>
      </c>
      <c r="F2596" s="28" t="str">
        <f aca="false">IF(OR($D2596="",$E2596=""),"",IFERROR($D2596*INDEX(Setup!$B$27:$B$44,MATCH($E2596,Setup!$A$27:$A$44,0)),"TBD"))</f>
        <v/>
      </c>
      <c r="G2596" s="32"/>
      <c r="H2596" s="32"/>
      <c r="I2596" s="32"/>
      <c r="J2596" s="32"/>
      <c r="K2596" s="35"/>
      <c r="L2596" s="32"/>
      <c r="M2596" s="32"/>
    </row>
    <row r="2597" customFormat="false" ht="15" hidden="false" customHeight="true" outlineLevel="0" collapsed="false">
      <c r="A2597" s="32"/>
      <c r="B2597" s="32"/>
      <c r="C2597" s="32"/>
      <c r="D2597" s="32"/>
      <c r="E2597" s="34" t="str">
        <f aca="false">IF($B2597="","",IF($B2597="OUT","Liters",IFERROR(INDEX(Setup!$F$3:$F$24,MATCH($C2597,Setup!$A$3:$A$24,0)),"")))</f>
        <v/>
      </c>
      <c r="F2597" s="28" t="str">
        <f aca="false">IF(OR($D2597="",$E2597=""),"",IFERROR($D2597*INDEX(Setup!$B$27:$B$44,MATCH($E2597,Setup!$A$27:$A$44,0)),"TBD"))</f>
        <v/>
      </c>
      <c r="G2597" s="32"/>
      <c r="H2597" s="32"/>
      <c r="I2597" s="32"/>
      <c r="J2597" s="32"/>
      <c r="K2597" s="35"/>
      <c r="L2597" s="32"/>
      <c r="M2597" s="32"/>
    </row>
    <row r="2598" customFormat="false" ht="15" hidden="false" customHeight="true" outlineLevel="0" collapsed="false">
      <c r="A2598" s="32"/>
      <c r="B2598" s="32"/>
      <c r="C2598" s="32"/>
      <c r="D2598" s="32"/>
      <c r="E2598" s="34" t="str">
        <f aca="false">IF($B2598="","",IF($B2598="OUT","Liters",IFERROR(INDEX(Setup!$F$3:$F$24,MATCH($C2598,Setup!$A$3:$A$24,0)),"")))</f>
        <v/>
      </c>
      <c r="F2598" s="28" t="str">
        <f aca="false">IF(OR($D2598="",$E2598=""),"",IFERROR($D2598*INDEX(Setup!$B$27:$B$44,MATCH($E2598,Setup!$A$27:$A$44,0)),"TBD"))</f>
        <v/>
      </c>
      <c r="G2598" s="32"/>
      <c r="H2598" s="32"/>
      <c r="I2598" s="32"/>
      <c r="J2598" s="32"/>
      <c r="K2598" s="35"/>
      <c r="L2598" s="32"/>
      <c r="M2598" s="32"/>
    </row>
    <row r="2599" customFormat="false" ht="15" hidden="false" customHeight="true" outlineLevel="0" collapsed="false">
      <c r="A2599" s="32"/>
      <c r="B2599" s="32"/>
      <c r="C2599" s="32"/>
      <c r="D2599" s="32"/>
      <c r="E2599" s="34" t="str">
        <f aca="false">IF($B2599="","",IF($B2599="OUT","Liters",IFERROR(INDEX(Setup!$F$3:$F$24,MATCH($C2599,Setup!$A$3:$A$24,0)),"")))</f>
        <v/>
      </c>
      <c r="F2599" s="28" t="str">
        <f aca="false">IF(OR($D2599="",$E2599=""),"",IFERROR($D2599*INDEX(Setup!$B$27:$B$44,MATCH($E2599,Setup!$A$27:$A$44,0)),"TBD"))</f>
        <v/>
      </c>
      <c r="G2599" s="32"/>
      <c r="H2599" s="32"/>
      <c r="I2599" s="32"/>
      <c r="J2599" s="32"/>
      <c r="K2599" s="35"/>
      <c r="L2599" s="32"/>
      <c r="M2599" s="32"/>
    </row>
    <row r="2600" customFormat="false" ht="15" hidden="false" customHeight="true" outlineLevel="0" collapsed="false">
      <c r="A2600" s="32"/>
      <c r="B2600" s="32"/>
      <c r="C2600" s="32"/>
      <c r="D2600" s="32"/>
      <c r="E2600" s="34" t="str">
        <f aca="false">IF($B2600="","",IF($B2600="OUT","Liters",IFERROR(INDEX(Setup!$F$3:$F$24,MATCH($C2600,Setup!$A$3:$A$24,0)),"")))</f>
        <v/>
      </c>
      <c r="F2600" s="28" t="str">
        <f aca="false">IF(OR($D2600="",$E2600=""),"",IFERROR($D2600*INDEX(Setup!$B$27:$B$44,MATCH($E2600,Setup!$A$27:$A$44,0)),"TBD"))</f>
        <v/>
      </c>
      <c r="G2600" s="32"/>
      <c r="H2600" s="32"/>
      <c r="I2600" s="32"/>
      <c r="J2600" s="32"/>
      <c r="K2600" s="35"/>
      <c r="L2600" s="32"/>
      <c r="M2600" s="32"/>
    </row>
    <row r="2601" customFormat="false" ht="15" hidden="false" customHeight="true" outlineLevel="0" collapsed="false">
      <c r="A2601" s="32"/>
      <c r="B2601" s="32"/>
      <c r="C2601" s="32"/>
      <c r="D2601" s="32"/>
      <c r="E2601" s="34" t="str">
        <f aca="false">IF($B2601="","",IF($B2601="OUT","Liters",IFERROR(INDEX(Setup!$F$3:$F$24,MATCH($C2601,Setup!$A$3:$A$24,0)),"")))</f>
        <v/>
      </c>
      <c r="F2601" s="28" t="str">
        <f aca="false">IF(OR($D2601="",$E2601=""),"",IFERROR($D2601*INDEX(Setup!$B$27:$B$44,MATCH($E2601,Setup!$A$27:$A$44,0)),"TBD"))</f>
        <v/>
      </c>
      <c r="G2601" s="32"/>
      <c r="H2601" s="32"/>
      <c r="I2601" s="32"/>
      <c r="J2601" s="32"/>
      <c r="K2601" s="35"/>
      <c r="L2601" s="32"/>
      <c r="M2601" s="32"/>
    </row>
    <row r="2602" customFormat="false" ht="15" hidden="false" customHeight="true" outlineLevel="0" collapsed="false">
      <c r="A2602" s="32"/>
      <c r="B2602" s="32"/>
      <c r="C2602" s="32"/>
      <c r="D2602" s="32"/>
      <c r="E2602" s="34" t="str">
        <f aca="false">IF($B2602="","",IF($B2602="OUT","Liters",IFERROR(INDEX(Setup!$F$3:$F$24,MATCH($C2602,Setup!$A$3:$A$24,0)),"")))</f>
        <v/>
      </c>
      <c r="F2602" s="28" t="str">
        <f aca="false">IF(OR($D2602="",$E2602=""),"",IFERROR($D2602*INDEX(Setup!$B$27:$B$44,MATCH($E2602,Setup!$A$27:$A$44,0)),"TBD"))</f>
        <v/>
      </c>
      <c r="G2602" s="32"/>
      <c r="H2602" s="32"/>
      <c r="I2602" s="32"/>
      <c r="J2602" s="32"/>
      <c r="K2602" s="35"/>
      <c r="L2602" s="32"/>
      <c r="M2602" s="32"/>
    </row>
    <row r="2603" customFormat="false" ht="15" hidden="false" customHeight="true" outlineLevel="0" collapsed="false">
      <c r="A2603" s="32"/>
      <c r="B2603" s="32"/>
      <c r="C2603" s="32"/>
      <c r="D2603" s="32"/>
      <c r="E2603" s="34" t="str">
        <f aca="false">IF($B2603="","",IF($B2603="OUT","Liters",IFERROR(INDEX(Setup!$F$3:$F$24,MATCH($C2603,Setup!$A$3:$A$24,0)),"")))</f>
        <v/>
      </c>
      <c r="F2603" s="28" t="str">
        <f aca="false">IF(OR($D2603="",$E2603=""),"",IFERROR($D2603*INDEX(Setup!$B$27:$B$44,MATCH($E2603,Setup!$A$27:$A$44,0)),"TBD"))</f>
        <v/>
      </c>
      <c r="G2603" s="32"/>
      <c r="H2603" s="32"/>
      <c r="I2603" s="32"/>
      <c r="J2603" s="32"/>
      <c r="K2603" s="35"/>
      <c r="L2603" s="32"/>
      <c r="M2603" s="32"/>
    </row>
    <row r="2604" customFormat="false" ht="15" hidden="false" customHeight="true" outlineLevel="0" collapsed="false">
      <c r="A2604" s="32"/>
      <c r="B2604" s="32"/>
      <c r="C2604" s="32"/>
      <c r="D2604" s="32"/>
      <c r="E2604" s="34" t="str">
        <f aca="false">IF($B2604="","",IF($B2604="OUT","Liters",IFERROR(INDEX(Setup!$F$3:$F$24,MATCH($C2604,Setup!$A$3:$A$24,0)),"")))</f>
        <v/>
      </c>
      <c r="F2604" s="28" t="str">
        <f aca="false">IF(OR($D2604="",$E2604=""),"",IFERROR($D2604*INDEX(Setup!$B$27:$B$44,MATCH($E2604,Setup!$A$27:$A$44,0)),"TBD"))</f>
        <v/>
      </c>
      <c r="G2604" s="32"/>
      <c r="H2604" s="32"/>
      <c r="I2604" s="32"/>
      <c r="J2604" s="32"/>
      <c r="K2604" s="35"/>
      <c r="L2604" s="32"/>
      <c r="M2604" s="32"/>
    </row>
    <row r="2605" customFormat="false" ht="15" hidden="false" customHeight="true" outlineLevel="0" collapsed="false">
      <c r="A2605" s="32"/>
      <c r="B2605" s="32"/>
      <c r="C2605" s="32"/>
      <c r="D2605" s="32"/>
      <c r="E2605" s="34" t="str">
        <f aca="false">IF($B2605="","",IF($B2605="OUT","Liters",IFERROR(INDEX(Setup!$F$3:$F$24,MATCH($C2605,Setup!$A$3:$A$24,0)),"")))</f>
        <v/>
      </c>
      <c r="F2605" s="28" t="str">
        <f aca="false">IF(OR($D2605="",$E2605=""),"",IFERROR($D2605*INDEX(Setup!$B$27:$B$44,MATCH($E2605,Setup!$A$27:$A$44,0)),"TBD"))</f>
        <v/>
      </c>
      <c r="G2605" s="32"/>
      <c r="H2605" s="32"/>
      <c r="I2605" s="32"/>
      <c r="J2605" s="32"/>
      <c r="K2605" s="35"/>
      <c r="L2605" s="32"/>
      <c r="M2605" s="32"/>
    </row>
    <row r="2606" customFormat="false" ht="15" hidden="false" customHeight="true" outlineLevel="0" collapsed="false">
      <c r="A2606" s="32"/>
      <c r="B2606" s="32"/>
      <c r="C2606" s="32"/>
      <c r="D2606" s="32"/>
      <c r="E2606" s="34" t="str">
        <f aca="false">IF($B2606="","",IF($B2606="OUT","Liters",IFERROR(INDEX(Setup!$F$3:$F$24,MATCH($C2606,Setup!$A$3:$A$24,0)),"")))</f>
        <v/>
      </c>
      <c r="F2606" s="28" t="str">
        <f aca="false">IF(OR($D2606="",$E2606=""),"",IFERROR($D2606*INDEX(Setup!$B$27:$B$44,MATCH($E2606,Setup!$A$27:$A$44,0)),"TBD"))</f>
        <v/>
      </c>
      <c r="G2606" s="32"/>
      <c r="H2606" s="32"/>
      <c r="I2606" s="32"/>
      <c r="J2606" s="32"/>
      <c r="K2606" s="35"/>
      <c r="L2606" s="32"/>
      <c r="M2606" s="32"/>
    </row>
    <row r="2607" customFormat="false" ht="15" hidden="false" customHeight="true" outlineLevel="0" collapsed="false">
      <c r="A2607" s="32"/>
      <c r="B2607" s="32"/>
      <c r="C2607" s="32"/>
      <c r="D2607" s="32"/>
      <c r="E2607" s="34" t="str">
        <f aca="false">IF($B2607="","",IF($B2607="OUT","Liters",IFERROR(INDEX(Setup!$F$3:$F$24,MATCH($C2607,Setup!$A$3:$A$24,0)),"")))</f>
        <v/>
      </c>
      <c r="F2607" s="28" t="str">
        <f aca="false">IF(OR($D2607="",$E2607=""),"",IFERROR($D2607*INDEX(Setup!$B$27:$B$44,MATCH($E2607,Setup!$A$27:$A$44,0)),"TBD"))</f>
        <v/>
      </c>
      <c r="G2607" s="32"/>
      <c r="H2607" s="32"/>
      <c r="I2607" s="32"/>
      <c r="J2607" s="32"/>
      <c r="K2607" s="35"/>
      <c r="L2607" s="32"/>
      <c r="M2607" s="32"/>
    </row>
    <row r="2608" customFormat="false" ht="15" hidden="false" customHeight="true" outlineLevel="0" collapsed="false">
      <c r="A2608" s="32"/>
      <c r="B2608" s="32"/>
      <c r="C2608" s="32"/>
      <c r="D2608" s="32"/>
      <c r="E2608" s="34" t="str">
        <f aca="false">IF($B2608="","",IF($B2608="OUT","Liters",IFERROR(INDEX(Setup!$F$3:$F$24,MATCH($C2608,Setup!$A$3:$A$24,0)),"")))</f>
        <v/>
      </c>
      <c r="F2608" s="28" t="str">
        <f aca="false">IF(OR($D2608="",$E2608=""),"",IFERROR($D2608*INDEX(Setup!$B$27:$B$44,MATCH($E2608,Setup!$A$27:$A$44,0)),"TBD"))</f>
        <v/>
      </c>
      <c r="G2608" s="32"/>
      <c r="H2608" s="32"/>
      <c r="I2608" s="32"/>
      <c r="J2608" s="32"/>
      <c r="K2608" s="35"/>
      <c r="L2608" s="32"/>
      <c r="M2608" s="32"/>
    </row>
    <row r="2609" customFormat="false" ht="15" hidden="false" customHeight="true" outlineLevel="0" collapsed="false">
      <c r="A2609" s="32"/>
      <c r="B2609" s="32"/>
      <c r="C2609" s="32"/>
      <c r="D2609" s="32"/>
      <c r="E2609" s="34" t="str">
        <f aca="false">IF($B2609="","",IF($B2609="OUT","Liters",IFERROR(INDEX(Setup!$F$3:$F$24,MATCH($C2609,Setup!$A$3:$A$24,0)),"")))</f>
        <v/>
      </c>
      <c r="F2609" s="28" t="str">
        <f aca="false">IF(OR($D2609="",$E2609=""),"",IFERROR($D2609*INDEX(Setup!$B$27:$B$44,MATCH($E2609,Setup!$A$27:$A$44,0)),"TBD"))</f>
        <v/>
      </c>
      <c r="G2609" s="32"/>
      <c r="H2609" s="32"/>
      <c r="I2609" s="32"/>
      <c r="J2609" s="32"/>
      <c r="K2609" s="35"/>
      <c r="L2609" s="32"/>
      <c r="M2609" s="32"/>
    </row>
    <row r="2610" customFormat="false" ht="15" hidden="false" customHeight="true" outlineLevel="0" collapsed="false">
      <c r="A2610" s="32"/>
      <c r="B2610" s="32"/>
      <c r="C2610" s="32"/>
      <c r="D2610" s="32"/>
      <c r="E2610" s="34" t="str">
        <f aca="false">IF($B2610="","",IF($B2610="OUT","Liters",IFERROR(INDEX(Setup!$F$3:$F$24,MATCH($C2610,Setup!$A$3:$A$24,0)),"")))</f>
        <v/>
      </c>
      <c r="F2610" s="28" t="str">
        <f aca="false">IF(OR($D2610="",$E2610=""),"",IFERROR($D2610*INDEX(Setup!$B$27:$B$44,MATCH($E2610,Setup!$A$27:$A$44,0)),"TBD"))</f>
        <v/>
      </c>
      <c r="G2610" s="32"/>
      <c r="H2610" s="32"/>
      <c r="I2610" s="32"/>
      <c r="J2610" s="32"/>
      <c r="K2610" s="35"/>
      <c r="L2610" s="32"/>
      <c r="M2610" s="32"/>
    </row>
    <row r="2611" customFormat="false" ht="15" hidden="false" customHeight="true" outlineLevel="0" collapsed="false">
      <c r="A2611" s="32"/>
      <c r="B2611" s="32"/>
      <c r="C2611" s="32"/>
      <c r="D2611" s="32"/>
      <c r="E2611" s="34" t="str">
        <f aca="false">IF($B2611="","",IF($B2611="OUT","Liters",IFERROR(INDEX(Setup!$F$3:$F$24,MATCH($C2611,Setup!$A$3:$A$24,0)),"")))</f>
        <v/>
      </c>
      <c r="F2611" s="28" t="str">
        <f aca="false">IF(OR($D2611="",$E2611=""),"",IFERROR($D2611*INDEX(Setup!$B$27:$B$44,MATCH($E2611,Setup!$A$27:$A$44,0)),"TBD"))</f>
        <v/>
      </c>
      <c r="G2611" s="32"/>
      <c r="H2611" s="32"/>
      <c r="I2611" s="32"/>
      <c r="J2611" s="32"/>
      <c r="K2611" s="35"/>
      <c r="L2611" s="32"/>
      <c r="M2611" s="32"/>
    </row>
    <row r="2612" customFormat="false" ht="15" hidden="false" customHeight="true" outlineLevel="0" collapsed="false">
      <c r="A2612" s="32"/>
      <c r="B2612" s="32"/>
      <c r="C2612" s="32"/>
      <c r="D2612" s="32"/>
      <c r="E2612" s="34" t="str">
        <f aca="false">IF($B2612="","",IF($B2612="OUT","Liters",IFERROR(INDEX(Setup!$F$3:$F$24,MATCH($C2612,Setup!$A$3:$A$24,0)),"")))</f>
        <v/>
      </c>
      <c r="F2612" s="28" t="str">
        <f aca="false">IF(OR($D2612="",$E2612=""),"",IFERROR($D2612*INDEX(Setup!$B$27:$B$44,MATCH($E2612,Setup!$A$27:$A$44,0)),"TBD"))</f>
        <v/>
      </c>
      <c r="G2612" s="32"/>
      <c r="H2612" s="32"/>
      <c r="I2612" s="32"/>
      <c r="J2612" s="32"/>
      <c r="K2612" s="35"/>
      <c r="L2612" s="32"/>
      <c r="M2612" s="32"/>
    </row>
    <row r="2613" customFormat="false" ht="15" hidden="false" customHeight="true" outlineLevel="0" collapsed="false">
      <c r="A2613" s="32"/>
      <c r="B2613" s="32"/>
      <c r="C2613" s="32"/>
      <c r="D2613" s="32"/>
      <c r="E2613" s="34" t="str">
        <f aca="false">IF($B2613="","",IF($B2613="OUT","Liters",IFERROR(INDEX(Setup!$F$3:$F$24,MATCH($C2613,Setup!$A$3:$A$24,0)),"")))</f>
        <v/>
      </c>
      <c r="F2613" s="28" t="str">
        <f aca="false">IF(OR($D2613="",$E2613=""),"",IFERROR($D2613*INDEX(Setup!$B$27:$B$44,MATCH($E2613,Setup!$A$27:$A$44,0)),"TBD"))</f>
        <v/>
      </c>
      <c r="G2613" s="32"/>
      <c r="H2613" s="32"/>
      <c r="I2613" s="32"/>
      <c r="J2613" s="32"/>
      <c r="K2613" s="35"/>
      <c r="L2613" s="32"/>
      <c r="M2613" s="32"/>
    </row>
    <row r="2614" customFormat="false" ht="15" hidden="false" customHeight="true" outlineLevel="0" collapsed="false">
      <c r="A2614" s="32"/>
      <c r="B2614" s="32"/>
      <c r="C2614" s="32"/>
      <c r="D2614" s="32"/>
      <c r="E2614" s="34" t="str">
        <f aca="false">IF($B2614="","",IF($B2614="OUT","Liters",IFERROR(INDEX(Setup!$F$3:$F$24,MATCH($C2614,Setup!$A$3:$A$24,0)),"")))</f>
        <v/>
      </c>
      <c r="F2614" s="28" t="str">
        <f aca="false">IF(OR($D2614="",$E2614=""),"",IFERROR($D2614*INDEX(Setup!$B$27:$B$44,MATCH($E2614,Setup!$A$27:$A$44,0)),"TBD"))</f>
        <v/>
      </c>
      <c r="G2614" s="32"/>
      <c r="H2614" s="32"/>
      <c r="I2614" s="32"/>
      <c r="J2614" s="32"/>
      <c r="K2614" s="35"/>
      <c r="L2614" s="32"/>
      <c r="M2614" s="32"/>
    </row>
    <row r="2615" customFormat="false" ht="15" hidden="false" customHeight="true" outlineLevel="0" collapsed="false">
      <c r="A2615" s="32"/>
      <c r="B2615" s="32"/>
      <c r="C2615" s="32"/>
      <c r="D2615" s="32"/>
      <c r="E2615" s="34" t="str">
        <f aca="false">IF($B2615="","",IF($B2615="OUT","Liters",IFERROR(INDEX(Setup!$F$3:$F$24,MATCH($C2615,Setup!$A$3:$A$24,0)),"")))</f>
        <v/>
      </c>
      <c r="F2615" s="28" t="str">
        <f aca="false">IF(OR($D2615="",$E2615=""),"",IFERROR($D2615*INDEX(Setup!$B$27:$B$44,MATCH($E2615,Setup!$A$27:$A$44,0)),"TBD"))</f>
        <v/>
      </c>
      <c r="G2615" s="32"/>
      <c r="H2615" s="32"/>
      <c r="I2615" s="32"/>
      <c r="J2615" s="32"/>
      <c r="K2615" s="35"/>
      <c r="L2615" s="32"/>
      <c r="M2615" s="32"/>
    </row>
    <row r="2616" customFormat="false" ht="15" hidden="false" customHeight="true" outlineLevel="0" collapsed="false">
      <c r="A2616" s="32"/>
      <c r="B2616" s="32"/>
      <c r="C2616" s="32"/>
      <c r="D2616" s="32"/>
      <c r="E2616" s="34" t="str">
        <f aca="false">IF($B2616="","",IF($B2616="OUT","Liters",IFERROR(INDEX(Setup!$F$3:$F$24,MATCH($C2616,Setup!$A$3:$A$24,0)),"")))</f>
        <v/>
      </c>
      <c r="F2616" s="28" t="str">
        <f aca="false">IF(OR($D2616="",$E2616=""),"",IFERROR($D2616*INDEX(Setup!$B$27:$B$44,MATCH($E2616,Setup!$A$27:$A$44,0)),"TBD"))</f>
        <v/>
      </c>
      <c r="G2616" s="32"/>
      <c r="H2616" s="32"/>
      <c r="I2616" s="32"/>
      <c r="J2616" s="32"/>
      <c r="K2616" s="35"/>
      <c r="L2616" s="32"/>
      <c r="M2616" s="32"/>
    </row>
    <row r="2617" customFormat="false" ht="15" hidden="false" customHeight="true" outlineLevel="0" collapsed="false">
      <c r="A2617" s="32"/>
      <c r="B2617" s="32"/>
      <c r="C2617" s="32"/>
      <c r="D2617" s="32"/>
      <c r="E2617" s="34" t="str">
        <f aca="false">IF($B2617="","",IF($B2617="OUT","Liters",IFERROR(INDEX(Setup!$F$3:$F$24,MATCH($C2617,Setup!$A$3:$A$24,0)),"")))</f>
        <v/>
      </c>
      <c r="F2617" s="28" t="str">
        <f aca="false">IF(OR($D2617="",$E2617=""),"",IFERROR($D2617*INDEX(Setup!$B$27:$B$44,MATCH($E2617,Setup!$A$27:$A$44,0)),"TBD"))</f>
        <v/>
      </c>
      <c r="G2617" s="32"/>
      <c r="H2617" s="32"/>
      <c r="I2617" s="32"/>
      <c r="J2617" s="32"/>
      <c r="K2617" s="35"/>
      <c r="L2617" s="32"/>
      <c r="M2617" s="32"/>
    </row>
    <row r="2618" customFormat="false" ht="15" hidden="false" customHeight="true" outlineLevel="0" collapsed="false">
      <c r="A2618" s="32"/>
      <c r="B2618" s="32"/>
      <c r="C2618" s="32"/>
      <c r="D2618" s="32"/>
      <c r="E2618" s="34" t="str">
        <f aca="false">IF($B2618="","",IF($B2618="OUT","Liters",IFERROR(INDEX(Setup!$F$3:$F$24,MATCH($C2618,Setup!$A$3:$A$24,0)),"")))</f>
        <v/>
      </c>
      <c r="F2618" s="28" t="str">
        <f aca="false">IF(OR($D2618="",$E2618=""),"",IFERROR($D2618*INDEX(Setup!$B$27:$B$44,MATCH($E2618,Setup!$A$27:$A$44,0)),"TBD"))</f>
        <v/>
      </c>
      <c r="G2618" s="32"/>
      <c r="H2618" s="32"/>
      <c r="I2618" s="32"/>
      <c r="J2618" s="32"/>
      <c r="K2618" s="35"/>
      <c r="L2618" s="32"/>
      <c r="M2618" s="32"/>
    </row>
    <row r="2619" customFormat="false" ht="15" hidden="false" customHeight="true" outlineLevel="0" collapsed="false">
      <c r="A2619" s="32"/>
      <c r="B2619" s="32"/>
      <c r="C2619" s="32"/>
      <c r="D2619" s="32"/>
      <c r="E2619" s="34" t="str">
        <f aca="false">IF($B2619="","",IF($B2619="OUT","Liters",IFERROR(INDEX(Setup!$F$3:$F$24,MATCH($C2619,Setup!$A$3:$A$24,0)),"")))</f>
        <v/>
      </c>
      <c r="F2619" s="28" t="str">
        <f aca="false">IF(OR($D2619="",$E2619=""),"",IFERROR($D2619*INDEX(Setup!$B$27:$B$44,MATCH($E2619,Setup!$A$27:$A$44,0)),"TBD"))</f>
        <v/>
      </c>
      <c r="G2619" s="32"/>
      <c r="H2619" s="32"/>
      <c r="I2619" s="32"/>
      <c r="J2619" s="32"/>
      <c r="K2619" s="35"/>
      <c r="L2619" s="32"/>
      <c r="M2619" s="32"/>
    </row>
    <row r="2620" customFormat="false" ht="15" hidden="false" customHeight="true" outlineLevel="0" collapsed="false">
      <c r="A2620" s="32"/>
      <c r="B2620" s="32"/>
      <c r="C2620" s="32"/>
      <c r="D2620" s="32"/>
      <c r="E2620" s="34" t="str">
        <f aca="false">IF($B2620="","",IF($B2620="OUT","Liters",IFERROR(INDEX(Setup!$F$3:$F$24,MATCH($C2620,Setup!$A$3:$A$24,0)),"")))</f>
        <v/>
      </c>
      <c r="F2620" s="28" t="str">
        <f aca="false">IF(OR($D2620="",$E2620=""),"",IFERROR($D2620*INDEX(Setup!$B$27:$B$44,MATCH($E2620,Setup!$A$27:$A$44,0)),"TBD"))</f>
        <v/>
      </c>
      <c r="G2620" s="32"/>
      <c r="H2620" s="32"/>
      <c r="I2620" s="32"/>
      <c r="J2620" s="32"/>
      <c r="K2620" s="35"/>
      <c r="L2620" s="32"/>
      <c r="M2620" s="32"/>
    </row>
    <row r="2621" customFormat="false" ht="15" hidden="false" customHeight="true" outlineLevel="0" collapsed="false">
      <c r="A2621" s="32"/>
      <c r="B2621" s="32"/>
      <c r="C2621" s="32"/>
      <c r="D2621" s="32"/>
      <c r="E2621" s="34" t="str">
        <f aca="false">IF($B2621="","",IF($B2621="OUT","Liters",IFERROR(INDEX(Setup!$F$3:$F$24,MATCH($C2621,Setup!$A$3:$A$24,0)),"")))</f>
        <v/>
      </c>
      <c r="F2621" s="28" t="str">
        <f aca="false">IF(OR($D2621="",$E2621=""),"",IFERROR($D2621*INDEX(Setup!$B$27:$B$44,MATCH($E2621,Setup!$A$27:$A$44,0)),"TBD"))</f>
        <v/>
      </c>
      <c r="G2621" s="32"/>
      <c r="H2621" s="32"/>
      <c r="I2621" s="32"/>
      <c r="J2621" s="32"/>
      <c r="K2621" s="35"/>
      <c r="L2621" s="32"/>
      <c r="M2621" s="32"/>
    </row>
    <row r="2622" customFormat="false" ht="15" hidden="false" customHeight="true" outlineLevel="0" collapsed="false">
      <c r="A2622" s="32"/>
      <c r="B2622" s="32"/>
      <c r="C2622" s="32"/>
      <c r="D2622" s="32"/>
      <c r="E2622" s="34" t="str">
        <f aca="false">IF($B2622="","",IF($B2622="OUT","Liters",IFERROR(INDEX(Setup!$F$3:$F$24,MATCH($C2622,Setup!$A$3:$A$24,0)),"")))</f>
        <v/>
      </c>
      <c r="F2622" s="28" t="str">
        <f aca="false">IF(OR($D2622="",$E2622=""),"",IFERROR($D2622*INDEX(Setup!$B$27:$B$44,MATCH($E2622,Setup!$A$27:$A$44,0)),"TBD"))</f>
        <v/>
      </c>
      <c r="G2622" s="32"/>
      <c r="H2622" s="32"/>
      <c r="I2622" s="32"/>
      <c r="J2622" s="32"/>
      <c r="K2622" s="35"/>
      <c r="L2622" s="32"/>
      <c r="M2622" s="32"/>
    </row>
    <row r="2623" customFormat="false" ht="15" hidden="false" customHeight="true" outlineLevel="0" collapsed="false">
      <c r="A2623" s="32"/>
      <c r="B2623" s="32"/>
      <c r="C2623" s="32"/>
      <c r="D2623" s="32"/>
      <c r="E2623" s="34" t="str">
        <f aca="false">IF($B2623="","",IF($B2623="OUT","Liters",IFERROR(INDEX(Setup!$F$3:$F$24,MATCH($C2623,Setup!$A$3:$A$24,0)),"")))</f>
        <v/>
      </c>
      <c r="F2623" s="28" t="str">
        <f aca="false">IF(OR($D2623="",$E2623=""),"",IFERROR($D2623*INDEX(Setup!$B$27:$B$44,MATCH($E2623,Setup!$A$27:$A$44,0)),"TBD"))</f>
        <v/>
      </c>
      <c r="G2623" s="32"/>
      <c r="H2623" s="32"/>
      <c r="I2623" s="32"/>
      <c r="J2623" s="32"/>
      <c r="K2623" s="35"/>
      <c r="L2623" s="32"/>
      <c r="M2623" s="32"/>
    </row>
    <row r="2624" customFormat="false" ht="15" hidden="false" customHeight="true" outlineLevel="0" collapsed="false">
      <c r="A2624" s="32"/>
      <c r="B2624" s="32"/>
      <c r="C2624" s="32"/>
      <c r="D2624" s="32"/>
      <c r="E2624" s="34" t="str">
        <f aca="false">IF($B2624="","",IF($B2624="OUT","Liters",IFERROR(INDEX(Setup!$F$3:$F$24,MATCH($C2624,Setup!$A$3:$A$24,0)),"")))</f>
        <v/>
      </c>
      <c r="F2624" s="28" t="str">
        <f aca="false">IF(OR($D2624="",$E2624=""),"",IFERROR($D2624*INDEX(Setup!$B$27:$B$44,MATCH($E2624,Setup!$A$27:$A$44,0)),"TBD"))</f>
        <v/>
      </c>
      <c r="G2624" s="32"/>
      <c r="H2624" s="32"/>
      <c r="I2624" s="32"/>
      <c r="J2624" s="32"/>
      <c r="K2624" s="35"/>
      <c r="L2624" s="32"/>
      <c r="M2624" s="32"/>
    </row>
    <row r="2625" customFormat="false" ht="15" hidden="false" customHeight="true" outlineLevel="0" collapsed="false">
      <c r="A2625" s="32"/>
      <c r="B2625" s="32"/>
      <c r="C2625" s="32"/>
      <c r="D2625" s="32"/>
      <c r="E2625" s="34" t="str">
        <f aca="false">IF($B2625="","",IF($B2625="OUT","Liters",IFERROR(INDEX(Setup!$F$3:$F$24,MATCH($C2625,Setup!$A$3:$A$24,0)),"")))</f>
        <v/>
      </c>
      <c r="F2625" s="28" t="str">
        <f aca="false">IF(OR($D2625="",$E2625=""),"",IFERROR($D2625*INDEX(Setup!$B$27:$B$44,MATCH($E2625,Setup!$A$27:$A$44,0)),"TBD"))</f>
        <v/>
      </c>
      <c r="G2625" s="32"/>
      <c r="H2625" s="32"/>
      <c r="I2625" s="32"/>
      <c r="J2625" s="32"/>
      <c r="K2625" s="35"/>
      <c r="L2625" s="32"/>
      <c r="M2625" s="32"/>
    </row>
    <row r="2626" customFormat="false" ht="15" hidden="false" customHeight="true" outlineLevel="0" collapsed="false">
      <c r="A2626" s="32"/>
      <c r="B2626" s="32"/>
      <c r="C2626" s="32"/>
      <c r="D2626" s="32"/>
      <c r="E2626" s="34" t="str">
        <f aca="false">IF($B2626="","",IF($B2626="OUT","Liters",IFERROR(INDEX(Setup!$F$3:$F$24,MATCH($C2626,Setup!$A$3:$A$24,0)),"")))</f>
        <v/>
      </c>
      <c r="F2626" s="28" t="str">
        <f aca="false">IF(OR($D2626="",$E2626=""),"",IFERROR($D2626*INDEX(Setup!$B$27:$B$44,MATCH($E2626,Setup!$A$27:$A$44,0)),"TBD"))</f>
        <v/>
      </c>
      <c r="G2626" s="32"/>
      <c r="H2626" s="32"/>
      <c r="I2626" s="32"/>
      <c r="J2626" s="32"/>
      <c r="K2626" s="35"/>
      <c r="L2626" s="32"/>
      <c r="M2626" s="32"/>
    </row>
    <row r="2627" customFormat="false" ht="15" hidden="false" customHeight="true" outlineLevel="0" collapsed="false">
      <c r="A2627" s="32"/>
      <c r="B2627" s="32"/>
      <c r="C2627" s="32"/>
      <c r="D2627" s="32"/>
      <c r="E2627" s="34" t="str">
        <f aca="false">IF($B2627="","",IF($B2627="OUT","Liters",IFERROR(INDEX(Setup!$F$3:$F$24,MATCH($C2627,Setup!$A$3:$A$24,0)),"")))</f>
        <v/>
      </c>
      <c r="F2627" s="28" t="str">
        <f aca="false">IF(OR($D2627="",$E2627=""),"",IFERROR($D2627*INDEX(Setup!$B$27:$B$44,MATCH($E2627,Setup!$A$27:$A$44,0)),"TBD"))</f>
        <v/>
      </c>
      <c r="G2627" s="32"/>
      <c r="H2627" s="32"/>
      <c r="I2627" s="32"/>
      <c r="J2627" s="32"/>
      <c r="K2627" s="35"/>
      <c r="L2627" s="32"/>
      <c r="M2627" s="32"/>
    </row>
    <row r="2628" customFormat="false" ht="15" hidden="false" customHeight="true" outlineLevel="0" collapsed="false">
      <c r="A2628" s="32"/>
      <c r="B2628" s="32"/>
      <c r="C2628" s="32"/>
      <c r="D2628" s="32"/>
      <c r="E2628" s="34" t="str">
        <f aca="false">IF($B2628="","",IF($B2628="OUT","Liters",IFERROR(INDEX(Setup!$F$3:$F$24,MATCH($C2628,Setup!$A$3:$A$24,0)),"")))</f>
        <v/>
      </c>
      <c r="F2628" s="28" t="str">
        <f aca="false">IF(OR($D2628="",$E2628=""),"",IFERROR($D2628*INDEX(Setup!$B$27:$B$44,MATCH($E2628,Setup!$A$27:$A$44,0)),"TBD"))</f>
        <v/>
      </c>
      <c r="G2628" s="32"/>
      <c r="H2628" s="32"/>
      <c r="I2628" s="32"/>
      <c r="J2628" s="32"/>
      <c r="K2628" s="35"/>
      <c r="L2628" s="32"/>
      <c r="M2628" s="32"/>
    </row>
    <row r="2629" customFormat="false" ht="15" hidden="false" customHeight="true" outlineLevel="0" collapsed="false">
      <c r="A2629" s="32"/>
      <c r="B2629" s="32"/>
      <c r="C2629" s="32"/>
      <c r="D2629" s="32"/>
      <c r="E2629" s="34" t="str">
        <f aca="false">IF($B2629="","",IF($B2629="OUT","Liters",IFERROR(INDEX(Setup!$F$3:$F$24,MATCH($C2629,Setup!$A$3:$A$24,0)),"")))</f>
        <v/>
      </c>
      <c r="F2629" s="28" t="str">
        <f aca="false">IF(OR($D2629="",$E2629=""),"",IFERROR($D2629*INDEX(Setup!$B$27:$B$44,MATCH($E2629,Setup!$A$27:$A$44,0)),"TBD"))</f>
        <v/>
      </c>
      <c r="G2629" s="32"/>
      <c r="H2629" s="32"/>
      <c r="I2629" s="32"/>
      <c r="J2629" s="32"/>
      <c r="K2629" s="35"/>
      <c r="L2629" s="32"/>
      <c r="M2629" s="32"/>
    </row>
    <row r="2630" customFormat="false" ht="15" hidden="false" customHeight="true" outlineLevel="0" collapsed="false">
      <c r="A2630" s="32"/>
      <c r="B2630" s="32"/>
      <c r="C2630" s="32"/>
      <c r="D2630" s="32"/>
      <c r="E2630" s="34" t="str">
        <f aca="false">IF($B2630="","",IF($B2630="OUT","Liters",IFERROR(INDEX(Setup!$F$3:$F$24,MATCH($C2630,Setup!$A$3:$A$24,0)),"")))</f>
        <v/>
      </c>
      <c r="F2630" s="28" t="str">
        <f aca="false">IF(OR($D2630="",$E2630=""),"",IFERROR($D2630*INDEX(Setup!$B$27:$B$44,MATCH($E2630,Setup!$A$27:$A$44,0)),"TBD"))</f>
        <v/>
      </c>
      <c r="G2630" s="32"/>
      <c r="H2630" s="32"/>
      <c r="I2630" s="32"/>
      <c r="J2630" s="32"/>
      <c r="K2630" s="35"/>
      <c r="L2630" s="32"/>
      <c r="M2630" s="32"/>
    </row>
    <row r="2631" customFormat="false" ht="15" hidden="false" customHeight="true" outlineLevel="0" collapsed="false">
      <c r="A2631" s="32"/>
      <c r="B2631" s="32"/>
      <c r="C2631" s="32"/>
      <c r="D2631" s="32"/>
      <c r="E2631" s="34" t="str">
        <f aca="false">IF($B2631="","",IF($B2631="OUT","Liters",IFERROR(INDEX(Setup!$F$3:$F$24,MATCH($C2631,Setup!$A$3:$A$24,0)),"")))</f>
        <v/>
      </c>
      <c r="F2631" s="28" t="str">
        <f aca="false">IF(OR($D2631="",$E2631=""),"",IFERROR($D2631*INDEX(Setup!$B$27:$B$44,MATCH($E2631,Setup!$A$27:$A$44,0)),"TBD"))</f>
        <v/>
      </c>
      <c r="G2631" s="32"/>
      <c r="H2631" s="32"/>
      <c r="I2631" s="32"/>
      <c r="J2631" s="32"/>
      <c r="K2631" s="35"/>
      <c r="L2631" s="32"/>
      <c r="M2631" s="32"/>
    </row>
    <row r="2632" customFormat="false" ht="15" hidden="false" customHeight="true" outlineLevel="0" collapsed="false">
      <c r="A2632" s="32"/>
      <c r="B2632" s="32"/>
      <c r="C2632" s="32"/>
      <c r="D2632" s="32"/>
      <c r="E2632" s="34" t="str">
        <f aca="false">IF($B2632="","",IF($B2632="OUT","Liters",IFERROR(INDEX(Setup!$F$3:$F$24,MATCH($C2632,Setup!$A$3:$A$24,0)),"")))</f>
        <v/>
      </c>
      <c r="F2632" s="28" t="str">
        <f aca="false">IF(OR($D2632="",$E2632=""),"",IFERROR($D2632*INDEX(Setup!$B$27:$B$44,MATCH($E2632,Setup!$A$27:$A$44,0)),"TBD"))</f>
        <v/>
      </c>
      <c r="G2632" s="32"/>
      <c r="H2632" s="32"/>
      <c r="I2632" s="32"/>
      <c r="J2632" s="32"/>
      <c r="K2632" s="35"/>
      <c r="L2632" s="32"/>
      <c r="M2632" s="32"/>
    </row>
    <row r="2633" customFormat="false" ht="15" hidden="false" customHeight="true" outlineLevel="0" collapsed="false">
      <c r="A2633" s="32"/>
      <c r="B2633" s="32"/>
      <c r="C2633" s="32"/>
      <c r="D2633" s="32"/>
      <c r="E2633" s="34" t="str">
        <f aca="false">IF($B2633="","",IF($B2633="OUT","Liters",IFERROR(INDEX(Setup!$F$3:$F$24,MATCH($C2633,Setup!$A$3:$A$24,0)),"")))</f>
        <v/>
      </c>
      <c r="F2633" s="28" t="str">
        <f aca="false">IF(OR($D2633="",$E2633=""),"",IFERROR($D2633*INDEX(Setup!$B$27:$B$44,MATCH($E2633,Setup!$A$27:$A$44,0)),"TBD"))</f>
        <v/>
      </c>
      <c r="G2633" s="32"/>
      <c r="H2633" s="32"/>
      <c r="I2633" s="32"/>
      <c r="J2633" s="32"/>
      <c r="K2633" s="35"/>
      <c r="L2633" s="32"/>
      <c r="M2633" s="32"/>
    </row>
    <row r="2634" customFormat="false" ht="15" hidden="false" customHeight="true" outlineLevel="0" collapsed="false">
      <c r="A2634" s="32"/>
      <c r="B2634" s="32"/>
      <c r="C2634" s="32"/>
      <c r="D2634" s="32"/>
      <c r="E2634" s="34" t="str">
        <f aca="false">IF($B2634="","",IF($B2634="OUT","Liters",IFERROR(INDEX(Setup!$F$3:$F$24,MATCH($C2634,Setup!$A$3:$A$24,0)),"")))</f>
        <v/>
      </c>
      <c r="F2634" s="28" t="str">
        <f aca="false">IF(OR($D2634="",$E2634=""),"",IFERROR($D2634*INDEX(Setup!$B$27:$B$44,MATCH($E2634,Setup!$A$27:$A$44,0)),"TBD"))</f>
        <v/>
      </c>
      <c r="G2634" s="32"/>
      <c r="H2634" s="32"/>
      <c r="I2634" s="32"/>
      <c r="J2634" s="32"/>
      <c r="K2634" s="35"/>
      <c r="L2634" s="32"/>
      <c r="M2634" s="32"/>
    </row>
    <row r="2635" customFormat="false" ht="15" hidden="false" customHeight="true" outlineLevel="0" collapsed="false">
      <c r="A2635" s="32"/>
      <c r="B2635" s="32"/>
      <c r="C2635" s="32"/>
      <c r="D2635" s="32"/>
      <c r="E2635" s="34" t="str">
        <f aca="false">IF($B2635="","",IF($B2635="OUT","Liters",IFERROR(INDEX(Setup!$F$3:$F$24,MATCH($C2635,Setup!$A$3:$A$24,0)),"")))</f>
        <v/>
      </c>
      <c r="F2635" s="28" t="str">
        <f aca="false">IF(OR($D2635="",$E2635=""),"",IFERROR($D2635*INDEX(Setup!$B$27:$B$44,MATCH($E2635,Setup!$A$27:$A$44,0)),"TBD"))</f>
        <v/>
      </c>
      <c r="G2635" s="32"/>
      <c r="H2635" s="32"/>
      <c r="I2635" s="32"/>
      <c r="J2635" s="32"/>
      <c r="K2635" s="35"/>
      <c r="L2635" s="32"/>
      <c r="M2635" s="32"/>
    </row>
    <row r="2636" customFormat="false" ht="15" hidden="false" customHeight="true" outlineLevel="0" collapsed="false">
      <c r="A2636" s="32"/>
      <c r="B2636" s="32"/>
      <c r="C2636" s="32"/>
      <c r="D2636" s="32"/>
      <c r="E2636" s="34" t="str">
        <f aca="false">IF($B2636="","",IF($B2636="OUT","Liters",IFERROR(INDEX(Setup!$F$3:$F$24,MATCH($C2636,Setup!$A$3:$A$24,0)),"")))</f>
        <v/>
      </c>
      <c r="F2636" s="28" t="str">
        <f aca="false">IF(OR($D2636="",$E2636=""),"",IFERROR($D2636*INDEX(Setup!$B$27:$B$44,MATCH($E2636,Setup!$A$27:$A$44,0)),"TBD"))</f>
        <v/>
      </c>
      <c r="G2636" s="32"/>
      <c r="H2636" s="32"/>
      <c r="I2636" s="32"/>
      <c r="J2636" s="32"/>
      <c r="K2636" s="35"/>
      <c r="L2636" s="32"/>
      <c r="M2636" s="32"/>
    </row>
    <row r="2637" customFormat="false" ht="15" hidden="false" customHeight="true" outlineLevel="0" collapsed="false">
      <c r="A2637" s="32"/>
      <c r="B2637" s="32"/>
      <c r="C2637" s="32"/>
      <c r="D2637" s="32"/>
      <c r="E2637" s="34" t="str">
        <f aca="false">IF($B2637="","",IF($B2637="OUT","Liters",IFERROR(INDEX(Setup!$F$3:$F$24,MATCH($C2637,Setup!$A$3:$A$24,0)),"")))</f>
        <v/>
      </c>
      <c r="F2637" s="28" t="str">
        <f aca="false">IF(OR($D2637="",$E2637=""),"",IFERROR($D2637*INDEX(Setup!$B$27:$B$44,MATCH($E2637,Setup!$A$27:$A$44,0)),"TBD"))</f>
        <v/>
      </c>
      <c r="G2637" s="32"/>
      <c r="H2637" s="32"/>
      <c r="I2637" s="32"/>
      <c r="J2637" s="32"/>
      <c r="K2637" s="35"/>
      <c r="L2637" s="32"/>
      <c r="M2637" s="32"/>
    </row>
    <row r="2638" customFormat="false" ht="15" hidden="false" customHeight="true" outlineLevel="0" collapsed="false">
      <c r="A2638" s="32"/>
      <c r="B2638" s="32"/>
      <c r="C2638" s="32"/>
      <c r="D2638" s="32"/>
      <c r="E2638" s="34" t="str">
        <f aca="false">IF($B2638="","",IF($B2638="OUT","Liters",IFERROR(INDEX(Setup!$F$3:$F$24,MATCH($C2638,Setup!$A$3:$A$24,0)),"")))</f>
        <v/>
      </c>
      <c r="F2638" s="28" t="str">
        <f aca="false">IF(OR($D2638="",$E2638=""),"",IFERROR($D2638*INDEX(Setup!$B$27:$B$44,MATCH($E2638,Setup!$A$27:$A$44,0)),"TBD"))</f>
        <v/>
      </c>
      <c r="G2638" s="32"/>
      <c r="H2638" s="32"/>
      <c r="I2638" s="32"/>
      <c r="J2638" s="32"/>
      <c r="K2638" s="35"/>
      <c r="L2638" s="32"/>
      <c r="M2638" s="32"/>
    </row>
    <row r="2639" customFormat="false" ht="15" hidden="false" customHeight="true" outlineLevel="0" collapsed="false">
      <c r="A2639" s="32"/>
      <c r="B2639" s="32"/>
      <c r="C2639" s="32"/>
      <c r="D2639" s="32"/>
      <c r="E2639" s="34" t="str">
        <f aca="false">IF($B2639="","",IF($B2639="OUT","Liters",IFERROR(INDEX(Setup!$F$3:$F$24,MATCH($C2639,Setup!$A$3:$A$24,0)),"")))</f>
        <v/>
      </c>
      <c r="F2639" s="28" t="str">
        <f aca="false">IF(OR($D2639="",$E2639=""),"",IFERROR($D2639*INDEX(Setup!$B$27:$B$44,MATCH($E2639,Setup!$A$27:$A$44,0)),"TBD"))</f>
        <v/>
      </c>
      <c r="G2639" s="32"/>
      <c r="H2639" s="32"/>
      <c r="I2639" s="32"/>
      <c r="J2639" s="32"/>
      <c r="K2639" s="35"/>
      <c r="L2639" s="32"/>
      <c r="M2639" s="32"/>
    </row>
    <row r="2640" customFormat="false" ht="15" hidden="false" customHeight="true" outlineLevel="0" collapsed="false">
      <c r="A2640" s="32"/>
      <c r="B2640" s="32"/>
      <c r="C2640" s="32"/>
      <c r="D2640" s="32"/>
      <c r="E2640" s="34" t="str">
        <f aca="false">IF($B2640="","",IF($B2640="OUT","Liters",IFERROR(INDEX(Setup!$F$3:$F$24,MATCH($C2640,Setup!$A$3:$A$24,0)),"")))</f>
        <v/>
      </c>
      <c r="F2640" s="28" t="str">
        <f aca="false">IF(OR($D2640="",$E2640=""),"",IFERROR($D2640*INDEX(Setup!$B$27:$B$44,MATCH($E2640,Setup!$A$27:$A$44,0)),"TBD"))</f>
        <v/>
      </c>
      <c r="G2640" s="32"/>
      <c r="H2640" s="32"/>
      <c r="I2640" s="32"/>
      <c r="J2640" s="32"/>
      <c r="K2640" s="35"/>
      <c r="L2640" s="32"/>
      <c r="M2640" s="32"/>
    </row>
    <row r="2641" customFormat="false" ht="15" hidden="false" customHeight="true" outlineLevel="0" collapsed="false">
      <c r="A2641" s="32"/>
      <c r="B2641" s="32"/>
      <c r="C2641" s="32"/>
      <c r="D2641" s="32"/>
      <c r="E2641" s="34" t="str">
        <f aca="false">IF($B2641="","",IF($B2641="OUT","Liters",IFERROR(INDEX(Setup!$F$3:$F$24,MATCH($C2641,Setup!$A$3:$A$24,0)),"")))</f>
        <v/>
      </c>
      <c r="F2641" s="28" t="str">
        <f aca="false">IF(OR($D2641="",$E2641=""),"",IFERROR($D2641*INDEX(Setup!$B$27:$B$44,MATCH($E2641,Setup!$A$27:$A$44,0)),"TBD"))</f>
        <v/>
      </c>
      <c r="G2641" s="32"/>
      <c r="H2641" s="32"/>
      <c r="I2641" s="32"/>
      <c r="J2641" s="32"/>
      <c r="K2641" s="35"/>
      <c r="L2641" s="32"/>
      <c r="M2641" s="32"/>
    </row>
    <row r="2642" customFormat="false" ht="15" hidden="false" customHeight="true" outlineLevel="0" collapsed="false">
      <c r="A2642" s="32"/>
      <c r="B2642" s="32"/>
      <c r="C2642" s="32"/>
      <c r="D2642" s="32"/>
      <c r="E2642" s="34" t="str">
        <f aca="false">IF($B2642="","",IF($B2642="OUT","Liters",IFERROR(INDEX(Setup!$F$3:$F$24,MATCH($C2642,Setup!$A$3:$A$24,0)),"")))</f>
        <v/>
      </c>
      <c r="F2642" s="28" t="str">
        <f aca="false">IF(OR($D2642="",$E2642=""),"",IFERROR($D2642*INDEX(Setup!$B$27:$B$44,MATCH($E2642,Setup!$A$27:$A$44,0)),"TBD"))</f>
        <v/>
      </c>
      <c r="G2642" s="32"/>
      <c r="H2642" s="32"/>
      <c r="I2642" s="32"/>
      <c r="J2642" s="32"/>
      <c r="K2642" s="35"/>
      <c r="L2642" s="32"/>
      <c r="M2642" s="32"/>
    </row>
    <row r="2643" customFormat="false" ht="15" hidden="false" customHeight="true" outlineLevel="0" collapsed="false">
      <c r="A2643" s="32"/>
      <c r="B2643" s="32"/>
      <c r="C2643" s="32"/>
      <c r="D2643" s="32"/>
      <c r="E2643" s="34" t="str">
        <f aca="false">IF($B2643="","",IF($B2643="OUT","Liters",IFERROR(INDEX(Setup!$F$3:$F$24,MATCH($C2643,Setup!$A$3:$A$24,0)),"")))</f>
        <v/>
      </c>
      <c r="F2643" s="28" t="str">
        <f aca="false">IF(OR($D2643="",$E2643=""),"",IFERROR($D2643*INDEX(Setup!$B$27:$B$44,MATCH($E2643,Setup!$A$27:$A$44,0)),"TBD"))</f>
        <v/>
      </c>
      <c r="G2643" s="32"/>
      <c r="H2643" s="32"/>
      <c r="I2643" s="32"/>
      <c r="J2643" s="32"/>
      <c r="K2643" s="35"/>
      <c r="L2643" s="32"/>
      <c r="M2643" s="32"/>
    </row>
    <row r="2644" customFormat="false" ht="15" hidden="false" customHeight="true" outlineLevel="0" collapsed="false">
      <c r="A2644" s="32"/>
      <c r="B2644" s="32"/>
      <c r="C2644" s="32"/>
      <c r="D2644" s="32"/>
      <c r="E2644" s="34" t="str">
        <f aca="false">IF($B2644="","",IF($B2644="OUT","Liters",IFERROR(INDEX(Setup!$F$3:$F$24,MATCH($C2644,Setup!$A$3:$A$24,0)),"")))</f>
        <v/>
      </c>
      <c r="F2644" s="28" t="str">
        <f aca="false">IF(OR($D2644="",$E2644=""),"",IFERROR($D2644*INDEX(Setup!$B$27:$B$44,MATCH($E2644,Setup!$A$27:$A$44,0)),"TBD"))</f>
        <v/>
      </c>
      <c r="G2644" s="32"/>
      <c r="H2644" s="32"/>
      <c r="I2644" s="32"/>
      <c r="J2644" s="32"/>
      <c r="K2644" s="35"/>
      <c r="L2644" s="32"/>
      <c r="M2644" s="32"/>
    </row>
    <row r="2645" customFormat="false" ht="15" hidden="false" customHeight="true" outlineLevel="0" collapsed="false">
      <c r="A2645" s="32"/>
      <c r="B2645" s="32"/>
      <c r="C2645" s="32"/>
      <c r="D2645" s="32"/>
      <c r="E2645" s="34" t="str">
        <f aca="false">IF($B2645="","",IF($B2645="OUT","Liters",IFERROR(INDEX(Setup!$F$3:$F$24,MATCH($C2645,Setup!$A$3:$A$24,0)),"")))</f>
        <v/>
      </c>
      <c r="F2645" s="28" t="str">
        <f aca="false">IF(OR($D2645="",$E2645=""),"",IFERROR($D2645*INDEX(Setup!$B$27:$B$44,MATCH($E2645,Setup!$A$27:$A$44,0)),"TBD"))</f>
        <v/>
      </c>
      <c r="G2645" s="32"/>
      <c r="H2645" s="32"/>
      <c r="I2645" s="32"/>
      <c r="J2645" s="32"/>
      <c r="K2645" s="35"/>
      <c r="L2645" s="32"/>
      <c r="M2645" s="32"/>
    </row>
    <row r="2646" customFormat="false" ht="15" hidden="false" customHeight="true" outlineLevel="0" collapsed="false">
      <c r="A2646" s="32"/>
      <c r="B2646" s="32"/>
      <c r="C2646" s="32"/>
      <c r="D2646" s="32"/>
      <c r="E2646" s="34" t="str">
        <f aca="false">IF($B2646="","",IF($B2646="OUT","Liters",IFERROR(INDEX(Setup!$F$3:$F$24,MATCH($C2646,Setup!$A$3:$A$24,0)),"")))</f>
        <v/>
      </c>
      <c r="F2646" s="28" t="str">
        <f aca="false">IF(OR($D2646="",$E2646=""),"",IFERROR($D2646*INDEX(Setup!$B$27:$B$44,MATCH($E2646,Setup!$A$27:$A$44,0)),"TBD"))</f>
        <v/>
      </c>
      <c r="G2646" s="32"/>
      <c r="H2646" s="32"/>
      <c r="I2646" s="32"/>
      <c r="J2646" s="32"/>
      <c r="K2646" s="35"/>
      <c r="L2646" s="32"/>
      <c r="M2646" s="32"/>
    </row>
    <row r="2647" customFormat="false" ht="15" hidden="false" customHeight="true" outlineLevel="0" collapsed="false">
      <c r="A2647" s="32"/>
      <c r="B2647" s="32"/>
      <c r="C2647" s="32"/>
      <c r="D2647" s="32"/>
      <c r="E2647" s="34" t="str">
        <f aca="false">IF($B2647="","",IF($B2647="OUT","Liters",IFERROR(INDEX(Setup!$F$3:$F$24,MATCH($C2647,Setup!$A$3:$A$24,0)),"")))</f>
        <v/>
      </c>
      <c r="F2647" s="28" t="str">
        <f aca="false">IF(OR($D2647="",$E2647=""),"",IFERROR($D2647*INDEX(Setup!$B$27:$B$44,MATCH($E2647,Setup!$A$27:$A$44,0)),"TBD"))</f>
        <v/>
      </c>
      <c r="G2647" s="32"/>
      <c r="H2647" s="32"/>
      <c r="I2647" s="32"/>
      <c r="J2647" s="32"/>
      <c r="K2647" s="35"/>
      <c r="L2647" s="32"/>
      <c r="M2647" s="32"/>
    </row>
    <row r="2648" customFormat="false" ht="15" hidden="false" customHeight="true" outlineLevel="0" collapsed="false">
      <c r="A2648" s="32"/>
      <c r="B2648" s="32"/>
      <c r="C2648" s="32"/>
      <c r="D2648" s="32"/>
      <c r="E2648" s="34" t="str">
        <f aca="false">IF($B2648="","",IF($B2648="OUT","Liters",IFERROR(INDEX(Setup!$F$3:$F$24,MATCH($C2648,Setup!$A$3:$A$24,0)),"")))</f>
        <v/>
      </c>
      <c r="F2648" s="28" t="str">
        <f aca="false">IF(OR($D2648="",$E2648=""),"",IFERROR($D2648*INDEX(Setup!$B$27:$B$44,MATCH($E2648,Setup!$A$27:$A$44,0)),"TBD"))</f>
        <v/>
      </c>
      <c r="G2648" s="32"/>
      <c r="H2648" s="32"/>
      <c r="I2648" s="32"/>
      <c r="J2648" s="32"/>
      <c r="K2648" s="35"/>
      <c r="L2648" s="32"/>
      <c r="M2648" s="32"/>
    </row>
    <row r="2649" customFormat="false" ht="15" hidden="false" customHeight="true" outlineLevel="0" collapsed="false">
      <c r="A2649" s="32"/>
      <c r="B2649" s="32"/>
      <c r="C2649" s="32"/>
      <c r="D2649" s="32"/>
      <c r="E2649" s="34" t="str">
        <f aca="false">IF($B2649="","",IF($B2649="OUT","Liters",IFERROR(INDEX(Setup!$F$3:$F$24,MATCH($C2649,Setup!$A$3:$A$24,0)),"")))</f>
        <v/>
      </c>
      <c r="F2649" s="28" t="str">
        <f aca="false">IF(OR($D2649="",$E2649=""),"",IFERROR($D2649*INDEX(Setup!$B$27:$B$44,MATCH($E2649,Setup!$A$27:$A$44,0)),"TBD"))</f>
        <v/>
      </c>
      <c r="G2649" s="32"/>
      <c r="H2649" s="32"/>
      <c r="I2649" s="32"/>
      <c r="J2649" s="32"/>
      <c r="K2649" s="35"/>
      <c r="L2649" s="32"/>
      <c r="M2649" s="32"/>
    </row>
    <row r="2650" customFormat="false" ht="15" hidden="false" customHeight="true" outlineLevel="0" collapsed="false">
      <c r="A2650" s="32"/>
      <c r="B2650" s="32"/>
      <c r="C2650" s="32"/>
      <c r="D2650" s="32"/>
      <c r="E2650" s="34" t="str">
        <f aca="false">IF($B2650="","",IF($B2650="OUT","Liters",IFERROR(INDEX(Setup!$F$3:$F$24,MATCH($C2650,Setup!$A$3:$A$24,0)),"")))</f>
        <v/>
      </c>
      <c r="F2650" s="28" t="str">
        <f aca="false">IF(OR($D2650="",$E2650=""),"",IFERROR($D2650*INDEX(Setup!$B$27:$B$44,MATCH($E2650,Setup!$A$27:$A$44,0)),"TBD"))</f>
        <v/>
      </c>
      <c r="G2650" s="32"/>
      <c r="H2650" s="32"/>
      <c r="I2650" s="32"/>
      <c r="J2650" s="32"/>
      <c r="K2650" s="35"/>
      <c r="L2650" s="32"/>
      <c r="M2650" s="32"/>
    </row>
    <row r="2651" customFormat="false" ht="15" hidden="false" customHeight="true" outlineLevel="0" collapsed="false">
      <c r="A2651" s="32"/>
      <c r="B2651" s="32"/>
      <c r="C2651" s="32"/>
      <c r="D2651" s="32"/>
      <c r="E2651" s="34" t="str">
        <f aca="false">IF($B2651="","",IF($B2651="OUT","Liters",IFERROR(INDEX(Setup!$F$3:$F$24,MATCH($C2651,Setup!$A$3:$A$24,0)),"")))</f>
        <v/>
      </c>
      <c r="F2651" s="28" t="str">
        <f aca="false">IF(OR($D2651="",$E2651=""),"",IFERROR($D2651*INDEX(Setup!$B$27:$B$44,MATCH($E2651,Setup!$A$27:$A$44,0)),"TBD"))</f>
        <v/>
      </c>
      <c r="G2651" s="32"/>
      <c r="H2651" s="32"/>
      <c r="I2651" s="32"/>
      <c r="J2651" s="32"/>
      <c r="K2651" s="35"/>
      <c r="L2651" s="32"/>
      <c r="M2651" s="32"/>
    </row>
    <row r="2652" customFormat="false" ht="15" hidden="false" customHeight="true" outlineLevel="0" collapsed="false">
      <c r="A2652" s="32"/>
      <c r="B2652" s="32"/>
      <c r="C2652" s="32"/>
      <c r="D2652" s="32"/>
      <c r="E2652" s="34" t="str">
        <f aca="false">IF($B2652="","",IF($B2652="OUT","Liters",IFERROR(INDEX(Setup!$F$3:$F$24,MATCH($C2652,Setup!$A$3:$A$24,0)),"")))</f>
        <v/>
      </c>
      <c r="F2652" s="28" t="str">
        <f aca="false">IF(OR($D2652="",$E2652=""),"",IFERROR($D2652*INDEX(Setup!$B$27:$B$44,MATCH($E2652,Setup!$A$27:$A$44,0)),"TBD"))</f>
        <v/>
      </c>
      <c r="G2652" s="32"/>
      <c r="H2652" s="32"/>
      <c r="I2652" s="32"/>
      <c r="J2652" s="32"/>
      <c r="K2652" s="35"/>
      <c r="L2652" s="32"/>
      <c r="M2652" s="32"/>
    </row>
    <row r="2653" customFormat="false" ht="15" hidden="false" customHeight="true" outlineLevel="0" collapsed="false">
      <c r="A2653" s="32"/>
      <c r="B2653" s="32"/>
      <c r="C2653" s="32"/>
      <c r="D2653" s="32"/>
      <c r="E2653" s="34" t="str">
        <f aca="false">IF($B2653="","",IF($B2653="OUT","Liters",IFERROR(INDEX(Setup!$F$3:$F$24,MATCH($C2653,Setup!$A$3:$A$24,0)),"")))</f>
        <v/>
      </c>
      <c r="F2653" s="28" t="str">
        <f aca="false">IF(OR($D2653="",$E2653=""),"",IFERROR($D2653*INDEX(Setup!$B$27:$B$44,MATCH($E2653,Setup!$A$27:$A$44,0)),"TBD"))</f>
        <v/>
      </c>
      <c r="G2653" s="32"/>
      <c r="H2653" s="32"/>
      <c r="I2653" s="32"/>
      <c r="J2653" s="32"/>
      <c r="K2653" s="35"/>
      <c r="L2653" s="32"/>
      <c r="M2653" s="32"/>
    </row>
    <row r="2654" customFormat="false" ht="15" hidden="false" customHeight="true" outlineLevel="0" collapsed="false">
      <c r="A2654" s="32"/>
      <c r="B2654" s="32"/>
      <c r="C2654" s="32"/>
      <c r="D2654" s="32"/>
      <c r="E2654" s="34" t="str">
        <f aca="false">IF($B2654="","",IF($B2654="OUT","Liters",IFERROR(INDEX(Setup!$F$3:$F$24,MATCH($C2654,Setup!$A$3:$A$24,0)),"")))</f>
        <v/>
      </c>
      <c r="F2654" s="28" t="str">
        <f aca="false">IF(OR($D2654="",$E2654=""),"",IFERROR($D2654*INDEX(Setup!$B$27:$B$44,MATCH($E2654,Setup!$A$27:$A$44,0)),"TBD"))</f>
        <v/>
      </c>
      <c r="G2654" s="32"/>
      <c r="H2654" s="32"/>
      <c r="I2654" s="32"/>
      <c r="J2654" s="32"/>
      <c r="K2654" s="35"/>
      <c r="L2654" s="32"/>
      <c r="M2654" s="32"/>
    </row>
    <row r="2655" customFormat="false" ht="15" hidden="false" customHeight="true" outlineLevel="0" collapsed="false">
      <c r="A2655" s="32"/>
      <c r="B2655" s="32"/>
      <c r="C2655" s="32"/>
      <c r="D2655" s="32"/>
      <c r="E2655" s="34" t="str">
        <f aca="false">IF($B2655="","",IF($B2655="OUT","Liters",IFERROR(INDEX(Setup!$F$3:$F$24,MATCH($C2655,Setup!$A$3:$A$24,0)),"")))</f>
        <v/>
      </c>
      <c r="F2655" s="28" t="str">
        <f aca="false">IF(OR($D2655="",$E2655=""),"",IFERROR($D2655*INDEX(Setup!$B$27:$B$44,MATCH($E2655,Setup!$A$27:$A$44,0)),"TBD"))</f>
        <v/>
      </c>
      <c r="G2655" s="32"/>
      <c r="H2655" s="32"/>
      <c r="I2655" s="32"/>
      <c r="J2655" s="32"/>
      <c r="K2655" s="35"/>
      <c r="L2655" s="32"/>
      <c r="M2655" s="32"/>
    </row>
    <row r="2656" customFormat="false" ht="15" hidden="false" customHeight="true" outlineLevel="0" collapsed="false">
      <c r="A2656" s="32"/>
      <c r="B2656" s="32"/>
      <c r="C2656" s="32"/>
      <c r="D2656" s="32"/>
      <c r="E2656" s="34" t="str">
        <f aca="false">IF($B2656="","",IF($B2656="OUT","Liters",IFERROR(INDEX(Setup!$F$3:$F$24,MATCH($C2656,Setup!$A$3:$A$24,0)),"")))</f>
        <v/>
      </c>
      <c r="F2656" s="28" t="str">
        <f aca="false">IF(OR($D2656="",$E2656=""),"",IFERROR($D2656*INDEX(Setup!$B$27:$B$44,MATCH($E2656,Setup!$A$27:$A$44,0)),"TBD"))</f>
        <v/>
      </c>
      <c r="G2656" s="32"/>
      <c r="H2656" s="32"/>
      <c r="I2656" s="32"/>
      <c r="J2656" s="32"/>
      <c r="K2656" s="35"/>
      <c r="L2656" s="32"/>
      <c r="M2656" s="32"/>
    </row>
    <row r="2657" customFormat="false" ht="15" hidden="false" customHeight="true" outlineLevel="0" collapsed="false">
      <c r="A2657" s="32"/>
      <c r="B2657" s="32"/>
      <c r="C2657" s="32"/>
      <c r="D2657" s="32"/>
      <c r="E2657" s="34" t="str">
        <f aca="false">IF($B2657="","",IF($B2657="OUT","Liters",IFERROR(INDEX(Setup!$F$3:$F$24,MATCH($C2657,Setup!$A$3:$A$24,0)),"")))</f>
        <v/>
      </c>
      <c r="F2657" s="28" t="str">
        <f aca="false">IF(OR($D2657="",$E2657=""),"",IFERROR($D2657*INDEX(Setup!$B$27:$B$44,MATCH($E2657,Setup!$A$27:$A$44,0)),"TBD"))</f>
        <v/>
      </c>
      <c r="G2657" s="32"/>
      <c r="H2657" s="32"/>
      <c r="I2657" s="32"/>
      <c r="J2657" s="32"/>
      <c r="K2657" s="35"/>
      <c r="L2657" s="32"/>
      <c r="M2657" s="32"/>
    </row>
    <row r="2658" customFormat="false" ht="15" hidden="false" customHeight="true" outlineLevel="0" collapsed="false">
      <c r="A2658" s="32"/>
      <c r="B2658" s="32"/>
      <c r="C2658" s="32"/>
      <c r="D2658" s="32"/>
      <c r="E2658" s="34" t="str">
        <f aca="false">IF($B2658="","",IF($B2658="OUT","Liters",IFERROR(INDEX(Setup!$F$3:$F$24,MATCH($C2658,Setup!$A$3:$A$24,0)),"")))</f>
        <v/>
      </c>
      <c r="F2658" s="28" t="str">
        <f aca="false">IF(OR($D2658="",$E2658=""),"",IFERROR($D2658*INDEX(Setup!$B$27:$B$44,MATCH($E2658,Setup!$A$27:$A$44,0)),"TBD"))</f>
        <v/>
      </c>
      <c r="G2658" s="32"/>
      <c r="H2658" s="32"/>
      <c r="I2658" s="32"/>
      <c r="J2658" s="32"/>
      <c r="K2658" s="35"/>
      <c r="L2658" s="32"/>
      <c r="M2658" s="32"/>
    </row>
    <row r="2659" customFormat="false" ht="15" hidden="false" customHeight="true" outlineLevel="0" collapsed="false">
      <c r="A2659" s="32"/>
      <c r="B2659" s="32"/>
      <c r="C2659" s="32"/>
      <c r="D2659" s="32"/>
      <c r="E2659" s="34" t="str">
        <f aca="false">IF($B2659="","",IF($B2659="OUT","Liters",IFERROR(INDEX(Setup!$F$3:$F$24,MATCH($C2659,Setup!$A$3:$A$24,0)),"")))</f>
        <v/>
      </c>
      <c r="F2659" s="28" t="str">
        <f aca="false">IF(OR($D2659="",$E2659=""),"",IFERROR($D2659*INDEX(Setup!$B$27:$B$44,MATCH($E2659,Setup!$A$27:$A$44,0)),"TBD"))</f>
        <v/>
      </c>
      <c r="G2659" s="32"/>
      <c r="H2659" s="32"/>
      <c r="I2659" s="32"/>
      <c r="J2659" s="32"/>
      <c r="K2659" s="35"/>
      <c r="L2659" s="32"/>
      <c r="M2659" s="32"/>
    </row>
    <row r="2660" customFormat="false" ht="15" hidden="false" customHeight="true" outlineLevel="0" collapsed="false">
      <c r="A2660" s="32"/>
      <c r="B2660" s="32"/>
      <c r="C2660" s="32"/>
      <c r="D2660" s="32"/>
      <c r="E2660" s="34" t="str">
        <f aca="false">IF($B2660="","",IF($B2660="OUT","Liters",IFERROR(INDEX(Setup!$F$3:$F$24,MATCH($C2660,Setup!$A$3:$A$24,0)),"")))</f>
        <v/>
      </c>
      <c r="F2660" s="28" t="str">
        <f aca="false">IF(OR($D2660="",$E2660=""),"",IFERROR($D2660*INDEX(Setup!$B$27:$B$44,MATCH($E2660,Setup!$A$27:$A$44,0)),"TBD"))</f>
        <v/>
      </c>
      <c r="G2660" s="32"/>
      <c r="H2660" s="32"/>
      <c r="I2660" s="32"/>
      <c r="J2660" s="32"/>
      <c r="K2660" s="35"/>
      <c r="L2660" s="32"/>
      <c r="M2660" s="32"/>
    </row>
    <row r="2661" customFormat="false" ht="15" hidden="false" customHeight="true" outlineLevel="0" collapsed="false">
      <c r="A2661" s="32"/>
      <c r="B2661" s="32"/>
      <c r="C2661" s="32"/>
      <c r="D2661" s="32"/>
      <c r="E2661" s="34" t="str">
        <f aca="false">IF($B2661="","",IF($B2661="OUT","Liters",IFERROR(INDEX(Setup!$F$3:$F$24,MATCH($C2661,Setup!$A$3:$A$24,0)),"")))</f>
        <v/>
      </c>
      <c r="F2661" s="28" t="str">
        <f aca="false">IF(OR($D2661="",$E2661=""),"",IFERROR($D2661*INDEX(Setup!$B$27:$B$44,MATCH($E2661,Setup!$A$27:$A$44,0)),"TBD"))</f>
        <v/>
      </c>
      <c r="G2661" s="32"/>
      <c r="H2661" s="32"/>
      <c r="I2661" s="32"/>
      <c r="J2661" s="32"/>
      <c r="K2661" s="35"/>
      <c r="L2661" s="32"/>
      <c r="M2661" s="32"/>
    </row>
    <row r="2662" customFormat="false" ht="15" hidden="false" customHeight="true" outlineLevel="0" collapsed="false">
      <c r="A2662" s="32"/>
      <c r="B2662" s="32"/>
      <c r="C2662" s="32"/>
      <c r="D2662" s="32"/>
      <c r="E2662" s="34" t="str">
        <f aca="false">IF($B2662="","",IF($B2662="OUT","Liters",IFERROR(INDEX(Setup!$F$3:$F$24,MATCH($C2662,Setup!$A$3:$A$24,0)),"")))</f>
        <v/>
      </c>
      <c r="F2662" s="28" t="str">
        <f aca="false">IF(OR($D2662="",$E2662=""),"",IFERROR($D2662*INDEX(Setup!$B$27:$B$44,MATCH($E2662,Setup!$A$27:$A$44,0)),"TBD"))</f>
        <v/>
      </c>
      <c r="G2662" s="32"/>
      <c r="H2662" s="32"/>
      <c r="I2662" s="32"/>
      <c r="J2662" s="32"/>
      <c r="K2662" s="35"/>
      <c r="L2662" s="32"/>
      <c r="M2662" s="32"/>
    </row>
    <row r="2663" customFormat="false" ht="15" hidden="false" customHeight="true" outlineLevel="0" collapsed="false">
      <c r="A2663" s="32"/>
      <c r="B2663" s="32"/>
      <c r="C2663" s="32"/>
      <c r="D2663" s="32"/>
      <c r="E2663" s="34" t="str">
        <f aca="false">IF($B2663="","",IF($B2663="OUT","Liters",IFERROR(INDEX(Setup!$F$3:$F$24,MATCH($C2663,Setup!$A$3:$A$24,0)),"")))</f>
        <v/>
      </c>
      <c r="F2663" s="28" t="str">
        <f aca="false">IF(OR($D2663="",$E2663=""),"",IFERROR($D2663*INDEX(Setup!$B$27:$B$44,MATCH($E2663,Setup!$A$27:$A$44,0)),"TBD"))</f>
        <v/>
      </c>
      <c r="G2663" s="32"/>
      <c r="H2663" s="32"/>
      <c r="I2663" s="32"/>
      <c r="J2663" s="32"/>
      <c r="K2663" s="35"/>
      <c r="L2663" s="32"/>
      <c r="M2663" s="32"/>
    </row>
    <row r="2664" customFormat="false" ht="15" hidden="false" customHeight="true" outlineLevel="0" collapsed="false">
      <c r="A2664" s="32"/>
      <c r="B2664" s="32"/>
      <c r="C2664" s="32"/>
      <c r="D2664" s="32"/>
      <c r="E2664" s="34" t="str">
        <f aca="false">IF($B2664="","",IF($B2664="OUT","Liters",IFERROR(INDEX(Setup!$F$3:$F$24,MATCH($C2664,Setup!$A$3:$A$24,0)),"")))</f>
        <v/>
      </c>
      <c r="F2664" s="28" t="str">
        <f aca="false">IF(OR($D2664="",$E2664=""),"",IFERROR($D2664*INDEX(Setup!$B$27:$B$44,MATCH($E2664,Setup!$A$27:$A$44,0)),"TBD"))</f>
        <v/>
      </c>
      <c r="G2664" s="32"/>
      <c r="H2664" s="32"/>
      <c r="I2664" s="32"/>
      <c r="J2664" s="32"/>
      <c r="K2664" s="35"/>
      <c r="L2664" s="32"/>
      <c r="M2664" s="32"/>
    </row>
    <row r="2665" customFormat="false" ht="15" hidden="false" customHeight="true" outlineLevel="0" collapsed="false">
      <c r="A2665" s="32"/>
      <c r="B2665" s="32"/>
      <c r="C2665" s="32"/>
      <c r="D2665" s="32"/>
      <c r="E2665" s="34" t="str">
        <f aca="false">IF($B2665="","",IF($B2665="OUT","Liters",IFERROR(INDEX(Setup!$F$3:$F$24,MATCH($C2665,Setup!$A$3:$A$24,0)),"")))</f>
        <v/>
      </c>
      <c r="F2665" s="28" t="str">
        <f aca="false">IF(OR($D2665="",$E2665=""),"",IFERROR($D2665*INDEX(Setup!$B$27:$B$44,MATCH($E2665,Setup!$A$27:$A$44,0)),"TBD"))</f>
        <v/>
      </c>
      <c r="G2665" s="32"/>
      <c r="H2665" s="32"/>
      <c r="I2665" s="32"/>
      <c r="J2665" s="32"/>
      <c r="K2665" s="35"/>
      <c r="L2665" s="32"/>
      <c r="M2665" s="32"/>
    </row>
    <row r="2666" customFormat="false" ht="15" hidden="false" customHeight="true" outlineLevel="0" collapsed="false">
      <c r="A2666" s="32"/>
      <c r="B2666" s="32"/>
      <c r="C2666" s="32"/>
      <c r="D2666" s="32"/>
      <c r="E2666" s="34" t="str">
        <f aca="false">IF($B2666="","",IF($B2666="OUT","Liters",IFERROR(INDEX(Setup!$F$3:$F$24,MATCH($C2666,Setup!$A$3:$A$24,0)),"")))</f>
        <v/>
      </c>
      <c r="F2666" s="28" t="str">
        <f aca="false">IF(OR($D2666="",$E2666=""),"",IFERROR($D2666*INDEX(Setup!$B$27:$B$44,MATCH($E2666,Setup!$A$27:$A$44,0)),"TBD"))</f>
        <v/>
      </c>
      <c r="G2666" s="32"/>
      <c r="H2666" s="32"/>
      <c r="I2666" s="32"/>
      <c r="J2666" s="32"/>
      <c r="K2666" s="35"/>
      <c r="L2666" s="32"/>
      <c r="M2666" s="32"/>
    </row>
    <row r="2667" customFormat="false" ht="15" hidden="false" customHeight="true" outlineLevel="0" collapsed="false">
      <c r="A2667" s="32"/>
      <c r="B2667" s="32"/>
      <c r="C2667" s="32"/>
      <c r="D2667" s="32"/>
      <c r="E2667" s="34" t="str">
        <f aca="false">IF($B2667="","",IF($B2667="OUT","Liters",IFERROR(INDEX(Setup!$F$3:$F$24,MATCH($C2667,Setup!$A$3:$A$24,0)),"")))</f>
        <v/>
      </c>
      <c r="F2667" s="28" t="str">
        <f aca="false">IF(OR($D2667="",$E2667=""),"",IFERROR($D2667*INDEX(Setup!$B$27:$B$44,MATCH($E2667,Setup!$A$27:$A$44,0)),"TBD"))</f>
        <v/>
      </c>
      <c r="G2667" s="32"/>
      <c r="H2667" s="32"/>
      <c r="I2667" s="32"/>
      <c r="J2667" s="32"/>
      <c r="K2667" s="35"/>
      <c r="L2667" s="32"/>
      <c r="M2667" s="32"/>
    </row>
    <row r="2668" customFormat="false" ht="15" hidden="false" customHeight="true" outlineLevel="0" collapsed="false">
      <c r="A2668" s="32"/>
      <c r="B2668" s="32"/>
      <c r="C2668" s="32"/>
      <c r="D2668" s="32"/>
      <c r="E2668" s="34" t="str">
        <f aca="false">IF($B2668="","",IF($B2668="OUT","Liters",IFERROR(INDEX(Setup!$F$3:$F$24,MATCH($C2668,Setup!$A$3:$A$24,0)),"")))</f>
        <v/>
      </c>
      <c r="F2668" s="28" t="str">
        <f aca="false">IF(OR($D2668="",$E2668=""),"",IFERROR($D2668*INDEX(Setup!$B$27:$B$44,MATCH($E2668,Setup!$A$27:$A$44,0)),"TBD"))</f>
        <v/>
      </c>
      <c r="G2668" s="32"/>
      <c r="H2668" s="32"/>
      <c r="I2668" s="32"/>
      <c r="J2668" s="32"/>
      <c r="K2668" s="35"/>
      <c r="L2668" s="32"/>
      <c r="M2668" s="32"/>
    </row>
    <row r="2669" customFormat="false" ht="15" hidden="false" customHeight="true" outlineLevel="0" collapsed="false">
      <c r="A2669" s="32"/>
      <c r="B2669" s="32"/>
      <c r="C2669" s="32"/>
      <c r="D2669" s="32"/>
      <c r="E2669" s="34" t="str">
        <f aca="false">IF($B2669="","",IF($B2669="OUT","Liters",IFERROR(INDEX(Setup!$F$3:$F$24,MATCH($C2669,Setup!$A$3:$A$24,0)),"")))</f>
        <v/>
      </c>
      <c r="F2669" s="28" t="str">
        <f aca="false">IF(OR($D2669="",$E2669=""),"",IFERROR($D2669*INDEX(Setup!$B$27:$B$44,MATCH($E2669,Setup!$A$27:$A$44,0)),"TBD"))</f>
        <v/>
      </c>
      <c r="G2669" s="32"/>
      <c r="H2669" s="32"/>
      <c r="I2669" s="32"/>
      <c r="J2669" s="32"/>
      <c r="K2669" s="35"/>
      <c r="L2669" s="32"/>
      <c r="M2669" s="32"/>
    </row>
    <row r="2670" customFormat="false" ht="15" hidden="false" customHeight="true" outlineLevel="0" collapsed="false">
      <c r="A2670" s="32"/>
      <c r="B2670" s="32"/>
      <c r="C2670" s="32"/>
      <c r="D2670" s="32"/>
      <c r="E2670" s="34" t="str">
        <f aca="false">IF($B2670="","",IF($B2670="OUT","Liters",IFERROR(INDEX(Setup!$F$3:$F$24,MATCH($C2670,Setup!$A$3:$A$24,0)),"")))</f>
        <v/>
      </c>
      <c r="F2670" s="28" t="str">
        <f aca="false">IF(OR($D2670="",$E2670=""),"",IFERROR($D2670*INDEX(Setup!$B$27:$B$44,MATCH($E2670,Setup!$A$27:$A$44,0)),"TBD"))</f>
        <v/>
      </c>
      <c r="G2670" s="32"/>
      <c r="H2670" s="32"/>
      <c r="I2670" s="32"/>
      <c r="J2670" s="32"/>
      <c r="K2670" s="35"/>
      <c r="L2670" s="32"/>
      <c r="M2670" s="32"/>
    </row>
    <row r="2671" customFormat="false" ht="15" hidden="false" customHeight="true" outlineLevel="0" collapsed="false">
      <c r="A2671" s="32"/>
      <c r="B2671" s="32"/>
      <c r="C2671" s="32"/>
      <c r="D2671" s="32"/>
      <c r="E2671" s="34" t="str">
        <f aca="false">IF($B2671="","",IF($B2671="OUT","Liters",IFERROR(INDEX(Setup!$F$3:$F$24,MATCH($C2671,Setup!$A$3:$A$24,0)),"")))</f>
        <v/>
      </c>
      <c r="F2671" s="28" t="str">
        <f aca="false">IF(OR($D2671="",$E2671=""),"",IFERROR($D2671*INDEX(Setup!$B$27:$B$44,MATCH($E2671,Setup!$A$27:$A$44,0)),"TBD"))</f>
        <v/>
      </c>
      <c r="G2671" s="32"/>
      <c r="H2671" s="32"/>
      <c r="I2671" s="32"/>
      <c r="J2671" s="32"/>
      <c r="K2671" s="35"/>
      <c r="L2671" s="32"/>
      <c r="M2671" s="32"/>
    </row>
    <row r="2672" customFormat="false" ht="15" hidden="false" customHeight="true" outlineLevel="0" collapsed="false">
      <c r="A2672" s="32"/>
      <c r="B2672" s="32"/>
      <c r="C2672" s="32"/>
      <c r="D2672" s="32"/>
      <c r="E2672" s="34" t="str">
        <f aca="false">IF($B2672="","",IF($B2672="OUT","Liters",IFERROR(INDEX(Setup!$F$3:$F$24,MATCH($C2672,Setup!$A$3:$A$24,0)),"")))</f>
        <v/>
      </c>
      <c r="F2672" s="28" t="str">
        <f aca="false">IF(OR($D2672="",$E2672=""),"",IFERROR($D2672*INDEX(Setup!$B$27:$B$44,MATCH($E2672,Setup!$A$27:$A$44,0)),"TBD"))</f>
        <v/>
      </c>
      <c r="G2672" s="32"/>
      <c r="H2672" s="32"/>
      <c r="I2672" s="32"/>
      <c r="J2672" s="32"/>
      <c r="K2672" s="35"/>
      <c r="L2672" s="32"/>
      <c r="M2672" s="32"/>
    </row>
    <row r="2673" customFormat="false" ht="15" hidden="false" customHeight="true" outlineLevel="0" collapsed="false">
      <c r="A2673" s="32"/>
      <c r="B2673" s="32"/>
      <c r="C2673" s="32"/>
      <c r="D2673" s="32"/>
      <c r="E2673" s="34" t="str">
        <f aca="false">IF($B2673="","",IF($B2673="OUT","Liters",IFERROR(INDEX(Setup!$F$3:$F$24,MATCH($C2673,Setup!$A$3:$A$24,0)),"")))</f>
        <v/>
      </c>
      <c r="F2673" s="28" t="str">
        <f aca="false">IF(OR($D2673="",$E2673=""),"",IFERROR($D2673*INDEX(Setup!$B$27:$B$44,MATCH($E2673,Setup!$A$27:$A$44,0)),"TBD"))</f>
        <v/>
      </c>
      <c r="G2673" s="32"/>
      <c r="H2673" s="32"/>
      <c r="I2673" s="32"/>
      <c r="J2673" s="32"/>
      <c r="K2673" s="35"/>
      <c r="L2673" s="32"/>
      <c r="M2673" s="32"/>
    </row>
    <row r="2674" customFormat="false" ht="15" hidden="false" customHeight="true" outlineLevel="0" collapsed="false">
      <c r="A2674" s="32"/>
      <c r="B2674" s="32"/>
      <c r="C2674" s="32"/>
      <c r="D2674" s="32"/>
      <c r="E2674" s="34" t="str">
        <f aca="false">IF($B2674="","",IF($B2674="OUT","Liters",IFERROR(INDEX(Setup!$F$3:$F$24,MATCH($C2674,Setup!$A$3:$A$24,0)),"")))</f>
        <v/>
      </c>
      <c r="F2674" s="28" t="str">
        <f aca="false">IF(OR($D2674="",$E2674=""),"",IFERROR($D2674*INDEX(Setup!$B$27:$B$44,MATCH($E2674,Setup!$A$27:$A$44,0)),"TBD"))</f>
        <v/>
      </c>
      <c r="G2674" s="32"/>
      <c r="H2674" s="32"/>
      <c r="I2674" s="32"/>
      <c r="J2674" s="32"/>
      <c r="K2674" s="35"/>
      <c r="L2674" s="32"/>
      <c r="M2674" s="32"/>
    </row>
    <row r="2675" customFormat="false" ht="15" hidden="false" customHeight="true" outlineLevel="0" collapsed="false">
      <c r="A2675" s="32"/>
      <c r="B2675" s="32"/>
      <c r="C2675" s="32"/>
      <c r="D2675" s="32"/>
      <c r="E2675" s="34" t="str">
        <f aca="false">IF($B2675="","",IF($B2675="OUT","Liters",IFERROR(INDEX(Setup!$F$3:$F$24,MATCH($C2675,Setup!$A$3:$A$24,0)),"")))</f>
        <v/>
      </c>
      <c r="F2675" s="28" t="str">
        <f aca="false">IF(OR($D2675="",$E2675=""),"",IFERROR($D2675*INDEX(Setup!$B$27:$B$44,MATCH($E2675,Setup!$A$27:$A$44,0)),"TBD"))</f>
        <v/>
      </c>
      <c r="G2675" s="32"/>
      <c r="H2675" s="32"/>
      <c r="I2675" s="32"/>
      <c r="J2675" s="32"/>
      <c r="K2675" s="35"/>
      <c r="L2675" s="32"/>
      <c r="M2675" s="32"/>
    </row>
    <row r="2676" customFormat="false" ht="15" hidden="false" customHeight="true" outlineLevel="0" collapsed="false">
      <c r="A2676" s="32"/>
      <c r="B2676" s="32"/>
      <c r="C2676" s="32"/>
      <c r="D2676" s="32"/>
      <c r="E2676" s="34" t="str">
        <f aca="false">IF($B2676="","",IF($B2676="OUT","Liters",IFERROR(INDEX(Setup!$F$3:$F$24,MATCH($C2676,Setup!$A$3:$A$24,0)),"")))</f>
        <v/>
      </c>
      <c r="F2676" s="28" t="str">
        <f aca="false">IF(OR($D2676="",$E2676=""),"",IFERROR($D2676*INDEX(Setup!$B$27:$B$44,MATCH($E2676,Setup!$A$27:$A$44,0)),"TBD"))</f>
        <v/>
      </c>
      <c r="G2676" s="32"/>
      <c r="H2676" s="32"/>
      <c r="I2676" s="32"/>
      <c r="J2676" s="32"/>
      <c r="K2676" s="35"/>
      <c r="L2676" s="32"/>
      <c r="M2676" s="32"/>
    </row>
    <row r="2677" customFormat="false" ht="15" hidden="false" customHeight="true" outlineLevel="0" collapsed="false">
      <c r="A2677" s="32"/>
      <c r="B2677" s="32"/>
      <c r="C2677" s="32"/>
      <c r="D2677" s="32"/>
      <c r="E2677" s="34" t="str">
        <f aca="false">IF($B2677="","",IF($B2677="OUT","Liters",IFERROR(INDEX(Setup!$F$3:$F$24,MATCH($C2677,Setup!$A$3:$A$24,0)),"")))</f>
        <v/>
      </c>
      <c r="F2677" s="28" t="str">
        <f aca="false">IF(OR($D2677="",$E2677=""),"",IFERROR($D2677*INDEX(Setup!$B$27:$B$44,MATCH($E2677,Setup!$A$27:$A$44,0)),"TBD"))</f>
        <v/>
      </c>
      <c r="G2677" s="32"/>
      <c r="H2677" s="32"/>
      <c r="I2677" s="32"/>
      <c r="J2677" s="32"/>
      <c r="K2677" s="35"/>
      <c r="L2677" s="32"/>
      <c r="M2677" s="32"/>
    </row>
    <row r="2678" customFormat="false" ht="15" hidden="false" customHeight="true" outlineLevel="0" collapsed="false">
      <c r="A2678" s="32"/>
      <c r="B2678" s="32"/>
      <c r="C2678" s="32"/>
      <c r="D2678" s="32"/>
      <c r="E2678" s="34" t="str">
        <f aca="false">IF($B2678="","",IF($B2678="OUT","Liters",IFERROR(INDEX(Setup!$F$3:$F$24,MATCH($C2678,Setup!$A$3:$A$24,0)),"")))</f>
        <v/>
      </c>
      <c r="F2678" s="28" t="str">
        <f aca="false">IF(OR($D2678="",$E2678=""),"",IFERROR($D2678*INDEX(Setup!$B$27:$B$44,MATCH($E2678,Setup!$A$27:$A$44,0)),"TBD"))</f>
        <v/>
      </c>
      <c r="G2678" s="32"/>
      <c r="H2678" s="32"/>
      <c r="I2678" s="32"/>
      <c r="J2678" s="32"/>
      <c r="K2678" s="35"/>
      <c r="L2678" s="32"/>
      <c r="M2678" s="32"/>
    </row>
    <row r="2679" customFormat="false" ht="15" hidden="false" customHeight="true" outlineLevel="0" collapsed="false">
      <c r="A2679" s="32"/>
      <c r="B2679" s="32"/>
      <c r="C2679" s="32"/>
      <c r="D2679" s="32"/>
      <c r="E2679" s="34" t="str">
        <f aca="false">IF($B2679="","",IF($B2679="OUT","Liters",IFERROR(INDEX(Setup!$F$3:$F$24,MATCH($C2679,Setup!$A$3:$A$24,0)),"")))</f>
        <v/>
      </c>
      <c r="F2679" s="28" t="str">
        <f aca="false">IF(OR($D2679="",$E2679=""),"",IFERROR($D2679*INDEX(Setup!$B$27:$B$44,MATCH($E2679,Setup!$A$27:$A$44,0)),"TBD"))</f>
        <v/>
      </c>
      <c r="G2679" s="32"/>
      <c r="H2679" s="32"/>
      <c r="I2679" s="32"/>
      <c r="J2679" s="32"/>
      <c r="K2679" s="35"/>
      <c r="L2679" s="32"/>
      <c r="M2679" s="32"/>
    </row>
    <row r="2680" customFormat="false" ht="15" hidden="false" customHeight="true" outlineLevel="0" collapsed="false">
      <c r="A2680" s="32"/>
      <c r="B2680" s="32"/>
      <c r="C2680" s="32"/>
      <c r="D2680" s="32"/>
      <c r="E2680" s="34" t="str">
        <f aca="false">IF($B2680="","",IF($B2680="OUT","Liters",IFERROR(INDEX(Setup!$F$3:$F$24,MATCH($C2680,Setup!$A$3:$A$24,0)),"")))</f>
        <v/>
      </c>
      <c r="F2680" s="28" t="str">
        <f aca="false">IF(OR($D2680="",$E2680=""),"",IFERROR($D2680*INDEX(Setup!$B$27:$B$44,MATCH($E2680,Setup!$A$27:$A$44,0)),"TBD"))</f>
        <v/>
      </c>
      <c r="G2680" s="32"/>
      <c r="H2680" s="32"/>
      <c r="I2680" s="32"/>
      <c r="J2680" s="32"/>
      <c r="K2680" s="35"/>
      <c r="L2680" s="32"/>
      <c r="M2680" s="32"/>
    </row>
    <row r="2681" customFormat="false" ht="15" hidden="false" customHeight="true" outlineLevel="0" collapsed="false">
      <c r="A2681" s="32"/>
      <c r="B2681" s="32"/>
      <c r="C2681" s="32"/>
      <c r="D2681" s="32"/>
      <c r="E2681" s="34" t="str">
        <f aca="false">IF($B2681="","",IF($B2681="OUT","Liters",IFERROR(INDEX(Setup!$F$3:$F$24,MATCH($C2681,Setup!$A$3:$A$24,0)),"")))</f>
        <v/>
      </c>
      <c r="F2681" s="28" t="str">
        <f aca="false">IF(OR($D2681="",$E2681=""),"",IFERROR($D2681*INDEX(Setup!$B$27:$B$44,MATCH($E2681,Setup!$A$27:$A$44,0)),"TBD"))</f>
        <v/>
      </c>
      <c r="G2681" s="32"/>
      <c r="H2681" s="32"/>
      <c r="I2681" s="32"/>
      <c r="J2681" s="32"/>
      <c r="K2681" s="35"/>
      <c r="L2681" s="32"/>
      <c r="M2681" s="32"/>
    </row>
    <row r="2682" customFormat="false" ht="15" hidden="false" customHeight="true" outlineLevel="0" collapsed="false">
      <c r="A2682" s="32"/>
      <c r="B2682" s="32"/>
      <c r="C2682" s="32"/>
      <c r="D2682" s="32"/>
      <c r="E2682" s="34" t="str">
        <f aca="false">IF($B2682="","",IF($B2682="OUT","Liters",IFERROR(INDEX(Setup!$F$3:$F$24,MATCH($C2682,Setup!$A$3:$A$24,0)),"")))</f>
        <v/>
      </c>
      <c r="F2682" s="28" t="str">
        <f aca="false">IF(OR($D2682="",$E2682=""),"",IFERROR($D2682*INDEX(Setup!$B$27:$B$44,MATCH($E2682,Setup!$A$27:$A$44,0)),"TBD"))</f>
        <v/>
      </c>
      <c r="G2682" s="32"/>
      <c r="H2682" s="32"/>
      <c r="I2682" s="32"/>
      <c r="J2682" s="32"/>
      <c r="K2682" s="35"/>
      <c r="L2682" s="32"/>
      <c r="M2682" s="32"/>
    </row>
    <row r="2683" customFormat="false" ht="15" hidden="false" customHeight="true" outlineLevel="0" collapsed="false">
      <c r="A2683" s="32"/>
      <c r="B2683" s="32"/>
      <c r="C2683" s="32"/>
      <c r="D2683" s="32"/>
      <c r="E2683" s="34" t="str">
        <f aca="false">IF($B2683="","",IF($B2683="OUT","Liters",IFERROR(INDEX(Setup!$F$3:$F$24,MATCH($C2683,Setup!$A$3:$A$24,0)),"")))</f>
        <v/>
      </c>
      <c r="F2683" s="28" t="str">
        <f aca="false">IF(OR($D2683="",$E2683=""),"",IFERROR($D2683*INDEX(Setup!$B$27:$B$44,MATCH($E2683,Setup!$A$27:$A$44,0)),"TBD"))</f>
        <v/>
      </c>
      <c r="G2683" s="32"/>
      <c r="H2683" s="32"/>
      <c r="I2683" s="32"/>
      <c r="J2683" s="32"/>
      <c r="K2683" s="35"/>
      <c r="L2683" s="32"/>
      <c r="M2683" s="32"/>
    </row>
    <row r="2684" customFormat="false" ht="15" hidden="false" customHeight="true" outlineLevel="0" collapsed="false">
      <c r="A2684" s="32"/>
      <c r="B2684" s="32"/>
      <c r="C2684" s="32"/>
      <c r="D2684" s="32"/>
      <c r="E2684" s="34" t="str">
        <f aca="false">IF($B2684="","",IF($B2684="OUT","Liters",IFERROR(INDEX(Setup!$F$3:$F$24,MATCH($C2684,Setup!$A$3:$A$24,0)),"")))</f>
        <v/>
      </c>
      <c r="F2684" s="28" t="str">
        <f aca="false">IF(OR($D2684="",$E2684=""),"",IFERROR($D2684*INDEX(Setup!$B$27:$B$44,MATCH($E2684,Setup!$A$27:$A$44,0)),"TBD"))</f>
        <v/>
      </c>
      <c r="G2684" s="32"/>
      <c r="H2684" s="32"/>
      <c r="I2684" s="32"/>
      <c r="J2684" s="32"/>
      <c r="K2684" s="35"/>
      <c r="L2684" s="32"/>
      <c r="M2684" s="32"/>
    </row>
    <row r="2685" customFormat="false" ht="15" hidden="false" customHeight="true" outlineLevel="0" collapsed="false">
      <c r="A2685" s="32"/>
      <c r="B2685" s="32"/>
      <c r="C2685" s="32"/>
      <c r="D2685" s="32"/>
      <c r="E2685" s="34" t="str">
        <f aca="false">IF($B2685="","",IF($B2685="OUT","Liters",IFERROR(INDEX(Setup!$F$3:$F$24,MATCH($C2685,Setup!$A$3:$A$24,0)),"")))</f>
        <v/>
      </c>
      <c r="F2685" s="28" t="str">
        <f aca="false">IF(OR($D2685="",$E2685=""),"",IFERROR($D2685*INDEX(Setup!$B$27:$B$44,MATCH($E2685,Setup!$A$27:$A$44,0)),"TBD"))</f>
        <v/>
      </c>
      <c r="G2685" s="32"/>
      <c r="H2685" s="32"/>
      <c r="I2685" s="32"/>
      <c r="J2685" s="32"/>
      <c r="K2685" s="35"/>
      <c r="L2685" s="32"/>
      <c r="M2685" s="32"/>
    </row>
    <row r="2686" customFormat="false" ht="15" hidden="false" customHeight="true" outlineLevel="0" collapsed="false">
      <c r="A2686" s="32"/>
      <c r="B2686" s="32"/>
      <c r="C2686" s="32"/>
      <c r="D2686" s="32"/>
      <c r="E2686" s="34" t="str">
        <f aca="false">IF($B2686="","",IF($B2686="OUT","Liters",IFERROR(INDEX(Setup!$F$3:$F$24,MATCH($C2686,Setup!$A$3:$A$24,0)),"")))</f>
        <v/>
      </c>
      <c r="F2686" s="28" t="str">
        <f aca="false">IF(OR($D2686="",$E2686=""),"",IFERROR($D2686*INDEX(Setup!$B$27:$B$44,MATCH($E2686,Setup!$A$27:$A$44,0)),"TBD"))</f>
        <v/>
      </c>
      <c r="G2686" s="32"/>
      <c r="H2686" s="32"/>
      <c r="I2686" s="32"/>
      <c r="J2686" s="32"/>
      <c r="K2686" s="35"/>
      <c r="L2686" s="32"/>
      <c r="M2686" s="32"/>
    </row>
    <row r="2687" customFormat="false" ht="15" hidden="false" customHeight="true" outlineLevel="0" collapsed="false">
      <c r="A2687" s="32"/>
      <c r="B2687" s="32"/>
      <c r="C2687" s="32"/>
      <c r="D2687" s="32"/>
      <c r="E2687" s="34" t="str">
        <f aca="false">IF($B2687="","",IF($B2687="OUT","Liters",IFERROR(INDEX(Setup!$F$3:$F$24,MATCH($C2687,Setup!$A$3:$A$24,0)),"")))</f>
        <v/>
      </c>
      <c r="F2687" s="28" t="str">
        <f aca="false">IF(OR($D2687="",$E2687=""),"",IFERROR($D2687*INDEX(Setup!$B$27:$B$44,MATCH($E2687,Setup!$A$27:$A$44,0)),"TBD"))</f>
        <v/>
      </c>
      <c r="G2687" s="32"/>
      <c r="H2687" s="32"/>
      <c r="I2687" s="32"/>
      <c r="J2687" s="32"/>
      <c r="K2687" s="35"/>
      <c r="L2687" s="32"/>
      <c r="M2687" s="32"/>
    </row>
    <row r="2688" customFormat="false" ht="15" hidden="false" customHeight="true" outlineLevel="0" collapsed="false">
      <c r="A2688" s="32"/>
      <c r="B2688" s="32"/>
      <c r="C2688" s="32"/>
      <c r="D2688" s="32"/>
      <c r="E2688" s="34" t="str">
        <f aca="false">IF($B2688="","",IF($B2688="OUT","Liters",IFERROR(INDEX(Setup!$F$3:$F$24,MATCH($C2688,Setup!$A$3:$A$24,0)),"")))</f>
        <v/>
      </c>
      <c r="F2688" s="28" t="str">
        <f aca="false">IF(OR($D2688="",$E2688=""),"",IFERROR($D2688*INDEX(Setup!$B$27:$B$44,MATCH($E2688,Setup!$A$27:$A$44,0)),"TBD"))</f>
        <v/>
      </c>
      <c r="G2688" s="32"/>
      <c r="H2688" s="32"/>
      <c r="I2688" s="32"/>
      <c r="J2688" s="32"/>
      <c r="K2688" s="35"/>
      <c r="L2688" s="32"/>
      <c r="M2688" s="32"/>
    </row>
    <row r="2689" customFormat="false" ht="15" hidden="false" customHeight="true" outlineLevel="0" collapsed="false">
      <c r="A2689" s="32"/>
      <c r="B2689" s="32"/>
      <c r="C2689" s="32"/>
      <c r="D2689" s="32"/>
      <c r="E2689" s="34" t="str">
        <f aca="false">IF($B2689="","",IF($B2689="OUT","Liters",IFERROR(INDEX(Setup!$F$3:$F$24,MATCH($C2689,Setup!$A$3:$A$24,0)),"")))</f>
        <v/>
      </c>
      <c r="F2689" s="28" t="str">
        <f aca="false">IF(OR($D2689="",$E2689=""),"",IFERROR($D2689*INDEX(Setup!$B$27:$B$44,MATCH($E2689,Setup!$A$27:$A$44,0)),"TBD"))</f>
        <v/>
      </c>
      <c r="G2689" s="32"/>
      <c r="H2689" s="32"/>
      <c r="I2689" s="32"/>
      <c r="J2689" s="32"/>
      <c r="K2689" s="35"/>
      <c r="L2689" s="32"/>
      <c r="M2689" s="32"/>
    </row>
    <row r="2690" customFormat="false" ht="15" hidden="false" customHeight="true" outlineLevel="0" collapsed="false">
      <c r="A2690" s="32"/>
      <c r="B2690" s="32"/>
      <c r="C2690" s="32"/>
      <c r="D2690" s="32"/>
      <c r="E2690" s="34" t="str">
        <f aca="false">IF($B2690="","",IF($B2690="OUT","Liters",IFERROR(INDEX(Setup!$F$3:$F$24,MATCH($C2690,Setup!$A$3:$A$24,0)),"")))</f>
        <v/>
      </c>
      <c r="F2690" s="28" t="str">
        <f aca="false">IF(OR($D2690="",$E2690=""),"",IFERROR($D2690*INDEX(Setup!$B$27:$B$44,MATCH($E2690,Setup!$A$27:$A$44,0)),"TBD"))</f>
        <v/>
      </c>
      <c r="G2690" s="32"/>
      <c r="H2690" s="32"/>
      <c r="I2690" s="32"/>
      <c r="J2690" s="32"/>
      <c r="K2690" s="35"/>
      <c r="L2690" s="32"/>
      <c r="M2690" s="32"/>
    </row>
    <row r="2691" customFormat="false" ht="15" hidden="false" customHeight="true" outlineLevel="0" collapsed="false">
      <c r="A2691" s="32"/>
      <c r="B2691" s="32"/>
      <c r="C2691" s="32"/>
      <c r="D2691" s="32"/>
      <c r="E2691" s="34" t="str">
        <f aca="false">IF($B2691="","",IF($B2691="OUT","Liters",IFERROR(INDEX(Setup!$F$3:$F$24,MATCH($C2691,Setup!$A$3:$A$24,0)),"")))</f>
        <v/>
      </c>
      <c r="F2691" s="28" t="str">
        <f aca="false">IF(OR($D2691="",$E2691=""),"",IFERROR($D2691*INDEX(Setup!$B$27:$B$44,MATCH($E2691,Setup!$A$27:$A$44,0)),"TBD"))</f>
        <v/>
      </c>
      <c r="G2691" s="32"/>
      <c r="H2691" s="32"/>
      <c r="I2691" s="32"/>
      <c r="J2691" s="32"/>
      <c r="K2691" s="35"/>
      <c r="L2691" s="32"/>
      <c r="M2691" s="32"/>
    </row>
    <row r="2692" customFormat="false" ht="15" hidden="false" customHeight="true" outlineLevel="0" collapsed="false">
      <c r="A2692" s="32"/>
      <c r="B2692" s="32"/>
      <c r="C2692" s="32"/>
      <c r="D2692" s="32"/>
      <c r="E2692" s="34" t="str">
        <f aca="false">IF($B2692="","",IF($B2692="OUT","Liters",IFERROR(INDEX(Setup!$F$3:$F$24,MATCH($C2692,Setup!$A$3:$A$24,0)),"")))</f>
        <v/>
      </c>
      <c r="F2692" s="28" t="str">
        <f aca="false">IF(OR($D2692="",$E2692=""),"",IFERROR($D2692*INDEX(Setup!$B$27:$B$44,MATCH($E2692,Setup!$A$27:$A$44,0)),"TBD"))</f>
        <v/>
      </c>
      <c r="G2692" s="32"/>
      <c r="H2692" s="32"/>
      <c r="I2692" s="32"/>
      <c r="J2692" s="32"/>
      <c r="K2692" s="35"/>
      <c r="L2692" s="32"/>
      <c r="M2692" s="32"/>
    </row>
    <row r="2693" customFormat="false" ht="15" hidden="false" customHeight="true" outlineLevel="0" collapsed="false">
      <c r="A2693" s="32"/>
      <c r="B2693" s="32"/>
      <c r="C2693" s="32"/>
      <c r="D2693" s="32"/>
      <c r="E2693" s="34" t="str">
        <f aca="false">IF($B2693="","",IF($B2693="OUT","Liters",IFERROR(INDEX(Setup!$F$3:$F$24,MATCH($C2693,Setup!$A$3:$A$24,0)),"")))</f>
        <v/>
      </c>
      <c r="F2693" s="28" t="str">
        <f aca="false">IF(OR($D2693="",$E2693=""),"",IFERROR($D2693*INDEX(Setup!$B$27:$B$44,MATCH($E2693,Setup!$A$27:$A$44,0)),"TBD"))</f>
        <v/>
      </c>
      <c r="G2693" s="32"/>
      <c r="H2693" s="32"/>
      <c r="I2693" s="32"/>
      <c r="J2693" s="32"/>
      <c r="K2693" s="35"/>
      <c r="L2693" s="32"/>
      <c r="M2693" s="32"/>
    </row>
    <row r="2694" customFormat="false" ht="15" hidden="false" customHeight="true" outlineLevel="0" collapsed="false">
      <c r="A2694" s="32"/>
      <c r="B2694" s="32"/>
      <c r="C2694" s="32"/>
      <c r="D2694" s="32"/>
      <c r="E2694" s="34" t="str">
        <f aca="false">IF($B2694="","",IF($B2694="OUT","Liters",IFERROR(INDEX(Setup!$F$3:$F$24,MATCH($C2694,Setup!$A$3:$A$24,0)),"")))</f>
        <v/>
      </c>
      <c r="F2694" s="28" t="str">
        <f aca="false">IF(OR($D2694="",$E2694=""),"",IFERROR($D2694*INDEX(Setup!$B$27:$B$44,MATCH($E2694,Setup!$A$27:$A$44,0)),"TBD"))</f>
        <v/>
      </c>
      <c r="G2694" s="32"/>
      <c r="H2694" s="32"/>
      <c r="I2694" s="32"/>
      <c r="J2694" s="32"/>
      <c r="K2694" s="35"/>
      <c r="L2694" s="32"/>
      <c r="M2694" s="32"/>
    </row>
    <row r="2695" customFormat="false" ht="15" hidden="false" customHeight="true" outlineLevel="0" collapsed="false">
      <c r="A2695" s="32"/>
      <c r="B2695" s="32"/>
      <c r="C2695" s="32"/>
      <c r="D2695" s="32"/>
      <c r="E2695" s="34" t="str">
        <f aca="false">IF($B2695="","",IF($B2695="OUT","Liters",IFERROR(INDEX(Setup!$F$3:$F$24,MATCH($C2695,Setup!$A$3:$A$24,0)),"")))</f>
        <v/>
      </c>
      <c r="F2695" s="28" t="str">
        <f aca="false">IF(OR($D2695="",$E2695=""),"",IFERROR($D2695*INDEX(Setup!$B$27:$B$44,MATCH($E2695,Setup!$A$27:$A$44,0)),"TBD"))</f>
        <v/>
      </c>
      <c r="G2695" s="32"/>
      <c r="H2695" s="32"/>
      <c r="I2695" s="32"/>
      <c r="J2695" s="32"/>
      <c r="K2695" s="35"/>
      <c r="L2695" s="32"/>
      <c r="M2695" s="32"/>
    </row>
    <row r="2696" customFormat="false" ht="15" hidden="false" customHeight="true" outlineLevel="0" collapsed="false">
      <c r="A2696" s="32"/>
      <c r="B2696" s="32"/>
      <c r="C2696" s="32"/>
      <c r="D2696" s="32"/>
      <c r="E2696" s="34" t="str">
        <f aca="false">IF($B2696="","",IF($B2696="OUT","Liters",IFERROR(INDEX(Setup!$F$3:$F$24,MATCH($C2696,Setup!$A$3:$A$24,0)),"")))</f>
        <v/>
      </c>
      <c r="F2696" s="28" t="str">
        <f aca="false">IF(OR($D2696="",$E2696=""),"",IFERROR($D2696*INDEX(Setup!$B$27:$B$44,MATCH($E2696,Setup!$A$27:$A$44,0)),"TBD"))</f>
        <v/>
      </c>
      <c r="G2696" s="32"/>
      <c r="H2696" s="32"/>
      <c r="I2696" s="32"/>
      <c r="J2696" s="32"/>
      <c r="K2696" s="35"/>
      <c r="L2696" s="32"/>
      <c r="M2696" s="32"/>
    </row>
    <row r="2697" customFormat="false" ht="15" hidden="false" customHeight="true" outlineLevel="0" collapsed="false">
      <c r="A2697" s="32"/>
      <c r="B2697" s="32"/>
      <c r="C2697" s="32"/>
      <c r="D2697" s="32"/>
      <c r="E2697" s="34" t="str">
        <f aca="false">IF($B2697="","",IF($B2697="OUT","Liters",IFERROR(INDEX(Setup!$F$3:$F$24,MATCH($C2697,Setup!$A$3:$A$24,0)),"")))</f>
        <v/>
      </c>
      <c r="F2697" s="28" t="str">
        <f aca="false">IF(OR($D2697="",$E2697=""),"",IFERROR($D2697*INDEX(Setup!$B$27:$B$44,MATCH($E2697,Setup!$A$27:$A$44,0)),"TBD"))</f>
        <v/>
      </c>
      <c r="G2697" s="32"/>
      <c r="H2697" s="32"/>
      <c r="I2697" s="32"/>
      <c r="J2697" s="32"/>
      <c r="K2697" s="35"/>
      <c r="L2697" s="32"/>
      <c r="M2697" s="32"/>
    </row>
    <row r="2698" customFormat="false" ht="15" hidden="false" customHeight="true" outlineLevel="0" collapsed="false">
      <c r="A2698" s="32"/>
      <c r="B2698" s="32"/>
      <c r="C2698" s="32"/>
      <c r="D2698" s="32"/>
      <c r="E2698" s="34" t="str">
        <f aca="false">IF($B2698="","",IF($B2698="OUT","Liters",IFERROR(INDEX(Setup!$F$3:$F$24,MATCH($C2698,Setup!$A$3:$A$24,0)),"")))</f>
        <v/>
      </c>
      <c r="F2698" s="28" t="str">
        <f aca="false">IF(OR($D2698="",$E2698=""),"",IFERROR($D2698*INDEX(Setup!$B$27:$B$44,MATCH($E2698,Setup!$A$27:$A$44,0)),"TBD"))</f>
        <v/>
      </c>
      <c r="G2698" s="32"/>
      <c r="H2698" s="32"/>
      <c r="I2698" s="32"/>
      <c r="J2698" s="32"/>
      <c r="K2698" s="35"/>
      <c r="L2698" s="32"/>
      <c r="M2698" s="32"/>
    </row>
    <row r="2699" customFormat="false" ht="15" hidden="false" customHeight="true" outlineLevel="0" collapsed="false">
      <c r="A2699" s="32"/>
      <c r="B2699" s="32"/>
      <c r="C2699" s="32"/>
      <c r="D2699" s="32"/>
      <c r="E2699" s="34" t="str">
        <f aca="false">IF($B2699="","",IF($B2699="OUT","Liters",IFERROR(INDEX(Setup!$F$3:$F$24,MATCH($C2699,Setup!$A$3:$A$24,0)),"")))</f>
        <v/>
      </c>
      <c r="F2699" s="28" t="str">
        <f aca="false">IF(OR($D2699="",$E2699=""),"",IFERROR($D2699*INDEX(Setup!$B$27:$B$44,MATCH($E2699,Setup!$A$27:$A$44,0)),"TBD"))</f>
        <v/>
      </c>
      <c r="G2699" s="32"/>
      <c r="H2699" s="32"/>
      <c r="I2699" s="32"/>
      <c r="J2699" s="32"/>
      <c r="K2699" s="35"/>
      <c r="L2699" s="32"/>
      <c r="M2699" s="32"/>
    </row>
    <row r="2700" customFormat="false" ht="15" hidden="false" customHeight="true" outlineLevel="0" collapsed="false">
      <c r="A2700" s="32"/>
      <c r="B2700" s="32"/>
      <c r="C2700" s="32"/>
      <c r="D2700" s="32"/>
      <c r="E2700" s="34" t="str">
        <f aca="false">IF($B2700="","",IF($B2700="OUT","Liters",IFERROR(INDEX(Setup!$F$3:$F$24,MATCH($C2700,Setup!$A$3:$A$24,0)),"")))</f>
        <v/>
      </c>
      <c r="F2700" s="28" t="str">
        <f aca="false">IF(OR($D2700="",$E2700=""),"",IFERROR($D2700*INDEX(Setup!$B$27:$B$44,MATCH($E2700,Setup!$A$27:$A$44,0)),"TBD"))</f>
        <v/>
      </c>
      <c r="G2700" s="32"/>
      <c r="H2700" s="32"/>
      <c r="I2700" s="32"/>
      <c r="J2700" s="32"/>
      <c r="K2700" s="35"/>
      <c r="L2700" s="32"/>
      <c r="M2700" s="32"/>
    </row>
    <row r="2701" customFormat="false" ht="15" hidden="false" customHeight="true" outlineLevel="0" collapsed="false">
      <c r="A2701" s="32"/>
      <c r="B2701" s="32"/>
      <c r="C2701" s="32"/>
      <c r="D2701" s="32"/>
      <c r="E2701" s="34" t="str">
        <f aca="false">IF($B2701="","",IF($B2701="OUT","Liters",IFERROR(INDEX(Setup!$F$3:$F$24,MATCH($C2701,Setup!$A$3:$A$24,0)),"")))</f>
        <v/>
      </c>
      <c r="F2701" s="28" t="str">
        <f aca="false">IF(OR($D2701="",$E2701=""),"",IFERROR($D2701*INDEX(Setup!$B$27:$B$44,MATCH($E2701,Setup!$A$27:$A$44,0)),"TBD"))</f>
        <v/>
      </c>
      <c r="G2701" s="32"/>
      <c r="H2701" s="32"/>
      <c r="I2701" s="32"/>
      <c r="J2701" s="32"/>
      <c r="K2701" s="35"/>
      <c r="L2701" s="32"/>
      <c r="M2701" s="32"/>
    </row>
    <row r="2702" customFormat="false" ht="15" hidden="false" customHeight="true" outlineLevel="0" collapsed="false">
      <c r="A2702" s="32"/>
      <c r="B2702" s="32"/>
      <c r="C2702" s="32"/>
      <c r="D2702" s="32"/>
      <c r="E2702" s="34" t="str">
        <f aca="false">IF($B2702="","",IF($B2702="OUT","Liters",IFERROR(INDEX(Setup!$F$3:$F$24,MATCH($C2702,Setup!$A$3:$A$24,0)),"")))</f>
        <v/>
      </c>
      <c r="F2702" s="28" t="str">
        <f aca="false">IF(OR($D2702="",$E2702=""),"",IFERROR($D2702*INDEX(Setup!$B$27:$B$44,MATCH($E2702,Setup!$A$27:$A$44,0)),"TBD"))</f>
        <v/>
      </c>
      <c r="G2702" s="32"/>
      <c r="H2702" s="32"/>
      <c r="I2702" s="32"/>
      <c r="J2702" s="32"/>
      <c r="K2702" s="35"/>
      <c r="L2702" s="32"/>
      <c r="M2702" s="32"/>
    </row>
    <row r="2703" customFormat="false" ht="15" hidden="false" customHeight="true" outlineLevel="0" collapsed="false">
      <c r="A2703" s="32"/>
      <c r="B2703" s="32"/>
      <c r="C2703" s="32"/>
      <c r="D2703" s="32"/>
      <c r="E2703" s="34" t="str">
        <f aca="false">IF($B2703="","",IF($B2703="OUT","Liters",IFERROR(INDEX(Setup!$F$3:$F$24,MATCH($C2703,Setup!$A$3:$A$24,0)),"")))</f>
        <v/>
      </c>
      <c r="F2703" s="28" t="str">
        <f aca="false">IF(OR($D2703="",$E2703=""),"",IFERROR($D2703*INDEX(Setup!$B$27:$B$44,MATCH($E2703,Setup!$A$27:$A$44,0)),"TBD"))</f>
        <v/>
      </c>
      <c r="G2703" s="32"/>
      <c r="H2703" s="32"/>
      <c r="I2703" s="32"/>
      <c r="J2703" s="32"/>
      <c r="K2703" s="35"/>
      <c r="L2703" s="32"/>
      <c r="M2703" s="32"/>
    </row>
    <row r="2704" customFormat="false" ht="15" hidden="false" customHeight="true" outlineLevel="0" collapsed="false">
      <c r="A2704" s="32"/>
      <c r="B2704" s="32"/>
      <c r="C2704" s="32"/>
      <c r="D2704" s="32"/>
      <c r="E2704" s="34" t="str">
        <f aca="false">IF($B2704="","",IF($B2704="OUT","Liters",IFERROR(INDEX(Setup!$F$3:$F$24,MATCH($C2704,Setup!$A$3:$A$24,0)),"")))</f>
        <v/>
      </c>
      <c r="F2704" s="28" t="str">
        <f aca="false">IF(OR($D2704="",$E2704=""),"",IFERROR($D2704*INDEX(Setup!$B$27:$B$44,MATCH($E2704,Setup!$A$27:$A$44,0)),"TBD"))</f>
        <v/>
      </c>
      <c r="G2704" s="32"/>
      <c r="H2704" s="32"/>
      <c r="I2704" s="32"/>
      <c r="J2704" s="32"/>
      <c r="K2704" s="35"/>
      <c r="L2704" s="32"/>
      <c r="M2704" s="32"/>
    </row>
    <row r="2705" customFormat="false" ht="15" hidden="false" customHeight="true" outlineLevel="0" collapsed="false">
      <c r="A2705" s="32"/>
      <c r="B2705" s="32"/>
      <c r="C2705" s="32"/>
      <c r="D2705" s="32"/>
      <c r="E2705" s="34" t="str">
        <f aca="false">IF($B2705="","",IF($B2705="OUT","Liters",IFERROR(INDEX(Setup!$F$3:$F$24,MATCH($C2705,Setup!$A$3:$A$24,0)),"")))</f>
        <v/>
      </c>
      <c r="F2705" s="28" t="str">
        <f aca="false">IF(OR($D2705="",$E2705=""),"",IFERROR($D2705*INDEX(Setup!$B$27:$B$44,MATCH($E2705,Setup!$A$27:$A$44,0)),"TBD"))</f>
        <v/>
      </c>
      <c r="G2705" s="32"/>
      <c r="H2705" s="32"/>
      <c r="I2705" s="32"/>
      <c r="J2705" s="32"/>
      <c r="K2705" s="35"/>
      <c r="L2705" s="32"/>
      <c r="M2705" s="32"/>
    </row>
    <row r="2706" customFormat="false" ht="15" hidden="false" customHeight="true" outlineLevel="0" collapsed="false">
      <c r="A2706" s="32"/>
      <c r="B2706" s="32"/>
      <c r="C2706" s="32"/>
      <c r="D2706" s="32"/>
      <c r="E2706" s="34" t="str">
        <f aca="false">IF($B2706="","",IF($B2706="OUT","Liters",IFERROR(INDEX(Setup!$F$3:$F$24,MATCH($C2706,Setup!$A$3:$A$24,0)),"")))</f>
        <v/>
      </c>
      <c r="F2706" s="28" t="str">
        <f aca="false">IF(OR($D2706="",$E2706=""),"",IFERROR($D2706*INDEX(Setup!$B$27:$B$44,MATCH($E2706,Setup!$A$27:$A$44,0)),"TBD"))</f>
        <v/>
      </c>
      <c r="G2706" s="32"/>
      <c r="H2706" s="32"/>
      <c r="I2706" s="32"/>
      <c r="J2706" s="32"/>
      <c r="K2706" s="35"/>
      <c r="L2706" s="32"/>
      <c r="M2706" s="32"/>
    </row>
    <row r="2707" customFormat="false" ht="15" hidden="false" customHeight="true" outlineLevel="0" collapsed="false">
      <c r="A2707" s="32"/>
      <c r="B2707" s="32"/>
      <c r="C2707" s="32"/>
      <c r="D2707" s="32"/>
      <c r="E2707" s="34" t="str">
        <f aca="false">IF($B2707="","",IF($B2707="OUT","Liters",IFERROR(INDEX(Setup!$F$3:$F$24,MATCH($C2707,Setup!$A$3:$A$24,0)),"")))</f>
        <v/>
      </c>
      <c r="F2707" s="28" t="str">
        <f aca="false">IF(OR($D2707="",$E2707=""),"",IFERROR($D2707*INDEX(Setup!$B$27:$B$44,MATCH($E2707,Setup!$A$27:$A$44,0)),"TBD"))</f>
        <v/>
      </c>
      <c r="G2707" s="32"/>
      <c r="H2707" s="32"/>
      <c r="I2707" s="32"/>
      <c r="J2707" s="32"/>
      <c r="K2707" s="35"/>
      <c r="L2707" s="32"/>
      <c r="M2707" s="32"/>
    </row>
    <row r="2708" customFormat="false" ht="15" hidden="false" customHeight="true" outlineLevel="0" collapsed="false">
      <c r="A2708" s="32"/>
      <c r="B2708" s="32"/>
      <c r="C2708" s="32"/>
      <c r="D2708" s="32"/>
      <c r="E2708" s="34" t="str">
        <f aca="false">IF($B2708="","",IF($B2708="OUT","Liters",IFERROR(INDEX(Setup!$F$3:$F$24,MATCH($C2708,Setup!$A$3:$A$24,0)),"")))</f>
        <v/>
      </c>
      <c r="F2708" s="28" t="str">
        <f aca="false">IF(OR($D2708="",$E2708=""),"",IFERROR($D2708*INDEX(Setup!$B$27:$B$44,MATCH($E2708,Setup!$A$27:$A$44,0)),"TBD"))</f>
        <v/>
      </c>
      <c r="G2708" s="32"/>
      <c r="H2708" s="32"/>
      <c r="I2708" s="32"/>
      <c r="J2708" s="32"/>
      <c r="K2708" s="35"/>
      <c r="L2708" s="32"/>
      <c r="M2708" s="32"/>
    </row>
    <row r="2709" customFormat="false" ht="15" hidden="false" customHeight="true" outlineLevel="0" collapsed="false">
      <c r="A2709" s="32"/>
      <c r="B2709" s="32"/>
      <c r="C2709" s="32"/>
      <c r="D2709" s="32"/>
      <c r="E2709" s="34" t="str">
        <f aca="false">IF($B2709="","",IF($B2709="OUT","Liters",IFERROR(INDEX(Setup!$F$3:$F$24,MATCH($C2709,Setup!$A$3:$A$24,0)),"")))</f>
        <v/>
      </c>
      <c r="F2709" s="28" t="str">
        <f aca="false">IF(OR($D2709="",$E2709=""),"",IFERROR($D2709*INDEX(Setup!$B$27:$B$44,MATCH($E2709,Setup!$A$27:$A$44,0)),"TBD"))</f>
        <v/>
      </c>
      <c r="G2709" s="32"/>
      <c r="H2709" s="32"/>
      <c r="I2709" s="32"/>
      <c r="J2709" s="32"/>
      <c r="K2709" s="35"/>
      <c r="L2709" s="32"/>
      <c r="M2709" s="32"/>
    </row>
    <row r="2710" customFormat="false" ht="15" hidden="false" customHeight="true" outlineLevel="0" collapsed="false">
      <c r="A2710" s="32"/>
      <c r="B2710" s="32"/>
      <c r="C2710" s="32"/>
      <c r="D2710" s="32"/>
      <c r="E2710" s="34" t="str">
        <f aca="false">IF($B2710="","",IF($B2710="OUT","Liters",IFERROR(INDEX(Setup!$F$3:$F$24,MATCH($C2710,Setup!$A$3:$A$24,0)),"")))</f>
        <v/>
      </c>
      <c r="F2710" s="28" t="str">
        <f aca="false">IF(OR($D2710="",$E2710=""),"",IFERROR($D2710*INDEX(Setup!$B$27:$B$44,MATCH($E2710,Setup!$A$27:$A$44,0)),"TBD"))</f>
        <v/>
      </c>
      <c r="G2710" s="32"/>
      <c r="H2710" s="32"/>
      <c r="I2710" s="32"/>
      <c r="J2710" s="32"/>
      <c r="K2710" s="35"/>
      <c r="L2710" s="32"/>
      <c r="M2710" s="32"/>
    </row>
    <row r="2711" customFormat="false" ht="15" hidden="false" customHeight="true" outlineLevel="0" collapsed="false">
      <c r="A2711" s="32"/>
      <c r="B2711" s="32"/>
      <c r="C2711" s="32"/>
      <c r="D2711" s="32"/>
      <c r="E2711" s="34" t="str">
        <f aca="false">IF($B2711="","",IF($B2711="OUT","Liters",IFERROR(INDEX(Setup!$F$3:$F$24,MATCH($C2711,Setup!$A$3:$A$24,0)),"")))</f>
        <v/>
      </c>
      <c r="F2711" s="28" t="str">
        <f aca="false">IF(OR($D2711="",$E2711=""),"",IFERROR($D2711*INDEX(Setup!$B$27:$B$44,MATCH($E2711,Setup!$A$27:$A$44,0)),"TBD"))</f>
        <v/>
      </c>
      <c r="G2711" s="32"/>
      <c r="H2711" s="32"/>
      <c r="I2711" s="32"/>
      <c r="J2711" s="32"/>
      <c r="K2711" s="35"/>
      <c r="L2711" s="32"/>
      <c r="M2711" s="32"/>
    </row>
    <row r="2712" customFormat="false" ht="15" hidden="false" customHeight="true" outlineLevel="0" collapsed="false">
      <c r="A2712" s="32"/>
      <c r="B2712" s="32"/>
      <c r="C2712" s="32"/>
      <c r="D2712" s="32"/>
      <c r="E2712" s="34" t="str">
        <f aca="false">IF($B2712="","",IF($B2712="OUT","Liters",IFERROR(INDEX(Setup!$F$3:$F$24,MATCH($C2712,Setup!$A$3:$A$24,0)),"")))</f>
        <v/>
      </c>
      <c r="F2712" s="28" t="str">
        <f aca="false">IF(OR($D2712="",$E2712=""),"",IFERROR($D2712*INDEX(Setup!$B$27:$B$44,MATCH($E2712,Setup!$A$27:$A$44,0)),"TBD"))</f>
        <v/>
      </c>
      <c r="G2712" s="32"/>
      <c r="H2712" s="32"/>
      <c r="I2712" s="32"/>
      <c r="J2712" s="32"/>
      <c r="K2712" s="35"/>
      <c r="L2712" s="32"/>
      <c r="M2712" s="32"/>
    </row>
    <row r="2713" customFormat="false" ht="15" hidden="false" customHeight="true" outlineLevel="0" collapsed="false">
      <c r="A2713" s="32"/>
      <c r="B2713" s="32"/>
      <c r="C2713" s="32"/>
      <c r="D2713" s="32"/>
      <c r="E2713" s="34" t="str">
        <f aca="false">IF($B2713="","",IF($B2713="OUT","Liters",IFERROR(INDEX(Setup!$F$3:$F$24,MATCH($C2713,Setup!$A$3:$A$24,0)),"")))</f>
        <v/>
      </c>
      <c r="F2713" s="28" t="str">
        <f aca="false">IF(OR($D2713="",$E2713=""),"",IFERROR($D2713*INDEX(Setup!$B$27:$B$44,MATCH($E2713,Setup!$A$27:$A$44,0)),"TBD"))</f>
        <v/>
      </c>
      <c r="G2713" s="32"/>
      <c r="H2713" s="32"/>
      <c r="I2713" s="32"/>
      <c r="J2713" s="32"/>
      <c r="K2713" s="35"/>
      <c r="L2713" s="32"/>
      <c r="M2713" s="32"/>
    </row>
    <row r="2714" customFormat="false" ht="15" hidden="false" customHeight="true" outlineLevel="0" collapsed="false">
      <c r="A2714" s="32"/>
      <c r="B2714" s="32"/>
      <c r="C2714" s="32"/>
      <c r="D2714" s="32"/>
      <c r="E2714" s="34" t="str">
        <f aca="false">IF($B2714="","",IF($B2714="OUT","Liters",IFERROR(INDEX(Setup!$F$3:$F$24,MATCH($C2714,Setup!$A$3:$A$24,0)),"")))</f>
        <v/>
      </c>
      <c r="F2714" s="28" t="str">
        <f aca="false">IF(OR($D2714="",$E2714=""),"",IFERROR($D2714*INDEX(Setup!$B$27:$B$44,MATCH($E2714,Setup!$A$27:$A$44,0)),"TBD"))</f>
        <v/>
      </c>
      <c r="G2714" s="32"/>
      <c r="H2714" s="32"/>
      <c r="I2714" s="32"/>
      <c r="J2714" s="32"/>
      <c r="K2714" s="35"/>
      <c r="L2714" s="32"/>
      <c r="M2714" s="32"/>
    </row>
    <row r="2715" customFormat="false" ht="15" hidden="false" customHeight="true" outlineLevel="0" collapsed="false">
      <c r="A2715" s="32"/>
      <c r="B2715" s="32"/>
      <c r="C2715" s="32"/>
      <c r="D2715" s="32"/>
      <c r="E2715" s="34" t="str">
        <f aca="false">IF($B2715="","",IF($B2715="OUT","Liters",IFERROR(INDEX(Setup!$F$3:$F$24,MATCH($C2715,Setup!$A$3:$A$24,0)),"")))</f>
        <v/>
      </c>
      <c r="F2715" s="28" t="str">
        <f aca="false">IF(OR($D2715="",$E2715=""),"",IFERROR($D2715*INDEX(Setup!$B$27:$B$44,MATCH($E2715,Setup!$A$27:$A$44,0)),"TBD"))</f>
        <v/>
      </c>
      <c r="G2715" s="32"/>
      <c r="H2715" s="32"/>
      <c r="I2715" s="32"/>
      <c r="J2715" s="32"/>
      <c r="K2715" s="35"/>
      <c r="L2715" s="32"/>
      <c r="M2715" s="32"/>
    </row>
    <row r="2716" customFormat="false" ht="15" hidden="false" customHeight="true" outlineLevel="0" collapsed="false">
      <c r="A2716" s="32"/>
      <c r="B2716" s="32"/>
      <c r="C2716" s="32"/>
      <c r="D2716" s="32"/>
      <c r="E2716" s="34" t="str">
        <f aca="false">IF($B2716="","",IF($B2716="OUT","Liters",IFERROR(INDEX(Setup!$F$3:$F$24,MATCH($C2716,Setup!$A$3:$A$24,0)),"")))</f>
        <v/>
      </c>
      <c r="F2716" s="28" t="str">
        <f aca="false">IF(OR($D2716="",$E2716=""),"",IFERROR($D2716*INDEX(Setup!$B$27:$B$44,MATCH($E2716,Setup!$A$27:$A$44,0)),"TBD"))</f>
        <v/>
      </c>
      <c r="G2716" s="32"/>
      <c r="H2716" s="32"/>
      <c r="I2716" s="32"/>
      <c r="J2716" s="32"/>
      <c r="K2716" s="35"/>
      <c r="L2716" s="32"/>
      <c r="M2716" s="32"/>
    </row>
    <row r="2717" customFormat="false" ht="15" hidden="false" customHeight="true" outlineLevel="0" collapsed="false">
      <c r="A2717" s="32"/>
      <c r="B2717" s="32"/>
      <c r="C2717" s="32"/>
      <c r="D2717" s="32"/>
      <c r="E2717" s="34" t="str">
        <f aca="false">IF($B2717="","",IF($B2717="OUT","Liters",IFERROR(INDEX(Setup!$F$3:$F$24,MATCH($C2717,Setup!$A$3:$A$24,0)),"")))</f>
        <v/>
      </c>
      <c r="F2717" s="28" t="str">
        <f aca="false">IF(OR($D2717="",$E2717=""),"",IFERROR($D2717*INDEX(Setup!$B$27:$B$44,MATCH($E2717,Setup!$A$27:$A$44,0)),"TBD"))</f>
        <v/>
      </c>
      <c r="G2717" s="32"/>
      <c r="H2717" s="32"/>
      <c r="I2717" s="32"/>
      <c r="J2717" s="32"/>
      <c r="K2717" s="35"/>
      <c r="L2717" s="32"/>
      <c r="M2717" s="32"/>
    </row>
    <row r="2718" customFormat="false" ht="15" hidden="false" customHeight="true" outlineLevel="0" collapsed="false">
      <c r="A2718" s="32"/>
      <c r="B2718" s="32"/>
      <c r="C2718" s="32"/>
      <c r="D2718" s="32"/>
      <c r="E2718" s="34" t="str">
        <f aca="false">IF($B2718="","",IF($B2718="OUT","Liters",IFERROR(INDEX(Setup!$F$3:$F$24,MATCH($C2718,Setup!$A$3:$A$24,0)),"")))</f>
        <v/>
      </c>
      <c r="F2718" s="28" t="str">
        <f aca="false">IF(OR($D2718="",$E2718=""),"",IFERROR($D2718*INDEX(Setup!$B$27:$B$44,MATCH($E2718,Setup!$A$27:$A$44,0)),"TBD"))</f>
        <v/>
      </c>
      <c r="G2718" s="32"/>
      <c r="H2718" s="32"/>
      <c r="I2718" s="32"/>
      <c r="J2718" s="32"/>
      <c r="K2718" s="35"/>
      <c r="L2718" s="32"/>
      <c r="M2718" s="32"/>
    </row>
    <row r="2719" customFormat="false" ht="15" hidden="false" customHeight="true" outlineLevel="0" collapsed="false">
      <c r="A2719" s="32"/>
      <c r="B2719" s="32"/>
      <c r="C2719" s="32"/>
      <c r="D2719" s="32"/>
      <c r="E2719" s="34" t="str">
        <f aca="false">IF($B2719="","",IF($B2719="OUT","Liters",IFERROR(INDEX(Setup!$F$3:$F$24,MATCH($C2719,Setup!$A$3:$A$24,0)),"")))</f>
        <v/>
      </c>
      <c r="F2719" s="28" t="str">
        <f aca="false">IF(OR($D2719="",$E2719=""),"",IFERROR($D2719*INDEX(Setup!$B$27:$B$44,MATCH($E2719,Setup!$A$27:$A$44,0)),"TBD"))</f>
        <v/>
      </c>
      <c r="G2719" s="32"/>
      <c r="H2719" s="32"/>
      <c r="I2719" s="32"/>
      <c r="J2719" s="32"/>
      <c r="K2719" s="35"/>
      <c r="L2719" s="32"/>
      <c r="M2719" s="32"/>
    </row>
    <row r="2720" customFormat="false" ht="15" hidden="false" customHeight="true" outlineLevel="0" collapsed="false">
      <c r="A2720" s="32"/>
      <c r="B2720" s="32"/>
      <c r="C2720" s="32"/>
      <c r="D2720" s="32"/>
      <c r="E2720" s="34" t="str">
        <f aca="false">IF($B2720="","",IF($B2720="OUT","Liters",IFERROR(INDEX(Setup!$F$3:$F$24,MATCH($C2720,Setup!$A$3:$A$24,0)),"")))</f>
        <v/>
      </c>
      <c r="F2720" s="28" t="str">
        <f aca="false">IF(OR($D2720="",$E2720=""),"",IFERROR($D2720*INDEX(Setup!$B$27:$B$44,MATCH($E2720,Setup!$A$27:$A$44,0)),"TBD"))</f>
        <v/>
      </c>
      <c r="G2720" s="32"/>
      <c r="H2720" s="32"/>
      <c r="I2720" s="32"/>
      <c r="J2720" s="32"/>
      <c r="K2720" s="35"/>
      <c r="L2720" s="32"/>
      <c r="M2720" s="32"/>
    </row>
    <row r="2721" customFormat="false" ht="15" hidden="false" customHeight="true" outlineLevel="0" collapsed="false">
      <c r="A2721" s="32"/>
      <c r="B2721" s="32"/>
      <c r="C2721" s="32"/>
      <c r="D2721" s="32"/>
      <c r="E2721" s="34" t="str">
        <f aca="false">IF($B2721="","",IF($B2721="OUT","Liters",IFERROR(INDEX(Setup!$F$3:$F$24,MATCH($C2721,Setup!$A$3:$A$24,0)),"")))</f>
        <v/>
      </c>
      <c r="F2721" s="28" t="str">
        <f aca="false">IF(OR($D2721="",$E2721=""),"",IFERROR($D2721*INDEX(Setup!$B$27:$B$44,MATCH($E2721,Setup!$A$27:$A$44,0)),"TBD"))</f>
        <v/>
      </c>
      <c r="G2721" s="32"/>
      <c r="H2721" s="32"/>
      <c r="I2721" s="32"/>
      <c r="J2721" s="32"/>
      <c r="K2721" s="35"/>
      <c r="L2721" s="32"/>
      <c r="M2721" s="32"/>
    </row>
    <row r="2722" customFormat="false" ht="15" hidden="false" customHeight="true" outlineLevel="0" collapsed="false">
      <c r="A2722" s="32"/>
      <c r="B2722" s="32"/>
      <c r="C2722" s="32"/>
      <c r="D2722" s="32"/>
      <c r="E2722" s="34" t="str">
        <f aca="false">IF($B2722="","",IF($B2722="OUT","Liters",IFERROR(INDEX(Setup!$F$3:$F$24,MATCH($C2722,Setup!$A$3:$A$24,0)),"")))</f>
        <v/>
      </c>
      <c r="F2722" s="28" t="str">
        <f aca="false">IF(OR($D2722="",$E2722=""),"",IFERROR($D2722*INDEX(Setup!$B$27:$B$44,MATCH($E2722,Setup!$A$27:$A$44,0)),"TBD"))</f>
        <v/>
      </c>
      <c r="G2722" s="32"/>
      <c r="H2722" s="32"/>
      <c r="I2722" s="32"/>
      <c r="J2722" s="32"/>
      <c r="K2722" s="35"/>
      <c r="L2722" s="32"/>
      <c r="M2722" s="32"/>
    </row>
    <row r="2723" customFormat="false" ht="15" hidden="false" customHeight="true" outlineLevel="0" collapsed="false">
      <c r="A2723" s="32"/>
      <c r="B2723" s="32"/>
      <c r="C2723" s="32"/>
      <c r="D2723" s="32"/>
      <c r="E2723" s="34" t="str">
        <f aca="false">IF($B2723="","",IF($B2723="OUT","Liters",IFERROR(INDEX(Setup!$F$3:$F$24,MATCH($C2723,Setup!$A$3:$A$24,0)),"")))</f>
        <v/>
      </c>
      <c r="F2723" s="28" t="str">
        <f aca="false">IF(OR($D2723="",$E2723=""),"",IFERROR($D2723*INDEX(Setup!$B$27:$B$44,MATCH($E2723,Setup!$A$27:$A$44,0)),"TBD"))</f>
        <v/>
      </c>
      <c r="G2723" s="32"/>
      <c r="H2723" s="32"/>
      <c r="I2723" s="32"/>
      <c r="J2723" s="32"/>
      <c r="K2723" s="35"/>
      <c r="L2723" s="32"/>
      <c r="M2723" s="32"/>
    </row>
    <row r="2724" customFormat="false" ht="15" hidden="false" customHeight="true" outlineLevel="0" collapsed="false">
      <c r="A2724" s="32"/>
      <c r="B2724" s="32"/>
      <c r="C2724" s="32"/>
      <c r="D2724" s="32"/>
      <c r="E2724" s="34" t="str">
        <f aca="false">IF($B2724="","",IF($B2724="OUT","Liters",IFERROR(INDEX(Setup!$F$3:$F$24,MATCH($C2724,Setup!$A$3:$A$24,0)),"")))</f>
        <v/>
      </c>
      <c r="F2724" s="28" t="str">
        <f aca="false">IF(OR($D2724="",$E2724=""),"",IFERROR($D2724*INDEX(Setup!$B$27:$B$44,MATCH($E2724,Setup!$A$27:$A$44,0)),"TBD"))</f>
        <v/>
      </c>
      <c r="G2724" s="32"/>
      <c r="H2724" s="32"/>
      <c r="I2724" s="32"/>
      <c r="J2724" s="32"/>
      <c r="K2724" s="35"/>
      <c r="L2724" s="32"/>
      <c r="M2724" s="32"/>
    </row>
    <row r="2725" customFormat="false" ht="15" hidden="false" customHeight="true" outlineLevel="0" collapsed="false">
      <c r="A2725" s="32"/>
      <c r="B2725" s="32"/>
      <c r="C2725" s="32"/>
      <c r="D2725" s="32"/>
      <c r="E2725" s="34" t="str">
        <f aca="false">IF($B2725="","",IF($B2725="OUT","Liters",IFERROR(INDEX(Setup!$F$3:$F$24,MATCH($C2725,Setup!$A$3:$A$24,0)),"")))</f>
        <v/>
      </c>
      <c r="F2725" s="28" t="str">
        <f aca="false">IF(OR($D2725="",$E2725=""),"",IFERROR($D2725*INDEX(Setup!$B$27:$B$44,MATCH($E2725,Setup!$A$27:$A$44,0)),"TBD"))</f>
        <v/>
      </c>
      <c r="G2725" s="32"/>
      <c r="H2725" s="32"/>
      <c r="I2725" s="32"/>
      <c r="J2725" s="32"/>
      <c r="K2725" s="35"/>
      <c r="L2725" s="32"/>
      <c r="M2725" s="32"/>
    </row>
    <row r="2726" customFormat="false" ht="15" hidden="false" customHeight="true" outlineLevel="0" collapsed="false">
      <c r="A2726" s="32"/>
      <c r="B2726" s="32"/>
      <c r="C2726" s="32"/>
      <c r="D2726" s="32"/>
      <c r="E2726" s="34" t="str">
        <f aca="false">IF($B2726="","",IF($B2726="OUT","Liters",IFERROR(INDEX(Setup!$F$3:$F$24,MATCH($C2726,Setup!$A$3:$A$24,0)),"")))</f>
        <v/>
      </c>
      <c r="F2726" s="28" t="str">
        <f aca="false">IF(OR($D2726="",$E2726=""),"",IFERROR($D2726*INDEX(Setup!$B$27:$B$44,MATCH($E2726,Setup!$A$27:$A$44,0)),"TBD"))</f>
        <v/>
      </c>
      <c r="G2726" s="32"/>
      <c r="H2726" s="32"/>
      <c r="I2726" s="32"/>
      <c r="J2726" s="32"/>
      <c r="K2726" s="35"/>
      <c r="L2726" s="32"/>
      <c r="M2726" s="32"/>
    </row>
    <row r="2727" customFormat="false" ht="15" hidden="false" customHeight="true" outlineLevel="0" collapsed="false">
      <c r="A2727" s="32"/>
      <c r="B2727" s="32"/>
      <c r="C2727" s="32"/>
      <c r="D2727" s="32"/>
      <c r="E2727" s="34" t="str">
        <f aca="false">IF($B2727="","",IF($B2727="OUT","Liters",IFERROR(INDEX(Setup!$F$3:$F$24,MATCH($C2727,Setup!$A$3:$A$24,0)),"")))</f>
        <v/>
      </c>
      <c r="F2727" s="28" t="str">
        <f aca="false">IF(OR($D2727="",$E2727=""),"",IFERROR($D2727*INDEX(Setup!$B$27:$B$44,MATCH($E2727,Setup!$A$27:$A$44,0)),"TBD"))</f>
        <v/>
      </c>
      <c r="G2727" s="32"/>
      <c r="H2727" s="32"/>
      <c r="I2727" s="32"/>
      <c r="J2727" s="32"/>
      <c r="K2727" s="35"/>
      <c r="L2727" s="32"/>
      <c r="M2727" s="32"/>
    </row>
    <row r="2728" customFormat="false" ht="15" hidden="false" customHeight="true" outlineLevel="0" collapsed="false">
      <c r="A2728" s="32"/>
      <c r="B2728" s="32"/>
      <c r="C2728" s="32"/>
      <c r="D2728" s="32"/>
      <c r="E2728" s="34" t="str">
        <f aca="false">IF($B2728="","",IF($B2728="OUT","Liters",IFERROR(INDEX(Setup!$F$3:$F$24,MATCH($C2728,Setup!$A$3:$A$24,0)),"")))</f>
        <v/>
      </c>
      <c r="F2728" s="28" t="str">
        <f aca="false">IF(OR($D2728="",$E2728=""),"",IFERROR($D2728*INDEX(Setup!$B$27:$B$44,MATCH($E2728,Setup!$A$27:$A$44,0)),"TBD"))</f>
        <v/>
      </c>
      <c r="G2728" s="32"/>
      <c r="H2728" s="32"/>
      <c r="I2728" s="32"/>
      <c r="J2728" s="32"/>
      <c r="K2728" s="35"/>
      <c r="L2728" s="32"/>
      <c r="M2728" s="32"/>
    </row>
    <row r="2729" customFormat="false" ht="15" hidden="false" customHeight="true" outlineLevel="0" collapsed="false">
      <c r="A2729" s="32"/>
      <c r="B2729" s="32"/>
      <c r="C2729" s="32"/>
      <c r="D2729" s="32"/>
      <c r="E2729" s="34" t="str">
        <f aca="false">IF($B2729="","",IF($B2729="OUT","Liters",IFERROR(INDEX(Setup!$F$3:$F$24,MATCH($C2729,Setup!$A$3:$A$24,0)),"")))</f>
        <v/>
      </c>
      <c r="F2729" s="28" t="str">
        <f aca="false">IF(OR($D2729="",$E2729=""),"",IFERROR($D2729*INDEX(Setup!$B$27:$B$44,MATCH($E2729,Setup!$A$27:$A$44,0)),"TBD"))</f>
        <v/>
      </c>
      <c r="G2729" s="32"/>
      <c r="H2729" s="32"/>
      <c r="I2729" s="32"/>
      <c r="J2729" s="32"/>
      <c r="K2729" s="35"/>
      <c r="L2729" s="32"/>
      <c r="M2729" s="32"/>
    </row>
    <row r="2730" customFormat="false" ht="15" hidden="false" customHeight="true" outlineLevel="0" collapsed="false">
      <c r="A2730" s="32"/>
      <c r="B2730" s="32"/>
      <c r="C2730" s="32"/>
      <c r="D2730" s="32"/>
      <c r="E2730" s="34" t="str">
        <f aca="false">IF($B2730="","",IF($B2730="OUT","Liters",IFERROR(INDEX(Setup!$F$3:$F$24,MATCH($C2730,Setup!$A$3:$A$24,0)),"")))</f>
        <v/>
      </c>
      <c r="F2730" s="28" t="str">
        <f aca="false">IF(OR($D2730="",$E2730=""),"",IFERROR($D2730*INDEX(Setup!$B$27:$B$44,MATCH($E2730,Setup!$A$27:$A$44,0)),"TBD"))</f>
        <v/>
      </c>
      <c r="G2730" s="32"/>
      <c r="H2730" s="32"/>
      <c r="I2730" s="32"/>
      <c r="J2730" s="32"/>
      <c r="K2730" s="35"/>
      <c r="L2730" s="32"/>
      <c r="M2730" s="32"/>
    </row>
    <row r="2731" customFormat="false" ht="15" hidden="false" customHeight="true" outlineLevel="0" collapsed="false">
      <c r="A2731" s="32"/>
      <c r="B2731" s="32"/>
      <c r="C2731" s="32"/>
      <c r="D2731" s="32"/>
      <c r="E2731" s="34" t="str">
        <f aca="false">IF($B2731="","",IF($B2731="OUT","Liters",IFERROR(INDEX(Setup!$F$3:$F$24,MATCH($C2731,Setup!$A$3:$A$24,0)),"")))</f>
        <v/>
      </c>
      <c r="F2731" s="28" t="str">
        <f aca="false">IF(OR($D2731="",$E2731=""),"",IFERROR($D2731*INDEX(Setup!$B$27:$B$44,MATCH($E2731,Setup!$A$27:$A$44,0)),"TBD"))</f>
        <v/>
      </c>
      <c r="G2731" s="32"/>
      <c r="H2731" s="32"/>
      <c r="I2731" s="32"/>
      <c r="J2731" s="32"/>
      <c r="K2731" s="35"/>
      <c r="L2731" s="32"/>
      <c r="M2731" s="32"/>
    </row>
    <row r="2732" customFormat="false" ht="15" hidden="false" customHeight="true" outlineLevel="0" collapsed="false">
      <c r="A2732" s="32"/>
      <c r="B2732" s="32"/>
      <c r="C2732" s="32"/>
      <c r="D2732" s="32"/>
      <c r="E2732" s="34" t="str">
        <f aca="false">IF($B2732="","",IF($B2732="OUT","Liters",IFERROR(INDEX(Setup!$F$3:$F$24,MATCH($C2732,Setup!$A$3:$A$24,0)),"")))</f>
        <v/>
      </c>
      <c r="F2732" s="28" t="str">
        <f aca="false">IF(OR($D2732="",$E2732=""),"",IFERROR($D2732*INDEX(Setup!$B$27:$B$44,MATCH($E2732,Setup!$A$27:$A$44,0)),"TBD"))</f>
        <v/>
      </c>
      <c r="G2732" s="32"/>
      <c r="H2732" s="32"/>
      <c r="I2732" s="32"/>
      <c r="J2732" s="32"/>
      <c r="K2732" s="35"/>
      <c r="L2732" s="32"/>
      <c r="M2732" s="32"/>
    </row>
    <row r="2733" customFormat="false" ht="15" hidden="false" customHeight="true" outlineLevel="0" collapsed="false">
      <c r="A2733" s="32"/>
      <c r="B2733" s="32"/>
      <c r="C2733" s="32"/>
      <c r="D2733" s="32"/>
      <c r="E2733" s="34" t="str">
        <f aca="false">IF($B2733="","",IF($B2733="OUT","Liters",IFERROR(INDEX(Setup!$F$3:$F$24,MATCH($C2733,Setup!$A$3:$A$24,0)),"")))</f>
        <v/>
      </c>
      <c r="F2733" s="28" t="str">
        <f aca="false">IF(OR($D2733="",$E2733=""),"",IFERROR($D2733*INDEX(Setup!$B$27:$B$44,MATCH($E2733,Setup!$A$27:$A$44,0)),"TBD"))</f>
        <v/>
      </c>
      <c r="G2733" s="32"/>
      <c r="H2733" s="32"/>
      <c r="I2733" s="32"/>
      <c r="J2733" s="32"/>
      <c r="K2733" s="35"/>
      <c r="L2733" s="32"/>
      <c r="M2733" s="32"/>
    </row>
    <row r="2734" customFormat="false" ht="15" hidden="false" customHeight="true" outlineLevel="0" collapsed="false">
      <c r="A2734" s="32"/>
      <c r="B2734" s="32"/>
      <c r="C2734" s="32"/>
      <c r="D2734" s="32"/>
      <c r="E2734" s="34" t="str">
        <f aca="false">IF($B2734="","",IF($B2734="OUT","Liters",IFERROR(INDEX(Setup!$F$3:$F$24,MATCH($C2734,Setup!$A$3:$A$24,0)),"")))</f>
        <v/>
      </c>
      <c r="F2734" s="28" t="str">
        <f aca="false">IF(OR($D2734="",$E2734=""),"",IFERROR($D2734*INDEX(Setup!$B$27:$B$44,MATCH($E2734,Setup!$A$27:$A$44,0)),"TBD"))</f>
        <v/>
      </c>
      <c r="G2734" s="32"/>
      <c r="H2734" s="32"/>
      <c r="I2734" s="32"/>
      <c r="J2734" s="32"/>
      <c r="K2734" s="35"/>
      <c r="L2734" s="32"/>
      <c r="M2734" s="32"/>
    </row>
    <row r="2735" customFormat="false" ht="15" hidden="false" customHeight="true" outlineLevel="0" collapsed="false">
      <c r="A2735" s="32"/>
      <c r="B2735" s="32"/>
      <c r="C2735" s="32"/>
      <c r="D2735" s="32"/>
      <c r="E2735" s="34" t="str">
        <f aca="false">IF($B2735="","",IF($B2735="OUT","Liters",IFERROR(INDEX(Setup!$F$3:$F$24,MATCH($C2735,Setup!$A$3:$A$24,0)),"")))</f>
        <v/>
      </c>
      <c r="F2735" s="28" t="str">
        <f aca="false">IF(OR($D2735="",$E2735=""),"",IFERROR($D2735*INDEX(Setup!$B$27:$B$44,MATCH($E2735,Setup!$A$27:$A$44,0)),"TBD"))</f>
        <v/>
      </c>
      <c r="G2735" s="32"/>
      <c r="H2735" s="32"/>
      <c r="I2735" s="32"/>
      <c r="J2735" s="32"/>
      <c r="K2735" s="35"/>
      <c r="L2735" s="32"/>
      <c r="M2735" s="32"/>
    </row>
    <row r="2736" customFormat="false" ht="15" hidden="false" customHeight="true" outlineLevel="0" collapsed="false">
      <c r="A2736" s="32"/>
      <c r="B2736" s="32"/>
      <c r="C2736" s="32"/>
      <c r="D2736" s="32"/>
      <c r="E2736" s="34" t="str">
        <f aca="false">IF($B2736="","",IF($B2736="OUT","Liters",IFERROR(INDEX(Setup!$F$3:$F$24,MATCH($C2736,Setup!$A$3:$A$24,0)),"")))</f>
        <v/>
      </c>
      <c r="F2736" s="28" t="str">
        <f aca="false">IF(OR($D2736="",$E2736=""),"",IFERROR($D2736*INDEX(Setup!$B$27:$B$44,MATCH($E2736,Setup!$A$27:$A$44,0)),"TBD"))</f>
        <v/>
      </c>
      <c r="G2736" s="32"/>
      <c r="H2736" s="32"/>
      <c r="I2736" s="32"/>
      <c r="J2736" s="32"/>
      <c r="K2736" s="35"/>
      <c r="L2736" s="32"/>
      <c r="M2736" s="32"/>
    </row>
    <row r="2737" customFormat="false" ht="15" hidden="false" customHeight="true" outlineLevel="0" collapsed="false">
      <c r="A2737" s="32"/>
      <c r="B2737" s="32"/>
      <c r="C2737" s="32"/>
      <c r="D2737" s="32"/>
      <c r="E2737" s="34" t="str">
        <f aca="false">IF($B2737="","",IF($B2737="OUT","Liters",IFERROR(INDEX(Setup!$F$3:$F$24,MATCH($C2737,Setup!$A$3:$A$24,0)),"")))</f>
        <v/>
      </c>
      <c r="F2737" s="28" t="str">
        <f aca="false">IF(OR($D2737="",$E2737=""),"",IFERROR($D2737*INDEX(Setup!$B$27:$B$44,MATCH($E2737,Setup!$A$27:$A$44,0)),"TBD"))</f>
        <v/>
      </c>
      <c r="G2737" s="32"/>
      <c r="H2737" s="32"/>
      <c r="I2737" s="32"/>
      <c r="J2737" s="32"/>
      <c r="K2737" s="35"/>
      <c r="L2737" s="32"/>
      <c r="M2737" s="32"/>
    </row>
    <row r="2738" customFormat="false" ht="15" hidden="false" customHeight="true" outlineLevel="0" collapsed="false">
      <c r="A2738" s="32"/>
      <c r="B2738" s="32"/>
      <c r="C2738" s="32"/>
      <c r="D2738" s="32"/>
      <c r="E2738" s="34" t="str">
        <f aca="false">IF($B2738="","",IF($B2738="OUT","Liters",IFERROR(INDEX(Setup!$F$3:$F$24,MATCH($C2738,Setup!$A$3:$A$24,0)),"")))</f>
        <v/>
      </c>
      <c r="F2738" s="28" t="str">
        <f aca="false">IF(OR($D2738="",$E2738=""),"",IFERROR($D2738*INDEX(Setup!$B$27:$B$44,MATCH($E2738,Setup!$A$27:$A$44,0)),"TBD"))</f>
        <v/>
      </c>
      <c r="G2738" s="32"/>
      <c r="H2738" s="32"/>
      <c r="I2738" s="32"/>
      <c r="J2738" s="32"/>
      <c r="K2738" s="35"/>
      <c r="L2738" s="32"/>
      <c r="M2738" s="32"/>
    </row>
    <row r="2739" customFormat="false" ht="15" hidden="false" customHeight="true" outlineLevel="0" collapsed="false">
      <c r="A2739" s="32"/>
      <c r="B2739" s="32"/>
      <c r="C2739" s="32"/>
      <c r="D2739" s="32"/>
      <c r="E2739" s="34" t="str">
        <f aca="false">IF($B2739="","",IF($B2739="OUT","Liters",IFERROR(INDEX(Setup!$F$3:$F$24,MATCH($C2739,Setup!$A$3:$A$24,0)),"")))</f>
        <v/>
      </c>
      <c r="F2739" s="28" t="str">
        <f aca="false">IF(OR($D2739="",$E2739=""),"",IFERROR($D2739*INDEX(Setup!$B$27:$B$44,MATCH($E2739,Setup!$A$27:$A$44,0)),"TBD"))</f>
        <v/>
      </c>
      <c r="G2739" s="32"/>
      <c r="H2739" s="32"/>
      <c r="I2739" s="32"/>
      <c r="J2739" s="32"/>
      <c r="K2739" s="35"/>
      <c r="L2739" s="32"/>
      <c r="M2739" s="32"/>
    </row>
    <row r="2740" customFormat="false" ht="15" hidden="false" customHeight="true" outlineLevel="0" collapsed="false">
      <c r="A2740" s="32"/>
      <c r="B2740" s="32"/>
      <c r="C2740" s="32"/>
      <c r="D2740" s="32"/>
      <c r="E2740" s="34" t="str">
        <f aca="false">IF($B2740="","",IF($B2740="OUT","Liters",IFERROR(INDEX(Setup!$F$3:$F$24,MATCH($C2740,Setup!$A$3:$A$24,0)),"")))</f>
        <v/>
      </c>
      <c r="F2740" s="28" t="str">
        <f aca="false">IF(OR($D2740="",$E2740=""),"",IFERROR($D2740*INDEX(Setup!$B$27:$B$44,MATCH($E2740,Setup!$A$27:$A$44,0)),"TBD"))</f>
        <v/>
      </c>
      <c r="G2740" s="32"/>
      <c r="H2740" s="32"/>
      <c r="I2740" s="32"/>
      <c r="J2740" s="32"/>
      <c r="K2740" s="35"/>
      <c r="L2740" s="32"/>
      <c r="M2740" s="32"/>
    </row>
    <row r="2741" customFormat="false" ht="15" hidden="false" customHeight="true" outlineLevel="0" collapsed="false">
      <c r="A2741" s="32"/>
      <c r="B2741" s="32"/>
      <c r="C2741" s="32"/>
      <c r="D2741" s="32"/>
      <c r="E2741" s="34" t="str">
        <f aca="false">IF($B2741="","",IF($B2741="OUT","Liters",IFERROR(INDEX(Setup!$F$3:$F$24,MATCH($C2741,Setup!$A$3:$A$24,0)),"")))</f>
        <v/>
      </c>
      <c r="F2741" s="28" t="str">
        <f aca="false">IF(OR($D2741="",$E2741=""),"",IFERROR($D2741*INDEX(Setup!$B$27:$B$44,MATCH($E2741,Setup!$A$27:$A$44,0)),"TBD"))</f>
        <v/>
      </c>
      <c r="G2741" s="32"/>
      <c r="H2741" s="32"/>
      <c r="I2741" s="32"/>
      <c r="J2741" s="32"/>
      <c r="K2741" s="35"/>
      <c r="L2741" s="32"/>
      <c r="M2741" s="32"/>
    </row>
    <row r="2742" customFormat="false" ht="15" hidden="false" customHeight="true" outlineLevel="0" collapsed="false">
      <c r="A2742" s="32"/>
      <c r="B2742" s="32"/>
      <c r="C2742" s="32"/>
      <c r="D2742" s="32"/>
      <c r="E2742" s="34" t="str">
        <f aca="false">IF($B2742="","",IF($B2742="OUT","Liters",IFERROR(INDEX(Setup!$F$3:$F$24,MATCH($C2742,Setup!$A$3:$A$24,0)),"")))</f>
        <v/>
      </c>
      <c r="F2742" s="28" t="str">
        <f aca="false">IF(OR($D2742="",$E2742=""),"",IFERROR($D2742*INDEX(Setup!$B$27:$B$44,MATCH($E2742,Setup!$A$27:$A$44,0)),"TBD"))</f>
        <v/>
      </c>
      <c r="G2742" s="32"/>
      <c r="H2742" s="32"/>
      <c r="I2742" s="32"/>
      <c r="J2742" s="32"/>
      <c r="K2742" s="35"/>
      <c r="L2742" s="32"/>
      <c r="M2742" s="32"/>
    </row>
    <row r="2743" customFormat="false" ht="15" hidden="false" customHeight="true" outlineLevel="0" collapsed="false">
      <c r="A2743" s="32"/>
      <c r="B2743" s="32"/>
      <c r="C2743" s="32"/>
      <c r="D2743" s="32"/>
      <c r="E2743" s="34" t="str">
        <f aca="false">IF($B2743="","",IF($B2743="OUT","Liters",IFERROR(INDEX(Setup!$F$3:$F$24,MATCH($C2743,Setup!$A$3:$A$24,0)),"")))</f>
        <v/>
      </c>
      <c r="F2743" s="28" t="str">
        <f aca="false">IF(OR($D2743="",$E2743=""),"",IFERROR($D2743*INDEX(Setup!$B$27:$B$44,MATCH($E2743,Setup!$A$27:$A$44,0)),"TBD"))</f>
        <v/>
      </c>
      <c r="G2743" s="32"/>
      <c r="H2743" s="32"/>
      <c r="I2743" s="32"/>
      <c r="J2743" s="32"/>
      <c r="K2743" s="35"/>
      <c r="L2743" s="32"/>
      <c r="M2743" s="32"/>
    </row>
    <row r="2744" customFormat="false" ht="15" hidden="false" customHeight="true" outlineLevel="0" collapsed="false">
      <c r="A2744" s="32"/>
      <c r="B2744" s="32"/>
      <c r="C2744" s="32"/>
      <c r="D2744" s="32"/>
      <c r="E2744" s="34" t="str">
        <f aca="false">IF($B2744="","",IF($B2744="OUT","Liters",IFERROR(INDEX(Setup!$F$3:$F$24,MATCH($C2744,Setup!$A$3:$A$24,0)),"")))</f>
        <v/>
      </c>
      <c r="F2744" s="28" t="str">
        <f aca="false">IF(OR($D2744="",$E2744=""),"",IFERROR($D2744*INDEX(Setup!$B$27:$B$44,MATCH($E2744,Setup!$A$27:$A$44,0)),"TBD"))</f>
        <v/>
      </c>
      <c r="G2744" s="32"/>
      <c r="H2744" s="32"/>
      <c r="I2744" s="32"/>
      <c r="J2744" s="32"/>
      <c r="K2744" s="35"/>
      <c r="L2744" s="32"/>
      <c r="M2744" s="32"/>
    </row>
    <row r="2745" customFormat="false" ht="15" hidden="false" customHeight="true" outlineLevel="0" collapsed="false">
      <c r="A2745" s="32"/>
      <c r="B2745" s="32"/>
      <c r="C2745" s="32"/>
      <c r="D2745" s="32"/>
      <c r="E2745" s="34" t="str">
        <f aca="false">IF($B2745="","",IF($B2745="OUT","Liters",IFERROR(INDEX(Setup!$F$3:$F$24,MATCH($C2745,Setup!$A$3:$A$24,0)),"")))</f>
        <v/>
      </c>
      <c r="F2745" s="28" t="str">
        <f aca="false">IF(OR($D2745="",$E2745=""),"",IFERROR($D2745*INDEX(Setup!$B$27:$B$44,MATCH($E2745,Setup!$A$27:$A$44,0)),"TBD"))</f>
        <v/>
      </c>
      <c r="G2745" s="32"/>
      <c r="H2745" s="32"/>
      <c r="I2745" s="32"/>
      <c r="J2745" s="32"/>
      <c r="K2745" s="35"/>
      <c r="L2745" s="32"/>
      <c r="M2745" s="32"/>
    </row>
    <row r="2746" customFormat="false" ht="15" hidden="false" customHeight="true" outlineLevel="0" collapsed="false">
      <c r="A2746" s="32"/>
      <c r="B2746" s="32"/>
      <c r="C2746" s="32"/>
      <c r="D2746" s="32"/>
      <c r="E2746" s="34" t="str">
        <f aca="false">IF($B2746="","",IF($B2746="OUT","Liters",IFERROR(INDEX(Setup!$F$3:$F$24,MATCH($C2746,Setup!$A$3:$A$24,0)),"")))</f>
        <v/>
      </c>
      <c r="F2746" s="28" t="str">
        <f aca="false">IF(OR($D2746="",$E2746=""),"",IFERROR($D2746*INDEX(Setup!$B$27:$B$44,MATCH($E2746,Setup!$A$27:$A$44,0)),"TBD"))</f>
        <v/>
      </c>
      <c r="G2746" s="32"/>
      <c r="H2746" s="32"/>
      <c r="I2746" s="32"/>
      <c r="J2746" s="32"/>
      <c r="K2746" s="35"/>
      <c r="L2746" s="32"/>
      <c r="M2746" s="32"/>
    </row>
    <row r="2747" customFormat="false" ht="15" hidden="false" customHeight="true" outlineLevel="0" collapsed="false">
      <c r="A2747" s="32"/>
      <c r="B2747" s="32"/>
      <c r="C2747" s="32"/>
      <c r="D2747" s="32"/>
      <c r="E2747" s="34" t="str">
        <f aca="false">IF($B2747="","",IF($B2747="OUT","Liters",IFERROR(INDEX(Setup!$F$3:$F$24,MATCH($C2747,Setup!$A$3:$A$24,0)),"")))</f>
        <v/>
      </c>
      <c r="F2747" s="28" t="str">
        <f aca="false">IF(OR($D2747="",$E2747=""),"",IFERROR($D2747*INDEX(Setup!$B$27:$B$44,MATCH($E2747,Setup!$A$27:$A$44,0)),"TBD"))</f>
        <v/>
      </c>
      <c r="G2747" s="32"/>
      <c r="H2747" s="32"/>
      <c r="I2747" s="32"/>
      <c r="J2747" s="32"/>
      <c r="K2747" s="35"/>
      <c r="L2747" s="32"/>
      <c r="M2747" s="32"/>
    </row>
    <row r="2748" customFormat="false" ht="15" hidden="false" customHeight="true" outlineLevel="0" collapsed="false">
      <c r="A2748" s="32"/>
      <c r="B2748" s="32"/>
      <c r="C2748" s="32"/>
      <c r="D2748" s="32"/>
      <c r="E2748" s="34" t="str">
        <f aca="false">IF($B2748="","",IF($B2748="OUT","Liters",IFERROR(INDEX(Setup!$F$3:$F$24,MATCH($C2748,Setup!$A$3:$A$24,0)),"")))</f>
        <v/>
      </c>
      <c r="F2748" s="28" t="str">
        <f aca="false">IF(OR($D2748="",$E2748=""),"",IFERROR($D2748*INDEX(Setup!$B$27:$B$44,MATCH($E2748,Setup!$A$27:$A$44,0)),"TBD"))</f>
        <v/>
      </c>
      <c r="G2748" s="32"/>
      <c r="H2748" s="32"/>
      <c r="I2748" s="32"/>
      <c r="J2748" s="32"/>
      <c r="K2748" s="35"/>
      <c r="L2748" s="32"/>
      <c r="M2748" s="32"/>
    </row>
    <row r="2749" customFormat="false" ht="15" hidden="false" customHeight="true" outlineLevel="0" collapsed="false">
      <c r="A2749" s="32"/>
      <c r="B2749" s="32"/>
      <c r="C2749" s="32"/>
      <c r="D2749" s="32"/>
      <c r="E2749" s="34" t="str">
        <f aca="false">IF($B2749="","",IF($B2749="OUT","Liters",IFERROR(INDEX(Setup!$F$3:$F$24,MATCH($C2749,Setup!$A$3:$A$24,0)),"")))</f>
        <v/>
      </c>
      <c r="F2749" s="28" t="str">
        <f aca="false">IF(OR($D2749="",$E2749=""),"",IFERROR($D2749*INDEX(Setup!$B$27:$B$44,MATCH($E2749,Setup!$A$27:$A$44,0)),"TBD"))</f>
        <v/>
      </c>
      <c r="G2749" s="32"/>
      <c r="H2749" s="32"/>
      <c r="I2749" s="32"/>
      <c r="J2749" s="32"/>
      <c r="K2749" s="35"/>
      <c r="L2749" s="32"/>
      <c r="M2749" s="32"/>
    </row>
    <row r="2750" customFormat="false" ht="15" hidden="false" customHeight="true" outlineLevel="0" collapsed="false">
      <c r="A2750" s="32"/>
      <c r="B2750" s="32"/>
      <c r="C2750" s="32"/>
      <c r="D2750" s="32"/>
      <c r="E2750" s="34" t="str">
        <f aca="false">IF($B2750="","",IF($B2750="OUT","Liters",IFERROR(INDEX(Setup!$F$3:$F$24,MATCH($C2750,Setup!$A$3:$A$24,0)),"")))</f>
        <v/>
      </c>
      <c r="F2750" s="28" t="str">
        <f aca="false">IF(OR($D2750="",$E2750=""),"",IFERROR($D2750*INDEX(Setup!$B$27:$B$44,MATCH($E2750,Setup!$A$27:$A$44,0)),"TBD"))</f>
        <v/>
      </c>
      <c r="G2750" s="32"/>
      <c r="H2750" s="32"/>
      <c r="I2750" s="32"/>
      <c r="J2750" s="32"/>
      <c r="K2750" s="35"/>
      <c r="L2750" s="32"/>
      <c r="M2750" s="32"/>
    </row>
    <row r="2751" customFormat="false" ht="15" hidden="false" customHeight="true" outlineLevel="0" collapsed="false">
      <c r="A2751" s="32"/>
      <c r="B2751" s="32"/>
      <c r="C2751" s="32"/>
      <c r="D2751" s="32"/>
      <c r="E2751" s="34" t="str">
        <f aca="false">IF($B2751="","",IF($B2751="OUT","Liters",IFERROR(INDEX(Setup!$F$3:$F$24,MATCH($C2751,Setup!$A$3:$A$24,0)),"")))</f>
        <v/>
      </c>
      <c r="F2751" s="28" t="str">
        <f aca="false">IF(OR($D2751="",$E2751=""),"",IFERROR($D2751*INDEX(Setup!$B$27:$B$44,MATCH($E2751,Setup!$A$27:$A$44,0)),"TBD"))</f>
        <v/>
      </c>
      <c r="G2751" s="32"/>
      <c r="H2751" s="32"/>
      <c r="I2751" s="32"/>
      <c r="J2751" s="32"/>
      <c r="K2751" s="35"/>
      <c r="L2751" s="32"/>
      <c r="M2751" s="32"/>
    </row>
    <row r="2752" customFormat="false" ht="15" hidden="false" customHeight="true" outlineLevel="0" collapsed="false">
      <c r="A2752" s="32"/>
      <c r="B2752" s="32"/>
      <c r="C2752" s="32"/>
      <c r="D2752" s="32"/>
      <c r="E2752" s="34" t="str">
        <f aca="false">IF($B2752="","",IF($B2752="OUT","Liters",IFERROR(INDEX(Setup!$F$3:$F$24,MATCH($C2752,Setup!$A$3:$A$24,0)),"")))</f>
        <v/>
      </c>
      <c r="F2752" s="28" t="str">
        <f aca="false">IF(OR($D2752="",$E2752=""),"",IFERROR($D2752*INDEX(Setup!$B$27:$B$44,MATCH($E2752,Setup!$A$27:$A$44,0)),"TBD"))</f>
        <v/>
      </c>
      <c r="G2752" s="32"/>
      <c r="H2752" s="32"/>
      <c r="I2752" s="32"/>
      <c r="J2752" s="32"/>
      <c r="K2752" s="35"/>
      <c r="L2752" s="32"/>
      <c r="M2752" s="32"/>
    </row>
    <row r="2753" customFormat="false" ht="15" hidden="false" customHeight="true" outlineLevel="0" collapsed="false">
      <c r="A2753" s="32"/>
      <c r="B2753" s="32"/>
      <c r="C2753" s="32"/>
      <c r="D2753" s="32"/>
      <c r="E2753" s="34" t="str">
        <f aca="false">IF($B2753="","",IF($B2753="OUT","Liters",IFERROR(INDEX(Setup!$F$3:$F$24,MATCH($C2753,Setup!$A$3:$A$24,0)),"")))</f>
        <v/>
      </c>
      <c r="F2753" s="28" t="str">
        <f aca="false">IF(OR($D2753="",$E2753=""),"",IFERROR($D2753*INDEX(Setup!$B$27:$B$44,MATCH($E2753,Setup!$A$27:$A$44,0)),"TBD"))</f>
        <v/>
      </c>
      <c r="G2753" s="32"/>
      <c r="H2753" s="32"/>
      <c r="I2753" s="32"/>
      <c r="J2753" s="32"/>
      <c r="K2753" s="35"/>
      <c r="L2753" s="32"/>
      <c r="M2753" s="32"/>
    </row>
    <row r="2754" customFormat="false" ht="15" hidden="false" customHeight="true" outlineLevel="0" collapsed="false">
      <c r="A2754" s="32"/>
      <c r="B2754" s="32"/>
      <c r="C2754" s="32"/>
      <c r="D2754" s="32"/>
      <c r="E2754" s="34" t="str">
        <f aca="false">IF($B2754="","",IF($B2754="OUT","Liters",IFERROR(INDEX(Setup!$F$3:$F$24,MATCH($C2754,Setup!$A$3:$A$24,0)),"")))</f>
        <v/>
      </c>
      <c r="F2754" s="28" t="str">
        <f aca="false">IF(OR($D2754="",$E2754=""),"",IFERROR($D2754*INDEX(Setup!$B$27:$B$44,MATCH($E2754,Setup!$A$27:$A$44,0)),"TBD"))</f>
        <v/>
      </c>
      <c r="G2754" s="32"/>
      <c r="H2754" s="32"/>
      <c r="I2754" s="32"/>
      <c r="J2754" s="32"/>
      <c r="K2754" s="35"/>
      <c r="L2754" s="32"/>
      <c r="M2754" s="32"/>
    </row>
    <row r="2755" customFormat="false" ht="15" hidden="false" customHeight="true" outlineLevel="0" collapsed="false">
      <c r="A2755" s="32"/>
      <c r="B2755" s="32"/>
      <c r="C2755" s="32"/>
      <c r="D2755" s="32"/>
      <c r="E2755" s="34" t="str">
        <f aca="false">IF($B2755="","",IF($B2755="OUT","Liters",IFERROR(INDEX(Setup!$F$3:$F$24,MATCH($C2755,Setup!$A$3:$A$24,0)),"")))</f>
        <v/>
      </c>
      <c r="F2755" s="28" t="str">
        <f aca="false">IF(OR($D2755="",$E2755=""),"",IFERROR($D2755*INDEX(Setup!$B$27:$B$44,MATCH($E2755,Setup!$A$27:$A$44,0)),"TBD"))</f>
        <v/>
      </c>
      <c r="G2755" s="32"/>
      <c r="H2755" s="32"/>
      <c r="I2755" s="32"/>
      <c r="J2755" s="32"/>
      <c r="K2755" s="35"/>
      <c r="L2755" s="32"/>
      <c r="M2755" s="32"/>
    </row>
    <row r="2756" customFormat="false" ht="15" hidden="false" customHeight="true" outlineLevel="0" collapsed="false">
      <c r="A2756" s="32"/>
      <c r="B2756" s="32"/>
      <c r="C2756" s="32"/>
      <c r="D2756" s="32"/>
      <c r="E2756" s="34" t="str">
        <f aca="false">IF($B2756="","",IF($B2756="OUT","Liters",IFERROR(INDEX(Setup!$F$3:$F$24,MATCH($C2756,Setup!$A$3:$A$24,0)),"")))</f>
        <v/>
      </c>
      <c r="F2756" s="28" t="str">
        <f aca="false">IF(OR($D2756="",$E2756=""),"",IFERROR($D2756*INDEX(Setup!$B$27:$B$44,MATCH($E2756,Setup!$A$27:$A$44,0)),"TBD"))</f>
        <v/>
      </c>
      <c r="G2756" s="32"/>
      <c r="H2756" s="32"/>
      <c r="I2756" s="32"/>
      <c r="J2756" s="32"/>
      <c r="K2756" s="35"/>
      <c r="L2756" s="32"/>
      <c r="M2756" s="32"/>
    </row>
    <row r="2757" customFormat="false" ht="15" hidden="false" customHeight="true" outlineLevel="0" collapsed="false">
      <c r="A2757" s="32"/>
      <c r="B2757" s="32"/>
      <c r="C2757" s="32"/>
      <c r="D2757" s="32"/>
      <c r="E2757" s="34" t="str">
        <f aca="false">IF($B2757="","",IF($B2757="OUT","Liters",IFERROR(INDEX(Setup!$F$3:$F$24,MATCH($C2757,Setup!$A$3:$A$24,0)),"")))</f>
        <v/>
      </c>
      <c r="F2757" s="28" t="str">
        <f aca="false">IF(OR($D2757="",$E2757=""),"",IFERROR($D2757*INDEX(Setup!$B$27:$B$44,MATCH($E2757,Setup!$A$27:$A$44,0)),"TBD"))</f>
        <v/>
      </c>
      <c r="G2757" s="32"/>
      <c r="H2757" s="32"/>
      <c r="I2757" s="32"/>
      <c r="J2757" s="32"/>
      <c r="K2757" s="35"/>
      <c r="L2757" s="32"/>
      <c r="M2757" s="32"/>
    </row>
    <row r="2758" customFormat="false" ht="15" hidden="false" customHeight="true" outlineLevel="0" collapsed="false">
      <c r="A2758" s="32"/>
      <c r="B2758" s="32"/>
      <c r="C2758" s="32"/>
      <c r="D2758" s="32"/>
      <c r="E2758" s="34" t="str">
        <f aca="false">IF($B2758="","",IF($B2758="OUT","Liters",IFERROR(INDEX(Setup!$F$3:$F$24,MATCH($C2758,Setup!$A$3:$A$24,0)),"")))</f>
        <v/>
      </c>
      <c r="F2758" s="28" t="str">
        <f aca="false">IF(OR($D2758="",$E2758=""),"",IFERROR($D2758*INDEX(Setup!$B$27:$B$44,MATCH($E2758,Setup!$A$27:$A$44,0)),"TBD"))</f>
        <v/>
      </c>
      <c r="G2758" s="32"/>
      <c r="H2758" s="32"/>
      <c r="I2758" s="32"/>
      <c r="J2758" s="32"/>
      <c r="K2758" s="35"/>
      <c r="L2758" s="32"/>
      <c r="M2758" s="32"/>
    </row>
    <row r="2759" customFormat="false" ht="15" hidden="false" customHeight="true" outlineLevel="0" collapsed="false">
      <c r="A2759" s="32"/>
      <c r="B2759" s="32"/>
      <c r="C2759" s="32"/>
      <c r="D2759" s="32"/>
      <c r="E2759" s="34" t="str">
        <f aca="false">IF($B2759="","",IF($B2759="OUT","Liters",IFERROR(INDEX(Setup!$F$3:$F$24,MATCH($C2759,Setup!$A$3:$A$24,0)),"")))</f>
        <v/>
      </c>
      <c r="F2759" s="28" t="str">
        <f aca="false">IF(OR($D2759="",$E2759=""),"",IFERROR($D2759*INDEX(Setup!$B$27:$B$44,MATCH($E2759,Setup!$A$27:$A$44,0)),"TBD"))</f>
        <v/>
      </c>
      <c r="G2759" s="32"/>
      <c r="H2759" s="32"/>
      <c r="I2759" s="32"/>
      <c r="J2759" s="32"/>
      <c r="K2759" s="35"/>
      <c r="L2759" s="32"/>
      <c r="M2759" s="32"/>
    </row>
    <row r="2760" customFormat="false" ht="15" hidden="false" customHeight="true" outlineLevel="0" collapsed="false">
      <c r="A2760" s="32"/>
      <c r="B2760" s="32"/>
      <c r="C2760" s="32"/>
      <c r="D2760" s="32"/>
      <c r="E2760" s="34" t="str">
        <f aca="false">IF($B2760="","",IF($B2760="OUT","Liters",IFERROR(INDEX(Setup!$F$3:$F$24,MATCH($C2760,Setup!$A$3:$A$24,0)),"")))</f>
        <v/>
      </c>
      <c r="F2760" s="28" t="str">
        <f aca="false">IF(OR($D2760="",$E2760=""),"",IFERROR($D2760*INDEX(Setup!$B$27:$B$44,MATCH($E2760,Setup!$A$27:$A$44,0)),"TBD"))</f>
        <v/>
      </c>
      <c r="G2760" s="32"/>
      <c r="H2760" s="32"/>
      <c r="I2760" s="32"/>
      <c r="J2760" s="32"/>
      <c r="K2760" s="35"/>
      <c r="L2760" s="32"/>
      <c r="M2760" s="32"/>
    </row>
    <row r="2761" customFormat="false" ht="15" hidden="false" customHeight="true" outlineLevel="0" collapsed="false">
      <c r="A2761" s="32"/>
      <c r="B2761" s="32"/>
      <c r="C2761" s="32"/>
      <c r="D2761" s="32"/>
      <c r="E2761" s="34" t="str">
        <f aca="false">IF($B2761="","",IF($B2761="OUT","Liters",IFERROR(INDEX(Setup!$F$3:$F$24,MATCH($C2761,Setup!$A$3:$A$24,0)),"")))</f>
        <v/>
      </c>
      <c r="F2761" s="28" t="str">
        <f aca="false">IF(OR($D2761="",$E2761=""),"",IFERROR($D2761*INDEX(Setup!$B$27:$B$44,MATCH($E2761,Setup!$A$27:$A$44,0)),"TBD"))</f>
        <v/>
      </c>
      <c r="G2761" s="32"/>
      <c r="H2761" s="32"/>
      <c r="I2761" s="32"/>
      <c r="J2761" s="32"/>
      <c r="K2761" s="35"/>
      <c r="L2761" s="32"/>
      <c r="M2761" s="32"/>
    </row>
    <row r="2762" customFormat="false" ht="15" hidden="false" customHeight="true" outlineLevel="0" collapsed="false">
      <c r="A2762" s="32"/>
      <c r="B2762" s="32"/>
      <c r="C2762" s="32"/>
      <c r="D2762" s="32"/>
      <c r="E2762" s="34" t="str">
        <f aca="false">IF($B2762="","",IF($B2762="OUT","Liters",IFERROR(INDEX(Setup!$F$3:$F$24,MATCH($C2762,Setup!$A$3:$A$24,0)),"")))</f>
        <v/>
      </c>
      <c r="F2762" s="28" t="str">
        <f aca="false">IF(OR($D2762="",$E2762=""),"",IFERROR($D2762*INDEX(Setup!$B$27:$B$44,MATCH($E2762,Setup!$A$27:$A$44,0)),"TBD"))</f>
        <v/>
      </c>
      <c r="G2762" s="32"/>
      <c r="H2762" s="32"/>
      <c r="I2762" s="32"/>
      <c r="J2762" s="32"/>
      <c r="K2762" s="35"/>
      <c r="L2762" s="32"/>
      <c r="M2762" s="32"/>
    </row>
    <row r="2763" customFormat="false" ht="15" hidden="false" customHeight="true" outlineLevel="0" collapsed="false">
      <c r="A2763" s="32"/>
      <c r="B2763" s="32"/>
      <c r="C2763" s="32"/>
      <c r="D2763" s="32"/>
      <c r="E2763" s="34" t="str">
        <f aca="false">IF($B2763="","",IF($B2763="OUT","Liters",IFERROR(INDEX(Setup!$F$3:$F$24,MATCH($C2763,Setup!$A$3:$A$24,0)),"")))</f>
        <v/>
      </c>
      <c r="F2763" s="28" t="str">
        <f aca="false">IF(OR($D2763="",$E2763=""),"",IFERROR($D2763*INDEX(Setup!$B$27:$B$44,MATCH($E2763,Setup!$A$27:$A$44,0)),"TBD"))</f>
        <v/>
      </c>
      <c r="G2763" s="32"/>
      <c r="H2763" s="32"/>
      <c r="I2763" s="32"/>
      <c r="J2763" s="32"/>
      <c r="K2763" s="35"/>
      <c r="L2763" s="32"/>
      <c r="M2763" s="32"/>
    </row>
    <row r="2764" customFormat="false" ht="15" hidden="false" customHeight="true" outlineLevel="0" collapsed="false">
      <c r="A2764" s="32"/>
      <c r="B2764" s="32"/>
      <c r="C2764" s="32"/>
      <c r="D2764" s="32"/>
      <c r="E2764" s="34" t="str">
        <f aca="false">IF($B2764="","",IF($B2764="OUT","Liters",IFERROR(INDEX(Setup!$F$3:$F$24,MATCH($C2764,Setup!$A$3:$A$24,0)),"")))</f>
        <v/>
      </c>
      <c r="F2764" s="28" t="str">
        <f aca="false">IF(OR($D2764="",$E2764=""),"",IFERROR($D2764*INDEX(Setup!$B$27:$B$44,MATCH($E2764,Setup!$A$27:$A$44,0)),"TBD"))</f>
        <v/>
      </c>
      <c r="G2764" s="32"/>
      <c r="H2764" s="32"/>
      <c r="I2764" s="32"/>
      <c r="J2764" s="32"/>
      <c r="K2764" s="35"/>
      <c r="L2764" s="32"/>
      <c r="M2764" s="32"/>
    </row>
    <row r="2765" customFormat="false" ht="15" hidden="false" customHeight="true" outlineLevel="0" collapsed="false">
      <c r="A2765" s="32"/>
      <c r="B2765" s="32"/>
      <c r="C2765" s="32"/>
      <c r="D2765" s="32"/>
      <c r="E2765" s="34" t="str">
        <f aca="false">IF($B2765="","",IF($B2765="OUT","Liters",IFERROR(INDEX(Setup!$F$3:$F$24,MATCH($C2765,Setup!$A$3:$A$24,0)),"")))</f>
        <v/>
      </c>
      <c r="F2765" s="28" t="str">
        <f aca="false">IF(OR($D2765="",$E2765=""),"",IFERROR($D2765*INDEX(Setup!$B$27:$B$44,MATCH($E2765,Setup!$A$27:$A$44,0)),"TBD"))</f>
        <v/>
      </c>
      <c r="G2765" s="32"/>
      <c r="H2765" s="32"/>
      <c r="I2765" s="32"/>
      <c r="J2765" s="32"/>
      <c r="K2765" s="35"/>
      <c r="L2765" s="32"/>
      <c r="M2765" s="32"/>
    </row>
    <row r="2766" customFormat="false" ht="15" hidden="false" customHeight="true" outlineLevel="0" collapsed="false">
      <c r="A2766" s="32"/>
      <c r="B2766" s="32"/>
      <c r="C2766" s="32"/>
      <c r="D2766" s="32"/>
      <c r="E2766" s="34" t="str">
        <f aca="false">IF($B2766="","",IF($B2766="OUT","Liters",IFERROR(INDEX(Setup!$F$3:$F$24,MATCH($C2766,Setup!$A$3:$A$24,0)),"")))</f>
        <v/>
      </c>
      <c r="F2766" s="28" t="str">
        <f aca="false">IF(OR($D2766="",$E2766=""),"",IFERROR($D2766*INDEX(Setup!$B$27:$B$44,MATCH($E2766,Setup!$A$27:$A$44,0)),"TBD"))</f>
        <v/>
      </c>
      <c r="G2766" s="32"/>
      <c r="H2766" s="32"/>
      <c r="I2766" s="32"/>
      <c r="J2766" s="32"/>
      <c r="K2766" s="35"/>
      <c r="L2766" s="32"/>
      <c r="M2766" s="32"/>
    </row>
    <row r="2767" customFormat="false" ht="15" hidden="false" customHeight="true" outlineLevel="0" collapsed="false">
      <c r="A2767" s="32"/>
      <c r="B2767" s="32"/>
      <c r="C2767" s="32"/>
      <c r="D2767" s="32"/>
      <c r="E2767" s="34" t="str">
        <f aca="false">IF($B2767="","",IF($B2767="OUT","Liters",IFERROR(INDEX(Setup!$F$3:$F$24,MATCH($C2767,Setup!$A$3:$A$24,0)),"")))</f>
        <v/>
      </c>
      <c r="F2767" s="28" t="str">
        <f aca="false">IF(OR($D2767="",$E2767=""),"",IFERROR($D2767*INDEX(Setup!$B$27:$B$44,MATCH($E2767,Setup!$A$27:$A$44,0)),"TBD"))</f>
        <v/>
      </c>
      <c r="G2767" s="32"/>
      <c r="H2767" s="32"/>
      <c r="I2767" s="32"/>
      <c r="J2767" s="32"/>
      <c r="K2767" s="35"/>
      <c r="L2767" s="32"/>
      <c r="M2767" s="32"/>
    </row>
    <row r="2768" customFormat="false" ht="15" hidden="false" customHeight="true" outlineLevel="0" collapsed="false">
      <c r="A2768" s="32"/>
      <c r="B2768" s="32"/>
      <c r="C2768" s="32"/>
      <c r="D2768" s="32"/>
      <c r="E2768" s="34" t="str">
        <f aca="false">IF($B2768="","",IF($B2768="OUT","Liters",IFERROR(INDEX(Setup!$F$3:$F$24,MATCH($C2768,Setup!$A$3:$A$24,0)),"")))</f>
        <v/>
      </c>
      <c r="F2768" s="28" t="str">
        <f aca="false">IF(OR($D2768="",$E2768=""),"",IFERROR($D2768*INDEX(Setup!$B$27:$B$44,MATCH($E2768,Setup!$A$27:$A$44,0)),"TBD"))</f>
        <v/>
      </c>
      <c r="G2768" s="32"/>
      <c r="H2768" s="32"/>
      <c r="I2768" s="32"/>
      <c r="J2768" s="32"/>
      <c r="K2768" s="35"/>
      <c r="L2768" s="32"/>
      <c r="M2768" s="32"/>
    </row>
    <row r="2769" customFormat="false" ht="15" hidden="false" customHeight="true" outlineLevel="0" collapsed="false">
      <c r="A2769" s="32"/>
      <c r="B2769" s="32"/>
      <c r="C2769" s="32"/>
      <c r="D2769" s="32"/>
      <c r="E2769" s="34" t="str">
        <f aca="false">IF($B2769="","",IF($B2769="OUT","Liters",IFERROR(INDEX(Setup!$F$3:$F$24,MATCH($C2769,Setup!$A$3:$A$24,0)),"")))</f>
        <v/>
      </c>
      <c r="F2769" s="28" t="str">
        <f aca="false">IF(OR($D2769="",$E2769=""),"",IFERROR($D2769*INDEX(Setup!$B$27:$B$44,MATCH($E2769,Setup!$A$27:$A$44,0)),"TBD"))</f>
        <v/>
      </c>
      <c r="G2769" s="32"/>
      <c r="H2769" s="32"/>
      <c r="I2769" s="32"/>
      <c r="J2769" s="32"/>
      <c r="K2769" s="35"/>
      <c r="L2769" s="32"/>
      <c r="M2769" s="32"/>
    </row>
    <row r="2770" customFormat="false" ht="15" hidden="false" customHeight="true" outlineLevel="0" collapsed="false">
      <c r="A2770" s="32"/>
      <c r="B2770" s="32"/>
      <c r="C2770" s="32"/>
      <c r="D2770" s="32"/>
      <c r="E2770" s="34" t="str">
        <f aca="false">IF($B2770="","",IF($B2770="OUT","Liters",IFERROR(INDEX(Setup!$F$3:$F$24,MATCH($C2770,Setup!$A$3:$A$24,0)),"")))</f>
        <v/>
      </c>
      <c r="F2770" s="28" t="str">
        <f aca="false">IF(OR($D2770="",$E2770=""),"",IFERROR($D2770*INDEX(Setup!$B$27:$B$44,MATCH($E2770,Setup!$A$27:$A$44,0)),"TBD"))</f>
        <v/>
      </c>
      <c r="G2770" s="32"/>
      <c r="H2770" s="32"/>
      <c r="I2770" s="32"/>
      <c r="J2770" s="32"/>
      <c r="K2770" s="35"/>
      <c r="L2770" s="32"/>
      <c r="M2770" s="32"/>
    </row>
    <row r="2771" customFormat="false" ht="15" hidden="false" customHeight="true" outlineLevel="0" collapsed="false">
      <c r="A2771" s="32"/>
      <c r="B2771" s="32"/>
      <c r="C2771" s="32"/>
      <c r="D2771" s="32"/>
      <c r="E2771" s="34" t="str">
        <f aca="false">IF($B2771="","",IF($B2771="OUT","Liters",IFERROR(INDEX(Setup!$F$3:$F$24,MATCH($C2771,Setup!$A$3:$A$24,0)),"")))</f>
        <v/>
      </c>
      <c r="F2771" s="28" t="str">
        <f aca="false">IF(OR($D2771="",$E2771=""),"",IFERROR($D2771*INDEX(Setup!$B$27:$B$44,MATCH($E2771,Setup!$A$27:$A$44,0)),"TBD"))</f>
        <v/>
      </c>
      <c r="G2771" s="32"/>
      <c r="H2771" s="32"/>
      <c r="I2771" s="32"/>
      <c r="J2771" s="32"/>
      <c r="K2771" s="35"/>
      <c r="L2771" s="32"/>
      <c r="M2771" s="32"/>
    </row>
    <row r="2772" customFormat="false" ht="15" hidden="false" customHeight="true" outlineLevel="0" collapsed="false">
      <c r="A2772" s="32"/>
      <c r="B2772" s="32"/>
      <c r="C2772" s="32"/>
      <c r="D2772" s="32"/>
      <c r="E2772" s="34" t="str">
        <f aca="false">IF($B2772="","",IF($B2772="OUT","Liters",IFERROR(INDEX(Setup!$F$3:$F$24,MATCH($C2772,Setup!$A$3:$A$24,0)),"")))</f>
        <v/>
      </c>
      <c r="F2772" s="28" t="str">
        <f aca="false">IF(OR($D2772="",$E2772=""),"",IFERROR($D2772*INDEX(Setup!$B$27:$B$44,MATCH($E2772,Setup!$A$27:$A$44,0)),"TBD"))</f>
        <v/>
      </c>
      <c r="G2772" s="32"/>
      <c r="H2772" s="32"/>
      <c r="I2772" s="32"/>
      <c r="J2772" s="32"/>
      <c r="K2772" s="35"/>
      <c r="L2772" s="32"/>
      <c r="M2772" s="32"/>
    </row>
    <row r="2773" customFormat="false" ht="15" hidden="false" customHeight="true" outlineLevel="0" collapsed="false">
      <c r="A2773" s="32"/>
      <c r="B2773" s="32"/>
      <c r="C2773" s="32"/>
      <c r="D2773" s="32"/>
      <c r="E2773" s="34" t="str">
        <f aca="false">IF($B2773="","",IF($B2773="OUT","Liters",IFERROR(INDEX(Setup!$F$3:$F$24,MATCH($C2773,Setup!$A$3:$A$24,0)),"")))</f>
        <v/>
      </c>
      <c r="F2773" s="28" t="str">
        <f aca="false">IF(OR($D2773="",$E2773=""),"",IFERROR($D2773*INDEX(Setup!$B$27:$B$44,MATCH($E2773,Setup!$A$27:$A$44,0)),"TBD"))</f>
        <v/>
      </c>
      <c r="G2773" s="32"/>
      <c r="H2773" s="32"/>
      <c r="I2773" s="32"/>
      <c r="J2773" s="32"/>
      <c r="K2773" s="35"/>
      <c r="L2773" s="32"/>
      <c r="M2773" s="32"/>
    </row>
    <row r="2774" customFormat="false" ht="15" hidden="false" customHeight="true" outlineLevel="0" collapsed="false">
      <c r="A2774" s="32"/>
      <c r="B2774" s="32"/>
      <c r="C2774" s="32"/>
      <c r="D2774" s="32"/>
      <c r="E2774" s="34" t="str">
        <f aca="false">IF($B2774="","",IF($B2774="OUT","Liters",IFERROR(INDEX(Setup!$F$3:$F$24,MATCH($C2774,Setup!$A$3:$A$24,0)),"")))</f>
        <v/>
      </c>
      <c r="F2774" s="28" t="str">
        <f aca="false">IF(OR($D2774="",$E2774=""),"",IFERROR($D2774*INDEX(Setup!$B$27:$B$44,MATCH($E2774,Setup!$A$27:$A$44,0)),"TBD"))</f>
        <v/>
      </c>
      <c r="G2774" s="32"/>
      <c r="H2774" s="32"/>
      <c r="I2774" s="32"/>
      <c r="J2774" s="32"/>
      <c r="K2774" s="35"/>
      <c r="L2774" s="32"/>
      <c r="M2774" s="32"/>
    </row>
    <row r="2775" customFormat="false" ht="15" hidden="false" customHeight="true" outlineLevel="0" collapsed="false">
      <c r="A2775" s="32"/>
      <c r="B2775" s="32"/>
      <c r="C2775" s="32"/>
      <c r="D2775" s="32"/>
      <c r="E2775" s="34" t="str">
        <f aca="false">IF($B2775="","",IF($B2775="OUT","Liters",IFERROR(INDEX(Setup!$F$3:$F$24,MATCH($C2775,Setup!$A$3:$A$24,0)),"")))</f>
        <v/>
      </c>
      <c r="F2775" s="28" t="str">
        <f aca="false">IF(OR($D2775="",$E2775=""),"",IFERROR($D2775*INDEX(Setup!$B$27:$B$44,MATCH($E2775,Setup!$A$27:$A$44,0)),"TBD"))</f>
        <v/>
      </c>
      <c r="G2775" s="32"/>
      <c r="H2775" s="32"/>
      <c r="I2775" s="32"/>
      <c r="J2775" s="32"/>
      <c r="K2775" s="35"/>
      <c r="L2775" s="32"/>
      <c r="M2775" s="32"/>
    </row>
    <row r="2776" customFormat="false" ht="15" hidden="false" customHeight="true" outlineLevel="0" collapsed="false">
      <c r="A2776" s="32"/>
      <c r="B2776" s="32"/>
      <c r="C2776" s="32"/>
      <c r="D2776" s="32"/>
      <c r="E2776" s="34" t="str">
        <f aca="false">IF($B2776="","",IF($B2776="OUT","Liters",IFERROR(INDEX(Setup!$F$3:$F$24,MATCH($C2776,Setup!$A$3:$A$24,0)),"")))</f>
        <v/>
      </c>
      <c r="F2776" s="28" t="str">
        <f aca="false">IF(OR($D2776="",$E2776=""),"",IFERROR($D2776*INDEX(Setup!$B$27:$B$44,MATCH($E2776,Setup!$A$27:$A$44,0)),"TBD"))</f>
        <v/>
      </c>
      <c r="G2776" s="32"/>
      <c r="H2776" s="32"/>
      <c r="I2776" s="32"/>
      <c r="J2776" s="32"/>
      <c r="K2776" s="35"/>
      <c r="L2776" s="32"/>
      <c r="M2776" s="32"/>
    </row>
    <row r="2777" customFormat="false" ht="15" hidden="false" customHeight="true" outlineLevel="0" collapsed="false">
      <c r="A2777" s="32"/>
      <c r="B2777" s="32"/>
      <c r="C2777" s="32"/>
      <c r="D2777" s="32"/>
      <c r="E2777" s="34" t="str">
        <f aca="false">IF($B2777="","",IF($B2777="OUT","Liters",IFERROR(INDEX(Setup!$F$3:$F$24,MATCH($C2777,Setup!$A$3:$A$24,0)),"")))</f>
        <v/>
      </c>
      <c r="F2777" s="28" t="str">
        <f aca="false">IF(OR($D2777="",$E2777=""),"",IFERROR($D2777*INDEX(Setup!$B$27:$B$44,MATCH($E2777,Setup!$A$27:$A$44,0)),"TBD"))</f>
        <v/>
      </c>
      <c r="G2777" s="32"/>
      <c r="H2777" s="32"/>
      <c r="I2777" s="32"/>
      <c r="J2777" s="32"/>
      <c r="K2777" s="35"/>
      <c r="L2777" s="32"/>
      <c r="M2777" s="32"/>
    </row>
    <row r="2778" customFormat="false" ht="15" hidden="false" customHeight="true" outlineLevel="0" collapsed="false">
      <c r="A2778" s="32"/>
      <c r="B2778" s="32"/>
      <c r="C2778" s="32"/>
      <c r="D2778" s="32"/>
      <c r="E2778" s="34" t="str">
        <f aca="false">IF($B2778="","",IF($B2778="OUT","Liters",IFERROR(INDEX(Setup!$F$3:$F$24,MATCH($C2778,Setup!$A$3:$A$24,0)),"")))</f>
        <v/>
      </c>
      <c r="F2778" s="28" t="str">
        <f aca="false">IF(OR($D2778="",$E2778=""),"",IFERROR($D2778*INDEX(Setup!$B$27:$B$44,MATCH($E2778,Setup!$A$27:$A$44,0)),"TBD"))</f>
        <v/>
      </c>
      <c r="G2778" s="32"/>
      <c r="H2778" s="32"/>
      <c r="I2778" s="32"/>
      <c r="J2778" s="32"/>
      <c r="K2778" s="35"/>
      <c r="L2778" s="32"/>
      <c r="M2778" s="32"/>
    </row>
    <row r="2779" customFormat="false" ht="15" hidden="false" customHeight="true" outlineLevel="0" collapsed="false">
      <c r="A2779" s="32"/>
      <c r="B2779" s="32"/>
      <c r="C2779" s="32"/>
      <c r="D2779" s="32"/>
      <c r="E2779" s="34" t="str">
        <f aca="false">IF($B2779="","",IF($B2779="OUT","Liters",IFERROR(INDEX(Setup!$F$3:$F$24,MATCH($C2779,Setup!$A$3:$A$24,0)),"")))</f>
        <v/>
      </c>
      <c r="F2779" s="28" t="str">
        <f aca="false">IF(OR($D2779="",$E2779=""),"",IFERROR($D2779*INDEX(Setup!$B$27:$B$44,MATCH($E2779,Setup!$A$27:$A$44,0)),"TBD"))</f>
        <v/>
      </c>
      <c r="G2779" s="32"/>
      <c r="H2779" s="32"/>
      <c r="I2779" s="32"/>
      <c r="J2779" s="32"/>
      <c r="K2779" s="35"/>
      <c r="L2779" s="32"/>
      <c r="M2779" s="32"/>
    </row>
    <row r="2780" customFormat="false" ht="15" hidden="false" customHeight="true" outlineLevel="0" collapsed="false">
      <c r="A2780" s="32"/>
      <c r="B2780" s="32"/>
      <c r="C2780" s="32"/>
      <c r="D2780" s="32"/>
      <c r="E2780" s="34" t="str">
        <f aca="false">IF($B2780="","",IF($B2780="OUT","Liters",IFERROR(INDEX(Setup!$F$3:$F$24,MATCH($C2780,Setup!$A$3:$A$24,0)),"")))</f>
        <v/>
      </c>
      <c r="F2780" s="28" t="str">
        <f aca="false">IF(OR($D2780="",$E2780=""),"",IFERROR($D2780*INDEX(Setup!$B$27:$B$44,MATCH($E2780,Setup!$A$27:$A$44,0)),"TBD"))</f>
        <v/>
      </c>
      <c r="G2780" s="32"/>
      <c r="H2780" s="32"/>
      <c r="I2780" s="32"/>
      <c r="J2780" s="32"/>
      <c r="K2780" s="35"/>
      <c r="L2780" s="32"/>
      <c r="M2780" s="32"/>
    </row>
    <row r="2781" customFormat="false" ht="15" hidden="false" customHeight="true" outlineLevel="0" collapsed="false">
      <c r="A2781" s="32"/>
      <c r="B2781" s="32"/>
      <c r="C2781" s="32"/>
      <c r="D2781" s="32"/>
      <c r="E2781" s="34" t="str">
        <f aca="false">IF($B2781="","",IF($B2781="OUT","Liters",IFERROR(INDEX(Setup!$F$3:$F$24,MATCH($C2781,Setup!$A$3:$A$24,0)),"")))</f>
        <v/>
      </c>
      <c r="F2781" s="28" t="str">
        <f aca="false">IF(OR($D2781="",$E2781=""),"",IFERROR($D2781*INDEX(Setup!$B$27:$B$44,MATCH($E2781,Setup!$A$27:$A$44,0)),"TBD"))</f>
        <v/>
      </c>
      <c r="G2781" s="32"/>
      <c r="H2781" s="32"/>
      <c r="I2781" s="32"/>
      <c r="J2781" s="32"/>
      <c r="K2781" s="35"/>
      <c r="L2781" s="32"/>
      <c r="M2781" s="32"/>
    </row>
    <row r="2782" customFormat="false" ht="15" hidden="false" customHeight="true" outlineLevel="0" collapsed="false">
      <c r="A2782" s="32"/>
      <c r="B2782" s="32"/>
      <c r="C2782" s="32"/>
      <c r="D2782" s="32"/>
      <c r="E2782" s="34" t="str">
        <f aca="false">IF($B2782="","",IF($B2782="OUT","Liters",IFERROR(INDEX(Setup!$F$3:$F$24,MATCH($C2782,Setup!$A$3:$A$24,0)),"")))</f>
        <v/>
      </c>
      <c r="F2782" s="28" t="str">
        <f aca="false">IF(OR($D2782="",$E2782=""),"",IFERROR($D2782*INDEX(Setup!$B$27:$B$44,MATCH($E2782,Setup!$A$27:$A$44,0)),"TBD"))</f>
        <v/>
      </c>
      <c r="G2782" s="32"/>
      <c r="H2782" s="32"/>
      <c r="I2782" s="32"/>
      <c r="J2782" s="32"/>
      <c r="K2782" s="35"/>
      <c r="L2782" s="32"/>
      <c r="M2782" s="32"/>
    </row>
    <row r="2783" customFormat="false" ht="15" hidden="false" customHeight="true" outlineLevel="0" collapsed="false">
      <c r="A2783" s="32"/>
      <c r="B2783" s="32"/>
      <c r="C2783" s="32"/>
      <c r="D2783" s="32"/>
      <c r="E2783" s="34" t="str">
        <f aca="false">IF($B2783="","",IF($B2783="OUT","Liters",IFERROR(INDEX(Setup!$F$3:$F$24,MATCH($C2783,Setup!$A$3:$A$24,0)),"")))</f>
        <v/>
      </c>
      <c r="F2783" s="28" t="str">
        <f aca="false">IF(OR($D2783="",$E2783=""),"",IFERROR($D2783*INDEX(Setup!$B$27:$B$44,MATCH($E2783,Setup!$A$27:$A$44,0)),"TBD"))</f>
        <v/>
      </c>
      <c r="G2783" s="32"/>
      <c r="H2783" s="32"/>
      <c r="I2783" s="32"/>
      <c r="J2783" s="32"/>
      <c r="K2783" s="35"/>
      <c r="L2783" s="32"/>
      <c r="M2783" s="32"/>
    </row>
    <row r="2784" customFormat="false" ht="15" hidden="false" customHeight="true" outlineLevel="0" collapsed="false">
      <c r="A2784" s="32"/>
      <c r="B2784" s="32"/>
      <c r="C2784" s="32"/>
      <c r="D2784" s="32"/>
      <c r="E2784" s="34" t="str">
        <f aca="false">IF($B2784="","",IF($B2784="OUT","Liters",IFERROR(INDEX(Setup!$F$3:$F$24,MATCH($C2784,Setup!$A$3:$A$24,0)),"")))</f>
        <v/>
      </c>
      <c r="F2784" s="28" t="str">
        <f aca="false">IF(OR($D2784="",$E2784=""),"",IFERROR($D2784*INDEX(Setup!$B$27:$B$44,MATCH($E2784,Setup!$A$27:$A$44,0)),"TBD"))</f>
        <v/>
      </c>
      <c r="G2784" s="32"/>
      <c r="H2784" s="32"/>
      <c r="I2784" s="32"/>
      <c r="J2784" s="32"/>
      <c r="K2784" s="35"/>
      <c r="L2784" s="32"/>
      <c r="M2784" s="32"/>
    </row>
    <row r="2785" customFormat="false" ht="15" hidden="false" customHeight="true" outlineLevel="0" collapsed="false">
      <c r="A2785" s="32"/>
      <c r="B2785" s="32"/>
      <c r="C2785" s="32"/>
      <c r="D2785" s="32"/>
      <c r="E2785" s="34" t="str">
        <f aca="false">IF($B2785="","",IF($B2785="OUT","Liters",IFERROR(INDEX(Setup!$F$3:$F$24,MATCH($C2785,Setup!$A$3:$A$24,0)),"")))</f>
        <v/>
      </c>
      <c r="F2785" s="28" t="str">
        <f aca="false">IF(OR($D2785="",$E2785=""),"",IFERROR($D2785*INDEX(Setup!$B$27:$B$44,MATCH($E2785,Setup!$A$27:$A$44,0)),"TBD"))</f>
        <v/>
      </c>
      <c r="G2785" s="32"/>
      <c r="H2785" s="32"/>
      <c r="I2785" s="32"/>
      <c r="J2785" s="32"/>
      <c r="K2785" s="35"/>
      <c r="L2785" s="32"/>
      <c r="M2785" s="32"/>
    </row>
    <row r="2786" customFormat="false" ht="15" hidden="false" customHeight="true" outlineLevel="0" collapsed="false">
      <c r="A2786" s="32"/>
      <c r="B2786" s="32"/>
      <c r="C2786" s="32"/>
      <c r="D2786" s="32"/>
      <c r="E2786" s="34" t="str">
        <f aca="false">IF($B2786="","",IF($B2786="OUT","Liters",IFERROR(INDEX(Setup!$F$3:$F$24,MATCH($C2786,Setup!$A$3:$A$24,0)),"")))</f>
        <v/>
      </c>
      <c r="F2786" s="28" t="str">
        <f aca="false">IF(OR($D2786="",$E2786=""),"",IFERROR($D2786*INDEX(Setup!$B$27:$B$44,MATCH($E2786,Setup!$A$27:$A$44,0)),"TBD"))</f>
        <v/>
      </c>
      <c r="G2786" s="32"/>
      <c r="H2786" s="32"/>
      <c r="I2786" s="32"/>
      <c r="J2786" s="32"/>
      <c r="K2786" s="35"/>
      <c r="L2786" s="32"/>
      <c r="M2786" s="32"/>
    </row>
    <row r="2787" customFormat="false" ht="15" hidden="false" customHeight="true" outlineLevel="0" collapsed="false">
      <c r="A2787" s="32"/>
      <c r="B2787" s="32"/>
      <c r="C2787" s="32"/>
      <c r="D2787" s="32"/>
      <c r="E2787" s="34" t="str">
        <f aca="false">IF($B2787="","",IF($B2787="OUT","Liters",IFERROR(INDEX(Setup!$F$3:$F$24,MATCH($C2787,Setup!$A$3:$A$24,0)),"")))</f>
        <v/>
      </c>
      <c r="F2787" s="28" t="str">
        <f aca="false">IF(OR($D2787="",$E2787=""),"",IFERROR($D2787*INDEX(Setup!$B$27:$B$44,MATCH($E2787,Setup!$A$27:$A$44,0)),"TBD"))</f>
        <v/>
      </c>
      <c r="G2787" s="32"/>
      <c r="H2787" s="32"/>
      <c r="I2787" s="32"/>
      <c r="J2787" s="32"/>
      <c r="K2787" s="35"/>
      <c r="L2787" s="32"/>
      <c r="M2787" s="32"/>
    </row>
    <row r="2788" customFormat="false" ht="15" hidden="false" customHeight="true" outlineLevel="0" collapsed="false">
      <c r="A2788" s="32"/>
      <c r="B2788" s="32"/>
      <c r="C2788" s="32"/>
      <c r="D2788" s="32"/>
      <c r="E2788" s="34" t="str">
        <f aca="false">IF($B2788="","",IF($B2788="OUT","Liters",IFERROR(INDEX(Setup!$F$3:$F$24,MATCH($C2788,Setup!$A$3:$A$24,0)),"")))</f>
        <v/>
      </c>
      <c r="F2788" s="28" t="str">
        <f aca="false">IF(OR($D2788="",$E2788=""),"",IFERROR($D2788*INDEX(Setup!$B$27:$B$44,MATCH($E2788,Setup!$A$27:$A$44,0)),"TBD"))</f>
        <v/>
      </c>
      <c r="G2788" s="32"/>
      <c r="H2788" s="32"/>
      <c r="I2788" s="32"/>
      <c r="J2788" s="32"/>
      <c r="K2788" s="35"/>
      <c r="L2788" s="32"/>
      <c r="M2788" s="32"/>
    </row>
    <row r="2789" customFormat="false" ht="15" hidden="false" customHeight="true" outlineLevel="0" collapsed="false">
      <c r="A2789" s="32"/>
      <c r="B2789" s="32"/>
      <c r="C2789" s="32"/>
      <c r="D2789" s="32"/>
      <c r="E2789" s="34" t="str">
        <f aca="false">IF($B2789="","",IF($B2789="OUT","Liters",IFERROR(INDEX(Setup!$F$3:$F$24,MATCH($C2789,Setup!$A$3:$A$24,0)),"")))</f>
        <v/>
      </c>
      <c r="F2789" s="28" t="str">
        <f aca="false">IF(OR($D2789="",$E2789=""),"",IFERROR($D2789*INDEX(Setup!$B$27:$B$44,MATCH($E2789,Setup!$A$27:$A$44,0)),"TBD"))</f>
        <v/>
      </c>
      <c r="G2789" s="32"/>
      <c r="H2789" s="32"/>
      <c r="I2789" s="32"/>
      <c r="J2789" s="32"/>
      <c r="K2789" s="35"/>
      <c r="L2789" s="32"/>
      <c r="M2789" s="32"/>
    </row>
    <row r="2790" customFormat="false" ht="15" hidden="false" customHeight="true" outlineLevel="0" collapsed="false">
      <c r="A2790" s="32"/>
      <c r="B2790" s="32"/>
      <c r="C2790" s="32"/>
      <c r="D2790" s="32"/>
      <c r="E2790" s="34" t="str">
        <f aca="false">IF($B2790="","",IF($B2790="OUT","Liters",IFERROR(INDEX(Setup!$F$3:$F$24,MATCH($C2790,Setup!$A$3:$A$24,0)),"")))</f>
        <v/>
      </c>
      <c r="F2790" s="28" t="str">
        <f aca="false">IF(OR($D2790="",$E2790=""),"",IFERROR($D2790*INDEX(Setup!$B$27:$B$44,MATCH($E2790,Setup!$A$27:$A$44,0)),"TBD"))</f>
        <v/>
      </c>
      <c r="G2790" s="32"/>
      <c r="H2790" s="32"/>
      <c r="I2790" s="32"/>
      <c r="J2790" s="32"/>
      <c r="K2790" s="35"/>
      <c r="L2790" s="32"/>
      <c r="M2790" s="32"/>
    </row>
    <row r="2791" customFormat="false" ht="15" hidden="false" customHeight="true" outlineLevel="0" collapsed="false">
      <c r="A2791" s="32"/>
      <c r="B2791" s="32"/>
      <c r="C2791" s="32"/>
      <c r="D2791" s="32"/>
      <c r="E2791" s="34" t="str">
        <f aca="false">IF($B2791="","",IF($B2791="OUT","Liters",IFERROR(INDEX(Setup!$F$3:$F$24,MATCH($C2791,Setup!$A$3:$A$24,0)),"")))</f>
        <v/>
      </c>
      <c r="F2791" s="28" t="str">
        <f aca="false">IF(OR($D2791="",$E2791=""),"",IFERROR($D2791*INDEX(Setup!$B$27:$B$44,MATCH($E2791,Setup!$A$27:$A$44,0)),"TBD"))</f>
        <v/>
      </c>
      <c r="G2791" s="32"/>
      <c r="H2791" s="32"/>
      <c r="I2791" s="32"/>
      <c r="J2791" s="32"/>
      <c r="K2791" s="35"/>
      <c r="L2791" s="32"/>
      <c r="M2791" s="32"/>
    </row>
    <row r="2792" customFormat="false" ht="15" hidden="false" customHeight="true" outlineLevel="0" collapsed="false">
      <c r="A2792" s="32"/>
      <c r="B2792" s="32"/>
      <c r="C2792" s="32"/>
      <c r="D2792" s="32"/>
      <c r="E2792" s="34" t="str">
        <f aca="false">IF($B2792="","",IF($B2792="OUT","Liters",IFERROR(INDEX(Setup!$F$3:$F$24,MATCH($C2792,Setup!$A$3:$A$24,0)),"")))</f>
        <v/>
      </c>
      <c r="F2792" s="28" t="str">
        <f aca="false">IF(OR($D2792="",$E2792=""),"",IFERROR($D2792*INDEX(Setup!$B$27:$B$44,MATCH($E2792,Setup!$A$27:$A$44,0)),"TBD"))</f>
        <v/>
      </c>
      <c r="G2792" s="32"/>
      <c r="H2792" s="32"/>
      <c r="I2792" s="32"/>
      <c r="J2792" s="32"/>
      <c r="K2792" s="35"/>
      <c r="L2792" s="32"/>
      <c r="M2792" s="32"/>
    </row>
    <row r="2793" customFormat="false" ht="15" hidden="false" customHeight="true" outlineLevel="0" collapsed="false">
      <c r="A2793" s="32"/>
      <c r="B2793" s="32"/>
      <c r="C2793" s="32"/>
      <c r="D2793" s="32"/>
      <c r="E2793" s="34" t="str">
        <f aca="false">IF($B2793="","",IF($B2793="OUT","Liters",IFERROR(INDEX(Setup!$F$3:$F$24,MATCH($C2793,Setup!$A$3:$A$24,0)),"")))</f>
        <v/>
      </c>
      <c r="F2793" s="28" t="str">
        <f aca="false">IF(OR($D2793="",$E2793=""),"",IFERROR($D2793*INDEX(Setup!$B$27:$B$44,MATCH($E2793,Setup!$A$27:$A$44,0)),"TBD"))</f>
        <v/>
      </c>
      <c r="G2793" s="32"/>
      <c r="H2793" s="32"/>
      <c r="I2793" s="32"/>
      <c r="J2793" s="32"/>
      <c r="K2793" s="35"/>
      <c r="L2793" s="32"/>
      <c r="M2793" s="32"/>
    </row>
    <row r="2794" customFormat="false" ht="15" hidden="false" customHeight="true" outlineLevel="0" collapsed="false">
      <c r="A2794" s="32"/>
      <c r="B2794" s="32"/>
      <c r="C2794" s="32"/>
      <c r="D2794" s="32"/>
      <c r="E2794" s="34" t="str">
        <f aca="false">IF($B2794="","",IF($B2794="OUT","Liters",IFERROR(INDEX(Setup!$F$3:$F$24,MATCH($C2794,Setup!$A$3:$A$24,0)),"")))</f>
        <v/>
      </c>
      <c r="F2794" s="28" t="str">
        <f aca="false">IF(OR($D2794="",$E2794=""),"",IFERROR($D2794*INDEX(Setup!$B$27:$B$44,MATCH($E2794,Setup!$A$27:$A$44,0)),"TBD"))</f>
        <v/>
      </c>
      <c r="G2794" s="32"/>
      <c r="H2794" s="32"/>
      <c r="I2794" s="32"/>
      <c r="J2794" s="32"/>
      <c r="K2794" s="35"/>
      <c r="L2794" s="32"/>
      <c r="M2794" s="32"/>
    </row>
    <row r="2795" customFormat="false" ht="15" hidden="false" customHeight="true" outlineLevel="0" collapsed="false">
      <c r="A2795" s="32"/>
      <c r="B2795" s="32"/>
      <c r="C2795" s="32"/>
      <c r="D2795" s="32"/>
      <c r="E2795" s="34" t="str">
        <f aca="false">IF($B2795="","",IF($B2795="OUT","Liters",IFERROR(INDEX(Setup!$F$3:$F$24,MATCH($C2795,Setup!$A$3:$A$24,0)),"")))</f>
        <v/>
      </c>
      <c r="F2795" s="28" t="str">
        <f aca="false">IF(OR($D2795="",$E2795=""),"",IFERROR($D2795*INDEX(Setup!$B$27:$B$44,MATCH($E2795,Setup!$A$27:$A$44,0)),"TBD"))</f>
        <v/>
      </c>
      <c r="G2795" s="32"/>
      <c r="H2795" s="32"/>
      <c r="I2795" s="32"/>
      <c r="J2795" s="32"/>
      <c r="K2795" s="35"/>
      <c r="L2795" s="32"/>
      <c r="M2795" s="32"/>
    </row>
    <row r="2796" customFormat="false" ht="15" hidden="false" customHeight="true" outlineLevel="0" collapsed="false">
      <c r="A2796" s="32"/>
      <c r="B2796" s="32"/>
      <c r="C2796" s="32"/>
      <c r="D2796" s="32"/>
      <c r="E2796" s="34" t="str">
        <f aca="false">IF($B2796="","",IF($B2796="OUT","Liters",IFERROR(INDEX(Setup!$F$3:$F$24,MATCH($C2796,Setup!$A$3:$A$24,0)),"")))</f>
        <v/>
      </c>
      <c r="F2796" s="28" t="str">
        <f aca="false">IF(OR($D2796="",$E2796=""),"",IFERROR($D2796*INDEX(Setup!$B$27:$B$44,MATCH($E2796,Setup!$A$27:$A$44,0)),"TBD"))</f>
        <v/>
      </c>
      <c r="G2796" s="32"/>
      <c r="H2796" s="32"/>
      <c r="I2796" s="32"/>
      <c r="J2796" s="32"/>
      <c r="K2796" s="35"/>
      <c r="L2796" s="32"/>
      <c r="M2796" s="32"/>
    </row>
    <row r="2797" customFormat="false" ht="15" hidden="false" customHeight="true" outlineLevel="0" collapsed="false">
      <c r="A2797" s="32"/>
      <c r="B2797" s="32"/>
      <c r="C2797" s="32"/>
      <c r="D2797" s="32"/>
      <c r="E2797" s="34" t="str">
        <f aca="false">IF($B2797="","",IF($B2797="OUT","Liters",IFERROR(INDEX(Setup!$F$3:$F$24,MATCH($C2797,Setup!$A$3:$A$24,0)),"")))</f>
        <v/>
      </c>
      <c r="F2797" s="28" t="str">
        <f aca="false">IF(OR($D2797="",$E2797=""),"",IFERROR($D2797*INDEX(Setup!$B$27:$B$44,MATCH($E2797,Setup!$A$27:$A$44,0)),"TBD"))</f>
        <v/>
      </c>
      <c r="G2797" s="32"/>
      <c r="H2797" s="32"/>
      <c r="I2797" s="32"/>
      <c r="J2797" s="32"/>
      <c r="K2797" s="35"/>
      <c r="L2797" s="32"/>
      <c r="M2797" s="32"/>
    </row>
    <row r="2798" customFormat="false" ht="15" hidden="false" customHeight="true" outlineLevel="0" collapsed="false">
      <c r="A2798" s="32"/>
      <c r="B2798" s="32"/>
      <c r="C2798" s="32"/>
      <c r="D2798" s="32"/>
      <c r="E2798" s="34" t="str">
        <f aca="false">IF($B2798="","",IF($B2798="OUT","Liters",IFERROR(INDEX(Setup!$F$3:$F$24,MATCH($C2798,Setup!$A$3:$A$24,0)),"")))</f>
        <v/>
      </c>
      <c r="F2798" s="28" t="str">
        <f aca="false">IF(OR($D2798="",$E2798=""),"",IFERROR($D2798*INDEX(Setup!$B$27:$B$44,MATCH($E2798,Setup!$A$27:$A$44,0)),"TBD"))</f>
        <v/>
      </c>
      <c r="G2798" s="32"/>
      <c r="H2798" s="32"/>
      <c r="I2798" s="32"/>
      <c r="J2798" s="32"/>
      <c r="K2798" s="35"/>
      <c r="L2798" s="32"/>
      <c r="M2798" s="32"/>
    </row>
    <row r="2799" customFormat="false" ht="15" hidden="false" customHeight="true" outlineLevel="0" collapsed="false">
      <c r="A2799" s="32"/>
      <c r="B2799" s="32"/>
      <c r="C2799" s="32"/>
      <c r="D2799" s="32"/>
      <c r="E2799" s="34" t="str">
        <f aca="false">IF($B2799="","",IF($B2799="OUT","Liters",IFERROR(INDEX(Setup!$F$3:$F$24,MATCH($C2799,Setup!$A$3:$A$24,0)),"")))</f>
        <v/>
      </c>
      <c r="F2799" s="28" t="str">
        <f aca="false">IF(OR($D2799="",$E2799=""),"",IFERROR($D2799*INDEX(Setup!$B$27:$B$44,MATCH($E2799,Setup!$A$27:$A$44,0)),"TBD"))</f>
        <v/>
      </c>
      <c r="G2799" s="32"/>
      <c r="H2799" s="32"/>
      <c r="I2799" s="32"/>
      <c r="J2799" s="32"/>
      <c r="K2799" s="35"/>
      <c r="L2799" s="32"/>
      <c r="M2799" s="32"/>
    </row>
    <row r="2800" customFormat="false" ht="15" hidden="false" customHeight="true" outlineLevel="0" collapsed="false">
      <c r="A2800" s="32"/>
      <c r="B2800" s="32"/>
      <c r="C2800" s="32"/>
      <c r="D2800" s="32"/>
      <c r="E2800" s="34" t="str">
        <f aca="false">IF($B2800="","",IF($B2800="OUT","Liters",IFERROR(INDEX(Setup!$F$3:$F$24,MATCH($C2800,Setup!$A$3:$A$24,0)),"")))</f>
        <v/>
      </c>
      <c r="F2800" s="28" t="str">
        <f aca="false">IF(OR($D2800="",$E2800=""),"",IFERROR($D2800*INDEX(Setup!$B$27:$B$44,MATCH($E2800,Setup!$A$27:$A$44,0)),"TBD"))</f>
        <v/>
      </c>
      <c r="G2800" s="32"/>
      <c r="H2800" s="32"/>
      <c r="I2800" s="32"/>
      <c r="J2800" s="32"/>
      <c r="K2800" s="35"/>
      <c r="L2800" s="32"/>
      <c r="M2800" s="32"/>
    </row>
    <row r="2801" customFormat="false" ht="15" hidden="false" customHeight="true" outlineLevel="0" collapsed="false">
      <c r="A2801" s="32"/>
      <c r="B2801" s="32"/>
      <c r="C2801" s="32"/>
      <c r="D2801" s="32"/>
      <c r="E2801" s="34" t="str">
        <f aca="false">IF($B2801="","",IF($B2801="OUT","Liters",IFERROR(INDEX(Setup!$F$3:$F$24,MATCH($C2801,Setup!$A$3:$A$24,0)),"")))</f>
        <v/>
      </c>
      <c r="F2801" s="28" t="str">
        <f aca="false">IF(OR($D2801="",$E2801=""),"",IFERROR($D2801*INDEX(Setup!$B$27:$B$44,MATCH($E2801,Setup!$A$27:$A$44,0)),"TBD"))</f>
        <v/>
      </c>
      <c r="G2801" s="32"/>
      <c r="H2801" s="32"/>
      <c r="I2801" s="32"/>
      <c r="J2801" s="32"/>
      <c r="K2801" s="35"/>
      <c r="L2801" s="32"/>
      <c r="M2801" s="32"/>
    </row>
    <row r="2802" customFormat="false" ht="15" hidden="false" customHeight="true" outlineLevel="0" collapsed="false">
      <c r="A2802" s="32"/>
      <c r="B2802" s="32"/>
      <c r="C2802" s="32"/>
      <c r="D2802" s="32"/>
      <c r="E2802" s="34" t="str">
        <f aca="false">IF($B2802="","",IF($B2802="OUT","Liters",IFERROR(INDEX(Setup!$F$3:$F$24,MATCH($C2802,Setup!$A$3:$A$24,0)),"")))</f>
        <v/>
      </c>
      <c r="F2802" s="28" t="str">
        <f aca="false">IF(OR($D2802="",$E2802=""),"",IFERROR($D2802*INDEX(Setup!$B$27:$B$44,MATCH($E2802,Setup!$A$27:$A$44,0)),"TBD"))</f>
        <v/>
      </c>
      <c r="G2802" s="32"/>
      <c r="H2802" s="32"/>
      <c r="I2802" s="32"/>
      <c r="J2802" s="32"/>
      <c r="K2802" s="35"/>
      <c r="L2802" s="32"/>
      <c r="M2802" s="32"/>
    </row>
    <row r="2803" customFormat="false" ht="15" hidden="false" customHeight="true" outlineLevel="0" collapsed="false">
      <c r="A2803" s="32"/>
      <c r="B2803" s="32"/>
      <c r="C2803" s="32"/>
      <c r="D2803" s="32"/>
      <c r="E2803" s="34" t="str">
        <f aca="false">IF($B2803="","",IF($B2803="OUT","Liters",IFERROR(INDEX(Setup!$F$3:$F$24,MATCH($C2803,Setup!$A$3:$A$24,0)),"")))</f>
        <v/>
      </c>
      <c r="F2803" s="28" t="str">
        <f aca="false">IF(OR($D2803="",$E2803=""),"",IFERROR($D2803*INDEX(Setup!$B$27:$B$44,MATCH($E2803,Setup!$A$27:$A$44,0)),"TBD"))</f>
        <v/>
      </c>
      <c r="G2803" s="32"/>
      <c r="H2803" s="32"/>
      <c r="I2803" s="32"/>
      <c r="J2803" s="32"/>
      <c r="K2803" s="35"/>
      <c r="L2803" s="32"/>
      <c r="M2803" s="32"/>
    </row>
    <row r="2804" customFormat="false" ht="15" hidden="false" customHeight="true" outlineLevel="0" collapsed="false">
      <c r="A2804" s="32"/>
      <c r="B2804" s="32"/>
      <c r="C2804" s="32"/>
      <c r="D2804" s="32"/>
      <c r="E2804" s="34" t="str">
        <f aca="false">IF($B2804="","",IF($B2804="OUT","Liters",IFERROR(INDEX(Setup!$F$3:$F$24,MATCH($C2804,Setup!$A$3:$A$24,0)),"")))</f>
        <v/>
      </c>
      <c r="F2804" s="28" t="str">
        <f aca="false">IF(OR($D2804="",$E2804=""),"",IFERROR($D2804*INDEX(Setup!$B$27:$B$44,MATCH($E2804,Setup!$A$27:$A$44,0)),"TBD"))</f>
        <v/>
      </c>
      <c r="G2804" s="32"/>
      <c r="H2804" s="32"/>
      <c r="I2804" s="32"/>
      <c r="J2804" s="32"/>
      <c r="K2804" s="35"/>
      <c r="L2804" s="32"/>
      <c r="M2804" s="32"/>
    </row>
    <row r="2805" customFormat="false" ht="15" hidden="false" customHeight="true" outlineLevel="0" collapsed="false">
      <c r="A2805" s="32"/>
      <c r="B2805" s="32"/>
      <c r="C2805" s="32"/>
      <c r="D2805" s="32"/>
      <c r="E2805" s="34" t="str">
        <f aca="false">IF($B2805="","",IF($B2805="OUT","Liters",IFERROR(INDEX(Setup!$F$3:$F$24,MATCH($C2805,Setup!$A$3:$A$24,0)),"")))</f>
        <v/>
      </c>
      <c r="F2805" s="28" t="str">
        <f aca="false">IF(OR($D2805="",$E2805=""),"",IFERROR($D2805*INDEX(Setup!$B$27:$B$44,MATCH($E2805,Setup!$A$27:$A$44,0)),"TBD"))</f>
        <v/>
      </c>
      <c r="G2805" s="32"/>
      <c r="H2805" s="32"/>
      <c r="I2805" s="32"/>
      <c r="J2805" s="32"/>
      <c r="K2805" s="35"/>
      <c r="L2805" s="32"/>
      <c r="M2805" s="32"/>
    </row>
    <row r="2806" customFormat="false" ht="15" hidden="false" customHeight="true" outlineLevel="0" collapsed="false">
      <c r="A2806" s="32"/>
      <c r="B2806" s="32"/>
      <c r="C2806" s="32"/>
      <c r="D2806" s="32"/>
      <c r="E2806" s="34" t="str">
        <f aca="false">IF($B2806="","",IF($B2806="OUT","Liters",IFERROR(INDEX(Setup!$F$3:$F$24,MATCH($C2806,Setup!$A$3:$A$24,0)),"")))</f>
        <v/>
      </c>
      <c r="F2806" s="28" t="str">
        <f aca="false">IF(OR($D2806="",$E2806=""),"",IFERROR($D2806*INDEX(Setup!$B$27:$B$44,MATCH($E2806,Setup!$A$27:$A$44,0)),"TBD"))</f>
        <v/>
      </c>
      <c r="G2806" s="32"/>
      <c r="H2806" s="32"/>
      <c r="I2806" s="32"/>
      <c r="J2806" s="32"/>
      <c r="K2806" s="35"/>
      <c r="L2806" s="32"/>
      <c r="M2806" s="32"/>
    </row>
    <row r="2807" customFormat="false" ht="15" hidden="false" customHeight="true" outlineLevel="0" collapsed="false">
      <c r="A2807" s="32"/>
      <c r="B2807" s="32"/>
      <c r="C2807" s="32"/>
      <c r="D2807" s="32"/>
      <c r="E2807" s="34" t="str">
        <f aca="false">IF($B2807="","",IF($B2807="OUT","Liters",IFERROR(INDEX(Setup!$F$3:$F$24,MATCH($C2807,Setup!$A$3:$A$24,0)),"")))</f>
        <v/>
      </c>
      <c r="F2807" s="28" t="str">
        <f aca="false">IF(OR($D2807="",$E2807=""),"",IFERROR($D2807*INDEX(Setup!$B$27:$B$44,MATCH($E2807,Setup!$A$27:$A$44,0)),"TBD"))</f>
        <v/>
      </c>
      <c r="G2807" s="32"/>
      <c r="H2807" s="32"/>
      <c r="I2807" s="32"/>
      <c r="J2807" s="32"/>
      <c r="K2807" s="35"/>
      <c r="L2807" s="32"/>
      <c r="M2807" s="32"/>
    </row>
    <row r="2808" customFormat="false" ht="15" hidden="false" customHeight="true" outlineLevel="0" collapsed="false">
      <c r="A2808" s="32"/>
      <c r="B2808" s="32"/>
      <c r="C2808" s="32"/>
      <c r="D2808" s="32"/>
      <c r="E2808" s="34" t="str">
        <f aca="false">IF($B2808="","",IF($B2808="OUT","Liters",IFERROR(INDEX(Setup!$F$3:$F$24,MATCH($C2808,Setup!$A$3:$A$24,0)),"")))</f>
        <v/>
      </c>
      <c r="F2808" s="28" t="str">
        <f aca="false">IF(OR($D2808="",$E2808=""),"",IFERROR($D2808*INDEX(Setup!$B$27:$B$44,MATCH($E2808,Setup!$A$27:$A$44,0)),"TBD"))</f>
        <v/>
      </c>
      <c r="G2808" s="32"/>
      <c r="H2808" s="32"/>
      <c r="I2808" s="32"/>
      <c r="J2808" s="32"/>
      <c r="K2808" s="35"/>
      <c r="L2808" s="32"/>
      <c r="M2808" s="32"/>
    </row>
    <row r="2809" customFormat="false" ht="15" hidden="false" customHeight="true" outlineLevel="0" collapsed="false">
      <c r="A2809" s="32"/>
      <c r="B2809" s="32"/>
      <c r="C2809" s="32"/>
      <c r="D2809" s="32"/>
      <c r="E2809" s="34" t="str">
        <f aca="false">IF($B2809="","",IF($B2809="OUT","Liters",IFERROR(INDEX(Setup!$F$3:$F$24,MATCH($C2809,Setup!$A$3:$A$24,0)),"")))</f>
        <v/>
      </c>
      <c r="F2809" s="28" t="str">
        <f aca="false">IF(OR($D2809="",$E2809=""),"",IFERROR($D2809*INDEX(Setup!$B$27:$B$44,MATCH($E2809,Setup!$A$27:$A$44,0)),"TBD"))</f>
        <v/>
      </c>
      <c r="G2809" s="32"/>
      <c r="H2809" s="32"/>
      <c r="I2809" s="32"/>
      <c r="J2809" s="32"/>
      <c r="K2809" s="35"/>
      <c r="L2809" s="32"/>
      <c r="M2809" s="32"/>
    </row>
    <row r="2810" customFormat="false" ht="15" hidden="false" customHeight="true" outlineLevel="0" collapsed="false">
      <c r="A2810" s="32"/>
      <c r="B2810" s="32"/>
      <c r="C2810" s="32"/>
      <c r="D2810" s="32"/>
      <c r="E2810" s="34" t="str">
        <f aca="false">IF($B2810="","",IF($B2810="OUT","Liters",IFERROR(INDEX(Setup!$F$3:$F$24,MATCH($C2810,Setup!$A$3:$A$24,0)),"")))</f>
        <v/>
      </c>
      <c r="F2810" s="28" t="str">
        <f aca="false">IF(OR($D2810="",$E2810=""),"",IFERROR($D2810*INDEX(Setup!$B$27:$B$44,MATCH($E2810,Setup!$A$27:$A$44,0)),"TBD"))</f>
        <v/>
      </c>
      <c r="G2810" s="32"/>
      <c r="H2810" s="32"/>
      <c r="I2810" s="32"/>
      <c r="J2810" s="32"/>
      <c r="K2810" s="35"/>
      <c r="L2810" s="32"/>
      <c r="M2810" s="32"/>
    </row>
    <row r="2811" customFormat="false" ht="15" hidden="false" customHeight="true" outlineLevel="0" collapsed="false">
      <c r="A2811" s="32"/>
      <c r="B2811" s="32"/>
      <c r="C2811" s="32"/>
      <c r="D2811" s="32"/>
      <c r="E2811" s="34" t="str">
        <f aca="false">IF($B2811="","",IF($B2811="OUT","Liters",IFERROR(INDEX(Setup!$F$3:$F$24,MATCH($C2811,Setup!$A$3:$A$24,0)),"")))</f>
        <v/>
      </c>
      <c r="F2811" s="28" t="str">
        <f aca="false">IF(OR($D2811="",$E2811=""),"",IFERROR($D2811*INDEX(Setup!$B$27:$B$44,MATCH($E2811,Setup!$A$27:$A$44,0)),"TBD"))</f>
        <v/>
      </c>
      <c r="G2811" s="32"/>
      <c r="H2811" s="32"/>
      <c r="I2811" s="32"/>
      <c r="J2811" s="32"/>
      <c r="K2811" s="35"/>
      <c r="L2811" s="32"/>
      <c r="M2811" s="32"/>
    </row>
    <row r="2812" customFormat="false" ht="15" hidden="false" customHeight="true" outlineLevel="0" collapsed="false">
      <c r="A2812" s="32"/>
      <c r="B2812" s="32"/>
      <c r="C2812" s="32"/>
      <c r="D2812" s="32"/>
      <c r="E2812" s="34" t="str">
        <f aca="false">IF($B2812="","",IF($B2812="OUT","Liters",IFERROR(INDEX(Setup!$F$3:$F$24,MATCH($C2812,Setup!$A$3:$A$24,0)),"")))</f>
        <v/>
      </c>
      <c r="F2812" s="28" t="str">
        <f aca="false">IF(OR($D2812="",$E2812=""),"",IFERROR($D2812*INDEX(Setup!$B$27:$B$44,MATCH($E2812,Setup!$A$27:$A$44,0)),"TBD"))</f>
        <v/>
      </c>
      <c r="G2812" s="32"/>
      <c r="H2812" s="32"/>
      <c r="I2812" s="32"/>
      <c r="J2812" s="32"/>
      <c r="K2812" s="35"/>
      <c r="L2812" s="32"/>
      <c r="M2812" s="32"/>
    </row>
    <row r="2813" customFormat="false" ht="15" hidden="false" customHeight="true" outlineLevel="0" collapsed="false">
      <c r="A2813" s="32"/>
      <c r="B2813" s="32"/>
      <c r="C2813" s="32"/>
      <c r="D2813" s="32"/>
      <c r="E2813" s="34" t="str">
        <f aca="false">IF($B2813="","",IF($B2813="OUT","Liters",IFERROR(INDEX(Setup!$F$3:$F$24,MATCH($C2813,Setup!$A$3:$A$24,0)),"")))</f>
        <v/>
      </c>
      <c r="F2813" s="28" t="str">
        <f aca="false">IF(OR($D2813="",$E2813=""),"",IFERROR($D2813*INDEX(Setup!$B$27:$B$44,MATCH($E2813,Setup!$A$27:$A$44,0)),"TBD"))</f>
        <v/>
      </c>
      <c r="G2813" s="32"/>
      <c r="H2813" s="32"/>
      <c r="I2813" s="32"/>
      <c r="J2813" s="32"/>
      <c r="K2813" s="35"/>
      <c r="L2813" s="32"/>
      <c r="M2813" s="32"/>
    </row>
    <row r="2814" customFormat="false" ht="15" hidden="false" customHeight="true" outlineLevel="0" collapsed="false">
      <c r="A2814" s="32"/>
      <c r="B2814" s="32"/>
      <c r="C2814" s="32"/>
      <c r="D2814" s="32"/>
      <c r="E2814" s="34" t="str">
        <f aca="false">IF($B2814="","",IF($B2814="OUT","Liters",IFERROR(INDEX(Setup!$F$3:$F$24,MATCH($C2814,Setup!$A$3:$A$24,0)),"")))</f>
        <v/>
      </c>
      <c r="F2814" s="28" t="str">
        <f aca="false">IF(OR($D2814="",$E2814=""),"",IFERROR($D2814*INDEX(Setup!$B$27:$B$44,MATCH($E2814,Setup!$A$27:$A$44,0)),"TBD"))</f>
        <v/>
      </c>
      <c r="G2814" s="32"/>
      <c r="H2814" s="32"/>
      <c r="I2814" s="32"/>
      <c r="J2814" s="32"/>
      <c r="K2814" s="35"/>
      <c r="L2814" s="32"/>
      <c r="M2814" s="32"/>
    </row>
    <row r="2815" customFormat="false" ht="15" hidden="false" customHeight="true" outlineLevel="0" collapsed="false">
      <c r="A2815" s="32"/>
      <c r="B2815" s="32"/>
      <c r="C2815" s="32"/>
      <c r="D2815" s="32"/>
      <c r="E2815" s="34" t="str">
        <f aca="false">IF($B2815="","",IF($B2815="OUT","Liters",IFERROR(INDEX(Setup!$F$3:$F$24,MATCH($C2815,Setup!$A$3:$A$24,0)),"")))</f>
        <v/>
      </c>
      <c r="F2815" s="28" t="str">
        <f aca="false">IF(OR($D2815="",$E2815=""),"",IFERROR($D2815*INDEX(Setup!$B$27:$B$44,MATCH($E2815,Setup!$A$27:$A$44,0)),"TBD"))</f>
        <v/>
      </c>
      <c r="G2815" s="32"/>
      <c r="H2815" s="32"/>
      <c r="I2815" s="32"/>
      <c r="J2815" s="32"/>
      <c r="K2815" s="35"/>
      <c r="L2815" s="32"/>
      <c r="M2815" s="32"/>
    </row>
    <row r="2816" customFormat="false" ht="15" hidden="false" customHeight="true" outlineLevel="0" collapsed="false">
      <c r="A2816" s="32"/>
      <c r="B2816" s="32"/>
      <c r="C2816" s="32"/>
      <c r="D2816" s="32"/>
      <c r="E2816" s="34" t="str">
        <f aca="false">IF($B2816="","",IF($B2816="OUT","Liters",IFERROR(INDEX(Setup!$F$3:$F$24,MATCH($C2816,Setup!$A$3:$A$24,0)),"")))</f>
        <v/>
      </c>
      <c r="F2816" s="28" t="str">
        <f aca="false">IF(OR($D2816="",$E2816=""),"",IFERROR($D2816*INDEX(Setup!$B$27:$B$44,MATCH($E2816,Setup!$A$27:$A$44,0)),"TBD"))</f>
        <v/>
      </c>
      <c r="G2816" s="32"/>
      <c r="H2816" s="32"/>
      <c r="I2816" s="32"/>
      <c r="J2816" s="32"/>
      <c r="K2816" s="35"/>
      <c r="L2816" s="32"/>
      <c r="M2816" s="32"/>
    </row>
    <row r="2817" customFormat="false" ht="15" hidden="false" customHeight="true" outlineLevel="0" collapsed="false">
      <c r="A2817" s="32"/>
      <c r="B2817" s="32"/>
      <c r="C2817" s="32"/>
      <c r="D2817" s="32"/>
      <c r="E2817" s="34" t="str">
        <f aca="false">IF($B2817="","",IF($B2817="OUT","Liters",IFERROR(INDEX(Setup!$F$3:$F$24,MATCH($C2817,Setup!$A$3:$A$24,0)),"")))</f>
        <v/>
      </c>
      <c r="F2817" s="28" t="str">
        <f aca="false">IF(OR($D2817="",$E2817=""),"",IFERROR($D2817*INDEX(Setup!$B$27:$B$44,MATCH($E2817,Setup!$A$27:$A$44,0)),"TBD"))</f>
        <v/>
      </c>
      <c r="G2817" s="32"/>
      <c r="H2817" s="32"/>
      <c r="I2817" s="32"/>
      <c r="J2817" s="32"/>
      <c r="K2817" s="35"/>
      <c r="L2817" s="32"/>
      <c r="M2817" s="32"/>
    </row>
    <row r="2818" customFormat="false" ht="15" hidden="false" customHeight="true" outlineLevel="0" collapsed="false">
      <c r="A2818" s="32"/>
      <c r="B2818" s="32"/>
      <c r="C2818" s="32"/>
      <c r="D2818" s="32"/>
      <c r="E2818" s="34" t="str">
        <f aca="false">IF($B2818="","",IF($B2818="OUT","Liters",IFERROR(INDEX(Setup!$F$3:$F$24,MATCH($C2818,Setup!$A$3:$A$24,0)),"")))</f>
        <v/>
      </c>
      <c r="F2818" s="28" t="str">
        <f aca="false">IF(OR($D2818="",$E2818=""),"",IFERROR($D2818*INDEX(Setup!$B$27:$B$44,MATCH($E2818,Setup!$A$27:$A$44,0)),"TBD"))</f>
        <v/>
      </c>
      <c r="G2818" s="32"/>
      <c r="H2818" s="32"/>
      <c r="I2818" s="32"/>
      <c r="J2818" s="32"/>
      <c r="K2818" s="35"/>
      <c r="L2818" s="32"/>
      <c r="M2818" s="32"/>
    </row>
    <row r="2819" customFormat="false" ht="15" hidden="false" customHeight="true" outlineLevel="0" collapsed="false">
      <c r="A2819" s="32"/>
      <c r="B2819" s="32"/>
      <c r="C2819" s="32"/>
      <c r="D2819" s="32"/>
      <c r="E2819" s="34" t="str">
        <f aca="false">IF($B2819="","",IF($B2819="OUT","Liters",IFERROR(INDEX(Setup!$F$3:$F$24,MATCH($C2819,Setup!$A$3:$A$24,0)),"")))</f>
        <v/>
      </c>
      <c r="F2819" s="28" t="str">
        <f aca="false">IF(OR($D2819="",$E2819=""),"",IFERROR($D2819*INDEX(Setup!$B$27:$B$44,MATCH($E2819,Setup!$A$27:$A$44,0)),"TBD"))</f>
        <v/>
      </c>
      <c r="G2819" s="32"/>
      <c r="H2819" s="32"/>
      <c r="I2819" s="32"/>
      <c r="J2819" s="32"/>
      <c r="K2819" s="35"/>
      <c r="L2819" s="32"/>
      <c r="M2819" s="32"/>
    </row>
    <row r="2820" customFormat="false" ht="15" hidden="false" customHeight="true" outlineLevel="0" collapsed="false">
      <c r="A2820" s="32"/>
      <c r="B2820" s="32"/>
      <c r="C2820" s="32"/>
      <c r="D2820" s="32"/>
      <c r="E2820" s="34" t="str">
        <f aca="false">IF($B2820="","",IF($B2820="OUT","Liters",IFERROR(INDEX(Setup!$F$3:$F$24,MATCH($C2820,Setup!$A$3:$A$24,0)),"")))</f>
        <v/>
      </c>
      <c r="F2820" s="28" t="str">
        <f aca="false">IF(OR($D2820="",$E2820=""),"",IFERROR($D2820*INDEX(Setup!$B$27:$B$44,MATCH($E2820,Setup!$A$27:$A$44,0)),"TBD"))</f>
        <v/>
      </c>
      <c r="G2820" s="32"/>
      <c r="H2820" s="32"/>
      <c r="I2820" s="32"/>
      <c r="J2820" s="32"/>
      <c r="K2820" s="35"/>
      <c r="L2820" s="32"/>
      <c r="M2820" s="32"/>
    </row>
    <row r="2821" customFormat="false" ht="15" hidden="false" customHeight="true" outlineLevel="0" collapsed="false">
      <c r="A2821" s="32"/>
      <c r="B2821" s="32"/>
      <c r="C2821" s="32"/>
      <c r="D2821" s="32"/>
      <c r="E2821" s="34" t="str">
        <f aca="false">IF($B2821="","",IF($B2821="OUT","Liters",IFERROR(INDEX(Setup!$F$3:$F$24,MATCH($C2821,Setup!$A$3:$A$24,0)),"")))</f>
        <v/>
      </c>
      <c r="F2821" s="28" t="str">
        <f aca="false">IF(OR($D2821="",$E2821=""),"",IFERROR($D2821*INDEX(Setup!$B$27:$B$44,MATCH($E2821,Setup!$A$27:$A$44,0)),"TBD"))</f>
        <v/>
      </c>
      <c r="G2821" s="32"/>
      <c r="H2821" s="32"/>
      <c r="I2821" s="32"/>
      <c r="J2821" s="32"/>
      <c r="K2821" s="35"/>
      <c r="L2821" s="32"/>
      <c r="M2821" s="32"/>
    </row>
    <row r="2822" customFormat="false" ht="15" hidden="false" customHeight="true" outlineLevel="0" collapsed="false">
      <c r="A2822" s="32"/>
      <c r="B2822" s="32"/>
      <c r="C2822" s="32"/>
      <c r="D2822" s="32"/>
      <c r="E2822" s="34" t="str">
        <f aca="false">IF($B2822="","",IF($B2822="OUT","Liters",IFERROR(INDEX(Setup!$F$3:$F$24,MATCH($C2822,Setup!$A$3:$A$24,0)),"")))</f>
        <v/>
      </c>
      <c r="F2822" s="28" t="str">
        <f aca="false">IF(OR($D2822="",$E2822=""),"",IFERROR($D2822*INDEX(Setup!$B$27:$B$44,MATCH($E2822,Setup!$A$27:$A$44,0)),"TBD"))</f>
        <v/>
      </c>
      <c r="G2822" s="32"/>
      <c r="H2822" s="32"/>
      <c r="I2822" s="32"/>
      <c r="J2822" s="32"/>
      <c r="K2822" s="35"/>
      <c r="L2822" s="32"/>
      <c r="M2822" s="32"/>
    </row>
    <row r="2823" customFormat="false" ht="15" hidden="false" customHeight="true" outlineLevel="0" collapsed="false">
      <c r="A2823" s="32"/>
      <c r="B2823" s="32"/>
      <c r="C2823" s="32"/>
      <c r="D2823" s="32"/>
      <c r="E2823" s="34" t="str">
        <f aca="false">IF($B2823="","",IF($B2823="OUT","Liters",IFERROR(INDEX(Setup!$F$3:$F$24,MATCH($C2823,Setup!$A$3:$A$24,0)),"")))</f>
        <v/>
      </c>
      <c r="F2823" s="28" t="str">
        <f aca="false">IF(OR($D2823="",$E2823=""),"",IFERROR($D2823*INDEX(Setup!$B$27:$B$44,MATCH($E2823,Setup!$A$27:$A$44,0)),"TBD"))</f>
        <v/>
      </c>
      <c r="G2823" s="32"/>
      <c r="H2823" s="32"/>
      <c r="I2823" s="32"/>
      <c r="J2823" s="32"/>
      <c r="K2823" s="35"/>
      <c r="L2823" s="32"/>
      <c r="M2823" s="32"/>
    </row>
    <row r="2824" customFormat="false" ht="15" hidden="false" customHeight="true" outlineLevel="0" collapsed="false">
      <c r="A2824" s="32"/>
      <c r="B2824" s="32"/>
      <c r="C2824" s="32"/>
      <c r="D2824" s="32"/>
      <c r="E2824" s="34" t="str">
        <f aca="false">IF($B2824="","",IF($B2824="OUT","Liters",IFERROR(INDEX(Setup!$F$3:$F$24,MATCH($C2824,Setup!$A$3:$A$24,0)),"")))</f>
        <v/>
      </c>
      <c r="F2824" s="28" t="str">
        <f aca="false">IF(OR($D2824="",$E2824=""),"",IFERROR($D2824*INDEX(Setup!$B$27:$B$44,MATCH($E2824,Setup!$A$27:$A$44,0)),"TBD"))</f>
        <v/>
      </c>
      <c r="G2824" s="32"/>
      <c r="H2824" s="32"/>
      <c r="I2824" s="32"/>
      <c r="J2824" s="32"/>
      <c r="K2824" s="35"/>
      <c r="L2824" s="32"/>
      <c r="M2824" s="32"/>
    </row>
    <row r="2825" customFormat="false" ht="15" hidden="false" customHeight="true" outlineLevel="0" collapsed="false">
      <c r="A2825" s="32"/>
      <c r="B2825" s="32"/>
      <c r="C2825" s="32"/>
      <c r="D2825" s="32"/>
      <c r="E2825" s="34" t="str">
        <f aca="false">IF($B2825="","",IF($B2825="OUT","Liters",IFERROR(INDEX(Setup!$F$3:$F$24,MATCH($C2825,Setup!$A$3:$A$24,0)),"")))</f>
        <v/>
      </c>
      <c r="F2825" s="28" t="str">
        <f aca="false">IF(OR($D2825="",$E2825=""),"",IFERROR($D2825*INDEX(Setup!$B$27:$B$44,MATCH($E2825,Setup!$A$27:$A$44,0)),"TBD"))</f>
        <v/>
      </c>
      <c r="G2825" s="32"/>
      <c r="H2825" s="32"/>
      <c r="I2825" s="32"/>
      <c r="J2825" s="32"/>
      <c r="K2825" s="35"/>
      <c r="L2825" s="32"/>
      <c r="M2825" s="32"/>
    </row>
    <row r="2826" customFormat="false" ht="15" hidden="false" customHeight="true" outlineLevel="0" collapsed="false">
      <c r="A2826" s="32"/>
      <c r="B2826" s="32"/>
      <c r="C2826" s="32"/>
      <c r="D2826" s="32"/>
      <c r="E2826" s="34" t="str">
        <f aca="false">IF($B2826="","",IF($B2826="OUT","Liters",IFERROR(INDEX(Setup!$F$3:$F$24,MATCH($C2826,Setup!$A$3:$A$24,0)),"")))</f>
        <v/>
      </c>
      <c r="F2826" s="28" t="str">
        <f aca="false">IF(OR($D2826="",$E2826=""),"",IFERROR($D2826*INDEX(Setup!$B$27:$B$44,MATCH($E2826,Setup!$A$27:$A$44,0)),"TBD"))</f>
        <v/>
      </c>
      <c r="G2826" s="32"/>
      <c r="H2826" s="32"/>
      <c r="I2826" s="32"/>
      <c r="J2826" s="32"/>
      <c r="K2826" s="35"/>
      <c r="L2826" s="32"/>
      <c r="M2826" s="32"/>
    </row>
    <row r="2827" customFormat="false" ht="15" hidden="false" customHeight="true" outlineLevel="0" collapsed="false">
      <c r="A2827" s="32"/>
      <c r="B2827" s="32"/>
      <c r="C2827" s="32"/>
      <c r="D2827" s="32"/>
      <c r="E2827" s="34" t="str">
        <f aca="false">IF($B2827="","",IF($B2827="OUT","Liters",IFERROR(INDEX(Setup!$F$3:$F$24,MATCH($C2827,Setup!$A$3:$A$24,0)),"")))</f>
        <v/>
      </c>
      <c r="F2827" s="28" t="str">
        <f aca="false">IF(OR($D2827="",$E2827=""),"",IFERROR($D2827*INDEX(Setup!$B$27:$B$44,MATCH($E2827,Setup!$A$27:$A$44,0)),"TBD"))</f>
        <v/>
      </c>
      <c r="G2827" s="32"/>
      <c r="H2827" s="32"/>
      <c r="I2827" s="32"/>
      <c r="J2827" s="32"/>
      <c r="K2827" s="35"/>
      <c r="L2827" s="32"/>
      <c r="M2827" s="32"/>
    </row>
    <row r="2828" customFormat="false" ht="15" hidden="false" customHeight="true" outlineLevel="0" collapsed="false">
      <c r="A2828" s="32"/>
      <c r="B2828" s="32"/>
      <c r="C2828" s="32"/>
      <c r="D2828" s="32"/>
      <c r="E2828" s="34" t="str">
        <f aca="false">IF($B2828="","",IF($B2828="OUT","Liters",IFERROR(INDEX(Setup!$F$3:$F$24,MATCH($C2828,Setup!$A$3:$A$24,0)),"")))</f>
        <v/>
      </c>
      <c r="F2828" s="28" t="str">
        <f aca="false">IF(OR($D2828="",$E2828=""),"",IFERROR($D2828*INDEX(Setup!$B$27:$B$44,MATCH($E2828,Setup!$A$27:$A$44,0)),"TBD"))</f>
        <v/>
      </c>
      <c r="G2828" s="32"/>
      <c r="H2828" s="32"/>
      <c r="I2828" s="32"/>
      <c r="J2828" s="32"/>
      <c r="K2828" s="35"/>
      <c r="L2828" s="32"/>
      <c r="M2828" s="32"/>
    </row>
    <row r="2829" customFormat="false" ht="15" hidden="false" customHeight="true" outlineLevel="0" collapsed="false">
      <c r="A2829" s="32"/>
      <c r="B2829" s="32"/>
      <c r="C2829" s="32"/>
      <c r="D2829" s="32"/>
      <c r="E2829" s="34" t="str">
        <f aca="false">IF($B2829="","",IF($B2829="OUT","Liters",IFERROR(INDEX(Setup!$F$3:$F$24,MATCH($C2829,Setup!$A$3:$A$24,0)),"")))</f>
        <v/>
      </c>
      <c r="F2829" s="28" t="str">
        <f aca="false">IF(OR($D2829="",$E2829=""),"",IFERROR($D2829*INDEX(Setup!$B$27:$B$44,MATCH($E2829,Setup!$A$27:$A$44,0)),"TBD"))</f>
        <v/>
      </c>
      <c r="G2829" s="32"/>
      <c r="H2829" s="32"/>
      <c r="I2829" s="32"/>
      <c r="J2829" s="32"/>
      <c r="K2829" s="35"/>
      <c r="L2829" s="32"/>
      <c r="M2829" s="32"/>
    </row>
    <row r="2830" customFormat="false" ht="15" hidden="false" customHeight="true" outlineLevel="0" collapsed="false">
      <c r="A2830" s="32"/>
      <c r="B2830" s="32"/>
      <c r="C2830" s="32"/>
      <c r="D2830" s="32"/>
      <c r="E2830" s="34" t="str">
        <f aca="false">IF($B2830="","",IF($B2830="OUT","Liters",IFERROR(INDEX(Setup!$F$3:$F$24,MATCH($C2830,Setup!$A$3:$A$24,0)),"")))</f>
        <v/>
      </c>
      <c r="F2830" s="28" t="str">
        <f aca="false">IF(OR($D2830="",$E2830=""),"",IFERROR($D2830*INDEX(Setup!$B$27:$B$44,MATCH($E2830,Setup!$A$27:$A$44,0)),"TBD"))</f>
        <v/>
      </c>
      <c r="G2830" s="32"/>
      <c r="H2830" s="32"/>
      <c r="I2830" s="32"/>
      <c r="J2830" s="32"/>
      <c r="K2830" s="35"/>
      <c r="L2830" s="32"/>
      <c r="M2830" s="32"/>
    </row>
    <row r="2831" customFormat="false" ht="15" hidden="false" customHeight="true" outlineLevel="0" collapsed="false">
      <c r="A2831" s="32"/>
      <c r="B2831" s="32"/>
      <c r="C2831" s="32"/>
      <c r="D2831" s="32"/>
      <c r="E2831" s="34" t="str">
        <f aca="false">IF($B2831="","",IF($B2831="OUT","Liters",IFERROR(INDEX(Setup!$F$3:$F$24,MATCH($C2831,Setup!$A$3:$A$24,0)),"")))</f>
        <v/>
      </c>
      <c r="F2831" s="28" t="str">
        <f aca="false">IF(OR($D2831="",$E2831=""),"",IFERROR($D2831*INDEX(Setup!$B$27:$B$44,MATCH($E2831,Setup!$A$27:$A$44,0)),"TBD"))</f>
        <v/>
      </c>
      <c r="G2831" s="32"/>
      <c r="H2831" s="32"/>
      <c r="I2831" s="32"/>
      <c r="J2831" s="32"/>
      <c r="K2831" s="35"/>
      <c r="L2831" s="32"/>
      <c r="M2831" s="32"/>
    </row>
    <row r="2832" customFormat="false" ht="15" hidden="false" customHeight="true" outlineLevel="0" collapsed="false">
      <c r="A2832" s="32"/>
      <c r="B2832" s="32"/>
      <c r="C2832" s="32"/>
      <c r="D2832" s="32"/>
      <c r="E2832" s="34" t="str">
        <f aca="false">IF($B2832="","",IF($B2832="OUT","Liters",IFERROR(INDEX(Setup!$F$3:$F$24,MATCH($C2832,Setup!$A$3:$A$24,0)),"")))</f>
        <v/>
      </c>
      <c r="F2832" s="28" t="str">
        <f aca="false">IF(OR($D2832="",$E2832=""),"",IFERROR($D2832*INDEX(Setup!$B$27:$B$44,MATCH($E2832,Setup!$A$27:$A$44,0)),"TBD"))</f>
        <v/>
      </c>
      <c r="G2832" s="32"/>
      <c r="H2832" s="32"/>
      <c r="I2832" s="32"/>
      <c r="J2832" s="32"/>
      <c r="K2832" s="35"/>
      <c r="L2832" s="32"/>
      <c r="M2832" s="32"/>
    </row>
    <row r="2833" customFormat="false" ht="15" hidden="false" customHeight="true" outlineLevel="0" collapsed="false">
      <c r="A2833" s="32"/>
      <c r="B2833" s="32"/>
      <c r="C2833" s="32"/>
      <c r="D2833" s="32"/>
      <c r="E2833" s="34" t="str">
        <f aca="false">IF($B2833="","",IF($B2833="OUT","Liters",IFERROR(INDEX(Setup!$F$3:$F$24,MATCH($C2833,Setup!$A$3:$A$24,0)),"")))</f>
        <v/>
      </c>
      <c r="F2833" s="28" t="str">
        <f aca="false">IF(OR($D2833="",$E2833=""),"",IFERROR($D2833*INDEX(Setup!$B$27:$B$44,MATCH($E2833,Setup!$A$27:$A$44,0)),"TBD"))</f>
        <v/>
      </c>
      <c r="G2833" s="32"/>
      <c r="H2833" s="32"/>
      <c r="I2833" s="32"/>
      <c r="J2833" s="32"/>
      <c r="K2833" s="35"/>
      <c r="L2833" s="32"/>
      <c r="M2833" s="32"/>
    </row>
    <row r="2834" customFormat="false" ht="15" hidden="false" customHeight="true" outlineLevel="0" collapsed="false">
      <c r="A2834" s="32"/>
      <c r="B2834" s="32"/>
      <c r="C2834" s="32"/>
      <c r="D2834" s="32"/>
      <c r="E2834" s="34" t="str">
        <f aca="false">IF($B2834="","",IF($B2834="OUT","Liters",IFERROR(INDEX(Setup!$F$3:$F$24,MATCH($C2834,Setup!$A$3:$A$24,0)),"")))</f>
        <v/>
      </c>
      <c r="F2834" s="28" t="str">
        <f aca="false">IF(OR($D2834="",$E2834=""),"",IFERROR($D2834*INDEX(Setup!$B$27:$B$44,MATCH($E2834,Setup!$A$27:$A$44,0)),"TBD"))</f>
        <v/>
      </c>
      <c r="G2834" s="32"/>
      <c r="H2834" s="32"/>
      <c r="I2834" s="32"/>
      <c r="J2834" s="32"/>
      <c r="K2834" s="35"/>
      <c r="L2834" s="32"/>
      <c r="M2834" s="32"/>
    </row>
    <row r="2835" customFormat="false" ht="15" hidden="false" customHeight="true" outlineLevel="0" collapsed="false">
      <c r="A2835" s="32"/>
      <c r="B2835" s="32"/>
      <c r="C2835" s="32"/>
      <c r="D2835" s="32"/>
      <c r="E2835" s="34" t="str">
        <f aca="false">IF($B2835="","",IF($B2835="OUT","Liters",IFERROR(INDEX(Setup!$F$3:$F$24,MATCH($C2835,Setup!$A$3:$A$24,0)),"")))</f>
        <v/>
      </c>
      <c r="F2835" s="28" t="str">
        <f aca="false">IF(OR($D2835="",$E2835=""),"",IFERROR($D2835*INDEX(Setup!$B$27:$B$44,MATCH($E2835,Setup!$A$27:$A$44,0)),"TBD"))</f>
        <v/>
      </c>
      <c r="G2835" s="32"/>
      <c r="H2835" s="32"/>
      <c r="I2835" s="32"/>
      <c r="J2835" s="32"/>
      <c r="K2835" s="35"/>
      <c r="L2835" s="32"/>
      <c r="M2835" s="32"/>
    </row>
    <row r="2836" customFormat="false" ht="15" hidden="false" customHeight="true" outlineLevel="0" collapsed="false">
      <c r="A2836" s="32"/>
      <c r="B2836" s="32"/>
      <c r="C2836" s="32"/>
      <c r="D2836" s="32"/>
      <c r="E2836" s="34" t="str">
        <f aca="false">IF($B2836="","",IF($B2836="OUT","Liters",IFERROR(INDEX(Setup!$F$3:$F$24,MATCH($C2836,Setup!$A$3:$A$24,0)),"")))</f>
        <v/>
      </c>
      <c r="F2836" s="28" t="str">
        <f aca="false">IF(OR($D2836="",$E2836=""),"",IFERROR($D2836*INDEX(Setup!$B$27:$B$44,MATCH($E2836,Setup!$A$27:$A$44,0)),"TBD"))</f>
        <v/>
      </c>
      <c r="G2836" s="32"/>
      <c r="H2836" s="32"/>
      <c r="I2836" s="32"/>
      <c r="J2836" s="32"/>
      <c r="K2836" s="35"/>
      <c r="L2836" s="32"/>
      <c r="M2836" s="32"/>
    </row>
    <row r="2837" customFormat="false" ht="15" hidden="false" customHeight="true" outlineLevel="0" collapsed="false">
      <c r="A2837" s="32"/>
      <c r="B2837" s="32"/>
      <c r="C2837" s="32"/>
      <c r="D2837" s="32"/>
      <c r="E2837" s="34" t="str">
        <f aca="false">IF($B2837="","",IF($B2837="OUT","Liters",IFERROR(INDEX(Setup!$F$3:$F$24,MATCH($C2837,Setup!$A$3:$A$24,0)),"")))</f>
        <v/>
      </c>
      <c r="F2837" s="28" t="str">
        <f aca="false">IF(OR($D2837="",$E2837=""),"",IFERROR($D2837*INDEX(Setup!$B$27:$B$44,MATCH($E2837,Setup!$A$27:$A$44,0)),"TBD"))</f>
        <v/>
      </c>
      <c r="G2837" s="32"/>
      <c r="H2837" s="32"/>
      <c r="I2837" s="32"/>
      <c r="J2837" s="32"/>
      <c r="K2837" s="35"/>
      <c r="L2837" s="32"/>
      <c r="M2837" s="32"/>
    </row>
    <row r="2838" customFormat="false" ht="15" hidden="false" customHeight="true" outlineLevel="0" collapsed="false">
      <c r="A2838" s="32"/>
      <c r="B2838" s="32"/>
      <c r="C2838" s="32"/>
      <c r="D2838" s="32"/>
      <c r="E2838" s="34" t="str">
        <f aca="false">IF($B2838="","",IF($B2838="OUT","Liters",IFERROR(INDEX(Setup!$F$3:$F$24,MATCH($C2838,Setup!$A$3:$A$24,0)),"")))</f>
        <v/>
      </c>
      <c r="F2838" s="28" t="str">
        <f aca="false">IF(OR($D2838="",$E2838=""),"",IFERROR($D2838*INDEX(Setup!$B$27:$B$44,MATCH($E2838,Setup!$A$27:$A$44,0)),"TBD"))</f>
        <v/>
      </c>
      <c r="G2838" s="32"/>
      <c r="H2838" s="32"/>
      <c r="I2838" s="32"/>
      <c r="J2838" s="32"/>
      <c r="K2838" s="35"/>
      <c r="L2838" s="32"/>
      <c r="M2838" s="32"/>
    </row>
    <row r="2839" customFormat="false" ht="15" hidden="false" customHeight="true" outlineLevel="0" collapsed="false">
      <c r="A2839" s="32"/>
      <c r="B2839" s="32"/>
      <c r="C2839" s="32"/>
      <c r="D2839" s="32"/>
      <c r="E2839" s="34" t="str">
        <f aca="false">IF($B2839="","",IF($B2839="OUT","Liters",IFERROR(INDEX(Setup!$F$3:$F$24,MATCH($C2839,Setup!$A$3:$A$24,0)),"")))</f>
        <v/>
      </c>
      <c r="F2839" s="28" t="str">
        <f aca="false">IF(OR($D2839="",$E2839=""),"",IFERROR($D2839*INDEX(Setup!$B$27:$B$44,MATCH($E2839,Setup!$A$27:$A$44,0)),"TBD"))</f>
        <v/>
      </c>
      <c r="G2839" s="32"/>
      <c r="H2839" s="32"/>
      <c r="I2839" s="32"/>
      <c r="J2839" s="32"/>
      <c r="K2839" s="35"/>
      <c r="L2839" s="32"/>
      <c r="M2839" s="32"/>
    </row>
    <row r="2840" customFormat="false" ht="15" hidden="false" customHeight="true" outlineLevel="0" collapsed="false">
      <c r="A2840" s="32"/>
      <c r="B2840" s="32"/>
      <c r="C2840" s="32"/>
      <c r="D2840" s="32"/>
      <c r="E2840" s="34" t="str">
        <f aca="false">IF($B2840="","",IF($B2840="OUT","Liters",IFERROR(INDEX(Setup!$F$3:$F$24,MATCH($C2840,Setup!$A$3:$A$24,0)),"")))</f>
        <v/>
      </c>
      <c r="F2840" s="28" t="str">
        <f aca="false">IF(OR($D2840="",$E2840=""),"",IFERROR($D2840*INDEX(Setup!$B$27:$B$44,MATCH($E2840,Setup!$A$27:$A$44,0)),"TBD"))</f>
        <v/>
      </c>
      <c r="G2840" s="32"/>
      <c r="H2840" s="32"/>
      <c r="I2840" s="32"/>
      <c r="J2840" s="32"/>
      <c r="K2840" s="35"/>
      <c r="L2840" s="32"/>
      <c r="M2840" s="32"/>
    </row>
    <row r="2841" customFormat="false" ht="15" hidden="false" customHeight="true" outlineLevel="0" collapsed="false">
      <c r="A2841" s="32"/>
      <c r="B2841" s="32"/>
      <c r="C2841" s="32"/>
      <c r="D2841" s="32"/>
      <c r="E2841" s="34" t="str">
        <f aca="false">IF($B2841="","",IF($B2841="OUT","Liters",IFERROR(INDEX(Setup!$F$3:$F$24,MATCH($C2841,Setup!$A$3:$A$24,0)),"")))</f>
        <v/>
      </c>
      <c r="F2841" s="28" t="str">
        <f aca="false">IF(OR($D2841="",$E2841=""),"",IFERROR($D2841*INDEX(Setup!$B$27:$B$44,MATCH($E2841,Setup!$A$27:$A$44,0)),"TBD"))</f>
        <v/>
      </c>
      <c r="G2841" s="32"/>
      <c r="H2841" s="32"/>
      <c r="I2841" s="32"/>
      <c r="J2841" s="32"/>
      <c r="K2841" s="35"/>
      <c r="L2841" s="32"/>
      <c r="M2841" s="32"/>
    </row>
    <row r="2842" customFormat="false" ht="15" hidden="false" customHeight="true" outlineLevel="0" collapsed="false">
      <c r="A2842" s="32"/>
      <c r="B2842" s="32"/>
      <c r="C2842" s="32"/>
      <c r="D2842" s="32"/>
      <c r="E2842" s="34" t="str">
        <f aca="false">IF($B2842="","",IF($B2842="OUT","Liters",IFERROR(INDEX(Setup!$F$3:$F$24,MATCH($C2842,Setup!$A$3:$A$24,0)),"")))</f>
        <v/>
      </c>
      <c r="F2842" s="28" t="str">
        <f aca="false">IF(OR($D2842="",$E2842=""),"",IFERROR($D2842*INDEX(Setup!$B$27:$B$44,MATCH($E2842,Setup!$A$27:$A$44,0)),"TBD"))</f>
        <v/>
      </c>
      <c r="G2842" s="32"/>
      <c r="H2842" s="32"/>
      <c r="I2842" s="32"/>
      <c r="J2842" s="32"/>
      <c r="K2842" s="35"/>
      <c r="L2842" s="32"/>
      <c r="M2842" s="32"/>
    </row>
    <row r="2843" customFormat="false" ht="15" hidden="false" customHeight="true" outlineLevel="0" collapsed="false">
      <c r="A2843" s="32"/>
      <c r="B2843" s="32"/>
      <c r="C2843" s="32"/>
      <c r="D2843" s="32"/>
      <c r="E2843" s="34" t="str">
        <f aca="false">IF($B2843="","",IF($B2843="OUT","Liters",IFERROR(INDEX(Setup!$F$3:$F$24,MATCH($C2843,Setup!$A$3:$A$24,0)),"")))</f>
        <v/>
      </c>
      <c r="F2843" s="28" t="str">
        <f aca="false">IF(OR($D2843="",$E2843=""),"",IFERROR($D2843*INDEX(Setup!$B$27:$B$44,MATCH($E2843,Setup!$A$27:$A$44,0)),"TBD"))</f>
        <v/>
      </c>
      <c r="G2843" s="32"/>
      <c r="H2843" s="32"/>
      <c r="I2843" s="32"/>
      <c r="J2843" s="32"/>
      <c r="K2843" s="35"/>
      <c r="L2843" s="32"/>
      <c r="M2843" s="32"/>
    </row>
    <row r="2844" customFormat="false" ht="15" hidden="false" customHeight="true" outlineLevel="0" collapsed="false">
      <c r="A2844" s="32"/>
      <c r="B2844" s="32"/>
      <c r="C2844" s="32"/>
      <c r="D2844" s="32"/>
      <c r="E2844" s="34" t="str">
        <f aca="false">IF($B2844="","",IF($B2844="OUT","Liters",IFERROR(INDEX(Setup!$F$3:$F$24,MATCH($C2844,Setup!$A$3:$A$24,0)),"")))</f>
        <v/>
      </c>
      <c r="F2844" s="28" t="str">
        <f aca="false">IF(OR($D2844="",$E2844=""),"",IFERROR($D2844*INDEX(Setup!$B$27:$B$44,MATCH($E2844,Setup!$A$27:$A$44,0)),"TBD"))</f>
        <v/>
      </c>
      <c r="G2844" s="32"/>
      <c r="H2844" s="32"/>
      <c r="I2844" s="32"/>
      <c r="J2844" s="32"/>
      <c r="K2844" s="35"/>
      <c r="L2844" s="32"/>
      <c r="M2844" s="32"/>
    </row>
    <row r="2845" customFormat="false" ht="15" hidden="false" customHeight="true" outlineLevel="0" collapsed="false">
      <c r="A2845" s="32"/>
      <c r="B2845" s="32"/>
      <c r="C2845" s="32"/>
      <c r="D2845" s="32"/>
      <c r="E2845" s="34" t="str">
        <f aca="false">IF($B2845="","",IF($B2845="OUT","Liters",IFERROR(INDEX(Setup!$F$3:$F$24,MATCH($C2845,Setup!$A$3:$A$24,0)),"")))</f>
        <v/>
      </c>
      <c r="F2845" s="28" t="str">
        <f aca="false">IF(OR($D2845="",$E2845=""),"",IFERROR($D2845*INDEX(Setup!$B$27:$B$44,MATCH($E2845,Setup!$A$27:$A$44,0)),"TBD"))</f>
        <v/>
      </c>
      <c r="G2845" s="32"/>
      <c r="H2845" s="32"/>
      <c r="I2845" s="32"/>
      <c r="J2845" s="32"/>
      <c r="K2845" s="35"/>
      <c r="L2845" s="32"/>
      <c r="M2845" s="32"/>
    </row>
    <row r="2846" customFormat="false" ht="15" hidden="false" customHeight="true" outlineLevel="0" collapsed="false">
      <c r="A2846" s="32"/>
      <c r="B2846" s="32"/>
      <c r="C2846" s="32"/>
      <c r="D2846" s="32"/>
      <c r="E2846" s="34" t="str">
        <f aca="false">IF($B2846="","",IF($B2846="OUT","Liters",IFERROR(INDEX(Setup!$F$3:$F$24,MATCH($C2846,Setup!$A$3:$A$24,0)),"")))</f>
        <v/>
      </c>
      <c r="F2846" s="28" t="str">
        <f aca="false">IF(OR($D2846="",$E2846=""),"",IFERROR($D2846*INDEX(Setup!$B$27:$B$44,MATCH($E2846,Setup!$A$27:$A$44,0)),"TBD"))</f>
        <v/>
      </c>
      <c r="G2846" s="32"/>
      <c r="H2846" s="32"/>
      <c r="I2846" s="32"/>
      <c r="J2846" s="32"/>
      <c r="K2846" s="35"/>
      <c r="L2846" s="32"/>
      <c r="M2846" s="32"/>
    </row>
    <row r="2847" customFormat="false" ht="15" hidden="false" customHeight="true" outlineLevel="0" collapsed="false">
      <c r="A2847" s="32"/>
      <c r="B2847" s="32"/>
      <c r="C2847" s="32"/>
      <c r="D2847" s="32"/>
      <c r="E2847" s="34" t="str">
        <f aca="false">IF($B2847="","",IF($B2847="OUT","Liters",IFERROR(INDEX(Setup!$F$3:$F$24,MATCH($C2847,Setup!$A$3:$A$24,0)),"")))</f>
        <v/>
      </c>
      <c r="F2847" s="28" t="str">
        <f aca="false">IF(OR($D2847="",$E2847=""),"",IFERROR($D2847*INDEX(Setup!$B$27:$B$44,MATCH($E2847,Setup!$A$27:$A$44,0)),"TBD"))</f>
        <v/>
      </c>
      <c r="G2847" s="32"/>
      <c r="H2847" s="32"/>
      <c r="I2847" s="32"/>
      <c r="J2847" s="32"/>
      <c r="K2847" s="35"/>
      <c r="L2847" s="32"/>
      <c r="M2847" s="32"/>
    </row>
    <row r="2848" customFormat="false" ht="15" hidden="false" customHeight="true" outlineLevel="0" collapsed="false">
      <c r="A2848" s="32"/>
      <c r="B2848" s="32"/>
      <c r="C2848" s="32"/>
      <c r="D2848" s="32"/>
      <c r="E2848" s="34" t="str">
        <f aca="false">IF($B2848="","",IF($B2848="OUT","Liters",IFERROR(INDEX(Setup!$F$3:$F$24,MATCH($C2848,Setup!$A$3:$A$24,0)),"")))</f>
        <v/>
      </c>
      <c r="F2848" s="28" t="str">
        <f aca="false">IF(OR($D2848="",$E2848=""),"",IFERROR($D2848*INDEX(Setup!$B$27:$B$44,MATCH($E2848,Setup!$A$27:$A$44,0)),"TBD"))</f>
        <v/>
      </c>
      <c r="G2848" s="32"/>
      <c r="H2848" s="32"/>
      <c r="I2848" s="32"/>
      <c r="J2848" s="32"/>
      <c r="K2848" s="35"/>
      <c r="L2848" s="32"/>
      <c r="M2848" s="32"/>
    </row>
    <row r="2849" customFormat="false" ht="15" hidden="false" customHeight="true" outlineLevel="0" collapsed="false">
      <c r="A2849" s="32"/>
      <c r="B2849" s="32"/>
      <c r="C2849" s="32"/>
      <c r="D2849" s="32"/>
      <c r="E2849" s="34" t="str">
        <f aca="false">IF($B2849="","",IF($B2849="OUT","Liters",IFERROR(INDEX(Setup!$F$3:$F$24,MATCH($C2849,Setup!$A$3:$A$24,0)),"")))</f>
        <v/>
      </c>
      <c r="F2849" s="28" t="str">
        <f aca="false">IF(OR($D2849="",$E2849=""),"",IFERROR($D2849*INDEX(Setup!$B$27:$B$44,MATCH($E2849,Setup!$A$27:$A$44,0)),"TBD"))</f>
        <v/>
      </c>
      <c r="G2849" s="32"/>
      <c r="H2849" s="32"/>
      <c r="I2849" s="32"/>
      <c r="J2849" s="32"/>
      <c r="K2849" s="35"/>
      <c r="L2849" s="32"/>
      <c r="M2849" s="32"/>
    </row>
    <row r="2850" customFormat="false" ht="15" hidden="false" customHeight="true" outlineLevel="0" collapsed="false">
      <c r="A2850" s="32"/>
      <c r="B2850" s="32"/>
      <c r="C2850" s="32"/>
      <c r="D2850" s="32"/>
      <c r="E2850" s="34" t="str">
        <f aca="false">IF($B2850="","",IF($B2850="OUT","Liters",IFERROR(INDEX(Setup!$F$3:$F$24,MATCH($C2850,Setup!$A$3:$A$24,0)),"")))</f>
        <v/>
      </c>
      <c r="F2850" s="28" t="str">
        <f aca="false">IF(OR($D2850="",$E2850=""),"",IFERROR($D2850*INDEX(Setup!$B$27:$B$44,MATCH($E2850,Setup!$A$27:$A$44,0)),"TBD"))</f>
        <v/>
      </c>
      <c r="G2850" s="32"/>
      <c r="H2850" s="32"/>
      <c r="I2850" s="32"/>
      <c r="J2850" s="32"/>
      <c r="K2850" s="35"/>
      <c r="L2850" s="32"/>
      <c r="M2850" s="32"/>
    </row>
    <row r="2851" customFormat="false" ht="15" hidden="false" customHeight="true" outlineLevel="0" collapsed="false">
      <c r="A2851" s="32"/>
      <c r="B2851" s="32"/>
      <c r="C2851" s="32"/>
      <c r="D2851" s="32"/>
      <c r="E2851" s="34" t="str">
        <f aca="false">IF($B2851="","",IF($B2851="OUT","Liters",IFERROR(INDEX(Setup!$F$3:$F$24,MATCH($C2851,Setup!$A$3:$A$24,0)),"")))</f>
        <v/>
      </c>
      <c r="F2851" s="28" t="str">
        <f aca="false">IF(OR($D2851="",$E2851=""),"",IFERROR($D2851*INDEX(Setup!$B$27:$B$44,MATCH($E2851,Setup!$A$27:$A$44,0)),"TBD"))</f>
        <v/>
      </c>
      <c r="G2851" s="32"/>
      <c r="H2851" s="32"/>
      <c r="I2851" s="32"/>
      <c r="J2851" s="32"/>
      <c r="K2851" s="35"/>
      <c r="L2851" s="32"/>
      <c r="M2851" s="32"/>
    </row>
    <row r="2852" customFormat="false" ht="15" hidden="false" customHeight="true" outlineLevel="0" collapsed="false">
      <c r="A2852" s="32"/>
      <c r="B2852" s="32"/>
      <c r="C2852" s="32"/>
      <c r="D2852" s="32"/>
      <c r="E2852" s="34" t="str">
        <f aca="false">IF($B2852="","",IF($B2852="OUT","Liters",IFERROR(INDEX(Setup!$F$3:$F$24,MATCH($C2852,Setup!$A$3:$A$24,0)),"")))</f>
        <v/>
      </c>
      <c r="F2852" s="28" t="str">
        <f aca="false">IF(OR($D2852="",$E2852=""),"",IFERROR($D2852*INDEX(Setup!$B$27:$B$44,MATCH($E2852,Setup!$A$27:$A$44,0)),"TBD"))</f>
        <v/>
      </c>
      <c r="G2852" s="32"/>
      <c r="H2852" s="32"/>
      <c r="I2852" s="32"/>
      <c r="J2852" s="32"/>
      <c r="K2852" s="35"/>
      <c r="L2852" s="32"/>
      <c r="M2852" s="32"/>
    </row>
    <row r="2853" customFormat="false" ht="15" hidden="false" customHeight="true" outlineLevel="0" collapsed="false">
      <c r="A2853" s="32"/>
      <c r="B2853" s="32"/>
      <c r="C2853" s="32"/>
      <c r="D2853" s="32"/>
      <c r="E2853" s="34" t="str">
        <f aca="false">IF($B2853="","",IF($B2853="OUT","Liters",IFERROR(INDEX(Setup!$F$3:$F$24,MATCH($C2853,Setup!$A$3:$A$24,0)),"")))</f>
        <v/>
      </c>
      <c r="F2853" s="28" t="str">
        <f aca="false">IF(OR($D2853="",$E2853=""),"",IFERROR($D2853*INDEX(Setup!$B$27:$B$44,MATCH($E2853,Setup!$A$27:$A$44,0)),"TBD"))</f>
        <v/>
      </c>
      <c r="G2853" s="32"/>
      <c r="H2853" s="32"/>
      <c r="I2853" s="32"/>
      <c r="J2853" s="32"/>
      <c r="K2853" s="35"/>
      <c r="L2853" s="32"/>
      <c r="M2853" s="32"/>
    </row>
    <row r="2854" customFormat="false" ht="15" hidden="false" customHeight="true" outlineLevel="0" collapsed="false">
      <c r="A2854" s="32"/>
      <c r="B2854" s="32"/>
      <c r="C2854" s="32"/>
      <c r="D2854" s="32"/>
      <c r="E2854" s="34" t="str">
        <f aca="false">IF($B2854="","",IF($B2854="OUT","Liters",IFERROR(INDEX(Setup!$F$3:$F$24,MATCH($C2854,Setup!$A$3:$A$24,0)),"")))</f>
        <v/>
      </c>
      <c r="F2854" s="28" t="str">
        <f aca="false">IF(OR($D2854="",$E2854=""),"",IFERROR($D2854*INDEX(Setup!$B$27:$B$44,MATCH($E2854,Setup!$A$27:$A$44,0)),"TBD"))</f>
        <v/>
      </c>
      <c r="G2854" s="32"/>
      <c r="H2854" s="32"/>
      <c r="I2854" s="32"/>
      <c r="J2854" s="32"/>
      <c r="K2854" s="35"/>
      <c r="L2854" s="32"/>
      <c r="M2854" s="32"/>
    </row>
    <row r="2855" customFormat="false" ht="15" hidden="false" customHeight="true" outlineLevel="0" collapsed="false">
      <c r="A2855" s="32"/>
      <c r="B2855" s="32"/>
      <c r="C2855" s="32"/>
      <c r="D2855" s="32"/>
      <c r="E2855" s="34" t="str">
        <f aca="false">IF($B2855="","",IF($B2855="OUT","Liters",IFERROR(INDEX(Setup!$F$3:$F$24,MATCH($C2855,Setup!$A$3:$A$24,0)),"")))</f>
        <v/>
      </c>
      <c r="F2855" s="28" t="str">
        <f aca="false">IF(OR($D2855="",$E2855=""),"",IFERROR($D2855*INDEX(Setup!$B$27:$B$44,MATCH($E2855,Setup!$A$27:$A$44,0)),"TBD"))</f>
        <v/>
      </c>
      <c r="G2855" s="32"/>
      <c r="H2855" s="32"/>
      <c r="I2855" s="32"/>
      <c r="J2855" s="32"/>
      <c r="K2855" s="35"/>
      <c r="L2855" s="32"/>
      <c r="M2855" s="32"/>
    </row>
    <row r="2856" customFormat="false" ht="15" hidden="false" customHeight="true" outlineLevel="0" collapsed="false">
      <c r="A2856" s="32"/>
      <c r="B2856" s="32"/>
      <c r="C2856" s="32"/>
      <c r="D2856" s="32"/>
      <c r="E2856" s="34" t="str">
        <f aca="false">IF($B2856="","",IF($B2856="OUT","Liters",IFERROR(INDEX(Setup!$F$3:$F$24,MATCH($C2856,Setup!$A$3:$A$24,0)),"")))</f>
        <v/>
      </c>
      <c r="F2856" s="28" t="str">
        <f aca="false">IF(OR($D2856="",$E2856=""),"",IFERROR($D2856*INDEX(Setup!$B$27:$B$44,MATCH($E2856,Setup!$A$27:$A$44,0)),"TBD"))</f>
        <v/>
      </c>
      <c r="G2856" s="32"/>
      <c r="H2856" s="32"/>
      <c r="I2856" s="32"/>
      <c r="J2856" s="32"/>
      <c r="K2856" s="35"/>
      <c r="L2856" s="32"/>
      <c r="M2856" s="32"/>
    </row>
    <row r="2857" customFormat="false" ht="15" hidden="false" customHeight="true" outlineLevel="0" collapsed="false">
      <c r="A2857" s="32"/>
      <c r="B2857" s="32"/>
      <c r="C2857" s="32"/>
      <c r="D2857" s="32"/>
      <c r="E2857" s="34" t="str">
        <f aca="false">IF($B2857="","",IF($B2857="OUT","Liters",IFERROR(INDEX(Setup!$F$3:$F$24,MATCH($C2857,Setup!$A$3:$A$24,0)),"")))</f>
        <v/>
      </c>
      <c r="F2857" s="28" t="str">
        <f aca="false">IF(OR($D2857="",$E2857=""),"",IFERROR($D2857*INDEX(Setup!$B$27:$B$44,MATCH($E2857,Setup!$A$27:$A$44,0)),"TBD"))</f>
        <v/>
      </c>
      <c r="G2857" s="32"/>
      <c r="H2857" s="32"/>
      <c r="I2857" s="32"/>
      <c r="J2857" s="32"/>
      <c r="K2857" s="35"/>
      <c r="L2857" s="32"/>
      <c r="M2857" s="32"/>
    </row>
    <row r="2858" customFormat="false" ht="15" hidden="false" customHeight="true" outlineLevel="0" collapsed="false">
      <c r="A2858" s="32"/>
      <c r="B2858" s="32"/>
      <c r="C2858" s="32"/>
      <c r="D2858" s="32"/>
      <c r="E2858" s="34" t="str">
        <f aca="false">IF($B2858="","",IF($B2858="OUT","Liters",IFERROR(INDEX(Setup!$F$3:$F$24,MATCH($C2858,Setup!$A$3:$A$24,0)),"")))</f>
        <v/>
      </c>
      <c r="F2858" s="28" t="str">
        <f aca="false">IF(OR($D2858="",$E2858=""),"",IFERROR($D2858*INDEX(Setup!$B$27:$B$44,MATCH($E2858,Setup!$A$27:$A$44,0)),"TBD"))</f>
        <v/>
      </c>
      <c r="G2858" s="32"/>
      <c r="H2858" s="32"/>
      <c r="I2858" s="32"/>
      <c r="J2858" s="32"/>
      <c r="K2858" s="35"/>
      <c r="L2858" s="32"/>
      <c r="M2858" s="32"/>
    </row>
    <row r="2859" customFormat="false" ht="15" hidden="false" customHeight="true" outlineLevel="0" collapsed="false">
      <c r="A2859" s="32"/>
      <c r="B2859" s="32"/>
      <c r="C2859" s="32"/>
      <c r="D2859" s="32"/>
      <c r="E2859" s="34" t="str">
        <f aca="false">IF($B2859="","",IF($B2859="OUT","Liters",IFERROR(INDEX(Setup!$F$3:$F$24,MATCH($C2859,Setup!$A$3:$A$24,0)),"")))</f>
        <v/>
      </c>
      <c r="F2859" s="28" t="str">
        <f aca="false">IF(OR($D2859="",$E2859=""),"",IFERROR($D2859*INDEX(Setup!$B$27:$B$44,MATCH($E2859,Setup!$A$27:$A$44,0)),"TBD"))</f>
        <v/>
      </c>
      <c r="G2859" s="32"/>
      <c r="H2859" s="32"/>
      <c r="I2859" s="32"/>
      <c r="J2859" s="32"/>
      <c r="K2859" s="35"/>
      <c r="L2859" s="32"/>
      <c r="M2859" s="32"/>
    </row>
    <row r="2860" customFormat="false" ht="15" hidden="false" customHeight="true" outlineLevel="0" collapsed="false">
      <c r="A2860" s="32"/>
      <c r="B2860" s="32"/>
      <c r="C2860" s="32"/>
      <c r="D2860" s="32"/>
      <c r="E2860" s="34" t="str">
        <f aca="false">IF($B2860="","",IF($B2860="OUT","Liters",IFERROR(INDEX(Setup!$F$3:$F$24,MATCH($C2860,Setup!$A$3:$A$24,0)),"")))</f>
        <v/>
      </c>
      <c r="F2860" s="28" t="str">
        <f aca="false">IF(OR($D2860="",$E2860=""),"",IFERROR($D2860*INDEX(Setup!$B$27:$B$44,MATCH($E2860,Setup!$A$27:$A$44,0)),"TBD"))</f>
        <v/>
      </c>
      <c r="G2860" s="32"/>
      <c r="H2860" s="32"/>
      <c r="I2860" s="32"/>
      <c r="J2860" s="32"/>
      <c r="K2860" s="35"/>
      <c r="L2860" s="32"/>
      <c r="M2860" s="32"/>
    </row>
    <row r="2861" customFormat="false" ht="15" hidden="false" customHeight="true" outlineLevel="0" collapsed="false">
      <c r="A2861" s="32"/>
      <c r="B2861" s="32"/>
      <c r="C2861" s="32"/>
      <c r="D2861" s="32"/>
      <c r="E2861" s="34" t="str">
        <f aca="false">IF($B2861="","",IF($B2861="OUT","Liters",IFERROR(INDEX(Setup!$F$3:$F$24,MATCH($C2861,Setup!$A$3:$A$24,0)),"")))</f>
        <v/>
      </c>
      <c r="F2861" s="28" t="str">
        <f aca="false">IF(OR($D2861="",$E2861=""),"",IFERROR($D2861*INDEX(Setup!$B$27:$B$44,MATCH($E2861,Setup!$A$27:$A$44,0)),"TBD"))</f>
        <v/>
      </c>
      <c r="G2861" s="32"/>
      <c r="H2861" s="32"/>
      <c r="I2861" s="32"/>
      <c r="J2861" s="32"/>
      <c r="K2861" s="35"/>
      <c r="L2861" s="32"/>
      <c r="M2861" s="32"/>
    </row>
    <row r="2862" customFormat="false" ht="15" hidden="false" customHeight="true" outlineLevel="0" collapsed="false">
      <c r="A2862" s="32"/>
      <c r="B2862" s="32"/>
      <c r="C2862" s="32"/>
      <c r="D2862" s="32"/>
      <c r="E2862" s="34" t="str">
        <f aca="false">IF($B2862="","",IF($B2862="OUT","Liters",IFERROR(INDEX(Setup!$F$3:$F$24,MATCH($C2862,Setup!$A$3:$A$24,0)),"")))</f>
        <v/>
      </c>
      <c r="F2862" s="28" t="str">
        <f aca="false">IF(OR($D2862="",$E2862=""),"",IFERROR($D2862*INDEX(Setup!$B$27:$B$44,MATCH($E2862,Setup!$A$27:$A$44,0)),"TBD"))</f>
        <v/>
      </c>
      <c r="G2862" s="32"/>
      <c r="H2862" s="32"/>
      <c r="I2862" s="32"/>
      <c r="J2862" s="32"/>
      <c r="K2862" s="35"/>
      <c r="L2862" s="32"/>
      <c r="M2862" s="32"/>
    </row>
    <row r="2863" customFormat="false" ht="15" hidden="false" customHeight="true" outlineLevel="0" collapsed="false">
      <c r="A2863" s="32"/>
      <c r="B2863" s="32"/>
      <c r="C2863" s="32"/>
      <c r="D2863" s="32"/>
      <c r="E2863" s="34" t="str">
        <f aca="false">IF($B2863="","",IF($B2863="OUT","Liters",IFERROR(INDEX(Setup!$F$3:$F$24,MATCH($C2863,Setup!$A$3:$A$24,0)),"")))</f>
        <v/>
      </c>
      <c r="F2863" s="28" t="str">
        <f aca="false">IF(OR($D2863="",$E2863=""),"",IFERROR($D2863*INDEX(Setup!$B$27:$B$44,MATCH($E2863,Setup!$A$27:$A$44,0)),"TBD"))</f>
        <v/>
      </c>
      <c r="G2863" s="32"/>
      <c r="H2863" s="32"/>
      <c r="I2863" s="32"/>
      <c r="J2863" s="32"/>
      <c r="K2863" s="35"/>
      <c r="L2863" s="32"/>
      <c r="M2863" s="32"/>
    </row>
    <row r="2864" customFormat="false" ht="15" hidden="false" customHeight="true" outlineLevel="0" collapsed="false">
      <c r="A2864" s="32"/>
      <c r="B2864" s="32"/>
      <c r="C2864" s="32"/>
      <c r="D2864" s="32"/>
      <c r="E2864" s="34" t="str">
        <f aca="false">IF($B2864="","",IF($B2864="OUT","Liters",IFERROR(INDEX(Setup!$F$3:$F$24,MATCH($C2864,Setup!$A$3:$A$24,0)),"")))</f>
        <v/>
      </c>
      <c r="F2864" s="28" t="str">
        <f aca="false">IF(OR($D2864="",$E2864=""),"",IFERROR($D2864*INDEX(Setup!$B$27:$B$44,MATCH($E2864,Setup!$A$27:$A$44,0)),"TBD"))</f>
        <v/>
      </c>
      <c r="G2864" s="32"/>
      <c r="H2864" s="32"/>
      <c r="I2864" s="32"/>
      <c r="J2864" s="32"/>
      <c r="K2864" s="35"/>
      <c r="L2864" s="32"/>
      <c r="M2864" s="32"/>
    </row>
    <row r="2865" customFormat="false" ht="15" hidden="false" customHeight="true" outlineLevel="0" collapsed="false">
      <c r="A2865" s="32"/>
      <c r="B2865" s="32"/>
      <c r="C2865" s="32"/>
      <c r="D2865" s="32"/>
      <c r="E2865" s="34" t="str">
        <f aca="false">IF($B2865="","",IF($B2865="OUT","Liters",IFERROR(INDEX(Setup!$F$3:$F$24,MATCH($C2865,Setup!$A$3:$A$24,0)),"")))</f>
        <v/>
      </c>
      <c r="F2865" s="28" t="str">
        <f aca="false">IF(OR($D2865="",$E2865=""),"",IFERROR($D2865*INDEX(Setup!$B$27:$B$44,MATCH($E2865,Setup!$A$27:$A$44,0)),"TBD"))</f>
        <v/>
      </c>
      <c r="G2865" s="32"/>
      <c r="H2865" s="32"/>
      <c r="I2865" s="32"/>
      <c r="J2865" s="32"/>
      <c r="K2865" s="35"/>
      <c r="L2865" s="32"/>
      <c r="M2865" s="32"/>
    </row>
    <row r="2866" customFormat="false" ht="15" hidden="false" customHeight="true" outlineLevel="0" collapsed="false">
      <c r="A2866" s="32"/>
      <c r="B2866" s="32"/>
      <c r="C2866" s="32"/>
      <c r="D2866" s="32"/>
      <c r="E2866" s="34" t="str">
        <f aca="false">IF($B2866="","",IF($B2866="OUT","Liters",IFERROR(INDEX(Setup!$F$3:$F$24,MATCH($C2866,Setup!$A$3:$A$24,0)),"")))</f>
        <v/>
      </c>
      <c r="F2866" s="28" t="str">
        <f aca="false">IF(OR($D2866="",$E2866=""),"",IFERROR($D2866*INDEX(Setup!$B$27:$B$44,MATCH($E2866,Setup!$A$27:$A$44,0)),"TBD"))</f>
        <v/>
      </c>
      <c r="G2866" s="32"/>
      <c r="H2866" s="32"/>
      <c r="I2866" s="32"/>
      <c r="J2866" s="32"/>
      <c r="K2866" s="35"/>
      <c r="L2866" s="32"/>
      <c r="M2866" s="32"/>
    </row>
    <row r="2867" customFormat="false" ht="15" hidden="false" customHeight="true" outlineLevel="0" collapsed="false">
      <c r="A2867" s="32"/>
      <c r="B2867" s="32"/>
      <c r="C2867" s="32"/>
      <c r="D2867" s="32"/>
      <c r="E2867" s="34" t="str">
        <f aca="false">IF($B2867="","",IF($B2867="OUT","Liters",IFERROR(INDEX(Setup!$F$3:$F$24,MATCH($C2867,Setup!$A$3:$A$24,0)),"")))</f>
        <v/>
      </c>
      <c r="F2867" s="28" t="str">
        <f aca="false">IF(OR($D2867="",$E2867=""),"",IFERROR($D2867*INDEX(Setup!$B$27:$B$44,MATCH($E2867,Setup!$A$27:$A$44,0)),"TBD"))</f>
        <v/>
      </c>
      <c r="G2867" s="32"/>
      <c r="H2867" s="32"/>
      <c r="I2867" s="32"/>
      <c r="J2867" s="32"/>
      <c r="K2867" s="35"/>
      <c r="L2867" s="32"/>
      <c r="M2867" s="32"/>
    </row>
    <row r="2868" customFormat="false" ht="15" hidden="false" customHeight="true" outlineLevel="0" collapsed="false">
      <c r="A2868" s="32"/>
      <c r="B2868" s="32"/>
      <c r="C2868" s="32"/>
      <c r="D2868" s="32"/>
      <c r="E2868" s="34" t="str">
        <f aca="false">IF($B2868="","",IF($B2868="OUT","Liters",IFERROR(INDEX(Setup!$F$3:$F$24,MATCH($C2868,Setup!$A$3:$A$24,0)),"")))</f>
        <v/>
      </c>
      <c r="F2868" s="28" t="str">
        <f aca="false">IF(OR($D2868="",$E2868=""),"",IFERROR($D2868*INDEX(Setup!$B$27:$B$44,MATCH($E2868,Setup!$A$27:$A$44,0)),"TBD"))</f>
        <v/>
      </c>
      <c r="G2868" s="32"/>
      <c r="H2868" s="32"/>
      <c r="I2868" s="32"/>
      <c r="J2868" s="32"/>
      <c r="K2868" s="35"/>
      <c r="L2868" s="32"/>
      <c r="M2868" s="32"/>
    </row>
    <row r="2869" customFormat="false" ht="15" hidden="false" customHeight="true" outlineLevel="0" collapsed="false">
      <c r="A2869" s="32"/>
      <c r="B2869" s="32"/>
      <c r="C2869" s="32"/>
      <c r="D2869" s="32"/>
      <c r="E2869" s="34" t="str">
        <f aca="false">IF($B2869="","",IF($B2869="OUT","Liters",IFERROR(INDEX(Setup!$F$3:$F$24,MATCH($C2869,Setup!$A$3:$A$24,0)),"")))</f>
        <v/>
      </c>
      <c r="F2869" s="28" t="str">
        <f aca="false">IF(OR($D2869="",$E2869=""),"",IFERROR($D2869*INDEX(Setup!$B$27:$B$44,MATCH($E2869,Setup!$A$27:$A$44,0)),"TBD"))</f>
        <v/>
      </c>
      <c r="G2869" s="32"/>
      <c r="H2869" s="32"/>
      <c r="I2869" s="32"/>
      <c r="J2869" s="32"/>
      <c r="K2869" s="35"/>
      <c r="L2869" s="32"/>
      <c r="M2869" s="32"/>
    </row>
    <row r="2870" customFormat="false" ht="15" hidden="false" customHeight="true" outlineLevel="0" collapsed="false">
      <c r="A2870" s="32"/>
      <c r="B2870" s="32"/>
      <c r="C2870" s="32"/>
      <c r="D2870" s="32"/>
      <c r="E2870" s="34" t="str">
        <f aca="false">IF($B2870="","",IF($B2870="OUT","Liters",IFERROR(INDEX(Setup!$F$3:$F$24,MATCH($C2870,Setup!$A$3:$A$24,0)),"")))</f>
        <v/>
      </c>
      <c r="F2870" s="28" t="str">
        <f aca="false">IF(OR($D2870="",$E2870=""),"",IFERROR($D2870*INDEX(Setup!$B$27:$B$44,MATCH($E2870,Setup!$A$27:$A$44,0)),"TBD"))</f>
        <v/>
      </c>
      <c r="G2870" s="32"/>
      <c r="H2870" s="32"/>
      <c r="I2870" s="32"/>
      <c r="J2870" s="32"/>
      <c r="K2870" s="35"/>
      <c r="L2870" s="32"/>
      <c r="M2870" s="32"/>
    </row>
    <row r="2871" customFormat="false" ht="15" hidden="false" customHeight="true" outlineLevel="0" collapsed="false">
      <c r="A2871" s="32"/>
      <c r="B2871" s="32"/>
      <c r="C2871" s="32"/>
      <c r="D2871" s="32"/>
      <c r="E2871" s="34" t="str">
        <f aca="false">IF($B2871="","",IF($B2871="OUT","Liters",IFERROR(INDEX(Setup!$F$3:$F$24,MATCH($C2871,Setup!$A$3:$A$24,0)),"")))</f>
        <v/>
      </c>
      <c r="F2871" s="28" t="str">
        <f aca="false">IF(OR($D2871="",$E2871=""),"",IFERROR($D2871*INDEX(Setup!$B$27:$B$44,MATCH($E2871,Setup!$A$27:$A$44,0)),"TBD"))</f>
        <v/>
      </c>
      <c r="G2871" s="32"/>
      <c r="H2871" s="32"/>
      <c r="I2871" s="32"/>
      <c r="J2871" s="32"/>
      <c r="K2871" s="35"/>
      <c r="L2871" s="32"/>
      <c r="M2871" s="32"/>
    </row>
    <row r="2872" customFormat="false" ht="15" hidden="false" customHeight="true" outlineLevel="0" collapsed="false">
      <c r="A2872" s="32"/>
      <c r="B2872" s="32"/>
      <c r="C2872" s="32"/>
      <c r="D2872" s="32"/>
      <c r="E2872" s="34" t="str">
        <f aca="false">IF($B2872="","",IF($B2872="OUT","Liters",IFERROR(INDEX(Setup!$F$3:$F$24,MATCH($C2872,Setup!$A$3:$A$24,0)),"")))</f>
        <v/>
      </c>
      <c r="F2872" s="28" t="str">
        <f aca="false">IF(OR($D2872="",$E2872=""),"",IFERROR($D2872*INDEX(Setup!$B$27:$B$44,MATCH($E2872,Setup!$A$27:$A$44,0)),"TBD"))</f>
        <v/>
      </c>
      <c r="G2872" s="32"/>
      <c r="H2872" s="32"/>
      <c r="I2872" s="32"/>
      <c r="J2872" s="32"/>
      <c r="K2872" s="35"/>
      <c r="L2872" s="32"/>
      <c r="M2872" s="32"/>
    </row>
    <row r="2873" customFormat="false" ht="15" hidden="false" customHeight="true" outlineLevel="0" collapsed="false">
      <c r="A2873" s="32"/>
      <c r="B2873" s="32"/>
      <c r="C2873" s="32"/>
      <c r="D2873" s="32"/>
      <c r="E2873" s="34" t="str">
        <f aca="false">IF($B2873="","",IF($B2873="OUT","Liters",IFERROR(INDEX(Setup!$F$3:$F$24,MATCH($C2873,Setup!$A$3:$A$24,0)),"")))</f>
        <v/>
      </c>
      <c r="F2873" s="28" t="str">
        <f aca="false">IF(OR($D2873="",$E2873=""),"",IFERROR($D2873*INDEX(Setup!$B$27:$B$44,MATCH($E2873,Setup!$A$27:$A$44,0)),"TBD"))</f>
        <v/>
      </c>
      <c r="G2873" s="32"/>
      <c r="H2873" s="32"/>
      <c r="I2873" s="32"/>
      <c r="J2873" s="32"/>
      <c r="K2873" s="35"/>
      <c r="L2873" s="32"/>
      <c r="M2873" s="32"/>
    </row>
    <row r="2874" customFormat="false" ht="15" hidden="false" customHeight="true" outlineLevel="0" collapsed="false">
      <c r="A2874" s="32"/>
      <c r="B2874" s="32"/>
      <c r="C2874" s="32"/>
      <c r="D2874" s="32"/>
      <c r="E2874" s="34" t="str">
        <f aca="false">IF($B2874="","",IF($B2874="OUT","Liters",IFERROR(INDEX(Setup!$F$3:$F$24,MATCH($C2874,Setup!$A$3:$A$24,0)),"")))</f>
        <v/>
      </c>
      <c r="F2874" s="28" t="str">
        <f aca="false">IF(OR($D2874="",$E2874=""),"",IFERROR($D2874*INDEX(Setup!$B$27:$B$44,MATCH($E2874,Setup!$A$27:$A$44,0)),"TBD"))</f>
        <v/>
      </c>
      <c r="G2874" s="32"/>
      <c r="H2874" s="32"/>
      <c r="I2874" s="32"/>
      <c r="J2874" s="32"/>
      <c r="K2874" s="35"/>
      <c r="L2874" s="32"/>
      <c r="M2874" s="32"/>
    </row>
    <row r="2875" customFormat="false" ht="15" hidden="false" customHeight="true" outlineLevel="0" collapsed="false">
      <c r="A2875" s="32"/>
      <c r="B2875" s="32"/>
      <c r="C2875" s="32"/>
      <c r="D2875" s="32"/>
      <c r="E2875" s="34" t="str">
        <f aca="false">IF($B2875="","",IF($B2875="OUT","Liters",IFERROR(INDEX(Setup!$F$3:$F$24,MATCH($C2875,Setup!$A$3:$A$24,0)),"")))</f>
        <v/>
      </c>
      <c r="F2875" s="28" t="str">
        <f aca="false">IF(OR($D2875="",$E2875=""),"",IFERROR($D2875*INDEX(Setup!$B$27:$B$44,MATCH($E2875,Setup!$A$27:$A$44,0)),"TBD"))</f>
        <v/>
      </c>
      <c r="G2875" s="32"/>
      <c r="H2875" s="32"/>
      <c r="I2875" s="32"/>
      <c r="J2875" s="32"/>
      <c r="K2875" s="35"/>
      <c r="L2875" s="32"/>
      <c r="M2875" s="32"/>
    </row>
    <row r="2876" customFormat="false" ht="15" hidden="false" customHeight="true" outlineLevel="0" collapsed="false">
      <c r="A2876" s="32"/>
      <c r="B2876" s="32"/>
      <c r="C2876" s="32"/>
      <c r="D2876" s="32"/>
      <c r="E2876" s="34" t="str">
        <f aca="false">IF($B2876="","",IF($B2876="OUT","Liters",IFERROR(INDEX(Setup!$F$3:$F$24,MATCH($C2876,Setup!$A$3:$A$24,0)),"")))</f>
        <v/>
      </c>
      <c r="F2876" s="28" t="str">
        <f aca="false">IF(OR($D2876="",$E2876=""),"",IFERROR($D2876*INDEX(Setup!$B$27:$B$44,MATCH($E2876,Setup!$A$27:$A$44,0)),"TBD"))</f>
        <v/>
      </c>
      <c r="G2876" s="32"/>
      <c r="H2876" s="32"/>
      <c r="I2876" s="32"/>
      <c r="J2876" s="32"/>
      <c r="K2876" s="35"/>
      <c r="L2876" s="32"/>
      <c r="M2876" s="32"/>
    </row>
    <row r="2877" customFormat="false" ht="15" hidden="false" customHeight="true" outlineLevel="0" collapsed="false">
      <c r="A2877" s="32"/>
      <c r="B2877" s="32"/>
      <c r="C2877" s="32"/>
      <c r="D2877" s="32"/>
      <c r="E2877" s="34" t="str">
        <f aca="false">IF($B2877="","",IF($B2877="OUT","Liters",IFERROR(INDEX(Setup!$F$3:$F$24,MATCH($C2877,Setup!$A$3:$A$24,0)),"")))</f>
        <v/>
      </c>
      <c r="F2877" s="28" t="str">
        <f aca="false">IF(OR($D2877="",$E2877=""),"",IFERROR($D2877*INDEX(Setup!$B$27:$B$44,MATCH($E2877,Setup!$A$27:$A$44,0)),"TBD"))</f>
        <v/>
      </c>
      <c r="G2877" s="32"/>
      <c r="H2877" s="32"/>
      <c r="I2877" s="32"/>
      <c r="J2877" s="32"/>
      <c r="K2877" s="35"/>
      <c r="L2877" s="32"/>
      <c r="M2877" s="32"/>
    </row>
    <row r="2878" customFormat="false" ht="15" hidden="false" customHeight="true" outlineLevel="0" collapsed="false">
      <c r="A2878" s="32"/>
      <c r="B2878" s="32"/>
      <c r="C2878" s="32"/>
      <c r="D2878" s="32"/>
      <c r="E2878" s="34" t="str">
        <f aca="false">IF($B2878="","",IF($B2878="OUT","Liters",IFERROR(INDEX(Setup!$F$3:$F$24,MATCH($C2878,Setup!$A$3:$A$24,0)),"")))</f>
        <v/>
      </c>
      <c r="F2878" s="28" t="str">
        <f aca="false">IF(OR($D2878="",$E2878=""),"",IFERROR($D2878*INDEX(Setup!$B$27:$B$44,MATCH($E2878,Setup!$A$27:$A$44,0)),"TBD"))</f>
        <v/>
      </c>
      <c r="G2878" s="32"/>
      <c r="H2878" s="32"/>
      <c r="I2878" s="32"/>
      <c r="J2878" s="32"/>
      <c r="K2878" s="35"/>
      <c r="L2878" s="32"/>
      <c r="M2878" s="32"/>
    </row>
    <row r="2879" customFormat="false" ht="15" hidden="false" customHeight="true" outlineLevel="0" collapsed="false">
      <c r="A2879" s="32"/>
      <c r="B2879" s="32"/>
      <c r="C2879" s="32"/>
      <c r="D2879" s="32"/>
      <c r="E2879" s="34" t="str">
        <f aca="false">IF($B2879="","",IF($B2879="OUT","Liters",IFERROR(INDEX(Setup!$F$3:$F$24,MATCH($C2879,Setup!$A$3:$A$24,0)),"")))</f>
        <v/>
      </c>
      <c r="F2879" s="28" t="str">
        <f aca="false">IF(OR($D2879="",$E2879=""),"",IFERROR($D2879*INDEX(Setup!$B$27:$B$44,MATCH($E2879,Setup!$A$27:$A$44,0)),"TBD"))</f>
        <v/>
      </c>
      <c r="G2879" s="32"/>
      <c r="H2879" s="32"/>
      <c r="I2879" s="32"/>
      <c r="J2879" s="32"/>
      <c r="K2879" s="35"/>
      <c r="L2879" s="32"/>
      <c r="M2879" s="32"/>
    </row>
    <row r="2880" customFormat="false" ht="15" hidden="false" customHeight="true" outlineLevel="0" collapsed="false">
      <c r="A2880" s="32"/>
      <c r="B2880" s="32"/>
      <c r="C2880" s="32"/>
      <c r="D2880" s="32"/>
      <c r="E2880" s="34" t="str">
        <f aca="false">IF($B2880="","",IF($B2880="OUT","Liters",IFERROR(INDEX(Setup!$F$3:$F$24,MATCH($C2880,Setup!$A$3:$A$24,0)),"")))</f>
        <v/>
      </c>
      <c r="F2880" s="28" t="str">
        <f aca="false">IF(OR($D2880="",$E2880=""),"",IFERROR($D2880*INDEX(Setup!$B$27:$B$44,MATCH($E2880,Setup!$A$27:$A$44,0)),"TBD"))</f>
        <v/>
      </c>
      <c r="G2880" s="32"/>
      <c r="H2880" s="32"/>
      <c r="I2880" s="32"/>
      <c r="J2880" s="32"/>
      <c r="K2880" s="35"/>
      <c r="L2880" s="32"/>
      <c r="M2880" s="32"/>
    </row>
    <row r="2881" customFormat="false" ht="15" hidden="false" customHeight="true" outlineLevel="0" collapsed="false">
      <c r="A2881" s="32"/>
      <c r="B2881" s="32"/>
      <c r="C2881" s="32"/>
      <c r="D2881" s="32"/>
      <c r="E2881" s="34" t="str">
        <f aca="false">IF($B2881="","",IF($B2881="OUT","Liters",IFERROR(INDEX(Setup!$F$3:$F$24,MATCH($C2881,Setup!$A$3:$A$24,0)),"")))</f>
        <v/>
      </c>
      <c r="F2881" s="28" t="str">
        <f aca="false">IF(OR($D2881="",$E2881=""),"",IFERROR($D2881*INDEX(Setup!$B$27:$B$44,MATCH($E2881,Setup!$A$27:$A$44,0)),"TBD"))</f>
        <v/>
      </c>
      <c r="G2881" s="32"/>
      <c r="H2881" s="32"/>
      <c r="I2881" s="32"/>
      <c r="J2881" s="32"/>
      <c r="K2881" s="35"/>
      <c r="L2881" s="32"/>
      <c r="M2881" s="32"/>
    </row>
    <row r="2882" customFormat="false" ht="15" hidden="false" customHeight="true" outlineLevel="0" collapsed="false">
      <c r="A2882" s="32"/>
      <c r="B2882" s="32"/>
      <c r="C2882" s="32"/>
      <c r="D2882" s="32"/>
      <c r="E2882" s="34" t="str">
        <f aca="false">IF($B2882="","",IF($B2882="OUT","Liters",IFERROR(INDEX(Setup!$F$3:$F$24,MATCH($C2882,Setup!$A$3:$A$24,0)),"")))</f>
        <v/>
      </c>
      <c r="F2882" s="28" t="str">
        <f aca="false">IF(OR($D2882="",$E2882=""),"",IFERROR($D2882*INDEX(Setup!$B$27:$B$44,MATCH($E2882,Setup!$A$27:$A$44,0)),"TBD"))</f>
        <v/>
      </c>
      <c r="G2882" s="32"/>
      <c r="H2882" s="32"/>
      <c r="I2882" s="32"/>
      <c r="J2882" s="32"/>
      <c r="K2882" s="35"/>
      <c r="L2882" s="32"/>
      <c r="M2882" s="32"/>
    </row>
    <row r="2883" customFormat="false" ht="15" hidden="false" customHeight="true" outlineLevel="0" collapsed="false">
      <c r="A2883" s="32"/>
      <c r="B2883" s="32"/>
      <c r="C2883" s="32"/>
      <c r="D2883" s="32"/>
      <c r="E2883" s="34" t="str">
        <f aca="false">IF($B2883="","",IF($B2883="OUT","Liters",IFERROR(INDEX(Setup!$F$3:$F$24,MATCH($C2883,Setup!$A$3:$A$24,0)),"")))</f>
        <v/>
      </c>
      <c r="F2883" s="28" t="str">
        <f aca="false">IF(OR($D2883="",$E2883=""),"",IFERROR($D2883*INDEX(Setup!$B$27:$B$44,MATCH($E2883,Setup!$A$27:$A$44,0)),"TBD"))</f>
        <v/>
      </c>
      <c r="G2883" s="32"/>
      <c r="H2883" s="32"/>
      <c r="I2883" s="32"/>
      <c r="J2883" s="32"/>
      <c r="K2883" s="35"/>
      <c r="L2883" s="32"/>
      <c r="M2883" s="32"/>
    </row>
    <row r="2884" customFormat="false" ht="15" hidden="false" customHeight="true" outlineLevel="0" collapsed="false">
      <c r="A2884" s="32"/>
      <c r="B2884" s="32"/>
      <c r="C2884" s="32"/>
      <c r="D2884" s="32"/>
      <c r="E2884" s="34" t="str">
        <f aca="false">IF($B2884="","",IF($B2884="OUT","Liters",IFERROR(INDEX(Setup!$F$3:$F$24,MATCH($C2884,Setup!$A$3:$A$24,0)),"")))</f>
        <v/>
      </c>
      <c r="F2884" s="28" t="str">
        <f aca="false">IF(OR($D2884="",$E2884=""),"",IFERROR($D2884*INDEX(Setup!$B$27:$B$44,MATCH($E2884,Setup!$A$27:$A$44,0)),"TBD"))</f>
        <v/>
      </c>
      <c r="G2884" s="32"/>
      <c r="H2884" s="32"/>
      <c r="I2884" s="32"/>
      <c r="J2884" s="32"/>
      <c r="K2884" s="35"/>
      <c r="L2884" s="32"/>
      <c r="M2884" s="32"/>
    </row>
    <row r="2885" customFormat="false" ht="15" hidden="false" customHeight="true" outlineLevel="0" collapsed="false">
      <c r="A2885" s="32"/>
      <c r="B2885" s="32"/>
      <c r="C2885" s="32"/>
      <c r="D2885" s="32"/>
      <c r="E2885" s="34" t="str">
        <f aca="false">IF($B2885="","",IF($B2885="OUT","Liters",IFERROR(INDEX(Setup!$F$3:$F$24,MATCH($C2885,Setup!$A$3:$A$24,0)),"")))</f>
        <v/>
      </c>
      <c r="F2885" s="28" t="str">
        <f aca="false">IF(OR($D2885="",$E2885=""),"",IFERROR($D2885*INDEX(Setup!$B$27:$B$44,MATCH($E2885,Setup!$A$27:$A$44,0)),"TBD"))</f>
        <v/>
      </c>
      <c r="G2885" s="32"/>
      <c r="H2885" s="32"/>
      <c r="I2885" s="32"/>
      <c r="J2885" s="32"/>
      <c r="K2885" s="35"/>
      <c r="L2885" s="32"/>
      <c r="M2885" s="32"/>
    </row>
    <row r="2886" customFormat="false" ht="15" hidden="false" customHeight="true" outlineLevel="0" collapsed="false">
      <c r="A2886" s="32"/>
      <c r="B2886" s="32"/>
      <c r="C2886" s="32"/>
      <c r="D2886" s="32"/>
      <c r="E2886" s="34" t="str">
        <f aca="false">IF($B2886="","",IF($B2886="OUT","Liters",IFERROR(INDEX(Setup!$F$3:$F$24,MATCH($C2886,Setup!$A$3:$A$24,0)),"")))</f>
        <v/>
      </c>
      <c r="F2886" s="28" t="str">
        <f aca="false">IF(OR($D2886="",$E2886=""),"",IFERROR($D2886*INDEX(Setup!$B$27:$B$44,MATCH($E2886,Setup!$A$27:$A$44,0)),"TBD"))</f>
        <v/>
      </c>
      <c r="G2886" s="32"/>
      <c r="H2886" s="32"/>
      <c r="I2886" s="32"/>
      <c r="J2886" s="32"/>
      <c r="K2886" s="35"/>
      <c r="L2886" s="32"/>
      <c r="M2886" s="32"/>
    </row>
    <row r="2887" customFormat="false" ht="15" hidden="false" customHeight="true" outlineLevel="0" collapsed="false">
      <c r="A2887" s="32"/>
      <c r="B2887" s="32"/>
      <c r="C2887" s="32"/>
      <c r="D2887" s="32"/>
      <c r="E2887" s="34" t="str">
        <f aca="false">IF($B2887="","",IF($B2887="OUT","Liters",IFERROR(INDEX(Setup!$F$3:$F$24,MATCH($C2887,Setup!$A$3:$A$24,0)),"")))</f>
        <v/>
      </c>
      <c r="F2887" s="28" t="str">
        <f aca="false">IF(OR($D2887="",$E2887=""),"",IFERROR($D2887*INDEX(Setup!$B$27:$B$44,MATCH($E2887,Setup!$A$27:$A$44,0)),"TBD"))</f>
        <v/>
      </c>
      <c r="G2887" s="32"/>
      <c r="H2887" s="32"/>
      <c r="I2887" s="32"/>
      <c r="J2887" s="32"/>
      <c r="K2887" s="35"/>
      <c r="L2887" s="32"/>
      <c r="M2887" s="32"/>
    </row>
    <row r="2888" customFormat="false" ht="15" hidden="false" customHeight="true" outlineLevel="0" collapsed="false">
      <c r="A2888" s="32"/>
      <c r="B2888" s="32"/>
      <c r="C2888" s="32"/>
      <c r="D2888" s="32"/>
      <c r="E2888" s="34" t="str">
        <f aca="false">IF($B2888="","",IF($B2888="OUT","Liters",IFERROR(INDEX(Setup!$F$3:$F$24,MATCH($C2888,Setup!$A$3:$A$24,0)),"")))</f>
        <v/>
      </c>
      <c r="F2888" s="28" t="str">
        <f aca="false">IF(OR($D2888="",$E2888=""),"",IFERROR($D2888*INDEX(Setup!$B$27:$B$44,MATCH($E2888,Setup!$A$27:$A$44,0)),"TBD"))</f>
        <v/>
      </c>
      <c r="G2888" s="32"/>
      <c r="H2888" s="32"/>
      <c r="I2888" s="32"/>
      <c r="J2888" s="32"/>
      <c r="K2888" s="35"/>
      <c r="L2888" s="32"/>
      <c r="M2888" s="32"/>
    </row>
    <row r="2889" customFormat="false" ht="15" hidden="false" customHeight="true" outlineLevel="0" collapsed="false">
      <c r="A2889" s="32"/>
      <c r="B2889" s="32"/>
      <c r="C2889" s="32"/>
      <c r="D2889" s="32"/>
      <c r="E2889" s="34" t="str">
        <f aca="false">IF($B2889="","",IF($B2889="OUT","Liters",IFERROR(INDEX(Setup!$F$3:$F$24,MATCH($C2889,Setup!$A$3:$A$24,0)),"")))</f>
        <v/>
      </c>
      <c r="F2889" s="28" t="str">
        <f aca="false">IF(OR($D2889="",$E2889=""),"",IFERROR($D2889*INDEX(Setup!$B$27:$B$44,MATCH($E2889,Setup!$A$27:$A$44,0)),"TBD"))</f>
        <v/>
      </c>
      <c r="G2889" s="32"/>
      <c r="H2889" s="32"/>
      <c r="I2889" s="32"/>
      <c r="J2889" s="32"/>
      <c r="K2889" s="35"/>
      <c r="L2889" s="32"/>
      <c r="M2889" s="32"/>
    </row>
    <row r="2890" customFormat="false" ht="15" hidden="false" customHeight="true" outlineLevel="0" collapsed="false">
      <c r="A2890" s="32"/>
      <c r="B2890" s="32"/>
      <c r="C2890" s="32"/>
      <c r="D2890" s="32"/>
      <c r="E2890" s="34" t="str">
        <f aca="false">IF($B2890="","",IF($B2890="OUT","Liters",IFERROR(INDEX(Setup!$F$3:$F$24,MATCH($C2890,Setup!$A$3:$A$24,0)),"")))</f>
        <v/>
      </c>
      <c r="F2890" s="28" t="str">
        <f aca="false">IF(OR($D2890="",$E2890=""),"",IFERROR($D2890*INDEX(Setup!$B$27:$B$44,MATCH($E2890,Setup!$A$27:$A$44,0)),"TBD"))</f>
        <v/>
      </c>
      <c r="G2890" s="32"/>
      <c r="H2890" s="32"/>
      <c r="I2890" s="32"/>
      <c r="J2890" s="32"/>
      <c r="K2890" s="35"/>
      <c r="L2890" s="32"/>
      <c r="M2890" s="32"/>
    </row>
    <row r="2891" customFormat="false" ht="15" hidden="false" customHeight="true" outlineLevel="0" collapsed="false">
      <c r="A2891" s="32"/>
      <c r="B2891" s="32"/>
      <c r="C2891" s="32"/>
      <c r="D2891" s="32"/>
      <c r="E2891" s="34" t="str">
        <f aca="false">IF($B2891="","",IF($B2891="OUT","Liters",IFERROR(INDEX(Setup!$F$3:$F$24,MATCH($C2891,Setup!$A$3:$A$24,0)),"")))</f>
        <v/>
      </c>
      <c r="F2891" s="28" t="str">
        <f aca="false">IF(OR($D2891="",$E2891=""),"",IFERROR($D2891*INDEX(Setup!$B$27:$B$44,MATCH($E2891,Setup!$A$27:$A$44,0)),"TBD"))</f>
        <v/>
      </c>
      <c r="G2891" s="32"/>
      <c r="H2891" s="32"/>
      <c r="I2891" s="32"/>
      <c r="J2891" s="32"/>
      <c r="K2891" s="35"/>
      <c r="L2891" s="32"/>
      <c r="M2891" s="32"/>
    </row>
    <row r="2892" customFormat="false" ht="15" hidden="false" customHeight="true" outlineLevel="0" collapsed="false">
      <c r="A2892" s="32"/>
      <c r="B2892" s="32"/>
      <c r="C2892" s="32"/>
      <c r="D2892" s="32"/>
      <c r="E2892" s="34" t="str">
        <f aca="false">IF($B2892="","",IF($B2892="OUT","Liters",IFERROR(INDEX(Setup!$F$3:$F$24,MATCH($C2892,Setup!$A$3:$A$24,0)),"")))</f>
        <v/>
      </c>
      <c r="F2892" s="28" t="str">
        <f aca="false">IF(OR($D2892="",$E2892=""),"",IFERROR($D2892*INDEX(Setup!$B$27:$B$44,MATCH($E2892,Setup!$A$27:$A$44,0)),"TBD"))</f>
        <v/>
      </c>
      <c r="G2892" s="32"/>
      <c r="H2892" s="32"/>
      <c r="I2892" s="32"/>
      <c r="J2892" s="32"/>
      <c r="K2892" s="35"/>
      <c r="L2892" s="32"/>
      <c r="M2892" s="32"/>
    </row>
    <row r="2893" customFormat="false" ht="15" hidden="false" customHeight="true" outlineLevel="0" collapsed="false">
      <c r="A2893" s="32"/>
      <c r="B2893" s="32"/>
      <c r="C2893" s="32"/>
      <c r="D2893" s="32"/>
      <c r="E2893" s="34" t="str">
        <f aca="false">IF($B2893="","",IF($B2893="OUT","Liters",IFERROR(INDEX(Setup!$F$3:$F$24,MATCH($C2893,Setup!$A$3:$A$24,0)),"")))</f>
        <v/>
      </c>
      <c r="F2893" s="28" t="str">
        <f aca="false">IF(OR($D2893="",$E2893=""),"",IFERROR($D2893*INDEX(Setup!$B$27:$B$44,MATCH($E2893,Setup!$A$27:$A$44,0)),"TBD"))</f>
        <v/>
      </c>
      <c r="G2893" s="32"/>
      <c r="H2893" s="32"/>
      <c r="I2893" s="32"/>
      <c r="J2893" s="32"/>
      <c r="K2893" s="35"/>
      <c r="L2893" s="32"/>
      <c r="M2893" s="32"/>
    </row>
    <row r="2894" customFormat="false" ht="15" hidden="false" customHeight="true" outlineLevel="0" collapsed="false">
      <c r="A2894" s="32"/>
      <c r="B2894" s="32"/>
      <c r="C2894" s="32"/>
      <c r="D2894" s="32"/>
      <c r="E2894" s="34" t="str">
        <f aca="false">IF($B2894="","",IF($B2894="OUT","Liters",IFERROR(INDEX(Setup!$F$3:$F$24,MATCH($C2894,Setup!$A$3:$A$24,0)),"")))</f>
        <v/>
      </c>
      <c r="F2894" s="28" t="str">
        <f aca="false">IF(OR($D2894="",$E2894=""),"",IFERROR($D2894*INDEX(Setup!$B$27:$B$44,MATCH($E2894,Setup!$A$27:$A$44,0)),"TBD"))</f>
        <v/>
      </c>
      <c r="G2894" s="32"/>
      <c r="H2894" s="32"/>
      <c r="I2894" s="32"/>
      <c r="J2894" s="32"/>
      <c r="K2894" s="35"/>
      <c r="L2894" s="32"/>
      <c r="M2894" s="32"/>
    </row>
    <row r="2895" customFormat="false" ht="15" hidden="false" customHeight="true" outlineLevel="0" collapsed="false">
      <c r="A2895" s="32"/>
      <c r="B2895" s="32"/>
      <c r="C2895" s="32"/>
      <c r="D2895" s="32"/>
      <c r="E2895" s="34" t="str">
        <f aca="false">IF($B2895="","",IF($B2895="OUT","Liters",IFERROR(INDEX(Setup!$F$3:$F$24,MATCH($C2895,Setup!$A$3:$A$24,0)),"")))</f>
        <v/>
      </c>
      <c r="F2895" s="28" t="str">
        <f aca="false">IF(OR($D2895="",$E2895=""),"",IFERROR($D2895*INDEX(Setup!$B$27:$B$44,MATCH($E2895,Setup!$A$27:$A$44,0)),"TBD"))</f>
        <v/>
      </c>
      <c r="G2895" s="32"/>
      <c r="H2895" s="32"/>
      <c r="I2895" s="32"/>
      <c r="J2895" s="32"/>
      <c r="K2895" s="35"/>
      <c r="L2895" s="32"/>
      <c r="M2895" s="32"/>
    </row>
    <row r="2896" customFormat="false" ht="15" hidden="false" customHeight="true" outlineLevel="0" collapsed="false">
      <c r="A2896" s="32"/>
      <c r="B2896" s="32"/>
      <c r="C2896" s="32"/>
      <c r="D2896" s="32"/>
      <c r="E2896" s="34" t="str">
        <f aca="false">IF($B2896="","",IF($B2896="OUT","Liters",IFERROR(INDEX(Setup!$F$3:$F$24,MATCH($C2896,Setup!$A$3:$A$24,0)),"")))</f>
        <v/>
      </c>
      <c r="F2896" s="28" t="str">
        <f aca="false">IF(OR($D2896="",$E2896=""),"",IFERROR($D2896*INDEX(Setup!$B$27:$B$44,MATCH($E2896,Setup!$A$27:$A$44,0)),"TBD"))</f>
        <v/>
      </c>
      <c r="G2896" s="32"/>
      <c r="H2896" s="32"/>
      <c r="I2896" s="32"/>
      <c r="J2896" s="32"/>
      <c r="K2896" s="35"/>
      <c r="L2896" s="32"/>
      <c r="M2896" s="32"/>
    </row>
    <row r="2897" customFormat="false" ht="15" hidden="false" customHeight="true" outlineLevel="0" collapsed="false">
      <c r="A2897" s="32"/>
      <c r="B2897" s="32"/>
      <c r="C2897" s="32"/>
      <c r="D2897" s="32"/>
      <c r="E2897" s="34" t="str">
        <f aca="false">IF($B2897="","",IF($B2897="OUT","Liters",IFERROR(INDEX(Setup!$F$3:$F$24,MATCH($C2897,Setup!$A$3:$A$24,0)),"")))</f>
        <v/>
      </c>
      <c r="F2897" s="28" t="str">
        <f aca="false">IF(OR($D2897="",$E2897=""),"",IFERROR($D2897*INDEX(Setup!$B$27:$B$44,MATCH($E2897,Setup!$A$27:$A$44,0)),"TBD"))</f>
        <v/>
      </c>
      <c r="G2897" s="32"/>
      <c r="H2897" s="32"/>
      <c r="I2897" s="32"/>
      <c r="J2897" s="32"/>
      <c r="K2897" s="35"/>
      <c r="L2897" s="32"/>
      <c r="M2897" s="32"/>
    </row>
    <row r="2898" customFormat="false" ht="15" hidden="false" customHeight="true" outlineLevel="0" collapsed="false">
      <c r="A2898" s="32"/>
      <c r="B2898" s="32"/>
      <c r="C2898" s="32"/>
      <c r="D2898" s="32"/>
      <c r="E2898" s="34" t="str">
        <f aca="false">IF($B2898="","",IF($B2898="OUT","Liters",IFERROR(INDEX(Setup!$F$3:$F$24,MATCH($C2898,Setup!$A$3:$A$24,0)),"")))</f>
        <v/>
      </c>
      <c r="F2898" s="28" t="str">
        <f aca="false">IF(OR($D2898="",$E2898=""),"",IFERROR($D2898*INDEX(Setup!$B$27:$B$44,MATCH($E2898,Setup!$A$27:$A$44,0)),"TBD"))</f>
        <v/>
      </c>
      <c r="G2898" s="32"/>
      <c r="H2898" s="32"/>
      <c r="I2898" s="32"/>
      <c r="J2898" s="32"/>
      <c r="K2898" s="35"/>
      <c r="L2898" s="32"/>
      <c r="M2898" s="32"/>
    </row>
    <row r="2899" customFormat="false" ht="15" hidden="false" customHeight="true" outlineLevel="0" collapsed="false">
      <c r="A2899" s="32"/>
      <c r="B2899" s="32"/>
      <c r="C2899" s="32"/>
      <c r="D2899" s="32"/>
      <c r="E2899" s="34" t="str">
        <f aca="false">IF($B2899="","",IF($B2899="OUT","Liters",IFERROR(INDEX(Setup!$F$3:$F$24,MATCH($C2899,Setup!$A$3:$A$24,0)),"")))</f>
        <v/>
      </c>
      <c r="F2899" s="28" t="str">
        <f aca="false">IF(OR($D2899="",$E2899=""),"",IFERROR($D2899*INDEX(Setup!$B$27:$B$44,MATCH($E2899,Setup!$A$27:$A$44,0)),"TBD"))</f>
        <v/>
      </c>
      <c r="G2899" s="32"/>
      <c r="H2899" s="32"/>
      <c r="I2899" s="32"/>
      <c r="J2899" s="32"/>
      <c r="K2899" s="35"/>
      <c r="L2899" s="32"/>
      <c r="M2899" s="32"/>
    </row>
    <row r="2900" customFormat="false" ht="15" hidden="false" customHeight="true" outlineLevel="0" collapsed="false">
      <c r="A2900" s="32"/>
      <c r="B2900" s="32"/>
      <c r="C2900" s="32"/>
      <c r="D2900" s="32"/>
      <c r="E2900" s="34" t="str">
        <f aca="false">IF($B2900="","",IF($B2900="OUT","Liters",IFERROR(INDEX(Setup!$F$3:$F$24,MATCH($C2900,Setup!$A$3:$A$24,0)),"")))</f>
        <v/>
      </c>
      <c r="F2900" s="28" t="str">
        <f aca="false">IF(OR($D2900="",$E2900=""),"",IFERROR($D2900*INDEX(Setup!$B$27:$B$44,MATCH($E2900,Setup!$A$27:$A$44,0)),"TBD"))</f>
        <v/>
      </c>
      <c r="G2900" s="32"/>
      <c r="H2900" s="32"/>
      <c r="I2900" s="32"/>
      <c r="J2900" s="32"/>
      <c r="K2900" s="35"/>
      <c r="L2900" s="32"/>
      <c r="M2900" s="32"/>
    </row>
    <row r="2901" customFormat="false" ht="15" hidden="false" customHeight="true" outlineLevel="0" collapsed="false">
      <c r="A2901" s="32"/>
      <c r="B2901" s="32"/>
      <c r="C2901" s="32"/>
      <c r="D2901" s="32"/>
      <c r="E2901" s="34" t="str">
        <f aca="false">IF($B2901="","",IF($B2901="OUT","Liters",IFERROR(INDEX(Setup!$F$3:$F$24,MATCH($C2901,Setup!$A$3:$A$24,0)),"")))</f>
        <v/>
      </c>
      <c r="F2901" s="28" t="str">
        <f aca="false">IF(OR($D2901="",$E2901=""),"",IFERROR($D2901*INDEX(Setup!$B$27:$B$44,MATCH($E2901,Setup!$A$27:$A$44,0)),"TBD"))</f>
        <v/>
      </c>
      <c r="G2901" s="32"/>
      <c r="H2901" s="32"/>
      <c r="I2901" s="32"/>
      <c r="J2901" s="32"/>
      <c r="K2901" s="35"/>
      <c r="L2901" s="32"/>
      <c r="M2901" s="32"/>
    </row>
    <row r="2902" customFormat="false" ht="15" hidden="false" customHeight="true" outlineLevel="0" collapsed="false">
      <c r="A2902" s="32"/>
      <c r="B2902" s="32"/>
      <c r="C2902" s="32"/>
      <c r="D2902" s="32"/>
      <c r="E2902" s="34" t="str">
        <f aca="false">IF($B2902="","",IF($B2902="OUT","Liters",IFERROR(INDEX(Setup!$F$3:$F$24,MATCH($C2902,Setup!$A$3:$A$24,0)),"")))</f>
        <v/>
      </c>
      <c r="F2902" s="28" t="str">
        <f aca="false">IF(OR($D2902="",$E2902=""),"",IFERROR($D2902*INDEX(Setup!$B$27:$B$44,MATCH($E2902,Setup!$A$27:$A$44,0)),"TBD"))</f>
        <v/>
      </c>
      <c r="G2902" s="32"/>
      <c r="H2902" s="32"/>
      <c r="I2902" s="32"/>
      <c r="J2902" s="32"/>
      <c r="K2902" s="35"/>
      <c r="L2902" s="32"/>
      <c r="M2902" s="32"/>
    </row>
    <row r="2903" customFormat="false" ht="15" hidden="false" customHeight="true" outlineLevel="0" collapsed="false">
      <c r="A2903" s="32"/>
      <c r="B2903" s="32"/>
      <c r="C2903" s="32"/>
      <c r="D2903" s="32"/>
      <c r="E2903" s="34" t="str">
        <f aca="false">IF($B2903="","",IF($B2903="OUT","Liters",IFERROR(INDEX(Setup!$F$3:$F$24,MATCH($C2903,Setup!$A$3:$A$24,0)),"")))</f>
        <v/>
      </c>
      <c r="F2903" s="28" t="str">
        <f aca="false">IF(OR($D2903="",$E2903=""),"",IFERROR($D2903*INDEX(Setup!$B$27:$B$44,MATCH($E2903,Setup!$A$27:$A$44,0)),"TBD"))</f>
        <v/>
      </c>
      <c r="G2903" s="32"/>
      <c r="H2903" s="32"/>
      <c r="I2903" s="32"/>
      <c r="J2903" s="32"/>
      <c r="K2903" s="35"/>
      <c r="L2903" s="32"/>
      <c r="M2903" s="32"/>
    </row>
    <row r="2904" customFormat="false" ht="15" hidden="false" customHeight="true" outlineLevel="0" collapsed="false">
      <c r="A2904" s="32"/>
      <c r="B2904" s="32"/>
      <c r="C2904" s="32"/>
      <c r="D2904" s="32"/>
      <c r="E2904" s="34" t="str">
        <f aca="false">IF($B2904="","",IF($B2904="OUT","Liters",IFERROR(INDEX(Setup!$F$3:$F$24,MATCH($C2904,Setup!$A$3:$A$24,0)),"")))</f>
        <v/>
      </c>
      <c r="F2904" s="28" t="str">
        <f aca="false">IF(OR($D2904="",$E2904=""),"",IFERROR($D2904*INDEX(Setup!$B$27:$B$44,MATCH($E2904,Setup!$A$27:$A$44,0)),"TBD"))</f>
        <v/>
      </c>
      <c r="G2904" s="32"/>
      <c r="H2904" s="32"/>
      <c r="I2904" s="32"/>
      <c r="J2904" s="32"/>
      <c r="K2904" s="35"/>
      <c r="L2904" s="32"/>
      <c r="M2904" s="32"/>
    </row>
    <row r="2905" customFormat="false" ht="15" hidden="false" customHeight="true" outlineLevel="0" collapsed="false">
      <c r="A2905" s="32"/>
      <c r="B2905" s="32"/>
      <c r="C2905" s="32"/>
      <c r="D2905" s="32"/>
      <c r="E2905" s="34" t="str">
        <f aca="false">IF($B2905="","",IF($B2905="OUT","Liters",IFERROR(INDEX(Setup!$F$3:$F$24,MATCH($C2905,Setup!$A$3:$A$24,0)),"")))</f>
        <v/>
      </c>
      <c r="F2905" s="28" t="str">
        <f aca="false">IF(OR($D2905="",$E2905=""),"",IFERROR($D2905*INDEX(Setup!$B$27:$B$44,MATCH($E2905,Setup!$A$27:$A$44,0)),"TBD"))</f>
        <v/>
      </c>
      <c r="G2905" s="32"/>
      <c r="H2905" s="32"/>
      <c r="I2905" s="32"/>
      <c r="J2905" s="32"/>
      <c r="K2905" s="35"/>
      <c r="L2905" s="32"/>
      <c r="M2905" s="32"/>
    </row>
    <row r="2906" customFormat="false" ht="15" hidden="false" customHeight="true" outlineLevel="0" collapsed="false">
      <c r="A2906" s="32"/>
      <c r="B2906" s="32"/>
      <c r="C2906" s="32"/>
      <c r="D2906" s="32"/>
      <c r="E2906" s="34" t="str">
        <f aca="false">IF($B2906="","",IF($B2906="OUT","Liters",IFERROR(INDEX(Setup!$F$3:$F$24,MATCH($C2906,Setup!$A$3:$A$24,0)),"")))</f>
        <v/>
      </c>
      <c r="F2906" s="28" t="str">
        <f aca="false">IF(OR($D2906="",$E2906=""),"",IFERROR($D2906*INDEX(Setup!$B$27:$B$44,MATCH($E2906,Setup!$A$27:$A$44,0)),"TBD"))</f>
        <v/>
      </c>
      <c r="G2906" s="32"/>
      <c r="H2906" s="32"/>
      <c r="I2906" s="32"/>
      <c r="J2906" s="32"/>
      <c r="K2906" s="35"/>
      <c r="L2906" s="32"/>
      <c r="M2906" s="32"/>
    </row>
    <row r="2907" customFormat="false" ht="15" hidden="false" customHeight="true" outlineLevel="0" collapsed="false">
      <c r="A2907" s="32"/>
      <c r="B2907" s="32"/>
      <c r="C2907" s="32"/>
      <c r="D2907" s="32"/>
      <c r="E2907" s="34" t="str">
        <f aca="false">IF($B2907="","",IF($B2907="OUT","Liters",IFERROR(INDEX(Setup!$F$3:$F$24,MATCH($C2907,Setup!$A$3:$A$24,0)),"")))</f>
        <v/>
      </c>
      <c r="F2907" s="28" t="str">
        <f aca="false">IF(OR($D2907="",$E2907=""),"",IFERROR($D2907*INDEX(Setup!$B$27:$B$44,MATCH($E2907,Setup!$A$27:$A$44,0)),"TBD"))</f>
        <v/>
      </c>
      <c r="G2907" s="32"/>
      <c r="H2907" s="32"/>
      <c r="I2907" s="32"/>
      <c r="J2907" s="32"/>
      <c r="K2907" s="35"/>
      <c r="L2907" s="32"/>
      <c r="M2907" s="32"/>
    </row>
    <row r="2908" customFormat="false" ht="15" hidden="false" customHeight="true" outlineLevel="0" collapsed="false">
      <c r="A2908" s="32"/>
      <c r="B2908" s="32"/>
      <c r="C2908" s="32"/>
      <c r="D2908" s="32"/>
      <c r="E2908" s="34" t="str">
        <f aca="false">IF($B2908="","",IF($B2908="OUT","Liters",IFERROR(INDEX(Setup!$F$3:$F$24,MATCH($C2908,Setup!$A$3:$A$24,0)),"")))</f>
        <v/>
      </c>
      <c r="F2908" s="28" t="str">
        <f aca="false">IF(OR($D2908="",$E2908=""),"",IFERROR($D2908*INDEX(Setup!$B$27:$B$44,MATCH($E2908,Setup!$A$27:$A$44,0)),"TBD"))</f>
        <v/>
      </c>
      <c r="G2908" s="32"/>
      <c r="H2908" s="32"/>
      <c r="I2908" s="32"/>
      <c r="J2908" s="32"/>
      <c r="K2908" s="35"/>
      <c r="L2908" s="32"/>
      <c r="M2908" s="32"/>
    </row>
    <row r="2909" customFormat="false" ht="15" hidden="false" customHeight="true" outlineLevel="0" collapsed="false">
      <c r="A2909" s="32"/>
      <c r="B2909" s="32"/>
      <c r="C2909" s="32"/>
      <c r="D2909" s="32"/>
      <c r="E2909" s="34" t="str">
        <f aca="false">IF($B2909="","",IF($B2909="OUT","Liters",IFERROR(INDEX(Setup!$F$3:$F$24,MATCH($C2909,Setup!$A$3:$A$24,0)),"")))</f>
        <v/>
      </c>
      <c r="F2909" s="28" t="str">
        <f aca="false">IF(OR($D2909="",$E2909=""),"",IFERROR($D2909*INDEX(Setup!$B$27:$B$44,MATCH($E2909,Setup!$A$27:$A$44,0)),"TBD"))</f>
        <v/>
      </c>
      <c r="G2909" s="32"/>
      <c r="H2909" s="32"/>
      <c r="I2909" s="32"/>
      <c r="J2909" s="32"/>
      <c r="K2909" s="35"/>
      <c r="L2909" s="32"/>
      <c r="M2909" s="32"/>
    </row>
    <row r="2910" customFormat="false" ht="15" hidden="false" customHeight="true" outlineLevel="0" collapsed="false">
      <c r="A2910" s="32"/>
      <c r="B2910" s="32"/>
      <c r="C2910" s="32"/>
      <c r="D2910" s="32"/>
      <c r="E2910" s="34" t="str">
        <f aca="false">IF($B2910="","",IF($B2910="OUT","Liters",IFERROR(INDEX(Setup!$F$3:$F$24,MATCH($C2910,Setup!$A$3:$A$24,0)),"")))</f>
        <v/>
      </c>
      <c r="F2910" s="28" t="str">
        <f aca="false">IF(OR($D2910="",$E2910=""),"",IFERROR($D2910*INDEX(Setup!$B$27:$B$44,MATCH($E2910,Setup!$A$27:$A$44,0)),"TBD"))</f>
        <v/>
      </c>
      <c r="G2910" s="32"/>
      <c r="H2910" s="32"/>
      <c r="I2910" s="32"/>
      <c r="J2910" s="32"/>
      <c r="K2910" s="35"/>
      <c r="L2910" s="32"/>
      <c r="M2910" s="32"/>
    </row>
    <row r="2911" customFormat="false" ht="15" hidden="false" customHeight="true" outlineLevel="0" collapsed="false">
      <c r="A2911" s="32"/>
      <c r="B2911" s="32"/>
      <c r="C2911" s="32"/>
      <c r="D2911" s="32"/>
      <c r="E2911" s="34" t="str">
        <f aca="false">IF($B2911="","",IF($B2911="OUT","Liters",IFERROR(INDEX(Setup!$F$3:$F$24,MATCH($C2911,Setup!$A$3:$A$24,0)),"")))</f>
        <v/>
      </c>
      <c r="F2911" s="28" t="str">
        <f aca="false">IF(OR($D2911="",$E2911=""),"",IFERROR($D2911*INDEX(Setup!$B$27:$B$44,MATCH($E2911,Setup!$A$27:$A$44,0)),"TBD"))</f>
        <v/>
      </c>
      <c r="G2911" s="32"/>
      <c r="H2911" s="32"/>
      <c r="I2911" s="32"/>
      <c r="J2911" s="32"/>
      <c r="K2911" s="35"/>
      <c r="L2911" s="32"/>
      <c r="M2911" s="32"/>
    </row>
    <row r="2912" customFormat="false" ht="15" hidden="false" customHeight="true" outlineLevel="0" collapsed="false">
      <c r="A2912" s="32"/>
      <c r="B2912" s="32"/>
      <c r="C2912" s="32"/>
      <c r="D2912" s="32"/>
      <c r="E2912" s="34" t="str">
        <f aca="false">IF($B2912="","",IF($B2912="OUT","Liters",IFERROR(INDEX(Setup!$F$3:$F$24,MATCH($C2912,Setup!$A$3:$A$24,0)),"")))</f>
        <v/>
      </c>
      <c r="F2912" s="28" t="str">
        <f aca="false">IF(OR($D2912="",$E2912=""),"",IFERROR($D2912*INDEX(Setup!$B$27:$B$44,MATCH($E2912,Setup!$A$27:$A$44,0)),"TBD"))</f>
        <v/>
      </c>
      <c r="G2912" s="32"/>
      <c r="H2912" s="32"/>
      <c r="I2912" s="32"/>
      <c r="J2912" s="32"/>
      <c r="K2912" s="35"/>
      <c r="L2912" s="32"/>
      <c r="M2912" s="32"/>
    </row>
    <row r="2913" customFormat="false" ht="15" hidden="false" customHeight="true" outlineLevel="0" collapsed="false">
      <c r="A2913" s="32"/>
      <c r="B2913" s="32"/>
      <c r="C2913" s="32"/>
      <c r="D2913" s="32"/>
      <c r="E2913" s="34" t="str">
        <f aca="false">IF($B2913="","",IF($B2913="OUT","Liters",IFERROR(INDEX(Setup!$F$3:$F$24,MATCH($C2913,Setup!$A$3:$A$24,0)),"")))</f>
        <v/>
      </c>
      <c r="F2913" s="28" t="str">
        <f aca="false">IF(OR($D2913="",$E2913=""),"",IFERROR($D2913*INDEX(Setup!$B$27:$B$44,MATCH($E2913,Setup!$A$27:$A$44,0)),"TBD"))</f>
        <v/>
      </c>
      <c r="G2913" s="32"/>
      <c r="H2913" s="32"/>
      <c r="I2913" s="32"/>
      <c r="J2913" s="32"/>
      <c r="K2913" s="35"/>
      <c r="L2913" s="32"/>
      <c r="M2913" s="32"/>
    </row>
    <row r="2914" customFormat="false" ht="15" hidden="false" customHeight="true" outlineLevel="0" collapsed="false">
      <c r="A2914" s="32"/>
      <c r="B2914" s="32"/>
      <c r="C2914" s="32"/>
      <c r="D2914" s="32"/>
      <c r="E2914" s="34" t="str">
        <f aca="false">IF($B2914="","",IF($B2914="OUT","Liters",IFERROR(INDEX(Setup!$F$3:$F$24,MATCH($C2914,Setup!$A$3:$A$24,0)),"")))</f>
        <v/>
      </c>
      <c r="F2914" s="28" t="str">
        <f aca="false">IF(OR($D2914="",$E2914=""),"",IFERROR($D2914*INDEX(Setup!$B$27:$B$44,MATCH($E2914,Setup!$A$27:$A$44,0)),"TBD"))</f>
        <v/>
      </c>
      <c r="G2914" s="32"/>
      <c r="H2914" s="32"/>
      <c r="I2914" s="32"/>
      <c r="J2914" s="32"/>
      <c r="K2914" s="35"/>
      <c r="L2914" s="32"/>
      <c r="M2914" s="32"/>
    </row>
    <row r="2915" customFormat="false" ht="15" hidden="false" customHeight="true" outlineLevel="0" collapsed="false">
      <c r="A2915" s="32"/>
      <c r="B2915" s="32"/>
      <c r="C2915" s="32"/>
      <c r="D2915" s="32"/>
      <c r="E2915" s="34" t="str">
        <f aca="false">IF($B2915="","",IF($B2915="OUT","Liters",IFERROR(INDEX(Setup!$F$3:$F$24,MATCH($C2915,Setup!$A$3:$A$24,0)),"")))</f>
        <v/>
      </c>
      <c r="F2915" s="28" t="str">
        <f aca="false">IF(OR($D2915="",$E2915=""),"",IFERROR($D2915*INDEX(Setup!$B$27:$B$44,MATCH($E2915,Setup!$A$27:$A$44,0)),"TBD"))</f>
        <v/>
      </c>
      <c r="G2915" s="32"/>
      <c r="H2915" s="32"/>
      <c r="I2915" s="32"/>
      <c r="J2915" s="32"/>
      <c r="K2915" s="35"/>
      <c r="L2915" s="32"/>
      <c r="M2915" s="32"/>
    </row>
    <row r="2916" customFormat="false" ht="15" hidden="false" customHeight="true" outlineLevel="0" collapsed="false">
      <c r="A2916" s="32"/>
      <c r="B2916" s="32"/>
      <c r="C2916" s="32"/>
      <c r="D2916" s="32"/>
      <c r="E2916" s="34" t="str">
        <f aca="false">IF($B2916="","",IF($B2916="OUT","Liters",IFERROR(INDEX(Setup!$F$3:$F$24,MATCH($C2916,Setup!$A$3:$A$24,0)),"")))</f>
        <v/>
      </c>
      <c r="F2916" s="28" t="str">
        <f aca="false">IF(OR($D2916="",$E2916=""),"",IFERROR($D2916*INDEX(Setup!$B$27:$B$44,MATCH($E2916,Setup!$A$27:$A$44,0)),"TBD"))</f>
        <v/>
      </c>
      <c r="G2916" s="32"/>
      <c r="H2916" s="32"/>
      <c r="I2916" s="32"/>
      <c r="J2916" s="32"/>
      <c r="K2916" s="35"/>
      <c r="L2916" s="32"/>
      <c r="M2916" s="32"/>
    </row>
    <row r="2917" customFormat="false" ht="15" hidden="false" customHeight="true" outlineLevel="0" collapsed="false">
      <c r="A2917" s="32"/>
      <c r="B2917" s="32"/>
      <c r="C2917" s="32"/>
      <c r="D2917" s="32"/>
      <c r="E2917" s="34" t="str">
        <f aca="false">IF($B2917="","",IF($B2917="OUT","Liters",IFERROR(INDEX(Setup!$F$3:$F$24,MATCH($C2917,Setup!$A$3:$A$24,0)),"")))</f>
        <v/>
      </c>
      <c r="F2917" s="28" t="str">
        <f aca="false">IF(OR($D2917="",$E2917=""),"",IFERROR($D2917*INDEX(Setup!$B$27:$B$44,MATCH($E2917,Setup!$A$27:$A$44,0)),"TBD"))</f>
        <v/>
      </c>
      <c r="G2917" s="32"/>
      <c r="H2917" s="32"/>
      <c r="I2917" s="32"/>
      <c r="J2917" s="32"/>
      <c r="K2917" s="35"/>
      <c r="L2917" s="32"/>
      <c r="M2917" s="32"/>
    </row>
    <row r="2918" customFormat="false" ht="15" hidden="false" customHeight="true" outlineLevel="0" collapsed="false">
      <c r="A2918" s="32"/>
      <c r="B2918" s="32"/>
      <c r="C2918" s="32"/>
      <c r="D2918" s="32"/>
      <c r="E2918" s="34" t="str">
        <f aca="false">IF($B2918="","",IF($B2918="OUT","Liters",IFERROR(INDEX(Setup!$F$3:$F$24,MATCH($C2918,Setup!$A$3:$A$24,0)),"")))</f>
        <v/>
      </c>
      <c r="F2918" s="28" t="str">
        <f aca="false">IF(OR($D2918="",$E2918=""),"",IFERROR($D2918*INDEX(Setup!$B$27:$B$44,MATCH($E2918,Setup!$A$27:$A$44,0)),"TBD"))</f>
        <v/>
      </c>
      <c r="G2918" s="32"/>
      <c r="H2918" s="32"/>
      <c r="I2918" s="32"/>
      <c r="J2918" s="32"/>
      <c r="K2918" s="35"/>
      <c r="L2918" s="32"/>
      <c r="M2918" s="32"/>
    </row>
    <row r="2919" customFormat="false" ht="15" hidden="false" customHeight="true" outlineLevel="0" collapsed="false">
      <c r="A2919" s="32"/>
      <c r="B2919" s="32"/>
      <c r="C2919" s="32"/>
      <c r="D2919" s="32"/>
      <c r="E2919" s="34" t="str">
        <f aca="false">IF($B2919="","",IF($B2919="OUT","Liters",IFERROR(INDEX(Setup!$F$3:$F$24,MATCH($C2919,Setup!$A$3:$A$24,0)),"")))</f>
        <v/>
      </c>
      <c r="F2919" s="28" t="str">
        <f aca="false">IF(OR($D2919="",$E2919=""),"",IFERROR($D2919*INDEX(Setup!$B$27:$B$44,MATCH($E2919,Setup!$A$27:$A$44,0)),"TBD"))</f>
        <v/>
      </c>
      <c r="G2919" s="32"/>
      <c r="H2919" s="32"/>
      <c r="I2919" s="32"/>
      <c r="J2919" s="32"/>
      <c r="K2919" s="35"/>
      <c r="L2919" s="32"/>
      <c r="M2919" s="32"/>
    </row>
    <row r="2920" customFormat="false" ht="15" hidden="false" customHeight="true" outlineLevel="0" collapsed="false">
      <c r="A2920" s="32"/>
      <c r="B2920" s="32"/>
      <c r="C2920" s="32"/>
      <c r="D2920" s="32"/>
      <c r="E2920" s="34" t="str">
        <f aca="false">IF($B2920="","",IF($B2920="OUT","Liters",IFERROR(INDEX(Setup!$F$3:$F$24,MATCH($C2920,Setup!$A$3:$A$24,0)),"")))</f>
        <v/>
      </c>
      <c r="F2920" s="28" t="str">
        <f aca="false">IF(OR($D2920="",$E2920=""),"",IFERROR($D2920*INDEX(Setup!$B$27:$B$44,MATCH($E2920,Setup!$A$27:$A$44,0)),"TBD"))</f>
        <v/>
      </c>
      <c r="G2920" s="32"/>
      <c r="H2920" s="32"/>
      <c r="I2920" s="32"/>
      <c r="J2920" s="32"/>
      <c r="K2920" s="35"/>
      <c r="L2920" s="32"/>
      <c r="M2920" s="32"/>
    </row>
    <row r="2921" customFormat="false" ht="15" hidden="false" customHeight="true" outlineLevel="0" collapsed="false">
      <c r="A2921" s="32"/>
      <c r="B2921" s="32"/>
      <c r="C2921" s="32"/>
      <c r="D2921" s="32"/>
      <c r="E2921" s="34" t="str">
        <f aca="false">IF($B2921="","",IF($B2921="OUT","Liters",IFERROR(INDEX(Setup!$F$3:$F$24,MATCH($C2921,Setup!$A$3:$A$24,0)),"")))</f>
        <v/>
      </c>
      <c r="F2921" s="28" t="str">
        <f aca="false">IF(OR($D2921="",$E2921=""),"",IFERROR($D2921*INDEX(Setup!$B$27:$B$44,MATCH($E2921,Setup!$A$27:$A$44,0)),"TBD"))</f>
        <v/>
      </c>
      <c r="G2921" s="32"/>
      <c r="H2921" s="32"/>
      <c r="I2921" s="32"/>
      <c r="J2921" s="32"/>
      <c r="K2921" s="35"/>
      <c r="L2921" s="32"/>
      <c r="M2921" s="32"/>
    </row>
    <row r="2922" customFormat="false" ht="15" hidden="false" customHeight="true" outlineLevel="0" collapsed="false">
      <c r="A2922" s="32"/>
      <c r="B2922" s="32"/>
      <c r="C2922" s="32"/>
      <c r="D2922" s="32"/>
      <c r="E2922" s="34" t="str">
        <f aca="false">IF($B2922="","",IF($B2922="OUT","Liters",IFERROR(INDEX(Setup!$F$3:$F$24,MATCH($C2922,Setup!$A$3:$A$24,0)),"")))</f>
        <v/>
      </c>
      <c r="F2922" s="28" t="str">
        <f aca="false">IF(OR($D2922="",$E2922=""),"",IFERROR($D2922*INDEX(Setup!$B$27:$B$44,MATCH($E2922,Setup!$A$27:$A$44,0)),"TBD"))</f>
        <v/>
      </c>
      <c r="G2922" s="32"/>
      <c r="H2922" s="32"/>
      <c r="I2922" s="32"/>
      <c r="J2922" s="32"/>
      <c r="K2922" s="35"/>
      <c r="L2922" s="32"/>
      <c r="M2922" s="32"/>
    </row>
    <row r="2923" customFormat="false" ht="15" hidden="false" customHeight="true" outlineLevel="0" collapsed="false">
      <c r="A2923" s="32"/>
      <c r="B2923" s="32"/>
      <c r="C2923" s="32"/>
      <c r="D2923" s="32"/>
      <c r="E2923" s="34" t="str">
        <f aca="false">IF($B2923="","",IF($B2923="OUT","Liters",IFERROR(INDEX(Setup!$F$3:$F$24,MATCH($C2923,Setup!$A$3:$A$24,0)),"")))</f>
        <v/>
      </c>
      <c r="F2923" s="28" t="str">
        <f aca="false">IF(OR($D2923="",$E2923=""),"",IFERROR($D2923*INDEX(Setup!$B$27:$B$44,MATCH($E2923,Setup!$A$27:$A$44,0)),"TBD"))</f>
        <v/>
      </c>
      <c r="G2923" s="32"/>
      <c r="H2923" s="32"/>
      <c r="I2923" s="32"/>
      <c r="J2923" s="32"/>
      <c r="K2923" s="35"/>
      <c r="L2923" s="32"/>
      <c r="M2923" s="32"/>
    </row>
    <row r="2924" customFormat="false" ht="15" hidden="false" customHeight="true" outlineLevel="0" collapsed="false">
      <c r="A2924" s="32"/>
      <c r="B2924" s="32"/>
      <c r="C2924" s="32"/>
      <c r="D2924" s="32"/>
      <c r="E2924" s="34" t="str">
        <f aca="false">IF($B2924="","",IF($B2924="OUT","Liters",IFERROR(INDEX(Setup!$F$3:$F$24,MATCH($C2924,Setup!$A$3:$A$24,0)),"")))</f>
        <v/>
      </c>
      <c r="F2924" s="28" t="str">
        <f aca="false">IF(OR($D2924="",$E2924=""),"",IFERROR($D2924*INDEX(Setup!$B$27:$B$44,MATCH($E2924,Setup!$A$27:$A$44,0)),"TBD"))</f>
        <v/>
      </c>
      <c r="G2924" s="32"/>
      <c r="H2924" s="32"/>
      <c r="I2924" s="32"/>
      <c r="J2924" s="32"/>
      <c r="K2924" s="35"/>
      <c r="L2924" s="32"/>
      <c r="M2924" s="32"/>
    </row>
    <row r="2925" customFormat="false" ht="15" hidden="false" customHeight="true" outlineLevel="0" collapsed="false">
      <c r="A2925" s="32"/>
      <c r="B2925" s="32"/>
      <c r="C2925" s="32"/>
      <c r="D2925" s="32"/>
      <c r="E2925" s="34" t="str">
        <f aca="false">IF($B2925="","",IF($B2925="OUT","Liters",IFERROR(INDEX(Setup!$F$3:$F$24,MATCH($C2925,Setup!$A$3:$A$24,0)),"")))</f>
        <v/>
      </c>
      <c r="F2925" s="28" t="str">
        <f aca="false">IF(OR($D2925="",$E2925=""),"",IFERROR($D2925*INDEX(Setup!$B$27:$B$44,MATCH($E2925,Setup!$A$27:$A$44,0)),"TBD"))</f>
        <v/>
      </c>
      <c r="G2925" s="32"/>
      <c r="H2925" s="32"/>
      <c r="I2925" s="32"/>
      <c r="J2925" s="32"/>
      <c r="K2925" s="35"/>
      <c r="L2925" s="32"/>
      <c r="M2925" s="32"/>
    </row>
    <row r="2926" customFormat="false" ht="15" hidden="false" customHeight="true" outlineLevel="0" collapsed="false">
      <c r="A2926" s="32"/>
      <c r="B2926" s="32"/>
      <c r="C2926" s="32"/>
      <c r="D2926" s="32"/>
      <c r="E2926" s="34" t="str">
        <f aca="false">IF($B2926="","",IF($B2926="OUT","Liters",IFERROR(INDEX(Setup!$F$3:$F$24,MATCH($C2926,Setup!$A$3:$A$24,0)),"")))</f>
        <v/>
      </c>
      <c r="F2926" s="28" t="str">
        <f aca="false">IF(OR($D2926="",$E2926=""),"",IFERROR($D2926*INDEX(Setup!$B$27:$B$44,MATCH($E2926,Setup!$A$27:$A$44,0)),"TBD"))</f>
        <v/>
      </c>
      <c r="G2926" s="32"/>
      <c r="H2926" s="32"/>
      <c r="I2926" s="32"/>
      <c r="J2926" s="32"/>
      <c r="K2926" s="35"/>
      <c r="L2926" s="32"/>
      <c r="M2926" s="32"/>
    </row>
    <row r="2927" customFormat="false" ht="15" hidden="false" customHeight="true" outlineLevel="0" collapsed="false">
      <c r="A2927" s="32"/>
      <c r="B2927" s="32"/>
      <c r="C2927" s="32"/>
      <c r="D2927" s="32"/>
      <c r="E2927" s="34" t="str">
        <f aca="false">IF($B2927="","",IF($B2927="OUT","Liters",IFERROR(INDEX(Setup!$F$3:$F$24,MATCH($C2927,Setup!$A$3:$A$24,0)),"")))</f>
        <v/>
      </c>
      <c r="F2927" s="28" t="str">
        <f aca="false">IF(OR($D2927="",$E2927=""),"",IFERROR($D2927*INDEX(Setup!$B$27:$B$44,MATCH($E2927,Setup!$A$27:$A$44,0)),"TBD"))</f>
        <v/>
      </c>
      <c r="G2927" s="32"/>
      <c r="H2927" s="32"/>
      <c r="I2927" s="32"/>
      <c r="J2927" s="32"/>
      <c r="K2927" s="35"/>
      <c r="L2927" s="32"/>
      <c r="M2927" s="32"/>
    </row>
    <row r="2928" customFormat="false" ht="15" hidden="false" customHeight="true" outlineLevel="0" collapsed="false">
      <c r="A2928" s="32"/>
      <c r="B2928" s="32"/>
      <c r="C2928" s="32"/>
      <c r="D2928" s="32"/>
      <c r="E2928" s="34" t="str">
        <f aca="false">IF($B2928="","",IF($B2928="OUT","Liters",IFERROR(INDEX(Setup!$F$3:$F$24,MATCH($C2928,Setup!$A$3:$A$24,0)),"")))</f>
        <v/>
      </c>
      <c r="F2928" s="28" t="str">
        <f aca="false">IF(OR($D2928="",$E2928=""),"",IFERROR($D2928*INDEX(Setup!$B$27:$B$44,MATCH($E2928,Setup!$A$27:$A$44,0)),"TBD"))</f>
        <v/>
      </c>
      <c r="G2928" s="32"/>
      <c r="H2928" s="32"/>
      <c r="I2928" s="32"/>
      <c r="J2928" s="32"/>
      <c r="K2928" s="35"/>
      <c r="L2928" s="32"/>
      <c r="M2928" s="32"/>
    </row>
    <row r="2929" customFormat="false" ht="15" hidden="false" customHeight="true" outlineLevel="0" collapsed="false">
      <c r="A2929" s="32"/>
      <c r="B2929" s="32"/>
      <c r="C2929" s="32"/>
      <c r="D2929" s="32"/>
      <c r="E2929" s="34" t="str">
        <f aca="false">IF($B2929="","",IF($B2929="OUT","Liters",IFERROR(INDEX(Setup!$F$3:$F$24,MATCH($C2929,Setup!$A$3:$A$24,0)),"")))</f>
        <v/>
      </c>
      <c r="F2929" s="28" t="str">
        <f aca="false">IF(OR($D2929="",$E2929=""),"",IFERROR($D2929*INDEX(Setup!$B$27:$B$44,MATCH($E2929,Setup!$A$27:$A$44,0)),"TBD"))</f>
        <v/>
      </c>
      <c r="G2929" s="32"/>
      <c r="H2929" s="32"/>
      <c r="I2929" s="32"/>
      <c r="J2929" s="32"/>
      <c r="K2929" s="35"/>
      <c r="L2929" s="32"/>
      <c r="M2929" s="32"/>
    </row>
    <row r="2930" customFormat="false" ht="15" hidden="false" customHeight="true" outlineLevel="0" collapsed="false">
      <c r="A2930" s="32"/>
      <c r="B2930" s="32"/>
      <c r="C2930" s="32"/>
      <c r="D2930" s="32"/>
      <c r="E2930" s="34" t="str">
        <f aca="false">IF($B2930="","",IF($B2930="OUT","Liters",IFERROR(INDEX(Setup!$F$3:$F$24,MATCH($C2930,Setup!$A$3:$A$24,0)),"")))</f>
        <v/>
      </c>
      <c r="F2930" s="28" t="str">
        <f aca="false">IF(OR($D2930="",$E2930=""),"",IFERROR($D2930*INDEX(Setup!$B$27:$B$44,MATCH($E2930,Setup!$A$27:$A$44,0)),"TBD"))</f>
        <v/>
      </c>
      <c r="G2930" s="32"/>
      <c r="H2930" s="32"/>
      <c r="I2930" s="32"/>
      <c r="J2930" s="32"/>
      <c r="K2930" s="35"/>
      <c r="L2930" s="32"/>
      <c r="M2930" s="32"/>
    </row>
    <row r="2931" customFormat="false" ht="15" hidden="false" customHeight="true" outlineLevel="0" collapsed="false">
      <c r="A2931" s="32"/>
      <c r="B2931" s="32"/>
      <c r="C2931" s="32"/>
      <c r="D2931" s="32"/>
      <c r="E2931" s="34" t="str">
        <f aca="false">IF($B2931="","",IF($B2931="OUT","Liters",IFERROR(INDEX(Setup!$F$3:$F$24,MATCH($C2931,Setup!$A$3:$A$24,0)),"")))</f>
        <v/>
      </c>
      <c r="F2931" s="28" t="str">
        <f aca="false">IF(OR($D2931="",$E2931=""),"",IFERROR($D2931*INDEX(Setup!$B$27:$B$44,MATCH($E2931,Setup!$A$27:$A$44,0)),"TBD"))</f>
        <v/>
      </c>
      <c r="G2931" s="32"/>
      <c r="H2931" s="32"/>
      <c r="I2931" s="32"/>
      <c r="J2931" s="32"/>
      <c r="K2931" s="35"/>
      <c r="L2931" s="32"/>
      <c r="M2931" s="32"/>
    </row>
    <row r="2932" customFormat="false" ht="15" hidden="false" customHeight="true" outlineLevel="0" collapsed="false">
      <c r="A2932" s="32"/>
      <c r="B2932" s="32"/>
      <c r="C2932" s="32"/>
      <c r="D2932" s="32"/>
      <c r="E2932" s="34" t="str">
        <f aca="false">IF($B2932="","",IF($B2932="OUT","Liters",IFERROR(INDEX(Setup!$F$3:$F$24,MATCH($C2932,Setup!$A$3:$A$24,0)),"")))</f>
        <v/>
      </c>
      <c r="F2932" s="28" t="str">
        <f aca="false">IF(OR($D2932="",$E2932=""),"",IFERROR($D2932*INDEX(Setup!$B$27:$B$44,MATCH($E2932,Setup!$A$27:$A$44,0)),"TBD"))</f>
        <v/>
      </c>
      <c r="G2932" s="32"/>
      <c r="H2932" s="32"/>
      <c r="I2932" s="32"/>
      <c r="J2932" s="32"/>
      <c r="K2932" s="35"/>
      <c r="L2932" s="32"/>
      <c r="M2932" s="32"/>
    </row>
    <row r="2933" customFormat="false" ht="15" hidden="false" customHeight="true" outlineLevel="0" collapsed="false">
      <c r="A2933" s="32"/>
      <c r="B2933" s="32"/>
      <c r="C2933" s="32"/>
      <c r="D2933" s="32"/>
      <c r="E2933" s="34" t="str">
        <f aca="false">IF($B2933="","",IF($B2933="OUT","Liters",IFERROR(INDEX(Setup!$F$3:$F$24,MATCH($C2933,Setup!$A$3:$A$24,0)),"")))</f>
        <v/>
      </c>
      <c r="F2933" s="28" t="str">
        <f aca="false">IF(OR($D2933="",$E2933=""),"",IFERROR($D2933*INDEX(Setup!$B$27:$B$44,MATCH($E2933,Setup!$A$27:$A$44,0)),"TBD"))</f>
        <v/>
      </c>
      <c r="G2933" s="32"/>
      <c r="H2933" s="32"/>
      <c r="I2933" s="32"/>
      <c r="J2933" s="32"/>
      <c r="K2933" s="35"/>
      <c r="L2933" s="32"/>
      <c r="M2933" s="32"/>
    </row>
    <row r="2934" customFormat="false" ht="15" hidden="false" customHeight="true" outlineLevel="0" collapsed="false">
      <c r="A2934" s="32"/>
      <c r="B2934" s="32"/>
      <c r="C2934" s="32"/>
      <c r="D2934" s="32"/>
      <c r="E2934" s="34" t="str">
        <f aca="false">IF($B2934="","",IF($B2934="OUT","Liters",IFERROR(INDEX(Setup!$F$3:$F$24,MATCH($C2934,Setup!$A$3:$A$24,0)),"")))</f>
        <v/>
      </c>
      <c r="F2934" s="28" t="str">
        <f aca="false">IF(OR($D2934="",$E2934=""),"",IFERROR($D2934*INDEX(Setup!$B$27:$B$44,MATCH($E2934,Setup!$A$27:$A$44,0)),"TBD"))</f>
        <v/>
      </c>
      <c r="G2934" s="32"/>
      <c r="H2934" s="32"/>
      <c r="I2934" s="32"/>
      <c r="J2934" s="32"/>
      <c r="K2934" s="35"/>
      <c r="L2934" s="32"/>
      <c r="M2934" s="32"/>
    </row>
    <row r="2935" customFormat="false" ht="15" hidden="false" customHeight="true" outlineLevel="0" collapsed="false">
      <c r="A2935" s="32"/>
      <c r="B2935" s="32"/>
      <c r="C2935" s="32"/>
      <c r="D2935" s="32"/>
      <c r="E2935" s="34" t="str">
        <f aca="false">IF($B2935="","",IF($B2935="OUT","Liters",IFERROR(INDEX(Setup!$F$3:$F$24,MATCH($C2935,Setup!$A$3:$A$24,0)),"")))</f>
        <v/>
      </c>
      <c r="F2935" s="28" t="str">
        <f aca="false">IF(OR($D2935="",$E2935=""),"",IFERROR($D2935*INDEX(Setup!$B$27:$B$44,MATCH($E2935,Setup!$A$27:$A$44,0)),"TBD"))</f>
        <v/>
      </c>
      <c r="G2935" s="32"/>
      <c r="H2935" s="32"/>
      <c r="I2935" s="32"/>
      <c r="J2935" s="32"/>
      <c r="K2935" s="35"/>
      <c r="L2935" s="32"/>
      <c r="M2935" s="32"/>
    </row>
    <row r="2936" customFormat="false" ht="15" hidden="false" customHeight="true" outlineLevel="0" collapsed="false">
      <c r="A2936" s="32"/>
      <c r="B2936" s="32"/>
      <c r="C2936" s="32"/>
      <c r="D2936" s="32"/>
      <c r="E2936" s="34" t="str">
        <f aca="false">IF($B2936="","",IF($B2936="OUT","Liters",IFERROR(INDEX(Setup!$F$3:$F$24,MATCH($C2936,Setup!$A$3:$A$24,0)),"")))</f>
        <v/>
      </c>
      <c r="F2936" s="28" t="str">
        <f aca="false">IF(OR($D2936="",$E2936=""),"",IFERROR($D2936*INDEX(Setup!$B$27:$B$44,MATCH($E2936,Setup!$A$27:$A$44,0)),"TBD"))</f>
        <v/>
      </c>
      <c r="G2936" s="32"/>
      <c r="H2936" s="32"/>
      <c r="I2936" s="32"/>
      <c r="J2936" s="32"/>
      <c r="K2936" s="35"/>
      <c r="L2936" s="32"/>
      <c r="M2936" s="32"/>
    </row>
    <row r="2937" customFormat="false" ht="15" hidden="false" customHeight="true" outlineLevel="0" collapsed="false">
      <c r="A2937" s="32"/>
      <c r="B2937" s="32"/>
      <c r="C2937" s="32"/>
      <c r="D2937" s="32"/>
      <c r="E2937" s="34" t="str">
        <f aca="false">IF($B2937="","",IF($B2937="OUT","Liters",IFERROR(INDEX(Setup!$F$3:$F$24,MATCH($C2937,Setup!$A$3:$A$24,0)),"")))</f>
        <v/>
      </c>
      <c r="F2937" s="28" t="str">
        <f aca="false">IF(OR($D2937="",$E2937=""),"",IFERROR($D2937*INDEX(Setup!$B$27:$B$44,MATCH($E2937,Setup!$A$27:$A$44,0)),"TBD"))</f>
        <v/>
      </c>
      <c r="G2937" s="32"/>
      <c r="H2937" s="32"/>
      <c r="I2937" s="32"/>
      <c r="J2937" s="32"/>
      <c r="K2937" s="35"/>
      <c r="L2937" s="32"/>
      <c r="M2937" s="32"/>
    </row>
    <row r="2938" customFormat="false" ht="15" hidden="false" customHeight="true" outlineLevel="0" collapsed="false">
      <c r="A2938" s="32"/>
      <c r="B2938" s="32"/>
      <c r="C2938" s="32"/>
      <c r="D2938" s="32"/>
      <c r="E2938" s="34" t="str">
        <f aca="false">IF($B2938="","",IF($B2938="OUT","Liters",IFERROR(INDEX(Setup!$F$3:$F$24,MATCH($C2938,Setup!$A$3:$A$24,0)),"")))</f>
        <v/>
      </c>
      <c r="F2938" s="28" t="str">
        <f aca="false">IF(OR($D2938="",$E2938=""),"",IFERROR($D2938*INDEX(Setup!$B$27:$B$44,MATCH($E2938,Setup!$A$27:$A$44,0)),"TBD"))</f>
        <v/>
      </c>
      <c r="G2938" s="32"/>
      <c r="H2938" s="32"/>
      <c r="I2938" s="32"/>
      <c r="J2938" s="32"/>
      <c r="K2938" s="35"/>
      <c r="L2938" s="32"/>
      <c r="M2938" s="32"/>
    </row>
    <row r="2939" customFormat="false" ht="15" hidden="false" customHeight="true" outlineLevel="0" collapsed="false">
      <c r="A2939" s="32"/>
      <c r="B2939" s="32"/>
      <c r="C2939" s="32"/>
      <c r="D2939" s="32"/>
      <c r="E2939" s="34" t="str">
        <f aca="false">IF($B2939="","",IF($B2939="OUT","Liters",IFERROR(INDEX(Setup!$F$3:$F$24,MATCH($C2939,Setup!$A$3:$A$24,0)),"")))</f>
        <v/>
      </c>
      <c r="F2939" s="28" t="str">
        <f aca="false">IF(OR($D2939="",$E2939=""),"",IFERROR($D2939*INDEX(Setup!$B$27:$B$44,MATCH($E2939,Setup!$A$27:$A$44,0)),"TBD"))</f>
        <v/>
      </c>
      <c r="G2939" s="32"/>
      <c r="H2939" s="32"/>
      <c r="I2939" s="32"/>
      <c r="J2939" s="32"/>
      <c r="K2939" s="35"/>
      <c r="L2939" s="32"/>
      <c r="M2939" s="32"/>
    </row>
    <row r="2940" customFormat="false" ht="15" hidden="false" customHeight="true" outlineLevel="0" collapsed="false">
      <c r="A2940" s="32"/>
      <c r="B2940" s="32"/>
      <c r="C2940" s="32"/>
      <c r="D2940" s="32"/>
      <c r="E2940" s="34" t="str">
        <f aca="false">IF($B2940="","",IF($B2940="OUT","Liters",IFERROR(INDEX(Setup!$F$3:$F$24,MATCH($C2940,Setup!$A$3:$A$24,0)),"")))</f>
        <v/>
      </c>
      <c r="F2940" s="28" t="str">
        <f aca="false">IF(OR($D2940="",$E2940=""),"",IFERROR($D2940*INDEX(Setup!$B$27:$B$44,MATCH($E2940,Setup!$A$27:$A$44,0)),"TBD"))</f>
        <v/>
      </c>
      <c r="G2940" s="32"/>
      <c r="H2940" s="32"/>
      <c r="I2940" s="32"/>
      <c r="J2940" s="32"/>
      <c r="K2940" s="35"/>
      <c r="L2940" s="32"/>
      <c r="M2940" s="32"/>
    </row>
    <row r="2941" customFormat="false" ht="15" hidden="false" customHeight="true" outlineLevel="0" collapsed="false">
      <c r="A2941" s="32"/>
      <c r="B2941" s="32"/>
      <c r="C2941" s="32"/>
      <c r="D2941" s="32"/>
      <c r="E2941" s="34" t="str">
        <f aca="false">IF($B2941="","",IF($B2941="OUT","Liters",IFERROR(INDEX(Setup!$F$3:$F$24,MATCH($C2941,Setup!$A$3:$A$24,0)),"")))</f>
        <v/>
      </c>
      <c r="F2941" s="28" t="str">
        <f aca="false">IF(OR($D2941="",$E2941=""),"",IFERROR($D2941*INDEX(Setup!$B$27:$B$44,MATCH($E2941,Setup!$A$27:$A$44,0)),"TBD"))</f>
        <v/>
      </c>
      <c r="G2941" s="32"/>
      <c r="H2941" s="32"/>
      <c r="I2941" s="32"/>
      <c r="J2941" s="32"/>
      <c r="K2941" s="35"/>
      <c r="L2941" s="32"/>
      <c r="M2941" s="32"/>
    </row>
    <row r="2942" customFormat="false" ht="15" hidden="false" customHeight="true" outlineLevel="0" collapsed="false">
      <c r="A2942" s="32"/>
      <c r="B2942" s="32"/>
      <c r="C2942" s="32"/>
      <c r="D2942" s="32"/>
      <c r="E2942" s="34" t="str">
        <f aca="false">IF($B2942="","",IF($B2942="OUT","Liters",IFERROR(INDEX(Setup!$F$3:$F$24,MATCH($C2942,Setup!$A$3:$A$24,0)),"")))</f>
        <v/>
      </c>
      <c r="F2942" s="28" t="str">
        <f aca="false">IF(OR($D2942="",$E2942=""),"",IFERROR($D2942*INDEX(Setup!$B$27:$B$44,MATCH($E2942,Setup!$A$27:$A$44,0)),"TBD"))</f>
        <v/>
      </c>
      <c r="G2942" s="32"/>
      <c r="H2942" s="32"/>
      <c r="I2942" s="32"/>
      <c r="J2942" s="32"/>
      <c r="K2942" s="35"/>
      <c r="L2942" s="32"/>
      <c r="M2942" s="32"/>
    </row>
    <row r="2943" customFormat="false" ht="15" hidden="false" customHeight="true" outlineLevel="0" collapsed="false">
      <c r="A2943" s="32"/>
      <c r="B2943" s="32"/>
      <c r="C2943" s="32"/>
      <c r="D2943" s="32"/>
      <c r="E2943" s="34" t="str">
        <f aca="false">IF($B2943="","",IF($B2943="OUT","Liters",IFERROR(INDEX(Setup!$F$3:$F$24,MATCH($C2943,Setup!$A$3:$A$24,0)),"")))</f>
        <v/>
      </c>
      <c r="F2943" s="28" t="str">
        <f aca="false">IF(OR($D2943="",$E2943=""),"",IFERROR($D2943*INDEX(Setup!$B$27:$B$44,MATCH($E2943,Setup!$A$27:$A$44,0)),"TBD"))</f>
        <v/>
      </c>
      <c r="G2943" s="32"/>
      <c r="H2943" s="32"/>
      <c r="I2943" s="32"/>
      <c r="J2943" s="32"/>
      <c r="K2943" s="35"/>
      <c r="L2943" s="32"/>
      <c r="M2943" s="32"/>
    </row>
    <row r="2944" customFormat="false" ht="15" hidden="false" customHeight="true" outlineLevel="0" collapsed="false">
      <c r="A2944" s="32"/>
      <c r="B2944" s="32"/>
      <c r="C2944" s="32"/>
      <c r="D2944" s="32"/>
      <c r="E2944" s="34" t="str">
        <f aca="false">IF($B2944="","",IF($B2944="OUT","Liters",IFERROR(INDEX(Setup!$F$3:$F$24,MATCH($C2944,Setup!$A$3:$A$24,0)),"")))</f>
        <v/>
      </c>
      <c r="F2944" s="28" t="str">
        <f aca="false">IF(OR($D2944="",$E2944=""),"",IFERROR($D2944*INDEX(Setup!$B$27:$B$44,MATCH($E2944,Setup!$A$27:$A$44,0)),"TBD"))</f>
        <v/>
      </c>
      <c r="G2944" s="32"/>
      <c r="H2944" s="32"/>
      <c r="I2944" s="32"/>
      <c r="J2944" s="32"/>
      <c r="K2944" s="35"/>
      <c r="L2944" s="32"/>
      <c r="M2944" s="32"/>
    </row>
    <row r="2945" customFormat="false" ht="15" hidden="false" customHeight="true" outlineLevel="0" collapsed="false">
      <c r="A2945" s="32"/>
      <c r="B2945" s="32"/>
      <c r="C2945" s="32"/>
      <c r="D2945" s="32"/>
      <c r="E2945" s="34" t="str">
        <f aca="false">IF($B2945="","",IF($B2945="OUT","Liters",IFERROR(INDEX(Setup!$F$3:$F$24,MATCH($C2945,Setup!$A$3:$A$24,0)),"")))</f>
        <v/>
      </c>
      <c r="F2945" s="28" t="str">
        <f aca="false">IF(OR($D2945="",$E2945=""),"",IFERROR($D2945*INDEX(Setup!$B$27:$B$44,MATCH($E2945,Setup!$A$27:$A$44,0)),"TBD"))</f>
        <v/>
      </c>
      <c r="G2945" s="32"/>
      <c r="H2945" s="32"/>
      <c r="I2945" s="32"/>
      <c r="J2945" s="32"/>
      <c r="K2945" s="35"/>
      <c r="L2945" s="32"/>
      <c r="M2945" s="32"/>
    </row>
    <row r="2946" customFormat="false" ht="15" hidden="false" customHeight="true" outlineLevel="0" collapsed="false">
      <c r="A2946" s="32"/>
      <c r="B2946" s="32"/>
      <c r="C2946" s="32"/>
      <c r="D2946" s="32"/>
      <c r="E2946" s="34" t="str">
        <f aca="false">IF($B2946="","",IF($B2946="OUT","Liters",IFERROR(INDEX(Setup!$F$3:$F$24,MATCH($C2946,Setup!$A$3:$A$24,0)),"")))</f>
        <v/>
      </c>
      <c r="F2946" s="28" t="str">
        <f aca="false">IF(OR($D2946="",$E2946=""),"",IFERROR($D2946*INDEX(Setup!$B$27:$B$44,MATCH($E2946,Setup!$A$27:$A$44,0)),"TBD"))</f>
        <v/>
      </c>
      <c r="G2946" s="32"/>
      <c r="H2946" s="32"/>
      <c r="I2946" s="32"/>
      <c r="J2946" s="32"/>
      <c r="K2946" s="35"/>
      <c r="L2946" s="32"/>
      <c r="M2946" s="32"/>
    </row>
    <row r="2947" customFormat="false" ht="15" hidden="false" customHeight="true" outlineLevel="0" collapsed="false">
      <c r="A2947" s="32"/>
      <c r="B2947" s="32"/>
      <c r="C2947" s="32"/>
      <c r="D2947" s="32"/>
      <c r="E2947" s="34" t="str">
        <f aca="false">IF($B2947="","",IF($B2947="OUT","Liters",IFERROR(INDEX(Setup!$F$3:$F$24,MATCH($C2947,Setup!$A$3:$A$24,0)),"")))</f>
        <v/>
      </c>
      <c r="F2947" s="28" t="str">
        <f aca="false">IF(OR($D2947="",$E2947=""),"",IFERROR($D2947*INDEX(Setup!$B$27:$B$44,MATCH($E2947,Setup!$A$27:$A$44,0)),"TBD"))</f>
        <v/>
      </c>
      <c r="G2947" s="32"/>
      <c r="H2947" s="32"/>
      <c r="I2947" s="32"/>
      <c r="J2947" s="32"/>
      <c r="K2947" s="35"/>
      <c r="L2947" s="32"/>
      <c r="M2947" s="32"/>
    </row>
    <row r="2948" customFormat="false" ht="15" hidden="false" customHeight="true" outlineLevel="0" collapsed="false">
      <c r="A2948" s="32"/>
      <c r="B2948" s="32"/>
      <c r="C2948" s="32"/>
      <c r="D2948" s="32"/>
      <c r="E2948" s="34" t="str">
        <f aca="false">IF($B2948="","",IF($B2948="OUT","Liters",IFERROR(INDEX(Setup!$F$3:$F$24,MATCH($C2948,Setup!$A$3:$A$24,0)),"")))</f>
        <v/>
      </c>
      <c r="F2948" s="28" t="str">
        <f aca="false">IF(OR($D2948="",$E2948=""),"",IFERROR($D2948*INDEX(Setup!$B$27:$B$44,MATCH($E2948,Setup!$A$27:$A$44,0)),"TBD"))</f>
        <v/>
      </c>
      <c r="G2948" s="32"/>
      <c r="H2948" s="32"/>
      <c r="I2948" s="32"/>
      <c r="J2948" s="32"/>
      <c r="K2948" s="35"/>
      <c r="L2948" s="32"/>
      <c r="M2948" s="32"/>
    </row>
    <row r="2949" customFormat="false" ht="15" hidden="false" customHeight="true" outlineLevel="0" collapsed="false">
      <c r="A2949" s="32"/>
      <c r="B2949" s="32"/>
      <c r="C2949" s="32"/>
      <c r="D2949" s="32"/>
      <c r="E2949" s="34" t="str">
        <f aca="false">IF($B2949="","",IF($B2949="OUT","Liters",IFERROR(INDEX(Setup!$F$3:$F$24,MATCH($C2949,Setup!$A$3:$A$24,0)),"")))</f>
        <v/>
      </c>
      <c r="F2949" s="28" t="str">
        <f aca="false">IF(OR($D2949="",$E2949=""),"",IFERROR($D2949*INDEX(Setup!$B$27:$B$44,MATCH($E2949,Setup!$A$27:$A$44,0)),"TBD"))</f>
        <v/>
      </c>
      <c r="G2949" s="32"/>
      <c r="H2949" s="32"/>
      <c r="I2949" s="32"/>
      <c r="J2949" s="32"/>
      <c r="K2949" s="35"/>
      <c r="L2949" s="32"/>
      <c r="M2949" s="32"/>
    </row>
    <row r="2950" customFormat="false" ht="15" hidden="false" customHeight="true" outlineLevel="0" collapsed="false">
      <c r="A2950" s="32"/>
      <c r="B2950" s="32"/>
      <c r="C2950" s="32"/>
      <c r="D2950" s="32"/>
      <c r="E2950" s="34" t="str">
        <f aca="false">IF($B2950="","",IF($B2950="OUT","Liters",IFERROR(INDEX(Setup!$F$3:$F$24,MATCH($C2950,Setup!$A$3:$A$24,0)),"")))</f>
        <v/>
      </c>
      <c r="F2950" s="28" t="str">
        <f aca="false">IF(OR($D2950="",$E2950=""),"",IFERROR($D2950*INDEX(Setup!$B$27:$B$44,MATCH($E2950,Setup!$A$27:$A$44,0)),"TBD"))</f>
        <v/>
      </c>
      <c r="G2950" s="32"/>
      <c r="H2950" s="32"/>
      <c r="I2950" s="32"/>
      <c r="J2950" s="32"/>
      <c r="K2950" s="35"/>
      <c r="L2950" s="32"/>
      <c r="M2950" s="32"/>
    </row>
    <row r="2951" customFormat="false" ht="15" hidden="false" customHeight="true" outlineLevel="0" collapsed="false">
      <c r="A2951" s="32"/>
      <c r="B2951" s="32"/>
      <c r="C2951" s="32"/>
      <c r="D2951" s="32"/>
      <c r="E2951" s="34" t="str">
        <f aca="false">IF($B2951="","",IF($B2951="OUT","Liters",IFERROR(INDEX(Setup!$F$3:$F$24,MATCH($C2951,Setup!$A$3:$A$24,0)),"")))</f>
        <v/>
      </c>
      <c r="F2951" s="28" t="str">
        <f aca="false">IF(OR($D2951="",$E2951=""),"",IFERROR($D2951*INDEX(Setup!$B$27:$B$44,MATCH($E2951,Setup!$A$27:$A$44,0)),"TBD"))</f>
        <v/>
      </c>
      <c r="G2951" s="32"/>
      <c r="H2951" s="32"/>
      <c r="I2951" s="32"/>
      <c r="J2951" s="32"/>
      <c r="K2951" s="35"/>
      <c r="L2951" s="32"/>
      <c r="M2951" s="32"/>
    </row>
    <row r="2952" customFormat="false" ht="15" hidden="false" customHeight="true" outlineLevel="0" collapsed="false">
      <c r="A2952" s="32"/>
      <c r="B2952" s="32"/>
      <c r="C2952" s="32"/>
      <c r="D2952" s="32"/>
      <c r="E2952" s="34" t="str">
        <f aca="false">IF($B2952="","",IF($B2952="OUT","Liters",IFERROR(INDEX(Setup!$F$3:$F$24,MATCH($C2952,Setup!$A$3:$A$24,0)),"")))</f>
        <v/>
      </c>
      <c r="F2952" s="28" t="str">
        <f aca="false">IF(OR($D2952="",$E2952=""),"",IFERROR($D2952*INDEX(Setup!$B$27:$B$44,MATCH($E2952,Setup!$A$27:$A$44,0)),"TBD"))</f>
        <v/>
      </c>
      <c r="G2952" s="32"/>
      <c r="H2952" s="32"/>
      <c r="I2952" s="32"/>
      <c r="J2952" s="32"/>
      <c r="K2952" s="35"/>
      <c r="L2952" s="32"/>
      <c r="M2952" s="32"/>
    </row>
    <row r="2953" customFormat="false" ht="15" hidden="false" customHeight="true" outlineLevel="0" collapsed="false">
      <c r="A2953" s="32"/>
      <c r="B2953" s="32"/>
      <c r="C2953" s="32"/>
      <c r="D2953" s="32"/>
      <c r="E2953" s="34" t="str">
        <f aca="false">IF($B2953="","",IF($B2953="OUT","Liters",IFERROR(INDEX(Setup!$F$3:$F$24,MATCH($C2953,Setup!$A$3:$A$24,0)),"")))</f>
        <v/>
      </c>
      <c r="F2953" s="28" t="str">
        <f aca="false">IF(OR($D2953="",$E2953=""),"",IFERROR($D2953*INDEX(Setup!$B$27:$B$44,MATCH($E2953,Setup!$A$27:$A$44,0)),"TBD"))</f>
        <v/>
      </c>
      <c r="G2953" s="32"/>
      <c r="H2953" s="32"/>
      <c r="I2953" s="32"/>
      <c r="J2953" s="32"/>
      <c r="K2953" s="35"/>
      <c r="L2953" s="32"/>
      <c r="M2953" s="32"/>
    </row>
    <row r="2954" customFormat="false" ht="15" hidden="false" customHeight="true" outlineLevel="0" collapsed="false">
      <c r="A2954" s="32"/>
      <c r="B2954" s="32"/>
      <c r="C2954" s="32"/>
      <c r="D2954" s="32"/>
      <c r="E2954" s="34" t="str">
        <f aca="false">IF($B2954="","",IF($B2954="OUT","Liters",IFERROR(INDEX(Setup!$F$3:$F$24,MATCH($C2954,Setup!$A$3:$A$24,0)),"")))</f>
        <v/>
      </c>
      <c r="F2954" s="28" t="str">
        <f aca="false">IF(OR($D2954="",$E2954=""),"",IFERROR($D2954*INDEX(Setup!$B$27:$B$44,MATCH($E2954,Setup!$A$27:$A$44,0)),"TBD"))</f>
        <v/>
      </c>
      <c r="G2954" s="32"/>
      <c r="H2954" s="32"/>
      <c r="I2954" s="32"/>
      <c r="J2954" s="32"/>
      <c r="K2954" s="35"/>
      <c r="L2954" s="32"/>
      <c r="M2954" s="32"/>
    </row>
    <row r="2955" customFormat="false" ht="15" hidden="false" customHeight="true" outlineLevel="0" collapsed="false">
      <c r="A2955" s="32"/>
      <c r="B2955" s="32"/>
      <c r="C2955" s="32"/>
      <c r="D2955" s="32"/>
      <c r="E2955" s="34" t="str">
        <f aca="false">IF($B2955="","",IF($B2955="OUT","Liters",IFERROR(INDEX(Setup!$F$3:$F$24,MATCH($C2955,Setup!$A$3:$A$24,0)),"")))</f>
        <v/>
      </c>
      <c r="F2955" s="28" t="str">
        <f aca="false">IF(OR($D2955="",$E2955=""),"",IFERROR($D2955*INDEX(Setup!$B$27:$B$44,MATCH($E2955,Setup!$A$27:$A$44,0)),"TBD"))</f>
        <v/>
      </c>
      <c r="G2955" s="32"/>
      <c r="H2955" s="32"/>
      <c r="I2955" s="32"/>
      <c r="J2955" s="32"/>
      <c r="K2955" s="35"/>
      <c r="L2955" s="32"/>
      <c r="M2955" s="32"/>
    </row>
    <row r="2956" customFormat="false" ht="15" hidden="false" customHeight="true" outlineLevel="0" collapsed="false">
      <c r="A2956" s="32"/>
      <c r="B2956" s="32"/>
      <c r="C2956" s="32"/>
      <c r="D2956" s="32"/>
      <c r="E2956" s="34" t="str">
        <f aca="false">IF($B2956="","",IF($B2956="OUT","Liters",IFERROR(INDEX(Setup!$F$3:$F$24,MATCH($C2956,Setup!$A$3:$A$24,0)),"")))</f>
        <v/>
      </c>
      <c r="F2956" s="28" t="str">
        <f aca="false">IF(OR($D2956="",$E2956=""),"",IFERROR($D2956*INDEX(Setup!$B$27:$B$44,MATCH($E2956,Setup!$A$27:$A$44,0)),"TBD"))</f>
        <v/>
      </c>
      <c r="G2956" s="32"/>
      <c r="H2956" s="32"/>
      <c r="I2956" s="32"/>
      <c r="J2956" s="32"/>
      <c r="K2956" s="35"/>
      <c r="L2956" s="32"/>
      <c r="M2956" s="32"/>
    </row>
    <row r="2957" customFormat="false" ht="15" hidden="false" customHeight="true" outlineLevel="0" collapsed="false">
      <c r="A2957" s="32"/>
      <c r="B2957" s="32"/>
      <c r="C2957" s="32"/>
      <c r="D2957" s="32"/>
      <c r="E2957" s="34" t="str">
        <f aca="false">IF($B2957="","",IF($B2957="OUT","Liters",IFERROR(INDEX(Setup!$F$3:$F$24,MATCH($C2957,Setup!$A$3:$A$24,0)),"")))</f>
        <v/>
      </c>
      <c r="F2957" s="28" t="str">
        <f aca="false">IF(OR($D2957="",$E2957=""),"",IFERROR($D2957*INDEX(Setup!$B$27:$B$44,MATCH($E2957,Setup!$A$27:$A$44,0)),"TBD"))</f>
        <v/>
      </c>
      <c r="G2957" s="32"/>
      <c r="H2957" s="32"/>
      <c r="I2957" s="32"/>
      <c r="J2957" s="32"/>
      <c r="K2957" s="35"/>
      <c r="L2957" s="32"/>
      <c r="M2957" s="32"/>
    </row>
    <row r="2958" customFormat="false" ht="15" hidden="false" customHeight="true" outlineLevel="0" collapsed="false">
      <c r="A2958" s="32"/>
      <c r="B2958" s="32"/>
      <c r="C2958" s="32"/>
      <c r="D2958" s="32"/>
      <c r="E2958" s="34" t="str">
        <f aca="false">IF($B2958="","",IF($B2958="OUT","Liters",IFERROR(INDEX(Setup!$F$3:$F$24,MATCH($C2958,Setup!$A$3:$A$24,0)),"")))</f>
        <v/>
      </c>
      <c r="F2958" s="28" t="str">
        <f aca="false">IF(OR($D2958="",$E2958=""),"",IFERROR($D2958*INDEX(Setup!$B$27:$B$44,MATCH($E2958,Setup!$A$27:$A$44,0)),"TBD"))</f>
        <v/>
      </c>
      <c r="G2958" s="32"/>
      <c r="H2958" s="32"/>
      <c r="I2958" s="32"/>
      <c r="J2958" s="32"/>
      <c r="K2958" s="35"/>
      <c r="L2958" s="32"/>
      <c r="M2958" s="32"/>
    </row>
    <row r="2959" customFormat="false" ht="15" hidden="false" customHeight="true" outlineLevel="0" collapsed="false">
      <c r="A2959" s="32"/>
      <c r="B2959" s="32"/>
      <c r="C2959" s="32"/>
      <c r="D2959" s="32"/>
      <c r="E2959" s="34" t="str">
        <f aca="false">IF($B2959="","",IF($B2959="OUT","Liters",IFERROR(INDEX(Setup!$F$3:$F$24,MATCH($C2959,Setup!$A$3:$A$24,0)),"")))</f>
        <v/>
      </c>
      <c r="F2959" s="28" t="str">
        <f aca="false">IF(OR($D2959="",$E2959=""),"",IFERROR($D2959*INDEX(Setup!$B$27:$B$44,MATCH($E2959,Setup!$A$27:$A$44,0)),"TBD"))</f>
        <v/>
      </c>
      <c r="G2959" s="32"/>
      <c r="H2959" s="32"/>
      <c r="I2959" s="32"/>
      <c r="J2959" s="32"/>
      <c r="K2959" s="35"/>
      <c r="L2959" s="32"/>
      <c r="M2959" s="32"/>
    </row>
    <row r="2960" customFormat="false" ht="15" hidden="false" customHeight="true" outlineLevel="0" collapsed="false">
      <c r="A2960" s="32"/>
      <c r="B2960" s="32"/>
      <c r="C2960" s="32"/>
      <c r="D2960" s="32"/>
      <c r="E2960" s="34" t="str">
        <f aca="false">IF($B2960="","",IF($B2960="OUT","Liters",IFERROR(INDEX(Setup!$F$3:$F$24,MATCH($C2960,Setup!$A$3:$A$24,0)),"")))</f>
        <v/>
      </c>
      <c r="F2960" s="28" t="str">
        <f aca="false">IF(OR($D2960="",$E2960=""),"",IFERROR($D2960*INDEX(Setup!$B$27:$B$44,MATCH($E2960,Setup!$A$27:$A$44,0)),"TBD"))</f>
        <v/>
      </c>
      <c r="G2960" s="32"/>
      <c r="H2960" s="32"/>
      <c r="I2960" s="32"/>
      <c r="J2960" s="32"/>
      <c r="K2960" s="35"/>
      <c r="L2960" s="32"/>
      <c r="M2960" s="32"/>
    </row>
    <row r="2961" customFormat="false" ht="15" hidden="false" customHeight="true" outlineLevel="0" collapsed="false">
      <c r="A2961" s="32"/>
      <c r="B2961" s="32"/>
      <c r="C2961" s="32"/>
      <c r="D2961" s="32"/>
      <c r="E2961" s="34" t="str">
        <f aca="false">IF($B2961="","",IF($B2961="OUT","Liters",IFERROR(INDEX(Setup!$F$3:$F$24,MATCH($C2961,Setup!$A$3:$A$24,0)),"")))</f>
        <v/>
      </c>
      <c r="F2961" s="28" t="str">
        <f aca="false">IF(OR($D2961="",$E2961=""),"",IFERROR($D2961*INDEX(Setup!$B$27:$B$44,MATCH($E2961,Setup!$A$27:$A$44,0)),"TBD"))</f>
        <v/>
      </c>
      <c r="G2961" s="32"/>
      <c r="H2961" s="32"/>
      <c r="I2961" s="32"/>
      <c r="J2961" s="32"/>
      <c r="K2961" s="35"/>
      <c r="L2961" s="32"/>
      <c r="M2961" s="32"/>
    </row>
    <row r="2962" customFormat="false" ht="15" hidden="false" customHeight="true" outlineLevel="0" collapsed="false">
      <c r="A2962" s="32"/>
      <c r="B2962" s="32"/>
      <c r="C2962" s="32"/>
      <c r="D2962" s="32"/>
      <c r="E2962" s="34" t="str">
        <f aca="false">IF($B2962="","",IF($B2962="OUT","Liters",IFERROR(INDEX(Setup!$F$3:$F$24,MATCH($C2962,Setup!$A$3:$A$24,0)),"")))</f>
        <v/>
      </c>
      <c r="F2962" s="28" t="str">
        <f aca="false">IF(OR($D2962="",$E2962=""),"",IFERROR($D2962*INDEX(Setup!$B$27:$B$44,MATCH($E2962,Setup!$A$27:$A$44,0)),"TBD"))</f>
        <v/>
      </c>
      <c r="G2962" s="32"/>
      <c r="H2962" s="32"/>
      <c r="I2962" s="32"/>
      <c r="J2962" s="32"/>
      <c r="K2962" s="35"/>
      <c r="L2962" s="32"/>
      <c r="M2962" s="32"/>
    </row>
    <row r="2963" customFormat="false" ht="15" hidden="false" customHeight="true" outlineLevel="0" collapsed="false">
      <c r="A2963" s="32"/>
      <c r="B2963" s="32"/>
      <c r="C2963" s="32"/>
      <c r="D2963" s="32"/>
      <c r="E2963" s="34" t="str">
        <f aca="false">IF($B2963="","",IF($B2963="OUT","Liters",IFERROR(INDEX(Setup!$F$3:$F$24,MATCH($C2963,Setup!$A$3:$A$24,0)),"")))</f>
        <v/>
      </c>
      <c r="F2963" s="28" t="str">
        <f aca="false">IF(OR($D2963="",$E2963=""),"",IFERROR($D2963*INDEX(Setup!$B$27:$B$44,MATCH($E2963,Setup!$A$27:$A$44,0)),"TBD"))</f>
        <v/>
      </c>
      <c r="G2963" s="32"/>
      <c r="H2963" s="32"/>
      <c r="I2963" s="32"/>
      <c r="J2963" s="32"/>
      <c r="K2963" s="35"/>
      <c r="L2963" s="32"/>
      <c r="M2963" s="32"/>
    </row>
    <row r="2964" customFormat="false" ht="15" hidden="false" customHeight="true" outlineLevel="0" collapsed="false">
      <c r="A2964" s="32"/>
      <c r="B2964" s="32"/>
      <c r="C2964" s="32"/>
      <c r="D2964" s="32"/>
      <c r="E2964" s="34" t="str">
        <f aca="false">IF($B2964="","",IF($B2964="OUT","Liters",IFERROR(INDEX(Setup!$F$3:$F$24,MATCH($C2964,Setup!$A$3:$A$24,0)),"")))</f>
        <v/>
      </c>
      <c r="F2964" s="28" t="str">
        <f aca="false">IF(OR($D2964="",$E2964=""),"",IFERROR($D2964*INDEX(Setup!$B$27:$B$44,MATCH($E2964,Setup!$A$27:$A$44,0)),"TBD"))</f>
        <v/>
      </c>
      <c r="G2964" s="32"/>
      <c r="H2964" s="32"/>
      <c r="I2964" s="32"/>
      <c r="J2964" s="32"/>
      <c r="K2964" s="35"/>
      <c r="L2964" s="32"/>
      <c r="M2964" s="32"/>
    </row>
    <row r="2965" customFormat="false" ht="15" hidden="false" customHeight="true" outlineLevel="0" collapsed="false">
      <c r="A2965" s="32"/>
      <c r="B2965" s="32"/>
      <c r="C2965" s="32"/>
      <c r="D2965" s="32"/>
      <c r="E2965" s="34" t="str">
        <f aca="false">IF($B2965="","",IF($B2965="OUT","Liters",IFERROR(INDEX(Setup!$F$3:$F$24,MATCH($C2965,Setup!$A$3:$A$24,0)),"")))</f>
        <v/>
      </c>
      <c r="F2965" s="28" t="str">
        <f aca="false">IF(OR($D2965="",$E2965=""),"",IFERROR($D2965*INDEX(Setup!$B$27:$B$44,MATCH($E2965,Setup!$A$27:$A$44,0)),"TBD"))</f>
        <v/>
      </c>
      <c r="G2965" s="32"/>
      <c r="H2965" s="32"/>
      <c r="I2965" s="32"/>
      <c r="J2965" s="32"/>
      <c r="K2965" s="35"/>
      <c r="L2965" s="32"/>
      <c r="M2965" s="32"/>
    </row>
    <row r="2966" customFormat="false" ht="15" hidden="false" customHeight="true" outlineLevel="0" collapsed="false">
      <c r="A2966" s="32"/>
      <c r="B2966" s="32"/>
      <c r="C2966" s="32"/>
      <c r="D2966" s="32"/>
      <c r="E2966" s="34" t="str">
        <f aca="false">IF($B2966="","",IF($B2966="OUT","Liters",IFERROR(INDEX(Setup!$F$3:$F$24,MATCH($C2966,Setup!$A$3:$A$24,0)),"")))</f>
        <v/>
      </c>
      <c r="F2966" s="28" t="str">
        <f aca="false">IF(OR($D2966="",$E2966=""),"",IFERROR($D2966*INDEX(Setup!$B$27:$B$44,MATCH($E2966,Setup!$A$27:$A$44,0)),"TBD"))</f>
        <v/>
      </c>
      <c r="G2966" s="32"/>
      <c r="H2966" s="32"/>
      <c r="I2966" s="32"/>
      <c r="J2966" s="32"/>
      <c r="K2966" s="35"/>
      <c r="L2966" s="32"/>
      <c r="M2966" s="32"/>
    </row>
    <row r="2967" customFormat="false" ht="15" hidden="false" customHeight="true" outlineLevel="0" collapsed="false">
      <c r="A2967" s="32"/>
      <c r="B2967" s="32"/>
      <c r="C2967" s="32"/>
      <c r="D2967" s="32"/>
      <c r="E2967" s="34" t="str">
        <f aca="false">IF($B2967="","",IF($B2967="OUT","Liters",IFERROR(INDEX(Setup!$F$3:$F$24,MATCH($C2967,Setup!$A$3:$A$24,0)),"")))</f>
        <v/>
      </c>
      <c r="F2967" s="28" t="str">
        <f aca="false">IF(OR($D2967="",$E2967=""),"",IFERROR($D2967*INDEX(Setup!$B$27:$B$44,MATCH($E2967,Setup!$A$27:$A$44,0)),"TBD"))</f>
        <v/>
      </c>
      <c r="G2967" s="32"/>
      <c r="H2967" s="32"/>
      <c r="I2967" s="32"/>
      <c r="J2967" s="32"/>
      <c r="K2967" s="35"/>
      <c r="L2967" s="32"/>
      <c r="M2967" s="32"/>
    </row>
    <row r="2968" customFormat="false" ht="15" hidden="false" customHeight="true" outlineLevel="0" collapsed="false">
      <c r="A2968" s="32"/>
      <c r="B2968" s="32"/>
      <c r="C2968" s="32"/>
      <c r="D2968" s="32"/>
      <c r="E2968" s="34" t="str">
        <f aca="false">IF($B2968="","",IF($B2968="OUT","Liters",IFERROR(INDEX(Setup!$F$3:$F$24,MATCH($C2968,Setup!$A$3:$A$24,0)),"")))</f>
        <v/>
      </c>
      <c r="F2968" s="28" t="str">
        <f aca="false">IF(OR($D2968="",$E2968=""),"",IFERROR($D2968*INDEX(Setup!$B$27:$B$44,MATCH($E2968,Setup!$A$27:$A$44,0)),"TBD"))</f>
        <v/>
      </c>
      <c r="G2968" s="32"/>
      <c r="H2968" s="32"/>
      <c r="I2968" s="32"/>
      <c r="J2968" s="32"/>
      <c r="K2968" s="35"/>
      <c r="L2968" s="32"/>
      <c r="M2968" s="32"/>
    </row>
    <row r="2969" customFormat="false" ht="15" hidden="false" customHeight="true" outlineLevel="0" collapsed="false">
      <c r="A2969" s="32"/>
      <c r="B2969" s="32"/>
      <c r="C2969" s="32"/>
      <c r="D2969" s="32"/>
      <c r="E2969" s="34" t="str">
        <f aca="false">IF($B2969="","",IF($B2969="OUT","Liters",IFERROR(INDEX(Setup!$F$3:$F$24,MATCH($C2969,Setup!$A$3:$A$24,0)),"")))</f>
        <v/>
      </c>
      <c r="F2969" s="28" t="str">
        <f aca="false">IF(OR($D2969="",$E2969=""),"",IFERROR($D2969*INDEX(Setup!$B$27:$B$44,MATCH($E2969,Setup!$A$27:$A$44,0)),"TBD"))</f>
        <v/>
      </c>
      <c r="G2969" s="32"/>
      <c r="H2969" s="32"/>
      <c r="I2969" s="32"/>
      <c r="J2969" s="32"/>
      <c r="K2969" s="35"/>
      <c r="L2969" s="32"/>
      <c r="M2969" s="32"/>
    </row>
    <row r="2970" customFormat="false" ht="15" hidden="false" customHeight="true" outlineLevel="0" collapsed="false">
      <c r="A2970" s="32"/>
      <c r="B2970" s="32"/>
      <c r="C2970" s="32"/>
      <c r="D2970" s="32"/>
      <c r="E2970" s="34" t="str">
        <f aca="false">IF($B2970="","",IF($B2970="OUT","Liters",IFERROR(INDEX(Setup!$F$3:$F$24,MATCH($C2970,Setup!$A$3:$A$24,0)),"")))</f>
        <v/>
      </c>
      <c r="F2970" s="28" t="str">
        <f aca="false">IF(OR($D2970="",$E2970=""),"",IFERROR($D2970*INDEX(Setup!$B$27:$B$44,MATCH($E2970,Setup!$A$27:$A$44,0)),"TBD"))</f>
        <v/>
      </c>
      <c r="G2970" s="32"/>
      <c r="H2970" s="32"/>
      <c r="I2970" s="32"/>
      <c r="J2970" s="32"/>
      <c r="K2970" s="35"/>
      <c r="L2970" s="32"/>
      <c r="M2970" s="32"/>
    </row>
    <row r="2971" customFormat="false" ht="15" hidden="false" customHeight="true" outlineLevel="0" collapsed="false">
      <c r="A2971" s="32"/>
      <c r="B2971" s="32"/>
      <c r="C2971" s="32"/>
      <c r="D2971" s="32"/>
      <c r="E2971" s="34" t="str">
        <f aca="false">IF($B2971="","",IF($B2971="OUT","Liters",IFERROR(INDEX(Setup!$F$3:$F$24,MATCH($C2971,Setup!$A$3:$A$24,0)),"")))</f>
        <v/>
      </c>
      <c r="F2971" s="28" t="str">
        <f aca="false">IF(OR($D2971="",$E2971=""),"",IFERROR($D2971*INDEX(Setup!$B$27:$B$44,MATCH($E2971,Setup!$A$27:$A$44,0)),"TBD"))</f>
        <v/>
      </c>
      <c r="G2971" s="32"/>
      <c r="H2971" s="32"/>
      <c r="I2971" s="32"/>
      <c r="J2971" s="32"/>
      <c r="K2971" s="35"/>
      <c r="L2971" s="32"/>
      <c r="M2971" s="32"/>
    </row>
    <row r="2972" customFormat="false" ht="15" hidden="false" customHeight="true" outlineLevel="0" collapsed="false">
      <c r="A2972" s="32"/>
      <c r="B2972" s="32"/>
      <c r="C2972" s="32"/>
      <c r="D2972" s="32"/>
      <c r="E2972" s="34" t="str">
        <f aca="false">IF($B2972="","",IF($B2972="OUT","Liters",IFERROR(INDEX(Setup!$F$3:$F$24,MATCH($C2972,Setup!$A$3:$A$24,0)),"")))</f>
        <v/>
      </c>
      <c r="F2972" s="28" t="str">
        <f aca="false">IF(OR($D2972="",$E2972=""),"",IFERROR($D2972*INDEX(Setup!$B$27:$B$44,MATCH($E2972,Setup!$A$27:$A$44,0)),"TBD"))</f>
        <v/>
      </c>
      <c r="G2972" s="32"/>
      <c r="H2972" s="32"/>
      <c r="I2972" s="32"/>
      <c r="J2972" s="32"/>
      <c r="K2972" s="35"/>
      <c r="L2972" s="32"/>
      <c r="M2972" s="32"/>
    </row>
    <row r="2973" customFormat="false" ht="15" hidden="false" customHeight="true" outlineLevel="0" collapsed="false">
      <c r="A2973" s="32"/>
      <c r="B2973" s="32"/>
      <c r="C2973" s="32"/>
      <c r="D2973" s="32"/>
      <c r="E2973" s="34" t="str">
        <f aca="false">IF($B2973="","",IF($B2973="OUT","Liters",IFERROR(INDEX(Setup!$F$3:$F$24,MATCH($C2973,Setup!$A$3:$A$24,0)),"")))</f>
        <v/>
      </c>
      <c r="F2973" s="28" t="str">
        <f aca="false">IF(OR($D2973="",$E2973=""),"",IFERROR($D2973*INDEX(Setup!$B$27:$B$44,MATCH($E2973,Setup!$A$27:$A$44,0)),"TBD"))</f>
        <v/>
      </c>
      <c r="G2973" s="32"/>
      <c r="H2973" s="32"/>
      <c r="I2973" s="32"/>
      <c r="J2973" s="32"/>
      <c r="K2973" s="35"/>
      <c r="L2973" s="32"/>
      <c r="M2973" s="32"/>
    </row>
    <row r="2974" customFormat="false" ht="15" hidden="false" customHeight="true" outlineLevel="0" collapsed="false">
      <c r="A2974" s="32"/>
      <c r="B2974" s="32"/>
      <c r="C2974" s="32"/>
      <c r="D2974" s="32"/>
      <c r="E2974" s="34" t="str">
        <f aca="false">IF($B2974="","",IF($B2974="OUT","Liters",IFERROR(INDEX(Setup!$F$3:$F$24,MATCH($C2974,Setup!$A$3:$A$24,0)),"")))</f>
        <v/>
      </c>
      <c r="F2974" s="28" t="str">
        <f aca="false">IF(OR($D2974="",$E2974=""),"",IFERROR($D2974*INDEX(Setup!$B$27:$B$44,MATCH($E2974,Setup!$A$27:$A$44,0)),"TBD"))</f>
        <v/>
      </c>
      <c r="G2974" s="32"/>
      <c r="H2974" s="32"/>
      <c r="I2974" s="32"/>
      <c r="J2974" s="32"/>
      <c r="K2974" s="35"/>
      <c r="L2974" s="32"/>
      <c r="M2974" s="32"/>
    </row>
    <row r="2975" customFormat="false" ht="15" hidden="false" customHeight="true" outlineLevel="0" collapsed="false">
      <c r="A2975" s="32"/>
      <c r="B2975" s="32"/>
      <c r="C2975" s="32"/>
      <c r="D2975" s="32"/>
      <c r="E2975" s="34" t="str">
        <f aca="false">IF($B2975="","",IF($B2975="OUT","Liters",IFERROR(INDEX(Setup!$F$3:$F$24,MATCH($C2975,Setup!$A$3:$A$24,0)),"")))</f>
        <v/>
      </c>
      <c r="F2975" s="28" t="str">
        <f aca="false">IF(OR($D2975="",$E2975=""),"",IFERROR($D2975*INDEX(Setup!$B$27:$B$44,MATCH($E2975,Setup!$A$27:$A$44,0)),"TBD"))</f>
        <v/>
      </c>
      <c r="G2975" s="32"/>
      <c r="H2975" s="32"/>
      <c r="I2975" s="32"/>
      <c r="J2975" s="32"/>
      <c r="K2975" s="35"/>
      <c r="L2975" s="32"/>
      <c r="M2975" s="32"/>
    </row>
    <row r="2976" customFormat="false" ht="15" hidden="false" customHeight="true" outlineLevel="0" collapsed="false">
      <c r="A2976" s="32"/>
      <c r="B2976" s="32"/>
      <c r="C2976" s="32"/>
      <c r="D2976" s="32"/>
      <c r="E2976" s="34" t="str">
        <f aca="false">IF($B2976="","",IF($B2976="OUT","Liters",IFERROR(INDEX(Setup!$F$3:$F$24,MATCH($C2976,Setup!$A$3:$A$24,0)),"")))</f>
        <v/>
      </c>
      <c r="F2976" s="28" t="str">
        <f aca="false">IF(OR($D2976="",$E2976=""),"",IFERROR($D2976*INDEX(Setup!$B$27:$B$44,MATCH($E2976,Setup!$A$27:$A$44,0)),"TBD"))</f>
        <v/>
      </c>
      <c r="G2976" s="32"/>
      <c r="H2976" s="32"/>
      <c r="I2976" s="32"/>
      <c r="J2976" s="32"/>
      <c r="K2976" s="35"/>
      <c r="L2976" s="32"/>
      <c r="M2976" s="32"/>
    </row>
    <row r="2977" customFormat="false" ht="15" hidden="false" customHeight="true" outlineLevel="0" collapsed="false">
      <c r="A2977" s="32"/>
      <c r="B2977" s="32"/>
      <c r="C2977" s="32"/>
      <c r="D2977" s="32"/>
      <c r="E2977" s="34" t="str">
        <f aca="false">IF($B2977="","",IF($B2977="OUT","Liters",IFERROR(INDEX(Setup!$F$3:$F$24,MATCH($C2977,Setup!$A$3:$A$24,0)),"")))</f>
        <v/>
      </c>
      <c r="F2977" s="28" t="str">
        <f aca="false">IF(OR($D2977="",$E2977=""),"",IFERROR($D2977*INDEX(Setup!$B$27:$B$44,MATCH($E2977,Setup!$A$27:$A$44,0)),"TBD"))</f>
        <v/>
      </c>
      <c r="G2977" s="32"/>
      <c r="H2977" s="32"/>
      <c r="I2977" s="32"/>
      <c r="J2977" s="32"/>
      <c r="K2977" s="35"/>
      <c r="L2977" s="32"/>
      <c r="M2977" s="32"/>
    </row>
    <row r="2978" customFormat="false" ht="15" hidden="false" customHeight="true" outlineLevel="0" collapsed="false">
      <c r="A2978" s="32"/>
      <c r="B2978" s="32"/>
      <c r="C2978" s="32"/>
      <c r="D2978" s="32"/>
      <c r="E2978" s="34" t="str">
        <f aca="false">IF($B2978="","",IF($B2978="OUT","Liters",IFERROR(INDEX(Setup!$F$3:$F$24,MATCH($C2978,Setup!$A$3:$A$24,0)),"")))</f>
        <v/>
      </c>
      <c r="F2978" s="28" t="str">
        <f aca="false">IF(OR($D2978="",$E2978=""),"",IFERROR($D2978*INDEX(Setup!$B$27:$B$44,MATCH($E2978,Setup!$A$27:$A$44,0)),"TBD"))</f>
        <v/>
      </c>
      <c r="G2978" s="32"/>
      <c r="H2978" s="32"/>
      <c r="I2978" s="32"/>
      <c r="J2978" s="32"/>
      <c r="K2978" s="35"/>
      <c r="L2978" s="32"/>
      <c r="M2978" s="32"/>
    </row>
    <row r="2979" customFormat="false" ht="15" hidden="false" customHeight="true" outlineLevel="0" collapsed="false">
      <c r="A2979" s="32"/>
      <c r="B2979" s="32"/>
      <c r="C2979" s="32"/>
      <c r="D2979" s="32"/>
      <c r="E2979" s="34" t="str">
        <f aca="false">IF($B2979="","",IF($B2979="OUT","Liters",IFERROR(INDEX(Setup!$F$3:$F$24,MATCH($C2979,Setup!$A$3:$A$24,0)),"")))</f>
        <v/>
      </c>
      <c r="F2979" s="28" t="str">
        <f aca="false">IF(OR($D2979="",$E2979=""),"",IFERROR($D2979*INDEX(Setup!$B$27:$B$44,MATCH($E2979,Setup!$A$27:$A$44,0)),"TBD"))</f>
        <v/>
      </c>
      <c r="G2979" s="32"/>
      <c r="H2979" s="32"/>
      <c r="I2979" s="32"/>
      <c r="J2979" s="32"/>
      <c r="K2979" s="35"/>
      <c r="L2979" s="32"/>
      <c r="M2979" s="32"/>
    </row>
    <row r="2980" customFormat="false" ht="15" hidden="false" customHeight="true" outlineLevel="0" collapsed="false">
      <c r="A2980" s="32"/>
      <c r="B2980" s="32"/>
      <c r="C2980" s="32"/>
      <c r="D2980" s="32"/>
      <c r="E2980" s="34" t="str">
        <f aca="false">IF($B2980="","",IF($B2980="OUT","Liters",IFERROR(INDEX(Setup!$F$3:$F$24,MATCH($C2980,Setup!$A$3:$A$24,0)),"")))</f>
        <v/>
      </c>
      <c r="F2980" s="28" t="str">
        <f aca="false">IF(OR($D2980="",$E2980=""),"",IFERROR($D2980*INDEX(Setup!$B$27:$B$44,MATCH($E2980,Setup!$A$27:$A$44,0)),"TBD"))</f>
        <v/>
      </c>
      <c r="G2980" s="32"/>
      <c r="H2980" s="32"/>
      <c r="I2980" s="32"/>
      <c r="J2980" s="32"/>
      <c r="K2980" s="35"/>
      <c r="L2980" s="32"/>
      <c r="M2980" s="32"/>
    </row>
    <row r="2981" customFormat="false" ht="15" hidden="false" customHeight="true" outlineLevel="0" collapsed="false">
      <c r="A2981" s="32"/>
      <c r="B2981" s="32"/>
      <c r="C2981" s="32"/>
      <c r="D2981" s="32"/>
      <c r="E2981" s="34" t="str">
        <f aca="false">IF($B2981="","",IF($B2981="OUT","Liters",IFERROR(INDEX(Setup!$F$3:$F$24,MATCH($C2981,Setup!$A$3:$A$24,0)),"")))</f>
        <v/>
      </c>
      <c r="F2981" s="28" t="str">
        <f aca="false">IF(OR($D2981="",$E2981=""),"",IFERROR($D2981*INDEX(Setup!$B$27:$B$44,MATCH($E2981,Setup!$A$27:$A$44,0)),"TBD"))</f>
        <v/>
      </c>
      <c r="G2981" s="32"/>
      <c r="H2981" s="32"/>
      <c r="I2981" s="32"/>
      <c r="J2981" s="32"/>
      <c r="K2981" s="35"/>
      <c r="L2981" s="32"/>
      <c r="M2981" s="32"/>
    </row>
    <row r="2982" customFormat="false" ht="15" hidden="false" customHeight="true" outlineLevel="0" collapsed="false">
      <c r="A2982" s="32"/>
      <c r="B2982" s="32"/>
      <c r="C2982" s="32"/>
      <c r="D2982" s="32"/>
      <c r="E2982" s="34" t="str">
        <f aca="false">IF($B2982="","",IF($B2982="OUT","Liters",IFERROR(INDEX(Setup!$F$3:$F$24,MATCH($C2982,Setup!$A$3:$A$24,0)),"")))</f>
        <v/>
      </c>
      <c r="F2982" s="28" t="str">
        <f aca="false">IF(OR($D2982="",$E2982=""),"",IFERROR($D2982*INDEX(Setup!$B$27:$B$44,MATCH($E2982,Setup!$A$27:$A$44,0)),"TBD"))</f>
        <v/>
      </c>
      <c r="G2982" s="32"/>
      <c r="H2982" s="32"/>
      <c r="I2982" s="32"/>
      <c r="J2982" s="32"/>
      <c r="K2982" s="35"/>
      <c r="L2982" s="32"/>
      <c r="M2982" s="32"/>
    </row>
    <row r="2983" customFormat="false" ht="15" hidden="false" customHeight="true" outlineLevel="0" collapsed="false">
      <c r="A2983" s="32"/>
      <c r="B2983" s="32"/>
      <c r="C2983" s="32"/>
      <c r="D2983" s="32"/>
      <c r="E2983" s="34" t="str">
        <f aca="false">IF($B2983="","",IF($B2983="OUT","Liters",IFERROR(INDEX(Setup!$F$3:$F$24,MATCH($C2983,Setup!$A$3:$A$24,0)),"")))</f>
        <v/>
      </c>
      <c r="F2983" s="28" t="str">
        <f aca="false">IF(OR($D2983="",$E2983=""),"",IFERROR($D2983*INDEX(Setup!$B$27:$B$44,MATCH($E2983,Setup!$A$27:$A$44,0)),"TBD"))</f>
        <v/>
      </c>
      <c r="G2983" s="32"/>
      <c r="H2983" s="32"/>
      <c r="I2983" s="32"/>
      <c r="J2983" s="32"/>
      <c r="K2983" s="35"/>
      <c r="L2983" s="32"/>
      <c r="M2983" s="32"/>
    </row>
    <row r="2984" customFormat="false" ht="15" hidden="false" customHeight="true" outlineLevel="0" collapsed="false">
      <c r="A2984" s="32"/>
      <c r="B2984" s="32"/>
      <c r="C2984" s="32"/>
      <c r="D2984" s="32"/>
      <c r="E2984" s="34" t="str">
        <f aca="false">IF($B2984="","",IF($B2984="OUT","Liters",IFERROR(INDEX(Setup!$F$3:$F$24,MATCH($C2984,Setup!$A$3:$A$24,0)),"")))</f>
        <v/>
      </c>
      <c r="F2984" s="28" t="str">
        <f aca="false">IF(OR($D2984="",$E2984=""),"",IFERROR($D2984*INDEX(Setup!$B$27:$B$44,MATCH($E2984,Setup!$A$27:$A$44,0)),"TBD"))</f>
        <v/>
      </c>
      <c r="G2984" s="32"/>
      <c r="H2984" s="32"/>
      <c r="I2984" s="32"/>
      <c r="J2984" s="32"/>
      <c r="K2984" s="35"/>
      <c r="L2984" s="32"/>
      <c r="M2984" s="32"/>
    </row>
    <row r="2985" customFormat="false" ht="15" hidden="false" customHeight="true" outlineLevel="0" collapsed="false">
      <c r="A2985" s="32"/>
      <c r="B2985" s="32"/>
      <c r="C2985" s="32"/>
      <c r="D2985" s="32"/>
      <c r="E2985" s="34" t="str">
        <f aca="false">IF($B2985="","",IF($B2985="OUT","Liters",IFERROR(INDEX(Setup!$F$3:$F$24,MATCH($C2985,Setup!$A$3:$A$24,0)),"")))</f>
        <v/>
      </c>
      <c r="F2985" s="28" t="str">
        <f aca="false">IF(OR($D2985="",$E2985=""),"",IFERROR($D2985*INDEX(Setup!$B$27:$B$44,MATCH($E2985,Setup!$A$27:$A$44,0)),"TBD"))</f>
        <v/>
      </c>
      <c r="G2985" s="32"/>
      <c r="H2985" s="32"/>
      <c r="I2985" s="32"/>
      <c r="J2985" s="32"/>
      <c r="K2985" s="35"/>
      <c r="L2985" s="32"/>
      <c r="M2985" s="32"/>
    </row>
    <row r="2986" customFormat="false" ht="15" hidden="false" customHeight="true" outlineLevel="0" collapsed="false">
      <c r="A2986" s="32"/>
      <c r="B2986" s="32"/>
      <c r="C2986" s="32"/>
      <c r="D2986" s="32"/>
      <c r="E2986" s="34" t="str">
        <f aca="false">IF($B2986="","",IF($B2986="OUT","Liters",IFERROR(INDEX(Setup!$F$3:$F$24,MATCH($C2986,Setup!$A$3:$A$24,0)),"")))</f>
        <v/>
      </c>
      <c r="F2986" s="28" t="str">
        <f aca="false">IF(OR($D2986="",$E2986=""),"",IFERROR($D2986*INDEX(Setup!$B$27:$B$44,MATCH($E2986,Setup!$A$27:$A$44,0)),"TBD"))</f>
        <v/>
      </c>
      <c r="G2986" s="32"/>
      <c r="H2986" s="32"/>
      <c r="I2986" s="32"/>
      <c r="J2986" s="32"/>
      <c r="K2986" s="35"/>
      <c r="L2986" s="32"/>
      <c r="M2986" s="32"/>
    </row>
    <row r="2987" customFormat="false" ht="15" hidden="false" customHeight="true" outlineLevel="0" collapsed="false">
      <c r="A2987" s="32"/>
      <c r="B2987" s="32"/>
      <c r="C2987" s="32"/>
      <c r="D2987" s="32"/>
      <c r="E2987" s="34" t="str">
        <f aca="false">IF($B2987="","",IF($B2987="OUT","Liters",IFERROR(INDEX(Setup!$F$3:$F$24,MATCH($C2987,Setup!$A$3:$A$24,0)),"")))</f>
        <v/>
      </c>
      <c r="F2987" s="28" t="str">
        <f aca="false">IF(OR($D2987="",$E2987=""),"",IFERROR($D2987*INDEX(Setup!$B$27:$B$44,MATCH($E2987,Setup!$A$27:$A$44,0)),"TBD"))</f>
        <v/>
      </c>
      <c r="G2987" s="32"/>
      <c r="H2987" s="32"/>
      <c r="I2987" s="32"/>
      <c r="J2987" s="32"/>
      <c r="K2987" s="35"/>
      <c r="L2987" s="32"/>
      <c r="M2987" s="32"/>
    </row>
    <row r="2988" customFormat="false" ht="15" hidden="false" customHeight="true" outlineLevel="0" collapsed="false">
      <c r="A2988" s="32"/>
      <c r="B2988" s="32"/>
      <c r="C2988" s="32"/>
      <c r="D2988" s="32"/>
      <c r="E2988" s="34" t="str">
        <f aca="false">IF($B2988="","",IF($B2988="OUT","Liters",IFERROR(INDEX(Setup!$F$3:$F$24,MATCH($C2988,Setup!$A$3:$A$24,0)),"")))</f>
        <v/>
      </c>
      <c r="F2988" s="28" t="str">
        <f aca="false">IF(OR($D2988="",$E2988=""),"",IFERROR($D2988*INDEX(Setup!$B$27:$B$44,MATCH($E2988,Setup!$A$27:$A$44,0)),"TBD"))</f>
        <v/>
      </c>
      <c r="G2988" s="32"/>
      <c r="H2988" s="32"/>
      <c r="I2988" s="32"/>
      <c r="J2988" s="32"/>
      <c r="K2988" s="35"/>
      <c r="L2988" s="32"/>
      <c r="M2988" s="32"/>
    </row>
    <row r="2989" customFormat="false" ht="15" hidden="false" customHeight="true" outlineLevel="0" collapsed="false">
      <c r="A2989" s="32"/>
      <c r="B2989" s="32"/>
      <c r="C2989" s="32"/>
      <c r="D2989" s="32"/>
      <c r="E2989" s="34" t="str">
        <f aca="false">IF($B2989="","",IF($B2989="OUT","Liters",IFERROR(INDEX(Setup!$F$3:$F$24,MATCH($C2989,Setup!$A$3:$A$24,0)),"")))</f>
        <v/>
      </c>
      <c r="F2989" s="28" t="str">
        <f aca="false">IF(OR($D2989="",$E2989=""),"",IFERROR($D2989*INDEX(Setup!$B$27:$B$44,MATCH($E2989,Setup!$A$27:$A$44,0)),"TBD"))</f>
        <v/>
      </c>
      <c r="G2989" s="32"/>
      <c r="H2989" s="32"/>
      <c r="I2989" s="32"/>
      <c r="J2989" s="32"/>
      <c r="K2989" s="35"/>
      <c r="L2989" s="32"/>
      <c r="M2989" s="32"/>
    </row>
    <row r="2990" customFormat="false" ht="15" hidden="false" customHeight="true" outlineLevel="0" collapsed="false">
      <c r="A2990" s="32"/>
      <c r="B2990" s="32"/>
      <c r="C2990" s="32"/>
      <c r="D2990" s="32"/>
      <c r="E2990" s="34" t="str">
        <f aca="false">IF($B2990="","",IF($B2990="OUT","Liters",IFERROR(INDEX(Setup!$F$3:$F$24,MATCH($C2990,Setup!$A$3:$A$24,0)),"")))</f>
        <v/>
      </c>
      <c r="F2990" s="28" t="str">
        <f aca="false">IF(OR($D2990="",$E2990=""),"",IFERROR($D2990*INDEX(Setup!$B$27:$B$44,MATCH($E2990,Setup!$A$27:$A$44,0)),"TBD"))</f>
        <v/>
      </c>
      <c r="G2990" s="32"/>
      <c r="H2990" s="32"/>
      <c r="I2990" s="32"/>
      <c r="J2990" s="32"/>
      <c r="K2990" s="35"/>
      <c r="L2990" s="32"/>
      <c r="M2990" s="32"/>
    </row>
    <row r="2991" customFormat="false" ht="15" hidden="false" customHeight="true" outlineLevel="0" collapsed="false">
      <c r="A2991" s="32"/>
      <c r="B2991" s="32"/>
      <c r="C2991" s="32"/>
      <c r="D2991" s="32"/>
      <c r="E2991" s="34" t="str">
        <f aca="false">IF($B2991="","",IF($B2991="OUT","Liters",IFERROR(INDEX(Setup!$F$3:$F$24,MATCH($C2991,Setup!$A$3:$A$24,0)),"")))</f>
        <v/>
      </c>
      <c r="F2991" s="28" t="str">
        <f aca="false">IF(OR($D2991="",$E2991=""),"",IFERROR($D2991*INDEX(Setup!$B$27:$B$44,MATCH($E2991,Setup!$A$27:$A$44,0)),"TBD"))</f>
        <v/>
      </c>
      <c r="G2991" s="32"/>
      <c r="H2991" s="32"/>
      <c r="I2991" s="32"/>
      <c r="J2991" s="32"/>
      <c r="K2991" s="35"/>
      <c r="L2991" s="32"/>
      <c r="M2991" s="32"/>
    </row>
    <row r="2992" customFormat="false" ht="15" hidden="false" customHeight="true" outlineLevel="0" collapsed="false">
      <c r="A2992" s="32"/>
      <c r="B2992" s="32"/>
      <c r="C2992" s="32"/>
      <c r="D2992" s="32"/>
      <c r="E2992" s="34" t="str">
        <f aca="false">IF($B2992="","",IF($B2992="OUT","Liters",IFERROR(INDEX(Setup!$F$3:$F$24,MATCH($C2992,Setup!$A$3:$A$24,0)),"")))</f>
        <v/>
      </c>
      <c r="F2992" s="28" t="str">
        <f aca="false">IF(OR($D2992="",$E2992=""),"",IFERROR($D2992*INDEX(Setup!$B$27:$B$44,MATCH($E2992,Setup!$A$27:$A$44,0)),"TBD"))</f>
        <v/>
      </c>
      <c r="G2992" s="32"/>
      <c r="H2992" s="32"/>
      <c r="I2992" s="32"/>
      <c r="J2992" s="32"/>
      <c r="K2992" s="35"/>
      <c r="L2992" s="32"/>
      <c r="M2992" s="32"/>
    </row>
    <row r="2993" customFormat="false" ht="15" hidden="false" customHeight="true" outlineLevel="0" collapsed="false">
      <c r="A2993" s="32"/>
      <c r="B2993" s="32"/>
      <c r="C2993" s="32"/>
      <c r="D2993" s="32"/>
      <c r="E2993" s="34" t="str">
        <f aca="false">IF($B2993="","",IF($B2993="OUT","Liters",IFERROR(INDEX(Setup!$F$3:$F$24,MATCH($C2993,Setup!$A$3:$A$24,0)),"")))</f>
        <v/>
      </c>
      <c r="F2993" s="28" t="str">
        <f aca="false">IF(OR($D2993="",$E2993=""),"",IFERROR($D2993*INDEX(Setup!$B$27:$B$44,MATCH($E2993,Setup!$A$27:$A$44,0)),"TBD"))</f>
        <v/>
      </c>
      <c r="G2993" s="32"/>
      <c r="H2993" s="32"/>
      <c r="I2993" s="32"/>
      <c r="J2993" s="32"/>
      <c r="K2993" s="35"/>
      <c r="L2993" s="32"/>
      <c r="M2993" s="32"/>
    </row>
    <row r="2994" customFormat="false" ht="15" hidden="false" customHeight="true" outlineLevel="0" collapsed="false">
      <c r="A2994" s="32"/>
      <c r="B2994" s="32"/>
      <c r="C2994" s="32"/>
      <c r="D2994" s="32"/>
      <c r="E2994" s="34" t="str">
        <f aca="false">IF($B2994="","",IF($B2994="OUT","Liters",IFERROR(INDEX(Setup!$F$3:$F$24,MATCH($C2994,Setup!$A$3:$A$24,0)),"")))</f>
        <v/>
      </c>
      <c r="F2994" s="28" t="str">
        <f aca="false">IF(OR($D2994="",$E2994=""),"",IFERROR($D2994*INDEX(Setup!$B$27:$B$44,MATCH($E2994,Setup!$A$27:$A$44,0)),"TBD"))</f>
        <v/>
      </c>
      <c r="G2994" s="32"/>
      <c r="H2994" s="32"/>
      <c r="I2994" s="32"/>
      <c r="J2994" s="32"/>
      <c r="K2994" s="35"/>
      <c r="L2994" s="32"/>
      <c r="M2994" s="32"/>
    </row>
    <row r="2995" customFormat="false" ht="15" hidden="false" customHeight="true" outlineLevel="0" collapsed="false">
      <c r="A2995" s="32"/>
      <c r="B2995" s="32"/>
      <c r="C2995" s="32"/>
      <c r="D2995" s="32"/>
      <c r="E2995" s="34" t="str">
        <f aca="false">IF($B2995="","",IF($B2995="OUT","Liters",IFERROR(INDEX(Setup!$F$3:$F$24,MATCH($C2995,Setup!$A$3:$A$24,0)),"")))</f>
        <v/>
      </c>
      <c r="F2995" s="28" t="str">
        <f aca="false">IF(OR($D2995="",$E2995=""),"",IFERROR($D2995*INDEX(Setup!$B$27:$B$44,MATCH($E2995,Setup!$A$27:$A$44,0)),"TBD"))</f>
        <v/>
      </c>
      <c r="G2995" s="32"/>
      <c r="H2995" s="32"/>
      <c r="I2995" s="32"/>
      <c r="J2995" s="32"/>
      <c r="K2995" s="35"/>
      <c r="L2995" s="32"/>
      <c r="M2995" s="32"/>
    </row>
    <row r="2996" customFormat="false" ht="15" hidden="false" customHeight="true" outlineLevel="0" collapsed="false">
      <c r="A2996" s="32"/>
      <c r="B2996" s="32"/>
      <c r="C2996" s="32"/>
      <c r="D2996" s="32"/>
      <c r="E2996" s="34" t="str">
        <f aca="false">IF($B2996="","",IF($B2996="OUT","Liters",IFERROR(INDEX(Setup!$F$3:$F$24,MATCH($C2996,Setup!$A$3:$A$24,0)),"")))</f>
        <v/>
      </c>
      <c r="F2996" s="28" t="str">
        <f aca="false">IF(OR($D2996="",$E2996=""),"",IFERROR($D2996*INDEX(Setup!$B$27:$B$44,MATCH($E2996,Setup!$A$27:$A$44,0)),"TBD"))</f>
        <v/>
      </c>
      <c r="G2996" s="32"/>
      <c r="H2996" s="32"/>
      <c r="I2996" s="32"/>
      <c r="J2996" s="32"/>
      <c r="K2996" s="35"/>
      <c r="L2996" s="32"/>
      <c r="M2996" s="32"/>
    </row>
    <row r="2997" customFormat="false" ht="15" hidden="false" customHeight="true" outlineLevel="0" collapsed="false">
      <c r="A2997" s="32"/>
      <c r="B2997" s="32"/>
      <c r="C2997" s="32"/>
      <c r="D2997" s="32"/>
      <c r="E2997" s="34" t="str">
        <f aca="false">IF($B2997="","",IF($B2997="OUT","Liters",IFERROR(INDEX(Setup!$F$3:$F$24,MATCH($C2997,Setup!$A$3:$A$24,0)),"")))</f>
        <v/>
      </c>
      <c r="F2997" s="28" t="str">
        <f aca="false">IF(OR($D2997="",$E2997=""),"",IFERROR($D2997*INDEX(Setup!$B$27:$B$44,MATCH($E2997,Setup!$A$27:$A$44,0)),"TBD"))</f>
        <v/>
      </c>
      <c r="G2997" s="32"/>
      <c r="H2997" s="32"/>
      <c r="I2997" s="32"/>
      <c r="J2997" s="32"/>
      <c r="K2997" s="35"/>
      <c r="L2997" s="32"/>
      <c r="M2997" s="32"/>
    </row>
    <row r="2998" customFormat="false" ht="15" hidden="false" customHeight="true" outlineLevel="0" collapsed="false">
      <c r="A2998" s="32"/>
      <c r="B2998" s="32"/>
      <c r="C2998" s="32"/>
      <c r="D2998" s="32"/>
      <c r="E2998" s="34" t="str">
        <f aca="false">IF($B2998="","",IF($B2998="OUT","Liters",IFERROR(INDEX(Setup!$F$3:$F$24,MATCH($C2998,Setup!$A$3:$A$24,0)),"")))</f>
        <v/>
      </c>
      <c r="F2998" s="28" t="str">
        <f aca="false">IF(OR($D2998="",$E2998=""),"",IFERROR($D2998*INDEX(Setup!$B$27:$B$44,MATCH($E2998,Setup!$A$27:$A$44,0)),"TBD"))</f>
        <v/>
      </c>
      <c r="G2998" s="32"/>
      <c r="H2998" s="32"/>
      <c r="I2998" s="32"/>
      <c r="J2998" s="32"/>
      <c r="K2998" s="35"/>
      <c r="L2998" s="32"/>
      <c r="M2998" s="32"/>
    </row>
    <row r="2999" customFormat="false" ht="15" hidden="false" customHeight="true" outlineLevel="0" collapsed="false">
      <c r="A2999" s="32"/>
      <c r="B2999" s="32"/>
      <c r="C2999" s="32"/>
      <c r="D2999" s="32"/>
      <c r="E2999" s="34" t="str">
        <f aca="false">IF($B2999="","",IF($B2999="OUT","Liters",IFERROR(INDEX(Setup!$F$3:$F$24,MATCH($C2999,Setup!$A$3:$A$24,0)),"")))</f>
        <v/>
      </c>
      <c r="F2999" s="28" t="str">
        <f aca="false">IF(OR($D2999="",$E2999=""),"",IFERROR($D2999*INDEX(Setup!$B$27:$B$44,MATCH($E2999,Setup!$A$27:$A$44,0)),"TBD"))</f>
        <v/>
      </c>
      <c r="G2999" s="32"/>
      <c r="H2999" s="32"/>
      <c r="I2999" s="32"/>
      <c r="J2999" s="32"/>
      <c r="K2999" s="35"/>
      <c r="L2999" s="32"/>
      <c r="M2999" s="32"/>
    </row>
    <row r="3000" customFormat="false" ht="15" hidden="false" customHeight="true" outlineLevel="0" collapsed="false">
      <c r="A3000" s="32"/>
      <c r="B3000" s="32"/>
      <c r="C3000" s="32"/>
      <c r="D3000" s="32"/>
      <c r="E3000" s="34" t="str">
        <f aca="false">IF($B3000="","",IF($B3000="OUT","Liters",IFERROR(INDEX(Setup!$F$3:$F$24,MATCH($C3000,Setup!$A$3:$A$24,0)),"")))</f>
        <v/>
      </c>
      <c r="F3000" s="28" t="str">
        <f aca="false">IF(OR($D3000="",$E3000=""),"",IFERROR($D3000*INDEX(Setup!$B$27:$B$44,MATCH($E3000,Setup!$A$27:$A$44,0)),"TBD"))</f>
        <v/>
      </c>
      <c r="G3000" s="32"/>
      <c r="H3000" s="32"/>
      <c r="I3000" s="32"/>
      <c r="J3000" s="32"/>
      <c r="K3000" s="35"/>
      <c r="L3000" s="32"/>
      <c r="M3000" s="32"/>
    </row>
    <row r="3001" customFormat="false" ht="15" hidden="false" customHeight="true" outlineLevel="0" collapsed="false">
      <c r="A3001" s="32"/>
      <c r="B3001" s="32"/>
      <c r="C3001" s="32"/>
      <c r="D3001" s="32"/>
      <c r="E3001" s="34" t="str">
        <f aca="false">IF($B3001="","",IF($B3001="OUT","Liters",IFERROR(INDEX(Setup!$F$3:$F$24,MATCH($C3001,Setup!$A$3:$A$24,0)),"")))</f>
        <v/>
      </c>
      <c r="F3001" s="28" t="str">
        <f aca="false">IF(OR($D3001="",$E3001=""),"",IFERROR($D3001*INDEX(Setup!$B$27:$B$44,MATCH($E3001,Setup!$A$27:$A$44,0)),"TBD"))</f>
        <v/>
      </c>
      <c r="G3001" s="32"/>
      <c r="H3001" s="32"/>
      <c r="I3001" s="32"/>
      <c r="J3001" s="32"/>
      <c r="K3001" s="35"/>
      <c r="L3001" s="32"/>
      <c r="M3001" s="32"/>
    </row>
    <row r="3002" customFormat="false" ht="15" hidden="false" customHeight="true" outlineLevel="0" collapsed="false">
      <c r="A3002" s="32"/>
      <c r="B3002" s="32"/>
      <c r="C3002" s="32"/>
      <c r="D3002" s="32"/>
      <c r="E3002" s="34" t="str">
        <f aca="false">IF($B3002="","",IF($B3002="OUT","Liters",IFERROR(INDEX(Setup!$F$3:$F$24,MATCH($C3002,Setup!$A$3:$A$24,0)),"")))</f>
        <v/>
      </c>
      <c r="F3002" s="28" t="str">
        <f aca="false">IF(OR($D3002="",$E3002=""),"",IFERROR($D3002*INDEX(Setup!$B$27:$B$44,MATCH($E3002,Setup!$A$27:$A$44,0)),"TBD"))</f>
        <v/>
      </c>
      <c r="G3002" s="32"/>
      <c r="H3002" s="32"/>
      <c r="I3002" s="32"/>
      <c r="J3002" s="32"/>
      <c r="K3002" s="35"/>
      <c r="L3002" s="32"/>
      <c r="M3002" s="32"/>
    </row>
    <row r="3003" customFormat="false" ht="15" hidden="false" customHeight="true" outlineLevel="0" collapsed="false">
      <c r="A3003" s="32"/>
      <c r="B3003" s="32"/>
      <c r="C3003" s="32"/>
      <c r="D3003" s="32"/>
      <c r="E3003" s="34" t="str">
        <f aca="false">IF($B3003="","",IF($B3003="OUT","Liters",IFERROR(INDEX(Setup!$F$3:$F$24,MATCH($C3003,Setup!$A$3:$A$24,0)),"")))</f>
        <v/>
      </c>
      <c r="F3003" s="28" t="str">
        <f aca="false">IF(OR($D3003="",$E3003=""),"",IFERROR($D3003*INDEX(Setup!$B$27:$B$44,MATCH($E3003,Setup!$A$27:$A$44,0)),"TBD"))</f>
        <v/>
      </c>
      <c r="G3003" s="32"/>
      <c r="H3003" s="32"/>
      <c r="I3003" s="32"/>
      <c r="J3003" s="32"/>
      <c r="K3003" s="35"/>
      <c r="L3003" s="32"/>
      <c r="M3003" s="32"/>
    </row>
    <row r="3004" customFormat="false" ht="15" hidden="false" customHeight="true" outlineLevel="0" collapsed="false">
      <c r="A3004" s="32"/>
      <c r="B3004" s="32"/>
      <c r="C3004" s="32"/>
      <c r="D3004" s="32"/>
      <c r="E3004" s="34" t="str">
        <f aca="false">IF($B3004="","",IF($B3004="OUT","Liters",IFERROR(INDEX(Setup!$F$3:$F$24,MATCH($C3004,Setup!$A$3:$A$24,0)),"")))</f>
        <v/>
      </c>
      <c r="F3004" s="28" t="str">
        <f aca="false">IF(OR($D3004="",$E3004=""),"",IFERROR($D3004*INDEX(Setup!$B$27:$B$44,MATCH($E3004,Setup!$A$27:$A$44,0)),"TBD"))</f>
        <v/>
      </c>
      <c r="G3004" s="32"/>
      <c r="H3004" s="32"/>
      <c r="I3004" s="32"/>
      <c r="J3004" s="32"/>
      <c r="K3004" s="35"/>
      <c r="L3004" s="32"/>
      <c r="M3004" s="32"/>
    </row>
    <row r="3005" customFormat="false" ht="15" hidden="false" customHeight="true" outlineLevel="0" collapsed="false">
      <c r="A3005" s="32"/>
      <c r="B3005" s="32"/>
      <c r="C3005" s="32"/>
      <c r="D3005" s="32"/>
      <c r="E3005" s="34" t="str">
        <f aca="false">IF($B3005="","",IF($B3005="OUT","Liters",IFERROR(INDEX(Setup!$F$3:$F$24,MATCH($C3005,Setup!$A$3:$A$24,0)),"")))</f>
        <v/>
      </c>
      <c r="F3005" s="28" t="str">
        <f aca="false">IF(OR($D3005="",$E3005=""),"",IFERROR($D3005*INDEX(Setup!$B$27:$B$44,MATCH($E3005,Setup!$A$27:$A$44,0)),"TBD"))</f>
        <v/>
      </c>
      <c r="G3005" s="32"/>
      <c r="H3005" s="32"/>
      <c r="I3005" s="32"/>
      <c r="J3005" s="32"/>
      <c r="K3005" s="35"/>
      <c r="L3005" s="32"/>
      <c r="M3005" s="32"/>
    </row>
    <row r="3006" customFormat="false" ht="15" hidden="false" customHeight="true" outlineLevel="0" collapsed="false">
      <c r="A3006" s="32"/>
      <c r="B3006" s="32"/>
      <c r="C3006" s="32"/>
      <c r="D3006" s="32"/>
      <c r="E3006" s="34" t="str">
        <f aca="false">IF($B3006="","",IF($B3006="OUT","Liters",IFERROR(INDEX(Setup!$F$3:$F$24,MATCH($C3006,Setup!$A$3:$A$24,0)),"")))</f>
        <v/>
      </c>
      <c r="F3006" s="28" t="str">
        <f aca="false">IF(OR($D3006="",$E3006=""),"",IFERROR($D3006*INDEX(Setup!$B$27:$B$44,MATCH($E3006,Setup!$A$27:$A$44,0)),"TBD"))</f>
        <v/>
      </c>
      <c r="G3006" s="32"/>
      <c r="H3006" s="32"/>
      <c r="I3006" s="32"/>
      <c r="J3006" s="32"/>
      <c r="K3006" s="35"/>
      <c r="L3006" s="32"/>
      <c r="M3006" s="32"/>
    </row>
    <row r="3007" customFormat="false" ht="15" hidden="false" customHeight="true" outlineLevel="0" collapsed="false">
      <c r="A3007" s="32"/>
      <c r="B3007" s="32"/>
      <c r="C3007" s="32"/>
      <c r="D3007" s="32"/>
      <c r="E3007" s="34" t="str">
        <f aca="false">IF($B3007="","",IF($B3007="OUT","Liters",IFERROR(INDEX(Setup!$F$3:$F$24,MATCH($C3007,Setup!$A$3:$A$24,0)),"")))</f>
        <v/>
      </c>
      <c r="F3007" s="28" t="str">
        <f aca="false">IF(OR($D3007="",$E3007=""),"",IFERROR($D3007*INDEX(Setup!$B$27:$B$44,MATCH($E3007,Setup!$A$27:$A$44,0)),"TBD"))</f>
        <v/>
      </c>
      <c r="G3007" s="32"/>
      <c r="H3007" s="32"/>
      <c r="I3007" s="32"/>
      <c r="J3007" s="32"/>
      <c r="K3007" s="35"/>
      <c r="L3007" s="32"/>
      <c r="M3007" s="32"/>
    </row>
    <row r="3008" customFormat="false" ht="15" hidden="false" customHeight="true" outlineLevel="0" collapsed="false">
      <c r="A3008" s="32"/>
      <c r="B3008" s="32"/>
      <c r="C3008" s="32"/>
      <c r="D3008" s="32"/>
      <c r="E3008" s="34" t="str">
        <f aca="false">IF($B3008="","",IF($B3008="OUT","Liters",IFERROR(INDEX(Setup!$F$3:$F$24,MATCH($C3008,Setup!$A$3:$A$24,0)),"")))</f>
        <v/>
      </c>
      <c r="F3008" s="28" t="str">
        <f aca="false">IF(OR($D3008="",$E3008=""),"",IFERROR($D3008*INDEX(Setup!$B$27:$B$44,MATCH($E3008,Setup!$A$27:$A$44,0)),"TBD"))</f>
        <v/>
      </c>
      <c r="G3008" s="32"/>
      <c r="H3008" s="32"/>
      <c r="I3008" s="32"/>
      <c r="J3008" s="32"/>
      <c r="K3008" s="35"/>
      <c r="L3008" s="32"/>
      <c r="M3008" s="32"/>
    </row>
    <row r="3009" customFormat="false" ht="15" hidden="false" customHeight="true" outlineLevel="0" collapsed="false">
      <c r="A3009" s="32"/>
      <c r="B3009" s="32"/>
      <c r="C3009" s="32"/>
      <c r="D3009" s="32"/>
      <c r="E3009" s="34" t="str">
        <f aca="false">IF($B3009="","",IF($B3009="OUT","Liters",IFERROR(INDEX(Setup!$F$3:$F$24,MATCH($C3009,Setup!$A$3:$A$24,0)),"")))</f>
        <v/>
      </c>
      <c r="F3009" s="28" t="str">
        <f aca="false">IF(OR($D3009="",$E3009=""),"",IFERROR($D3009*INDEX(Setup!$B$27:$B$44,MATCH($E3009,Setup!$A$27:$A$44,0)),"TBD"))</f>
        <v/>
      </c>
      <c r="G3009" s="32"/>
      <c r="H3009" s="32"/>
      <c r="I3009" s="32"/>
      <c r="J3009" s="32"/>
      <c r="K3009" s="35"/>
      <c r="L3009" s="32"/>
      <c r="M3009" s="32"/>
    </row>
    <row r="3010" customFormat="false" ht="15" hidden="false" customHeight="true" outlineLevel="0" collapsed="false">
      <c r="A3010" s="32"/>
      <c r="B3010" s="32"/>
      <c r="C3010" s="32"/>
      <c r="D3010" s="32"/>
      <c r="E3010" s="34" t="str">
        <f aca="false">IF($B3010="","",IF($B3010="OUT","Liters",IFERROR(INDEX(Setup!$F$3:$F$24,MATCH($C3010,Setup!$A$3:$A$24,0)),"")))</f>
        <v/>
      </c>
      <c r="F3010" s="28" t="str">
        <f aca="false">IF(OR($D3010="",$E3010=""),"",IFERROR($D3010*INDEX(Setup!$B$27:$B$44,MATCH($E3010,Setup!$A$27:$A$44,0)),"TBD"))</f>
        <v/>
      </c>
      <c r="G3010" s="32"/>
      <c r="H3010" s="32"/>
      <c r="I3010" s="32"/>
      <c r="J3010" s="32"/>
      <c r="K3010" s="35"/>
      <c r="L3010" s="32"/>
      <c r="M3010" s="32"/>
    </row>
    <row r="3011" customFormat="false" ht="15" hidden="false" customHeight="true" outlineLevel="0" collapsed="false">
      <c r="A3011" s="32"/>
      <c r="B3011" s="32"/>
      <c r="C3011" s="32"/>
      <c r="D3011" s="32"/>
      <c r="E3011" s="34" t="str">
        <f aca="false">IF($B3011="","",IF($B3011="OUT","Liters",IFERROR(INDEX(Setup!$F$3:$F$24,MATCH($C3011,Setup!$A$3:$A$24,0)),"")))</f>
        <v/>
      </c>
      <c r="F3011" s="28" t="str">
        <f aca="false">IF(OR($D3011="",$E3011=""),"",IFERROR($D3011*INDEX(Setup!$B$27:$B$44,MATCH($E3011,Setup!$A$27:$A$44,0)),"TBD"))</f>
        <v/>
      </c>
      <c r="G3011" s="32"/>
      <c r="H3011" s="32"/>
      <c r="I3011" s="32"/>
      <c r="J3011" s="32"/>
      <c r="K3011" s="35"/>
      <c r="L3011" s="32"/>
      <c r="M3011" s="32"/>
    </row>
    <row r="3012" customFormat="false" ht="15" hidden="false" customHeight="true" outlineLevel="0" collapsed="false">
      <c r="A3012" s="32"/>
      <c r="B3012" s="32"/>
      <c r="C3012" s="32"/>
      <c r="D3012" s="32"/>
      <c r="E3012" s="34" t="str">
        <f aca="false">IF($B3012="","",IF($B3012="OUT","Liters",IFERROR(INDEX(Setup!$F$3:$F$24,MATCH($C3012,Setup!$A$3:$A$24,0)),"")))</f>
        <v/>
      </c>
      <c r="F3012" s="28" t="str">
        <f aca="false">IF(OR($D3012="",$E3012=""),"",IFERROR($D3012*INDEX(Setup!$B$27:$B$44,MATCH($E3012,Setup!$A$27:$A$44,0)),"TBD"))</f>
        <v/>
      </c>
      <c r="G3012" s="32"/>
      <c r="H3012" s="32"/>
      <c r="I3012" s="32"/>
      <c r="J3012" s="32"/>
      <c r="K3012" s="35"/>
      <c r="L3012" s="32"/>
      <c r="M3012" s="32"/>
    </row>
    <row r="3013" customFormat="false" ht="15" hidden="false" customHeight="true" outlineLevel="0" collapsed="false">
      <c r="A3013" s="32"/>
      <c r="B3013" s="32"/>
      <c r="C3013" s="32"/>
      <c r="D3013" s="32"/>
      <c r="E3013" s="34" t="str">
        <f aca="false">IF($B3013="","",IF($B3013="OUT","Liters",IFERROR(INDEX(Setup!$F$3:$F$24,MATCH($C3013,Setup!$A$3:$A$24,0)),"")))</f>
        <v/>
      </c>
      <c r="F3013" s="28" t="str">
        <f aca="false">IF(OR($D3013="",$E3013=""),"",IFERROR($D3013*INDEX(Setup!$B$27:$B$44,MATCH($E3013,Setup!$A$27:$A$44,0)),"TBD"))</f>
        <v/>
      </c>
      <c r="G3013" s="32"/>
      <c r="H3013" s="32"/>
      <c r="I3013" s="32"/>
      <c r="J3013" s="32"/>
      <c r="K3013" s="35"/>
      <c r="L3013" s="32"/>
      <c r="M3013" s="32"/>
    </row>
    <row r="3014" customFormat="false" ht="15" hidden="false" customHeight="true" outlineLevel="0" collapsed="false">
      <c r="A3014" s="32"/>
      <c r="B3014" s="32"/>
      <c r="C3014" s="32"/>
      <c r="D3014" s="32"/>
      <c r="E3014" s="34" t="str">
        <f aca="false">IF($B3014="","",IF($B3014="OUT","Liters",IFERROR(INDEX(Setup!$F$3:$F$24,MATCH($C3014,Setup!$A$3:$A$24,0)),"")))</f>
        <v/>
      </c>
      <c r="F3014" s="28" t="str">
        <f aca="false">IF(OR($D3014="",$E3014=""),"",IFERROR($D3014*INDEX(Setup!$B$27:$B$44,MATCH($E3014,Setup!$A$27:$A$44,0)),"TBD"))</f>
        <v/>
      </c>
      <c r="G3014" s="32"/>
      <c r="H3014" s="32"/>
      <c r="I3014" s="32"/>
      <c r="J3014" s="32"/>
      <c r="K3014" s="35"/>
      <c r="L3014" s="32"/>
      <c r="M3014" s="32"/>
    </row>
    <row r="3015" customFormat="false" ht="15" hidden="false" customHeight="true" outlineLevel="0" collapsed="false">
      <c r="A3015" s="32"/>
      <c r="B3015" s="32"/>
      <c r="C3015" s="32"/>
      <c r="D3015" s="32"/>
      <c r="E3015" s="34" t="str">
        <f aca="false">IF($B3015="","",IF($B3015="OUT","Liters",IFERROR(INDEX(Setup!$F$3:$F$24,MATCH($C3015,Setup!$A$3:$A$24,0)),"")))</f>
        <v/>
      </c>
      <c r="F3015" s="28" t="str">
        <f aca="false">IF(OR($D3015="",$E3015=""),"",IFERROR($D3015*INDEX(Setup!$B$27:$B$44,MATCH($E3015,Setup!$A$27:$A$44,0)),"TBD"))</f>
        <v/>
      </c>
      <c r="G3015" s="32"/>
      <c r="H3015" s="32"/>
      <c r="I3015" s="32"/>
      <c r="J3015" s="32"/>
      <c r="K3015" s="35"/>
      <c r="L3015" s="32"/>
      <c r="M3015" s="32"/>
    </row>
    <row r="3016" customFormat="false" ht="15" hidden="false" customHeight="true" outlineLevel="0" collapsed="false">
      <c r="A3016" s="32"/>
      <c r="B3016" s="32"/>
      <c r="C3016" s="32"/>
      <c r="D3016" s="32"/>
      <c r="E3016" s="34" t="str">
        <f aca="false">IF($B3016="","",IF($B3016="OUT","Liters",IFERROR(INDEX(Setup!$F$3:$F$24,MATCH($C3016,Setup!$A$3:$A$24,0)),"")))</f>
        <v/>
      </c>
      <c r="F3016" s="28" t="str">
        <f aca="false">IF(OR($D3016="",$E3016=""),"",IFERROR($D3016*INDEX(Setup!$B$27:$B$44,MATCH($E3016,Setup!$A$27:$A$44,0)),"TBD"))</f>
        <v/>
      </c>
      <c r="G3016" s="32"/>
      <c r="H3016" s="32"/>
      <c r="I3016" s="32"/>
      <c r="J3016" s="32"/>
      <c r="K3016" s="35"/>
      <c r="L3016" s="32"/>
      <c r="M3016" s="32"/>
    </row>
    <row r="3017" customFormat="false" ht="15" hidden="false" customHeight="true" outlineLevel="0" collapsed="false">
      <c r="A3017" s="32"/>
      <c r="B3017" s="32"/>
      <c r="C3017" s="32"/>
      <c r="D3017" s="32"/>
      <c r="E3017" s="34" t="str">
        <f aca="false">IF($B3017="","",IF($B3017="OUT","Liters",IFERROR(INDEX(Setup!$F$3:$F$24,MATCH($C3017,Setup!$A$3:$A$24,0)),"")))</f>
        <v/>
      </c>
      <c r="F3017" s="28" t="str">
        <f aca="false">IF(OR($D3017="",$E3017=""),"",IFERROR($D3017*INDEX(Setup!$B$27:$B$44,MATCH($E3017,Setup!$A$27:$A$44,0)),"TBD"))</f>
        <v/>
      </c>
      <c r="G3017" s="32"/>
      <c r="H3017" s="32"/>
      <c r="I3017" s="32"/>
      <c r="J3017" s="32"/>
      <c r="K3017" s="35"/>
      <c r="L3017" s="32"/>
      <c r="M3017" s="32"/>
    </row>
    <row r="3018" customFormat="false" ht="15" hidden="false" customHeight="true" outlineLevel="0" collapsed="false">
      <c r="A3018" s="32"/>
      <c r="B3018" s="32"/>
      <c r="C3018" s="32"/>
      <c r="D3018" s="32"/>
      <c r="E3018" s="34" t="str">
        <f aca="false">IF($B3018="","",IF($B3018="OUT","Liters",IFERROR(INDEX(Setup!$F$3:$F$24,MATCH($C3018,Setup!$A$3:$A$24,0)),"")))</f>
        <v/>
      </c>
      <c r="F3018" s="28" t="str">
        <f aca="false">IF(OR($D3018="",$E3018=""),"",IFERROR($D3018*INDEX(Setup!$B$27:$B$44,MATCH($E3018,Setup!$A$27:$A$44,0)),"TBD"))</f>
        <v/>
      </c>
      <c r="G3018" s="32"/>
      <c r="H3018" s="32"/>
      <c r="I3018" s="32"/>
      <c r="J3018" s="32"/>
      <c r="K3018" s="35"/>
      <c r="L3018" s="32"/>
      <c r="M3018" s="32"/>
    </row>
    <row r="3019" customFormat="false" ht="15" hidden="false" customHeight="true" outlineLevel="0" collapsed="false">
      <c r="A3019" s="32"/>
      <c r="B3019" s="32"/>
      <c r="C3019" s="32"/>
      <c r="D3019" s="32"/>
      <c r="E3019" s="34" t="str">
        <f aca="false">IF($B3019="","",IF($B3019="OUT","Liters",IFERROR(INDEX(Setup!$F$3:$F$24,MATCH($C3019,Setup!$A$3:$A$24,0)),"")))</f>
        <v/>
      </c>
      <c r="F3019" s="28" t="str">
        <f aca="false">IF(OR($D3019="",$E3019=""),"",IFERROR($D3019*INDEX(Setup!$B$27:$B$44,MATCH($E3019,Setup!$A$27:$A$44,0)),"TBD"))</f>
        <v/>
      </c>
      <c r="G3019" s="32"/>
      <c r="H3019" s="32"/>
      <c r="I3019" s="32"/>
      <c r="J3019" s="32"/>
      <c r="K3019" s="35"/>
      <c r="L3019" s="32"/>
      <c r="M3019" s="32"/>
    </row>
    <row r="3020" customFormat="false" ht="15" hidden="false" customHeight="true" outlineLevel="0" collapsed="false">
      <c r="A3020" s="32"/>
      <c r="B3020" s="32"/>
      <c r="C3020" s="32"/>
      <c r="D3020" s="32"/>
      <c r="E3020" s="34" t="str">
        <f aca="false">IF($B3020="","",IF($B3020="OUT","Liters",IFERROR(INDEX(Setup!$F$3:$F$24,MATCH($C3020,Setup!$A$3:$A$24,0)),"")))</f>
        <v/>
      </c>
      <c r="F3020" s="28" t="str">
        <f aca="false">IF(OR($D3020="",$E3020=""),"",IFERROR($D3020*INDEX(Setup!$B$27:$B$44,MATCH($E3020,Setup!$A$27:$A$44,0)),"TBD"))</f>
        <v/>
      </c>
      <c r="G3020" s="32"/>
      <c r="H3020" s="32"/>
      <c r="I3020" s="32"/>
      <c r="J3020" s="32"/>
      <c r="K3020" s="35"/>
      <c r="L3020" s="32"/>
      <c r="M3020" s="32"/>
    </row>
    <row r="3021" customFormat="false" ht="15" hidden="false" customHeight="true" outlineLevel="0" collapsed="false">
      <c r="A3021" s="32"/>
      <c r="B3021" s="32"/>
      <c r="C3021" s="32"/>
      <c r="D3021" s="32"/>
      <c r="E3021" s="34" t="str">
        <f aca="false">IF($B3021="","",IF($B3021="OUT","Liters",IFERROR(INDEX(Setup!$F$3:$F$24,MATCH($C3021,Setup!$A$3:$A$24,0)),"")))</f>
        <v/>
      </c>
      <c r="F3021" s="28" t="str">
        <f aca="false">IF(OR($D3021="",$E3021=""),"",IFERROR($D3021*INDEX(Setup!$B$27:$B$44,MATCH($E3021,Setup!$A$27:$A$44,0)),"TBD"))</f>
        <v/>
      </c>
      <c r="G3021" s="32"/>
      <c r="H3021" s="32"/>
      <c r="I3021" s="32"/>
      <c r="J3021" s="32"/>
      <c r="K3021" s="35"/>
      <c r="L3021" s="32"/>
      <c r="M3021" s="32"/>
    </row>
    <row r="3022" customFormat="false" ht="15" hidden="false" customHeight="true" outlineLevel="0" collapsed="false">
      <c r="A3022" s="32"/>
      <c r="B3022" s="32"/>
      <c r="C3022" s="32"/>
      <c r="D3022" s="32"/>
      <c r="E3022" s="34" t="str">
        <f aca="false">IF($B3022="","",IF($B3022="OUT","Liters",IFERROR(INDEX(Setup!$F$3:$F$24,MATCH($C3022,Setup!$A$3:$A$24,0)),"")))</f>
        <v/>
      </c>
      <c r="F3022" s="28" t="str">
        <f aca="false">IF(OR($D3022="",$E3022=""),"",IFERROR($D3022*INDEX(Setup!$B$27:$B$44,MATCH($E3022,Setup!$A$27:$A$44,0)),"TBD"))</f>
        <v/>
      </c>
      <c r="G3022" s="32"/>
      <c r="H3022" s="32"/>
      <c r="I3022" s="32"/>
      <c r="J3022" s="32"/>
      <c r="K3022" s="35"/>
      <c r="L3022" s="32"/>
      <c r="M3022" s="32"/>
    </row>
    <row r="3023" customFormat="false" ht="15" hidden="false" customHeight="true" outlineLevel="0" collapsed="false">
      <c r="A3023" s="32"/>
      <c r="B3023" s="32"/>
      <c r="C3023" s="32"/>
      <c r="D3023" s="32"/>
      <c r="E3023" s="34" t="str">
        <f aca="false">IF($B3023="","",IF($B3023="OUT","Liters",IFERROR(INDEX(Setup!$F$3:$F$24,MATCH($C3023,Setup!$A$3:$A$24,0)),"")))</f>
        <v/>
      </c>
      <c r="F3023" s="28" t="str">
        <f aca="false">IF(OR($D3023="",$E3023=""),"",IFERROR($D3023*INDEX(Setup!$B$27:$B$44,MATCH($E3023,Setup!$A$27:$A$44,0)),"TBD"))</f>
        <v/>
      </c>
      <c r="G3023" s="32"/>
      <c r="H3023" s="32"/>
      <c r="I3023" s="32"/>
      <c r="J3023" s="32"/>
      <c r="K3023" s="35"/>
      <c r="L3023" s="32"/>
      <c r="M3023" s="32"/>
    </row>
    <row r="3024" customFormat="false" ht="15" hidden="false" customHeight="true" outlineLevel="0" collapsed="false">
      <c r="A3024" s="32"/>
      <c r="B3024" s="32"/>
      <c r="C3024" s="32"/>
      <c r="D3024" s="32"/>
      <c r="E3024" s="34" t="str">
        <f aca="false">IF($B3024="","",IF($B3024="OUT","Liters",IFERROR(INDEX(Setup!$F$3:$F$24,MATCH($C3024,Setup!$A$3:$A$24,0)),"")))</f>
        <v/>
      </c>
      <c r="F3024" s="28" t="str">
        <f aca="false">IF(OR($D3024="",$E3024=""),"",IFERROR($D3024*INDEX(Setup!$B$27:$B$44,MATCH($E3024,Setup!$A$27:$A$44,0)),"TBD"))</f>
        <v/>
      </c>
      <c r="G3024" s="32"/>
      <c r="H3024" s="32"/>
      <c r="I3024" s="32"/>
      <c r="J3024" s="32"/>
      <c r="K3024" s="35"/>
      <c r="L3024" s="32"/>
      <c r="M3024" s="32"/>
    </row>
    <row r="3025" customFormat="false" ht="15" hidden="false" customHeight="true" outlineLevel="0" collapsed="false">
      <c r="A3025" s="32"/>
      <c r="B3025" s="32"/>
      <c r="C3025" s="32"/>
      <c r="D3025" s="32"/>
      <c r="E3025" s="34" t="str">
        <f aca="false">IF($B3025="","",IF($B3025="OUT","Liters",IFERROR(INDEX(Setup!$F$3:$F$24,MATCH($C3025,Setup!$A$3:$A$24,0)),"")))</f>
        <v/>
      </c>
      <c r="F3025" s="28" t="str">
        <f aca="false">IF(OR($D3025="",$E3025=""),"",IFERROR($D3025*INDEX(Setup!$B$27:$B$44,MATCH($E3025,Setup!$A$27:$A$44,0)),"TBD"))</f>
        <v/>
      </c>
      <c r="G3025" s="32"/>
      <c r="H3025" s="32"/>
      <c r="I3025" s="32"/>
      <c r="J3025" s="32"/>
      <c r="K3025" s="35"/>
      <c r="L3025" s="32"/>
      <c r="M3025" s="32"/>
    </row>
    <row r="3026" customFormat="false" ht="15" hidden="false" customHeight="true" outlineLevel="0" collapsed="false">
      <c r="A3026" s="32"/>
      <c r="B3026" s="32"/>
      <c r="C3026" s="32"/>
      <c r="D3026" s="32"/>
      <c r="E3026" s="34" t="str">
        <f aca="false">IF($B3026="","",IF($B3026="OUT","Liters",IFERROR(INDEX(Setup!$F$3:$F$24,MATCH($C3026,Setup!$A$3:$A$24,0)),"")))</f>
        <v/>
      </c>
      <c r="F3026" s="28" t="str">
        <f aca="false">IF(OR($D3026="",$E3026=""),"",IFERROR($D3026*INDEX(Setup!$B$27:$B$44,MATCH($E3026,Setup!$A$27:$A$44,0)),"TBD"))</f>
        <v/>
      </c>
      <c r="G3026" s="32"/>
      <c r="H3026" s="32"/>
      <c r="I3026" s="32"/>
      <c r="J3026" s="32"/>
      <c r="K3026" s="35"/>
      <c r="L3026" s="32"/>
      <c r="M3026" s="32"/>
    </row>
    <row r="3027" customFormat="false" ht="15" hidden="false" customHeight="true" outlineLevel="0" collapsed="false">
      <c r="A3027" s="32"/>
      <c r="B3027" s="32"/>
      <c r="C3027" s="32"/>
      <c r="D3027" s="32"/>
      <c r="E3027" s="34" t="str">
        <f aca="false">IF($B3027="","",IF($B3027="OUT","Liters",IFERROR(INDEX(Setup!$F$3:$F$24,MATCH($C3027,Setup!$A$3:$A$24,0)),"")))</f>
        <v/>
      </c>
      <c r="F3027" s="28" t="str">
        <f aca="false">IF(OR($D3027="",$E3027=""),"",IFERROR($D3027*INDEX(Setup!$B$27:$B$44,MATCH($E3027,Setup!$A$27:$A$44,0)),"TBD"))</f>
        <v/>
      </c>
      <c r="G3027" s="32"/>
      <c r="H3027" s="32"/>
      <c r="I3027" s="32"/>
      <c r="J3027" s="32"/>
      <c r="K3027" s="35"/>
      <c r="L3027" s="32"/>
      <c r="M3027" s="32"/>
    </row>
    <row r="3028" customFormat="false" ht="15" hidden="false" customHeight="true" outlineLevel="0" collapsed="false">
      <c r="A3028" s="32"/>
      <c r="B3028" s="32"/>
      <c r="C3028" s="32"/>
      <c r="D3028" s="32"/>
      <c r="E3028" s="34" t="str">
        <f aca="false">IF($B3028="","",IF($B3028="OUT","Liters",IFERROR(INDEX(Setup!$F$3:$F$24,MATCH($C3028,Setup!$A$3:$A$24,0)),"")))</f>
        <v/>
      </c>
      <c r="F3028" s="28" t="str">
        <f aca="false">IF(OR($D3028="",$E3028=""),"",IFERROR($D3028*INDEX(Setup!$B$27:$B$44,MATCH($E3028,Setup!$A$27:$A$44,0)),"TBD"))</f>
        <v/>
      </c>
      <c r="G3028" s="32"/>
      <c r="H3028" s="32"/>
      <c r="I3028" s="32"/>
      <c r="J3028" s="32"/>
      <c r="K3028" s="35"/>
      <c r="L3028" s="32"/>
      <c r="M3028" s="32"/>
    </row>
    <row r="3029" customFormat="false" ht="15" hidden="false" customHeight="true" outlineLevel="0" collapsed="false">
      <c r="A3029" s="32"/>
      <c r="B3029" s="32"/>
      <c r="C3029" s="32"/>
      <c r="D3029" s="32"/>
      <c r="E3029" s="34" t="str">
        <f aca="false">IF($B3029="","",IF($B3029="OUT","Liters",IFERROR(INDEX(Setup!$F$3:$F$24,MATCH($C3029,Setup!$A$3:$A$24,0)),"")))</f>
        <v/>
      </c>
      <c r="F3029" s="28" t="str">
        <f aca="false">IF(OR($D3029="",$E3029=""),"",IFERROR($D3029*INDEX(Setup!$B$27:$B$44,MATCH($E3029,Setup!$A$27:$A$44,0)),"TBD"))</f>
        <v/>
      </c>
      <c r="G3029" s="32"/>
      <c r="H3029" s="32"/>
      <c r="I3029" s="32"/>
      <c r="J3029" s="32"/>
      <c r="K3029" s="35"/>
      <c r="L3029" s="32"/>
      <c r="M3029" s="32"/>
    </row>
    <row r="3030" customFormat="false" ht="15" hidden="false" customHeight="true" outlineLevel="0" collapsed="false">
      <c r="A3030" s="32"/>
      <c r="B3030" s="32"/>
      <c r="C3030" s="32"/>
      <c r="D3030" s="32"/>
      <c r="E3030" s="34" t="str">
        <f aca="false">IF($B3030="","",IF($B3030="OUT","Liters",IFERROR(INDEX(Setup!$F$3:$F$24,MATCH($C3030,Setup!$A$3:$A$24,0)),"")))</f>
        <v/>
      </c>
      <c r="F3030" s="28" t="str">
        <f aca="false">IF(OR($D3030="",$E3030=""),"",IFERROR($D3030*INDEX(Setup!$B$27:$B$44,MATCH($E3030,Setup!$A$27:$A$44,0)),"TBD"))</f>
        <v/>
      </c>
      <c r="G3030" s="32"/>
      <c r="H3030" s="32"/>
      <c r="I3030" s="32"/>
      <c r="J3030" s="32"/>
      <c r="K3030" s="35"/>
      <c r="L3030" s="32"/>
      <c r="M3030" s="32"/>
    </row>
    <row r="3031" customFormat="false" ht="15" hidden="false" customHeight="true" outlineLevel="0" collapsed="false">
      <c r="A3031" s="32"/>
      <c r="B3031" s="32"/>
      <c r="C3031" s="32"/>
      <c r="D3031" s="32"/>
      <c r="E3031" s="34" t="str">
        <f aca="false">IF($B3031="","",IF($B3031="OUT","Liters",IFERROR(INDEX(Setup!$F$3:$F$24,MATCH($C3031,Setup!$A$3:$A$24,0)),"")))</f>
        <v/>
      </c>
      <c r="F3031" s="28" t="str">
        <f aca="false">IF(OR($D3031="",$E3031=""),"",IFERROR($D3031*INDEX(Setup!$B$27:$B$44,MATCH($E3031,Setup!$A$27:$A$44,0)),"TBD"))</f>
        <v/>
      </c>
      <c r="G3031" s="32"/>
      <c r="H3031" s="32"/>
      <c r="I3031" s="32"/>
      <c r="J3031" s="32"/>
      <c r="K3031" s="35"/>
      <c r="L3031" s="32"/>
      <c r="M3031" s="32"/>
    </row>
    <row r="3032" customFormat="false" ht="15" hidden="false" customHeight="true" outlineLevel="0" collapsed="false">
      <c r="A3032" s="32"/>
      <c r="B3032" s="32"/>
      <c r="C3032" s="32"/>
      <c r="D3032" s="32"/>
      <c r="E3032" s="34" t="str">
        <f aca="false">IF($B3032="","",IF($B3032="OUT","Liters",IFERROR(INDEX(Setup!$F$3:$F$24,MATCH($C3032,Setup!$A$3:$A$24,0)),"")))</f>
        <v/>
      </c>
      <c r="F3032" s="28" t="str">
        <f aca="false">IF(OR($D3032="",$E3032=""),"",IFERROR($D3032*INDEX(Setup!$B$27:$B$44,MATCH($E3032,Setup!$A$27:$A$44,0)),"TBD"))</f>
        <v/>
      </c>
      <c r="G3032" s="32"/>
      <c r="H3032" s="32"/>
      <c r="I3032" s="32"/>
      <c r="J3032" s="32"/>
      <c r="K3032" s="35"/>
      <c r="L3032" s="32"/>
      <c r="M3032" s="32"/>
    </row>
    <row r="3033" customFormat="false" ht="15" hidden="false" customHeight="true" outlineLevel="0" collapsed="false">
      <c r="A3033" s="32"/>
      <c r="B3033" s="32"/>
      <c r="C3033" s="32"/>
      <c r="D3033" s="32"/>
      <c r="E3033" s="34" t="str">
        <f aca="false">IF($B3033="","",IF($B3033="OUT","Liters",IFERROR(INDEX(Setup!$F$3:$F$24,MATCH($C3033,Setup!$A$3:$A$24,0)),"")))</f>
        <v/>
      </c>
      <c r="F3033" s="28" t="str">
        <f aca="false">IF(OR($D3033="",$E3033=""),"",IFERROR($D3033*INDEX(Setup!$B$27:$B$44,MATCH($E3033,Setup!$A$27:$A$44,0)),"TBD"))</f>
        <v/>
      </c>
      <c r="G3033" s="32"/>
      <c r="H3033" s="32"/>
      <c r="I3033" s="32"/>
      <c r="J3033" s="32"/>
      <c r="K3033" s="35"/>
      <c r="L3033" s="32"/>
      <c r="M3033" s="32"/>
    </row>
    <row r="3034" customFormat="false" ht="15" hidden="false" customHeight="true" outlineLevel="0" collapsed="false">
      <c r="A3034" s="32"/>
      <c r="B3034" s="32"/>
      <c r="C3034" s="32"/>
      <c r="D3034" s="32"/>
      <c r="E3034" s="34" t="str">
        <f aca="false">IF($B3034="","",IF($B3034="OUT","Liters",IFERROR(INDEX(Setup!$F$3:$F$24,MATCH($C3034,Setup!$A$3:$A$24,0)),"")))</f>
        <v/>
      </c>
      <c r="F3034" s="28" t="str">
        <f aca="false">IF(OR($D3034="",$E3034=""),"",IFERROR($D3034*INDEX(Setup!$B$27:$B$44,MATCH($E3034,Setup!$A$27:$A$44,0)),"TBD"))</f>
        <v/>
      </c>
      <c r="G3034" s="32"/>
      <c r="H3034" s="32"/>
      <c r="I3034" s="32"/>
      <c r="J3034" s="32"/>
      <c r="K3034" s="35"/>
      <c r="L3034" s="32"/>
      <c r="M3034" s="32"/>
    </row>
    <row r="3035" customFormat="false" ht="15" hidden="false" customHeight="true" outlineLevel="0" collapsed="false">
      <c r="A3035" s="32"/>
      <c r="B3035" s="32"/>
      <c r="C3035" s="32"/>
      <c r="D3035" s="32"/>
      <c r="E3035" s="34" t="str">
        <f aca="false">IF($B3035="","",IF($B3035="OUT","Liters",IFERROR(INDEX(Setup!$F$3:$F$24,MATCH($C3035,Setup!$A$3:$A$24,0)),"")))</f>
        <v/>
      </c>
      <c r="F3035" s="28" t="str">
        <f aca="false">IF(OR($D3035="",$E3035=""),"",IFERROR($D3035*INDEX(Setup!$B$27:$B$44,MATCH($E3035,Setup!$A$27:$A$44,0)),"TBD"))</f>
        <v/>
      </c>
      <c r="G3035" s="32"/>
      <c r="H3035" s="32"/>
      <c r="I3035" s="32"/>
      <c r="J3035" s="32"/>
      <c r="K3035" s="35"/>
      <c r="L3035" s="32"/>
      <c r="M3035" s="32"/>
    </row>
    <row r="3036" customFormat="false" ht="15" hidden="false" customHeight="true" outlineLevel="0" collapsed="false">
      <c r="A3036" s="32"/>
      <c r="B3036" s="32"/>
      <c r="C3036" s="32"/>
      <c r="D3036" s="32"/>
      <c r="E3036" s="34" t="str">
        <f aca="false">IF($B3036="","",IF($B3036="OUT","Liters",IFERROR(INDEX(Setup!$F$3:$F$24,MATCH($C3036,Setup!$A$3:$A$24,0)),"")))</f>
        <v/>
      </c>
      <c r="F3036" s="28" t="str">
        <f aca="false">IF(OR($D3036="",$E3036=""),"",IFERROR($D3036*INDEX(Setup!$B$27:$B$44,MATCH($E3036,Setup!$A$27:$A$44,0)),"TBD"))</f>
        <v/>
      </c>
      <c r="G3036" s="32"/>
      <c r="H3036" s="32"/>
      <c r="I3036" s="32"/>
      <c r="J3036" s="32"/>
      <c r="K3036" s="35"/>
      <c r="L3036" s="32"/>
      <c r="M3036" s="32"/>
    </row>
    <row r="3037" customFormat="false" ht="15" hidden="false" customHeight="true" outlineLevel="0" collapsed="false">
      <c r="A3037" s="32"/>
      <c r="B3037" s="32"/>
      <c r="C3037" s="32"/>
      <c r="D3037" s="32"/>
      <c r="E3037" s="34" t="str">
        <f aca="false">IF($B3037="","",IF($B3037="OUT","Liters",IFERROR(INDEX(Setup!$F$3:$F$24,MATCH($C3037,Setup!$A$3:$A$24,0)),"")))</f>
        <v/>
      </c>
      <c r="F3037" s="28" t="str">
        <f aca="false">IF(OR($D3037="",$E3037=""),"",IFERROR($D3037*INDEX(Setup!$B$27:$B$44,MATCH($E3037,Setup!$A$27:$A$44,0)),"TBD"))</f>
        <v/>
      </c>
      <c r="G3037" s="32"/>
      <c r="H3037" s="32"/>
      <c r="I3037" s="32"/>
      <c r="J3037" s="32"/>
      <c r="K3037" s="35"/>
      <c r="L3037" s="32"/>
      <c r="M3037" s="32"/>
    </row>
    <row r="3038" customFormat="false" ht="15" hidden="false" customHeight="true" outlineLevel="0" collapsed="false">
      <c r="A3038" s="32"/>
      <c r="B3038" s="32"/>
      <c r="C3038" s="32"/>
      <c r="D3038" s="32"/>
      <c r="E3038" s="34" t="str">
        <f aca="false">IF($B3038="","",IF($B3038="OUT","Liters",IFERROR(INDEX(Setup!$F$3:$F$24,MATCH($C3038,Setup!$A$3:$A$24,0)),"")))</f>
        <v/>
      </c>
      <c r="F3038" s="28" t="str">
        <f aca="false">IF(OR($D3038="",$E3038=""),"",IFERROR($D3038*INDEX(Setup!$B$27:$B$44,MATCH($E3038,Setup!$A$27:$A$44,0)),"TBD"))</f>
        <v/>
      </c>
      <c r="G3038" s="32"/>
      <c r="H3038" s="32"/>
      <c r="I3038" s="32"/>
      <c r="J3038" s="32"/>
      <c r="K3038" s="35"/>
      <c r="L3038" s="32"/>
      <c r="M3038" s="32"/>
    </row>
    <row r="3039" customFormat="false" ht="15" hidden="false" customHeight="true" outlineLevel="0" collapsed="false">
      <c r="A3039" s="32"/>
      <c r="B3039" s="32"/>
      <c r="C3039" s="32"/>
      <c r="D3039" s="32"/>
      <c r="E3039" s="34" t="str">
        <f aca="false">IF($B3039="","",IF($B3039="OUT","Liters",IFERROR(INDEX(Setup!$F$3:$F$24,MATCH($C3039,Setup!$A$3:$A$24,0)),"")))</f>
        <v/>
      </c>
      <c r="F3039" s="28" t="str">
        <f aca="false">IF(OR($D3039="",$E3039=""),"",IFERROR($D3039*INDEX(Setup!$B$27:$B$44,MATCH($E3039,Setup!$A$27:$A$44,0)),"TBD"))</f>
        <v/>
      </c>
      <c r="G3039" s="32"/>
      <c r="H3039" s="32"/>
      <c r="I3039" s="32"/>
      <c r="J3039" s="32"/>
      <c r="K3039" s="35"/>
      <c r="L3039" s="32"/>
      <c r="M3039" s="32"/>
    </row>
    <row r="3040" customFormat="false" ht="15" hidden="false" customHeight="true" outlineLevel="0" collapsed="false">
      <c r="A3040" s="32"/>
      <c r="B3040" s="32"/>
      <c r="C3040" s="32"/>
      <c r="D3040" s="32"/>
      <c r="E3040" s="34" t="str">
        <f aca="false">IF($B3040="","",IF($B3040="OUT","Liters",IFERROR(INDEX(Setup!$F$3:$F$24,MATCH($C3040,Setup!$A$3:$A$24,0)),"")))</f>
        <v/>
      </c>
      <c r="F3040" s="28" t="str">
        <f aca="false">IF(OR($D3040="",$E3040=""),"",IFERROR($D3040*INDEX(Setup!$B$27:$B$44,MATCH($E3040,Setup!$A$27:$A$44,0)),"TBD"))</f>
        <v/>
      </c>
      <c r="G3040" s="32"/>
      <c r="H3040" s="32"/>
      <c r="I3040" s="32"/>
      <c r="J3040" s="32"/>
      <c r="K3040" s="35"/>
      <c r="L3040" s="32"/>
      <c r="M3040" s="32"/>
    </row>
    <row r="3041" customFormat="false" ht="15" hidden="false" customHeight="true" outlineLevel="0" collapsed="false">
      <c r="A3041" s="32"/>
      <c r="B3041" s="32"/>
      <c r="C3041" s="32"/>
      <c r="D3041" s="32"/>
      <c r="E3041" s="34" t="str">
        <f aca="false">IF($B3041="","",IF($B3041="OUT","Liters",IFERROR(INDEX(Setup!$F$3:$F$24,MATCH($C3041,Setup!$A$3:$A$24,0)),"")))</f>
        <v/>
      </c>
      <c r="F3041" s="28" t="str">
        <f aca="false">IF(OR($D3041="",$E3041=""),"",IFERROR($D3041*INDEX(Setup!$B$27:$B$44,MATCH($E3041,Setup!$A$27:$A$44,0)),"TBD"))</f>
        <v/>
      </c>
      <c r="G3041" s="32"/>
      <c r="H3041" s="32"/>
      <c r="I3041" s="32"/>
      <c r="J3041" s="32"/>
      <c r="K3041" s="35"/>
      <c r="L3041" s="32"/>
      <c r="M3041" s="32"/>
    </row>
    <row r="3042" customFormat="false" ht="15" hidden="false" customHeight="true" outlineLevel="0" collapsed="false">
      <c r="A3042" s="32"/>
      <c r="B3042" s="32"/>
      <c r="C3042" s="32"/>
      <c r="D3042" s="32"/>
      <c r="E3042" s="34" t="str">
        <f aca="false">IF($B3042="","",IF($B3042="OUT","Liters",IFERROR(INDEX(Setup!$F$3:$F$24,MATCH($C3042,Setup!$A$3:$A$24,0)),"")))</f>
        <v/>
      </c>
      <c r="F3042" s="28" t="str">
        <f aca="false">IF(OR($D3042="",$E3042=""),"",IFERROR($D3042*INDEX(Setup!$B$27:$B$44,MATCH($E3042,Setup!$A$27:$A$44,0)),"TBD"))</f>
        <v/>
      </c>
      <c r="G3042" s="32"/>
      <c r="H3042" s="32"/>
      <c r="I3042" s="32"/>
      <c r="J3042" s="32"/>
      <c r="K3042" s="35"/>
      <c r="L3042" s="32"/>
      <c r="M3042" s="32"/>
    </row>
    <row r="3043" customFormat="false" ht="15" hidden="false" customHeight="true" outlineLevel="0" collapsed="false">
      <c r="A3043" s="32"/>
      <c r="B3043" s="32"/>
      <c r="C3043" s="32"/>
      <c r="D3043" s="32"/>
      <c r="E3043" s="34" t="str">
        <f aca="false">IF($B3043="","",IF($B3043="OUT","Liters",IFERROR(INDEX(Setup!$F$3:$F$24,MATCH($C3043,Setup!$A$3:$A$24,0)),"")))</f>
        <v/>
      </c>
      <c r="F3043" s="28" t="str">
        <f aca="false">IF(OR($D3043="",$E3043=""),"",IFERROR($D3043*INDEX(Setup!$B$27:$B$44,MATCH($E3043,Setup!$A$27:$A$44,0)),"TBD"))</f>
        <v/>
      </c>
      <c r="G3043" s="32"/>
      <c r="H3043" s="32"/>
      <c r="I3043" s="32"/>
      <c r="J3043" s="32"/>
      <c r="K3043" s="35"/>
      <c r="L3043" s="32"/>
      <c r="M3043" s="32"/>
    </row>
    <row r="3044" customFormat="false" ht="15" hidden="false" customHeight="true" outlineLevel="0" collapsed="false">
      <c r="A3044" s="32"/>
      <c r="B3044" s="32"/>
      <c r="C3044" s="32"/>
      <c r="D3044" s="32"/>
      <c r="E3044" s="34" t="str">
        <f aca="false">IF($B3044="","",IF($B3044="OUT","Liters",IFERROR(INDEX(Setup!$F$3:$F$24,MATCH($C3044,Setup!$A$3:$A$24,0)),"")))</f>
        <v/>
      </c>
      <c r="F3044" s="28" t="str">
        <f aca="false">IF(OR($D3044="",$E3044=""),"",IFERROR($D3044*INDEX(Setup!$B$27:$B$44,MATCH($E3044,Setup!$A$27:$A$44,0)),"TBD"))</f>
        <v/>
      </c>
      <c r="G3044" s="32"/>
      <c r="H3044" s="32"/>
      <c r="I3044" s="32"/>
      <c r="J3044" s="32"/>
      <c r="K3044" s="35"/>
      <c r="L3044" s="32"/>
      <c r="M3044" s="32"/>
    </row>
    <row r="3045" customFormat="false" ht="15" hidden="false" customHeight="true" outlineLevel="0" collapsed="false">
      <c r="A3045" s="32"/>
      <c r="B3045" s="32"/>
      <c r="C3045" s="32"/>
      <c r="D3045" s="32"/>
      <c r="E3045" s="34" t="str">
        <f aca="false">IF($B3045="","",IF($B3045="OUT","Liters",IFERROR(INDEX(Setup!$F$3:$F$24,MATCH($C3045,Setup!$A$3:$A$24,0)),"")))</f>
        <v/>
      </c>
      <c r="F3045" s="28" t="str">
        <f aca="false">IF(OR($D3045="",$E3045=""),"",IFERROR($D3045*INDEX(Setup!$B$27:$B$44,MATCH($E3045,Setup!$A$27:$A$44,0)),"TBD"))</f>
        <v/>
      </c>
      <c r="G3045" s="32"/>
      <c r="H3045" s="32"/>
      <c r="I3045" s="32"/>
      <c r="J3045" s="32"/>
      <c r="K3045" s="35"/>
      <c r="L3045" s="32"/>
      <c r="M3045" s="32"/>
    </row>
    <row r="3046" customFormat="false" ht="15" hidden="false" customHeight="true" outlineLevel="0" collapsed="false">
      <c r="A3046" s="32"/>
      <c r="B3046" s="32"/>
      <c r="C3046" s="32"/>
      <c r="D3046" s="32"/>
      <c r="E3046" s="34" t="str">
        <f aca="false">IF($B3046="","",IF($B3046="OUT","Liters",IFERROR(INDEX(Setup!$F$3:$F$24,MATCH($C3046,Setup!$A$3:$A$24,0)),"")))</f>
        <v/>
      </c>
      <c r="F3046" s="28" t="str">
        <f aca="false">IF(OR($D3046="",$E3046=""),"",IFERROR($D3046*INDEX(Setup!$B$27:$B$44,MATCH($E3046,Setup!$A$27:$A$44,0)),"TBD"))</f>
        <v/>
      </c>
      <c r="G3046" s="32"/>
      <c r="H3046" s="32"/>
      <c r="I3046" s="32"/>
      <c r="J3046" s="32"/>
      <c r="K3046" s="35"/>
      <c r="L3046" s="32"/>
      <c r="M3046" s="32"/>
    </row>
    <row r="3047" customFormat="false" ht="15" hidden="false" customHeight="true" outlineLevel="0" collapsed="false">
      <c r="A3047" s="32"/>
      <c r="B3047" s="32"/>
      <c r="C3047" s="32"/>
      <c r="D3047" s="32"/>
      <c r="E3047" s="34" t="str">
        <f aca="false">IF($B3047="","",IF($B3047="OUT","Liters",IFERROR(INDEX(Setup!$F$3:$F$24,MATCH($C3047,Setup!$A$3:$A$24,0)),"")))</f>
        <v/>
      </c>
      <c r="F3047" s="28" t="str">
        <f aca="false">IF(OR($D3047="",$E3047=""),"",IFERROR($D3047*INDEX(Setup!$B$27:$B$44,MATCH($E3047,Setup!$A$27:$A$44,0)),"TBD"))</f>
        <v/>
      </c>
      <c r="G3047" s="32"/>
      <c r="H3047" s="32"/>
      <c r="I3047" s="32"/>
      <c r="J3047" s="32"/>
      <c r="K3047" s="35"/>
      <c r="L3047" s="32"/>
      <c r="M3047" s="32"/>
    </row>
    <row r="3048" customFormat="false" ht="15" hidden="false" customHeight="true" outlineLevel="0" collapsed="false">
      <c r="A3048" s="32"/>
      <c r="B3048" s="32"/>
      <c r="C3048" s="32"/>
      <c r="D3048" s="32"/>
      <c r="E3048" s="34" t="str">
        <f aca="false">IF($B3048="","",IF($B3048="OUT","Liters",IFERROR(INDEX(Setup!$F$3:$F$24,MATCH($C3048,Setup!$A$3:$A$24,0)),"")))</f>
        <v/>
      </c>
      <c r="F3048" s="28" t="str">
        <f aca="false">IF(OR($D3048="",$E3048=""),"",IFERROR($D3048*INDEX(Setup!$B$27:$B$44,MATCH($E3048,Setup!$A$27:$A$44,0)),"TBD"))</f>
        <v/>
      </c>
      <c r="G3048" s="32"/>
      <c r="H3048" s="32"/>
      <c r="I3048" s="32"/>
      <c r="J3048" s="32"/>
      <c r="K3048" s="35"/>
      <c r="L3048" s="32"/>
      <c r="M3048" s="32"/>
    </row>
    <row r="3049" customFormat="false" ht="15" hidden="false" customHeight="true" outlineLevel="0" collapsed="false">
      <c r="A3049" s="32"/>
      <c r="B3049" s="32"/>
      <c r="C3049" s="32"/>
      <c r="D3049" s="32"/>
      <c r="E3049" s="34" t="str">
        <f aca="false">IF($B3049="","",IF($B3049="OUT","Liters",IFERROR(INDEX(Setup!$F$3:$F$24,MATCH($C3049,Setup!$A$3:$A$24,0)),"")))</f>
        <v/>
      </c>
      <c r="F3049" s="28" t="str">
        <f aca="false">IF(OR($D3049="",$E3049=""),"",IFERROR($D3049*INDEX(Setup!$B$27:$B$44,MATCH($E3049,Setup!$A$27:$A$44,0)),"TBD"))</f>
        <v/>
      </c>
      <c r="G3049" s="32"/>
      <c r="H3049" s="32"/>
      <c r="I3049" s="32"/>
      <c r="J3049" s="32"/>
      <c r="K3049" s="35"/>
      <c r="L3049" s="32"/>
      <c r="M3049" s="32"/>
    </row>
    <row r="3050" customFormat="false" ht="15" hidden="false" customHeight="true" outlineLevel="0" collapsed="false">
      <c r="A3050" s="32"/>
      <c r="B3050" s="32"/>
      <c r="C3050" s="32"/>
      <c r="D3050" s="32"/>
      <c r="E3050" s="34" t="str">
        <f aca="false">IF($B3050="","",IF($B3050="OUT","Liters",IFERROR(INDEX(Setup!$F$3:$F$24,MATCH($C3050,Setup!$A$3:$A$24,0)),"")))</f>
        <v/>
      </c>
      <c r="F3050" s="28" t="str">
        <f aca="false">IF(OR($D3050="",$E3050=""),"",IFERROR($D3050*INDEX(Setup!$B$27:$B$44,MATCH($E3050,Setup!$A$27:$A$44,0)),"TBD"))</f>
        <v/>
      </c>
      <c r="G3050" s="32"/>
      <c r="H3050" s="32"/>
      <c r="I3050" s="32"/>
      <c r="J3050" s="32"/>
      <c r="K3050" s="35"/>
      <c r="L3050" s="32"/>
      <c r="M3050" s="32"/>
    </row>
    <row r="3051" customFormat="false" ht="15" hidden="false" customHeight="true" outlineLevel="0" collapsed="false">
      <c r="A3051" s="32"/>
      <c r="B3051" s="32"/>
      <c r="C3051" s="32"/>
      <c r="D3051" s="32"/>
      <c r="E3051" s="34" t="str">
        <f aca="false">IF($B3051="","",IF($B3051="OUT","Liters",IFERROR(INDEX(Setup!$F$3:$F$24,MATCH($C3051,Setup!$A$3:$A$24,0)),"")))</f>
        <v/>
      </c>
      <c r="F3051" s="28" t="str">
        <f aca="false">IF(OR($D3051="",$E3051=""),"",IFERROR($D3051*INDEX(Setup!$B$27:$B$44,MATCH($E3051,Setup!$A$27:$A$44,0)),"TBD"))</f>
        <v/>
      </c>
      <c r="G3051" s="32"/>
      <c r="H3051" s="32"/>
      <c r="I3051" s="32"/>
      <c r="J3051" s="32"/>
      <c r="K3051" s="35"/>
      <c r="L3051" s="32"/>
      <c r="M3051" s="32"/>
    </row>
    <row r="3052" customFormat="false" ht="15" hidden="false" customHeight="true" outlineLevel="0" collapsed="false">
      <c r="A3052" s="32"/>
      <c r="B3052" s="32"/>
      <c r="C3052" s="32"/>
      <c r="D3052" s="32"/>
      <c r="E3052" s="34" t="str">
        <f aca="false">IF($B3052="","",IF($B3052="OUT","Liters",IFERROR(INDEX(Setup!$F$3:$F$24,MATCH($C3052,Setup!$A$3:$A$24,0)),"")))</f>
        <v/>
      </c>
      <c r="F3052" s="28" t="str">
        <f aca="false">IF(OR($D3052="",$E3052=""),"",IFERROR($D3052*INDEX(Setup!$B$27:$B$44,MATCH($E3052,Setup!$A$27:$A$44,0)),"TBD"))</f>
        <v/>
      </c>
      <c r="G3052" s="32"/>
      <c r="H3052" s="32"/>
      <c r="I3052" s="32"/>
      <c r="J3052" s="32"/>
      <c r="K3052" s="35"/>
      <c r="L3052" s="32"/>
      <c r="M3052" s="32"/>
    </row>
    <row r="3053" customFormat="false" ht="15" hidden="false" customHeight="true" outlineLevel="0" collapsed="false">
      <c r="A3053" s="32"/>
      <c r="B3053" s="32"/>
      <c r="C3053" s="32"/>
      <c r="D3053" s="32"/>
      <c r="E3053" s="34" t="str">
        <f aca="false">IF($B3053="","",IF($B3053="OUT","Liters",IFERROR(INDEX(Setup!$F$3:$F$24,MATCH($C3053,Setup!$A$3:$A$24,0)),"")))</f>
        <v/>
      </c>
      <c r="F3053" s="28" t="str">
        <f aca="false">IF(OR($D3053="",$E3053=""),"",IFERROR($D3053*INDEX(Setup!$B$27:$B$44,MATCH($E3053,Setup!$A$27:$A$44,0)),"TBD"))</f>
        <v/>
      </c>
      <c r="G3053" s="32"/>
      <c r="H3053" s="32"/>
      <c r="I3053" s="32"/>
      <c r="J3053" s="32"/>
      <c r="K3053" s="35"/>
      <c r="L3053" s="32"/>
      <c r="M3053" s="32"/>
    </row>
    <row r="3054" customFormat="false" ht="15" hidden="false" customHeight="true" outlineLevel="0" collapsed="false">
      <c r="A3054" s="32"/>
      <c r="B3054" s="32"/>
      <c r="C3054" s="32"/>
      <c r="D3054" s="32"/>
      <c r="E3054" s="34" t="str">
        <f aca="false">IF($B3054="","",IF($B3054="OUT","Liters",IFERROR(INDEX(Setup!$F$3:$F$24,MATCH($C3054,Setup!$A$3:$A$24,0)),"")))</f>
        <v/>
      </c>
      <c r="F3054" s="28" t="str">
        <f aca="false">IF(OR($D3054="",$E3054=""),"",IFERROR($D3054*INDEX(Setup!$B$27:$B$44,MATCH($E3054,Setup!$A$27:$A$44,0)),"TBD"))</f>
        <v/>
      </c>
      <c r="G3054" s="32"/>
      <c r="H3054" s="32"/>
      <c r="I3054" s="32"/>
      <c r="J3054" s="32"/>
      <c r="K3054" s="35"/>
      <c r="L3054" s="32"/>
      <c r="M3054" s="32"/>
    </row>
    <row r="3055" customFormat="false" ht="15" hidden="false" customHeight="true" outlineLevel="0" collapsed="false">
      <c r="A3055" s="32"/>
      <c r="B3055" s="32"/>
      <c r="C3055" s="32"/>
      <c r="D3055" s="32"/>
      <c r="E3055" s="34" t="str">
        <f aca="false">IF($B3055="","",IF($B3055="OUT","Liters",IFERROR(INDEX(Setup!$F$3:$F$24,MATCH($C3055,Setup!$A$3:$A$24,0)),"")))</f>
        <v/>
      </c>
      <c r="F3055" s="28" t="str">
        <f aca="false">IF(OR($D3055="",$E3055=""),"",IFERROR($D3055*INDEX(Setup!$B$27:$B$44,MATCH($E3055,Setup!$A$27:$A$44,0)),"TBD"))</f>
        <v/>
      </c>
      <c r="G3055" s="32"/>
      <c r="H3055" s="32"/>
      <c r="I3055" s="32"/>
      <c r="J3055" s="32"/>
      <c r="K3055" s="35"/>
      <c r="L3055" s="32"/>
      <c r="M3055" s="32"/>
    </row>
    <row r="3056" customFormat="false" ht="15" hidden="false" customHeight="true" outlineLevel="0" collapsed="false">
      <c r="A3056" s="32"/>
      <c r="B3056" s="32"/>
      <c r="C3056" s="32"/>
      <c r="D3056" s="32"/>
      <c r="E3056" s="34" t="str">
        <f aca="false">IF($B3056="","",IF($B3056="OUT","Liters",IFERROR(INDEX(Setup!$F$3:$F$24,MATCH($C3056,Setup!$A$3:$A$24,0)),"")))</f>
        <v/>
      </c>
      <c r="F3056" s="28" t="str">
        <f aca="false">IF(OR($D3056="",$E3056=""),"",IFERROR($D3056*INDEX(Setup!$B$27:$B$44,MATCH($E3056,Setup!$A$27:$A$44,0)),"TBD"))</f>
        <v/>
      </c>
      <c r="G3056" s="32"/>
      <c r="H3056" s="32"/>
      <c r="I3056" s="32"/>
      <c r="J3056" s="32"/>
      <c r="K3056" s="35"/>
      <c r="L3056" s="32"/>
      <c r="M3056" s="32"/>
    </row>
    <row r="3057" customFormat="false" ht="15" hidden="false" customHeight="true" outlineLevel="0" collapsed="false">
      <c r="A3057" s="32"/>
      <c r="B3057" s="32"/>
      <c r="C3057" s="32"/>
      <c r="D3057" s="32"/>
      <c r="E3057" s="34" t="str">
        <f aca="false">IF($B3057="","",IF($B3057="OUT","Liters",IFERROR(INDEX(Setup!$F$3:$F$24,MATCH($C3057,Setup!$A$3:$A$24,0)),"")))</f>
        <v/>
      </c>
      <c r="F3057" s="28" t="str">
        <f aca="false">IF(OR($D3057="",$E3057=""),"",IFERROR($D3057*INDEX(Setup!$B$27:$B$44,MATCH($E3057,Setup!$A$27:$A$44,0)),"TBD"))</f>
        <v/>
      </c>
      <c r="G3057" s="32"/>
      <c r="H3057" s="32"/>
      <c r="I3057" s="32"/>
      <c r="J3057" s="32"/>
      <c r="K3057" s="35"/>
      <c r="L3057" s="32"/>
      <c r="M3057" s="32"/>
    </row>
    <row r="3058" customFormat="false" ht="15" hidden="false" customHeight="true" outlineLevel="0" collapsed="false">
      <c r="A3058" s="32"/>
      <c r="B3058" s="32"/>
      <c r="C3058" s="32"/>
      <c r="D3058" s="32"/>
      <c r="E3058" s="34" t="str">
        <f aca="false">IF($B3058="","",IF($B3058="OUT","Liters",IFERROR(INDEX(Setup!$F$3:$F$24,MATCH($C3058,Setup!$A$3:$A$24,0)),"")))</f>
        <v/>
      </c>
      <c r="F3058" s="28" t="str">
        <f aca="false">IF(OR($D3058="",$E3058=""),"",IFERROR($D3058*INDEX(Setup!$B$27:$B$44,MATCH($E3058,Setup!$A$27:$A$44,0)),"TBD"))</f>
        <v/>
      </c>
      <c r="G3058" s="32"/>
      <c r="H3058" s="32"/>
      <c r="I3058" s="32"/>
      <c r="J3058" s="32"/>
      <c r="K3058" s="35"/>
      <c r="L3058" s="32"/>
      <c r="M3058" s="32"/>
    </row>
    <row r="3059" customFormat="false" ht="15" hidden="false" customHeight="true" outlineLevel="0" collapsed="false">
      <c r="A3059" s="32"/>
      <c r="B3059" s="32"/>
      <c r="C3059" s="32"/>
      <c r="D3059" s="32"/>
      <c r="E3059" s="34" t="str">
        <f aca="false">IF($B3059="","",IF($B3059="OUT","Liters",IFERROR(INDEX(Setup!$F$3:$F$24,MATCH($C3059,Setup!$A$3:$A$24,0)),"")))</f>
        <v/>
      </c>
      <c r="F3059" s="28" t="str">
        <f aca="false">IF(OR($D3059="",$E3059=""),"",IFERROR($D3059*INDEX(Setup!$B$27:$B$44,MATCH($E3059,Setup!$A$27:$A$44,0)),"TBD"))</f>
        <v/>
      </c>
      <c r="G3059" s="32"/>
      <c r="H3059" s="32"/>
      <c r="I3059" s="32"/>
      <c r="J3059" s="32"/>
      <c r="K3059" s="35"/>
      <c r="L3059" s="32"/>
      <c r="M3059" s="32"/>
    </row>
    <row r="3060" customFormat="false" ht="15" hidden="false" customHeight="true" outlineLevel="0" collapsed="false">
      <c r="A3060" s="32"/>
      <c r="B3060" s="32"/>
      <c r="C3060" s="32"/>
      <c r="D3060" s="32"/>
      <c r="E3060" s="34" t="str">
        <f aca="false">IF($B3060="","",IF($B3060="OUT","Liters",IFERROR(INDEX(Setup!$F$3:$F$24,MATCH($C3060,Setup!$A$3:$A$24,0)),"")))</f>
        <v/>
      </c>
      <c r="F3060" s="28" t="str">
        <f aca="false">IF(OR($D3060="",$E3060=""),"",IFERROR($D3060*INDEX(Setup!$B$27:$B$44,MATCH($E3060,Setup!$A$27:$A$44,0)),"TBD"))</f>
        <v/>
      </c>
      <c r="G3060" s="32"/>
      <c r="H3060" s="32"/>
      <c r="I3060" s="32"/>
      <c r="J3060" s="32"/>
      <c r="K3060" s="35"/>
      <c r="L3060" s="32"/>
      <c r="M3060" s="32"/>
    </row>
    <row r="3061" customFormat="false" ht="15" hidden="false" customHeight="true" outlineLevel="0" collapsed="false">
      <c r="A3061" s="32"/>
      <c r="B3061" s="32"/>
      <c r="C3061" s="32"/>
      <c r="D3061" s="32"/>
      <c r="E3061" s="34" t="str">
        <f aca="false">IF($B3061="","",IF($B3061="OUT","Liters",IFERROR(INDEX(Setup!$F$3:$F$24,MATCH($C3061,Setup!$A$3:$A$24,0)),"")))</f>
        <v/>
      </c>
      <c r="F3061" s="28" t="str">
        <f aca="false">IF(OR($D3061="",$E3061=""),"",IFERROR($D3061*INDEX(Setup!$B$27:$B$44,MATCH($E3061,Setup!$A$27:$A$44,0)),"TBD"))</f>
        <v/>
      </c>
      <c r="G3061" s="32"/>
      <c r="H3061" s="32"/>
      <c r="I3061" s="32"/>
      <c r="J3061" s="32"/>
      <c r="K3061" s="35"/>
      <c r="L3061" s="32"/>
      <c r="M3061" s="32"/>
    </row>
    <row r="3062" customFormat="false" ht="15" hidden="false" customHeight="true" outlineLevel="0" collapsed="false">
      <c r="A3062" s="32"/>
      <c r="B3062" s="32"/>
      <c r="C3062" s="32"/>
      <c r="D3062" s="32"/>
      <c r="E3062" s="34" t="str">
        <f aca="false">IF($B3062="","",IF($B3062="OUT","Liters",IFERROR(INDEX(Setup!$F$3:$F$24,MATCH($C3062,Setup!$A$3:$A$24,0)),"")))</f>
        <v/>
      </c>
      <c r="F3062" s="28" t="str">
        <f aca="false">IF(OR($D3062="",$E3062=""),"",IFERROR($D3062*INDEX(Setup!$B$27:$B$44,MATCH($E3062,Setup!$A$27:$A$44,0)),"TBD"))</f>
        <v/>
      </c>
      <c r="G3062" s="32"/>
      <c r="H3062" s="32"/>
      <c r="I3062" s="32"/>
      <c r="J3062" s="32"/>
      <c r="K3062" s="35"/>
      <c r="L3062" s="32"/>
      <c r="M3062" s="32"/>
    </row>
    <row r="3063" customFormat="false" ht="15" hidden="false" customHeight="true" outlineLevel="0" collapsed="false">
      <c r="A3063" s="32"/>
      <c r="B3063" s="32"/>
      <c r="C3063" s="32"/>
      <c r="D3063" s="32"/>
      <c r="E3063" s="34" t="str">
        <f aca="false">IF($B3063="","",IF($B3063="OUT","Liters",IFERROR(INDEX(Setup!$F$3:$F$24,MATCH($C3063,Setup!$A$3:$A$24,0)),"")))</f>
        <v/>
      </c>
      <c r="F3063" s="28" t="str">
        <f aca="false">IF(OR($D3063="",$E3063=""),"",IFERROR($D3063*INDEX(Setup!$B$27:$B$44,MATCH($E3063,Setup!$A$27:$A$44,0)),"TBD"))</f>
        <v/>
      </c>
      <c r="G3063" s="32"/>
      <c r="H3063" s="32"/>
      <c r="I3063" s="32"/>
      <c r="J3063" s="32"/>
      <c r="K3063" s="35"/>
      <c r="L3063" s="32"/>
      <c r="M3063" s="32"/>
    </row>
    <row r="3064" customFormat="false" ht="15" hidden="false" customHeight="true" outlineLevel="0" collapsed="false">
      <c r="A3064" s="32"/>
      <c r="B3064" s="32"/>
      <c r="C3064" s="32"/>
      <c r="D3064" s="32"/>
      <c r="E3064" s="34" t="str">
        <f aca="false">IF($B3064="","",IF($B3064="OUT","Liters",IFERROR(INDEX(Setup!$F$3:$F$24,MATCH($C3064,Setup!$A$3:$A$24,0)),"")))</f>
        <v/>
      </c>
      <c r="F3064" s="28" t="str">
        <f aca="false">IF(OR($D3064="",$E3064=""),"",IFERROR($D3064*INDEX(Setup!$B$27:$B$44,MATCH($E3064,Setup!$A$27:$A$44,0)),"TBD"))</f>
        <v/>
      </c>
      <c r="G3064" s="32"/>
      <c r="H3064" s="32"/>
      <c r="I3064" s="32"/>
      <c r="J3064" s="32"/>
      <c r="K3064" s="35"/>
      <c r="L3064" s="32"/>
      <c r="M3064" s="32"/>
    </row>
    <row r="3065" customFormat="false" ht="15" hidden="false" customHeight="true" outlineLevel="0" collapsed="false">
      <c r="A3065" s="32"/>
      <c r="B3065" s="32"/>
      <c r="C3065" s="32"/>
      <c r="D3065" s="32"/>
      <c r="E3065" s="34" t="str">
        <f aca="false">IF($B3065="","",IF($B3065="OUT","Liters",IFERROR(INDEX(Setup!$F$3:$F$24,MATCH($C3065,Setup!$A$3:$A$24,0)),"")))</f>
        <v/>
      </c>
      <c r="F3065" s="28" t="str">
        <f aca="false">IF(OR($D3065="",$E3065=""),"",IFERROR($D3065*INDEX(Setup!$B$27:$B$44,MATCH($E3065,Setup!$A$27:$A$44,0)),"TBD"))</f>
        <v/>
      </c>
      <c r="G3065" s="32"/>
      <c r="H3065" s="32"/>
      <c r="I3065" s="32"/>
      <c r="J3065" s="32"/>
      <c r="K3065" s="35"/>
      <c r="L3065" s="32"/>
      <c r="M3065" s="32"/>
    </row>
    <row r="3066" customFormat="false" ht="15" hidden="false" customHeight="true" outlineLevel="0" collapsed="false">
      <c r="A3066" s="32"/>
      <c r="B3066" s="32"/>
      <c r="C3066" s="32"/>
      <c r="D3066" s="32"/>
      <c r="E3066" s="34" t="str">
        <f aca="false">IF($B3066="","",IF($B3066="OUT","Liters",IFERROR(INDEX(Setup!$F$3:$F$24,MATCH($C3066,Setup!$A$3:$A$24,0)),"")))</f>
        <v/>
      </c>
      <c r="F3066" s="28" t="str">
        <f aca="false">IF(OR($D3066="",$E3066=""),"",IFERROR($D3066*INDEX(Setup!$B$27:$B$44,MATCH($E3066,Setup!$A$27:$A$44,0)),"TBD"))</f>
        <v/>
      </c>
      <c r="G3066" s="32"/>
      <c r="H3066" s="32"/>
      <c r="I3066" s="32"/>
      <c r="J3066" s="32"/>
      <c r="K3066" s="35"/>
      <c r="L3066" s="32"/>
      <c r="M3066" s="32"/>
    </row>
    <row r="3067" customFormat="false" ht="15" hidden="false" customHeight="true" outlineLevel="0" collapsed="false">
      <c r="A3067" s="32"/>
      <c r="B3067" s="32"/>
      <c r="C3067" s="32"/>
      <c r="D3067" s="32"/>
      <c r="E3067" s="34" t="str">
        <f aca="false">IF($B3067="","",IF($B3067="OUT","Liters",IFERROR(INDEX(Setup!$F$3:$F$24,MATCH($C3067,Setup!$A$3:$A$24,0)),"")))</f>
        <v/>
      </c>
      <c r="F3067" s="28" t="str">
        <f aca="false">IF(OR($D3067="",$E3067=""),"",IFERROR($D3067*INDEX(Setup!$B$27:$B$44,MATCH($E3067,Setup!$A$27:$A$44,0)),"TBD"))</f>
        <v/>
      </c>
      <c r="G3067" s="32"/>
      <c r="H3067" s="32"/>
      <c r="I3067" s="32"/>
      <c r="J3067" s="32"/>
      <c r="K3067" s="35"/>
      <c r="L3067" s="32"/>
      <c r="M3067" s="32"/>
    </row>
    <row r="3068" customFormat="false" ht="15" hidden="false" customHeight="true" outlineLevel="0" collapsed="false">
      <c r="A3068" s="32"/>
      <c r="B3068" s="32"/>
      <c r="C3068" s="32"/>
      <c r="D3068" s="32"/>
      <c r="E3068" s="34" t="str">
        <f aca="false">IF($B3068="","",IF($B3068="OUT","Liters",IFERROR(INDEX(Setup!$F$3:$F$24,MATCH($C3068,Setup!$A$3:$A$24,0)),"")))</f>
        <v/>
      </c>
      <c r="F3068" s="28" t="str">
        <f aca="false">IF(OR($D3068="",$E3068=""),"",IFERROR($D3068*INDEX(Setup!$B$27:$B$44,MATCH($E3068,Setup!$A$27:$A$44,0)),"TBD"))</f>
        <v/>
      </c>
      <c r="G3068" s="32"/>
      <c r="H3068" s="32"/>
      <c r="I3068" s="32"/>
      <c r="J3068" s="32"/>
      <c r="K3068" s="35"/>
      <c r="L3068" s="32"/>
      <c r="M3068" s="32"/>
    </row>
    <row r="3069" customFormat="false" ht="15" hidden="false" customHeight="true" outlineLevel="0" collapsed="false">
      <c r="A3069" s="32"/>
      <c r="B3069" s="32"/>
      <c r="C3069" s="32"/>
      <c r="D3069" s="32"/>
      <c r="E3069" s="34" t="str">
        <f aca="false">IF($B3069="","",IF($B3069="OUT","Liters",IFERROR(INDEX(Setup!$F$3:$F$24,MATCH($C3069,Setup!$A$3:$A$24,0)),"")))</f>
        <v/>
      </c>
      <c r="F3069" s="28" t="str">
        <f aca="false">IF(OR($D3069="",$E3069=""),"",IFERROR($D3069*INDEX(Setup!$B$27:$B$44,MATCH($E3069,Setup!$A$27:$A$44,0)),"TBD"))</f>
        <v/>
      </c>
      <c r="G3069" s="32"/>
      <c r="H3069" s="32"/>
      <c r="I3069" s="32"/>
      <c r="J3069" s="32"/>
      <c r="K3069" s="35"/>
      <c r="L3069" s="32"/>
      <c r="M3069" s="32"/>
    </row>
    <row r="3070" customFormat="false" ht="15" hidden="false" customHeight="true" outlineLevel="0" collapsed="false">
      <c r="A3070" s="32"/>
      <c r="B3070" s="32"/>
      <c r="C3070" s="32"/>
      <c r="D3070" s="32"/>
      <c r="E3070" s="34" t="str">
        <f aca="false">IF($B3070="","",IF($B3070="OUT","Liters",IFERROR(INDEX(Setup!$F$3:$F$24,MATCH($C3070,Setup!$A$3:$A$24,0)),"")))</f>
        <v/>
      </c>
      <c r="F3070" s="28" t="str">
        <f aca="false">IF(OR($D3070="",$E3070=""),"",IFERROR($D3070*INDEX(Setup!$B$27:$B$44,MATCH($E3070,Setup!$A$27:$A$44,0)),"TBD"))</f>
        <v/>
      </c>
      <c r="G3070" s="32"/>
      <c r="H3070" s="32"/>
      <c r="I3070" s="32"/>
      <c r="J3070" s="32"/>
      <c r="K3070" s="35"/>
      <c r="L3070" s="32"/>
      <c r="M3070" s="32"/>
    </row>
    <row r="3071" customFormat="false" ht="15" hidden="false" customHeight="true" outlineLevel="0" collapsed="false">
      <c r="A3071" s="32"/>
      <c r="B3071" s="32"/>
      <c r="C3071" s="32"/>
      <c r="D3071" s="32"/>
      <c r="E3071" s="34" t="str">
        <f aca="false">IF($B3071="","",IF($B3071="OUT","Liters",IFERROR(INDEX(Setup!$F$3:$F$24,MATCH($C3071,Setup!$A$3:$A$24,0)),"")))</f>
        <v/>
      </c>
      <c r="F3071" s="28" t="str">
        <f aca="false">IF(OR($D3071="",$E3071=""),"",IFERROR($D3071*INDEX(Setup!$B$27:$B$44,MATCH($E3071,Setup!$A$27:$A$44,0)),"TBD"))</f>
        <v/>
      </c>
      <c r="G3071" s="32"/>
      <c r="H3071" s="32"/>
      <c r="I3071" s="32"/>
      <c r="J3071" s="32"/>
      <c r="K3071" s="35"/>
      <c r="L3071" s="32"/>
      <c r="M3071" s="32"/>
    </row>
    <row r="3072" customFormat="false" ht="15" hidden="false" customHeight="true" outlineLevel="0" collapsed="false">
      <c r="A3072" s="32"/>
      <c r="B3072" s="32"/>
      <c r="C3072" s="32"/>
      <c r="D3072" s="32"/>
      <c r="E3072" s="34" t="str">
        <f aca="false">IF($B3072="","",IF($B3072="OUT","Liters",IFERROR(INDEX(Setup!$F$3:$F$24,MATCH($C3072,Setup!$A$3:$A$24,0)),"")))</f>
        <v/>
      </c>
      <c r="F3072" s="28" t="str">
        <f aca="false">IF(OR($D3072="",$E3072=""),"",IFERROR($D3072*INDEX(Setup!$B$27:$B$44,MATCH($E3072,Setup!$A$27:$A$44,0)),"TBD"))</f>
        <v/>
      </c>
      <c r="G3072" s="32"/>
      <c r="H3072" s="32"/>
      <c r="I3072" s="32"/>
      <c r="J3072" s="32"/>
      <c r="K3072" s="35"/>
      <c r="L3072" s="32"/>
      <c r="M3072" s="32"/>
    </row>
    <row r="3073" customFormat="false" ht="15" hidden="false" customHeight="true" outlineLevel="0" collapsed="false">
      <c r="A3073" s="32"/>
      <c r="B3073" s="32"/>
      <c r="C3073" s="32"/>
      <c r="D3073" s="32"/>
      <c r="E3073" s="34" t="str">
        <f aca="false">IF($B3073="","",IF($B3073="OUT","Liters",IFERROR(INDEX(Setup!$F$3:$F$24,MATCH($C3073,Setup!$A$3:$A$24,0)),"")))</f>
        <v/>
      </c>
      <c r="F3073" s="28" t="str">
        <f aca="false">IF(OR($D3073="",$E3073=""),"",IFERROR($D3073*INDEX(Setup!$B$27:$B$44,MATCH($E3073,Setup!$A$27:$A$44,0)),"TBD"))</f>
        <v/>
      </c>
      <c r="G3073" s="32"/>
      <c r="H3073" s="32"/>
      <c r="I3073" s="32"/>
      <c r="J3073" s="32"/>
      <c r="K3073" s="35"/>
      <c r="L3073" s="32"/>
      <c r="M3073" s="32"/>
    </row>
    <row r="3074" customFormat="false" ht="15" hidden="false" customHeight="true" outlineLevel="0" collapsed="false">
      <c r="A3074" s="32"/>
      <c r="B3074" s="32"/>
      <c r="C3074" s="32"/>
      <c r="D3074" s="32"/>
      <c r="E3074" s="34" t="str">
        <f aca="false">IF($B3074="","",IF($B3074="OUT","Liters",IFERROR(INDEX(Setup!$F$3:$F$24,MATCH($C3074,Setup!$A$3:$A$24,0)),"")))</f>
        <v/>
      </c>
      <c r="F3074" s="28" t="str">
        <f aca="false">IF(OR($D3074="",$E3074=""),"",IFERROR($D3074*INDEX(Setup!$B$27:$B$44,MATCH($E3074,Setup!$A$27:$A$44,0)),"TBD"))</f>
        <v/>
      </c>
      <c r="G3074" s="32"/>
      <c r="H3074" s="32"/>
      <c r="I3074" s="32"/>
      <c r="J3074" s="32"/>
      <c r="K3074" s="35"/>
      <c r="L3074" s="32"/>
      <c r="M3074" s="32"/>
    </row>
    <row r="3075" customFormat="false" ht="15" hidden="false" customHeight="true" outlineLevel="0" collapsed="false">
      <c r="A3075" s="32"/>
      <c r="B3075" s="32"/>
      <c r="C3075" s="32"/>
      <c r="D3075" s="32"/>
      <c r="E3075" s="34" t="str">
        <f aca="false">IF($B3075="","",IF($B3075="OUT","Liters",IFERROR(INDEX(Setup!$F$3:$F$24,MATCH($C3075,Setup!$A$3:$A$24,0)),"")))</f>
        <v/>
      </c>
      <c r="F3075" s="28" t="str">
        <f aca="false">IF(OR($D3075="",$E3075=""),"",IFERROR($D3075*INDEX(Setup!$B$27:$B$44,MATCH($E3075,Setup!$A$27:$A$44,0)),"TBD"))</f>
        <v/>
      </c>
      <c r="G3075" s="32"/>
      <c r="H3075" s="32"/>
      <c r="I3075" s="32"/>
      <c r="J3075" s="32"/>
      <c r="K3075" s="35"/>
      <c r="L3075" s="32"/>
      <c r="M3075" s="32"/>
    </row>
    <row r="3076" customFormat="false" ht="15" hidden="false" customHeight="true" outlineLevel="0" collapsed="false">
      <c r="A3076" s="32"/>
      <c r="B3076" s="32"/>
      <c r="C3076" s="32"/>
      <c r="D3076" s="32"/>
      <c r="E3076" s="34" t="str">
        <f aca="false">IF($B3076="","",IF($B3076="OUT","Liters",IFERROR(INDEX(Setup!$F$3:$F$24,MATCH($C3076,Setup!$A$3:$A$24,0)),"")))</f>
        <v/>
      </c>
      <c r="F3076" s="28" t="str">
        <f aca="false">IF(OR($D3076="",$E3076=""),"",IFERROR($D3076*INDEX(Setup!$B$27:$B$44,MATCH($E3076,Setup!$A$27:$A$44,0)),"TBD"))</f>
        <v/>
      </c>
      <c r="G3076" s="32"/>
      <c r="H3076" s="32"/>
      <c r="I3076" s="32"/>
      <c r="J3076" s="32"/>
      <c r="K3076" s="35"/>
      <c r="L3076" s="32"/>
      <c r="M3076" s="32"/>
    </row>
    <row r="3077" customFormat="false" ht="15" hidden="false" customHeight="true" outlineLevel="0" collapsed="false">
      <c r="A3077" s="32"/>
      <c r="B3077" s="32"/>
      <c r="C3077" s="32"/>
      <c r="D3077" s="32"/>
      <c r="E3077" s="34" t="str">
        <f aca="false">IF($B3077="","",IF($B3077="OUT","Liters",IFERROR(INDEX(Setup!$F$3:$F$24,MATCH($C3077,Setup!$A$3:$A$24,0)),"")))</f>
        <v/>
      </c>
      <c r="F3077" s="28" t="str">
        <f aca="false">IF(OR($D3077="",$E3077=""),"",IFERROR($D3077*INDEX(Setup!$B$27:$B$44,MATCH($E3077,Setup!$A$27:$A$44,0)),"TBD"))</f>
        <v/>
      </c>
      <c r="G3077" s="32"/>
      <c r="H3077" s="32"/>
      <c r="I3077" s="32"/>
      <c r="J3077" s="32"/>
      <c r="K3077" s="35"/>
      <c r="L3077" s="32"/>
      <c r="M3077" s="32"/>
    </row>
    <row r="3078" customFormat="false" ht="15" hidden="false" customHeight="true" outlineLevel="0" collapsed="false">
      <c r="A3078" s="32"/>
      <c r="B3078" s="32"/>
      <c r="C3078" s="32"/>
      <c r="D3078" s="32"/>
      <c r="E3078" s="34" t="str">
        <f aca="false">IF($B3078="","",IF($B3078="OUT","Liters",IFERROR(INDEX(Setup!$F$3:$F$24,MATCH($C3078,Setup!$A$3:$A$24,0)),"")))</f>
        <v/>
      </c>
      <c r="F3078" s="28" t="str">
        <f aca="false">IF(OR($D3078="",$E3078=""),"",IFERROR($D3078*INDEX(Setup!$B$27:$B$44,MATCH($E3078,Setup!$A$27:$A$44,0)),"TBD"))</f>
        <v/>
      </c>
      <c r="G3078" s="32"/>
      <c r="H3078" s="32"/>
      <c r="I3078" s="32"/>
      <c r="J3078" s="32"/>
      <c r="K3078" s="35"/>
      <c r="L3078" s="32"/>
      <c r="M3078" s="32"/>
    </row>
    <row r="3079" customFormat="false" ht="15" hidden="false" customHeight="true" outlineLevel="0" collapsed="false">
      <c r="A3079" s="32"/>
      <c r="B3079" s="32"/>
      <c r="C3079" s="32"/>
      <c r="D3079" s="32"/>
      <c r="E3079" s="34" t="str">
        <f aca="false">IF($B3079="","",IF($B3079="OUT","Liters",IFERROR(INDEX(Setup!$F$3:$F$24,MATCH($C3079,Setup!$A$3:$A$24,0)),"")))</f>
        <v/>
      </c>
      <c r="F3079" s="28" t="str">
        <f aca="false">IF(OR($D3079="",$E3079=""),"",IFERROR($D3079*INDEX(Setup!$B$27:$B$44,MATCH($E3079,Setup!$A$27:$A$44,0)),"TBD"))</f>
        <v/>
      </c>
      <c r="G3079" s="32"/>
      <c r="H3079" s="32"/>
      <c r="I3079" s="32"/>
      <c r="J3079" s="32"/>
      <c r="K3079" s="35"/>
      <c r="L3079" s="32"/>
      <c r="M3079" s="32"/>
    </row>
    <row r="3080" customFormat="false" ht="15" hidden="false" customHeight="true" outlineLevel="0" collapsed="false">
      <c r="A3080" s="32"/>
      <c r="B3080" s="32"/>
      <c r="C3080" s="32"/>
      <c r="D3080" s="32"/>
      <c r="E3080" s="34" t="str">
        <f aca="false">IF($B3080="","",IF($B3080="OUT","Liters",IFERROR(INDEX(Setup!$F$3:$F$24,MATCH($C3080,Setup!$A$3:$A$24,0)),"")))</f>
        <v/>
      </c>
      <c r="F3080" s="28" t="str">
        <f aca="false">IF(OR($D3080="",$E3080=""),"",IFERROR($D3080*INDEX(Setup!$B$27:$B$44,MATCH($E3080,Setup!$A$27:$A$44,0)),"TBD"))</f>
        <v/>
      </c>
      <c r="G3080" s="32"/>
      <c r="H3080" s="32"/>
      <c r="I3080" s="32"/>
      <c r="J3080" s="32"/>
      <c r="K3080" s="35"/>
      <c r="L3080" s="32"/>
      <c r="M3080" s="32"/>
    </row>
    <row r="3081" customFormat="false" ht="15" hidden="false" customHeight="true" outlineLevel="0" collapsed="false">
      <c r="A3081" s="32"/>
      <c r="B3081" s="32"/>
      <c r="C3081" s="32"/>
      <c r="D3081" s="32"/>
      <c r="E3081" s="34" t="str">
        <f aca="false">IF($B3081="","",IF($B3081="OUT","Liters",IFERROR(INDEX(Setup!$F$3:$F$24,MATCH($C3081,Setup!$A$3:$A$24,0)),"")))</f>
        <v/>
      </c>
      <c r="F3081" s="28" t="str">
        <f aca="false">IF(OR($D3081="",$E3081=""),"",IFERROR($D3081*INDEX(Setup!$B$27:$B$44,MATCH($E3081,Setup!$A$27:$A$44,0)),"TBD"))</f>
        <v/>
      </c>
      <c r="G3081" s="32"/>
      <c r="H3081" s="32"/>
      <c r="I3081" s="32"/>
      <c r="J3081" s="32"/>
      <c r="K3081" s="35"/>
      <c r="L3081" s="32"/>
      <c r="M3081" s="32"/>
    </row>
    <row r="3082" customFormat="false" ht="15" hidden="false" customHeight="true" outlineLevel="0" collapsed="false">
      <c r="A3082" s="32"/>
      <c r="B3082" s="32"/>
      <c r="C3082" s="32"/>
      <c r="D3082" s="32"/>
      <c r="E3082" s="34" t="str">
        <f aca="false">IF($B3082="","",IF($B3082="OUT","Liters",IFERROR(INDEX(Setup!$F$3:$F$24,MATCH($C3082,Setup!$A$3:$A$24,0)),"")))</f>
        <v/>
      </c>
      <c r="F3082" s="28" t="str">
        <f aca="false">IF(OR($D3082="",$E3082=""),"",IFERROR($D3082*INDEX(Setup!$B$27:$B$44,MATCH($E3082,Setup!$A$27:$A$44,0)),"TBD"))</f>
        <v/>
      </c>
      <c r="G3082" s="32"/>
      <c r="H3082" s="32"/>
      <c r="I3082" s="32"/>
      <c r="J3082" s="32"/>
      <c r="K3082" s="35"/>
      <c r="L3082" s="32"/>
      <c r="M3082" s="32"/>
    </row>
    <row r="3083" customFormat="false" ht="15" hidden="false" customHeight="true" outlineLevel="0" collapsed="false">
      <c r="A3083" s="32"/>
      <c r="B3083" s="32"/>
      <c r="C3083" s="32"/>
      <c r="D3083" s="32"/>
      <c r="E3083" s="34" t="str">
        <f aca="false">IF($B3083="","",IF($B3083="OUT","Liters",IFERROR(INDEX(Setup!$F$3:$F$24,MATCH($C3083,Setup!$A$3:$A$24,0)),"")))</f>
        <v/>
      </c>
      <c r="F3083" s="28" t="str">
        <f aca="false">IF(OR($D3083="",$E3083=""),"",IFERROR($D3083*INDEX(Setup!$B$27:$B$44,MATCH($E3083,Setup!$A$27:$A$44,0)),"TBD"))</f>
        <v/>
      </c>
      <c r="G3083" s="32"/>
      <c r="H3083" s="32"/>
      <c r="I3083" s="32"/>
      <c r="J3083" s="32"/>
      <c r="K3083" s="35"/>
      <c r="L3083" s="32"/>
      <c r="M3083" s="32"/>
    </row>
    <row r="3084" customFormat="false" ht="15" hidden="false" customHeight="true" outlineLevel="0" collapsed="false">
      <c r="A3084" s="32"/>
      <c r="B3084" s="32"/>
      <c r="C3084" s="32"/>
      <c r="D3084" s="32"/>
      <c r="E3084" s="34" t="str">
        <f aca="false">IF($B3084="","",IF($B3084="OUT","Liters",IFERROR(INDEX(Setup!$F$3:$F$24,MATCH($C3084,Setup!$A$3:$A$24,0)),"")))</f>
        <v/>
      </c>
      <c r="F3084" s="28" t="str">
        <f aca="false">IF(OR($D3084="",$E3084=""),"",IFERROR($D3084*INDEX(Setup!$B$27:$B$44,MATCH($E3084,Setup!$A$27:$A$44,0)),"TBD"))</f>
        <v/>
      </c>
      <c r="G3084" s="32"/>
      <c r="H3084" s="32"/>
      <c r="I3084" s="32"/>
      <c r="J3084" s="32"/>
      <c r="K3084" s="35"/>
      <c r="L3084" s="32"/>
      <c r="M3084" s="32"/>
    </row>
    <row r="3085" customFormat="false" ht="15" hidden="false" customHeight="true" outlineLevel="0" collapsed="false">
      <c r="A3085" s="32"/>
      <c r="B3085" s="32"/>
      <c r="C3085" s="32"/>
      <c r="D3085" s="32"/>
      <c r="E3085" s="34" t="str">
        <f aca="false">IF($B3085="","",IF($B3085="OUT","Liters",IFERROR(INDEX(Setup!$F$3:$F$24,MATCH($C3085,Setup!$A$3:$A$24,0)),"")))</f>
        <v/>
      </c>
      <c r="F3085" s="28" t="str">
        <f aca="false">IF(OR($D3085="",$E3085=""),"",IFERROR($D3085*INDEX(Setup!$B$27:$B$44,MATCH($E3085,Setup!$A$27:$A$44,0)),"TBD"))</f>
        <v/>
      </c>
      <c r="G3085" s="32"/>
      <c r="H3085" s="32"/>
      <c r="I3085" s="32"/>
      <c r="J3085" s="32"/>
      <c r="K3085" s="35"/>
      <c r="L3085" s="32"/>
      <c r="M3085" s="32"/>
    </row>
    <row r="3086" customFormat="false" ht="15" hidden="false" customHeight="true" outlineLevel="0" collapsed="false">
      <c r="A3086" s="32"/>
      <c r="B3086" s="32"/>
      <c r="C3086" s="32"/>
      <c r="D3086" s="32"/>
      <c r="E3086" s="34" t="str">
        <f aca="false">IF($B3086="","",IF($B3086="OUT","Liters",IFERROR(INDEX(Setup!$F$3:$F$24,MATCH($C3086,Setup!$A$3:$A$24,0)),"")))</f>
        <v/>
      </c>
      <c r="F3086" s="28" t="str">
        <f aca="false">IF(OR($D3086="",$E3086=""),"",IFERROR($D3086*INDEX(Setup!$B$27:$B$44,MATCH($E3086,Setup!$A$27:$A$44,0)),"TBD"))</f>
        <v/>
      </c>
      <c r="G3086" s="32"/>
      <c r="H3086" s="32"/>
      <c r="I3086" s="32"/>
      <c r="J3086" s="32"/>
      <c r="K3086" s="35"/>
      <c r="L3086" s="32"/>
      <c r="M3086" s="32"/>
    </row>
    <row r="3087" customFormat="false" ht="15" hidden="false" customHeight="true" outlineLevel="0" collapsed="false">
      <c r="A3087" s="32"/>
      <c r="B3087" s="32"/>
      <c r="C3087" s="32"/>
      <c r="D3087" s="32"/>
      <c r="E3087" s="34" t="str">
        <f aca="false">IF($B3087="","",IF($B3087="OUT","Liters",IFERROR(INDEX(Setup!$F$3:$F$24,MATCH($C3087,Setup!$A$3:$A$24,0)),"")))</f>
        <v/>
      </c>
      <c r="F3087" s="28" t="str">
        <f aca="false">IF(OR($D3087="",$E3087=""),"",IFERROR($D3087*INDEX(Setup!$B$27:$B$44,MATCH($E3087,Setup!$A$27:$A$44,0)),"TBD"))</f>
        <v/>
      </c>
      <c r="G3087" s="32"/>
      <c r="H3087" s="32"/>
      <c r="I3087" s="32"/>
      <c r="J3087" s="32"/>
      <c r="K3087" s="35"/>
      <c r="L3087" s="32"/>
      <c r="M3087" s="32"/>
    </row>
    <row r="3088" customFormat="false" ht="15" hidden="false" customHeight="true" outlineLevel="0" collapsed="false">
      <c r="A3088" s="32"/>
      <c r="B3088" s="32"/>
      <c r="C3088" s="32"/>
      <c r="D3088" s="32"/>
      <c r="E3088" s="34" t="str">
        <f aca="false">IF($B3088="","",IF($B3088="OUT","Liters",IFERROR(INDEX(Setup!$F$3:$F$24,MATCH($C3088,Setup!$A$3:$A$24,0)),"")))</f>
        <v/>
      </c>
      <c r="F3088" s="28" t="str">
        <f aca="false">IF(OR($D3088="",$E3088=""),"",IFERROR($D3088*INDEX(Setup!$B$27:$B$44,MATCH($E3088,Setup!$A$27:$A$44,0)),"TBD"))</f>
        <v/>
      </c>
      <c r="G3088" s="32"/>
      <c r="H3088" s="32"/>
      <c r="I3088" s="32"/>
      <c r="J3088" s="32"/>
      <c r="K3088" s="35"/>
      <c r="L3088" s="32"/>
      <c r="M3088" s="32"/>
    </row>
    <row r="3089" customFormat="false" ht="15" hidden="false" customHeight="true" outlineLevel="0" collapsed="false">
      <c r="A3089" s="32"/>
      <c r="B3089" s="32"/>
      <c r="C3089" s="32"/>
      <c r="D3089" s="32"/>
      <c r="E3089" s="34" t="str">
        <f aca="false">IF($B3089="","",IF($B3089="OUT","Liters",IFERROR(INDEX(Setup!$F$3:$F$24,MATCH($C3089,Setup!$A$3:$A$24,0)),"")))</f>
        <v/>
      </c>
      <c r="F3089" s="28" t="str">
        <f aca="false">IF(OR($D3089="",$E3089=""),"",IFERROR($D3089*INDEX(Setup!$B$27:$B$44,MATCH($E3089,Setup!$A$27:$A$44,0)),"TBD"))</f>
        <v/>
      </c>
      <c r="G3089" s="32"/>
      <c r="H3089" s="32"/>
      <c r="I3089" s="32"/>
      <c r="J3089" s="32"/>
      <c r="K3089" s="35"/>
      <c r="L3089" s="32"/>
      <c r="M3089" s="32"/>
    </row>
    <row r="3090" customFormat="false" ht="15" hidden="false" customHeight="true" outlineLevel="0" collapsed="false">
      <c r="A3090" s="32"/>
      <c r="B3090" s="32"/>
      <c r="C3090" s="32"/>
      <c r="D3090" s="32"/>
      <c r="E3090" s="34" t="str">
        <f aca="false">IF($B3090="","",IF($B3090="OUT","Liters",IFERROR(INDEX(Setup!$F$3:$F$24,MATCH($C3090,Setup!$A$3:$A$24,0)),"")))</f>
        <v/>
      </c>
      <c r="F3090" s="28" t="str">
        <f aca="false">IF(OR($D3090="",$E3090=""),"",IFERROR($D3090*INDEX(Setup!$B$27:$B$44,MATCH($E3090,Setup!$A$27:$A$44,0)),"TBD"))</f>
        <v/>
      </c>
      <c r="G3090" s="32"/>
      <c r="H3090" s="32"/>
      <c r="I3090" s="32"/>
      <c r="J3090" s="32"/>
      <c r="K3090" s="35"/>
      <c r="L3090" s="32"/>
      <c r="M3090" s="32"/>
    </row>
    <row r="3091" customFormat="false" ht="15" hidden="false" customHeight="true" outlineLevel="0" collapsed="false">
      <c r="A3091" s="32"/>
      <c r="B3091" s="32"/>
      <c r="C3091" s="32"/>
      <c r="D3091" s="32"/>
      <c r="E3091" s="34" t="str">
        <f aca="false">IF($B3091="","",IF($B3091="OUT","Liters",IFERROR(INDEX(Setup!$F$3:$F$24,MATCH($C3091,Setup!$A$3:$A$24,0)),"")))</f>
        <v/>
      </c>
      <c r="F3091" s="28" t="str">
        <f aca="false">IF(OR($D3091="",$E3091=""),"",IFERROR($D3091*INDEX(Setup!$B$27:$B$44,MATCH($E3091,Setup!$A$27:$A$44,0)),"TBD"))</f>
        <v/>
      </c>
      <c r="G3091" s="32"/>
      <c r="H3091" s="32"/>
      <c r="I3091" s="32"/>
      <c r="J3091" s="32"/>
      <c r="K3091" s="35"/>
      <c r="L3091" s="32"/>
      <c r="M3091" s="32"/>
    </row>
    <row r="3092" customFormat="false" ht="15" hidden="false" customHeight="true" outlineLevel="0" collapsed="false">
      <c r="A3092" s="32"/>
      <c r="B3092" s="32"/>
      <c r="C3092" s="32"/>
      <c r="D3092" s="32"/>
      <c r="E3092" s="34" t="str">
        <f aca="false">IF($B3092="","",IF($B3092="OUT","Liters",IFERROR(INDEX(Setup!$F$3:$F$24,MATCH($C3092,Setup!$A$3:$A$24,0)),"")))</f>
        <v/>
      </c>
      <c r="F3092" s="28" t="str">
        <f aca="false">IF(OR($D3092="",$E3092=""),"",IFERROR($D3092*INDEX(Setup!$B$27:$B$44,MATCH($E3092,Setup!$A$27:$A$44,0)),"TBD"))</f>
        <v/>
      </c>
      <c r="G3092" s="32"/>
      <c r="H3092" s="32"/>
      <c r="I3092" s="32"/>
      <c r="J3092" s="32"/>
      <c r="K3092" s="35"/>
      <c r="L3092" s="32"/>
      <c r="M3092" s="32"/>
    </row>
    <row r="3093" customFormat="false" ht="15" hidden="false" customHeight="true" outlineLevel="0" collapsed="false">
      <c r="A3093" s="32"/>
      <c r="B3093" s="32"/>
      <c r="C3093" s="32"/>
      <c r="D3093" s="32"/>
      <c r="E3093" s="34" t="str">
        <f aca="false">IF($B3093="","",IF($B3093="OUT","Liters",IFERROR(INDEX(Setup!$F$3:$F$24,MATCH($C3093,Setup!$A$3:$A$24,0)),"")))</f>
        <v/>
      </c>
      <c r="F3093" s="28" t="str">
        <f aca="false">IF(OR($D3093="",$E3093=""),"",IFERROR($D3093*INDEX(Setup!$B$27:$B$44,MATCH($E3093,Setup!$A$27:$A$44,0)),"TBD"))</f>
        <v/>
      </c>
      <c r="G3093" s="32"/>
      <c r="H3093" s="32"/>
      <c r="I3093" s="32"/>
      <c r="J3093" s="32"/>
      <c r="K3093" s="35"/>
      <c r="L3093" s="32"/>
      <c r="M3093" s="32"/>
    </row>
    <row r="3094" customFormat="false" ht="15" hidden="false" customHeight="true" outlineLevel="0" collapsed="false">
      <c r="A3094" s="32"/>
      <c r="B3094" s="32"/>
      <c r="C3094" s="32"/>
      <c r="D3094" s="32"/>
      <c r="E3094" s="34" t="str">
        <f aca="false">IF($B3094="","",IF($B3094="OUT","Liters",IFERROR(INDEX(Setup!$F$3:$F$24,MATCH($C3094,Setup!$A$3:$A$24,0)),"")))</f>
        <v/>
      </c>
      <c r="F3094" s="28" t="str">
        <f aca="false">IF(OR($D3094="",$E3094=""),"",IFERROR($D3094*INDEX(Setup!$B$27:$B$44,MATCH($E3094,Setup!$A$27:$A$44,0)),"TBD"))</f>
        <v/>
      </c>
      <c r="G3094" s="32"/>
      <c r="H3094" s="32"/>
      <c r="I3094" s="32"/>
      <c r="J3094" s="32"/>
      <c r="K3094" s="35"/>
      <c r="L3094" s="32"/>
      <c r="M3094" s="32"/>
    </row>
    <row r="3095" customFormat="false" ht="15" hidden="false" customHeight="true" outlineLevel="0" collapsed="false">
      <c r="A3095" s="32"/>
      <c r="B3095" s="32"/>
      <c r="C3095" s="32"/>
      <c r="D3095" s="32"/>
      <c r="E3095" s="34" t="str">
        <f aca="false">IF($B3095="","",IF($B3095="OUT","Liters",IFERROR(INDEX(Setup!$F$3:$F$24,MATCH($C3095,Setup!$A$3:$A$24,0)),"")))</f>
        <v/>
      </c>
      <c r="F3095" s="28" t="str">
        <f aca="false">IF(OR($D3095="",$E3095=""),"",IFERROR($D3095*INDEX(Setup!$B$27:$B$44,MATCH($E3095,Setup!$A$27:$A$44,0)),"TBD"))</f>
        <v/>
      </c>
      <c r="G3095" s="32"/>
      <c r="H3095" s="32"/>
      <c r="I3095" s="32"/>
      <c r="J3095" s="32"/>
      <c r="K3095" s="35"/>
      <c r="L3095" s="32"/>
      <c r="M3095" s="32"/>
    </row>
    <row r="3096" customFormat="false" ht="15" hidden="false" customHeight="true" outlineLevel="0" collapsed="false">
      <c r="A3096" s="32"/>
      <c r="B3096" s="32"/>
      <c r="C3096" s="32"/>
      <c r="D3096" s="32"/>
      <c r="E3096" s="34" t="str">
        <f aca="false">IF($B3096="","",IF($B3096="OUT","Liters",IFERROR(INDEX(Setup!$F$3:$F$24,MATCH($C3096,Setup!$A$3:$A$24,0)),"")))</f>
        <v/>
      </c>
      <c r="F3096" s="28" t="str">
        <f aca="false">IF(OR($D3096="",$E3096=""),"",IFERROR($D3096*INDEX(Setup!$B$27:$B$44,MATCH($E3096,Setup!$A$27:$A$44,0)),"TBD"))</f>
        <v/>
      </c>
      <c r="G3096" s="32"/>
      <c r="H3096" s="32"/>
      <c r="I3096" s="32"/>
      <c r="J3096" s="32"/>
      <c r="K3096" s="35"/>
      <c r="L3096" s="32"/>
      <c r="M3096" s="32"/>
    </row>
    <row r="3097" customFormat="false" ht="15" hidden="false" customHeight="true" outlineLevel="0" collapsed="false">
      <c r="A3097" s="32"/>
      <c r="B3097" s="32"/>
      <c r="C3097" s="32"/>
      <c r="D3097" s="32"/>
      <c r="E3097" s="34" t="str">
        <f aca="false">IF($B3097="","",IF($B3097="OUT","Liters",IFERROR(INDEX(Setup!$F$3:$F$24,MATCH($C3097,Setup!$A$3:$A$24,0)),"")))</f>
        <v/>
      </c>
      <c r="F3097" s="28" t="str">
        <f aca="false">IF(OR($D3097="",$E3097=""),"",IFERROR($D3097*INDEX(Setup!$B$27:$B$44,MATCH($E3097,Setup!$A$27:$A$44,0)),"TBD"))</f>
        <v/>
      </c>
      <c r="G3097" s="32"/>
      <c r="H3097" s="32"/>
      <c r="I3097" s="32"/>
      <c r="J3097" s="32"/>
      <c r="K3097" s="35"/>
      <c r="L3097" s="32"/>
      <c r="M3097" s="32"/>
    </row>
    <row r="3098" customFormat="false" ht="15" hidden="false" customHeight="true" outlineLevel="0" collapsed="false">
      <c r="A3098" s="32"/>
      <c r="B3098" s="32"/>
      <c r="C3098" s="32"/>
      <c r="D3098" s="32"/>
      <c r="E3098" s="34" t="str">
        <f aca="false">IF($B3098="","",IF($B3098="OUT","Liters",IFERROR(INDEX(Setup!$F$3:$F$24,MATCH($C3098,Setup!$A$3:$A$24,0)),"")))</f>
        <v/>
      </c>
      <c r="F3098" s="28" t="str">
        <f aca="false">IF(OR($D3098="",$E3098=""),"",IFERROR($D3098*INDEX(Setup!$B$27:$B$44,MATCH($E3098,Setup!$A$27:$A$44,0)),"TBD"))</f>
        <v/>
      </c>
      <c r="G3098" s="32"/>
      <c r="H3098" s="32"/>
      <c r="I3098" s="32"/>
      <c r="J3098" s="32"/>
      <c r="K3098" s="35"/>
      <c r="L3098" s="32"/>
      <c r="M3098" s="32"/>
    </row>
    <row r="3099" customFormat="false" ht="15" hidden="false" customHeight="true" outlineLevel="0" collapsed="false">
      <c r="A3099" s="32"/>
      <c r="B3099" s="32"/>
      <c r="C3099" s="32"/>
      <c r="D3099" s="32"/>
      <c r="E3099" s="34" t="str">
        <f aca="false">IF($B3099="","",IF($B3099="OUT","Liters",IFERROR(INDEX(Setup!$F$3:$F$24,MATCH($C3099,Setup!$A$3:$A$24,0)),"")))</f>
        <v/>
      </c>
      <c r="F3099" s="28" t="str">
        <f aca="false">IF(OR($D3099="",$E3099=""),"",IFERROR($D3099*INDEX(Setup!$B$27:$B$44,MATCH($E3099,Setup!$A$27:$A$44,0)),"TBD"))</f>
        <v/>
      </c>
      <c r="G3099" s="32"/>
      <c r="H3099" s="32"/>
      <c r="I3099" s="32"/>
      <c r="J3099" s="32"/>
      <c r="K3099" s="35"/>
      <c r="L3099" s="32"/>
      <c r="M3099" s="32"/>
    </row>
    <row r="3100" customFormat="false" ht="15" hidden="false" customHeight="true" outlineLevel="0" collapsed="false">
      <c r="A3100" s="32"/>
      <c r="B3100" s="32"/>
      <c r="C3100" s="32"/>
      <c r="D3100" s="32"/>
      <c r="E3100" s="34" t="str">
        <f aca="false">IF($B3100="","",IF($B3100="OUT","Liters",IFERROR(INDEX(Setup!$F$3:$F$24,MATCH($C3100,Setup!$A$3:$A$24,0)),"")))</f>
        <v/>
      </c>
      <c r="F3100" s="28" t="str">
        <f aca="false">IF(OR($D3100="",$E3100=""),"",IFERROR($D3100*INDEX(Setup!$B$27:$B$44,MATCH($E3100,Setup!$A$27:$A$44,0)),"TBD"))</f>
        <v/>
      </c>
      <c r="G3100" s="32"/>
      <c r="H3100" s="32"/>
      <c r="I3100" s="32"/>
      <c r="J3100" s="32"/>
      <c r="K3100" s="35"/>
      <c r="L3100" s="32"/>
      <c r="M3100" s="32"/>
    </row>
    <row r="3101" customFormat="false" ht="15" hidden="false" customHeight="true" outlineLevel="0" collapsed="false">
      <c r="A3101" s="32"/>
      <c r="B3101" s="32"/>
      <c r="C3101" s="32"/>
      <c r="D3101" s="32"/>
      <c r="E3101" s="34" t="str">
        <f aca="false">IF($B3101="","",IF($B3101="OUT","Liters",IFERROR(INDEX(Setup!$F$3:$F$24,MATCH($C3101,Setup!$A$3:$A$24,0)),"")))</f>
        <v/>
      </c>
      <c r="F3101" s="28" t="str">
        <f aca="false">IF(OR($D3101="",$E3101=""),"",IFERROR($D3101*INDEX(Setup!$B$27:$B$44,MATCH($E3101,Setup!$A$27:$A$44,0)),"TBD"))</f>
        <v/>
      </c>
      <c r="G3101" s="32"/>
      <c r="H3101" s="32"/>
      <c r="I3101" s="32"/>
      <c r="J3101" s="32"/>
      <c r="K3101" s="35"/>
      <c r="L3101" s="32"/>
      <c r="M3101" s="32"/>
    </row>
    <row r="3102" customFormat="false" ht="15" hidden="false" customHeight="true" outlineLevel="0" collapsed="false">
      <c r="A3102" s="32"/>
      <c r="B3102" s="32"/>
      <c r="C3102" s="32"/>
      <c r="D3102" s="32"/>
      <c r="E3102" s="34" t="str">
        <f aca="false">IF($B3102="","",IF($B3102="OUT","Liters",IFERROR(INDEX(Setup!$F$3:$F$24,MATCH($C3102,Setup!$A$3:$A$24,0)),"")))</f>
        <v/>
      </c>
      <c r="F3102" s="28" t="str">
        <f aca="false">IF(OR($D3102="",$E3102=""),"",IFERROR($D3102*INDEX(Setup!$B$27:$B$44,MATCH($E3102,Setup!$A$27:$A$44,0)),"TBD"))</f>
        <v/>
      </c>
      <c r="G3102" s="32"/>
      <c r="H3102" s="32"/>
      <c r="I3102" s="32"/>
      <c r="J3102" s="32"/>
      <c r="K3102" s="35"/>
      <c r="L3102" s="32"/>
      <c r="M3102" s="32"/>
    </row>
    <row r="3103" customFormat="false" ht="15" hidden="false" customHeight="true" outlineLevel="0" collapsed="false">
      <c r="A3103" s="32"/>
      <c r="B3103" s="32"/>
      <c r="C3103" s="32"/>
      <c r="D3103" s="32"/>
      <c r="E3103" s="34" t="str">
        <f aca="false">IF($B3103="","",IF($B3103="OUT","Liters",IFERROR(INDEX(Setup!$F$3:$F$24,MATCH($C3103,Setup!$A$3:$A$24,0)),"")))</f>
        <v/>
      </c>
      <c r="F3103" s="28" t="str">
        <f aca="false">IF(OR($D3103="",$E3103=""),"",IFERROR($D3103*INDEX(Setup!$B$27:$B$44,MATCH($E3103,Setup!$A$27:$A$44,0)),"TBD"))</f>
        <v/>
      </c>
      <c r="G3103" s="32"/>
      <c r="H3103" s="32"/>
      <c r="I3103" s="32"/>
      <c r="J3103" s="32"/>
      <c r="K3103" s="35"/>
      <c r="L3103" s="32"/>
      <c r="M3103" s="32"/>
    </row>
    <row r="3104" customFormat="false" ht="15" hidden="false" customHeight="true" outlineLevel="0" collapsed="false">
      <c r="A3104" s="32"/>
      <c r="B3104" s="32"/>
      <c r="C3104" s="32"/>
      <c r="D3104" s="32"/>
      <c r="E3104" s="34" t="str">
        <f aca="false">IF($B3104="","",IF($B3104="OUT","Liters",IFERROR(INDEX(Setup!$F$3:$F$24,MATCH($C3104,Setup!$A$3:$A$24,0)),"")))</f>
        <v/>
      </c>
      <c r="F3104" s="28" t="str">
        <f aca="false">IF(OR($D3104="",$E3104=""),"",IFERROR($D3104*INDEX(Setup!$B$27:$B$44,MATCH($E3104,Setup!$A$27:$A$44,0)),"TBD"))</f>
        <v/>
      </c>
      <c r="G3104" s="32"/>
      <c r="H3104" s="32"/>
      <c r="I3104" s="32"/>
      <c r="J3104" s="32"/>
      <c r="K3104" s="35"/>
      <c r="L3104" s="32"/>
      <c r="M3104" s="32"/>
    </row>
    <row r="3105" customFormat="false" ht="15" hidden="false" customHeight="true" outlineLevel="0" collapsed="false">
      <c r="A3105" s="32"/>
      <c r="B3105" s="32"/>
      <c r="C3105" s="32"/>
      <c r="D3105" s="32"/>
      <c r="E3105" s="34" t="str">
        <f aca="false">IF($B3105="","",IF($B3105="OUT","Liters",IFERROR(INDEX(Setup!$F$3:$F$24,MATCH($C3105,Setup!$A$3:$A$24,0)),"")))</f>
        <v/>
      </c>
      <c r="F3105" s="28" t="str">
        <f aca="false">IF(OR($D3105="",$E3105=""),"",IFERROR($D3105*INDEX(Setup!$B$27:$B$44,MATCH($E3105,Setup!$A$27:$A$44,0)),"TBD"))</f>
        <v/>
      </c>
      <c r="G3105" s="32"/>
      <c r="H3105" s="32"/>
      <c r="I3105" s="32"/>
      <c r="J3105" s="32"/>
      <c r="K3105" s="35"/>
      <c r="L3105" s="32"/>
      <c r="M3105" s="32"/>
    </row>
    <row r="3106" customFormat="false" ht="15" hidden="false" customHeight="true" outlineLevel="0" collapsed="false">
      <c r="A3106" s="32"/>
      <c r="B3106" s="32"/>
      <c r="C3106" s="32"/>
      <c r="D3106" s="32"/>
      <c r="E3106" s="34" t="str">
        <f aca="false">IF($B3106="","",IF($B3106="OUT","Liters",IFERROR(INDEX(Setup!$F$3:$F$24,MATCH($C3106,Setup!$A$3:$A$24,0)),"")))</f>
        <v/>
      </c>
      <c r="F3106" s="28" t="str">
        <f aca="false">IF(OR($D3106="",$E3106=""),"",IFERROR($D3106*INDEX(Setup!$B$27:$B$44,MATCH($E3106,Setup!$A$27:$A$44,0)),"TBD"))</f>
        <v/>
      </c>
      <c r="G3106" s="32"/>
      <c r="H3106" s="32"/>
      <c r="I3106" s="32"/>
      <c r="J3106" s="32"/>
      <c r="K3106" s="35"/>
      <c r="L3106" s="32"/>
      <c r="M3106" s="32"/>
    </row>
    <row r="3107" customFormat="false" ht="15" hidden="false" customHeight="true" outlineLevel="0" collapsed="false">
      <c r="A3107" s="32"/>
      <c r="B3107" s="32"/>
      <c r="C3107" s="32"/>
      <c r="D3107" s="32"/>
      <c r="E3107" s="34" t="str">
        <f aca="false">IF($B3107="","",IF($B3107="OUT","Liters",IFERROR(INDEX(Setup!$F$3:$F$24,MATCH($C3107,Setup!$A$3:$A$24,0)),"")))</f>
        <v/>
      </c>
      <c r="F3107" s="28" t="str">
        <f aca="false">IF(OR($D3107="",$E3107=""),"",IFERROR($D3107*INDEX(Setup!$B$27:$B$44,MATCH($E3107,Setup!$A$27:$A$44,0)),"TBD"))</f>
        <v/>
      </c>
      <c r="G3107" s="32"/>
      <c r="H3107" s="32"/>
      <c r="I3107" s="32"/>
      <c r="J3107" s="32"/>
      <c r="K3107" s="35"/>
      <c r="L3107" s="32"/>
      <c r="M3107" s="32"/>
    </row>
    <row r="3108" customFormat="false" ht="15" hidden="false" customHeight="true" outlineLevel="0" collapsed="false">
      <c r="A3108" s="32"/>
      <c r="B3108" s="32"/>
      <c r="C3108" s="32"/>
      <c r="D3108" s="32"/>
      <c r="E3108" s="34" t="str">
        <f aca="false">IF($B3108="","",IF($B3108="OUT","Liters",IFERROR(INDEX(Setup!$F$3:$F$24,MATCH($C3108,Setup!$A$3:$A$24,0)),"")))</f>
        <v/>
      </c>
      <c r="F3108" s="28" t="str">
        <f aca="false">IF(OR($D3108="",$E3108=""),"",IFERROR($D3108*INDEX(Setup!$B$27:$B$44,MATCH($E3108,Setup!$A$27:$A$44,0)),"TBD"))</f>
        <v/>
      </c>
      <c r="G3108" s="32"/>
      <c r="H3108" s="32"/>
      <c r="I3108" s="32"/>
      <c r="J3108" s="32"/>
      <c r="K3108" s="35"/>
      <c r="L3108" s="32"/>
      <c r="M3108" s="32"/>
    </row>
    <row r="3109" customFormat="false" ht="15" hidden="false" customHeight="true" outlineLevel="0" collapsed="false">
      <c r="A3109" s="32"/>
      <c r="B3109" s="32"/>
      <c r="C3109" s="32"/>
      <c r="D3109" s="32"/>
      <c r="E3109" s="34" t="str">
        <f aca="false">IF($B3109="","",IF($B3109="OUT","Liters",IFERROR(INDEX(Setup!$F$3:$F$24,MATCH($C3109,Setup!$A$3:$A$24,0)),"")))</f>
        <v/>
      </c>
      <c r="F3109" s="28" t="str">
        <f aca="false">IF(OR($D3109="",$E3109=""),"",IFERROR($D3109*INDEX(Setup!$B$27:$B$44,MATCH($E3109,Setup!$A$27:$A$44,0)),"TBD"))</f>
        <v/>
      </c>
      <c r="G3109" s="32"/>
      <c r="H3109" s="32"/>
      <c r="I3109" s="32"/>
      <c r="J3109" s="32"/>
      <c r="K3109" s="35"/>
      <c r="L3109" s="32"/>
      <c r="M3109" s="32"/>
    </row>
    <row r="3110" customFormat="false" ht="15" hidden="false" customHeight="true" outlineLevel="0" collapsed="false">
      <c r="A3110" s="32"/>
      <c r="B3110" s="32"/>
      <c r="C3110" s="32"/>
      <c r="D3110" s="32"/>
      <c r="E3110" s="34" t="str">
        <f aca="false">IF($B3110="","",IF($B3110="OUT","Liters",IFERROR(INDEX(Setup!$F$3:$F$24,MATCH($C3110,Setup!$A$3:$A$24,0)),"")))</f>
        <v/>
      </c>
      <c r="F3110" s="28" t="str">
        <f aca="false">IF(OR($D3110="",$E3110=""),"",IFERROR($D3110*INDEX(Setup!$B$27:$B$44,MATCH($E3110,Setup!$A$27:$A$44,0)),"TBD"))</f>
        <v/>
      </c>
      <c r="G3110" s="32"/>
      <c r="H3110" s="32"/>
      <c r="I3110" s="32"/>
      <c r="J3110" s="32"/>
      <c r="K3110" s="35"/>
      <c r="L3110" s="32"/>
      <c r="M3110" s="32"/>
    </row>
    <row r="3111" customFormat="false" ht="15" hidden="false" customHeight="true" outlineLevel="0" collapsed="false">
      <c r="A3111" s="32"/>
      <c r="B3111" s="32"/>
      <c r="C3111" s="32"/>
      <c r="D3111" s="32"/>
      <c r="E3111" s="34" t="str">
        <f aca="false">IF($B3111="","",IF($B3111="OUT","Liters",IFERROR(INDEX(Setup!$F$3:$F$24,MATCH($C3111,Setup!$A$3:$A$24,0)),"")))</f>
        <v/>
      </c>
      <c r="F3111" s="28" t="str">
        <f aca="false">IF(OR($D3111="",$E3111=""),"",IFERROR($D3111*INDEX(Setup!$B$27:$B$44,MATCH($E3111,Setup!$A$27:$A$44,0)),"TBD"))</f>
        <v/>
      </c>
      <c r="G3111" s="32"/>
      <c r="H3111" s="32"/>
      <c r="I3111" s="32"/>
      <c r="J3111" s="32"/>
      <c r="K3111" s="35"/>
      <c r="L3111" s="32"/>
      <c r="M3111" s="32"/>
    </row>
    <row r="3112" customFormat="false" ht="15" hidden="false" customHeight="true" outlineLevel="0" collapsed="false">
      <c r="A3112" s="32"/>
      <c r="B3112" s="32"/>
      <c r="C3112" s="32"/>
      <c r="D3112" s="32"/>
      <c r="E3112" s="34" t="str">
        <f aca="false">IF($B3112="","",IF($B3112="OUT","Liters",IFERROR(INDEX(Setup!$F$3:$F$24,MATCH($C3112,Setup!$A$3:$A$24,0)),"")))</f>
        <v/>
      </c>
      <c r="F3112" s="28" t="str">
        <f aca="false">IF(OR($D3112="",$E3112=""),"",IFERROR($D3112*INDEX(Setup!$B$27:$B$44,MATCH($E3112,Setup!$A$27:$A$44,0)),"TBD"))</f>
        <v/>
      </c>
      <c r="G3112" s="32"/>
      <c r="H3112" s="32"/>
      <c r="I3112" s="32"/>
      <c r="J3112" s="32"/>
      <c r="K3112" s="35"/>
      <c r="L3112" s="32"/>
      <c r="M3112" s="32"/>
    </row>
    <row r="3113" customFormat="false" ht="15" hidden="false" customHeight="true" outlineLevel="0" collapsed="false">
      <c r="A3113" s="32"/>
      <c r="B3113" s="32"/>
      <c r="C3113" s="32"/>
      <c r="D3113" s="32"/>
      <c r="E3113" s="34" t="str">
        <f aca="false">IF($B3113="","",IF($B3113="OUT","Liters",IFERROR(INDEX(Setup!$F$3:$F$24,MATCH($C3113,Setup!$A$3:$A$24,0)),"")))</f>
        <v/>
      </c>
      <c r="F3113" s="28" t="str">
        <f aca="false">IF(OR($D3113="",$E3113=""),"",IFERROR($D3113*INDEX(Setup!$B$27:$B$44,MATCH($E3113,Setup!$A$27:$A$44,0)),"TBD"))</f>
        <v/>
      </c>
      <c r="G3113" s="32"/>
      <c r="H3113" s="32"/>
      <c r="I3113" s="32"/>
      <c r="J3113" s="32"/>
      <c r="K3113" s="35"/>
      <c r="L3113" s="32"/>
      <c r="M3113" s="32"/>
    </row>
    <row r="3114" customFormat="false" ht="15" hidden="false" customHeight="true" outlineLevel="0" collapsed="false">
      <c r="A3114" s="32"/>
      <c r="B3114" s="32"/>
      <c r="C3114" s="32"/>
      <c r="D3114" s="32"/>
      <c r="E3114" s="34" t="str">
        <f aca="false">IF($B3114="","",IF($B3114="OUT","Liters",IFERROR(INDEX(Setup!$F$3:$F$24,MATCH($C3114,Setup!$A$3:$A$24,0)),"")))</f>
        <v/>
      </c>
      <c r="F3114" s="28" t="str">
        <f aca="false">IF(OR($D3114="",$E3114=""),"",IFERROR($D3114*INDEX(Setup!$B$27:$B$44,MATCH($E3114,Setup!$A$27:$A$44,0)),"TBD"))</f>
        <v/>
      </c>
      <c r="G3114" s="32"/>
      <c r="H3114" s="32"/>
      <c r="I3114" s="32"/>
      <c r="J3114" s="32"/>
      <c r="K3114" s="35"/>
      <c r="L3114" s="32"/>
      <c r="M3114" s="32"/>
    </row>
    <row r="3115" customFormat="false" ht="15" hidden="false" customHeight="true" outlineLevel="0" collapsed="false">
      <c r="A3115" s="32"/>
      <c r="B3115" s="32"/>
      <c r="C3115" s="32"/>
      <c r="D3115" s="32"/>
      <c r="E3115" s="34" t="str">
        <f aca="false">IF($B3115="","",IF($B3115="OUT","Liters",IFERROR(INDEX(Setup!$F$3:$F$24,MATCH($C3115,Setup!$A$3:$A$24,0)),"")))</f>
        <v/>
      </c>
      <c r="F3115" s="28" t="str">
        <f aca="false">IF(OR($D3115="",$E3115=""),"",IFERROR($D3115*INDEX(Setup!$B$27:$B$44,MATCH($E3115,Setup!$A$27:$A$44,0)),"TBD"))</f>
        <v/>
      </c>
      <c r="G3115" s="32"/>
      <c r="H3115" s="32"/>
      <c r="I3115" s="32"/>
      <c r="J3115" s="32"/>
      <c r="K3115" s="35"/>
      <c r="L3115" s="32"/>
      <c r="M3115" s="32"/>
    </row>
    <row r="3116" customFormat="false" ht="15" hidden="false" customHeight="true" outlineLevel="0" collapsed="false">
      <c r="A3116" s="32"/>
      <c r="B3116" s="32"/>
      <c r="C3116" s="32"/>
      <c r="D3116" s="32"/>
      <c r="E3116" s="34" t="str">
        <f aca="false">IF($B3116="","",IF($B3116="OUT","Liters",IFERROR(INDEX(Setup!$F$3:$F$24,MATCH($C3116,Setup!$A$3:$A$24,0)),"")))</f>
        <v/>
      </c>
      <c r="F3116" s="28" t="str">
        <f aca="false">IF(OR($D3116="",$E3116=""),"",IFERROR($D3116*INDEX(Setup!$B$27:$B$44,MATCH($E3116,Setup!$A$27:$A$44,0)),"TBD"))</f>
        <v/>
      </c>
      <c r="G3116" s="32"/>
      <c r="H3116" s="32"/>
      <c r="I3116" s="32"/>
      <c r="J3116" s="32"/>
      <c r="K3116" s="35"/>
      <c r="L3116" s="32"/>
      <c r="M3116" s="32"/>
    </row>
    <row r="3117" customFormat="false" ht="15" hidden="false" customHeight="true" outlineLevel="0" collapsed="false">
      <c r="A3117" s="32"/>
      <c r="B3117" s="32"/>
      <c r="C3117" s="32"/>
      <c r="D3117" s="32"/>
      <c r="E3117" s="34" t="str">
        <f aca="false">IF($B3117="","",IF($B3117="OUT","Liters",IFERROR(INDEX(Setup!$F$3:$F$24,MATCH($C3117,Setup!$A$3:$A$24,0)),"")))</f>
        <v/>
      </c>
      <c r="F3117" s="28" t="str">
        <f aca="false">IF(OR($D3117="",$E3117=""),"",IFERROR($D3117*INDEX(Setup!$B$27:$B$44,MATCH($E3117,Setup!$A$27:$A$44,0)),"TBD"))</f>
        <v/>
      </c>
      <c r="G3117" s="32"/>
      <c r="H3117" s="32"/>
      <c r="I3117" s="32"/>
      <c r="J3117" s="32"/>
      <c r="K3117" s="35"/>
      <c r="L3117" s="32"/>
      <c r="M3117" s="32"/>
    </row>
    <row r="3118" customFormat="false" ht="15" hidden="false" customHeight="true" outlineLevel="0" collapsed="false">
      <c r="A3118" s="32"/>
      <c r="B3118" s="32"/>
      <c r="C3118" s="32"/>
      <c r="D3118" s="32"/>
      <c r="E3118" s="34" t="str">
        <f aca="false">IF($B3118="","",IF($B3118="OUT","Liters",IFERROR(INDEX(Setup!$F$3:$F$24,MATCH($C3118,Setup!$A$3:$A$24,0)),"")))</f>
        <v/>
      </c>
      <c r="F3118" s="28" t="str">
        <f aca="false">IF(OR($D3118="",$E3118=""),"",IFERROR($D3118*INDEX(Setup!$B$27:$B$44,MATCH($E3118,Setup!$A$27:$A$44,0)),"TBD"))</f>
        <v/>
      </c>
      <c r="G3118" s="32"/>
      <c r="H3118" s="32"/>
      <c r="I3118" s="32"/>
      <c r="J3118" s="32"/>
      <c r="K3118" s="35"/>
      <c r="L3118" s="32"/>
      <c r="M3118" s="32"/>
    </row>
    <row r="3119" customFormat="false" ht="15" hidden="false" customHeight="true" outlineLevel="0" collapsed="false">
      <c r="A3119" s="32"/>
      <c r="B3119" s="32"/>
      <c r="C3119" s="32"/>
      <c r="D3119" s="32"/>
      <c r="E3119" s="34" t="str">
        <f aca="false">IF($B3119="","",IF($B3119="OUT","Liters",IFERROR(INDEX(Setup!$F$3:$F$24,MATCH($C3119,Setup!$A$3:$A$24,0)),"")))</f>
        <v/>
      </c>
      <c r="F3119" s="28" t="str">
        <f aca="false">IF(OR($D3119="",$E3119=""),"",IFERROR($D3119*INDEX(Setup!$B$27:$B$44,MATCH($E3119,Setup!$A$27:$A$44,0)),"TBD"))</f>
        <v/>
      </c>
      <c r="G3119" s="32"/>
      <c r="H3119" s="32"/>
      <c r="I3119" s="32"/>
      <c r="J3119" s="32"/>
      <c r="K3119" s="35"/>
      <c r="L3119" s="32"/>
      <c r="M3119" s="32"/>
    </row>
    <row r="3120" customFormat="false" ht="15" hidden="false" customHeight="true" outlineLevel="0" collapsed="false">
      <c r="A3120" s="32"/>
      <c r="B3120" s="32"/>
      <c r="C3120" s="32"/>
      <c r="D3120" s="32"/>
      <c r="E3120" s="34" t="str">
        <f aca="false">IF($B3120="","",IF($B3120="OUT","Liters",IFERROR(INDEX(Setup!$F$3:$F$24,MATCH($C3120,Setup!$A$3:$A$24,0)),"")))</f>
        <v/>
      </c>
      <c r="F3120" s="28" t="str">
        <f aca="false">IF(OR($D3120="",$E3120=""),"",IFERROR($D3120*INDEX(Setup!$B$27:$B$44,MATCH($E3120,Setup!$A$27:$A$44,0)),"TBD"))</f>
        <v/>
      </c>
      <c r="G3120" s="32"/>
      <c r="H3120" s="32"/>
      <c r="I3120" s="32"/>
      <c r="J3120" s="32"/>
      <c r="K3120" s="35"/>
      <c r="L3120" s="32"/>
      <c r="M3120" s="32"/>
    </row>
    <row r="3121" customFormat="false" ht="15" hidden="false" customHeight="true" outlineLevel="0" collapsed="false">
      <c r="A3121" s="32"/>
      <c r="B3121" s="32"/>
      <c r="C3121" s="32"/>
      <c r="D3121" s="32"/>
      <c r="E3121" s="34" t="str">
        <f aca="false">IF($B3121="","",IF($B3121="OUT","Liters",IFERROR(INDEX(Setup!$F$3:$F$24,MATCH($C3121,Setup!$A$3:$A$24,0)),"")))</f>
        <v/>
      </c>
      <c r="F3121" s="28" t="str">
        <f aca="false">IF(OR($D3121="",$E3121=""),"",IFERROR($D3121*INDEX(Setup!$B$27:$B$44,MATCH($E3121,Setup!$A$27:$A$44,0)),"TBD"))</f>
        <v/>
      </c>
      <c r="G3121" s="32"/>
      <c r="H3121" s="32"/>
      <c r="I3121" s="32"/>
      <c r="J3121" s="32"/>
      <c r="K3121" s="35"/>
      <c r="L3121" s="32"/>
      <c r="M3121" s="32"/>
    </row>
    <row r="3122" customFormat="false" ht="15" hidden="false" customHeight="true" outlineLevel="0" collapsed="false">
      <c r="A3122" s="32"/>
      <c r="B3122" s="32"/>
      <c r="C3122" s="32"/>
      <c r="D3122" s="32"/>
      <c r="E3122" s="34" t="str">
        <f aca="false">IF($B3122="","",IF($B3122="OUT","Liters",IFERROR(INDEX(Setup!$F$3:$F$24,MATCH($C3122,Setup!$A$3:$A$24,0)),"")))</f>
        <v/>
      </c>
      <c r="F3122" s="28" t="str">
        <f aca="false">IF(OR($D3122="",$E3122=""),"",IFERROR($D3122*INDEX(Setup!$B$27:$B$44,MATCH($E3122,Setup!$A$27:$A$44,0)),"TBD"))</f>
        <v/>
      </c>
      <c r="G3122" s="32"/>
      <c r="H3122" s="32"/>
      <c r="I3122" s="32"/>
      <c r="J3122" s="32"/>
      <c r="K3122" s="35"/>
      <c r="L3122" s="32"/>
      <c r="M3122" s="32"/>
    </row>
    <row r="3123" customFormat="false" ht="15" hidden="false" customHeight="true" outlineLevel="0" collapsed="false">
      <c r="A3123" s="32"/>
      <c r="B3123" s="32"/>
      <c r="C3123" s="32"/>
      <c r="D3123" s="32"/>
      <c r="E3123" s="34" t="str">
        <f aca="false">IF($B3123="","",IF($B3123="OUT","Liters",IFERROR(INDEX(Setup!$F$3:$F$24,MATCH($C3123,Setup!$A$3:$A$24,0)),"")))</f>
        <v/>
      </c>
      <c r="F3123" s="28" t="str">
        <f aca="false">IF(OR($D3123="",$E3123=""),"",IFERROR($D3123*INDEX(Setup!$B$27:$B$44,MATCH($E3123,Setup!$A$27:$A$44,0)),"TBD"))</f>
        <v/>
      </c>
      <c r="G3123" s="32"/>
      <c r="H3123" s="32"/>
      <c r="I3123" s="32"/>
      <c r="J3123" s="32"/>
      <c r="K3123" s="35"/>
      <c r="L3123" s="32"/>
      <c r="M3123" s="32"/>
    </row>
    <row r="3124" customFormat="false" ht="15" hidden="false" customHeight="true" outlineLevel="0" collapsed="false">
      <c r="A3124" s="32"/>
      <c r="B3124" s="32"/>
      <c r="C3124" s="32"/>
      <c r="D3124" s="32"/>
      <c r="E3124" s="34" t="str">
        <f aca="false">IF($B3124="","",IF($B3124="OUT","Liters",IFERROR(INDEX(Setup!$F$3:$F$24,MATCH($C3124,Setup!$A$3:$A$24,0)),"")))</f>
        <v/>
      </c>
      <c r="F3124" s="28" t="str">
        <f aca="false">IF(OR($D3124="",$E3124=""),"",IFERROR($D3124*INDEX(Setup!$B$27:$B$44,MATCH($E3124,Setup!$A$27:$A$44,0)),"TBD"))</f>
        <v/>
      </c>
      <c r="G3124" s="32"/>
      <c r="H3124" s="32"/>
      <c r="I3124" s="32"/>
      <c r="J3124" s="32"/>
      <c r="K3124" s="35"/>
      <c r="L3124" s="32"/>
      <c r="M3124" s="32"/>
    </row>
    <row r="3125" customFormat="false" ht="15" hidden="false" customHeight="true" outlineLevel="0" collapsed="false">
      <c r="A3125" s="32"/>
      <c r="B3125" s="32"/>
      <c r="C3125" s="32"/>
      <c r="D3125" s="32"/>
      <c r="E3125" s="34" t="str">
        <f aca="false">IF($B3125="","",IF($B3125="OUT","Liters",IFERROR(INDEX(Setup!$F$3:$F$24,MATCH($C3125,Setup!$A$3:$A$24,0)),"")))</f>
        <v/>
      </c>
      <c r="F3125" s="28" t="str">
        <f aca="false">IF(OR($D3125="",$E3125=""),"",IFERROR($D3125*INDEX(Setup!$B$27:$B$44,MATCH($E3125,Setup!$A$27:$A$44,0)),"TBD"))</f>
        <v/>
      </c>
      <c r="G3125" s="32"/>
      <c r="H3125" s="32"/>
      <c r="I3125" s="32"/>
      <c r="J3125" s="32"/>
      <c r="K3125" s="35"/>
      <c r="L3125" s="32"/>
      <c r="M3125" s="32"/>
    </row>
    <row r="3126" customFormat="false" ht="15" hidden="false" customHeight="true" outlineLevel="0" collapsed="false">
      <c r="A3126" s="32"/>
      <c r="B3126" s="32"/>
      <c r="C3126" s="32"/>
      <c r="D3126" s="32"/>
      <c r="E3126" s="34" t="str">
        <f aca="false">IF($B3126="","",IF($B3126="OUT","Liters",IFERROR(INDEX(Setup!$F$3:$F$24,MATCH($C3126,Setup!$A$3:$A$24,0)),"")))</f>
        <v/>
      </c>
      <c r="F3126" s="28" t="str">
        <f aca="false">IF(OR($D3126="",$E3126=""),"",IFERROR($D3126*INDEX(Setup!$B$27:$B$44,MATCH($E3126,Setup!$A$27:$A$44,0)),"TBD"))</f>
        <v/>
      </c>
      <c r="G3126" s="32"/>
      <c r="H3126" s="32"/>
      <c r="I3126" s="32"/>
      <c r="J3126" s="32"/>
      <c r="K3126" s="35"/>
      <c r="L3126" s="32"/>
      <c r="M3126" s="32"/>
    </row>
    <row r="3127" customFormat="false" ht="15" hidden="false" customHeight="true" outlineLevel="0" collapsed="false">
      <c r="A3127" s="32"/>
      <c r="B3127" s="32"/>
      <c r="C3127" s="32"/>
      <c r="D3127" s="32"/>
      <c r="E3127" s="34" t="str">
        <f aca="false">IF($B3127="","",IF($B3127="OUT","Liters",IFERROR(INDEX(Setup!$F$3:$F$24,MATCH($C3127,Setup!$A$3:$A$24,0)),"")))</f>
        <v/>
      </c>
      <c r="F3127" s="28" t="str">
        <f aca="false">IF(OR($D3127="",$E3127=""),"",IFERROR($D3127*INDEX(Setup!$B$27:$B$44,MATCH($E3127,Setup!$A$27:$A$44,0)),"TBD"))</f>
        <v/>
      </c>
      <c r="G3127" s="32"/>
      <c r="H3127" s="32"/>
      <c r="I3127" s="32"/>
      <c r="J3127" s="32"/>
      <c r="K3127" s="35"/>
      <c r="L3127" s="32"/>
      <c r="M3127" s="32"/>
    </row>
    <row r="3128" customFormat="false" ht="15" hidden="false" customHeight="true" outlineLevel="0" collapsed="false">
      <c r="A3128" s="32"/>
      <c r="B3128" s="32"/>
      <c r="C3128" s="32"/>
      <c r="D3128" s="32"/>
      <c r="E3128" s="34" t="str">
        <f aca="false">IF($B3128="","",IF($B3128="OUT","Liters",IFERROR(INDEX(Setup!$F$3:$F$24,MATCH($C3128,Setup!$A$3:$A$24,0)),"")))</f>
        <v/>
      </c>
      <c r="F3128" s="28" t="str">
        <f aca="false">IF(OR($D3128="",$E3128=""),"",IFERROR($D3128*INDEX(Setup!$B$27:$B$44,MATCH($E3128,Setup!$A$27:$A$44,0)),"TBD"))</f>
        <v/>
      </c>
      <c r="G3128" s="32"/>
      <c r="H3128" s="32"/>
      <c r="I3128" s="32"/>
      <c r="J3128" s="32"/>
      <c r="K3128" s="35"/>
      <c r="L3128" s="32"/>
      <c r="M3128" s="32"/>
    </row>
    <row r="3129" customFormat="false" ht="15" hidden="false" customHeight="true" outlineLevel="0" collapsed="false">
      <c r="A3129" s="32"/>
      <c r="B3129" s="32"/>
      <c r="C3129" s="32"/>
      <c r="D3129" s="32"/>
      <c r="E3129" s="34" t="str">
        <f aca="false">IF($B3129="","",IF($B3129="OUT","Liters",IFERROR(INDEX(Setup!$F$3:$F$24,MATCH($C3129,Setup!$A$3:$A$24,0)),"")))</f>
        <v/>
      </c>
      <c r="F3129" s="28" t="str">
        <f aca="false">IF(OR($D3129="",$E3129=""),"",IFERROR($D3129*INDEX(Setup!$B$27:$B$44,MATCH($E3129,Setup!$A$27:$A$44,0)),"TBD"))</f>
        <v/>
      </c>
      <c r="G3129" s="32"/>
      <c r="H3129" s="32"/>
      <c r="I3129" s="32"/>
      <c r="J3129" s="32"/>
      <c r="K3129" s="35"/>
      <c r="L3129" s="32"/>
      <c r="M3129" s="32"/>
    </row>
    <row r="3130" customFormat="false" ht="15" hidden="false" customHeight="true" outlineLevel="0" collapsed="false">
      <c r="A3130" s="32"/>
      <c r="B3130" s="32"/>
      <c r="C3130" s="32"/>
      <c r="D3130" s="32"/>
      <c r="E3130" s="34" t="str">
        <f aca="false">IF($B3130="","",IF($B3130="OUT","Liters",IFERROR(INDEX(Setup!$F$3:$F$24,MATCH($C3130,Setup!$A$3:$A$24,0)),"")))</f>
        <v/>
      </c>
      <c r="F3130" s="28" t="str">
        <f aca="false">IF(OR($D3130="",$E3130=""),"",IFERROR($D3130*INDEX(Setup!$B$27:$B$44,MATCH($E3130,Setup!$A$27:$A$44,0)),"TBD"))</f>
        <v/>
      </c>
      <c r="G3130" s="32"/>
      <c r="H3130" s="32"/>
      <c r="I3130" s="32"/>
      <c r="J3130" s="32"/>
      <c r="K3130" s="35"/>
      <c r="L3130" s="32"/>
      <c r="M3130" s="32"/>
    </row>
    <row r="3131" customFormat="false" ht="15" hidden="false" customHeight="true" outlineLevel="0" collapsed="false">
      <c r="A3131" s="32"/>
      <c r="B3131" s="32"/>
      <c r="C3131" s="32"/>
      <c r="D3131" s="32"/>
      <c r="E3131" s="34" t="str">
        <f aca="false">IF($B3131="","",IF($B3131="OUT","Liters",IFERROR(INDEX(Setup!$F$3:$F$24,MATCH($C3131,Setup!$A$3:$A$24,0)),"")))</f>
        <v/>
      </c>
      <c r="F3131" s="28" t="str">
        <f aca="false">IF(OR($D3131="",$E3131=""),"",IFERROR($D3131*INDEX(Setup!$B$27:$B$44,MATCH($E3131,Setup!$A$27:$A$44,0)),"TBD"))</f>
        <v/>
      </c>
      <c r="G3131" s="32"/>
      <c r="H3131" s="32"/>
      <c r="I3131" s="32"/>
      <c r="J3131" s="32"/>
      <c r="K3131" s="35"/>
      <c r="L3131" s="32"/>
      <c r="M3131" s="32"/>
    </row>
    <row r="3132" customFormat="false" ht="15" hidden="false" customHeight="true" outlineLevel="0" collapsed="false">
      <c r="A3132" s="32"/>
      <c r="B3132" s="32"/>
      <c r="C3132" s="32"/>
      <c r="D3132" s="32"/>
      <c r="E3132" s="34" t="str">
        <f aca="false">IF($B3132="","",IF($B3132="OUT","Liters",IFERROR(INDEX(Setup!$F$3:$F$24,MATCH($C3132,Setup!$A$3:$A$24,0)),"")))</f>
        <v/>
      </c>
      <c r="F3132" s="28" t="str">
        <f aca="false">IF(OR($D3132="",$E3132=""),"",IFERROR($D3132*INDEX(Setup!$B$27:$B$44,MATCH($E3132,Setup!$A$27:$A$44,0)),"TBD"))</f>
        <v/>
      </c>
      <c r="G3132" s="32"/>
      <c r="H3132" s="32"/>
      <c r="I3132" s="32"/>
      <c r="J3132" s="32"/>
      <c r="K3132" s="35"/>
      <c r="L3132" s="32"/>
      <c r="M3132" s="32"/>
    </row>
    <row r="3133" customFormat="false" ht="15" hidden="false" customHeight="true" outlineLevel="0" collapsed="false">
      <c r="A3133" s="32"/>
      <c r="B3133" s="32"/>
      <c r="C3133" s="32"/>
      <c r="D3133" s="32"/>
      <c r="E3133" s="34" t="str">
        <f aca="false">IF($B3133="","",IF($B3133="OUT","Liters",IFERROR(INDEX(Setup!$F$3:$F$24,MATCH($C3133,Setup!$A$3:$A$24,0)),"")))</f>
        <v/>
      </c>
      <c r="F3133" s="28" t="str">
        <f aca="false">IF(OR($D3133="",$E3133=""),"",IFERROR($D3133*INDEX(Setup!$B$27:$B$44,MATCH($E3133,Setup!$A$27:$A$44,0)),"TBD"))</f>
        <v/>
      </c>
      <c r="G3133" s="32"/>
      <c r="H3133" s="32"/>
      <c r="I3133" s="32"/>
      <c r="J3133" s="32"/>
      <c r="K3133" s="35"/>
      <c r="L3133" s="32"/>
      <c r="M3133" s="32"/>
    </row>
    <row r="3134" customFormat="false" ht="15" hidden="false" customHeight="true" outlineLevel="0" collapsed="false">
      <c r="A3134" s="32"/>
      <c r="B3134" s="32"/>
      <c r="C3134" s="32"/>
      <c r="D3134" s="32"/>
      <c r="E3134" s="34" t="str">
        <f aca="false">IF($B3134="","",IF($B3134="OUT","Liters",IFERROR(INDEX(Setup!$F$3:$F$24,MATCH($C3134,Setup!$A$3:$A$24,0)),"")))</f>
        <v/>
      </c>
      <c r="F3134" s="28" t="str">
        <f aca="false">IF(OR($D3134="",$E3134=""),"",IFERROR($D3134*INDEX(Setup!$B$27:$B$44,MATCH($E3134,Setup!$A$27:$A$44,0)),"TBD"))</f>
        <v/>
      </c>
      <c r="G3134" s="32"/>
      <c r="H3134" s="32"/>
      <c r="I3134" s="32"/>
      <c r="J3134" s="32"/>
      <c r="K3134" s="35"/>
      <c r="L3134" s="32"/>
      <c r="M3134" s="32"/>
    </row>
    <row r="3135" customFormat="false" ht="15" hidden="false" customHeight="true" outlineLevel="0" collapsed="false">
      <c r="A3135" s="32"/>
      <c r="B3135" s="32"/>
      <c r="C3135" s="32"/>
      <c r="D3135" s="32"/>
      <c r="E3135" s="34" t="str">
        <f aca="false">IF($B3135="","",IF($B3135="OUT","Liters",IFERROR(INDEX(Setup!$F$3:$F$24,MATCH($C3135,Setup!$A$3:$A$24,0)),"")))</f>
        <v/>
      </c>
      <c r="F3135" s="28" t="str">
        <f aca="false">IF(OR($D3135="",$E3135=""),"",IFERROR($D3135*INDEX(Setup!$B$27:$B$44,MATCH($E3135,Setup!$A$27:$A$44,0)),"TBD"))</f>
        <v/>
      </c>
      <c r="G3135" s="32"/>
      <c r="H3135" s="32"/>
      <c r="I3135" s="32"/>
      <c r="J3135" s="32"/>
      <c r="K3135" s="35"/>
      <c r="L3135" s="32"/>
      <c r="M3135" s="32"/>
    </row>
    <row r="3136" customFormat="false" ht="15" hidden="false" customHeight="true" outlineLevel="0" collapsed="false">
      <c r="A3136" s="32"/>
      <c r="B3136" s="32"/>
      <c r="C3136" s="32"/>
      <c r="D3136" s="32"/>
      <c r="E3136" s="34" t="str">
        <f aca="false">IF($B3136="","",IF($B3136="OUT","Liters",IFERROR(INDEX(Setup!$F$3:$F$24,MATCH($C3136,Setup!$A$3:$A$24,0)),"")))</f>
        <v/>
      </c>
      <c r="F3136" s="28" t="str">
        <f aca="false">IF(OR($D3136="",$E3136=""),"",IFERROR($D3136*INDEX(Setup!$B$27:$B$44,MATCH($E3136,Setup!$A$27:$A$44,0)),"TBD"))</f>
        <v/>
      </c>
      <c r="G3136" s="32"/>
      <c r="H3136" s="32"/>
      <c r="I3136" s="32"/>
      <c r="J3136" s="32"/>
      <c r="K3136" s="35"/>
      <c r="L3136" s="32"/>
      <c r="M3136" s="32"/>
    </row>
    <row r="3137" customFormat="false" ht="15" hidden="false" customHeight="true" outlineLevel="0" collapsed="false">
      <c r="A3137" s="32"/>
      <c r="B3137" s="32"/>
      <c r="C3137" s="32"/>
      <c r="D3137" s="32"/>
      <c r="E3137" s="34" t="str">
        <f aca="false">IF($B3137="","",IF($B3137="OUT","Liters",IFERROR(INDEX(Setup!$F$3:$F$24,MATCH($C3137,Setup!$A$3:$A$24,0)),"")))</f>
        <v/>
      </c>
      <c r="F3137" s="28" t="str">
        <f aca="false">IF(OR($D3137="",$E3137=""),"",IFERROR($D3137*INDEX(Setup!$B$27:$B$44,MATCH($E3137,Setup!$A$27:$A$44,0)),"TBD"))</f>
        <v/>
      </c>
      <c r="G3137" s="32"/>
      <c r="H3137" s="32"/>
      <c r="I3137" s="32"/>
      <c r="J3137" s="32"/>
      <c r="K3137" s="35"/>
      <c r="L3137" s="32"/>
      <c r="M3137" s="32"/>
    </row>
    <row r="3138" customFormat="false" ht="15" hidden="false" customHeight="true" outlineLevel="0" collapsed="false">
      <c r="A3138" s="32"/>
      <c r="B3138" s="32"/>
      <c r="C3138" s="32"/>
      <c r="D3138" s="32"/>
      <c r="E3138" s="34" t="str">
        <f aca="false">IF($B3138="","",IF($B3138="OUT","Liters",IFERROR(INDEX(Setup!$F$3:$F$24,MATCH($C3138,Setup!$A$3:$A$24,0)),"")))</f>
        <v/>
      </c>
      <c r="F3138" s="28" t="str">
        <f aca="false">IF(OR($D3138="",$E3138=""),"",IFERROR($D3138*INDEX(Setup!$B$27:$B$44,MATCH($E3138,Setup!$A$27:$A$44,0)),"TBD"))</f>
        <v/>
      </c>
      <c r="G3138" s="32"/>
      <c r="H3138" s="32"/>
      <c r="I3138" s="32"/>
      <c r="J3138" s="32"/>
      <c r="K3138" s="35"/>
      <c r="L3138" s="32"/>
      <c r="M3138" s="32"/>
    </row>
    <row r="3139" customFormat="false" ht="15" hidden="false" customHeight="true" outlineLevel="0" collapsed="false">
      <c r="A3139" s="32"/>
      <c r="B3139" s="32"/>
      <c r="C3139" s="32"/>
      <c r="D3139" s="32"/>
      <c r="E3139" s="34" t="str">
        <f aca="false">IF($B3139="","",IF($B3139="OUT","Liters",IFERROR(INDEX(Setup!$F$3:$F$24,MATCH($C3139,Setup!$A$3:$A$24,0)),"")))</f>
        <v/>
      </c>
      <c r="F3139" s="28" t="str">
        <f aca="false">IF(OR($D3139="",$E3139=""),"",IFERROR($D3139*INDEX(Setup!$B$27:$B$44,MATCH($E3139,Setup!$A$27:$A$44,0)),"TBD"))</f>
        <v/>
      </c>
      <c r="G3139" s="32"/>
      <c r="H3139" s="32"/>
      <c r="I3139" s="32"/>
      <c r="J3139" s="32"/>
      <c r="K3139" s="35"/>
      <c r="L3139" s="32"/>
      <c r="M3139" s="32"/>
    </row>
    <row r="3140" customFormat="false" ht="15" hidden="false" customHeight="true" outlineLevel="0" collapsed="false">
      <c r="A3140" s="32"/>
      <c r="B3140" s="32"/>
      <c r="C3140" s="32"/>
      <c r="D3140" s="32"/>
      <c r="E3140" s="34" t="str">
        <f aca="false">IF($B3140="","",IF($B3140="OUT","Liters",IFERROR(INDEX(Setup!$F$3:$F$24,MATCH($C3140,Setup!$A$3:$A$24,0)),"")))</f>
        <v/>
      </c>
      <c r="F3140" s="28" t="str">
        <f aca="false">IF(OR($D3140="",$E3140=""),"",IFERROR($D3140*INDEX(Setup!$B$27:$B$44,MATCH($E3140,Setup!$A$27:$A$44,0)),"TBD"))</f>
        <v/>
      </c>
      <c r="G3140" s="32"/>
      <c r="H3140" s="32"/>
      <c r="I3140" s="32"/>
      <c r="J3140" s="32"/>
      <c r="K3140" s="35"/>
      <c r="L3140" s="32"/>
      <c r="M3140" s="32"/>
    </row>
    <row r="3141" customFormat="false" ht="15" hidden="false" customHeight="true" outlineLevel="0" collapsed="false">
      <c r="A3141" s="32"/>
      <c r="B3141" s="32"/>
      <c r="C3141" s="32"/>
      <c r="D3141" s="32"/>
      <c r="E3141" s="34" t="str">
        <f aca="false">IF($B3141="","",IF($B3141="OUT","Liters",IFERROR(INDEX(Setup!$F$3:$F$24,MATCH($C3141,Setup!$A$3:$A$24,0)),"")))</f>
        <v/>
      </c>
      <c r="F3141" s="28" t="str">
        <f aca="false">IF(OR($D3141="",$E3141=""),"",IFERROR($D3141*INDEX(Setup!$B$27:$B$44,MATCH($E3141,Setup!$A$27:$A$44,0)),"TBD"))</f>
        <v/>
      </c>
      <c r="G3141" s="32"/>
      <c r="H3141" s="32"/>
      <c r="I3141" s="32"/>
      <c r="J3141" s="32"/>
      <c r="K3141" s="35"/>
      <c r="L3141" s="32"/>
      <c r="M3141" s="32"/>
    </row>
    <row r="3142" customFormat="false" ht="15" hidden="false" customHeight="true" outlineLevel="0" collapsed="false">
      <c r="A3142" s="32"/>
      <c r="B3142" s="32"/>
      <c r="C3142" s="32"/>
      <c r="D3142" s="32"/>
      <c r="E3142" s="34" t="str">
        <f aca="false">IF($B3142="","",IF($B3142="OUT","Liters",IFERROR(INDEX(Setup!$F$3:$F$24,MATCH($C3142,Setup!$A$3:$A$24,0)),"")))</f>
        <v/>
      </c>
      <c r="F3142" s="28" t="str">
        <f aca="false">IF(OR($D3142="",$E3142=""),"",IFERROR($D3142*INDEX(Setup!$B$27:$B$44,MATCH($E3142,Setup!$A$27:$A$44,0)),"TBD"))</f>
        <v/>
      </c>
      <c r="G3142" s="32"/>
      <c r="H3142" s="32"/>
      <c r="I3142" s="32"/>
      <c r="J3142" s="32"/>
      <c r="K3142" s="35"/>
      <c r="L3142" s="32"/>
      <c r="M3142" s="32"/>
    </row>
    <row r="3143" customFormat="false" ht="15" hidden="false" customHeight="true" outlineLevel="0" collapsed="false">
      <c r="A3143" s="32"/>
      <c r="B3143" s="32"/>
      <c r="C3143" s="32"/>
      <c r="D3143" s="32"/>
      <c r="E3143" s="34" t="str">
        <f aca="false">IF($B3143="","",IF($B3143="OUT","Liters",IFERROR(INDEX(Setup!$F$3:$F$24,MATCH($C3143,Setup!$A$3:$A$24,0)),"")))</f>
        <v/>
      </c>
      <c r="F3143" s="28" t="str">
        <f aca="false">IF(OR($D3143="",$E3143=""),"",IFERROR($D3143*INDEX(Setup!$B$27:$B$44,MATCH($E3143,Setup!$A$27:$A$44,0)),"TBD"))</f>
        <v/>
      </c>
      <c r="G3143" s="32"/>
      <c r="H3143" s="32"/>
      <c r="I3143" s="32"/>
      <c r="J3143" s="32"/>
      <c r="K3143" s="35"/>
      <c r="L3143" s="32"/>
      <c r="M3143" s="32"/>
    </row>
    <row r="3144" customFormat="false" ht="15" hidden="false" customHeight="true" outlineLevel="0" collapsed="false">
      <c r="A3144" s="32"/>
      <c r="B3144" s="32"/>
      <c r="C3144" s="32"/>
      <c r="D3144" s="32"/>
      <c r="E3144" s="34" t="str">
        <f aca="false">IF($B3144="","",IF($B3144="OUT","Liters",IFERROR(INDEX(Setup!$F$3:$F$24,MATCH($C3144,Setup!$A$3:$A$24,0)),"")))</f>
        <v/>
      </c>
      <c r="F3144" s="28" t="str">
        <f aca="false">IF(OR($D3144="",$E3144=""),"",IFERROR($D3144*INDEX(Setup!$B$27:$B$44,MATCH($E3144,Setup!$A$27:$A$44,0)),"TBD"))</f>
        <v/>
      </c>
      <c r="G3144" s="32"/>
      <c r="H3144" s="32"/>
      <c r="I3144" s="32"/>
      <c r="J3144" s="32"/>
      <c r="K3144" s="35"/>
      <c r="L3144" s="32"/>
      <c r="M3144" s="32"/>
    </row>
    <row r="3145" customFormat="false" ht="15" hidden="false" customHeight="true" outlineLevel="0" collapsed="false">
      <c r="A3145" s="32"/>
      <c r="B3145" s="32"/>
      <c r="C3145" s="32"/>
      <c r="D3145" s="32"/>
      <c r="E3145" s="34" t="str">
        <f aca="false">IF($B3145="","",IF($B3145="OUT","Liters",IFERROR(INDEX(Setup!$F$3:$F$24,MATCH($C3145,Setup!$A$3:$A$24,0)),"")))</f>
        <v/>
      </c>
      <c r="F3145" s="28" t="str">
        <f aca="false">IF(OR($D3145="",$E3145=""),"",IFERROR($D3145*INDEX(Setup!$B$27:$B$44,MATCH($E3145,Setup!$A$27:$A$44,0)),"TBD"))</f>
        <v/>
      </c>
      <c r="G3145" s="32"/>
      <c r="H3145" s="32"/>
      <c r="I3145" s="32"/>
      <c r="J3145" s="32"/>
      <c r="K3145" s="35"/>
      <c r="L3145" s="32"/>
      <c r="M3145" s="32"/>
    </row>
    <row r="3146" customFormat="false" ht="15" hidden="false" customHeight="true" outlineLevel="0" collapsed="false">
      <c r="A3146" s="32"/>
      <c r="B3146" s="32"/>
      <c r="C3146" s="32"/>
      <c r="D3146" s="32"/>
      <c r="E3146" s="34" t="str">
        <f aca="false">IF($B3146="","",IF($B3146="OUT","Liters",IFERROR(INDEX(Setup!$F$3:$F$24,MATCH($C3146,Setup!$A$3:$A$24,0)),"")))</f>
        <v/>
      </c>
      <c r="F3146" s="28" t="str">
        <f aca="false">IF(OR($D3146="",$E3146=""),"",IFERROR($D3146*INDEX(Setup!$B$27:$B$44,MATCH($E3146,Setup!$A$27:$A$44,0)),"TBD"))</f>
        <v/>
      </c>
      <c r="G3146" s="32"/>
      <c r="H3146" s="32"/>
      <c r="I3146" s="32"/>
      <c r="J3146" s="32"/>
      <c r="K3146" s="35"/>
      <c r="L3146" s="32"/>
      <c r="M3146" s="32"/>
    </row>
    <row r="3147" customFormat="false" ht="15" hidden="false" customHeight="true" outlineLevel="0" collapsed="false">
      <c r="A3147" s="32"/>
      <c r="B3147" s="32"/>
      <c r="C3147" s="32"/>
      <c r="D3147" s="32"/>
      <c r="E3147" s="34" t="str">
        <f aca="false">IF($B3147="","",IF($B3147="OUT","Liters",IFERROR(INDEX(Setup!$F$3:$F$24,MATCH($C3147,Setup!$A$3:$A$24,0)),"")))</f>
        <v/>
      </c>
      <c r="F3147" s="28" t="str">
        <f aca="false">IF(OR($D3147="",$E3147=""),"",IFERROR($D3147*INDEX(Setup!$B$27:$B$44,MATCH($E3147,Setup!$A$27:$A$44,0)),"TBD"))</f>
        <v/>
      </c>
      <c r="G3147" s="32"/>
      <c r="H3147" s="32"/>
      <c r="I3147" s="32"/>
      <c r="J3147" s="32"/>
      <c r="K3147" s="35"/>
      <c r="L3147" s="32"/>
      <c r="M3147" s="32"/>
    </row>
    <row r="3148" customFormat="false" ht="15" hidden="false" customHeight="true" outlineLevel="0" collapsed="false">
      <c r="A3148" s="32"/>
      <c r="B3148" s="32"/>
      <c r="C3148" s="32"/>
      <c r="D3148" s="32"/>
      <c r="E3148" s="34" t="str">
        <f aca="false">IF($B3148="","",IF($B3148="OUT","Liters",IFERROR(INDEX(Setup!$F$3:$F$24,MATCH($C3148,Setup!$A$3:$A$24,0)),"")))</f>
        <v/>
      </c>
      <c r="F3148" s="28" t="str">
        <f aca="false">IF(OR($D3148="",$E3148=""),"",IFERROR($D3148*INDEX(Setup!$B$27:$B$44,MATCH($E3148,Setup!$A$27:$A$44,0)),"TBD"))</f>
        <v/>
      </c>
      <c r="G3148" s="32"/>
      <c r="H3148" s="32"/>
      <c r="I3148" s="32"/>
      <c r="J3148" s="32"/>
      <c r="K3148" s="35"/>
      <c r="L3148" s="32"/>
      <c r="M3148" s="32"/>
    </row>
    <row r="3149" customFormat="false" ht="15" hidden="false" customHeight="true" outlineLevel="0" collapsed="false">
      <c r="A3149" s="32"/>
      <c r="B3149" s="32"/>
      <c r="C3149" s="32"/>
      <c r="D3149" s="32"/>
      <c r="E3149" s="34" t="str">
        <f aca="false">IF($B3149="","",IF($B3149="OUT","Liters",IFERROR(INDEX(Setup!$F$3:$F$24,MATCH($C3149,Setup!$A$3:$A$24,0)),"")))</f>
        <v/>
      </c>
      <c r="F3149" s="28" t="str">
        <f aca="false">IF(OR($D3149="",$E3149=""),"",IFERROR($D3149*INDEX(Setup!$B$27:$B$44,MATCH($E3149,Setup!$A$27:$A$44,0)),"TBD"))</f>
        <v/>
      </c>
      <c r="G3149" s="32"/>
      <c r="H3149" s="32"/>
      <c r="I3149" s="32"/>
      <c r="J3149" s="32"/>
      <c r="K3149" s="35"/>
      <c r="L3149" s="32"/>
      <c r="M3149" s="32"/>
    </row>
    <row r="3150" customFormat="false" ht="15" hidden="false" customHeight="true" outlineLevel="0" collapsed="false">
      <c r="A3150" s="32"/>
      <c r="B3150" s="32"/>
      <c r="C3150" s="32"/>
      <c r="D3150" s="32"/>
      <c r="E3150" s="34" t="str">
        <f aca="false">IF($B3150="","",IF($B3150="OUT","Liters",IFERROR(INDEX(Setup!$F$3:$F$24,MATCH($C3150,Setup!$A$3:$A$24,0)),"")))</f>
        <v/>
      </c>
      <c r="F3150" s="28" t="str">
        <f aca="false">IF(OR($D3150="",$E3150=""),"",IFERROR($D3150*INDEX(Setup!$B$27:$B$44,MATCH($E3150,Setup!$A$27:$A$44,0)),"TBD"))</f>
        <v/>
      </c>
      <c r="G3150" s="32"/>
      <c r="H3150" s="32"/>
      <c r="I3150" s="32"/>
      <c r="J3150" s="32"/>
      <c r="K3150" s="35"/>
      <c r="L3150" s="32"/>
      <c r="M3150" s="32"/>
    </row>
    <row r="3151" customFormat="false" ht="15" hidden="false" customHeight="true" outlineLevel="0" collapsed="false">
      <c r="A3151" s="32"/>
      <c r="B3151" s="32"/>
      <c r="C3151" s="32"/>
      <c r="D3151" s="32"/>
      <c r="E3151" s="34" t="str">
        <f aca="false">IF($B3151="","",IF($B3151="OUT","Liters",IFERROR(INDEX(Setup!$F$3:$F$24,MATCH($C3151,Setup!$A$3:$A$24,0)),"")))</f>
        <v/>
      </c>
      <c r="F3151" s="28" t="str">
        <f aca="false">IF(OR($D3151="",$E3151=""),"",IFERROR($D3151*INDEX(Setup!$B$27:$B$44,MATCH($E3151,Setup!$A$27:$A$44,0)),"TBD"))</f>
        <v/>
      </c>
      <c r="G3151" s="32"/>
      <c r="H3151" s="32"/>
      <c r="I3151" s="32"/>
      <c r="J3151" s="32"/>
      <c r="K3151" s="35"/>
      <c r="L3151" s="32"/>
      <c r="M3151" s="32"/>
    </row>
    <row r="3152" customFormat="false" ht="15" hidden="false" customHeight="true" outlineLevel="0" collapsed="false">
      <c r="A3152" s="32"/>
      <c r="B3152" s="32"/>
      <c r="C3152" s="32"/>
      <c r="D3152" s="32"/>
      <c r="E3152" s="34" t="str">
        <f aca="false">IF($B3152="","",IF($B3152="OUT","Liters",IFERROR(INDEX(Setup!$F$3:$F$24,MATCH($C3152,Setup!$A$3:$A$24,0)),"")))</f>
        <v/>
      </c>
      <c r="F3152" s="28" t="str">
        <f aca="false">IF(OR($D3152="",$E3152=""),"",IFERROR($D3152*INDEX(Setup!$B$27:$B$44,MATCH($E3152,Setup!$A$27:$A$44,0)),"TBD"))</f>
        <v/>
      </c>
      <c r="G3152" s="32"/>
      <c r="H3152" s="32"/>
      <c r="I3152" s="32"/>
      <c r="J3152" s="32"/>
      <c r="K3152" s="35"/>
      <c r="L3152" s="32"/>
      <c r="M3152" s="32"/>
    </row>
    <row r="3153" customFormat="false" ht="15" hidden="false" customHeight="true" outlineLevel="0" collapsed="false">
      <c r="A3153" s="32"/>
      <c r="B3153" s="32"/>
      <c r="C3153" s="32"/>
      <c r="D3153" s="32"/>
      <c r="E3153" s="34" t="str">
        <f aca="false">IF($B3153="","",IF($B3153="OUT","Liters",IFERROR(INDEX(Setup!$F$3:$F$24,MATCH($C3153,Setup!$A$3:$A$24,0)),"")))</f>
        <v/>
      </c>
      <c r="F3153" s="28" t="str">
        <f aca="false">IF(OR($D3153="",$E3153=""),"",IFERROR($D3153*INDEX(Setup!$B$27:$B$44,MATCH($E3153,Setup!$A$27:$A$44,0)),"TBD"))</f>
        <v/>
      </c>
      <c r="G3153" s="32"/>
      <c r="H3153" s="32"/>
      <c r="I3153" s="32"/>
      <c r="J3153" s="32"/>
      <c r="K3153" s="35"/>
      <c r="L3153" s="32"/>
      <c r="M3153" s="32"/>
    </row>
    <row r="3154" customFormat="false" ht="15" hidden="false" customHeight="true" outlineLevel="0" collapsed="false">
      <c r="A3154" s="32"/>
      <c r="B3154" s="32"/>
      <c r="C3154" s="32"/>
      <c r="D3154" s="32"/>
      <c r="E3154" s="34" t="str">
        <f aca="false">IF($B3154="","",IF($B3154="OUT","Liters",IFERROR(INDEX(Setup!$F$3:$F$24,MATCH($C3154,Setup!$A$3:$A$24,0)),"")))</f>
        <v/>
      </c>
      <c r="F3154" s="28" t="str">
        <f aca="false">IF(OR($D3154="",$E3154=""),"",IFERROR($D3154*INDEX(Setup!$B$27:$B$44,MATCH($E3154,Setup!$A$27:$A$44,0)),"TBD"))</f>
        <v/>
      </c>
      <c r="G3154" s="32"/>
      <c r="H3154" s="32"/>
      <c r="I3154" s="32"/>
      <c r="J3154" s="32"/>
      <c r="K3154" s="35"/>
      <c r="L3154" s="32"/>
      <c r="M3154" s="32"/>
    </row>
    <row r="3155" customFormat="false" ht="15" hidden="false" customHeight="true" outlineLevel="0" collapsed="false">
      <c r="A3155" s="32"/>
      <c r="B3155" s="32"/>
      <c r="C3155" s="32"/>
      <c r="D3155" s="32"/>
      <c r="E3155" s="34" t="str">
        <f aca="false">IF($B3155="","",IF($B3155="OUT","Liters",IFERROR(INDEX(Setup!$F$3:$F$24,MATCH($C3155,Setup!$A$3:$A$24,0)),"")))</f>
        <v/>
      </c>
      <c r="F3155" s="28" t="str">
        <f aca="false">IF(OR($D3155="",$E3155=""),"",IFERROR($D3155*INDEX(Setup!$B$27:$B$44,MATCH($E3155,Setup!$A$27:$A$44,0)),"TBD"))</f>
        <v/>
      </c>
      <c r="G3155" s="32"/>
      <c r="H3155" s="32"/>
      <c r="I3155" s="32"/>
      <c r="J3155" s="32"/>
      <c r="K3155" s="35"/>
      <c r="L3155" s="32"/>
      <c r="M3155" s="32"/>
    </row>
    <row r="3156" customFormat="false" ht="15" hidden="false" customHeight="true" outlineLevel="0" collapsed="false">
      <c r="A3156" s="32"/>
      <c r="B3156" s="32"/>
      <c r="C3156" s="32"/>
      <c r="D3156" s="32"/>
      <c r="E3156" s="34" t="str">
        <f aca="false">IF($B3156="","",IF($B3156="OUT","Liters",IFERROR(INDEX(Setup!$F$3:$F$24,MATCH($C3156,Setup!$A$3:$A$24,0)),"")))</f>
        <v/>
      </c>
      <c r="F3156" s="28" t="str">
        <f aca="false">IF(OR($D3156="",$E3156=""),"",IFERROR($D3156*INDEX(Setup!$B$27:$B$44,MATCH($E3156,Setup!$A$27:$A$44,0)),"TBD"))</f>
        <v/>
      </c>
      <c r="G3156" s="32"/>
      <c r="H3156" s="32"/>
      <c r="I3156" s="32"/>
      <c r="J3156" s="32"/>
      <c r="K3156" s="35"/>
      <c r="L3156" s="32"/>
      <c r="M3156" s="32"/>
    </row>
    <row r="3157" customFormat="false" ht="15" hidden="false" customHeight="true" outlineLevel="0" collapsed="false">
      <c r="A3157" s="32"/>
      <c r="B3157" s="32"/>
      <c r="C3157" s="32"/>
      <c r="D3157" s="32"/>
      <c r="E3157" s="34" t="str">
        <f aca="false">IF($B3157="","",IF($B3157="OUT","Liters",IFERROR(INDEX(Setup!$F$3:$F$24,MATCH($C3157,Setup!$A$3:$A$24,0)),"")))</f>
        <v/>
      </c>
      <c r="F3157" s="28" t="str">
        <f aca="false">IF(OR($D3157="",$E3157=""),"",IFERROR($D3157*INDEX(Setup!$B$27:$B$44,MATCH($E3157,Setup!$A$27:$A$44,0)),"TBD"))</f>
        <v/>
      </c>
      <c r="G3157" s="32"/>
      <c r="H3157" s="32"/>
      <c r="I3157" s="32"/>
      <c r="J3157" s="32"/>
      <c r="K3157" s="35"/>
      <c r="L3157" s="32"/>
      <c r="M3157" s="32"/>
    </row>
    <row r="3158" customFormat="false" ht="15" hidden="false" customHeight="true" outlineLevel="0" collapsed="false">
      <c r="A3158" s="32"/>
      <c r="B3158" s="32"/>
      <c r="C3158" s="32"/>
      <c r="D3158" s="32"/>
      <c r="E3158" s="34" t="str">
        <f aca="false">IF($B3158="","",IF($B3158="OUT","Liters",IFERROR(INDEX(Setup!$F$3:$F$24,MATCH($C3158,Setup!$A$3:$A$24,0)),"")))</f>
        <v/>
      </c>
      <c r="F3158" s="28" t="str">
        <f aca="false">IF(OR($D3158="",$E3158=""),"",IFERROR($D3158*INDEX(Setup!$B$27:$B$44,MATCH($E3158,Setup!$A$27:$A$44,0)),"TBD"))</f>
        <v/>
      </c>
      <c r="G3158" s="32"/>
      <c r="H3158" s="32"/>
      <c r="I3158" s="32"/>
      <c r="J3158" s="32"/>
      <c r="K3158" s="35"/>
      <c r="L3158" s="32"/>
      <c r="M3158" s="32"/>
    </row>
    <row r="3159" customFormat="false" ht="15" hidden="false" customHeight="true" outlineLevel="0" collapsed="false">
      <c r="A3159" s="32"/>
      <c r="B3159" s="32"/>
      <c r="C3159" s="32"/>
      <c r="D3159" s="32"/>
      <c r="E3159" s="34" t="str">
        <f aca="false">IF($B3159="","",IF($B3159="OUT","Liters",IFERROR(INDEX(Setup!$F$3:$F$24,MATCH($C3159,Setup!$A$3:$A$24,0)),"")))</f>
        <v/>
      </c>
      <c r="F3159" s="28" t="str">
        <f aca="false">IF(OR($D3159="",$E3159=""),"",IFERROR($D3159*INDEX(Setup!$B$27:$B$44,MATCH($E3159,Setup!$A$27:$A$44,0)),"TBD"))</f>
        <v/>
      </c>
      <c r="G3159" s="32"/>
      <c r="H3159" s="32"/>
      <c r="I3159" s="32"/>
      <c r="J3159" s="32"/>
      <c r="K3159" s="35"/>
      <c r="L3159" s="32"/>
      <c r="M3159" s="32"/>
    </row>
    <row r="3160" customFormat="false" ht="15" hidden="false" customHeight="true" outlineLevel="0" collapsed="false">
      <c r="A3160" s="32"/>
      <c r="B3160" s="32"/>
      <c r="C3160" s="32"/>
      <c r="D3160" s="32"/>
      <c r="E3160" s="34" t="str">
        <f aca="false">IF($B3160="","",IF($B3160="OUT","Liters",IFERROR(INDEX(Setup!$F$3:$F$24,MATCH($C3160,Setup!$A$3:$A$24,0)),"")))</f>
        <v/>
      </c>
      <c r="F3160" s="28" t="str">
        <f aca="false">IF(OR($D3160="",$E3160=""),"",IFERROR($D3160*INDEX(Setup!$B$27:$B$44,MATCH($E3160,Setup!$A$27:$A$44,0)),"TBD"))</f>
        <v/>
      </c>
      <c r="G3160" s="32"/>
      <c r="H3160" s="32"/>
      <c r="I3160" s="32"/>
      <c r="J3160" s="32"/>
      <c r="K3160" s="35"/>
      <c r="L3160" s="32"/>
      <c r="M3160" s="32"/>
    </row>
    <row r="3161" customFormat="false" ht="15" hidden="false" customHeight="true" outlineLevel="0" collapsed="false">
      <c r="A3161" s="32"/>
      <c r="B3161" s="32"/>
      <c r="C3161" s="32"/>
      <c r="D3161" s="32"/>
      <c r="E3161" s="34" t="str">
        <f aca="false">IF($B3161="","",IF($B3161="OUT","Liters",IFERROR(INDEX(Setup!$F$3:$F$24,MATCH($C3161,Setup!$A$3:$A$24,0)),"")))</f>
        <v/>
      </c>
      <c r="F3161" s="28" t="str">
        <f aca="false">IF(OR($D3161="",$E3161=""),"",IFERROR($D3161*INDEX(Setup!$B$27:$B$44,MATCH($E3161,Setup!$A$27:$A$44,0)),"TBD"))</f>
        <v/>
      </c>
      <c r="G3161" s="32"/>
      <c r="H3161" s="32"/>
      <c r="I3161" s="32"/>
      <c r="J3161" s="32"/>
      <c r="K3161" s="35"/>
      <c r="L3161" s="32"/>
      <c r="M3161" s="32"/>
    </row>
    <row r="3162" customFormat="false" ht="15" hidden="false" customHeight="true" outlineLevel="0" collapsed="false">
      <c r="A3162" s="32"/>
      <c r="B3162" s="32"/>
      <c r="C3162" s="32"/>
      <c r="D3162" s="32"/>
      <c r="E3162" s="34" t="str">
        <f aca="false">IF($B3162="","",IF($B3162="OUT","Liters",IFERROR(INDEX(Setup!$F$3:$F$24,MATCH($C3162,Setup!$A$3:$A$24,0)),"")))</f>
        <v/>
      </c>
      <c r="F3162" s="28" t="str">
        <f aca="false">IF(OR($D3162="",$E3162=""),"",IFERROR($D3162*INDEX(Setup!$B$27:$B$44,MATCH($E3162,Setup!$A$27:$A$44,0)),"TBD"))</f>
        <v/>
      </c>
      <c r="G3162" s="32"/>
      <c r="H3162" s="32"/>
      <c r="I3162" s="32"/>
      <c r="J3162" s="32"/>
      <c r="K3162" s="35"/>
      <c r="L3162" s="32"/>
      <c r="M3162" s="32"/>
    </row>
    <row r="3163" customFormat="false" ht="15" hidden="false" customHeight="true" outlineLevel="0" collapsed="false">
      <c r="A3163" s="32"/>
      <c r="B3163" s="32"/>
      <c r="C3163" s="32"/>
      <c r="D3163" s="32"/>
      <c r="E3163" s="34" t="str">
        <f aca="false">IF($B3163="","",IF($B3163="OUT","Liters",IFERROR(INDEX(Setup!$F$3:$F$24,MATCH($C3163,Setup!$A$3:$A$24,0)),"")))</f>
        <v/>
      </c>
      <c r="F3163" s="28" t="str">
        <f aca="false">IF(OR($D3163="",$E3163=""),"",IFERROR($D3163*INDEX(Setup!$B$27:$B$44,MATCH($E3163,Setup!$A$27:$A$44,0)),"TBD"))</f>
        <v/>
      </c>
      <c r="G3163" s="32"/>
      <c r="H3163" s="32"/>
      <c r="I3163" s="32"/>
      <c r="J3163" s="32"/>
      <c r="K3163" s="35"/>
      <c r="L3163" s="32"/>
      <c r="M3163" s="32"/>
    </row>
    <row r="3164" customFormat="false" ht="15" hidden="false" customHeight="true" outlineLevel="0" collapsed="false">
      <c r="A3164" s="32"/>
      <c r="B3164" s="32"/>
      <c r="C3164" s="32"/>
      <c r="D3164" s="32"/>
      <c r="E3164" s="34" t="str">
        <f aca="false">IF($B3164="","",IF($B3164="OUT","Liters",IFERROR(INDEX(Setup!$F$3:$F$24,MATCH($C3164,Setup!$A$3:$A$24,0)),"")))</f>
        <v/>
      </c>
      <c r="F3164" s="28" t="str">
        <f aca="false">IF(OR($D3164="",$E3164=""),"",IFERROR($D3164*INDEX(Setup!$B$27:$B$44,MATCH($E3164,Setup!$A$27:$A$44,0)),"TBD"))</f>
        <v/>
      </c>
      <c r="G3164" s="32"/>
      <c r="H3164" s="32"/>
      <c r="I3164" s="32"/>
      <c r="J3164" s="32"/>
      <c r="K3164" s="35"/>
      <c r="L3164" s="32"/>
      <c r="M3164" s="32"/>
    </row>
    <row r="3165" customFormat="false" ht="15" hidden="false" customHeight="true" outlineLevel="0" collapsed="false">
      <c r="A3165" s="32"/>
      <c r="B3165" s="32"/>
      <c r="C3165" s="32"/>
      <c r="D3165" s="32"/>
      <c r="E3165" s="34" t="str">
        <f aca="false">IF($B3165="","",IF($B3165="OUT","Liters",IFERROR(INDEX(Setup!$F$3:$F$24,MATCH($C3165,Setup!$A$3:$A$24,0)),"")))</f>
        <v/>
      </c>
      <c r="F3165" s="28" t="str">
        <f aca="false">IF(OR($D3165="",$E3165=""),"",IFERROR($D3165*INDEX(Setup!$B$27:$B$44,MATCH($E3165,Setup!$A$27:$A$44,0)),"TBD"))</f>
        <v/>
      </c>
      <c r="G3165" s="32"/>
      <c r="H3165" s="32"/>
      <c r="I3165" s="32"/>
      <c r="J3165" s="32"/>
      <c r="K3165" s="35"/>
      <c r="L3165" s="32"/>
      <c r="M3165" s="32"/>
    </row>
    <row r="3166" customFormat="false" ht="15" hidden="false" customHeight="true" outlineLevel="0" collapsed="false">
      <c r="A3166" s="32"/>
      <c r="B3166" s="32"/>
      <c r="C3166" s="32"/>
      <c r="D3166" s="32"/>
      <c r="E3166" s="34" t="str">
        <f aca="false">IF($B3166="","",IF($B3166="OUT","Liters",IFERROR(INDEX(Setup!$F$3:$F$24,MATCH($C3166,Setup!$A$3:$A$24,0)),"")))</f>
        <v/>
      </c>
      <c r="F3166" s="28" t="str">
        <f aca="false">IF(OR($D3166="",$E3166=""),"",IFERROR($D3166*INDEX(Setup!$B$27:$B$44,MATCH($E3166,Setup!$A$27:$A$44,0)),"TBD"))</f>
        <v/>
      </c>
      <c r="G3166" s="32"/>
      <c r="H3166" s="32"/>
      <c r="I3166" s="32"/>
      <c r="J3166" s="32"/>
      <c r="K3166" s="35"/>
      <c r="L3166" s="32"/>
      <c r="M3166" s="32"/>
    </row>
    <row r="3167" customFormat="false" ht="15" hidden="false" customHeight="true" outlineLevel="0" collapsed="false">
      <c r="A3167" s="32"/>
      <c r="B3167" s="32"/>
      <c r="C3167" s="32"/>
      <c r="D3167" s="32"/>
      <c r="E3167" s="34" t="str">
        <f aca="false">IF($B3167="","",IF($B3167="OUT","Liters",IFERROR(INDEX(Setup!$F$3:$F$24,MATCH($C3167,Setup!$A$3:$A$24,0)),"")))</f>
        <v/>
      </c>
      <c r="F3167" s="28" t="str">
        <f aca="false">IF(OR($D3167="",$E3167=""),"",IFERROR($D3167*INDEX(Setup!$B$27:$B$44,MATCH($E3167,Setup!$A$27:$A$44,0)),"TBD"))</f>
        <v/>
      </c>
      <c r="G3167" s="32"/>
      <c r="H3167" s="32"/>
      <c r="I3167" s="32"/>
      <c r="J3167" s="32"/>
      <c r="K3167" s="35"/>
      <c r="L3167" s="32"/>
      <c r="M3167" s="32"/>
    </row>
    <row r="3168" customFormat="false" ht="15" hidden="false" customHeight="true" outlineLevel="0" collapsed="false">
      <c r="A3168" s="32"/>
      <c r="B3168" s="32"/>
      <c r="C3168" s="32"/>
      <c r="D3168" s="32"/>
      <c r="E3168" s="34" t="str">
        <f aca="false">IF($B3168="","",IF($B3168="OUT","Liters",IFERROR(INDEX(Setup!$F$3:$F$24,MATCH($C3168,Setup!$A$3:$A$24,0)),"")))</f>
        <v/>
      </c>
      <c r="F3168" s="28" t="str">
        <f aca="false">IF(OR($D3168="",$E3168=""),"",IFERROR($D3168*INDEX(Setup!$B$27:$B$44,MATCH($E3168,Setup!$A$27:$A$44,0)),"TBD"))</f>
        <v/>
      </c>
      <c r="G3168" s="32"/>
      <c r="H3168" s="32"/>
      <c r="I3168" s="32"/>
      <c r="J3168" s="32"/>
      <c r="K3168" s="35"/>
      <c r="L3168" s="32"/>
      <c r="M3168" s="32"/>
    </row>
    <row r="3169" customFormat="false" ht="15" hidden="false" customHeight="true" outlineLevel="0" collapsed="false">
      <c r="A3169" s="32"/>
      <c r="B3169" s="32"/>
      <c r="C3169" s="32"/>
      <c r="D3169" s="32"/>
      <c r="E3169" s="34" t="str">
        <f aca="false">IF($B3169="","",IF($B3169="OUT","Liters",IFERROR(INDEX(Setup!$F$3:$F$24,MATCH($C3169,Setup!$A$3:$A$24,0)),"")))</f>
        <v/>
      </c>
      <c r="F3169" s="28" t="str">
        <f aca="false">IF(OR($D3169="",$E3169=""),"",IFERROR($D3169*INDEX(Setup!$B$27:$B$44,MATCH($E3169,Setup!$A$27:$A$44,0)),"TBD"))</f>
        <v/>
      </c>
      <c r="G3169" s="32"/>
      <c r="H3169" s="32"/>
      <c r="I3169" s="32"/>
      <c r="J3169" s="32"/>
      <c r="K3169" s="35"/>
      <c r="L3169" s="32"/>
      <c r="M3169" s="32"/>
    </row>
    <row r="3170" customFormat="false" ht="15" hidden="false" customHeight="true" outlineLevel="0" collapsed="false">
      <c r="A3170" s="32"/>
      <c r="B3170" s="32"/>
      <c r="C3170" s="32"/>
      <c r="D3170" s="32"/>
      <c r="E3170" s="34" t="str">
        <f aca="false">IF($B3170="","",IF($B3170="OUT","Liters",IFERROR(INDEX(Setup!$F$3:$F$24,MATCH($C3170,Setup!$A$3:$A$24,0)),"")))</f>
        <v/>
      </c>
      <c r="F3170" s="28" t="str">
        <f aca="false">IF(OR($D3170="",$E3170=""),"",IFERROR($D3170*INDEX(Setup!$B$27:$B$44,MATCH($E3170,Setup!$A$27:$A$44,0)),"TBD"))</f>
        <v/>
      </c>
      <c r="G3170" s="32"/>
      <c r="H3170" s="32"/>
      <c r="I3170" s="32"/>
      <c r="J3170" s="32"/>
      <c r="K3170" s="35"/>
      <c r="L3170" s="32"/>
      <c r="M3170" s="32"/>
    </row>
    <row r="3171" customFormat="false" ht="15" hidden="false" customHeight="true" outlineLevel="0" collapsed="false">
      <c r="A3171" s="32"/>
      <c r="B3171" s="32"/>
      <c r="C3171" s="32"/>
      <c r="D3171" s="32"/>
      <c r="E3171" s="34" t="str">
        <f aca="false">IF($B3171="","",IF($B3171="OUT","Liters",IFERROR(INDEX(Setup!$F$3:$F$24,MATCH($C3171,Setup!$A$3:$A$24,0)),"")))</f>
        <v/>
      </c>
      <c r="F3171" s="28" t="str">
        <f aca="false">IF(OR($D3171="",$E3171=""),"",IFERROR($D3171*INDEX(Setup!$B$27:$B$44,MATCH($E3171,Setup!$A$27:$A$44,0)),"TBD"))</f>
        <v/>
      </c>
      <c r="G3171" s="32"/>
      <c r="H3171" s="32"/>
      <c r="I3171" s="32"/>
      <c r="J3171" s="32"/>
      <c r="K3171" s="35"/>
      <c r="L3171" s="32"/>
      <c r="M3171" s="32"/>
    </row>
    <row r="3172" customFormat="false" ht="15" hidden="false" customHeight="true" outlineLevel="0" collapsed="false">
      <c r="A3172" s="32"/>
      <c r="B3172" s="32"/>
      <c r="C3172" s="32"/>
      <c r="D3172" s="32"/>
      <c r="E3172" s="34" t="str">
        <f aca="false">IF($B3172="","",IF($B3172="OUT","Liters",IFERROR(INDEX(Setup!$F$3:$F$24,MATCH($C3172,Setup!$A$3:$A$24,0)),"")))</f>
        <v/>
      </c>
      <c r="F3172" s="28" t="str">
        <f aca="false">IF(OR($D3172="",$E3172=""),"",IFERROR($D3172*INDEX(Setup!$B$27:$B$44,MATCH($E3172,Setup!$A$27:$A$44,0)),"TBD"))</f>
        <v/>
      </c>
      <c r="G3172" s="32"/>
      <c r="H3172" s="32"/>
      <c r="I3172" s="32"/>
      <c r="J3172" s="32"/>
      <c r="K3172" s="35"/>
      <c r="L3172" s="32"/>
      <c r="M3172" s="32"/>
    </row>
    <row r="3173" customFormat="false" ht="15" hidden="false" customHeight="true" outlineLevel="0" collapsed="false">
      <c r="A3173" s="32"/>
      <c r="B3173" s="32"/>
      <c r="C3173" s="32"/>
      <c r="D3173" s="32"/>
      <c r="E3173" s="34" t="str">
        <f aca="false">IF($B3173="","",IF($B3173="OUT","Liters",IFERROR(INDEX(Setup!$F$3:$F$24,MATCH($C3173,Setup!$A$3:$A$24,0)),"")))</f>
        <v/>
      </c>
      <c r="F3173" s="28" t="str">
        <f aca="false">IF(OR($D3173="",$E3173=""),"",IFERROR($D3173*INDEX(Setup!$B$27:$B$44,MATCH($E3173,Setup!$A$27:$A$44,0)),"TBD"))</f>
        <v/>
      </c>
      <c r="G3173" s="32"/>
      <c r="H3173" s="32"/>
      <c r="I3173" s="32"/>
      <c r="J3173" s="32"/>
      <c r="K3173" s="35"/>
      <c r="L3173" s="32"/>
      <c r="M3173" s="32"/>
    </row>
    <row r="3174" customFormat="false" ht="15" hidden="false" customHeight="true" outlineLevel="0" collapsed="false">
      <c r="A3174" s="32"/>
      <c r="B3174" s="32"/>
      <c r="C3174" s="32"/>
      <c r="D3174" s="32"/>
      <c r="E3174" s="34" t="str">
        <f aca="false">IF($B3174="","",IF($B3174="OUT","Liters",IFERROR(INDEX(Setup!$F$3:$F$24,MATCH($C3174,Setup!$A$3:$A$24,0)),"")))</f>
        <v/>
      </c>
      <c r="F3174" s="28" t="str">
        <f aca="false">IF(OR($D3174="",$E3174=""),"",IFERROR($D3174*INDEX(Setup!$B$27:$B$44,MATCH($E3174,Setup!$A$27:$A$44,0)),"TBD"))</f>
        <v/>
      </c>
      <c r="G3174" s="32"/>
      <c r="H3174" s="32"/>
      <c r="I3174" s="32"/>
      <c r="J3174" s="32"/>
      <c r="K3174" s="35"/>
      <c r="L3174" s="32"/>
      <c r="M3174" s="32"/>
    </row>
    <row r="3175" customFormat="false" ht="15" hidden="false" customHeight="true" outlineLevel="0" collapsed="false">
      <c r="A3175" s="32"/>
      <c r="B3175" s="32"/>
      <c r="C3175" s="32"/>
      <c r="D3175" s="32"/>
      <c r="E3175" s="34" t="str">
        <f aca="false">IF($B3175="","",IF($B3175="OUT","Liters",IFERROR(INDEX(Setup!$F$3:$F$24,MATCH($C3175,Setup!$A$3:$A$24,0)),"")))</f>
        <v/>
      </c>
      <c r="F3175" s="28" t="str">
        <f aca="false">IF(OR($D3175="",$E3175=""),"",IFERROR($D3175*INDEX(Setup!$B$27:$B$44,MATCH($E3175,Setup!$A$27:$A$44,0)),"TBD"))</f>
        <v/>
      </c>
      <c r="G3175" s="32"/>
      <c r="H3175" s="32"/>
      <c r="I3175" s="32"/>
      <c r="J3175" s="32"/>
      <c r="K3175" s="35"/>
      <c r="L3175" s="32"/>
      <c r="M3175" s="32"/>
    </row>
    <row r="3176" customFormat="false" ht="15" hidden="false" customHeight="true" outlineLevel="0" collapsed="false">
      <c r="A3176" s="32"/>
      <c r="B3176" s="32"/>
      <c r="C3176" s="32"/>
      <c r="D3176" s="32"/>
      <c r="E3176" s="34" t="str">
        <f aca="false">IF($B3176="","",IF($B3176="OUT","Liters",IFERROR(INDEX(Setup!$F$3:$F$24,MATCH($C3176,Setup!$A$3:$A$24,0)),"")))</f>
        <v/>
      </c>
      <c r="F3176" s="28" t="str">
        <f aca="false">IF(OR($D3176="",$E3176=""),"",IFERROR($D3176*INDEX(Setup!$B$27:$B$44,MATCH($E3176,Setup!$A$27:$A$44,0)),"TBD"))</f>
        <v/>
      </c>
      <c r="G3176" s="32"/>
      <c r="H3176" s="32"/>
      <c r="I3176" s="32"/>
      <c r="J3176" s="32"/>
      <c r="K3176" s="35"/>
      <c r="L3176" s="32"/>
      <c r="M3176" s="32"/>
    </row>
    <row r="3177" customFormat="false" ht="15" hidden="false" customHeight="true" outlineLevel="0" collapsed="false">
      <c r="A3177" s="32"/>
      <c r="B3177" s="32"/>
      <c r="C3177" s="32"/>
      <c r="D3177" s="32"/>
      <c r="E3177" s="34" t="str">
        <f aca="false">IF($B3177="","",IF($B3177="OUT","Liters",IFERROR(INDEX(Setup!$F$3:$F$24,MATCH($C3177,Setup!$A$3:$A$24,0)),"")))</f>
        <v/>
      </c>
      <c r="F3177" s="28" t="str">
        <f aca="false">IF(OR($D3177="",$E3177=""),"",IFERROR($D3177*INDEX(Setup!$B$27:$B$44,MATCH($E3177,Setup!$A$27:$A$44,0)),"TBD"))</f>
        <v/>
      </c>
      <c r="G3177" s="32"/>
      <c r="H3177" s="32"/>
      <c r="I3177" s="32"/>
      <c r="J3177" s="32"/>
      <c r="K3177" s="35"/>
      <c r="L3177" s="32"/>
      <c r="M3177" s="32"/>
    </row>
    <row r="3178" customFormat="false" ht="15" hidden="false" customHeight="true" outlineLevel="0" collapsed="false">
      <c r="A3178" s="32"/>
      <c r="B3178" s="32"/>
      <c r="C3178" s="32"/>
      <c r="D3178" s="32"/>
      <c r="E3178" s="34" t="str">
        <f aca="false">IF($B3178="","",IF($B3178="OUT","Liters",IFERROR(INDEX(Setup!$F$3:$F$24,MATCH($C3178,Setup!$A$3:$A$24,0)),"")))</f>
        <v/>
      </c>
      <c r="F3178" s="28" t="str">
        <f aca="false">IF(OR($D3178="",$E3178=""),"",IFERROR($D3178*INDEX(Setup!$B$27:$B$44,MATCH($E3178,Setup!$A$27:$A$44,0)),"TBD"))</f>
        <v/>
      </c>
      <c r="G3178" s="32"/>
      <c r="H3178" s="32"/>
      <c r="I3178" s="32"/>
      <c r="J3178" s="32"/>
      <c r="K3178" s="35"/>
      <c r="L3178" s="32"/>
      <c r="M3178" s="32"/>
    </row>
    <row r="3179" customFormat="false" ht="15" hidden="false" customHeight="true" outlineLevel="0" collapsed="false">
      <c r="A3179" s="32"/>
      <c r="B3179" s="32"/>
      <c r="C3179" s="32"/>
      <c r="D3179" s="32"/>
      <c r="E3179" s="34" t="str">
        <f aca="false">IF($B3179="","",IF($B3179="OUT","Liters",IFERROR(INDEX(Setup!$F$3:$F$24,MATCH($C3179,Setup!$A$3:$A$24,0)),"")))</f>
        <v/>
      </c>
      <c r="F3179" s="28" t="str">
        <f aca="false">IF(OR($D3179="",$E3179=""),"",IFERROR($D3179*INDEX(Setup!$B$27:$B$44,MATCH($E3179,Setup!$A$27:$A$44,0)),"TBD"))</f>
        <v/>
      </c>
      <c r="G3179" s="32"/>
      <c r="H3179" s="32"/>
      <c r="I3179" s="32"/>
      <c r="J3179" s="32"/>
      <c r="K3179" s="35"/>
      <c r="L3179" s="32"/>
      <c r="M3179" s="32"/>
    </row>
    <row r="3180" customFormat="false" ht="15" hidden="false" customHeight="true" outlineLevel="0" collapsed="false">
      <c r="A3180" s="32"/>
      <c r="B3180" s="32"/>
      <c r="C3180" s="32"/>
      <c r="D3180" s="32"/>
      <c r="E3180" s="34" t="str">
        <f aca="false">IF($B3180="","",IF($B3180="OUT","Liters",IFERROR(INDEX(Setup!$F$3:$F$24,MATCH($C3180,Setup!$A$3:$A$24,0)),"")))</f>
        <v/>
      </c>
      <c r="F3180" s="28" t="str">
        <f aca="false">IF(OR($D3180="",$E3180=""),"",IFERROR($D3180*INDEX(Setup!$B$27:$B$44,MATCH($E3180,Setup!$A$27:$A$44,0)),"TBD"))</f>
        <v/>
      </c>
      <c r="G3180" s="32"/>
      <c r="H3180" s="32"/>
      <c r="I3180" s="32"/>
      <c r="J3180" s="32"/>
      <c r="K3180" s="35"/>
      <c r="L3180" s="32"/>
      <c r="M3180" s="32"/>
    </row>
    <row r="3181" customFormat="false" ht="15" hidden="false" customHeight="true" outlineLevel="0" collapsed="false">
      <c r="A3181" s="32"/>
      <c r="B3181" s="32"/>
      <c r="C3181" s="32"/>
      <c r="D3181" s="32"/>
      <c r="E3181" s="34" t="str">
        <f aca="false">IF($B3181="","",IF($B3181="OUT","Liters",IFERROR(INDEX(Setup!$F$3:$F$24,MATCH($C3181,Setup!$A$3:$A$24,0)),"")))</f>
        <v/>
      </c>
      <c r="F3181" s="28" t="str">
        <f aca="false">IF(OR($D3181="",$E3181=""),"",IFERROR($D3181*INDEX(Setup!$B$27:$B$44,MATCH($E3181,Setup!$A$27:$A$44,0)),"TBD"))</f>
        <v/>
      </c>
      <c r="G3181" s="32"/>
      <c r="H3181" s="32"/>
      <c r="I3181" s="32"/>
      <c r="J3181" s="32"/>
      <c r="K3181" s="35"/>
      <c r="L3181" s="32"/>
      <c r="M3181" s="32"/>
    </row>
    <row r="3182" customFormat="false" ht="15" hidden="false" customHeight="true" outlineLevel="0" collapsed="false">
      <c r="A3182" s="32"/>
      <c r="B3182" s="32"/>
      <c r="C3182" s="32"/>
      <c r="D3182" s="32"/>
      <c r="E3182" s="34" t="str">
        <f aca="false">IF($B3182="","",IF($B3182="OUT","Liters",IFERROR(INDEX(Setup!$F$3:$F$24,MATCH($C3182,Setup!$A$3:$A$24,0)),"")))</f>
        <v/>
      </c>
      <c r="F3182" s="28" t="str">
        <f aca="false">IF(OR($D3182="",$E3182=""),"",IFERROR($D3182*INDEX(Setup!$B$27:$B$44,MATCH($E3182,Setup!$A$27:$A$44,0)),"TBD"))</f>
        <v/>
      </c>
      <c r="G3182" s="32"/>
      <c r="H3182" s="32"/>
      <c r="I3182" s="32"/>
      <c r="J3182" s="32"/>
      <c r="K3182" s="35"/>
      <c r="L3182" s="32"/>
      <c r="M3182" s="32"/>
    </row>
    <row r="3183" customFormat="false" ht="15" hidden="false" customHeight="true" outlineLevel="0" collapsed="false">
      <c r="A3183" s="32"/>
      <c r="B3183" s="32"/>
      <c r="C3183" s="32"/>
      <c r="D3183" s="32"/>
      <c r="E3183" s="34" t="str">
        <f aca="false">IF($B3183="","",IF($B3183="OUT","Liters",IFERROR(INDEX(Setup!$F$3:$F$24,MATCH($C3183,Setup!$A$3:$A$24,0)),"")))</f>
        <v/>
      </c>
      <c r="F3183" s="28" t="str">
        <f aca="false">IF(OR($D3183="",$E3183=""),"",IFERROR($D3183*INDEX(Setup!$B$27:$B$44,MATCH($E3183,Setup!$A$27:$A$44,0)),"TBD"))</f>
        <v/>
      </c>
      <c r="G3183" s="32"/>
      <c r="H3183" s="32"/>
      <c r="I3183" s="32"/>
      <c r="J3183" s="32"/>
      <c r="K3183" s="35"/>
      <c r="L3183" s="32"/>
      <c r="M3183" s="32"/>
    </row>
    <row r="3184" customFormat="false" ht="15" hidden="false" customHeight="true" outlineLevel="0" collapsed="false">
      <c r="A3184" s="32"/>
      <c r="B3184" s="32"/>
      <c r="C3184" s="32"/>
      <c r="D3184" s="32"/>
      <c r="E3184" s="34" t="str">
        <f aca="false">IF($B3184="","",IF($B3184="OUT","Liters",IFERROR(INDEX(Setup!$F$3:$F$24,MATCH($C3184,Setup!$A$3:$A$24,0)),"")))</f>
        <v/>
      </c>
      <c r="F3184" s="28" t="str">
        <f aca="false">IF(OR($D3184="",$E3184=""),"",IFERROR($D3184*INDEX(Setup!$B$27:$B$44,MATCH($E3184,Setup!$A$27:$A$44,0)),"TBD"))</f>
        <v/>
      </c>
      <c r="G3184" s="32"/>
      <c r="H3184" s="32"/>
      <c r="I3184" s="32"/>
      <c r="J3184" s="32"/>
      <c r="K3184" s="35"/>
      <c r="L3184" s="32"/>
      <c r="M3184" s="32"/>
    </row>
    <row r="3185" customFormat="false" ht="15" hidden="false" customHeight="true" outlineLevel="0" collapsed="false">
      <c r="A3185" s="32"/>
      <c r="B3185" s="32"/>
      <c r="C3185" s="32"/>
      <c r="D3185" s="32"/>
      <c r="E3185" s="34" t="str">
        <f aca="false">IF($B3185="","",IF($B3185="OUT","Liters",IFERROR(INDEX(Setup!$F$3:$F$24,MATCH($C3185,Setup!$A$3:$A$24,0)),"")))</f>
        <v/>
      </c>
      <c r="F3185" s="28" t="str">
        <f aca="false">IF(OR($D3185="",$E3185=""),"",IFERROR($D3185*INDEX(Setup!$B$27:$B$44,MATCH($E3185,Setup!$A$27:$A$44,0)),"TBD"))</f>
        <v/>
      </c>
      <c r="G3185" s="32"/>
      <c r="H3185" s="32"/>
      <c r="I3185" s="32"/>
      <c r="J3185" s="32"/>
      <c r="K3185" s="35"/>
      <c r="L3185" s="32"/>
      <c r="M3185" s="32"/>
    </row>
    <row r="3186" customFormat="false" ht="15" hidden="false" customHeight="true" outlineLevel="0" collapsed="false">
      <c r="A3186" s="32"/>
      <c r="B3186" s="32"/>
      <c r="C3186" s="32"/>
      <c r="D3186" s="32"/>
      <c r="E3186" s="34" t="str">
        <f aca="false">IF($B3186="","",IF($B3186="OUT","Liters",IFERROR(INDEX(Setup!$F$3:$F$24,MATCH($C3186,Setup!$A$3:$A$24,0)),"")))</f>
        <v/>
      </c>
      <c r="F3186" s="28" t="str">
        <f aca="false">IF(OR($D3186="",$E3186=""),"",IFERROR($D3186*INDEX(Setup!$B$27:$B$44,MATCH($E3186,Setup!$A$27:$A$44,0)),"TBD"))</f>
        <v/>
      </c>
      <c r="G3186" s="32"/>
      <c r="H3186" s="32"/>
      <c r="I3186" s="32"/>
      <c r="J3186" s="32"/>
      <c r="K3186" s="35"/>
      <c r="L3186" s="32"/>
      <c r="M3186" s="32"/>
    </row>
    <row r="3187" customFormat="false" ht="15" hidden="false" customHeight="true" outlineLevel="0" collapsed="false">
      <c r="A3187" s="32"/>
      <c r="B3187" s="32"/>
      <c r="C3187" s="32"/>
      <c r="D3187" s="32"/>
      <c r="E3187" s="34" t="str">
        <f aca="false">IF($B3187="","",IF($B3187="OUT","Liters",IFERROR(INDEX(Setup!$F$3:$F$24,MATCH($C3187,Setup!$A$3:$A$24,0)),"")))</f>
        <v/>
      </c>
      <c r="F3187" s="28" t="str">
        <f aca="false">IF(OR($D3187="",$E3187=""),"",IFERROR($D3187*INDEX(Setup!$B$27:$B$44,MATCH($E3187,Setup!$A$27:$A$44,0)),"TBD"))</f>
        <v/>
      </c>
      <c r="G3187" s="32"/>
      <c r="H3187" s="32"/>
      <c r="I3187" s="32"/>
      <c r="J3187" s="32"/>
      <c r="K3187" s="35"/>
      <c r="L3187" s="32"/>
      <c r="M3187" s="32"/>
    </row>
    <row r="3188" customFormat="false" ht="15" hidden="false" customHeight="true" outlineLevel="0" collapsed="false">
      <c r="A3188" s="32"/>
      <c r="B3188" s="32"/>
      <c r="C3188" s="32"/>
      <c r="D3188" s="32"/>
      <c r="E3188" s="34" t="str">
        <f aca="false">IF($B3188="","",IF($B3188="OUT","Liters",IFERROR(INDEX(Setup!$F$3:$F$24,MATCH($C3188,Setup!$A$3:$A$24,0)),"")))</f>
        <v/>
      </c>
      <c r="F3188" s="28" t="str">
        <f aca="false">IF(OR($D3188="",$E3188=""),"",IFERROR($D3188*INDEX(Setup!$B$27:$B$44,MATCH($E3188,Setup!$A$27:$A$44,0)),"TBD"))</f>
        <v/>
      </c>
      <c r="G3188" s="32"/>
      <c r="H3188" s="32"/>
      <c r="I3188" s="32"/>
      <c r="J3188" s="32"/>
      <c r="K3188" s="35"/>
      <c r="L3188" s="32"/>
      <c r="M3188" s="32"/>
    </row>
    <row r="3189" customFormat="false" ht="15" hidden="false" customHeight="true" outlineLevel="0" collapsed="false">
      <c r="A3189" s="32"/>
      <c r="B3189" s="32"/>
      <c r="C3189" s="32"/>
      <c r="D3189" s="32"/>
      <c r="E3189" s="34" t="str">
        <f aca="false">IF($B3189="","",IF($B3189="OUT","Liters",IFERROR(INDEX(Setup!$F$3:$F$24,MATCH($C3189,Setup!$A$3:$A$24,0)),"")))</f>
        <v/>
      </c>
      <c r="F3189" s="28" t="str">
        <f aca="false">IF(OR($D3189="",$E3189=""),"",IFERROR($D3189*INDEX(Setup!$B$27:$B$44,MATCH($E3189,Setup!$A$27:$A$44,0)),"TBD"))</f>
        <v/>
      </c>
      <c r="G3189" s="32"/>
      <c r="H3189" s="32"/>
      <c r="I3189" s="32"/>
      <c r="J3189" s="32"/>
      <c r="K3189" s="35"/>
      <c r="L3189" s="32"/>
      <c r="M3189" s="32"/>
    </row>
    <row r="3190" customFormat="false" ht="15" hidden="false" customHeight="true" outlineLevel="0" collapsed="false">
      <c r="A3190" s="32"/>
      <c r="B3190" s="32"/>
      <c r="C3190" s="32"/>
      <c r="D3190" s="32"/>
      <c r="E3190" s="34" t="str">
        <f aca="false">IF($B3190="","",IF($B3190="OUT","Liters",IFERROR(INDEX(Setup!$F$3:$F$24,MATCH($C3190,Setup!$A$3:$A$24,0)),"")))</f>
        <v/>
      </c>
      <c r="F3190" s="28" t="str">
        <f aca="false">IF(OR($D3190="",$E3190=""),"",IFERROR($D3190*INDEX(Setup!$B$27:$B$44,MATCH($E3190,Setup!$A$27:$A$44,0)),"TBD"))</f>
        <v/>
      </c>
      <c r="G3190" s="32"/>
      <c r="H3190" s="32"/>
      <c r="I3190" s="32"/>
      <c r="J3190" s="32"/>
      <c r="K3190" s="35"/>
      <c r="L3190" s="32"/>
      <c r="M3190" s="32"/>
    </row>
    <row r="3191" customFormat="false" ht="15" hidden="false" customHeight="true" outlineLevel="0" collapsed="false">
      <c r="A3191" s="32"/>
      <c r="B3191" s="32"/>
      <c r="C3191" s="32"/>
      <c r="D3191" s="32"/>
      <c r="E3191" s="34" t="str">
        <f aca="false">IF($B3191="","",IF($B3191="OUT","Liters",IFERROR(INDEX(Setup!$F$3:$F$24,MATCH($C3191,Setup!$A$3:$A$24,0)),"")))</f>
        <v/>
      </c>
      <c r="F3191" s="28" t="str">
        <f aca="false">IF(OR($D3191="",$E3191=""),"",IFERROR($D3191*INDEX(Setup!$B$27:$B$44,MATCH($E3191,Setup!$A$27:$A$44,0)),"TBD"))</f>
        <v/>
      </c>
      <c r="G3191" s="32"/>
      <c r="H3191" s="32"/>
      <c r="I3191" s="32"/>
      <c r="J3191" s="32"/>
      <c r="K3191" s="35"/>
      <c r="L3191" s="32"/>
      <c r="M3191" s="32"/>
    </row>
    <row r="3192" customFormat="false" ht="15" hidden="false" customHeight="true" outlineLevel="0" collapsed="false">
      <c r="A3192" s="32"/>
      <c r="B3192" s="32"/>
      <c r="C3192" s="32"/>
      <c r="D3192" s="32"/>
      <c r="E3192" s="34" t="str">
        <f aca="false">IF($B3192="","",IF($B3192="OUT","Liters",IFERROR(INDEX(Setup!$F$3:$F$24,MATCH($C3192,Setup!$A$3:$A$24,0)),"")))</f>
        <v/>
      </c>
      <c r="F3192" s="28" t="str">
        <f aca="false">IF(OR($D3192="",$E3192=""),"",IFERROR($D3192*INDEX(Setup!$B$27:$B$44,MATCH($E3192,Setup!$A$27:$A$44,0)),"TBD"))</f>
        <v/>
      </c>
      <c r="G3192" s="32"/>
      <c r="H3192" s="32"/>
      <c r="I3192" s="32"/>
      <c r="J3192" s="32"/>
      <c r="K3192" s="35"/>
      <c r="L3192" s="32"/>
      <c r="M3192" s="32"/>
    </row>
    <row r="3193" customFormat="false" ht="15" hidden="false" customHeight="true" outlineLevel="0" collapsed="false">
      <c r="A3193" s="32"/>
      <c r="B3193" s="32"/>
      <c r="C3193" s="32"/>
      <c r="D3193" s="32"/>
      <c r="E3193" s="34" t="str">
        <f aca="false">IF($B3193="","",IF($B3193="OUT","Liters",IFERROR(INDEX(Setup!$F$3:$F$24,MATCH($C3193,Setup!$A$3:$A$24,0)),"")))</f>
        <v/>
      </c>
      <c r="F3193" s="28" t="str">
        <f aca="false">IF(OR($D3193="",$E3193=""),"",IFERROR($D3193*INDEX(Setup!$B$27:$B$44,MATCH($E3193,Setup!$A$27:$A$44,0)),"TBD"))</f>
        <v/>
      </c>
      <c r="G3193" s="32"/>
      <c r="H3193" s="32"/>
      <c r="I3193" s="32"/>
      <c r="J3193" s="32"/>
      <c r="K3193" s="35"/>
      <c r="L3193" s="32"/>
      <c r="M3193" s="32"/>
    </row>
    <row r="3194" customFormat="false" ht="15" hidden="false" customHeight="true" outlineLevel="0" collapsed="false">
      <c r="A3194" s="32"/>
      <c r="B3194" s="32"/>
      <c r="C3194" s="32"/>
      <c r="D3194" s="32"/>
      <c r="E3194" s="34" t="str">
        <f aca="false">IF($B3194="","",IF($B3194="OUT","Liters",IFERROR(INDEX(Setup!$F$3:$F$24,MATCH($C3194,Setup!$A$3:$A$24,0)),"")))</f>
        <v/>
      </c>
      <c r="F3194" s="28" t="str">
        <f aca="false">IF(OR($D3194="",$E3194=""),"",IFERROR($D3194*INDEX(Setup!$B$27:$B$44,MATCH($E3194,Setup!$A$27:$A$44,0)),"TBD"))</f>
        <v/>
      </c>
      <c r="G3194" s="32"/>
      <c r="H3194" s="32"/>
      <c r="I3194" s="32"/>
      <c r="J3194" s="32"/>
      <c r="K3194" s="35"/>
      <c r="L3194" s="32"/>
      <c r="M3194" s="32"/>
    </row>
    <row r="3195" customFormat="false" ht="15" hidden="false" customHeight="true" outlineLevel="0" collapsed="false">
      <c r="A3195" s="32"/>
      <c r="B3195" s="32"/>
      <c r="C3195" s="32"/>
      <c r="D3195" s="32"/>
      <c r="E3195" s="34" t="str">
        <f aca="false">IF($B3195="","",IF($B3195="OUT","Liters",IFERROR(INDEX(Setup!$F$3:$F$24,MATCH($C3195,Setup!$A$3:$A$24,0)),"")))</f>
        <v/>
      </c>
      <c r="F3195" s="28" t="str">
        <f aca="false">IF(OR($D3195="",$E3195=""),"",IFERROR($D3195*INDEX(Setup!$B$27:$B$44,MATCH($E3195,Setup!$A$27:$A$44,0)),"TBD"))</f>
        <v/>
      </c>
      <c r="G3195" s="32"/>
      <c r="H3195" s="32"/>
      <c r="I3195" s="32"/>
      <c r="J3195" s="32"/>
      <c r="K3195" s="35"/>
      <c r="L3195" s="32"/>
      <c r="M3195" s="32"/>
    </row>
    <row r="3196" customFormat="false" ht="15" hidden="false" customHeight="true" outlineLevel="0" collapsed="false">
      <c r="A3196" s="32"/>
      <c r="B3196" s="32"/>
      <c r="C3196" s="32"/>
      <c r="D3196" s="32"/>
      <c r="E3196" s="34" t="str">
        <f aca="false">IF($B3196="","",IF($B3196="OUT","Liters",IFERROR(INDEX(Setup!$F$3:$F$24,MATCH($C3196,Setup!$A$3:$A$24,0)),"")))</f>
        <v/>
      </c>
      <c r="F3196" s="28" t="str">
        <f aca="false">IF(OR($D3196="",$E3196=""),"",IFERROR($D3196*INDEX(Setup!$B$27:$B$44,MATCH($E3196,Setup!$A$27:$A$44,0)),"TBD"))</f>
        <v/>
      </c>
      <c r="G3196" s="32"/>
      <c r="H3196" s="32"/>
      <c r="I3196" s="32"/>
      <c r="J3196" s="32"/>
      <c r="K3196" s="35"/>
      <c r="L3196" s="32"/>
      <c r="M3196" s="32"/>
    </row>
    <row r="3197" customFormat="false" ht="15" hidden="false" customHeight="true" outlineLevel="0" collapsed="false">
      <c r="A3197" s="32"/>
      <c r="B3197" s="32"/>
      <c r="C3197" s="32"/>
      <c r="D3197" s="32"/>
      <c r="E3197" s="34" t="str">
        <f aca="false">IF($B3197="","",IF($B3197="OUT","Liters",IFERROR(INDEX(Setup!$F$3:$F$24,MATCH($C3197,Setup!$A$3:$A$24,0)),"")))</f>
        <v/>
      </c>
      <c r="F3197" s="28" t="str">
        <f aca="false">IF(OR($D3197="",$E3197=""),"",IFERROR($D3197*INDEX(Setup!$B$27:$B$44,MATCH($E3197,Setup!$A$27:$A$44,0)),"TBD"))</f>
        <v/>
      </c>
      <c r="G3197" s="32"/>
      <c r="H3197" s="32"/>
      <c r="I3197" s="32"/>
      <c r="J3197" s="32"/>
      <c r="K3197" s="35"/>
      <c r="L3197" s="32"/>
      <c r="M3197" s="32"/>
    </row>
    <row r="3198" customFormat="false" ht="15" hidden="false" customHeight="true" outlineLevel="0" collapsed="false">
      <c r="A3198" s="32"/>
      <c r="B3198" s="32"/>
      <c r="C3198" s="32"/>
      <c r="D3198" s="32"/>
      <c r="E3198" s="34" t="str">
        <f aca="false">IF($B3198="","",IF($B3198="OUT","Liters",IFERROR(INDEX(Setup!$F$3:$F$24,MATCH($C3198,Setup!$A$3:$A$24,0)),"")))</f>
        <v/>
      </c>
      <c r="F3198" s="28" t="str">
        <f aca="false">IF(OR($D3198="",$E3198=""),"",IFERROR($D3198*INDEX(Setup!$B$27:$B$44,MATCH($E3198,Setup!$A$27:$A$44,0)),"TBD"))</f>
        <v/>
      </c>
      <c r="G3198" s="32"/>
      <c r="H3198" s="32"/>
      <c r="I3198" s="32"/>
      <c r="J3198" s="32"/>
      <c r="K3198" s="35"/>
      <c r="L3198" s="32"/>
      <c r="M3198" s="32"/>
    </row>
    <row r="3199" customFormat="false" ht="15" hidden="false" customHeight="true" outlineLevel="0" collapsed="false">
      <c r="A3199" s="32"/>
      <c r="B3199" s="32"/>
      <c r="C3199" s="32"/>
      <c r="D3199" s="32"/>
      <c r="E3199" s="34" t="str">
        <f aca="false">IF($B3199="","",IF($B3199="OUT","Liters",IFERROR(INDEX(Setup!$F$3:$F$24,MATCH($C3199,Setup!$A$3:$A$24,0)),"")))</f>
        <v/>
      </c>
      <c r="F3199" s="28" t="str">
        <f aca="false">IF(OR($D3199="",$E3199=""),"",IFERROR($D3199*INDEX(Setup!$B$27:$B$44,MATCH($E3199,Setup!$A$27:$A$44,0)),"TBD"))</f>
        <v/>
      </c>
      <c r="G3199" s="32"/>
      <c r="H3199" s="32"/>
      <c r="I3199" s="32"/>
      <c r="J3199" s="32"/>
      <c r="K3199" s="35"/>
      <c r="L3199" s="32"/>
      <c r="M3199" s="32"/>
    </row>
    <row r="3200" customFormat="false" ht="15" hidden="false" customHeight="true" outlineLevel="0" collapsed="false">
      <c r="A3200" s="32"/>
      <c r="B3200" s="32"/>
      <c r="C3200" s="32"/>
      <c r="D3200" s="32"/>
      <c r="E3200" s="34" t="str">
        <f aca="false">IF($B3200="","",IF($B3200="OUT","Liters",IFERROR(INDEX(Setup!$F$3:$F$24,MATCH($C3200,Setup!$A$3:$A$24,0)),"")))</f>
        <v/>
      </c>
      <c r="F3200" s="28" t="str">
        <f aca="false">IF(OR($D3200="",$E3200=""),"",IFERROR($D3200*INDEX(Setup!$B$27:$B$44,MATCH($E3200,Setup!$A$27:$A$44,0)),"TBD"))</f>
        <v/>
      </c>
      <c r="G3200" s="32"/>
      <c r="H3200" s="32"/>
      <c r="I3200" s="32"/>
      <c r="J3200" s="32"/>
      <c r="K3200" s="35"/>
      <c r="L3200" s="32"/>
      <c r="M3200" s="32"/>
    </row>
    <row r="3201" customFormat="false" ht="15" hidden="false" customHeight="true" outlineLevel="0" collapsed="false">
      <c r="A3201" s="32"/>
      <c r="B3201" s="32"/>
      <c r="C3201" s="32"/>
      <c r="D3201" s="32"/>
      <c r="E3201" s="34" t="str">
        <f aca="false">IF($B3201="","",IF($B3201="OUT","Liters",IFERROR(INDEX(Setup!$F$3:$F$24,MATCH($C3201,Setup!$A$3:$A$24,0)),"")))</f>
        <v/>
      </c>
      <c r="F3201" s="28" t="str">
        <f aca="false">IF(OR($D3201="",$E3201=""),"",IFERROR($D3201*INDEX(Setup!$B$27:$B$44,MATCH($E3201,Setup!$A$27:$A$44,0)),"TBD"))</f>
        <v/>
      </c>
      <c r="G3201" s="32"/>
      <c r="H3201" s="32"/>
      <c r="I3201" s="32"/>
      <c r="J3201" s="32"/>
      <c r="K3201" s="35"/>
      <c r="L3201" s="32"/>
      <c r="M3201" s="32"/>
    </row>
    <row r="3202" customFormat="false" ht="15" hidden="false" customHeight="true" outlineLevel="0" collapsed="false">
      <c r="A3202" s="32"/>
      <c r="B3202" s="32"/>
      <c r="C3202" s="32"/>
      <c r="D3202" s="32"/>
      <c r="E3202" s="34" t="str">
        <f aca="false">IF($B3202="","",IF($B3202="OUT","Liters",IFERROR(INDEX(Setup!$F$3:$F$24,MATCH($C3202,Setup!$A$3:$A$24,0)),"")))</f>
        <v/>
      </c>
      <c r="F3202" s="28" t="str">
        <f aca="false">IF(OR($D3202="",$E3202=""),"",IFERROR($D3202*INDEX(Setup!$B$27:$B$44,MATCH($E3202,Setup!$A$27:$A$44,0)),"TBD"))</f>
        <v/>
      </c>
      <c r="G3202" s="32"/>
      <c r="H3202" s="32"/>
      <c r="I3202" s="32"/>
      <c r="J3202" s="32"/>
      <c r="K3202" s="35"/>
      <c r="L3202" s="32"/>
      <c r="M3202" s="32"/>
    </row>
    <row r="3203" customFormat="false" ht="15" hidden="false" customHeight="true" outlineLevel="0" collapsed="false">
      <c r="A3203" s="32"/>
      <c r="B3203" s="32"/>
      <c r="C3203" s="32"/>
      <c r="D3203" s="32"/>
      <c r="E3203" s="34" t="str">
        <f aca="false">IF($B3203="","",IF($B3203="OUT","Liters",IFERROR(INDEX(Setup!$F$3:$F$24,MATCH($C3203,Setup!$A$3:$A$24,0)),"")))</f>
        <v/>
      </c>
      <c r="F3203" s="28" t="str">
        <f aca="false">IF(OR($D3203="",$E3203=""),"",IFERROR($D3203*INDEX(Setup!$B$27:$B$44,MATCH($E3203,Setup!$A$27:$A$44,0)),"TBD"))</f>
        <v/>
      </c>
      <c r="G3203" s="32"/>
      <c r="H3203" s="32"/>
      <c r="I3203" s="32"/>
      <c r="J3203" s="32"/>
      <c r="K3203" s="35"/>
      <c r="L3203" s="32"/>
      <c r="M3203" s="32"/>
    </row>
    <row r="3204" customFormat="false" ht="15" hidden="false" customHeight="true" outlineLevel="0" collapsed="false">
      <c r="A3204" s="32"/>
      <c r="B3204" s="32"/>
      <c r="C3204" s="32"/>
      <c r="D3204" s="32"/>
      <c r="E3204" s="34" t="str">
        <f aca="false">IF($B3204="","",IF($B3204="OUT","Liters",IFERROR(INDEX(Setup!$F$3:$F$24,MATCH($C3204,Setup!$A$3:$A$24,0)),"")))</f>
        <v/>
      </c>
      <c r="F3204" s="28" t="str">
        <f aca="false">IF(OR($D3204="",$E3204=""),"",IFERROR($D3204*INDEX(Setup!$B$27:$B$44,MATCH($E3204,Setup!$A$27:$A$44,0)),"TBD"))</f>
        <v/>
      </c>
      <c r="G3204" s="32"/>
      <c r="H3204" s="32"/>
      <c r="I3204" s="32"/>
      <c r="J3204" s="32"/>
      <c r="K3204" s="35"/>
      <c r="L3204" s="32"/>
      <c r="M3204" s="32"/>
    </row>
    <row r="3205" customFormat="false" ht="15" hidden="false" customHeight="true" outlineLevel="0" collapsed="false">
      <c r="A3205" s="32"/>
      <c r="B3205" s="32"/>
      <c r="C3205" s="32"/>
      <c r="D3205" s="32"/>
      <c r="E3205" s="34" t="str">
        <f aca="false">IF($B3205="","",IF($B3205="OUT","Liters",IFERROR(INDEX(Setup!$F$3:$F$24,MATCH($C3205,Setup!$A$3:$A$24,0)),"")))</f>
        <v/>
      </c>
      <c r="F3205" s="28" t="str">
        <f aca="false">IF(OR($D3205="",$E3205=""),"",IFERROR($D3205*INDEX(Setup!$B$27:$B$44,MATCH($E3205,Setup!$A$27:$A$44,0)),"TBD"))</f>
        <v/>
      </c>
      <c r="G3205" s="32"/>
      <c r="H3205" s="32"/>
      <c r="I3205" s="32"/>
      <c r="J3205" s="32"/>
      <c r="K3205" s="35"/>
      <c r="L3205" s="32"/>
      <c r="M3205" s="32"/>
    </row>
    <row r="3206" customFormat="false" ht="15" hidden="false" customHeight="true" outlineLevel="0" collapsed="false">
      <c r="A3206" s="32"/>
      <c r="B3206" s="32"/>
      <c r="C3206" s="32"/>
      <c r="D3206" s="32"/>
      <c r="E3206" s="34" t="str">
        <f aca="false">IF($B3206="","",IF($B3206="OUT","Liters",IFERROR(INDEX(Setup!$F$3:$F$24,MATCH($C3206,Setup!$A$3:$A$24,0)),"")))</f>
        <v/>
      </c>
      <c r="F3206" s="28" t="str">
        <f aca="false">IF(OR($D3206="",$E3206=""),"",IFERROR($D3206*INDEX(Setup!$B$27:$B$44,MATCH($E3206,Setup!$A$27:$A$44,0)),"TBD"))</f>
        <v/>
      </c>
      <c r="G3206" s="32"/>
      <c r="H3206" s="32"/>
      <c r="I3206" s="32"/>
      <c r="J3206" s="32"/>
      <c r="K3206" s="35"/>
      <c r="L3206" s="32"/>
      <c r="M3206" s="32"/>
    </row>
    <row r="3207" customFormat="false" ht="15" hidden="false" customHeight="true" outlineLevel="0" collapsed="false">
      <c r="A3207" s="32"/>
      <c r="B3207" s="32"/>
      <c r="C3207" s="32"/>
      <c r="D3207" s="32"/>
      <c r="E3207" s="34" t="str">
        <f aca="false">IF($B3207="","",IF($B3207="OUT","Liters",IFERROR(INDEX(Setup!$F$3:$F$24,MATCH($C3207,Setup!$A$3:$A$24,0)),"")))</f>
        <v/>
      </c>
      <c r="F3207" s="28" t="str">
        <f aca="false">IF(OR($D3207="",$E3207=""),"",IFERROR($D3207*INDEX(Setup!$B$27:$B$44,MATCH($E3207,Setup!$A$27:$A$44,0)),"TBD"))</f>
        <v/>
      </c>
      <c r="G3207" s="32"/>
      <c r="H3207" s="32"/>
      <c r="I3207" s="32"/>
      <c r="J3207" s="32"/>
      <c r="K3207" s="35"/>
      <c r="L3207" s="32"/>
      <c r="M3207" s="32"/>
    </row>
    <row r="3208" customFormat="false" ht="15" hidden="false" customHeight="true" outlineLevel="0" collapsed="false">
      <c r="A3208" s="32"/>
      <c r="B3208" s="32"/>
      <c r="C3208" s="32"/>
      <c r="D3208" s="32"/>
      <c r="E3208" s="34" t="str">
        <f aca="false">IF($B3208="","",IF($B3208="OUT","Liters",IFERROR(INDEX(Setup!$F$3:$F$24,MATCH($C3208,Setup!$A$3:$A$24,0)),"")))</f>
        <v/>
      </c>
      <c r="F3208" s="28" t="str">
        <f aca="false">IF(OR($D3208="",$E3208=""),"",IFERROR($D3208*INDEX(Setup!$B$27:$B$44,MATCH($E3208,Setup!$A$27:$A$44,0)),"TBD"))</f>
        <v/>
      </c>
      <c r="G3208" s="32"/>
      <c r="H3208" s="32"/>
      <c r="I3208" s="32"/>
      <c r="J3208" s="32"/>
      <c r="K3208" s="35"/>
      <c r="L3208" s="32"/>
      <c r="M3208" s="32"/>
    </row>
    <row r="3209" customFormat="false" ht="15" hidden="false" customHeight="true" outlineLevel="0" collapsed="false">
      <c r="A3209" s="32"/>
      <c r="B3209" s="32"/>
      <c r="C3209" s="32"/>
      <c r="D3209" s="32"/>
      <c r="E3209" s="34" t="str">
        <f aca="false">IF($B3209="","",IF($B3209="OUT","Liters",IFERROR(INDEX(Setup!$F$3:$F$24,MATCH($C3209,Setup!$A$3:$A$24,0)),"")))</f>
        <v/>
      </c>
      <c r="F3209" s="28" t="str">
        <f aca="false">IF(OR($D3209="",$E3209=""),"",IFERROR($D3209*INDEX(Setup!$B$27:$B$44,MATCH($E3209,Setup!$A$27:$A$44,0)),"TBD"))</f>
        <v/>
      </c>
      <c r="G3209" s="32"/>
      <c r="H3209" s="32"/>
      <c r="I3209" s="32"/>
      <c r="J3209" s="32"/>
      <c r="K3209" s="35"/>
      <c r="L3209" s="32"/>
      <c r="M3209" s="32"/>
    </row>
    <row r="3210" customFormat="false" ht="15" hidden="false" customHeight="true" outlineLevel="0" collapsed="false">
      <c r="A3210" s="32"/>
      <c r="B3210" s="32"/>
      <c r="C3210" s="32"/>
      <c r="D3210" s="32"/>
      <c r="E3210" s="34" t="str">
        <f aca="false">IF($B3210="","",IF($B3210="OUT","Liters",IFERROR(INDEX(Setup!$F$3:$F$24,MATCH($C3210,Setup!$A$3:$A$24,0)),"")))</f>
        <v/>
      </c>
      <c r="F3210" s="28" t="str">
        <f aca="false">IF(OR($D3210="",$E3210=""),"",IFERROR($D3210*INDEX(Setup!$B$27:$B$44,MATCH($E3210,Setup!$A$27:$A$44,0)),"TBD"))</f>
        <v/>
      </c>
      <c r="G3210" s="32"/>
      <c r="H3210" s="32"/>
      <c r="I3210" s="32"/>
      <c r="J3210" s="32"/>
      <c r="K3210" s="35"/>
      <c r="L3210" s="32"/>
      <c r="M3210" s="32"/>
    </row>
    <row r="3211" customFormat="false" ht="15" hidden="false" customHeight="true" outlineLevel="0" collapsed="false">
      <c r="A3211" s="32"/>
      <c r="B3211" s="32"/>
      <c r="C3211" s="32"/>
      <c r="D3211" s="32"/>
      <c r="E3211" s="34" t="str">
        <f aca="false">IF($B3211="","",IF($B3211="OUT","Liters",IFERROR(INDEX(Setup!$F$3:$F$24,MATCH($C3211,Setup!$A$3:$A$24,0)),"")))</f>
        <v/>
      </c>
      <c r="F3211" s="28" t="str">
        <f aca="false">IF(OR($D3211="",$E3211=""),"",IFERROR($D3211*INDEX(Setup!$B$27:$B$44,MATCH($E3211,Setup!$A$27:$A$44,0)),"TBD"))</f>
        <v/>
      </c>
      <c r="G3211" s="32"/>
      <c r="H3211" s="32"/>
      <c r="I3211" s="32"/>
      <c r="J3211" s="32"/>
      <c r="K3211" s="35"/>
      <c r="L3211" s="32"/>
      <c r="M3211" s="32"/>
    </row>
    <row r="3212" customFormat="false" ht="15" hidden="false" customHeight="true" outlineLevel="0" collapsed="false">
      <c r="A3212" s="32"/>
      <c r="B3212" s="32"/>
      <c r="C3212" s="32"/>
      <c r="D3212" s="32"/>
      <c r="E3212" s="34" t="str">
        <f aca="false">IF($B3212="","",IF($B3212="OUT","Liters",IFERROR(INDEX(Setup!$F$3:$F$24,MATCH($C3212,Setup!$A$3:$A$24,0)),"")))</f>
        <v/>
      </c>
      <c r="F3212" s="28" t="str">
        <f aca="false">IF(OR($D3212="",$E3212=""),"",IFERROR($D3212*INDEX(Setup!$B$27:$B$44,MATCH($E3212,Setup!$A$27:$A$44,0)),"TBD"))</f>
        <v/>
      </c>
      <c r="G3212" s="32"/>
      <c r="H3212" s="32"/>
      <c r="I3212" s="32"/>
      <c r="J3212" s="32"/>
      <c r="K3212" s="35"/>
      <c r="L3212" s="32"/>
      <c r="M3212" s="32"/>
    </row>
    <row r="3213" customFormat="false" ht="15" hidden="false" customHeight="true" outlineLevel="0" collapsed="false">
      <c r="A3213" s="32"/>
      <c r="B3213" s="32"/>
      <c r="C3213" s="32"/>
      <c r="D3213" s="32"/>
      <c r="E3213" s="34" t="str">
        <f aca="false">IF($B3213="","",IF($B3213="OUT","Liters",IFERROR(INDEX(Setup!$F$3:$F$24,MATCH($C3213,Setup!$A$3:$A$24,0)),"")))</f>
        <v/>
      </c>
      <c r="F3213" s="28" t="str">
        <f aca="false">IF(OR($D3213="",$E3213=""),"",IFERROR($D3213*INDEX(Setup!$B$27:$B$44,MATCH($E3213,Setup!$A$27:$A$44,0)),"TBD"))</f>
        <v/>
      </c>
      <c r="G3213" s="32"/>
      <c r="H3213" s="32"/>
      <c r="I3213" s="32"/>
      <c r="J3213" s="32"/>
      <c r="K3213" s="35"/>
      <c r="L3213" s="32"/>
      <c r="M3213" s="32"/>
    </row>
    <row r="3214" customFormat="false" ht="15" hidden="false" customHeight="true" outlineLevel="0" collapsed="false">
      <c r="A3214" s="32"/>
      <c r="B3214" s="32"/>
      <c r="C3214" s="32"/>
      <c r="D3214" s="32"/>
      <c r="E3214" s="34" t="str">
        <f aca="false">IF($B3214="","",IF($B3214="OUT","Liters",IFERROR(INDEX(Setup!$F$3:$F$24,MATCH($C3214,Setup!$A$3:$A$24,0)),"")))</f>
        <v/>
      </c>
      <c r="F3214" s="28" t="str">
        <f aca="false">IF(OR($D3214="",$E3214=""),"",IFERROR($D3214*INDEX(Setup!$B$27:$B$44,MATCH($E3214,Setup!$A$27:$A$44,0)),"TBD"))</f>
        <v/>
      </c>
      <c r="G3214" s="32"/>
      <c r="H3214" s="32"/>
      <c r="I3214" s="32"/>
      <c r="J3214" s="32"/>
      <c r="K3214" s="35"/>
      <c r="L3214" s="32"/>
      <c r="M3214" s="32"/>
    </row>
    <row r="3215" customFormat="false" ht="15" hidden="false" customHeight="true" outlineLevel="0" collapsed="false">
      <c r="A3215" s="32"/>
      <c r="B3215" s="32"/>
      <c r="C3215" s="32"/>
      <c r="D3215" s="32"/>
      <c r="E3215" s="34" t="str">
        <f aca="false">IF($B3215="","",IF($B3215="OUT","Liters",IFERROR(INDEX(Setup!$F$3:$F$24,MATCH($C3215,Setup!$A$3:$A$24,0)),"")))</f>
        <v/>
      </c>
      <c r="F3215" s="28" t="str">
        <f aca="false">IF(OR($D3215="",$E3215=""),"",IFERROR($D3215*INDEX(Setup!$B$27:$B$44,MATCH($E3215,Setup!$A$27:$A$44,0)),"TBD"))</f>
        <v/>
      </c>
      <c r="G3215" s="32"/>
      <c r="H3215" s="32"/>
      <c r="I3215" s="32"/>
      <c r="J3215" s="32"/>
      <c r="K3215" s="35"/>
      <c r="L3215" s="32"/>
      <c r="M3215" s="32"/>
    </row>
    <row r="3216" customFormat="false" ht="15" hidden="false" customHeight="true" outlineLevel="0" collapsed="false">
      <c r="A3216" s="32"/>
      <c r="B3216" s="32"/>
      <c r="C3216" s="32"/>
      <c r="D3216" s="32"/>
      <c r="E3216" s="34" t="str">
        <f aca="false">IF($B3216="","",IF($B3216="OUT","Liters",IFERROR(INDEX(Setup!$F$3:$F$24,MATCH($C3216,Setup!$A$3:$A$24,0)),"")))</f>
        <v/>
      </c>
      <c r="F3216" s="28" t="str">
        <f aca="false">IF(OR($D3216="",$E3216=""),"",IFERROR($D3216*INDEX(Setup!$B$27:$B$44,MATCH($E3216,Setup!$A$27:$A$44,0)),"TBD"))</f>
        <v/>
      </c>
      <c r="G3216" s="32"/>
      <c r="H3216" s="32"/>
      <c r="I3216" s="32"/>
      <c r="J3216" s="32"/>
      <c r="K3216" s="35"/>
      <c r="L3216" s="32"/>
      <c r="M3216" s="32"/>
    </row>
    <row r="3217" customFormat="false" ht="15" hidden="false" customHeight="true" outlineLevel="0" collapsed="false">
      <c r="A3217" s="32"/>
      <c r="B3217" s="32"/>
      <c r="C3217" s="32"/>
      <c r="D3217" s="32"/>
      <c r="E3217" s="34" t="str">
        <f aca="false">IF($B3217="","",IF($B3217="OUT","Liters",IFERROR(INDEX(Setup!$F$3:$F$24,MATCH($C3217,Setup!$A$3:$A$24,0)),"")))</f>
        <v/>
      </c>
      <c r="F3217" s="28" t="str">
        <f aca="false">IF(OR($D3217="",$E3217=""),"",IFERROR($D3217*INDEX(Setup!$B$27:$B$44,MATCH($E3217,Setup!$A$27:$A$44,0)),"TBD"))</f>
        <v/>
      </c>
      <c r="G3217" s="32"/>
      <c r="H3217" s="32"/>
      <c r="I3217" s="32"/>
      <c r="J3217" s="32"/>
      <c r="K3217" s="35"/>
      <c r="L3217" s="32"/>
      <c r="M3217" s="32"/>
    </row>
    <row r="3218" customFormat="false" ht="15" hidden="false" customHeight="true" outlineLevel="0" collapsed="false">
      <c r="A3218" s="32"/>
      <c r="B3218" s="32"/>
      <c r="C3218" s="32"/>
      <c r="D3218" s="32"/>
      <c r="E3218" s="34" t="str">
        <f aca="false">IF($B3218="","",IF($B3218="OUT","Liters",IFERROR(INDEX(Setup!$F$3:$F$24,MATCH($C3218,Setup!$A$3:$A$24,0)),"")))</f>
        <v/>
      </c>
      <c r="F3218" s="28" t="str">
        <f aca="false">IF(OR($D3218="",$E3218=""),"",IFERROR($D3218*INDEX(Setup!$B$27:$B$44,MATCH($E3218,Setup!$A$27:$A$44,0)),"TBD"))</f>
        <v/>
      </c>
      <c r="G3218" s="32"/>
      <c r="H3218" s="32"/>
      <c r="I3218" s="32"/>
      <c r="J3218" s="32"/>
      <c r="K3218" s="35"/>
      <c r="L3218" s="32"/>
      <c r="M3218" s="32"/>
    </row>
    <row r="3219" customFormat="false" ht="15" hidden="false" customHeight="true" outlineLevel="0" collapsed="false">
      <c r="A3219" s="32"/>
      <c r="B3219" s="32"/>
      <c r="C3219" s="32"/>
      <c r="D3219" s="32"/>
      <c r="E3219" s="34" t="str">
        <f aca="false">IF($B3219="","",IF($B3219="OUT","Liters",IFERROR(INDEX(Setup!$F$3:$F$24,MATCH($C3219,Setup!$A$3:$A$24,0)),"")))</f>
        <v/>
      </c>
      <c r="F3219" s="28" t="str">
        <f aca="false">IF(OR($D3219="",$E3219=""),"",IFERROR($D3219*INDEX(Setup!$B$27:$B$44,MATCH($E3219,Setup!$A$27:$A$44,0)),"TBD"))</f>
        <v/>
      </c>
      <c r="G3219" s="32"/>
      <c r="H3219" s="32"/>
      <c r="I3219" s="32"/>
      <c r="J3219" s="32"/>
      <c r="K3219" s="35"/>
      <c r="L3219" s="32"/>
      <c r="M3219" s="32"/>
    </row>
    <row r="3220" customFormat="false" ht="15" hidden="false" customHeight="true" outlineLevel="0" collapsed="false">
      <c r="A3220" s="32"/>
      <c r="B3220" s="32"/>
      <c r="C3220" s="32"/>
      <c r="D3220" s="32"/>
      <c r="E3220" s="34" t="str">
        <f aca="false">IF($B3220="","",IF($B3220="OUT","Liters",IFERROR(INDEX(Setup!$F$3:$F$24,MATCH($C3220,Setup!$A$3:$A$24,0)),"")))</f>
        <v/>
      </c>
      <c r="F3220" s="28" t="str">
        <f aca="false">IF(OR($D3220="",$E3220=""),"",IFERROR($D3220*INDEX(Setup!$B$27:$B$44,MATCH($E3220,Setup!$A$27:$A$44,0)),"TBD"))</f>
        <v/>
      </c>
      <c r="G3220" s="32"/>
      <c r="H3220" s="32"/>
      <c r="I3220" s="32"/>
      <c r="J3220" s="32"/>
      <c r="K3220" s="35"/>
      <c r="L3220" s="32"/>
      <c r="M3220" s="32"/>
    </row>
    <row r="3221" customFormat="false" ht="15" hidden="false" customHeight="true" outlineLevel="0" collapsed="false">
      <c r="A3221" s="32"/>
      <c r="B3221" s="32"/>
      <c r="C3221" s="32"/>
      <c r="D3221" s="32"/>
      <c r="E3221" s="34" t="str">
        <f aca="false">IF($B3221="","",IF($B3221="OUT","Liters",IFERROR(INDEX(Setup!$F$3:$F$24,MATCH($C3221,Setup!$A$3:$A$24,0)),"")))</f>
        <v/>
      </c>
      <c r="F3221" s="28" t="str">
        <f aca="false">IF(OR($D3221="",$E3221=""),"",IFERROR($D3221*INDEX(Setup!$B$27:$B$44,MATCH($E3221,Setup!$A$27:$A$44,0)),"TBD"))</f>
        <v/>
      </c>
      <c r="G3221" s="32"/>
      <c r="H3221" s="32"/>
      <c r="I3221" s="32"/>
      <c r="J3221" s="32"/>
      <c r="K3221" s="35"/>
      <c r="L3221" s="32"/>
      <c r="M3221" s="32"/>
    </row>
    <row r="3222" customFormat="false" ht="15" hidden="false" customHeight="true" outlineLevel="0" collapsed="false">
      <c r="A3222" s="32"/>
      <c r="B3222" s="32"/>
      <c r="C3222" s="32"/>
      <c r="D3222" s="32"/>
      <c r="E3222" s="34" t="str">
        <f aca="false">IF($B3222="","",IF($B3222="OUT","Liters",IFERROR(INDEX(Setup!$F$3:$F$24,MATCH($C3222,Setup!$A$3:$A$24,0)),"")))</f>
        <v/>
      </c>
      <c r="F3222" s="28" t="str">
        <f aca="false">IF(OR($D3222="",$E3222=""),"",IFERROR($D3222*INDEX(Setup!$B$27:$B$44,MATCH($E3222,Setup!$A$27:$A$44,0)),"TBD"))</f>
        <v/>
      </c>
      <c r="G3222" s="32"/>
      <c r="H3222" s="32"/>
      <c r="I3222" s="32"/>
      <c r="J3222" s="32"/>
      <c r="K3222" s="35"/>
      <c r="L3222" s="32"/>
      <c r="M3222" s="32"/>
    </row>
    <row r="3223" customFormat="false" ht="15" hidden="false" customHeight="true" outlineLevel="0" collapsed="false">
      <c r="A3223" s="32"/>
      <c r="B3223" s="32"/>
      <c r="C3223" s="32"/>
      <c r="D3223" s="32"/>
      <c r="E3223" s="34" t="str">
        <f aca="false">IF($B3223="","",IF($B3223="OUT","Liters",IFERROR(INDEX(Setup!$F$3:$F$24,MATCH($C3223,Setup!$A$3:$A$24,0)),"")))</f>
        <v/>
      </c>
      <c r="F3223" s="28" t="str">
        <f aca="false">IF(OR($D3223="",$E3223=""),"",IFERROR($D3223*INDEX(Setup!$B$27:$B$44,MATCH($E3223,Setup!$A$27:$A$44,0)),"TBD"))</f>
        <v/>
      </c>
      <c r="G3223" s="32"/>
      <c r="H3223" s="32"/>
      <c r="I3223" s="32"/>
      <c r="J3223" s="32"/>
      <c r="K3223" s="35"/>
      <c r="L3223" s="32"/>
      <c r="M3223" s="32"/>
    </row>
    <row r="3224" customFormat="false" ht="15" hidden="false" customHeight="true" outlineLevel="0" collapsed="false">
      <c r="A3224" s="32"/>
      <c r="B3224" s="32"/>
      <c r="C3224" s="32"/>
      <c r="D3224" s="32"/>
      <c r="E3224" s="34" t="str">
        <f aca="false">IF($B3224="","",IF($B3224="OUT","Liters",IFERROR(INDEX(Setup!$F$3:$F$24,MATCH($C3224,Setup!$A$3:$A$24,0)),"")))</f>
        <v/>
      </c>
      <c r="F3224" s="28" t="str">
        <f aca="false">IF(OR($D3224="",$E3224=""),"",IFERROR($D3224*INDEX(Setup!$B$27:$B$44,MATCH($E3224,Setup!$A$27:$A$44,0)),"TBD"))</f>
        <v/>
      </c>
      <c r="G3224" s="32"/>
      <c r="H3224" s="32"/>
      <c r="I3224" s="32"/>
      <c r="J3224" s="32"/>
      <c r="K3224" s="35"/>
      <c r="L3224" s="32"/>
      <c r="M3224" s="32"/>
    </row>
    <row r="3225" customFormat="false" ht="15" hidden="false" customHeight="true" outlineLevel="0" collapsed="false">
      <c r="A3225" s="32"/>
      <c r="B3225" s="32"/>
      <c r="C3225" s="32"/>
      <c r="D3225" s="32"/>
      <c r="E3225" s="34" t="str">
        <f aca="false">IF($B3225="","",IF($B3225="OUT","Liters",IFERROR(INDEX(Setup!$F$3:$F$24,MATCH($C3225,Setup!$A$3:$A$24,0)),"")))</f>
        <v/>
      </c>
      <c r="F3225" s="28" t="str">
        <f aca="false">IF(OR($D3225="",$E3225=""),"",IFERROR($D3225*INDEX(Setup!$B$27:$B$44,MATCH($E3225,Setup!$A$27:$A$44,0)),"TBD"))</f>
        <v/>
      </c>
      <c r="G3225" s="32"/>
      <c r="H3225" s="32"/>
      <c r="I3225" s="32"/>
      <c r="J3225" s="32"/>
      <c r="K3225" s="35"/>
      <c r="L3225" s="32"/>
      <c r="M3225" s="32"/>
    </row>
    <row r="3226" customFormat="false" ht="15" hidden="false" customHeight="true" outlineLevel="0" collapsed="false">
      <c r="A3226" s="32"/>
      <c r="B3226" s="32"/>
      <c r="C3226" s="32"/>
      <c r="D3226" s="32"/>
      <c r="E3226" s="34" t="str">
        <f aca="false">IF($B3226="","",IF($B3226="OUT","Liters",IFERROR(INDEX(Setup!$F$3:$F$24,MATCH($C3226,Setup!$A$3:$A$24,0)),"")))</f>
        <v/>
      </c>
      <c r="F3226" s="28" t="str">
        <f aca="false">IF(OR($D3226="",$E3226=""),"",IFERROR($D3226*INDEX(Setup!$B$27:$B$44,MATCH($E3226,Setup!$A$27:$A$44,0)),"TBD"))</f>
        <v/>
      </c>
      <c r="G3226" s="32"/>
      <c r="H3226" s="32"/>
      <c r="I3226" s="32"/>
      <c r="J3226" s="32"/>
      <c r="K3226" s="35"/>
      <c r="L3226" s="32"/>
      <c r="M3226" s="32"/>
    </row>
    <row r="3227" customFormat="false" ht="15" hidden="false" customHeight="true" outlineLevel="0" collapsed="false">
      <c r="A3227" s="32"/>
      <c r="B3227" s="32"/>
      <c r="C3227" s="32"/>
      <c r="D3227" s="32"/>
      <c r="E3227" s="34" t="str">
        <f aca="false">IF($B3227="","",IF($B3227="OUT","Liters",IFERROR(INDEX(Setup!$F$3:$F$24,MATCH($C3227,Setup!$A$3:$A$24,0)),"")))</f>
        <v/>
      </c>
      <c r="F3227" s="28" t="str">
        <f aca="false">IF(OR($D3227="",$E3227=""),"",IFERROR($D3227*INDEX(Setup!$B$27:$B$44,MATCH($E3227,Setup!$A$27:$A$44,0)),"TBD"))</f>
        <v/>
      </c>
      <c r="G3227" s="32"/>
      <c r="H3227" s="32"/>
      <c r="I3227" s="32"/>
      <c r="J3227" s="32"/>
      <c r="K3227" s="35"/>
      <c r="L3227" s="32"/>
      <c r="M3227" s="32"/>
    </row>
    <row r="3228" customFormat="false" ht="15" hidden="false" customHeight="true" outlineLevel="0" collapsed="false">
      <c r="A3228" s="32"/>
      <c r="B3228" s="32"/>
      <c r="C3228" s="32"/>
      <c r="D3228" s="32"/>
      <c r="E3228" s="34" t="str">
        <f aca="false">IF($B3228="","",IF($B3228="OUT","Liters",IFERROR(INDEX(Setup!$F$3:$F$24,MATCH($C3228,Setup!$A$3:$A$24,0)),"")))</f>
        <v/>
      </c>
      <c r="F3228" s="28" t="str">
        <f aca="false">IF(OR($D3228="",$E3228=""),"",IFERROR($D3228*INDEX(Setup!$B$27:$B$44,MATCH($E3228,Setup!$A$27:$A$44,0)),"TBD"))</f>
        <v/>
      </c>
      <c r="G3228" s="32"/>
      <c r="H3228" s="32"/>
      <c r="I3228" s="32"/>
      <c r="J3228" s="32"/>
      <c r="K3228" s="35"/>
      <c r="L3228" s="32"/>
      <c r="M3228" s="32"/>
    </row>
    <row r="3229" customFormat="false" ht="15" hidden="false" customHeight="true" outlineLevel="0" collapsed="false">
      <c r="A3229" s="32"/>
      <c r="B3229" s="32"/>
      <c r="C3229" s="32"/>
      <c r="D3229" s="32"/>
      <c r="E3229" s="34" t="str">
        <f aca="false">IF($B3229="","",IF($B3229="OUT","Liters",IFERROR(INDEX(Setup!$F$3:$F$24,MATCH($C3229,Setup!$A$3:$A$24,0)),"")))</f>
        <v/>
      </c>
      <c r="F3229" s="28" t="str">
        <f aca="false">IF(OR($D3229="",$E3229=""),"",IFERROR($D3229*INDEX(Setup!$B$27:$B$44,MATCH($E3229,Setup!$A$27:$A$44,0)),"TBD"))</f>
        <v/>
      </c>
      <c r="G3229" s="32"/>
      <c r="H3229" s="32"/>
      <c r="I3229" s="32"/>
      <c r="J3229" s="32"/>
      <c r="K3229" s="35"/>
      <c r="L3229" s="32"/>
      <c r="M3229" s="32"/>
    </row>
    <row r="3230" customFormat="false" ht="15" hidden="false" customHeight="true" outlineLevel="0" collapsed="false">
      <c r="A3230" s="32"/>
      <c r="B3230" s="32"/>
      <c r="C3230" s="32"/>
      <c r="D3230" s="32"/>
      <c r="E3230" s="34" t="str">
        <f aca="false">IF($B3230="","",IF($B3230="OUT","Liters",IFERROR(INDEX(Setup!$F$3:$F$24,MATCH($C3230,Setup!$A$3:$A$24,0)),"")))</f>
        <v/>
      </c>
      <c r="F3230" s="28" t="str">
        <f aca="false">IF(OR($D3230="",$E3230=""),"",IFERROR($D3230*INDEX(Setup!$B$27:$B$44,MATCH($E3230,Setup!$A$27:$A$44,0)),"TBD"))</f>
        <v/>
      </c>
      <c r="G3230" s="32"/>
      <c r="H3230" s="32"/>
      <c r="I3230" s="32"/>
      <c r="J3230" s="32"/>
      <c r="K3230" s="35"/>
      <c r="L3230" s="32"/>
      <c r="M3230" s="32"/>
    </row>
    <row r="3231" customFormat="false" ht="15" hidden="false" customHeight="true" outlineLevel="0" collapsed="false">
      <c r="A3231" s="32"/>
      <c r="B3231" s="32"/>
      <c r="C3231" s="32"/>
      <c r="D3231" s="32"/>
      <c r="E3231" s="34" t="str">
        <f aca="false">IF($B3231="","",IF($B3231="OUT","Liters",IFERROR(INDEX(Setup!$F$3:$F$24,MATCH($C3231,Setup!$A$3:$A$24,0)),"")))</f>
        <v/>
      </c>
      <c r="F3231" s="28" t="str">
        <f aca="false">IF(OR($D3231="",$E3231=""),"",IFERROR($D3231*INDEX(Setup!$B$27:$B$44,MATCH($E3231,Setup!$A$27:$A$44,0)),"TBD"))</f>
        <v/>
      </c>
      <c r="G3231" s="32"/>
      <c r="H3231" s="32"/>
      <c r="I3231" s="32"/>
      <c r="J3231" s="32"/>
      <c r="K3231" s="35"/>
      <c r="L3231" s="32"/>
      <c r="M3231" s="32"/>
    </row>
    <row r="3232" customFormat="false" ht="15" hidden="false" customHeight="true" outlineLevel="0" collapsed="false">
      <c r="A3232" s="32"/>
      <c r="B3232" s="32"/>
      <c r="C3232" s="32"/>
      <c r="D3232" s="32"/>
      <c r="E3232" s="34" t="str">
        <f aca="false">IF($B3232="","",IF($B3232="OUT","Liters",IFERROR(INDEX(Setup!$F$3:$F$24,MATCH($C3232,Setup!$A$3:$A$24,0)),"")))</f>
        <v/>
      </c>
      <c r="F3232" s="28" t="str">
        <f aca="false">IF(OR($D3232="",$E3232=""),"",IFERROR($D3232*INDEX(Setup!$B$27:$B$44,MATCH($E3232,Setup!$A$27:$A$44,0)),"TBD"))</f>
        <v/>
      </c>
      <c r="G3232" s="32"/>
      <c r="H3232" s="32"/>
      <c r="I3232" s="32"/>
      <c r="J3232" s="32"/>
      <c r="K3232" s="35"/>
      <c r="L3232" s="32"/>
      <c r="M3232" s="32"/>
    </row>
    <row r="3233" customFormat="false" ht="15" hidden="false" customHeight="true" outlineLevel="0" collapsed="false">
      <c r="A3233" s="32"/>
      <c r="B3233" s="32"/>
      <c r="C3233" s="32"/>
      <c r="D3233" s="32"/>
      <c r="E3233" s="34" t="str">
        <f aca="false">IF($B3233="","",IF($B3233="OUT","Liters",IFERROR(INDEX(Setup!$F$3:$F$24,MATCH($C3233,Setup!$A$3:$A$24,0)),"")))</f>
        <v/>
      </c>
      <c r="F3233" s="28" t="str">
        <f aca="false">IF(OR($D3233="",$E3233=""),"",IFERROR($D3233*INDEX(Setup!$B$27:$B$44,MATCH($E3233,Setup!$A$27:$A$44,0)),"TBD"))</f>
        <v/>
      </c>
      <c r="G3233" s="32"/>
      <c r="H3233" s="32"/>
      <c r="I3233" s="32"/>
      <c r="J3233" s="32"/>
      <c r="K3233" s="35"/>
      <c r="L3233" s="32"/>
      <c r="M3233" s="32"/>
    </row>
    <row r="3234" customFormat="false" ht="15" hidden="false" customHeight="true" outlineLevel="0" collapsed="false">
      <c r="A3234" s="32"/>
      <c r="B3234" s="32"/>
      <c r="C3234" s="32"/>
      <c r="D3234" s="32"/>
      <c r="E3234" s="34" t="str">
        <f aca="false">IF($B3234="","",IF($B3234="OUT","Liters",IFERROR(INDEX(Setup!$F$3:$F$24,MATCH($C3234,Setup!$A$3:$A$24,0)),"")))</f>
        <v/>
      </c>
      <c r="F3234" s="28" t="str">
        <f aca="false">IF(OR($D3234="",$E3234=""),"",IFERROR($D3234*INDEX(Setup!$B$27:$B$44,MATCH($E3234,Setup!$A$27:$A$44,0)),"TBD"))</f>
        <v/>
      </c>
      <c r="G3234" s="32"/>
      <c r="H3234" s="32"/>
      <c r="I3234" s="32"/>
      <c r="J3234" s="32"/>
      <c r="K3234" s="35"/>
      <c r="L3234" s="32"/>
      <c r="M3234" s="32"/>
    </row>
    <row r="3235" customFormat="false" ht="15" hidden="false" customHeight="true" outlineLevel="0" collapsed="false">
      <c r="A3235" s="32"/>
      <c r="B3235" s="32"/>
      <c r="C3235" s="32"/>
      <c r="D3235" s="32"/>
      <c r="E3235" s="34" t="str">
        <f aca="false">IF($B3235="","",IF($B3235="OUT","Liters",IFERROR(INDEX(Setup!$F$3:$F$24,MATCH($C3235,Setup!$A$3:$A$24,0)),"")))</f>
        <v/>
      </c>
      <c r="F3235" s="28" t="str">
        <f aca="false">IF(OR($D3235="",$E3235=""),"",IFERROR($D3235*INDEX(Setup!$B$27:$B$44,MATCH($E3235,Setup!$A$27:$A$44,0)),"TBD"))</f>
        <v/>
      </c>
      <c r="G3235" s="32"/>
      <c r="H3235" s="32"/>
      <c r="I3235" s="32"/>
      <c r="J3235" s="32"/>
      <c r="K3235" s="35"/>
      <c r="L3235" s="32"/>
      <c r="M3235" s="32"/>
    </row>
    <row r="3236" customFormat="false" ht="15" hidden="false" customHeight="true" outlineLevel="0" collapsed="false">
      <c r="A3236" s="32"/>
      <c r="B3236" s="32"/>
      <c r="C3236" s="32"/>
      <c r="D3236" s="32"/>
      <c r="E3236" s="34" t="str">
        <f aca="false">IF($B3236="","",IF($B3236="OUT","Liters",IFERROR(INDEX(Setup!$F$3:$F$24,MATCH($C3236,Setup!$A$3:$A$24,0)),"")))</f>
        <v/>
      </c>
      <c r="F3236" s="28" t="str">
        <f aca="false">IF(OR($D3236="",$E3236=""),"",IFERROR($D3236*INDEX(Setup!$B$27:$B$44,MATCH($E3236,Setup!$A$27:$A$44,0)),"TBD"))</f>
        <v/>
      </c>
      <c r="G3236" s="32"/>
      <c r="H3236" s="32"/>
      <c r="I3236" s="32"/>
      <c r="J3236" s="32"/>
      <c r="K3236" s="35"/>
      <c r="L3236" s="32"/>
      <c r="M3236" s="32"/>
    </row>
    <row r="3237" customFormat="false" ht="15" hidden="false" customHeight="true" outlineLevel="0" collapsed="false">
      <c r="A3237" s="32"/>
      <c r="B3237" s="32"/>
      <c r="C3237" s="32"/>
      <c r="D3237" s="32"/>
      <c r="E3237" s="34" t="str">
        <f aca="false">IF($B3237="","",IF($B3237="OUT","Liters",IFERROR(INDEX(Setup!$F$3:$F$24,MATCH($C3237,Setup!$A$3:$A$24,0)),"")))</f>
        <v/>
      </c>
      <c r="F3237" s="28" t="str">
        <f aca="false">IF(OR($D3237="",$E3237=""),"",IFERROR($D3237*INDEX(Setup!$B$27:$B$44,MATCH($E3237,Setup!$A$27:$A$44,0)),"TBD"))</f>
        <v/>
      </c>
      <c r="G3237" s="32"/>
      <c r="H3237" s="32"/>
      <c r="I3237" s="32"/>
      <c r="J3237" s="32"/>
      <c r="K3237" s="35"/>
      <c r="L3237" s="32"/>
      <c r="M3237" s="32"/>
    </row>
    <row r="3238" customFormat="false" ht="15" hidden="false" customHeight="true" outlineLevel="0" collapsed="false">
      <c r="A3238" s="32"/>
      <c r="B3238" s="32"/>
      <c r="C3238" s="32"/>
      <c r="D3238" s="32"/>
      <c r="E3238" s="34" t="str">
        <f aca="false">IF($B3238="","",IF($B3238="OUT","Liters",IFERROR(INDEX(Setup!$F$3:$F$24,MATCH($C3238,Setup!$A$3:$A$24,0)),"")))</f>
        <v/>
      </c>
      <c r="F3238" s="28" t="str">
        <f aca="false">IF(OR($D3238="",$E3238=""),"",IFERROR($D3238*INDEX(Setup!$B$27:$B$44,MATCH($E3238,Setup!$A$27:$A$44,0)),"TBD"))</f>
        <v/>
      </c>
      <c r="G3238" s="32"/>
      <c r="H3238" s="32"/>
      <c r="I3238" s="32"/>
      <c r="J3238" s="32"/>
      <c r="K3238" s="35"/>
      <c r="L3238" s="32"/>
      <c r="M3238" s="32"/>
    </row>
    <row r="3239" customFormat="false" ht="15" hidden="false" customHeight="true" outlineLevel="0" collapsed="false">
      <c r="A3239" s="32"/>
      <c r="B3239" s="32"/>
      <c r="C3239" s="32"/>
      <c r="D3239" s="32"/>
      <c r="E3239" s="34" t="str">
        <f aca="false">IF($B3239="","",IF($B3239="OUT","Liters",IFERROR(INDEX(Setup!$F$3:$F$24,MATCH($C3239,Setup!$A$3:$A$24,0)),"")))</f>
        <v/>
      </c>
      <c r="F3239" s="28" t="str">
        <f aca="false">IF(OR($D3239="",$E3239=""),"",IFERROR($D3239*INDEX(Setup!$B$27:$B$44,MATCH($E3239,Setup!$A$27:$A$44,0)),"TBD"))</f>
        <v/>
      </c>
      <c r="G3239" s="32"/>
      <c r="H3239" s="32"/>
      <c r="I3239" s="32"/>
      <c r="J3239" s="32"/>
      <c r="K3239" s="35"/>
      <c r="L3239" s="32"/>
      <c r="M3239" s="32"/>
    </row>
    <row r="3240" customFormat="false" ht="15" hidden="false" customHeight="true" outlineLevel="0" collapsed="false">
      <c r="A3240" s="32"/>
      <c r="B3240" s="32"/>
      <c r="C3240" s="32"/>
      <c r="D3240" s="32"/>
      <c r="E3240" s="34" t="str">
        <f aca="false">IF($B3240="","",IF($B3240="OUT","Liters",IFERROR(INDEX(Setup!$F$3:$F$24,MATCH($C3240,Setup!$A$3:$A$24,0)),"")))</f>
        <v/>
      </c>
      <c r="F3240" s="28" t="str">
        <f aca="false">IF(OR($D3240="",$E3240=""),"",IFERROR($D3240*INDEX(Setup!$B$27:$B$44,MATCH($E3240,Setup!$A$27:$A$44,0)),"TBD"))</f>
        <v/>
      </c>
      <c r="G3240" s="32"/>
      <c r="H3240" s="32"/>
      <c r="I3240" s="32"/>
      <c r="J3240" s="32"/>
      <c r="K3240" s="35"/>
      <c r="L3240" s="32"/>
      <c r="M3240" s="32"/>
    </row>
    <row r="3241" customFormat="false" ht="15" hidden="false" customHeight="true" outlineLevel="0" collapsed="false">
      <c r="A3241" s="32"/>
      <c r="B3241" s="32"/>
      <c r="C3241" s="32"/>
      <c r="D3241" s="32"/>
      <c r="E3241" s="34" t="str">
        <f aca="false">IF($B3241="","",IF($B3241="OUT","Liters",IFERROR(INDEX(Setup!$F$3:$F$24,MATCH($C3241,Setup!$A$3:$A$24,0)),"")))</f>
        <v/>
      </c>
      <c r="F3241" s="28" t="str">
        <f aca="false">IF(OR($D3241="",$E3241=""),"",IFERROR($D3241*INDEX(Setup!$B$27:$B$44,MATCH($E3241,Setup!$A$27:$A$44,0)),"TBD"))</f>
        <v/>
      </c>
      <c r="G3241" s="32"/>
      <c r="H3241" s="32"/>
      <c r="I3241" s="32"/>
      <c r="J3241" s="32"/>
      <c r="K3241" s="35"/>
      <c r="L3241" s="32"/>
      <c r="M3241" s="32"/>
    </row>
    <row r="3242" customFormat="false" ht="15" hidden="false" customHeight="true" outlineLevel="0" collapsed="false">
      <c r="A3242" s="32"/>
      <c r="B3242" s="32"/>
      <c r="C3242" s="32"/>
      <c r="D3242" s="32"/>
      <c r="E3242" s="34" t="str">
        <f aca="false">IF($B3242="","",IF($B3242="OUT","Liters",IFERROR(INDEX(Setup!$F$3:$F$24,MATCH($C3242,Setup!$A$3:$A$24,0)),"")))</f>
        <v/>
      </c>
      <c r="F3242" s="28" t="str">
        <f aca="false">IF(OR($D3242="",$E3242=""),"",IFERROR($D3242*INDEX(Setup!$B$27:$B$44,MATCH($E3242,Setup!$A$27:$A$44,0)),"TBD"))</f>
        <v/>
      </c>
      <c r="G3242" s="32"/>
      <c r="H3242" s="32"/>
      <c r="I3242" s="32"/>
      <c r="J3242" s="32"/>
      <c r="K3242" s="35"/>
      <c r="L3242" s="32"/>
      <c r="M3242" s="32"/>
    </row>
    <row r="3243" customFormat="false" ht="15" hidden="false" customHeight="true" outlineLevel="0" collapsed="false">
      <c r="A3243" s="32"/>
      <c r="B3243" s="32"/>
      <c r="C3243" s="32"/>
      <c r="D3243" s="32"/>
      <c r="E3243" s="34" t="str">
        <f aca="false">IF($B3243="","",IF($B3243="OUT","Liters",IFERROR(INDEX(Setup!$F$3:$F$24,MATCH($C3243,Setup!$A$3:$A$24,0)),"")))</f>
        <v/>
      </c>
      <c r="F3243" s="28" t="str">
        <f aca="false">IF(OR($D3243="",$E3243=""),"",IFERROR($D3243*INDEX(Setup!$B$27:$B$44,MATCH($E3243,Setup!$A$27:$A$44,0)),"TBD"))</f>
        <v/>
      </c>
      <c r="G3243" s="32"/>
      <c r="H3243" s="32"/>
      <c r="I3243" s="32"/>
      <c r="J3243" s="32"/>
      <c r="K3243" s="35"/>
      <c r="L3243" s="32"/>
      <c r="M3243" s="32"/>
    </row>
    <row r="3244" customFormat="false" ht="15" hidden="false" customHeight="true" outlineLevel="0" collapsed="false">
      <c r="A3244" s="32"/>
      <c r="B3244" s="32"/>
      <c r="C3244" s="32"/>
      <c r="D3244" s="32"/>
      <c r="E3244" s="34" t="str">
        <f aca="false">IF($B3244="","",IF($B3244="OUT","Liters",IFERROR(INDEX(Setup!$F$3:$F$24,MATCH($C3244,Setup!$A$3:$A$24,0)),"")))</f>
        <v/>
      </c>
      <c r="F3244" s="28" t="str">
        <f aca="false">IF(OR($D3244="",$E3244=""),"",IFERROR($D3244*INDEX(Setup!$B$27:$B$44,MATCH($E3244,Setup!$A$27:$A$44,0)),"TBD"))</f>
        <v/>
      </c>
      <c r="G3244" s="32"/>
      <c r="H3244" s="32"/>
      <c r="I3244" s="32"/>
      <c r="J3244" s="32"/>
      <c r="K3244" s="35"/>
      <c r="L3244" s="32"/>
      <c r="M3244" s="32"/>
    </row>
    <row r="3245" customFormat="false" ht="15" hidden="false" customHeight="true" outlineLevel="0" collapsed="false">
      <c r="A3245" s="32"/>
      <c r="B3245" s="32"/>
      <c r="C3245" s="32"/>
      <c r="D3245" s="32"/>
      <c r="E3245" s="34" t="str">
        <f aca="false">IF($B3245="","",IF($B3245="OUT","Liters",IFERROR(INDEX(Setup!$F$3:$F$24,MATCH($C3245,Setup!$A$3:$A$24,0)),"")))</f>
        <v/>
      </c>
      <c r="F3245" s="28" t="str">
        <f aca="false">IF(OR($D3245="",$E3245=""),"",IFERROR($D3245*INDEX(Setup!$B$27:$B$44,MATCH($E3245,Setup!$A$27:$A$44,0)),"TBD"))</f>
        <v/>
      </c>
      <c r="G3245" s="32"/>
      <c r="H3245" s="32"/>
      <c r="I3245" s="32"/>
      <c r="J3245" s="32"/>
      <c r="K3245" s="35"/>
      <c r="L3245" s="32"/>
      <c r="M3245" s="32"/>
    </row>
    <row r="3246" customFormat="false" ht="15" hidden="false" customHeight="true" outlineLevel="0" collapsed="false">
      <c r="A3246" s="32"/>
      <c r="B3246" s="32"/>
      <c r="C3246" s="32"/>
      <c r="D3246" s="32"/>
      <c r="E3246" s="34" t="str">
        <f aca="false">IF($B3246="","",IF($B3246="OUT","Liters",IFERROR(INDEX(Setup!$F$3:$F$24,MATCH($C3246,Setup!$A$3:$A$24,0)),"")))</f>
        <v/>
      </c>
      <c r="F3246" s="28" t="str">
        <f aca="false">IF(OR($D3246="",$E3246=""),"",IFERROR($D3246*INDEX(Setup!$B$27:$B$44,MATCH($E3246,Setup!$A$27:$A$44,0)),"TBD"))</f>
        <v/>
      </c>
      <c r="G3246" s="32"/>
      <c r="H3246" s="32"/>
      <c r="I3246" s="32"/>
      <c r="J3246" s="32"/>
      <c r="K3246" s="35"/>
      <c r="L3246" s="32"/>
      <c r="M3246" s="32"/>
    </row>
    <row r="3247" customFormat="false" ht="15" hidden="false" customHeight="true" outlineLevel="0" collapsed="false">
      <c r="A3247" s="32"/>
      <c r="B3247" s="32"/>
      <c r="C3247" s="32"/>
      <c r="D3247" s="32"/>
      <c r="E3247" s="34" t="str">
        <f aca="false">IF($B3247="","",IF($B3247="OUT","Liters",IFERROR(INDEX(Setup!$F$3:$F$24,MATCH($C3247,Setup!$A$3:$A$24,0)),"")))</f>
        <v/>
      </c>
      <c r="F3247" s="28" t="str">
        <f aca="false">IF(OR($D3247="",$E3247=""),"",IFERROR($D3247*INDEX(Setup!$B$27:$B$44,MATCH($E3247,Setup!$A$27:$A$44,0)),"TBD"))</f>
        <v/>
      </c>
      <c r="G3247" s="32"/>
      <c r="H3247" s="32"/>
      <c r="I3247" s="32"/>
      <c r="J3247" s="32"/>
      <c r="K3247" s="35"/>
      <c r="L3247" s="32"/>
      <c r="M3247" s="32"/>
    </row>
    <row r="3248" customFormat="false" ht="15" hidden="false" customHeight="true" outlineLevel="0" collapsed="false">
      <c r="A3248" s="32"/>
      <c r="B3248" s="32"/>
      <c r="C3248" s="32"/>
      <c r="D3248" s="32"/>
      <c r="E3248" s="34" t="str">
        <f aca="false">IF($B3248="","",IF($B3248="OUT","Liters",IFERROR(INDEX(Setup!$F$3:$F$24,MATCH($C3248,Setup!$A$3:$A$24,0)),"")))</f>
        <v/>
      </c>
      <c r="F3248" s="28" t="str">
        <f aca="false">IF(OR($D3248="",$E3248=""),"",IFERROR($D3248*INDEX(Setup!$B$27:$B$44,MATCH($E3248,Setup!$A$27:$A$44,0)),"TBD"))</f>
        <v/>
      </c>
      <c r="G3248" s="32"/>
      <c r="H3248" s="32"/>
      <c r="I3248" s="32"/>
      <c r="J3248" s="32"/>
      <c r="K3248" s="35"/>
      <c r="L3248" s="32"/>
      <c r="M3248" s="32"/>
    </row>
    <row r="3249" customFormat="false" ht="15" hidden="false" customHeight="true" outlineLevel="0" collapsed="false">
      <c r="A3249" s="32"/>
      <c r="B3249" s="32"/>
      <c r="C3249" s="32"/>
      <c r="D3249" s="32"/>
      <c r="E3249" s="34" t="str">
        <f aca="false">IF($B3249="","",IF($B3249="OUT","Liters",IFERROR(INDEX(Setup!$F$3:$F$24,MATCH($C3249,Setup!$A$3:$A$24,0)),"")))</f>
        <v/>
      </c>
      <c r="F3249" s="28" t="str">
        <f aca="false">IF(OR($D3249="",$E3249=""),"",IFERROR($D3249*INDEX(Setup!$B$27:$B$44,MATCH($E3249,Setup!$A$27:$A$44,0)),"TBD"))</f>
        <v/>
      </c>
      <c r="G3249" s="32"/>
      <c r="H3249" s="32"/>
      <c r="I3249" s="32"/>
      <c r="J3249" s="32"/>
      <c r="K3249" s="35"/>
      <c r="L3249" s="32"/>
      <c r="M3249" s="32"/>
    </row>
    <row r="3250" customFormat="false" ht="15" hidden="false" customHeight="true" outlineLevel="0" collapsed="false">
      <c r="A3250" s="32"/>
      <c r="B3250" s="32"/>
      <c r="C3250" s="32"/>
      <c r="D3250" s="32"/>
      <c r="E3250" s="34" t="str">
        <f aca="false">IF($B3250="","",IF($B3250="OUT","Liters",IFERROR(INDEX(Setup!$F$3:$F$24,MATCH($C3250,Setup!$A$3:$A$24,0)),"")))</f>
        <v/>
      </c>
      <c r="F3250" s="28" t="str">
        <f aca="false">IF(OR($D3250="",$E3250=""),"",IFERROR($D3250*INDEX(Setup!$B$27:$B$44,MATCH($E3250,Setup!$A$27:$A$44,0)),"TBD"))</f>
        <v/>
      </c>
      <c r="G3250" s="32"/>
      <c r="H3250" s="32"/>
      <c r="I3250" s="32"/>
      <c r="J3250" s="32"/>
      <c r="K3250" s="35"/>
      <c r="L3250" s="32"/>
      <c r="M3250" s="32"/>
    </row>
    <row r="3251" customFormat="false" ht="15" hidden="false" customHeight="true" outlineLevel="0" collapsed="false">
      <c r="A3251" s="32"/>
      <c r="B3251" s="32"/>
      <c r="C3251" s="32"/>
      <c r="D3251" s="32"/>
      <c r="E3251" s="34" t="str">
        <f aca="false">IF($B3251="","",IF($B3251="OUT","Liters",IFERROR(INDEX(Setup!$F$3:$F$24,MATCH($C3251,Setup!$A$3:$A$24,0)),"")))</f>
        <v/>
      </c>
      <c r="F3251" s="28" t="str">
        <f aca="false">IF(OR($D3251="",$E3251=""),"",IFERROR($D3251*INDEX(Setup!$B$27:$B$44,MATCH($E3251,Setup!$A$27:$A$44,0)),"TBD"))</f>
        <v/>
      </c>
      <c r="G3251" s="32"/>
      <c r="H3251" s="32"/>
      <c r="I3251" s="32"/>
      <c r="J3251" s="32"/>
      <c r="K3251" s="35"/>
      <c r="L3251" s="32"/>
      <c r="M3251" s="32"/>
    </row>
    <row r="3252" customFormat="false" ht="15" hidden="false" customHeight="true" outlineLevel="0" collapsed="false">
      <c r="A3252" s="32"/>
      <c r="B3252" s="32"/>
      <c r="C3252" s="32"/>
      <c r="D3252" s="32"/>
      <c r="E3252" s="34" t="str">
        <f aca="false">IF($B3252="","",IF($B3252="OUT","Liters",IFERROR(INDEX(Setup!$F$3:$F$24,MATCH($C3252,Setup!$A$3:$A$24,0)),"")))</f>
        <v/>
      </c>
      <c r="F3252" s="28" t="str">
        <f aca="false">IF(OR($D3252="",$E3252=""),"",IFERROR($D3252*INDEX(Setup!$B$27:$B$44,MATCH($E3252,Setup!$A$27:$A$44,0)),"TBD"))</f>
        <v/>
      </c>
      <c r="G3252" s="32"/>
      <c r="H3252" s="32"/>
      <c r="I3252" s="32"/>
      <c r="J3252" s="32"/>
      <c r="K3252" s="35"/>
      <c r="L3252" s="32"/>
      <c r="M3252" s="32"/>
    </row>
    <row r="3253" customFormat="false" ht="15" hidden="false" customHeight="true" outlineLevel="0" collapsed="false">
      <c r="A3253" s="32"/>
      <c r="B3253" s="32"/>
      <c r="C3253" s="32"/>
      <c r="D3253" s="32"/>
      <c r="E3253" s="34" t="str">
        <f aca="false">IF($B3253="","",IF($B3253="OUT","Liters",IFERROR(INDEX(Setup!$F$3:$F$24,MATCH($C3253,Setup!$A$3:$A$24,0)),"")))</f>
        <v/>
      </c>
      <c r="F3253" s="28" t="str">
        <f aca="false">IF(OR($D3253="",$E3253=""),"",IFERROR($D3253*INDEX(Setup!$B$27:$B$44,MATCH($E3253,Setup!$A$27:$A$44,0)),"TBD"))</f>
        <v/>
      </c>
      <c r="G3253" s="32"/>
      <c r="H3253" s="32"/>
      <c r="I3253" s="32"/>
      <c r="J3253" s="32"/>
      <c r="K3253" s="35"/>
      <c r="L3253" s="32"/>
      <c r="M3253" s="32"/>
    </row>
    <row r="3254" customFormat="false" ht="15" hidden="false" customHeight="true" outlineLevel="0" collapsed="false">
      <c r="A3254" s="32"/>
      <c r="B3254" s="32"/>
      <c r="C3254" s="32"/>
      <c r="D3254" s="32"/>
      <c r="E3254" s="34" t="str">
        <f aca="false">IF($B3254="","",IF($B3254="OUT","Liters",IFERROR(INDEX(Setup!$F$3:$F$24,MATCH($C3254,Setup!$A$3:$A$24,0)),"")))</f>
        <v/>
      </c>
      <c r="F3254" s="28" t="str">
        <f aca="false">IF(OR($D3254="",$E3254=""),"",IFERROR($D3254*INDEX(Setup!$B$27:$B$44,MATCH($E3254,Setup!$A$27:$A$44,0)),"TBD"))</f>
        <v/>
      </c>
      <c r="G3254" s="32"/>
      <c r="H3254" s="32"/>
      <c r="I3254" s="32"/>
      <c r="J3254" s="32"/>
      <c r="K3254" s="35"/>
      <c r="L3254" s="32"/>
      <c r="M3254" s="32"/>
    </row>
    <row r="3255" customFormat="false" ht="15" hidden="false" customHeight="true" outlineLevel="0" collapsed="false">
      <c r="A3255" s="32"/>
      <c r="B3255" s="32"/>
      <c r="C3255" s="32"/>
      <c r="D3255" s="32"/>
      <c r="E3255" s="34" t="str">
        <f aca="false">IF($B3255="","",IF($B3255="OUT","Liters",IFERROR(INDEX(Setup!$F$3:$F$24,MATCH($C3255,Setup!$A$3:$A$24,0)),"")))</f>
        <v/>
      </c>
      <c r="F3255" s="28" t="str">
        <f aca="false">IF(OR($D3255="",$E3255=""),"",IFERROR($D3255*INDEX(Setup!$B$27:$B$44,MATCH($E3255,Setup!$A$27:$A$44,0)),"TBD"))</f>
        <v/>
      </c>
      <c r="G3255" s="32"/>
      <c r="H3255" s="32"/>
      <c r="I3255" s="32"/>
      <c r="J3255" s="32"/>
      <c r="K3255" s="35"/>
      <c r="L3255" s="32"/>
      <c r="M3255" s="32"/>
    </row>
    <row r="3256" customFormat="false" ht="15" hidden="false" customHeight="true" outlineLevel="0" collapsed="false">
      <c r="A3256" s="32"/>
      <c r="B3256" s="32"/>
      <c r="C3256" s="32"/>
      <c r="D3256" s="32"/>
      <c r="E3256" s="34" t="str">
        <f aca="false">IF($B3256="","",IF($B3256="OUT","Liters",IFERROR(INDEX(Setup!$F$3:$F$24,MATCH($C3256,Setup!$A$3:$A$24,0)),"")))</f>
        <v/>
      </c>
      <c r="F3256" s="28" t="str">
        <f aca="false">IF(OR($D3256="",$E3256=""),"",IFERROR($D3256*INDEX(Setup!$B$27:$B$44,MATCH($E3256,Setup!$A$27:$A$44,0)),"TBD"))</f>
        <v/>
      </c>
      <c r="G3256" s="32"/>
      <c r="H3256" s="32"/>
      <c r="I3256" s="32"/>
      <c r="J3256" s="32"/>
      <c r="K3256" s="35"/>
      <c r="L3256" s="32"/>
      <c r="M3256" s="32"/>
    </row>
    <row r="3257" customFormat="false" ht="15" hidden="false" customHeight="true" outlineLevel="0" collapsed="false">
      <c r="A3257" s="32"/>
      <c r="B3257" s="32"/>
      <c r="C3257" s="32"/>
      <c r="D3257" s="32"/>
      <c r="E3257" s="34" t="str">
        <f aca="false">IF($B3257="","",IF($B3257="OUT","Liters",IFERROR(INDEX(Setup!$F$3:$F$24,MATCH($C3257,Setup!$A$3:$A$24,0)),"")))</f>
        <v/>
      </c>
      <c r="F3257" s="28" t="str">
        <f aca="false">IF(OR($D3257="",$E3257=""),"",IFERROR($D3257*INDEX(Setup!$B$27:$B$44,MATCH($E3257,Setup!$A$27:$A$44,0)),"TBD"))</f>
        <v/>
      </c>
      <c r="G3257" s="32"/>
      <c r="H3257" s="32"/>
      <c r="I3257" s="32"/>
      <c r="J3257" s="32"/>
      <c r="K3257" s="35"/>
      <c r="L3257" s="32"/>
      <c r="M3257" s="32"/>
    </row>
    <row r="3258" customFormat="false" ht="15" hidden="false" customHeight="true" outlineLevel="0" collapsed="false">
      <c r="A3258" s="32"/>
      <c r="B3258" s="32"/>
      <c r="C3258" s="32"/>
      <c r="D3258" s="32"/>
      <c r="E3258" s="34" t="str">
        <f aca="false">IF($B3258="","",IF($B3258="OUT","Liters",IFERROR(INDEX(Setup!$F$3:$F$24,MATCH($C3258,Setup!$A$3:$A$24,0)),"")))</f>
        <v/>
      </c>
      <c r="F3258" s="28" t="str">
        <f aca="false">IF(OR($D3258="",$E3258=""),"",IFERROR($D3258*INDEX(Setup!$B$27:$B$44,MATCH($E3258,Setup!$A$27:$A$44,0)),"TBD"))</f>
        <v/>
      </c>
      <c r="G3258" s="32"/>
      <c r="H3258" s="32"/>
      <c r="I3258" s="32"/>
      <c r="J3258" s="32"/>
      <c r="K3258" s="35"/>
      <c r="L3258" s="32"/>
      <c r="M3258" s="32"/>
    </row>
    <row r="3259" customFormat="false" ht="15" hidden="false" customHeight="true" outlineLevel="0" collapsed="false">
      <c r="A3259" s="32"/>
      <c r="B3259" s="32"/>
      <c r="C3259" s="32"/>
      <c r="D3259" s="32"/>
      <c r="E3259" s="34" t="str">
        <f aca="false">IF($B3259="","",IF($B3259="OUT","Liters",IFERROR(INDEX(Setup!$F$3:$F$24,MATCH($C3259,Setup!$A$3:$A$24,0)),"")))</f>
        <v/>
      </c>
      <c r="F3259" s="28" t="str">
        <f aca="false">IF(OR($D3259="",$E3259=""),"",IFERROR($D3259*INDEX(Setup!$B$27:$B$44,MATCH($E3259,Setup!$A$27:$A$44,0)),"TBD"))</f>
        <v/>
      </c>
      <c r="G3259" s="32"/>
      <c r="H3259" s="32"/>
      <c r="I3259" s="32"/>
      <c r="J3259" s="32"/>
      <c r="K3259" s="35"/>
      <c r="L3259" s="32"/>
      <c r="M3259" s="32"/>
    </row>
    <row r="3260" customFormat="false" ht="15" hidden="false" customHeight="true" outlineLevel="0" collapsed="false">
      <c r="A3260" s="32"/>
      <c r="B3260" s="32"/>
      <c r="C3260" s="32"/>
      <c r="D3260" s="32"/>
      <c r="E3260" s="34" t="str">
        <f aca="false">IF($B3260="","",IF($B3260="OUT","Liters",IFERROR(INDEX(Setup!$F$3:$F$24,MATCH($C3260,Setup!$A$3:$A$24,0)),"")))</f>
        <v/>
      </c>
      <c r="F3260" s="28" t="str">
        <f aca="false">IF(OR($D3260="",$E3260=""),"",IFERROR($D3260*INDEX(Setup!$B$27:$B$44,MATCH($E3260,Setup!$A$27:$A$44,0)),"TBD"))</f>
        <v/>
      </c>
      <c r="G3260" s="32"/>
      <c r="H3260" s="32"/>
      <c r="I3260" s="32"/>
      <c r="J3260" s="32"/>
      <c r="K3260" s="35"/>
      <c r="L3260" s="32"/>
      <c r="M3260" s="32"/>
    </row>
    <row r="3261" customFormat="false" ht="15" hidden="false" customHeight="true" outlineLevel="0" collapsed="false">
      <c r="A3261" s="32"/>
      <c r="B3261" s="32"/>
      <c r="C3261" s="32"/>
      <c r="D3261" s="32"/>
      <c r="E3261" s="34" t="str">
        <f aca="false">IF($B3261="","",IF($B3261="OUT","Liters",IFERROR(INDEX(Setup!$F$3:$F$24,MATCH($C3261,Setup!$A$3:$A$24,0)),"")))</f>
        <v/>
      </c>
      <c r="F3261" s="28" t="str">
        <f aca="false">IF(OR($D3261="",$E3261=""),"",IFERROR($D3261*INDEX(Setup!$B$27:$B$44,MATCH($E3261,Setup!$A$27:$A$44,0)),"TBD"))</f>
        <v/>
      </c>
      <c r="G3261" s="32"/>
      <c r="H3261" s="32"/>
      <c r="I3261" s="32"/>
      <c r="J3261" s="32"/>
      <c r="K3261" s="35"/>
      <c r="L3261" s="32"/>
      <c r="M3261" s="32"/>
    </row>
    <row r="3262" customFormat="false" ht="15" hidden="false" customHeight="true" outlineLevel="0" collapsed="false">
      <c r="A3262" s="32"/>
      <c r="B3262" s="32"/>
      <c r="C3262" s="32"/>
      <c r="D3262" s="32"/>
      <c r="E3262" s="34" t="str">
        <f aca="false">IF($B3262="","",IF($B3262="OUT","Liters",IFERROR(INDEX(Setup!$F$3:$F$24,MATCH($C3262,Setup!$A$3:$A$24,0)),"")))</f>
        <v/>
      </c>
      <c r="F3262" s="28" t="str">
        <f aca="false">IF(OR($D3262="",$E3262=""),"",IFERROR($D3262*INDEX(Setup!$B$27:$B$44,MATCH($E3262,Setup!$A$27:$A$44,0)),"TBD"))</f>
        <v/>
      </c>
      <c r="G3262" s="32"/>
      <c r="H3262" s="32"/>
      <c r="I3262" s="32"/>
      <c r="J3262" s="32"/>
      <c r="K3262" s="35"/>
      <c r="L3262" s="32"/>
      <c r="M3262" s="32"/>
    </row>
    <row r="3263" customFormat="false" ht="15" hidden="false" customHeight="true" outlineLevel="0" collapsed="false">
      <c r="A3263" s="32"/>
      <c r="B3263" s="32"/>
      <c r="C3263" s="32"/>
      <c r="D3263" s="32"/>
      <c r="E3263" s="34" t="str">
        <f aca="false">IF($B3263="","",IF($B3263="OUT","Liters",IFERROR(INDEX(Setup!$F$3:$F$24,MATCH($C3263,Setup!$A$3:$A$24,0)),"")))</f>
        <v/>
      </c>
      <c r="F3263" s="28" t="str">
        <f aca="false">IF(OR($D3263="",$E3263=""),"",IFERROR($D3263*INDEX(Setup!$B$27:$B$44,MATCH($E3263,Setup!$A$27:$A$44,0)),"TBD"))</f>
        <v/>
      </c>
      <c r="G3263" s="32"/>
      <c r="H3263" s="32"/>
      <c r="I3263" s="32"/>
      <c r="J3263" s="32"/>
      <c r="K3263" s="35"/>
      <c r="L3263" s="32"/>
      <c r="M3263" s="32"/>
    </row>
    <row r="3264" customFormat="false" ht="15" hidden="false" customHeight="true" outlineLevel="0" collapsed="false">
      <c r="A3264" s="32"/>
      <c r="B3264" s="32"/>
      <c r="C3264" s="32"/>
      <c r="D3264" s="32"/>
      <c r="E3264" s="34" t="str">
        <f aca="false">IF($B3264="","",IF($B3264="OUT","Liters",IFERROR(INDEX(Setup!$F$3:$F$24,MATCH($C3264,Setup!$A$3:$A$24,0)),"")))</f>
        <v/>
      </c>
      <c r="F3264" s="28" t="str">
        <f aca="false">IF(OR($D3264="",$E3264=""),"",IFERROR($D3264*INDEX(Setup!$B$27:$B$44,MATCH($E3264,Setup!$A$27:$A$44,0)),"TBD"))</f>
        <v/>
      </c>
      <c r="G3264" s="32"/>
      <c r="H3264" s="32"/>
      <c r="I3264" s="32"/>
      <c r="J3264" s="32"/>
      <c r="K3264" s="35"/>
      <c r="L3264" s="32"/>
      <c r="M3264" s="32"/>
    </row>
    <row r="3265" customFormat="false" ht="15" hidden="false" customHeight="true" outlineLevel="0" collapsed="false">
      <c r="A3265" s="32"/>
      <c r="B3265" s="32"/>
      <c r="C3265" s="32"/>
      <c r="D3265" s="32"/>
      <c r="E3265" s="34" t="str">
        <f aca="false">IF($B3265="","",IF($B3265="OUT","Liters",IFERROR(INDEX(Setup!$F$3:$F$24,MATCH($C3265,Setup!$A$3:$A$24,0)),"")))</f>
        <v/>
      </c>
      <c r="F3265" s="28" t="str">
        <f aca="false">IF(OR($D3265="",$E3265=""),"",IFERROR($D3265*INDEX(Setup!$B$27:$B$44,MATCH($E3265,Setup!$A$27:$A$44,0)),"TBD"))</f>
        <v/>
      </c>
      <c r="G3265" s="32"/>
      <c r="H3265" s="32"/>
      <c r="I3265" s="32"/>
      <c r="J3265" s="32"/>
      <c r="K3265" s="35"/>
      <c r="L3265" s="32"/>
      <c r="M3265" s="32"/>
    </row>
    <row r="3266" customFormat="false" ht="15" hidden="false" customHeight="true" outlineLevel="0" collapsed="false">
      <c r="A3266" s="32"/>
      <c r="B3266" s="32"/>
      <c r="C3266" s="32"/>
      <c r="D3266" s="32"/>
      <c r="E3266" s="34" t="str">
        <f aca="false">IF($B3266="","",IF($B3266="OUT","Liters",IFERROR(INDEX(Setup!$F$3:$F$24,MATCH($C3266,Setup!$A$3:$A$24,0)),"")))</f>
        <v/>
      </c>
      <c r="F3266" s="28" t="str">
        <f aca="false">IF(OR($D3266="",$E3266=""),"",IFERROR($D3266*INDEX(Setup!$B$27:$B$44,MATCH($E3266,Setup!$A$27:$A$44,0)),"TBD"))</f>
        <v/>
      </c>
      <c r="G3266" s="32"/>
      <c r="H3266" s="32"/>
      <c r="I3266" s="32"/>
      <c r="J3266" s="32"/>
      <c r="K3266" s="35"/>
      <c r="L3266" s="32"/>
      <c r="M3266" s="32"/>
    </row>
    <row r="3267" customFormat="false" ht="15" hidden="false" customHeight="true" outlineLevel="0" collapsed="false">
      <c r="A3267" s="32"/>
      <c r="B3267" s="32"/>
      <c r="C3267" s="32"/>
      <c r="D3267" s="32"/>
      <c r="E3267" s="34" t="str">
        <f aca="false">IF($B3267="","",IF($B3267="OUT","Liters",IFERROR(INDEX(Setup!$F$3:$F$24,MATCH($C3267,Setup!$A$3:$A$24,0)),"")))</f>
        <v/>
      </c>
      <c r="F3267" s="28" t="str">
        <f aca="false">IF(OR($D3267="",$E3267=""),"",IFERROR($D3267*INDEX(Setup!$B$27:$B$44,MATCH($E3267,Setup!$A$27:$A$44,0)),"TBD"))</f>
        <v/>
      </c>
      <c r="G3267" s="32"/>
      <c r="H3267" s="32"/>
      <c r="I3267" s="32"/>
      <c r="J3267" s="32"/>
      <c r="K3267" s="35"/>
      <c r="L3267" s="32"/>
      <c r="M3267" s="32"/>
    </row>
    <row r="3268" customFormat="false" ht="15" hidden="false" customHeight="true" outlineLevel="0" collapsed="false">
      <c r="A3268" s="32"/>
      <c r="B3268" s="32"/>
      <c r="C3268" s="32"/>
      <c r="D3268" s="32"/>
      <c r="E3268" s="34" t="str">
        <f aca="false">IF($B3268="","",IF($B3268="OUT","Liters",IFERROR(INDEX(Setup!$F$3:$F$24,MATCH($C3268,Setup!$A$3:$A$24,0)),"")))</f>
        <v/>
      </c>
      <c r="F3268" s="28" t="str">
        <f aca="false">IF(OR($D3268="",$E3268=""),"",IFERROR($D3268*INDEX(Setup!$B$27:$B$44,MATCH($E3268,Setup!$A$27:$A$44,0)),"TBD"))</f>
        <v/>
      </c>
      <c r="G3268" s="32"/>
      <c r="H3268" s="32"/>
      <c r="I3268" s="32"/>
      <c r="J3268" s="32"/>
      <c r="K3268" s="35"/>
      <c r="L3268" s="32"/>
      <c r="M3268" s="32"/>
    </row>
    <row r="3269" customFormat="false" ht="15" hidden="false" customHeight="true" outlineLevel="0" collapsed="false">
      <c r="A3269" s="32"/>
      <c r="B3269" s="32"/>
      <c r="C3269" s="32"/>
      <c r="D3269" s="32"/>
      <c r="E3269" s="34" t="str">
        <f aca="false">IF($B3269="","",IF($B3269="OUT","Liters",IFERROR(INDEX(Setup!$F$3:$F$24,MATCH($C3269,Setup!$A$3:$A$24,0)),"")))</f>
        <v/>
      </c>
      <c r="F3269" s="28" t="str">
        <f aca="false">IF(OR($D3269="",$E3269=""),"",IFERROR($D3269*INDEX(Setup!$B$27:$B$44,MATCH($E3269,Setup!$A$27:$A$44,0)),"TBD"))</f>
        <v/>
      </c>
      <c r="G3269" s="32"/>
      <c r="H3269" s="32"/>
      <c r="I3269" s="32"/>
      <c r="J3269" s="32"/>
      <c r="K3269" s="35"/>
      <c r="L3269" s="32"/>
      <c r="M3269" s="32"/>
    </row>
    <row r="3270" customFormat="false" ht="15" hidden="false" customHeight="true" outlineLevel="0" collapsed="false">
      <c r="A3270" s="32"/>
      <c r="B3270" s="32"/>
      <c r="C3270" s="32"/>
      <c r="D3270" s="32"/>
      <c r="E3270" s="34" t="str">
        <f aca="false">IF($B3270="","",IF($B3270="OUT","Liters",IFERROR(INDEX(Setup!$F$3:$F$24,MATCH($C3270,Setup!$A$3:$A$24,0)),"")))</f>
        <v/>
      </c>
      <c r="F3270" s="28" t="str">
        <f aca="false">IF(OR($D3270="",$E3270=""),"",IFERROR($D3270*INDEX(Setup!$B$27:$B$44,MATCH($E3270,Setup!$A$27:$A$44,0)),"TBD"))</f>
        <v/>
      </c>
      <c r="G3270" s="32"/>
      <c r="H3270" s="32"/>
      <c r="I3270" s="32"/>
      <c r="J3270" s="32"/>
      <c r="K3270" s="35"/>
      <c r="L3270" s="32"/>
      <c r="M3270" s="32"/>
    </row>
    <row r="3271" customFormat="false" ht="15" hidden="false" customHeight="true" outlineLevel="0" collapsed="false">
      <c r="A3271" s="32"/>
      <c r="B3271" s="32"/>
      <c r="C3271" s="32"/>
      <c r="D3271" s="32"/>
      <c r="E3271" s="34" t="str">
        <f aca="false">IF($B3271="","",IF($B3271="OUT","Liters",IFERROR(INDEX(Setup!$F$3:$F$24,MATCH($C3271,Setup!$A$3:$A$24,0)),"")))</f>
        <v/>
      </c>
      <c r="F3271" s="28" t="str">
        <f aca="false">IF(OR($D3271="",$E3271=""),"",IFERROR($D3271*INDEX(Setup!$B$27:$B$44,MATCH($E3271,Setup!$A$27:$A$44,0)),"TBD"))</f>
        <v/>
      </c>
      <c r="G3271" s="32"/>
      <c r="H3271" s="32"/>
      <c r="I3271" s="32"/>
      <c r="J3271" s="32"/>
      <c r="K3271" s="35"/>
      <c r="L3271" s="32"/>
      <c r="M3271" s="32"/>
    </row>
    <row r="3272" customFormat="false" ht="15" hidden="false" customHeight="true" outlineLevel="0" collapsed="false">
      <c r="A3272" s="32"/>
      <c r="B3272" s="32"/>
      <c r="C3272" s="32"/>
      <c r="D3272" s="32"/>
      <c r="E3272" s="34" t="str">
        <f aca="false">IF($B3272="","",IF($B3272="OUT","Liters",IFERROR(INDEX(Setup!$F$3:$F$24,MATCH($C3272,Setup!$A$3:$A$24,0)),"")))</f>
        <v/>
      </c>
      <c r="F3272" s="28" t="str">
        <f aca="false">IF(OR($D3272="",$E3272=""),"",IFERROR($D3272*INDEX(Setup!$B$27:$B$44,MATCH($E3272,Setup!$A$27:$A$44,0)),"TBD"))</f>
        <v/>
      </c>
      <c r="G3272" s="32"/>
      <c r="H3272" s="32"/>
      <c r="I3272" s="32"/>
      <c r="J3272" s="32"/>
      <c r="K3272" s="35"/>
      <c r="L3272" s="32"/>
      <c r="M3272" s="32"/>
    </row>
    <row r="3273" customFormat="false" ht="15" hidden="false" customHeight="true" outlineLevel="0" collapsed="false">
      <c r="A3273" s="32"/>
      <c r="B3273" s="32"/>
      <c r="C3273" s="32"/>
      <c r="D3273" s="32"/>
      <c r="E3273" s="34" t="str">
        <f aca="false">IF($B3273="","",IF($B3273="OUT","Liters",IFERROR(INDEX(Setup!$F$3:$F$24,MATCH($C3273,Setup!$A$3:$A$24,0)),"")))</f>
        <v/>
      </c>
      <c r="F3273" s="28" t="str">
        <f aca="false">IF(OR($D3273="",$E3273=""),"",IFERROR($D3273*INDEX(Setup!$B$27:$B$44,MATCH($E3273,Setup!$A$27:$A$44,0)),"TBD"))</f>
        <v/>
      </c>
      <c r="G3273" s="32"/>
      <c r="H3273" s="32"/>
      <c r="I3273" s="32"/>
      <c r="J3273" s="32"/>
      <c r="K3273" s="35"/>
      <c r="L3273" s="32"/>
      <c r="M3273" s="32"/>
    </row>
    <row r="3274" customFormat="false" ht="15" hidden="false" customHeight="true" outlineLevel="0" collapsed="false">
      <c r="A3274" s="32"/>
      <c r="B3274" s="32"/>
      <c r="C3274" s="32"/>
      <c r="D3274" s="32"/>
      <c r="E3274" s="34" t="str">
        <f aca="false">IF($B3274="","",IF($B3274="OUT","Liters",IFERROR(INDEX(Setup!$F$3:$F$24,MATCH($C3274,Setup!$A$3:$A$24,0)),"")))</f>
        <v/>
      </c>
      <c r="F3274" s="28" t="str">
        <f aca="false">IF(OR($D3274="",$E3274=""),"",IFERROR($D3274*INDEX(Setup!$B$27:$B$44,MATCH($E3274,Setup!$A$27:$A$44,0)),"TBD"))</f>
        <v/>
      </c>
      <c r="G3274" s="32"/>
      <c r="H3274" s="32"/>
      <c r="I3274" s="32"/>
      <c r="J3274" s="32"/>
      <c r="K3274" s="35"/>
      <c r="L3274" s="32"/>
      <c r="M3274" s="32"/>
    </row>
    <row r="3275" customFormat="false" ht="15" hidden="false" customHeight="true" outlineLevel="0" collapsed="false">
      <c r="A3275" s="32"/>
      <c r="B3275" s="32"/>
      <c r="C3275" s="32"/>
      <c r="D3275" s="32"/>
      <c r="E3275" s="34" t="str">
        <f aca="false">IF($B3275="","",IF($B3275="OUT","Liters",IFERROR(INDEX(Setup!$F$3:$F$24,MATCH($C3275,Setup!$A$3:$A$24,0)),"")))</f>
        <v/>
      </c>
      <c r="F3275" s="28" t="str">
        <f aca="false">IF(OR($D3275="",$E3275=""),"",IFERROR($D3275*INDEX(Setup!$B$27:$B$44,MATCH($E3275,Setup!$A$27:$A$44,0)),"TBD"))</f>
        <v/>
      </c>
      <c r="G3275" s="32"/>
      <c r="H3275" s="32"/>
      <c r="I3275" s="32"/>
      <c r="J3275" s="32"/>
      <c r="K3275" s="35"/>
      <c r="L3275" s="32"/>
      <c r="M3275" s="32"/>
    </row>
    <row r="3276" customFormat="false" ht="15" hidden="false" customHeight="true" outlineLevel="0" collapsed="false">
      <c r="A3276" s="32"/>
      <c r="B3276" s="32"/>
      <c r="C3276" s="32"/>
      <c r="D3276" s="32"/>
      <c r="E3276" s="34" t="str">
        <f aca="false">IF($B3276="","",IF($B3276="OUT","Liters",IFERROR(INDEX(Setup!$F$3:$F$24,MATCH($C3276,Setup!$A$3:$A$24,0)),"")))</f>
        <v/>
      </c>
      <c r="F3276" s="28" t="str">
        <f aca="false">IF(OR($D3276="",$E3276=""),"",IFERROR($D3276*INDEX(Setup!$B$27:$B$44,MATCH($E3276,Setup!$A$27:$A$44,0)),"TBD"))</f>
        <v/>
      </c>
      <c r="G3276" s="32"/>
      <c r="H3276" s="32"/>
      <c r="I3276" s="32"/>
      <c r="J3276" s="32"/>
      <c r="K3276" s="35"/>
      <c r="L3276" s="32"/>
      <c r="M3276" s="32"/>
    </row>
    <row r="3277" customFormat="false" ht="15" hidden="false" customHeight="true" outlineLevel="0" collapsed="false">
      <c r="A3277" s="32"/>
      <c r="B3277" s="32"/>
      <c r="C3277" s="32"/>
      <c r="D3277" s="32"/>
      <c r="E3277" s="34" t="str">
        <f aca="false">IF($B3277="","",IF($B3277="OUT","Liters",IFERROR(INDEX(Setup!$F$3:$F$24,MATCH($C3277,Setup!$A$3:$A$24,0)),"")))</f>
        <v/>
      </c>
      <c r="F3277" s="28" t="str">
        <f aca="false">IF(OR($D3277="",$E3277=""),"",IFERROR($D3277*INDEX(Setup!$B$27:$B$44,MATCH($E3277,Setup!$A$27:$A$44,0)),"TBD"))</f>
        <v/>
      </c>
      <c r="G3277" s="32"/>
      <c r="H3277" s="32"/>
      <c r="I3277" s="32"/>
      <c r="J3277" s="32"/>
      <c r="K3277" s="35"/>
      <c r="L3277" s="32"/>
      <c r="M3277" s="32"/>
    </row>
    <row r="3278" customFormat="false" ht="15" hidden="false" customHeight="true" outlineLevel="0" collapsed="false">
      <c r="A3278" s="32"/>
      <c r="B3278" s="32"/>
      <c r="C3278" s="32"/>
      <c r="D3278" s="32"/>
      <c r="E3278" s="34" t="str">
        <f aca="false">IF($B3278="","",IF($B3278="OUT","Liters",IFERROR(INDEX(Setup!$F$3:$F$24,MATCH($C3278,Setup!$A$3:$A$24,0)),"")))</f>
        <v/>
      </c>
      <c r="F3278" s="28" t="str">
        <f aca="false">IF(OR($D3278="",$E3278=""),"",IFERROR($D3278*INDEX(Setup!$B$27:$B$44,MATCH($E3278,Setup!$A$27:$A$44,0)),"TBD"))</f>
        <v/>
      </c>
      <c r="G3278" s="32"/>
      <c r="H3278" s="32"/>
      <c r="I3278" s="32"/>
      <c r="J3278" s="32"/>
      <c r="K3278" s="35"/>
      <c r="L3278" s="32"/>
      <c r="M3278" s="32"/>
    </row>
    <row r="3279" customFormat="false" ht="15" hidden="false" customHeight="true" outlineLevel="0" collapsed="false">
      <c r="A3279" s="32"/>
      <c r="B3279" s="32"/>
      <c r="C3279" s="32"/>
      <c r="D3279" s="32"/>
      <c r="E3279" s="34" t="str">
        <f aca="false">IF($B3279="","",IF($B3279="OUT","Liters",IFERROR(INDEX(Setup!$F$3:$F$24,MATCH($C3279,Setup!$A$3:$A$24,0)),"")))</f>
        <v/>
      </c>
      <c r="F3279" s="28" t="str">
        <f aca="false">IF(OR($D3279="",$E3279=""),"",IFERROR($D3279*INDEX(Setup!$B$27:$B$44,MATCH($E3279,Setup!$A$27:$A$44,0)),"TBD"))</f>
        <v/>
      </c>
      <c r="G3279" s="32"/>
      <c r="H3279" s="32"/>
      <c r="I3279" s="32"/>
      <c r="J3279" s="32"/>
      <c r="K3279" s="35"/>
      <c r="L3279" s="32"/>
      <c r="M3279" s="32"/>
    </row>
    <row r="3280" customFormat="false" ht="15" hidden="false" customHeight="true" outlineLevel="0" collapsed="false">
      <c r="A3280" s="32"/>
      <c r="B3280" s="32"/>
      <c r="C3280" s="32"/>
      <c r="D3280" s="32"/>
      <c r="E3280" s="34" t="str">
        <f aca="false">IF($B3280="","",IF($B3280="OUT","Liters",IFERROR(INDEX(Setup!$F$3:$F$24,MATCH($C3280,Setup!$A$3:$A$24,0)),"")))</f>
        <v/>
      </c>
      <c r="F3280" s="28" t="str">
        <f aca="false">IF(OR($D3280="",$E3280=""),"",IFERROR($D3280*INDEX(Setup!$B$27:$B$44,MATCH($E3280,Setup!$A$27:$A$44,0)),"TBD"))</f>
        <v/>
      </c>
      <c r="G3280" s="32"/>
      <c r="H3280" s="32"/>
      <c r="I3280" s="32"/>
      <c r="J3280" s="32"/>
      <c r="K3280" s="35"/>
      <c r="L3280" s="32"/>
      <c r="M3280" s="32"/>
    </row>
    <row r="3281" customFormat="false" ht="15" hidden="false" customHeight="true" outlineLevel="0" collapsed="false">
      <c r="A3281" s="32"/>
      <c r="B3281" s="32"/>
      <c r="C3281" s="32"/>
      <c r="D3281" s="32"/>
      <c r="E3281" s="34" t="str">
        <f aca="false">IF($B3281="","",IF($B3281="OUT","Liters",IFERROR(INDEX(Setup!$F$3:$F$24,MATCH($C3281,Setup!$A$3:$A$24,0)),"")))</f>
        <v/>
      </c>
      <c r="F3281" s="28" t="str">
        <f aca="false">IF(OR($D3281="",$E3281=""),"",IFERROR($D3281*INDEX(Setup!$B$27:$B$44,MATCH($E3281,Setup!$A$27:$A$44,0)),"TBD"))</f>
        <v/>
      </c>
      <c r="G3281" s="32"/>
      <c r="H3281" s="32"/>
      <c r="I3281" s="32"/>
      <c r="J3281" s="32"/>
      <c r="K3281" s="35"/>
      <c r="L3281" s="32"/>
      <c r="M3281" s="32"/>
    </row>
    <row r="3282" customFormat="false" ht="15" hidden="false" customHeight="true" outlineLevel="0" collapsed="false">
      <c r="A3282" s="32"/>
      <c r="B3282" s="32"/>
      <c r="C3282" s="32"/>
      <c r="D3282" s="32"/>
      <c r="E3282" s="34" t="str">
        <f aca="false">IF($B3282="","",IF($B3282="OUT","Liters",IFERROR(INDEX(Setup!$F$3:$F$24,MATCH($C3282,Setup!$A$3:$A$24,0)),"")))</f>
        <v/>
      </c>
      <c r="F3282" s="28" t="str">
        <f aca="false">IF(OR($D3282="",$E3282=""),"",IFERROR($D3282*INDEX(Setup!$B$27:$B$44,MATCH($E3282,Setup!$A$27:$A$44,0)),"TBD"))</f>
        <v/>
      </c>
      <c r="G3282" s="32"/>
      <c r="H3282" s="32"/>
      <c r="I3282" s="32"/>
      <c r="J3282" s="32"/>
      <c r="K3282" s="35"/>
      <c r="L3282" s="32"/>
      <c r="M3282" s="32"/>
    </row>
    <row r="3283" customFormat="false" ht="15" hidden="false" customHeight="true" outlineLevel="0" collapsed="false">
      <c r="A3283" s="32"/>
      <c r="B3283" s="32"/>
      <c r="C3283" s="32"/>
      <c r="D3283" s="32"/>
      <c r="E3283" s="34" t="str">
        <f aca="false">IF($B3283="","",IF($B3283="OUT","Liters",IFERROR(INDEX(Setup!$F$3:$F$24,MATCH($C3283,Setup!$A$3:$A$24,0)),"")))</f>
        <v/>
      </c>
      <c r="F3283" s="28" t="str">
        <f aca="false">IF(OR($D3283="",$E3283=""),"",IFERROR($D3283*INDEX(Setup!$B$27:$B$44,MATCH($E3283,Setup!$A$27:$A$44,0)),"TBD"))</f>
        <v/>
      </c>
      <c r="G3283" s="32"/>
      <c r="H3283" s="32"/>
      <c r="I3283" s="32"/>
      <c r="J3283" s="32"/>
      <c r="K3283" s="35"/>
      <c r="L3283" s="32"/>
      <c r="M3283" s="32"/>
    </row>
    <row r="3284" customFormat="false" ht="15" hidden="false" customHeight="true" outlineLevel="0" collapsed="false">
      <c r="A3284" s="32"/>
      <c r="B3284" s="32"/>
      <c r="C3284" s="32"/>
      <c r="D3284" s="32"/>
      <c r="E3284" s="34" t="str">
        <f aca="false">IF($B3284="","",IF($B3284="OUT","Liters",IFERROR(INDEX(Setup!$F$3:$F$24,MATCH($C3284,Setup!$A$3:$A$24,0)),"")))</f>
        <v/>
      </c>
      <c r="F3284" s="28" t="str">
        <f aca="false">IF(OR($D3284="",$E3284=""),"",IFERROR($D3284*INDEX(Setup!$B$27:$B$44,MATCH($E3284,Setup!$A$27:$A$44,0)),"TBD"))</f>
        <v/>
      </c>
      <c r="G3284" s="32"/>
      <c r="H3284" s="32"/>
      <c r="I3284" s="32"/>
      <c r="J3284" s="32"/>
      <c r="K3284" s="35"/>
      <c r="L3284" s="32"/>
      <c r="M3284" s="32"/>
    </row>
    <row r="3285" customFormat="false" ht="15" hidden="false" customHeight="true" outlineLevel="0" collapsed="false">
      <c r="A3285" s="32"/>
      <c r="B3285" s="32"/>
      <c r="C3285" s="32"/>
      <c r="D3285" s="32"/>
      <c r="E3285" s="34" t="str">
        <f aca="false">IF($B3285="","",IF($B3285="OUT","Liters",IFERROR(INDEX(Setup!$F$3:$F$24,MATCH($C3285,Setup!$A$3:$A$24,0)),"")))</f>
        <v/>
      </c>
      <c r="F3285" s="28" t="str">
        <f aca="false">IF(OR($D3285="",$E3285=""),"",IFERROR($D3285*INDEX(Setup!$B$27:$B$44,MATCH($E3285,Setup!$A$27:$A$44,0)),"TBD"))</f>
        <v/>
      </c>
      <c r="G3285" s="32"/>
      <c r="H3285" s="32"/>
      <c r="I3285" s="32"/>
      <c r="J3285" s="32"/>
      <c r="K3285" s="35"/>
      <c r="L3285" s="32"/>
      <c r="M3285" s="32"/>
    </row>
    <row r="3286" customFormat="false" ht="15" hidden="false" customHeight="true" outlineLevel="0" collapsed="false">
      <c r="A3286" s="32"/>
      <c r="B3286" s="32"/>
      <c r="C3286" s="32"/>
      <c r="D3286" s="32"/>
      <c r="E3286" s="34" t="str">
        <f aca="false">IF($B3286="","",IF($B3286="OUT","Liters",IFERROR(INDEX(Setup!$F$3:$F$24,MATCH($C3286,Setup!$A$3:$A$24,0)),"")))</f>
        <v/>
      </c>
      <c r="F3286" s="28" t="str">
        <f aca="false">IF(OR($D3286="",$E3286=""),"",IFERROR($D3286*INDEX(Setup!$B$27:$B$44,MATCH($E3286,Setup!$A$27:$A$44,0)),"TBD"))</f>
        <v/>
      </c>
      <c r="G3286" s="32"/>
      <c r="H3286" s="32"/>
      <c r="I3286" s="32"/>
      <c r="J3286" s="32"/>
      <c r="K3286" s="35"/>
      <c r="L3286" s="32"/>
      <c r="M3286" s="32"/>
    </row>
    <row r="3287" customFormat="false" ht="15" hidden="false" customHeight="true" outlineLevel="0" collapsed="false">
      <c r="A3287" s="32"/>
      <c r="B3287" s="32"/>
      <c r="C3287" s="32"/>
      <c r="D3287" s="32"/>
      <c r="E3287" s="34" t="str">
        <f aca="false">IF($B3287="","",IF($B3287="OUT","Liters",IFERROR(INDEX(Setup!$F$3:$F$24,MATCH($C3287,Setup!$A$3:$A$24,0)),"")))</f>
        <v/>
      </c>
      <c r="F3287" s="28" t="str">
        <f aca="false">IF(OR($D3287="",$E3287=""),"",IFERROR($D3287*INDEX(Setup!$B$27:$B$44,MATCH($E3287,Setup!$A$27:$A$44,0)),"TBD"))</f>
        <v/>
      </c>
      <c r="G3287" s="32"/>
      <c r="H3287" s="32"/>
      <c r="I3287" s="32"/>
      <c r="J3287" s="32"/>
      <c r="K3287" s="35"/>
      <c r="L3287" s="32"/>
      <c r="M3287" s="32"/>
    </row>
    <row r="3288" customFormat="false" ht="15" hidden="false" customHeight="true" outlineLevel="0" collapsed="false">
      <c r="A3288" s="32"/>
      <c r="B3288" s="32"/>
      <c r="C3288" s="32"/>
      <c r="D3288" s="32"/>
      <c r="E3288" s="34" t="str">
        <f aca="false">IF($B3288="","",IF($B3288="OUT","Liters",IFERROR(INDEX(Setup!$F$3:$F$24,MATCH($C3288,Setup!$A$3:$A$24,0)),"")))</f>
        <v/>
      </c>
      <c r="F3288" s="28" t="str">
        <f aca="false">IF(OR($D3288="",$E3288=""),"",IFERROR($D3288*INDEX(Setup!$B$27:$B$44,MATCH($E3288,Setup!$A$27:$A$44,0)),"TBD"))</f>
        <v/>
      </c>
      <c r="G3288" s="32"/>
      <c r="H3288" s="32"/>
      <c r="I3288" s="32"/>
      <c r="J3288" s="32"/>
      <c r="K3288" s="35"/>
      <c r="L3288" s="32"/>
      <c r="M3288" s="32"/>
    </row>
    <row r="3289" customFormat="false" ht="15" hidden="false" customHeight="true" outlineLevel="0" collapsed="false">
      <c r="A3289" s="32"/>
      <c r="B3289" s="32"/>
      <c r="C3289" s="32"/>
      <c r="D3289" s="32"/>
      <c r="E3289" s="34" t="str">
        <f aca="false">IF($B3289="","",IF($B3289="OUT","Liters",IFERROR(INDEX(Setup!$F$3:$F$24,MATCH($C3289,Setup!$A$3:$A$24,0)),"")))</f>
        <v/>
      </c>
      <c r="F3289" s="28" t="str">
        <f aca="false">IF(OR($D3289="",$E3289=""),"",IFERROR($D3289*INDEX(Setup!$B$27:$B$44,MATCH($E3289,Setup!$A$27:$A$44,0)),"TBD"))</f>
        <v/>
      </c>
      <c r="G3289" s="32"/>
      <c r="H3289" s="32"/>
      <c r="I3289" s="32"/>
      <c r="J3289" s="32"/>
      <c r="K3289" s="35"/>
      <c r="L3289" s="32"/>
      <c r="M3289" s="32"/>
    </row>
    <row r="3290" customFormat="false" ht="15" hidden="false" customHeight="true" outlineLevel="0" collapsed="false">
      <c r="A3290" s="32"/>
      <c r="B3290" s="32"/>
      <c r="C3290" s="32"/>
      <c r="D3290" s="32"/>
      <c r="E3290" s="34" t="str">
        <f aca="false">IF($B3290="","",IF($B3290="OUT","Liters",IFERROR(INDEX(Setup!$F$3:$F$24,MATCH($C3290,Setup!$A$3:$A$24,0)),"")))</f>
        <v/>
      </c>
      <c r="F3290" s="28" t="str">
        <f aca="false">IF(OR($D3290="",$E3290=""),"",IFERROR($D3290*INDEX(Setup!$B$27:$B$44,MATCH($E3290,Setup!$A$27:$A$44,0)),"TBD"))</f>
        <v/>
      </c>
      <c r="G3290" s="32"/>
      <c r="H3290" s="32"/>
      <c r="I3290" s="32"/>
      <c r="J3290" s="32"/>
      <c r="K3290" s="35"/>
      <c r="L3290" s="32"/>
      <c r="M3290" s="32"/>
    </row>
    <row r="3291" customFormat="false" ht="15" hidden="false" customHeight="true" outlineLevel="0" collapsed="false">
      <c r="A3291" s="32"/>
      <c r="B3291" s="32"/>
      <c r="C3291" s="32"/>
      <c r="D3291" s="32"/>
      <c r="E3291" s="34" t="str">
        <f aca="false">IF($B3291="","",IF($B3291="OUT","Liters",IFERROR(INDEX(Setup!$F$3:$F$24,MATCH($C3291,Setup!$A$3:$A$24,0)),"")))</f>
        <v/>
      </c>
      <c r="F3291" s="28" t="str">
        <f aca="false">IF(OR($D3291="",$E3291=""),"",IFERROR($D3291*INDEX(Setup!$B$27:$B$44,MATCH($E3291,Setup!$A$27:$A$44,0)),"TBD"))</f>
        <v/>
      </c>
      <c r="G3291" s="32"/>
      <c r="H3291" s="32"/>
      <c r="I3291" s="32"/>
      <c r="J3291" s="32"/>
      <c r="K3291" s="35"/>
      <c r="L3291" s="32"/>
      <c r="M3291" s="32"/>
    </row>
    <row r="3292" customFormat="false" ht="15" hidden="false" customHeight="true" outlineLevel="0" collapsed="false">
      <c r="A3292" s="32"/>
      <c r="B3292" s="32"/>
      <c r="C3292" s="32"/>
      <c r="D3292" s="32"/>
      <c r="E3292" s="34" t="str">
        <f aca="false">IF($B3292="","",IF($B3292="OUT","Liters",IFERROR(INDEX(Setup!$F$3:$F$24,MATCH($C3292,Setup!$A$3:$A$24,0)),"")))</f>
        <v/>
      </c>
      <c r="F3292" s="28" t="str">
        <f aca="false">IF(OR($D3292="",$E3292=""),"",IFERROR($D3292*INDEX(Setup!$B$27:$B$44,MATCH($E3292,Setup!$A$27:$A$44,0)),"TBD"))</f>
        <v/>
      </c>
      <c r="G3292" s="32"/>
      <c r="H3292" s="32"/>
      <c r="I3292" s="32"/>
      <c r="J3292" s="32"/>
      <c r="K3292" s="35"/>
      <c r="L3292" s="32"/>
      <c r="M3292" s="32"/>
    </row>
    <row r="3293" customFormat="false" ht="15" hidden="false" customHeight="true" outlineLevel="0" collapsed="false">
      <c r="A3293" s="32"/>
      <c r="B3293" s="32"/>
      <c r="C3293" s="32"/>
      <c r="D3293" s="32"/>
      <c r="E3293" s="34" t="str">
        <f aca="false">IF($B3293="","",IF($B3293="OUT","Liters",IFERROR(INDEX(Setup!$F$3:$F$24,MATCH($C3293,Setup!$A$3:$A$24,0)),"")))</f>
        <v/>
      </c>
      <c r="F3293" s="28" t="str">
        <f aca="false">IF(OR($D3293="",$E3293=""),"",IFERROR($D3293*INDEX(Setup!$B$27:$B$44,MATCH($E3293,Setup!$A$27:$A$44,0)),"TBD"))</f>
        <v/>
      </c>
      <c r="G3293" s="32"/>
      <c r="H3293" s="32"/>
      <c r="I3293" s="32"/>
      <c r="J3293" s="32"/>
      <c r="K3293" s="35"/>
      <c r="L3293" s="32"/>
      <c r="M3293" s="32"/>
    </row>
    <row r="3294" customFormat="false" ht="15" hidden="false" customHeight="true" outlineLevel="0" collapsed="false">
      <c r="A3294" s="32"/>
      <c r="B3294" s="32"/>
      <c r="C3294" s="32"/>
      <c r="D3294" s="32"/>
      <c r="E3294" s="34" t="str">
        <f aca="false">IF($B3294="","",IF($B3294="OUT","Liters",IFERROR(INDEX(Setup!$F$3:$F$24,MATCH($C3294,Setup!$A$3:$A$24,0)),"")))</f>
        <v/>
      </c>
      <c r="F3294" s="28" t="str">
        <f aca="false">IF(OR($D3294="",$E3294=""),"",IFERROR($D3294*INDEX(Setup!$B$27:$B$44,MATCH($E3294,Setup!$A$27:$A$44,0)),"TBD"))</f>
        <v/>
      </c>
      <c r="G3294" s="32"/>
      <c r="H3294" s="32"/>
      <c r="I3294" s="32"/>
      <c r="J3294" s="32"/>
      <c r="K3294" s="35"/>
      <c r="L3294" s="32"/>
      <c r="M3294" s="32"/>
    </row>
    <row r="3295" customFormat="false" ht="15" hidden="false" customHeight="true" outlineLevel="0" collapsed="false">
      <c r="A3295" s="32"/>
      <c r="B3295" s="32"/>
      <c r="C3295" s="32"/>
      <c r="D3295" s="32"/>
      <c r="E3295" s="34" t="str">
        <f aca="false">IF($B3295="","",IF($B3295="OUT","Liters",IFERROR(INDEX(Setup!$F$3:$F$24,MATCH($C3295,Setup!$A$3:$A$24,0)),"")))</f>
        <v/>
      </c>
      <c r="F3295" s="28" t="str">
        <f aca="false">IF(OR($D3295="",$E3295=""),"",IFERROR($D3295*INDEX(Setup!$B$27:$B$44,MATCH($E3295,Setup!$A$27:$A$44,0)),"TBD"))</f>
        <v/>
      </c>
      <c r="G3295" s="32"/>
      <c r="H3295" s="32"/>
      <c r="I3295" s="32"/>
      <c r="J3295" s="32"/>
      <c r="K3295" s="35"/>
      <c r="L3295" s="32"/>
      <c r="M3295" s="32"/>
    </row>
    <row r="3296" customFormat="false" ht="15" hidden="false" customHeight="true" outlineLevel="0" collapsed="false">
      <c r="A3296" s="32"/>
      <c r="B3296" s="32"/>
      <c r="C3296" s="32"/>
      <c r="D3296" s="32"/>
      <c r="E3296" s="34" t="str">
        <f aca="false">IF($B3296="","",IF($B3296="OUT","Liters",IFERROR(INDEX(Setup!$F$3:$F$24,MATCH($C3296,Setup!$A$3:$A$24,0)),"")))</f>
        <v/>
      </c>
      <c r="F3296" s="28" t="str">
        <f aca="false">IF(OR($D3296="",$E3296=""),"",IFERROR($D3296*INDEX(Setup!$B$27:$B$44,MATCH($E3296,Setup!$A$27:$A$44,0)),"TBD"))</f>
        <v/>
      </c>
      <c r="G3296" s="32"/>
      <c r="H3296" s="32"/>
      <c r="I3296" s="32"/>
      <c r="J3296" s="32"/>
      <c r="K3296" s="35"/>
      <c r="L3296" s="32"/>
      <c r="M3296" s="32"/>
    </row>
    <row r="3297" customFormat="false" ht="15" hidden="false" customHeight="true" outlineLevel="0" collapsed="false">
      <c r="A3297" s="32"/>
      <c r="B3297" s="32"/>
      <c r="C3297" s="32"/>
      <c r="D3297" s="32"/>
      <c r="E3297" s="34" t="str">
        <f aca="false">IF($B3297="","",IF($B3297="OUT","Liters",IFERROR(INDEX(Setup!$F$3:$F$24,MATCH($C3297,Setup!$A$3:$A$24,0)),"")))</f>
        <v/>
      </c>
      <c r="F3297" s="28" t="str">
        <f aca="false">IF(OR($D3297="",$E3297=""),"",IFERROR($D3297*INDEX(Setup!$B$27:$B$44,MATCH($E3297,Setup!$A$27:$A$44,0)),"TBD"))</f>
        <v/>
      </c>
      <c r="G3297" s="32"/>
      <c r="H3297" s="32"/>
      <c r="I3297" s="32"/>
      <c r="J3297" s="32"/>
      <c r="K3297" s="35"/>
      <c r="L3297" s="32"/>
      <c r="M3297" s="32"/>
    </row>
    <row r="3298" customFormat="false" ht="15" hidden="false" customHeight="true" outlineLevel="0" collapsed="false">
      <c r="A3298" s="32"/>
      <c r="B3298" s="32"/>
      <c r="C3298" s="32"/>
      <c r="D3298" s="32"/>
      <c r="E3298" s="34" t="str">
        <f aca="false">IF($B3298="","",IF($B3298="OUT","Liters",IFERROR(INDEX(Setup!$F$3:$F$24,MATCH($C3298,Setup!$A$3:$A$24,0)),"")))</f>
        <v/>
      </c>
      <c r="F3298" s="28" t="str">
        <f aca="false">IF(OR($D3298="",$E3298=""),"",IFERROR($D3298*INDEX(Setup!$B$27:$B$44,MATCH($E3298,Setup!$A$27:$A$44,0)),"TBD"))</f>
        <v/>
      </c>
      <c r="G3298" s="32"/>
      <c r="H3298" s="32"/>
      <c r="I3298" s="32"/>
      <c r="J3298" s="32"/>
      <c r="K3298" s="35"/>
      <c r="L3298" s="32"/>
      <c r="M3298" s="32"/>
    </row>
    <row r="3299" customFormat="false" ht="15" hidden="false" customHeight="true" outlineLevel="0" collapsed="false">
      <c r="A3299" s="32"/>
      <c r="B3299" s="32"/>
      <c r="C3299" s="32"/>
      <c r="D3299" s="32"/>
      <c r="E3299" s="34" t="str">
        <f aca="false">IF($B3299="","",IF($B3299="OUT","Liters",IFERROR(INDEX(Setup!$F$3:$F$24,MATCH($C3299,Setup!$A$3:$A$24,0)),"")))</f>
        <v/>
      </c>
      <c r="F3299" s="28" t="str">
        <f aca="false">IF(OR($D3299="",$E3299=""),"",IFERROR($D3299*INDEX(Setup!$B$27:$B$44,MATCH($E3299,Setup!$A$27:$A$44,0)),"TBD"))</f>
        <v/>
      </c>
      <c r="G3299" s="32"/>
      <c r="H3299" s="32"/>
      <c r="I3299" s="32"/>
      <c r="J3299" s="32"/>
      <c r="K3299" s="35"/>
      <c r="L3299" s="32"/>
      <c r="M3299" s="32"/>
    </row>
    <row r="3300" customFormat="false" ht="15" hidden="false" customHeight="true" outlineLevel="0" collapsed="false">
      <c r="A3300" s="32"/>
      <c r="B3300" s="32"/>
      <c r="C3300" s="32"/>
      <c r="D3300" s="32"/>
      <c r="E3300" s="34" t="str">
        <f aca="false">IF($B3300="","",IF($B3300="OUT","Liters",IFERROR(INDEX(Setup!$F$3:$F$24,MATCH($C3300,Setup!$A$3:$A$24,0)),"")))</f>
        <v/>
      </c>
      <c r="F3300" s="28" t="str">
        <f aca="false">IF(OR($D3300="",$E3300=""),"",IFERROR($D3300*INDEX(Setup!$B$27:$B$44,MATCH($E3300,Setup!$A$27:$A$44,0)),"TBD"))</f>
        <v/>
      </c>
      <c r="G3300" s="32"/>
      <c r="H3300" s="32"/>
      <c r="I3300" s="32"/>
      <c r="J3300" s="32"/>
      <c r="K3300" s="35"/>
      <c r="L3300" s="32"/>
      <c r="M3300" s="32"/>
    </row>
    <row r="3301" customFormat="false" ht="15" hidden="false" customHeight="true" outlineLevel="0" collapsed="false">
      <c r="A3301" s="32"/>
      <c r="B3301" s="32"/>
      <c r="C3301" s="32"/>
      <c r="D3301" s="32"/>
      <c r="E3301" s="34" t="str">
        <f aca="false">IF($B3301="","",IF($B3301="OUT","Liters",IFERROR(INDEX(Setup!$F$3:$F$24,MATCH($C3301,Setup!$A$3:$A$24,0)),"")))</f>
        <v/>
      </c>
      <c r="F3301" s="28" t="str">
        <f aca="false">IF(OR($D3301="",$E3301=""),"",IFERROR($D3301*INDEX(Setup!$B$27:$B$44,MATCH($E3301,Setup!$A$27:$A$44,0)),"TBD"))</f>
        <v/>
      </c>
      <c r="G3301" s="32"/>
      <c r="H3301" s="32"/>
      <c r="I3301" s="32"/>
      <c r="J3301" s="32"/>
      <c r="K3301" s="35"/>
      <c r="L3301" s="32"/>
      <c r="M3301" s="32"/>
    </row>
    <row r="3302" customFormat="false" ht="15" hidden="false" customHeight="true" outlineLevel="0" collapsed="false">
      <c r="A3302" s="32"/>
      <c r="B3302" s="32"/>
      <c r="C3302" s="32"/>
      <c r="D3302" s="32"/>
      <c r="E3302" s="34" t="str">
        <f aca="false">IF($B3302="","",IF($B3302="OUT","Liters",IFERROR(INDEX(Setup!$F$3:$F$24,MATCH($C3302,Setup!$A$3:$A$24,0)),"")))</f>
        <v/>
      </c>
      <c r="F3302" s="28" t="str">
        <f aca="false">IF(OR($D3302="",$E3302=""),"",IFERROR($D3302*INDEX(Setup!$B$27:$B$44,MATCH($E3302,Setup!$A$27:$A$44,0)),"TBD"))</f>
        <v/>
      </c>
      <c r="G3302" s="32"/>
      <c r="H3302" s="32"/>
      <c r="I3302" s="32"/>
      <c r="J3302" s="32"/>
      <c r="K3302" s="35"/>
      <c r="L3302" s="32"/>
      <c r="M3302" s="32"/>
    </row>
    <row r="3303" customFormat="false" ht="15" hidden="false" customHeight="true" outlineLevel="0" collapsed="false">
      <c r="A3303" s="32"/>
      <c r="B3303" s="32"/>
      <c r="C3303" s="32"/>
      <c r="D3303" s="32"/>
      <c r="E3303" s="34" t="str">
        <f aca="false">IF($B3303="","",IF($B3303="OUT","Liters",IFERROR(INDEX(Setup!$F$3:$F$24,MATCH($C3303,Setup!$A$3:$A$24,0)),"")))</f>
        <v/>
      </c>
      <c r="F3303" s="28" t="str">
        <f aca="false">IF(OR($D3303="",$E3303=""),"",IFERROR($D3303*INDEX(Setup!$B$27:$B$44,MATCH($E3303,Setup!$A$27:$A$44,0)),"TBD"))</f>
        <v/>
      </c>
      <c r="G3303" s="32"/>
      <c r="H3303" s="32"/>
      <c r="I3303" s="32"/>
      <c r="J3303" s="32"/>
      <c r="K3303" s="35"/>
      <c r="L3303" s="32"/>
      <c r="M3303" s="32"/>
    </row>
    <row r="3304" customFormat="false" ht="15" hidden="false" customHeight="true" outlineLevel="0" collapsed="false">
      <c r="A3304" s="32"/>
      <c r="B3304" s="32"/>
      <c r="C3304" s="32"/>
      <c r="D3304" s="32"/>
      <c r="E3304" s="34" t="str">
        <f aca="false">IF($B3304="","",IF($B3304="OUT","Liters",IFERROR(INDEX(Setup!$F$3:$F$24,MATCH($C3304,Setup!$A$3:$A$24,0)),"")))</f>
        <v/>
      </c>
      <c r="F3304" s="28" t="str">
        <f aca="false">IF(OR($D3304="",$E3304=""),"",IFERROR($D3304*INDEX(Setup!$B$27:$B$44,MATCH($E3304,Setup!$A$27:$A$44,0)),"TBD"))</f>
        <v/>
      </c>
      <c r="G3304" s="32"/>
      <c r="H3304" s="32"/>
      <c r="I3304" s="32"/>
      <c r="J3304" s="32"/>
      <c r="K3304" s="35"/>
      <c r="L3304" s="32"/>
      <c r="M3304" s="32"/>
    </row>
    <row r="3305" customFormat="false" ht="15" hidden="false" customHeight="true" outlineLevel="0" collapsed="false">
      <c r="A3305" s="32"/>
      <c r="B3305" s="32"/>
      <c r="C3305" s="32"/>
      <c r="D3305" s="32"/>
      <c r="E3305" s="34" t="str">
        <f aca="false">IF($B3305="","",IF($B3305="OUT","Liters",IFERROR(INDEX(Setup!$F$3:$F$24,MATCH($C3305,Setup!$A$3:$A$24,0)),"")))</f>
        <v/>
      </c>
      <c r="F3305" s="28" t="str">
        <f aca="false">IF(OR($D3305="",$E3305=""),"",IFERROR($D3305*INDEX(Setup!$B$27:$B$44,MATCH($E3305,Setup!$A$27:$A$44,0)),"TBD"))</f>
        <v/>
      </c>
      <c r="G3305" s="32"/>
      <c r="H3305" s="32"/>
      <c r="I3305" s="32"/>
      <c r="J3305" s="32"/>
      <c r="K3305" s="35"/>
      <c r="L3305" s="32"/>
      <c r="M3305" s="32"/>
    </row>
    <row r="3306" customFormat="false" ht="15" hidden="false" customHeight="true" outlineLevel="0" collapsed="false">
      <c r="A3306" s="32"/>
      <c r="B3306" s="32"/>
      <c r="C3306" s="32"/>
      <c r="D3306" s="32"/>
      <c r="E3306" s="34" t="str">
        <f aca="false">IF($B3306="","",IF($B3306="OUT","Liters",IFERROR(INDEX(Setup!$F$3:$F$24,MATCH($C3306,Setup!$A$3:$A$24,0)),"")))</f>
        <v/>
      </c>
      <c r="F3306" s="28" t="str">
        <f aca="false">IF(OR($D3306="",$E3306=""),"",IFERROR($D3306*INDEX(Setup!$B$27:$B$44,MATCH($E3306,Setup!$A$27:$A$44,0)),"TBD"))</f>
        <v/>
      </c>
      <c r="G3306" s="32"/>
      <c r="H3306" s="32"/>
      <c r="I3306" s="32"/>
      <c r="J3306" s="32"/>
      <c r="K3306" s="35"/>
      <c r="L3306" s="32"/>
      <c r="M3306" s="32"/>
    </row>
    <row r="3307" customFormat="false" ht="15" hidden="false" customHeight="true" outlineLevel="0" collapsed="false">
      <c r="A3307" s="32"/>
      <c r="B3307" s="32"/>
      <c r="C3307" s="32"/>
      <c r="D3307" s="32"/>
      <c r="E3307" s="34" t="str">
        <f aca="false">IF($B3307="","",IF($B3307="OUT","Liters",IFERROR(INDEX(Setup!$F$3:$F$24,MATCH($C3307,Setup!$A$3:$A$24,0)),"")))</f>
        <v/>
      </c>
      <c r="F3307" s="28" t="str">
        <f aca="false">IF(OR($D3307="",$E3307=""),"",IFERROR($D3307*INDEX(Setup!$B$27:$B$44,MATCH($E3307,Setup!$A$27:$A$44,0)),"TBD"))</f>
        <v/>
      </c>
      <c r="G3307" s="32"/>
      <c r="H3307" s="32"/>
      <c r="I3307" s="32"/>
      <c r="J3307" s="32"/>
      <c r="K3307" s="35"/>
      <c r="L3307" s="32"/>
      <c r="M3307" s="32"/>
    </row>
    <row r="3308" customFormat="false" ht="15" hidden="false" customHeight="true" outlineLevel="0" collapsed="false">
      <c r="A3308" s="32"/>
      <c r="B3308" s="32"/>
      <c r="C3308" s="32"/>
      <c r="D3308" s="32"/>
      <c r="E3308" s="34" t="str">
        <f aca="false">IF($B3308="","",IF($B3308="OUT","Liters",IFERROR(INDEX(Setup!$F$3:$F$24,MATCH($C3308,Setup!$A$3:$A$24,0)),"")))</f>
        <v/>
      </c>
      <c r="F3308" s="28" t="str">
        <f aca="false">IF(OR($D3308="",$E3308=""),"",IFERROR($D3308*INDEX(Setup!$B$27:$B$44,MATCH($E3308,Setup!$A$27:$A$44,0)),"TBD"))</f>
        <v/>
      </c>
      <c r="G3308" s="32"/>
      <c r="H3308" s="32"/>
      <c r="I3308" s="32"/>
      <c r="J3308" s="32"/>
      <c r="K3308" s="35"/>
      <c r="L3308" s="32"/>
      <c r="M3308" s="32"/>
    </row>
    <row r="3309" customFormat="false" ht="15" hidden="false" customHeight="true" outlineLevel="0" collapsed="false">
      <c r="A3309" s="32"/>
      <c r="B3309" s="32"/>
      <c r="C3309" s="32"/>
      <c r="D3309" s="32"/>
      <c r="E3309" s="34" t="str">
        <f aca="false">IF($B3309="","",IF($B3309="OUT","Liters",IFERROR(INDEX(Setup!$F$3:$F$24,MATCH($C3309,Setup!$A$3:$A$24,0)),"")))</f>
        <v/>
      </c>
      <c r="F3309" s="28" t="str">
        <f aca="false">IF(OR($D3309="",$E3309=""),"",IFERROR($D3309*INDEX(Setup!$B$27:$B$44,MATCH($E3309,Setup!$A$27:$A$44,0)),"TBD"))</f>
        <v/>
      </c>
      <c r="G3309" s="32"/>
      <c r="H3309" s="32"/>
      <c r="I3309" s="32"/>
      <c r="J3309" s="32"/>
      <c r="K3309" s="35"/>
      <c r="L3309" s="32"/>
      <c r="M3309" s="32"/>
    </row>
    <row r="3310" customFormat="false" ht="15" hidden="false" customHeight="true" outlineLevel="0" collapsed="false">
      <c r="A3310" s="32"/>
      <c r="B3310" s="32"/>
      <c r="C3310" s="32"/>
      <c r="D3310" s="32"/>
      <c r="E3310" s="34" t="str">
        <f aca="false">IF($B3310="","",IF($B3310="OUT","Liters",IFERROR(INDEX(Setup!$F$3:$F$24,MATCH($C3310,Setup!$A$3:$A$24,0)),"")))</f>
        <v/>
      </c>
      <c r="F3310" s="28" t="str">
        <f aca="false">IF(OR($D3310="",$E3310=""),"",IFERROR($D3310*INDEX(Setup!$B$27:$B$44,MATCH($E3310,Setup!$A$27:$A$44,0)),"TBD"))</f>
        <v/>
      </c>
      <c r="G3310" s="32"/>
      <c r="H3310" s="32"/>
      <c r="I3310" s="32"/>
      <c r="J3310" s="32"/>
      <c r="K3310" s="35"/>
      <c r="L3310" s="32"/>
      <c r="M3310" s="32"/>
    </row>
    <row r="3311" customFormat="false" ht="15" hidden="false" customHeight="true" outlineLevel="0" collapsed="false">
      <c r="A3311" s="32"/>
      <c r="B3311" s="32"/>
      <c r="C3311" s="32"/>
      <c r="D3311" s="32"/>
      <c r="E3311" s="34" t="str">
        <f aca="false">IF($B3311="","",IF($B3311="OUT","Liters",IFERROR(INDEX(Setup!$F$3:$F$24,MATCH($C3311,Setup!$A$3:$A$24,0)),"")))</f>
        <v/>
      </c>
      <c r="F3311" s="28" t="str">
        <f aca="false">IF(OR($D3311="",$E3311=""),"",IFERROR($D3311*INDEX(Setup!$B$27:$B$44,MATCH($E3311,Setup!$A$27:$A$44,0)),"TBD"))</f>
        <v/>
      </c>
      <c r="G3311" s="32"/>
      <c r="H3311" s="32"/>
      <c r="I3311" s="32"/>
      <c r="J3311" s="32"/>
      <c r="K3311" s="35"/>
      <c r="L3311" s="32"/>
      <c r="M3311" s="32"/>
    </row>
    <row r="3312" customFormat="false" ht="15" hidden="false" customHeight="true" outlineLevel="0" collapsed="false">
      <c r="A3312" s="32"/>
      <c r="B3312" s="32"/>
      <c r="C3312" s="32"/>
      <c r="D3312" s="32"/>
      <c r="E3312" s="34" t="str">
        <f aca="false">IF($B3312="","",IF($B3312="OUT","Liters",IFERROR(INDEX(Setup!$F$3:$F$24,MATCH($C3312,Setup!$A$3:$A$24,0)),"")))</f>
        <v/>
      </c>
      <c r="F3312" s="28" t="str">
        <f aca="false">IF(OR($D3312="",$E3312=""),"",IFERROR($D3312*INDEX(Setup!$B$27:$B$44,MATCH($E3312,Setup!$A$27:$A$44,0)),"TBD"))</f>
        <v/>
      </c>
      <c r="G3312" s="32"/>
      <c r="H3312" s="32"/>
      <c r="I3312" s="32"/>
      <c r="J3312" s="32"/>
      <c r="K3312" s="35"/>
      <c r="L3312" s="32"/>
      <c r="M3312" s="32"/>
    </row>
    <row r="3313" customFormat="false" ht="15" hidden="false" customHeight="true" outlineLevel="0" collapsed="false">
      <c r="A3313" s="32"/>
      <c r="B3313" s="32"/>
      <c r="C3313" s="32"/>
      <c r="D3313" s="32"/>
      <c r="E3313" s="34" t="str">
        <f aca="false">IF($B3313="","",IF($B3313="OUT","Liters",IFERROR(INDEX(Setup!$F$3:$F$24,MATCH($C3313,Setup!$A$3:$A$24,0)),"")))</f>
        <v/>
      </c>
      <c r="F3313" s="28" t="str">
        <f aca="false">IF(OR($D3313="",$E3313=""),"",IFERROR($D3313*INDEX(Setup!$B$27:$B$44,MATCH($E3313,Setup!$A$27:$A$44,0)),"TBD"))</f>
        <v/>
      </c>
      <c r="G3313" s="32"/>
      <c r="H3313" s="32"/>
      <c r="I3313" s="32"/>
      <c r="J3313" s="32"/>
      <c r="K3313" s="35"/>
      <c r="L3313" s="32"/>
      <c r="M3313" s="32"/>
    </row>
    <row r="3314" customFormat="false" ht="15" hidden="false" customHeight="true" outlineLevel="0" collapsed="false">
      <c r="A3314" s="32"/>
      <c r="B3314" s="32"/>
      <c r="C3314" s="32"/>
      <c r="D3314" s="32"/>
      <c r="E3314" s="34" t="str">
        <f aca="false">IF($B3314="","",IF($B3314="OUT","Liters",IFERROR(INDEX(Setup!$F$3:$F$24,MATCH($C3314,Setup!$A$3:$A$24,0)),"")))</f>
        <v/>
      </c>
      <c r="F3314" s="28" t="str">
        <f aca="false">IF(OR($D3314="",$E3314=""),"",IFERROR($D3314*INDEX(Setup!$B$27:$B$44,MATCH($E3314,Setup!$A$27:$A$44,0)),"TBD"))</f>
        <v/>
      </c>
      <c r="G3314" s="32"/>
      <c r="H3314" s="32"/>
      <c r="I3314" s="32"/>
      <c r="J3314" s="32"/>
      <c r="K3314" s="35"/>
      <c r="L3314" s="32"/>
      <c r="M3314" s="32"/>
    </row>
    <row r="3315" customFormat="false" ht="15" hidden="false" customHeight="true" outlineLevel="0" collapsed="false">
      <c r="A3315" s="32"/>
      <c r="B3315" s="32"/>
      <c r="C3315" s="32"/>
      <c r="D3315" s="32"/>
      <c r="E3315" s="34" t="str">
        <f aca="false">IF($B3315="","",IF($B3315="OUT","Liters",IFERROR(INDEX(Setup!$F$3:$F$24,MATCH($C3315,Setup!$A$3:$A$24,0)),"")))</f>
        <v/>
      </c>
      <c r="F3315" s="28" t="str">
        <f aca="false">IF(OR($D3315="",$E3315=""),"",IFERROR($D3315*INDEX(Setup!$B$27:$B$44,MATCH($E3315,Setup!$A$27:$A$44,0)),"TBD"))</f>
        <v/>
      </c>
      <c r="G3315" s="32"/>
      <c r="H3315" s="32"/>
      <c r="I3315" s="32"/>
      <c r="J3315" s="32"/>
      <c r="K3315" s="35"/>
      <c r="L3315" s="32"/>
      <c r="M3315" s="32"/>
    </row>
    <row r="3316" customFormat="false" ht="15" hidden="false" customHeight="true" outlineLevel="0" collapsed="false">
      <c r="A3316" s="32"/>
      <c r="B3316" s="32"/>
      <c r="C3316" s="32"/>
      <c r="D3316" s="32"/>
      <c r="E3316" s="34" t="str">
        <f aca="false">IF($B3316="","",IF($B3316="OUT","Liters",IFERROR(INDEX(Setup!$F$3:$F$24,MATCH($C3316,Setup!$A$3:$A$24,0)),"")))</f>
        <v/>
      </c>
      <c r="F3316" s="28" t="str">
        <f aca="false">IF(OR($D3316="",$E3316=""),"",IFERROR($D3316*INDEX(Setup!$B$27:$B$44,MATCH($E3316,Setup!$A$27:$A$44,0)),"TBD"))</f>
        <v/>
      </c>
      <c r="G3316" s="32"/>
      <c r="H3316" s="32"/>
      <c r="I3316" s="32"/>
      <c r="J3316" s="32"/>
      <c r="K3316" s="35"/>
      <c r="L3316" s="32"/>
      <c r="M3316" s="32"/>
    </row>
    <row r="3317" customFormat="false" ht="15" hidden="false" customHeight="true" outlineLevel="0" collapsed="false">
      <c r="A3317" s="32"/>
      <c r="B3317" s="32"/>
      <c r="C3317" s="32"/>
      <c r="D3317" s="32"/>
      <c r="E3317" s="34" t="str">
        <f aca="false">IF($B3317="","",IF($B3317="OUT","Liters",IFERROR(INDEX(Setup!$F$3:$F$24,MATCH($C3317,Setup!$A$3:$A$24,0)),"")))</f>
        <v/>
      </c>
      <c r="F3317" s="28" t="str">
        <f aca="false">IF(OR($D3317="",$E3317=""),"",IFERROR($D3317*INDEX(Setup!$B$27:$B$44,MATCH($E3317,Setup!$A$27:$A$44,0)),"TBD"))</f>
        <v/>
      </c>
      <c r="G3317" s="32"/>
      <c r="H3317" s="32"/>
      <c r="I3317" s="32"/>
      <c r="J3317" s="32"/>
      <c r="K3317" s="35"/>
      <c r="L3317" s="32"/>
      <c r="M3317" s="32"/>
    </row>
    <row r="3318" customFormat="false" ht="15" hidden="false" customHeight="true" outlineLevel="0" collapsed="false">
      <c r="A3318" s="32"/>
      <c r="B3318" s="32"/>
      <c r="C3318" s="32"/>
      <c r="D3318" s="32"/>
      <c r="E3318" s="34" t="str">
        <f aca="false">IF($B3318="","",IF($B3318="OUT","Liters",IFERROR(INDEX(Setup!$F$3:$F$24,MATCH($C3318,Setup!$A$3:$A$24,0)),"")))</f>
        <v/>
      </c>
      <c r="F3318" s="28" t="str">
        <f aca="false">IF(OR($D3318="",$E3318=""),"",IFERROR($D3318*INDEX(Setup!$B$27:$B$44,MATCH($E3318,Setup!$A$27:$A$44,0)),"TBD"))</f>
        <v/>
      </c>
      <c r="G3318" s="32"/>
      <c r="H3318" s="32"/>
      <c r="I3318" s="32"/>
      <c r="J3318" s="32"/>
      <c r="K3318" s="35"/>
      <c r="L3318" s="32"/>
      <c r="M3318" s="32"/>
    </row>
    <row r="3319" customFormat="false" ht="15" hidden="false" customHeight="true" outlineLevel="0" collapsed="false">
      <c r="A3319" s="32"/>
      <c r="B3319" s="32"/>
      <c r="C3319" s="32"/>
      <c r="D3319" s="32"/>
      <c r="E3319" s="34" t="str">
        <f aca="false">IF($B3319="","",IF($B3319="OUT","Liters",IFERROR(INDEX(Setup!$F$3:$F$24,MATCH($C3319,Setup!$A$3:$A$24,0)),"")))</f>
        <v/>
      </c>
      <c r="F3319" s="28" t="str">
        <f aca="false">IF(OR($D3319="",$E3319=""),"",IFERROR($D3319*INDEX(Setup!$B$27:$B$44,MATCH($E3319,Setup!$A$27:$A$44,0)),"TBD"))</f>
        <v/>
      </c>
      <c r="G3319" s="32"/>
      <c r="H3319" s="32"/>
      <c r="I3319" s="32"/>
      <c r="J3319" s="32"/>
      <c r="K3319" s="35"/>
      <c r="L3319" s="32"/>
      <c r="M3319" s="32"/>
    </row>
    <row r="3320" customFormat="false" ht="15" hidden="false" customHeight="true" outlineLevel="0" collapsed="false">
      <c r="A3320" s="32"/>
      <c r="B3320" s="32"/>
      <c r="C3320" s="32"/>
      <c r="D3320" s="32"/>
      <c r="E3320" s="34" t="str">
        <f aca="false">IF($B3320="","",IF($B3320="OUT","Liters",IFERROR(INDEX(Setup!$F$3:$F$24,MATCH($C3320,Setup!$A$3:$A$24,0)),"")))</f>
        <v/>
      </c>
      <c r="F3320" s="28" t="str">
        <f aca="false">IF(OR($D3320="",$E3320=""),"",IFERROR($D3320*INDEX(Setup!$B$27:$B$44,MATCH($E3320,Setup!$A$27:$A$44,0)),"TBD"))</f>
        <v/>
      </c>
      <c r="G3320" s="32"/>
      <c r="H3320" s="32"/>
      <c r="I3320" s="32"/>
      <c r="J3320" s="32"/>
      <c r="K3320" s="35"/>
      <c r="L3320" s="32"/>
      <c r="M3320" s="32"/>
    </row>
    <row r="3321" customFormat="false" ht="15" hidden="false" customHeight="true" outlineLevel="0" collapsed="false">
      <c r="A3321" s="32"/>
      <c r="B3321" s="32"/>
      <c r="C3321" s="32"/>
      <c r="D3321" s="32"/>
      <c r="E3321" s="34" t="str">
        <f aca="false">IF($B3321="","",IF($B3321="OUT","Liters",IFERROR(INDEX(Setup!$F$3:$F$24,MATCH($C3321,Setup!$A$3:$A$24,0)),"")))</f>
        <v/>
      </c>
      <c r="F3321" s="28" t="str">
        <f aca="false">IF(OR($D3321="",$E3321=""),"",IFERROR($D3321*INDEX(Setup!$B$27:$B$44,MATCH($E3321,Setup!$A$27:$A$44,0)),"TBD"))</f>
        <v/>
      </c>
      <c r="G3321" s="32"/>
      <c r="H3321" s="32"/>
      <c r="I3321" s="32"/>
      <c r="J3321" s="32"/>
      <c r="K3321" s="35"/>
      <c r="L3321" s="32"/>
      <c r="M3321" s="32"/>
    </row>
    <row r="3322" customFormat="false" ht="15" hidden="false" customHeight="true" outlineLevel="0" collapsed="false">
      <c r="A3322" s="32"/>
      <c r="B3322" s="32"/>
      <c r="C3322" s="32"/>
      <c r="D3322" s="32"/>
      <c r="E3322" s="34" t="str">
        <f aca="false">IF($B3322="","",IF($B3322="OUT","Liters",IFERROR(INDEX(Setup!$F$3:$F$24,MATCH($C3322,Setup!$A$3:$A$24,0)),"")))</f>
        <v/>
      </c>
      <c r="F3322" s="28" t="str">
        <f aca="false">IF(OR($D3322="",$E3322=""),"",IFERROR($D3322*INDEX(Setup!$B$27:$B$44,MATCH($E3322,Setup!$A$27:$A$44,0)),"TBD"))</f>
        <v/>
      </c>
      <c r="G3322" s="32"/>
      <c r="H3322" s="32"/>
      <c r="I3322" s="32"/>
      <c r="J3322" s="32"/>
      <c r="K3322" s="35"/>
      <c r="L3322" s="32"/>
      <c r="M3322" s="32"/>
    </row>
    <row r="3323" customFormat="false" ht="15" hidden="false" customHeight="true" outlineLevel="0" collapsed="false">
      <c r="A3323" s="32"/>
      <c r="B3323" s="32"/>
      <c r="C3323" s="32"/>
      <c r="D3323" s="32"/>
      <c r="E3323" s="34" t="str">
        <f aca="false">IF($B3323="","",IF($B3323="OUT","Liters",IFERROR(INDEX(Setup!$F$3:$F$24,MATCH($C3323,Setup!$A$3:$A$24,0)),"")))</f>
        <v/>
      </c>
      <c r="F3323" s="28" t="str">
        <f aca="false">IF(OR($D3323="",$E3323=""),"",IFERROR($D3323*INDEX(Setup!$B$27:$B$44,MATCH($E3323,Setup!$A$27:$A$44,0)),"TBD"))</f>
        <v/>
      </c>
      <c r="G3323" s="32"/>
      <c r="H3323" s="32"/>
      <c r="I3323" s="32"/>
      <c r="J3323" s="32"/>
      <c r="K3323" s="35"/>
      <c r="L3323" s="32"/>
      <c r="M3323" s="32"/>
    </row>
    <row r="3324" customFormat="false" ht="15" hidden="false" customHeight="true" outlineLevel="0" collapsed="false">
      <c r="A3324" s="32"/>
      <c r="B3324" s="32"/>
      <c r="C3324" s="32"/>
      <c r="D3324" s="32"/>
      <c r="E3324" s="34" t="str">
        <f aca="false">IF($B3324="","",IF($B3324="OUT","Liters",IFERROR(INDEX(Setup!$F$3:$F$24,MATCH($C3324,Setup!$A$3:$A$24,0)),"")))</f>
        <v/>
      </c>
      <c r="F3324" s="28" t="str">
        <f aca="false">IF(OR($D3324="",$E3324=""),"",IFERROR($D3324*INDEX(Setup!$B$27:$B$44,MATCH($E3324,Setup!$A$27:$A$44,0)),"TBD"))</f>
        <v/>
      </c>
      <c r="G3324" s="32"/>
      <c r="H3324" s="32"/>
      <c r="I3324" s="32"/>
      <c r="J3324" s="32"/>
      <c r="K3324" s="35"/>
      <c r="L3324" s="32"/>
      <c r="M3324" s="32"/>
    </row>
    <row r="3325" customFormat="false" ht="15" hidden="false" customHeight="true" outlineLevel="0" collapsed="false">
      <c r="A3325" s="32"/>
      <c r="B3325" s="32"/>
      <c r="C3325" s="32"/>
      <c r="D3325" s="32"/>
      <c r="E3325" s="34" t="str">
        <f aca="false">IF($B3325="","",IF($B3325="OUT","Liters",IFERROR(INDEX(Setup!$F$3:$F$24,MATCH($C3325,Setup!$A$3:$A$24,0)),"")))</f>
        <v/>
      </c>
      <c r="F3325" s="28" t="str">
        <f aca="false">IF(OR($D3325="",$E3325=""),"",IFERROR($D3325*INDEX(Setup!$B$27:$B$44,MATCH($E3325,Setup!$A$27:$A$44,0)),"TBD"))</f>
        <v/>
      </c>
      <c r="G3325" s="32"/>
      <c r="H3325" s="32"/>
      <c r="I3325" s="32"/>
      <c r="J3325" s="32"/>
      <c r="K3325" s="35"/>
      <c r="L3325" s="32"/>
      <c r="M3325" s="32"/>
    </row>
    <row r="3326" customFormat="false" ht="15" hidden="false" customHeight="true" outlineLevel="0" collapsed="false">
      <c r="A3326" s="32"/>
      <c r="B3326" s="32"/>
      <c r="C3326" s="32"/>
      <c r="D3326" s="32"/>
      <c r="E3326" s="34" t="str">
        <f aca="false">IF($B3326="","",IF($B3326="OUT","Liters",IFERROR(INDEX(Setup!$F$3:$F$24,MATCH($C3326,Setup!$A$3:$A$24,0)),"")))</f>
        <v/>
      </c>
      <c r="F3326" s="28" t="str">
        <f aca="false">IF(OR($D3326="",$E3326=""),"",IFERROR($D3326*INDEX(Setup!$B$27:$B$44,MATCH($E3326,Setup!$A$27:$A$44,0)),"TBD"))</f>
        <v/>
      </c>
      <c r="G3326" s="32"/>
      <c r="H3326" s="32"/>
      <c r="I3326" s="32"/>
      <c r="J3326" s="32"/>
      <c r="K3326" s="35"/>
      <c r="L3326" s="32"/>
      <c r="M3326" s="32"/>
    </row>
    <row r="3327" customFormat="false" ht="15" hidden="false" customHeight="true" outlineLevel="0" collapsed="false">
      <c r="A3327" s="32"/>
      <c r="B3327" s="32"/>
      <c r="C3327" s="32"/>
      <c r="D3327" s="32"/>
      <c r="E3327" s="34" t="str">
        <f aca="false">IF($B3327="","",IF($B3327="OUT","Liters",IFERROR(INDEX(Setup!$F$3:$F$24,MATCH($C3327,Setup!$A$3:$A$24,0)),"")))</f>
        <v/>
      </c>
      <c r="F3327" s="28" t="str">
        <f aca="false">IF(OR($D3327="",$E3327=""),"",IFERROR($D3327*INDEX(Setup!$B$27:$B$44,MATCH($E3327,Setup!$A$27:$A$44,0)),"TBD"))</f>
        <v/>
      </c>
      <c r="G3327" s="32"/>
      <c r="H3327" s="32"/>
      <c r="I3327" s="32"/>
      <c r="J3327" s="32"/>
      <c r="K3327" s="35"/>
      <c r="L3327" s="32"/>
      <c r="M3327" s="32"/>
    </row>
    <row r="3328" customFormat="false" ht="15" hidden="false" customHeight="true" outlineLevel="0" collapsed="false">
      <c r="A3328" s="32"/>
      <c r="B3328" s="32"/>
      <c r="C3328" s="32"/>
      <c r="D3328" s="32"/>
      <c r="E3328" s="34" t="str">
        <f aca="false">IF($B3328="","",IF($B3328="OUT","Liters",IFERROR(INDEX(Setup!$F$3:$F$24,MATCH($C3328,Setup!$A$3:$A$24,0)),"")))</f>
        <v/>
      </c>
      <c r="F3328" s="28" t="str">
        <f aca="false">IF(OR($D3328="",$E3328=""),"",IFERROR($D3328*INDEX(Setup!$B$27:$B$44,MATCH($E3328,Setup!$A$27:$A$44,0)),"TBD"))</f>
        <v/>
      </c>
      <c r="G3328" s="32"/>
      <c r="H3328" s="32"/>
      <c r="I3328" s="32"/>
      <c r="J3328" s="32"/>
      <c r="K3328" s="35"/>
      <c r="L3328" s="32"/>
      <c r="M3328" s="32"/>
    </row>
    <row r="3329" customFormat="false" ht="15" hidden="false" customHeight="true" outlineLevel="0" collapsed="false">
      <c r="A3329" s="32"/>
      <c r="B3329" s="32"/>
      <c r="C3329" s="32"/>
      <c r="D3329" s="32"/>
      <c r="E3329" s="34" t="str">
        <f aca="false">IF($B3329="","",IF($B3329="OUT","Liters",IFERROR(INDEX(Setup!$F$3:$F$24,MATCH($C3329,Setup!$A$3:$A$24,0)),"")))</f>
        <v/>
      </c>
      <c r="F3329" s="28" t="str">
        <f aca="false">IF(OR($D3329="",$E3329=""),"",IFERROR($D3329*INDEX(Setup!$B$27:$B$44,MATCH($E3329,Setup!$A$27:$A$44,0)),"TBD"))</f>
        <v/>
      </c>
      <c r="G3329" s="32"/>
      <c r="H3329" s="32"/>
      <c r="I3329" s="32"/>
      <c r="J3329" s="32"/>
      <c r="K3329" s="35"/>
      <c r="L3329" s="32"/>
      <c r="M3329" s="32"/>
    </row>
    <row r="3330" customFormat="false" ht="15" hidden="false" customHeight="true" outlineLevel="0" collapsed="false">
      <c r="A3330" s="32"/>
      <c r="B3330" s="32"/>
      <c r="C3330" s="32"/>
      <c r="D3330" s="32"/>
      <c r="E3330" s="34" t="str">
        <f aca="false">IF($B3330="","",IF($B3330="OUT","Liters",IFERROR(INDEX(Setup!$F$3:$F$24,MATCH($C3330,Setup!$A$3:$A$24,0)),"")))</f>
        <v/>
      </c>
      <c r="F3330" s="28" t="str">
        <f aca="false">IF(OR($D3330="",$E3330=""),"",IFERROR($D3330*INDEX(Setup!$B$27:$B$44,MATCH($E3330,Setup!$A$27:$A$44,0)),"TBD"))</f>
        <v/>
      </c>
      <c r="G3330" s="32"/>
      <c r="H3330" s="32"/>
      <c r="I3330" s="32"/>
      <c r="J3330" s="32"/>
      <c r="K3330" s="35"/>
      <c r="L3330" s="32"/>
      <c r="M3330" s="32"/>
    </row>
    <row r="3331" customFormat="false" ht="15" hidden="false" customHeight="true" outlineLevel="0" collapsed="false">
      <c r="A3331" s="32"/>
      <c r="B3331" s="32"/>
      <c r="C3331" s="32"/>
      <c r="D3331" s="32"/>
      <c r="E3331" s="34" t="str">
        <f aca="false">IF($B3331="","",IF($B3331="OUT","Liters",IFERROR(INDEX(Setup!$F$3:$F$24,MATCH($C3331,Setup!$A$3:$A$24,0)),"")))</f>
        <v/>
      </c>
      <c r="F3331" s="28" t="str">
        <f aca="false">IF(OR($D3331="",$E3331=""),"",IFERROR($D3331*INDEX(Setup!$B$27:$B$44,MATCH($E3331,Setup!$A$27:$A$44,0)),"TBD"))</f>
        <v/>
      </c>
      <c r="G3331" s="32"/>
      <c r="H3331" s="32"/>
      <c r="I3331" s="32"/>
      <c r="J3331" s="32"/>
      <c r="K3331" s="35"/>
      <c r="L3331" s="32"/>
      <c r="M3331" s="32"/>
    </row>
    <row r="3332" customFormat="false" ht="15" hidden="false" customHeight="true" outlineLevel="0" collapsed="false">
      <c r="A3332" s="32"/>
      <c r="B3332" s="32"/>
      <c r="C3332" s="32"/>
      <c r="D3332" s="32"/>
      <c r="E3332" s="34" t="str">
        <f aca="false">IF($B3332="","",IF($B3332="OUT","Liters",IFERROR(INDEX(Setup!$F$3:$F$24,MATCH($C3332,Setup!$A$3:$A$24,0)),"")))</f>
        <v/>
      </c>
      <c r="F3332" s="28" t="str">
        <f aca="false">IF(OR($D3332="",$E3332=""),"",IFERROR($D3332*INDEX(Setup!$B$27:$B$44,MATCH($E3332,Setup!$A$27:$A$44,0)),"TBD"))</f>
        <v/>
      </c>
      <c r="G3332" s="32"/>
      <c r="H3332" s="32"/>
      <c r="I3332" s="32"/>
      <c r="J3332" s="32"/>
      <c r="K3332" s="35"/>
      <c r="L3332" s="32"/>
      <c r="M3332" s="32"/>
    </row>
    <row r="3333" customFormat="false" ht="15" hidden="false" customHeight="true" outlineLevel="0" collapsed="false">
      <c r="A3333" s="32"/>
      <c r="B3333" s="32"/>
      <c r="C3333" s="32"/>
      <c r="D3333" s="32"/>
      <c r="E3333" s="34" t="str">
        <f aca="false">IF($B3333="","",IF($B3333="OUT","Liters",IFERROR(INDEX(Setup!$F$3:$F$24,MATCH($C3333,Setup!$A$3:$A$24,0)),"")))</f>
        <v/>
      </c>
      <c r="F3333" s="28" t="str">
        <f aca="false">IF(OR($D3333="",$E3333=""),"",IFERROR($D3333*INDEX(Setup!$B$27:$B$44,MATCH($E3333,Setup!$A$27:$A$44,0)),"TBD"))</f>
        <v/>
      </c>
      <c r="G3333" s="32"/>
      <c r="H3333" s="32"/>
      <c r="I3333" s="32"/>
      <c r="J3333" s="32"/>
      <c r="K3333" s="35"/>
      <c r="L3333" s="32"/>
      <c r="M3333" s="32"/>
    </row>
    <row r="3334" customFormat="false" ht="15" hidden="false" customHeight="true" outlineLevel="0" collapsed="false">
      <c r="A3334" s="32"/>
      <c r="B3334" s="32"/>
      <c r="C3334" s="32"/>
      <c r="D3334" s="32"/>
      <c r="E3334" s="34" t="str">
        <f aca="false">IF($B3334="","",IF($B3334="OUT","Liters",IFERROR(INDEX(Setup!$F$3:$F$24,MATCH($C3334,Setup!$A$3:$A$24,0)),"")))</f>
        <v/>
      </c>
      <c r="F3334" s="28" t="str">
        <f aca="false">IF(OR($D3334="",$E3334=""),"",IFERROR($D3334*INDEX(Setup!$B$27:$B$44,MATCH($E3334,Setup!$A$27:$A$44,0)),"TBD"))</f>
        <v/>
      </c>
      <c r="G3334" s="32"/>
      <c r="H3334" s="32"/>
      <c r="I3334" s="32"/>
      <c r="J3334" s="32"/>
      <c r="K3334" s="35"/>
      <c r="L3334" s="32"/>
      <c r="M3334" s="32"/>
    </row>
    <row r="3335" customFormat="false" ht="15" hidden="false" customHeight="true" outlineLevel="0" collapsed="false">
      <c r="A3335" s="32"/>
      <c r="B3335" s="32"/>
      <c r="C3335" s="32"/>
      <c r="D3335" s="32"/>
      <c r="E3335" s="34" t="str">
        <f aca="false">IF($B3335="","",IF($B3335="OUT","Liters",IFERROR(INDEX(Setup!$F$3:$F$24,MATCH($C3335,Setup!$A$3:$A$24,0)),"")))</f>
        <v/>
      </c>
      <c r="F3335" s="28" t="str">
        <f aca="false">IF(OR($D3335="",$E3335=""),"",IFERROR($D3335*INDEX(Setup!$B$27:$B$44,MATCH($E3335,Setup!$A$27:$A$44,0)),"TBD"))</f>
        <v/>
      </c>
      <c r="G3335" s="32"/>
      <c r="H3335" s="32"/>
      <c r="I3335" s="32"/>
      <c r="J3335" s="32"/>
      <c r="K3335" s="35"/>
      <c r="L3335" s="32"/>
      <c r="M3335" s="32"/>
    </row>
    <row r="3336" customFormat="false" ht="15" hidden="false" customHeight="true" outlineLevel="0" collapsed="false">
      <c r="A3336" s="32"/>
      <c r="B3336" s="32"/>
      <c r="C3336" s="32"/>
      <c r="D3336" s="32"/>
      <c r="E3336" s="34" t="str">
        <f aca="false">IF($B3336="","",IF($B3336="OUT","Liters",IFERROR(INDEX(Setup!$F$3:$F$24,MATCH($C3336,Setup!$A$3:$A$24,0)),"")))</f>
        <v/>
      </c>
      <c r="F3336" s="28" t="str">
        <f aca="false">IF(OR($D3336="",$E3336=""),"",IFERROR($D3336*INDEX(Setup!$B$27:$B$44,MATCH($E3336,Setup!$A$27:$A$44,0)),"TBD"))</f>
        <v/>
      </c>
      <c r="G3336" s="32"/>
      <c r="H3336" s="32"/>
      <c r="I3336" s="32"/>
      <c r="J3336" s="32"/>
      <c r="K3336" s="35"/>
      <c r="L3336" s="32"/>
      <c r="M3336" s="32"/>
    </row>
    <row r="3337" customFormat="false" ht="15" hidden="false" customHeight="true" outlineLevel="0" collapsed="false">
      <c r="A3337" s="32"/>
      <c r="B3337" s="32"/>
      <c r="C3337" s="32"/>
      <c r="D3337" s="32"/>
      <c r="E3337" s="34" t="str">
        <f aca="false">IF($B3337="","",IF($B3337="OUT","Liters",IFERROR(INDEX(Setup!$F$3:$F$24,MATCH($C3337,Setup!$A$3:$A$24,0)),"")))</f>
        <v/>
      </c>
      <c r="F3337" s="28" t="str">
        <f aca="false">IF(OR($D3337="",$E3337=""),"",IFERROR($D3337*INDEX(Setup!$B$27:$B$44,MATCH($E3337,Setup!$A$27:$A$44,0)),"TBD"))</f>
        <v/>
      </c>
      <c r="G3337" s="32"/>
      <c r="H3337" s="32"/>
      <c r="I3337" s="32"/>
      <c r="J3337" s="32"/>
      <c r="K3337" s="35"/>
      <c r="L3337" s="32"/>
      <c r="M3337" s="32"/>
    </row>
    <row r="3338" customFormat="false" ht="15" hidden="false" customHeight="true" outlineLevel="0" collapsed="false">
      <c r="A3338" s="32"/>
      <c r="B3338" s="32"/>
      <c r="C3338" s="32"/>
      <c r="D3338" s="32"/>
      <c r="E3338" s="34" t="str">
        <f aca="false">IF($B3338="","",IF($B3338="OUT","Liters",IFERROR(INDEX(Setup!$F$3:$F$24,MATCH($C3338,Setup!$A$3:$A$24,0)),"")))</f>
        <v/>
      </c>
      <c r="F3338" s="28" t="str">
        <f aca="false">IF(OR($D3338="",$E3338=""),"",IFERROR($D3338*INDEX(Setup!$B$27:$B$44,MATCH($E3338,Setup!$A$27:$A$44,0)),"TBD"))</f>
        <v/>
      </c>
      <c r="G3338" s="32"/>
      <c r="H3338" s="32"/>
      <c r="I3338" s="32"/>
      <c r="J3338" s="32"/>
      <c r="K3338" s="35"/>
      <c r="L3338" s="32"/>
      <c r="M3338" s="32"/>
    </row>
    <row r="3339" customFormat="false" ht="15" hidden="false" customHeight="true" outlineLevel="0" collapsed="false">
      <c r="A3339" s="32"/>
      <c r="B3339" s="32"/>
      <c r="C3339" s="32"/>
      <c r="D3339" s="32"/>
      <c r="E3339" s="34" t="str">
        <f aca="false">IF($B3339="","",IF($B3339="OUT","Liters",IFERROR(INDEX(Setup!$F$3:$F$24,MATCH($C3339,Setup!$A$3:$A$24,0)),"")))</f>
        <v/>
      </c>
      <c r="F3339" s="28" t="str">
        <f aca="false">IF(OR($D3339="",$E3339=""),"",IFERROR($D3339*INDEX(Setup!$B$27:$B$44,MATCH($E3339,Setup!$A$27:$A$44,0)),"TBD"))</f>
        <v/>
      </c>
      <c r="G3339" s="32"/>
      <c r="H3339" s="32"/>
      <c r="I3339" s="32"/>
      <c r="J3339" s="32"/>
      <c r="K3339" s="35"/>
      <c r="L3339" s="32"/>
      <c r="M3339" s="32"/>
    </row>
    <row r="3340" customFormat="false" ht="15" hidden="false" customHeight="true" outlineLevel="0" collapsed="false">
      <c r="A3340" s="32"/>
      <c r="B3340" s="32"/>
      <c r="C3340" s="32"/>
      <c r="D3340" s="32"/>
      <c r="E3340" s="34" t="str">
        <f aca="false">IF($B3340="","",IF($B3340="OUT","Liters",IFERROR(INDEX(Setup!$F$3:$F$24,MATCH($C3340,Setup!$A$3:$A$24,0)),"")))</f>
        <v/>
      </c>
      <c r="F3340" s="28" t="str">
        <f aca="false">IF(OR($D3340="",$E3340=""),"",IFERROR($D3340*INDEX(Setup!$B$27:$B$44,MATCH($E3340,Setup!$A$27:$A$44,0)),"TBD"))</f>
        <v/>
      </c>
      <c r="G3340" s="32"/>
      <c r="H3340" s="32"/>
      <c r="I3340" s="32"/>
      <c r="J3340" s="32"/>
      <c r="K3340" s="35"/>
      <c r="L3340" s="32"/>
      <c r="M3340" s="32"/>
    </row>
    <row r="3341" customFormat="false" ht="15" hidden="false" customHeight="true" outlineLevel="0" collapsed="false">
      <c r="A3341" s="32"/>
      <c r="B3341" s="32"/>
      <c r="C3341" s="32"/>
      <c r="D3341" s="32"/>
      <c r="E3341" s="34" t="str">
        <f aca="false">IF($B3341="","",IF($B3341="OUT","Liters",IFERROR(INDEX(Setup!$F$3:$F$24,MATCH($C3341,Setup!$A$3:$A$24,0)),"")))</f>
        <v/>
      </c>
      <c r="F3341" s="28" t="str">
        <f aca="false">IF(OR($D3341="",$E3341=""),"",IFERROR($D3341*INDEX(Setup!$B$27:$B$44,MATCH($E3341,Setup!$A$27:$A$44,0)),"TBD"))</f>
        <v/>
      </c>
      <c r="G3341" s="32"/>
      <c r="H3341" s="32"/>
      <c r="I3341" s="32"/>
      <c r="J3341" s="32"/>
      <c r="K3341" s="35"/>
      <c r="L3341" s="32"/>
      <c r="M3341" s="32"/>
    </row>
    <row r="3342" customFormat="false" ht="15" hidden="false" customHeight="true" outlineLevel="0" collapsed="false">
      <c r="A3342" s="32"/>
      <c r="B3342" s="32"/>
      <c r="C3342" s="32"/>
      <c r="D3342" s="32"/>
      <c r="E3342" s="34" t="str">
        <f aca="false">IF($B3342="","",IF($B3342="OUT","Liters",IFERROR(INDEX(Setup!$F$3:$F$24,MATCH($C3342,Setup!$A$3:$A$24,0)),"")))</f>
        <v/>
      </c>
      <c r="F3342" s="28" t="str">
        <f aca="false">IF(OR($D3342="",$E3342=""),"",IFERROR($D3342*INDEX(Setup!$B$27:$B$44,MATCH($E3342,Setup!$A$27:$A$44,0)),"TBD"))</f>
        <v/>
      </c>
      <c r="G3342" s="32"/>
      <c r="H3342" s="32"/>
      <c r="I3342" s="32"/>
      <c r="J3342" s="32"/>
      <c r="K3342" s="35"/>
      <c r="L3342" s="32"/>
      <c r="M3342" s="32"/>
    </row>
    <row r="3343" customFormat="false" ht="15" hidden="false" customHeight="true" outlineLevel="0" collapsed="false">
      <c r="A3343" s="32"/>
      <c r="B3343" s="32"/>
      <c r="C3343" s="32"/>
      <c r="D3343" s="32"/>
      <c r="E3343" s="34" t="str">
        <f aca="false">IF($B3343="","",IF($B3343="OUT","Liters",IFERROR(INDEX(Setup!$F$3:$F$24,MATCH($C3343,Setup!$A$3:$A$24,0)),"")))</f>
        <v/>
      </c>
      <c r="F3343" s="28" t="str">
        <f aca="false">IF(OR($D3343="",$E3343=""),"",IFERROR($D3343*INDEX(Setup!$B$27:$B$44,MATCH($E3343,Setup!$A$27:$A$44,0)),"TBD"))</f>
        <v/>
      </c>
      <c r="G3343" s="32"/>
      <c r="H3343" s="32"/>
      <c r="I3343" s="32"/>
      <c r="J3343" s="32"/>
      <c r="K3343" s="35"/>
      <c r="L3343" s="32"/>
      <c r="M3343" s="32"/>
    </row>
    <row r="3344" customFormat="false" ht="15" hidden="false" customHeight="true" outlineLevel="0" collapsed="false">
      <c r="A3344" s="32"/>
      <c r="B3344" s="32"/>
      <c r="C3344" s="32"/>
      <c r="D3344" s="32"/>
      <c r="E3344" s="34" t="str">
        <f aca="false">IF($B3344="","",IF($B3344="OUT","Liters",IFERROR(INDEX(Setup!$F$3:$F$24,MATCH($C3344,Setup!$A$3:$A$24,0)),"")))</f>
        <v/>
      </c>
      <c r="F3344" s="28" t="str">
        <f aca="false">IF(OR($D3344="",$E3344=""),"",IFERROR($D3344*INDEX(Setup!$B$27:$B$44,MATCH($E3344,Setup!$A$27:$A$44,0)),"TBD"))</f>
        <v/>
      </c>
      <c r="G3344" s="32"/>
      <c r="H3344" s="32"/>
      <c r="I3344" s="32"/>
      <c r="J3344" s="32"/>
      <c r="K3344" s="35"/>
      <c r="L3344" s="32"/>
      <c r="M3344" s="32"/>
    </row>
    <row r="3345" customFormat="false" ht="15" hidden="false" customHeight="true" outlineLevel="0" collapsed="false">
      <c r="A3345" s="32"/>
      <c r="B3345" s="32"/>
      <c r="C3345" s="32"/>
      <c r="D3345" s="32"/>
      <c r="E3345" s="34" t="str">
        <f aca="false">IF($B3345="","",IF($B3345="OUT","Liters",IFERROR(INDEX(Setup!$F$3:$F$24,MATCH($C3345,Setup!$A$3:$A$24,0)),"")))</f>
        <v/>
      </c>
      <c r="F3345" s="28" t="str">
        <f aca="false">IF(OR($D3345="",$E3345=""),"",IFERROR($D3345*INDEX(Setup!$B$27:$B$44,MATCH($E3345,Setup!$A$27:$A$44,0)),"TBD"))</f>
        <v/>
      </c>
      <c r="G3345" s="32"/>
      <c r="H3345" s="32"/>
      <c r="I3345" s="32"/>
      <c r="J3345" s="32"/>
      <c r="K3345" s="35"/>
      <c r="L3345" s="32"/>
      <c r="M3345" s="32"/>
    </row>
    <row r="3346" customFormat="false" ht="15" hidden="false" customHeight="true" outlineLevel="0" collapsed="false">
      <c r="A3346" s="32"/>
      <c r="B3346" s="32"/>
      <c r="C3346" s="32"/>
      <c r="D3346" s="32"/>
      <c r="E3346" s="34" t="str">
        <f aca="false">IF($B3346="","",IF($B3346="OUT","Liters",IFERROR(INDEX(Setup!$F$3:$F$24,MATCH($C3346,Setup!$A$3:$A$24,0)),"")))</f>
        <v/>
      </c>
      <c r="F3346" s="28" t="str">
        <f aca="false">IF(OR($D3346="",$E3346=""),"",IFERROR($D3346*INDEX(Setup!$B$27:$B$44,MATCH($E3346,Setup!$A$27:$A$44,0)),"TBD"))</f>
        <v/>
      </c>
      <c r="G3346" s="32"/>
      <c r="H3346" s="32"/>
      <c r="I3346" s="32"/>
      <c r="J3346" s="32"/>
      <c r="K3346" s="35"/>
      <c r="L3346" s="32"/>
      <c r="M3346" s="32"/>
    </row>
    <row r="3347" customFormat="false" ht="15" hidden="false" customHeight="true" outlineLevel="0" collapsed="false">
      <c r="A3347" s="32"/>
      <c r="B3347" s="32"/>
      <c r="C3347" s="32"/>
      <c r="D3347" s="32"/>
      <c r="E3347" s="34" t="str">
        <f aca="false">IF($B3347="","",IF($B3347="OUT","Liters",IFERROR(INDEX(Setup!$F$3:$F$24,MATCH($C3347,Setup!$A$3:$A$24,0)),"")))</f>
        <v/>
      </c>
      <c r="F3347" s="28" t="str">
        <f aca="false">IF(OR($D3347="",$E3347=""),"",IFERROR($D3347*INDEX(Setup!$B$27:$B$44,MATCH($E3347,Setup!$A$27:$A$44,0)),"TBD"))</f>
        <v/>
      </c>
      <c r="G3347" s="32"/>
      <c r="H3347" s="32"/>
      <c r="I3347" s="32"/>
      <c r="J3347" s="32"/>
      <c r="K3347" s="35"/>
      <c r="L3347" s="32"/>
      <c r="M3347" s="32"/>
    </row>
    <row r="3348" customFormat="false" ht="15" hidden="false" customHeight="true" outlineLevel="0" collapsed="false">
      <c r="A3348" s="32"/>
      <c r="B3348" s="32"/>
      <c r="C3348" s="32"/>
      <c r="D3348" s="32"/>
      <c r="E3348" s="34" t="str">
        <f aca="false">IF($B3348="","",IF($B3348="OUT","Liters",IFERROR(INDEX(Setup!$F$3:$F$24,MATCH($C3348,Setup!$A$3:$A$24,0)),"")))</f>
        <v/>
      </c>
      <c r="F3348" s="28" t="str">
        <f aca="false">IF(OR($D3348="",$E3348=""),"",IFERROR($D3348*INDEX(Setup!$B$27:$B$44,MATCH($E3348,Setup!$A$27:$A$44,0)),"TBD"))</f>
        <v/>
      </c>
      <c r="G3348" s="32"/>
      <c r="H3348" s="32"/>
      <c r="I3348" s="32"/>
      <c r="J3348" s="32"/>
      <c r="K3348" s="35"/>
      <c r="L3348" s="32"/>
      <c r="M3348" s="32"/>
    </row>
    <row r="3349" customFormat="false" ht="15" hidden="false" customHeight="true" outlineLevel="0" collapsed="false">
      <c r="A3349" s="32"/>
      <c r="B3349" s="32"/>
      <c r="C3349" s="32"/>
      <c r="D3349" s="32"/>
      <c r="E3349" s="34" t="str">
        <f aca="false">IF($B3349="","",IF($B3349="OUT","Liters",IFERROR(INDEX(Setup!$F$3:$F$24,MATCH($C3349,Setup!$A$3:$A$24,0)),"")))</f>
        <v/>
      </c>
      <c r="F3349" s="28" t="str">
        <f aca="false">IF(OR($D3349="",$E3349=""),"",IFERROR($D3349*INDEX(Setup!$B$27:$B$44,MATCH($E3349,Setup!$A$27:$A$44,0)),"TBD"))</f>
        <v/>
      </c>
      <c r="G3349" s="32"/>
      <c r="H3349" s="32"/>
      <c r="I3349" s="32"/>
      <c r="J3349" s="32"/>
      <c r="K3349" s="35"/>
      <c r="L3349" s="32"/>
      <c r="M3349" s="32"/>
    </row>
    <row r="3350" customFormat="false" ht="15" hidden="false" customHeight="true" outlineLevel="0" collapsed="false">
      <c r="A3350" s="32"/>
      <c r="B3350" s="32"/>
      <c r="C3350" s="32"/>
      <c r="D3350" s="32"/>
      <c r="E3350" s="34" t="str">
        <f aca="false">IF($B3350="","",IF($B3350="OUT","Liters",IFERROR(INDEX(Setup!$F$3:$F$24,MATCH($C3350,Setup!$A$3:$A$24,0)),"")))</f>
        <v/>
      </c>
      <c r="F3350" s="28" t="str">
        <f aca="false">IF(OR($D3350="",$E3350=""),"",IFERROR($D3350*INDEX(Setup!$B$27:$B$44,MATCH($E3350,Setup!$A$27:$A$44,0)),"TBD"))</f>
        <v/>
      </c>
      <c r="G3350" s="32"/>
      <c r="H3350" s="32"/>
      <c r="I3350" s="32"/>
      <c r="J3350" s="32"/>
      <c r="K3350" s="35"/>
      <c r="L3350" s="32"/>
      <c r="M3350" s="32"/>
    </row>
    <row r="3351" customFormat="false" ht="15" hidden="false" customHeight="true" outlineLevel="0" collapsed="false">
      <c r="A3351" s="32"/>
      <c r="B3351" s="32"/>
      <c r="C3351" s="32"/>
      <c r="D3351" s="32"/>
      <c r="E3351" s="34" t="str">
        <f aca="false">IF($B3351="","",IF($B3351="OUT","Liters",IFERROR(INDEX(Setup!$F$3:$F$24,MATCH($C3351,Setup!$A$3:$A$24,0)),"")))</f>
        <v/>
      </c>
      <c r="F3351" s="28" t="str">
        <f aca="false">IF(OR($D3351="",$E3351=""),"",IFERROR($D3351*INDEX(Setup!$B$27:$B$44,MATCH($E3351,Setup!$A$27:$A$44,0)),"TBD"))</f>
        <v/>
      </c>
      <c r="G3351" s="32"/>
      <c r="H3351" s="32"/>
      <c r="I3351" s="32"/>
      <c r="J3351" s="32"/>
      <c r="K3351" s="35"/>
      <c r="L3351" s="32"/>
      <c r="M3351" s="32"/>
    </row>
    <row r="3352" customFormat="false" ht="15" hidden="false" customHeight="true" outlineLevel="0" collapsed="false">
      <c r="A3352" s="32"/>
      <c r="B3352" s="32"/>
      <c r="C3352" s="32"/>
      <c r="D3352" s="32"/>
      <c r="E3352" s="34" t="str">
        <f aca="false">IF($B3352="","",IF($B3352="OUT","Liters",IFERROR(INDEX(Setup!$F$3:$F$24,MATCH($C3352,Setup!$A$3:$A$24,0)),"")))</f>
        <v/>
      </c>
      <c r="F3352" s="28" t="str">
        <f aca="false">IF(OR($D3352="",$E3352=""),"",IFERROR($D3352*INDEX(Setup!$B$27:$B$44,MATCH($E3352,Setup!$A$27:$A$44,0)),"TBD"))</f>
        <v/>
      </c>
      <c r="G3352" s="32"/>
      <c r="H3352" s="32"/>
      <c r="I3352" s="32"/>
      <c r="J3352" s="32"/>
      <c r="K3352" s="35"/>
      <c r="L3352" s="32"/>
      <c r="M3352" s="32"/>
    </row>
    <row r="3353" customFormat="false" ht="15" hidden="false" customHeight="true" outlineLevel="0" collapsed="false">
      <c r="A3353" s="32"/>
      <c r="B3353" s="32"/>
      <c r="C3353" s="32"/>
      <c r="D3353" s="32"/>
      <c r="E3353" s="34" t="str">
        <f aca="false">IF($B3353="","",IF($B3353="OUT","Liters",IFERROR(INDEX(Setup!$F$3:$F$24,MATCH($C3353,Setup!$A$3:$A$24,0)),"")))</f>
        <v/>
      </c>
      <c r="F3353" s="28" t="str">
        <f aca="false">IF(OR($D3353="",$E3353=""),"",IFERROR($D3353*INDEX(Setup!$B$27:$B$44,MATCH($E3353,Setup!$A$27:$A$44,0)),"TBD"))</f>
        <v/>
      </c>
      <c r="G3353" s="32"/>
      <c r="H3353" s="32"/>
      <c r="I3353" s="32"/>
      <c r="J3353" s="32"/>
      <c r="K3353" s="35"/>
      <c r="L3353" s="32"/>
      <c r="M3353" s="32"/>
    </row>
    <row r="3354" customFormat="false" ht="15" hidden="false" customHeight="true" outlineLevel="0" collapsed="false">
      <c r="A3354" s="32"/>
      <c r="B3354" s="32"/>
      <c r="C3354" s="32"/>
      <c r="D3354" s="32"/>
      <c r="E3354" s="34" t="str">
        <f aca="false">IF($B3354="","",IF($B3354="OUT","Liters",IFERROR(INDEX(Setup!$F$3:$F$24,MATCH($C3354,Setup!$A$3:$A$24,0)),"")))</f>
        <v/>
      </c>
      <c r="F3354" s="28" t="str">
        <f aca="false">IF(OR($D3354="",$E3354=""),"",IFERROR($D3354*INDEX(Setup!$B$27:$B$44,MATCH($E3354,Setup!$A$27:$A$44,0)),"TBD"))</f>
        <v/>
      </c>
      <c r="G3354" s="32"/>
      <c r="H3354" s="32"/>
      <c r="I3354" s="32"/>
      <c r="J3354" s="32"/>
      <c r="K3354" s="35"/>
      <c r="L3354" s="32"/>
      <c r="M3354" s="32"/>
    </row>
    <row r="3355" customFormat="false" ht="15" hidden="false" customHeight="true" outlineLevel="0" collapsed="false">
      <c r="A3355" s="32"/>
      <c r="B3355" s="32"/>
      <c r="C3355" s="32"/>
      <c r="D3355" s="32"/>
      <c r="E3355" s="34" t="str">
        <f aca="false">IF($B3355="","",IF($B3355="OUT","Liters",IFERROR(INDEX(Setup!$F$3:$F$24,MATCH($C3355,Setup!$A$3:$A$24,0)),"")))</f>
        <v/>
      </c>
      <c r="F3355" s="28" t="str">
        <f aca="false">IF(OR($D3355="",$E3355=""),"",IFERROR($D3355*INDEX(Setup!$B$27:$B$44,MATCH($E3355,Setup!$A$27:$A$44,0)),"TBD"))</f>
        <v/>
      </c>
      <c r="G3355" s="32"/>
      <c r="H3355" s="32"/>
      <c r="I3355" s="32"/>
      <c r="J3355" s="32"/>
      <c r="K3355" s="35"/>
      <c r="L3355" s="32"/>
      <c r="M3355" s="32"/>
    </row>
    <row r="3356" customFormat="false" ht="15" hidden="false" customHeight="true" outlineLevel="0" collapsed="false">
      <c r="A3356" s="32"/>
      <c r="B3356" s="32"/>
      <c r="C3356" s="32"/>
      <c r="D3356" s="32"/>
      <c r="E3356" s="34" t="str">
        <f aca="false">IF($B3356="","",IF($B3356="OUT","Liters",IFERROR(INDEX(Setup!$F$3:$F$24,MATCH($C3356,Setup!$A$3:$A$24,0)),"")))</f>
        <v/>
      </c>
      <c r="F3356" s="28" t="str">
        <f aca="false">IF(OR($D3356="",$E3356=""),"",IFERROR($D3356*INDEX(Setup!$B$27:$B$44,MATCH($E3356,Setup!$A$27:$A$44,0)),"TBD"))</f>
        <v/>
      </c>
      <c r="G3356" s="32"/>
      <c r="H3356" s="32"/>
      <c r="I3356" s="32"/>
      <c r="J3356" s="32"/>
      <c r="K3356" s="35"/>
      <c r="L3356" s="32"/>
      <c r="M3356" s="32"/>
    </row>
    <row r="3357" customFormat="false" ht="15" hidden="false" customHeight="true" outlineLevel="0" collapsed="false">
      <c r="A3357" s="32"/>
      <c r="B3357" s="32"/>
      <c r="C3357" s="32"/>
      <c r="D3357" s="32"/>
      <c r="E3357" s="34" t="str">
        <f aca="false">IF($B3357="","",IF($B3357="OUT","Liters",IFERROR(INDEX(Setup!$F$3:$F$24,MATCH($C3357,Setup!$A$3:$A$24,0)),"")))</f>
        <v/>
      </c>
      <c r="F3357" s="28" t="str">
        <f aca="false">IF(OR($D3357="",$E3357=""),"",IFERROR($D3357*INDEX(Setup!$B$27:$B$44,MATCH($E3357,Setup!$A$27:$A$44,0)),"TBD"))</f>
        <v/>
      </c>
      <c r="G3357" s="32"/>
      <c r="H3357" s="32"/>
      <c r="I3357" s="32"/>
      <c r="J3357" s="32"/>
      <c r="K3357" s="35"/>
      <c r="L3357" s="32"/>
      <c r="M3357" s="32"/>
    </row>
    <row r="3358" customFormat="false" ht="15" hidden="false" customHeight="true" outlineLevel="0" collapsed="false">
      <c r="A3358" s="32"/>
      <c r="B3358" s="32"/>
      <c r="C3358" s="32"/>
      <c r="D3358" s="32"/>
      <c r="E3358" s="34" t="str">
        <f aca="false">IF($B3358="","",IF($B3358="OUT","Liters",IFERROR(INDEX(Setup!$F$3:$F$24,MATCH($C3358,Setup!$A$3:$A$24,0)),"")))</f>
        <v/>
      </c>
      <c r="F3358" s="28" t="str">
        <f aca="false">IF(OR($D3358="",$E3358=""),"",IFERROR($D3358*INDEX(Setup!$B$27:$B$44,MATCH($E3358,Setup!$A$27:$A$44,0)),"TBD"))</f>
        <v/>
      </c>
      <c r="G3358" s="32"/>
      <c r="H3358" s="32"/>
      <c r="I3358" s="32"/>
      <c r="J3358" s="32"/>
      <c r="K3358" s="35"/>
      <c r="L3358" s="32"/>
      <c r="M3358" s="32"/>
    </row>
    <row r="3359" customFormat="false" ht="15" hidden="false" customHeight="true" outlineLevel="0" collapsed="false">
      <c r="A3359" s="32"/>
      <c r="B3359" s="32"/>
      <c r="C3359" s="32"/>
      <c r="D3359" s="32"/>
      <c r="E3359" s="34" t="str">
        <f aca="false">IF($B3359="","",IF($B3359="OUT","Liters",IFERROR(INDEX(Setup!$F$3:$F$24,MATCH($C3359,Setup!$A$3:$A$24,0)),"")))</f>
        <v/>
      </c>
      <c r="F3359" s="28" t="str">
        <f aca="false">IF(OR($D3359="",$E3359=""),"",IFERROR($D3359*INDEX(Setup!$B$27:$B$44,MATCH($E3359,Setup!$A$27:$A$44,0)),"TBD"))</f>
        <v/>
      </c>
      <c r="G3359" s="32"/>
      <c r="H3359" s="32"/>
      <c r="I3359" s="32"/>
      <c r="J3359" s="32"/>
      <c r="K3359" s="35"/>
      <c r="L3359" s="32"/>
      <c r="M3359" s="32"/>
    </row>
    <row r="3360" customFormat="false" ht="15" hidden="false" customHeight="true" outlineLevel="0" collapsed="false">
      <c r="A3360" s="32"/>
      <c r="B3360" s="32"/>
      <c r="C3360" s="32"/>
      <c r="D3360" s="32"/>
      <c r="E3360" s="34" t="str">
        <f aca="false">IF($B3360="","",IF($B3360="OUT","Liters",IFERROR(INDEX(Setup!$F$3:$F$24,MATCH($C3360,Setup!$A$3:$A$24,0)),"")))</f>
        <v/>
      </c>
      <c r="F3360" s="28" t="str">
        <f aca="false">IF(OR($D3360="",$E3360=""),"",IFERROR($D3360*INDEX(Setup!$B$27:$B$44,MATCH($E3360,Setup!$A$27:$A$44,0)),"TBD"))</f>
        <v/>
      </c>
      <c r="G3360" s="32"/>
      <c r="H3360" s="32"/>
      <c r="I3360" s="32"/>
      <c r="J3360" s="32"/>
      <c r="K3360" s="35"/>
      <c r="L3360" s="32"/>
      <c r="M3360" s="32"/>
    </row>
    <row r="3361" customFormat="false" ht="15" hidden="false" customHeight="true" outlineLevel="0" collapsed="false">
      <c r="A3361" s="32"/>
      <c r="B3361" s="32"/>
      <c r="C3361" s="32"/>
      <c r="D3361" s="32"/>
      <c r="E3361" s="34" t="str">
        <f aca="false">IF($B3361="","",IF($B3361="OUT","Liters",IFERROR(INDEX(Setup!$F$3:$F$24,MATCH($C3361,Setup!$A$3:$A$24,0)),"")))</f>
        <v/>
      </c>
      <c r="F3361" s="28" t="str">
        <f aca="false">IF(OR($D3361="",$E3361=""),"",IFERROR($D3361*INDEX(Setup!$B$27:$B$44,MATCH($E3361,Setup!$A$27:$A$44,0)),"TBD"))</f>
        <v/>
      </c>
      <c r="G3361" s="32"/>
      <c r="H3361" s="32"/>
      <c r="I3361" s="32"/>
      <c r="J3361" s="32"/>
      <c r="K3361" s="35"/>
      <c r="L3361" s="32"/>
      <c r="M3361" s="32"/>
    </row>
    <row r="3362" customFormat="false" ht="15" hidden="false" customHeight="true" outlineLevel="0" collapsed="false">
      <c r="A3362" s="32"/>
      <c r="B3362" s="32"/>
      <c r="C3362" s="32"/>
      <c r="D3362" s="32"/>
      <c r="E3362" s="34" t="str">
        <f aca="false">IF($B3362="","",IF($B3362="OUT","Liters",IFERROR(INDEX(Setup!$F$3:$F$24,MATCH($C3362,Setup!$A$3:$A$24,0)),"")))</f>
        <v/>
      </c>
      <c r="F3362" s="28" t="str">
        <f aca="false">IF(OR($D3362="",$E3362=""),"",IFERROR($D3362*INDEX(Setup!$B$27:$B$44,MATCH($E3362,Setup!$A$27:$A$44,0)),"TBD"))</f>
        <v/>
      </c>
      <c r="G3362" s="32"/>
      <c r="H3362" s="32"/>
      <c r="I3362" s="32"/>
      <c r="J3362" s="32"/>
      <c r="K3362" s="35"/>
      <c r="L3362" s="32"/>
      <c r="M3362" s="32"/>
    </row>
    <row r="3363" customFormat="false" ht="15" hidden="false" customHeight="true" outlineLevel="0" collapsed="false">
      <c r="A3363" s="32"/>
      <c r="B3363" s="32"/>
      <c r="C3363" s="32"/>
      <c r="D3363" s="32"/>
      <c r="E3363" s="34" t="str">
        <f aca="false">IF($B3363="","",IF($B3363="OUT","Liters",IFERROR(INDEX(Setup!$F$3:$F$24,MATCH($C3363,Setup!$A$3:$A$24,0)),"")))</f>
        <v/>
      </c>
      <c r="F3363" s="28" t="str">
        <f aca="false">IF(OR($D3363="",$E3363=""),"",IFERROR($D3363*INDEX(Setup!$B$27:$B$44,MATCH($E3363,Setup!$A$27:$A$44,0)),"TBD"))</f>
        <v/>
      </c>
      <c r="G3363" s="32"/>
      <c r="H3363" s="32"/>
      <c r="I3363" s="32"/>
      <c r="J3363" s="32"/>
      <c r="K3363" s="35"/>
      <c r="L3363" s="32"/>
      <c r="M3363" s="32"/>
    </row>
    <row r="3364" customFormat="false" ht="15" hidden="false" customHeight="true" outlineLevel="0" collapsed="false">
      <c r="A3364" s="32"/>
      <c r="B3364" s="32"/>
      <c r="C3364" s="32"/>
      <c r="D3364" s="32"/>
      <c r="E3364" s="34" t="str">
        <f aca="false">IF($B3364="","",IF($B3364="OUT","Liters",IFERROR(INDEX(Setup!$F$3:$F$24,MATCH($C3364,Setup!$A$3:$A$24,0)),"")))</f>
        <v/>
      </c>
      <c r="F3364" s="28" t="str">
        <f aca="false">IF(OR($D3364="",$E3364=""),"",IFERROR($D3364*INDEX(Setup!$B$27:$B$44,MATCH($E3364,Setup!$A$27:$A$44,0)),"TBD"))</f>
        <v/>
      </c>
      <c r="G3364" s="32"/>
      <c r="H3364" s="32"/>
      <c r="I3364" s="32"/>
      <c r="J3364" s="32"/>
      <c r="K3364" s="35"/>
      <c r="L3364" s="32"/>
      <c r="M3364" s="32"/>
    </row>
    <row r="3365" customFormat="false" ht="15" hidden="false" customHeight="true" outlineLevel="0" collapsed="false">
      <c r="A3365" s="32"/>
      <c r="B3365" s="32"/>
      <c r="C3365" s="32"/>
      <c r="D3365" s="32"/>
      <c r="E3365" s="34" t="str">
        <f aca="false">IF($B3365="","",IF($B3365="OUT","Liters",IFERROR(INDEX(Setup!$F$3:$F$24,MATCH($C3365,Setup!$A$3:$A$24,0)),"")))</f>
        <v/>
      </c>
      <c r="F3365" s="28" t="str">
        <f aca="false">IF(OR($D3365="",$E3365=""),"",IFERROR($D3365*INDEX(Setup!$B$27:$B$44,MATCH($E3365,Setup!$A$27:$A$44,0)),"TBD"))</f>
        <v/>
      </c>
      <c r="G3365" s="32"/>
      <c r="H3365" s="32"/>
      <c r="I3365" s="32"/>
      <c r="J3365" s="32"/>
      <c r="K3365" s="35"/>
      <c r="L3365" s="32"/>
      <c r="M3365" s="32"/>
    </row>
    <row r="3366" customFormat="false" ht="15" hidden="false" customHeight="true" outlineLevel="0" collapsed="false">
      <c r="A3366" s="32"/>
      <c r="B3366" s="32"/>
      <c r="C3366" s="32"/>
      <c r="D3366" s="32"/>
      <c r="E3366" s="34" t="str">
        <f aca="false">IF($B3366="","",IF($B3366="OUT","Liters",IFERROR(INDEX(Setup!$F$3:$F$24,MATCH($C3366,Setup!$A$3:$A$24,0)),"")))</f>
        <v/>
      </c>
      <c r="F3366" s="28" t="str">
        <f aca="false">IF(OR($D3366="",$E3366=""),"",IFERROR($D3366*INDEX(Setup!$B$27:$B$44,MATCH($E3366,Setup!$A$27:$A$44,0)),"TBD"))</f>
        <v/>
      </c>
      <c r="G3366" s="32"/>
      <c r="H3366" s="32"/>
      <c r="I3366" s="32"/>
      <c r="J3366" s="32"/>
      <c r="K3366" s="35"/>
      <c r="L3366" s="32"/>
      <c r="M3366" s="32"/>
    </row>
    <row r="3367" customFormat="false" ht="15" hidden="false" customHeight="true" outlineLevel="0" collapsed="false">
      <c r="A3367" s="32"/>
      <c r="B3367" s="32"/>
      <c r="C3367" s="32"/>
      <c r="D3367" s="32"/>
      <c r="E3367" s="34" t="str">
        <f aca="false">IF($B3367="","",IF($B3367="OUT","Liters",IFERROR(INDEX(Setup!$F$3:$F$24,MATCH($C3367,Setup!$A$3:$A$24,0)),"")))</f>
        <v/>
      </c>
      <c r="F3367" s="28" t="str">
        <f aca="false">IF(OR($D3367="",$E3367=""),"",IFERROR($D3367*INDEX(Setup!$B$27:$B$44,MATCH($E3367,Setup!$A$27:$A$44,0)),"TBD"))</f>
        <v/>
      </c>
      <c r="G3367" s="32"/>
      <c r="H3367" s="32"/>
      <c r="I3367" s="32"/>
      <c r="J3367" s="32"/>
      <c r="K3367" s="35"/>
      <c r="L3367" s="32"/>
      <c r="M3367" s="32"/>
    </row>
    <row r="3368" customFormat="false" ht="15" hidden="false" customHeight="true" outlineLevel="0" collapsed="false">
      <c r="A3368" s="32"/>
      <c r="B3368" s="32"/>
      <c r="C3368" s="32"/>
      <c r="D3368" s="32"/>
      <c r="E3368" s="34" t="str">
        <f aca="false">IF($B3368="","",IF($B3368="OUT","Liters",IFERROR(INDEX(Setup!$F$3:$F$24,MATCH($C3368,Setup!$A$3:$A$24,0)),"")))</f>
        <v/>
      </c>
      <c r="F3368" s="28" t="str">
        <f aca="false">IF(OR($D3368="",$E3368=""),"",IFERROR($D3368*INDEX(Setup!$B$27:$B$44,MATCH($E3368,Setup!$A$27:$A$44,0)),"TBD"))</f>
        <v/>
      </c>
      <c r="G3368" s="32"/>
      <c r="H3368" s="32"/>
      <c r="I3368" s="32"/>
      <c r="J3368" s="32"/>
      <c r="K3368" s="35"/>
      <c r="L3368" s="32"/>
      <c r="M3368" s="32"/>
    </row>
    <row r="3369" customFormat="false" ht="15" hidden="false" customHeight="true" outlineLevel="0" collapsed="false">
      <c r="A3369" s="32"/>
      <c r="B3369" s="32"/>
      <c r="C3369" s="32"/>
      <c r="D3369" s="32"/>
      <c r="E3369" s="34" t="str">
        <f aca="false">IF($B3369="","",IF($B3369="OUT","Liters",IFERROR(INDEX(Setup!$F$3:$F$24,MATCH($C3369,Setup!$A$3:$A$24,0)),"")))</f>
        <v/>
      </c>
      <c r="F3369" s="28" t="str">
        <f aca="false">IF(OR($D3369="",$E3369=""),"",IFERROR($D3369*INDEX(Setup!$B$27:$B$44,MATCH($E3369,Setup!$A$27:$A$44,0)),"TBD"))</f>
        <v/>
      </c>
      <c r="G3369" s="32"/>
      <c r="H3369" s="32"/>
      <c r="I3369" s="32"/>
      <c r="J3369" s="32"/>
      <c r="K3369" s="35"/>
      <c r="L3369" s="32"/>
      <c r="M3369" s="32"/>
    </row>
    <row r="3370" customFormat="false" ht="15" hidden="false" customHeight="true" outlineLevel="0" collapsed="false">
      <c r="A3370" s="32"/>
      <c r="B3370" s="32"/>
      <c r="C3370" s="32"/>
      <c r="D3370" s="32"/>
      <c r="E3370" s="34" t="str">
        <f aca="false">IF($B3370="","",IF($B3370="OUT","Liters",IFERROR(INDEX(Setup!$F$3:$F$24,MATCH($C3370,Setup!$A$3:$A$24,0)),"")))</f>
        <v/>
      </c>
      <c r="F3370" s="28" t="str">
        <f aca="false">IF(OR($D3370="",$E3370=""),"",IFERROR($D3370*INDEX(Setup!$B$27:$B$44,MATCH($E3370,Setup!$A$27:$A$44,0)),"TBD"))</f>
        <v/>
      </c>
      <c r="G3370" s="32"/>
      <c r="H3370" s="32"/>
      <c r="I3370" s="32"/>
      <c r="J3370" s="32"/>
      <c r="K3370" s="35"/>
      <c r="L3370" s="32"/>
      <c r="M3370" s="32"/>
    </row>
    <row r="3371" customFormat="false" ht="15" hidden="false" customHeight="true" outlineLevel="0" collapsed="false">
      <c r="A3371" s="32"/>
      <c r="B3371" s="32"/>
      <c r="C3371" s="32"/>
      <c r="D3371" s="32"/>
      <c r="E3371" s="34" t="str">
        <f aca="false">IF($B3371="","",IF($B3371="OUT","Liters",IFERROR(INDEX(Setup!$F$3:$F$24,MATCH($C3371,Setup!$A$3:$A$24,0)),"")))</f>
        <v/>
      </c>
      <c r="F3371" s="28" t="str">
        <f aca="false">IF(OR($D3371="",$E3371=""),"",IFERROR($D3371*INDEX(Setup!$B$27:$B$44,MATCH($E3371,Setup!$A$27:$A$44,0)),"TBD"))</f>
        <v/>
      </c>
      <c r="G3371" s="32"/>
      <c r="H3371" s="32"/>
      <c r="I3371" s="32"/>
      <c r="J3371" s="32"/>
      <c r="K3371" s="35"/>
      <c r="L3371" s="32"/>
      <c r="M3371" s="32"/>
    </row>
    <row r="3372" customFormat="false" ht="15" hidden="false" customHeight="true" outlineLevel="0" collapsed="false">
      <c r="A3372" s="32"/>
      <c r="B3372" s="32"/>
      <c r="C3372" s="32"/>
      <c r="D3372" s="32"/>
      <c r="E3372" s="34" t="str">
        <f aca="false">IF($B3372="","",IF($B3372="OUT","Liters",IFERROR(INDEX(Setup!$F$3:$F$24,MATCH($C3372,Setup!$A$3:$A$24,0)),"")))</f>
        <v/>
      </c>
      <c r="F3372" s="28" t="str">
        <f aca="false">IF(OR($D3372="",$E3372=""),"",IFERROR($D3372*INDEX(Setup!$B$27:$B$44,MATCH($E3372,Setup!$A$27:$A$44,0)),"TBD"))</f>
        <v/>
      </c>
      <c r="G3372" s="32"/>
      <c r="H3372" s="32"/>
      <c r="I3372" s="32"/>
      <c r="J3372" s="32"/>
      <c r="K3372" s="35"/>
      <c r="L3372" s="32"/>
      <c r="M3372" s="32"/>
    </row>
    <row r="3373" customFormat="false" ht="15" hidden="false" customHeight="true" outlineLevel="0" collapsed="false">
      <c r="A3373" s="32"/>
      <c r="B3373" s="32"/>
      <c r="C3373" s="32"/>
      <c r="D3373" s="32"/>
      <c r="E3373" s="34" t="str">
        <f aca="false">IF($B3373="","",IF($B3373="OUT","Liters",IFERROR(INDEX(Setup!$F$3:$F$24,MATCH($C3373,Setup!$A$3:$A$24,0)),"")))</f>
        <v/>
      </c>
      <c r="F3373" s="28" t="str">
        <f aca="false">IF(OR($D3373="",$E3373=""),"",IFERROR($D3373*INDEX(Setup!$B$27:$B$44,MATCH($E3373,Setup!$A$27:$A$44,0)),"TBD"))</f>
        <v/>
      </c>
      <c r="G3373" s="32"/>
      <c r="H3373" s="32"/>
      <c r="I3373" s="32"/>
      <c r="J3373" s="32"/>
      <c r="K3373" s="35"/>
      <c r="L3373" s="32"/>
      <c r="M3373" s="32"/>
    </row>
    <row r="3374" customFormat="false" ht="15" hidden="false" customHeight="true" outlineLevel="0" collapsed="false">
      <c r="A3374" s="32"/>
      <c r="B3374" s="32"/>
      <c r="C3374" s="32"/>
      <c r="D3374" s="32"/>
      <c r="E3374" s="34" t="str">
        <f aca="false">IF($B3374="","",IF($B3374="OUT","Liters",IFERROR(INDEX(Setup!$F$3:$F$24,MATCH($C3374,Setup!$A$3:$A$24,0)),"")))</f>
        <v/>
      </c>
      <c r="F3374" s="28" t="str">
        <f aca="false">IF(OR($D3374="",$E3374=""),"",IFERROR($D3374*INDEX(Setup!$B$27:$B$44,MATCH($E3374,Setup!$A$27:$A$44,0)),"TBD"))</f>
        <v/>
      </c>
      <c r="G3374" s="32"/>
      <c r="H3374" s="32"/>
      <c r="I3374" s="32"/>
      <c r="J3374" s="32"/>
      <c r="K3374" s="35"/>
      <c r="L3374" s="32"/>
      <c r="M3374" s="32"/>
    </row>
    <row r="3375" customFormat="false" ht="15" hidden="false" customHeight="true" outlineLevel="0" collapsed="false">
      <c r="A3375" s="32"/>
      <c r="B3375" s="32"/>
      <c r="C3375" s="32"/>
      <c r="D3375" s="32"/>
      <c r="E3375" s="34" t="str">
        <f aca="false">IF($B3375="","",IF($B3375="OUT","Liters",IFERROR(INDEX(Setup!$F$3:$F$24,MATCH($C3375,Setup!$A$3:$A$24,0)),"")))</f>
        <v/>
      </c>
      <c r="F3375" s="28" t="str">
        <f aca="false">IF(OR($D3375="",$E3375=""),"",IFERROR($D3375*INDEX(Setup!$B$27:$B$44,MATCH($E3375,Setup!$A$27:$A$44,0)),"TBD"))</f>
        <v/>
      </c>
      <c r="G3375" s="32"/>
      <c r="H3375" s="32"/>
      <c r="I3375" s="32"/>
      <c r="J3375" s="32"/>
      <c r="K3375" s="35"/>
      <c r="L3375" s="32"/>
      <c r="M3375" s="32"/>
    </row>
    <row r="3376" customFormat="false" ht="15" hidden="false" customHeight="true" outlineLevel="0" collapsed="false">
      <c r="A3376" s="32"/>
      <c r="B3376" s="32"/>
      <c r="C3376" s="32"/>
      <c r="D3376" s="32"/>
      <c r="E3376" s="34" t="str">
        <f aca="false">IF($B3376="","",IF($B3376="OUT","Liters",IFERROR(INDEX(Setup!$F$3:$F$24,MATCH($C3376,Setup!$A$3:$A$24,0)),"")))</f>
        <v/>
      </c>
      <c r="F3376" s="28" t="str">
        <f aca="false">IF(OR($D3376="",$E3376=""),"",IFERROR($D3376*INDEX(Setup!$B$27:$B$44,MATCH($E3376,Setup!$A$27:$A$44,0)),"TBD"))</f>
        <v/>
      </c>
      <c r="G3376" s="32"/>
      <c r="H3376" s="32"/>
      <c r="I3376" s="32"/>
      <c r="J3376" s="32"/>
      <c r="K3376" s="35"/>
      <c r="L3376" s="32"/>
      <c r="M3376" s="32"/>
    </row>
    <row r="3377" customFormat="false" ht="15" hidden="false" customHeight="true" outlineLevel="0" collapsed="false">
      <c r="A3377" s="32"/>
      <c r="B3377" s="32"/>
      <c r="C3377" s="32"/>
      <c r="D3377" s="32"/>
      <c r="E3377" s="34" t="str">
        <f aca="false">IF($B3377="","",IF($B3377="OUT","Liters",IFERROR(INDEX(Setup!$F$3:$F$24,MATCH($C3377,Setup!$A$3:$A$24,0)),"")))</f>
        <v/>
      </c>
      <c r="F3377" s="28" t="str">
        <f aca="false">IF(OR($D3377="",$E3377=""),"",IFERROR($D3377*INDEX(Setup!$B$27:$B$44,MATCH($E3377,Setup!$A$27:$A$44,0)),"TBD"))</f>
        <v/>
      </c>
      <c r="G3377" s="32"/>
      <c r="H3377" s="32"/>
      <c r="I3377" s="32"/>
      <c r="J3377" s="32"/>
      <c r="K3377" s="35"/>
      <c r="L3377" s="32"/>
      <c r="M3377" s="32"/>
    </row>
    <row r="3378" customFormat="false" ht="15" hidden="false" customHeight="true" outlineLevel="0" collapsed="false">
      <c r="A3378" s="32"/>
      <c r="B3378" s="32"/>
      <c r="C3378" s="32"/>
      <c r="D3378" s="32"/>
      <c r="E3378" s="34" t="str">
        <f aca="false">IF($B3378="","",IF($B3378="OUT","Liters",IFERROR(INDEX(Setup!$F$3:$F$24,MATCH($C3378,Setup!$A$3:$A$24,0)),"")))</f>
        <v/>
      </c>
      <c r="F3378" s="28" t="str">
        <f aca="false">IF(OR($D3378="",$E3378=""),"",IFERROR($D3378*INDEX(Setup!$B$27:$B$44,MATCH($E3378,Setup!$A$27:$A$44,0)),"TBD"))</f>
        <v/>
      </c>
      <c r="G3378" s="32"/>
      <c r="H3378" s="32"/>
      <c r="I3378" s="32"/>
      <c r="J3378" s="32"/>
      <c r="K3378" s="35"/>
      <c r="L3378" s="32"/>
      <c r="M3378" s="32"/>
    </row>
    <row r="3379" customFormat="false" ht="15" hidden="false" customHeight="true" outlineLevel="0" collapsed="false">
      <c r="A3379" s="32"/>
      <c r="B3379" s="32"/>
      <c r="C3379" s="32"/>
      <c r="D3379" s="32"/>
      <c r="E3379" s="34" t="str">
        <f aca="false">IF($B3379="","",IF($B3379="OUT","Liters",IFERROR(INDEX(Setup!$F$3:$F$24,MATCH($C3379,Setup!$A$3:$A$24,0)),"")))</f>
        <v/>
      </c>
      <c r="F3379" s="28" t="str">
        <f aca="false">IF(OR($D3379="",$E3379=""),"",IFERROR($D3379*INDEX(Setup!$B$27:$B$44,MATCH($E3379,Setup!$A$27:$A$44,0)),"TBD"))</f>
        <v/>
      </c>
      <c r="G3379" s="32"/>
      <c r="H3379" s="32"/>
      <c r="I3379" s="32"/>
      <c r="J3379" s="32"/>
      <c r="K3379" s="35"/>
      <c r="L3379" s="32"/>
      <c r="M3379" s="32"/>
    </row>
    <row r="3380" customFormat="false" ht="15" hidden="false" customHeight="true" outlineLevel="0" collapsed="false">
      <c r="A3380" s="32"/>
      <c r="B3380" s="32"/>
      <c r="C3380" s="32"/>
      <c r="D3380" s="32"/>
      <c r="E3380" s="34" t="str">
        <f aca="false">IF($B3380="","",IF($B3380="OUT","Liters",IFERROR(INDEX(Setup!$F$3:$F$24,MATCH($C3380,Setup!$A$3:$A$24,0)),"")))</f>
        <v/>
      </c>
      <c r="F3380" s="28" t="str">
        <f aca="false">IF(OR($D3380="",$E3380=""),"",IFERROR($D3380*INDEX(Setup!$B$27:$B$44,MATCH($E3380,Setup!$A$27:$A$44,0)),"TBD"))</f>
        <v/>
      </c>
      <c r="G3380" s="32"/>
      <c r="H3380" s="32"/>
      <c r="I3380" s="32"/>
      <c r="J3380" s="32"/>
      <c r="K3380" s="35"/>
      <c r="L3380" s="32"/>
      <c r="M3380" s="32"/>
    </row>
    <row r="3381" customFormat="false" ht="15" hidden="false" customHeight="true" outlineLevel="0" collapsed="false">
      <c r="A3381" s="32"/>
      <c r="B3381" s="32"/>
      <c r="C3381" s="32"/>
      <c r="D3381" s="32"/>
      <c r="E3381" s="34" t="str">
        <f aca="false">IF($B3381="","",IF($B3381="OUT","Liters",IFERROR(INDEX(Setup!$F$3:$F$24,MATCH($C3381,Setup!$A$3:$A$24,0)),"")))</f>
        <v/>
      </c>
      <c r="F3381" s="28" t="str">
        <f aca="false">IF(OR($D3381="",$E3381=""),"",IFERROR($D3381*INDEX(Setup!$B$27:$B$44,MATCH($E3381,Setup!$A$27:$A$44,0)),"TBD"))</f>
        <v/>
      </c>
      <c r="G3381" s="32"/>
      <c r="H3381" s="32"/>
      <c r="I3381" s="32"/>
      <c r="J3381" s="32"/>
      <c r="K3381" s="35"/>
      <c r="L3381" s="32"/>
      <c r="M3381" s="32"/>
    </row>
    <row r="3382" customFormat="false" ht="15" hidden="false" customHeight="true" outlineLevel="0" collapsed="false">
      <c r="A3382" s="32"/>
      <c r="B3382" s="32"/>
      <c r="C3382" s="32"/>
      <c r="D3382" s="32"/>
      <c r="E3382" s="34" t="str">
        <f aca="false">IF($B3382="","",IF($B3382="OUT","Liters",IFERROR(INDEX(Setup!$F$3:$F$24,MATCH($C3382,Setup!$A$3:$A$24,0)),"")))</f>
        <v/>
      </c>
      <c r="F3382" s="28" t="str">
        <f aca="false">IF(OR($D3382="",$E3382=""),"",IFERROR($D3382*INDEX(Setup!$B$27:$B$44,MATCH($E3382,Setup!$A$27:$A$44,0)),"TBD"))</f>
        <v/>
      </c>
      <c r="G3382" s="32"/>
      <c r="H3382" s="32"/>
      <c r="I3382" s="32"/>
      <c r="J3382" s="32"/>
      <c r="K3382" s="35"/>
      <c r="L3382" s="32"/>
      <c r="M3382" s="32"/>
    </row>
    <row r="3383" customFormat="false" ht="15" hidden="false" customHeight="true" outlineLevel="0" collapsed="false">
      <c r="A3383" s="32"/>
      <c r="B3383" s="32"/>
      <c r="C3383" s="32"/>
      <c r="D3383" s="32"/>
      <c r="E3383" s="34" t="str">
        <f aca="false">IF($B3383="","",IF($B3383="OUT","Liters",IFERROR(INDEX(Setup!$F$3:$F$24,MATCH($C3383,Setup!$A$3:$A$24,0)),"")))</f>
        <v/>
      </c>
      <c r="F3383" s="28" t="str">
        <f aca="false">IF(OR($D3383="",$E3383=""),"",IFERROR($D3383*INDEX(Setup!$B$27:$B$44,MATCH($E3383,Setup!$A$27:$A$44,0)),"TBD"))</f>
        <v/>
      </c>
      <c r="G3383" s="32"/>
      <c r="H3383" s="32"/>
      <c r="I3383" s="32"/>
      <c r="J3383" s="32"/>
      <c r="K3383" s="35"/>
      <c r="L3383" s="32"/>
      <c r="M3383" s="32"/>
    </row>
    <row r="3384" customFormat="false" ht="15" hidden="false" customHeight="true" outlineLevel="0" collapsed="false">
      <c r="A3384" s="32"/>
      <c r="B3384" s="32"/>
      <c r="C3384" s="32"/>
      <c r="D3384" s="32"/>
      <c r="E3384" s="34" t="str">
        <f aca="false">IF($B3384="","",IF($B3384="OUT","Liters",IFERROR(INDEX(Setup!$F$3:$F$24,MATCH($C3384,Setup!$A$3:$A$24,0)),"")))</f>
        <v/>
      </c>
      <c r="F3384" s="28" t="str">
        <f aca="false">IF(OR($D3384="",$E3384=""),"",IFERROR($D3384*INDEX(Setup!$B$27:$B$44,MATCH($E3384,Setup!$A$27:$A$44,0)),"TBD"))</f>
        <v/>
      </c>
      <c r="G3384" s="32"/>
      <c r="H3384" s="32"/>
      <c r="I3384" s="32"/>
      <c r="J3384" s="32"/>
      <c r="K3384" s="35"/>
      <c r="L3384" s="32"/>
      <c r="M3384" s="32"/>
    </row>
    <row r="3385" customFormat="false" ht="15" hidden="false" customHeight="true" outlineLevel="0" collapsed="false">
      <c r="A3385" s="32"/>
      <c r="B3385" s="32"/>
      <c r="C3385" s="32"/>
      <c r="D3385" s="32"/>
      <c r="E3385" s="34" t="str">
        <f aca="false">IF($B3385="","",IF($B3385="OUT","Liters",IFERROR(INDEX(Setup!$F$3:$F$24,MATCH($C3385,Setup!$A$3:$A$24,0)),"")))</f>
        <v/>
      </c>
      <c r="F3385" s="28" t="str">
        <f aca="false">IF(OR($D3385="",$E3385=""),"",IFERROR($D3385*INDEX(Setup!$B$27:$B$44,MATCH($E3385,Setup!$A$27:$A$44,0)),"TBD"))</f>
        <v/>
      </c>
      <c r="G3385" s="32"/>
      <c r="H3385" s="32"/>
      <c r="I3385" s="32"/>
      <c r="J3385" s="32"/>
      <c r="K3385" s="35"/>
      <c r="L3385" s="32"/>
      <c r="M3385" s="32"/>
    </row>
    <row r="3386" customFormat="false" ht="15" hidden="false" customHeight="true" outlineLevel="0" collapsed="false">
      <c r="A3386" s="32"/>
      <c r="B3386" s="32"/>
      <c r="C3386" s="32"/>
      <c r="D3386" s="32"/>
      <c r="E3386" s="34" t="str">
        <f aca="false">IF($B3386="","",IF($B3386="OUT","Liters",IFERROR(INDEX(Setup!$F$3:$F$24,MATCH($C3386,Setup!$A$3:$A$24,0)),"")))</f>
        <v/>
      </c>
      <c r="F3386" s="28" t="str">
        <f aca="false">IF(OR($D3386="",$E3386=""),"",IFERROR($D3386*INDEX(Setup!$B$27:$B$44,MATCH($E3386,Setup!$A$27:$A$44,0)),"TBD"))</f>
        <v/>
      </c>
      <c r="G3386" s="32"/>
      <c r="H3386" s="32"/>
      <c r="I3386" s="32"/>
      <c r="J3386" s="32"/>
      <c r="K3386" s="35"/>
      <c r="L3386" s="32"/>
      <c r="M3386" s="32"/>
    </row>
    <row r="3387" customFormat="false" ht="15" hidden="false" customHeight="true" outlineLevel="0" collapsed="false">
      <c r="A3387" s="32"/>
      <c r="B3387" s="32"/>
      <c r="C3387" s="32"/>
      <c r="D3387" s="32"/>
      <c r="E3387" s="34" t="str">
        <f aca="false">IF($B3387="","",IF($B3387="OUT","Liters",IFERROR(INDEX(Setup!$F$3:$F$24,MATCH($C3387,Setup!$A$3:$A$24,0)),"")))</f>
        <v/>
      </c>
      <c r="F3387" s="28" t="str">
        <f aca="false">IF(OR($D3387="",$E3387=""),"",IFERROR($D3387*INDEX(Setup!$B$27:$B$44,MATCH($E3387,Setup!$A$27:$A$44,0)),"TBD"))</f>
        <v/>
      </c>
      <c r="G3387" s="32"/>
      <c r="H3387" s="32"/>
      <c r="I3387" s="32"/>
      <c r="J3387" s="32"/>
      <c r="K3387" s="35"/>
      <c r="L3387" s="32"/>
      <c r="M3387" s="32"/>
    </row>
    <row r="3388" customFormat="false" ht="15" hidden="false" customHeight="true" outlineLevel="0" collapsed="false">
      <c r="A3388" s="32"/>
      <c r="B3388" s="32"/>
      <c r="C3388" s="32"/>
      <c r="D3388" s="32"/>
      <c r="E3388" s="34" t="str">
        <f aca="false">IF($B3388="","",IF($B3388="OUT","Liters",IFERROR(INDEX(Setup!$F$3:$F$24,MATCH($C3388,Setup!$A$3:$A$24,0)),"")))</f>
        <v/>
      </c>
      <c r="F3388" s="28" t="str">
        <f aca="false">IF(OR($D3388="",$E3388=""),"",IFERROR($D3388*INDEX(Setup!$B$27:$B$44,MATCH($E3388,Setup!$A$27:$A$44,0)),"TBD"))</f>
        <v/>
      </c>
      <c r="G3388" s="32"/>
      <c r="H3388" s="32"/>
      <c r="I3388" s="32"/>
      <c r="J3388" s="32"/>
      <c r="K3388" s="35"/>
      <c r="L3388" s="32"/>
      <c r="M3388" s="32"/>
    </row>
    <row r="3389" customFormat="false" ht="15" hidden="false" customHeight="true" outlineLevel="0" collapsed="false">
      <c r="A3389" s="32"/>
      <c r="B3389" s="32"/>
      <c r="C3389" s="32"/>
      <c r="D3389" s="32"/>
      <c r="E3389" s="34" t="str">
        <f aca="false">IF($B3389="","",IF($B3389="OUT","Liters",IFERROR(INDEX(Setup!$F$3:$F$24,MATCH($C3389,Setup!$A$3:$A$24,0)),"")))</f>
        <v/>
      </c>
      <c r="F3389" s="28" t="str">
        <f aca="false">IF(OR($D3389="",$E3389=""),"",IFERROR($D3389*INDEX(Setup!$B$27:$B$44,MATCH($E3389,Setup!$A$27:$A$44,0)),"TBD"))</f>
        <v/>
      </c>
      <c r="G3389" s="32"/>
      <c r="H3389" s="32"/>
      <c r="I3389" s="32"/>
      <c r="J3389" s="32"/>
      <c r="K3389" s="35"/>
      <c r="L3389" s="32"/>
      <c r="M3389" s="32"/>
    </row>
    <row r="3390" customFormat="false" ht="15" hidden="false" customHeight="true" outlineLevel="0" collapsed="false">
      <c r="A3390" s="32"/>
      <c r="B3390" s="32"/>
      <c r="C3390" s="32"/>
      <c r="D3390" s="32"/>
      <c r="E3390" s="34" t="str">
        <f aca="false">IF($B3390="","",IF($B3390="OUT","Liters",IFERROR(INDEX(Setup!$F$3:$F$24,MATCH($C3390,Setup!$A$3:$A$24,0)),"")))</f>
        <v/>
      </c>
      <c r="F3390" s="28" t="str">
        <f aca="false">IF(OR($D3390="",$E3390=""),"",IFERROR($D3390*INDEX(Setup!$B$27:$B$44,MATCH($E3390,Setup!$A$27:$A$44,0)),"TBD"))</f>
        <v/>
      </c>
      <c r="G3390" s="32"/>
      <c r="H3390" s="32"/>
      <c r="I3390" s="32"/>
      <c r="J3390" s="32"/>
      <c r="K3390" s="35"/>
      <c r="L3390" s="32"/>
      <c r="M3390" s="32"/>
    </row>
    <row r="3391" customFormat="false" ht="15" hidden="false" customHeight="true" outlineLevel="0" collapsed="false">
      <c r="A3391" s="32"/>
      <c r="B3391" s="32"/>
      <c r="C3391" s="32"/>
      <c r="D3391" s="32"/>
      <c r="E3391" s="34" t="str">
        <f aca="false">IF($B3391="","",IF($B3391="OUT","Liters",IFERROR(INDEX(Setup!$F$3:$F$24,MATCH($C3391,Setup!$A$3:$A$24,0)),"")))</f>
        <v/>
      </c>
      <c r="F3391" s="28" t="str">
        <f aca="false">IF(OR($D3391="",$E3391=""),"",IFERROR($D3391*INDEX(Setup!$B$27:$B$44,MATCH($E3391,Setup!$A$27:$A$44,0)),"TBD"))</f>
        <v/>
      </c>
      <c r="G3391" s="32"/>
      <c r="H3391" s="32"/>
      <c r="I3391" s="32"/>
      <c r="J3391" s="32"/>
      <c r="K3391" s="35"/>
      <c r="L3391" s="32"/>
      <c r="M3391" s="32"/>
    </row>
    <row r="3392" customFormat="false" ht="15" hidden="false" customHeight="true" outlineLevel="0" collapsed="false">
      <c r="A3392" s="32"/>
      <c r="B3392" s="32"/>
      <c r="C3392" s="32"/>
      <c r="D3392" s="32"/>
      <c r="E3392" s="34" t="str">
        <f aca="false">IF($B3392="","",IF($B3392="OUT","Liters",IFERROR(INDEX(Setup!$F$3:$F$24,MATCH($C3392,Setup!$A$3:$A$24,0)),"")))</f>
        <v/>
      </c>
      <c r="F3392" s="28" t="str">
        <f aca="false">IF(OR($D3392="",$E3392=""),"",IFERROR($D3392*INDEX(Setup!$B$27:$B$44,MATCH($E3392,Setup!$A$27:$A$44,0)),"TBD"))</f>
        <v/>
      </c>
      <c r="G3392" s="32"/>
      <c r="H3392" s="32"/>
      <c r="I3392" s="32"/>
      <c r="J3392" s="32"/>
      <c r="K3392" s="35"/>
      <c r="L3392" s="32"/>
      <c r="M3392" s="32"/>
    </row>
    <row r="3393" customFormat="false" ht="15" hidden="false" customHeight="true" outlineLevel="0" collapsed="false">
      <c r="A3393" s="32"/>
      <c r="B3393" s="32"/>
      <c r="C3393" s="32"/>
      <c r="D3393" s="32"/>
      <c r="E3393" s="34" t="str">
        <f aca="false">IF($B3393="","",IF($B3393="OUT","Liters",IFERROR(INDEX(Setup!$F$3:$F$24,MATCH($C3393,Setup!$A$3:$A$24,0)),"")))</f>
        <v/>
      </c>
      <c r="F3393" s="28" t="str">
        <f aca="false">IF(OR($D3393="",$E3393=""),"",IFERROR($D3393*INDEX(Setup!$B$27:$B$44,MATCH($E3393,Setup!$A$27:$A$44,0)),"TBD"))</f>
        <v/>
      </c>
      <c r="G3393" s="32"/>
      <c r="H3393" s="32"/>
      <c r="I3393" s="32"/>
      <c r="J3393" s="32"/>
      <c r="K3393" s="35"/>
      <c r="L3393" s="32"/>
      <c r="M3393" s="32"/>
    </row>
    <row r="3394" customFormat="false" ht="15" hidden="false" customHeight="true" outlineLevel="0" collapsed="false">
      <c r="A3394" s="32"/>
      <c r="B3394" s="32"/>
      <c r="C3394" s="32"/>
      <c r="D3394" s="32"/>
      <c r="E3394" s="34" t="str">
        <f aca="false">IF($B3394="","",IF($B3394="OUT","Liters",IFERROR(INDEX(Setup!$F$3:$F$24,MATCH($C3394,Setup!$A$3:$A$24,0)),"")))</f>
        <v/>
      </c>
      <c r="F3394" s="28" t="str">
        <f aca="false">IF(OR($D3394="",$E3394=""),"",IFERROR($D3394*INDEX(Setup!$B$27:$B$44,MATCH($E3394,Setup!$A$27:$A$44,0)),"TBD"))</f>
        <v/>
      </c>
      <c r="G3394" s="32"/>
      <c r="H3394" s="32"/>
      <c r="I3394" s="32"/>
      <c r="J3394" s="32"/>
      <c r="K3394" s="35"/>
      <c r="L3394" s="32"/>
      <c r="M3394" s="32"/>
    </row>
    <row r="3395" customFormat="false" ht="15" hidden="false" customHeight="true" outlineLevel="0" collapsed="false">
      <c r="A3395" s="32"/>
      <c r="B3395" s="32"/>
      <c r="C3395" s="32"/>
      <c r="D3395" s="32"/>
      <c r="E3395" s="34" t="str">
        <f aca="false">IF($B3395="","",IF($B3395="OUT","Liters",IFERROR(INDEX(Setup!$F$3:$F$24,MATCH($C3395,Setup!$A$3:$A$24,0)),"")))</f>
        <v/>
      </c>
      <c r="F3395" s="28" t="str">
        <f aca="false">IF(OR($D3395="",$E3395=""),"",IFERROR($D3395*INDEX(Setup!$B$27:$B$44,MATCH($E3395,Setup!$A$27:$A$44,0)),"TBD"))</f>
        <v/>
      </c>
      <c r="G3395" s="32"/>
      <c r="H3395" s="32"/>
      <c r="I3395" s="32"/>
      <c r="J3395" s="32"/>
      <c r="K3395" s="35"/>
      <c r="L3395" s="32"/>
      <c r="M3395" s="32"/>
    </row>
    <row r="3396" customFormat="false" ht="15" hidden="false" customHeight="true" outlineLevel="0" collapsed="false">
      <c r="A3396" s="32"/>
      <c r="B3396" s="32"/>
      <c r="C3396" s="32"/>
      <c r="D3396" s="32"/>
      <c r="E3396" s="34" t="str">
        <f aca="false">IF($B3396="","",IF($B3396="OUT","Liters",IFERROR(INDEX(Setup!$F$3:$F$24,MATCH($C3396,Setup!$A$3:$A$24,0)),"")))</f>
        <v/>
      </c>
      <c r="F3396" s="28" t="str">
        <f aca="false">IF(OR($D3396="",$E3396=""),"",IFERROR($D3396*INDEX(Setup!$B$27:$B$44,MATCH($E3396,Setup!$A$27:$A$44,0)),"TBD"))</f>
        <v/>
      </c>
      <c r="G3396" s="32"/>
      <c r="H3396" s="32"/>
      <c r="I3396" s="32"/>
      <c r="J3396" s="32"/>
      <c r="K3396" s="35"/>
      <c r="L3396" s="32"/>
      <c r="M3396" s="32"/>
    </row>
    <row r="3397" customFormat="false" ht="15" hidden="false" customHeight="true" outlineLevel="0" collapsed="false">
      <c r="A3397" s="32"/>
      <c r="B3397" s="32"/>
      <c r="C3397" s="32"/>
      <c r="D3397" s="32"/>
      <c r="E3397" s="34" t="str">
        <f aca="false">IF($B3397="","",IF($B3397="OUT","Liters",IFERROR(INDEX(Setup!$F$3:$F$24,MATCH($C3397,Setup!$A$3:$A$24,0)),"")))</f>
        <v/>
      </c>
      <c r="F3397" s="28" t="str">
        <f aca="false">IF(OR($D3397="",$E3397=""),"",IFERROR($D3397*INDEX(Setup!$B$27:$B$44,MATCH($E3397,Setup!$A$27:$A$44,0)),"TBD"))</f>
        <v/>
      </c>
      <c r="G3397" s="32"/>
      <c r="H3397" s="32"/>
      <c r="I3397" s="32"/>
      <c r="J3397" s="32"/>
      <c r="K3397" s="35"/>
      <c r="L3397" s="32"/>
      <c r="M3397" s="32"/>
    </row>
    <row r="3398" customFormat="false" ht="15" hidden="false" customHeight="true" outlineLevel="0" collapsed="false">
      <c r="A3398" s="32"/>
      <c r="B3398" s="32"/>
      <c r="C3398" s="32"/>
      <c r="D3398" s="32"/>
      <c r="E3398" s="34" t="str">
        <f aca="false">IF($B3398="","",IF($B3398="OUT","Liters",IFERROR(INDEX(Setup!$F$3:$F$24,MATCH($C3398,Setup!$A$3:$A$24,0)),"")))</f>
        <v/>
      </c>
      <c r="F3398" s="28" t="str">
        <f aca="false">IF(OR($D3398="",$E3398=""),"",IFERROR($D3398*INDEX(Setup!$B$27:$B$44,MATCH($E3398,Setup!$A$27:$A$44,0)),"TBD"))</f>
        <v/>
      </c>
      <c r="G3398" s="32"/>
      <c r="H3398" s="32"/>
      <c r="I3398" s="32"/>
      <c r="J3398" s="32"/>
      <c r="K3398" s="35"/>
      <c r="L3398" s="32"/>
      <c r="M3398" s="32"/>
    </row>
    <row r="3399" customFormat="false" ht="15" hidden="false" customHeight="true" outlineLevel="0" collapsed="false">
      <c r="A3399" s="32"/>
      <c r="B3399" s="32"/>
      <c r="C3399" s="32"/>
      <c r="D3399" s="32"/>
      <c r="E3399" s="34" t="str">
        <f aca="false">IF($B3399="","",IF($B3399="OUT","Liters",IFERROR(INDEX(Setup!$F$3:$F$24,MATCH($C3399,Setup!$A$3:$A$24,0)),"")))</f>
        <v/>
      </c>
      <c r="F3399" s="28" t="str">
        <f aca="false">IF(OR($D3399="",$E3399=""),"",IFERROR($D3399*INDEX(Setup!$B$27:$B$44,MATCH($E3399,Setup!$A$27:$A$44,0)),"TBD"))</f>
        <v/>
      </c>
      <c r="G3399" s="32"/>
      <c r="H3399" s="32"/>
      <c r="I3399" s="32"/>
      <c r="J3399" s="32"/>
      <c r="K3399" s="35"/>
      <c r="L3399" s="32"/>
      <c r="M3399" s="32"/>
    </row>
    <row r="3400" customFormat="false" ht="15" hidden="false" customHeight="true" outlineLevel="0" collapsed="false">
      <c r="A3400" s="32"/>
      <c r="B3400" s="32"/>
      <c r="C3400" s="32"/>
      <c r="D3400" s="32"/>
      <c r="E3400" s="34" t="str">
        <f aca="false">IF($B3400="","",IF($B3400="OUT","Liters",IFERROR(INDEX(Setup!$F$3:$F$24,MATCH($C3400,Setup!$A$3:$A$24,0)),"")))</f>
        <v/>
      </c>
      <c r="F3400" s="28" t="str">
        <f aca="false">IF(OR($D3400="",$E3400=""),"",IFERROR($D3400*INDEX(Setup!$B$27:$B$44,MATCH($E3400,Setup!$A$27:$A$44,0)),"TBD"))</f>
        <v/>
      </c>
      <c r="G3400" s="32"/>
      <c r="H3400" s="32"/>
      <c r="I3400" s="32"/>
      <c r="J3400" s="32"/>
      <c r="K3400" s="35"/>
      <c r="L3400" s="32"/>
      <c r="M3400" s="32"/>
    </row>
    <row r="3401" customFormat="false" ht="15" hidden="false" customHeight="true" outlineLevel="0" collapsed="false">
      <c r="A3401" s="32"/>
      <c r="B3401" s="32"/>
      <c r="C3401" s="32"/>
      <c r="D3401" s="32"/>
      <c r="E3401" s="34" t="str">
        <f aca="false">IF($B3401="","",IF($B3401="OUT","Liters",IFERROR(INDEX(Setup!$F$3:$F$24,MATCH($C3401,Setup!$A$3:$A$24,0)),"")))</f>
        <v/>
      </c>
      <c r="F3401" s="28" t="str">
        <f aca="false">IF(OR($D3401="",$E3401=""),"",IFERROR($D3401*INDEX(Setup!$B$27:$B$44,MATCH($E3401,Setup!$A$27:$A$44,0)),"TBD"))</f>
        <v/>
      </c>
      <c r="G3401" s="32"/>
      <c r="H3401" s="32"/>
      <c r="I3401" s="32"/>
      <c r="J3401" s="32"/>
      <c r="K3401" s="35"/>
      <c r="L3401" s="32"/>
      <c r="M3401" s="32"/>
    </row>
    <row r="3402" customFormat="false" ht="15" hidden="false" customHeight="true" outlineLevel="0" collapsed="false">
      <c r="A3402" s="32"/>
      <c r="B3402" s="32"/>
      <c r="C3402" s="32"/>
      <c r="D3402" s="32"/>
      <c r="E3402" s="34" t="str">
        <f aca="false">IF($B3402="","",IF($B3402="OUT","Liters",IFERROR(INDEX(Setup!$F$3:$F$24,MATCH($C3402,Setup!$A$3:$A$24,0)),"")))</f>
        <v/>
      </c>
      <c r="F3402" s="28" t="str">
        <f aca="false">IF(OR($D3402="",$E3402=""),"",IFERROR($D3402*INDEX(Setup!$B$27:$B$44,MATCH($E3402,Setup!$A$27:$A$44,0)),"TBD"))</f>
        <v/>
      </c>
      <c r="G3402" s="32"/>
      <c r="H3402" s="32"/>
      <c r="I3402" s="32"/>
      <c r="J3402" s="32"/>
      <c r="K3402" s="35"/>
      <c r="L3402" s="32"/>
      <c r="M3402" s="32"/>
    </row>
    <row r="3403" customFormat="false" ht="15" hidden="false" customHeight="true" outlineLevel="0" collapsed="false">
      <c r="A3403" s="32"/>
      <c r="B3403" s="32"/>
      <c r="C3403" s="32"/>
      <c r="D3403" s="32"/>
      <c r="E3403" s="34" t="str">
        <f aca="false">IF($B3403="","",IF($B3403="OUT","Liters",IFERROR(INDEX(Setup!$F$3:$F$24,MATCH($C3403,Setup!$A$3:$A$24,0)),"")))</f>
        <v/>
      </c>
      <c r="F3403" s="28" t="str">
        <f aca="false">IF(OR($D3403="",$E3403=""),"",IFERROR($D3403*INDEX(Setup!$B$27:$B$44,MATCH($E3403,Setup!$A$27:$A$44,0)),"TBD"))</f>
        <v/>
      </c>
      <c r="G3403" s="32"/>
      <c r="H3403" s="32"/>
      <c r="I3403" s="32"/>
      <c r="J3403" s="32"/>
      <c r="K3403" s="35"/>
      <c r="L3403" s="32"/>
      <c r="M3403" s="32"/>
    </row>
    <row r="3404" customFormat="false" ht="15" hidden="false" customHeight="true" outlineLevel="0" collapsed="false">
      <c r="A3404" s="32"/>
      <c r="B3404" s="32"/>
      <c r="C3404" s="32"/>
      <c r="D3404" s="32"/>
      <c r="E3404" s="34" t="str">
        <f aca="false">IF($B3404="","",IF($B3404="OUT","Liters",IFERROR(INDEX(Setup!$F$3:$F$24,MATCH($C3404,Setup!$A$3:$A$24,0)),"")))</f>
        <v/>
      </c>
      <c r="F3404" s="28" t="str">
        <f aca="false">IF(OR($D3404="",$E3404=""),"",IFERROR($D3404*INDEX(Setup!$B$27:$B$44,MATCH($E3404,Setup!$A$27:$A$44,0)),"TBD"))</f>
        <v/>
      </c>
      <c r="G3404" s="32"/>
      <c r="H3404" s="32"/>
      <c r="I3404" s="32"/>
      <c r="J3404" s="32"/>
      <c r="K3404" s="35"/>
      <c r="L3404" s="32"/>
      <c r="M3404" s="32"/>
    </row>
    <row r="3405" customFormat="false" ht="15" hidden="false" customHeight="true" outlineLevel="0" collapsed="false">
      <c r="A3405" s="32"/>
      <c r="B3405" s="32"/>
      <c r="C3405" s="32"/>
      <c r="D3405" s="32"/>
      <c r="E3405" s="34" t="str">
        <f aca="false">IF($B3405="","",IF($B3405="OUT","Liters",IFERROR(INDEX(Setup!$F$3:$F$24,MATCH($C3405,Setup!$A$3:$A$24,0)),"")))</f>
        <v/>
      </c>
      <c r="F3405" s="28" t="str">
        <f aca="false">IF(OR($D3405="",$E3405=""),"",IFERROR($D3405*INDEX(Setup!$B$27:$B$44,MATCH($E3405,Setup!$A$27:$A$44,0)),"TBD"))</f>
        <v/>
      </c>
      <c r="G3405" s="32"/>
      <c r="H3405" s="32"/>
      <c r="I3405" s="32"/>
      <c r="J3405" s="32"/>
      <c r="K3405" s="35"/>
      <c r="L3405" s="32"/>
      <c r="M3405" s="32"/>
    </row>
    <row r="3406" customFormat="false" ht="15" hidden="false" customHeight="true" outlineLevel="0" collapsed="false">
      <c r="A3406" s="32"/>
      <c r="B3406" s="32"/>
      <c r="C3406" s="32"/>
      <c r="D3406" s="32"/>
      <c r="E3406" s="34" t="str">
        <f aca="false">IF($B3406="","",IF($B3406="OUT","Liters",IFERROR(INDEX(Setup!$F$3:$F$24,MATCH($C3406,Setup!$A$3:$A$24,0)),"")))</f>
        <v/>
      </c>
      <c r="F3406" s="28" t="str">
        <f aca="false">IF(OR($D3406="",$E3406=""),"",IFERROR($D3406*INDEX(Setup!$B$27:$B$44,MATCH($E3406,Setup!$A$27:$A$44,0)),"TBD"))</f>
        <v/>
      </c>
      <c r="G3406" s="32"/>
      <c r="H3406" s="32"/>
      <c r="I3406" s="32"/>
      <c r="J3406" s="32"/>
      <c r="K3406" s="35"/>
      <c r="L3406" s="32"/>
      <c r="M3406" s="32"/>
    </row>
    <row r="3407" customFormat="false" ht="15" hidden="false" customHeight="true" outlineLevel="0" collapsed="false">
      <c r="A3407" s="32"/>
      <c r="B3407" s="32"/>
      <c r="C3407" s="32"/>
      <c r="D3407" s="32"/>
      <c r="E3407" s="34" t="str">
        <f aca="false">IF($B3407="","",IF($B3407="OUT","Liters",IFERROR(INDEX(Setup!$F$3:$F$24,MATCH($C3407,Setup!$A$3:$A$24,0)),"")))</f>
        <v/>
      </c>
      <c r="F3407" s="28" t="str">
        <f aca="false">IF(OR($D3407="",$E3407=""),"",IFERROR($D3407*INDEX(Setup!$B$27:$B$44,MATCH($E3407,Setup!$A$27:$A$44,0)),"TBD"))</f>
        <v/>
      </c>
      <c r="G3407" s="32"/>
      <c r="H3407" s="32"/>
      <c r="I3407" s="32"/>
      <c r="J3407" s="32"/>
      <c r="K3407" s="35"/>
      <c r="L3407" s="32"/>
      <c r="M3407" s="32"/>
    </row>
    <row r="3408" customFormat="false" ht="15" hidden="false" customHeight="true" outlineLevel="0" collapsed="false">
      <c r="A3408" s="32"/>
      <c r="B3408" s="32"/>
      <c r="C3408" s="32"/>
      <c r="D3408" s="32"/>
      <c r="E3408" s="34" t="str">
        <f aca="false">IF($B3408="","",IF($B3408="OUT","Liters",IFERROR(INDEX(Setup!$F$3:$F$24,MATCH($C3408,Setup!$A$3:$A$24,0)),"")))</f>
        <v/>
      </c>
      <c r="F3408" s="28" t="str">
        <f aca="false">IF(OR($D3408="",$E3408=""),"",IFERROR($D3408*INDEX(Setup!$B$27:$B$44,MATCH($E3408,Setup!$A$27:$A$44,0)),"TBD"))</f>
        <v/>
      </c>
      <c r="G3408" s="32"/>
      <c r="H3408" s="32"/>
      <c r="I3408" s="32"/>
      <c r="J3408" s="32"/>
      <c r="K3408" s="35"/>
      <c r="L3408" s="32"/>
      <c r="M3408" s="32"/>
    </row>
    <row r="3409" customFormat="false" ht="15" hidden="false" customHeight="true" outlineLevel="0" collapsed="false">
      <c r="A3409" s="32"/>
      <c r="B3409" s="32"/>
      <c r="C3409" s="32"/>
      <c r="D3409" s="32"/>
      <c r="E3409" s="34" t="str">
        <f aca="false">IF($B3409="","",IF($B3409="OUT","Liters",IFERROR(INDEX(Setup!$F$3:$F$24,MATCH($C3409,Setup!$A$3:$A$24,0)),"")))</f>
        <v/>
      </c>
      <c r="F3409" s="28" t="str">
        <f aca="false">IF(OR($D3409="",$E3409=""),"",IFERROR($D3409*INDEX(Setup!$B$27:$B$44,MATCH($E3409,Setup!$A$27:$A$44,0)),"TBD"))</f>
        <v/>
      </c>
      <c r="G3409" s="32"/>
      <c r="H3409" s="32"/>
      <c r="I3409" s="32"/>
      <c r="J3409" s="32"/>
      <c r="K3409" s="35"/>
      <c r="L3409" s="32"/>
      <c r="M3409" s="32"/>
    </row>
    <row r="3410" customFormat="false" ht="15" hidden="false" customHeight="true" outlineLevel="0" collapsed="false">
      <c r="A3410" s="32"/>
      <c r="B3410" s="32"/>
      <c r="C3410" s="32"/>
      <c r="D3410" s="32"/>
      <c r="E3410" s="34" t="str">
        <f aca="false">IF($B3410="","",IF($B3410="OUT","Liters",IFERROR(INDEX(Setup!$F$3:$F$24,MATCH($C3410,Setup!$A$3:$A$24,0)),"")))</f>
        <v/>
      </c>
      <c r="F3410" s="28" t="str">
        <f aca="false">IF(OR($D3410="",$E3410=""),"",IFERROR($D3410*INDEX(Setup!$B$27:$B$44,MATCH($E3410,Setup!$A$27:$A$44,0)),"TBD"))</f>
        <v/>
      </c>
      <c r="G3410" s="32"/>
      <c r="H3410" s="32"/>
      <c r="I3410" s="32"/>
      <c r="J3410" s="32"/>
      <c r="K3410" s="35"/>
      <c r="L3410" s="32"/>
      <c r="M3410" s="32"/>
    </row>
    <row r="3411" customFormat="false" ht="15" hidden="false" customHeight="true" outlineLevel="0" collapsed="false">
      <c r="A3411" s="32"/>
      <c r="B3411" s="32"/>
      <c r="C3411" s="32"/>
      <c r="D3411" s="32"/>
      <c r="E3411" s="34" t="str">
        <f aca="false">IF($B3411="","",IF($B3411="OUT","Liters",IFERROR(INDEX(Setup!$F$3:$F$24,MATCH($C3411,Setup!$A$3:$A$24,0)),"")))</f>
        <v/>
      </c>
      <c r="F3411" s="28" t="str">
        <f aca="false">IF(OR($D3411="",$E3411=""),"",IFERROR($D3411*INDEX(Setup!$B$27:$B$44,MATCH($E3411,Setup!$A$27:$A$44,0)),"TBD"))</f>
        <v/>
      </c>
      <c r="G3411" s="32"/>
      <c r="H3411" s="32"/>
      <c r="I3411" s="32"/>
      <c r="J3411" s="32"/>
      <c r="K3411" s="35"/>
      <c r="L3411" s="32"/>
      <c r="M3411" s="32"/>
    </row>
    <row r="3412" customFormat="false" ht="15" hidden="false" customHeight="true" outlineLevel="0" collapsed="false">
      <c r="A3412" s="32"/>
      <c r="B3412" s="32"/>
      <c r="C3412" s="32"/>
      <c r="D3412" s="32"/>
      <c r="E3412" s="34" t="str">
        <f aca="false">IF($B3412="","",IF($B3412="OUT","Liters",IFERROR(INDEX(Setup!$F$3:$F$24,MATCH($C3412,Setup!$A$3:$A$24,0)),"")))</f>
        <v/>
      </c>
      <c r="F3412" s="28" t="str">
        <f aca="false">IF(OR($D3412="",$E3412=""),"",IFERROR($D3412*INDEX(Setup!$B$27:$B$44,MATCH($E3412,Setup!$A$27:$A$44,0)),"TBD"))</f>
        <v/>
      </c>
      <c r="G3412" s="32"/>
      <c r="H3412" s="32"/>
      <c r="I3412" s="32"/>
      <c r="J3412" s="32"/>
      <c r="K3412" s="35"/>
      <c r="L3412" s="32"/>
      <c r="M3412" s="32"/>
    </row>
    <row r="3413" customFormat="false" ht="15" hidden="false" customHeight="true" outlineLevel="0" collapsed="false">
      <c r="A3413" s="32"/>
      <c r="B3413" s="32"/>
      <c r="C3413" s="32"/>
      <c r="D3413" s="32"/>
      <c r="E3413" s="34" t="str">
        <f aca="false">IF($B3413="","",IF($B3413="OUT","Liters",IFERROR(INDEX(Setup!$F$3:$F$24,MATCH($C3413,Setup!$A$3:$A$24,0)),"")))</f>
        <v/>
      </c>
      <c r="F3413" s="28" t="str">
        <f aca="false">IF(OR($D3413="",$E3413=""),"",IFERROR($D3413*INDEX(Setup!$B$27:$B$44,MATCH($E3413,Setup!$A$27:$A$44,0)),"TBD"))</f>
        <v/>
      </c>
      <c r="G3413" s="32"/>
      <c r="H3413" s="32"/>
      <c r="I3413" s="32"/>
      <c r="J3413" s="32"/>
      <c r="K3413" s="35"/>
      <c r="L3413" s="32"/>
      <c r="M3413" s="32"/>
    </row>
    <row r="3414" customFormat="false" ht="15" hidden="false" customHeight="true" outlineLevel="0" collapsed="false">
      <c r="A3414" s="32"/>
      <c r="B3414" s="32"/>
      <c r="C3414" s="32"/>
      <c r="D3414" s="32"/>
      <c r="E3414" s="34" t="str">
        <f aca="false">IF($B3414="","",IF($B3414="OUT","Liters",IFERROR(INDEX(Setup!$F$3:$F$24,MATCH($C3414,Setup!$A$3:$A$24,0)),"")))</f>
        <v/>
      </c>
      <c r="F3414" s="28" t="str">
        <f aca="false">IF(OR($D3414="",$E3414=""),"",IFERROR($D3414*INDEX(Setup!$B$27:$B$44,MATCH($E3414,Setup!$A$27:$A$44,0)),"TBD"))</f>
        <v/>
      </c>
      <c r="G3414" s="32"/>
      <c r="H3414" s="32"/>
      <c r="I3414" s="32"/>
      <c r="J3414" s="32"/>
      <c r="K3414" s="35"/>
      <c r="L3414" s="32"/>
      <c r="M3414" s="32"/>
    </row>
    <row r="3415" customFormat="false" ht="15" hidden="false" customHeight="true" outlineLevel="0" collapsed="false">
      <c r="A3415" s="32"/>
      <c r="B3415" s="32"/>
      <c r="C3415" s="32"/>
      <c r="D3415" s="32"/>
      <c r="E3415" s="34" t="str">
        <f aca="false">IF($B3415="","",IF($B3415="OUT","Liters",IFERROR(INDEX(Setup!$F$3:$F$24,MATCH($C3415,Setup!$A$3:$A$24,0)),"")))</f>
        <v/>
      </c>
      <c r="F3415" s="28" t="str">
        <f aca="false">IF(OR($D3415="",$E3415=""),"",IFERROR($D3415*INDEX(Setup!$B$27:$B$44,MATCH($E3415,Setup!$A$27:$A$44,0)),"TBD"))</f>
        <v/>
      </c>
      <c r="G3415" s="32"/>
      <c r="H3415" s="32"/>
      <c r="I3415" s="32"/>
      <c r="J3415" s="32"/>
      <c r="K3415" s="35"/>
      <c r="L3415" s="32"/>
      <c r="M3415" s="32"/>
    </row>
    <row r="3416" customFormat="false" ht="15" hidden="false" customHeight="true" outlineLevel="0" collapsed="false">
      <c r="A3416" s="32"/>
      <c r="B3416" s="32"/>
      <c r="C3416" s="32"/>
      <c r="D3416" s="32"/>
      <c r="E3416" s="34" t="str">
        <f aca="false">IF($B3416="","",IF($B3416="OUT","Liters",IFERROR(INDEX(Setup!$F$3:$F$24,MATCH($C3416,Setup!$A$3:$A$24,0)),"")))</f>
        <v/>
      </c>
      <c r="F3416" s="28" t="str">
        <f aca="false">IF(OR($D3416="",$E3416=""),"",IFERROR($D3416*INDEX(Setup!$B$27:$B$44,MATCH($E3416,Setup!$A$27:$A$44,0)),"TBD"))</f>
        <v/>
      </c>
      <c r="G3416" s="32"/>
      <c r="H3416" s="32"/>
      <c r="I3416" s="32"/>
      <c r="J3416" s="32"/>
      <c r="K3416" s="35"/>
      <c r="L3416" s="32"/>
      <c r="M3416" s="32"/>
    </row>
    <row r="3417" customFormat="false" ht="15" hidden="false" customHeight="true" outlineLevel="0" collapsed="false">
      <c r="A3417" s="32"/>
      <c r="B3417" s="32"/>
      <c r="C3417" s="32"/>
      <c r="D3417" s="32"/>
      <c r="E3417" s="34" t="str">
        <f aca="false">IF($B3417="","",IF($B3417="OUT","Liters",IFERROR(INDEX(Setup!$F$3:$F$24,MATCH($C3417,Setup!$A$3:$A$24,0)),"")))</f>
        <v/>
      </c>
      <c r="F3417" s="28" t="str">
        <f aca="false">IF(OR($D3417="",$E3417=""),"",IFERROR($D3417*INDEX(Setup!$B$27:$B$44,MATCH($E3417,Setup!$A$27:$A$44,0)),"TBD"))</f>
        <v/>
      </c>
      <c r="G3417" s="32"/>
      <c r="H3417" s="32"/>
      <c r="I3417" s="32"/>
      <c r="J3417" s="32"/>
      <c r="K3417" s="35"/>
      <c r="L3417" s="32"/>
      <c r="M3417" s="32"/>
    </row>
    <row r="3418" customFormat="false" ht="15" hidden="false" customHeight="true" outlineLevel="0" collapsed="false">
      <c r="A3418" s="32"/>
      <c r="B3418" s="32"/>
      <c r="C3418" s="32"/>
      <c r="D3418" s="32"/>
      <c r="E3418" s="34" t="str">
        <f aca="false">IF($B3418="","",IF($B3418="OUT","Liters",IFERROR(INDEX(Setup!$F$3:$F$24,MATCH($C3418,Setup!$A$3:$A$24,0)),"")))</f>
        <v/>
      </c>
      <c r="F3418" s="28" t="str">
        <f aca="false">IF(OR($D3418="",$E3418=""),"",IFERROR($D3418*INDEX(Setup!$B$27:$B$44,MATCH($E3418,Setup!$A$27:$A$44,0)),"TBD"))</f>
        <v/>
      </c>
      <c r="G3418" s="32"/>
      <c r="H3418" s="32"/>
      <c r="I3418" s="32"/>
      <c r="J3418" s="32"/>
      <c r="K3418" s="35"/>
      <c r="L3418" s="32"/>
      <c r="M3418" s="32"/>
    </row>
    <row r="3419" customFormat="false" ht="15" hidden="false" customHeight="true" outlineLevel="0" collapsed="false">
      <c r="A3419" s="32"/>
      <c r="B3419" s="32"/>
      <c r="C3419" s="32"/>
      <c r="D3419" s="32"/>
      <c r="E3419" s="34" t="str">
        <f aca="false">IF($B3419="","",IF($B3419="OUT","Liters",IFERROR(INDEX(Setup!$F$3:$F$24,MATCH($C3419,Setup!$A$3:$A$24,0)),"")))</f>
        <v/>
      </c>
      <c r="F3419" s="28" t="str">
        <f aca="false">IF(OR($D3419="",$E3419=""),"",IFERROR($D3419*INDEX(Setup!$B$27:$B$44,MATCH($E3419,Setup!$A$27:$A$44,0)),"TBD"))</f>
        <v/>
      </c>
      <c r="G3419" s="32"/>
      <c r="H3419" s="32"/>
      <c r="I3419" s="32"/>
      <c r="J3419" s="32"/>
      <c r="K3419" s="35"/>
      <c r="L3419" s="32"/>
      <c r="M3419" s="32"/>
    </row>
    <row r="3420" customFormat="false" ht="15" hidden="false" customHeight="true" outlineLevel="0" collapsed="false">
      <c r="A3420" s="32"/>
      <c r="B3420" s="32"/>
      <c r="C3420" s="32"/>
      <c r="D3420" s="32"/>
      <c r="E3420" s="34" t="str">
        <f aca="false">IF($B3420="","",IF($B3420="OUT","Liters",IFERROR(INDEX(Setup!$F$3:$F$24,MATCH($C3420,Setup!$A$3:$A$24,0)),"")))</f>
        <v/>
      </c>
      <c r="F3420" s="28" t="str">
        <f aca="false">IF(OR($D3420="",$E3420=""),"",IFERROR($D3420*INDEX(Setup!$B$27:$B$44,MATCH($E3420,Setup!$A$27:$A$44,0)),"TBD"))</f>
        <v/>
      </c>
      <c r="G3420" s="32"/>
      <c r="H3420" s="32"/>
      <c r="I3420" s="32"/>
      <c r="J3420" s="32"/>
      <c r="K3420" s="35"/>
      <c r="L3420" s="32"/>
      <c r="M3420" s="32"/>
    </row>
    <row r="3421" customFormat="false" ht="15" hidden="false" customHeight="true" outlineLevel="0" collapsed="false">
      <c r="A3421" s="32"/>
      <c r="B3421" s="32"/>
      <c r="C3421" s="32"/>
      <c r="D3421" s="32"/>
      <c r="E3421" s="34" t="str">
        <f aca="false">IF($B3421="","",IF($B3421="OUT","Liters",IFERROR(INDEX(Setup!$F$3:$F$24,MATCH($C3421,Setup!$A$3:$A$24,0)),"")))</f>
        <v/>
      </c>
      <c r="F3421" s="28" t="str">
        <f aca="false">IF(OR($D3421="",$E3421=""),"",IFERROR($D3421*INDEX(Setup!$B$27:$B$44,MATCH($E3421,Setup!$A$27:$A$44,0)),"TBD"))</f>
        <v/>
      </c>
      <c r="G3421" s="32"/>
      <c r="H3421" s="32"/>
      <c r="I3421" s="32"/>
      <c r="J3421" s="32"/>
      <c r="K3421" s="35"/>
      <c r="L3421" s="32"/>
      <c r="M3421" s="32"/>
    </row>
    <row r="3422" customFormat="false" ht="15" hidden="false" customHeight="true" outlineLevel="0" collapsed="false">
      <c r="A3422" s="32"/>
      <c r="B3422" s="32"/>
      <c r="C3422" s="32"/>
      <c r="D3422" s="32"/>
      <c r="E3422" s="34" t="str">
        <f aca="false">IF($B3422="","",IF($B3422="OUT","Liters",IFERROR(INDEX(Setup!$F$3:$F$24,MATCH($C3422,Setup!$A$3:$A$24,0)),"")))</f>
        <v/>
      </c>
      <c r="F3422" s="28" t="str">
        <f aca="false">IF(OR($D3422="",$E3422=""),"",IFERROR($D3422*INDEX(Setup!$B$27:$B$44,MATCH($E3422,Setup!$A$27:$A$44,0)),"TBD"))</f>
        <v/>
      </c>
      <c r="G3422" s="32"/>
      <c r="H3422" s="32"/>
      <c r="I3422" s="32"/>
      <c r="J3422" s="32"/>
      <c r="K3422" s="35"/>
      <c r="L3422" s="32"/>
      <c r="M3422" s="32"/>
    </row>
    <row r="3423" customFormat="false" ht="15" hidden="false" customHeight="true" outlineLevel="0" collapsed="false">
      <c r="A3423" s="32"/>
      <c r="B3423" s="32"/>
      <c r="C3423" s="32"/>
      <c r="D3423" s="32"/>
      <c r="E3423" s="34" t="str">
        <f aca="false">IF($B3423="","",IF($B3423="OUT","Liters",IFERROR(INDEX(Setup!$F$3:$F$24,MATCH($C3423,Setup!$A$3:$A$24,0)),"")))</f>
        <v/>
      </c>
      <c r="F3423" s="28" t="str">
        <f aca="false">IF(OR($D3423="",$E3423=""),"",IFERROR($D3423*INDEX(Setup!$B$27:$B$44,MATCH($E3423,Setup!$A$27:$A$44,0)),"TBD"))</f>
        <v/>
      </c>
      <c r="G3423" s="32"/>
      <c r="H3423" s="32"/>
      <c r="I3423" s="32"/>
      <c r="J3423" s="32"/>
      <c r="K3423" s="35"/>
      <c r="L3423" s="32"/>
      <c r="M3423" s="32"/>
    </row>
    <row r="3424" customFormat="false" ht="15" hidden="false" customHeight="true" outlineLevel="0" collapsed="false">
      <c r="A3424" s="32"/>
      <c r="B3424" s="32"/>
      <c r="C3424" s="32"/>
      <c r="D3424" s="32"/>
      <c r="E3424" s="34" t="str">
        <f aca="false">IF($B3424="","",IF($B3424="OUT","Liters",IFERROR(INDEX(Setup!$F$3:$F$24,MATCH($C3424,Setup!$A$3:$A$24,0)),"")))</f>
        <v/>
      </c>
      <c r="F3424" s="28" t="str">
        <f aca="false">IF(OR($D3424="",$E3424=""),"",IFERROR($D3424*INDEX(Setup!$B$27:$B$44,MATCH($E3424,Setup!$A$27:$A$44,0)),"TBD"))</f>
        <v/>
      </c>
      <c r="G3424" s="32"/>
      <c r="H3424" s="32"/>
      <c r="I3424" s="32"/>
      <c r="J3424" s="32"/>
      <c r="K3424" s="35"/>
      <c r="L3424" s="32"/>
      <c r="M3424" s="32"/>
    </row>
    <row r="3425" customFormat="false" ht="15" hidden="false" customHeight="true" outlineLevel="0" collapsed="false">
      <c r="A3425" s="32"/>
      <c r="B3425" s="32"/>
      <c r="C3425" s="32"/>
      <c r="D3425" s="32"/>
      <c r="E3425" s="34" t="str">
        <f aca="false">IF($B3425="","",IF($B3425="OUT","Liters",IFERROR(INDEX(Setup!$F$3:$F$24,MATCH($C3425,Setup!$A$3:$A$24,0)),"")))</f>
        <v/>
      </c>
      <c r="F3425" s="28" t="str">
        <f aca="false">IF(OR($D3425="",$E3425=""),"",IFERROR($D3425*INDEX(Setup!$B$27:$B$44,MATCH($E3425,Setup!$A$27:$A$44,0)),"TBD"))</f>
        <v/>
      </c>
      <c r="G3425" s="32"/>
      <c r="H3425" s="32"/>
      <c r="I3425" s="32"/>
      <c r="J3425" s="32"/>
      <c r="K3425" s="35"/>
      <c r="L3425" s="32"/>
      <c r="M3425" s="32"/>
    </row>
    <row r="3426" customFormat="false" ht="15" hidden="false" customHeight="true" outlineLevel="0" collapsed="false">
      <c r="A3426" s="32"/>
      <c r="B3426" s="32"/>
      <c r="C3426" s="32"/>
      <c r="D3426" s="32"/>
      <c r="E3426" s="34" t="str">
        <f aca="false">IF($B3426="","",IF($B3426="OUT","Liters",IFERROR(INDEX(Setup!$F$3:$F$24,MATCH($C3426,Setup!$A$3:$A$24,0)),"")))</f>
        <v/>
      </c>
      <c r="F3426" s="28" t="str">
        <f aca="false">IF(OR($D3426="",$E3426=""),"",IFERROR($D3426*INDEX(Setup!$B$27:$B$44,MATCH($E3426,Setup!$A$27:$A$44,0)),"TBD"))</f>
        <v/>
      </c>
      <c r="G3426" s="32"/>
      <c r="H3426" s="32"/>
      <c r="I3426" s="32"/>
      <c r="J3426" s="32"/>
      <c r="K3426" s="35"/>
      <c r="L3426" s="32"/>
      <c r="M3426" s="32"/>
    </row>
    <row r="3427" customFormat="false" ht="15" hidden="false" customHeight="true" outlineLevel="0" collapsed="false">
      <c r="A3427" s="32"/>
      <c r="B3427" s="32"/>
      <c r="C3427" s="32"/>
      <c r="D3427" s="32"/>
      <c r="E3427" s="34" t="str">
        <f aca="false">IF($B3427="","",IF($B3427="OUT","Liters",IFERROR(INDEX(Setup!$F$3:$F$24,MATCH($C3427,Setup!$A$3:$A$24,0)),"")))</f>
        <v/>
      </c>
      <c r="F3427" s="28" t="str">
        <f aca="false">IF(OR($D3427="",$E3427=""),"",IFERROR($D3427*INDEX(Setup!$B$27:$B$44,MATCH($E3427,Setup!$A$27:$A$44,0)),"TBD"))</f>
        <v/>
      </c>
      <c r="G3427" s="32"/>
      <c r="H3427" s="32"/>
      <c r="I3427" s="32"/>
      <c r="J3427" s="32"/>
      <c r="K3427" s="35"/>
      <c r="L3427" s="32"/>
      <c r="M3427" s="32"/>
    </row>
    <row r="3428" customFormat="false" ht="15" hidden="false" customHeight="true" outlineLevel="0" collapsed="false">
      <c r="A3428" s="32"/>
      <c r="B3428" s="32"/>
      <c r="C3428" s="32"/>
      <c r="D3428" s="32"/>
      <c r="E3428" s="34" t="str">
        <f aca="false">IF($B3428="","",IF($B3428="OUT","Liters",IFERROR(INDEX(Setup!$F$3:$F$24,MATCH($C3428,Setup!$A$3:$A$24,0)),"")))</f>
        <v/>
      </c>
      <c r="F3428" s="28" t="str">
        <f aca="false">IF(OR($D3428="",$E3428=""),"",IFERROR($D3428*INDEX(Setup!$B$27:$B$44,MATCH($E3428,Setup!$A$27:$A$44,0)),"TBD"))</f>
        <v/>
      </c>
      <c r="G3428" s="32"/>
      <c r="H3428" s="32"/>
      <c r="I3428" s="32"/>
      <c r="J3428" s="32"/>
      <c r="K3428" s="35"/>
      <c r="L3428" s="32"/>
      <c r="M3428" s="32"/>
    </row>
    <row r="3429" customFormat="false" ht="15" hidden="false" customHeight="true" outlineLevel="0" collapsed="false">
      <c r="A3429" s="32"/>
      <c r="B3429" s="32"/>
      <c r="C3429" s="32"/>
      <c r="D3429" s="32"/>
      <c r="E3429" s="34" t="str">
        <f aca="false">IF($B3429="","",IF($B3429="OUT","Liters",IFERROR(INDEX(Setup!$F$3:$F$24,MATCH($C3429,Setup!$A$3:$A$24,0)),"")))</f>
        <v/>
      </c>
      <c r="F3429" s="28" t="str">
        <f aca="false">IF(OR($D3429="",$E3429=""),"",IFERROR($D3429*INDEX(Setup!$B$27:$B$44,MATCH($E3429,Setup!$A$27:$A$44,0)),"TBD"))</f>
        <v/>
      </c>
      <c r="G3429" s="32"/>
      <c r="H3429" s="32"/>
      <c r="I3429" s="32"/>
      <c r="J3429" s="32"/>
      <c r="K3429" s="35"/>
      <c r="L3429" s="32"/>
      <c r="M3429" s="32"/>
    </row>
    <row r="3430" customFormat="false" ht="15" hidden="false" customHeight="true" outlineLevel="0" collapsed="false">
      <c r="A3430" s="32"/>
      <c r="B3430" s="32"/>
      <c r="C3430" s="32"/>
      <c r="D3430" s="32"/>
      <c r="E3430" s="34" t="str">
        <f aca="false">IF($B3430="","",IF($B3430="OUT","Liters",IFERROR(INDEX(Setup!$F$3:$F$24,MATCH($C3430,Setup!$A$3:$A$24,0)),"")))</f>
        <v/>
      </c>
      <c r="F3430" s="28" t="str">
        <f aca="false">IF(OR($D3430="",$E3430=""),"",IFERROR($D3430*INDEX(Setup!$B$27:$B$44,MATCH($E3430,Setup!$A$27:$A$44,0)),"TBD"))</f>
        <v/>
      </c>
      <c r="G3430" s="32"/>
      <c r="H3430" s="32"/>
      <c r="I3430" s="32"/>
      <c r="J3430" s="32"/>
      <c r="K3430" s="35"/>
      <c r="L3430" s="32"/>
      <c r="M3430" s="32"/>
    </row>
    <row r="3431" customFormat="false" ht="15" hidden="false" customHeight="true" outlineLevel="0" collapsed="false">
      <c r="A3431" s="32"/>
      <c r="B3431" s="32"/>
      <c r="C3431" s="32"/>
      <c r="D3431" s="32"/>
      <c r="E3431" s="34" t="str">
        <f aca="false">IF($B3431="","",IF($B3431="OUT","Liters",IFERROR(INDEX(Setup!$F$3:$F$24,MATCH($C3431,Setup!$A$3:$A$24,0)),"")))</f>
        <v/>
      </c>
      <c r="F3431" s="28" t="str">
        <f aca="false">IF(OR($D3431="",$E3431=""),"",IFERROR($D3431*INDEX(Setup!$B$27:$B$44,MATCH($E3431,Setup!$A$27:$A$44,0)),"TBD"))</f>
        <v/>
      </c>
      <c r="G3431" s="32"/>
      <c r="H3431" s="32"/>
      <c r="I3431" s="32"/>
      <c r="J3431" s="32"/>
      <c r="K3431" s="35"/>
      <c r="L3431" s="32"/>
      <c r="M3431" s="32"/>
    </row>
    <row r="3432" customFormat="false" ht="15" hidden="false" customHeight="true" outlineLevel="0" collapsed="false">
      <c r="A3432" s="32"/>
      <c r="B3432" s="32"/>
      <c r="C3432" s="32"/>
      <c r="D3432" s="32"/>
      <c r="E3432" s="34" t="str">
        <f aca="false">IF($B3432="","",IF($B3432="OUT","Liters",IFERROR(INDEX(Setup!$F$3:$F$24,MATCH($C3432,Setup!$A$3:$A$24,0)),"")))</f>
        <v/>
      </c>
      <c r="F3432" s="28" t="str">
        <f aca="false">IF(OR($D3432="",$E3432=""),"",IFERROR($D3432*INDEX(Setup!$B$27:$B$44,MATCH($E3432,Setup!$A$27:$A$44,0)),"TBD"))</f>
        <v/>
      </c>
      <c r="G3432" s="32"/>
      <c r="H3432" s="32"/>
      <c r="I3432" s="32"/>
      <c r="J3432" s="32"/>
      <c r="K3432" s="35"/>
      <c r="L3432" s="32"/>
      <c r="M3432" s="32"/>
    </row>
    <row r="3433" customFormat="false" ht="15" hidden="false" customHeight="true" outlineLevel="0" collapsed="false">
      <c r="A3433" s="32"/>
      <c r="B3433" s="32"/>
      <c r="C3433" s="32"/>
      <c r="D3433" s="32"/>
      <c r="E3433" s="34" t="str">
        <f aca="false">IF($B3433="","",IF($B3433="OUT","Liters",IFERROR(INDEX(Setup!$F$3:$F$24,MATCH($C3433,Setup!$A$3:$A$24,0)),"")))</f>
        <v/>
      </c>
      <c r="F3433" s="28" t="str">
        <f aca="false">IF(OR($D3433="",$E3433=""),"",IFERROR($D3433*INDEX(Setup!$B$27:$B$44,MATCH($E3433,Setup!$A$27:$A$44,0)),"TBD"))</f>
        <v/>
      </c>
      <c r="G3433" s="32"/>
      <c r="H3433" s="32"/>
      <c r="I3433" s="32"/>
      <c r="J3433" s="32"/>
      <c r="K3433" s="35"/>
      <c r="L3433" s="32"/>
      <c r="M3433" s="32"/>
    </row>
    <row r="3434" customFormat="false" ht="15" hidden="false" customHeight="true" outlineLevel="0" collapsed="false">
      <c r="A3434" s="32"/>
      <c r="B3434" s="32"/>
      <c r="C3434" s="32"/>
      <c r="D3434" s="32"/>
      <c r="E3434" s="34" t="str">
        <f aca="false">IF($B3434="","",IF($B3434="OUT","Liters",IFERROR(INDEX(Setup!$F$3:$F$24,MATCH($C3434,Setup!$A$3:$A$24,0)),"")))</f>
        <v/>
      </c>
      <c r="F3434" s="28" t="str">
        <f aca="false">IF(OR($D3434="",$E3434=""),"",IFERROR($D3434*INDEX(Setup!$B$27:$B$44,MATCH($E3434,Setup!$A$27:$A$44,0)),"TBD"))</f>
        <v/>
      </c>
      <c r="G3434" s="32"/>
      <c r="H3434" s="32"/>
      <c r="I3434" s="32"/>
      <c r="J3434" s="32"/>
      <c r="K3434" s="35"/>
      <c r="L3434" s="32"/>
      <c r="M3434" s="32"/>
    </row>
    <row r="3435" customFormat="false" ht="15" hidden="false" customHeight="true" outlineLevel="0" collapsed="false">
      <c r="A3435" s="32"/>
      <c r="B3435" s="32"/>
      <c r="C3435" s="32"/>
      <c r="D3435" s="32"/>
      <c r="E3435" s="34" t="str">
        <f aca="false">IF($B3435="","",IF($B3435="OUT","Liters",IFERROR(INDEX(Setup!$F$3:$F$24,MATCH($C3435,Setup!$A$3:$A$24,0)),"")))</f>
        <v/>
      </c>
      <c r="F3435" s="28" t="str">
        <f aca="false">IF(OR($D3435="",$E3435=""),"",IFERROR($D3435*INDEX(Setup!$B$27:$B$44,MATCH($E3435,Setup!$A$27:$A$44,0)),"TBD"))</f>
        <v/>
      </c>
      <c r="G3435" s="32"/>
      <c r="H3435" s="32"/>
      <c r="I3435" s="32"/>
      <c r="J3435" s="32"/>
      <c r="K3435" s="35"/>
      <c r="L3435" s="32"/>
      <c r="M3435" s="32"/>
    </row>
    <row r="3436" customFormat="false" ht="15" hidden="false" customHeight="true" outlineLevel="0" collapsed="false">
      <c r="A3436" s="32"/>
      <c r="B3436" s="32"/>
      <c r="C3436" s="32"/>
      <c r="D3436" s="32"/>
      <c r="E3436" s="34" t="str">
        <f aca="false">IF($B3436="","",IF($B3436="OUT","Liters",IFERROR(INDEX(Setup!$F$3:$F$24,MATCH($C3436,Setup!$A$3:$A$24,0)),"")))</f>
        <v/>
      </c>
      <c r="F3436" s="28" t="str">
        <f aca="false">IF(OR($D3436="",$E3436=""),"",IFERROR($D3436*INDEX(Setup!$B$27:$B$44,MATCH($E3436,Setup!$A$27:$A$44,0)),"TBD"))</f>
        <v/>
      </c>
      <c r="G3436" s="32"/>
      <c r="H3436" s="32"/>
      <c r="I3436" s="32"/>
      <c r="J3436" s="32"/>
      <c r="K3436" s="35"/>
      <c r="L3436" s="32"/>
      <c r="M3436" s="32"/>
    </row>
    <row r="3437" customFormat="false" ht="15" hidden="false" customHeight="true" outlineLevel="0" collapsed="false">
      <c r="A3437" s="32"/>
      <c r="B3437" s="32"/>
      <c r="C3437" s="32"/>
      <c r="D3437" s="32"/>
      <c r="E3437" s="34" t="str">
        <f aca="false">IF($B3437="","",IF($B3437="OUT","Liters",IFERROR(INDEX(Setup!$F$3:$F$24,MATCH($C3437,Setup!$A$3:$A$24,0)),"")))</f>
        <v/>
      </c>
      <c r="F3437" s="28" t="str">
        <f aca="false">IF(OR($D3437="",$E3437=""),"",IFERROR($D3437*INDEX(Setup!$B$27:$B$44,MATCH($E3437,Setup!$A$27:$A$44,0)),"TBD"))</f>
        <v/>
      </c>
      <c r="G3437" s="32"/>
      <c r="H3437" s="32"/>
      <c r="I3437" s="32"/>
      <c r="J3437" s="32"/>
      <c r="K3437" s="35"/>
      <c r="L3437" s="32"/>
      <c r="M3437" s="32"/>
    </row>
    <row r="3438" customFormat="false" ht="15" hidden="false" customHeight="true" outlineLevel="0" collapsed="false">
      <c r="A3438" s="32"/>
      <c r="B3438" s="32"/>
      <c r="C3438" s="32"/>
      <c r="D3438" s="32"/>
      <c r="E3438" s="34" t="str">
        <f aca="false">IF($B3438="","",IF($B3438="OUT","Liters",IFERROR(INDEX(Setup!$F$3:$F$24,MATCH($C3438,Setup!$A$3:$A$24,0)),"")))</f>
        <v/>
      </c>
      <c r="F3438" s="28" t="str">
        <f aca="false">IF(OR($D3438="",$E3438=""),"",IFERROR($D3438*INDEX(Setup!$B$27:$B$44,MATCH($E3438,Setup!$A$27:$A$44,0)),"TBD"))</f>
        <v/>
      </c>
      <c r="G3438" s="32"/>
      <c r="H3438" s="32"/>
      <c r="I3438" s="32"/>
      <c r="J3438" s="32"/>
      <c r="K3438" s="35"/>
      <c r="L3438" s="32"/>
      <c r="M3438" s="32"/>
    </row>
    <row r="3439" customFormat="false" ht="15" hidden="false" customHeight="true" outlineLevel="0" collapsed="false">
      <c r="A3439" s="32"/>
      <c r="B3439" s="32"/>
      <c r="C3439" s="32"/>
      <c r="D3439" s="32"/>
      <c r="E3439" s="34" t="str">
        <f aca="false">IF($B3439="","",IF($B3439="OUT","Liters",IFERROR(INDEX(Setup!$F$3:$F$24,MATCH($C3439,Setup!$A$3:$A$24,0)),"")))</f>
        <v/>
      </c>
      <c r="F3439" s="28" t="str">
        <f aca="false">IF(OR($D3439="",$E3439=""),"",IFERROR($D3439*INDEX(Setup!$B$27:$B$44,MATCH($E3439,Setup!$A$27:$A$44,0)),"TBD"))</f>
        <v/>
      </c>
      <c r="G3439" s="32"/>
      <c r="H3439" s="32"/>
      <c r="I3439" s="32"/>
      <c r="J3439" s="32"/>
      <c r="K3439" s="35"/>
      <c r="L3439" s="32"/>
      <c r="M3439" s="32"/>
    </row>
    <row r="3440" customFormat="false" ht="15" hidden="false" customHeight="true" outlineLevel="0" collapsed="false">
      <c r="A3440" s="32"/>
      <c r="B3440" s="32"/>
      <c r="C3440" s="32"/>
      <c r="D3440" s="32"/>
      <c r="E3440" s="34" t="str">
        <f aca="false">IF($B3440="","",IF($B3440="OUT","Liters",IFERROR(INDEX(Setup!$F$3:$F$24,MATCH($C3440,Setup!$A$3:$A$24,0)),"")))</f>
        <v/>
      </c>
      <c r="F3440" s="28" t="str">
        <f aca="false">IF(OR($D3440="",$E3440=""),"",IFERROR($D3440*INDEX(Setup!$B$27:$B$44,MATCH($E3440,Setup!$A$27:$A$44,0)),"TBD"))</f>
        <v/>
      </c>
      <c r="G3440" s="32"/>
      <c r="H3440" s="32"/>
      <c r="I3440" s="32"/>
      <c r="J3440" s="32"/>
      <c r="K3440" s="35"/>
      <c r="L3440" s="32"/>
      <c r="M3440" s="32"/>
    </row>
    <row r="3441" customFormat="false" ht="15" hidden="false" customHeight="true" outlineLevel="0" collapsed="false">
      <c r="A3441" s="32"/>
      <c r="B3441" s="32"/>
      <c r="C3441" s="32"/>
      <c r="D3441" s="32"/>
      <c r="E3441" s="34" t="str">
        <f aca="false">IF($B3441="","",IF($B3441="OUT","Liters",IFERROR(INDEX(Setup!$F$3:$F$24,MATCH($C3441,Setup!$A$3:$A$24,0)),"")))</f>
        <v/>
      </c>
      <c r="F3441" s="28" t="str">
        <f aca="false">IF(OR($D3441="",$E3441=""),"",IFERROR($D3441*INDEX(Setup!$B$27:$B$44,MATCH($E3441,Setup!$A$27:$A$44,0)),"TBD"))</f>
        <v/>
      </c>
      <c r="G3441" s="32"/>
      <c r="H3441" s="32"/>
      <c r="I3441" s="32"/>
      <c r="J3441" s="32"/>
      <c r="K3441" s="35"/>
      <c r="L3441" s="32"/>
      <c r="M3441" s="32"/>
    </row>
    <row r="3442" customFormat="false" ht="15" hidden="false" customHeight="true" outlineLevel="0" collapsed="false">
      <c r="A3442" s="32"/>
      <c r="B3442" s="32"/>
      <c r="C3442" s="32"/>
      <c r="D3442" s="32"/>
      <c r="E3442" s="34" t="str">
        <f aca="false">IF($B3442="","",IF($B3442="OUT","Liters",IFERROR(INDEX(Setup!$F$3:$F$24,MATCH($C3442,Setup!$A$3:$A$24,0)),"")))</f>
        <v/>
      </c>
      <c r="F3442" s="28" t="str">
        <f aca="false">IF(OR($D3442="",$E3442=""),"",IFERROR($D3442*INDEX(Setup!$B$27:$B$44,MATCH($E3442,Setup!$A$27:$A$44,0)),"TBD"))</f>
        <v/>
      </c>
      <c r="G3442" s="32"/>
      <c r="H3442" s="32"/>
      <c r="I3442" s="32"/>
      <c r="J3442" s="32"/>
      <c r="K3442" s="35"/>
      <c r="L3442" s="32"/>
      <c r="M3442" s="32"/>
    </row>
    <row r="3443" customFormat="false" ht="15" hidden="false" customHeight="true" outlineLevel="0" collapsed="false">
      <c r="A3443" s="32"/>
      <c r="B3443" s="32"/>
      <c r="C3443" s="32"/>
      <c r="D3443" s="32"/>
      <c r="E3443" s="34" t="str">
        <f aca="false">IF($B3443="","",IF($B3443="OUT","Liters",IFERROR(INDEX(Setup!$F$3:$F$24,MATCH($C3443,Setup!$A$3:$A$24,0)),"")))</f>
        <v/>
      </c>
      <c r="F3443" s="28" t="str">
        <f aca="false">IF(OR($D3443="",$E3443=""),"",IFERROR($D3443*INDEX(Setup!$B$27:$B$44,MATCH($E3443,Setup!$A$27:$A$44,0)),"TBD"))</f>
        <v/>
      </c>
      <c r="G3443" s="32"/>
      <c r="H3443" s="32"/>
      <c r="I3443" s="32"/>
      <c r="J3443" s="32"/>
      <c r="K3443" s="35"/>
      <c r="L3443" s="32"/>
      <c r="M3443" s="32"/>
    </row>
    <row r="3444" customFormat="false" ht="15" hidden="false" customHeight="true" outlineLevel="0" collapsed="false">
      <c r="A3444" s="32"/>
      <c r="B3444" s="32"/>
      <c r="C3444" s="32"/>
      <c r="D3444" s="32"/>
      <c r="E3444" s="34" t="str">
        <f aca="false">IF($B3444="","",IF($B3444="OUT","Liters",IFERROR(INDEX(Setup!$F$3:$F$24,MATCH($C3444,Setup!$A$3:$A$24,0)),"")))</f>
        <v/>
      </c>
      <c r="F3444" s="28" t="str">
        <f aca="false">IF(OR($D3444="",$E3444=""),"",IFERROR($D3444*INDEX(Setup!$B$27:$B$44,MATCH($E3444,Setup!$A$27:$A$44,0)),"TBD"))</f>
        <v/>
      </c>
      <c r="G3444" s="32"/>
      <c r="H3444" s="32"/>
      <c r="I3444" s="32"/>
      <c r="J3444" s="32"/>
      <c r="K3444" s="35"/>
      <c r="L3444" s="32"/>
      <c r="M3444" s="32"/>
    </row>
    <row r="3445" customFormat="false" ht="15" hidden="false" customHeight="true" outlineLevel="0" collapsed="false">
      <c r="A3445" s="32"/>
      <c r="B3445" s="32"/>
      <c r="C3445" s="32"/>
      <c r="D3445" s="32"/>
      <c r="E3445" s="34" t="str">
        <f aca="false">IF($B3445="","",IF($B3445="OUT","Liters",IFERROR(INDEX(Setup!$F$3:$F$24,MATCH($C3445,Setup!$A$3:$A$24,0)),"")))</f>
        <v/>
      </c>
      <c r="F3445" s="28" t="str">
        <f aca="false">IF(OR($D3445="",$E3445=""),"",IFERROR($D3445*INDEX(Setup!$B$27:$B$44,MATCH($E3445,Setup!$A$27:$A$44,0)),"TBD"))</f>
        <v/>
      </c>
      <c r="G3445" s="32"/>
      <c r="H3445" s="32"/>
      <c r="I3445" s="32"/>
      <c r="J3445" s="32"/>
      <c r="K3445" s="35"/>
      <c r="L3445" s="32"/>
      <c r="M3445" s="32"/>
    </row>
    <row r="3446" customFormat="false" ht="15" hidden="false" customHeight="true" outlineLevel="0" collapsed="false">
      <c r="A3446" s="32"/>
      <c r="B3446" s="32"/>
      <c r="C3446" s="32"/>
      <c r="D3446" s="32"/>
      <c r="E3446" s="34" t="str">
        <f aca="false">IF($B3446="","",IF($B3446="OUT","Liters",IFERROR(INDEX(Setup!$F$3:$F$24,MATCH($C3446,Setup!$A$3:$A$24,0)),"")))</f>
        <v/>
      </c>
      <c r="F3446" s="28" t="str">
        <f aca="false">IF(OR($D3446="",$E3446=""),"",IFERROR($D3446*INDEX(Setup!$B$27:$B$44,MATCH($E3446,Setup!$A$27:$A$44,0)),"TBD"))</f>
        <v/>
      </c>
      <c r="G3446" s="32"/>
      <c r="H3446" s="32"/>
      <c r="I3446" s="32"/>
      <c r="J3446" s="32"/>
      <c r="K3446" s="35"/>
      <c r="L3446" s="32"/>
      <c r="M3446" s="32"/>
    </row>
    <row r="3447" customFormat="false" ht="15" hidden="false" customHeight="true" outlineLevel="0" collapsed="false">
      <c r="A3447" s="32"/>
      <c r="B3447" s="32"/>
      <c r="C3447" s="32"/>
      <c r="D3447" s="32"/>
      <c r="E3447" s="34" t="str">
        <f aca="false">IF($B3447="","",IF($B3447="OUT","Liters",IFERROR(INDEX(Setup!$F$3:$F$24,MATCH($C3447,Setup!$A$3:$A$24,0)),"")))</f>
        <v/>
      </c>
      <c r="F3447" s="28" t="str">
        <f aca="false">IF(OR($D3447="",$E3447=""),"",IFERROR($D3447*INDEX(Setup!$B$27:$B$44,MATCH($E3447,Setup!$A$27:$A$44,0)),"TBD"))</f>
        <v/>
      </c>
      <c r="G3447" s="32"/>
      <c r="H3447" s="32"/>
      <c r="I3447" s="32"/>
      <c r="J3447" s="32"/>
      <c r="K3447" s="35"/>
      <c r="L3447" s="32"/>
      <c r="M3447" s="32"/>
    </row>
    <row r="3448" customFormat="false" ht="15" hidden="false" customHeight="true" outlineLevel="0" collapsed="false">
      <c r="A3448" s="32"/>
      <c r="B3448" s="32"/>
      <c r="C3448" s="32"/>
      <c r="D3448" s="32"/>
      <c r="E3448" s="34" t="str">
        <f aca="false">IF($B3448="","",IF($B3448="OUT","Liters",IFERROR(INDEX(Setup!$F$3:$F$24,MATCH($C3448,Setup!$A$3:$A$24,0)),"")))</f>
        <v/>
      </c>
      <c r="F3448" s="28" t="str">
        <f aca="false">IF(OR($D3448="",$E3448=""),"",IFERROR($D3448*INDEX(Setup!$B$27:$B$44,MATCH($E3448,Setup!$A$27:$A$44,0)),"TBD"))</f>
        <v/>
      </c>
      <c r="G3448" s="32"/>
      <c r="H3448" s="32"/>
      <c r="I3448" s="32"/>
      <c r="J3448" s="32"/>
      <c r="K3448" s="35"/>
      <c r="L3448" s="32"/>
      <c r="M3448" s="32"/>
    </row>
    <row r="3449" customFormat="false" ht="15" hidden="false" customHeight="true" outlineLevel="0" collapsed="false">
      <c r="A3449" s="32"/>
      <c r="B3449" s="32"/>
      <c r="C3449" s="32"/>
      <c r="D3449" s="32"/>
      <c r="E3449" s="34" t="str">
        <f aca="false">IF($B3449="","",IF($B3449="OUT","Liters",IFERROR(INDEX(Setup!$F$3:$F$24,MATCH($C3449,Setup!$A$3:$A$24,0)),"")))</f>
        <v/>
      </c>
      <c r="F3449" s="28" t="str">
        <f aca="false">IF(OR($D3449="",$E3449=""),"",IFERROR($D3449*INDEX(Setup!$B$27:$B$44,MATCH($E3449,Setup!$A$27:$A$44,0)),"TBD"))</f>
        <v/>
      </c>
      <c r="G3449" s="32"/>
      <c r="H3449" s="32"/>
      <c r="I3449" s="32"/>
      <c r="J3449" s="32"/>
      <c r="K3449" s="35"/>
      <c r="L3449" s="32"/>
      <c r="M3449" s="32"/>
    </row>
    <row r="3450" customFormat="false" ht="15" hidden="false" customHeight="true" outlineLevel="0" collapsed="false">
      <c r="A3450" s="32"/>
      <c r="B3450" s="32"/>
      <c r="C3450" s="32"/>
      <c r="D3450" s="32"/>
      <c r="E3450" s="34" t="str">
        <f aca="false">IF($B3450="","",IF($B3450="OUT","Liters",IFERROR(INDEX(Setup!$F$3:$F$24,MATCH($C3450,Setup!$A$3:$A$24,0)),"")))</f>
        <v/>
      </c>
      <c r="F3450" s="28" t="str">
        <f aca="false">IF(OR($D3450="",$E3450=""),"",IFERROR($D3450*INDEX(Setup!$B$27:$B$44,MATCH($E3450,Setup!$A$27:$A$44,0)),"TBD"))</f>
        <v/>
      </c>
      <c r="G3450" s="32"/>
      <c r="H3450" s="32"/>
      <c r="I3450" s="32"/>
      <c r="J3450" s="32"/>
      <c r="K3450" s="35"/>
      <c r="L3450" s="32"/>
      <c r="M3450" s="32"/>
    </row>
    <row r="3451" customFormat="false" ht="15" hidden="false" customHeight="true" outlineLevel="0" collapsed="false">
      <c r="A3451" s="32"/>
      <c r="B3451" s="32"/>
      <c r="C3451" s="32"/>
      <c r="D3451" s="32"/>
      <c r="E3451" s="34" t="str">
        <f aca="false">IF($B3451="","",IF($B3451="OUT","Liters",IFERROR(INDEX(Setup!$F$3:$F$24,MATCH($C3451,Setup!$A$3:$A$24,0)),"")))</f>
        <v/>
      </c>
      <c r="F3451" s="28" t="str">
        <f aca="false">IF(OR($D3451="",$E3451=""),"",IFERROR($D3451*INDEX(Setup!$B$27:$B$44,MATCH($E3451,Setup!$A$27:$A$44,0)),"TBD"))</f>
        <v/>
      </c>
      <c r="G3451" s="32"/>
      <c r="H3451" s="32"/>
      <c r="I3451" s="32"/>
      <c r="J3451" s="32"/>
      <c r="K3451" s="35"/>
      <c r="L3451" s="32"/>
      <c r="M3451" s="32"/>
    </row>
    <row r="3452" customFormat="false" ht="15" hidden="false" customHeight="true" outlineLevel="0" collapsed="false">
      <c r="A3452" s="32"/>
      <c r="B3452" s="32"/>
      <c r="C3452" s="32"/>
      <c r="D3452" s="32"/>
      <c r="E3452" s="34" t="str">
        <f aca="false">IF($B3452="","",IF($B3452="OUT","Liters",IFERROR(INDEX(Setup!$F$3:$F$24,MATCH($C3452,Setup!$A$3:$A$24,0)),"")))</f>
        <v/>
      </c>
      <c r="F3452" s="28" t="str">
        <f aca="false">IF(OR($D3452="",$E3452=""),"",IFERROR($D3452*INDEX(Setup!$B$27:$B$44,MATCH($E3452,Setup!$A$27:$A$44,0)),"TBD"))</f>
        <v/>
      </c>
      <c r="G3452" s="32"/>
      <c r="H3452" s="32"/>
      <c r="I3452" s="32"/>
      <c r="J3452" s="32"/>
      <c r="K3452" s="35"/>
      <c r="L3452" s="32"/>
      <c r="M3452" s="32"/>
    </row>
    <row r="3453" customFormat="false" ht="15" hidden="false" customHeight="true" outlineLevel="0" collapsed="false">
      <c r="A3453" s="32"/>
      <c r="B3453" s="32"/>
      <c r="C3453" s="32"/>
      <c r="D3453" s="32"/>
      <c r="E3453" s="34" t="str">
        <f aca="false">IF($B3453="","",IF($B3453="OUT","Liters",IFERROR(INDEX(Setup!$F$3:$F$24,MATCH($C3453,Setup!$A$3:$A$24,0)),"")))</f>
        <v/>
      </c>
      <c r="F3453" s="28" t="str">
        <f aca="false">IF(OR($D3453="",$E3453=""),"",IFERROR($D3453*INDEX(Setup!$B$27:$B$44,MATCH($E3453,Setup!$A$27:$A$44,0)),"TBD"))</f>
        <v/>
      </c>
      <c r="G3453" s="32"/>
      <c r="H3453" s="32"/>
      <c r="I3453" s="32"/>
      <c r="J3453" s="32"/>
      <c r="K3453" s="35"/>
      <c r="L3453" s="32"/>
      <c r="M3453" s="32"/>
    </row>
    <row r="3454" customFormat="false" ht="15" hidden="false" customHeight="true" outlineLevel="0" collapsed="false">
      <c r="A3454" s="32"/>
      <c r="B3454" s="32"/>
      <c r="C3454" s="32"/>
      <c r="D3454" s="32"/>
      <c r="E3454" s="34" t="str">
        <f aca="false">IF($B3454="","",IF($B3454="OUT","Liters",IFERROR(INDEX(Setup!$F$3:$F$24,MATCH($C3454,Setup!$A$3:$A$24,0)),"")))</f>
        <v/>
      </c>
      <c r="F3454" s="28" t="str">
        <f aca="false">IF(OR($D3454="",$E3454=""),"",IFERROR($D3454*INDEX(Setup!$B$27:$B$44,MATCH($E3454,Setup!$A$27:$A$44,0)),"TBD"))</f>
        <v/>
      </c>
      <c r="G3454" s="32"/>
      <c r="H3454" s="32"/>
      <c r="I3454" s="32"/>
      <c r="J3454" s="32"/>
      <c r="K3454" s="35"/>
      <c r="L3454" s="32"/>
      <c r="M3454" s="32"/>
    </row>
    <row r="3455" customFormat="false" ht="15" hidden="false" customHeight="true" outlineLevel="0" collapsed="false">
      <c r="A3455" s="32"/>
      <c r="B3455" s="32"/>
      <c r="C3455" s="32"/>
      <c r="D3455" s="32"/>
      <c r="E3455" s="34" t="str">
        <f aca="false">IF($B3455="","",IF($B3455="OUT","Liters",IFERROR(INDEX(Setup!$F$3:$F$24,MATCH($C3455,Setup!$A$3:$A$24,0)),"")))</f>
        <v/>
      </c>
      <c r="F3455" s="28" t="str">
        <f aca="false">IF(OR($D3455="",$E3455=""),"",IFERROR($D3455*INDEX(Setup!$B$27:$B$44,MATCH($E3455,Setup!$A$27:$A$44,0)),"TBD"))</f>
        <v/>
      </c>
      <c r="G3455" s="32"/>
      <c r="H3455" s="32"/>
      <c r="I3455" s="32"/>
      <c r="J3455" s="32"/>
      <c r="K3455" s="35"/>
      <c r="L3455" s="32"/>
      <c r="M3455" s="32"/>
    </row>
    <row r="3456" customFormat="false" ht="15" hidden="false" customHeight="true" outlineLevel="0" collapsed="false">
      <c r="A3456" s="32"/>
      <c r="B3456" s="32"/>
      <c r="C3456" s="32"/>
      <c r="D3456" s="32"/>
      <c r="E3456" s="34" t="str">
        <f aca="false">IF($B3456="","",IF($B3456="OUT","Liters",IFERROR(INDEX(Setup!$F$3:$F$24,MATCH($C3456,Setup!$A$3:$A$24,0)),"")))</f>
        <v/>
      </c>
      <c r="F3456" s="28" t="str">
        <f aca="false">IF(OR($D3456="",$E3456=""),"",IFERROR($D3456*INDEX(Setup!$B$27:$B$44,MATCH($E3456,Setup!$A$27:$A$44,0)),"TBD"))</f>
        <v/>
      </c>
      <c r="G3456" s="32"/>
      <c r="H3456" s="32"/>
      <c r="I3456" s="32"/>
      <c r="J3456" s="32"/>
      <c r="K3456" s="35"/>
      <c r="L3456" s="32"/>
      <c r="M3456" s="32"/>
    </row>
    <row r="3457" customFormat="false" ht="15" hidden="false" customHeight="true" outlineLevel="0" collapsed="false">
      <c r="A3457" s="32"/>
      <c r="B3457" s="32"/>
      <c r="C3457" s="32"/>
      <c r="D3457" s="32"/>
      <c r="E3457" s="34" t="str">
        <f aca="false">IF($B3457="","",IF($B3457="OUT","Liters",IFERROR(INDEX(Setup!$F$3:$F$24,MATCH($C3457,Setup!$A$3:$A$24,0)),"")))</f>
        <v/>
      </c>
      <c r="F3457" s="28" t="str">
        <f aca="false">IF(OR($D3457="",$E3457=""),"",IFERROR($D3457*INDEX(Setup!$B$27:$B$44,MATCH($E3457,Setup!$A$27:$A$44,0)),"TBD"))</f>
        <v/>
      </c>
      <c r="G3457" s="32"/>
      <c r="H3457" s="32"/>
      <c r="I3457" s="32"/>
      <c r="J3457" s="32"/>
      <c r="K3457" s="35"/>
      <c r="L3457" s="32"/>
      <c r="M3457" s="32"/>
    </row>
    <row r="3458" customFormat="false" ht="15" hidden="false" customHeight="true" outlineLevel="0" collapsed="false">
      <c r="A3458" s="32"/>
      <c r="B3458" s="32"/>
      <c r="C3458" s="32"/>
      <c r="D3458" s="32"/>
      <c r="E3458" s="34" t="str">
        <f aca="false">IF($B3458="","",IF($B3458="OUT","Liters",IFERROR(INDEX(Setup!$F$3:$F$24,MATCH($C3458,Setup!$A$3:$A$24,0)),"")))</f>
        <v/>
      </c>
      <c r="F3458" s="28" t="str">
        <f aca="false">IF(OR($D3458="",$E3458=""),"",IFERROR($D3458*INDEX(Setup!$B$27:$B$44,MATCH($E3458,Setup!$A$27:$A$44,0)),"TBD"))</f>
        <v/>
      </c>
      <c r="G3458" s="32"/>
      <c r="H3458" s="32"/>
      <c r="I3458" s="32"/>
      <c r="J3458" s="32"/>
      <c r="K3458" s="35"/>
      <c r="L3458" s="32"/>
      <c r="M3458" s="32"/>
    </row>
    <row r="3459" customFormat="false" ht="15" hidden="false" customHeight="true" outlineLevel="0" collapsed="false">
      <c r="A3459" s="32"/>
      <c r="B3459" s="32"/>
      <c r="C3459" s="32"/>
      <c r="D3459" s="32"/>
      <c r="E3459" s="34" t="str">
        <f aca="false">IF($B3459="","",IF($B3459="OUT","Liters",IFERROR(INDEX(Setup!$F$3:$F$24,MATCH($C3459,Setup!$A$3:$A$24,0)),"")))</f>
        <v/>
      </c>
      <c r="F3459" s="28" t="str">
        <f aca="false">IF(OR($D3459="",$E3459=""),"",IFERROR($D3459*INDEX(Setup!$B$27:$B$44,MATCH($E3459,Setup!$A$27:$A$44,0)),"TBD"))</f>
        <v/>
      </c>
      <c r="G3459" s="32"/>
      <c r="H3459" s="32"/>
      <c r="I3459" s="32"/>
      <c r="J3459" s="32"/>
      <c r="K3459" s="35"/>
      <c r="L3459" s="32"/>
      <c r="M3459" s="32"/>
    </row>
    <row r="3460" customFormat="false" ht="15" hidden="false" customHeight="true" outlineLevel="0" collapsed="false">
      <c r="A3460" s="32"/>
      <c r="B3460" s="32"/>
      <c r="C3460" s="32"/>
      <c r="D3460" s="32"/>
      <c r="E3460" s="34" t="str">
        <f aca="false">IF($B3460="","",IF($B3460="OUT","Liters",IFERROR(INDEX(Setup!$F$3:$F$24,MATCH($C3460,Setup!$A$3:$A$24,0)),"")))</f>
        <v/>
      </c>
      <c r="F3460" s="28" t="str">
        <f aca="false">IF(OR($D3460="",$E3460=""),"",IFERROR($D3460*INDEX(Setup!$B$27:$B$44,MATCH($E3460,Setup!$A$27:$A$44,0)),"TBD"))</f>
        <v/>
      </c>
      <c r="G3460" s="32"/>
      <c r="H3460" s="32"/>
      <c r="I3460" s="32"/>
      <c r="J3460" s="32"/>
      <c r="K3460" s="35"/>
      <c r="L3460" s="32"/>
      <c r="M3460" s="32"/>
    </row>
    <row r="3461" customFormat="false" ht="15" hidden="false" customHeight="true" outlineLevel="0" collapsed="false">
      <c r="A3461" s="32"/>
      <c r="B3461" s="32"/>
      <c r="C3461" s="32"/>
      <c r="D3461" s="32"/>
      <c r="E3461" s="34" t="str">
        <f aca="false">IF($B3461="","",IF($B3461="OUT","Liters",IFERROR(INDEX(Setup!$F$3:$F$24,MATCH($C3461,Setup!$A$3:$A$24,0)),"")))</f>
        <v/>
      </c>
      <c r="F3461" s="28" t="str">
        <f aca="false">IF(OR($D3461="",$E3461=""),"",IFERROR($D3461*INDEX(Setup!$B$27:$B$44,MATCH($E3461,Setup!$A$27:$A$44,0)),"TBD"))</f>
        <v/>
      </c>
      <c r="G3461" s="32"/>
      <c r="H3461" s="32"/>
      <c r="I3461" s="32"/>
      <c r="J3461" s="32"/>
      <c r="K3461" s="35"/>
      <c r="L3461" s="32"/>
      <c r="M3461" s="32"/>
    </row>
    <row r="3462" customFormat="false" ht="15" hidden="false" customHeight="true" outlineLevel="0" collapsed="false">
      <c r="A3462" s="32"/>
      <c r="B3462" s="32"/>
      <c r="C3462" s="32"/>
      <c r="D3462" s="32"/>
      <c r="E3462" s="34" t="str">
        <f aca="false">IF($B3462="","",IF($B3462="OUT","Liters",IFERROR(INDEX(Setup!$F$3:$F$24,MATCH($C3462,Setup!$A$3:$A$24,0)),"")))</f>
        <v/>
      </c>
      <c r="F3462" s="28" t="str">
        <f aca="false">IF(OR($D3462="",$E3462=""),"",IFERROR($D3462*INDEX(Setup!$B$27:$B$44,MATCH($E3462,Setup!$A$27:$A$44,0)),"TBD"))</f>
        <v/>
      </c>
      <c r="G3462" s="32"/>
      <c r="H3462" s="32"/>
      <c r="I3462" s="32"/>
      <c r="J3462" s="32"/>
      <c r="K3462" s="35"/>
      <c r="L3462" s="32"/>
      <c r="M3462" s="32"/>
    </row>
    <row r="3463" customFormat="false" ht="15" hidden="false" customHeight="true" outlineLevel="0" collapsed="false">
      <c r="A3463" s="32"/>
      <c r="B3463" s="32"/>
      <c r="C3463" s="32"/>
      <c r="D3463" s="32"/>
      <c r="E3463" s="34" t="str">
        <f aca="false">IF($B3463="","",IF($B3463="OUT","Liters",IFERROR(INDEX(Setup!$F$3:$F$24,MATCH($C3463,Setup!$A$3:$A$24,0)),"")))</f>
        <v/>
      </c>
      <c r="F3463" s="28" t="str">
        <f aca="false">IF(OR($D3463="",$E3463=""),"",IFERROR($D3463*INDEX(Setup!$B$27:$B$44,MATCH($E3463,Setup!$A$27:$A$44,0)),"TBD"))</f>
        <v/>
      </c>
      <c r="G3463" s="32"/>
      <c r="H3463" s="32"/>
      <c r="I3463" s="32"/>
      <c r="J3463" s="32"/>
      <c r="K3463" s="35"/>
      <c r="L3463" s="32"/>
      <c r="M3463" s="32"/>
    </row>
    <row r="3464" customFormat="false" ht="15" hidden="false" customHeight="true" outlineLevel="0" collapsed="false">
      <c r="A3464" s="32"/>
      <c r="B3464" s="32"/>
      <c r="C3464" s="32"/>
      <c r="D3464" s="32"/>
      <c r="E3464" s="34" t="str">
        <f aca="false">IF($B3464="","",IF($B3464="OUT","Liters",IFERROR(INDEX(Setup!$F$3:$F$24,MATCH($C3464,Setup!$A$3:$A$24,0)),"")))</f>
        <v/>
      </c>
      <c r="F3464" s="28" t="str">
        <f aca="false">IF(OR($D3464="",$E3464=""),"",IFERROR($D3464*INDEX(Setup!$B$27:$B$44,MATCH($E3464,Setup!$A$27:$A$44,0)),"TBD"))</f>
        <v/>
      </c>
      <c r="G3464" s="32"/>
      <c r="H3464" s="32"/>
      <c r="I3464" s="32"/>
      <c r="J3464" s="32"/>
      <c r="K3464" s="35"/>
      <c r="L3464" s="32"/>
      <c r="M3464" s="32"/>
    </row>
    <row r="3465" customFormat="false" ht="15" hidden="false" customHeight="true" outlineLevel="0" collapsed="false">
      <c r="A3465" s="32"/>
      <c r="B3465" s="32"/>
      <c r="C3465" s="32"/>
      <c r="D3465" s="32"/>
      <c r="E3465" s="34" t="str">
        <f aca="false">IF($B3465="","",IF($B3465="OUT","Liters",IFERROR(INDEX(Setup!$F$3:$F$24,MATCH($C3465,Setup!$A$3:$A$24,0)),"")))</f>
        <v/>
      </c>
      <c r="F3465" s="28" t="str">
        <f aca="false">IF(OR($D3465="",$E3465=""),"",IFERROR($D3465*INDEX(Setup!$B$27:$B$44,MATCH($E3465,Setup!$A$27:$A$44,0)),"TBD"))</f>
        <v/>
      </c>
      <c r="G3465" s="32"/>
      <c r="H3465" s="32"/>
      <c r="I3465" s="32"/>
      <c r="J3465" s="32"/>
      <c r="K3465" s="35"/>
      <c r="L3465" s="32"/>
      <c r="M3465" s="32"/>
    </row>
    <row r="3466" customFormat="false" ht="15" hidden="false" customHeight="true" outlineLevel="0" collapsed="false">
      <c r="A3466" s="32"/>
      <c r="B3466" s="32"/>
      <c r="C3466" s="32"/>
      <c r="D3466" s="32"/>
      <c r="E3466" s="34" t="str">
        <f aca="false">IF($B3466="","",IF($B3466="OUT","Liters",IFERROR(INDEX(Setup!$F$3:$F$24,MATCH($C3466,Setup!$A$3:$A$24,0)),"")))</f>
        <v/>
      </c>
      <c r="F3466" s="28" t="str">
        <f aca="false">IF(OR($D3466="",$E3466=""),"",IFERROR($D3466*INDEX(Setup!$B$27:$B$44,MATCH($E3466,Setup!$A$27:$A$44,0)),"TBD"))</f>
        <v/>
      </c>
      <c r="G3466" s="32"/>
      <c r="H3466" s="32"/>
      <c r="I3466" s="32"/>
      <c r="J3466" s="32"/>
      <c r="K3466" s="35"/>
      <c r="L3466" s="32"/>
      <c r="M3466" s="32"/>
    </row>
    <row r="3467" customFormat="false" ht="15" hidden="false" customHeight="true" outlineLevel="0" collapsed="false">
      <c r="A3467" s="32"/>
      <c r="B3467" s="32"/>
      <c r="C3467" s="32"/>
      <c r="D3467" s="32"/>
      <c r="E3467" s="34" t="str">
        <f aca="false">IF($B3467="","",IF($B3467="OUT","Liters",IFERROR(INDEX(Setup!$F$3:$F$24,MATCH($C3467,Setup!$A$3:$A$24,0)),"")))</f>
        <v/>
      </c>
      <c r="F3467" s="28" t="str">
        <f aca="false">IF(OR($D3467="",$E3467=""),"",IFERROR($D3467*INDEX(Setup!$B$27:$B$44,MATCH($E3467,Setup!$A$27:$A$44,0)),"TBD"))</f>
        <v/>
      </c>
      <c r="G3467" s="32"/>
      <c r="H3467" s="32"/>
      <c r="I3467" s="32"/>
      <c r="J3467" s="32"/>
      <c r="K3467" s="35"/>
      <c r="L3467" s="32"/>
      <c r="M3467" s="32"/>
    </row>
    <row r="3468" customFormat="false" ht="15" hidden="false" customHeight="true" outlineLevel="0" collapsed="false">
      <c r="A3468" s="32"/>
      <c r="B3468" s="32"/>
      <c r="C3468" s="32"/>
      <c r="D3468" s="32"/>
      <c r="E3468" s="34" t="str">
        <f aca="false">IF($B3468="","",IF($B3468="OUT","Liters",IFERROR(INDEX(Setup!$F$3:$F$24,MATCH($C3468,Setup!$A$3:$A$24,0)),"")))</f>
        <v/>
      </c>
      <c r="F3468" s="28" t="str">
        <f aca="false">IF(OR($D3468="",$E3468=""),"",IFERROR($D3468*INDEX(Setup!$B$27:$B$44,MATCH($E3468,Setup!$A$27:$A$44,0)),"TBD"))</f>
        <v/>
      </c>
      <c r="G3468" s="32"/>
      <c r="H3468" s="32"/>
      <c r="I3468" s="32"/>
      <c r="J3468" s="32"/>
      <c r="K3468" s="35"/>
      <c r="L3468" s="32"/>
      <c r="M3468" s="32"/>
    </row>
    <row r="3469" customFormat="false" ht="15" hidden="false" customHeight="true" outlineLevel="0" collapsed="false">
      <c r="A3469" s="32"/>
      <c r="B3469" s="32"/>
      <c r="C3469" s="32"/>
      <c r="D3469" s="32"/>
      <c r="E3469" s="34" t="str">
        <f aca="false">IF($B3469="","",IF($B3469="OUT","Liters",IFERROR(INDEX(Setup!$F$3:$F$24,MATCH($C3469,Setup!$A$3:$A$24,0)),"")))</f>
        <v/>
      </c>
      <c r="F3469" s="28" t="str">
        <f aca="false">IF(OR($D3469="",$E3469=""),"",IFERROR($D3469*INDEX(Setup!$B$27:$B$44,MATCH($E3469,Setup!$A$27:$A$44,0)),"TBD"))</f>
        <v/>
      </c>
      <c r="G3469" s="32"/>
      <c r="H3469" s="32"/>
      <c r="I3469" s="32"/>
      <c r="J3469" s="32"/>
      <c r="K3469" s="35"/>
      <c r="L3469" s="32"/>
      <c r="M3469" s="32"/>
    </row>
    <row r="3470" customFormat="false" ht="15" hidden="false" customHeight="true" outlineLevel="0" collapsed="false">
      <c r="A3470" s="32"/>
      <c r="B3470" s="32"/>
      <c r="C3470" s="32"/>
      <c r="D3470" s="32"/>
      <c r="E3470" s="34" t="str">
        <f aca="false">IF($B3470="","",IF($B3470="OUT","Liters",IFERROR(INDEX(Setup!$F$3:$F$24,MATCH($C3470,Setup!$A$3:$A$24,0)),"")))</f>
        <v/>
      </c>
      <c r="F3470" s="28" t="str">
        <f aca="false">IF(OR($D3470="",$E3470=""),"",IFERROR($D3470*INDEX(Setup!$B$27:$B$44,MATCH($E3470,Setup!$A$27:$A$44,0)),"TBD"))</f>
        <v/>
      </c>
      <c r="G3470" s="32"/>
      <c r="H3470" s="32"/>
      <c r="I3470" s="32"/>
      <c r="J3470" s="32"/>
      <c r="K3470" s="35"/>
      <c r="L3470" s="32"/>
      <c r="M3470" s="32"/>
    </row>
    <row r="3471" customFormat="false" ht="15" hidden="false" customHeight="true" outlineLevel="0" collapsed="false">
      <c r="A3471" s="32"/>
      <c r="B3471" s="32"/>
      <c r="C3471" s="32"/>
      <c r="D3471" s="32"/>
      <c r="E3471" s="34" t="str">
        <f aca="false">IF($B3471="","",IF($B3471="OUT","Liters",IFERROR(INDEX(Setup!$F$3:$F$24,MATCH($C3471,Setup!$A$3:$A$24,0)),"")))</f>
        <v/>
      </c>
      <c r="F3471" s="28" t="str">
        <f aca="false">IF(OR($D3471="",$E3471=""),"",IFERROR($D3471*INDEX(Setup!$B$27:$B$44,MATCH($E3471,Setup!$A$27:$A$44,0)),"TBD"))</f>
        <v/>
      </c>
      <c r="G3471" s="32"/>
      <c r="H3471" s="32"/>
      <c r="I3471" s="32"/>
      <c r="J3471" s="32"/>
      <c r="K3471" s="35"/>
      <c r="L3471" s="32"/>
      <c r="M3471" s="32"/>
    </row>
    <row r="3472" customFormat="false" ht="15" hidden="false" customHeight="true" outlineLevel="0" collapsed="false">
      <c r="A3472" s="32"/>
      <c r="B3472" s="32"/>
      <c r="C3472" s="32"/>
      <c r="D3472" s="32"/>
      <c r="E3472" s="34" t="str">
        <f aca="false">IF($B3472="","",IF($B3472="OUT","Liters",IFERROR(INDEX(Setup!$F$3:$F$24,MATCH($C3472,Setup!$A$3:$A$24,0)),"")))</f>
        <v/>
      </c>
      <c r="F3472" s="28" t="str">
        <f aca="false">IF(OR($D3472="",$E3472=""),"",IFERROR($D3472*INDEX(Setup!$B$27:$B$44,MATCH($E3472,Setup!$A$27:$A$44,0)),"TBD"))</f>
        <v/>
      </c>
      <c r="G3472" s="32"/>
      <c r="H3472" s="32"/>
      <c r="I3472" s="32"/>
      <c r="J3472" s="32"/>
      <c r="K3472" s="35"/>
      <c r="L3472" s="32"/>
      <c r="M3472" s="32"/>
    </row>
    <row r="3473" customFormat="false" ht="15" hidden="false" customHeight="true" outlineLevel="0" collapsed="false">
      <c r="A3473" s="32"/>
      <c r="B3473" s="32"/>
      <c r="C3473" s="32"/>
      <c r="D3473" s="32"/>
      <c r="E3473" s="34" t="str">
        <f aca="false">IF($B3473="","",IF($B3473="OUT","Liters",IFERROR(INDEX(Setup!$F$3:$F$24,MATCH($C3473,Setup!$A$3:$A$24,0)),"")))</f>
        <v/>
      </c>
      <c r="F3473" s="28" t="str">
        <f aca="false">IF(OR($D3473="",$E3473=""),"",IFERROR($D3473*INDEX(Setup!$B$27:$B$44,MATCH($E3473,Setup!$A$27:$A$44,0)),"TBD"))</f>
        <v/>
      </c>
      <c r="G3473" s="32"/>
      <c r="H3473" s="32"/>
      <c r="I3473" s="32"/>
      <c r="J3473" s="32"/>
      <c r="K3473" s="35"/>
      <c r="L3473" s="32"/>
      <c r="M3473" s="32"/>
    </row>
    <row r="3474" customFormat="false" ht="15" hidden="false" customHeight="true" outlineLevel="0" collapsed="false">
      <c r="A3474" s="32"/>
      <c r="B3474" s="32"/>
      <c r="C3474" s="32"/>
      <c r="D3474" s="32"/>
      <c r="E3474" s="34" t="str">
        <f aca="false">IF($B3474="","",IF($B3474="OUT","Liters",IFERROR(INDEX(Setup!$F$3:$F$24,MATCH($C3474,Setup!$A$3:$A$24,0)),"")))</f>
        <v/>
      </c>
      <c r="F3474" s="28" t="str">
        <f aca="false">IF(OR($D3474="",$E3474=""),"",IFERROR($D3474*INDEX(Setup!$B$27:$B$44,MATCH($E3474,Setup!$A$27:$A$44,0)),"TBD"))</f>
        <v/>
      </c>
      <c r="G3474" s="32"/>
      <c r="H3474" s="32"/>
      <c r="I3474" s="32"/>
      <c r="J3474" s="32"/>
      <c r="K3474" s="35"/>
      <c r="L3474" s="32"/>
      <c r="M3474" s="32"/>
    </row>
    <row r="3475" customFormat="false" ht="15" hidden="false" customHeight="true" outlineLevel="0" collapsed="false">
      <c r="A3475" s="32"/>
      <c r="B3475" s="32"/>
      <c r="C3475" s="32"/>
      <c r="D3475" s="32"/>
      <c r="E3475" s="34" t="str">
        <f aca="false">IF($B3475="","",IF($B3475="OUT","Liters",IFERROR(INDEX(Setup!$F$3:$F$24,MATCH($C3475,Setup!$A$3:$A$24,0)),"")))</f>
        <v/>
      </c>
      <c r="F3475" s="28" t="str">
        <f aca="false">IF(OR($D3475="",$E3475=""),"",IFERROR($D3475*INDEX(Setup!$B$27:$B$44,MATCH($E3475,Setup!$A$27:$A$44,0)),"TBD"))</f>
        <v/>
      </c>
      <c r="G3475" s="32"/>
      <c r="H3475" s="32"/>
      <c r="I3475" s="32"/>
      <c r="J3475" s="32"/>
      <c r="K3475" s="35"/>
      <c r="L3475" s="32"/>
      <c r="M3475" s="32"/>
    </row>
    <row r="3476" customFormat="false" ht="15" hidden="false" customHeight="true" outlineLevel="0" collapsed="false">
      <c r="A3476" s="32"/>
      <c r="B3476" s="32"/>
      <c r="C3476" s="32"/>
      <c r="D3476" s="32"/>
      <c r="E3476" s="34" t="str">
        <f aca="false">IF($B3476="","",IF($B3476="OUT","Liters",IFERROR(INDEX(Setup!$F$3:$F$24,MATCH($C3476,Setup!$A$3:$A$24,0)),"")))</f>
        <v/>
      </c>
      <c r="F3476" s="28" t="str">
        <f aca="false">IF(OR($D3476="",$E3476=""),"",IFERROR($D3476*INDEX(Setup!$B$27:$B$44,MATCH($E3476,Setup!$A$27:$A$44,0)),"TBD"))</f>
        <v/>
      </c>
      <c r="G3476" s="32"/>
      <c r="H3476" s="32"/>
      <c r="I3476" s="32"/>
      <c r="J3476" s="32"/>
      <c r="K3476" s="35"/>
      <c r="L3476" s="32"/>
      <c r="M3476" s="32"/>
    </row>
    <row r="3477" customFormat="false" ht="15" hidden="false" customHeight="true" outlineLevel="0" collapsed="false">
      <c r="A3477" s="32"/>
      <c r="B3477" s="32"/>
      <c r="C3477" s="32"/>
      <c r="D3477" s="32"/>
      <c r="E3477" s="34" t="str">
        <f aca="false">IF($B3477="","",IF($B3477="OUT","Liters",IFERROR(INDEX(Setup!$F$3:$F$24,MATCH($C3477,Setup!$A$3:$A$24,0)),"")))</f>
        <v/>
      </c>
      <c r="F3477" s="28" t="str">
        <f aca="false">IF(OR($D3477="",$E3477=""),"",IFERROR($D3477*INDEX(Setup!$B$27:$B$44,MATCH($E3477,Setup!$A$27:$A$44,0)),"TBD"))</f>
        <v/>
      </c>
      <c r="G3477" s="32"/>
      <c r="H3477" s="32"/>
      <c r="I3477" s="32"/>
      <c r="J3477" s="32"/>
      <c r="K3477" s="35"/>
      <c r="L3477" s="32"/>
      <c r="M3477" s="32"/>
    </row>
    <row r="3478" customFormat="false" ht="15" hidden="false" customHeight="true" outlineLevel="0" collapsed="false">
      <c r="A3478" s="32"/>
      <c r="B3478" s="32"/>
      <c r="C3478" s="32"/>
      <c r="D3478" s="32"/>
      <c r="E3478" s="34" t="str">
        <f aca="false">IF($B3478="","",IF($B3478="OUT","Liters",IFERROR(INDEX(Setup!$F$3:$F$24,MATCH($C3478,Setup!$A$3:$A$24,0)),"")))</f>
        <v/>
      </c>
      <c r="F3478" s="28" t="str">
        <f aca="false">IF(OR($D3478="",$E3478=""),"",IFERROR($D3478*INDEX(Setup!$B$27:$B$44,MATCH($E3478,Setup!$A$27:$A$44,0)),"TBD"))</f>
        <v/>
      </c>
      <c r="G3478" s="32"/>
      <c r="H3478" s="32"/>
      <c r="I3478" s="32"/>
      <c r="J3478" s="32"/>
      <c r="K3478" s="35"/>
      <c r="L3478" s="32"/>
      <c r="M3478" s="32"/>
    </row>
    <row r="3479" customFormat="false" ht="15" hidden="false" customHeight="true" outlineLevel="0" collapsed="false">
      <c r="A3479" s="32"/>
      <c r="B3479" s="32"/>
      <c r="C3479" s="32"/>
      <c r="D3479" s="32"/>
      <c r="E3479" s="34" t="str">
        <f aca="false">IF($B3479="","",IF($B3479="OUT","Liters",IFERROR(INDEX(Setup!$F$3:$F$24,MATCH($C3479,Setup!$A$3:$A$24,0)),"")))</f>
        <v/>
      </c>
      <c r="F3479" s="28" t="str">
        <f aca="false">IF(OR($D3479="",$E3479=""),"",IFERROR($D3479*INDEX(Setup!$B$27:$B$44,MATCH($E3479,Setup!$A$27:$A$44,0)),"TBD"))</f>
        <v/>
      </c>
      <c r="G3479" s="32"/>
      <c r="H3479" s="32"/>
      <c r="I3479" s="32"/>
      <c r="J3479" s="32"/>
      <c r="K3479" s="35"/>
      <c r="L3479" s="32"/>
      <c r="M3479" s="32"/>
    </row>
    <row r="3480" customFormat="false" ht="15" hidden="false" customHeight="true" outlineLevel="0" collapsed="false">
      <c r="A3480" s="32"/>
      <c r="B3480" s="32"/>
      <c r="C3480" s="32"/>
      <c r="D3480" s="32"/>
      <c r="E3480" s="34" t="str">
        <f aca="false">IF($B3480="","",IF($B3480="OUT","Liters",IFERROR(INDEX(Setup!$F$3:$F$24,MATCH($C3480,Setup!$A$3:$A$24,0)),"")))</f>
        <v/>
      </c>
      <c r="F3480" s="28" t="str">
        <f aca="false">IF(OR($D3480="",$E3480=""),"",IFERROR($D3480*INDEX(Setup!$B$27:$B$44,MATCH($E3480,Setup!$A$27:$A$44,0)),"TBD"))</f>
        <v/>
      </c>
      <c r="G3480" s="32"/>
      <c r="H3480" s="32"/>
      <c r="I3480" s="32"/>
      <c r="J3480" s="32"/>
      <c r="K3480" s="35"/>
      <c r="L3480" s="32"/>
      <c r="M3480" s="32"/>
    </row>
    <row r="3481" customFormat="false" ht="15" hidden="false" customHeight="true" outlineLevel="0" collapsed="false">
      <c r="A3481" s="32"/>
      <c r="B3481" s="32"/>
      <c r="C3481" s="32"/>
      <c r="D3481" s="32"/>
      <c r="E3481" s="34" t="str">
        <f aca="false">IF($B3481="","",IF($B3481="OUT","Liters",IFERROR(INDEX(Setup!$F$3:$F$24,MATCH($C3481,Setup!$A$3:$A$24,0)),"")))</f>
        <v/>
      </c>
      <c r="F3481" s="28" t="str">
        <f aca="false">IF(OR($D3481="",$E3481=""),"",IFERROR($D3481*INDEX(Setup!$B$27:$B$44,MATCH($E3481,Setup!$A$27:$A$44,0)),"TBD"))</f>
        <v/>
      </c>
      <c r="G3481" s="32"/>
      <c r="H3481" s="32"/>
      <c r="I3481" s="32"/>
      <c r="J3481" s="32"/>
      <c r="K3481" s="35"/>
      <c r="L3481" s="32"/>
      <c r="M3481" s="32"/>
    </row>
    <row r="3482" customFormat="false" ht="15" hidden="false" customHeight="true" outlineLevel="0" collapsed="false">
      <c r="A3482" s="32"/>
      <c r="B3482" s="32"/>
      <c r="C3482" s="32"/>
      <c r="D3482" s="32"/>
      <c r="E3482" s="34" t="str">
        <f aca="false">IF($B3482="","",IF($B3482="OUT","Liters",IFERROR(INDEX(Setup!$F$3:$F$24,MATCH($C3482,Setup!$A$3:$A$24,0)),"")))</f>
        <v/>
      </c>
      <c r="F3482" s="28" t="str">
        <f aca="false">IF(OR($D3482="",$E3482=""),"",IFERROR($D3482*INDEX(Setup!$B$27:$B$44,MATCH($E3482,Setup!$A$27:$A$44,0)),"TBD"))</f>
        <v/>
      </c>
      <c r="G3482" s="32"/>
      <c r="H3482" s="32"/>
      <c r="I3482" s="32"/>
      <c r="J3482" s="32"/>
      <c r="K3482" s="35"/>
      <c r="L3482" s="32"/>
      <c r="M3482" s="32"/>
    </row>
    <row r="3483" customFormat="false" ht="15" hidden="false" customHeight="true" outlineLevel="0" collapsed="false">
      <c r="A3483" s="32"/>
      <c r="B3483" s="32"/>
      <c r="C3483" s="32"/>
      <c r="D3483" s="32"/>
      <c r="E3483" s="34" t="str">
        <f aca="false">IF($B3483="","",IF($B3483="OUT","Liters",IFERROR(INDEX(Setup!$F$3:$F$24,MATCH($C3483,Setup!$A$3:$A$24,0)),"")))</f>
        <v/>
      </c>
      <c r="F3483" s="28" t="str">
        <f aca="false">IF(OR($D3483="",$E3483=""),"",IFERROR($D3483*INDEX(Setup!$B$27:$B$44,MATCH($E3483,Setup!$A$27:$A$44,0)),"TBD"))</f>
        <v/>
      </c>
      <c r="G3483" s="32"/>
      <c r="H3483" s="32"/>
      <c r="I3483" s="32"/>
      <c r="J3483" s="32"/>
      <c r="K3483" s="35"/>
      <c r="L3483" s="32"/>
      <c r="M3483" s="32"/>
    </row>
    <row r="3484" customFormat="false" ht="15" hidden="false" customHeight="true" outlineLevel="0" collapsed="false">
      <c r="A3484" s="32"/>
      <c r="B3484" s="32"/>
      <c r="C3484" s="32"/>
      <c r="D3484" s="32"/>
      <c r="E3484" s="34" t="str">
        <f aca="false">IF($B3484="","",IF($B3484="OUT","Liters",IFERROR(INDEX(Setup!$F$3:$F$24,MATCH($C3484,Setup!$A$3:$A$24,0)),"")))</f>
        <v/>
      </c>
      <c r="F3484" s="28" t="str">
        <f aca="false">IF(OR($D3484="",$E3484=""),"",IFERROR($D3484*INDEX(Setup!$B$27:$B$44,MATCH($E3484,Setup!$A$27:$A$44,0)),"TBD"))</f>
        <v/>
      </c>
      <c r="G3484" s="32"/>
      <c r="H3484" s="32"/>
      <c r="I3484" s="32"/>
      <c r="J3484" s="32"/>
      <c r="K3484" s="35"/>
      <c r="L3484" s="32"/>
      <c r="M3484" s="32"/>
    </row>
    <row r="3485" customFormat="false" ht="15" hidden="false" customHeight="true" outlineLevel="0" collapsed="false">
      <c r="A3485" s="32"/>
      <c r="B3485" s="32"/>
      <c r="C3485" s="32"/>
      <c r="D3485" s="32"/>
      <c r="E3485" s="34" t="str">
        <f aca="false">IF($B3485="","",IF($B3485="OUT","Liters",IFERROR(INDEX(Setup!$F$3:$F$24,MATCH($C3485,Setup!$A$3:$A$24,0)),"")))</f>
        <v/>
      </c>
      <c r="F3485" s="28" t="str">
        <f aca="false">IF(OR($D3485="",$E3485=""),"",IFERROR($D3485*INDEX(Setup!$B$27:$B$44,MATCH($E3485,Setup!$A$27:$A$44,0)),"TBD"))</f>
        <v/>
      </c>
      <c r="G3485" s="32"/>
      <c r="H3485" s="32"/>
      <c r="I3485" s="32"/>
      <c r="J3485" s="32"/>
      <c r="K3485" s="35"/>
      <c r="L3485" s="32"/>
      <c r="M3485" s="32"/>
    </row>
    <row r="3486" customFormat="false" ht="15" hidden="false" customHeight="true" outlineLevel="0" collapsed="false">
      <c r="A3486" s="32"/>
      <c r="B3486" s="32"/>
      <c r="C3486" s="32"/>
      <c r="D3486" s="32"/>
      <c r="E3486" s="34" t="str">
        <f aca="false">IF($B3486="","",IF($B3486="OUT","Liters",IFERROR(INDEX(Setup!$F$3:$F$24,MATCH($C3486,Setup!$A$3:$A$24,0)),"")))</f>
        <v/>
      </c>
      <c r="F3486" s="28" t="str">
        <f aca="false">IF(OR($D3486="",$E3486=""),"",IFERROR($D3486*INDEX(Setup!$B$27:$B$44,MATCH($E3486,Setup!$A$27:$A$44,0)),"TBD"))</f>
        <v/>
      </c>
      <c r="G3486" s="32"/>
      <c r="H3486" s="32"/>
      <c r="I3486" s="32"/>
      <c r="J3486" s="32"/>
      <c r="K3486" s="35"/>
      <c r="L3486" s="32"/>
      <c r="M3486" s="32"/>
    </row>
    <row r="3487" customFormat="false" ht="15" hidden="false" customHeight="true" outlineLevel="0" collapsed="false">
      <c r="A3487" s="32"/>
      <c r="B3487" s="32"/>
      <c r="C3487" s="32"/>
      <c r="D3487" s="32"/>
      <c r="E3487" s="34" t="str">
        <f aca="false">IF($B3487="","",IF($B3487="OUT","Liters",IFERROR(INDEX(Setup!$F$3:$F$24,MATCH($C3487,Setup!$A$3:$A$24,0)),"")))</f>
        <v/>
      </c>
      <c r="F3487" s="28" t="str">
        <f aca="false">IF(OR($D3487="",$E3487=""),"",IFERROR($D3487*INDEX(Setup!$B$27:$B$44,MATCH($E3487,Setup!$A$27:$A$44,0)),"TBD"))</f>
        <v/>
      </c>
      <c r="G3487" s="32"/>
      <c r="H3487" s="32"/>
      <c r="I3487" s="32"/>
      <c r="J3487" s="32"/>
      <c r="K3487" s="35"/>
      <c r="L3487" s="32"/>
      <c r="M3487" s="32"/>
    </row>
    <row r="3488" customFormat="false" ht="15" hidden="false" customHeight="true" outlineLevel="0" collapsed="false">
      <c r="A3488" s="32"/>
      <c r="B3488" s="32"/>
      <c r="C3488" s="32"/>
      <c r="D3488" s="32"/>
      <c r="E3488" s="34" t="str">
        <f aca="false">IF($B3488="","",IF($B3488="OUT","Liters",IFERROR(INDEX(Setup!$F$3:$F$24,MATCH($C3488,Setup!$A$3:$A$24,0)),"")))</f>
        <v/>
      </c>
      <c r="F3488" s="28" t="str">
        <f aca="false">IF(OR($D3488="",$E3488=""),"",IFERROR($D3488*INDEX(Setup!$B$27:$B$44,MATCH($E3488,Setup!$A$27:$A$44,0)),"TBD"))</f>
        <v/>
      </c>
      <c r="G3488" s="32"/>
      <c r="H3488" s="32"/>
      <c r="I3488" s="32"/>
      <c r="J3488" s="32"/>
      <c r="K3488" s="35"/>
      <c r="L3488" s="32"/>
      <c r="M3488" s="32"/>
    </row>
    <row r="3489" customFormat="false" ht="15" hidden="false" customHeight="true" outlineLevel="0" collapsed="false">
      <c r="A3489" s="32"/>
      <c r="B3489" s="32"/>
      <c r="C3489" s="32"/>
      <c r="D3489" s="32"/>
      <c r="E3489" s="34" t="str">
        <f aca="false">IF($B3489="","",IF($B3489="OUT","Liters",IFERROR(INDEX(Setup!$F$3:$F$24,MATCH($C3489,Setup!$A$3:$A$24,0)),"")))</f>
        <v/>
      </c>
      <c r="F3489" s="28" t="str">
        <f aca="false">IF(OR($D3489="",$E3489=""),"",IFERROR($D3489*INDEX(Setup!$B$27:$B$44,MATCH($E3489,Setup!$A$27:$A$44,0)),"TBD"))</f>
        <v/>
      </c>
      <c r="G3489" s="32"/>
      <c r="H3489" s="32"/>
      <c r="I3489" s="32"/>
      <c r="J3489" s="32"/>
      <c r="K3489" s="35"/>
      <c r="L3489" s="32"/>
      <c r="M3489" s="32"/>
    </row>
    <row r="3490" customFormat="false" ht="15" hidden="false" customHeight="true" outlineLevel="0" collapsed="false">
      <c r="A3490" s="32"/>
      <c r="B3490" s="32"/>
      <c r="C3490" s="32"/>
      <c r="D3490" s="32"/>
      <c r="E3490" s="34" t="str">
        <f aca="false">IF($B3490="","",IF($B3490="OUT","Liters",IFERROR(INDEX(Setup!$F$3:$F$24,MATCH($C3490,Setup!$A$3:$A$24,0)),"")))</f>
        <v/>
      </c>
      <c r="F3490" s="28" t="str">
        <f aca="false">IF(OR($D3490="",$E3490=""),"",IFERROR($D3490*INDEX(Setup!$B$27:$B$44,MATCH($E3490,Setup!$A$27:$A$44,0)),"TBD"))</f>
        <v/>
      </c>
      <c r="G3490" s="32"/>
      <c r="H3490" s="32"/>
      <c r="I3490" s="32"/>
      <c r="J3490" s="32"/>
      <c r="K3490" s="35"/>
      <c r="L3490" s="32"/>
      <c r="M3490" s="32"/>
    </row>
    <row r="3491" customFormat="false" ht="15" hidden="false" customHeight="true" outlineLevel="0" collapsed="false">
      <c r="A3491" s="32"/>
      <c r="B3491" s="32"/>
      <c r="C3491" s="32"/>
      <c r="D3491" s="32"/>
      <c r="E3491" s="34" t="str">
        <f aca="false">IF($B3491="","",IF($B3491="OUT","Liters",IFERROR(INDEX(Setup!$F$3:$F$24,MATCH($C3491,Setup!$A$3:$A$24,0)),"")))</f>
        <v/>
      </c>
      <c r="F3491" s="28" t="str">
        <f aca="false">IF(OR($D3491="",$E3491=""),"",IFERROR($D3491*INDEX(Setup!$B$27:$B$44,MATCH($E3491,Setup!$A$27:$A$44,0)),"TBD"))</f>
        <v/>
      </c>
      <c r="G3491" s="32"/>
      <c r="H3491" s="32"/>
      <c r="I3491" s="32"/>
      <c r="J3491" s="32"/>
      <c r="K3491" s="35"/>
      <c r="L3491" s="32"/>
      <c r="M3491" s="32"/>
    </row>
    <row r="3492" customFormat="false" ht="15" hidden="false" customHeight="true" outlineLevel="0" collapsed="false">
      <c r="A3492" s="32"/>
      <c r="B3492" s="32"/>
      <c r="C3492" s="32"/>
      <c r="D3492" s="32"/>
      <c r="E3492" s="34" t="str">
        <f aca="false">IF($B3492="","",IF($B3492="OUT","Liters",IFERROR(INDEX(Setup!$F$3:$F$24,MATCH($C3492,Setup!$A$3:$A$24,0)),"")))</f>
        <v/>
      </c>
      <c r="F3492" s="28" t="str">
        <f aca="false">IF(OR($D3492="",$E3492=""),"",IFERROR($D3492*INDEX(Setup!$B$27:$B$44,MATCH($E3492,Setup!$A$27:$A$44,0)),"TBD"))</f>
        <v/>
      </c>
      <c r="G3492" s="32"/>
      <c r="H3492" s="32"/>
      <c r="I3492" s="32"/>
      <c r="J3492" s="32"/>
      <c r="K3492" s="35"/>
      <c r="L3492" s="32"/>
      <c r="M3492" s="32"/>
    </row>
    <row r="3493" customFormat="false" ht="15" hidden="false" customHeight="true" outlineLevel="0" collapsed="false">
      <c r="A3493" s="32"/>
      <c r="B3493" s="32"/>
      <c r="C3493" s="32"/>
      <c r="D3493" s="32"/>
      <c r="E3493" s="34" t="str">
        <f aca="false">IF($B3493="","",IF($B3493="OUT","Liters",IFERROR(INDEX(Setup!$F$3:$F$24,MATCH($C3493,Setup!$A$3:$A$24,0)),"")))</f>
        <v/>
      </c>
      <c r="F3493" s="28" t="str">
        <f aca="false">IF(OR($D3493="",$E3493=""),"",IFERROR($D3493*INDEX(Setup!$B$27:$B$44,MATCH($E3493,Setup!$A$27:$A$44,0)),"TBD"))</f>
        <v/>
      </c>
      <c r="G3493" s="32"/>
      <c r="H3493" s="32"/>
      <c r="I3493" s="32"/>
      <c r="J3493" s="32"/>
      <c r="K3493" s="35"/>
      <c r="L3493" s="32"/>
      <c r="M3493" s="32"/>
    </row>
    <row r="3494" customFormat="false" ht="15" hidden="false" customHeight="true" outlineLevel="0" collapsed="false">
      <c r="A3494" s="32"/>
      <c r="B3494" s="32"/>
      <c r="C3494" s="32"/>
      <c r="D3494" s="32"/>
      <c r="E3494" s="34" t="str">
        <f aca="false">IF($B3494="","",IF($B3494="OUT","Liters",IFERROR(INDEX(Setup!$F$3:$F$24,MATCH($C3494,Setup!$A$3:$A$24,0)),"")))</f>
        <v/>
      </c>
      <c r="F3494" s="28" t="str">
        <f aca="false">IF(OR($D3494="",$E3494=""),"",IFERROR($D3494*INDEX(Setup!$B$27:$B$44,MATCH($E3494,Setup!$A$27:$A$44,0)),"TBD"))</f>
        <v/>
      </c>
      <c r="G3494" s="32"/>
      <c r="H3494" s="32"/>
      <c r="I3494" s="32"/>
      <c r="J3494" s="32"/>
      <c r="K3494" s="35"/>
      <c r="L3494" s="32"/>
      <c r="M3494" s="32"/>
    </row>
    <row r="3495" customFormat="false" ht="15" hidden="false" customHeight="true" outlineLevel="0" collapsed="false">
      <c r="A3495" s="32"/>
      <c r="B3495" s="32"/>
      <c r="C3495" s="32"/>
      <c r="D3495" s="32"/>
      <c r="E3495" s="34" t="str">
        <f aca="false">IF($B3495="","",IF($B3495="OUT","Liters",IFERROR(INDEX(Setup!$F$3:$F$24,MATCH($C3495,Setup!$A$3:$A$24,0)),"")))</f>
        <v/>
      </c>
      <c r="F3495" s="28" t="str">
        <f aca="false">IF(OR($D3495="",$E3495=""),"",IFERROR($D3495*INDEX(Setup!$B$27:$B$44,MATCH($E3495,Setup!$A$27:$A$44,0)),"TBD"))</f>
        <v/>
      </c>
      <c r="G3495" s="32"/>
      <c r="H3495" s="32"/>
      <c r="I3495" s="32"/>
      <c r="J3495" s="32"/>
      <c r="K3495" s="35"/>
      <c r="L3495" s="32"/>
      <c r="M3495" s="32"/>
    </row>
    <row r="3496" customFormat="false" ht="15" hidden="false" customHeight="true" outlineLevel="0" collapsed="false">
      <c r="A3496" s="32"/>
      <c r="B3496" s="32"/>
      <c r="C3496" s="32"/>
      <c r="D3496" s="32"/>
      <c r="E3496" s="34" t="str">
        <f aca="false">IF($B3496="","",IF($B3496="OUT","Liters",IFERROR(INDEX(Setup!$F$3:$F$24,MATCH($C3496,Setup!$A$3:$A$24,0)),"")))</f>
        <v/>
      </c>
      <c r="F3496" s="28" t="str">
        <f aca="false">IF(OR($D3496="",$E3496=""),"",IFERROR($D3496*INDEX(Setup!$B$27:$B$44,MATCH($E3496,Setup!$A$27:$A$44,0)),"TBD"))</f>
        <v/>
      </c>
      <c r="G3496" s="32"/>
      <c r="H3496" s="32"/>
      <c r="I3496" s="32"/>
      <c r="J3496" s="32"/>
      <c r="K3496" s="35"/>
      <c r="L3496" s="32"/>
      <c r="M3496" s="32"/>
    </row>
    <row r="3497" customFormat="false" ht="15" hidden="false" customHeight="true" outlineLevel="0" collapsed="false">
      <c r="A3497" s="32"/>
      <c r="B3497" s="32"/>
      <c r="C3497" s="32"/>
      <c r="D3497" s="32"/>
      <c r="E3497" s="34" t="str">
        <f aca="false">IF($B3497="","",IF($B3497="OUT","Liters",IFERROR(INDEX(Setup!$F$3:$F$24,MATCH($C3497,Setup!$A$3:$A$24,0)),"")))</f>
        <v/>
      </c>
      <c r="F3497" s="28" t="str">
        <f aca="false">IF(OR($D3497="",$E3497=""),"",IFERROR($D3497*INDEX(Setup!$B$27:$B$44,MATCH($E3497,Setup!$A$27:$A$44,0)),"TBD"))</f>
        <v/>
      </c>
      <c r="G3497" s="32"/>
      <c r="H3497" s="32"/>
      <c r="I3497" s="32"/>
      <c r="J3497" s="32"/>
      <c r="K3497" s="35"/>
      <c r="L3497" s="32"/>
      <c r="M3497" s="32"/>
    </row>
    <row r="3498" customFormat="false" ht="15" hidden="false" customHeight="true" outlineLevel="0" collapsed="false">
      <c r="A3498" s="32"/>
      <c r="B3498" s="32"/>
      <c r="C3498" s="32"/>
      <c r="D3498" s="32"/>
      <c r="E3498" s="34" t="str">
        <f aca="false">IF($B3498="","",IF($B3498="OUT","Liters",IFERROR(INDEX(Setup!$F$3:$F$24,MATCH($C3498,Setup!$A$3:$A$24,0)),"")))</f>
        <v/>
      </c>
      <c r="F3498" s="28" t="str">
        <f aca="false">IF(OR($D3498="",$E3498=""),"",IFERROR($D3498*INDEX(Setup!$B$27:$B$44,MATCH($E3498,Setup!$A$27:$A$44,0)),"TBD"))</f>
        <v/>
      </c>
      <c r="G3498" s="32"/>
      <c r="H3498" s="32"/>
      <c r="I3498" s="32"/>
      <c r="J3498" s="32"/>
      <c r="K3498" s="35"/>
      <c r="L3498" s="32"/>
      <c r="M3498" s="32"/>
    </row>
    <row r="3499" customFormat="false" ht="15" hidden="false" customHeight="true" outlineLevel="0" collapsed="false">
      <c r="A3499" s="32"/>
      <c r="B3499" s="32"/>
      <c r="C3499" s="32"/>
      <c r="D3499" s="32"/>
      <c r="E3499" s="34" t="str">
        <f aca="false">IF($B3499="","",IF($B3499="OUT","Liters",IFERROR(INDEX(Setup!$F$3:$F$24,MATCH($C3499,Setup!$A$3:$A$24,0)),"")))</f>
        <v/>
      </c>
      <c r="F3499" s="28" t="str">
        <f aca="false">IF(OR($D3499="",$E3499=""),"",IFERROR($D3499*INDEX(Setup!$B$27:$B$44,MATCH($E3499,Setup!$A$27:$A$44,0)),"TBD"))</f>
        <v/>
      </c>
      <c r="G3499" s="32"/>
      <c r="H3499" s="32"/>
      <c r="I3499" s="32"/>
      <c r="J3499" s="32"/>
      <c r="K3499" s="35"/>
      <c r="L3499" s="32"/>
      <c r="M3499" s="32"/>
    </row>
    <row r="3500" customFormat="false" ht="15" hidden="false" customHeight="true" outlineLevel="0" collapsed="false">
      <c r="A3500" s="32"/>
      <c r="B3500" s="32"/>
      <c r="C3500" s="32"/>
      <c r="D3500" s="32"/>
      <c r="E3500" s="34" t="str">
        <f aca="false">IF($B3500="","",IF($B3500="OUT","Liters",IFERROR(INDEX(Setup!$F$3:$F$24,MATCH($C3500,Setup!$A$3:$A$24,0)),"")))</f>
        <v/>
      </c>
      <c r="F3500" s="28" t="str">
        <f aca="false">IF(OR($D3500="",$E3500=""),"",IFERROR($D3500*INDEX(Setup!$B$27:$B$44,MATCH($E3500,Setup!$A$27:$A$44,0)),"TBD"))</f>
        <v/>
      </c>
      <c r="G3500" s="32"/>
      <c r="H3500" s="32"/>
      <c r="I3500" s="32"/>
      <c r="J3500" s="32"/>
      <c r="K3500" s="35"/>
      <c r="L3500" s="32"/>
      <c r="M3500" s="32"/>
    </row>
    <row r="3501" customFormat="false" ht="15" hidden="false" customHeight="true" outlineLevel="0" collapsed="false">
      <c r="A3501" s="32"/>
      <c r="B3501" s="32"/>
      <c r="C3501" s="32"/>
      <c r="D3501" s="32"/>
      <c r="E3501" s="34" t="str">
        <f aca="false">IF($B3501="","",IF($B3501="OUT","Liters",IFERROR(INDEX(Setup!$F$3:$F$24,MATCH($C3501,Setup!$A$3:$A$24,0)),"")))</f>
        <v/>
      </c>
      <c r="F3501" s="28" t="str">
        <f aca="false">IF(OR($D3501="",$E3501=""),"",IFERROR($D3501*INDEX(Setup!$B$27:$B$44,MATCH($E3501,Setup!$A$27:$A$44,0)),"TBD"))</f>
        <v/>
      </c>
      <c r="G3501" s="32"/>
      <c r="H3501" s="32"/>
      <c r="I3501" s="32"/>
      <c r="J3501" s="32"/>
      <c r="K3501" s="35"/>
      <c r="L3501" s="32"/>
      <c r="M3501" s="32"/>
    </row>
    <row r="3502" customFormat="false" ht="15" hidden="false" customHeight="true" outlineLevel="0" collapsed="false">
      <c r="A3502" s="32"/>
      <c r="B3502" s="32"/>
      <c r="C3502" s="32"/>
      <c r="D3502" s="32"/>
      <c r="E3502" s="34" t="str">
        <f aca="false">IF($B3502="","",IF($B3502="OUT","Liters",IFERROR(INDEX(Setup!$F$3:$F$24,MATCH($C3502,Setup!$A$3:$A$24,0)),"")))</f>
        <v/>
      </c>
      <c r="F3502" s="28" t="str">
        <f aca="false">IF(OR($D3502="",$E3502=""),"",IFERROR($D3502*INDEX(Setup!$B$27:$B$44,MATCH($E3502,Setup!$A$27:$A$44,0)),"TBD"))</f>
        <v/>
      </c>
      <c r="G3502" s="32"/>
      <c r="H3502" s="32"/>
      <c r="I3502" s="32"/>
      <c r="J3502" s="32"/>
      <c r="K3502" s="35"/>
      <c r="L3502" s="32"/>
      <c r="M3502" s="32"/>
    </row>
    <row r="3503" customFormat="false" ht="15" hidden="false" customHeight="true" outlineLevel="0" collapsed="false">
      <c r="A3503" s="32"/>
      <c r="B3503" s="32"/>
      <c r="C3503" s="32"/>
      <c r="D3503" s="32"/>
      <c r="E3503" s="34" t="str">
        <f aca="false">IF($B3503="","",IF($B3503="OUT","Liters",IFERROR(INDEX(Setup!$F$3:$F$24,MATCH($C3503,Setup!$A$3:$A$24,0)),"")))</f>
        <v/>
      </c>
      <c r="F3503" s="28" t="str">
        <f aca="false">IF(OR($D3503="",$E3503=""),"",IFERROR($D3503*INDEX(Setup!$B$27:$B$44,MATCH($E3503,Setup!$A$27:$A$44,0)),"TBD"))</f>
        <v/>
      </c>
      <c r="G3503" s="32"/>
      <c r="H3503" s="32"/>
      <c r="I3503" s="32"/>
      <c r="J3503" s="32"/>
      <c r="K3503" s="35"/>
      <c r="L3503" s="32"/>
      <c r="M3503" s="32"/>
    </row>
    <row r="3504" customFormat="false" ht="15" hidden="false" customHeight="true" outlineLevel="0" collapsed="false">
      <c r="A3504" s="32"/>
      <c r="B3504" s="32"/>
      <c r="C3504" s="32"/>
      <c r="D3504" s="32"/>
      <c r="E3504" s="34" t="str">
        <f aca="false">IF($B3504="","",IF($B3504="OUT","Liters",IFERROR(INDEX(Setup!$F$3:$F$24,MATCH($C3504,Setup!$A$3:$A$24,0)),"")))</f>
        <v/>
      </c>
      <c r="F3504" s="28" t="str">
        <f aca="false">IF(OR($D3504="",$E3504=""),"",IFERROR($D3504*INDEX(Setup!$B$27:$B$44,MATCH($E3504,Setup!$A$27:$A$44,0)),"TBD"))</f>
        <v/>
      </c>
      <c r="G3504" s="32"/>
      <c r="H3504" s="32"/>
      <c r="I3504" s="32"/>
      <c r="J3504" s="32"/>
      <c r="K3504" s="35"/>
      <c r="L3504" s="32"/>
      <c r="M3504" s="32"/>
    </row>
    <row r="3505" customFormat="false" ht="15" hidden="false" customHeight="true" outlineLevel="0" collapsed="false">
      <c r="A3505" s="32"/>
      <c r="B3505" s="32"/>
      <c r="C3505" s="32"/>
      <c r="D3505" s="32"/>
      <c r="E3505" s="34" t="str">
        <f aca="false">IF($B3505="","",IF($B3505="OUT","Liters",IFERROR(INDEX(Setup!$F$3:$F$24,MATCH($C3505,Setup!$A$3:$A$24,0)),"")))</f>
        <v/>
      </c>
      <c r="F3505" s="28" t="str">
        <f aca="false">IF(OR($D3505="",$E3505=""),"",IFERROR($D3505*INDEX(Setup!$B$27:$B$44,MATCH($E3505,Setup!$A$27:$A$44,0)),"TBD"))</f>
        <v/>
      </c>
      <c r="G3505" s="32"/>
      <c r="H3505" s="32"/>
      <c r="I3505" s="32"/>
      <c r="J3505" s="32"/>
      <c r="K3505" s="35"/>
      <c r="L3505" s="32"/>
      <c r="M3505" s="32"/>
    </row>
    <row r="3506" customFormat="false" ht="15" hidden="false" customHeight="true" outlineLevel="0" collapsed="false">
      <c r="A3506" s="32"/>
      <c r="B3506" s="32"/>
      <c r="C3506" s="32"/>
      <c r="D3506" s="32"/>
      <c r="E3506" s="34" t="str">
        <f aca="false">IF($B3506="","",IF($B3506="OUT","Liters",IFERROR(INDEX(Setup!$F$3:$F$24,MATCH($C3506,Setup!$A$3:$A$24,0)),"")))</f>
        <v/>
      </c>
      <c r="F3506" s="28" t="str">
        <f aca="false">IF(OR($D3506="",$E3506=""),"",IFERROR($D3506*INDEX(Setup!$B$27:$B$44,MATCH($E3506,Setup!$A$27:$A$44,0)),"TBD"))</f>
        <v/>
      </c>
      <c r="G3506" s="32"/>
      <c r="H3506" s="32"/>
      <c r="I3506" s="32"/>
      <c r="J3506" s="32"/>
      <c r="K3506" s="35"/>
      <c r="L3506" s="32"/>
      <c r="M3506" s="32"/>
    </row>
    <row r="3507" customFormat="false" ht="15" hidden="false" customHeight="true" outlineLevel="0" collapsed="false">
      <c r="A3507" s="32"/>
      <c r="B3507" s="32"/>
      <c r="C3507" s="32"/>
      <c r="D3507" s="32"/>
      <c r="E3507" s="34" t="str">
        <f aca="false">IF($B3507="","",IF($B3507="OUT","Liters",IFERROR(INDEX(Setup!$F$3:$F$24,MATCH($C3507,Setup!$A$3:$A$24,0)),"")))</f>
        <v/>
      </c>
      <c r="F3507" s="28" t="str">
        <f aca="false">IF(OR($D3507="",$E3507=""),"",IFERROR($D3507*INDEX(Setup!$B$27:$B$44,MATCH($E3507,Setup!$A$27:$A$44,0)),"TBD"))</f>
        <v/>
      </c>
      <c r="G3507" s="32"/>
      <c r="H3507" s="32"/>
      <c r="I3507" s="32"/>
      <c r="J3507" s="32"/>
      <c r="K3507" s="35"/>
      <c r="L3507" s="32"/>
      <c r="M3507" s="32"/>
    </row>
    <row r="3508" customFormat="false" ht="15" hidden="false" customHeight="true" outlineLevel="0" collapsed="false">
      <c r="A3508" s="32"/>
      <c r="B3508" s="32"/>
      <c r="C3508" s="32"/>
      <c r="D3508" s="32"/>
      <c r="E3508" s="34" t="str">
        <f aca="false">IF($B3508="","",IF($B3508="OUT","Liters",IFERROR(INDEX(Setup!$F$3:$F$24,MATCH($C3508,Setup!$A$3:$A$24,0)),"")))</f>
        <v/>
      </c>
      <c r="F3508" s="28" t="str">
        <f aca="false">IF(OR($D3508="",$E3508=""),"",IFERROR($D3508*INDEX(Setup!$B$27:$B$44,MATCH($E3508,Setup!$A$27:$A$44,0)),"TBD"))</f>
        <v/>
      </c>
      <c r="G3508" s="32"/>
      <c r="H3508" s="32"/>
      <c r="I3508" s="32"/>
      <c r="J3508" s="32"/>
      <c r="K3508" s="35"/>
      <c r="L3508" s="32"/>
      <c r="M3508" s="32"/>
    </row>
    <row r="3509" customFormat="false" ht="15" hidden="false" customHeight="true" outlineLevel="0" collapsed="false">
      <c r="A3509" s="32"/>
      <c r="B3509" s="32"/>
      <c r="C3509" s="32"/>
      <c r="D3509" s="32"/>
      <c r="E3509" s="34" t="str">
        <f aca="false">IF($B3509="","",IF($B3509="OUT","Liters",IFERROR(INDEX(Setup!$F$3:$F$24,MATCH($C3509,Setup!$A$3:$A$24,0)),"")))</f>
        <v/>
      </c>
      <c r="F3509" s="28" t="str">
        <f aca="false">IF(OR($D3509="",$E3509=""),"",IFERROR($D3509*INDEX(Setup!$B$27:$B$44,MATCH($E3509,Setup!$A$27:$A$44,0)),"TBD"))</f>
        <v/>
      </c>
      <c r="G3509" s="32"/>
      <c r="H3509" s="32"/>
      <c r="I3509" s="32"/>
      <c r="J3509" s="32"/>
      <c r="K3509" s="35"/>
      <c r="L3509" s="32"/>
      <c r="M3509" s="32"/>
    </row>
    <row r="3510" customFormat="false" ht="15" hidden="false" customHeight="true" outlineLevel="0" collapsed="false">
      <c r="A3510" s="32"/>
      <c r="B3510" s="32"/>
      <c r="C3510" s="32"/>
      <c r="D3510" s="32"/>
      <c r="E3510" s="34" t="str">
        <f aca="false">IF($B3510="","",IF($B3510="OUT","Liters",IFERROR(INDEX(Setup!$F$3:$F$24,MATCH($C3510,Setup!$A$3:$A$24,0)),"")))</f>
        <v/>
      </c>
      <c r="F3510" s="28" t="str">
        <f aca="false">IF(OR($D3510="",$E3510=""),"",IFERROR($D3510*INDEX(Setup!$B$27:$B$44,MATCH($E3510,Setup!$A$27:$A$44,0)),"TBD"))</f>
        <v/>
      </c>
      <c r="G3510" s="32"/>
      <c r="H3510" s="32"/>
      <c r="I3510" s="32"/>
      <c r="J3510" s="32"/>
      <c r="K3510" s="35"/>
      <c r="L3510" s="32"/>
      <c r="M3510" s="32"/>
    </row>
    <row r="3511" customFormat="false" ht="15" hidden="false" customHeight="true" outlineLevel="0" collapsed="false">
      <c r="A3511" s="32"/>
      <c r="B3511" s="32"/>
      <c r="C3511" s="32"/>
      <c r="D3511" s="32"/>
      <c r="E3511" s="34" t="str">
        <f aca="false">IF($B3511="","",IF($B3511="OUT","Liters",IFERROR(INDEX(Setup!$F$3:$F$24,MATCH($C3511,Setup!$A$3:$A$24,0)),"")))</f>
        <v/>
      </c>
      <c r="F3511" s="28" t="str">
        <f aca="false">IF(OR($D3511="",$E3511=""),"",IFERROR($D3511*INDEX(Setup!$B$27:$B$44,MATCH($E3511,Setup!$A$27:$A$44,0)),"TBD"))</f>
        <v/>
      </c>
      <c r="G3511" s="32"/>
      <c r="H3511" s="32"/>
      <c r="I3511" s="32"/>
      <c r="J3511" s="32"/>
      <c r="K3511" s="35"/>
      <c r="L3511" s="32"/>
      <c r="M3511" s="32"/>
    </row>
    <row r="3512" customFormat="false" ht="15" hidden="false" customHeight="true" outlineLevel="0" collapsed="false">
      <c r="A3512" s="32"/>
      <c r="B3512" s="32"/>
      <c r="C3512" s="32"/>
      <c r="D3512" s="32"/>
      <c r="E3512" s="34" t="str">
        <f aca="false">IF($B3512="","",IF($B3512="OUT","Liters",IFERROR(INDEX(Setup!$F$3:$F$24,MATCH($C3512,Setup!$A$3:$A$24,0)),"")))</f>
        <v/>
      </c>
      <c r="F3512" s="28" t="str">
        <f aca="false">IF(OR($D3512="",$E3512=""),"",IFERROR($D3512*INDEX(Setup!$B$27:$B$44,MATCH($E3512,Setup!$A$27:$A$44,0)),"TBD"))</f>
        <v/>
      </c>
      <c r="G3512" s="32"/>
      <c r="H3512" s="32"/>
      <c r="I3512" s="32"/>
      <c r="J3512" s="32"/>
      <c r="K3512" s="35"/>
      <c r="L3512" s="32"/>
      <c r="M3512" s="32"/>
    </row>
    <row r="3513" customFormat="false" ht="15" hidden="false" customHeight="true" outlineLevel="0" collapsed="false">
      <c r="A3513" s="32"/>
      <c r="B3513" s="32"/>
      <c r="C3513" s="32"/>
      <c r="D3513" s="32"/>
      <c r="E3513" s="34" t="str">
        <f aca="false">IF($B3513="","",IF($B3513="OUT","Liters",IFERROR(INDEX(Setup!$F$3:$F$24,MATCH($C3513,Setup!$A$3:$A$24,0)),"")))</f>
        <v/>
      </c>
      <c r="F3513" s="28" t="str">
        <f aca="false">IF(OR($D3513="",$E3513=""),"",IFERROR($D3513*INDEX(Setup!$B$27:$B$44,MATCH($E3513,Setup!$A$27:$A$44,0)),"TBD"))</f>
        <v/>
      </c>
      <c r="G3513" s="32"/>
      <c r="H3513" s="32"/>
      <c r="I3513" s="32"/>
      <c r="J3513" s="32"/>
      <c r="K3513" s="35"/>
      <c r="L3513" s="32"/>
      <c r="M3513" s="32"/>
    </row>
    <row r="3514" customFormat="false" ht="15" hidden="false" customHeight="true" outlineLevel="0" collapsed="false">
      <c r="A3514" s="32"/>
      <c r="B3514" s="32"/>
      <c r="C3514" s="32"/>
      <c r="D3514" s="32"/>
      <c r="E3514" s="34" t="str">
        <f aca="false">IF($B3514="","",IF($B3514="OUT","Liters",IFERROR(INDEX(Setup!$F$3:$F$24,MATCH($C3514,Setup!$A$3:$A$24,0)),"")))</f>
        <v/>
      </c>
      <c r="F3514" s="28" t="str">
        <f aca="false">IF(OR($D3514="",$E3514=""),"",IFERROR($D3514*INDEX(Setup!$B$27:$B$44,MATCH($E3514,Setup!$A$27:$A$44,0)),"TBD"))</f>
        <v/>
      </c>
      <c r="G3514" s="32"/>
      <c r="H3514" s="32"/>
      <c r="I3514" s="32"/>
      <c r="J3514" s="32"/>
      <c r="K3514" s="35"/>
      <c r="L3514" s="32"/>
      <c r="M3514" s="32"/>
    </row>
    <row r="3515" customFormat="false" ht="15" hidden="false" customHeight="true" outlineLevel="0" collapsed="false">
      <c r="A3515" s="32"/>
      <c r="B3515" s="32"/>
      <c r="C3515" s="32"/>
      <c r="D3515" s="32"/>
      <c r="E3515" s="34" t="str">
        <f aca="false">IF($B3515="","",IF($B3515="OUT","Liters",IFERROR(INDEX(Setup!$F$3:$F$24,MATCH($C3515,Setup!$A$3:$A$24,0)),"")))</f>
        <v/>
      </c>
      <c r="F3515" s="28" t="str">
        <f aca="false">IF(OR($D3515="",$E3515=""),"",IFERROR($D3515*INDEX(Setup!$B$27:$B$44,MATCH($E3515,Setup!$A$27:$A$44,0)),"TBD"))</f>
        <v/>
      </c>
      <c r="G3515" s="32"/>
      <c r="H3515" s="32"/>
      <c r="I3515" s="32"/>
      <c r="J3515" s="32"/>
      <c r="K3515" s="35"/>
      <c r="L3515" s="32"/>
      <c r="M3515" s="32"/>
    </row>
    <row r="3516" customFormat="false" ht="15" hidden="false" customHeight="true" outlineLevel="0" collapsed="false">
      <c r="A3516" s="32"/>
      <c r="B3516" s="32"/>
      <c r="C3516" s="32"/>
      <c r="D3516" s="32"/>
      <c r="E3516" s="34" t="str">
        <f aca="false">IF($B3516="","",IF($B3516="OUT","Liters",IFERROR(INDEX(Setup!$F$3:$F$24,MATCH($C3516,Setup!$A$3:$A$24,0)),"")))</f>
        <v/>
      </c>
      <c r="F3516" s="28" t="str">
        <f aca="false">IF(OR($D3516="",$E3516=""),"",IFERROR($D3516*INDEX(Setup!$B$27:$B$44,MATCH($E3516,Setup!$A$27:$A$44,0)),"TBD"))</f>
        <v/>
      </c>
      <c r="G3516" s="32"/>
      <c r="H3516" s="32"/>
      <c r="I3516" s="32"/>
      <c r="J3516" s="32"/>
      <c r="K3516" s="35"/>
      <c r="L3516" s="32"/>
      <c r="M3516" s="32"/>
    </row>
    <row r="3517" customFormat="false" ht="15" hidden="false" customHeight="true" outlineLevel="0" collapsed="false">
      <c r="A3517" s="32"/>
      <c r="B3517" s="32"/>
      <c r="C3517" s="32"/>
      <c r="D3517" s="32"/>
      <c r="E3517" s="34" t="str">
        <f aca="false">IF($B3517="","",IF($B3517="OUT","Liters",IFERROR(INDEX(Setup!$F$3:$F$24,MATCH($C3517,Setup!$A$3:$A$24,0)),"")))</f>
        <v/>
      </c>
      <c r="F3517" s="28" t="str">
        <f aca="false">IF(OR($D3517="",$E3517=""),"",IFERROR($D3517*INDEX(Setup!$B$27:$B$44,MATCH($E3517,Setup!$A$27:$A$44,0)),"TBD"))</f>
        <v/>
      </c>
      <c r="G3517" s="32"/>
      <c r="H3517" s="32"/>
      <c r="I3517" s="32"/>
      <c r="J3517" s="32"/>
      <c r="K3517" s="35"/>
      <c r="L3517" s="32"/>
      <c r="M3517" s="32"/>
    </row>
    <row r="3518" customFormat="false" ht="15" hidden="false" customHeight="true" outlineLevel="0" collapsed="false">
      <c r="A3518" s="32"/>
      <c r="B3518" s="32"/>
      <c r="C3518" s="32"/>
      <c r="D3518" s="32"/>
      <c r="E3518" s="34" t="str">
        <f aca="false">IF($B3518="","",IF($B3518="OUT","Liters",IFERROR(INDEX(Setup!$F$3:$F$24,MATCH($C3518,Setup!$A$3:$A$24,0)),"")))</f>
        <v/>
      </c>
      <c r="F3518" s="28" t="str">
        <f aca="false">IF(OR($D3518="",$E3518=""),"",IFERROR($D3518*INDEX(Setup!$B$27:$B$44,MATCH($E3518,Setup!$A$27:$A$44,0)),"TBD"))</f>
        <v/>
      </c>
      <c r="G3518" s="32"/>
      <c r="H3518" s="32"/>
      <c r="I3518" s="32"/>
      <c r="J3518" s="32"/>
      <c r="K3518" s="35"/>
      <c r="L3518" s="32"/>
      <c r="M3518" s="32"/>
    </row>
    <row r="3519" customFormat="false" ht="15" hidden="false" customHeight="true" outlineLevel="0" collapsed="false">
      <c r="A3519" s="32"/>
      <c r="B3519" s="32"/>
      <c r="C3519" s="32"/>
      <c r="D3519" s="32"/>
      <c r="E3519" s="34" t="str">
        <f aca="false">IF($B3519="","",IF($B3519="OUT","Liters",IFERROR(INDEX(Setup!$F$3:$F$24,MATCH($C3519,Setup!$A$3:$A$24,0)),"")))</f>
        <v/>
      </c>
      <c r="F3519" s="28" t="str">
        <f aca="false">IF(OR($D3519="",$E3519=""),"",IFERROR($D3519*INDEX(Setup!$B$27:$B$44,MATCH($E3519,Setup!$A$27:$A$44,0)),"TBD"))</f>
        <v/>
      </c>
      <c r="G3519" s="32"/>
      <c r="H3519" s="32"/>
      <c r="I3519" s="32"/>
      <c r="J3519" s="32"/>
      <c r="K3519" s="35"/>
      <c r="L3519" s="32"/>
      <c r="M3519" s="32"/>
    </row>
    <row r="3520" customFormat="false" ht="15" hidden="false" customHeight="true" outlineLevel="0" collapsed="false">
      <c r="A3520" s="32"/>
      <c r="B3520" s="32"/>
      <c r="C3520" s="32"/>
      <c r="D3520" s="32"/>
      <c r="E3520" s="34" t="str">
        <f aca="false">IF($B3520="","",IF($B3520="OUT","Liters",IFERROR(INDEX(Setup!$F$3:$F$24,MATCH($C3520,Setup!$A$3:$A$24,0)),"")))</f>
        <v/>
      </c>
      <c r="F3520" s="28" t="str">
        <f aca="false">IF(OR($D3520="",$E3520=""),"",IFERROR($D3520*INDEX(Setup!$B$27:$B$44,MATCH($E3520,Setup!$A$27:$A$44,0)),"TBD"))</f>
        <v/>
      </c>
      <c r="G3520" s="32"/>
      <c r="H3520" s="32"/>
      <c r="I3520" s="32"/>
      <c r="J3520" s="32"/>
      <c r="K3520" s="35"/>
      <c r="L3520" s="32"/>
      <c r="M3520" s="32"/>
    </row>
    <row r="3521" customFormat="false" ht="15" hidden="false" customHeight="true" outlineLevel="0" collapsed="false">
      <c r="A3521" s="32"/>
      <c r="B3521" s="32"/>
      <c r="C3521" s="32"/>
      <c r="D3521" s="32"/>
      <c r="E3521" s="34" t="str">
        <f aca="false">IF($B3521="","",IF($B3521="OUT","Liters",IFERROR(INDEX(Setup!$F$3:$F$24,MATCH($C3521,Setup!$A$3:$A$24,0)),"")))</f>
        <v/>
      </c>
      <c r="F3521" s="28" t="str">
        <f aca="false">IF(OR($D3521="",$E3521=""),"",IFERROR($D3521*INDEX(Setup!$B$27:$B$44,MATCH($E3521,Setup!$A$27:$A$44,0)),"TBD"))</f>
        <v/>
      </c>
      <c r="G3521" s="32"/>
      <c r="H3521" s="32"/>
      <c r="I3521" s="32"/>
      <c r="J3521" s="32"/>
      <c r="K3521" s="35"/>
      <c r="L3521" s="32"/>
      <c r="M3521" s="32"/>
    </row>
    <row r="3522" customFormat="false" ht="15" hidden="false" customHeight="true" outlineLevel="0" collapsed="false">
      <c r="A3522" s="32"/>
      <c r="B3522" s="32"/>
      <c r="C3522" s="32"/>
      <c r="D3522" s="32"/>
      <c r="E3522" s="34" t="str">
        <f aca="false">IF($B3522="","",IF($B3522="OUT","Liters",IFERROR(INDEX(Setup!$F$3:$F$24,MATCH($C3522,Setup!$A$3:$A$24,0)),"")))</f>
        <v/>
      </c>
      <c r="F3522" s="28" t="str">
        <f aca="false">IF(OR($D3522="",$E3522=""),"",IFERROR($D3522*INDEX(Setup!$B$27:$B$44,MATCH($E3522,Setup!$A$27:$A$44,0)),"TBD"))</f>
        <v/>
      </c>
      <c r="G3522" s="32"/>
      <c r="H3522" s="32"/>
      <c r="I3522" s="32"/>
      <c r="J3522" s="32"/>
      <c r="K3522" s="35"/>
      <c r="L3522" s="32"/>
      <c r="M3522" s="32"/>
    </row>
    <row r="3523" customFormat="false" ht="15" hidden="false" customHeight="true" outlineLevel="0" collapsed="false">
      <c r="A3523" s="32"/>
      <c r="B3523" s="32"/>
      <c r="C3523" s="32"/>
      <c r="D3523" s="32"/>
      <c r="E3523" s="34" t="str">
        <f aca="false">IF($B3523="","",IF($B3523="OUT","Liters",IFERROR(INDEX(Setup!$F$3:$F$24,MATCH($C3523,Setup!$A$3:$A$24,0)),"")))</f>
        <v/>
      </c>
      <c r="F3523" s="28" t="str">
        <f aca="false">IF(OR($D3523="",$E3523=""),"",IFERROR($D3523*INDEX(Setup!$B$27:$B$44,MATCH($E3523,Setup!$A$27:$A$44,0)),"TBD"))</f>
        <v/>
      </c>
      <c r="G3523" s="32"/>
      <c r="H3523" s="32"/>
      <c r="I3523" s="32"/>
      <c r="J3523" s="32"/>
      <c r="K3523" s="35"/>
      <c r="L3523" s="32"/>
      <c r="M3523" s="32"/>
    </row>
    <row r="3524" customFormat="false" ht="15" hidden="false" customHeight="true" outlineLevel="0" collapsed="false">
      <c r="A3524" s="32"/>
      <c r="B3524" s="32"/>
      <c r="C3524" s="32"/>
      <c r="D3524" s="32"/>
      <c r="E3524" s="34" t="str">
        <f aca="false">IF($B3524="","",IF($B3524="OUT","Liters",IFERROR(INDEX(Setup!$F$3:$F$24,MATCH($C3524,Setup!$A$3:$A$24,0)),"")))</f>
        <v/>
      </c>
      <c r="F3524" s="28" t="str">
        <f aca="false">IF(OR($D3524="",$E3524=""),"",IFERROR($D3524*INDEX(Setup!$B$27:$B$44,MATCH($E3524,Setup!$A$27:$A$44,0)),"TBD"))</f>
        <v/>
      </c>
      <c r="G3524" s="32"/>
      <c r="H3524" s="32"/>
      <c r="I3524" s="32"/>
      <c r="J3524" s="32"/>
      <c r="K3524" s="35"/>
      <c r="L3524" s="32"/>
      <c r="M3524" s="32"/>
    </row>
    <row r="3525" customFormat="false" ht="15" hidden="false" customHeight="true" outlineLevel="0" collapsed="false">
      <c r="A3525" s="32"/>
      <c r="B3525" s="32"/>
      <c r="C3525" s="32"/>
      <c r="D3525" s="32"/>
      <c r="E3525" s="34" t="str">
        <f aca="false">IF($B3525="","",IF($B3525="OUT","Liters",IFERROR(INDEX(Setup!$F$3:$F$24,MATCH($C3525,Setup!$A$3:$A$24,0)),"")))</f>
        <v/>
      </c>
      <c r="F3525" s="28" t="str">
        <f aca="false">IF(OR($D3525="",$E3525=""),"",IFERROR($D3525*INDEX(Setup!$B$27:$B$44,MATCH($E3525,Setup!$A$27:$A$44,0)),"TBD"))</f>
        <v/>
      </c>
      <c r="G3525" s="32"/>
      <c r="H3525" s="32"/>
      <c r="I3525" s="32"/>
      <c r="J3525" s="32"/>
      <c r="K3525" s="35"/>
      <c r="L3525" s="32"/>
      <c r="M3525" s="32"/>
    </row>
    <row r="3526" customFormat="false" ht="15" hidden="false" customHeight="true" outlineLevel="0" collapsed="false">
      <c r="A3526" s="32"/>
      <c r="B3526" s="32"/>
      <c r="C3526" s="32"/>
      <c r="D3526" s="32"/>
      <c r="E3526" s="34" t="str">
        <f aca="false">IF($B3526="","",IF($B3526="OUT","Liters",IFERROR(INDEX(Setup!$F$3:$F$24,MATCH($C3526,Setup!$A$3:$A$24,0)),"")))</f>
        <v/>
      </c>
      <c r="F3526" s="28" t="str">
        <f aca="false">IF(OR($D3526="",$E3526=""),"",IFERROR($D3526*INDEX(Setup!$B$27:$B$44,MATCH($E3526,Setup!$A$27:$A$44,0)),"TBD"))</f>
        <v/>
      </c>
      <c r="G3526" s="32"/>
      <c r="H3526" s="32"/>
      <c r="I3526" s="32"/>
      <c r="J3526" s="32"/>
      <c r="K3526" s="35"/>
      <c r="L3526" s="32"/>
      <c r="M3526" s="32"/>
    </row>
    <row r="3527" customFormat="false" ht="15" hidden="false" customHeight="true" outlineLevel="0" collapsed="false">
      <c r="A3527" s="32"/>
      <c r="B3527" s="32"/>
      <c r="C3527" s="32"/>
      <c r="D3527" s="32"/>
      <c r="E3527" s="34" t="str">
        <f aca="false">IF($B3527="","",IF($B3527="OUT","Liters",IFERROR(INDEX(Setup!$F$3:$F$24,MATCH($C3527,Setup!$A$3:$A$24,0)),"")))</f>
        <v/>
      </c>
      <c r="F3527" s="28" t="str">
        <f aca="false">IF(OR($D3527="",$E3527=""),"",IFERROR($D3527*INDEX(Setup!$B$27:$B$44,MATCH($E3527,Setup!$A$27:$A$44,0)),"TBD"))</f>
        <v/>
      </c>
      <c r="G3527" s="32"/>
      <c r="H3527" s="32"/>
      <c r="I3527" s="32"/>
      <c r="J3527" s="32"/>
      <c r="K3527" s="35"/>
      <c r="L3527" s="32"/>
      <c r="M3527" s="32"/>
    </row>
    <row r="3528" customFormat="false" ht="15" hidden="false" customHeight="true" outlineLevel="0" collapsed="false">
      <c r="A3528" s="32"/>
      <c r="B3528" s="32"/>
      <c r="C3528" s="32"/>
      <c r="D3528" s="32"/>
      <c r="E3528" s="34" t="str">
        <f aca="false">IF($B3528="","",IF($B3528="OUT","Liters",IFERROR(INDEX(Setup!$F$3:$F$24,MATCH($C3528,Setup!$A$3:$A$24,0)),"")))</f>
        <v/>
      </c>
      <c r="F3528" s="28" t="str">
        <f aca="false">IF(OR($D3528="",$E3528=""),"",IFERROR($D3528*INDEX(Setup!$B$27:$B$44,MATCH($E3528,Setup!$A$27:$A$44,0)),"TBD"))</f>
        <v/>
      </c>
      <c r="G3528" s="32"/>
      <c r="H3528" s="32"/>
      <c r="I3528" s="32"/>
      <c r="J3528" s="32"/>
      <c r="K3528" s="35"/>
      <c r="L3528" s="32"/>
      <c r="M3528" s="32"/>
    </row>
    <row r="3529" customFormat="false" ht="15" hidden="false" customHeight="true" outlineLevel="0" collapsed="false">
      <c r="A3529" s="32"/>
      <c r="B3529" s="32"/>
      <c r="C3529" s="32"/>
      <c r="D3529" s="32"/>
      <c r="E3529" s="34" t="str">
        <f aca="false">IF($B3529="","",IF($B3529="OUT","Liters",IFERROR(INDEX(Setup!$F$3:$F$24,MATCH($C3529,Setup!$A$3:$A$24,0)),"")))</f>
        <v/>
      </c>
      <c r="F3529" s="28" t="str">
        <f aca="false">IF(OR($D3529="",$E3529=""),"",IFERROR($D3529*INDEX(Setup!$B$27:$B$44,MATCH($E3529,Setup!$A$27:$A$44,0)),"TBD"))</f>
        <v/>
      </c>
      <c r="G3529" s="32"/>
      <c r="H3529" s="32"/>
      <c r="I3529" s="32"/>
      <c r="J3529" s="32"/>
      <c r="K3529" s="35"/>
      <c r="L3529" s="32"/>
      <c r="M3529" s="32"/>
    </row>
    <row r="3530" customFormat="false" ht="15" hidden="false" customHeight="true" outlineLevel="0" collapsed="false">
      <c r="A3530" s="32"/>
      <c r="B3530" s="32"/>
      <c r="C3530" s="32"/>
      <c r="D3530" s="32"/>
      <c r="E3530" s="34" t="str">
        <f aca="false">IF($B3530="","",IF($B3530="OUT","Liters",IFERROR(INDEX(Setup!$F$3:$F$24,MATCH($C3530,Setup!$A$3:$A$24,0)),"")))</f>
        <v/>
      </c>
      <c r="F3530" s="28" t="str">
        <f aca="false">IF(OR($D3530="",$E3530=""),"",IFERROR($D3530*INDEX(Setup!$B$27:$B$44,MATCH($E3530,Setup!$A$27:$A$44,0)),"TBD"))</f>
        <v/>
      </c>
      <c r="G3530" s="32"/>
      <c r="H3530" s="32"/>
      <c r="I3530" s="32"/>
      <c r="J3530" s="32"/>
      <c r="K3530" s="35"/>
      <c r="L3530" s="32"/>
      <c r="M3530" s="32"/>
    </row>
    <row r="3531" customFormat="false" ht="15" hidden="false" customHeight="true" outlineLevel="0" collapsed="false">
      <c r="A3531" s="32"/>
      <c r="B3531" s="32"/>
      <c r="C3531" s="32"/>
      <c r="D3531" s="32"/>
      <c r="E3531" s="34" t="str">
        <f aca="false">IF($B3531="","",IF($B3531="OUT","Liters",IFERROR(INDEX(Setup!$F$3:$F$24,MATCH($C3531,Setup!$A$3:$A$24,0)),"")))</f>
        <v/>
      </c>
      <c r="F3531" s="28" t="str">
        <f aca="false">IF(OR($D3531="",$E3531=""),"",IFERROR($D3531*INDEX(Setup!$B$27:$B$44,MATCH($E3531,Setup!$A$27:$A$44,0)),"TBD"))</f>
        <v/>
      </c>
      <c r="G3531" s="32"/>
      <c r="H3531" s="32"/>
      <c r="I3531" s="32"/>
      <c r="J3531" s="32"/>
      <c r="K3531" s="35"/>
      <c r="L3531" s="32"/>
      <c r="M3531" s="32"/>
    </row>
    <row r="3532" customFormat="false" ht="15" hidden="false" customHeight="true" outlineLevel="0" collapsed="false">
      <c r="A3532" s="32"/>
      <c r="B3532" s="32"/>
      <c r="C3532" s="32"/>
      <c r="D3532" s="32"/>
      <c r="E3532" s="34" t="str">
        <f aca="false">IF($B3532="","",IF($B3532="OUT","Liters",IFERROR(INDEX(Setup!$F$3:$F$24,MATCH($C3532,Setup!$A$3:$A$24,0)),"")))</f>
        <v/>
      </c>
      <c r="F3532" s="28" t="str">
        <f aca="false">IF(OR($D3532="",$E3532=""),"",IFERROR($D3532*INDEX(Setup!$B$27:$B$44,MATCH($E3532,Setup!$A$27:$A$44,0)),"TBD"))</f>
        <v/>
      </c>
      <c r="G3532" s="32"/>
      <c r="H3532" s="32"/>
      <c r="I3532" s="32"/>
      <c r="J3532" s="32"/>
      <c r="K3532" s="35"/>
      <c r="L3532" s="32"/>
      <c r="M3532" s="32"/>
    </row>
    <row r="3533" customFormat="false" ht="15" hidden="false" customHeight="true" outlineLevel="0" collapsed="false">
      <c r="A3533" s="32"/>
      <c r="B3533" s="32"/>
      <c r="C3533" s="32"/>
      <c r="D3533" s="32"/>
      <c r="E3533" s="34" t="str">
        <f aca="false">IF($B3533="","",IF($B3533="OUT","Liters",IFERROR(INDEX(Setup!$F$3:$F$24,MATCH($C3533,Setup!$A$3:$A$24,0)),"")))</f>
        <v/>
      </c>
      <c r="F3533" s="28" t="str">
        <f aca="false">IF(OR($D3533="",$E3533=""),"",IFERROR($D3533*INDEX(Setup!$B$27:$B$44,MATCH($E3533,Setup!$A$27:$A$44,0)),"TBD"))</f>
        <v/>
      </c>
      <c r="G3533" s="32"/>
      <c r="H3533" s="32"/>
      <c r="I3533" s="32"/>
      <c r="J3533" s="32"/>
      <c r="K3533" s="35"/>
      <c r="L3533" s="32"/>
      <c r="M3533" s="32"/>
    </row>
    <row r="3534" customFormat="false" ht="15" hidden="false" customHeight="true" outlineLevel="0" collapsed="false">
      <c r="A3534" s="32"/>
      <c r="B3534" s="32"/>
      <c r="C3534" s="32"/>
      <c r="D3534" s="32"/>
      <c r="E3534" s="34" t="str">
        <f aca="false">IF($B3534="","",IF($B3534="OUT","Liters",IFERROR(INDEX(Setup!$F$3:$F$24,MATCH($C3534,Setup!$A$3:$A$24,0)),"")))</f>
        <v/>
      </c>
      <c r="F3534" s="28" t="str">
        <f aca="false">IF(OR($D3534="",$E3534=""),"",IFERROR($D3534*INDEX(Setup!$B$27:$B$44,MATCH($E3534,Setup!$A$27:$A$44,0)),"TBD"))</f>
        <v/>
      </c>
      <c r="G3534" s="32"/>
      <c r="H3534" s="32"/>
      <c r="I3534" s="32"/>
      <c r="J3534" s="32"/>
      <c r="K3534" s="35"/>
      <c r="L3534" s="32"/>
      <c r="M3534" s="32"/>
    </row>
    <row r="3535" customFormat="false" ht="15" hidden="false" customHeight="true" outlineLevel="0" collapsed="false">
      <c r="A3535" s="32"/>
      <c r="B3535" s="32"/>
      <c r="C3535" s="32"/>
      <c r="D3535" s="32"/>
      <c r="E3535" s="34" t="str">
        <f aca="false">IF($B3535="","",IF($B3535="OUT","Liters",IFERROR(INDEX(Setup!$F$3:$F$24,MATCH($C3535,Setup!$A$3:$A$24,0)),"")))</f>
        <v/>
      </c>
      <c r="F3535" s="28" t="str">
        <f aca="false">IF(OR($D3535="",$E3535=""),"",IFERROR($D3535*INDEX(Setup!$B$27:$B$44,MATCH($E3535,Setup!$A$27:$A$44,0)),"TBD"))</f>
        <v/>
      </c>
      <c r="G3535" s="32"/>
      <c r="H3535" s="32"/>
      <c r="I3535" s="32"/>
      <c r="J3535" s="32"/>
      <c r="K3535" s="35"/>
      <c r="L3535" s="32"/>
      <c r="M3535" s="32"/>
    </row>
    <row r="3536" customFormat="false" ht="15" hidden="false" customHeight="true" outlineLevel="0" collapsed="false">
      <c r="A3536" s="32"/>
      <c r="B3536" s="32"/>
      <c r="C3536" s="32"/>
      <c r="D3536" s="32"/>
      <c r="E3536" s="34" t="str">
        <f aca="false">IF($B3536="","",IF($B3536="OUT","Liters",IFERROR(INDEX(Setup!$F$3:$F$24,MATCH($C3536,Setup!$A$3:$A$24,0)),"")))</f>
        <v/>
      </c>
      <c r="F3536" s="28" t="str">
        <f aca="false">IF(OR($D3536="",$E3536=""),"",IFERROR($D3536*INDEX(Setup!$B$27:$B$44,MATCH($E3536,Setup!$A$27:$A$44,0)),"TBD"))</f>
        <v/>
      </c>
      <c r="G3536" s="32"/>
      <c r="H3536" s="32"/>
      <c r="I3536" s="32"/>
      <c r="J3536" s="32"/>
      <c r="K3536" s="35"/>
      <c r="L3536" s="32"/>
      <c r="M3536" s="32"/>
    </row>
    <row r="3537" customFormat="false" ht="15" hidden="false" customHeight="true" outlineLevel="0" collapsed="false">
      <c r="A3537" s="32"/>
      <c r="B3537" s="32"/>
      <c r="C3537" s="32"/>
      <c r="D3537" s="32"/>
      <c r="E3537" s="34" t="str">
        <f aca="false">IF($B3537="","",IF($B3537="OUT","Liters",IFERROR(INDEX(Setup!$F$3:$F$24,MATCH($C3537,Setup!$A$3:$A$24,0)),"")))</f>
        <v/>
      </c>
      <c r="F3537" s="28" t="str">
        <f aca="false">IF(OR($D3537="",$E3537=""),"",IFERROR($D3537*INDEX(Setup!$B$27:$B$44,MATCH($E3537,Setup!$A$27:$A$44,0)),"TBD"))</f>
        <v/>
      </c>
      <c r="G3537" s="32"/>
      <c r="H3537" s="32"/>
      <c r="I3537" s="32"/>
      <c r="J3537" s="32"/>
      <c r="K3537" s="35"/>
      <c r="L3537" s="32"/>
      <c r="M3537" s="32"/>
    </row>
    <row r="3538" customFormat="false" ht="15" hidden="false" customHeight="true" outlineLevel="0" collapsed="false">
      <c r="A3538" s="32"/>
      <c r="B3538" s="32"/>
      <c r="C3538" s="32"/>
      <c r="D3538" s="32"/>
      <c r="E3538" s="34" t="str">
        <f aca="false">IF($B3538="","",IF($B3538="OUT","Liters",IFERROR(INDEX(Setup!$F$3:$F$24,MATCH($C3538,Setup!$A$3:$A$24,0)),"")))</f>
        <v/>
      </c>
      <c r="F3538" s="28" t="str">
        <f aca="false">IF(OR($D3538="",$E3538=""),"",IFERROR($D3538*INDEX(Setup!$B$27:$B$44,MATCH($E3538,Setup!$A$27:$A$44,0)),"TBD"))</f>
        <v/>
      </c>
      <c r="G3538" s="32"/>
      <c r="H3538" s="32"/>
      <c r="I3538" s="32"/>
      <c r="J3538" s="32"/>
      <c r="K3538" s="35"/>
      <c r="L3538" s="32"/>
      <c r="M3538" s="32"/>
    </row>
    <row r="3539" customFormat="false" ht="15" hidden="false" customHeight="true" outlineLevel="0" collapsed="false">
      <c r="A3539" s="32"/>
      <c r="B3539" s="32"/>
      <c r="C3539" s="32"/>
      <c r="D3539" s="32"/>
      <c r="E3539" s="34" t="str">
        <f aca="false">IF($B3539="","",IF($B3539="OUT","Liters",IFERROR(INDEX(Setup!$F$3:$F$24,MATCH($C3539,Setup!$A$3:$A$24,0)),"")))</f>
        <v/>
      </c>
      <c r="F3539" s="28" t="str">
        <f aca="false">IF(OR($D3539="",$E3539=""),"",IFERROR($D3539*INDEX(Setup!$B$27:$B$44,MATCH($E3539,Setup!$A$27:$A$44,0)),"TBD"))</f>
        <v/>
      </c>
      <c r="G3539" s="32"/>
      <c r="H3539" s="32"/>
      <c r="I3539" s="32"/>
      <c r="J3539" s="32"/>
      <c r="K3539" s="35"/>
      <c r="L3539" s="32"/>
      <c r="M3539" s="32"/>
    </row>
    <row r="3540" customFormat="false" ht="15" hidden="false" customHeight="true" outlineLevel="0" collapsed="false">
      <c r="A3540" s="32"/>
      <c r="B3540" s="32"/>
      <c r="C3540" s="32"/>
      <c r="D3540" s="32"/>
      <c r="E3540" s="34" t="str">
        <f aca="false">IF($B3540="","",IF($B3540="OUT","Liters",IFERROR(INDEX(Setup!$F$3:$F$24,MATCH($C3540,Setup!$A$3:$A$24,0)),"")))</f>
        <v/>
      </c>
      <c r="F3540" s="28" t="str">
        <f aca="false">IF(OR($D3540="",$E3540=""),"",IFERROR($D3540*INDEX(Setup!$B$27:$B$44,MATCH($E3540,Setup!$A$27:$A$44,0)),"TBD"))</f>
        <v/>
      </c>
      <c r="G3540" s="32"/>
      <c r="H3540" s="32"/>
      <c r="I3540" s="32"/>
      <c r="J3540" s="32"/>
      <c r="K3540" s="35"/>
      <c r="L3540" s="32"/>
      <c r="M3540" s="32"/>
    </row>
    <row r="3541" customFormat="false" ht="15" hidden="false" customHeight="true" outlineLevel="0" collapsed="false">
      <c r="A3541" s="32"/>
      <c r="B3541" s="32"/>
      <c r="C3541" s="32"/>
      <c r="D3541" s="32"/>
      <c r="E3541" s="34" t="str">
        <f aca="false">IF($B3541="","",IF($B3541="OUT","Liters",IFERROR(INDEX(Setup!$F$3:$F$24,MATCH($C3541,Setup!$A$3:$A$24,0)),"")))</f>
        <v/>
      </c>
      <c r="F3541" s="28" t="str">
        <f aca="false">IF(OR($D3541="",$E3541=""),"",IFERROR($D3541*INDEX(Setup!$B$27:$B$44,MATCH($E3541,Setup!$A$27:$A$44,0)),"TBD"))</f>
        <v/>
      </c>
      <c r="G3541" s="32"/>
      <c r="H3541" s="32"/>
      <c r="I3541" s="32"/>
      <c r="J3541" s="32"/>
      <c r="K3541" s="35"/>
      <c r="L3541" s="32"/>
      <c r="M3541" s="32"/>
    </row>
    <row r="3542" customFormat="false" ht="15" hidden="false" customHeight="true" outlineLevel="0" collapsed="false">
      <c r="A3542" s="32"/>
      <c r="B3542" s="32"/>
      <c r="C3542" s="32"/>
      <c r="D3542" s="32"/>
      <c r="E3542" s="34" t="str">
        <f aca="false">IF($B3542="","",IF($B3542="OUT","Liters",IFERROR(INDEX(Setup!$F$3:$F$24,MATCH($C3542,Setup!$A$3:$A$24,0)),"")))</f>
        <v/>
      </c>
      <c r="F3542" s="28" t="str">
        <f aca="false">IF(OR($D3542="",$E3542=""),"",IFERROR($D3542*INDEX(Setup!$B$27:$B$44,MATCH($E3542,Setup!$A$27:$A$44,0)),"TBD"))</f>
        <v/>
      </c>
      <c r="G3542" s="32"/>
      <c r="H3542" s="32"/>
      <c r="I3542" s="32"/>
      <c r="J3542" s="32"/>
      <c r="K3542" s="35"/>
      <c r="L3542" s="32"/>
      <c r="M3542" s="32"/>
    </row>
    <row r="3543" customFormat="false" ht="15" hidden="false" customHeight="true" outlineLevel="0" collapsed="false">
      <c r="A3543" s="32"/>
      <c r="B3543" s="32"/>
      <c r="C3543" s="32"/>
      <c r="D3543" s="32"/>
      <c r="E3543" s="34" t="str">
        <f aca="false">IF($B3543="","",IF($B3543="OUT","Liters",IFERROR(INDEX(Setup!$F$3:$F$24,MATCH($C3543,Setup!$A$3:$A$24,0)),"")))</f>
        <v/>
      </c>
      <c r="F3543" s="28" t="str">
        <f aca="false">IF(OR($D3543="",$E3543=""),"",IFERROR($D3543*INDEX(Setup!$B$27:$B$44,MATCH($E3543,Setup!$A$27:$A$44,0)),"TBD"))</f>
        <v/>
      </c>
      <c r="G3543" s="32"/>
      <c r="H3543" s="32"/>
      <c r="I3543" s="32"/>
      <c r="J3543" s="32"/>
      <c r="K3543" s="35"/>
      <c r="L3543" s="32"/>
      <c r="M3543" s="32"/>
    </row>
    <row r="3544" customFormat="false" ht="15" hidden="false" customHeight="true" outlineLevel="0" collapsed="false">
      <c r="A3544" s="32"/>
      <c r="B3544" s="32"/>
      <c r="C3544" s="32"/>
      <c r="D3544" s="32"/>
      <c r="E3544" s="34" t="str">
        <f aca="false">IF($B3544="","",IF($B3544="OUT","Liters",IFERROR(INDEX(Setup!$F$3:$F$24,MATCH($C3544,Setup!$A$3:$A$24,0)),"")))</f>
        <v/>
      </c>
      <c r="F3544" s="28" t="str">
        <f aca="false">IF(OR($D3544="",$E3544=""),"",IFERROR($D3544*INDEX(Setup!$B$27:$B$44,MATCH($E3544,Setup!$A$27:$A$44,0)),"TBD"))</f>
        <v/>
      </c>
      <c r="G3544" s="32"/>
      <c r="H3544" s="32"/>
      <c r="I3544" s="32"/>
      <c r="J3544" s="32"/>
      <c r="K3544" s="35"/>
      <c r="L3544" s="32"/>
      <c r="M3544" s="32"/>
    </row>
    <row r="3545" customFormat="false" ht="15" hidden="false" customHeight="true" outlineLevel="0" collapsed="false">
      <c r="A3545" s="32"/>
      <c r="B3545" s="32"/>
      <c r="C3545" s="32"/>
      <c r="D3545" s="32"/>
      <c r="E3545" s="34" t="str">
        <f aca="false">IF($B3545="","",IF($B3545="OUT","Liters",IFERROR(INDEX(Setup!$F$3:$F$24,MATCH($C3545,Setup!$A$3:$A$24,0)),"")))</f>
        <v/>
      </c>
      <c r="F3545" s="28" t="str">
        <f aca="false">IF(OR($D3545="",$E3545=""),"",IFERROR($D3545*INDEX(Setup!$B$27:$B$44,MATCH($E3545,Setup!$A$27:$A$44,0)),"TBD"))</f>
        <v/>
      </c>
      <c r="G3545" s="32"/>
      <c r="H3545" s="32"/>
      <c r="I3545" s="32"/>
      <c r="J3545" s="32"/>
      <c r="K3545" s="35"/>
      <c r="L3545" s="32"/>
      <c r="M3545" s="32"/>
    </row>
    <row r="3546" customFormat="false" ht="15" hidden="false" customHeight="true" outlineLevel="0" collapsed="false">
      <c r="A3546" s="32"/>
      <c r="B3546" s="32"/>
      <c r="C3546" s="32"/>
      <c r="D3546" s="32"/>
      <c r="E3546" s="34" t="str">
        <f aca="false">IF($B3546="","",IF($B3546="OUT","Liters",IFERROR(INDEX(Setup!$F$3:$F$24,MATCH($C3546,Setup!$A$3:$A$24,0)),"")))</f>
        <v/>
      </c>
      <c r="F3546" s="28" t="str">
        <f aca="false">IF(OR($D3546="",$E3546=""),"",IFERROR($D3546*INDEX(Setup!$B$27:$B$44,MATCH($E3546,Setup!$A$27:$A$44,0)),"TBD"))</f>
        <v/>
      </c>
      <c r="G3546" s="32"/>
      <c r="H3546" s="32"/>
      <c r="I3546" s="32"/>
      <c r="J3546" s="32"/>
      <c r="K3546" s="35"/>
      <c r="L3546" s="32"/>
      <c r="M3546" s="32"/>
    </row>
    <row r="3547" customFormat="false" ht="15" hidden="false" customHeight="true" outlineLevel="0" collapsed="false">
      <c r="A3547" s="32"/>
      <c r="B3547" s="32"/>
      <c r="C3547" s="32"/>
      <c r="D3547" s="32"/>
      <c r="E3547" s="34" t="str">
        <f aca="false">IF($B3547="","",IF($B3547="OUT","Liters",IFERROR(INDEX(Setup!$F$3:$F$24,MATCH($C3547,Setup!$A$3:$A$24,0)),"")))</f>
        <v/>
      </c>
      <c r="F3547" s="28" t="str">
        <f aca="false">IF(OR($D3547="",$E3547=""),"",IFERROR($D3547*INDEX(Setup!$B$27:$B$44,MATCH($E3547,Setup!$A$27:$A$44,0)),"TBD"))</f>
        <v/>
      </c>
      <c r="G3547" s="32"/>
      <c r="H3547" s="32"/>
      <c r="I3547" s="32"/>
      <c r="J3547" s="32"/>
      <c r="K3547" s="35"/>
      <c r="L3547" s="32"/>
      <c r="M3547" s="32"/>
    </row>
    <row r="3548" customFormat="false" ht="15" hidden="false" customHeight="true" outlineLevel="0" collapsed="false">
      <c r="A3548" s="32"/>
      <c r="B3548" s="32"/>
      <c r="C3548" s="32"/>
      <c r="D3548" s="32"/>
      <c r="E3548" s="34" t="str">
        <f aca="false">IF($B3548="","",IF($B3548="OUT","Liters",IFERROR(INDEX(Setup!$F$3:$F$24,MATCH($C3548,Setup!$A$3:$A$24,0)),"")))</f>
        <v/>
      </c>
      <c r="F3548" s="28" t="str">
        <f aca="false">IF(OR($D3548="",$E3548=""),"",IFERROR($D3548*INDEX(Setup!$B$27:$B$44,MATCH($E3548,Setup!$A$27:$A$44,0)),"TBD"))</f>
        <v/>
      </c>
      <c r="G3548" s="32"/>
      <c r="H3548" s="32"/>
      <c r="I3548" s="32"/>
      <c r="J3548" s="32"/>
      <c r="K3548" s="35"/>
      <c r="L3548" s="32"/>
      <c r="M3548" s="32"/>
    </row>
    <row r="3549" customFormat="false" ht="15" hidden="false" customHeight="true" outlineLevel="0" collapsed="false">
      <c r="A3549" s="32"/>
      <c r="B3549" s="32"/>
      <c r="C3549" s="32"/>
      <c r="D3549" s="32"/>
      <c r="E3549" s="34" t="str">
        <f aca="false">IF($B3549="","",IF($B3549="OUT","Liters",IFERROR(INDEX(Setup!$F$3:$F$24,MATCH($C3549,Setup!$A$3:$A$24,0)),"")))</f>
        <v/>
      </c>
      <c r="F3549" s="28" t="str">
        <f aca="false">IF(OR($D3549="",$E3549=""),"",IFERROR($D3549*INDEX(Setup!$B$27:$B$44,MATCH($E3549,Setup!$A$27:$A$44,0)),"TBD"))</f>
        <v/>
      </c>
      <c r="G3549" s="32"/>
      <c r="H3549" s="32"/>
      <c r="I3549" s="32"/>
      <c r="J3549" s="32"/>
      <c r="K3549" s="35"/>
      <c r="L3549" s="32"/>
      <c r="M3549" s="32"/>
    </row>
    <row r="3550" customFormat="false" ht="15" hidden="false" customHeight="true" outlineLevel="0" collapsed="false">
      <c r="A3550" s="32"/>
      <c r="B3550" s="32"/>
      <c r="C3550" s="32"/>
      <c r="D3550" s="32"/>
      <c r="E3550" s="34" t="str">
        <f aca="false">IF($B3550="","",IF($B3550="OUT","Liters",IFERROR(INDEX(Setup!$F$3:$F$24,MATCH($C3550,Setup!$A$3:$A$24,0)),"")))</f>
        <v/>
      </c>
      <c r="F3550" s="28" t="str">
        <f aca="false">IF(OR($D3550="",$E3550=""),"",IFERROR($D3550*INDEX(Setup!$B$27:$B$44,MATCH($E3550,Setup!$A$27:$A$44,0)),"TBD"))</f>
        <v/>
      </c>
      <c r="G3550" s="32"/>
      <c r="H3550" s="32"/>
      <c r="I3550" s="32"/>
      <c r="J3550" s="32"/>
      <c r="K3550" s="35"/>
      <c r="L3550" s="32"/>
      <c r="M3550" s="32"/>
    </row>
    <row r="3551" customFormat="false" ht="15" hidden="false" customHeight="true" outlineLevel="0" collapsed="false">
      <c r="A3551" s="32"/>
      <c r="B3551" s="32"/>
      <c r="C3551" s="32"/>
      <c r="D3551" s="32"/>
      <c r="E3551" s="34" t="str">
        <f aca="false">IF($B3551="","",IF($B3551="OUT","Liters",IFERROR(INDEX(Setup!$F$3:$F$24,MATCH($C3551,Setup!$A$3:$A$24,0)),"")))</f>
        <v/>
      </c>
      <c r="F3551" s="28" t="str">
        <f aca="false">IF(OR($D3551="",$E3551=""),"",IFERROR($D3551*INDEX(Setup!$B$27:$B$44,MATCH($E3551,Setup!$A$27:$A$44,0)),"TBD"))</f>
        <v/>
      </c>
      <c r="G3551" s="32"/>
      <c r="H3551" s="32"/>
      <c r="I3551" s="32"/>
      <c r="J3551" s="32"/>
      <c r="K3551" s="35"/>
      <c r="L3551" s="32"/>
      <c r="M3551" s="32"/>
    </row>
    <row r="3552" customFormat="false" ht="15" hidden="false" customHeight="true" outlineLevel="0" collapsed="false">
      <c r="A3552" s="32"/>
      <c r="B3552" s="32"/>
      <c r="C3552" s="32"/>
      <c r="D3552" s="32"/>
      <c r="E3552" s="34" t="str">
        <f aca="false">IF($B3552="","",IF($B3552="OUT","Liters",IFERROR(INDEX(Setup!$F$3:$F$24,MATCH($C3552,Setup!$A$3:$A$24,0)),"")))</f>
        <v/>
      </c>
      <c r="F3552" s="28" t="str">
        <f aca="false">IF(OR($D3552="",$E3552=""),"",IFERROR($D3552*INDEX(Setup!$B$27:$B$44,MATCH($E3552,Setup!$A$27:$A$44,0)),"TBD"))</f>
        <v/>
      </c>
      <c r="G3552" s="32"/>
      <c r="H3552" s="32"/>
      <c r="I3552" s="32"/>
      <c r="J3552" s="32"/>
      <c r="K3552" s="35"/>
      <c r="L3552" s="32"/>
      <c r="M3552" s="32"/>
    </row>
    <row r="3553" customFormat="false" ht="15" hidden="false" customHeight="true" outlineLevel="0" collapsed="false">
      <c r="A3553" s="32"/>
      <c r="B3553" s="32"/>
      <c r="C3553" s="32"/>
      <c r="D3553" s="32"/>
      <c r="E3553" s="34" t="str">
        <f aca="false">IF($B3553="","",IF($B3553="OUT","Liters",IFERROR(INDEX(Setup!$F$3:$F$24,MATCH($C3553,Setup!$A$3:$A$24,0)),"")))</f>
        <v/>
      </c>
      <c r="F3553" s="28" t="str">
        <f aca="false">IF(OR($D3553="",$E3553=""),"",IFERROR($D3553*INDEX(Setup!$B$27:$B$44,MATCH($E3553,Setup!$A$27:$A$44,0)),"TBD"))</f>
        <v/>
      </c>
      <c r="G3553" s="32"/>
      <c r="H3553" s="32"/>
      <c r="I3553" s="32"/>
      <c r="J3553" s="32"/>
      <c r="K3553" s="35"/>
      <c r="L3553" s="32"/>
      <c r="M3553" s="32"/>
    </row>
    <row r="3554" customFormat="false" ht="15" hidden="false" customHeight="true" outlineLevel="0" collapsed="false">
      <c r="A3554" s="32"/>
      <c r="B3554" s="32"/>
      <c r="C3554" s="32"/>
      <c r="D3554" s="32"/>
      <c r="E3554" s="34" t="str">
        <f aca="false">IF($B3554="","",IF($B3554="OUT","Liters",IFERROR(INDEX(Setup!$F$3:$F$24,MATCH($C3554,Setup!$A$3:$A$24,0)),"")))</f>
        <v/>
      </c>
      <c r="F3554" s="28" t="str">
        <f aca="false">IF(OR($D3554="",$E3554=""),"",IFERROR($D3554*INDEX(Setup!$B$27:$B$44,MATCH($E3554,Setup!$A$27:$A$44,0)),"TBD"))</f>
        <v/>
      </c>
      <c r="G3554" s="32"/>
      <c r="H3554" s="32"/>
      <c r="I3554" s="32"/>
      <c r="J3554" s="32"/>
      <c r="K3554" s="35"/>
      <c r="L3554" s="32"/>
      <c r="M3554" s="32"/>
    </row>
    <row r="3555" customFormat="false" ht="15" hidden="false" customHeight="true" outlineLevel="0" collapsed="false">
      <c r="A3555" s="32"/>
      <c r="B3555" s="32"/>
      <c r="C3555" s="32"/>
      <c r="D3555" s="32"/>
      <c r="E3555" s="34" t="str">
        <f aca="false">IF($B3555="","",IF($B3555="OUT","Liters",IFERROR(INDEX(Setup!$F$3:$F$24,MATCH($C3555,Setup!$A$3:$A$24,0)),"")))</f>
        <v/>
      </c>
      <c r="F3555" s="28" t="str">
        <f aca="false">IF(OR($D3555="",$E3555=""),"",IFERROR($D3555*INDEX(Setup!$B$27:$B$44,MATCH($E3555,Setup!$A$27:$A$44,0)),"TBD"))</f>
        <v/>
      </c>
      <c r="G3555" s="32"/>
      <c r="H3555" s="32"/>
      <c r="I3555" s="32"/>
      <c r="J3555" s="32"/>
      <c r="K3555" s="35"/>
      <c r="L3555" s="32"/>
      <c r="M3555" s="32"/>
    </row>
    <row r="3556" customFormat="false" ht="15" hidden="false" customHeight="true" outlineLevel="0" collapsed="false">
      <c r="A3556" s="32"/>
      <c r="B3556" s="32"/>
      <c r="C3556" s="32"/>
      <c r="D3556" s="32"/>
      <c r="E3556" s="34" t="str">
        <f aca="false">IF($B3556="","",IF($B3556="OUT","Liters",IFERROR(INDEX(Setup!$F$3:$F$24,MATCH($C3556,Setup!$A$3:$A$24,0)),"")))</f>
        <v/>
      </c>
      <c r="F3556" s="28" t="str">
        <f aca="false">IF(OR($D3556="",$E3556=""),"",IFERROR($D3556*INDEX(Setup!$B$27:$B$44,MATCH($E3556,Setup!$A$27:$A$44,0)),"TBD"))</f>
        <v/>
      </c>
      <c r="G3556" s="32"/>
      <c r="H3556" s="32"/>
      <c r="I3556" s="32"/>
      <c r="J3556" s="32"/>
      <c r="K3556" s="35"/>
      <c r="L3556" s="32"/>
      <c r="M3556" s="32"/>
    </row>
    <row r="3557" customFormat="false" ht="15" hidden="false" customHeight="true" outlineLevel="0" collapsed="false">
      <c r="A3557" s="32"/>
      <c r="B3557" s="32"/>
      <c r="C3557" s="32"/>
      <c r="D3557" s="32"/>
      <c r="E3557" s="34" t="str">
        <f aca="false">IF($B3557="","",IF($B3557="OUT","Liters",IFERROR(INDEX(Setup!$F$3:$F$24,MATCH($C3557,Setup!$A$3:$A$24,0)),"")))</f>
        <v/>
      </c>
      <c r="F3557" s="28" t="str">
        <f aca="false">IF(OR($D3557="",$E3557=""),"",IFERROR($D3557*INDEX(Setup!$B$27:$B$44,MATCH($E3557,Setup!$A$27:$A$44,0)),"TBD"))</f>
        <v/>
      </c>
      <c r="G3557" s="32"/>
      <c r="H3557" s="32"/>
      <c r="I3557" s="32"/>
      <c r="J3557" s="32"/>
      <c r="K3557" s="35"/>
      <c r="L3557" s="32"/>
      <c r="M3557" s="32"/>
    </row>
    <row r="3558" customFormat="false" ht="15" hidden="false" customHeight="true" outlineLevel="0" collapsed="false">
      <c r="A3558" s="32"/>
      <c r="B3558" s="32"/>
      <c r="C3558" s="32"/>
      <c r="D3558" s="32"/>
      <c r="E3558" s="34" t="str">
        <f aca="false">IF($B3558="","",IF($B3558="OUT","Liters",IFERROR(INDEX(Setup!$F$3:$F$24,MATCH($C3558,Setup!$A$3:$A$24,0)),"")))</f>
        <v/>
      </c>
      <c r="F3558" s="28" t="str">
        <f aca="false">IF(OR($D3558="",$E3558=""),"",IFERROR($D3558*INDEX(Setup!$B$27:$B$44,MATCH($E3558,Setup!$A$27:$A$44,0)),"TBD"))</f>
        <v/>
      </c>
      <c r="G3558" s="32"/>
      <c r="H3558" s="32"/>
      <c r="I3558" s="32"/>
      <c r="J3558" s="32"/>
      <c r="K3558" s="35"/>
      <c r="L3558" s="32"/>
      <c r="M3558" s="32"/>
    </row>
    <row r="3559" customFormat="false" ht="15" hidden="false" customHeight="true" outlineLevel="0" collapsed="false">
      <c r="A3559" s="32"/>
      <c r="B3559" s="32"/>
      <c r="C3559" s="32"/>
      <c r="D3559" s="32"/>
      <c r="E3559" s="34" t="str">
        <f aca="false">IF($B3559="","",IF($B3559="OUT","Liters",IFERROR(INDEX(Setup!$F$3:$F$24,MATCH($C3559,Setup!$A$3:$A$24,0)),"")))</f>
        <v/>
      </c>
      <c r="F3559" s="28" t="str">
        <f aca="false">IF(OR($D3559="",$E3559=""),"",IFERROR($D3559*INDEX(Setup!$B$27:$B$44,MATCH($E3559,Setup!$A$27:$A$44,0)),"TBD"))</f>
        <v/>
      </c>
      <c r="G3559" s="32"/>
      <c r="H3559" s="32"/>
      <c r="I3559" s="32"/>
      <c r="J3559" s="32"/>
      <c r="K3559" s="35"/>
      <c r="L3559" s="32"/>
      <c r="M3559" s="32"/>
    </row>
    <row r="3560" customFormat="false" ht="15" hidden="false" customHeight="true" outlineLevel="0" collapsed="false">
      <c r="A3560" s="32"/>
      <c r="B3560" s="32"/>
      <c r="C3560" s="32"/>
      <c r="D3560" s="32"/>
      <c r="E3560" s="34" t="str">
        <f aca="false">IF($B3560="","",IF($B3560="OUT","Liters",IFERROR(INDEX(Setup!$F$3:$F$24,MATCH($C3560,Setup!$A$3:$A$24,0)),"")))</f>
        <v/>
      </c>
      <c r="F3560" s="28" t="str">
        <f aca="false">IF(OR($D3560="",$E3560=""),"",IFERROR($D3560*INDEX(Setup!$B$27:$B$44,MATCH($E3560,Setup!$A$27:$A$44,0)),"TBD"))</f>
        <v/>
      </c>
      <c r="G3560" s="32"/>
      <c r="H3560" s="32"/>
      <c r="I3560" s="32"/>
      <c r="J3560" s="32"/>
      <c r="K3560" s="35"/>
      <c r="L3560" s="32"/>
      <c r="M3560" s="32"/>
    </row>
    <row r="3561" customFormat="false" ht="15" hidden="false" customHeight="true" outlineLevel="0" collapsed="false">
      <c r="A3561" s="32"/>
      <c r="B3561" s="32"/>
      <c r="C3561" s="32"/>
      <c r="D3561" s="32"/>
      <c r="E3561" s="34" t="str">
        <f aca="false">IF($B3561="","",IF($B3561="OUT","Liters",IFERROR(INDEX(Setup!$F$3:$F$24,MATCH($C3561,Setup!$A$3:$A$24,0)),"")))</f>
        <v/>
      </c>
      <c r="F3561" s="28" t="str">
        <f aca="false">IF(OR($D3561="",$E3561=""),"",IFERROR($D3561*INDEX(Setup!$B$27:$B$44,MATCH($E3561,Setup!$A$27:$A$44,0)),"TBD"))</f>
        <v/>
      </c>
      <c r="G3561" s="32"/>
      <c r="H3561" s="32"/>
      <c r="I3561" s="32"/>
      <c r="J3561" s="32"/>
      <c r="K3561" s="35"/>
      <c r="L3561" s="32"/>
      <c r="M3561" s="32"/>
    </row>
    <row r="3562" customFormat="false" ht="15" hidden="false" customHeight="true" outlineLevel="0" collapsed="false">
      <c r="A3562" s="32"/>
      <c r="B3562" s="32"/>
      <c r="C3562" s="32"/>
      <c r="D3562" s="32"/>
      <c r="E3562" s="34" t="str">
        <f aca="false">IF($B3562="","",IF($B3562="OUT","Liters",IFERROR(INDEX(Setup!$F$3:$F$24,MATCH($C3562,Setup!$A$3:$A$24,0)),"")))</f>
        <v/>
      </c>
      <c r="F3562" s="28" t="str">
        <f aca="false">IF(OR($D3562="",$E3562=""),"",IFERROR($D3562*INDEX(Setup!$B$27:$B$44,MATCH($E3562,Setup!$A$27:$A$44,0)),"TBD"))</f>
        <v/>
      </c>
      <c r="G3562" s="32"/>
      <c r="H3562" s="32"/>
      <c r="I3562" s="32"/>
      <c r="J3562" s="32"/>
      <c r="K3562" s="35"/>
      <c r="L3562" s="32"/>
      <c r="M3562" s="32"/>
    </row>
    <row r="3563" customFormat="false" ht="15" hidden="false" customHeight="true" outlineLevel="0" collapsed="false">
      <c r="A3563" s="32"/>
      <c r="B3563" s="32"/>
      <c r="C3563" s="32"/>
      <c r="D3563" s="32"/>
      <c r="E3563" s="34" t="str">
        <f aca="false">IF($B3563="","",IF($B3563="OUT","Liters",IFERROR(INDEX(Setup!$F$3:$F$24,MATCH($C3563,Setup!$A$3:$A$24,0)),"")))</f>
        <v/>
      </c>
      <c r="F3563" s="28" t="str">
        <f aca="false">IF(OR($D3563="",$E3563=""),"",IFERROR($D3563*INDEX(Setup!$B$27:$B$44,MATCH($E3563,Setup!$A$27:$A$44,0)),"TBD"))</f>
        <v/>
      </c>
      <c r="G3563" s="32"/>
      <c r="H3563" s="32"/>
      <c r="I3563" s="32"/>
      <c r="J3563" s="32"/>
      <c r="K3563" s="35"/>
      <c r="L3563" s="32"/>
      <c r="M3563" s="32"/>
    </row>
    <row r="3564" customFormat="false" ht="15" hidden="false" customHeight="true" outlineLevel="0" collapsed="false">
      <c r="A3564" s="32"/>
      <c r="B3564" s="32"/>
      <c r="C3564" s="32"/>
      <c r="D3564" s="32"/>
      <c r="E3564" s="34" t="str">
        <f aca="false">IF($B3564="","",IF($B3564="OUT","Liters",IFERROR(INDEX(Setup!$F$3:$F$24,MATCH($C3564,Setup!$A$3:$A$24,0)),"")))</f>
        <v/>
      </c>
      <c r="F3564" s="28" t="str">
        <f aca="false">IF(OR($D3564="",$E3564=""),"",IFERROR($D3564*INDEX(Setup!$B$27:$B$44,MATCH($E3564,Setup!$A$27:$A$44,0)),"TBD"))</f>
        <v/>
      </c>
      <c r="G3564" s="32"/>
      <c r="H3564" s="32"/>
      <c r="I3564" s="32"/>
      <c r="J3564" s="32"/>
      <c r="K3564" s="35"/>
      <c r="L3564" s="32"/>
      <c r="M3564" s="32"/>
    </row>
    <row r="3565" customFormat="false" ht="15" hidden="false" customHeight="true" outlineLevel="0" collapsed="false">
      <c r="A3565" s="32"/>
      <c r="B3565" s="32"/>
      <c r="C3565" s="32"/>
      <c r="D3565" s="32"/>
      <c r="E3565" s="34" t="str">
        <f aca="false">IF($B3565="","",IF($B3565="OUT","Liters",IFERROR(INDEX(Setup!$F$3:$F$24,MATCH($C3565,Setup!$A$3:$A$24,0)),"")))</f>
        <v/>
      </c>
      <c r="F3565" s="28" t="str">
        <f aca="false">IF(OR($D3565="",$E3565=""),"",IFERROR($D3565*INDEX(Setup!$B$27:$B$44,MATCH($E3565,Setup!$A$27:$A$44,0)),"TBD"))</f>
        <v/>
      </c>
      <c r="G3565" s="32"/>
      <c r="H3565" s="32"/>
      <c r="I3565" s="32"/>
      <c r="J3565" s="32"/>
      <c r="K3565" s="35"/>
      <c r="L3565" s="32"/>
      <c r="M3565" s="32"/>
    </row>
    <row r="3566" customFormat="false" ht="15" hidden="false" customHeight="true" outlineLevel="0" collapsed="false">
      <c r="A3566" s="32"/>
      <c r="B3566" s="32"/>
      <c r="C3566" s="32"/>
      <c r="D3566" s="32"/>
      <c r="E3566" s="34" t="str">
        <f aca="false">IF($B3566="","",IF($B3566="OUT","Liters",IFERROR(INDEX(Setup!$F$3:$F$24,MATCH($C3566,Setup!$A$3:$A$24,0)),"")))</f>
        <v/>
      </c>
      <c r="F3566" s="28" t="str">
        <f aca="false">IF(OR($D3566="",$E3566=""),"",IFERROR($D3566*INDEX(Setup!$B$27:$B$44,MATCH($E3566,Setup!$A$27:$A$44,0)),"TBD"))</f>
        <v/>
      </c>
      <c r="G3566" s="32"/>
      <c r="H3566" s="32"/>
      <c r="I3566" s="32"/>
      <c r="J3566" s="32"/>
      <c r="K3566" s="35"/>
      <c r="L3566" s="32"/>
      <c r="M3566" s="32"/>
    </row>
    <row r="3567" customFormat="false" ht="15" hidden="false" customHeight="true" outlineLevel="0" collapsed="false">
      <c r="A3567" s="32"/>
      <c r="B3567" s="32"/>
      <c r="C3567" s="32"/>
      <c r="D3567" s="32"/>
      <c r="E3567" s="34" t="str">
        <f aca="false">IF($B3567="","",IF($B3567="OUT","Liters",IFERROR(INDEX(Setup!$F$3:$F$24,MATCH($C3567,Setup!$A$3:$A$24,0)),"")))</f>
        <v/>
      </c>
      <c r="F3567" s="28" t="str">
        <f aca="false">IF(OR($D3567="",$E3567=""),"",IFERROR($D3567*INDEX(Setup!$B$27:$B$44,MATCH($E3567,Setup!$A$27:$A$44,0)),"TBD"))</f>
        <v/>
      </c>
      <c r="G3567" s="32"/>
      <c r="H3567" s="32"/>
      <c r="I3567" s="32"/>
      <c r="J3567" s="32"/>
      <c r="K3567" s="35"/>
      <c r="L3567" s="32"/>
      <c r="M3567" s="32"/>
    </row>
    <row r="3568" customFormat="false" ht="15" hidden="false" customHeight="true" outlineLevel="0" collapsed="false">
      <c r="A3568" s="32"/>
      <c r="B3568" s="32"/>
      <c r="C3568" s="32"/>
      <c r="D3568" s="32"/>
      <c r="E3568" s="34" t="str">
        <f aca="false">IF($B3568="","",IF($B3568="OUT","Liters",IFERROR(INDEX(Setup!$F$3:$F$24,MATCH($C3568,Setup!$A$3:$A$24,0)),"")))</f>
        <v/>
      </c>
      <c r="F3568" s="28" t="str">
        <f aca="false">IF(OR($D3568="",$E3568=""),"",IFERROR($D3568*INDEX(Setup!$B$27:$B$44,MATCH($E3568,Setup!$A$27:$A$44,0)),"TBD"))</f>
        <v/>
      </c>
      <c r="G3568" s="32"/>
      <c r="H3568" s="32"/>
      <c r="I3568" s="32"/>
      <c r="J3568" s="32"/>
      <c r="K3568" s="35"/>
      <c r="L3568" s="32"/>
      <c r="M3568" s="32"/>
    </row>
    <row r="3569" customFormat="false" ht="15" hidden="false" customHeight="true" outlineLevel="0" collapsed="false">
      <c r="A3569" s="32"/>
      <c r="B3569" s="32"/>
      <c r="C3569" s="32"/>
      <c r="D3569" s="32"/>
      <c r="E3569" s="34" t="str">
        <f aca="false">IF($B3569="","",IF($B3569="OUT","Liters",IFERROR(INDEX(Setup!$F$3:$F$24,MATCH($C3569,Setup!$A$3:$A$24,0)),"")))</f>
        <v/>
      </c>
      <c r="F3569" s="28" t="str">
        <f aca="false">IF(OR($D3569="",$E3569=""),"",IFERROR($D3569*INDEX(Setup!$B$27:$B$44,MATCH($E3569,Setup!$A$27:$A$44,0)),"TBD"))</f>
        <v/>
      </c>
      <c r="G3569" s="32"/>
      <c r="H3569" s="32"/>
      <c r="I3569" s="32"/>
      <c r="J3569" s="32"/>
      <c r="K3569" s="35"/>
      <c r="L3569" s="32"/>
      <c r="M3569" s="32"/>
    </row>
    <row r="3570" customFormat="false" ht="15" hidden="false" customHeight="true" outlineLevel="0" collapsed="false">
      <c r="A3570" s="32"/>
      <c r="B3570" s="32"/>
      <c r="C3570" s="32"/>
      <c r="D3570" s="32"/>
      <c r="E3570" s="34" t="str">
        <f aca="false">IF($B3570="","",IF($B3570="OUT","Liters",IFERROR(INDEX(Setup!$F$3:$F$24,MATCH($C3570,Setup!$A$3:$A$24,0)),"")))</f>
        <v/>
      </c>
      <c r="F3570" s="28" t="str">
        <f aca="false">IF(OR($D3570="",$E3570=""),"",IFERROR($D3570*INDEX(Setup!$B$27:$B$44,MATCH($E3570,Setup!$A$27:$A$44,0)),"TBD"))</f>
        <v/>
      </c>
      <c r="G3570" s="32"/>
      <c r="H3570" s="32"/>
      <c r="I3570" s="32"/>
      <c r="J3570" s="32"/>
      <c r="K3570" s="35"/>
      <c r="L3570" s="32"/>
      <c r="M3570" s="32"/>
    </row>
    <row r="3571" customFormat="false" ht="15" hidden="false" customHeight="true" outlineLevel="0" collapsed="false">
      <c r="A3571" s="32"/>
      <c r="B3571" s="32"/>
      <c r="C3571" s="32"/>
      <c r="D3571" s="32"/>
      <c r="E3571" s="34" t="str">
        <f aca="false">IF($B3571="","",IF($B3571="OUT","Liters",IFERROR(INDEX(Setup!$F$3:$F$24,MATCH($C3571,Setup!$A$3:$A$24,0)),"")))</f>
        <v/>
      </c>
      <c r="F3571" s="28" t="str">
        <f aca="false">IF(OR($D3571="",$E3571=""),"",IFERROR($D3571*INDEX(Setup!$B$27:$B$44,MATCH($E3571,Setup!$A$27:$A$44,0)),"TBD"))</f>
        <v/>
      </c>
      <c r="G3571" s="32"/>
      <c r="H3571" s="32"/>
      <c r="I3571" s="32"/>
      <c r="J3571" s="32"/>
      <c r="K3571" s="35"/>
      <c r="L3571" s="32"/>
      <c r="M3571" s="32"/>
    </row>
    <row r="3572" customFormat="false" ht="15" hidden="false" customHeight="true" outlineLevel="0" collapsed="false">
      <c r="A3572" s="32"/>
      <c r="B3572" s="32"/>
      <c r="C3572" s="32"/>
      <c r="D3572" s="32"/>
      <c r="E3572" s="34" t="str">
        <f aca="false">IF($B3572="","",IF($B3572="OUT","Liters",IFERROR(INDEX(Setup!$F$3:$F$24,MATCH($C3572,Setup!$A$3:$A$24,0)),"")))</f>
        <v/>
      </c>
      <c r="F3572" s="28" t="str">
        <f aca="false">IF(OR($D3572="",$E3572=""),"",IFERROR($D3572*INDEX(Setup!$B$27:$B$44,MATCH($E3572,Setup!$A$27:$A$44,0)),"TBD"))</f>
        <v/>
      </c>
      <c r="G3572" s="32"/>
      <c r="H3572" s="32"/>
      <c r="I3572" s="32"/>
      <c r="J3572" s="32"/>
      <c r="K3572" s="35"/>
      <c r="L3572" s="32"/>
      <c r="M3572" s="32"/>
    </row>
    <row r="3573" customFormat="false" ht="15" hidden="false" customHeight="true" outlineLevel="0" collapsed="false">
      <c r="A3573" s="32"/>
      <c r="B3573" s="32"/>
      <c r="C3573" s="32"/>
      <c r="D3573" s="32"/>
      <c r="E3573" s="34" t="str">
        <f aca="false">IF($B3573="","",IF($B3573="OUT","Liters",IFERROR(INDEX(Setup!$F$3:$F$24,MATCH($C3573,Setup!$A$3:$A$24,0)),"")))</f>
        <v/>
      </c>
      <c r="F3573" s="28" t="str">
        <f aca="false">IF(OR($D3573="",$E3573=""),"",IFERROR($D3573*INDEX(Setup!$B$27:$B$44,MATCH($E3573,Setup!$A$27:$A$44,0)),"TBD"))</f>
        <v/>
      </c>
      <c r="G3573" s="32"/>
      <c r="H3573" s="32"/>
      <c r="I3573" s="32"/>
      <c r="J3573" s="32"/>
      <c r="K3573" s="35"/>
      <c r="L3573" s="32"/>
      <c r="M3573" s="32"/>
    </row>
    <row r="3574" customFormat="false" ht="15" hidden="false" customHeight="true" outlineLevel="0" collapsed="false">
      <c r="A3574" s="32"/>
      <c r="B3574" s="32"/>
      <c r="C3574" s="32"/>
      <c r="D3574" s="32"/>
      <c r="E3574" s="34" t="str">
        <f aca="false">IF($B3574="","",IF($B3574="OUT","Liters",IFERROR(INDEX(Setup!$F$3:$F$24,MATCH($C3574,Setup!$A$3:$A$24,0)),"")))</f>
        <v/>
      </c>
      <c r="F3574" s="28" t="str">
        <f aca="false">IF(OR($D3574="",$E3574=""),"",IFERROR($D3574*INDEX(Setup!$B$27:$B$44,MATCH($E3574,Setup!$A$27:$A$44,0)),"TBD"))</f>
        <v/>
      </c>
      <c r="G3574" s="32"/>
      <c r="H3574" s="32"/>
      <c r="I3574" s="32"/>
      <c r="J3574" s="32"/>
      <c r="K3574" s="35"/>
      <c r="L3574" s="32"/>
      <c r="M3574" s="32"/>
    </row>
    <row r="3575" customFormat="false" ht="15" hidden="false" customHeight="true" outlineLevel="0" collapsed="false">
      <c r="A3575" s="32"/>
      <c r="B3575" s="32"/>
      <c r="C3575" s="32"/>
      <c r="D3575" s="32"/>
      <c r="E3575" s="34" t="str">
        <f aca="false">IF($B3575="","",IF($B3575="OUT","Liters",IFERROR(INDEX(Setup!$F$3:$F$24,MATCH($C3575,Setup!$A$3:$A$24,0)),"")))</f>
        <v/>
      </c>
      <c r="F3575" s="28" t="str">
        <f aca="false">IF(OR($D3575="",$E3575=""),"",IFERROR($D3575*INDEX(Setup!$B$27:$B$44,MATCH($E3575,Setup!$A$27:$A$44,0)),"TBD"))</f>
        <v/>
      </c>
      <c r="G3575" s="32"/>
      <c r="H3575" s="32"/>
      <c r="I3575" s="32"/>
      <c r="J3575" s="32"/>
      <c r="K3575" s="35"/>
      <c r="L3575" s="32"/>
      <c r="M3575" s="32"/>
    </row>
    <row r="3576" customFormat="false" ht="15" hidden="false" customHeight="true" outlineLevel="0" collapsed="false">
      <c r="A3576" s="32"/>
      <c r="B3576" s="32"/>
      <c r="C3576" s="32"/>
      <c r="D3576" s="32"/>
      <c r="E3576" s="34" t="str">
        <f aca="false">IF($B3576="","",IF($B3576="OUT","Liters",IFERROR(INDEX(Setup!$F$3:$F$24,MATCH($C3576,Setup!$A$3:$A$24,0)),"")))</f>
        <v/>
      </c>
      <c r="F3576" s="28" t="str">
        <f aca="false">IF(OR($D3576="",$E3576=""),"",IFERROR($D3576*INDEX(Setup!$B$27:$B$44,MATCH($E3576,Setup!$A$27:$A$44,0)),"TBD"))</f>
        <v/>
      </c>
      <c r="G3576" s="32"/>
      <c r="H3576" s="32"/>
      <c r="I3576" s="32"/>
      <c r="J3576" s="32"/>
      <c r="K3576" s="35"/>
      <c r="L3576" s="32"/>
      <c r="M3576" s="32"/>
    </row>
    <row r="3577" customFormat="false" ht="15" hidden="false" customHeight="true" outlineLevel="0" collapsed="false">
      <c r="A3577" s="32"/>
      <c r="B3577" s="32"/>
      <c r="C3577" s="32"/>
      <c r="D3577" s="32"/>
      <c r="E3577" s="34" t="str">
        <f aca="false">IF($B3577="","",IF($B3577="OUT","Liters",IFERROR(INDEX(Setup!$F$3:$F$24,MATCH($C3577,Setup!$A$3:$A$24,0)),"")))</f>
        <v/>
      </c>
      <c r="F3577" s="28" t="str">
        <f aca="false">IF(OR($D3577="",$E3577=""),"",IFERROR($D3577*INDEX(Setup!$B$27:$B$44,MATCH($E3577,Setup!$A$27:$A$44,0)),"TBD"))</f>
        <v/>
      </c>
      <c r="G3577" s="32"/>
      <c r="H3577" s="32"/>
      <c r="I3577" s="32"/>
      <c r="J3577" s="32"/>
      <c r="K3577" s="35"/>
      <c r="L3577" s="32"/>
      <c r="M3577" s="32"/>
    </row>
    <row r="3578" customFormat="false" ht="15" hidden="false" customHeight="true" outlineLevel="0" collapsed="false">
      <c r="A3578" s="32"/>
      <c r="B3578" s="32"/>
      <c r="C3578" s="32"/>
      <c r="D3578" s="32"/>
      <c r="E3578" s="34" t="str">
        <f aca="false">IF($B3578="","",IF($B3578="OUT","Liters",IFERROR(INDEX(Setup!$F$3:$F$24,MATCH($C3578,Setup!$A$3:$A$24,0)),"")))</f>
        <v/>
      </c>
      <c r="F3578" s="28" t="str">
        <f aca="false">IF(OR($D3578="",$E3578=""),"",IFERROR($D3578*INDEX(Setup!$B$27:$B$44,MATCH($E3578,Setup!$A$27:$A$44,0)),"TBD"))</f>
        <v/>
      </c>
      <c r="G3578" s="32"/>
      <c r="H3578" s="32"/>
      <c r="I3578" s="32"/>
      <c r="J3578" s="32"/>
      <c r="K3578" s="35"/>
      <c r="L3578" s="32"/>
      <c r="M3578" s="32"/>
    </row>
    <row r="3579" customFormat="false" ht="15" hidden="false" customHeight="true" outlineLevel="0" collapsed="false">
      <c r="A3579" s="32"/>
      <c r="B3579" s="32"/>
      <c r="C3579" s="32"/>
      <c r="D3579" s="32"/>
      <c r="E3579" s="34" t="str">
        <f aca="false">IF($B3579="","",IF($B3579="OUT","Liters",IFERROR(INDEX(Setup!$F$3:$F$24,MATCH($C3579,Setup!$A$3:$A$24,0)),"")))</f>
        <v/>
      </c>
      <c r="F3579" s="28" t="str">
        <f aca="false">IF(OR($D3579="",$E3579=""),"",IFERROR($D3579*INDEX(Setup!$B$27:$B$44,MATCH($E3579,Setup!$A$27:$A$44,0)),"TBD"))</f>
        <v/>
      </c>
      <c r="G3579" s="32"/>
      <c r="H3579" s="32"/>
      <c r="I3579" s="32"/>
      <c r="J3579" s="32"/>
      <c r="K3579" s="35"/>
      <c r="L3579" s="32"/>
      <c r="M3579" s="32"/>
    </row>
    <row r="3580" customFormat="false" ht="15" hidden="false" customHeight="true" outlineLevel="0" collapsed="false">
      <c r="A3580" s="32"/>
      <c r="B3580" s="32"/>
      <c r="C3580" s="32"/>
      <c r="D3580" s="32"/>
      <c r="E3580" s="34" t="str">
        <f aca="false">IF($B3580="","",IF($B3580="OUT","Liters",IFERROR(INDEX(Setup!$F$3:$F$24,MATCH($C3580,Setup!$A$3:$A$24,0)),"")))</f>
        <v/>
      </c>
      <c r="F3580" s="28" t="str">
        <f aca="false">IF(OR($D3580="",$E3580=""),"",IFERROR($D3580*INDEX(Setup!$B$27:$B$44,MATCH($E3580,Setup!$A$27:$A$44,0)),"TBD"))</f>
        <v/>
      </c>
      <c r="G3580" s="32"/>
      <c r="H3580" s="32"/>
      <c r="I3580" s="32"/>
      <c r="J3580" s="32"/>
      <c r="K3580" s="35"/>
      <c r="L3580" s="32"/>
      <c r="M3580" s="32"/>
    </row>
    <row r="3581" customFormat="false" ht="15" hidden="false" customHeight="true" outlineLevel="0" collapsed="false">
      <c r="A3581" s="32"/>
      <c r="B3581" s="32"/>
      <c r="C3581" s="32"/>
      <c r="D3581" s="32"/>
      <c r="E3581" s="34" t="str">
        <f aca="false">IF($B3581="","",IF($B3581="OUT","Liters",IFERROR(INDEX(Setup!$F$3:$F$24,MATCH($C3581,Setup!$A$3:$A$24,0)),"")))</f>
        <v/>
      </c>
      <c r="F3581" s="28" t="str">
        <f aca="false">IF(OR($D3581="",$E3581=""),"",IFERROR($D3581*INDEX(Setup!$B$27:$B$44,MATCH($E3581,Setup!$A$27:$A$44,0)),"TBD"))</f>
        <v/>
      </c>
      <c r="G3581" s="32"/>
      <c r="H3581" s="32"/>
      <c r="I3581" s="32"/>
      <c r="J3581" s="32"/>
      <c r="K3581" s="35"/>
      <c r="L3581" s="32"/>
      <c r="M3581" s="32"/>
    </row>
    <row r="3582" customFormat="false" ht="15" hidden="false" customHeight="true" outlineLevel="0" collapsed="false">
      <c r="A3582" s="32"/>
      <c r="B3582" s="32"/>
      <c r="C3582" s="32"/>
      <c r="D3582" s="32"/>
      <c r="E3582" s="34" t="str">
        <f aca="false">IF($B3582="","",IF($B3582="OUT","Liters",IFERROR(INDEX(Setup!$F$3:$F$24,MATCH($C3582,Setup!$A$3:$A$24,0)),"")))</f>
        <v/>
      </c>
      <c r="F3582" s="28" t="str">
        <f aca="false">IF(OR($D3582="",$E3582=""),"",IFERROR($D3582*INDEX(Setup!$B$27:$B$44,MATCH($E3582,Setup!$A$27:$A$44,0)),"TBD"))</f>
        <v/>
      </c>
      <c r="G3582" s="32"/>
      <c r="H3582" s="32"/>
      <c r="I3582" s="32"/>
      <c r="J3582" s="32"/>
      <c r="K3582" s="35"/>
      <c r="L3582" s="32"/>
      <c r="M3582" s="32"/>
    </row>
    <row r="3583" customFormat="false" ht="15" hidden="false" customHeight="true" outlineLevel="0" collapsed="false">
      <c r="A3583" s="32"/>
      <c r="B3583" s="32"/>
      <c r="C3583" s="32"/>
      <c r="D3583" s="32"/>
      <c r="E3583" s="34" t="str">
        <f aca="false">IF($B3583="","",IF($B3583="OUT","Liters",IFERROR(INDEX(Setup!$F$3:$F$24,MATCH($C3583,Setup!$A$3:$A$24,0)),"")))</f>
        <v/>
      </c>
      <c r="F3583" s="28" t="str">
        <f aca="false">IF(OR($D3583="",$E3583=""),"",IFERROR($D3583*INDEX(Setup!$B$27:$B$44,MATCH($E3583,Setup!$A$27:$A$44,0)),"TBD"))</f>
        <v/>
      </c>
      <c r="G3583" s="32"/>
      <c r="H3583" s="32"/>
      <c r="I3583" s="32"/>
      <c r="J3583" s="32"/>
      <c r="K3583" s="35"/>
      <c r="L3583" s="32"/>
      <c r="M3583" s="32"/>
    </row>
    <row r="3584" customFormat="false" ht="15" hidden="false" customHeight="true" outlineLevel="0" collapsed="false">
      <c r="A3584" s="32"/>
      <c r="B3584" s="32"/>
      <c r="C3584" s="32"/>
      <c r="D3584" s="32"/>
      <c r="E3584" s="34" t="str">
        <f aca="false">IF($B3584="","",IF($B3584="OUT","Liters",IFERROR(INDEX(Setup!$F$3:$F$24,MATCH($C3584,Setup!$A$3:$A$24,0)),"")))</f>
        <v/>
      </c>
      <c r="F3584" s="28" t="str">
        <f aca="false">IF(OR($D3584="",$E3584=""),"",IFERROR($D3584*INDEX(Setup!$B$27:$B$44,MATCH($E3584,Setup!$A$27:$A$44,0)),"TBD"))</f>
        <v/>
      </c>
      <c r="G3584" s="32"/>
      <c r="H3584" s="32"/>
      <c r="I3584" s="32"/>
      <c r="J3584" s="32"/>
      <c r="K3584" s="35"/>
      <c r="L3584" s="32"/>
      <c r="M3584" s="32"/>
    </row>
    <row r="3585" customFormat="false" ht="15" hidden="false" customHeight="true" outlineLevel="0" collapsed="false">
      <c r="A3585" s="32"/>
      <c r="B3585" s="32"/>
      <c r="C3585" s="32"/>
      <c r="D3585" s="32"/>
      <c r="E3585" s="34" t="str">
        <f aca="false">IF($B3585="","",IF($B3585="OUT","Liters",IFERROR(INDEX(Setup!$F$3:$F$24,MATCH($C3585,Setup!$A$3:$A$24,0)),"")))</f>
        <v/>
      </c>
      <c r="F3585" s="28" t="str">
        <f aca="false">IF(OR($D3585="",$E3585=""),"",IFERROR($D3585*INDEX(Setup!$B$27:$B$44,MATCH($E3585,Setup!$A$27:$A$44,0)),"TBD"))</f>
        <v/>
      </c>
      <c r="G3585" s="32"/>
      <c r="H3585" s="32"/>
      <c r="I3585" s="32"/>
      <c r="J3585" s="32"/>
      <c r="K3585" s="35"/>
      <c r="L3585" s="32"/>
      <c r="M3585" s="32"/>
    </row>
    <row r="3586" customFormat="false" ht="15" hidden="false" customHeight="true" outlineLevel="0" collapsed="false">
      <c r="A3586" s="32"/>
      <c r="B3586" s="32"/>
      <c r="C3586" s="32"/>
      <c r="D3586" s="32"/>
      <c r="E3586" s="34" t="str">
        <f aca="false">IF($B3586="","",IF($B3586="OUT","Liters",IFERROR(INDEX(Setup!$F$3:$F$24,MATCH($C3586,Setup!$A$3:$A$24,0)),"")))</f>
        <v/>
      </c>
      <c r="F3586" s="28" t="str">
        <f aca="false">IF(OR($D3586="",$E3586=""),"",IFERROR($D3586*INDEX(Setup!$B$27:$B$44,MATCH($E3586,Setup!$A$27:$A$44,0)),"TBD"))</f>
        <v/>
      </c>
      <c r="G3586" s="32"/>
      <c r="H3586" s="32"/>
      <c r="I3586" s="32"/>
      <c r="J3586" s="32"/>
      <c r="K3586" s="35"/>
      <c r="L3586" s="32"/>
      <c r="M3586" s="32"/>
    </row>
    <row r="3587" customFormat="false" ht="15" hidden="false" customHeight="true" outlineLevel="0" collapsed="false">
      <c r="A3587" s="32"/>
      <c r="B3587" s="32"/>
      <c r="C3587" s="32"/>
      <c r="D3587" s="32"/>
      <c r="E3587" s="34" t="str">
        <f aca="false">IF($B3587="","",IF($B3587="OUT","Liters",IFERROR(INDEX(Setup!$F$3:$F$24,MATCH($C3587,Setup!$A$3:$A$24,0)),"")))</f>
        <v/>
      </c>
      <c r="F3587" s="28" t="str">
        <f aca="false">IF(OR($D3587="",$E3587=""),"",IFERROR($D3587*INDEX(Setup!$B$27:$B$44,MATCH($E3587,Setup!$A$27:$A$44,0)),"TBD"))</f>
        <v/>
      </c>
      <c r="G3587" s="32"/>
      <c r="H3587" s="32"/>
      <c r="I3587" s="32"/>
      <c r="J3587" s="32"/>
      <c r="K3587" s="35"/>
      <c r="L3587" s="32"/>
      <c r="M3587" s="32"/>
    </row>
    <row r="3588" customFormat="false" ht="15" hidden="false" customHeight="true" outlineLevel="0" collapsed="false">
      <c r="A3588" s="32"/>
      <c r="B3588" s="32"/>
      <c r="C3588" s="32"/>
      <c r="D3588" s="32"/>
      <c r="E3588" s="34" t="str">
        <f aca="false">IF($B3588="","",IF($B3588="OUT","Liters",IFERROR(INDEX(Setup!$F$3:$F$24,MATCH($C3588,Setup!$A$3:$A$24,0)),"")))</f>
        <v/>
      </c>
      <c r="F3588" s="28" t="str">
        <f aca="false">IF(OR($D3588="",$E3588=""),"",IFERROR($D3588*INDEX(Setup!$B$27:$B$44,MATCH($E3588,Setup!$A$27:$A$44,0)),"TBD"))</f>
        <v/>
      </c>
      <c r="G3588" s="32"/>
      <c r="H3588" s="32"/>
      <c r="I3588" s="32"/>
      <c r="J3588" s="32"/>
      <c r="K3588" s="35"/>
      <c r="L3588" s="32"/>
      <c r="M3588" s="32"/>
    </row>
    <row r="3589" customFormat="false" ht="15" hidden="false" customHeight="true" outlineLevel="0" collapsed="false">
      <c r="A3589" s="32"/>
      <c r="B3589" s="32"/>
      <c r="C3589" s="32"/>
      <c r="D3589" s="32"/>
      <c r="E3589" s="34" t="str">
        <f aca="false">IF($B3589="","",IF($B3589="OUT","Liters",IFERROR(INDEX(Setup!$F$3:$F$24,MATCH($C3589,Setup!$A$3:$A$24,0)),"")))</f>
        <v/>
      </c>
      <c r="F3589" s="28" t="str">
        <f aca="false">IF(OR($D3589="",$E3589=""),"",IFERROR($D3589*INDEX(Setup!$B$27:$B$44,MATCH($E3589,Setup!$A$27:$A$44,0)),"TBD"))</f>
        <v/>
      </c>
      <c r="G3589" s="32"/>
      <c r="H3589" s="32"/>
      <c r="I3589" s="32"/>
      <c r="J3589" s="32"/>
      <c r="K3589" s="35"/>
      <c r="L3589" s="32"/>
      <c r="M3589" s="32"/>
    </row>
    <row r="3590" customFormat="false" ht="15" hidden="false" customHeight="true" outlineLevel="0" collapsed="false">
      <c r="A3590" s="32"/>
      <c r="B3590" s="32"/>
      <c r="C3590" s="32"/>
      <c r="D3590" s="32"/>
      <c r="E3590" s="34" t="str">
        <f aca="false">IF($B3590="","",IF($B3590="OUT","Liters",IFERROR(INDEX(Setup!$F$3:$F$24,MATCH($C3590,Setup!$A$3:$A$24,0)),"")))</f>
        <v/>
      </c>
      <c r="F3590" s="28" t="str">
        <f aca="false">IF(OR($D3590="",$E3590=""),"",IFERROR($D3590*INDEX(Setup!$B$27:$B$44,MATCH($E3590,Setup!$A$27:$A$44,0)),"TBD"))</f>
        <v/>
      </c>
      <c r="G3590" s="32"/>
      <c r="H3590" s="32"/>
      <c r="I3590" s="32"/>
      <c r="J3590" s="32"/>
      <c r="K3590" s="35"/>
      <c r="L3590" s="32"/>
      <c r="M3590" s="32"/>
    </row>
    <row r="3591" customFormat="false" ht="15" hidden="false" customHeight="true" outlineLevel="0" collapsed="false">
      <c r="A3591" s="32"/>
      <c r="B3591" s="32"/>
      <c r="C3591" s="32"/>
      <c r="D3591" s="32"/>
      <c r="E3591" s="34" t="str">
        <f aca="false">IF($B3591="","",IF($B3591="OUT","Liters",IFERROR(INDEX(Setup!$F$3:$F$24,MATCH($C3591,Setup!$A$3:$A$24,0)),"")))</f>
        <v/>
      </c>
      <c r="F3591" s="28" t="str">
        <f aca="false">IF(OR($D3591="",$E3591=""),"",IFERROR($D3591*INDEX(Setup!$B$27:$B$44,MATCH($E3591,Setup!$A$27:$A$44,0)),"TBD"))</f>
        <v/>
      </c>
      <c r="G3591" s="32"/>
      <c r="H3591" s="32"/>
      <c r="I3591" s="32"/>
      <c r="J3591" s="32"/>
      <c r="K3591" s="35"/>
      <c r="L3591" s="32"/>
      <c r="M3591" s="32"/>
    </row>
    <row r="3592" customFormat="false" ht="15" hidden="false" customHeight="true" outlineLevel="0" collapsed="false">
      <c r="A3592" s="32"/>
      <c r="B3592" s="32"/>
      <c r="C3592" s="32"/>
      <c r="D3592" s="32"/>
      <c r="E3592" s="34" t="str">
        <f aca="false">IF($B3592="","",IF($B3592="OUT","Liters",IFERROR(INDEX(Setup!$F$3:$F$24,MATCH($C3592,Setup!$A$3:$A$24,0)),"")))</f>
        <v/>
      </c>
      <c r="F3592" s="28" t="str">
        <f aca="false">IF(OR($D3592="",$E3592=""),"",IFERROR($D3592*INDEX(Setup!$B$27:$B$44,MATCH($E3592,Setup!$A$27:$A$44,0)),"TBD"))</f>
        <v/>
      </c>
      <c r="G3592" s="32"/>
      <c r="H3592" s="32"/>
      <c r="I3592" s="32"/>
      <c r="J3592" s="32"/>
      <c r="K3592" s="35"/>
      <c r="L3592" s="32"/>
      <c r="M3592" s="32"/>
    </row>
    <row r="3593" customFormat="false" ht="15" hidden="false" customHeight="true" outlineLevel="0" collapsed="false">
      <c r="A3593" s="32"/>
      <c r="B3593" s="32"/>
      <c r="C3593" s="32"/>
      <c r="D3593" s="32"/>
      <c r="E3593" s="34" t="str">
        <f aca="false">IF($B3593="","",IF($B3593="OUT","Liters",IFERROR(INDEX(Setup!$F$3:$F$24,MATCH($C3593,Setup!$A$3:$A$24,0)),"")))</f>
        <v/>
      </c>
      <c r="F3593" s="28" t="str">
        <f aca="false">IF(OR($D3593="",$E3593=""),"",IFERROR($D3593*INDEX(Setup!$B$27:$B$44,MATCH($E3593,Setup!$A$27:$A$44,0)),"TBD"))</f>
        <v/>
      </c>
      <c r="G3593" s="32"/>
      <c r="H3593" s="32"/>
      <c r="I3593" s="32"/>
      <c r="J3593" s="32"/>
      <c r="K3593" s="35"/>
      <c r="L3593" s="32"/>
      <c r="M3593" s="32"/>
    </row>
    <row r="3594" customFormat="false" ht="15" hidden="false" customHeight="true" outlineLevel="0" collapsed="false">
      <c r="A3594" s="32"/>
      <c r="B3594" s="32"/>
      <c r="C3594" s="32"/>
      <c r="D3594" s="32"/>
      <c r="E3594" s="34" t="str">
        <f aca="false">IF($B3594="","",IF($B3594="OUT","Liters",IFERROR(INDEX(Setup!$F$3:$F$24,MATCH($C3594,Setup!$A$3:$A$24,0)),"")))</f>
        <v/>
      </c>
      <c r="F3594" s="28" t="str">
        <f aca="false">IF(OR($D3594="",$E3594=""),"",IFERROR($D3594*INDEX(Setup!$B$27:$B$44,MATCH($E3594,Setup!$A$27:$A$44,0)),"TBD"))</f>
        <v/>
      </c>
      <c r="G3594" s="32"/>
      <c r="H3594" s="32"/>
      <c r="I3594" s="32"/>
      <c r="J3594" s="32"/>
      <c r="K3594" s="35"/>
      <c r="L3594" s="32"/>
      <c r="M3594" s="32"/>
    </row>
    <row r="3595" customFormat="false" ht="15" hidden="false" customHeight="true" outlineLevel="0" collapsed="false">
      <c r="A3595" s="32"/>
      <c r="B3595" s="32"/>
      <c r="C3595" s="32"/>
      <c r="D3595" s="32"/>
      <c r="E3595" s="34" t="str">
        <f aca="false">IF($B3595="","",IF($B3595="OUT","Liters",IFERROR(INDEX(Setup!$F$3:$F$24,MATCH($C3595,Setup!$A$3:$A$24,0)),"")))</f>
        <v/>
      </c>
      <c r="F3595" s="28" t="str">
        <f aca="false">IF(OR($D3595="",$E3595=""),"",IFERROR($D3595*INDEX(Setup!$B$27:$B$44,MATCH($E3595,Setup!$A$27:$A$44,0)),"TBD"))</f>
        <v/>
      </c>
      <c r="G3595" s="32"/>
      <c r="H3595" s="32"/>
      <c r="I3595" s="32"/>
      <c r="J3595" s="32"/>
      <c r="K3595" s="35"/>
      <c r="L3595" s="32"/>
      <c r="M3595" s="32"/>
    </row>
    <row r="3596" customFormat="false" ht="15" hidden="false" customHeight="true" outlineLevel="0" collapsed="false">
      <c r="A3596" s="32"/>
      <c r="B3596" s="32"/>
      <c r="C3596" s="32"/>
      <c r="D3596" s="32"/>
      <c r="E3596" s="34" t="str">
        <f aca="false">IF($B3596="","",IF($B3596="OUT","Liters",IFERROR(INDEX(Setup!$F$3:$F$24,MATCH($C3596,Setup!$A$3:$A$24,0)),"")))</f>
        <v/>
      </c>
      <c r="F3596" s="28" t="str">
        <f aca="false">IF(OR($D3596="",$E3596=""),"",IFERROR($D3596*INDEX(Setup!$B$27:$B$44,MATCH($E3596,Setup!$A$27:$A$44,0)),"TBD"))</f>
        <v/>
      </c>
      <c r="G3596" s="32"/>
      <c r="H3596" s="32"/>
      <c r="I3596" s="32"/>
      <c r="J3596" s="32"/>
      <c r="K3596" s="35"/>
      <c r="L3596" s="32"/>
      <c r="M3596" s="32"/>
    </row>
    <row r="3597" customFormat="false" ht="15" hidden="false" customHeight="true" outlineLevel="0" collapsed="false">
      <c r="A3597" s="32"/>
      <c r="B3597" s="32"/>
      <c r="C3597" s="32"/>
      <c r="D3597" s="32"/>
      <c r="E3597" s="34" t="str">
        <f aca="false">IF($B3597="","",IF($B3597="OUT","Liters",IFERROR(INDEX(Setup!$F$3:$F$24,MATCH($C3597,Setup!$A$3:$A$24,0)),"")))</f>
        <v/>
      </c>
      <c r="F3597" s="28" t="str">
        <f aca="false">IF(OR($D3597="",$E3597=""),"",IFERROR($D3597*INDEX(Setup!$B$27:$B$44,MATCH($E3597,Setup!$A$27:$A$44,0)),"TBD"))</f>
        <v/>
      </c>
      <c r="G3597" s="32"/>
      <c r="H3597" s="32"/>
      <c r="I3597" s="32"/>
      <c r="J3597" s="32"/>
      <c r="K3597" s="35"/>
      <c r="L3597" s="32"/>
      <c r="M3597" s="32"/>
    </row>
    <row r="3598" customFormat="false" ht="15" hidden="false" customHeight="true" outlineLevel="0" collapsed="false">
      <c r="A3598" s="32"/>
      <c r="B3598" s="32"/>
      <c r="C3598" s="32"/>
      <c r="D3598" s="32"/>
      <c r="E3598" s="34" t="str">
        <f aca="false">IF($B3598="","",IF($B3598="OUT","Liters",IFERROR(INDEX(Setup!$F$3:$F$24,MATCH($C3598,Setup!$A$3:$A$24,0)),"")))</f>
        <v/>
      </c>
      <c r="F3598" s="28" t="str">
        <f aca="false">IF(OR($D3598="",$E3598=""),"",IFERROR($D3598*INDEX(Setup!$B$27:$B$44,MATCH($E3598,Setup!$A$27:$A$44,0)),"TBD"))</f>
        <v/>
      </c>
      <c r="G3598" s="32"/>
      <c r="H3598" s="32"/>
      <c r="I3598" s="32"/>
      <c r="J3598" s="32"/>
      <c r="K3598" s="35"/>
      <c r="L3598" s="32"/>
      <c r="M3598" s="32"/>
    </row>
    <row r="3599" customFormat="false" ht="15" hidden="false" customHeight="true" outlineLevel="0" collapsed="false">
      <c r="A3599" s="32"/>
      <c r="B3599" s="32"/>
      <c r="C3599" s="32"/>
      <c r="D3599" s="32"/>
      <c r="E3599" s="34" t="str">
        <f aca="false">IF($B3599="","",IF($B3599="OUT","Liters",IFERROR(INDEX(Setup!$F$3:$F$24,MATCH($C3599,Setup!$A$3:$A$24,0)),"")))</f>
        <v/>
      </c>
      <c r="F3599" s="28" t="str">
        <f aca="false">IF(OR($D3599="",$E3599=""),"",IFERROR($D3599*INDEX(Setup!$B$27:$B$44,MATCH($E3599,Setup!$A$27:$A$44,0)),"TBD"))</f>
        <v/>
      </c>
      <c r="G3599" s="32"/>
      <c r="H3599" s="32"/>
      <c r="I3599" s="32"/>
      <c r="J3599" s="32"/>
      <c r="K3599" s="35"/>
      <c r="L3599" s="32"/>
      <c r="M3599" s="32"/>
    </row>
    <row r="3600" customFormat="false" ht="15" hidden="false" customHeight="true" outlineLevel="0" collapsed="false">
      <c r="A3600" s="32"/>
      <c r="B3600" s="32"/>
      <c r="C3600" s="32"/>
      <c r="D3600" s="32"/>
      <c r="E3600" s="34" t="str">
        <f aca="false">IF($B3600="","",IF($B3600="OUT","Liters",IFERROR(INDEX(Setup!$F$3:$F$24,MATCH($C3600,Setup!$A$3:$A$24,0)),"")))</f>
        <v/>
      </c>
      <c r="F3600" s="28" t="str">
        <f aca="false">IF(OR($D3600="",$E3600=""),"",IFERROR($D3600*INDEX(Setup!$B$27:$B$44,MATCH($E3600,Setup!$A$27:$A$44,0)),"TBD"))</f>
        <v/>
      </c>
      <c r="G3600" s="32"/>
      <c r="H3600" s="32"/>
      <c r="I3600" s="32"/>
      <c r="J3600" s="32"/>
      <c r="K3600" s="35"/>
      <c r="L3600" s="32"/>
      <c r="M3600" s="32"/>
    </row>
    <row r="3601" customFormat="false" ht="15" hidden="false" customHeight="true" outlineLevel="0" collapsed="false">
      <c r="A3601" s="32"/>
      <c r="B3601" s="32"/>
      <c r="C3601" s="32"/>
      <c r="D3601" s="32"/>
      <c r="E3601" s="34" t="str">
        <f aca="false">IF($B3601="","",IF($B3601="OUT","Liters",IFERROR(INDEX(Setup!$F$3:$F$24,MATCH($C3601,Setup!$A$3:$A$24,0)),"")))</f>
        <v/>
      </c>
      <c r="F3601" s="28" t="str">
        <f aca="false">IF(OR($D3601="",$E3601=""),"",IFERROR($D3601*INDEX(Setup!$B$27:$B$44,MATCH($E3601,Setup!$A$27:$A$44,0)),"TBD"))</f>
        <v/>
      </c>
      <c r="G3601" s="32"/>
      <c r="H3601" s="32"/>
      <c r="I3601" s="32"/>
      <c r="J3601" s="32"/>
      <c r="K3601" s="35"/>
      <c r="L3601" s="32"/>
      <c r="M3601" s="32"/>
    </row>
    <row r="3602" customFormat="false" ht="15" hidden="false" customHeight="true" outlineLevel="0" collapsed="false">
      <c r="A3602" s="32"/>
      <c r="B3602" s="32"/>
      <c r="C3602" s="32"/>
      <c r="D3602" s="32"/>
      <c r="E3602" s="34" t="str">
        <f aca="false">IF($B3602="","",IF($B3602="OUT","Liters",IFERROR(INDEX(Setup!$F$3:$F$24,MATCH($C3602,Setup!$A$3:$A$24,0)),"")))</f>
        <v/>
      </c>
      <c r="F3602" s="28" t="str">
        <f aca="false">IF(OR($D3602="",$E3602=""),"",IFERROR($D3602*INDEX(Setup!$B$27:$B$44,MATCH($E3602,Setup!$A$27:$A$44,0)),"TBD"))</f>
        <v/>
      </c>
      <c r="G3602" s="32"/>
      <c r="H3602" s="32"/>
      <c r="I3602" s="32"/>
      <c r="J3602" s="32"/>
      <c r="K3602" s="35"/>
      <c r="L3602" s="32"/>
      <c r="M3602" s="32"/>
    </row>
    <row r="3603" customFormat="false" ht="15" hidden="false" customHeight="true" outlineLevel="0" collapsed="false">
      <c r="A3603" s="32"/>
      <c r="B3603" s="32"/>
      <c r="C3603" s="32"/>
      <c r="D3603" s="32"/>
      <c r="E3603" s="34" t="str">
        <f aca="false">IF($B3603="","",IF($B3603="OUT","Liters",IFERROR(INDEX(Setup!$F$3:$F$24,MATCH($C3603,Setup!$A$3:$A$24,0)),"")))</f>
        <v/>
      </c>
      <c r="F3603" s="28" t="str">
        <f aca="false">IF(OR($D3603="",$E3603=""),"",IFERROR($D3603*INDEX(Setup!$B$27:$B$44,MATCH($E3603,Setup!$A$27:$A$44,0)),"TBD"))</f>
        <v/>
      </c>
      <c r="G3603" s="32"/>
      <c r="H3603" s="32"/>
      <c r="I3603" s="32"/>
      <c r="J3603" s="32"/>
      <c r="K3603" s="35"/>
      <c r="L3603" s="32"/>
      <c r="M3603" s="32"/>
    </row>
    <row r="3604" customFormat="false" ht="15" hidden="false" customHeight="true" outlineLevel="0" collapsed="false">
      <c r="A3604" s="32"/>
      <c r="B3604" s="32"/>
      <c r="C3604" s="32"/>
      <c r="D3604" s="32"/>
      <c r="E3604" s="34" t="str">
        <f aca="false">IF($B3604="","",IF($B3604="OUT","Liters",IFERROR(INDEX(Setup!$F$3:$F$24,MATCH($C3604,Setup!$A$3:$A$24,0)),"")))</f>
        <v/>
      </c>
      <c r="F3604" s="28" t="str">
        <f aca="false">IF(OR($D3604="",$E3604=""),"",IFERROR($D3604*INDEX(Setup!$B$27:$B$44,MATCH($E3604,Setup!$A$27:$A$44,0)),"TBD"))</f>
        <v/>
      </c>
      <c r="G3604" s="32"/>
      <c r="H3604" s="32"/>
      <c r="I3604" s="32"/>
      <c r="J3604" s="32"/>
      <c r="K3604" s="35"/>
      <c r="L3604" s="32"/>
      <c r="M3604" s="32"/>
    </row>
    <row r="3605" customFormat="false" ht="15" hidden="false" customHeight="true" outlineLevel="0" collapsed="false">
      <c r="A3605" s="32"/>
      <c r="B3605" s="32"/>
      <c r="C3605" s="32"/>
      <c r="D3605" s="32"/>
      <c r="E3605" s="34" t="str">
        <f aca="false">IF($B3605="","",IF($B3605="OUT","Liters",IFERROR(INDEX(Setup!$F$3:$F$24,MATCH($C3605,Setup!$A$3:$A$24,0)),"")))</f>
        <v/>
      </c>
      <c r="F3605" s="28" t="str">
        <f aca="false">IF(OR($D3605="",$E3605=""),"",IFERROR($D3605*INDEX(Setup!$B$27:$B$44,MATCH($E3605,Setup!$A$27:$A$44,0)),"TBD"))</f>
        <v/>
      </c>
      <c r="G3605" s="32"/>
      <c r="H3605" s="32"/>
      <c r="I3605" s="32"/>
      <c r="J3605" s="32"/>
      <c r="K3605" s="35"/>
      <c r="L3605" s="32"/>
      <c r="M3605" s="32"/>
    </row>
    <row r="3606" customFormat="false" ht="15" hidden="false" customHeight="true" outlineLevel="0" collapsed="false">
      <c r="A3606" s="32"/>
      <c r="B3606" s="32"/>
      <c r="C3606" s="32"/>
      <c r="D3606" s="32"/>
      <c r="E3606" s="34" t="str">
        <f aca="false">IF($B3606="","",IF($B3606="OUT","Liters",IFERROR(INDEX(Setup!$F$3:$F$24,MATCH($C3606,Setup!$A$3:$A$24,0)),"")))</f>
        <v/>
      </c>
      <c r="F3606" s="28" t="str">
        <f aca="false">IF(OR($D3606="",$E3606=""),"",IFERROR($D3606*INDEX(Setup!$B$27:$B$44,MATCH($E3606,Setup!$A$27:$A$44,0)),"TBD"))</f>
        <v/>
      </c>
      <c r="G3606" s="32"/>
      <c r="H3606" s="32"/>
      <c r="I3606" s="32"/>
      <c r="J3606" s="32"/>
      <c r="K3606" s="35"/>
      <c r="L3606" s="32"/>
      <c r="M3606" s="32"/>
    </row>
    <row r="3607" customFormat="false" ht="15" hidden="false" customHeight="true" outlineLevel="0" collapsed="false">
      <c r="A3607" s="32"/>
      <c r="B3607" s="32"/>
      <c r="C3607" s="32"/>
      <c r="D3607" s="32"/>
      <c r="E3607" s="34" t="str">
        <f aca="false">IF($B3607="","",IF($B3607="OUT","Liters",IFERROR(INDEX(Setup!$F$3:$F$24,MATCH($C3607,Setup!$A$3:$A$24,0)),"")))</f>
        <v/>
      </c>
      <c r="F3607" s="28" t="str">
        <f aca="false">IF(OR($D3607="",$E3607=""),"",IFERROR($D3607*INDEX(Setup!$B$27:$B$44,MATCH($E3607,Setup!$A$27:$A$44,0)),"TBD"))</f>
        <v/>
      </c>
      <c r="G3607" s="32"/>
      <c r="H3607" s="32"/>
      <c r="I3607" s="32"/>
      <c r="J3607" s="32"/>
      <c r="K3607" s="35"/>
      <c r="L3607" s="32"/>
      <c r="M3607" s="32"/>
    </row>
    <row r="3608" customFormat="false" ht="15" hidden="false" customHeight="true" outlineLevel="0" collapsed="false">
      <c r="A3608" s="32"/>
      <c r="B3608" s="32"/>
      <c r="C3608" s="32"/>
      <c r="D3608" s="32"/>
      <c r="E3608" s="34" t="str">
        <f aca="false">IF($B3608="","",IF($B3608="OUT","Liters",IFERROR(INDEX(Setup!$F$3:$F$24,MATCH($C3608,Setup!$A$3:$A$24,0)),"")))</f>
        <v/>
      </c>
      <c r="F3608" s="28" t="str">
        <f aca="false">IF(OR($D3608="",$E3608=""),"",IFERROR($D3608*INDEX(Setup!$B$27:$B$44,MATCH($E3608,Setup!$A$27:$A$44,0)),"TBD"))</f>
        <v/>
      </c>
      <c r="G3608" s="32"/>
      <c r="H3608" s="32"/>
      <c r="I3608" s="32"/>
      <c r="J3608" s="32"/>
      <c r="K3608" s="35"/>
      <c r="L3608" s="32"/>
      <c r="M3608" s="32"/>
    </row>
    <row r="3609" customFormat="false" ht="15" hidden="false" customHeight="true" outlineLevel="0" collapsed="false">
      <c r="A3609" s="32"/>
      <c r="B3609" s="32"/>
      <c r="C3609" s="32"/>
      <c r="D3609" s="32"/>
      <c r="E3609" s="34" t="str">
        <f aca="false">IF($B3609="","",IF($B3609="OUT","Liters",IFERROR(INDEX(Setup!$F$3:$F$24,MATCH($C3609,Setup!$A$3:$A$24,0)),"")))</f>
        <v/>
      </c>
      <c r="F3609" s="28" t="str">
        <f aca="false">IF(OR($D3609="",$E3609=""),"",IFERROR($D3609*INDEX(Setup!$B$27:$B$44,MATCH($E3609,Setup!$A$27:$A$44,0)),"TBD"))</f>
        <v/>
      </c>
      <c r="G3609" s="32"/>
      <c r="H3609" s="32"/>
      <c r="I3609" s="32"/>
      <c r="J3609" s="32"/>
      <c r="K3609" s="35"/>
      <c r="L3609" s="32"/>
      <c r="M3609" s="32"/>
    </row>
    <row r="3610" customFormat="false" ht="15" hidden="false" customHeight="true" outlineLevel="0" collapsed="false">
      <c r="A3610" s="32"/>
      <c r="B3610" s="32"/>
      <c r="C3610" s="32"/>
      <c r="D3610" s="32"/>
      <c r="E3610" s="34" t="str">
        <f aca="false">IF($B3610="","",IF($B3610="OUT","Liters",IFERROR(INDEX(Setup!$F$3:$F$24,MATCH($C3610,Setup!$A$3:$A$24,0)),"")))</f>
        <v/>
      </c>
      <c r="F3610" s="28" t="str">
        <f aca="false">IF(OR($D3610="",$E3610=""),"",IFERROR($D3610*INDEX(Setup!$B$27:$B$44,MATCH($E3610,Setup!$A$27:$A$44,0)),"TBD"))</f>
        <v/>
      </c>
      <c r="G3610" s="32"/>
      <c r="H3610" s="32"/>
      <c r="I3610" s="32"/>
      <c r="J3610" s="32"/>
      <c r="K3610" s="35"/>
      <c r="L3610" s="32"/>
      <c r="M3610" s="32"/>
    </row>
    <row r="3611" customFormat="false" ht="15" hidden="false" customHeight="true" outlineLevel="0" collapsed="false">
      <c r="A3611" s="32"/>
      <c r="B3611" s="32"/>
      <c r="C3611" s="32"/>
      <c r="D3611" s="32"/>
      <c r="E3611" s="34" t="str">
        <f aca="false">IF($B3611="","",IF($B3611="OUT","Liters",IFERROR(INDEX(Setup!$F$3:$F$24,MATCH($C3611,Setup!$A$3:$A$24,0)),"")))</f>
        <v/>
      </c>
      <c r="F3611" s="28" t="str">
        <f aca="false">IF(OR($D3611="",$E3611=""),"",IFERROR($D3611*INDEX(Setup!$B$27:$B$44,MATCH($E3611,Setup!$A$27:$A$44,0)),"TBD"))</f>
        <v/>
      </c>
      <c r="G3611" s="32"/>
      <c r="H3611" s="32"/>
      <c r="I3611" s="32"/>
      <c r="J3611" s="32"/>
      <c r="K3611" s="35"/>
      <c r="L3611" s="32"/>
      <c r="M3611" s="32"/>
    </row>
    <row r="3612" customFormat="false" ht="15" hidden="false" customHeight="true" outlineLevel="0" collapsed="false">
      <c r="A3612" s="32"/>
      <c r="B3612" s="32"/>
      <c r="C3612" s="32"/>
      <c r="D3612" s="32"/>
      <c r="E3612" s="34" t="str">
        <f aca="false">IF($B3612="","",IF($B3612="OUT","Liters",IFERROR(INDEX(Setup!$F$3:$F$24,MATCH($C3612,Setup!$A$3:$A$24,0)),"")))</f>
        <v/>
      </c>
      <c r="F3612" s="28" t="str">
        <f aca="false">IF(OR($D3612="",$E3612=""),"",IFERROR($D3612*INDEX(Setup!$B$27:$B$44,MATCH($E3612,Setup!$A$27:$A$44,0)),"TBD"))</f>
        <v/>
      </c>
      <c r="G3612" s="32"/>
      <c r="H3612" s="32"/>
      <c r="I3612" s="32"/>
      <c r="J3612" s="32"/>
      <c r="K3612" s="35"/>
      <c r="L3612" s="32"/>
      <c r="M3612" s="32"/>
    </row>
    <row r="3613" customFormat="false" ht="15" hidden="false" customHeight="true" outlineLevel="0" collapsed="false">
      <c r="A3613" s="32"/>
      <c r="B3613" s="32"/>
      <c r="C3613" s="32"/>
      <c r="D3613" s="32"/>
      <c r="E3613" s="34" t="str">
        <f aca="false">IF($B3613="","",IF($B3613="OUT","Liters",IFERROR(INDEX(Setup!$F$3:$F$24,MATCH($C3613,Setup!$A$3:$A$24,0)),"")))</f>
        <v/>
      </c>
      <c r="F3613" s="28" t="str">
        <f aca="false">IF(OR($D3613="",$E3613=""),"",IFERROR($D3613*INDEX(Setup!$B$27:$B$44,MATCH($E3613,Setup!$A$27:$A$44,0)),"TBD"))</f>
        <v/>
      </c>
      <c r="G3613" s="32"/>
      <c r="H3613" s="32"/>
      <c r="I3613" s="32"/>
      <c r="J3613" s="32"/>
      <c r="K3613" s="35"/>
      <c r="L3613" s="32"/>
      <c r="M3613" s="32"/>
    </row>
    <row r="3614" customFormat="false" ht="15" hidden="false" customHeight="true" outlineLevel="0" collapsed="false">
      <c r="A3614" s="32"/>
      <c r="B3614" s="32"/>
      <c r="C3614" s="32"/>
      <c r="D3614" s="32"/>
      <c r="E3614" s="34" t="str">
        <f aca="false">IF($B3614="","",IF($B3614="OUT","Liters",IFERROR(INDEX(Setup!$F$3:$F$24,MATCH($C3614,Setup!$A$3:$A$24,0)),"")))</f>
        <v/>
      </c>
      <c r="F3614" s="28" t="str">
        <f aca="false">IF(OR($D3614="",$E3614=""),"",IFERROR($D3614*INDEX(Setup!$B$27:$B$44,MATCH($E3614,Setup!$A$27:$A$44,0)),"TBD"))</f>
        <v/>
      </c>
      <c r="G3614" s="32"/>
      <c r="H3614" s="32"/>
      <c r="I3614" s="32"/>
      <c r="J3614" s="32"/>
      <c r="K3614" s="35"/>
      <c r="L3614" s="32"/>
      <c r="M3614" s="32"/>
    </row>
    <row r="3615" customFormat="false" ht="15" hidden="false" customHeight="true" outlineLevel="0" collapsed="false">
      <c r="A3615" s="32"/>
      <c r="B3615" s="32"/>
      <c r="C3615" s="32"/>
      <c r="D3615" s="32"/>
      <c r="E3615" s="34" t="str">
        <f aca="false">IF($B3615="","",IF($B3615="OUT","Liters",IFERROR(INDEX(Setup!$F$3:$F$24,MATCH($C3615,Setup!$A$3:$A$24,0)),"")))</f>
        <v/>
      </c>
      <c r="F3615" s="28" t="str">
        <f aca="false">IF(OR($D3615="",$E3615=""),"",IFERROR($D3615*INDEX(Setup!$B$27:$B$44,MATCH($E3615,Setup!$A$27:$A$44,0)),"TBD"))</f>
        <v/>
      </c>
      <c r="G3615" s="32"/>
      <c r="H3615" s="32"/>
      <c r="I3615" s="32"/>
      <c r="J3615" s="32"/>
      <c r="K3615" s="35"/>
      <c r="L3615" s="32"/>
      <c r="M3615" s="32"/>
    </row>
    <row r="3616" customFormat="false" ht="15" hidden="false" customHeight="true" outlineLevel="0" collapsed="false">
      <c r="A3616" s="32"/>
      <c r="B3616" s="32"/>
      <c r="C3616" s="32"/>
      <c r="D3616" s="32"/>
      <c r="E3616" s="34" t="str">
        <f aca="false">IF($B3616="","",IF($B3616="OUT","Liters",IFERROR(INDEX(Setup!$F$3:$F$24,MATCH($C3616,Setup!$A$3:$A$24,0)),"")))</f>
        <v/>
      </c>
      <c r="F3616" s="28" t="str">
        <f aca="false">IF(OR($D3616="",$E3616=""),"",IFERROR($D3616*INDEX(Setup!$B$27:$B$44,MATCH($E3616,Setup!$A$27:$A$44,0)),"TBD"))</f>
        <v/>
      </c>
      <c r="G3616" s="32"/>
      <c r="H3616" s="32"/>
      <c r="I3616" s="32"/>
      <c r="J3616" s="32"/>
      <c r="K3616" s="35"/>
      <c r="L3616" s="32"/>
      <c r="M3616" s="32"/>
    </row>
    <row r="3617" customFormat="false" ht="15" hidden="false" customHeight="true" outlineLevel="0" collapsed="false">
      <c r="A3617" s="32"/>
      <c r="B3617" s="32"/>
      <c r="C3617" s="32"/>
      <c r="D3617" s="32"/>
      <c r="E3617" s="34" t="str">
        <f aca="false">IF($B3617="","",IF($B3617="OUT","Liters",IFERROR(INDEX(Setup!$F$3:$F$24,MATCH($C3617,Setup!$A$3:$A$24,0)),"")))</f>
        <v/>
      </c>
      <c r="F3617" s="28" t="str">
        <f aca="false">IF(OR($D3617="",$E3617=""),"",IFERROR($D3617*INDEX(Setup!$B$27:$B$44,MATCH($E3617,Setup!$A$27:$A$44,0)),"TBD"))</f>
        <v/>
      </c>
      <c r="G3617" s="32"/>
      <c r="H3617" s="32"/>
      <c r="I3617" s="32"/>
      <c r="J3617" s="32"/>
      <c r="K3617" s="35"/>
      <c r="L3617" s="32"/>
      <c r="M3617" s="32"/>
    </row>
    <row r="3618" customFormat="false" ht="15" hidden="false" customHeight="true" outlineLevel="0" collapsed="false">
      <c r="A3618" s="32"/>
      <c r="B3618" s="32"/>
      <c r="C3618" s="32"/>
      <c r="D3618" s="32"/>
      <c r="E3618" s="34" t="str">
        <f aca="false">IF($B3618="","",IF($B3618="OUT","Liters",IFERROR(INDEX(Setup!$F$3:$F$24,MATCH($C3618,Setup!$A$3:$A$24,0)),"")))</f>
        <v/>
      </c>
      <c r="F3618" s="28" t="str">
        <f aca="false">IF(OR($D3618="",$E3618=""),"",IFERROR($D3618*INDEX(Setup!$B$27:$B$44,MATCH($E3618,Setup!$A$27:$A$44,0)),"TBD"))</f>
        <v/>
      </c>
      <c r="G3618" s="32"/>
      <c r="H3618" s="32"/>
      <c r="I3618" s="32"/>
      <c r="J3618" s="32"/>
      <c r="K3618" s="35"/>
      <c r="L3618" s="32"/>
      <c r="M3618" s="32"/>
    </row>
    <row r="3619" customFormat="false" ht="15" hidden="false" customHeight="true" outlineLevel="0" collapsed="false">
      <c r="A3619" s="32"/>
      <c r="B3619" s="32"/>
      <c r="C3619" s="32"/>
      <c r="D3619" s="32"/>
      <c r="E3619" s="34" t="str">
        <f aca="false">IF($B3619="","",IF($B3619="OUT","Liters",IFERROR(INDEX(Setup!$F$3:$F$24,MATCH($C3619,Setup!$A$3:$A$24,0)),"")))</f>
        <v/>
      </c>
      <c r="F3619" s="28" t="str">
        <f aca="false">IF(OR($D3619="",$E3619=""),"",IFERROR($D3619*INDEX(Setup!$B$27:$B$44,MATCH($E3619,Setup!$A$27:$A$44,0)),"TBD"))</f>
        <v/>
      </c>
      <c r="G3619" s="32"/>
      <c r="H3619" s="32"/>
      <c r="I3619" s="32"/>
      <c r="J3619" s="32"/>
      <c r="K3619" s="35"/>
      <c r="L3619" s="32"/>
      <c r="M3619" s="32"/>
    </row>
    <row r="3620" customFormat="false" ht="15" hidden="false" customHeight="true" outlineLevel="0" collapsed="false">
      <c r="A3620" s="32"/>
      <c r="B3620" s="32"/>
      <c r="C3620" s="32"/>
      <c r="D3620" s="32"/>
      <c r="E3620" s="34" t="str">
        <f aca="false">IF($B3620="","",IF($B3620="OUT","Liters",IFERROR(INDEX(Setup!$F$3:$F$24,MATCH($C3620,Setup!$A$3:$A$24,0)),"")))</f>
        <v/>
      </c>
      <c r="F3620" s="28" t="str">
        <f aca="false">IF(OR($D3620="",$E3620=""),"",IFERROR($D3620*INDEX(Setup!$B$27:$B$44,MATCH($E3620,Setup!$A$27:$A$44,0)),"TBD"))</f>
        <v/>
      </c>
      <c r="G3620" s="32"/>
      <c r="H3620" s="32"/>
      <c r="I3620" s="32"/>
      <c r="J3620" s="32"/>
      <c r="K3620" s="35"/>
      <c r="L3620" s="32"/>
      <c r="M3620" s="32"/>
    </row>
    <row r="3621" customFormat="false" ht="15" hidden="false" customHeight="true" outlineLevel="0" collapsed="false">
      <c r="A3621" s="32"/>
      <c r="B3621" s="32"/>
      <c r="C3621" s="32"/>
      <c r="D3621" s="32"/>
      <c r="E3621" s="34" t="str">
        <f aca="false">IF($B3621="","",IF($B3621="OUT","Liters",IFERROR(INDEX(Setup!$F$3:$F$24,MATCH($C3621,Setup!$A$3:$A$24,0)),"")))</f>
        <v/>
      </c>
      <c r="F3621" s="28" t="str">
        <f aca="false">IF(OR($D3621="",$E3621=""),"",IFERROR($D3621*INDEX(Setup!$B$27:$B$44,MATCH($E3621,Setup!$A$27:$A$44,0)),"TBD"))</f>
        <v/>
      </c>
      <c r="G3621" s="32"/>
      <c r="H3621" s="32"/>
      <c r="I3621" s="32"/>
      <c r="J3621" s="32"/>
      <c r="K3621" s="35"/>
      <c r="L3621" s="32"/>
      <c r="M3621" s="32"/>
    </row>
    <row r="3622" customFormat="false" ht="15" hidden="false" customHeight="true" outlineLevel="0" collapsed="false">
      <c r="A3622" s="32"/>
      <c r="B3622" s="32"/>
      <c r="C3622" s="32"/>
      <c r="D3622" s="32"/>
      <c r="E3622" s="34" t="str">
        <f aca="false">IF($B3622="","",IF($B3622="OUT","Liters",IFERROR(INDEX(Setup!$F$3:$F$24,MATCH($C3622,Setup!$A$3:$A$24,0)),"")))</f>
        <v/>
      </c>
      <c r="F3622" s="28" t="str">
        <f aca="false">IF(OR($D3622="",$E3622=""),"",IFERROR($D3622*INDEX(Setup!$B$27:$B$44,MATCH($E3622,Setup!$A$27:$A$44,0)),"TBD"))</f>
        <v/>
      </c>
      <c r="G3622" s="32"/>
      <c r="H3622" s="32"/>
      <c r="I3622" s="32"/>
      <c r="J3622" s="32"/>
      <c r="K3622" s="35"/>
      <c r="L3622" s="32"/>
      <c r="M3622" s="32"/>
    </row>
    <row r="3623" customFormat="false" ht="15" hidden="false" customHeight="true" outlineLevel="0" collapsed="false">
      <c r="A3623" s="32"/>
      <c r="B3623" s="32"/>
      <c r="C3623" s="32"/>
      <c r="D3623" s="32"/>
      <c r="E3623" s="34" t="str">
        <f aca="false">IF($B3623="","",IF($B3623="OUT","Liters",IFERROR(INDEX(Setup!$F$3:$F$24,MATCH($C3623,Setup!$A$3:$A$24,0)),"")))</f>
        <v/>
      </c>
      <c r="F3623" s="28" t="str">
        <f aca="false">IF(OR($D3623="",$E3623=""),"",IFERROR($D3623*INDEX(Setup!$B$27:$B$44,MATCH($E3623,Setup!$A$27:$A$44,0)),"TBD"))</f>
        <v/>
      </c>
      <c r="G3623" s="32"/>
      <c r="H3623" s="32"/>
      <c r="I3623" s="32"/>
      <c r="J3623" s="32"/>
      <c r="K3623" s="35"/>
      <c r="L3623" s="32"/>
      <c r="M3623" s="32"/>
    </row>
    <row r="3624" customFormat="false" ht="15" hidden="false" customHeight="true" outlineLevel="0" collapsed="false">
      <c r="A3624" s="32"/>
      <c r="B3624" s="32"/>
      <c r="C3624" s="32"/>
      <c r="D3624" s="32"/>
      <c r="E3624" s="34" t="str">
        <f aca="false">IF($B3624="","",IF($B3624="OUT","Liters",IFERROR(INDEX(Setup!$F$3:$F$24,MATCH($C3624,Setup!$A$3:$A$24,0)),"")))</f>
        <v/>
      </c>
      <c r="F3624" s="28" t="str">
        <f aca="false">IF(OR($D3624="",$E3624=""),"",IFERROR($D3624*INDEX(Setup!$B$27:$B$44,MATCH($E3624,Setup!$A$27:$A$44,0)),"TBD"))</f>
        <v/>
      </c>
      <c r="G3624" s="32"/>
      <c r="H3624" s="32"/>
      <c r="I3624" s="32"/>
      <c r="J3624" s="32"/>
      <c r="K3624" s="35"/>
      <c r="L3624" s="32"/>
      <c r="M3624" s="32"/>
    </row>
    <row r="3625" customFormat="false" ht="15" hidden="false" customHeight="true" outlineLevel="0" collapsed="false">
      <c r="A3625" s="32"/>
      <c r="B3625" s="32"/>
      <c r="C3625" s="32"/>
      <c r="D3625" s="32"/>
      <c r="E3625" s="34" t="str">
        <f aca="false">IF($B3625="","",IF($B3625="OUT","Liters",IFERROR(INDEX(Setup!$F$3:$F$24,MATCH($C3625,Setup!$A$3:$A$24,0)),"")))</f>
        <v/>
      </c>
      <c r="F3625" s="28" t="str">
        <f aca="false">IF(OR($D3625="",$E3625=""),"",IFERROR($D3625*INDEX(Setup!$B$27:$B$44,MATCH($E3625,Setup!$A$27:$A$44,0)),"TBD"))</f>
        <v/>
      </c>
      <c r="G3625" s="32"/>
      <c r="H3625" s="32"/>
      <c r="I3625" s="32"/>
      <c r="J3625" s="32"/>
      <c r="K3625" s="35"/>
      <c r="L3625" s="32"/>
      <c r="M3625" s="32"/>
    </row>
    <row r="3626" customFormat="false" ht="15" hidden="false" customHeight="true" outlineLevel="0" collapsed="false">
      <c r="A3626" s="32"/>
      <c r="B3626" s="32"/>
      <c r="C3626" s="32"/>
      <c r="D3626" s="32"/>
      <c r="E3626" s="34" t="str">
        <f aca="false">IF($B3626="","",IF($B3626="OUT","Liters",IFERROR(INDEX(Setup!$F$3:$F$24,MATCH($C3626,Setup!$A$3:$A$24,0)),"")))</f>
        <v/>
      </c>
      <c r="F3626" s="28" t="str">
        <f aca="false">IF(OR($D3626="",$E3626=""),"",IFERROR($D3626*INDEX(Setup!$B$27:$B$44,MATCH($E3626,Setup!$A$27:$A$44,0)),"TBD"))</f>
        <v/>
      </c>
      <c r="G3626" s="32"/>
      <c r="H3626" s="32"/>
      <c r="I3626" s="32"/>
      <c r="J3626" s="32"/>
      <c r="K3626" s="35"/>
      <c r="L3626" s="32"/>
      <c r="M3626" s="32"/>
    </row>
    <row r="3627" customFormat="false" ht="15" hidden="false" customHeight="true" outlineLevel="0" collapsed="false">
      <c r="A3627" s="32"/>
      <c r="B3627" s="32"/>
      <c r="C3627" s="32"/>
      <c r="D3627" s="32"/>
      <c r="E3627" s="34" t="str">
        <f aca="false">IF($B3627="","",IF($B3627="OUT","Liters",IFERROR(INDEX(Setup!$F$3:$F$24,MATCH($C3627,Setup!$A$3:$A$24,0)),"")))</f>
        <v/>
      </c>
      <c r="F3627" s="28" t="str">
        <f aca="false">IF(OR($D3627="",$E3627=""),"",IFERROR($D3627*INDEX(Setup!$B$27:$B$44,MATCH($E3627,Setup!$A$27:$A$44,0)),"TBD"))</f>
        <v/>
      </c>
      <c r="G3627" s="32"/>
      <c r="H3627" s="32"/>
      <c r="I3627" s="32"/>
      <c r="J3627" s="32"/>
      <c r="K3627" s="35"/>
      <c r="L3627" s="32"/>
      <c r="M3627" s="32"/>
    </row>
    <row r="3628" customFormat="false" ht="15" hidden="false" customHeight="true" outlineLevel="0" collapsed="false">
      <c r="A3628" s="32"/>
      <c r="B3628" s="32"/>
      <c r="C3628" s="32"/>
      <c r="D3628" s="32"/>
      <c r="E3628" s="34" t="str">
        <f aca="false">IF($B3628="","",IF($B3628="OUT","Liters",IFERROR(INDEX(Setup!$F$3:$F$24,MATCH($C3628,Setup!$A$3:$A$24,0)),"")))</f>
        <v/>
      </c>
      <c r="F3628" s="28" t="str">
        <f aca="false">IF(OR($D3628="",$E3628=""),"",IFERROR($D3628*INDEX(Setup!$B$27:$B$44,MATCH($E3628,Setup!$A$27:$A$44,0)),"TBD"))</f>
        <v/>
      </c>
      <c r="G3628" s="32"/>
      <c r="H3628" s="32"/>
      <c r="I3628" s="32"/>
      <c r="J3628" s="32"/>
      <c r="K3628" s="35"/>
      <c r="L3628" s="32"/>
      <c r="M3628" s="32"/>
    </row>
    <row r="3629" customFormat="false" ht="15" hidden="false" customHeight="true" outlineLevel="0" collapsed="false">
      <c r="A3629" s="32"/>
      <c r="B3629" s="32"/>
      <c r="C3629" s="32"/>
      <c r="D3629" s="32"/>
      <c r="E3629" s="34" t="str">
        <f aca="false">IF($B3629="","",IF($B3629="OUT","Liters",IFERROR(INDEX(Setup!$F$3:$F$24,MATCH($C3629,Setup!$A$3:$A$24,0)),"")))</f>
        <v/>
      </c>
      <c r="F3629" s="28" t="str">
        <f aca="false">IF(OR($D3629="",$E3629=""),"",IFERROR($D3629*INDEX(Setup!$B$27:$B$44,MATCH($E3629,Setup!$A$27:$A$44,0)),"TBD"))</f>
        <v/>
      </c>
      <c r="G3629" s="32"/>
      <c r="H3629" s="32"/>
      <c r="I3629" s="32"/>
      <c r="J3629" s="32"/>
      <c r="K3629" s="35"/>
      <c r="L3629" s="32"/>
      <c r="M3629" s="32"/>
    </row>
    <row r="3630" customFormat="false" ht="15" hidden="false" customHeight="true" outlineLevel="0" collapsed="false">
      <c r="A3630" s="32"/>
      <c r="B3630" s="32"/>
      <c r="C3630" s="32"/>
      <c r="D3630" s="32"/>
      <c r="E3630" s="34" t="str">
        <f aca="false">IF($B3630="","",IF($B3630="OUT","Liters",IFERROR(INDEX(Setup!$F$3:$F$24,MATCH($C3630,Setup!$A$3:$A$24,0)),"")))</f>
        <v/>
      </c>
      <c r="F3630" s="28" t="str">
        <f aca="false">IF(OR($D3630="",$E3630=""),"",IFERROR($D3630*INDEX(Setup!$B$27:$B$44,MATCH($E3630,Setup!$A$27:$A$44,0)),"TBD"))</f>
        <v/>
      </c>
      <c r="G3630" s="32"/>
      <c r="H3630" s="32"/>
      <c r="I3630" s="32"/>
      <c r="J3630" s="32"/>
      <c r="K3630" s="35"/>
      <c r="L3630" s="32"/>
      <c r="M3630" s="32"/>
    </row>
    <row r="3631" customFormat="false" ht="15" hidden="false" customHeight="true" outlineLevel="0" collapsed="false">
      <c r="A3631" s="32"/>
      <c r="B3631" s="32"/>
      <c r="C3631" s="32"/>
      <c r="D3631" s="32"/>
      <c r="E3631" s="34" t="str">
        <f aca="false">IF($B3631="","",IF($B3631="OUT","Liters",IFERROR(INDEX(Setup!$F$3:$F$24,MATCH($C3631,Setup!$A$3:$A$24,0)),"")))</f>
        <v/>
      </c>
      <c r="F3631" s="28" t="str">
        <f aca="false">IF(OR($D3631="",$E3631=""),"",IFERROR($D3631*INDEX(Setup!$B$27:$B$44,MATCH($E3631,Setup!$A$27:$A$44,0)),"TBD"))</f>
        <v/>
      </c>
      <c r="G3631" s="32"/>
      <c r="H3631" s="32"/>
      <c r="I3631" s="32"/>
      <c r="J3631" s="32"/>
      <c r="K3631" s="35"/>
      <c r="L3631" s="32"/>
      <c r="M3631" s="32"/>
    </row>
    <row r="3632" customFormat="false" ht="15" hidden="false" customHeight="true" outlineLevel="0" collapsed="false">
      <c r="A3632" s="32"/>
      <c r="B3632" s="32"/>
      <c r="C3632" s="32"/>
      <c r="D3632" s="32"/>
      <c r="E3632" s="34" t="str">
        <f aca="false">IF($B3632="","",IF($B3632="OUT","Liters",IFERROR(INDEX(Setup!$F$3:$F$24,MATCH($C3632,Setup!$A$3:$A$24,0)),"")))</f>
        <v/>
      </c>
      <c r="F3632" s="28" t="str">
        <f aca="false">IF(OR($D3632="",$E3632=""),"",IFERROR($D3632*INDEX(Setup!$B$27:$B$44,MATCH($E3632,Setup!$A$27:$A$44,0)),"TBD"))</f>
        <v/>
      </c>
      <c r="G3632" s="32"/>
      <c r="H3632" s="32"/>
      <c r="I3632" s="32"/>
      <c r="J3632" s="32"/>
      <c r="K3632" s="35"/>
      <c r="L3632" s="32"/>
      <c r="M3632" s="32"/>
    </row>
    <row r="3633" customFormat="false" ht="15" hidden="false" customHeight="true" outlineLevel="0" collapsed="false">
      <c r="A3633" s="32"/>
      <c r="B3633" s="32"/>
      <c r="C3633" s="32"/>
      <c r="D3633" s="32"/>
      <c r="E3633" s="34" t="str">
        <f aca="false">IF($B3633="","",IF($B3633="OUT","Liters",IFERROR(INDEX(Setup!$F$3:$F$24,MATCH($C3633,Setup!$A$3:$A$24,0)),"")))</f>
        <v/>
      </c>
      <c r="F3633" s="28" t="str">
        <f aca="false">IF(OR($D3633="",$E3633=""),"",IFERROR($D3633*INDEX(Setup!$B$27:$B$44,MATCH($E3633,Setup!$A$27:$A$44,0)),"TBD"))</f>
        <v/>
      </c>
      <c r="G3633" s="32"/>
      <c r="H3633" s="32"/>
      <c r="I3633" s="32"/>
      <c r="J3633" s="32"/>
      <c r="K3633" s="35"/>
      <c r="L3633" s="32"/>
      <c r="M3633" s="32"/>
    </row>
    <row r="3634" customFormat="false" ht="15" hidden="false" customHeight="true" outlineLevel="0" collapsed="false">
      <c r="A3634" s="32"/>
      <c r="B3634" s="32"/>
      <c r="C3634" s="32"/>
      <c r="D3634" s="32"/>
      <c r="E3634" s="34" t="str">
        <f aca="false">IF($B3634="","",IF($B3634="OUT","Liters",IFERROR(INDEX(Setup!$F$3:$F$24,MATCH($C3634,Setup!$A$3:$A$24,0)),"")))</f>
        <v/>
      </c>
      <c r="F3634" s="28" t="str">
        <f aca="false">IF(OR($D3634="",$E3634=""),"",IFERROR($D3634*INDEX(Setup!$B$27:$B$44,MATCH($E3634,Setup!$A$27:$A$44,0)),"TBD"))</f>
        <v/>
      </c>
      <c r="G3634" s="32"/>
      <c r="H3634" s="32"/>
      <c r="I3634" s="32"/>
      <c r="J3634" s="32"/>
      <c r="K3634" s="35"/>
      <c r="L3634" s="32"/>
      <c r="M3634" s="32"/>
    </row>
    <row r="3635" customFormat="false" ht="15" hidden="false" customHeight="true" outlineLevel="0" collapsed="false">
      <c r="A3635" s="32"/>
      <c r="B3635" s="32"/>
      <c r="C3635" s="32"/>
      <c r="D3635" s="32"/>
      <c r="E3635" s="34" t="str">
        <f aca="false">IF($B3635="","",IF($B3635="OUT","Liters",IFERROR(INDEX(Setup!$F$3:$F$24,MATCH($C3635,Setup!$A$3:$A$24,0)),"")))</f>
        <v/>
      </c>
      <c r="F3635" s="28" t="str">
        <f aca="false">IF(OR($D3635="",$E3635=""),"",IFERROR($D3635*INDEX(Setup!$B$27:$B$44,MATCH($E3635,Setup!$A$27:$A$44,0)),"TBD"))</f>
        <v/>
      </c>
      <c r="G3635" s="32"/>
      <c r="H3635" s="32"/>
      <c r="I3635" s="32"/>
      <c r="J3635" s="32"/>
      <c r="K3635" s="35"/>
      <c r="L3635" s="32"/>
      <c r="M3635" s="32"/>
    </row>
    <row r="3636" customFormat="false" ht="15" hidden="false" customHeight="true" outlineLevel="0" collapsed="false">
      <c r="A3636" s="32"/>
      <c r="B3636" s="32"/>
      <c r="C3636" s="32"/>
      <c r="D3636" s="32"/>
      <c r="E3636" s="34" t="str">
        <f aca="false">IF($B3636="","",IF($B3636="OUT","Liters",IFERROR(INDEX(Setup!$F$3:$F$24,MATCH($C3636,Setup!$A$3:$A$24,0)),"")))</f>
        <v/>
      </c>
      <c r="F3636" s="28" t="str">
        <f aca="false">IF(OR($D3636="",$E3636=""),"",IFERROR($D3636*INDEX(Setup!$B$27:$B$44,MATCH($E3636,Setup!$A$27:$A$44,0)),"TBD"))</f>
        <v/>
      </c>
      <c r="G3636" s="32"/>
      <c r="H3636" s="32"/>
      <c r="I3636" s="32"/>
      <c r="J3636" s="32"/>
      <c r="K3636" s="35"/>
      <c r="L3636" s="32"/>
      <c r="M3636" s="32"/>
    </row>
    <row r="3637" customFormat="false" ht="15" hidden="false" customHeight="true" outlineLevel="0" collapsed="false">
      <c r="A3637" s="32"/>
      <c r="B3637" s="32"/>
      <c r="C3637" s="32"/>
      <c r="D3637" s="32"/>
      <c r="E3637" s="34" t="str">
        <f aca="false">IF($B3637="","",IF($B3637="OUT","Liters",IFERROR(INDEX(Setup!$F$3:$F$24,MATCH($C3637,Setup!$A$3:$A$24,0)),"")))</f>
        <v/>
      </c>
      <c r="F3637" s="28" t="str">
        <f aca="false">IF(OR($D3637="",$E3637=""),"",IFERROR($D3637*INDEX(Setup!$B$27:$B$44,MATCH($E3637,Setup!$A$27:$A$44,0)),"TBD"))</f>
        <v/>
      </c>
      <c r="G3637" s="32"/>
      <c r="H3637" s="32"/>
      <c r="I3637" s="32"/>
      <c r="J3637" s="32"/>
      <c r="K3637" s="35"/>
      <c r="L3637" s="32"/>
      <c r="M3637" s="32"/>
    </row>
    <row r="3638" customFormat="false" ht="15" hidden="false" customHeight="true" outlineLevel="0" collapsed="false">
      <c r="A3638" s="32"/>
      <c r="B3638" s="32"/>
      <c r="C3638" s="32"/>
      <c r="D3638" s="32"/>
      <c r="E3638" s="34" t="str">
        <f aca="false">IF($B3638="","",IF($B3638="OUT","Liters",IFERROR(INDEX(Setup!$F$3:$F$24,MATCH($C3638,Setup!$A$3:$A$24,0)),"")))</f>
        <v/>
      </c>
      <c r="F3638" s="28" t="str">
        <f aca="false">IF(OR($D3638="",$E3638=""),"",IFERROR($D3638*INDEX(Setup!$B$27:$B$44,MATCH($E3638,Setup!$A$27:$A$44,0)),"TBD"))</f>
        <v/>
      </c>
      <c r="G3638" s="32"/>
      <c r="H3638" s="32"/>
      <c r="I3638" s="32"/>
      <c r="J3638" s="32"/>
      <c r="K3638" s="35"/>
      <c r="L3638" s="32"/>
      <c r="M3638" s="32"/>
    </row>
    <row r="3639" customFormat="false" ht="15" hidden="false" customHeight="true" outlineLevel="0" collapsed="false">
      <c r="A3639" s="32"/>
      <c r="B3639" s="32"/>
      <c r="C3639" s="32"/>
      <c r="D3639" s="32"/>
      <c r="E3639" s="34" t="str">
        <f aca="false">IF($B3639="","",IF($B3639="OUT","Liters",IFERROR(INDEX(Setup!$F$3:$F$24,MATCH($C3639,Setup!$A$3:$A$24,0)),"")))</f>
        <v/>
      </c>
      <c r="F3639" s="28" t="str">
        <f aca="false">IF(OR($D3639="",$E3639=""),"",IFERROR($D3639*INDEX(Setup!$B$27:$B$44,MATCH($E3639,Setup!$A$27:$A$44,0)),"TBD"))</f>
        <v/>
      </c>
      <c r="G3639" s="32"/>
      <c r="H3639" s="32"/>
      <c r="I3639" s="32"/>
      <c r="J3639" s="32"/>
      <c r="K3639" s="35"/>
      <c r="L3639" s="32"/>
      <c r="M3639" s="32"/>
    </row>
    <row r="3640" customFormat="false" ht="15" hidden="false" customHeight="true" outlineLevel="0" collapsed="false">
      <c r="A3640" s="32"/>
      <c r="B3640" s="32"/>
      <c r="C3640" s="32"/>
      <c r="D3640" s="32"/>
      <c r="E3640" s="34" t="str">
        <f aca="false">IF($B3640="","",IF($B3640="OUT","Liters",IFERROR(INDEX(Setup!$F$3:$F$24,MATCH($C3640,Setup!$A$3:$A$24,0)),"")))</f>
        <v/>
      </c>
      <c r="F3640" s="28" t="str">
        <f aca="false">IF(OR($D3640="",$E3640=""),"",IFERROR($D3640*INDEX(Setup!$B$27:$B$44,MATCH($E3640,Setup!$A$27:$A$44,0)),"TBD"))</f>
        <v/>
      </c>
      <c r="G3640" s="32"/>
      <c r="H3640" s="32"/>
      <c r="I3640" s="32"/>
      <c r="J3640" s="32"/>
      <c r="K3640" s="35"/>
      <c r="L3640" s="32"/>
      <c r="M3640" s="32"/>
    </row>
    <row r="3641" customFormat="false" ht="15" hidden="false" customHeight="true" outlineLevel="0" collapsed="false">
      <c r="A3641" s="32"/>
      <c r="B3641" s="32"/>
      <c r="C3641" s="32"/>
      <c r="D3641" s="32"/>
      <c r="E3641" s="34" t="str">
        <f aca="false">IF($B3641="","",IF($B3641="OUT","Liters",IFERROR(INDEX(Setup!$F$3:$F$24,MATCH($C3641,Setup!$A$3:$A$24,0)),"")))</f>
        <v/>
      </c>
      <c r="F3641" s="28" t="str">
        <f aca="false">IF(OR($D3641="",$E3641=""),"",IFERROR($D3641*INDEX(Setup!$B$27:$B$44,MATCH($E3641,Setup!$A$27:$A$44,0)),"TBD"))</f>
        <v/>
      </c>
      <c r="G3641" s="32"/>
      <c r="H3641" s="32"/>
      <c r="I3641" s="32"/>
      <c r="J3641" s="32"/>
      <c r="K3641" s="35"/>
      <c r="L3641" s="32"/>
      <c r="M3641" s="32"/>
    </row>
    <row r="3642" customFormat="false" ht="15" hidden="false" customHeight="true" outlineLevel="0" collapsed="false">
      <c r="A3642" s="32"/>
      <c r="B3642" s="32"/>
      <c r="C3642" s="32"/>
      <c r="D3642" s="32"/>
      <c r="E3642" s="34" t="str">
        <f aca="false">IF($B3642="","",IF($B3642="OUT","Liters",IFERROR(INDEX(Setup!$F$3:$F$24,MATCH($C3642,Setup!$A$3:$A$24,0)),"")))</f>
        <v/>
      </c>
      <c r="F3642" s="28" t="str">
        <f aca="false">IF(OR($D3642="",$E3642=""),"",IFERROR($D3642*INDEX(Setup!$B$27:$B$44,MATCH($E3642,Setup!$A$27:$A$44,0)),"TBD"))</f>
        <v/>
      </c>
      <c r="G3642" s="32"/>
      <c r="H3642" s="32"/>
      <c r="I3642" s="32"/>
      <c r="J3642" s="32"/>
      <c r="K3642" s="35"/>
      <c r="L3642" s="32"/>
      <c r="M3642" s="32"/>
    </row>
    <row r="3643" customFormat="false" ht="15" hidden="false" customHeight="true" outlineLevel="0" collapsed="false">
      <c r="A3643" s="32"/>
      <c r="B3643" s="32"/>
      <c r="C3643" s="32"/>
      <c r="D3643" s="32"/>
      <c r="E3643" s="34" t="str">
        <f aca="false">IF($B3643="","",IF($B3643="OUT","Liters",IFERROR(INDEX(Setup!$F$3:$F$24,MATCH($C3643,Setup!$A$3:$A$24,0)),"")))</f>
        <v/>
      </c>
      <c r="F3643" s="28" t="str">
        <f aca="false">IF(OR($D3643="",$E3643=""),"",IFERROR($D3643*INDEX(Setup!$B$27:$B$44,MATCH($E3643,Setup!$A$27:$A$44,0)),"TBD"))</f>
        <v/>
      </c>
      <c r="G3643" s="32"/>
      <c r="H3643" s="32"/>
      <c r="I3643" s="32"/>
      <c r="J3643" s="32"/>
      <c r="K3643" s="35"/>
      <c r="L3643" s="32"/>
      <c r="M3643" s="32"/>
    </row>
    <row r="3644" customFormat="false" ht="15" hidden="false" customHeight="true" outlineLevel="0" collapsed="false">
      <c r="A3644" s="32"/>
      <c r="B3644" s="32"/>
      <c r="C3644" s="32"/>
      <c r="D3644" s="32"/>
      <c r="E3644" s="34" t="str">
        <f aca="false">IF($B3644="","",IF($B3644="OUT","Liters",IFERROR(INDEX(Setup!$F$3:$F$24,MATCH($C3644,Setup!$A$3:$A$24,0)),"")))</f>
        <v/>
      </c>
      <c r="F3644" s="28" t="str">
        <f aca="false">IF(OR($D3644="",$E3644=""),"",IFERROR($D3644*INDEX(Setup!$B$27:$B$44,MATCH($E3644,Setup!$A$27:$A$44,0)),"TBD"))</f>
        <v/>
      </c>
      <c r="G3644" s="32"/>
      <c r="H3644" s="32"/>
      <c r="I3644" s="32"/>
      <c r="J3644" s="32"/>
      <c r="K3644" s="35"/>
      <c r="L3644" s="32"/>
      <c r="M3644" s="32"/>
    </row>
    <row r="3645" customFormat="false" ht="15" hidden="false" customHeight="true" outlineLevel="0" collapsed="false">
      <c r="A3645" s="32"/>
      <c r="B3645" s="32"/>
      <c r="C3645" s="32"/>
      <c r="D3645" s="32"/>
      <c r="E3645" s="34" t="str">
        <f aca="false">IF($B3645="","",IF($B3645="OUT","Liters",IFERROR(INDEX(Setup!$F$3:$F$24,MATCH($C3645,Setup!$A$3:$A$24,0)),"")))</f>
        <v/>
      </c>
      <c r="F3645" s="28" t="str">
        <f aca="false">IF(OR($D3645="",$E3645=""),"",IFERROR($D3645*INDEX(Setup!$B$27:$B$44,MATCH($E3645,Setup!$A$27:$A$44,0)),"TBD"))</f>
        <v/>
      </c>
      <c r="G3645" s="32"/>
      <c r="H3645" s="32"/>
      <c r="I3645" s="32"/>
      <c r="J3645" s="32"/>
      <c r="K3645" s="35"/>
      <c r="L3645" s="32"/>
      <c r="M3645" s="32"/>
    </row>
    <row r="3646" customFormat="false" ht="15" hidden="false" customHeight="true" outlineLevel="0" collapsed="false">
      <c r="A3646" s="32"/>
      <c r="B3646" s="32"/>
      <c r="C3646" s="32"/>
      <c r="D3646" s="32"/>
      <c r="E3646" s="34" t="str">
        <f aca="false">IF($B3646="","",IF($B3646="OUT","Liters",IFERROR(INDEX(Setup!$F$3:$F$24,MATCH($C3646,Setup!$A$3:$A$24,0)),"")))</f>
        <v/>
      </c>
      <c r="F3646" s="28" t="str">
        <f aca="false">IF(OR($D3646="",$E3646=""),"",IFERROR($D3646*INDEX(Setup!$B$27:$B$44,MATCH($E3646,Setup!$A$27:$A$44,0)),"TBD"))</f>
        <v/>
      </c>
      <c r="G3646" s="32"/>
      <c r="H3646" s="32"/>
      <c r="I3646" s="32"/>
      <c r="J3646" s="32"/>
      <c r="K3646" s="35"/>
      <c r="L3646" s="32"/>
      <c r="M3646" s="32"/>
    </row>
    <row r="3647" customFormat="false" ht="15" hidden="false" customHeight="true" outlineLevel="0" collapsed="false">
      <c r="A3647" s="32"/>
      <c r="B3647" s="32"/>
      <c r="C3647" s="32"/>
      <c r="D3647" s="32"/>
      <c r="E3647" s="34" t="str">
        <f aca="false">IF($B3647="","",IF($B3647="OUT","Liters",IFERROR(INDEX(Setup!$F$3:$F$24,MATCH($C3647,Setup!$A$3:$A$24,0)),"")))</f>
        <v/>
      </c>
      <c r="F3647" s="28" t="str">
        <f aca="false">IF(OR($D3647="",$E3647=""),"",IFERROR($D3647*INDEX(Setup!$B$27:$B$44,MATCH($E3647,Setup!$A$27:$A$44,0)),"TBD"))</f>
        <v/>
      </c>
      <c r="G3647" s="32"/>
      <c r="H3647" s="32"/>
      <c r="I3647" s="32"/>
      <c r="J3647" s="32"/>
      <c r="K3647" s="35"/>
      <c r="L3647" s="32"/>
      <c r="M3647" s="32"/>
    </row>
    <row r="3648" customFormat="false" ht="15" hidden="false" customHeight="true" outlineLevel="0" collapsed="false">
      <c r="A3648" s="32"/>
      <c r="B3648" s="32"/>
      <c r="C3648" s="32"/>
      <c r="D3648" s="32"/>
      <c r="E3648" s="34" t="str">
        <f aca="false">IF($B3648="","",IF($B3648="OUT","Liters",IFERROR(INDEX(Setup!$F$3:$F$24,MATCH($C3648,Setup!$A$3:$A$24,0)),"")))</f>
        <v/>
      </c>
      <c r="F3648" s="28" t="str">
        <f aca="false">IF(OR($D3648="",$E3648=""),"",IFERROR($D3648*INDEX(Setup!$B$27:$B$44,MATCH($E3648,Setup!$A$27:$A$44,0)),"TBD"))</f>
        <v/>
      </c>
      <c r="G3648" s="32"/>
      <c r="H3648" s="32"/>
      <c r="I3648" s="32"/>
      <c r="J3648" s="32"/>
      <c r="K3648" s="35"/>
      <c r="L3648" s="32"/>
      <c r="M3648" s="32"/>
    </row>
    <row r="3649" customFormat="false" ht="15" hidden="false" customHeight="true" outlineLevel="0" collapsed="false">
      <c r="A3649" s="32"/>
      <c r="B3649" s="32"/>
      <c r="C3649" s="32"/>
      <c r="D3649" s="32"/>
      <c r="E3649" s="34" t="str">
        <f aca="false">IF($B3649="","",IF($B3649="OUT","Liters",IFERROR(INDEX(Setup!$F$3:$F$24,MATCH($C3649,Setup!$A$3:$A$24,0)),"")))</f>
        <v/>
      </c>
      <c r="F3649" s="28" t="str">
        <f aca="false">IF(OR($D3649="",$E3649=""),"",IFERROR($D3649*INDEX(Setup!$B$27:$B$44,MATCH($E3649,Setup!$A$27:$A$44,0)),"TBD"))</f>
        <v/>
      </c>
      <c r="G3649" s="32"/>
      <c r="H3649" s="32"/>
      <c r="I3649" s="32"/>
      <c r="J3649" s="32"/>
      <c r="K3649" s="35"/>
      <c r="L3649" s="32"/>
      <c r="M3649" s="32"/>
    </row>
    <row r="3650" customFormat="false" ht="15" hidden="false" customHeight="true" outlineLevel="0" collapsed="false">
      <c r="A3650" s="32"/>
      <c r="B3650" s="32"/>
      <c r="C3650" s="32"/>
      <c r="D3650" s="32"/>
      <c r="E3650" s="34" t="str">
        <f aca="false">IF($B3650="","",IF($B3650="OUT","Liters",IFERROR(INDEX(Setup!$F$3:$F$24,MATCH($C3650,Setup!$A$3:$A$24,0)),"")))</f>
        <v/>
      </c>
      <c r="F3650" s="28" t="str">
        <f aca="false">IF(OR($D3650="",$E3650=""),"",IFERROR($D3650*INDEX(Setup!$B$27:$B$44,MATCH($E3650,Setup!$A$27:$A$44,0)),"TBD"))</f>
        <v/>
      </c>
      <c r="G3650" s="32"/>
      <c r="H3650" s="32"/>
      <c r="I3650" s="32"/>
      <c r="J3650" s="32"/>
      <c r="K3650" s="35"/>
      <c r="L3650" s="32"/>
      <c r="M3650" s="32"/>
    </row>
    <row r="3651" customFormat="false" ht="15" hidden="false" customHeight="true" outlineLevel="0" collapsed="false">
      <c r="A3651" s="32"/>
      <c r="B3651" s="32"/>
      <c r="C3651" s="32"/>
      <c r="D3651" s="32"/>
      <c r="E3651" s="34" t="str">
        <f aca="false">IF($B3651="","",IF($B3651="OUT","Liters",IFERROR(INDEX(Setup!$F$3:$F$24,MATCH($C3651,Setup!$A$3:$A$24,0)),"")))</f>
        <v/>
      </c>
      <c r="F3651" s="28" t="str">
        <f aca="false">IF(OR($D3651="",$E3651=""),"",IFERROR($D3651*INDEX(Setup!$B$27:$B$44,MATCH($E3651,Setup!$A$27:$A$44,0)),"TBD"))</f>
        <v/>
      </c>
      <c r="G3651" s="32"/>
      <c r="H3651" s="32"/>
      <c r="I3651" s="32"/>
      <c r="J3651" s="32"/>
      <c r="K3651" s="35"/>
      <c r="L3651" s="32"/>
      <c r="M3651" s="32"/>
    </row>
    <row r="3652" customFormat="false" ht="15" hidden="false" customHeight="true" outlineLevel="0" collapsed="false">
      <c r="A3652" s="32"/>
      <c r="B3652" s="32"/>
      <c r="C3652" s="32"/>
      <c r="D3652" s="32"/>
      <c r="E3652" s="34" t="str">
        <f aca="false">IF($B3652="","",IF($B3652="OUT","Liters",IFERROR(INDEX(Setup!$F$3:$F$24,MATCH($C3652,Setup!$A$3:$A$24,0)),"")))</f>
        <v/>
      </c>
      <c r="F3652" s="28" t="str">
        <f aca="false">IF(OR($D3652="",$E3652=""),"",IFERROR($D3652*INDEX(Setup!$B$27:$B$44,MATCH($E3652,Setup!$A$27:$A$44,0)),"TBD"))</f>
        <v/>
      </c>
      <c r="G3652" s="32"/>
      <c r="H3652" s="32"/>
      <c r="I3652" s="32"/>
      <c r="J3652" s="32"/>
      <c r="K3652" s="35"/>
      <c r="L3652" s="32"/>
      <c r="M3652" s="32"/>
    </row>
    <row r="3653" customFormat="false" ht="15" hidden="false" customHeight="true" outlineLevel="0" collapsed="false">
      <c r="A3653" s="32"/>
      <c r="B3653" s="32"/>
      <c r="C3653" s="32"/>
      <c r="D3653" s="32"/>
      <c r="E3653" s="34" t="str">
        <f aca="false">IF($B3653="","",IF($B3653="OUT","Liters",IFERROR(INDEX(Setup!$F$3:$F$24,MATCH($C3653,Setup!$A$3:$A$24,0)),"")))</f>
        <v/>
      </c>
      <c r="F3653" s="28" t="str">
        <f aca="false">IF(OR($D3653="",$E3653=""),"",IFERROR($D3653*INDEX(Setup!$B$27:$B$44,MATCH($E3653,Setup!$A$27:$A$44,0)),"TBD"))</f>
        <v/>
      </c>
      <c r="G3653" s="32"/>
      <c r="H3653" s="32"/>
      <c r="I3653" s="32"/>
      <c r="J3653" s="32"/>
      <c r="K3653" s="35"/>
      <c r="L3653" s="32"/>
      <c r="M3653" s="32"/>
    </row>
    <row r="3654" customFormat="false" ht="15" hidden="false" customHeight="true" outlineLevel="0" collapsed="false">
      <c r="A3654" s="32"/>
      <c r="B3654" s="32"/>
      <c r="C3654" s="32"/>
      <c r="D3654" s="32"/>
      <c r="E3654" s="34" t="str">
        <f aca="false">IF($B3654="","",IF($B3654="OUT","Liters",IFERROR(INDEX(Setup!$F$3:$F$24,MATCH($C3654,Setup!$A$3:$A$24,0)),"")))</f>
        <v/>
      </c>
      <c r="F3654" s="28" t="str">
        <f aca="false">IF(OR($D3654="",$E3654=""),"",IFERROR($D3654*INDEX(Setup!$B$27:$B$44,MATCH($E3654,Setup!$A$27:$A$44,0)),"TBD"))</f>
        <v/>
      </c>
      <c r="G3654" s="32"/>
      <c r="H3654" s="32"/>
      <c r="I3654" s="32"/>
      <c r="J3654" s="32"/>
      <c r="K3654" s="35"/>
      <c r="L3654" s="32"/>
      <c r="M3654" s="32"/>
    </row>
    <row r="3655" customFormat="false" ht="15" hidden="false" customHeight="true" outlineLevel="0" collapsed="false">
      <c r="A3655" s="32"/>
      <c r="B3655" s="32"/>
      <c r="C3655" s="32"/>
      <c r="D3655" s="32"/>
      <c r="E3655" s="34" t="str">
        <f aca="false">IF($B3655="","",IF($B3655="OUT","Liters",IFERROR(INDEX(Setup!$F$3:$F$24,MATCH($C3655,Setup!$A$3:$A$24,0)),"")))</f>
        <v/>
      </c>
      <c r="F3655" s="28" t="str">
        <f aca="false">IF(OR($D3655="",$E3655=""),"",IFERROR($D3655*INDEX(Setup!$B$27:$B$44,MATCH($E3655,Setup!$A$27:$A$44,0)),"TBD"))</f>
        <v/>
      </c>
      <c r="G3655" s="32"/>
      <c r="H3655" s="32"/>
      <c r="I3655" s="32"/>
      <c r="J3655" s="32"/>
      <c r="K3655" s="35"/>
      <c r="L3655" s="32"/>
      <c r="M3655" s="32"/>
    </row>
    <row r="3656" customFormat="false" ht="15" hidden="false" customHeight="true" outlineLevel="0" collapsed="false">
      <c r="A3656" s="32"/>
      <c r="B3656" s="32"/>
      <c r="C3656" s="32"/>
      <c r="D3656" s="32"/>
      <c r="E3656" s="34" t="str">
        <f aca="false">IF($B3656="","",IF($B3656="OUT","Liters",IFERROR(INDEX(Setup!$F$3:$F$24,MATCH($C3656,Setup!$A$3:$A$24,0)),"")))</f>
        <v/>
      </c>
      <c r="F3656" s="28" t="str">
        <f aca="false">IF(OR($D3656="",$E3656=""),"",IFERROR($D3656*INDEX(Setup!$B$27:$B$44,MATCH($E3656,Setup!$A$27:$A$44,0)),"TBD"))</f>
        <v/>
      </c>
      <c r="G3656" s="32"/>
      <c r="H3656" s="32"/>
      <c r="I3656" s="32"/>
      <c r="J3656" s="32"/>
      <c r="K3656" s="35"/>
      <c r="L3656" s="32"/>
      <c r="M3656" s="32"/>
    </row>
    <row r="3657" customFormat="false" ht="15" hidden="false" customHeight="true" outlineLevel="0" collapsed="false">
      <c r="A3657" s="32"/>
      <c r="B3657" s="32"/>
      <c r="C3657" s="32"/>
      <c r="D3657" s="32"/>
      <c r="E3657" s="34" t="str">
        <f aca="false">IF($B3657="","",IF($B3657="OUT","Liters",IFERROR(INDEX(Setup!$F$3:$F$24,MATCH($C3657,Setup!$A$3:$A$24,0)),"")))</f>
        <v/>
      </c>
      <c r="F3657" s="28" t="str">
        <f aca="false">IF(OR($D3657="",$E3657=""),"",IFERROR($D3657*INDEX(Setup!$B$27:$B$44,MATCH($E3657,Setup!$A$27:$A$44,0)),"TBD"))</f>
        <v/>
      </c>
      <c r="G3657" s="32"/>
      <c r="H3657" s="32"/>
      <c r="I3657" s="32"/>
      <c r="J3657" s="32"/>
      <c r="K3657" s="35"/>
      <c r="L3657" s="32"/>
      <c r="M3657" s="32"/>
    </row>
    <row r="3658" customFormat="false" ht="15" hidden="false" customHeight="true" outlineLevel="0" collapsed="false">
      <c r="A3658" s="32"/>
      <c r="B3658" s="32"/>
      <c r="C3658" s="32"/>
      <c r="D3658" s="32"/>
      <c r="E3658" s="34" t="str">
        <f aca="false">IF($B3658="","",IF($B3658="OUT","Liters",IFERROR(INDEX(Setup!$F$3:$F$24,MATCH($C3658,Setup!$A$3:$A$24,0)),"")))</f>
        <v/>
      </c>
      <c r="F3658" s="28" t="str">
        <f aca="false">IF(OR($D3658="",$E3658=""),"",IFERROR($D3658*INDEX(Setup!$B$27:$B$44,MATCH($E3658,Setup!$A$27:$A$44,0)),"TBD"))</f>
        <v/>
      </c>
      <c r="G3658" s="32"/>
      <c r="H3658" s="32"/>
      <c r="I3658" s="32"/>
      <c r="J3658" s="32"/>
      <c r="K3658" s="35"/>
      <c r="L3658" s="32"/>
      <c r="M3658" s="32"/>
    </row>
    <row r="3659" customFormat="false" ht="15" hidden="false" customHeight="true" outlineLevel="0" collapsed="false">
      <c r="A3659" s="32"/>
      <c r="B3659" s="32"/>
      <c r="C3659" s="32"/>
      <c r="D3659" s="32"/>
      <c r="E3659" s="34" t="str">
        <f aca="false">IF($B3659="","",IF($B3659="OUT","Liters",IFERROR(INDEX(Setup!$F$3:$F$24,MATCH($C3659,Setup!$A$3:$A$24,0)),"")))</f>
        <v/>
      </c>
      <c r="F3659" s="28" t="str">
        <f aca="false">IF(OR($D3659="",$E3659=""),"",IFERROR($D3659*INDEX(Setup!$B$27:$B$44,MATCH($E3659,Setup!$A$27:$A$44,0)),"TBD"))</f>
        <v/>
      </c>
      <c r="G3659" s="32"/>
      <c r="H3659" s="32"/>
      <c r="I3659" s="32"/>
      <c r="J3659" s="32"/>
      <c r="K3659" s="35"/>
      <c r="L3659" s="32"/>
      <c r="M3659" s="32"/>
    </row>
    <row r="3660" customFormat="false" ht="15" hidden="false" customHeight="true" outlineLevel="0" collapsed="false">
      <c r="A3660" s="32"/>
      <c r="B3660" s="32"/>
      <c r="C3660" s="32"/>
      <c r="D3660" s="32"/>
      <c r="E3660" s="34" t="str">
        <f aca="false">IF($B3660="","",IF($B3660="OUT","Liters",IFERROR(INDEX(Setup!$F$3:$F$24,MATCH($C3660,Setup!$A$3:$A$24,0)),"")))</f>
        <v/>
      </c>
      <c r="F3660" s="28" t="str">
        <f aca="false">IF(OR($D3660="",$E3660=""),"",IFERROR($D3660*INDEX(Setup!$B$27:$B$44,MATCH($E3660,Setup!$A$27:$A$44,0)),"TBD"))</f>
        <v/>
      </c>
      <c r="G3660" s="32"/>
      <c r="H3660" s="32"/>
      <c r="I3660" s="32"/>
      <c r="J3660" s="32"/>
      <c r="K3660" s="35"/>
      <c r="L3660" s="32"/>
      <c r="M3660" s="32"/>
    </row>
    <row r="3661" customFormat="false" ht="15" hidden="false" customHeight="true" outlineLevel="0" collapsed="false">
      <c r="A3661" s="32"/>
      <c r="B3661" s="32"/>
      <c r="C3661" s="32"/>
      <c r="D3661" s="32"/>
      <c r="E3661" s="34" t="str">
        <f aca="false">IF($B3661="","",IF($B3661="OUT","Liters",IFERROR(INDEX(Setup!$F$3:$F$24,MATCH($C3661,Setup!$A$3:$A$24,0)),"")))</f>
        <v/>
      </c>
      <c r="F3661" s="28" t="str">
        <f aca="false">IF(OR($D3661="",$E3661=""),"",IFERROR($D3661*INDEX(Setup!$B$27:$B$44,MATCH($E3661,Setup!$A$27:$A$44,0)),"TBD"))</f>
        <v/>
      </c>
      <c r="G3661" s="32"/>
      <c r="H3661" s="32"/>
      <c r="I3661" s="32"/>
      <c r="J3661" s="32"/>
      <c r="K3661" s="35"/>
      <c r="L3661" s="32"/>
      <c r="M3661" s="32"/>
    </row>
    <row r="3662" customFormat="false" ht="15" hidden="false" customHeight="true" outlineLevel="0" collapsed="false">
      <c r="A3662" s="32"/>
      <c r="B3662" s="32"/>
      <c r="C3662" s="32"/>
      <c r="D3662" s="32"/>
      <c r="E3662" s="34" t="str">
        <f aca="false">IF($B3662="","",IF($B3662="OUT","Liters",IFERROR(INDEX(Setup!$F$3:$F$24,MATCH($C3662,Setup!$A$3:$A$24,0)),"")))</f>
        <v/>
      </c>
      <c r="F3662" s="28" t="str">
        <f aca="false">IF(OR($D3662="",$E3662=""),"",IFERROR($D3662*INDEX(Setup!$B$27:$B$44,MATCH($E3662,Setup!$A$27:$A$44,0)),"TBD"))</f>
        <v/>
      </c>
      <c r="G3662" s="32"/>
      <c r="H3662" s="32"/>
      <c r="I3662" s="32"/>
      <c r="J3662" s="32"/>
      <c r="K3662" s="35"/>
      <c r="L3662" s="32"/>
      <c r="M3662" s="32"/>
    </row>
    <row r="3663" customFormat="false" ht="15" hidden="false" customHeight="true" outlineLevel="0" collapsed="false">
      <c r="A3663" s="32"/>
      <c r="B3663" s="32"/>
      <c r="C3663" s="32"/>
      <c r="D3663" s="32"/>
      <c r="E3663" s="34" t="str">
        <f aca="false">IF($B3663="","",IF($B3663="OUT","Liters",IFERROR(INDEX(Setup!$F$3:$F$24,MATCH($C3663,Setup!$A$3:$A$24,0)),"")))</f>
        <v/>
      </c>
      <c r="F3663" s="28" t="str">
        <f aca="false">IF(OR($D3663="",$E3663=""),"",IFERROR($D3663*INDEX(Setup!$B$27:$B$44,MATCH($E3663,Setup!$A$27:$A$44,0)),"TBD"))</f>
        <v/>
      </c>
      <c r="G3663" s="32"/>
      <c r="H3663" s="32"/>
      <c r="I3663" s="32"/>
      <c r="J3663" s="32"/>
      <c r="K3663" s="35"/>
      <c r="L3663" s="32"/>
      <c r="M3663" s="32"/>
    </row>
    <row r="3664" customFormat="false" ht="15" hidden="false" customHeight="true" outlineLevel="0" collapsed="false">
      <c r="A3664" s="32"/>
      <c r="B3664" s="32"/>
      <c r="C3664" s="32"/>
      <c r="D3664" s="32"/>
      <c r="E3664" s="34" t="str">
        <f aca="false">IF($B3664="","",IF($B3664="OUT","Liters",IFERROR(INDEX(Setup!$F$3:$F$24,MATCH($C3664,Setup!$A$3:$A$24,0)),"")))</f>
        <v/>
      </c>
      <c r="F3664" s="28" t="str">
        <f aca="false">IF(OR($D3664="",$E3664=""),"",IFERROR($D3664*INDEX(Setup!$B$27:$B$44,MATCH($E3664,Setup!$A$27:$A$44,0)),"TBD"))</f>
        <v/>
      </c>
      <c r="G3664" s="32"/>
      <c r="H3664" s="32"/>
      <c r="I3664" s="32"/>
      <c r="J3664" s="32"/>
      <c r="K3664" s="35"/>
      <c r="L3664" s="32"/>
      <c r="M3664" s="32"/>
    </row>
    <row r="3665" customFormat="false" ht="15" hidden="false" customHeight="true" outlineLevel="0" collapsed="false">
      <c r="A3665" s="32"/>
      <c r="B3665" s="32"/>
      <c r="C3665" s="32"/>
      <c r="D3665" s="32"/>
      <c r="E3665" s="34" t="str">
        <f aca="false">IF($B3665="","",IF($B3665="OUT","Liters",IFERROR(INDEX(Setup!$F$3:$F$24,MATCH($C3665,Setup!$A$3:$A$24,0)),"")))</f>
        <v/>
      </c>
      <c r="F3665" s="28" t="str">
        <f aca="false">IF(OR($D3665="",$E3665=""),"",IFERROR($D3665*INDEX(Setup!$B$27:$B$44,MATCH($E3665,Setup!$A$27:$A$44,0)),"TBD"))</f>
        <v/>
      </c>
      <c r="G3665" s="32"/>
      <c r="H3665" s="32"/>
      <c r="I3665" s="32"/>
      <c r="J3665" s="32"/>
      <c r="K3665" s="35"/>
      <c r="L3665" s="32"/>
      <c r="M3665" s="32"/>
    </row>
    <row r="3666" customFormat="false" ht="15" hidden="false" customHeight="true" outlineLevel="0" collapsed="false">
      <c r="A3666" s="32"/>
      <c r="B3666" s="32"/>
      <c r="C3666" s="32"/>
      <c r="D3666" s="32"/>
      <c r="E3666" s="34" t="str">
        <f aca="false">IF($B3666="","",IF($B3666="OUT","Liters",IFERROR(INDEX(Setup!$F$3:$F$24,MATCH($C3666,Setup!$A$3:$A$24,0)),"")))</f>
        <v/>
      </c>
      <c r="F3666" s="28" t="str">
        <f aca="false">IF(OR($D3666="",$E3666=""),"",IFERROR($D3666*INDEX(Setup!$B$27:$B$44,MATCH($E3666,Setup!$A$27:$A$44,0)),"TBD"))</f>
        <v/>
      </c>
      <c r="G3666" s="32"/>
      <c r="H3666" s="32"/>
      <c r="I3666" s="32"/>
      <c r="J3666" s="32"/>
      <c r="K3666" s="35"/>
      <c r="L3666" s="32"/>
      <c r="M3666" s="32"/>
    </row>
    <row r="3667" customFormat="false" ht="15" hidden="false" customHeight="true" outlineLevel="0" collapsed="false">
      <c r="A3667" s="32"/>
      <c r="B3667" s="32"/>
      <c r="C3667" s="32"/>
      <c r="D3667" s="32"/>
      <c r="E3667" s="34" t="str">
        <f aca="false">IF($B3667="","",IF($B3667="OUT","Liters",IFERROR(INDEX(Setup!$F$3:$F$24,MATCH($C3667,Setup!$A$3:$A$24,0)),"")))</f>
        <v/>
      </c>
      <c r="F3667" s="28" t="str">
        <f aca="false">IF(OR($D3667="",$E3667=""),"",IFERROR($D3667*INDEX(Setup!$B$27:$B$44,MATCH($E3667,Setup!$A$27:$A$44,0)),"TBD"))</f>
        <v/>
      </c>
      <c r="G3667" s="32"/>
      <c r="H3667" s="32"/>
      <c r="I3667" s="32"/>
      <c r="J3667" s="32"/>
      <c r="K3667" s="35"/>
      <c r="L3667" s="32"/>
      <c r="M3667" s="32"/>
    </row>
    <row r="3668" customFormat="false" ht="15" hidden="false" customHeight="true" outlineLevel="0" collapsed="false">
      <c r="A3668" s="32"/>
      <c r="B3668" s="32"/>
      <c r="C3668" s="32"/>
      <c r="D3668" s="32"/>
      <c r="E3668" s="34" t="str">
        <f aca="false">IF($B3668="","",IF($B3668="OUT","Liters",IFERROR(INDEX(Setup!$F$3:$F$24,MATCH($C3668,Setup!$A$3:$A$24,0)),"")))</f>
        <v/>
      </c>
      <c r="F3668" s="28" t="str">
        <f aca="false">IF(OR($D3668="",$E3668=""),"",IFERROR($D3668*INDEX(Setup!$B$27:$B$44,MATCH($E3668,Setup!$A$27:$A$44,0)),"TBD"))</f>
        <v/>
      </c>
      <c r="G3668" s="32"/>
      <c r="H3668" s="32"/>
      <c r="I3668" s="32"/>
      <c r="J3668" s="32"/>
      <c r="K3668" s="35"/>
      <c r="L3668" s="32"/>
      <c r="M3668" s="32"/>
    </row>
    <row r="3669" customFormat="false" ht="15" hidden="false" customHeight="true" outlineLevel="0" collapsed="false">
      <c r="A3669" s="32"/>
      <c r="B3669" s="32"/>
      <c r="C3669" s="32"/>
      <c r="D3669" s="32"/>
      <c r="E3669" s="34" t="str">
        <f aca="false">IF($B3669="","",IF($B3669="OUT","Liters",IFERROR(INDEX(Setup!$F$3:$F$24,MATCH($C3669,Setup!$A$3:$A$24,0)),"")))</f>
        <v/>
      </c>
      <c r="F3669" s="28" t="str">
        <f aca="false">IF(OR($D3669="",$E3669=""),"",IFERROR($D3669*INDEX(Setup!$B$27:$B$44,MATCH($E3669,Setup!$A$27:$A$44,0)),"TBD"))</f>
        <v/>
      </c>
      <c r="G3669" s="32"/>
      <c r="H3669" s="32"/>
      <c r="I3669" s="32"/>
      <c r="J3669" s="32"/>
      <c r="K3669" s="35"/>
      <c r="L3669" s="32"/>
      <c r="M3669" s="32"/>
    </row>
    <row r="3670" customFormat="false" ht="15" hidden="false" customHeight="true" outlineLevel="0" collapsed="false">
      <c r="A3670" s="32"/>
      <c r="B3670" s="32"/>
      <c r="C3670" s="32"/>
      <c r="D3670" s="32"/>
      <c r="E3670" s="34" t="str">
        <f aca="false">IF($B3670="","",IF($B3670="OUT","Liters",IFERROR(INDEX(Setup!$F$3:$F$24,MATCH($C3670,Setup!$A$3:$A$24,0)),"")))</f>
        <v/>
      </c>
      <c r="F3670" s="28" t="str">
        <f aca="false">IF(OR($D3670="",$E3670=""),"",IFERROR($D3670*INDEX(Setup!$B$27:$B$44,MATCH($E3670,Setup!$A$27:$A$44,0)),"TBD"))</f>
        <v/>
      </c>
      <c r="G3670" s="32"/>
      <c r="H3670" s="32"/>
      <c r="I3670" s="32"/>
      <c r="J3670" s="32"/>
      <c r="K3670" s="35"/>
      <c r="L3670" s="32"/>
      <c r="M3670" s="32"/>
    </row>
    <row r="3671" customFormat="false" ht="15" hidden="false" customHeight="true" outlineLevel="0" collapsed="false">
      <c r="A3671" s="32"/>
      <c r="B3671" s="32"/>
      <c r="C3671" s="32"/>
      <c r="D3671" s="32"/>
      <c r="E3671" s="34" t="str">
        <f aca="false">IF($B3671="","",IF($B3671="OUT","Liters",IFERROR(INDEX(Setup!$F$3:$F$24,MATCH($C3671,Setup!$A$3:$A$24,0)),"")))</f>
        <v/>
      </c>
      <c r="F3671" s="28" t="str">
        <f aca="false">IF(OR($D3671="",$E3671=""),"",IFERROR($D3671*INDEX(Setup!$B$27:$B$44,MATCH($E3671,Setup!$A$27:$A$44,0)),"TBD"))</f>
        <v/>
      </c>
      <c r="G3671" s="32"/>
      <c r="H3671" s="32"/>
      <c r="I3671" s="32"/>
      <c r="J3671" s="32"/>
      <c r="K3671" s="35"/>
      <c r="L3671" s="32"/>
      <c r="M3671" s="32"/>
    </row>
    <row r="3672" customFormat="false" ht="15" hidden="false" customHeight="true" outlineLevel="0" collapsed="false">
      <c r="A3672" s="32"/>
      <c r="B3672" s="32"/>
      <c r="C3672" s="32"/>
      <c r="D3672" s="32"/>
      <c r="E3672" s="34" t="str">
        <f aca="false">IF($B3672="","",IF($B3672="OUT","Liters",IFERROR(INDEX(Setup!$F$3:$F$24,MATCH($C3672,Setup!$A$3:$A$24,0)),"")))</f>
        <v/>
      </c>
      <c r="F3672" s="28" t="str">
        <f aca="false">IF(OR($D3672="",$E3672=""),"",IFERROR($D3672*INDEX(Setup!$B$27:$B$44,MATCH($E3672,Setup!$A$27:$A$44,0)),"TBD"))</f>
        <v/>
      </c>
      <c r="G3672" s="32"/>
      <c r="H3672" s="32"/>
      <c r="I3672" s="32"/>
      <c r="J3672" s="32"/>
      <c r="K3672" s="35"/>
      <c r="L3672" s="32"/>
      <c r="M3672" s="32"/>
    </row>
    <row r="3673" customFormat="false" ht="15" hidden="false" customHeight="true" outlineLevel="0" collapsed="false">
      <c r="A3673" s="32"/>
      <c r="B3673" s="32"/>
      <c r="C3673" s="32"/>
      <c r="D3673" s="32"/>
      <c r="E3673" s="34" t="str">
        <f aca="false">IF($B3673="","",IF($B3673="OUT","Liters",IFERROR(INDEX(Setup!$F$3:$F$24,MATCH($C3673,Setup!$A$3:$A$24,0)),"")))</f>
        <v/>
      </c>
      <c r="F3673" s="28" t="str">
        <f aca="false">IF(OR($D3673="",$E3673=""),"",IFERROR($D3673*INDEX(Setup!$B$27:$B$44,MATCH($E3673,Setup!$A$27:$A$44,0)),"TBD"))</f>
        <v/>
      </c>
      <c r="G3673" s="32"/>
      <c r="H3673" s="32"/>
      <c r="I3673" s="32"/>
      <c r="J3673" s="32"/>
      <c r="K3673" s="35"/>
      <c r="L3673" s="32"/>
      <c r="M3673" s="32"/>
    </row>
    <row r="3674" customFormat="false" ht="15" hidden="false" customHeight="true" outlineLevel="0" collapsed="false">
      <c r="A3674" s="32"/>
      <c r="B3674" s="32"/>
      <c r="C3674" s="32"/>
      <c r="D3674" s="32"/>
      <c r="E3674" s="34" t="str">
        <f aca="false">IF($B3674="","",IF($B3674="OUT","Liters",IFERROR(INDEX(Setup!$F$3:$F$24,MATCH($C3674,Setup!$A$3:$A$24,0)),"")))</f>
        <v/>
      </c>
      <c r="F3674" s="28" t="str">
        <f aca="false">IF(OR($D3674="",$E3674=""),"",IFERROR($D3674*INDEX(Setup!$B$27:$B$44,MATCH($E3674,Setup!$A$27:$A$44,0)),"TBD"))</f>
        <v/>
      </c>
      <c r="G3674" s="32"/>
      <c r="H3674" s="32"/>
      <c r="I3674" s="32"/>
      <c r="J3674" s="32"/>
      <c r="K3674" s="35"/>
      <c r="L3674" s="32"/>
      <c r="M3674" s="32"/>
    </row>
    <row r="3675" customFormat="false" ht="15" hidden="false" customHeight="true" outlineLevel="0" collapsed="false">
      <c r="A3675" s="32"/>
      <c r="B3675" s="32"/>
      <c r="C3675" s="32"/>
      <c r="D3675" s="32"/>
      <c r="E3675" s="34" t="str">
        <f aca="false">IF($B3675="","",IF($B3675="OUT","Liters",IFERROR(INDEX(Setup!$F$3:$F$24,MATCH($C3675,Setup!$A$3:$A$24,0)),"")))</f>
        <v/>
      </c>
      <c r="F3675" s="28" t="str">
        <f aca="false">IF(OR($D3675="",$E3675=""),"",IFERROR($D3675*INDEX(Setup!$B$27:$B$44,MATCH($E3675,Setup!$A$27:$A$44,0)),"TBD"))</f>
        <v/>
      </c>
      <c r="G3675" s="32"/>
      <c r="H3675" s="32"/>
      <c r="I3675" s="32"/>
      <c r="J3675" s="32"/>
      <c r="K3675" s="35"/>
      <c r="L3675" s="32"/>
      <c r="M3675" s="32"/>
    </row>
    <row r="3676" customFormat="false" ht="15" hidden="false" customHeight="true" outlineLevel="0" collapsed="false">
      <c r="A3676" s="32"/>
      <c r="B3676" s="32"/>
      <c r="C3676" s="32"/>
      <c r="D3676" s="32"/>
      <c r="E3676" s="34" t="str">
        <f aca="false">IF($B3676="","",IF($B3676="OUT","Liters",IFERROR(INDEX(Setup!$F$3:$F$24,MATCH($C3676,Setup!$A$3:$A$24,0)),"")))</f>
        <v/>
      </c>
      <c r="F3676" s="28" t="str">
        <f aca="false">IF(OR($D3676="",$E3676=""),"",IFERROR($D3676*INDEX(Setup!$B$27:$B$44,MATCH($E3676,Setup!$A$27:$A$44,0)),"TBD"))</f>
        <v/>
      </c>
      <c r="G3676" s="32"/>
      <c r="H3676" s="32"/>
      <c r="I3676" s="32"/>
      <c r="J3676" s="32"/>
      <c r="K3676" s="35"/>
      <c r="L3676" s="32"/>
      <c r="M3676" s="32"/>
    </row>
    <row r="3677" customFormat="false" ht="15" hidden="false" customHeight="true" outlineLevel="0" collapsed="false">
      <c r="A3677" s="32"/>
      <c r="B3677" s="32"/>
      <c r="C3677" s="32"/>
      <c r="D3677" s="32"/>
      <c r="E3677" s="34" t="str">
        <f aca="false">IF($B3677="","",IF($B3677="OUT","Liters",IFERROR(INDEX(Setup!$F$3:$F$24,MATCH($C3677,Setup!$A$3:$A$24,0)),"")))</f>
        <v/>
      </c>
      <c r="F3677" s="28" t="str">
        <f aca="false">IF(OR($D3677="",$E3677=""),"",IFERROR($D3677*INDEX(Setup!$B$27:$B$44,MATCH($E3677,Setup!$A$27:$A$44,0)),"TBD"))</f>
        <v/>
      </c>
      <c r="G3677" s="32"/>
      <c r="H3677" s="32"/>
      <c r="I3677" s="32"/>
      <c r="J3677" s="32"/>
      <c r="K3677" s="35"/>
      <c r="L3677" s="32"/>
      <c r="M3677" s="32"/>
    </row>
    <row r="3678" customFormat="false" ht="15" hidden="false" customHeight="true" outlineLevel="0" collapsed="false">
      <c r="A3678" s="32"/>
      <c r="B3678" s="32"/>
      <c r="C3678" s="32"/>
      <c r="D3678" s="32"/>
      <c r="E3678" s="34" t="str">
        <f aca="false">IF($B3678="","",IF($B3678="OUT","Liters",IFERROR(INDEX(Setup!$F$3:$F$24,MATCH($C3678,Setup!$A$3:$A$24,0)),"")))</f>
        <v/>
      </c>
      <c r="F3678" s="28" t="str">
        <f aca="false">IF(OR($D3678="",$E3678=""),"",IFERROR($D3678*INDEX(Setup!$B$27:$B$44,MATCH($E3678,Setup!$A$27:$A$44,0)),"TBD"))</f>
        <v/>
      </c>
      <c r="G3678" s="32"/>
      <c r="H3678" s="32"/>
      <c r="I3678" s="32"/>
      <c r="J3678" s="32"/>
      <c r="K3678" s="35"/>
      <c r="L3678" s="32"/>
      <c r="M3678" s="32"/>
    </row>
    <row r="3679" customFormat="false" ht="15" hidden="false" customHeight="true" outlineLevel="0" collapsed="false">
      <c r="A3679" s="32"/>
      <c r="B3679" s="32"/>
      <c r="C3679" s="32"/>
      <c r="D3679" s="32"/>
      <c r="E3679" s="34" t="str">
        <f aca="false">IF($B3679="","",IF($B3679="OUT","Liters",IFERROR(INDEX(Setup!$F$3:$F$24,MATCH($C3679,Setup!$A$3:$A$24,0)),"")))</f>
        <v/>
      </c>
      <c r="F3679" s="28" t="str">
        <f aca="false">IF(OR($D3679="",$E3679=""),"",IFERROR($D3679*INDEX(Setup!$B$27:$B$44,MATCH($E3679,Setup!$A$27:$A$44,0)),"TBD"))</f>
        <v/>
      </c>
      <c r="G3679" s="32"/>
      <c r="H3679" s="32"/>
      <c r="I3679" s="32"/>
      <c r="J3679" s="32"/>
      <c r="K3679" s="35"/>
      <c r="L3679" s="32"/>
      <c r="M3679" s="32"/>
    </row>
    <row r="3680" customFormat="false" ht="15" hidden="false" customHeight="true" outlineLevel="0" collapsed="false">
      <c r="A3680" s="32"/>
      <c r="B3680" s="32"/>
      <c r="C3680" s="32"/>
      <c r="D3680" s="32"/>
      <c r="E3680" s="34" t="str">
        <f aca="false">IF($B3680="","",IF($B3680="OUT","Liters",IFERROR(INDEX(Setup!$F$3:$F$24,MATCH($C3680,Setup!$A$3:$A$24,0)),"")))</f>
        <v/>
      </c>
      <c r="F3680" s="28" t="str">
        <f aca="false">IF(OR($D3680="",$E3680=""),"",IFERROR($D3680*INDEX(Setup!$B$27:$B$44,MATCH($E3680,Setup!$A$27:$A$44,0)),"TBD"))</f>
        <v/>
      </c>
      <c r="G3680" s="32"/>
      <c r="H3680" s="32"/>
      <c r="I3680" s="32"/>
      <c r="J3680" s="32"/>
      <c r="K3680" s="35"/>
      <c r="L3680" s="32"/>
      <c r="M3680" s="32"/>
    </row>
    <row r="3681" customFormat="false" ht="15" hidden="false" customHeight="true" outlineLevel="0" collapsed="false">
      <c r="A3681" s="32"/>
      <c r="B3681" s="32"/>
      <c r="C3681" s="32"/>
      <c r="D3681" s="32"/>
      <c r="E3681" s="34" t="str">
        <f aca="false">IF($B3681="","",IF($B3681="OUT","Liters",IFERROR(INDEX(Setup!$F$3:$F$24,MATCH($C3681,Setup!$A$3:$A$24,0)),"")))</f>
        <v/>
      </c>
      <c r="F3681" s="28" t="str">
        <f aca="false">IF(OR($D3681="",$E3681=""),"",IFERROR($D3681*INDEX(Setup!$B$27:$B$44,MATCH($E3681,Setup!$A$27:$A$44,0)),"TBD"))</f>
        <v/>
      </c>
      <c r="G3681" s="32"/>
      <c r="H3681" s="32"/>
      <c r="I3681" s="32"/>
      <c r="J3681" s="32"/>
      <c r="K3681" s="35"/>
      <c r="L3681" s="32"/>
      <c r="M3681" s="32"/>
    </row>
    <row r="3682" customFormat="false" ht="15" hidden="false" customHeight="true" outlineLevel="0" collapsed="false">
      <c r="A3682" s="32"/>
      <c r="B3682" s="32"/>
      <c r="C3682" s="32"/>
      <c r="D3682" s="32"/>
      <c r="E3682" s="34" t="str">
        <f aca="false">IF($B3682="","",IF($B3682="OUT","Liters",IFERROR(INDEX(Setup!$F$3:$F$24,MATCH($C3682,Setup!$A$3:$A$24,0)),"")))</f>
        <v/>
      </c>
      <c r="F3682" s="28" t="str">
        <f aca="false">IF(OR($D3682="",$E3682=""),"",IFERROR($D3682*INDEX(Setup!$B$27:$B$44,MATCH($E3682,Setup!$A$27:$A$44,0)),"TBD"))</f>
        <v/>
      </c>
      <c r="G3682" s="32"/>
      <c r="H3682" s="32"/>
      <c r="I3682" s="32"/>
      <c r="J3682" s="32"/>
      <c r="K3682" s="35"/>
      <c r="L3682" s="32"/>
      <c r="M3682" s="32"/>
    </row>
    <row r="3683" customFormat="false" ht="15" hidden="false" customHeight="true" outlineLevel="0" collapsed="false">
      <c r="A3683" s="32"/>
      <c r="B3683" s="32"/>
      <c r="C3683" s="32"/>
      <c r="D3683" s="32"/>
      <c r="E3683" s="34" t="str">
        <f aca="false">IF($B3683="","",IF($B3683="OUT","Liters",IFERROR(INDEX(Setup!$F$3:$F$24,MATCH($C3683,Setup!$A$3:$A$24,0)),"")))</f>
        <v/>
      </c>
      <c r="F3683" s="28" t="str">
        <f aca="false">IF(OR($D3683="",$E3683=""),"",IFERROR($D3683*INDEX(Setup!$B$27:$B$44,MATCH($E3683,Setup!$A$27:$A$44,0)),"TBD"))</f>
        <v/>
      </c>
      <c r="G3683" s="32"/>
      <c r="H3683" s="32"/>
      <c r="I3683" s="32"/>
      <c r="J3683" s="32"/>
      <c r="K3683" s="35"/>
      <c r="L3683" s="32"/>
      <c r="M3683" s="32"/>
    </row>
    <row r="3684" customFormat="false" ht="15" hidden="false" customHeight="true" outlineLevel="0" collapsed="false">
      <c r="A3684" s="32"/>
      <c r="B3684" s="32"/>
      <c r="C3684" s="32"/>
      <c r="D3684" s="32"/>
      <c r="E3684" s="34" t="str">
        <f aca="false">IF($B3684="","",IF($B3684="OUT","Liters",IFERROR(INDEX(Setup!$F$3:$F$24,MATCH($C3684,Setup!$A$3:$A$24,0)),"")))</f>
        <v/>
      </c>
      <c r="F3684" s="28" t="str">
        <f aca="false">IF(OR($D3684="",$E3684=""),"",IFERROR($D3684*INDEX(Setup!$B$27:$B$44,MATCH($E3684,Setup!$A$27:$A$44,0)),"TBD"))</f>
        <v/>
      </c>
      <c r="G3684" s="32"/>
      <c r="H3684" s="32"/>
      <c r="I3684" s="32"/>
      <c r="J3684" s="32"/>
      <c r="K3684" s="35"/>
      <c r="L3684" s="32"/>
      <c r="M3684" s="32"/>
    </row>
    <row r="3685" customFormat="false" ht="15" hidden="false" customHeight="true" outlineLevel="0" collapsed="false">
      <c r="A3685" s="32"/>
      <c r="B3685" s="32"/>
      <c r="C3685" s="32"/>
      <c r="D3685" s="32"/>
      <c r="E3685" s="34" t="str">
        <f aca="false">IF($B3685="","",IF($B3685="OUT","Liters",IFERROR(INDEX(Setup!$F$3:$F$24,MATCH($C3685,Setup!$A$3:$A$24,0)),"")))</f>
        <v/>
      </c>
      <c r="F3685" s="28" t="str">
        <f aca="false">IF(OR($D3685="",$E3685=""),"",IFERROR($D3685*INDEX(Setup!$B$27:$B$44,MATCH($E3685,Setup!$A$27:$A$44,0)),"TBD"))</f>
        <v/>
      </c>
      <c r="G3685" s="32"/>
      <c r="H3685" s="32"/>
      <c r="I3685" s="32"/>
      <c r="J3685" s="32"/>
      <c r="K3685" s="35"/>
      <c r="L3685" s="32"/>
      <c r="M3685" s="32"/>
    </row>
    <row r="3686" customFormat="false" ht="15" hidden="false" customHeight="true" outlineLevel="0" collapsed="false">
      <c r="A3686" s="32"/>
      <c r="B3686" s="32"/>
      <c r="C3686" s="32"/>
      <c r="D3686" s="32"/>
      <c r="E3686" s="34" t="str">
        <f aca="false">IF($B3686="","",IF($B3686="OUT","Liters",IFERROR(INDEX(Setup!$F$3:$F$24,MATCH($C3686,Setup!$A$3:$A$24,0)),"")))</f>
        <v/>
      </c>
      <c r="F3686" s="28" t="str">
        <f aca="false">IF(OR($D3686="",$E3686=""),"",IFERROR($D3686*INDEX(Setup!$B$27:$B$44,MATCH($E3686,Setup!$A$27:$A$44,0)),"TBD"))</f>
        <v/>
      </c>
      <c r="G3686" s="32"/>
      <c r="H3686" s="32"/>
      <c r="I3686" s="32"/>
      <c r="J3686" s="32"/>
      <c r="K3686" s="35"/>
      <c r="L3686" s="32"/>
      <c r="M3686" s="32"/>
    </row>
    <row r="3687" customFormat="false" ht="15" hidden="false" customHeight="true" outlineLevel="0" collapsed="false">
      <c r="A3687" s="32"/>
      <c r="B3687" s="32"/>
      <c r="C3687" s="32"/>
      <c r="D3687" s="32"/>
      <c r="E3687" s="34" t="str">
        <f aca="false">IF($B3687="","",IF($B3687="OUT","Liters",IFERROR(INDEX(Setup!$F$3:$F$24,MATCH($C3687,Setup!$A$3:$A$24,0)),"")))</f>
        <v/>
      </c>
      <c r="F3687" s="28" t="str">
        <f aca="false">IF(OR($D3687="",$E3687=""),"",IFERROR($D3687*INDEX(Setup!$B$27:$B$44,MATCH($E3687,Setup!$A$27:$A$44,0)),"TBD"))</f>
        <v/>
      </c>
      <c r="G3687" s="32"/>
      <c r="H3687" s="32"/>
      <c r="I3687" s="32"/>
      <c r="J3687" s="32"/>
      <c r="K3687" s="35"/>
      <c r="L3687" s="32"/>
      <c r="M3687" s="32"/>
    </row>
    <row r="3688" customFormat="false" ht="15" hidden="false" customHeight="true" outlineLevel="0" collapsed="false">
      <c r="A3688" s="32"/>
      <c r="B3688" s="32"/>
      <c r="C3688" s="32"/>
      <c r="D3688" s="32"/>
      <c r="E3688" s="34" t="str">
        <f aca="false">IF($B3688="","",IF($B3688="OUT","Liters",IFERROR(INDEX(Setup!$F$3:$F$24,MATCH($C3688,Setup!$A$3:$A$24,0)),"")))</f>
        <v/>
      </c>
      <c r="F3688" s="28" t="str">
        <f aca="false">IF(OR($D3688="",$E3688=""),"",IFERROR($D3688*INDEX(Setup!$B$27:$B$44,MATCH($E3688,Setup!$A$27:$A$44,0)),"TBD"))</f>
        <v/>
      </c>
      <c r="G3688" s="32"/>
      <c r="H3688" s="32"/>
      <c r="I3688" s="32"/>
      <c r="J3688" s="32"/>
      <c r="K3688" s="35"/>
      <c r="L3688" s="32"/>
      <c r="M3688" s="32"/>
    </row>
    <row r="3689" customFormat="false" ht="15" hidden="false" customHeight="true" outlineLevel="0" collapsed="false">
      <c r="A3689" s="32"/>
      <c r="B3689" s="32"/>
      <c r="C3689" s="32"/>
      <c r="D3689" s="32"/>
      <c r="E3689" s="34" t="str">
        <f aca="false">IF($B3689="","",IF($B3689="OUT","Liters",IFERROR(INDEX(Setup!$F$3:$F$24,MATCH($C3689,Setup!$A$3:$A$24,0)),"")))</f>
        <v/>
      </c>
      <c r="F3689" s="28" t="str">
        <f aca="false">IF(OR($D3689="",$E3689=""),"",IFERROR($D3689*INDEX(Setup!$B$27:$B$44,MATCH($E3689,Setup!$A$27:$A$44,0)),"TBD"))</f>
        <v/>
      </c>
      <c r="G3689" s="32"/>
      <c r="H3689" s="32"/>
      <c r="I3689" s="32"/>
      <c r="J3689" s="32"/>
      <c r="K3689" s="35"/>
      <c r="L3689" s="32"/>
      <c r="M3689" s="32"/>
    </row>
    <row r="3690" customFormat="false" ht="15" hidden="false" customHeight="true" outlineLevel="0" collapsed="false">
      <c r="A3690" s="32"/>
      <c r="B3690" s="32"/>
      <c r="C3690" s="32"/>
      <c r="D3690" s="32"/>
      <c r="E3690" s="34" t="str">
        <f aca="false">IF($B3690="","",IF($B3690="OUT","Liters",IFERROR(INDEX(Setup!$F$3:$F$24,MATCH($C3690,Setup!$A$3:$A$24,0)),"")))</f>
        <v/>
      </c>
      <c r="F3690" s="28" t="str">
        <f aca="false">IF(OR($D3690="",$E3690=""),"",IFERROR($D3690*INDEX(Setup!$B$27:$B$44,MATCH($E3690,Setup!$A$27:$A$44,0)),"TBD"))</f>
        <v/>
      </c>
      <c r="G3690" s="32"/>
      <c r="H3690" s="32"/>
      <c r="I3690" s="32"/>
      <c r="J3690" s="32"/>
      <c r="K3690" s="35"/>
      <c r="L3690" s="32"/>
      <c r="M3690" s="32"/>
    </row>
    <row r="3691" customFormat="false" ht="15" hidden="false" customHeight="true" outlineLevel="0" collapsed="false">
      <c r="A3691" s="32"/>
      <c r="B3691" s="32"/>
      <c r="C3691" s="32"/>
      <c r="D3691" s="32"/>
      <c r="E3691" s="34" t="str">
        <f aca="false">IF($B3691="","",IF($B3691="OUT","Liters",IFERROR(INDEX(Setup!$F$3:$F$24,MATCH($C3691,Setup!$A$3:$A$24,0)),"")))</f>
        <v/>
      </c>
      <c r="F3691" s="28" t="str">
        <f aca="false">IF(OR($D3691="",$E3691=""),"",IFERROR($D3691*INDEX(Setup!$B$27:$B$44,MATCH($E3691,Setup!$A$27:$A$44,0)),"TBD"))</f>
        <v/>
      </c>
      <c r="G3691" s="32"/>
      <c r="H3691" s="32"/>
      <c r="I3691" s="32"/>
      <c r="J3691" s="32"/>
      <c r="K3691" s="35"/>
      <c r="L3691" s="32"/>
      <c r="M3691" s="32"/>
    </row>
    <row r="3692" customFormat="false" ht="15" hidden="false" customHeight="true" outlineLevel="0" collapsed="false">
      <c r="A3692" s="32"/>
      <c r="B3692" s="32"/>
      <c r="C3692" s="32"/>
      <c r="D3692" s="32"/>
      <c r="E3692" s="34" t="str">
        <f aca="false">IF($B3692="","",IF($B3692="OUT","Liters",IFERROR(INDEX(Setup!$F$3:$F$24,MATCH($C3692,Setup!$A$3:$A$24,0)),"")))</f>
        <v/>
      </c>
      <c r="F3692" s="28" t="str">
        <f aca="false">IF(OR($D3692="",$E3692=""),"",IFERROR($D3692*INDEX(Setup!$B$27:$B$44,MATCH($E3692,Setup!$A$27:$A$44,0)),"TBD"))</f>
        <v/>
      </c>
      <c r="G3692" s="32"/>
      <c r="H3692" s="32"/>
      <c r="I3692" s="32"/>
      <c r="J3692" s="32"/>
      <c r="K3692" s="35"/>
      <c r="L3692" s="32"/>
      <c r="M3692" s="32"/>
    </row>
    <row r="3693" customFormat="false" ht="15" hidden="false" customHeight="true" outlineLevel="0" collapsed="false">
      <c r="A3693" s="32"/>
      <c r="B3693" s="32"/>
      <c r="C3693" s="32"/>
      <c r="D3693" s="32"/>
      <c r="E3693" s="34" t="str">
        <f aca="false">IF($B3693="","",IF($B3693="OUT","Liters",IFERROR(INDEX(Setup!$F$3:$F$24,MATCH($C3693,Setup!$A$3:$A$24,0)),"")))</f>
        <v/>
      </c>
      <c r="F3693" s="28" t="str">
        <f aca="false">IF(OR($D3693="",$E3693=""),"",IFERROR($D3693*INDEX(Setup!$B$27:$B$44,MATCH($E3693,Setup!$A$27:$A$44,0)),"TBD"))</f>
        <v/>
      </c>
      <c r="G3693" s="32"/>
      <c r="H3693" s="32"/>
      <c r="I3693" s="32"/>
      <c r="J3693" s="32"/>
      <c r="K3693" s="35"/>
      <c r="L3693" s="32"/>
      <c r="M3693" s="32"/>
    </row>
    <row r="3694" customFormat="false" ht="15" hidden="false" customHeight="true" outlineLevel="0" collapsed="false">
      <c r="A3694" s="32"/>
      <c r="B3694" s="32"/>
      <c r="C3694" s="32"/>
      <c r="D3694" s="32"/>
      <c r="E3694" s="34" t="str">
        <f aca="false">IF($B3694="","",IF($B3694="OUT","Liters",IFERROR(INDEX(Setup!$F$3:$F$24,MATCH($C3694,Setup!$A$3:$A$24,0)),"")))</f>
        <v/>
      </c>
      <c r="F3694" s="28" t="str">
        <f aca="false">IF(OR($D3694="",$E3694=""),"",IFERROR($D3694*INDEX(Setup!$B$27:$B$44,MATCH($E3694,Setup!$A$27:$A$44,0)),"TBD"))</f>
        <v/>
      </c>
      <c r="G3694" s="32"/>
      <c r="H3694" s="32"/>
      <c r="I3694" s="32"/>
      <c r="J3694" s="32"/>
      <c r="K3694" s="35"/>
      <c r="L3694" s="32"/>
      <c r="M3694" s="32"/>
    </row>
    <row r="3695" customFormat="false" ht="15" hidden="false" customHeight="true" outlineLevel="0" collapsed="false">
      <c r="A3695" s="32"/>
      <c r="B3695" s="32"/>
      <c r="C3695" s="32"/>
      <c r="D3695" s="32"/>
      <c r="E3695" s="34" t="str">
        <f aca="false">IF($B3695="","",IF($B3695="OUT","Liters",IFERROR(INDEX(Setup!$F$3:$F$24,MATCH($C3695,Setup!$A$3:$A$24,0)),"")))</f>
        <v/>
      </c>
      <c r="F3695" s="28" t="str">
        <f aca="false">IF(OR($D3695="",$E3695=""),"",IFERROR($D3695*INDEX(Setup!$B$27:$B$44,MATCH($E3695,Setup!$A$27:$A$44,0)),"TBD"))</f>
        <v/>
      </c>
      <c r="G3695" s="32"/>
      <c r="H3695" s="32"/>
      <c r="I3695" s="32"/>
      <c r="J3695" s="32"/>
      <c r="K3695" s="35"/>
      <c r="L3695" s="32"/>
      <c r="M3695" s="32"/>
    </row>
    <row r="3696" customFormat="false" ht="15" hidden="false" customHeight="true" outlineLevel="0" collapsed="false">
      <c r="A3696" s="32"/>
      <c r="B3696" s="32"/>
      <c r="C3696" s="32"/>
      <c r="D3696" s="32"/>
      <c r="E3696" s="34" t="str">
        <f aca="false">IF($B3696="","",IF($B3696="OUT","Liters",IFERROR(INDEX(Setup!$F$3:$F$24,MATCH($C3696,Setup!$A$3:$A$24,0)),"")))</f>
        <v/>
      </c>
      <c r="F3696" s="28" t="str">
        <f aca="false">IF(OR($D3696="",$E3696=""),"",IFERROR($D3696*INDEX(Setup!$B$27:$B$44,MATCH($E3696,Setup!$A$27:$A$44,0)),"TBD"))</f>
        <v/>
      </c>
      <c r="G3696" s="32"/>
      <c r="H3696" s="32"/>
      <c r="I3696" s="32"/>
      <c r="J3696" s="32"/>
      <c r="K3696" s="35"/>
      <c r="L3696" s="32"/>
      <c r="M3696" s="32"/>
    </row>
    <row r="3697" customFormat="false" ht="15" hidden="false" customHeight="true" outlineLevel="0" collapsed="false">
      <c r="A3697" s="32"/>
      <c r="B3697" s="32"/>
      <c r="C3697" s="32"/>
      <c r="D3697" s="32"/>
      <c r="E3697" s="34" t="str">
        <f aca="false">IF($B3697="","",IF($B3697="OUT","Liters",IFERROR(INDEX(Setup!$F$3:$F$24,MATCH($C3697,Setup!$A$3:$A$24,0)),"")))</f>
        <v/>
      </c>
      <c r="F3697" s="28" t="str">
        <f aca="false">IF(OR($D3697="",$E3697=""),"",IFERROR($D3697*INDEX(Setup!$B$27:$B$44,MATCH($E3697,Setup!$A$27:$A$44,0)),"TBD"))</f>
        <v/>
      </c>
      <c r="G3697" s="32"/>
      <c r="H3697" s="32"/>
      <c r="I3697" s="32"/>
      <c r="J3697" s="32"/>
      <c r="K3697" s="35"/>
      <c r="L3697" s="32"/>
      <c r="M3697" s="32"/>
    </row>
    <row r="3698" customFormat="false" ht="15" hidden="false" customHeight="true" outlineLevel="0" collapsed="false">
      <c r="A3698" s="32"/>
      <c r="B3698" s="32"/>
      <c r="C3698" s="32"/>
      <c r="D3698" s="32"/>
      <c r="E3698" s="34" t="str">
        <f aca="false">IF($B3698="","",IF($B3698="OUT","Liters",IFERROR(INDEX(Setup!$F$3:$F$24,MATCH($C3698,Setup!$A$3:$A$24,0)),"")))</f>
        <v/>
      </c>
      <c r="F3698" s="28" t="str">
        <f aca="false">IF(OR($D3698="",$E3698=""),"",IFERROR($D3698*INDEX(Setup!$B$27:$B$44,MATCH($E3698,Setup!$A$27:$A$44,0)),"TBD"))</f>
        <v/>
      </c>
      <c r="G3698" s="32"/>
      <c r="H3698" s="32"/>
      <c r="I3698" s="32"/>
      <c r="J3698" s="32"/>
      <c r="K3698" s="35"/>
      <c r="L3698" s="32"/>
      <c r="M3698" s="32"/>
    </row>
    <row r="3699" customFormat="false" ht="15" hidden="false" customHeight="true" outlineLevel="0" collapsed="false">
      <c r="A3699" s="32"/>
      <c r="B3699" s="32"/>
      <c r="C3699" s="32"/>
      <c r="D3699" s="32"/>
      <c r="E3699" s="34" t="str">
        <f aca="false">IF($B3699="","",IF($B3699="OUT","Liters",IFERROR(INDEX(Setup!$F$3:$F$24,MATCH($C3699,Setup!$A$3:$A$24,0)),"")))</f>
        <v/>
      </c>
      <c r="F3699" s="28" t="str">
        <f aca="false">IF(OR($D3699="",$E3699=""),"",IFERROR($D3699*INDEX(Setup!$B$27:$B$44,MATCH($E3699,Setup!$A$27:$A$44,0)),"TBD"))</f>
        <v/>
      </c>
      <c r="G3699" s="32"/>
      <c r="H3699" s="32"/>
      <c r="I3699" s="32"/>
      <c r="J3699" s="32"/>
      <c r="K3699" s="35"/>
      <c r="L3699" s="32"/>
      <c r="M3699" s="32"/>
    </row>
    <row r="3700" customFormat="false" ht="15" hidden="false" customHeight="true" outlineLevel="0" collapsed="false">
      <c r="A3700" s="32"/>
      <c r="B3700" s="32"/>
      <c r="C3700" s="32"/>
      <c r="D3700" s="32"/>
      <c r="E3700" s="34" t="str">
        <f aca="false">IF($B3700="","",IF($B3700="OUT","Liters",IFERROR(INDEX(Setup!$F$3:$F$24,MATCH($C3700,Setup!$A$3:$A$24,0)),"")))</f>
        <v/>
      </c>
      <c r="F3700" s="28" t="str">
        <f aca="false">IF(OR($D3700="",$E3700=""),"",IFERROR($D3700*INDEX(Setup!$B$27:$B$44,MATCH($E3700,Setup!$A$27:$A$44,0)),"TBD"))</f>
        <v/>
      </c>
      <c r="G3700" s="32"/>
      <c r="H3700" s="32"/>
      <c r="I3700" s="32"/>
      <c r="J3700" s="32"/>
      <c r="K3700" s="35"/>
      <c r="L3700" s="32"/>
      <c r="M3700" s="32"/>
    </row>
    <row r="3701" customFormat="false" ht="15" hidden="false" customHeight="true" outlineLevel="0" collapsed="false">
      <c r="A3701" s="32"/>
      <c r="B3701" s="32"/>
      <c r="C3701" s="32"/>
      <c r="D3701" s="32"/>
      <c r="E3701" s="34" t="str">
        <f aca="false">IF($B3701="","",IF($B3701="OUT","Liters",IFERROR(INDEX(Setup!$F$3:$F$24,MATCH($C3701,Setup!$A$3:$A$24,0)),"")))</f>
        <v/>
      </c>
      <c r="F3701" s="28" t="str">
        <f aca="false">IF(OR($D3701="",$E3701=""),"",IFERROR($D3701*INDEX(Setup!$B$27:$B$44,MATCH($E3701,Setup!$A$27:$A$44,0)),"TBD"))</f>
        <v/>
      </c>
      <c r="G3701" s="32"/>
      <c r="H3701" s="32"/>
      <c r="I3701" s="32"/>
      <c r="J3701" s="32"/>
      <c r="K3701" s="35"/>
      <c r="L3701" s="32"/>
      <c r="M3701" s="32"/>
    </row>
    <row r="3702" customFormat="false" ht="15" hidden="false" customHeight="true" outlineLevel="0" collapsed="false">
      <c r="A3702" s="32"/>
      <c r="B3702" s="32"/>
      <c r="C3702" s="32"/>
      <c r="D3702" s="32"/>
      <c r="E3702" s="34" t="str">
        <f aca="false">IF($B3702="","",IF($B3702="OUT","Liters",IFERROR(INDEX(Setup!$F$3:$F$24,MATCH($C3702,Setup!$A$3:$A$24,0)),"")))</f>
        <v/>
      </c>
      <c r="F3702" s="28" t="str">
        <f aca="false">IF(OR($D3702="",$E3702=""),"",IFERROR($D3702*INDEX(Setup!$B$27:$B$44,MATCH($E3702,Setup!$A$27:$A$44,0)),"TBD"))</f>
        <v/>
      </c>
      <c r="G3702" s="32"/>
      <c r="H3702" s="32"/>
      <c r="I3702" s="32"/>
      <c r="J3702" s="32"/>
      <c r="K3702" s="35"/>
      <c r="L3702" s="32"/>
      <c r="M3702" s="32"/>
    </row>
    <row r="3703" customFormat="false" ht="15" hidden="false" customHeight="true" outlineLevel="0" collapsed="false">
      <c r="A3703" s="32"/>
      <c r="B3703" s="32"/>
      <c r="C3703" s="32"/>
      <c r="D3703" s="32"/>
      <c r="E3703" s="34" t="str">
        <f aca="false">IF($B3703="","",IF($B3703="OUT","Liters",IFERROR(INDEX(Setup!$F$3:$F$24,MATCH($C3703,Setup!$A$3:$A$24,0)),"")))</f>
        <v/>
      </c>
      <c r="F3703" s="28" t="str">
        <f aca="false">IF(OR($D3703="",$E3703=""),"",IFERROR($D3703*INDEX(Setup!$B$27:$B$44,MATCH($E3703,Setup!$A$27:$A$44,0)),"TBD"))</f>
        <v/>
      </c>
      <c r="G3703" s="32"/>
      <c r="H3703" s="32"/>
      <c r="I3703" s="32"/>
      <c r="J3703" s="32"/>
      <c r="K3703" s="35"/>
      <c r="L3703" s="32"/>
      <c r="M3703" s="32"/>
    </row>
    <row r="3704" customFormat="false" ht="15" hidden="false" customHeight="true" outlineLevel="0" collapsed="false">
      <c r="A3704" s="32"/>
      <c r="B3704" s="32"/>
      <c r="C3704" s="32"/>
      <c r="D3704" s="32"/>
      <c r="E3704" s="34" t="str">
        <f aca="false">IF($B3704="","",IF($B3704="OUT","Liters",IFERROR(INDEX(Setup!$F$3:$F$24,MATCH($C3704,Setup!$A$3:$A$24,0)),"")))</f>
        <v/>
      </c>
      <c r="F3704" s="28" t="str">
        <f aca="false">IF(OR($D3704="",$E3704=""),"",IFERROR($D3704*INDEX(Setup!$B$27:$B$44,MATCH($E3704,Setup!$A$27:$A$44,0)),"TBD"))</f>
        <v/>
      </c>
      <c r="G3704" s="32"/>
      <c r="H3704" s="32"/>
      <c r="I3704" s="32"/>
      <c r="J3704" s="32"/>
      <c r="K3704" s="35"/>
      <c r="L3704" s="32"/>
      <c r="M3704" s="32"/>
    </row>
    <row r="3705" customFormat="false" ht="15" hidden="false" customHeight="true" outlineLevel="0" collapsed="false">
      <c r="A3705" s="32"/>
      <c r="B3705" s="32"/>
      <c r="C3705" s="32"/>
      <c r="D3705" s="32"/>
      <c r="E3705" s="34" t="str">
        <f aca="false">IF($B3705="","",IF($B3705="OUT","Liters",IFERROR(INDEX(Setup!$F$3:$F$24,MATCH($C3705,Setup!$A$3:$A$24,0)),"")))</f>
        <v/>
      </c>
      <c r="F3705" s="28" t="str">
        <f aca="false">IF(OR($D3705="",$E3705=""),"",IFERROR($D3705*INDEX(Setup!$B$27:$B$44,MATCH($E3705,Setup!$A$27:$A$44,0)),"TBD"))</f>
        <v/>
      </c>
      <c r="G3705" s="32"/>
      <c r="H3705" s="32"/>
      <c r="I3705" s="32"/>
      <c r="J3705" s="32"/>
      <c r="K3705" s="35"/>
      <c r="L3705" s="32"/>
      <c r="M3705" s="32"/>
    </row>
    <row r="3706" customFormat="false" ht="15" hidden="false" customHeight="true" outlineLevel="0" collapsed="false">
      <c r="A3706" s="32"/>
      <c r="B3706" s="32"/>
      <c r="C3706" s="32"/>
      <c r="D3706" s="32"/>
      <c r="E3706" s="34" t="str">
        <f aca="false">IF($B3706="","",IF($B3706="OUT","Liters",IFERROR(INDEX(Setup!$F$3:$F$24,MATCH($C3706,Setup!$A$3:$A$24,0)),"")))</f>
        <v/>
      </c>
      <c r="F3706" s="28" t="str">
        <f aca="false">IF(OR($D3706="",$E3706=""),"",IFERROR($D3706*INDEX(Setup!$B$27:$B$44,MATCH($E3706,Setup!$A$27:$A$44,0)),"TBD"))</f>
        <v/>
      </c>
      <c r="G3706" s="32"/>
      <c r="H3706" s="32"/>
      <c r="I3706" s="32"/>
      <c r="J3706" s="32"/>
      <c r="K3706" s="35"/>
      <c r="L3706" s="32"/>
      <c r="M3706" s="32"/>
    </row>
    <row r="3707" customFormat="false" ht="15" hidden="false" customHeight="true" outlineLevel="0" collapsed="false">
      <c r="A3707" s="32"/>
      <c r="B3707" s="32"/>
      <c r="C3707" s="32"/>
      <c r="D3707" s="32"/>
      <c r="E3707" s="34" t="str">
        <f aca="false">IF($B3707="","",IF($B3707="OUT","Liters",IFERROR(INDEX(Setup!$F$3:$F$24,MATCH($C3707,Setup!$A$3:$A$24,0)),"")))</f>
        <v/>
      </c>
      <c r="F3707" s="28" t="str">
        <f aca="false">IF(OR($D3707="",$E3707=""),"",IFERROR($D3707*INDEX(Setup!$B$27:$B$44,MATCH($E3707,Setup!$A$27:$A$44,0)),"TBD"))</f>
        <v/>
      </c>
      <c r="G3707" s="32"/>
      <c r="H3707" s="32"/>
      <c r="I3707" s="32"/>
      <c r="J3707" s="32"/>
      <c r="K3707" s="35"/>
      <c r="L3707" s="32"/>
      <c r="M3707" s="32"/>
    </row>
    <row r="3708" customFormat="false" ht="15" hidden="false" customHeight="true" outlineLevel="0" collapsed="false">
      <c r="A3708" s="32"/>
      <c r="B3708" s="32"/>
      <c r="C3708" s="32"/>
      <c r="D3708" s="32"/>
      <c r="E3708" s="34" t="str">
        <f aca="false">IF($B3708="","",IF($B3708="OUT","Liters",IFERROR(INDEX(Setup!$F$3:$F$24,MATCH($C3708,Setup!$A$3:$A$24,0)),"")))</f>
        <v/>
      </c>
      <c r="F3708" s="28" t="str">
        <f aca="false">IF(OR($D3708="",$E3708=""),"",IFERROR($D3708*INDEX(Setup!$B$27:$B$44,MATCH($E3708,Setup!$A$27:$A$44,0)),"TBD"))</f>
        <v/>
      </c>
      <c r="G3708" s="32"/>
      <c r="H3708" s="32"/>
      <c r="I3708" s="32"/>
      <c r="J3708" s="32"/>
      <c r="K3708" s="35"/>
      <c r="L3708" s="32"/>
      <c r="M3708" s="32"/>
    </row>
    <row r="3709" customFormat="false" ht="15" hidden="false" customHeight="true" outlineLevel="0" collapsed="false">
      <c r="A3709" s="32"/>
      <c r="B3709" s="32"/>
      <c r="C3709" s="32"/>
      <c r="D3709" s="32"/>
      <c r="E3709" s="34" t="str">
        <f aca="false">IF($B3709="","",IF($B3709="OUT","Liters",IFERROR(INDEX(Setup!$F$3:$F$24,MATCH($C3709,Setup!$A$3:$A$24,0)),"")))</f>
        <v/>
      </c>
      <c r="F3709" s="28" t="str">
        <f aca="false">IF(OR($D3709="",$E3709=""),"",IFERROR($D3709*INDEX(Setup!$B$27:$B$44,MATCH($E3709,Setup!$A$27:$A$44,0)),"TBD"))</f>
        <v/>
      </c>
      <c r="G3709" s="32"/>
      <c r="H3709" s="32"/>
      <c r="I3709" s="32"/>
      <c r="J3709" s="32"/>
      <c r="K3709" s="35"/>
      <c r="L3709" s="32"/>
      <c r="M3709" s="32"/>
    </row>
    <row r="3710" customFormat="false" ht="15" hidden="false" customHeight="true" outlineLevel="0" collapsed="false">
      <c r="A3710" s="32"/>
      <c r="B3710" s="32"/>
      <c r="C3710" s="32"/>
      <c r="D3710" s="32"/>
      <c r="E3710" s="34" t="str">
        <f aca="false">IF($B3710="","",IF($B3710="OUT","Liters",IFERROR(INDEX(Setup!$F$3:$F$24,MATCH($C3710,Setup!$A$3:$A$24,0)),"")))</f>
        <v/>
      </c>
      <c r="F3710" s="28" t="str">
        <f aca="false">IF(OR($D3710="",$E3710=""),"",IFERROR($D3710*INDEX(Setup!$B$27:$B$44,MATCH($E3710,Setup!$A$27:$A$44,0)),"TBD"))</f>
        <v/>
      </c>
      <c r="G3710" s="32"/>
      <c r="H3710" s="32"/>
      <c r="I3710" s="32"/>
      <c r="J3710" s="32"/>
      <c r="K3710" s="35"/>
      <c r="L3710" s="32"/>
      <c r="M3710" s="32"/>
    </row>
    <row r="3711" customFormat="false" ht="15" hidden="false" customHeight="true" outlineLevel="0" collapsed="false">
      <c r="A3711" s="32"/>
      <c r="B3711" s="32"/>
      <c r="C3711" s="32"/>
      <c r="D3711" s="32"/>
      <c r="E3711" s="34" t="str">
        <f aca="false">IF($B3711="","",IF($B3711="OUT","Liters",IFERROR(INDEX(Setup!$F$3:$F$24,MATCH($C3711,Setup!$A$3:$A$24,0)),"")))</f>
        <v/>
      </c>
      <c r="F3711" s="28" t="str">
        <f aca="false">IF(OR($D3711="",$E3711=""),"",IFERROR($D3711*INDEX(Setup!$B$27:$B$44,MATCH($E3711,Setup!$A$27:$A$44,0)),"TBD"))</f>
        <v/>
      </c>
      <c r="G3711" s="32"/>
      <c r="H3711" s="32"/>
      <c r="I3711" s="32"/>
      <c r="J3711" s="32"/>
      <c r="K3711" s="35"/>
      <c r="L3711" s="32"/>
      <c r="M3711" s="32"/>
    </row>
    <row r="3712" customFormat="false" ht="15" hidden="false" customHeight="true" outlineLevel="0" collapsed="false">
      <c r="A3712" s="32"/>
      <c r="B3712" s="32"/>
      <c r="C3712" s="32"/>
      <c r="D3712" s="32"/>
      <c r="E3712" s="34" t="str">
        <f aca="false">IF($B3712="","",IF($B3712="OUT","Liters",IFERROR(INDEX(Setup!$F$3:$F$24,MATCH($C3712,Setup!$A$3:$A$24,0)),"")))</f>
        <v/>
      </c>
      <c r="F3712" s="28" t="str">
        <f aca="false">IF(OR($D3712="",$E3712=""),"",IFERROR($D3712*INDEX(Setup!$B$27:$B$44,MATCH($E3712,Setup!$A$27:$A$44,0)),"TBD"))</f>
        <v/>
      </c>
      <c r="G3712" s="32"/>
      <c r="H3712" s="32"/>
      <c r="I3712" s="32"/>
      <c r="J3712" s="32"/>
      <c r="K3712" s="35"/>
      <c r="L3712" s="32"/>
      <c r="M3712" s="32"/>
    </row>
    <row r="3713" customFormat="false" ht="15" hidden="false" customHeight="true" outlineLevel="0" collapsed="false">
      <c r="A3713" s="32"/>
      <c r="B3713" s="32"/>
      <c r="C3713" s="32"/>
      <c r="D3713" s="32"/>
      <c r="E3713" s="34" t="str">
        <f aca="false">IF($B3713="","",IF($B3713="OUT","Liters",IFERROR(INDEX(Setup!$F$3:$F$24,MATCH($C3713,Setup!$A$3:$A$24,0)),"")))</f>
        <v/>
      </c>
      <c r="F3713" s="28" t="str">
        <f aca="false">IF(OR($D3713="",$E3713=""),"",IFERROR($D3713*INDEX(Setup!$B$27:$B$44,MATCH($E3713,Setup!$A$27:$A$44,0)),"TBD"))</f>
        <v/>
      </c>
      <c r="G3713" s="32"/>
      <c r="H3713" s="32"/>
      <c r="I3713" s="32"/>
      <c r="J3713" s="32"/>
      <c r="K3713" s="35"/>
      <c r="L3713" s="32"/>
      <c r="M3713" s="32"/>
    </row>
    <row r="3714" customFormat="false" ht="15" hidden="false" customHeight="true" outlineLevel="0" collapsed="false">
      <c r="A3714" s="32"/>
      <c r="B3714" s="32"/>
      <c r="C3714" s="32"/>
      <c r="D3714" s="32"/>
      <c r="E3714" s="34" t="str">
        <f aca="false">IF($B3714="","",IF($B3714="OUT","Liters",IFERROR(INDEX(Setup!$F$3:$F$24,MATCH($C3714,Setup!$A$3:$A$24,0)),"")))</f>
        <v/>
      </c>
      <c r="F3714" s="28" t="str">
        <f aca="false">IF(OR($D3714="",$E3714=""),"",IFERROR($D3714*INDEX(Setup!$B$27:$B$44,MATCH($E3714,Setup!$A$27:$A$44,0)),"TBD"))</f>
        <v/>
      </c>
      <c r="G3714" s="32"/>
      <c r="H3714" s="32"/>
      <c r="I3714" s="32"/>
      <c r="J3714" s="32"/>
      <c r="K3714" s="35"/>
      <c r="L3714" s="32"/>
      <c r="M3714" s="32"/>
    </row>
    <row r="3715" customFormat="false" ht="15" hidden="false" customHeight="true" outlineLevel="0" collapsed="false">
      <c r="A3715" s="32"/>
      <c r="B3715" s="32"/>
      <c r="C3715" s="32"/>
      <c r="D3715" s="32"/>
      <c r="E3715" s="34" t="str">
        <f aca="false">IF($B3715="","",IF($B3715="OUT","Liters",IFERROR(INDEX(Setup!$F$3:$F$24,MATCH($C3715,Setup!$A$3:$A$24,0)),"")))</f>
        <v/>
      </c>
      <c r="F3715" s="28" t="str">
        <f aca="false">IF(OR($D3715="",$E3715=""),"",IFERROR($D3715*INDEX(Setup!$B$27:$B$44,MATCH($E3715,Setup!$A$27:$A$44,0)),"TBD"))</f>
        <v/>
      </c>
      <c r="G3715" s="32"/>
      <c r="H3715" s="32"/>
      <c r="I3715" s="32"/>
      <c r="J3715" s="32"/>
      <c r="K3715" s="35"/>
      <c r="L3715" s="32"/>
      <c r="M3715" s="32"/>
    </row>
    <row r="3716" customFormat="false" ht="15" hidden="false" customHeight="true" outlineLevel="0" collapsed="false">
      <c r="A3716" s="32"/>
      <c r="B3716" s="32"/>
      <c r="C3716" s="32"/>
      <c r="D3716" s="32"/>
      <c r="E3716" s="34" t="str">
        <f aca="false">IF($B3716="","",IF($B3716="OUT","Liters",IFERROR(INDEX(Setup!$F$3:$F$24,MATCH($C3716,Setup!$A$3:$A$24,0)),"")))</f>
        <v/>
      </c>
      <c r="F3716" s="28" t="str">
        <f aca="false">IF(OR($D3716="",$E3716=""),"",IFERROR($D3716*INDEX(Setup!$B$27:$B$44,MATCH($E3716,Setup!$A$27:$A$44,0)),"TBD"))</f>
        <v/>
      </c>
      <c r="G3716" s="32"/>
      <c r="H3716" s="32"/>
      <c r="I3716" s="32"/>
      <c r="J3716" s="32"/>
      <c r="K3716" s="35"/>
      <c r="L3716" s="32"/>
      <c r="M3716" s="32"/>
    </row>
    <row r="3717" customFormat="false" ht="15" hidden="false" customHeight="true" outlineLevel="0" collapsed="false">
      <c r="A3717" s="32"/>
      <c r="B3717" s="32"/>
      <c r="C3717" s="32"/>
      <c r="D3717" s="32"/>
      <c r="E3717" s="34" t="str">
        <f aca="false">IF($B3717="","",IF($B3717="OUT","Liters",IFERROR(INDEX(Setup!$F$3:$F$24,MATCH($C3717,Setup!$A$3:$A$24,0)),"")))</f>
        <v/>
      </c>
      <c r="F3717" s="28" t="str">
        <f aca="false">IF(OR($D3717="",$E3717=""),"",IFERROR($D3717*INDEX(Setup!$B$27:$B$44,MATCH($E3717,Setup!$A$27:$A$44,0)),"TBD"))</f>
        <v/>
      </c>
      <c r="G3717" s="32"/>
      <c r="H3717" s="32"/>
      <c r="I3717" s="32"/>
      <c r="J3717" s="32"/>
      <c r="K3717" s="35"/>
      <c r="L3717" s="32"/>
      <c r="M3717" s="32"/>
    </row>
    <row r="3718" customFormat="false" ht="15" hidden="false" customHeight="true" outlineLevel="0" collapsed="false">
      <c r="A3718" s="32"/>
      <c r="B3718" s="32"/>
      <c r="C3718" s="32"/>
      <c r="D3718" s="32"/>
      <c r="E3718" s="34" t="str">
        <f aca="false">IF($B3718="","",IF($B3718="OUT","Liters",IFERROR(INDEX(Setup!$F$3:$F$24,MATCH($C3718,Setup!$A$3:$A$24,0)),"")))</f>
        <v/>
      </c>
      <c r="F3718" s="28" t="str">
        <f aca="false">IF(OR($D3718="",$E3718=""),"",IFERROR($D3718*INDEX(Setup!$B$27:$B$44,MATCH($E3718,Setup!$A$27:$A$44,0)),"TBD"))</f>
        <v/>
      </c>
      <c r="G3718" s="32"/>
      <c r="H3718" s="32"/>
      <c r="I3718" s="32"/>
      <c r="J3718" s="32"/>
      <c r="K3718" s="35"/>
      <c r="L3718" s="32"/>
      <c r="M3718" s="32"/>
    </row>
    <row r="3719" customFormat="false" ht="15" hidden="false" customHeight="true" outlineLevel="0" collapsed="false">
      <c r="A3719" s="32"/>
      <c r="B3719" s="32"/>
      <c r="C3719" s="32"/>
      <c r="D3719" s="32"/>
      <c r="E3719" s="34" t="str">
        <f aca="false">IF($B3719="","",IF($B3719="OUT","Liters",IFERROR(INDEX(Setup!$F$3:$F$24,MATCH($C3719,Setup!$A$3:$A$24,0)),"")))</f>
        <v/>
      </c>
      <c r="F3719" s="28" t="str">
        <f aca="false">IF(OR($D3719="",$E3719=""),"",IFERROR($D3719*INDEX(Setup!$B$27:$B$44,MATCH($E3719,Setup!$A$27:$A$44,0)),"TBD"))</f>
        <v/>
      </c>
      <c r="G3719" s="32"/>
      <c r="H3719" s="32"/>
      <c r="I3719" s="32"/>
      <c r="J3719" s="32"/>
      <c r="K3719" s="35"/>
      <c r="L3719" s="32"/>
      <c r="M3719" s="32"/>
    </row>
    <row r="3720" customFormat="false" ht="15" hidden="false" customHeight="true" outlineLevel="0" collapsed="false">
      <c r="A3720" s="32"/>
      <c r="B3720" s="32"/>
      <c r="C3720" s="32"/>
      <c r="D3720" s="32"/>
      <c r="E3720" s="34" t="str">
        <f aca="false">IF($B3720="","",IF($B3720="OUT","Liters",IFERROR(INDEX(Setup!$F$3:$F$24,MATCH($C3720,Setup!$A$3:$A$24,0)),"")))</f>
        <v/>
      </c>
      <c r="F3720" s="28" t="str">
        <f aca="false">IF(OR($D3720="",$E3720=""),"",IFERROR($D3720*INDEX(Setup!$B$27:$B$44,MATCH($E3720,Setup!$A$27:$A$44,0)),"TBD"))</f>
        <v/>
      </c>
      <c r="G3720" s="32"/>
      <c r="H3720" s="32"/>
      <c r="I3720" s="32"/>
      <c r="J3720" s="32"/>
      <c r="K3720" s="35"/>
      <c r="L3720" s="32"/>
      <c r="M3720" s="32"/>
    </row>
    <row r="3721" customFormat="false" ht="15" hidden="false" customHeight="true" outlineLevel="0" collapsed="false">
      <c r="A3721" s="32"/>
      <c r="B3721" s="32"/>
      <c r="C3721" s="32"/>
      <c r="D3721" s="32"/>
      <c r="E3721" s="34" t="str">
        <f aca="false">IF($B3721="","",IF($B3721="OUT","Liters",IFERROR(INDEX(Setup!$F$3:$F$24,MATCH($C3721,Setup!$A$3:$A$24,0)),"")))</f>
        <v/>
      </c>
      <c r="F3721" s="28" t="str">
        <f aca="false">IF(OR($D3721="",$E3721=""),"",IFERROR($D3721*INDEX(Setup!$B$27:$B$44,MATCH($E3721,Setup!$A$27:$A$44,0)),"TBD"))</f>
        <v/>
      </c>
      <c r="G3721" s="32"/>
      <c r="H3721" s="32"/>
      <c r="I3721" s="32"/>
      <c r="J3721" s="32"/>
      <c r="K3721" s="35"/>
      <c r="L3721" s="32"/>
      <c r="M3721" s="32"/>
    </row>
    <row r="3722" customFormat="false" ht="15" hidden="false" customHeight="true" outlineLevel="0" collapsed="false">
      <c r="A3722" s="32"/>
      <c r="B3722" s="32"/>
      <c r="C3722" s="32"/>
      <c r="D3722" s="32"/>
      <c r="E3722" s="34" t="str">
        <f aca="false">IF($B3722="","",IF($B3722="OUT","Liters",IFERROR(INDEX(Setup!$F$3:$F$24,MATCH($C3722,Setup!$A$3:$A$24,0)),"")))</f>
        <v/>
      </c>
      <c r="F3722" s="28" t="str">
        <f aca="false">IF(OR($D3722="",$E3722=""),"",IFERROR($D3722*INDEX(Setup!$B$27:$B$44,MATCH($E3722,Setup!$A$27:$A$44,0)),"TBD"))</f>
        <v/>
      </c>
      <c r="G3722" s="32"/>
      <c r="H3722" s="32"/>
      <c r="I3722" s="32"/>
      <c r="J3722" s="32"/>
      <c r="K3722" s="35"/>
      <c r="L3722" s="32"/>
      <c r="M3722" s="32"/>
    </row>
    <row r="3723" customFormat="false" ht="15" hidden="false" customHeight="true" outlineLevel="0" collapsed="false">
      <c r="A3723" s="32"/>
      <c r="B3723" s="32"/>
      <c r="C3723" s="32"/>
      <c r="D3723" s="32"/>
      <c r="E3723" s="34" t="str">
        <f aca="false">IF($B3723="","",IF($B3723="OUT","Liters",IFERROR(INDEX(Setup!$F$3:$F$24,MATCH($C3723,Setup!$A$3:$A$24,0)),"")))</f>
        <v/>
      </c>
      <c r="F3723" s="28" t="str">
        <f aca="false">IF(OR($D3723="",$E3723=""),"",IFERROR($D3723*INDEX(Setup!$B$27:$B$44,MATCH($E3723,Setup!$A$27:$A$44,0)),"TBD"))</f>
        <v/>
      </c>
      <c r="G3723" s="32"/>
      <c r="H3723" s="32"/>
      <c r="I3723" s="32"/>
      <c r="J3723" s="32"/>
      <c r="K3723" s="35"/>
      <c r="L3723" s="32"/>
      <c r="M3723" s="32"/>
    </row>
    <row r="3724" customFormat="false" ht="15" hidden="false" customHeight="true" outlineLevel="0" collapsed="false">
      <c r="A3724" s="32"/>
      <c r="B3724" s="32"/>
      <c r="C3724" s="32"/>
      <c r="D3724" s="32"/>
      <c r="E3724" s="34" t="str">
        <f aca="false">IF($B3724="","",IF($B3724="OUT","Liters",IFERROR(INDEX(Setup!$F$3:$F$24,MATCH($C3724,Setup!$A$3:$A$24,0)),"")))</f>
        <v/>
      </c>
      <c r="F3724" s="28" t="str">
        <f aca="false">IF(OR($D3724="",$E3724=""),"",IFERROR($D3724*INDEX(Setup!$B$27:$B$44,MATCH($E3724,Setup!$A$27:$A$44,0)),"TBD"))</f>
        <v/>
      </c>
      <c r="G3724" s="32"/>
      <c r="H3724" s="32"/>
      <c r="I3724" s="32"/>
      <c r="J3724" s="32"/>
      <c r="K3724" s="35"/>
      <c r="L3724" s="32"/>
      <c r="M3724" s="32"/>
    </row>
    <row r="3725" customFormat="false" ht="15" hidden="false" customHeight="true" outlineLevel="0" collapsed="false">
      <c r="A3725" s="32"/>
      <c r="B3725" s="32"/>
      <c r="C3725" s="32"/>
      <c r="D3725" s="32"/>
      <c r="E3725" s="34" t="str">
        <f aca="false">IF($B3725="","",IF($B3725="OUT","Liters",IFERROR(INDEX(Setup!$F$3:$F$24,MATCH($C3725,Setup!$A$3:$A$24,0)),"")))</f>
        <v/>
      </c>
      <c r="F3725" s="28" t="str">
        <f aca="false">IF(OR($D3725="",$E3725=""),"",IFERROR($D3725*INDEX(Setup!$B$27:$B$44,MATCH($E3725,Setup!$A$27:$A$44,0)),"TBD"))</f>
        <v/>
      </c>
      <c r="G3725" s="32"/>
      <c r="H3725" s="32"/>
      <c r="I3725" s="32"/>
      <c r="J3725" s="32"/>
      <c r="K3725" s="35"/>
      <c r="L3725" s="32"/>
      <c r="M3725" s="32"/>
    </row>
    <row r="3726" customFormat="false" ht="15" hidden="false" customHeight="true" outlineLevel="0" collapsed="false">
      <c r="A3726" s="32"/>
      <c r="B3726" s="32"/>
      <c r="C3726" s="32"/>
      <c r="D3726" s="32"/>
      <c r="E3726" s="34" t="str">
        <f aca="false">IF($B3726="","",IF($B3726="OUT","Liters",IFERROR(INDEX(Setup!$F$3:$F$24,MATCH($C3726,Setup!$A$3:$A$24,0)),"")))</f>
        <v/>
      </c>
      <c r="F3726" s="28" t="str">
        <f aca="false">IF(OR($D3726="",$E3726=""),"",IFERROR($D3726*INDEX(Setup!$B$27:$B$44,MATCH($E3726,Setup!$A$27:$A$44,0)),"TBD"))</f>
        <v/>
      </c>
      <c r="G3726" s="32"/>
      <c r="H3726" s="32"/>
      <c r="I3726" s="32"/>
      <c r="J3726" s="32"/>
      <c r="K3726" s="35"/>
      <c r="L3726" s="32"/>
      <c r="M3726" s="32"/>
    </row>
    <row r="3727" customFormat="false" ht="15" hidden="false" customHeight="true" outlineLevel="0" collapsed="false">
      <c r="A3727" s="32"/>
      <c r="B3727" s="32"/>
      <c r="C3727" s="32"/>
      <c r="D3727" s="32"/>
      <c r="E3727" s="34" t="str">
        <f aca="false">IF($B3727="","",IF($B3727="OUT","Liters",IFERROR(INDEX(Setup!$F$3:$F$24,MATCH($C3727,Setup!$A$3:$A$24,0)),"")))</f>
        <v/>
      </c>
      <c r="F3727" s="28" t="str">
        <f aca="false">IF(OR($D3727="",$E3727=""),"",IFERROR($D3727*INDEX(Setup!$B$27:$B$44,MATCH($E3727,Setup!$A$27:$A$44,0)),"TBD"))</f>
        <v/>
      </c>
      <c r="G3727" s="32"/>
      <c r="H3727" s="32"/>
      <c r="I3727" s="32"/>
      <c r="J3727" s="32"/>
      <c r="K3727" s="35"/>
      <c r="L3727" s="32"/>
      <c r="M3727" s="32"/>
    </row>
    <row r="3728" customFormat="false" ht="15" hidden="false" customHeight="true" outlineLevel="0" collapsed="false">
      <c r="A3728" s="32"/>
      <c r="B3728" s="32"/>
      <c r="C3728" s="32"/>
      <c r="D3728" s="32"/>
      <c r="E3728" s="34" t="str">
        <f aca="false">IF($B3728="","",IF($B3728="OUT","Liters",IFERROR(INDEX(Setup!$F$3:$F$24,MATCH($C3728,Setup!$A$3:$A$24,0)),"")))</f>
        <v/>
      </c>
      <c r="F3728" s="28" t="str">
        <f aca="false">IF(OR($D3728="",$E3728=""),"",IFERROR($D3728*INDEX(Setup!$B$27:$B$44,MATCH($E3728,Setup!$A$27:$A$44,0)),"TBD"))</f>
        <v/>
      </c>
      <c r="G3728" s="32"/>
      <c r="H3728" s="32"/>
      <c r="I3728" s="32"/>
      <c r="J3728" s="32"/>
      <c r="K3728" s="35"/>
      <c r="L3728" s="32"/>
      <c r="M3728" s="32"/>
    </row>
    <row r="3729" customFormat="false" ht="15" hidden="false" customHeight="true" outlineLevel="0" collapsed="false">
      <c r="A3729" s="32"/>
      <c r="B3729" s="32"/>
      <c r="C3729" s="32"/>
      <c r="D3729" s="32"/>
      <c r="E3729" s="34" t="str">
        <f aca="false">IF($B3729="","",IF($B3729="OUT","Liters",IFERROR(INDEX(Setup!$F$3:$F$24,MATCH($C3729,Setup!$A$3:$A$24,0)),"")))</f>
        <v/>
      </c>
      <c r="F3729" s="28" t="str">
        <f aca="false">IF(OR($D3729="",$E3729=""),"",IFERROR($D3729*INDEX(Setup!$B$27:$B$44,MATCH($E3729,Setup!$A$27:$A$44,0)),"TBD"))</f>
        <v/>
      </c>
      <c r="G3729" s="32"/>
      <c r="H3729" s="32"/>
      <c r="I3729" s="32"/>
      <c r="J3729" s="32"/>
      <c r="K3729" s="35"/>
      <c r="L3729" s="32"/>
      <c r="M3729" s="32"/>
    </row>
    <row r="3730" customFormat="false" ht="15" hidden="false" customHeight="true" outlineLevel="0" collapsed="false">
      <c r="A3730" s="32"/>
      <c r="B3730" s="32"/>
      <c r="C3730" s="32"/>
      <c r="D3730" s="32"/>
      <c r="E3730" s="34" t="str">
        <f aca="false">IF($B3730="","",IF($B3730="OUT","Liters",IFERROR(INDEX(Setup!$F$3:$F$24,MATCH($C3730,Setup!$A$3:$A$24,0)),"")))</f>
        <v/>
      </c>
      <c r="F3730" s="28" t="str">
        <f aca="false">IF(OR($D3730="",$E3730=""),"",IFERROR($D3730*INDEX(Setup!$B$27:$B$44,MATCH($E3730,Setup!$A$27:$A$44,0)),"TBD"))</f>
        <v/>
      </c>
      <c r="G3730" s="32"/>
      <c r="H3730" s="32"/>
      <c r="I3730" s="32"/>
      <c r="J3730" s="32"/>
      <c r="K3730" s="35"/>
      <c r="L3730" s="32"/>
      <c r="M3730" s="32"/>
    </row>
    <row r="3731" customFormat="false" ht="15" hidden="false" customHeight="true" outlineLevel="0" collapsed="false">
      <c r="A3731" s="32"/>
      <c r="B3731" s="32"/>
      <c r="C3731" s="32"/>
      <c r="D3731" s="32"/>
      <c r="E3731" s="34" t="str">
        <f aca="false">IF($B3731="","",IF($B3731="OUT","Liters",IFERROR(INDEX(Setup!$F$3:$F$24,MATCH($C3731,Setup!$A$3:$A$24,0)),"")))</f>
        <v/>
      </c>
      <c r="F3731" s="28" t="str">
        <f aca="false">IF(OR($D3731="",$E3731=""),"",IFERROR($D3731*INDEX(Setup!$B$27:$B$44,MATCH($E3731,Setup!$A$27:$A$44,0)),"TBD"))</f>
        <v/>
      </c>
      <c r="G3731" s="32"/>
      <c r="H3731" s="32"/>
      <c r="I3731" s="32"/>
      <c r="J3731" s="32"/>
      <c r="K3731" s="35"/>
      <c r="L3731" s="32"/>
      <c r="M3731" s="32"/>
    </row>
    <row r="3732" customFormat="false" ht="15" hidden="false" customHeight="true" outlineLevel="0" collapsed="false">
      <c r="A3732" s="32"/>
      <c r="B3732" s="32"/>
      <c r="C3732" s="32"/>
      <c r="D3732" s="32"/>
      <c r="E3732" s="34" t="str">
        <f aca="false">IF($B3732="","",IF($B3732="OUT","Liters",IFERROR(INDEX(Setup!$F$3:$F$24,MATCH($C3732,Setup!$A$3:$A$24,0)),"")))</f>
        <v/>
      </c>
      <c r="F3732" s="28" t="str">
        <f aca="false">IF(OR($D3732="",$E3732=""),"",IFERROR($D3732*INDEX(Setup!$B$27:$B$44,MATCH($E3732,Setup!$A$27:$A$44,0)),"TBD"))</f>
        <v/>
      </c>
      <c r="G3732" s="32"/>
      <c r="H3732" s="32"/>
      <c r="I3732" s="32"/>
      <c r="J3732" s="32"/>
      <c r="K3732" s="35"/>
      <c r="L3732" s="32"/>
      <c r="M3732" s="32"/>
    </row>
    <row r="3733" customFormat="false" ht="15" hidden="false" customHeight="true" outlineLevel="0" collapsed="false">
      <c r="A3733" s="32"/>
      <c r="B3733" s="32"/>
      <c r="C3733" s="32"/>
      <c r="D3733" s="32"/>
      <c r="E3733" s="34" t="str">
        <f aca="false">IF($B3733="","",IF($B3733="OUT","Liters",IFERROR(INDEX(Setup!$F$3:$F$24,MATCH($C3733,Setup!$A$3:$A$24,0)),"")))</f>
        <v/>
      </c>
      <c r="F3733" s="28" t="str">
        <f aca="false">IF(OR($D3733="",$E3733=""),"",IFERROR($D3733*INDEX(Setup!$B$27:$B$44,MATCH($E3733,Setup!$A$27:$A$44,0)),"TBD"))</f>
        <v/>
      </c>
      <c r="G3733" s="32"/>
      <c r="H3733" s="32"/>
      <c r="I3733" s="32"/>
      <c r="J3733" s="32"/>
      <c r="K3733" s="35"/>
      <c r="L3733" s="32"/>
      <c r="M3733" s="32"/>
    </row>
    <row r="3734" customFormat="false" ht="15" hidden="false" customHeight="true" outlineLevel="0" collapsed="false">
      <c r="A3734" s="32"/>
      <c r="B3734" s="32"/>
      <c r="C3734" s="32"/>
      <c r="D3734" s="32"/>
      <c r="E3734" s="34" t="str">
        <f aca="false">IF($B3734="","",IF($B3734="OUT","Liters",IFERROR(INDEX(Setup!$F$3:$F$24,MATCH($C3734,Setup!$A$3:$A$24,0)),"")))</f>
        <v/>
      </c>
      <c r="F3734" s="28" t="str">
        <f aca="false">IF(OR($D3734="",$E3734=""),"",IFERROR($D3734*INDEX(Setup!$B$27:$B$44,MATCH($E3734,Setup!$A$27:$A$44,0)),"TBD"))</f>
        <v/>
      </c>
      <c r="G3734" s="32"/>
      <c r="H3734" s="32"/>
      <c r="I3734" s="32"/>
      <c r="J3734" s="32"/>
      <c r="K3734" s="35"/>
      <c r="L3734" s="32"/>
      <c r="M3734" s="32"/>
    </row>
    <row r="3735" customFormat="false" ht="15" hidden="false" customHeight="true" outlineLevel="0" collapsed="false">
      <c r="A3735" s="32"/>
      <c r="B3735" s="32"/>
      <c r="C3735" s="32"/>
      <c r="D3735" s="32"/>
      <c r="E3735" s="34" t="str">
        <f aca="false">IF($B3735="","",IF($B3735="OUT","Liters",IFERROR(INDEX(Setup!$F$3:$F$24,MATCH($C3735,Setup!$A$3:$A$24,0)),"")))</f>
        <v/>
      </c>
      <c r="F3735" s="28" t="str">
        <f aca="false">IF(OR($D3735="",$E3735=""),"",IFERROR($D3735*INDEX(Setup!$B$27:$B$44,MATCH($E3735,Setup!$A$27:$A$44,0)),"TBD"))</f>
        <v/>
      </c>
      <c r="G3735" s="32"/>
      <c r="H3735" s="32"/>
      <c r="I3735" s="32"/>
      <c r="J3735" s="32"/>
      <c r="K3735" s="35"/>
      <c r="L3735" s="32"/>
      <c r="M3735" s="32"/>
    </row>
    <row r="3736" customFormat="false" ht="15" hidden="false" customHeight="true" outlineLevel="0" collapsed="false">
      <c r="A3736" s="32"/>
      <c r="B3736" s="32"/>
      <c r="C3736" s="32"/>
      <c r="D3736" s="32"/>
      <c r="E3736" s="34" t="str">
        <f aca="false">IF($B3736="","",IF($B3736="OUT","Liters",IFERROR(INDEX(Setup!$F$3:$F$24,MATCH($C3736,Setup!$A$3:$A$24,0)),"")))</f>
        <v/>
      </c>
      <c r="F3736" s="28" t="str">
        <f aca="false">IF(OR($D3736="",$E3736=""),"",IFERROR($D3736*INDEX(Setup!$B$27:$B$44,MATCH($E3736,Setup!$A$27:$A$44,0)),"TBD"))</f>
        <v/>
      </c>
      <c r="G3736" s="32"/>
      <c r="H3736" s="32"/>
      <c r="I3736" s="32"/>
      <c r="J3736" s="32"/>
      <c r="K3736" s="35"/>
      <c r="L3736" s="32"/>
      <c r="M3736" s="32"/>
    </row>
    <row r="3737" customFormat="false" ht="15" hidden="false" customHeight="true" outlineLevel="0" collapsed="false">
      <c r="A3737" s="32"/>
      <c r="B3737" s="32"/>
      <c r="C3737" s="32"/>
      <c r="D3737" s="32"/>
      <c r="E3737" s="34" t="str">
        <f aca="false">IF($B3737="","",IF($B3737="OUT","Liters",IFERROR(INDEX(Setup!$F$3:$F$24,MATCH($C3737,Setup!$A$3:$A$24,0)),"")))</f>
        <v/>
      </c>
      <c r="F3737" s="28" t="str">
        <f aca="false">IF(OR($D3737="",$E3737=""),"",IFERROR($D3737*INDEX(Setup!$B$27:$B$44,MATCH($E3737,Setup!$A$27:$A$44,0)),"TBD"))</f>
        <v/>
      </c>
      <c r="G3737" s="32"/>
      <c r="H3737" s="32"/>
      <c r="I3737" s="32"/>
      <c r="J3737" s="32"/>
      <c r="K3737" s="35"/>
      <c r="L3737" s="32"/>
      <c r="M3737" s="32"/>
    </row>
    <row r="3738" customFormat="false" ht="15" hidden="false" customHeight="true" outlineLevel="0" collapsed="false">
      <c r="A3738" s="32"/>
      <c r="B3738" s="32"/>
      <c r="C3738" s="32"/>
      <c r="D3738" s="32"/>
      <c r="E3738" s="34" t="str">
        <f aca="false">IF($B3738="","",IF($B3738="OUT","Liters",IFERROR(INDEX(Setup!$F$3:$F$24,MATCH($C3738,Setup!$A$3:$A$24,0)),"")))</f>
        <v/>
      </c>
      <c r="F3738" s="28" t="str">
        <f aca="false">IF(OR($D3738="",$E3738=""),"",IFERROR($D3738*INDEX(Setup!$B$27:$B$44,MATCH($E3738,Setup!$A$27:$A$44,0)),"TBD"))</f>
        <v/>
      </c>
      <c r="G3738" s="32"/>
      <c r="H3738" s="32"/>
      <c r="I3738" s="32"/>
      <c r="J3738" s="32"/>
      <c r="K3738" s="35"/>
      <c r="L3738" s="32"/>
      <c r="M3738" s="32"/>
    </row>
    <row r="3739" customFormat="false" ht="15" hidden="false" customHeight="true" outlineLevel="0" collapsed="false">
      <c r="A3739" s="32"/>
      <c r="B3739" s="32"/>
      <c r="C3739" s="32"/>
      <c r="D3739" s="32"/>
      <c r="E3739" s="34" t="str">
        <f aca="false">IF($B3739="","",IF($B3739="OUT","Liters",IFERROR(INDEX(Setup!$F$3:$F$24,MATCH($C3739,Setup!$A$3:$A$24,0)),"")))</f>
        <v/>
      </c>
      <c r="F3739" s="28" t="str">
        <f aca="false">IF(OR($D3739="",$E3739=""),"",IFERROR($D3739*INDEX(Setup!$B$27:$B$44,MATCH($E3739,Setup!$A$27:$A$44,0)),"TBD"))</f>
        <v/>
      </c>
      <c r="G3739" s="32"/>
      <c r="H3739" s="32"/>
      <c r="I3739" s="32"/>
      <c r="J3739" s="32"/>
      <c r="K3739" s="35"/>
      <c r="L3739" s="32"/>
      <c r="M3739" s="32"/>
    </row>
    <row r="3740" customFormat="false" ht="15" hidden="false" customHeight="true" outlineLevel="0" collapsed="false">
      <c r="A3740" s="32"/>
      <c r="B3740" s="32"/>
      <c r="C3740" s="32"/>
      <c r="D3740" s="32"/>
      <c r="E3740" s="34" t="str">
        <f aca="false">IF($B3740="","",IF($B3740="OUT","Liters",IFERROR(INDEX(Setup!$F$3:$F$24,MATCH($C3740,Setup!$A$3:$A$24,0)),"")))</f>
        <v/>
      </c>
      <c r="F3740" s="28" t="str">
        <f aca="false">IF(OR($D3740="",$E3740=""),"",IFERROR($D3740*INDEX(Setup!$B$27:$B$44,MATCH($E3740,Setup!$A$27:$A$44,0)),"TBD"))</f>
        <v/>
      </c>
      <c r="G3740" s="32"/>
      <c r="H3740" s="32"/>
      <c r="I3740" s="32"/>
      <c r="J3740" s="32"/>
      <c r="K3740" s="35"/>
      <c r="L3740" s="32"/>
      <c r="M3740" s="32"/>
    </row>
    <row r="3741" customFormat="false" ht="15" hidden="false" customHeight="true" outlineLevel="0" collapsed="false">
      <c r="A3741" s="32"/>
      <c r="B3741" s="32"/>
      <c r="C3741" s="32"/>
      <c r="D3741" s="32"/>
      <c r="E3741" s="34" t="str">
        <f aca="false">IF($B3741="","",IF($B3741="OUT","Liters",IFERROR(INDEX(Setup!$F$3:$F$24,MATCH($C3741,Setup!$A$3:$A$24,0)),"")))</f>
        <v/>
      </c>
      <c r="F3741" s="28" t="str">
        <f aca="false">IF(OR($D3741="",$E3741=""),"",IFERROR($D3741*INDEX(Setup!$B$27:$B$44,MATCH($E3741,Setup!$A$27:$A$44,0)),"TBD"))</f>
        <v/>
      </c>
      <c r="G3741" s="32"/>
      <c r="H3741" s="32"/>
      <c r="I3741" s="32"/>
      <c r="J3741" s="32"/>
      <c r="K3741" s="35"/>
      <c r="L3741" s="32"/>
      <c r="M3741" s="32"/>
    </row>
    <row r="3742" customFormat="false" ht="15" hidden="false" customHeight="true" outlineLevel="0" collapsed="false">
      <c r="A3742" s="32"/>
      <c r="B3742" s="32"/>
      <c r="C3742" s="32"/>
      <c r="D3742" s="32"/>
      <c r="E3742" s="34" t="str">
        <f aca="false">IF($B3742="","",IF($B3742="OUT","Liters",IFERROR(INDEX(Setup!$F$3:$F$24,MATCH($C3742,Setup!$A$3:$A$24,0)),"")))</f>
        <v/>
      </c>
      <c r="F3742" s="28" t="str">
        <f aca="false">IF(OR($D3742="",$E3742=""),"",IFERROR($D3742*INDEX(Setup!$B$27:$B$44,MATCH($E3742,Setup!$A$27:$A$44,0)),"TBD"))</f>
        <v/>
      </c>
      <c r="G3742" s="32"/>
      <c r="H3742" s="32"/>
      <c r="I3742" s="32"/>
      <c r="J3742" s="32"/>
      <c r="K3742" s="35"/>
      <c r="L3742" s="32"/>
      <c r="M3742" s="32"/>
    </row>
    <row r="3743" customFormat="false" ht="15" hidden="false" customHeight="true" outlineLevel="0" collapsed="false">
      <c r="A3743" s="32"/>
      <c r="B3743" s="32"/>
      <c r="C3743" s="32"/>
      <c r="D3743" s="32"/>
      <c r="E3743" s="34" t="str">
        <f aca="false">IF($B3743="","",IF($B3743="OUT","Liters",IFERROR(INDEX(Setup!$F$3:$F$24,MATCH($C3743,Setup!$A$3:$A$24,0)),"")))</f>
        <v/>
      </c>
      <c r="F3743" s="28" t="str">
        <f aca="false">IF(OR($D3743="",$E3743=""),"",IFERROR($D3743*INDEX(Setup!$B$27:$B$44,MATCH($E3743,Setup!$A$27:$A$44,0)),"TBD"))</f>
        <v/>
      </c>
      <c r="G3743" s="32"/>
      <c r="H3743" s="32"/>
      <c r="I3743" s="32"/>
      <c r="J3743" s="32"/>
      <c r="K3743" s="35"/>
      <c r="L3743" s="32"/>
      <c r="M3743" s="32"/>
    </row>
    <row r="3744" customFormat="false" ht="15" hidden="false" customHeight="true" outlineLevel="0" collapsed="false">
      <c r="A3744" s="32"/>
      <c r="B3744" s="32"/>
      <c r="C3744" s="32"/>
      <c r="D3744" s="32"/>
      <c r="E3744" s="34" t="str">
        <f aca="false">IF($B3744="","",IF($B3744="OUT","Liters",IFERROR(INDEX(Setup!$F$3:$F$24,MATCH($C3744,Setup!$A$3:$A$24,0)),"")))</f>
        <v/>
      </c>
      <c r="F3744" s="28" t="str">
        <f aca="false">IF(OR($D3744="",$E3744=""),"",IFERROR($D3744*INDEX(Setup!$B$27:$B$44,MATCH($E3744,Setup!$A$27:$A$44,0)),"TBD"))</f>
        <v/>
      </c>
      <c r="G3744" s="32"/>
      <c r="H3744" s="32"/>
      <c r="I3744" s="32"/>
      <c r="J3744" s="32"/>
      <c r="K3744" s="35"/>
      <c r="L3744" s="32"/>
      <c r="M3744" s="32"/>
    </row>
    <row r="3745" customFormat="false" ht="15" hidden="false" customHeight="true" outlineLevel="0" collapsed="false">
      <c r="A3745" s="32"/>
      <c r="B3745" s="32"/>
      <c r="C3745" s="32"/>
      <c r="D3745" s="32"/>
      <c r="E3745" s="34" t="str">
        <f aca="false">IF($B3745="","",IF($B3745="OUT","Liters",IFERROR(INDEX(Setup!$F$3:$F$24,MATCH($C3745,Setup!$A$3:$A$24,0)),"")))</f>
        <v/>
      </c>
      <c r="F3745" s="28" t="str">
        <f aca="false">IF(OR($D3745="",$E3745=""),"",IFERROR($D3745*INDEX(Setup!$B$27:$B$44,MATCH($E3745,Setup!$A$27:$A$44,0)),"TBD"))</f>
        <v/>
      </c>
      <c r="G3745" s="32"/>
      <c r="H3745" s="32"/>
      <c r="I3745" s="32"/>
      <c r="J3745" s="32"/>
      <c r="K3745" s="35"/>
      <c r="L3745" s="32"/>
      <c r="M3745" s="32"/>
    </row>
    <row r="3746" customFormat="false" ht="15" hidden="false" customHeight="true" outlineLevel="0" collapsed="false">
      <c r="A3746" s="32"/>
      <c r="B3746" s="32"/>
      <c r="C3746" s="32"/>
      <c r="D3746" s="32"/>
      <c r="E3746" s="34" t="str">
        <f aca="false">IF($B3746="","",IF($B3746="OUT","Liters",IFERROR(INDEX(Setup!$F$3:$F$24,MATCH($C3746,Setup!$A$3:$A$24,0)),"")))</f>
        <v/>
      </c>
      <c r="F3746" s="28" t="str">
        <f aca="false">IF(OR($D3746="",$E3746=""),"",IFERROR($D3746*INDEX(Setup!$B$27:$B$44,MATCH($E3746,Setup!$A$27:$A$44,0)),"TBD"))</f>
        <v/>
      </c>
      <c r="G3746" s="32"/>
      <c r="H3746" s="32"/>
      <c r="I3746" s="32"/>
      <c r="J3746" s="32"/>
      <c r="K3746" s="35"/>
      <c r="L3746" s="32"/>
      <c r="M3746" s="32"/>
    </row>
    <row r="3747" customFormat="false" ht="15" hidden="false" customHeight="true" outlineLevel="0" collapsed="false">
      <c r="A3747" s="32"/>
      <c r="B3747" s="32"/>
      <c r="C3747" s="32"/>
      <c r="D3747" s="32"/>
      <c r="E3747" s="34" t="str">
        <f aca="false">IF($B3747="","",IF($B3747="OUT","Liters",IFERROR(INDEX(Setup!$F$3:$F$24,MATCH($C3747,Setup!$A$3:$A$24,0)),"")))</f>
        <v/>
      </c>
      <c r="F3747" s="28" t="str">
        <f aca="false">IF(OR($D3747="",$E3747=""),"",IFERROR($D3747*INDEX(Setup!$B$27:$B$44,MATCH($E3747,Setup!$A$27:$A$44,0)),"TBD"))</f>
        <v/>
      </c>
      <c r="G3747" s="32"/>
      <c r="H3747" s="32"/>
      <c r="I3747" s="32"/>
      <c r="J3747" s="32"/>
      <c r="K3747" s="35"/>
      <c r="L3747" s="32"/>
      <c r="M3747" s="32"/>
    </row>
    <row r="3748" customFormat="false" ht="15" hidden="false" customHeight="true" outlineLevel="0" collapsed="false">
      <c r="A3748" s="32"/>
      <c r="B3748" s="32"/>
      <c r="C3748" s="32"/>
      <c r="D3748" s="32"/>
      <c r="E3748" s="34" t="str">
        <f aca="false">IF($B3748="","",IF($B3748="OUT","Liters",IFERROR(INDEX(Setup!$F$3:$F$24,MATCH($C3748,Setup!$A$3:$A$24,0)),"")))</f>
        <v/>
      </c>
      <c r="F3748" s="28" t="str">
        <f aca="false">IF(OR($D3748="",$E3748=""),"",IFERROR($D3748*INDEX(Setup!$B$27:$B$44,MATCH($E3748,Setup!$A$27:$A$44,0)),"TBD"))</f>
        <v/>
      </c>
      <c r="G3748" s="32"/>
      <c r="H3748" s="32"/>
      <c r="I3748" s="32"/>
      <c r="J3748" s="32"/>
      <c r="K3748" s="35"/>
      <c r="L3748" s="32"/>
      <c r="M3748" s="32"/>
    </row>
    <row r="3749" customFormat="false" ht="15" hidden="false" customHeight="true" outlineLevel="0" collapsed="false">
      <c r="A3749" s="32"/>
      <c r="B3749" s="32"/>
      <c r="C3749" s="32"/>
      <c r="D3749" s="32"/>
      <c r="E3749" s="34" t="str">
        <f aca="false">IF($B3749="","",IF($B3749="OUT","Liters",IFERROR(INDEX(Setup!$F$3:$F$24,MATCH($C3749,Setup!$A$3:$A$24,0)),"")))</f>
        <v/>
      </c>
      <c r="F3749" s="28" t="str">
        <f aca="false">IF(OR($D3749="",$E3749=""),"",IFERROR($D3749*INDEX(Setup!$B$27:$B$44,MATCH($E3749,Setup!$A$27:$A$44,0)),"TBD"))</f>
        <v/>
      </c>
      <c r="G3749" s="32"/>
      <c r="H3749" s="32"/>
      <c r="I3749" s="32"/>
      <c r="J3749" s="32"/>
      <c r="K3749" s="35"/>
      <c r="L3749" s="32"/>
      <c r="M3749" s="32"/>
    </row>
    <row r="3750" customFormat="false" ht="15" hidden="false" customHeight="true" outlineLevel="0" collapsed="false">
      <c r="A3750" s="32"/>
      <c r="B3750" s="32"/>
      <c r="C3750" s="32"/>
      <c r="D3750" s="32"/>
      <c r="E3750" s="34" t="str">
        <f aca="false">IF($B3750="","",IF($B3750="OUT","Liters",IFERROR(INDEX(Setup!$F$3:$F$24,MATCH($C3750,Setup!$A$3:$A$24,0)),"")))</f>
        <v/>
      </c>
      <c r="F3750" s="28" t="str">
        <f aca="false">IF(OR($D3750="",$E3750=""),"",IFERROR($D3750*INDEX(Setup!$B$27:$B$44,MATCH($E3750,Setup!$A$27:$A$44,0)),"TBD"))</f>
        <v/>
      </c>
      <c r="G3750" s="32"/>
      <c r="H3750" s="32"/>
      <c r="I3750" s="32"/>
      <c r="J3750" s="32"/>
      <c r="K3750" s="35"/>
      <c r="L3750" s="32"/>
      <c r="M3750" s="32"/>
    </row>
    <row r="3751" customFormat="false" ht="15" hidden="false" customHeight="true" outlineLevel="0" collapsed="false">
      <c r="A3751" s="32"/>
      <c r="B3751" s="32"/>
      <c r="C3751" s="32"/>
      <c r="D3751" s="32"/>
      <c r="E3751" s="34" t="str">
        <f aca="false">IF($B3751="","",IF($B3751="OUT","Liters",IFERROR(INDEX(Setup!$F$3:$F$24,MATCH($C3751,Setup!$A$3:$A$24,0)),"")))</f>
        <v/>
      </c>
      <c r="F3751" s="28" t="str">
        <f aca="false">IF(OR($D3751="",$E3751=""),"",IFERROR($D3751*INDEX(Setup!$B$27:$B$44,MATCH($E3751,Setup!$A$27:$A$44,0)),"TBD"))</f>
        <v/>
      </c>
      <c r="G3751" s="32"/>
      <c r="H3751" s="32"/>
      <c r="I3751" s="32"/>
      <c r="J3751" s="32"/>
      <c r="K3751" s="35"/>
      <c r="L3751" s="32"/>
      <c r="M3751" s="32"/>
    </row>
    <row r="3752" customFormat="false" ht="15" hidden="false" customHeight="true" outlineLevel="0" collapsed="false">
      <c r="A3752" s="32"/>
      <c r="B3752" s="32"/>
      <c r="C3752" s="32"/>
      <c r="D3752" s="32"/>
      <c r="E3752" s="34" t="str">
        <f aca="false">IF($B3752="","",IF($B3752="OUT","Liters",IFERROR(INDEX(Setup!$F$3:$F$24,MATCH($C3752,Setup!$A$3:$A$24,0)),"")))</f>
        <v/>
      </c>
      <c r="F3752" s="28" t="str">
        <f aca="false">IF(OR($D3752="",$E3752=""),"",IFERROR($D3752*INDEX(Setup!$B$27:$B$44,MATCH($E3752,Setup!$A$27:$A$44,0)),"TBD"))</f>
        <v/>
      </c>
      <c r="G3752" s="32"/>
      <c r="H3752" s="32"/>
      <c r="I3752" s="32"/>
      <c r="J3752" s="32"/>
      <c r="K3752" s="35"/>
      <c r="L3752" s="32"/>
      <c r="M3752" s="32"/>
    </row>
    <row r="3753" customFormat="false" ht="15" hidden="false" customHeight="true" outlineLevel="0" collapsed="false">
      <c r="A3753" s="32"/>
      <c r="B3753" s="32"/>
      <c r="C3753" s="32"/>
      <c r="D3753" s="32"/>
      <c r="E3753" s="34" t="str">
        <f aca="false">IF($B3753="","",IF($B3753="OUT","Liters",IFERROR(INDEX(Setup!$F$3:$F$24,MATCH($C3753,Setup!$A$3:$A$24,0)),"")))</f>
        <v/>
      </c>
      <c r="F3753" s="28" t="str">
        <f aca="false">IF(OR($D3753="",$E3753=""),"",IFERROR($D3753*INDEX(Setup!$B$27:$B$44,MATCH($E3753,Setup!$A$27:$A$44,0)),"TBD"))</f>
        <v/>
      </c>
      <c r="G3753" s="32"/>
      <c r="H3753" s="32"/>
      <c r="I3753" s="32"/>
      <c r="J3753" s="32"/>
      <c r="K3753" s="35"/>
      <c r="L3753" s="32"/>
      <c r="M3753" s="32"/>
    </row>
    <row r="3754" customFormat="false" ht="15" hidden="false" customHeight="true" outlineLevel="0" collapsed="false">
      <c r="A3754" s="32"/>
      <c r="B3754" s="32"/>
      <c r="C3754" s="32"/>
      <c r="D3754" s="32"/>
      <c r="E3754" s="34" t="str">
        <f aca="false">IF($B3754="","",IF($B3754="OUT","Liters",IFERROR(INDEX(Setup!$F$3:$F$24,MATCH($C3754,Setup!$A$3:$A$24,0)),"")))</f>
        <v/>
      </c>
      <c r="F3754" s="28" t="str">
        <f aca="false">IF(OR($D3754="",$E3754=""),"",IFERROR($D3754*INDEX(Setup!$B$27:$B$44,MATCH($E3754,Setup!$A$27:$A$44,0)),"TBD"))</f>
        <v/>
      </c>
      <c r="G3754" s="32"/>
      <c r="H3754" s="32"/>
      <c r="I3754" s="32"/>
      <c r="J3754" s="32"/>
      <c r="K3754" s="35"/>
      <c r="L3754" s="32"/>
      <c r="M3754" s="32"/>
    </row>
    <row r="3755" customFormat="false" ht="15" hidden="false" customHeight="true" outlineLevel="0" collapsed="false">
      <c r="A3755" s="32"/>
      <c r="B3755" s="32"/>
      <c r="C3755" s="32"/>
      <c r="D3755" s="32"/>
      <c r="E3755" s="34" t="str">
        <f aca="false">IF($B3755="","",IF($B3755="OUT","Liters",IFERROR(INDEX(Setup!$F$3:$F$24,MATCH($C3755,Setup!$A$3:$A$24,0)),"")))</f>
        <v/>
      </c>
      <c r="F3755" s="28" t="str">
        <f aca="false">IF(OR($D3755="",$E3755=""),"",IFERROR($D3755*INDEX(Setup!$B$27:$B$44,MATCH($E3755,Setup!$A$27:$A$44,0)),"TBD"))</f>
        <v/>
      </c>
      <c r="G3755" s="32"/>
      <c r="H3755" s="32"/>
      <c r="I3755" s="32"/>
      <c r="J3755" s="32"/>
      <c r="K3755" s="35"/>
      <c r="L3755" s="32"/>
      <c r="M3755" s="32"/>
    </row>
    <row r="3756" customFormat="false" ht="15" hidden="false" customHeight="true" outlineLevel="0" collapsed="false">
      <c r="A3756" s="32"/>
      <c r="B3756" s="32"/>
      <c r="C3756" s="32"/>
      <c r="D3756" s="32"/>
      <c r="E3756" s="34" t="str">
        <f aca="false">IF($B3756="","",IF($B3756="OUT","Liters",IFERROR(INDEX(Setup!$F$3:$F$24,MATCH($C3756,Setup!$A$3:$A$24,0)),"")))</f>
        <v/>
      </c>
      <c r="F3756" s="28" t="str">
        <f aca="false">IF(OR($D3756="",$E3756=""),"",IFERROR($D3756*INDEX(Setup!$B$27:$B$44,MATCH($E3756,Setup!$A$27:$A$44,0)),"TBD"))</f>
        <v/>
      </c>
      <c r="G3756" s="32"/>
      <c r="H3756" s="32"/>
      <c r="I3756" s="32"/>
      <c r="J3756" s="32"/>
      <c r="K3756" s="35"/>
      <c r="L3756" s="32"/>
      <c r="M3756" s="32"/>
    </row>
    <row r="3757" customFormat="false" ht="15" hidden="false" customHeight="true" outlineLevel="0" collapsed="false">
      <c r="A3757" s="32"/>
      <c r="B3757" s="32"/>
      <c r="C3757" s="32"/>
      <c r="D3757" s="32"/>
      <c r="E3757" s="34" t="str">
        <f aca="false">IF($B3757="","",IF($B3757="OUT","Liters",IFERROR(INDEX(Setup!$F$3:$F$24,MATCH($C3757,Setup!$A$3:$A$24,0)),"")))</f>
        <v/>
      </c>
      <c r="F3757" s="28" t="str">
        <f aca="false">IF(OR($D3757="",$E3757=""),"",IFERROR($D3757*INDEX(Setup!$B$27:$B$44,MATCH($E3757,Setup!$A$27:$A$44,0)),"TBD"))</f>
        <v/>
      </c>
      <c r="G3757" s="32"/>
      <c r="H3757" s="32"/>
      <c r="I3757" s="32"/>
      <c r="J3757" s="32"/>
      <c r="K3757" s="35"/>
      <c r="L3757" s="32"/>
      <c r="M3757" s="32"/>
    </row>
    <row r="3758" customFormat="false" ht="15" hidden="false" customHeight="true" outlineLevel="0" collapsed="false">
      <c r="A3758" s="32"/>
      <c r="B3758" s="32"/>
      <c r="C3758" s="32"/>
      <c r="D3758" s="32"/>
      <c r="E3758" s="34" t="str">
        <f aca="false">IF($B3758="","",IF($B3758="OUT","Liters",IFERROR(INDEX(Setup!$F$3:$F$24,MATCH($C3758,Setup!$A$3:$A$24,0)),"")))</f>
        <v/>
      </c>
      <c r="F3758" s="28" t="str">
        <f aca="false">IF(OR($D3758="",$E3758=""),"",IFERROR($D3758*INDEX(Setup!$B$27:$B$44,MATCH($E3758,Setup!$A$27:$A$44,0)),"TBD"))</f>
        <v/>
      </c>
      <c r="G3758" s="32"/>
      <c r="H3758" s="32"/>
      <c r="I3758" s="32"/>
      <c r="J3758" s="32"/>
      <c r="K3758" s="35"/>
      <c r="L3758" s="32"/>
      <c r="M3758" s="32"/>
    </row>
    <row r="3759" customFormat="false" ht="15" hidden="false" customHeight="true" outlineLevel="0" collapsed="false">
      <c r="A3759" s="32"/>
      <c r="B3759" s="32"/>
      <c r="C3759" s="32"/>
      <c r="D3759" s="32"/>
      <c r="E3759" s="34" t="str">
        <f aca="false">IF($B3759="","",IF($B3759="OUT","Liters",IFERROR(INDEX(Setup!$F$3:$F$24,MATCH($C3759,Setup!$A$3:$A$24,0)),"")))</f>
        <v/>
      </c>
      <c r="F3759" s="28" t="str">
        <f aca="false">IF(OR($D3759="",$E3759=""),"",IFERROR($D3759*INDEX(Setup!$B$27:$B$44,MATCH($E3759,Setup!$A$27:$A$44,0)),"TBD"))</f>
        <v/>
      </c>
      <c r="G3759" s="32"/>
      <c r="H3759" s="32"/>
      <c r="I3759" s="32"/>
      <c r="J3759" s="32"/>
      <c r="K3759" s="35"/>
      <c r="L3759" s="32"/>
      <c r="M3759" s="32"/>
    </row>
    <row r="3760" customFormat="false" ht="15" hidden="false" customHeight="true" outlineLevel="0" collapsed="false">
      <c r="A3760" s="32"/>
      <c r="B3760" s="32"/>
      <c r="C3760" s="32"/>
      <c r="D3760" s="32"/>
      <c r="E3760" s="34" t="str">
        <f aca="false">IF($B3760="","",IF($B3760="OUT","Liters",IFERROR(INDEX(Setup!$F$3:$F$24,MATCH($C3760,Setup!$A$3:$A$24,0)),"")))</f>
        <v/>
      </c>
      <c r="F3760" s="28" t="str">
        <f aca="false">IF(OR($D3760="",$E3760=""),"",IFERROR($D3760*INDEX(Setup!$B$27:$B$44,MATCH($E3760,Setup!$A$27:$A$44,0)),"TBD"))</f>
        <v/>
      </c>
      <c r="G3760" s="32"/>
      <c r="H3760" s="32"/>
      <c r="I3760" s="32"/>
      <c r="J3760" s="32"/>
      <c r="K3760" s="35"/>
      <c r="L3760" s="32"/>
      <c r="M3760" s="32"/>
    </row>
    <row r="3761" customFormat="false" ht="15" hidden="false" customHeight="true" outlineLevel="0" collapsed="false">
      <c r="A3761" s="32"/>
      <c r="B3761" s="32"/>
      <c r="C3761" s="32"/>
      <c r="D3761" s="32"/>
      <c r="E3761" s="34" t="str">
        <f aca="false">IF($B3761="","",IF($B3761="OUT","Liters",IFERROR(INDEX(Setup!$F$3:$F$24,MATCH($C3761,Setup!$A$3:$A$24,0)),"")))</f>
        <v/>
      </c>
      <c r="F3761" s="28" t="str">
        <f aca="false">IF(OR($D3761="",$E3761=""),"",IFERROR($D3761*INDEX(Setup!$B$27:$B$44,MATCH($E3761,Setup!$A$27:$A$44,0)),"TBD"))</f>
        <v/>
      </c>
      <c r="G3761" s="32"/>
      <c r="H3761" s="32"/>
      <c r="I3761" s="32"/>
      <c r="J3761" s="32"/>
      <c r="K3761" s="35"/>
      <c r="L3761" s="32"/>
      <c r="M3761" s="32"/>
    </row>
    <row r="3762" customFormat="false" ht="15" hidden="false" customHeight="true" outlineLevel="0" collapsed="false">
      <c r="A3762" s="32"/>
      <c r="B3762" s="32"/>
      <c r="C3762" s="32"/>
      <c r="D3762" s="32"/>
      <c r="E3762" s="34" t="str">
        <f aca="false">IF($B3762="","",IF($B3762="OUT","Liters",IFERROR(INDEX(Setup!$F$3:$F$24,MATCH($C3762,Setup!$A$3:$A$24,0)),"")))</f>
        <v/>
      </c>
      <c r="F3762" s="28" t="str">
        <f aca="false">IF(OR($D3762="",$E3762=""),"",IFERROR($D3762*INDEX(Setup!$B$27:$B$44,MATCH($E3762,Setup!$A$27:$A$44,0)),"TBD"))</f>
        <v/>
      </c>
      <c r="G3762" s="32"/>
      <c r="H3762" s="32"/>
      <c r="I3762" s="32"/>
      <c r="J3762" s="32"/>
      <c r="K3762" s="35"/>
      <c r="L3762" s="32"/>
      <c r="M3762" s="32"/>
    </row>
    <row r="3763" customFormat="false" ht="15" hidden="false" customHeight="true" outlineLevel="0" collapsed="false">
      <c r="A3763" s="32"/>
      <c r="B3763" s="32"/>
      <c r="C3763" s="32"/>
      <c r="D3763" s="32"/>
      <c r="E3763" s="34" t="str">
        <f aca="false">IF($B3763="","",IF($B3763="OUT","Liters",IFERROR(INDEX(Setup!$F$3:$F$24,MATCH($C3763,Setup!$A$3:$A$24,0)),"")))</f>
        <v/>
      </c>
      <c r="F3763" s="28" t="str">
        <f aca="false">IF(OR($D3763="",$E3763=""),"",IFERROR($D3763*INDEX(Setup!$B$27:$B$44,MATCH($E3763,Setup!$A$27:$A$44,0)),"TBD"))</f>
        <v/>
      </c>
      <c r="G3763" s="32"/>
      <c r="H3763" s="32"/>
      <c r="I3763" s="32"/>
      <c r="J3763" s="32"/>
      <c r="K3763" s="35"/>
      <c r="L3763" s="32"/>
      <c r="M3763" s="32"/>
    </row>
    <row r="3764" customFormat="false" ht="15" hidden="false" customHeight="true" outlineLevel="0" collapsed="false">
      <c r="A3764" s="32"/>
      <c r="B3764" s="32"/>
      <c r="C3764" s="32"/>
      <c r="D3764" s="32"/>
      <c r="E3764" s="34" t="str">
        <f aca="false">IF($B3764="","",IF($B3764="OUT","Liters",IFERROR(INDEX(Setup!$F$3:$F$24,MATCH($C3764,Setup!$A$3:$A$24,0)),"")))</f>
        <v/>
      </c>
      <c r="F3764" s="28" t="str">
        <f aca="false">IF(OR($D3764="",$E3764=""),"",IFERROR($D3764*INDEX(Setup!$B$27:$B$44,MATCH($E3764,Setup!$A$27:$A$44,0)),"TBD"))</f>
        <v/>
      </c>
      <c r="G3764" s="32"/>
      <c r="H3764" s="32"/>
      <c r="I3764" s="32"/>
      <c r="J3764" s="32"/>
      <c r="K3764" s="35"/>
      <c r="L3764" s="32"/>
      <c r="M3764" s="32"/>
    </row>
    <row r="3765" customFormat="false" ht="15" hidden="false" customHeight="true" outlineLevel="0" collapsed="false">
      <c r="A3765" s="32"/>
      <c r="B3765" s="32"/>
      <c r="C3765" s="32"/>
      <c r="D3765" s="32"/>
      <c r="E3765" s="34" t="str">
        <f aca="false">IF($B3765="","",IF($B3765="OUT","Liters",IFERROR(INDEX(Setup!$F$3:$F$24,MATCH($C3765,Setup!$A$3:$A$24,0)),"")))</f>
        <v/>
      </c>
      <c r="F3765" s="28" t="str">
        <f aca="false">IF(OR($D3765="",$E3765=""),"",IFERROR($D3765*INDEX(Setup!$B$27:$B$44,MATCH($E3765,Setup!$A$27:$A$44,0)),"TBD"))</f>
        <v/>
      </c>
      <c r="G3765" s="32"/>
      <c r="H3765" s="32"/>
      <c r="I3765" s="32"/>
      <c r="J3765" s="32"/>
      <c r="K3765" s="35"/>
      <c r="L3765" s="32"/>
      <c r="M3765" s="32"/>
    </row>
    <row r="3766" customFormat="false" ht="15" hidden="false" customHeight="true" outlineLevel="0" collapsed="false">
      <c r="A3766" s="32"/>
      <c r="B3766" s="32"/>
      <c r="C3766" s="32"/>
      <c r="D3766" s="32"/>
      <c r="E3766" s="34" t="str">
        <f aca="false">IF($B3766="","",IF($B3766="OUT","Liters",IFERROR(INDEX(Setup!$F$3:$F$24,MATCH($C3766,Setup!$A$3:$A$24,0)),"")))</f>
        <v/>
      </c>
      <c r="F3766" s="28" t="str">
        <f aca="false">IF(OR($D3766="",$E3766=""),"",IFERROR($D3766*INDEX(Setup!$B$27:$B$44,MATCH($E3766,Setup!$A$27:$A$44,0)),"TBD"))</f>
        <v/>
      </c>
      <c r="G3766" s="32"/>
      <c r="H3766" s="32"/>
      <c r="I3766" s="32"/>
      <c r="J3766" s="32"/>
      <c r="K3766" s="35"/>
      <c r="L3766" s="32"/>
      <c r="M3766" s="32"/>
    </row>
    <row r="3767" customFormat="false" ht="15" hidden="false" customHeight="true" outlineLevel="0" collapsed="false">
      <c r="A3767" s="32"/>
      <c r="B3767" s="32"/>
      <c r="C3767" s="32"/>
      <c r="D3767" s="32"/>
      <c r="E3767" s="34" t="str">
        <f aca="false">IF($B3767="","",IF($B3767="OUT","Liters",IFERROR(INDEX(Setup!$F$3:$F$24,MATCH($C3767,Setup!$A$3:$A$24,0)),"")))</f>
        <v/>
      </c>
      <c r="F3767" s="28" t="str">
        <f aca="false">IF(OR($D3767="",$E3767=""),"",IFERROR($D3767*INDEX(Setup!$B$27:$B$44,MATCH($E3767,Setup!$A$27:$A$44,0)),"TBD"))</f>
        <v/>
      </c>
      <c r="G3767" s="32"/>
      <c r="H3767" s="32"/>
      <c r="I3767" s="32"/>
      <c r="J3767" s="32"/>
      <c r="K3767" s="35"/>
      <c r="L3767" s="32"/>
      <c r="M3767" s="32"/>
    </row>
    <row r="3768" customFormat="false" ht="15" hidden="false" customHeight="true" outlineLevel="0" collapsed="false">
      <c r="A3768" s="32"/>
      <c r="B3768" s="32"/>
      <c r="C3768" s="32"/>
      <c r="D3768" s="32"/>
      <c r="E3768" s="34" t="str">
        <f aca="false">IF($B3768="","",IF($B3768="OUT","Liters",IFERROR(INDEX(Setup!$F$3:$F$24,MATCH($C3768,Setup!$A$3:$A$24,0)),"")))</f>
        <v/>
      </c>
      <c r="F3768" s="28" t="str">
        <f aca="false">IF(OR($D3768="",$E3768=""),"",IFERROR($D3768*INDEX(Setup!$B$27:$B$44,MATCH($E3768,Setup!$A$27:$A$44,0)),"TBD"))</f>
        <v/>
      </c>
      <c r="G3768" s="32"/>
      <c r="H3768" s="32"/>
      <c r="I3768" s="32"/>
      <c r="J3768" s="32"/>
      <c r="K3768" s="35"/>
      <c r="L3768" s="32"/>
      <c r="M3768" s="32"/>
    </row>
    <row r="3769" customFormat="false" ht="15" hidden="false" customHeight="true" outlineLevel="0" collapsed="false">
      <c r="A3769" s="32"/>
      <c r="B3769" s="32"/>
      <c r="C3769" s="32"/>
      <c r="D3769" s="32"/>
      <c r="E3769" s="34" t="str">
        <f aca="false">IF($B3769="","",IF($B3769="OUT","Liters",IFERROR(INDEX(Setup!$F$3:$F$24,MATCH($C3769,Setup!$A$3:$A$24,0)),"")))</f>
        <v/>
      </c>
      <c r="F3769" s="28" t="str">
        <f aca="false">IF(OR($D3769="",$E3769=""),"",IFERROR($D3769*INDEX(Setup!$B$27:$B$44,MATCH($E3769,Setup!$A$27:$A$44,0)),"TBD"))</f>
        <v/>
      </c>
      <c r="G3769" s="32"/>
      <c r="H3769" s="32"/>
      <c r="I3769" s="32"/>
      <c r="J3769" s="32"/>
      <c r="K3769" s="35"/>
      <c r="L3769" s="32"/>
      <c r="M3769" s="32"/>
    </row>
    <row r="3770" customFormat="false" ht="15" hidden="false" customHeight="true" outlineLevel="0" collapsed="false">
      <c r="A3770" s="32"/>
      <c r="B3770" s="32"/>
      <c r="C3770" s="32"/>
      <c r="D3770" s="32"/>
      <c r="E3770" s="34" t="str">
        <f aca="false">IF($B3770="","",IF($B3770="OUT","Liters",IFERROR(INDEX(Setup!$F$3:$F$24,MATCH($C3770,Setup!$A$3:$A$24,0)),"")))</f>
        <v/>
      </c>
      <c r="F3770" s="28" t="str">
        <f aca="false">IF(OR($D3770="",$E3770=""),"",IFERROR($D3770*INDEX(Setup!$B$27:$B$44,MATCH($E3770,Setup!$A$27:$A$44,0)),"TBD"))</f>
        <v/>
      </c>
      <c r="G3770" s="32"/>
      <c r="H3770" s="32"/>
      <c r="I3770" s="32"/>
      <c r="J3770" s="32"/>
      <c r="K3770" s="35"/>
      <c r="L3770" s="32"/>
      <c r="M3770" s="32"/>
    </row>
    <row r="3771" customFormat="false" ht="15" hidden="false" customHeight="true" outlineLevel="0" collapsed="false">
      <c r="A3771" s="32"/>
      <c r="B3771" s="32"/>
      <c r="C3771" s="32"/>
      <c r="D3771" s="32"/>
      <c r="E3771" s="34" t="str">
        <f aca="false">IF($B3771="","",IF($B3771="OUT","Liters",IFERROR(INDEX(Setup!$F$3:$F$24,MATCH($C3771,Setup!$A$3:$A$24,0)),"")))</f>
        <v/>
      </c>
      <c r="F3771" s="28" t="str">
        <f aca="false">IF(OR($D3771="",$E3771=""),"",IFERROR($D3771*INDEX(Setup!$B$27:$B$44,MATCH($E3771,Setup!$A$27:$A$44,0)),"TBD"))</f>
        <v/>
      </c>
      <c r="G3771" s="32"/>
      <c r="H3771" s="32"/>
      <c r="I3771" s="32"/>
      <c r="J3771" s="32"/>
      <c r="K3771" s="35"/>
      <c r="L3771" s="32"/>
      <c r="M3771" s="32"/>
    </row>
    <row r="3772" customFormat="false" ht="15" hidden="false" customHeight="true" outlineLevel="0" collapsed="false">
      <c r="A3772" s="32"/>
      <c r="B3772" s="32"/>
      <c r="C3772" s="32"/>
      <c r="D3772" s="32"/>
      <c r="E3772" s="34" t="str">
        <f aca="false">IF($B3772="","",IF($B3772="OUT","Liters",IFERROR(INDEX(Setup!$F$3:$F$24,MATCH($C3772,Setup!$A$3:$A$24,0)),"")))</f>
        <v/>
      </c>
      <c r="F3772" s="28" t="str">
        <f aca="false">IF(OR($D3772="",$E3772=""),"",IFERROR($D3772*INDEX(Setup!$B$27:$B$44,MATCH($E3772,Setup!$A$27:$A$44,0)),"TBD"))</f>
        <v/>
      </c>
      <c r="G3772" s="32"/>
      <c r="H3772" s="32"/>
      <c r="I3772" s="32"/>
      <c r="J3772" s="32"/>
      <c r="K3772" s="35"/>
      <c r="L3772" s="32"/>
      <c r="M3772" s="32"/>
    </row>
    <row r="3773" customFormat="false" ht="15" hidden="false" customHeight="true" outlineLevel="0" collapsed="false">
      <c r="A3773" s="32"/>
      <c r="B3773" s="32"/>
      <c r="C3773" s="32"/>
      <c r="D3773" s="32"/>
      <c r="E3773" s="34" t="str">
        <f aca="false">IF($B3773="","",IF($B3773="OUT","Liters",IFERROR(INDEX(Setup!$F$3:$F$24,MATCH($C3773,Setup!$A$3:$A$24,0)),"")))</f>
        <v/>
      </c>
      <c r="F3773" s="28" t="str">
        <f aca="false">IF(OR($D3773="",$E3773=""),"",IFERROR($D3773*INDEX(Setup!$B$27:$B$44,MATCH($E3773,Setup!$A$27:$A$44,0)),"TBD"))</f>
        <v/>
      </c>
      <c r="G3773" s="32"/>
      <c r="H3773" s="32"/>
      <c r="I3773" s="32"/>
      <c r="J3773" s="32"/>
      <c r="K3773" s="35"/>
      <c r="L3773" s="32"/>
      <c r="M3773" s="32"/>
    </row>
    <row r="3774" customFormat="false" ht="15" hidden="false" customHeight="true" outlineLevel="0" collapsed="false">
      <c r="A3774" s="32"/>
      <c r="B3774" s="32"/>
      <c r="C3774" s="32"/>
      <c r="D3774" s="32"/>
      <c r="E3774" s="34" t="str">
        <f aca="false">IF($B3774="","",IF($B3774="OUT","Liters",IFERROR(INDEX(Setup!$F$3:$F$24,MATCH($C3774,Setup!$A$3:$A$24,0)),"")))</f>
        <v/>
      </c>
      <c r="F3774" s="28" t="str">
        <f aca="false">IF(OR($D3774="",$E3774=""),"",IFERROR($D3774*INDEX(Setup!$B$27:$B$44,MATCH($E3774,Setup!$A$27:$A$44,0)),"TBD"))</f>
        <v/>
      </c>
      <c r="G3774" s="32"/>
      <c r="H3774" s="32"/>
      <c r="I3774" s="32"/>
      <c r="J3774" s="32"/>
      <c r="K3774" s="35"/>
      <c r="L3774" s="32"/>
      <c r="M3774" s="32"/>
    </row>
    <row r="3775" customFormat="false" ht="15" hidden="false" customHeight="true" outlineLevel="0" collapsed="false">
      <c r="A3775" s="32"/>
      <c r="B3775" s="32"/>
      <c r="C3775" s="32"/>
      <c r="D3775" s="32"/>
      <c r="E3775" s="34" t="str">
        <f aca="false">IF($B3775="","",IF($B3775="OUT","Liters",IFERROR(INDEX(Setup!$F$3:$F$24,MATCH($C3775,Setup!$A$3:$A$24,0)),"")))</f>
        <v/>
      </c>
      <c r="F3775" s="28" t="str">
        <f aca="false">IF(OR($D3775="",$E3775=""),"",IFERROR($D3775*INDEX(Setup!$B$27:$B$44,MATCH($E3775,Setup!$A$27:$A$44,0)),"TBD"))</f>
        <v/>
      </c>
      <c r="G3775" s="32"/>
      <c r="H3775" s="32"/>
      <c r="I3775" s="32"/>
      <c r="J3775" s="32"/>
      <c r="K3775" s="35"/>
      <c r="L3775" s="32"/>
      <c r="M3775" s="32"/>
    </row>
    <row r="3776" customFormat="false" ht="15" hidden="false" customHeight="true" outlineLevel="0" collapsed="false">
      <c r="A3776" s="32"/>
      <c r="B3776" s="32"/>
      <c r="C3776" s="32"/>
      <c r="D3776" s="32"/>
      <c r="E3776" s="34" t="str">
        <f aca="false">IF($B3776="","",IF($B3776="OUT","Liters",IFERROR(INDEX(Setup!$F$3:$F$24,MATCH($C3776,Setup!$A$3:$A$24,0)),"")))</f>
        <v/>
      </c>
      <c r="F3776" s="28" t="str">
        <f aca="false">IF(OR($D3776="",$E3776=""),"",IFERROR($D3776*INDEX(Setup!$B$27:$B$44,MATCH($E3776,Setup!$A$27:$A$44,0)),"TBD"))</f>
        <v/>
      </c>
      <c r="G3776" s="32"/>
      <c r="H3776" s="32"/>
      <c r="I3776" s="32"/>
      <c r="J3776" s="32"/>
      <c r="K3776" s="35"/>
      <c r="L3776" s="32"/>
      <c r="M3776" s="32"/>
    </row>
    <row r="3777" customFormat="false" ht="15" hidden="false" customHeight="true" outlineLevel="0" collapsed="false">
      <c r="A3777" s="32"/>
      <c r="B3777" s="32"/>
      <c r="C3777" s="32"/>
      <c r="D3777" s="32"/>
      <c r="E3777" s="34" t="str">
        <f aca="false">IF($B3777="","",IF($B3777="OUT","Liters",IFERROR(INDEX(Setup!$F$3:$F$24,MATCH($C3777,Setup!$A$3:$A$24,0)),"")))</f>
        <v/>
      </c>
      <c r="F3777" s="28" t="str">
        <f aca="false">IF(OR($D3777="",$E3777=""),"",IFERROR($D3777*INDEX(Setup!$B$27:$B$44,MATCH($E3777,Setup!$A$27:$A$44,0)),"TBD"))</f>
        <v/>
      </c>
      <c r="G3777" s="32"/>
      <c r="H3777" s="32"/>
      <c r="I3777" s="32"/>
      <c r="J3777" s="32"/>
      <c r="K3777" s="35"/>
      <c r="L3777" s="32"/>
      <c r="M3777" s="32"/>
    </row>
    <row r="3778" customFormat="false" ht="15" hidden="false" customHeight="true" outlineLevel="0" collapsed="false">
      <c r="A3778" s="32"/>
      <c r="B3778" s="32"/>
      <c r="C3778" s="32"/>
      <c r="D3778" s="32"/>
      <c r="E3778" s="34" t="str">
        <f aca="false">IF($B3778="","",IF($B3778="OUT","Liters",IFERROR(INDEX(Setup!$F$3:$F$24,MATCH($C3778,Setup!$A$3:$A$24,0)),"")))</f>
        <v/>
      </c>
      <c r="F3778" s="28" t="str">
        <f aca="false">IF(OR($D3778="",$E3778=""),"",IFERROR($D3778*INDEX(Setup!$B$27:$B$44,MATCH($E3778,Setup!$A$27:$A$44,0)),"TBD"))</f>
        <v/>
      </c>
      <c r="G3778" s="32"/>
      <c r="H3778" s="32"/>
      <c r="I3778" s="32"/>
      <c r="J3778" s="32"/>
      <c r="K3778" s="35"/>
      <c r="L3778" s="32"/>
      <c r="M3778" s="32"/>
    </row>
    <row r="3779" customFormat="false" ht="15" hidden="false" customHeight="true" outlineLevel="0" collapsed="false">
      <c r="A3779" s="32"/>
      <c r="B3779" s="32"/>
      <c r="C3779" s="32"/>
      <c r="D3779" s="32"/>
      <c r="E3779" s="34" t="str">
        <f aca="false">IF($B3779="","",IF($B3779="OUT","Liters",IFERROR(INDEX(Setup!$F$3:$F$24,MATCH($C3779,Setup!$A$3:$A$24,0)),"")))</f>
        <v/>
      </c>
      <c r="F3779" s="28" t="str">
        <f aca="false">IF(OR($D3779="",$E3779=""),"",IFERROR($D3779*INDEX(Setup!$B$27:$B$44,MATCH($E3779,Setup!$A$27:$A$44,0)),"TBD"))</f>
        <v/>
      </c>
      <c r="G3779" s="32"/>
      <c r="H3779" s="32"/>
      <c r="I3779" s="32"/>
      <c r="J3779" s="32"/>
      <c r="K3779" s="35"/>
      <c r="L3779" s="32"/>
      <c r="M3779" s="32"/>
    </row>
    <row r="3780" customFormat="false" ht="15" hidden="false" customHeight="true" outlineLevel="0" collapsed="false">
      <c r="A3780" s="32"/>
      <c r="B3780" s="32"/>
      <c r="C3780" s="32"/>
      <c r="D3780" s="32"/>
      <c r="E3780" s="34" t="str">
        <f aca="false">IF($B3780="","",IF($B3780="OUT","Liters",IFERROR(INDEX(Setup!$F$3:$F$24,MATCH($C3780,Setup!$A$3:$A$24,0)),"")))</f>
        <v/>
      </c>
      <c r="F3780" s="28" t="str">
        <f aca="false">IF(OR($D3780="",$E3780=""),"",IFERROR($D3780*INDEX(Setup!$B$27:$B$44,MATCH($E3780,Setup!$A$27:$A$44,0)),"TBD"))</f>
        <v/>
      </c>
      <c r="G3780" s="32"/>
      <c r="H3780" s="32"/>
      <c r="I3780" s="32"/>
      <c r="J3780" s="32"/>
      <c r="K3780" s="35"/>
      <c r="L3780" s="32"/>
      <c r="M3780" s="32"/>
    </row>
    <row r="3781" customFormat="false" ht="15" hidden="false" customHeight="true" outlineLevel="0" collapsed="false">
      <c r="A3781" s="32"/>
      <c r="B3781" s="32"/>
      <c r="C3781" s="32"/>
      <c r="D3781" s="32"/>
      <c r="E3781" s="34" t="str">
        <f aca="false">IF($B3781="","",IF($B3781="OUT","Liters",IFERROR(INDEX(Setup!$F$3:$F$24,MATCH($C3781,Setup!$A$3:$A$24,0)),"")))</f>
        <v/>
      </c>
      <c r="F3781" s="28" t="str">
        <f aca="false">IF(OR($D3781="",$E3781=""),"",IFERROR($D3781*INDEX(Setup!$B$27:$B$44,MATCH($E3781,Setup!$A$27:$A$44,0)),"TBD"))</f>
        <v/>
      </c>
      <c r="G3781" s="32"/>
      <c r="H3781" s="32"/>
      <c r="I3781" s="32"/>
      <c r="J3781" s="32"/>
      <c r="K3781" s="35"/>
      <c r="L3781" s="32"/>
      <c r="M3781" s="32"/>
    </row>
    <row r="3782" customFormat="false" ht="15" hidden="false" customHeight="true" outlineLevel="0" collapsed="false">
      <c r="A3782" s="32"/>
      <c r="B3782" s="32"/>
      <c r="C3782" s="32"/>
      <c r="D3782" s="32"/>
      <c r="E3782" s="34" t="str">
        <f aca="false">IF($B3782="","",IF($B3782="OUT","Liters",IFERROR(INDEX(Setup!$F$3:$F$24,MATCH($C3782,Setup!$A$3:$A$24,0)),"")))</f>
        <v/>
      </c>
      <c r="F3782" s="28" t="str">
        <f aca="false">IF(OR($D3782="",$E3782=""),"",IFERROR($D3782*INDEX(Setup!$B$27:$B$44,MATCH($E3782,Setup!$A$27:$A$44,0)),"TBD"))</f>
        <v/>
      </c>
      <c r="G3782" s="32"/>
      <c r="H3782" s="32"/>
      <c r="I3782" s="32"/>
      <c r="J3782" s="32"/>
      <c r="K3782" s="35"/>
      <c r="L3782" s="32"/>
      <c r="M3782" s="32"/>
    </row>
    <row r="3783" customFormat="false" ht="15" hidden="false" customHeight="true" outlineLevel="0" collapsed="false">
      <c r="A3783" s="32"/>
      <c r="B3783" s="32"/>
      <c r="C3783" s="32"/>
      <c r="D3783" s="32"/>
      <c r="E3783" s="34" t="str">
        <f aca="false">IF($B3783="","",IF($B3783="OUT","Liters",IFERROR(INDEX(Setup!$F$3:$F$24,MATCH($C3783,Setup!$A$3:$A$24,0)),"")))</f>
        <v/>
      </c>
      <c r="F3783" s="28" t="str">
        <f aca="false">IF(OR($D3783="",$E3783=""),"",IFERROR($D3783*INDEX(Setup!$B$27:$B$44,MATCH($E3783,Setup!$A$27:$A$44,0)),"TBD"))</f>
        <v/>
      </c>
      <c r="G3783" s="32"/>
      <c r="H3783" s="32"/>
      <c r="I3783" s="32"/>
      <c r="J3783" s="32"/>
      <c r="K3783" s="35"/>
      <c r="L3783" s="32"/>
      <c r="M3783" s="32"/>
    </row>
    <row r="3784" customFormat="false" ht="15" hidden="false" customHeight="true" outlineLevel="0" collapsed="false">
      <c r="A3784" s="32"/>
      <c r="B3784" s="32"/>
      <c r="C3784" s="32"/>
      <c r="D3784" s="32"/>
      <c r="E3784" s="34" t="str">
        <f aca="false">IF($B3784="","",IF($B3784="OUT","Liters",IFERROR(INDEX(Setup!$F$3:$F$24,MATCH($C3784,Setup!$A$3:$A$24,0)),"")))</f>
        <v/>
      </c>
      <c r="F3784" s="28" t="str">
        <f aca="false">IF(OR($D3784="",$E3784=""),"",IFERROR($D3784*INDEX(Setup!$B$27:$B$44,MATCH($E3784,Setup!$A$27:$A$44,0)),"TBD"))</f>
        <v/>
      </c>
      <c r="G3784" s="32"/>
      <c r="H3784" s="32"/>
      <c r="I3784" s="32"/>
      <c r="J3784" s="32"/>
      <c r="K3784" s="35"/>
      <c r="L3784" s="32"/>
      <c r="M3784" s="32"/>
    </row>
    <row r="3785" customFormat="false" ht="15" hidden="false" customHeight="true" outlineLevel="0" collapsed="false">
      <c r="A3785" s="32"/>
      <c r="B3785" s="32"/>
      <c r="C3785" s="32"/>
      <c r="D3785" s="32"/>
      <c r="E3785" s="34" t="str">
        <f aca="false">IF($B3785="","",IF($B3785="OUT","Liters",IFERROR(INDEX(Setup!$F$3:$F$24,MATCH($C3785,Setup!$A$3:$A$24,0)),"")))</f>
        <v/>
      </c>
      <c r="F3785" s="28" t="str">
        <f aca="false">IF(OR($D3785="",$E3785=""),"",IFERROR($D3785*INDEX(Setup!$B$27:$B$44,MATCH($E3785,Setup!$A$27:$A$44,0)),"TBD"))</f>
        <v/>
      </c>
      <c r="G3785" s="32"/>
      <c r="H3785" s="32"/>
      <c r="I3785" s="32"/>
      <c r="J3785" s="32"/>
      <c r="K3785" s="35"/>
      <c r="L3785" s="32"/>
      <c r="M3785" s="32"/>
    </row>
    <row r="3786" customFormat="false" ht="15" hidden="false" customHeight="true" outlineLevel="0" collapsed="false">
      <c r="A3786" s="32"/>
      <c r="B3786" s="32"/>
      <c r="C3786" s="32"/>
      <c r="D3786" s="32"/>
      <c r="E3786" s="34" t="str">
        <f aca="false">IF($B3786="","",IF($B3786="OUT","Liters",IFERROR(INDEX(Setup!$F$3:$F$24,MATCH($C3786,Setup!$A$3:$A$24,0)),"")))</f>
        <v/>
      </c>
      <c r="F3786" s="28" t="str">
        <f aca="false">IF(OR($D3786="",$E3786=""),"",IFERROR($D3786*INDEX(Setup!$B$27:$B$44,MATCH($E3786,Setup!$A$27:$A$44,0)),"TBD"))</f>
        <v/>
      </c>
      <c r="G3786" s="32"/>
      <c r="H3786" s="32"/>
      <c r="I3786" s="32"/>
      <c r="J3786" s="32"/>
      <c r="K3786" s="35"/>
      <c r="L3786" s="32"/>
      <c r="M3786" s="32"/>
    </row>
    <row r="3787" customFormat="false" ht="15" hidden="false" customHeight="true" outlineLevel="0" collapsed="false">
      <c r="A3787" s="32"/>
      <c r="B3787" s="32"/>
      <c r="C3787" s="32"/>
      <c r="D3787" s="32"/>
      <c r="E3787" s="34" t="str">
        <f aca="false">IF($B3787="","",IF($B3787="OUT","Liters",IFERROR(INDEX(Setup!$F$3:$F$24,MATCH($C3787,Setup!$A$3:$A$24,0)),"")))</f>
        <v/>
      </c>
      <c r="F3787" s="28" t="str">
        <f aca="false">IF(OR($D3787="",$E3787=""),"",IFERROR($D3787*INDEX(Setup!$B$27:$B$44,MATCH($E3787,Setup!$A$27:$A$44,0)),"TBD"))</f>
        <v/>
      </c>
      <c r="G3787" s="32"/>
      <c r="H3787" s="32"/>
      <c r="I3787" s="32"/>
      <c r="J3787" s="32"/>
      <c r="K3787" s="35"/>
      <c r="L3787" s="32"/>
      <c r="M3787" s="32"/>
    </row>
    <row r="3788" customFormat="false" ht="15" hidden="false" customHeight="true" outlineLevel="0" collapsed="false">
      <c r="A3788" s="32"/>
      <c r="B3788" s="32"/>
      <c r="C3788" s="32"/>
      <c r="D3788" s="32"/>
      <c r="E3788" s="34" t="str">
        <f aca="false">IF($B3788="","",IF($B3788="OUT","Liters",IFERROR(INDEX(Setup!$F$3:$F$24,MATCH($C3788,Setup!$A$3:$A$24,0)),"")))</f>
        <v/>
      </c>
      <c r="F3788" s="28" t="str">
        <f aca="false">IF(OR($D3788="",$E3788=""),"",IFERROR($D3788*INDEX(Setup!$B$27:$B$44,MATCH($E3788,Setup!$A$27:$A$44,0)),"TBD"))</f>
        <v/>
      </c>
      <c r="G3788" s="32"/>
      <c r="H3788" s="32"/>
      <c r="I3788" s="32"/>
      <c r="J3788" s="32"/>
      <c r="K3788" s="35"/>
      <c r="L3788" s="32"/>
      <c r="M3788" s="32"/>
    </row>
    <row r="3789" customFormat="false" ht="15" hidden="false" customHeight="true" outlineLevel="0" collapsed="false">
      <c r="A3789" s="32"/>
      <c r="B3789" s="32"/>
      <c r="C3789" s="32"/>
      <c r="D3789" s="32"/>
      <c r="E3789" s="34" t="str">
        <f aca="false">IF($B3789="","",IF($B3789="OUT","Liters",IFERROR(INDEX(Setup!$F$3:$F$24,MATCH($C3789,Setup!$A$3:$A$24,0)),"")))</f>
        <v/>
      </c>
      <c r="F3789" s="28" t="str">
        <f aca="false">IF(OR($D3789="",$E3789=""),"",IFERROR($D3789*INDEX(Setup!$B$27:$B$44,MATCH($E3789,Setup!$A$27:$A$44,0)),"TBD"))</f>
        <v/>
      </c>
      <c r="G3789" s="32"/>
      <c r="H3789" s="32"/>
      <c r="I3789" s="32"/>
      <c r="J3789" s="32"/>
      <c r="K3789" s="35"/>
      <c r="L3789" s="32"/>
      <c r="M3789" s="32"/>
    </row>
    <row r="3790" customFormat="false" ht="15" hidden="false" customHeight="true" outlineLevel="0" collapsed="false">
      <c r="A3790" s="32"/>
      <c r="B3790" s="32"/>
      <c r="C3790" s="32"/>
      <c r="D3790" s="32"/>
      <c r="E3790" s="34" t="str">
        <f aca="false">IF($B3790="","",IF($B3790="OUT","Liters",IFERROR(INDEX(Setup!$F$3:$F$24,MATCH($C3790,Setup!$A$3:$A$24,0)),"")))</f>
        <v/>
      </c>
      <c r="F3790" s="28" t="str">
        <f aca="false">IF(OR($D3790="",$E3790=""),"",IFERROR($D3790*INDEX(Setup!$B$27:$B$44,MATCH($E3790,Setup!$A$27:$A$44,0)),"TBD"))</f>
        <v/>
      </c>
      <c r="G3790" s="32"/>
      <c r="H3790" s="32"/>
      <c r="I3790" s="32"/>
      <c r="J3790" s="32"/>
      <c r="K3790" s="35"/>
      <c r="L3790" s="32"/>
      <c r="M3790" s="32"/>
    </row>
    <row r="3791" customFormat="false" ht="15" hidden="false" customHeight="true" outlineLevel="0" collapsed="false">
      <c r="A3791" s="32"/>
      <c r="B3791" s="32"/>
      <c r="C3791" s="32"/>
      <c r="D3791" s="32"/>
      <c r="E3791" s="34" t="str">
        <f aca="false">IF($B3791="","",IF($B3791="OUT","Liters",IFERROR(INDEX(Setup!$F$3:$F$24,MATCH($C3791,Setup!$A$3:$A$24,0)),"")))</f>
        <v/>
      </c>
      <c r="F3791" s="28" t="str">
        <f aca="false">IF(OR($D3791="",$E3791=""),"",IFERROR($D3791*INDEX(Setup!$B$27:$B$44,MATCH($E3791,Setup!$A$27:$A$44,0)),"TBD"))</f>
        <v/>
      </c>
      <c r="G3791" s="32"/>
      <c r="H3791" s="32"/>
      <c r="I3791" s="32"/>
      <c r="J3791" s="32"/>
      <c r="K3791" s="35"/>
      <c r="L3791" s="32"/>
      <c r="M3791" s="32"/>
    </row>
    <row r="3792" customFormat="false" ht="15" hidden="false" customHeight="true" outlineLevel="0" collapsed="false">
      <c r="A3792" s="32"/>
      <c r="B3792" s="32"/>
      <c r="C3792" s="32"/>
      <c r="D3792" s="32"/>
      <c r="E3792" s="34" t="str">
        <f aca="false">IF($B3792="","",IF($B3792="OUT","Liters",IFERROR(INDEX(Setup!$F$3:$F$24,MATCH($C3792,Setup!$A$3:$A$24,0)),"")))</f>
        <v/>
      </c>
      <c r="F3792" s="28" t="str">
        <f aca="false">IF(OR($D3792="",$E3792=""),"",IFERROR($D3792*INDEX(Setup!$B$27:$B$44,MATCH($E3792,Setup!$A$27:$A$44,0)),"TBD"))</f>
        <v/>
      </c>
      <c r="G3792" s="32"/>
      <c r="H3792" s="32"/>
      <c r="I3792" s="32"/>
      <c r="J3792" s="32"/>
      <c r="K3792" s="35"/>
      <c r="L3792" s="32"/>
      <c r="M3792" s="32"/>
    </row>
    <row r="3793" customFormat="false" ht="15" hidden="false" customHeight="true" outlineLevel="0" collapsed="false">
      <c r="A3793" s="32"/>
      <c r="B3793" s="32"/>
      <c r="C3793" s="32"/>
      <c r="D3793" s="32"/>
      <c r="E3793" s="34" t="str">
        <f aca="false">IF($B3793="","",IF($B3793="OUT","Liters",IFERROR(INDEX(Setup!$F$3:$F$24,MATCH($C3793,Setup!$A$3:$A$24,0)),"")))</f>
        <v/>
      </c>
      <c r="F3793" s="28" t="str">
        <f aca="false">IF(OR($D3793="",$E3793=""),"",IFERROR($D3793*INDEX(Setup!$B$27:$B$44,MATCH($E3793,Setup!$A$27:$A$44,0)),"TBD"))</f>
        <v/>
      </c>
      <c r="G3793" s="32"/>
      <c r="H3793" s="32"/>
      <c r="I3793" s="32"/>
      <c r="J3793" s="32"/>
      <c r="K3793" s="35"/>
      <c r="L3793" s="32"/>
      <c r="M3793" s="32"/>
    </row>
    <row r="3794" customFormat="false" ht="15" hidden="false" customHeight="true" outlineLevel="0" collapsed="false">
      <c r="A3794" s="32"/>
      <c r="B3794" s="32"/>
      <c r="C3794" s="32"/>
      <c r="D3794" s="32"/>
      <c r="E3794" s="34" t="str">
        <f aca="false">IF($B3794="","",IF($B3794="OUT","Liters",IFERROR(INDEX(Setup!$F$3:$F$24,MATCH($C3794,Setup!$A$3:$A$24,0)),"")))</f>
        <v/>
      </c>
      <c r="F3794" s="28" t="str">
        <f aca="false">IF(OR($D3794="",$E3794=""),"",IFERROR($D3794*INDEX(Setup!$B$27:$B$44,MATCH($E3794,Setup!$A$27:$A$44,0)),"TBD"))</f>
        <v/>
      </c>
      <c r="G3794" s="32"/>
      <c r="H3794" s="32"/>
      <c r="I3794" s="32"/>
      <c r="J3794" s="32"/>
      <c r="K3794" s="35"/>
      <c r="L3794" s="32"/>
      <c r="M3794" s="32"/>
    </row>
    <row r="3795" customFormat="false" ht="15" hidden="false" customHeight="true" outlineLevel="0" collapsed="false">
      <c r="A3795" s="32"/>
      <c r="B3795" s="32"/>
      <c r="C3795" s="32"/>
      <c r="D3795" s="32"/>
      <c r="E3795" s="34" t="str">
        <f aca="false">IF($B3795="","",IF($B3795="OUT","Liters",IFERROR(INDEX(Setup!$F$3:$F$24,MATCH($C3795,Setup!$A$3:$A$24,0)),"")))</f>
        <v/>
      </c>
      <c r="F3795" s="28" t="str">
        <f aca="false">IF(OR($D3795="",$E3795=""),"",IFERROR($D3795*INDEX(Setup!$B$27:$B$44,MATCH($E3795,Setup!$A$27:$A$44,0)),"TBD"))</f>
        <v/>
      </c>
      <c r="G3795" s="32"/>
      <c r="H3795" s="32"/>
      <c r="I3795" s="32"/>
      <c r="J3795" s="32"/>
      <c r="K3795" s="35"/>
      <c r="L3795" s="32"/>
      <c r="M3795" s="32"/>
    </row>
    <row r="3796" customFormat="false" ht="15" hidden="false" customHeight="true" outlineLevel="0" collapsed="false">
      <c r="A3796" s="32"/>
      <c r="B3796" s="32"/>
      <c r="C3796" s="32"/>
      <c r="D3796" s="32"/>
      <c r="E3796" s="34" t="str">
        <f aca="false">IF($B3796="","",IF($B3796="OUT","Liters",IFERROR(INDEX(Setup!$F$3:$F$24,MATCH($C3796,Setup!$A$3:$A$24,0)),"")))</f>
        <v/>
      </c>
      <c r="F3796" s="28" t="str">
        <f aca="false">IF(OR($D3796="",$E3796=""),"",IFERROR($D3796*INDEX(Setup!$B$27:$B$44,MATCH($E3796,Setup!$A$27:$A$44,0)),"TBD"))</f>
        <v/>
      </c>
      <c r="G3796" s="32"/>
      <c r="H3796" s="32"/>
      <c r="I3796" s="32"/>
      <c r="J3796" s="32"/>
      <c r="K3796" s="35"/>
      <c r="L3796" s="32"/>
      <c r="M3796" s="32"/>
    </row>
    <row r="3797" customFormat="false" ht="15" hidden="false" customHeight="true" outlineLevel="0" collapsed="false">
      <c r="A3797" s="32"/>
      <c r="B3797" s="32"/>
      <c r="C3797" s="32"/>
      <c r="D3797" s="32"/>
      <c r="E3797" s="34" t="str">
        <f aca="false">IF($B3797="","",IF($B3797="OUT","Liters",IFERROR(INDEX(Setup!$F$3:$F$24,MATCH($C3797,Setup!$A$3:$A$24,0)),"")))</f>
        <v/>
      </c>
      <c r="F3797" s="28" t="str">
        <f aca="false">IF(OR($D3797="",$E3797=""),"",IFERROR($D3797*INDEX(Setup!$B$27:$B$44,MATCH($E3797,Setup!$A$27:$A$44,0)),"TBD"))</f>
        <v/>
      </c>
      <c r="G3797" s="32"/>
      <c r="H3797" s="32"/>
      <c r="I3797" s="32"/>
      <c r="J3797" s="32"/>
      <c r="K3797" s="35"/>
      <c r="L3797" s="32"/>
      <c r="M3797" s="32"/>
    </row>
    <row r="3798" customFormat="false" ht="15" hidden="false" customHeight="true" outlineLevel="0" collapsed="false">
      <c r="A3798" s="32"/>
      <c r="B3798" s="32"/>
      <c r="C3798" s="32"/>
      <c r="D3798" s="32"/>
      <c r="E3798" s="34" t="str">
        <f aca="false">IF($B3798="","",IF($B3798="OUT","Liters",IFERROR(INDEX(Setup!$F$3:$F$24,MATCH($C3798,Setup!$A$3:$A$24,0)),"")))</f>
        <v/>
      </c>
      <c r="F3798" s="28" t="str">
        <f aca="false">IF(OR($D3798="",$E3798=""),"",IFERROR($D3798*INDEX(Setup!$B$27:$B$44,MATCH($E3798,Setup!$A$27:$A$44,0)),"TBD"))</f>
        <v/>
      </c>
      <c r="G3798" s="32"/>
      <c r="H3798" s="32"/>
      <c r="I3798" s="32"/>
      <c r="J3798" s="32"/>
      <c r="K3798" s="35"/>
      <c r="L3798" s="32"/>
      <c r="M3798" s="32"/>
    </row>
    <row r="3799" customFormat="false" ht="15" hidden="false" customHeight="true" outlineLevel="0" collapsed="false">
      <c r="A3799" s="32"/>
      <c r="B3799" s="32"/>
      <c r="C3799" s="32"/>
      <c r="D3799" s="32"/>
      <c r="E3799" s="34" t="str">
        <f aca="false">IF($B3799="","",IF($B3799="OUT","Liters",IFERROR(INDEX(Setup!$F$3:$F$24,MATCH($C3799,Setup!$A$3:$A$24,0)),"")))</f>
        <v/>
      </c>
      <c r="F3799" s="28" t="str">
        <f aca="false">IF(OR($D3799="",$E3799=""),"",IFERROR($D3799*INDEX(Setup!$B$27:$B$44,MATCH($E3799,Setup!$A$27:$A$44,0)),"TBD"))</f>
        <v/>
      </c>
      <c r="G3799" s="32"/>
      <c r="H3799" s="32"/>
      <c r="I3799" s="32"/>
      <c r="J3799" s="32"/>
      <c r="K3799" s="35"/>
      <c r="L3799" s="32"/>
      <c r="M3799" s="32"/>
    </row>
    <row r="3800" customFormat="false" ht="15" hidden="false" customHeight="true" outlineLevel="0" collapsed="false">
      <c r="A3800" s="32"/>
      <c r="B3800" s="32"/>
      <c r="C3800" s="32"/>
      <c r="D3800" s="32"/>
      <c r="E3800" s="34" t="str">
        <f aca="false">IF($B3800="","",IF($B3800="OUT","Liters",IFERROR(INDEX(Setup!$F$3:$F$24,MATCH($C3800,Setup!$A$3:$A$24,0)),"")))</f>
        <v/>
      </c>
      <c r="F3800" s="28" t="str">
        <f aca="false">IF(OR($D3800="",$E3800=""),"",IFERROR($D3800*INDEX(Setup!$B$27:$B$44,MATCH($E3800,Setup!$A$27:$A$44,0)),"TBD"))</f>
        <v/>
      </c>
      <c r="G3800" s="32"/>
      <c r="H3800" s="32"/>
      <c r="I3800" s="32"/>
      <c r="J3800" s="32"/>
      <c r="K3800" s="35"/>
      <c r="L3800" s="32"/>
      <c r="M3800" s="32"/>
    </row>
    <row r="3801" customFormat="false" ht="15" hidden="false" customHeight="true" outlineLevel="0" collapsed="false">
      <c r="A3801" s="32"/>
      <c r="B3801" s="32"/>
      <c r="C3801" s="32"/>
      <c r="D3801" s="32"/>
      <c r="E3801" s="34" t="str">
        <f aca="false">IF($B3801="","",IF($B3801="OUT","Liters",IFERROR(INDEX(Setup!$F$3:$F$24,MATCH($C3801,Setup!$A$3:$A$24,0)),"")))</f>
        <v/>
      </c>
      <c r="F3801" s="28" t="str">
        <f aca="false">IF(OR($D3801="",$E3801=""),"",IFERROR($D3801*INDEX(Setup!$B$27:$B$44,MATCH($E3801,Setup!$A$27:$A$44,0)),"TBD"))</f>
        <v/>
      </c>
      <c r="G3801" s="32"/>
      <c r="H3801" s="32"/>
      <c r="I3801" s="32"/>
      <c r="J3801" s="32"/>
      <c r="K3801" s="35"/>
      <c r="L3801" s="32"/>
      <c r="M3801" s="32"/>
    </row>
    <row r="3802" customFormat="false" ht="15" hidden="false" customHeight="true" outlineLevel="0" collapsed="false">
      <c r="A3802" s="32"/>
      <c r="B3802" s="32"/>
      <c r="C3802" s="32"/>
      <c r="D3802" s="32"/>
      <c r="E3802" s="34" t="str">
        <f aca="false">IF($B3802="","",IF($B3802="OUT","Liters",IFERROR(INDEX(Setup!$F$3:$F$24,MATCH($C3802,Setup!$A$3:$A$24,0)),"")))</f>
        <v/>
      </c>
      <c r="F3802" s="28" t="str">
        <f aca="false">IF(OR($D3802="",$E3802=""),"",IFERROR($D3802*INDEX(Setup!$B$27:$B$44,MATCH($E3802,Setup!$A$27:$A$44,0)),"TBD"))</f>
        <v/>
      </c>
      <c r="G3802" s="32"/>
      <c r="H3802" s="32"/>
      <c r="I3802" s="32"/>
      <c r="J3802" s="32"/>
      <c r="K3802" s="35"/>
      <c r="L3802" s="32"/>
      <c r="M3802" s="32"/>
    </row>
    <row r="3803" customFormat="false" ht="15" hidden="false" customHeight="true" outlineLevel="0" collapsed="false">
      <c r="A3803" s="32"/>
      <c r="B3803" s="32"/>
      <c r="C3803" s="32"/>
      <c r="D3803" s="32"/>
      <c r="E3803" s="34" t="str">
        <f aca="false">IF($B3803="","",IF($B3803="OUT","Liters",IFERROR(INDEX(Setup!$F$3:$F$24,MATCH($C3803,Setup!$A$3:$A$24,0)),"")))</f>
        <v/>
      </c>
      <c r="F3803" s="28" t="str">
        <f aca="false">IF(OR($D3803="",$E3803=""),"",IFERROR($D3803*INDEX(Setup!$B$27:$B$44,MATCH($E3803,Setup!$A$27:$A$44,0)),"TBD"))</f>
        <v/>
      </c>
      <c r="G3803" s="32"/>
      <c r="H3803" s="32"/>
      <c r="I3803" s="32"/>
      <c r="J3803" s="32"/>
      <c r="K3803" s="35"/>
      <c r="L3803" s="32"/>
      <c r="M3803" s="32"/>
    </row>
    <row r="3804" customFormat="false" ht="15" hidden="false" customHeight="true" outlineLevel="0" collapsed="false">
      <c r="A3804" s="32"/>
      <c r="B3804" s="32"/>
      <c r="C3804" s="32"/>
      <c r="D3804" s="32"/>
      <c r="E3804" s="34" t="str">
        <f aca="false">IF($B3804="","",IF($B3804="OUT","Liters",IFERROR(INDEX(Setup!$F$3:$F$24,MATCH($C3804,Setup!$A$3:$A$24,0)),"")))</f>
        <v/>
      </c>
      <c r="F3804" s="28" t="str">
        <f aca="false">IF(OR($D3804="",$E3804=""),"",IFERROR($D3804*INDEX(Setup!$B$27:$B$44,MATCH($E3804,Setup!$A$27:$A$44,0)),"TBD"))</f>
        <v/>
      </c>
      <c r="G3804" s="32"/>
      <c r="H3804" s="32"/>
      <c r="I3804" s="32"/>
      <c r="J3804" s="32"/>
      <c r="K3804" s="35"/>
      <c r="L3804" s="32"/>
      <c r="M3804" s="32"/>
    </row>
    <row r="3805" customFormat="false" ht="15" hidden="false" customHeight="true" outlineLevel="0" collapsed="false">
      <c r="A3805" s="32"/>
      <c r="B3805" s="32"/>
      <c r="C3805" s="32"/>
      <c r="D3805" s="32"/>
      <c r="E3805" s="34" t="str">
        <f aca="false">IF($B3805="","",IF($B3805="OUT","Liters",IFERROR(INDEX(Setup!$F$3:$F$24,MATCH($C3805,Setup!$A$3:$A$24,0)),"")))</f>
        <v/>
      </c>
      <c r="F3805" s="28" t="str">
        <f aca="false">IF(OR($D3805="",$E3805=""),"",IFERROR($D3805*INDEX(Setup!$B$27:$B$44,MATCH($E3805,Setup!$A$27:$A$44,0)),"TBD"))</f>
        <v/>
      </c>
      <c r="G3805" s="32"/>
      <c r="H3805" s="32"/>
      <c r="I3805" s="32"/>
      <c r="J3805" s="32"/>
      <c r="K3805" s="35"/>
      <c r="L3805" s="32"/>
      <c r="M3805" s="32"/>
    </row>
    <row r="3806" customFormat="false" ht="15" hidden="false" customHeight="true" outlineLevel="0" collapsed="false">
      <c r="A3806" s="32"/>
      <c r="B3806" s="32"/>
      <c r="C3806" s="32"/>
      <c r="D3806" s="32"/>
      <c r="E3806" s="34" t="str">
        <f aca="false">IF($B3806="","",IF($B3806="OUT","Liters",IFERROR(INDEX(Setup!$F$3:$F$24,MATCH($C3806,Setup!$A$3:$A$24,0)),"")))</f>
        <v/>
      </c>
      <c r="F3806" s="28" t="str">
        <f aca="false">IF(OR($D3806="",$E3806=""),"",IFERROR($D3806*INDEX(Setup!$B$27:$B$44,MATCH($E3806,Setup!$A$27:$A$44,0)),"TBD"))</f>
        <v/>
      </c>
      <c r="G3806" s="32"/>
      <c r="H3806" s="32"/>
      <c r="I3806" s="32"/>
      <c r="J3806" s="32"/>
      <c r="K3806" s="35"/>
      <c r="L3806" s="32"/>
      <c r="M3806" s="32"/>
    </row>
    <row r="3807" customFormat="false" ht="15" hidden="false" customHeight="true" outlineLevel="0" collapsed="false">
      <c r="A3807" s="32"/>
      <c r="B3807" s="32"/>
      <c r="C3807" s="32"/>
      <c r="D3807" s="32"/>
      <c r="E3807" s="34" t="str">
        <f aca="false">IF($B3807="","",IF($B3807="OUT","Liters",IFERROR(INDEX(Setup!$F$3:$F$24,MATCH($C3807,Setup!$A$3:$A$24,0)),"")))</f>
        <v/>
      </c>
      <c r="F3807" s="28" t="str">
        <f aca="false">IF(OR($D3807="",$E3807=""),"",IFERROR($D3807*INDEX(Setup!$B$27:$B$44,MATCH($E3807,Setup!$A$27:$A$44,0)),"TBD"))</f>
        <v/>
      </c>
      <c r="G3807" s="32"/>
      <c r="H3807" s="32"/>
      <c r="I3807" s="32"/>
      <c r="J3807" s="32"/>
      <c r="K3807" s="35"/>
      <c r="L3807" s="32"/>
      <c r="M3807" s="32"/>
    </row>
    <row r="3808" customFormat="false" ht="15" hidden="false" customHeight="true" outlineLevel="0" collapsed="false">
      <c r="A3808" s="32"/>
      <c r="B3808" s="32"/>
      <c r="C3808" s="32"/>
      <c r="D3808" s="32"/>
      <c r="E3808" s="34" t="str">
        <f aca="false">IF($B3808="","",IF($B3808="OUT","Liters",IFERROR(INDEX(Setup!$F$3:$F$24,MATCH($C3808,Setup!$A$3:$A$24,0)),"")))</f>
        <v/>
      </c>
      <c r="F3808" s="28" t="str">
        <f aca="false">IF(OR($D3808="",$E3808=""),"",IFERROR($D3808*INDEX(Setup!$B$27:$B$44,MATCH($E3808,Setup!$A$27:$A$44,0)),"TBD"))</f>
        <v/>
      </c>
      <c r="G3808" s="32"/>
      <c r="H3808" s="32"/>
      <c r="I3808" s="32"/>
      <c r="J3808" s="32"/>
      <c r="K3808" s="35"/>
      <c r="L3808" s="32"/>
      <c r="M3808" s="32"/>
    </row>
    <row r="3809" customFormat="false" ht="15" hidden="false" customHeight="true" outlineLevel="0" collapsed="false">
      <c r="A3809" s="32"/>
      <c r="B3809" s="32"/>
      <c r="C3809" s="32"/>
      <c r="D3809" s="32"/>
      <c r="E3809" s="34" t="str">
        <f aca="false">IF($B3809="","",IF($B3809="OUT","Liters",IFERROR(INDEX(Setup!$F$3:$F$24,MATCH($C3809,Setup!$A$3:$A$24,0)),"")))</f>
        <v/>
      </c>
      <c r="F3809" s="28" t="str">
        <f aca="false">IF(OR($D3809="",$E3809=""),"",IFERROR($D3809*INDEX(Setup!$B$27:$B$44,MATCH($E3809,Setup!$A$27:$A$44,0)),"TBD"))</f>
        <v/>
      </c>
      <c r="G3809" s="32"/>
      <c r="H3809" s="32"/>
      <c r="I3809" s="32"/>
      <c r="J3809" s="32"/>
      <c r="K3809" s="35"/>
      <c r="L3809" s="32"/>
      <c r="M3809" s="32"/>
    </row>
    <row r="3810" customFormat="false" ht="15" hidden="false" customHeight="true" outlineLevel="0" collapsed="false">
      <c r="A3810" s="32"/>
      <c r="B3810" s="32"/>
      <c r="C3810" s="32"/>
      <c r="D3810" s="32"/>
      <c r="E3810" s="34" t="str">
        <f aca="false">IF($B3810="","",IF($B3810="OUT","Liters",IFERROR(INDEX(Setup!$F$3:$F$24,MATCH($C3810,Setup!$A$3:$A$24,0)),"")))</f>
        <v/>
      </c>
      <c r="F3810" s="28" t="str">
        <f aca="false">IF(OR($D3810="",$E3810=""),"",IFERROR($D3810*INDEX(Setup!$B$27:$B$44,MATCH($E3810,Setup!$A$27:$A$44,0)),"TBD"))</f>
        <v/>
      </c>
      <c r="G3810" s="32"/>
      <c r="H3810" s="32"/>
      <c r="I3810" s="32"/>
      <c r="J3810" s="32"/>
      <c r="K3810" s="35"/>
      <c r="L3810" s="32"/>
      <c r="M3810" s="32"/>
    </row>
    <row r="3811" customFormat="false" ht="15" hidden="false" customHeight="true" outlineLevel="0" collapsed="false">
      <c r="A3811" s="32"/>
      <c r="B3811" s="32"/>
      <c r="C3811" s="32"/>
      <c r="D3811" s="32"/>
      <c r="E3811" s="34" t="str">
        <f aca="false">IF($B3811="","",IF($B3811="OUT","Liters",IFERROR(INDEX(Setup!$F$3:$F$24,MATCH($C3811,Setup!$A$3:$A$24,0)),"")))</f>
        <v/>
      </c>
      <c r="F3811" s="28" t="str">
        <f aca="false">IF(OR($D3811="",$E3811=""),"",IFERROR($D3811*INDEX(Setup!$B$27:$B$44,MATCH($E3811,Setup!$A$27:$A$44,0)),"TBD"))</f>
        <v/>
      </c>
      <c r="G3811" s="32"/>
      <c r="H3811" s="32"/>
      <c r="I3811" s="32"/>
      <c r="J3811" s="32"/>
      <c r="K3811" s="35"/>
      <c r="L3811" s="32"/>
      <c r="M3811" s="32"/>
    </row>
    <row r="3812" customFormat="false" ht="15" hidden="false" customHeight="true" outlineLevel="0" collapsed="false">
      <c r="A3812" s="32"/>
      <c r="B3812" s="32"/>
      <c r="C3812" s="32"/>
      <c r="D3812" s="32"/>
      <c r="E3812" s="34" t="str">
        <f aca="false">IF($B3812="","",IF($B3812="OUT","Liters",IFERROR(INDEX(Setup!$F$3:$F$24,MATCH($C3812,Setup!$A$3:$A$24,0)),"")))</f>
        <v/>
      </c>
      <c r="F3812" s="28" t="str">
        <f aca="false">IF(OR($D3812="",$E3812=""),"",IFERROR($D3812*INDEX(Setup!$B$27:$B$44,MATCH($E3812,Setup!$A$27:$A$44,0)),"TBD"))</f>
        <v/>
      </c>
      <c r="G3812" s="32"/>
      <c r="H3812" s="32"/>
      <c r="I3812" s="32"/>
      <c r="J3812" s="32"/>
      <c r="K3812" s="35"/>
      <c r="L3812" s="32"/>
      <c r="M3812" s="32"/>
    </row>
    <row r="3813" customFormat="false" ht="15" hidden="false" customHeight="true" outlineLevel="0" collapsed="false">
      <c r="A3813" s="32"/>
      <c r="B3813" s="32"/>
      <c r="C3813" s="32"/>
      <c r="D3813" s="32"/>
      <c r="E3813" s="34" t="str">
        <f aca="false">IF($B3813="","",IF($B3813="OUT","Liters",IFERROR(INDEX(Setup!$F$3:$F$24,MATCH($C3813,Setup!$A$3:$A$24,0)),"")))</f>
        <v/>
      </c>
      <c r="F3813" s="28" t="str">
        <f aca="false">IF(OR($D3813="",$E3813=""),"",IFERROR($D3813*INDEX(Setup!$B$27:$B$44,MATCH($E3813,Setup!$A$27:$A$44,0)),"TBD"))</f>
        <v/>
      </c>
      <c r="G3813" s="32"/>
      <c r="H3813" s="32"/>
      <c r="I3813" s="32"/>
      <c r="J3813" s="32"/>
      <c r="K3813" s="35"/>
      <c r="L3813" s="32"/>
      <c r="M3813" s="32"/>
    </row>
    <row r="3814" customFormat="false" ht="15" hidden="false" customHeight="true" outlineLevel="0" collapsed="false">
      <c r="A3814" s="32"/>
      <c r="B3814" s="32"/>
      <c r="C3814" s="32"/>
      <c r="D3814" s="32"/>
      <c r="E3814" s="34" t="str">
        <f aca="false">IF($B3814="","",IF($B3814="OUT","Liters",IFERROR(INDEX(Setup!$F$3:$F$24,MATCH($C3814,Setup!$A$3:$A$24,0)),"")))</f>
        <v/>
      </c>
      <c r="F3814" s="28" t="str">
        <f aca="false">IF(OR($D3814="",$E3814=""),"",IFERROR($D3814*INDEX(Setup!$B$27:$B$44,MATCH($E3814,Setup!$A$27:$A$44,0)),"TBD"))</f>
        <v/>
      </c>
      <c r="G3814" s="32"/>
      <c r="H3814" s="32"/>
      <c r="I3814" s="32"/>
      <c r="J3814" s="32"/>
      <c r="K3814" s="35"/>
      <c r="L3814" s="32"/>
      <c r="M3814" s="32"/>
    </row>
    <row r="3815" customFormat="false" ht="15" hidden="false" customHeight="true" outlineLevel="0" collapsed="false">
      <c r="A3815" s="32"/>
      <c r="B3815" s="32"/>
      <c r="C3815" s="32"/>
      <c r="D3815" s="32"/>
      <c r="E3815" s="34" t="str">
        <f aca="false">IF($B3815="","",IF($B3815="OUT","Liters",IFERROR(INDEX(Setup!$F$3:$F$24,MATCH($C3815,Setup!$A$3:$A$24,0)),"")))</f>
        <v/>
      </c>
      <c r="F3815" s="28" t="str">
        <f aca="false">IF(OR($D3815="",$E3815=""),"",IFERROR($D3815*INDEX(Setup!$B$27:$B$44,MATCH($E3815,Setup!$A$27:$A$44,0)),"TBD"))</f>
        <v/>
      </c>
      <c r="G3815" s="32"/>
      <c r="H3815" s="32"/>
      <c r="I3815" s="32"/>
      <c r="J3815" s="32"/>
      <c r="K3815" s="35"/>
      <c r="L3815" s="32"/>
      <c r="M3815" s="32"/>
    </row>
    <row r="3816" customFormat="false" ht="15" hidden="false" customHeight="true" outlineLevel="0" collapsed="false">
      <c r="A3816" s="32"/>
      <c r="B3816" s="32"/>
      <c r="C3816" s="32"/>
      <c r="D3816" s="32"/>
      <c r="E3816" s="34" t="str">
        <f aca="false">IF($B3816="","",IF($B3816="OUT","Liters",IFERROR(INDEX(Setup!$F$3:$F$24,MATCH($C3816,Setup!$A$3:$A$24,0)),"")))</f>
        <v/>
      </c>
      <c r="F3816" s="28" t="str">
        <f aca="false">IF(OR($D3816="",$E3816=""),"",IFERROR($D3816*INDEX(Setup!$B$27:$B$44,MATCH($E3816,Setup!$A$27:$A$44,0)),"TBD"))</f>
        <v/>
      </c>
      <c r="G3816" s="32"/>
      <c r="H3816" s="32"/>
      <c r="I3816" s="32"/>
      <c r="J3816" s="32"/>
      <c r="K3816" s="35"/>
      <c r="L3816" s="32"/>
      <c r="M3816" s="32"/>
    </row>
    <row r="3817" customFormat="false" ht="15" hidden="false" customHeight="true" outlineLevel="0" collapsed="false">
      <c r="A3817" s="32"/>
      <c r="B3817" s="32"/>
      <c r="C3817" s="32"/>
      <c r="D3817" s="32"/>
      <c r="E3817" s="34" t="str">
        <f aca="false">IF($B3817="","",IF($B3817="OUT","Liters",IFERROR(INDEX(Setup!$F$3:$F$24,MATCH($C3817,Setup!$A$3:$A$24,0)),"")))</f>
        <v/>
      </c>
      <c r="F3817" s="28" t="str">
        <f aca="false">IF(OR($D3817="",$E3817=""),"",IFERROR($D3817*INDEX(Setup!$B$27:$B$44,MATCH($E3817,Setup!$A$27:$A$44,0)),"TBD"))</f>
        <v/>
      </c>
      <c r="G3817" s="32"/>
      <c r="H3817" s="32"/>
      <c r="I3817" s="32"/>
      <c r="J3817" s="32"/>
      <c r="K3817" s="35"/>
      <c r="L3817" s="32"/>
      <c r="M3817" s="32"/>
    </row>
    <row r="3818" customFormat="false" ht="15" hidden="false" customHeight="true" outlineLevel="0" collapsed="false">
      <c r="A3818" s="32"/>
      <c r="B3818" s="32"/>
      <c r="C3818" s="32"/>
      <c r="D3818" s="32"/>
      <c r="E3818" s="34" t="str">
        <f aca="false">IF($B3818="","",IF($B3818="OUT","Liters",IFERROR(INDEX(Setup!$F$3:$F$24,MATCH($C3818,Setup!$A$3:$A$24,0)),"")))</f>
        <v/>
      </c>
      <c r="F3818" s="28" t="str">
        <f aca="false">IF(OR($D3818="",$E3818=""),"",IFERROR($D3818*INDEX(Setup!$B$27:$B$44,MATCH($E3818,Setup!$A$27:$A$44,0)),"TBD"))</f>
        <v/>
      </c>
      <c r="G3818" s="32"/>
      <c r="H3818" s="32"/>
      <c r="I3818" s="32"/>
      <c r="J3818" s="32"/>
      <c r="K3818" s="35"/>
      <c r="L3818" s="32"/>
      <c r="M3818" s="32"/>
    </row>
    <row r="3819" customFormat="false" ht="15" hidden="false" customHeight="true" outlineLevel="0" collapsed="false">
      <c r="A3819" s="32"/>
      <c r="B3819" s="32"/>
      <c r="C3819" s="32"/>
      <c r="D3819" s="32"/>
      <c r="E3819" s="34" t="str">
        <f aca="false">IF($B3819="","",IF($B3819="OUT","Liters",IFERROR(INDEX(Setup!$F$3:$F$24,MATCH($C3819,Setup!$A$3:$A$24,0)),"")))</f>
        <v/>
      </c>
      <c r="F3819" s="28" t="str">
        <f aca="false">IF(OR($D3819="",$E3819=""),"",IFERROR($D3819*INDEX(Setup!$B$27:$B$44,MATCH($E3819,Setup!$A$27:$A$44,0)),"TBD"))</f>
        <v/>
      </c>
      <c r="G3819" s="32"/>
      <c r="H3819" s="32"/>
      <c r="I3819" s="32"/>
      <c r="J3819" s="32"/>
      <c r="K3819" s="35"/>
      <c r="L3819" s="32"/>
      <c r="M3819" s="32"/>
    </row>
    <row r="3820" customFormat="false" ht="15" hidden="false" customHeight="true" outlineLevel="0" collapsed="false">
      <c r="A3820" s="32"/>
      <c r="B3820" s="32"/>
      <c r="C3820" s="32"/>
      <c r="D3820" s="32"/>
      <c r="E3820" s="34" t="str">
        <f aca="false">IF($B3820="","",IF($B3820="OUT","Liters",IFERROR(INDEX(Setup!$F$3:$F$24,MATCH($C3820,Setup!$A$3:$A$24,0)),"")))</f>
        <v/>
      </c>
      <c r="F3820" s="28" t="str">
        <f aca="false">IF(OR($D3820="",$E3820=""),"",IFERROR($D3820*INDEX(Setup!$B$27:$B$44,MATCH($E3820,Setup!$A$27:$A$44,0)),"TBD"))</f>
        <v/>
      </c>
      <c r="G3820" s="32"/>
      <c r="H3820" s="32"/>
      <c r="I3820" s="32"/>
      <c r="J3820" s="32"/>
      <c r="K3820" s="35"/>
      <c r="L3820" s="32"/>
      <c r="M3820" s="32"/>
    </row>
    <row r="3821" customFormat="false" ht="15" hidden="false" customHeight="true" outlineLevel="0" collapsed="false">
      <c r="A3821" s="32"/>
      <c r="B3821" s="32"/>
      <c r="C3821" s="32"/>
      <c r="D3821" s="32"/>
      <c r="E3821" s="34" t="str">
        <f aca="false">IF($B3821="","",IF($B3821="OUT","Liters",IFERROR(INDEX(Setup!$F$3:$F$24,MATCH($C3821,Setup!$A$3:$A$24,0)),"")))</f>
        <v/>
      </c>
      <c r="F3821" s="28" t="str">
        <f aca="false">IF(OR($D3821="",$E3821=""),"",IFERROR($D3821*INDEX(Setup!$B$27:$B$44,MATCH($E3821,Setup!$A$27:$A$44,0)),"TBD"))</f>
        <v/>
      </c>
      <c r="G3821" s="32"/>
      <c r="H3821" s="32"/>
      <c r="I3821" s="32"/>
      <c r="J3821" s="32"/>
      <c r="K3821" s="35"/>
      <c r="L3821" s="32"/>
      <c r="M3821" s="32"/>
    </row>
    <row r="3822" customFormat="false" ht="15" hidden="false" customHeight="true" outlineLevel="0" collapsed="false">
      <c r="A3822" s="32"/>
      <c r="B3822" s="32"/>
      <c r="C3822" s="32"/>
      <c r="D3822" s="32"/>
      <c r="E3822" s="34" t="str">
        <f aca="false">IF($B3822="","",IF($B3822="OUT","Liters",IFERROR(INDEX(Setup!$F$3:$F$24,MATCH($C3822,Setup!$A$3:$A$24,0)),"")))</f>
        <v/>
      </c>
      <c r="F3822" s="28" t="str">
        <f aca="false">IF(OR($D3822="",$E3822=""),"",IFERROR($D3822*INDEX(Setup!$B$27:$B$44,MATCH($E3822,Setup!$A$27:$A$44,0)),"TBD"))</f>
        <v/>
      </c>
      <c r="G3822" s="32"/>
      <c r="H3822" s="32"/>
      <c r="I3822" s="32"/>
      <c r="J3822" s="32"/>
      <c r="K3822" s="35"/>
      <c r="L3822" s="32"/>
      <c r="M3822" s="32"/>
    </row>
    <row r="3823" customFormat="false" ht="15" hidden="false" customHeight="true" outlineLevel="0" collapsed="false">
      <c r="A3823" s="32"/>
      <c r="B3823" s="32"/>
      <c r="C3823" s="32"/>
      <c r="D3823" s="32"/>
      <c r="E3823" s="34" t="str">
        <f aca="false">IF($B3823="","",IF($B3823="OUT","Liters",IFERROR(INDEX(Setup!$F$3:$F$24,MATCH($C3823,Setup!$A$3:$A$24,0)),"")))</f>
        <v/>
      </c>
      <c r="F3823" s="28" t="str">
        <f aca="false">IF(OR($D3823="",$E3823=""),"",IFERROR($D3823*INDEX(Setup!$B$27:$B$44,MATCH($E3823,Setup!$A$27:$A$44,0)),"TBD"))</f>
        <v/>
      </c>
      <c r="G3823" s="32"/>
      <c r="H3823" s="32"/>
      <c r="I3823" s="32"/>
      <c r="J3823" s="32"/>
      <c r="K3823" s="35"/>
      <c r="L3823" s="32"/>
      <c r="M3823" s="32"/>
    </row>
    <row r="3824" customFormat="false" ht="15" hidden="false" customHeight="true" outlineLevel="0" collapsed="false">
      <c r="A3824" s="32"/>
      <c r="B3824" s="32"/>
      <c r="C3824" s="32"/>
      <c r="D3824" s="32"/>
      <c r="E3824" s="34" t="str">
        <f aca="false">IF($B3824="","",IF($B3824="OUT","Liters",IFERROR(INDEX(Setup!$F$3:$F$24,MATCH($C3824,Setup!$A$3:$A$24,0)),"")))</f>
        <v/>
      </c>
      <c r="F3824" s="28" t="str">
        <f aca="false">IF(OR($D3824="",$E3824=""),"",IFERROR($D3824*INDEX(Setup!$B$27:$B$44,MATCH($E3824,Setup!$A$27:$A$44,0)),"TBD"))</f>
        <v/>
      </c>
      <c r="G3824" s="32"/>
      <c r="H3824" s="32"/>
      <c r="I3824" s="32"/>
      <c r="J3824" s="32"/>
      <c r="K3824" s="35"/>
      <c r="L3824" s="32"/>
      <c r="M3824" s="32"/>
    </row>
    <row r="3825" customFormat="false" ht="15" hidden="false" customHeight="true" outlineLevel="0" collapsed="false">
      <c r="A3825" s="32"/>
      <c r="B3825" s="32"/>
      <c r="C3825" s="32"/>
      <c r="D3825" s="32"/>
      <c r="E3825" s="34" t="str">
        <f aca="false">IF($B3825="","",IF($B3825="OUT","Liters",IFERROR(INDEX(Setup!$F$3:$F$24,MATCH($C3825,Setup!$A$3:$A$24,0)),"")))</f>
        <v/>
      </c>
      <c r="F3825" s="28" t="str">
        <f aca="false">IF(OR($D3825="",$E3825=""),"",IFERROR($D3825*INDEX(Setup!$B$27:$B$44,MATCH($E3825,Setup!$A$27:$A$44,0)),"TBD"))</f>
        <v/>
      </c>
      <c r="G3825" s="32"/>
      <c r="H3825" s="32"/>
      <c r="I3825" s="32"/>
      <c r="J3825" s="32"/>
      <c r="K3825" s="35"/>
      <c r="L3825" s="32"/>
      <c r="M3825" s="32"/>
    </row>
    <row r="3826" customFormat="false" ht="15" hidden="false" customHeight="true" outlineLevel="0" collapsed="false">
      <c r="A3826" s="32"/>
      <c r="B3826" s="32"/>
      <c r="C3826" s="32"/>
      <c r="D3826" s="32"/>
      <c r="E3826" s="34" t="str">
        <f aca="false">IF($B3826="","",IF($B3826="OUT","Liters",IFERROR(INDEX(Setup!$F$3:$F$24,MATCH($C3826,Setup!$A$3:$A$24,0)),"")))</f>
        <v/>
      </c>
      <c r="F3826" s="28" t="str">
        <f aca="false">IF(OR($D3826="",$E3826=""),"",IFERROR($D3826*INDEX(Setup!$B$27:$B$44,MATCH($E3826,Setup!$A$27:$A$44,0)),"TBD"))</f>
        <v/>
      </c>
      <c r="G3826" s="32"/>
      <c r="H3826" s="32"/>
      <c r="I3826" s="32"/>
      <c r="J3826" s="32"/>
      <c r="K3826" s="35"/>
      <c r="L3826" s="32"/>
      <c r="M3826" s="32"/>
    </row>
    <row r="3827" customFormat="false" ht="15" hidden="false" customHeight="true" outlineLevel="0" collapsed="false">
      <c r="A3827" s="32"/>
      <c r="B3827" s="32"/>
      <c r="C3827" s="32"/>
      <c r="D3827" s="32"/>
      <c r="E3827" s="34" t="str">
        <f aca="false">IF($B3827="","",IF($B3827="OUT","Liters",IFERROR(INDEX(Setup!$F$3:$F$24,MATCH($C3827,Setup!$A$3:$A$24,0)),"")))</f>
        <v/>
      </c>
      <c r="F3827" s="28" t="str">
        <f aca="false">IF(OR($D3827="",$E3827=""),"",IFERROR($D3827*INDEX(Setup!$B$27:$B$44,MATCH($E3827,Setup!$A$27:$A$44,0)),"TBD"))</f>
        <v/>
      </c>
      <c r="G3827" s="32"/>
      <c r="H3827" s="32"/>
      <c r="I3827" s="32"/>
      <c r="J3827" s="32"/>
      <c r="K3827" s="35"/>
      <c r="L3827" s="32"/>
      <c r="M3827" s="32"/>
    </row>
    <row r="3828" customFormat="false" ht="15" hidden="false" customHeight="true" outlineLevel="0" collapsed="false">
      <c r="A3828" s="32"/>
      <c r="B3828" s="32"/>
      <c r="C3828" s="32"/>
      <c r="D3828" s="32"/>
      <c r="E3828" s="34" t="str">
        <f aca="false">IF($B3828="","",IF($B3828="OUT","Liters",IFERROR(INDEX(Setup!$F$3:$F$24,MATCH($C3828,Setup!$A$3:$A$24,0)),"")))</f>
        <v/>
      </c>
      <c r="F3828" s="28" t="str">
        <f aca="false">IF(OR($D3828="",$E3828=""),"",IFERROR($D3828*INDEX(Setup!$B$27:$B$44,MATCH($E3828,Setup!$A$27:$A$44,0)),"TBD"))</f>
        <v/>
      </c>
      <c r="G3828" s="32"/>
      <c r="H3828" s="32"/>
      <c r="I3828" s="32"/>
      <c r="J3828" s="32"/>
      <c r="K3828" s="35"/>
      <c r="L3828" s="32"/>
      <c r="M3828" s="32"/>
    </row>
    <row r="3829" customFormat="false" ht="15" hidden="false" customHeight="true" outlineLevel="0" collapsed="false">
      <c r="A3829" s="32"/>
      <c r="B3829" s="32"/>
      <c r="C3829" s="32"/>
      <c r="D3829" s="32"/>
      <c r="E3829" s="34" t="str">
        <f aca="false">IF($B3829="","",IF($B3829="OUT","Liters",IFERROR(INDEX(Setup!$F$3:$F$24,MATCH($C3829,Setup!$A$3:$A$24,0)),"")))</f>
        <v/>
      </c>
      <c r="F3829" s="28" t="str">
        <f aca="false">IF(OR($D3829="",$E3829=""),"",IFERROR($D3829*INDEX(Setup!$B$27:$B$44,MATCH($E3829,Setup!$A$27:$A$44,0)),"TBD"))</f>
        <v/>
      </c>
      <c r="G3829" s="32"/>
      <c r="H3829" s="32"/>
      <c r="I3829" s="32"/>
      <c r="J3829" s="32"/>
      <c r="K3829" s="35"/>
      <c r="L3829" s="32"/>
      <c r="M3829" s="32"/>
    </row>
    <row r="3830" customFormat="false" ht="15" hidden="false" customHeight="true" outlineLevel="0" collapsed="false">
      <c r="A3830" s="32"/>
      <c r="B3830" s="32"/>
      <c r="C3830" s="32"/>
      <c r="D3830" s="32"/>
      <c r="E3830" s="34" t="str">
        <f aca="false">IF($B3830="","",IF($B3830="OUT","Liters",IFERROR(INDEX(Setup!$F$3:$F$24,MATCH($C3830,Setup!$A$3:$A$24,0)),"")))</f>
        <v/>
      </c>
      <c r="F3830" s="28" t="str">
        <f aca="false">IF(OR($D3830="",$E3830=""),"",IFERROR($D3830*INDEX(Setup!$B$27:$B$44,MATCH($E3830,Setup!$A$27:$A$44,0)),"TBD"))</f>
        <v/>
      </c>
      <c r="G3830" s="32"/>
      <c r="H3830" s="32"/>
      <c r="I3830" s="32"/>
      <c r="J3830" s="32"/>
      <c r="K3830" s="35"/>
      <c r="L3830" s="32"/>
      <c r="M3830" s="32"/>
    </row>
    <row r="3831" customFormat="false" ht="15" hidden="false" customHeight="true" outlineLevel="0" collapsed="false">
      <c r="A3831" s="32"/>
      <c r="B3831" s="32"/>
      <c r="C3831" s="32"/>
      <c r="D3831" s="32"/>
      <c r="E3831" s="34" t="str">
        <f aca="false">IF($B3831="","",IF($B3831="OUT","Liters",IFERROR(INDEX(Setup!$F$3:$F$24,MATCH($C3831,Setup!$A$3:$A$24,0)),"")))</f>
        <v/>
      </c>
      <c r="F3831" s="28" t="str">
        <f aca="false">IF(OR($D3831="",$E3831=""),"",IFERROR($D3831*INDEX(Setup!$B$27:$B$44,MATCH($E3831,Setup!$A$27:$A$44,0)),"TBD"))</f>
        <v/>
      </c>
      <c r="G3831" s="32"/>
      <c r="H3831" s="32"/>
      <c r="I3831" s="32"/>
      <c r="J3831" s="32"/>
      <c r="K3831" s="35"/>
      <c r="L3831" s="32"/>
      <c r="M3831" s="32"/>
    </row>
    <row r="3832" customFormat="false" ht="15" hidden="false" customHeight="true" outlineLevel="0" collapsed="false">
      <c r="A3832" s="32"/>
      <c r="B3832" s="32"/>
      <c r="C3832" s="32"/>
      <c r="D3832" s="32"/>
      <c r="E3832" s="34" t="str">
        <f aca="false">IF($B3832="","",IF($B3832="OUT","Liters",IFERROR(INDEX(Setup!$F$3:$F$24,MATCH($C3832,Setup!$A$3:$A$24,0)),"")))</f>
        <v/>
      </c>
      <c r="F3832" s="28" t="str">
        <f aca="false">IF(OR($D3832="",$E3832=""),"",IFERROR($D3832*INDEX(Setup!$B$27:$B$44,MATCH($E3832,Setup!$A$27:$A$44,0)),"TBD"))</f>
        <v/>
      </c>
      <c r="G3832" s="32"/>
      <c r="H3832" s="32"/>
      <c r="I3832" s="32"/>
      <c r="J3832" s="32"/>
      <c r="K3832" s="35"/>
      <c r="L3832" s="32"/>
      <c r="M3832" s="32"/>
    </row>
    <row r="3833" customFormat="false" ht="15" hidden="false" customHeight="true" outlineLevel="0" collapsed="false">
      <c r="A3833" s="32"/>
      <c r="B3833" s="32"/>
      <c r="C3833" s="32"/>
      <c r="D3833" s="32"/>
      <c r="E3833" s="34" t="str">
        <f aca="false">IF($B3833="","",IF($B3833="OUT","Liters",IFERROR(INDEX(Setup!$F$3:$F$24,MATCH($C3833,Setup!$A$3:$A$24,0)),"")))</f>
        <v/>
      </c>
      <c r="F3833" s="28" t="str">
        <f aca="false">IF(OR($D3833="",$E3833=""),"",IFERROR($D3833*INDEX(Setup!$B$27:$B$44,MATCH($E3833,Setup!$A$27:$A$44,0)),"TBD"))</f>
        <v/>
      </c>
      <c r="G3833" s="32"/>
      <c r="H3833" s="32"/>
      <c r="I3833" s="32"/>
      <c r="J3833" s="32"/>
      <c r="K3833" s="35"/>
      <c r="L3833" s="32"/>
      <c r="M3833" s="32"/>
    </row>
    <row r="3834" customFormat="false" ht="15" hidden="false" customHeight="true" outlineLevel="0" collapsed="false">
      <c r="A3834" s="32"/>
      <c r="B3834" s="32"/>
      <c r="C3834" s="32"/>
      <c r="D3834" s="32"/>
      <c r="E3834" s="34" t="str">
        <f aca="false">IF($B3834="","",IF($B3834="OUT","Liters",IFERROR(INDEX(Setup!$F$3:$F$24,MATCH($C3834,Setup!$A$3:$A$24,0)),"")))</f>
        <v/>
      </c>
      <c r="F3834" s="28" t="str">
        <f aca="false">IF(OR($D3834="",$E3834=""),"",IFERROR($D3834*INDEX(Setup!$B$27:$B$44,MATCH($E3834,Setup!$A$27:$A$44,0)),"TBD"))</f>
        <v/>
      </c>
      <c r="G3834" s="32"/>
      <c r="H3834" s="32"/>
      <c r="I3834" s="32"/>
      <c r="J3834" s="32"/>
      <c r="K3834" s="35"/>
      <c r="L3834" s="32"/>
      <c r="M3834" s="32"/>
    </row>
    <row r="3835" customFormat="false" ht="15" hidden="false" customHeight="true" outlineLevel="0" collapsed="false">
      <c r="A3835" s="32"/>
      <c r="B3835" s="32"/>
      <c r="C3835" s="32"/>
      <c r="D3835" s="32"/>
      <c r="E3835" s="34" t="str">
        <f aca="false">IF($B3835="","",IF($B3835="OUT","Liters",IFERROR(INDEX(Setup!$F$3:$F$24,MATCH($C3835,Setup!$A$3:$A$24,0)),"")))</f>
        <v/>
      </c>
      <c r="F3835" s="28" t="str">
        <f aca="false">IF(OR($D3835="",$E3835=""),"",IFERROR($D3835*INDEX(Setup!$B$27:$B$44,MATCH($E3835,Setup!$A$27:$A$44,0)),"TBD"))</f>
        <v/>
      </c>
      <c r="G3835" s="32"/>
      <c r="H3835" s="32"/>
      <c r="I3835" s="32"/>
      <c r="J3835" s="32"/>
      <c r="K3835" s="35"/>
      <c r="L3835" s="32"/>
      <c r="M3835" s="32"/>
    </row>
    <row r="3836" customFormat="false" ht="15" hidden="false" customHeight="true" outlineLevel="0" collapsed="false">
      <c r="A3836" s="32"/>
      <c r="B3836" s="32"/>
      <c r="C3836" s="32"/>
      <c r="D3836" s="32"/>
      <c r="E3836" s="34" t="str">
        <f aca="false">IF($B3836="","",IF($B3836="OUT","Liters",IFERROR(INDEX(Setup!$F$3:$F$24,MATCH($C3836,Setup!$A$3:$A$24,0)),"")))</f>
        <v/>
      </c>
      <c r="F3836" s="28" t="str">
        <f aca="false">IF(OR($D3836="",$E3836=""),"",IFERROR($D3836*INDEX(Setup!$B$27:$B$44,MATCH($E3836,Setup!$A$27:$A$44,0)),"TBD"))</f>
        <v/>
      </c>
      <c r="G3836" s="32"/>
      <c r="H3836" s="32"/>
      <c r="I3836" s="32"/>
      <c r="J3836" s="32"/>
      <c r="K3836" s="35"/>
      <c r="L3836" s="32"/>
      <c r="M3836" s="32"/>
    </row>
    <row r="3837" customFormat="false" ht="15" hidden="false" customHeight="true" outlineLevel="0" collapsed="false">
      <c r="A3837" s="32"/>
      <c r="B3837" s="32"/>
      <c r="C3837" s="32"/>
      <c r="D3837" s="32"/>
      <c r="E3837" s="34" t="str">
        <f aca="false">IF($B3837="","",IF($B3837="OUT","Liters",IFERROR(INDEX(Setup!$F$3:$F$24,MATCH($C3837,Setup!$A$3:$A$24,0)),"")))</f>
        <v/>
      </c>
      <c r="F3837" s="28" t="str">
        <f aca="false">IF(OR($D3837="",$E3837=""),"",IFERROR($D3837*INDEX(Setup!$B$27:$B$44,MATCH($E3837,Setup!$A$27:$A$44,0)),"TBD"))</f>
        <v/>
      </c>
      <c r="G3837" s="32"/>
      <c r="H3837" s="32"/>
      <c r="I3837" s="32"/>
      <c r="J3837" s="32"/>
      <c r="K3837" s="35"/>
      <c r="L3837" s="32"/>
      <c r="M3837" s="32"/>
    </row>
    <row r="3838" customFormat="false" ht="15" hidden="false" customHeight="true" outlineLevel="0" collapsed="false">
      <c r="A3838" s="32"/>
      <c r="B3838" s="32"/>
      <c r="C3838" s="32"/>
      <c r="D3838" s="32"/>
      <c r="E3838" s="34" t="str">
        <f aca="false">IF($B3838="","",IF($B3838="OUT","Liters",IFERROR(INDEX(Setup!$F$3:$F$24,MATCH($C3838,Setup!$A$3:$A$24,0)),"")))</f>
        <v/>
      </c>
      <c r="F3838" s="28" t="str">
        <f aca="false">IF(OR($D3838="",$E3838=""),"",IFERROR($D3838*INDEX(Setup!$B$27:$B$44,MATCH($E3838,Setup!$A$27:$A$44,0)),"TBD"))</f>
        <v/>
      </c>
      <c r="G3838" s="32"/>
      <c r="H3838" s="32"/>
      <c r="I3838" s="32"/>
      <c r="J3838" s="32"/>
      <c r="K3838" s="35"/>
      <c r="L3838" s="32"/>
      <c r="M3838" s="32"/>
    </row>
    <row r="3839" customFormat="false" ht="15" hidden="false" customHeight="true" outlineLevel="0" collapsed="false">
      <c r="A3839" s="32"/>
      <c r="B3839" s="32"/>
      <c r="C3839" s="32"/>
      <c r="D3839" s="32"/>
      <c r="E3839" s="34" t="str">
        <f aca="false">IF($B3839="","",IF($B3839="OUT","Liters",IFERROR(INDEX(Setup!$F$3:$F$24,MATCH($C3839,Setup!$A$3:$A$24,0)),"")))</f>
        <v/>
      </c>
      <c r="F3839" s="28" t="str">
        <f aca="false">IF(OR($D3839="",$E3839=""),"",IFERROR($D3839*INDEX(Setup!$B$27:$B$44,MATCH($E3839,Setup!$A$27:$A$44,0)),"TBD"))</f>
        <v/>
      </c>
      <c r="G3839" s="32"/>
      <c r="H3839" s="32"/>
      <c r="I3839" s="32"/>
      <c r="J3839" s="32"/>
      <c r="K3839" s="35"/>
      <c r="L3839" s="32"/>
      <c r="M3839" s="32"/>
    </row>
    <row r="3840" customFormat="false" ht="15" hidden="false" customHeight="true" outlineLevel="0" collapsed="false">
      <c r="A3840" s="32"/>
      <c r="B3840" s="32"/>
      <c r="C3840" s="32"/>
      <c r="D3840" s="32"/>
      <c r="E3840" s="34" t="str">
        <f aca="false">IF($B3840="","",IF($B3840="OUT","Liters",IFERROR(INDEX(Setup!$F$3:$F$24,MATCH($C3840,Setup!$A$3:$A$24,0)),"")))</f>
        <v/>
      </c>
      <c r="F3840" s="28" t="str">
        <f aca="false">IF(OR($D3840="",$E3840=""),"",IFERROR($D3840*INDEX(Setup!$B$27:$B$44,MATCH($E3840,Setup!$A$27:$A$44,0)),"TBD"))</f>
        <v/>
      </c>
      <c r="G3840" s="32"/>
      <c r="H3840" s="32"/>
      <c r="I3840" s="32"/>
      <c r="J3840" s="32"/>
      <c r="K3840" s="35"/>
      <c r="L3840" s="32"/>
      <c r="M3840" s="32"/>
    </row>
    <row r="3841" customFormat="false" ht="15" hidden="false" customHeight="true" outlineLevel="0" collapsed="false">
      <c r="A3841" s="32"/>
      <c r="B3841" s="32"/>
      <c r="C3841" s="32"/>
      <c r="D3841" s="32"/>
      <c r="E3841" s="34" t="str">
        <f aca="false">IF($B3841="","",IF($B3841="OUT","Liters",IFERROR(INDEX(Setup!$F$3:$F$24,MATCH($C3841,Setup!$A$3:$A$24,0)),"")))</f>
        <v/>
      </c>
      <c r="F3841" s="28" t="str">
        <f aca="false">IF(OR($D3841="",$E3841=""),"",IFERROR($D3841*INDEX(Setup!$B$27:$B$44,MATCH($E3841,Setup!$A$27:$A$44,0)),"TBD"))</f>
        <v/>
      </c>
      <c r="G3841" s="32"/>
      <c r="H3841" s="32"/>
      <c r="I3841" s="32"/>
      <c r="J3841" s="32"/>
      <c r="K3841" s="35"/>
      <c r="L3841" s="32"/>
      <c r="M3841" s="32"/>
    </row>
    <row r="3842" customFormat="false" ht="15" hidden="false" customHeight="true" outlineLevel="0" collapsed="false">
      <c r="A3842" s="32"/>
      <c r="B3842" s="32"/>
      <c r="C3842" s="32"/>
      <c r="D3842" s="32"/>
      <c r="E3842" s="34" t="str">
        <f aca="false">IF($B3842="","",IF($B3842="OUT","Liters",IFERROR(INDEX(Setup!$F$3:$F$24,MATCH($C3842,Setup!$A$3:$A$24,0)),"")))</f>
        <v/>
      </c>
      <c r="F3842" s="28" t="str">
        <f aca="false">IF(OR($D3842="",$E3842=""),"",IFERROR($D3842*INDEX(Setup!$B$27:$B$44,MATCH($E3842,Setup!$A$27:$A$44,0)),"TBD"))</f>
        <v/>
      </c>
      <c r="G3842" s="32"/>
      <c r="H3842" s="32"/>
      <c r="I3842" s="32"/>
      <c r="J3842" s="32"/>
      <c r="K3842" s="35"/>
      <c r="L3842" s="32"/>
      <c r="M3842" s="32"/>
    </row>
    <row r="3843" customFormat="false" ht="15" hidden="false" customHeight="true" outlineLevel="0" collapsed="false">
      <c r="A3843" s="32"/>
      <c r="B3843" s="32"/>
      <c r="C3843" s="32"/>
      <c r="D3843" s="32"/>
      <c r="E3843" s="34" t="str">
        <f aca="false">IF($B3843="","",IF($B3843="OUT","Liters",IFERROR(INDEX(Setup!$F$3:$F$24,MATCH($C3843,Setup!$A$3:$A$24,0)),"")))</f>
        <v/>
      </c>
      <c r="F3843" s="28" t="str">
        <f aca="false">IF(OR($D3843="",$E3843=""),"",IFERROR($D3843*INDEX(Setup!$B$27:$B$44,MATCH($E3843,Setup!$A$27:$A$44,0)),"TBD"))</f>
        <v/>
      </c>
      <c r="G3843" s="32"/>
      <c r="H3843" s="32"/>
      <c r="I3843" s="32"/>
      <c r="J3843" s="32"/>
      <c r="K3843" s="35"/>
      <c r="L3843" s="32"/>
      <c r="M3843" s="32"/>
    </row>
    <row r="3844" customFormat="false" ht="15" hidden="false" customHeight="true" outlineLevel="0" collapsed="false">
      <c r="A3844" s="32"/>
      <c r="B3844" s="32"/>
      <c r="C3844" s="32"/>
      <c r="D3844" s="32"/>
      <c r="E3844" s="34" t="str">
        <f aca="false">IF($B3844="","",IF($B3844="OUT","Liters",IFERROR(INDEX(Setup!$F$3:$F$24,MATCH($C3844,Setup!$A$3:$A$24,0)),"")))</f>
        <v/>
      </c>
      <c r="F3844" s="28" t="str">
        <f aca="false">IF(OR($D3844="",$E3844=""),"",IFERROR($D3844*INDEX(Setup!$B$27:$B$44,MATCH($E3844,Setup!$A$27:$A$44,0)),"TBD"))</f>
        <v/>
      </c>
      <c r="G3844" s="32"/>
      <c r="H3844" s="32"/>
      <c r="I3844" s="32"/>
      <c r="J3844" s="32"/>
      <c r="K3844" s="35"/>
      <c r="L3844" s="32"/>
      <c r="M3844" s="32"/>
    </row>
    <row r="3845" customFormat="false" ht="15" hidden="false" customHeight="true" outlineLevel="0" collapsed="false">
      <c r="A3845" s="32"/>
      <c r="B3845" s="32"/>
      <c r="C3845" s="32"/>
      <c r="D3845" s="32"/>
      <c r="E3845" s="34" t="str">
        <f aca="false">IF($B3845="","",IF($B3845="OUT","Liters",IFERROR(INDEX(Setup!$F$3:$F$24,MATCH($C3845,Setup!$A$3:$A$24,0)),"")))</f>
        <v/>
      </c>
      <c r="F3845" s="28" t="str">
        <f aca="false">IF(OR($D3845="",$E3845=""),"",IFERROR($D3845*INDEX(Setup!$B$27:$B$44,MATCH($E3845,Setup!$A$27:$A$44,0)),"TBD"))</f>
        <v/>
      </c>
      <c r="G3845" s="32"/>
      <c r="H3845" s="32"/>
      <c r="I3845" s="32"/>
      <c r="J3845" s="32"/>
      <c r="K3845" s="35"/>
      <c r="L3845" s="32"/>
      <c r="M3845" s="32"/>
    </row>
    <row r="3846" customFormat="false" ht="15" hidden="false" customHeight="true" outlineLevel="0" collapsed="false">
      <c r="A3846" s="32"/>
      <c r="B3846" s="32"/>
      <c r="C3846" s="32"/>
      <c r="D3846" s="32"/>
      <c r="E3846" s="34" t="str">
        <f aca="false">IF($B3846="","",IF($B3846="OUT","Liters",IFERROR(INDEX(Setup!$F$3:$F$24,MATCH($C3846,Setup!$A$3:$A$24,0)),"")))</f>
        <v/>
      </c>
      <c r="F3846" s="28" t="str">
        <f aca="false">IF(OR($D3846="",$E3846=""),"",IFERROR($D3846*INDEX(Setup!$B$27:$B$44,MATCH($E3846,Setup!$A$27:$A$44,0)),"TBD"))</f>
        <v/>
      </c>
      <c r="G3846" s="32"/>
      <c r="H3846" s="32"/>
      <c r="I3846" s="32"/>
      <c r="J3846" s="32"/>
      <c r="K3846" s="35"/>
      <c r="L3846" s="32"/>
      <c r="M3846" s="32"/>
    </row>
    <row r="3847" customFormat="false" ht="15" hidden="false" customHeight="true" outlineLevel="0" collapsed="false">
      <c r="A3847" s="32"/>
      <c r="B3847" s="32"/>
      <c r="C3847" s="32"/>
      <c r="D3847" s="32"/>
      <c r="E3847" s="34" t="str">
        <f aca="false">IF($B3847="","",IF($B3847="OUT","Liters",IFERROR(INDEX(Setup!$F$3:$F$24,MATCH($C3847,Setup!$A$3:$A$24,0)),"")))</f>
        <v/>
      </c>
      <c r="F3847" s="28" t="str">
        <f aca="false">IF(OR($D3847="",$E3847=""),"",IFERROR($D3847*INDEX(Setup!$B$27:$B$44,MATCH($E3847,Setup!$A$27:$A$44,0)),"TBD"))</f>
        <v/>
      </c>
      <c r="G3847" s="32"/>
      <c r="H3847" s="32"/>
      <c r="I3847" s="32"/>
      <c r="J3847" s="32"/>
      <c r="K3847" s="35"/>
      <c r="L3847" s="32"/>
      <c r="M3847" s="32"/>
    </row>
    <row r="3848" customFormat="false" ht="15" hidden="false" customHeight="true" outlineLevel="0" collapsed="false">
      <c r="A3848" s="32"/>
      <c r="B3848" s="32"/>
      <c r="C3848" s="32"/>
      <c r="D3848" s="32"/>
      <c r="E3848" s="34" t="str">
        <f aca="false">IF($B3848="","",IF($B3848="OUT","Liters",IFERROR(INDEX(Setup!$F$3:$F$24,MATCH($C3848,Setup!$A$3:$A$24,0)),"")))</f>
        <v/>
      </c>
      <c r="F3848" s="28" t="str">
        <f aca="false">IF(OR($D3848="",$E3848=""),"",IFERROR($D3848*INDEX(Setup!$B$27:$B$44,MATCH($E3848,Setup!$A$27:$A$44,0)),"TBD"))</f>
        <v/>
      </c>
      <c r="G3848" s="32"/>
      <c r="H3848" s="32"/>
      <c r="I3848" s="32"/>
      <c r="J3848" s="32"/>
      <c r="K3848" s="35"/>
      <c r="L3848" s="32"/>
      <c r="M3848" s="32"/>
    </row>
    <row r="3849" customFormat="false" ht="15" hidden="false" customHeight="true" outlineLevel="0" collapsed="false">
      <c r="A3849" s="32"/>
      <c r="B3849" s="32"/>
      <c r="C3849" s="32"/>
      <c r="D3849" s="32"/>
      <c r="E3849" s="34" t="str">
        <f aca="false">IF($B3849="","",IF($B3849="OUT","Liters",IFERROR(INDEX(Setup!$F$3:$F$24,MATCH($C3849,Setup!$A$3:$A$24,0)),"")))</f>
        <v/>
      </c>
      <c r="F3849" s="28" t="str">
        <f aca="false">IF(OR($D3849="",$E3849=""),"",IFERROR($D3849*INDEX(Setup!$B$27:$B$44,MATCH($E3849,Setup!$A$27:$A$44,0)),"TBD"))</f>
        <v/>
      </c>
      <c r="G3849" s="32"/>
      <c r="H3849" s="32"/>
      <c r="I3849" s="32"/>
      <c r="J3849" s="32"/>
      <c r="K3849" s="35"/>
      <c r="L3849" s="32"/>
      <c r="M3849" s="32"/>
    </row>
    <row r="3850" customFormat="false" ht="15" hidden="false" customHeight="true" outlineLevel="0" collapsed="false">
      <c r="A3850" s="32"/>
      <c r="B3850" s="32"/>
      <c r="C3850" s="32"/>
      <c r="D3850" s="32"/>
      <c r="E3850" s="34" t="str">
        <f aca="false">IF($B3850="","",IF($B3850="OUT","Liters",IFERROR(INDEX(Setup!$F$3:$F$24,MATCH($C3850,Setup!$A$3:$A$24,0)),"")))</f>
        <v/>
      </c>
      <c r="F3850" s="28" t="str">
        <f aca="false">IF(OR($D3850="",$E3850=""),"",IFERROR($D3850*INDEX(Setup!$B$27:$B$44,MATCH($E3850,Setup!$A$27:$A$44,0)),"TBD"))</f>
        <v/>
      </c>
      <c r="G3850" s="32"/>
      <c r="H3850" s="32"/>
      <c r="I3850" s="32"/>
      <c r="J3850" s="32"/>
      <c r="K3850" s="35"/>
      <c r="L3850" s="32"/>
      <c r="M3850" s="32"/>
    </row>
    <row r="3851" customFormat="false" ht="15" hidden="false" customHeight="true" outlineLevel="0" collapsed="false">
      <c r="A3851" s="32"/>
      <c r="B3851" s="32"/>
      <c r="C3851" s="32"/>
      <c r="D3851" s="32"/>
      <c r="E3851" s="34" t="str">
        <f aca="false">IF($B3851="","",IF($B3851="OUT","Liters",IFERROR(INDEX(Setup!$F$3:$F$24,MATCH($C3851,Setup!$A$3:$A$24,0)),"")))</f>
        <v/>
      </c>
      <c r="F3851" s="28" t="str">
        <f aca="false">IF(OR($D3851="",$E3851=""),"",IFERROR($D3851*INDEX(Setup!$B$27:$B$44,MATCH($E3851,Setup!$A$27:$A$44,0)),"TBD"))</f>
        <v/>
      </c>
      <c r="G3851" s="32"/>
      <c r="H3851" s="32"/>
      <c r="I3851" s="32"/>
      <c r="J3851" s="32"/>
      <c r="K3851" s="35"/>
      <c r="L3851" s="32"/>
      <c r="M3851" s="32"/>
    </row>
    <row r="3852" customFormat="false" ht="15" hidden="false" customHeight="true" outlineLevel="0" collapsed="false">
      <c r="A3852" s="32"/>
      <c r="B3852" s="32"/>
      <c r="C3852" s="32"/>
      <c r="D3852" s="32"/>
      <c r="E3852" s="34" t="str">
        <f aca="false">IF($B3852="","",IF($B3852="OUT","Liters",IFERROR(INDEX(Setup!$F$3:$F$24,MATCH($C3852,Setup!$A$3:$A$24,0)),"")))</f>
        <v/>
      </c>
      <c r="F3852" s="28" t="str">
        <f aca="false">IF(OR($D3852="",$E3852=""),"",IFERROR($D3852*INDEX(Setup!$B$27:$B$44,MATCH($E3852,Setup!$A$27:$A$44,0)),"TBD"))</f>
        <v/>
      </c>
      <c r="G3852" s="32"/>
      <c r="H3852" s="32"/>
      <c r="I3852" s="32"/>
      <c r="J3852" s="32"/>
      <c r="K3852" s="35"/>
      <c r="L3852" s="32"/>
      <c r="M3852" s="32"/>
    </row>
    <row r="3853" customFormat="false" ht="15" hidden="false" customHeight="true" outlineLevel="0" collapsed="false">
      <c r="A3853" s="32"/>
      <c r="B3853" s="32"/>
      <c r="C3853" s="32"/>
      <c r="D3853" s="32"/>
      <c r="E3853" s="34" t="str">
        <f aca="false">IF($B3853="","",IF($B3853="OUT","Liters",IFERROR(INDEX(Setup!$F$3:$F$24,MATCH($C3853,Setup!$A$3:$A$24,0)),"")))</f>
        <v/>
      </c>
      <c r="F3853" s="28" t="str">
        <f aca="false">IF(OR($D3853="",$E3853=""),"",IFERROR($D3853*INDEX(Setup!$B$27:$B$44,MATCH($E3853,Setup!$A$27:$A$44,0)),"TBD"))</f>
        <v/>
      </c>
      <c r="G3853" s="32"/>
      <c r="H3853" s="32"/>
      <c r="I3853" s="32"/>
      <c r="J3853" s="32"/>
      <c r="K3853" s="35"/>
      <c r="L3853" s="32"/>
      <c r="M3853" s="32"/>
    </row>
    <row r="3854" customFormat="false" ht="15" hidden="false" customHeight="true" outlineLevel="0" collapsed="false">
      <c r="A3854" s="32"/>
      <c r="B3854" s="32"/>
      <c r="C3854" s="32"/>
      <c r="D3854" s="32"/>
      <c r="E3854" s="34" t="str">
        <f aca="false">IF($B3854="","",IF($B3854="OUT","Liters",IFERROR(INDEX(Setup!$F$3:$F$24,MATCH($C3854,Setup!$A$3:$A$24,0)),"")))</f>
        <v/>
      </c>
      <c r="F3854" s="28" t="str">
        <f aca="false">IF(OR($D3854="",$E3854=""),"",IFERROR($D3854*INDEX(Setup!$B$27:$B$44,MATCH($E3854,Setup!$A$27:$A$44,0)),"TBD"))</f>
        <v/>
      </c>
      <c r="G3854" s="32"/>
      <c r="H3854" s="32"/>
      <c r="I3854" s="32"/>
      <c r="J3854" s="32"/>
      <c r="K3854" s="35"/>
      <c r="L3854" s="32"/>
      <c r="M3854" s="32"/>
    </row>
    <row r="3855" customFormat="false" ht="15" hidden="false" customHeight="true" outlineLevel="0" collapsed="false">
      <c r="A3855" s="32"/>
      <c r="B3855" s="32"/>
      <c r="C3855" s="32"/>
      <c r="D3855" s="32"/>
      <c r="E3855" s="34" t="str">
        <f aca="false">IF($B3855="","",IF($B3855="OUT","Liters",IFERROR(INDEX(Setup!$F$3:$F$24,MATCH($C3855,Setup!$A$3:$A$24,0)),"")))</f>
        <v/>
      </c>
      <c r="F3855" s="28" t="str">
        <f aca="false">IF(OR($D3855="",$E3855=""),"",IFERROR($D3855*INDEX(Setup!$B$27:$B$44,MATCH($E3855,Setup!$A$27:$A$44,0)),"TBD"))</f>
        <v/>
      </c>
      <c r="G3855" s="32"/>
      <c r="H3855" s="32"/>
      <c r="I3855" s="32"/>
      <c r="J3855" s="32"/>
      <c r="K3855" s="35"/>
      <c r="L3855" s="32"/>
      <c r="M3855" s="32"/>
    </row>
    <row r="3856" customFormat="false" ht="15" hidden="false" customHeight="true" outlineLevel="0" collapsed="false">
      <c r="A3856" s="32"/>
      <c r="B3856" s="32"/>
      <c r="C3856" s="32"/>
      <c r="D3856" s="32"/>
      <c r="E3856" s="34" t="str">
        <f aca="false">IF($B3856="","",IF($B3856="OUT","Liters",IFERROR(INDEX(Setup!$F$3:$F$24,MATCH($C3856,Setup!$A$3:$A$24,0)),"")))</f>
        <v/>
      </c>
      <c r="F3856" s="28" t="str">
        <f aca="false">IF(OR($D3856="",$E3856=""),"",IFERROR($D3856*INDEX(Setup!$B$27:$B$44,MATCH($E3856,Setup!$A$27:$A$44,0)),"TBD"))</f>
        <v/>
      </c>
      <c r="G3856" s="32"/>
      <c r="H3856" s="32"/>
      <c r="I3856" s="32"/>
      <c r="J3856" s="32"/>
      <c r="K3856" s="35"/>
      <c r="L3856" s="32"/>
      <c r="M3856" s="32"/>
    </row>
    <row r="3857" customFormat="false" ht="15" hidden="false" customHeight="true" outlineLevel="0" collapsed="false">
      <c r="A3857" s="32"/>
      <c r="B3857" s="32"/>
      <c r="C3857" s="32"/>
      <c r="D3857" s="32"/>
      <c r="E3857" s="34" t="str">
        <f aca="false">IF($B3857="","",IF($B3857="OUT","Liters",IFERROR(INDEX(Setup!$F$3:$F$24,MATCH($C3857,Setup!$A$3:$A$24,0)),"")))</f>
        <v/>
      </c>
      <c r="F3857" s="28" t="str">
        <f aca="false">IF(OR($D3857="",$E3857=""),"",IFERROR($D3857*INDEX(Setup!$B$27:$B$44,MATCH($E3857,Setup!$A$27:$A$44,0)),"TBD"))</f>
        <v/>
      </c>
      <c r="G3857" s="32"/>
      <c r="H3857" s="32"/>
      <c r="I3857" s="32"/>
      <c r="J3857" s="32"/>
      <c r="K3857" s="35"/>
      <c r="L3857" s="32"/>
      <c r="M3857" s="32"/>
    </row>
    <row r="3858" customFormat="false" ht="15" hidden="false" customHeight="true" outlineLevel="0" collapsed="false">
      <c r="A3858" s="32"/>
      <c r="B3858" s="32"/>
      <c r="C3858" s="32"/>
      <c r="D3858" s="32"/>
      <c r="E3858" s="34" t="str">
        <f aca="false">IF($B3858="","",IF($B3858="OUT","Liters",IFERROR(INDEX(Setup!$F$3:$F$24,MATCH($C3858,Setup!$A$3:$A$24,0)),"")))</f>
        <v/>
      </c>
      <c r="F3858" s="28" t="str">
        <f aca="false">IF(OR($D3858="",$E3858=""),"",IFERROR($D3858*INDEX(Setup!$B$27:$B$44,MATCH($E3858,Setup!$A$27:$A$44,0)),"TBD"))</f>
        <v/>
      </c>
      <c r="G3858" s="32"/>
      <c r="H3858" s="32"/>
      <c r="I3858" s="32"/>
      <c r="J3858" s="32"/>
      <c r="K3858" s="35"/>
      <c r="L3858" s="32"/>
      <c r="M3858" s="32"/>
    </row>
    <row r="3859" customFormat="false" ht="15" hidden="false" customHeight="true" outlineLevel="0" collapsed="false">
      <c r="A3859" s="32"/>
      <c r="B3859" s="32"/>
      <c r="C3859" s="32"/>
      <c r="D3859" s="32"/>
      <c r="E3859" s="34" t="str">
        <f aca="false">IF($B3859="","",IF($B3859="OUT","Liters",IFERROR(INDEX(Setup!$F$3:$F$24,MATCH($C3859,Setup!$A$3:$A$24,0)),"")))</f>
        <v/>
      </c>
      <c r="F3859" s="28" t="str">
        <f aca="false">IF(OR($D3859="",$E3859=""),"",IFERROR($D3859*INDEX(Setup!$B$27:$B$44,MATCH($E3859,Setup!$A$27:$A$44,0)),"TBD"))</f>
        <v/>
      </c>
      <c r="G3859" s="32"/>
      <c r="H3859" s="32"/>
      <c r="I3859" s="32"/>
      <c r="J3859" s="32"/>
      <c r="K3859" s="35"/>
      <c r="L3859" s="32"/>
      <c r="M3859" s="32"/>
    </row>
    <row r="3860" customFormat="false" ht="15" hidden="false" customHeight="true" outlineLevel="0" collapsed="false">
      <c r="A3860" s="32"/>
      <c r="B3860" s="32"/>
      <c r="C3860" s="32"/>
      <c r="D3860" s="32"/>
      <c r="E3860" s="34" t="str">
        <f aca="false">IF($B3860="","",IF($B3860="OUT","Liters",IFERROR(INDEX(Setup!$F$3:$F$24,MATCH($C3860,Setup!$A$3:$A$24,0)),"")))</f>
        <v/>
      </c>
      <c r="F3860" s="28" t="str">
        <f aca="false">IF(OR($D3860="",$E3860=""),"",IFERROR($D3860*INDEX(Setup!$B$27:$B$44,MATCH($E3860,Setup!$A$27:$A$44,0)),"TBD"))</f>
        <v/>
      </c>
      <c r="G3860" s="32"/>
      <c r="H3860" s="32"/>
      <c r="I3860" s="32"/>
      <c r="J3860" s="32"/>
      <c r="K3860" s="35"/>
      <c r="L3860" s="32"/>
      <c r="M3860" s="32"/>
    </row>
    <row r="3861" customFormat="false" ht="15" hidden="false" customHeight="true" outlineLevel="0" collapsed="false">
      <c r="A3861" s="32"/>
      <c r="B3861" s="32"/>
      <c r="C3861" s="32"/>
      <c r="D3861" s="32"/>
      <c r="E3861" s="34" t="str">
        <f aca="false">IF($B3861="","",IF($B3861="OUT","Liters",IFERROR(INDEX(Setup!$F$3:$F$24,MATCH($C3861,Setup!$A$3:$A$24,0)),"")))</f>
        <v/>
      </c>
      <c r="F3861" s="28" t="str">
        <f aca="false">IF(OR($D3861="",$E3861=""),"",IFERROR($D3861*INDEX(Setup!$B$27:$B$44,MATCH($E3861,Setup!$A$27:$A$44,0)),"TBD"))</f>
        <v/>
      </c>
      <c r="G3861" s="32"/>
      <c r="H3861" s="32"/>
      <c r="I3861" s="32"/>
      <c r="J3861" s="32"/>
      <c r="K3861" s="35"/>
      <c r="L3861" s="32"/>
      <c r="M3861" s="32"/>
    </row>
    <row r="3862" customFormat="false" ht="15" hidden="false" customHeight="true" outlineLevel="0" collapsed="false">
      <c r="A3862" s="32"/>
      <c r="B3862" s="32"/>
      <c r="C3862" s="32"/>
      <c r="D3862" s="32"/>
      <c r="E3862" s="34" t="str">
        <f aca="false">IF($B3862="","",IF($B3862="OUT","Liters",IFERROR(INDEX(Setup!$F$3:$F$24,MATCH($C3862,Setup!$A$3:$A$24,0)),"")))</f>
        <v/>
      </c>
      <c r="F3862" s="28" t="str">
        <f aca="false">IF(OR($D3862="",$E3862=""),"",IFERROR($D3862*INDEX(Setup!$B$27:$B$44,MATCH($E3862,Setup!$A$27:$A$44,0)),"TBD"))</f>
        <v/>
      </c>
      <c r="G3862" s="32"/>
      <c r="H3862" s="32"/>
      <c r="I3862" s="32"/>
      <c r="J3862" s="32"/>
      <c r="K3862" s="35"/>
      <c r="L3862" s="32"/>
      <c r="M3862" s="32"/>
    </row>
    <row r="3863" customFormat="false" ht="15" hidden="false" customHeight="true" outlineLevel="0" collapsed="false">
      <c r="A3863" s="32"/>
      <c r="B3863" s="32"/>
      <c r="C3863" s="32"/>
      <c r="D3863" s="32"/>
      <c r="E3863" s="34" t="str">
        <f aca="false">IF($B3863="","",IF($B3863="OUT","Liters",IFERROR(INDEX(Setup!$F$3:$F$24,MATCH($C3863,Setup!$A$3:$A$24,0)),"")))</f>
        <v/>
      </c>
      <c r="F3863" s="28" t="str">
        <f aca="false">IF(OR($D3863="",$E3863=""),"",IFERROR($D3863*INDEX(Setup!$B$27:$B$44,MATCH($E3863,Setup!$A$27:$A$44,0)),"TBD"))</f>
        <v/>
      </c>
      <c r="G3863" s="32"/>
      <c r="H3863" s="32"/>
      <c r="I3863" s="32"/>
      <c r="J3863" s="32"/>
      <c r="K3863" s="35"/>
      <c r="L3863" s="32"/>
      <c r="M3863" s="32"/>
    </row>
    <row r="3864" customFormat="false" ht="15" hidden="false" customHeight="true" outlineLevel="0" collapsed="false">
      <c r="A3864" s="32"/>
      <c r="B3864" s="32"/>
      <c r="C3864" s="32"/>
      <c r="D3864" s="32"/>
      <c r="E3864" s="34" t="str">
        <f aca="false">IF($B3864="","",IF($B3864="OUT","Liters",IFERROR(INDEX(Setup!$F$3:$F$24,MATCH($C3864,Setup!$A$3:$A$24,0)),"")))</f>
        <v/>
      </c>
      <c r="F3864" s="28" t="str">
        <f aca="false">IF(OR($D3864="",$E3864=""),"",IFERROR($D3864*INDEX(Setup!$B$27:$B$44,MATCH($E3864,Setup!$A$27:$A$44,0)),"TBD"))</f>
        <v/>
      </c>
      <c r="G3864" s="32"/>
      <c r="H3864" s="32"/>
      <c r="I3864" s="32"/>
      <c r="J3864" s="32"/>
      <c r="K3864" s="35"/>
      <c r="L3864" s="32"/>
      <c r="M3864" s="32"/>
    </row>
    <row r="3865" customFormat="false" ht="15" hidden="false" customHeight="true" outlineLevel="0" collapsed="false">
      <c r="A3865" s="32"/>
      <c r="B3865" s="32"/>
      <c r="C3865" s="32"/>
      <c r="D3865" s="32"/>
      <c r="E3865" s="34" t="str">
        <f aca="false">IF($B3865="","",IF($B3865="OUT","Liters",IFERROR(INDEX(Setup!$F$3:$F$24,MATCH($C3865,Setup!$A$3:$A$24,0)),"")))</f>
        <v/>
      </c>
      <c r="F3865" s="28" t="str">
        <f aca="false">IF(OR($D3865="",$E3865=""),"",IFERROR($D3865*INDEX(Setup!$B$27:$B$44,MATCH($E3865,Setup!$A$27:$A$44,0)),"TBD"))</f>
        <v/>
      </c>
      <c r="G3865" s="32"/>
      <c r="H3865" s="32"/>
      <c r="I3865" s="32"/>
      <c r="J3865" s="32"/>
      <c r="K3865" s="35"/>
      <c r="L3865" s="32"/>
      <c r="M3865" s="32"/>
    </row>
    <row r="3866" customFormat="false" ht="15" hidden="false" customHeight="true" outlineLevel="0" collapsed="false">
      <c r="A3866" s="32"/>
      <c r="B3866" s="32"/>
      <c r="C3866" s="32"/>
      <c r="D3866" s="32"/>
      <c r="E3866" s="34" t="str">
        <f aca="false">IF($B3866="","",IF($B3866="OUT","Liters",IFERROR(INDEX(Setup!$F$3:$F$24,MATCH($C3866,Setup!$A$3:$A$24,0)),"")))</f>
        <v/>
      </c>
      <c r="F3866" s="28" t="str">
        <f aca="false">IF(OR($D3866="",$E3866=""),"",IFERROR($D3866*INDEX(Setup!$B$27:$B$44,MATCH($E3866,Setup!$A$27:$A$44,0)),"TBD"))</f>
        <v/>
      </c>
      <c r="G3866" s="32"/>
      <c r="H3866" s="32"/>
      <c r="I3866" s="32"/>
      <c r="J3866" s="32"/>
      <c r="K3866" s="35"/>
      <c r="L3866" s="32"/>
      <c r="M3866" s="32"/>
    </row>
    <row r="3867" customFormat="false" ht="15" hidden="false" customHeight="true" outlineLevel="0" collapsed="false">
      <c r="A3867" s="32"/>
      <c r="B3867" s="32"/>
      <c r="C3867" s="32"/>
      <c r="D3867" s="32"/>
      <c r="E3867" s="34" t="str">
        <f aca="false">IF($B3867="","",IF($B3867="OUT","Liters",IFERROR(INDEX(Setup!$F$3:$F$24,MATCH($C3867,Setup!$A$3:$A$24,0)),"")))</f>
        <v/>
      </c>
      <c r="F3867" s="28" t="str">
        <f aca="false">IF(OR($D3867="",$E3867=""),"",IFERROR($D3867*INDEX(Setup!$B$27:$B$44,MATCH($E3867,Setup!$A$27:$A$44,0)),"TBD"))</f>
        <v/>
      </c>
      <c r="G3867" s="32"/>
      <c r="H3867" s="32"/>
      <c r="I3867" s="32"/>
      <c r="J3867" s="32"/>
      <c r="K3867" s="35"/>
      <c r="L3867" s="32"/>
      <c r="M3867" s="32"/>
    </row>
    <row r="3868" customFormat="false" ht="15" hidden="false" customHeight="true" outlineLevel="0" collapsed="false">
      <c r="A3868" s="32"/>
      <c r="B3868" s="32"/>
      <c r="C3868" s="32"/>
      <c r="D3868" s="32"/>
      <c r="E3868" s="34" t="str">
        <f aca="false">IF($B3868="","",IF($B3868="OUT","Liters",IFERROR(INDEX(Setup!$F$3:$F$24,MATCH($C3868,Setup!$A$3:$A$24,0)),"")))</f>
        <v/>
      </c>
      <c r="F3868" s="28" t="str">
        <f aca="false">IF(OR($D3868="",$E3868=""),"",IFERROR($D3868*INDEX(Setup!$B$27:$B$44,MATCH($E3868,Setup!$A$27:$A$44,0)),"TBD"))</f>
        <v/>
      </c>
      <c r="G3868" s="32"/>
      <c r="H3868" s="32"/>
      <c r="I3868" s="32"/>
      <c r="J3868" s="32"/>
      <c r="K3868" s="35"/>
      <c r="L3868" s="32"/>
      <c r="M3868" s="32"/>
    </row>
    <row r="3869" customFormat="false" ht="15" hidden="false" customHeight="true" outlineLevel="0" collapsed="false">
      <c r="A3869" s="32"/>
      <c r="B3869" s="32"/>
      <c r="C3869" s="32"/>
      <c r="D3869" s="32"/>
      <c r="E3869" s="34" t="str">
        <f aca="false">IF($B3869="","",IF($B3869="OUT","Liters",IFERROR(INDEX(Setup!$F$3:$F$24,MATCH($C3869,Setup!$A$3:$A$24,0)),"")))</f>
        <v/>
      </c>
      <c r="F3869" s="28" t="str">
        <f aca="false">IF(OR($D3869="",$E3869=""),"",IFERROR($D3869*INDEX(Setup!$B$27:$B$44,MATCH($E3869,Setup!$A$27:$A$44,0)),"TBD"))</f>
        <v/>
      </c>
      <c r="G3869" s="32"/>
      <c r="H3869" s="32"/>
      <c r="I3869" s="32"/>
      <c r="J3869" s="32"/>
      <c r="K3869" s="35"/>
      <c r="L3869" s="32"/>
      <c r="M3869" s="32"/>
    </row>
    <row r="3870" customFormat="false" ht="15" hidden="false" customHeight="true" outlineLevel="0" collapsed="false">
      <c r="A3870" s="32"/>
      <c r="B3870" s="32"/>
      <c r="C3870" s="32"/>
      <c r="D3870" s="32"/>
      <c r="E3870" s="34" t="str">
        <f aca="false">IF($B3870="","",IF($B3870="OUT","Liters",IFERROR(INDEX(Setup!$F$3:$F$24,MATCH($C3870,Setup!$A$3:$A$24,0)),"")))</f>
        <v/>
      </c>
      <c r="F3870" s="28" t="str">
        <f aca="false">IF(OR($D3870="",$E3870=""),"",IFERROR($D3870*INDEX(Setup!$B$27:$B$44,MATCH($E3870,Setup!$A$27:$A$44,0)),"TBD"))</f>
        <v/>
      </c>
      <c r="G3870" s="32"/>
      <c r="H3870" s="32"/>
      <c r="I3870" s="32"/>
      <c r="J3870" s="32"/>
      <c r="K3870" s="35"/>
      <c r="L3870" s="32"/>
      <c r="M3870" s="32"/>
    </row>
    <row r="3871" customFormat="false" ht="15" hidden="false" customHeight="true" outlineLevel="0" collapsed="false">
      <c r="A3871" s="32"/>
      <c r="B3871" s="32"/>
      <c r="C3871" s="32"/>
      <c r="D3871" s="32"/>
      <c r="E3871" s="34" t="str">
        <f aca="false">IF($B3871="","",IF($B3871="OUT","Liters",IFERROR(INDEX(Setup!$F$3:$F$24,MATCH($C3871,Setup!$A$3:$A$24,0)),"")))</f>
        <v/>
      </c>
      <c r="F3871" s="28" t="str">
        <f aca="false">IF(OR($D3871="",$E3871=""),"",IFERROR($D3871*INDEX(Setup!$B$27:$B$44,MATCH($E3871,Setup!$A$27:$A$44,0)),"TBD"))</f>
        <v/>
      </c>
      <c r="G3871" s="32"/>
      <c r="H3871" s="32"/>
      <c r="I3871" s="32"/>
      <c r="J3871" s="32"/>
      <c r="K3871" s="35"/>
      <c r="L3871" s="32"/>
      <c r="M3871" s="32"/>
    </row>
    <row r="3872" customFormat="false" ht="15" hidden="false" customHeight="true" outlineLevel="0" collapsed="false">
      <c r="A3872" s="32"/>
      <c r="B3872" s="32"/>
      <c r="C3872" s="32"/>
      <c r="D3872" s="32"/>
      <c r="E3872" s="34" t="str">
        <f aca="false">IF($B3872="","",IF($B3872="OUT","Liters",IFERROR(INDEX(Setup!$F$3:$F$24,MATCH($C3872,Setup!$A$3:$A$24,0)),"")))</f>
        <v/>
      </c>
      <c r="F3872" s="28" t="str">
        <f aca="false">IF(OR($D3872="",$E3872=""),"",IFERROR($D3872*INDEX(Setup!$B$27:$B$44,MATCH($E3872,Setup!$A$27:$A$44,0)),"TBD"))</f>
        <v/>
      </c>
      <c r="G3872" s="32"/>
      <c r="H3872" s="32"/>
      <c r="I3872" s="32"/>
      <c r="J3872" s="32"/>
      <c r="K3872" s="35"/>
      <c r="L3872" s="32"/>
      <c r="M3872" s="32"/>
    </row>
    <row r="3873" customFormat="false" ht="15" hidden="false" customHeight="true" outlineLevel="0" collapsed="false">
      <c r="A3873" s="32"/>
      <c r="B3873" s="32"/>
      <c r="C3873" s="32"/>
      <c r="D3873" s="32"/>
      <c r="E3873" s="34" t="str">
        <f aca="false">IF($B3873="","",IF($B3873="OUT","Liters",IFERROR(INDEX(Setup!$F$3:$F$24,MATCH($C3873,Setup!$A$3:$A$24,0)),"")))</f>
        <v/>
      </c>
      <c r="F3873" s="28" t="str">
        <f aca="false">IF(OR($D3873="",$E3873=""),"",IFERROR($D3873*INDEX(Setup!$B$27:$B$44,MATCH($E3873,Setup!$A$27:$A$44,0)),"TBD"))</f>
        <v/>
      </c>
      <c r="G3873" s="32"/>
      <c r="H3873" s="32"/>
      <c r="I3873" s="32"/>
      <c r="J3873" s="32"/>
      <c r="K3873" s="35"/>
      <c r="L3873" s="32"/>
      <c r="M3873" s="32"/>
    </row>
    <row r="3874" customFormat="false" ht="15" hidden="false" customHeight="true" outlineLevel="0" collapsed="false">
      <c r="A3874" s="32"/>
      <c r="B3874" s="32"/>
      <c r="C3874" s="32"/>
      <c r="D3874" s="32"/>
      <c r="E3874" s="34" t="str">
        <f aca="false">IF($B3874="","",IF($B3874="OUT","Liters",IFERROR(INDEX(Setup!$F$3:$F$24,MATCH($C3874,Setup!$A$3:$A$24,0)),"")))</f>
        <v/>
      </c>
      <c r="F3874" s="28" t="str">
        <f aca="false">IF(OR($D3874="",$E3874=""),"",IFERROR($D3874*INDEX(Setup!$B$27:$B$44,MATCH($E3874,Setup!$A$27:$A$44,0)),"TBD"))</f>
        <v/>
      </c>
      <c r="G3874" s="32"/>
      <c r="H3874" s="32"/>
      <c r="I3874" s="32"/>
      <c r="J3874" s="32"/>
      <c r="K3874" s="35"/>
      <c r="L3874" s="32"/>
      <c r="M3874" s="32"/>
    </row>
    <row r="3875" customFormat="false" ht="15" hidden="false" customHeight="true" outlineLevel="0" collapsed="false">
      <c r="A3875" s="32"/>
      <c r="B3875" s="32"/>
      <c r="C3875" s="32"/>
      <c r="D3875" s="32"/>
      <c r="E3875" s="34" t="str">
        <f aca="false">IF($B3875="","",IF($B3875="OUT","Liters",IFERROR(INDEX(Setup!$F$3:$F$24,MATCH($C3875,Setup!$A$3:$A$24,0)),"")))</f>
        <v/>
      </c>
      <c r="F3875" s="28" t="str">
        <f aca="false">IF(OR($D3875="",$E3875=""),"",IFERROR($D3875*INDEX(Setup!$B$27:$B$44,MATCH($E3875,Setup!$A$27:$A$44,0)),"TBD"))</f>
        <v/>
      </c>
      <c r="G3875" s="32"/>
      <c r="H3875" s="32"/>
      <c r="I3875" s="32"/>
      <c r="J3875" s="32"/>
      <c r="K3875" s="35"/>
      <c r="L3875" s="32"/>
      <c r="M3875" s="32"/>
    </row>
    <row r="3876" customFormat="false" ht="15" hidden="false" customHeight="true" outlineLevel="0" collapsed="false">
      <c r="A3876" s="32"/>
      <c r="B3876" s="32"/>
      <c r="C3876" s="32"/>
      <c r="D3876" s="32"/>
      <c r="E3876" s="34" t="str">
        <f aca="false">IF($B3876="","",IF($B3876="OUT","Liters",IFERROR(INDEX(Setup!$F$3:$F$24,MATCH($C3876,Setup!$A$3:$A$24,0)),"")))</f>
        <v/>
      </c>
      <c r="F3876" s="28" t="str">
        <f aca="false">IF(OR($D3876="",$E3876=""),"",IFERROR($D3876*INDEX(Setup!$B$27:$B$44,MATCH($E3876,Setup!$A$27:$A$44,0)),"TBD"))</f>
        <v/>
      </c>
      <c r="G3876" s="32"/>
      <c r="H3876" s="32"/>
      <c r="I3876" s="32"/>
      <c r="J3876" s="32"/>
      <c r="K3876" s="35"/>
      <c r="L3876" s="32"/>
      <c r="M3876" s="32"/>
    </row>
    <row r="3877" customFormat="false" ht="15" hidden="false" customHeight="true" outlineLevel="0" collapsed="false">
      <c r="A3877" s="32"/>
      <c r="B3877" s="32"/>
      <c r="C3877" s="32"/>
      <c r="D3877" s="32"/>
      <c r="E3877" s="34" t="str">
        <f aca="false">IF($B3877="","",IF($B3877="OUT","Liters",IFERROR(INDEX(Setup!$F$3:$F$24,MATCH($C3877,Setup!$A$3:$A$24,0)),"")))</f>
        <v/>
      </c>
      <c r="F3877" s="28" t="str">
        <f aca="false">IF(OR($D3877="",$E3877=""),"",IFERROR($D3877*INDEX(Setup!$B$27:$B$44,MATCH($E3877,Setup!$A$27:$A$44,0)),"TBD"))</f>
        <v/>
      </c>
      <c r="G3877" s="32"/>
      <c r="H3877" s="32"/>
      <c r="I3877" s="32"/>
      <c r="J3877" s="32"/>
      <c r="K3877" s="35"/>
      <c r="L3877" s="32"/>
      <c r="M3877" s="32"/>
    </row>
    <row r="3878" customFormat="false" ht="15" hidden="false" customHeight="true" outlineLevel="0" collapsed="false">
      <c r="A3878" s="32"/>
      <c r="B3878" s="32"/>
      <c r="C3878" s="32"/>
      <c r="D3878" s="32"/>
      <c r="E3878" s="34" t="str">
        <f aca="false">IF($B3878="","",IF($B3878="OUT","Liters",IFERROR(INDEX(Setup!$F$3:$F$24,MATCH($C3878,Setup!$A$3:$A$24,0)),"")))</f>
        <v/>
      </c>
      <c r="F3878" s="28" t="str">
        <f aca="false">IF(OR($D3878="",$E3878=""),"",IFERROR($D3878*INDEX(Setup!$B$27:$B$44,MATCH($E3878,Setup!$A$27:$A$44,0)),"TBD"))</f>
        <v/>
      </c>
      <c r="G3878" s="32"/>
      <c r="H3878" s="32"/>
      <c r="I3878" s="32"/>
      <c r="J3878" s="32"/>
      <c r="K3878" s="35"/>
      <c r="L3878" s="32"/>
      <c r="M3878" s="32"/>
    </row>
    <row r="3879" customFormat="false" ht="15" hidden="false" customHeight="true" outlineLevel="0" collapsed="false">
      <c r="A3879" s="32"/>
      <c r="B3879" s="32"/>
      <c r="C3879" s="32"/>
      <c r="D3879" s="32"/>
      <c r="E3879" s="34" t="str">
        <f aca="false">IF($B3879="","",IF($B3879="OUT","Liters",IFERROR(INDEX(Setup!$F$3:$F$24,MATCH($C3879,Setup!$A$3:$A$24,0)),"")))</f>
        <v/>
      </c>
      <c r="F3879" s="28" t="str">
        <f aca="false">IF(OR($D3879="",$E3879=""),"",IFERROR($D3879*INDEX(Setup!$B$27:$B$44,MATCH($E3879,Setup!$A$27:$A$44,0)),"TBD"))</f>
        <v/>
      </c>
      <c r="G3879" s="32"/>
      <c r="H3879" s="32"/>
      <c r="I3879" s="32"/>
      <c r="J3879" s="32"/>
      <c r="K3879" s="35"/>
      <c r="L3879" s="32"/>
      <c r="M3879" s="32"/>
    </row>
    <row r="3880" customFormat="false" ht="15" hidden="false" customHeight="true" outlineLevel="0" collapsed="false">
      <c r="A3880" s="32"/>
      <c r="B3880" s="32"/>
      <c r="C3880" s="32"/>
      <c r="D3880" s="32"/>
      <c r="E3880" s="34" t="str">
        <f aca="false">IF($B3880="","",IF($B3880="OUT","Liters",IFERROR(INDEX(Setup!$F$3:$F$24,MATCH($C3880,Setup!$A$3:$A$24,0)),"")))</f>
        <v/>
      </c>
      <c r="F3880" s="28" t="str">
        <f aca="false">IF(OR($D3880="",$E3880=""),"",IFERROR($D3880*INDEX(Setup!$B$27:$B$44,MATCH($E3880,Setup!$A$27:$A$44,0)),"TBD"))</f>
        <v/>
      </c>
      <c r="G3880" s="32"/>
      <c r="H3880" s="32"/>
      <c r="I3880" s="32"/>
      <c r="J3880" s="32"/>
      <c r="K3880" s="35"/>
      <c r="L3880" s="32"/>
      <c r="M3880" s="32"/>
    </row>
    <row r="3881" customFormat="false" ht="15" hidden="false" customHeight="true" outlineLevel="0" collapsed="false">
      <c r="A3881" s="32"/>
      <c r="B3881" s="32"/>
      <c r="C3881" s="32"/>
      <c r="D3881" s="32"/>
      <c r="E3881" s="34" t="str">
        <f aca="false">IF($B3881="","",IF($B3881="OUT","Liters",IFERROR(INDEX(Setup!$F$3:$F$24,MATCH($C3881,Setup!$A$3:$A$24,0)),"")))</f>
        <v/>
      </c>
      <c r="F3881" s="28" t="str">
        <f aca="false">IF(OR($D3881="",$E3881=""),"",IFERROR($D3881*INDEX(Setup!$B$27:$B$44,MATCH($E3881,Setup!$A$27:$A$44,0)),"TBD"))</f>
        <v/>
      </c>
      <c r="G3881" s="32"/>
      <c r="H3881" s="32"/>
      <c r="I3881" s="32"/>
      <c r="J3881" s="32"/>
      <c r="K3881" s="35"/>
      <c r="L3881" s="32"/>
      <c r="M3881" s="32"/>
    </row>
    <row r="3882" customFormat="false" ht="15" hidden="false" customHeight="true" outlineLevel="0" collapsed="false">
      <c r="A3882" s="32"/>
      <c r="B3882" s="32"/>
      <c r="C3882" s="32"/>
      <c r="D3882" s="32"/>
      <c r="E3882" s="34" t="str">
        <f aca="false">IF($B3882="","",IF($B3882="OUT","Liters",IFERROR(INDEX(Setup!$F$3:$F$24,MATCH($C3882,Setup!$A$3:$A$24,0)),"")))</f>
        <v/>
      </c>
      <c r="F3882" s="28" t="str">
        <f aca="false">IF(OR($D3882="",$E3882=""),"",IFERROR($D3882*INDEX(Setup!$B$27:$B$44,MATCH($E3882,Setup!$A$27:$A$44,0)),"TBD"))</f>
        <v/>
      </c>
      <c r="G3882" s="32"/>
      <c r="H3882" s="32"/>
      <c r="I3882" s="32"/>
      <c r="J3882" s="32"/>
      <c r="K3882" s="35"/>
      <c r="L3882" s="32"/>
      <c r="M3882" s="32"/>
    </row>
    <row r="3883" customFormat="false" ht="15" hidden="false" customHeight="true" outlineLevel="0" collapsed="false">
      <c r="A3883" s="32"/>
      <c r="B3883" s="32"/>
      <c r="C3883" s="32"/>
      <c r="D3883" s="32"/>
      <c r="E3883" s="34" t="str">
        <f aca="false">IF($B3883="","",IF($B3883="OUT","Liters",IFERROR(INDEX(Setup!$F$3:$F$24,MATCH($C3883,Setup!$A$3:$A$24,0)),"")))</f>
        <v/>
      </c>
      <c r="F3883" s="28" t="str">
        <f aca="false">IF(OR($D3883="",$E3883=""),"",IFERROR($D3883*INDEX(Setup!$B$27:$B$44,MATCH($E3883,Setup!$A$27:$A$44,0)),"TBD"))</f>
        <v/>
      </c>
      <c r="G3883" s="32"/>
      <c r="H3883" s="32"/>
      <c r="I3883" s="32"/>
      <c r="J3883" s="32"/>
      <c r="K3883" s="35"/>
      <c r="L3883" s="32"/>
      <c r="M3883" s="32"/>
    </row>
    <row r="3884" customFormat="false" ht="15" hidden="false" customHeight="true" outlineLevel="0" collapsed="false">
      <c r="A3884" s="32"/>
      <c r="B3884" s="32"/>
      <c r="C3884" s="32"/>
      <c r="D3884" s="32"/>
      <c r="E3884" s="34" t="str">
        <f aca="false">IF($B3884="","",IF($B3884="OUT","Liters",IFERROR(INDEX(Setup!$F$3:$F$24,MATCH($C3884,Setup!$A$3:$A$24,0)),"")))</f>
        <v/>
      </c>
      <c r="F3884" s="28" t="str">
        <f aca="false">IF(OR($D3884="",$E3884=""),"",IFERROR($D3884*INDEX(Setup!$B$27:$B$44,MATCH($E3884,Setup!$A$27:$A$44,0)),"TBD"))</f>
        <v/>
      </c>
      <c r="G3884" s="32"/>
      <c r="H3884" s="32"/>
      <c r="I3884" s="32"/>
      <c r="J3884" s="32"/>
      <c r="K3884" s="35"/>
      <c r="L3884" s="32"/>
      <c r="M3884" s="32"/>
    </row>
    <row r="3885" customFormat="false" ht="15" hidden="false" customHeight="true" outlineLevel="0" collapsed="false">
      <c r="A3885" s="32"/>
      <c r="B3885" s="32"/>
      <c r="C3885" s="32"/>
      <c r="D3885" s="32"/>
      <c r="E3885" s="34" t="str">
        <f aca="false">IF($B3885="","",IF($B3885="OUT","Liters",IFERROR(INDEX(Setup!$F$3:$F$24,MATCH($C3885,Setup!$A$3:$A$24,0)),"")))</f>
        <v/>
      </c>
      <c r="F3885" s="28" t="str">
        <f aca="false">IF(OR($D3885="",$E3885=""),"",IFERROR($D3885*INDEX(Setup!$B$27:$B$44,MATCH($E3885,Setup!$A$27:$A$44,0)),"TBD"))</f>
        <v/>
      </c>
      <c r="G3885" s="32"/>
      <c r="H3885" s="32"/>
      <c r="I3885" s="32"/>
      <c r="J3885" s="32"/>
      <c r="K3885" s="35"/>
      <c r="L3885" s="32"/>
      <c r="M3885" s="32"/>
    </row>
    <row r="3886" customFormat="false" ht="15" hidden="false" customHeight="true" outlineLevel="0" collapsed="false">
      <c r="A3886" s="32"/>
      <c r="B3886" s="32"/>
      <c r="C3886" s="32"/>
      <c r="D3886" s="32"/>
      <c r="E3886" s="34" t="str">
        <f aca="false">IF($B3886="","",IF($B3886="OUT","Liters",IFERROR(INDEX(Setup!$F$3:$F$24,MATCH($C3886,Setup!$A$3:$A$24,0)),"")))</f>
        <v/>
      </c>
      <c r="F3886" s="28" t="str">
        <f aca="false">IF(OR($D3886="",$E3886=""),"",IFERROR($D3886*INDEX(Setup!$B$27:$B$44,MATCH($E3886,Setup!$A$27:$A$44,0)),"TBD"))</f>
        <v/>
      </c>
      <c r="G3886" s="32"/>
      <c r="H3886" s="32"/>
      <c r="I3886" s="32"/>
      <c r="J3886" s="32"/>
      <c r="K3886" s="35"/>
      <c r="L3886" s="32"/>
      <c r="M3886" s="32"/>
    </row>
    <row r="3887" customFormat="false" ht="15" hidden="false" customHeight="true" outlineLevel="0" collapsed="false">
      <c r="A3887" s="32"/>
      <c r="B3887" s="32"/>
      <c r="C3887" s="32"/>
      <c r="D3887" s="32"/>
      <c r="E3887" s="34" t="str">
        <f aca="false">IF($B3887="","",IF($B3887="OUT","Liters",IFERROR(INDEX(Setup!$F$3:$F$24,MATCH($C3887,Setup!$A$3:$A$24,0)),"")))</f>
        <v/>
      </c>
      <c r="F3887" s="28" t="str">
        <f aca="false">IF(OR($D3887="",$E3887=""),"",IFERROR($D3887*INDEX(Setup!$B$27:$B$44,MATCH($E3887,Setup!$A$27:$A$44,0)),"TBD"))</f>
        <v/>
      </c>
      <c r="G3887" s="32"/>
      <c r="H3887" s="32"/>
      <c r="I3887" s="32"/>
      <c r="J3887" s="32"/>
      <c r="K3887" s="35"/>
      <c r="L3887" s="32"/>
      <c r="M3887" s="32"/>
    </row>
    <row r="3888" customFormat="false" ht="15" hidden="false" customHeight="true" outlineLevel="0" collapsed="false">
      <c r="A3888" s="32"/>
      <c r="B3888" s="32"/>
      <c r="C3888" s="32"/>
      <c r="D3888" s="32"/>
      <c r="E3888" s="34" t="str">
        <f aca="false">IF($B3888="","",IF($B3888="OUT","Liters",IFERROR(INDEX(Setup!$F$3:$F$24,MATCH($C3888,Setup!$A$3:$A$24,0)),"")))</f>
        <v/>
      </c>
      <c r="F3888" s="28" t="str">
        <f aca="false">IF(OR($D3888="",$E3888=""),"",IFERROR($D3888*INDEX(Setup!$B$27:$B$44,MATCH($E3888,Setup!$A$27:$A$44,0)),"TBD"))</f>
        <v/>
      </c>
      <c r="G3888" s="32"/>
      <c r="H3888" s="32"/>
      <c r="I3888" s="32"/>
      <c r="J3888" s="32"/>
      <c r="K3888" s="35"/>
      <c r="L3888" s="32"/>
      <c r="M3888" s="32"/>
    </row>
    <row r="3889" customFormat="false" ht="15" hidden="false" customHeight="true" outlineLevel="0" collapsed="false">
      <c r="A3889" s="32"/>
      <c r="B3889" s="32"/>
      <c r="C3889" s="32"/>
      <c r="D3889" s="32"/>
      <c r="E3889" s="34" t="str">
        <f aca="false">IF($B3889="","",IF($B3889="OUT","Liters",IFERROR(INDEX(Setup!$F$3:$F$24,MATCH($C3889,Setup!$A$3:$A$24,0)),"")))</f>
        <v/>
      </c>
      <c r="F3889" s="28" t="str">
        <f aca="false">IF(OR($D3889="",$E3889=""),"",IFERROR($D3889*INDEX(Setup!$B$27:$B$44,MATCH($E3889,Setup!$A$27:$A$44,0)),"TBD"))</f>
        <v/>
      </c>
      <c r="G3889" s="32"/>
      <c r="H3889" s="32"/>
      <c r="I3889" s="32"/>
      <c r="J3889" s="32"/>
      <c r="K3889" s="35"/>
      <c r="L3889" s="32"/>
      <c r="M3889" s="32"/>
    </row>
    <row r="3890" customFormat="false" ht="15" hidden="false" customHeight="true" outlineLevel="0" collapsed="false">
      <c r="A3890" s="32"/>
      <c r="B3890" s="32"/>
      <c r="C3890" s="32"/>
      <c r="D3890" s="32"/>
      <c r="E3890" s="34" t="str">
        <f aca="false">IF($B3890="","",IF($B3890="OUT","Liters",IFERROR(INDEX(Setup!$F$3:$F$24,MATCH($C3890,Setup!$A$3:$A$24,0)),"")))</f>
        <v/>
      </c>
      <c r="F3890" s="28" t="str">
        <f aca="false">IF(OR($D3890="",$E3890=""),"",IFERROR($D3890*INDEX(Setup!$B$27:$B$44,MATCH($E3890,Setup!$A$27:$A$44,0)),"TBD"))</f>
        <v/>
      </c>
      <c r="G3890" s="32"/>
      <c r="H3890" s="32"/>
      <c r="I3890" s="32"/>
      <c r="J3890" s="32"/>
      <c r="K3890" s="35"/>
      <c r="L3890" s="32"/>
      <c r="M3890" s="32"/>
    </row>
    <row r="3891" customFormat="false" ht="15" hidden="false" customHeight="true" outlineLevel="0" collapsed="false">
      <c r="A3891" s="32"/>
      <c r="B3891" s="32"/>
      <c r="C3891" s="32"/>
      <c r="D3891" s="32"/>
      <c r="E3891" s="34" t="str">
        <f aca="false">IF($B3891="","",IF($B3891="OUT","Liters",IFERROR(INDEX(Setup!$F$3:$F$24,MATCH($C3891,Setup!$A$3:$A$24,0)),"")))</f>
        <v/>
      </c>
      <c r="F3891" s="28" t="str">
        <f aca="false">IF(OR($D3891="",$E3891=""),"",IFERROR($D3891*INDEX(Setup!$B$27:$B$44,MATCH($E3891,Setup!$A$27:$A$44,0)),"TBD"))</f>
        <v/>
      </c>
      <c r="G3891" s="32"/>
      <c r="H3891" s="32"/>
      <c r="I3891" s="32"/>
      <c r="J3891" s="32"/>
      <c r="K3891" s="35"/>
      <c r="L3891" s="32"/>
      <c r="M3891" s="32"/>
    </row>
    <row r="3892" customFormat="false" ht="15" hidden="false" customHeight="true" outlineLevel="0" collapsed="false">
      <c r="A3892" s="32"/>
      <c r="B3892" s="32"/>
      <c r="C3892" s="32"/>
      <c r="D3892" s="32"/>
      <c r="E3892" s="34" t="str">
        <f aca="false">IF($B3892="","",IF($B3892="OUT","Liters",IFERROR(INDEX(Setup!$F$3:$F$24,MATCH($C3892,Setup!$A$3:$A$24,0)),"")))</f>
        <v/>
      </c>
      <c r="F3892" s="28" t="str">
        <f aca="false">IF(OR($D3892="",$E3892=""),"",IFERROR($D3892*INDEX(Setup!$B$27:$B$44,MATCH($E3892,Setup!$A$27:$A$44,0)),"TBD"))</f>
        <v/>
      </c>
      <c r="G3892" s="32"/>
      <c r="H3892" s="32"/>
      <c r="I3892" s="32"/>
      <c r="J3892" s="32"/>
      <c r="K3892" s="35"/>
      <c r="L3892" s="32"/>
      <c r="M3892" s="32"/>
    </row>
    <row r="3893" customFormat="false" ht="15" hidden="false" customHeight="true" outlineLevel="0" collapsed="false">
      <c r="A3893" s="32"/>
      <c r="B3893" s="32"/>
      <c r="C3893" s="32"/>
      <c r="D3893" s="32"/>
      <c r="E3893" s="34" t="str">
        <f aca="false">IF($B3893="","",IF($B3893="OUT","Liters",IFERROR(INDEX(Setup!$F$3:$F$24,MATCH($C3893,Setup!$A$3:$A$24,0)),"")))</f>
        <v/>
      </c>
      <c r="F3893" s="28" t="str">
        <f aca="false">IF(OR($D3893="",$E3893=""),"",IFERROR($D3893*INDEX(Setup!$B$27:$B$44,MATCH($E3893,Setup!$A$27:$A$44,0)),"TBD"))</f>
        <v/>
      </c>
      <c r="G3893" s="32"/>
      <c r="H3893" s="32"/>
      <c r="I3893" s="32"/>
      <c r="J3893" s="32"/>
      <c r="K3893" s="35"/>
      <c r="L3893" s="32"/>
      <c r="M3893" s="32"/>
    </row>
    <row r="3894" customFormat="false" ht="15" hidden="false" customHeight="true" outlineLevel="0" collapsed="false">
      <c r="A3894" s="32"/>
      <c r="B3894" s="32"/>
      <c r="C3894" s="32"/>
      <c r="D3894" s="32"/>
      <c r="E3894" s="34" t="str">
        <f aca="false">IF($B3894="","",IF($B3894="OUT","Liters",IFERROR(INDEX(Setup!$F$3:$F$24,MATCH($C3894,Setup!$A$3:$A$24,0)),"")))</f>
        <v/>
      </c>
      <c r="F3894" s="28" t="str">
        <f aca="false">IF(OR($D3894="",$E3894=""),"",IFERROR($D3894*INDEX(Setup!$B$27:$B$44,MATCH($E3894,Setup!$A$27:$A$44,0)),"TBD"))</f>
        <v/>
      </c>
      <c r="G3894" s="32"/>
      <c r="H3894" s="32"/>
      <c r="I3894" s="32"/>
      <c r="J3894" s="32"/>
      <c r="K3894" s="35"/>
      <c r="L3894" s="32"/>
      <c r="M3894" s="32"/>
    </row>
    <row r="3895" customFormat="false" ht="15" hidden="false" customHeight="true" outlineLevel="0" collapsed="false">
      <c r="A3895" s="32"/>
      <c r="B3895" s="32"/>
      <c r="C3895" s="32"/>
      <c r="D3895" s="32"/>
      <c r="E3895" s="34" t="str">
        <f aca="false">IF($B3895="","",IF($B3895="OUT","Liters",IFERROR(INDEX(Setup!$F$3:$F$24,MATCH($C3895,Setup!$A$3:$A$24,0)),"")))</f>
        <v/>
      </c>
      <c r="F3895" s="28" t="str">
        <f aca="false">IF(OR($D3895="",$E3895=""),"",IFERROR($D3895*INDEX(Setup!$B$27:$B$44,MATCH($E3895,Setup!$A$27:$A$44,0)),"TBD"))</f>
        <v/>
      </c>
      <c r="G3895" s="32"/>
      <c r="H3895" s="32"/>
      <c r="I3895" s="32"/>
      <c r="J3895" s="32"/>
      <c r="K3895" s="35"/>
      <c r="L3895" s="32"/>
      <c r="M3895" s="32"/>
    </row>
    <row r="3896" customFormat="false" ht="15" hidden="false" customHeight="true" outlineLevel="0" collapsed="false">
      <c r="A3896" s="32"/>
      <c r="B3896" s="32"/>
      <c r="C3896" s="32"/>
      <c r="D3896" s="32"/>
      <c r="E3896" s="34" t="str">
        <f aca="false">IF($B3896="","",IF($B3896="OUT","Liters",IFERROR(INDEX(Setup!$F$3:$F$24,MATCH($C3896,Setup!$A$3:$A$24,0)),"")))</f>
        <v/>
      </c>
      <c r="F3896" s="28" t="str">
        <f aca="false">IF(OR($D3896="",$E3896=""),"",IFERROR($D3896*INDEX(Setup!$B$27:$B$44,MATCH($E3896,Setup!$A$27:$A$44,0)),"TBD"))</f>
        <v/>
      </c>
      <c r="G3896" s="32"/>
      <c r="H3896" s="32"/>
      <c r="I3896" s="32"/>
      <c r="J3896" s="32"/>
      <c r="K3896" s="35"/>
      <c r="L3896" s="32"/>
      <c r="M3896" s="32"/>
    </row>
    <row r="3897" customFormat="false" ht="15" hidden="false" customHeight="true" outlineLevel="0" collapsed="false">
      <c r="A3897" s="32"/>
      <c r="B3897" s="32"/>
      <c r="C3897" s="32"/>
      <c r="D3897" s="32"/>
      <c r="E3897" s="34" t="str">
        <f aca="false">IF($B3897="","",IF($B3897="OUT","Liters",IFERROR(INDEX(Setup!$F$3:$F$24,MATCH($C3897,Setup!$A$3:$A$24,0)),"")))</f>
        <v/>
      </c>
      <c r="F3897" s="28" t="str">
        <f aca="false">IF(OR($D3897="",$E3897=""),"",IFERROR($D3897*INDEX(Setup!$B$27:$B$44,MATCH($E3897,Setup!$A$27:$A$44,0)),"TBD"))</f>
        <v/>
      </c>
      <c r="G3897" s="32"/>
      <c r="H3897" s="32"/>
      <c r="I3897" s="32"/>
      <c r="J3897" s="32"/>
      <c r="K3897" s="35"/>
      <c r="L3897" s="32"/>
      <c r="M3897" s="32"/>
    </row>
    <row r="3898" customFormat="false" ht="15" hidden="false" customHeight="true" outlineLevel="0" collapsed="false">
      <c r="A3898" s="32"/>
      <c r="B3898" s="32"/>
      <c r="C3898" s="32"/>
      <c r="D3898" s="32"/>
      <c r="E3898" s="34" t="str">
        <f aca="false">IF($B3898="","",IF($B3898="OUT","Liters",IFERROR(INDEX(Setup!$F$3:$F$24,MATCH($C3898,Setup!$A$3:$A$24,0)),"")))</f>
        <v/>
      </c>
      <c r="F3898" s="28" t="str">
        <f aca="false">IF(OR($D3898="",$E3898=""),"",IFERROR($D3898*INDEX(Setup!$B$27:$B$44,MATCH($E3898,Setup!$A$27:$A$44,0)),"TBD"))</f>
        <v/>
      </c>
      <c r="G3898" s="32"/>
      <c r="H3898" s="32"/>
      <c r="I3898" s="32"/>
      <c r="J3898" s="32"/>
      <c r="K3898" s="35"/>
      <c r="L3898" s="32"/>
      <c r="M3898" s="32"/>
    </row>
    <row r="3899" customFormat="false" ht="15" hidden="false" customHeight="true" outlineLevel="0" collapsed="false">
      <c r="A3899" s="32"/>
      <c r="B3899" s="32"/>
      <c r="C3899" s="32"/>
      <c r="D3899" s="32"/>
      <c r="E3899" s="34" t="str">
        <f aca="false">IF($B3899="","",IF($B3899="OUT","Liters",IFERROR(INDEX(Setup!$F$3:$F$24,MATCH($C3899,Setup!$A$3:$A$24,0)),"")))</f>
        <v/>
      </c>
      <c r="F3899" s="28" t="str">
        <f aca="false">IF(OR($D3899="",$E3899=""),"",IFERROR($D3899*INDEX(Setup!$B$27:$B$44,MATCH($E3899,Setup!$A$27:$A$44,0)),"TBD"))</f>
        <v/>
      </c>
      <c r="G3899" s="32"/>
      <c r="H3899" s="32"/>
      <c r="I3899" s="32"/>
      <c r="J3899" s="32"/>
      <c r="K3899" s="35"/>
      <c r="L3899" s="32"/>
      <c r="M3899" s="32"/>
    </row>
    <row r="3900" customFormat="false" ht="15" hidden="false" customHeight="true" outlineLevel="0" collapsed="false">
      <c r="A3900" s="32"/>
      <c r="B3900" s="32"/>
      <c r="C3900" s="32"/>
      <c r="D3900" s="32"/>
      <c r="E3900" s="34" t="str">
        <f aca="false">IF($B3900="","",IF($B3900="OUT","Liters",IFERROR(INDEX(Setup!$F$3:$F$24,MATCH($C3900,Setup!$A$3:$A$24,0)),"")))</f>
        <v/>
      </c>
      <c r="F3900" s="28" t="str">
        <f aca="false">IF(OR($D3900="",$E3900=""),"",IFERROR($D3900*INDEX(Setup!$B$27:$B$44,MATCH($E3900,Setup!$A$27:$A$44,0)),"TBD"))</f>
        <v/>
      </c>
      <c r="G3900" s="32"/>
      <c r="H3900" s="32"/>
      <c r="I3900" s="32"/>
      <c r="J3900" s="32"/>
      <c r="K3900" s="35"/>
      <c r="L3900" s="32"/>
      <c r="M3900" s="32"/>
    </row>
    <row r="3901" customFormat="false" ht="15" hidden="false" customHeight="true" outlineLevel="0" collapsed="false">
      <c r="A3901" s="32"/>
      <c r="B3901" s="32"/>
      <c r="C3901" s="32"/>
      <c r="D3901" s="32"/>
      <c r="E3901" s="34" t="str">
        <f aca="false">IF($B3901="","",IF($B3901="OUT","Liters",IFERROR(INDEX(Setup!$F$3:$F$24,MATCH($C3901,Setup!$A$3:$A$24,0)),"")))</f>
        <v/>
      </c>
      <c r="F3901" s="28" t="str">
        <f aca="false">IF(OR($D3901="",$E3901=""),"",IFERROR($D3901*INDEX(Setup!$B$27:$B$44,MATCH($E3901,Setup!$A$27:$A$44,0)),"TBD"))</f>
        <v/>
      </c>
      <c r="G3901" s="32"/>
      <c r="H3901" s="32"/>
      <c r="I3901" s="32"/>
      <c r="J3901" s="32"/>
      <c r="K3901" s="35"/>
      <c r="L3901" s="32"/>
      <c r="M3901" s="32"/>
    </row>
    <row r="3902" customFormat="false" ht="15" hidden="false" customHeight="true" outlineLevel="0" collapsed="false">
      <c r="A3902" s="32"/>
      <c r="B3902" s="32"/>
      <c r="C3902" s="32"/>
      <c r="D3902" s="32"/>
      <c r="E3902" s="34" t="str">
        <f aca="false">IF($B3902="","",IF($B3902="OUT","Liters",IFERROR(INDEX(Setup!$F$3:$F$24,MATCH($C3902,Setup!$A$3:$A$24,0)),"")))</f>
        <v/>
      </c>
      <c r="F3902" s="28" t="str">
        <f aca="false">IF(OR($D3902="",$E3902=""),"",IFERROR($D3902*INDEX(Setup!$B$27:$B$44,MATCH($E3902,Setup!$A$27:$A$44,0)),"TBD"))</f>
        <v/>
      </c>
      <c r="G3902" s="32"/>
      <c r="H3902" s="32"/>
      <c r="I3902" s="32"/>
      <c r="J3902" s="32"/>
      <c r="K3902" s="35"/>
      <c r="L3902" s="32"/>
      <c r="M3902" s="32"/>
    </row>
    <row r="3903" customFormat="false" ht="15" hidden="false" customHeight="true" outlineLevel="0" collapsed="false">
      <c r="A3903" s="32"/>
      <c r="B3903" s="32"/>
      <c r="C3903" s="32"/>
      <c r="D3903" s="32"/>
      <c r="E3903" s="34" t="str">
        <f aca="false">IF($B3903="","",IF($B3903="OUT","Liters",IFERROR(INDEX(Setup!$F$3:$F$24,MATCH($C3903,Setup!$A$3:$A$24,0)),"")))</f>
        <v/>
      </c>
      <c r="F3903" s="28" t="str">
        <f aca="false">IF(OR($D3903="",$E3903=""),"",IFERROR($D3903*INDEX(Setup!$B$27:$B$44,MATCH($E3903,Setup!$A$27:$A$44,0)),"TBD"))</f>
        <v/>
      </c>
      <c r="G3903" s="32"/>
      <c r="H3903" s="32"/>
      <c r="I3903" s="32"/>
      <c r="J3903" s="32"/>
      <c r="K3903" s="35"/>
      <c r="L3903" s="32"/>
      <c r="M3903" s="32"/>
    </row>
    <row r="3904" customFormat="false" ht="15" hidden="false" customHeight="true" outlineLevel="0" collapsed="false">
      <c r="A3904" s="32"/>
      <c r="B3904" s="32"/>
      <c r="C3904" s="32"/>
      <c r="D3904" s="32"/>
      <c r="E3904" s="34" t="str">
        <f aca="false">IF($B3904="","",IF($B3904="OUT","Liters",IFERROR(INDEX(Setup!$F$3:$F$24,MATCH($C3904,Setup!$A$3:$A$24,0)),"")))</f>
        <v/>
      </c>
      <c r="F3904" s="28" t="str">
        <f aca="false">IF(OR($D3904="",$E3904=""),"",IFERROR($D3904*INDEX(Setup!$B$27:$B$44,MATCH($E3904,Setup!$A$27:$A$44,0)),"TBD"))</f>
        <v/>
      </c>
      <c r="G3904" s="32"/>
      <c r="H3904" s="32"/>
      <c r="I3904" s="32"/>
      <c r="J3904" s="32"/>
      <c r="K3904" s="35"/>
      <c r="L3904" s="32"/>
      <c r="M3904" s="32"/>
    </row>
    <row r="3905" customFormat="false" ht="15" hidden="false" customHeight="true" outlineLevel="0" collapsed="false">
      <c r="A3905" s="32"/>
      <c r="B3905" s="32"/>
      <c r="C3905" s="32"/>
      <c r="D3905" s="32"/>
      <c r="E3905" s="34" t="str">
        <f aca="false">IF($B3905="","",IF($B3905="OUT","Liters",IFERROR(INDEX(Setup!$F$3:$F$24,MATCH($C3905,Setup!$A$3:$A$24,0)),"")))</f>
        <v/>
      </c>
      <c r="F3905" s="28" t="str">
        <f aca="false">IF(OR($D3905="",$E3905=""),"",IFERROR($D3905*INDEX(Setup!$B$27:$B$44,MATCH($E3905,Setup!$A$27:$A$44,0)),"TBD"))</f>
        <v/>
      </c>
      <c r="G3905" s="32"/>
      <c r="H3905" s="32"/>
      <c r="I3905" s="32"/>
      <c r="J3905" s="32"/>
      <c r="K3905" s="35"/>
      <c r="L3905" s="32"/>
      <c r="M3905" s="32"/>
    </row>
    <row r="3906" customFormat="false" ht="15" hidden="false" customHeight="true" outlineLevel="0" collapsed="false">
      <c r="A3906" s="32"/>
      <c r="B3906" s="32"/>
      <c r="C3906" s="32"/>
      <c r="D3906" s="32"/>
      <c r="E3906" s="34" t="str">
        <f aca="false">IF($B3906="","",IF($B3906="OUT","Liters",IFERROR(INDEX(Setup!$F$3:$F$24,MATCH($C3906,Setup!$A$3:$A$24,0)),"")))</f>
        <v/>
      </c>
      <c r="F3906" s="28" t="str">
        <f aca="false">IF(OR($D3906="",$E3906=""),"",IFERROR($D3906*INDEX(Setup!$B$27:$B$44,MATCH($E3906,Setup!$A$27:$A$44,0)),"TBD"))</f>
        <v/>
      </c>
      <c r="G3906" s="32"/>
      <c r="H3906" s="32"/>
      <c r="I3906" s="32"/>
      <c r="J3906" s="32"/>
      <c r="K3906" s="35"/>
      <c r="L3906" s="32"/>
      <c r="M3906" s="32"/>
    </row>
    <row r="3907" customFormat="false" ht="15" hidden="false" customHeight="true" outlineLevel="0" collapsed="false">
      <c r="A3907" s="32"/>
      <c r="B3907" s="32"/>
      <c r="C3907" s="32"/>
      <c r="D3907" s="32"/>
      <c r="E3907" s="34" t="str">
        <f aca="false">IF($B3907="","",IF($B3907="OUT","Liters",IFERROR(INDEX(Setup!$F$3:$F$24,MATCH($C3907,Setup!$A$3:$A$24,0)),"")))</f>
        <v/>
      </c>
      <c r="F3907" s="28" t="str">
        <f aca="false">IF(OR($D3907="",$E3907=""),"",IFERROR($D3907*INDEX(Setup!$B$27:$B$44,MATCH($E3907,Setup!$A$27:$A$44,0)),"TBD"))</f>
        <v/>
      </c>
      <c r="G3907" s="32"/>
      <c r="H3907" s="32"/>
      <c r="I3907" s="32"/>
      <c r="J3907" s="32"/>
      <c r="K3907" s="35"/>
      <c r="L3907" s="32"/>
      <c r="M3907" s="32"/>
    </row>
    <row r="3908" customFormat="false" ht="15" hidden="false" customHeight="true" outlineLevel="0" collapsed="false">
      <c r="A3908" s="32"/>
      <c r="B3908" s="32"/>
      <c r="C3908" s="32"/>
      <c r="D3908" s="32"/>
      <c r="E3908" s="34" t="str">
        <f aca="false">IF($B3908="","",IF($B3908="OUT","Liters",IFERROR(INDEX(Setup!$F$3:$F$24,MATCH($C3908,Setup!$A$3:$A$24,0)),"")))</f>
        <v/>
      </c>
      <c r="F3908" s="28" t="str">
        <f aca="false">IF(OR($D3908="",$E3908=""),"",IFERROR($D3908*INDEX(Setup!$B$27:$B$44,MATCH($E3908,Setup!$A$27:$A$44,0)),"TBD"))</f>
        <v/>
      </c>
      <c r="G3908" s="32"/>
      <c r="H3908" s="32"/>
      <c r="I3908" s="32"/>
      <c r="J3908" s="32"/>
      <c r="K3908" s="35"/>
      <c r="L3908" s="32"/>
      <c r="M3908" s="32"/>
    </row>
    <row r="3909" customFormat="false" ht="15" hidden="false" customHeight="true" outlineLevel="0" collapsed="false">
      <c r="A3909" s="32"/>
      <c r="B3909" s="32"/>
      <c r="C3909" s="32"/>
      <c r="D3909" s="32"/>
      <c r="E3909" s="34" t="str">
        <f aca="false">IF($B3909="","",IF($B3909="OUT","Liters",IFERROR(INDEX(Setup!$F$3:$F$24,MATCH($C3909,Setup!$A$3:$A$24,0)),"")))</f>
        <v/>
      </c>
      <c r="F3909" s="28" t="str">
        <f aca="false">IF(OR($D3909="",$E3909=""),"",IFERROR($D3909*INDEX(Setup!$B$27:$B$44,MATCH($E3909,Setup!$A$27:$A$44,0)),"TBD"))</f>
        <v/>
      </c>
      <c r="G3909" s="32"/>
      <c r="H3909" s="32"/>
      <c r="I3909" s="32"/>
      <c r="J3909" s="32"/>
      <c r="K3909" s="35"/>
      <c r="L3909" s="32"/>
      <c r="M3909" s="32"/>
    </row>
    <row r="3910" customFormat="false" ht="15" hidden="false" customHeight="true" outlineLevel="0" collapsed="false">
      <c r="A3910" s="32"/>
      <c r="B3910" s="32"/>
      <c r="C3910" s="32"/>
      <c r="D3910" s="32"/>
      <c r="E3910" s="34" t="str">
        <f aca="false">IF($B3910="","",IF($B3910="OUT","Liters",IFERROR(INDEX(Setup!$F$3:$F$24,MATCH($C3910,Setup!$A$3:$A$24,0)),"")))</f>
        <v/>
      </c>
      <c r="F3910" s="28" t="str">
        <f aca="false">IF(OR($D3910="",$E3910=""),"",IFERROR($D3910*INDEX(Setup!$B$27:$B$44,MATCH($E3910,Setup!$A$27:$A$44,0)),"TBD"))</f>
        <v/>
      </c>
      <c r="G3910" s="32"/>
      <c r="H3910" s="32"/>
      <c r="I3910" s="32"/>
      <c r="J3910" s="32"/>
      <c r="K3910" s="35"/>
      <c r="L3910" s="32"/>
      <c r="M3910" s="32"/>
    </row>
    <row r="3911" customFormat="false" ht="15" hidden="false" customHeight="true" outlineLevel="0" collapsed="false">
      <c r="A3911" s="32"/>
      <c r="B3911" s="32"/>
      <c r="C3911" s="32"/>
      <c r="D3911" s="32"/>
      <c r="E3911" s="34" t="str">
        <f aca="false">IF($B3911="","",IF($B3911="OUT","Liters",IFERROR(INDEX(Setup!$F$3:$F$24,MATCH($C3911,Setup!$A$3:$A$24,0)),"")))</f>
        <v/>
      </c>
      <c r="F3911" s="28" t="str">
        <f aca="false">IF(OR($D3911="",$E3911=""),"",IFERROR($D3911*INDEX(Setup!$B$27:$B$44,MATCH($E3911,Setup!$A$27:$A$44,0)),"TBD"))</f>
        <v/>
      </c>
      <c r="G3911" s="32"/>
      <c r="H3911" s="32"/>
      <c r="I3911" s="32"/>
      <c r="J3911" s="32"/>
      <c r="K3911" s="35"/>
      <c r="L3911" s="32"/>
      <c r="M3911" s="32"/>
    </row>
    <row r="3912" customFormat="false" ht="15" hidden="false" customHeight="true" outlineLevel="0" collapsed="false">
      <c r="A3912" s="32"/>
      <c r="B3912" s="32"/>
      <c r="C3912" s="32"/>
      <c r="D3912" s="32"/>
      <c r="E3912" s="34" t="str">
        <f aca="false">IF($B3912="","",IF($B3912="OUT","Liters",IFERROR(INDEX(Setup!$F$3:$F$24,MATCH($C3912,Setup!$A$3:$A$24,0)),"")))</f>
        <v/>
      </c>
      <c r="F3912" s="28" t="str">
        <f aca="false">IF(OR($D3912="",$E3912=""),"",IFERROR($D3912*INDEX(Setup!$B$27:$B$44,MATCH($E3912,Setup!$A$27:$A$44,0)),"TBD"))</f>
        <v/>
      </c>
      <c r="G3912" s="32"/>
      <c r="H3912" s="32"/>
      <c r="I3912" s="32"/>
      <c r="J3912" s="32"/>
      <c r="K3912" s="35"/>
      <c r="L3912" s="32"/>
      <c r="M3912" s="32"/>
    </row>
    <row r="3913" customFormat="false" ht="15" hidden="false" customHeight="true" outlineLevel="0" collapsed="false">
      <c r="A3913" s="32"/>
      <c r="B3913" s="32"/>
      <c r="C3913" s="32"/>
      <c r="D3913" s="32"/>
      <c r="E3913" s="34" t="str">
        <f aca="false">IF($B3913="","",IF($B3913="OUT","Liters",IFERROR(INDEX(Setup!$F$3:$F$24,MATCH($C3913,Setup!$A$3:$A$24,0)),"")))</f>
        <v/>
      </c>
      <c r="F3913" s="28" t="str">
        <f aca="false">IF(OR($D3913="",$E3913=""),"",IFERROR($D3913*INDEX(Setup!$B$27:$B$44,MATCH($E3913,Setup!$A$27:$A$44,0)),"TBD"))</f>
        <v/>
      </c>
      <c r="G3913" s="32"/>
      <c r="H3913" s="32"/>
      <c r="I3913" s="32"/>
      <c r="J3913" s="32"/>
      <c r="K3913" s="35"/>
      <c r="L3913" s="32"/>
      <c r="M3913" s="32"/>
    </row>
    <row r="3914" customFormat="false" ht="15" hidden="false" customHeight="true" outlineLevel="0" collapsed="false">
      <c r="A3914" s="32"/>
      <c r="B3914" s="32"/>
      <c r="C3914" s="32"/>
      <c r="D3914" s="32"/>
      <c r="E3914" s="34" t="str">
        <f aca="false">IF($B3914="","",IF($B3914="OUT","Liters",IFERROR(INDEX(Setup!$F$3:$F$24,MATCH($C3914,Setup!$A$3:$A$24,0)),"")))</f>
        <v/>
      </c>
      <c r="F3914" s="28" t="str">
        <f aca="false">IF(OR($D3914="",$E3914=""),"",IFERROR($D3914*INDEX(Setup!$B$27:$B$44,MATCH($E3914,Setup!$A$27:$A$44,0)),"TBD"))</f>
        <v/>
      </c>
      <c r="G3914" s="32"/>
      <c r="H3914" s="32"/>
      <c r="I3914" s="32"/>
      <c r="J3914" s="32"/>
      <c r="K3914" s="35"/>
      <c r="L3914" s="32"/>
      <c r="M3914" s="32"/>
    </row>
    <row r="3915" customFormat="false" ht="15" hidden="false" customHeight="true" outlineLevel="0" collapsed="false">
      <c r="A3915" s="32"/>
      <c r="B3915" s="32"/>
      <c r="C3915" s="32"/>
      <c r="D3915" s="32"/>
      <c r="E3915" s="34" t="str">
        <f aca="false">IF($B3915="","",IF($B3915="OUT","Liters",IFERROR(INDEX(Setup!$F$3:$F$24,MATCH($C3915,Setup!$A$3:$A$24,0)),"")))</f>
        <v/>
      </c>
      <c r="F3915" s="28" t="str">
        <f aca="false">IF(OR($D3915="",$E3915=""),"",IFERROR($D3915*INDEX(Setup!$B$27:$B$44,MATCH($E3915,Setup!$A$27:$A$44,0)),"TBD"))</f>
        <v/>
      </c>
      <c r="G3915" s="32"/>
      <c r="H3915" s="32"/>
      <c r="I3915" s="32"/>
      <c r="J3915" s="32"/>
      <c r="K3915" s="35"/>
      <c r="L3915" s="32"/>
      <c r="M3915" s="32"/>
    </row>
    <row r="3916" customFormat="false" ht="15" hidden="false" customHeight="true" outlineLevel="0" collapsed="false">
      <c r="A3916" s="32"/>
      <c r="B3916" s="32"/>
      <c r="C3916" s="32"/>
      <c r="D3916" s="32"/>
      <c r="E3916" s="34" t="str">
        <f aca="false">IF($B3916="","",IF($B3916="OUT","Liters",IFERROR(INDEX(Setup!$F$3:$F$24,MATCH($C3916,Setup!$A$3:$A$24,0)),"")))</f>
        <v/>
      </c>
      <c r="F3916" s="28" t="str">
        <f aca="false">IF(OR($D3916="",$E3916=""),"",IFERROR($D3916*INDEX(Setup!$B$27:$B$44,MATCH($E3916,Setup!$A$27:$A$44,0)),"TBD"))</f>
        <v/>
      </c>
      <c r="G3916" s="32"/>
      <c r="H3916" s="32"/>
      <c r="I3916" s="32"/>
      <c r="J3916" s="32"/>
      <c r="K3916" s="35"/>
      <c r="L3916" s="32"/>
      <c r="M3916" s="32"/>
    </row>
    <row r="3917" customFormat="false" ht="15" hidden="false" customHeight="true" outlineLevel="0" collapsed="false">
      <c r="A3917" s="32"/>
      <c r="B3917" s="32"/>
      <c r="C3917" s="32"/>
      <c r="D3917" s="32"/>
      <c r="E3917" s="34" t="str">
        <f aca="false">IF($B3917="","",IF($B3917="OUT","Liters",IFERROR(INDEX(Setup!$F$3:$F$24,MATCH($C3917,Setup!$A$3:$A$24,0)),"")))</f>
        <v/>
      </c>
      <c r="F3917" s="28" t="str">
        <f aca="false">IF(OR($D3917="",$E3917=""),"",IFERROR($D3917*INDEX(Setup!$B$27:$B$44,MATCH($E3917,Setup!$A$27:$A$44,0)),"TBD"))</f>
        <v/>
      </c>
      <c r="G3917" s="32"/>
      <c r="H3917" s="32"/>
      <c r="I3917" s="32"/>
      <c r="J3917" s="32"/>
      <c r="K3917" s="35"/>
      <c r="L3917" s="32"/>
      <c r="M3917" s="32"/>
    </row>
    <row r="3918" customFormat="false" ht="15" hidden="false" customHeight="true" outlineLevel="0" collapsed="false">
      <c r="A3918" s="32"/>
      <c r="B3918" s="32"/>
      <c r="C3918" s="32"/>
      <c r="D3918" s="32"/>
      <c r="E3918" s="34" t="str">
        <f aca="false">IF($B3918="","",IF($B3918="OUT","Liters",IFERROR(INDEX(Setup!$F$3:$F$24,MATCH($C3918,Setup!$A$3:$A$24,0)),"")))</f>
        <v/>
      </c>
      <c r="F3918" s="28" t="str">
        <f aca="false">IF(OR($D3918="",$E3918=""),"",IFERROR($D3918*INDEX(Setup!$B$27:$B$44,MATCH($E3918,Setup!$A$27:$A$44,0)),"TBD"))</f>
        <v/>
      </c>
      <c r="G3918" s="32"/>
      <c r="H3918" s="32"/>
      <c r="I3918" s="32"/>
      <c r="J3918" s="32"/>
      <c r="K3918" s="35"/>
      <c r="L3918" s="32"/>
      <c r="M3918" s="32"/>
    </row>
    <row r="3919" customFormat="false" ht="15" hidden="false" customHeight="true" outlineLevel="0" collapsed="false">
      <c r="A3919" s="32"/>
      <c r="B3919" s="32"/>
      <c r="C3919" s="32"/>
      <c r="D3919" s="32"/>
      <c r="E3919" s="34" t="str">
        <f aca="false">IF($B3919="","",IF($B3919="OUT","Liters",IFERROR(INDEX(Setup!$F$3:$F$24,MATCH($C3919,Setup!$A$3:$A$24,0)),"")))</f>
        <v/>
      </c>
      <c r="F3919" s="28" t="str">
        <f aca="false">IF(OR($D3919="",$E3919=""),"",IFERROR($D3919*INDEX(Setup!$B$27:$B$44,MATCH($E3919,Setup!$A$27:$A$44,0)),"TBD"))</f>
        <v/>
      </c>
      <c r="G3919" s="32"/>
      <c r="H3919" s="32"/>
      <c r="I3919" s="32"/>
      <c r="J3919" s="32"/>
      <c r="K3919" s="35"/>
      <c r="L3919" s="32"/>
      <c r="M3919" s="32"/>
    </row>
    <row r="3920" customFormat="false" ht="15" hidden="false" customHeight="true" outlineLevel="0" collapsed="false">
      <c r="A3920" s="32"/>
      <c r="B3920" s="32"/>
      <c r="C3920" s="32"/>
      <c r="D3920" s="32"/>
      <c r="E3920" s="34" t="str">
        <f aca="false">IF($B3920="","",IF($B3920="OUT","Liters",IFERROR(INDEX(Setup!$F$3:$F$24,MATCH($C3920,Setup!$A$3:$A$24,0)),"")))</f>
        <v/>
      </c>
      <c r="F3920" s="28" t="str">
        <f aca="false">IF(OR($D3920="",$E3920=""),"",IFERROR($D3920*INDEX(Setup!$B$27:$B$44,MATCH($E3920,Setup!$A$27:$A$44,0)),"TBD"))</f>
        <v/>
      </c>
      <c r="G3920" s="32"/>
      <c r="H3920" s="32"/>
      <c r="I3920" s="32"/>
      <c r="J3920" s="32"/>
      <c r="K3920" s="35"/>
      <c r="L3920" s="32"/>
      <c r="M3920" s="32"/>
    </row>
    <row r="3921" customFormat="false" ht="15" hidden="false" customHeight="true" outlineLevel="0" collapsed="false">
      <c r="A3921" s="32"/>
      <c r="B3921" s="32"/>
      <c r="C3921" s="32"/>
      <c r="D3921" s="32"/>
      <c r="E3921" s="34" t="str">
        <f aca="false">IF($B3921="","",IF($B3921="OUT","Liters",IFERROR(INDEX(Setup!$F$3:$F$24,MATCH($C3921,Setup!$A$3:$A$24,0)),"")))</f>
        <v/>
      </c>
      <c r="F3921" s="28" t="str">
        <f aca="false">IF(OR($D3921="",$E3921=""),"",IFERROR($D3921*INDEX(Setup!$B$27:$B$44,MATCH($E3921,Setup!$A$27:$A$44,0)),"TBD"))</f>
        <v/>
      </c>
      <c r="G3921" s="32"/>
      <c r="H3921" s="32"/>
      <c r="I3921" s="32"/>
      <c r="J3921" s="32"/>
      <c r="K3921" s="35"/>
      <c r="L3921" s="32"/>
      <c r="M3921" s="32"/>
    </row>
    <row r="3922" customFormat="false" ht="15" hidden="false" customHeight="true" outlineLevel="0" collapsed="false">
      <c r="A3922" s="32"/>
      <c r="B3922" s="32"/>
      <c r="C3922" s="32"/>
      <c r="D3922" s="32"/>
      <c r="E3922" s="34" t="str">
        <f aca="false">IF($B3922="","",IF($B3922="OUT","Liters",IFERROR(INDEX(Setup!$F$3:$F$24,MATCH($C3922,Setup!$A$3:$A$24,0)),"")))</f>
        <v/>
      </c>
      <c r="F3922" s="28" t="str">
        <f aca="false">IF(OR($D3922="",$E3922=""),"",IFERROR($D3922*INDEX(Setup!$B$27:$B$44,MATCH($E3922,Setup!$A$27:$A$44,0)),"TBD"))</f>
        <v/>
      </c>
      <c r="G3922" s="32"/>
      <c r="H3922" s="32"/>
      <c r="I3922" s="32"/>
      <c r="J3922" s="32"/>
      <c r="K3922" s="35"/>
      <c r="L3922" s="32"/>
      <c r="M3922" s="32"/>
    </row>
    <row r="3923" customFormat="false" ht="15" hidden="false" customHeight="true" outlineLevel="0" collapsed="false">
      <c r="A3923" s="32"/>
      <c r="B3923" s="32"/>
      <c r="C3923" s="32"/>
      <c r="D3923" s="32"/>
      <c r="E3923" s="34" t="str">
        <f aca="false">IF($B3923="","",IF($B3923="OUT","Liters",IFERROR(INDEX(Setup!$F$3:$F$24,MATCH($C3923,Setup!$A$3:$A$24,0)),"")))</f>
        <v/>
      </c>
      <c r="F3923" s="28" t="str">
        <f aca="false">IF(OR($D3923="",$E3923=""),"",IFERROR($D3923*INDEX(Setup!$B$27:$B$44,MATCH($E3923,Setup!$A$27:$A$44,0)),"TBD"))</f>
        <v/>
      </c>
      <c r="G3923" s="32"/>
      <c r="H3923" s="32"/>
      <c r="I3923" s="32"/>
      <c r="J3923" s="32"/>
      <c r="K3923" s="35"/>
      <c r="L3923" s="32"/>
      <c r="M3923" s="32"/>
    </row>
    <row r="3924" customFormat="false" ht="15" hidden="false" customHeight="true" outlineLevel="0" collapsed="false">
      <c r="A3924" s="32"/>
      <c r="B3924" s="32"/>
      <c r="C3924" s="32"/>
      <c r="D3924" s="32"/>
      <c r="E3924" s="34" t="str">
        <f aca="false">IF($B3924="","",IF($B3924="OUT","Liters",IFERROR(INDEX(Setup!$F$3:$F$24,MATCH($C3924,Setup!$A$3:$A$24,0)),"")))</f>
        <v/>
      </c>
      <c r="F3924" s="28" t="str">
        <f aca="false">IF(OR($D3924="",$E3924=""),"",IFERROR($D3924*INDEX(Setup!$B$27:$B$44,MATCH($E3924,Setup!$A$27:$A$44,0)),"TBD"))</f>
        <v/>
      </c>
      <c r="G3924" s="32"/>
      <c r="H3924" s="32"/>
      <c r="I3924" s="32"/>
      <c r="J3924" s="32"/>
      <c r="K3924" s="35"/>
      <c r="L3924" s="32"/>
      <c r="M3924" s="32"/>
    </row>
    <row r="3925" customFormat="false" ht="15" hidden="false" customHeight="true" outlineLevel="0" collapsed="false">
      <c r="A3925" s="32"/>
      <c r="B3925" s="32"/>
      <c r="C3925" s="32"/>
      <c r="D3925" s="32"/>
      <c r="E3925" s="34" t="str">
        <f aca="false">IF($B3925="","",IF($B3925="OUT","Liters",IFERROR(INDEX(Setup!$F$3:$F$24,MATCH($C3925,Setup!$A$3:$A$24,0)),"")))</f>
        <v/>
      </c>
      <c r="F3925" s="28" t="str">
        <f aca="false">IF(OR($D3925="",$E3925=""),"",IFERROR($D3925*INDEX(Setup!$B$27:$B$44,MATCH($E3925,Setup!$A$27:$A$44,0)),"TBD"))</f>
        <v/>
      </c>
      <c r="G3925" s="32"/>
      <c r="H3925" s="32"/>
      <c r="I3925" s="32"/>
      <c r="J3925" s="32"/>
      <c r="K3925" s="35"/>
      <c r="L3925" s="32"/>
      <c r="M3925" s="32"/>
    </row>
    <row r="3926" customFormat="false" ht="15" hidden="false" customHeight="true" outlineLevel="0" collapsed="false">
      <c r="A3926" s="32"/>
      <c r="B3926" s="32"/>
      <c r="C3926" s="32"/>
      <c r="D3926" s="32"/>
      <c r="E3926" s="34" t="str">
        <f aca="false">IF($B3926="","",IF($B3926="OUT","Liters",IFERROR(INDEX(Setup!$F$3:$F$24,MATCH($C3926,Setup!$A$3:$A$24,0)),"")))</f>
        <v/>
      </c>
      <c r="F3926" s="28" t="str">
        <f aca="false">IF(OR($D3926="",$E3926=""),"",IFERROR($D3926*INDEX(Setup!$B$27:$B$44,MATCH($E3926,Setup!$A$27:$A$44,0)),"TBD"))</f>
        <v/>
      </c>
      <c r="G3926" s="32"/>
      <c r="H3926" s="32"/>
      <c r="I3926" s="32"/>
      <c r="J3926" s="32"/>
      <c r="K3926" s="35"/>
      <c r="L3926" s="32"/>
      <c r="M3926" s="32"/>
    </row>
    <row r="3927" customFormat="false" ht="15" hidden="false" customHeight="true" outlineLevel="0" collapsed="false">
      <c r="A3927" s="32"/>
      <c r="B3927" s="32"/>
      <c r="C3927" s="32"/>
      <c r="D3927" s="32"/>
      <c r="E3927" s="34" t="str">
        <f aca="false">IF($B3927="","",IF($B3927="OUT","Liters",IFERROR(INDEX(Setup!$F$3:$F$24,MATCH($C3927,Setup!$A$3:$A$24,0)),"")))</f>
        <v/>
      </c>
      <c r="F3927" s="28" t="str">
        <f aca="false">IF(OR($D3927="",$E3927=""),"",IFERROR($D3927*INDEX(Setup!$B$27:$B$44,MATCH($E3927,Setup!$A$27:$A$44,0)),"TBD"))</f>
        <v/>
      </c>
      <c r="G3927" s="32"/>
      <c r="H3927" s="32"/>
      <c r="I3927" s="32"/>
      <c r="J3927" s="32"/>
      <c r="K3927" s="35"/>
      <c r="L3927" s="32"/>
      <c r="M3927" s="32"/>
    </row>
    <row r="3928" customFormat="false" ht="15" hidden="false" customHeight="true" outlineLevel="0" collapsed="false">
      <c r="A3928" s="32"/>
      <c r="B3928" s="32"/>
      <c r="C3928" s="32"/>
      <c r="D3928" s="32"/>
      <c r="E3928" s="34" t="str">
        <f aca="false">IF($B3928="","",IF($B3928="OUT","Liters",IFERROR(INDEX(Setup!$F$3:$F$24,MATCH($C3928,Setup!$A$3:$A$24,0)),"")))</f>
        <v/>
      </c>
      <c r="F3928" s="28" t="str">
        <f aca="false">IF(OR($D3928="",$E3928=""),"",IFERROR($D3928*INDEX(Setup!$B$27:$B$44,MATCH($E3928,Setup!$A$27:$A$44,0)),"TBD"))</f>
        <v/>
      </c>
      <c r="G3928" s="32"/>
      <c r="H3928" s="32"/>
      <c r="I3928" s="32"/>
      <c r="J3928" s="32"/>
      <c r="K3928" s="35"/>
      <c r="L3928" s="32"/>
      <c r="M3928" s="32"/>
    </row>
    <row r="3929" customFormat="false" ht="15" hidden="false" customHeight="true" outlineLevel="0" collapsed="false">
      <c r="A3929" s="32"/>
      <c r="B3929" s="32"/>
      <c r="C3929" s="32"/>
      <c r="D3929" s="32"/>
      <c r="E3929" s="34" t="str">
        <f aca="false">IF($B3929="","",IF($B3929="OUT","Liters",IFERROR(INDEX(Setup!$F$3:$F$24,MATCH($C3929,Setup!$A$3:$A$24,0)),"")))</f>
        <v/>
      </c>
      <c r="F3929" s="28" t="str">
        <f aca="false">IF(OR($D3929="",$E3929=""),"",IFERROR($D3929*INDEX(Setup!$B$27:$B$44,MATCH($E3929,Setup!$A$27:$A$44,0)),"TBD"))</f>
        <v/>
      </c>
      <c r="G3929" s="32"/>
      <c r="H3929" s="32"/>
      <c r="I3929" s="32"/>
      <c r="J3929" s="32"/>
      <c r="K3929" s="35"/>
      <c r="L3929" s="32"/>
      <c r="M3929" s="32"/>
    </row>
    <row r="3930" customFormat="false" ht="15" hidden="false" customHeight="true" outlineLevel="0" collapsed="false">
      <c r="A3930" s="32"/>
      <c r="B3930" s="32"/>
      <c r="C3930" s="32"/>
      <c r="D3930" s="32"/>
      <c r="E3930" s="34" t="str">
        <f aca="false">IF($B3930="","",IF($B3930="OUT","Liters",IFERROR(INDEX(Setup!$F$3:$F$24,MATCH($C3930,Setup!$A$3:$A$24,0)),"")))</f>
        <v/>
      </c>
      <c r="F3930" s="28" t="str">
        <f aca="false">IF(OR($D3930="",$E3930=""),"",IFERROR($D3930*INDEX(Setup!$B$27:$B$44,MATCH($E3930,Setup!$A$27:$A$44,0)),"TBD"))</f>
        <v/>
      </c>
      <c r="G3930" s="32"/>
      <c r="H3930" s="32"/>
      <c r="I3930" s="32"/>
      <c r="J3930" s="32"/>
      <c r="K3930" s="35"/>
      <c r="L3930" s="32"/>
      <c r="M3930" s="32"/>
    </row>
    <row r="3931" customFormat="false" ht="15" hidden="false" customHeight="true" outlineLevel="0" collapsed="false">
      <c r="A3931" s="32"/>
      <c r="B3931" s="32"/>
      <c r="C3931" s="32"/>
      <c r="D3931" s="32"/>
      <c r="E3931" s="34" t="str">
        <f aca="false">IF($B3931="","",IF($B3931="OUT","Liters",IFERROR(INDEX(Setup!$F$3:$F$24,MATCH($C3931,Setup!$A$3:$A$24,0)),"")))</f>
        <v/>
      </c>
      <c r="F3931" s="28" t="str">
        <f aca="false">IF(OR($D3931="",$E3931=""),"",IFERROR($D3931*INDEX(Setup!$B$27:$B$44,MATCH($E3931,Setup!$A$27:$A$44,0)),"TBD"))</f>
        <v/>
      </c>
      <c r="G3931" s="32"/>
      <c r="H3931" s="32"/>
      <c r="I3931" s="32"/>
      <c r="J3931" s="32"/>
      <c r="K3931" s="35"/>
      <c r="L3931" s="32"/>
      <c r="M3931" s="32"/>
    </row>
    <row r="3932" customFormat="false" ht="15" hidden="false" customHeight="true" outlineLevel="0" collapsed="false">
      <c r="A3932" s="32"/>
      <c r="B3932" s="32"/>
      <c r="C3932" s="32"/>
      <c r="D3932" s="32"/>
      <c r="E3932" s="34" t="str">
        <f aca="false">IF($B3932="","",IF($B3932="OUT","Liters",IFERROR(INDEX(Setup!$F$3:$F$24,MATCH($C3932,Setup!$A$3:$A$24,0)),"")))</f>
        <v/>
      </c>
      <c r="F3932" s="28" t="str">
        <f aca="false">IF(OR($D3932="",$E3932=""),"",IFERROR($D3932*INDEX(Setup!$B$27:$B$44,MATCH($E3932,Setup!$A$27:$A$44,0)),"TBD"))</f>
        <v/>
      </c>
      <c r="G3932" s="32"/>
      <c r="H3932" s="32"/>
      <c r="I3932" s="32"/>
      <c r="J3932" s="32"/>
      <c r="K3932" s="35"/>
      <c r="L3932" s="32"/>
      <c r="M3932" s="32"/>
    </row>
    <row r="3933" customFormat="false" ht="15" hidden="false" customHeight="true" outlineLevel="0" collapsed="false">
      <c r="A3933" s="32"/>
      <c r="B3933" s="32"/>
      <c r="C3933" s="32"/>
      <c r="D3933" s="32"/>
      <c r="E3933" s="34" t="str">
        <f aca="false">IF($B3933="","",IF($B3933="OUT","Liters",IFERROR(INDEX(Setup!$F$3:$F$24,MATCH($C3933,Setup!$A$3:$A$24,0)),"")))</f>
        <v/>
      </c>
      <c r="F3933" s="28" t="str">
        <f aca="false">IF(OR($D3933="",$E3933=""),"",IFERROR($D3933*INDEX(Setup!$B$27:$B$44,MATCH($E3933,Setup!$A$27:$A$44,0)),"TBD"))</f>
        <v/>
      </c>
      <c r="G3933" s="32"/>
      <c r="H3933" s="32"/>
      <c r="I3933" s="32"/>
      <c r="J3933" s="32"/>
      <c r="K3933" s="35"/>
      <c r="L3933" s="32"/>
      <c r="M3933" s="32"/>
    </row>
    <row r="3934" customFormat="false" ht="15" hidden="false" customHeight="true" outlineLevel="0" collapsed="false">
      <c r="A3934" s="32"/>
      <c r="B3934" s="32"/>
      <c r="C3934" s="32"/>
      <c r="D3934" s="32"/>
      <c r="E3934" s="34" t="str">
        <f aca="false">IF($B3934="","",IF($B3934="OUT","Liters",IFERROR(INDEX(Setup!$F$3:$F$24,MATCH($C3934,Setup!$A$3:$A$24,0)),"")))</f>
        <v/>
      </c>
      <c r="F3934" s="28" t="str">
        <f aca="false">IF(OR($D3934="",$E3934=""),"",IFERROR($D3934*INDEX(Setup!$B$27:$B$44,MATCH($E3934,Setup!$A$27:$A$44,0)),"TBD"))</f>
        <v/>
      </c>
      <c r="G3934" s="32"/>
      <c r="H3934" s="32"/>
      <c r="I3934" s="32"/>
      <c r="J3934" s="32"/>
      <c r="K3934" s="35"/>
      <c r="L3934" s="32"/>
      <c r="M3934" s="32"/>
    </row>
    <row r="3935" customFormat="false" ht="15" hidden="false" customHeight="true" outlineLevel="0" collapsed="false">
      <c r="A3935" s="32"/>
      <c r="B3935" s="32"/>
      <c r="C3935" s="32"/>
      <c r="D3935" s="32"/>
      <c r="E3935" s="34" t="str">
        <f aca="false">IF($B3935="","",IF($B3935="OUT","Liters",IFERROR(INDEX(Setup!$F$3:$F$24,MATCH($C3935,Setup!$A$3:$A$24,0)),"")))</f>
        <v/>
      </c>
      <c r="F3935" s="28" t="str">
        <f aca="false">IF(OR($D3935="",$E3935=""),"",IFERROR($D3935*INDEX(Setup!$B$27:$B$44,MATCH($E3935,Setup!$A$27:$A$44,0)),"TBD"))</f>
        <v/>
      </c>
      <c r="G3935" s="32"/>
      <c r="H3935" s="32"/>
      <c r="I3935" s="32"/>
      <c r="J3935" s="32"/>
      <c r="K3935" s="35"/>
      <c r="L3935" s="32"/>
      <c r="M3935" s="32"/>
    </row>
    <row r="3936" customFormat="false" ht="15" hidden="false" customHeight="true" outlineLevel="0" collapsed="false">
      <c r="A3936" s="32"/>
      <c r="B3936" s="32"/>
      <c r="C3936" s="32"/>
      <c r="D3936" s="32"/>
      <c r="E3936" s="34" t="str">
        <f aca="false">IF($B3936="","",IF($B3936="OUT","Liters",IFERROR(INDEX(Setup!$F$3:$F$24,MATCH($C3936,Setup!$A$3:$A$24,0)),"")))</f>
        <v/>
      </c>
      <c r="F3936" s="28" t="str">
        <f aca="false">IF(OR($D3936="",$E3936=""),"",IFERROR($D3936*INDEX(Setup!$B$27:$B$44,MATCH($E3936,Setup!$A$27:$A$44,0)),"TBD"))</f>
        <v/>
      </c>
      <c r="G3936" s="32"/>
      <c r="H3936" s="32"/>
      <c r="I3936" s="32"/>
      <c r="J3936" s="32"/>
      <c r="K3936" s="35"/>
      <c r="L3936" s="32"/>
      <c r="M3936" s="32"/>
    </row>
    <row r="3937" customFormat="false" ht="15" hidden="false" customHeight="true" outlineLevel="0" collapsed="false">
      <c r="A3937" s="32"/>
      <c r="B3937" s="32"/>
      <c r="C3937" s="32"/>
      <c r="D3937" s="32"/>
      <c r="E3937" s="34" t="str">
        <f aca="false">IF($B3937="","",IF($B3937="OUT","Liters",IFERROR(INDEX(Setup!$F$3:$F$24,MATCH($C3937,Setup!$A$3:$A$24,0)),"")))</f>
        <v/>
      </c>
      <c r="F3937" s="28" t="str">
        <f aca="false">IF(OR($D3937="",$E3937=""),"",IFERROR($D3937*INDEX(Setup!$B$27:$B$44,MATCH($E3937,Setup!$A$27:$A$44,0)),"TBD"))</f>
        <v/>
      </c>
      <c r="G3937" s="32"/>
      <c r="H3937" s="32"/>
      <c r="I3937" s="32"/>
      <c r="J3937" s="32"/>
      <c r="K3937" s="35"/>
      <c r="L3937" s="32"/>
      <c r="M3937" s="32"/>
    </row>
    <row r="3938" customFormat="false" ht="15" hidden="false" customHeight="true" outlineLevel="0" collapsed="false">
      <c r="A3938" s="32"/>
      <c r="B3938" s="32"/>
      <c r="C3938" s="32"/>
      <c r="D3938" s="32"/>
      <c r="E3938" s="34" t="str">
        <f aca="false">IF($B3938="","",IF($B3938="OUT","Liters",IFERROR(INDEX(Setup!$F$3:$F$24,MATCH($C3938,Setup!$A$3:$A$24,0)),"")))</f>
        <v/>
      </c>
      <c r="F3938" s="28" t="str">
        <f aca="false">IF(OR($D3938="",$E3938=""),"",IFERROR($D3938*INDEX(Setup!$B$27:$B$44,MATCH($E3938,Setup!$A$27:$A$44,0)),"TBD"))</f>
        <v/>
      </c>
      <c r="G3938" s="32"/>
      <c r="H3938" s="32"/>
      <c r="I3938" s="32"/>
      <c r="J3938" s="32"/>
      <c r="K3938" s="35"/>
      <c r="L3938" s="32"/>
      <c r="M3938" s="32"/>
    </row>
    <row r="3939" customFormat="false" ht="15" hidden="false" customHeight="true" outlineLevel="0" collapsed="false">
      <c r="A3939" s="32"/>
      <c r="B3939" s="32"/>
      <c r="C3939" s="32"/>
      <c r="D3939" s="32"/>
      <c r="E3939" s="34" t="str">
        <f aca="false">IF($B3939="","",IF($B3939="OUT","Liters",IFERROR(INDEX(Setup!$F$3:$F$24,MATCH($C3939,Setup!$A$3:$A$24,0)),"")))</f>
        <v/>
      </c>
      <c r="F3939" s="28" t="str">
        <f aca="false">IF(OR($D3939="",$E3939=""),"",IFERROR($D3939*INDEX(Setup!$B$27:$B$44,MATCH($E3939,Setup!$A$27:$A$44,0)),"TBD"))</f>
        <v/>
      </c>
      <c r="G3939" s="32"/>
      <c r="H3939" s="32"/>
      <c r="I3939" s="32"/>
      <c r="J3939" s="32"/>
      <c r="K3939" s="35"/>
      <c r="L3939" s="32"/>
      <c r="M3939" s="32"/>
    </row>
    <row r="3940" customFormat="false" ht="15" hidden="false" customHeight="true" outlineLevel="0" collapsed="false">
      <c r="A3940" s="32"/>
      <c r="B3940" s="32"/>
      <c r="C3940" s="32"/>
      <c r="D3940" s="32"/>
      <c r="E3940" s="34" t="str">
        <f aca="false">IF($B3940="","",IF($B3940="OUT","Liters",IFERROR(INDEX(Setup!$F$3:$F$24,MATCH($C3940,Setup!$A$3:$A$24,0)),"")))</f>
        <v/>
      </c>
      <c r="F3940" s="28" t="str">
        <f aca="false">IF(OR($D3940="",$E3940=""),"",IFERROR($D3940*INDEX(Setup!$B$27:$B$44,MATCH($E3940,Setup!$A$27:$A$44,0)),"TBD"))</f>
        <v/>
      </c>
      <c r="G3940" s="32"/>
      <c r="H3940" s="32"/>
      <c r="I3940" s="32"/>
      <c r="J3940" s="32"/>
      <c r="K3940" s="35"/>
      <c r="L3940" s="32"/>
      <c r="M3940" s="32"/>
    </row>
    <row r="3941" customFormat="false" ht="15" hidden="false" customHeight="true" outlineLevel="0" collapsed="false">
      <c r="A3941" s="32"/>
      <c r="B3941" s="32"/>
      <c r="C3941" s="32"/>
      <c r="D3941" s="32"/>
      <c r="E3941" s="34" t="str">
        <f aca="false">IF($B3941="","",IF($B3941="OUT","Liters",IFERROR(INDEX(Setup!$F$3:$F$24,MATCH($C3941,Setup!$A$3:$A$24,0)),"")))</f>
        <v/>
      </c>
      <c r="F3941" s="28" t="str">
        <f aca="false">IF(OR($D3941="",$E3941=""),"",IFERROR($D3941*INDEX(Setup!$B$27:$B$44,MATCH($E3941,Setup!$A$27:$A$44,0)),"TBD"))</f>
        <v/>
      </c>
      <c r="G3941" s="32"/>
      <c r="H3941" s="32"/>
      <c r="I3941" s="32"/>
      <c r="J3941" s="32"/>
      <c r="K3941" s="35"/>
      <c r="L3941" s="32"/>
      <c r="M3941" s="32"/>
    </row>
    <row r="3942" customFormat="false" ht="15" hidden="false" customHeight="true" outlineLevel="0" collapsed="false">
      <c r="A3942" s="32"/>
      <c r="B3942" s="32"/>
      <c r="C3942" s="32"/>
      <c r="D3942" s="32"/>
      <c r="E3942" s="34" t="str">
        <f aca="false">IF($B3942="","",IF($B3942="OUT","Liters",IFERROR(INDEX(Setup!$F$3:$F$24,MATCH($C3942,Setup!$A$3:$A$24,0)),"")))</f>
        <v/>
      </c>
      <c r="F3942" s="28" t="str">
        <f aca="false">IF(OR($D3942="",$E3942=""),"",IFERROR($D3942*INDEX(Setup!$B$27:$B$44,MATCH($E3942,Setup!$A$27:$A$44,0)),"TBD"))</f>
        <v/>
      </c>
      <c r="G3942" s="32"/>
      <c r="H3942" s="32"/>
      <c r="I3942" s="32"/>
      <c r="J3942" s="32"/>
      <c r="K3942" s="35"/>
      <c r="L3942" s="32"/>
      <c r="M3942" s="32"/>
    </row>
    <row r="3943" customFormat="false" ht="15" hidden="false" customHeight="true" outlineLevel="0" collapsed="false">
      <c r="A3943" s="32"/>
      <c r="B3943" s="32"/>
      <c r="C3943" s="32"/>
      <c r="D3943" s="32"/>
      <c r="E3943" s="34" t="str">
        <f aca="false">IF($B3943="","",IF($B3943="OUT","Liters",IFERROR(INDEX(Setup!$F$3:$F$24,MATCH($C3943,Setup!$A$3:$A$24,0)),"")))</f>
        <v/>
      </c>
      <c r="F3943" s="28" t="str">
        <f aca="false">IF(OR($D3943="",$E3943=""),"",IFERROR($D3943*INDEX(Setup!$B$27:$B$44,MATCH($E3943,Setup!$A$27:$A$44,0)),"TBD"))</f>
        <v/>
      </c>
      <c r="G3943" s="32"/>
      <c r="H3943" s="32"/>
      <c r="I3943" s="32"/>
      <c r="J3943" s="32"/>
      <c r="K3943" s="35"/>
      <c r="L3943" s="32"/>
      <c r="M3943" s="32"/>
    </row>
    <row r="3944" customFormat="false" ht="15" hidden="false" customHeight="true" outlineLevel="0" collapsed="false">
      <c r="A3944" s="32"/>
      <c r="B3944" s="32"/>
      <c r="C3944" s="32"/>
      <c r="D3944" s="32"/>
      <c r="E3944" s="34" t="str">
        <f aca="false">IF($B3944="","",IF($B3944="OUT","Liters",IFERROR(INDEX(Setup!$F$3:$F$24,MATCH($C3944,Setup!$A$3:$A$24,0)),"")))</f>
        <v/>
      </c>
      <c r="F3944" s="28" t="str">
        <f aca="false">IF(OR($D3944="",$E3944=""),"",IFERROR($D3944*INDEX(Setup!$B$27:$B$44,MATCH($E3944,Setup!$A$27:$A$44,0)),"TBD"))</f>
        <v/>
      </c>
      <c r="G3944" s="32"/>
      <c r="H3944" s="32"/>
      <c r="I3944" s="32"/>
      <c r="J3944" s="32"/>
      <c r="K3944" s="35"/>
      <c r="L3944" s="32"/>
      <c r="M3944" s="32"/>
    </row>
    <row r="3945" customFormat="false" ht="15" hidden="false" customHeight="true" outlineLevel="0" collapsed="false">
      <c r="A3945" s="32"/>
      <c r="B3945" s="32"/>
      <c r="C3945" s="32"/>
      <c r="D3945" s="32"/>
      <c r="E3945" s="34" t="str">
        <f aca="false">IF($B3945="","",IF($B3945="OUT","Liters",IFERROR(INDEX(Setup!$F$3:$F$24,MATCH($C3945,Setup!$A$3:$A$24,0)),"")))</f>
        <v/>
      </c>
      <c r="F3945" s="28" t="str">
        <f aca="false">IF(OR($D3945="",$E3945=""),"",IFERROR($D3945*INDEX(Setup!$B$27:$B$44,MATCH($E3945,Setup!$A$27:$A$44,0)),"TBD"))</f>
        <v/>
      </c>
      <c r="G3945" s="32"/>
      <c r="H3945" s="32"/>
      <c r="I3945" s="32"/>
      <c r="J3945" s="32"/>
      <c r="K3945" s="35"/>
      <c r="L3945" s="32"/>
      <c r="M3945" s="32"/>
    </row>
    <row r="3946" customFormat="false" ht="15" hidden="false" customHeight="true" outlineLevel="0" collapsed="false">
      <c r="A3946" s="32"/>
      <c r="B3946" s="32"/>
      <c r="C3946" s="32"/>
      <c r="D3946" s="32"/>
      <c r="E3946" s="34" t="str">
        <f aca="false">IF($B3946="","",IF($B3946="OUT","Liters",IFERROR(INDEX(Setup!$F$3:$F$24,MATCH($C3946,Setup!$A$3:$A$24,0)),"")))</f>
        <v/>
      </c>
      <c r="F3946" s="28" t="str">
        <f aca="false">IF(OR($D3946="",$E3946=""),"",IFERROR($D3946*INDEX(Setup!$B$27:$B$44,MATCH($E3946,Setup!$A$27:$A$44,0)),"TBD"))</f>
        <v/>
      </c>
      <c r="G3946" s="32"/>
      <c r="H3946" s="32"/>
      <c r="I3946" s="32"/>
      <c r="J3946" s="32"/>
      <c r="K3946" s="35"/>
      <c r="L3946" s="32"/>
      <c r="M3946" s="32"/>
    </row>
    <row r="3947" customFormat="false" ht="15" hidden="false" customHeight="true" outlineLevel="0" collapsed="false">
      <c r="A3947" s="32"/>
      <c r="B3947" s="32"/>
      <c r="C3947" s="32"/>
      <c r="D3947" s="32"/>
      <c r="E3947" s="34" t="str">
        <f aca="false">IF($B3947="","",IF($B3947="OUT","Liters",IFERROR(INDEX(Setup!$F$3:$F$24,MATCH($C3947,Setup!$A$3:$A$24,0)),"")))</f>
        <v/>
      </c>
      <c r="F3947" s="28" t="str">
        <f aca="false">IF(OR($D3947="",$E3947=""),"",IFERROR($D3947*INDEX(Setup!$B$27:$B$44,MATCH($E3947,Setup!$A$27:$A$44,0)),"TBD"))</f>
        <v/>
      </c>
      <c r="G3947" s="32"/>
      <c r="H3947" s="32"/>
      <c r="I3947" s="32"/>
      <c r="J3947" s="32"/>
      <c r="K3947" s="35"/>
      <c r="L3947" s="32"/>
      <c r="M3947" s="32"/>
    </row>
    <row r="3948" customFormat="false" ht="15" hidden="false" customHeight="true" outlineLevel="0" collapsed="false">
      <c r="A3948" s="32"/>
      <c r="B3948" s="32"/>
      <c r="C3948" s="32"/>
      <c r="D3948" s="32"/>
      <c r="E3948" s="34" t="str">
        <f aca="false">IF($B3948="","",IF($B3948="OUT","Liters",IFERROR(INDEX(Setup!$F$3:$F$24,MATCH($C3948,Setup!$A$3:$A$24,0)),"")))</f>
        <v/>
      </c>
      <c r="F3948" s="28" t="str">
        <f aca="false">IF(OR($D3948="",$E3948=""),"",IFERROR($D3948*INDEX(Setup!$B$27:$B$44,MATCH($E3948,Setup!$A$27:$A$44,0)),"TBD"))</f>
        <v/>
      </c>
      <c r="G3948" s="32"/>
      <c r="H3948" s="32"/>
      <c r="I3948" s="32"/>
      <c r="J3948" s="32"/>
      <c r="K3948" s="35"/>
      <c r="L3948" s="32"/>
      <c r="M3948" s="32"/>
    </row>
    <row r="3949" customFormat="false" ht="15" hidden="false" customHeight="true" outlineLevel="0" collapsed="false">
      <c r="A3949" s="32"/>
      <c r="B3949" s="32"/>
      <c r="C3949" s="32"/>
      <c r="D3949" s="32"/>
      <c r="E3949" s="34" t="str">
        <f aca="false">IF($B3949="","",IF($B3949="OUT","Liters",IFERROR(INDEX(Setup!$F$3:$F$24,MATCH($C3949,Setup!$A$3:$A$24,0)),"")))</f>
        <v/>
      </c>
      <c r="F3949" s="28" t="str">
        <f aca="false">IF(OR($D3949="",$E3949=""),"",IFERROR($D3949*INDEX(Setup!$B$27:$B$44,MATCH($E3949,Setup!$A$27:$A$44,0)),"TBD"))</f>
        <v/>
      </c>
      <c r="G3949" s="32"/>
      <c r="H3949" s="32"/>
      <c r="I3949" s="32"/>
      <c r="J3949" s="32"/>
      <c r="K3949" s="35"/>
      <c r="L3949" s="32"/>
      <c r="M3949" s="32"/>
    </row>
    <row r="3950" customFormat="false" ht="15" hidden="false" customHeight="true" outlineLevel="0" collapsed="false">
      <c r="A3950" s="32"/>
      <c r="B3950" s="32"/>
      <c r="C3950" s="32"/>
      <c r="D3950" s="32"/>
      <c r="E3950" s="34" t="str">
        <f aca="false">IF($B3950="","",IF($B3950="OUT","Liters",IFERROR(INDEX(Setup!$F$3:$F$24,MATCH($C3950,Setup!$A$3:$A$24,0)),"")))</f>
        <v/>
      </c>
      <c r="F3950" s="28" t="str">
        <f aca="false">IF(OR($D3950="",$E3950=""),"",IFERROR($D3950*INDEX(Setup!$B$27:$B$44,MATCH($E3950,Setup!$A$27:$A$44,0)),"TBD"))</f>
        <v/>
      </c>
      <c r="G3950" s="32"/>
      <c r="H3950" s="32"/>
      <c r="I3950" s="32"/>
      <c r="J3950" s="32"/>
      <c r="K3950" s="35"/>
      <c r="L3950" s="32"/>
      <c r="M3950" s="32"/>
    </row>
    <row r="3951" customFormat="false" ht="15" hidden="false" customHeight="true" outlineLevel="0" collapsed="false">
      <c r="A3951" s="32"/>
      <c r="B3951" s="32"/>
      <c r="C3951" s="32"/>
      <c r="D3951" s="32"/>
      <c r="E3951" s="34" t="str">
        <f aca="false">IF($B3951="","",IF($B3951="OUT","Liters",IFERROR(INDEX(Setup!$F$3:$F$24,MATCH($C3951,Setup!$A$3:$A$24,0)),"")))</f>
        <v/>
      </c>
      <c r="F3951" s="28" t="str">
        <f aca="false">IF(OR($D3951="",$E3951=""),"",IFERROR($D3951*INDEX(Setup!$B$27:$B$44,MATCH($E3951,Setup!$A$27:$A$44,0)),"TBD"))</f>
        <v/>
      </c>
      <c r="G3951" s="32"/>
      <c r="H3951" s="32"/>
      <c r="I3951" s="32"/>
      <c r="J3951" s="32"/>
      <c r="K3951" s="35"/>
      <c r="L3951" s="32"/>
      <c r="M3951" s="32"/>
    </row>
    <row r="3952" customFormat="false" ht="15" hidden="false" customHeight="true" outlineLevel="0" collapsed="false">
      <c r="A3952" s="32"/>
      <c r="B3952" s="32"/>
      <c r="C3952" s="32"/>
      <c r="D3952" s="32"/>
      <c r="E3952" s="34" t="str">
        <f aca="false">IF($B3952="","",IF($B3952="OUT","Liters",IFERROR(INDEX(Setup!$F$3:$F$24,MATCH($C3952,Setup!$A$3:$A$24,0)),"")))</f>
        <v/>
      </c>
      <c r="F3952" s="28" t="str">
        <f aca="false">IF(OR($D3952="",$E3952=""),"",IFERROR($D3952*INDEX(Setup!$B$27:$B$44,MATCH($E3952,Setup!$A$27:$A$44,0)),"TBD"))</f>
        <v/>
      </c>
      <c r="G3952" s="32"/>
      <c r="H3952" s="32"/>
      <c r="I3952" s="32"/>
      <c r="J3952" s="32"/>
      <c r="K3952" s="35"/>
      <c r="L3952" s="32"/>
      <c r="M3952" s="32"/>
    </row>
    <row r="3953" customFormat="false" ht="15" hidden="false" customHeight="true" outlineLevel="0" collapsed="false">
      <c r="A3953" s="32"/>
      <c r="B3953" s="32"/>
      <c r="C3953" s="32"/>
      <c r="D3953" s="32"/>
      <c r="E3953" s="34" t="str">
        <f aca="false">IF($B3953="","",IF($B3953="OUT","Liters",IFERROR(INDEX(Setup!$F$3:$F$24,MATCH($C3953,Setup!$A$3:$A$24,0)),"")))</f>
        <v/>
      </c>
      <c r="F3953" s="28" t="str">
        <f aca="false">IF(OR($D3953="",$E3953=""),"",IFERROR($D3953*INDEX(Setup!$B$27:$B$44,MATCH($E3953,Setup!$A$27:$A$44,0)),"TBD"))</f>
        <v/>
      </c>
      <c r="G3953" s="32"/>
      <c r="H3953" s="32"/>
      <c r="I3953" s="32"/>
      <c r="J3953" s="32"/>
      <c r="K3953" s="35"/>
      <c r="L3953" s="32"/>
      <c r="M3953" s="32"/>
    </row>
    <row r="3954" customFormat="false" ht="15" hidden="false" customHeight="true" outlineLevel="0" collapsed="false">
      <c r="A3954" s="32"/>
      <c r="B3954" s="32"/>
      <c r="C3954" s="32"/>
      <c r="D3954" s="32"/>
      <c r="E3954" s="34" t="str">
        <f aca="false">IF($B3954="","",IF($B3954="OUT","Liters",IFERROR(INDEX(Setup!$F$3:$F$24,MATCH($C3954,Setup!$A$3:$A$24,0)),"")))</f>
        <v/>
      </c>
      <c r="F3954" s="28" t="str">
        <f aca="false">IF(OR($D3954="",$E3954=""),"",IFERROR($D3954*INDEX(Setup!$B$27:$B$44,MATCH($E3954,Setup!$A$27:$A$44,0)),"TBD"))</f>
        <v/>
      </c>
      <c r="G3954" s="32"/>
      <c r="H3954" s="32"/>
      <c r="I3954" s="32"/>
      <c r="J3954" s="32"/>
      <c r="K3954" s="35"/>
      <c r="L3954" s="32"/>
      <c r="M3954" s="32"/>
    </row>
    <row r="3955" customFormat="false" ht="15" hidden="false" customHeight="true" outlineLevel="0" collapsed="false">
      <c r="A3955" s="32"/>
      <c r="B3955" s="32"/>
      <c r="C3955" s="32"/>
      <c r="D3955" s="32"/>
      <c r="E3955" s="34" t="str">
        <f aca="false">IF($B3955="","",IF($B3955="OUT","Liters",IFERROR(INDEX(Setup!$F$3:$F$24,MATCH($C3955,Setup!$A$3:$A$24,0)),"")))</f>
        <v/>
      </c>
      <c r="F3955" s="28" t="str">
        <f aca="false">IF(OR($D3955="",$E3955=""),"",IFERROR($D3955*INDEX(Setup!$B$27:$B$44,MATCH($E3955,Setup!$A$27:$A$44,0)),"TBD"))</f>
        <v/>
      </c>
      <c r="G3955" s="32"/>
      <c r="H3955" s="32"/>
      <c r="I3955" s="32"/>
      <c r="J3955" s="32"/>
      <c r="K3955" s="35"/>
      <c r="L3955" s="32"/>
      <c r="M3955" s="32"/>
    </row>
    <row r="3956" customFormat="false" ht="15" hidden="false" customHeight="true" outlineLevel="0" collapsed="false">
      <c r="A3956" s="32"/>
      <c r="B3956" s="32"/>
      <c r="C3956" s="32"/>
      <c r="D3956" s="32"/>
      <c r="E3956" s="34" t="str">
        <f aca="false">IF($B3956="","",IF($B3956="OUT","Liters",IFERROR(INDEX(Setup!$F$3:$F$24,MATCH($C3956,Setup!$A$3:$A$24,0)),"")))</f>
        <v/>
      </c>
      <c r="F3956" s="28" t="str">
        <f aca="false">IF(OR($D3956="",$E3956=""),"",IFERROR($D3956*INDEX(Setup!$B$27:$B$44,MATCH($E3956,Setup!$A$27:$A$44,0)),"TBD"))</f>
        <v/>
      </c>
      <c r="G3956" s="32"/>
      <c r="H3956" s="32"/>
      <c r="I3956" s="32"/>
      <c r="J3956" s="32"/>
      <c r="K3956" s="35"/>
      <c r="L3956" s="32"/>
      <c r="M3956" s="32"/>
    </row>
    <row r="3957" customFormat="false" ht="15" hidden="false" customHeight="true" outlineLevel="0" collapsed="false">
      <c r="A3957" s="32"/>
      <c r="B3957" s="32"/>
      <c r="C3957" s="32"/>
      <c r="D3957" s="32"/>
      <c r="E3957" s="34" t="str">
        <f aca="false">IF($B3957="","",IF($B3957="OUT","Liters",IFERROR(INDEX(Setup!$F$3:$F$24,MATCH($C3957,Setup!$A$3:$A$24,0)),"")))</f>
        <v/>
      </c>
      <c r="F3957" s="28" t="str">
        <f aca="false">IF(OR($D3957="",$E3957=""),"",IFERROR($D3957*INDEX(Setup!$B$27:$B$44,MATCH($E3957,Setup!$A$27:$A$44,0)),"TBD"))</f>
        <v/>
      </c>
      <c r="G3957" s="32"/>
      <c r="H3957" s="32"/>
      <c r="I3957" s="32"/>
      <c r="J3957" s="32"/>
      <c r="K3957" s="35"/>
      <c r="L3957" s="32"/>
      <c r="M3957" s="32"/>
    </row>
    <row r="3958" customFormat="false" ht="15" hidden="false" customHeight="true" outlineLevel="0" collapsed="false">
      <c r="A3958" s="32"/>
      <c r="B3958" s="32"/>
      <c r="C3958" s="32"/>
      <c r="D3958" s="32"/>
      <c r="E3958" s="34" t="str">
        <f aca="false">IF($B3958="","",IF($B3958="OUT","Liters",IFERROR(INDEX(Setup!$F$3:$F$24,MATCH($C3958,Setup!$A$3:$A$24,0)),"")))</f>
        <v/>
      </c>
      <c r="F3958" s="28" t="str">
        <f aca="false">IF(OR($D3958="",$E3958=""),"",IFERROR($D3958*INDEX(Setup!$B$27:$B$44,MATCH($E3958,Setup!$A$27:$A$44,0)),"TBD"))</f>
        <v/>
      </c>
      <c r="G3958" s="32"/>
      <c r="H3958" s="32"/>
      <c r="I3958" s="32"/>
      <c r="J3958" s="32"/>
      <c r="K3958" s="35"/>
      <c r="L3958" s="32"/>
      <c r="M3958" s="32"/>
    </row>
    <row r="3959" customFormat="false" ht="15" hidden="false" customHeight="true" outlineLevel="0" collapsed="false">
      <c r="A3959" s="32"/>
      <c r="B3959" s="32"/>
      <c r="C3959" s="32"/>
      <c r="D3959" s="32"/>
      <c r="E3959" s="34" t="str">
        <f aca="false">IF($B3959="","",IF($B3959="OUT","Liters",IFERROR(INDEX(Setup!$F$3:$F$24,MATCH($C3959,Setup!$A$3:$A$24,0)),"")))</f>
        <v/>
      </c>
      <c r="F3959" s="28" t="str">
        <f aca="false">IF(OR($D3959="",$E3959=""),"",IFERROR($D3959*INDEX(Setup!$B$27:$B$44,MATCH($E3959,Setup!$A$27:$A$44,0)),"TBD"))</f>
        <v/>
      </c>
      <c r="G3959" s="32"/>
      <c r="H3959" s="32"/>
      <c r="I3959" s="32"/>
      <c r="J3959" s="32"/>
      <c r="K3959" s="35"/>
      <c r="L3959" s="32"/>
      <c r="M3959" s="32"/>
    </row>
    <row r="3960" customFormat="false" ht="15" hidden="false" customHeight="true" outlineLevel="0" collapsed="false">
      <c r="A3960" s="32"/>
      <c r="B3960" s="32"/>
      <c r="C3960" s="32"/>
      <c r="D3960" s="32"/>
      <c r="E3960" s="34" t="str">
        <f aca="false">IF($B3960="","",IF($B3960="OUT","Liters",IFERROR(INDEX(Setup!$F$3:$F$24,MATCH($C3960,Setup!$A$3:$A$24,0)),"")))</f>
        <v/>
      </c>
      <c r="F3960" s="28" t="str">
        <f aca="false">IF(OR($D3960="",$E3960=""),"",IFERROR($D3960*INDEX(Setup!$B$27:$B$44,MATCH($E3960,Setup!$A$27:$A$44,0)),"TBD"))</f>
        <v/>
      </c>
      <c r="G3960" s="32"/>
      <c r="H3960" s="32"/>
      <c r="I3960" s="32"/>
      <c r="J3960" s="32"/>
      <c r="K3960" s="35"/>
      <c r="L3960" s="32"/>
      <c r="M3960" s="32"/>
    </row>
    <row r="3961" customFormat="false" ht="15" hidden="false" customHeight="true" outlineLevel="0" collapsed="false">
      <c r="A3961" s="32"/>
      <c r="B3961" s="32"/>
      <c r="C3961" s="32"/>
      <c r="D3961" s="32"/>
      <c r="E3961" s="34" t="str">
        <f aca="false">IF($B3961="","",IF($B3961="OUT","Liters",IFERROR(INDEX(Setup!$F$3:$F$24,MATCH($C3961,Setup!$A$3:$A$24,0)),"")))</f>
        <v/>
      </c>
      <c r="F3961" s="28" t="str">
        <f aca="false">IF(OR($D3961="",$E3961=""),"",IFERROR($D3961*INDEX(Setup!$B$27:$B$44,MATCH($E3961,Setup!$A$27:$A$44,0)),"TBD"))</f>
        <v/>
      </c>
      <c r="G3961" s="32"/>
      <c r="H3961" s="32"/>
      <c r="I3961" s="32"/>
      <c r="J3961" s="32"/>
      <c r="K3961" s="35"/>
      <c r="L3961" s="32"/>
      <c r="M3961" s="32"/>
    </row>
    <row r="3962" customFormat="false" ht="15" hidden="false" customHeight="true" outlineLevel="0" collapsed="false">
      <c r="A3962" s="32"/>
      <c r="B3962" s="32"/>
      <c r="C3962" s="32"/>
      <c r="D3962" s="32"/>
      <c r="E3962" s="34" t="str">
        <f aca="false">IF($B3962="","",IF($B3962="OUT","Liters",IFERROR(INDEX(Setup!$F$3:$F$24,MATCH($C3962,Setup!$A$3:$A$24,0)),"")))</f>
        <v/>
      </c>
      <c r="F3962" s="28" t="str">
        <f aca="false">IF(OR($D3962="",$E3962=""),"",IFERROR($D3962*INDEX(Setup!$B$27:$B$44,MATCH($E3962,Setup!$A$27:$A$44,0)),"TBD"))</f>
        <v/>
      </c>
      <c r="G3962" s="32"/>
      <c r="H3962" s="32"/>
      <c r="I3962" s="32"/>
      <c r="J3962" s="32"/>
      <c r="K3962" s="35"/>
      <c r="L3962" s="32"/>
      <c r="M3962" s="32"/>
    </row>
    <row r="3963" customFormat="false" ht="15" hidden="false" customHeight="true" outlineLevel="0" collapsed="false">
      <c r="A3963" s="32"/>
      <c r="B3963" s="32"/>
      <c r="C3963" s="32"/>
      <c r="D3963" s="32"/>
      <c r="E3963" s="34" t="str">
        <f aca="false">IF($B3963="","",IF($B3963="OUT","Liters",IFERROR(INDEX(Setup!$F$3:$F$24,MATCH($C3963,Setup!$A$3:$A$24,0)),"")))</f>
        <v/>
      </c>
      <c r="F3963" s="28" t="str">
        <f aca="false">IF(OR($D3963="",$E3963=""),"",IFERROR($D3963*INDEX(Setup!$B$27:$B$44,MATCH($E3963,Setup!$A$27:$A$44,0)),"TBD"))</f>
        <v/>
      </c>
      <c r="G3963" s="32"/>
      <c r="H3963" s="32"/>
      <c r="I3963" s="32"/>
      <c r="J3963" s="32"/>
      <c r="K3963" s="35"/>
      <c r="L3963" s="32"/>
      <c r="M3963" s="32"/>
    </row>
    <row r="3964" customFormat="false" ht="15" hidden="false" customHeight="true" outlineLevel="0" collapsed="false">
      <c r="A3964" s="32"/>
      <c r="B3964" s="32"/>
      <c r="C3964" s="32"/>
      <c r="D3964" s="32"/>
      <c r="E3964" s="34" t="str">
        <f aca="false">IF($B3964="","",IF($B3964="OUT","Liters",IFERROR(INDEX(Setup!$F$3:$F$24,MATCH($C3964,Setup!$A$3:$A$24,0)),"")))</f>
        <v/>
      </c>
      <c r="F3964" s="28" t="str">
        <f aca="false">IF(OR($D3964="",$E3964=""),"",IFERROR($D3964*INDEX(Setup!$B$27:$B$44,MATCH($E3964,Setup!$A$27:$A$44,0)),"TBD"))</f>
        <v/>
      </c>
      <c r="G3964" s="32"/>
      <c r="H3964" s="32"/>
      <c r="I3964" s="32"/>
      <c r="J3964" s="32"/>
      <c r="K3964" s="35"/>
      <c r="L3964" s="32"/>
      <c r="M3964" s="32"/>
    </row>
    <row r="3965" customFormat="false" ht="15" hidden="false" customHeight="true" outlineLevel="0" collapsed="false">
      <c r="A3965" s="32"/>
      <c r="B3965" s="32"/>
      <c r="C3965" s="32"/>
      <c r="D3965" s="32"/>
      <c r="E3965" s="34" t="str">
        <f aca="false">IF($B3965="","",IF($B3965="OUT","Liters",IFERROR(INDEX(Setup!$F$3:$F$24,MATCH($C3965,Setup!$A$3:$A$24,0)),"")))</f>
        <v/>
      </c>
      <c r="F3965" s="28" t="str">
        <f aca="false">IF(OR($D3965="",$E3965=""),"",IFERROR($D3965*INDEX(Setup!$B$27:$B$44,MATCH($E3965,Setup!$A$27:$A$44,0)),"TBD"))</f>
        <v/>
      </c>
      <c r="G3965" s="32"/>
      <c r="H3965" s="32"/>
      <c r="I3965" s="32"/>
      <c r="J3965" s="32"/>
      <c r="K3965" s="35"/>
      <c r="L3965" s="32"/>
      <c r="M3965" s="32"/>
    </row>
    <row r="3966" customFormat="false" ht="15" hidden="false" customHeight="true" outlineLevel="0" collapsed="false">
      <c r="A3966" s="32"/>
      <c r="B3966" s="32"/>
      <c r="C3966" s="32"/>
      <c r="D3966" s="32"/>
      <c r="E3966" s="34" t="str">
        <f aca="false">IF($B3966="","",IF($B3966="OUT","Liters",IFERROR(INDEX(Setup!$F$3:$F$24,MATCH($C3966,Setup!$A$3:$A$24,0)),"")))</f>
        <v/>
      </c>
      <c r="F3966" s="28" t="str">
        <f aca="false">IF(OR($D3966="",$E3966=""),"",IFERROR($D3966*INDEX(Setup!$B$27:$B$44,MATCH($E3966,Setup!$A$27:$A$44,0)),"TBD"))</f>
        <v/>
      </c>
      <c r="G3966" s="32"/>
      <c r="H3966" s="32"/>
      <c r="I3966" s="32"/>
      <c r="J3966" s="32"/>
      <c r="K3966" s="35"/>
      <c r="L3966" s="32"/>
      <c r="M3966" s="32"/>
    </row>
    <row r="3967" customFormat="false" ht="15" hidden="false" customHeight="true" outlineLevel="0" collapsed="false">
      <c r="A3967" s="32"/>
      <c r="B3967" s="32"/>
      <c r="C3967" s="32"/>
      <c r="D3967" s="32"/>
      <c r="E3967" s="34" t="str">
        <f aca="false">IF($B3967="","",IF($B3967="OUT","Liters",IFERROR(INDEX(Setup!$F$3:$F$24,MATCH($C3967,Setup!$A$3:$A$24,0)),"")))</f>
        <v/>
      </c>
      <c r="F3967" s="28" t="str">
        <f aca="false">IF(OR($D3967="",$E3967=""),"",IFERROR($D3967*INDEX(Setup!$B$27:$B$44,MATCH($E3967,Setup!$A$27:$A$44,0)),"TBD"))</f>
        <v/>
      </c>
      <c r="G3967" s="32"/>
      <c r="H3967" s="32"/>
      <c r="I3967" s="32"/>
      <c r="J3967" s="32"/>
      <c r="K3967" s="35"/>
      <c r="L3967" s="32"/>
      <c r="M3967" s="32"/>
    </row>
    <row r="3968" customFormat="false" ht="15" hidden="false" customHeight="true" outlineLevel="0" collapsed="false">
      <c r="A3968" s="32"/>
      <c r="B3968" s="32"/>
      <c r="C3968" s="32"/>
      <c r="D3968" s="32"/>
      <c r="E3968" s="34" t="str">
        <f aca="false">IF($B3968="","",IF($B3968="OUT","Liters",IFERROR(INDEX(Setup!$F$3:$F$24,MATCH($C3968,Setup!$A$3:$A$24,0)),"")))</f>
        <v/>
      </c>
      <c r="F3968" s="28" t="str">
        <f aca="false">IF(OR($D3968="",$E3968=""),"",IFERROR($D3968*INDEX(Setup!$B$27:$B$44,MATCH($E3968,Setup!$A$27:$A$44,0)),"TBD"))</f>
        <v/>
      </c>
      <c r="G3968" s="32"/>
      <c r="H3968" s="32"/>
      <c r="I3968" s="32"/>
      <c r="J3968" s="32"/>
      <c r="K3968" s="35"/>
      <c r="L3968" s="32"/>
      <c r="M3968" s="32"/>
    </row>
    <row r="3969" customFormat="false" ht="15" hidden="false" customHeight="true" outlineLevel="0" collapsed="false">
      <c r="A3969" s="32"/>
      <c r="B3969" s="32"/>
      <c r="C3969" s="32"/>
      <c r="D3969" s="32"/>
      <c r="E3969" s="34" t="str">
        <f aca="false">IF($B3969="","",IF($B3969="OUT","Liters",IFERROR(INDEX(Setup!$F$3:$F$24,MATCH($C3969,Setup!$A$3:$A$24,0)),"")))</f>
        <v/>
      </c>
      <c r="F3969" s="28" t="str">
        <f aca="false">IF(OR($D3969="",$E3969=""),"",IFERROR($D3969*INDEX(Setup!$B$27:$B$44,MATCH($E3969,Setup!$A$27:$A$44,0)),"TBD"))</f>
        <v/>
      </c>
      <c r="G3969" s="32"/>
      <c r="H3969" s="32"/>
      <c r="I3969" s="32"/>
      <c r="J3969" s="32"/>
      <c r="K3969" s="35"/>
      <c r="L3969" s="32"/>
      <c r="M3969" s="32"/>
    </row>
    <row r="3970" customFormat="false" ht="15" hidden="false" customHeight="true" outlineLevel="0" collapsed="false">
      <c r="A3970" s="32"/>
      <c r="B3970" s="32"/>
      <c r="C3970" s="32"/>
      <c r="D3970" s="32"/>
      <c r="E3970" s="34" t="str">
        <f aca="false">IF($B3970="","",IF($B3970="OUT","Liters",IFERROR(INDEX(Setup!$F$3:$F$24,MATCH($C3970,Setup!$A$3:$A$24,0)),"")))</f>
        <v/>
      </c>
      <c r="F3970" s="28" t="str">
        <f aca="false">IF(OR($D3970="",$E3970=""),"",IFERROR($D3970*INDEX(Setup!$B$27:$B$44,MATCH($E3970,Setup!$A$27:$A$44,0)),"TBD"))</f>
        <v/>
      </c>
      <c r="G3970" s="32"/>
      <c r="H3970" s="32"/>
      <c r="I3970" s="32"/>
      <c r="J3970" s="32"/>
      <c r="K3970" s="35"/>
      <c r="L3970" s="32"/>
      <c r="M3970" s="32"/>
    </row>
    <row r="3971" customFormat="false" ht="15" hidden="false" customHeight="true" outlineLevel="0" collapsed="false">
      <c r="A3971" s="32"/>
      <c r="B3971" s="32"/>
      <c r="C3971" s="32"/>
      <c r="D3971" s="32"/>
      <c r="E3971" s="34" t="str">
        <f aca="false">IF($B3971="","",IF($B3971="OUT","Liters",IFERROR(INDEX(Setup!$F$3:$F$24,MATCH($C3971,Setup!$A$3:$A$24,0)),"")))</f>
        <v/>
      </c>
      <c r="F3971" s="28" t="str">
        <f aca="false">IF(OR($D3971="",$E3971=""),"",IFERROR($D3971*INDEX(Setup!$B$27:$B$44,MATCH($E3971,Setup!$A$27:$A$44,0)),"TBD"))</f>
        <v/>
      </c>
      <c r="G3971" s="32"/>
      <c r="H3971" s="32"/>
      <c r="I3971" s="32"/>
      <c r="J3971" s="32"/>
      <c r="K3971" s="35"/>
      <c r="L3971" s="32"/>
      <c r="M3971" s="32"/>
    </row>
    <row r="3972" customFormat="false" ht="15" hidden="false" customHeight="true" outlineLevel="0" collapsed="false">
      <c r="A3972" s="32"/>
      <c r="B3972" s="32"/>
      <c r="C3972" s="32"/>
      <c r="D3972" s="32"/>
      <c r="E3972" s="34" t="str">
        <f aca="false">IF($B3972="","",IF($B3972="OUT","Liters",IFERROR(INDEX(Setup!$F$3:$F$24,MATCH($C3972,Setup!$A$3:$A$24,0)),"")))</f>
        <v/>
      </c>
      <c r="F3972" s="28" t="str">
        <f aca="false">IF(OR($D3972="",$E3972=""),"",IFERROR($D3972*INDEX(Setup!$B$27:$B$44,MATCH($E3972,Setup!$A$27:$A$44,0)),"TBD"))</f>
        <v/>
      </c>
      <c r="G3972" s="32"/>
      <c r="H3972" s="32"/>
      <c r="I3972" s="32"/>
      <c r="J3972" s="32"/>
      <c r="K3972" s="35"/>
      <c r="L3972" s="32"/>
      <c r="M3972" s="32"/>
    </row>
    <row r="3973" customFormat="false" ht="15" hidden="false" customHeight="true" outlineLevel="0" collapsed="false">
      <c r="A3973" s="32"/>
      <c r="B3973" s="32"/>
      <c r="C3973" s="32"/>
      <c r="D3973" s="32"/>
      <c r="E3973" s="34" t="str">
        <f aca="false">IF($B3973="","",IF($B3973="OUT","Liters",IFERROR(INDEX(Setup!$F$3:$F$24,MATCH($C3973,Setup!$A$3:$A$24,0)),"")))</f>
        <v/>
      </c>
      <c r="F3973" s="28" t="str">
        <f aca="false">IF(OR($D3973="",$E3973=""),"",IFERROR($D3973*INDEX(Setup!$B$27:$B$44,MATCH($E3973,Setup!$A$27:$A$44,0)),"TBD"))</f>
        <v/>
      </c>
      <c r="G3973" s="32"/>
      <c r="H3973" s="32"/>
      <c r="I3973" s="32"/>
      <c r="J3973" s="32"/>
      <c r="K3973" s="35"/>
      <c r="L3973" s="32"/>
      <c r="M3973" s="32"/>
    </row>
    <row r="3974" customFormat="false" ht="15" hidden="false" customHeight="true" outlineLevel="0" collapsed="false">
      <c r="A3974" s="32"/>
      <c r="B3974" s="32"/>
      <c r="C3974" s="32"/>
      <c r="D3974" s="32"/>
      <c r="E3974" s="34" t="str">
        <f aca="false">IF($B3974="","",IF($B3974="OUT","Liters",IFERROR(INDEX(Setup!$F$3:$F$24,MATCH($C3974,Setup!$A$3:$A$24,0)),"")))</f>
        <v/>
      </c>
      <c r="F3974" s="28" t="str">
        <f aca="false">IF(OR($D3974="",$E3974=""),"",IFERROR($D3974*INDEX(Setup!$B$27:$B$44,MATCH($E3974,Setup!$A$27:$A$44,0)),"TBD"))</f>
        <v/>
      </c>
      <c r="G3974" s="32"/>
      <c r="H3974" s="32"/>
      <c r="I3974" s="32"/>
      <c r="J3974" s="32"/>
      <c r="K3974" s="35"/>
      <c r="L3974" s="32"/>
      <c r="M3974" s="32"/>
    </row>
    <row r="3975" customFormat="false" ht="15" hidden="false" customHeight="true" outlineLevel="0" collapsed="false">
      <c r="A3975" s="32"/>
      <c r="B3975" s="32"/>
      <c r="C3975" s="32"/>
      <c r="D3975" s="32"/>
      <c r="E3975" s="34" t="str">
        <f aca="false">IF($B3975="","",IF($B3975="OUT","Liters",IFERROR(INDEX(Setup!$F$3:$F$24,MATCH($C3975,Setup!$A$3:$A$24,0)),"")))</f>
        <v/>
      </c>
      <c r="F3975" s="28" t="str">
        <f aca="false">IF(OR($D3975="",$E3975=""),"",IFERROR($D3975*INDEX(Setup!$B$27:$B$44,MATCH($E3975,Setup!$A$27:$A$44,0)),"TBD"))</f>
        <v/>
      </c>
      <c r="G3975" s="32"/>
      <c r="H3975" s="32"/>
      <c r="I3975" s="32"/>
      <c r="J3975" s="32"/>
      <c r="K3975" s="35"/>
      <c r="L3975" s="32"/>
      <c r="M3975" s="32"/>
    </row>
    <row r="3976" customFormat="false" ht="15" hidden="false" customHeight="true" outlineLevel="0" collapsed="false">
      <c r="A3976" s="32"/>
      <c r="B3976" s="32"/>
      <c r="C3976" s="32"/>
      <c r="D3976" s="32"/>
      <c r="E3976" s="34" t="str">
        <f aca="false">IF($B3976="","",IF($B3976="OUT","Liters",IFERROR(INDEX(Setup!$F$3:$F$24,MATCH($C3976,Setup!$A$3:$A$24,0)),"")))</f>
        <v/>
      </c>
      <c r="F3976" s="28" t="str">
        <f aca="false">IF(OR($D3976="",$E3976=""),"",IFERROR($D3976*INDEX(Setup!$B$27:$B$44,MATCH($E3976,Setup!$A$27:$A$44,0)),"TBD"))</f>
        <v/>
      </c>
      <c r="G3976" s="32"/>
      <c r="H3976" s="32"/>
      <c r="I3976" s="32"/>
      <c r="J3976" s="32"/>
      <c r="K3976" s="35"/>
      <c r="L3976" s="32"/>
      <c r="M3976" s="32"/>
    </row>
    <row r="3977" customFormat="false" ht="15" hidden="false" customHeight="true" outlineLevel="0" collapsed="false">
      <c r="A3977" s="32"/>
      <c r="B3977" s="32"/>
      <c r="C3977" s="32"/>
      <c r="D3977" s="32"/>
      <c r="E3977" s="34" t="str">
        <f aca="false">IF($B3977="","",IF($B3977="OUT","Liters",IFERROR(INDEX(Setup!$F$3:$F$24,MATCH($C3977,Setup!$A$3:$A$24,0)),"")))</f>
        <v/>
      </c>
      <c r="F3977" s="28" t="str">
        <f aca="false">IF(OR($D3977="",$E3977=""),"",IFERROR($D3977*INDEX(Setup!$B$27:$B$44,MATCH($E3977,Setup!$A$27:$A$44,0)),"TBD"))</f>
        <v/>
      </c>
      <c r="G3977" s="32"/>
      <c r="H3977" s="32"/>
      <c r="I3977" s="32"/>
      <c r="J3977" s="32"/>
      <c r="K3977" s="35"/>
      <c r="L3977" s="32"/>
      <c r="M3977" s="32"/>
    </row>
    <row r="3978" customFormat="false" ht="15" hidden="false" customHeight="true" outlineLevel="0" collapsed="false">
      <c r="A3978" s="32"/>
      <c r="B3978" s="32"/>
      <c r="C3978" s="32"/>
      <c r="D3978" s="32"/>
      <c r="E3978" s="34" t="str">
        <f aca="false">IF($B3978="","",IF($B3978="OUT","Liters",IFERROR(INDEX(Setup!$F$3:$F$24,MATCH($C3978,Setup!$A$3:$A$24,0)),"")))</f>
        <v/>
      </c>
      <c r="F3978" s="28" t="str">
        <f aca="false">IF(OR($D3978="",$E3978=""),"",IFERROR($D3978*INDEX(Setup!$B$27:$B$44,MATCH($E3978,Setup!$A$27:$A$44,0)),"TBD"))</f>
        <v/>
      </c>
      <c r="G3978" s="32"/>
      <c r="H3978" s="32"/>
      <c r="I3978" s="32"/>
      <c r="J3978" s="32"/>
      <c r="K3978" s="35"/>
      <c r="L3978" s="32"/>
      <c r="M3978" s="32"/>
    </row>
    <row r="3979" customFormat="false" ht="15" hidden="false" customHeight="true" outlineLevel="0" collapsed="false">
      <c r="A3979" s="32"/>
      <c r="B3979" s="32"/>
      <c r="C3979" s="32"/>
      <c r="D3979" s="32"/>
      <c r="E3979" s="34" t="str">
        <f aca="false">IF($B3979="","",IF($B3979="OUT","Liters",IFERROR(INDEX(Setup!$F$3:$F$24,MATCH($C3979,Setup!$A$3:$A$24,0)),"")))</f>
        <v/>
      </c>
      <c r="F3979" s="28" t="str">
        <f aca="false">IF(OR($D3979="",$E3979=""),"",IFERROR($D3979*INDEX(Setup!$B$27:$B$44,MATCH($E3979,Setup!$A$27:$A$44,0)),"TBD"))</f>
        <v/>
      </c>
      <c r="G3979" s="32"/>
      <c r="H3979" s="32"/>
      <c r="I3979" s="32"/>
      <c r="J3979" s="32"/>
      <c r="K3979" s="35"/>
      <c r="L3979" s="32"/>
      <c r="M3979" s="32"/>
    </row>
    <row r="3980" customFormat="false" ht="15" hidden="false" customHeight="true" outlineLevel="0" collapsed="false">
      <c r="A3980" s="32"/>
      <c r="B3980" s="32"/>
      <c r="C3980" s="32"/>
      <c r="D3980" s="32"/>
      <c r="E3980" s="34" t="str">
        <f aca="false">IF($B3980="","",IF($B3980="OUT","Liters",IFERROR(INDEX(Setup!$F$3:$F$24,MATCH($C3980,Setup!$A$3:$A$24,0)),"")))</f>
        <v/>
      </c>
      <c r="F3980" s="28" t="str">
        <f aca="false">IF(OR($D3980="",$E3980=""),"",IFERROR($D3980*INDEX(Setup!$B$27:$B$44,MATCH($E3980,Setup!$A$27:$A$44,0)),"TBD"))</f>
        <v/>
      </c>
      <c r="G3980" s="32"/>
      <c r="H3980" s="32"/>
      <c r="I3980" s="32"/>
      <c r="J3980" s="32"/>
      <c r="K3980" s="35"/>
      <c r="L3980" s="32"/>
      <c r="M3980" s="32"/>
    </row>
    <row r="3981" customFormat="false" ht="15" hidden="false" customHeight="true" outlineLevel="0" collapsed="false">
      <c r="A3981" s="32"/>
      <c r="B3981" s="32"/>
      <c r="C3981" s="32"/>
      <c r="D3981" s="32"/>
      <c r="E3981" s="34" t="str">
        <f aca="false">IF($B3981="","",IF($B3981="OUT","Liters",IFERROR(INDEX(Setup!$F$3:$F$24,MATCH($C3981,Setup!$A$3:$A$24,0)),"")))</f>
        <v/>
      </c>
      <c r="F3981" s="28" t="str">
        <f aca="false">IF(OR($D3981="",$E3981=""),"",IFERROR($D3981*INDEX(Setup!$B$27:$B$44,MATCH($E3981,Setup!$A$27:$A$44,0)),"TBD"))</f>
        <v/>
      </c>
      <c r="G3981" s="32"/>
      <c r="H3981" s="32"/>
      <c r="I3981" s="32"/>
      <c r="J3981" s="32"/>
      <c r="K3981" s="35"/>
      <c r="L3981" s="32"/>
      <c r="M3981" s="32"/>
    </row>
    <row r="3982" customFormat="false" ht="15" hidden="false" customHeight="true" outlineLevel="0" collapsed="false">
      <c r="A3982" s="32"/>
      <c r="B3982" s="32"/>
      <c r="C3982" s="32"/>
      <c r="D3982" s="32"/>
      <c r="E3982" s="34" t="str">
        <f aca="false">IF($B3982="","",IF($B3982="OUT","Liters",IFERROR(INDEX(Setup!$F$3:$F$24,MATCH($C3982,Setup!$A$3:$A$24,0)),"")))</f>
        <v/>
      </c>
      <c r="F3982" s="28" t="str">
        <f aca="false">IF(OR($D3982="",$E3982=""),"",IFERROR($D3982*INDEX(Setup!$B$27:$B$44,MATCH($E3982,Setup!$A$27:$A$44,0)),"TBD"))</f>
        <v/>
      </c>
      <c r="G3982" s="32"/>
      <c r="H3982" s="32"/>
      <c r="I3982" s="32"/>
      <c r="J3982" s="32"/>
      <c r="K3982" s="35"/>
      <c r="L3982" s="32"/>
      <c r="M3982" s="32"/>
    </row>
    <row r="3983" customFormat="false" ht="15" hidden="false" customHeight="true" outlineLevel="0" collapsed="false">
      <c r="A3983" s="32"/>
      <c r="B3983" s="32"/>
      <c r="C3983" s="32"/>
      <c r="D3983" s="32"/>
      <c r="E3983" s="34" t="str">
        <f aca="false">IF($B3983="","",IF($B3983="OUT","Liters",IFERROR(INDEX(Setup!$F$3:$F$24,MATCH($C3983,Setup!$A$3:$A$24,0)),"")))</f>
        <v/>
      </c>
      <c r="F3983" s="28" t="str">
        <f aca="false">IF(OR($D3983="",$E3983=""),"",IFERROR($D3983*INDEX(Setup!$B$27:$B$44,MATCH($E3983,Setup!$A$27:$A$44,0)),"TBD"))</f>
        <v/>
      </c>
      <c r="G3983" s="32"/>
      <c r="H3983" s="32"/>
      <c r="I3983" s="32"/>
      <c r="J3983" s="32"/>
      <c r="K3983" s="35"/>
      <c r="L3983" s="32"/>
      <c r="M3983" s="32"/>
    </row>
    <row r="3984" customFormat="false" ht="15" hidden="false" customHeight="true" outlineLevel="0" collapsed="false">
      <c r="A3984" s="32"/>
      <c r="B3984" s="32"/>
      <c r="C3984" s="32"/>
      <c r="D3984" s="32"/>
      <c r="E3984" s="34" t="str">
        <f aca="false">IF($B3984="","",IF($B3984="OUT","Liters",IFERROR(INDEX(Setup!$F$3:$F$24,MATCH($C3984,Setup!$A$3:$A$24,0)),"")))</f>
        <v/>
      </c>
      <c r="F3984" s="28" t="str">
        <f aca="false">IF(OR($D3984="",$E3984=""),"",IFERROR($D3984*INDEX(Setup!$B$27:$B$44,MATCH($E3984,Setup!$A$27:$A$44,0)),"TBD"))</f>
        <v/>
      </c>
      <c r="G3984" s="32"/>
      <c r="H3984" s="32"/>
      <c r="I3984" s="32"/>
      <c r="J3984" s="32"/>
      <c r="K3984" s="35"/>
      <c r="L3984" s="32"/>
      <c r="M3984" s="32"/>
    </row>
    <row r="3985" customFormat="false" ht="15" hidden="false" customHeight="true" outlineLevel="0" collapsed="false">
      <c r="A3985" s="32"/>
      <c r="B3985" s="32"/>
      <c r="C3985" s="32"/>
      <c r="D3985" s="32"/>
      <c r="E3985" s="34" t="str">
        <f aca="false">IF($B3985="","",IF($B3985="OUT","Liters",IFERROR(INDEX(Setup!$F$3:$F$24,MATCH($C3985,Setup!$A$3:$A$24,0)),"")))</f>
        <v/>
      </c>
      <c r="F3985" s="28" t="str">
        <f aca="false">IF(OR($D3985="",$E3985=""),"",IFERROR($D3985*INDEX(Setup!$B$27:$B$44,MATCH($E3985,Setup!$A$27:$A$44,0)),"TBD"))</f>
        <v/>
      </c>
      <c r="G3985" s="32"/>
      <c r="H3985" s="32"/>
      <c r="I3985" s="32"/>
      <c r="J3985" s="32"/>
      <c r="K3985" s="35"/>
      <c r="L3985" s="32"/>
      <c r="M3985" s="32"/>
    </row>
    <row r="3986" customFormat="false" ht="15" hidden="false" customHeight="true" outlineLevel="0" collapsed="false">
      <c r="A3986" s="32"/>
      <c r="B3986" s="32"/>
      <c r="C3986" s="32"/>
      <c r="D3986" s="32"/>
      <c r="E3986" s="34" t="str">
        <f aca="false">IF($B3986="","",IF($B3986="OUT","Liters",IFERROR(INDEX(Setup!$F$3:$F$24,MATCH($C3986,Setup!$A$3:$A$24,0)),"")))</f>
        <v/>
      </c>
      <c r="F3986" s="28" t="str">
        <f aca="false">IF(OR($D3986="",$E3986=""),"",IFERROR($D3986*INDEX(Setup!$B$27:$B$44,MATCH($E3986,Setup!$A$27:$A$44,0)),"TBD"))</f>
        <v/>
      </c>
      <c r="G3986" s="32"/>
      <c r="H3986" s="32"/>
      <c r="I3986" s="32"/>
      <c r="J3986" s="32"/>
      <c r="K3986" s="35"/>
      <c r="L3986" s="32"/>
      <c r="M3986" s="32"/>
    </row>
    <row r="3987" customFormat="false" ht="15" hidden="false" customHeight="true" outlineLevel="0" collapsed="false">
      <c r="A3987" s="32"/>
      <c r="B3987" s="32"/>
      <c r="C3987" s="32"/>
      <c r="D3987" s="32"/>
      <c r="E3987" s="34" t="str">
        <f aca="false">IF($B3987="","",IF($B3987="OUT","Liters",IFERROR(INDEX(Setup!$F$3:$F$24,MATCH($C3987,Setup!$A$3:$A$24,0)),"")))</f>
        <v/>
      </c>
      <c r="F3987" s="28" t="str">
        <f aca="false">IF(OR($D3987="",$E3987=""),"",IFERROR($D3987*INDEX(Setup!$B$27:$B$44,MATCH($E3987,Setup!$A$27:$A$44,0)),"TBD"))</f>
        <v/>
      </c>
      <c r="G3987" s="32"/>
      <c r="H3987" s="32"/>
      <c r="I3987" s="32"/>
      <c r="J3987" s="32"/>
      <c r="K3987" s="35"/>
      <c r="L3987" s="32"/>
      <c r="M3987" s="32"/>
    </row>
    <row r="3988" customFormat="false" ht="15" hidden="false" customHeight="true" outlineLevel="0" collapsed="false">
      <c r="A3988" s="32"/>
      <c r="B3988" s="32"/>
      <c r="C3988" s="32"/>
      <c r="D3988" s="32"/>
      <c r="E3988" s="34" t="str">
        <f aca="false">IF($B3988="","",IF($B3988="OUT","Liters",IFERROR(INDEX(Setup!$F$3:$F$24,MATCH($C3988,Setup!$A$3:$A$24,0)),"")))</f>
        <v/>
      </c>
      <c r="F3988" s="28" t="str">
        <f aca="false">IF(OR($D3988="",$E3988=""),"",IFERROR($D3988*INDEX(Setup!$B$27:$B$44,MATCH($E3988,Setup!$A$27:$A$44,0)),"TBD"))</f>
        <v/>
      </c>
      <c r="G3988" s="32"/>
      <c r="H3988" s="32"/>
      <c r="I3988" s="32"/>
      <c r="J3988" s="32"/>
      <c r="K3988" s="35"/>
      <c r="L3988" s="32"/>
      <c r="M3988" s="32"/>
    </row>
    <row r="3989" customFormat="false" ht="15" hidden="false" customHeight="true" outlineLevel="0" collapsed="false">
      <c r="A3989" s="32"/>
      <c r="B3989" s="32"/>
      <c r="C3989" s="32"/>
      <c r="D3989" s="32"/>
      <c r="E3989" s="34" t="str">
        <f aca="false">IF($B3989="","",IF($B3989="OUT","Liters",IFERROR(INDEX(Setup!$F$3:$F$24,MATCH($C3989,Setup!$A$3:$A$24,0)),"")))</f>
        <v/>
      </c>
      <c r="F3989" s="28" t="str">
        <f aca="false">IF(OR($D3989="",$E3989=""),"",IFERROR($D3989*INDEX(Setup!$B$27:$B$44,MATCH($E3989,Setup!$A$27:$A$44,0)),"TBD"))</f>
        <v/>
      </c>
      <c r="G3989" s="32"/>
      <c r="H3989" s="32"/>
      <c r="I3989" s="32"/>
      <c r="J3989" s="32"/>
      <c r="K3989" s="35"/>
      <c r="L3989" s="32"/>
      <c r="M3989" s="32"/>
    </row>
    <row r="3990" customFormat="false" ht="15" hidden="false" customHeight="true" outlineLevel="0" collapsed="false">
      <c r="A3990" s="32"/>
      <c r="B3990" s="32"/>
      <c r="C3990" s="32"/>
      <c r="D3990" s="32"/>
      <c r="E3990" s="34" t="str">
        <f aca="false">IF($B3990="","",IF($B3990="OUT","Liters",IFERROR(INDEX(Setup!$F$3:$F$24,MATCH($C3990,Setup!$A$3:$A$24,0)),"")))</f>
        <v/>
      </c>
      <c r="F3990" s="28" t="str">
        <f aca="false">IF(OR($D3990="",$E3990=""),"",IFERROR($D3990*INDEX(Setup!$B$27:$B$44,MATCH($E3990,Setup!$A$27:$A$44,0)),"TBD"))</f>
        <v/>
      </c>
      <c r="G3990" s="32"/>
      <c r="H3990" s="32"/>
      <c r="I3990" s="32"/>
      <c r="J3990" s="32"/>
      <c r="K3990" s="35"/>
      <c r="L3990" s="32"/>
      <c r="M3990" s="32"/>
    </row>
    <row r="3991" customFormat="false" ht="15" hidden="false" customHeight="true" outlineLevel="0" collapsed="false">
      <c r="A3991" s="32"/>
      <c r="B3991" s="32"/>
      <c r="C3991" s="32"/>
      <c r="D3991" s="32"/>
      <c r="E3991" s="34" t="str">
        <f aca="false">IF($B3991="","",IF($B3991="OUT","Liters",IFERROR(INDEX(Setup!$F$3:$F$24,MATCH($C3991,Setup!$A$3:$A$24,0)),"")))</f>
        <v/>
      </c>
      <c r="F3991" s="28" t="str">
        <f aca="false">IF(OR($D3991="",$E3991=""),"",IFERROR($D3991*INDEX(Setup!$B$27:$B$44,MATCH($E3991,Setup!$A$27:$A$44,0)),"TBD"))</f>
        <v/>
      </c>
      <c r="G3991" s="32"/>
      <c r="H3991" s="32"/>
      <c r="I3991" s="32"/>
      <c r="J3991" s="32"/>
      <c r="K3991" s="35"/>
      <c r="L3991" s="32"/>
      <c r="M3991" s="32"/>
    </row>
    <row r="3992" customFormat="false" ht="15" hidden="false" customHeight="true" outlineLevel="0" collapsed="false">
      <c r="A3992" s="32"/>
      <c r="B3992" s="32"/>
      <c r="C3992" s="32"/>
      <c r="D3992" s="32"/>
      <c r="E3992" s="34" t="str">
        <f aca="false">IF($B3992="","",IF($B3992="OUT","Liters",IFERROR(INDEX(Setup!$F$3:$F$24,MATCH($C3992,Setup!$A$3:$A$24,0)),"")))</f>
        <v/>
      </c>
      <c r="F3992" s="28" t="str">
        <f aca="false">IF(OR($D3992="",$E3992=""),"",IFERROR($D3992*INDEX(Setup!$B$27:$B$44,MATCH($E3992,Setup!$A$27:$A$44,0)),"TBD"))</f>
        <v/>
      </c>
      <c r="G3992" s="32"/>
      <c r="H3992" s="32"/>
      <c r="I3992" s="32"/>
      <c r="J3992" s="32"/>
      <c r="K3992" s="35"/>
      <c r="L3992" s="32"/>
      <c r="M3992" s="32"/>
    </row>
    <row r="3993" customFormat="false" ht="15" hidden="false" customHeight="true" outlineLevel="0" collapsed="false">
      <c r="A3993" s="32"/>
      <c r="B3993" s="32"/>
      <c r="C3993" s="32"/>
      <c r="D3993" s="32"/>
      <c r="E3993" s="34" t="str">
        <f aca="false">IF($B3993="","",IF($B3993="OUT","Liters",IFERROR(INDEX(Setup!$F$3:$F$24,MATCH($C3993,Setup!$A$3:$A$24,0)),"")))</f>
        <v/>
      </c>
      <c r="F3993" s="28" t="str">
        <f aca="false">IF(OR($D3993="",$E3993=""),"",IFERROR($D3993*INDEX(Setup!$B$27:$B$44,MATCH($E3993,Setup!$A$27:$A$44,0)),"TBD"))</f>
        <v/>
      </c>
      <c r="G3993" s="32"/>
      <c r="H3993" s="32"/>
      <c r="I3993" s="32"/>
      <c r="J3993" s="32"/>
      <c r="K3993" s="35"/>
      <c r="L3993" s="32"/>
      <c r="M3993" s="32"/>
    </row>
    <row r="3994" customFormat="false" ht="15" hidden="false" customHeight="true" outlineLevel="0" collapsed="false">
      <c r="A3994" s="32"/>
      <c r="B3994" s="32"/>
      <c r="C3994" s="32"/>
      <c r="D3994" s="32"/>
      <c r="E3994" s="34" t="str">
        <f aca="false">IF($B3994="","",IF($B3994="OUT","Liters",IFERROR(INDEX(Setup!$F$3:$F$24,MATCH($C3994,Setup!$A$3:$A$24,0)),"")))</f>
        <v/>
      </c>
      <c r="F3994" s="28" t="str">
        <f aca="false">IF(OR($D3994="",$E3994=""),"",IFERROR($D3994*INDEX(Setup!$B$27:$B$44,MATCH($E3994,Setup!$A$27:$A$44,0)),"TBD"))</f>
        <v/>
      </c>
      <c r="G3994" s="32"/>
      <c r="H3994" s="32"/>
      <c r="I3994" s="32"/>
      <c r="J3994" s="32"/>
      <c r="K3994" s="35"/>
      <c r="L3994" s="32"/>
      <c r="M3994" s="32"/>
    </row>
    <row r="3995" customFormat="false" ht="15" hidden="false" customHeight="true" outlineLevel="0" collapsed="false">
      <c r="A3995" s="32"/>
      <c r="B3995" s="32"/>
      <c r="C3995" s="32"/>
      <c r="D3995" s="32"/>
      <c r="E3995" s="34" t="str">
        <f aca="false">IF($B3995="","",IF($B3995="OUT","Liters",IFERROR(INDEX(Setup!$F$3:$F$24,MATCH($C3995,Setup!$A$3:$A$24,0)),"")))</f>
        <v/>
      </c>
      <c r="F3995" s="28" t="str">
        <f aca="false">IF(OR($D3995="",$E3995=""),"",IFERROR($D3995*INDEX(Setup!$B$27:$B$44,MATCH($E3995,Setup!$A$27:$A$44,0)),"TBD"))</f>
        <v/>
      </c>
      <c r="G3995" s="32"/>
      <c r="H3995" s="32"/>
      <c r="I3995" s="32"/>
      <c r="J3995" s="32"/>
      <c r="K3995" s="35"/>
      <c r="L3995" s="32"/>
      <c r="M3995" s="32"/>
    </row>
    <row r="3996" customFormat="false" ht="15" hidden="false" customHeight="true" outlineLevel="0" collapsed="false">
      <c r="A3996" s="32"/>
      <c r="B3996" s="32"/>
      <c r="C3996" s="32"/>
      <c r="D3996" s="32"/>
      <c r="E3996" s="34" t="str">
        <f aca="false">IF($B3996="","",IF($B3996="OUT","Liters",IFERROR(INDEX(Setup!$F$3:$F$24,MATCH($C3996,Setup!$A$3:$A$24,0)),"")))</f>
        <v/>
      </c>
      <c r="F3996" s="28" t="str">
        <f aca="false">IF(OR($D3996="",$E3996=""),"",IFERROR($D3996*INDEX(Setup!$B$27:$B$44,MATCH($E3996,Setup!$A$27:$A$44,0)),"TBD"))</f>
        <v/>
      </c>
      <c r="G3996" s="32"/>
      <c r="H3996" s="32"/>
      <c r="I3996" s="32"/>
      <c r="J3996" s="32"/>
      <c r="K3996" s="35"/>
      <c r="L3996" s="32"/>
      <c r="M3996" s="32"/>
    </row>
    <row r="3997" customFormat="false" ht="15" hidden="false" customHeight="true" outlineLevel="0" collapsed="false">
      <c r="A3997" s="32"/>
      <c r="B3997" s="32"/>
      <c r="C3997" s="32"/>
      <c r="D3997" s="32"/>
      <c r="E3997" s="34" t="str">
        <f aca="false">IF($B3997="","",IF($B3997="OUT","Liters",IFERROR(INDEX(Setup!$F$3:$F$24,MATCH($C3997,Setup!$A$3:$A$24,0)),"")))</f>
        <v/>
      </c>
      <c r="F3997" s="28" t="str">
        <f aca="false">IF(OR($D3997="",$E3997=""),"",IFERROR($D3997*INDEX(Setup!$B$27:$B$44,MATCH($E3997,Setup!$A$27:$A$44,0)),"TBD"))</f>
        <v/>
      </c>
      <c r="G3997" s="32"/>
      <c r="H3997" s="32"/>
      <c r="I3997" s="32"/>
      <c r="J3997" s="32"/>
      <c r="K3997" s="35"/>
      <c r="L3997" s="32"/>
      <c r="M3997" s="32"/>
    </row>
    <row r="3998" customFormat="false" ht="15" hidden="false" customHeight="true" outlineLevel="0" collapsed="false">
      <c r="A3998" s="32"/>
      <c r="B3998" s="32"/>
      <c r="C3998" s="32"/>
      <c r="D3998" s="32"/>
      <c r="E3998" s="34" t="str">
        <f aca="false">IF($B3998="","",IF($B3998="OUT","Liters",IFERROR(INDEX(Setup!$F$3:$F$24,MATCH($C3998,Setup!$A$3:$A$24,0)),"")))</f>
        <v/>
      </c>
      <c r="F3998" s="28" t="str">
        <f aca="false">IF(OR($D3998="",$E3998=""),"",IFERROR($D3998*INDEX(Setup!$B$27:$B$44,MATCH($E3998,Setup!$A$27:$A$44,0)),"TBD"))</f>
        <v/>
      </c>
      <c r="G3998" s="32"/>
      <c r="H3998" s="32"/>
      <c r="I3998" s="32"/>
      <c r="J3998" s="32"/>
      <c r="K3998" s="35"/>
      <c r="L3998" s="32"/>
      <c r="M3998" s="32"/>
    </row>
    <row r="3999" customFormat="false" ht="15" hidden="false" customHeight="true" outlineLevel="0" collapsed="false">
      <c r="A3999" s="32"/>
      <c r="B3999" s="32"/>
      <c r="C3999" s="32"/>
      <c r="D3999" s="32"/>
      <c r="E3999" s="34" t="str">
        <f aca="false">IF($B3999="","",IF($B3999="OUT","Liters",IFERROR(INDEX(Setup!$F$3:$F$24,MATCH($C3999,Setup!$A$3:$A$24,0)),"")))</f>
        <v/>
      </c>
      <c r="F3999" s="28" t="str">
        <f aca="false">IF(OR($D3999="",$E3999=""),"",IFERROR($D3999*INDEX(Setup!$B$27:$B$44,MATCH($E3999,Setup!$A$27:$A$44,0)),"TBD"))</f>
        <v/>
      </c>
      <c r="G3999" s="32"/>
      <c r="H3999" s="32"/>
      <c r="I3999" s="32"/>
      <c r="J3999" s="32"/>
      <c r="K3999" s="35"/>
      <c r="L3999" s="32"/>
      <c r="M3999" s="32"/>
    </row>
    <row r="4000" customFormat="false" ht="15" hidden="false" customHeight="true" outlineLevel="0" collapsed="false">
      <c r="A4000" s="32"/>
      <c r="B4000" s="32"/>
      <c r="C4000" s="32"/>
      <c r="D4000" s="32"/>
      <c r="E4000" s="34" t="str">
        <f aca="false">IF($B4000="","",IF($B4000="OUT","Liters",IFERROR(INDEX(Setup!$F$3:$F$24,MATCH($C4000,Setup!$A$3:$A$24,0)),"")))</f>
        <v/>
      </c>
      <c r="F4000" s="28" t="str">
        <f aca="false">IF(OR($D4000="",$E4000=""),"",IFERROR($D4000*INDEX(Setup!$B$27:$B$44,MATCH($E4000,Setup!$A$27:$A$44,0)),"TBD"))</f>
        <v/>
      </c>
      <c r="G4000" s="32"/>
      <c r="H4000" s="32"/>
      <c r="I4000" s="32"/>
      <c r="J4000" s="32"/>
      <c r="K4000" s="35"/>
      <c r="L4000" s="32"/>
      <c r="M4000" s="32"/>
    </row>
    <row r="4001" customFormat="false" ht="15" hidden="false" customHeight="true" outlineLevel="0" collapsed="false">
      <c r="A4001" s="32"/>
      <c r="B4001" s="32"/>
      <c r="C4001" s="32"/>
      <c r="D4001" s="32"/>
      <c r="E4001" s="34" t="str">
        <f aca="false">IF($B4001="","",IF($B4001="OUT","Liters",IFERROR(INDEX(Setup!$F$3:$F$24,MATCH($C4001,Setup!$A$3:$A$24,0)),"")))</f>
        <v/>
      </c>
      <c r="F4001" s="28" t="str">
        <f aca="false">IF(OR($D4001="",$E4001=""),"",IFERROR($D4001*INDEX(Setup!$B$27:$B$44,MATCH($E4001,Setup!$A$27:$A$44,0)),"TBD"))</f>
        <v/>
      </c>
      <c r="G4001" s="32"/>
      <c r="H4001" s="32"/>
      <c r="I4001" s="32"/>
      <c r="J4001" s="32"/>
      <c r="K4001" s="35"/>
      <c r="L4001" s="32"/>
      <c r="M4001" s="32"/>
    </row>
    <row r="4002" customFormat="false" ht="15" hidden="false" customHeight="true" outlineLevel="0" collapsed="false">
      <c r="A4002" s="32"/>
      <c r="B4002" s="32"/>
      <c r="C4002" s="32"/>
      <c r="D4002" s="32"/>
      <c r="E4002" s="34" t="str">
        <f aca="false">IF($B4002="","",IF($B4002="OUT","Liters",IFERROR(INDEX(Setup!$F$3:$F$24,MATCH($C4002,Setup!$A$3:$A$24,0)),"")))</f>
        <v/>
      </c>
      <c r="F4002" s="28" t="str">
        <f aca="false">IF(OR($D4002="",$E4002=""),"",IFERROR($D4002*INDEX(Setup!$B$27:$B$44,MATCH($E4002,Setup!$A$27:$A$44,0)),"TBD"))</f>
        <v/>
      </c>
      <c r="G4002" s="32"/>
      <c r="H4002" s="32"/>
      <c r="I4002" s="32"/>
      <c r="J4002" s="32"/>
      <c r="K4002" s="35"/>
      <c r="L4002" s="32"/>
      <c r="M4002" s="32"/>
    </row>
    <row r="4003" customFormat="false" ht="15" hidden="false" customHeight="true" outlineLevel="0" collapsed="false">
      <c r="A4003" s="32"/>
      <c r="B4003" s="32"/>
      <c r="C4003" s="32"/>
      <c r="D4003" s="32"/>
      <c r="E4003" s="34" t="str">
        <f aca="false">IF($B4003="","",IF($B4003="OUT","Liters",IFERROR(INDEX(Setup!$F$3:$F$24,MATCH($C4003,Setup!$A$3:$A$24,0)),"")))</f>
        <v/>
      </c>
      <c r="F4003" s="28" t="str">
        <f aca="false">IF(OR($D4003="",$E4003=""),"",IFERROR($D4003*INDEX(Setup!$B$27:$B$44,MATCH($E4003,Setup!$A$27:$A$44,0)),"TBD"))</f>
        <v/>
      </c>
      <c r="G4003" s="32"/>
      <c r="H4003" s="32"/>
      <c r="I4003" s="32"/>
      <c r="J4003" s="32"/>
      <c r="K4003" s="35"/>
      <c r="L4003" s="32"/>
      <c r="M4003" s="32"/>
    </row>
    <row r="4004" customFormat="false" ht="15" hidden="false" customHeight="true" outlineLevel="0" collapsed="false">
      <c r="A4004" s="32"/>
      <c r="B4004" s="32"/>
      <c r="C4004" s="32"/>
      <c r="D4004" s="32"/>
      <c r="E4004" s="34" t="str">
        <f aca="false">IF($B4004="","",IF($B4004="OUT","Liters",IFERROR(INDEX(Setup!$F$3:$F$24,MATCH($C4004,Setup!$A$3:$A$24,0)),"")))</f>
        <v/>
      </c>
      <c r="F4004" s="28" t="str">
        <f aca="false">IF(OR($D4004="",$E4004=""),"",IFERROR($D4004*INDEX(Setup!$B$27:$B$44,MATCH($E4004,Setup!$A$27:$A$44,0)),"TBD"))</f>
        <v/>
      </c>
      <c r="G4004" s="32"/>
      <c r="H4004" s="32"/>
      <c r="I4004" s="32"/>
      <c r="J4004" s="32"/>
      <c r="K4004" s="35"/>
      <c r="L4004" s="32"/>
      <c r="M4004" s="32"/>
    </row>
    <row r="4005" customFormat="false" ht="15" hidden="false" customHeight="true" outlineLevel="0" collapsed="false">
      <c r="A4005" s="32"/>
      <c r="B4005" s="32"/>
      <c r="C4005" s="32"/>
      <c r="D4005" s="32"/>
      <c r="E4005" s="34" t="str">
        <f aca="false">IF($B4005="","",IF($B4005="OUT","Liters",IFERROR(INDEX(Setup!$F$3:$F$24,MATCH($C4005,Setup!$A$3:$A$24,0)),"")))</f>
        <v/>
      </c>
      <c r="F4005" s="28" t="str">
        <f aca="false">IF(OR($D4005="",$E4005=""),"",IFERROR($D4005*INDEX(Setup!$B$27:$B$44,MATCH($E4005,Setup!$A$27:$A$44,0)),"TBD"))</f>
        <v/>
      </c>
      <c r="G4005" s="32"/>
      <c r="H4005" s="32"/>
      <c r="I4005" s="32"/>
      <c r="J4005" s="32"/>
      <c r="K4005" s="35"/>
      <c r="L4005" s="32"/>
      <c r="M4005" s="32"/>
    </row>
    <row r="4006" customFormat="false" ht="15" hidden="false" customHeight="true" outlineLevel="0" collapsed="false">
      <c r="A4006" s="32"/>
      <c r="B4006" s="32"/>
      <c r="C4006" s="32"/>
      <c r="D4006" s="32"/>
      <c r="E4006" s="34" t="str">
        <f aca="false">IF($B4006="","",IF($B4006="OUT","Liters",IFERROR(INDEX(Setup!$F$3:$F$24,MATCH($C4006,Setup!$A$3:$A$24,0)),"")))</f>
        <v/>
      </c>
      <c r="F4006" s="28" t="str">
        <f aca="false">IF(OR($D4006="",$E4006=""),"",IFERROR($D4006*INDEX(Setup!$B$27:$B$44,MATCH($E4006,Setup!$A$27:$A$44,0)),"TBD"))</f>
        <v/>
      </c>
      <c r="G4006" s="32"/>
      <c r="H4006" s="32"/>
      <c r="I4006" s="32"/>
      <c r="J4006" s="32"/>
      <c r="K4006" s="35"/>
      <c r="L4006" s="32"/>
      <c r="M4006" s="32"/>
    </row>
    <row r="4007" customFormat="false" ht="15" hidden="false" customHeight="true" outlineLevel="0" collapsed="false">
      <c r="A4007" s="32"/>
      <c r="B4007" s="32"/>
      <c r="C4007" s="32"/>
      <c r="D4007" s="32"/>
      <c r="E4007" s="34" t="str">
        <f aca="false">IF($B4007="","",IF($B4007="OUT","Liters",IFERROR(INDEX(Setup!$F$3:$F$24,MATCH($C4007,Setup!$A$3:$A$24,0)),"")))</f>
        <v/>
      </c>
      <c r="F4007" s="28" t="str">
        <f aca="false">IF(OR($D4007="",$E4007=""),"",IFERROR($D4007*INDEX(Setup!$B$27:$B$44,MATCH($E4007,Setup!$A$27:$A$44,0)),"TBD"))</f>
        <v/>
      </c>
      <c r="G4007" s="32"/>
      <c r="H4007" s="32"/>
      <c r="I4007" s="32"/>
      <c r="J4007" s="32"/>
      <c r="K4007" s="35"/>
      <c r="L4007" s="32"/>
      <c r="M4007" s="32"/>
    </row>
    <row r="4008" customFormat="false" ht="15" hidden="false" customHeight="true" outlineLevel="0" collapsed="false">
      <c r="A4008" s="32"/>
      <c r="B4008" s="32"/>
      <c r="C4008" s="32"/>
      <c r="D4008" s="32"/>
      <c r="E4008" s="34" t="str">
        <f aca="false">IF($B4008="","",IF($B4008="OUT","Liters",IFERROR(INDEX(Setup!$F$3:$F$24,MATCH($C4008,Setup!$A$3:$A$24,0)),"")))</f>
        <v/>
      </c>
      <c r="F4008" s="28" t="str">
        <f aca="false">IF(OR($D4008="",$E4008=""),"",IFERROR($D4008*INDEX(Setup!$B$27:$B$44,MATCH($E4008,Setup!$A$27:$A$44,0)),"TBD"))</f>
        <v/>
      </c>
      <c r="G4008" s="32"/>
      <c r="H4008" s="32"/>
      <c r="I4008" s="32"/>
      <c r="J4008" s="32"/>
      <c r="K4008" s="35"/>
      <c r="L4008" s="32"/>
      <c r="M4008" s="32"/>
    </row>
    <row r="4009" customFormat="false" ht="15" hidden="false" customHeight="true" outlineLevel="0" collapsed="false">
      <c r="A4009" s="32"/>
      <c r="B4009" s="32"/>
      <c r="C4009" s="32"/>
      <c r="D4009" s="32"/>
      <c r="E4009" s="34" t="str">
        <f aca="false">IF($B4009="","",IF($B4009="OUT","Liters",IFERROR(INDEX(Setup!$F$3:$F$24,MATCH($C4009,Setup!$A$3:$A$24,0)),"")))</f>
        <v/>
      </c>
      <c r="F4009" s="28" t="str">
        <f aca="false">IF(OR($D4009="",$E4009=""),"",IFERROR($D4009*INDEX(Setup!$B$27:$B$44,MATCH($E4009,Setup!$A$27:$A$44,0)),"TBD"))</f>
        <v/>
      </c>
      <c r="G4009" s="32"/>
      <c r="H4009" s="32"/>
      <c r="I4009" s="32"/>
      <c r="J4009" s="32"/>
      <c r="K4009" s="35"/>
      <c r="L4009" s="32"/>
      <c r="M4009" s="32"/>
    </row>
    <row r="4010" customFormat="false" ht="15" hidden="false" customHeight="true" outlineLevel="0" collapsed="false">
      <c r="A4010" s="32"/>
      <c r="B4010" s="32"/>
      <c r="C4010" s="32"/>
      <c r="D4010" s="32"/>
      <c r="E4010" s="34" t="str">
        <f aca="false">IF($B4010="","",IF($B4010="OUT","Liters",IFERROR(INDEX(Setup!$F$3:$F$24,MATCH($C4010,Setup!$A$3:$A$24,0)),"")))</f>
        <v/>
      </c>
      <c r="F4010" s="28" t="str">
        <f aca="false">IF(OR($D4010="",$E4010=""),"",IFERROR($D4010*INDEX(Setup!$B$27:$B$44,MATCH($E4010,Setup!$A$27:$A$44,0)),"TBD"))</f>
        <v/>
      </c>
      <c r="G4010" s="32"/>
      <c r="H4010" s="32"/>
      <c r="I4010" s="32"/>
      <c r="J4010" s="32"/>
      <c r="K4010" s="35"/>
      <c r="L4010" s="32"/>
      <c r="M4010" s="32"/>
    </row>
    <row r="4011" customFormat="false" ht="15" hidden="false" customHeight="true" outlineLevel="0" collapsed="false">
      <c r="A4011" s="32"/>
      <c r="B4011" s="32"/>
      <c r="C4011" s="32"/>
      <c r="D4011" s="32"/>
      <c r="E4011" s="34" t="str">
        <f aca="false">IF($B4011="","",IF($B4011="OUT","Liters",IFERROR(INDEX(Setup!$F$3:$F$24,MATCH($C4011,Setup!$A$3:$A$24,0)),"")))</f>
        <v/>
      </c>
      <c r="F4011" s="28" t="str">
        <f aca="false">IF(OR($D4011="",$E4011=""),"",IFERROR($D4011*INDEX(Setup!$B$27:$B$44,MATCH($E4011,Setup!$A$27:$A$44,0)),"TBD"))</f>
        <v/>
      </c>
      <c r="G4011" s="32"/>
      <c r="H4011" s="32"/>
      <c r="I4011" s="32"/>
      <c r="J4011" s="32"/>
      <c r="K4011" s="35"/>
      <c r="L4011" s="32"/>
      <c r="M4011" s="32"/>
    </row>
    <row r="4012" customFormat="false" ht="15" hidden="false" customHeight="true" outlineLevel="0" collapsed="false">
      <c r="A4012" s="32"/>
      <c r="B4012" s="32"/>
      <c r="C4012" s="32"/>
      <c r="D4012" s="32"/>
      <c r="E4012" s="34" t="str">
        <f aca="false">IF($B4012="","",IF($B4012="OUT","Liters",IFERROR(INDEX(Setup!$F$3:$F$24,MATCH($C4012,Setup!$A$3:$A$24,0)),"")))</f>
        <v/>
      </c>
      <c r="F4012" s="28" t="str">
        <f aca="false">IF(OR($D4012="",$E4012=""),"",IFERROR($D4012*INDEX(Setup!$B$27:$B$44,MATCH($E4012,Setup!$A$27:$A$44,0)),"TBD"))</f>
        <v/>
      </c>
      <c r="G4012" s="32"/>
      <c r="H4012" s="32"/>
      <c r="I4012" s="32"/>
      <c r="J4012" s="32"/>
      <c r="K4012" s="35"/>
      <c r="L4012" s="32"/>
      <c r="M4012" s="32"/>
    </row>
    <row r="4013" customFormat="false" ht="15" hidden="false" customHeight="true" outlineLevel="0" collapsed="false">
      <c r="A4013" s="32"/>
      <c r="B4013" s="32"/>
      <c r="C4013" s="32"/>
      <c r="D4013" s="32"/>
      <c r="E4013" s="34" t="str">
        <f aca="false">IF($B4013="","",IF($B4013="OUT","Liters",IFERROR(INDEX(Setup!$F$3:$F$24,MATCH($C4013,Setup!$A$3:$A$24,0)),"")))</f>
        <v/>
      </c>
      <c r="F4013" s="28" t="str">
        <f aca="false">IF(OR($D4013="",$E4013=""),"",IFERROR($D4013*INDEX(Setup!$B$27:$B$44,MATCH($E4013,Setup!$A$27:$A$44,0)),"TBD"))</f>
        <v/>
      </c>
      <c r="G4013" s="32"/>
      <c r="H4013" s="32"/>
      <c r="I4013" s="32"/>
      <c r="J4013" s="32"/>
      <c r="K4013" s="35"/>
      <c r="L4013" s="32"/>
      <c r="M4013" s="32"/>
    </row>
    <row r="4014" customFormat="false" ht="15" hidden="false" customHeight="true" outlineLevel="0" collapsed="false">
      <c r="A4014" s="32"/>
      <c r="B4014" s="32"/>
      <c r="C4014" s="32"/>
      <c r="D4014" s="32"/>
      <c r="E4014" s="34" t="str">
        <f aca="false">IF($B4014="","",IF($B4014="OUT","Liters",IFERROR(INDEX(Setup!$F$3:$F$24,MATCH($C4014,Setup!$A$3:$A$24,0)),"")))</f>
        <v/>
      </c>
      <c r="F4014" s="28" t="str">
        <f aca="false">IF(OR($D4014="",$E4014=""),"",IFERROR($D4014*INDEX(Setup!$B$27:$B$44,MATCH($E4014,Setup!$A$27:$A$44,0)),"TBD"))</f>
        <v/>
      </c>
      <c r="G4014" s="32"/>
      <c r="H4014" s="32"/>
      <c r="I4014" s="32"/>
      <c r="J4014" s="32"/>
      <c r="K4014" s="35"/>
      <c r="L4014" s="32"/>
      <c r="M4014" s="32"/>
    </row>
    <row r="4015" customFormat="false" ht="15" hidden="false" customHeight="true" outlineLevel="0" collapsed="false">
      <c r="A4015" s="32"/>
      <c r="B4015" s="32"/>
      <c r="C4015" s="32"/>
      <c r="D4015" s="32"/>
      <c r="E4015" s="34" t="str">
        <f aca="false">IF($B4015="","",IF($B4015="OUT","Liters",IFERROR(INDEX(Setup!$F$3:$F$24,MATCH($C4015,Setup!$A$3:$A$24,0)),"")))</f>
        <v/>
      </c>
      <c r="F4015" s="28" t="str">
        <f aca="false">IF(OR($D4015="",$E4015=""),"",IFERROR($D4015*INDEX(Setup!$B$27:$B$44,MATCH($E4015,Setup!$A$27:$A$44,0)),"TBD"))</f>
        <v/>
      </c>
      <c r="G4015" s="32"/>
      <c r="H4015" s="32"/>
      <c r="I4015" s="32"/>
      <c r="J4015" s="32"/>
      <c r="K4015" s="35"/>
      <c r="L4015" s="32"/>
      <c r="M4015" s="32"/>
    </row>
    <row r="4016" customFormat="false" ht="15" hidden="false" customHeight="true" outlineLevel="0" collapsed="false">
      <c r="A4016" s="32"/>
      <c r="B4016" s="32"/>
      <c r="C4016" s="32"/>
      <c r="D4016" s="32"/>
      <c r="E4016" s="34" t="str">
        <f aca="false">IF($B4016="","",IF($B4016="OUT","Liters",IFERROR(INDEX(Setup!$F$3:$F$24,MATCH($C4016,Setup!$A$3:$A$24,0)),"")))</f>
        <v/>
      </c>
      <c r="F4016" s="28" t="str">
        <f aca="false">IF(OR($D4016="",$E4016=""),"",IFERROR($D4016*INDEX(Setup!$B$27:$B$44,MATCH($E4016,Setup!$A$27:$A$44,0)),"TBD"))</f>
        <v/>
      </c>
      <c r="G4016" s="32"/>
      <c r="H4016" s="32"/>
      <c r="I4016" s="32"/>
      <c r="J4016" s="32"/>
      <c r="K4016" s="35"/>
      <c r="L4016" s="32"/>
      <c r="M4016" s="32"/>
    </row>
    <row r="4017" customFormat="false" ht="15" hidden="false" customHeight="true" outlineLevel="0" collapsed="false">
      <c r="A4017" s="32"/>
      <c r="B4017" s="32"/>
      <c r="C4017" s="32"/>
      <c r="D4017" s="32"/>
      <c r="E4017" s="34" t="str">
        <f aca="false">IF($B4017="","",IF($B4017="OUT","Liters",IFERROR(INDEX(Setup!$F$3:$F$24,MATCH($C4017,Setup!$A$3:$A$24,0)),"")))</f>
        <v/>
      </c>
      <c r="F4017" s="28" t="str">
        <f aca="false">IF(OR($D4017="",$E4017=""),"",IFERROR($D4017*INDEX(Setup!$B$27:$B$44,MATCH($E4017,Setup!$A$27:$A$44,0)),"TBD"))</f>
        <v/>
      </c>
      <c r="G4017" s="32"/>
      <c r="H4017" s="32"/>
      <c r="I4017" s="32"/>
      <c r="J4017" s="32"/>
      <c r="K4017" s="35"/>
      <c r="L4017" s="32"/>
      <c r="M4017" s="32"/>
    </row>
    <row r="4018" customFormat="false" ht="15" hidden="false" customHeight="true" outlineLevel="0" collapsed="false">
      <c r="A4018" s="32"/>
      <c r="B4018" s="32"/>
      <c r="C4018" s="32"/>
      <c r="D4018" s="32"/>
      <c r="E4018" s="34" t="str">
        <f aca="false">IF($B4018="","",IF($B4018="OUT","Liters",IFERROR(INDEX(Setup!$F$3:$F$24,MATCH($C4018,Setup!$A$3:$A$24,0)),"")))</f>
        <v/>
      </c>
      <c r="F4018" s="28" t="str">
        <f aca="false">IF(OR($D4018="",$E4018=""),"",IFERROR($D4018*INDEX(Setup!$B$27:$B$44,MATCH($E4018,Setup!$A$27:$A$44,0)),"TBD"))</f>
        <v/>
      </c>
      <c r="G4018" s="32"/>
      <c r="H4018" s="32"/>
      <c r="I4018" s="32"/>
      <c r="J4018" s="32"/>
      <c r="K4018" s="35"/>
      <c r="L4018" s="32"/>
      <c r="M4018" s="32"/>
    </row>
    <row r="4019" customFormat="false" ht="15" hidden="false" customHeight="true" outlineLevel="0" collapsed="false">
      <c r="A4019" s="32"/>
      <c r="B4019" s="32"/>
      <c r="C4019" s="32"/>
      <c r="D4019" s="32"/>
      <c r="E4019" s="34" t="str">
        <f aca="false">IF($B4019="","",IF($B4019="OUT","Liters",IFERROR(INDEX(Setup!$F$3:$F$24,MATCH($C4019,Setup!$A$3:$A$24,0)),"")))</f>
        <v/>
      </c>
      <c r="F4019" s="28" t="str">
        <f aca="false">IF(OR($D4019="",$E4019=""),"",IFERROR($D4019*INDEX(Setup!$B$27:$B$44,MATCH($E4019,Setup!$A$27:$A$44,0)),"TBD"))</f>
        <v/>
      </c>
      <c r="G4019" s="32"/>
      <c r="H4019" s="32"/>
      <c r="I4019" s="32"/>
      <c r="J4019" s="32"/>
      <c r="K4019" s="35"/>
      <c r="L4019" s="32"/>
      <c r="M4019" s="32"/>
    </row>
    <row r="4020" customFormat="false" ht="15" hidden="false" customHeight="true" outlineLevel="0" collapsed="false">
      <c r="A4020" s="32"/>
      <c r="B4020" s="32"/>
      <c r="C4020" s="32"/>
      <c r="D4020" s="32"/>
      <c r="E4020" s="34" t="str">
        <f aca="false">IF($B4020="","",IF($B4020="OUT","Liters",IFERROR(INDEX(Setup!$F$3:$F$24,MATCH($C4020,Setup!$A$3:$A$24,0)),"")))</f>
        <v/>
      </c>
      <c r="F4020" s="28" t="str">
        <f aca="false">IF(OR($D4020="",$E4020=""),"",IFERROR($D4020*INDEX(Setup!$B$27:$B$44,MATCH($E4020,Setup!$A$27:$A$44,0)),"TBD"))</f>
        <v/>
      </c>
      <c r="G4020" s="32"/>
      <c r="H4020" s="32"/>
      <c r="I4020" s="32"/>
      <c r="J4020" s="32"/>
      <c r="K4020" s="35"/>
      <c r="L4020" s="32"/>
      <c r="M4020" s="32"/>
    </row>
    <row r="4021" customFormat="false" ht="15" hidden="false" customHeight="true" outlineLevel="0" collapsed="false">
      <c r="A4021" s="32"/>
      <c r="B4021" s="32"/>
      <c r="C4021" s="32"/>
      <c r="D4021" s="32"/>
      <c r="E4021" s="34" t="str">
        <f aca="false">IF($B4021="","",IF($B4021="OUT","Liters",IFERROR(INDEX(Setup!$F$3:$F$24,MATCH($C4021,Setup!$A$3:$A$24,0)),"")))</f>
        <v/>
      </c>
      <c r="F4021" s="28" t="str">
        <f aca="false">IF(OR($D4021="",$E4021=""),"",IFERROR($D4021*INDEX(Setup!$B$27:$B$44,MATCH($E4021,Setup!$A$27:$A$44,0)),"TBD"))</f>
        <v/>
      </c>
      <c r="G4021" s="32"/>
      <c r="H4021" s="32"/>
      <c r="I4021" s="32"/>
      <c r="J4021" s="32"/>
      <c r="K4021" s="35"/>
      <c r="L4021" s="32"/>
      <c r="M4021" s="32"/>
    </row>
    <row r="4022" customFormat="false" ht="15" hidden="false" customHeight="true" outlineLevel="0" collapsed="false">
      <c r="A4022" s="32"/>
      <c r="B4022" s="32"/>
      <c r="C4022" s="32"/>
      <c r="D4022" s="32"/>
      <c r="E4022" s="34" t="str">
        <f aca="false">IF($B4022="","",IF($B4022="OUT","Liters",IFERROR(INDEX(Setup!$F$3:$F$24,MATCH($C4022,Setup!$A$3:$A$24,0)),"")))</f>
        <v/>
      </c>
      <c r="F4022" s="28" t="str">
        <f aca="false">IF(OR($D4022="",$E4022=""),"",IFERROR($D4022*INDEX(Setup!$B$27:$B$44,MATCH($E4022,Setup!$A$27:$A$44,0)),"TBD"))</f>
        <v/>
      </c>
      <c r="G4022" s="32"/>
      <c r="H4022" s="32"/>
      <c r="I4022" s="32"/>
      <c r="J4022" s="32"/>
      <c r="K4022" s="35"/>
      <c r="L4022" s="32"/>
      <c r="M4022" s="32"/>
    </row>
    <row r="4023" customFormat="false" ht="15" hidden="false" customHeight="true" outlineLevel="0" collapsed="false">
      <c r="A4023" s="32"/>
      <c r="B4023" s="32"/>
      <c r="C4023" s="32"/>
      <c r="D4023" s="32"/>
      <c r="E4023" s="34" t="str">
        <f aca="false">IF($B4023="","",IF($B4023="OUT","Liters",IFERROR(INDEX(Setup!$F$3:$F$24,MATCH($C4023,Setup!$A$3:$A$24,0)),"")))</f>
        <v/>
      </c>
      <c r="F4023" s="28" t="str">
        <f aca="false">IF(OR($D4023="",$E4023=""),"",IFERROR($D4023*INDEX(Setup!$B$27:$B$44,MATCH($E4023,Setup!$A$27:$A$44,0)),"TBD"))</f>
        <v/>
      </c>
      <c r="G4023" s="32"/>
      <c r="H4023" s="32"/>
      <c r="I4023" s="32"/>
      <c r="J4023" s="32"/>
      <c r="K4023" s="35"/>
      <c r="L4023" s="32"/>
      <c r="M4023" s="32"/>
    </row>
    <row r="4024" customFormat="false" ht="15" hidden="false" customHeight="true" outlineLevel="0" collapsed="false">
      <c r="A4024" s="32"/>
      <c r="B4024" s="32"/>
      <c r="C4024" s="32"/>
      <c r="D4024" s="32"/>
      <c r="E4024" s="34" t="str">
        <f aca="false">IF($B4024="","",IF($B4024="OUT","Liters",IFERROR(INDEX(Setup!$F$3:$F$24,MATCH($C4024,Setup!$A$3:$A$24,0)),"")))</f>
        <v/>
      </c>
      <c r="F4024" s="28" t="str">
        <f aca="false">IF(OR($D4024="",$E4024=""),"",IFERROR($D4024*INDEX(Setup!$B$27:$B$44,MATCH($E4024,Setup!$A$27:$A$44,0)),"TBD"))</f>
        <v/>
      </c>
      <c r="G4024" s="32"/>
      <c r="H4024" s="32"/>
      <c r="I4024" s="32"/>
      <c r="J4024" s="32"/>
      <c r="K4024" s="35"/>
      <c r="L4024" s="32"/>
      <c r="M4024" s="32"/>
    </row>
    <row r="4025" customFormat="false" ht="15" hidden="false" customHeight="true" outlineLevel="0" collapsed="false">
      <c r="A4025" s="32"/>
      <c r="B4025" s="32"/>
      <c r="C4025" s="32"/>
      <c r="D4025" s="32"/>
      <c r="E4025" s="34" t="str">
        <f aca="false">IF($B4025="","",IF($B4025="OUT","Liters",IFERROR(INDEX(Setup!$F$3:$F$24,MATCH($C4025,Setup!$A$3:$A$24,0)),"")))</f>
        <v/>
      </c>
      <c r="F4025" s="28" t="str">
        <f aca="false">IF(OR($D4025="",$E4025=""),"",IFERROR($D4025*INDEX(Setup!$B$27:$B$44,MATCH($E4025,Setup!$A$27:$A$44,0)),"TBD"))</f>
        <v/>
      </c>
      <c r="G4025" s="32"/>
      <c r="H4025" s="32"/>
      <c r="I4025" s="32"/>
      <c r="J4025" s="32"/>
      <c r="K4025" s="35"/>
      <c r="L4025" s="32"/>
      <c r="M4025" s="32"/>
    </row>
    <row r="4026" customFormat="false" ht="15" hidden="false" customHeight="true" outlineLevel="0" collapsed="false">
      <c r="A4026" s="32"/>
      <c r="B4026" s="32"/>
      <c r="C4026" s="32"/>
      <c r="D4026" s="32"/>
      <c r="E4026" s="34" t="str">
        <f aca="false">IF($B4026="","",IF($B4026="OUT","Liters",IFERROR(INDEX(Setup!$F$3:$F$24,MATCH($C4026,Setup!$A$3:$A$24,0)),"")))</f>
        <v/>
      </c>
      <c r="F4026" s="28" t="str">
        <f aca="false">IF(OR($D4026="",$E4026=""),"",IFERROR($D4026*INDEX(Setup!$B$27:$B$44,MATCH($E4026,Setup!$A$27:$A$44,0)),"TBD"))</f>
        <v/>
      </c>
      <c r="G4026" s="32"/>
      <c r="H4026" s="32"/>
      <c r="I4026" s="32"/>
      <c r="J4026" s="32"/>
      <c r="K4026" s="35"/>
      <c r="L4026" s="32"/>
      <c r="M4026" s="32"/>
    </row>
    <row r="4027" customFormat="false" ht="15" hidden="false" customHeight="true" outlineLevel="0" collapsed="false">
      <c r="A4027" s="32"/>
      <c r="B4027" s="32"/>
      <c r="C4027" s="32"/>
      <c r="D4027" s="32"/>
      <c r="E4027" s="34" t="str">
        <f aca="false">IF($B4027="","",IF($B4027="OUT","Liters",IFERROR(INDEX(Setup!$F$3:$F$24,MATCH($C4027,Setup!$A$3:$A$24,0)),"")))</f>
        <v/>
      </c>
      <c r="F4027" s="28" t="str">
        <f aca="false">IF(OR($D4027="",$E4027=""),"",IFERROR($D4027*INDEX(Setup!$B$27:$B$44,MATCH($E4027,Setup!$A$27:$A$44,0)),"TBD"))</f>
        <v/>
      </c>
      <c r="G4027" s="32"/>
      <c r="H4027" s="32"/>
      <c r="I4027" s="32"/>
      <c r="J4027" s="32"/>
      <c r="K4027" s="35"/>
      <c r="L4027" s="32"/>
      <c r="M4027" s="32"/>
    </row>
    <row r="4028" customFormat="false" ht="15" hidden="false" customHeight="true" outlineLevel="0" collapsed="false">
      <c r="A4028" s="32"/>
      <c r="B4028" s="32"/>
      <c r="C4028" s="32"/>
      <c r="D4028" s="32"/>
      <c r="E4028" s="34" t="str">
        <f aca="false">IF($B4028="","",IF($B4028="OUT","Liters",IFERROR(INDEX(Setup!$F$3:$F$24,MATCH($C4028,Setup!$A$3:$A$24,0)),"")))</f>
        <v/>
      </c>
      <c r="F4028" s="28" t="str">
        <f aca="false">IF(OR($D4028="",$E4028=""),"",IFERROR($D4028*INDEX(Setup!$B$27:$B$44,MATCH($E4028,Setup!$A$27:$A$44,0)),"TBD"))</f>
        <v/>
      </c>
      <c r="G4028" s="32"/>
      <c r="H4028" s="32"/>
      <c r="I4028" s="32"/>
      <c r="J4028" s="32"/>
      <c r="K4028" s="35"/>
      <c r="L4028" s="32"/>
      <c r="M4028" s="32"/>
    </row>
    <row r="4029" customFormat="false" ht="15" hidden="false" customHeight="true" outlineLevel="0" collapsed="false">
      <c r="A4029" s="32"/>
      <c r="B4029" s="32"/>
      <c r="C4029" s="32"/>
      <c r="D4029" s="32"/>
      <c r="E4029" s="34" t="str">
        <f aca="false">IF($B4029="","",IF($B4029="OUT","Liters",IFERROR(INDEX(Setup!$F$3:$F$24,MATCH($C4029,Setup!$A$3:$A$24,0)),"")))</f>
        <v/>
      </c>
      <c r="F4029" s="28" t="str">
        <f aca="false">IF(OR($D4029="",$E4029=""),"",IFERROR($D4029*INDEX(Setup!$B$27:$B$44,MATCH($E4029,Setup!$A$27:$A$44,0)),"TBD"))</f>
        <v/>
      </c>
      <c r="G4029" s="32"/>
      <c r="H4029" s="32"/>
      <c r="I4029" s="32"/>
      <c r="J4029" s="32"/>
      <c r="K4029" s="35"/>
      <c r="L4029" s="32"/>
      <c r="M4029" s="32"/>
    </row>
    <row r="4030" customFormat="false" ht="15" hidden="false" customHeight="true" outlineLevel="0" collapsed="false">
      <c r="A4030" s="32"/>
      <c r="B4030" s="32"/>
      <c r="C4030" s="32"/>
      <c r="D4030" s="32"/>
      <c r="E4030" s="34" t="str">
        <f aca="false">IF($B4030="","",IF($B4030="OUT","Liters",IFERROR(INDEX(Setup!$F$3:$F$24,MATCH($C4030,Setup!$A$3:$A$24,0)),"")))</f>
        <v/>
      </c>
      <c r="F4030" s="28" t="str">
        <f aca="false">IF(OR($D4030="",$E4030=""),"",IFERROR($D4030*INDEX(Setup!$B$27:$B$44,MATCH($E4030,Setup!$A$27:$A$44,0)),"TBD"))</f>
        <v/>
      </c>
      <c r="G4030" s="32"/>
      <c r="H4030" s="32"/>
      <c r="I4030" s="32"/>
      <c r="J4030" s="32"/>
      <c r="K4030" s="35"/>
      <c r="L4030" s="32"/>
      <c r="M4030" s="32"/>
    </row>
    <row r="4031" customFormat="false" ht="15" hidden="false" customHeight="true" outlineLevel="0" collapsed="false">
      <c r="A4031" s="32"/>
      <c r="B4031" s="32"/>
      <c r="C4031" s="32"/>
      <c r="D4031" s="32"/>
      <c r="E4031" s="34" t="str">
        <f aca="false">IF($B4031="","",IF($B4031="OUT","Liters",IFERROR(INDEX(Setup!$F$3:$F$24,MATCH($C4031,Setup!$A$3:$A$24,0)),"")))</f>
        <v/>
      </c>
      <c r="F4031" s="28" t="str">
        <f aca="false">IF(OR($D4031="",$E4031=""),"",IFERROR($D4031*INDEX(Setup!$B$27:$B$44,MATCH($E4031,Setup!$A$27:$A$44,0)),"TBD"))</f>
        <v/>
      </c>
      <c r="G4031" s="32"/>
      <c r="H4031" s="32"/>
      <c r="I4031" s="32"/>
      <c r="J4031" s="32"/>
      <c r="K4031" s="35"/>
      <c r="L4031" s="32"/>
      <c r="M4031" s="32"/>
    </row>
    <row r="4032" customFormat="false" ht="15" hidden="false" customHeight="true" outlineLevel="0" collapsed="false">
      <c r="A4032" s="32"/>
      <c r="B4032" s="32"/>
      <c r="C4032" s="32"/>
      <c r="D4032" s="32"/>
      <c r="E4032" s="34" t="str">
        <f aca="false">IF($B4032="","",IF($B4032="OUT","Liters",IFERROR(INDEX(Setup!$F$3:$F$24,MATCH($C4032,Setup!$A$3:$A$24,0)),"")))</f>
        <v/>
      </c>
      <c r="F4032" s="28" t="str">
        <f aca="false">IF(OR($D4032="",$E4032=""),"",IFERROR($D4032*INDEX(Setup!$B$27:$B$44,MATCH($E4032,Setup!$A$27:$A$44,0)),"TBD"))</f>
        <v/>
      </c>
      <c r="G4032" s="32"/>
      <c r="H4032" s="32"/>
      <c r="I4032" s="32"/>
      <c r="J4032" s="32"/>
      <c r="K4032" s="35"/>
      <c r="L4032" s="32"/>
      <c r="M4032" s="32"/>
    </row>
    <row r="4033" customFormat="false" ht="15" hidden="false" customHeight="true" outlineLevel="0" collapsed="false">
      <c r="A4033" s="32"/>
      <c r="B4033" s="32"/>
      <c r="C4033" s="32"/>
      <c r="D4033" s="32"/>
      <c r="E4033" s="34" t="str">
        <f aca="false">IF($B4033="","",IF($B4033="OUT","Liters",IFERROR(INDEX(Setup!$F$3:$F$24,MATCH($C4033,Setup!$A$3:$A$24,0)),"")))</f>
        <v/>
      </c>
      <c r="F4033" s="28" t="str">
        <f aca="false">IF(OR($D4033="",$E4033=""),"",IFERROR($D4033*INDEX(Setup!$B$27:$B$44,MATCH($E4033,Setup!$A$27:$A$44,0)),"TBD"))</f>
        <v/>
      </c>
      <c r="G4033" s="32"/>
      <c r="H4033" s="32"/>
      <c r="I4033" s="32"/>
      <c r="J4033" s="32"/>
      <c r="K4033" s="35"/>
      <c r="L4033" s="32"/>
      <c r="M4033" s="32"/>
    </row>
    <row r="4034" customFormat="false" ht="15" hidden="false" customHeight="true" outlineLevel="0" collapsed="false">
      <c r="A4034" s="32"/>
      <c r="B4034" s="32"/>
      <c r="C4034" s="32"/>
      <c r="D4034" s="32"/>
      <c r="E4034" s="34" t="str">
        <f aca="false">IF($B4034="","",IF($B4034="OUT","Liters",IFERROR(INDEX(Setup!$F$3:$F$24,MATCH($C4034,Setup!$A$3:$A$24,0)),"")))</f>
        <v/>
      </c>
      <c r="F4034" s="28" t="str">
        <f aca="false">IF(OR($D4034="",$E4034=""),"",IFERROR($D4034*INDEX(Setup!$B$27:$B$44,MATCH($E4034,Setup!$A$27:$A$44,0)),"TBD"))</f>
        <v/>
      </c>
      <c r="G4034" s="32"/>
      <c r="H4034" s="32"/>
      <c r="I4034" s="32"/>
      <c r="J4034" s="32"/>
      <c r="K4034" s="35"/>
      <c r="L4034" s="32"/>
      <c r="M4034" s="32"/>
    </row>
    <row r="4035" customFormat="false" ht="15" hidden="false" customHeight="true" outlineLevel="0" collapsed="false">
      <c r="A4035" s="32"/>
      <c r="B4035" s="32"/>
      <c r="C4035" s="32"/>
      <c r="D4035" s="32"/>
      <c r="E4035" s="34" t="str">
        <f aca="false">IF($B4035="","",IF($B4035="OUT","Liters",IFERROR(INDEX(Setup!$F$3:$F$24,MATCH($C4035,Setup!$A$3:$A$24,0)),"")))</f>
        <v/>
      </c>
      <c r="F4035" s="28" t="str">
        <f aca="false">IF(OR($D4035="",$E4035=""),"",IFERROR($D4035*INDEX(Setup!$B$27:$B$44,MATCH($E4035,Setup!$A$27:$A$44,0)),"TBD"))</f>
        <v/>
      </c>
      <c r="G4035" s="32"/>
      <c r="H4035" s="32"/>
      <c r="I4035" s="32"/>
      <c r="J4035" s="32"/>
      <c r="K4035" s="35"/>
      <c r="L4035" s="32"/>
      <c r="M4035" s="32"/>
    </row>
    <row r="4036" customFormat="false" ht="15" hidden="false" customHeight="true" outlineLevel="0" collapsed="false">
      <c r="A4036" s="32"/>
      <c r="B4036" s="32"/>
      <c r="C4036" s="32"/>
      <c r="D4036" s="32"/>
      <c r="E4036" s="34" t="str">
        <f aca="false">IF($B4036="","",IF($B4036="OUT","Liters",IFERROR(INDEX(Setup!$F$3:$F$24,MATCH($C4036,Setup!$A$3:$A$24,0)),"")))</f>
        <v/>
      </c>
      <c r="F4036" s="28" t="str">
        <f aca="false">IF(OR($D4036="",$E4036=""),"",IFERROR($D4036*INDEX(Setup!$B$27:$B$44,MATCH($E4036,Setup!$A$27:$A$44,0)),"TBD"))</f>
        <v/>
      </c>
      <c r="G4036" s="32"/>
      <c r="H4036" s="32"/>
      <c r="I4036" s="32"/>
      <c r="J4036" s="32"/>
      <c r="K4036" s="35"/>
      <c r="L4036" s="32"/>
      <c r="M4036" s="32"/>
    </row>
    <row r="4037" customFormat="false" ht="15" hidden="false" customHeight="true" outlineLevel="0" collapsed="false">
      <c r="A4037" s="32"/>
      <c r="B4037" s="32"/>
      <c r="C4037" s="32"/>
      <c r="D4037" s="32"/>
      <c r="E4037" s="34" t="str">
        <f aca="false">IF($B4037="","",IF($B4037="OUT","Liters",IFERROR(INDEX(Setup!$F$3:$F$24,MATCH($C4037,Setup!$A$3:$A$24,0)),"")))</f>
        <v/>
      </c>
      <c r="F4037" s="28" t="str">
        <f aca="false">IF(OR($D4037="",$E4037=""),"",IFERROR($D4037*INDEX(Setup!$B$27:$B$44,MATCH($E4037,Setup!$A$27:$A$44,0)),"TBD"))</f>
        <v/>
      </c>
      <c r="G4037" s="32"/>
      <c r="H4037" s="32"/>
      <c r="I4037" s="32"/>
      <c r="J4037" s="32"/>
      <c r="K4037" s="35"/>
      <c r="L4037" s="32"/>
      <c r="M4037" s="32"/>
    </row>
    <row r="4038" customFormat="false" ht="15" hidden="false" customHeight="true" outlineLevel="0" collapsed="false">
      <c r="A4038" s="32"/>
      <c r="B4038" s="32"/>
      <c r="C4038" s="32"/>
      <c r="D4038" s="32"/>
      <c r="E4038" s="34" t="str">
        <f aca="false">IF($B4038="","",IF($B4038="OUT","Liters",IFERROR(INDEX(Setup!$F$3:$F$24,MATCH($C4038,Setup!$A$3:$A$24,0)),"")))</f>
        <v/>
      </c>
      <c r="F4038" s="28" t="str">
        <f aca="false">IF(OR($D4038="",$E4038=""),"",IFERROR($D4038*INDEX(Setup!$B$27:$B$44,MATCH($E4038,Setup!$A$27:$A$44,0)),"TBD"))</f>
        <v/>
      </c>
      <c r="G4038" s="32"/>
      <c r="H4038" s="32"/>
      <c r="I4038" s="32"/>
      <c r="J4038" s="32"/>
      <c r="K4038" s="35"/>
      <c r="L4038" s="32"/>
      <c r="M4038" s="32"/>
    </row>
    <row r="4039" customFormat="false" ht="15" hidden="false" customHeight="true" outlineLevel="0" collapsed="false">
      <c r="A4039" s="32"/>
      <c r="B4039" s="32"/>
      <c r="C4039" s="32"/>
      <c r="D4039" s="32"/>
      <c r="E4039" s="34" t="str">
        <f aca="false">IF($B4039="","",IF($B4039="OUT","Liters",IFERROR(INDEX(Setup!$F$3:$F$24,MATCH($C4039,Setup!$A$3:$A$24,0)),"")))</f>
        <v/>
      </c>
      <c r="F4039" s="28" t="str">
        <f aca="false">IF(OR($D4039="",$E4039=""),"",IFERROR($D4039*INDEX(Setup!$B$27:$B$44,MATCH($E4039,Setup!$A$27:$A$44,0)),"TBD"))</f>
        <v/>
      </c>
      <c r="G4039" s="32"/>
      <c r="H4039" s="32"/>
      <c r="I4039" s="32"/>
      <c r="J4039" s="32"/>
      <c r="K4039" s="35"/>
      <c r="L4039" s="32"/>
      <c r="M4039" s="32"/>
    </row>
    <row r="4040" customFormat="false" ht="15" hidden="false" customHeight="true" outlineLevel="0" collapsed="false">
      <c r="A4040" s="32"/>
      <c r="B4040" s="32"/>
      <c r="C4040" s="32"/>
      <c r="D4040" s="32"/>
      <c r="E4040" s="34" t="str">
        <f aca="false">IF($B4040="","",IF($B4040="OUT","Liters",IFERROR(INDEX(Setup!$F$3:$F$24,MATCH($C4040,Setup!$A$3:$A$24,0)),"")))</f>
        <v/>
      </c>
      <c r="F4040" s="28" t="str">
        <f aca="false">IF(OR($D4040="",$E4040=""),"",IFERROR($D4040*INDEX(Setup!$B$27:$B$44,MATCH($E4040,Setup!$A$27:$A$44,0)),"TBD"))</f>
        <v/>
      </c>
      <c r="G4040" s="32"/>
      <c r="H4040" s="32"/>
      <c r="I4040" s="32"/>
      <c r="J4040" s="32"/>
      <c r="K4040" s="35"/>
      <c r="L4040" s="32"/>
      <c r="M4040" s="32"/>
    </row>
    <row r="4041" customFormat="false" ht="15" hidden="false" customHeight="true" outlineLevel="0" collapsed="false">
      <c r="A4041" s="32"/>
      <c r="B4041" s="32"/>
      <c r="C4041" s="32"/>
      <c r="D4041" s="32"/>
      <c r="E4041" s="34" t="str">
        <f aca="false">IF($B4041="","",IF($B4041="OUT","Liters",IFERROR(INDEX(Setup!$F$3:$F$24,MATCH($C4041,Setup!$A$3:$A$24,0)),"")))</f>
        <v/>
      </c>
      <c r="F4041" s="28" t="str">
        <f aca="false">IF(OR($D4041="",$E4041=""),"",IFERROR($D4041*INDEX(Setup!$B$27:$B$44,MATCH($E4041,Setup!$A$27:$A$44,0)),"TBD"))</f>
        <v/>
      </c>
      <c r="G4041" s="32"/>
      <c r="H4041" s="32"/>
      <c r="I4041" s="32"/>
      <c r="J4041" s="32"/>
      <c r="K4041" s="35"/>
      <c r="L4041" s="32"/>
      <c r="M4041" s="32"/>
    </row>
    <row r="4042" customFormat="false" ht="15" hidden="false" customHeight="true" outlineLevel="0" collapsed="false">
      <c r="A4042" s="32"/>
      <c r="B4042" s="32"/>
      <c r="C4042" s="32"/>
      <c r="D4042" s="32"/>
      <c r="E4042" s="34" t="str">
        <f aca="false">IF($B4042="","",IF($B4042="OUT","Liters",IFERROR(INDEX(Setup!$F$3:$F$24,MATCH($C4042,Setup!$A$3:$A$24,0)),"")))</f>
        <v/>
      </c>
      <c r="F4042" s="28" t="str">
        <f aca="false">IF(OR($D4042="",$E4042=""),"",IFERROR($D4042*INDEX(Setup!$B$27:$B$44,MATCH($E4042,Setup!$A$27:$A$44,0)),"TBD"))</f>
        <v/>
      </c>
      <c r="G4042" s="32"/>
      <c r="H4042" s="32"/>
      <c r="I4042" s="32"/>
      <c r="J4042" s="32"/>
      <c r="K4042" s="35"/>
      <c r="L4042" s="32"/>
      <c r="M4042" s="32"/>
    </row>
    <row r="4043" customFormat="false" ht="15" hidden="false" customHeight="true" outlineLevel="0" collapsed="false">
      <c r="A4043" s="32"/>
      <c r="B4043" s="32"/>
      <c r="C4043" s="32"/>
      <c r="D4043" s="32"/>
      <c r="E4043" s="34" t="str">
        <f aca="false">IF($B4043="","",IF($B4043="OUT","Liters",IFERROR(INDEX(Setup!$F$3:$F$24,MATCH($C4043,Setup!$A$3:$A$24,0)),"")))</f>
        <v/>
      </c>
      <c r="F4043" s="28" t="str">
        <f aca="false">IF(OR($D4043="",$E4043=""),"",IFERROR($D4043*INDEX(Setup!$B$27:$B$44,MATCH($E4043,Setup!$A$27:$A$44,0)),"TBD"))</f>
        <v/>
      </c>
      <c r="G4043" s="32"/>
      <c r="H4043" s="32"/>
      <c r="I4043" s="32"/>
      <c r="J4043" s="32"/>
      <c r="K4043" s="35"/>
      <c r="L4043" s="32"/>
      <c r="M4043" s="32"/>
    </row>
    <row r="4044" customFormat="false" ht="15" hidden="false" customHeight="true" outlineLevel="0" collapsed="false">
      <c r="A4044" s="32"/>
      <c r="B4044" s="32"/>
      <c r="C4044" s="32"/>
      <c r="D4044" s="32"/>
      <c r="E4044" s="34" t="str">
        <f aca="false">IF($B4044="","",IF($B4044="OUT","Liters",IFERROR(INDEX(Setup!$F$3:$F$24,MATCH($C4044,Setup!$A$3:$A$24,0)),"")))</f>
        <v/>
      </c>
      <c r="F4044" s="28" t="str">
        <f aca="false">IF(OR($D4044="",$E4044=""),"",IFERROR($D4044*INDEX(Setup!$B$27:$B$44,MATCH($E4044,Setup!$A$27:$A$44,0)),"TBD"))</f>
        <v/>
      </c>
      <c r="G4044" s="32"/>
      <c r="H4044" s="32"/>
      <c r="I4044" s="32"/>
      <c r="J4044" s="32"/>
      <c r="K4044" s="35"/>
      <c r="L4044" s="32"/>
      <c r="M4044" s="32"/>
    </row>
    <row r="4045" customFormat="false" ht="15" hidden="false" customHeight="true" outlineLevel="0" collapsed="false">
      <c r="A4045" s="32"/>
      <c r="B4045" s="32"/>
      <c r="C4045" s="32"/>
      <c r="D4045" s="32"/>
      <c r="E4045" s="34" t="str">
        <f aca="false">IF($B4045="","",IF($B4045="OUT","Liters",IFERROR(INDEX(Setup!$F$3:$F$24,MATCH($C4045,Setup!$A$3:$A$24,0)),"")))</f>
        <v/>
      </c>
      <c r="F4045" s="28" t="str">
        <f aca="false">IF(OR($D4045="",$E4045=""),"",IFERROR($D4045*INDEX(Setup!$B$27:$B$44,MATCH($E4045,Setup!$A$27:$A$44,0)),"TBD"))</f>
        <v/>
      </c>
      <c r="G4045" s="32"/>
      <c r="H4045" s="32"/>
      <c r="I4045" s="32"/>
      <c r="J4045" s="32"/>
      <c r="K4045" s="35"/>
      <c r="L4045" s="32"/>
      <c r="M4045" s="32"/>
    </row>
    <row r="4046" customFormat="false" ht="15" hidden="false" customHeight="true" outlineLevel="0" collapsed="false">
      <c r="A4046" s="32"/>
      <c r="B4046" s="32"/>
      <c r="C4046" s="32"/>
      <c r="D4046" s="32"/>
      <c r="E4046" s="34" t="str">
        <f aca="false">IF($B4046="","",IF($B4046="OUT","Liters",IFERROR(INDEX(Setup!$F$3:$F$24,MATCH($C4046,Setup!$A$3:$A$24,0)),"")))</f>
        <v/>
      </c>
      <c r="F4046" s="28" t="str">
        <f aca="false">IF(OR($D4046="",$E4046=""),"",IFERROR($D4046*INDEX(Setup!$B$27:$B$44,MATCH($E4046,Setup!$A$27:$A$44,0)),"TBD"))</f>
        <v/>
      </c>
      <c r="G4046" s="32"/>
      <c r="H4046" s="32"/>
      <c r="I4046" s="32"/>
      <c r="J4046" s="32"/>
      <c r="K4046" s="35"/>
      <c r="L4046" s="32"/>
      <c r="M4046" s="32"/>
    </row>
    <row r="4047" customFormat="false" ht="15" hidden="false" customHeight="true" outlineLevel="0" collapsed="false">
      <c r="A4047" s="32"/>
      <c r="B4047" s="32"/>
      <c r="C4047" s="32"/>
      <c r="D4047" s="32"/>
      <c r="E4047" s="34" t="str">
        <f aca="false">IF($B4047="","",IF($B4047="OUT","Liters",IFERROR(INDEX(Setup!$F$3:$F$24,MATCH($C4047,Setup!$A$3:$A$24,0)),"")))</f>
        <v/>
      </c>
      <c r="F4047" s="28" t="str">
        <f aca="false">IF(OR($D4047="",$E4047=""),"",IFERROR($D4047*INDEX(Setup!$B$27:$B$44,MATCH($E4047,Setup!$A$27:$A$44,0)),"TBD"))</f>
        <v/>
      </c>
      <c r="G4047" s="32"/>
      <c r="H4047" s="32"/>
      <c r="I4047" s="32"/>
      <c r="J4047" s="32"/>
      <c r="K4047" s="35"/>
      <c r="L4047" s="32"/>
      <c r="M4047" s="32"/>
    </row>
    <row r="4048" customFormat="false" ht="15" hidden="false" customHeight="true" outlineLevel="0" collapsed="false">
      <c r="A4048" s="32"/>
      <c r="B4048" s="32"/>
      <c r="C4048" s="32"/>
      <c r="D4048" s="32"/>
      <c r="E4048" s="34" t="str">
        <f aca="false">IF($B4048="","",IF($B4048="OUT","Liters",IFERROR(INDEX(Setup!$F$3:$F$24,MATCH($C4048,Setup!$A$3:$A$24,0)),"")))</f>
        <v/>
      </c>
      <c r="F4048" s="28" t="str">
        <f aca="false">IF(OR($D4048="",$E4048=""),"",IFERROR($D4048*INDEX(Setup!$B$27:$B$44,MATCH($E4048,Setup!$A$27:$A$44,0)),"TBD"))</f>
        <v/>
      </c>
      <c r="G4048" s="32"/>
      <c r="H4048" s="32"/>
      <c r="I4048" s="32"/>
      <c r="J4048" s="32"/>
      <c r="K4048" s="35"/>
      <c r="L4048" s="32"/>
      <c r="M4048" s="32"/>
    </row>
    <row r="4049" customFormat="false" ht="15" hidden="false" customHeight="true" outlineLevel="0" collapsed="false">
      <c r="A4049" s="32"/>
      <c r="B4049" s="32"/>
      <c r="C4049" s="32"/>
      <c r="D4049" s="32"/>
      <c r="E4049" s="34" t="str">
        <f aca="false">IF($B4049="","",IF($B4049="OUT","Liters",IFERROR(INDEX(Setup!$F$3:$F$24,MATCH($C4049,Setup!$A$3:$A$24,0)),"")))</f>
        <v/>
      </c>
      <c r="F4049" s="28" t="str">
        <f aca="false">IF(OR($D4049="",$E4049=""),"",IFERROR($D4049*INDEX(Setup!$B$27:$B$44,MATCH($E4049,Setup!$A$27:$A$44,0)),"TBD"))</f>
        <v/>
      </c>
      <c r="G4049" s="32"/>
      <c r="H4049" s="32"/>
      <c r="I4049" s="32"/>
      <c r="J4049" s="32"/>
      <c r="K4049" s="35"/>
      <c r="L4049" s="32"/>
      <c r="M4049" s="32"/>
    </row>
    <row r="4050" customFormat="false" ht="15" hidden="false" customHeight="true" outlineLevel="0" collapsed="false">
      <c r="A4050" s="32"/>
      <c r="B4050" s="32"/>
      <c r="C4050" s="32"/>
      <c r="D4050" s="32"/>
      <c r="E4050" s="34" t="str">
        <f aca="false">IF($B4050="","",IF($B4050="OUT","Liters",IFERROR(INDEX(Setup!$F$3:$F$24,MATCH($C4050,Setup!$A$3:$A$24,0)),"")))</f>
        <v/>
      </c>
      <c r="F4050" s="28" t="str">
        <f aca="false">IF(OR($D4050="",$E4050=""),"",IFERROR($D4050*INDEX(Setup!$B$27:$B$44,MATCH($E4050,Setup!$A$27:$A$44,0)),"TBD"))</f>
        <v/>
      </c>
      <c r="G4050" s="32"/>
      <c r="H4050" s="32"/>
      <c r="I4050" s="32"/>
      <c r="J4050" s="32"/>
      <c r="K4050" s="35"/>
      <c r="L4050" s="32"/>
      <c r="M4050" s="32"/>
    </row>
    <row r="4051" customFormat="false" ht="15" hidden="false" customHeight="true" outlineLevel="0" collapsed="false">
      <c r="A4051" s="32"/>
      <c r="B4051" s="32"/>
      <c r="C4051" s="32"/>
      <c r="D4051" s="32"/>
      <c r="E4051" s="34" t="str">
        <f aca="false">IF($B4051="","",IF($B4051="OUT","Liters",IFERROR(INDEX(Setup!$F$3:$F$24,MATCH($C4051,Setup!$A$3:$A$24,0)),"")))</f>
        <v/>
      </c>
      <c r="F4051" s="28" t="str">
        <f aca="false">IF(OR($D4051="",$E4051=""),"",IFERROR($D4051*INDEX(Setup!$B$27:$B$44,MATCH($E4051,Setup!$A$27:$A$44,0)),"TBD"))</f>
        <v/>
      </c>
      <c r="G4051" s="32"/>
      <c r="H4051" s="32"/>
      <c r="I4051" s="32"/>
      <c r="J4051" s="32"/>
      <c r="K4051" s="35"/>
      <c r="L4051" s="32"/>
      <c r="M4051" s="32"/>
    </row>
    <row r="4052" customFormat="false" ht="15" hidden="false" customHeight="true" outlineLevel="0" collapsed="false">
      <c r="A4052" s="32"/>
      <c r="B4052" s="32"/>
      <c r="C4052" s="32"/>
      <c r="D4052" s="32"/>
      <c r="E4052" s="34" t="str">
        <f aca="false">IF($B4052="","",IF($B4052="OUT","Liters",IFERROR(INDEX(Setup!$F$3:$F$24,MATCH($C4052,Setup!$A$3:$A$24,0)),"")))</f>
        <v/>
      </c>
      <c r="F4052" s="28" t="str">
        <f aca="false">IF(OR($D4052="",$E4052=""),"",IFERROR($D4052*INDEX(Setup!$B$27:$B$44,MATCH($E4052,Setup!$A$27:$A$44,0)),"TBD"))</f>
        <v/>
      </c>
      <c r="G4052" s="32"/>
      <c r="H4052" s="32"/>
      <c r="I4052" s="32"/>
      <c r="J4052" s="32"/>
      <c r="K4052" s="35"/>
      <c r="L4052" s="32"/>
      <c r="M4052" s="32"/>
    </row>
    <row r="4053" customFormat="false" ht="15" hidden="false" customHeight="true" outlineLevel="0" collapsed="false">
      <c r="A4053" s="32"/>
      <c r="B4053" s="32"/>
      <c r="C4053" s="32"/>
      <c r="D4053" s="32"/>
      <c r="E4053" s="34" t="str">
        <f aca="false">IF($B4053="","",IF($B4053="OUT","Liters",IFERROR(INDEX(Setup!$F$3:$F$24,MATCH($C4053,Setup!$A$3:$A$24,0)),"")))</f>
        <v/>
      </c>
      <c r="F4053" s="28" t="str">
        <f aca="false">IF(OR($D4053="",$E4053=""),"",IFERROR($D4053*INDEX(Setup!$B$27:$B$44,MATCH($E4053,Setup!$A$27:$A$44,0)),"TBD"))</f>
        <v/>
      </c>
      <c r="G4053" s="32"/>
      <c r="H4053" s="32"/>
      <c r="I4053" s="32"/>
      <c r="J4053" s="32"/>
      <c r="K4053" s="35"/>
      <c r="L4053" s="32"/>
      <c r="M4053" s="32"/>
    </row>
    <row r="4054" customFormat="false" ht="15" hidden="false" customHeight="true" outlineLevel="0" collapsed="false">
      <c r="A4054" s="32"/>
      <c r="B4054" s="32"/>
      <c r="C4054" s="32"/>
      <c r="D4054" s="32"/>
      <c r="E4054" s="34" t="str">
        <f aca="false">IF($B4054="","",IF($B4054="OUT","Liters",IFERROR(INDEX(Setup!$F$3:$F$24,MATCH($C4054,Setup!$A$3:$A$24,0)),"")))</f>
        <v/>
      </c>
      <c r="F4054" s="28" t="str">
        <f aca="false">IF(OR($D4054="",$E4054=""),"",IFERROR($D4054*INDEX(Setup!$B$27:$B$44,MATCH($E4054,Setup!$A$27:$A$44,0)),"TBD"))</f>
        <v/>
      </c>
      <c r="G4054" s="32"/>
      <c r="H4054" s="32"/>
      <c r="I4054" s="32"/>
      <c r="J4054" s="32"/>
      <c r="K4054" s="35"/>
      <c r="L4054" s="32"/>
      <c r="M4054" s="32"/>
    </row>
    <row r="4055" customFormat="false" ht="15" hidden="false" customHeight="true" outlineLevel="0" collapsed="false">
      <c r="A4055" s="32"/>
      <c r="B4055" s="32"/>
      <c r="C4055" s="32"/>
      <c r="D4055" s="32"/>
      <c r="E4055" s="34" t="str">
        <f aca="false">IF($B4055="","",IF($B4055="OUT","Liters",IFERROR(INDEX(Setup!$F$3:$F$24,MATCH($C4055,Setup!$A$3:$A$24,0)),"")))</f>
        <v/>
      </c>
      <c r="F4055" s="28" t="str">
        <f aca="false">IF(OR($D4055="",$E4055=""),"",IFERROR($D4055*INDEX(Setup!$B$27:$B$44,MATCH($E4055,Setup!$A$27:$A$44,0)),"TBD"))</f>
        <v/>
      </c>
      <c r="G4055" s="32"/>
      <c r="H4055" s="32"/>
      <c r="I4055" s="32"/>
      <c r="J4055" s="32"/>
      <c r="K4055" s="35"/>
      <c r="L4055" s="32"/>
      <c r="M4055" s="32"/>
    </row>
    <row r="4056" customFormat="false" ht="15" hidden="false" customHeight="true" outlineLevel="0" collapsed="false">
      <c r="A4056" s="32"/>
      <c r="B4056" s="32"/>
      <c r="C4056" s="32"/>
      <c r="D4056" s="32"/>
      <c r="E4056" s="34" t="str">
        <f aca="false">IF($B4056="","",IF($B4056="OUT","Liters",IFERROR(INDEX(Setup!$F$3:$F$24,MATCH($C4056,Setup!$A$3:$A$24,0)),"")))</f>
        <v/>
      </c>
      <c r="F4056" s="28" t="str">
        <f aca="false">IF(OR($D4056="",$E4056=""),"",IFERROR($D4056*INDEX(Setup!$B$27:$B$44,MATCH($E4056,Setup!$A$27:$A$44,0)),"TBD"))</f>
        <v/>
      </c>
      <c r="G4056" s="32"/>
      <c r="H4056" s="32"/>
      <c r="I4056" s="32"/>
      <c r="J4056" s="32"/>
      <c r="K4056" s="35"/>
      <c r="L4056" s="32"/>
      <c r="M4056" s="32"/>
    </row>
    <row r="4057" customFormat="false" ht="15" hidden="false" customHeight="true" outlineLevel="0" collapsed="false">
      <c r="A4057" s="32"/>
      <c r="B4057" s="32"/>
      <c r="C4057" s="32"/>
      <c r="D4057" s="32"/>
      <c r="E4057" s="34" t="str">
        <f aca="false">IF($B4057="","",IF($B4057="OUT","Liters",IFERROR(INDEX(Setup!$F$3:$F$24,MATCH($C4057,Setup!$A$3:$A$24,0)),"")))</f>
        <v/>
      </c>
      <c r="F4057" s="28" t="str">
        <f aca="false">IF(OR($D4057="",$E4057=""),"",IFERROR($D4057*INDEX(Setup!$B$27:$B$44,MATCH($E4057,Setup!$A$27:$A$44,0)),"TBD"))</f>
        <v/>
      </c>
      <c r="G4057" s="32"/>
      <c r="H4057" s="32"/>
      <c r="I4057" s="32"/>
      <c r="J4057" s="32"/>
      <c r="K4057" s="35"/>
      <c r="L4057" s="32"/>
      <c r="M4057" s="32"/>
    </row>
    <row r="4058" customFormat="false" ht="15" hidden="false" customHeight="true" outlineLevel="0" collapsed="false">
      <c r="A4058" s="32"/>
      <c r="B4058" s="32"/>
      <c r="C4058" s="32"/>
      <c r="D4058" s="32"/>
      <c r="E4058" s="34" t="str">
        <f aca="false">IF($B4058="","",IF($B4058="OUT","Liters",IFERROR(INDEX(Setup!$F$3:$F$24,MATCH($C4058,Setup!$A$3:$A$24,0)),"")))</f>
        <v/>
      </c>
      <c r="F4058" s="28" t="str">
        <f aca="false">IF(OR($D4058="",$E4058=""),"",IFERROR($D4058*INDEX(Setup!$B$27:$B$44,MATCH($E4058,Setup!$A$27:$A$44,0)),"TBD"))</f>
        <v/>
      </c>
      <c r="G4058" s="32"/>
      <c r="H4058" s="32"/>
      <c r="I4058" s="32"/>
      <c r="J4058" s="32"/>
      <c r="K4058" s="35"/>
      <c r="L4058" s="32"/>
      <c r="M4058" s="32"/>
    </row>
    <row r="4059" customFormat="false" ht="15" hidden="false" customHeight="true" outlineLevel="0" collapsed="false">
      <c r="A4059" s="32"/>
      <c r="B4059" s="32"/>
      <c r="C4059" s="32"/>
      <c r="D4059" s="32"/>
      <c r="E4059" s="34" t="str">
        <f aca="false">IF($B4059="","",IF($B4059="OUT","Liters",IFERROR(INDEX(Setup!$F$3:$F$24,MATCH($C4059,Setup!$A$3:$A$24,0)),"")))</f>
        <v/>
      </c>
      <c r="F4059" s="28" t="str">
        <f aca="false">IF(OR($D4059="",$E4059=""),"",IFERROR($D4059*INDEX(Setup!$B$27:$B$44,MATCH($E4059,Setup!$A$27:$A$44,0)),"TBD"))</f>
        <v/>
      </c>
      <c r="G4059" s="32"/>
      <c r="H4059" s="32"/>
      <c r="I4059" s="32"/>
      <c r="J4059" s="32"/>
      <c r="K4059" s="35"/>
      <c r="L4059" s="32"/>
      <c r="M4059" s="32"/>
    </row>
    <row r="4060" customFormat="false" ht="15" hidden="false" customHeight="true" outlineLevel="0" collapsed="false">
      <c r="A4060" s="32"/>
      <c r="B4060" s="32"/>
      <c r="C4060" s="32"/>
      <c r="D4060" s="32"/>
      <c r="E4060" s="34" t="str">
        <f aca="false">IF($B4060="","",IF($B4060="OUT","Liters",IFERROR(INDEX(Setup!$F$3:$F$24,MATCH($C4060,Setup!$A$3:$A$24,0)),"")))</f>
        <v/>
      </c>
      <c r="F4060" s="28" t="str">
        <f aca="false">IF(OR($D4060="",$E4060=""),"",IFERROR($D4060*INDEX(Setup!$B$27:$B$44,MATCH($E4060,Setup!$A$27:$A$44,0)),"TBD"))</f>
        <v/>
      </c>
      <c r="G4060" s="32"/>
      <c r="H4060" s="32"/>
      <c r="I4060" s="32"/>
      <c r="J4060" s="32"/>
      <c r="K4060" s="35"/>
      <c r="L4060" s="32"/>
      <c r="M4060" s="32"/>
    </row>
    <row r="4061" customFormat="false" ht="15" hidden="false" customHeight="true" outlineLevel="0" collapsed="false">
      <c r="A4061" s="32"/>
      <c r="B4061" s="32"/>
      <c r="C4061" s="32"/>
      <c r="D4061" s="32"/>
      <c r="E4061" s="34" t="str">
        <f aca="false">IF($B4061="","",IF($B4061="OUT","Liters",IFERROR(INDEX(Setup!$F$3:$F$24,MATCH($C4061,Setup!$A$3:$A$24,0)),"")))</f>
        <v/>
      </c>
      <c r="F4061" s="28" t="str">
        <f aca="false">IF(OR($D4061="",$E4061=""),"",IFERROR($D4061*INDEX(Setup!$B$27:$B$44,MATCH($E4061,Setup!$A$27:$A$44,0)),"TBD"))</f>
        <v/>
      </c>
      <c r="G4061" s="32"/>
      <c r="H4061" s="32"/>
      <c r="I4061" s="32"/>
      <c r="J4061" s="32"/>
      <c r="K4061" s="35"/>
      <c r="L4061" s="32"/>
      <c r="M4061" s="32"/>
    </row>
    <row r="4062" customFormat="false" ht="15" hidden="false" customHeight="true" outlineLevel="0" collapsed="false">
      <c r="A4062" s="32"/>
      <c r="B4062" s="32"/>
      <c r="C4062" s="32"/>
      <c r="D4062" s="32"/>
      <c r="E4062" s="34" t="str">
        <f aca="false">IF($B4062="","",IF($B4062="OUT","Liters",IFERROR(INDEX(Setup!$F$3:$F$24,MATCH($C4062,Setup!$A$3:$A$24,0)),"")))</f>
        <v/>
      </c>
      <c r="F4062" s="28" t="str">
        <f aca="false">IF(OR($D4062="",$E4062=""),"",IFERROR($D4062*INDEX(Setup!$B$27:$B$44,MATCH($E4062,Setup!$A$27:$A$44,0)),"TBD"))</f>
        <v/>
      </c>
      <c r="G4062" s="32"/>
      <c r="H4062" s="32"/>
      <c r="I4062" s="32"/>
      <c r="J4062" s="32"/>
      <c r="K4062" s="35"/>
      <c r="L4062" s="32"/>
      <c r="M4062" s="32"/>
    </row>
    <row r="4063" customFormat="false" ht="15" hidden="false" customHeight="true" outlineLevel="0" collapsed="false">
      <c r="A4063" s="32"/>
      <c r="B4063" s="32"/>
      <c r="C4063" s="32"/>
      <c r="D4063" s="32"/>
      <c r="E4063" s="34" t="str">
        <f aca="false">IF($B4063="","",IF($B4063="OUT","Liters",IFERROR(INDEX(Setup!$F$3:$F$24,MATCH($C4063,Setup!$A$3:$A$24,0)),"")))</f>
        <v/>
      </c>
      <c r="F4063" s="28" t="str">
        <f aca="false">IF(OR($D4063="",$E4063=""),"",IFERROR($D4063*INDEX(Setup!$B$27:$B$44,MATCH($E4063,Setup!$A$27:$A$44,0)),"TBD"))</f>
        <v/>
      </c>
      <c r="G4063" s="32"/>
      <c r="H4063" s="32"/>
      <c r="I4063" s="32"/>
      <c r="J4063" s="32"/>
      <c r="K4063" s="35"/>
      <c r="L4063" s="32"/>
      <c r="M4063" s="32"/>
    </row>
    <row r="4064" customFormat="false" ht="15" hidden="false" customHeight="true" outlineLevel="0" collapsed="false">
      <c r="A4064" s="32"/>
      <c r="B4064" s="32"/>
      <c r="C4064" s="32"/>
      <c r="D4064" s="32"/>
      <c r="E4064" s="34" t="str">
        <f aca="false">IF($B4064="","",IF($B4064="OUT","Liters",IFERROR(INDEX(Setup!$F$3:$F$24,MATCH($C4064,Setup!$A$3:$A$24,0)),"")))</f>
        <v/>
      </c>
      <c r="F4064" s="28" t="str">
        <f aca="false">IF(OR($D4064="",$E4064=""),"",IFERROR($D4064*INDEX(Setup!$B$27:$B$44,MATCH($E4064,Setup!$A$27:$A$44,0)),"TBD"))</f>
        <v/>
      </c>
      <c r="G4064" s="32"/>
      <c r="H4064" s="32"/>
      <c r="I4064" s="32"/>
      <c r="J4064" s="32"/>
      <c r="K4064" s="35"/>
      <c r="L4064" s="32"/>
      <c r="M4064" s="32"/>
    </row>
    <row r="4065" customFormat="false" ht="15" hidden="false" customHeight="true" outlineLevel="0" collapsed="false">
      <c r="A4065" s="32"/>
      <c r="B4065" s="32"/>
      <c r="C4065" s="32"/>
      <c r="D4065" s="32"/>
      <c r="E4065" s="34" t="str">
        <f aca="false">IF($B4065="","",IF($B4065="OUT","Liters",IFERROR(INDEX(Setup!$F$3:$F$24,MATCH($C4065,Setup!$A$3:$A$24,0)),"")))</f>
        <v/>
      </c>
      <c r="F4065" s="28" t="str">
        <f aca="false">IF(OR($D4065="",$E4065=""),"",IFERROR($D4065*INDEX(Setup!$B$27:$B$44,MATCH($E4065,Setup!$A$27:$A$44,0)),"TBD"))</f>
        <v/>
      </c>
      <c r="G4065" s="32"/>
      <c r="H4065" s="32"/>
      <c r="I4065" s="32"/>
      <c r="J4065" s="32"/>
      <c r="K4065" s="35"/>
      <c r="L4065" s="32"/>
      <c r="M4065" s="32"/>
    </row>
    <row r="4066" customFormat="false" ht="15" hidden="false" customHeight="true" outlineLevel="0" collapsed="false">
      <c r="A4066" s="32"/>
      <c r="B4066" s="32"/>
      <c r="C4066" s="32"/>
      <c r="D4066" s="32"/>
      <c r="E4066" s="34" t="str">
        <f aca="false">IF($B4066="","",IF($B4066="OUT","Liters",IFERROR(INDEX(Setup!$F$3:$F$24,MATCH($C4066,Setup!$A$3:$A$24,0)),"")))</f>
        <v/>
      </c>
      <c r="F4066" s="28" t="str">
        <f aca="false">IF(OR($D4066="",$E4066=""),"",IFERROR($D4066*INDEX(Setup!$B$27:$B$44,MATCH($E4066,Setup!$A$27:$A$44,0)),"TBD"))</f>
        <v/>
      </c>
      <c r="G4066" s="32"/>
      <c r="H4066" s="32"/>
      <c r="I4066" s="32"/>
      <c r="J4066" s="32"/>
      <c r="K4066" s="35"/>
      <c r="L4066" s="32"/>
      <c r="M4066" s="32"/>
    </row>
    <row r="4067" customFormat="false" ht="15" hidden="false" customHeight="true" outlineLevel="0" collapsed="false">
      <c r="A4067" s="32"/>
      <c r="B4067" s="32"/>
      <c r="C4067" s="32"/>
      <c r="D4067" s="32"/>
      <c r="E4067" s="34" t="str">
        <f aca="false">IF($B4067="","",IF($B4067="OUT","Liters",IFERROR(INDEX(Setup!$F$3:$F$24,MATCH($C4067,Setup!$A$3:$A$24,0)),"")))</f>
        <v/>
      </c>
      <c r="F4067" s="28" t="str">
        <f aca="false">IF(OR($D4067="",$E4067=""),"",IFERROR($D4067*INDEX(Setup!$B$27:$B$44,MATCH($E4067,Setup!$A$27:$A$44,0)),"TBD"))</f>
        <v/>
      </c>
      <c r="G4067" s="32"/>
      <c r="H4067" s="32"/>
      <c r="I4067" s="32"/>
      <c r="J4067" s="32"/>
      <c r="K4067" s="35"/>
      <c r="L4067" s="32"/>
      <c r="M4067" s="32"/>
    </row>
    <row r="4068" customFormat="false" ht="15" hidden="false" customHeight="true" outlineLevel="0" collapsed="false">
      <c r="A4068" s="32"/>
      <c r="B4068" s="32"/>
      <c r="C4068" s="32"/>
      <c r="D4068" s="32"/>
      <c r="E4068" s="34" t="str">
        <f aca="false">IF($B4068="","",IF($B4068="OUT","Liters",IFERROR(INDEX(Setup!$F$3:$F$24,MATCH($C4068,Setup!$A$3:$A$24,0)),"")))</f>
        <v/>
      </c>
      <c r="F4068" s="28" t="str">
        <f aca="false">IF(OR($D4068="",$E4068=""),"",IFERROR($D4068*INDEX(Setup!$B$27:$B$44,MATCH($E4068,Setup!$A$27:$A$44,0)),"TBD"))</f>
        <v/>
      </c>
      <c r="G4068" s="32"/>
      <c r="H4068" s="32"/>
      <c r="I4068" s="32"/>
      <c r="J4068" s="32"/>
      <c r="K4068" s="35"/>
      <c r="L4068" s="32"/>
      <c r="M4068" s="32"/>
    </row>
    <row r="4069" customFormat="false" ht="15" hidden="false" customHeight="true" outlineLevel="0" collapsed="false">
      <c r="A4069" s="32"/>
      <c r="B4069" s="32"/>
      <c r="C4069" s="32"/>
      <c r="D4069" s="32"/>
      <c r="E4069" s="34" t="str">
        <f aca="false">IF($B4069="","",IF($B4069="OUT","Liters",IFERROR(INDEX(Setup!$F$3:$F$24,MATCH($C4069,Setup!$A$3:$A$24,0)),"")))</f>
        <v/>
      </c>
      <c r="F4069" s="28" t="str">
        <f aca="false">IF(OR($D4069="",$E4069=""),"",IFERROR($D4069*INDEX(Setup!$B$27:$B$44,MATCH($E4069,Setup!$A$27:$A$44,0)),"TBD"))</f>
        <v/>
      </c>
      <c r="G4069" s="32"/>
      <c r="H4069" s="32"/>
      <c r="I4069" s="32"/>
      <c r="J4069" s="32"/>
      <c r="K4069" s="35"/>
      <c r="L4069" s="32"/>
      <c r="M4069" s="32"/>
    </row>
    <row r="4070" customFormat="false" ht="15" hidden="false" customHeight="true" outlineLevel="0" collapsed="false">
      <c r="A4070" s="32"/>
      <c r="B4070" s="32"/>
      <c r="C4070" s="32"/>
      <c r="D4070" s="32"/>
      <c r="E4070" s="34" t="str">
        <f aca="false">IF($B4070="","",IF($B4070="OUT","Liters",IFERROR(INDEX(Setup!$F$3:$F$24,MATCH($C4070,Setup!$A$3:$A$24,0)),"")))</f>
        <v/>
      </c>
      <c r="F4070" s="28" t="str">
        <f aca="false">IF(OR($D4070="",$E4070=""),"",IFERROR($D4070*INDEX(Setup!$B$27:$B$44,MATCH($E4070,Setup!$A$27:$A$44,0)),"TBD"))</f>
        <v/>
      </c>
      <c r="G4070" s="32"/>
      <c r="H4070" s="32"/>
      <c r="I4070" s="32"/>
      <c r="J4070" s="32"/>
      <c r="K4070" s="35"/>
      <c r="L4070" s="32"/>
      <c r="M4070" s="32"/>
    </row>
    <row r="4071" customFormat="false" ht="15" hidden="false" customHeight="true" outlineLevel="0" collapsed="false">
      <c r="A4071" s="32"/>
      <c r="B4071" s="32"/>
      <c r="C4071" s="32"/>
      <c r="D4071" s="32"/>
      <c r="E4071" s="34" t="str">
        <f aca="false">IF($B4071="","",IF($B4071="OUT","Liters",IFERROR(INDEX(Setup!$F$3:$F$24,MATCH($C4071,Setup!$A$3:$A$24,0)),"")))</f>
        <v/>
      </c>
      <c r="F4071" s="28" t="str">
        <f aca="false">IF(OR($D4071="",$E4071=""),"",IFERROR($D4071*INDEX(Setup!$B$27:$B$44,MATCH($E4071,Setup!$A$27:$A$44,0)),"TBD"))</f>
        <v/>
      </c>
      <c r="G4071" s="32"/>
      <c r="H4071" s="32"/>
      <c r="I4071" s="32"/>
      <c r="J4071" s="32"/>
      <c r="K4071" s="35"/>
      <c r="L4071" s="32"/>
      <c r="M4071" s="32"/>
    </row>
    <row r="4072" customFormat="false" ht="15" hidden="false" customHeight="true" outlineLevel="0" collapsed="false">
      <c r="A4072" s="32"/>
      <c r="B4072" s="32"/>
      <c r="C4072" s="32"/>
      <c r="D4072" s="32"/>
      <c r="E4072" s="34" t="str">
        <f aca="false">IF($B4072="","",IF($B4072="OUT","Liters",IFERROR(INDEX(Setup!$F$3:$F$24,MATCH($C4072,Setup!$A$3:$A$24,0)),"")))</f>
        <v/>
      </c>
      <c r="F4072" s="28" t="str">
        <f aca="false">IF(OR($D4072="",$E4072=""),"",IFERROR($D4072*INDEX(Setup!$B$27:$B$44,MATCH($E4072,Setup!$A$27:$A$44,0)),"TBD"))</f>
        <v/>
      </c>
      <c r="G4072" s="32"/>
      <c r="H4072" s="32"/>
      <c r="I4072" s="32"/>
      <c r="J4072" s="32"/>
      <c r="K4072" s="35"/>
      <c r="L4072" s="32"/>
      <c r="M4072" s="32"/>
    </row>
    <row r="4073" customFormat="false" ht="15" hidden="false" customHeight="true" outlineLevel="0" collapsed="false">
      <c r="A4073" s="32"/>
      <c r="B4073" s="32"/>
      <c r="C4073" s="32"/>
      <c r="D4073" s="32"/>
      <c r="E4073" s="34" t="str">
        <f aca="false">IF($B4073="","",IF($B4073="OUT","Liters",IFERROR(INDEX(Setup!$F$3:$F$24,MATCH($C4073,Setup!$A$3:$A$24,0)),"")))</f>
        <v/>
      </c>
      <c r="F4073" s="28" t="str">
        <f aca="false">IF(OR($D4073="",$E4073=""),"",IFERROR($D4073*INDEX(Setup!$B$27:$B$44,MATCH($E4073,Setup!$A$27:$A$44,0)),"TBD"))</f>
        <v/>
      </c>
      <c r="G4073" s="32"/>
      <c r="H4073" s="32"/>
      <c r="I4073" s="32"/>
      <c r="J4073" s="32"/>
      <c r="K4073" s="35"/>
      <c r="L4073" s="32"/>
      <c r="M4073" s="32"/>
    </row>
    <row r="4074" customFormat="false" ht="15" hidden="false" customHeight="true" outlineLevel="0" collapsed="false">
      <c r="A4074" s="32"/>
      <c r="B4074" s="32"/>
      <c r="C4074" s="32"/>
      <c r="D4074" s="32"/>
      <c r="E4074" s="34" t="str">
        <f aca="false">IF($B4074="","",IF($B4074="OUT","Liters",IFERROR(INDEX(Setup!$F$3:$F$24,MATCH($C4074,Setup!$A$3:$A$24,0)),"")))</f>
        <v/>
      </c>
      <c r="F4074" s="28" t="str">
        <f aca="false">IF(OR($D4074="",$E4074=""),"",IFERROR($D4074*INDEX(Setup!$B$27:$B$44,MATCH($E4074,Setup!$A$27:$A$44,0)),"TBD"))</f>
        <v/>
      </c>
      <c r="G4074" s="32"/>
      <c r="H4074" s="32"/>
      <c r="I4074" s="32"/>
      <c r="J4074" s="32"/>
      <c r="K4074" s="35"/>
      <c r="L4074" s="32"/>
      <c r="M4074" s="32"/>
    </row>
    <row r="4075" customFormat="false" ht="15" hidden="false" customHeight="true" outlineLevel="0" collapsed="false">
      <c r="A4075" s="32"/>
      <c r="B4075" s="32"/>
      <c r="C4075" s="32"/>
      <c r="D4075" s="32"/>
      <c r="E4075" s="34" t="str">
        <f aca="false">IF($B4075="","",IF($B4075="OUT","Liters",IFERROR(INDEX(Setup!$F$3:$F$24,MATCH($C4075,Setup!$A$3:$A$24,0)),"")))</f>
        <v/>
      </c>
      <c r="F4075" s="28" t="str">
        <f aca="false">IF(OR($D4075="",$E4075=""),"",IFERROR($D4075*INDEX(Setup!$B$27:$B$44,MATCH($E4075,Setup!$A$27:$A$44,0)),"TBD"))</f>
        <v/>
      </c>
      <c r="G4075" s="32"/>
      <c r="H4075" s="32"/>
      <c r="I4075" s="32"/>
      <c r="J4075" s="32"/>
      <c r="K4075" s="35"/>
      <c r="L4075" s="32"/>
      <c r="M4075" s="32"/>
    </row>
    <row r="4076" customFormat="false" ht="15" hidden="false" customHeight="true" outlineLevel="0" collapsed="false">
      <c r="A4076" s="32"/>
      <c r="B4076" s="32"/>
      <c r="C4076" s="32"/>
      <c r="D4076" s="32"/>
      <c r="E4076" s="34" t="str">
        <f aca="false">IF($B4076="","",IF($B4076="OUT","Liters",IFERROR(INDEX(Setup!$F$3:$F$24,MATCH($C4076,Setup!$A$3:$A$24,0)),"")))</f>
        <v/>
      </c>
      <c r="F4076" s="28" t="str">
        <f aca="false">IF(OR($D4076="",$E4076=""),"",IFERROR($D4076*INDEX(Setup!$B$27:$B$44,MATCH($E4076,Setup!$A$27:$A$44,0)),"TBD"))</f>
        <v/>
      </c>
      <c r="G4076" s="32"/>
      <c r="H4076" s="32"/>
      <c r="I4076" s="32"/>
      <c r="J4076" s="32"/>
      <c r="K4076" s="35"/>
      <c r="L4076" s="32"/>
      <c r="M4076" s="32"/>
    </row>
    <row r="4077" customFormat="false" ht="15" hidden="false" customHeight="true" outlineLevel="0" collapsed="false">
      <c r="A4077" s="32"/>
      <c r="B4077" s="32"/>
      <c r="C4077" s="32"/>
      <c r="D4077" s="32"/>
      <c r="E4077" s="34" t="str">
        <f aca="false">IF($B4077="","",IF($B4077="OUT","Liters",IFERROR(INDEX(Setup!$F$3:$F$24,MATCH($C4077,Setup!$A$3:$A$24,0)),"")))</f>
        <v/>
      </c>
      <c r="F4077" s="28" t="str">
        <f aca="false">IF(OR($D4077="",$E4077=""),"",IFERROR($D4077*INDEX(Setup!$B$27:$B$44,MATCH($E4077,Setup!$A$27:$A$44,0)),"TBD"))</f>
        <v/>
      </c>
      <c r="G4077" s="32"/>
      <c r="H4077" s="32"/>
      <c r="I4077" s="32"/>
      <c r="J4077" s="32"/>
      <c r="K4077" s="35"/>
      <c r="L4077" s="32"/>
      <c r="M4077" s="32"/>
    </row>
    <row r="4078" customFormat="false" ht="15" hidden="false" customHeight="true" outlineLevel="0" collapsed="false">
      <c r="A4078" s="32"/>
      <c r="B4078" s="32"/>
      <c r="C4078" s="32"/>
      <c r="D4078" s="32"/>
      <c r="E4078" s="34" t="str">
        <f aca="false">IF($B4078="","",IF($B4078="OUT","Liters",IFERROR(INDEX(Setup!$F$3:$F$24,MATCH($C4078,Setup!$A$3:$A$24,0)),"")))</f>
        <v/>
      </c>
      <c r="F4078" s="28" t="str">
        <f aca="false">IF(OR($D4078="",$E4078=""),"",IFERROR($D4078*INDEX(Setup!$B$27:$B$44,MATCH($E4078,Setup!$A$27:$A$44,0)),"TBD"))</f>
        <v/>
      </c>
      <c r="G4078" s="32"/>
      <c r="H4078" s="32"/>
      <c r="I4078" s="32"/>
      <c r="J4078" s="32"/>
      <c r="K4078" s="35"/>
      <c r="L4078" s="32"/>
      <c r="M4078" s="32"/>
    </row>
    <row r="4079" customFormat="false" ht="15" hidden="false" customHeight="true" outlineLevel="0" collapsed="false">
      <c r="A4079" s="32"/>
      <c r="B4079" s="32"/>
      <c r="C4079" s="32"/>
      <c r="D4079" s="32"/>
      <c r="E4079" s="34" t="str">
        <f aca="false">IF($B4079="","",IF($B4079="OUT","Liters",IFERROR(INDEX(Setup!$F$3:$F$24,MATCH($C4079,Setup!$A$3:$A$24,0)),"")))</f>
        <v/>
      </c>
      <c r="F4079" s="28" t="str">
        <f aca="false">IF(OR($D4079="",$E4079=""),"",IFERROR($D4079*INDEX(Setup!$B$27:$B$44,MATCH($E4079,Setup!$A$27:$A$44,0)),"TBD"))</f>
        <v/>
      </c>
      <c r="G4079" s="32"/>
      <c r="H4079" s="32"/>
      <c r="I4079" s="32"/>
      <c r="J4079" s="32"/>
      <c r="K4079" s="35"/>
      <c r="L4079" s="32"/>
      <c r="M4079" s="32"/>
    </row>
    <row r="4080" customFormat="false" ht="15" hidden="false" customHeight="true" outlineLevel="0" collapsed="false">
      <c r="A4080" s="32"/>
      <c r="B4080" s="32"/>
      <c r="C4080" s="32"/>
      <c r="D4080" s="32"/>
      <c r="E4080" s="34" t="str">
        <f aca="false">IF($B4080="","",IF($B4080="OUT","Liters",IFERROR(INDEX(Setup!$F$3:$F$24,MATCH($C4080,Setup!$A$3:$A$24,0)),"")))</f>
        <v/>
      </c>
      <c r="F4080" s="28" t="str">
        <f aca="false">IF(OR($D4080="",$E4080=""),"",IFERROR($D4080*INDEX(Setup!$B$27:$B$44,MATCH($E4080,Setup!$A$27:$A$44,0)),"TBD"))</f>
        <v/>
      </c>
      <c r="G4080" s="32"/>
      <c r="H4080" s="32"/>
      <c r="I4080" s="32"/>
      <c r="J4080" s="32"/>
      <c r="K4080" s="35"/>
      <c r="L4080" s="32"/>
      <c r="M4080" s="32"/>
    </row>
    <row r="4081" customFormat="false" ht="15" hidden="false" customHeight="true" outlineLevel="0" collapsed="false">
      <c r="A4081" s="32"/>
      <c r="B4081" s="32"/>
      <c r="C4081" s="32"/>
      <c r="D4081" s="32"/>
      <c r="E4081" s="34" t="str">
        <f aca="false">IF($B4081="","",IF($B4081="OUT","Liters",IFERROR(INDEX(Setup!$F$3:$F$24,MATCH($C4081,Setup!$A$3:$A$24,0)),"")))</f>
        <v/>
      </c>
      <c r="F4081" s="28" t="str">
        <f aca="false">IF(OR($D4081="",$E4081=""),"",IFERROR($D4081*INDEX(Setup!$B$27:$B$44,MATCH($E4081,Setup!$A$27:$A$44,0)),"TBD"))</f>
        <v/>
      </c>
      <c r="G4081" s="32"/>
      <c r="H4081" s="32"/>
      <c r="I4081" s="32"/>
      <c r="J4081" s="32"/>
      <c r="K4081" s="35"/>
      <c r="L4081" s="32"/>
      <c r="M4081" s="32"/>
    </row>
    <row r="4082" customFormat="false" ht="15" hidden="false" customHeight="true" outlineLevel="0" collapsed="false">
      <c r="A4082" s="32"/>
      <c r="B4082" s="32"/>
      <c r="C4082" s="32"/>
      <c r="D4082" s="32"/>
      <c r="E4082" s="34" t="str">
        <f aca="false">IF($B4082="","",IF($B4082="OUT","Liters",IFERROR(INDEX(Setup!$F$3:$F$24,MATCH($C4082,Setup!$A$3:$A$24,0)),"")))</f>
        <v/>
      </c>
      <c r="F4082" s="28" t="str">
        <f aca="false">IF(OR($D4082="",$E4082=""),"",IFERROR($D4082*INDEX(Setup!$B$27:$B$44,MATCH($E4082,Setup!$A$27:$A$44,0)),"TBD"))</f>
        <v/>
      </c>
      <c r="G4082" s="32"/>
      <c r="H4082" s="32"/>
      <c r="I4082" s="32"/>
      <c r="J4082" s="32"/>
      <c r="K4082" s="35"/>
      <c r="L4082" s="32"/>
      <c r="M4082" s="32"/>
    </row>
    <row r="4083" customFormat="false" ht="15" hidden="false" customHeight="true" outlineLevel="0" collapsed="false">
      <c r="A4083" s="32"/>
      <c r="B4083" s="32"/>
      <c r="C4083" s="32"/>
      <c r="D4083" s="32"/>
      <c r="E4083" s="34" t="str">
        <f aca="false">IF($B4083="","",IF($B4083="OUT","Liters",IFERROR(INDEX(Setup!$F$3:$F$24,MATCH($C4083,Setup!$A$3:$A$24,0)),"")))</f>
        <v/>
      </c>
      <c r="F4083" s="28" t="str">
        <f aca="false">IF(OR($D4083="",$E4083=""),"",IFERROR($D4083*INDEX(Setup!$B$27:$B$44,MATCH($E4083,Setup!$A$27:$A$44,0)),"TBD"))</f>
        <v/>
      </c>
      <c r="G4083" s="32"/>
      <c r="H4083" s="32"/>
      <c r="I4083" s="32"/>
      <c r="J4083" s="32"/>
      <c r="K4083" s="35"/>
      <c r="L4083" s="32"/>
      <c r="M4083" s="32"/>
    </row>
    <row r="4084" customFormat="false" ht="15" hidden="false" customHeight="true" outlineLevel="0" collapsed="false">
      <c r="A4084" s="32"/>
      <c r="B4084" s="32"/>
      <c r="C4084" s="32"/>
      <c r="D4084" s="32"/>
      <c r="E4084" s="34" t="str">
        <f aca="false">IF($B4084="","",IF($B4084="OUT","Liters",IFERROR(INDEX(Setup!$F$3:$F$24,MATCH($C4084,Setup!$A$3:$A$24,0)),"")))</f>
        <v/>
      </c>
      <c r="F4084" s="28" t="str">
        <f aca="false">IF(OR($D4084="",$E4084=""),"",IFERROR($D4084*INDEX(Setup!$B$27:$B$44,MATCH($E4084,Setup!$A$27:$A$44,0)),"TBD"))</f>
        <v/>
      </c>
      <c r="G4084" s="32"/>
      <c r="H4084" s="32"/>
      <c r="I4084" s="32"/>
      <c r="J4084" s="32"/>
      <c r="K4084" s="35"/>
      <c r="L4084" s="32"/>
      <c r="M4084" s="32"/>
    </row>
    <row r="4085" customFormat="false" ht="15" hidden="false" customHeight="true" outlineLevel="0" collapsed="false">
      <c r="A4085" s="32"/>
      <c r="B4085" s="32"/>
      <c r="C4085" s="32"/>
      <c r="D4085" s="32"/>
      <c r="E4085" s="34" t="str">
        <f aca="false">IF($B4085="","",IF($B4085="OUT","Liters",IFERROR(INDEX(Setup!$F$3:$F$24,MATCH($C4085,Setup!$A$3:$A$24,0)),"")))</f>
        <v/>
      </c>
      <c r="F4085" s="28" t="str">
        <f aca="false">IF(OR($D4085="",$E4085=""),"",IFERROR($D4085*INDEX(Setup!$B$27:$B$44,MATCH($E4085,Setup!$A$27:$A$44,0)),"TBD"))</f>
        <v/>
      </c>
      <c r="G4085" s="32"/>
      <c r="H4085" s="32"/>
      <c r="I4085" s="32"/>
      <c r="J4085" s="32"/>
      <c r="K4085" s="35"/>
      <c r="L4085" s="32"/>
      <c r="M4085" s="32"/>
    </row>
    <row r="4086" customFormat="false" ht="15" hidden="false" customHeight="true" outlineLevel="0" collapsed="false">
      <c r="A4086" s="32"/>
      <c r="B4086" s="32"/>
      <c r="C4086" s="32"/>
      <c r="D4086" s="32"/>
      <c r="E4086" s="34" t="str">
        <f aca="false">IF($B4086="","",IF($B4086="OUT","Liters",IFERROR(INDEX(Setup!$F$3:$F$24,MATCH($C4086,Setup!$A$3:$A$24,0)),"")))</f>
        <v/>
      </c>
      <c r="F4086" s="28" t="str">
        <f aca="false">IF(OR($D4086="",$E4086=""),"",IFERROR($D4086*INDEX(Setup!$B$27:$B$44,MATCH($E4086,Setup!$A$27:$A$44,0)),"TBD"))</f>
        <v/>
      </c>
      <c r="G4086" s="32"/>
      <c r="H4086" s="32"/>
      <c r="I4086" s="32"/>
      <c r="J4086" s="32"/>
      <c r="K4086" s="35"/>
      <c r="L4086" s="32"/>
      <c r="M4086" s="32"/>
    </row>
    <row r="4087" customFormat="false" ht="15" hidden="false" customHeight="true" outlineLevel="0" collapsed="false">
      <c r="A4087" s="32"/>
      <c r="B4087" s="32"/>
      <c r="C4087" s="32"/>
      <c r="D4087" s="32"/>
      <c r="E4087" s="34" t="str">
        <f aca="false">IF($B4087="","",IF($B4087="OUT","Liters",IFERROR(INDEX(Setup!$F$3:$F$24,MATCH($C4087,Setup!$A$3:$A$24,0)),"")))</f>
        <v/>
      </c>
      <c r="F4087" s="28" t="str">
        <f aca="false">IF(OR($D4087="",$E4087=""),"",IFERROR($D4087*INDEX(Setup!$B$27:$B$44,MATCH($E4087,Setup!$A$27:$A$44,0)),"TBD"))</f>
        <v/>
      </c>
      <c r="G4087" s="32"/>
      <c r="H4087" s="32"/>
      <c r="I4087" s="32"/>
      <c r="J4087" s="32"/>
      <c r="K4087" s="35"/>
      <c r="L4087" s="32"/>
      <c r="M4087" s="32"/>
    </row>
    <row r="4088" customFormat="false" ht="15" hidden="false" customHeight="true" outlineLevel="0" collapsed="false">
      <c r="A4088" s="32"/>
      <c r="B4088" s="32"/>
      <c r="C4088" s="32"/>
      <c r="D4088" s="32"/>
      <c r="E4088" s="34" t="str">
        <f aca="false">IF($B4088="","",IF($B4088="OUT","Liters",IFERROR(INDEX(Setup!$F$3:$F$24,MATCH($C4088,Setup!$A$3:$A$24,0)),"")))</f>
        <v/>
      </c>
      <c r="F4088" s="28" t="str">
        <f aca="false">IF(OR($D4088="",$E4088=""),"",IFERROR($D4088*INDEX(Setup!$B$27:$B$44,MATCH($E4088,Setup!$A$27:$A$44,0)),"TBD"))</f>
        <v/>
      </c>
      <c r="G4088" s="32"/>
      <c r="H4088" s="32"/>
      <c r="I4088" s="32"/>
      <c r="J4088" s="32"/>
      <c r="K4088" s="35"/>
      <c r="L4088" s="32"/>
      <c r="M4088" s="32"/>
    </row>
    <row r="4089" customFormat="false" ht="15" hidden="false" customHeight="true" outlineLevel="0" collapsed="false">
      <c r="A4089" s="32"/>
      <c r="B4089" s="32"/>
      <c r="C4089" s="32"/>
      <c r="D4089" s="32"/>
      <c r="E4089" s="34" t="str">
        <f aca="false">IF($B4089="","",IF($B4089="OUT","Liters",IFERROR(INDEX(Setup!$F$3:$F$24,MATCH($C4089,Setup!$A$3:$A$24,0)),"")))</f>
        <v/>
      </c>
      <c r="F4089" s="28" t="str">
        <f aca="false">IF(OR($D4089="",$E4089=""),"",IFERROR($D4089*INDEX(Setup!$B$27:$B$44,MATCH($E4089,Setup!$A$27:$A$44,0)),"TBD"))</f>
        <v/>
      </c>
      <c r="G4089" s="32"/>
      <c r="H4089" s="32"/>
      <c r="I4089" s="32"/>
      <c r="J4089" s="32"/>
      <c r="K4089" s="35"/>
      <c r="L4089" s="32"/>
      <c r="M4089" s="32"/>
    </row>
    <row r="4090" customFormat="false" ht="15" hidden="false" customHeight="true" outlineLevel="0" collapsed="false">
      <c r="A4090" s="32"/>
      <c r="B4090" s="32"/>
      <c r="C4090" s="32"/>
      <c r="D4090" s="32"/>
      <c r="E4090" s="34" t="str">
        <f aca="false">IF($B4090="","",IF($B4090="OUT","Liters",IFERROR(INDEX(Setup!$F$3:$F$24,MATCH($C4090,Setup!$A$3:$A$24,0)),"")))</f>
        <v/>
      </c>
      <c r="F4090" s="28" t="str">
        <f aca="false">IF(OR($D4090="",$E4090=""),"",IFERROR($D4090*INDEX(Setup!$B$27:$B$44,MATCH($E4090,Setup!$A$27:$A$44,0)),"TBD"))</f>
        <v/>
      </c>
      <c r="G4090" s="32"/>
      <c r="H4090" s="32"/>
      <c r="I4090" s="32"/>
      <c r="J4090" s="32"/>
      <c r="K4090" s="35"/>
      <c r="L4090" s="32"/>
      <c r="M4090" s="32"/>
    </row>
    <row r="4091" customFormat="false" ht="15" hidden="false" customHeight="true" outlineLevel="0" collapsed="false">
      <c r="A4091" s="32"/>
      <c r="B4091" s="32"/>
      <c r="C4091" s="32"/>
      <c r="D4091" s="32"/>
      <c r="E4091" s="34" t="str">
        <f aca="false">IF($B4091="","",IF($B4091="OUT","Liters",IFERROR(INDEX(Setup!$F$3:$F$24,MATCH($C4091,Setup!$A$3:$A$24,0)),"")))</f>
        <v/>
      </c>
      <c r="F4091" s="28" t="str">
        <f aca="false">IF(OR($D4091="",$E4091=""),"",IFERROR($D4091*INDEX(Setup!$B$27:$B$44,MATCH($E4091,Setup!$A$27:$A$44,0)),"TBD"))</f>
        <v/>
      </c>
      <c r="G4091" s="32"/>
      <c r="H4091" s="32"/>
      <c r="I4091" s="32"/>
      <c r="J4091" s="32"/>
      <c r="K4091" s="35"/>
      <c r="L4091" s="32"/>
      <c r="M4091" s="32"/>
    </row>
    <row r="4092" customFormat="false" ht="15" hidden="false" customHeight="true" outlineLevel="0" collapsed="false">
      <c r="A4092" s="32"/>
      <c r="B4092" s="32"/>
      <c r="C4092" s="32"/>
      <c r="D4092" s="32"/>
      <c r="E4092" s="34" t="str">
        <f aca="false">IF($B4092="","",IF($B4092="OUT","Liters",IFERROR(INDEX(Setup!$F$3:$F$24,MATCH($C4092,Setup!$A$3:$A$24,0)),"")))</f>
        <v/>
      </c>
      <c r="F4092" s="28" t="str">
        <f aca="false">IF(OR($D4092="",$E4092=""),"",IFERROR($D4092*INDEX(Setup!$B$27:$B$44,MATCH($E4092,Setup!$A$27:$A$44,0)),"TBD"))</f>
        <v/>
      </c>
      <c r="G4092" s="32"/>
      <c r="H4092" s="32"/>
      <c r="I4092" s="32"/>
      <c r="J4092" s="32"/>
      <c r="K4092" s="35"/>
      <c r="L4092" s="32"/>
      <c r="M4092" s="32"/>
    </row>
    <row r="4093" customFormat="false" ht="15" hidden="false" customHeight="true" outlineLevel="0" collapsed="false">
      <c r="A4093" s="32"/>
      <c r="B4093" s="32"/>
      <c r="C4093" s="32"/>
      <c r="D4093" s="32"/>
      <c r="E4093" s="34" t="str">
        <f aca="false">IF($B4093="","",IF($B4093="OUT","Liters",IFERROR(INDEX(Setup!$F$3:$F$24,MATCH($C4093,Setup!$A$3:$A$24,0)),"")))</f>
        <v/>
      </c>
      <c r="F4093" s="28" t="str">
        <f aca="false">IF(OR($D4093="",$E4093=""),"",IFERROR($D4093*INDEX(Setup!$B$27:$B$44,MATCH($E4093,Setup!$A$27:$A$44,0)),"TBD"))</f>
        <v/>
      </c>
      <c r="G4093" s="32"/>
      <c r="H4093" s="32"/>
      <c r="I4093" s="32"/>
      <c r="J4093" s="32"/>
      <c r="K4093" s="35"/>
      <c r="L4093" s="32"/>
      <c r="M4093" s="32"/>
    </row>
    <row r="4094" customFormat="false" ht="15" hidden="false" customHeight="true" outlineLevel="0" collapsed="false">
      <c r="A4094" s="32"/>
      <c r="B4094" s="32"/>
      <c r="C4094" s="32"/>
      <c r="D4094" s="32"/>
      <c r="E4094" s="34" t="str">
        <f aca="false">IF($B4094="","",IF($B4094="OUT","Liters",IFERROR(INDEX(Setup!$F$3:$F$24,MATCH($C4094,Setup!$A$3:$A$24,0)),"")))</f>
        <v/>
      </c>
      <c r="F4094" s="28" t="str">
        <f aca="false">IF(OR($D4094="",$E4094=""),"",IFERROR($D4094*INDEX(Setup!$B$27:$B$44,MATCH($E4094,Setup!$A$27:$A$44,0)),"TBD"))</f>
        <v/>
      </c>
      <c r="G4094" s="32"/>
      <c r="H4094" s="32"/>
      <c r="I4094" s="32"/>
      <c r="J4094" s="32"/>
      <c r="K4094" s="35"/>
      <c r="L4094" s="32"/>
      <c r="M4094" s="32"/>
    </row>
    <row r="4095" customFormat="false" ht="15" hidden="false" customHeight="true" outlineLevel="0" collapsed="false">
      <c r="A4095" s="32"/>
      <c r="B4095" s="32"/>
      <c r="C4095" s="32"/>
      <c r="D4095" s="32"/>
      <c r="E4095" s="34" t="str">
        <f aca="false">IF($B4095="","",IF($B4095="OUT","Liters",IFERROR(INDEX(Setup!$F$3:$F$24,MATCH($C4095,Setup!$A$3:$A$24,0)),"")))</f>
        <v/>
      </c>
      <c r="F4095" s="28" t="str">
        <f aca="false">IF(OR($D4095="",$E4095=""),"",IFERROR($D4095*INDEX(Setup!$B$27:$B$44,MATCH($E4095,Setup!$A$27:$A$44,0)),"TBD"))</f>
        <v/>
      </c>
      <c r="G4095" s="32"/>
      <c r="H4095" s="32"/>
      <c r="I4095" s="32"/>
      <c r="J4095" s="32"/>
      <c r="K4095" s="35"/>
      <c r="L4095" s="32"/>
      <c r="M4095" s="32"/>
    </row>
    <row r="4096" customFormat="false" ht="15" hidden="false" customHeight="true" outlineLevel="0" collapsed="false">
      <c r="A4096" s="32"/>
      <c r="B4096" s="32"/>
      <c r="C4096" s="32"/>
      <c r="D4096" s="32"/>
      <c r="E4096" s="34" t="str">
        <f aca="false">IF($B4096="","",IF($B4096="OUT","Liters",IFERROR(INDEX(Setup!$F$3:$F$24,MATCH($C4096,Setup!$A$3:$A$24,0)),"")))</f>
        <v/>
      </c>
      <c r="F4096" s="28" t="str">
        <f aca="false">IF(OR($D4096="",$E4096=""),"",IFERROR($D4096*INDEX(Setup!$B$27:$B$44,MATCH($E4096,Setup!$A$27:$A$44,0)),"TBD"))</f>
        <v/>
      </c>
      <c r="G4096" s="32"/>
      <c r="H4096" s="32"/>
      <c r="I4096" s="32"/>
      <c r="J4096" s="32"/>
      <c r="K4096" s="35"/>
      <c r="L4096" s="32"/>
      <c r="M4096" s="32"/>
    </row>
    <row r="4097" customFormat="false" ht="15" hidden="false" customHeight="true" outlineLevel="0" collapsed="false">
      <c r="A4097" s="32"/>
      <c r="B4097" s="32"/>
      <c r="C4097" s="32"/>
      <c r="D4097" s="32"/>
      <c r="E4097" s="34" t="str">
        <f aca="false">IF($B4097="","",IF($B4097="OUT","Liters",IFERROR(INDEX(Setup!$F$3:$F$24,MATCH($C4097,Setup!$A$3:$A$24,0)),"")))</f>
        <v/>
      </c>
      <c r="F4097" s="28" t="str">
        <f aca="false">IF(OR($D4097="",$E4097=""),"",IFERROR($D4097*INDEX(Setup!$B$27:$B$44,MATCH($E4097,Setup!$A$27:$A$44,0)),"TBD"))</f>
        <v/>
      </c>
      <c r="G4097" s="32"/>
      <c r="H4097" s="32"/>
      <c r="I4097" s="32"/>
      <c r="J4097" s="32"/>
      <c r="K4097" s="35"/>
      <c r="L4097" s="32"/>
      <c r="M4097" s="32"/>
    </row>
    <row r="4098" customFormat="false" ht="15" hidden="false" customHeight="true" outlineLevel="0" collapsed="false">
      <c r="A4098" s="32"/>
      <c r="B4098" s="32"/>
      <c r="C4098" s="32"/>
      <c r="D4098" s="32"/>
      <c r="E4098" s="34" t="str">
        <f aca="false">IF($B4098="","",IF($B4098="OUT","Liters",IFERROR(INDEX(Setup!$F$3:$F$24,MATCH($C4098,Setup!$A$3:$A$24,0)),"")))</f>
        <v/>
      </c>
      <c r="F4098" s="28" t="str">
        <f aca="false">IF(OR($D4098="",$E4098=""),"",IFERROR($D4098*INDEX(Setup!$B$27:$B$44,MATCH($E4098,Setup!$A$27:$A$44,0)),"TBD"))</f>
        <v/>
      </c>
      <c r="G4098" s="32"/>
      <c r="H4098" s="32"/>
      <c r="I4098" s="32"/>
      <c r="J4098" s="32"/>
      <c r="K4098" s="35"/>
      <c r="L4098" s="32"/>
      <c r="M4098" s="32"/>
    </row>
    <row r="4099" customFormat="false" ht="15" hidden="false" customHeight="true" outlineLevel="0" collapsed="false">
      <c r="A4099" s="32"/>
      <c r="B4099" s="32"/>
      <c r="C4099" s="32"/>
      <c r="D4099" s="32"/>
      <c r="E4099" s="34" t="str">
        <f aca="false">IF($B4099="","",IF($B4099="OUT","Liters",IFERROR(INDEX(Setup!$F$3:$F$24,MATCH($C4099,Setup!$A$3:$A$24,0)),"")))</f>
        <v/>
      </c>
      <c r="F4099" s="28" t="str">
        <f aca="false">IF(OR($D4099="",$E4099=""),"",IFERROR($D4099*INDEX(Setup!$B$27:$B$44,MATCH($E4099,Setup!$A$27:$A$44,0)),"TBD"))</f>
        <v/>
      </c>
      <c r="G4099" s="32"/>
      <c r="H4099" s="32"/>
      <c r="I4099" s="32"/>
      <c r="J4099" s="32"/>
      <c r="K4099" s="35"/>
      <c r="L4099" s="32"/>
      <c r="M4099" s="32"/>
    </row>
    <row r="4100" customFormat="false" ht="15" hidden="false" customHeight="true" outlineLevel="0" collapsed="false">
      <c r="A4100" s="32"/>
      <c r="B4100" s="32"/>
      <c r="C4100" s="32"/>
      <c r="D4100" s="32"/>
      <c r="E4100" s="34" t="str">
        <f aca="false">IF($B4100="","",IF($B4100="OUT","Liters",IFERROR(INDEX(Setup!$F$3:$F$24,MATCH($C4100,Setup!$A$3:$A$24,0)),"")))</f>
        <v/>
      </c>
      <c r="F4100" s="28" t="str">
        <f aca="false">IF(OR($D4100="",$E4100=""),"",IFERROR($D4100*INDEX(Setup!$B$27:$B$44,MATCH($E4100,Setup!$A$27:$A$44,0)),"TBD"))</f>
        <v/>
      </c>
      <c r="G4100" s="32"/>
      <c r="H4100" s="32"/>
      <c r="I4100" s="32"/>
      <c r="J4100" s="32"/>
      <c r="K4100" s="35"/>
      <c r="L4100" s="32"/>
      <c r="M4100" s="32"/>
    </row>
    <row r="4101" customFormat="false" ht="15" hidden="false" customHeight="true" outlineLevel="0" collapsed="false">
      <c r="A4101" s="32"/>
      <c r="B4101" s="32"/>
      <c r="C4101" s="32"/>
      <c r="D4101" s="32"/>
      <c r="E4101" s="34" t="str">
        <f aca="false">IF($B4101="","",IF($B4101="OUT","Liters",IFERROR(INDEX(Setup!$F$3:$F$24,MATCH($C4101,Setup!$A$3:$A$24,0)),"")))</f>
        <v/>
      </c>
      <c r="F4101" s="28" t="str">
        <f aca="false">IF(OR($D4101="",$E4101=""),"",IFERROR($D4101*INDEX(Setup!$B$27:$B$44,MATCH($E4101,Setup!$A$27:$A$44,0)),"TBD"))</f>
        <v/>
      </c>
      <c r="G4101" s="32"/>
      <c r="H4101" s="32"/>
      <c r="I4101" s="32"/>
      <c r="J4101" s="32"/>
      <c r="K4101" s="35"/>
      <c r="L4101" s="32"/>
      <c r="M4101" s="32"/>
    </row>
    <row r="4102" customFormat="false" ht="15" hidden="false" customHeight="true" outlineLevel="0" collapsed="false">
      <c r="A4102" s="32"/>
      <c r="B4102" s="32"/>
      <c r="C4102" s="32"/>
      <c r="D4102" s="32"/>
      <c r="E4102" s="34" t="str">
        <f aca="false">IF($B4102="","",IF($B4102="OUT","Liters",IFERROR(INDEX(Setup!$F$3:$F$24,MATCH($C4102,Setup!$A$3:$A$24,0)),"")))</f>
        <v/>
      </c>
      <c r="F4102" s="28" t="str">
        <f aca="false">IF(OR($D4102="",$E4102=""),"",IFERROR($D4102*INDEX(Setup!$B$27:$B$44,MATCH($E4102,Setup!$A$27:$A$44,0)),"TBD"))</f>
        <v/>
      </c>
      <c r="G4102" s="32"/>
      <c r="H4102" s="32"/>
      <c r="I4102" s="32"/>
      <c r="J4102" s="32"/>
      <c r="K4102" s="35"/>
      <c r="L4102" s="32"/>
      <c r="M4102" s="32"/>
    </row>
    <row r="4103" customFormat="false" ht="15" hidden="false" customHeight="true" outlineLevel="0" collapsed="false">
      <c r="A4103" s="32"/>
      <c r="B4103" s="32"/>
      <c r="C4103" s="32"/>
      <c r="D4103" s="32"/>
      <c r="E4103" s="34" t="str">
        <f aca="false">IF($B4103="","",IF($B4103="OUT","Liters",IFERROR(INDEX(Setup!$F$3:$F$24,MATCH($C4103,Setup!$A$3:$A$24,0)),"")))</f>
        <v/>
      </c>
      <c r="F4103" s="28" t="str">
        <f aca="false">IF(OR($D4103="",$E4103=""),"",IFERROR($D4103*INDEX(Setup!$B$27:$B$44,MATCH($E4103,Setup!$A$27:$A$44,0)),"TBD"))</f>
        <v/>
      </c>
      <c r="G4103" s="32"/>
      <c r="H4103" s="32"/>
      <c r="I4103" s="32"/>
      <c r="J4103" s="32"/>
      <c r="K4103" s="35"/>
      <c r="L4103" s="32"/>
      <c r="M4103" s="32"/>
    </row>
    <row r="4104" customFormat="false" ht="15" hidden="false" customHeight="true" outlineLevel="0" collapsed="false">
      <c r="A4104" s="32"/>
      <c r="B4104" s="32"/>
      <c r="C4104" s="32"/>
      <c r="D4104" s="32"/>
      <c r="E4104" s="34" t="str">
        <f aca="false">IF($B4104="","",IF($B4104="OUT","Liters",IFERROR(INDEX(Setup!$F$3:$F$24,MATCH($C4104,Setup!$A$3:$A$24,0)),"")))</f>
        <v/>
      </c>
      <c r="F4104" s="28" t="str">
        <f aca="false">IF(OR($D4104="",$E4104=""),"",IFERROR($D4104*INDEX(Setup!$B$27:$B$44,MATCH($E4104,Setup!$A$27:$A$44,0)),"TBD"))</f>
        <v/>
      </c>
      <c r="G4104" s="32"/>
      <c r="H4104" s="32"/>
      <c r="I4104" s="32"/>
      <c r="J4104" s="32"/>
      <c r="K4104" s="35"/>
      <c r="L4104" s="32"/>
      <c r="M4104" s="32"/>
    </row>
    <row r="4105" customFormat="false" ht="15" hidden="false" customHeight="true" outlineLevel="0" collapsed="false">
      <c r="A4105" s="32"/>
      <c r="B4105" s="32"/>
      <c r="C4105" s="32"/>
      <c r="D4105" s="32"/>
      <c r="E4105" s="34" t="str">
        <f aca="false">IF($B4105="","",IF($B4105="OUT","Liters",IFERROR(INDEX(Setup!$F$3:$F$24,MATCH($C4105,Setup!$A$3:$A$24,0)),"")))</f>
        <v/>
      </c>
      <c r="F4105" s="28" t="str">
        <f aca="false">IF(OR($D4105="",$E4105=""),"",IFERROR($D4105*INDEX(Setup!$B$27:$B$44,MATCH($E4105,Setup!$A$27:$A$44,0)),"TBD"))</f>
        <v/>
      </c>
      <c r="G4105" s="32"/>
      <c r="H4105" s="32"/>
      <c r="I4105" s="32"/>
      <c r="J4105" s="32"/>
      <c r="K4105" s="35"/>
      <c r="L4105" s="32"/>
      <c r="M4105" s="32"/>
    </row>
    <row r="4106" customFormat="false" ht="15" hidden="false" customHeight="true" outlineLevel="0" collapsed="false">
      <c r="A4106" s="32"/>
      <c r="B4106" s="32"/>
      <c r="C4106" s="32"/>
      <c r="D4106" s="32"/>
      <c r="E4106" s="34" t="str">
        <f aca="false">IF($B4106="","",IF($B4106="OUT","Liters",IFERROR(INDEX(Setup!$F$3:$F$24,MATCH($C4106,Setup!$A$3:$A$24,0)),"")))</f>
        <v/>
      </c>
      <c r="F4106" s="28" t="str">
        <f aca="false">IF(OR($D4106="",$E4106=""),"",IFERROR($D4106*INDEX(Setup!$B$27:$B$44,MATCH($E4106,Setup!$A$27:$A$44,0)),"TBD"))</f>
        <v/>
      </c>
      <c r="G4106" s="32"/>
      <c r="H4106" s="32"/>
      <c r="I4106" s="32"/>
      <c r="J4106" s="32"/>
      <c r="K4106" s="35"/>
      <c r="L4106" s="32"/>
      <c r="M4106" s="32"/>
    </row>
    <row r="4107" customFormat="false" ht="15" hidden="false" customHeight="true" outlineLevel="0" collapsed="false">
      <c r="A4107" s="32"/>
      <c r="B4107" s="32"/>
      <c r="C4107" s="32"/>
      <c r="D4107" s="32"/>
      <c r="E4107" s="34" t="str">
        <f aca="false">IF($B4107="","",IF($B4107="OUT","Liters",IFERROR(INDEX(Setup!$F$3:$F$24,MATCH($C4107,Setup!$A$3:$A$24,0)),"")))</f>
        <v/>
      </c>
      <c r="F4107" s="28" t="str">
        <f aca="false">IF(OR($D4107="",$E4107=""),"",IFERROR($D4107*INDEX(Setup!$B$27:$B$44,MATCH($E4107,Setup!$A$27:$A$44,0)),"TBD"))</f>
        <v/>
      </c>
      <c r="G4107" s="32"/>
      <c r="H4107" s="32"/>
      <c r="I4107" s="32"/>
      <c r="J4107" s="32"/>
      <c r="K4107" s="35"/>
      <c r="L4107" s="32"/>
      <c r="M4107" s="32"/>
    </row>
    <row r="4108" customFormat="false" ht="15" hidden="false" customHeight="true" outlineLevel="0" collapsed="false">
      <c r="A4108" s="32"/>
      <c r="B4108" s="32"/>
      <c r="C4108" s="32"/>
      <c r="D4108" s="32"/>
      <c r="E4108" s="34" t="str">
        <f aca="false">IF($B4108="","",IF($B4108="OUT","Liters",IFERROR(INDEX(Setup!$F$3:$F$24,MATCH($C4108,Setup!$A$3:$A$24,0)),"")))</f>
        <v/>
      </c>
      <c r="F4108" s="28" t="str">
        <f aca="false">IF(OR($D4108="",$E4108=""),"",IFERROR($D4108*INDEX(Setup!$B$27:$B$44,MATCH($E4108,Setup!$A$27:$A$44,0)),"TBD"))</f>
        <v/>
      </c>
      <c r="G4108" s="32"/>
      <c r="H4108" s="32"/>
      <c r="I4108" s="32"/>
      <c r="J4108" s="32"/>
      <c r="K4108" s="35"/>
      <c r="L4108" s="32"/>
      <c r="M4108" s="32"/>
    </row>
    <row r="4109" customFormat="false" ht="15" hidden="false" customHeight="true" outlineLevel="0" collapsed="false">
      <c r="A4109" s="32"/>
      <c r="B4109" s="32"/>
      <c r="C4109" s="32"/>
      <c r="D4109" s="32"/>
      <c r="E4109" s="34" t="str">
        <f aca="false">IF($B4109="","",IF($B4109="OUT","Liters",IFERROR(INDEX(Setup!$F$3:$F$24,MATCH($C4109,Setup!$A$3:$A$24,0)),"")))</f>
        <v/>
      </c>
      <c r="F4109" s="28" t="str">
        <f aca="false">IF(OR($D4109="",$E4109=""),"",IFERROR($D4109*INDEX(Setup!$B$27:$B$44,MATCH($E4109,Setup!$A$27:$A$44,0)),"TBD"))</f>
        <v/>
      </c>
      <c r="G4109" s="32"/>
      <c r="H4109" s="32"/>
      <c r="I4109" s="32"/>
      <c r="J4109" s="32"/>
      <c r="K4109" s="35"/>
      <c r="L4109" s="32"/>
      <c r="M4109" s="32"/>
    </row>
    <row r="4110" customFormat="false" ht="15" hidden="false" customHeight="true" outlineLevel="0" collapsed="false">
      <c r="A4110" s="32"/>
      <c r="B4110" s="32"/>
      <c r="C4110" s="32"/>
      <c r="D4110" s="32"/>
      <c r="E4110" s="34" t="str">
        <f aca="false">IF($B4110="","",IF($B4110="OUT","Liters",IFERROR(INDEX(Setup!$F$3:$F$24,MATCH($C4110,Setup!$A$3:$A$24,0)),"")))</f>
        <v/>
      </c>
      <c r="F4110" s="28" t="str">
        <f aca="false">IF(OR($D4110="",$E4110=""),"",IFERROR($D4110*INDEX(Setup!$B$27:$B$44,MATCH($E4110,Setup!$A$27:$A$44,0)),"TBD"))</f>
        <v/>
      </c>
      <c r="G4110" s="32"/>
      <c r="H4110" s="32"/>
      <c r="I4110" s="32"/>
      <c r="J4110" s="32"/>
      <c r="K4110" s="35"/>
      <c r="L4110" s="32"/>
      <c r="M4110" s="32"/>
    </row>
    <row r="4111" customFormat="false" ht="15" hidden="false" customHeight="true" outlineLevel="0" collapsed="false">
      <c r="A4111" s="32"/>
      <c r="B4111" s="32"/>
      <c r="C4111" s="32"/>
      <c r="D4111" s="32"/>
      <c r="E4111" s="34" t="str">
        <f aca="false">IF($B4111="","",IF($B4111="OUT","Liters",IFERROR(INDEX(Setup!$F$3:$F$24,MATCH($C4111,Setup!$A$3:$A$24,0)),"")))</f>
        <v/>
      </c>
      <c r="F4111" s="28" t="str">
        <f aca="false">IF(OR($D4111="",$E4111=""),"",IFERROR($D4111*INDEX(Setup!$B$27:$B$44,MATCH($E4111,Setup!$A$27:$A$44,0)),"TBD"))</f>
        <v/>
      </c>
      <c r="G4111" s="32"/>
      <c r="H4111" s="32"/>
      <c r="I4111" s="32"/>
      <c r="J4111" s="32"/>
      <c r="K4111" s="35"/>
      <c r="L4111" s="32"/>
      <c r="M4111" s="32"/>
    </row>
    <row r="4112" customFormat="false" ht="15" hidden="false" customHeight="true" outlineLevel="0" collapsed="false">
      <c r="A4112" s="32"/>
      <c r="B4112" s="32"/>
      <c r="C4112" s="32"/>
      <c r="D4112" s="32"/>
      <c r="E4112" s="34" t="str">
        <f aca="false">IF($B4112="","",IF($B4112="OUT","Liters",IFERROR(INDEX(Setup!$F$3:$F$24,MATCH($C4112,Setup!$A$3:$A$24,0)),"")))</f>
        <v/>
      </c>
      <c r="F4112" s="28" t="str">
        <f aca="false">IF(OR($D4112="",$E4112=""),"",IFERROR($D4112*INDEX(Setup!$B$27:$B$44,MATCH($E4112,Setup!$A$27:$A$44,0)),"TBD"))</f>
        <v/>
      </c>
      <c r="G4112" s="32"/>
      <c r="H4112" s="32"/>
      <c r="I4112" s="32"/>
      <c r="J4112" s="32"/>
      <c r="K4112" s="35"/>
      <c r="L4112" s="32"/>
      <c r="M4112" s="32"/>
    </row>
    <row r="4113" customFormat="false" ht="15" hidden="false" customHeight="true" outlineLevel="0" collapsed="false">
      <c r="A4113" s="32"/>
      <c r="B4113" s="32"/>
      <c r="C4113" s="32"/>
      <c r="D4113" s="32"/>
      <c r="E4113" s="34" t="str">
        <f aca="false">IF($B4113="","",IF($B4113="OUT","Liters",IFERROR(INDEX(Setup!$F$3:$F$24,MATCH($C4113,Setup!$A$3:$A$24,0)),"")))</f>
        <v/>
      </c>
      <c r="F4113" s="28" t="str">
        <f aca="false">IF(OR($D4113="",$E4113=""),"",IFERROR($D4113*INDEX(Setup!$B$27:$B$44,MATCH($E4113,Setup!$A$27:$A$44,0)),"TBD"))</f>
        <v/>
      </c>
      <c r="G4113" s="32"/>
      <c r="H4113" s="32"/>
      <c r="I4113" s="32"/>
      <c r="J4113" s="32"/>
      <c r="K4113" s="35"/>
      <c r="L4113" s="32"/>
      <c r="M4113" s="32"/>
    </row>
    <row r="4114" customFormat="false" ht="15" hidden="false" customHeight="true" outlineLevel="0" collapsed="false">
      <c r="A4114" s="32"/>
      <c r="B4114" s="32"/>
      <c r="C4114" s="32"/>
      <c r="D4114" s="32"/>
      <c r="E4114" s="34" t="str">
        <f aca="false">IF($B4114="","",IF($B4114="OUT","Liters",IFERROR(INDEX(Setup!$F$3:$F$24,MATCH($C4114,Setup!$A$3:$A$24,0)),"")))</f>
        <v/>
      </c>
      <c r="F4114" s="28" t="str">
        <f aca="false">IF(OR($D4114="",$E4114=""),"",IFERROR($D4114*INDEX(Setup!$B$27:$B$44,MATCH($E4114,Setup!$A$27:$A$44,0)),"TBD"))</f>
        <v/>
      </c>
      <c r="G4114" s="32"/>
      <c r="H4114" s="32"/>
      <c r="I4114" s="32"/>
      <c r="J4114" s="32"/>
      <c r="K4114" s="35"/>
      <c r="L4114" s="32"/>
      <c r="M4114" s="32"/>
    </row>
    <row r="4115" customFormat="false" ht="15" hidden="false" customHeight="true" outlineLevel="0" collapsed="false">
      <c r="A4115" s="32"/>
      <c r="B4115" s="32"/>
      <c r="C4115" s="32"/>
      <c r="D4115" s="32"/>
      <c r="E4115" s="34" t="str">
        <f aca="false">IF($B4115="","",IF($B4115="OUT","Liters",IFERROR(INDEX(Setup!$F$3:$F$24,MATCH($C4115,Setup!$A$3:$A$24,0)),"")))</f>
        <v/>
      </c>
      <c r="F4115" s="28" t="str">
        <f aca="false">IF(OR($D4115="",$E4115=""),"",IFERROR($D4115*INDEX(Setup!$B$27:$B$44,MATCH($E4115,Setup!$A$27:$A$44,0)),"TBD"))</f>
        <v/>
      </c>
      <c r="G4115" s="32"/>
      <c r="H4115" s="32"/>
      <c r="I4115" s="32"/>
      <c r="J4115" s="32"/>
      <c r="K4115" s="35"/>
      <c r="L4115" s="32"/>
      <c r="M4115" s="32"/>
    </row>
    <row r="4116" customFormat="false" ht="15" hidden="false" customHeight="true" outlineLevel="0" collapsed="false">
      <c r="A4116" s="32"/>
      <c r="B4116" s="32"/>
      <c r="C4116" s="32"/>
      <c r="D4116" s="32"/>
      <c r="E4116" s="34" t="str">
        <f aca="false">IF($B4116="","",IF($B4116="OUT","Liters",IFERROR(INDEX(Setup!$F$3:$F$24,MATCH($C4116,Setup!$A$3:$A$24,0)),"")))</f>
        <v/>
      </c>
      <c r="F4116" s="28" t="str">
        <f aca="false">IF(OR($D4116="",$E4116=""),"",IFERROR($D4116*INDEX(Setup!$B$27:$B$44,MATCH($E4116,Setup!$A$27:$A$44,0)),"TBD"))</f>
        <v/>
      </c>
      <c r="G4116" s="32"/>
      <c r="H4116" s="32"/>
      <c r="I4116" s="32"/>
      <c r="J4116" s="32"/>
      <c r="K4116" s="35"/>
      <c r="L4116" s="32"/>
      <c r="M4116" s="32"/>
    </row>
    <row r="4117" customFormat="false" ht="15" hidden="false" customHeight="true" outlineLevel="0" collapsed="false">
      <c r="A4117" s="32"/>
      <c r="B4117" s="32"/>
      <c r="C4117" s="32"/>
      <c r="D4117" s="32"/>
      <c r="E4117" s="34" t="str">
        <f aca="false">IF($B4117="","",IF($B4117="OUT","Liters",IFERROR(INDEX(Setup!$F$3:$F$24,MATCH($C4117,Setup!$A$3:$A$24,0)),"")))</f>
        <v/>
      </c>
      <c r="F4117" s="28" t="str">
        <f aca="false">IF(OR($D4117="",$E4117=""),"",IFERROR($D4117*INDEX(Setup!$B$27:$B$44,MATCH($E4117,Setup!$A$27:$A$44,0)),"TBD"))</f>
        <v/>
      </c>
      <c r="G4117" s="32"/>
      <c r="H4117" s="32"/>
      <c r="I4117" s="32"/>
      <c r="J4117" s="32"/>
      <c r="K4117" s="35"/>
      <c r="L4117" s="32"/>
      <c r="M4117" s="32"/>
    </row>
    <row r="4118" customFormat="false" ht="15" hidden="false" customHeight="true" outlineLevel="0" collapsed="false">
      <c r="A4118" s="32"/>
      <c r="B4118" s="32"/>
      <c r="C4118" s="32"/>
      <c r="D4118" s="32"/>
      <c r="E4118" s="34" t="str">
        <f aca="false">IF($B4118="","",IF($B4118="OUT","Liters",IFERROR(INDEX(Setup!$F$3:$F$24,MATCH($C4118,Setup!$A$3:$A$24,0)),"")))</f>
        <v/>
      </c>
      <c r="F4118" s="28" t="str">
        <f aca="false">IF(OR($D4118="",$E4118=""),"",IFERROR($D4118*INDEX(Setup!$B$27:$B$44,MATCH($E4118,Setup!$A$27:$A$44,0)),"TBD"))</f>
        <v/>
      </c>
      <c r="G4118" s="32"/>
      <c r="H4118" s="32"/>
      <c r="I4118" s="32"/>
      <c r="J4118" s="32"/>
      <c r="K4118" s="35"/>
      <c r="L4118" s="32"/>
      <c r="M4118" s="32"/>
    </row>
    <row r="4119" customFormat="false" ht="15" hidden="false" customHeight="true" outlineLevel="0" collapsed="false">
      <c r="A4119" s="32"/>
      <c r="B4119" s="32"/>
      <c r="C4119" s="32"/>
      <c r="D4119" s="32"/>
      <c r="E4119" s="34" t="str">
        <f aca="false">IF($B4119="","",IF($B4119="OUT","Liters",IFERROR(INDEX(Setup!$F$3:$F$24,MATCH($C4119,Setup!$A$3:$A$24,0)),"")))</f>
        <v/>
      </c>
      <c r="F4119" s="28" t="str">
        <f aca="false">IF(OR($D4119="",$E4119=""),"",IFERROR($D4119*INDEX(Setup!$B$27:$B$44,MATCH($E4119,Setup!$A$27:$A$44,0)),"TBD"))</f>
        <v/>
      </c>
      <c r="G4119" s="32"/>
      <c r="H4119" s="32"/>
      <c r="I4119" s="32"/>
      <c r="J4119" s="32"/>
      <c r="K4119" s="35"/>
      <c r="L4119" s="32"/>
      <c r="M4119" s="32"/>
    </row>
    <row r="4120" customFormat="false" ht="15" hidden="false" customHeight="true" outlineLevel="0" collapsed="false">
      <c r="A4120" s="32"/>
      <c r="B4120" s="32"/>
      <c r="C4120" s="32"/>
      <c r="D4120" s="32"/>
      <c r="E4120" s="34" t="str">
        <f aca="false">IF($B4120="","",IF($B4120="OUT","Liters",IFERROR(INDEX(Setup!$F$3:$F$24,MATCH($C4120,Setup!$A$3:$A$24,0)),"")))</f>
        <v/>
      </c>
      <c r="F4120" s="28" t="str">
        <f aca="false">IF(OR($D4120="",$E4120=""),"",IFERROR($D4120*INDEX(Setup!$B$27:$B$44,MATCH($E4120,Setup!$A$27:$A$44,0)),"TBD"))</f>
        <v/>
      </c>
      <c r="G4120" s="32"/>
      <c r="H4120" s="32"/>
      <c r="I4120" s="32"/>
      <c r="J4120" s="32"/>
      <c r="K4120" s="35"/>
      <c r="L4120" s="32"/>
      <c r="M4120" s="32"/>
    </row>
    <row r="4121" customFormat="false" ht="15" hidden="false" customHeight="true" outlineLevel="0" collapsed="false">
      <c r="A4121" s="32"/>
      <c r="B4121" s="32"/>
      <c r="C4121" s="32"/>
      <c r="D4121" s="32"/>
      <c r="E4121" s="34" t="str">
        <f aca="false">IF($B4121="","",IF($B4121="OUT","Liters",IFERROR(INDEX(Setup!$F$3:$F$24,MATCH($C4121,Setup!$A$3:$A$24,0)),"")))</f>
        <v/>
      </c>
      <c r="F4121" s="28" t="str">
        <f aca="false">IF(OR($D4121="",$E4121=""),"",IFERROR($D4121*INDEX(Setup!$B$27:$B$44,MATCH($E4121,Setup!$A$27:$A$44,0)),"TBD"))</f>
        <v/>
      </c>
      <c r="G4121" s="32"/>
      <c r="H4121" s="32"/>
      <c r="I4121" s="32"/>
      <c r="J4121" s="32"/>
      <c r="K4121" s="35"/>
      <c r="L4121" s="32"/>
      <c r="M4121" s="32"/>
    </row>
    <row r="4122" customFormat="false" ht="15" hidden="false" customHeight="true" outlineLevel="0" collapsed="false">
      <c r="A4122" s="32"/>
      <c r="B4122" s="32"/>
      <c r="C4122" s="32"/>
      <c r="D4122" s="32"/>
      <c r="E4122" s="34" t="str">
        <f aca="false">IF($B4122="","",IF($B4122="OUT","Liters",IFERROR(INDEX(Setup!$F$3:$F$24,MATCH($C4122,Setup!$A$3:$A$24,0)),"")))</f>
        <v/>
      </c>
      <c r="F4122" s="28" t="str">
        <f aca="false">IF(OR($D4122="",$E4122=""),"",IFERROR($D4122*INDEX(Setup!$B$27:$B$44,MATCH($E4122,Setup!$A$27:$A$44,0)),"TBD"))</f>
        <v/>
      </c>
      <c r="G4122" s="32"/>
      <c r="H4122" s="32"/>
      <c r="I4122" s="32"/>
      <c r="J4122" s="32"/>
      <c r="K4122" s="35"/>
      <c r="L4122" s="32"/>
      <c r="M4122" s="32"/>
    </row>
    <row r="4123" customFormat="false" ht="15" hidden="false" customHeight="true" outlineLevel="0" collapsed="false">
      <c r="A4123" s="32"/>
      <c r="B4123" s="32"/>
      <c r="C4123" s="32"/>
      <c r="D4123" s="32"/>
      <c r="E4123" s="34" t="str">
        <f aca="false">IF($B4123="","",IF($B4123="OUT","Liters",IFERROR(INDEX(Setup!$F$3:$F$24,MATCH($C4123,Setup!$A$3:$A$24,0)),"")))</f>
        <v/>
      </c>
      <c r="F4123" s="28" t="str">
        <f aca="false">IF(OR($D4123="",$E4123=""),"",IFERROR($D4123*INDEX(Setup!$B$27:$B$44,MATCH($E4123,Setup!$A$27:$A$44,0)),"TBD"))</f>
        <v/>
      </c>
      <c r="G4123" s="32"/>
      <c r="H4123" s="32"/>
      <c r="I4123" s="32"/>
      <c r="J4123" s="32"/>
      <c r="K4123" s="35"/>
      <c r="L4123" s="32"/>
      <c r="M4123" s="32"/>
    </row>
    <row r="4124" customFormat="false" ht="15" hidden="false" customHeight="true" outlineLevel="0" collapsed="false">
      <c r="A4124" s="32"/>
      <c r="B4124" s="32"/>
      <c r="C4124" s="32"/>
      <c r="D4124" s="32"/>
      <c r="E4124" s="34" t="str">
        <f aca="false">IF($B4124="","",IF($B4124="OUT","Liters",IFERROR(INDEX(Setup!$F$3:$F$24,MATCH($C4124,Setup!$A$3:$A$24,0)),"")))</f>
        <v/>
      </c>
      <c r="F4124" s="28" t="str">
        <f aca="false">IF(OR($D4124="",$E4124=""),"",IFERROR($D4124*INDEX(Setup!$B$27:$B$44,MATCH($E4124,Setup!$A$27:$A$44,0)),"TBD"))</f>
        <v/>
      </c>
      <c r="G4124" s="32"/>
      <c r="H4124" s="32"/>
      <c r="I4124" s="32"/>
      <c r="J4124" s="32"/>
      <c r="K4124" s="35"/>
      <c r="L4124" s="32"/>
      <c r="M4124" s="32"/>
    </row>
    <row r="4125" customFormat="false" ht="15" hidden="false" customHeight="true" outlineLevel="0" collapsed="false">
      <c r="A4125" s="32"/>
      <c r="B4125" s="32"/>
      <c r="C4125" s="32"/>
      <c r="D4125" s="32"/>
      <c r="E4125" s="34" t="str">
        <f aca="false">IF($B4125="","",IF($B4125="OUT","Liters",IFERROR(INDEX(Setup!$F$3:$F$24,MATCH($C4125,Setup!$A$3:$A$24,0)),"")))</f>
        <v/>
      </c>
      <c r="F4125" s="28" t="str">
        <f aca="false">IF(OR($D4125="",$E4125=""),"",IFERROR($D4125*INDEX(Setup!$B$27:$B$44,MATCH($E4125,Setup!$A$27:$A$44,0)),"TBD"))</f>
        <v/>
      </c>
      <c r="G4125" s="32"/>
      <c r="H4125" s="32"/>
      <c r="I4125" s="32"/>
      <c r="J4125" s="32"/>
      <c r="K4125" s="35"/>
      <c r="L4125" s="32"/>
      <c r="M4125" s="32"/>
    </row>
    <row r="4126" customFormat="false" ht="15" hidden="false" customHeight="true" outlineLevel="0" collapsed="false">
      <c r="A4126" s="32"/>
      <c r="B4126" s="32"/>
      <c r="C4126" s="32"/>
      <c r="D4126" s="32"/>
      <c r="E4126" s="34" t="str">
        <f aca="false">IF($B4126="","",IF($B4126="OUT","Liters",IFERROR(INDEX(Setup!$F$3:$F$24,MATCH($C4126,Setup!$A$3:$A$24,0)),"")))</f>
        <v/>
      </c>
      <c r="F4126" s="28" t="str">
        <f aca="false">IF(OR($D4126="",$E4126=""),"",IFERROR($D4126*INDEX(Setup!$B$27:$B$44,MATCH($E4126,Setup!$A$27:$A$44,0)),"TBD"))</f>
        <v/>
      </c>
      <c r="G4126" s="32"/>
      <c r="H4126" s="32"/>
      <c r="I4126" s="32"/>
      <c r="J4126" s="32"/>
      <c r="K4126" s="35"/>
      <c r="L4126" s="32"/>
      <c r="M4126" s="32"/>
    </row>
    <row r="4127" customFormat="false" ht="15" hidden="false" customHeight="true" outlineLevel="0" collapsed="false">
      <c r="A4127" s="32"/>
      <c r="B4127" s="32"/>
      <c r="C4127" s="32"/>
      <c r="D4127" s="32"/>
      <c r="E4127" s="34" t="str">
        <f aca="false">IF($B4127="","",IF($B4127="OUT","Liters",IFERROR(INDEX(Setup!$F$3:$F$24,MATCH($C4127,Setup!$A$3:$A$24,0)),"")))</f>
        <v/>
      </c>
      <c r="F4127" s="28" t="str">
        <f aca="false">IF(OR($D4127="",$E4127=""),"",IFERROR($D4127*INDEX(Setup!$B$27:$B$44,MATCH($E4127,Setup!$A$27:$A$44,0)),"TBD"))</f>
        <v/>
      </c>
      <c r="G4127" s="32"/>
      <c r="H4127" s="32"/>
      <c r="I4127" s="32"/>
      <c r="J4127" s="32"/>
      <c r="K4127" s="35"/>
      <c r="L4127" s="32"/>
      <c r="M4127" s="32"/>
    </row>
    <row r="4128" customFormat="false" ht="15" hidden="false" customHeight="true" outlineLevel="0" collapsed="false">
      <c r="A4128" s="32"/>
      <c r="B4128" s="32"/>
      <c r="C4128" s="32"/>
      <c r="D4128" s="32"/>
      <c r="E4128" s="34" t="str">
        <f aca="false">IF($B4128="","",IF($B4128="OUT","Liters",IFERROR(INDEX(Setup!$F$3:$F$24,MATCH($C4128,Setup!$A$3:$A$24,0)),"")))</f>
        <v/>
      </c>
      <c r="F4128" s="28" t="str">
        <f aca="false">IF(OR($D4128="",$E4128=""),"",IFERROR($D4128*INDEX(Setup!$B$27:$B$44,MATCH($E4128,Setup!$A$27:$A$44,0)),"TBD"))</f>
        <v/>
      </c>
      <c r="G4128" s="32"/>
      <c r="H4128" s="32"/>
      <c r="I4128" s="32"/>
      <c r="J4128" s="32"/>
      <c r="K4128" s="35"/>
      <c r="L4128" s="32"/>
      <c r="M4128" s="32"/>
    </row>
    <row r="4129" customFormat="false" ht="15" hidden="false" customHeight="true" outlineLevel="0" collapsed="false">
      <c r="A4129" s="32"/>
      <c r="B4129" s="32"/>
      <c r="C4129" s="32"/>
      <c r="D4129" s="32"/>
      <c r="E4129" s="34" t="str">
        <f aca="false">IF($B4129="","",IF($B4129="OUT","Liters",IFERROR(INDEX(Setup!$F$3:$F$24,MATCH($C4129,Setup!$A$3:$A$24,0)),"")))</f>
        <v/>
      </c>
      <c r="F4129" s="28" t="str">
        <f aca="false">IF(OR($D4129="",$E4129=""),"",IFERROR($D4129*INDEX(Setup!$B$27:$B$44,MATCH($E4129,Setup!$A$27:$A$44,0)),"TBD"))</f>
        <v/>
      </c>
      <c r="G4129" s="32"/>
      <c r="H4129" s="32"/>
      <c r="I4129" s="32"/>
      <c r="J4129" s="32"/>
      <c r="K4129" s="35"/>
      <c r="L4129" s="32"/>
      <c r="M4129" s="32"/>
    </row>
    <row r="4130" customFormat="false" ht="15" hidden="false" customHeight="true" outlineLevel="0" collapsed="false">
      <c r="A4130" s="32"/>
      <c r="B4130" s="32"/>
      <c r="C4130" s="32"/>
      <c r="D4130" s="32"/>
      <c r="E4130" s="34" t="str">
        <f aca="false">IF($B4130="","",IF($B4130="OUT","Liters",IFERROR(INDEX(Setup!$F$3:$F$24,MATCH($C4130,Setup!$A$3:$A$24,0)),"")))</f>
        <v/>
      </c>
      <c r="F4130" s="28" t="str">
        <f aca="false">IF(OR($D4130="",$E4130=""),"",IFERROR($D4130*INDEX(Setup!$B$27:$B$44,MATCH($E4130,Setup!$A$27:$A$44,0)),"TBD"))</f>
        <v/>
      </c>
      <c r="G4130" s="32"/>
      <c r="H4130" s="32"/>
      <c r="I4130" s="32"/>
      <c r="J4130" s="32"/>
      <c r="K4130" s="35"/>
      <c r="L4130" s="32"/>
      <c r="M4130" s="32"/>
    </row>
    <row r="4131" customFormat="false" ht="15" hidden="false" customHeight="true" outlineLevel="0" collapsed="false">
      <c r="A4131" s="32"/>
      <c r="B4131" s="32"/>
      <c r="C4131" s="32"/>
      <c r="D4131" s="32"/>
      <c r="E4131" s="34" t="str">
        <f aca="false">IF($B4131="","",IF($B4131="OUT","Liters",IFERROR(INDEX(Setup!$F$3:$F$24,MATCH($C4131,Setup!$A$3:$A$24,0)),"")))</f>
        <v/>
      </c>
      <c r="F4131" s="28" t="str">
        <f aca="false">IF(OR($D4131="",$E4131=""),"",IFERROR($D4131*INDEX(Setup!$B$27:$B$44,MATCH($E4131,Setup!$A$27:$A$44,0)),"TBD"))</f>
        <v/>
      </c>
      <c r="G4131" s="32"/>
      <c r="H4131" s="32"/>
      <c r="I4131" s="32"/>
      <c r="J4131" s="32"/>
      <c r="K4131" s="35"/>
      <c r="L4131" s="32"/>
      <c r="M4131" s="32"/>
    </row>
    <row r="4132" customFormat="false" ht="15" hidden="false" customHeight="true" outlineLevel="0" collapsed="false">
      <c r="A4132" s="32"/>
      <c r="B4132" s="32"/>
      <c r="C4132" s="32"/>
      <c r="D4132" s="32"/>
      <c r="E4132" s="34" t="str">
        <f aca="false">IF($B4132="","",IF($B4132="OUT","Liters",IFERROR(INDEX(Setup!$F$3:$F$24,MATCH($C4132,Setup!$A$3:$A$24,0)),"")))</f>
        <v/>
      </c>
      <c r="F4132" s="28" t="str">
        <f aca="false">IF(OR($D4132="",$E4132=""),"",IFERROR($D4132*INDEX(Setup!$B$27:$B$44,MATCH($E4132,Setup!$A$27:$A$44,0)),"TBD"))</f>
        <v/>
      </c>
      <c r="G4132" s="32"/>
      <c r="H4132" s="32"/>
      <c r="I4132" s="32"/>
      <c r="J4132" s="32"/>
      <c r="K4132" s="35"/>
      <c r="L4132" s="32"/>
      <c r="M4132" s="32"/>
    </row>
    <row r="4133" customFormat="false" ht="15" hidden="false" customHeight="true" outlineLevel="0" collapsed="false">
      <c r="A4133" s="32"/>
      <c r="B4133" s="32"/>
      <c r="C4133" s="32"/>
      <c r="D4133" s="32"/>
      <c r="E4133" s="34" t="str">
        <f aca="false">IF($B4133="","",IF($B4133="OUT","Liters",IFERROR(INDEX(Setup!$F$3:$F$24,MATCH($C4133,Setup!$A$3:$A$24,0)),"")))</f>
        <v/>
      </c>
      <c r="F4133" s="28" t="str">
        <f aca="false">IF(OR($D4133="",$E4133=""),"",IFERROR($D4133*INDEX(Setup!$B$27:$B$44,MATCH($E4133,Setup!$A$27:$A$44,0)),"TBD"))</f>
        <v/>
      </c>
      <c r="G4133" s="32"/>
      <c r="H4133" s="32"/>
      <c r="I4133" s="32"/>
      <c r="J4133" s="32"/>
      <c r="K4133" s="35"/>
      <c r="L4133" s="32"/>
      <c r="M4133" s="32"/>
    </row>
    <row r="4134" customFormat="false" ht="15" hidden="false" customHeight="true" outlineLevel="0" collapsed="false">
      <c r="A4134" s="32"/>
      <c r="B4134" s="32"/>
      <c r="C4134" s="32"/>
      <c r="D4134" s="32"/>
      <c r="E4134" s="34" t="str">
        <f aca="false">IF($B4134="","",IF($B4134="OUT","Liters",IFERROR(INDEX(Setup!$F$3:$F$24,MATCH($C4134,Setup!$A$3:$A$24,0)),"")))</f>
        <v/>
      </c>
      <c r="F4134" s="28" t="str">
        <f aca="false">IF(OR($D4134="",$E4134=""),"",IFERROR($D4134*INDEX(Setup!$B$27:$B$44,MATCH($E4134,Setup!$A$27:$A$44,0)),"TBD"))</f>
        <v/>
      </c>
      <c r="G4134" s="32"/>
      <c r="H4134" s="32"/>
      <c r="I4134" s="32"/>
      <c r="J4134" s="32"/>
      <c r="K4134" s="35"/>
      <c r="L4134" s="32"/>
      <c r="M4134" s="32"/>
    </row>
    <row r="4135" customFormat="false" ht="15" hidden="false" customHeight="true" outlineLevel="0" collapsed="false">
      <c r="A4135" s="32"/>
      <c r="B4135" s="32"/>
      <c r="C4135" s="32"/>
      <c r="D4135" s="32"/>
      <c r="E4135" s="34" t="str">
        <f aca="false">IF($B4135="","",IF($B4135="OUT","Liters",IFERROR(INDEX(Setup!$F$3:$F$24,MATCH($C4135,Setup!$A$3:$A$24,0)),"")))</f>
        <v/>
      </c>
      <c r="F4135" s="28" t="str">
        <f aca="false">IF(OR($D4135="",$E4135=""),"",IFERROR($D4135*INDEX(Setup!$B$27:$B$44,MATCH($E4135,Setup!$A$27:$A$44,0)),"TBD"))</f>
        <v/>
      </c>
      <c r="G4135" s="32"/>
      <c r="H4135" s="32"/>
      <c r="I4135" s="32"/>
      <c r="J4135" s="32"/>
      <c r="K4135" s="35"/>
      <c r="L4135" s="32"/>
      <c r="M4135" s="32"/>
    </row>
    <row r="4136" customFormat="false" ht="15" hidden="false" customHeight="true" outlineLevel="0" collapsed="false">
      <c r="A4136" s="32"/>
      <c r="B4136" s="32"/>
      <c r="C4136" s="32"/>
      <c r="D4136" s="32"/>
      <c r="E4136" s="34" t="str">
        <f aca="false">IF($B4136="","",IF($B4136="OUT","Liters",IFERROR(INDEX(Setup!$F$3:$F$24,MATCH($C4136,Setup!$A$3:$A$24,0)),"")))</f>
        <v/>
      </c>
      <c r="F4136" s="28" t="str">
        <f aca="false">IF(OR($D4136="",$E4136=""),"",IFERROR($D4136*INDEX(Setup!$B$27:$B$44,MATCH($E4136,Setup!$A$27:$A$44,0)),"TBD"))</f>
        <v/>
      </c>
      <c r="G4136" s="32"/>
      <c r="H4136" s="32"/>
      <c r="I4136" s="32"/>
      <c r="J4136" s="32"/>
      <c r="K4136" s="35"/>
      <c r="L4136" s="32"/>
      <c r="M4136" s="32"/>
    </row>
    <row r="4137" customFormat="false" ht="15" hidden="false" customHeight="true" outlineLevel="0" collapsed="false">
      <c r="A4137" s="32"/>
      <c r="B4137" s="32"/>
      <c r="C4137" s="32"/>
      <c r="D4137" s="32"/>
      <c r="E4137" s="34" t="str">
        <f aca="false">IF($B4137="","",IF($B4137="OUT","Liters",IFERROR(INDEX(Setup!$F$3:$F$24,MATCH($C4137,Setup!$A$3:$A$24,0)),"")))</f>
        <v/>
      </c>
      <c r="F4137" s="28" t="str">
        <f aca="false">IF(OR($D4137="",$E4137=""),"",IFERROR($D4137*INDEX(Setup!$B$27:$B$44,MATCH($E4137,Setup!$A$27:$A$44,0)),"TBD"))</f>
        <v/>
      </c>
      <c r="G4137" s="32"/>
      <c r="H4137" s="32"/>
      <c r="I4137" s="32"/>
      <c r="J4137" s="32"/>
      <c r="K4137" s="35"/>
      <c r="L4137" s="32"/>
      <c r="M4137" s="32"/>
    </row>
    <row r="4138" customFormat="false" ht="15" hidden="false" customHeight="true" outlineLevel="0" collapsed="false">
      <c r="A4138" s="32"/>
      <c r="B4138" s="32"/>
      <c r="C4138" s="32"/>
      <c r="D4138" s="32"/>
      <c r="E4138" s="34" t="str">
        <f aca="false">IF($B4138="","",IF($B4138="OUT","Liters",IFERROR(INDEX(Setup!$F$3:$F$24,MATCH($C4138,Setup!$A$3:$A$24,0)),"")))</f>
        <v/>
      </c>
      <c r="F4138" s="28" t="str">
        <f aca="false">IF(OR($D4138="",$E4138=""),"",IFERROR($D4138*INDEX(Setup!$B$27:$B$44,MATCH($E4138,Setup!$A$27:$A$44,0)),"TBD"))</f>
        <v/>
      </c>
      <c r="G4138" s="32"/>
      <c r="H4138" s="32"/>
      <c r="I4138" s="32"/>
      <c r="J4138" s="32"/>
      <c r="K4138" s="35"/>
      <c r="L4138" s="32"/>
      <c r="M4138" s="32"/>
    </row>
    <row r="4139" customFormat="false" ht="15" hidden="false" customHeight="true" outlineLevel="0" collapsed="false">
      <c r="A4139" s="32"/>
      <c r="B4139" s="32"/>
      <c r="C4139" s="32"/>
      <c r="D4139" s="32"/>
      <c r="E4139" s="34" t="str">
        <f aca="false">IF($B4139="","",IF($B4139="OUT","Liters",IFERROR(INDEX(Setup!$F$3:$F$24,MATCH($C4139,Setup!$A$3:$A$24,0)),"")))</f>
        <v/>
      </c>
      <c r="F4139" s="28" t="str">
        <f aca="false">IF(OR($D4139="",$E4139=""),"",IFERROR($D4139*INDEX(Setup!$B$27:$B$44,MATCH($E4139,Setup!$A$27:$A$44,0)),"TBD"))</f>
        <v/>
      </c>
      <c r="G4139" s="32"/>
      <c r="H4139" s="32"/>
      <c r="I4139" s="32"/>
      <c r="J4139" s="32"/>
      <c r="K4139" s="35"/>
      <c r="L4139" s="32"/>
      <c r="M4139" s="32"/>
    </row>
    <row r="4140" customFormat="false" ht="15" hidden="false" customHeight="true" outlineLevel="0" collapsed="false">
      <c r="A4140" s="32"/>
      <c r="B4140" s="32"/>
      <c r="C4140" s="32"/>
      <c r="D4140" s="32"/>
      <c r="E4140" s="34" t="str">
        <f aca="false">IF($B4140="","",IF($B4140="OUT","Liters",IFERROR(INDEX(Setup!$F$3:$F$24,MATCH($C4140,Setup!$A$3:$A$24,0)),"")))</f>
        <v/>
      </c>
      <c r="F4140" s="28" t="str">
        <f aca="false">IF(OR($D4140="",$E4140=""),"",IFERROR($D4140*INDEX(Setup!$B$27:$B$44,MATCH($E4140,Setup!$A$27:$A$44,0)),"TBD"))</f>
        <v/>
      </c>
      <c r="G4140" s="32"/>
      <c r="H4140" s="32"/>
      <c r="I4140" s="32"/>
      <c r="J4140" s="32"/>
      <c r="K4140" s="35"/>
      <c r="L4140" s="32"/>
      <c r="M4140" s="32"/>
    </row>
    <row r="4141" customFormat="false" ht="15" hidden="false" customHeight="true" outlineLevel="0" collapsed="false">
      <c r="A4141" s="32"/>
      <c r="B4141" s="32"/>
      <c r="C4141" s="32"/>
      <c r="D4141" s="32"/>
      <c r="E4141" s="34" t="str">
        <f aca="false">IF($B4141="","",IF($B4141="OUT","Liters",IFERROR(INDEX(Setup!$F$3:$F$24,MATCH($C4141,Setup!$A$3:$A$24,0)),"")))</f>
        <v/>
      </c>
      <c r="F4141" s="28" t="str">
        <f aca="false">IF(OR($D4141="",$E4141=""),"",IFERROR($D4141*INDEX(Setup!$B$27:$B$44,MATCH($E4141,Setup!$A$27:$A$44,0)),"TBD"))</f>
        <v/>
      </c>
      <c r="G4141" s="32"/>
      <c r="H4141" s="32"/>
      <c r="I4141" s="32"/>
      <c r="J4141" s="32"/>
      <c r="K4141" s="35"/>
      <c r="L4141" s="32"/>
      <c r="M4141" s="32"/>
    </row>
    <row r="4142" customFormat="false" ht="15" hidden="false" customHeight="true" outlineLevel="0" collapsed="false">
      <c r="A4142" s="32"/>
      <c r="B4142" s="32"/>
      <c r="C4142" s="32"/>
      <c r="D4142" s="32"/>
      <c r="E4142" s="34" t="str">
        <f aca="false">IF($B4142="","",IF($B4142="OUT","Liters",IFERROR(INDEX(Setup!$F$3:$F$24,MATCH($C4142,Setup!$A$3:$A$24,0)),"")))</f>
        <v/>
      </c>
      <c r="F4142" s="28" t="str">
        <f aca="false">IF(OR($D4142="",$E4142=""),"",IFERROR($D4142*INDEX(Setup!$B$27:$B$44,MATCH($E4142,Setup!$A$27:$A$44,0)),"TBD"))</f>
        <v/>
      </c>
      <c r="G4142" s="32"/>
      <c r="H4142" s="32"/>
      <c r="I4142" s="32"/>
      <c r="J4142" s="32"/>
      <c r="K4142" s="35"/>
      <c r="L4142" s="32"/>
      <c r="M4142" s="32"/>
    </row>
    <row r="4143" customFormat="false" ht="15" hidden="false" customHeight="true" outlineLevel="0" collapsed="false">
      <c r="A4143" s="32"/>
      <c r="B4143" s="32"/>
      <c r="C4143" s="32"/>
      <c r="D4143" s="32"/>
      <c r="E4143" s="34" t="str">
        <f aca="false">IF($B4143="","",IF($B4143="OUT","Liters",IFERROR(INDEX(Setup!$F$3:$F$24,MATCH($C4143,Setup!$A$3:$A$24,0)),"")))</f>
        <v/>
      </c>
      <c r="F4143" s="28" t="str">
        <f aca="false">IF(OR($D4143="",$E4143=""),"",IFERROR($D4143*INDEX(Setup!$B$27:$B$44,MATCH($E4143,Setup!$A$27:$A$44,0)),"TBD"))</f>
        <v/>
      </c>
      <c r="G4143" s="32"/>
      <c r="H4143" s="32"/>
      <c r="I4143" s="32"/>
      <c r="J4143" s="32"/>
      <c r="K4143" s="35"/>
      <c r="L4143" s="32"/>
      <c r="M4143" s="32"/>
    </row>
    <row r="4144" customFormat="false" ht="15" hidden="false" customHeight="true" outlineLevel="0" collapsed="false">
      <c r="A4144" s="32"/>
      <c r="B4144" s="32"/>
      <c r="C4144" s="32"/>
      <c r="D4144" s="32"/>
      <c r="E4144" s="34" t="str">
        <f aca="false">IF($B4144="","",IF($B4144="OUT","Liters",IFERROR(INDEX(Setup!$F$3:$F$24,MATCH($C4144,Setup!$A$3:$A$24,0)),"")))</f>
        <v/>
      </c>
      <c r="F4144" s="28" t="str">
        <f aca="false">IF(OR($D4144="",$E4144=""),"",IFERROR($D4144*INDEX(Setup!$B$27:$B$44,MATCH($E4144,Setup!$A$27:$A$44,0)),"TBD"))</f>
        <v/>
      </c>
      <c r="G4144" s="32"/>
      <c r="H4144" s="32"/>
      <c r="I4144" s="32"/>
      <c r="J4144" s="32"/>
      <c r="K4144" s="35"/>
      <c r="L4144" s="32"/>
      <c r="M4144" s="32"/>
    </row>
    <row r="4145" customFormat="false" ht="15" hidden="false" customHeight="true" outlineLevel="0" collapsed="false">
      <c r="A4145" s="32"/>
      <c r="B4145" s="32"/>
      <c r="C4145" s="32"/>
      <c r="D4145" s="32"/>
      <c r="E4145" s="34" t="str">
        <f aca="false">IF($B4145="","",IF($B4145="OUT","Liters",IFERROR(INDEX(Setup!$F$3:$F$24,MATCH($C4145,Setup!$A$3:$A$24,0)),"")))</f>
        <v/>
      </c>
      <c r="F4145" s="28" t="str">
        <f aca="false">IF(OR($D4145="",$E4145=""),"",IFERROR($D4145*INDEX(Setup!$B$27:$B$44,MATCH($E4145,Setup!$A$27:$A$44,0)),"TBD"))</f>
        <v/>
      </c>
      <c r="G4145" s="32"/>
      <c r="H4145" s="32"/>
      <c r="I4145" s="32"/>
      <c r="J4145" s="32"/>
      <c r="K4145" s="35"/>
      <c r="L4145" s="32"/>
      <c r="M4145" s="32"/>
    </row>
    <row r="4146" customFormat="false" ht="15" hidden="false" customHeight="true" outlineLevel="0" collapsed="false">
      <c r="A4146" s="32"/>
      <c r="B4146" s="32"/>
      <c r="C4146" s="32"/>
      <c r="D4146" s="32"/>
      <c r="E4146" s="34" t="str">
        <f aca="false">IF($B4146="","",IF($B4146="OUT","Liters",IFERROR(INDEX(Setup!$F$3:$F$24,MATCH($C4146,Setup!$A$3:$A$24,0)),"")))</f>
        <v/>
      </c>
      <c r="F4146" s="28" t="str">
        <f aca="false">IF(OR($D4146="",$E4146=""),"",IFERROR($D4146*INDEX(Setup!$B$27:$B$44,MATCH($E4146,Setup!$A$27:$A$44,0)),"TBD"))</f>
        <v/>
      </c>
      <c r="G4146" s="32"/>
      <c r="H4146" s="32"/>
      <c r="I4146" s="32"/>
      <c r="J4146" s="32"/>
      <c r="K4146" s="35"/>
      <c r="L4146" s="32"/>
      <c r="M4146" s="32"/>
    </row>
    <row r="4147" customFormat="false" ht="15" hidden="false" customHeight="true" outlineLevel="0" collapsed="false">
      <c r="A4147" s="32"/>
      <c r="B4147" s="32"/>
      <c r="C4147" s="32"/>
      <c r="D4147" s="32"/>
      <c r="E4147" s="34" t="str">
        <f aca="false">IF($B4147="","",IF($B4147="OUT","Liters",IFERROR(INDEX(Setup!$F$3:$F$24,MATCH($C4147,Setup!$A$3:$A$24,0)),"")))</f>
        <v/>
      </c>
      <c r="F4147" s="28" t="str">
        <f aca="false">IF(OR($D4147="",$E4147=""),"",IFERROR($D4147*INDEX(Setup!$B$27:$B$44,MATCH($E4147,Setup!$A$27:$A$44,0)),"TBD"))</f>
        <v/>
      </c>
      <c r="G4147" s="32"/>
      <c r="H4147" s="32"/>
      <c r="I4147" s="32"/>
      <c r="J4147" s="32"/>
      <c r="K4147" s="35"/>
      <c r="L4147" s="32"/>
      <c r="M4147" s="32"/>
    </row>
    <row r="4148" customFormat="false" ht="15" hidden="false" customHeight="true" outlineLevel="0" collapsed="false">
      <c r="A4148" s="32"/>
      <c r="B4148" s="32"/>
      <c r="C4148" s="32"/>
      <c r="D4148" s="32"/>
      <c r="E4148" s="34" t="str">
        <f aca="false">IF($B4148="","",IF($B4148="OUT","Liters",IFERROR(INDEX(Setup!$F$3:$F$24,MATCH($C4148,Setup!$A$3:$A$24,0)),"")))</f>
        <v/>
      </c>
      <c r="F4148" s="28" t="str">
        <f aca="false">IF(OR($D4148="",$E4148=""),"",IFERROR($D4148*INDEX(Setup!$B$27:$B$44,MATCH($E4148,Setup!$A$27:$A$44,0)),"TBD"))</f>
        <v/>
      </c>
      <c r="G4148" s="32"/>
      <c r="H4148" s="32"/>
      <c r="I4148" s="32"/>
      <c r="J4148" s="32"/>
      <c r="K4148" s="35"/>
      <c r="L4148" s="32"/>
      <c r="M4148" s="32"/>
    </row>
    <row r="4149" customFormat="false" ht="15" hidden="false" customHeight="true" outlineLevel="0" collapsed="false">
      <c r="A4149" s="32"/>
      <c r="B4149" s="32"/>
      <c r="C4149" s="32"/>
      <c r="D4149" s="32"/>
      <c r="E4149" s="34" t="str">
        <f aca="false">IF($B4149="","",IF($B4149="OUT","Liters",IFERROR(INDEX(Setup!$F$3:$F$24,MATCH($C4149,Setup!$A$3:$A$24,0)),"")))</f>
        <v/>
      </c>
      <c r="F4149" s="28" t="str">
        <f aca="false">IF(OR($D4149="",$E4149=""),"",IFERROR($D4149*INDEX(Setup!$B$27:$B$44,MATCH($E4149,Setup!$A$27:$A$44,0)),"TBD"))</f>
        <v/>
      </c>
      <c r="G4149" s="32"/>
      <c r="H4149" s="32"/>
      <c r="I4149" s="32"/>
      <c r="J4149" s="32"/>
      <c r="K4149" s="35"/>
      <c r="L4149" s="32"/>
      <c r="M4149" s="32"/>
    </row>
    <row r="4150" customFormat="false" ht="15" hidden="false" customHeight="true" outlineLevel="0" collapsed="false">
      <c r="A4150" s="32"/>
      <c r="B4150" s="32"/>
      <c r="C4150" s="32"/>
      <c r="D4150" s="32"/>
      <c r="E4150" s="34" t="str">
        <f aca="false">IF($B4150="","",IF($B4150="OUT","Liters",IFERROR(INDEX(Setup!$F$3:$F$24,MATCH($C4150,Setup!$A$3:$A$24,0)),"")))</f>
        <v/>
      </c>
      <c r="F4150" s="28" t="str">
        <f aca="false">IF(OR($D4150="",$E4150=""),"",IFERROR($D4150*INDEX(Setup!$B$27:$B$44,MATCH($E4150,Setup!$A$27:$A$44,0)),"TBD"))</f>
        <v/>
      </c>
      <c r="G4150" s="32"/>
      <c r="H4150" s="32"/>
      <c r="I4150" s="32"/>
      <c r="J4150" s="32"/>
      <c r="K4150" s="35"/>
      <c r="L4150" s="32"/>
      <c r="M4150" s="32"/>
    </row>
    <row r="4151" customFormat="false" ht="15" hidden="false" customHeight="true" outlineLevel="0" collapsed="false">
      <c r="A4151" s="32"/>
      <c r="B4151" s="32"/>
      <c r="C4151" s="32"/>
      <c r="D4151" s="32"/>
      <c r="E4151" s="34" t="str">
        <f aca="false">IF($B4151="","",IF($B4151="OUT","Liters",IFERROR(INDEX(Setup!$F$3:$F$24,MATCH($C4151,Setup!$A$3:$A$24,0)),"")))</f>
        <v/>
      </c>
      <c r="F4151" s="28" t="str">
        <f aca="false">IF(OR($D4151="",$E4151=""),"",IFERROR($D4151*INDEX(Setup!$B$27:$B$44,MATCH($E4151,Setup!$A$27:$A$44,0)),"TBD"))</f>
        <v/>
      </c>
      <c r="G4151" s="32"/>
      <c r="H4151" s="32"/>
      <c r="I4151" s="32"/>
      <c r="J4151" s="32"/>
      <c r="K4151" s="35"/>
      <c r="L4151" s="32"/>
      <c r="M4151" s="32"/>
    </row>
    <row r="4152" customFormat="false" ht="15" hidden="false" customHeight="true" outlineLevel="0" collapsed="false">
      <c r="A4152" s="32"/>
      <c r="B4152" s="32"/>
      <c r="C4152" s="32"/>
      <c r="D4152" s="32"/>
      <c r="E4152" s="34" t="str">
        <f aca="false">IF($B4152="","",IF($B4152="OUT","Liters",IFERROR(INDEX(Setup!$F$3:$F$24,MATCH($C4152,Setup!$A$3:$A$24,0)),"")))</f>
        <v/>
      </c>
      <c r="F4152" s="28" t="str">
        <f aca="false">IF(OR($D4152="",$E4152=""),"",IFERROR($D4152*INDEX(Setup!$B$27:$B$44,MATCH($E4152,Setup!$A$27:$A$44,0)),"TBD"))</f>
        <v/>
      </c>
      <c r="G4152" s="32"/>
      <c r="H4152" s="32"/>
      <c r="I4152" s="32"/>
      <c r="J4152" s="32"/>
      <c r="K4152" s="35"/>
      <c r="L4152" s="32"/>
      <c r="M4152" s="32"/>
    </row>
    <row r="4153" customFormat="false" ht="15" hidden="false" customHeight="true" outlineLevel="0" collapsed="false">
      <c r="A4153" s="32"/>
      <c r="B4153" s="32"/>
      <c r="C4153" s="32"/>
      <c r="D4153" s="32"/>
      <c r="E4153" s="34" t="str">
        <f aca="false">IF($B4153="","",IF($B4153="OUT","Liters",IFERROR(INDEX(Setup!$F$3:$F$24,MATCH($C4153,Setup!$A$3:$A$24,0)),"")))</f>
        <v/>
      </c>
      <c r="F4153" s="28" t="str">
        <f aca="false">IF(OR($D4153="",$E4153=""),"",IFERROR($D4153*INDEX(Setup!$B$27:$B$44,MATCH($E4153,Setup!$A$27:$A$44,0)),"TBD"))</f>
        <v/>
      </c>
      <c r="G4153" s="32"/>
      <c r="H4153" s="32"/>
      <c r="I4153" s="32"/>
      <c r="J4153" s="32"/>
      <c r="K4153" s="35"/>
      <c r="L4153" s="32"/>
      <c r="M4153" s="32"/>
    </row>
    <row r="4154" customFormat="false" ht="15" hidden="false" customHeight="true" outlineLevel="0" collapsed="false">
      <c r="A4154" s="32"/>
      <c r="B4154" s="32"/>
      <c r="C4154" s="32"/>
      <c r="D4154" s="32"/>
      <c r="E4154" s="34" t="str">
        <f aca="false">IF($B4154="","",IF($B4154="OUT","Liters",IFERROR(INDEX(Setup!$F$3:$F$24,MATCH($C4154,Setup!$A$3:$A$24,0)),"")))</f>
        <v/>
      </c>
      <c r="F4154" s="28" t="str">
        <f aca="false">IF(OR($D4154="",$E4154=""),"",IFERROR($D4154*INDEX(Setup!$B$27:$B$44,MATCH($E4154,Setup!$A$27:$A$44,0)),"TBD"))</f>
        <v/>
      </c>
      <c r="G4154" s="32"/>
      <c r="H4154" s="32"/>
      <c r="I4154" s="32"/>
      <c r="J4154" s="32"/>
      <c r="K4154" s="35"/>
      <c r="L4154" s="32"/>
      <c r="M4154" s="32"/>
    </row>
    <row r="4155" customFormat="false" ht="15" hidden="false" customHeight="true" outlineLevel="0" collapsed="false">
      <c r="A4155" s="32"/>
      <c r="B4155" s="32"/>
      <c r="C4155" s="32"/>
      <c r="D4155" s="32"/>
      <c r="E4155" s="34" t="str">
        <f aca="false">IF($B4155="","",IF($B4155="OUT","Liters",IFERROR(INDEX(Setup!$F$3:$F$24,MATCH($C4155,Setup!$A$3:$A$24,0)),"")))</f>
        <v/>
      </c>
      <c r="F4155" s="28" t="str">
        <f aca="false">IF(OR($D4155="",$E4155=""),"",IFERROR($D4155*INDEX(Setup!$B$27:$B$44,MATCH($E4155,Setup!$A$27:$A$44,0)),"TBD"))</f>
        <v/>
      </c>
      <c r="G4155" s="32"/>
      <c r="H4155" s="32"/>
      <c r="I4155" s="32"/>
      <c r="J4155" s="32"/>
      <c r="K4155" s="35"/>
      <c r="L4155" s="32"/>
      <c r="M4155" s="32"/>
    </row>
    <row r="4156" customFormat="false" ht="15" hidden="false" customHeight="true" outlineLevel="0" collapsed="false">
      <c r="A4156" s="32"/>
      <c r="B4156" s="32"/>
      <c r="C4156" s="32"/>
      <c r="D4156" s="32"/>
      <c r="E4156" s="34" t="str">
        <f aca="false">IF($B4156="","",IF($B4156="OUT","Liters",IFERROR(INDEX(Setup!$F$3:$F$24,MATCH($C4156,Setup!$A$3:$A$24,0)),"")))</f>
        <v/>
      </c>
      <c r="F4156" s="28" t="str">
        <f aca="false">IF(OR($D4156="",$E4156=""),"",IFERROR($D4156*INDEX(Setup!$B$27:$B$44,MATCH($E4156,Setup!$A$27:$A$44,0)),"TBD"))</f>
        <v/>
      </c>
      <c r="G4156" s="32"/>
      <c r="H4156" s="32"/>
      <c r="I4156" s="32"/>
      <c r="J4156" s="32"/>
      <c r="K4156" s="35"/>
      <c r="L4156" s="32"/>
      <c r="M4156" s="32"/>
    </row>
    <row r="4157" customFormat="false" ht="15" hidden="false" customHeight="true" outlineLevel="0" collapsed="false">
      <c r="A4157" s="32"/>
      <c r="B4157" s="32"/>
      <c r="C4157" s="32"/>
      <c r="D4157" s="32"/>
      <c r="E4157" s="34" t="str">
        <f aca="false">IF($B4157="","",IF($B4157="OUT","Liters",IFERROR(INDEX(Setup!$F$3:$F$24,MATCH($C4157,Setup!$A$3:$A$24,0)),"")))</f>
        <v/>
      </c>
      <c r="F4157" s="28" t="str">
        <f aca="false">IF(OR($D4157="",$E4157=""),"",IFERROR($D4157*INDEX(Setup!$B$27:$B$44,MATCH($E4157,Setup!$A$27:$A$44,0)),"TBD"))</f>
        <v/>
      </c>
      <c r="G4157" s="32"/>
      <c r="H4157" s="32"/>
      <c r="I4157" s="32"/>
      <c r="J4157" s="32"/>
      <c r="K4157" s="35"/>
      <c r="L4157" s="32"/>
      <c r="M4157" s="32"/>
    </row>
    <row r="4158" customFormat="false" ht="15" hidden="false" customHeight="true" outlineLevel="0" collapsed="false">
      <c r="A4158" s="32"/>
      <c r="B4158" s="32"/>
      <c r="C4158" s="32"/>
      <c r="D4158" s="32"/>
      <c r="E4158" s="34" t="str">
        <f aca="false">IF($B4158="","",IF($B4158="OUT","Liters",IFERROR(INDEX(Setup!$F$3:$F$24,MATCH($C4158,Setup!$A$3:$A$24,0)),"")))</f>
        <v/>
      </c>
      <c r="F4158" s="28" t="str">
        <f aca="false">IF(OR($D4158="",$E4158=""),"",IFERROR($D4158*INDEX(Setup!$B$27:$B$44,MATCH($E4158,Setup!$A$27:$A$44,0)),"TBD"))</f>
        <v/>
      </c>
      <c r="G4158" s="32"/>
      <c r="H4158" s="32"/>
      <c r="I4158" s="32"/>
      <c r="J4158" s="32"/>
      <c r="K4158" s="35"/>
      <c r="L4158" s="32"/>
      <c r="M4158" s="32"/>
    </row>
    <row r="4159" customFormat="false" ht="15" hidden="false" customHeight="true" outlineLevel="0" collapsed="false">
      <c r="A4159" s="32"/>
      <c r="B4159" s="32"/>
      <c r="C4159" s="32"/>
      <c r="D4159" s="32"/>
      <c r="E4159" s="34" t="str">
        <f aca="false">IF($B4159="","",IF($B4159="OUT","Liters",IFERROR(INDEX(Setup!$F$3:$F$24,MATCH($C4159,Setup!$A$3:$A$24,0)),"")))</f>
        <v/>
      </c>
      <c r="F4159" s="28" t="str">
        <f aca="false">IF(OR($D4159="",$E4159=""),"",IFERROR($D4159*INDEX(Setup!$B$27:$B$44,MATCH($E4159,Setup!$A$27:$A$44,0)),"TBD"))</f>
        <v/>
      </c>
      <c r="G4159" s="32"/>
      <c r="H4159" s="32"/>
      <c r="I4159" s="32"/>
      <c r="J4159" s="32"/>
      <c r="K4159" s="35"/>
      <c r="L4159" s="32"/>
      <c r="M4159" s="32"/>
    </row>
    <row r="4160" customFormat="false" ht="15" hidden="false" customHeight="true" outlineLevel="0" collapsed="false">
      <c r="A4160" s="32"/>
      <c r="B4160" s="32"/>
      <c r="C4160" s="32"/>
      <c r="D4160" s="32"/>
      <c r="E4160" s="34" t="str">
        <f aca="false">IF($B4160="","",IF($B4160="OUT","Liters",IFERROR(INDEX(Setup!$F$3:$F$24,MATCH($C4160,Setup!$A$3:$A$24,0)),"")))</f>
        <v/>
      </c>
      <c r="F4160" s="28" t="str">
        <f aca="false">IF(OR($D4160="",$E4160=""),"",IFERROR($D4160*INDEX(Setup!$B$27:$B$44,MATCH($E4160,Setup!$A$27:$A$44,0)),"TBD"))</f>
        <v/>
      </c>
      <c r="G4160" s="32"/>
      <c r="H4160" s="32"/>
      <c r="I4160" s="32"/>
      <c r="J4160" s="32"/>
      <c r="K4160" s="35"/>
      <c r="L4160" s="32"/>
      <c r="M4160" s="32"/>
    </row>
    <row r="4161" customFormat="false" ht="15" hidden="false" customHeight="true" outlineLevel="0" collapsed="false">
      <c r="A4161" s="32"/>
      <c r="B4161" s="32"/>
      <c r="C4161" s="32"/>
      <c r="D4161" s="32"/>
      <c r="E4161" s="34" t="str">
        <f aca="false">IF($B4161="","",IF($B4161="OUT","Liters",IFERROR(INDEX(Setup!$F$3:$F$24,MATCH($C4161,Setup!$A$3:$A$24,0)),"")))</f>
        <v/>
      </c>
      <c r="F4161" s="28" t="str">
        <f aca="false">IF(OR($D4161="",$E4161=""),"",IFERROR($D4161*INDEX(Setup!$B$27:$B$44,MATCH($E4161,Setup!$A$27:$A$44,0)),"TBD"))</f>
        <v/>
      </c>
      <c r="G4161" s="32"/>
      <c r="H4161" s="32"/>
      <c r="I4161" s="32"/>
      <c r="J4161" s="32"/>
      <c r="K4161" s="35"/>
      <c r="L4161" s="32"/>
      <c r="M4161" s="32"/>
    </row>
    <row r="4162" customFormat="false" ht="15" hidden="false" customHeight="true" outlineLevel="0" collapsed="false">
      <c r="A4162" s="32"/>
      <c r="B4162" s="32"/>
      <c r="C4162" s="32"/>
      <c r="D4162" s="32"/>
      <c r="E4162" s="34" t="str">
        <f aca="false">IF($B4162="","",IF($B4162="OUT","Liters",IFERROR(INDEX(Setup!$F$3:$F$24,MATCH($C4162,Setup!$A$3:$A$24,0)),"")))</f>
        <v/>
      </c>
      <c r="F4162" s="28" t="str">
        <f aca="false">IF(OR($D4162="",$E4162=""),"",IFERROR($D4162*INDEX(Setup!$B$27:$B$44,MATCH($E4162,Setup!$A$27:$A$44,0)),"TBD"))</f>
        <v/>
      </c>
      <c r="G4162" s="32"/>
      <c r="H4162" s="32"/>
      <c r="I4162" s="32"/>
      <c r="J4162" s="32"/>
      <c r="K4162" s="35"/>
      <c r="L4162" s="32"/>
      <c r="M4162" s="32"/>
    </row>
    <row r="4163" customFormat="false" ht="15" hidden="false" customHeight="true" outlineLevel="0" collapsed="false">
      <c r="A4163" s="32"/>
      <c r="B4163" s="32"/>
      <c r="C4163" s="32"/>
      <c r="D4163" s="32"/>
      <c r="E4163" s="34" t="str">
        <f aca="false">IF($B4163="","",IF($B4163="OUT","Liters",IFERROR(INDEX(Setup!$F$3:$F$24,MATCH($C4163,Setup!$A$3:$A$24,0)),"")))</f>
        <v/>
      </c>
      <c r="F4163" s="28" t="str">
        <f aca="false">IF(OR($D4163="",$E4163=""),"",IFERROR($D4163*INDEX(Setup!$B$27:$B$44,MATCH($E4163,Setup!$A$27:$A$44,0)),"TBD"))</f>
        <v/>
      </c>
      <c r="G4163" s="32"/>
      <c r="H4163" s="32"/>
      <c r="I4163" s="32"/>
      <c r="J4163" s="32"/>
      <c r="K4163" s="35"/>
      <c r="L4163" s="32"/>
      <c r="M4163" s="32"/>
    </row>
    <row r="4164" customFormat="false" ht="15" hidden="false" customHeight="true" outlineLevel="0" collapsed="false">
      <c r="A4164" s="32"/>
      <c r="B4164" s="32"/>
      <c r="C4164" s="32"/>
      <c r="D4164" s="32"/>
      <c r="E4164" s="34" t="str">
        <f aca="false">IF($B4164="","",IF($B4164="OUT","Liters",IFERROR(INDEX(Setup!$F$3:$F$24,MATCH($C4164,Setup!$A$3:$A$24,0)),"")))</f>
        <v/>
      </c>
      <c r="F4164" s="28" t="str">
        <f aca="false">IF(OR($D4164="",$E4164=""),"",IFERROR($D4164*INDEX(Setup!$B$27:$B$44,MATCH($E4164,Setup!$A$27:$A$44,0)),"TBD"))</f>
        <v/>
      </c>
      <c r="G4164" s="32"/>
      <c r="H4164" s="32"/>
      <c r="I4164" s="32"/>
      <c r="J4164" s="32"/>
      <c r="K4164" s="35"/>
      <c r="L4164" s="32"/>
      <c r="M4164" s="32"/>
    </row>
    <row r="4165" customFormat="false" ht="15" hidden="false" customHeight="true" outlineLevel="0" collapsed="false">
      <c r="A4165" s="32"/>
      <c r="B4165" s="32"/>
      <c r="C4165" s="32"/>
      <c r="D4165" s="32"/>
      <c r="E4165" s="34" t="str">
        <f aca="false">IF($B4165="","",IF($B4165="OUT","Liters",IFERROR(INDEX(Setup!$F$3:$F$24,MATCH($C4165,Setup!$A$3:$A$24,0)),"")))</f>
        <v/>
      </c>
      <c r="F4165" s="28" t="str">
        <f aca="false">IF(OR($D4165="",$E4165=""),"",IFERROR($D4165*INDEX(Setup!$B$27:$B$44,MATCH($E4165,Setup!$A$27:$A$44,0)),"TBD"))</f>
        <v/>
      </c>
      <c r="G4165" s="32"/>
      <c r="H4165" s="32"/>
      <c r="I4165" s="32"/>
      <c r="J4165" s="32"/>
      <c r="K4165" s="35"/>
      <c r="L4165" s="32"/>
      <c r="M4165" s="32"/>
    </row>
    <row r="4166" customFormat="false" ht="15" hidden="false" customHeight="true" outlineLevel="0" collapsed="false">
      <c r="A4166" s="32"/>
      <c r="B4166" s="32"/>
      <c r="C4166" s="32"/>
      <c r="D4166" s="32"/>
      <c r="E4166" s="34" t="str">
        <f aca="false">IF($B4166="","",IF($B4166="OUT","Liters",IFERROR(INDEX(Setup!$F$3:$F$24,MATCH($C4166,Setup!$A$3:$A$24,0)),"")))</f>
        <v/>
      </c>
      <c r="F4166" s="28" t="str">
        <f aca="false">IF(OR($D4166="",$E4166=""),"",IFERROR($D4166*INDEX(Setup!$B$27:$B$44,MATCH($E4166,Setup!$A$27:$A$44,0)),"TBD"))</f>
        <v/>
      </c>
      <c r="G4166" s="32"/>
      <c r="H4166" s="32"/>
      <c r="I4166" s="32"/>
      <c r="J4166" s="32"/>
      <c r="K4166" s="35"/>
      <c r="L4166" s="32"/>
      <c r="M4166" s="32"/>
    </row>
    <row r="4167" customFormat="false" ht="15" hidden="false" customHeight="true" outlineLevel="0" collapsed="false">
      <c r="A4167" s="32"/>
      <c r="B4167" s="32"/>
      <c r="C4167" s="32"/>
      <c r="D4167" s="32"/>
      <c r="E4167" s="34" t="str">
        <f aca="false">IF($B4167="","",IF($B4167="OUT","Liters",IFERROR(INDEX(Setup!$F$3:$F$24,MATCH($C4167,Setup!$A$3:$A$24,0)),"")))</f>
        <v/>
      </c>
      <c r="F4167" s="28" t="str">
        <f aca="false">IF(OR($D4167="",$E4167=""),"",IFERROR($D4167*INDEX(Setup!$B$27:$B$44,MATCH($E4167,Setup!$A$27:$A$44,0)),"TBD"))</f>
        <v/>
      </c>
      <c r="G4167" s="32"/>
      <c r="H4167" s="32"/>
      <c r="I4167" s="32"/>
      <c r="J4167" s="32"/>
      <c r="K4167" s="35"/>
      <c r="L4167" s="32"/>
      <c r="M4167" s="32"/>
    </row>
    <row r="4168" customFormat="false" ht="15" hidden="false" customHeight="true" outlineLevel="0" collapsed="false">
      <c r="A4168" s="32"/>
      <c r="B4168" s="32"/>
      <c r="C4168" s="32"/>
      <c r="D4168" s="32"/>
      <c r="E4168" s="34" t="str">
        <f aca="false">IF($B4168="","",IF($B4168="OUT","Liters",IFERROR(INDEX(Setup!$F$3:$F$24,MATCH($C4168,Setup!$A$3:$A$24,0)),"")))</f>
        <v/>
      </c>
      <c r="F4168" s="28" t="str">
        <f aca="false">IF(OR($D4168="",$E4168=""),"",IFERROR($D4168*INDEX(Setup!$B$27:$B$44,MATCH($E4168,Setup!$A$27:$A$44,0)),"TBD"))</f>
        <v/>
      </c>
      <c r="G4168" s="32"/>
      <c r="H4168" s="32"/>
      <c r="I4168" s="32"/>
      <c r="J4168" s="32"/>
      <c r="K4168" s="35"/>
      <c r="L4168" s="32"/>
      <c r="M4168" s="32"/>
    </row>
    <row r="4169" customFormat="false" ht="15" hidden="false" customHeight="true" outlineLevel="0" collapsed="false">
      <c r="A4169" s="32"/>
      <c r="B4169" s="32"/>
      <c r="C4169" s="32"/>
      <c r="D4169" s="32"/>
      <c r="E4169" s="34" t="str">
        <f aca="false">IF($B4169="","",IF($B4169="OUT","Liters",IFERROR(INDEX(Setup!$F$3:$F$24,MATCH($C4169,Setup!$A$3:$A$24,0)),"")))</f>
        <v/>
      </c>
      <c r="F4169" s="28" t="str">
        <f aca="false">IF(OR($D4169="",$E4169=""),"",IFERROR($D4169*INDEX(Setup!$B$27:$B$44,MATCH($E4169,Setup!$A$27:$A$44,0)),"TBD"))</f>
        <v/>
      </c>
      <c r="G4169" s="32"/>
      <c r="H4169" s="32"/>
      <c r="I4169" s="32"/>
      <c r="J4169" s="32"/>
      <c r="K4169" s="35"/>
      <c r="L4169" s="32"/>
      <c r="M4169" s="32"/>
    </row>
    <row r="4170" customFormat="false" ht="15" hidden="false" customHeight="true" outlineLevel="0" collapsed="false">
      <c r="A4170" s="32"/>
      <c r="B4170" s="32"/>
      <c r="C4170" s="32"/>
      <c r="D4170" s="32"/>
      <c r="E4170" s="34" t="str">
        <f aca="false">IF($B4170="","",IF($B4170="OUT","Liters",IFERROR(INDEX(Setup!$F$3:$F$24,MATCH($C4170,Setup!$A$3:$A$24,0)),"")))</f>
        <v/>
      </c>
      <c r="F4170" s="28" t="str">
        <f aca="false">IF(OR($D4170="",$E4170=""),"",IFERROR($D4170*INDEX(Setup!$B$27:$B$44,MATCH($E4170,Setup!$A$27:$A$44,0)),"TBD"))</f>
        <v/>
      </c>
      <c r="G4170" s="32"/>
      <c r="H4170" s="32"/>
      <c r="I4170" s="32"/>
      <c r="J4170" s="32"/>
      <c r="K4170" s="35"/>
      <c r="L4170" s="32"/>
      <c r="M4170" s="32"/>
    </row>
    <row r="4171" customFormat="false" ht="15" hidden="false" customHeight="true" outlineLevel="0" collapsed="false">
      <c r="A4171" s="32"/>
      <c r="B4171" s="32"/>
      <c r="C4171" s="32"/>
      <c r="D4171" s="32"/>
      <c r="E4171" s="34" t="str">
        <f aca="false">IF($B4171="","",IF($B4171="OUT","Liters",IFERROR(INDEX(Setup!$F$3:$F$24,MATCH($C4171,Setup!$A$3:$A$24,0)),"")))</f>
        <v/>
      </c>
      <c r="F4171" s="28" t="str">
        <f aca="false">IF(OR($D4171="",$E4171=""),"",IFERROR($D4171*INDEX(Setup!$B$27:$B$44,MATCH($E4171,Setup!$A$27:$A$44,0)),"TBD"))</f>
        <v/>
      </c>
      <c r="G4171" s="32"/>
      <c r="H4171" s="32"/>
      <c r="I4171" s="32"/>
      <c r="J4171" s="32"/>
      <c r="K4171" s="35"/>
      <c r="L4171" s="32"/>
      <c r="M4171" s="32"/>
    </row>
    <row r="4172" customFormat="false" ht="15" hidden="false" customHeight="true" outlineLevel="0" collapsed="false">
      <c r="A4172" s="32"/>
      <c r="B4172" s="32"/>
      <c r="C4172" s="32"/>
      <c r="D4172" s="32"/>
      <c r="E4172" s="34" t="str">
        <f aca="false">IF($B4172="","",IF($B4172="OUT","Liters",IFERROR(INDEX(Setup!$F$3:$F$24,MATCH($C4172,Setup!$A$3:$A$24,0)),"")))</f>
        <v/>
      </c>
      <c r="F4172" s="28" t="str">
        <f aca="false">IF(OR($D4172="",$E4172=""),"",IFERROR($D4172*INDEX(Setup!$B$27:$B$44,MATCH($E4172,Setup!$A$27:$A$44,0)),"TBD"))</f>
        <v/>
      </c>
      <c r="G4172" s="32"/>
      <c r="H4172" s="32"/>
      <c r="I4172" s="32"/>
      <c r="J4172" s="32"/>
      <c r="K4172" s="35"/>
      <c r="L4172" s="32"/>
      <c r="M4172" s="32"/>
    </row>
    <row r="4173" customFormat="false" ht="15" hidden="false" customHeight="true" outlineLevel="0" collapsed="false">
      <c r="A4173" s="32"/>
      <c r="B4173" s="32"/>
      <c r="C4173" s="32"/>
      <c r="D4173" s="32"/>
      <c r="E4173" s="34" t="str">
        <f aca="false">IF($B4173="","",IF($B4173="OUT","Liters",IFERROR(INDEX(Setup!$F$3:$F$24,MATCH($C4173,Setup!$A$3:$A$24,0)),"")))</f>
        <v/>
      </c>
      <c r="F4173" s="28" t="str">
        <f aca="false">IF(OR($D4173="",$E4173=""),"",IFERROR($D4173*INDEX(Setup!$B$27:$B$44,MATCH($E4173,Setup!$A$27:$A$44,0)),"TBD"))</f>
        <v/>
      </c>
      <c r="G4173" s="32"/>
      <c r="H4173" s="32"/>
      <c r="I4173" s="32"/>
      <c r="J4173" s="32"/>
      <c r="K4173" s="35"/>
      <c r="L4173" s="32"/>
      <c r="M4173" s="32"/>
    </row>
    <row r="4174" customFormat="false" ht="15" hidden="false" customHeight="true" outlineLevel="0" collapsed="false">
      <c r="A4174" s="32"/>
      <c r="B4174" s="32"/>
      <c r="C4174" s="32"/>
      <c r="D4174" s="32"/>
      <c r="E4174" s="34" t="str">
        <f aca="false">IF($B4174="","",IF($B4174="OUT","Liters",IFERROR(INDEX(Setup!$F$3:$F$24,MATCH($C4174,Setup!$A$3:$A$24,0)),"")))</f>
        <v/>
      </c>
      <c r="F4174" s="28" t="str">
        <f aca="false">IF(OR($D4174="",$E4174=""),"",IFERROR($D4174*INDEX(Setup!$B$27:$B$44,MATCH($E4174,Setup!$A$27:$A$44,0)),"TBD"))</f>
        <v/>
      </c>
      <c r="G4174" s="32"/>
      <c r="H4174" s="32"/>
      <c r="I4174" s="32"/>
      <c r="J4174" s="32"/>
      <c r="K4174" s="35"/>
      <c r="L4174" s="32"/>
      <c r="M4174" s="32"/>
    </row>
    <row r="4175" customFormat="false" ht="15" hidden="false" customHeight="true" outlineLevel="0" collapsed="false">
      <c r="A4175" s="32"/>
      <c r="B4175" s="32"/>
      <c r="C4175" s="32"/>
      <c r="D4175" s="32"/>
      <c r="E4175" s="34" t="str">
        <f aca="false">IF($B4175="","",IF($B4175="OUT","Liters",IFERROR(INDEX(Setup!$F$3:$F$24,MATCH($C4175,Setup!$A$3:$A$24,0)),"")))</f>
        <v/>
      </c>
      <c r="F4175" s="28" t="str">
        <f aca="false">IF(OR($D4175="",$E4175=""),"",IFERROR($D4175*INDEX(Setup!$B$27:$B$44,MATCH($E4175,Setup!$A$27:$A$44,0)),"TBD"))</f>
        <v/>
      </c>
      <c r="G4175" s="32"/>
      <c r="H4175" s="32"/>
      <c r="I4175" s="32"/>
      <c r="J4175" s="32"/>
      <c r="K4175" s="35"/>
      <c r="L4175" s="32"/>
      <c r="M4175" s="32"/>
    </row>
    <row r="4176" customFormat="false" ht="15" hidden="false" customHeight="true" outlineLevel="0" collapsed="false">
      <c r="A4176" s="32"/>
      <c r="B4176" s="32"/>
      <c r="C4176" s="32"/>
      <c r="D4176" s="32"/>
      <c r="E4176" s="34" t="str">
        <f aca="false">IF($B4176="","",IF($B4176="OUT","Liters",IFERROR(INDEX(Setup!$F$3:$F$24,MATCH($C4176,Setup!$A$3:$A$24,0)),"")))</f>
        <v/>
      </c>
      <c r="F4176" s="28" t="str">
        <f aca="false">IF(OR($D4176="",$E4176=""),"",IFERROR($D4176*INDEX(Setup!$B$27:$B$44,MATCH($E4176,Setup!$A$27:$A$44,0)),"TBD"))</f>
        <v/>
      </c>
      <c r="G4176" s="32"/>
      <c r="H4176" s="32"/>
      <c r="I4176" s="32"/>
      <c r="J4176" s="32"/>
      <c r="K4176" s="35"/>
      <c r="L4176" s="32"/>
      <c r="M4176" s="32"/>
    </row>
    <row r="4177" customFormat="false" ht="15" hidden="false" customHeight="true" outlineLevel="0" collapsed="false">
      <c r="A4177" s="32"/>
      <c r="B4177" s="32"/>
      <c r="C4177" s="32"/>
      <c r="D4177" s="32"/>
      <c r="E4177" s="34" t="str">
        <f aca="false">IF($B4177="","",IF($B4177="OUT","Liters",IFERROR(INDEX(Setup!$F$3:$F$24,MATCH($C4177,Setup!$A$3:$A$24,0)),"")))</f>
        <v/>
      </c>
      <c r="F4177" s="28" t="str">
        <f aca="false">IF(OR($D4177="",$E4177=""),"",IFERROR($D4177*INDEX(Setup!$B$27:$B$44,MATCH($E4177,Setup!$A$27:$A$44,0)),"TBD"))</f>
        <v/>
      </c>
      <c r="G4177" s="32"/>
      <c r="H4177" s="32"/>
      <c r="I4177" s="32"/>
      <c r="J4177" s="32"/>
      <c r="K4177" s="35"/>
      <c r="L4177" s="32"/>
      <c r="M4177" s="32"/>
    </row>
    <row r="4178" customFormat="false" ht="15" hidden="false" customHeight="true" outlineLevel="0" collapsed="false">
      <c r="A4178" s="32"/>
      <c r="B4178" s="32"/>
      <c r="C4178" s="32"/>
      <c r="D4178" s="32"/>
      <c r="E4178" s="34" t="str">
        <f aca="false">IF($B4178="","",IF($B4178="OUT","Liters",IFERROR(INDEX(Setup!$F$3:$F$24,MATCH($C4178,Setup!$A$3:$A$24,0)),"")))</f>
        <v/>
      </c>
      <c r="F4178" s="28" t="str">
        <f aca="false">IF(OR($D4178="",$E4178=""),"",IFERROR($D4178*INDEX(Setup!$B$27:$B$44,MATCH($E4178,Setup!$A$27:$A$44,0)),"TBD"))</f>
        <v/>
      </c>
      <c r="G4178" s="32"/>
      <c r="H4178" s="32"/>
      <c r="I4178" s="32"/>
      <c r="J4178" s="32"/>
      <c r="K4178" s="35"/>
      <c r="L4178" s="32"/>
      <c r="M4178" s="32"/>
    </row>
    <row r="4179" customFormat="false" ht="15" hidden="false" customHeight="true" outlineLevel="0" collapsed="false">
      <c r="A4179" s="32"/>
      <c r="B4179" s="32"/>
      <c r="C4179" s="32"/>
      <c r="D4179" s="32"/>
      <c r="E4179" s="34" t="str">
        <f aca="false">IF($B4179="","",IF($B4179="OUT","Liters",IFERROR(INDEX(Setup!$F$3:$F$24,MATCH($C4179,Setup!$A$3:$A$24,0)),"")))</f>
        <v/>
      </c>
      <c r="F4179" s="28" t="str">
        <f aca="false">IF(OR($D4179="",$E4179=""),"",IFERROR($D4179*INDEX(Setup!$B$27:$B$44,MATCH($E4179,Setup!$A$27:$A$44,0)),"TBD"))</f>
        <v/>
      </c>
      <c r="G4179" s="32"/>
      <c r="H4179" s="32"/>
      <c r="I4179" s="32"/>
      <c r="J4179" s="32"/>
      <c r="K4179" s="35"/>
      <c r="L4179" s="32"/>
      <c r="M4179" s="32"/>
    </row>
    <row r="4180" customFormat="false" ht="15" hidden="false" customHeight="true" outlineLevel="0" collapsed="false">
      <c r="A4180" s="32"/>
      <c r="B4180" s="32"/>
      <c r="C4180" s="32"/>
      <c r="D4180" s="32"/>
      <c r="E4180" s="34" t="str">
        <f aca="false">IF($B4180="","",IF($B4180="OUT","Liters",IFERROR(INDEX(Setup!$F$3:$F$24,MATCH($C4180,Setup!$A$3:$A$24,0)),"")))</f>
        <v/>
      </c>
      <c r="F4180" s="28" t="str">
        <f aca="false">IF(OR($D4180="",$E4180=""),"",IFERROR($D4180*INDEX(Setup!$B$27:$B$44,MATCH($E4180,Setup!$A$27:$A$44,0)),"TBD"))</f>
        <v/>
      </c>
      <c r="G4180" s="32"/>
      <c r="H4180" s="32"/>
      <c r="I4180" s="32"/>
      <c r="J4180" s="32"/>
      <c r="K4180" s="35"/>
      <c r="L4180" s="32"/>
      <c r="M4180" s="32"/>
    </row>
    <row r="4181" customFormat="false" ht="15" hidden="false" customHeight="true" outlineLevel="0" collapsed="false">
      <c r="A4181" s="32"/>
      <c r="B4181" s="32"/>
      <c r="C4181" s="32"/>
      <c r="D4181" s="32"/>
      <c r="E4181" s="34" t="str">
        <f aca="false">IF($B4181="","",IF($B4181="OUT","Liters",IFERROR(INDEX(Setup!$F$3:$F$24,MATCH($C4181,Setup!$A$3:$A$24,0)),"")))</f>
        <v/>
      </c>
      <c r="F4181" s="28" t="str">
        <f aca="false">IF(OR($D4181="",$E4181=""),"",IFERROR($D4181*INDEX(Setup!$B$27:$B$44,MATCH($E4181,Setup!$A$27:$A$44,0)),"TBD"))</f>
        <v/>
      </c>
      <c r="G4181" s="32"/>
      <c r="H4181" s="32"/>
      <c r="I4181" s="32"/>
      <c r="J4181" s="32"/>
      <c r="K4181" s="35"/>
      <c r="L4181" s="32"/>
      <c r="M4181" s="32"/>
    </row>
    <row r="4182" customFormat="false" ht="15" hidden="false" customHeight="true" outlineLevel="0" collapsed="false">
      <c r="A4182" s="32"/>
      <c r="B4182" s="32"/>
      <c r="C4182" s="32"/>
      <c r="D4182" s="32"/>
      <c r="E4182" s="34" t="str">
        <f aca="false">IF($B4182="","",IF($B4182="OUT","Liters",IFERROR(INDEX(Setup!$F$3:$F$24,MATCH($C4182,Setup!$A$3:$A$24,0)),"")))</f>
        <v/>
      </c>
      <c r="F4182" s="28" t="str">
        <f aca="false">IF(OR($D4182="",$E4182=""),"",IFERROR($D4182*INDEX(Setup!$B$27:$B$44,MATCH($E4182,Setup!$A$27:$A$44,0)),"TBD"))</f>
        <v/>
      </c>
      <c r="G4182" s="32"/>
      <c r="H4182" s="32"/>
      <c r="I4182" s="32"/>
      <c r="J4182" s="32"/>
      <c r="K4182" s="35"/>
      <c r="L4182" s="32"/>
      <c r="M4182" s="32"/>
    </row>
    <row r="4183" customFormat="false" ht="15" hidden="false" customHeight="true" outlineLevel="0" collapsed="false">
      <c r="A4183" s="32"/>
      <c r="B4183" s="32"/>
      <c r="C4183" s="32"/>
      <c r="D4183" s="32"/>
      <c r="E4183" s="34" t="str">
        <f aca="false">IF($B4183="","",IF($B4183="OUT","Liters",IFERROR(INDEX(Setup!$F$3:$F$24,MATCH($C4183,Setup!$A$3:$A$24,0)),"")))</f>
        <v/>
      </c>
      <c r="F4183" s="28" t="str">
        <f aca="false">IF(OR($D4183="",$E4183=""),"",IFERROR($D4183*INDEX(Setup!$B$27:$B$44,MATCH($E4183,Setup!$A$27:$A$44,0)),"TBD"))</f>
        <v/>
      </c>
      <c r="G4183" s="32"/>
      <c r="H4183" s="32"/>
      <c r="I4183" s="32"/>
      <c r="J4183" s="32"/>
      <c r="K4183" s="35"/>
      <c r="L4183" s="32"/>
      <c r="M4183" s="32"/>
    </row>
    <row r="4184" customFormat="false" ht="15" hidden="false" customHeight="true" outlineLevel="0" collapsed="false">
      <c r="A4184" s="32"/>
      <c r="B4184" s="32"/>
      <c r="C4184" s="32"/>
      <c r="D4184" s="32"/>
      <c r="E4184" s="34" t="str">
        <f aca="false">IF($B4184="","",IF($B4184="OUT","Liters",IFERROR(INDEX(Setup!$F$3:$F$24,MATCH($C4184,Setup!$A$3:$A$24,0)),"")))</f>
        <v/>
      </c>
      <c r="F4184" s="28" t="str">
        <f aca="false">IF(OR($D4184="",$E4184=""),"",IFERROR($D4184*INDEX(Setup!$B$27:$B$44,MATCH($E4184,Setup!$A$27:$A$44,0)),"TBD"))</f>
        <v/>
      </c>
      <c r="G4184" s="32"/>
      <c r="H4184" s="32"/>
      <c r="I4184" s="32"/>
      <c r="J4184" s="32"/>
      <c r="K4184" s="35"/>
      <c r="L4184" s="32"/>
      <c r="M4184" s="32"/>
    </row>
    <row r="4185" customFormat="false" ht="15" hidden="false" customHeight="true" outlineLevel="0" collapsed="false">
      <c r="A4185" s="32"/>
      <c r="B4185" s="32"/>
      <c r="C4185" s="32"/>
      <c r="D4185" s="32"/>
      <c r="E4185" s="34" t="str">
        <f aca="false">IF($B4185="","",IF($B4185="OUT","Liters",IFERROR(INDEX(Setup!$F$3:$F$24,MATCH($C4185,Setup!$A$3:$A$24,0)),"")))</f>
        <v/>
      </c>
      <c r="F4185" s="28" t="str">
        <f aca="false">IF(OR($D4185="",$E4185=""),"",IFERROR($D4185*INDEX(Setup!$B$27:$B$44,MATCH($E4185,Setup!$A$27:$A$44,0)),"TBD"))</f>
        <v/>
      </c>
      <c r="G4185" s="32"/>
      <c r="H4185" s="32"/>
      <c r="I4185" s="32"/>
      <c r="J4185" s="32"/>
      <c r="K4185" s="35"/>
      <c r="L4185" s="32"/>
      <c r="M4185" s="32"/>
    </row>
    <row r="4186" customFormat="false" ht="15" hidden="false" customHeight="true" outlineLevel="0" collapsed="false">
      <c r="A4186" s="32"/>
      <c r="B4186" s="32"/>
      <c r="C4186" s="32"/>
      <c r="D4186" s="32"/>
      <c r="E4186" s="34" t="str">
        <f aca="false">IF($B4186="","",IF($B4186="OUT","Liters",IFERROR(INDEX(Setup!$F$3:$F$24,MATCH($C4186,Setup!$A$3:$A$24,0)),"")))</f>
        <v/>
      </c>
      <c r="F4186" s="28" t="str">
        <f aca="false">IF(OR($D4186="",$E4186=""),"",IFERROR($D4186*INDEX(Setup!$B$27:$B$44,MATCH($E4186,Setup!$A$27:$A$44,0)),"TBD"))</f>
        <v/>
      </c>
      <c r="G4186" s="32"/>
      <c r="H4186" s="32"/>
      <c r="I4186" s="32"/>
      <c r="J4186" s="32"/>
      <c r="K4186" s="35"/>
      <c r="L4186" s="32"/>
      <c r="M4186" s="32"/>
    </row>
    <row r="4187" customFormat="false" ht="15" hidden="false" customHeight="true" outlineLevel="0" collapsed="false">
      <c r="A4187" s="32"/>
      <c r="B4187" s="32"/>
      <c r="C4187" s="32"/>
      <c r="D4187" s="32"/>
      <c r="E4187" s="34" t="str">
        <f aca="false">IF($B4187="","",IF($B4187="OUT","Liters",IFERROR(INDEX(Setup!$F$3:$F$24,MATCH($C4187,Setup!$A$3:$A$24,0)),"")))</f>
        <v/>
      </c>
      <c r="F4187" s="28" t="str">
        <f aca="false">IF(OR($D4187="",$E4187=""),"",IFERROR($D4187*INDEX(Setup!$B$27:$B$44,MATCH($E4187,Setup!$A$27:$A$44,0)),"TBD"))</f>
        <v/>
      </c>
      <c r="G4187" s="32"/>
      <c r="H4187" s="32"/>
      <c r="I4187" s="32"/>
      <c r="J4187" s="32"/>
      <c r="K4187" s="35"/>
      <c r="L4187" s="32"/>
      <c r="M4187" s="32"/>
    </row>
    <row r="4188" customFormat="false" ht="15" hidden="false" customHeight="true" outlineLevel="0" collapsed="false">
      <c r="A4188" s="32"/>
      <c r="B4188" s="32"/>
      <c r="C4188" s="32"/>
      <c r="D4188" s="32"/>
      <c r="E4188" s="34" t="str">
        <f aca="false">IF($B4188="","",IF($B4188="OUT","Liters",IFERROR(INDEX(Setup!$F$3:$F$24,MATCH($C4188,Setup!$A$3:$A$24,0)),"")))</f>
        <v/>
      </c>
      <c r="F4188" s="28" t="str">
        <f aca="false">IF(OR($D4188="",$E4188=""),"",IFERROR($D4188*INDEX(Setup!$B$27:$B$44,MATCH($E4188,Setup!$A$27:$A$44,0)),"TBD"))</f>
        <v/>
      </c>
      <c r="G4188" s="32"/>
      <c r="H4188" s="32"/>
      <c r="I4188" s="32"/>
      <c r="J4188" s="32"/>
      <c r="K4188" s="35"/>
      <c r="L4188" s="32"/>
      <c r="M4188" s="32"/>
    </row>
    <row r="4189" customFormat="false" ht="15" hidden="false" customHeight="true" outlineLevel="0" collapsed="false">
      <c r="A4189" s="32"/>
      <c r="B4189" s="32"/>
      <c r="C4189" s="32"/>
      <c r="D4189" s="32"/>
      <c r="E4189" s="34" t="str">
        <f aca="false">IF($B4189="","",IF($B4189="OUT","Liters",IFERROR(INDEX(Setup!$F$3:$F$24,MATCH($C4189,Setup!$A$3:$A$24,0)),"")))</f>
        <v/>
      </c>
      <c r="F4189" s="28" t="str">
        <f aca="false">IF(OR($D4189="",$E4189=""),"",IFERROR($D4189*INDEX(Setup!$B$27:$B$44,MATCH($E4189,Setup!$A$27:$A$44,0)),"TBD"))</f>
        <v/>
      </c>
      <c r="G4189" s="32"/>
      <c r="H4189" s="32"/>
      <c r="I4189" s="32"/>
      <c r="J4189" s="32"/>
      <c r="K4189" s="35"/>
      <c r="L4189" s="32"/>
      <c r="M4189" s="32"/>
    </row>
    <row r="4190" customFormat="false" ht="15" hidden="false" customHeight="true" outlineLevel="0" collapsed="false">
      <c r="A4190" s="32"/>
      <c r="B4190" s="32"/>
      <c r="C4190" s="32"/>
      <c r="D4190" s="32"/>
      <c r="E4190" s="34" t="str">
        <f aca="false">IF($B4190="","",IF($B4190="OUT","Liters",IFERROR(INDEX(Setup!$F$3:$F$24,MATCH($C4190,Setup!$A$3:$A$24,0)),"")))</f>
        <v/>
      </c>
      <c r="F4190" s="28" t="str">
        <f aca="false">IF(OR($D4190="",$E4190=""),"",IFERROR($D4190*INDEX(Setup!$B$27:$B$44,MATCH($E4190,Setup!$A$27:$A$44,0)),"TBD"))</f>
        <v/>
      </c>
      <c r="G4190" s="32"/>
      <c r="H4190" s="32"/>
      <c r="I4190" s="32"/>
      <c r="J4190" s="32"/>
      <c r="K4190" s="35"/>
      <c r="L4190" s="32"/>
      <c r="M4190" s="32"/>
    </row>
    <row r="4191" customFormat="false" ht="15" hidden="false" customHeight="true" outlineLevel="0" collapsed="false">
      <c r="A4191" s="32"/>
      <c r="B4191" s="32"/>
      <c r="C4191" s="32"/>
      <c r="D4191" s="32"/>
      <c r="E4191" s="34" t="str">
        <f aca="false">IF($B4191="","",IF($B4191="OUT","Liters",IFERROR(INDEX(Setup!$F$3:$F$24,MATCH($C4191,Setup!$A$3:$A$24,0)),"")))</f>
        <v/>
      </c>
      <c r="F4191" s="28" t="str">
        <f aca="false">IF(OR($D4191="",$E4191=""),"",IFERROR($D4191*INDEX(Setup!$B$27:$B$44,MATCH($E4191,Setup!$A$27:$A$44,0)),"TBD"))</f>
        <v/>
      </c>
      <c r="G4191" s="32"/>
      <c r="H4191" s="32"/>
      <c r="I4191" s="32"/>
      <c r="J4191" s="32"/>
      <c r="K4191" s="35"/>
      <c r="L4191" s="32"/>
      <c r="M4191" s="32"/>
    </row>
    <row r="4192" customFormat="false" ht="15" hidden="false" customHeight="true" outlineLevel="0" collapsed="false">
      <c r="A4192" s="32"/>
      <c r="B4192" s="32"/>
      <c r="C4192" s="32"/>
      <c r="D4192" s="32"/>
      <c r="E4192" s="34" t="str">
        <f aca="false">IF($B4192="","",IF($B4192="OUT","Liters",IFERROR(INDEX(Setup!$F$3:$F$24,MATCH($C4192,Setup!$A$3:$A$24,0)),"")))</f>
        <v/>
      </c>
      <c r="F4192" s="28" t="str">
        <f aca="false">IF(OR($D4192="",$E4192=""),"",IFERROR($D4192*INDEX(Setup!$B$27:$B$44,MATCH($E4192,Setup!$A$27:$A$44,0)),"TBD"))</f>
        <v/>
      </c>
      <c r="G4192" s="32"/>
      <c r="H4192" s="32"/>
      <c r="I4192" s="32"/>
      <c r="J4192" s="32"/>
      <c r="K4192" s="35"/>
      <c r="L4192" s="32"/>
      <c r="M4192" s="32"/>
    </row>
    <row r="4193" customFormat="false" ht="15" hidden="false" customHeight="true" outlineLevel="0" collapsed="false">
      <c r="A4193" s="32"/>
      <c r="B4193" s="32"/>
      <c r="C4193" s="32"/>
      <c r="D4193" s="32"/>
      <c r="E4193" s="34" t="str">
        <f aca="false">IF($B4193="","",IF($B4193="OUT","Liters",IFERROR(INDEX(Setup!$F$3:$F$24,MATCH($C4193,Setup!$A$3:$A$24,0)),"")))</f>
        <v/>
      </c>
      <c r="F4193" s="28" t="str">
        <f aca="false">IF(OR($D4193="",$E4193=""),"",IFERROR($D4193*INDEX(Setup!$B$27:$B$44,MATCH($E4193,Setup!$A$27:$A$44,0)),"TBD"))</f>
        <v/>
      </c>
      <c r="G4193" s="32"/>
      <c r="H4193" s="32"/>
      <c r="I4193" s="32"/>
      <c r="J4193" s="32"/>
      <c r="K4193" s="35"/>
      <c r="L4193" s="32"/>
      <c r="M4193" s="32"/>
    </row>
    <row r="4194" customFormat="false" ht="15" hidden="false" customHeight="true" outlineLevel="0" collapsed="false">
      <c r="A4194" s="32"/>
      <c r="B4194" s="32"/>
      <c r="C4194" s="32"/>
      <c r="D4194" s="32"/>
      <c r="E4194" s="34" t="str">
        <f aca="false">IF($B4194="","",IF($B4194="OUT","Liters",IFERROR(INDEX(Setup!$F$3:$F$24,MATCH($C4194,Setup!$A$3:$A$24,0)),"")))</f>
        <v/>
      </c>
      <c r="F4194" s="28" t="str">
        <f aca="false">IF(OR($D4194="",$E4194=""),"",IFERROR($D4194*INDEX(Setup!$B$27:$B$44,MATCH($E4194,Setup!$A$27:$A$44,0)),"TBD"))</f>
        <v/>
      </c>
      <c r="G4194" s="32"/>
      <c r="H4194" s="32"/>
      <c r="I4194" s="32"/>
      <c r="J4194" s="32"/>
      <c r="K4194" s="35"/>
      <c r="L4194" s="32"/>
      <c r="M4194" s="32"/>
    </row>
    <row r="4195" customFormat="false" ht="15" hidden="false" customHeight="true" outlineLevel="0" collapsed="false">
      <c r="A4195" s="32"/>
      <c r="B4195" s="32"/>
      <c r="C4195" s="32"/>
      <c r="D4195" s="32"/>
      <c r="E4195" s="34" t="str">
        <f aca="false">IF($B4195="","",IF($B4195="OUT","Liters",IFERROR(INDEX(Setup!$F$3:$F$24,MATCH($C4195,Setup!$A$3:$A$24,0)),"")))</f>
        <v/>
      </c>
      <c r="F4195" s="28" t="str">
        <f aca="false">IF(OR($D4195="",$E4195=""),"",IFERROR($D4195*INDEX(Setup!$B$27:$B$44,MATCH($E4195,Setup!$A$27:$A$44,0)),"TBD"))</f>
        <v/>
      </c>
      <c r="G4195" s="32"/>
      <c r="H4195" s="32"/>
      <c r="I4195" s="32"/>
      <c r="J4195" s="32"/>
      <c r="K4195" s="35"/>
      <c r="L4195" s="32"/>
      <c r="M4195" s="32"/>
    </row>
    <row r="4196" customFormat="false" ht="15" hidden="false" customHeight="true" outlineLevel="0" collapsed="false">
      <c r="A4196" s="32"/>
      <c r="B4196" s="32"/>
      <c r="C4196" s="32"/>
      <c r="D4196" s="32"/>
      <c r="E4196" s="34" t="str">
        <f aca="false">IF($B4196="","",IF($B4196="OUT","Liters",IFERROR(INDEX(Setup!$F$3:$F$24,MATCH($C4196,Setup!$A$3:$A$24,0)),"")))</f>
        <v/>
      </c>
      <c r="F4196" s="28" t="str">
        <f aca="false">IF(OR($D4196="",$E4196=""),"",IFERROR($D4196*INDEX(Setup!$B$27:$B$44,MATCH($E4196,Setup!$A$27:$A$44,0)),"TBD"))</f>
        <v/>
      </c>
      <c r="G4196" s="32"/>
      <c r="H4196" s="32"/>
      <c r="I4196" s="32"/>
      <c r="J4196" s="32"/>
      <c r="K4196" s="35"/>
      <c r="L4196" s="32"/>
      <c r="M4196" s="32"/>
    </row>
    <row r="4197" customFormat="false" ht="15" hidden="false" customHeight="true" outlineLevel="0" collapsed="false">
      <c r="A4197" s="32"/>
      <c r="B4197" s="32"/>
      <c r="C4197" s="32"/>
      <c r="D4197" s="32"/>
      <c r="E4197" s="34" t="str">
        <f aca="false">IF($B4197="","",IF($B4197="OUT","Liters",IFERROR(INDEX(Setup!$F$3:$F$24,MATCH($C4197,Setup!$A$3:$A$24,0)),"")))</f>
        <v/>
      </c>
      <c r="F4197" s="28" t="str">
        <f aca="false">IF(OR($D4197="",$E4197=""),"",IFERROR($D4197*INDEX(Setup!$B$27:$B$44,MATCH($E4197,Setup!$A$27:$A$44,0)),"TBD"))</f>
        <v/>
      </c>
      <c r="G4197" s="32"/>
      <c r="H4197" s="32"/>
      <c r="I4197" s="32"/>
      <c r="J4197" s="32"/>
      <c r="K4197" s="35"/>
      <c r="L4197" s="32"/>
      <c r="M4197" s="32"/>
    </row>
    <row r="4198" customFormat="false" ht="15" hidden="false" customHeight="true" outlineLevel="0" collapsed="false">
      <c r="A4198" s="32"/>
      <c r="B4198" s="32"/>
      <c r="C4198" s="32"/>
      <c r="D4198" s="32"/>
      <c r="E4198" s="34" t="str">
        <f aca="false">IF($B4198="","",IF($B4198="OUT","Liters",IFERROR(INDEX(Setup!$F$3:$F$24,MATCH($C4198,Setup!$A$3:$A$24,0)),"")))</f>
        <v/>
      </c>
      <c r="F4198" s="28" t="str">
        <f aca="false">IF(OR($D4198="",$E4198=""),"",IFERROR($D4198*INDEX(Setup!$B$27:$B$44,MATCH($E4198,Setup!$A$27:$A$44,0)),"TBD"))</f>
        <v/>
      </c>
      <c r="G4198" s="32"/>
      <c r="H4198" s="32"/>
      <c r="I4198" s="32"/>
      <c r="J4198" s="32"/>
      <c r="K4198" s="35"/>
      <c r="L4198" s="32"/>
      <c r="M4198" s="32"/>
    </row>
    <row r="4199" customFormat="false" ht="15" hidden="false" customHeight="true" outlineLevel="0" collapsed="false">
      <c r="A4199" s="32"/>
      <c r="B4199" s="32"/>
      <c r="C4199" s="32"/>
      <c r="D4199" s="32"/>
      <c r="E4199" s="34" t="str">
        <f aca="false">IF($B4199="","",IF($B4199="OUT","Liters",IFERROR(INDEX(Setup!$F$3:$F$24,MATCH($C4199,Setup!$A$3:$A$24,0)),"")))</f>
        <v/>
      </c>
      <c r="F4199" s="28" t="str">
        <f aca="false">IF(OR($D4199="",$E4199=""),"",IFERROR($D4199*INDEX(Setup!$B$27:$B$44,MATCH($E4199,Setup!$A$27:$A$44,0)),"TBD"))</f>
        <v/>
      </c>
      <c r="G4199" s="32"/>
      <c r="H4199" s="32"/>
      <c r="I4199" s="32"/>
      <c r="J4199" s="32"/>
      <c r="K4199" s="35"/>
      <c r="L4199" s="32"/>
      <c r="M4199" s="32"/>
    </row>
    <row r="4200" customFormat="false" ht="15" hidden="false" customHeight="true" outlineLevel="0" collapsed="false">
      <c r="A4200" s="32"/>
      <c r="B4200" s="32"/>
      <c r="C4200" s="32"/>
      <c r="D4200" s="32"/>
      <c r="E4200" s="34" t="str">
        <f aca="false">IF($B4200="","",IF($B4200="OUT","Liters",IFERROR(INDEX(Setup!$F$3:$F$24,MATCH($C4200,Setup!$A$3:$A$24,0)),"")))</f>
        <v/>
      </c>
      <c r="F4200" s="28" t="str">
        <f aca="false">IF(OR($D4200="",$E4200=""),"",IFERROR($D4200*INDEX(Setup!$B$27:$B$44,MATCH($E4200,Setup!$A$27:$A$44,0)),"TBD"))</f>
        <v/>
      </c>
      <c r="G4200" s="32"/>
      <c r="H4200" s="32"/>
      <c r="I4200" s="32"/>
      <c r="J4200" s="32"/>
      <c r="K4200" s="35"/>
      <c r="L4200" s="32"/>
      <c r="M4200" s="32"/>
    </row>
    <row r="4201" customFormat="false" ht="15" hidden="false" customHeight="true" outlineLevel="0" collapsed="false">
      <c r="A4201" s="32"/>
      <c r="B4201" s="32"/>
      <c r="C4201" s="32"/>
      <c r="D4201" s="32"/>
      <c r="E4201" s="34" t="str">
        <f aca="false">IF($B4201="","",IF($B4201="OUT","Liters",IFERROR(INDEX(Setup!$F$3:$F$24,MATCH($C4201,Setup!$A$3:$A$24,0)),"")))</f>
        <v/>
      </c>
      <c r="F4201" s="28" t="str">
        <f aca="false">IF(OR($D4201="",$E4201=""),"",IFERROR($D4201*INDEX(Setup!$B$27:$B$44,MATCH($E4201,Setup!$A$27:$A$44,0)),"TBD"))</f>
        <v/>
      </c>
      <c r="G4201" s="32"/>
      <c r="H4201" s="32"/>
      <c r="I4201" s="32"/>
      <c r="J4201" s="32"/>
      <c r="K4201" s="35"/>
      <c r="L4201" s="32"/>
      <c r="M4201" s="32"/>
    </row>
    <row r="4202" customFormat="false" ht="15" hidden="false" customHeight="true" outlineLevel="0" collapsed="false">
      <c r="A4202" s="32"/>
      <c r="B4202" s="32"/>
      <c r="C4202" s="32"/>
      <c r="D4202" s="32"/>
      <c r="E4202" s="34" t="str">
        <f aca="false">IF($B4202="","",IF($B4202="OUT","Liters",IFERROR(INDEX(Setup!$F$3:$F$24,MATCH($C4202,Setup!$A$3:$A$24,0)),"")))</f>
        <v/>
      </c>
      <c r="F4202" s="28" t="str">
        <f aca="false">IF(OR($D4202="",$E4202=""),"",IFERROR($D4202*INDEX(Setup!$B$27:$B$44,MATCH($E4202,Setup!$A$27:$A$44,0)),"TBD"))</f>
        <v/>
      </c>
      <c r="G4202" s="32"/>
      <c r="H4202" s="32"/>
      <c r="I4202" s="32"/>
      <c r="J4202" s="32"/>
      <c r="K4202" s="35"/>
      <c r="L4202" s="32"/>
      <c r="M4202" s="32"/>
    </row>
    <row r="4203" customFormat="false" ht="15" hidden="false" customHeight="true" outlineLevel="0" collapsed="false">
      <c r="A4203" s="32"/>
      <c r="B4203" s="32"/>
      <c r="C4203" s="32"/>
      <c r="D4203" s="32"/>
      <c r="E4203" s="34" t="str">
        <f aca="false">IF($B4203="","",IF($B4203="OUT","Liters",IFERROR(INDEX(Setup!$F$3:$F$24,MATCH($C4203,Setup!$A$3:$A$24,0)),"")))</f>
        <v/>
      </c>
      <c r="F4203" s="28" t="str">
        <f aca="false">IF(OR($D4203="",$E4203=""),"",IFERROR($D4203*INDEX(Setup!$B$27:$B$44,MATCH($E4203,Setup!$A$27:$A$44,0)),"TBD"))</f>
        <v/>
      </c>
      <c r="G4203" s="32"/>
      <c r="H4203" s="32"/>
      <c r="I4203" s="32"/>
      <c r="J4203" s="32"/>
      <c r="K4203" s="35"/>
      <c r="L4203" s="32"/>
      <c r="M4203" s="32"/>
    </row>
    <row r="4204" customFormat="false" ht="15" hidden="false" customHeight="true" outlineLevel="0" collapsed="false">
      <c r="A4204" s="32"/>
      <c r="B4204" s="32"/>
      <c r="C4204" s="32"/>
      <c r="D4204" s="32"/>
      <c r="E4204" s="34" t="str">
        <f aca="false">IF($B4204="","",IF($B4204="OUT","Liters",IFERROR(INDEX(Setup!$F$3:$F$24,MATCH($C4204,Setup!$A$3:$A$24,0)),"")))</f>
        <v/>
      </c>
      <c r="F4204" s="28" t="str">
        <f aca="false">IF(OR($D4204="",$E4204=""),"",IFERROR($D4204*INDEX(Setup!$B$27:$B$44,MATCH($E4204,Setup!$A$27:$A$44,0)),"TBD"))</f>
        <v/>
      </c>
      <c r="G4204" s="32"/>
      <c r="H4204" s="32"/>
      <c r="I4204" s="32"/>
      <c r="J4204" s="32"/>
      <c r="K4204" s="35"/>
      <c r="L4204" s="32"/>
      <c r="M4204" s="32"/>
    </row>
    <row r="4205" customFormat="false" ht="15" hidden="false" customHeight="true" outlineLevel="0" collapsed="false">
      <c r="A4205" s="32"/>
      <c r="B4205" s="32"/>
      <c r="C4205" s="32"/>
      <c r="D4205" s="32"/>
      <c r="E4205" s="34" t="str">
        <f aca="false">IF($B4205="","",IF($B4205="OUT","Liters",IFERROR(INDEX(Setup!$F$3:$F$24,MATCH($C4205,Setup!$A$3:$A$24,0)),"")))</f>
        <v/>
      </c>
      <c r="F4205" s="28" t="str">
        <f aca="false">IF(OR($D4205="",$E4205=""),"",IFERROR($D4205*INDEX(Setup!$B$27:$B$44,MATCH($E4205,Setup!$A$27:$A$44,0)),"TBD"))</f>
        <v/>
      </c>
      <c r="G4205" s="32"/>
      <c r="H4205" s="32"/>
      <c r="I4205" s="32"/>
      <c r="J4205" s="32"/>
      <c r="K4205" s="35"/>
      <c r="L4205" s="32"/>
      <c r="M4205" s="32"/>
    </row>
    <row r="4206" customFormat="false" ht="15" hidden="false" customHeight="true" outlineLevel="0" collapsed="false">
      <c r="A4206" s="32"/>
      <c r="B4206" s="32"/>
      <c r="C4206" s="32"/>
      <c r="D4206" s="32"/>
      <c r="E4206" s="34" t="str">
        <f aca="false">IF($B4206="","",IF($B4206="OUT","Liters",IFERROR(INDEX(Setup!$F$3:$F$24,MATCH($C4206,Setup!$A$3:$A$24,0)),"")))</f>
        <v/>
      </c>
      <c r="F4206" s="28" t="str">
        <f aca="false">IF(OR($D4206="",$E4206=""),"",IFERROR($D4206*INDEX(Setup!$B$27:$B$44,MATCH($E4206,Setup!$A$27:$A$44,0)),"TBD"))</f>
        <v/>
      </c>
      <c r="G4206" s="32"/>
      <c r="H4206" s="32"/>
      <c r="I4206" s="32"/>
      <c r="J4206" s="32"/>
      <c r="K4206" s="35"/>
      <c r="L4206" s="32"/>
      <c r="M4206" s="32"/>
    </row>
    <row r="4207" customFormat="false" ht="15" hidden="false" customHeight="true" outlineLevel="0" collapsed="false">
      <c r="A4207" s="32"/>
      <c r="B4207" s="32"/>
      <c r="C4207" s="32"/>
      <c r="D4207" s="32"/>
      <c r="E4207" s="34" t="str">
        <f aca="false">IF($B4207="","",IF($B4207="OUT","Liters",IFERROR(INDEX(Setup!$F$3:$F$24,MATCH($C4207,Setup!$A$3:$A$24,0)),"")))</f>
        <v/>
      </c>
      <c r="F4207" s="28" t="str">
        <f aca="false">IF(OR($D4207="",$E4207=""),"",IFERROR($D4207*INDEX(Setup!$B$27:$B$44,MATCH($E4207,Setup!$A$27:$A$44,0)),"TBD"))</f>
        <v/>
      </c>
      <c r="G4207" s="32"/>
      <c r="H4207" s="32"/>
      <c r="I4207" s="32"/>
      <c r="J4207" s="32"/>
      <c r="K4207" s="35"/>
      <c r="L4207" s="32"/>
      <c r="M4207" s="32"/>
    </row>
    <row r="4208" customFormat="false" ht="15" hidden="false" customHeight="true" outlineLevel="0" collapsed="false">
      <c r="A4208" s="32"/>
      <c r="B4208" s="32"/>
      <c r="C4208" s="32"/>
      <c r="D4208" s="32"/>
      <c r="E4208" s="34" t="str">
        <f aca="false">IF($B4208="","",IF($B4208="OUT","Liters",IFERROR(INDEX(Setup!$F$3:$F$24,MATCH($C4208,Setup!$A$3:$A$24,0)),"")))</f>
        <v/>
      </c>
      <c r="F4208" s="28" t="str">
        <f aca="false">IF(OR($D4208="",$E4208=""),"",IFERROR($D4208*INDEX(Setup!$B$27:$B$44,MATCH($E4208,Setup!$A$27:$A$44,0)),"TBD"))</f>
        <v/>
      </c>
      <c r="G4208" s="32"/>
      <c r="H4208" s="32"/>
      <c r="I4208" s="32"/>
      <c r="J4208" s="32"/>
      <c r="K4208" s="35"/>
      <c r="L4208" s="32"/>
      <c r="M4208" s="32"/>
    </row>
    <row r="4209" customFormat="false" ht="15" hidden="false" customHeight="true" outlineLevel="0" collapsed="false">
      <c r="A4209" s="32"/>
      <c r="B4209" s="32"/>
      <c r="C4209" s="32"/>
      <c r="D4209" s="32"/>
      <c r="E4209" s="34" t="str">
        <f aca="false">IF($B4209="","",IF($B4209="OUT","Liters",IFERROR(INDEX(Setup!$F$3:$F$24,MATCH($C4209,Setup!$A$3:$A$24,0)),"")))</f>
        <v/>
      </c>
      <c r="F4209" s="28" t="str">
        <f aca="false">IF(OR($D4209="",$E4209=""),"",IFERROR($D4209*INDEX(Setup!$B$27:$B$44,MATCH($E4209,Setup!$A$27:$A$44,0)),"TBD"))</f>
        <v/>
      </c>
      <c r="G4209" s="32"/>
      <c r="H4209" s="32"/>
      <c r="I4209" s="32"/>
      <c r="J4209" s="32"/>
      <c r="K4209" s="35"/>
      <c r="L4209" s="32"/>
      <c r="M4209" s="32"/>
    </row>
    <row r="4210" customFormat="false" ht="15" hidden="false" customHeight="true" outlineLevel="0" collapsed="false">
      <c r="A4210" s="32"/>
      <c r="B4210" s="32"/>
      <c r="C4210" s="32"/>
      <c r="D4210" s="32"/>
      <c r="E4210" s="34" t="str">
        <f aca="false">IF($B4210="","",IF($B4210="OUT","Liters",IFERROR(INDEX(Setup!$F$3:$F$24,MATCH($C4210,Setup!$A$3:$A$24,0)),"")))</f>
        <v/>
      </c>
      <c r="F4210" s="28" t="str">
        <f aca="false">IF(OR($D4210="",$E4210=""),"",IFERROR($D4210*INDEX(Setup!$B$27:$B$44,MATCH($E4210,Setup!$A$27:$A$44,0)),"TBD"))</f>
        <v/>
      </c>
      <c r="G4210" s="32"/>
      <c r="H4210" s="32"/>
      <c r="I4210" s="32"/>
      <c r="J4210" s="32"/>
      <c r="K4210" s="35"/>
      <c r="L4210" s="32"/>
      <c r="M4210" s="32"/>
    </row>
    <row r="4211" customFormat="false" ht="15" hidden="false" customHeight="true" outlineLevel="0" collapsed="false">
      <c r="A4211" s="32"/>
      <c r="B4211" s="32"/>
      <c r="C4211" s="32"/>
      <c r="D4211" s="32"/>
      <c r="E4211" s="34" t="str">
        <f aca="false">IF($B4211="","",IF($B4211="OUT","Liters",IFERROR(INDEX(Setup!$F$3:$F$24,MATCH($C4211,Setup!$A$3:$A$24,0)),"")))</f>
        <v/>
      </c>
      <c r="F4211" s="28" t="str">
        <f aca="false">IF(OR($D4211="",$E4211=""),"",IFERROR($D4211*INDEX(Setup!$B$27:$B$44,MATCH($E4211,Setup!$A$27:$A$44,0)),"TBD"))</f>
        <v/>
      </c>
      <c r="G4211" s="32"/>
      <c r="H4211" s="32"/>
      <c r="I4211" s="32"/>
      <c r="J4211" s="32"/>
      <c r="K4211" s="35"/>
      <c r="L4211" s="32"/>
      <c r="M4211" s="32"/>
    </row>
    <row r="4212" customFormat="false" ht="15" hidden="false" customHeight="true" outlineLevel="0" collapsed="false">
      <c r="A4212" s="32"/>
      <c r="B4212" s="32"/>
      <c r="C4212" s="32"/>
      <c r="D4212" s="32"/>
      <c r="E4212" s="34" t="str">
        <f aca="false">IF($B4212="","",IF($B4212="OUT","Liters",IFERROR(INDEX(Setup!$F$3:$F$24,MATCH($C4212,Setup!$A$3:$A$24,0)),"")))</f>
        <v/>
      </c>
      <c r="F4212" s="28" t="str">
        <f aca="false">IF(OR($D4212="",$E4212=""),"",IFERROR($D4212*INDEX(Setup!$B$27:$B$44,MATCH($E4212,Setup!$A$27:$A$44,0)),"TBD"))</f>
        <v/>
      </c>
      <c r="G4212" s="32"/>
      <c r="H4212" s="32"/>
      <c r="I4212" s="32"/>
      <c r="J4212" s="32"/>
      <c r="K4212" s="35"/>
      <c r="L4212" s="32"/>
      <c r="M4212" s="32"/>
    </row>
    <row r="4213" customFormat="false" ht="15" hidden="false" customHeight="true" outlineLevel="0" collapsed="false">
      <c r="A4213" s="32"/>
      <c r="B4213" s="32"/>
      <c r="C4213" s="32"/>
      <c r="D4213" s="32"/>
      <c r="E4213" s="34" t="str">
        <f aca="false">IF($B4213="","",IF($B4213="OUT","Liters",IFERROR(INDEX(Setup!$F$3:$F$24,MATCH($C4213,Setup!$A$3:$A$24,0)),"")))</f>
        <v/>
      </c>
      <c r="F4213" s="28" t="str">
        <f aca="false">IF(OR($D4213="",$E4213=""),"",IFERROR($D4213*INDEX(Setup!$B$27:$B$44,MATCH($E4213,Setup!$A$27:$A$44,0)),"TBD"))</f>
        <v/>
      </c>
      <c r="G4213" s="32"/>
      <c r="H4213" s="32"/>
      <c r="I4213" s="32"/>
      <c r="J4213" s="32"/>
      <c r="K4213" s="35"/>
      <c r="L4213" s="32"/>
      <c r="M4213" s="32"/>
    </row>
    <row r="4214" customFormat="false" ht="15" hidden="false" customHeight="true" outlineLevel="0" collapsed="false">
      <c r="A4214" s="32"/>
      <c r="B4214" s="32"/>
      <c r="C4214" s="32"/>
      <c r="D4214" s="32"/>
      <c r="E4214" s="34" t="str">
        <f aca="false">IF($B4214="","",IF($B4214="OUT","Liters",IFERROR(INDEX(Setup!$F$3:$F$24,MATCH($C4214,Setup!$A$3:$A$24,0)),"")))</f>
        <v/>
      </c>
      <c r="F4214" s="28" t="str">
        <f aca="false">IF(OR($D4214="",$E4214=""),"",IFERROR($D4214*INDEX(Setup!$B$27:$B$44,MATCH($E4214,Setup!$A$27:$A$44,0)),"TBD"))</f>
        <v/>
      </c>
      <c r="G4214" s="32"/>
      <c r="H4214" s="32"/>
      <c r="I4214" s="32"/>
      <c r="J4214" s="32"/>
      <c r="K4214" s="35"/>
      <c r="L4214" s="32"/>
      <c r="M4214" s="32"/>
    </row>
    <row r="4215" customFormat="false" ht="15" hidden="false" customHeight="true" outlineLevel="0" collapsed="false">
      <c r="A4215" s="32"/>
      <c r="B4215" s="32"/>
      <c r="C4215" s="32"/>
      <c r="D4215" s="32"/>
      <c r="E4215" s="34" t="str">
        <f aca="false">IF($B4215="","",IF($B4215="OUT","Liters",IFERROR(INDEX(Setup!$F$3:$F$24,MATCH($C4215,Setup!$A$3:$A$24,0)),"")))</f>
        <v/>
      </c>
      <c r="F4215" s="28" t="str">
        <f aca="false">IF(OR($D4215="",$E4215=""),"",IFERROR($D4215*INDEX(Setup!$B$27:$B$44,MATCH($E4215,Setup!$A$27:$A$44,0)),"TBD"))</f>
        <v/>
      </c>
      <c r="G4215" s="32"/>
      <c r="H4215" s="32"/>
      <c r="I4215" s="32"/>
      <c r="J4215" s="32"/>
      <c r="K4215" s="35"/>
      <c r="L4215" s="32"/>
      <c r="M4215" s="32"/>
    </row>
    <row r="4216" customFormat="false" ht="15" hidden="false" customHeight="true" outlineLevel="0" collapsed="false">
      <c r="A4216" s="32"/>
      <c r="B4216" s="32"/>
      <c r="C4216" s="32"/>
      <c r="D4216" s="32"/>
      <c r="E4216" s="34" t="str">
        <f aca="false">IF($B4216="","",IF($B4216="OUT","Liters",IFERROR(INDEX(Setup!$F$3:$F$24,MATCH($C4216,Setup!$A$3:$A$24,0)),"")))</f>
        <v/>
      </c>
      <c r="F4216" s="28" t="str">
        <f aca="false">IF(OR($D4216="",$E4216=""),"",IFERROR($D4216*INDEX(Setup!$B$27:$B$44,MATCH($E4216,Setup!$A$27:$A$44,0)),"TBD"))</f>
        <v/>
      </c>
      <c r="G4216" s="32"/>
      <c r="H4216" s="32"/>
      <c r="I4216" s="32"/>
      <c r="J4216" s="32"/>
      <c r="K4216" s="35"/>
      <c r="L4216" s="32"/>
      <c r="M4216" s="32"/>
    </row>
    <row r="4217" customFormat="false" ht="15" hidden="false" customHeight="true" outlineLevel="0" collapsed="false">
      <c r="A4217" s="32"/>
      <c r="B4217" s="32"/>
      <c r="C4217" s="32"/>
      <c r="D4217" s="32"/>
      <c r="E4217" s="34" t="str">
        <f aca="false">IF($B4217="","",IF($B4217="OUT","Liters",IFERROR(INDEX(Setup!$F$3:$F$24,MATCH($C4217,Setup!$A$3:$A$24,0)),"")))</f>
        <v/>
      </c>
      <c r="F4217" s="28" t="str">
        <f aca="false">IF(OR($D4217="",$E4217=""),"",IFERROR($D4217*INDEX(Setup!$B$27:$B$44,MATCH($E4217,Setup!$A$27:$A$44,0)),"TBD"))</f>
        <v/>
      </c>
      <c r="G4217" s="32"/>
      <c r="H4217" s="32"/>
      <c r="I4217" s="32"/>
      <c r="J4217" s="32"/>
      <c r="K4217" s="35"/>
      <c r="L4217" s="32"/>
      <c r="M4217" s="32"/>
    </row>
    <row r="4218" customFormat="false" ht="15" hidden="false" customHeight="true" outlineLevel="0" collapsed="false">
      <c r="A4218" s="32"/>
      <c r="B4218" s="32"/>
      <c r="C4218" s="32"/>
      <c r="D4218" s="32"/>
      <c r="E4218" s="34" t="str">
        <f aca="false">IF($B4218="","",IF($B4218="OUT","Liters",IFERROR(INDEX(Setup!$F$3:$F$24,MATCH($C4218,Setup!$A$3:$A$24,0)),"")))</f>
        <v/>
      </c>
      <c r="F4218" s="28" t="str">
        <f aca="false">IF(OR($D4218="",$E4218=""),"",IFERROR($D4218*INDEX(Setup!$B$27:$B$44,MATCH($E4218,Setup!$A$27:$A$44,0)),"TBD"))</f>
        <v/>
      </c>
      <c r="G4218" s="32"/>
      <c r="H4218" s="32"/>
      <c r="I4218" s="32"/>
      <c r="J4218" s="32"/>
      <c r="K4218" s="35"/>
      <c r="L4218" s="32"/>
      <c r="M4218" s="32"/>
    </row>
    <row r="4219" customFormat="false" ht="15" hidden="false" customHeight="true" outlineLevel="0" collapsed="false">
      <c r="A4219" s="32"/>
      <c r="B4219" s="32"/>
      <c r="C4219" s="32"/>
      <c r="D4219" s="32"/>
      <c r="E4219" s="34" t="str">
        <f aca="false">IF($B4219="","",IF($B4219="OUT","Liters",IFERROR(INDEX(Setup!$F$3:$F$24,MATCH($C4219,Setup!$A$3:$A$24,0)),"")))</f>
        <v/>
      </c>
      <c r="F4219" s="28" t="str">
        <f aca="false">IF(OR($D4219="",$E4219=""),"",IFERROR($D4219*INDEX(Setup!$B$27:$B$44,MATCH($E4219,Setup!$A$27:$A$44,0)),"TBD"))</f>
        <v/>
      </c>
      <c r="G4219" s="32"/>
      <c r="H4219" s="32"/>
      <c r="I4219" s="32"/>
      <c r="J4219" s="32"/>
      <c r="K4219" s="35"/>
      <c r="L4219" s="32"/>
      <c r="M4219" s="32"/>
    </row>
    <row r="4220" customFormat="false" ht="15" hidden="false" customHeight="true" outlineLevel="0" collapsed="false">
      <c r="A4220" s="32"/>
      <c r="B4220" s="32"/>
      <c r="C4220" s="32"/>
      <c r="D4220" s="32"/>
      <c r="E4220" s="34" t="str">
        <f aca="false">IF($B4220="","",IF($B4220="OUT","Liters",IFERROR(INDEX(Setup!$F$3:$F$24,MATCH($C4220,Setup!$A$3:$A$24,0)),"")))</f>
        <v/>
      </c>
      <c r="F4220" s="28" t="str">
        <f aca="false">IF(OR($D4220="",$E4220=""),"",IFERROR($D4220*INDEX(Setup!$B$27:$B$44,MATCH($E4220,Setup!$A$27:$A$44,0)),"TBD"))</f>
        <v/>
      </c>
      <c r="G4220" s="32"/>
      <c r="H4220" s="32"/>
      <c r="I4220" s="32"/>
      <c r="J4220" s="32"/>
      <c r="K4220" s="35"/>
      <c r="L4220" s="32"/>
      <c r="M4220" s="32"/>
    </row>
    <row r="4221" customFormat="false" ht="15" hidden="false" customHeight="true" outlineLevel="0" collapsed="false">
      <c r="A4221" s="32"/>
      <c r="B4221" s="32"/>
      <c r="C4221" s="32"/>
      <c r="D4221" s="32"/>
      <c r="E4221" s="34" t="str">
        <f aca="false">IF($B4221="","",IF($B4221="OUT","Liters",IFERROR(INDEX(Setup!$F$3:$F$24,MATCH($C4221,Setup!$A$3:$A$24,0)),"")))</f>
        <v/>
      </c>
      <c r="F4221" s="28" t="str">
        <f aca="false">IF(OR($D4221="",$E4221=""),"",IFERROR($D4221*INDEX(Setup!$B$27:$B$44,MATCH($E4221,Setup!$A$27:$A$44,0)),"TBD"))</f>
        <v/>
      </c>
      <c r="G4221" s="32"/>
      <c r="H4221" s="32"/>
      <c r="I4221" s="32"/>
      <c r="J4221" s="32"/>
      <c r="K4221" s="35"/>
      <c r="L4221" s="32"/>
      <c r="M4221" s="32"/>
    </row>
    <row r="4222" customFormat="false" ht="15" hidden="false" customHeight="true" outlineLevel="0" collapsed="false">
      <c r="A4222" s="32"/>
      <c r="B4222" s="32"/>
      <c r="C4222" s="32"/>
      <c r="D4222" s="32"/>
      <c r="E4222" s="34" t="str">
        <f aca="false">IF($B4222="","",IF($B4222="OUT","Liters",IFERROR(INDEX(Setup!$F$3:$F$24,MATCH($C4222,Setup!$A$3:$A$24,0)),"")))</f>
        <v/>
      </c>
      <c r="F4222" s="28" t="str">
        <f aca="false">IF(OR($D4222="",$E4222=""),"",IFERROR($D4222*INDEX(Setup!$B$27:$B$44,MATCH($E4222,Setup!$A$27:$A$44,0)),"TBD"))</f>
        <v/>
      </c>
      <c r="G4222" s="32"/>
      <c r="H4222" s="32"/>
      <c r="I4222" s="32"/>
      <c r="J4222" s="32"/>
      <c r="K4222" s="35"/>
      <c r="L4222" s="32"/>
      <c r="M4222" s="32"/>
    </row>
    <row r="4223" customFormat="false" ht="15" hidden="false" customHeight="true" outlineLevel="0" collapsed="false">
      <c r="A4223" s="32"/>
      <c r="B4223" s="32"/>
      <c r="C4223" s="32"/>
      <c r="D4223" s="32"/>
      <c r="E4223" s="34" t="str">
        <f aca="false">IF($B4223="","",IF($B4223="OUT","Liters",IFERROR(INDEX(Setup!$F$3:$F$24,MATCH($C4223,Setup!$A$3:$A$24,0)),"")))</f>
        <v/>
      </c>
      <c r="F4223" s="28" t="str">
        <f aca="false">IF(OR($D4223="",$E4223=""),"",IFERROR($D4223*INDEX(Setup!$B$27:$B$44,MATCH($E4223,Setup!$A$27:$A$44,0)),"TBD"))</f>
        <v/>
      </c>
      <c r="G4223" s="32"/>
      <c r="H4223" s="32"/>
      <c r="I4223" s="32"/>
      <c r="J4223" s="32"/>
      <c r="K4223" s="35"/>
      <c r="L4223" s="32"/>
      <c r="M4223" s="32"/>
    </row>
    <row r="4224" customFormat="false" ht="15" hidden="false" customHeight="true" outlineLevel="0" collapsed="false">
      <c r="A4224" s="32"/>
      <c r="B4224" s="32"/>
      <c r="C4224" s="32"/>
      <c r="D4224" s="32"/>
      <c r="E4224" s="34" t="str">
        <f aca="false">IF($B4224="","",IF($B4224="OUT","Liters",IFERROR(INDEX(Setup!$F$3:$F$24,MATCH($C4224,Setup!$A$3:$A$24,0)),"")))</f>
        <v/>
      </c>
      <c r="F4224" s="28" t="str">
        <f aca="false">IF(OR($D4224="",$E4224=""),"",IFERROR($D4224*INDEX(Setup!$B$27:$B$44,MATCH($E4224,Setup!$A$27:$A$44,0)),"TBD"))</f>
        <v/>
      </c>
      <c r="G4224" s="32"/>
      <c r="H4224" s="32"/>
      <c r="I4224" s="32"/>
      <c r="J4224" s="32"/>
      <c r="K4224" s="35"/>
      <c r="L4224" s="32"/>
      <c r="M4224" s="32"/>
    </row>
    <row r="4225" customFormat="false" ht="15" hidden="false" customHeight="true" outlineLevel="0" collapsed="false">
      <c r="A4225" s="32"/>
      <c r="B4225" s="32"/>
      <c r="C4225" s="32"/>
      <c r="D4225" s="32"/>
      <c r="E4225" s="34" t="str">
        <f aca="false">IF($B4225="","",IF($B4225="OUT","Liters",IFERROR(INDEX(Setup!$F$3:$F$24,MATCH($C4225,Setup!$A$3:$A$24,0)),"")))</f>
        <v/>
      </c>
      <c r="F4225" s="28" t="str">
        <f aca="false">IF(OR($D4225="",$E4225=""),"",IFERROR($D4225*INDEX(Setup!$B$27:$B$44,MATCH($E4225,Setup!$A$27:$A$44,0)),"TBD"))</f>
        <v/>
      </c>
      <c r="G4225" s="32"/>
      <c r="H4225" s="32"/>
      <c r="I4225" s="32"/>
      <c r="J4225" s="32"/>
      <c r="K4225" s="35"/>
      <c r="L4225" s="32"/>
      <c r="M4225" s="32"/>
    </row>
    <row r="4226" customFormat="false" ht="15" hidden="false" customHeight="true" outlineLevel="0" collapsed="false">
      <c r="A4226" s="32"/>
      <c r="B4226" s="32"/>
      <c r="C4226" s="32"/>
      <c r="D4226" s="32"/>
      <c r="E4226" s="34" t="str">
        <f aca="false">IF($B4226="","",IF($B4226="OUT","Liters",IFERROR(INDEX(Setup!$F$3:$F$24,MATCH($C4226,Setup!$A$3:$A$24,0)),"")))</f>
        <v/>
      </c>
      <c r="F4226" s="28" t="str">
        <f aca="false">IF(OR($D4226="",$E4226=""),"",IFERROR($D4226*INDEX(Setup!$B$27:$B$44,MATCH($E4226,Setup!$A$27:$A$44,0)),"TBD"))</f>
        <v/>
      </c>
      <c r="G4226" s="32"/>
      <c r="H4226" s="32"/>
      <c r="I4226" s="32"/>
      <c r="J4226" s="32"/>
      <c r="K4226" s="35"/>
      <c r="L4226" s="32"/>
      <c r="M4226" s="32"/>
    </row>
    <row r="4227" customFormat="false" ht="15" hidden="false" customHeight="true" outlineLevel="0" collapsed="false">
      <c r="A4227" s="32"/>
      <c r="B4227" s="32"/>
      <c r="C4227" s="32"/>
      <c r="D4227" s="32"/>
      <c r="E4227" s="34" t="str">
        <f aca="false">IF($B4227="","",IF($B4227="OUT","Liters",IFERROR(INDEX(Setup!$F$3:$F$24,MATCH($C4227,Setup!$A$3:$A$24,0)),"")))</f>
        <v/>
      </c>
      <c r="F4227" s="28" t="str">
        <f aca="false">IF(OR($D4227="",$E4227=""),"",IFERROR($D4227*INDEX(Setup!$B$27:$B$44,MATCH($E4227,Setup!$A$27:$A$44,0)),"TBD"))</f>
        <v/>
      </c>
      <c r="G4227" s="32"/>
      <c r="H4227" s="32"/>
      <c r="I4227" s="32"/>
      <c r="J4227" s="32"/>
      <c r="K4227" s="35"/>
      <c r="L4227" s="32"/>
      <c r="M4227" s="32"/>
    </row>
    <row r="4228" customFormat="false" ht="15" hidden="false" customHeight="true" outlineLevel="0" collapsed="false">
      <c r="A4228" s="32"/>
      <c r="B4228" s="32"/>
      <c r="C4228" s="32"/>
      <c r="D4228" s="32"/>
      <c r="E4228" s="34" t="str">
        <f aca="false">IF($B4228="","",IF($B4228="OUT","Liters",IFERROR(INDEX(Setup!$F$3:$F$24,MATCH($C4228,Setup!$A$3:$A$24,0)),"")))</f>
        <v/>
      </c>
      <c r="F4228" s="28" t="str">
        <f aca="false">IF(OR($D4228="",$E4228=""),"",IFERROR($D4228*INDEX(Setup!$B$27:$B$44,MATCH($E4228,Setup!$A$27:$A$44,0)),"TBD"))</f>
        <v/>
      </c>
      <c r="G4228" s="32"/>
      <c r="H4228" s="32"/>
      <c r="I4228" s="32"/>
      <c r="J4228" s="32"/>
      <c r="K4228" s="35"/>
      <c r="L4228" s="32"/>
      <c r="M4228" s="32"/>
    </row>
    <row r="4229" customFormat="false" ht="15" hidden="false" customHeight="true" outlineLevel="0" collapsed="false">
      <c r="A4229" s="32"/>
      <c r="B4229" s="32"/>
      <c r="C4229" s="32"/>
      <c r="D4229" s="32"/>
      <c r="E4229" s="34" t="str">
        <f aca="false">IF($B4229="","",IF($B4229="OUT","Liters",IFERROR(INDEX(Setup!$F$3:$F$24,MATCH($C4229,Setup!$A$3:$A$24,0)),"")))</f>
        <v/>
      </c>
      <c r="F4229" s="28" t="str">
        <f aca="false">IF(OR($D4229="",$E4229=""),"",IFERROR($D4229*INDEX(Setup!$B$27:$B$44,MATCH($E4229,Setup!$A$27:$A$44,0)),"TBD"))</f>
        <v/>
      </c>
      <c r="G4229" s="32"/>
      <c r="H4229" s="32"/>
      <c r="I4229" s="32"/>
      <c r="J4229" s="32"/>
      <c r="K4229" s="35"/>
      <c r="L4229" s="32"/>
      <c r="M4229" s="32"/>
    </row>
    <row r="4230" customFormat="false" ht="15" hidden="false" customHeight="true" outlineLevel="0" collapsed="false">
      <c r="A4230" s="32"/>
      <c r="B4230" s="32"/>
      <c r="C4230" s="32"/>
      <c r="D4230" s="32"/>
      <c r="E4230" s="34" t="str">
        <f aca="false">IF($B4230="","",IF($B4230="OUT","Liters",IFERROR(INDEX(Setup!$F$3:$F$24,MATCH($C4230,Setup!$A$3:$A$24,0)),"")))</f>
        <v/>
      </c>
      <c r="F4230" s="28" t="str">
        <f aca="false">IF(OR($D4230="",$E4230=""),"",IFERROR($D4230*INDEX(Setup!$B$27:$B$44,MATCH($E4230,Setup!$A$27:$A$44,0)),"TBD"))</f>
        <v/>
      </c>
      <c r="G4230" s="32"/>
      <c r="H4230" s="32"/>
      <c r="I4230" s="32"/>
      <c r="J4230" s="32"/>
      <c r="K4230" s="35"/>
      <c r="L4230" s="32"/>
      <c r="M4230" s="32"/>
    </row>
    <row r="4231" customFormat="false" ht="15" hidden="false" customHeight="true" outlineLevel="0" collapsed="false">
      <c r="A4231" s="32"/>
      <c r="B4231" s="32"/>
      <c r="C4231" s="32"/>
      <c r="D4231" s="32"/>
      <c r="E4231" s="34" t="str">
        <f aca="false">IF($B4231="","",IF($B4231="OUT","Liters",IFERROR(INDEX(Setup!$F$3:$F$24,MATCH($C4231,Setup!$A$3:$A$24,0)),"")))</f>
        <v/>
      </c>
      <c r="F4231" s="28" t="str">
        <f aca="false">IF(OR($D4231="",$E4231=""),"",IFERROR($D4231*INDEX(Setup!$B$27:$B$44,MATCH($E4231,Setup!$A$27:$A$44,0)),"TBD"))</f>
        <v/>
      </c>
      <c r="G4231" s="32"/>
      <c r="H4231" s="32"/>
      <c r="I4231" s="32"/>
      <c r="J4231" s="32"/>
      <c r="K4231" s="35"/>
      <c r="L4231" s="32"/>
      <c r="M4231" s="32"/>
    </row>
    <row r="4232" customFormat="false" ht="15" hidden="false" customHeight="true" outlineLevel="0" collapsed="false">
      <c r="A4232" s="32"/>
      <c r="B4232" s="32"/>
      <c r="C4232" s="32"/>
      <c r="D4232" s="32"/>
      <c r="E4232" s="34" t="str">
        <f aca="false">IF($B4232="","",IF($B4232="OUT","Liters",IFERROR(INDEX(Setup!$F$3:$F$24,MATCH($C4232,Setup!$A$3:$A$24,0)),"")))</f>
        <v/>
      </c>
      <c r="F4232" s="28" t="str">
        <f aca="false">IF(OR($D4232="",$E4232=""),"",IFERROR($D4232*INDEX(Setup!$B$27:$B$44,MATCH($E4232,Setup!$A$27:$A$44,0)),"TBD"))</f>
        <v/>
      </c>
      <c r="G4232" s="32"/>
      <c r="H4232" s="32"/>
      <c r="I4232" s="32"/>
      <c r="J4232" s="32"/>
      <c r="K4232" s="35"/>
      <c r="L4232" s="32"/>
      <c r="M4232" s="32"/>
    </row>
    <row r="4233" customFormat="false" ht="15" hidden="false" customHeight="true" outlineLevel="0" collapsed="false">
      <c r="A4233" s="32"/>
      <c r="B4233" s="32"/>
      <c r="C4233" s="32"/>
      <c r="D4233" s="32"/>
      <c r="E4233" s="34" t="str">
        <f aca="false">IF($B4233="","",IF($B4233="OUT","Liters",IFERROR(INDEX(Setup!$F$3:$F$24,MATCH($C4233,Setup!$A$3:$A$24,0)),"")))</f>
        <v/>
      </c>
      <c r="F4233" s="28" t="str">
        <f aca="false">IF(OR($D4233="",$E4233=""),"",IFERROR($D4233*INDEX(Setup!$B$27:$B$44,MATCH($E4233,Setup!$A$27:$A$44,0)),"TBD"))</f>
        <v/>
      </c>
      <c r="G4233" s="32"/>
      <c r="H4233" s="32"/>
      <c r="I4233" s="32"/>
      <c r="J4233" s="32"/>
      <c r="K4233" s="35"/>
      <c r="L4233" s="32"/>
      <c r="M4233" s="32"/>
    </row>
    <row r="4234" customFormat="false" ht="15" hidden="false" customHeight="true" outlineLevel="0" collapsed="false">
      <c r="A4234" s="32"/>
      <c r="B4234" s="32"/>
      <c r="C4234" s="32"/>
      <c r="D4234" s="32"/>
      <c r="E4234" s="34" t="str">
        <f aca="false">IF($B4234="","",IF($B4234="OUT","Liters",IFERROR(INDEX(Setup!$F$3:$F$24,MATCH($C4234,Setup!$A$3:$A$24,0)),"")))</f>
        <v/>
      </c>
      <c r="F4234" s="28" t="str">
        <f aca="false">IF(OR($D4234="",$E4234=""),"",IFERROR($D4234*INDEX(Setup!$B$27:$B$44,MATCH($E4234,Setup!$A$27:$A$44,0)),"TBD"))</f>
        <v/>
      </c>
      <c r="G4234" s="32"/>
      <c r="H4234" s="32"/>
      <c r="I4234" s="32"/>
      <c r="J4234" s="32"/>
      <c r="K4234" s="35"/>
      <c r="L4234" s="32"/>
      <c r="M4234" s="32"/>
    </row>
    <row r="4235" customFormat="false" ht="15" hidden="false" customHeight="true" outlineLevel="0" collapsed="false">
      <c r="A4235" s="32"/>
      <c r="B4235" s="32"/>
      <c r="C4235" s="32"/>
      <c r="D4235" s="32"/>
      <c r="E4235" s="34" t="str">
        <f aca="false">IF($B4235="","",IF($B4235="OUT","Liters",IFERROR(INDEX(Setup!$F$3:$F$24,MATCH($C4235,Setup!$A$3:$A$24,0)),"")))</f>
        <v/>
      </c>
      <c r="F4235" s="28" t="str">
        <f aca="false">IF(OR($D4235="",$E4235=""),"",IFERROR($D4235*INDEX(Setup!$B$27:$B$44,MATCH($E4235,Setup!$A$27:$A$44,0)),"TBD"))</f>
        <v/>
      </c>
      <c r="G4235" s="32"/>
      <c r="H4235" s="32"/>
      <c r="I4235" s="32"/>
      <c r="J4235" s="32"/>
      <c r="K4235" s="35"/>
      <c r="L4235" s="32"/>
      <c r="M4235" s="32"/>
    </row>
    <row r="4236" customFormat="false" ht="15" hidden="false" customHeight="true" outlineLevel="0" collapsed="false">
      <c r="A4236" s="32"/>
      <c r="B4236" s="32"/>
      <c r="C4236" s="32"/>
      <c r="D4236" s="32"/>
      <c r="E4236" s="34" t="str">
        <f aca="false">IF($B4236="","",IF($B4236="OUT","Liters",IFERROR(INDEX(Setup!$F$3:$F$24,MATCH($C4236,Setup!$A$3:$A$24,0)),"")))</f>
        <v/>
      </c>
      <c r="F4236" s="28" t="str">
        <f aca="false">IF(OR($D4236="",$E4236=""),"",IFERROR($D4236*INDEX(Setup!$B$27:$B$44,MATCH($E4236,Setup!$A$27:$A$44,0)),"TBD"))</f>
        <v/>
      </c>
      <c r="G4236" s="32"/>
      <c r="H4236" s="32"/>
      <c r="I4236" s="32"/>
      <c r="J4236" s="32"/>
      <c r="K4236" s="35"/>
      <c r="L4236" s="32"/>
      <c r="M4236" s="32"/>
    </row>
    <row r="4237" customFormat="false" ht="15" hidden="false" customHeight="true" outlineLevel="0" collapsed="false">
      <c r="A4237" s="32"/>
      <c r="B4237" s="32"/>
      <c r="C4237" s="32"/>
      <c r="D4237" s="32"/>
      <c r="E4237" s="34" t="str">
        <f aca="false">IF($B4237="","",IF($B4237="OUT","Liters",IFERROR(INDEX(Setup!$F$3:$F$24,MATCH($C4237,Setup!$A$3:$A$24,0)),"")))</f>
        <v/>
      </c>
      <c r="F4237" s="28" t="str">
        <f aca="false">IF(OR($D4237="",$E4237=""),"",IFERROR($D4237*INDEX(Setup!$B$27:$B$44,MATCH($E4237,Setup!$A$27:$A$44,0)),"TBD"))</f>
        <v/>
      </c>
      <c r="G4237" s="32"/>
      <c r="H4237" s="32"/>
      <c r="I4237" s="32"/>
      <c r="J4237" s="32"/>
      <c r="K4237" s="35"/>
      <c r="L4237" s="32"/>
      <c r="M4237" s="32"/>
    </row>
    <row r="4238" customFormat="false" ht="15" hidden="false" customHeight="true" outlineLevel="0" collapsed="false">
      <c r="A4238" s="32"/>
      <c r="B4238" s="32"/>
      <c r="C4238" s="32"/>
      <c r="D4238" s="32"/>
      <c r="E4238" s="34" t="str">
        <f aca="false">IF($B4238="","",IF($B4238="OUT","Liters",IFERROR(INDEX(Setup!$F$3:$F$24,MATCH($C4238,Setup!$A$3:$A$24,0)),"")))</f>
        <v/>
      </c>
      <c r="F4238" s="28" t="str">
        <f aca="false">IF(OR($D4238="",$E4238=""),"",IFERROR($D4238*INDEX(Setup!$B$27:$B$44,MATCH($E4238,Setup!$A$27:$A$44,0)),"TBD"))</f>
        <v/>
      </c>
      <c r="G4238" s="32"/>
      <c r="H4238" s="32"/>
      <c r="I4238" s="32"/>
      <c r="J4238" s="32"/>
      <c r="K4238" s="35"/>
      <c r="L4238" s="32"/>
      <c r="M4238" s="32"/>
    </row>
    <row r="4239" customFormat="false" ht="15" hidden="false" customHeight="true" outlineLevel="0" collapsed="false">
      <c r="A4239" s="32"/>
      <c r="B4239" s="32"/>
      <c r="C4239" s="32"/>
      <c r="D4239" s="32"/>
      <c r="E4239" s="34" t="str">
        <f aca="false">IF($B4239="","",IF($B4239="OUT","Liters",IFERROR(INDEX(Setup!$F$3:$F$24,MATCH($C4239,Setup!$A$3:$A$24,0)),"")))</f>
        <v/>
      </c>
      <c r="F4239" s="28" t="str">
        <f aca="false">IF(OR($D4239="",$E4239=""),"",IFERROR($D4239*INDEX(Setup!$B$27:$B$44,MATCH($E4239,Setup!$A$27:$A$44,0)),"TBD"))</f>
        <v/>
      </c>
      <c r="G4239" s="32"/>
      <c r="H4239" s="32"/>
      <c r="I4239" s="32"/>
      <c r="J4239" s="32"/>
      <c r="K4239" s="35"/>
      <c r="L4239" s="32"/>
      <c r="M4239" s="32"/>
    </row>
    <row r="4240" customFormat="false" ht="15" hidden="false" customHeight="true" outlineLevel="0" collapsed="false">
      <c r="A4240" s="32"/>
      <c r="B4240" s="32"/>
      <c r="C4240" s="32"/>
      <c r="D4240" s="32"/>
      <c r="E4240" s="34" t="str">
        <f aca="false">IF($B4240="","",IF($B4240="OUT","Liters",IFERROR(INDEX(Setup!$F$3:$F$24,MATCH($C4240,Setup!$A$3:$A$24,0)),"")))</f>
        <v/>
      </c>
      <c r="F4240" s="28" t="str">
        <f aca="false">IF(OR($D4240="",$E4240=""),"",IFERROR($D4240*INDEX(Setup!$B$27:$B$44,MATCH($E4240,Setup!$A$27:$A$44,0)),"TBD"))</f>
        <v/>
      </c>
      <c r="G4240" s="32"/>
      <c r="H4240" s="32"/>
      <c r="I4240" s="32"/>
      <c r="J4240" s="32"/>
      <c r="K4240" s="35"/>
      <c r="L4240" s="32"/>
      <c r="M4240" s="32"/>
    </row>
    <row r="4241" customFormat="false" ht="15" hidden="false" customHeight="true" outlineLevel="0" collapsed="false">
      <c r="A4241" s="32"/>
      <c r="B4241" s="32"/>
      <c r="C4241" s="32"/>
      <c r="D4241" s="32"/>
      <c r="E4241" s="34" t="str">
        <f aca="false">IF($B4241="","",IF($B4241="OUT","Liters",IFERROR(INDEX(Setup!$F$3:$F$24,MATCH($C4241,Setup!$A$3:$A$24,0)),"")))</f>
        <v/>
      </c>
      <c r="F4241" s="28" t="str">
        <f aca="false">IF(OR($D4241="",$E4241=""),"",IFERROR($D4241*INDEX(Setup!$B$27:$B$44,MATCH($E4241,Setup!$A$27:$A$44,0)),"TBD"))</f>
        <v/>
      </c>
      <c r="G4241" s="32"/>
      <c r="H4241" s="32"/>
      <c r="I4241" s="32"/>
      <c r="J4241" s="32"/>
      <c r="K4241" s="35"/>
      <c r="L4241" s="32"/>
      <c r="M4241" s="32"/>
    </row>
    <row r="4242" customFormat="false" ht="15" hidden="false" customHeight="true" outlineLevel="0" collapsed="false">
      <c r="A4242" s="32"/>
      <c r="B4242" s="32"/>
      <c r="C4242" s="32"/>
      <c r="D4242" s="32"/>
      <c r="E4242" s="34" t="str">
        <f aca="false">IF($B4242="","",IF($B4242="OUT","Liters",IFERROR(INDEX(Setup!$F$3:$F$24,MATCH($C4242,Setup!$A$3:$A$24,0)),"")))</f>
        <v/>
      </c>
      <c r="F4242" s="28" t="str">
        <f aca="false">IF(OR($D4242="",$E4242=""),"",IFERROR($D4242*INDEX(Setup!$B$27:$B$44,MATCH($E4242,Setup!$A$27:$A$44,0)),"TBD"))</f>
        <v/>
      </c>
      <c r="G4242" s="32"/>
      <c r="H4242" s="32"/>
      <c r="I4242" s="32"/>
      <c r="J4242" s="32"/>
      <c r="K4242" s="35"/>
      <c r="L4242" s="32"/>
      <c r="M4242" s="32"/>
    </row>
    <row r="4243" customFormat="false" ht="15" hidden="false" customHeight="true" outlineLevel="0" collapsed="false">
      <c r="A4243" s="32"/>
      <c r="B4243" s="32"/>
      <c r="C4243" s="32"/>
      <c r="D4243" s="32"/>
      <c r="E4243" s="34" t="str">
        <f aca="false">IF($B4243="","",IF($B4243="OUT","Liters",IFERROR(INDEX(Setup!$F$3:$F$24,MATCH($C4243,Setup!$A$3:$A$24,0)),"")))</f>
        <v/>
      </c>
      <c r="F4243" s="28" t="str">
        <f aca="false">IF(OR($D4243="",$E4243=""),"",IFERROR($D4243*INDEX(Setup!$B$27:$B$44,MATCH($E4243,Setup!$A$27:$A$44,0)),"TBD"))</f>
        <v/>
      </c>
      <c r="G4243" s="32"/>
      <c r="H4243" s="32"/>
      <c r="I4243" s="32"/>
      <c r="J4243" s="32"/>
      <c r="K4243" s="35"/>
      <c r="L4243" s="32"/>
      <c r="M4243" s="32"/>
    </row>
    <row r="4244" customFormat="false" ht="15" hidden="false" customHeight="true" outlineLevel="0" collapsed="false">
      <c r="A4244" s="32"/>
      <c r="B4244" s="32"/>
      <c r="C4244" s="32"/>
      <c r="D4244" s="32"/>
      <c r="E4244" s="34" t="str">
        <f aca="false">IF($B4244="","",IF($B4244="OUT","Liters",IFERROR(INDEX(Setup!$F$3:$F$24,MATCH($C4244,Setup!$A$3:$A$24,0)),"")))</f>
        <v/>
      </c>
      <c r="F4244" s="28" t="str">
        <f aca="false">IF(OR($D4244="",$E4244=""),"",IFERROR($D4244*INDEX(Setup!$B$27:$B$44,MATCH($E4244,Setup!$A$27:$A$44,0)),"TBD"))</f>
        <v/>
      </c>
      <c r="G4244" s="32"/>
      <c r="H4244" s="32"/>
      <c r="I4244" s="32"/>
      <c r="J4244" s="32"/>
      <c r="K4244" s="35"/>
      <c r="L4244" s="32"/>
      <c r="M4244" s="32"/>
    </row>
    <row r="4245" customFormat="false" ht="15" hidden="false" customHeight="true" outlineLevel="0" collapsed="false">
      <c r="A4245" s="32"/>
      <c r="B4245" s="32"/>
      <c r="C4245" s="32"/>
      <c r="D4245" s="32"/>
      <c r="E4245" s="34" t="str">
        <f aca="false">IF($B4245="","",IF($B4245="OUT","Liters",IFERROR(INDEX(Setup!$F$3:$F$24,MATCH($C4245,Setup!$A$3:$A$24,0)),"")))</f>
        <v/>
      </c>
      <c r="F4245" s="28" t="str">
        <f aca="false">IF(OR($D4245="",$E4245=""),"",IFERROR($D4245*INDEX(Setup!$B$27:$B$44,MATCH($E4245,Setup!$A$27:$A$44,0)),"TBD"))</f>
        <v/>
      </c>
      <c r="G4245" s="32"/>
      <c r="H4245" s="32"/>
      <c r="I4245" s="32"/>
      <c r="J4245" s="32"/>
      <c r="K4245" s="35"/>
      <c r="L4245" s="32"/>
      <c r="M4245" s="32"/>
    </row>
    <row r="4246" customFormat="false" ht="15" hidden="false" customHeight="true" outlineLevel="0" collapsed="false">
      <c r="A4246" s="32"/>
      <c r="B4246" s="32"/>
      <c r="C4246" s="32"/>
      <c r="D4246" s="32"/>
      <c r="E4246" s="34" t="str">
        <f aca="false">IF($B4246="","",IF($B4246="OUT","Liters",IFERROR(INDEX(Setup!$F$3:$F$24,MATCH($C4246,Setup!$A$3:$A$24,0)),"")))</f>
        <v/>
      </c>
      <c r="F4246" s="28" t="str">
        <f aca="false">IF(OR($D4246="",$E4246=""),"",IFERROR($D4246*INDEX(Setup!$B$27:$B$44,MATCH($E4246,Setup!$A$27:$A$44,0)),"TBD"))</f>
        <v/>
      </c>
      <c r="G4246" s="32"/>
      <c r="H4246" s="32"/>
      <c r="I4246" s="32"/>
      <c r="J4246" s="32"/>
      <c r="K4246" s="35"/>
      <c r="L4246" s="32"/>
      <c r="M4246" s="32"/>
    </row>
    <row r="4247" customFormat="false" ht="15" hidden="false" customHeight="true" outlineLevel="0" collapsed="false">
      <c r="A4247" s="32"/>
      <c r="B4247" s="32"/>
      <c r="C4247" s="32"/>
      <c r="D4247" s="32"/>
      <c r="E4247" s="34" t="str">
        <f aca="false">IF($B4247="","",IF($B4247="OUT","Liters",IFERROR(INDEX(Setup!$F$3:$F$24,MATCH($C4247,Setup!$A$3:$A$24,0)),"")))</f>
        <v/>
      </c>
      <c r="F4247" s="28" t="str">
        <f aca="false">IF(OR($D4247="",$E4247=""),"",IFERROR($D4247*INDEX(Setup!$B$27:$B$44,MATCH($E4247,Setup!$A$27:$A$44,0)),"TBD"))</f>
        <v/>
      </c>
      <c r="G4247" s="32"/>
      <c r="H4247" s="32"/>
      <c r="I4247" s="32"/>
      <c r="J4247" s="32"/>
      <c r="K4247" s="35"/>
      <c r="L4247" s="32"/>
      <c r="M4247" s="32"/>
    </row>
    <row r="4248" customFormat="false" ht="15" hidden="false" customHeight="true" outlineLevel="0" collapsed="false">
      <c r="A4248" s="32"/>
      <c r="B4248" s="32"/>
      <c r="C4248" s="32"/>
      <c r="D4248" s="32"/>
      <c r="E4248" s="34" t="str">
        <f aca="false">IF($B4248="","",IF($B4248="OUT","Liters",IFERROR(INDEX(Setup!$F$3:$F$24,MATCH($C4248,Setup!$A$3:$A$24,0)),"")))</f>
        <v/>
      </c>
      <c r="F4248" s="28" t="str">
        <f aca="false">IF(OR($D4248="",$E4248=""),"",IFERROR($D4248*INDEX(Setup!$B$27:$B$44,MATCH($E4248,Setup!$A$27:$A$44,0)),"TBD"))</f>
        <v/>
      </c>
      <c r="G4248" s="32"/>
      <c r="H4248" s="32"/>
      <c r="I4248" s="32"/>
      <c r="J4248" s="32"/>
      <c r="K4248" s="35"/>
      <c r="L4248" s="32"/>
      <c r="M4248" s="32"/>
    </row>
    <row r="4249" customFormat="false" ht="15" hidden="false" customHeight="true" outlineLevel="0" collapsed="false">
      <c r="A4249" s="32"/>
      <c r="B4249" s="32"/>
      <c r="C4249" s="32"/>
      <c r="D4249" s="32"/>
      <c r="E4249" s="34" t="str">
        <f aca="false">IF($B4249="","",IF($B4249="OUT","Liters",IFERROR(INDEX(Setup!$F$3:$F$24,MATCH($C4249,Setup!$A$3:$A$24,0)),"")))</f>
        <v/>
      </c>
      <c r="F4249" s="28" t="str">
        <f aca="false">IF(OR($D4249="",$E4249=""),"",IFERROR($D4249*INDEX(Setup!$B$27:$B$44,MATCH($E4249,Setup!$A$27:$A$44,0)),"TBD"))</f>
        <v/>
      </c>
      <c r="G4249" s="32"/>
      <c r="H4249" s="32"/>
      <c r="I4249" s="32"/>
      <c r="J4249" s="32"/>
      <c r="K4249" s="35"/>
      <c r="L4249" s="32"/>
      <c r="M4249" s="32"/>
    </row>
    <row r="4250" customFormat="false" ht="15" hidden="false" customHeight="true" outlineLevel="0" collapsed="false">
      <c r="A4250" s="32"/>
      <c r="B4250" s="32"/>
      <c r="C4250" s="32"/>
      <c r="D4250" s="32"/>
      <c r="E4250" s="34" t="str">
        <f aca="false">IF($B4250="","",IF($B4250="OUT","Liters",IFERROR(INDEX(Setup!$F$3:$F$24,MATCH($C4250,Setup!$A$3:$A$24,0)),"")))</f>
        <v/>
      </c>
      <c r="F4250" s="28" t="str">
        <f aca="false">IF(OR($D4250="",$E4250=""),"",IFERROR($D4250*INDEX(Setup!$B$27:$B$44,MATCH($E4250,Setup!$A$27:$A$44,0)),"TBD"))</f>
        <v/>
      </c>
      <c r="G4250" s="32"/>
      <c r="H4250" s="32"/>
      <c r="I4250" s="32"/>
      <c r="J4250" s="32"/>
      <c r="K4250" s="35"/>
      <c r="L4250" s="32"/>
      <c r="M4250" s="32"/>
    </row>
    <row r="4251" customFormat="false" ht="15" hidden="false" customHeight="true" outlineLevel="0" collapsed="false">
      <c r="A4251" s="32"/>
      <c r="B4251" s="32"/>
      <c r="C4251" s="32"/>
      <c r="D4251" s="32"/>
      <c r="E4251" s="34" t="str">
        <f aca="false">IF($B4251="","",IF($B4251="OUT","Liters",IFERROR(INDEX(Setup!$F$3:$F$24,MATCH($C4251,Setup!$A$3:$A$24,0)),"")))</f>
        <v/>
      </c>
      <c r="F4251" s="28" t="str">
        <f aca="false">IF(OR($D4251="",$E4251=""),"",IFERROR($D4251*INDEX(Setup!$B$27:$B$44,MATCH($E4251,Setup!$A$27:$A$44,0)),"TBD"))</f>
        <v/>
      </c>
      <c r="G4251" s="32"/>
      <c r="H4251" s="32"/>
      <c r="I4251" s="32"/>
      <c r="J4251" s="32"/>
      <c r="K4251" s="35"/>
      <c r="L4251" s="32"/>
      <c r="M4251" s="32"/>
    </row>
    <row r="4252" customFormat="false" ht="15" hidden="false" customHeight="true" outlineLevel="0" collapsed="false">
      <c r="A4252" s="32"/>
      <c r="B4252" s="32"/>
      <c r="C4252" s="32"/>
      <c r="D4252" s="32"/>
      <c r="E4252" s="34" t="str">
        <f aca="false">IF($B4252="","",IF($B4252="OUT","Liters",IFERROR(INDEX(Setup!$F$3:$F$24,MATCH($C4252,Setup!$A$3:$A$24,0)),"")))</f>
        <v/>
      </c>
      <c r="F4252" s="28" t="str">
        <f aca="false">IF(OR($D4252="",$E4252=""),"",IFERROR($D4252*INDEX(Setup!$B$27:$B$44,MATCH($E4252,Setup!$A$27:$A$44,0)),"TBD"))</f>
        <v/>
      </c>
      <c r="G4252" s="32"/>
      <c r="H4252" s="32"/>
      <c r="I4252" s="32"/>
      <c r="J4252" s="32"/>
      <c r="K4252" s="35"/>
      <c r="L4252" s="32"/>
      <c r="M4252" s="32"/>
    </row>
    <row r="4253" customFormat="false" ht="15" hidden="false" customHeight="true" outlineLevel="0" collapsed="false">
      <c r="A4253" s="32"/>
      <c r="B4253" s="32"/>
      <c r="C4253" s="32"/>
      <c r="D4253" s="32"/>
      <c r="E4253" s="34" t="str">
        <f aca="false">IF($B4253="","",IF($B4253="OUT","Liters",IFERROR(INDEX(Setup!$F$3:$F$24,MATCH($C4253,Setup!$A$3:$A$24,0)),"")))</f>
        <v/>
      </c>
      <c r="F4253" s="28" t="str">
        <f aca="false">IF(OR($D4253="",$E4253=""),"",IFERROR($D4253*INDEX(Setup!$B$27:$B$44,MATCH($E4253,Setup!$A$27:$A$44,0)),"TBD"))</f>
        <v/>
      </c>
      <c r="G4253" s="32"/>
      <c r="H4253" s="32"/>
      <c r="I4253" s="32"/>
      <c r="J4253" s="32"/>
      <c r="K4253" s="35"/>
      <c r="L4253" s="32"/>
      <c r="M4253" s="32"/>
    </row>
    <row r="4254" customFormat="false" ht="15" hidden="false" customHeight="true" outlineLevel="0" collapsed="false">
      <c r="A4254" s="32"/>
      <c r="B4254" s="32"/>
      <c r="C4254" s="32"/>
      <c r="D4254" s="32"/>
      <c r="E4254" s="34" t="str">
        <f aca="false">IF($B4254="","",IF($B4254="OUT","Liters",IFERROR(INDEX(Setup!$F$3:$F$24,MATCH($C4254,Setup!$A$3:$A$24,0)),"")))</f>
        <v/>
      </c>
      <c r="F4254" s="28" t="str">
        <f aca="false">IF(OR($D4254="",$E4254=""),"",IFERROR($D4254*INDEX(Setup!$B$27:$B$44,MATCH($E4254,Setup!$A$27:$A$44,0)),"TBD"))</f>
        <v/>
      </c>
      <c r="G4254" s="32"/>
      <c r="H4254" s="32"/>
      <c r="I4254" s="32"/>
      <c r="J4254" s="32"/>
      <c r="K4254" s="35"/>
      <c r="L4254" s="32"/>
      <c r="M4254" s="32"/>
    </row>
    <row r="4255" customFormat="false" ht="15" hidden="false" customHeight="true" outlineLevel="0" collapsed="false">
      <c r="A4255" s="32"/>
      <c r="B4255" s="32"/>
      <c r="C4255" s="32"/>
      <c r="D4255" s="32"/>
      <c r="E4255" s="34" t="str">
        <f aca="false">IF($B4255="","",IF($B4255="OUT","Liters",IFERROR(INDEX(Setup!$F$3:$F$24,MATCH($C4255,Setup!$A$3:$A$24,0)),"")))</f>
        <v/>
      </c>
      <c r="F4255" s="28" t="str">
        <f aca="false">IF(OR($D4255="",$E4255=""),"",IFERROR($D4255*INDEX(Setup!$B$27:$B$44,MATCH($E4255,Setup!$A$27:$A$44,0)),"TBD"))</f>
        <v/>
      </c>
      <c r="G4255" s="32"/>
      <c r="H4255" s="32"/>
      <c r="I4255" s="32"/>
      <c r="J4255" s="32"/>
      <c r="K4255" s="35"/>
      <c r="L4255" s="32"/>
      <c r="M4255" s="32"/>
    </row>
    <row r="4256" customFormat="false" ht="15" hidden="false" customHeight="true" outlineLevel="0" collapsed="false">
      <c r="A4256" s="32"/>
      <c r="B4256" s="32"/>
      <c r="C4256" s="32"/>
      <c r="D4256" s="32"/>
      <c r="E4256" s="34" t="str">
        <f aca="false">IF($B4256="","",IF($B4256="OUT","Liters",IFERROR(INDEX(Setup!$F$3:$F$24,MATCH($C4256,Setup!$A$3:$A$24,0)),"")))</f>
        <v/>
      </c>
      <c r="F4256" s="28" t="str">
        <f aca="false">IF(OR($D4256="",$E4256=""),"",IFERROR($D4256*INDEX(Setup!$B$27:$B$44,MATCH($E4256,Setup!$A$27:$A$44,0)),"TBD"))</f>
        <v/>
      </c>
      <c r="G4256" s="32"/>
      <c r="H4256" s="32"/>
      <c r="I4256" s="32"/>
      <c r="J4256" s="32"/>
      <c r="K4256" s="35"/>
      <c r="L4256" s="32"/>
      <c r="M4256" s="32"/>
    </row>
    <row r="4257" customFormat="false" ht="15" hidden="false" customHeight="true" outlineLevel="0" collapsed="false">
      <c r="A4257" s="32"/>
      <c r="B4257" s="32"/>
      <c r="C4257" s="32"/>
      <c r="D4257" s="32"/>
      <c r="E4257" s="34" t="str">
        <f aca="false">IF($B4257="","",IF($B4257="OUT","Liters",IFERROR(INDEX(Setup!$F$3:$F$24,MATCH($C4257,Setup!$A$3:$A$24,0)),"")))</f>
        <v/>
      </c>
      <c r="F4257" s="28" t="str">
        <f aca="false">IF(OR($D4257="",$E4257=""),"",IFERROR($D4257*INDEX(Setup!$B$27:$B$44,MATCH($E4257,Setup!$A$27:$A$44,0)),"TBD"))</f>
        <v/>
      </c>
      <c r="G4257" s="32"/>
      <c r="H4257" s="32"/>
      <c r="I4257" s="32"/>
      <c r="J4257" s="32"/>
      <c r="K4257" s="35"/>
      <c r="L4257" s="32"/>
      <c r="M4257" s="32"/>
    </row>
    <row r="4258" customFormat="false" ht="15" hidden="false" customHeight="true" outlineLevel="0" collapsed="false">
      <c r="A4258" s="32"/>
      <c r="B4258" s="32"/>
      <c r="C4258" s="32"/>
      <c r="D4258" s="32"/>
      <c r="E4258" s="34" t="str">
        <f aca="false">IF($B4258="","",IF($B4258="OUT","Liters",IFERROR(INDEX(Setup!$F$3:$F$24,MATCH($C4258,Setup!$A$3:$A$24,0)),"")))</f>
        <v/>
      </c>
      <c r="F4258" s="28" t="str">
        <f aca="false">IF(OR($D4258="",$E4258=""),"",IFERROR($D4258*INDEX(Setup!$B$27:$B$44,MATCH($E4258,Setup!$A$27:$A$44,0)),"TBD"))</f>
        <v/>
      </c>
      <c r="G4258" s="32"/>
      <c r="H4258" s="32"/>
      <c r="I4258" s="32"/>
      <c r="J4258" s="32"/>
      <c r="K4258" s="35"/>
      <c r="L4258" s="32"/>
      <c r="M4258" s="32"/>
    </row>
    <row r="4259" customFormat="false" ht="15" hidden="false" customHeight="true" outlineLevel="0" collapsed="false">
      <c r="A4259" s="32"/>
      <c r="B4259" s="32"/>
      <c r="C4259" s="32"/>
      <c r="D4259" s="32"/>
      <c r="E4259" s="34" t="str">
        <f aca="false">IF($B4259="","",IF($B4259="OUT","Liters",IFERROR(INDEX(Setup!$F$3:$F$24,MATCH($C4259,Setup!$A$3:$A$24,0)),"")))</f>
        <v/>
      </c>
      <c r="F4259" s="28" t="str">
        <f aca="false">IF(OR($D4259="",$E4259=""),"",IFERROR($D4259*INDEX(Setup!$B$27:$B$44,MATCH($E4259,Setup!$A$27:$A$44,0)),"TBD"))</f>
        <v/>
      </c>
      <c r="G4259" s="32"/>
      <c r="H4259" s="32"/>
      <c r="I4259" s="32"/>
      <c r="J4259" s="32"/>
      <c r="K4259" s="35"/>
      <c r="L4259" s="32"/>
      <c r="M4259" s="32"/>
    </row>
    <row r="4260" customFormat="false" ht="15" hidden="false" customHeight="true" outlineLevel="0" collapsed="false">
      <c r="A4260" s="32"/>
      <c r="B4260" s="32"/>
      <c r="C4260" s="32"/>
      <c r="D4260" s="32"/>
      <c r="E4260" s="34" t="str">
        <f aca="false">IF($B4260="","",IF($B4260="OUT","Liters",IFERROR(INDEX(Setup!$F$3:$F$24,MATCH($C4260,Setup!$A$3:$A$24,0)),"")))</f>
        <v/>
      </c>
      <c r="F4260" s="28" t="str">
        <f aca="false">IF(OR($D4260="",$E4260=""),"",IFERROR($D4260*INDEX(Setup!$B$27:$B$44,MATCH($E4260,Setup!$A$27:$A$44,0)),"TBD"))</f>
        <v/>
      </c>
      <c r="G4260" s="32"/>
      <c r="H4260" s="32"/>
      <c r="I4260" s="32"/>
      <c r="J4260" s="32"/>
      <c r="K4260" s="35"/>
      <c r="L4260" s="32"/>
      <c r="M4260" s="32"/>
    </row>
    <row r="4261" customFormat="false" ht="15" hidden="false" customHeight="true" outlineLevel="0" collapsed="false">
      <c r="A4261" s="32"/>
      <c r="B4261" s="32"/>
      <c r="C4261" s="32"/>
      <c r="D4261" s="32"/>
      <c r="E4261" s="34" t="str">
        <f aca="false">IF($B4261="","",IF($B4261="OUT","Liters",IFERROR(INDEX(Setup!$F$3:$F$24,MATCH($C4261,Setup!$A$3:$A$24,0)),"")))</f>
        <v/>
      </c>
      <c r="F4261" s="28" t="str">
        <f aca="false">IF(OR($D4261="",$E4261=""),"",IFERROR($D4261*INDEX(Setup!$B$27:$B$44,MATCH($E4261,Setup!$A$27:$A$44,0)),"TBD"))</f>
        <v/>
      </c>
      <c r="G4261" s="32"/>
      <c r="H4261" s="32"/>
      <c r="I4261" s="32"/>
      <c r="J4261" s="32"/>
      <c r="K4261" s="35"/>
      <c r="L4261" s="32"/>
      <c r="M4261" s="32"/>
    </row>
    <row r="4262" customFormat="false" ht="15" hidden="false" customHeight="true" outlineLevel="0" collapsed="false">
      <c r="A4262" s="32"/>
      <c r="B4262" s="32"/>
      <c r="C4262" s="32"/>
      <c r="D4262" s="32"/>
      <c r="E4262" s="34" t="str">
        <f aca="false">IF($B4262="","",IF($B4262="OUT","Liters",IFERROR(INDEX(Setup!$F$3:$F$24,MATCH($C4262,Setup!$A$3:$A$24,0)),"")))</f>
        <v/>
      </c>
      <c r="F4262" s="28" t="str">
        <f aca="false">IF(OR($D4262="",$E4262=""),"",IFERROR($D4262*INDEX(Setup!$B$27:$B$44,MATCH($E4262,Setup!$A$27:$A$44,0)),"TBD"))</f>
        <v/>
      </c>
      <c r="G4262" s="32"/>
      <c r="H4262" s="32"/>
      <c r="I4262" s="32"/>
      <c r="J4262" s="32"/>
      <c r="K4262" s="35"/>
      <c r="L4262" s="32"/>
      <c r="M4262" s="32"/>
    </row>
    <row r="4263" customFormat="false" ht="15" hidden="false" customHeight="true" outlineLevel="0" collapsed="false">
      <c r="A4263" s="32"/>
      <c r="B4263" s="32"/>
      <c r="C4263" s="32"/>
      <c r="D4263" s="32"/>
      <c r="E4263" s="34" t="str">
        <f aca="false">IF($B4263="","",IF($B4263="OUT","Liters",IFERROR(INDEX(Setup!$F$3:$F$24,MATCH($C4263,Setup!$A$3:$A$24,0)),"")))</f>
        <v/>
      </c>
      <c r="F4263" s="28" t="str">
        <f aca="false">IF(OR($D4263="",$E4263=""),"",IFERROR($D4263*INDEX(Setup!$B$27:$B$44,MATCH($E4263,Setup!$A$27:$A$44,0)),"TBD"))</f>
        <v/>
      </c>
      <c r="G4263" s="32"/>
      <c r="H4263" s="32"/>
      <c r="I4263" s="32"/>
      <c r="J4263" s="32"/>
      <c r="K4263" s="35"/>
      <c r="L4263" s="32"/>
      <c r="M4263" s="32"/>
    </row>
    <row r="4264" customFormat="false" ht="15" hidden="false" customHeight="true" outlineLevel="0" collapsed="false">
      <c r="A4264" s="32"/>
      <c r="B4264" s="32"/>
      <c r="C4264" s="32"/>
      <c r="D4264" s="32"/>
      <c r="E4264" s="34" t="str">
        <f aca="false">IF($B4264="","",IF($B4264="OUT","Liters",IFERROR(INDEX(Setup!$F$3:$F$24,MATCH($C4264,Setup!$A$3:$A$24,0)),"")))</f>
        <v/>
      </c>
      <c r="F4264" s="28" t="str">
        <f aca="false">IF(OR($D4264="",$E4264=""),"",IFERROR($D4264*INDEX(Setup!$B$27:$B$44,MATCH($E4264,Setup!$A$27:$A$44,0)),"TBD"))</f>
        <v/>
      </c>
      <c r="G4264" s="32"/>
      <c r="H4264" s="32"/>
      <c r="I4264" s="32"/>
      <c r="J4264" s="32"/>
      <c r="K4264" s="35"/>
      <c r="L4264" s="32"/>
      <c r="M4264" s="32"/>
    </row>
    <row r="4265" customFormat="false" ht="15" hidden="false" customHeight="true" outlineLevel="0" collapsed="false">
      <c r="A4265" s="32"/>
      <c r="B4265" s="32"/>
      <c r="C4265" s="32"/>
      <c r="D4265" s="32"/>
      <c r="E4265" s="34" t="str">
        <f aca="false">IF($B4265="","",IF($B4265="OUT","Liters",IFERROR(INDEX(Setup!$F$3:$F$24,MATCH($C4265,Setup!$A$3:$A$24,0)),"")))</f>
        <v/>
      </c>
      <c r="F4265" s="28" t="str">
        <f aca="false">IF(OR($D4265="",$E4265=""),"",IFERROR($D4265*INDEX(Setup!$B$27:$B$44,MATCH($E4265,Setup!$A$27:$A$44,0)),"TBD"))</f>
        <v/>
      </c>
      <c r="G4265" s="32"/>
      <c r="H4265" s="32"/>
      <c r="I4265" s="32"/>
      <c r="J4265" s="32"/>
      <c r="K4265" s="35"/>
      <c r="L4265" s="32"/>
      <c r="M4265" s="32"/>
    </row>
    <row r="4266" customFormat="false" ht="15" hidden="false" customHeight="true" outlineLevel="0" collapsed="false">
      <c r="A4266" s="32"/>
      <c r="B4266" s="32"/>
      <c r="C4266" s="32"/>
      <c r="D4266" s="32"/>
      <c r="E4266" s="34" t="str">
        <f aca="false">IF($B4266="","",IF($B4266="OUT","Liters",IFERROR(INDEX(Setup!$F$3:$F$24,MATCH($C4266,Setup!$A$3:$A$24,0)),"")))</f>
        <v/>
      </c>
      <c r="F4266" s="28" t="str">
        <f aca="false">IF(OR($D4266="",$E4266=""),"",IFERROR($D4266*INDEX(Setup!$B$27:$B$44,MATCH($E4266,Setup!$A$27:$A$44,0)),"TBD"))</f>
        <v/>
      </c>
      <c r="G4266" s="32"/>
      <c r="H4266" s="32"/>
      <c r="I4266" s="32"/>
      <c r="J4266" s="32"/>
      <c r="K4266" s="35"/>
      <c r="L4266" s="32"/>
      <c r="M4266" s="32"/>
    </row>
    <row r="4267" customFormat="false" ht="15" hidden="false" customHeight="true" outlineLevel="0" collapsed="false">
      <c r="A4267" s="32"/>
      <c r="B4267" s="32"/>
      <c r="C4267" s="32"/>
      <c r="D4267" s="32"/>
      <c r="E4267" s="34" t="str">
        <f aca="false">IF($B4267="","",IF($B4267="OUT","Liters",IFERROR(INDEX(Setup!$F$3:$F$24,MATCH($C4267,Setup!$A$3:$A$24,0)),"")))</f>
        <v/>
      </c>
      <c r="F4267" s="28" t="str">
        <f aca="false">IF(OR($D4267="",$E4267=""),"",IFERROR($D4267*INDEX(Setup!$B$27:$B$44,MATCH($E4267,Setup!$A$27:$A$44,0)),"TBD"))</f>
        <v/>
      </c>
      <c r="G4267" s="32"/>
      <c r="H4267" s="32"/>
      <c r="I4267" s="32"/>
      <c r="J4267" s="32"/>
      <c r="K4267" s="35"/>
      <c r="L4267" s="32"/>
      <c r="M4267" s="32"/>
    </row>
    <row r="4268" customFormat="false" ht="15" hidden="false" customHeight="true" outlineLevel="0" collapsed="false">
      <c r="A4268" s="32"/>
      <c r="B4268" s="32"/>
      <c r="C4268" s="32"/>
      <c r="D4268" s="32"/>
      <c r="E4268" s="34" t="str">
        <f aca="false">IF($B4268="","",IF($B4268="OUT","Liters",IFERROR(INDEX(Setup!$F$3:$F$24,MATCH($C4268,Setup!$A$3:$A$24,0)),"")))</f>
        <v/>
      </c>
      <c r="F4268" s="28" t="str">
        <f aca="false">IF(OR($D4268="",$E4268=""),"",IFERROR($D4268*INDEX(Setup!$B$27:$B$44,MATCH($E4268,Setup!$A$27:$A$44,0)),"TBD"))</f>
        <v/>
      </c>
      <c r="G4268" s="32"/>
      <c r="H4268" s="32"/>
      <c r="I4268" s="32"/>
      <c r="J4268" s="32"/>
      <c r="K4268" s="35"/>
      <c r="L4268" s="32"/>
      <c r="M4268" s="32"/>
    </row>
    <row r="4269" customFormat="false" ht="15" hidden="false" customHeight="true" outlineLevel="0" collapsed="false">
      <c r="A4269" s="32"/>
      <c r="B4269" s="32"/>
      <c r="C4269" s="32"/>
      <c r="D4269" s="32"/>
      <c r="E4269" s="34" t="str">
        <f aca="false">IF($B4269="","",IF($B4269="OUT","Liters",IFERROR(INDEX(Setup!$F$3:$F$24,MATCH($C4269,Setup!$A$3:$A$24,0)),"")))</f>
        <v/>
      </c>
      <c r="F4269" s="28" t="str">
        <f aca="false">IF(OR($D4269="",$E4269=""),"",IFERROR($D4269*INDEX(Setup!$B$27:$B$44,MATCH($E4269,Setup!$A$27:$A$44,0)),"TBD"))</f>
        <v/>
      </c>
      <c r="G4269" s="32"/>
      <c r="H4269" s="32"/>
      <c r="I4269" s="32"/>
      <c r="J4269" s="32"/>
      <c r="K4269" s="35"/>
      <c r="L4269" s="32"/>
      <c r="M4269" s="32"/>
    </row>
    <row r="4270" customFormat="false" ht="15" hidden="false" customHeight="true" outlineLevel="0" collapsed="false">
      <c r="A4270" s="32"/>
      <c r="B4270" s="32"/>
      <c r="C4270" s="32"/>
      <c r="D4270" s="32"/>
      <c r="E4270" s="34" t="str">
        <f aca="false">IF($B4270="","",IF($B4270="OUT","Liters",IFERROR(INDEX(Setup!$F$3:$F$24,MATCH($C4270,Setup!$A$3:$A$24,0)),"")))</f>
        <v/>
      </c>
      <c r="F4270" s="28" t="str">
        <f aca="false">IF(OR($D4270="",$E4270=""),"",IFERROR($D4270*INDEX(Setup!$B$27:$B$44,MATCH($E4270,Setup!$A$27:$A$44,0)),"TBD"))</f>
        <v/>
      </c>
      <c r="G4270" s="32"/>
      <c r="H4270" s="32"/>
      <c r="I4270" s="32"/>
      <c r="J4270" s="32"/>
      <c r="K4270" s="35"/>
      <c r="L4270" s="32"/>
      <c r="M4270" s="32"/>
    </row>
    <row r="4271" customFormat="false" ht="15" hidden="false" customHeight="true" outlineLevel="0" collapsed="false">
      <c r="A4271" s="32"/>
      <c r="B4271" s="32"/>
      <c r="C4271" s="32"/>
      <c r="D4271" s="32"/>
      <c r="E4271" s="34" t="str">
        <f aca="false">IF($B4271="","",IF($B4271="OUT","Liters",IFERROR(INDEX(Setup!$F$3:$F$24,MATCH($C4271,Setup!$A$3:$A$24,0)),"")))</f>
        <v/>
      </c>
      <c r="F4271" s="28" t="str">
        <f aca="false">IF(OR($D4271="",$E4271=""),"",IFERROR($D4271*INDEX(Setup!$B$27:$B$44,MATCH($E4271,Setup!$A$27:$A$44,0)),"TBD"))</f>
        <v/>
      </c>
      <c r="G4271" s="32"/>
      <c r="H4271" s="32"/>
      <c r="I4271" s="32"/>
      <c r="J4271" s="32"/>
      <c r="K4271" s="35"/>
      <c r="L4271" s="32"/>
      <c r="M4271" s="32"/>
    </row>
    <row r="4272" customFormat="false" ht="15" hidden="false" customHeight="true" outlineLevel="0" collapsed="false">
      <c r="A4272" s="32"/>
      <c r="B4272" s="32"/>
      <c r="C4272" s="32"/>
      <c r="D4272" s="32"/>
      <c r="E4272" s="34" t="str">
        <f aca="false">IF($B4272="","",IF($B4272="OUT","Liters",IFERROR(INDEX(Setup!$F$3:$F$24,MATCH($C4272,Setup!$A$3:$A$24,0)),"")))</f>
        <v/>
      </c>
      <c r="F4272" s="28" t="str">
        <f aca="false">IF(OR($D4272="",$E4272=""),"",IFERROR($D4272*INDEX(Setup!$B$27:$B$44,MATCH($E4272,Setup!$A$27:$A$44,0)),"TBD"))</f>
        <v/>
      </c>
      <c r="G4272" s="32"/>
      <c r="H4272" s="32"/>
      <c r="I4272" s="32"/>
      <c r="J4272" s="32"/>
      <c r="K4272" s="35"/>
      <c r="L4272" s="32"/>
      <c r="M4272" s="32"/>
    </row>
    <row r="4273" customFormat="false" ht="15" hidden="false" customHeight="true" outlineLevel="0" collapsed="false">
      <c r="A4273" s="32"/>
      <c r="B4273" s="32"/>
      <c r="C4273" s="32"/>
      <c r="D4273" s="32"/>
      <c r="E4273" s="34" t="str">
        <f aca="false">IF($B4273="","",IF($B4273="OUT","Liters",IFERROR(INDEX(Setup!$F$3:$F$24,MATCH($C4273,Setup!$A$3:$A$24,0)),"")))</f>
        <v/>
      </c>
      <c r="F4273" s="28" t="str">
        <f aca="false">IF(OR($D4273="",$E4273=""),"",IFERROR($D4273*INDEX(Setup!$B$27:$B$44,MATCH($E4273,Setup!$A$27:$A$44,0)),"TBD"))</f>
        <v/>
      </c>
      <c r="G4273" s="32"/>
      <c r="H4273" s="32"/>
      <c r="I4273" s="32"/>
      <c r="J4273" s="32"/>
      <c r="K4273" s="35"/>
      <c r="L4273" s="32"/>
      <c r="M4273" s="32"/>
    </row>
    <row r="4274" customFormat="false" ht="15" hidden="false" customHeight="true" outlineLevel="0" collapsed="false">
      <c r="A4274" s="32"/>
      <c r="B4274" s="32"/>
      <c r="C4274" s="32"/>
      <c r="D4274" s="32"/>
      <c r="E4274" s="34" t="str">
        <f aca="false">IF($B4274="","",IF($B4274="OUT","Liters",IFERROR(INDEX(Setup!$F$3:$F$24,MATCH($C4274,Setup!$A$3:$A$24,0)),"")))</f>
        <v/>
      </c>
      <c r="F4274" s="28" t="str">
        <f aca="false">IF(OR($D4274="",$E4274=""),"",IFERROR($D4274*INDEX(Setup!$B$27:$B$44,MATCH($E4274,Setup!$A$27:$A$44,0)),"TBD"))</f>
        <v/>
      </c>
      <c r="G4274" s="32"/>
      <c r="H4274" s="32"/>
      <c r="I4274" s="32"/>
      <c r="J4274" s="32"/>
      <c r="K4274" s="35"/>
      <c r="L4274" s="32"/>
      <c r="M4274" s="32"/>
    </row>
    <row r="4275" customFormat="false" ht="15" hidden="false" customHeight="true" outlineLevel="0" collapsed="false">
      <c r="A4275" s="32"/>
      <c r="B4275" s="32"/>
      <c r="C4275" s="32"/>
      <c r="D4275" s="32"/>
      <c r="E4275" s="34" t="str">
        <f aca="false">IF($B4275="","",IF($B4275="OUT","Liters",IFERROR(INDEX(Setup!$F$3:$F$24,MATCH($C4275,Setup!$A$3:$A$24,0)),"")))</f>
        <v/>
      </c>
      <c r="F4275" s="28" t="str">
        <f aca="false">IF(OR($D4275="",$E4275=""),"",IFERROR($D4275*INDEX(Setup!$B$27:$B$44,MATCH($E4275,Setup!$A$27:$A$44,0)),"TBD"))</f>
        <v/>
      </c>
      <c r="G4275" s="32"/>
      <c r="H4275" s="32"/>
      <c r="I4275" s="32"/>
      <c r="J4275" s="32"/>
      <c r="K4275" s="35"/>
      <c r="L4275" s="32"/>
      <c r="M4275" s="32"/>
    </row>
    <row r="4276" customFormat="false" ht="15" hidden="false" customHeight="true" outlineLevel="0" collapsed="false">
      <c r="A4276" s="32"/>
      <c r="B4276" s="32"/>
      <c r="C4276" s="32"/>
      <c r="D4276" s="32"/>
      <c r="E4276" s="34" t="str">
        <f aca="false">IF($B4276="","",IF($B4276="OUT","Liters",IFERROR(INDEX(Setup!$F$3:$F$24,MATCH($C4276,Setup!$A$3:$A$24,0)),"")))</f>
        <v/>
      </c>
      <c r="F4276" s="28" t="str">
        <f aca="false">IF(OR($D4276="",$E4276=""),"",IFERROR($D4276*INDEX(Setup!$B$27:$B$44,MATCH($E4276,Setup!$A$27:$A$44,0)),"TBD"))</f>
        <v/>
      </c>
      <c r="G4276" s="32"/>
      <c r="H4276" s="32"/>
      <c r="I4276" s="32"/>
      <c r="J4276" s="32"/>
      <c r="K4276" s="35"/>
      <c r="L4276" s="32"/>
      <c r="M4276" s="32"/>
    </row>
    <row r="4277" customFormat="false" ht="15" hidden="false" customHeight="true" outlineLevel="0" collapsed="false">
      <c r="A4277" s="32"/>
      <c r="B4277" s="32"/>
      <c r="C4277" s="32"/>
      <c r="D4277" s="32"/>
      <c r="E4277" s="34" t="str">
        <f aca="false">IF($B4277="","",IF($B4277="OUT","Liters",IFERROR(INDEX(Setup!$F$3:$F$24,MATCH($C4277,Setup!$A$3:$A$24,0)),"")))</f>
        <v/>
      </c>
      <c r="F4277" s="28" t="str">
        <f aca="false">IF(OR($D4277="",$E4277=""),"",IFERROR($D4277*INDEX(Setup!$B$27:$B$44,MATCH($E4277,Setup!$A$27:$A$44,0)),"TBD"))</f>
        <v/>
      </c>
      <c r="G4277" s="32"/>
      <c r="H4277" s="32"/>
      <c r="I4277" s="32"/>
      <c r="J4277" s="32"/>
      <c r="K4277" s="35"/>
      <c r="L4277" s="32"/>
      <c r="M4277" s="32"/>
    </row>
    <row r="4278" customFormat="false" ht="15" hidden="false" customHeight="true" outlineLevel="0" collapsed="false">
      <c r="A4278" s="32"/>
      <c r="B4278" s="32"/>
      <c r="C4278" s="32"/>
      <c r="D4278" s="32"/>
      <c r="E4278" s="34" t="str">
        <f aca="false">IF($B4278="","",IF($B4278="OUT","Liters",IFERROR(INDEX(Setup!$F$3:$F$24,MATCH($C4278,Setup!$A$3:$A$24,0)),"")))</f>
        <v/>
      </c>
      <c r="F4278" s="28" t="str">
        <f aca="false">IF(OR($D4278="",$E4278=""),"",IFERROR($D4278*INDEX(Setup!$B$27:$B$44,MATCH($E4278,Setup!$A$27:$A$44,0)),"TBD"))</f>
        <v/>
      </c>
      <c r="G4278" s="32"/>
      <c r="H4278" s="32"/>
      <c r="I4278" s="32"/>
      <c r="J4278" s="32"/>
      <c r="K4278" s="35"/>
      <c r="L4278" s="32"/>
      <c r="M4278" s="32"/>
    </row>
    <row r="4279" customFormat="false" ht="15" hidden="false" customHeight="true" outlineLevel="0" collapsed="false">
      <c r="A4279" s="32"/>
      <c r="B4279" s="32"/>
      <c r="C4279" s="32"/>
      <c r="D4279" s="32"/>
      <c r="E4279" s="34" t="str">
        <f aca="false">IF($B4279="","",IF($B4279="OUT","Liters",IFERROR(INDEX(Setup!$F$3:$F$24,MATCH($C4279,Setup!$A$3:$A$24,0)),"")))</f>
        <v/>
      </c>
      <c r="F4279" s="28" t="str">
        <f aca="false">IF(OR($D4279="",$E4279=""),"",IFERROR($D4279*INDEX(Setup!$B$27:$B$44,MATCH($E4279,Setup!$A$27:$A$44,0)),"TBD"))</f>
        <v/>
      </c>
      <c r="G4279" s="32"/>
      <c r="H4279" s="32"/>
      <c r="I4279" s="32"/>
      <c r="J4279" s="32"/>
      <c r="K4279" s="35"/>
      <c r="L4279" s="32"/>
      <c r="M4279" s="32"/>
    </row>
    <row r="4280" customFormat="false" ht="15" hidden="false" customHeight="true" outlineLevel="0" collapsed="false">
      <c r="A4280" s="32"/>
      <c r="B4280" s="32"/>
      <c r="C4280" s="32"/>
      <c r="D4280" s="32"/>
      <c r="E4280" s="34" t="str">
        <f aca="false">IF($B4280="","",IF($B4280="OUT","Liters",IFERROR(INDEX(Setup!$F$3:$F$24,MATCH($C4280,Setup!$A$3:$A$24,0)),"")))</f>
        <v/>
      </c>
      <c r="F4280" s="28" t="str">
        <f aca="false">IF(OR($D4280="",$E4280=""),"",IFERROR($D4280*INDEX(Setup!$B$27:$B$44,MATCH($E4280,Setup!$A$27:$A$44,0)),"TBD"))</f>
        <v/>
      </c>
      <c r="G4280" s="32"/>
      <c r="H4280" s="32"/>
      <c r="I4280" s="32"/>
      <c r="J4280" s="32"/>
      <c r="K4280" s="35"/>
      <c r="L4280" s="32"/>
      <c r="M4280" s="32"/>
    </row>
    <row r="4281" customFormat="false" ht="15" hidden="false" customHeight="true" outlineLevel="0" collapsed="false">
      <c r="A4281" s="32"/>
      <c r="B4281" s="32"/>
      <c r="C4281" s="32"/>
      <c r="D4281" s="32"/>
      <c r="E4281" s="34" t="str">
        <f aca="false">IF($B4281="","",IF($B4281="OUT","Liters",IFERROR(INDEX(Setup!$F$3:$F$24,MATCH($C4281,Setup!$A$3:$A$24,0)),"")))</f>
        <v/>
      </c>
      <c r="F4281" s="28" t="str">
        <f aca="false">IF(OR($D4281="",$E4281=""),"",IFERROR($D4281*INDEX(Setup!$B$27:$B$44,MATCH($E4281,Setup!$A$27:$A$44,0)),"TBD"))</f>
        <v/>
      </c>
      <c r="G4281" s="32"/>
      <c r="H4281" s="32"/>
      <c r="I4281" s="32"/>
      <c r="J4281" s="32"/>
      <c r="K4281" s="35"/>
      <c r="L4281" s="32"/>
      <c r="M4281" s="32"/>
    </row>
    <row r="4282" customFormat="false" ht="15" hidden="false" customHeight="true" outlineLevel="0" collapsed="false">
      <c r="A4282" s="32"/>
      <c r="B4282" s="32"/>
      <c r="C4282" s="32"/>
      <c r="D4282" s="32"/>
      <c r="E4282" s="34" t="str">
        <f aca="false">IF($B4282="","",IF($B4282="OUT","Liters",IFERROR(INDEX(Setup!$F$3:$F$24,MATCH($C4282,Setup!$A$3:$A$24,0)),"")))</f>
        <v/>
      </c>
      <c r="F4282" s="28" t="str">
        <f aca="false">IF(OR($D4282="",$E4282=""),"",IFERROR($D4282*INDEX(Setup!$B$27:$B$44,MATCH($E4282,Setup!$A$27:$A$44,0)),"TBD"))</f>
        <v/>
      </c>
      <c r="G4282" s="32"/>
      <c r="H4282" s="32"/>
      <c r="I4282" s="32"/>
      <c r="J4282" s="32"/>
      <c r="K4282" s="35"/>
      <c r="L4282" s="32"/>
      <c r="M4282" s="32"/>
    </row>
    <row r="4283" customFormat="false" ht="15" hidden="false" customHeight="true" outlineLevel="0" collapsed="false">
      <c r="A4283" s="32"/>
      <c r="B4283" s="32"/>
      <c r="C4283" s="32"/>
      <c r="D4283" s="32"/>
      <c r="E4283" s="34" t="str">
        <f aca="false">IF($B4283="","",IF($B4283="OUT","Liters",IFERROR(INDEX(Setup!$F$3:$F$24,MATCH($C4283,Setup!$A$3:$A$24,0)),"")))</f>
        <v/>
      </c>
      <c r="F4283" s="28" t="str">
        <f aca="false">IF(OR($D4283="",$E4283=""),"",IFERROR($D4283*INDEX(Setup!$B$27:$B$44,MATCH($E4283,Setup!$A$27:$A$44,0)),"TBD"))</f>
        <v/>
      </c>
      <c r="G4283" s="32"/>
      <c r="H4283" s="32"/>
      <c r="I4283" s="32"/>
      <c r="J4283" s="32"/>
      <c r="K4283" s="35"/>
      <c r="L4283" s="32"/>
      <c r="M4283" s="32"/>
    </row>
    <row r="4284" customFormat="false" ht="15" hidden="false" customHeight="true" outlineLevel="0" collapsed="false">
      <c r="A4284" s="32"/>
      <c r="B4284" s="32"/>
      <c r="C4284" s="32"/>
      <c r="D4284" s="32"/>
      <c r="E4284" s="34" t="str">
        <f aca="false">IF($B4284="","",IF($B4284="OUT","Liters",IFERROR(INDEX(Setup!$F$3:$F$24,MATCH($C4284,Setup!$A$3:$A$24,0)),"")))</f>
        <v/>
      </c>
      <c r="F4284" s="28" t="str">
        <f aca="false">IF(OR($D4284="",$E4284=""),"",IFERROR($D4284*INDEX(Setup!$B$27:$B$44,MATCH($E4284,Setup!$A$27:$A$44,0)),"TBD"))</f>
        <v/>
      </c>
      <c r="G4284" s="32"/>
      <c r="H4284" s="32"/>
      <c r="I4284" s="32"/>
      <c r="J4284" s="32"/>
      <c r="K4284" s="35"/>
      <c r="L4284" s="32"/>
      <c r="M4284" s="32"/>
    </row>
    <row r="4285" customFormat="false" ht="15" hidden="false" customHeight="true" outlineLevel="0" collapsed="false">
      <c r="A4285" s="32"/>
      <c r="B4285" s="32"/>
      <c r="C4285" s="32"/>
      <c r="D4285" s="32"/>
      <c r="E4285" s="34" t="str">
        <f aca="false">IF($B4285="","",IF($B4285="OUT","Liters",IFERROR(INDEX(Setup!$F$3:$F$24,MATCH($C4285,Setup!$A$3:$A$24,0)),"")))</f>
        <v/>
      </c>
      <c r="F4285" s="28" t="str">
        <f aca="false">IF(OR($D4285="",$E4285=""),"",IFERROR($D4285*INDEX(Setup!$B$27:$B$44,MATCH($E4285,Setup!$A$27:$A$44,0)),"TBD"))</f>
        <v/>
      </c>
      <c r="G4285" s="32"/>
      <c r="H4285" s="32"/>
      <c r="I4285" s="32"/>
      <c r="J4285" s="32"/>
      <c r="K4285" s="35"/>
      <c r="L4285" s="32"/>
      <c r="M4285" s="32"/>
    </row>
    <row r="4286" customFormat="false" ht="15" hidden="false" customHeight="true" outlineLevel="0" collapsed="false">
      <c r="A4286" s="32"/>
      <c r="B4286" s="32"/>
      <c r="C4286" s="32"/>
      <c r="D4286" s="32"/>
      <c r="E4286" s="34" t="str">
        <f aca="false">IF($B4286="","",IF($B4286="OUT","Liters",IFERROR(INDEX(Setup!$F$3:$F$24,MATCH($C4286,Setup!$A$3:$A$24,0)),"")))</f>
        <v/>
      </c>
      <c r="F4286" s="28" t="str">
        <f aca="false">IF(OR($D4286="",$E4286=""),"",IFERROR($D4286*INDEX(Setup!$B$27:$B$44,MATCH($E4286,Setup!$A$27:$A$44,0)),"TBD"))</f>
        <v/>
      </c>
      <c r="G4286" s="32"/>
      <c r="H4286" s="32"/>
      <c r="I4286" s="32"/>
      <c r="J4286" s="32"/>
      <c r="K4286" s="35"/>
      <c r="L4286" s="32"/>
      <c r="M4286" s="32"/>
    </row>
    <row r="4287" customFormat="false" ht="15" hidden="false" customHeight="true" outlineLevel="0" collapsed="false">
      <c r="A4287" s="32"/>
      <c r="B4287" s="32"/>
      <c r="C4287" s="32"/>
      <c r="D4287" s="32"/>
      <c r="E4287" s="34" t="str">
        <f aca="false">IF($B4287="","",IF($B4287="OUT","Liters",IFERROR(INDEX(Setup!$F$3:$F$24,MATCH($C4287,Setup!$A$3:$A$24,0)),"")))</f>
        <v/>
      </c>
      <c r="F4287" s="28" t="str">
        <f aca="false">IF(OR($D4287="",$E4287=""),"",IFERROR($D4287*INDEX(Setup!$B$27:$B$44,MATCH($E4287,Setup!$A$27:$A$44,0)),"TBD"))</f>
        <v/>
      </c>
      <c r="G4287" s="32"/>
      <c r="H4287" s="32"/>
      <c r="I4287" s="32"/>
      <c r="J4287" s="32"/>
      <c r="K4287" s="35"/>
      <c r="L4287" s="32"/>
      <c r="M4287" s="32"/>
    </row>
    <row r="4288" customFormat="false" ht="15" hidden="false" customHeight="true" outlineLevel="0" collapsed="false">
      <c r="A4288" s="32"/>
      <c r="B4288" s="32"/>
      <c r="C4288" s="32"/>
      <c r="D4288" s="32"/>
      <c r="E4288" s="34" t="str">
        <f aca="false">IF($B4288="","",IF($B4288="OUT","Liters",IFERROR(INDEX(Setup!$F$3:$F$24,MATCH($C4288,Setup!$A$3:$A$24,0)),"")))</f>
        <v/>
      </c>
      <c r="F4288" s="28" t="str">
        <f aca="false">IF(OR($D4288="",$E4288=""),"",IFERROR($D4288*INDEX(Setup!$B$27:$B$44,MATCH($E4288,Setup!$A$27:$A$44,0)),"TBD"))</f>
        <v/>
      </c>
      <c r="G4288" s="32"/>
      <c r="H4288" s="32"/>
      <c r="I4288" s="32"/>
      <c r="J4288" s="32"/>
      <c r="K4288" s="35"/>
      <c r="L4288" s="32"/>
      <c r="M4288" s="32"/>
    </row>
    <row r="4289" customFormat="false" ht="15" hidden="false" customHeight="true" outlineLevel="0" collapsed="false">
      <c r="A4289" s="32"/>
      <c r="B4289" s="32"/>
      <c r="C4289" s="32"/>
      <c r="D4289" s="32"/>
      <c r="E4289" s="34" t="str">
        <f aca="false">IF($B4289="","",IF($B4289="OUT","Liters",IFERROR(INDEX(Setup!$F$3:$F$24,MATCH($C4289,Setup!$A$3:$A$24,0)),"")))</f>
        <v/>
      </c>
      <c r="F4289" s="28" t="str">
        <f aca="false">IF(OR($D4289="",$E4289=""),"",IFERROR($D4289*INDEX(Setup!$B$27:$B$44,MATCH($E4289,Setup!$A$27:$A$44,0)),"TBD"))</f>
        <v/>
      </c>
      <c r="G4289" s="32"/>
      <c r="H4289" s="32"/>
      <c r="I4289" s="32"/>
      <c r="J4289" s="32"/>
      <c r="K4289" s="35"/>
      <c r="L4289" s="32"/>
      <c r="M4289" s="32"/>
    </row>
    <row r="4290" customFormat="false" ht="15" hidden="false" customHeight="true" outlineLevel="0" collapsed="false">
      <c r="A4290" s="32"/>
      <c r="B4290" s="32"/>
      <c r="C4290" s="32"/>
      <c r="D4290" s="32"/>
      <c r="E4290" s="34" t="str">
        <f aca="false">IF($B4290="","",IF($B4290="OUT","Liters",IFERROR(INDEX(Setup!$F$3:$F$24,MATCH($C4290,Setup!$A$3:$A$24,0)),"")))</f>
        <v/>
      </c>
      <c r="F4290" s="28" t="str">
        <f aca="false">IF(OR($D4290="",$E4290=""),"",IFERROR($D4290*INDEX(Setup!$B$27:$B$44,MATCH($E4290,Setup!$A$27:$A$44,0)),"TBD"))</f>
        <v/>
      </c>
      <c r="G4290" s="32"/>
      <c r="H4290" s="32"/>
      <c r="I4290" s="32"/>
      <c r="J4290" s="32"/>
      <c r="K4290" s="35"/>
      <c r="L4290" s="32"/>
      <c r="M4290" s="32"/>
    </row>
    <row r="4291" customFormat="false" ht="15" hidden="false" customHeight="true" outlineLevel="0" collapsed="false">
      <c r="A4291" s="32"/>
      <c r="B4291" s="32"/>
      <c r="C4291" s="32"/>
      <c r="D4291" s="32"/>
      <c r="E4291" s="34" t="str">
        <f aca="false">IF($B4291="","",IF($B4291="OUT","Liters",IFERROR(INDEX(Setup!$F$3:$F$24,MATCH($C4291,Setup!$A$3:$A$24,0)),"")))</f>
        <v/>
      </c>
      <c r="F4291" s="28" t="str">
        <f aca="false">IF(OR($D4291="",$E4291=""),"",IFERROR($D4291*INDEX(Setup!$B$27:$B$44,MATCH($E4291,Setup!$A$27:$A$44,0)),"TBD"))</f>
        <v/>
      </c>
      <c r="G4291" s="32"/>
      <c r="H4291" s="32"/>
      <c r="I4291" s="32"/>
      <c r="J4291" s="32"/>
      <c r="K4291" s="35"/>
      <c r="L4291" s="32"/>
      <c r="M4291" s="32"/>
    </row>
    <row r="4292" customFormat="false" ht="15" hidden="false" customHeight="true" outlineLevel="0" collapsed="false">
      <c r="A4292" s="32"/>
      <c r="B4292" s="32"/>
      <c r="C4292" s="32"/>
      <c r="D4292" s="32"/>
      <c r="E4292" s="34" t="str">
        <f aca="false">IF($B4292="","",IF($B4292="OUT","Liters",IFERROR(INDEX(Setup!$F$3:$F$24,MATCH($C4292,Setup!$A$3:$A$24,0)),"")))</f>
        <v/>
      </c>
      <c r="F4292" s="28" t="str">
        <f aca="false">IF(OR($D4292="",$E4292=""),"",IFERROR($D4292*INDEX(Setup!$B$27:$B$44,MATCH($E4292,Setup!$A$27:$A$44,0)),"TBD"))</f>
        <v/>
      </c>
      <c r="G4292" s="32"/>
      <c r="H4292" s="32"/>
      <c r="I4292" s="32"/>
      <c r="J4292" s="32"/>
      <c r="K4292" s="35"/>
      <c r="L4292" s="32"/>
      <c r="M4292" s="32"/>
    </row>
    <row r="4293" customFormat="false" ht="15" hidden="false" customHeight="true" outlineLevel="0" collapsed="false">
      <c r="A4293" s="32"/>
      <c r="B4293" s="32"/>
      <c r="C4293" s="32"/>
      <c r="D4293" s="32"/>
      <c r="E4293" s="34" t="str">
        <f aca="false">IF($B4293="","",IF($B4293="OUT","Liters",IFERROR(INDEX(Setup!$F$3:$F$24,MATCH($C4293,Setup!$A$3:$A$24,0)),"")))</f>
        <v/>
      </c>
      <c r="F4293" s="28" t="str">
        <f aca="false">IF(OR($D4293="",$E4293=""),"",IFERROR($D4293*INDEX(Setup!$B$27:$B$44,MATCH($E4293,Setup!$A$27:$A$44,0)),"TBD"))</f>
        <v/>
      </c>
      <c r="G4293" s="32"/>
      <c r="H4293" s="32"/>
      <c r="I4293" s="32"/>
      <c r="J4293" s="32"/>
      <c r="K4293" s="35"/>
      <c r="L4293" s="32"/>
      <c r="M4293" s="32"/>
    </row>
    <row r="4294" customFormat="false" ht="15" hidden="false" customHeight="true" outlineLevel="0" collapsed="false">
      <c r="A4294" s="32"/>
      <c r="B4294" s="32"/>
      <c r="C4294" s="32"/>
      <c r="D4294" s="32"/>
      <c r="E4294" s="34" t="str">
        <f aca="false">IF($B4294="","",IF($B4294="OUT","Liters",IFERROR(INDEX(Setup!$F$3:$F$24,MATCH($C4294,Setup!$A$3:$A$24,0)),"")))</f>
        <v/>
      </c>
      <c r="F4294" s="28" t="str">
        <f aca="false">IF(OR($D4294="",$E4294=""),"",IFERROR($D4294*INDEX(Setup!$B$27:$B$44,MATCH($E4294,Setup!$A$27:$A$44,0)),"TBD"))</f>
        <v/>
      </c>
      <c r="G4294" s="32"/>
      <c r="H4294" s="32"/>
      <c r="I4294" s="32"/>
      <c r="J4294" s="32"/>
      <c r="K4294" s="35"/>
      <c r="L4294" s="32"/>
      <c r="M4294" s="32"/>
    </row>
    <row r="4295" customFormat="false" ht="15" hidden="false" customHeight="true" outlineLevel="0" collapsed="false">
      <c r="A4295" s="32"/>
      <c r="B4295" s="32"/>
      <c r="C4295" s="32"/>
      <c r="D4295" s="32"/>
      <c r="E4295" s="34" t="str">
        <f aca="false">IF($B4295="","",IF($B4295="OUT","Liters",IFERROR(INDEX(Setup!$F$3:$F$24,MATCH($C4295,Setup!$A$3:$A$24,0)),"")))</f>
        <v/>
      </c>
      <c r="F4295" s="28" t="str">
        <f aca="false">IF(OR($D4295="",$E4295=""),"",IFERROR($D4295*INDEX(Setup!$B$27:$B$44,MATCH($E4295,Setup!$A$27:$A$44,0)),"TBD"))</f>
        <v/>
      </c>
      <c r="G4295" s="32"/>
      <c r="H4295" s="32"/>
      <c r="I4295" s="32"/>
      <c r="J4295" s="32"/>
      <c r="K4295" s="35"/>
      <c r="L4295" s="32"/>
      <c r="M4295" s="32"/>
    </row>
    <row r="4296" customFormat="false" ht="15" hidden="false" customHeight="true" outlineLevel="0" collapsed="false">
      <c r="A4296" s="32"/>
      <c r="B4296" s="32"/>
      <c r="C4296" s="32"/>
      <c r="D4296" s="32"/>
      <c r="E4296" s="34" t="str">
        <f aca="false">IF($B4296="","",IF($B4296="OUT","Liters",IFERROR(INDEX(Setup!$F$3:$F$24,MATCH($C4296,Setup!$A$3:$A$24,0)),"")))</f>
        <v/>
      </c>
      <c r="F4296" s="28" t="str">
        <f aca="false">IF(OR($D4296="",$E4296=""),"",IFERROR($D4296*INDEX(Setup!$B$27:$B$44,MATCH($E4296,Setup!$A$27:$A$44,0)),"TBD"))</f>
        <v/>
      </c>
      <c r="G4296" s="32"/>
      <c r="H4296" s="32"/>
      <c r="I4296" s="32"/>
      <c r="J4296" s="32"/>
      <c r="K4296" s="35"/>
      <c r="L4296" s="32"/>
      <c r="M4296" s="32"/>
    </row>
    <row r="4297" customFormat="false" ht="15" hidden="false" customHeight="true" outlineLevel="0" collapsed="false">
      <c r="A4297" s="32"/>
      <c r="B4297" s="32"/>
      <c r="C4297" s="32"/>
      <c r="D4297" s="32"/>
      <c r="E4297" s="34" t="str">
        <f aca="false">IF($B4297="","",IF($B4297="OUT","Liters",IFERROR(INDEX(Setup!$F$3:$F$24,MATCH($C4297,Setup!$A$3:$A$24,0)),"")))</f>
        <v/>
      </c>
      <c r="F4297" s="28" t="str">
        <f aca="false">IF(OR($D4297="",$E4297=""),"",IFERROR($D4297*INDEX(Setup!$B$27:$B$44,MATCH($E4297,Setup!$A$27:$A$44,0)),"TBD"))</f>
        <v/>
      </c>
      <c r="G4297" s="32"/>
      <c r="H4297" s="32"/>
      <c r="I4297" s="32"/>
      <c r="J4297" s="32"/>
      <c r="K4297" s="35"/>
      <c r="L4297" s="32"/>
      <c r="M4297" s="32"/>
    </row>
    <row r="4298" customFormat="false" ht="15" hidden="false" customHeight="true" outlineLevel="0" collapsed="false">
      <c r="A4298" s="32"/>
      <c r="B4298" s="32"/>
      <c r="C4298" s="32"/>
      <c r="D4298" s="32"/>
      <c r="E4298" s="34" t="str">
        <f aca="false">IF($B4298="","",IF($B4298="OUT","Liters",IFERROR(INDEX(Setup!$F$3:$F$24,MATCH($C4298,Setup!$A$3:$A$24,0)),"")))</f>
        <v/>
      </c>
      <c r="F4298" s="28" t="str">
        <f aca="false">IF(OR($D4298="",$E4298=""),"",IFERROR($D4298*INDEX(Setup!$B$27:$B$44,MATCH($E4298,Setup!$A$27:$A$44,0)),"TBD"))</f>
        <v/>
      </c>
      <c r="G4298" s="32"/>
      <c r="H4298" s="32"/>
      <c r="I4298" s="32"/>
      <c r="J4298" s="32"/>
      <c r="K4298" s="35"/>
      <c r="L4298" s="32"/>
      <c r="M4298" s="32"/>
    </row>
    <row r="4299" customFormat="false" ht="15" hidden="false" customHeight="true" outlineLevel="0" collapsed="false">
      <c r="A4299" s="32"/>
      <c r="B4299" s="32"/>
      <c r="C4299" s="32"/>
      <c r="D4299" s="32"/>
      <c r="E4299" s="34" t="str">
        <f aca="false">IF($B4299="","",IF($B4299="OUT","Liters",IFERROR(INDEX(Setup!$F$3:$F$24,MATCH($C4299,Setup!$A$3:$A$24,0)),"")))</f>
        <v/>
      </c>
      <c r="F4299" s="28" t="str">
        <f aca="false">IF(OR($D4299="",$E4299=""),"",IFERROR($D4299*INDEX(Setup!$B$27:$B$44,MATCH($E4299,Setup!$A$27:$A$44,0)),"TBD"))</f>
        <v/>
      </c>
      <c r="G4299" s="32"/>
      <c r="H4299" s="32"/>
      <c r="I4299" s="32"/>
      <c r="J4299" s="32"/>
      <c r="K4299" s="35"/>
      <c r="L4299" s="32"/>
      <c r="M4299" s="32"/>
    </row>
    <row r="4300" customFormat="false" ht="15" hidden="false" customHeight="true" outlineLevel="0" collapsed="false">
      <c r="A4300" s="32"/>
      <c r="B4300" s="32"/>
      <c r="C4300" s="32"/>
      <c r="D4300" s="32"/>
      <c r="E4300" s="34" t="str">
        <f aca="false">IF($B4300="","",IF($B4300="OUT","Liters",IFERROR(INDEX(Setup!$F$3:$F$24,MATCH($C4300,Setup!$A$3:$A$24,0)),"")))</f>
        <v/>
      </c>
      <c r="F4300" s="28" t="str">
        <f aca="false">IF(OR($D4300="",$E4300=""),"",IFERROR($D4300*INDEX(Setup!$B$27:$B$44,MATCH($E4300,Setup!$A$27:$A$44,0)),"TBD"))</f>
        <v/>
      </c>
      <c r="G4300" s="32"/>
      <c r="H4300" s="32"/>
      <c r="I4300" s="32"/>
      <c r="J4300" s="32"/>
      <c r="K4300" s="35"/>
      <c r="L4300" s="32"/>
      <c r="M4300" s="32"/>
    </row>
    <row r="4301" customFormat="false" ht="15" hidden="false" customHeight="true" outlineLevel="0" collapsed="false">
      <c r="A4301" s="32"/>
      <c r="B4301" s="32"/>
      <c r="C4301" s="32"/>
      <c r="D4301" s="32"/>
      <c r="E4301" s="34" t="str">
        <f aca="false">IF($B4301="","",IF($B4301="OUT","Liters",IFERROR(INDEX(Setup!$F$3:$F$24,MATCH($C4301,Setup!$A$3:$A$24,0)),"")))</f>
        <v/>
      </c>
      <c r="F4301" s="28" t="str">
        <f aca="false">IF(OR($D4301="",$E4301=""),"",IFERROR($D4301*INDEX(Setup!$B$27:$B$44,MATCH($E4301,Setup!$A$27:$A$44,0)),"TBD"))</f>
        <v/>
      </c>
      <c r="G4301" s="32"/>
      <c r="H4301" s="32"/>
      <c r="I4301" s="32"/>
      <c r="J4301" s="32"/>
      <c r="K4301" s="35"/>
      <c r="L4301" s="32"/>
      <c r="M4301" s="32"/>
    </row>
    <row r="4302" customFormat="false" ht="15" hidden="false" customHeight="true" outlineLevel="0" collapsed="false">
      <c r="A4302" s="32"/>
      <c r="B4302" s="32"/>
      <c r="C4302" s="32"/>
      <c r="D4302" s="32"/>
      <c r="E4302" s="34" t="str">
        <f aca="false">IF($B4302="","",IF($B4302="OUT","Liters",IFERROR(INDEX(Setup!$F$3:$F$24,MATCH($C4302,Setup!$A$3:$A$24,0)),"")))</f>
        <v/>
      </c>
      <c r="F4302" s="28" t="str">
        <f aca="false">IF(OR($D4302="",$E4302=""),"",IFERROR($D4302*INDEX(Setup!$B$27:$B$44,MATCH($E4302,Setup!$A$27:$A$44,0)),"TBD"))</f>
        <v/>
      </c>
      <c r="G4302" s="32"/>
      <c r="H4302" s="32"/>
      <c r="I4302" s="32"/>
      <c r="J4302" s="32"/>
      <c r="K4302" s="35"/>
      <c r="L4302" s="32"/>
      <c r="M4302" s="32"/>
    </row>
    <row r="4303" customFormat="false" ht="15" hidden="false" customHeight="true" outlineLevel="0" collapsed="false">
      <c r="A4303" s="32"/>
      <c r="B4303" s="32"/>
      <c r="C4303" s="32"/>
      <c r="D4303" s="32"/>
      <c r="E4303" s="34" t="str">
        <f aca="false">IF($B4303="","",IF($B4303="OUT","Liters",IFERROR(INDEX(Setup!$F$3:$F$24,MATCH($C4303,Setup!$A$3:$A$24,0)),"")))</f>
        <v/>
      </c>
      <c r="F4303" s="28" t="str">
        <f aca="false">IF(OR($D4303="",$E4303=""),"",IFERROR($D4303*INDEX(Setup!$B$27:$B$44,MATCH($E4303,Setup!$A$27:$A$44,0)),"TBD"))</f>
        <v/>
      </c>
      <c r="G4303" s="32"/>
      <c r="H4303" s="32"/>
      <c r="I4303" s="32"/>
      <c r="J4303" s="32"/>
      <c r="K4303" s="35"/>
      <c r="L4303" s="32"/>
      <c r="M4303" s="32"/>
    </row>
    <row r="4304" customFormat="false" ht="15" hidden="false" customHeight="true" outlineLevel="0" collapsed="false">
      <c r="A4304" s="32"/>
      <c r="B4304" s="32"/>
      <c r="C4304" s="32"/>
      <c r="D4304" s="32"/>
      <c r="E4304" s="34" t="str">
        <f aca="false">IF($B4304="","",IF($B4304="OUT","Liters",IFERROR(INDEX(Setup!$F$3:$F$24,MATCH($C4304,Setup!$A$3:$A$24,0)),"")))</f>
        <v/>
      </c>
      <c r="F4304" s="28" t="str">
        <f aca="false">IF(OR($D4304="",$E4304=""),"",IFERROR($D4304*INDEX(Setup!$B$27:$B$44,MATCH($E4304,Setup!$A$27:$A$44,0)),"TBD"))</f>
        <v/>
      </c>
      <c r="G4304" s="32"/>
      <c r="H4304" s="32"/>
      <c r="I4304" s="32"/>
      <c r="J4304" s="32"/>
      <c r="K4304" s="35"/>
      <c r="L4304" s="32"/>
      <c r="M4304" s="32"/>
    </row>
    <row r="4305" customFormat="false" ht="15" hidden="false" customHeight="true" outlineLevel="0" collapsed="false">
      <c r="A4305" s="32"/>
      <c r="B4305" s="32"/>
      <c r="C4305" s="32"/>
      <c r="D4305" s="32"/>
      <c r="E4305" s="34" t="str">
        <f aca="false">IF($B4305="","",IF($B4305="OUT","Liters",IFERROR(INDEX(Setup!$F$3:$F$24,MATCH($C4305,Setup!$A$3:$A$24,0)),"")))</f>
        <v/>
      </c>
      <c r="F4305" s="28" t="str">
        <f aca="false">IF(OR($D4305="",$E4305=""),"",IFERROR($D4305*INDEX(Setup!$B$27:$B$44,MATCH($E4305,Setup!$A$27:$A$44,0)),"TBD"))</f>
        <v/>
      </c>
      <c r="G4305" s="32"/>
      <c r="H4305" s="32"/>
      <c r="I4305" s="32"/>
      <c r="J4305" s="32"/>
      <c r="K4305" s="35"/>
      <c r="L4305" s="32"/>
      <c r="M4305" s="32"/>
    </row>
    <row r="4306" customFormat="false" ht="15" hidden="false" customHeight="true" outlineLevel="0" collapsed="false">
      <c r="A4306" s="32"/>
      <c r="B4306" s="32"/>
      <c r="C4306" s="32"/>
      <c r="D4306" s="32"/>
      <c r="E4306" s="34" t="str">
        <f aca="false">IF($B4306="","",IF($B4306="OUT","Liters",IFERROR(INDEX(Setup!$F$3:$F$24,MATCH($C4306,Setup!$A$3:$A$24,0)),"")))</f>
        <v/>
      </c>
      <c r="F4306" s="28" t="str">
        <f aca="false">IF(OR($D4306="",$E4306=""),"",IFERROR($D4306*INDEX(Setup!$B$27:$B$44,MATCH($E4306,Setup!$A$27:$A$44,0)),"TBD"))</f>
        <v/>
      </c>
      <c r="G4306" s="32"/>
      <c r="H4306" s="32"/>
      <c r="I4306" s="32"/>
      <c r="J4306" s="32"/>
      <c r="K4306" s="35"/>
      <c r="L4306" s="32"/>
      <c r="M4306" s="32"/>
    </row>
    <row r="4307" customFormat="false" ht="15" hidden="false" customHeight="true" outlineLevel="0" collapsed="false">
      <c r="A4307" s="32"/>
      <c r="B4307" s="32"/>
      <c r="C4307" s="32"/>
      <c r="D4307" s="32"/>
      <c r="E4307" s="34" t="str">
        <f aca="false">IF($B4307="","",IF($B4307="OUT","Liters",IFERROR(INDEX(Setup!$F$3:$F$24,MATCH($C4307,Setup!$A$3:$A$24,0)),"")))</f>
        <v/>
      </c>
      <c r="F4307" s="28" t="str">
        <f aca="false">IF(OR($D4307="",$E4307=""),"",IFERROR($D4307*INDEX(Setup!$B$27:$B$44,MATCH($E4307,Setup!$A$27:$A$44,0)),"TBD"))</f>
        <v/>
      </c>
      <c r="G4307" s="32"/>
      <c r="H4307" s="32"/>
      <c r="I4307" s="32"/>
      <c r="J4307" s="32"/>
      <c r="K4307" s="35"/>
      <c r="L4307" s="32"/>
      <c r="M4307" s="32"/>
    </row>
    <row r="4308" customFormat="false" ht="15" hidden="false" customHeight="true" outlineLevel="0" collapsed="false">
      <c r="A4308" s="32"/>
      <c r="B4308" s="32"/>
      <c r="C4308" s="32"/>
      <c r="D4308" s="32"/>
      <c r="E4308" s="34" t="str">
        <f aca="false">IF($B4308="","",IF($B4308="OUT","Liters",IFERROR(INDEX(Setup!$F$3:$F$24,MATCH($C4308,Setup!$A$3:$A$24,0)),"")))</f>
        <v/>
      </c>
      <c r="F4308" s="28" t="str">
        <f aca="false">IF(OR($D4308="",$E4308=""),"",IFERROR($D4308*INDEX(Setup!$B$27:$B$44,MATCH($E4308,Setup!$A$27:$A$44,0)),"TBD"))</f>
        <v/>
      </c>
      <c r="G4308" s="32"/>
      <c r="H4308" s="32"/>
      <c r="I4308" s="32"/>
      <c r="J4308" s="32"/>
      <c r="K4308" s="35"/>
      <c r="L4308" s="32"/>
      <c r="M4308" s="32"/>
    </row>
    <row r="4309" customFormat="false" ht="15" hidden="false" customHeight="true" outlineLevel="0" collapsed="false">
      <c r="A4309" s="32"/>
      <c r="B4309" s="32"/>
      <c r="C4309" s="32"/>
      <c r="D4309" s="32"/>
      <c r="E4309" s="34" t="str">
        <f aca="false">IF($B4309="","",IF($B4309="OUT","Liters",IFERROR(INDEX(Setup!$F$3:$F$24,MATCH($C4309,Setup!$A$3:$A$24,0)),"")))</f>
        <v/>
      </c>
      <c r="F4309" s="28" t="str">
        <f aca="false">IF(OR($D4309="",$E4309=""),"",IFERROR($D4309*INDEX(Setup!$B$27:$B$44,MATCH($E4309,Setup!$A$27:$A$44,0)),"TBD"))</f>
        <v/>
      </c>
      <c r="G4309" s="32"/>
      <c r="H4309" s="32"/>
      <c r="I4309" s="32"/>
      <c r="J4309" s="32"/>
      <c r="K4309" s="35"/>
      <c r="L4309" s="32"/>
      <c r="M4309" s="32"/>
    </row>
    <row r="4310" customFormat="false" ht="15" hidden="false" customHeight="true" outlineLevel="0" collapsed="false">
      <c r="A4310" s="32"/>
      <c r="B4310" s="32"/>
      <c r="C4310" s="32"/>
      <c r="D4310" s="32"/>
      <c r="E4310" s="34" t="str">
        <f aca="false">IF($B4310="","",IF($B4310="OUT","Liters",IFERROR(INDEX(Setup!$F$3:$F$24,MATCH($C4310,Setup!$A$3:$A$24,0)),"")))</f>
        <v/>
      </c>
      <c r="F4310" s="28" t="str">
        <f aca="false">IF(OR($D4310="",$E4310=""),"",IFERROR($D4310*INDEX(Setup!$B$27:$B$44,MATCH($E4310,Setup!$A$27:$A$44,0)),"TBD"))</f>
        <v/>
      </c>
      <c r="G4310" s="32"/>
      <c r="H4310" s="32"/>
      <c r="I4310" s="32"/>
      <c r="J4310" s="32"/>
      <c r="K4310" s="35"/>
      <c r="L4310" s="32"/>
      <c r="M4310" s="32"/>
    </row>
    <row r="4311" customFormat="false" ht="15" hidden="false" customHeight="true" outlineLevel="0" collapsed="false">
      <c r="A4311" s="32"/>
      <c r="B4311" s="32"/>
      <c r="C4311" s="32"/>
      <c r="D4311" s="32"/>
      <c r="E4311" s="34" t="str">
        <f aca="false">IF($B4311="","",IF($B4311="OUT","Liters",IFERROR(INDEX(Setup!$F$3:$F$24,MATCH($C4311,Setup!$A$3:$A$24,0)),"")))</f>
        <v/>
      </c>
      <c r="F4311" s="28" t="str">
        <f aca="false">IF(OR($D4311="",$E4311=""),"",IFERROR($D4311*INDEX(Setup!$B$27:$B$44,MATCH($E4311,Setup!$A$27:$A$44,0)),"TBD"))</f>
        <v/>
      </c>
      <c r="G4311" s="32"/>
      <c r="H4311" s="32"/>
      <c r="I4311" s="32"/>
      <c r="J4311" s="32"/>
      <c r="K4311" s="35"/>
      <c r="L4311" s="32"/>
      <c r="M4311" s="32"/>
    </row>
    <row r="4312" customFormat="false" ht="15" hidden="false" customHeight="true" outlineLevel="0" collapsed="false">
      <c r="A4312" s="32"/>
      <c r="B4312" s="32"/>
      <c r="C4312" s="32"/>
      <c r="D4312" s="32"/>
      <c r="E4312" s="34" t="str">
        <f aca="false">IF($B4312="","",IF($B4312="OUT","Liters",IFERROR(INDEX(Setup!$F$3:$F$24,MATCH($C4312,Setup!$A$3:$A$24,0)),"")))</f>
        <v/>
      </c>
      <c r="F4312" s="28" t="str">
        <f aca="false">IF(OR($D4312="",$E4312=""),"",IFERROR($D4312*INDEX(Setup!$B$27:$B$44,MATCH($E4312,Setup!$A$27:$A$44,0)),"TBD"))</f>
        <v/>
      </c>
      <c r="G4312" s="32"/>
      <c r="H4312" s="32"/>
      <c r="I4312" s="32"/>
      <c r="J4312" s="32"/>
      <c r="K4312" s="35"/>
      <c r="L4312" s="32"/>
      <c r="M4312" s="32"/>
    </row>
    <row r="4313" customFormat="false" ht="15" hidden="false" customHeight="true" outlineLevel="0" collapsed="false">
      <c r="A4313" s="32"/>
      <c r="B4313" s="32"/>
      <c r="C4313" s="32"/>
      <c r="D4313" s="32"/>
      <c r="E4313" s="34" t="str">
        <f aca="false">IF($B4313="","",IF($B4313="OUT","Liters",IFERROR(INDEX(Setup!$F$3:$F$24,MATCH($C4313,Setup!$A$3:$A$24,0)),"")))</f>
        <v/>
      </c>
      <c r="F4313" s="28" t="str">
        <f aca="false">IF(OR($D4313="",$E4313=""),"",IFERROR($D4313*INDEX(Setup!$B$27:$B$44,MATCH($E4313,Setup!$A$27:$A$44,0)),"TBD"))</f>
        <v/>
      </c>
      <c r="G4313" s="32"/>
      <c r="H4313" s="32"/>
      <c r="I4313" s="32"/>
      <c r="J4313" s="32"/>
      <c r="K4313" s="35"/>
      <c r="L4313" s="32"/>
      <c r="M4313" s="32"/>
    </row>
    <row r="4314" customFormat="false" ht="15" hidden="false" customHeight="true" outlineLevel="0" collapsed="false">
      <c r="A4314" s="32"/>
      <c r="B4314" s="32"/>
      <c r="C4314" s="32"/>
      <c r="D4314" s="32"/>
      <c r="E4314" s="34" t="str">
        <f aca="false">IF($B4314="","",IF($B4314="OUT","Liters",IFERROR(INDEX(Setup!$F$3:$F$24,MATCH($C4314,Setup!$A$3:$A$24,0)),"")))</f>
        <v/>
      </c>
      <c r="F4314" s="28" t="str">
        <f aca="false">IF(OR($D4314="",$E4314=""),"",IFERROR($D4314*INDEX(Setup!$B$27:$B$44,MATCH($E4314,Setup!$A$27:$A$44,0)),"TBD"))</f>
        <v/>
      </c>
      <c r="G4314" s="32"/>
      <c r="H4314" s="32"/>
      <c r="I4314" s="32"/>
      <c r="J4314" s="32"/>
      <c r="K4314" s="35"/>
      <c r="L4314" s="32"/>
      <c r="M4314" s="32"/>
    </row>
    <row r="4315" customFormat="false" ht="15" hidden="false" customHeight="true" outlineLevel="0" collapsed="false">
      <c r="A4315" s="32"/>
      <c r="B4315" s="32"/>
      <c r="C4315" s="32"/>
      <c r="D4315" s="32"/>
      <c r="E4315" s="34" t="str">
        <f aca="false">IF($B4315="","",IF($B4315="OUT","Liters",IFERROR(INDEX(Setup!$F$3:$F$24,MATCH($C4315,Setup!$A$3:$A$24,0)),"")))</f>
        <v/>
      </c>
      <c r="F4315" s="28" t="str">
        <f aca="false">IF(OR($D4315="",$E4315=""),"",IFERROR($D4315*INDEX(Setup!$B$27:$B$44,MATCH($E4315,Setup!$A$27:$A$44,0)),"TBD"))</f>
        <v/>
      </c>
      <c r="G4315" s="32"/>
      <c r="H4315" s="32"/>
      <c r="I4315" s="32"/>
      <c r="J4315" s="32"/>
      <c r="K4315" s="35"/>
      <c r="L4315" s="32"/>
      <c r="M4315" s="32"/>
    </row>
    <row r="4316" customFormat="false" ht="15" hidden="false" customHeight="true" outlineLevel="0" collapsed="false">
      <c r="A4316" s="32"/>
      <c r="B4316" s="32"/>
      <c r="C4316" s="32"/>
      <c r="D4316" s="32"/>
      <c r="E4316" s="34" t="str">
        <f aca="false">IF($B4316="","",IF($B4316="OUT","Liters",IFERROR(INDEX(Setup!$F$3:$F$24,MATCH($C4316,Setup!$A$3:$A$24,0)),"")))</f>
        <v/>
      </c>
      <c r="F4316" s="28" t="str">
        <f aca="false">IF(OR($D4316="",$E4316=""),"",IFERROR($D4316*INDEX(Setup!$B$27:$B$44,MATCH($E4316,Setup!$A$27:$A$44,0)),"TBD"))</f>
        <v/>
      </c>
      <c r="G4316" s="32"/>
      <c r="H4316" s="32"/>
      <c r="I4316" s="32"/>
      <c r="J4316" s="32"/>
      <c r="K4316" s="35"/>
      <c r="L4316" s="32"/>
      <c r="M4316" s="32"/>
    </row>
    <row r="4317" customFormat="false" ht="15" hidden="false" customHeight="true" outlineLevel="0" collapsed="false">
      <c r="A4317" s="32"/>
      <c r="B4317" s="32"/>
      <c r="C4317" s="32"/>
      <c r="D4317" s="32"/>
      <c r="E4317" s="34" t="str">
        <f aca="false">IF($B4317="","",IF($B4317="OUT","Liters",IFERROR(INDEX(Setup!$F$3:$F$24,MATCH($C4317,Setup!$A$3:$A$24,0)),"")))</f>
        <v/>
      </c>
      <c r="F4317" s="28" t="str">
        <f aca="false">IF(OR($D4317="",$E4317=""),"",IFERROR($D4317*INDEX(Setup!$B$27:$B$44,MATCH($E4317,Setup!$A$27:$A$44,0)),"TBD"))</f>
        <v/>
      </c>
      <c r="G4317" s="32"/>
      <c r="H4317" s="32"/>
      <c r="I4317" s="32"/>
      <c r="J4317" s="32"/>
      <c r="K4317" s="35"/>
      <c r="L4317" s="32"/>
      <c r="M4317" s="32"/>
    </row>
    <row r="4318" customFormat="false" ht="15" hidden="false" customHeight="true" outlineLevel="0" collapsed="false">
      <c r="A4318" s="32"/>
      <c r="B4318" s="32"/>
      <c r="C4318" s="32"/>
      <c r="D4318" s="32"/>
      <c r="E4318" s="34" t="str">
        <f aca="false">IF($B4318="","",IF($B4318="OUT","Liters",IFERROR(INDEX(Setup!$F$3:$F$24,MATCH($C4318,Setup!$A$3:$A$24,0)),"")))</f>
        <v/>
      </c>
      <c r="F4318" s="28" t="str">
        <f aca="false">IF(OR($D4318="",$E4318=""),"",IFERROR($D4318*INDEX(Setup!$B$27:$B$44,MATCH($E4318,Setup!$A$27:$A$44,0)),"TBD"))</f>
        <v/>
      </c>
      <c r="G4318" s="32"/>
      <c r="H4318" s="32"/>
      <c r="I4318" s="32"/>
      <c r="J4318" s="32"/>
      <c r="K4318" s="35"/>
      <c r="L4318" s="32"/>
      <c r="M4318" s="32"/>
    </row>
    <row r="4319" customFormat="false" ht="15" hidden="false" customHeight="true" outlineLevel="0" collapsed="false">
      <c r="A4319" s="32"/>
      <c r="B4319" s="32"/>
      <c r="C4319" s="32"/>
      <c r="D4319" s="32"/>
      <c r="E4319" s="34" t="str">
        <f aca="false">IF($B4319="","",IF($B4319="OUT","Liters",IFERROR(INDEX(Setup!$F$3:$F$24,MATCH($C4319,Setup!$A$3:$A$24,0)),"")))</f>
        <v/>
      </c>
      <c r="F4319" s="28" t="str">
        <f aca="false">IF(OR($D4319="",$E4319=""),"",IFERROR($D4319*INDEX(Setup!$B$27:$B$44,MATCH($E4319,Setup!$A$27:$A$44,0)),"TBD"))</f>
        <v/>
      </c>
      <c r="G4319" s="32"/>
      <c r="H4319" s="32"/>
      <c r="I4319" s="32"/>
      <c r="J4319" s="32"/>
      <c r="K4319" s="35"/>
      <c r="L4319" s="32"/>
      <c r="M4319" s="32"/>
    </row>
    <row r="4320" customFormat="false" ht="15" hidden="false" customHeight="true" outlineLevel="0" collapsed="false">
      <c r="A4320" s="32"/>
      <c r="B4320" s="32"/>
      <c r="C4320" s="32"/>
      <c r="D4320" s="32"/>
      <c r="E4320" s="34" t="str">
        <f aca="false">IF($B4320="","",IF($B4320="OUT","Liters",IFERROR(INDEX(Setup!$F$3:$F$24,MATCH($C4320,Setup!$A$3:$A$24,0)),"")))</f>
        <v/>
      </c>
      <c r="F4320" s="28" t="str">
        <f aca="false">IF(OR($D4320="",$E4320=""),"",IFERROR($D4320*INDEX(Setup!$B$27:$B$44,MATCH($E4320,Setup!$A$27:$A$44,0)),"TBD"))</f>
        <v/>
      </c>
      <c r="G4320" s="32"/>
      <c r="H4320" s="32"/>
      <c r="I4320" s="32"/>
      <c r="J4320" s="32"/>
      <c r="K4320" s="35"/>
      <c r="L4320" s="32"/>
      <c r="M4320" s="32"/>
    </row>
    <row r="4321" customFormat="false" ht="15" hidden="false" customHeight="true" outlineLevel="0" collapsed="false">
      <c r="A4321" s="32"/>
      <c r="B4321" s="32"/>
      <c r="C4321" s="32"/>
      <c r="D4321" s="32"/>
      <c r="E4321" s="34" t="str">
        <f aca="false">IF($B4321="","",IF($B4321="OUT","Liters",IFERROR(INDEX(Setup!$F$3:$F$24,MATCH($C4321,Setup!$A$3:$A$24,0)),"")))</f>
        <v/>
      </c>
      <c r="F4321" s="28" t="str">
        <f aca="false">IF(OR($D4321="",$E4321=""),"",IFERROR($D4321*INDEX(Setup!$B$27:$B$44,MATCH($E4321,Setup!$A$27:$A$44,0)),"TBD"))</f>
        <v/>
      </c>
      <c r="G4321" s="32"/>
      <c r="H4321" s="32"/>
      <c r="I4321" s="32"/>
      <c r="J4321" s="32"/>
      <c r="K4321" s="35"/>
      <c r="L4321" s="32"/>
      <c r="M4321" s="32"/>
    </row>
    <row r="4322" customFormat="false" ht="15" hidden="false" customHeight="true" outlineLevel="0" collapsed="false">
      <c r="A4322" s="32"/>
      <c r="B4322" s="32"/>
      <c r="C4322" s="32"/>
      <c r="D4322" s="32"/>
      <c r="E4322" s="34" t="str">
        <f aca="false">IF($B4322="","",IF($B4322="OUT","Liters",IFERROR(INDEX(Setup!$F$3:$F$24,MATCH($C4322,Setup!$A$3:$A$24,0)),"")))</f>
        <v/>
      </c>
      <c r="F4322" s="28" t="str">
        <f aca="false">IF(OR($D4322="",$E4322=""),"",IFERROR($D4322*INDEX(Setup!$B$27:$B$44,MATCH($E4322,Setup!$A$27:$A$44,0)),"TBD"))</f>
        <v/>
      </c>
      <c r="G4322" s="32"/>
      <c r="H4322" s="32"/>
      <c r="I4322" s="32"/>
      <c r="J4322" s="32"/>
      <c r="K4322" s="35"/>
      <c r="L4322" s="32"/>
      <c r="M4322" s="32"/>
    </row>
    <row r="4323" customFormat="false" ht="15" hidden="false" customHeight="true" outlineLevel="0" collapsed="false">
      <c r="A4323" s="32"/>
      <c r="B4323" s="32"/>
      <c r="C4323" s="32"/>
      <c r="D4323" s="32"/>
      <c r="E4323" s="34" t="str">
        <f aca="false">IF($B4323="","",IF($B4323="OUT","Liters",IFERROR(INDEX(Setup!$F$3:$F$24,MATCH($C4323,Setup!$A$3:$A$24,0)),"")))</f>
        <v/>
      </c>
      <c r="F4323" s="28" t="str">
        <f aca="false">IF(OR($D4323="",$E4323=""),"",IFERROR($D4323*INDEX(Setup!$B$27:$B$44,MATCH($E4323,Setup!$A$27:$A$44,0)),"TBD"))</f>
        <v/>
      </c>
      <c r="G4323" s="32"/>
      <c r="H4323" s="32"/>
      <c r="I4323" s="32"/>
      <c r="J4323" s="32"/>
      <c r="K4323" s="35"/>
      <c r="L4323" s="32"/>
      <c r="M4323" s="32"/>
    </row>
    <row r="4324" customFormat="false" ht="15" hidden="false" customHeight="true" outlineLevel="0" collapsed="false">
      <c r="A4324" s="32"/>
      <c r="B4324" s="32"/>
      <c r="C4324" s="32"/>
      <c r="D4324" s="32"/>
      <c r="E4324" s="34" t="str">
        <f aca="false">IF($B4324="","",IF($B4324="OUT","Liters",IFERROR(INDEX(Setup!$F$3:$F$24,MATCH($C4324,Setup!$A$3:$A$24,0)),"")))</f>
        <v/>
      </c>
      <c r="F4324" s="28" t="str">
        <f aca="false">IF(OR($D4324="",$E4324=""),"",IFERROR($D4324*INDEX(Setup!$B$27:$B$44,MATCH($E4324,Setup!$A$27:$A$44,0)),"TBD"))</f>
        <v/>
      </c>
      <c r="G4324" s="32"/>
      <c r="H4324" s="32"/>
      <c r="I4324" s="32"/>
      <c r="J4324" s="32"/>
      <c r="K4324" s="35"/>
      <c r="L4324" s="32"/>
      <c r="M4324" s="32"/>
    </row>
    <row r="4325" customFormat="false" ht="15" hidden="false" customHeight="true" outlineLevel="0" collapsed="false">
      <c r="A4325" s="32"/>
      <c r="B4325" s="32"/>
      <c r="C4325" s="32"/>
      <c r="D4325" s="32"/>
      <c r="E4325" s="34" t="str">
        <f aca="false">IF($B4325="","",IF($B4325="OUT","Liters",IFERROR(INDEX(Setup!$F$3:$F$24,MATCH($C4325,Setup!$A$3:$A$24,0)),"")))</f>
        <v/>
      </c>
      <c r="F4325" s="28" t="str">
        <f aca="false">IF(OR($D4325="",$E4325=""),"",IFERROR($D4325*INDEX(Setup!$B$27:$B$44,MATCH($E4325,Setup!$A$27:$A$44,0)),"TBD"))</f>
        <v/>
      </c>
      <c r="G4325" s="32"/>
      <c r="H4325" s="32"/>
      <c r="I4325" s="32"/>
      <c r="J4325" s="32"/>
      <c r="K4325" s="35"/>
      <c r="L4325" s="32"/>
      <c r="M4325" s="32"/>
    </row>
    <row r="4326" customFormat="false" ht="15" hidden="false" customHeight="true" outlineLevel="0" collapsed="false">
      <c r="A4326" s="32"/>
      <c r="B4326" s="32"/>
      <c r="C4326" s="32"/>
      <c r="D4326" s="32"/>
      <c r="E4326" s="34" t="str">
        <f aca="false">IF($B4326="","",IF($B4326="OUT","Liters",IFERROR(INDEX(Setup!$F$3:$F$24,MATCH($C4326,Setup!$A$3:$A$24,0)),"")))</f>
        <v/>
      </c>
      <c r="F4326" s="28" t="str">
        <f aca="false">IF(OR($D4326="",$E4326=""),"",IFERROR($D4326*INDEX(Setup!$B$27:$B$44,MATCH($E4326,Setup!$A$27:$A$44,0)),"TBD"))</f>
        <v/>
      </c>
      <c r="G4326" s="32"/>
      <c r="H4326" s="32"/>
      <c r="I4326" s="32"/>
      <c r="J4326" s="32"/>
      <c r="K4326" s="35"/>
      <c r="L4326" s="32"/>
      <c r="M4326" s="32"/>
    </row>
    <row r="4327" customFormat="false" ht="15" hidden="false" customHeight="true" outlineLevel="0" collapsed="false">
      <c r="A4327" s="32"/>
      <c r="B4327" s="32"/>
      <c r="C4327" s="32"/>
      <c r="D4327" s="32"/>
      <c r="E4327" s="34" t="str">
        <f aca="false">IF($B4327="","",IF($B4327="OUT","Liters",IFERROR(INDEX(Setup!$F$3:$F$24,MATCH($C4327,Setup!$A$3:$A$24,0)),"")))</f>
        <v/>
      </c>
      <c r="F4327" s="28" t="str">
        <f aca="false">IF(OR($D4327="",$E4327=""),"",IFERROR($D4327*INDEX(Setup!$B$27:$B$44,MATCH($E4327,Setup!$A$27:$A$44,0)),"TBD"))</f>
        <v/>
      </c>
      <c r="G4327" s="32"/>
      <c r="H4327" s="32"/>
      <c r="I4327" s="32"/>
      <c r="J4327" s="32"/>
      <c r="K4327" s="35"/>
      <c r="L4327" s="32"/>
      <c r="M4327" s="32"/>
    </row>
    <row r="4328" customFormat="false" ht="15" hidden="false" customHeight="true" outlineLevel="0" collapsed="false">
      <c r="A4328" s="32"/>
      <c r="B4328" s="32"/>
      <c r="C4328" s="32"/>
      <c r="D4328" s="32"/>
      <c r="E4328" s="34" t="str">
        <f aca="false">IF($B4328="","",IF($B4328="OUT","Liters",IFERROR(INDEX(Setup!$F$3:$F$24,MATCH($C4328,Setup!$A$3:$A$24,0)),"")))</f>
        <v/>
      </c>
      <c r="F4328" s="28" t="str">
        <f aca="false">IF(OR($D4328="",$E4328=""),"",IFERROR($D4328*INDEX(Setup!$B$27:$B$44,MATCH($E4328,Setup!$A$27:$A$44,0)),"TBD"))</f>
        <v/>
      </c>
      <c r="G4328" s="32"/>
      <c r="H4328" s="32"/>
      <c r="I4328" s="32"/>
      <c r="J4328" s="32"/>
      <c r="K4328" s="35"/>
      <c r="L4328" s="32"/>
      <c r="M4328" s="32"/>
    </row>
    <row r="4329" customFormat="false" ht="15" hidden="false" customHeight="true" outlineLevel="0" collapsed="false">
      <c r="A4329" s="32"/>
      <c r="B4329" s="32"/>
      <c r="C4329" s="32"/>
      <c r="D4329" s="32"/>
      <c r="E4329" s="34" t="str">
        <f aca="false">IF($B4329="","",IF($B4329="OUT","Liters",IFERROR(INDEX(Setup!$F$3:$F$24,MATCH($C4329,Setup!$A$3:$A$24,0)),"")))</f>
        <v/>
      </c>
      <c r="F4329" s="28" t="str">
        <f aca="false">IF(OR($D4329="",$E4329=""),"",IFERROR($D4329*INDEX(Setup!$B$27:$B$44,MATCH($E4329,Setup!$A$27:$A$44,0)),"TBD"))</f>
        <v/>
      </c>
      <c r="G4329" s="32"/>
      <c r="H4329" s="32"/>
      <c r="I4329" s="32"/>
      <c r="J4329" s="32"/>
      <c r="K4329" s="35"/>
      <c r="L4329" s="32"/>
      <c r="M4329" s="32"/>
    </row>
    <row r="4330" customFormat="false" ht="15" hidden="false" customHeight="true" outlineLevel="0" collapsed="false">
      <c r="A4330" s="32"/>
      <c r="B4330" s="32"/>
      <c r="C4330" s="32"/>
      <c r="D4330" s="32"/>
      <c r="E4330" s="34" t="str">
        <f aca="false">IF($B4330="","",IF($B4330="OUT","Liters",IFERROR(INDEX(Setup!$F$3:$F$24,MATCH($C4330,Setup!$A$3:$A$24,0)),"")))</f>
        <v/>
      </c>
      <c r="F4330" s="28" t="str">
        <f aca="false">IF(OR($D4330="",$E4330=""),"",IFERROR($D4330*INDEX(Setup!$B$27:$B$44,MATCH($E4330,Setup!$A$27:$A$44,0)),"TBD"))</f>
        <v/>
      </c>
      <c r="G4330" s="32"/>
      <c r="H4330" s="32"/>
      <c r="I4330" s="32"/>
      <c r="J4330" s="32"/>
      <c r="K4330" s="35"/>
      <c r="L4330" s="32"/>
      <c r="M4330" s="32"/>
    </row>
    <row r="4331" customFormat="false" ht="15" hidden="false" customHeight="true" outlineLevel="0" collapsed="false">
      <c r="A4331" s="32"/>
      <c r="B4331" s="32"/>
      <c r="C4331" s="32"/>
      <c r="D4331" s="32"/>
      <c r="E4331" s="34" t="str">
        <f aca="false">IF($B4331="","",IF($B4331="OUT","Liters",IFERROR(INDEX(Setup!$F$3:$F$24,MATCH($C4331,Setup!$A$3:$A$24,0)),"")))</f>
        <v/>
      </c>
      <c r="F4331" s="28" t="str">
        <f aca="false">IF(OR($D4331="",$E4331=""),"",IFERROR($D4331*INDEX(Setup!$B$27:$B$44,MATCH($E4331,Setup!$A$27:$A$44,0)),"TBD"))</f>
        <v/>
      </c>
      <c r="G4331" s="32"/>
      <c r="H4331" s="32"/>
      <c r="I4331" s="32"/>
      <c r="J4331" s="32"/>
      <c r="K4331" s="35"/>
      <c r="L4331" s="32"/>
      <c r="M4331" s="32"/>
    </row>
    <row r="4332" customFormat="false" ht="15" hidden="false" customHeight="true" outlineLevel="0" collapsed="false">
      <c r="A4332" s="32"/>
      <c r="B4332" s="32"/>
      <c r="C4332" s="32"/>
      <c r="D4332" s="32"/>
      <c r="E4332" s="34" t="str">
        <f aca="false">IF($B4332="","",IF($B4332="OUT","Liters",IFERROR(INDEX(Setup!$F$3:$F$24,MATCH($C4332,Setup!$A$3:$A$24,0)),"")))</f>
        <v/>
      </c>
      <c r="F4332" s="28" t="str">
        <f aca="false">IF(OR($D4332="",$E4332=""),"",IFERROR($D4332*INDEX(Setup!$B$27:$B$44,MATCH($E4332,Setup!$A$27:$A$44,0)),"TBD"))</f>
        <v/>
      </c>
      <c r="G4332" s="32"/>
      <c r="H4332" s="32"/>
      <c r="I4332" s="32"/>
      <c r="J4332" s="32"/>
      <c r="K4332" s="35"/>
      <c r="L4332" s="32"/>
      <c r="M4332" s="32"/>
    </row>
    <row r="4333" customFormat="false" ht="15" hidden="false" customHeight="true" outlineLevel="0" collapsed="false">
      <c r="A4333" s="32"/>
      <c r="B4333" s="32"/>
      <c r="C4333" s="32"/>
      <c r="D4333" s="32"/>
      <c r="E4333" s="34" t="str">
        <f aca="false">IF($B4333="","",IF($B4333="OUT","Liters",IFERROR(INDEX(Setup!$F$3:$F$24,MATCH($C4333,Setup!$A$3:$A$24,0)),"")))</f>
        <v/>
      </c>
      <c r="F4333" s="28" t="str">
        <f aca="false">IF(OR($D4333="",$E4333=""),"",IFERROR($D4333*INDEX(Setup!$B$27:$B$44,MATCH($E4333,Setup!$A$27:$A$44,0)),"TBD"))</f>
        <v/>
      </c>
      <c r="G4333" s="32"/>
      <c r="H4333" s="32"/>
      <c r="I4333" s="32"/>
      <c r="J4333" s="32"/>
      <c r="K4333" s="35"/>
      <c r="L4333" s="32"/>
      <c r="M4333" s="32"/>
    </row>
    <row r="4334" customFormat="false" ht="15" hidden="false" customHeight="true" outlineLevel="0" collapsed="false">
      <c r="A4334" s="32"/>
      <c r="B4334" s="32"/>
      <c r="C4334" s="32"/>
      <c r="D4334" s="32"/>
      <c r="E4334" s="34" t="str">
        <f aca="false">IF($B4334="","",IF($B4334="OUT","Liters",IFERROR(INDEX(Setup!$F$3:$F$24,MATCH($C4334,Setup!$A$3:$A$24,0)),"")))</f>
        <v/>
      </c>
      <c r="F4334" s="28" t="str">
        <f aca="false">IF(OR($D4334="",$E4334=""),"",IFERROR($D4334*INDEX(Setup!$B$27:$B$44,MATCH($E4334,Setup!$A$27:$A$44,0)),"TBD"))</f>
        <v/>
      </c>
      <c r="G4334" s="32"/>
      <c r="H4334" s="32"/>
      <c r="I4334" s="32"/>
      <c r="J4334" s="32"/>
      <c r="K4334" s="35"/>
      <c r="L4334" s="32"/>
      <c r="M4334" s="32"/>
    </row>
    <row r="4335" customFormat="false" ht="15" hidden="false" customHeight="true" outlineLevel="0" collapsed="false">
      <c r="A4335" s="32"/>
      <c r="B4335" s="32"/>
      <c r="C4335" s="32"/>
      <c r="D4335" s="32"/>
      <c r="E4335" s="34" t="str">
        <f aca="false">IF($B4335="","",IF($B4335="OUT","Liters",IFERROR(INDEX(Setup!$F$3:$F$24,MATCH($C4335,Setup!$A$3:$A$24,0)),"")))</f>
        <v/>
      </c>
      <c r="F4335" s="28" t="str">
        <f aca="false">IF(OR($D4335="",$E4335=""),"",IFERROR($D4335*INDEX(Setup!$B$27:$B$44,MATCH($E4335,Setup!$A$27:$A$44,0)),"TBD"))</f>
        <v/>
      </c>
      <c r="G4335" s="32"/>
      <c r="H4335" s="32"/>
      <c r="I4335" s="32"/>
      <c r="J4335" s="32"/>
      <c r="K4335" s="35"/>
      <c r="L4335" s="32"/>
      <c r="M4335" s="32"/>
    </row>
    <row r="4336" customFormat="false" ht="15" hidden="false" customHeight="true" outlineLevel="0" collapsed="false">
      <c r="A4336" s="32"/>
      <c r="B4336" s="32"/>
      <c r="C4336" s="32"/>
      <c r="D4336" s="32"/>
      <c r="E4336" s="34" t="str">
        <f aca="false">IF($B4336="","",IF($B4336="OUT","Liters",IFERROR(INDEX(Setup!$F$3:$F$24,MATCH($C4336,Setup!$A$3:$A$24,0)),"")))</f>
        <v/>
      </c>
      <c r="F4336" s="28" t="str">
        <f aca="false">IF(OR($D4336="",$E4336=""),"",IFERROR($D4336*INDEX(Setup!$B$27:$B$44,MATCH($E4336,Setup!$A$27:$A$44,0)),"TBD"))</f>
        <v/>
      </c>
      <c r="G4336" s="32"/>
      <c r="H4336" s="32"/>
      <c r="I4336" s="32"/>
      <c r="J4336" s="32"/>
      <c r="K4336" s="35"/>
      <c r="L4336" s="32"/>
      <c r="M4336" s="32"/>
    </row>
    <row r="4337" customFormat="false" ht="15" hidden="false" customHeight="true" outlineLevel="0" collapsed="false">
      <c r="A4337" s="32"/>
      <c r="B4337" s="32"/>
      <c r="C4337" s="32"/>
      <c r="D4337" s="32"/>
      <c r="E4337" s="34" t="str">
        <f aca="false">IF($B4337="","",IF($B4337="OUT","Liters",IFERROR(INDEX(Setup!$F$3:$F$24,MATCH($C4337,Setup!$A$3:$A$24,0)),"")))</f>
        <v/>
      </c>
      <c r="F4337" s="28" t="str">
        <f aca="false">IF(OR($D4337="",$E4337=""),"",IFERROR($D4337*INDEX(Setup!$B$27:$B$44,MATCH($E4337,Setup!$A$27:$A$44,0)),"TBD"))</f>
        <v/>
      </c>
      <c r="G4337" s="32"/>
      <c r="H4337" s="32"/>
      <c r="I4337" s="32"/>
      <c r="J4337" s="32"/>
      <c r="K4337" s="35"/>
      <c r="L4337" s="32"/>
      <c r="M4337" s="32"/>
    </row>
    <row r="4338" customFormat="false" ht="15" hidden="false" customHeight="true" outlineLevel="0" collapsed="false">
      <c r="A4338" s="32"/>
      <c r="B4338" s="32"/>
      <c r="C4338" s="32"/>
      <c r="D4338" s="32"/>
      <c r="E4338" s="34" t="str">
        <f aca="false">IF($B4338="","",IF($B4338="OUT","Liters",IFERROR(INDEX(Setup!$F$3:$F$24,MATCH($C4338,Setup!$A$3:$A$24,0)),"")))</f>
        <v/>
      </c>
      <c r="F4338" s="28" t="str">
        <f aca="false">IF(OR($D4338="",$E4338=""),"",IFERROR($D4338*INDEX(Setup!$B$27:$B$44,MATCH($E4338,Setup!$A$27:$A$44,0)),"TBD"))</f>
        <v/>
      </c>
      <c r="G4338" s="32"/>
      <c r="H4338" s="32"/>
      <c r="I4338" s="32"/>
      <c r="J4338" s="32"/>
      <c r="K4338" s="35"/>
      <c r="L4338" s="32"/>
      <c r="M4338" s="32"/>
    </row>
    <row r="4339" customFormat="false" ht="15" hidden="false" customHeight="true" outlineLevel="0" collapsed="false">
      <c r="A4339" s="32"/>
      <c r="B4339" s="32"/>
      <c r="C4339" s="32"/>
      <c r="D4339" s="32"/>
      <c r="E4339" s="34" t="str">
        <f aca="false">IF($B4339="","",IF($B4339="OUT","Liters",IFERROR(INDEX(Setup!$F$3:$F$24,MATCH($C4339,Setup!$A$3:$A$24,0)),"")))</f>
        <v/>
      </c>
      <c r="F4339" s="28" t="str">
        <f aca="false">IF(OR($D4339="",$E4339=""),"",IFERROR($D4339*INDEX(Setup!$B$27:$B$44,MATCH($E4339,Setup!$A$27:$A$44,0)),"TBD"))</f>
        <v/>
      </c>
      <c r="G4339" s="32"/>
      <c r="H4339" s="32"/>
      <c r="I4339" s="32"/>
      <c r="J4339" s="32"/>
      <c r="K4339" s="35"/>
      <c r="L4339" s="32"/>
      <c r="M4339" s="32"/>
    </row>
    <row r="4340" customFormat="false" ht="15" hidden="false" customHeight="true" outlineLevel="0" collapsed="false">
      <c r="A4340" s="32"/>
      <c r="B4340" s="32"/>
      <c r="C4340" s="32"/>
      <c r="D4340" s="32"/>
      <c r="E4340" s="34" t="str">
        <f aca="false">IF($B4340="","",IF($B4340="OUT","Liters",IFERROR(INDEX(Setup!$F$3:$F$24,MATCH($C4340,Setup!$A$3:$A$24,0)),"")))</f>
        <v/>
      </c>
      <c r="F4340" s="28" t="str">
        <f aca="false">IF(OR($D4340="",$E4340=""),"",IFERROR($D4340*INDEX(Setup!$B$27:$B$44,MATCH($E4340,Setup!$A$27:$A$44,0)),"TBD"))</f>
        <v/>
      </c>
      <c r="G4340" s="32"/>
      <c r="H4340" s="32"/>
      <c r="I4340" s="32"/>
      <c r="J4340" s="32"/>
      <c r="K4340" s="35"/>
      <c r="L4340" s="32"/>
      <c r="M4340" s="32"/>
    </row>
    <row r="4341" customFormat="false" ht="15" hidden="false" customHeight="true" outlineLevel="0" collapsed="false">
      <c r="A4341" s="32"/>
      <c r="B4341" s="32"/>
      <c r="C4341" s="32"/>
      <c r="D4341" s="32"/>
      <c r="E4341" s="34" t="str">
        <f aca="false">IF($B4341="","",IF($B4341="OUT","Liters",IFERROR(INDEX(Setup!$F$3:$F$24,MATCH($C4341,Setup!$A$3:$A$24,0)),"")))</f>
        <v/>
      </c>
      <c r="F4341" s="28" t="str">
        <f aca="false">IF(OR($D4341="",$E4341=""),"",IFERROR($D4341*INDEX(Setup!$B$27:$B$44,MATCH($E4341,Setup!$A$27:$A$44,0)),"TBD"))</f>
        <v/>
      </c>
      <c r="G4341" s="32"/>
      <c r="H4341" s="32"/>
      <c r="I4341" s="32"/>
      <c r="J4341" s="32"/>
      <c r="K4341" s="35"/>
      <c r="L4341" s="32"/>
      <c r="M4341" s="32"/>
    </row>
    <row r="4342" customFormat="false" ht="15" hidden="false" customHeight="true" outlineLevel="0" collapsed="false">
      <c r="A4342" s="32"/>
      <c r="B4342" s="32"/>
      <c r="C4342" s="32"/>
      <c r="D4342" s="32"/>
      <c r="E4342" s="34" t="str">
        <f aca="false">IF($B4342="","",IF($B4342="OUT","Liters",IFERROR(INDEX(Setup!$F$3:$F$24,MATCH($C4342,Setup!$A$3:$A$24,0)),"")))</f>
        <v/>
      </c>
      <c r="F4342" s="28" t="str">
        <f aca="false">IF(OR($D4342="",$E4342=""),"",IFERROR($D4342*INDEX(Setup!$B$27:$B$44,MATCH($E4342,Setup!$A$27:$A$44,0)),"TBD"))</f>
        <v/>
      </c>
      <c r="G4342" s="32"/>
      <c r="H4342" s="32"/>
      <c r="I4342" s="32"/>
      <c r="J4342" s="32"/>
      <c r="K4342" s="35"/>
      <c r="L4342" s="32"/>
      <c r="M4342" s="32"/>
    </row>
    <row r="4343" customFormat="false" ht="15" hidden="false" customHeight="true" outlineLevel="0" collapsed="false">
      <c r="A4343" s="32"/>
      <c r="B4343" s="32"/>
      <c r="C4343" s="32"/>
      <c r="D4343" s="32"/>
      <c r="E4343" s="34" t="str">
        <f aca="false">IF($B4343="","",IF($B4343="OUT","Liters",IFERROR(INDEX(Setup!$F$3:$F$24,MATCH($C4343,Setup!$A$3:$A$24,0)),"")))</f>
        <v/>
      </c>
      <c r="F4343" s="28" t="str">
        <f aca="false">IF(OR($D4343="",$E4343=""),"",IFERROR($D4343*INDEX(Setup!$B$27:$B$44,MATCH($E4343,Setup!$A$27:$A$44,0)),"TBD"))</f>
        <v/>
      </c>
      <c r="G4343" s="32"/>
      <c r="H4343" s="32"/>
      <c r="I4343" s="32"/>
      <c r="J4343" s="32"/>
      <c r="K4343" s="35"/>
      <c r="L4343" s="32"/>
      <c r="M4343" s="32"/>
    </row>
    <row r="4344" customFormat="false" ht="15" hidden="false" customHeight="true" outlineLevel="0" collapsed="false">
      <c r="A4344" s="32"/>
      <c r="B4344" s="32"/>
      <c r="C4344" s="32"/>
      <c r="D4344" s="32"/>
      <c r="E4344" s="34" t="str">
        <f aca="false">IF($B4344="","",IF($B4344="OUT","Liters",IFERROR(INDEX(Setup!$F$3:$F$24,MATCH($C4344,Setup!$A$3:$A$24,0)),"")))</f>
        <v/>
      </c>
      <c r="F4344" s="28" t="str">
        <f aca="false">IF(OR($D4344="",$E4344=""),"",IFERROR($D4344*INDEX(Setup!$B$27:$B$44,MATCH($E4344,Setup!$A$27:$A$44,0)),"TBD"))</f>
        <v/>
      </c>
      <c r="G4344" s="32"/>
      <c r="H4344" s="32"/>
      <c r="I4344" s="32"/>
      <c r="J4344" s="32"/>
      <c r="K4344" s="35"/>
      <c r="L4344" s="32"/>
      <c r="M4344" s="32"/>
    </row>
    <row r="4345" customFormat="false" ht="15" hidden="false" customHeight="true" outlineLevel="0" collapsed="false">
      <c r="A4345" s="32"/>
      <c r="B4345" s="32"/>
      <c r="C4345" s="32"/>
      <c r="D4345" s="32"/>
      <c r="E4345" s="34" t="str">
        <f aca="false">IF($B4345="","",IF($B4345="OUT","Liters",IFERROR(INDEX(Setup!$F$3:$F$24,MATCH($C4345,Setup!$A$3:$A$24,0)),"")))</f>
        <v/>
      </c>
      <c r="F4345" s="28" t="str">
        <f aca="false">IF(OR($D4345="",$E4345=""),"",IFERROR($D4345*INDEX(Setup!$B$27:$B$44,MATCH($E4345,Setup!$A$27:$A$44,0)),"TBD"))</f>
        <v/>
      </c>
      <c r="G4345" s="32"/>
      <c r="H4345" s="32"/>
      <c r="I4345" s="32"/>
      <c r="J4345" s="32"/>
      <c r="K4345" s="35"/>
      <c r="L4345" s="32"/>
      <c r="M4345" s="32"/>
    </row>
    <row r="4346" customFormat="false" ht="15" hidden="false" customHeight="true" outlineLevel="0" collapsed="false">
      <c r="A4346" s="32"/>
      <c r="B4346" s="32"/>
      <c r="C4346" s="32"/>
      <c r="D4346" s="32"/>
      <c r="E4346" s="34" t="str">
        <f aca="false">IF($B4346="","",IF($B4346="OUT","Liters",IFERROR(INDEX(Setup!$F$3:$F$24,MATCH($C4346,Setup!$A$3:$A$24,0)),"")))</f>
        <v/>
      </c>
      <c r="F4346" s="28" t="str">
        <f aca="false">IF(OR($D4346="",$E4346=""),"",IFERROR($D4346*INDEX(Setup!$B$27:$B$44,MATCH($E4346,Setup!$A$27:$A$44,0)),"TBD"))</f>
        <v/>
      </c>
      <c r="G4346" s="32"/>
      <c r="H4346" s="32"/>
      <c r="I4346" s="32"/>
      <c r="J4346" s="32"/>
      <c r="K4346" s="35"/>
      <c r="L4346" s="32"/>
      <c r="M4346" s="32"/>
    </row>
    <row r="4347" customFormat="false" ht="15" hidden="false" customHeight="true" outlineLevel="0" collapsed="false">
      <c r="A4347" s="32"/>
      <c r="B4347" s="32"/>
      <c r="C4347" s="32"/>
      <c r="D4347" s="32"/>
      <c r="E4347" s="34" t="str">
        <f aca="false">IF($B4347="","",IF($B4347="OUT","Liters",IFERROR(INDEX(Setup!$F$3:$F$24,MATCH($C4347,Setup!$A$3:$A$24,0)),"")))</f>
        <v/>
      </c>
      <c r="F4347" s="28" t="str">
        <f aca="false">IF(OR($D4347="",$E4347=""),"",IFERROR($D4347*INDEX(Setup!$B$27:$B$44,MATCH($E4347,Setup!$A$27:$A$44,0)),"TBD"))</f>
        <v/>
      </c>
      <c r="G4347" s="32"/>
      <c r="H4347" s="32"/>
      <c r="I4347" s="32"/>
      <c r="J4347" s="32"/>
      <c r="K4347" s="35"/>
      <c r="L4347" s="32"/>
      <c r="M4347" s="32"/>
    </row>
    <row r="4348" customFormat="false" ht="15" hidden="false" customHeight="true" outlineLevel="0" collapsed="false">
      <c r="A4348" s="32"/>
      <c r="B4348" s="32"/>
      <c r="C4348" s="32"/>
      <c r="D4348" s="32"/>
      <c r="E4348" s="34" t="str">
        <f aca="false">IF($B4348="","",IF($B4348="OUT","Liters",IFERROR(INDEX(Setup!$F$3:$F$24,MATCH($C4348,Setup!$A$3:$A$24,0)),"")))</f>
        <v/>
      </c>
      <c r="F4348" s="28" t="str">
        <f aca="false">IF(OR($D4348="",$E4348=""),"",IFERROR($D4348*INDEX(Setup!$B$27:$B$44,MATCH($E4348,Setup!$A$27:$A$44,0)),"TBD"))</f>
        <v/>
      </c>
      <c r="G4348" s="32"/>
      <c r="H4348" s="32"/>
      <c r="I4348" s="32"/>
      <c r="J4348" s="32"/>
      <c r="K4348" s="35"/>
      <c r="L4348" s="32"/>
      <c r="M4348" s="32"/>
    </row>
    <row r="4349" customFormat="false" ht="15" hidden="false" customHeight="true" outlineLevel="0" collapsed="false">
      <c r="A4349" s="32"/>
      <c r="B4349" s="32"/>
      <c r="C4349" s="32"/>
      <c r="D4349" s="32"/>
      <c r="E4349" s="34" t="str">
        <f aca="false">IF($B4349="","",IF($B4349="OUT","Liters",IFERROR(INDEX(Setup!$F$3:$F$24,MATCH($C4349,Setup!$A$3:$A$24,0)),"")))</f>
        <v/>
      </c>
      <c r="F4349" s="28" t="str">
        <f aca="false">IF(OR($D4349="",$E4349=""),"",IFERROR($D4349*INDEX(Setup!$B$27:$B$44,MATCH($E4349,Setup!$A$27:$A$44,0)),"TBD"))</f>
        <v/>
      </c>
      <c r="G4349" s="32"/>
      <c r="H4349" s="32"/>
      <c r="I4349" s="32"/>
      <c r="J4349" s="32"/>
      <c r="K4349" s="35"/>
      <c r="L4349" s="32"/>
      <c r="M4349" s="32"/>
    </row>
    <row r="4350" customFormat="false" ht="15" hidden="false" customHeight="true" outlineLevel="0" collapsed="false">
      <c r="A4350" s="32"/>
      <c r="B4350" s="32"/>
      <c r="C4350" s="32"/>
      <c r="D4350" s="32"/>
      <c r="E4350" s="34" t="str">
        <f aca="false">IF($B4350="","",IF($B4350="OUT","Liters",IFERROR(INDEX(Setup!$F$3:$F$24,MATCH($C4350,Setup!$A$3:$A$24,0)),"")))</f>
        <v/>
      </c>
      <c r="F4350" s="28" t="str">
        <f aca="false">IF(OR($D4350="",$E4350=""),"",IFERROR($D4350*INDEX(Setup!$B$27:$B$44,MATCH($E4350,Setup!$A$27:$A$44,0)),"TBD"))</f>
        <v/>
      </c>
      <c r="G4350" s="32"/>
      <c r="H4350" s="32"/>
      <c r="I4350" s="32"/>
      <c r="J4350" s="32"/>
      <c r="K4350" s="35"/>
      <c r="L4350" s="32"/>
      <c r="M4350" s="32"/>
    </row>
    <row r="4351" customFormat="false" ht="15" hidden="false" customHeight="true" outlineLevel="0" collapsed="false">
      <c r="A4351" s="32"/>
      <c r="B4351" s="32"/>
      <c r="C4351" s="32"/>
      <c r="D4351" s="32"/>
      <c r="E4351" s="34" t="str">
        <f aca="false">IF($B4351="","",IF($B4351="OUT","Liters",IFERROR(INDEX(Setup!$F$3:$F$24,MATCH($C4351,Setup!$A$3:$A$24,0)),"")))</f>
        <v/>
      </c>
      <c r="F4351" s="28" t="str">
        <f aca="false">IF(OR($D4351="",$E4351=""),"",IFERROR($D4351*INDEX(Setup!$B$27:$B$44,MATCH($E4351,Setup!$A$27:$A$44,0)),"TBD"))</f>
        <v/>
      </c>
      <c r="G4351" s="32"/>
      <c r="H4351" s="32"/>
      <c r="I4351" s="32"/>
      <c r="J4351" s="32"/>
      <c r="K4351" s="35"/>
      <c r="L4351" s="32"/>
      <c r="M4351" s="32"/>
    </row>
    <row r="4352" customFormat="false" ht="15" hidden="false" customHeight="true" outlineLevel="0" collapsed="false">
      <c r="A4352" s="32"/>
      <c r="B4352" s="32"/>
      <c r="C4352" s="32"/>
      <c r="D4352" s="32"/>
      <c r="E4352" s="34" t="str">
        <f aca="false">IF($B4352="","",IF($B4352="OUT","Liters",IFERROR(INDEX(Setup!$F$3:$F$24,MATCH($C4352,Setup!$A$3:$A$24,0)),"")))</f>
        <v/>
      </c>
      <c r="F4352" s="28" t="str">
        <f aca="false">IF(OR($D4352="",$E4352=""),"",IFERROR($D4352*INDEX(Setup!$B$27:$B$44,MATCH($E4352,Setup!$A$27:$A$44,0)),"TBD"))</f>
        <v/>
      </c>
      <c r="G4352" s="32"/>
      <c r="H4352" s="32"/>
      <c r="I4352" s="32"/>
      <c r="J4352" s="32"/>
      <c r="K4352" s="35"/>
      <c r="L4352" s="32"/>
      <c r="M4352" s="32"/>
    </row>
    <row r="4353" customFormat="false" ht="15" hidden="false" customHeight="true" outlineLevel="0" collapsed="false">
      <c r="A4353" s="32"/>
      <c r="B4353" s="32"/>
      <c r="C4353" s="32"/>
      <c r="D4353" s="32"/>
      <c r="E4353" s="34" t="str">
        <f aca="false">IF($B4353="","",IF($B4353="OUT","Liters",IFERROR(INDEX(Setup!$F$3:$F$24,MATCH($C4353,Setup!$A$3:$A$24,0)),"")))</f>
        <v/>
      </c>
      <c r="F4353" s="28" t="str">
        <f aca="false">IF(OR($D4353="",$E4353=""),"",IFERROR($D4353*INDEX(Setup!$B$27:$B$44,MATCH($E4353,Setup!$A$27:$A$44,0)),"TBD"))</f>
        <v/>
      </c>
      <c r="G4353" s="32"/>
      <c r="H4353" s="32"/>
      <c r="I4353" s="32"/>
      <c r="J4353" s="32"/>
      <c r="K4353" s="35"/>
      <c r="L4353" s="32"/>
      <c r="M4353" s="32"/>
    </row>
    <row r="4354" customFormat="false" ht="15" hidden="false" customHeight="true" outlineLevel="0" collapsed="false">
      <c r="A4354" s="32"/>
      <c r="B4354" s="32"/>
      <c r="C4354" s="32"/>
      <c r="D4354" s="32"/>
      <c r="E4354" s="34" t="str">
        <f aca="false">IF($B4354="","",IF($B4354="OUT","Liters",IFERROR(INDEX(Setup!$F$3:$F$24,MATCH($C4354,Setup!$A$3:$A$24,0)),"")))</f>
        <v/>
      </c>
      <c r="F4354" s="28" t="str">
        <f aca="false">IF(OR($D4354="",$E4354=""),"",IFERROR($D4354*INDEX(Setup!$B$27:$B$44,MATCH($E4354,Setup!$A$27:$A$44,0)),"TBD"))</f>
        <v/>
      </c>
      <c r="G4354" s="32"/>
      <c r="H4354" s="32"/>
      <c r="I4354" s="32"/>
      <c r="J4354" s="32"/>
      <c r="K4354" s="35"/>
      <c r="L4354" s="32"/>
      <c r="M4354" s="32"/>
    </row>
    <row r="4355" customFormat="false" ht="15" hidden="false" customHeight="true" outlineLevel="0" collapsed="false">
      <c r="A4355" s="32"/>
      <c r="B4355" s="32"/>
      <c r="C4355" s="32"/>
      <c r="D4355" s="32"/>
      <c r="E4355" s="34" t="str">
        <f aca="false">IF($B4355="","",IF($B4355="OUT","Liters",IFERROR(INDEX(Setup!$F$3:$F$24,MATCH($C4355,Setup!$A$3:$A$24,0)),"")))</f>
        <v/>
      </c>
      <c r="F4355" s="28" t="str">
        <f aca="false">IF(OR($D4355="",$E4355=""),"",IFERROR($D4355*INDEX(Setup!$B$27:$B$44,MATCH($E4355,Setup!$A$27:$A$44,0)),"TBD"))</f>
        <v/>
      </c>
      <c r="G4355" s="32"/>
      <c r="H4355" s="32"/>
      <c r="I4355" s="32"/>
      <c r="J4355" s="32"/>
      <c r="K4355" s="35"/>
      <c r="L4355" s="32"/>
      <c r="M4355" s="32"/>
    </row>
    <row r="4356" customFormat="false" ht="15" hidden="false" customHeight="true" outlineLevel="0" collapsed="false">
      <c r="A4356" s="32"/>
      <c r="B4356" s="32"/>
      <c r="C4356" s="32"/>
      <c r="D4356" s="32"/>
      <c r="E4356" s="34" t="str">
        <f aca="false">IF($B4356="","",IF($B4356="OUT","Liters",IFERROR(INDEX(Setup!$F$3:$F$24,MATCH($C4356,Setup!$A$3:$A$24,0)),"")))</f>
        <v/>
      </c>
      <c r="F4356" s="28" t="str">
        <f aca="false">IF(OR($D4356="",$E4356=""),"",IFERROR($D4356*INDEX(Setup!$B$27:$B$44,MATCH($E4356,Setup!$A$27:$A$44,0)),"TBD"))</f>
        <v/>
      </c>
      <c r="G4356" s="32"/>
      <c r="H4356" s="32"/>
      <c r="I4356" s="32"/>
      <c r="J4356" s="32"/>
      <c r="K4356" s="35"/>
      <c r="L4356" s="32"/>
      <c r="M4356" s="32"/>
    </row>
    <row r="4357" customFormat="false" ht="15" hidden="false" customHeight="true" outlineLevel="0" collapsed="false">
      <c r="A4357" s="32"/>
      <c r="B4357" s="32"/>
      <c r="C4357" s="32"/>
      <c r="D4357" s="32"/>
      <c r="E4357" s="34" t="str">
        <f aca="false">IF($B4357="","",IF($B4357="OUT","Liters",IFERROR(INDEX(Setup!$F$3:$F$24,MATCH($C4357,Setup!$A$3:$A$24,0)),"")))</f>
        <v/>
      </c>
      <c r="F4357" s="28" t="str">
        <f aca="false">IF(OR($D4357="",$E4357=""),"",IFERROR($D4357*INDEX(Setup!$B$27:$B$44,MATCH($E4357,Setup!$A$27:$A$44,0)),"TBD"))</f>
        <v/>
      </c>
      <c r="G4357" s="32"/>
      <c r="H4357" s="32"/>
      <c r="I4357" s="32"/>
      <c r="J4357" s="32"/>
      <c r="K4357" s="35"/>
      <c r="L4357" s="32"/>
      <c r="M4357" s="32"/>
    </row>
    <row r="4358" customFormat="false" ht="15" hidden="false" customHeight="true" outlineLevel="0" collapsed="false">
      <c r="A4358" s="32"/>
      <c r="B4358" s="32"/>
      <c r="C4358" s="32"/>
      <c r="D4358" s="32"/>
      <c r="E4358" s="34" t="str">
        <f aca="false">IF($B4358="","",IF($B4358="OUT","Liters",IFERROR(INDEX(Setup!$F$3:$F$24,MATCH($C4358,Setup!$A$3:$A$24,0)),"")))</f>
        <v/>
      </c>
      <c r="F4358" s="28" t="str">
        <f aca="false">IF(OR($D4358="",$E4358=""),"",IFERROR($D4358*INDEX(Setup!$B$27:$B$44,MATCH($E4358,Setup!$A$27:$A$44,0)),"TBD"))</f>
        <v/>
      </c>
      <c r="G4358" s="32"/>
      <c r="H4358" s="32"/>
      <c r="I4358" s="32"/>
      <c r="J4358" s="32"/>
      <c r="K4358" s="35"/>
      <c r="L4358" s="32"/>
      <c r="M4358" s="32"/>
    </row>
    <row r="4359" customFormat="false" ht="15" hidden="false" customHeight="true" outlineLevel="0" collapsed="false">
      <c r="A4359" s="32"/>
      <c r="B4359" s="32"/>
      <c r="C4359" s="32"/>
      <c r="D4359" s="32"/>
      <c r="E4359" s="34" t="str">
        <f aca="false">IF($B4359="","",IF($B4359="OUT","Liters",IFERROR(INDEX(Setup!$F$3:$F$24,MATCH($C4359,Setup!$A$3:$A$24,0)),"")))</f>
        <v/>
      </c>
      <c r="F4359" s="28" t="str">
        <f aca="false">IF(OR($D4359="",$E4359=""),"",IFERROR($D4359*INDEX(Setup!$B$27:$B$44,MATCH($E4359,Setup!$A$27:$A$44,0)),"TBD"))</f>
        <v/>
      </c>
      <c r="G4359" s="32"/>
      <c r="H4359" s="32"/>
      <c r="I4359" s="32"/>
      <c r="J4359" s="32"/>
      <c r="K4359" s="35"/>
      <c r="L4359" s="32"/>
      <c r="M4359" s="32"/>
    </row>
    <row r="4360" customFormat="false" ht="15" hidden="false" customHeight="true" outlineLevel="0" collapsed="false">
      <c r="A4360" s="32"/>
      <c r="B4360" s="32"/>
      <c r="C4360" s="32"/>
      <c r="D4360" s="32"/>
      <c r="E4360" s="34" t="str">
        <f aca="false">IF($B4360="","",IF($B4360="OUT","Liters",IFERROR(INDEX(Setup!$F$3:$F$24,MATCH($C4360,Setup!$A$3:$A$24,0)),"")))</f>
        <v/>
      </c>
      <c r="F4360" s="28" t="str">
        <f aca="false">IF(OR($D4360="",$E4360=""),"",IFERROR($D4360*INDEX(Setup!$B$27:$B$44,MATCH($E4360,Setup!$A$27:$A$44,0)),"TBD"))</f>
        <v/>
      </c>
      <c r="G4360" s="32"/>
      <c r="H4360" s="32"/>
      <c r="I4360" s="32"/>
      <c r="J4360" s="32"/>
      <c r="K4360" s="35"/>
      <c r="L4360" s="32"/>
      <c r="M4360" s="32"/>
    </row>
    <row r="4361" customFormat="false" ht="15" hidden="false" customHeight="true" outlineLevel="0" collapsed="false">
      <c r="A4361" s="32"/>
      <c r="B4361" s="32"/>
      <c r="C4361" s="32"/>
      <c r="D4361" s="32"/>
      <c r="E4361" s="34" t="str">
        <f aca="false">IF($B4361="","",IF($B4361="OUT","Liters",IFERROR(INDEX(Setup!$F$3:$F$24,MATCH($C4361,Setup!$A$3:$A$24,0)),"")))</f>
        <v/>
      </c>
      <c r="F4361" s="28" t="str">
        <f aca="false">IF(OR($D4361="",$E4361=""),"",IFERROR($D4361*INDEX(Setup!$B$27:$B$44,MATCH($E4361,Setup!$A$27:$A$44,0)),"TBD"))</f>
        <v/>
      </c>
      <c r="G4361" s="32"/>
      <c r="H4361" s="32"/>
      <c r="I4361" s="32"/>
      <c r="J4361" s="32"/>
      <c r="K4361" s="35"/>
      <c r="L4361" s="32"/>
      <c r="M4361" s="32"/>
    </row>
    <row r="4362" customFormat="false" ht="15" hidden="false" customHeight="true" outlineLevel="0" collapsed="false">
      <c r="A4362" s="32"/>
      <c r="B4362" s="32"/>
      <c r="C4362" s="32"/>
      <c r="D4362" s="32"/>
      <c r="E4362" s="34" t="str">
        <f aca="false">IF($B4362="","",IF($B4362="OUT","Liters",IFERROR(INDEX(Setup!$F$3:$F$24,MATCH($C4362,Setup!$A$3:$A$24,0)),"")))</f>
        <v/>
      </c>
      <c r="F4362" s="28" t="str">
        <f aca="false">IF(OR($D4362="",$E4362=""),"",IFERROR($D4362*INDEX(Setup!$B$27:$B$44,MATCH($E4362,Setup!$A$27:$A$44,0)),"TBD"))</f>
        <v/>
      </c>
      <c r="G4362" s="32"/>
      <c r="H4362" s="32"/>
      <c r="I4362" s="32"/>
      <c r="J4362" s="32"/>
      <c r="K4362" s="35"/>
      <c r="L4362" s="32"/>
      <c r="M4362" s="32"/>
    </row>
    <row r="4363" customFormat="false" ht="15" hidden="false" customHeight="true" outlineLevel="0" collapsed="false">
      <c r="A4363" s="32"/>
      <c r="B4363" s="32"/>
      <c r="C4363" s="32"/>
      <c r="D4363" s="32"/>
      <c r="E4363" s="34" t="str">
        <f aca="false">IF($B4363="","",IF($B4363="OUT","Liters",IFERROR(INDEX(Setup!$F$3:$F$24,MATCH($C4363,Setup!$A$3:$A$24,0)),"")))</f>
        <v/>
      </c>
      <c r="F4363" s="28" t="str">
        <f aca="false">IF(OR($D4363="",$E4363=""),"",IFERROR($D4363*INDEX(Setup!$B$27:$B$44,MATCH($E4363,Setup!$A$27:$A$44,0)),"TBD"))</f>
        <v/>
      </c>
      <c r="G4363" s="32"/>
      <c r="H4363" s="32"/>
      <c r="I4363" s="32"/>
      <c r="J4363" s="32"/>
      <c r="K4363" s="35"/>
      <c r="L4363" s="32"/>
      <c r="M4363" s="32"/>
    </row>
    <row r="4364" customFormat="false" ht="15" hidden="false" customHeight="true" outlineLevel="0" collapsed="false">
      <c r="A4364" s="32"/>
      <c r="B4364" s="32"/>
      <c r="C4364" s="32"/>
      <c r="D4364" s="32"/>
      <c r="E4364" s="34" t="str">
        <f aca="false">IF($B4364="","",IF($B4364="OUT","Liters",IFERROR(INDEX(Setup!$F$3:$F$24,MATCH($C4364,Setup!$A$3:$A$24,0)),"")))</f>
        <v/>
      </c>
      <c r="F4364" s="28" t="str">
        <f aca="false">IF(OR($D4364="",$E4364=""),"",IFERROR($D4364*INDEX(Setup!$B$27:$B$44,MATCH($E4364,Setup!$A$27:$A$44,0)),"TBD"))</f>
        <v/>
      </c>
      <c r="G4364" s="32"/>
      <c r="H4364" s="32"/>
      <c r="I4364" s="32"/>
      <c r="J4364" s="32"/>
      <c r="K4364" s="35"/>
      <c r="L4364" s="32"/>
      <c r="M4364" s="32"/>
    </row>
    <row r="4365" customFormat="false" ht="15" hidden="false" customHeight="true" outlineLevel="0" collapsed="false">
      <c r="A4365" s="32"/>
      <c r="B4365" s="32"/>
      <c r="C4365" s="32"/>
      <c r="D4365" s="32"/>
      <c r="E4365" s="34" t="str">
        <f aca="false">IF($B4365="","",IF($B4365="OUT","Liters",IFERROR(INDEX(Setup!$F$3:$F$24,MATCH($C4365,Setup!$A$3:$A$24,0)),"")))</f>
        <v/>
      </c>
      <c r="F4365" s="28" t="str">
        <f aca="false">IF(OR($D4365="",$E4365=""),"",IFERROR($D4365*INDEX(Setup!$B$27:$B$44,MATCH($E4365,Setup!$A$27:$A$44,0)),"TBD"))</f>
        <v/>
      </c>
      <c r="G4365" s="32"/>
      <c r="H4365" s="32"/>
      <c r="I4365" s="32"/>
      <c r="J4365" s="32"/>
      <c r="K4365" s="35"/>
      <c r="L4365" s="32"/>
      <c r="M4365" s="32"/>
    </row>
    <row r="4366" customFormat="false" ht="15" hidden="false" customHeight="true" outlineLevel="0" collapsed="false">
      <c r="A4366" s="32"/>
      <c r="B4366" s="32"/>
      <c r="C4366" s="32"/>
      <c r="D4366" s="32"/>
      <c r="E4366" s="34" t="str">
        <f aca="false">IF($B4366="","",IF($B4366="OUT","Liters",IFERROR(INDEX(Setup!$F$3:$F$24,MATCH($C4366,Setup!$A$3:$A$24,0)),"")))</f>
        <v/>
      </c>
      <c r="F4366" s="28" t="str">
        <f aca="false">IF(OR($D4366="",$E4366=""),"",IFERROR($D4366*INDEX(Setup!$B$27:$B$44,MATCH($E4366,Setup!$A$27:$A$44,0)),"TBD"))</f>
        <v/>
      </c>
      <c r="G4366" s="32"/>
      <c r="H4366" s="32"/>
      <c r="I4366" s="32"/>
      <c r="J4366" s="32"/>
      <c r="K4366" s="35"/>
      <c r="L4366" s="32"/>
      <c r="M4366" s="32"/>
    </row>
    <row r="4367" customFormat="false" ht="15" hidden="false" customHeight="true" outlineLevel="0" collapsed="false">
      <c r="A4367" s="32"/>
      <c r="B4367" s="32"/>
      <c r="C4367" s="32"/>
      <c r="D4367" s="32"/>
      <c r="E4367" s="34" t="str">
        <f aca="false">IF($B4367="","",IF($B4367="OUT","Liters",IFERROR(INDEX(Setup!$F$3:$F$24,MATCH($C4367,Setup!$A$3:$A$24,0)),"")))</f>
        <v/>
      </c>
      <c r="F4367" s="28" t="str">
        <f aca="false">IF(OR($D4367="",$E4367=""),"",IFERROR($D4367*INDEX(Setup!$B$27:$B$44,MATCH($E4367,Setup!$A$27:$A$44,0)),"TBD"))</f>
        <v/>
      </c>
      <c r="G4367" s="32"/>
      <c r="H4367" s="32"/>
      <c r="I4367" s="32"/>
      <c r="J4367" s="32"/>
      <c r="K4367" s="35"/>
      <c r="L4367" s="32"/>
      <c r="M4367" s="32"/>
    </row>
    <row r="4368" customFormat="false" ht="15" hidden="false" customHeight="true" outlineLevel="0" collapsed="false">
      <c r="A4368" s="32"/>
      <c r="B4368" s="32"/>
      <c r="C4368" s="32"/>
      <c r="D4368" s="32"/>
      <c r="E4368" s="34" t="str">
        <f aca="false">IF($B4368="","",IF($B4368="OUT","Liters",IFERROR(INDEX(Setup!$F$3:$F$24,MATCH($C4368,Setup!$A$3:$A$24,0)),"")))</f>
        <v/>
      </c>
      <c r="F4368" s="28" t="str">
        <f aca="false">IF(OR($D4368="",$E4368=""),"",IFERROR($D4368*INDEX(Setup!$B$27:$B$44,MATCH($E4368,Setup!$A$27:$A$44,0)),"TBD"))</f>
        <v/>
      </c>
      <c r="G4368" s="32"/>
      <c r="H4368" s="32"/>
      <c r="I4368" s="32"/>
      <c r="J4368" s="32"/>
      <c r="K4368" s="35"/>
      <c r="L4368" s="32"/>
      <c r="M4368" s="32"/>
    </row>
    <row r="4369" customFormat="false" ht="15" hidden="false" customHeight="true" outlineLevel="0" collapsed="false">
      <c r="A4369" s="32"/>
      <c r="B4369" s="32"/>
      <c r="C4369" s="32"/>
      <c r="D4369" s="32"/>
      <c r="E4369" s="34" t="str">
        <f aca="false">IF($B4369="","",IF($B4369="OUT","Liters",IFERROR(INDEX(Setup!$F$3:$F$24,MATCH($C4369,Setup!$A$3:$A$24,0)),"")))</f>
        <v/>
      </c>
      <c r="F4369" s="28" t="str">
        <f aca="false">IF(OR($D4369="",$E4369=""),"",IFERROR($D4369*INDEX(Setup!$B$27:$B$44,MATCH($E4369,Setup!$A$27:$A$44,0)),"TBD"))</f>
        <v/>
      </c>
      <c r="G4369" s="32"/>
      <c r="H4369" s="32"/>
      <c r="I4369" s="32"/>
      <c r="J4369" s="32"/>
      <c r="K4369" s="35"/>
      <c r="L4369" s="32"/>
      <c r="M4369" s="32"/>
    </row>
    <row r="4370" customFormat="false" ht="15" hidden="false" customHeight="true" outlineLevel="0" collapsed="false">
      <c r="A4370" s="32"/>
      <c r="B4370" s="32"/>
      <c r="C4370" s="32"/>
      <c r="D4370" s="32"/>
      <c r="E4370" s="34" t="str">
        <f aca="false">IF($B4370="","",IF($B4370="OUT","Liters",IFERROR(INDEX(Setup!$F$3:$F$24,MATCH($C4370,Setup!$A$3:$A$24,0)),"")))</f>
        <v/>
      </c>
      <c r="F4370" s="28" t="str">
        <f aca="false">IF(OR($D4370="",$E4370=""),"",IFERROR($D4370*INDEX(Setup!$B$27:$B$44,MATCH($E4370,Setup!$A$27:$A$44,0)),"TBD"))</f>
        <v/>
      </c>
      <c r="G4370" s="32"/>
      <c r="H4370" s="32"/>
      <c r="I4370" s="32"/>
      <c r="J4370" s="32"/>
      <c r="K4370" s="35"/>
      <c r="L4370" s="32"/>
      <c r="M4370" s="32"/>
    </row>
    <row r="4371" customFormat="false" ht="15" hidden="false" customHeight="true" outlineLevel="0" collapsed="false">
      <c r="A4371" s="32"/>
      <c r="B4371" s="32"/>
      <c r="C4371" s="32"/>
      <c r="D4371" s="32"/>
      <c r="E4371" s="34" t="str">
        <f aca="false">IF($B4371="","",IF($B4371="OUT","Liters",IFERROR(INDEX(Setup!$F$3:$F$24,MATCH($C4371,Setup!$A$3:$A$24,0)),"")))</f>
        <v/>
      </c>
      <c r="F4371" s="28" t="str">
        <f aca="false">IF(OR($D4371="",$E4371=""),"",IFERROR($D4371*INDEX(Setup!$B$27:$B$44,MATCH($E4371,Setup!$A$27:$A$44,0)),"TBD"))</f>
        <v/>
      </c>
      <c r="G4371" s="32"/>
      <c r="H4371" s="32"/>
      <c r="I4371" s="32"/>
      <c r="J4371" s="32"/>
      <c r="K4371" s="35"/>
      <c r="L4371" s="32"/>
      <c r="M4371" s="32"/>
    </row>
    <row r="4372" customFormat="false" ht="15" hidden="false" customHeight="true" outlineLevel="0" collapsed="false">
      <c r="A4372" s="32"/>
      <c r="B4372" s="32"/>
      <c r="C4372" s="32"/>
      <c r="D4372" s="32"/>
      <c r="E4372" s="34" t="str">
        <f aca="false">IF($B4372="","",IF($B4372="OUT","Liters",IFERROR(INDEX(Setup!$F$3:$F$24,MATCH($C4372,Setup!$A$3:$A$24,0)),"")))</f>
        <v/>
      </c>
      <c r="F4372" s="28" t="str">
        <f aca="false">IF(OR($D4372="",$E4372=""),"",IFERROR($D4372*INDEX(Setup!$B$27:$B$44,MATCH($E4372,Setup!$A$27:$A$44,0)),"TBD"))</f>
        <v/>
      </c>
      <c r="G4372" s="32"/>
      <c r="H4372" s="32"/>
      <c r="I4372" s="32"/>
      <c r="J4372" s="32"/>
      <c r="K4372" s="35"/>
      <c r="L4372" s="32"/>
      <c r="M4372" s="32"/>
    </row>
    <row r="4373" customFormat="false" ht="15" hidden="false" customHeight="true" outlineLevel="0" collapsed="false">
      <c r="A4373" s="32"/>
      <c r="B4373" s="32"/>
      <c r="C4373" s="32"/>
      <c r="D4373" s="32"/>
      <c r="E4373" s="34" t="str">
        <f aca="false">IF($B4373="","",IF($B4373="OUT","Liters",IFERROR(INDEX(Setup!$F$3:$F$24,MATCH($C4373,Setup!$A$3:$A$24,0)),"")))</f>
        <v/>
      </c>
      <c r="F4373" s="28" t="str">
        <f aca="false">IF(OR($D4373="",$E4373=""),"",IFERROR($D4373*INDEX(Setup!$B$27:$B$44,MATCH($E4373,Setup!$A$27:$A$44,0)),"TBD"))</f>
        <v/>
      </c>
      <c r="G4373" s="32"/>
      <c r="H4373" s="32"/>
      <c r="I4373" s="32"/>
      <c r="J4373" s="32"/>
      <c r="K4373" s="35"/>
      <c r="L4373" s="32"/>
      <c r="M4373" s="32"/>
    </row>
    <row r="4374" customFormat="false" ht="15" hidden="false" customHeight="true" outlineLevel="0" collapsed="false">
      <c r="A4374" s="32"/>
      <c r="B4374" s="32"/>
      <c r="C4374" s="32"/>
      <c r="D4374" s="32"/>
      <c r="E4374" s="34" t="str">
        <f aca="false">IF($B4374="","",IF($B4374="OUT","Liters",IFERROR(INDEX(Setup!$F$3:$F$24,MATCH($C4374,Setup!$A$3:$A$24,0)),"")))</f>
        <v/>
      </c>
      <c r="F4374" s="28" t="str">
        <f aca="false">IF(OR($D4374="",$E4374=""),"",IFERROR($D4374*INDEX(Setup!$B$27:$B$44,MATCH($E4374,Setup!$A$27:$A$44,0)),"TBD"))</f>
        <v/>
      </c>
      <c r="G4374" s="32"/>
      <c r="H4374" s="32"/>
      <c r="I4374" s="32"/>
      <c r="J4374" s="32"/>
      <c r="K4374" s="35"/>
      <c r="L4374" s="32"/>
      <c r="M4374" s="32"/>
    </row>
    <row r="4375" customFormat="false" ht="15" hidden="false" customHeight="true" outlineLevel="0" collapsed="false">
      <c r="A4375" s="32"/>
      <c r="B4375" s="32"/>
      <c r="C4375" s="32"/>
      <c r="D4375" s="32"/>
      <c r="E4375" s="34" t="str">
        <f aca="false">IF($B4375="","",IF($B4375="OUT","Liters",IFERROR(INDEX(Setup!$F$3:$F$24,MATCH($C4375,Setup!$A$3:$A$24,0)),"")))</f>
        <v/>
      </c>
      <c r="F4375" s="28" t="str">
        <f aca="false">IF(OR($D4375="",$E4375=""),"",IFERROR($D4375*INDEX(Setup!$B$27:$B$44,MATCH($E4375,Setup!$A$27:$A$44,0)),"TBD"))</f>
        <v/>
      </c>
      <c r="G4375" s="32"/>
      <c r="H4375" s="32"/>
      <c r="I4375" s="32"/>
      <c r="J4375" s="32"/>
      <c r="K4375" s="35"/>
      <c r="L4375" s="32"/>
      <c r="M4375" s="32"/>
    </row>
    <row r="4376" customFormat="false" ht="15" hidden="false" customHeight="true" outlineLevel="0" collapsed="false">
      <c r="A4376" s="32"/>
      <c r="B4376" s="32"/>
      <c r="C4376" s="32"/>
      <c r="D4376" s="32"/>
      <c r="E4376" s="34" t="str">
        <f aca="false">IF($B4376="","",IF($B4376="OUT","Liters",IFERROR(INDEX(Setup!$F$3:$F$24,MATCH($C4376,Setup!$A$3:$A$24,0)),"")))</f>
        <v/>
      </c>
      <c r="F4376" s="28" t="str">
        <f aca="false">IF(OR($D4376="",$E4376=""),"",IFERROR($D4376*INDEX(Setup!$B$27:$B$44,MATCH($E4376,Setup!$A$27:$A$44,0)),"TBD"))</f>
        <v/>
      </c>
      <c r="G4376" s="32"/>
      <c r="H4376" s="32"/>
      <c r="I4376" s="32"/>
      <c r="J4376" s="32"/>
      <c r="K4376" s="35"/>
      <c r="L4376" s="32"/>
      <c r="M4376" s="32"/>
    </row>
    <row r="4377" customFormat="false" ht="15" hidden="false" customHeight="true" outlineLevel="0" collapsed="false">
      <c r="A4377" s="32"/>
      <c r="B4377" s="32"/>
      <c r="C4377" s="32"/>
      <c r="D4377" s="32"/>
      <c r="E4377" s="34" t="str">
        <f aca="false">IF($B4377="","",IF($B4377="OUT","Liters",IFERROR(INDEX(Setup!$F$3:$F$24,MATCH($C4377,Setup!$A$3:$A$24,0)),"")))</f>
        <v/>
      </c>
      <c r="F4377" s="28" t="str">
        <f aca="false">IF(OR($D4377="",$E4377=""),"",IFERROR($D4377*INDEX(Setup!$B$27:$B$44,MATCH($E4377,Setup!$A$27:$A$44,0)),"TBD"))</f>
        <v/>
      </c>
      <c r="G4377" s="32"/>
      <c r="H4377" s="32"/>
      <c r="I4377" s="32"/>
      <c r="J4377" s="32"/>
      <c r="K4377" s="35"/>
      <c r="L4377" s="32"/>
      <c r="M4377" s="32"/>
    </row>
    <row r="4378" customFormat="false" ht="15" hidden="false" customHeight="true" outlineLevel="0" collapsed="false">
      <c r="A4378" s="32"/>
      <c r="B4378" s="32"/>
      <c r="C4378" s="32"/>
      <c r="D4378" s="32"/>
      <c r="E4378" s="34" t="str">
        <f aca="false">IF($B4378="","",IF($B4378="OUT","Liters",IFERROR(INDEX(Setup!$F$3:$F$24,MATCH($C4378,Setup!$A$3:$A$24,0)),"")))</f>
        <v/>
      </c>
      <c r="F4378" s="28" t="str">
        <f aca="false">IF(OR($D4378="",$E4378=""),"",IFERROR($D4378*INDEX(Setup!$B$27:$B$44,MATCH($E4378,Setup!$A$27:$A$44,0)),"TBD"))</f>
        <v/>
      </c>
      <c r="G4378" s="32"/>
      <c r="H4378" s="32"/>
      <c r="I4378" s="32"/>
      <c r="J4378" s="32"/>
      <c r="K4378" s="35"/>
      <c r="L4378" s="32"/>
      <c r="M4378" s="32"/>
    </row>
    <row r="4379" customFormat="false" ht="15" hidden="false" customHeight="true" outlineLevel="0" collapsed="false">
      <c r="A4379" s="32"/>
      <c r="B4379" s="32"/>
      <c r="C4379" s="32"/>
      <c r="D4379" s="32"/>
      <c r="E4379" s="34" t="str">
        <f aca="false">IF($B4379="","",IF($B4379="OUT","Liters",IFERROR(INDEX(Setup!$F$3:$F$24,MATCH($C4379,Setup!$A$3:$A$24,0)),"")))</f>
        <v/>
      </c>
      <c r="F4379" s="28" t="str">
        <f aca="false">IF(OR($D4379="",$E4379=""),"",IFERROR($D4379*INDEX(Setup!$B$27:$B$44,MATCH($E4379,Setup!$A$27:$A$44,0)),"TBD"))</f>
        <v/>
      </c>
      <c r="G4379" s="32"/>
      <c r="H4379" s="32"/>
      <c r="I4379" s="32"/>
      <c r="J4379" s="32"/>
      <c r="K4379" s="35"/>
      <c r="L4379" s="32"/>
      <c r="M4379" s="32"/>
    </row>
    <row r="4380" customFormat="false" ht="15" hidden="false" customHeight="true" outlineLevel="0" collapsed="false">
      <c r="A4380" s="32"/>
      <c r="B4380" s="32"/>
      <c r="C4380" s="32"/>
      <c r="D4380" s="32"/>
      <c r="E4380" s="34" t="str">
        <f aca="false">IF($B4380="","",IF($B4380="OUT","Liters",IFERROR(INDEX(Setup!$F$3:$F$24,MATCH($C4380,Setup!$A$3:$A$24,0)),"")))</f>
        <v/>
      </c>
      <c r="F4380" s="28" t="str">
        <f aca="false">IF(OR($D4380="",$E4380=""),"",IFERROR($D4380*INDEX(Setup!$B$27:$B$44,MATCH($E4380,Setup!$A$27:$A$44,0)),"TBD"))</f>
        <v/>
      </c>
      <c r="G4380" s="32"/>
      <c r="H4380" s="32"/>
      <c r="I4380" s="32"/>
      <c r="J4380" s="32"/>
      <c r="K4380" s="35"/>
      <c r="L4380" s="32"/>
      <c r="M4380" s="32"/>
    </row>
    <row r="4381" customFormat="false" ht="15" hidden="false" customHeight="true" outlineLevel="0" collapsed="false">
      <c r="A4381" s="32"/>
      <c r="B4381" s="32"/>
      <c r="C4381" s="32"/>
      <c r="D4381" s="32"/>
      <c r="E4381" s="34" t="str">
        <f aca="false">IF($B4381="","",IF($B4381="OUT","Liters",IFERROR(INDEX(Setup!$F$3:$F$24,MATCH($C4381,Setup!$A$3:$A$24,0)),"")))</f>
        <v/>
      </c>
      <c r="F4381" s="28" t="str">
        <f aca="false">IF(OR($D4381="",$E4381=""),"",IFERROR($D4381*INDEX(Setup!$B$27:$B$44,MATCH($E4381,Setup!$A$27:$A$44,0)),"TBD"))</f>
        <v/>
      </c>
      <c r="G4381" s="32"/>
      <c r="H4381" s="32"/>
      <c r="I4381" s="32"/>
      <c r="J4381" s="32"/>
      <c r="K4381" s="35"/>
      <c r="L4381" s="32"/>
      <c r="M4381" s="32"/>
    </row>
    <row r="4382" customFormat="false" ht="15" hidden="false" customHeight="true" outlineLevel="0" collapsed="false">
      <c r="A4382" s="32"/>
      <c r="B4382" s="32"/>
      <c r="C4382" s="32"/>
      <c r="D4382" s="32"/>
      <c r="E4382" s="34" t="str">
        <f aca="false">IF($B4382="","",IF($B4382="OUT","Liters",IFERROR(INDEX(Setup!$F$3:$F$24,MATCH($C4382,Setup!$A$3:$A$24,0)),"")))</f>
        <v/>
      </c>
      <c r="F4382" s="28" t="str">
        <f aca="false">IF(OR($D4382="",$E4382=""),"",IFERROR($D4382*INDEX(Setup!$B$27:$B$44,MATCH($E4382,Setup!$A$27:$A$44,0)),"TBD"))</f>
        <v/>
      </c>
      <c r="G4382" s="32"/>
      <c r="H4382" s="32"/>
      <c r="I4382" s="32"/>
      <c r="J4382" s="32"/>
      <c r="K4382" s="35"/>
      <c r="L4382" s="32"/>
      <c r="M4382" s="32"/>
    </row>
    <row r="4383" customFormat="false" ht="15" hidden="false" customHeight="true" outlineLevel="0" collapsed="false">
      <c r="A4383" s="32"/>
      <c r="B4383" s="32"/>
      <c r="C4383" s="32"/>
      <c r="D4383" s="32"/>
      <c r="E4383" s="34" t="str">
        <f aca="false">IF($B4383="","",IF($B4383="OUT","Liters",IFERROR(INDEX(Setup!$F$3:$F$24,MATCH($C4383,Setup!$A$3:$A$24,0)),"")))</f>
        <v/>
      </c>
      <c r="F4383" s="28" t="str">
        <f aca="false">IF(OR($D4383="",$E4383=""),"",IFERROR($D4383*INDEX(Setup!$B$27:$B$44,MATCH($E4383,Setup!$A$27:$A$44,0)),"TBD"))</f>
        <v/>
      </c>
      <c r="G4383" s="32"/>
      <c r="H4383" s="32"/>
      <c r="I4383" s="32"/>
      <c r="J4383" s="32"/>
      <c r="K4383" s="35"/>
      <c r="L4383" s="32"/>
      <c r="M4383" s="32"/>
    </row>
    <row r="4384" customFormat="false" ht="15" hidden="false" customHeight="true" outlineLevel="0" collapsed="false">
      <c r="A4384" s="32"/>
      <c r="B4384" s="32"/>
      <c r="C4384" s="32"/>
      <c r="D4384" s="32"/>
      <c r="E4384" s="34" t="str">
        <f aca="false">IF($B4384="","",IF($B4384="OUT","Liters",IFERROR(INDEX(Setup!$F$3:$F$24,MATCH($C4384,Setup!$A$3:$A$24,0)),"")))</f>
        <v/>
      </c>
      <c r="F4384" s="28" t="str">
        <f aca="false">IF(OR($D4384="",$E4384=""),"",IFERROR($D4384*INDEX(Setup!$B$27:$B$44,MATCH($E4384,Setup!$A$27:$A$44,0)),"TBD"))</f>
        <v/>
      </c>
      <c r="G4384" s="32"/>
      <c r="H4384" s="32"/>
      <c r="I4384" s="32"/>
      <c r="J4384" s="32"/>
      <c r="K4384" s="35"/>
      <c r="L4384" s="32"/>
      <c r="M4384" s="32"/>
    </row>
    <row r="4385" customFormat="false" ht="15" hidden="false" customHeight="true" outlineLevel="0" collapsed="false">
      <c r="A4385" s="32"/>
      <c r="B4385" s="32"/>
      <c r="C4385" s="32"/>
      <c r="D4385" s="32"/>
      <c r="E4385" s="34" t="str">
        <f aca="false">IF($B4385="","",IF($B4385="OUT","Liters",IFERROR(INDEX(Setup!$F$3:$F$24,MATCH($C4385,Setup!$A$3:$A$24,0)),"")))</f>
        <v/>
      </c>
      <c r="F4385" s="28" t="str">
        <f aca="false">IF(OR($D4385="",$E4385=""),"",IFERROR($D4385*INDEX(Setup!$B$27:$B$44,MATCH($E4385,Setup!$A$27:$A$44,0)),"TBD"))</f>
        <v/>
      </c>
      <c r="G4385" s="32"/>
      <c r="H4385" s="32"/>
      <c r="I4385" s="32"/>
      <c r="J4385" s="32"/>
      <c r="K4385" s="35"/>
      <c r="L4385" s="32"/>
      <c r="M4385" s="32"/>
    </row>
    <row r="4386" customFormat="false" ht="15" hidden="false" customHeight="true" outlineLevel="0" collapsed="false">
      <c r="A4386" s="32"/>
      <c r="B4386" s="32"/>
      <c r="C4386" s="32"/>
      <c r="D4386" s="32"/>
      <c r="E4386" s="34" t="str">
        <f aca="false">IF($B4386="","",IF($B4386="OUT","Liters",IFERROR(INDEX(Setup!$F$3:$F$24,MATCH($C4386,Setup!$A$3:$A$24,0)),"")))</f>
        <v/>
      </c>
      <c r="F4386" s="28" t="str">
        <f aca="false">IF(OR($D4386="",$E4386=""),"",IFERROR($D4386*INDEX(Setup!$B$27:$B$44,MATCH($E4386,Setup!$A$27:$A$44,0)),"TBD"))</f>
        <v/>
      </c>
      <c r="G4386" s="32"/>
      <c r="H4386" s="32"/>
      <c r="I4386" s="32"/>
      <c r="J4386" s="32"/>
      <c r="K4386" s="35"/>
      <c r="L4386" s="32"/>
      <c r="M4386" s="32"/>
    </row>
    <row r="4387" customFormat="false" ht="15" hidden="false" customHeight="true" outlineLevel="0" collapsed="false">
      <c r="A4387" s="32"/>
      <c r="B4387" s="32"/>
      <c r="C4387" s="32"/>
      <c r="D4387" s="32"/>
      <c r="E4387" s="34" t="str">
        <f aca="false">IF($B4387="","",IF($B4387="OUT","Liters",IFERROR(INDEX(Setup!$F$3:$F$24,MATCH($C4387,Setup!$A$3:$A$24,0)),"")))</f>
        <v/>
      </c>
      <c r="F4387" s="28" t="str">
        <f aca="false">IF(OR($D4387="",$E4387=""),"",IFERROR($D4387*INDEX(Setup!$B$27:$B$44,MATCH($E4387,Setup!$A$27:$A$44,0)),"TBD"))</f>
        <v/>
      </c>
      <c r="G4387" s="32"/>
      <c r="H4387" s="32"/>
      <c r="I4387" s="32"/>
      <c r="J4387" s="32"/>
      <c r="K4387" s="35"/>
      <c r="L4387" s="32"/>
      <c r="M4387" s="32"/>
    </row>
    <row r="4388" customFormat="false" ht="15" hidden="false" customHeight="true" outlineLevel="0" collapsed="false">
      <c r="A4388" s="32"/>
      <c r="B4388" s="32"/>
      <c r="C4388" s="32"/>
      <c r="D4388" s="32"/>
      <c r="E4388" s="34" t="str">
        <f aca="false">IF($B4388="","",IF($B4388="OUT","Liters",IFERROR(INDEX(Setup!$F$3:$F$24,MATCH($C4388,Setup!$A$3:$A$24,0)),"")))</f>
        <v/>
      </c>
      <c r="F4388" s="28" t="str">
        <f aca="false">IF(OR($D4388="",$E4388=""),"",IFERROR($D4388*INDEX(Setup!$B$27:$B$44,MATCH($E4388,Setup!$A$27:$A$44,0)),"TBD"))</f>
        <v/>
      </c>
      <c r="G4388" s="32"/>
      <c r="H4388" s="32"/>
      <c r="I4388" s="32"/>
      <c r="J4388" s="32"/>
      <c r="K4388" s="35"/>
      <c r="L4388" s="32"/>
      <c r="M4388" s="32"/>
    </row>
    <row r="4389" customFormat="false" ht="15" hidden="false" customHeight="true" outlineLevel="0" collapsed="false">
      <c r="A4389" s="32"/>
      <c r="B4389" s="32"/>
      <c r="C4389" s="32"/>
      <c r="D4389" s="32"/>
      <c r="E4389" s="34" t="str">
        <f aca="false">IF($B4389="","",IF($B4389="OUT","Liters",IFERROR(INDEX(Setup!$F$3:$F$24,MATCH($C4389,Setup!$A$3:$A$24,0)),"")))</f>
        <v/>
      </c>
      <c r="F4389" s="28" t="str">
        <f aca="false">IF(OR($D4389="",$E4389=""),"",IFERROR($D4389*INDEX(Setup!$B$27:$B$44,MATCH($E4389,Setup!$A$27:$A$44,0)),"TBD"))</f>
        <v/>
      </c>
      <c r="G4389" s="32"/>
      <c r="H4389" s="32"/>
      <c r="I4389" s="32"/>
      <c r="J4389" s="32"/>
      <c r="K4389" s="35"/>
      <c r="L4389" s="32"/>
      <c r="M4389" s="32"/>
    </row>
    <row r="4390" customFormat="false" ht="15" hidden="false" customHeight="true" outlineLevel="0" collapsed="false">
      <c r="A4390" s="32"/>
      <c r="B4390" s="32"/>
      <c r="C4390" s="32"/>
      <c r="D4390" s="32"/>
      <c r="E4390" s="34" t="str">
        <f aca="false">IF($B4390="","",IF($B4390="OUT","Liters",IFERROR(INDEX(Setup!$F$3:$F$24,MATCH($C4390,Setup!$A$3:$A$24,0)),"")))</f>
        <v/>
      </c>
      <c r="F4390" s="28" t="str">
        <f aca="false">IF(OR($D4390="",$E4390=""),"",IFERROR($D4390*INDEX(Setup!$B$27:$B$44,MATCH($E4390,Setup!$A$27:$A$44,0)),"TBD"))</f>
        <v/>
      </c>
      <c r="G4390" s="32"/>
      <c r="H4390" s="32"/>
      <c r="I4390" s="32"/>
      <c r="J4390" s="32"/>
      <c r="K4390" s="35"/>
      <c r="L4390" s="32"/>
      <c r="M4390" s="32"/>
    </row>
    <row r="4391" customFormat="false" ht="15" hidden="false" customHeight="true" outlineLevel="0" collapsed="false">
      <c r="A4391" s="32"/>
      <c r="B4391" s="32"/>
      <c r="C4391" s="32"/>
      <c r="D4391" s="32"/>
      <c r="E4391" s="34" t="str">
        <f aca="false">IF($B4391="","",IF($B4391="OUT","Liters",IFERROR(INDEX(Setup!$F$3:$F$24,MATCH($C4391,Setup!$A$3:$A$24,0)),"")))</f>
        <v/>
      </c>
      <c r="F4391" s="28" t="str">
        <f aca="false">IF(OR($D4391="",$E4391=""),"",IFERROR($D4391*INDEX(Setup!$B$27:$B$44,MATCH($E4391,Setup!$A$27:$A$44,0)),"TBD"))</f>
        <v/>
      </c>
      <c r="G4391" s="32"/>
      <c r="H4391" s="32"/>
      <c r="I4391" s="32"/>
      <c r="J4391" s="32"/>
      <c r="K4391" s="35"/>
      <c r="L4391" s="32"/>
      <c r="M4391" s="32"/>
    </row>
    <row r="4392" customFormat="false" ht="15" hidden="false" customHeight="true" outlineLevel="0" collapsed="false">
      <c r="A4392" s="32"/>
      <c r="B4392" s="32"/>
      <c r="C4392" s="32"/>
      <c r="D4392" s="32"/>
      <c r="E4392" s="34" t="str">
        <f aca="false">IF($B4392="","",IF($B4392="OUT","Liters",IFERROR(INDEX(Setup!$F$3:$F$24,MATCH($C4392,Setup!$A$3:$A$24,0)),"")))</f>
        <v/>
      </c>
      <c r="F4392" s="28" t="str">
        <f aca="false">IF(OR($D4392="",$E4392=""),"",IFERROR($D4392*INDEX(Setup!$B$27:$B$44,MATCH($E4392,Setup!$A$27:$A$44,0)),"TBD"))</f>
        <v/>
      </c>
      <c r="G4392" s="32"/>
      <c r="H4392" s="32"/>
      <c r="I4392" s="32"/>
      <c r="J4392" s="32"/>
      <c r="K4392" s="35"/>
      <c r="L4392" s="32"/>
      <c r="M4392" s="32"/>
    </row>
    <row r="4393" customFormat="false" ht="15" hidden="false" customHeight="true" outlineLevel="0" collapsed="false">
      <c r="A4393" s="32"/>
      <c r="B4393" s="32"/>
      <c r="C4393" s="32"/>
      <c r="D4393" s="32"/>
      <c r="E4393" s="34" t="str">
        <f aca="false">IF($B4393="","",IF($B4393="OUT","Liters",IFERROR(INDEX(Setup!$F$3:$F$24,MATCH($C4393,Setup!$A$3:$A$24,0)),"")))</f>
        <v/>
      </c>
      <c r="F4393" s="28" t="str">
        <f aca="false">IF(OR($D4393="",$E4393=""),"",IFERROR($D4393*INDEX(Setup!$B$27:$B$44,MATCH($E4393,Setup!$A$27:$A$44,0)),"TBD"))</f>
        <v/>
      </c>
      <c r="G4393" s="32"/>
      <c r="H4393" s="32"/>
      <c r="I4393" s="32"/>
      <c r="J4393" s="32"/>
      <c r="K4393" s="35"/>
      <c r="L4393" s="32"/>
      <c r="M4393" s="32"/>
    </row>
    <row r="4394" customFormat="false" ht="15" hidden="false" customHeight="true" outlineLevel="0" collapsed="false">
      <c r="A4394" s="32"/>
      <c r="B4394" s="32"/>
      <c r="C4394" s="32"/>
      <c r="D4394" s="32"/>
      <c r="E4394" s="34" t="str">
        <f aca="false">IF($B4394="","",IF($B4394="OUT","Liters",IFERROR(INDEX(Setup!$F$3:$F$24,MATCH($C4394,Setup!$A$3:$A$24,0)),"")))</f>
        <v/>
      </c>
      <c r="F4394" s="28" t="str">
        <f aca="false">IF(OR($D4394="",$E4394=""),"",IFERROR($D4394*INDEX(Setup!$B$27:$B$44,MATCH($E4394,Setup!$A$27:$A$44,0)),"TBD"))</f>
        <v/>
      </c>
      <c r="G4394" s="32"/>
      <c r="H4394" s="32"/>
      <c r="I4394" s="32"/>
      <c r="J4394" s="32"/>
      <c r="K4394" s="35"/>
      <c r="L4394" s="32"/>
      <c r="M4394" s="32"/>
    </row>
    <row r="4395" customFormat="false" ht="15" hidden="false" customHeight="true" outlineLevel="0" collapsed="false">
      <c r="A4395" s="32"/>
      <c r="B4395" s="32"/>
      <c r="C4395" s="32"/>
      <c r="D4395" s="32"/>
      <c r="E4395" s="34" t="str">
        <f aca="false">IF($B4395="","",IF($B4395="OUT","Liters",IFERROR(INDEX(Setup!$F$3:$F$24,MATCH($C4395,Setup!$A$3:$A$24,0)),"")))</f>
        <v/>
      </c>
      <c r="F4395" s="28" t="str">
        <f aca="false">IF(OR($D4395="",$E4395=""),"",IFERROR($D4395*INDEX(Setup!$B$27:$B$44,MATCH($E4395,Setup!$A$27:$A$44,0)),"TBD"))</f>
        <v/>
      </c>
      <c r="G4395" s="32"/>
      <c r="H4395" s="32"/>
      <c r="I4395" s="32"/>
      <c r="J4395" s="32"/>
      <c r="K4395" s="35"/>
      <c r="L4395" s="32"/>
      <c r="M4395" s="32"/>
    </row>
    <row r="4396" customFormat="false" ht="15" hidden="false" customHeight="true" outlineLevel="0" collapsed="false">
      <c r="A4396" s="32"/>
      <c r="B4396" s="32"/>
      <c r="C4396" s="32"/>
      <c r="D4396" s="32"/>
      <c r="E4396" s="34" t="str">
        <f aca="false">IF($B4396="","",IF($B4396="OUT","Liters",IFERROR(INDEX(Setup!$F$3:$F$24,MATCH($C4396,Setup!$A$3:$A$24,0)),"")))</f>
        <v/>
      </c>
      <c r="F4396" s="28" t="str">
        <f aca="false">IF(OR($D4396="",$E4396=""),"",IFERROR($D4396*INDEX(Setup!$B$27:$B$44,MATCH($E4396,Setup!$A$27:$A$44,0)),"TBD"))</f>
        <v/>
      </c>
      <c r="G4396" s="32"/>
      <c r="H4396" s="32"/>
      <c r="I4396" s="32"/>
      <c r="J4396" s="32"/>
      <c r="K4396" s="35"/>
      <c r="L4396" s="32"/>
      <c r="M4396" s="32"/>
    </row>
    <row r="4397" customFormat="false" ht="15" hidden="false" customHeight="true" outlineLevel="0" collapsed="false">
      <c r="A4397" s="32"/>
      <c r="B4397" s="32"/>
      <c r="C4397" s="32"/>
      <c r="D4397" s="32"/>
      <c r="E4397" s="34" t="str">
        <f aca="false">IF($B4397="","",IF($B4397="OUT","Liters",IFERROR(INDEX(Setup!$F$3:$F$24,MATCH($C4397,Setup!$A$3:$A$24,0)),"")))</f>
        <v/>
      </c>
      <c r="F4397" s="28" t="str">
        <f aca="false">IF(OR($D4397="",$E4397=""),"",IFERROR($D4397*INDEX(Setup!$B$27:$B$44,MATCH($E4397,Setup!$A$27:$A$44,0)),"TBD"))</f>
        <v/>
      </c>
      <c r="G4397" s="32"/>
      <c r="H4397" s="32"/>
      <c r="I4397" s="32"/>
      <c r="J4397" s="32"/>
      <c r="K4397" s="35"/>
      <c r="L4397" s="32"/>
      <c r="M4397" s="32"/>
    </row>
    <row r="4398" customFormat="false" ht="15" hidden="false" customHeight="true" outlineLevel="0" collapsed="false">
      <c r="A4398" s="32"/>
      <c r="B4398" s="32"/>
      <c r="C4398" s="32"/>
      <c r="D4398" s="32"/>
      <c r="E4398" s="34" t="str">
        <f aca="false">IF($B4398="","",IF($B4398="OUT","Liters",IFERROR(INDEX(Setup!$F$3:$F$24,MATCH($C4398,Setup!$A$3:$A$24,0)),"")))</f>
        <v/>
      </c>
      <c r="F4398" s="28" t="str">
        <f aca="false">IF(OR($D4398="",$E4398=""),"",IFERROR($D4398*INDEX(Setup!$B$27:$B$44,MATCH($E4398,Setup!$A$27:$A$44,0)),"TBD"))</f>
        <v/>
      </c>
      <c r="G4398" s="32"/>
      <c r="H4398" s="32"/>
      <c r="I4398" s="32"/>
      <c r="J4398" s="32"/>
      <c r="K4398" s="35"/>
      <c r="L4398" s="32"/>
      <c r="M4398" s="32"/>
    </row>
    <row r="4399" customFormat="false" ht="15" hidden="false" customHeight="true" outlineLevel="0" collapsed="false">
      <c r="A4399" s="32"/>
      <c r="B4399" s="32"/>
      <c r="C4399" s="32"/>
      <c r="D4399" s="32"/>
      <c r="E4399" s="34" t="str">
        <f aca="false">IF($B4399="","",IF($B4399="OUT","Liters",IFERROR(INDEX(Setup!$F$3:$F$24,MATCH($C4399,Setup!$A$3:$A$24,0)),"")))</f>
        <v/>
      </c>
      <c r="F4399" s="28" t="str">
        <f aca="false">IF(OR($D4399="",$E4399=""),"",IFERROR($D4399*INDEX(Setup!$B$27:$B$44,MATCH($E4399,Setup!$A$27:$A$44,0)),"TBD"))</f>
        <v/>
      </c>
      <c r="G4399" s="32"/>
      <c r="H4399" s="32"/>
      <c r="I4399" s="32"/>
      <c r="J4399" s="32"/>
      <c r="K4399" s="35"/>
      <c r="L4399" s="32"/>
      <c r="M4399" s="32"/>
    </row>
    <row r="4400" customFormat="false" ht="15" hidden="false" customHeight="true" outlineLevel="0" collapsed="false">
      <c r="A4400" s="32"/>
      <c r="B4400" s="32"/>
      <c r="C4400" s="32"/>
      <c r="D4400" s="32"/>
      <c r="E4400" s="34" t="str">
        <f aca="false">IF($B4400="","",IF($B4400="OUT","Liters",IFERROR(INDEX(Setup!$F$3:$F$24,MATCH($C4400,Setup!$A$3:$A$24,0)),"")))</f>
        <v/>
      </c>
      <c r="F4400" s="28" t="str">
        <f aca="false">IF(OR($D4400="",$E4400=""),"",IFERROR($D4400*INDEX(Setup!$B$27:$B$44,MATCH($E4400,Setup!$A$27:$A$44,0)),"TBD"))</f>
        <v/>
      </c>
      <c r="G4400" s="32"/>
      <c r="H4400" s="32"/>
      <c r="I4400" s="32"/>
      <c r="J4400" s="32"/>
      <c r="K4400" s="35"/>
      <c r="L4400" s="32"/>
      <c r="M4400" s="32"/>
    </row>
    <row r="4401" customFormat="false" ht="15" hidden="false" customHeight="true" outlineLevel="0" collapsed="false">
      <c r="A4401" s="32"/>
      <c r="B4401" s="32"/>
      <c r="C4401" s="32"/>
      <c r="D4401" s="32"/>
      <c r="E4401" s="34" t="str">
        <f aca="false">IF($B4401="","",IF($B4401="OUT","Liters",IFERROR(INDEX(Setup!$F$3:$F$24,MATCH($C4401,Setup!$A$3:$A$24,0)),"")))</f>
        <v/>
      </c>
      <c r="F4401" s="28" t="str">
        <f aca="false">IF(OR($D4401="",$E4401=""),"",IFERROR($D4401*INDEX(Setup!$B$27:$B$44,MATCH($E4401,Setup!$A$27:$A$44,0)),"TBD"))</f>
        <v/>
      </c>
      <c r="G4401" s="32"/>
      <c r="H4401" s="32"/>
      <c r="I4401" s="32"/>
      <c r="J4401" s="32"/>
      <c r="K4401" s="35"/>
      <c r="L4401" s="32"/>
      <c r="M4401" s="32"/>
    </row>
    <row r="4402" customFormat="false" ht="15" hidden="false" customHeight="true" outlineLevel="0" collapsed="false">
      <c r="A4402" s="32"/>
      <c r="B4402" s="32"/>
      <c r="C4402" s="32"/>
      <c r="D4402" s="32"/>
      <c r="E4402" s="34" t="str">
        <f aca="false">IF($B4402="","",IF($B4402="OUT","Liters",IFERROR(INDEX(Setup!$F$3:$F$24,MATCH($C4402,Setup!$A$3:$A$24,0)),"")))</f>
        <v/>
      </c>
      <c r="F4402" s="28" t="str">
        <f aca="false">IF(OR($D4402="",$E4402=""),"",IFERROR($D4402*INDEX(Setup!$B$27:$B$44,MATCH($E4402,Setup!$A$27:$A$44,0)),"TBD"))</f>
        <v/>
      </c>
      <c r="G4402" s="32"/>
      <c r="H4402" s="32"/>
      <c r="I4402" s="32"/>
      <c r="J4402" s="32"/>
      <c r="K4402" s="35"/>
      <c r="L4402" s="32"/>
      <c r="M4402" s="32"/>
    </row>
    <row r="4403" customFormat="false" ht="15" hidden="false" customHeight="true" outlineLevel="0" collapsed="false">
      <c r="A4403" s="32"/>
      <c r="B4403" s="32"/>
      <c r="C4403" s="32"/>
      <c r="D4403" s="32"/>
      <c r="E4403" s="34" t="str">
        <f aca="false">IF($B4403="","",IF($B4403="OUT","Liters",IFERROR(INDEX(Setup!$F$3:$F$24,MATCH($C4403,Setup!$A$3:$A$24,0)),"")))</f>
        <v/>
      </c>
      <c r="F4403" s="28" t="str">
        <f aca="false">IF(OR($D4403="",$E4403=""),"",IFERROR($D4403*INDEX(Setup!$B$27:$B$44,MATCH($E4403,Setup!$A$27:$A$44,0)),"TBD"))</f>
        <v/>
      </c>
      <c r="G4403" s="32"/>
      <c r="H4403" s="32"/>
      <c r="I4403" s="32"/>
      <c r="J4403" s="32"/>
      <c r="K4403" s="35"/>
      <c r="L4403" s="32"/>
      <c r="M4403" s="32"/>
    </row>
    <row r="4404" customFormat="false" ht="15" hidden="false" customHeight="true" outlineLevel="0" collapsed="false">
      <c r="A4404" s="32"/>
      <c r="B4404" s="32"/>
      <c r="C4404" s="32"/>
      <c r="D4404" s="32"/>
      <c r="E4404" s="34" t="str">
        <f aca="false">IF($B4404="","",IF($B4404="OUT","Liters",IFERROR(INDEX(Setup!$F$3:$F$24,MATCH($C4404,Setup!$A$3:$A$24,0)),"")))</f>
        <v/>
      </c>
      <c r="F4404" s="28" t="str">
        <f aca="false">IF(OR($D4404="",$E4404=""),"",IFERROR($D4404*INDEX(Setup!$B$27:$B$44,MATCH($E4404,Setup!$A$27:$A$44,0)),"TBD"))</f>
        <v/>
      </c>
      <c r="G4404" s="32"/>
      <c r="H4404" s="32"/>
      <c r="I4404" s="32"/>
      <c r="J4404" s="32"/>
      <c r="K4404" s="35"/>
      <c r="L4404" s="32"/>
      <c r="M4404" s="32"/>
    </row>
    <row r="4405" customFormat="false" ht="15" hidden="false" customHeight="true" outlineLevel="0" collapsed="false">
      <c r="A4405" s="32"/>
      <c r="B4405" s="32"/>
      <c r="C4405" s="32"/>
      <c r="D4405" s="32"/>
      <c r="E4405" s="34" t="str">
        <f aca="false">IF($B4405="","",IF($B4405="OUT","Liters",IFERROR(INDEX(Setup!$F$3:$F$24,MATCH($C4405,Setup!$A$3:$A$24,0)),"")))</f>
        <v/>
      </c>
      <c r="F4405" s="28" t="str">
        <f aca="false">IF(OR($D4405="",$E4405=""),"",IFERROR($D4405*INDEX(Setup!$B$27:$B$44,MATCH($E4405,Setup!$A$27:$A$44,0)),"TBD"))</f>
        <v/>
      </c>
      <c r="G4405" s="32"/>
      <c r="H4405" s="32"/>
      <c r="I4405" s="32"/>
      <c r="J4405" s="32"/>
      <c r="K4405" s="35"/>
      <c r="L4405" s="32"/>
      <c r="M4405" s="32"/>
    </row>
    <row r="4406" customFormat="false" ht="15" hidden="false" customHeight="true" outlineLevel="0" collapsed="false">
      <c r="A4406" s="32"/>
      <c r="B4406" s="32"/>
      <c r="C4406" s="32"/>
      <c r="D4406" s="32"/>
      <c r="E4406" s="34" t="str">
        <f aca="false">IF($B4406="","",IF($B4406="OUT","Liters",IFERROR(INDEX(Setup!$F$3:$F$24,MATCH($C4406,Setup!$A$3:$A$24,0)),"")))</f>
        <v/>
      </c>
      <c r="F4406" s="28" t="str">
        <f aca="false">IF(OR($D4406="",$E4406=""),"",IFERROR($D4406*INDEX(Setup!$B$27:$B$44,MATCH($E4406,Setup!$A$27:$A$44,0)),"TBD"))</f>
        <v/>
      </c>
      <c r="G4406" s="32"/>
      <c r="H4406" s="32"/>
      <c r="I4406" s="32"/>
      <c r="J4406" s="32"/>
      <c r="K4406" s="35"/>
      <c r="L4406" s="32"/>
      <c r="M4406" s="32"/>
    </row>
    <row r="4407" customFormat="false" ht="15" hidden="false" customHeight="true" outlineLevel="0" collapsed="false">
      <c r="A4407" s="32"/>
      <c r="B4407" s="32"/>
      <c r="C4407" s="32"/>
      <c r="D4407" s="32"/>
      <c r="E4407" s="34" t="str">
        <f aca="false">IF($B4407="","",IF($B4407="OUT","Liters",IFERROR(INDEX(Setup!$F$3:$F$24,MATCH($C4407,Setup!$A$3:$A$24,0)),"")))</f>
        <v/>
      </c>
      <c r="F4407" s="28" t="str">
        <f aca="false">IF(OR($D4407="",$E4407=""),"",IFERROR($D4407*INDEX(Setup!$B$27:$B$44,MATCH($E4407,Setup!$A$27:$A$44,0)),"TBD"))</f>
        <v/>
      </c>
      <c r="G4407" s="32"/>
      <c r="H4407" s="32"/>
      <c r="I4407" s="32"/>
      <c r="J4407" s="32"/>
      <c r="K4407" s="35"/>
      <c r="L4407" s="32"/>
      <c r="M4407" s="32"/>
    </row>
    <row r="4408" customFormat="false" ht="15" hidden="false" customHeight="true" outlineLevel="0" collapsed="false">
      <c r="A4408" s="32"/>
      <c r="B4408" s="32"/>
      <c r="C4408" s="32"/>
      <c r="D4408" s="32"/>
      <c r="E4408" s="34" t="str">
        <f aca="false">IF($B4408="","",IF($B4408="OUT","Liters",IFERROR(INDEX(Setup!$F$3:$F$24,MATCH($C4408,Setup!$A$3:$A$24,0)),"")))</f>
        <v/>
      </c>
      <c r="F4408" s="28" t="str">
        <f aca="false">IF(OR($D4408="",$E4408=""),"",IFERROR($D4408*INDEX(Setup!$B$27:$B$44,MATCH($E4408,Setup!$A$27:$A$44,0)),"TBD"))</f>
        <v/>
      </c>
      <c r="G4408" s="32"/>
      <c r="H4408" s="32"/>
      <c r="I4408" s="32"/>
      <c r="J4408" s="32"/>
      <c r="K4408" s="35"/>
      <c r="L4408" s="32"/>
      <c r="M4408" s="32"/>
    </row>
    <row r="4409" customFormat="false" ht="15" hidden="false" customHeight="true" outlineLevel="0" collapsed="false">
      <c r="A4409" s="32"/>
      <c r="B4409" s="32"/>
      <c r="C4409" s="32"/>
      <c r="D4409" s="32"/>
      <c r="E4409" s="34" t="str">
        <f aca="false">IF($B4409="","",IF($B4409="OUT","Liters",IFERROR(INDEX(Setup!$F$3:$F$24,MATCH($C4409,Setup!$A$3:$A$24,0)),"")))</f>
        <v/>
      </c>
      <c r="F4409" s="28" t="str">
        <f aca="false">IF(OR($D4409="",$E4409=""),"",IFERROR($D4409*INDEX(Setup!$B$27:$B$44,MATCH($E4409,Setup!$A$27:$A$44,0)),"TBD"))</f>
        <v/>
      </c>
      <c r="G4409" s="32"/>
      <c r="H4409" s="32"/>
      <c r="I4409" s="32"/>
      <c r="J4409" s="32"/>
      <c r="K4409" s="35"/>
      <c r="L4409" s="32"/>
      <c r="M4409" s="32"/>
    </row>
    <row r="4410" customFormat="false" ht="15" hidden="false" customHeight="true" outlineLevel="0" collapsed="false">
      <c r="A4410" s="32"/>
      <c r="B4410" s="32"/>
      <c r="C4410" s="32"/>
      <c r="D4410" s="32"/>
      <c r="E4410" s="34" t="str">
        <f aca="false">IF($B4410="","",IF($B4410="OUT","Liters",IFERROR(INDEX(Setup!$F$3:$F$24,MATCH($C4410,Setup!$A$3:$A$24,0)),"")))</f>
        <v/>
      </c>
      <c r="F4410" s="28" t="str">
        <f aca="false">IF(OR($D4410="",$E4410=""),"",IFERROR($D4410*INDEX(Setup!$B$27:$B$44,MATCH($E4410,Setup!$A$27:$A$44,0)),"TBD"))</f>
        <v/>
      </c>
      <c r="G4410" s="32"/>
      <c r="H4410" s="32"/>
      <c r="I4410" s="32"/>
      <c r="J4410" s="32"/>
      <c r="K4410" s="35"/>
      <c r="L4410" s="32"/>
      <c r="M4410" s="32"/>
    </row>
    <row r="4411" customFormat="false" ht="15" hidden="false" customHeight="true" outlineLevel="0" collapsed="false">
      <c r="A4411" s="32"/>
      <c r="B4411" s="32"/>
      <c r="C4411" s="32"/>
      <c r="D4411" s="32"/>
      <c r="E4411" s="34" t="str">
        <f aca="false">IF($B4411="","",IF($B4411="OUT","Liters",IFERROR(INDEX(Setup!$F$3:$F$24,MATCH($C4411,Setup!$A$3:$A$24,0)),"")))</f>
        <v/>
      </c>
      <c r="F4411" s="28" t="str">
        <f aca="false">IF(OR($D4411="",$E4411=""),"",IFERROR($D4411*INDEX(Setup!$B$27:$B$44,MATCH($E4411,Setup!$A$27:$A$44,0)),"TBD"))</f>
        <v/>
      </c>
      <c r="G4411" s="32"/>
      <c r="H4411" s="32"/>
      <c r="I4411" s="32"/>
      <c r="J4411" s="32"/>
      <c r="K4411" s="35"/>
      <c r="L4411" s="32"/>
      <c r="M4411" s="32"/>
    </row>
    <row r="4412" customFormat="false" ht="15" hidden="false" customHeight="true" outlineLevel="0" collapsed="false">
      <c r="A4412" s="32"/>
      <c r="B4412" s="32"/>
      <c r="C4412" s="32"/>
      <c r="D4412" s="32"/>
      <c r="E4412" s="34" t="str">
        <f aca="false">IF($B4412="","",IF($B4412="OUT","Liters",IFERROR(INDEX(Setup!$F$3:$F$24,MATCH($C4412,Setup!$A$3:$A$24,0)),"")))</f>
        <v/>
      </c>
      <c r="F4412" s="28" t="str">
        <f aca="false">IF(OR($D4412="",$E4412=""),"",IFERROR($D4412*INDEX(Setup!$B$27:$B$44,MATCH($E4412,Setup!$A$27:$A$44,0)),"TBD"))</f>
        <v/>
      </c>
      <c r="G4412" s="32"/>
      <c r="H4412" s="32"/>
      <c r="I4412" s="32"/>
      <c r="J4412" s="32"/>
      <c r="K4412" s="35"/>
      <c r="L4412" s="32"/>
      <c r="M4412" s="32"/>
    </row>
    <row r="4413" customFormat="false" ht="15" hidden="false" customHeight="true" outlineLevel="0" collapsed="false">
      <c r="A4413" s="32"/>
      <c r="B4413" s="32"/>
      <c r="C4413" s="32"/>
      <c r="D4413" s="32"/>
      <c r="E4413" s="34" t="str">
        <f aca="false">IF($B4413="","",IF($B4413="OUT","Liters",IFERROR(INDEX(Setup!$F$3:$F$24,MATCH($C4413,Setup!$A$3:$A$24,0)),"")))</f>
        <v/>
      </c>
      <c r="F4413" s="28" t="str">
        <f aca="false">IF(OR($D4413="",$E4413=""),"",IFERROR($D4413*INDEX(Setup!$B$27:$B$44,MATCH($E4413,Setup!$A$27:$A$44,0)),"TBD"))</f>
        <v/>
      </c>
      <c r="G4413" s="32"/>
      <c r="H4413" s="32"/>
      <c r="I4413" s="32"/>
      <c r="J4413" s="32"/>
      <c r="K4413" s="35"/>
      <c r="L4413" s="32"/>
      <c r="M4413" s="32"/>
    </row>
    <row r="4414" customFormat="false" ht="15" hidden="false" customHeight="true" outlineLevel="0" collapsed="false">
      <c r="A4414" s="32"/>
      <c r="B4414" s="32"/>
      <c r="C4414" s="32"/>
      <c r="D4414" s="32"/>
      <c r="E4414" s="34" t="str">
        <f aca="false">IF($B4414="","",IF($B4414="OUT","Liters",IFERROR(INDEX(Setup!$F$3:$F$24,MATCH($C4414,Setup!$A$3:$A$24,0)),"")))</f>
        <v/>
      </c>
      <c r="F4414" s="28" t="str">
        <f aca="false">IF(OR($D4414="",$E4414=""),"",IFERROR($D4414*INDEX(Setup!$B$27:$B$44,MATCH($E4414,Setup!$A$27:$A$44,0)),"TBD"))</f>
        <v/>
      </c>
      <c r="G4414" s="32"/>
      <c r="H4414" s="32"/>
      <c r="I4414" s="32"/>
      <c r="J4414" s="32"/>
      <c r="K4414" s="35"/>
      <c r="L4414" s="32"/>
      <c r="M4414" s="32"/>
    </row>
    <row r="4415" customFormat="false" ht="15" hidden="false" customHeight="true" outlineLevel="0" collapsed="false">
      <c r="A4415" s="32"/>
      <c r="B4415" s="32"/>
      <c r="C4415" s="32"/>
      <c r="D4415" s="32"/>
      <c r="E4415" s="34" t="str">
        <f aca="false">IF($B4415="","",IF($B4415="OUT","Liters",IFERROR(INDEX(Setup!$F$3:$F$24,MATCH($C4415,Setup!$A$3:$A$24,0)),"")))</f>
        <v/>
      </c>
      <c r="F4415" s="28" t="str">
        <f aca="false">IF(OR($D4415="",$E4415=""),"",IFERROR($D4415*INDEX(Setup!$B$27:$B$44,MATCH($E4415,Setup!$A$27:$A$44,0)),"TBD"))</f>
        <v/>
      </c>
      <c r="G4415" s="32"/>
      <c r="H4415" s="32"/>
      <c r="I4415" s="32"/>
      <c r="J4415" s="32"/>
      <c r="K4415" s="35"/>
      <c r="L4415" s="32"/>
      <c r="M4415" s="32"/>
    </row>
    <row r="4416" customFormat="false" ht="15" hidden="false" customHeight="true" outlineLevel="0" collapsed="false">
      <c r="A4416" s="32"/>
      <c r="B4416" s="32"/>
      <c r="C4416" s="32"/>
      <c r="D4416" s="32"/>
      <c r="E4416" s="34" t="str">
        <f aca="false">IF($B4416="","",IF($B4416="OUT","Liters",IFERROR(INDEX(Setup!$F$3:$F$24,MATCH($C4416,Setup!$A$3:$A$24,0)),"")))</f>
        <v/>
      </c>
      <c r="F4416" s="28" t="str">
        <f aca="false">IF(OR($D4416="",$E4416=""),"",IFERROR($D4416*INDEX(Setup!$B$27:$B$44,MATCH($E4416,Setup!$A$27:$A$44,0)),"TBD"))</f>
        <v/>
      </c>
      <c r="G4416" s="32"/>
      <c r="H4416" s="32"/>
      <c r="I4416" s="32"/>
      <c r="J4416" s="32"/>
      <c r="K4416" s="35"/>
      <c r="L4416" s="32"/>
      <c r="M4416" s="32"/>
    </row>
    <row r="4417" customFormat="false" ht="15" hidden="false" customHeight="true" outlineLevel="0" collapsed="false">
      <c r="A4417" s="32"/>
      <c r="B4417" s="32"/>
      <c r="C4417" s="32"/>
      <c r="D4417" s="32"/>
      <c r="E4417" s="34" t="str">
        <f aca="false">IF($B4417="","",IF($B4417="OUT","Liters",IFERROR(INDEX(Setup!$F$3:$F$24,MATCH($C4417,Setup!$A$3:$A$24,0)),"")))</f>
        <v/>
      </c>
      <c r="F4417" s="28" t="str">
        <f aca="false">IF(OR($D4417="",$E4417=""),"",IFERROR($D4417*INDEX(Setup!$B$27:$B$44,MATCH($E4417,Setup!$A$27:$A$44,0)),"TBD"))</f>
        <v/>
      </c>
      <c r="G4417" s="32"/>
      <c r="H4417" s="32"/>
      <c r="I4417" s="32"/>
      <c r="J4417" s="32"/>
      <c r="K4417" s="35"/>
      <c r="L4417" s="32"/>
      <c r="M4417" s="32"/>
    </row>
    <row r="4418" customFormat="false" ht="15" hidden="false" customHeight="true" outlineLevel="0" collapsed="false">
      <c r="A4418" s="32"/>
      <c r="B4418" s="32"/>
      <c r="C4418" s="32"/>
      <c r="D4418" s="32"/>
      <c r="E4418" s="34" t="str">
        <f aca="false">IF($B4418="","",IF($B4418="OUT","Liters",IFERROR(INDEX(Setup!$F$3:$F$24,MATCH($C4418,Setup!$A$3:$A$24,0)),"")))</f>
        <v/>
      </c>
      <c r="F4418" s="28" t="str">
        <f aca="false">IF(OR($D4418="",$E4418=""),"",IFERROR($D4418*INDEX(Setup!$B$27:$B$44,MATCH($E4418,Setup!$A$27:$A$44,0)),"TBD"))</f>
        <v/>
      </c>
      <c r="G4418" s="32"/>
      <c r="H4418" s="32"/>
      <c r="I4418" s="32"/>
      <c r="J4418" s="32"/>
      <c r="K4418" s="35"/>
      <c r="L4418" s="32"/>
      <c r="M4418" s="32"/>
    </row>
    <row r="4419" customFormat="false" ht="15" hidden="false" customHeight="true" outlineLevel="0" collapsed="false">
      <c r="A4419" s="32"/>
      <c r="B4419" s="32"/>
      <c r="C4419" s="32"/>
      <c r="D4419" s="32"/>
      <c r="E4419" s="34" t="str">
        <f aca="false">IF($B4419="","",IF($B4419="OUT","Liters",IFERROR(INDEX(Setup!$F$3:$F$24,MATCH($C4419,Setup!$A$3:$A$24,0)),"")))</f>
        <v/>
      </c>
      <c r="F4419" s="28" t="str">
        <f aca="false">IF(OR($D4419="",$E4419=""),"",IFERROR($D4419*INDEX(Setup!$B$27:$B$44,MATCH($E4419,Setup!$A$27:$A$44,0)),"TBD"))</f>
        <v/>
      </c>
      <c r="G4419" s="32"/>
      <c r="H4419" s="32"/>
      <c r="I4419" s="32"/>
      <c r="J4419" s="32"/>
      <c r="K4419" s="35"/>
      <c r="L4419" s="32"/>
      <c r="M4419" s="32"/>
    </row>
    <row r="4420" customFormat="false" ht="15" hidden="false" customHeight="true" outlineLevel="0" collapsed="false">
      <c r="A4420" s="32"/>
      <c r="B4420" s="32"/>
      <c r="C4420" s="32"/>
      <c r="D4420" s="32"/>
      <c r="E4420" s="34" t="str">
        <f aca="false">IF($B4420="","",IF($B4420="OUT","Liters",IFERROR(INDEX(Setup!$F$3:$F$24,MATCH($C4420,Setup!$A$3:$A$24,0)),"")))</f>
        <v/>
      </c>
      <c r="F4420" s="28" t="str">
        <f aca="false">IF(OR($D4420="",$E4420=""),"",IFERROR($D4420*INDEX(Setup!$B$27:$B$44,MATCH($E4420,Setup!$A$27:$A$44,0)),"TBD"))</f>
        <v/>
      </c>
      <c r="G4420" s="32"/>
      <c r="H4420" s="32"/>
      <c r="I4420" s="32"/>
      <c r="J4420" s="32"/>
      <c r="K4420" s="35"/>
      <c r="L4420" s="32"/>
      <c r="M4420" s="32"/>
    </row>
    <row r="4421" customFormat="false" ht="15" hidden="false" customHeight="true" outlineLevel="0" collapsed="false">
      <c r="A4421" s="32"/>
      <c r="B4421" s="32"/>
      <c r="C4421" s="32"/>
      <c r="D4421" s="32"/>
      <c r="E4421" s="34" t="str">
        <f aca="false">IF($B4421="","",IF($B4421="OUT","Liters",IFERROR(INDEX(Setup!$F$3:$F$24,MATCH($C4421,Setup!$A$3:$A$24,0)),"")))</f>
        <v/>
      </c>
      <c r="F4421" s="28" t="str">
        <f aca="false">IF(OR($D4421="",$E4421=""),"",IFERROR($D4421*INDEX(Setup!$B$27:$B$44,MATCH($E4421,Setup!$A$27:$A$44,0)),"TBD"))</f>
        <v/>
      </c>
      <c r="G4421" s="32"/>
      <c r="H4421" s="32"/>
      <c r="I4421" s="32"/>
      <c r="J4421" s="32"/>
      <c r="K4421" s="35"/>
      <c r="L4421" s="32"/>
      <c r="M4421" s="32"/>
    </row>
    <row r="4422" customFormat="false" ht="15" hidden="false" customHeight="true" outlineLevel="0" collapsed="false">
      <c r="A4422" s="32"/>
      <c r="B4422" s="32"/>
      <c r="C4422" s="32"/>
      <c r="D4422" s="32"/>
      <c r="E4422" s="34" t="str">
        <f aca="false">IF($B4422="","",IF($B4422="OUT","Liters",IFERROR(INDEX(Setup!$F$3:$F$24,MATCH($C4422,Setup!$A$3:$A$24,0)),"")))</f>
        <v/>
      </c>
      <c r="F4422" s="28" t="str">
        <f aca="false">IF(OR($D4422="",$E4422=""),"",IFERROR($D4422*INDEX(Setup!$B$27:$B$44,MATCH($E4422,Setup!$A$27:$A$44,0)),"TBD"))</f>
        <v/>
      </c>
      <c r="G4422" s="32"/>
      <c r="H4422" s="32"/>
      <c r="I4422" s="32"/>
      <c r="J4422" s="32"/>
      <c r="K4422" s="35"/>
      <c r="L4422" s="32"/>
      <c r="M4422" s="32"/>
    </row>
    <row r="4423" customFormat="false" ht="15" hidden="false" customHeight="true" outlineLevel="0" collapsed="false">
      <c r="A4423" s="32"/>
      <c r="B4423" s="32"/>
      <c r="C4423" s="32"/>
      <c r="D4423" s="32"/>
      <c r="E4423" s="34" t="str">
        <f aca="false">IF($B4423="","",IF($B4423="OUT","Liters",IFERROR(INDEX(Setup!$F$3:$F$24,MATCH($C4423,Setup!$A$3:$A$24,0)),"")))</f>
        <v/>
      </c>
      <c r="F4423" s="28" t="str">
        <f aca="false">IF(OR($D4423="",$E4423=""),"",IFERROR($D4423*INDEX(Setup!$B$27:$B$44,MATCH($E4423,Setup!$A$27:$A$44,0)),"TBD"))</f>
        <v/>
      </c>
      <c r="G4423" s="32"/>
      <c r="H4423" s="32"/>
      <c r="I4423" s="32"/>
      <c r="J4423" s="32"/>
      <c r="K4423" s="35"/>
      <c r="L4423" s="32"/>
      <c r="M4423" s="32"/>
    </row>
    <row r="4424" customFormat="false" ht="15" hidden="false" customHeight="true" outlineLevel="0" collapsed="false">
      <c r="A4424" s="32"/>
      <c r="B4424" s="32"/>
      <c r="C4424" s="32"/>
      <c r="D4424" s="32"/>
      <c r="E4424" s="34" t="str">
        <f aca="false">IF($B4424="","",IF($B4424="OUT","Liters",IFERROR(INDEX(Setup!$F$3:$F$24,MATCH($C4424,Setup!$A$3:$A$24,0)),"")))</f>
        <v/>
      </c>
      <c r="F4424" s="28" t="str">
        <f aca="false">IF(OR($D4424="",$E4424=""),"",IFERROR($D4424*INDEX(Setup!$B$27:$B$44,MATCH($E4424,Setup!$A$27:$A$44,0)),"TBD"))</f>
        <v/>
      </c>
      <c r="G4424" s="32"/>
      <c r="H4424" s="32"/>
      <c r="I4424" s="32"/>
      <c r="J4424" s="32"/>
      <c r="K4424" s="35"/>
      <c r="L4424" s="32"/>
      <c r="M4424" s="32"/>
    </row>
    <row r="4425" customFormat="false" ht="15" hidden="false" customHeight="true" outlineLevel="0" collapsed="false">
      <c r="A4425" s="32"/>
      <c r="B4425" s="32"/>
      <c r="C4425" s="32"/>
      <c r="D4425" s="32"/>
      <c r="E4425" s="34" t="str">
        <f aca="false">IF($B4425="","",IF($B4425="OUT","Liters",IFERROR(INDEX(Setup!$F$3:$F$24,MATCH($C4425,Setup!$A$3:$A$24,0)),"")))</f>
        <v/>
      </c>
      <c r="F4425" s="28" t="str">
        <f aca="false">IF(OR($D4425="",$E4425=""),"",IFERROR($D4425*INDEX(Setup!$B$27:$B$44,MATCH($E4425,Setup!$A$27:$A$44,0)),"TBD"))</f>
        <v/>
      </c>
      <c r="G4425" s="32"/>
      <c r="H4425" s="32"/>
      <c r="I4425" s="32"/>
      <c r="J4425" s="32"/>
      <c r="K4425" s="35"/>
      <c r="L4425" s="32"/>
      <c r="M4425" s="32"/>
    </row>
    <row r="4426" customFormat="false" ht="15" hidden="false" customHeight="true" outlineLevel="0" collapsed="false">
      <c r="A4426" s="32"/>
      <c r="B4426" s="32"/>
      <c r="C4426" s="32"/>
      <c r="D4426" s="32"/>
      <c r="E4426" s="34" t="str">
        <f aca="false">IF($B4426="","",IF($B4426="OUT","Liters",IFERROR(INDEX(Setup!$F$3:$F$24,MATCH($C4426,Setup!$A$3:$A$24,0)),"")))</f>
        <v/>
      </c>
      <c r="F4426" s="28" t="str">
        <f aca="false">IF(OR($D4426="",$E4426=""),"",IFERROR($D4426*INDEX(Setup!$B$27:$B$44,MATCH($E4426,Setup!$A$27:$A$44,0)),"TBD"))</f>
        <v/>
      </c>
      <c r="G4426" s="32"/>
      <c r="H4426" s="32"/>
      <c r="I4426" s="32"/>
      <c r="J4426" s="32"/>
      <c r="K4426" s="35"/>
      <c r="L4426" s="32"/>
      <c r="M4426" s="32"/>
    </row>
    <row r="4427" customFormat="false" ht="15" hidden="false" customHeight="true" outlineLevel="0" collapsed="false">
      <c r="A4427" s="32"/>
      <c r="B4427" s="32"/>
      <c r="C4427" s="32"/>
      <c r="D4427" s="32"/>
      <c r="E4427" s="34" t="str">
        <f aca="false">IF($B4427="","",IF($B4427="OUT","Liters",IFERROR(INDEX(Setup!$F$3:$F$24,MATCH($C4427,Setup!$A$3:$A$24,0)),"")))</f>
        <v/>
      </c>
      <c r="F4427" s="28" t="str">
        <f aca="false">IF(OR($D4427="",$E4427=""),"",IFERROR($D4427*INDEX(Setup!$B$27:$B$44,MATCH($E4427,Setup!$A$27:$A$44,0)),"TBD"))</f>
        <v/>
      </c>
      <c r="G4427" s="32"/>
      <c r="H4427" s="32"/>
      <c r="I4427" s="32"/>
      <c r="J4427" s="32"/>
      <c r="K4427" s="35"/>
      <c r="L4427" s="32"/>
      <c r="M4427" s="32"/>
    </row>
    <row r="4428" customFormat="false" ht="15" hidden="false" customHeight="true" outlineLevel="0" collapsed="false">
      <c r="A4428" s="32"/>
      <c r="B4428" s="32"/>
      <c r="C4428" s="32"/>
      <c r="D4428" s="32"/>
      <c r="E4428" s="34" t="str">
        <f aca="false">IF($B4428="","",IF($B4428="OUT","Liters",IFERROR(INDEX(Setup!$F$3:$F$24,MATCH($C4428,Setup!$A$3:$A$24,0)),"")))</f>
        <v/>
      </c>
      <c r="F4428" s="28" t="str">
        <f aca="false">IF(OR($D4428="",$E4428=""),"",IFERROR($D4428*INDEX(Setup!$B$27:$B$44,MATCH($E4428,Setup!$A$27:$A$44,0)),"TBD"))</f>
        <v/>
      </c>
      <c r="G4428" s="32"/>
      <c r="H4428" s="32"/>
      <c r="I4428" s="32"/>
      <c r="J4428" s="32"/>
      <c r="K4428" s="35"/>
      <c r="L4428" s="32"/>
      <c r="M4428" s="32"/>
    </row>
    <row r="4429" customFormat="false" ht="15" hidden="false" customHeight="true" outlineLevel="0" collapsed="false">
      <c r="A4429" s="32"/>
      <c r="B4429" s="32"/>
      <c r="C4429" s="32"/>
      <c r="D4429" s="32"/>
      <c r="E4429" s="34" t="str">
        <f aca="false">IF($B4429="","",IF($B4429="OUT","Liters",IFERROR(INDEX(Setup!$F$3:$F$24,MATCH($C4429,Setup!$A$3:$A$24,0)),"")))</f>
        <v/>
      </c>
      <c r="F4429" s="28" t="str">
        <f aca="false">IF(OR($D4429="",$E4429=""),"",IFERROR($D4429*INDEX(Setup!$B$27:$B$44,MATCH($E4429,Setup!$A$27:$A$44,0)),"TBD"))</f>
        <v/>
      </c>
      <c r="G4429" s="32"/>
      <c r="H4429" s="32"/>
      <c r="I4429" s="32"/>
      <c r="J4429" s="32"/>
      <c r="K4429" s="35"/>
      <c r="L4429" s="32"/>
      <c r="M4429" s="32"/>
    </row>
    <row r="4430" customFormat="false" ht="15" hidden="false" customHeight="true" outlineLevel="0" collapsed="false">
      <c r="A4430" s="32"/>
      <c r="B4430" s="32"/>
      <c r="C4430" s="32"/>
      <c r="D4430" s="32"/>
      <c r="E4430" s="34" t="str">
        <f aca="false">IF($B4430="","",IF($B4430="OUT","Liters",IFERROR(INDEX(Setup!$F$3:$F$24,MATCH($C4430,Setup!$A$3:$A$24,0)),"")))</f>
        <v/>
      </c>
      <c r="F4430" s="28" t="str">
        <f aca="false">IF(OR($D4430="",$E4430=""),"",IFERROR($D4430*INDEX(Setup!$B$27:$B$44,MATCH($E4430,Setup!$A$27:$A$44,0)),"TBD"))</f>
        <v/>
      </c>
      <c r="G4430" s="32"/>
      <c r="H4430" s="32"/>
      <c r="I4430" s="32"/>
      <c r="J4430" s="32"/>
      <c r="K4430" s="35"/>
      <c r="L4430" s="32"/>
      <c r="M4430" s="32"/>
    </row>
    <row r="4431" customFormat="false" ht="15" hidden="false" customHeight="true" outlineLevel="0" collapsed="false">
      <c r="A4431" s="32"/>
      <c r="B4431" s="32"/>
      <c r="C4431" s="32"/>
      <c r="D4431" s="32"/>
      <c r="E4431" s="34" t="str">
        <f aca="false">IF($B4431="","",IF($B4431="OUT","Liters",IFERROR(INDEX(Setup!$F$3:$F$24,MATCH($C4431,Setup!$A$3:$A$24,0)),"")))</f>
        <v/>
      </c>
      <c r="F4431" s="28" t="str">
        <f aca="false">IF(OR($D4431="",$E4431=""),"",IFERROR($D4431*INDEX(Setup!$B$27:$B$44,MATCH($E4431,Setup!$A$27:$A$44,0)),"TBD"))</f>
        <v/>
      </c>
      <c r="G4431" s="32"/>
      <c r="H4431" s="32"/>
      <c r="I4431" s="32"/>
      <c r="J4431" s="32"/>
      <c r="K4431" s="35"/>
      <c r="L4431" s="32"/>
      <c r="M4431" s="32"/>
    </row>
    <row r="4432" customFormat="false" ht="15" hidden="false" customHeight="true" outlineLevel="0" collapsed="false">
      <c r="A4432" s="32"/>
      <c r="B4432" s="32"/>
      <c r="C4432" s="32"/>
      <c r="D4432" s="32"/>
      <c r="E4432" s="34" t="str">
        <f aca="false">IF($B4432="","",IF($B4432="OUT","Liters",IFERROR(INDEX(Setup!$F$3:$F$24,MATCH($C4432,Setup!$A$3:$A$24,0)),"")))</f>
        <v/>
      </c>
      <c r="F4432" s="28" t="str">
        <f aca="false">IF(OR($D4432="",$E4432=""),"",IFERROR($D4432*INDEX(Setup!$B$27:$B$44,MATCH($E4432,Setup!$A$27:$A$44,0)),"TBD"))</f>
        <v/>
      </c>
      <c r="G4432" s="32"/>
      <c r="H4432" s="32"/>
      <c r="I4432" s="32"/>
      <c r="J4432" s="32"/>
      <c r="K4432" s="35"/>
      <c r="L4432" s="32"/>
      <c r="M4432" s="32"/>
    </row>
    <row r="4433" customFormat="false" ht="15" hidden="false" customHeight="true" outlineLevel="0" collapsed="false">
      <c r="A4433" s="32"/>
      <c r="B4433" s="32"/>
      <c r="C4433" s="32"/>
      <c r="D4433" s="32"/>
      <c r="E4433" s="34" t="str">
        <f aca="false">IF($B4433="","",IF($B4433="OUT","Liters",IFERROR(INDEX(Setup!$F$3:$F$24,MATCH($C4433,Setup!$A$3:$A$24,0)),"")))</f>
        <v/>
      </c>
      <c r="F4433" s="28" t="str">
        <f aca="false">IF(OR($D4433="",$E4433=""),"",IFERROR($D4433*INDEX(Setup!$B$27:$B$44,MATCH($E4433,Setup!$A$27:$A$44,0)),"TBD"))</f>
        <v/>
      </c>
      <c r="G4433" s="32"/>
      <c r="H4433" s="32"/>
      <c r="I4433" s="32"/>
      <c r="J4433" s="32"/>
      <c r="K4433" s="35"/>
      <c r="L4433" s="32"/>
      <c r="M4433" s="32"/>
    </row>
    <row r="4434" customFormat="false" ht="15" hidden="false" customHeight="true" outlineLevel="0" collapsed="false">
      <c r="A4434" s="32"/>
      <c r="B4434" s="32"/>
      <c r="C4434" s="32"/>
      <c r="D4434" s="32"/>
      <c r="E4434" s="34" t="str">
        <f aca="false">IF($B4434="","",IF($B4434="OUT","Liters",IFERROR(INDEX(Setup!$F$3:$F$24,MATCH($C4434,Setup!$A$3:$A$24,0)),"")))</f>
        <v/>
      </c>
      <c r="F4434" s="28" t="str">
        <f aca="false">IF(OR($D4434="",$E4434=""),"",IFERROR($D4434*INDEX(Setup!$B$27:$B$44,MATCH($E4434,Setup!$A$27:$A$44,0)),"TBD"))</f>
        <v/>
      </c>
      <c r="G4434" s="32"/>
      <c r="H4434" s="32"/>
      <c r="I4434" s="32"/>
      <c r="J4434" s="32"/>
      <c r="K4434" s="35"/>
      <c r="L4434" s="32"/>
      <c r="M4434" s="32"/>
    </row>
    <row r="4435" customFormat="false" ht="15" hidden="false" customHeight="true" outlineLevel="0" collapsed="false">
      <c r="A4435" s="32"/>
      <c r="B4435" s="32"/>
      <c r="C4435" s="32"/>
      <c r="D4435" s="32"/>
      <c r="E4435" s="34" t="str">
        <f aca="false">IF($B4435="","",IF($B4435="OUT","Liters",IFERROR(INDEX(Setup!$F$3:$F$24,MATCH($C4435,Setup!$A$3:$A$24,0)),"")))</f>
        <v/>
      </c>
      <c r="F4435" s="28" t="str">
        <f aca="false">IF(OR($D4435="",$E4435=""),"",IFERROR($D4435*INDEX(Setup!$B$27:$B$44,MATCH($E4435,Setup!$A$27:$A$44,0)),"TBD"))</f>
        <v/>
      </c>
      <c r="G4435" s="32"/>
      <c r="H4435" s="32"/>
      <c r="I4435" s="32"/>
      <c r="J4435" s="32"/>
      <c r="K4435" s="35"/>
      <c r="L4435" s="32"/>
      <c r="M4435" s="32"/>
    </row>
    <row r="4436" customFormat="false" ht="15" hidden="false" customHeight="true" outlineLevel="0" collapsed="false">
      <c r="A4436" s="32"/>
      <c r="B4436" s="32"/>
      <c r="C4436" s="32"/>
      <c r="D4436" s="32"/>
      <c r="E4436" s="34" t="str">
        <f aca="false">IF($B4436="","",IF($B4436="OUT","Liters",IFERROR(INDEX(Setup!$F$3:$F$24,MATCH($C4436,Setup!$A$3:$A$24,0)),"")))</f>
        <v/>
      </c>
      <c r="F4436" s="28" t="str">
        <f aca="false">IF(OR($D4436="",$E4436=""),"",IFERROR($D4436*INDEX(Setup!$B$27:$B$44,MATCH($E4436,Setup!$A$27:$A$44,0)),"TBD"))</f>
        <v/>
      </c>
      <c r="G4436" s="32"/>
      <c r="H4436" s="32"/>
      <c r="I4436" s="32"/>
      <c r="J4436" s="32"/>
      <c r="K4436" s="35"/>
      <c r="L4436" s="32"/>
      <c r="M4436" s="32"/>
    </row>
    <row r="4437" customFormat="false" ht="15" hidden="false" customHeight="true" outlineLevel="0" collapsed="false">
      <c r="A4437" s="32"/>
      <c r="B4437" s="32"/>
      <c r="C4437" s="32"/>
      <c r="D4437" s="32"/>
      <c r="E4437" s="34" t="str">
        <f aca="false">IF($B4437="","",IF($B4437="OUT","Liters",IFERROR(INDEX(Setup!$F$3:$F$24,MATCH($C4437,Setup!$A$3:$A$24,0)),"")))</f>
        <v/>
      </c>
      <c r="F4437" s="28" t="str">
        <f aca="false">IF(OR($D4437="",$E4437=""),"",IFERROR($D4437*INDEX(Setup!$B$27:$B$44,MATCH($E4437,Setup!$A$27:$A$44,0)),"TBD"))</f>
        <v/>
      </c>
      <c r="G4437" s="32"/>
      <c r="H4437" s="32"/>
      <c r="I4437" s="32"/>
      <c r="J4437" s="32"/>
      <c r="K4437" s="35"/>
      <c r="L4437" s="32"/>
      <c r="M4437" s="32"/>
    </row>
    <row r="4438" customFormat="false" ht="15" hidden="false" customHeight="true" outlineLevel="0" collapsed="false">
      <c r="A4438" s="32"/>
      <c r="B4438" s="32"/>
      <c r="C4438" s="32"/>
      <c r="D4438" s="32"/>
      <c r="E4438" s="34" t="str">
        <f aca="false">IF($B4438="","",IF($B4438="OUT","Liters",IFERROR(INDEX(Setup!$F$3:$F$24,MATCH($C4438,Setup!$A$3:$A$24,0)),"")))</f>
        <v/>
      </c>
      <c r="F4438" s="28" t="str">
        <f aca="false">IF(OR($D4438="",$E4438=""),"",IFERROR($D4438*INDEX(Setup!$B$27:$B$44,MATCH($E4438,Setup!$A$27:$A$44,0)),"TBD"))</f>
        <v/>
      </c>
      <c r="G4438" s="32"/>
      <c r="H4438" s="32"/>
      <c r="I4438" s="32"/>
      <c r="J4438" s="32"/>
      <c r="K4438" s="35"/>
      <c r="L4438" s="32"/>
      <c r="M4438" s="32"/>
    </row>
    <row r="4439" customFormat="false" ht="15" hidden="false" customHeight="true" outlineLevel="0" collapsed="false">
      <c r="A4439" s="32"/>
      <c r="B4439" s="32"/>
      <c r="C4439" s="32"/>
      <c r="D4439" s="32"/>
      <c r="E4439" s="34" t="str">
        <f aca="false">IF($B4439="","",IF($B4439="OUT","Liters",IFERROR(INDEX(Setup!$F$3:$F$24,MATCH($C4439,Setup!$A$3:$A$24,0)),"")))</f>
        <v/>
      </c>
      <c r="F4439" s="28" t="str">
        <f aca="false">IF(OR($D4439="",$E4439=""),"",IFERROR($D4439*INDEX(Setup!$B$27:$B$44,MATCH($E4439,Setup!$A$27:$A$44,0)),"TBD"))</f>
        <v/>
      </c>
      <c r="G4439" s="32"/>
      <c r="H4439" s="32"/>
      <c r="I4439" s="32"/>
      <c r="J4439" s="32"/>
      <c r="K4439" s="35"/>
      <c r="L4439" s="32"/>
      <c r="M4439" s="32"/>
    </row>
    <row r="4440" customFormat="false" ht="15" hidden="false" customHeight="true" outlineLevel="0" collapsed="false">
      <c r="A4440" s="32"/>
      <c r="B4440" s="32"/>
      <c r="C4440" s="32"/>
      <c r="D4440" s="32"/>
      <c r="E4440" s="34" t="str">
        <f aca="false">IF($B4440="","",IF($B4440="OUT","Liters",IFERROR(INDEX(Setup!$F$3:$F$24,MATCH($C4440,Setup!$A$3:$A$24,0)),"")))</f>
        <v/>
      </c>
      <c r="F4440" s="28" t="str">
        <f aca="false">IF(OR($D4440="",$E4440=""),"",IFERROR($D4440*INDEX(Setup!$B$27:$B$44,MATCH($E4440,Setup!$A$27:$A$44,0)),"TBD"))</f>
        <v/>
      </c>
      <c r="G4440" s="32"/>
      <c r="H4440" s="32"/>
      <c r="I4440" s="32"/>
      <c r="J4440" s="32"/>
      <c r="K4440" s="35"/>
      <c r="L4440" s="32"/>
      <c r="M4440" s="32"/>
    </row>
    <row r="4441" customFormat="false" ht="15" hidden="false" customHeight="true" outlineLevel="0" collapsed="false">
      <c r="A4441" s="32"/>
      <c r="B4441" s="32"/>
      <c r="C4441" s="32"/>
      <c r="D4441" s="32"/>
      <c r="E4441" s="34" t="str">
        <f aca="false">IF($B4441="","",IF($B4441="OUT","Liters",IFERROR(INDEX(Setup!$F$3:$F$24,MATCH($C4441,Setup!$A$3:$A$24,0)),"")))</f>
        <v/>
      </c>
      <c r="F4441" s="28" t="str">
        <f aca="false">IF(OR($D4441="",$E4441=""),"",IFERROR($D4441*INDEX(Setup!$B$27:$B$44,MATCH($E4441,Setup!$A$27:$A$44,0)),"TBD"))</f>
        <v/>
      </c>
      <c r="G4441" s="32"/>
      <c r="H4441" s="32"/>
      <c r="I4441" s="32"/>
      <c r="J4441" s="32"/>
      <c r="K4441" s="35"/>
      <c r="L4441" s="32"/>
      <c r="M4441" s="32"/>
    </row>
    <row r="4442" customFormat="false" ht="15" hidden="false" customHeight="true" outlineLevel="0" collapsed="false">
      <c r="A4442" s="32"/>
      <c r="B4442" s="32"/>
      <c r="C4442" s="32"/>
      <c r="D4442" s="32"/>
      <c r="E4442" s="34" t="str">
        <f aca="false">IF($B4442="","",IF($B4442="OUT","Liters",IFERROR(INDEX(Setup!$F$3:$F$24,MATCH($C4442,Setup!$A$3:$A$24,0)),"")))</f>
        <v/>
      </c>
      <c r="F4442" s="28" t="str">
        <f aca="false">IF(OR($D4442="",$E4442=""),"",IFERROR($D4442*INDEX(Setup!$B$27:$B$44,MATCH($E4442,Setup!$A$27:$A$44,0)),"TBD"))</f>
        <v/>
      </c>
      <c r="G4442" s="32"/>
      <c r="H4442" s="32"/>
      <c r="I4442" s="32"/>
      <c r="J4442" s="32"/>
      <c r="K4442" s="35"/>
      <c r="L4442" s="32"/>
      <c r="M4442" s="32"/>
    </row>
    <row r="4443" customFormat="false" ht="15" hidden="false" customHeight="true" outlineLevel="0" collapsed="false">
      <c r="A4443" s="32"/>
      <c r="B4443" s="32"/>
      <c r="C4443" s="32"/>
      <c r="D4443" s="32"/>
      <c r="E4443" s="34" t="str">
        <f aca="false">IF($B4443="","",IF($B4443="OUT","Liters",IFERROR(INDEX(Setup!$F$3:$F$24,MATCH($C4443,Setup!$A$3:$A$24,0)),"")))</f>
        <v/>
      </c>
      <c r="F4443" s="28" t="str">
        <f aca="false">IF(OR($D4443="",$E4443=""),"",IFERROR($D4443*INDEX(Setup!$B$27:$B$44,MATCH($E4443,Setup!$A$27:$A$44,0)),"TBD"))</f>
        <v/>
      </c>
      <c r="G4443" s="32"/>
      <c r="H4443" s="32"/>
      <c r="I4443" s="32"/>
      <c r="J4443" s="32"/>
      <c r="K4443" s="35"/>
      <c r="L4443" s="32"/>
      <c r="M4443" s="32"/>
    </row>
    <row r="4444" customFormat="false" ht="15" hidden="false" customHeight="true" outlineLevel="0" collapsed="false">
      <c r="A4444" s="32"/>
      <c r="B4444" s="32"/>
      <c r="C4444" s="32"/>
      <c r="D4444" s="32"/>
      <c r="E4444" s="34" t="str">
        <f aca="false">IF($B4444="","",IF($B4444="OUT","Liters",IFERROR(INDEX(Setup!$F$3:$F$24,MATCH($C4444,Setup!$A$3:$A$24,0)),"")))</f>
        <v/>
      </c>
      <c r="F4444" s="28" t="str">
        <f aca="false">IF(OR($D4444="",$E4444=""),"",IFERROR($D4444*INDEX(Setup!$B$27:$B$44,MATCH($E4444,Setup!$A$27:$A$44,0)),"TBD"))</f>
        <v/>
      </c>
      <c r="G4444" s="32"/>
      <c r="H4444" s="32"/>
      <c r="I4444" s="32"/>
      <c r="J4444" s="32"/>
      <c r="K4444" s="35"/>
      <c r="L4444" s="32"/>
      <c r="M4444" s="32"/>
    </row>
    <row r="4445" customFormat="false" ht="15" hidden="false" customHeight="true" outlineLevel="0" collapsed="false">
      <c r="A4445" s="32"/>
      <c r="B4445" s="32"/>
      <c r="C4445" s="32"/>
      <c r="D4445" s="32"/>
      <c r="E4445" s="34" t="str">
        <f aca="false">IF($B4445="","",IF($B4445="OUT","Liters",IFERROR(INDEX(Setup!$F$3:$F$24,MATCH($C4445,Setup!$A$3:$A$24,0)),"")))</f>
        <v/>
      </c>
      <c r="F4445" s="28" t="str">
        <f aca="false">IF(OR($D4445="",$E4445=""),"",IFERROR($D4445*INDEX(Setup!$B$27:$B$44,MATCH($E4445,Setup!$A$27:$A$44,0)),"TBD"))</f>
        <v/>
      </c>
      <c r="G4445" s="32"/>
      <c r="H4445" s="32"/>
      <c r="I4445" s="32"/>
      <c r="J4445" s="32"/>
      <c r="K4445" s="35"/>
      <c r="L4445" s="32"/>
      <c r="M4445" s="32"/>
    </row>
    <row r="4446" customFormat="false" ht="15" hidden="false" customHeight="true" outlineLevel="0" collapsed="false">
      <c r="A4446" s="32"/>
      <c r="B4446" s="32"/>
      <c r="C4446" s="32"/>
      <c r="D4446" s="32"/>
      <c r="E4446" s="34" t="str">
        <f aca="false">IF($B4446="","",IF($B4446="OUT","Liters",IFERROR(INDEX(Setup!$F$3:$F$24,MATCH($C4446,Setup!$A$3:$A$24,0)),"")))</f>
        <v/>
      </c>
      <c r="F4446" s="28" t="str">
        <f aca="false">IF(OR($D4446="",$E4446=""),"",IFERROR($D4446*INDEX(Setup!$B$27:$B$44,MATCH($E4446,Setup!$A$27:$A$44,0)),"TBD"))</f>
        <v/>
      </c>
      <c r="G4446" s="32"/>
      <c r="H4446" s="32"/>
      <c r="I4446" s="32"/>
      <c r="J4446" s="32"/>
      <c r="K4446" s="35"/>
      <c r="L4446" s="32"/>
      <c r="M4446" s="32"/>
    </row>
    <row r="4447" customFormat="false" ht="15" hidden="false" customHeight="true" outlineLevel="0" collapsed="false">
      <c r="A4447" s="32"/>
      <c r="B4447" s="32"/>
      <c r="C4447" s="32"/>
      <c r="D4447" s="32"/>
      <c r="E4447" s="34" t="str">
        <f aca="false">IF($B4447="","",IF($B4447="OUT","Liters",IFERROR(INDEX(Setup!$F$3:$F$24,MATCH($C4447,Setup!$A$3:$A$24,0)),"")))</f>
        <v/>
      </c>
      <c r="F4447" s="28" t="str">
        <f aca="false">IF(OR($D4447="",$E4447=""),"",IFERROR($D4447*INDEX(Setup!$B$27:$B$44,MATCH($E4447,Setup!$A$27:$A$44,0)),"TBD"))</f>
        <v/>
      </c>
      <c r="G4447" s="32"/>
      <c r="H4447" s="32"/>
      <c r="I4447" s="32"/>
      <c r="J4447" s="32"/>
      <c r="K4447" s="35"/>
      <c r="L4447" s="32"/>
      <c r="M4447" s="32"/>
    </row>
    <row r="4448" customFormat="false" ht="15" hidden="false" customHeight="true" outlineLevel="0" collapsed="false">
      <c r="A4448" s="32"/>
      <c r="B4448" s="32"/>
      <c r="C4448" s="32"/>
      <c r="D4448" s="32"/>
      <c r="E4448" s="34" t="str">
        <f aca="false">IF($B4448="","",IF($B4448="OUT","Liters",IFERROR(INDEX(Setup!$F$3:$F$24,MATCH($C4448,Setup!$A$3:$A$24,0)),"")))</f>
        <v/>
      </c>
      <c r="F4448" s="28" t="str">
        <f aca="false">IF(OR($D4448="",$E4448=""),"",IFERROR($D4448*INDEX(Setup!$B$27:$B$44,MATCH($E4448,Setup!$A$27:$A$44,0)),"TBD"))</f>
        <v/>
      </c>
      <c r="G4448" s="32"/>
      <c r="H4448" s="32"/>
      <c r="I4448" s="32"/>
      <c r="J4448" s="32"/>
      <c r="K4448" s="35"/>
      <c r="L4448" s="32"/>
      <c r="M4448" s="32"/>
    </row>
    <row r="4449" customFormat="false" ht="15" hidden="false" customHeight="true" outlineLevel="0" collapsed="false">
      <c r="A4449" s="32"/>
      <c r="B4449" s="32"/>
      <c r="C4449" s="32"/>
      <c r="D4449" s="32"/>
      <c r="E4449" s="34" t="str">
        <f aca="false">IF($B4449="","",IF($B4449="OUT","Liters",IFERROR(INDEX(Setup!$F$3:$F$24,MATCH($C4449,Setup!$A$3:$A$24,0)),"")))</f>
        <v/>
      </c>
      <c r="F4449" s="28" t="str">
        <f aca="false">IF(OR($D4449="",$E4449=""),"",IFERROR($D4449*INDEX(Setup!$B$27:$B$44,MATCH($E4449,Setup!$A$27:$A$44,0)),"TBD"))</f>
        <v/>
      </c>
      <c r="G4449" s="32"/>
      <c r="H4449" s="32"/>
      <c r="I4449" s="32"/>
      <c r="J4449" s="32"/>
      <c r="K4449" s="35"/>
      <c r="L4449" s="32"/>
      <c r="M4449" s="32"/>
    </row>
    <row r="4450" customFormat="false" ht="15" hidden="false" customHeight="true" outlineLevel="0" collapsed="false">
      <c r="A4450" s="32"/>
      <c r="B4450" s="32"/>
      <c r="C4450" s="32"/>
      <c r="D4450" s="32"/>
      <c r="E4450" s="34" t="str">
        <f aca="false">IF($B4450="","",IF($B4450="OUT","Liters",IFERROR(INDEX(Setup!$F$3:$F$24,MATCH($C4450,Setup!$A$3:$A$24,0)),"")))</f>
        <v/>
      </c>
      <c r="F4450" s="28" t="str">
        <f aca="false">IF(OR($D4450="",$E4450=""),"",IFERROR($D4450*INDEX(Setup!$B$27:$B$44,MATCH($E4450,Setup!$A$27:$A$44,0)),"TBD"))</f>
        <v/>
      </c>
      <c r="G4450" s="32"/>
      <c r="H4450" s="32"/>
      <c r="I4450" s="32"/>
      <c r="J4450" s="32"/>
      <c r="K4450" s="35"/>
      <c r="L4450" s="32"/>
      <c r="M4450" s="32"/>
    </row>
    <row r="4451" customFormat="false" ht="15" hidden="false" customHeight="true" outlineLevel="0" collapsed="false">
      <c r="A4451" s="32"/>
      <c r="B4451" s="32"/>
      <c r="C4451" s="32"/>
      <c r="D4451" s="32"/>
      <c r="E4451" s="34" t="str">
        <f aca="false">IF($B4451="","",IF($B4451="OUT","Liters",IFERROR(INDEX(Setup!$F$3:$F$24,MATCH($C4451,Setup!$A$3:$A$24,0)),"")))</f>
        <v/>
      </c>
      <c r="F4451" s="28" t="str">
        <f aca="false">IF(OR($D4451="",$E4451=""),"",IFERROR($D4451*INDEX(Setup!$B$27:$B$44,MATCH($E4451,Setup!$A$27:$A$44,0)),"TBD"))</f>
        <v/>
      </c>
      <c r="G4451" s="32"/>
      <c r="H4451" s="32"/>
      <c r="I4451" s="32"/>
      <c r="J4451" s="32"/>
      <c r="K4451" s="35"/>
      <c r="L4451" s="32"/>
      <c r="M4451" s="32"/>
    </row>
    <row r="4452" customFormat="false" ht="15" hidden="false" customHeight="true" outlineLevel="0" collapsed="false">
      <c r="A4452" s="32"/>
      <c r="B4452" s="32"/>
      <c r="C4452" s="32"/>
      <c r="D4452" s="32"/>
      <c r="E4452" s="34" t="str">
        <f aca="false">IF($B4452="","",IF($B4452="OUT","Liters",IFERROR(INDEX(Setup!$F$3:$F$24,MATCH($C4452,Setup!$A$3:$A$24,0)),"")))</f>
        <v/>
      </c>
      <c r="F4452" s="28" t="str">
        <f aca="false">IF(OR($D4452="",$E4452=""),"",IFERROR($D4452*INDEX(Setup!$B$27:$B$44,MATCH($E4452,Setup!$A$27:$A$44,0)),"TBD"))</f>
        <v/>
      </c>
      <c r="G4452" s="32"/>
      <c r="H4452" s="32"/>
      <c r="I4452" s="32"/>
      <c r="J4452" s="32"/>
      <c r="K4452" s="35"/>
      <c r="L4452" s="32"/>
      <c r="M4452" s="32"/>
    </row>
    <row r="4453" customFormat="false" ht="15" hidden="false" customHeight="true" outlineLevel="0" collapsed="false">
      <c r="A4453" s="32"/>
      <c r="B4453" s="32"/>
      <c r="C4453" s="32"/>
      <c r="D4453" s="32"/>
      <c r="E4453" s="34" t="str">
        <f aca="false">IF($B4453="","",IF($B4453="OUT","Liters",IFERROR(INDEX(Setup!$F$3:$F$24,MATCH($C4453,Setup!$A$3:$A$24,0)),"")))</f>
        <v/>
      </c>
      <c r="F4453" s="28" t="str">
        <f aca="false">IF(OR($D4453="",$E4453=""),"",IFERROR($D4453*INDEX(Setup!$B$27:$B$44,MATCH($E4453,Setup!$A$27:$A$44,0)),"TBD"))</f>
        <v/>
      </c>
      <c r="G4453" s="32"/>
      <c r="H4453" s="32"/>
      <c r="I4453" s="32"/>
      <c r="J4453" s="32"/>
      <c r="K4453" s="35"/>
      <c r="L4453" s="32"/>
      <c r="M4453" s="32"/>
    </row>
    <row r="4454" customFormat="false" ht="15" hidden="false" customHeight="true" outlineLevel="0" collapsed="false">
      <c r="A4454" s="32"/>
      <c r="B4454" s="32"/>
      <c r="C4454" s="32"/>
      <c r="D4454" s="32"/>
      <c r="E4454" s="34" t="str">
        <f aca="false">IF($B4454="","",IF($B4454="OUT","Liters",IFERROR(INDEX(Setup!$F$3:$F$24,MATCH($C4454,Setup!$A$3:$A$24,0)),"")))</f>
        <v/>
      </c>
      <c r="F4454" s="28" t="str">
        <f aca="false">IF(OR($D4454="",$E4454=""),"",IFERROR($D4454*INDEX(Setup!$B$27:$B$44,MATCH($E4454,Setup!$A$27:$A$44,0)),"TBD"))</f>
        <v/>
      </c>
      <c r="G4454" s="32"/>
      <c r="H4454" s="32"/>
      <c r="I4454" s="32"/>
      <c r="J4454" s="32"/>
      <c r="K4454" s="35"/>
      <c r="L4454" s="32"/>
      <c r="M4454" s="32"/>
    </row>
    <row r="4455" customFormat="false" ht="15" hidden="false" customHeight="true" outlineLevel="0" collapsed="false">
      <c r="A4455" s="32"/>
      <c r="B4455" s="32"/>
      <c r="C4455" s="32"/>
      <c r="D4455" s="32"/>
      <c r="E4455" s="34" t="str">
        <f aca="false">IF($B4455="","",IF($B4455="OUT","Liters",IFERROR(INDEX(Setup!$F$3:$F$24,MATCH($C4455,Setup!$A$3:$A$24,0)),"")))</f>
        <v/>
      </c>
      <c r="F4455" s="28" t="str">
        <f aca="false">IF(OR($D4455="",$E4455=""),"",IFERROR($D4455*INDEX(Setup!$B$27:$B$44,MATCH($E4455,Setup!$A$27:$A$44,0)),"TBD"))</f>
        <v/>
      </c>
      <c r="G4455" s="32"/>
      <c r="H4455" s="32"/>
      <c r="I4455" s="32"/>
      <c r="J4455" s="32"/>
      <c r="K4455" s="35"/>
      <c r="L4455" s="32"/>
      <c r="M4455" s="32"/>
    </row>
    <row r="4456" customFormat="false" ht="15" hidden="false" customHeight="true" outlineLevel="0" collapsed="false">
      <c r="A4456" s="32"/>
      <c r="B4456" s="32"/>
      <c r="C4456" s="32"/>
      <c r="D4456" s="32"/>
      <c r="E4456" s="34" t="str">
        <f aca="false">IF($B4456="","",IF($B4456="OUT","Liters",IFERROR(INDEX(Setup!$F$3:$F$24,MATCH($C4456,Setup!$A$3:$A$24,0)),"")))</f>
        <v/>
      </c>
      <c r="F4456" s="28" t="str">
        <f aca="false">IF(OR($D4456="",$E4456=""),"",IFERROR($D4456*INDEX(Setup!$B$27:$B$44,MATCH($E4456,Setup!$A$27:$A$44,0)),"TBD"))</f>
        <v/>
      </c>
      <c r="G4456" s="32"/>
      <c r="H4456" s="32"/>
      <c r="I4456" s="32"/>
      <c r="J4456" s="32"/>
      <c r="K4456" s="35"/>
      <c r="L4456" s="32"/>
      <c r="M4456" s="32"/>
    </row>
    <row r="4457" customFormat="false" ht="15" hidden="false" customHeight="true" outlineLevel="0" collapsed="false">
      <c r="A4457" s="32"/>
      <c r="B4457" s="32"/>
      <c r="C4457" s="32"/>
      <c r="D4457" s="32"/>
      <c r="E4457" s="34" t="str">
        <f aca="false">IF($B4457="","",IF($B4457="OUT","Liters",IFERROR(INDEX(Setup!$F$3:$F$24,MATCH($C4457,Setup!$A$3:$A$24,0)),"")))</f>
        <v/>
      </c>
      <c r="F4457" s="28" t="str">
        <f aca="false">IF(OR($D4457="",$E4457=""),"",IFERROR($D4457*INDEX(Setup!$B$27:$B$44,MATCH($E4457,Setup!$A$27:$A$44,0)),"TBD"))</f>
        <v/>
      </c>
      <c r="G4457" s="32"/>
      <c r="H4457" s="32"/>
      <c r="I4457" s="32"/>
      <c r="J4457" s="32"/>
      <c r="K4457" s="35"/>
      <c r="L4457" s="32"/>
      <c r="M4457" s="32"/>
    </row>
    <row r="4458" customFormat="false" ht="15" hidden="false" customHeight="true" outlineLevel="0" collapsed="false">
      <c r="A4458" s="32"/>
      <c r="B4458" s="32"/>
      <c r="C4458" s="32"/>
      <c r="D4458" s="32"/>
      <c r="E4458" s="34" t="str">
        <f aca="false">IF($B4458="","",IF($B4458="OUT","Liters",IFERROR(INDEX(Setup!$F$3:$F$24,MATCH($C4458,Setup!$A$3:$A$24,0)),"")))</f>
        <v/>
      </c>
      <c r="F4458" s="28" t="str">
        <f aca="false">IF(OR($D4458="",$E4458=""),"",IFERROR($D4458*INDEX(Setup!$B$27:$B$44,MATCH($E4458,Setup!$A$27:$A$44,0)),"TBD"))</f>
        <v/>
      </c>
      <c r="G4458" s="32"/>
      <c r="H4458" s="32"/>
      <c r="I4458" s="32"/>
      <c r="J4458" s="32"/>
      <c r="K4458" s="35"/>
      <c r="L4458" s="32"/>
      <c r="M4458" s="32"/>
    </row>
    <row r="4459" customFormat="false" ht="15" hidden="false" customHeight="true" outlineLevel="0" collapsed="false">
      <c r="A4459" s="32"/>
      <c r="B4459" s="32"/>
      <c r="C4459" s="32"/>
      <c r="D4459" s="32"/>
      <c r="E4459" s="34" t="str">
        <f aca="false">IF($B4459="","",IF($B4459="OUT","Liters",IFERROR(INDEX(Setup!$F$3:$F$24,MATCH($C4459,Setup!$A$3:$A$24,0)),"")))</f>
        <v/>
      </c>
      <c r="F4459" s="28" t="str">
        <f aca="false">IF(OR($D4459="",$E4459=""),"",IFERROR($D4459*INDEX(Setup!$B$27:$B$44,MATCH($E4459,Setup!$A$27:$A$44,0)),"TBD"))</f>
        <v/>
      </c>
      <c r="G4459" s="32"/>
      <c r="H4459" s="32"/>
      <c r="I4459" s="32"/>
      <c r="J4459" s="32"/>
      <c r="K4459" s="35"/>
      <c r="L4459" s="32"/>
      <c r="M4459" s="32"/>
    </row>
    <row r="4460" customFormat="false" ht="15" hidden="false" customHeight="true" outlineLevel="0" collapsed="false">
      <c r="A4460" s="32"/>
      <c r="B4460" s="32"/>
      <c r="C4460" s="32"/>
      <c r="D4460" s="32"/>
      <c r="E4460" s="34" t="str">
        <f aca="false">IF($B4460="","",IF($B4460="OUT","Liters",IFERROR(INDEX(Setup!$F$3:$F$24,MATCH($C4460,Setup!$A$3:$A$24,0)),"")))</f>
        <v/>
      </c>
      <c r="F4460" s="28" t="str">
        <f aca="false">IF(OR($D4460="",$E4460=""),"",IFERROR($D4460*INDEX(Setup!$B$27:$B$44,MATCH($E4460,Setup!$A$27:$A$44,0)),"TBD"))</f>
        <v/>
      </c>
      <c r="G4460" s="32"/>
      <c r="H4460" s="32"/>
      <c r="I4460" s="32"/>
      <c r="J4460" s="32"/>
      <c r="K4460" s="35"/>
      <c r="L4460" s="32"/>
      <c r="M4460" s="32"/>
    </row>
    <row r="4461" customFormat="false" ht="15" hidden="false" customHeight="true" outlineLevel="0" collapsed="false">
      <c r="A4461" s="32"/>
      <c r="B4461" s="32"/>
      <c r="C4461" s="32"/>
      <c r="D4461" s="32"/>
      <c r="E4461" s="34" t="str">
        <f aca="false">IF($B4461="","",IF($B4461="OUT","Liters",IFERROR(INDEX(Setup!$F$3:$F$24,MATCH($C4461,Setup!$A$3:$A$24,0)),"")))</f>
        <v/>
      </c>
      <c r="F4461" s="28" t="str">
        <f aca="false">IF(OR($D4461="",$E4461=""),"",IFERROR($D4461*INDEX(Setup!$B$27:$B$44,MATCH($E4461,Setup!$A$27:$A$44,0)),"TBD"))</f>
        <v/>
      </c>
      <c r="G4461" s="32"/>
      <c r="H4461" s="32"/>
      <c r="I4461" s="32"/>
      <c r="J4461" s="32"/>
      <c r="K4461" s="35"/>
      <c r="L4461" s="32"/>
      <c r="M4461" s="32"/>
    </row>
    <row r="4462" customFormat="false" ht="15" hidden="false" customHeight="true" outlineLevel="0" collapsed="false">
      <c r="A4462" s="32"/>
      <c r="B4462" s="32"/>
      <c r="C4462" s="32"/>
      <c r="D4462" s="32"/>
      <c r="E4462" s="34" t="str">
        <f aca="false">IF($B4462="","",IF($B4462="OUT","Liters",IFERROR(INDEX(Setup!$F$3:$F$24,MATCH($C4462,Setup!$A$3:$A$24,0)),"")))</f>
        <v/>
      </c>
      <c r="F4462" s="28" t="str">
        <f aca="false">IF(OR($D4462="",$E4462=""),"",IFERROR($D4462*INDEX(Setup!$B$27:$B$44,MATCH($E4462,Setup!$A$27:$A$44,0)),"TBD"))</f>
        <v/>
      </c>
      <c r="G4462" s="32"/>
      <c r="H4462" s="32"/>
      <c r="I4462" s="32"/>
      <c r="J4462" s="32"/>
      <c r="K4462" s="35"/>
      <c r="L4462" s="32"/>
      <c r="M4462" s="32"/>
    </row>
    <row r="4463" customFormat="false" ht="15" hidden="false" customHeight="true" outlineLevel="0" collapsed="false">
      <c r="A4463" s="32"/>
      <c r="B4463" s="32"/>
      <c r="C4463" s="32"/>
      <c r="D4463" s="32"/>
      <c r="E4463" s="34" t="str">
        <f aca="false">IF($B4463="","",IF($B4463="OUT","Liters",IFERROR(INDEX(Setup!$F$3:$F$24,MATCH($C4463,Setup!$A$3:$A$24,0)),"")))</f>
        <v/>
      </c>
      <c r="F4463" s="28" t="str">
        <f aca="false">IF(OR($D4463="",$E4463=""),"",IFERROR($D4463*INDEX(Setup!$B$27:$B$44,MATCH($E4463,Setup!$A$27:$A$44,0)),"TBD"))</f>
        <v/>
      </c>
      <c r="G4463" s="32"/>
      <c r="H4463" s="32"/>
      <c r="I4463" s="32"/>
      <c r="J4463" s="32"/>
      <c r="K4463" s="35"/>
      <c r="L4463" s="32"/>
      <c r="M4463" s="32"/>
    </row>
    <row r="4464" customFormat="false" ht="15" hidden="false" customHeight="true" outlineLevel="0" collapsed="false">
      <c r="A4464" s="32"/>
      <c r="B4464" s="32"/>
      <c r="C4464" s="32"/>
      <c r="D4464" s="32"/>
      <c r="E4464" s="34" t="str">
        <f aca="false">IF($B4464="","",IF($B4464="OUT","Liters",IFERROR(INDEX(Setup!$F$3:$F$24,MATCH($C4464,Setup!$A$3:$A$24,0)),"")))</f>
        <v/>
      </c>
      <c r="F4464" s="28" t="str">
        <f aca="false">IF(OR($D4464="",$E4464=""),"",IFERROR($D4464*INDEX(Setup!$B$27:$B$44,MATCH($E4464,Setup!$A$27:$A$44,0)),"TBD"))</f>
        <v/>
      </c>
      <c r="G4464" s="32"/>
      <c r="H4464" s="32"/>
      <c r="I4464" s="32"/>
      <c r="J4464" s="32"/>
      <c r="K4464" s="35"/>
      <c r="L4464" s="32"/>
      <c r="M4464" s="32"/>
    </row>
    <row r="4465" customFormat="false" ht="15" hidden="false" customHeight="true" outlineLevel="0" collapsed="false">
      <c r="A4465" s="32"/>
      <c r="B4465" s="32"/>
      <c r="C4465" s="32"/>
      <c r="D4465" s="32"/>
      <c r="E4465" s="34" t="str">
        <f aca="false">IF($B4465="","",IF($B4465="OUT","Liters",IFERROR(INDEX(Setup!$F$3:$F$24,MATCH($C4465,Setup!$A$3:$A$24,0)),"")))</f>
        <v/>
      </c>
      <c r="F4465" s="28" t="str">
        <f aca="false">IF(OR($D4465="",$E4465=""),"",IFERROR($D4465*INDEX(Setup!$B$27:$B$44,MATCH($E4465,Setup!$A$27:$A$44,0)),"TBD"))</f>
        <v/>
      </c>
      <c r="G4465" s="32"/>
      <c r="H4465" s="32"/>
      <c r="I4465" s="32"/>
      <c r="J4465" s="32"/>
      <c r="K4465" s="35"/>
      <c r="L4465" s="32"/>
      <c r="M4465" s="32"/>
    </row>
    <row r="4466" customFormat="false" ht="15" hidden="false" customHeight="true" outlineLevel="0" collapsed="false">
      <c r="A4466" s="32"/>
      <c r="B4466" s="32"/>
      <c r="C4466" s="32"/>
      <c r="D4466" s="32"/>
      <c r="E4466" s="34" t="str">
        <f aca="false">IF($B4466="","",IF($B4466="OUT","Liters",IFERROR(INDEX(Setup!$F$3:$F$24,MATCH($C4466,Setup!$A$3:$A$24,0)),"")))</f>
        <v/>
      </c>
      <c r="F4466" s="28" t="str">
        <f aca="false">IF(OR($D4466="",$E4466=""),"",IFERROR($D4466*INDEX(Setup!$B$27:$B$44,MATCH($E4466,Setup!$A$27:$A$44,0)),"TBD"))</f>
        <v/>
      </c>
      <c r="G4466" s="32"/>
      <c r="H4466" s="32"/>
      <c r="I4466" s="32"/>
      <c r="J4466" s="32"/>
      <c r="K4466" s="35"/>
      <c r="L4466" s="32"/>
      <c r="M4466" s="32"/>
    </row>
    <row r="4467" customFormat="false" ht="15" hidden="false" customHeight="true" outlineLevel="0" collapsed="false">
      <c r="A4467" s="32"/>
      <c r="B4467" s="32"/>
      <c r="C4467" s="32"/>
      <c r="D4467" s="32"/>
      <c r="E4467" s="34" t="str">
        <f aca="false">IF($B4467="","",IF($B4467="OUT","Liters",IFERROR(INDEX(Setup!$F$3:$F$24,MATCH($C4467,Setup!$A$3:$A$24,0)),"")))</f>
        <v/>
      </c>
      <c r="F4467" s="28" t="str">
        <f aca="false">IF(OR($D4467="",$E4467=""),"",IFERROR($D4467*INDEX(Setup!$B$27:$B$44,MATCH($E4467,Setup!$A$27:$A$44,0)),"TBD"))</f>
        <v/>
      </c>
      <c r="G4467" s="32"/>
      <c r="H4467" s="32"/>
      <c r="I4467" s="32"/>
      <c r="J4467" s="32"/>
      <c r="K4467" s="35"/>
      <c r="L4467" s="32"/>
      <c r="M4467" s="32"/>
    </row>
    <row r="4468" customFormat="false" ht="15" hidden="false" customHeight="true" outlineLevel="0" collapsed="false">
      <c r="A4468" s="32"/>
      <c r="B4468" s="32"/>
      <c r="C4468" s="32"/>
      <c r="D4468" s="32"/>
      <c r="E4468" s="34" t="str">
        <f aca="false">IF($B4468="","",IF($B4468="OUT","Liters",IFERROR(INDEX(Setup!$F$3:$F$24,MATCH($C4468,Setup!$A$3:$A$24,0)),"")))</f>
        <v/>
      </c>
      <c r="F4468" s="28" t="str">
        <f aca="false">IF(OR($D4468="",$E4468=""),"",IFERROR($D4468*INDEX(Setup!$B$27:$B$44,MATCH($E4468,Setup!$A$27:$A$44,0)),"TBD"))</f>
        <v/>
      </c>
      <c r="G4468" s="32"/>
      <c r="H4468" s="32"/>
      <c r="I4468" s="32"/>
      <c r="J4468" s="32"/>
      <c r="K4468" s="35"/>
      <c r="L4468" s="32"/>
      <c r="M4468" s="32"/>
    </row>
    <row r="4469" customFormat="false" ht="15" hidden="false" customHeight="true" outlineLevel="0" collapsed="false">
      <c r="A4469" s="32"/>
      <c r="B4469" s="32"/>
      <c r="C4469" s="32"/>
      <c r="D4469" s="32"/>
      <c r="E4469" s="34" t="str">
        <f aca="false">IF($B4469="","",IF($B4469="OUT","Liters",IFERROR(INDEX(Setup!$F$3:$F$24,MATCH($C4469,Setup!$A$3:$A$24,0)),"")))</f>
        <v/>
      </c>
      <c r="F4469" s="28" t="str">
        <f aca="false">IF(OR($D4469="",$E4469=""),"",IFERROR($D4469*INDEX(Setup!$B$27:$B$44,MATCH($E4469,Setup!$A$27:$A$44,0)),"TBD"))</f>
        <v/>
      </c>
      <c r="G4469" s="32"/>
      <c r="H4469" s="32"/>
      <c r="I4469" s="32"/>
      <c r="J4469" s="32"/>
      <c r="K4469" s="35"/>
      <c r="L4469" s="32"/>
      <c r="M4469" s="32"/>
    </row>
    <row r="4470" customFormat="false" ht="15" hidden="false" customHeight="true" outlineLevel="0" collapsed="false">
      <c r="A4470" s="32"/>
      <c r="B4470" s="32"/>
      <c r="C4470" s="32"/>
      <c r="D4470" s="32"/>
      <c r="E4470" s="34" t="str">
        <f aca="false">IF($B4470="","",IF($B4470="OUT","Liters",IFERROR(INDEX(Setup!$F$3:$F$24,MATCH($C4470,Setup!$A$3:$A$24,0)),"")))</f>
        <v/>
      </c>
      <c r="F4470" s="28" t="str">
        <f aca="false">IF(OR($D4470="",$E4470=""),"",IFERROR($D4470*INDEX(Setup!$B$27:$B$44,MATCH($E4470,Setup!$A$27:$A$44,0)),"TBD"))</f>
        <v/>
      </c>
      <c r="G4470" s="32"/>
      <c r="H4470" s="32"/>
      <c r="I4470" s="32"/>
      <c r="J4470" s="32"/>
      <c r="K4470" s="35"/>
      <c r="L4470" s="32"/>
      <c r="M4470" s="32"/>
    </row>
    <row r="4471" customFormat="false" ht="15" hidden="false" customHeight="true" outlineLevel="0" collapsed="false">
      <c r="A4471" s="32"/>
      <c r="B4471" s="32"/>
      <c r="C4471" s="32"/>
      <c r="D4471" s="32"/>
      <c r="E4471" s="34" t="str">
        <f aca="false">IF($B4471="","",IF($B4471="OUT","Liters",IFERROR(INDEX(Setup!$F$3:$F$24,MATCH($C4471,Setup!$A$3:$A$24,0)),"")))</f>
        <v/>
      </c>
      <c r="F4471" s="28" t="str">
        <f aca="false">IF(OR($D4471="",$E4471=""),"",IFERROR($D4471*INDEX(Setup!$B$27:$B$44,MATCH($E4471,Setup!$A$27:$A$44,0)),"TBD"))</f>
        <v/>
      </c>
      <c r="G4471" s="32"/>
      <c r="H4471" s="32"/>
      <c r="I4471" s="32"/>
      <c r="J4471" s="32"/>
      <c r="K4471" s="35"/>
      <c r="L4471" s="32"/>
      <c r="M4471" s="32"/>
    </row>
    <row r="4472" customFormat="false" ht="15" hidden="false" customHeight="true" outlineLevel="0" collapsed="false">
      <c r="A4472" s="32"/>
      <c r="B4472" s="32"/>
      <c r="C4472" s="32"/>
      <c r="D4472" s="32"/>
      <c r="E4472" s="34" t="str">
        <f aca="false">IF($B4472="","",IF($B4472="OUT","Liters",IFERROR(INDEX(Setup!$F$3:$F$24,MATCH($C4472,Setup!$A$3:$A$24,0)),"")))</f>
        <v/>
      </c>
      <c r="F4472" s="28" t="str">
        <f aca="false">IF(OR($D4472="",$E4472=""),"",IFERROR($D4472*INDEX(Setup!$B$27:$B$44,MATCH($E4472,Setup!$A$27:$A$44,0)),"TBD"))</f>
        <v/>
      </c>
      <c r="G4472" s="32"/>
      <c r="H4472" s="32"/>
      <c r="I4472" s="32"/>
      <c r="J4472" s="32"/>
      <c r="K4472" s="35"/>
      <c r="L4472" s="32"/>
      <c r="M4472" s="32"/>
    </row>
    <row r="4473" customFormat="false" ht="15" hidden="false" customHeight="true" outlineLevel="0" collapsed="false">
      <c r="A4473" s="32"/>
      <c r="B4473" s="32"/>
      <c r="C4473" s="32"/>
      <c r="D4473" s="32"/>
      <c r="E4473" s="34" t="str">
        <f aca="false">IF($B4473="","",IF($B4473="OUT","Liters",IFERROR(INDEX(Setup!$F$3:$F$24,MATCH($C4473,Setup!$A$3:$A$24,0)),"")))</f>
        <v/>
      </c>
      <c r="F4473" s="28" t="str">
        <f aca="false">IF(OR($D4473="",$E4473=""),"",IFERROR($D4473*INDEX(Setup!$B$27:$B$44,MATCH($E4473,Setup!$A$27:$A$44,0)),"TBD"))</f>
        <v/>
      </c>
      <c r="G4473" s="32"/>
      <c r="H4473" s="32"/>
      <c r="I4473" s="32"/>
      <c r="J4473" s="32"/>
      <c r="K4473" s="35"/>
      <c r="L4473" s="32"/>
      <c r="M4473" s="32"/>
    </row>
    <row r="4474" customFormat="false" ht="15" hidden="false" customHeight="true" outlineLevel="0" collapsed="false">
      <c r="A4474" s="32"/>
      <c r="B4474" s="32"/>
      <c r="C4474" s="32"/>
      <c r="D4474" s="32"/>
      <c r="E4474" s="34" t="str">
        <f aca="false">IF($B4474="","",IF($B4474="OUT","Liters",IFERROR(INDEX(Setup!$F$3:$F$24,MATCH($C4474,Setup!$A$3:$A$24,0)),"")))</f>
        <v/>
      </c>
      <c r="F4474" s="28" t="str">
        <f aca="false">IF(OR($D4474="",$E4474=""),"",IFERROR($D4474*INDEX(Setup!$B$27:$B$44,MATCH($E4474,Setup!$A$27:$A$44,0)),"TBD"))</f>
        <v/>
      </c>
      <c r="G4474" s="32"/>
      <c r="H4474" s="32"/>
      <c r="I4474" s="32"/>
      <c r="J4474" s="32"/>
      <c r="K4474" s="35"/>
      <c r="L4474" s="32"/>
      <c r="M4474" s="32"/>
    </row>
    <row r="4475" customFormat="false" ht="15" hidden="false" customHeight="true" outlineLevel="0" collapsed="false">
      <c r="A4475" s="32"/>
      <c r="B4475" s="32"/>
      <c r="C4475" s="32"/>
      <c r="D4475" s="32"/>
      <c r="E4475" s="34" t="str">
        <f aca="false">IF($B4475="","",IF($B4475="OUT","Liters",IFERROR(INDEX(Setup!$F$3:$F$24,MATCH($C4475,Setup!$A$3:$A$24,0)),"")))</f>
        <v/>
      </c>
      <c r="F4475" s="28" t="str">
        <f aca="false">IF(OR($D4475="",$E4475=""),"",IFERROR($D4475*INDEX(Setup!$B$27:$B$44,MATCH($E4475,Setup!$A$27:$A$44,0)),"TBD"))</f>
        <v/>
      </c>
      <c r="G4475" s="32"/>
      <c r="H4475" s="32"/>
      <c r="I4475" s="32"/>
      <c r="J4475" s="32"/>
      <c r="K4475" s="35"/>
      <c r="L4475" s="32"/>
      <c r="M4475" s="32"/>
    </row>
    <row r="4476" customFormat="false" ht="15" hidden="false" customHeight="true" outlineLevel="0" collapsed="false">
      <c r="A4476" s="32"/>
      <c r="B4476" s="32"/>
      <c r="C4476" s="32"/>
      <c r="D4476" s="32"/>
      <c r="E4476" s="34" t="str">
        <f aca="false">IF($B4476="","",IF($B4476="OUT","Liters",IFERROR(INDEX(Setup!$F$3:$F$24,MATCH($C4476,Setup!$A$3:$A$24,0)),"")))</f>
        <v/>
      </c>
      <c r="F4476" s="28" t="str">
        <f aca="false">IF(OR($D4476="",$E4476=""),"",IFERROR($D4476*INDEX(Setup!$B$27:$B$44,MATCH($E4476,Setup!$A$27:$A$44,0)),"TBD"))</f>
        <v/>
      </c>
      <c r="G4476" s="32"/>
      <c r="H4476" s="32"/>
      <c r="I4476" s="32"/>
      <c r="J4476" s="32"/>
      <c r="K4476" s="35"/>
      <c r="L4476" s="32"/>
      <c r="M4476" s="32"/>
    </row>
    <row r="4477" customFormat="false" ht="15" hidden="false" customHeight="true" outlineLevel="0" collapsed="false">
      <c r="A4477" s="32"/>
      <c r="B4477" s="32"/>
      <c r="C4477" s="32"/>
      <c r="D4477" s="32"/>
      <c r="E4477" s="34" t="str">
        <f aca="false">IF($B4477="","",IF($B4477="OUT","Liters",IFERROR(INDEX(Setup!$F$3:$F$24,MATCH($C4477,Setup!$A$3:$A$24,0)),"")))</f>
        <v/>
      </c>
      <c r="F4477" s="28" t="str">
        <f aca="false">IF(OR($D4477="",$E4477=""),"",IFERROR($D4477*INDEX(Setup!$B$27:$B$44,MATCH($E4477,Setup!$A$27:$A$44,0)),"TBD"))</f>
        <v/>
      </c>
      <c r="G4477" s="32"/>
      <c r="H4477" s="32"/>
      <c r="I4477" s="32"/>
      <c r="J4477" s="32"/>
      <c r="K4477" s="35"/>
      <c r="L4477" s="32"/>
      <c r="M4477" s="32"/>
    </row>
    <row r="4478" customFormat="false" ht="15" hidden="false" customHeight="true" outlineLevel="0" collapsed="false">
      <c r="A4478" s="32"/>
      <c r="B4478" s="32"/>
      <c r="C4478" s="32"/>
      <c r="D4478" s="32"/>
      <c r="E4478" s="34" t="str">
        <f aca="false">IF($B4478="","",IF($B4478="OUT","Liters",IFERROR(INDEX(Setup!$F$3:$F$24,MATCH($C4478,Setup!$A$3:$A$24,0)),"")))</f>
        <v/>
      </c>
      <c r="F4478" s="28" t="str">
        <f aca="false">IF(OR($D4478="",$E4478=""),"",IFERROR($D4478*INDEX(Setup!$B$27:$B$44,MATCH($E4478,Setup!$A$27:$A$44,0)),"TBD"))</f>
        <v/>
      </c>
      <c r="G4478" s="32"/>
      <c r="H4478" s="32"/>
      <c r="I4478" s="32"/>
      <c r="J4478" s="32"/>
      <c r="K4478" s="35"/>
      <c r="L4478" s="32"/>
      <c r="M4478" s="32"/>
    </row>
    <row r="4479" customFormat="false" ht="15" hidden="false" customHeight="true" outlineLevel="0" collapsed="false">
      <c r="A4479" s="32"/>
      <c r="B4479" s="32"/>
      <c r="C4479" s="32"/>
      <c r="D4479" s="32"/>
      <c r="E4479" s="34" t="str">
        <f aca="false">IF($B4479="","",IF($B4479="OUT","Liters",IFERROR(INDEX(Setup!$F$3:$F$24,MATCH($C4479,Setup!$A$3:$A$24,0)),"")))</f>
        <v/>
      </c>
      <c r="F4479" s="28" t="str">
        <f aca="false">IF(OR($D4479="",$E4479=""),"",IFERROR($D4479*INDEX(Setup!$B$27:$B$44,MATCH($E4479,Setup!$A$27:$A$44,0)),"TBD"))</f>
        <v/>
      </c>
      <c r="G4479" s="32"/>
      <c r="H4479" s="32"/>
      <c r="I4479" s="32"/>
      <c r="J4479" s="32"/>
      <c r="K4479" s="35"/>
      <c r="L4479" s="32"/>
      <c r="M4479" s="32"/>
    </row>
    <row r="4480" customFormat="false" ht="15" hidden="false" customHeight="true" outlineLevel="0" collapsed="false">
      <c r="A4480" s="32"/>
      <c r="B4480" s="32"/>
      <c r="C4480" s="32"/>
      <c r="D4480" s="32"/>
      <c r="E4480" s="34" t="str">
        <f aca="false">IF($B4480="","",IF($B4480="OUT","Liters",IFERROR(INDEX(Setup!$F$3:$F$24,MATCH($C4480,Setup!$A$3:$A$24,0)),"")))</f>
        <v/>
      </c>
      <c r="F4480" s="28" t="str">
        <f aca="false">IF(OR($D4480="",$E4480=""),"",IFERROR($D4480*INDEX(Setup!$B$27:$B$44,MATCH($E4480,Setup!$A$27:$A$44,0)),"TBD"))</f>
        <v/>
      </c>
      <c r="G4480" s="32"/>
      <c r="H4480" s="32"/>
      <c r="I4480" s="32"/>
      <c r="J4480" s="32"/>
      <c r="K4480" s="35"/>
      <c r="L4480" s="32"/>
      <c r="M4480" s="32"/>
    </row>
    <row r="4481" customFormat="false" ht="15" hidden="false" customHeight="true" outlineLevel="0" collapsed="false">
      <c r="A4481" s="32"/>
      <c r="B4481" s="32"/>
      <c r="C4481" s="32"/>
      <c r="D4481" s="32"/>
      <c r="E4481" s="34" t="str">
        <f aca="false">IF($B4481="","",IF($B4481="OUT","Liters",IFERROR(INDEX(Setup!$F$3:$F$24,MATCH($C4481,Setup!$A$3:$A$24,0)),"")))</f>
        <v/>
      </c>
      <c r="F4481" s="28" t="str">
        <f aca="false">IF(OR($D4481="",$E4481=""),"",IFERROR($D4481*INDEX(Setup!$B$27:$B$44,MATCH($E4481,Setup!$A$27:$A$44,0)),"TBD"))</f>
        <v/>
      </c>
      <c r="G4481" s="32"/>
      <c r="H4481" s="32"/>
      <c r="I4481" s="32"/>
      <c r="J4481" s="32"/>
      <c r="K4481" s="35"/>
      <c r="L4481" s="32"/>
      <c r="M4481" s="32"/>
    </row>
    <row r="4482" customFormat="false" ht="15" hidden="false" customHeight="true" outlineLevel="0" collapsed="false">
      <c r="A4482" s="32"/>
      <c r="B4482" s="32"/>
      <c r="C4482" s="32"/>
      <c r="D4482" s="32"/>
      <c r="E4482" s="34" t="str">
        <f aca="false">IF($B4482="","",IF($B4482="OUT","Liters",IFERROR(INDEX(Setup!$F$3:$F$24,MATCH($C4482,Setup!$A$3:$A$24,0)),"")))</f>
        <v/>
      </c>
      <c r="F4482" s="28" t="str">
        <f aca="false">IF(OR($D4482="",$E4482=""),"",IFERROR($D4482*INDEX(Setup!$B$27:$B$44,MATCH($E4482,Setup!$A$27:$A$44,0)),"TBD"))</f>
        <v/>
      </c>
      <c r="G4482" s="32"/>
      <c r="H4482" s="32"/>
      <c r="I4482" s="32"/>
      <c r="J4482" s="32"/>
      <c r="K4482" s="35"/>
      <c r="L4482" s="32"/>
      <c r="M4482" s="32"/>
    </row>
    <row r="4483" customFormat="false" ht="15" hidden="false" customHeight="true" outlineLevel="0" collapsed="false">
      <c r="A4483" s="32"/>
      <c r="B4483" s="32"/>
      <c r="C4483" s="32"/>
      <c r="D4483" s="32"/>
      <c r="E4483" s="34" t="str">
        <f aca="false">IF($B4483="","",IF($B4483="OUT","Liters",IFERROR(INDEX(Setup!$F$3:$F$24,MATCH($C4483,Setup!$A$3:$A$24,0)),"")))</f>
        <v/>
      </c>
      <c r="F4483" s="28" t="str">
        <f aca="false">IF(OR($D4483="",$E4483=""),"",IFERROR($D4483*INDEX(Setup!$B$27:$B$44,MATCH($E4483,Setup!$A$27:$A$44,0)),"TBD"))</f>
        <v/>
      </c>
      <c r="G4483" s="32"/>
      <c r="H4483" s="32"/>
      <c r="I4483" s="32"/>
      <c r="J4483" s="32"/>
      <c r="K4483" s="35"/>
      <c r="L4483" s="32"/>
      <c r="M4483" s="32"/>
    </row>
    <row r="4484" customFormat="false" ht="15" hidden="false" customHeight="true" outlineLevel="0" collapsed="false">
      <c r="A4484" s="32"/>
      <c r="B4484" s="32"/>
      <c r="C4484" s="32"/>
      <c r="D4484" s="32"/>
      <c r="E4484" s="34" t="str">
        <f aca="false">IF($B4484="","",IF($B4484="OUT","Liters",IFERROR(INDEX(Setup!$F$3:$F$24,MATCH($C4484,Setup!$A$3:$A$24,0)),"")))</f>
        <v/>
      </c>
      <c r="F4484" s="28" t="str">
        <f aca="false">IF(OR($D4484="",$E4484=""),"",IFERROR($D4484*INDEX(Setup!$B$27:$B$44,MATCH($E4484,Setup!$A$27:$A$44,0)),"TBD"))</f>
        <v/>
      </c>
      <c r="G4484" s="32"/>
      <c r="H4484" s="32"/>
      <c r="I4484" s="32"/>
      <c r="J4484" s="32"/>
      <c r="K4484" s="35"/>
      <c r="L4484" s="32"/>
      <c r="M4484" s="32"/>
    </row>
    <row r="4485" customFormat="false" ht="15" hidden="false" customHeight="true" outlineLevel="0" collapsed="false">
      <c r="A4485" s="32"/>
      <c r="B4485" s="32"/>
      <c r="C4485" s="32"/>
      <c r="D4485" s="32"/>
      <c r="E4485" s="34" t="str">
        <f aca="false">IF($B4485="","",IF($B4485="OUT","Liters",IFERROR(INDEX(Setup!$F$3:$F$24,MATCH($C4485,Setup!$A$3:$A$24,0)),"")))</f>
        <v/>
      </c>
      <c r="F4485" s="28" t="str">
        <f aca="false">IF(OR($D4485="",$E4485=""),"",IFERROR($D4485*INDEX(Setup!$B$27:$B$44,MATCH($E4485,Setup!$A$27:$A$44,0)),"TBD"))</f>
        <v/>
      </c>
      <c r="G4485" s="32"/>
      <c r="H4485" s="32"/>
      <c r="I4485" s="32"/>
      <c r="J4485" s="32"/>
      <c r="K4485" s="35"/>
      <c r="L4485" s="32"/>
      <c r="M4485" s="32"/>
    </row>
    <row r="4486" customFormat="false" ht="15" hidden="false" customHeight="true" outlineLevel="0" collapsed="false">
      <c r="A4486" s="32"/>
      <c r="B4486" s="32"/>
      <c r="C4486" s="32"/>
      <c r="D4486" s="32"/>
      <c r="E4486" s="34" t="str">
        <f aca="false">IF($B4486="","",IF($B4486="OUT","Liters",IFERROR(INDEX(Setup!$F$3:$F$24,MATCH($C4486,Setup!$A$3:$A$24,0)),"")))</f>
        <v/>
      </c>
      <c r="F4486" s="28" t="str">
        <f aca="false">IF(OR($D4486="",$E4486=""),"",IFERROR($D4486*INDEX(Setup!$B$27:$B$44,MATCH($E4486,Setup!$A$27:$A$44,0)),"TBD"))</f>
        <v/>
      </c>
      <c r="G4486" s="32"/>
      <c r="H4486" s="32"/>
      <c r="I4486" s="32"/>
      <c r="J4486" s="32"/>
      <c r="K4486" s="35"/>
      <c r="L4486" s="32"/>
      <c r="M4486" s="32"/>
    </row>
    <row r="4487" customFormat="false" ht="15" hidden="false" customHeight="true" outlineLevel="0" collapsed="false">
      <c r="A4487" s="32"/>
      <c r="B4487" s="32"/>
      <c r="C4487" s="32"/>
      <c r="D4487" s="32"/>
      <c r="E4487" s="34" t="str">
        <f aca="false">IF($B4487="","",IF($B4487="OUT","Liters",IFERROR(INDEX(Setup!$F$3:$F$24,MATCH($C4487,Setup!$A$3:$A$24,0)),"")))</f>
        <v/>
      </c>
      <c r="F4487" s="28" t="str">
        <f aca="false">IF(OR($D4487="",$E4487=""),"",IFERROR($D4487*INDEX(Setup!$B$27:$B$44,MATCH($E4487,Setup!$A$27:$A$44,0)),"TBD"))</f>
        <v/>
      </c>
      <c r="G4487" s="32"/>
      <c r="H4487" s="32"/>
      <c r="I4487" s="32"/>
      <c r="J4487" s="32"/>
      <c r="K4487" s="35"/>
      <c r="L4487" s="32"/>
      <c r="M4487" s="32"/>
    </row>
    <row r="4488" customFormat="false" ht="15" hidden="false" customHeight="true" outlineLevel="0" collapsed="false">
      <c r="A4488" s="32"/>
      <c r="B4488" s="32"/>
      <c r="C4488" s="32"/>
      <c r="D4488" s="32"/>
      <c r="E4488" s="34" t="str">
        <f aca="false">IF($B4488="","",IF($B4488="OUT","Liters",IFERROR(INDEX(Setup!$F$3:$F$24,MATCH($C4488,Setup!$A$3:$A$24,0)),"")))</f>
        <v/>
      </c>
      <c r="F4488" s="28" t="str">
        <f aca="false">IF(OR($D4488="",$E4488=""),"",IFERROR($D4488*INDEX(Setup!$B$27:$B$44,MATCH($E4488,Setup!$A$27:$A$44,0)),"TBD"))</f>
        <v/>
      </c>
      <c r="G4488" s="32"/>
      <c r="H4488" s="32"/>
      <c r="I4488" s="32"/>
      <c r="J4488" s="32"/>
      <c r="K4488" s="35"/>
      <c r="L4488" s="32"/>
      <c r="M4488" s="32"/>
    </row>
    <row r="4489" customFormat="false" ht="15" hidden="false" customHeight="true" outlineLevel="0" collapsed="false">
      <c r="A4489" s="32"/>
      <c r="B4489" s="32"/>
      <c r="C4489" s="32"/>
      <c r="D4489" s="32"/>
      <c r="E4489" s="34" t="str">
        <f aca="false">IF($B4489="","",IF($B4489="OUT","Liters",IFERROR(INDEX(Setup!$F$3:$F$24,MATCH($C4489,Setup!$A$3:$A$24,0)),"")))</f>
        <v/>
      </c>
      <c r="F4489" s="28" t="str">
        <f aca="false">IF(OR($D4489="",$E4489=""),"",IFERROR($D4489*INDEX(Setup!$B$27:$B$44,MATCH($E4489,Setup!$A$27:$A$44,0)),"TBD"))</f>
        <v/>
      </c>
      <c r="G4489" s="32"/>
      <c r="H4489" s="32"/>
      <c r="I4489" s="32"/>
      <c r="J4489" s="32"/>
      <c r="K4489" s="35"/>
      <c r="L4489" s="32"/>
      <c r="M4489" s="32"/>
    </row>
    <row r="4490" customFormat="false" ht="15" hidden="false" customHeight="true" outlineLevel="0" collapsed="false">
      <c r="A4490" s="32"/>
      <c r="B4490" s="32"/>
      <c r="C4490" s="32"/>
      <c r="D4490" s="32"/>
      <c r="E4490" s="34" t="str">
        <f aca="false">IF($B4490="","",IF($B4490="OUT","Liters",IFERROR(INDEX(Setup!$F$3:$F$24,MATCH($C4490,Setup!$A$3:$A$24,0)),"")))</f>
        <v/>
      </c>
      <c r="F4490" s="28" t="str">
        <f aca="false">IF(OR($D4490="",$E4490=""),"",IFERROR($D4490*INDEX(Setup!$B$27:$B$44,MATCH($E4490,Setup!$A$27:$A$44,0)),"TBD"))</f>
        <v/>
      </c>
      <c r="G4490" s="32"/>
      <c r="H4490" s="32"/>
      <c r="I4490" s="32"/>
      <c r="J4490" s="32"/>
      <c r="K4490" s="35"/>
      <c r="L4490" s="32"/>
      <c r="M4490" s="32"/>
    </row>
    <row r="4491" customFormat="false" ht="15" hidden="false" customHeight="true" outlineLevel="0" collapsed="false">
      <c r="A4491" s="32"/>
      <c r="B4491" s="32"/>
      <c r="C4491" s="32"/>
      <c r="D4491" s="32"/>
      <c r="E4491" s="34" t="str">
        <f aca="false">IF($B4491="","",IF($B4491="OUT","Liters",IFERROR(INDEX(Setup!$F$3:$F$24,MATCH($C4491,Setup!$A$3:$A$24,0)),"")))</f>
        <v/>
      </c>
      <c r="F4491" s="28" t="str">
        <f aca="false">IF(OR($D4491="",$E4491=""),"",IFERROR($D4491*INDEX(Setup!$B$27:$B$44,MATCH($E4491,Setup!$A$27:$A$44,0)),"TBD"))</f>
        <v/>
      </c>
      <c r="G4491" s="32"/>
      <c r="H4491" s="32"/>
      <c r="I4491" s="32"/>
      <c r="J4491" s="32"/>
      <c r="K4491" s="35"/>
      <c r="L4491" s="32"/>
      <c r="M4491" s="32"/>
    </row>
    <row r="4492" customFormat="false" ht="15" hidden="false" customHeight="true" outlineLevel="0" collapsed="false">
      <c r="A4492" s="32"/>
      <c r="B4492" s="32"/>
      <c r="C4492" s="32"/>
      <c r="D4492" s="32"/>
      <c r="E4492" s="34" t="str">
        <f aca="false">IF($B4492="","",IF($B4492="OUT","Liters",IFERROR(INDEX(Setup!$F$3:$F$24,MATCH($C4492,Setup!$A$3:$A$24,0)),"")))</f>
        <v/>
      </c>
      <c r="F4492" s="28" t="str">
        <f aca="false">IF(OR($D4492="",$E4492=""),"",IFERROR($D4492*INDEX(Setup!$B$27:$B$44,MATCH($E4492,Setup!$A$27:$A$44,0)),"TBD"))</f>
        <v/>
      </c>
      <c r="G4492" s="32"/>
      <c r="H4492" s="32"/>
      <c r="I4492" s="32"/>
      <c r="J4492" s="32"/>
      <c r="K4492" s="35"/>
      <c r="L4492" s="32"/>
      <c r="M4492" s="32"/>
    </row>
    <row r="4493" customFormat="false" ht="15" hidden="false" customHeight="true" outlineLevel="0" collapsed="false">
      <c r="A4493" s="32"/>
      <c r="B4493" s="32"/>
      <c r="C4493" s="32"/>
      <c r="D4493" s="32"/>
      <c r="E4493" s="34" t="str">
        <f aca="false">IF($B4493="","",IF($B4493="OUT","Liters",IFERROR(INDEX(Setup!$F$3:$F$24,MATCH($C4493,Setup!$A$3:$A$24,0)),"")))</f>
        <v/>
      </c>
      <c r="F4493" s="28" t="str">
        <f aca="false">IF(OR($D4493="",$E4493=""),"",IFERROR($D4493*INDEX(Setup!$B$27:$B$44,MATCH($E4493,Setup!$A$27:$A$44,0)),"TBD"))</f>
        <v/>
      </c>
      <c r="G4493" s="32"/>
      <c r="H4493" s="32"/>
      <c r="I4493" s="32"/>
      <c r="J4493" s="32"/>
      <c r="K4493" s="35"/>
      <c r="L4493" s="32"/>
      <c r="M4493" s="32"/>
    </row>
    <row r="4494" customFormat="false" ht="15" hidden="false" customHeight="true" outlineLevel="0" collapsed="false">
      <c r="A4494" s="32"/>
      <c r="B4494" s="32"/>
      <c r="C4494" s="32"/>
      <c r="D4494" s="32"/>
      <c r="E4494" s="34" t="str">
        <f aca="false">IF($B4494="","",IF($B4494="OUT","Liters",IFERROR(INDEX(Setup!$F$3:$F$24,MATCH($C4494,Setup!$A$3:$A$24,0)),"")))</f>
        <v/>
      </c>
      <c r="F4494" s="28" t="str">
        <f aca="false">IF(OR($D4494="",$E4494=""),"",IFERROR($D4494*INDEX(Setup!$B$27:$B$44,MATCH($E4494,Setup!$A$27:$A$44,0)),"TBD"))</f>
        <v/>
      </c>
      <c r="G4494" s="32"/>
      <c r="H4494" s="32"/>
      <c r="I4494" s="32"/>
      <c r="J4494" s="32"/>
      <c r="K4494" s="35"/>
      <c r="L4494" s="32"/>
      <c r="M4494" s="32"/>
    </row>
    <row r="4495" customFormat="false" ht="15" hidden="false" customHeight="true" outlineLevel="0" collapsed="false">
      <c r="A4495" s="32"/>
      <c r="B4495" s="32"/>
      <c r="C4495" s="32"/>
      <c r="D4495" s="32"/>
      <c r="E4495" s="34" t="str">
        <f aca="false">IF($B4495="","",IF($B4495="OUT","Liters",IFERROR(INDEX(Setup!$F$3:$F$24,MATCH($C4495,Setup!$A$3:$A$24,0)),"")))</f>
        <v/>
      </c>
      <c r="F4495" s="28" t="str">
        <f aca="false">IF(OR($D4495="",$E4495=""),"",IFERROR($D4495*INDEX(Setup!$B$27:$B$44,MATCH($E4495,Setup!$A$27:$A$44,0)),"TBD"))</f>
        <v/>
      </c>
      <c r="G4495" s="32"/>
      <c r="H4495" s="32"/>
      <c r="I4495" s="32"/>
      <c r="J4495" s="32"/>
      <c r="K4495" s="35"/>
      <c r="L4495" s="32"/>
      <c r="M4495" s="32"/>
    </row>
    <row r="4496" customFormat="false" ht="15" hidden="false" customHeight="true" outlineLevel="0" collapsed="false">
      <c r="A4496" s="32"/>
      <c r="B4496" s="32"/>
      <c r="C4496" s="32"/>
      <c r="D4496" s="32"/>
      <c r="E4496" s="34" t="str">
        <f aca="false">IF($B4496="","",IF($B4496="OUT","Liters",IFERROR(INDEX(Setup!$F$3:$F$24,MATCH($C4496,Setup!$A$3:$A$24,0)),"")))</f>
        <v/>
      </c>
      <c r="F4496" s="28" t="str">
        <f aca="false">IF(OR($D4496="",$E4496=""),"",IFERROR($D4496*INDEX(Setup!$B$27:$B$44,MATCH($E4496,Setup!$A$27:$A$44,0)),"TBD"))</f>
        <v/>
      </c>
      <c r="G4496" s="32"/>
      <c r="H4496" s="32"/>
      <c r="I4496" s="32"/>
      <c r="J4496" s="32"/>
      <c r="K4496" s="35"/>
      <c r="L4496" s="32"/>
      <c r="M4496" s="32"/>
    </row>
    <row r="4497" customFormat="false" ht="15" hidden="false" customHeight="true" outlineLevel="0" collapsed="false">
      <c r="A4497" s="32"/>
      <c r="B4497" s="32"/>
      <c r="C4497" s="32"/>
      <c r="D4497" s="32"/>
      <c r="E4497" s="34" t="str">
        <f aca="false">IF($B4497="","",IF($B4497="OUT","Liters",IFERROR(INDEX(Setup!$F$3:$F$24,MATCH($C4497,Setup!$A$3:$A$24,0)),"")))</f>
        <v/>
      </c>
      <c r="F4497" s="28" t="str">
        <f aca="false">IF(OR($D4497="",$E4497=""),"",IFERROR($D4497*INDEX(Setup!$B$27:$B$44,MATCH($E4497,Setup!$A$27:$A$44,0)),"TBD"))</f>
        <v/>
      </c>
      <c r="G4497" s="32"/>
      <c r="H4497" s="32"/>
      <c r="I4497" s="32"/>
      <c r="J4497" s="32"/>
      <c r="K4497" s="35"/>
      <c r="L4497" s="32"/>
      <c r="M4497" s="32"/>
    </row>
    <row r="4498" customFormat="false" ht="15" hidden="false" customHeight="true" outlineLevel="0" collapsed="false">
      <c r="A4498" s="32"/>
      <c r="B4498" s="32"/>
      <c r="C4498" s="32"/>
      <c r="D4498" s="32"/>
      <c r="E4498" s="34" t="str">
        <f aca="false">IF($B4498="","",IF($B4498="OUT","Liters",IFERROR(INDEX(Setup!$F$3:$F$24,MATCH($C4498,Setup!$A$3:$A$24,0)),"")))</f>
        <v/>
      </c>
      <c r="F4498" s="28" t="str">
        <f aca="false">IF(OR($D4498="",$E4498=""),"",IFERROR($D4498*INDEX(Setup!$B$27:$B$44,MATCH($E4498,Setup!$A$27:$A$44,0)),"TBD"))</f>
        <v/>
      </c>
      <c r="G4498" s="32"/>
      <c r="H4498" s="32"/>
      <c r="I4498" s="32"/>
      <c r="J4498" s="32"/>
      <c r="K4498" s="35"/>
      <c r="L4498" s="32"/>
      <c r="M4498" s="32"/>
    </row>
    <row r="4499" customFormat="false" ht="15" hidden="false" customHeight="true" outlineLevel="0" collapsed="false">
      <c r="A4499" s="32"/>
      <c r="B4499" s="32"/>
      <c r="C4499" s="32"/>
      <c r="D4499" s="32"/>
      <c r="E4499" s="34" t="str">
        <f aca="false">IF($B4499="","",IF($B4499="OUT","Liters",IFERROR(INDEX(Setup!$F$3:$F$24,MATCH($C4499,Setup!$A$3:$A$24,0)),"")))</f>
        <v/>
      </c>
      <c r="F4499" s="28" t="str">
        <f aca="false">IF(OR($D4499="",$E4499=""),"",IFERROR($D4499*INDEX(Setup!$B$27:$B$44,MATCH($E4499,Setup!$A$27:$A$44,0)),"TBD"))</f>
        <v/>
      </c>
      <c r="G4499" s="32"/>
      <c r="H4499" s="32"/>
      <c r="I4499" s="32"/>
      <c r="J4499" s="32"/>
      <c r="K4499" s="35"/>
      <c r="L4499" s="32"/>
      <c r="M4499" s="32"/>
    </row>
    <row r="4500" customFormat="false" ht="15" hidden="false" customHeight="true" outlineLevel="0" collapsed="false">
      <c r="A4500" s="32"/>
      <c r="B4500" s="32"/>
      <c r="C4500" s="32"/>
      <c r="D4500" s="32"/>
      <c r="E4500" s="34" t="str">
        <f aca="false">IF($B4500="","",IF($B4500="OUT","Liters",IFERROR(INDEX(Setup!$F$3:$F$24,MATCH($C4500,Setup!$A$3:$A$24,0)),"")))</f>
        <v/>
      </c>
      <c r="F4500" s="28" t="str">
        <f aca="false">IF(OR($D4500="",$E4500=""),"",IFERROR($D4500*INDEX(Setup!$B$27:$B$44,MATCH($E4500,Setup!$A$27:$A$44,0)),"TBD"))</f>
        <v/>
      </c>
      <c r="G4500" s="32"/>
      <c r="H4500" s="32"/>
      <c r="I4500" s="32"/>
      <c r="J4500" s="32"/>
      <c r="K4500" s="35"/>
      <c r="L4500" s="32"/>
      <c r="M4500" s="32"/>
    </row>
    <row r="4501" customFormat="false" ht="15" hidden="false" customHeight="true" outlineLevel="0" collapsed="false">
      <c r="A4501" s="32"/>
      <c r="B4501" s="32"/>
      <c r="C4501" s="32"/>
      <c r="D4501" s="32"/>
      <c r="E4501" s="34" t="str">
        <f aca="false">IF($B4501="","",IF($B4501="OUT","Liters",IFERROR(INDEX(Setup!$F$3:$F$24,MATCH($C4501,Setup!$A$3:$A$24,0)),"")))</f>
        <v/>
      </c>
      <c r="F4501" s="28" t="str">
        <f aca="false">IF(OR($D4501="",$E4501=""),"",IFERROR($D4501*INDEX(Setup!$B$27:$B$44,MATCH($E4501,Setup!$A$27:$A$44,0)),"TBD"))</f>
        <v/>
      </c>
      <c r="G4501" s="32"/>
      <c r="H4501" s="32"/>
      <c r="I4501" s="32"/>
      <c r="J4501" s="32"/>
      <c r="K4501" s="35"/>
      <c r="L4501" s="32"/>
      <c r="M4501" s="32"/>
    </row>
    <row r="4502" customFormat="false" ht="15" hidden="false" customHeight="true" outlineLevel="0" collapsed="false">
      <c r="A4502" s="32"/>
      <c r="B4502" s="32"/>
      <c r="C4502" s="32"/>
      <c r="D4502" s="32"/>
      <c r="E4502" s="34" t="str">
        <f aca="false">IF($B4502="","",IF($B4502="OUT","Liters",IFERROR(INDEX(Setup!$F$3:$F$24,MATCH($C4502,Setup!$A$3:$A$24,0)),"")))</f>
        <v/>
      </c>
      <c r="F4502" s="28" t="str">
        <f aca="false">IF(OR($D4502="",$E4502=""),"",IFERROR($D4502*INDEX(Setup!$B$27:$B$44,MATCH($E4502,Setup!$A$27:$A$44,0)),"TBD"))</f>
        <v/>
      </c>
      <c r="G4502" s="32"/>
      <c r="H4502" s="32"/>
      <c r="I4502" s="32"/>
      <c r="J4502" s="32"/>
      <c r="K4502" s="35"/>
      <c r="L4502" s="32"/>
      <c r="M4502" s="32"/>
    </row>
    <row r="4503" customFormat="false" ht="15" hidden="false" customHeight="true" outlineLevel="0" collapsed="false">
      <c r="A4503" s="32"/>
      <c r="B4503" s="32"/>
      <c r="C4503" s="32"/>
      <c r="D4503" s="32"/>
      <c r="E4503" s="34" t="str">
        <f aca="false">IF($B4503="","",IF($B4503="OUT","Liters",IFERROR(INDEX(Setup!$F$3:$F$24,MATCH($C4503,Setup!$A$3:$A$24,0)),"")))</f>
        <v/>
      </c>
      <c r="F4503" s="28" t="str">
        <f aca="false">IF(OR($D4503="",$E4503=""),"",IFERROR($D4503*INDEX(Setup!$B$27:$B$44,MATCH($E4503,Setup!$A$27:$A$44,0)),"TBD"))</f>
        <v/>
      </c>
      <c r="G4503" s="32"/>
      <c r="H4503" s="32"/>
      <c r="I4503" s="32"/>
      <c r="J4503" s="32"/>
      <c r="K4503" s="35"/>
      <c r="L4503" s="32"/>
      <c r="M4503" s="32"/>
    </row>
    <row r="4504" customFormat="false" ht="15" hidden="false" customHeight="true" outlineLevel="0" collapsed="false">
      <c r="A4504" s="32"/>
      <c r="B4504" s="32"/>
      <c r="C4504" s="32"/>
      <c r="D4504" s="32"/>
      <c r="E4504" s="34" t="str">
        <f aca="false">IF($B4504="","",IF($B4504="OUT","Liters",IFERROR(INDEX(Setup!$F$3:$F$24,MATCH($C4504,Setup!$A$3:$A$24,0)),"")))</f>
        <v/>
      </c>
      <c r="F4504" s="28" t="str">
        <f aca="false">IF(OR($D4504="",$E4504=""),"",IFERROR($D4504*INDEX(Setup!$B$27:$B$44,MATCH($E4504,Setup!$A$27:$A$44,0)),"TBD"))</f>
        <v/>
      </c>
      <c r="G4504" s="32"/>
      <c r="H4504" s="32"/>
      <c r="I4504" s="32"/>
      <c r="J4504" s="32"/>
      <c r="K4504" s="35"/>
      <c r="L4504" s="32"/>
      <c r="M4504" s="32"/>
    </row>
    <row r="4505" customFormat="false" ht="15" hidden="false" customHeight="true" outlineLevel="0" collapsed="false">
      <c r="A4505" s="32"/>
      <c r="B4505" s="32"/>
      <c r="C4505" s="32"/>
      <c r="D4505" s="32"/>
      <c r="E4505" s="34" t="str">
        <f aca="false">IF($B4505="","",IF($B4505="OUT","Liters",IFERROR(INDEX(Setup!$F$3:$F$24,MATCH($C4505,Setup!$A$3:$A$24,0)),"")))</f>
        <v/>
      </c>
      <c r="F4505" s="28" t="str">
        <f aca="false">IF(OR($D4505="",$E4505=""),"",IFERROR($D4505*INDEX(Setup!$B$27:$B$44,MATCH($E4505,Setup!$A$27:$A$44,0)),"TBD"))</f>
        <v/>
      </c>
      <c r="G4505" s="32"/>
      <c r="H4505" s="32"/>
      <c r="I4505" s="32"/>
      <c r="J4505" s="32"/>
      <c r="K4505" s="35"/>
      <c r="L4505" s="32"/>
      <c r="M4505" s="32"/>
    </row>
    <row r="4506" customFormat="false" ht="15" hidden="false" customHeight="true" outlineLevel="0" collapsed="false">
      <c r="A4506" s="32"/>
      <c r="B4506" s="32"/>
      <c r="C4506" s="32"/>
      <c r="D4506" s="32"/>
      <c r="E4506" s="34" t="str">
        <f aca="false">IF($B4506="","",IF($B4506="OUT","Liters",IFERROR(INDEX(Setup!$F$3:$F$24,MATCH($C4506,Setup!$A$3:$A$24,0)),"")))</f>
        <v/>
      </c>
      <c r="F4506" s="28" t="str">
        <f aca="false">IF(OR($D4506="",$E4506=""),"",IFERROR($D4506*INDEX(Setup!$B$27:$B$44,MATCH($E4506,Setup!$A$27:$A$44,0)),"TBD"))</f>
        <v/>
      </c>
      <c r="G4506" s="32"/>
      <c r="H4506" s="32"/>
      <c r="I4506" s="32"/>
      <c r="J4506" s="32"/>
      <c r="K4506" s="35"/>
      <c r="L4506" s="32"/>
      <c r="M4506" s="32"/>
    </row>
    <row r="4507" customFormat="false" ht="15" hidden="false" customHeight="true" outlineLevel="0" collapsed="false">
      <c r="A4507" s="32"/>
      <c r="B4507" s="32"/>
      <c r="C4507" s="32"/>
      <c r="D4507" s="32"/>
      <c r="E4507" s="34" t="str">
        <f aca="false">IF($B4507="","",IF($B4507="OUT","Liters",IFERROR(INDEX(Setup!$F$3:$F$24,MATCH($C4507,Setup!$A$3:$A$24,0)),"")))</f>
        <v/>
      </c>
      <c r="F4507" s="28" t="str">
        <f aca="false">IF(OR($D4507="",$E4507=""),"",IFERROR($D4507*INDEX(Setup!$B$27:$B$44,MATCH($E4507,Setup!$A$27:$A$44,0)),"TBD"))</f>
        <v/>
      </c>
      <c r="G4507" s="32"/>
      <c r="H4507" s="32"/>
      <c r="I4507" s="32"/>
      <c r="J4507" s="32"/>
      <c r="K4507" s="35"/>
      <c r="L4507" s="32"/>
      <c r="M4507" s="32"/>
    </row>
    <row r="4508" customFormat="false" ht="15" hidden="false" customHeight="true" outlineLevel="0" collapsed="false">
      <c r="A4508" s="32"/>
      <c r="B4508" s="32"/>
      <c r="C4508" s="32"/>
      <c r="D4508" s="32"/>
      <c r="E4508" s="34" t="str">
        <f aca="false">IF($B4508="","",IF($B4508="OUT","Liters",IFERROR(INDEX(Setup!$F$3:$F$24,MATCH($C4508,Setup!$A$3:$A$24,0)),"")))</f>
        <v/>
      </c>
      <c r="F4508" s="28" t="str">
        <f aca="false">IF(OR($D4508="",$E4508=""),"",IFERROR($D4508*INDEX(Setup!$B$27:$B$44,MATCH($E4508,Setup!$A$27:$A$44,0)),"TBD"))</f>
        <v/>
      </c>
      <c r="G4508" s="32"/>
      <c r="H4508" s="32"/>
      <c r="I4508" s="32"/>
      <c r="J4508" s="32"/>
      <c r="K4508" s="35"/>
      <c r="L4508" s="32"/>
      <c r="M4508" s="32"/>
    </row>
    <row r="4509" customFormat="false" ht="15" hidden="false" customHeight="true" outlineLevel="0" collapsed="false">
      <c r="A4509" s="32"/>
      <c r="B4509" s="32"/>
      <c r="C4509" s="32"/>
      <c r="D4509" s="32"/>
      <c r="E4509" s="34" t="str">
        <f aca="false">IF($B4509="","",IF($B4509="OUT","Liters",IFERROR(INDEX(Setup!$F$3:$F$24,MATCH($C4509,Setup!$A$3:$A$24,0)),"")))</f>
        <v/>
      </c>
      <c r="F4509" s="28" t="str">
        <f aca="false">IF(OR($D4509="",$E4509=""),"",IFERROR($D4509*INDEX(Setup!$B$27:$B$44,MATCH($E4509,Setup!$A$27:$A$44,0)),"TBD"))</f>
        <v/>
      </c>
      <c r="G4509" s="32"/>
      <c r="H4509" s="32"/>
      <c r="I4509" s="32"/>
      <c r="J4509" s="32"/>
      <c r="K4509" s="35"/>
      <c r="L4509" s="32"/>
      <c r="M4509" s="32"/>
    </row>
    <row r="4510" customFormat="false" ht="15" hidden="false" customHeight="true" outlineLevel="0" collapsed="false">
      <c r="A4510" s="32"/>
      <c r="B4510" s="32"/>
      <c r="C4510" s="32"/>
      <c r="D4510" s="32"/>
      <c r="E4510" s="34" t="str">
        <f aca="false">IF($B4510="","",IF($B4510="OUT","Liters",IFERROR(INDEX(Setup!$F$3:$F$24,MATCH($C4510,Setup!$A$3:$A$24,0)),"")))</f>
        <v/>
      </c>
      <c r="F4510" s="28" t="str">
        <f aca="false">IF(OR($D4510="",$E4510=""),"",IFERROR($D4510*INDEX(Setup!$B$27:$B$44,MATCH($E4510,Setup!$A$27:$A$44,0)),"TBD"))</f>
        <v/>
      </c>
      <c r="G4510" s="32"/>
      <c r="H4510" s="32"/>
      <c r="I4510" s="32"/>
      <c r="J4510" s="32"/>
      <c r="K4510" s="35"/>
      <c r="L4510" s="32"/>
      <c r="M4510" s="32"/>
    </row>
    <row r="4511" customFormat="false" ht="15" hidden="false" customHeight="true" outlineLevel="0" collapsed="false">
      <c r="A4511" s="32"/>
      <c r="B4511" s="32"/>
      <c r="C4511" s="32"/>
      <c r="D4511" s="32"/>
      <c r="E4511" s="34" t="str">
        <f aca="false">IF($B4511="","",IF($B4511="OUT","Liters",IFERROR(INDEX(Setup!$F$3:$F$24,MATCH($C4511,Setup!$A$3:$A$24,0)),"")))</f>
        <v/>
      </c>
      <c r="F4511" s="28" t="str">
        <f aca="false">IF(OR($D4511="",$E4511=""),"",IFERROR($D4511*INDEX(Setup!$B$27:$B$44,MATCH($E4511,Setup!$A$27:$A$44,0)),"TBD"))</f>
        <v/>
      </c>
      <c r="G4511" s="32"/>
      <c r="H4511" s="32"/>
      <c r="I4511" s="32"/>
      <c r="J4511" s="32"/>
      <c r="K4511" s="35"/>
      <c r="L4511" s="32"/>
      <c r="M4511" s="32"/>
    </row>
    <row r="4512" customFormat="false" ht="15" hidden="false" customHeight="true" outlineLevel="0" collapsed="false">
      <c r="A4512" s="32"/>
      <c r="B4512" s="32"/>
      <c r="C4512" s="32"/>
      <c r="D4512" s="32"/>
      <c r="E4512" s="34" t="str">
        <f aca="false">IF($B4512="","",IF($B4512="OUT","Liters",IFERROR(INDEX(Setup!$F$3:$F$24,MATCH($C4512,Setup!$A$3:$A$24,0)),"")))</f>
        <v/>
      </c>
      <c r="F4512" s="28" t="str">
        <f aca="false">IF(OR($D4512="",$E4512=""),"",IFERROR($D4512*INDEX(Setup!$B$27:$B$44,MATCH($E4512,Setup!$A$27:$A$44,0)),"TBD"))</f>
        <v/>
      </c>
      <c r="G4512" s="32"/>
      <c r="H4512" s="32"/>
      <c r="I4512" s="32"/>
      <c r="J4512" s="32"/>
      <c r="K4512" s="35"/>
      <c r="L4512" s="32"/>
      <c r="M4512" s="32"/>
    </row>
    <row r="4513" customFormat="false" ht="15" hidden="false" customHeight="true" outlineLevel="0" collapsed="false">
      <c r="A4513" s="32"/>
      <c r="B4513" s="32"/>
      <c r="C4513" s="32"/>
      <c r="D4513" s="32"/>
      <c r="E4513" s="34" t="str">
        <f aca="false">IF($B4513="","",IF($B4513="OUT","Liters",IFERROR(INDEX(Setup!$F$3:$F$24,MATCH($C4513,Setup!$A$3:$A$24,0)),"")))</f>
        <v/>
      </c>
      <c r="F4513" s="28" t="str">
        <f aca="false">IF(OR($D4513="",$E4513=""),"",IFERROR($D4513*INDEX(Setup!$B$27:$B$44,MATCH($E4513,Setup!$A$27:$A$44,0)),"TBD"))</f>
        <v/>
      </c>
      <c r="G4513" s="32"/>
      <c r="H4513" s="32"/>
      <c r="I4513" s="32"/>
      <c r="J4513" s="32"/>
      <c r="K4513" s="35"/>
      <c r="L4513" s="32"/>
      <c r="M4513" s="32"/>
    </row>
    <row r="4514" customFormat="false" ht="15" hidden="false" customHeight="true" outlineLevel="0" collapsed="false">
      <c r="A4514" s="32"/>
      <c r="B4514" s="32"/>
      <c r="C4514" s="32"/>
      <c r="D4514" s="32"/>
      <c r="E4514" s="34" t="str">
        <f aca="false">IF($B4514="","",IF($B4514="OUT","Liters",IFERROR(INDEX(Setup!$F$3:$F$24,MATCH($C4514,Setup!$A$3:$A$24,0)),"")))</f>
        <v/>
      </c>
      <c r="F4514" s="28" t="str">
        <f aca="false">IF(OR($D4514="",$E4514=""),"",IFERROR($D4514*INDEX(Setup!$B$27:$B$44,MATCH($E4514,Setup!$A$27:$A$44,0)),"TBD"))</f>
        <v/>
      </c>
      <c r="G4514" s="32"/>
      <c r="H4514" s="32"/>
      <c r="I4514" s="32"/>
      <c r="J4514" s="32"/>
      <c r="K4514" s="35"/>
      <c r="L4514" s="32"/>
      <c r="M4514" s="32"/>
    </row>
    <row r="4515" customFormat="false" ht="15" hidden="false" customHeight="true" outlineLevel="0" collapsed="false">
      <c r="A4515" s="32"/>
      <c r="B4515" s="32"/>
      <c r="C4515" s="32"/>
      <c r="D4515" s="32"/>
      <c r="E4515" s="34" t="str">
        <f aca="false">IF($B4515="","",IF($B4515="OUT","Liters",IFERROR(INDEX(Setup!$F$3:$F$24,MATCH($C4515,Setup!$A$3:$A$24,0)),"")))</f>
        <v/>
      </c>
      <c r="F4515" s="28" t="str">
        <f aca="false">IF(OR($D4515="",$E4515=""),"",IFERROR($D4515*INDEX(Setup!$B$27:$B$44,MATCH($E4515,Setup!$A$27:$A$44,0)),"TBD"))</f>
        <v/>
      </c>
      <c r="G4515" s="32"/>
      <c r="H4515" s="32"/>
      <c r="I4515" s="32"/>
      <c r="J4515" s="32"/>
      <c r="K4515" s="35"/>
      <c r="L4515" s="32"/>
      <c r="M4515" s="32"/>
    </row>
    <row r="4516" customFormat="false" ht="15" hidden="false" customHeight="true" outlineLevel="0" collapsed="false">
      <c r="A4516" s="32"/>
      <c r="B4516" s="32"/>
      <c r="C4516" s="32"/>
      <c r="D4516" s="32"/>
      <c r="E4516" s="34" t="str">
        <f aca="false">IF($B4516="","",IF($B4516="OUT","Liters",IFERROR(INDEX(Setup!$F$3:$F$24,MATCH($C4516,Setup!$A$3:$A$24,0)),"")))</f>
        <v/>
      </c>
      <c r="F4516" s="28" t="str">
        <f aca="false">IF(OR($D4516="",$E4516=""),"",IFERROR($D4516*INDEX(Setup!$B$27:$B$44,MATCH($E4516,Setup!$A$27:$A$44,0)),"TBD"))</f>
        <v/>
      </c>
      <c r="G4516" s="32"/>
      <c r="H4516" s="32"/>
      <c r="I4516" s="32"/>
      <c r="J4516" s="32"/>
      <c r="K4516" s="35"/>
      <c r="L4516" s="32"/>
      <c r="M4516" s="32"/>
    </row>
    <row r="4517" customFormat="false" ht="15" hidden="false" customHeight="true" outlineLevel="0" collapsed="false">
      <c r="A4517" s="32"/>
      <c r="B4517" s="32"/>
      <c r="C4517" s="32"/>
      <c r="D4517" s="32"/>
      <c r="E4517" s="34" t="str">
        <f aca="false">IF($B4517="","",IF($B4517="OUT","Liters",IFERROR(INDEX(Setup!$F$3:$F$24,MATCH($C4517,Setup!$A$3:$A$24,0)),"")))</f>
        <v/>
      </c>
      <c r="F4517" s="28" t="str">
        <f aca="false">IF(OR($D4517="",$E4517=""),"",IFERROR($D4517*INDEX(Setup!$B$27:$B$44,MATCH($E4517,Setup!$A$27:$A$44,0)),"TBD"))</f>
        <v/>
      </c>
      <c r="G4517" s="32"/>
      <c r="H4517" s="32"/>
      <c r="I4517" s="32"/>
      <c r="J4517" s="32"/>
      <c r="K4517" s="35"/>
      <c r="L4517" s="32"/>
      <c r="M4517" s="32"/>
    </row>
    <row r="4518" customFormat="false" ht="15" hidden="false" customHeight="true" outlineLevel="0" collapsed="false">
      <c r="A4518" s="32"/>
      <c r="B4518" s="32"/>
      <c r="C4518" s="32"/>
      <c r="D4518" s="32"/>
      <c r="E4518" s="34" t="str">
        <f aca="false">IF($B4518="","",IF($B4518="OUT","Liters",IFERROR(INDEX(Setup!$F$3:$F$24,MATCH($C4518,Setup!$A$3:$A$24,0)),"")))</f>
        <v/>
      </c>
      <c r="F4518" s="28" t="str">
        <f aca="false">IF(OR($D4518="",$E4518=""),"",IFERROR($D4518*INDEX(Setup!$B$27:$B$44,MATCH($E4518,Setup!$A$27:$A$44,0)),"TBD"))</f>
        <v/>
      </c>
      <c r="G4518" s="32"/>
      <c r="H4518" s="32"/>
      <c r="I4518" s="32"/>
      <c r="J4518" s="32"/>
      <c r="K4518" s="35"/>
      <c r="L4518" s="32"/>
      <c r="M4518" s="32"/>
    </row>
    <row r="4519" customFormat="false" ht="15" hidden="false" customHeight="true" outlineLevel="0" collapsed="false">
      <c r="A4519" s="32"/>
      <c r="B4519" s="32"/>
      <c r="C4519" s="32"/>
      <c r="D4519" s="32"/>
      <c r="E4519" s="34" t="str">
        <f aca="false">IF($B4519="","",IF($B4519="OUT","Liters",IFERROR(INDEX(Setup!$F$3:$F$24,MATCH($C4519,Setup!$A$3:$A$24,0)),"")))</f>
        <v/>
      </c>
      <c r="F4519" s="28" t="str">
        <f aca="false">IF(OR($D4519="",$E4519=""),"",IFERROR($D4519*INDEX(Setup!$B$27:$B$44,MATCH($E4519,Setup!$A$27:$A$44,0)),"TBD"))</f>
        <v/>
      </c>
      <c r="G4519" s="32"/>
      <c r="H4519" s="32"/>
      <c r="I4519" s="32"/>
      <c r="J4519" s="32"/>
      <c r="K4519" s="35"/>
      <c r="L4519" s="32"/>
      <c r="M4519" s="32"/>
    </row>
    <row r="4520" customFormat="false" ht="15" hidden="false" customHeight="true" outlineLevel="0" collapsed="false">
      <c r="A4520" s="32"/>
      <c r="B4520" s="32"/>
      <c r="C4520" s="32"/>
      <c r="D4520" s="32"/>
      <c r="E4520" s="34" t="str">
        <f aca="false">IF($B4520="","",IF($B4520="OUT","Liters",IFERROR(INDEX(Setup!$F$3:$F$24,MATCH($C4520,Setup!$A$3:$A$24,0)),"")))</f>
        <v/>
      </c>
      <c r="F4520" s="28" t="str">
        <f aca="false">IF(OR($D4520="",$E4520=""),"",IFERROR($D4520*INDEX(Setup!$B$27:$B$44,MATCH($E4520,Setup!$A$27:$A$44,0)),"TBD"))</f>
        <v/>
      </c>
      <c r="G4520" s="32"/>
      <c r="H4520" s="32"/>
      <c r="I4520" s="32"/>
      <c r="J4520" s="32"/>
      <c r="K4520" s="35"/>
      <c r="L4520" s="32"/>
      <c r="M4520" s="32"/>
    </row>
    <row r="4521" customFormat="false" ht="15" hidden="false" customHeight="true" outlineLevel="0" collapsed="false">
      <c r="A4521" s="32"/>
      <c r="B4521" s="32"/>
      <c r="C4521" s="32"/>
      <c r="D4521" s="32"/>
      <c r="E4521" s="34" t="str">
        <f aca="false">IF($B4521="","",IF($B4521="OUT","Liters",IFERROR(INDEX(Setup!$F$3:$F$24,MATCH($C4521,Setup!$A$3:$A$24,0)),"")))</f>
        <v/>
      </c>
      <c r="F4521" s="28" t="str">
        <f aca="false">IF(OR($D4521="",$E4521=""),"",IFERROR($D4521*INDEX(Setup!$B$27:$B$44,MATCH($E4521,Setup!$A$27:$A$44,0)),"TBD"))</f>
        <v/>
      </c>
      <c r="G4521" s="32"/>
      <c r="H4521" s="32"/>
      <c r="I4521" s="32"/>
      <c r="J4521" s="32"/>
      <c r="K4521" s="35"/>
      <c r="L4521" s="32"/>
      <c r="M4521" s="32"/>
    </row>
    <row r="4522" customFormat="false" ht="15" hidden="false" customHeight="true" outlineLevel="0" collapsed="false">
      <c r="A4522" s="32"/>
      <c r="B4522" s="32"/>
      <c r="C4522" s="32"/>
      <c r="D4522" s="32"/>
      <c r="E4522" s="34" t="str">
        <f aca="false">IF($B4522="","",IF($B4522="OUT","Liters",IFERROR(INDEX(Setup!$F$3:$F$24,MATCH($C4522,Setup!$A$3:$A$24,0)),"")))</f>
        <v/>
      </c>
      <c r="F4522" s="28" t="str">
        <f aca="false">IF(OR($D4522="",$E4522=""),"",IFERROR($D4522*INDEX(Setup!$B$27:$B$44,MATCH($E4522,Setup!$A$27:$A$44,0)),"TBD"))</f>
        <v/>
      </c>
      <c r="G4522" s="32"/>
      <c r="H4522" s="32"/>
      <c r="I4522" s="32"/>
      <c r="J4522" s="32"/>
      <c r="K4522" s="35"/>
      <c r="L4522" s="32"/>
      <c r="M4522" s="32"/>
    </row>
    <row r="4523" customFormat="false" ht="15" hidden="false" customHeight="true" outlineLevel="0" collapsed="false">
      <c r="A4523" s="32"/>
      <c r="B4523" s="32"/>
      <c r="C4523" s="32"/>
      <c r="D4523" s="32"/>
      <c r="E4523" s="34" t="str">
        <f aca="false">IF($B4523="","",IF($B4523="OUT","Liters",IFERROR(INDEX(Setup!$F$3:$F$24,MATCH($C4523,Setup!$A$3:$A$24,0)),"")))</f>
        <v/>
      </c>
      <c r="F4523" s="28" t="str">
        <f aca="false">IF(OR($D4523="",$E4523=""),"",IFERROR($D4523*INDEX(Setup!$B$27:$B$44,MATCH($E4523,Setup!$A$27:$A$44,0)),"TBD"))</f>
        <v/>
      </c>
      <c r="G4523" s="32"/>
      <c r="H4523" s="32"/>
      <c r="I4523" s="32"/>
      <c r="J4523" s="32"/>
      <c r="K4523" s="35"/>
      <c r="L4523" s="32"/>
      <c r="M4523" s="32"/>
    </row>
    <row r="4524" customFormat="false" ht="15" hidden="false" customHeight="true" outlineLevel="0" collapsed="false">
      <c r="A4524" s="32"/>
      <c r="B4524" s="32"/>
      <c r="C4524" s="32"/>
      <c r="D4524" s="32"/>
      <c r="E4524" s="34" t="str">
        <f aca="false">IF($B4524="","",IF($B4524="OUT","Liters",IFERROR(INDEX(Setup!$F$3:$F$24,MATCH($C4524,Setup!$A$3:$A$24,0)),"")))</f>
        <v/>
      </c>
      <c r="F4524" s="28" t="str">
        <f aca="false">IF(OR($D4524="",$E4524=""),"",IFERROR($D4524*INDEX(Setup!$B$27:$B$44,MATCH($E4524,Setup!$A$27:$A$44,0)),"TBD"))</f>
        <v/>
      </c>
      <c r="G4524" s="32"/>
      <c r="H4524" s="32"/>
      <c r="I4524" s="32"/>
      <c r="J4524" s="32"/>
      <c r="K4524" s="35"/>
      <c r="L4524" s="32"/>
      <c r="M4524" s="32"/>
    </row>
    <row r="4525" customFormat="false" ht="15" hidden="false" customHeight="true" outlineLevel="0" collapsed="false">
      <c r="A4525" s="32"/>
      <c r="B4525" s="32"/>
      <c r="C4525" s="32"/>
      <c r="D4525" s="32"/>
      <c r="E4525" s="34" t="str">
        <f aca="false">IF($B4525="","",IF($B4525="OUT","Liters",IFERROR(INDEX(Setup!$F$3:$F$24,MATCH($C4525,Setup!$A$3:$A$24,0)),"")))</f>
        <v/>
      </c>
      <c r="F4525" s="28" t="str">
        <f aca="false">IF(OR($D4525="",$E4525=""),"",IFERROR($D4525*INDEX(Setup!$B$27:$B$44,MATCH($E4525,Setup!$A$27:$A$44,0)),"TBD"))</f>
        <v/>
      </c>
      <c r="G4525" s="32"/>
      <c r="H4525" s="32"/>
      <c r="I4525" s="32"/>
      <c r="J4525" s="32"/>
      <c r="K4525" s="35"/>
      <c r="L4525" s="32"/>
      <c r="M4525" s="32"/>
    </row>
    <row r="4526" customFormat="false" ht="15" hidden="false" customHeight="true" outlineLevel="0" collapsed="false">
      <c r="A4526" s="32"/>
      <c r="B4526" s="32"/>
      <c r="C4526" s="32"/>
      <c r="D4526" s="32"/>
      <c r="E4526" s="34" t="str">
        <f aca="false">IF($B4526="","",IF($B4526="OUT","Liters",IFERROR(INDEX(Setup!$F$3:$F$24,MATCH($C4526,Setup!$A$3:$A$24,0)),"")))</f>
        <v/>
      </c>
      <c r="F4526" s="28" t="str">
        <f aca="false">IF(OR($D4526="",$E4526=""),"",IFERROR($D4526*INDEX(Setup!$B$27:$B$44,MATCH($E4526,Setup!$A$27:$A$44,0)),"TBD"))</f>
        <v/>
      </c>
      <c r="G4526" s="32"/>
      <c r="H4526" s="32"/>
      <c r="I4526" s="32"/>
      <c r="J4526" s="32"/>
      <c r="K4526" s="35"/>
      <c r="L4526" s="32"/>
      <c r="M4526" s="32"/>
    </row>
    <row r="4527" customFormat="false" ht="15" hidden="false" customHeight="true" outlineLevel="0" collapsed="false">
      <c r="A4527" s="32"/>
      <c r="B4527" s="32"/>
      <c r="C4527" s="32"/>
      <c r="D4527" s="32"/>
      <c r="E4527" s="34" t="str">
        <f aca="false">IF($B4527="","",IF($B4527="OUT","Liters",IFERROR(INDEX(Setup!$F$3:$F$24,MATCH($C4527,Setup!$A$3:$A$24,0)),"")))</f>
        <v/>
      </c>
      <c r="F4527" s="28" t="str">
        <f aca="false">IF(OR($D4527="",$E4527=""),"",IFERROR($D4527*INDEX(Setup!$B$27:$B$44,MATCH($E4527,Setup!$A$27:$A$44,0)),"TBD"))</f>
        <v/>
      </c>
      <c r="G4527" s="32"/>
      <c r="H4527" s="32"/>
      <c r="I4527" s="32"/>
      <c r="J4527" s="32"/>
      <c r="K4527" s="35"/>
      <c r="L4527" s="32"/>
      <c r="M4527" s="32"/>
    </row>
    <row r="4528" customFormat="false" ht="15" hidden="false" customHeight="true" outlineLevel="0" collapsed="false">
      <c r="A4528" s="32"/>
      <c r="B4528" s="32"/>
      <c r="C4528" s="32"/>
      <c r="D4528" s="32"/>
      <c r="E4528" s="34" t="str">
        <f aca="false">IF($B4528="","",IF($B4528="OUT","Liters",IFERROR(INDEX(Setup!$F$3:$F$24,MATCH($C4528,Setup!$A$3:$A$24,0)),"")))</f>
        <v/>
      </c>
      <c r="F4528" s="28" t="str">
        <f aca="false">IF(OR($D4528="",$E4528=""),"",IFERROR($D4528*INDEX(Setup!$B$27:$B$44,MATCH($E4528,Setup!$A$27:$A$44,0)),"TBD"))</f>
        <v/>
      </c>
      <c r="G4528" s="32"/>
      <c r="H4528" s="32"/>
      <c r="I4528" s="32"/>
      <c r="J4528" s="32"/>
      <c r="K4528" s="35"/>
      <c r="L4528" s="32"/>
      <c r="M4528" s="32"/>
    </row>
    <row r="4529" customFormat="false" ht="15" hidden="false" customHeight="true" outlineLevel="0" collapsed="false">
      <c r="A4529" s="32"/>
      <c r="B4529" s="32"/>
      <c r="C4529" s="32"/>
      <c r="D4529" s="32"/>
      <c r="E4529" s="34" t="str">
        <f aca="false">IF($B4529="","",IF($B4529="OUT","Liters",IFERROR(INDEX(Setup!$F$3:$F$24,MATCH($C4529,Setup!$A$3:$A$24,0)),"")))</f>
        <v/>
      </c>
      <c r="F4529" s="28" t="str">
        <f aca="false">IF(OR($D4529="",$E4529=""),"",IFERROR($D4529*INDEX(Setup!$B$27:$B$44,MATCH($E4529,Setup!$A$27:$A$44,0)),"TBD"))</f>
        <v/>
      </c>
      <c r="G4529" s="32"/>
      <c r="H4529" s="32"/>
      <c r="I4529" s="32"/>
      <c r="J4529" s="32"/>
      <c r="K4529" s="35"/>
      <c r="L4529" s="32"/>
      <c r="M4529" s="32"/>
    </row>
    <row r="4530" customFormat="false" ht="15" hidden="false" customHeight="true" outlineLevel="0" collapsed="false">
      <c r="A4530" s="32"/>
      <c r="B4530" s="32"/>
      <c r="C4530" s="32"/>
      <c r="D4530" s="32"/>
      <c r="E4530" s="34" t="str">
        <f aca="false">IF($B4530="","",IF($B4530="OUT","Liters",IFERROR(INDEX(Setup!$F$3:$F$24,MATCH($C4530,Setup!$A$3:$A$24,0)),"")))</f>
        <v/>
      </c>
      <c r="F4530" s="28" t="str">
        <f aca="false">IF(OR($D4530="",$E4530=""),"",IFERROR($D4530*INDEX(Setup!$B$27:$B$44,MATCH($E4530,Setup!$A$27:$A$44,0)),"TBD"))</f>
        <v/>
      </c>
      <c r="G4530" s="32"/>
      <c r="H4530" s="32"/>
      <c r="I4530" s="32"/>
      <c r="J4530" s="32"/>
      <c r="K4530" s="35"/>
      <c r="L4530" s="32"/>
      <c r="M4530" s="32"/>
    </row>
    <row r="4531" customFormat="false" ht="15" hidden="false" customHeight="true" outlineLevel="0" collapsed="false">
      <c r="A4531" s="32"/>
      <c r="B4531" s="32"/>
      <c r="C4531" s="32"/>
      <c r="D4531" s="32"/>
      <c r="E4531" s="34" t="str">
        <f aca="false">IF($B4531="","",IF($B4531="OUT","Liters",IFERROR(INDEX(Setup!$F$3:$F$24,MATCH($C4531,Setup!$A$3:$A$24,0)),"")))</f>
        <v/>
      </c>
      <c r="F4531" s="28" t="str">
        <f aca="false">IF(OR($D4531="",$E4531=""),"",IFERROR($D4531*INDEX(Setup!$B$27:$B$44,MATCH($E4531,Setup!$A$27:$A$44,0)),"TBD"))</f>
        <v/>
      </c>
      <c r="G4531" s="32"/>
      <c r="H4531" s="32"/>
      <c r="I4531" s="32"/>
      <c r="J4531" s="32"/>
      <c r="K4531" s="35"/>
      <c r="L4531" s="32"/>
      <c r="M4531" s="32"/>
    </row>
    <row r="4532" customFormat="false" ht="15" hidden="false" customHeight="true" outlineLevel="0" collapsed="false">
      <c r="A4532" s="32"/>
      <c r="B4532" s="32"/>
      <c r="C4532" s="32"/>
      <c r="D4532" s="32"/>
      <c r="E4532" s="34" t="str">
        <f aca="false">IF($B4532="","",IF($B4532="OUT","Liters",IFERROR(INDEX(Setup!$F$3:$F$24,MATCH($C4532,Setup!$A$3:$A$24,0)),"")))</f>
        <v/>
      </c>
      <c r="F4532" s="28" t="str">
        <f aca="false">IF(OR($D4532="",$E4532=""),"",IFERROR($D4532*INDEX(Setup!$B$27:$B$44,MATCH($E4532,Setup!$A$27:$A$44,0)),"TBD"))</f>
        <v/>
      </c>
      <c r="G4532" s="32"/>
      <c r="H4532" s="32"/>
      <c r="I4532" s="32"/>
      <c r="J4532" s="32"/>
      <c r="K4532" s="35"/>
      <c r="L4532" s="32"/>
      <c r="M4532" s="32"/>
    </row>
    <row r="4533" customFormat="false" ht="15" hidden="false" customHeight="true" outlineLevel="0" collapsed="false">
      <c r="A4533" s="32"/>
      <c r="B4533" s="32"/>
      <c r="C4533" s="32"/>
      <c r="D4533" s="32"/>
      <c r="E4533" s="34" t="str">
        <f aca="false">IF($B4533="","",IF($B4533="OUT","Liters",IFERROR(INDEX(Setup!$F$3:$F$24,MATCH($C4533,Setup!$A$3:$A$24,0)),"")))</f>
        <v/>
      </c>
      <c r="F4533" s="28" t="str">
        <f aca="false">IF(OR($D4533="",$E4533=""),"",IFERROR($D4533*INDEX(Setup!$B$27:$B$44,MATCH($E4533,Setup!$A$27:$A$44,0)),"TBD"))</f>
        <v/>
      </c>
      <c r="G4533" s="32"/>
      <c r="H4533" s="32"/>
      <c r="I4533" s="32"/>
      <c r="J4533" s="32"/>
      <c r="K4533" s="35"/>
      <c r="L4533" s="32"/>
      <c r="M4533" s="32"/>
    </row>
    <row r="4534" customFormat="false" ht="15" hidden="false" customHeight="true" outlineLevel="0" collapsed="false">
      <c r="A4534" s="32"/>
      <c r="B4534" s="32"/>
      <c r="C4534" s="32"/>
      <c r="D4534" s="32"/>
      <c r="E4534" s="34" t="str">
        <f aca="false">IF($B4534="","",IF($B4534="OUT","Liters",IFERROR(INDEX(Setup!$F$3:$F$24,MATCH($C4534,Setup!$A$3:$A$24,0)),"")))</f>
        <v/>
      </c>
      <c r="F4534" s="28" t="str">
        <f aca="false">IF(OR($D4534="",$E4534=""),"",IFERROR($D4534*INDEX(Setup!$B$27:$B$44,MATCH($E4534,Setup!$A$27:$A$44,0)),"TBD"))</f>
        <v/>
      </c>
      <c r="G4534" s="32"/>
      <c r="H4534" s="32"/>
      <c r="I4534" s="32"/>
      <c r="J4534" s="32"/>
      <c r="K4534" s="35"/>
      <c r="L4534" s="32"/>
      <c r="M4534" s="32"/>
    </row>
    <row r="4535" customFormat="false" ht="15" hidden="false" customHeight="true" outlineLevel="0" collapsed="false">
      <c r="A4535" s="32"/>
      <c r="B4535" s="32"/>
      <c r="C4535" s="32"/>
      <c r="D4535" s="32"/>
      <c r="E4535" s="34" t="str">
        <f aca="false">IF($B4535="","",IF($B4535="OUT","Liters",IFERROR(INDEX(Setup!$F$3:$F$24,MATCH($C4535,Setup!$A$3:$A$24,0)),"")))</f>
        <v/>
      </c>
      <c r="F4535" s="28" t="str">
        <f aca="false">IF(OR($D4535="",$E4535=""),"",IFERROR($D4535*INDEX(Setup!$B$27:$B$44,MATCH($E4535,Setup!$A$27:$A$44,0)),"TBD"))</f>
        <v/>
      </c>
      <c r="G4535" s="32"/>
      <c r="H4535" s="32"/>
      <c r="I4535" s="32"/>
      <c r="J4535" s="32"/>
      <c r="K4535" s="35"/>
      <c r="L4535" s="32"/>
      <c r="M4535" s="32"/>
    </row>
    <row r="4536" customFormat="false" ht="15" hidden="false" customHeight="true" outlineLevel="0" collapsed="false">
      <c r="A4536" s="32"/>
      <c r="B4536" s="32"/>
      <c r="C4536" s="32"/>
      <c r="D4536" s="32"/>
      <c r="E4536" s="34" t="str">
        <f aca="false">IF($B4536="","",IF($B4536="OUT","Liters",IFERROR(INDEX(Setup!$F$3:$F$24,MATCH($C4536,Setup!$A$3:$A$24,0)),"")))</f>
        <v/>
      </c>
      <c r="F4536" s="28" t="str">
        <f aca="false">IF(OR($D4536="",$E4536=""),"",IFERROR($D4536*INDEX(Setup!$B$27:$B$44,MATCH($E4536,Setup!$A$27:$A$44,0)),"TBD"))</f>
        <v/>
      </c>
      <c r="G4536" s="32"/>
      <c r="H4536" s="32"/>
      <c r="I4536" s="32"/>
      <c r="J4536" s="32"/>
      <c r="K4536" s="35"/>
      <c r="L4536" s="32"/>
      <c r="M4536" s="32"/>
    </row>
    <row r="4537" customFormat="false" ht="15" hidden="false" customHeight="true" outlineLevel="0" collapsed="false">
      <c r="A4537" s="32"/>
      <c r="B4537" s="32"/>
      <c r="C4537" s="32"/>
      <c r="D4537" s="32"/>
      <c r="E4537" s="34" t="str">
        <f aca="false">IF($B4537="","",IF($B4537="OUT","Liters",IFERROR(INDEX(Setup!$F$3:$F$24,MATCH($C4537,Setup!$A$3:$A$24,0)),"")))</f>
        <v/>
      </c>
      <c r="F4537" s="28" t="str">
        <f aca="false">IF(OR($D4537="",$E4537=""),"",IFERROR($D4537*INDEX(Setup!$B$27:$B$44,MATCH($E4537,Setup!$A$27:$A$44,0)),"TBD"))</f>
        <v/>
      </c>
      <c r="G4537" s="32"/>
      <c r="H4537" s="32"/>
      <c r="I4537" s="32"/>
      <c r="J4537" s="32"/>
      <c r="K4537" s="35"/>
      <c r="L4537" s="32"/>
      <c r="M4537" s="32"/>
    </row>
    <row r="4538" customFormat="false" ht="15" hidden="false" customHeight="true" outlineLevel="0" collapsed="false">
      <c r="A4538" s="32"/>
      <c r="B4538" s="32"/>
      <c r="C4538" s="32"/>
      <c r="D4538" s="32"/>
      <c r="E4538" s="34" t="str">
        <f aca="false">IF($B4538="","",IF($B4538="OUT","Liters",IFERROR(INDEX(Setup!$F$3:$F$24,MATCH($C4538,Setup!$A$3:$A$24,0)),"")))</f>
        <v/>
      </c>
      <c r="F4538" s="28" t="str">
        <f aca="false">IF(OR($D4538="",$E4538=""),"",IFERROR($D4538*INDEX(Setup!$B$27:$B$44,MATCH($E4538,Setup!$A$27:$A$44,0)),"TBD"))</f>
        <v/>
      </c>
      <c r="G4538" s="32"/>
      <c r="H4538" s="32"/>
      <c r="I4538" s="32"/>
      <c r="J4538" s="32"/>
      <c r="K4538" s="35"/>
      <c r="L4538" s="32"/>
      <c r="M4538" s="32"/>
    </row>
    <row r="4539" customFormat="false" ht="15" hidden="false" customHeight="true" outlineLevel="0" collapsed="false">
      <c r="A4539" s="32"/>
      <c r="B4539" s="32"/>
      <c r="C4539" s="32"/>
      <c r="D4539" s="32"/>
      <c r="E4539" s="34" t="str">
        <f aca="false">IF($B4539="","",IF($B4539="OUT","Liters",IFERROR(INDEX(Setup!$F$3:$F$24,MATCH($C4539,Setup!$A$3:$A$24,0)),"")))</f>
        <v/>
      </c>
      <c r="F4539" s="28" t="str">
        <f aca="false">IF(OR($D4539="",$E4539=""),"",IFERROR($D4539*INDEX(Setup!$B$27:$B$44,MATCH($E4539,Setup!$A$27:$A$44,0)),"TBD"))</f>
        <v/>
      </c>
      <c r="G4539" s="32"/>
      <c r="H4539" s="32"/>
      <c r="I4539" s="32"/>
      <c r="J4539" s="32"/>
      <c r="K4539" s="35"/>
      <c r="L4539" s="32"/>
      <c r="M4539" s="32"/>
    </row>
    <row r="4540" customFormat="false" ht="15" hidden="false" customHeight="true" outlineLevel="0" collapsed="false">
      <c r="A4540" s="32"/>
      <c r="B4540" s="32"/>
      <c r="C4540" s="32"/>
      <c r="D4540" s="32"/>
      <c r="E4540" s="34" t="str">
        <f aca="false">IF($B4540="","",IF($B4540="OUT","Liters",IFERROR(INDEX(Setup!$F$3:$F$24,MATCH($C4540,Setup!$A$3:$A$24,0)),"")))</f>
        <v/>
      </c>
      <c r="F4540" s="28" t="str">
        <f aca="false">IF(OR($D4540="",$E4540=""),"",IFERROR($D4540*INDEX(Setup!$B$27:$B$44,MATCH($E4540,Setup!$A$27:$A$44,0)),"TBD"))</f>
        <v/>
      </c>
      <c r="G4540" s="32"/>
      <c r="H4540" s="32"/>
      <c r="I4540" s="32"/>
      <c r="J4540" s="32"/>
      <c r="K4540" s="35"/>
      <c r="L4540" s="32"/>
      <c r="M4540" s="32"/>
    </row>
    <row r="4541" customFormat="false" ht="15" hidden="false" customHeight="true" outlineLevel="0" collapsed="false">
      <c r="A4541" s="32"/>
      <c r="B4541" s="32"/>
      <c r="C4541" s="32"/>
      <c r="D4541" s="32"/>
      <c r="E4541" s="34" t="str">
        <f aca="false">IF($B4541="","",IF($B4541="OUT","Liters",IFERROR(INDEX(Setup!$F$3:$F$24,MATCH($C4541,Setup!$A$3:$A$24,0)),"")))</f>
        <v/>
      </c>
      <c r="F4541" s="28" t="str">
        <f aca="false">IF(OR($D4541="",$E4541=""),"",IFERROR($D4541*INDEX(Setup!$B$27:$B$44,MATCH($E4541,Setup!$A$27:$A$44,0)),"TBD"))</f>
        <v/>
      </c>
      <c r="G4541" s="32"/>
      <c r="H4541" s="32"/>
      <c r="I4541" s="32"/>
      <c r="J4541" s="32"/>
      <c r="K4541" s="35"/>
      <c r="L4541" s="32"/>
      <c r="M4541" s="32"/>
    </row>
    <row r="4542" customFormat="false" ht="15" hidden="false" customHeight="true" outlineLevel="0" collapsed="false">
      <c r="A4542" s="32"/>
      <c r="B4542" s="32"/>
      <c r="C4542" s="32"/>
      <c r="D4542" s="32"/>
      <c r="E4542" s="34" t="str">
        <f aca="false">IF($B4542="","",IF($B4542="OUT","Liters",IFERROR(INDEX(Setup!$F$3:$F$24,MATCH($C4542,Setup!$A$3:$A$24,0)),"")))</f>
        <v/>
      </c>
      <c r="F4542" s="28" t="str">
        <f aca="false">IF(OR($D4542="",$E4542=""),"",IFERROR($D4542*INDEX(Setup!$B$27:$B$44,MATCH($E4542,Setup!$A$27:$A$44,0)),"TBD"))</f>
        <v/>
      </c>
      <c r="G4542" s="32"/>
      <c r="H4542" s="32"/>
      <c r="I4542" s="32"/>
      <c r="J4542" s="32"/>
      <c r="K4542" s="35"/>
      <c r="L4542" s="32"/>
      <c r="M4542" s="32"/>
    </row>
    <row r="4543" customFormat="false" ht="15" hidden="false" customHeight="true" outlineLevel="0" collapsed="false">
      <c r="A4543" s="32"/>
      <c r="B4543" s="32"/>
      <c r="C4543" s="32"/>
      <c r="D4543" s="32"/>
      <c r="E4543" s="34" t="str">
        <f aca="false">IF($B4543="","",IF($B4543="OUT","Liters",IFERROR(INDEX(Setup!$F$3:$F$24,MATCH($C4543,Setup!$A$3:$A$24,0)),"")))</f>
        <v/>
      </c>
      <c r="F4543" s="28" t="str">
        <f aca="false">IF(OR($D4543="",$E4543=""),"",IFERROR($D4543*INDEX(Setup!$B$27:$B$44,MATCH($E4543,Setup!$A$27:$A$44,0)),"TBD"))</f>
        <v/>
      </c>
      <c r="G4543" s="32"/>
      <c r="H4543" s="32"/>
      <c r="I4543" s="32"/>
      <c r="J4543" s="32"/>
      <c r="K4543" s="35"/>
      <c r="L4543" s="32"/>
      <c r="M4543" s="32"/>
    </row>
    <row r="4544" customFormat="false" ht="15" hidden="false" customHeight="true" outlineLevel="0" collapsed="false">
      <c r="A4544" s="32"/>
      <c r="B4544" s="32"/>
      <c r="C4544" s="32"/>
      <c r="D4544" s="32"/>
      <c r="E4544" s="34" t="str">
        <f aca="false">IF($B4544="","",IF($B4544="OUT","Liters",IFERROR(INDEX(Setup!$F$3:$F$24,MATCH($C4544,Setup!$A$3:$A$24,0)),"")))</f>
        <v/>
      </c>
      <c r="F4544" s="28" t="str">
        <f aca="false">IF(OR($D4544="",$E4544=""),"",IFERROR($D4544*INDEX(Setup!$B$27:$B$44,MATCH($E4544,Setup!$A$27:$A$44,0)),"TBD"))</f>
        <v/>
      </c>
      <c r="G4544" s="32"/>
      <c r="H4544" s="32"/>
      <c r="I4544" s="32"/>
      <c r="J4544" s="32"/>
      <c r="K4544" s="35"/>
      <c r="L4544" s="32"/>
      <c r="M4544" s="32"/>
    </row>
    <row r="4545" customFormat="false" ht="15" hidden="false" customHeight="true" outlineLevel="0" collapsed="false">
      <c r="A4545" s="32"/>
      <c r="B4545" s="32"/>
      <c r="C4545" s="32"/>
      <c r="D4545" s="32"/>
      <c r="E4545" s="34" t="str">
        <f aca="false">IF($B4545="","",IF($B4545="OUT","Liters",IFERROR(INDEX(Setup!$F$3:$F$24,MATCH($C4545,Setup!$A$3:$A$24,0)),"")))</f>
        <v/>
      </c>
      <c r="F4545" s="28" t="str">
        <f aca="false">IF(OR($D4545="",$E4545=""),"",IFERROR($D4545*INDEX(Setup!$B$27:$B$44,MATCH($E4545,Setup!$A$27:$A$44,0)),"TBD"))</f>
        <v/>
      </c>
      <c r="G4545" s="32"/>
      <c r="H4545" s="32"/>
      <c r="I4545" s="32"/>
      <c r="J4545" s="32"/>
      <c r="K4545" s="35"/>
      <c r="L4545" s="32"/>
      <c r="M4545" s="32"/>
    </row>
    <row r="4546" customFormat="false" ht="15" hidden="false" customHeight="true" outlineLevel="0" collapsed="false">
      <c r="A4546" s="32"/>
      <c r="B4546" s="32"/>
      <c r="C4546" s="32"/>
      <c r="D4546" s="32"/>
      <c r="E4546" s="34" t="str">
        <f aca="false">IF($B4546="","",IF($B4546="OUT","Liters",IFERROR(INDEX(Setup!$F$3:$F$24,MATCH($C4546,Setup!$A$3:$A$24,0)),"")))</f>
        <v/>
      </c>
      <c r="F4546" s="28" t="str">
        <f aca="false">IF(OR($D4546="",$E4546=""),"",IFERROR($D4546*INDEX(Setup!$B$27:$B$44,MATCH($E4546,Setup!$A$27:$A$44,0)),"TBD"))</f>
        <v/>
      </c>
      <c r="G4546" s="32"/>
      <c r="H4546" s="32"/>
      <c r="I4546" s="32"/>
      <c r="J4546" s="32"/>
      <c r="K4546" s="35"/>
      <c r="L4546" s="32"/>
      <c r="M4546" s="32"/>
    </row>
    <row r="4547" customFormat="false" ht="15" hidden="false" customHeight="true" outlineLevel="0" collapsed="false">
      <c r="A4547" s="32"/>
      <c r="B4547" s="32"/>
      <c r="C4547" s="32"/>
      <c r="D4547" s="32"/>
      <c r="E4547" s="34" t="str">
        <f aca="false">IF($B4547="","",IF($B4547="OUT","Liters",IFERROR(INDEX(Setup!$F$3:$F$24,MATCH($C4547,Setup!$A$3:$A$24,0)),"")))</f>
        <v/>
      </c>
      <c r="F4547" s="28" t="str">
        <f aca="false">IF(OR($D4547="",$E4547=""),"",IFERROR($D4547*INDEX(Setup!$B$27:$B$44,MATCH($E4547,Setup!$A$27:$A$44,0)),"TBD"))</f>
        <v/>
      </c>
      <c r="G4547" s="32"/>
      <c r="H4547" s="32"/>
      <c r="I4547" s="32"/>
      <c r="J4547" s="32"/>
      <c r="K4547" s="35"/>
      <c r="L4547" s="32"/>
      <c r="M4547" s="32"/>
    </row>
    <row r="4548" customFormat="false" ht="15" hidden="false" customHeight="true" outlineLevel="0" collapsed="false">
      <c r="A4548" s="32"/>
      <c r="B4548" s="32"/>
      <c r="C4548" s="32"/>
      <c r="D4548" s="32"/>
      <c r="E4548" s="34" t="str">
        <f aca="false">IF($B4548="","",IF($B4548="OUT","Liters",IFERROR(INDEX(Setup!$F$3:$F$24,MATCH($C4548,Setup!$A$3:$A$24,0)),"")))</f>
        <v/>
      </c>
      <c r="F4548" s="28" t="str">
        <f aca="false">IF(OR($D4548="",$E4548=""),"",IFERROR($D4548*INDEX(Setup!$B$27:$B$44,MATCH($E4548,Setup!$A$27:$A$44,0)),"TBD"))</f>
        <v/>
      </c>
      <c r="G4548" s="32"/>
      <c r="H4548" s="32"/>
      <c r="I4548" s="32"/>
      <c r="J4548" s="32"/>
      <c r="K4548" s="35"/>
      <c r="L4548" s="32"/>
      <c r="M4548" s="32"/>
    </row>
    <row r="4549" customFormat="false" ht="15" hidden="false" customHeight="true" outlineLevel="0" collapsed="false">
      <c r="A4549" s="32"/>
      <c r="B4549" s="32"/>
      <c r="C4549" s="32"/>
      <c r="D4549" s="32"/>
      <c r="E4549" s="34" t="str">
        <f aca="false">IF($B4549="","",IF($B4549="OUT","Liters",IFERROR(INDEX(Setup!$F$3:$F$24,MATCH($C4549,Setup!$A$3:$A$24,0)),"")))</f>
        <v/>
      </c>
      <c r="F4549" s="28" t="str">
        <f aca="false">IF(OR($D4549="",$E4549=""),"",IFERROR($D4549*INDEX(Setup!$B$27:$B$44,MATCH($E4549,Setup!$A$27:$A$44,0)),"TBD"))</f>
        <v/>
      </c>
      <c r="G4549" s="32"/>
      <c r="H4549" s="32"/>
      <c r="I4549" s="32"/>
      <c r="J4549" s="32"/>
      <c r="K4549" s="35"/>
      <c r="L4549" s="32"/>
      <c r="M4549" s="32"/>
    </row>
    <row r="4550" customFormat="false" ht="15" hidden="false" customHeight="true" outlineLevel="0" collapsed="false">
      <c r="A4550" s="32"/>
      <c r="B4550" s="32"/>
      <c r="C4550" s="32"/>
      <c r="D4550" s="32"/>
      <c r="E4550" s="34" t="str">
        <f aca="false">IF($B4550="","",IF($B4550="OUT","Liters",IFERROR(INDEX(Setup!$F$3:$F$24,MATCH($C4550,Setup!$A$3:$A$24,0)),"")))</f>
        <v/>
      </c>
      <c r="F4550" s="28" t="str">
        <f aca="false">IF(OR($D4550="",$E4550=""),"",IFERROR($D4550*INDEX(Setup!$B$27:$B$44,MATCH($E4550,Setup!$A$27:$A$44,0)),"TBD"))</f>
        <v/>
      </c>
      <c r="G4550" s="32"/>
      <c r="H4550" s="32"/>
      <c r="I4550" s="32"/>
      <c r="J4550" s="32"/>
      <c r="K4550" s="35"/>
      <c r="L4550" s="32"/>
      <c r="M4550" s="32"/>
    </row>
    <row r="4551" customFormat="false" ht="15" hidden="false" customHeight="true" outlineLevel="0" collapsed="false">
      <c r="A4551" s="32"/>
      <c r="B4551" s="32"/>
      <c r="C4551" s="32"/>
      <c r="D4551" s="32"/>
      <c r="E4551" s="34" t="str">
        <f aca="false">IF($B4551="","",IF($B4551="OUT","Liters",IFERROR(INDEX(Setup!$F$3:$F$24,MATCH($C4551,Setup!$A$3:$A$24,0)),"")))</f>
        <v/>
      </c>
      <c r="F4551" s="28" t="str">
        <f aca="false">IF(OR($D4551="",$E4551=""),"",IFERROR($D4551*INDEX(Setup!$B$27:$B$44,MATCH($E4551,Setup!$A$27:$A$44,0)),"TBD"))</f>
        <v/>
      </c>
      <c r="G4551" s="32"/>
      <c r="H4551" s="32"/>
      <c r="I4551" s="32"/>
      <c r="J4551" s="32"/>
      <c r="K4551" s="35"/>
      <c r="L4551" s="32"/>
      <c r="M4551" s="32"/>
    </row>
    <row r="4552" customFormat="false" ht="15" hidden="false" customHeight="true" outlineLevel="0" collapsed="false">
      <c r="A4552" s="32"/>
      <c r="B4552" s="32"/>
      <c r="C4552" s="32"/>
      <c r="D4552" s="32"/>
      <c r="E4552" s="34" t="str">
        <f aca="false">IF($B4552="","",IF($B4552="OUT","Liters",IFERROR(INDEX(Setup!$F$3:$F$24,MATCH($C4552,Setup!$A$3:$A$24,0)),"")))</f>
        <v/>
      </c>
      <c r="F4552" s="28" t="str">
        <f aca="false">IF(OR($D4552="",$E4552=""),"",IFERROR($D4552*INDEX(Setup!$B$27:$B$44,MATCH($E4552,Setup!$A$27:$A$44,0)),"TBD"))</f>
        <v/>
      </c>
      <c r="G4552" s="32"/>
      <c r="H4552" s="32"/>
      <c r="I4552" s="32"/>
      <c r="J4552" s="32"/>
      <c r="K4552" s="35"/>
      <c r="L4552" s="32"/>
      <c r="M4552" s="32"/>
    </row>
    <row r="4553" customFormat="false" ht="15" hidden="false" customHeight="true" outlineLevel="0" collapsed="false">
      <c r="A4553" s="32"/>
      <c r="B4553" s="32"/>
      <c r="C4553" s="32"/>
      <c r="D4553" s="32"/>
      <c r="E4553" s="34" t="str">
        <f aca="false">IF($B4553="","",IF($B4553="OUT","Liters",IFERROR(INDEX(Setup!$F$3:$F$24,MATCH($C4553,Setup!$A$3:$A$24,0)),"")))</f>
        <v/>
      </c>
      <c r="F4553" s="28" t="str">
        <f aca="false">IF(OR($D4553="",$E4553=""),"",IFERROR($D4553*INDEX(Setup!$B$27:$B$44,MATCH($E4553,Setup!$A$27:$A$44,0)),"TBD"))</f>
        <v/>
      </c>
      <c r="G4553" s="32"/>
      <c r="H4553" s="32"/>
      <c r="I4553" s="32"/>
      <c r="J4553" s="32"/>
      <c r="K4553" s="35"/>
      <c r="L4553" s="32"/>
      <c r="M4553" s="32"/>
    </row>
    <row r="4554" customFormat="false" ht="15" hidden="false" customHeight="true" outlineLevel="0" collapsed="false">
      <c r="A4554" s="32"/>
      <c r="B4554" s="32"/>
      <c r="C4554" s="32"/>
      <c r="D4554" s="32"/>
      <c r="E4554" s="34" t="str">
        <f aca="false">IF($B4554="","",IF($B4554="OUT","Liters",IFERROR(INDEX(Setup!$F$3:$F$24,MATCH($C4554,Setup!$A$3:$A$24,0)),"")))</f>
        <v/>
      </c>
      <c r="F4554" s="28" t="str">
        <f aca="false">IF(OR($D4554="",$E4554=""),"",IFERROR($D4554*INDEX(Setup!$B$27:$B$44,MATCH($E4554,Setup!$A$27:$A$44,0)),"TBD"))</f>
        <v/>
      </c>
      <c r="G4554" s="32"/>
      <c r="H4554" s="32"/>
      <c r="I4554" s="32"/>
      <c r="J4554" s="32"/>
      <c r="K4554" s="35"/>
      <c r="L4554" s="32"/>
      <c r="M4554" s="32"/>
    </row>
    <row r="4555" customFormat="false" ht="15" hidden="false" customHeight="true" outlineLevel="0" collapsed="false">
      <c r="A4555" s="32"/>
      <c r="B4555" s="32"/>
      <c r="C4555" s="32"/>
      <c r="D4555" s="32"/>
      <c r="E4555" s="34" t="str">
        <f aca="false">IF($B4555="","",IF($B4555="OUT","Liters",IFERROR(INDEX(Setup!$F$3:$F$24,MATCH($C4555,Setup!$A$3:$A$24,0)),"")))</f>
        <v/>
      </c>
      <c r="F4555" s="28" t="str">
        <f aca="false">IF(OR($D4555="",$E4555=""),"",IFERROR($D4555*INDEX(Setup!$B$27:$B$44,MATCH($E4555,Setup!$A$27:$A$44,0)),"TBD"))</f>
        <v/>
      </c>
      <c r="G4555" s="32"/>
      <c r="H4555" s="32"/>
      <c r="I4555" s="32"/>
      <c r="J4555" s="32"/>
      <c r="K4555" s="35"/>
      <c r="L4555" s="32"/>
      <c r="M4555" s="32"/>
    </row>
    <row r="4556" customFormat="false" ht="15" hidden="false" customHeight="true" outlineLevel="0" collapsed="false">
      <c r="A4556" s="32"/>
      <c r="B4556" s="32"/>
      <c r="C4556" s="32"/>
      <c r="D4556" s="32"/>
      <c r="E4556" s="34" t="str">
        <f aca="false">IF($B4556="","",IF($B4556="OUT","Liters",IFERROR(INDEX(Setup!$F$3:$F$24,MATCH($C4556,Setup!$A$3:$A$24,0)),"")))</f>
        <v/>
      </c>
      <c r="F4556" s="28" t="str">
        <f aca="false">IF(OR($D4556="",$E4556=""),"",IFERROR($D4556*INDEX(Setup!$B$27:$B$44,MATCH($E4556,Setup!$A$27:$A$44,0)),"TBD"))</f>
        <v/>
      </c>
      <c r="G4556" s="32"/>
      <c r="H4556" s="32"/>
      <c r="I4556" s="32"/>
      <c r="J4556" s="32"/>
      <c r="K4556" s="35"/>
      <c r="L4556" s="32"/>
      <c r="M4556" s="32"/>
    </row>
    <row r="4557" customFormat="false" ht="15" hidden="false" customHeight="true" outlineLevel="0" collapsed="false">
      <c r="A4557" s="32"/>
      <c r="B4557" s="32"/>
      <c r="C4557" s="32"/>
      <c r="D4557" s="32"/>
      <c r="E4557" s="34" t="str">
        <f aca="false">IF($B4557="","",IF($B4557="OUT","Liters",IFERROR(INDEX(Setup!$F$3:$F$24,MATCH($C4557,Setup!$A$3:$A$24,0)),"")))</f>
        <v/>
      </c>
      <c r="F4557" s="28" t="str">
        <f aca="false">IF(OR($D4557="",$E4557=""),"",IFERROR($D4557*INDEX(Setup!$B$27:$B$44,MATCH($E4557,Setup!$A$27:$A$44,0)),"TBD"))</f>
        <v/>
      </c>
      <c r="G4557" s="32"/>
      <c r="H4557" s="32"/>
      <c r="I4557" s="32"/>
      <c r="J4557" s="32"/>
      <c r="K4557" s="35"/>
      <c r="L4557" s="32"/>
      <c r="M4557" s="32"/>
    </row>
    <row r="4558" customFormat="false" ht="15" hidden="false" customHeight="true" outlineLevel="0" collapsed="false">
      <c r="A4558" s="32"/>
      <c r="B4558" s="32"/>
      <c r="C4558" s="32"/>
      <c r="D4558" s="32"/>
      <c r="E4558" s="34" t="str">
        <f aca="false">IF($B4558="","",IF($B4558="OUT","Liters",IFERROR(INDEX(Setup!$F$3:$F$24,MATCH($C4558,Setup!$A$3:$A$24,0)),"")))</f>
        <v/>
      </c>
      <c r="F4558" s="28" t="str">
        <f aca="false">IF(OR($D4558="",$E4558=""),"",IFERROR($D4558*INDEX(Setup!$B$27:$B$44,MATCH($E4558,Setup!$A$27:$A$44,0)),"TBD"))</f>
        <v/>
      </c>
      <c r="G4558" s="32"/>
      <c r="H4558" s="32"/>
      <c r="I4558" s="32"/>
      <c r="J4558" s="32"/>
      <c r="K4558" s="35"/>
      <c r="L4558" s="32"/>
      <c r="M4558" s="32"/>
    </row>
    <row r="4559" customFormat="false" ht="15" hidden="false" customHeight="true" outlineLevel="0" collapsed="false">
      <c r="A4559" s="32"/>
      <c r="B4559" s="32"/>
      <c r="C4559" s="32"/>
      <c r="D4559" s="32"/>
      <c r="E4559" s="34" t="str">
        <f aca="false">IF($B4559="","",IF($B4559="OUT","Liters",IFERROR(INDEX(Setup!$F$3:$F$24,MATCH($C4559,Setup!$A$3:$A$24,0)),"")))</f>
        <v/>
      </c>
      <c r="F4559" s="28" t="str">
        <f aca="false">IF(OR($D4559="",$E4559=""),"",IFERROR($D4559*INDEX(Setup!$B$27:$B$44,MATCH($E4559,Setup!$A$27:$A$44,0)),"TBD"))</f>
        <v/>
      </c>
      <c r="G4559" s="32"/>
      <c r="H4559" s="32"/>
      <c r="I4559" s="32"/>
      <c r="J4559" s="32"/>
      <c r="K4559" s="35"/>
      <c r="L4559" s="32"/>
      <c r="M4559" s="32"/>
    </row>
    <row r="4560" customFormat="false" ht="15" hidden="false" customHeight="true" outlineLevel="0" collapsed="false">
      <c r="A4560" s="32"/>
      <c r="B4560" s="32"/>
      <c r="C4560" s="32"/>
      <c r="D4560" s="32"/>
      <c r="E4560" s="34" t="str">
        <f aca="false">IF($B4560="","",IF($B4560="OUT","Liters",IFERROR(INDEX(Setup!$F$3:$F$24,MATCH($C4560,Setup!$A$3:$A$24,0)),"")))</f>
        <v/>
      </c>
      <c r="F4560" s="28" t="str">
        <f aca="false">IF(OR($D4560="",$E4560=""),"",IFERROR($D4560*INDEX(Setup!$B$27:$B$44,MATCH($E4560,Setup!$A$27:$A$44,0)),"TBD"))</f>
        <v/>
      </c>
      <c r="G4560" s="32"/>
      <c r="H4560" s="32"/>
      <c r="I4560" s="32"/>
      <c r="J4560" s="32"/>
      <c r="K4560" s="35"/>
      <c r="L4560" s="32"/>
      <c r="M4560" s="32"/>
    </row>
    <row r="4561" customFormat="false" ht="15" hidden="false" customHeight="true" outlineLevel="0" collapsed="false">
      <c r="A4561" s="32"/>
      <c r="B4561" s="32"/>
      <c r="C4561" s="32"/>
      <c r="D4561" s="32"/>
      <c r="E4561" s="34" t="str">
        <f aca="false">IF($B4561="","",IF($B4561="OUT","Liters",IFERROR(INDEX(Setup!$F$3:$F$24,MATCH($C4561,Setup!$A$3:$A$24,0)),"")))</f>
        <v/>
      </c>
      <c r="F4561" s="28" t="str">
        <f aca="false">IF(OR($D4561="",$E4561=""),"",IFERROR($D4561*INDEX(Setup!$B$27:$B$44,MATCH($E4561,Setup!$A$27:$A$44,0)),"TBD"))</f>
        <v/>
      </c>
      <c r="G4561" s="32"/>
      <c r="H4561" s="32"/>
      <c r="I4561" s="32"/>
      <c r="J4561" s="32"/>
      <c r="K4561" s="35"/>
      <c r="L4561" s="32"/>
      <c r="M4561" s="32"/>
    </row>
    <row r="4562" customFormat="false" ht="15" hidden="false" customHeight="true" outlineLevel="0" collapsed="false">
      <c r="A4562" s="32"/>
      <c r="B4562" s="32"/>
      <c r="C4562" s="32"/>
      <c r="D4562" s="32"/>
      <c r="E4562" s="34" t="str">
        <f aca="false">IF($B4562="","",IF($B4562="OUT","Liters",IFERROR(INDEX(Setup!$F$3:$F$24,MATCH($C4562,Setup!$A$3:$A$24,0)),"")))</f>
        <v/>
      </c>
      <c r="F4562" s="28" t="str">
        <f aca="false">IF(OR($D4562="",$E4562=""),"",IFERROR($D4562*INDEX(Setup!$B$27:$B$44,MATCH($E4562,Setup!$A$27:$A$44,0)),"TBD"))</f>
        <v/>
      </c>
      <c r="G4562" s="32"/>
      <c r="H4562" s="32"/>
      <c r="I4562" s="32"/>
      <c r="J4562" s="32"/>
      <c r="K4562" s="35"/>
      <c r="L4562" s="32"/>
      <c r="M4562" s="32"/>
    </row>
    <row r="4563" customFormat="false" ht="15" hidden="false" customHeight="true" outlineLevel="0" collapsed="false">
      <c r="A4563" s="32"/>
      <c r="B4563" s="32"/>
      <c r="C4563" s="32"/>
      <c r="D4563" s="32"/>
      <c r="E4563" s="34" t="str">
        <f aca="false">IF($B4563="","",IF($B4563="OUT","Liters",IFERROR(INDEX(Setup!$F$3:$F$24,MATCH($C4563,Setup!$A$3:$A$24,0)),"")))</f>
        <v/>
      </c>
      <c r="F4563" s="28" t="str">
        <f aca="false">IF(OR($D4563="",$E4563=""),"",IFERROR($D4563*INDEX(Setup!$B$27:$B$44,MATCH($E4563,Setup!$A$27:$A$44,0)),"TBD"))</f>
        <v/>
      </c>
      <c r="G4563" s="32"/>
      <c r="H4563" s="32"/>
      <c r="I4563" s="32"/>
      <c r="J4563" s="32"/>
      <c r="K4563" s="35"/>
      <c r="L4563" s="32"/>
      <c r="M4563" s="32"/>
    </row>
    <row r="4564" customFormat="false" ht="15" hidden="false" customHeight="true" outlineLevel="0" collapsed="false">
      <c r="A4564" s="32"/>
      <c r="B4564" s="32"/>
      <c r="C4564" s="32"/>
      <c r="D4564" s="32"/>
      <c r="E4564" s="34" t="str">
        <f aca="false">IF($B4564="","",IF($B4564="OUT","Liters",IFERROR(INDEX(Setup!$F$3:$F$24,MATCH($C4564,Setup!$A$3:$A$24,0)),"")))</f>
        <v/>
      </c>
      <c r="F4564" s="28" t="str">
        <f aca="false">IF(OR($D4564="",$E4564=""),"",IFERROR($D4564*INDEX(Setup!$B$27:$B$44,MATCH($E4564,Setup!$A$27:$A$44,0)),"TBD"))</f>
        <v/>
      </c>
      <c r="G4564" s="32"/>
      <c r="H4564" s="32"/>
      <c r="I4564" s="32"/>
      <c r="J4564" s="32"/>
      <c r="K4564" s="35"/>
      <c r="L4564" s="32"/>
      <c r="M4564" s="32"/>
    </row>
    <row r="4565" customFormat="false" ht="15" hidden="false" customHeight="true" outlineLevel="0" collapsed="false">
      <c r="A4565" s="32"/>
      <c r="B4565" s="32"/>
      <c r="C4565" s="32"/>
      <c r="D4565" s="32"/>
      <c r="E4565" s="34" t="str">
        <f aca="false">IF($B4565="","",IF($B4565="OUT","Liters",IFERROR(INDEX(Setup!$F$3:$F$24,MATCH($C4565,Setup!$A$3:$A$24,0)),"")))</f>
        <v/>
      </c>
      <c r="F4565" s="28" t="str">
        <f aca="false">IF(OR($D4565="",$E4565=""),"",IFERROR($D4565*INDEX(Setup!$B$27:$B$44,MATCH($E4565,Setup!$A$27:$A$44,0)),"TBD"))</f>
        <v/>
      </c>
      <c r="G4565" s="32"/>
      <c r="H4565" s="32"/>
      <c r="I4565" s="32"/>
      <c r="J4565" s="32"/>
      <c r="K4565" s="35"/>
      <c r="L4565" s="32"/>
      <c r="M4565" s="32"/>
    </row>
    <row r="4566" customFormat="false" ht="15" hidden="false" customHeight="true" outlineLevel="0" collapsed="false">
      <c r="A4566" s="32"/>
      <c r="B4566" s="32"/>
      <c r="C4566" s="32"/>
      <c r="D4566" s="32"/>
      <c r="E4566" s="34" t="str">
        <f aca="false">IF($B4566="","",IF($B4566="OUT","Liters",IFERROR(INDEX(Setup!$F$3:$F$24,MATCH($C4566,Setup!$A$3:$A$24,0)),"")))</f>
        <v/>
      </c>
      <c r="F4566" s="28" t="str">
        <f aca="false">IF(OR($D4566="",$E4566=""),"",IFERROR($D4566*INDEX(Setup!$B$27:$B$44,MATCH($E4566,Setup!$A$27:$A$44,0)),"TBD"))</f>
        <v/>
      </c>
      <c r="G4566" s="32"/>
      <c r="H4566" s="32"/>
      <c r="I4566" s="32"/>
      <c r="J4566" s="32"/>
      <c r="K4566" s="35"/>
      <c r="L4566" s="32"/>
      <c r="M4566" s="32"/>
    </row>
    <row r="4567" customFormat="false" ht="15" hidden="false" customHeight="true" outlineLevel="0" collapsed="false">
      <c r="A4567" s="32"/>
      <c r="B4567" s="32"/>
      <c r="C4567" s="32"/>
      <c r="D4567" s="32"/>
      <c r="E4567" s="34" t="str">
        <f aca="false">IF($B4567="","",IF($B4567="OUT","Liters",IFERROR(INDEX(Setup!$F$3:$F$24,MATCH($C4567,Setup!$A$3:$A$24,0)),"")))</f>
        <v/>
      </c>
      <c r="F4567" s="28" t="str">
        <f aca="false">IF(OR($D4567="",$E4567=""),"",IFERROR($D4567*INDEX(Setup!$B$27:$B$44,MATCH($E4567,Setup!$A$27:$A$44,0)),"TBD"))</f>
        <v/>
      </c>
      <c r="G4567" s="32"/>
      <c r="H4567" s="32"/>
      <c r="I4567" s="32"/>
      <c r="J4567" s="32"/>
      <c r="K4567" s="35"/>
      <c r="L4567" s="32"/>
      <c r="M4567" s="32"/>
    </row>
    <row r="4568" customFormat="false" ht="15" hidden="false" customHeight="true" outlineLevel="0" collapsed="false">
      <c r="A4568" s="32"/>
      <c r="B4568" s="32"/>
      <c r="C4568" s="32"/>
      <c r="D4568" s="32"/>
      <c r="E4568" s="34" t="str">
        <f aca="false">IF($B4568="","",IF($B4568="OUT","Liters",IFERROR(INDEX(Setup!$F$3:$F$24,MATCH($C4568,Setup!$A$3:$A$24,0)),"")))</f>
        <v/>
      </c>
      <c r="F4568" s="28" t="str">
        <f aca="false">IF(OR($D4568="",$E4568=""),"",IFERROR($D4568*INDEX(Setup!$B$27:$B$44,MATCH($E4568,Setup!$A$27:$A$44,0)),"TBD"))</f>
        <v/>
      </c>
      <c r="G4568" s="32"/>
      <c r="H4568" s="32"/>
      <c r="I4568" s="32"/>
      <c r="J4568" s="32"/>
      <c r="K4568" s="35"/>
      <c r="L4568" s="32"/>
      <c r="M4568" s="32"/>
    </row>
    <row r="4569" customFormat="false" ht="15" hidden="false" customHeight="true" outlineLevel="0" collapsed="false">
      <c r="A4569" s="32"/>
      <c r="B4569" s="32"/>
      <c r="C4569" s="32"/>
      <c r="D4569" s="32"/>
      <c r="E4569" s="34" t="str">
        <f aca="false">IF($B4569="","",IF($B4569="OUT","Liters",IFERROR(INDEX(Setup!$F$3:$F$24,MATCH($C4569,Setup!$A$3:$A$24,0)),"")))</f>
        <v/>
      </c>
      <c r="F4569" s="28" t="str">
        <f aca="false">IF(OR($D4569="",$E4569=""),"",IFERROR($D4569*INDEX(Setup!$B$27:$B$44,MATCH($E4569,Setup!$A$27:$A$44,0)),"TBD"))</f>
        <v/>
      </c>
      <c r="G4569" s="32"/>
      <c r="H4569" s="32"/>
      <c r="I4569" s="32"/>
      <c r="J4569" s="32"/>
      <c r="K4569" s="35"/>
      <c r="L4569" s="32"/>
      <c r="M4569" s="32"/>
    </row>
    <row r="4570" customFormat="false" ht="15" hidden="false" customHeight="true" outlineLevel="0" collapsed="false">
      <c r="A4570" s="32"/>
      <c r="B4570" s="32"/>
      <c r="C4570" s="32"/>
      <c r="D4570" s="32"/>
      <c r="E4570" s="34" t="str">
        <f aca="false">IF($B4570="","",IF($B4570="OUT","Liters",IFERROR(INDEX(Setup!$F$3:$F$24,MATCH($C4570,Setup!$A$3:$A$24,0)),"")))</f>
        <v/>
      </c>
      <c r="F4570" s="28" t="str">
        <f aca="false">IF(OR($D4570="",$E4570=""),"",IFERROR($D4570*INDEX(Setup!$B$27:$B$44,MATCH($E4570,Setup!$A$27:$A$44,0)),"TBD"))</f>
        <v/>
      </c>
      <c r="G4570" s="32"/>
      <c r="H4570" s="32"/>
      <c r="I4570" s="32"/>
      <c r="J4570" s="32"/>
      <c r="K4570" s="35"/>
      <c r="L4570" s="32"/>
      <c r="M4570" s="32"/>
    </row>
    <row r="4571" customFormat="false" ht="15" hidden="false" customHeight="true" outlineLevel="0" collapsed="false">
      <c r="A4571" s="32"/>
      <c r="B4571" s="32"/>
      <c r="C4571" s="32"/>
      <c r="D4571" s="32"/>
      <c r="E4571" s="34" t="str">
        <f aca="false">IF($B4571="","",IF($B4571="OUT","Liters",IFERROR(INDEX(Setup!$F$3:$F$24,MATCH($C4571,Setup!$A$3:$A$24,0)),"")))</f>
        <v/>
      </c>
      <c r="F4571" s="28" t="str">
        <f aca="false">IF(OR($D4571="",$E4571=""),"",IFERROR($D4571*INDEX(Setup!$B$27:$B$44,MATCH($E4571,Setup!$A$27:$A$44,0)),"TBD"))</f>
        <v/>
      </c>
      <c r="G4571" s="32"/>
      <c r="H4571" s="32"/>
      <c r="I4571" s="32"/>
      <c r="J4571" s="32"/>
      <c r="K4571" s="35"/>
      <c r="L4571" s="32"/>
      <c r="M4571" s="32"/>
    </row>
    <row r="4572" customFormat="false" ht="15" hidden="false" customHeight="true" outlineLevel="0" collapsed="false">
      <c r="A4572" s="32"/>
      <c r="B4572" s="32"/>
      <c r="C4572" s="32"/>
      <c r="D4572" s="32"/>
      <c r="E4572" s="34" t="str">
        <f aca="false">IF($B4572="","",IF($B4572="OUT","Liters",IFERROR(INDEX(Setup!$F$3:$F$24,MATCH($C4572,Setup!$A$3:$A$24,0)),"")))</f>
        <v/>
      </c>
      <c r="F4572" s="28" t="str">
        <f aca="false">IF(OR($D4572="",$E4572=""),"",IFERROR($D4572*INDEX(Setup!$B$27:$B$44,MATCH($E4572,Setup!$A$27:$A$44,0)),"TBD"))</f>
        <v/>
      </c>
      <c r="G4572" s="32"/>
      <c r="H4572" s="32"/>
      <c r="I4572" s="32"/>
      <c r="J4572" s="32"/>
      <c r="K4572" s="35"/>
      <c r="L4572" s="32"/>
      <c r="M4572" s="32"/>
    </row>
    <row r="4573" customFormat="false" ht="15" hidden="false" customHeight="true" outlineLevel="0" collapsed="false">
      <c r="A4573" s="32"/>
      <c r="B4573" s="32"/>
      <c r="C4573" s="32"/>
      <c r="D4573" s="32"/>
      <c r="E4573" s="34" t="str">
        <f aca="false">IF($B4573="","",IF($B4573="OUT","Liters",IFERROR(INDEX(Setup!$F$3:$F$24,MATCH($C4573,Setup!$A$3:$A$24,0)),"")))</f>
        <v/>
      </c>
      <c r="F4573" s="28" t="str">
        <f aca="false">IF(OR($D4573="",$E4573=""),"",IFERROR($D4573*INDEX(Setup!$B$27:$B$44,MATCH($E4573,Setup!$A$27:$A$44,0)),"TBD"))</f>
        <v/>
      </c>
      <c r="G4573" s="32"/>
      <c r="H4573" s="32"/>
      <c r="I4573" s="32"/>
      <c r="J4573" s="32"/>
      <c r="K4573" s="35"/>
      <c r="L4573" s="32"/>
      <c r="M4573" s="32"/>
    </row>
    <row r="4574" customFormat="false" ht="15" hidden="false" customHeight="true" outlineLevel="0" collapsed="false">
      <c r="A4574" s="32"/>
      <c r="B4574" s="32"/>
      <c r="C4574" s="32"/>
      <c r="D4574" s="32"/>
      <c r="E4574" s="34" t="str">
        <f aca="false">IF($B4574="","",IF($B4574="OUT","Liters",IFERROR(INDEX(Setup!$F$3:$F$24,MATCH($C4574,Setup!$A$3:$A$24,0)),"")))</f>
        <v/>
      </c>
      <c r="F4574" s="28" t="str">
        <f aca="false">IF(OR($D4574="",$E4574=""),"",IFERROR($D4574*INDEX(Setup!$B$27:$B$44,MATCH($E4574,Setup!$A$27:$A$44,0)),"TBD"))</f>
        <v/>
      </c>
      <c r="G4574" s="32"/>
      <c r="H4574" s="32"/>
      <c r="I4574" s="32"/>
      <c r="J4574" s="32"/>
      <c r="K4574" s="35"/>
      <c r="L4574" s="32"/>
      <c r="M4574" s="32"/>
    </row>
    <row r="4575" customFormat="false" ht="15" hidden="false" customHeight="true" outlineLevel="0" collapsed="false">
      <c r="A4575" s="32"/>
      <c r="B4575" s="32"/>
      <c r="C4575" s="32"/>
      <c r="D4575" s="32"/>
      <c r="E4575" s="34" t="str">
        <f aca="false">IF($B4575="","",IF($B4575="OUT","Liters",IFERROR(INDEX(Setup!$F$3:$F$24,MATCH($C4575,Setup!$A$3:$A$24,0)),"")))</f>
        <v/>
      </c>
      <c r="F4575" s="28" t="str">
        <f aca="false">IF(OR($D4575="",$E4575=""),"",IFERROR($D4575*INDEX(Setup!$B$27:$B$44,MATCH($E4575,Setup!$A$27:$A$44,0)),"TBD"))</f>
        <v/>
      </c>
      <c r="G4575" s="32"/>
      <c r="H4575" s="32"/>
      <c r="I4575" s="32"/>
      <c r="J4575" s="32"/>
      <c r="K4575" s="35"/>
      <c r="L4575" s="32"/>
      <c r="M4575" s="32"/>
    </row>
    <row r="4576" customFormat="false" ht="15" hidden="false" customHeight="true" outlineLevel="0" collapsed="false">
      <c r="A4576" s="32"/>
      <c r="B4576" s="32"/>
      <c r="C4576" s="32"/>
      <c r="D4576" s="32"/>
      <c r="E4576" s="34" t="str">
        <f aca="false">IF($B4576="","",IF($B4576="OUT","Liters",IFERROR(INDEX(Setup!$F$3:$F$24,MATCH($C4576,Setup!$A$3:$A$24,0)),"")))</f>
        <v/>
      </c>
      <c r="F4576" s="28" t="str">
        <f aca="false">IF(OR($D4576="",$E4576=""),"",IFERROR($D4576*INDEX(Setup!$B$27:$B$44,MATCH($E4576,Setup!$A$27:$A$44,0)),"TBD"))</f>
        <v/>
      </c>
      <c r="G4576" s="32"/>
      <c r="H4576" s="32"/>
      <c r="I4576" s="32"/>
      <c r="J4576" s="32"/>
      <c r="K4576" s="35"/>
      <c r="L4576" s="32"/>
      <c r="M4576" s="32"/>
    </row>
    <row r="4577" customFormat="false" ht="15" hidden="false" customHeight="true" outlineLevel="0" collapsed="false">
      <c r="A4577" s="32"/>
      <c r="B4577" s="32"/>
      <c r="C4577" s="32"/>
      <c r="D4577" s="32"/>
      <c r="E4577" s="34" t="str">
        <f aca="false">IF($B4577="","",IF($B4577="OUT","Liters",IFERROR(INDEX(Setup!$F$3:$F$24,MATCH($C4577,Setup!$A$3:$A$24,0)),"")))</f>
        <v/>
      </c>
      <c r="F4577" s="28" t="str">
        <f aca="false">IF(OR($D4577="",$E4577=""),"",IFERROR($D4577*INDEX(Setup!$B$27:$B$44,MATCH($E4577,Setup!$A$27:$A$44,0)),"TBD"))</f>
        <v/>
      </c>
      <c r="G4577" s="32"/>
      <c r="H4577" s="32"/>
      <c r="I4577" s="32"/>
      <c r="J4577" s="32"/>
      <c r="K4577" s="35"/>
      <c r="L4577" s="32"/>
      <c r="M4577" s="32"/>
    </row>
    <row r="4578" customFormat="false" ht="15" hidden="false" customHeight="true" outlineLevel="0" collapsed="false">
      <c r="A4578" s="32"/>
      <c r="B4578" s="32"/>
      <c r="C4578" s="32"/>
      <c r="D4578" s="32"/>
      <c r="E4578" s="34" t="str">
        <f aca="false">IF($B4578="","",IF($B4578="OUT","Liters",IFERROR(INDEX(Setup!$F$3:$F$24,MATCH($C4578,Setup!$A$3:$A$24,0)),"")))</f>
        <v/>
      </c>
      <c r="F4578" s="28" t="str">
        <f aca="false">IF(OR($D4578="",$E4578=""),"",IFERROR($D4578*INDEX(Setup!$B$27:$B$44,MATCH($E4578,Setup!$A$27:$A$44,0)),"TBD"))</f>
        <v/>
      </c>
      <c r="G4578" s="32"/>
      <c r="H4578" s="32"/>
      <c r="I4578" s="32"/>
      <c r="J4578" s="32"/>
      <c r="K4578" s="35"/>
      <c r="L4578" s="32"/>
      <c r="M4578" s="32"/>
    </row>
    <row r="4579" customFormat="false" ht="15" hidden="false" customHeight="true" outlineLevel="0" collapsed="false">
      <c r="A4579" s="32"/>
      <c r="B4579" s="32"/>
      <c r="C4579" s="32"/>
      <c r="D4579" s="32"/>
      <c r="E4579" s="34" t="str">
        <f aca="false">IF($B4579="","",IF($B4579="OUT","Liters",IFERROR(INDEX(Setup!$F$3:$F$24,MATCH($C4579,Setup!$A$3:$A$24,0)),"")))</f>
        <v/>
      </c>
      <c r="F4579" s="28" t="str">
        <f aca="false">IF(OR($D4579="",$E4579=""),"",IFERROR($D4579*INDEX(Setup!$B$27:$B$44,MATCH($E4579,Setup!$A$27:$A$44,0)),"TBD"))</f>
        <v/>
      </c>
      <c r="G4579" s="32"/>
      <c r="H4579" s="32"/>
      <c r="I4579" s="32"/>
      <c r="J4579" s="32"/>
      <c r="K4579" s="35"/>
      <c r="L4579" s="32"/>
      <c r="M4579" s="32"/>
    </row>
    <row r="4580" customFormat="false" ht="15" hidden="false" customHeight="true" outlineLevel="0" collapsed="false">
      <c r="A4580" s="32"/>
      <c r="B4580" s="32"/>
      <c r="C4580" s="32"/>
      <c r="D4580" s="32"/>
      <c r="E4580" s="34" t="str">
        <f aca="false">IF($B4580="","",IF($B4580="OUT","Liters",IFERROR(INDEX(Setup!$F$3:$F$24,MATCH($C4580,Setup!$A$3:$A$24,0)),"")))</f>
        <v/>
      </c>
      <c r="F4580" s="28" t="str">
        <f aca="false">IF(OR($D4580="",$E4580=""),"",IFERROR($D4580*INDEX(Setup!$B$27:$B$44,MATCH($E4580,Setup!$A$27:$A$44,0)),"TBD"))</f>
        <v/>
      </c>
      <c r="G4580" s="32"/>
      <c r="H4580" s="32"/>
      <c r="I4580" s="32"/>
      <c r="J4580" s="32"/>
      <c r="K4580" s="35"/>
      <c r="L4580" s="32"/>
      <c r="M4580" s="32"/>
    </row>
    <row r="4581" customFormat="false" ht="15" hidden="false" customHeight="true" outlineLevel="0" collapsed="false">
      <c r="A4581" s="32"/>
      <c r="B4581" s="32"/>
      <c r="C4581" s="32"/>
      <c r="D4581" s="32"/>
      <c r="E4581" s="34" t="str">
        <f aca="false">IF($B4581="","",IF($B4581="OUT","Liters",IFERROR(INDEX(Setup!$F$3:$F$24,MATCH($C4581,Setup!$A$3:$A$24,0)),"")))</f>
        <v/>
      </c>
      <c r="F4581" s="28" t="str">
        <f aca="false">IF(OR($D4581="",$E4581=""),"",IFERROR($D4581*INDEX(Setup!$B$27:$B$44,MATCH($E4581,Setup!$A$27:$A$44,0)),"TBD"))</f>
        <v/>
      </c>
      <c r="G4581" s="32"/>
      <c r="H4581" s="32"/>
      <c r="I4581" s="32"/>
      <c r="J4581" s="32"/>
      <c r="K4581" s="35"/>
      <c r="L4581" s="32"/>
      <c r="M4581" s="32"/>
    </row>
    <row r="4582" customFormat="false" ht="15" hidden="false" customHeight="true" outlineLevel="0" collapsed="false">
      <c r="A4582" s="32"/>
      <c r="B4582" s="32"/>
      <c r="C4582" s="32"/>
      <c r="D4582" s="32"/>
      <c r="E4582" s="34" t="str">
        <f aca="false">IF($B4582="","",IF($B4582="OUT","Liters",IFERROR(INDEX(Setup!$F$3:$F$24,MATCH($C4582,Setup!$A$3:$A$24,0)),"")))</f>
        <v/>
      </c>
      <c r="F4582" s="28" t="str">
        <f aca="false">IF(OR($D4582="",$E4582=""),"",IFERROR($D4582*INDEX(Setup!$B$27:$B$44,MATCH($E4582,Setup!$A$27:$A$44,0)),"TBD"))</f>
        <v/>
      </c>
      <c r="G4582" s="32"/>
      <c r="H4582" s="32"/>
      <c r="I4582" s="32"/>
      <c r="J4582" s="32"/>
      <c r="K4582" s="35"/>
      <c r="L4582" s="32"/>
      <c r="M4582" s="32"/>
    </row>
    <row r="4583" customFormat="false" ht="15" hidden="false" customHeight="true" outlineLevel="0" collapsed="false">
      <c r="A4583" s="32"/>
      <c r="B4583" s="32"/>
      <c r="C4583" s="32"/>
      <c r="D4583" s="32"/>
      <c r="E4583" s="34" t="str">
        <f aca="false">IF($B4583="","",IF($B4583="OUT","Liters",IFERROR(INDEX(Setup!$F$3:$F$24,MATCH($C4583,Setup!$A$3:$A$24,0)),"")))</f>
        <v/>
      </c>
      <c r="F4583" s="28" t="str">
        <f aca="false">IF(OR($D4583="",$E4583=""),"",IFERROR($D4583*INDEX(Setup!$B$27:$B$44,MATCH($E4583,Setup!$A$27:$A$44,0)),"TBD"))</f>
        <v/>
      </c>
      <c r="G4583" s="32"/>
      <c r="H4583" s="32"/>
      <c r="I4583" s="32"/>
      <c r="J4583" s="32"/>
      <c r="K4583" s="35"/>
      <c r="L4583" s="32"/>
      <c r="M4583" s="32"/>
    </row>
    <row r="4584" customFormat="false" ht="15" hidden="false" customHeight="true" outlineLevel="0" collapsed="false">
      <c r="A4584" s="32"/>
      <c r="B4584" s="32"/>
      <c r="C4584" s="32"/>
      <c r="D4584" s="32"/>
      <c r="E4584" s="34" t="str">
        <f aca="false">IF($B4584="","",IF($B4584="OUT","Liters",IFERROR(INDEX(Setup!$F$3:$F$24,MATCH($C4584,Setup!$A$3:$A$24,0)),"")))</f>
        <v/>
      </c>
      <c r="F4584" s="28" t="str">
        <f aca="false">IF(OR($D4584="",$E4584=""),"",IFERROR($D4584*INDEX(Setup!$B$27:$B$44,MATCH($E4584,Setup!$A$27:$A$44,0)),"TBD"))</f>
        <v/>
      </c>
      <c r="G4584" s="32"/>
      <c r="H4584" s="32"/>
      <c r="I4584" s="32"/>
      <c r="J4584" s="32"/>
      <c r="K4584" s="35"/>
      <c r="L4584" s="32"/>
      <c r="M4584" s="32"/>
    </row>
    <row r="4585" customFormat="false" ht="15" hidden="false" customHeight="true" outlineLevel="0" collapsed="false">
      <c r="A4585" s="32"/>
      <c r="B4585" s="32"/>
      <c r="C4585" s="32"/>
      <c r="D4585" s="32"/>
      <c r="E4585" s="34" t="str">
        <f aca="false">IF($B4585="","",IF($B4585="OUT","Liters",IFERROR(INDEX(Setup!$F$3:$F$24,MATCH($C4585,Setup!$A$3:$A$24,0)),"")))</f>
        <v/>
      </c>
      <c r="F4585" s="28" t="str">
        <f aca="false">IF(OR($D4585="",$E4585=""),"",IFERROR($D4585*INDEX(Setup!$B$27:$B$44,MATCH($E4585,Setup!$A$27:$A$44,0)),"TBD"))</f>
        <v/>
      </c>
      <c r="G4585" s="32"/>
      <c r="H4585" s="32"/>
      <c r="I4585" s="32"/>
      <c r="J4585" s="32"/>
      <c r="K4585" s="35"/>
      <c r="L4585" s="32"/>
      <c r="M4585" s="32"/>
    </row>
    <row r="4586" customFormat="false" ht="15" hidden="false" customHeight="true" outlineLevel="0" collapsed="false">
      <c r="A4586" s="32"/>
      <c r="B4586" s="32"/>
      <c r="C4586" s="32"/>
      <c r="D4586" s="32"/>
      <c r="E4586" s="34" t="str">
        <f aca="false">IF($B4586="","",IF($B4586="OUT","Liters",IFERROR(INDEX(Setup!$F$3:$F$24,MATCH($C4586,Setup!$A$3:$A$24,0)),"")))</f>
        <v/>
      </c>
      <c r="F4586" s="28" t="str">
        <f aca="false">IF(OR($D4586="",$E4586=""),"",IFERROR($D4586*INDEX(Setup!$B$27:$B$44,MATCH($E4586,Setup!$A$27:$A$44,0)),"TBD"))</f>
        <v/>
      </c>
      <c r="G4586" s="32"/>
      <c r="H4586" s="32"/>
      <c r="I4586" s="32"/>
      <c r="J4586" s="32"/>
      <c r="K4586" s="35"/>
      <c r="L4586" s="32"/>
      <c r="M4586" s="32"/>
    </row>
    <row r="4587" customFormat="false" ht="15" hidden="false" customHeight="true" outlineLevel="0" collapsed="false">
      <c r="A4587" s="32"/>
      <c r="B4587" s="32"/>
      <c r="C4587" s="32"/>
      <c r="D4587" s="32"/>
      <c r="E4587" s="34" t="str">
        <f aca="false">IF($B4587="","",IF($B4587="OUT","Liters",IFERROR(INDEX(Setup!$F$3:$F$24,MATCH($C4587,Setup!$A$3:$A$24,0)),"")))</f>
        <v/>
      </c>
      <c r="F4587" s="28" t="str">
        <f aca="false">IF(OR($D4587="",$E4587=""),"",IFERROR($D4587*INDEX(Setup!$B$27:$B$44,MATCH($E4587,Setup!$A$27:$A$44,0)),"TBD"))</f>
        <v/>
      </c>
      <c r="G4587" s="32"/>
      <c r="H4587" s="32"/>
      <c r="I4587" s="32"/>
      <c r="J4587" s="32"/>
      <c r="K4587" s="35"/>
      <c r="L4587" s="32"/>
      <c r="M4587" s="32"/>
    </row>
    <row r="4588" customFormat="false" ht="15" hidden="false" customHeight="true" outlineLevel="0" collapsed="false">
      <c r="A4588" s="32"/>
      <c r="B4588" s="32"/>
      <c r="C4588" s="32"/>
      <c r="D4588" s="32"/>
      <c r="E4588" s="34" t="str">
        <f aca="false">IF($B4588="","",IF($B4588="OUT","Liters",IFERROR(INDEX(Setup!$F$3:$F$24,MATCH($C4588,Setup!$A$3:$A$24,0)),"")))</f>
        <v/>
      </c>
      <c r="F4588" s="28" t="str">
        <f aca="false">IF(OR($D4588="",$E4588=""),"",IFERROR($D4588*INDEX(Setup!$B$27:$B$44,MATCH($E4588,Setup!$A$27:$A$44,0)),"TBD"))</f>
        <v/>
      </c>
      <c r="G4588" s="32"/>
      <c r="H4588" s="32"/>
      <c r="I4588" s="32"/>
      <c r="J4588" s="32"/>
      <c r="K4588" s="35"/>
      <c r="L4588" s="32"/>
      <c r="M4588" s="32"/>
    </row>
    <row r="4589" customFormat="false" ht="15" hidden="false" customHeight="true" outlineLevel="0" collapsed="false">
      <c r="A4589" s="32"/>
      <c r="B4589" s="32"/>
      <c r="C4589" s="32"/>
      <c r="D4589" s="32"/>
      <c r="E4589" s="34" t="str">
        <f aca="false">IF($B4589="","",IF($B4589="OUT","Liters",IFERROR(INDEX(Setup!$F$3:$F$24,MATCH($C4589,Setup!$A$3:$A$24,0)),"")))</f>
        <v/>
      </c>
      <c r="F4589" s="28" t="str">
        <f aca="false">IF(OR($D4589="",$E4589=""),"",IFERROR($D4589*INDEX(Setup!$B$27:$B$44,MATCH($E4589,Setup!$A$27:$A$44,0)),"TBD"))</f>
        <v/>
      </c>
      <c r="G4589" s="32"/>
      <c r="H4589" s="32"/>
      <c r="I4589" s="32"/>
      <c r="J4589" s="32"/>
      <c r="K4589" s="35"/>
      <c r="L4589" s="32"/>
      <c r="M4589" s="32"/>
    </row>
    <row r="4590" customFormat="false" ht="15" hidden="false" customHeight="true" outlineLevel="0" collapsed="false">
      <c r="A4590" s="32"/>
      <c r="B4590" s="32"/>
      <c r="C4590" s="32"/>
      <c r="D4590" s="32"/>
      <c r="E4590" s="34" t="str">
        <f aca="false">IF($B4590="","",IF($B4590="OUT","Liters",IFERROR(INDEX(Setup!$F$3:$F$24,MATCH($C4590,Setup!$A$3:$A$24,0)),"")))</f>
        <v/>
      </c>
      <c r="F4590" s="28" t="str">
        <f aca="false">IF(OR($D4590="",$E4590=""),"",IFERROR($D4590*INDEX(Setup!$B$27:$B$44,MATCH($E4590,Setup!$A$27:$A$44,0)),"TBD"))</f>
        <v/>
      </c>
      <c r="G4590" s="32"/>
      <c r="H4590" s="32"/>
      <c r="I4590" s="32"/>
      <c r="J4590" s="32"/>
      <c r="K4590" s="35"/>
      <c r="L4590" s="32"/>
      <c r="M4590" s="32"/>
    </row>
    <row r="4591" customFormat="false" ht="15" hidden="false" customHeight="true" outlineLevel="0" collapsed="false">
      <c r="A4591" s="32"/>
      <c r="B4591" s="32"/>
      <c r="C4591" s="32"/>
      <c r="D4591" s="32"/>
      <c r="E4591" s="34" t="str">
        <f aca="false">IF($B4591="","",IF($B4591="OUT","Liters",IFERROR(INDEX(Setup!$F$3:$F$24,MATCH($C4591,Setup!$A$3:$A$24,0)),"")))</f>
        <v/>
      </c>
      <c r="F4591" s="28" t="str">
        <f aca="false">IF(OR($D4591="",$E4591=""),"",IFERROR($D4591*INDEX(Setup!$B$27:$B$44,MATCH($E4591,Setup!$A$27:$A$44,0)),"TBD"))</f>
        <v/>
      </c>
      <c r="G4591" s="32"/>
      <c r="H4591" s="32"/>
      <c r="I4591" s="32"/>
      <c r="J4591" s="32"/>
      <c r="K4591" s="35"/>
      <c r="L4591" s="32"/>
      <c r="M4591" s="32"/>
    </row>
    <row r="4592" customFormat="false" ht="15" hidden="false" customHeight="true" outlineLevel="0" collapsed="false">
      <c r="A4592" s="32"/>
      <c r="B4592" s="32"/>
      <c r="C4592" s="32"/>
      <c r="D4592" s="32"/>
      <c r="E4592" s="34" t="str">
        <f aca="false">IF($B4592="","",IF($B4592="OUT","Liters",IFERROR(INDEX(Setup!$F$3:$F$24,MATCH($C4592,Setup!$A$3:$A$24,0)),"")))</f>
        <v/>
      </c>
      <c r="F4592" s="28" t="str">
        <f aca="false">IF(OR($D4592="",$E4592=""),"",IFERROR($D4592*INDEX(Setup!$B$27:$B$44,MATCH($E4592,Setup!$A$27:$A$44,0)),"TBD"))</f>
        <v/>
      </c>
      <c r="G4592" s="32"/>
      <c r="H4592" s="32"/>
      <c r="I4592" s="32"/>
      <c r="J4592" s="32"/>
      <c r="K4592" s="35"/>
      <c r="L4592" s="32"/>
      <c r="M4592" s="32"/>
    </row>
    <row r="4593" customFormat="false" ht="15" hidden="false" customHeight="true" outlineLevel="0" collapsed="false">
      <c r="A4593" s="32"/>
      <c r="B4593" s="32"/>
      <c r="C4593" s="32"/>
      <c r="D4593" s="32"/>
      <c r="E4593" s="34" t="str">
        <f aca="false">IF($B4593="","",IF($B4593="OUT","Liters",IFERROR(INDEX(Setup!$F$3:$F$24,MATCH($C4593,Setup!$A$3:$A$24,0)),"")))</f>
        <v/>
      </c>
      <c r="F4593" s="28" t="str">
        <f aca="false">IF(OR($D4593="",$E4593=""),"",IFERROR($D4593*INDEX(Setup!$B$27:$B$44,MATCH($E4593,Setup!$A$27:$A$44,0)),"TBD"))</f>
        <v/>
      </c>
      <c r="G4593" s="32"/>
      <c r="H4593" s="32"/>
      <c r="I4593" s="32"/>
      <c r="J4593" s="32"/>
      <c r="K4593" s="35"/>
      <c r="L4593" s="32"/>
      <c r="M4593" s="32"/>
    </row>
    <row r="4594" customFormat="false" ht="15" hidden="false" customHeight="true" outlineLevel="0" collapsed="false">
      <c r="A4594" s="32"/>
      <c r="B4594" s="32"/>
      <c r="C4594" s="32"/>
      <c r="D4594" s="32"/>
      <c r="E4594" s="34" t="str">
        <f aca="false">IF($B4594="","",IF($B4594="OUT","Liters",IFERROR(INDEX(Setup!$F$3:$F$24,MATCH($C4594,Setup!$A$3:$A$24,0)),"")))</f>
        <v/>
      </c>
      <c r="F4594" s="28" t="str">
        <f aca="false">IF(OR($D4594="",$E4594=""),"",IFERROR($D4594*INDEX(Setup!$B$27:$B$44,MATCH($E4594,Setup!$A$27:$A$44,0)),"TBD"))</f>
        <v/>
      </c>
      <c r="G4594" s="32"/>
      <c r="H4594" s="32"/>
      <c r="I4594" s="32"/>
      <c r="J4594" s="32"/>
      <c r="K4594" s="35"/>
      <c r="L4594" s="32"/>
      <c r="M4594" s="32"/>
    </row>
    <row r="4595" customFormat="false" ht="15" hidden="false" customHeight="true" outlineLevel="0" collapsed="false">
      <c r="A4595" s="32"/>
      <c r="B4595" s="32"/>
      <c r="C4595" s="32"/>
      <c r="D4595" s="32"/>
      <c r="E4595" s="34" t="str">
        <f aca="false">IF($B4595="","",IF($B4595="OUT","Liters",IFERROR(INDEX(Setup!$F$3:$F$24,MATCH($C4595,Setup!$A$3:$A$24,0)),"")))</f>
        <v/>
      </c>
      <c r="F4595" s="28" t="str">
        <f aca="false">IF(OR($D4595="",$E4595=""),"",IFERROR($D4595*INDEX(Setup!$B$27:$B$44,MATCH($E4595,Setup!$A$27:$A$44,0)),"TBD"))</f>
        <v/>
      </c>
      <c r="G4595" s="32"/>
      <c r="H4595" s="32"/>
      <c r="I4595" s="32"/>
      <c r="J4595" s="32"/>
      <c r="K4595" s="35"/>
      <c r="L4595" s="32"/>
      <c r="M4595" s="32"/>
    </row>
    <row r="4596" customFormat="false" ht="15" hidden="false" customHeight="true" outlineLevel="0" collapsed="false">
      <c r="A4596" s="32"/>
      <c r="B4596" s="32"/>
      <c r="C4596" s="32"/>
      <c r="D4596" s="32"/>
      <c r="E4596" s="34" t="str">
        <f aca="false">IF($B4596="","",IF($B4596="OUT","Liters",IFERROR(INDEX(Setup!$F$3:$F$24,MATCH($C4596,Setup!$A$3:$A$24,0)),"")))</f>
        <v/>
      </c>
      <c r="F4596" s="28" t="str">
        <f aca="false">IF(OR($D4596="",$E4596=""),"",IFERROR($D4596*INDEX(Setup!$B$27:$B$44,MATCH($E4596,Setup!$A$27:$A$44,0)),"TBD"))</f>
        <v/>
      </c>
      <c r="G4596" s="32"/>
      <c r="H4596" s="32"/>
      <c r="I4596" s="32"/>
      <c r="J4596" s="32"/>
      <c r="K4596" s="35"/>
      <c r="L4596" s="32"/>
      <c r="M4596" s="32"/>
    </row>
    <row r="4597" customFormat="false" ht="15" hidden="false" customHeight="true" outlineLevel="0" collapsed="false">
      <c r="A4597" s="32"/>
      <c r="B4597" s="32"/>
      <c r="C4597" s="32"/>
      <c r="D4597" s="32"/>
      <c r="E4597" s="34" t="str">
        <f aca="false">IF($B4597="","",IF($B4597="OUT","Liters",IFERROR(INDEX(Setup!$F$3:$F$24,MATCH($C4597,Setup!$A$3:$A$24,0)),"")))</f>
        <v/>
      </c>
      <c r="F4597" s="28" t="str">
        <f aca="false">IF(OR($D4597="",$E4597=""),"",IFERROR($D4597*INDEX(Setup!$B$27:$B$44,MATCH($E4597,Setup!$A$27:$A$44,0)),"TBD"))</f>
        <v/>
      </c>
      <c r="G4597" s="32"/>
      <c r="H4597" s="32"/>
      <c r="I4597" s="32"/>
      <c r="J4597" s="32"/>
      <c r="K4597" s="35"/>
      <c r="L4597" s="32"/>
      <c r="M4597" s="32"/>
    </row>
    <row r="4598" customFormat="false" ht="15" hidden="false" customHeight="true" outlineLevel="0" collapsed="false">
      <c r="A4598" s="32"/>
      <c r="B4598" s="32"/>
      <c r="C4598" s="32"/>
      <c r="D4598" s="32"/>
      <c r="E4598" s="34" t="str">
        <f aca="false">IF($B4598="","",IF($B4598="OUT","Liters",IFERROR(INDEX(Setup!$F$3:$F$24,MATCH($C4598,Setup!$A$3:$A$24,0)),"")))</f>
        <v/>
      </c>
      <c r="F4598" s="28" t="str">
        <f aca="false">IF(OR($D4598="",$E4598=""),"",IFERROR($D4598*INDEX(Setup!$B$27:$B$44,MATCH($E4598,Setup!$A$27:$A$44,0)),"TBD"))</f>
        <v/>
      </c>
      <c r="G4598" s="32"/>
      <c r="H4598" s="32"/>
      <c r="I4598" s="32"/>
      <c r="J4598" s="32"/>
      <c r="K4598" s="35"/>
      <c r="L4598" s="32"/>
      <c r="M4598" s="32"/>
    </row>
    <row r="4599" customFormat="false" ht="15" hidden="false" customHeight="true" outlineLevel="0" collapsed="false">
      <c r="A4599" s="32"/>
      <c r="B4599" s="32"/>
      <c r="C4599" s="32"/>
      <c r="D4599" s="32"/>
      <c r="E4599" s="34" t="str">
        <f aca="false">IF($B4599="","",IF($B4599="OUT","Liters",IFERROR(INDEX(Setup!$F$3:$F$24,MATCH($C4599,Setup!$A$3:$A$24,0)),"")))</f>
        <v/>
      </c>
      <c r="F4599" s="28" t="str">
        <f aca="false">IF(OR($D4599="",$E4599=""),"",IFERROR($D4599*INDEX(Setup!$B$27:$B$44,MATCH($E4599,Setup!$A$27:$A$44,0)),"TBD"))</f>
        <v/>
      </c>
      <c r="G4599" s="32"/>
      <c r="H4599" s="32"/>
      <c r="I4599" s="32"/>
      <c r="J4599" s="32"/>
      <c r="K4599" s="35"/>
      <c r="L4599" s="32"/>
      <c r="M4599" s="32"/>
    </row>
    <row r="4600" customFormat="false" ht="15" hidden="false" customHeight="true" outlineLevel="0" collapsed="false">
      <c r="A4600" s="32"/>
      <c r="B4600" s="32"/>
      <c r="C4600" s="32"/>
      <c r="D4600" s="32"/>
      <c r="E4600" s="34" t="str">
        <f aca="false">IF($B4600="","",IF($B4600="OUT","Liters",IFERROR(INDEX(Setup!$F$3:$F$24,MATCH($C4600,Setup!$A$3:$A$24,0)),"")))</f>
        <v/>
      </c>
      <c r="F4600" s="28" t="str">
        <f aca="false">IF(OR($D4600="",$E4600=""),"",IFERROR($D4600*INDEX(Setup!$B$27:$B$44,MATCH($E4600,Setup!$A$27:$A$44,0)),"TBD"))</f>
        <v/>
      </c>
      <c r="G4600" s="32"/>
      <c r="H4600" s="32"/>
      <c r="I4600" s="32"/>
      <c r="J4600" s="32"/>
      <c r="K4600" s="35"/>
      <c r="L4600" s="32"/>
      <c r="M4600" s="32"/>
    </row>
    <row r="4601" customFormat="false" ht="15" hidden="false" customHeight="true" outlineLevel="0" collapsed="false">
      <c r="A4601" s="32"/>
      <c r="B4601" s="32"/>
      <c r="C4601" s="32"/>
      <c r="D4601" s="32"/>
      <c r="E4601" s="34" t="str">
        <f aca="false">IF($B4601="","",IF($B4601="OUT","Liters",IFERROR(INDEX(Setup!$F$3:$F$24,MATCH($C4601,Setup!$A$3:$A$24,0)),"")))</f>
        <v/>
      </c>
      <c r="F4601" s="28" t="str">
        <f aca="false">IF(OR($D4601="",$E4601=""),"",IFERROR($D4601*INDEX(Setup!$B$27:$B$44,MATCH($E4601,Setup!$A$27:$A$44,0)),"TBD"))</f>
        <v/>
      </c>
      <c r="G4601" s="32"/>
      <c r="H4601" s="32"/>
      <c r="I4601" s="32"/>
      <c r="J4601" s="32"/>
      <c r="K4601" s="35"/>
      <c r="L4601" s="32"/>
      <c r="M4601" s="32"/>
    </row>
    <row r="4602" customFormat="false" ht="15" hidden="false" customHeight="true" outlineLevel="0" collapsed="false">
      <c r="A4602" s="32"/>
      <c r="B4602" s="32"/>
      <c r="C4602" s="32"/>
      <c r="D4602" s="32"/>
      <c r="E4602" s="34" t="str">
        <f aca="false">IF($B4602="","",IF($B4602="OUT","Liters",IFERROR(INDEX(Setup!$F$3:$F$24,MATCH($C4602,Setup!$A$3:$A$24,0)),"")))</f>
        <v/>
      </c>
      <c r="F4602" s="28" t="str">
        <f aca="false">IF(OR($D4602="",$E4602=""),"",IFERROR($D4602*INDEX(Setup!$B$27:$B$44,MATCH($E4602,Setup!$A$27:$A$44,0)),"TBD"))</f>
        <v/>
      </c>
      <c r="G4602" s="32"/>
      <c r="H4602" s="32"/>
      <c r="I4602" s="32"/>
      <c r="J4602" s="32"/>
      <c r="K4602" s="35"/>
      <c r="L4602" s="32"/>
      <c r="M4602" s="32"/>
    </row>
    <row r="4603" customFormat="false" ht="15" hidden="false" customHeight="true" outlineLevel="0" collapsed="false">
      <c r="A4603" s="32"/>
      <c r="B4603" s="32"/>
      <c r="C4603" s="32"/>
      <c r="D4603" s="32"/>
      <c r="E4603" s="34" t="str">
        <f aca="false">IF($B4603="","",IF($B4603="OUT","Liters",IFERROR(INDEX(Setup!$F$3:$F$24,MATCH($C4603,Setup!$A$3:$A$24,0)),"")))</f>
        <v/>
      </c>
      <c r="F4603" s="28" t="str">
        <f aca="false">IF(OR($D4603="",$E4603=""),"",IFERROR($D4603*INDEX(Setup!$B$27:$B$44,MATCH($E4603,Setup!$A$27:$A$44,0)),"TBD"))</f>
        <v/>
      </c>
      <c r="G4603" s="32"/>
      <c r="H4603" s="32"/>
      <c r="I4603" s="32"/>
      <c r="J4603" s="32"/>
      <c r="K4603" s="35"/>
      <c r="L4603" s="32"/>
      <c r="M4603" s="32"/>
    </row>
    <row r="4604" customFormat="false" ht="15" hidden="false" customHeight="true" outlineLevel="0" collapsed="false">
      <c r="A4604" s="32"/>
      <c r="B4604" s="32"/>
      <c r="C4604" s="32"/>
      <c r="D4604" s="32"/>
      <c r="E4604" s="34" t="str">
        <f aca="false">IF($B4604="","",IF($B4604="OUT","Liters",IFERROR(INDEX(Setup!$F$3:$F$24,MATCH($C4604,Setup!$A$3:$A$24,0)),"")))</f>
        <v/>
      </c>
      <c r="F4604" s="28" t="str">
        <f aca="false">IF(OR($D4604="",$E4604=""),"",IFERROR($D4604*INDEX(Setup!$B$27:$B$44,MATCH($E4604,Setup!$A$27:$A$44,0)),"TBD"))</f>
        <v/>
      </c>
      <c r="G4604" s="32"/>
      <c r="H4604" s="32"/>
      <c r="I4604" s="32"/>
      <c r="J4604" s="32"/>
      <c r="K4604" s="35"/>
      <c r="L4604" s="32"/>
      <c r="M4604" s="32"/>
    </row>
    <row r="4605" customFormat="false" ht="15" hidden="false" customHeight="true" outlineLevel="0" collapsed="false">
      <c r="A4605" s="32"/>
      <c r="B4605" s="32"/>
      <c r="C4605" s="32"/>
      <c r="D4605" s="32"/>
      <c r="E4605" s="34" t="str">
        <f aca="false">IF($B4605="","",IF($B4605="OUT","Liters",IFERROR(INDEX(Setup!$F$3:$F$24,MATCH($C4605,Setup!$A$3:$A$24,0)),"")))</f>
        <v/>
      </c>
      <c r="F4605" s="28" t="str">
        <f aca="false">IF(OR($D4605="",$E4605=""),"",IFERROR($D4605*INDEX(Setup!$B$27:$B$44,MATCH($E4605,Setup!$A$27:$A$44,0)),"TBD"))</f>
        <v/>
      </c>
      <c r="G4605" s="32"/>
      <c r="H4605" s="32"/>
      <c r="I4605" s="32"/>
      <c r="J4605" s="32"/>
      <c r="K4605" s="35"/>
      <c r="L4605" s="32"/>
      <c r="M4605" s="32"/>
    </row>
    <row r="4606" customFormat="false" ht="15" hidden="false" customHeight="true" outlineLevel="0" collapsed="false">
      <c r="A4606" s="32"/>
      <c r="B4606" s="32"/>
      <c r="C4606" s="32"/>
      <c r="D4606" s="32"/>
      <c r="E4606" s="34" t="str">
        <f aca="false">IF($B4606="","",IF($B4606="OUT","Liters",IFERROR(INDEX(Setup!$F$3:$F$24,MATCH($C4606,Setup!$A$3:$A$24,0)),"")))</f>
        <v/>
      </c>
      <c r="F4606" s="28" t="str">
        <f aca="false">IF(OR($D4606="",$E4606=""),"",IFERROR($D4606*INDEX(Setup!$B$27:$B$44,MATCH($E4606,Setup!$A$27:$A$44,0)),"TBD"))</f>
        <v/>
      </c>
      <c r="G4606" s="32"/>
      <c r="H4606" s="32"/>
      <c r="I4606" s="32"/>
      <c r="J4606" s="32"/>
      <c r="K4606" s="35"/>
      <c r="L4606" s="32"/>
      <c r="M4606" s="32"/>
    </row>
    <row r="4607" customFormat="false" ht="15" hidden="false" customHeight="true" outlineLevel="0" collapsed="false">
      <c r="A4607" s="32"/>
      <c r="B4607" s="32"/>
      <c r="C4607" s="32"/>
      <c r="D4607" s="32"/>
      <c r="E4607" s="34" t="str">
        <f aca="false">IF($B4607="","",IF($B4607="OUT","Liters",IFERROR(INDEX(Setup!$F$3:$F$24,MATCH($C4607,Setup!$A$3:$A$24,0)),"")))</f>
        <v/>
      </c>
      <c r="F4607" s="28" t="str">
        <f aca="false">IF(OR($D4607="",$E4607=""),"",IFERROR($D4607*INDEX(Setup!$B$27:$B$44,MATCH($E4607,Setup!$A$27:$A$44,0)),"TBD"))</f>
        <v/>
      </c>
      <c r="G4607" s="32"/>
      <c r="H4607" s="32"/>
      <c r="I4607" s="32"/>
      <c r="J4607" s="32"/>
      <c r="K4607" s="35"/>
      <c r="L4607" s="32"/>
      <c r="M4607" s="32"/>
    </row>
    <row r="4608" customFormat="false" ht="15" hidden="false" customHeight="true" outlineLevel="0" collapsed="false">
      <c r="A4608" s="32"/>
      <c r="B4608" s="32"/>
      <c r="C4608" s="32"/>
      <c r="D4608" s="32"/>
      <c r="E4608" s="34" t="str">
        <f aca="false">IF($B4608="","",IF($B4608="OUT","Liters",IFERROR(INDEX(Setup!$F$3:$F$24,MATCH($C4608,Setup!$A$3:$A$24,0)),"")))</f>
        <v/>
      </c>
      <c r="F4608" s="28" t="str">
        <f aca="false">IF(OR($D4608="",$E4608=""),"",IFERROR($D4608*INDEX(Setup!$B$27:$B$44,MATCH($E4608,Setup!$A$27:$A$44,0)),"TBD"))</f>
        <v/>
      </c>
      <c r="G4608" s="32"/>
      <c r="H4608" s="32"/>
      <c r="I4608" s="32"/>
      <c r="J4608" s="32"/>
      <c r="K4608" s="35"/>
      <c r="L4608" s="32"/>
      <c r="M4608" s="32"/>
    </row>
    <row r="4609" customFormat="false" ht="15" hidden="false" customHeight="true" outlineLevel="0" collapsed="false">
      <c r="A4609" s="32"/>
      <c r="B4609" s="32"/>
      <c r="C4609" s="32"/>
      <c r="D4609" s="32"/>
      <c r="E4609" s="34" t="str">
        <f aca="false">IF($B4609="","",IF($B4609="OUT","Liters",IFERROR(INDEX(Setup!$F$3:$F$24,MATCH($C4609,Setup!$A$3:$A$24,0)),"")))</f>
        <v/>
      </c>
      <c r="F4609" s="28" t="str">
        <f aca="false">IF(OR($D4609="",$E4609=""),"",IFERROR($D4609*INDEX(Setup!$B$27:$B$44,MATCH($E4609,Setup!$A$27:$A$44,0)),"TBD"))</f>
        <v/>
      </c>
      <c r="G4609" s="32"/>
      <c r="H4609" s="32"/>
      <c r="I4609" s="32"/>
      <c r="J4609" s="32"/>
      <c r="K4609" s="35"/>
      <c r="L4609" s="32"/>
      <c r="M4609" s="32"/>
    </row>
    <row r="4610" customFormat="false" ht="15" hidden="false" customHeight="true" outlineLevel="0" collapsed="false">
      <c r="A4610" s="32"/>
      <c r="B4610" s="32"/>
      <c r="C4610" s="32"/>
      <c r="D4610" s="32"/>
      <c r="E4610" s="34" t="str">
        <f aca="false">IF($B4610="","",IF($B4610="OUT","Liters",IFERROR(INDEX(Setup!$F$3:$F$24,MATCH($C4610,Setup!$A$3:$A$24,0)),"")))</f>
        <v/>
      </c>
      <c r="F4610" s="28" t="str">
        <f aca="false">IF(OR($D4610="",$E4610=""),"",IFERROR($D4610*INDEX(Setup!$B$27:$B$44,MATCH($E4610,Setup!$A$27:$A$44,0)),"TBD"))</f>
        <v/>
      </c>
      <c r="G4610" s="32"/>
      <c r="H4610" s="32"/>
      <c r="I4610" s="32"/>
      <c r="J4610" s="32"/>
      <c r="K4610" s="35"/>
      <c r="L4610" s="32"/>
      <c r="M4610" s="32"/>
    </row>
    <row r="4611" customFormat="false" ht="15" hidden="false" customHeight="true" outlineLevel="0" collapsed="false">
      <c r="A4611" s="32"/>
      <c r="B4611" s="32"/>
      <c r="C4611" s="32"/>
      <c r="D4611" s="32"/>
      <c r="E4611" s="34" t="str">
        <f aca="false">IF($B4611="","",IF($B4611="OUT","Liters",IFERROR(INDEX(Setup!$F$3:$F$24,MATCH($C4611,Setup!$A$3:$A$24,0)),"")))</f>
        <v/>
      </c>
      <c r="F4611" s="28" t="str">
        <f aca="false">IF(OR($D4611="",$E4611=""),"",IFERROR($D4611*INDEX(Setup!$B$27:$B$44,MATCH($E4611,Setup!$A$27:$A$44,0)),"TBD"))</f>
        <v/>
      </c>
      <c r="G4611" s="32"/>
      <c r="H4611" s="32"/>
      <c r="I4611" s="32"/>
      <c r="J4611" s="32"/>
      <c r="K4611" s="35"/>
      <c r="L4611" s="32"/>
      <c r="M4611" s="32"/>
    </row>
    <row r="4612" customFormat="false" ht="15" hidden="false" customHeight="true" outlineLevel="0" collapsed="false">
      <c r="A4612" s="32"/>
      <c r="B4612" s="32"/>
      <c r="C4612" s="32"/>
      <c r="D4612" s="32"/>
      <c r="E4612" s="34" t="str">
        <f aca="false">IF($B4612="","",IF($B4612="OUT","Liters",IFERROR(INDEX(Setup!$F$3:$F$24,MATCH($C4612,Setup!$A$3:$A$24,0)),"")))</f>
        <v/>
      </c>
      <c r="F4612" s="28" t="str">
        <f aca="false">IF(OR($D4612="",$E4612=""),"",IFERROR($D4612*INDEX(Setup!$B$27:$B$44,MATCH($E4612,Setup!$A$27:$A$44,0)),"TBD"))</f>
        <v/>
      </c>
      <c r="G4612" s="32"/>
      <c r="H4612" s="32"/>
      <c r="I4612" s="32"/>
      <c r="J4612" s="32"/>
      <c r="K4612" s="35"/>
      <c r="L4612" s="32"/>
      <c r="M4612" s="32"/>
    </row>
    <row r="4613" customFormat="false" ht="15" hidden="false" customHeight="true" outlineLevel="0" collapsed="false">
      <c r="A4613" s="32"/>
      <c r="B4613" s="32"/>
      <c r="C4613" s="32"/>
      <c r="D4613" s="32"/>
      <c r="E4613" s="34" t="str">
        <f aca="false">IF($B4613="","",IF($B4613="OUT","Liters",IFERROR(INDEX(Setup!$F$3:$F$24,MATCH($C4613,Setup!$A$3:$A$24,0)),"")))</f>
        <v/>
      </c>
      <c r="F4613" s="28" t="str">
        <f aca="false">IF(OR($D4613="",$E4613=""),"",IFERROR($D4613*INDEX(Setup!$B$27:$B$44,MATCH($E4613,Setup!$A$27:$A$44,0)),"TBD"))</f>
        <v/>
      </c>
      <c r="G4613" s="32"/>
      <c r="H4613" s="32"/>
      <c r="I4613" s="32"/>
      <c r="J4613" s="32"/>
      <c r="K4613" s="35"/>
      <c r="L4613" s="32"/>
      <c r="M4613" s="32"/>
    </row>
    <row r="4614" customFormat="false" ht="15" hidden="false" customHeight="true" outlineLevel="0" collapsed="false">
      <c r="A4614" s="32"/>
      <c r="B4614" s="32"/>
      <c r="C4614" s="32"/>
      <c r="D4614" s="32"/>
      <c r="E4614" s="34" t="str">
        <f aca="false">IF($B4614="","",IF($B4614="OUT","Liters",IFERROR(INDEX(Setup!$F$3:$F$24,MATCH($C4614,Setup!$A$3:$A$24,0)),"")))</f>
        <v/>
      </c>
      <c r="F4614" s="28" t="str">
        <f aca="false">IF(OR($D4614="",$E4614=""),"",IFERROR($D4614*INDEX(Setup!$B$27:$B$44,MATCH($E4614,Setup!$A$27:$A$44,0)),"TBD"))</f>
        <v/>
      </c>
      <c r="G4614" s="32"/>
      <c r="H4614" s="32"/>
      <c r="I4614" s="32"/>
      <c r="J4614" s="32"/>
      <c r="K4614" s="35"/>
      <c r="L4614" s="32"/>
      <c r="M4614" s="32"/>
    </row>
    <row r="4615" customFormat="false" ht="15" hidden="false" customHeight="true" outlineLevel="0" collapsed="false">
      <c r="A4615" s="32"/>
      <c r="B4615" s="32"/>
      <c r="C4615" s="32"/>
      <c r="D4615" s="32"/>
      <c r="E4615" s="34" t="str">
        <f aca="false">IF($B4615="","",IF($B4615="OUT","Liters",IFERROR(INDEX(Setup!$F$3:$F$24,MATCH($C4615,Setup!$A$3:$A$24,0)),"")))</f>
        <v/>
      </c>
      <c r="F4615" s="28" t="str">
        <f aca="false">IF(OR($D4615="",$E4615=""),"",IFERROR($D4615*INDEX(Setup!$B$27:$B$44,MATCH($E4615,Setup!$A$27:$A$44,0)),"TBD"))</f>
        <v/>
      </c>
      <c r="G4615" s="32"/>
      <c r="H4615" s="32"/>
      <c r="I4615" s="32"/>
      <c r="J4615" s="32"/>
      <c r="K4615" s="35"/>
      <c r="L4615" s="32"/>
      <c r="M4615" s="32"/>
    </row>
    <row r="4616" customFormat="false" ht="15" hidden="false" customHeight="true" outlineLevel="0" collapsed="false">
      <c r="A4616" s="32"/>
      <c r="B4616" s="32"/>
      <c r="C4616" s="32"/>
      <c r="D4616" s="32"/>
      <c r="E4616" s="34" t="str">
        <f aca="false">IF($B4616="","",IF($B4616="OUT","Liters",IFERROR(INDEX(Setup!$F$3:$F$24,MATCH($C4616,Setup!$A$3:$A$24,0)),"")))</f>
        <v/>
      </c>
      <c r="F4616" s="28" t="str">
        <f aca="false">IF(OR($D4616="",$E4616=""),"",IFERROR($D4616*INDEX(Setup!$B$27:$B$44,MATCH($E4616,Setup!$A$27:$A$44,0)),"TBD"))</f>
        <v/>
      </c>
      <c r="G4616" s="32"/>
      <c r="H4616" s="32"/>
      <c r="I4616" s="32"/>
      <c r="J4616" s="32"/>
      <c r="K4616" s="35"/>
      <c r="L4616" s="32"/>
      <c r="M4616" s="32"/>
    </row>
    <row r="4617" customFormat="false" ht="15" hidden="false" customHeight="true" outlineLevel="0" collapsed="false">
      <c r="A4617" s="32"/>
      <c r="B4617" s="32"/>
      <c r="C4617" s="32"/>
      <c r="D4617" s="32"/>
      <c r="E4617" s="34" t="str">
        <f aca="false">IF($B4617="","",IF($B4617="OUT","Liters",IFERROR(INDEX(Setup!$F$3:$F$24,MATCH($C4617,Setup!$A$3:$A$24,0)),"")))</f>
        <v/>
      </c>
      <c r="F4617" s="28" t="str">
        <f aca="false">IF(OR($D4617="",$E4617=""),"",IFERROR($D4617*INDEX(Setup!$B$27:$B$44,MATCH($E4617,Setup!$A$27:$A$44,0)),"TBD"))</f>
        <v/>
      </c>
      <c r="G4617" s="32"/>
      <c r="H4617" s="32"/>
      <c r="I4617" s="32"/>
      <c r="J4617" s="32"/>
      <c r="K4617" s="35"/>
      <c r="L4617" s="32"/>
      <c r="M4617" s="32"/>
    </row>
    <row r="4618" customFormat="false" ht="15" hidden="false" customHeight="true" outlineLevel="0" collapsed="false">
      <c r="A4618" s="32"/>
      <c r="B4618" s="32"/>
      <c r="C4618" s="32"/>
      <c r="D4618" s="32"/>
      <c r="E4618" s="34" t="str">
        <f aca="false">IF($B4618="","",IF($B4618="OUT","Liters",IFERROR(INDEX(Setup!$F$3:$F$24,MATCH($C4618,Setup!$A$3:$A$24,0)),"")))</f>
        <v/>
      </c>
      <c r="F4618" s="28" t="str">
        <f aca="false">IF(OR($D4618="",$E4618=""),"",IFERROR($D4618*INDEX(Setup!$B$27:$B$44,MATCH($E4618,Setup!$A$27:$A$44,0)),"TBD"))</f>
        <v/>
      </c>
      <c r="G4618" s="32"/>
      <c r="H4618" s="32"/>
      <c r="I4618" s="32"/>
      <c r="J4618" s="32"/>
      <c r="K4618" s="35"/>
      <c r="L4618" s="32"/>
      <c r="M4618" s="32"/>
    </row>
    <row r="4619" customFormat="false" ht="15" hidden="false" customHeight="true" outlineLevel="0" collapsed="false">
      <c r="A4619" s="32"/>
      <c r="B4619" s="32"/>
      <c r="C4619" s="32"/>
      <c r="D4619" s="32"/>
      <c r="E4619" s="34" t="str">
        <f aca="false">IF($B4619="","",IF($B4619="OUT","Liters",IFERROR(INDEX(Setup!$F$3:$F$24,MATCH($C4619,Setup!$A$3:$A$24,0)),"")))</f>
        <v/>
      </c>
      <c r="F4619" s="28" t="str">
        <f aca="false">IF(OR($D4619="",$E4619=""),"",IFERROR($D4619*INDEX(Setup!$B$27:$B$44,MATCH($E4619,Setup!$A$27:$A$44,0)),"TBD"))</f>
        <v/>
      </c>
      <c r="G4619" s="32"/>
      <c r="H4619" s="32"/>
      <c r="I4619" s="32"/>
      <c r="J4619" s="32"/>
      <c r="K4619" s="35"/>
      <c r="L4619" s="32"/>
      <c r="M4619" s="32"/>
    </row>
    <row r="4620" customFormat="false" ht="15" hidden="false" customHeight="true" outlineLevel="0" collapsed="false">
      <c r="A4620" s="32"/>
      <c r="B4620" s="32"/>
      <c r="C4620" s="32"/>
      <c r="D4620" s="32"/>
      <c r="E4620" s="34" t="str">
        <f aca="false">IF($B4620="","",IF($B4620="OUT","Liters",IFERROR(INDEX(Setup!$F$3:$F$24,MATCH($C4620,Setup!$A$3:$A$24,0)),"")))</f>
        <v/>
      </c>
      <c r="F4620" s="28" t="str">
        <f aca="false">IF(OR($D4620="",$E4620=""),"",IFERROR($D4620*INDEX(Setup!$B$27:$B$44,MATCH($E4620,Setup!$A$27:$A$44,0)),"TBD"))</f>
        <v/>
      </c>
      <c r="G4620" s="32"/>
      <c r="H4620" s="32"/>
      <c r="I4620" s="32"/>
      <c r="J4620" s="32"/>
      <c r="K4620" s="35"/>
      <c r="L4620" s="32"/>
      <c r="M4620" s="32"/>
    </row>
    <row r="4621" customFormat="false" ht="15" hidden="false" customHeight="true" outlineLevel="0" collapsed="false">
      <c r="A4621" s="32"/>
      <c r="B4621" s="32"/>
      <c r="C4621" s="32"/>
      <c r="D4621" s="32"/>
      <c r="E4621" s="34" t="str">
        <f aca="false">IF($B4621="","",IF($B4621="OUT","Liters",IFERROR(INDEX(Setup!$F$3:$F$24,MATCH($C4621,Setup!$A$3:$A$24,0)),"")))</f>
        <v/>
      </c>
      <c r="F4621" s="28" t="str">
        <f aca="false">IF(OR($D4621="",$E4621=""),"",IFERROR($D4621*INDEX(Setup!$B$27:$B$44,MATCH($E4621,Setup!$A$27:$A$44,0)),"TBD"))</f>
        <v/>
      </c>
      <c r="G4621" s="32"/>
      <c r="H4621" s="32"/>
      <c r="I4621" s="32"/>
      <c r="J4621" s="32"/>
      <c r="K4621" s="35"/>
      <c r="L4621" s="32"/>
      <c r="M4621" s="32"/>
    </row>
    <row r="4622" customFormat="false" ht="15" hidden="false" customHeight="true" outlineLevel="0" collapsed="false">
      <c r="A4622" s="32"/>
      <c r="B4622" s="32"/>
      <c r="C4622" s="32"/>
      <c r="D4622" s="32"/>
      <c r="E4622" s="34" t="str">
        <f aca="false">IF($B4622="","",IF($B4622="OUT","Liters",IFERROR(INDEX(Setup!$F$3:$F$24,MATCH($C4622,Setup!$A$3:$A$24,0)),"")))</f>
        <v/>
      </c>
      <c r="F4622" s="28" t="str">
        <f aca="false">IF(OR($D4622="",$E4622=""),"",IFERROR($D4622*INDEX(Setup!$B$27:$B$44,MATCH($E4622,Setup!$A$27:$A$44,0)),"TBD"))</f>
        <v/>
      </c>
      <c r="G4622" s="32"/>
      <c r="H4622" s="32"/>
      <c r="I4622" s="32"/>
      <c r="J4622" s="32"/>
      <c r="K4622" s="35"/>
      <c r="L4622" s="32"/>
      <c r="M4622" s="32"/>
    </row>
    <row r="4623" customFormat="false" ht="15" hidden="false" customHeight="true" outlineLevel="0" collapsed="false">
      <c r="A4623" s="32"/>
      <c r="B4623" s="32"/>
      <c r="C4623" s="32"/>
      <c r="D4623" s="32"/>
      <c r="E4623" s="34" t="str">
        <f aca="false">IF($B4623="","",IF($B4623="OUT","Liters",IFERROR(INDEX(Setup!$F$3:$F$24,MATCH($C4623,Setup!$A$3:$A$24,0)),"")))</f>
        <v/>
      </c>
      <c r="F4623" s="28" t="str">
        <f aca="false">IF(OR($D4623="",$E4623=""),"",IFERROR($D4623*INDEX(Setup!$B$27:$B$44,MATCH($E4623,Setup!$A$27:$A$44,0)),"TBD"))</f>
        <v/>
      </c>
      <c r="G4623" s="32"/>
      <c r="H4623" s="32"/>
      <c r="I4623" s="32"/>
      <c r="J4623" s="32"/>
      <c r="K4623" s="35"/>
      <c r="L4623" s="32"/>
      <c r="M4623" s="32"/>
    </row>
    <row r="4624" customFormat="false" ht="15" hidden="false" customHeight="true" outlineLevel="0" collapsed="false">
      <c r="A4624" s="32"/>
      <c r="B4624" s="32"/>
      <c r="C4624" s="32"/>
      <c r="D4624" s="32"/>
      <c r="E4624" s="34" t="str">
        <f aca="false">IF($B4624="","",IF($B4624="OUT","Liters",IFERROR(INDEX(Setup!$F$3:$F$24,MATCH($C4624,Setup!$A$3:$A$24,0)),"")))</f>
        <v/>
      </c>
      <c r="F4624" s="28" t="str">
        <f aca="false">IF(OR($D4624="",$E4624=""),"",IFERROR($D4624*INDEX(Setup!$B$27:$B$44,MATCH($E4624,Setup!$A$27:$A$44,0)),"TBD"))</f>
        <v/>
      </c>
      <c r="G4624" s="32"/>
      <c r="H4624" s="32"/>
      <c r="I4624" s="32"/>
      <c r="J4624" s="32"/>
      <c r="K4624" s="35"/>
      <c r="L4624" s="32"/>
      <c r="M4624" s="32"/>
    </row>
    <row r="4625" customFormat="false" ht="15" hidden="false" customHeight="true" outlineLevel="0" collapsed="false">
      <c r="A4625" s="32"/>
      <c r="B4625" s="32"/>
      <c r="C4625" s="32"/>
      <c r="D4625" s="32"/>
      <c r="E4625" s="34" t="str">
        <f aca="false">IF($B4625="","",IF($B4625="OUT","Liters",IFERROR(INDEX(Setup!$F$3:$F$24,MATCH($C4625,Setup!$A$3:$A$24,0)),"")))</f>
        <v/>
      </c>
      <c r="F4625" s="28" t="str">
        <f aca="false">IF(OR($D4625="",$E4625=""),"",IFERROR($D4625*INDEX(Setup!$B$27:$B$44,MATCH($E4625,Setup!$A$27:$A$44,0)),"TBD"))</f>
        <v/>
      </c>
      <c r="G4625" s="32"/>
      <c r="H4625" s="32"/>
      <c r="I4625" s="32"/>
      <c r="J4625" s="32"/>
      <c r="K4625" s="35"/>
      <c r="L4625" s="32"/>
      <c r="M4625" s="32"/>
    </row>
    <row r="4626" customFormat="false" ht="15" hidden="false" customHeight="true" outlineLevel="0" collapsed="false">
      <c r="A4626" s="32"/>
      <c r="B4626" s="32"/>
      <c r="C4626" s="32"/>
      <c r="D4626" s="32"/>
      <c r="E4626" s="34" t="str">
        <f aca="false">IF($B4626="","",IF($B4626="OUT","Liters",IFERROR(INDEX(Setup!$F$3:$F$24,MATCH($C4626,Setup!$A$3:$A$24,0)),"")))</f>
        <v/>
      </c>
      <c r="F4626" s="28" t="str">
        <f aca="false">IF(OR($D4626="",$E4626=""),"",IFERROR($D4626*INDEX(Setup!$B$27:$B$44,MATCH($E4626,Setup!$A$27:$A$44,0)),"TBD"))</f>
        <v/>
      </c>
      <c r="G4626" s="32"/>
      <c r="H4626" s="32"/>
      <c r="I4626" s="32"/>
      <c r="J4626" s="32"/>
      <c r="K4626" s="35"/>
      <c r="L4626" s="32"/>
      <c r="M4626" s="32"/>
    </row>
    <row r="4627" customFormat="false" ht="15" hidden="false" customHeight="true" outlineLevel="0" collapsed="false">
      <c r="A4627" s="32"/>
      <c r="B4627" s="32"/>
      <c r="C4627" s="32"/>
      <c r="D4627" s="32"/>
      <c r="E4627" s="34" t="str">
        <f aca="false">IF($B4627="","",IF($B4627="OUT","Liters",IFERROR(INDEX(Setup!$F$3:$F$24,MATCH($C4627,Setup!$A$3:$A$24,0)),"")))</f>
        <v/>
      </c>
      <c r="F4627" s="28" t="str">
        <f aca="false">IF(OR($D4627="",$E4627=""),"",IFERROR($D4627*INDEX(Setup!$B$27:$B$44,MATCH($E4627,Setup!$A$27:$A$44,0)),"TBD"))</f>
        <v/>
      </c>
      <c r="G4627" s="32"/>
      <c r="H4627" s="32"/>
      <c r="I4627" s="32"/>
      <c r="J4627" s="32"/>
      <c r="K4627" s="35"/>
      <c r="L4627" s="32"/>
      <c r="M4627" s="32"/>
    </row>
    <row r="4628" customFormat="false" ht="15" hidden="false" customHeight="true" outlineLevel="0" collapsed="false">
      <c r="A4628" s="32"/>
      <c r="B4628" s="32"/>
      <c r="C4628" s="32"/>
      <c r="D4628" s="32"/>
      <c r="E4628" s="34" t="str">
        <f aca="false">IF($B4628="","",IF($B4628="OUT","Liters",IFERROR(INDEX(Setup!$F$3:$F$24,MATCH($C4628,Setup!$A$3:$A$24,0)),"")))</f>
        <v/>
      </c>
      <c r="F4628" s="28" t="str">
        <f aca="false">IF(OR($D4628="",$E4628=""),"",IFERROR($D4628*INDEX(Setup!$B$27:$B$44,MATCH($E4628,Setup!$A$27:$A$44,0)),"TBD"))</f>
        <v/>
      </c>
      <c r="G4628" s="32"/>
      <c r="H4628" s="32"/>
      <c r="I4628" s="32"/>
      <c r="J4628" s="32"/>
      <c r="K4628" s="35"/>
      <c r="L4628" s="32"/>
      <c r="M4628" s="32"/>
    </row>
    <row r="4629" customFormat="false" ht="15" hidden="false" customHeight="true" outlineLevel="0" collapsed="false">
      <c r="A4629" s="32"/>
      <c r="B4629" s="32"/>
      <c r="C4629" s="32"/>
      <c r="D4629" s="32"/>
      <c r="E4629" s="34" t="str">
        <f aca="false">IF($B4629="","",IF($B4629="OUT","Liters",IFERROR(INDEX(Setup!$F$3:$F$24,MATCH($C4629,Setup!$A$3:$A$24,0)),"")))</f>
        <v/>
      </c>
      <c r="F4629" s="28" t="str">
        <f aca="false">IF(OR($D4629="",$E4629=""),"",IFERROR($D4629*INDEX(Setup!$B$27:$B$44,MATCH($E4629,Setup!$A$27:$A$44,0)),"TBD"))</f>
        <v/>
      </c>
      <c r="G4629" s="32"/>
      <c r="H4629" s="32"/>
      <c r="I4629" s="32"/>
      <c r="J4629" s="32"/>
      <c r="K4629" s="35"/>
      <c r="L4629" s="32"/>
      <c r="M4629" s="32"/>
    </row>
    <row r="4630" customFormat="false" ht="15" hidden="false" customHeight="true" outlineLevel="0" collapsed="false">
      <c r="A4630" s="32"/>
      <c r="B4630" s="32"/>
      <c r="C4630" s="32"/>
      <c r="D4630" s="32"/>
      <c r="E4630" s="34" t="str">
        <f aca="false">IF($B4630="","",IF($B4630="OUT","Liters",IFERROR(INDEX(Setup!$F$3:$F$24,MATCH($C4630,Setup!$A$3:$A$24,0)),"")))</f>
        <v/>
      </c>
      <c r="F4630" s="28" t="str">
        <f aca="false">IF(OR($D4630="",$E4630=""),"",IFERROR($D4630*INDEX(Setup!$B$27:$B$44,MATCH($E4630,Setup!$A$27:$A$44,0)),"TBD"))</f>
        <v/>
      </c>
      <c r="G4630" s="32"/>
      <c r="H4630" s="32"/>
      <c r="I4630" s="32"/>
      <c r="J4630" s="32"/>
      <c r="K4630" s="35"/>
      <c r="L4630" s="32"/>
      <c r="M4630" s="32"/>
    </row>
    <row r="4631" customFormat="false" ht="15" hidden="false" customHeight="true" outlineLevel="0" collapsed="false">
      <c r="A4631" s="32"/>
      <c r="B4631" s="32"/>
      <c r="C4631" s="32"/>
      <c r="D4631" s="32"/>
      <c r="E4631" s="34" t="str">
        <f aca="false">IF($B4631="","",IF($B4631="OUT","Liters",IFERROR(INDEX(Setup!$F$3:$F$24,MATCH($C4631,Setup!$A$3:$A$24,0)),"")))</f>
        <v/>
      </c>
      <c r="F4631" s="28" t="str">
        <f aca="false">IF(OR($D4631="",$E4631=""),"",IFERROR($D4631*INDEX(Setup!$B$27:$B$44,MATCH($E4631,Setup!$A$27:$A$44,0)),"TBD"))</f>
        <v/>
      </c>
      <c r="G4631" s="32"/>
      <c r="H4631" s="32"/>
      <c r="I4631" s="32"/>
      <c r="J4631" s="32"/>
      <c r="K4631" s="35"/>
      <c r="L4631" s="32"/>
      <c r="M4631" s="32"/>
    </row>
    <row r="4632" customFormat="false" ht="15" hidden="false" customHeight="true" outlineLevel="0" collapsed="false">
      <c r="A4632" s="32"/>
      <c r="B4632" s="32"/>
      <c r="C4632" s="32"/>
      <c r="D4632" s="32"/>
      <c r="E4632" s="34" t="str">
        <f aca="false">IF($B4632="","",IF($B4632="OUT","Liters",IFERROR(INDEX(Setup!$F$3:$F$24,MATCH($C4632,Setup!$A$3:$A$24,0)),"")))</f>
        <v/>
      </c>
      <c r="F4632" s="28" t="str">
        <f aca="false">IF(OR($D4632="",$E4632=""),"",IFERROR($D4632*INDEX(Setup!$B$27:$B$44,MATCH($E4632,Setup!$A$27:$A$44,0)),"TBD"))</f>
        <v/>
      </c>
      <c r="G4632" s="32"/>
      <c r="H4632" s="32"/>
      <c r="I4632" s="32"/>
      <c r="J4632" s="32"/>
      <c r="K4632" s="35"/>
      <c r="L4632" s="32"/>
      <c r="M4632" s="32"/>
    </row>
    <row r="4633" customFormat="false" ht="15" hidden="false" customHeight="true" outlineLevel="0" collapsed="false">
      <c r="A4633" s="32"/>
      <c r="B4633" s="32"/>
      <c r="C4633" s="32"/>
      <c r="D4633" s="32"/>
      <c r="E4633" s="34" t="str">
        <f aca="false">IF($B4633="","",IF($B4633="OUT","Liters",IFERROR(INDEX(Setup!$F$3:$F$24,MATCH($C4633,Setup!$A$3:$A$24,0)),"")))</f>
        <v/>
      </c>
      <c r="F4633" s="28" t="str">
        <f aca="false">IF(OR($D4633="",$E4633=""),"",IFERROR($D4633*INDEX(Setup!$B$27:$B$44,MATCH($E4633,Setup!$A$27:$A$44,0)),"TBD"))</f>
        <v/>
      </c>
      <c r="G4633" s="32"/>
      <c r="H4633" s="32"/>
      <c r="I4633" s="32"/>
      <c r="J4633" s="32"/>
      <c r="K4633" s="35"/>
      <c r="L4633" s="32"/>
      <c r="M4633" s="32"/>
    </row>
    <row r="4634" customFormat="false" ht="15" hidden="false" customHeight="true" outlineLevel="0" collapsed="false">
      <c r="A4634" s="32"/>
      <c r="B4634" s="32"/>
      <c r="C4634" s="32"/>
      <c r="D4634" s="32"/>
      <c r="E4634" s="34" t="str">
        <f aca="false">IF($B4634="","",IF($B4634="OUT","Liters",IFERROR(INDEX(Setup!$F$3:$F$24,MATCH($C4634,Setup!$A$3:$A$24,0)),"")))</f>
        <v/>
      </c>
      <c r="F4634" s="28" t="str">
        <f aca="false">IF(OR($D4634="",$E4634=""),"",IFERROR($D4634*INDEX(Setup!$B$27:$B$44,MATCH($E4634,Setup!$A$27:$A$44,0)),"TBD"))</f>
        <v/>
      </c>
      <c r="G4634" s="32"/>
      <c r="H4634" s="32"/>
      <c r="I4634" s="32"/>
      <c r="J4634" s="32"/>
      <c r="K4634" s="35"/>
      <c r="L4634" s="32"/>
      <c r="M4634" s="32"/>
    </row>
    <row r="4635" customFormat="false" ht="15" hidden="false" customHeight="true" outlineLevel="0" collapsed="false">
      <c r="A4635" s="32"/>
      <c r="B4635" s="32"/>
      <c r="C4635" s="32"/>
      <c r="D4635" s="32"/>
      <c r="E4635" s="34" t="str">
        <f aca="false">IF($B4635="","",IF($B4635="OUT","Liters",IFERROR(INDEX(Setup!$F$3:$F$24,MATCH($C4635,Setup!$A$3:$A$24,0)),"")))</f>
        <v/>
      </c>
      <c r="F4635" s="28" t="str">
        <f aca="false">IF(OR($D4635="",$E4635=""),"",IFERROR($D4635*INDEX(Setup!$B$27:$B$44,MATCH($E4635,Setup!$A$27:$A$44,0)),"TBD"))</f>
        <v/>
      </c>
      <c r="G4635" s="32"/>
      <c r="H4635" s="32"/>
      <c r="I4635" s="32"/>
      <c r="J4635" s="32"/>
      <c r="K4635" s="35"/>
      <c r="L4635" s="32"/>
      <c r="M4635" s="32"/>
    </row>
    <row r="4636" customFormat="false" ht="15" hidden="false" customHeight="true" outlineLevel="0" collapsed="false">
      <c r="A4636" s="32"/>
      <c r="B4636" s="32"/>
      <c r="C4636" s="32"/>
      <c r="D4636" s="32"/>
      <c r="E4636" s="34" t="str">
        <f aca="false">IF($B4636="","",IF($B4636="OUT","Liters",IFERROR(INDEX(Setup!$F$3:$F$24,MATCH($C4636,Setup!$A$3:$A$24,0)),"")))</f>
        <v/>
      </c>
      <c r="F4636" s="28" t="str">
        <f aca="false">IF(OR($D4636="",$E4636=""),"",IFERROR($D4636*INDEX(Setup!$B$27:$B$44,MATCH($E4636,Setup!$A$27:$A$44,0)),"TBD"))</f>
        <v/>
      </c>
      <c r="G4636" s="32"/>
      <c r="H4636" s="32"/>
      <c r="I4636" s="32"/>
      <c r="J4636" s="32"/>
      <c r="K4636" s="35"/>
      <c r="L4636" s="32"/>
      <c r="M4636" s="32"/>
    </row>
    <row r="4637" customFormat="false" ht="15" hidden="false" customHeight="true" outlineLevel="0" collapsed="false">
      <c r="A4637" s="32"/>
      <c r="B4637" s="32"/>
      <c r="C4637" s="32"/>
      <c r="D4637" s="32"/>
      <c r="E4637" s="34" t="str">
        <f aca="false">IF($B4637="","",IF($B4637="OUT","Liters",IFERROR(INDEX(Setup!$F$3:$F$24,MATCH($C4637,Setup!$A$3:$A$24,0)),"")))</f>
        <v/>
      </c>
      <c r="F4637" s="28" t="str">
        <f aca="false">IF(OR($D4637="",$E4637=""),"",IFERROR($D4637*INDEX(Setup!$B$27:$B$44,MATCH($E4637,Setup!$A$27:$A$44,0)),"TBD"))</f>
        <v/>
      </c>
      <c r="G4637" s="32"/>
      <c r="H4637" s="32"/>
      <c r="I4637" s="32"/>
      <c r="J4637" s="32"/>
      <c r="K4637" s="35"/>
      <c r="L4637" s="32"/>
      <c r="M4637" s="32"/>
    </row>
    <row r="4638" customFormat="false" ht="15" hidden="false" customHeight="true" outlineLevel="0" collapsed="false">
      <c r="A4638" s="32"/>
      <c r="B4638" s="32"/>
      <c r="C4638" s="32"/>
      <c r="D4638" s="32"/>
      <c r="E4638" s="34" t="str">
        <f aca="false">IF($B4638="","",IF($B4638="OUT","Liters",IFERROR(INDEX(Setup!$F$3:$F$24,MATCH($C4638,Setup!$A$3:$A$24,0)),"")))</f>
        <v/>
      </c>
      <c r="F4638" s="28" t="str">
        <f aca="false">IF(OR($D4638="",$E4638=""),"",IFERROR($D4638*INDEX(Setup!$B$27:$B$44,MATCH($E4638,Setup!$A$27:$A$44,0)),"TBD"))</f>
        <v/>
      </c>
      <c r="G4638" s="32"/>
      <c r="H4638" s="32"/>
      <c r="I4638" s="32"/>
      <c r="J4638" s="32"/>
      <c r="K4638" s="35"/>
      <c r="L4638" s="32"/>
      <c r="M4638" s="32"/>
    </row>
    <row r="4639" customFormat="false" ht="15" hidden="false" customHeight="true" outlineLevel="0" collapsed="false">
      <c r="A4639" s="32"/>
      <c r="B4639" s="32"/>
      <c r="C4639" s="32"/>
      <c r="D4639" s="32"/>
      <c r="E4639" s="34" t="str">
        <f aca="false">IF($B4639="","",IF($B4639="OUT","Liters",IFERROR(INDEX(Setup!$F$3:$F$24,MATCH($C4639,Setup!$A$3:$A$24,0)),"")))</f>
        <v/>
      </c>
      <c r="F4639" s="28" t="str">
        <f aca="false">IF(OR($D4639="",$E4639=""),"",IFERROR($D4639*INDEX(Setup!$B$27:$B$44,MATCH($E4639,Setup!$A$27:$A$44,0)),"TBD"))</f>
        <v/>
      </c>
      <c r="G4639" s="32"/>
      <c r="H4639" s="32"/>
      <c r="I4639" s="32"/>
      <c r="J4639" s="32"/>
      <c r="K4639" s="35"/>
      <c r="L4639" s="32"/>
      <c r="M4639" s="32"/>
    </row>
    <row r="4640" customFormat="false" ht="15" hidden="false" customHeight="true" outlineLevel="0" collapsed="false">
      <c r="A4640" s="32"/>
      <c r="B4640" s="32"/>
      <c r="C4640" s="32"/>
      <c r="D4640" s="32"/>
      <c r="E4640" s="34" t="str">
        <f aca="false">IF($B4640="","",IF($B4640="OUT","Liters",IFERROR(INDEX(Setup!$F$3:$F$24,MATCH($C4640,Setup!$A$3:$A$24,0)),"")))</f>
        <v/>
      </c>
      <c r="F4640" s="28" t="str">
        <f aca="false">IF(OR($D4640="",$E4640=""),"",IFERROR($D4640*INDEX(Setup!$B$27:$B$44,MATCH($E4640,Setup!$A$27:$A$44,0)),"TBD"))</f>
        <v/>
      </c>
      <c r="G4640" s="32"/>
      <c r="H4640" s="32"/>
      <c r="I4640" s="32"/>
      <c r="J4640" s="32"/>
      <c r="K4640" s="35"/>
      <c r="L4640" s="32"/>
      <c r="M4640" s="32"/>
    </row>
    <row r="4641" customFormat="false" ht="15" hidden="false" customHeight="true" outlineLevel="0" collapsed="false">
      <c r="A4641" s="32"/>
      <c r="B4641" s="32"/>
      <c r="C4641" s="32"/>
      <c r="D4641" s="32"/>
      <c r="E4641" s="34" t="str">
        <f aca="false">IF($B4641="","",IF($B4641="OUT","Liters",IFERROR(INDEX(Setup!$F$3:$F$24,MATCH($C4641,Setup!$A$3:$A$24,0)),"")))</f>
        <v/>
      </c>
      <c r="F4641" s="28" t="str">
        <f aca="false">IF(OR($D4641="",$E4641=""),"",IFERROR($D4641*INDEX(Setup!$B$27:$B$44,MATCH($E4641,Setup!$A$27:$A$44,0)),"TBD"))</f>
        <v/>
      </c>
      <c r="G4641" s="32"/>
      <c r="H4641" s="32"/>
      <c r="I4641" s="32"/>
      <c r="J4641" s="32"/>
      <c r="K4641" s="35"/>
      <c r="L4641" s="32"/>
      <c r="M4641" s="32"/>
    </row>
    <row r="4642" customFormat="false" ht="15" hidden="false" customHeight="true" outlineLevel="0" collapsed="false">
      <c r="A4642" s="32"/>
      <c r="B4642" s="32"/>
      <c r="C4642" s="32"/>
      <c r="D4642" s="32"/>
      <c r="E4642" s="34" t="str">
        <f aca="false">IF($B4642="","",IF($B4642="OUT","Liters",IFERROR(INDEX(Setup!$F$3:$F$24,MATCH($C4642,Setup!$A$3:$A$24,0)),"")))</f>
        <v/>
      </c>
      <c r="F4642" s="28" t="str">
        <f aca="false">IF(OR($D4642="",$E4642=""),"",IFERROR($D4642*INDEX(Setup!$B$27:$B$44,MATCH($E4642,Setup!$A$27:$A$44,0)),"TBD"))</f>
        <v/>
      </c>
      <c r="G4642" s="32"/>
      <c r="H4642" s="32"/>
      <c r="I4642" s="32"/>
      <c r="J4642" s="32"/>
      <c r="K4642" s="35"/>
      <c r="L4642" s="32"/>
      <c r="M4642" s="32"/>
    </row>
    <row r="4643" customFormat="false" ht="15" hidden="false" customHeight="true" outlineLevel="0" collapsed="false">
      <c r="A4643" s="32"/>
      <c r="B4643" s="32"/>
      <c r="C4643" s="32"/>
      <c r="D4643" s="32"/>
      <c r="E4643" s="34" t="str">
        <f aca="false">IF($B4643="","",IF($B4643="OUT","Liters",IFERROR(INDEX(Setup!$F$3:$F$24,MATCH($C4643,Setup!$A$3:$A$24,0)),"")))</f>
        <v/>
      </c>
      <c r="F4643" s="28" t="str">
        <f aca="false">IF(OR($D4643="",$E4643=""),"",IFERROR($D4643*INDEX(Setup!$B$27:$B$44,MATCH($E4643,Setup!$A$27:$A$44,0)),"TBD"))</f>
        <v/>
      </c>
      <c r="G4643" s="32"/>
      <c r="H4643" s="32"/>
      <c r="I4643" s="32"/>
      <c r="J4643" s="32"/>
      <c r="K4643" s="35"/>
      <c r="L4643" s="32"/>
      <c r="M4643" s="32"/>
    </row>
    <row r="4644" customFormat="false" ht="15" hidden="false" customHeight="true" outlineLevel="0" collapsed="false">
      <c r="A4644" s="32"/>
      <c r="B4644" s="32"/>
      <c r="C4644" s="32"/>
      <c r="D4644" s="32"/>
      <c r="E4644" s="34" t="str">
        <f aca="false">IF($B4644="","",IF($B4644="OUT","Liters",IFERROR(INDEX(Setup!$F$3:$F$24,MATCH($C4644,Setup!$A$3:$A$24,0)),"")))</f>
        <v/>
      </c>
      <c r="F4644" s="28" t="str">
        <f aca="false">IF(OR($D4644="",$E4644=""),"",IFERROR($D4644*INDEX(Setup!$B$27:$B$44,MATCH($E4644,Setup!$A$27:$A$44,0)),"TBD"))</f>
        <v/>
      </c>
      <c r="G4644" s="32"/>
      <c r="H4644" s="32"/>
      <c r="I4644" s="32"/>
      <c r="J4644" s="32"/>
      <c r="K4644" s="35"/>
      <c r="L4644" s="32"/>
      <c r="M4644" s="32"/>
    </row>
    <row r="4645" customFormat="false" ht="15" hidden="false" customHeight="true" outlineLevel="0" collapsed="false">
      <c r="A4645" s="32"/>
      <c r="B4645" s="32"/>
      <c r="C4645" s="32"/>
      <c r="D4645" s="32"/>
      <c r="E4645" s="34" t="str">
        <f aca="false">IF($B4645="","",IF($B4645="OUT","Liters",IFERROR(INDEX(Setup!$F$3:$F$24,MATCH($C4645,Setup!$A$3:$A$24,0)),"")))</f>
        <v/>
      </c>
      <c r="F4645" s="28" t="str">
        <f aca="false">IF(OR($D4645="",$E4645=""),"",IFERROR($D4645*INDEX(Setup!$B$27:$B$44,MATCH($E4645,Setup!$A$27:$A$44,0)),"TBD"))</f>
        <v/>
      </c>
      <c r="G4645" s="32"/>
      <c r="H4645" s="32"/>
      <c r="I4645" s="32"/>
      <c r="J4645" s="32"/>
      <c r="K4645" s="35"/>
      <c r="L4645" s="32"/>
      <c r="M4645" s="32"/>
    </row>
    <row r="4646" customFormat="false" ht="15" hidden="false" customHeight="true" outlineLevel="0" collapsed="false">
      <c r="A4646" s="32"/>
      <c r="B4646" s="32"/>
      <c r="C4646" s="32"/>
      <c r="D4646" s="32"/>
      <c r="E4646" s="34" t="str">
        <f aca="false">IF($B4646="","",IF($B4646="OUT","Liters",IFERROR(INDEX(Setup!$F$3:$F$24,MATCH($C4646,Setup!$A$3:$A$24,0)),"")))</f>
        <v/>
      </c>
      <c r="F4646" s="28" t="str">
        <f aca="false">IF(OR($D4646="",$E4646=""),"",IFERROR($D4646*INDEX(Setup!$B$27:$B$44,MATCH($E4646,Setup!$A$27:$A$44,0)),"TBD"))</f>
        <v/>
      </c>
      <c r="G4646" s="32"/>
      <c r="H4646" s="32"/>
      <c r="I4646" s="32"/>
      <c r="J4646" s="32"/>
      <c r="K4646" s="35"/>
      <c r="L4646" s="32"/>
      <c r="M4646" s="32"/>
    </row>
    <row r="4647" customFormat="false" ht="15" hidden="false" customHeight="true" outlineLevel="0" collapsed="false">
      <c r="A4647" s="32"/>
      <c r="B4647" s="32"/>
      <c r="C4647" s="32"/>
      <c r="D4647" s="32"/>
      <c r="E4647" s="34" t="str">
        <f aca="false">IF($B4647="","",IF($B4647="OUT","Liters",IFERROR(INDEX(Setup!$F$3:$F$24,MATCH($C4647,Setup!$A$3:$A$24,0)),"")))</f>
        <v/>
      </c>
      <c r="F4647" s="28" t="str">
        <f aca="false">IF(OR($D4647="",$E4647=""),"",IFERROR($D4647*INDEX(Setup!$B$27:$B$44,MATCH($E4647,Setup!$A$27:$A$44,0)),"TBD"))</f>
        <v/>
      </c>
      <c r="G4647" s="32"/>
      <c r="H4647" s="32"/>
      <c r="I4647" s="32"/>
      <c r="J4647" s="32"/>
      <c r="K4647" s="35"/>
      <c r="L4647" s="32"/>
      <c r="M4647" s="32"/>
    </row>
    <row r="4648" customFormat="false" ht="15" hidden="false" customHeight="true" outlineLevel="0" collapsed="false">
      <c r="A4648" s="32"/>
      <c r="B4648" s="32"/>
      <c r="C4648" s="32"/>
      <c r="D4648" s="32"/>
      <c r="E4648" s="34" t="str">
        <f aca="false">IF($B4648="","",IF($B4648="OUT","Liters",IFERROR(INDEX(Setup!$F$3:$F$24,MATCH($C4648,Setup!$A$3:$A$24,0)),"")))</f>
        <v/>
      </c>
      <c r="F4648" s="28" t="str">
        <f aca="false">IF(OR($D4648="",$E4648=""),"",IFERROR($D4648*INDEX(Setup!$B$27:$B$44,MATCH($E4648,Setup!$A$27:$A$44,0)),"TBD"))</f>
        <v/>
      </c>
      <c r="G4648" s="32"/>
      <c r="H4648" s="32"/>
      <c r="I4648" s="32"/>
      <c r="J4648" s="32"/>
      <c r="K4648" s="35"/>
      <c r="L4648" s="32"/>
      <c r="M4648" s="32"/>
    </row>
    <row r="4649" customFormat="false" ht="15" hidden="false" customHeight="true" outlineLevel="0" collapsed="false">
      <c r="A4649" s="32"/>
      <c r="B4649" s="32"/>
      <c r="C4649" s="32"/>
      <c r="D4649" s="32"/>
      <c r="E4649" s="34" t="str">
        <f aca="false">IF($B4649="","",IF($B4649="OUT","Liters",IFERROR(INDEX(Setup!$F$3:$F$24,MATCH($C4649,Setup!$A$3:$A$24,0)),"")))</f>
        <v/>
      </c>
      <c r="F4649" s="28" t="str">
        <f aca="false">IF(OR($D4649="",$E4649=""),"",IFERROR($D4649*INDEX(Setup!$B$27:$B$44,MATCH($E4649,Setup!$A$27:$A$44,0)),"TBD"))</f>
        <v/>
      </c>
      <c r="G4649" s="32"/>
      <c r="H4649" s="32"/>
      <c r="I4649" s="32"/>
      <c r="J4649" s="32"/>
      <c r="K4649" s="35"/>
      <c r="L4649" s="32"/>
      <c r="M4649" s="32"/>
    </row>
    <row r="4650" customFormat="false" ht="15" hidden="false" customHeight="true" outlineLevel="0" collapsed="false">
      <c r="A4650" s="32"/>
      <c r="B4650" s="32"/>
      <c r="C4650" s="32"/>
      <c r="D4650" s="32"/>
      <c r="E4650" s="34" t="str">
        <f aca="false">IF($B4650="","",IF($B4650="OUT","Liters",IFERROR(INDEX(Setup!$F$3:$F$24,MATCH($C4650,Setup!$A$3:$A$24,0)),"")))</f>
        <v/>
      </c>
      <c r="F4650" s="28" t="str">
        <f aca="false">IF(OR($D4650="",$E4650=""),"",IFERROR($D4650*INDEX(Setup!$B$27:$B$44,MATCH($E4650,Setup!$A$27:$A$44,0)),"TBD"))</f>
        <v/>
      </c>
      <c r="G4650" s="32"/>
      <c r="H4650" s="32"/>
      <c r="I4650" s="32"/>
      <c r="J4650" s="32"/>
      <c r="K4650" s="35"/>
      <c r="L4650" s="32"/>
      <c r="M4650" s="32"/>
    </row>
    <row r="4651" customFormat="false" ht="15" hidden="false" customHeight="true" outlineLevel="0" collapsed="false">
      <c r="A4651" s="32"/>
      <c r="B4651" s="32"/>
      <c r="C4651" s="32"/>
      <c r="D4651" s="32"/>
      <c r="E4651" s="34" t="str">
        <f aca="false">IF($B4651="","",IF($B4651="OUT","Liters",IFERROR(INDEX(Setup!$F$3:$F$24,MATCH($C4651,Setup!$A$3:$A$24,0)),"")))</f>
        <v/>
      </c>
      <c r="F4651" s="28" t="str">
        <f aca="false">IF(OR($D4651="",$E4651=""),"",IFERROR($D4651*INDEX(Setup!$B$27:$B$44,MATCH($E4651,Setup!$A$27:$A$44,0)),"TBD"))</f>
        <v/>
      </c>
      <c r="G4651" s="32"/>
      <c r="H4651" s="32"/>
      <c r="I4651" s="32"/>
      <c r="J4651" s="32"/>
      <c r="K4651" s="35"/>
      <c r="L4651" s="32"/>
      <c r="M4651" s="32"/>
    </row>
    <row r="4652" customFormat="false" ht="15" hidden="false" customHeight="true" outlineLevel="0" collapsed="false">
      <c r="A4652" s="32"/>
      <c r="B4652" s="32"/>
      <c r="C4652" s="32"/>
      <c r="D4652" s="32"/>
      <c r="E4652" s="34" t="str">
        <f aca="false">IF($B4652="","",IF($B4652="OUT","Liters",IFERROR(INDEX(Setup!$F$3:$F$24,MATCH($C4652,Setup!$A$3:$A$24,0)),"")))</f>
        <v/>
      </c>
      <c r="F4652" s="28" t="str">
        <f aca="false">IF(OR($D4652="",$E4652=""),"",IFERROR($D4652*INDEX(Setup!$B$27:$B$44,MATCH($E4652,Setup!$A$27:$A$44,0)),"TBD"))</f>
        <v/>
      </c>
      <c r="G4652" s="32"/>
      <c r="H4652" s="32"/>
      <c r="I4652" s="32"/>
      <c r="J4652" s="32"/>
      <c r="K4652" s="35"/>
      <c r="L4652" s="32"/>
      <c r="M4652" s="32"/>
    </row>
    <row r="4653" customFormat="false" ht="15" hidden="false" customHeight="true" outlineLevel="0" collapsed="false">
      <c r="A4653" s="32"/>
      <c r="B4653" s="32"/>
      <c r="C4653" s="32"/>
      <c r="D4653" s="32"/>
      <c r="E4653" s="34" t="str">
        <f aca="false">IF($B4653="","",IF($B4653="OUT","Liters",IFERROR(INDEX(Setup!$F$3:$F$24,MATCH($C4653,Setup!$A$3:$A$24,0)),"")))</f>
        <v/>
      </c>
      <c r="F4653" s="28" t="str">
        <f aca="false">IF(OR($D4653="",$E4653=""),"",IFERROR($D4653*INDEX(Setup!$B$27:$B$44,MATCH($E4653,Setup!$A$27:$A$44,0)),"TBD"))</f>
        <v/>
      </c>
      <c r="G4653" s="32"/>
      <c r="H4653" s="32"/>
      <c r="I4653" s="32"/>
      <c r="J4653" s="32"/>
      <c r="K4653" s="35"/>
      <c r="L4653" s="32"/>
      <c r="M4653" s="32"/>
    </row>
    <row r="4654" customFormat="false" ht="15" hidden="false" customHeight="true" outlineLevel="0" collapsed="false">
      <c r="A4654" s="32"/>
      <c r="B4654" s="32"/>
      <c r="C4654" s="32"/>
      <c r="D4654" s="32"/>
      <c r="E4654" s="34" t="str">
        <f aca="false">IF($B4654="","",IF($B4654="OUT","Liters",IFERROR(INDEX(Setup!$F$3:$F$24,MATCH($C4654,Setup!$A$3:$A$24,0)),"")))</f>
        <v/>
      </c>
      <c r="F4654" s="28" t="str">
        <f aca="false">IF(OR($D4654="",$E4654=""),"",IFERROR($D4654*INDEX(Setup!$B$27:$B$44,MATCH($E4654,Setup!$A$27:$A$44,0)),"TBD"))</f>
        <v/>
      </c>
      <c r="G4654" s="32"/>
      <c r="H4654" s="32"/>
      <c r="I4654" s="32"/>
      <c r="J4654" s="32"/>
      <c r="K4654" s="35"/>
      <c r="L4654" s="32"/>
      <c r="M4654" s="32"/>
    </row>
    <row r="4655" customFormat="false" ht="15" hidden="false" customHeight="true" outlineLevel="0" collapsed="false">
      <c r="A4655" s="32"/>
      <c r="B4655" s="32"/>
      <c r="C4655" s="32"/>
      <c r="D4655" s="32"/>
      <c r="E4655" s="34" t="str">
        <f aca="false">IF($B4655="","",IF($B4655="OUT","Liters",IFERROR(INDEX(Setup!$F$3:$F$24,MATCH($C4655,Setup!$A$3:$A$24,0)),"")))</f>
        <v/>
      </c>
      <c r="F4655" s="28" t="str">
        <f aca="false">IF(OR($D4655="",$E4655=""),"",IFERROR($D4655*INDEX(Setup!$B$27:$B$44,MATCH($E4655,Setup!$A$27:$A$44,0)),"TBD"))</f>
        <v/>
      </c>
      <c r="G4655" s="32"/>
      <c r="H4655" s="32"/>
      <c r="I4655" s="32"/>
      <c r="J4655" s="32"/>
      <c r="K4655" s="35"/>
      <c r="L4655" s="32"/>
      <c r="M4655" s="32"/>
    </row>
    <row r="4656" customFormat="false" ht="15" hidden="false" customHeight="true" outlineLevel="0" collapsed="false">
      <c r="A4656" s="32"/>
      <c r="B4656" s="32"/>
      <c r="C4656" s="32"/>
      <c r="D4656" s="32"/>
      <c r="E4656" s="34" t="str">
        <f aca="false">IF($B4656="","",IF($B4656="OUT","Liters",IFERROR(INDEX(Setup!$F$3:$F$24,MATCH($C4656,Setup!$A$3:$A$24,0)),"")))</f>
        <v/>
      </c>
      <c r="F4656" s="28" t="str">
        <f aca="false">IF(OR($D4656="",$E4656=""),"",IFERROR($D4656*INDEX(Setup!$B$27:$B$44,MATCH($E4656,Setup!$A$27:$A$44,0)),"TBD"))</f>
        <v/>
      </c>
      <c r="G4656" s="32"/>
      <c r="H4656" s="32"/>
      <c r="I4656" s="32"/>
      <c r="J4656" s="32"/>
      <c r="K4656" s="35"/>
      <c r="L4656" s="32"/>
      <c r="M4656" s="32"/>
    </row>
    <row r="4657" customFormat="false" ht="15" hidden="false" customHeight="true" outlineLevel="0" collapsed="false">
      <c r="A4657" s="32"/>
      <c r="B4657" s="32"/>
      <c r="C4657" s="32"/>
      <c r="D4657" s="32"/>
      <c r="E4657" s="34" t="str">
        <f aca="false">IF($B4657="","",IF($B4657="OUT","Liters",IFERROR(INDEX(Setup!$F$3:$F$24,MATCH($C4657,Setup!$A$3:$A$24,0)),"")))</f>
        <v/>
      </c>
      <c r="F4657" s="28" t="str">
        <f aca="false">IF(OR($D4657="",$E4657=""),"",IFERROR($D4657*INDEX(Setup!$B$27:$B$44,MATCH($E4657,Setup!$A$27:$A$44,0)),"TBD"))</f>
        <v/>
      </c>
      <c r="G4657" s="32"/>
      <c r="H4657" s="32"/>
      <c r="I4657" s="32"/>
      <c r="J4657" s="32"/>
      <c r="K4657" s="35"/>
      <c r="L4657" s="32"/>
      <c r="M4657" s="32"/>
    </row>
    <row r="4658" customFormat="false" ht="15" hidden="false" customHeight="true" outlineLevel="0" collapsed="false">
      <c r="A4658" s="32"/>
      <c r="B4658" s="32"/>
      <c r="C4658" s="32"/>
      <c r="D4658" s="32"/>
      <c r="E4658" s="34" t="str">
        <f aca="false">IF($B4658="","",IF($B4658="OUT","Liters",IFERROR(INDEX(Setup!$F$3:$F$24,MATCH($C4658,Setup!$A$3:$A$24,0)),"")))</f>
        <v/>
      </c>
      <c r="F4658" s="28" t="str">
        <f aca="false">IF(OR($D4658="",$E4658=""),"",IFERROR($D4658*INDEX(Setup!$B$27:$B$44,MATCH($E4658,Setup!$A$27:$A$44,0)),"TBD"))</f>
        <v/>
      </c>
      <c r="G4658" s="32"/>
      <c r="H4658" s="32"/>
      <c r="I4658" s="32"/>
      <c r="J4658" s="32"/>
      <c r="K4658" s="35"/>
      <c r="L4658" s="32"/>
      <c r="M4658" s="32"/>
    </row>
    <row r="4659" customFormat="false" ht="15" hidden="false" customHeight="true" outlineLevel="0" collapsed="false">
      <c r="A4659" s="32"/>
      <c r="B4659" s="32"/>
      <c r="C4659" s="32"/>
      <c r="D4659" s="32"/>
      <c r="E4659" s="34" t="str">
        <f aca="false">IF($B4659="","",IF($B4659="OUT","Liters",IFERROR(INDEX(Setup!$F$3:$F$24,MATCH($C4659,Setup!$A$3:$A$24,0)),"")))</f>
        <v/>
      </c>
      <c r="F4659" s="28" t="str">
        <f aca="false">IF(OR($D4659="",$E4659=""),"",IFERROR($D4659*INDEX(Setup!$B$27:$B$44,MATCH($E4659,Setup!$A$27:$A$44,0)),"TBD"))</f>
        <v/>
      </c>
      <c r="G4659" s="32"/>
      <c r="H4659" s="32"/>
      <c r="I4659" s="32"/>
      <c r="J4659" s="32"/>
      <c r="K4659" s="35"/>
      <c r="L4659" s="32"/>
      <c r="M4659" s="32"/>
    </row>
    <row r="4660" customFormat="false" ht="15" hidden="false" customHeight="true" outlineLevel="0" collapsed="false">
      <c r="A4660" s="32"/>
      <c r="B4660" s="32"/>
      <c r="C4660" s="32"/>
      <c r="D4660" s="32"/>
      <c r="E4660" s="34" t="str">
        <f aca="false">IF($B4660="","",IF($B4660="OUT","Liters",IFERROR(INDEX(Setup!$F$3:$F$24,MATCH($C4660,Setup!$A$3:$A$24,0)),"")))</f>
        <v/>
      </c>
      <c r="F4660" s="28" t="str">
        <f aca="false">IF(OR($D4660="",$E4660=""),"",IFERROR($D4660*INDEX(Setup!$B$27:$B$44,MATCH($E4660,Setup!$A$27:$A$44,0)),"TBD"))</f>
        <v/>
      </c>
      <c r="G4660" s="32"/>
      <c r="H4660" s="32"/>
      <c r="I4660" s="32"/>
      <c r="J4660" s="32"/>
      <c r="K4660" s="35"/>
      <c r="L4660" s="32"/>
      <c r="M4660" s="32"/>
    </row>
    <row r="4661" customFormat="false" ht="15" hidden="false" customHeight="true" outlineLevel="0" collapsed="false">
      <c r="A4661" s="32"/>
      <c r="B4661" s="32"/>
      <c r="C4661" s="32"/>
      <c r="D4661" s="32"/>
      <c r="E4661" s="34" t="str">
        <f aca="false">IF($B4661="","",IF($B4661="OUT","Liters",IFERROR(INDEX(Setup!$F$3:$F$24,MATCH($C4661,Setup!$A$3:$A$24,0)),"")))</f>
        <v/>
      </c>
      <c r="F4661" s="28" t="str">
        <f aca="false">IF(OR($D4661="",$E4661=""),"",IFERROR($D4661*INDEX(Setup!$B$27:$B$44,MATCH($E4661,Setup!$A$27:$A$44,0)),"TBD"))</f>
        <v/>
      </c>
      <c r="G4661" s="32"/>
      <c r="H4661" s="32"/>
      <c r="I4661" s="32"/>
      <c r="J4661" s="32"/>
      <c r="K4661" s="35"/>
      <c r="L4661" s="32"/>
      <c r="M4661" s="32"/>
    </row>
    <row r="4662" customFormat="false" ht="15" hidden="false" customHeight="true" outlineLevel="0" collapsed="false">
      <c r="A4662" s="32"/>
      <c r="B4662" s="32"/>
      <c r="C4662" s="32"/>
      <c r="D4662" s="32"/>
      <c r="E4662" s="34" t="str">
        <f aca="false">IF($B4662="","",IF($B4662="OUT","Liters",IFERROR(INDEX(Setup!$F$3:$F$24,MATCH($C4662,Setup!$A$3:$A$24,0)),"")))</f>
        <v/>
      </c>
      <c r="F4662" s="28" t="str">
        <f aca="false">IF(OR($D4662="",$E4662=""),"",IFERROR($D4662*INDEX(Setup!$B$27:$B$44,MATCH($E4662,Setup!$A$27:$A$44,0)),"TBD"))</f>
        <v/>
      </c>
      <c r="G4662" s="32"/>
      <c r="H4662" s="32"/>
      <c r="I4662" s="32"/>
      <c r="J4662" s="32"/>
      <c r="K4662" s="35"/>
      <c r="L4662" s="32"/>
      <c r="M4662" s="32"/>
    </row>
    <row r="4663" customFormat="false" ht="15" hidden="false" customHeight="true" outlineLevel="0" collapsed="false">
      <c r="A4663" s="32"/>
      <c r="B4663" s="32"/>
      <c r="C4663" s="32"/>
      <c r="D4663" s="32"/>
      <c r="E4663" s="34" t="str">
        <f aca="false">IF($B4663="","",IF($B4663="OUT","Liters",IFERROR(INDEX(Setup!$F$3:$F$24,MATCH($C4663,Setup!$A$3:$A$24,0)),"")))</f>
        <v/>
      </c>
      <c r="F4663" s="28" t="str">
        <f aca="false">IF(OR($D4663="",$E4663=""),"",IFERROR($D4663*INDEX(Setup!$B$27:$B$44,MATCH($E4663,Setup!$A$27:$A$44,0)),"TBD"))</f>
        <v/>
      </c>
      <c r="G4663" s="32"/>
      <c r="H4663" s="32"/>
      <c r="I4663" s="32"/>
      <c r="J4663" s="32"/>
      <c r="K4663" s="35"/>
      <c r="L4663" s="32"/>
      <c r="M4663" s="32"/>
    </row>
    <row r="4664" customFormat="false" ht="15" hidden="false" customHeight="true" outlineLevel="0" collapsed="false">
      <c r="A4664" s="32"/>
      <c r="B4664" s="32"/>
      <c r="C4664" s="32"/>
      <c r="D4664" s="32"/>
      <c r="E4664" s="34" t="str">
        <f aca="false">IF($B4664="","",IF($B4664="OUT","Liters",IFERROR(INDEX(Setup!$F$3:$F$24,MATCH($C4664,Setup!$A$3:$A$24,0)),"")))</f>
        <v/>
      </c>
      <c r="F4664" s="28" t="str">
        <f aca="false">IF(OR($D4664="",$E4664=""),"",IFERROR($D4664*INDEX(Setup!$B$27:$B$44,MATCH($E4664,Setup!$A$27:$A$44,0)),"TBD"))</f>
        <v/>
      </c>
      <c r="G4664" s="32"/>
      <c r="H4664" s="32"/>
      <c r="I4664" s="32"/>
      <c r="J4664" s="32"/>
      <c r="K4664" s="35"/>
      <c r="L4664" s="32"/>
      <c r="M4664" s="32"/>
    </row>
    <row r="4665" customFormat="false" ht="15" hidden="false" customHeight="true" outlineLevel="0" collapsed="false">
      <c r="A4665" s="32"/>
      <c r="B4665" s="32"/>
      <c r="C4665" s="32"/>
      <c r="D4665" s="32"/>
      <c r="E4665" s="34" t="str">
        <f aca="false">IF($B4665="","",IF($B4665="OUT","Liters",IFERROR(INDEX(Setup!$F$3:$F$24,MATCH($C4665,Setup!$A$3:$A$24,0)),"")))</f>
        <v/>
      </c>
      <c r="F4665" s="28" t="str">
        <f aca="false">IF(OR($D4665="",$E4665=""),"",IFERROR($D4665*INDEX(Setup!$B$27:$B$44,MATCH($E4665,Setup!$A$27:$A$44,0)),"TBD"))</f>
        <v/>
      </c>
      <c r="G4665" s="32"/>
      <c r="H4665" s="32"/>
      <c r="I4665" s="32"/>
      <c r="J4665" s="32"/>
      <c r="K4665" s="35"/>
      <c r="L4665" s="32"/>
      <c r="M4665" s="32"/>
    </row>
    <row r="4666" customFormat="false" ht="15" hidden="false" customHeight="true" outlineLevel="0" collapsed="false">
      <c r="A4666" s="32"/>
      <c r="B4666" s="32"/>
      <c r="C4666" s="32"/>
      <c r="D4666" s="32"/>
      <c r="E4666" s="34" t="str">
        <f aca="false">IF($B4666="","",IF($B4666="OUT","Liters",IFERROR(INDEX(Setup!$F$3:$F$24,MATCH($C4666,Setup!$A$3:$A$24,0)),"")))</f>
        <v/>
      </c>
      <c r="F4666" s="28" t="str">
        <f aca="false">IF(OR($D4666="",$E4666=""),"",IFERROR($D4666*INDEX(Setup!$B$27:$B$44,MATCH($E4666,Setup!$A$27:$A$44,0)),"TBD"))</f>
        <v/>
      </c>
      <c r="G4666" s="32"/>
      <c r="H4666" s="32"/>
      <c r="I4666" s="32"/>
      <c r="J4666" s="32"/>
      <c r="K4666" s="35"/>
      <c r="L4666" s="32"/>
      <c r="M4666" s="32"/>
    </row>
    <row r="4667" customFormat="false" ht="15" hidden="false" customHeight="true" outlineLevel="0" collapsed="false">
      <c r="A4667" s="32"/>
      <c r="B4667" s="32"/>
      <c r="C4667" s="32"/>
      <c r="D4667" s="32"/>
      <c r="E4667" s="34" t="str">
        <f aca="false">IF($B4667="","",IF($B4667="OUT","Liters",IFERROR(INDEX(Setup!$F$3:$F$24,MATCH($C4667,Setup!$A$3:$A$24,0)),"")))</f>
        <v/>
      </c>
      <c r="F4667" s="28" t="str">
        <f aca="false">IF(OR($D4667="",$E4667=""),"",IFERROR($D4667*INDEX(Setup!$B$27:$B$44,MATCH($E4667,Setup!$A$27:$A$44,0)),"TBD"))</f>
        <v/>
      </c>
      <c r="G4667" s="32"/>
      <c r="H4667" s="32"/>
      <c r="I4667" s="32"/>
      <c r="J4667" s="32"/>
      <c r="K4667" s="35"/>
      <c r="L4667" s="32"/>
      <c r="M4667" s="32"/>
    </row>
    <row r="4668" customFormat="false" ht="15" hidden="false" customHeight="true" outlineLevel="0" collapsed="false">
      <c r="A4668" s="32"/>
      <c r="B4668" s="32"/>
      <c r="C4668" s="32"/>
      <c r="D4668" s="32"/>
      <c r="E4668" s="34" t="str">
        <f aca="false">IF($B4668="","",IF($B4668="OUT","Liters",IFERROR(INDEX(Setup!$F$3:$F$24,MATCH($C4668,Setup!$A$3:$A$24,0)),"")))</f>
        <v/>
      </c>
      <c r="F4668" s="28" t="str">
        <f aca="false">IF(OR($D4668="",$E4668=""),"",IFERROR($D4668*INDEX(Setup!$B$27:$B$44,MATCH($E4668,Setup!$A$27:$A$44,0)),"TBD"))</f>
        <v/>
      </c>
      <c r="G4668" s="32"/>
      <c r="H4668" s="32"/>
      <c r="I4668" s="32"/>
      <c r="J4668" s="32"/>
      <c r="K4668" s="35"/>
      <c r="L4668" s="32"/>
      <c r="M4668" s="32"/>
    </row>
    <row r="4669" customFormat="false" ht="15" hidden="false" customHeight="true" outlineLevel="0" collapsed="false">
      <c r="A4669" s="32"/>
      <c r="B4669" s="32"/>
      <c r="C4669" s="32"/>
      <c r="D4669" s="32"/>
      <c r="E4669" s="34" t="str">
        <f aca="false">IF($B4669="","",IF($B4669="OUT","Liters",IFERROR(INDEX(Setup!$F$3:$F$24,MATCH($C4669,Setup!$A$3:$A$24,0)),"")))</f>
        <v/>
      </c>
      <c r="F4669" s="28" t="str">
        <f aca="false">IF(OR($D4669="",$E4669=""),"",IFERROR($D4669*INDEX(Setup!$B$27:$B$44,MATCH($E4669,Setup!$A$27:$A$44,0)),"TBD"))</f>
        <v/>
      </c>
      <c r="G4669" s="32"/>
      <c r="H4669" s="32"/>
      <c r="I4669" s="32"/>
      <c r="J4669" s="32"/>
      <c r="K4669" s="35"/>
      <c r="L4669" s="32"/>
      <c r="M4669" s="32"/>
    </row>
    <row r="4670" customFormat="false" ht="15" hidden="false" customHeight="true" outlineLevel="0" collapsed="false">
      <c r="A4670" s="32"/>
      <c r="B4670" s="32"/>
      <c r="C4670" s="32"/>
      <c r="D4670" s="32"/>
      <c r="E4670" s="34" t="str">
        <f aca="false">IF($B4670="","",IF($B4670="OUT","Liters",IFERROR(INDEX(Setup!$F$3:$F$24,MATCH($C4670,Setup!$A$3:$A$24,0)),"")))</f>
        <v/>
      </c>
      <c r="F4670" s="28" t="str">
        <f aca="false">IF(OR($D4670="",$E4670=""),"",IFERROR($D4670*INDEX(Setup!$B$27:$B$44,MATCH($E4670,Setup!$A$27:$A$44,0)),"TBD"))</f>
        <v/>
      </c>
      <c r="G4670" s="32"/>
      <c r="H4670" s="32"/>
      <c r="I4670" s="32"/>
      <c r="J4670" s="32"/>
      <c r="K4670" s="35"/>
      <c r="L4670" s="32"/>
      <c r="M4670" s="32"/>
    </row>
    <row r="4671" customFormat="false" ht="15" hidden="false" customHeight="true" outlineLevel="0" collapsed="false">
      <c r="A4671" s="32"/>
      <c r="B4671" s="32"/>
      <c r="C4671" s="32"/>
      <c r="D4671" s="32"/>
      <c r="E4671" s="34" t="str">
        <f aca="false">IF($B4671="","",IF($B4671="OUT","Liters",IFERROR(INDEX(Setup!$F$3:$F$24,MATCH($C4671,Setup!$A$3:$A$24,0)),"")))</f>
        <v/>
      </c>
      <c r="F4671" s="28" t="str">
        <f aca="false">IF(OR($D4671="",$E4671=""),"",IFERROR($D4671*INDEX(Setup!$B$27:$B$44,MATCH($E4671,Setup!$A$27:$A$44,0)),"TBD"))</f>
        <v/>
      </c>
      <c r="G4671" s="32"/>
      <c r="H4671" s="32"/>
      <c r="I4671" s="32"/>
      <c r="J4671" s="32"/>
      <c r="K4671" s="35"/>
      <c r="L4671" s="32"/>
      <c r="M4671" s="32"/>
    </row>
    <row r="4672" customFormat="false" ht="15" hidden="false" customHeight="true" outlineLevel="0" collapsed="false">
      <c r="A4672" s="32"/>
      <c r="B4672" s="32"/>
      <c r="C4672" s="32"/>
      <c r="D4672" s="32"/>
      <c r="E4672" s="34" t="str">
        <f aca="false">IF($B4672="","",IF($B4672="OUT","Liters",IFERROR(INDEX(Setup!$F$3:$F$24,MATCH($C4672,Setup!$A$3:$A$24,0)),"")))</f>
        <v/>
      </c>
      <c r="F4672" s="28" t="str">
        <f aca="false">IF(OR($D4672="",$E4672=""),"",IFERROR($D4672*INDEX(Setup!$B$27:$B$44,MATCH($E4672,Setup!$A$27:$A$44,0)),"TBD"))</f>
        <v/>
      </c>
      <c r="G4672" s="32"/>
      <c r="H4672" s="32"/>
      <c r="I4672" s="32"/>
      <c r="J4672" s="32"/>
      <c r="K4672" s="35"/>
      <c r="L4672" s="32"/>
      <c r="M4672" s="32"/>
    </row>
    <row r="4673" customFormat="false" ht="15" hidden="false" customHeight="true" outlineLevel="0" collapsed="false">
      <c r="A4673" s="32"/>
      <c r="B4673" s="32"/>
      <c r="C4673" s="32"/>
      <c r="D4673" s="32"/>
      <c r="E4673" s="34" t="str">
        <f aca="false">IF($B4673="","",IF($B4673="OUT","Liters",IFERROR(INDEX(Setup!$F$3:$F$24,MATCH($C4673,Setup!$A$3:$A$24,0)),"")))</f>
        <v/>
      </c>
      <c r="F4673" s="28" t="str">
        <f aca="false">IF(OR($D4673="",$E4673=""),"",IFERROR($D4673*INDEX(Setup!$B$27:$B$44,MATCH($E4673,Setup!$A$27:$A$44,0)),"TBD"))</f>
        <v/>
      </c>
      <c r="G4673" s="32"/>
      <c r="H4673" s="32"/>
      <c r="I4673" s="32"/>
      <c r="J4673" s="32"/>
      <c r="K4673" s="35"/>
      <c r="L4673" s="32"/>
      <c r="M4673" s="32"/>
    </row>
    <row r="4674" customFormat="false" ht="15" hidden="false" customHeight="true" outlineLevel="0" collapsed="false">
      <c r="A4674" s="32"/>
      <c r="B4674" s="32"/>
      <c r="C4674" s="32"/>
      <c r="D4674" s="32"/>
      <c r="E4674" s="34" t="str">
        <f aca="false">IF($B4674="","",IF($B4674="OUT","Liters",IFERROR(INDEX(Setup!$F$3:$F$24,MATCH($C4674,Setup!$A$3:$A$24,0)),"")))</f>
        <v/>
      </c>
      <c r="F4674" s="28" t="str">
        <f aca="false">IF(OR($D4674="",$E4674=""),"",IFERROR($D4674*INDEX(Setup!$B$27:$B$44,MATCH($E4674,Setup!$A$27:$A$44,0)),"TBD"))</f>
        <v/>
      </c>
      <c r="G4674" s="32"/>
      <c r="H4674" s="32"/>
      <c r="I4674" s="32"/>
      <c r="J4674" s="32"/>
      <c r="K4674" s="35"/>
      <c r="L4674" s="32"/>
      <c r="M4674" s="32"/>
    </row>
    <row r="4675" customFormat="false" ht="15" hidden="false" customHeight="true" outlineLevel="0" collapsed="false">
      <c r="A4675" s="32"/>
      <c r="B4675" s="32"/>
      <c r="C4675" s="32"/>
      <c r="D4675" s="32"/>
      <c r="E4675" s="34" t="str">
        <f aca="false">IF($B4675="","",IF($B4675="OUT","Liters",IFERROR(INDEX(Setup!$F$3:$F$24,MATCH($C4675,Setup!$A$3:$A$24,0)),"")))</f>
        <v/>
      </c>
      <c r="F4675" s="28" t="str">
        <f aca="false">IF(OR($D4675="",$E4675=""),"",IFERROR($D4675*INDEX(Setup!$B$27:$B$44,MATCH($E4675,Setup!$A$27:$A$44,0)),"TBD"))</f>
        <v/>
      </c>
      <c r="G4675" s="32"/>
      <c r="H4675" s="32"/>
      <c r="I4675" s="32"/>
      <c r="J4675" s="32"/>
      <c r="K4675" s="35"/>
      <c r="L4675" s="32"/>
      <c r="M4675" s="32"/>
    </row>
    <row r="4676" customFormat="false" ht="15" hidden="false" customHeight="true" outlineLevel="0" collapsed="false">
      <c r="A4676" s="32"/>
      <c r="B4676" s="32"/>
      <c r="C4676" s="32"/>
      <c r="D4676" s="32"/>
      <c r="E4676" s="34" t="str">
        <f aca="false">IF($B4676="","",IF($B4676="OUT","Liters",IFERROR(INDEX(Setup!$F$3:$F$24,MATCH($C4676,Setup!$A$3:$A$24,0)),"")))</f>
        <v/>
      </c>
      <c r="F4676" s="28" t="str">
        <f aca="false">IF(OR($D4676="",$E4676=""),"",IFERROR($D4676*INDEX(Setup!$B$27:$B$44,MATCH($E4676,Setup!$A$27:$A$44,0)),"TBD"))</f>
        <v/>
      </c>
      <c r="G4676" s="32"/>
      <c r="H4676" s="32"/>
      <c r="I4676" s="32"/>
      <c r="J4676" s="32"/>
      <c r="K4676" s="35"/>
      <c r="L4676" s="32"/>
      <c r="M4676" s="32"/>
    </row>
    <row r="4677" customFormat="false" ht="15" hidden="false" customHeight="true" outlineLevel="0" collapsed="false">
      <c r="A4677" s="32"/>
      <c r="B4677" s="32"/>
      <c r="C4677" s="32"/>
      <c r="D4677" s="32"/>
      <c r="E4677" s="34" t="str">
        <f aca="false">IF($B4677="","",IF($B4677="OUT","Liters",IFERROR(INDEX(Setup!$F$3:$F$24,MATCH($C4677,Setup!$A$3:$A$24,0)),"")))</f>
        <v/>
      </c>
      <c r="F4677" s="28" t="str">
        <f aca="false">IF(OR($D4677="",$E4677=""),"",IFERROR($D4677*INDEX(Setup!$B$27:$B$44,MATCH($E4677,Setup!$A$27:$A$44,0)),"TBD"))</f>
        <v/>
      </c>
      <c r="G4677" s="32"/>
      <c r="H4677" s="32"/>
      <c r="I4677" s="32"/>
      <c r="J4677" s="32"/>
      <c r="K4677" s="35"/>
      <c r="L4677" s="32"/>
      <c r="M4677" s="32"/>
    </row>
    <row r="4678" customFormat="false" ht="15" hidden="false" customHeight="true" outlineLevel="0" collapsed="false">
      <c r="A4678" s="32"/>
      <c r="B4678" s="32"/>
      <c r="C4678" s="32"/>
      <c r="D4678" s="32"/>
      <c r="E4678" s="34" t="str">
        <f aca="false">IF($B4678="","",IF($B4678="OUT","Liters",IFERROR(INDEX(Setup!$F$3:$F$24,MATCH($C4678,Setup!$A$3:$A$24,0)),"")))</f>
        <v/>
      </c>
      <c r="F4678" s="28" t="str">
        <f aca="false">IF(OR($D4678="",$E4678=""),"",IFERROR($D4678*INDEX(Setup!$B$27:$B$44,MATCH($E4678,Setup!$A$27:$A$44,0)),"TBD"))</f>
        <v/>
      </c>
      <c r="G4678" s="32"/>
      <c r="H4678" s="32"/>
      <c r="I4678" s="32"/>
      <c r="J4678" s="32"/>
      <c r="K4678" s="35"/>
      <c r="L4678" s="32"/>
      <c r="M4678" s="32"/>
    </row>
    <row r="4679" customFormat="false" ht="15" hidden="false" customHeight="true" outlineLevel="0" collapsed="false">
      <c r="A4679" s="32"/>
      <c r="B4679" s="32"/>
      <c r="C4679" s="32"/>
      <c r="D4679" s="32"/>
      <c r="E4679" s="34" t="str">
        <f aca="false">IF($B4679="","",IF($B4679="OUT","Liters",IFERROR(INDEX(Setup!$F$3:$F$24,MATCH($C4679,Setup!$A$3:$A$24,0)),"")))</f>
        <v/>
      </c>
      <c r="F4679" s="28" t="str">
        <f aca="false">IF(OR($D4679="",$E4679=""),"",IFERROR($D4679*INDEX(Setup!$B$27:$B$44,MATCH($E4679,Setup!$A$27:$A$44,0)),"TBD"))</f>
        <v/>
      </c>
      <c r="G4679" s="32"/>
      <c r="H4679" s="32"/>
      <c r="I4679" s="32"/>
      <c r="J4679" s="32"/>
      <c r="K4679" s="35"/>
      <c r="L4679" s="32"/>
      <c r="M4679" s="32"/>
    </row>
    <row r="4680" customFormat="false" ht="15" hidden="false" customHeight="true" outlineLevel="0" collapsed="false">
      <c r="A4680" s="32"/>
      <c r="B4680" s="32"/>
      <c r="C4680" s="32"/>
      <c r="D4680" s="32"/>
      <c r="E4680" s="34" t="str">
        <f aca="false">IF($B4680="","",IF($B4680="OUT","Liters",IFERROR(INDEX(Setup!$F$3:$F$24,MATCH($C4680,Setup!$A$3:$A$24,0)),"")))</f>
        <v/>
      </c>
      <c r="F4680" s="28" t="str">
        <f aca="false">IF(OR($D4680="",$E4680=""),"",IFERROR($D4680*INDEX(Setup!$B$27:$B$44,MATCH($E4680,Setup!$A$27:$A$44,0)),"TBD"))</f>
        <v/>
      </c>
      <c r="G4680" s="32"/>
      <c r="H4680" s="32"/>
      <c r="I4680" s="32"/>
      <c r="J4680" s="32"/>
      <c r="K4680" s="35"/>
      <c r="L4680" s="32"/>
      <c r="M4680" s="32"/>
    </row>
    <row r="4681" customFormat="false" ht="15" hidden="false" customHeight="true" outlineLevel="0" collapsed="false">
      <c r="A4681" s="32"/>
      <c r="B4681" s="32"/>
      <c r="C4681" s="32"/>
      <c r="D4681" s="32"/>
      <c r="E4681" s="34" t="str">
        <f aca="false">IF($B4681="","",IF($B4681="OUT","Liters",IFERROR(INDEX(Setup!$F$3:$F$24,MATCH($C4681,Setup!$A$3:$A$24,0)),"")))</f>
        <v/>
      </c>
      <c r="F4681" s="28" t="str">
        <f aca="false">IF(OR($D4681="",$E4681=""),"",IFERROR($D4681*INDEX(Setup!$B$27:$B$44,MATCH($E4681,Setup!$A$27:$A$44,0)),"TBD"))</f>
        <v/>
      </c>
      <c r="G4681" s="32"/>
      <c r="H4681" s="32"/>
      <c r="I4681" s="32"/>
      <c r="J4681" s="32"/>
      <c r="K4681" s="35"/>
      <c r="L4681" s="32"/>
      <c r="M4681" s="32"/>
    </row>
    <row r="4682" customFormat="false" ht="15" hidden="false" customHeight="true" outlineLevel="0" collapsed="false">
      <c r="A4682" s="32"/>
      <c r="B4682" s="32"/>
      <c r="C4682" s="32"/>
      <c r="D4682" s="32"/>
      <c r="E4682" s="34" t="str">
        <f aca="false">IF($B4682="","",IF($B4682="OUT","Liters",IFERROR(INDEX(Setup!$F$3:$F$24,MATCH($C4682,Setup!$A$3:$A$24,0)),"")))</f>
        <v/>
      </c>
      <c r="F4682" s="28" t="str">
        <f aca="false">IF(OR($D4682="",$E4682=""),"",IFERROR($D4682*INDEX(Setup!$B$27:$B$44,MATCH($E4682,Setup!$A$27:$A$44,0)),"TBD"))</f>
        <v/>
      </c>
      <c r="G4682" s="32"/>
      <c r="H4682" s="32"/>
      <c r="I4682" s="32"/>
      <c r="J4682" s="32"/>
      <c r="K4682" s="35"/>
      <c r="L4682" s="32"/>
      <c r="M4682" s="32"/>
    </row>
    <row r="4683" customFormat="false" ht="15" hidden="false" customHeight="true" outlineLevel="0" collapsed="false">
      <c r="A4683" s="32"/>
      <c r="B4683" s="32"/>
      <c r="C4683" s="32"/>
      <c r="D4683" s="32"/>
      <c r="E4683" s="34" t="str">
        <f aca="false">IF($B4683="","",IF($B4683="OUT","Liters",IFERROR(INDEX(Setup!$F$3:$F$24,MATCH($C4683,Setup!$A$3:$A$24,0)),"")))</f>
        <v/>
      </c>
      <c r="F4683" s="28" t="str">
        <f aca="false">IF(OR($D4683="",$E4683=""),"",IFERROR($D4683*INDEX(Setup!$B$27:$B$44,MATCH($E4683,Setup!$A$27:$A$44,0)),"TBD"))</f>
        <v/>
      </c>
      <c r="G4683" s="32"/>
      <c r="H4683" s="32"/>
      <c r="I4683" s="32"/>
      <c r="J4683" s="32"/>
      <c r="K4683" s="35"/>
      <c r="L4683" s="32"/>
      <c r="M4683" s="32"/>
    </row>
    <row r="4684" customFormat="false" ht="15" hidden="false" customHeight="true" outlineLevel="0" collapsed="false">
      <c r="A4684" s="32"/>
      <c r="B4684" s="32"/>
      <c r="C4684" s="32"/>
      <c r="D4684" s="32"/>
      <c r="E4684" s="34" t="str">
        <f aca="false">IF($B4684="","",IF($B4684="OUT","Liters",IFERROR(INDEX(Setup!$F$3:$F$24,MATCH($C4684,Setup!$A$3:$A$24,0)),"")))</f>
        <v/>
      </c>
      <c r="F4684" s="28" t="str">
        <f aca="false">IF(OR($D4684="",$E4684=""),"",IFERROR($D4684*INDEX(Setup!$B$27:$B$44,MATCH($E4684,Setup!$A$27:$A$44,0)),"TBD"))</f>
        <v/>
      </c>
      <c r="G4684" s="32"/>
      <c r="H4684" s="32"/>
      <c r="I4684" s="32"/>
      <c r="J4684" s="32"/>
      <c r="K4684" s="35"/>
      <c r="L4684" s="32"/>
      <c r="M4684" s="32"/>
    </row>
    <row r="4685" customFormat="false" ht="15" hidden="false" customHeight="true" outlineLevel="0" collapsed="false">
      <c r="A4685" s="32"/>
      <c r="B4685" s="32"/>
      <c r="C4685" s="32"/>
      <c r="D4685" s="32"/>
      <c r="E4685" s="34" t="str">
        <f aca="false">IF($B4685="","",IF($B4685="OUT","Liters",IFERROR(INDEX(Setup!$F$3:$F$24,MATCH($C4685,Setup!$A$3:$A$24,0)),"")))</f>
        <v/>
      </c>
      <c r="F4685" s="28" t="str">
        <f aca="false">IF(OR($D4685="",$E4685=""),"",IFERROR($D4685*INDEX(Setup!$B$27:$B$44,MATCH($E4685,Setup!$A$27:$A$44,0)),"TBD"))</f>
        <v/>
      </c>
      <c r="G4685" s="32"/>
      <c r="H4685" s="32"/>
      <c r="I4685" s="32"/>
      <c r="J4685" s="32"/>
      <c r="K4685" s="35"/>
      <c r="L4685" s="32"/>
      <c r="M4685" s="32"/>
    </row>
    <row r="4686" customFormat="false" ht="15" hidden="false" customHeight="true" outlineLevel="0" collapsed="false">
      <c r="A4686" s="32"/>
      <c r="B4686" s="32"/>
      <c r="C4686" s="32"/>
      <c r="D4686" s="32"/>
      <c r="E4686" s="34" t="str">
        <f aca="false">IF($B4686="","",IF($B4686="OUT","Liters",IFERROR(INDEX(Setup!$F$3:$F$24,MATCH($C4686,Setup!$A$3:$A$24,0)),"")))</f>
        <v/>
      </c>
      <c r="F4686" s="28" t="str">
        <f aca="false">IF(OR($D4686="",$E4686=""),"",IFERROR($D4686*INDEX(Setup!$B$27:$B$44,MATCH($E4686,Setup!$A$27:$A$44,0)),"TBD"))</f>
        <v/>
      </c>
      <c r="G4686" s="32"/>
      <c r="H4686" s="32"/>
      <c r="I4686" s="32"/>
      <c r="J4686" s="32"/>
      <c r="K4686" s="35"/>
      <c r="L4686" s="32"/>
      <c r="M4686" s="32"/>
    </row>
    <row r="4687" customFormat="false" ht="15" hidden="false" customHeight="true" outlineLevel="0" collapsed="false">
      <c r="A4687" s="32"/>
      <c r="B4687" s="32"/>
      <c r="C4687" s="32"/>
      <c r="D4687" s="32"/>
      <c r="E4687" s="34" t="str">
        <f aca="false">IF($B4687="","",IF($B4687="OUT","Liters",IFERROR(INDEX(Setup!$F$3:$F$24,MATCH($C4687,Setup!$A$3:$A$24,0)),"")))</f>
        <v/>
      </c>
      <c r="F4687" s="28" t="str">
        <f aca="false">IF(OR($D4687="",$E4687=""),"",IFERROR($D4687*INDEX(Setup!$B$27:$B$44,MATCH($E4687,Setup!$A$27:$A$44,0)),"TBD"))</f>
        <v/>
      </c>
      <c r="G4687" s="32"/>
      <c r="H4687" s="32"/>
      <c r="I4687" s="32"/>
      <c r="J4687" s="32"/>
      <c r="K4687" s="35"/>
      <c r="L4687" s="32"/>
      <c r="M4687" s="32"/>
    </row>
    <row r="4688" customFormat="false" ht="15" hidden="false" customHeight="true" outlineLevel="0" collapsed="false">
      <c r="A4688" s="32"/>
      <c r="B4688" s="32"/>
      <c r="C4688" s="32"/>
      <c r="D4688" s="32"/>
      <c r="E4688" s="34" t="str">
        <f aca="false">IF($B4688="","",IF($B4688="OUT","Liters",IFERROR(INDEX(Setup!$F$3:$F$24,MATCH($C4688,Setup!$A$3:$A$24,0)),"")))</f>
        <v/>
      </c>
      <c r="F4688" s="28" t="str">
        <f aca="false">IF(OR($D4688="",$E4688=""),"",IFERROR($D4688*INDEX(Setup!$B$27:$B$44,MATCH($E4688,Setup!$A$27:$A$44,0)),"TBD"))</f>
        <v/>
      </c>
      <c r="G4688" s="32"/>
      <c r="H4688" s="32"/>
      <c r="I4688" s="32"/>
      <c r="J4688" s="32"/>
      <c r="K4688" s="35"/>
      <c r="L4688" s="32"/>
      <c r="M4688" s="32"/>
    </row>
    <row r="4689" customFormat="false" ht="15" hidden="false" customHeight="true" outlineLevel="0" collapsed="false">
      <c r="A4689" s="32"/>
      <c r="B4689" s="32"/>
      <c r="C4689" s="32"/>
      <c r="D4689" s="32"/>
      <c r="E4689" s="34" t="str">
        <f aca="false">IF($B4689="","",IF($B4689="OUT","Liters",IFERROR(INDEX(Setup!$F$3:$F$24,MATCH($C4689,Setup!$A$3:$A$24,0)),"")))</f>
        <v/>
      </c>
      <c r="F4689" s="28" t="str">
        <f aca="false">IF(OR($D4689="",$E4689=""),"",IFERROR($D4689*INDEX(Setup!$B$27:$B$44,MATCH($E4689,Setup!$A$27:$A$44,0)),"TBD"))</f>
        <v/>
      </c>
      <c r="G4689" s="32"/>
      <c r="H4689" s="32"/>
      <c r="I4689" s="32"/>
      <c r="J4689" s="32"/>
      <c r="K4689" s="35"/>
      <c r="L4689" s="32"/>
      <c r="M4689" s="32"/>
    </row>
    <row r="4690" customFormat="false" ht="15" hidden="false" customHeight="true" outlineLevel="0" collapsed="false">
      <c r="A4690" s="32"/>
      <c r="B4690" s="32"/>
      <c r="C4690" s="32"/>
      <c r="D4690" s="32"/>
      <c r="E4690" s="34" t="str">
        <f aca="false">IF($B4690="","",IF($B4690="OUT","Liters",IFERROR(INDEX(Setup!$F$3:$F$24,MATCH($C4690,Setup!$A$3:$A$24,0)),"")))</f>
        <v/>
      </c>
      <c r="F4690" s="28" t="str">
        <f aca="false">IF(OR($D4690="",$E4690=""),"",IFERROR($D4690*INDEX(Setup!$B$27:$B$44,MATCH($E4690,Setup!$A$27:$A$44,0)),"TBD"))</f>
        <v/>
      </c>
      <c r="G4690" s="32"/>
      <c r="H4690" s="32"/>
      <c r="I4690" s="32"/>
      <c r="J4690" s="32"/>
      <c r="K4690" s="35"/>
      <c r="L4690" s="32"/>
      <c r="M4690" s="32"/>
    </row>
    <row r="4691" customFormat="false" ht="15" hidden="false" customHeight="true" outlineLevel="0" collapsed="false">
      <c r="A4691" s="32"/>
      <c r="B4691" s="32"/>
      <c r="C4691" s="32"/>
      <c r="D4691" s="32"/>
      <c r="E4691" s="34" t="str">
        <f aca="false">IF($B4691="","",IF($B4691="OUT","Liters",IFERROR(INDEX(Setup!$F$3:$F$24,MATCH($C4691,Setup!$A$3:$A$24,0)),"")))</f>
        <v/>
      </c>
      <c r="F4691" s="28" t="str">
        <f aca="false">IF(OR($D4691="",$E4691=""),"",IFERROR($D4691*INDEX(Setup!$B$27:$B$44,MATCH($E4691,Setup!$A$27:$A$44,0)),"TBD"))</f>
        <v/>
      </c>
      <c r="G4691" s="32"/>
      <c r="H4691" s="32"/>
      <c r="I4691" s="32"/>
      <c r="J4691" s="32"/>
      <c r="K4691" s="35"/>
      <c r="L4691" s="32"/>
      <c r="M4691" s="32"/>
    </row>
    <row r="4692" customFormat="false" ht="15" hidden="false" customHeight="true" outlineLevel="0" collapsed="false">
      <c r="A4692" s="32"/>
      <c r="B4692" s="32"/>
      <c r="C4692" s="32"/>
      <c r="D4692" s="32"/>
      <c r="E4692" s="34" t="str">
        <f aca="false">IF($B4692="","",IF($B4692="OUT","Liters",IFERROR(INDEX(Setup!$F$3:$F$24,MATCH($C4692,Setup!$A$3:$A$24,0)),"")))</f>
        <v/>
      </c>
      <c r="F4692" s="28" t="str">
        <f aca="false">IF(OR($D4692="",$E4692=""),"",IFERROR($D4692*INDEX(Setup!$B$27:$B$44,MATCH($E4692,Setup!$A$27:$A$44,0)),"TBD"))</f>
        <v/>
      </c>
      <c r="G4692" s="32"/>
      <c r="H4692" s="32"/>
      <c r="I4692" s="32"/>
      <c r="J4692" s="32"/>
      <c r="K4692" s="35"/>
      <c r="L4692" s="32"/>
      <c r="M4692" s="32"/>
    </row>
    <row r="4693" customFormat="false" ht="15" hidden="false" customHeight="true" outlineLevel="0" collapsed="false">
      <c r="A4693" s="32"/>
      <c r="B4693" s="32"/>
      <c r="C4693" s="32"/>
      <c r="D4693" s="32"/>
      <c r="E4693" s="34" t="str">
        <f aca="false">IF($B4693="","",IF($B4693="OUT","Liters",IFERROR(INDEX(Setup!$F$3:$F$24,MATCH($C4693,Setup!$A$3:$A$24,0)),"")))</f>
        <v/>
      </c>
      <c r="F4693" s="28" t="str">
        <f aca="false">IF(OR($D4693="",$E4693=""),"",IFERROR($D4693*INDEX(Setup!$B$27:$B$44,MATCH($E4693,Setup!$A$27:$A$44,0)),"TBD"))</f>
        <v/>
      </c>
      <c r="G4693" s="32"/>
      <c r="H4693" s="32"/>
      <c r="I4693" s="32"/>
      <c r="J4693" s="32"/>
      <c r="K4693" s="35"/>
      <c r="L4693" s="32"/>
      <c r="M4693" s="32"/>
    </row>
    <row r="4694" customFormat="false" ht="15" hidden="false" customHeight="true" outlineLevel="0" collapsed="false">
      <c r="A4694" s="32"/>
      <c r="B4694" s="32"/>
      <c r="C4694" s="32"/>
      <c r="D4694" s="32"/>
      <c r="E4694" s="34" t="str">
        <f aca="false">IF($B4694="","",IF($B4694="OUT","Liters",IFERROR(INDEX(Setup!$F$3:$F$24,MATCH($C4694,Setup!$A$3:$A$24,0)),"")))</f>
        <v/>
      </c>
      <c r="F4694" s="28" t="str">
        <f aca="false">IF(OR($D4694="",$E4694=""),"",IFERROR($D4694*INDEX(Setup!$B$27:$B$44,MATCH($E4694,Setup!$A$27:$A$44,0)),"TBD"))</f>
        <v/>
      </c>
      <c r="G4694" s="32"/>
      <c r="H4694" s="32"/>
      <c r="I4694" s="32"/>
      <c r="J4694" s="32"/>
      <c r="K4694" s="35"/>
      <c r="L4694" s="32"/>
      <c r="M4694" s="32"/>
    </row>
    <row r="4695" customFormat="false" ht="15" hidden="false" customHeight="true" outlineLevel="0" collapsed="false">
      <c r="A4695" s="32"/>
      <c r="B4695" s="32"/>
      <c r="C4695" s="32"/>
      <c r="D4695" s="32"/>
      <c r="E4695" s="34" t="str">
        <f aca="false">IF($B4695="","",IF($B4695="OUT","Liters",IFERROR(INDEX(Setup!$F$3:$F$24,MATCH($C4695,Setup!$A$3:$A$24,0)),"")))</f>
        <v/>
      </c>
      <c r="F4695" s="28" t="str">
        <f aca="false">IF(OR($D4695="",$E4695=""),"",IFERROR($D4695*INDEX(Setup!$B$27:$B$44,MATCH($E4695,Setup!$A$27:$A$44,0)),"TBD"))</f>
        <v/>
      </c>
      <c r="G4695" s="32"/>
      <c r="H4695" s="32"/>
      <c r="I4695" s="32"/>
      <c r="J4695" s="32"/>
      <c r="K4695" s="35"/>
      <c r="L4695" s="32"/>
      <c r="M4695" s="32"/>
    </row>
    <row r="4696" customFormat="false" ht="15" hidden="false" customHeight="true" outlineLevel="0" collapsed="false">
      <c r="A4696" s="32"/>
      <c r="B4696" s="32"/>
      <c r="C4696" s="32"/>
      <c r="D4696" s="32"/>
      <c r="E4696" s="34" t="str">
        <f aca="false">IF($B4696="","",IF($B4696="OUT","Liters",IFERROR(INDEX(Setup!$F$3:$F$24,MATCH($C4696,Setup!$A$3:$A$24,0)),"")))</f>
        <v/>
      </c>
      <c r="F4696" s="28" t="str">
        <f aca="false">IF(OR($D4696="",$E4696=""),"",IFERROR($D4696*INDEX(Setup!$B$27:$B$44,MATCH($E4696,Setup!$A$27:$A$44,0)),"TBD"))</f>
        <v/>
      </c>
      <c r="G4696" s="32"/>
      <c r="H4696" s="32"/>
      <c r="I4696" s="32"/>
      <c r="J4696" s="32"/>
      <c r="K4696" s="35"/>
      <c r="L4696" s="32"/>
      <c r="M4696" s="32"/>
    </row>
    <row r="4697" customFormat="false" ht="15" hidden="false" customHeight="true" outlineLevel="0" collapsed="false">
      <c r="A4697" s="32"/>
      <c r="B4697" s="32"/>
      <c r="C4697" s="32"/>
      <c r="D4697" s="32"/>
      <c r="E4697" s="34" t="str">
        <f aca="false">IF($B4697="","",IF($B4697="OUT","Liters",IFERROR(INDEX(Setup!$F$3:$F$24,MATCH($C4697,Setup!$A$3:$A$24,0)),"")))</f>
        <v/>
      </c>
      <c r="F4697" s="28" t="str">
        <f aca="false">IF(OR($D4697="",$E4697=""),"",IFERROR($D4697*INDEX(Setup!$B$27:$B$44,MATCH($E4697,Setup!$A$27:$A$44,0)),"TBD"))</f>
        <v/>
      </c>
      <c r="G4697" s="32"/>
      <c r="H4697" s="32"/>
      <c r="I4697" s="32"/>
      <c r="J4697" s="32"/>
      <c r="K4697" s="35"/>
      <c r="L4697" s="32"/>
      <c r="M4697" s="32"/>
    </row>
    <row r="4698" customFormat="false" ht="15" hidden="false" customHeight="true" outlineLevel="0" collapsed="false">
      <c r="A4698" s="32"/>
      <c r="B4698" s="32"/>
      <c r="C4698" s="32"/>
      <c r="D4698" s="32"/>
      <c r="E4698" s="34" t="str">
        <f aca="false">IF($B4698="","",IF($B4698="OUT","Liters",IFERROR(INDEX(Setup!$F$3:$F$24,MATCH($C4698,Setup!$A$3:$A$24,0)),"")))</f>
        <v/>
      </c>
      <c r="F4698" s="28" t="str">
        <f aca="false">IF(OR($D4698="",$E4698=""),"",IFERROR($D4698*INDEX(Setup!$B$27:$B$44,MATCH($E4698,Setup!$A$27:$A$44,0)),"TBD"))</f>
        <v/>
      </c>
      <c r="G4698" s="32"/>
      <c r="H4698" s="32"/>
      <c r="I4698" s="32"/>
      <c r="J4698" s="32"/>
      <c r="K4698" s="35"/>
      <c r="L4698" s="32"/>
      <c r="M4698" s="32"/>
    </row>
    <row r="4699" customFormat="false" ht="15" hidden="false" customHeight="true" outlineLevel="0" collapsed="false">
      <c r="A4699" s="32"/>
      <c r="B4699" s="32"/>
      <c r="C4699" s="32"/>
      <c r="D4699" s="32"/>
      <c r="E4699" s="34" t="str">
        <f aca="false">IF($B4699="","",IF($B4699="OUT","Liters",IFERROR(INDEX(Setup!$F$3:$F$24,MATCH($C4699,Setup!$A$3:$A$24,0)),"")))</f>
        <v/>
      </c>
      <c r="F4699" s="28" t="str">
        <f aca="false">IF(OR($D4699="",$E4699=""),"",IFERROR($D4699*INDEX(Setup!$B$27:$B$44,MATCH($E4699,Setup!$A$27:$A$44,0)),"TBD"))</f>
        <v/>
      </c>
      <c r="G4699" s="32"/>
      <c r="H4699" s="32"/>
      <c r="I4699" s="32"/>
      <c r="J4699" s="32"/>
      <c r="K4699" s="35"/>
      <c r="L4699" s="32"/>
      <c r="M4699" s="32"/>
    </row>
    <row r="4700" customFormat="false" ht="15" hidden="false" customHeight="true" outlineLevel="0" collapsed="false">
      <c r="A4700" s="32"/>
      <c r="B4700" s="32"/>
      <c r="C4700" s="32"/>
      <c r="D4700" s="32"/>
      <c r="E4700" s="34" t="str">
        <f aca="false">IF($B4700="","",IF($B4700="OUT","Liters",IFERROR(INDEX(Setup!$F$3:$F$24,MATCH($C4700,Setup!$A$3:$A$24,0)),"")))</f>
        <v/>
      </c>
      <c r="F4700" s="28" t="str">
        <f aca="false">IF(OR($D4700="",$E4700=""),"",IFERROR($D4700*INDEX(Setup!$B$27:$B$44,MATCH($E4700,Setup!$A$27:$A$44,0)),"TBD"))</f>
        <v/>
      </c>
      <c r="G4700" s="32"/>
      <c r="H4700" s="32"/>
      <c r="I4700" s="32"/>
      <c r="J4700" s="32"/>
      <c r="K4700" s="35"/>
      <c r="L4700" s="32"/>
      <c r="M4700" s="32"/>
    </row>
    <row r="4701" customFormat="false" ht="15" hidden="false" customHeight="true" outlineLevel="0" collapsed="false">
      <c r="A4701" s="32"/>
      <c r="B4701" s="32"/>
      <c r="C4701" s="32"/>
      <c r="D4701" s="32"/>
      <c r="E4701" s="34" t="str">
        <f aca="false">IF($B4701="","",IF($B4701="OUT","Liters",IFERROR(INDEX(Setup!$F$3:$F$24,MATCH($C4701,Setup!$A$3:$A$24,0)),"")))</f>
        <v/>
      </c>
      <c r="F4701" s="28" t="str">
        <f aca="false">IF(OR($D4701="",$E4701=""),"",IFERROR($D4701*INDEX(Setup!$B$27:$B$44,MATCH($E4701,Setup!$A$27:$A$44,0)),"TBD"))</f>
        <v/>
      </c>
      <c r="G4701" s="32"/>
      <c r="H4701" s="32"/>
      <c r="I4701" s="32"/>
      <c r="J4701" s="32"/>
      <c r="K4701" s="35"/>
      <c r="L4701" s="32"/>
      <c r="M4701" s="32"/>
    </row>
    <row r="4702" customFormat="false" ht="15" hidden="false" customHeight="true" outlineLevel="0" collapsed="false">
      <c r="A4702" s="32"/>
      <c r="B4702" s="32"/>
      <c r="C4702" s="32"/>
      <c r="D4702" s="32"/>
      <c r="E4702" s="34" t="str">
        <f aca="false">IF($B4702="","",IF($B4702="OUT","Liters",IFERROR(INDEX(Setup!$F$3:$F$24,MATCH($C4702,Setup!$A$3:$A$24,0)),"")))</f>
        <v/>
      </c>
      <c r="F4702" s="28" t="str">
        <f aca="false">IF(OR($D4702="",$E4702=""),"",IFERROR($D4702*INDEX(Setup!$B$27:$B$44,MATCH($E4702,Setup!$A$27:$A$44,0)),"TBD"))</f>
        <v/>
      </c>
      <c r="G4702" s="32"/>
      <c r="H4702" s="32"/>
      <c r="I4702" s="32"/>
      <c r="J4702" s="32"/>
      <c r="K4702" s="35"/>
      <c r="L4702" s="32"/>
      <c r="M4702" s="32"/>
    </row>
    <row r="4703" customFormat="false" ht="15" hidden="false" customHeight="true" outlineLevel="0" collapsed="false">
      <c r="A4703" s="32"/>
      <c r="B4703" s="32"/>
      <c r="C4703" s="32"/>
      <c r="D4703" s="32"/>
      <c r="E4703" s="34" t="str">
        <f aca="false">IF($B4703="","",IF($B4703="OUT","Liters",IFERROR(INDEX(Setup!$F$3:$F$24,MATCH($C4703,Setup!$A$3:$A$24,0)),"")))</f>
        <v/>
      </c>
      <c r="F4703" s="28" t="str">
        <f aca="false">IF(OR($D4703="",$E4703=""),"",IFERROR($D4703*INDEX(Setup!$B$27:$B$44,MATCH($E4703,Setup!$A$27:$A$44,0)),"TBD"))</f>
        <v/>
      </c>
      <c r="G4703" s="32"/>
      <c r="H4703" s="32"/>
      <c r="I4703" s="32"/>
      <c r="J4703" s="32"/>
      <c r="K4703" s="35"/>
      <c r="L4703" s="32"/>
      <c r="M4703" s="32"/>
    </row>
    <row r="4704" customFormat="false" ht="15" hidden="false" customHeight="true" outlineLevel="0" collapsed="false">
      <c r="A4704" s="32"/>
      <c r="B4704" s="32"/>
      <c r="C4704" s="32"/>
      <c r="D4704" s="32"/>
      <c r="E4704" s="34" t="str">
        <f aca="false">IF($B4704="","",IF($B4704="OUT","Liters",IFERROR(INDEX(Setup!$F$3:$F$24,MATCH($C4704,Setup!$A$3:$A$24,0)),"")))</f>
        <v/>
      </c>
      <c r="F4704" s="28" t="str">
        <f aca="false">IF(OR($D4704="",$E4704=""),"",IFERROR($D4704*INDEX(Setup!$B$27:$B$44,MATCH($E4704,Setup!$A$27:$A$44,0)),"TBD"))</f>
        <v/>
      </c>
      <c r="G4704" s="32"/>
      <c r="H4704" s="32"/>
      <c r="I4704" s="32"/>
      <c r="J4704" s="32"/>
      <c r="K4704" s="35"/>
      <c r="L4704" s="32"/>
      <c r="M4704" s="32"/>
    </row>
    <row r="4705" customFormat="false" ht="15" hidden="false" customHeight="true" outlineLevel="0" collapsed="false">
      <c r="A4705" s="32"/>
      <c r="B4705" s="32"/>
      <c r="C4705" s="32"/>
      <c r="D4705" s="32"/>
      <c r="E4705" s="34" t="str">
        <f aca="false">IF($B4705="","",IF($B4705="OUT","Liters",IFERROR(INDEX(Setup!$F$3:$F$24,MATCH($C4705,Setup!$A$3:$A$24,0)),"")))</f>
        <v/>
      </c>
      <c r="F4705" s="28" t="str">
        <f aca="false">IF(OR($D4705="",$E4705=""),"",IFERROR($D4705*INDEX(Setup!$B$27:$B$44,MATCH($E4705,Setup!$A$27:$A$44,0)),"TBD"))</f>
        <v/>
      </c>
      <c r="G4705" s="32"/>
      <c r="H4705" s="32"/>
      <c r="I4705" s="32"/>
      <c r="J4705" s="32"/>
      <c r="K4705" s="35"/>
      <c r="L4705" s="32"/>
      <c r="M4705" s="32"/>
    </row>
    <row r="4706" customFormat="false" ht="15" hidden="false" customHeight="true" outlineLevel="0" collapsed="false">
      <c r="A4706" s="32"/>
      <c r="B4706" s="32"/>
      <c r="C4706" s="32"/>
      <c r="D4706" s="32"/>
      <c r="E4706" s="34" t="str">
        <f aca="false">IF($B4706="","",IF($B4706="OUT","Liters",IFERROR(INDEX(Setup!$F$3:$F$24,MATCH($C4706,Setup!$A$3:$A$24,0)),"")))</f>
        <v/>
      </c>
      <c r="F4706" s="28" t="str">
        <f aca="false">IF(OR($D4706="",$E4706=""),"",IFERROR($D4706*INDEX(Setup!$B$27:$B$44,MATCH($E4706,Setup!$A$27:$A$44,0)),"TBD"))</f>
        <v/>
      </c>
      <c r="G4706" s="32"/>
      <c r="H4706" s="32"/>
      <c r="I4706" s="32"/>
      <c r="J4706" s="32"/>
      <c r="K4706" s="35"/>
      <c r="L4706" s="32"/>
      <c r="M4706" s="32"/>
    </row>
    <row r="4707" customFormat="false" ht="15" hidden="false" customHeight="true" outlineLevel="0" collapsed="false">
      <c r="A4707" s="32"/>
      <c r="B4707" s="32"/>
      <c r="C4707" s="32"/>
      <c r="D4707" s="32"/>
      <c r="E4707" s="34" t="str">
        <f aca="false">IF($B4707="","",IF($B4707="OUT","Liters",IFERROR(INDEX(Setup!$F$3:$F$24,MATCH($C4707,Setup!$A$3:$A$24,0)),"")))</f>
        <v/>
      </c>
      <c r="F4707" s="28" t="str">
        <f aca="false">IF(OR($D4707="",$E4707=""),"",IFERROR($D4707*INDEX(Setup!$B$27:$B$44,MATCH($E4707,Setup!$A$27:$A$44,0)),"TBD"))</f>
        <v/>
      </c>
      <c r="G4707" s="32"/>
      <c r="H4707" s="32"/>
      <c r="I4707" s="32"/>
      <c r="J4707" s="32"/>
      <c r="K4707" s="35"/>
      <c r="L4707" s="32"/>
      <c r="M4707" s="32"/>
    </row>
    <row r="4708" customFormat="false" ht="15" hidden="false" customHeight="true" outlineLevel="0" collapsed="false">
      <c r="A4708" s="32"/>
      <c r="B4708" s="32"/>
      <c r="C4708" s="32"/>
      <c r="D4708" s="32"/>
      <c r="E4708" s="34" t="str">
        <f aca="false">IF($B4708="","",IF($B4708="OUT","Liters",IFERROR(INDEX(Setup!$F$3:$F$24,MATCH($C4708,Setup!$A$3:$A$24,0)),"")))</f>
        <v/>
      </c>
      <c r="F4708" s="28" t="str">
        <f aca="false">IF(OR($D4708="",$E4708=""),"",IFERROR($D4708*INDEX(Setup!$B$27:$B$44,MATCH($E4708,Setup!$A$27:$A$44,0)),"TBD"))</f>
        <v/>
      </c>
      <c r="G4708" s="32"/>
      <c r="H4708" s="32"/>
      <c r="I4708" s="32"/>
      <c r="J4708" s="32"/>
      <c r="K4708" s="35"/>
      <c r="L4708" s="32"/>
      <c r="M4708" s="32"/>
    </row>
    <row r="4709" customFormat="false" ht="15" hidden="false" customHeight="true" outlineLevel="0" collapsed="false">
      <c r="A4709" s="32"/>
      <c r="B4709" s="32"/>
      <c r="C4709" s="32"/>
      <c r="D4709" s="32"/>
      <c r="E4709" s="34" t="str">
        <f aca="false">IF($B4709="","",IF($B4709="OUT","Liters",IFERROR(INDEX(Setup!$F$3:$F$24,MATCH($C4709,Setup!$A$3:$A$24,0)),"")))</f>
        <v/>
      </c>
      <c r="F4709" s="28" t="str">
        <f aca="false">IF(OR($D4709="",$E4709=""),"",IFERROR($D4709*INDEX(Setup!$B$27:$B$44,MATCH($E4709,Setup!$A$27:$A$44,0)),"TBD"))</f>
        <v/>
      </c>
      <c r="G4709" s="32"/>
      <c r="H4709" s="32"/>
      <c r="I4709" s="32"/>
      <c r="J4709" s="32"/>
      <c r="K4709" s="35"/>
      <c r="L4709" s="32"/>
      <c r="M4709" s="32"/>
    </row>
    <row r="4710" customFormat="false" ht="15" hidden="false" customHeight="true" outlineLevel="0" collapsed="false">
      <c r="A4710" s="32"/>
      <c r="B4710" s="32"/>
      <c r="C4710" s="32"/>
      <c r="D4710" s="32"/>
      <c r="E4710" s="34" t="str">
        <f aca="false">IF($B4710="","",IF($B4710="OUT","Liters",IFERROR(INDEX(Setup!$F$3:$F$24,MATCH($C4710,Setup!$A$3:$A$24,0)),"")))</f>
        <v/>
      </c>
      <c r="F4710" s="28" t="str">
        <f aca="false">IF(OR($D4710="",$E4710=""),"",IFERROR($D4710*INDEX(Setup!$B$27:$B$44,MATCH($E4710,Setup!$A$27:$A$44,0)),"TBD"))</f>
        <v/>
      </c>
      <c r="G4710" s="32"/>
      <c r="H4710" s="32"/>
      <c r="I4710" s="32"/>
      <c r="J4710" s="32"/>
      <c r="K4710" s="35"/>
      <c r="L4710" s="32"/>
      <c r="M4710" s="32"/>
    </row>
    <row r="4711" customFormat="false" ht="15" hidden="false" customHeight="true" outlineLevel="0" collapsed="false">
      <c r="A4711" s="32"/>
      <c r="B4711" s="32"/>
      <c r="C4711" s="32"/>
      <c r="D4711" s="32"/>
      <c r="E4711" s="34" t="str">
        <f aca="false">IF($B4711="","",IF($B4711="OUT","Liters",IFERROR(INDEX(Setup!$F$3:$F$24,MATCH($C4711,Setup!$A$3:$A$24,0)),"")))</f>
        <v/>
      </c>
      <c r="F4711" s="28" t="str">
        <f aca="false">IF(OR($D4711="",$E4711=""),"",IFERROR($D4711*INDEX(Setup!$B$27:$B$44,MATCH($E4711,Setup!$A$27:$A$44,0)),"TBD"))</f>
        <v/>
      </c>
      <c r="G4711" s="32"/>
      <c r="H4711" s="32"/>
      <c r="I4711" s="32"/>
      <c r="J4711" s="32"/>
      <c r="K4711" s="35"/>
      <c r="L4711" s="32"/>
      <c r="M4711" s="32"/>
    </row>
    <row r="4712" customFormat="false" ht="15" hidden="false" customHeight="true" outlineLevel="0" collapsed="false">
      <c r="A4712" s="32"/>
      <c r="B4712" s="32"/>
      <c r="C4712" s="32"/>
      <c r="D4712" s="32"/>
      <c r="E4712" s="34" t="str">
        <f aca="false">IF($B4712="","",IF($B4712="OUT","Liters",IFERROR(INDEX(Setup!$F$3:$F$24,MATCH($C4712,Setup!$A$3:$A$24,0)),"")))</f>
        <v/>
      </c>
      <c r="F4712" s="28" t="str">
        <f aca="false">IF(OR($D4712="",$E4712=""),"",IFERROR($D4712*INDEX(Setup!$B$27:$B$44,MATCH($E4712,Setup!$A$27:$A$44,0)),"TBD"))</f>
        <v/>
      </c>
      <c r="G4712" s="32"/>
      <c r="H4712" s="32"/>
      <c r="I4712" s="32"/>
      <c r="J4712" s="32"/>
      <c r="K4712" s="35"/>
      <c r="L4712" s="32"/>
      <c r="M4712" s="32"/>
    </row>
    <row r="4713" customFormat="false" ht="15" hidden="false" customHeight="true" outlineLevel="0" collapsed="false">
      <c r="A4713" s="32"/>
      <c r="B4713" s="32"/>
      <c r="C4713" s="32"/>
      <c r="D4713" s="32"/>
      <c r="E4713" s="34" t="str">
        <f aca="false">IF($B4713="","",IF($B4713="OUT","Liters",IFERROR(INDEX(Setup!$F$3:$F$24,MATCH($C4713,Setup!$A$3:$A$24,0)),"")))</f>
        <v/>
      </c>
      <c r="F4713" s="28" t="str">
        <f aca="false">IF(OR($D4713="",$E4713=""),"",IFERROR($D4713*INDEX(Setup!$B$27:$B$44,MATCH($E4713,Setup!$A$27:$A$44,0)),"TBD"))</f>
        <v/>
      </c>
      <c r="G4713" s="32"/>
      <c r="H4713" s="32"/>
      <c r="I4713" s="32"/>
      <c r="J4713" s="32"/>
      <c r="K4713" s="35"/>
      <c r="L4713" s="32"/>
      <c r="M4713" s="32"/>
    </row>
    <row r="4714" customFormat="false" ht="15" hidden="false" customHeight="true" outlineLevel="0" collapsed="false">
      <c r="A4714" s="32"/>
      <c r="B4714" s="32"/>
      <c r="C4714" s="32"/>
      <c r="D4714" s="32"/>
      <c r="E4714" s="34" t="str">
        <f aca="false">IF($B4714="","",IF($B4714="OUT","Liters",IFERROR(INDEX(Setup!$F$3:$F$24,MATCH($C4714,Setup!$A$3:$A$24,0)),"")))</f>
        <v/>
      </c>
      <c r="F4714" s="28" t="str">
        <f aca="false">IF(OR($D4714="",$E4714=""),"",IFERROR($D4714*INDEX(Setup!$B$27:$B$44,MATCH($E4714,Setup!$A$27:$A$44,0)),"TBD"))</f>
        <v/>
      </c>
      <c r="G4714" s="32"/>
      <c r="H4714" s="32"/>
      <c r="I4714" s="32"/>
      <c r="J4714" s="32"/>
      <c r="K4714" s="35"/>
      <c r="L4714" s="32"/>
      <c r="M4714" s="32"/>
    </row>
    <row r="4715" customFormat="false" ht="15" hidden="false" customHeight="true" outlineLevel="0" collapsed="false">
      <c r="A4715" s="32"/>
      <c r="B4715" s="32"/>
      <c r="C4715" s="32"/>
      <c r="D4715" s="32"/>
      <c r="E4715" s="34" t="str">
        <f aca="false">IF($B4715="","",IF($B4715="OUT","Liters",IFERROR(INDEX(Setup!$F$3:$F$24,MATCH($C4715,Setup!$A$3:$A$24,0)),"")))</f>
        <v/>
      </c>
      <c r="F4715" s="28" t="str">
        <f aca="false">IF(OR($D4715="",$E4715=""),"",IFERROR($D4715*INDEX(Setup!$B$27:$B$44,MATCH($E4715,Setup!$A$27:$A$44,0)),"TBD"))</f>
        <v/>
      </c>
      <c r="G4715" s="32"/>
      <c r="H4715" s="32"/>
      <c r="I4715" s="32"/>
      <c r="J4715" s="32"/>
      <c r="K4715" s="35"/>
      <c r="L4715" s="32"/>
      <c r="M4715" s="32"/>
    </row>
    <row r="4716" customFormat="false" ht="15" hidden="false" customHeight="true" outlineLevel="0" collapsed="false">
      <c r="A4716" s="32"/>
      <c r="B4716" s="32"/>
      <c r="C4716" s="32"/>
      <c r="D4716" s="32"/>
      <c r="E4716" s="34" t="str">
        <f aca="false">IF($B4716="","",IF($B4716="OUT","Liters",IFERROR(INDEX(Setup!$F$3:$F$24,MATCH($C4716,Setup!$A$3:$A$24,0)),"")))</f>
        <v/>
      </c>
      <c r="F4716" s="28" t="str">
        <f aca="false">IF(OR($D4716="",$E4716=""),"",IFERROR($D4716*INDEX(Setup!$B$27:$B$44,MATCH($E4716,Setup!$A$27:$A$44,0)),"TBD"))</f>
        <v/>
      </c>
      <c r="G4716" s="32"/>
      <c r="H4716" s="32"/>
      <c r="I4716" s="32"/>
      <c r="J4716" s="32"/>
      <c r="K4716" s="35"/>
      <c r="L4716" s="32"/>
      <c r="M4716" s="32"/>
    </row>
    <row r="4717" customFormat="false" ht="15" hidden="false" customHeight="true" outlineLevel="0" collapsed="false">
      <c r="A4717" s="32"/>
      <c r="B4717" s="32"/>
      <c r="C4717" s="32"/>
      <c r="D4717" s="32"/>
      <c r="E4717" s="34" t="str">
        <f aca="false">IF($B4717="","",IF($B4717="OUT","Liters",IFERROR(INDEX(Setup!$F$3:$F$24,MATCH($C4717,Setup!$A$3:$A$24,0)),"")))</f>
        <v/>
      </c>
      <c r="F4717" s="28" t="str">
        <f aca="false">IF(OR($D4717="",$E4717=""),"",IFERROR($D4717*INDEX(Setup!$B$27:$B$44,MATCH($E4717,Setup!$A$27:$A$44,0)),"TBD"))</f>
        <v/>
      </c>
      <c r="G4717" s="32"/>
      <c r="H4717" s="32"/>
      <c r="I4717" s="32"/>
      <c r="J4717" s="32"/>
      <c r="K4717" s="35"/>
      <c r="L4717" s="32"/>
      <c r="M4717" s="32"/>
    </row>
    <row r="4718" customFormat="false" ht="15" hidden="false" customHeight="true" outlineLevel="0" collapsed="false">
      <c r="A4718" s="32"/>
      <c r="B4718" s="32"/>
      <c r="C4718" s="32"/>
      <c r="D4718" s="32"/>
      <c r="E4718" s="34" t="str">
        <f aca="false">IF($B4718="","",IF($B4718="OUT","Liters",IFERROR(INDEX(Setup!$F$3:$F$24,MATCH($C4718,Setup!$A$3:$A$24,0)),"")))</f>
        <v/>
      </c>
      <c r="F4718" s="28" t="str">
        <f aca="false">IF(OR($D4718="",$E4718=""),"",IFERROR($D4718*INDEX(Setup!$B$27:$B$44,MATCH($E4718,Setup!$A$27:$A$44,0)),"TBD"))</f>
        <v/>
      </c>
      <c r="G4718" s="32"/>
      <c r="H4718" s="32"/>
      <c r="I4718" s="32"/>
      <c r="J4718" s="32"/>
      <c r="K4718" s="35"/>
      <c r="L4718" s="32"/>
      <c r="M4718" s="32"/>
    </row>
    <row r="4719" customFormat="false" ht="15" hidden="false" customHeight="true" outlineLevel="0" collapsed="false">
      <c r="A4719" s="32"/>
      <c r="B4719" s="32"/>
      <c r="C4719" s="32"/>
      <c r="D4719" s="32"/>
      <c r="E4719" s="34" t="str">
        <f aca="false">IF($B4719="","",IF($B4719="OUT","Liters",IFERROR(INDEX(Setup!$F$3:$F$24,MATCH($C4719,Setup!$A$3:$A$24,0)),"")))</f>
        <v/>
      </c>
      <c r="F4719" s="28" t="str">
        <f aca="false">IF(OR($D4719="",$E4719=""),"",IFERROR($D4719*INDEX(Setup!$B$27:$B$44,MATCH($E4719,Setup!$A$27:$A$44,0)),"TBD"))</f>
        <v/>
      </c>
      <c r="G4719" s="32"/>
      <c r="H4719" s="32"/>
      <c r="I4719" s="32"/>
      <c r="J4719" s="32"/>
      <c r="K4719" s="35"/>
      <c r="L4719" s="32"/>
      <c r="M4719" s="32"/>
    </row>
    <row r="4720" customFormat="false" ht="15" hidden="false" customHeight="true" outlineLevel="0" collapsed="false">
      <c r="A4720" s="32"/>
      <c r="B4720" s="32"/>
      <c r="C4720" s="32"/>
      <c r="D4720" s="32"/>
      <c r="E4720" s="34" t="str">
        <f aca="false">IF($B4720="","",IF($B4720="OUT","Liters",IFERROR(INDEX(Setup!$F$3:$F$24,MATCH($C4720,Setup!$A$3:$A$24,0)),"")))</f>
        <v/>
      </c>
      <c r="F4720" s="28" t="str">
        <f aca="false">IF(OR($D4720="",$E4720=""),"",IFERROR($D4720*INDEX(Setup!$B$27:$B$44,MATCH($E4720,Setup!$A$27:$A$44,0)),"TBD"))</f>
        <v/>
      </c>
      <c r="G4720" s="32"/>
      <c r="H4720" s="32"/>
      <c r="I4720" s="32"/>
      <c r="J4720" s="32"/>
      <c r="K4720" s="35"/>
      <c r="L4720" s="32"/>
      <c r="M4720" s="32"/>
    </row>
    <row r="4721" customFormat="false" ht="15" hidden="false" customHeight="true" outlineLevel="0" collapsed="false">
      <c r="A4721" s="32"/>
      <c r="B4721" s="32"/>
      <c r="C4721" s="32"/>
      <c r="D4721" s="32"/>
      <c r="E4721" s="34" t="str">
        <f aca="false">IF($B4721="","",IF($B4721="OUT","Liters",IFERROR(INDEX(Setup!$F$3:$F$24,MATCH($C4721,Setup!$A$3:$A$24,0)),"")))</f>
        <v/>
      </c>
      <c r="F4721" s="28" t="str">
        <f aca="false">IF(OR($D4721="",$E4721=""),"",IFERROR($D4721*INDEX(Setup!$B$27:$B$44,MATCH($E4721,Setup!$A$27:$A$44,0)),"TBD"))</f>
        <v/>
      </c>
      <c r="G4721" s="32"/>
      <c r="H4721" s="32"/>
      <c r="I4721" s="32"/>
      <c r="J4721" s="32"/>
      <c r="K4721" s="35"/>
      <c r="L4721" s="32"/>
      <c r="M4721" s="32"/>
    </row>
    <row r="4722" customFormat="false" ht="15" hidden="false" customHeight="true" outlineLevel="0" collapsed="false">
      <c r="A4722" s="32"/>
      <c r="B4722" s="32"/>
      <c r="C4722" s="32"/>
      <c r="D4722" s="32"/>
      <c r="E4722" s="34" t="str">
        <f aca="false">IF($B4722="","",IF($B4722="OUT","Liters",IFERROR(INDEX(Setup!$F$3:$F$24,MATCH($C4722,Setup!$A$3:$A$24,0)),"")))</f>
        <v/>
      </c>
      <c r="F4722" s="28" t="str">
        <f aca="false">IF(OR($D4722="",$E4722=""),"",IFERROR($D4722*INDEX(Setup!$B$27:$B$44,MATCH($E4722,Setup!$A$27:$A$44,0)),"TBD"))</f>
        <v/>
      </c>
      <c r="G4722" s="32"/>
      <c r="H4722" s="32"/>
      <c r="I4722" s="32"/>
      <c r="J4722" s="32"/>
      <c r="K4722" s="35"/>
      <c r="L4722" s="32"/>
      <c r="M4722" s="32"/>
    </row>
    <row r="4723" customFormat="false" ht="15" hidden="false" customHeight="true" outlineLevel="0" collapsed="false">
      <c r="A4723" s="32"/>
      <c r="B4723" s="32"/>
      <c r="C4723" s="32"/>
      <c r="D4723" s="32"/>
      <c r="E4723" s="34" t="str">
        <f aca="false">IF($B4723="","",IF($B4723="OUT","Liters",IFERROR(INDEX(Setup!$F$3:$F$24,MATCH($C4723,Setup!$A$3:$A$24,0)),"")))</f>
        <v/>
      </c>
      <c r="F4723" s="28" t="str">
        <f aca="false">IF(OR($D4723="",$E4723=""),"",IFERROR($D4723*INDEX(Setup!$B$27:$B$44,MATCH($E4723,Setup!$A$27:$A$44,0)),"TBD"))</f>
        <v/>
      </c>
      <c r="G4723" s="32"/>
      <c r="H4723" s="32"/>
      <c r="I4723" s="32"/>
      <c r="J4723" s="32"/>
      <c r="K4723" s="35"/>
      <c r="L4723" s="32"/>
      <c r="M4723" s="32"/>
    </row>
    <row r="4724" customFormat="false" ht="15" hidden="false" customHeight="true" outlineLevel="0" collapsed="false">
      <c r="A4724" s="32"/>
      <c r="B4724" s="32"/>
      <c r="C4724" s="32"/>
      <c r="D4724" s="32"/>
      <c r="E4724" s="34" t="str">
        <f aca="false">IF($B4724="","",IF($B4724="OUT","Liters",IFERROR(INDEX(Setup!$F$3:$F$24,MATCH($C4724,Setup!$A$3:$A$24,0)),"")))</f>
        <v/>
      </c>
      <c r="F4724" s="28" t="str">
        <f aca="false">IF(OR($D4724="",$E4724=""),"",IFERROR($D4724*INDEX(Setup!$B$27:$B$44,MATCH($E4724,Setup!$A$27:$A$44,0)),"TBD"))</f>
        <v/>
      </c>
      <c r="G4724" s="32"/>
      <c r="H4724" s="32"/>
      <c r="I4724" s="32"/>
      <c r="J4724" s="32"/>
      <c r="K4724" s="35"/>
      <c r="L4724" s="32"/>
      <c r="M4724" s="32"/>
    </row>
    <row r="4725" customFormat="false" ht="15" hidden="false" customHeight="true" outlineLevel="0" collapsed="false">
      <c r="A4725" s="32"/>
      <c r="B4725" s="32"/>
      <c r="C4725" s="32"/>
      <c r="D4725" s="32"/>
      <c r="E4725" s="34" t="str">
        <f aca="false">IF($B4725="","",IF($B4725="OUT","Liters",IFERROR(INDEX(Setup!$F$3:$F$24,MATCH($C4725,Setup!$A$3:$A$24,0)),"")))</f>
        <v/>
      </c>
      <c r="F4725" s="28" t="str">
        <f aca="false">IF(OR($D4725="",$E4725=""),"",IFERROR($D4725*INDEX(Setup!$B$27:$B$44,MATCH($E4725,Setup!$A$27:$A$44,0)),"TBD"))</f>
        <v/>
      </c>
      <c r="G4725" s="32"/>
      <c r="H4725" s="32"/>
      <c r="I4725" s="32"/>
      <c r="J4725" s="32"/>
      <c r="K4725" s="35"/>
      <c r="L4725" s="32"/>
      <c r="M4725" s="32"/>
    </row>
    <row r="4726" customFormat="false" ht="15" hidden="false" customHeight="true" outlineLevel="0" collapsed="false">
      <c r="A4726" s="32"/>
      <c r="B4726" s="32"/>
      <c r="C4726" s="32"/>
      <c r="D4726" s="32"/>
      <c r="E4726" s="34" t="str">
        <f aca="false">IF($B4726="","",IF($B4726="OUT","Liters",IFERROR(INDEX(Setup!$F$3:$F$24,MATCH($C4726,Setup!$A$3:$A$24,0)),"")))</f>
        <v/>
      </c>
      <c r="F4726" s="28" t="str">
        <f aca="false">IF(OR($D4726="",$E4726=""),"",IFERROR($D4726*INDEX(Setup!$B$27:$B$44,MATCH($E4726,Setup!$A$27:$A$44,0)),"TBD"))</f>
        <v/>
      </c>
      <c r="G4726" s="32"/>
      <c r="H4726" s="32"/>
      <c r="I4726" s="32"/>
      <c r="J4726" s="32"/>
      <c r="K4726" s="35"/>
      <c r="L4726" s="32"/>
      <c r="M4726" s="32"/>
    </row>
    <row r="4727" customFormat="false" ht="15" hidden="false" customHeight="true" outlineLevel="0" collapsed="false">
      <c r="A4727" s="32"/>
      <c r="B4727" s="32"/>
      <c r="C4727" s="32"/>
      <c r="D4727" s="32"/>
      <c r="E4727" s="34" t="str">
        <f aca="false">IF($B4727="","",IF($B4727="OUT","Liters",IFERROR(INDEX(Setup!$F$3:$F$24,MATCH($C4727,Setup!$A$3:$A$24,0)),"")))</f>
        <v/>
      </c>
      <c r="F4727" s="28" t="str">
        <f aca="false">IF(OR($D4727="",$E4727=""),"",IFERROR($D4727*INDEX(Setup!$B$27:$B$44,MATCH($E4727,Setup!$A$27:$A$44,0)),"TBD"))</f>
        <v/>
      </c>
      <c r="G4727" s="32"/>
      <c r="H4727" s="32"/>
      <c r="I4727" s="32"/>
      <c r="J4727" s="32"/>
      <c r="K4727" s="35"/>
      <c r="L4727" s="32"/>
      <c r="M4727" s="32"/>
    </row>
    <row r="4728" customFormat="false" ht="15" hidden="false" customHeight="true" outlineLevel="0" collapsed="false">
      <c r="A4728" s="32"/>
      <c r="B4728" s="32"/>
      <c r="C4728" s="32"/>
      <c r="D4728" s="32"/>
      <c r="E4728" s="34" t="str">
        <f aca="false">IF($B4728="","",IF($B4728="OUT","Liters",IFERROR(INDEX(Setup!$F$3:$F$24,MATCH($C4728,Setup!$A$3:$A$24,0)),"")))</f>
        <v/>
      </c>
      <c r="F4728" s="28" t="str">
        <f aca="false">IF(OR($D4728="",$E4728=""),"",IFERROR($D4728*INDEX(Setup!$B$27:$B$44,MATCH($E4728,Setup!$A$27:$A$44,0)),"TBD"))</f>
        <v/>
      </c>
      <c r="G4728" s="32"/>
      <c r="H4728" s="32"/>
      <c r="I4728" s="32"/>
      <c r="J4728" s="32"/>
      <c r="K4728" s="35"/>
      <c r="L4728" s="32"/>
      <c r="M4728" s="32"/>
    </row>
    <row r="4729" customFormat="false" ht="15" hidden="false" customHeight="true" outlineLevel="0" collapsed="false">
      <c r="A4729" s="32"/>
      <c r="B4729" s="32"/>
      <c r="C4729" s="32"/>
      <c r="D4729" s="32"/>
      <c r="E4729" s="34" t="str">
        <f aca="false">IF($B4729="","",IF($B4729="OUT","Liters",IFERROR(INDEX(Setup!$F$3:$F$24,MATCH($C4729,Setup!$A$3:$A$24,0)),"")))</f>
        <v/>
      </c>
      <c r="F4729" s="28" t="str">
        <f aca="false">IF(OR($D4729="",$E4729=""),"",IFERROR($D4729*INDEX(Setup!$B$27:$B$44,MATCH($E4729,Setup!$A$27:$A$44,0)),"TBD"))</f>
        <v/>
      </c>
      <c r="G4729" s="32"/>
      <c r="H4729" s="32"/>
      <c r="I4729" s="32"/>
      <c r="J4729" s="32"/>
      <c r="K4729" s="35"/>
      <c r="L4729" s="32"/>
      <c r="M4729" s="32"/>
    </row>
    <row r="4730" customFormat="false" ht="15" hidden="false" customHeight="true" outlineLevel="0" collapsed="false">
      <c r="A4730" s="32"/>
      <c r="B4730" s="32"/>
      <c r="C4730" s="32"/>
      <c r="D4730" s="32"/>
      <c r="E4730" s="34" t="str">
        <f aca="false">IF($B4730="","",IF($B4730="OUT","Liters",IFERROR(INDEX(Setup!$F$3:$F$24,MATCH($C4730,Setup!$A$3:$A$24,0)),"")))</f>
        <v/>
      </c>
      <c r="F4730" s="28" t="str">
        <f aca="false">IF(OR($D4730="",$E4730=""),"",IFERROR($D4730*INDEX(Setup!$B$27:$B$44,MATCH($E4730,Setup!$A$27:$A$44,0)),"TBD"))</f>
        <v/>
      </c>
      <c r="G4730" s="32"/>
      <c r="H4730" s="32"/>
      <c r="I4730" s="32"/>
      <c r="J4730" s="32"/>
      <c r="K4730" s="35"/>
      <c r="L4730" s="32"/>
      <c r="M4730" s="32"/>
    </row>
    <row r="4731" customFormat="false" ht="15" hidden="false" customHeight="true" outlineLevel="0" collapsed="false">
      <c r="A4731" s="32"/>
      <c r="B4731" s="32"/>
      <c r="C4731" s="32"/>
      <c r="D4731" s="32"/>
      <c r="E4731" s="34" t="str">
        <f aca="false">IF($B4731="","",IF($B4731="OUT","Liters",IFERROR(INDEX(Setup!$F$3:$F$24,MATCH($C4731,Setup!$A$3:$A$24,0)),"")))</f>
        <v/>
      </c>
      <c r="F4731" s="28" t="str">
        <f aca="false">IF(OR($D4731="",$E4731=""),"",IFERROR($D4731*INDEX(Setup!$B$27:$B$44,MATCH($E4731,Setup!$A$27:$A$44,0)),"TBD"))</f>
        <v/>
      </c>
      <c r="G4731" s="32"/>
      <c r="H4731" s="32"/>
      <c r="I4731" s="32"/>
      <c r="J4731" s="32"/>
      <c r="K4731" s="35"/>
      <c r="L4731" s="32"/>
      <c r="M4731" s="32"/>
    </row>
    <row r="4732" customFormat="false" ht="15" hidden="false" customHeight="true" outlineLevel="0" collapsed="false">
      <c r="A4732" s="32"/>
      <c r="B4732" s="32"/>
      <c r="C4732" s="32"/>
      <c r="D4732" s="32"/>
      <c r="E4732" s="34" t="str">
        <f aca="false">IF($B4732="","",IF($B4732="OUT","Liters",IFERROR(INDEX(Setup!$F$3:$F$24,MATCH($C4732,Setup!$A$3:$A$24,0)),"")))</f>
        <v/>
      </c>
      <c r="F4732" s="28" t="str">
        <f aca="false">IF(OR($D4732="",$E4732=""),"",IFERROR($D4732*INDEX(Setup!$B$27:$B$44,MATCH($E4732,Setup!$A$27:$A$44,0)),"TBD"))</f>
        <v/>
      </c>
      <c r="G4732" s="32"/>
      <c r="H4732" s="32"/>
      <c r="I4732" s="32"/>
      <c r="J4732" s="32"/>
      <c r="K4732" s="35"/>
      <c r="L4732" s="32"/>
      <c r="M4732" s="32"/>
    </row>
    <row r="4733" customFormat="false" ht="15" hidden="false" customHeight="true" outlineLevel="0" collapsed="false">
      <c r="A4733" s="32"/>
      <c r="B4733" s="32"/>
      <c r="C4733" s="32"/>
      <c r="D4733" s="32"/>
      <c r="E4733" s="34" t="str">
        <f aca="false">IF($B4733="","",IF($B4733="OUT","Liters",IFERROR(INDEX(Setup!$F$3:$F$24,MATCH($C4733,Setup!$A$3:$A$24,0)),"")))</f>
        <v/>
      </c>
      <c r="F4733" s="28" t="str">
        <f aca="false">IF(OR($D4733="",$E4733=""),"",IFERROR($D4733*INDEX(Setup!$B$27:$B$44,MATCH($E4733,Setup!$A$27:$A$44,0)),"TBD"))</f>
        <v/>
      </c>
      <c r="G4733" s="32"/>
      <c r="H4733" s="32"/>
      <c r="I4733" s="32"/>
      <c r="J4733" s="32"/>
      <c r="K4733" s="35"/>
      <c r="L4733" s="32"/>
      <c r="M4733" s="32"/>
    </row>
    <row r="4734" customFormat="false" ht="15" hidden="false" customHeight="true" outlineLevel="0" collapsed="false">
      <c r="A4734" s="32"/>
      <c r="B4734" s="32"/>
      <c r="C4734" s="32"/>
      <c r="D4734" s="32"/>
      <c r="E4734" s="34" t="str">
        <f aca="false">IF($B4734="","",IF($B4734="OUT","Liters",IFERROR(INDEX(Setup!$F$3:$F$24,MATCH($C4734,Setup!$A$3:$A$24,0)),"")))</f>
        <v/>
      </c>
      <c r="F4734" s="28" t="str">
        <f aca="false">IF(OR($D4734="",$E4734=""),"",IFERROR($D4734*INDEX(Setup!$B$27:$B$44,MATCH($E4734,Setup!$A$27:$A$44,0)),"TBD"))</f>
        <v/>
      </c>
      <c r="G4734" s="32"/>
      <c r="H4734" s="32"/>
      <c r="I4734" s="32"/>
      <c r="J4734" s="32"/>
      <c r="K4734" s="35"/>
      <c r="L4734" s="32"/>
      <c r="M4734" s="32"/>
    </row>
    <row r="4735" customFormat="false" ht="15" hidden="false" customHeight="true" outlineLevel="0" collapsed="false">
      <c r="A4735" s="32"/>
      <c r="B4735" s="32"/>
      <c r="C4735" s="32"/>
      <c r="D4735" s="32"/>
      <c r="E4735" s="34" t="str">
        <f aca="false">IF($B4735="","",IF($B4735="OUT","Liters",IFERROR(INDEX(Setup!$F$3:$F$24,MATCH($C4735,Setup!$A$3:$A$24,0)),"")))</f>
        <v/>
      </c>
      <c r="F4735" s="28" t="str">
        <f aca="false">IF(OR($D4735="",$E4735=""),"",IFERROR($D4735*INDEX(Setup!$B$27:$B$44,MATCH($E4735,Setup!$A$27:$A$44,0)),"TBD"))</f>
        <v/>
      </c>
      <c r="G4735" s="32"/>
      <c r="H4735" s="32"/>
      <c r="I4735" s="32"/>
      <c r="J4735" s="32"/>
      <c r="K4735" s="35"/>
      <c r="L4735" s="32"/>
      <c r="M4735" s="32"/>
    </row>
    <row r="4736" customFormat="false" ht="15" hidden="false" customHeight="true" outlineLevel="0" collapsed="false">
      <c r="A4736" s="32"/>
      <c r="B4736" s="32"/>
      <c r="C4736" s="32"/>
      <c r="D4736" s="32"/>
      <c r="E4736" s="34" t="str">
        <f aca="false">IF($B4736="","",IF($B4736="OUT","Liters",IFERROR(INDEX(Setup!$F$3:$F$24,MATCH($C4736,Setup!$A$3:$A$24,0)),"")))</f>
        <v/>
      </c>
      <c r="F4736" s="28" t="str">
        <f aca="false">IF(OR($D4736="",$E4736=""),"",IFERROR($D4736*INDEX(Setup!$B$27:$B$44,MATCH($E4736,Setup!$A$27:$A$44,0)),"TBD"))</f>
        <v/>
      </c>
      <c r="G4736" s="32"/>
      <c r="H4736" s="32"/>
      <c r="I4736" s="32"/>
      <c r="J4736" s="32"/>
      <c r="K4736" s="35"/>
      <c r="L4736" s="32"/>
      <c r="M4736" s="32"/>
    </row>
    <row r="4737" customFormat="false" ht="15" hidden="false" customHeight="true" outlineLevel="0" collapsed="false">
      <c r="A4737" s="32"/>
      <c r="B4737" s="32"/>
      <c r="C4737" s="32"/>
      <c r="D4737" s="32"/>
      <c r="E4737" s="34" t="str">
        <f aca="false">IF($B4737="","",IF($B4737="OUT","Liters",IFERROR(INDEX(Setup!$F$3:$F$24,MATCH($C4737,Setup!$A$3:$A$24,0)),"")))</f>
        <v/>
      </c>
      <c r="F4737" s="28" t="str">
        <f aca="false">IF(OR($D4737="",$E4737=""),"",IFERROR($D4737*INDEX(Setup!$B$27:$B$44,MATCH($E4737,Setup!$A$27:$A$44,0)),"TBD"))</f>
        <v/>
      </c>
      <c r="G4737" s="32"/>
      <c r="H4737" s="32"/>
      <c r="I4737" s="32"/>
      <c r="J4737" s="32"/>
      <c r="K4737" s="35"/>
      <c r="L4737" s="32"/>
      <c r="M4737" s="32"/>
    </row>
    <row r="4738" customFormat="false" ht="15" hidden="false" customHeight="true" outlineLevel="0" collapsed="false">
      <c r="A4738" s="32"/>
      <c r="B4738" s="32"/>
      <c r="C4738" s="32"/>
      <c r="D4738" s="32"/>
      <c r="E4738" s="34" t="str">
        <f aca="false">IF($B4738="","",IF($B4738="OUT","Liters",IFERROR(INDEX(Setup!$F$3:$F$24,MATCH($C4738,Setup!$A$3:$A$24,0)),"")))</f>
        <v/>
      </c>
      <c r="F4738" s="28" t="str">
        <f aca="false">IF(OR($D4738="",$E4738=""),"",IFERROR($D4738*INDEX(Setup!$B$27:$B$44,MATCH($E4738,Setup!$A$27:$A$44,0)),"TBD"))</f>
        <v/>
      </c>
      <c r="G4738" s="32"/>
      <c r="H4738" s="32"/>
      <c r="I4738" s="32"/>
      <c r="J4738" s="32"/>
      <c r="K4738" s="35"/>
      <c r="L4738" s="32"/>
      <c r="M4738" s="32"/>
    </row>
    <row r="4739" customFormat="false" ht="15" hidden="false" customHeight="true" outlineLevel="0" collapsed="false">
      <c r="A4739" s="32"/>
      <c r="B4739" s="32"/>
      <c r="C4739" s="32"/>
      <c r="D4739" s="32"/>
      <c r="E4739" s="34" t="str">
        <f aca="false">IF($B4739="","",IF($B4739="OUT","Liters",IFERROR(INDEX(Setup!$F$3:$F$24,MATCH($C4739,Setup!$A$3:$A$24,0)),"")))</f>
        <v/>
      </c>
      <c r="F4739" s="28" t="str">
        <f aca="false">IF(OR($D4739="",$E4739=""),"",IFERROR($D4739*INDEX(Setup!$B$27:$B$44,MATCH($E4739,Setup!$A$27:$A$44,0)),"TBD"))</f>
        <v/>
      </c>
      <c r="G4739" s="32"/>
      <c r="H4739" s="32"/>
      <c r="I4739" s="32"/>
      <c r="J4739" s="32"/>
      <c r="K4739" s="35"/>
      <c r="L4739" s="32"/>
      <c r="M4739" s="32"/>
    </row>
    <row r="4740" customFormat="false" ht="15" hidden="false" customHeight="true" outlineLevel="0" collapsed="false">
      <c r="A4740" s="32"/>
      <c r="B4740" s="32"/>
      <c r="C4740" s="32"/>
      <c r="D4740" s="32"/>
      <c r="E4740" s="34" t="str">
        <f aca="false">IF($B4740="","",IF($B4740="OUT","Liters",IFERROR(INDEX(Setup!$F$3:$F$24,MATCH($C4740,Setup!$A$3:$A$24,0)),"")))</f>
        <v/>
      </c>
      <c r="F4740" s="28" t="str">
        <f aca="false">IF(OR($D4740="",$E4740=""),"",IFERROR($D4740*INDEX(Setup!$B$27:$B$44,MATCH($E4740,Setup!$A$27:$A$44,0)),"TBD"))</f>
        <v/>
      </c>
      <c r="G4740" s="32"/>
      <c r="H4740" s="32"/>
      <c r="I4740" s="32"/>
      <c r="J4740" s="32"/>
      <c r="K4740" s="35"/>
      <c r="L4740" s="32"/>
      <c r="M4740" s="32"/>
    </row>
    <row r="4741" customFormat="false" ht="15" hidden="false" customHeight="true" outlineLevel="0" collapsed="false">
      <c r="A4741" s="32"/>
      <c r="B4741" s="32"/>
      <c r="C4741" s="32"/>
      <c r="D4741" s="32"/>
      <c r="E4741" s="34" t="str">
        <f aca="false">IF($B4741="","",IF($B4741="OUT","Liters",IFERROR(INDEX(Setup!$F$3:$F$24,MATCH($C4741,Setup!$A$3:$A$24,0)),"")))</f>
        <v/>
      </c>
      <c r="F4741" s="28" t="str">
        <f aca="false">IF(OR($D4741="",$E4741=""),"",IFERROR($D4741*INDEX(Setup!$B$27:$B$44,MATCH($E4741,Setup!$A$27:$A$44,0)),"TBD"))</f>
        <v/>
      </c>
      <c r="G4741" s="32"/>
      <c r="H4741" s="32"/>
      <c r="I4741" s="32"/>
      <c r="J4741" s="32"/>
      <c r="K4741" s="35"/>
      <c r="L4741" s="32"/>
      <c r="M4741" s="32"/>
    </row>
    <row r="4742" customFormat="false" ht="15" hidden="false" customHeight="true" outlineLevel="0" collapsed="false">
      <c r="A4742" s="32"/>
      <c r="B4742" s="32"/>
      <c r="C4742" s="32"/>
      <c r="D4742" s="32"/>
      <c r="E4742" s="34" t="str">
        <f aca="false">IF($B4742="","",IF($B4742="OUT","Liters",IFERROR(INDEX(Setup!$F$3:$F$24,MATCH($C4742,Setup!$A$3:$A$24,0)),"")))</f>
        <v/>
      </c>
      <c r="F4742" s="28" t="str">
        <f aca="false">IF(OR($D4742="",$E4742=""),"",IFERROR($D4742*INDEX(Setup!$B$27:$B$44,MATCH($E4742,Setup!$A$27:$A$44,0)),"TBD"))</f>
        <v/>
      </c>
      <c r="G4742" s="32"/>
      <c r="H4742" s="32"/>
      <c r="I4742" s="32"/>
      <c r="J4742" s="32"/>
      <c r="K4742" s="35"/>
      <c r="L4742" s="32"/>
      <c r="M4742" s="32"/>
    </row>
    <row r="4743" customFormat="false" ht="15" hidden="false" customHeight="true" outlineLevel="0" collapsed="false">
      <c r="A4743" s="32"/>
      <c r="B4743" s="32"/>
      <c r="C4743" s="32"/>
      <c r="D4743" s="32"/>
      <c r="E4743" s="34" t="str">
        <f aca="false">IF($B4743="","",IF($B4743="OUT","Liters",IFERROR(INDEX(Setup!$F$3:$F$24,MATCH($C4743,Setup!$A$3:$A$24,0)),"")))</f>
        <v/>
      </c>
      <c r="F4743" s="28" t="str">
        <f aca="false">IF(OR($D4743="",$E4743=""),"",IFERROR($D4743*INDEX(Setup!$B$27:$B$44,MATCH($E4743,Setup!$A$27:$A$44,0)),"TBD"))</f>
        <v/>
      </c>
      <c r="G4743" s="32"/>
      <c r="H4743" s="32"/>
      <c r="I4743" s="32"/>
      <c r="J4743" s="32"/>
      <c r="K4743" s="35"/>
      <c r="L4743" s="32"/>
      <c r="M4743" s="32"/>
    </row>
    <row r="4744" customFormat="false" ht="15" hidden="false" customHeight="true" outlineLevel="0" collapsed="false">
      <c r="A4744" s="32"/>
      <c r="B4744" s="32"/>
      <c r="C4744" s="32"/>
      <c r="D4744" s="32"/>
      <c r="E4744" s="34" t="str">
        <f aca="false">IF($B4744="","",IF($B4744="OUT","Liters",IFERROR(INDEX(Setup!$F$3:$F$24,MATCH($C4744,Setup!$A$3:$A$24,0)),"")))</f>
        <v/>
      </c>
      <c r="F4744" s="28" t="str">
        <f aca="false">IF(OR($D4744="",$E4744=""),"",IFERROR($D4744*INDEX(Setup!$B$27:$B$44,MATCH($E4744,Setup!$A$27:$A$44,0)),"TBD"))</f>
        <v/>
      </c>
      <c r="G4744" s="32"/>
      <c r="H4744" s="32"/>
      <c r="I4744" s="32"/>
      <c r="J4744" s="32"/>
      <c r="K4744" s="35"/>
      <c r="L4744" s="32"/>
      <c r="M4744" s="32"/>
    </row>
    <row r="4745" customFormat="false" ht="15" hidden="false" customHeight="true" outlineLevel="0" collapsed="false">
      <c r="A4745" s="32"/>
      <c r="B4745" s="32"/>
      <c r="C4745" s="32"/>
      <c r="D4745" s="32"/>
      <c r="E4745" s="34" t="str">
        <f aca="false">IF($B4745="","",IF($B4745="OUT","Liters",IFERROR(INDEX(Setup!$F$3:$F$24,MATCH($C4745,Setup!$A$3:$A$24,0)),"")))</f>
        <v/>
      </c>
      <c r="F4745" s="28" t="str">
        <f aca="false">IF(OR($D4745="",$E4745=""),"",IFERROR($D4745*INDEX(Setup!$B$27:$B$44,MATCH($E4745,Setup!$A$27:$A$44,0)),"TBD"))</f>
        <v/>
      </c>
      <c r="G4745" s="32"/>
      <c r="H4745" s="32"/>
      <c r="I4745" s="32"/>
      <c r="J4745" s="32"/>
      <c r="K4745" s="35"/>
      <c r="L4745" s="32"/>
      <c r="M4745" s="32"/>
    </row>
    <row r="4746" customFormat="false" ht="15" hidden="false" customHeight="true" outlineLevel="0" collapsed="false">
      <c r="A4746" s="32"/>
      <c r="B4746" s="32"/>
      <c r="C4746" s="32"/>
      <c r="D4746" s="32"/>
      <c r="E4746" s="34" t="str">
        <f aca="false">IF($B4746="","",IF($B4746="OUT","Liters",IFERROR(INDEX(Setup!$F$3:$F$24,MATCH($C4746,Setup!$A$3:$A$24,0)),"")))</f>
        <v/>
      </c>
      <c r="F4746" s="28" t="str">
        <f aca="false">IF(OR($D4746="",$E4746=""),"",IFERROR($D4746*INDEX(Setup!$B$27:$B$44,MATCH($E4746,Setup!$A$27:$A$44,0)),"TBD"))</f>
        <v/>
      </c>
      <c r="G4746" s="32"/>
      <c r="H4746" s="32"/>
      <c r="I4746" s="32"/>
      <c r="J4746" s="32"/>
      <c r="K4746" s="35"/>
      <c r="L4746" s="32"/>
      <c r="M4746" s="32"/>
    </row>
    <row r="4747" customFormat="false" ht="15" hidden="false" customHeight="true" outlineLevel="0" collapsed="false">
      <c r="A4747" s="32"/>
      <c r="B4747" s="32"/>
      <c r="C4747" s="32"/>
      <c r="D4747" s="32"/>
      <c r="E4747" s="34" t="str">
        <f aca="false">IF($B4747="","",IF($B4747="OUT","Liters",IFERROR(INDEX(Setup!$F$3:$F$24,MATCH($C4747,Setup!$A$3:$A$24,0)),"")))</f>
        <v/>
      </c>
      <c r="F4747" s="28" t="str">
        <f aca="false">IF(OR($D4747="",$E4747=""),"",IFERROR($D4747*INDEX(Setup!$B$27:$B$44,MATCH($E4747,Setup!$A$27:$A$44,0)),"TBD"))</f>
        <v/>
      </c>
      <c r="G4747" s="32"/>
      <c r="H4747" s="32"/>
      <c r="I4747" s="32"/>
      <c r="J4747" s="32"/>
      <c r="K4747" s="35"/>
      <c r="L4747" s="32"/>
      <c r="M4747" s="32"/>
    </row>
    <row r="4748" customFormat="false" ht="15" hidden="false" customHeight="true" outlineLevel="0" collapsed="false">
      <c r="A4748" s="32"/>
      <c r="B4748" s="32"/>
      <c r="C4748" s="32"/>
      <c r="D4748" s="32"/>
      <c r="E4748" s="34" t="str">
        <f aca="false">IF($B4748="","",IF($B4748="OUT","Liters",IFERROR(INDEX(Setup!$F$3:$F$24,MATCH($C4748,Setup!$A$3:$A$24,0)),"")))</f>
        <v/>
      </c>
      <c r="F4748" s="28" t="str">
        <f aca="false">IF(OR($D4748="",$E4748=""),"",IFERROR($D4748*INDEX(Setup!$B$27:$B$44,MATCH($E4748,Setup!$A$27:$A$44,0)),"TBD"))</f>
        <v/>
      </c>
      <c r="G4748" s="32"/>
      <c r="H4748" s="32"/>
      <c r="I4748" s="32"/>
      <c r="J4748" s="32"/>
      <c r="K4748" s="35"/>
      <c r="L4748" s="32"/>
      <c r="M4748" s="32"/>
    </row>
    <row r="4749" customFormat="false" ht="15" hidden="false" customHeight="true" outlineLevel="0" collapsed="false">
      <c r="A4749" s="32"/>
      <c r="B4749" s="32"/>
      <c r="C4749" s="32"/>
      <c r="D4749" s="32"/>
      <c r="E4749" s="34" t="str">
        <f aca="false">IF($B4749="","",IF($B4749="OUT","Liters",IFERROR(INDEX(Setup!$F$3:$F$24,MATCH($C4749,Setup!$A$3:$A$24,0)),"")))</f>
        <v/>
      </c>
      <c r="F4749" s="28" t="str">
        <f aca="false">IF(OR($D4749="",$E4749=""),"",IFERROR($D4749*INDEX(Setup!$B$27:$B$44,MATCH($E4749,Setup!$A$27:$A$44,0)),"TBD"))</f>
        <v/>
      </c>
      <c r="G4749" s="32"/>
      <c r="H4749" s="32"/>
      <c r="I4749" s="32"/>
      <c r="J4749" s="32"/>
      <c r="K4749" s="35"/>
      <c r="L4749" s="32"/>
      <c r="M4749" s="32"/>
    </row>
    <row r="4750" customFormat="false" ht="15" hidden="false" customHeight="true" outlineLevel="0" collapsed="false">
      <c r="A4750" s="32"/>
      <c r="B4750" s="32"/>
      <c r="C4750" s="32"/>
      <c r="D4750" s="32"/>
      <c r="E4750" s="34" t="str">
        <f aca="false">IF($B4750="","",IF($B4750="OUT","Liters",IFERROR(INDEX(Setup!$F$3:$F$24,MATCH($C4750,Setup!$A$3:$A$24,0)),"")))</f>
        <v/>
      </c>
      <c r="F4750" s="28" t="str">
        <f aca="false">IF(OR($D4750="",$E4750=""),"",IFERROR($D4750*INDEX(Setup!$B$27:$B$44,MATCH($E4750,Setup!$A$27:$A$44,0)),"TBD"))</f>
        <v/>
      </c>
      <c r="G4750" s="32"/>
      <c r="H4750" s="32"/>
      <c r="I4750" s="32"/>
      <c r="J4750" s="32"/>
      <c r="K4750" s="35"/>
      <c r="L4750" s="32"/>
      <c r="M4750" s="32"/>
    </row>
    <row r="4751" customFormat="false" ht="15" hidden="false" customHeight="true" outlineLevel="0" collapsed="false">
      <c r="A4751" s="32"/>
      <c r="B4751" s="32"/>
      <c r="C4751" s="32"/>
      <c r="D4751" s="32"/>
      <c r="E4751" s="34" t="str">
        <f aca="false">IF($B4751="","",IF($B4751="OUT","Liters",IFERROR(INDEX(Setup!$F$3:$F$24,MATCH($C4751,Setup!$A$3:$A$24,0)),"")))</f>
        <v/>
      </c>
      <c r="F4751" s="28" t="str">
        <f aca="false">IF(OR($D4751="",$E4751=""),"",IFERROR($D4751*INDEX(Setup!$B$27:$B$44,MATCH($E4751,Setup!$A$27:$A$44,0)),"TBD"))</f>
        <v/>
      </c>
      <c r="G4751" s="32"/>
      <c r="H4751" s="32"/>
      <c r="I4751" s="32"/>
      <c r="J4751" s="32"/>
      <c r="K4751" s="35"/>
      <c r="L4751" s="32"/>
      <c r="M4751" s="32"/>
    </row>
    <row r="4752" customFormat="false" ht="15" hidden="false" customHeight="true" outlineLevel="0" collapsed="false">
      <c r="A4752" s="32"/>
      <c r="B4752" s="32"/>
      <c r="C4752" s="32"/>
      <c r="D4752" s="32"/>
      <c r="E4752" s="34" t="str">
        <f aca="false">IF($B4752="","",IF($B4752="OUT","Liters",IFERROR(INDEX(Setup!$F$3:$F$24,MATCH($C4752,Setup!$A$3:$A$24,0)),"")))</f>
        <v/>
      </c>
      <c r="F4752" s="28" t="str">
        <f aca="false">IF(OR($D4752="",$E4752=""),"",IFERROR($D4752*INDEX(Setup!$B$27:$B$44,MATCH($E4752,Setup!$A$27:$A$44,0)),"TBD"))</f>
        <v/>
      </c>
      <c r="G4752" s="32"/>
      <c r="H4752" s="32"/>
      <c r="I4752" s="32"/>
      <c r="J4752" s="32"/>
      <c r="K4752" s="35"/>
      <c r="L4752" s="32"/>
      <c r="M4752" s="32"/>
    </row>
    <row r="4753" customFormat="false" ht="15" hidden="false" customHeight="true" outlineLevel="0" collapsed="false">
      <c r="A4753" s="32"/>
      <c r="B4753" s="32"/>
      <c r="C4753" s="32"/>
      <c r="D4753" s="32"/>
      <c r="E4753" s="34" t="str">
        <f aca="false">IF($B4753="","",IF($B4753="OUT","Liters",IFERROR(INDEX(Setup!$F$3:$F$24,MATCH($C4753,Setup!$A$3:$A$24,0)),"")))</f>
        <v/>
      </c>
      <c r="F4753" s="28" t="str">
        <f aca="false">IF(OR($D4753="",$E4753=""),"",IFERROR($D4753*INDEX(Setup!$B$27:$B$44,MATCH($E4753,Setup!$A$27:$A$44,0)),"TBD"))</f>
        <v/>
      </c>
      <c r="G4753" s="32"/>
      <c r="H4753" s="32"/>
      <c r="I4753" s="32"/>
      <c r="J4753" s="32"/>
      <c r="K4753" s="35"/>
      <c r="L4753" s="32"/>
      <c r="M4753" s="32"/>
    </row>
    <row r="4754" customFormat="false" ht="15" hidden="false" customHeight="true" outlineLevel="0" collapsed="false">
      <c r="A4754" s="32"/>
      <c r="B4754" s="32"/>
      <c r="C4754" s="32"/>
      <c r="D4754" s="32"/>
      <c r="E4754" s="34" t="str">
        <f aca="false">IF($B4754="","",IF($B4754="OUT","Liters",IFERROR(INDEX(Setup!$F$3:$F$24,MATCH($C4754,Setup!$A$3:$A$24,0)),"")))</f>
        <v/>
      </c>
      <c r="F4754" s="28" t="str">
        <f aca="false">IF(OR($D4754="",$E4754=""),"",IFERROR($D4754*INDEX(Setup!$B$27:$B$44,MATCH($E4754,Setup!$A$27:$A$44,0)),"TBD"))</f>
        <v/>
      </c>
      <c r="G4754" s="32"/>
      <c r="H4754" s="32"/>
      <c r="I4754" s="32"/>
      <c r="J4754" s="32"/>
      <c r="K4754" s="35"/>
      <c r="L4754" s="32"/>
      <c r="M4754" s="32"/>
    </row>
    <row r="4755" customFormat="false" ht="15" hidden="false" customHeight="true" outlineLevel="0" collapsed="false">
      <c r="A4755" s="32"/>
      <c r="B4755" s="32"/>
      <c r="C4755" s="32"/>
      <c r="D4755" s="32"/>
      <c r="E4755" s="34" t="str">
        <f aca="false">IF($B4755="","",IF($B4755="OUT","Liters",IFERROR(INDEX(Setup!$F$3:$F$24,MATCH($C4755,Setup!$A$3:$A$24,0)),"")))</f>
        <v/>
      </c>
      <c r="F4755" s="28" t="str">
        <f aca="false">IF(OR($D4755="",$E4755=""),"",IFERROR($D4755*INDEX(Setup!$B$27:$B$44,MATCH($E4755,Setup!$A$27:$A$44,0)),"TBD"))</f>
        <v/>
      </c>
      <c r="G4755" s="32"/>
      <c r="H4755" s="32"/>
      <c r="I4755" s="32"/>
      <c r="J4755" s="32"/>
      <c r="K4755" s="35"/>
      <c r="L4755" s="32"/>
      <c r="M4755" s="32"/>
    </row>
    <row r="4756" customFormat="false" ht="15" hidden="false" customHeight="true" outlineLevel="0" collapsed="false">
      <c r="A4756" s="32"/>
      <c r="B4756" s="32"/>
      <c r="C4756" s="32"/>
      <c r="D4756" s="32"/>
      <c r="E4756" s="34" t="str">
        <f aca="false">IF($B4756="","",IF($B4756="OUT","Liters",IFERROR(INDEX(Setup!$F$3:$F$24,MATCH($C4756,Setup!$A$3:$A$24,0)),"")))</f>
        <v/>
      </c>
      <c r="F4756" s="28" t="str">
        <f aca="false">IF(OR($D4756="",$E4756=""),"",IFERROR($D4756*INDEX(Setup!$B$27:$B$44,MATCH($E4756,Setup!$A$27:$A$44,0)),"TBD"))</f>
        <v/>
      </c>
      <c r="G4756" s="32"/>
      <c r="H4756" s="32"/>
      <c r="I4756" s="32"/>
      <c r="J4756" s="32"/>
      <c r="K4756" s="35"/>
      <c r="L4756" s="32"/>
      <c r="M4756" s="32"/>
    </row>
    <row r="4757" customFormat="false" ht="15" hidden="false" customHeight="true" outlineLevel="0" collapsed="false">
      <c r="A4757" s="32"/>
      <c r="B4757" s="32"/>
      <c r="C4757" s="32"/>
      <c r="D4757" s="32"/>
      <c r="E4757" s="34" t="str">
        <f aca="false">IF($B4757="","",IF($B4757="OUT","Liters",IFERROR(INDEX(Setup!$F$3:$F$24,MATCH($C4757,Setup!$A$3:$A$24,0)),"")))</f>
        <v/>
      </c>
      <c r="F4757" s="28" t="str">
        <f aca="false">IF(OR($D4757="",$E4757=""),"",IFERROR($D4757*INDEX(Setup!$B$27:$B$44,MATCH($E4757,Setup!$A$27:$A$44,0)),"TBD"))</f>
        <v/>
      </c>
      <c r="G4757" s="32"/>
      <c r="H4757" s="32"/>
      <c r="I4757" s="32"/>
      <c r="J4757" s="32"/>
      <c r="K4757" s="35"/>
      <c r="L4757" s="32"/>
      <c r="M4757" s="32"/>
    </row>
    <row r="4758" customFormat="false" ht="15" hidden="false" customHeight="true" outlineLevel="0" collapsed="false">
      <c r="A4758" s="32"/>
      <c r="B4758" s="32"/>
      <c r="C4758" s="32"/>
      <c r="D4758" s="32"/>
      <c r="E4758" s="34" t="str">
        <f aca="false">IF($B4758="","",IF($B4758="OUT","Liters",IFERROR(INDEX(Setup!$F$3:$F$24,MATCH($C4758,Setup!$A$3:$A$24,0)),"")))</f>
        <v/>
      </c>
      <c r="F4758" s="28" t="str">
        <f aca="false">IF(OR($D4758="",$E4758=""),"",IFERROR($D4758*INDEX(Setup!$B$27:$B$44,MATCH($E4758,Setup!$A$27:$A$44,0)),"TBD"))</f>
        <v/>
      </c>
      <c r="G4758" s="32"/>
      <c r="H4758" s="32"/>
      <c r="I4758" s="32"/>
      <c r="J4758" s="32"/>
      <c r="K4758" s="35"/>
      <c r="L4758" s="32"/>
      <c r="M4758" s="32"/>
    </row>
    <row r="4759" customFormat="false" ht="15" hidden="false" customHeight="true" outlineLevel="0" collapsed="false">
      <c r="A4759" s="32"/>
      <c r="B4759" s="32"/>
      <c r="C4759" s="32"/>
      <c r="D4759" s="32"/>
      <c r="E4759" s="34" t="str">
        <f aca="false">IF($B4759="","",IF($B4759="OUT","Liters",IFERROR(INDEX(Setup!$F$3:$F$24,MATCH($C4759,Setup!$A$3:$A$24,0)),"")))</f>
        <v/>
      </c>
      <c r="F4759" s="28" t="str">
        <f aca="false">IF(OR($D4759="",$E4759=""),"",IFERROR($D4759*INDEX(Setup!$B$27:$B$44,MATCH($E4759,Setup!$A$27:$A$44,0)),"TBD"))</f>
        <v/>
      </c>
      <c r="G4759" s="32"/>
      <c r="H4759" s="32"/>
      <c r="I4759" s="32"/>
      <c r="J4759" s="32"/>
      <c r="K4759" s="35"/>
      <c r="L4759" s="32"/>
      <c r="M4759" s="32"/>
    </row>
    <row r="4760" customFormat="false" ht="15" hidden="false" customHeight="true" outlineLevel="0" collapsed="false">
      <c r="A4760" s="32"/>
      <c r="B4760" s="32"/>
      <c r="C4760" s="32"/>
      <c r="D4760" s="32"/>
      <c r="E4760" s="34" t="str">
        <f aca="false">IF($B4760="","",IF($B4760="OUT","Liters",IFERROR(INDEX(Setup!$F$3:$F$24,MATCH($C4760,Setup!$A$3:$A$24,0)),"")))</f>
        <v/>
      </c>
      <c r="F4760" s="28" t="str">
        <f aca="false">IF(OR($D4760="",$E4760=""),"",IFERROR($D4760*INDEX(Setup!$B$27:$B$44,MATCH($E4760,Setup!$A$27:$A$44,0)),"TBD"))</f>
        <v/>
      </c>
      <c r="G4760" s="32"/>
      <c r="H4760" s="32"/>
      <c r="I4760" s="32"/>
      <c r="J4760" s="32"/>
      <c r="K4760" s="35"/>
      <c r="L4760" s="32"/>
      <c r="M4760" s="32"/>
    </row>
    <row r="4761" customFormat="false" ht="15" hidden="false" customHeight="true" outlineLevel="0" collapsed="false">
      <c r="A4761" s="32"/>
      <c r="B4761" s="32"/>
      <c r="C4761" s="32"/>
      <c r="D4761" s="32"/>
      <c r="E4761" s="34" t="str">
        <f aca="false">IF($B4761="","",IF($B4761="OUT","Liters",IFERROR(INDEX(Setup!$F$3:$F$24,MATCH($C4761,Setup!$A$3:$A$24,0)),"")))</f>
        <v/>
      </c>
      <c r="F4761" s="28" t="str">
        <f aca="false">IF(OR($D4761="",$E4761=""),"",IFERROR($D4761*INDEX(Setup!$B$27:$B$44,MATCH($E4761,Setup!$A$27:$A$44,0)),"TBD"))</f>
        <v/>
      </c>
      <c r="G4761" s="32"/>
      <c r="H4761" s="32"/>
      <c r="I4761" s="32"/>
      <c r="J4761" s="32"/>
      <c r="K4761" s="35"/>
      <c r="L4761" s="32"/>
      <c r="M4761" s="32"/>
    </row>
    <row r="4762" customFormat="false" ht="15" hidden="false" customHeight="true" outlineLevel="0" collapsed="false">
      <c r="A4762" s="32"/>
      <c r="B4762" s="32"/>
      <c r="C4762" s="32"/>
      <c r="D4762" s="32"/>
      <c r="E4762" s="34" t="str">
        <f aca="false">IF($B4762="","",IF($B4762="OUT","Liters",IFERROR(INDEX(Setup!$F$3:$F$24,MATCH($C4762,Setup!$A$3:$A$24,0)),"")))</f>
        <v/>
      </c>
      <c r="F4762" s="28" t="str">
        <f aca="false">IF(OR($D4762="",$E4762=""),"",IFERROR($D4762*INDEX(Setup!$B$27:$B$44,MATCH($E4762,Setup!$A$27:$A$44,0)),"TBD"))</f>
        <v/>
      </c>
      <c r="G4762" s="32"/>
      <c r="H4762" s="32"/>
      <c r="I4762" s="32"/>
      <c r="J4762" s="32"/>
      <c r="K4762" s="35"/>
      <c r="L4762" s="32"/>
      <c r="M4762" s="32"/>
    </row>
    <row r="4763" customFormat="false" ht="15" hidden="false" customHeight="true" outlineLevel="0" collapsed="false">
      <c r="A4763" s="32"/>
      <c r="B4763" s="32"/>
      <c r="C4763" s="32"/>
      <c r="D4763" s="32"/>
      <c r="E4763" s="34" t="str">
        <f aca="false">IF($B4763="","",IF($B4763="OUT","Liters",IFERROR(INDEX(Setup!$F$3:$F$24,MATCH($C4763,Setup!$A$3:$A$24,0)),"")))</f>
        <v/>
      </c>
      <c r="F4763" s="28" t="str">
        <f aca="false">IF(OR($D4763="",$E4763=""),"",IFERROR($D4763*INDEX(Setup!$B$27:$B$44,MATCH($E4763,Setup!$A$27:$A$44,0)),"TBD"))</f>
        <v/>
      </c>
      <c r="G4763" s="32"/>
      <c r="H4763" s="32"/>
      <c r="I4763" s="32"/>
      <c r="J4763" s="32"/>
      <c r="K4763" s="35"/>
      <c r="L4763" s="32"/>
      <c r="M4763" s="32"/>
    </row>
    <row r="4764" customFormat="false" ht="15" hidden="false" customHeight="true" outlineLevel="0" collapsed="false">
      <c r="A4764" s="32"/>
      <c r="B4764" s="32"/>
      <c r="C4764" s="32"/>
      <c r="D4764" s="32"/>
      <c r="E4764" s="34" t="str">
        <f aca="false">IF($B4764="","",IF($B4764="OUT","Liters",IFERROR(INDEX(Setup!$F$3:$F$24,MATCH($C4764,Setup!$A$3:$A$24,0)),"")))</f>
        <v/>
      </c>
      <c r="F4764" s="28" t="str">
        <f aca="false">IF(OR($D4764="",$E4764=""),"",IFERROR($D4764*INDEX(Setup!$B$27:$B$44,MATCH($E4764,Setup!$A$27:$A$44,0)),"TBD"))</f>
        <v/>
      </c>
      <c r="G4764" s="32"/>
      <c r="H4764" s="32"/>
      <c r="I4764" s="32"/>
      <c r="J4764" s="32"/>
      <c r="K4764" s="35"/>
      <c r="L4764" s="32"/>
      <c r="M4764" s="32"/>
    </row>
    <row r="4765" customFormat="false" ht="15" hidden="false" customHeight="true" outlineLevel="0" collapsed="false">
      <c r="A4765" s="32"/>
      <c r="B4765" s="32"/>
      <c r="C4765" s="32"/>
      <c r="D4765" s="32"/>
      <c r="E4765" s="34" t="str">
        <f aca="false">IF($B4765="","",IF($B4765="OUT","Liters",IFERROR(INDEX(Setup!$F$3:$F$24,MATCH($C4765,Setup!$A$3:$A$24,0)),"")))</f>
        <v/>
      </c>
      <c r="F4765" s="28" t="str">
        <f aca="false">IF(OR($D4765="",$E4765=""),"",IFERROR($D4765*INDEX(Setup!$B$27:$B$44,MATCH($E4765,Setup!$A$27:$A$44,0)),"TBD"))</f>
        <v/>
      </c>
      <c r="G4765" s="32"/>
      <c r="H4765" s="32"/>
      <c r="I4765" s="32"/>
      <c r="J4765" s="32"/>
      <c r="K4765" s="35"/>
      <c r="L4765" s="32"/>
      <c r="M4765" s="32"/>
    </row>
    <row r="4766" customFormat="false" ht="15" hidden="false" customHeight="true" outlineLevel="0" collapsed="false">
      <c r="A4766" s="32"/>
      <c r="B4766" s="32"/>
      <c r="C4766" s="32"/>
      <c r="D4766" s="32"/>
      <c r="E4766" s="34" t="str">
        <f aca="false">IF($B4766="","",IF($B4766="OUT","Liters",IFERROR(INDEX(Setup!$F$3:$F$24,MATCH($C4766,Setup!$A$3:$A$24,0)),"")))</f>
        <v/>
      </c>
      <c r="F4766" s="28" t="str">
        <f aca="false">IF(OR($D4766="",$E4766=""),"",IFERROR($D4766*INDEX(Setup!$B$27:$B$44,MATCH($E4766,Setup!$A$27:$A$44,0)),"TBD"))</f>
        <v/>
      </c>
      <c r="G4766" s="32"/>
      <c r="H4766" s="32"/>
      <c r="I4766" s="32"/>
      <c r="J4766" s="32"/>
      <c r="K4766" s="35"/>
      <c r="L4766" s="32"/>
      <c r="M4766" s="32"/>
    </row>
    <row r="4767" customFormat="false" ht="15" hidden="false" customHeight="true" outlineLevel="0" collapsed="false">
      <c r="A4767" s="32"/>
      <c r="B4767" s="32"/>
      <c r="C4767" s="32"/>
      <c r="D4767" s="32"/>
      <c r="E4767" s="34" t="str">
        <f aca="false">IF($B4767="","",IF($B4767="OUT","Liters",IFERROR(INDEX(Setup!$F$3:$F$24,MATCH($C4767,Setup!$A$3:$A$24,0)),"")))</f>
        <v/>
      </c>
      <c r="F4767" s="28" t="str">
        <f aca="false">IF(OR($D4767="",$E4767=""),"",IFERROR($D4767*INDEX(Setup!$B$27:$B$44,MATCH($E4767,Setup!$A$27:$A$44,0)),"TBD"))</f>
        <v/>
      </c>
      <c r="G4767" s="32"/>
      <c r="H4767" s="32"/>
      <c r="I4767" s="32"/>
      <c r="J4767" s="32"/>
      <c r="K4767" s="35"/>
      <c r="L4767" s="32"/>
      <c r="M4767" s="32"/>
    </row>
    <row r="4768" customFormat="false" ht="15" hidden="false" customHeight="true" outlineLevel="0" collapsed="false">
      <c r="A4768" s="32"/>
      <c r="B4768" s="32"/>
      <c r="C4768" s="32"/>
      <c r="D4768" s="32"/>
      <c r="E4768" s="34" t="str">
        <f aca="false">IF($B4768="","",IF($B4768="OUT","Liters",IFERROR(INDEX(Setup!$F$3:$F$24,MATCH($C4768,Setup!$A$3:$A$24,0)),"")))</f>
        <v/>
      </c>
      <c r="F4768" s="28" t="str">
        <f aca="false">IF(OR($D4768="",$E4768=""),"",IFERROR($D4768*INDEX(Setup!$B$27:$B$44,MATCH($E4768,Setup!$A$27:$A$44,0)),"TBD"))</f>
        <v/>
      </c>
      <c r="G4768" s="32"/>
      <c r="H4768" s="32"/>
      <c r="I4768" s="32"/>
      <c r="J4768" s="32"/>
      <c r="K4768" s="35"/>
      <c r="L4768" s="32"/>
      <c r="M4768" s="32"/>
    </row>
    <row r="4769" customFormat="false" ht="15" hidden="false" customHeight="true" outlineLevel="0" collapsed="false">
      <c r="A4769" s="32"/>
      <c r="B4769" s="32"/>
      <c r="C4769" s="32"/>
      <c r="D4769" s="32"/>
      <c r="E4769" s="34" t="str">
        <f aca="false">IF($B4769="","",IF($B4769="OUT","Liters",IFERROR(INDEX(Setup!$F$3:$F$24,MATCH($C4769,Setup!$A$3:$A$24,0)),"")))</f>
        <v/>
      </c>
      <c r="F4769" s="28" t="str">
        <f aca="false">IF(OR($D4769="",$E4769=""),"",IFERROR($D4769*INDEX(Setup!$B$27:$B$44,MATCH($E4769,Setup!$A$27:$A$44,0)),"TBD"))</f>
        <v/>
      </c>
      <c r="G4769" s="32"/>
      <c r="H4769" s="32"/>
      <c r="I4769" s="32"/>
      <c r="J4769" s="32"/>
      <c r="K4769" s="35"/>
      <c r="L4769" s="32"/>
      <c r="M4769" s="32"/>
    </row>
    <row r="4770" customFormat="false" ht="15" hidden="false" customHeight="true" outlineLevel="0" collapsed="false">
      <c r="A4770" s="32"/>
      <c r="B4770" s="32"/>
      <c r="C4770" s="32"/>
      <c r="D4770" s="32"/>
      <c r="E4770" s="34" t="str">
        <f aca="false">IF($B4770="","",IF($B4770="OUT","Liters",IFERROR(INDEX(Setup!$F$3:$F$24,MATCH($C4770,Setup!$A$3:$A$24,0)),"")))</f>
        <v/>
      </c>
      <c r="F4770" s="28" t="str">
        <f aca="false">IF(OR($D4770="",$E4770=""),"",IFERROR($D4770*INDEX(Setup!$B$27:$B$44,MATCH($E4770,Setup!$A$27:$A$44,0)),"TBD"))</f>
        <v/>
      </c>
      <c r="G4770" s="32"/>
      <c r="H4770" s="32"/>
      <c r="I4770" s="32"/>
      <c r="J4770" s="32"/>
      <c r="K4770" s="35"/>
      <c r="L4770" s="32"/>
      <c r="M4770" s="32"/>
    </row>
    <row r="4771" customFormat="false" ht="15" hidden="false" customHeight="true" outlineLevel="0" collapsed="false">
      <c r="A4771" s="32"/>
      <c r="B4771" s="32"/>
      <c r="C4771" s="32"/>
      <c r="D4771" s="32"/>
      <c r="E4771" s="34" t="str">
        <f aca="false">IF($B4771="","",IF($B4771="OUT","Liters",IFERROR(INDEX(Setup!$F$3:$F$24,MATCH($C4771,Setup!$A$3:$A$24,0)),"")))</f>
        <v/>
      </c>
      <c r="F4771" s="28" t="str">
        <f aca="false">IF(OR($D4771="",$E4771=""),"",IFERROR($D4771*INDEX(Setup!$B$27:$B$44,MATCH($E4771,Setup!$A$27:$A$44,0)),"TBD"))</f>
        <v/>
      </c>
      <c r="G4771" s="32"/>
      <c r="H4771" s="32"/>
      <c r="I4771" s="32"/>
      <c r="J4771" s="32"/>
      <c r="K4771" s="35"/>
      <c r="L4771" s="32"/>
      <c r="M4771" s="32"/>
    </row>
    <row r="4772" customFormat="false" ht="15" hidden="false" customHeight="true" outlineLevel="0" collapsed="false">
      <c r="A4772" s="32"/>
      <c r="B4772" s="32"/>
      <c r="C4772" s="32"/>
      <c r="D4772" s="32"/>
      <c r="E4772" s="34" t="str">
        <f aca="false">IF($B4772="","",IF($B4772="OUT","Liters",IFERROR(INDEX(Setup!$F$3:$F$24,MATCH($C4772,Setup!$A$3:$A$24,0)),"")))</f>
        <v/>
      </c>
      <c r="F4772" s="28" t="str">
        <f aca="false">IF(OR($D4772="",$E4772=""),"",IFERROR($D4772*INDEX(Setup!$B$27:$B$44,MATCH($E4772,Setup!$A$27:$A$44,0)),"TBD"))</f>
        <v/>
      </c>
      <c r="G4772" s="32"/>
      <c r="H4772" s="32"/>
      <c r="I4772" s="32"/>
      <c r="J4772" s="32"/>
      <c r="K4772" s="35"/>
      <c r="L4772" s="32"/>
      <c r="M4772" s="32"/>
    </row>
    <row r="4773" customFormat="false" ht="15" hidden="false" customHeight="true" outlineLevel="0" collapsed="false">
      <c r="A4773" s="32"/>
      <c r="B4773" s="32"/>
      <c r="C4773" s="32"/>
      <c r="D4773" s="32"/>
      <c r="E4773" s="34" t="str">
        <f aca="false">IF($B4773="","",IF($B4773="OUT","Liters",IFERROR(INDEX(Setup!$F$3:$F$24,MATCH($C4773,Setup!$A$3:$A$24,0)),"")))</f>
        <v/>
      </c>
      <c r="F4773" s="28" t="str">
        <f aca="false">IF(OR($D4773="",$E4773=""),"",IFERROR($D4773*INDEX(Setup!$B$27:$B$44,MATCH($E4773,Setup!$A$27:$A$44,0)),"TBD"))</f>
        <v/>
      </c>
      <c r="G4773" s="32"/>
      <c r="H4773" s="32"/>
      <c r="I4773" s="32"/>
      <c r="J4773" s="32"/>
      <c r="K4773" s="35"/>
      <c r="L4773" s="32"/>
      <c r="M4773" s="32"/>
    </row>
    <row r="4774" customFormat="false" ht="15" hidden="false" customHeight="true" outlineLevel="0" collapsed="false">
      <c r="A4774" s="32"/>
      <c r="B4774" s="32"/>
      <c r="C4774" s="32"/>
      <c r="D4774" s="32"/>
      <c r="E4774" s="34" t="str">
        <f aca="false">IF($B4774="","",IF($B4774="OUT","Liters",IFERROR(INDEX(Setup!$F$3:$F$24,MATCH($C4774,Setup!$A$3:$A$24,0)),"")))</f>
        <v/>
      </c>
      <c r="F4774" s="28" t="str">
        <f aca="false">IF(OR($D4774="",$E4774=""),"",IFERROR($D4774*INDEX(Setup!$B$27:$B$44,MATCH($E4774,Setup!$A$27:$A$44,0)),"TBD"))</f>
        <v/>
      </c>
      <c r="G4774" s="32"/>
      <c r="H4774" s="32"/>
      <c r="I4774" s="32"/>
      <c r="J4774" s="32"/>
      <c r="K4774" s="35"/>
      <c r="L4774" s="32"/>
      <c r="M4774" s="32"/>
    </row>
    <row r="4775" customFormat="false" ht="15" hidden="false" customHeight="true" outlineLevel="0" collapsed="false">
      <c r="A4775" s="32"/>
      <c r="B4775" s="32"/>
      <c r="C4775" s="32"/>
      <c r="D4775" s="32"/>
      <c r="E4775" s="34" t="str">
        <f aca="false">IF($B4775="","",IF($B4775="OUT","Liters",IFERROR(INDEX(Setup!$F$3:$F$24,MATCH($C4775,Setup!$A$3:$A$24,0)),"")))</f>
        <v/>
      </c>
      <c r="F4775" s="28" t="str">
        <f aca="false">IF(OR($D4775="",$E4775=""),"",IFERROR($D4775*INDEX(Setup!$B$27:$B$44,MATCH($E4775,Setup!$A$27:$A$44,0)),"TBD"))</f>
        <v/>
      </c>
      <c r="G4775" s="32"/>
      <c r="H4775" s="32"/>
      <c r="I4775" s="32"/>
      <c r="J4775" s="32"/>
      <c r="K4775" s="35"/>
      <c r="L4775" s="32"/>
      <c r="M4775" s="32"/>
    </row>
    <row r="4776" customFormat="false" ht="15" hidden="false" customHeight="true" outlineLevel="0" collapsed="false">
      <c r="A4776" s="32"/>
      <c r="B4776" s="32"/>
      <c r="C4776" s="32"/>
      <c r="D4776" s="32"/>
      <c r="E4776" s="34" t="str">
        <f aca="false">IF($B4776="","",IF($B4776="OUT","Liters",IFERROR(INDEX(Setup!$F$3:$F$24,MATCH($C4776,Setup!$A$3:$A$24,0)),"")))</f>
        <v/>
      </c>
      <c r="F4776" s="28" t="str">
        <f aca="false">IF(OR($D4776="",$E4776=""),"",IFERROR($D4776*INDEX(Setup!$B$27:$B$44,MATCH($E4776,Setup!$A$27:$A$44,0)),"TBD"))</f>
        <v/>
      </c>
      <c r="G4776" s="32"/>
      <c r="H4776" s="32"/>
      <c r="I4776" s="32"/>
      <c r="J4776" s="32"/>
      <c r="K4776" s="35"/>
      <c r="L4776" s="32"/>
      <c r="M4776" s="32"/>
    </row>
    <row r="4777" customFormat="false" ht="15" hidden="false" customHeight="true" outlineLevel="0" collapsed="false">
      <c r="A4777" s="32"/>
      <c r="B4777" s="32"/>
      <c r="C4777" s="32"/>
      <c r="D4777" s="32"/>
      <c r="E4777" s="34" t="str">
        <f aca="false">IF($B4777="","",IF($B4777="OUT","Liters",IFERROR(INDEX(Setup!$F$3:$F$24,MATCH($C4777,Setup!$A$3:$A$24,0)),"")))</f>
        <v/>
      </c>
      <c r="F4777" s="28" t="str">
        <f aca="false">IF(OR($D4777="",$E4777=""),"",IFERROR($D4777*INDEX(Setup!$B$27:$B$44,MATCH($E4777,Setup!$A$27:$A$44,0)),"TBD"))</f>
        <v/>
      </c>
      <c r="G4777" s="32"/>
      <c r="H4777" s="32"/>
      <c r="I4777" s="32"/>
      <c r="J4777" s="32"/>
      <c r="K4777" s="35"/>
      <c r="L4777" s="32"/>
      <c r="M4777" s="32"/>
    </row>
    <row r="4778" customFormat="false" ht="15" hidden="false" customHeight="true" outlineLevel="0" collapsed="false">
      <c r="A4778" s="32"/>
      <c r="B4778" s="32"/>
      <c r="C4778" s="32"/>
      <c r="D4778" s="32"/>
      <c r="E4778" s="34" t="str">
        <f aca="false">IF($B4778="","",IF($B4778="OUT","Liters",IFERROR(INDEX(Setup!$F$3:$F$24,MATCH($C4778,Setup!$A$3:$A$24,0)),"")))</f>
        <v/>
      </c>
      <c r="F4778" s="28" t="str">
        <f aca="false">IF(OR($D4778="",$E4778=""),"",IFERROR($D4778*INDEX(Setup!$B$27:$B$44,MATCH($E4778,Setup!$A$27:$A$44,0)),"TBD"))</f>
        <v/>
      </c>
      <c r="G4778" s="32"/>
      <c r="H4778" s="32"/>
      <c r="I4778" s="32"/>
      <c r="J4778" s="32"/>
      <c r="K4778" s="35"/>
      <c r="L4778" s="32"/>
      <c r="M4778" s="32"/>
    </row>
    <row r="4779" customFormat="false" ht="15" hidden="false" customHeight="true" outlineLevel="0" collapsed="false">
      <c r="A4779" s="32"/>
      <c r="B4779" s="32"/>
      <c r="C4779" s="32"/>
      <c r="D4779" s="32"/>
      <c r="E4779" s="34" t="str">
        <f aca="false">IF($B4779="","",IF($B4779="OUT","Liters",IFERROR(INDEX(Setup!$F$3:$F$24,MATCH($C4779,Setup!$A$3:$A$24,0)),"")))</f>
        <v/>
      </c>
      <c r="F4779" s="28" t="str">
        <f aca="false">IF(OR($D4779="",$E4779=""),"",IFERROR($D4779*INDEX(Setup!$B$27:$B$44,MATCH($E4779,Setup!$A$27:$A$44,0)),"TBD"))</f>
        <v/>
      </c>
      <c r="G4779" s="32"/>
      <c r="H4779" s="32"/>
      <c r="I4779" s="32"/>
      <c r="J4779" s="32"/>
      <c r="K4779" s="35"/>
      <c r="L4779" s="32"/>
      <c r="M4779" s="32"/>
    </row>
    <row r="4780" customFormat="false" ht="15" hidden="false" customHeight="true" outlineLevel="0" collapsed="false">
      <c r="A4780" s="32"/>
      <c r="B4780" s="32"/>
      <c r="C4780" s="32"/>
      <c r="D4780" s="32"/>
      <c r="E4780" s="34" t="str">
        <f aca="false">IF($B4780="","",IF($B4780="OUT","Liters",IFERROR(INDEX(Setup!$F$3:$F$24,MATCH($C4780,Setup!$A$3:$A$24,0)),"")))</f>
        <v/>
      </c>
      <c r="F4780" s="28" t="str">
        <f aca="false">IF(OR($D4780="",$E4780=""),"",IFERROR($D4780*INDEX(Setup!$B$27:$B$44,MATCH($E4780,Setup!$A$27:$A$44,0)),"TBD"))</f>
        <v/>
      </c>
      <c r="G4780" s="32"/>
      <c r="H4780" s="32"/>
      <c r="I4780" s="32"/>
      <c r="J4780" s="32"/>
      <c r="K4780" s="35"/>
      <c r="L4780" s="32"/>
      <c r="M4780" s="32"/>
    </row>
    <row r="4781" customFormat="false" ht="15" hidden="false" customHeight="true" outlineLevel="0" collapsed="false">
      <c r="A4781" s="32"/>
      <c r="B4781" s="32"/>
      <c r="C4781" s="32"/>
      <c r="D4781" s="32"/>
      <c r="E4781" s="34" t="str">
        <f aca="false">IF($B4781="","",IF($B4781="OUT","Liters",IFERROR(INDEX(Setup!$F$3:$F$24,MATCH($C4781,Setup!$A$3:$A$24,0)),"")))</f>
        <v/>
      </c>
      <c r="F4781" s="28" t="str">
        <f aca="false">IF(OR($D4781="",$E4781=""),"",IFERROR($D4781*INDEX(Setup!$B$27:$B$44,MATCH($E4781,Setup!$A$27:$A$44,0)),"TBD"))</f>
        <v/>
      </c>
      <c r="G4781" s="32"/>
      <c r="H4781" s="32"/>
      <c r="I4781" s="32"/>
      <c r="J4781" s="32"/>
      <c r="K4781" s="35"/>
      <c r="L4781" s="32"/>
      <c r="M4781" s="32"/>
    </row>
    <row r="4782" customFormat="false" ht="15" hidden="false" customHeight="true" outlineLevel="0" collapsed="false">
      <c r="A4782" s="32"/>
      <c r="B4782" s="32"/>
      <c r="C4782" s="32"/>
      <c r="D4782" s="32"/>
      <c r="E4782" s="34" t="str">
        <f aca="false">IF($B4782="","",IF($B4782="OUT","Liters",IFERROR(INDEX(Setup!$F$3:$F$24,MATCH($C4782,Setup!$A$3:$A$24,0)),"")))</f>
        <v/>
      </c>
      <c r="F4782" s="28" t="str">
        <f aca="false">IF(OR($D4782="",$E4782=""),"",IFERROR($D4782*INDEX(Setup!$B$27:$B$44,MATCH($E4782,Setup!$A$27:$A$44,0)),"TBD"))</f>
        <v/>
      </c>
      <c r="G4782" s="32"/>
      <c r="H4782" s="32"/>
      <c r="I4782" s="32"/>
      <c r="J4782" s="32"/>
      <c r="K4782" s="35"/>
      <c r="L4782" s="32"/>
      <c r="M4782" s="32"/>
    </row>
    <row r="4783" customFormat="false" ht="15" hidden="false" customHeight="true" outlineLevel="0" collapsed="false">
      <c r="A4783" s="32"/>
      <c r="B4783" s="32"/>
      <c r="C4783" s="32"/>
      <c r="D4783" s="32"/>
      <c r="E4783" s="34" t="str">
        <f aca="false">IF($B4783="","",IF($B4783="OUT","Liters",IFERROR(INDEX(Setup!$F$3:$F$24,MATCH($C4783,Setup!$A$3:$A$24,0)),"")))</f>
        <v/>
      </c>
      <c r="F4783" s="28" t="str">
        <f aca="false">IF(OR($D4783="",$E4783=""),"",IFERROR($D4783*INDEX(Setup!$B$27:$B$44,MATCH($E4783,Setup!$A$27:$A$44,0)),"TBD"))</f>
        <v/>
      </c>
      <c r="G4783" s="32"/>
      <c r="H4783" s="32"/>
      <c r="I4783" s="32"/>
      <c r="J4783" s="32"/>
      <c r="K4783" s="35"/>
      <c r="L4783" s="32"/>
      <c r="M4783" s="32"/>
    </row>
    <row r="4784" customFormat="false" ht="15" hidden="false" customHeight="true" outlineLevel="0" collapsed="false">
      <c r="A4784" s="32"/>
      <c r="B4784" s="32"/>
      <c r="C4784" s="32"/>
      <c r="D4784" s="32"/>
      <c r="E4784" s="34" t="str">
        <f aca="false">IF($B4784="","",IF($B4784="OUT","Liters",IFERROR(INDEX(Setup!$F$3:$F$24,MATCH($C4784,Setup!$A$3:$A$24,0)),"")))</f>
        <v/>
      </c>
      <c r="F4784" s="28" t="str">
        <f aca="false">IF(OR($D4784="",$E4784=""),"",IFERROR($D4784*INDEX(Setup!$B$27:$B$44,MATCH($E4784,Setup!$A$27:$A$44,0)),"TBD"))</f>
        <v/>
      </c>
      <c r="G4784" s="32"/>
      <c r="H4784" s="32"/>
      <c r="I4784" s="32"/>
      <c r="J4784" s="32"/>
      <c r="K4784" s="35"/>
      <c r="L4784" s="32"/>
      <c r="M4784" s="32"/>
    </row>
    <row r="4785" customFormat="false" ht="15" hidden="false" customHeight="true" outlineLevel="0" collapsed="false">
      <c r="A4785" s="32"/>
      <c r="B4785" s="32"/>
      <c r="C4785" s="32"/>
      <c r="D4785" s="32"/>
      <c r="E4785" s="34" t="str">
        <f aca="false">IF($B4785="","",IF($B4785="OUT","Liters",IFERROR(INDEX(Setup!$F$3:$F$24,MATCH($C4785,Setup!$A$3:$A$24,0)),"")))</f>
        <v/>
      </c>
      <c r="F4785" s="28" t="str">
        <f aca="false">IF(OR($D4785="",$E4785=""),"",IFERROR($D4785*INDEX(Setup!$B$27:$B$44,MATCH($E4785,Setup!$A$27:$A$44,0)),"TBD"))</f>
        <v/>
      </c>
      <c r="G4785" s="32"/>
      <c r="H4785" s="32"/>
      <c r="I4785" s="32"/>
      <c r="J4785" s="32"/>
      <c r="K4785" s="35"/>
      <c r="L4785" s="32"/>
      <c r="M4785" s="32"/>
    </row>
    <row r="4786" customFormat="false" ht="15" hidden="false" customHeight="true" outlineLevel="0" collapsed="false">
      <c r="A4786" s="32"/>
      <c r="B4786" s="32"/>
      <c r="C4786" s="32"/>
      <c r="D4786" s="32"/>
      <c r="E4786" s="34" t="str">
        <f aca="false">IF($B4786="","",IF($B4786="OUT","Liters",IFERROR(INDEX(Setup!$F$3:$F$24,MATCH($C4786,Setup!$A$3:$A$24,0)),"")))</f>
        <v/>
      </c>
      <c r="F4786" s="28" t="str">
        <f aca="false">IF(OR($D4786="",$E4786=""),"",IFERROR($D4786*INDEX(Setup!$B$27:$B$44,MATCH($E4786,Setup!$A$27:$A$44,0)),"TBD"))</f>
        <v/>
      </c>
      <c r="G4786" s="32"/>
      <c r="H4786" s="32"/>
      <c r="I4786" s="32"/>
      <c r="J4786" s="32"/>
      <c r="K4786" s="35"/>
      <c r="L4786" s="32"/>
      <c r="M4786" s="32"/>
    </row>
    <row r="4787" customFormat="false" ht="15" hidden="false" customHeight="true" outlineLevel="0" collapsed="false">
      <c r="A4787" s="32"/>
      <c r="B4787" s="32"/>
      <c r="C4787" s="32"/>
      <c r="D4787" s="32"/>
      <c r="E4787" s="34" t="str">
        <f aca="false">IF($B4787="","",IF($B4787="OUT","Liters",IFERROR(INDEX(Setup!$F$3:$F$24,MATCH($C4787,Setup!$A$3:$A$24,0)),"")))</f>
        <v/>
      </c>
      <c r="F4787" s="28" t="str">
        <f aca="false">IF(OR($D4787="",$E4787=""),"",IFERROR($D4787*INDEX(Setup!$B$27:$B$44,MATCH($E4787,Setup!$A$27:$A$44,0)),"TBD"))</f>
        <v/>
      </c>
      <c r="G4787" s="32"/>
      <c r="H4787" s="32"/>
      <c r="I4787" s="32"/>
      <c r="J4787" s="32"/>
      <c r="K4787" s="35"/>
      <c r="L4787" s="32"/>
      <c r="M4787" s="32"/>
    </row>
    <row r="4788" customFormat="false" ht="15" hidden="false" customHeight="true" outlineLevel="0" collapsed="false">
      <c r="A4788" s="32"/>
      <c r="B4788" s="32"/>
      <c r="C4788" s="32"/>
      <c r="D4788" s="32"/>
      <c r="E4788" s="34" t="str">
        <f aca="false">IF($B4788="","",IF($B4788="OUT","Liters",IFERROR(INDEX(Setup!$F$3:$F$24,MATCH($C4788,Setup!$A$3:$A$24,0)),"")))</f>
        <v/>
      </c>
      <c r="F4788" s="28" t="str">
        <f aca="false">IF(OR($D4788="",$E4788=""),"",IFERROR($D4788*INDEX(Setup!$B$27:$B$44,MATCH($E4788,Setup!$A$27:$A$44,0)),"TBD"))</f>
        <v/>
      </c>
      <c r="G4788" s="32"/>
      <c r="H4788" s="32"/>
      <c r="I4788" s="32"/>
      <c r="J4788" s="32"/>
      <c r="K4788" s="35"/>
      <c r="L4788" s="32"/>
      <c r="M4788" s="32"/>
    </row>
    <row r="4789" customFormat="false" ht="15" hidden="false" customHeight="true" outlineLevel="0" collapsed="false">
      <c r="A4789" s="32"/>
      <c r="B4789" s="32"/>
      <c r="C4789" s="32"/>
      <c r="D4789" s="32"/>
      <c r="E4789" s="34" t="str">
        <f aca="false">IF($B4789="","",IF($B4789="OUT","Liters",IFERROR(INDEX(Setup!$F$3:$F$24,MATCH($C4789,Setup!$A$3:$A$24,0)),"")))</f>
        <v/>
      </c>
      <c r="F4789" s="28" t="str">
        <f aca="false">IF(OR($D4789="",$E4789=""),"",IFERROR($D4789*INDEX(Setup!$B$27:$B$44,MATCH($E4789,Setup!$A$27:$A$44,0)),"TBD"))</f>
        <v/>
      </c>
      <c r="G4789" s="32"/>
      <c r="H4789" s="32"/>
      <c r="I4789" s="32"/>
      <c r="J4789" s="32"/>
      <c r="K4789" s="35"/>
      <c r="L4789" s="32"/>
      <c r="M4789" s="32"/>
    </row>
    <row r="4790" customFormat="false" ht="15" hidden="false" customHeight="true" outlineLevel="0" collapsed="false">
      <c r="A4790" s="32"/>
      <c r="B4790" s="32"/>
      <c r="C4790" s="32"/>
      <c r="D4790" s="32"/>
      <c r="E4790" s="34" t="str">
        <f aca="false">IF($B4790="","",IF($B4790="OUT","Liters",IFERROR(INDEX(Setup!$F$3:$F$24,MATCH($C4790,Setup!$A$3:$A$24,0)),"")))</f>
        <v/>
      </c>
      <c r="F4790" s="28" t="str">
        <f aca="false">IF(OR($D4790="",$E4790=""),"",IFERROR($D4790*INDEX(Setup!$B$27:$B$44,MATCH($E4790,Setup!$A$27:$A$44,0)),"TBD"))</f>
        <v/>
      </c>
      <c r="G4790" s="32"/>
      <c r="H4790" s="32"/>
      <c r="I4790" s="32"/>
      <c r="J4790" s="32"/>
      <c r="K4790" s="35"/>
      <c r="L4790" s="32"/>
      <c r="M4790" s="32"/>
    </row>
    <row r="4791" customFormat="false" ht="15" hidden="false" customHeight="true" outlineLevel="0" collapsed="false">
      <c r="A4791" s="32"/>
      <c r="B4791" s="32"/>
      <c r="C4791" s="32"/>
      <c r="D4791" s="32"/>
      <c r="E4791" s="34" t="str">
        <f aca="false">IF($B4791="","",IF($B4791="OUT","Liters",IFERROR(INDEX(Setup!$F$3:$F$24,MATCH($C4791,Setup!$A$3:$A$24,0)),"")))</f>
        <v/>
      </c>
      <c r="F4791" s="28" t="str">
        <f aca="false">IF(OR($D4791="",$E4791=""),"",IFERROR($D4791*INDEX(Setup!$B$27:$B$44,MATCH($E4791,Setup!$A$27:$A$44,0)),"TBD"))</f>
        <v/>
      </c>
      <c r="G4791" s="32"/>
      <c r="H4791" s="32"/>
      <c r="I4791" s="32"/>
      <c r="J4791" s="32"/>
      <c r="K4791" s="35"/>
      <c r="L4791" s="32"/>
      <c r="M4791" s="32"/>
    </row>
    <row r="4792" customFormat="false" ht="15" hidden="false" customHeight="true" outlineLevel="0" collapsed="false">
      <c r="A4792" s="32"/>
      <c r="B4792" s="32"/>
      <c r="C4792" s="32"/>
      <c r="D4792" s="32"/>
      <c r="E4792" s="34" t="str">
        <f aca="false">IF($B4792="","",IF($B4792="OUT","Liters",IFERROR(INDEX(Setup!$F$3:$F$24,MATCH($C4792,Setup!$A$3:$A$24,0)),"")))</f>
        <v/>
      </c>
      <c r="F4792" s="28" t="str">
        <f aca="false">IF(OR($D4792="",$E4792=""),"",IFERROR($D4792*INDEX(Setup!$B$27:$B$44,MATCH($E4792,Setup!$A$27:$A$44,0)),"TBD"))</f>
        <v/>
      </c>
      <c r="G4792" s="32"/>
      <c r="H4792" s="32"/>
      <c r="I4792" s="32"/>
      <c r="J4792" s="32"/>
      <c r="K4792" s="35"/>
      <c r="L4792" s="32"/>
      <c r="M4792" s="32"/>
    </row>
    <row r="4793" customFormat="false" ht="15" hidden="false" customHeight="true" outlineLevel="0" collapsed="false">
      <c r="A4793" s="32"/>
      <c r="B4793" s="32"/>
      <c r="C4793" s="32"/>
      <c r="D4793" s="32"/>
      <c r="E4793" s="34" t="str">
        <f aca="false">IF($B4793="","",IF($B4793="OUT","Liters",IFERROR(INDEX(Setup!$F$3:$F$24,MATCH($C4793,Setup!$A$3:$A$24,0)),"")))</f>
        <v/>
      </c>
      <c r="F4793" s="28" t="str">
        <f aca="false">IF(OR($D4793="",$E4793=""),"",IFERROR($D4793*INDEX(Setup!$B$27:$B$44,MATCH($E4793,Setup!$A$27:$A$44,0)),"TBD"))</f>
        <v/>
      </c>
      <c r="G4793" s="32"/>
      <c r="H4793" s="32"/>
      <c r="I4793" s="32"/>
      <c r="J4793" s="32"/>
      <c r="K4793" s="35"/>
      <c r="L4793" s="32"/>
      <c r="M4793" s="32"/>
    </row>
    <row r="4794" customFormat="false" ht="15" hidden="false" customHeight="true" outlineLevel="0" collapsed="false">
      <c r="A4794" s="32"/>
      <c r="B4794" s="32"/>
      <c r="C4794" s="32"/>
      <c r="D4794" s="32"/>
      <c r="E4794" s="34" t="str">
        <f aca="false">IF($B4794="","",IF($B4794="OUT","Liters",IFERROR(INDEX(Setup!$F$3:$F$24,MATCH($C4794,Setup!$A$3:$A$24,0)),"")))</f>
        <v/>
      </c>
      <c r="F4794" s="28" t="str">
        <f aca="false">IF(OR($D4794="",$E4794=""),"",IFERROR($D4794*INDEX(Setup!$B$27:$B$44,MATCH($E4794,Setup!$A$27:$A$44,0)),"TBD"))</f>
        <v/>
      </c>
      <c r="G4794" s="32"/>
      <c r="H4794" s="32"/>
      <c r="I4794" s="32"/>
      <c r="J4794" s="32"/>
      <c r="K4794" s="35"/>
      <c r="L4794" s="32"/>
      <c r="M4794" s="32"/>
    </row>
    <row r="4795" customFormat="false" ht="15" hidden="false" customHeight="true" outlineLevel="0" collapsed="false">
      <c r="A4795" s="32"/>
      <c r="B4795" s="32"/>
      <c r="C4795" s="32"/>
      <c r="D4795" s="32"/>
      <c r="E4795" s="34" t="str">
        <f aca="false">IF($B4795="","",IF($B4795="OUT","Liters",IFERROR(INDEX(Setup!$F$3:$F$24,MATCH($C4795,Setup!$A$3:$A$24,0)),"")))</f>
        <v/>
      </c>
      <c r="F4795" s="28" t="str">
        <f aca="false">IF(OR($D4795="",$E4795=""),"",IFERROR($D4795*INDEX(Setup!$B$27:$B$44,MATCH($E4795,Setup!$A$27:$A$44,0)),"TBD"))</f>
        <v/>
      </c>
      <c r="G4795" s="32"/>
      <c r="H4795" s="32"/>
      <c r="I4795" s="32"/>
      <c r="J4795" s="32"/>
      <c r="K4795" s="35"/>
      <c r="L4795" s="32"/>
      <c r="M4795" s="32"/>
    </row>
    <row r="4796" customFormat="false" ht="15" hidden="false" customHeight="true" outlineLevel="0" collapsed="false">
      <c r="A4796" s="32"/>
      <c r="B4796" s="32"/>
      <c r="C4796" s="32"/>
      <c r="D4796" s="32"/>
      <c r="E4796" s="34" t="str">
        <f aca="false">IF($B4796="","",IF($B4796="OUT","Liters",IFERROR(INDEX(Setup!$F$3:$F$24,MATCH($C4796,Setup!$A$3:$A$24,0)),"")))</f>
        <v/>
      </c>
      <c r="F4796" s="28" t="str">
        <f aca="false">IF(OR($D4796="",$E4796=""),"",IFERROR($D4796*INDEX(Setup!$B$27:$B$44,MATCH($E4796,Setup!$A$27:$A$44,0)),"TBD"))</f>
        <v/>
      </c>
      <c r="G4796" s="32"/>
      <c r="H4796" s="32"/>
      <c r="I4796" s="32"/>
      <c r="J4796" s="32"/>
      <c r="K4796" s="35"/>
      <c r="L4796" s="32"/>
      <c r="M4796" s="32"/>
    </row>
    <row r="4797" customFormat="false" ht="15" hidden="false" customHeight="true" outlineLevel="0" collapsed="false">
      <c r="A4797" s="32"/>
      <c r="B4797" s="32"/>
      <c r="C4797" s="32"/>
      <c r="D4797" s="32"/>
      <c r="E4797" s="34" t="str">
        <f aca="false">IF($B4797="","",IF($B4797="OUT","Liters",IFERROR(INDEX(Setup!$F$3:$F$24,MATCH($C4797,Setup!$A$3:$A$24,0)),"")))</f>
        <v/>
      </c>
      <c r="F4797" s="28" t="str">
        <f aca="false">IF(OR($D4797="",$E4797=""),"",IFERROR($D4797*INDEX(Setup!$B$27:$B$44,MATCH($E4797,Setup!$A$27:$A$44,0)),"TBD"))</f>
        <v/>
      </c>
      <c r="G4797" s="32"/>
      <c r="H4797" s="32"/>
      <c r="I4797" s="32"/>
      <c r="J4797" s="32"/>
      <c r="K4797" s="35"/>
      <c r="L4797" s="32"/>
      <c r="M4797" s="32"/>
    </row>
    <row r="4798" customFormat="false" ht="15" hidden="false" customHeight="true" outlineLevel="0" collapsed="false">
      <c r="A4798" s="32"/>
      <c r="B4798" s="32"/>
      <c r="C4798" s="32"/>
      <c r="D4798" s="32"/>
      <c r="E4798" s="34" t="str">
        <f aca="false">IF($B4798="","",IF($B4798="OUT","Liters",IFERROR(INDEX(Setup!$F$3:$F$24,MATCH($C4798,Setup!$A$3:$A$24,0)),"")))</f>
        <v/>
      </c>
      <c r="F4798" s="28" t="str">
        <f aca="false">IF(OR($D4798="",$E4798=""),"",IFERROR($D4798*INDEX(Setup!$B$27:$B$44,MATCH($E4798,Setup!$A$27:$A$44,0)),"TBD"))</f>
        <v/>
      </c>
      <c r="G4798" s="32"/>
      <c r="H4798" s="32"/>
      <c r="I4798" s="32"/>
      <c r="J4798" s="32"/>
      <c r="K4798" s="35"/>
      <c r="L4798" s="32"/>
      <c r="M4798" s="32"/>
    </row>
    <row r="4799" customFormat="false" ht="15" hidden="false" customHeight="true" outlineLevel="0" collapsed="false">
      <c r="A4799" s="32"/>
      <c r="B4799" s="32"/>
      <c r="C4799" s="32"/>
      <c r="D4799" s="32"/>
      <c r="E4799" s="34" t="str">
        <f aca="false">IF($B4799="","",IF($B4799="OUT","Liters",IFERROR(INDEX(Setup!$F$3:$F$24,MATCH($C4799,Setup!$A$3:$A$24,0)),"")))</f>
        <v/>
      </c>
      <c r="F4799" s="28" t="str">
        <f aca="false">IF(OR($D4799="",$E4799=""),"",IFERROR($D4799*INDEX(Setup!$B$27:$B$44,MATCH($E4799,Setup!$A$27:$A$44,0)),"TBD"))</f>
        <v/>
      </c>
      <c r="G4799" s="32"/>
      <c r="H4799" s="32"/>
      <c r="I4799" s="32"/>
      <c r="J4799" s="32"/>
      <c r="K4799" s="35"/>
      <c r="L4799" s="32"/>
      <c r="M4799" s="32"/>
    </row>
    <row r="4800" customFormat="false" ht="15" hidden="false" customHeight="true" outlineLevel="0" collapsed="false">
      <c r="A4800" s="32"/>
      <c r="B4800" s="32"/>
      <c r="C4800" s="32"/>
      <c r="D4800" s="32"/>
      <c r="E4800" s="34" t="str">
        <f aca="false">IF($B4800="","",IF($B4800="OUT","Liters",IFERROR(INDEX(Setup!$F$3:$F$24,MATCH($C4800,Setup!$A$3:$A$24,0)),"")))</f>
        <v/>
      </c>
      <c r="F4800" s="28" t="str">
        <f aca="false">IF(OR($D4800="",$E4800=""),"",IFERROR($D4800*INDEX(Setup!$B$27:$B$44,MATCH($E4800,Setup!$A$27:$A$44,0)),"TBD"))</f>
        <v/>
      </c>
      <c r="G4800" s="32"/>
      <c r="H4800" s="32"/>
      <c r="I4800" s="32"/>
      <c r="J4800" s="32"/>
      <c r="K4800" s="35"/>
      <c r="L4800" s="32"/>
      <c r="M4800" s="32"/>
    </row>
    <row r="4801" customFormat="false" ht="15" hidden="false" customHeight="true" outlineLevel="0" collapsed="false">
      <c r="A4801" s="32"/>
      <c r="B4801" s="32"/>
      <c r="C4801" s="32"/>
      <c r="D4801" s="32"/>
      <c r="E4801" s="34" t="str">
        <f aca="false">IF($B4801="","",IF($B4801="OUT","Liters",IFERROR(INDEX(Setup!$F$3:$F$24,MATCH($C4801,Setup!$A$3:$A$24,0)),"")))</f>
        <v/>
      </c>
      <c r="F4801" s="28" t="str">
        <f aca="false">IF(OR($D4801="",$E4801=""),"",IFERROR($D4801*INDEX(Setup!$B$27:$B$44,MATCH($E4801,Setup!$A$27:$A$44,0)),"TBD"))</f>
        <v/>
      </c>
      <c r="G4801" s="32"/>
      <c r="H4801" s="32"/>
      <c r="I4801" s="32"/>
      <c r="J4801" s="32"/>
      <c r="K4801" s="35"/>
      <c r="L4801" s="32"/>
      <c r="M4801" s="32"/>
    </row>
    <row r="4802" customFormat="false" ht="15" hidden="false" customHeight="true" outlineLevel="0" collapsed="false">
      <c r="A4802" s="32"/>
      <c r="B4802" s="32"/>
      <c r="C4802" s="32"/>
      <c r="D4802" s="32"/>
      <c r="E4802" s="34" t="str">
        <f aca="false">IF($B4802="","",IF($B4802="OUT","Liters",IFERROR(INDEX(Setup!$F$3:$F$24,MATCH($C4802,Setup!$A$3:$A$24,0)),"")))</f>
        <v/>
      </c>
      <c r="F4802" s="28" t="str">
        <f aca="false">IF(OR($D4802="",$E4802=""),"",IFERROR($D4802*INDEX(Setup!$B$27:$B$44,MATCH($E4802,Setup!$A$27:$A$44,0)),"TBD"))</f>
        <v/>
      </c>
      <c r="G4802" s="32"/>
      <c r="H4802" s="32"/>
      <c r="I4802" s="32"/>
      <c r="J4802" s="32"/>
      <c r="K4802" s="35"/>
      <c r="L4802" s="32"/>
      <c r="M4802" s="32"/>
    </row>
    <row r="4803" customFormat="false" ht="15" hidden="false" customHeight="true" outlineLevel="0" collapsed="false">
      <c r="A4803" s="32"/>
      <c r="B4803" s="32"/>
      <c r="C4803" s="32"/>
      <c r="D4803" s="32"/>
      <c r="E4803" s="34" t="str">
        <f aca="false">IF($B4803="","",IF($B4803="OUT","Liters",IFERROR(INDEX(Setup!$F$3:$F$24,MATCH($C4803,Setup!$A$3:$A$24,0)),"")))</f>
        <v/>
      </c>
      <c r="F4803" s="28" t="str">
        <f aca="false">IF(OR($D4803="",$E4803=""),"",IFERROR($D4803*INDEX(Setup!$B$27:$B$44,MATCH($E4803,Setup!$A$27:$A$44,0)),"TBD"))</f>
        <v/>
      </c>
      <c r="G4803" s="32"/>
      <c r="H4803" s="32"/>
      <c r="I4803" s="32"/>
      <c r="J4803" s="32"/>
      <c r="K4803" s="35"/>
      <c r="L4803" s="32"/>
      <c r="M4803" s="32"/>
    </row>
    <row r="4804" customFormat="false" ht="15" hidden="false" customHeight="true" outlineLevel="0" collapsed="false">
      <c r="A4804" s="32"/>
      <c r="B4804" s="32"/>
      <c r="C4804" s="32"/>
      <c r="D4804" s="32"/>
      <c r="E4804" s="34" t="str">
        <f aca="false">IF($B4804="","",IF($B4804="OUT","Liters",IFERROR(INDEX(Setup!$F$3:$F$24,MATCH($C4804,Setup!$A$3:$A$24,0)),"")))</f>
        <v/>
      </c>
      <c r="F4804" s="28" t="str">
        <f aca="false">IF(OR($D4804="",$E4804=""),"",IFERROR($D4804*INDEX(Setup!$B$27:$B$44,MATCH($E4804,Setup!$A$27:$A$44,0)),"TBD"))</f>
        <v/>
      </c>
      <c r="G4804" s="32"/>
      <c r="H4804" s="32"/>
      <c r="I4804" s="32"/>
      <c r="J4804" s="32"/>
      <c r="K4804" s="35"/>
      <c r="L4804" s="32"/>
      <c r="M4804" s="32"/>
    </row>
    <row r="4805" customFormat="false" ht="15" hidden="false" customHeight="true" outlineLevel="0" collapsed="false">
      <c r="A4805" s="32"/>
      <c r="B4805" s="32"/>
      <c r="C4805" s="32"/>
      <c r="D4805" s="32"/>
      <c r="E4805" s="34" t="str">
        <f aca="false">IF($B4805="","",IF($B4805="OUT","Liters",IFERROR(INDEX(Setup!$F$3:$F$24,MATCH($C4805,Setup!$A$3:$A$24,0)),"")))</f>
        <v/>
      </c>
      <c r="F4805" s="28" t="str">
        <f aca="false">IF(OR($D4805="",$E4805=""),"",IFERROR($D4805*INDEX(Setup!$B$27:$B$44,MATCH($E4805,Setup!$A$27:$A$44,0)),"TBD"))</f>
        <v/>
      </c>
      <c r="G4805" s="32"/>
      <c r="H4805" s="32"/>
      <c r="I4805" s="32"/>
      <c r="J4805" s="32"/>
      <c r="K4805" s="35"/>
      <c r="L4805" s="32"/>
      <c r="M4805" s="32"/>
    </row>
    <row r="4806" customFormat="false" ht="15" hidden="false" customHeight="true" outlineLevel="0" collapsed="false">
      <c r="A4806" s="32"/>
      <c r="B4806" s="32"/>
      <c r="C4806" s="32"/>
      <c r="D4806" s="32"/>
      <c r="E4806" s="34" t="str">
        <f aca="false">IF($B4806="","",IF($B4806="OUT","Liters",IFERROR(INDEX(Setup!$F$3:$F$24,MATCH($C4806,Setup!$A$3:$A$24,0)),"")))</f>
        <v/>
      </c>
      <c r="F4806" s="28" t="str">
        <f aca="false">IF(OR($D4806="",$E4806=""),"",IFERROR($D4806*INDEX(Setup!$B$27:$B$44,MATCH($E4806,Setup!$A$27:$A$44,0)),"TBD"))</f>
        <v/>
      </c>
      <c r="G4806" s="32"/>
      <c r="H4806" s="32"/>
      <c r="I4806" s="32"/>
      <c r="J4806" s="32"/>
      <c r="K4806" s="35"/>
      <c r="L4806" s="32"/>
      <c r="M4806" s="32"/>
    </row>
    <row r="4807" customFormat="false" ht="15" hidden="false" customHeight="true" outlineLevel="0" collapsed="false">
      <c r="A4807" s="32"/>
      <c r="B4807" s="32"/>
      <c r="C4807" s="32"/>
      <c r="D4807" s="32"/>
      <c r="E4807" s="34" t="str">
        <f aca="false">IF($B4807="","",IF($B4807="OUT","Liters",IFERROR(INDEX(Setup!$F$3:$F$24,MATCH($C4807,Setup!$A$3:$A$24,0)),"")))</f>
        <v/>
      </c>
      <c r="F4807" s="28" t="str">
        <f aca="false">IF(OR($D4807="",$E4807=""),"",IFERROR($D4807*INDEX(Setup!$B$27:$B$44,MATCH($E4807,Setup!$A$27:$A$44,0)),"TBD"))</f>
        <v/>
      </c>
      <c r="G4807" s="32"/>
      <c r="H4807" s="32"/>
      <c r="I4807" s="32"/>
      <c r="J4807" s="32"/>
      <c r="K4807" s="35"/>
      <c r="L4807" s="32"/>
      <c r="M4807" s="32"/>
    </row>
    <row r="4808" customFormat="false" ht="15" hidden="false" customHeight="true" outlineLevel="0" collapsed="false">
      <c r="A4808" s="32"/>
      <c r="B4808" s="32"/>
      <c r="C4808" s="32"/>
      <c r="D4808" s="32"/>
      <c r="E4808" s="34" t="str">
        <f aca="false">IF($B4808="","",IF($B4808="OUT","Liters",IFERROR(INDEX(Setup!$F$3:$F$24,MATCH($C4808,Setup!$A$3:$A$24,0)),"")))</f>
        <v/>
      </c>
      <c r="F4808" s="28" t="str">
        <f aca="false">IF(OR($D4808="",$E4808=""),"",IFERROR($D4808*INDEX(Setup!$B$27:$B$44,MATCH($E4808,Setup!$A$27:$A$44,0)),"TBD"))</f>
        <v/>
      </c>
      <c r="G4808" s="32"/>
      <c r="H4808" s="32"/>
      <c r="I4808" s="32"/>
      <c r="J4808" s="32"/>
      <c r="K4808" s="35"/>
      <c r="L4808" s="32"/>
      <c r="M4808" s="32"/>
    </row>
    <row r="4809" customFormat="false" ht="15" hidden="false" customHeight="true" outlineLevel="0" collapsed="false">
      <c r="A4809" s="32"/>
      <c r="B4809" s="32"/>
      <c r="C4809" s="32"/>
      <c r="D4809" s="32"/>
      <c r="E4809" s="34" t="str">
        <f aca="false">IF($B4809="","",IF($B4809="OUT","Liters",IFERROR(INDEX(Setup!$F$3:$F$24,MATCH($C4809,Setup!$A$3:$A$24,0)),"")))</f>
        <v/>
      </c>
      <c r="F4809" s="28" t="str">
        <f aca="false">IF(OR($D4809="",$E4809=""),"",IFERROR($D4809*INDEX(Setup!$B$27:$B$44,MATCH($E4809,Setup!$A$27:$A$44,0)),"TBD"))</f>
        <v/>
      </c>
      <c r="G4809" s="32"/>
      <c r="H4809" s="32"/>
      <c r="I4809" s="32"/>
      <c r="J4809" s="32"/>
      <c r="K4809" s="35"/>
      <c r="L4809" s="32"/>
      <c r="M4809" s="32"/>
    </row>
    <row r="4810" customFormat="false" ht="15" hidden="false" customHeight="true" outlineLevel="0" collapsed="false">
      <c r="A4810" s="32"/>
      <c r="B4810" s="32"/>
      <c r="C4810" s="32"/>
      <c r="D4810" s="32"/>
      <c r="E4810" s="34" t="str">
        <f aca="false">IF($B4810="","",IF($B4810="OUT","Liters",IFERROR(INDEX(Setup!$F$3:$F$24,MATCH($C4810,Setup!$A$3:$A$24,0)),"")))</f>
        <v/>
      </c>
      <c r="F4810" s="28" t="str">
        <f aca="false">IF(OR($D4810="",$E4810=""),"",IFERROR($D4810*INDEX(Setup!$B$27:$B$44,MATCH($E4810,Setup!$A$27:$A$44,0)),"TBD"))</f>
        <v/>
      </c>
      <c r="G4810" s="32"/>
      <c r="H4810" s="32"/>
      <c r="I4810" s="32"/>
      <c r="J4810" s="32"/>
      <c r="K4810" s="35"/>
      <c r="L4810" s="32"/>
      <c r="M4810" s="32"/>
    </row>
    <row r="4811" customFormat="false" ht="15" hidden="false" customHeight="true" outlineLevel="0" collapsed="false">
      <c r="A4811" s="32"/>
      <c r="B4811" s="32"/>
      <c r="C4811" s="32"/>
      <c r="D4811" s="32"/>
      <c r="E4811" s="34" t="str">
        <f aca="false">IF($B4811="","",IF($B4811="OUT","Liters",IFERROR(INDEX(Setup!$F$3:$F$24,MATCH($C4811,Setup!$A$3:$A$24,0)),"")))</f>
        <v/>
      </c>
      <c r="F4811" s="28" t="str">
        <f aca="false">IF(OR($D4811="",$E4811=""),"",IFERROR($D4811*INDEX(Setup!$B$27:$B$44,MATCH($E4811,Setup!$A$27:$A$44,0)),"TBD"))</f>
        <v/>
      </c>
      <c r="G4811" s="32"/>
      <c r="H4811" s="32"/>
      <c r="I4811" s="32"/>
      <c r="J4811" s="32"/>
      <c r="K4811" s="35"/>
      <c r="L4811" s="32"/>
      <c r="M4811" s="32"/>
    </row>
    <row r="4812" customFormat="false" ht="15" hidden="false" customHeight="true" outlineLevel="0" collapsed="false">
      <c r="A4812" s="32"/>
      <c r="B4812" s="32"/>
      <c r="C4812" s="32"/>
      <c r="D4812" s="32"/>
      <c r="E4812" s="34" t="str">
        <f aca="false">IF($B4812="","",IF($B4812="OUT","Liters",IFERROR(INDEX(Setup!$F$3:$F$24,MATCH($C4812,Setup!$A$3:$A$24,0)),"")))</f>
        <v/>
      </c>
      <c r="F4812" s="28" t="str">
        <f aca="false">IF(OR($D4812="",$E4812=""),"",IFERROR($D4812*INDEX(Setup!$B$27:$B$44,MATCH($E4812,Setup!$A$27:$A$44,0)),"TBD"))</f>
        <v/>
      </c>
      <c r="G4812" s="32"/>
      <c r="H4812" s="32"/>
      <c r="I4812" s="32"/>
      <c r="J4812" s="32"/>
      <c r="K4812" s="35"/>
      <c r="L4812" s="32"/>
      <c r="M4812" s="32"/>
    </row>
    <row r="4813" customFormat="false" ht="15" hidden="false" customHeight="true" outlineLevel="0" collapsed="false">
      <c r="A4813" s="32"/>
      <c r="B4813" s="32"/>
      <c r="C4813" s="32"/>
      <c r="D4813" s="32"/>
      <c r="E4813" s="34" t="str">
        <f aca="false">IF($B4813="","",IF($B4813="OUT","Liters",IFERROR(INDEX(Setup!$F$3:$F$24,MATCH($C4813,Setup!$A$3:$A$24,0)),"")))</f>
        <v/>
      </c>
      <c r="F4813" s="28" t="str">
        <f aca="false">IF(OR($D4813="",$E4813=""),"",IFERROR($D4813*INDEX(Setup!$B$27:$B$44,MATCH($E4813,Setup!$A$27:$A$44,0)),"TBD"))</f>
        <v/>
      </c>
      <c r="G4813" s="32"/>
      <c r="H4813" s="32"/>
      <c r="I4813" s="32"/>
      <c r="J4813" s="32"/>
      <c r="K4813" s="35"/>
      <c r="L4813" s="32"/>
      <c r="M4813" s="32"/>
    </row>
    <row r="4814" customFormat="false" ht="15" hidden="false" customHeight="true" outlineLevel="0" collapsed="false">
      <c r="A4814" s="32"/>
      <c r="B4814" s="32"/>
      <c r="C4814" s="32"/>
      <c r="D4814" s="32"/>
      <c r="E4814" s="34" t="str">
        <f aca="false">IF($B4814="","",IF($B4814="OUT","Liters",IFERROR(INDEX(Setup!$F$3:$F$24,MATCH($C4814,Setup!$A$3:$A$24,0)),"")))</f>
        <v/>
      </c>
      <c r="F4814" s="28" t="str">
        <f aca="false">IF(OR($D4814="",$E4814=""),"",IFERROR($D4814*INDEX(Setup!$B$27:$B$44,MATCH($E4814,Setup!$A$27:$A$44,0)),"TBD"))</f>
        <v/>
      </c>
      <c r="G4814" s="32"/>
      <c r="H4814" s="32"/>
      <c r="I4814" s="32"/>
      <c r="J4814" s="32"/>
      <c r="K4814" s="35"/>
      <c r="L4814" s="32"/>
      <c r="M4814" s="32"/>
    </row>
    <row r="4815" customFormat="false" ht="15" hidden="false" customHeight="true" outlineLevel="0" collapsed="false">
      <c r="A4815" s="32"/>
      <c r="B4815" s="32"/>
      <c r="C4815" s="32"/>
      <c r="D4815" s="32"/>
      <c r="E4815" s="34" t="str">
        <f aca="false">IF($B4815="","",IF($B4815="OUT","Liters",IFERROR(INDEX(Setup!$F$3:$F$24,MATCH($C4815,Setup!$A$3:$A$24,0)),"")))</f>
        <v/>
      </c>
      <c r="F4815" s="28" t="str">
        <f aca="false">IF(OR($D4815="",$E4815=""),"",IFERROR($D4815*INDEX(Setup!$B$27:$B$44,MATCH($E4815,Setup!$A$27:$A$44,0)),"TBD"))</f>
        <v/>
      </c>
      <c r="G4815" s="32"/>
      <c r="H4815" s="32"/>
      <c r="I4815" s="32"/>
      <c r="J4815" s="32"/>
      <c r="K4815" s="35"/>
      <c r="L4815" s="32"/>
      <c r="M4815" s="32"/>
    </row>
    <row r="4816" customFormat="false" ht="15" hidden="false" customHeight="true" outlineLevel="0" collapsed="false">
      <c r="A4816" s="32"/>
      <c r="B4816" s="32"/>
      <c r="C4816" s="32"/>
      <c r="D4816" s="32"/>
      <c r="E4816" s="34" t="str">
        <f aca="false">IF($B4816="","",IF($B4816="OUT","Liters",IFERROR(INDEX(Setup!$F$3:$F$24,MATCH($C4816,Setup!$A$3:$A$24,0)),"")))</f>
        <v/>
      </c>
      <c r="F4816" s="28" t="str">
        <f aca="false">IF(OR($D4816="",$E4816=""),"",IFERROR($D4816*INDEX(Setup!$B$27:$B$44,MATCH($E4816,Setup!$A$27:$A$44,0)),"TBD"))</f>
        <v/>
      </c>
      <c r="G4816" s="32"/>
      <c r="H4816" s="32"/>
      <c r="I4816" s="32"/>
      <c r="J4816" s="32"/>
      <c r="K4816" s="35"/>
      <c r="L4816" s="32"/>
      <c r="M4816" s="32"/>
    </row>
    <row r="4817" customFormat="false" ht="15" hidden="false" customHeight="true" outlineLevel="0" collapsed="false">
      <c r="A4817" s="32"/>
      <c r="B4817" s="32"/>
      <c r="C4817" s="32"/>
      <c r="D4817" s="32"/>
      <c r="E4817" s="34" t="str">
        <f aca="false">IF($B4817="","",IF($B4817="OUT","Liters",IFERROR(INDEX(Setup!$F$3:$F$24,MATCH($C4817,Setup!$A$3:$A$24,0)),"")))</f>
        <v/>
      </c>
      <c r="F4817" s="28" t="str">
        <f aca="false">IF(OR($D4817="",$E4817=""),"",IFERROR($D4817*INDEX(Setup!$B$27:$B$44,MATCH($E4817,Setup!$A$27:$A$44,0)),"TBD"))</f>
        <v/>
      </c>
      <c r="G4817" s="32"/>
      <c r="H4817" s="32"/>
      <c r="I4817" s="32"/>
      <c r="J4817" s="32"/>
      <c r="K4817" s="35"/>
      <c r="L4817" s="32"/>
      <c r="M4817" s="32"/>
    </row>
    <row r="4818" customFormat="false" ht="15" hidden="false" customHeight="true" outlineLevel="0" collapsed="false">
      <c r="A4818" s="32"/>
      <c r="B4818" s="32"/>
      <c r="C4818" s="32"/>
      <c r="D4818" s="32"/>
      <c r="E4818" s="34" t="str">
        <f aca="false">IF($B4818="","",IF($B4818="OUT","Liters",IFERROR(INDEX(Setup!$F$3:$F$24,MATCH($C4818,Setup!$A$3:$A$24,0)),"")))</f>
        <v/>
      </c>
      <c r="F4818" s="28" t="str">
        <f aca="false">IF(OR($D4818="",$E4818=""),"",IFERROR($D4818*INDEX(Setup!$B$27:$B$44,MATCH($E4818,Setup!$A$27:$A$44,0)),"TBD"))</f>
        <v/>
      </c>
      <c r="G4818" s="32"/>
      <c r="H4818" s="32"/>
      <c r="I4818" s="32"/>
      <c r="J4818" s="32"/>
      <c r="K4818" s="35"/>
      <c r="L4818" s="32"/>
      <c r="M4818" s="32"/>
    </row>
    <row r="4819" customFormat="false" ht="15" hidden="false" customHeight="true" outlineLevel="0" collapsed="false">
      <c r="A4819" s="32"/>
      <c r="B4819" s="32"/>
      <c r="C4819" s="32"/>
      <c r="D4819" s="32"/>
      <c r="E4819" s="34" t="str">
        <f aca="false">IF($B4819="","",IF($B4819="OUT","Liters",IFERROR(INDEX(Setup!$F$3:$F$24,MATCH($C4819,Setup!$A$3:$A$24,0)),"")))</f>
        <v/>
      </c>
      <c r="F4819" s="28" t="str">
        <f aca="false">IF(OR($D4819="",$E4819=""),"",IFERROR($D4819*INDEX(Setup!$B$27:$B$44,MATCH($E4819,Setup!$A$27:$A$44,0)),"TBD"))</f>
        <v/>
      </c>
      <c r="G4819" s="32"/>
      <c r="H4819" s="32"/>
      <c r="I4819" s="32"/>
      <c r="J4819" s="32"/>
      <c r="K4819" s="35"/>
      <c r="L4819" s="32"/>
      <c r="M4819" s="32"/>
    </row>
    <row r="4820" customFormat="false" ht="15" hidden="false" customHeight="true" outlineLevel="0" collapsed="false">
      <c r="A4820" s="32"/>
      <c r="B4820" s="32"/>
      <c r="C4820" s="32"/>
      <c r="D4820" s="32"/>
      <c r="E4820" s="34" t="str">
        <f aca="false">IF($B4820="","",IF($B4820="OUT","Liters",IFERROR(INDEX(Setup!$F$3:$F$24,MATCH($C4820,Setup!$A$3:$A$24,0)),"")))</f>
        <v/>
      </c>
      <c r="F4820" s="28" t="str">
        <f aca="false">IF(OR($D4820="",$E4820=""),"",IFERROR($D4820*INDEX(Setup!$B$27:$B$44,MATCH($E4820,Setup!$A$27:$A$44,0)),"TBD"))</f>
        <v/>
      </c>
      <c r="G4820" s="32"/>
      <c r="H4820" s="32"/>
      <c r="I4820" s="32"/>
      <c r="J4820" s="32"/>
      <c r="K4820" s="35"/>
      <c r="L4820" s="32"/>
      <c r="M4820" s="32"/>
    </row>
    <row r="4821" customFormat="false" ht="15" hidden="false" customHeight="true" outlineLevel="0" collapsed="false">
      <c r="A4821" s="32"/>
      <c r="B4821" s="32"/>
      <c r="C4821" s="32"/>
      <c r="D4821" s="32"/>
      <c r="E4821" s="34" t="str">
        <f aca="false">IF($B4821="","",IF($B4821="OUT","Liters",IFERROR(INDEX(Setup!$F$3:$F$24,MATCH($C4821,Setup!$A$3:$A$24,0)),"")))</f>
        <v/>
      </c>
      <c r="F4821" s="28" t="str">
        <f aca="false">IF(OR($D4821="",$E4821=""),"",IFERROR($D4821*INDEX(Setup!$B$27:$B$44,MATCH($E4821,Setup!$A$27:$A$44,0)),"TBD"))</f>
        <v/>
      </c>
      <c r="G4821" s="32"/>
      <c r="H4821" s="32"/>
      <c r="I4821" s="32"/>
      <c r="J4821" s="32"/>
      <c r="K4821" s="35"/>
      <c r="L4821" s="32"/>
      <c r="M4821" s="32"/>
    </row>
    <row r="4822" customFormat="false" ht="15" hidden="false" customHeight="true" outlineLevel="0" collapsed="false">
      <c r="A4822" s="32"/>
      <c r="B4822" s="32"/>
      <c r="C4822" s="32"/>
      <c r="D4822" s="32"/>
      <c r="E4822" s="34" t="str">
        <f aca="false">IF($B4822="","",IF($B4822="OUT","Liters",IFERROR(INDEX(Setup!$F$3:$F$24,MATCH($C4822,Setup!$A$3:$A$24,0)),"")))</f>
        <v/>
      </c>
      <c r="F4822" s="28" t="str">
        <f aca="false">IF(OR($D4822="",$E4822=""),"",IFERROR($D4822*INDEX(Setup!$B$27:$B$44,MATCH($E4822,Setup!$A$27:$A$44,0)),"TBD"))</f>
        <v/>
      </c>
      <c r="G4822" s="32"/>
      <c r="H4822" s="32"/>
      <c r="I4822" s="32"/>
      <c r="J4822" s="32"/>
      <c r="K4822" s="35"/>
      <c r="L4822" s="32"/>
      <c r="M4822" s="32"/>
    </row>
    <row r="4823" customFormat="false" ht="15" hidden="false" customHeight="true" outlineLevel="0" collapsed="false">
      <c r="A4823" s="32"/>
      <c r="B4823" s="32"/>
      <c r="C4823" s="32"/>
      <c r="D4823" s="32"/>
      <c r="E4823" s="34" t="str">
        <f aca="false">IF($B4823="","",IF($B4823="OUT","Liters",IFERROR(INDEX(Setup!$F$3:$F$24,MATCH($C4823,Setup!$A$3:$A$24,0)),"")))</f>
        <v/>
      </c>
      <c r="F4823" s="28" t="str">
        <f aca="false">IF(OR($D4823="",$E4823=""),"",IFERROR($D4823*INDEX(Setup!$B$27:$B$44,MATCH($E4823,Setup!$A$27:$A$44,0)),"TBD"))</f>
        <v/>
      </c>
      <c r="G4823" s="32"/>
      <c r="H4823" s="32"/>
      <c r="I4823" s="32"/>
      <c r="J4823" s="32"/>
      <c r="K4823" s="35"/>
      <c r="L4823" s="32"/>
      <c r="M4823" s="32"/>
    </row>
    <row r="4824" customFormat="false" ht="15" hidden="false" customHeight="true" outlineLevel="0" collapsed="false">
      <c r="A4824" s="32"/>
      <c r="B4824" s="32"/>
      <c r="C4824" s="32"/>
      <c r="D4824" s="32"/>
      <c r="E4824" s="34" t="str">
        <f aca="false">IF($B4824="","",IF($B4824="OUT","Liters",IFERROR(INDEX(Setup!$F$3:$F$24,MATCH($C4824,Setup!$A$3:$A$24,0)),"")))</f>
        <v/>
      </c>
      <c r="F4824" s="28" t="str">
        <f aca="false">IF(OR($D4824="",$E4824=""),"",IFERROR($D4824*INDEX(Setup!$B$27:$B$44,MATCH($E4824,Setup!$A$27:$A$44,0)),"TBD"))</f>
        <v/>
      </c>
      <c r="G4824" s="32"/>
      <c r="H4824" s="32"/>
      <c r="I4824" s="32"/>
      <c r="J4824" s="32"/>
      <c r="K4824" s="35"/>
      <c r="L4824" s="32"/>
      <c r="M4824" s="32"/>
    </row>
    <row r="4825" customFormat="false" ht="15" hidden="false" customHeight="true" outlineLevel="0" collapsed="false">
      <c r="A4825" s="32"/>
      <c r="B4825" s="32"/>
      <c r="C4825" s="32"/>
      <c r="D4825" s="32"/>
      <c r="E4825" s="34" t="str">
        <f aca="false">IF($B4825="","",IF($B4825="OUT","Liters",IFERROR(INDEX(Setup!$F$3:$F$24,MATCH($C4825,Setup!$A$3:$A$24,0)),"")))</f>
        <v/>
      </c>
      <c r="F4825" s="28" t="str">
        <f aca="false">IF(OR($D4825="",$E4825=""),"",IFERROR($D4825*INDEX(Setup!$B$27:$B$44,MATCH($E4825,Setup!$A$27:$A$44,0)),"TBD"))</f>
        <v/>
      </c>
      <c r="G4825" s="32"/>
      <c r="H4825" s="32"/>
      <c r="I4825" s="32"/>
      <c r="J4825" s="32"/>
      <c r="K4825" s="35"/>
      <c r="L4825" s="32"/>
      <c r="M4825" s="32"/>
    </row>
    <row r="4826" customFormat="false" ht="15" hidden="false" customHeight="true" outlineLevel="0" collapsed="false">
      <c r="A4826" s="32"/>
      <c r="B4826" s="32"/>
      <c r="C4826" s="32"/>
      <c r="D4826" s="32"/>
      <c r="E4826" s="34" t="str">
        <f aca="false">IF($B4826="","",IF($B4826="OUT","Liters",IFERROR(INDEX(Setup!$F$3:$F$24,MATCH($C4826,Setup!$A$3:$A$24,0)),"")))</f>
        <v/>
      </c>
      <c r="F4826" s="28" t="str">
        <f aca="false">IF(OR($D4826="",$E4826=""),"",IFERROR($D4826*INDEX(Setup!$B$27:$B$44,MATCH($E4826,Setup!$A$27:$A$44,0)),"TBD"))</f>
        <v/>
      </c>
      <c r="G4826" s="32"/>
      <c r="H4826" s="32"/>
      <c r="I4826" s="32"/>
      <c r="J4826" s="32"/>
      <c r="K4826" s="35"/>
      <c r="L4826" s="32"/>
      <c r="M4826" s="32"/>
    </row>
    <row r="4827" customFormat="false" ht="15" hidden="false" customHeight="true" outlineLevel="0" collapsed="false">
      <c r="A4827" s="32"/>
      <c r="B4827" s="32"/>
      <c r="C4827" s="32"/>
      <c r="D4827" s="32"/>
      <c r="E4827" s="34" t="str">
        <f aca="false">IF($B4827="","",IF($B4827="OUT","Liters",IFERROR(INDEX(Setup!$F$3:$F$24,MATCH($C4827,Setup!$A$3:$A$24,0)),"")))</f>
        <v/>
      </c>
      <c r="F4827" s="28" t="str">
        <f aca="false">IF(OR($D4827="",$E4827=""),"",IFERROR($D4827*INDEX(Setup!$B$27:$B$44,MATCH($E4827,Setup!$A$27:$A$44,0)),"TBD"))</f>
        <v/>
      </c>
      <c r="G4827" s="32"/>
      <c r="H4827" s="32"/>
      <c r="I4827" s="32"/>
      <c r="J4827" s="32"/>
      <c r="K4827" s="35"/>
      <c r="L4827" s="32"/>
      <c r="M4827" s="32"/>
    </row>
    <row r="4828" customFormat="false" ht="15" hidden="false" customHeight="true" outlineLevel="0" collapsed="false">
      <c r="A4828" s="32"/>
      <c r="B4828" s="32"/>
      <c r="C4828" s="32"/>
      <c r="D4828" s="32"/>
      <c r="E4828" s="34" t="str">
        <f aca="false">IF($B4828="","",IF($B4828="OUT","Liters",IFERROR(INDEX(Setup!$F$3:$F$24,MATCH($C4828,Setup!$A$3:$A$24,0)),"")))</f>
        <v/>
      </c>
      <c r="F4828" s="28" t="str">
        <f aca="false">IF(OR($D4828="",$E4828=""),"",IFERROR($D4828*INDEX(Setup!$B$27:$B$44,MATCH($E4828,Setup!$A$27:$A$44,0)),"TBD"))</f>
        <v/>
      </c>
      <c r="G4828" s="32"/>
      <c r="H4828" s="32"/>
      <c r="I4828" s="32"/>
      <c r="J4828" s="32"/>
      <c r="K4828" s="35"/>
      <c r="L4828" s="32"/>
      <c r="M4828" s="32"/>
    </row>
    <row r="4829" customFormat="false" ht="15" hidden="false" customHeight="true" outlineLevel="0" collapsed="false">
      <c r="A4829" s="32"/>
      <c r="B4829" s="32"/>
      <c r="C4829" s="32"/>
      <c r="D4829" s="32"/>
      <c r="E4829" s="34" t="str">
        <f aca="false">IF($B4829="","",IF($B4829="OUT","Liters",IFERROR(INDEX(Setup!$F$3:$F$24,MATCH($C4829,Setup!$A$3:$A$24,0)),"")))</f>
        <v/>
      </c>
      <c r="F4829" s="28" t="str">
        <f aca="false">IF(OR($D4829="",$E4829=""),"",IFERROR($D4829*INDEX(Setup!$B$27:$B$44,MATCH($E4829,Setup!$A$27:$A$44,0)),"TBD"))</f>
        <v/>
      </c>
      <c r="G4829" s="32"/>
      <c r="H4829" s="32"/>
      <c r="I4829" s="32"/>
      <c r="J4829" s="32"/>
      <c r="K4829" s="35"/>
      <c r="L4829" s="32"/>
      <c r="M4829" s="32"/>
    </row>
    <row r="4830" customFormat="false" ht="15" hidden="false" customHeight="true" outlineLevel="0" collapsed="false">
      <c r="A4830" s="32"/>
      <c r="B4830" s="32"/>
      <c r="C4830" s="32"/>
      <c r="D4830" s="32"/>
      <c r="E4830" s="34" t="str">
        <f aca="false">IF($B4830="","",IF($B4830="OUT","Liters",IFERROR(INDEX(Setup!$F$3:$F$24,MATCH($C4830,Setup!$A$3:$A$24,0)),"")))</f>
        <v/>
      </c>
      <c r="F4830" s="28" t="str">
        <f aca="false">IF(OR($D4830="",$E4830=""),"",IFERROR($D4830*INDEX(Setup!$B$27:$B$44,MATCH($E4830,Setup!$A$27:$A$44,0)),"TBD"))</f>
        <v/>
      </c>
      <c r="G4830" s="32"/>
      <c r="H4830" s="32"/>
      <c r="I4830" s="32"/>
      <c r="J4830" s="32"/>
      <c r="K4830" s="35"/>
      <c r="L4830" s="32"/>
      <c r="M4830" s="32"/>
    </row>
    <row r="4831" customFormat="false" ht="15" hidden="false" customHeight="true" outlineLevel="0" collapsed="false">
      <c r="A4831" s="32"/>
      <c r="B4831" s="32"/>
      <c r="C4831" s="32"/>
      <c r="D4831" s="32"/>
      <c r="E4831" s="34" t="str">
        <f aca="false">IF($B4831="","",IF($B4831="OUT","Liters",IFERROR(INDEX(Setup!$F$3:$F$24,MATCH($C4831,Setup!$A$3:$A$24,0)),"")))</f>
        <v/>
      </c>
      <c r="F4831" s="28" t="str">
        <f aca="false">IF(OR($D4831="",$E4831=""),"",IFERROR($D4831*INDEX(Setup!$B$27:$B$44,MATCH($E4831,Setup!$A$27:$A$44,0)),"TBD"))</f>
        <v/>
      </c>
      <c r="G4831" s="32"/>
      <c r="H4831" s="32"/>
      <c r="I4831" s="32"/>
      <c r="J4831" s="32"/>
      <c r="K4831" s="35"/>
      <c r="L4831" s="32"/>
      <c r="M4831" s="32"/>
    </row>
    <row r="4832" customFormat="false" ht="15" hidden="false" customHeight="true" outlineLevel="0" collapsed="false">
      <c r="A4832" s="32"/>
      <c r="B4832" s="32"/>
      <c r="C4832" s="32"/>
      <c r="D4832" s="32"/>
      <c r="E4832" s="34" t="str">
        <f aca="false">IF($B4832="","",IF($B4832="OUT","Liters",IFERROR(INDEX(Setup!$F$3:$F$24,MATCH($C4832,Setup!$A$3:$A$24,0)),"")))</f>
        <v/>
      </c>
      <c r="F4832" s="28" t="str">
        <f aca="false">IF(OR($D4832="",$E4832=""),"",IFERROR($D4832*INDEX(Setup!$B$27:$B$44,MATCH($E4832,Setup!$A$27:$A$44,0)),"TBD"))</f>
        <v/>
      </c>
      <c r="G4832" s="32"/>
      <c r="H4832" s="32"/>
      <c r="I4832" s="32"/>
      <c r="J4832" s="32"/>
      <c r="K4832" s="35"/>
      <c r="L4832" s="32"/>
      <c r="M4832" s="32"/>
    </row>
    <row r="4833" customFormat="false" ht="15" hidden="false" customHeight="true" outlineLevel="0" collapsed="false">
      <c r="A4833" s="32"/>
      <c r="B4833" s="32"/>
      <c r="C4833" s="32"/>
      <c r="D4833" s="32"/>
      <c r="E4833" s="34" t="str">
        <f aca="false">IF($B4833="","",IF($B4833="OUT","Liters",IFERROR(INDEX(Setup!$F$3:$F$24,MATCH($C4833,Setup!$A$3:$A$24,0)),"")))</f>
        <v/>
      </c>
      <c r="F4833" s="28" t="str">
        <f aca="false">IF(OR($D4833="",$E4833=""),"",IFERROR($D4833*INDEX(Setup!$B$27:$B$44,MATCH($E4833,Setup!$A$27:$A$44,0)),"TBD"))</f>
        <v/>
      </c>
      <c r="G4833" s="32"/>
      <c r="H4833" s="32"/>
      <c r="I4833" s="32"/>
      <c r="J4833" s="32"/>
      <c r="K4833" s="35"/>
      <c r="L4833" s="32"/>
      <c r="M4833" s="32"/>
    </row>
    <row r="4834" customFormat="false" ht="15" hidden="false" customHeight="true" outlineLevel="0" collapsed="false">
      <c r="A4834" s="32"/>
      <c r="B4834" s="32"/>
      <c r="C4834" s="32"/>
      <c r="D4834" s="32"/>
      <c r="E4834" s="34" t="str">
        <f aca="false">IF($B4834="","",IF($B4834="OUT","Liters",IFERROR(INDEX(Setup!$F$3:$F$24,MATCH($C4834,Setup!$A$3:$A$24,0)),"")))</f>
        <v/>
      </c>
      <c r="F4834" s="28" t="str">
        <f aca="false">IF(OR($D4834="",$E4834=""),"",IFERROR($D4834*INDEX(Setup!$B$27:$B$44,MATCH($E4834,Setup!$A$27:$A$44,0)),"TBD"))</f>
        <v/>
      </c>
      <c r="G4834" s="32"/>
      <c r="H4834" s="32"/>
      <c r="I4834" s="32"/>
      <c r="J4834" s="32"/>
      <c r="K4834" s="35"/>
      <c r="L4834" s="32"/>
      <c r="M4834" s="32"/>
    </row>
    <row r="4835" customFormat="false" ht="15" hidden="false" customHeight="true" outlineLevel="0" collapsed="false">
      <c r="A4835" s="32"/>
      <c r="B4835" s="32"/>
      <c r="C4835" s="32"/>
      <c r="D4835" s="32"/>
      <c r="E4835" s="34" t="str">
        <f aca="false">IF($B4835="","",IF($B4835="OUT","Liters",IFERROR(INDEX(Setup!$F$3:$F$24,MATCH($C4835,Setup!$A$3:$A$24,0)),"")))</f>
        <v/>
      </c>
      <c r="F4835" s="28" t="str">
        <f aca="false">IF(OR($D4835="",$E4835=""),"",IFERROR($D4835*INDEX(Setup!$B$27:$B$44,MATCH($E4835,Setup!$A$27:$A$44,0)),"TBD"))</f>
        <v/>
      </c>
      <c r="G4835" s="32"/>
      <c r="H4835" s="32"/>
      <c r="I4835" s="32"/>
      <c r="J4835" s="32"/>
      <c r="K4835" s="35"/>
      <c r="L4835" s="32"/>
      <c r="M4835" s="32"/>
    </row>
    <row r="4836" customFormat="false" ht="15" hidden="false" customHeight="true" outlineLevel="0" collapsed="false">
      <c r="A4836" s="32"/>
      <c r="B4836" s="32"/>
      <c r="C4836" s="32"/>
      <c r="D4836" s="32"/>
      <c r="E4836" s="34" t="str">
        <f aca="false">IF($B4836="","",IF($B4836="OUT","Liters",IFERROR(INDEX(Setup!$F$3:$F$24,MATCH($C4836,Setup!$A$3:$A$24,0)),"")))</f>
        <v/>
      </c>
      <c r="F4836" s="28" t="str">
        <f aca="false">IF(OR($D4836="",$E4836=""),"",IFERROR($D4836*INDEX(Setup!$B$27:$B$44,MATCH($E4836,Setup!$A$27:$A$44,0)),"TBD"))</f>
        <v/>
      </c>
      <c r="G4836" s="32"/>
      <c r="H4836" s="32"/>
      <c r="I4836" s="32"/>
      <c r="J4836" s="32"/>
      <c r="K4836" s="35"/>
      <c r="L4836" s="32"/>
      <c r="M4836" s="32"/>
    </row>
    <row r="4837" customFormat="false" ht="15" hidden="false" customHeight="true" outlineLevel="0" collapsed="false">
      <c r="A4837" s="32"/>
      <c r="B4837" s="32"/>
      <c r="C4837" s="32"/>
      <c r="D4837" s="32"/>
      <c r="E4837" s="34" t="str">
        <f aca="false">IF($B4837="","",IF($B4837="OUT","Liters",IFERROR(INDEX(Setup!$F$3:$F$24,MATCH($C4837,Setup!$A$3:$A$24,0)),"")))</f>
        <v/>
      </c>
      <c r="F4837" s="28" t="str">
        <f aca="false">IF(OR($D4837="",$E4837=""),"",IFERROR($D4837*INDEX(Setup!$B$27:$B$44,MATCH($E4837,Setup!$A$27:$A$44,0)),"TBD"))</f>
        <v/>
      </c>
      <c r="G4837" s="32"/>
      <c r="H4837" s="32"/>
      <c r="I4837" s="32"/>
      <c r="J4837" s="32"/>
      <c r="K4837" s="35"/>
      <c r="L4837" s="32"/>
      <c r="M4837" s="32"/>
    </row>
    <row r="4838" customFormat="false" ht="15" hidden="false" customHeight="true" outlineLevel="0" collapsed="false">
      <c r="A4838" s="32"/>
      <c r="B4838" s="32"/>
      <c r="C4838" s="32"/>
      <c r="D4838" s="32"/>
      <c r="E4838" s="34" t="str">
        <f aca="false">IF($B4838="","",IF($B4838="OUT","Liters",IFERROR(INDEX(Setup!$F$3:$F$24,MATCH($C4838,Setup!$A$3:$A$24,0)),"")))</f>
        <v/>
      </c>
      <c r="F4838" s="28" t="str">
        <f aca="false">IF(OR($D4838="",$E4838=""),"",IFERROR($D4838*INDEX(Setup!$B$27:$B$44,MATCH($E4838,Setup!$A$27:$A$44,0)),"TBD"))</f>
        <v/>
      </c>
      <c r="G4838" s="32"/>
      <c r="H4838" s="32"/>
      <c r="I4838" s="32"/>
      <c r="J4838" s="32"/>
      <c r="K4838" s="35"/>
      <c r="L4838" s="32"/>
      <c r="M4838" s="32"/>
    </row>
    <row r="4839" customFormat="false" ht="15" hidden="false" customHeight="true" outlineLevel="0" collapsed="false">
      <c r="A4839" s="32"/>
      <c r="B4839" s="32"/>
      <c r="C4839" s="32"/>
      <c r="D4839" s="32"/>
      <c r="E4839" s="34" t="str">
        <f aca="false">IF($B4839="","",IF($B4839="OUT","Liters",IFERROR(INDEX(Setup!$F$3:$F$24,MATCH($C4839,Setup!$A$3:$A$24,0)),"")))</f>
        <v/>
      </c>
      <c r="F4839" s="28" t="str">
        <f aca="false">IF(OR($D4839="",$E4839=""),"",IFERROR($D4839*INDEX(Setup!$B$27:$B$44,MATCH($E4839,Setup!$A$27:$A$44,0)),"TBD"))</f>
        <v/>
      </c>
      <c r="G4839" s="32"/>
      <c r="H4839" s="32"/>
      <c r="I4839" s="32"/>
      <c r="J4839" s="32"/>
      <c r="K4839" s="35"/>
      <c r="L4839" s="32"/>
      <c r="M4839" s="32"/>
    </row>
    <row r="4840" customFormat="false" ht="15" hidden="false" customHeight="true" outlineLevel="0" collapsed="false">
      <c r="A4840" s="32"/>
      <c r="B4840" s="32"/>
      <c r="C4840" s="32"/>
      <c r="D4840" s="32"/>
      <c r="E4840" s="34" t="str">
        <f aca="false">IF($B4840="","",IF($B4840="OUT","Liters",IFERROR(INDEX(Setup!$F$3:$F$24,MATCH($C4840,Setup!$A$3:$A$24,0)),"")))</f>
        <v/>
      </c>
      <c r="F4840" s="28" t="str">
        <f aca="false">IF(OR($D4840="",$E4840=""),"",IFERROR($D4840*INDEX(Setup!$B$27:$B$44,MATCH($E4840,Setup!$A$27:$A$44,0)),"TBD"))</f>
        <v/>
      </c>
      <c r="G4840" s="32"/>
      <c r="H4840" s="32"/>
      <c r="I4840" s="32"/>
      <c r="J4840" s="32"/>
      <c r="K4840" s="35"/>
      <c r="L4840" s="32"/>
      <c r="M4840" s="32"/>
    </row>
    <row r="4841" customFormat="false" ht="15" hidden="false" customHeight="true" outlineLevel="0" collapsed="false">
      <c r="A4841" s="32"/>
      <c r="B4841" s="32"/>
      <c r="C4841" s="32"/>
      <c r="D4841" s="32"/>
      <c r="E4841" s="34" t="str">
        <f aca="false">IF($B4841="","",IF($B4841="OUT","Liters",IFERROR(INDEX(Setup!$F$3:$F$24,MATCH($C4841,Setup!$A$3:$A$24,0)),"")))</f>
        <v/>
      </c>
      <c r="F4841" s="28" t="str">
        <f aca="false">IF(OR($D4841="",$E4841=""),"",IFERROR($D4841*INDEX(Setup!$B$27:$B$44,MATCH($E4841,Setup!$A$27:$A$44,0)),"TBD"))</f>
        <v/>
      </c>
      <c r="G4841" s="32"/>
      <c r="H4841" s="32"/>
      <c r="I4841" s="32"/>
      <c r="J4841" s="32"/>
      <c r="K4841" s="35"/>
      <c r="L4841" s="32"/>
      <c r="M4841" s="32"/>
    </row>
    <row r="4842" customFormat="false" ht="15" hidden="false" customHeight="true" outlineLevel="0" collapsed="false">
      <c r="A4842" s="32"/>
      <c r="B4842" s="32"/>
      <c r="C4842" s="32"/>
      <c r="D4842" s="32"/>
      <c r="E4842" s="34" t="str">
        <f aca="false">IF($B4842="","",IF($B4842="OUT","Liters",IFERROR(INDEX(Setup!$F$3:$F$24,MATCH($C4842,Setup!$A$3:$A$24,0)),"")))</f>
        <v/>
      </c>
      <c r="F4842" s="28" t="str">
        <f aca="false">IF(OR($D4842="",$E4842=""),"",IFERROR($D4842*INDEX(Setup!$B$27:$B$44,MATCH($E4842,Setup!$A$27:$A$44,0)),"TBD"))</f>
        <v/>
      </c>
      <c r="G4842" s="32"/>
      <c r="H4842" s="32"/>
      <c r="I4842" s="32"/>
      <c r="J4842" s="32"/>
      <c r="K4842" s="35"/>
      <c r="L4842" s="32"/>
      <c r="M4842" s="32"/>
    </row>
    <row r="4843" customFormat="false" ht="15" hidden="false" customHeight="true" outlineLevel="0" collapsed="false">
      <c r="A4843" s="32"/>
      <c r="B4843" s="32"/>
      <c r="C4843" s="32"/>
      <c r="D4843" s="32"/>
      <c r="E4843" s="34" t="str">
        <f aca="false">IF($B4843="","",IF($B4843="OUT","Liters",IFERROR(INDEX(Setup!$F$3:$F$24,MATCH($C4843,Setup!$A$3:$A$24,0)),"")))</f>
        <v/>
      </c>
      <c r="F4843" s="28" t="str">
        <f aca="false">IF(OR($D4843="",$E4843=""),"",IFERROR($D4843*INDEX(Setup!$B$27:$B$44,MATCH($E4843,Setup!$A$27:$A$44,0)),"TBD"))</f>
        <v/>
      </c>
      <c r="G4843" s="32"/>
      <c r="H4843" s="32"/>
      <c r="I4843" s="32"/>
      <c r="J4843" s="32"/>
      <c r="K4843" s="35"/>
      <c r="L4843" s="32"/>
      <c r="M4843" s="32"/>
    </row>
    <row r="4844" customFormat="false" ht="15" hidden="false" customHeight="true" outlineLevel="0" collapsed="false">
      <c r="A4844" s="32"/>
      <c r="B4844" s="32"/>
      <c r="C4844" s="32"/>
      <c r="D4844" s="32"/>
      <c r="E4844" s="34" t="str">
        <f aca="false">IF($B4844="","",IF($B4844="OUT","Liters",IFERROR(INDEX(Setup!$F$3:$F$24,MATCH($C4844,Setup!$A$3:$A$24,0)),"")))</f>
        <v/>
      </c>
      <c r="F4844" s="28" t="str">
        <f aca="false">IF(OR($D4844="",$E4844=""),"",IFERROR($D4844*INDEX(Setup!$B$27:$B$44,MATCH($E4844,Setup!$A$27:$A$44,0)),"TBD"))</f>
        <v/>
      </c>
      <c r="G4844" s="32"/>
      <c r="H4844" s="32"/>
      <c r="I4844" s="32"/>
      <c r="J4844" s="32"/>
      <c r="K4844" s="35"/>
      <c r="L4844" s="32"/>
      <c r="M4844" s="32"/>
    </row>
    <row r="4845" customFormat="false" ht="15" hidden="false" customHeight="true" outlineLevel="0" collapsed="false">
      <c r="A4845" s="32"/>
      <c r="B4845" s="32"/>
      <c r="C4845" s="32"/>
      <c r="D4845" s="32"/>
      <c r="E4845" s="34" t="str">
        <f aca="false">IF($B4845="","",IF($B4845="OUT","Liters",IFERROR(INDEX(Setup!$F$3:$F$24,MATCH($C4845,Setup!$A$3:$A$24,0)),"")))</f>
        <v/>
      </c>
      <c r="F4845" s="28" t="str">
        <f aca="false">IF(OR($D4845="",$E4845=""),"",IFERROR($D4845*INDEX(Setup!$B$27:$B$44,MATCH($E4845,Setup!$A$27:$A$44,0)),"TBD"))</f>
        <v/>
      </c>
      <c r="G4845" s="32"/>
      <c r="H4845" s="32"/>
      <c r="I4845" s="32"/>
      <c r="J4845" s="32"/>
      <c r="K4845" s="35"/>
      <c r="L4845" s="32"/>
      <c r="M4845" s="32"/>
    </row>
    <row r="4846" customFormat="false" ht="15" hidden="false" customHeight="true" outlineLevel="0" collapsed="false">
      <c r="A4846" s="32"/>
      <c r="B4846" s="32"/>
      <c r="C4846" s="32"/>
      <c r="D4846" s="32"/>
      <c r="E4846" s="34" t="str">
        <f aca="false">IF($B4846="","",IF($B4846="OUT","Liters",IFERROR(INDEX(Setup!$F$3:$F$24,MATCH($C4846,Setup!$A$3:$A$24,0)),"")))</f>
        <v/>
      </c>
      <c r="F4846" s="28" t="str">
        <f aca="false">IF(OR($D4846="",$E4846=""),"",IFERROR($D4846*INDEX(Setup!$B$27:$B$44,MATCH($E4846,Setup!$A$27:$A$44,0)),"TBD"))</f>
        <v/>
      </c>
      <c r="G4846" s="32"/>
      <c r="H4846" s="32"/>
      <c r="I4846" s="32"/>
      <c r="J4846" s="32"/>
      <c r="K4846" s="35"/>
      <c r="L4846" s="32"/>
      <c r="M4846" s="32"/>
    </row>
    <row r="4847" customFormat="false" ht="15" hidden="false" customHeight="true" outlineLevel="0" collapsed="false">
      <c r="A4847" s="32"/>
      <c r="B4847" s="32"/>
      <c r="C4847" s="32"/>
      <c r="D4847" s="32"/>
      <c r="E4847" s="34" t="str">
        <f aca="false">IF($B4847="","",IF($B4847="OUT","Liters",IFERROR(INDEX(Setup!$F$3:$F$24,MATCH($C4847,Setup!$A$3:$A$24,0)),"")))</f>
        <v/>
      </c>
      <c r="F4847" s="28" t="str">
        <f aca="false">IF(OR($D4847="",$E4847=""),"",IFERROR($D4847*INDEX(Setup!$B$27:$B$44,MATCH($E4847,Setup!$A$27:$A$44,0)),"TBD"))</f>
        <v/>
      </c>
      <c r="G4847" s="32"/>
      <c r="H4847" s="32"/>
      <c r="I4847" s="32"/>
      <c r="J4847" s="32"/>
      <c r="K4847" s="35"/>
      <c r="L4847" s="32"/>
      <c r="M4847" s="32"/>
    </row>
    <row r="4848" customFormat="false" ht="15" hidden="false" customHeight="true" outlineLevel="0" collapsed="false">
      <c r="A4848" s="32"/>
      <c r="B4848" s="32"/>
      <c r="C4848" s="32"/>
      <c r="D4848" s="32"/>
      <c r="E4848" s="34" t="str">
        <f aca="false">IF($B4848="","",IF($B4848="OUT","Liters",IFERROR(INDEX(Setup!$F$3:$F$24,MATCH($C4848,Setup!$A$3:$A$24,0)),"")))</f>
        <v/>
      </c>
      <c r="F4848" s="28" t="str">
        <f aca="false">IF(OR($D4848="",$E4848=""),"",IFERROR($D4848*INDEX(Setup!$B$27:$B$44,MATCH($E4848,Setup!$A$27:$A$44,0)),"TBD"))</f>
        <v/>
      </c>
      <c r="G4848" s="32"/>
      <c r="H4848" s="32"/>
      <c r="I4848" s="32"/>
      <c r="J4848" s="32"/>
      <c r="K4848" s="35"/>
      <c r="L4848" s="32"/>
      <c r="M4848" s="32"/>
    </row>
    <row r="4849" customFormat="false" ht="15" hidden="false" customHeight="true" outlineLevel="0" collapsed="false">
      <c r="A4849" s="32"/>
      <c r="B4849" s="32"/>
      <c r="C4849" s="32"/>
      <c r="D4849" s="32"/>
      <c r="E4849" s="34" t="str">
        <f aca="false">IF($B4849="","",IF($B4849="OUT","Liters",IFERROR(INDEX(Setup!$F$3:$F$24,MATCH($C4849,Setup!$A$3:$A$24,0)),"")))</f>
        <v/>
      </c>
      <c r="F4849" s="28" t="str">
        <f aca="false">IF(OR($D4849="",$E4849=""),"",IFERROR($D4849*INDEX(Setup!$B$27:$B$44,MATCH($E4849,Setup!$A$27:$A$44,0)),"TBD"))</f>
        <v/>
      </c>
      <c r="G4849" s="32"/>
      <c r="H4849" s="32"/>
      <c r="I4849" s="32"/>
      <c r="J4849" s="32"/>
      <c r="K4849" s="35"/>
      <c r="L4849" s="32"/>
      <c r="M4849" s="32"/>
    </row>
    <row r="4850" customFormat="false" ht="15" hidden="false" customHeight="true" outlineLevel="0" collapsed="false">
      <c r="A4850" s="32"/>
      <c r="B4850" s="32"/>
      <c r="C4850" s="32"/>
      <c r="D4850" s="32"/>
      <c r="E4850" s="34" t="str">
        <f aca="false">IF($B4850="","",IF($B4850="OUT","Liters",IFERROR(INDEX(Setup!$F$3:$F$24,MATCH($C4850,Setup!$A$3:$A$24,0)),"")))</f>
        <v/>
      </c>
      <c r="F4850" s="28" t="str">
        <f aca="false">IF(OR($D4850="",$E4850=""),"",IFERROR($D4850*INDEX(Setup!$B$27:$B$44,MATCH($E4850,Setup!$A$27:$A$44,0)),"TBD"))</f>
        <v/>
      </c>
      <c r="G4850" s="32"/>
      <c r="H4850" s="32"/>
      <c r="I4850" s="32"/>
      <c r="J4850" s="32"/>
      <c r="K4850" s="35"/>
      <c r="L4850" s="32"/>
      <c r="M4850" s="32"/>
    </row>
    <row r="4851" customFormat="false" ht="15" hidden="false" customHeight="true" outlineLevel="0" collapsed="false">
      <c r="A4851" s="32"/>
      <c r="B4851" s="32"/>
      <c r="C4851" s="32"/>
      <c r="D4851" s="32"/>
      <c r="E4851" s="34" t="str">
        <f aca="false">IF($B4851="","",IF($B4851="OUT","Liters",IFERROR(INDEX(Setup!$F$3:$F$24,MATCH($C4851,Setup!$A$3:$A$24,0)),"")))</f>
        <v/>
      </c>
      <c r="F4851" s="28" t="str">
        <f aca="false">IF(OR($D4851="",$E4851=""),"",IFERROR($D4851*INDEX(Setup!$B$27:$B$44,MATCH($E4851,Setup!$A$27:$A$44,0)),"TBD"))</f>
        <v/>
      </c>
      <c r="G4851" s="32"/>
      <c r="H4851" s="32"/>
      <c r="I4851" s="32"/>
      <c r="J4851" s="32"/>
      <c r="K4851" s="35"/>
      <c r="L4851" s="32"/>
      <c r="M4851" s="32"/>
    </row>
    <row r="4852" customFormat="false" ht="15" hidden="false" customHeight="true" outlineLevel="0" collapsed="false">
      <c r="A4852" s="32"/>
      <c r="B4852" s="32"/>
      <c r="C4852" s="32"/>
      <c r="D4852" s="32"/>
      <c r="E4852" s="34" t="str">
        <f aca="false">IF($B4852="","",IF($B4852="OUT","Liters",IFERROR(INDEX(Setup!$F$3:$F$24,MATCH($C4852,Setup!$A$3:$A$24,0)),"")))</f>
        <v/>
      </c>
      <c r="F4852" s="28" t="str">
        <f aca="false">IF(OR($D4852="",$E4852=""),"",IFERROR($D4852*INDEX(Setup!$B$27:$B$44,MATCH($E4852,Setup!$A$27:$A$44,0)),"TBD"))</f>
        <v/>
      </c>
      <c r="G4852" s="32"/>
      <c r="H4852" s="32"/>
      <c r="I4852" s="32"/>
      <c r="J4852" s="32"/>
      <c r="K4852" s="35"/>
      <c r="L4852" s="32"/>
      <c r="M4852" s="32"/>
    </row>
    <row r="4853" customFormat="false" ht="15" hidden="false" customHeight="true" outlineLevel="0" collapsed="false">
      <c r="A4853" s="32"/>
      <c r="B4853" s="32"/>
      <c r="C4853" s="32"/>
      <c r="D4853" s="32"/>
      <c r="E4853" s="34" t="str">
        <f aca="false">IF($B4853="","",IF($B4853="OUT","Liters",IFERROR(INDEX(Setup!$F$3:$F$24,MATCH($C4853,Setup!$A$3:$A$24,0)),"")))</f>
        <v/>
      </c>
      <c r="F4853" s="28" t="str">
        <f aca="false">IF(OR($D4853="",$E4853=""),"",IFERROR($D4853*INDEX(Setup!$B$27:$B$44,MATCH($E4853,Setup!$A$27:$A$44,0)),"TBD"))</f>
        <v/>
      </c>
      <c r="G4853" s="32"/>
      <c r="H4853" s="32"/>
      <c r="I4853" s="32"/>
      <c r="J4853" s="32"/>
      <c r="K4853" s="35"/>
      <c r="L4853" s="32"/>
      <c r="M4853" s="32"/>
    </row>
    <row r="4854" customFormat="false" ht="15" hidden="false" customHeight="true" outlineLevel="0" collapsed="false">
      <c r="A4854" s="32"/>
      <c r="B4854" s="32"/>
      <c r="C4854" s="32"/>
      <c r="D4854" s="32"/>
      <c r="E4854" s="34" t="str">
        <f aca="false">IF($B4854="","",IF($B4854="OUT","Liters",IFERROR(INDEX(Setup!$F$3:$F$24,MATCH($C4854,Setup!$A$3:$A$24,0)),"")))</f>
        <v/>
      </c>
      <c r="F4854" s="28" t="str">
        <f aca="false">IF(OR($D4854="",$E4854=""),"",IFERROR($D4854*INDEX(Setup!$B$27:$B$44,MATCH($E4854,Setup!$A$27:$A$44,0)),"TBD"))</f>
        <v/>
      </c>
      <c r="G4854" s="32"/>
      <c r="H4854" s="32"/>
      <c r="I4854" s="32"/>
      <c r="J4854" s="32"/>
      <c r="K4854" s="35"/>
      <c r="L4854" s="32"/>
      <c r="M4854" s="32"/>
    </row>
    <row r="4855" customFormat="false" ht="15" hidden="false" customHeight="true" outlineLevel="0" collapsed="false">
      <c r="A4855" s="32"/>
      <c r="B4855" s="32"/>
      <c r="C4855" s="32"/>
      <c r="D4855" s="32"/>
      <c r="E4855" s="34" t="str">
        <f aca="false">IF($B4855="","",IF($B4855="OUT","Liters",IFERROR(INDEX(Setup!$F$3:$F$24,MATCH($C4855,Setup!$A$3:$A$24,0)),"")))</f>
        <v/>
      </c>
      <c r="F4855" s="28" t="str">
        <f aca="false">IF(OR($D4855="",$E4855=""),"",IFERROR($D4855*INDEX(Setup!$B$27:$B$44,MATCH($E4855,Setup!$A$27:$A$44,0)),"TBD"))</f>
        <v/>
      </c>
      <c r="G4855" s="32"/>
      <c r="H4855" s="32"/>
      <c r="I4855" s="32"/>
      <c r="J4855" s="32"/>
      <c r="K4855" s="35"/>
      <c r="L4855" s="32"/>
      <c r="M4855" s="32"/>
    </row>
    <row r="4856" customFormat="false" ht="15" hidden="false" customHeight="true" outlineLevel="0" collapsed="false">
      <c r="A4856" s="32"/>
      <c r="B4856" s="32"/>
      <c r="C4856" s="32"/>
      <c r="D4856" s="32"/>
      <c r="E4856" s="34" t="str">
        <f aca="false">IF($B4856="","",IF($B4856="OUT","Liters",IFERROR(INDEX(Setup!$F$3:$F$24,MATCH($C4856,Setup!$A$3:$A$24,0)),"")))</f>
        <v/>
      </c>
      <c r="F4856" s="28" t="str">
        <f aca="false">IF(OR($D4856="",$E4856=""),"",IFERROR($D4856*INDEX(Setup!$B$27:$B$44,MATCH($E4856,Setup!$A$27:$A$44,0)),"TBD"))</f>
        <v/>
      </c>
      <c r="G4856" s="32"/>
      <c r="H4856" s="32"/>
      <c r="I4856" s="32"/>
      <c r="J4856" s="32"/>
      <c r="K4856" s="35"/>
      <c r="L4856" s="32"/>
      <c r="M4856" s="32"/>
    </row>
    <row r="4857" customFormat="false" ht="15" hidden="false" customHeight="true" outlineLevel="0" collapsed="false">
      <c r="A4857" s="32"/>
      <c r="B4857" s="32"/>
      <c r="C4857" s="32"/>
      <c r="D4857" s="32"/>
      <c r="E4857" s="34" t="str">
        <f aca="false">IF($B4857="","",IF($B4857="OUT","Liters",IFERROR(INDEX(Setup!$F$3:$F$24,MATCH($C4857,Setup!$A$3:$A$24,0)),"")))</f>
        <v/>
      </c>
      <c r="F4857" s="28" t="str">
        <f aca="false">IF(OR($D4857="",$E4857=""),"",IFERROR($D4857*INDEX(Setup!$B$27:$B$44,MATCH($E4857,Setup!$A$27:$A$44,0)),"TBD"))</f>
        <v/>
      </c>
      <c r="G4857" s="32"/>
      <c r="H4857" s="32"/>
      <c r="I4857" s="32"/>
      <c r="J4857" s="32"/>
      <c r="K4857" s="35"/>
      <c r="L4857" s="32"/>
      <c r="M4857" s="32"/>
    </row>
    <row r="4858" customFormat="false" ht="15" hidden="false" customHeight="true" outlineLevel="0" collapsed="false">
      <c r="A4858" s="32"/>
      <c r="B4858" s="32"/>
      <c r="C4858" s="32"/>
      <c r="D4858" s="32"/>
      <c r="E4858" s="34" t="str">
        <f aca="false">IF($B4858="","",IF($B4858="OUT","Liters",IFERROR(INDEX(Setup!$F$3:$F$24,MATCH($C4858,Setup!$A$3:$A$24,0)),"")))</f>
        <v/>
      </c>
      <c r="F4858" s="28" t="str">
        <f aca="false">IF(OR($D4858="",$E4858=""),"",IFERROR($D4858*INDEX(Setup!$B$27:$B$44,MATCH($E4858,Setup!$A$27:$A$44,0)),"TBD"))</f>
        <v/>
      </c>
      <c r="G4858" s="32"/>
      <c r="H4858" s="32"/>
      <c r="I4858" s="32"/>
      <c r="J4858" s="32"/>
      <c r="K4858" s="35"/>
      <c r="L4858" s="32"/>
      <c r="M4858" s="32"/>
    </row>
    <row r="4859" customFormat="false" ht="15" hidden="false" customHeight="true" outlineLevel="0" collapsed="false">
      <c r="A4859" s="32"/>
      <c r="B4859" s="32"/>
      <c r="C4859" s="32"/>
      <c r="D4859" s="32"/>
      <c r="E4859" s="34" t="str">
        <f aca="false">IF($B4859="","",IF($B4859="OUT","Liters",IFERROR(INDEX(Setup!$F$3:$F$24,MATCH($C4859,Setup!$A$3:$A$24,0)),"")))</f>
        <v/>
      </c>
      <c r="F4859" s="28" t="str">
        <f aca="false">IF(OR($D4859="",$E4859=""),"",IFERROR($D4859*INDEX(Setup!$B$27:$B$44,MATCH($E4859,Setup!$A$27:$A$44,0)),"TBD"))</f>
        <v/>
      </c>
      <c r="G4859" s="32"/>
      <c r="H4859" s="32"/>
      <c r="I4859" s="32"/>
      <c r="J4859" s="32"/>
      <c r="K4859" s="35"/>
      <c r="L4859" s="32"/>
      <c r="M4859" s="32"/>
    </row>
    <row r="4860" customFormat="false" ht="15" hidden="false" customHeight="true" outlineLevel="0" collapsed="false">
      <c r="A4860" s="32"/>
      <c r="B4860" s="32"/>
      <c r="C4860" s="32"/>
      <c r="D4860" s="32"/>
      <c r="E4860" s="34" t="str">
        <f aca="false">IF($B4860="","",IF($B4860="OUT","Liters",IFERROR(INDEX(Setup!$F$3:$F$24,MATCH($C4860,Setup!$A$3:$A$24,0)),"")))</f>
        <v/>
      </c>
      <c r="F4860" s="28" t="str">
        <f aca="false">IF(OR($D4860="",$E4860=""),"",IFERROR($D4860*INDEX(Setup!$B$27:$B$44,MATCH($E4860,Setup!$A$27:$A$44,0)),"TBD"))</f>
        <v/>
      </c>
      <c r="G4860" s="32"/>
      <c r="H4860" s="32"/>
      <c r="I4860" s="32"/>
      <c r="J4860" s="32"/>
      <c r="K4860" s="35"/>
      <c r="L4860" s="32"/>
      <c r="M4860" s="32"/>
    </row>
    <row r="4861" customFormat="false" ht="15" hidden="false" customHeight="true" outlineLevel="0" collapsed="false">
      <c r="A4861" s="32"/>
      <c r="B4861" s="32"/>
      <c r="C4861" s="32"/>
      <c r="D4861" s="32"/>
      <c r="E4861" s="34" t="str">
        <f aca="false">IF($B4861="","",IF($B4861="OUT","Liters",IFERROR(INDEX(Setup!$F$3:$F$24,MATCH($C4861,Setup!$A$3:$A$24,0)),"")))</f>
        <v/>
      </c>
      <c r="F4861" s="28" t="str">
        <f aca="false">IF(OR($D4861="",$E4861=""),"",IFERROR($D4861*INDEX(Setup!$B$27:$B$44,MATCH($E4861,Setup!$A$27:$A$44,0)),"TBD"))</f>
        <v/>
      </c>
      <c r="G4861" s="32"/>
      <c r="H4861" s="32"/>
      <c r="I4861" s="32"/>
      <c r="J4861" s="32"/>
      <c r="K4861" s="35"/>
      <c r="L4861" s="32"/>
      <c r="M4861" s="32"/>
    </row>
    <row r="4862" customFormat="false" ht="15" hidden="false" customHeight="true" outlineLevel="0" collapsed="false">
      <c r="A4862" s="32"/>
      <c r="B4862" s="32"/>
      <c r="C4862" s="32"/>
      <c r="D4862" s="32"/>
      <c r="E4862" s="34" t="str">
        <f aca="false">IF($B4862="","",IF($B4862="OUT","Liters",IFERROR(INDEX(Setup!$F$3:$F$24,MATCH($C4862,Setup!$A$3:$A$24,0)),"")))</f>
        <v/>
      </c>
      <c r="F4862" s="28" t="str">
        <f aca="false">IF(OR($D4862="",$E4862=""),"",IFERROR($D4862*INDEX(Setup!$B$27:$B$44,MATCH($E4862,Setup!$A$27:$A$44,0)),"TBD"))</f>
        <v/>
      </c>
      <c r="G4862" s="32"/>
      <c r="H4862" s="32"/>
      <c r="I4862" s="32"/>
      <c r="J4862" s="32"/>
      <c r="K4862" s="35"/>
      <c r="L4862" s="32"/>
      <c r="M4862" s="32"/>
    </row>
    <row r="4863" customFormat="false" ht="15" hidden="false" customHeight="true" outlineLevel="0" collapsed="false">
      <c r="A4863" s="32"/>
      <c r="B4863" s="32"/>
      <c r="C4863" s="32"/>
      <c r="D4863" s="32"/>
      <c r="E4863" s="34" t="str">
        <f aca="false">IF($B4863="","",IF($B4863="OUT","Liters",IFERROR(INDEX(Setup!$F$3:$F$24,MATCH($C4863,Setup!$A$3:$A$24,0)),"")))</f>
        <v/>
      </c>
      <c r="F4863" s="28" t="str">
        <f aca="false">IF(OR($D4863="",$E4863=""),"",IFERROR($D4863*INDEX(Setup!$B$27:$B$44,MATCH($E4863,Setup!$A$27:$A$44,0)),"TBD"))</f>
        <v/>
      </c>
      <c r="G4863" s="32"/>
      <c r="H4863" s="32"/>
      <c r="I4863" s="32"/>
      <c r="J4863" s="32"/>
      <c r="K4863" s="35"/>
      <c r="L4863" s="32"/>
      <c r="M4863" s="32"/>
    </row>
    <row r="4864" customFormat="false" ht="15" hidden="false" customHeight="true" outlineLevel="0" collapsed="false">
      <c r="A4864" s="32"/>
      <c r="B4864" s="32"/>
      <c r="C4864" s="32"/>
      <c r="D4864" s="32"/>
      <c r="E4864" s="34" t="str">
        <f aca="false">IF($B4864="","",IF($B4864="OUT","Liters",IFERROR(INDEX(Setup!$F$3:$F$24,MATCH($C4864,Setup!$A$3:$A$24,0)),"")))</f>
        <v/>
      </c>
      <c r="F4864" s="28" t="str">
        <f aca="false">IF(OR($D4864="",$E4864=""),"",IFERROR($D4864*INDEX(Setup!$B$27:$B$44,MATCH($E4864,Setup!$A$27:$A$44,0)),"TBD"))</f>
        <v/>
      </c>
      <c r="G4864" s="32"/>
      <c r="H4864" s="32"/>
      <c r="I4864" s="32"/>
      <c r="J4864" s="32"/>
      <c r="K4864" s="35"/>
      <c r="L4864" s="32"/>
      <c r="M4864" s="32"/>
    </row>
    <row r="4865" customFormat="false" ht="15" hidden="false" customHeight="true" outlineLevel="0" collapsed="false">
      <c r="A4865" s="32"/>
      <c r="B4865" s="32"/>
      <c r="C4865" s="32"/>
      <c r="D4865" s="32"/>
      <c r="E4865" s="34" t="str">
        <f aca="false">IF($B4865="","",IF($B4865="OUT","Liters",IFERROR(INDEX(Setup!$F$3:$F$24,MATCH($C4865,Setup!$A$3:$A$24,0)),"")))</f>
        <v/>
      </c>
      <c r="F4865" s="28" t="str">
        <f aca="false">IF(OR($D4865="",$E4865=""),"",IFERROR($D4865*INDEX(Setup!$B$27:$B$44,MATCH($E4865,Setup!$A$27:$A$44,0)),"TBD"))</f>
        <v/>
      </c>
      <c r="G4865" s="32"/>
      <c r="H4865" s="32"/>
      <c r="I4865" s="32"/>
      <c r="J4865" s="32"/>
      <c r="K4865" s="35"/>
      <c r="L4865" s="32"/>
      <c r="M4865" s="32"/>
    </row>
    <row r="4866" customFormat="false" ht="15" hidden="false" customHeight="true" outlineLevel="0" collapsed="false">
      <c r="A4866" s="32"/>
      <c r="B4866" s="32"/>
      <c r="C4866" s="32"/>
      <c r="D4866" s="32"/>
      <c r="E4866" s="34" t="str">
        <f aca="false">IF($B4866="","",IF($B4866="OUT","Liters",IFERROR(INDEX(Setup!$F$3:$F$24,MATCH($C4866,Setup!$A$3:$A$24,0)),"")))</f>
        <v/>
      </c>
      <c r="F4866" s="28" t="str">
        <f aca="false">IF(OR($D4866="",$E4866=""),"",IFERROR($D4866*INDEX(Setup!$B$27:$B$44,MATCH($E4866,Setup!$A$27:$A$44,0)),"TBD"))</f>
        <v/>
      </c>
      <c r="G4866" s="32"/>
      <c r="H4866" s="32"/>
      <c r="I4866" s="32"/>
      <c r="J4866" s="32"/>
      <c r="K4866" s="35"/>
      <c r="L4866" s="32"/>
      <c r="M4866" s="32"/>
    </row>
    <row r="4867" customFormat="false" ht="15" hidden="false" customHeight="true" outlineLevel="0" collapsed="false">
      <c r="A4867" s="32"/>
      <c r="B4867" s="32"/>
      <c r="C4867" s="32"/>
      <c r="D4867" s="32"/>
      <c r="E4867" s="34" t="str">
        <f aca="false">IF($B4867="","",IF($B4867="OUT","Liters",IFERROR(INDEX(Setup!$F$3:$F$24,MATCH($C4867,Setup!$A$3:$A$24,0)),"")))</f>
        <v/>
      </c>
      <c r="F4867" s="28" t="str">
        <f aca="false">IF(OR($D4867="",$E4867=""),"",IFERROR($D4867*INDEX(Setup!$B$27:$B$44,MATCH($E4867,Setup!$A$27:$A$44,0)),"TBD"))</f>
        <v/>
      </c>
      <c r="G4867" s="32"/>
      <c r="H4867" s="32"/>
      <c r="I4867" s="32"/>
      <c r="J4867" s="32"/>
      <c r="K4867" s="35"/>
      <c r="L4867" s="32"/>
      <c r="M4867" s="32"/>
    </row>
    <row r="4868" customFormat="false" ht="15" hidden="false" customHeight="true" outlineLevel="0" collapsed="false">
      <c r="A4868" s="32"/>
      <c r="B4868" s="32"/>
      <c r="C4868" s="32"/>
      <c r="D4868" s="32"/>
      <c r="E4868" s="34" t="str">
        <f aca="false">IF($B4868="","",IF($B4868="OUT","Liters",IFERROR(INDEX(Setup!$F$3:$F$24,MATCH($C4868,Setup!$A$3:$A$24,0)),"")))</f>
        <v/>
      </c>
      <c r="F4868" s="28" t="str">
        <f aca="false">IF(OR($D4868="",$E4868=""),"",IFERROR($D4868*INDEX(Setup!$B$27:$B$44,MATCH($E4868,Setup!$A$27:$A$44,0)),"TBD"))</f>
        <v/>
      </c>
      <c r="G4868" s="32"/>
      <c r="H4868" s="32"/>
      <c r="I4868" s="32"/>
      <c r="J4868" s="32"/>
      <c r="K4868" s="35"/>
      <c r="L4868" s="32"/>
      <c r="M4868" s="32"/>
    </row>
    <row r="4869" customFormat="false" ht="15" hidden="false" customHeight="true" outlineLevel="0" collapsed="false">
      <c r="A4869" s="32"/>
      <c r="B4869" s="32"/>
      <c r="C4869" s="32"/>
      <c r="D4869" s="32"/>
      <c r="E4869" s="34" t="str">
        <f aca="false">IF($B4869="","",IF($B4869="OUT","Liters",IFERROR(INDEX(Setup!$F$3:$F$24,MATCH($C4869,Setup!$A$3:$A$24,0)),"")))</f>
        <v/>
      </c>
      <c r="F4869" s="28" t="str">
        <f aca="false">IF(OR($D4869="",$E4869=""),"",IFERROR($D4869*INDEX(Setup!$B$27:$B$44,MATCH($E4869,Setup!$A$27:$A$44,0)),"TBD"))</f>
        <v/>
      </c>
      <c r="G4869" s="32"/>
      <c r="H4869" s="32"/>
      <c r="I4869" s="32"/>
      <c r="J4869" s="32"/>
      <c r="K4869" s="35"/>
      <c r="L4869" s="32"/>
      <c r="M4869" s="32"/>
    </row>
    <row r="4870" customFormat="false" ht="15" hidden="false" customHeight="true" outlineLevel="0" collapsed="false">
      <c r="A4870" s="32"/>
      <c r="B4870" s="32"/>
      <c r="C4870" s="32"/>
      <c r="D4870" s="32"/>
      <c r="E4870" s="34" t="str">
        <f aca="false">IF($B4870="","",IF($B4870="OUT","Liters",IFERROR(INDEX(Setup!$F$3:$F$24,MATCH($C4870,Setup!$A$3:$A$24,0)),"")))</f>
        <v/>
      </c>
      <c r="F4870" s="28" t="str">
        <f aca="false">IF(OR($D4870="",$E4870=""),"",IFERROR($D4870*INDEX(Setup!$B$27:$B$44,MATCH($E4870,Setup!$A$27:$A$44,0)),"TBD"))</f>
        <v/>
      </c>
      <c r="G4870" s="32"/>
      <c r="H4870" s="32"/>
      <c r="I4870" s="32"/>
      <c r="J4870" s="32"/>
      <c r="K4870" s="35"/>
      <c r="L4870" s="32"/>
      <c r="M4870" s="32"/>
    </row>
    <row r="4871" customFormat="false" ht="15" hidden="false" customHeight="true" outlineLevel="0" collapsed="false">
      <c r="A4871" s="32"/>
      <c r="B4871" s="32"/>
      <c r="C4871" s="32"/>
      <c r="D4871" s="32"/>
      <c r="E4871" s="34" t="str">
        <f aca="false">IF($B4871="","",IF($B4871="OUT","Liters",IFERROR(INDEX(Setup!$F$3:$F$24,MATCH($C4871,Setup!$A$3:$A$24,0)),"")))</f>
        <v/>
      </c>
      <c r="F4871" s="28" t="str">
        <f aca="false">IF(OR($D4871="",$E4871=""),"",IFERROR($D4871*INDEX(Setup!$B$27:$B$44,MATCH($E4871,Setup!$A$27:$A$44,0)),"TBD"))</f>
        <v/>
      </c>
      <c r="G4871" s="32"/>
      <c r="H4871" s="32"/>
      <c r="I4871" s="32"/>
      <c r="J4871" s="32"/>
      <c r="K4871" s="35"/>
      <c r="L4871" s="32"/>
      <c r="M4871" s="32"/>
    </row>
    <row r="4872" customFormat="false" ht="15" hidden="false" customHeight="true" outlineLevel="0" collapsed="false">
      <c r="A4872" s="32"/>
      <c r="B4872" s="32"/>
      <c r="C4872" s="32"/>
      <c r="D4872" s="32"/>
      <c r="E4872" s="34" t="str">
        <f aca="false">IF($B4872="","",IF($B4872="OUT","Liters",IFERROR(INDEX(Setup!$F$3:$F$24,MATCH($C4872,Setup!$A$3:$A$24,0)),"")))</f>
        <v/>
      </c>
      <c r="F4872" s="28" t="str">
        <f aca="false">IF(OR($D4872="",$E4872=""),"",IFERROR($D4872*INDEX(Setup!$B$27:$B$44,MATCH($E4872,Setup!$A$27:$A$44,0)),"TBD"))</f>
        <v/>
      </c>
      <c r="G4872" s="32"/>
      <c r="H4872" s="32"/>
      <c r="I4872" s="32"/>
      <c r="J4872" s="32"/>
      <c r="K4872" s="35"/>
      <c r="L4872" s="32"/>
      <c r="M4872" s="32"/>
    </row>
    <row r="4873" customFormat="false" ht="15" hidden="false" customHeight="true" outlineLevel="0" collapsed="false">
      <c r="A4873" s="32"/>
      <c r="B4873" s="32"/>
      <c r="C4873" s="32"/>
      <c r="D4873" s="32"/>
      <c r="E4873" s="34" t="str">
        <f aca="false">IF($B4873="","",IF($B4873="OUT","Liters",IFERROR(INDEX(Setup!$F$3:$F$24,MATCH($C4873,Setup!$A$3:$A$24,0)),"")))</f>
        <v/>
      </c>
      <c r="F4873" s="28" t="str">
        <f aca="false">IF(OR($D4873="",$E4873=""),"",IFERROR($D4873*INDEX(Setup!$B$27:$B$44,MATCH($E4873,Setup!$A$27:$A$44,0)),"TBD"))</f>
        <v/>
      </c>
      <c r="G4873" s="32"/>
      <c r="H4873" s="32"/>
      <c r="I4873" s="32"/>
      <c r="J4873" s="32"/>
      <c r="K4873" s="35"/>
      <c r="L4873" s="32"/>
      <c r="M4873" s="32"/>
    </row>
    <row r="4874" customFormat="false" ht="15" hidden="false" customHeight="true" outlineLevel="0" collapsed="false">
      <c r="A4874" s="32"/>
      <c r="B4874" s="32"/>
      <c r="C4874" s="32"/>
      <c r="D4874" s="32"/>
      <c r="E4874" s="34" t="str">
        <f aca="false">IF($B4874="","",IF($B4874="OUT","Liters",IFERROR(INDEX(Setup!$F$3:$F$24,MATCH($C4874,Setup!$A$3:$A$24,0)),"")))</f>
        <v/>
      </c>
      <c r="F4874" s="28" t="str">
        <f aca="false">IF(OR($D4874="",$E4874=""),"",IFERROR($D4874*INDEX(Setup!$B$27:$B$44,MATCH($E4874,Setup!$A$27:$A$44,0)),"TBD"))</f>
        <v/>
      </c>
      <c r="G4874" s="32"/>
      <c r="H4874" s="32"/>
      <c r="I4874" s="32"/>
      <c r="J4874" s="32"/>
      <c r="K4874" s="35"/>
      <c r="L4874" s="32"/>
      <c r="M4874" s="32"/>
    </row>
    <row r="4875" customFormat="false" ht="15" hidden="false" customHeight="true" outlineLevel="0" collapsed="false">
      <c r="A4875" s="32"/>
      <c r="B4875" s="32"/>
      <c r="C4875" s="32"/>
      <c r="D4875" s="32"/>
      <c r="E4875" s="34" t="str">
        <f aca="false">IF($B4875="","",IF($B4875="OUT","Liters",IFERROR(INDEX(Setup!$F$3:$F$24,MATCH($C4875,Setup!$A$3:$A$24,0)),"")))</f>
        <v/>
      </c>
      <c r="F4875" s="28" t="str">
        <f aca="false">IF(OR($D4875="",$E4875=""),"",IFERROR($D4875*INDEX(Setup!$B$27:$B$44,MATCH($E4875,Setup!$A$27:$A$44,0)),"TBD"))</f>
        <v/>
      </c>
      <c r="G4875" s="32"/>
      <c r="H4875" s="32"/>
      <c r="I4875" s="32"/>
      <c r="J4875" s="32"/>
      <c r="K4875" s="35"/>
      <c r="L4875" s="32"/>
      <c r="M4875" s="32"/>
    </row>
    <row r="4876" customFormat="false" ht="15" hidden="false" customHeight="true" outlineLevel="0" collapsed="false">
      <c r="A4876" s="32"/>
      <c r="B4876" s="32"/>
      <c r="C4876" s="32"/>
      <c r="D4876" s="32"/>
      <c r="E4876" s="34" t="str">
        <f aca="false">IF($B4876="","",IF($B4876="OUT","Liters",IFERROR(INDEX(Setup!$F$3:$F$24,MATCH($C4876,Setup!$A$3:$A$24,0)),"")))</f>
        <v/>
      </c>
      <c r="F4876" s="28" t="str">
        <f aca="false">IF(OR($D4876="",$E4876=""),"",IFERROR($D4876*INDEX(Setup!$B$27:$B$44,MATCH($E4876,Setup!$A$27:$A$44,0)),"TBD"))</f>
        <v/>
      </c>
      <c r="G4876" s="32"/>
      <c r="H4876" s="32"/>
      <c r="I4876" s="32"/>
      <c r="J4876" s="32"/>
      <c r="K4876" s="35"/>
      <c r="L4876" s="32"/>
      <c r="M4876" s="32"/>
    </row>
    <row r="4877" customFormat="false" ht="15" hidden="false" customHeight="true" outlineLevel="0" collapsed="false">
      <c r="A4877" s="32"/>
      <c r="B4877" s="32"/>
      <c r="C4877" s="32"/>
      <c r="D4877" s="32"/>
      <c r="E4877" s="34" t="str">
        <f aca="false">IF($B4877="","",IF($B4877="OUT","Liters",IFERROR(INDEX(Setup!$F$3:$F$24,MATCH($C4877,Setup!$A$3:$A$24,0)),"")))</f>
        <v/>
      </c>
      <c r="F4877" s="28" t="str">
        <f aca="false">IF(OR($D4877="",$E4877=""),"",IFERROR($D4877*INDEX(Setup!$B$27:$B$44,MATCH($E4877,Setup!$A$27:$A$44,0)),"TBD"))</f>
        <v/>
      </c>
      <c r="G4877" s="32"/>
      <c r="H4877" s="32"/>
      <c r="I4877" s="32"/>
      <c r="J4877" s="32"/>
      <c r="K4877" s="35"/>
      <c r="L4877" s="32"/>
      <c r="M4877" s="32"/>
    </row>
    <row r="4878" customFormat="false" ht="15" hidden="false" customHeight="true" outlineLevel="0" collapsed="false">
      <c r="A4878" s="32"/>
      <c r="B4878" s="32"/>
      <c r="C4878" s="32"/>
      <c r="D4878" s="32"/>
      <c r="E4878" s="34" t="str">
        <f aca="false">IF($B4878="","",IF($B4878="OUT","Liters",IFERROR(INDEX(Setup!$F$3:$F$24,MATCH($C4878,Setup!$A$3:$A$24,0)),"")))</f>
        <v/>
      </c>
      <c r="F4878" s="28" t="str">
        <f aca="false">IF(OR($D4878="",$E4878=""),"",IFERROR($D4878*INDEX(Setup!$B$27:$B$44,MATCH($E4878,Setup!$A$27:$A$44,0)),"TBD"))</f>
        <v/>
      </c>
      <c r="G4878" s="32"/>
      <c r="H4878" s="32"/>
      <c r="I4878" s="32"/>
      <c r="J4878" s="32"/>
      <c r="K4878" s="35"/>
      <c r="L4878" s="32"/>
      <c r="M4878" s="32"/>
    </row>
    <row r="4879" customFormat="false" ht="15" hidden="false" customHeight="true" outlineLevel="0" collapsed="false">
      <c r="A4879" s="32"/>
      <c r="B4879" s="32"/>
      <c r="C4879" s="32"/>
      <c r="D4879" s="32"/>
      <c r="E4879" s="34" t="str">
        <f aca="false">IF($B4879="","",IF($B4879="OUT","Liters",IFERROR(INDEX(Setup!$F$3:$F$24,MATCH($C4879,Setup!$A$3:$A$24,0)),"")))</f>
        <v/>
      </c>
      <c r="F4879" s="28" t="str">
        <f aca="false">IF(OR($D4879="",$E4879=""),"",IFERROR($D4879*INDEX(Setup!$B$27:$B$44,MATCH($E4879,Setup!$A$27:$A$44,0)),"TBD"))</f>
        <v/>
      </c>
      <c r="G4879" s="32"/>
      <c r="H4879" s="32"/>
      <c r="I4879" s="32"/>
      <c r="J4879" s="32"/>
      <c r="K4879" s="35"/>
      <c r="L4879" s="32"/>
      <c r="M4879" s="32"/>
    </row>
    <row r="4880" customFormat="false" ht="15" hidden="false" customHeight="true" outlineLevel="0" collapsed="false">
      <c r="A4880" s="32"/>
      <c r="B4880" s="32"/>
      <c r="C4880" s="32"/>
      <c r="D4880" s="32"/>
      <c r="E4880" s="34" t="str">
        <f aca="false">IF($B4880="","",IF($B4880="OUT","Liters",IFERROR(INDEX(Setup!$F$3:$F$24,MATCH($C4880,Setup!$A$3:$A$24,0)),"")))</f>
        <v/>
      </c>
      <c r="F4880" s="28" t="str">
        <f aca="false">IF(OR($D4880="",$E4880=""),"",IFERROR($D4880*INDEX(Setup!$B$27:$B$44,MATCH($E4880,Setup!$A$27:$A$44,0)),"TBD"))</f>
        <v/>
      </c>
      <c r="G4880" s="32"/>
      <c r="H4880" s="32"/>
      <c r="I4880" s="32"/>
      <c r="J4880" s="32"/>
      <c r="K4880" s="35"/>
      <c r="L4880" s="32"/>
      <c r="M4880" s="32"/>
    </row>
    <row r="4881" customFormat="false" ht="15" hidden="false" customHeight="true" outlineLevel="0" collapsed="false">
      <c r="A4881" s="32"/>
      <c r="B4881" s="32"/>
      <c r="C4881" s="32"/>
      <c r="D4881" s="32"/>
      <c r="E4881" s="34" t="str">
        <f aca="false">IF($B4881="","",IF($B4881="OUT","Liters",IFERROR(INDEX(Setup!$F$3:$F$24,MATCH($C4881,Setup!$A$3:$A$24,0)),"")))</f>
        <v/>
      </c>
      <c r="F4881" s="28" t="str">
        <f aca="false">IF(OR($D4881="",$E4881=""),"",IFERROR($D4881*INDEX(Setup!$B$27:$B$44,MATCH($E4881,Setup!$A$27:$A$44,0)),"TBD"))</f>
        <v/>
      </c>
      <c r="G4881" s="32"/>
      <c r="H4881" s="32"/>
      <c r="I4881" s="32"/>
      <c r="J4881" s="32"/>
      <c r="K4881" s="35"/>
      <c r="L4881" s="32"/>
      <c r="M4881" s="32"/>
    </row>
    <row r="4882" customFormat="false" ht="15" hidden="false" customHeight="true" outlineLevel="0" collapsed="false">
      <c r="A4882" s="32"/>
      <c r="B4882" s="32"/>
      <c r="C4882" s="32"/>
      <c r="D4882" s="32"/>
      <c r="E4882" s="34" t="str">
        <f aca="false">IF($B4882="","",IF($B4882="OUT","Liters",IFERROR(INDEX(Setup!$F$3:$F$24,MATCH($C4882,Setup!$A$3:$A$24,0)),"")))</f>
        <v/>
      </c>
      <c r="F4882" s="28" t="str">
        <f aca="false">IF(OR($D4882="",$E4882=""),"",IFERROR($D4882*INDEX(Setup!$B$27:$B$44,MATCH($E4882,Setup!$A$27:$A$44,0)),"TBD"))</f>
        <v/>
      </c>
      <c r="G4882" s="32"/>
      <c r="H4882" s="32"/>
      <c r="I4882" s="32"/>
      <c r="J4882" s="32"/>
      <c r="K4882" s="35"/>
      <c r="L4882" s="32"/>
      <c r="M4882" s="32"/>
    </row>
    <row r="4883" customFormat="false" ht="15" hidden="false" customHeight="true" outlineLevel="0" collapsed="false">
      <c r="A4883" s="32"/>
      <c r="B4883" s="32"/>
      <c r="C4883" s="32"/>
      <c r="D4883" s="32"/>
      <c r="E4883" s="34" t="str">
        <f aca="false">IF($B4883="","",IF($B4883="OUT","Liters",IFERROR(INDEX(Setup!$F$3:$F$24,MATCH($C4883,Setup!$A$3:$A$24,0)),"")))</f>
        <v/>
      </c>
      <c r="F4883" s="28" t="str">
        <f aca="false">IF(OR($D4883="",$E4883=""),"",IFERROR($D4883*INDEX(Setup!$B$27:$B$44,MATCH($E4883,Setup!$A$27:$A$44,0)),"TBD"))</f>
        <v/>
      </c>
      <c r="G4883" s="32"/>
      <c r="H4883" s="32"/>
      <c r="I4883" s="32"/>
      <c r="J4883" s="32"/>
      <c r="K4883" s="35"/>
      <c r="L4883" s="32"/>
      <c r="M4883" s="32"/>
    </row>
    <row r="4884" customFormat="false" ht="15" hidden="false" customHeight="true" outlineLevel="0" collapsed="false">
      <c r="A4884" s="32"/>
      <c r="B4884" s="32"/>
      <c r="C4884" s="32"/>
      <c r="D4884" s="32"/>
      <c r="E4884" s="34" t="str">
        <f aca="false">IF($B4884="","",IF($B4884="OUT","Liters",IFERROR(INDEX(Setup!$F$3:$F$24,MATCH($C4884,Setup!$A$3:$A$24,0)),"")))</f>
        <v/>
      </c>
      <c r="F4884" s="28" t="str">
        <f aca="false">IF(OR($D4884="",$E4884=""),"",IFERROR($D4884*INDEX(Setup!$B$27:$B$44,MATCH($E4884,Setup!$A$27:$A$44,0)),"TBD"))</f>
        <v/>
      </c>
      <c r="G4884" s="32"/>
      <c r="H4884" s="32"/>
      <c r="I4884" s="32"/>
      <c r="J4884" s="32"/>
      <c r="K4884" s="35"/>
      <c r="L4884" s="32"/>
      <c r="M4884" s="32"/>
    </row>
    <row r="4885" customFormat="false" ht="15" hidden="false" customHeight="true" outlineLevel="0" collapsed="false">
      <c r="A4885" s="32"/>
      <c r="B4885" s="32"/>
      <c r="C4885" s="32"/>
      <c r="D4885" s="32"/>
      <c r="E4885" s="34" t="str">
        <f aca="false">IF($B4885="","",IF($B4885="OUT","Liters",IFERROR(INDEX(Setup!$F$3:$F$24,MATCH($C4885,Setup!$A$3:$A$24,0)),"")))</f>
        <v/>
      </c>
      <c r="F4885" s="28" t="str">
        <f aca="false">IF(OR($D4885="",$E4885=""),"",IFERROR($D4885*INDEX(Setup!$B$27:$B$44,MATCH($E4885,Setup!$A$27:$A$44,0)),"TBD"))</f>
        <v/>
      </c>
      <c r="G4885" s="32"/>
      <c r="H4885" s="32"/>
      <c r="I4885" s="32"/>
      <c r="J4885" s="32"/>
      <c r="K4885" s="35"/>
      <c r="L4885" s="32"/>
      <c r="M4885" s="32"/>
    </row>
    <row r="4886" customFormat="false" ht="15" hidden="false" customHeight="true" outlineLevel="0" collapsed="false">
      <c r="A4886" s="32"/>
      <c r="B4886" s="32"/>
      <c r="C4886" s="32"/>
      <c r="D4886" s="32"/>
      <c r="E4886" s="34" t="str">
        <f aca="false">IF($B4886="","",IF($B4886="OUT","Liters",IFERROR(INDEX(Setup!$F$3:$F$24,MATCH($C4886,Setup!$A$3:$A$24,0)),"")))</f>
        <v/>
      </c>
      <c r="F4886" s="28" t="str">
        <f aca="false">IF(OR($D4886="",$E4886=""),"",IFERROR($D4886*INDEX(Setup!$B$27:$B$44,MATCH($E4886,Setup!$A$27:$A$44,0)),"TBD"))</f>
        <v/>
      </c>
      <c r="G4886" s="32"/>
      <c r="H4886" s="32"/>
      <c r="I4886" s="32"/>
      <c r="J4886" s="32"/>
      <c r="K4886" s="35"/>
      <c r="L4886" s="32"/>
      <c r="M4886" s="32"/>
    </row>
    <row r="4887" customFormat="false" ht="15" hidden="false" customHeight="true" outlineLevel="0" collapsed="false">
      <c r="A4887" s="32"/>
      <c r="B4887" s="32"/>
      <c r="C4887" s="32"/>
      <c r="D4887" s="32"/>
      <c r="E4887" s="34" t="str">
        <f aca="false">IF($B4887="","",IF($B4887="OUT","Liters",IFERROR(INDEX(Setup!$F$3:$F$24,MATCH($C4887,Setup!$A$3:$A$24,0)),"")))</f>
        <v/>
      </c>
      <c r="F4887" s="28" t="str">
        <f aca="false">IF(OR($D4887="",$E4887=""),"",IFERROR($D4887*INDEX(Setup!$B$27:$B$44,MATCH($E4887,Setup!$A$27:$A$44,0)),"TBD"))</f>
        <v/>
      </c>
      <c r="G4887" s="32"/>
      <c r="H4887" s="32"/>
      <c r="I4887" s="32"/>
      <c r="J4887" s="32"/>
      <c r="K4887" s="35"/>
      <c r="L4887" s="32"/>
      <c r="M4887" s="32"/>
    </row>
    <row r="4888" customFormat="false" ht="15" hidden="false" customHeight="true" outlineLevel="0" collapsed="false">
      <c r="A4888" s="32"/>
      <c r="B4888" s="32"/>
      <c r="C4888" s="32"/>
      <c r="D4888" s="32"/>
      <c r="E4888" s="34" t="str">
        <f aca="false">IF($B4888="","",IF($B4888="OUT","Liters",IFERROR(INDEX(Setup!$F$3:$F$24,MATCH($C4888,Setup!$A$3:$A$24,0)),"")))</f>
        <v/>
      </c>
      <c r="F4888" s="28" t="str">
        <f aca="false">IF(OR($D4888="",$E4888=""),"",IFERROR($D4888*INDEX(Setup!$B$27:$B$44,MATCH($E4888,Setup!$A$27:$A$44,0)),"TBD"))</f>
        <v/>
      </c>
      <c r="G4888" s="32"/>
      <c r="H4888" s="32"/>
      <c r="I4888" s="32"/>
      <c r="J4888" s="32"/>
      <c r="K4888" s="35"/>
      <c r="L4888" s="32"/>
      <c r="M4888" s="32"/>
    </row>
    <row r="4889" customFormat="false" ht="15" hidden="false" customHeight="true" outlineLevel="0" collapsed="false">
      <c r="A4889" s="32"/>
      <c r="B4889" s="32"/>
      <c r="C4889" s="32"/>
      <c r="D4889" s="32"/>
      <c r="E4889" s="34" t="str">
        <f aca="false">IF($B4889="","",IF($B4889="OUT","Liters",IFERROR(INDEX(Setup!$F$3:$F$24,MATCH($C4889,Setup!$A$3:$A$24,0)),"")))</f>
        <v/>
      </c>
      <c r="F4889" s="28" t="str">
        <f aca="false">IF(OR($D4889="",$E4889=""),"",IFERROR($D4889*INDEX(Setup!$B$27:$B$44,MATCH($E4889,Setup!$A$27:$A$44,0)),"TBD"))</f>
        <v/>
      </c>
      <c r="G4889" s="32"/>
      <c r="H4889" s="32"/>
      <c r="I4889" s="32"/>
      <c r="J4889" s="32"/>
      <c r="K4889" s="35"/>
      <c r="L4889" s="32"/>
      <c r="M4889" s="32"/>
    </row>
    <row r="4890" customFormat="false" ht="15" hidden="false" customHeight="true" outlineLevel="0" collapsed="false">
      <c r="A4890" s="32"/>
      <c r="B4890" s="32"/>
      <c r="C4890" s="32"/>
      <c r="D4890" s="32"/>
      <c r="E4890" s="34" t="str">
        <f aca="false">IF($B4890="","",IF($B4890="OUT","Liters",IFERROR(INDEX(Setup!$F$3:$F$24,MATCH($C4890,Setup!$A$3:$A$24,0)),"")))</f>
        <v/>
      </c>
      <c r="F4890" s="28" t="str">
        <f aca="false">IF(OR($D4890="",$E4890=""),"",IFERROR($D4890*INDEX(Setup!$B$27:$B$44,MATCH($E4890,Setup!$A$27:$A$44,0)),"TBD"))</f>
        <v/>
      </c>
      <c r="G4890" s="32"/>
      <c r="H4890" s="32"/>
      <c r="I4890" s="32"/>
      <c r="J4890" s="32"/>
      <c r="K4890" s="35"/>
      <c r="L4890" s="32"/>
      <c r="M4890" s="32"/>
    </row>
    <row r="4891" customFormat="false" ht="15" hidden="false" customHeight="true" outlineLevel="0" collapsed="false">
      <c r="A4891" s="32"/>
      <c r="B4891" s="32"/>
      <c r="C4891" s="32"/>
      <c r="D4891" s="32"/>
      <c r="E4891" s="34" t="str">
        <f aca="false">IF($B4891="","",IF($B4891="OUT","Liters",IFERROR(INDEX(Setup!$F$3:$F$24,MATCH($C4891,Setup!$A$3:$A$24,0)),"")))</f>
        <v/>
      </c>
      <c r="F4891" s="28" t="str">
        <f aca="false">IF(OR($D4891="",$E4891=""),"",IFERROR($D4891*INDEX(Setup!$B$27:$B$44,MATCH($E4891,Setup!$A$27:$A$44,0)),"TBD"))</f>
        <v/>
      </c>
      <c r="G4891" s="32"/>
      <c r="H4891" s="32"/>
      <c r="I4891" s="32"/>
      <c r="J4891" s="32"/>
      <c r="K4891" s="35"/>
      <c r="L4891" s="32"/>
      <c r="M4891" s="32"/>
    </row>
    <row r="4892" customFormat="false" ht="15" hidden="false" customHeight="true" outlineLevel="0" collapsed="false">
      <c r="A4892" s="32"/>
      <c r="B4892" s="32"/>
      <c r="C4892" s="32"/>
      <c r="D4892" s="32"/>
      <c r="E4892" s="34" t="str">
        <f aca="false">IF($B4892="","",IF($B4892="OUT","Liters",IFERROR(INDEX(Setup!$F$3:$F$24,MATCH($C4892,Setup!$A$3:$A$24,0)),"")))</f>
        <v/>
      </c>
      <c r="F4892" s="28" t="str">
        <f aca="false">IF(OR($D4892="",$E4892=""),"",IFERROR($D4892*INDEX(Setup!$B$27:$B$44,MATCH($E4892,Setup!$A$27:$A$44,0)),"TBD"))</f>
        <v/>
      </c>
      <c r="G4892" s="32"/>
      <c r="H4892" s="32"/>
      <c r="I4892" s="32"/>
      <c r="J4892" s="32"/>
      <c r="K4892" s="35"/>
      <c r="L4892" s="32"/>
      <c r="M4892" s="32"/>
    </row>
    <row r="4893" customFormat="false" ht="15" hidden="false" customHeight="true" outlineLevel="0" collapsed="false">
      <c r="A4893" s="32"/>
      <c r="B4893" s="32"/>
      <c r="C4893" s="32"/>
      <c r="D4893" s="32"/>
      <c r="E4893" s="34" t="str">
        <f aca="false">IF($B4893="","",IF($B4893="OUT","Liters",IFERROR(INDEX(Setup!$F$3:$F$24,MATCH($C4893,Setup!$A$3:$A$24,0)),"")))</f>
        <v/>
      </c>
      <c r="F4893" s="28" t="str">
        <f aca="false">IF(OR($D4893="",$E4893=""),"",IFERROR($D4893*INDEX(Setup!$B$27:$B$44,MATCH($E4893,Setup!$A$27:$A$44,0)),"TBD"))</f>
        <v/>
      </c>
      <c r="G4893" s="32"/>
      <c r="H4893" s="32"/>
      <c r="I4893" s="32"/>
      <c r="J4893" s="32"/>
      <c r="K4893" s="35"/>
      <c r="L4893" s="32"/>
      <c r="M4893" s="32"/>
    </row>
    <row r="4894" customFormat="false" ht="15" hidden="false" customHeight="true" outlineLevel="0" collapsed="false">
      <c r="A4894" s="32"/>
      <c r="B4894" s="32"/>
      <c r="C4894" s="32"/>
      <c r="D4894" s="32"/>
      <c r="E4894" s="34" t="str">
        <f aca="false">IF($B4894="","",IF($B4894="OUT","Liters",IFERROR(INDEX(Setup!$F$3:$F$24,MATCH($C4894,Setup!$A$3:$A$24,0)),"")))</f>
        <v/>
      </c>
      <c r="F4894" s="28" t="str">
        <f aca="false">IF(OR($D4894="",$E4894=""),"",IFERROR($D4894*INDEX(Setup!$B$27:$B$44,MATCH($E4894,Setup!$A$27:$A$44,0)),"TBD"))</f>
        <v/>
      </c>
      <c r="G4894" s="32"/>
      <c r="H4894" s="32"/>
      <c r="I4894" s="32"/>
      <c r="J4894" s="32"/>
      <c r="K4894" s="35"/>
      <c r="L4894" s="32"/>
      <c r="M4894" s="32"/>
    </row>
    <row r="4895" customFormat="false" ht="15" hidden="false" customHeight="true" outlineLevel="0" collapsed="false">
      <c r="A4895" s="32"/>
      <c r="B4895" s="32"/>
      <c r="C4895" s="32"/>
      <c r="D4895" s="32"/>
      <c r="E4895" s="34" t="str">
        <f aca="false">IF($B4895="","",IF($B4895="OUT","Liters",IFERROR(INDEX(Setup!$F$3:$F$24,MATCH($C4895,Setup!$A$3:$A$24,0)),"")))</f>
        <v/>
      </c>
      <c r="F4895" s="28" t="str">
        <f aca="false">IF(OR($D4895="",$E4895=""),"",IFERROR($D4895*INDEX(Setup!$B$27:$B$44,MATCH($E4895,Setup!$A$27:$A$44,0)),"TBD"))</f>
        <v/>
      </c>
      <c r="G4895" s="32"/>
      <c r="H4895" s="32"/>
      <c r="I4895" s="32"/>
      <c r="J4895" s="32"/>
      <c r="K4895" s="35"/>
      <c r="L4895" s="32"/>
      <c r="M4895" s="32"/>
    </row>
    <row r="4896" customFormat="false" ht="15" hidden="false" customHeight="true" outlineLevel="0" collapsed="false">
      <c r="A4896" s="32"/>
      <c r="B4896" s="32"/>
      <c r="C4896" s="32"/>
      <c r="D4896" s="32"/>
      <c r="E4896" s="34" t="str">
        <f aca="false">IF($B4896="","",IF($B4896="OUT","Liters",IFERROR(INDEX(Setup!$F$3:$F$24,MATCH($C4896,Setup!$A$3:$A$24,0)),"")))</f>
        <v/>
      </c>
      <c r="F4896" s="28" t="str">
        <f aca="false">IF(OR($D4896="",$E4896=""),"",IFERROR($D4896*INDEX(Setup!$B$27:$B$44,MATCH($E4896,Setup!$A$27:$A$44,0)),"TBD"))</f>
        <v/>
      </c>
      <c r="G4896" s="32"/>
      <c r="H4896" s="32"/>
      <c r="I4896" s="32"/>
      <c r="J4896" s="32"/>
      <c r="K4896" s="35"/>
      <c r="L4896" s="32"/>
      <c r="M4896" s="32"/>
    </row>
    <row r="4897" customFormat="false" ht="15" hidden="false" customHeight="true" outlineLevel="0" collapsed="false">
      <c r="A4897" s="32"/>
      <c r="B4897" s="32"/>
      <c r="C4897" s="32"/>
      <c r="D4897" s="32"/>
      <c r="E4897" s="34" t="str">
        <f aca="false">IF($B4897="","",IF($B4897="OUT","Liters",IFERROR(INDEX(Setup!$F$3:$F$24,MATCH($C4897,Setup!$A$3:$A$24,0)),"")))</f>
        <v/>
      </c>
      <c r="F4897" s="28" t="str">
        <f aca="false">IF(OR($D4897="",$E4897=""),"",IFERROR($D4897*INDEX(Setup!$B$27:$B$44,MATCH($E4897,Setup!$A$27:$A$44,0)),"TBD"))</f>
        <v/>
      </c>
      <c r="G4897" s="32"/>
      <c r="H4897" s="32"/>
      <c r="I4897" s="32"/>
      <c r="J4897" s="32"/>
      <c r="K4897" s="35"/>
      <c r="L4897" s="32"/>
      <c r="M4897" s="32"/>
    </row>
    <row r="4898" customFormat="false" ht="15" hidden="false" customHeight="true" outlineLevel="0" collapsed="false">
      <c r="A4898" s="32"/>
      <c r="B4898" s="32"/>
      <c r="C4898" s="32"/>
      <c r="D4898" s="32"/>
      <c r="E4898" s="34" t="str">
        <f aca="false">IF($B4898="","",IF($B4898="OUT","Liters",IFERROR(INDEX(Setup!$F$3:$F$24,MATCH($C4898,Setup!$A$3:$A$24,0)),"")))</f>
        <v/>
      </c>
      <c r="F4898" s="28" t="str">
        <f aca="false">IF(OR($D4898="",$E4898=""),"",IFERROR($D4898*INDEX(Setup!$B$27:$B$44,MATCH($E4898,Setup!$A$27:$A$44,0)),"TBD"))</f>
        <v/>
      </c>
      <c r="G4898" s="32"/>
      <c r="H4898" s="32"/>
      <c r="I4898" s="32"/>
      <c r="J4898" s="32"/>
      <c r="K4898" s="35"/>
      <c r="L4898" s="32"/>
      <c r="M4898" s="32"/>
    </row>
    <row r="4899" customFormat="false" ht="15" hidden="false" customHeight="true" outlineLevel="0" collapsed="false">
      <c r="A4899" s="32"/>
      <c r="B4899" s="32"/>
      <c r="C4899" s="32"/>
      <c r="D4899" s="32"/>
      <c r="E4899" s="34" t="str">
        <f aca="false">IF($B4899="","",IF($B4899="OUT","Liters",IFERROR(INDEX(Setup!$F$3:$F$24,MATCH($C4899,Setup!$A$3:$A$24,0)),"")))</f>
        <v/>
      </c>
      <c r="F4899" s="28" t="str">
        <f aca="false">IF(OR($D4899="",$E4899=""),"",IFERROR($D4899*INDEX(Setup!$B$27:$B$44,MATCH($E4899,Setup!$A$27:$A$44,0)),"TBD"))</f>
        <v/>
      </c>
      <c r="G4899" s="32"/>
      <c r="H4899" s="32"/>
      <c r="I4899" s="32"/>
      <c r="J4899" s="32"/>
      <c r="K4899" s="35"/>
      <c r="L4899" s="32"/>
      <c r="M4899" s="32"/>
    </row>
    <row r="4900" customFormat="false" ht="15" hidden="false" customHeight="true" outlineLevel="0" collapsed="false">
      <c r="A4900" s="32"/>
      <c r="B4900" s="32"/>
      <c r="C4900" s="32"/>
      <c r="D4900" s="32"/>
      <c r="E4900" s="34" t="str">
        <f aca="false">IF($B4900="","",IF($B4900="OUT","Liters",IFERROR(INDEX(Setup!$F$3:$F$24,MATCH($C4900,Setup!$A$3:$A$24,0)),"")))</f>
        <v/>
      </c>
      <c r="F4900" s="28" t="str">
        <f aca="false">IF(OR($D4900="",$E4900=""),"",IFERROR($D4900*INDEX(Setup!$B$27:$B$44,MATCH($E4900,Setup!$A$27:$A$44,0)),"TBD"))</f>
        <v/>
      </c>
      <c r="G4900" s="32"/>
      <c r="H4900" s="32"/>
      <c r="I4900" s="32"/>
      <c r="J4900" s="32"/>
      <c r="K4900" s="35"/>
      <c r="L4900" s="32"/>
      <c r="M4900" s="32"/>
    </row>
    <row r="4901" customFormat="false" ht="15" hidden="false" customHeight="true" outlineLevel="0" collapsed="false">
      <c r="A4901" s="32"/>
      <c r="B4901" s="32"/>
      <c r="C4901" s="32"/>
      <c r="D4901" s="32"/>
      <c r="E4901" s="34" t="str">
        <f aca="false">IF($B4901="","",IF($B4901="OUT","Liters",IFERROR(INDEX(Setup!$F$3:$F$24,MATCH($C4901,Setup!$A$3:$A$24,0)),"")))</f>
        <v/>
      </c>
      <c r="F4901" s="28" t="str">
        <f aca="false">IF(OR($D4901="",$E4901=""),"",IFERROR($D4901*INDEX(Setup!$B$27:$B$44,MATCH($E4901,Setup!$A$27:$A$44,0)),"TBD"))</f>
        <v/>
      </c>
      <c r="G4901" s="32"/>
      <c r="H4901" s="32"/>
      <c r="I4901" s="32"/>
      <c r="J4901" s="32"/>
      <c r="K4901" s="35"/>
      <c r="L4901" s="32"/>
      <c r="M4901" s="32"/>
    </row>
    <row r="4902" customFormat="false" ht="15" hidden="false" customHeight="true" outlineLevel="0" collapsed="false">
      <c r="A4902" s="32"/>
      <c r="B4902" s="32"/>
      <c r="C4902" s="32"/>
      <c r="D4902" s="32"/>
      <c r="E4902" s="34" t="str">
        <f aca="false">IF($B4902="","",IF($B4902="OUT","Liters",IFERROR(INDEX(Setup!$F$3:$F$24,MATCH($C4902,Setup!$A$3:$A$24,0)),"")))</f>
        <v/>
      </c>
      <c r="F4902" s="28" t="str">
        <f aca="false">IF(OR($D4902="",$E4902=""),"",IFERROR($D4902*INDEX(Setup!$B$27:$B$44,MATCH($E4902,Setup!$A$27:$A$44,0)),"TBD"))</f>
        <v/>
      </c>
      <c r="G4902" s="32"/>
      <c r="H4902" s="32"/>
      <c r="I4902" s="32"/>
      <c r="J4902" s="32"/>
      <c r="K4902" s="35"/>
      <c r="L4902" s="32"/>
      <c r="M4902" s="32"/>
    </row>
    <row r="4903" customFormat="false" ht="15" hidden="false" customHeight="true" outlineLevel="0" collapsed="false">
      <c r="A4903" s="32"/>
      <c r="B4903" s="32"/>
      <c r="C4903" s="32"/>
      <c r="D4903" s="32"/>
      <c r="E4903" s="34" t="str">
        <f aca="false">IF($B4903="","",IF($B4903="OUT","Liters",IFERROR(INDEX(Setup!$F$3:$F$24,MATCH($C4903,Setup!$A$3:$A$24,0)),"")))</f>
        <v/>
      </c>
      <c r="F4903" s="28" t="str">
        <f aca="false">IF(OR($D4903="",$E4903=""),"",IFERROR($D4903*INDEX(Setup!$B$27:$B$44,MATCH($E4903,Setup!$A$27:$A$44,0)),"TBD"))</f>
        <v/>
      </c>
      <c r="G4903" s="32"/>
      <c r="H4903" s="32"/>
      <c r="I4903" s="32"/>
      <c r="J4903" s="32"/>
      <c r="K4903" s="35"/>
      <c r="L4903" s="32"/>
      <c r="M4903" s="32"/>
    </row>
    <row r="4904" customFormat="false" ht="15" hidden="false" customHeight="true" outlineLevel="0" collapsed="false">
      <c r="A4904" s="32"/>
      <c r="B4904" s="32"/>
      <c r="C4904" s="32"/>
      <c r="D4904" s="32"/>
      <c r="E4904" s="34" t="str">
        <f aca="false">IF($B4904="","",IF($B4904="OUT","Liters",IFERROR(INDEX(Setup!$F$3:$F$24,MATCH($C4904,Setup!$A$3:$A$24,0)),"")))</f>
        <v/>
      </c>
      <c r="F4904" s="28" t="str">
        <f aca="false">IF(OR($D4904="",$E4904=""),"",IFERROR($D4904*INDEX(Setup!$B$27:$B$44,MATCH($E4904,Setup!$A$27:$A$44,0)),"TBD"))</f>
        <v/>
      </c>
      <c r="G4904" s="32"/>
      <c r="H4904" s="32"/>
      <c r="I4904" s="32"/>
      <c r="J4904" s="32"/>
      <c r="K4904" s="35"/>
      <c r="L4904" s="32"/>
      <c r="M4904" s="32"/>
    </row>
    <row r="4905" customFormat="false" ht="15" hidden="false" customHeight="true" outlineLevel="0" collapsed="false">
      <c r="A4905" s="32"/>
      <c r="B4905" s="32"/>
      <c r="C4905" s="32"/>
      <c r="D4905" s="32"/>
      <c r="E4905" s="34" t="str">
        <f aca="false">IF($B4905="","",IF($B4905="OUT","Liters",IFERROR(INDEX(Setup!$F$3:$F$24,MATCH($C4905,Setup!$A$3:$A$24,0)),"")))</f>
        <v/>
      </c>
      <c r="F4905" s="28" t="str">
        <f aca="false">IF(OR($D4905="",$E4905=""),"",IFERROR($D4905*INDEX(Setup!$B$27:$B$44,MATCH($E4905,Setup!$A$27:$A$44,0)),"TBD"))</f>
        <v/>
      </c>
      <c r="G4905" s="32"/>
      <c r="H4905" s="32"/>
      <c r="I4905" s="32"/>
      <c r="J4905" s="32"/>
      <c r="K4905" s="35"/>
      <c r="L4905" s="32"/>
      <c r="M4905" s="32"/>
    </row>
    <row r="4906" customFormat="false" ht="15" hidden="false" customHeight="true" outlineLevel="0" collapsed="false">
      <c r="A4906" s="32"/>
      <c r="B4906" s="32"/>
      <c r="C4906" s="32"/>
      <c r="D4906" s="32"/>
      <c r="E4906" s="34" t="str">
        <f aca="false">IF($B4906="","",IF($B4906="OUT","Liters",IFERROR(INDEX(Setup!$F$3:$F$24,MATCH($C4906,Setup!$A$3:$A$24,0)),"")))</f>
        <v/>
      </c>
      <c r="F4906" s="28" t="str">
        <f aca="false">IF(OR($D4906="",$E4906=""),"",IFERROR($D4906*INDEX(Setup!$B$27:$B$44,MATCH($E4906,Setup!$A$27:$A$44,0)),"TBD"))</f>
        <v/>
      </c>
      <c r="G4906" s="32"/>
      <c r="H4906" s="32"/>
      <c r="I4906" s="32"/>
      <c r="J4906" s="32"/>
      <c r="K4906" s="35"/>
      <c r="L4906" s="32"/>
      <c r="M4906" s="32"/>
    </row>
    <row r="4907" customFormat="false" ht="15" hidden="false" customHeight="true" outlineLevel="0" collapsed="false">
      <c r="A4907" s="32"/>
      <c r="B4907" s="32"/>
      <c r="C4907" s="32"/>
      <c r="D4907" s="32"/>
      <c r="E4907" s="34" t="str">
        <f aca="false">IF($B4907="","",IF($B4907="OUT","Liters",IFERROR(INDEX(Setup!$F$3:$F$24,MATCH($C4907,Setup!$A$3:$A$24,0)),"")))</f>
        <v/>
      </c>
      <c r="F4907" s="28" t="str">
        <f aca="false">IF(OR($D4907="",$E4907=""),"",IFERROR($D4907*INDEX(Setup!$B$27:$B$44,MATCH($E4907,Setup!$A$27:$A$44,0)),"TBD"))</f>
        <v/>
      </c>
      <c r="G4907" s="32"/>
      <c r="H4907" s="32"/>
      <c r="I4907" s="32"/>
      <c r="J4907" s="32"/>
      <c r="K4907" s="35"/>
      <c r="L4907" s="32"/>
      <c r="M4907" s="32"/>
    </row>
    <row r="4908" customFormat="false" ht="15" hidden="false" customHeight="true" outlineLevel="0" collapsed="false">
      <c r="A4908" s="32"/>
      <c r="B4908" s="32"/>
      <c r="C4908" s="32"/>
      <c r="D4908" s="32"/>
      <c r="E4908" s="34" t="str">
        <f aca="false">IF($B4908="","",IF($B4908="OUT","Liters",IFERROR(INDEX(Setup!$F$3:$F$24,MATCH($C4908,Setup!$A$3:$A$24,0)),"")))</f>
        <v/>
      </c>
      <c r="F4908" s="28" t="str">
        <f aca="false">IF(OR($D4908="",$E4908=""),"",IFERROR($D4908*INDEX(Setup!$B$27:$B$44,MATCH($E4908,Setup!$A$27:$A$44,0)),"TBD"))</f>
        <v/>
      </c>
      <c r="G4908" s="32"/>
      <c r="H4908" s="32"/>
      <c r="I4908" s="32"/>
      <c r="J4908" s="32"/>
      <c r="K4908" s="35"/>
      <c r="L4908" s="32"/>
      <c r="M4908" s="32"/>
    </row>
    <row r="4909" customFormat="false" ht="15" hidden="false" customHeight="true" outlineLevel="0" collapsed="false">
      <c r="A4909" s="32"/>
      <c r="B4909" s="32"/>
      <c r="C4909" s="32"/>
      <c r="D4909" s="32"/>
      <c r="E4909" s="34" t="str">
        <f aca="false">IF($B4909="","",IF($B4909="OUT","Liters",IFERROR(INDEX(Setup!$F$3:$F$24,MATCH($C4909,Setup!$A$3:$A$24,0)),"")))</f>
        <v/>
      </c>
      <c r="F4909" s="28" t="str">
        <f aca="false">IF(OR($D4909="",$E4909=""),"",IFERROR($D4909*INDEX(Setup!$B$27:$B$44,MATCH($E4909,Setup!$A$27:$A$44,0)),"TBD"))</f>
        <v/>
      </c>
      <c r="G4909" s="32"/>
      <c r="H4909" s="32"/>
      <c r="I4909" s="32"/>
      <c r="J4909" s="32"/>
      <c r="K4909" s="35"/>
      <c r="L4909" s="32"/>
      <c r="M4909" s="32"/>
    </row>
    <row r="4910" customFormat="false" ht="15" hidden="false" customHeight="true" outlineLevel="0" collapsed="false">
      <c r="A4910" s="32"/>
      <c r="B4910" s="32"/>
      <c r="C4910" s="32"/>
      <c r="D4910" s="32"/>
      <c r="E4910" s="34" t="str">
        <f aca="false">IF($B4910="","",IF($B4910="OUT","Liters",IFERROR(INDEX(Setup!$F$3:$F$24,MATCH($C4910,Setup!$A$3:$A$24,0)),"")))</f>
        <v/>
      </c>
      <c r="F4910" s="28" t="str">
        <f aca="false">IF(OR($D4910="",$E4910=""),"",IFERROR($D4910*INDEX(Setup!$B$27:$B$44,MATCH($E4910,Setup!$A$27:$A$44,0)),"TBD"))</f>
        <v/>
      </c>
      <c r="G4910" s="32"/>
      <c r="H4910" s="32"/>
      <c r="I4910" s="32"/>
      <c r="J4910" s="32"/>
      <c r="K4910" s="35"/>
      <c r="L4910" s="32"/>
      <c r="M4910" s="32"/>
    </row>
    <row r="4911" customFormat="false" ht="15" hidden="false" customHeight="true" outlineLevel="0" collapsed="false">
      <c r="A4911" s="32"/>
      <c r="B4911" s="32"/>
      <c r="C4911" s="32"/>
      <c r="D4911" s="32"/>
      <c r="E4911" s="34" t="str">
        <f aca="false">IF($B4911="","",IF($B4911="OUT","Liters",IFERROR(INDEX(Setup!$F$3:$F$24,MATCH($C4911,Setup!$A$3:$A$24,0)),"")))</f>
        <v/>
      </c>
      <c r="F4911" s="28" t="str">
        <f aca="false">IF(OR($D4911="",$E4911=""),"",IFERROR($D4911*INDEX(Setup!$B$27:$B$44,MATCH($E4911,Setup!$A$27:$A$44,0)),"TBD"))</f>
        <v/>
      </c>
      <c r="G4911" s="32"/>
      <c r="H4911" s="32"/>
      <c r="I4911" s="32"/>
      <c r="J4911" s="32"/>
      <c r="K4911" s="35"/>
      <c r="L4911" s="32"/>
      <c r="M4911" s="32"/>
    </row>
    <row r="4912" customFormat="false" ht="15" hidden="false" customHeight="true" outlineLevel="0" collapsed="false">
      <c r="A4912" s="32"/>
      <c r="B4912" s="32"/>
      <c r="C4912" s="32"/>
      <c r="D4912" s="32"/>
      <c r="E4912" s="34" t="str">
        <f aca="false">IF($B4912="","",IF($B4912="OUT","Liters",IFERROR(INDEX(Setup!$F$3:$F$24,MATCH($C4912,Setup!$A$3:$A$24,0)),"")))</f>
        <v/>
      </c>
      <c r="F4912" s="28" t="str">
        <f aca="false">IF(OR($D4912="",$E4912=""),"",IFERROR($D4912*INDEX(Setup!$B$27:$B$44,MATCH($E4912,Setup!$A$27:$A$44,0)),"TBD"))</f>
        <v/>
      </c>
      <c r="G4912" s="32"/>
      <c r="H4912" s="32"/>
      <c r="I4912" s="32"/>
      <c r="J4912" s="32"/>
      <c r="K4912" s="35"/>
      <c r="L4912" s="32"/>
      <c r="M4912" s="32"/>
    </row>
    <row r="4913" customFormat="false" ht="15" hidden="false" customHeight="true" outlineLevel="0" collapsed="false">
      <c r="A4913" s="32"/>
      <c r="B4913" s="32"/>
      <c r="C4913" s="32"/>
      <c r="D4913" s="32"/>
      <c r="E4913" s="34" t="str">
        <f aca="false">IF($B4913="","",IF($B4913="OUT","Liters",IFERROR(INDEX(Setup!$F$3:$F$24,MATCH($C4913,Setup!$A$3:$A$24,0)),"")))</f>
        <v/>
      </c>
      <c r="F4913" s="28" t="str">
        <f aca="false">IF(OR($D4913="",$E4913=""),"",IFERROR($D4913*INDEX(Setup!$B$27:$B$44,MATCH($E4913,Setup!$A$27:$A$44,0)),"TBD"))</f>
        <v/>
      </c>
      <c r="G4913" s="32"/>
      <c r="H4913" s="32"/>
      <c r="I4913" s="32"/>
      <c r="J4913" s="32"/>
      <c r="K4913" s="35"/>
      <c r="L4913" s="32"/>
      <c r="M4913" s="32"/>
    </row>
    <row r="4914" customFormat="false" ht="15" hidden="false" customHeight="true" outlineLevel="0" collapsed="false">
      <c r="A4914" s="32"/>
      <c r="B4914" s="32"/>
      <c r="C4914" s="32"/>
      <c r="D4914" s="32"/>
      <c r="E4914" s="34" t="str">
        <f aca="false">IF($B4914="","",IF($B4914="OUT","Liters",IFERROR(INDEX(Setup!$F$3:$F$24,MATCH($C4914,Setup!$A$3:$A$24,0)),"")))</f>
        <v/>
      </c>
      <c r="F4914" s="28" t="str">
        <f aca="false">IF(OR($D4914="",$E4914=""),"",IFERROR($D4914*INDEX(Setup!$B$27:$B$44,MATCH($E4914,Setup!$A$27:$A$44,0)),"TBD"))</f>
        <v/>
      </c>
      <c r="G4914" s="32"/>
      <c r="H4914" s="32"/>
      <c r="I4914" s="32"/>
      <c r="J4914" s="32"/>
      <c r="K4914" s="35"/>
      <c r="L4914" s="32"/>
      <c r="M4914" s="32"/>
    </row>
    <row r="4915" customFormat="false" ht="15" hidden="false" customHeight="true" outlineLevel="0" collapsed="false">
      <c r="A4915" s="32"/>
      <c r="B4915" s="32"/>
      <c r="C4915" s="32"/>
      <c r="D4915" s="32"/>
      <c r="E4915" s="34" t="str">
        <f aca="false">IF($B4915="","",IF($B4915="OUT","Liters",IFERROR(INDEX(Setup!$F$3:$F$24,MATCH($C4915,Setup!$A$3:$A$24,0)),"")))</f>
        <v/>
      </c>
      <c r="F4915" s="28" t="str">
        <f aca="false">IF(OR($D4915="",$E4915=""),"",IFERROR($D4915*INDEX(Setup!$B$27:$B$44,MATCH($E4915,Setup!$A$27:$A$44,0)),"TBD"))</f>
        <v/>
      </c>
      <c r="G4915" s="32"/>
      <c r="H4915" s="32"/>
      <c r="I4915" s="32"/>
      <c r="J4915" s="32"/>
      <c r="K4915" s="35"/>
      <c r="L4915" s="32"/>
      <c r="M4915" s="32"/>
    </row>
    <row r="4916" customFormat="false" ht="15" hidden="false" customHeight="true" outlineLevel="0" collapsed="false">
      <c r="A4916" s="32"/>
      <c r="B4916" s="32"/>
      <c r="C4916" s="32"/>
      <c r="D4916" s="32"/>
      <c r="E4916" s="34" t="str">
        <f aca="false">IF($B4916="","",IF($B4916="OUT","Liters",IFERROR(INDEX(Setup!$F$3:$F$24,MATCH($C4916,Setup!$A$3:$A$24,0)),"")))</f>
        <v/>
      </c>
      <c r="F4916" s="28" t="str">
        <f aca="false">IF(OR($D4916="",$E4916=""),"",IFERROR($D4916*INDEX(Setup!$B$27:$B$44,MATCH($E4916,Setup!$A$27:$A$44,0)),"TBD"))</f>
        <v/>
      </c>
      <c r="G4916" s="32"/>
      <c r="H4916" s="32"/>
      <c r="I4916" s="32"/>
      <c r="J4916" s="32"/>
      <c r="K4916" s="35"/>
      <c r="L4916" s="32"/>
      <c r="M4916" s="32"/>
    </row>
    <row r="4917" customFormat="false" ht="15" hidden="false" customHeight="true" outlineLevel="0" collapsed="false">
      <c r="A4917" s="32"/>
      <c r="B4917" s="32"/>
      <c r="C4917" s="32"/>
      <c r="D4917" s="32"/>
      <c r="E4917" s="34" t="str">
        <f aca="false">IF($B4917="","",IF($B4917="OUT","Liters",IFERROR(INDEX(Setup!$F$3:$F$24,MATCH($C4917,Setup!$A$3:$A$24,0)),"")))</f>
        <v/>
      </c>
      <c r="F4917" s="28" t="str">
        <f aca="false">IF(OR($D4917="",$E4917=""),"",IFERROR($D4917*INDEX(Setup!$B$27:$B$44,MATCH($E4917,Setup!$A$27:$A$44,0)),"TBD"))</f>
        <v/>
      </c>
      <c r="G4917" s="32"/>
      <c r="H4917" s="32"/>
      <c r="I4917" s="32"/>
      <c r="J4917" s="32"/>
      <c r="K4917" s="35"/>
      <c r="L4917" s="32"/>
      <c r="M4917" s="32"/>
    </row>
    <row r="4918" customFormat="false" ht="15" hidden="false" customHeight="true" outlineLevel="0" collapsed="false">
      <c r="A4918" s="32"/>
      <c r="B4918" s="32"/>
      <c r="C4918" s="32"/>
      <c r="D4918" s="32"/>
      <c r="E4918" s="34" t="str">
        <f aca="false">IF($B4918="","",IF($B4918="OUT","Liters",IFERROR(INDEX(Setup!$F$3:$F$24,MATCH($C4918,Setup!$A$3:$A$24,0)),"")))</f>
        <v/>
      </c>
      <c r="F4918" s="28" t="str">
        <f aca="false">IF(OR($D4918="",$E4918=""),"",IFERROR($D4918*INDEX(Setup!$B$27:$B$44,MATCH($E4918,Setup!$A$27:$A$44,0)),"TBD"))</f>
        <v/>
      </c>
      <c r="G4918" s="32"/>
      <c r="H4918" s="32"/>
      <c r="I4918" s="32"/>
      <c r="J4918" s="32"/>
      <c r="K4918" s="35"/>
      <c r="L4918" s="32"/>
      <c r="M4918" s="32"/>
    </row>
    <row r="4919" customFormat="false" ht="15" hidden="false" customHeight="true" outlineLevel="0" collapsed="false">
      <c r="A4919" s="32"/>
      <c r="B4919" s="32"/>
      <c r="C4919" s="32"/>
      <c r="D4919" s="32"/>
      <c r="E4919" s="34" t="str">
        <f aca="false">IF($B4919="","",IF($B4919="OUT","Liters",IFERROR(INDEX(Setup!$F$3:$F$24,MATCH($C4919,Setup!$A$3:$A$24,0)),"")))</f>
        <v/>
      </c>
      <c r="F4919" s="28" t="str">
        <f aca="false">IF(OR($D4919="",$E4919=""),"",IFERROR($D4919*INDEX(Setup!$B$27:$B$44,MATCH($E4919,Setup!$A$27:$A$44,0)),"TBD"))</f>
        <v/>
      </c>
      <c r="G4919" s="32"/>
      <c r="H4919" s="32"/>
      <c r="I4919" s="32"/>
      <c r="J4919" s="32"/>
      <c r="K4919" s="35"/>
      <c r="L4919" s="32"/>
      <c r="M4919" s="32"/>
    </row>
    <row r="4920" customFormat="false" ht="15" hidden="false" customHeight="true" outlineLevel="0" collapsed="false">
      <c r="A4920" s="32"/>
      <c r="B4920" s="32"/>
      <c r="C4920" s="32"/>
      <c r="D4920" s="32"/>
      <c r="E4920" s="34" t="str">
        <f aca="false">IF($B4920="","",IF($B4920="OUT","Liters",IFERROR(INDEX(Setup!$F$3:$F$24,MATCH($C4920,Setup!$A$3:$A$24,0)),"")))</f>
        <v/>
      </c>
      <c r="F4920" s="28" t="str">
        <f aca="false">IF(OR($D4920="",$E4920=""),"",IFERROR($D4920*INDEX(Setup!$B$27:$B$44,MATCH($E4920,Setup!$A$27:$A$44,0)),"TBD"))</f>
        <v/>
      </c>
      <c r="G4920" s="32"/>
      <c r="H4920" s="32"/>
      <c r="I4920" s="32"/>
      <c r="J4920" s="32"/>
      <c r="K4920" s="35"/>
      <c r="L4920" s="32"/>
      <c r="M4920" s="32"/>
    </row>
    <row r="4921" customFormat="false" ht="15" hidden="false" customHeight="true" outlineLevel="0" collapsed="false">
      <c r="A4921" s="32"/>
      <c r="B4921" s="32"/>
      <c r="C4921" s="32"/>
      <c r="D4921" s="32"/>
      <c r="E4921" s="34" t="str">
        <f aca="false">IF($B4921="","",IF($B4921="OUT","Liters",IFERROR(INDEX(Setup!$F$3:$F$24,MATCH($C4921,Setup!$A$3:$A$24,0)),"")))</f>
        <v/>
      </c>
      <c r="F4921" s="28" t="str">
        <f aca="false">IF(OR($D4921="",$E4921=""),"",IFERROR($D4921*INDEX(Setup!$B$27:$B$44,MATCH($E4921,Setup!$A$27:$A$44,0)),"TBD"))</f>
        <v/>
      </c>
      <c r="G4921" s="32"/>
      <c r="H4921" s="32"/>
      <c r="I4921" s="32"/>
      <c r="J4921" s="32"/>
      <c r="K4921" s="35"/>
      <c r="L4921" s="32"/>
      <c r="M4921" s="32"/>
    </row>
    <row r="4922" customFormat="false" ht="15" hidden="false" customHeight="true" outlineLevel="0" collapsed="false">
      <c r="A4922" s="32"/>
      <c r="B4922" s="32"/>
      <c r="C4922" s="32"/>
      <c r="D4922" s="32"/>
      <c r="E4922" s="34" t="str">
        <f aca="false">IF($B4922="","",IF($B4922="OUT","Liters",IFERROR(INDEX(Setup!$F$3:$F$24,MATCH($C4922,Setup!$A$3:$A$24,0)),"")))</f>
        <v/>
      </c>
      <c r="F4922" s="28" t="str">
        <f aca="false">IF(OR($D4922="",$E4922=""),"",IFERROR($D4922*INDEX(Setup!$B$27:$B$44,MATCH($E4922,Setup!$A$27:$A$44,0)),"TBD"))</f>
        <v/>
      </c>
      <c r="G4922" s="32"/>
      <c r="H4922" s="32"/>
      <c r="I4922" s="32"/>
      <c r="J4922" s="32"/>
      <c r="K4922" s="35"/>
      <c r="L4922" s="32"/>
      <c r="M4922" s="32"/>
    </row>
    <row r="4923" customFormat="false" ht="15" hidden="false" customHeight="true" outlineLevel="0" collapsed="false">
      <c r="A4923" s="32"/>
      <c r="B4923" s="32"/>
      <c r="C4923" s="32"/>
      <c r="D4923" s="32"/>
      <c r="E4923" s="34" t="str">
        <f aca="false">IF($B4923="","",IF($B4923="OUT","Liters",IFERROR(INDEX(Setup!$F$3:$F$24,MATCH($C4923,Setup!$A$3:$A$24,0)),"")))</f>
        <v/>
      </c>
      <c r="F4923" s="28" t="str">
        <f aca="false">IF(OR($D4923="",$E4923=""),"",IFERROR($D4923*INDEX(Setup!$B$27:$B$44,MATCH($E4923,Setup!$A$27:$A$44,0)),"TBD"))</f>
        <v/>
      </c>
      <c r="G4923" s="32"/>
      <c r="H4923" s="32"/>
      <c r="I4923" s="32"/>
      <c r="J4923" s="32"/>
      <c r="K4923" s="35"/>
      <c r="L4923" s="32"/>
      <c r="M4923" s="32"/>
    </row>
    <row r="4924" customFormat="false" ht="15" hidden="false" customHeight="true" outlineLevel="0" collapsed="false">
      <c r="A4924" s="32"/>
      <c r="B4924" s="32"/>
      <c r="C4924" s="32"/>
      <c r="D4924" s="32"/>
      <c r="E4924" s="34" t="str">
        <f aca="false">IF($B4924="","",IF($B4924="OUT","Liters",IFERROR(INDEX(Setup!$F$3:$F$24,MATCH($C4924,Setup!$A$3:$A$24,0)),"")))</f>
        <v/>
      </c>
      <c r="F4924" s="28" t="str">
        <f aca="false">IF(OR($D4924="",$E4924=""),"",IFERROR($D4924*INDEX(Setup!$B$27:$B$44,MATCH($E4924,Setup!$A$27:$A$44,0)),"TBD"))</f>
        <v/>
      </c>
      <c r="G4924" s="32"/>
      <c r="H4924" s="32"/>
      <c r="I4924" s="32"/>
      <c r="J4924" s="32"/>
      <c r="K4924" s="35"/>
      <c r="L4924" s="32"/>
      <c r="M4924" s="32"/>
    </row>
    <row r="4925" customFormat="false" ht="15" hidden="false" customHeight="true" outlineLevel="0" collapsed="false">
      <c r="A4925" s="32"/>
      <c r="B4925" s="32"/>
      <c r="C4925" s="32"/>
      <c r="D4925" s="32"/>
      <c r="E4925" s="34" t="str">
        <f aca="false">IF($B4925="","",IF($B4925="OUT","Liters",IFERROR(INDEX(Setup!$F$3:$F$24,MATCH($C4925,Setup!$A$3:$A$24,0)),"")))</f>
        <v/>
      </c>
      <c r="F4925" s="28" t="str">
        <f aca="false">IF(OR($D4925="",$E4925=""),"",IFERROR($D4925*INDEX(Setup!$B$27:$B$44,MATCH($E4925,Setup!$A$27:$A$44,0)),"TBD"))</f>
        <v/>
      </c>
      <c r="G4925" s="32"/>
      <c r="H4925" s="32"/>
      <c r="I4925" s="32"/>
      <c r="J4925" s="32"/>
      <c r="K4925" s="35"/>
      <c r="L4925" s="32"/>
      <c r="M4925" s="32"/>
    </row>
    <row r="4926" customFormat="false" ht="15" hidden="false" customHeight="true" outlineLevel="0" collapsed="false">
      <c r="A4926" s="32"/>
      <c r="B4926" s="32"/>
      <c r="C4926" s="32"/>
      <c r="D4926" s="32"/>
      <c r="E4926" s="34" t="str">
        <f aca="false">IF($B4926="","",IF($B4926="OUT","Liters",IFERROR(INDEX(Setup!$F$3:$F$24,MATCH($C4926,Setup!$A$3:$A$24,0)),"")))</f>
        <v/>
      </c>
      <c r="F4926" s="28" t="str">
        <f aca="false">IF(OR($D4926="",$E4926=""),"",IFERROR($D4926*INDEX(Setup!$B$27:$B$44,MATCH($E4926,Setup!$A$27:$A$44,0)),"TBD"))</f>
        <v/>
      </c>
      <c r="G4926" s="32"/>
      <c r="H4926" s="32"/>
      <c r="I4926" s="32"/>
      <c r="J4926" s="32"/>
      <c r="K4926" s="35"/>
      <c r="L4926" s="32"/>
      <c r="M4926" s="32"/>
    </row>
    <row r="4927" customFormat="false" ht="15" hidden="false" customHeight="true" outlineLevel="0" collapsed="false">
      <c r="A4927" s="32"/>
      <c r="B4927" s="32"/>
      <c r="C4927" s="32"/>
      <c r="D4927" s="32"/>
      <c r="E4927" s="34" t="str">
        <f aca="false">IF($B4927="","",IF($B4927="OUT","Liters",IFERROR(INDEX(Setup!$F$3:$F$24,MATCH($C4927,Setup!$A$3:$A$24,0)),"")))</f>
        <v/>
      </c>
      <c r="F4927" s="28" t="str">
        <f aca="false">IF(OR($D4927="",$E4927=""),"",IFERROR($D4927*INDEX(Setup!$B$27:$B$44,MATCH($E4927,Setup!$A$27:$A$44,0)),"TBD"))</f>
        <v/>
      </c>
      <c r="G4927" s="32"/>
      <c r="H4927" s="32"/>
      <c r="I4927" s="32"/>
      <c r="J4927" s="32"/>
      <c r="K4927" s="35"/>
      <c r="L4927" s="32"/>
      <c r="M4927" s="32"/>
    </row>
    <row r="4928" customFormat="false" ht="15" hidden="false" customHeight="true" outlineLevel="0" collapsed="false">
      <c r="A4928" s="32"/>
      <c r="B4928" s="32"/>
      <c r="C4928" s="32"/>
      <c r="D4928" s="32"/>
      <c r="E4928" s="34" t="str">
        <f aca="false">IF($B4928="","",IF($B4928="OUT","Liters",IFERROR(INDEX(Setup!$F$3:$F$24,MATCH($C4928,Setup!$A$3:$A$24,0)),"")))</f>
        <v/>
      </c>
      <c r="F4928" s="28" t="str">
        <f aca="false">IF(OR($D4928="",$E4928=""),"",IFERROR($D4928*INDEX(Setup!$B$27:$B$44,MATCH($E4928,Setup!$A$27:$A$44,0)),"TBD"))</f>
        <v/>
      </c>
      <c r="G4928" s="32"/>
      <c r="H4928" s="32"/>
      <c r="I4928" s="32"/>
      <c r="J4928" s="32"/>
      <c r="K4928" s="35"/>
      <c r="L4928" s="32"/>
      <c r="M4928" s="32"/>
    </row>
    <row r="4929" customFormat="false" ht="15" hidden="false" customHeight="true" outlineLevel="0" collapsed="false">
      <c r="A4929" s="32"/>
      <c r="B4929" s="32"/>
      <c r="C4929" s="32"/>
      <c r="D4929" s="32"/>
      <c r="E4929" s="34" t="str">
        <f aca="false">IF($B4929="","",IF($B4929="OUT","Liters",IFERROR(INDEX(Setup!$F$3:$F$24,MATCH($C4929,Setup!$A$3:$A$24,0)),"")))</f>
        <v/>
      </c>
      <c r="F4929" s="28" t="str">
        <f aca="false">IF(OR($D4929="",$E4929=""),"",IFERROR($D4929*INDEX(Setup!$B$27:$B$44,MATCH($E4929,Setup!$A$27:$A$44,0)),"TBD"))</f>
        <v/>
      </c>
      <c r="G4929" s="32"/>
      <c r="H4929" s="32"/>
      <c r="I4929" s="32"/>
      <c r="J4929" s="32"/>
      <c r="K4929" s="35"/>
      <c r="L4929" s="32"/>
      <c r="M4929" s="32"/>
    </row>
    <row r="4930" customFormat="false" ht="15" hidden="false" customHeight="true" outlineLevel="0" collapsed="false">
      <c r="A4930" s="32"/>
      <c r="B4930" s="32"/>
      <c r="C4930" s="32"/>
      <c r="D4930" s="32"/>
      <c r="E4930" s="34" t="str">
        <f aca="false">IF($B4930="","",IF($B4930="OUT","Liters",IFERROR(INDEX(Setup!$F$3:$F$24,MATCH($C4930,Setup!$A$3:$A$24,0)),"")))</f>
        <v/>
      </c>
      <c r="F4930" s="28" t="str">
        <f aca="false">IF(OR($D4930="",$E4930=""),"",IFERROR($D4930*INDEX(Setup!$B$27:$B$44,MATCH($E4930,Setup!$A$27:$A$44,0)),"TBD"))</f>
        <v/>
      </c>
      <c r="G4930" s="32"/>
      <c r="H4930" s="32"/>
      <c r="I4930" s="32"/>
      <c r="J4930" s="32"/>
      <c r="K4930" s="35"/>
      <c r="L4930" s="32"/>
      <c r="M4930" s="32"/>
    </row>
    <row r="4931" customFormat="false" ht="15" hidden="false" customHeight="true" outlineLevel="0" collapsed="false">
      <c r="A4931" s="32"/>
      <c r="B4931" s="32"/>
      <c r="C4931" s="32"/>
      <c r="D4931" s="32"/>
      <c r="E4931" s="34" t="str">
        <f aca="false">IF($B4931="","",IF($B4931="OUT","Liters",IFERROR(INDEX(Setup!$F$3:$F$24,MATCH($C4931,Setup!$A$3:$A$24,0)),"")))</f>
        <v/>
      </c>
      <c r="F4931" s="28" t="str">
        <f aca="false">IF(OR($D4931="",$E4931=""),"",IFERROR($D4931*INDEX(Setup!$B$27:$B$44,MATCH($E4931,Setup!$A$27:$A$44,0)),"TBD"))</f>
        <v/>
      </c>
      <c r="G4931" s="32"/>
      <c r="H4931" s="32"/>
      <c r="I4931" s="32"/>
      <c r="J4931" s="32"/>
      <c r="K4931" s="35"/>
      <c r="L4931" s="32"/>
      <c r="M4931" s="32"/>
    </row>
    <row r="4932" customFormat="false" ht="15" hidden="false" customHeight="true" outlineLevel="0" collapsed="false">
      <c r="A4932" s="32"/>
      <c r="B4932" s="32"/>
      <c r="C4932" s="32"/>
      <c r="D4932" s="32"/>
      <c r="E4932" s="34" t="str">
        <f aca="false">IF($B4932="","",IF($B4932="OUT","Liters",IFERROR(INDEX(Setup!$F$3:$F$24,MATCH($C4932,Setup!$A$3:$A$24,0)),"")))</f>
        <v/>
      </c>
      <c r="F4932" s="28" t="str">
        <f aca="false">IF(OR($D4932="",$E4932=""),"",IFERROR($D4932*INDEX(Setup!$B$27:$B$44,MATCH($E4932,Setup!$A$27:$A$44,0)),"TBD"))</f>
        <v/>
      </c>
      <c r="G4932" s="32"/>
      <c r="H4932" s="32"/>
      <c r="I4932" s="32"/>
      <c r="J4932" s="32"/>
      <c r="K4932" s="35"/>
      <c r="L4932" s="32"/>
      <c r="M4932" s="32"/>
    </row>
    <row r="4933" customFormat="false" ht="15" hidden="false" customHeight="true" outlineLevel="0" collapsed="false">
      <c r="A4933" s="32"/>
      <c r="B4933" s="32"/>
      <c r="C4933" s="32"/>
      <c r="D4933" s="32"/>
      <c r="E4933" s="34" t="str">
        <f aca="false">IF($B4933="","",IF($B4933="OUT","Liters",IFERROR(INDEX(Setup!$F$3:$F$24,MATCH($C4933,Setup!$A$3:$A$24,0)),"")))</f>
        <v/>
      </c>
      <c r="F4933" s="28" t="str">
        <f aca="false">IF(OR($D4933="",$E4933=""),"",IFERROR($D4933*INDEX(Setup!$B$27:$B$44,MATCH($E4933,Setup!$A$27:$A$44,0)),"TBD"))</f>
        <v/>
      </c>
      <c r="G4933" s="32"/>
      <c r="H4933" s="32"/>
      <c r="I4933" s="32"/>
      <c r="J4933" s="32"/>
      <c r="K4933" s="35"/>
      <c r="L4933" s="32"/>
      <c r="M4933" s="32"/>
    </row>
    <row r="4934" customFormat="false" ht="15" hidden="false" customHeight="true" outlineLevel="0" collapsed="false">
      <c r="A4934" s="32"/>
      <c r="B4934" s="32"/>
      <c r="C4934" s="32"/>
      <c r="D4934" s="32"/>
      <c r="E4934" s="34" t="str">
        <f aca="false">IF($B4934="","",IF($B4934="OUT","Liters",IFERROR(INDEX(Setup!$F$3:$F$24,MATCH($C4934,Setup!$A$3:$A$24,0)),"")))</f>
        <v/>
      </c>
      <c r="F4934" s="28" t="str">
        <f aca="false">IF(OR($D4934="",$E4934=""),"",IFERROR($D4934*INDEX(Setup!$B$27:$B$44,MATCH($E4934,Setup!$A$27:$A$44,0)),"TBD"))</f>
        <v/>
      </c>
      <c r="G4934" s="32"/>
      <c r="H4934" s="32"/>
      <c r="I4934" s="32"/>
      <c r="J4934" s="32"/>
      <c r="K4934" s="35"/>
      <c r="L4934" s="32"/>
      <c r="M4934" s="32"/>
    </row>
    <row r="4935" customFormat="false" ht="15" hidden="false" customHeight="true" outlineLevel="0" collapsed="false">
      <c r="A4935" s="32"/>
      <c r="B4935" s="32"/>
      <c r="C4935" s="32"/>
      <c r="D4935" s="32"/>
      <c r="E4935" s="34" t="str">
        <f aca="false">IF($B4935="","",IF($B4935="OUT","Liters",IFERROR(INDEX(Setup!$F$3:$F$24,MATCH($C4935,Setup!$A$3:$A$24,0)),"")))</f>
        <v/>
      </c>
      <c r="F4935" s="28" t="str">
        <f aca="false">IF(OR($D4935="",$E4935=""),"",IFERROR($D4935*INDEX(Setup!$B$27:$B$44,MATCH($E4935,Setup!$A$27:$A$44,0)),"TBD"))</f>
        <v/>
      </c>
      <c r="G4935" s="32"/>
      <c r="H4935" s="32"/>
      <c r="I4935" s="32"/>
      <c r="J4935" s="32"/>
      <c r="K4935" s="35"/>
      <c r="L4935" s="32"/>
      <c r="M4935" s="32"/>
    </row>
    <row r="4936" customFormat="false" ht="15" hidden="false" customHeight="true" outlineLevel="0" collapsed="false">
      <c r="A4936" s="32"/>
      <c r="B4936" s="32"/>
      <c r="C4936" s="32"/>
      <c r="D4936" s="32"/>
      <c r="E4936" s="34" t="str">
        <f aca="false">IF($B4936="","",IF($B4936="OUT","Liters",IFERROR(INDEX(Setup!$F$3:$F$24,MATCH($C4936,Setup!$A$3:$A$24,0)),"")))</f>
        <v/>
      </c>
      <c r="F4936" s="28" t="str">
        <f aca="false">IF(OR($D4936="",$E4936=""),"",IFERROR($D4936*INDEX(Setup!$B$27:$B$44,MATCH($E4936,Setup!$A$27:$A$44,0)),"TBD"))</f>
        <v/>
      </c>
      <c r="G4936" s="32"/>
      <c r="H4936" s="32"/>
      <c r="I4936" s="32"/>
      <c r="J4936" s="32"/>
      <c r="K4936" s="35"/>
      <c r="L4936" s="32"/>
      <c r="M4936" s="32"/>
    </row>
    <row r="4937" customFormat="false" ht="15" hidden="false" customHeight="true" outlineLevel="0" collapsed="false">
      <c r="A4937" s="32"/>
      <c r="B4937" s="32"/>
      <c r="C4937" s="32"/>
      <c r="D4937" s="32"/>
      <c r="E4937" s="34" t="str">
        <f aca="false">IF($B4937="","",IF($B4937="OUT","Liters",IFERROR(INDEX(Setup!$F$3:$F$24,MATCH($C4937,Setup!$A$3:$A$24,0)),"")))</f>
        <v/>
      </c>
      <c r="F4937" s="28" t="str">
        <f aca="false">IF(OR($D4937="",$E4937=""),"",IFERROR($D4937*INDEX(Setup!$B$27:$B$44,MATCH($E4937,Setup!$A$27:$A$44,0)),"TBD"))</f>
        <v/>
      </c>
      <c r="G4937" s="32"/>
      <c r="H4937" s="32"/>
      <c r="I4937" s="32"/>
      <c r="J4937" s="32"/>
      <c r="K4937" s="35"/>
      <c r="L4937" s="32"/>
      <c r="M4937" s="32"/>
    </row>
    <row r="4938" customFormat="false" ht="15" hidden="false" customHeight="true" outlineLevel="0" collapsed="false">
      <c r="A4938" s="32"/>
      <c r="B4938" s="32"/>
      <c r="C4938" s="32"/>
      <c r="D4938" s="32"/>
      <c r="E4938" s="34" t="str">
        <f aca="false">IF($B4938="","",IF($B4938="OUT","Liters",IFERROR(INDEX(Setup!$F$3:$F$24,MATCH($C4938,Setup!$A$3:$A$24,0)),"")))</f>
        <v/>
      </c>
      <c r="F4938" s="28" t="str">
        <f aca="false">IF(OR($D4938="",$E4938=""),"",IFERROR($D4938*INDEX(Setup!$B$27:$B$44,MATCH($E4938,Setup!$A$27:$A$44,0)),"TBD"))</f>
        <v/>
      </c>
      <c r="G4938" s="32"/>
      <c r="H4938" s="32"/>
      <c r="I4938" s="32"/>
      <c r="J4938" s="32"/>
      <c r="K4938" s="35"/>
      <c r="L4938" s="32"/>
      <c r="M4938" s="32"/>
    </row>
    <row r="4939" customFormat="false" ht="15" hidden="false" customHeight="true" outlineLevel="0" collapsed="false">
      <c r="A4939" s="32"/>
      <c r="B4939" s="32"/>
      <c r="C4939" s="32"/>
      <c r="D4939" s="32"/>
      <c r="E4939" s="34" t="str">
        <f aca="false">IF($B4939="","",IF($B4939="OUT","Liters",IFERROR(INDEX(Setup!$F$3:$F$24,MATCH($C4939,Setup!$A$3:$A$24,0)),"")))</f>
        <v/>
      </c>
      <c r="F4939" s="28" t="str">
        <f aca="false">IF(OR($D4939="",$E4939=""),"",IFERROR($D4939*INDEX(Setup!$B$27:$B$44,MATCH($E4939,Setup!$A$27:$A$44,0)),"TBD"))</f>
        <v/>
      </c>
      <c r="G4939" s="32"/>
      <c r="H4939" s="32"/>
      <c r="I4939" s="32"/>
      <c r="J4939" s="32"/>
      <c r="K4939" s="35"/>
      <c r="L4939" s="32"/>
      <c r="M4939" s="32"/>
    </row>
    <row r="4940" customFormat="false" ht="15" hidden="false" customHeight="true" outlineLevel="0" collapsed="false">
      <c r="A4940" s="32"/>
      <c r="B4940" s="32"/>
      <c r="C4940" s="32"/>
      <c r="D4940" s="32"/>
      <c r="E4940" s="34" t="str">
        <f aca="false">IF($B4940="","",IF($B4940="OUT","Liters",IFERROR(INDEX(Setup!$F$3:$F$24,MATCH($C4940,Setup!$A$3:$A$24,0)),"")))</f>
        <v/>
      </c>
      <c r="F4940" s="28" t="str">
        <f aca="false">IF(OR($D4940="",$E4940=""),"",IFERROR($D4940*INDEX(Setup!$B$27:$B$44,MATCH($E4940,Setup!$A$27:$A$44,0)),"TBD"))</f>
        <v/>
      </c>
      <c r="G4940" s="32"/>
      <c r="H4940" s="32"/>
      <c r="I4940" s="32"/>
      <c r="J4940" s="32"/>
      <c r="K4940" s="35"/>
      <c r="L4940" s="32"/>
      <c r="M4940" s="32"/>
    </row>
    <row r="4941" customFormat="false" ht="15" hidden="false" customHeight="true" outlineLevel="0" collapsed="false">
      <c r="A4941" s="32"/>
      <c r="B4941" s="32"/>
      <c r="C4941" s="32"/>
      <c r="D4941" s="32"/>
      <c r="E4941" s="34" t="str">
        <f aca="false">IF($B4941="","",IF($B4941="OUT","Liters",IFERROR(INDEX(Setup!$F$3:$F$24,MATCH($C4941,Setup!$A$3:$A$24,0)),"")))</f>
        <v/>
      </c>
      <c r="F4941" s="28" t="str">
        <f aca="false">IF(OR($D4941="",$E4941=""),"",IFERROR($D4941*INDEX(Setup!$B$27:$B$44,MATCH($E4941,Setup!$A$27:$A$44,0)),"TBD"))</f>
        <v/>
      </c>
      <c r="G4941" s="32"/>
      <c r="H4941" s="32"/>
      <c r="I4941" s="32"/>
      <c r="J4941" s="32"/>
      <c r="K4941" s="35"/>
      <c r="L4941" s="32"/>
      <c r="M4941" s="32"/>
    </row>
    <row r="4942" customFormat="false" ht="15" hidden="false" customHeight="true" outlineLevel="0" collapsed="false">
      <c r="A4942" s="32"/>
      <c r="B4942" s="32"/>
      <c r="C4942" s="32"/>
      <c r="D4942" s="32"/>
      <c r="E4942" s="34" t="str">
        <f aca="false">IF($B4942="","",IF($B4942="OUT","Liters",IFERROR(INDEX(Setup!$F$3:$F$24,MATCH($C4942,Setup!$A$3:$A$24,0)),"")))</f>
        <v/>
      </c>
      <c r="F4942" s="28" t="str">
        <f aca="false">IF(OR($D4942="",$E4942=""),"",IFERROR($D4942*INDEX(Setup!$B$27:$B$44,MATCH($E4942,Setup!$A$27:$A$44,0)),"TBD"))</f>
        <v/>
      </c>
      <c r="G4942" s="32"/>
      <c r="H4942" s="32"/>
      <c r="I4942" s="32"/>
      <c r="J4942" s="32"/>
      <c r="K4942" s="35"/>
      <c r="L4942" s="32"/>
      <c r="M4942" s="32"/>
    </row>
    <row r="4943" customFormat="false" ht="15" hidden="false" customHeight="true" outlineLevel="0" collapsed="false">
      <c r="A4943" s="32"/>
      <c r="B4943" s="32"/>
      <c r="C4943" s="32"/>
      <c r="D4943" s="32"/>
      <c r="E4943" s="34" t="str">
        <f aca="false">IF($B4943="","",IF($B4943="OUT","Liters",IFERROR(INDEX(Setup!$F$3:$F$24,MATCH($C4943,Setup!$A$3:$A$24,0)),"")))</f>
        <v/>
      </c>
      <c r="F4943" s="28" t="str">
        <f aca="false">IF(OR($D4943="",$E4943=""),"",IFERROR($D4943*INDEX(Setup!$B$27:$B$44,MATCH($E4943,Setup!$A$27:$A$44,0)),"TBD"))</f>
        <v/>
      </c>
      <c r="G4943" s="32"/>
      <c r="H4943" s="32"/>
      <c r="I4943" s="32"/>
      <c r="J4943" s="32"/>
      <c r="K4943" s="35"/>
      <c r="L4943" s="32"/>
      <c r="M4943" s="32"/>
    </row>
    <row r="4944" customFormat="false" ht="15" hidden="false" customHeight="true" outlineLevel="0" collapsed="false">
      <c r="A4944" s="32"/>
      <c r="B4944" s="32"/>
      <c r="C4944" s="32"/>
      <c r="D4944" s="32"/>
      <c r="E4944" s="34" t="str">
        <f aca="false">IF($B4944="","",IF($B4944="OUT","Liters",IFERROR(INDEX(Setup!$F$3:$F$24,MATCH($C4944,Setup!$A$3:$A$24,0)),"")))</f>
        <v/>
      </c>
      <c r="F4944" s="28" t="str">
        <f aca="false">IF(OR($D4944="",$E4944=""),"",IFERROR($D4944*INDEX(Setup!$B$27:$B$44,MATCH($E4944,Setup!$A$27:$A$44,0)),"TBD"))</f>
        <v/>
      </c>
      <c r="G4944" s="32"/>
      <c r="H4944" s="32"/>
      <c r="I4944" s="32"/>
      <c r="J4944" s="32"/>
      <c r="K4944" s="35"/>
      <c r="L4944" s="32"/>
      <c r="M4944" s="32"/>
    </row>
    <row r="4945" customFormat="false" ht="15" hidden="false" customHeight="true" outlineLevel="0" collapsed="false">
      <c r="A4945" s="32"/>
      <c r="B4945" s="32"/>
      <c r="C4945" s="32"/>
      <c r="D4945" s="32"/>
      <c r="E4945" s="34" t="str">
        <f aca="false">IF($B4945="","",IF($B4945="OUT","Liters",IFERROR(INDEX(Setup!$F$3:$F$24,MATCH($C4945,Setup!$A$3:$A$24,0)),"")))</f>
        <v/>
      </c>
      <c r="F4945" s="28" t="str">
        <f aca="false">IF(OR($D4945="",$E4945=""),"",IFERROR($D4945*INDEX(Setup!$B$27:$B$44,MATCH($E4945,Setup!$A$27:$A$44,0)),"TBD"))</f>
        <v/>
      </c>
      <c r="G4945" s="32"/>
      <c r="H4945" s="32"/>
      <c r="I4945" s="32"/>
      <c r="J4945" s="32"/>
      <c r="K4945" s="35"/>
      <c r="L4945" s="32"/>
      <c r="M4945" s="32"/>
    </row>
    <row r="4946" customFormat="false" ht="15" hidden="false" customHeight="true" outlineLevel="0" collapsed="false">
      <c r="A4946" s="32"/>
      <c r="B4946" s="32"/>
      <c r="C4946" s="32"/>
      <c r="D4946" s="32"/>
      <c r="E4946" s="34" t="str">
        <f aca="false">IF($B4946="","",IF($B4946="OUT","Liters",IFERROR(INDEX(Setup!$F$3:$F$24,MATCH($C4946,Setup!$A$3:$A$24,0)),"")))</f>
        <v/>
      </c>
      <c r="F4946" s="28" t="str">
        <f aca="false">IF(OR($D4946="",$E4946=""),"",IFERROR($D4946*INDEX(Setup!$B$27:$B$44,MATCH($E4946,Setup!$A$27:$A$44,0)),"TBD"))</f>
        <v/>
      </c>
      <c r="G4946" s="32"/>
      <c r="H4946" s="32"/>
      <c r="I4946" s="32"/>
      <c r="J4946" s="32"/>
      <c r="K4946" s="35"/>
      <c r="L4946" s="32"/>
      <c r="M4946" s="32"/>
    </row>
    <row r="4947" customFormat="false" ht="15" hidden="false" customHeight="true" outlineLevel="0" collapsed="false">
      <c r="A4947" s="32"/>
      <c r="B4947" s="32"/>
      <c r="C4947" s="32"/>
      <c r="D4947" s="32"/>
      <c r="E4947" s="34" t="str">
        <f aca="false">IF($B4947="","",IF($B4947="OUT","Liters",IFERROR(INDEX(Setup!$F$3:$F$24,MATCH($C4947,Setup!$A$3:$A$24,0)),"")))</f>
        <v/>
      </c>
      <c r="F4947" s="28" t="str">
        <f aca="false">IF(OR($D4947="",$E4947=""),"",IFERROR($D4947*INDEX(Setup!$B$27:$B$44,MATCH($E4947,Setup!$A$27:$A$44,0)),"TBD"))</f>
        <v/>
      </c>
      <c r="G4947" s="32"/>
      <c r="H4947" s="32"/>
      <c r="I4947" s="32"/>
      <c r="J4947" s="32"/>
      <c r="K4947" s="35"/>
      <c r="L4947" s="32"/>
      <c r="M4947" s="32"/>
    </row>
    <row r="4948" customFormat="false" ht="15" hidden="false" customHeight="true" outlineLevel="0" collapsed="false">
      <c r="A4948" s="32"/>
      <c r="B4948" s="32"/>
      <c r="C4948" s="32"/>
      <c r="D4948" s="32"/>
      <c r="E4948" s="34" t="str">
        <f aca="false">IF($B4948="","",IF($B4948="OUT","Liters",IFERROR(INDEX(Setup!$F$3:$F$24,MATCH($C4948,Setup!$A$3:$A$24,0)),"")))</f>
        <v/>
      </c>
      <c r="F4948" s="28" t="str">
        <f aca="false">IF(OR($D4948="",$E4948=""),"",IFERROR($D4948*INDEX(Setup!$B$27:$B$44,MATCH($E4948,Setup!$A$27:$A$44,0)),"TBD"))</f>
        <v/>
      </c>
      <c r="G4948" s="32"/>
      <c r="H4948" s="32"/>
      <c r="I4948" s="32"/>
      <c r="J4948" s="32"/>
      <c r="K4948" s="35"/>
      <c r="L4948" s="32"/>
      <c r="M4948" s="32"/>
    </row>
    <row r="4949" customFormat="false" ht="15" hidden="false" customHeight="true" outlineLevel="0" collapsed="false">
      <c r="A4949" s="32"/>
      <c r="B4949" s="32"/>
      <c r="C4949" s="32"/>
      <c r="D4949" s="32"/>
      <c r="E4949" s="34" t="str">
        <f aca="false">IF($B4949="","",IF($B4949="OUT","Liters",IFERROR(INDEX(Setup!$F$3:$F$24,MATCH($C4949,Setup!$A$3:$A$24,0)),"")))</f>
        <v/>
      </c>
      <c r="F4949" s="28" t="str">
        <f aca="false">IF(OR($D4949="",$E4949=""),"",IFERROR($D4949*INDEX(Setup!$B$27:$B$44,MATCH($E4949,Setup!$A$27:$A$44,0)),"TBD"))</f>
        <v/>
      </c>
      <c r="G4949" s="32"/>
      <c r="H4949" s="32"/>
      <c r="I4949" s="32"/>
      <c r="J4949" s="32"/>
      <c r="K4949" s="35"/>
      <c r="L4949" s="32"/>
      <c r="M4949" s="32"/>
    </row>
    <row r="4950" customFormat="false" ht="15" hidden="false" customHeight="true" outlineLevel="0" collapsed="false">
      <c r="A4950" s="32"/>
      <c r="B4950" s="32"/>
      <c r="C4950" s="32"/>
      <c r="D4950" s="32"/>
      <c r="E4950" s="34" t="str">
        <f aca="false">IF($B4950="","",IF($B4950="OUT","Liters",IFERROR(INDEX(Setup!$F$3:$F$24,MATCH($C4950,Setup!$A$3:$A$24,0)),"")))</f>
        <v/>
      </c>
      <c r="F4950" s="28" t="str">
        <f aca="false">IF(OR($D4950="",$E4950=""),"",IFERROR($D4950*INDEX(Setup!$B$27:$B$44,MATCH($E4950,Setup!$A$27:$A$44,0)),"TBD"))</f>
        <v/>
      </c>
      <c r="G4950" s="32"/>
      <c r="H4950" s="32"/>
      <c r="I4950" s="32"/>
      <c r="J4950" s="32"/>
      <c r="K4950" s="35"/>
      <c r="L4950" s="32"/>
      <c r="M4950" s="32"/>
    </row>
    <row r="4951" customFormat="false" ht="15" hidden="false" customHeight="true" outlineLevel="0" collapsed="false">
      <c r="A4951" s="32"/>
      <c r="B4951" s="32"/>
      <c r="C4951" s="32"/>
      <c r="D4951" s="32"/>
      <c r="E4951" s="34" t="str">
        <f aca="false">IF($B4951="","",IF($B4951="OUT","Liters",IFERROR(INDEX(Setup!$F$3:$F$24,MATCH($C4951,Setup!$A$3:$A$24,0)),"")))</f>
        <v/>
      </c>
      <c r="F4951" s="28" t="str">
        <f aca="false">IF(OR($D4951="",$E4951=""),"",IFERROR($D4951*INDEX(Setup!$B$27:$B$44,MATCH($E4951,Setup!$A$27:$A$44,0)),"TBD"))</f>
        <v/>
      </c>
      <c r="G4951" s="32"/>
      <c r="H4951" s="32"/>
      <c r="I4951" s="32"/>
      <c r="J4951" s="32"/>
      <c r="K4951" s="35"/>
      <c r="L4951" s="32"/>
      <c r="M4951" s="32"/>
    </row>
    <row r="4952" customFormat="false" ht="15" hidden="false" customHeight="true" outlineLevel="0" collapsed="false">
      <c r="A4952" s="32"/>
      <c r="B4952" s="32"/>
      <c r="C4952" s="32"/>
      <c r="D4952" s="32"/>
      <c r="E4952" s="34" t="str">
        <f aca="false">IF($B4952="","",IF($B4952="OUT","Liters",IFERROR(INDEX(Setup!$F$3:$F$24,MATCH($C4952,Setup!$A$3:$A$24,0)),"")))</f>
        <v/>
      </c>
      <c r="F4952" s="28" t="str">
        <f aca="false">IF(OR($D4952="",$E4952=""),"",IFERROR($D4952*INDEX(Setup!$B$27:$B$44,MATCH($E4952,Setup!$A$27:$A$44,0)),"TBD"))</f>
        <v/>
      </c>
      <c r="G4952" s="32"/>
      <c r="H4952" s="32"/>
      <c r="I4952" s="32"/>
      <c r="J4952" s="32"/>
      <c r="K4952" s="35"/>
      <c r="L4952" s="32"/>
      <c r="M4952" s="32"/>
    </row>
    <row r="4953" customFormat="false" ht="15" hidden="false" customHeight="true" outlineLevel="0" collapsed="false">
      <c r="A4953" s="32"/>
      <c r="B4953" s="32"/>
      <c r="C4953" s="32"/>
      <c r="D4953" s="32"/>
      <c r="E4953" s="34" t="str">
        <f aca="false">IF($B4953="","",IF($B4953="OUT","Liters",IFERROR(INDEX(Setup!$F$3:$F$24,MATCH($C4953,Setup!$A$3:$A$24,0)),"")))</f>
        <v/>
      </c>
      <c r="F4953" s="28" t="str">
        <f aca="false">IF(OR($D4953="",$E4953=""),"",IFERROR($D4953*INDEX(Setup!$B$27:$B$44,MATCH($E4953,Setup!$A$27:$A$44,0)),"TBD"))</f>
        <v/>
      </c>
      <c r="G4953" s="32"/>
      <c r="H4953" s="32"/>
      <c r="I4953" s="32"/>
      <c r="J4953" s="32"/>
      <c r="K4953" s="35"/>
      <c r="L4953" s="32"/>
      <c r="M4953" s="32"/>
    </row>
    <row r="4954" customFormat="false" ht="15" hidden="false" customHeight="true" outlineLevel="0" collapsed="false">
      <c r="A4954" s="32"/>
      <c r="B4954" s="32"/>
      <c r="C4954" s="32"/>
      <c r="D4954" s="32"/>
      <c r="E4954" s="34" t="str">
        <f aca="false">IF($B4954="","",IF($B4954="OUT","Liters",IFERROR(INDEX(Setup!$F$3:$F$24,MATCH($C4954,Setup!$A$3:$A$24,0)),"")))</f>
        <v/>
      </c>
      <c r="F4954" s="28" t="str">
        <f aca="false">IF(OR($D4954="",$E4954=""),"",IFERROR($D4954*INDEX(Setup!$B$27:$B$44,MATCH($E4954,Setup!$A$27:$A$44,0)),"TBD"))</f>
        <v/>
      </c>
      <c r="G4954" s="32"/>
      <c r="H4954" s="32"/>
      <c r="I4954" s="32"/>
      <c r="J4954" s="32"/>
      <c r="K4954" s="35"/>
      <c r="L4954" s="32"/>
      <c r="M4954" s="32"/>
    </row>
    <row r="4955" customFormat="false" ht="15" hidden="false" customHeight="true" outlineLevel="0" collapsed="false">
      <c r="A4955" s="32"/>
      <c r="B4955" s="32"/>
      <c r="C4955" s="32"/>
      <c r="D4955" s="32"/>
      <c r="E4955" s="34" t="str">
        <f aca="false">IF($B4955="","",IF($B4955="OUT","Liters",IFERROR(INDEX(Setup!$F$3:$F$24,MATCH($C4955,Setup!$A$3:$A$24,0)),"")))</f>
        <v/>
      </c>
      <c r="F4955" s="28" t="str">
        <f aca="false">IF(OR($D4955="",$E4955=""),"",IFERROR($D4955*INDEX(Setup!$B$27:$B$44,MATCH($E4955,Setup!$A$27:$A$44,0)),"TBD"))</f>
        <v/>
      </c>
      <c r="G4955" s="32"/>
      <c r="H4955" s="32"/>
      <c r="I4955" s="32"/>
      <c r="J4955" s="32"/>
      <c r="K4955" s="35"/>
      <c r="L4955" s="32"/>
      <c r="M4955" s="32"/>
    </row>
    <row r="4956" customFormat="false" ht="15" hidden="false" customHeight="true" outlineLevel="0" collapsed="false">
      <c r="A4956" s="32"/>
      <c r="B4956" s="32"/>
      <c r="C4956" s="32"/>
      <c r="D4956" s="32"/>
      <c r="E4956" s="34" t="str">
        <f aca="false">IF($B4956="","",IF($B4956="OUT","Liters",IFERROR(INDEX(Setup!$F$3:$F$24,MATCH($C4956,Setup!$A$3:$A$24,0)),"")))</f>
        <v/>
      </c>
      <c r="F4956" s="28" t="str">
        <f aca="false">IF(OR($D4956="",$E4956=""),"",IFERROR($D4956*INDEX(Setup!$B$27:$B$44,MATCH($E4956,Setup!$A$27:$A$44,0)),"TBD"))</f>
        <v/>
      </c>
      <c r="G4956" s="32"/>
      <c r="H4956" s="32"/>
      <c r="I4956" s="32"/>
      <c r="J4956" s="32"/>
      <c r="K4956" s="35"/>
      <c r="L4956" s="32"/>
      <c r="M4956" s="32"/>
    </row>
    <row r="4957" customFormat="false" ht="15" hidden="false" customHeight="true" outlineLevel="0" collapsed="false">
      <c r="A4957" s="32"/>
      <c r="B4957" s="32"/>
      <c r="C4957" s="32"/>
      <c r="D4957" s="32"/>
      <c r="E4957" s="34" t="str">
        <f aca="false">IF($B4957="","",IF($B4957="OUT","Liters",IFERROR(INDEX(Setup!$F$3:$F$24,MATCH($C4957,Setup!$A$3:$A$24,0)),"")))</f>
        <v/>
      </c>
      <c r="F4957" s="28" t="str">
        <f aca="false">IF(OR($D4957="",$E4957=""),"",IFERROR($D4957*INDEX(Setup!$B$27:$B$44,MATCH($E4957,Setup!$A$27:$A$44,0)),"TBD"))</f>
        <v/>
      </c>
      <c r="G4957" s="32"/>
      <c r="H4957" s="32"/>
      <c r="I4957" s="32"/>
      <c r="J4957" s="32"/>
      <c r="K4957" s="35"/>
      <c r="L4957" s="32"/>
      <c r="M4957" s="32"/>
    </row>
    <row r="4958" customFormat="false" ht="15" hidden="false" customHeight="true" outlineLevel="0" collapsed="false">
      <c r="A4958" s="32"/>
      <c r="B4958" s="32"/>
      <c r="C4958" s="32"/>
      <c r="D4958" s="32"/>
      <c r="E4958" s="34" t="str">
        <f aca="false">IF($B4958="","",IF($B4958="OUT","Liters",IFERROR(INDEX(Setup!$F$3:$F$24,MATCH($C4958,Setup!$A$3:$A$24,0)),"")))</f>
        <v/>
      </c>
      <c r="F4958" s="28" t="str">
        <f aca="false">IF(OR($D4958="",$E4958=""),"",IFERROR($D4958*INDEX(Setup!$B$27:$B$44,MATCH($E4958,Setup!$A$27:$A$44,0)),"TBD"))</f>
        <v/>
      </c>
      <c r="G4958" s="32"/>
      <c r="H4958" s="32"/>
      <c r="I4958" s="32"/>
      <c r="J4958" s="32"/>
      <c r="K4958" s="35"/>
      <c r="L4958" s="32"/>
      <c r="M4958" s="32"/>
    </row>
    <row r="4959" customFormat="false" ht="15" hidden="false" customHeight="true" outlineLevel="0" collapsed="false">
      <c r="A4959" s="32"/>
      <c r="B4959" s="32"/>
      <c r="C4959" s="32"/>
      <c r="D4959" s="32"/>
      <c r="E4959" s="34" t="str">
        <f aca="false">IF($B4959="","",IF($B4959="OUT","Liters",IFERROR(INDEX(Setup!$F$3:$F$24,MATCH($C4959,Setup!$A$3:$A$24,0)),"")))</f>
        <v/>
      </c>
      <c r="F4959" s="28" t="str">
        <f aca="false">IF(OR($D4959="",$E4959=""),"",IFERROR($D4959*INDEX(Setup!$B$27:$B$44,MATCH($E4959,Setup!$A$27:$A$44,0)),"TBD"))</f>
        <v/>
      </c>
      <c r="G4959" s="32"/>
      <c r="H4959" s="32"/>
      <c r="I4959" s="32"/>
      <c r="J4959" s="32"/>
      <c r="K4959" s="35"/>
      <c r="L4959" s="32"/>
      <c r="M4959" s="32"/>
    </row>
    <row r="4960" customFormat="false" ht="15" hidden="false" customHeight="true" outlineLevel="0" collapsed="false">
      <c r="A4960" s="32"/>
      <c r="B4960" s="32"/>
      <c r="C4960" s="32"/>
      <c r="D4960" s="32"/>
      <c r="E4960" s="34" t="str">
        <f aca="false">IF($B4960="","",IF($B4960="OUT","Liters",IFERROR(INDEX(Setup!$F$3:$F$24,MATCH($C4960,Setup!$A$3:$A$24,0)),"")))</f>
        <v/>
      </c>
      <c r="F4960" s="28" t="str">
        <f aca="false">IF(OR($D4960="",$E4960=""),"",IFERROR($D4960*INDEX(Setup!$B$27:$B$44,MATCH($E4960,Setup!$A$27:$A$44,0)),"TBD"))</f>
        <v/>
      </c>
      <c r="G4960" s="32"/>
      <c r="H4960" s="32"/>
      <c r="I4960" s="32"/>
      <c r="J4960" s="32"/>
      <c r="K4960" s="35"/>
      <c r="L4960" s="32"/>
      <c r="M4960" s="32"/>
    </row>
    <row r="4961" customFormat="false" ht="15" hidden="false" customHeight="true" outlineLevel="0" collapsed="false">
      <c r="A4961" s="32"/>
      <c r="B4961" s="32"/>
      <c r="C4961" s="32"/>
      <c r="D4961" s="32"/>
      <c r="E4961" s="34" t="str">
        <f aca="false">IF($B4961="","",IF($B4961="OUT","Liters",IFERROR(INDEX(Setup!$F$3:$F$24,MATCH($C4961,Setup!$A$3:$A$24,0)),"")))</f>
        <v/>
      </c>
      <c r="F4961" s="28" t="str">
        <f aca="false">IF(OR($D4961="",$E4961=""),"",IFERROR($D4961*INDEX(Setup!$B$27:$B$44,MATCH($E4961,Setup!$A$27:$A$44,0)),"TBD"))</f>
        <v/>
      </c>
      <c r="G4961" s="32"/>
      <c r="H4961" s="32"/>
      <c r="I4961" s="32"/>
      <c r="J4961" s="32"/>
      <c r="K4961" s="35"/>
      <c r="L4961" s="32"/>
      <c r="M4961" s="32"/>
    </row>
    <row r="4962" customFormat="false" ht="15" hidden="false" customHeight="true" outlineLevel="0" collapsed="false">
      <c r="A4962" s="32"/>
      <c r="B4962" s="32"/>
      <c r="C4962" s="32"/>
      <c r="D4962" s="32"/>
      <c r="E4962" s="34" t="str">
        <f aca="false">IF($B4962="","",IF($B4962="OUT","Liters",IFERROR(INDEX(Setup!$F$3:$F$24,MATCH($C4962,Setup!$A$3:$A$24,0)),"")))</f>
        <v/>
      </c>
      <c r="F4962" s="28" t="str">
        <f aca="false">IF(OR($D4962="",$E4962=""),"",IFERROR($D4962*INDEX(Setup!$B$27:$B$44,MATCH($E4962,Setup!$A$27:$A$44,0)),"TBD"))</f>
        <v/>
      </c>
      <c r="G4962" s="32"/>
      <c r="H4962" s="32"/>
      <c r="I4962" s="32"/>
      <c r="J4962" s="32"/>
      <c r="K4962" s="35"/>
      <c r="L4962" s="32"/>
      <c r="M4962" s="32"/>
    </row>
    <row r="4963" customFormat="false" ht="15" hidden="false" customHeight="true" outlineLevel="0" collapsed="false">
      <c r="A4963" s="32"/>
      <c r="B4963" s="32"/>
      <c r="C4963" s="32"/>
      <c r="D4963" s="32"/>
      <c r="E4963" s="34" t="str">
        <f aca="false">IF($B4963="","",IF($B4963="OUT","Liters",IFERROR(INDEX(Setup!$F$3:$F$24,MATCH($C4963,Setup!$A$3:$A$24,0)),"")))</f>
        <v/>
      </c>
      <c r="F4963" s="28" t="str">
        <f aca="false">IF(OR($D4963="",$E4963=""),"",IFERROR($D4963*INDEX(Setup!$B$27:$B$44,MATCH($E4963,Setup!$A$27:$A$44,0)),"TBD"))</f>
        <v/>
      </c>
      <c r="G4963" s="32"/>
      <c r="H4963" s="32"/>
      <c r="I4963" s="32"/>
      <c r="J4963" s="32"/>
      <c r="K4963" s="35"/>
      <c r="L4963" s="32"/>
      <c r="M4963" s="32"/>
    </row>
    <row r="4964" customFormat="false" ht="15" hidden="false" customHeight="true" outlineLevel="0" collapsed="false">
      <c r="A4964" s="32"/>
      <c r="B4964" s="32"/>
      <c r="C4964" s="32"/>
      <c r="D4964" s="32"/>
      <c r="E4964" s="34" t="str">
        <f aca="false">IF($B4964="","",IF($B4964="OUT","Liters",IFERROR(INDEX(Setup!$F$3:$F$24,MATCH($C4964,Setup!$A$3:$A$24,0)),"")))</f>
        <v/>
      </c>
      <c r="F4964" s="28" t="str">
        <f aca="false">IF(OR($D4964="",$E4964=""),"",IFERROR($D4964*INDEX(Setup!$B$27:$B$44,MATCH($E4964,Setup!$A$27:$A$44,0)),"TBD"))</f>
        <v/>
      </c>
      <c r="G4964" s="32"/>
      <c r="H4964" s="32"/>
      <c r="I4964" s="32"/>
      <c r="J4964" s="32"/>
      <c r="K4964" s="35"/>
      <c r="L4964" s="32"/>
      <c r="M4964" s="32"/>
    </row>
    <row r="4965" customFormat="false" ht="15" hidden="false" customHeight="true" outlineLevel="0" collapsed="false">
      <c r="A4965" s="32"/>
      <c r="B4965" s="32"/>
      <c r="C4965" s="32"/>
      <c r="D4965" s="32"/>
      <c r="E4965" s="34" t="str">
        <f aca="false">IF($B4965="","",IF($B4965="OUT","Liters",IFERROR(INDEX(Setup!$F$3:$F$24,MATCH($C4965,Setup!$A$3:$A$24,0)),"")))</f>
        <v/>
      </c>
      <c r="F4965" s="28" t="str">
        <f aca="false">IF(OR($D4965="",$E4965=""),"",IFERROR($D4965*INDEX(Setup!$B$27:$B$44,MATCH($E4965,Setup!$A$27:$A$44,0)),"TBD"))</f>
        <v/>
      </c>
      <c r="G4965" s="32"/>
      <c r="H4965" s="32"/>
      <c r="I4965" s="32"/>
      <c r="J4965" s="32"/>
      <c r="K4965" s="35"/>
      <c r="L4965" s="32"/>
      <c r="M4965" s="32"/>
    </row>
    <row r="4966" customFormat="false" ht="15" hidden="false" customHeight="true" outlineLevel="0" collapsed="false">
      <c r="A4966" s="32"/>
      <c r="B4966" s="32"/>
      <c r="C4966" s="32"/>
      <c r="D4966" s="32"/>
      <c r="E4966" s="34" t="str">
        <f aca="false">IF($B4966="","",IF($B4966="OUT","Liters",IFERROR(INDEX(Setup!$F$3:$F$24,MATCH($C4966,Setup!$A$3:$A$24,0)),"")))</f>
        <v/>
      </c>
      <c r="F4966" s="28" t="str">
        <f aca="false">IF(OR($D4966="",$E4966=""),"",IFERROR($D4966*INDEX(Setup!$B$27:$B$44,MATCH($E4966,Setup!$A$27:$A$44,0)),"TBD"))</f>
        <v/>
      </c>
      <c r="G4966" s="32"/>
      <c r="H4966" s="32"/>
      <c r="I4966" s="32"/>
      <c r="J4966" s="32"/>
      <c r="K4966" s="35"/>
      <c r="L4966" s="32"/>
      <c r="M4966" s="32"/>
    </row>
    <row r="4967" customFormat="false" ht="15" hidden="false" customHeight="true" outlineLevel="0" collapsed="false">
      <c r="A4967" s="32"/>
      <c r="B4967" s="32"/>
      <c r="C4967" s="32"/>
      <c r="D4967" s="32"/>
      <c r="E4967" s="34" t="str">
        <f aca="false">IF($B4967="","",IF($B4967="OUT","Liters",IFERROR(INDEX(Setup!$F$3:$F$24,MATCH($C4967,Setup!$A$3:$A$24,0)),"")))</f>
        <v/>
      </c>
      <c r="F4967" s="28" t="str">
        <f aca="false">IF(OR($D4967="",$E4967=""),"",IFERROR($D4967*INDEX(Setup!$B$27:$B$44,MATCH($E4967,Setup!$A$27:$A$44,0)),"TBD"))</f>
        <v/>
      </c>
      <c r="G4967" s="32"/>
      <c r="H4967" s="32"/>
      <c r="I4967" s="32"/>
      <c r="J4967" s="32"/>
      <c r="K4967" s="35"/>
      <c r="L4967" s="32"/>
      <c r="M4967" s="32"/>
    </row>
    <row r="4968" customFormat="false" ht="15" hidden="false" customHeight="true" outlineLevel="0" collapsed="false">
      <c r="A4968" s="32"/>
      <c r="B4968" s="32"/>
      <c r="C4968" s="32"/>
      <c r="D4968" s="32"/>
      <c r="E4968" s="34" t="str">
        <f aca="false">IF($B4968="","",IF($B4968="OUT","Liters",IFERROR(INDEX(Setup!$F$3:$F$24,MATCH($C4968,Setup!$A$3:$A$24,0)),"")))</f>
        <v/>
      </c>
      <c r="F4968" s="28" t="str">
        <f aca="false">IF(OR($D4968="",$E4968=""),"",IFERROR($D4968*INDEX(Setup!$B$27:$B$44,MATCH($E4968,Setup!$A$27:$A$44,0)),"TBD"))</f>
        <v/>
      </c>
      <c r="G4968" s="32"/>
      <c r="H4968" s="32"/>
      <c r="I4968" s="32"/>
      <c r="J4968" s="32"/>
      <c r="K4968" s="35"/>
      <c r="L4968" s="32"/>
      <c r="M4968" s="32"/>
    </row>
    <row r="4969" customFormat="false" ht="15" hidden="false" customHeight="true" outlineLevel="0" collapsed="false">
      <c r="A4969" s="32"/>
      <c r="B4969" s="32"/>
      <c r="C4969" s="32"/>
      <c r="D4969" s="32"/>
      <c r="E4969" s="34" t="str">
        <f aca="false">IF($B4969="","",IF($B4969="OUT","Liters",IFERROR(INDEX(Setup!$F$3:$F$24,MATCH($C4969,Setup!$A$3:$A$24,0)),"")))</f>
        <v/>
      </c>
      <c r="F4969" s="28" t="str">
        <f aca="false">IF(OR($D4969="",$E4969=""),"",IFERROR($D4969*INDEX(Setup!$B$27:$B$44,MATCH($E4969,Setup!$A$27:$A$44,0)),"TBD"))</f>
        <v/>
      </c>
      <c r="G4969" s="32"/>
      <c r="H4969" s="32"/>
      <c r="I4969" s="32"/>
      <c r="J4969" s="32"/>
      <c r="K4969" s="35"/>
      <c r="L4969" s="32"/>
      <c r="M4969" s="32"/>
    </row>
    <row r="4970" customFormat="false" ht="15" hidden="false" customHeight="true" outlineLevel="0" collapsed="false">
      <c r="A4970" s="32"/>
      <c r="B4970" s="32"/>
      <c r="C4970" s="32"/>
      <c r="D4970" s="32"/>
      <c r="E4970" s="34" t="str">
        <f aca="false">IF($B4970="","",IF($B4970="OUT","Liters",IFERROR(INDEX(Setup!$F$3:$F$24,MATCH($C4970,Setup!$A$3:$A$24,0)),"")))</f>
        <v/>
      </c>
      <c r="F4970" s="28" t="str">
        <f aca="false">IF(OR($D4970="",$E4970=""),"",IFERROR($D4970*INDEX(Setup!$B$27:$B$44,MATCH($E4970,Setup!$A$27:$A$44,0)),"TBD"))</f>
        <v/>
      </c>
      <c r="G4970" s="32"/>
      <c r="H4970" s="32"/>
      <c r="I4970" s="32"/>
      <c r="J4970" s="32"/>
      <c r="K4970" s="35"/>
      <c r="L4970" s="32"/>
      <c r="M4970" s="32"/>
    </row>
    <row r="4971" customFormat="false" ht="15" hidden="false" customHeight="true" outlineLevel="0" collapsed="false">
      <c r="A4971" s="32"/>
      <c r="B4971" s="32"/>
      <c r="C4971" s="32"/>
      <c r="D4971" s="32"/>
      <c r="E4971" s="34" t="str">
        <f aca="false">IF($B4971="","",IF($B4971="OUT","Liters",IFERROR(INDEX(Setup!$F$3:$F$24,MATCH($C4971,Setup!$A$3:$A$24,0)),"")))</f>
        <v/>
      </c>
      <c r="F4971" s="28" t="str">
        <f aca="false">IF(OR($D4971="",$E4971=""),"",IFERROR($D4971*INDEX(Setup!$B$27:$B$44,MATCH($E4971,Setup!$A$27:$A$44,0)),"TBD"))</f>
        <v/>
      </c>
      <c r="G4971" s="32"/>
      <c r="H4971" s="32"/>
      <c r="I4971" s="32"/>
      <c r="J4971" s="32"/>
      <c r="K4971" s="35"/>
      <c r="L4971" s="32"/>
      <c r="M4971" s="32"/>
    </row>
    <row r="4972" customFormat="false" ht="15" hidden="false" customHeight="true" outlineLevel="0" collapsed="false">
      <c r="A4972" s="32"/>
      <c r="B4972" s="32"/>
      <c r="C4972" s="32"/>
      <c r="D4972" s="32"/>
      <c r="E4972" s="34" t="str">
        <f aca="false">IF($B4972="","",IF($B4972="OUT","Liters",IFERROR(INDEX(Setup!$F$3:$F$24,MATCH($C4972,Setup!$A$3:$A$24,0)),"")))</f>
        <v/>
      </c>
      <c r="F4972" s="28" t="str">
        <f aca="false">IF(OR($D4972="",$E4972=""),"",IFERROR($D4972*INDEX(Setup!$B$27:$B$44,MATCH($E4972,Setup!$A$27:$A$44,0)),"TBD"))</f>
        <v/>
      </c>
      <c r="G4972" s="32"/>
      <c r="H4972" s="32"/>
      <c r="I4972" s="32"/>
      <c r="J4972" s="32"/>
      <c r="K4972" s="35"/>
      <c r="L4972" s="32"/>
      <c r="M4972" s="32"/>
    </row>
    <row r="4973" customFormat="false" ht="15" hidden="false" customHeight="true" outlineLevel="0" collapsed="false">
      <c r="A4973" s="32"/>
      <c r="B4973" s="32"/>
      <c r="C4973" s="32"/>
      <c r="D4973" s="32"/>
      <c r="E4973" s="34" t="str">
        <f aca="false">IF($B4973="","",IF($B4973="OUT","Liters",IFERROR(INDEX(Setup!$F$3:$F$24,MATCH($C4973,Setup!$A$3:$A$24,0)),"")))</f>
        <v/>
      </c>
      <c r="F4973" s="28" t="str">
        <f aca="false">IF(OR($D4973="",$E4973=""),"",IFERROR($D4973*INDEX(Setup!$B$27:$B$44,MATCH($E4973,Setup!$A$27:$A$44,0)),"TBD"))</f>
        <v/>
      </c>
      <c r="G4973" s="32"/>
      <c r="H4973" s="32"/>
      <c r="I4973" s="32"/>
      <c r="J4973" s="32"/>
      <c r="K4973" s="35"/>
      <c r="L4973" s="32"/>
      <c r="M4973" s="32"/>
    </row>
    <row r="4974" customFormat="false" ht="15" hidden="false" customHeight="true" outlineLevel="0" collapsed="false">
      <c r="A4974" s="32"/>
      <c r="B4974" s="32"/>
      <c r="C4974" s="32"/>
      <c r="D4974" s="32"/>
      <c r="E4974" s="34" t="str">
        <f aca="false">IF($B4974="","",IF($B4974="OUT","Liters",IFERROR(INDEX(Setup!$F$3:$F$24,MATCH($C4974,Setup!$A$3:$A$24,0)),"")))</f>
        <v/>
      </c>
      <c r="F4974" s="28" t="str">
        <f aca="false">IF(OR($D4974="",$E4974=""),"",IFERROR($D4974*INDEX(Setup!$B$27:$B$44,MATCH($E4974,Setup!$A$27:$A$44,0)),"TBD"))</f>
        <v/>
      </c>
      <c r="G4974" s="32"/>
      <c r="H4974" s="32"/>
      <c r="I4974" s="32"/>
      <c r="J4974" s="32"/>
      <c r="K4974" s="35"/>
      <c r="L4974" s="32"/>
      <c r="M4974" s="32"/>
    </row>
    <row r="4975" customFormat="false" ht="15" hidden="false" customHeight="true" outlineLevel="0" collapsed="false">
      <c r="A4975" s="32"/>
      <c r="B4975" s="32"/>
      <c r="C4975" s="32"/>
      <c r="D4975" s="32"/>
      <c r="E4975" s="34" t="str">
        <f aca="false">IF($B4975="","",IF($B4975="OUT","Liters",IFERROR(INDEX(Setup!$F$3:$F$24,MATCH($C4975,Setup!$A$3:$A$24,0)),"")))</f>
        <v/>
      </c>
      <c r="F4975" s="28" t="str">
        <f aca="false">IF(OR($D4975="",$E4975=""),"",IFERROR($D4975*INDEX(Setup!$B$27:$B$44,MATCH($E4975,Setup!$A$27:$A$44,0)),"TBD"))</f>
        <v/>
      </c>
      <c r="G4975" s="32"/>
      <c r="H4975" s="32"/>
      <c r="I4975" s="32"/>
      <c r="J4975" s="32"/>
      <c r="K4975" s="35"/>
      <c r="L4975" s="32"/>
      <c r="M4975" s="32"/>
    </row>
    <row r="4976" customFormat="false" ht="15" hidden="false" customHeight="true" outlineLevel="0" collapsed="false">
      <c r="A4976" s="32"/>
      <c r="B4976" s="32"/>
      <c r="C4976" s="32"/>
      <c r="D4976" s="32"/>
      <c r="E4976" s="34" t="str">
        <f aca="false">IF($B4976="","",IF($B4976="OUT","Liters",IFERROR(INDEX(Setup!$F$3:$F$24,MATCH($C4976,Setup!$A$3:$A$24,0)),"")))</f>
        <v/>
      </c>
      <c r="F4976" s="28" t="str">
        <f aca="false">IF(OR($D4976="",$E4976=""),"",IFERROR($D4976*INDEX(Setup!$B$27:$B$44,MATCH($E4976,Setup!$A$27:$A$44,0)),"TBD"))</f>
        <v/>
      </c>
      <c r="G4976" s="32"/>
      <c r="H4976" s="32"/>
      <c r="I4976" s="32"/>
      <c r="J4976" s="32"/>
      <c r="K4976" s="35"/>
      <c r="L4976" s="32"/>
      <c r="M4976" s="32"/>
    </row>
    <row r="4977" customFormat="false" ht="15" hidden="false" customHeight="true" outlineLevel="0" collapsed="false">
      <c r="A4977" s="32"/>
      <c r="B4977" s="32"/>
      <c r="C4977" s="32"/>
      <c r="D4977" s="32"/>
      <c r="E4977" s="34" t="str">
        <f aca="false">IF($B4977="","",IF($B4977="OUT","Liters",IFERROR(INDEX(Setup!$F$3:$F$24,MATCH($C4977,Setup!$A$3:$A$24,0)),"")))</f>
        <v/>
      </c>
      <c r="F4977" s="28" t="str">
        <f aca="false">IF(OR($D4977="",$E4977=""),"",IFERROR($D4977*INDEX(Setup!$B$27:$B$44,MATCH($E4977,Setup!$A$27:$A$44,0)),"TBD"))</f>
        <v/>
      </c>
      <c r="G4977" s="32"/>
      <c r="H4977" s="32"/>
      <c r="I4977" s="32"/>
      <c r="J4977" s="32"/>
      <c r="K4977" s="35"/>
      <c r="L4977" s="32"/>
      <c r="M4977" s="32"/>
    </row>
    <row r="4978" customFormat="false" ht="15" hidden="false" customHeight="true" outlineLevel="0" collapsed="false">
      <c r="A4978" s="32"/>
      <c r="B4978" s="32"/>
      <c r="C4978" s="32"/>
      <c r="D4978" s="32"/>
      <c r="E4978" s="34" t="str">
        <f aca="false">IF($B4978="","",IF($B4978="OUT","Liters",IFERROR(INDEX(Setup!$F$3:$F$24,MATCH($C4978,Setup!$A$3:$A$24,0)),"")))</f>
        <v/>
      </c>
      <c r="F4978" s="28" t="str">
        <f aca="false">IF(OR($D4978="",$E4978=""),"",IFERROR($D4978*INDEX(Setup!$B$27:$B$44,MATCH($E4978,Setup!$A$27:$A$44,0)),"TBD"))</f>
        <v/>
      </c>
      <c r="G4978" s="32"/>
      <c r="H4978" s="32"/>
      <c r="I4978" s="32"/>
      <c r="J4978" s="32"/>
      <c r="K4978" s="35"/>
      <c r="L4978" s="32"/>
      <c r="M4978" s="32"/>
    </row>
    <row r="4979" customFormat="false" ht="15" hidden="false" customHeight="true" outlineLevel="0" collapsed="false">
      <c r="A4979" s="32"/>
      <c r="B4979" s="32"/>
      <c r="C4979" s="32"/>
      <c r="D4979" s="32"/>
      <c r="E4979" s="34" t="str">
        <f aca="false">IF($B4979="","",IF($B4979="OUT","Liters",IFERROR(INDEX(Setup!$F$3:$F$24,MATCH($C4979,Setup!$A$3:$A$24,0)),"")))</f>
        <v/>
      </c>
      <c r="F4979" s="28" t="str">
        <f aca="false">IF(OR($D4979="",$E4979=""),"",IFERROR($D4979*INDEX(Setup!$B$27:$B$44,MATCH($E4979,Setup!$A$27:$A$44,0)),"TBD"))</f>
        <v/>
      </c>
      <c r="G4979" s="32"/>
      <c r="H4979" s="32"/>
      <c r="I4979" s="32"/>
      <c r="J4979" s="32"/>
      <c r="K4979" s="35"/>
      <c r="L4979" s="32"/>
      <c r="M4979" s="32"/>
    </row>
    <row r="4980" customFormat="false" ht="15" hidden="false" customHeight="true" outlineLevel="0" collapsed="false">
      <c r="A4980" s="32"/>
      <c r="B4980" s="32"/>
      <c r="C4980" s="32"/>
      <c r="D4980" s="32"/>
      <c r="E4980" s="34" t="str">
        <f aca="false">IF($B4980="","",IF($B4980="OUT","Liters",IFERROR(INDEX(Setup!$F$3:$F$24,MATCH($C4980,Setup!$A$3:$A$24,0)),"")))</f>
        <v/>
      </c>
      <c r="F4980" s="28" t="str">
        <f aca="false">IF(OR($D4980="",$E4980=""),"",IFERROR($D4980*INDEX(Setup!$B$27:$B$44,MATCH($E4980,Setup!$A$27:$A$44,0)),"TBD"))</f>
        <v/>
      </c>
      <c r="G4980" s="32"/>
      <c r="H4980" s="32"/>
      <c r="I4980" s="32"/>
      <c r="J4980" s="32"/>
      <c r="K4980" s="35"/>
      <c r="L4980" s="32"/>
      <c r="M4980" s="32"/>
    </row>
    <row r="4981" customFormat="false" ht="15" hidden="false" customHeight="true" outlineLevel="0" collapsed="false">
      <c r="A4981" s="32"/>
      <c r="B4981" s="32"/>
      <c r="C4981" s="32"/>
      <c r="D4981" s="32"/>
      <c r="E4981" s="34" t="str">
        <f aca="false">IF($B4981="","",IF($B4981="OUT","Liters",IFERROR(INDEX(Setup!$F$3:$F$24,MATCH($C4981,Setup!$A$3:$A$24,0)),"")))</f>
        <v/>
      </c>
      <c r="F4981" s="28" t="str">
        <f aca="false">IF(OR($D4981="",$E4981=""),"",IFERROR($D4981*INDEX(Setup!$B$27:$B$44,MATCH($E4981,Setup!$A$27:$A$44,0)),"TBD"))</f>
        <v/>
      </c>
      <c r="G4981" s="32"/>
      <c r="H4981" s="32"/>
      <c r="I4981" s="32"/>
      <c r="J4981" s="32"/>
      <c r="K4981" s="35"/>
      <c r="L4981" s="32"/>
      <c r="M4981" s="32"/>
    </row>
    <row r="4982" customFormat="false" ht="15" hidden="false" customHeight="true" outlineLevel="0" collapsed="false">
      <c r="A4982" s="32"/>
      <c r="B4982" s="32"/>
      <c r="C4982" s="32"/>
      <c r="D4982" s="32"/>
      <c r="E4982" s="34" t="str">
        <f aca="false">IF($B4982="","",IF($B4982="OUT","Liters",IFERROR(INDEX(Setup!$F$3:$F$24,MATCH($C4982,Setup!$A$3:$A$24,0)),"")))</f>
        <v/>
      </c>
      <c r="F4982" s="28" t="str">
        <f aca="false">IF(OR($D4982="",$E4982=""),"",IFERROR($D4982*INDEX(Setup!$B$27:$B$44,MATCH($E4982,Setup!$A$27:$A$44,0)),"TBD"))</f>
        <v/>
      </c>
      <c r="G4982" s="32"/>
      <c r="H4982" s="32"/>
      <c r="I4982" s="32"/>
      <c r="J4982" s="32"/>
      <c r="K4982" s="35"/>
      <c r="L4982" s="32"/>
      <c r="M4982" s="32"/>
    </row>
    <row r="4983" customFormat="false" ht="15" hidden="false" customHeight="true" outlineLevel="0" collapsed="false">
      <c r="A4983" s="32"/>
      <c r="B4983" s="32"/>
      <c r="C4983" s="32"/>
      <c r="D4983" s="32"/>
      <c r="E4983" s="34" t="str">
        <f aca="false">IF($B4983="","",IF($B4983="OUT","Liters",IFERROR(INDEX(Setup!$F$3:$F$24,MATCH($C4983,Setup!$A$3:$A$24,0)),"")))</f>
        <v/>
      </c>
      <c r="F4983" s="28" t="str">
        <f aca="false">IF(OR($D4983="",$E4983=""),"",IFERROR($D4983*INDEX(Setup!$B$27:$B$44,MATCH($E4983,Setup!$A$27:$A$44,0)),"TBD"))</f>
        <v/>
      </c>
      <c r="G4983" s="32"/>
      <c r="H4983" s="32"/>
      <c r="I4983" s="32"/>
      <c r="J4983" s="32"/>
      <c r="K4983" s="35"/>
      <c r="L4983" s="32"/>
      <c r="M4983" s="32"/>
    </row>
    <row r="4984" customFormat="false" ht="15" hidden="false" customHeight="true" outlineLevel="0" collapsed="false">
      <c r="A4984" s="32"/>
      <c r="B4984" s="32"/>
      <c r="C4984" s="32"/>
      <c r="D4984" s="32"/>
      <c r="E4984" s="34" t="str">
        <f aca="false">IF($B4984="","",IF($B4984="OUT","Liters",IFERROR(INDEX(Setup!$F$3:$F$24,MATCH($C4984,Setup!$A$3:$A$24,0)),"")))</f>
        <v/>
      </c>
      <c r="F4984" s="28" t="str">
        <f aca="false">IF(OR($D4984="",$E4984=""),"",IFERROR($D4984*INDEX(Setup!$B$27:$B$44,MATCH($E4984,Setup!$A$27:$A$44,0)),"TBD"))</f>
        <v/>
      </c>
      <c r="G4984" s="32"/>
      <c r="H4984" s="32"/>
      <c r="I4984" s="32"/>
      <c r="J4984" s="32"/>
      <c r="K4984" s="35"/>
      <c r="L4984" s="32"/>
      <c r="M4984" s="32"/>
    </row>
    <row r="4985" customFormat="false" ht="15" hidden="false" customHeight="true" outlineLevel="0" collapsed="false">
      <c r="A4985" s="32"/>
      <c r="B4985" s="32"/>
      <c r="C4985" s="32"/>
      <c r="D4985" s="32"/>
      <c r="E4985" s="34" t="str">
        <f aca="false">IF($B4985="","",IF($B4985="OUT","Liters",IFERROR(INDEX(Setup!$F$3:$F$24,MATCH($C4985,Setup!$A$3:$A$24,0)),"")))</f>
        <v/>
      </c>
      <c r="F4985" s="28" t="str">
        <f aca="false">IF(OR($D4985="",$E4985=""),"",IFERROR($D4985*INDEX(Setup!$B$27:$B$44,MATCH($E4985,Setup!$A$27:$A$44,0)),"TBD"))</f>
        <v/>
      </c>
      <c r="G4985" s="32"/>
      <c r="H4985" s="32"/>
      <c r="I4985" s="32"/>
      <c r="J4985" s="32"/>
      <c r="K4985" s="35"/>
      <c r="L4985" s="32"/>
      <c r="M4985" s="32"/>
    </row>
    <row r="4986" customFormat="false" ht="15" hidden="false" customHeight="true" outlineLevel="0" collapsed="false">
      <c r="A4986" s="32"/>
      <c r="B4986" s="32"/>
      <c r="C4986" s="32"/>
      <c r="D4986" s="32"/>
      <c r="E4986" s="34" t="str">
        <f aca="false">IF($B4986="","",IF($B4986="OUT","Liters",IFERROR(INDEX(Setup!$F$3:$F$24,MATCH($C4986,Setup!$A$3:$A$24,0)),"")))</f>
        <v/>
      </c>
      <c r="F4986" s="28" t="str">
        <f aca="false">IF(OR($D4986="",$E4986=""),"",IFERROR($D4986*INDEX(Setup!$B$27:$B$44,MATCH($E4986,Setup!$A$27:$A$44,0)),"TBD"))</f>
        <v/>
      </c>
      <c r="G4986" s="32"/>
      <c r="H4986" s="32"/>
      <c r="I4986" s="32"/>
      <c r="J4986" s="32"/>
      <c r="K4986" s="35"/>
      <c r="L4986" s="32"/>
      <c r="M4986" s="32"/>
    </row>
    <row r="4987" customFormat="false" ht="15" hidden="false" customHeight="true" outlineLevel="0" collapsed="false">
      <c r="A4987" s="32"/>
      <c r="B4987" s="32"/>
      <c r="C4987" s="32"/>
      <c r="D4987" s="32"/>
      <c r="E4987" s="34" t="str">
        <f aca="false">IF($B4987="","",IF($B4987="OUT","Liters",IFERROR(INDEX(Setup!$F$3:$F$24,MATCH($C4987,Setup!$A$3:$A$24,0)),"")))</f>
        <v/>
      </c>
      <c r="F4987" s="28" t="str">
        <f aca="false">IF(OR($D4987="",$E4987=""),"",IFERROR($D4987*INDEX(Setup!$B$27:$B$44,MATCH($E4987,Setup!$A$27:$A$44,0)),"TBD"))</f>
        <v/>
      </c>
      <c r="G4987" s="32"/>
      <c r="H4987" s="32"/>
      <c r="I4987" s="32"/>
      <c r="J4987" s="32"/>
      <c r="K4987" s="35"/>
      <c r="L4987" s="32"/>
      <c r="M4987" s="32"/>
    </row>
    <row r="4988" customFormat="false" ht="15" hidden="false" customHeight="true" outlineLevel="0" collapsed="false">
      <c r="A4988" s="32"/>
      <c r="B4988" s="32"/>
      <c r="C4988" s="32"/>
      <c r="D4988" s="32"/>
      <c r="E4988" s="34" t="str">
        <f aca="false">IF($B4988="","",IF($B4988="OUT","Liters",IFERROR(INDEX(Setup!$F$3:$F$24,MATCH($C4988,Setup!$A$3:$A$24,0)),"")))</f>
        <v/>
      </c>
      <c r="F4988" s="28" t="str">
        <f aca="false">IF(OR($D4988="",$E4988=""),"",IFERROR($D4988*INDEX(Setup!$B$27:$B$44,MATCH($E4988,Setup!$A$27:$A$44,0)),"TBD"))</f>
        <v/>
      </c>
      <c r="G4988" s="32"/>
      <c r="H4988" s="32"/>
      <c r="I4988" s="32"/>
      <c r="J4988" s="32"/>
      <c r="K4988" s="35"/>
      <c r="L4988" s="32"/>
      <c r="M4988" s="32"/>
    </row>
    <row r="4989" customFormat="false" ht="15" hidden="false" customHeight="true" outlineLevel="0" collapsed="false">
      <c r="A4989" s="32"/>
      <c r="B4989" s="32"/>
      <c r="C4989" s="32"/>
      <c r="D4989" s="32"/>
      <c r="E4989" s="34" t="str">
        <f aca="false">IF($B4989="","",IF($B4989="OUT","Liters",IFERROR(INDEX(Setup!$F$3:$F$24,MATCH($C4989,Setup!$A$3:$A$24,0)),"")))</f>
        <v/>
      </c>
      <c r="F4989" s="28" t="str">
        <f aca="false">IF(OR($D4989="",$E4989=""),"",IFERROR($D4989*INDEX(Setup!$B$27:$B$44,MATCH($E4989,Setup!$A$27:$A$44,0)),"TBD"))</f>
        <v/>
      </c>
      <c r="G4989" s="32"/>
      <c r="H4989" s="32"/>
      <c r="I4989" s="32"/>
      <c r="J4989" s="32"/>
      <c r="K4989" s="35"/>
      <c r="L4989" s="32"/>
      <c r="M4989" s="32"/>
    </row>
    <row r="4990" customFormat="false" ht="15" hidden="false" customHeight="true" outlineLevel="0" collapsed="false">
      <c r="A4990" s="32"/>
      <c r="B4990" s="32"/>
      <c r="C4990" s="32"/>
      <c r="D4990" s="32"/>
      <c r="E4990" s="34" t="str">
        <f aca="false">IF($B4990="","",IF($B4990="OUT","Liters",IFERROR(INDEX(Setup!$F$3:$F$24,MATCH($C4990,Setup!$A$3:$A$24,0)),"")))</f>
        <v/>
      </c>
      <c r="F4990" s="28" t="str">
        <f aca="false">IF(OR($D4990="",$E4990=""),"",IFERROR($D4990*INDEX(Setup!$B$27:$B$44,MATCH($E4990,Setup!$A$27:$A$44,0)),"TBD"))</f>
        <v/>
      </c>
      <c r="G4990" s="32"/>
      <c r="H4990" s="32"/>
      <c r="I4990" s="32"/>
      <c r="J4990" s="32"/>
      <c r="K4990" s="35"/>
      <c r="L4990" s="32"/>
      <c r="M4990" s="32"/>
    </row>
    <row r="4991" customFormat="false" ht="15" hidden="false" customHeight="true" outlineLevel="0" collapsed="false">
      <c r="A4991" s="32"/>
      <c r="B4991" s="32"/>
      <c r="C4991" s="32"/>
      <c r="D4991" s="32"/>
      <c r="E4991" s="34" t="str">
        <f aca="false">IF($B4991="","",IF($B4991="OUT","Liters",IFERROR(INDEX(Setup!$F$3:$F$24,MATCH($C4991,Setup!$A$3:$A$24,0)),"")))</f>
        <v/>
      </c>
      <c r="F4991" s="28" t="str">
        <f aca="false">IF(OR($D4991="",$E4991=""),"",IFERROR($D4991*INDEX(Setup!$B$27:$B$44,MATCH($E4991,Setup!$A$27:$A$44,0)),"TBD"))</f>
        <v/>
      </c>
      <c r="G4991" s="32"/>
      <c r="H4991" s="32"/>
      <c r="I4991" s="32"/>
      <c r="J4991" s="32"/>
      <c r="K4991" s="35"/>
      <c r="L4991" s="32"/>
      <c r="M4991" s="32"/>
    </row>
    <row r="4992" customFormat="false" ht="15" hidden="false" customHeight="true" outlineLevel="0" collapsed="false">
      <c r="A4992" s="32"/>
      <c r="B4992" s="32"/>
      <c r="C4992" s="32"/>
      <c r="D4992" s="32"/>
      <c r="E4992" s="34" t="str">
        <f aca="false">IF($B4992="","",IF($B4992="OUT","Liters",IFERROR(INDEX(Setup!$F$3:$F$24,MATCH($C4992,Setup!$A$3:$A$24,0)),"")))</f>
        <v/>
      </c>
      <c r="F4992" s="28" t="str">
        <f aca="false">IF(OR($D4992="",$E4992=""),"",IFERROR($D4992*INDEX(Setup!$B$27:$B$44,MATCH($E4992,Setup!$A$27:$A$44,0)),"TBD"))</f>
        <v/>
      </c>
      <c r="G4992" s="32"/>
      <c r="H4992" s="32"/>
      <c r="I4992" s="32"/>
      <c r="J4992" s="32"/>
      <c r="K4992" s="35"/>
      <c r="L4992" s="32"/>
      <c r="M4992" s="32"/>
    </row>
    <row r="4993" customFormat="false" ht="15" hidden="false" customHeight="true" outlineLevel="0" collapsed="false">
      <c r="A4993" s="32"/>
      <c r="B4993" s="32"/>
      <c r="C4993" s="32"/>
      <c r="D4993" s="32"/>
      <c r="E4993" s="34" t="str">
        <f aca="false">IF($B4993="","",IF($B4993="OUT","Liters",IFERROR(INDEX(Setup!$F$3:$F$24,MATCH($C4993,Setup!$A$3:$A$24,0)),"")))</f>
        <v/>
      </c>
      <c r="F4993" s="28" t="str">
        <f aca="false">IF(OR($D4993="",$E4993=""),"",IFERROR($D4993*INDEX(Setup!$B$27:$B$44,MATCH($E4993,Setup!$A$27:$A$44,0)),"TBD"))</f>
        <v/>
      </c>
      <c r="G4993" s="32"/>
      <c r="H4993" s="32"/>
      <c r="I4993" s="32"/>
      <c r="J4993" s="32"/>
      <c r="K4993" s="35"/>
      <c r="L4993" s="32"/>
      <c r="M4993" s="32"/>
    </row>
    <row r="4994" customFormat="false" ht="15" hidden="false" customHeight="true" outlineLevel="0" collapsed="false">
      <c r="A4994" s="32"/>
      <c r="B4994" s="32"/>
      <c r="C4994" s="32"/>
      <c r="D4994" s="32"/>
      <c r="E4994" s="34" t="str">
        <f aca="false">IF($B4994="","",IF($B4994="OUT","Liters",IFERROR(INDEX(Setup!$F$3:$F$24,MATCH($C4994,Setup!$A$3:$A$24,0)),"")))</f>
        <v/>
      </c>
      <c r="F4994" s="28" t="str">
        <f aca="false">IF(OR($D4994="",$E4994=""),"",IFERROR($D4994*INDEX(Setup!$B$27:$B$44,MATCH($E4994,Setup!$A$27:$A$44,0)),"TBD"))</f>
        <v/>
      </c>
      <c r="G4994" s="32"/>
      <c r="H4994" s="32"/>
      <c r="I4994" s="32"/>
      <c r="J4994" s="32"/>
      <c r="K4994" s="35"/>
      <c r="L4994" s="32"/>
      <c r="M4994" s="32"/>
    </row>
    <row r="4995" customFormat="false" ht="15" hidden="false" customHeight="true" outlineLevel="0" collapsed="false">
      <c r="A4995" s="32"/>
      <c r="B4995" s="32"/>
      <c r="C4995" s="32"/>
      <c r="D4995" s="32"/>
      <c r="E4995" s="34" t="str">
        <f aca="false">IF($B4995="","",IF($B4995="OUT","Liters",IFERROR(INDEX(Setup!$F$3:$F$24,MATCH($C4995,Setup!$A$3:$A$24,0)),"")))</f>
        <v/>
      </c>
      <c r="F4995" s="28" t="str">
        <f aca="false">IF(OR($D4995="",$E4995=""),"",IFERROR($D4995*INDEX(Setup!$B$27:$B$44,MATCH($E4995,Setup!$A$27:$A$44,0)),"TBD"))</f>
        <v/>
      </c>
      <c r="G4995" s="32"/>
      <c r="H4995" s="32"/>
      <c r="I4995" s="32"/>
      <c r="J4995" s="32"/>
      <c r="K4995" s="35"/>
      <c r="L4995" s="32"/>
      <c r="M4995" s="32"/>
    </row>
    <row r="4996" customFormat="false" ht="15" hidden="false" customHeight="true" outlineLevel="0" collapsed="false">
      <c r="A4996" s="32"/>
      <c r="B4996" s="32"/>
      <c r="C4996" s="32"/>
      <c r="D4996" s="32"/>
      <c r="E4996" s="34" t="str">
        <f aca="false">IF($B4996="","",IF($B4996="OUT","Liters",IFERROR(INDEX(Setup!$F$3:$F$24,MATCH($C4996,Setup!$A$3:$A$24,0)),"")))</f>
        <v/>
      </c>
      <c r="F4996" s="28" t="str">
        <f aca="false">IF(OR($D4996="",$E4996=""),"",IFERROR($D4996*INDEX(Setup!$B$27:$B$44,MATCH($E4996,Setup!$A$27:$A$44,0)),"TBD"))</f>
        <v/>
      </c>
      <c r="G4996" s="32"/>
      <c r="H4996" s="32"/>
      <c r="I4996" s="32"/>
      <c r="J4996" s="32"/>
      <c r="K4996" s="35"/>
      <c r="L4996" s="32"/>
      <c r="M4996" s="32"/>
    </row>
    <row r="4997" customFormat="false" ht="15" hidden="false" customHeight="true" outlineLevel="0" collapsed="false">
      <c r="A4997" s="32"/>
      <c r="B4997" s="32"/>
      <c r="C4997" s="32"/>
      <c r="D4997" s="32"/>
      <c r="E4997" s="34" t="str">
        <f aca="false">IF($B4997="","",IF($B4997="OUT","Liters",IFERROR(INDEX(Setup!$F$3:$F$24,MATCH($C4997,Setup!$A$3:$A$24,0)),"")))</f>
        <v/>
      </c>
      <c r="F4997" s="28" t="str">
        <f aca="false">IF(OR($D4997="",$E4997=""),"",IFERROR($D4997*INDEX(Setup!$B$27:$B$44,MATCH($E4997,Setup!$A$27:$A$44,0)),"TBD"))</f>
        <v/>
      </c>
      <c r="G4997" s="32"/>
      <c r="H4997" s="32"/>
      <c r="I4997" s="32"/>
      <c r="J4997" s="32"/>
      <c r="K4997" s="35"/>
      <c r="L4997" s="32"/>
      <c r="M4997" s="32"/>
    </row>
    <row r="4998" customFormat="false" ht="15" hidden="false" customHeight="true" outlineLevel="0" collapsed="false">
      <c r="A4998" s="32"/>
      <c r="B4998" s="32"/>
      <c r="C4998" s="32"/>
      <c r="D4998" s="32"/>
      <c r="E4998" s="34" t="str">
        <f aca="false">IF($B4998="","",IF($B4998="OUT","Liters",IFERROR(INDEX(Setup!$F$3:$F$24,MATCH($C4998,Setup!$A$3:$A$24,0)),"")))</f>
        <v/>
      </c>
      <c r="F4998" s="28" t="str">
        <f aca="false">IF(OR($D4998="",$E4998=""),"",IFERROR($D4998*INDEX(Setup!$B$27:$B$44,MATCH($E4998,Setup!$A$27:$A$44,0)),"TBD"))</f>
        <v/>
      </c>
      <c r="G4998" s="32"/>
      <c r="H4998" s="32"/>
      <c r="I4998" s="32"/>
      <c r="J4998" s="32"/>
      <c r="K4998" s="35"/>
      <c r="L4998" s="32"/>
      <c r="M4998" s="32"/>
    </row>
    <row r="4999" customFormat="false" ht="15" hidden="false" customHeight="true" outlineLevel="0" collapsed="false">
      <c r="A4999" s="32"/>
      <c r="B4999" s="32"/>
      <c r="C4999" s="32"/>
      <c r="D4999" s="32"/>
      <c r="E4999" s="34" t="str">
        <f aca="false">IF($B4999="","",IF($B4999="OUT","Liters",IFERROR(INDEX(Setup!$F$3:$F$24,MATCH($C4999,Setup!$A$3:$A$24,0)),"")))</f>
        <v/>
      </c>
      <c r="F4999" s="28" t="str">
        <f aca="false">IF(OR($D4999="",$E4999=""),"",IFERROR($D4999*INDEX(Setup!$B$27:$B$44,MATCH($E4999,Setup!$A$27:$A$44,0)),"TBD"))</f>
        <v/>
      </c>
      <c r="G4999" s="32"/>
      <c r="H4999" s="32"/>
      <c r="I4999" s="32"/>
      <c r="J4999" s="32"/>
      <c r="K4999" s="35"/>
      <c r="L4999" s="32"/>
      <c r="M4999" s="32"/>
    </row>
  </sheetData>
  <autoFilter ref="A1:M4999"/>
  <conditionalFormatting sqref="K2:K4999">
    <cfRule type="expression" priority="2" aboveAverage="0" equalAverage="0" bottom="0" percent="0" rank="0" text="" dxfId="11">
      <formula>AND($B2="IN",$K2="No")</formula>
    </cfRule>
  </conditionalFormatting>
  <dataValidations count="2">
    <dataValidation allowBlank="true" errorStyle="stop" operator="between" showDropDown="false" showErrorMessage="false" showInputMessage="false" sqref="B2:B4999" type="list">
      <formula1>"IN,OUT"</formula1>
      <formula2>0</formula2>
    </dataValidation>
    <dataValidation allowBlank="true" errorStyle="stop" operator="between" showDropDown="false" showErrorMessage="false" showInputMessage="false" sqref="K2:K4999" type="list">
      <formula1>"Yes,No"</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SLB-Private</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49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3" activeCellId="0" sqref="B13"/>
    </sheetView>
  </sheetViews>
  <sheetFormatPr defaultColWidth="8.71484375" defaultRowHeight="15" zeroHeight="false" outlineLevelRow="0" outlineLevelCol="0"/>
  <cols>
    <col collapsed="false" customWidth="true" hidden="false" outlineLevel="0" max="1" min="1" style="1" width="21.14"/>
    <col collapsed="false" customWidth="true" hidden="false" outlineLevel="0" max="2" min="2" style="1" width="50.71"/>
    <col collapsed="false" customWidth="true" hidden="false" outlineLevel="0" max="3" min="3" style="1" width="14"/>
    <col collapsed="false" customWidth="true" hidden="false" outlineLevel="0" max="4" min="4" style="1" width="17.29"/>
    <col collapsed="false" customWidth="true" hidden="false" outlineLevel="0" max="5" min="5" style="1" width="16.29"/>
    <col collapsed="false" customWidth="true" hidden="false" outlineLevel="0" max="6" min="6" style="1" width="21.71"/>
  </cols>
  <sheetData>
    <row r="1" customFormat="false" ht="30" hidden="false" customHeight="true" outlineLevel="0" collapsed="false">
      <c r="A1" s="11" t="s">
        <v>69</v>
      </c>
      <c r="B1" s="11" t="s">
        <v>86</v>
      </c>
      <c r="C1" s="11" t="s">
        <v>87</v>
      </c>
      <c r="D1" s="11" t="s">
        <v>88</v>
      </c>
      <c r="E1" s="11" t="s">
        <v>89</v>
      </c>
      <c r="F1" s="11" t="s">
        <v>16</v>
      </c>
    </row>
    <row r="2" customFormat="false" ht="15" hidden="false" customHeight="true" outlineLevel="0" collapsed="false">
      <c r="A2" s="26" t="n">
        <v>46278.3888888889</v>
      </c>
      <c r="B2" s="29" t="s">
        <v>50</v>
      </c>
      <c r="C2" s="36" t="n">
        <v>0.28</v>
      </c>
      <c r="D2" s="37" t="n">
        <f aca="false">IF(OR($B2="",$C2=""),"",$C2*IFERROR(INDEX(Setup!$C$47:$C$56,MATCH($B2,Setup!$A$47:$A$56,0)),IFERROR(INDEX(Setup!$C$60:$C$89,MATCH($B2,Setup!$A$60:$A$89,0)),"")))</f>
        <v>422.8</v>
      </c>
      <c r="E2" s="29" t="s">
        <v>90</v>
      </c>
      <c r="F2" s="29" t="s">
        <v>91</v>
      </c>
    </row>
    <row r="3" customFormat="false" ht="15" hidden="false" customHeight="true" outlineLevel="0" collapsed="false">
      <c r="A3" s="26" t="n">
        <v>46278.3888888889</v>
      </c>
      <c r="B3" s="29" t="s">
        <v>51</v>
      </c>
      <c r="C3" s="36" t="n">
        <v>0</v>
      </c>
      <c r="D3" s="37" t="n">
        <f aca="false">IF(OR($B3="",$C3=""),"",$C3*IFERROR(INDEX(Setup!$C$47:$C$56,MATCH($B3,Setup!$A$47:$A$56,0)),IFERROR(INDEX(Setup!$C$60:$C$89,MATCH($B3,Setup!$A$60:$A$89,0)),"")))</f>
        <v>0</v>
      </c>
      <c r="E3" s="29" t="s">
        <v>90</v>
      </c>
      <c r="F3" s="29" t="s">
        <v>91</v>
      </c>
    </row>
    <row r="4" customFormat="false" ht="15" hidden="false" customHeight="true" outlineLevel="0" collapsed="false">
      <c r="A4" s="26" t="n">
        <v>46278.3888888889</v>
      </c>
      <c r="B4" s="29" t="s">
        <v>52</v>
      </c>
      <c r="C4" s="36" t="n">
        <v>0</v>
      </c>
      <c r="D4" s="37" t="n">
        <f aca="false">IF(OR($B4="",$C4=""),"",$C4*IFERROR(INDEX(Setup!$C$47:$C$56,MATCH($B4,Setup!$A$47:$A$56,0)),IFERROR(INDEX(Setup!$C$60:$C$89,MATCH($B4,Setup!$A$60:$A$89,0)),"")))</f>
        <v>0</v>
      </c>
      <c r="E4" s="29" t="s">
        <v>90</v>
      </c>
      <c r="F4" s="29" t="s">
        <v>91</v>
      </c>
    </row>
    <row r="5" customFormat="false" ht="15" hidden="false" customHeight="true" outlineLevel="0" collapsed="false">
      <c r="A5" s="26" t="n">
        <v>46278.3888888889</v>
      </c>
      <c r="B5" s="29" t="s">
        <v>53</v>
      </c>
      <c r="C5" s="36" t="n">
        <v>0.2</v>
      </c>
      <c r="D5" s="37" t="n">
        <f aca="false">IF(OR($B5="",$C5=""),"",$C5*IFERROR(INDEX(Setup!$C$47:$C$56,MATCH($B5,Setup!$A$47:$A$56,0)),IFERROR(INDEX(Setup!$C$60:$C$89,MATCH($B5,Setup!$A$60:$A$89,0)),"")))</f>
        <v>150</v>
      </c>
      <c r="E5" s="29" t="s">
        <v>90</v>
      </c>
      <c r="F5" s="29" t="s">
        <v>91</v>
      </c>
    </row>
    <row r="6" customFormat="false" ht="15" hidden="false" customHeight="true" outlineLevel="0" collapsed="false">
      <c r="A6" s="26" t="n">
        <v>46278.3888888889</v>
      </c>
      <c r="B6" s="38" t="s">
        <v>54</v>
      </c>
      <c r="C6" s="36" t="n">
        <v>0.42</v>
      </c>
      <c r="D6" s="37" t="n">
        <f aca="false">IF(OR($B6="",$C6=""),"",$C6*IFERROR(INDEX(Setup!$C$47:$C$56,MATCH($B6,Setup!$A$47:$A$56,0)),IFERROR(INDEX(Setup!$C$60:$C$89,MATCH($B6,Setup!$A$60:$A$89,0)),"")))</f>
        <v>315</v>
      </c>
      <c r="E6" s="29" t="s">
        <v>90</v>
      </c>
      <c r="F6" s="29" t="s">
        <v>91</v>
      </c>
    </row>
    <row r="7" customFormat="false" ht="15" hidden="false" customHeight="true" outlineLevel="0" collapsed="false">
      <c r="A7" s="26" t="n">
        <v>46278.3888888889</v>
      </c>
      <c r="B7" s="38" t="s">
        <v>55</v>
      </c>
      <c r="C7" s="36" t="n">
        <v>0.06</v>
      </c>
      <c r="D7" s="37" t="n">
        <f aca="false">IF(OR($B7="",$C7=""),"",$C7*IFERROR(INDEX(Setup!$C$47:$C$56,MATCH($B7,Setup!$A$47:$A$56,0)),IFERROR(INDEX(Setup!$C$60:$C$89,MATCH($B7,Setup!$A$60:$A$89,0)),"")))</f>
        <v>45</v>
      </c>
      <c r="E7" s="29" t="s">
        <v>90</v>
      </c>
      <c r="F7" s="29" t="s">
        <v>91</v>
      </c>
    </row>
    <row r="8" customFormat="false" ht="15" hidden="false" customHeight="true" outlineLevel="0" collapsed="false">
      <c r="A8" s="39" t="n">
        <v>46275.6875</v>
      </c>
      <c r="B8" s="40" t="s">
        <v>57</v>
      </c>
      <c r="C8" s="41" t="n">
        <v>0.63</v>
      </c>
      <c r="D8" s="28" t="n">
        <f aca="false">IF(OR($B8="",$C8=""),"",$C8*IFERROR(INDEX(Setup!$C$47:$C$56,MATCH($B8,Setup!$A$47:$A$56,0)),IFERROR(INDEX(Setup!$C$60:$C$89,MATCH($B8,Setup!$A$60:$A$89,0)),"")))</f>
        <v>472.5</v>
      </c>
      <c r="E8" s="29" t="s">
        <v>90</v>
      </c>
      <c r="F8" s="29" t="s">
        <v>91</v>
      </c>
    </row>
    <row r="9" customFormat="false" ht="15" hidden="false" customHeight="true" outlineLevel="0" collapsed="false">
      <c r="A9" s="39" t="n">
        <v>46275.6875</v>
      </c>
      <c r="B9" s="40" t="s">
        <v>58</v>
      </c>
      <c r="C9" s="41" t="n">
        <v>0.2</v>
      </c>
      <c r="D9" s="28" t="n">
        <f aca="false">IF(OR($B9="",$C9=""),"",$C9*IFERROR(INDEX(Setup!$C$47:$C$56,MATCH($B9,Setup!$A$47:$A$56,0)),IFERROR(INDEX(Setup!$C$60:$C$89,MATCH($B9,Setup!$A$60:$A$89,0)),"")))</f>
        <v>150</v>
      </c>
      <c r="E9" s="29" t="s">
        <v>90</v>
      </c>
      <c r="F9" s="29" t="s">
        <v>91</v>
      </c>
    </row>
    <row r="10" customFormat="false" ht="15" hidden="false" customHeight="true" outlineLevel="0" collapsed="false">
      <c r="A10" s="39" t="n">
        <v>46275.6875</v>
      </c>
      <c r="B10" s="40" t="s">
        <v>59</v>
      </c>
      <c r="C10" s="41" t="n">
        <v>0.3</v>
      </c>
      <c r="D10" s="28" t="n">
        <f aca="false">IF(OR($B10="",$C10=""),"",$C10*IFERROR(INDEX(Setup!$C$47:$C$56,MATCH($B10,Setup!$A$47:$A$56,0)),IFERROR(INDEX(Setup!$C$60:$C$89,MATCH($B10,Setup!$A$60:$A$89,0)),"")))</f>
        <v>225</v>
      </c>
      <c r="E10" s="29" t="s">
        <v>90</v>
      </c>
      <c r="F10" s="29" t="s">
        <v>91</v>
      </c>
    </row>
    <row r="11" customFormat="false" ht="15" hidden="false" customHeight="true" outlineLevel="0" collapsed="false">
      <c r="A11" s="39" t="n">
        <v>46275.6875</v>
      </c>
      <c r="B11" s="40" t="s">
        <v>60</v>
      </c>
      <c r="C11" s="41" t="n">
        <v>0.12</v>
      </c>
      <c r="D11" s="28" t="n">
        <f aca="false">IF(OR($B11="",$C11=""),"",$C11*IFERROR(INDEX(Setup!$C$47:$C$56,MATCH($B11,Setup!$A$47:$A$56,0)),IFERROR(INDEX(Setup!$C$60:$C$89,MATCH($B11,Setup!$A$60:$A$89,0)),"")))</f>
        <v>90</v>
      </c>
      <c r="E11" s="29" t="s">
        <v>90</v>
      </c>
      <c r="F11" s="29" t="s">
        <v>91</v>
      </c>
    </row>
    <row r="12" customFormat="false" ht="15" hidden="false" customHeight="true" outlineLevel="0" collapsed="false">
      <c r="A12" s="39" t="n">
        <v>46275.6875</v>
      </c>
      <c r="B12" s="40" t="s">
        <v>61</v>
      </c>
      <c r="C12" s="41" t="n">
        <v>0.22</v>
      </c>
      <c r="D12" s="28" t="n">
        <f aca="false">IF(OR($B12="",$C12=""),"",$C12*IFERROR(INDEX(Setup!$C$47:$C$56,MATCH($B12,Setup!$A$47:$A$56,0)),IFERROR(INDEX(Setup!$C$60:$C$89,MATCH($B12,Setup!$A$60:$A$89,0)),"")))</f>
        <v>165</v>
      </c>
      <c r="E12" s="29" t="s">
        <v>90</v>
      </c>
      <c r="F12" s="29" t="s">
        <v>91</v>
      </c>
    </row>
    <row r="13" customFormat="false" ht="15" hidden="false" customHeight="true" outlineLevel="0" collapsed="false">
      <c r="A13" s="39" t="n">
        <v>46275.6875</v>
      </c>
      <c r="B13" s="40" t="s">
        <v>62</v>
      </c>
      <c r="C13" s="41" t="n">
        <v>0.45</v>
      </c>
      <c r="D13" s="28" t="n">
        <f aca="false">IF(OR($B13="",$C13=""),"",$C13*IFERROR(INDEX(Setup!$C$47:$C$56,MATCH($B13,Setup!$A$47:$A$56,0)),IFERROR(INDEX(Setup!$C$60:$C$89,MATCH($B13,Setup!$A$60:$A$89,0)),"")))</f>
        <v>337.5</v>
      </c>
      <c r="E13" s="29" t="s">
        <v>90</v>
      </c>
      <c r="F13" s="29" t="s">
        <v>91</v>
      </c>
    </row>
    <row r="14" customFormat="false" ht="15" hidden="false" customHeight="true" outlineLevel="0" collapsed="false">
      <c r="A14" s="39" t="n">
        <v>46275.6875</v>
      </c>
      <c r="B14" s="40" t="s">
        <v>63</v>
      </c>
      <c r="C14" s="41" t="n">
        <v>0.4</v>
      </c>
      <c r="D14" s="28" t="n">
        <f aca="false">IF(OR($B14="",$C14=""),"",$C14*IFERROR(INDEX(Setup!$C$47:$C$56,MATCH($B14,Setup!$A$47:$A$56,0)),IFERROR(INDEX(Setup!$C$60:$C$89,MATCH($B14,Setup!$A$60:$A$89,0)),"")))</f>
        <v>300</v>
      </c>
      <c r="E14" s="29" t="s">
        <v>90</v>
      </c>
      <c r="F14" s="29" t="s">
        <v>91</v>
      </c>
    </row>
    <row r="15" customFormat="false" ht="15" hidden="false" customHeight="true" outlineLevel="0" collapsed="false">
      <c r="A15" s="39" t="n">
        <v>46275.6875</v>
      </c>
      <c r="B15" s="40" t="s">
        <v>64</v>
      </c>
      <c r="C15" s="41" t="n">
        <v>0.03</v>
      </c>
      <c r="D15" s="28" t="n">
        <f aca="false">IF(OR($B15="",$C15=""),"",$C15*IFERROR(INDEX(Setup!$C$47:$C$56,MATCH($B15,Setup!$A$47:$A$56,0)),IFERROR(INDEX(Setup!$C$60:$C$89,MATCH($B15,Setup!$A$60:$A$89,0)),"")))</f>
        <v>22.5</v>
      </c>
      <c r="E15" s="29" t="s">
        <v>90</v>
      </c>
      <c r="F15" s="29" t="s">
        <v>91</v>
      </c>
    </row>
    <row r="16" customFormat="false" ht="15" hidden="false" customHeight="true" outlineLevel="0" collapsed="false">
      <c r="A16" s="39" t="n">
        <v>46275.6875</v>
      </c>
      <c r="B16" s="40" t="s">
        <v>65</v>
      </c>
      <c r="C16" s="41" t="n">
        <v>0.15</v>
      </c>
      <c r="D16" s="28" t="n">
        <f aca="false">IF(OR($B16="",$C16=""),"",$C16*IFERROR(INDEX(Setup!$C$47:$C$56,MATCH($B16,Setup!$A$47:$A$56,0)),IFERROR(INDEX(Setup!$C$60:$C$89,MATCH($B16,Setup!$A$60:$A$89,0)),"")))</f>
        <v>112.5</v>
      </c>
      <c r="E16" s="29" t="s">
        <v>90</v>
      </c>
      <c r="F16" s="29" t="s">
        <v>91</v>
      </c>
    </row>
    <row r="17" customFormat="false" ht="15" hidden="false" customHeight="true" outlineLevel="0" collapsed="false">
      <c r="A17" s="39" t="n">
        <v>46275.6875</v>
      </c>
      <c r="B17" s="40" t="s">
        <v>66</v>
      </c>
      <c r="C17" s="41" t="n">
        <v>0.08</v>
      </c>
      <c r="D17" s="28" t="n">
        <f aca="false">IF(OR($B17="",$C17=""),"",$C17*IFERROR(INDEX(Setup!$C$47:$C$56,MATCH($B17,Setup!$A$47:$A$56,0)),IFERROR(INDEX(Setup!$C$60:$C$89,MATCH($B17,Setup!$A$60:$A$89,0)),"")))</f>
        <v>60</v>
      </c>
      <c r="E17" s="29" t="s">
        <v>90</v>
      </c>
      <c r="F17" s="29" t="s">
        <v>91</v>
      </c>
    </row>
    <row r="18" customFormat="false" ht="15" hidden="false" customHeight="true" outlineLevel="0" collapsed="false">
      <c r="A18" s="39" t="n">
        <v>46275.6875</v>
      </c>
      <c r="B18" s="40" t="s">
        <v>67</v>
      </c>
      <c r="C18" s="41" t="n">
        <v>0.06</v>
      </c>
      <c r="D18" s="28" t="n">
        <f aca="false">IF(OR($B18="",$C18=""),"",$C18*IFERROR(INDEX(Setup!$C$47:$C$56,MATCH($B18,Setup!$A$47:$A$56,0)),IFERROR(INDEX(Setup!$C$60:$C$89,MATCH($B18,Setup!$A$60:$A$89,0)),"")))</f>
        <v>45</v>
      </c>
      <c r="E18" s="29" t="s">
        <v>90</v>
      </c>
      <c r="F18" s="29" t="s">
        <v>91</v>
      </c>
    </row>
    <row r="19" customFormat="false" ht="15" hidden="false" customHeight="true" outlineLevel="0" collapsed="false">
      <c r="A19" s="42"/>
      <c r="B19" s="42"/>
      <c r="C19" s="41"/>
      <c r="D19" s="28" t="str">
        <f aca="false">IF(OR($B19="",$C19=""),"",$C19*IFERROR(INDEX(Setup!$C$47:$C$56,MATCH($B19,Setup!$A$47:$A$56,0)),IFERROR(INDEX(Setup!$C$60:$C$89,MATCH($B19,Setup!$A$60:$A$89,0)),"")))</f>
        <v/>
      </c>
      <c r="E19" s="42"/>
      <c r="F19" s="42"/>
    </row>
    <row r="20" customFormat="false" ht="15" hidden="false" customHeight="true" outlineLevel="0" collapsed="false">
      <c r="A20" s="42"/>
      <c r="B20" s="42"/>
      <c r="C20" s="41"/>
      <c r="D20" s="28" t="str">
        <f aca="false">IF(OR($B20="",$C20=""),"",$C20*IFERROR(INDEX(Setup!$C$47:$C$56,MATCH($B20,Setup!$A$47:$A$56,0)),IFERROR(INDEX(Setup!$C$60:$C$89,MATCH($B20,Setup!$A$60:$A$89,0)),"")))</f>
        <v/>
      </c>
      <c r="E20" s="42"/>
      <c r="F20" s="42"/>
    </row>
    <row r="21" customFormat="false" ht="15" hidden="false" customHeight="true" outlineLevel="0" collapsed="false">
      <c r="A21" s="42"/>
      <c r="B21" s="42"/>
      <c r="C21" s="41"/>
      <c r="D21" s="28" t="str">
        <f aca="false">IF(OR($B21="",$C21=""),"",$C21*IFERROR(INDEX(Setup!$C$47:$C$56,MATCH($B21,Setup!$A$47:$A$56,0)),IFERROR(INDEX(Setup!$C$60:$C$89,MATCH($B21,Setup!$A$60:$A$89,0)),"")))</f>
        <v/>
      </c>
      <c r="E21" s="42"/>
      <c r="F21" s="42"/>
    </row>
    <row r="22" customFormat="false" ht="15" hidden="false" customHeight="true" outlineLevel="0" collapsed="false">
      <c r="A22" s="42"/>
      <c r="B22" s="42"/>
      <c r="C22" s="41"/>
      <c r="D22" s="28" t="str">
        <f aca="false">IF(OR($B22="",$C22=""),"",$C22*IFERROR(INDEX(Setup!$C$47:$C$56,MATCH($B22,Setup!$A$47:$A$56,0)),IFERROR(INDEX(Setup!$C$60:$C$89,MATCH($B22,Setup!$A$60:$A$89,0)),"")))</f>
        <v/>
      </c>
      <c r="E22" s="42"/>
      <c r="F22" s="42"/>
    </row>
    <row r="23" customFormat="false" ht="15" hidden="false" customHeight="true" outlineLevel="0" collapsed="false">
      <c r="A23" s="42"/>
      <c r="B23" s="42"/>
      <c r="C23" s="41"/>
      <c r="D23" s="28" t="str">
        <f aca="false">IF(OR($B23="",$C23=""),"",$C23*IFERROR(INDEX(Setup!$C$47:$C$56,MATCH($B23,Setup!$A$47:$A$56,0)),IFERROR(INDEX(Setup!$C$60:$C$89,MATCH($B23,Setup!$A$60:$A$89,0)),"")))</f>
        <v/>
      </c>
      <c r="E23" s="42"/>
      <c r="F23" s="42"/>
    </row>
    <row r="24" customFormat="false" ht="15" hidden="false" customHeight="true" outlineLevel="0" collapsed="false">
      <c r="A24" s="42"/>
      <c r="B24" s="42"/>
      <c r="C24" s="41"/>
      <c r="D24" s="28" t="str">
        <f aca="false">IF(OR($B24="",$C24=""),"",$C24*IFERROR(INDEX(Setup!$C$47:$C$56,MATCH($B24,Setup!$A$47:$A$56,0)),IFERROR(INDEX(Setup!$C$60:$C$89,MATCH($B24,Setup!$A$60:$A$89,0)),"")))</f>
        <v/>
      </c>
      <c r="E24" s="42"/>
      <c r="F24" s="42"/>
    </row>
    <row r="25" customFormat="false" ht="15" hidden="false" customHeight="true" outlineLevel="0" collapsed="false">
      <c r="A25" s="42"/>
      <c r="B25" s="42"/>
      <c r="C25" s="41"/>
      <c r="D25" s="28" t="str">
        <f aca="false">IF(OR($B25="",$C25=""),"",$C25*IFERROR(INDEX(Setup!$C$47:$C$56,MATCH($B25,Setup!$A$47:$A$56,0)),IFERROR(INDEX(Setup!$C$60:$C$89,MATCH($B25,Setup!$A$60:$A$89,0)),"")))</f>
        <v/>
      </c>
      <c r="E25" s="42"/>
      <c r="F25" s="42"/>
    </row>
    <row r="26" customFormat="false" ht="15" hidden="false" customHeight="true" outlineLevel="0" collapsed="false">
      <c r="A26" s="42"/>
      <c r="B26" s="42"/>
      <c r="C26" s="41"/>
      <c r="D26" s="28" t="str">
        <f aca="false">IF(OR($B26="",$C26=""),"",$C26*IFERROR(INDEX(Setup!$C$47:$C$56,MATCH($B26,Setup!$A$47:$A$56,0)),IFERROR(INDEX(Setup!$C$60:$C$89,MATCH($B26,Setup!$A$60:$A$89,0)),"")))</f>
        <v/>
      </c>
      <c r="E26" s="42"/>
      <c r="F26" s="42"/>
    </row>
    <row r="27" customFormat="false" ht="15" hidden="false" customHeight="true" outlineLevel="0" collapsed="false">
      <c r="A27" s="42"/>
      <c r="B27" s="42"/>
      <c r="C27" s="42"/>
      <c r="D27" s="28" t="str">
        <f aca="false">IF(OR($B27="",$C27=""),"",$C27*IFERROR(INDEX(Setup!$C$47:$C$56,MATCH($B27,Setup!$A$47:$A$56,0)),IFERROR(INDEX(Setup!$C$60:$C$89,MATCH($B27,Setup!$A$60:$A$89,0)),"")))</f>
        <v/>
      </c>
      <c r="E27" s="42"/>
      <c r="F27" s="42"/>
    </row>
    <row r="28" customFormat="false" ht="15" hidden="false" customHeight="true" outlineLevel="0" collapsed="false">
      <c r="A28" s="42"/>
      <c r="B28" s="42"/>
      <c r="C28" s="42"/>
      <c r="D28" s="28" t="str">
        <f aca="false">IF(OR($B28="",$C28=""),"",$C28*IFERROR(INDEX(Setup!$C$47:$C$56,MATCH($B28,Setup!$A$47:$A$56,0)),IFERROR(INDEX(Setup!$C$60:$C$89,MATCH($B28,Setup!$A$60:$A$89,0)),"")))</f>
        <v/>
      </c>
      <c r="E28" s="42"/>
      <c r="F28" s="42"/>
    </row>
    <row r="29" customFormat="false" ht="15" hidden="false" customHeight="true" outlineLevel="0" collapsed="false">
      <c r="A29" s="42"/>
      <c r="B29" s="42"/>
      <c r="C29" s="42"/>
      <c r="D29" s="28" t="str">
        <f aca="false">IF(OR($B29="",$C29=""),"",$C29*IFERROR(INDEX(Setup!$C$47:$C$56,MATCH($B29,Setup!$A$47:$A$56,0)),IFERROR(INDEX(Setup!$C$60:$C$89,MATCH($B29,Setup!$A$60:$A$89,0)),"")))</f>
        <v/>
      </c>
      <c r="E29" s="42"/>
      <c r="F29" s="42"/>
    </row>
    <row r="30" customFormat="false" ht="15" hidden="false" customHeight="true" outlineLevel="0" collapsed="false">
      <c r="A30" s="42"/>
      <c r="B30" s="42"/>
      <c r="C30" s="42"/>
      <c r="D30" s="28" t="str">
        <f aca="false">IF(OR($B30="",$C30=""),"",$C30*IFERROR(INDEX(Setup!$C$47:$C$56,MATCH($B30,Setup!$A$47:$A$56,0)),IFERROR(INDEX(Setup!$C$60:$C$89,MATCH($B30,Setup!$A$60:$A$89,0)),"")))</f>
        <v/>
      </c>
      <c r="E30" s="42"/>
      <c r="F30" s="42"/>
    </row>
    <row r="31" customFormat="false" ht="15" hidden="false" customHeight="true" outlineLevel="0" collapsed="false">
      <c r="A31" s="42"/>
      <c r="B31" s="42"/>
      <c r="C31" s="42"/>
      <c r="D31" s="28" t="str">
        <f aca="false">IF(OR($B31="",$C31=""),"",$C31*IFERROR(INDEX(Setup!$C$47:$C$56,MATCH($B31,Setup!$A$47:$A$56,0)),IFERROR(INDEX(Setup!$C$60:$C$89,MATCH($B31,Setup!$A$60:$A$89,0)),"")))</f>
        <v/>
      </c>
      <c r="E31" s="42"/>
      <c r="F31" s="42"/>
    </row>
    <row r="32" customFormat="false" ht="15" hidden="false" customHeight="true" outlineLevel="0" collapsed="false">
      <c r="A32" s="42"/>
      <c r="B32" s="42"/>
      <c r="C32" s="42"/>
      <c r="D32" s="28" t="str">
        <f aca="false">IF(OR($B32="",$C32=""),"",$C32*IFERROR(INDEX(Setup!$C$47:$C$56,MATCH($B32,Setup!$A$47:$A$56,0)),IFERROR(INDEX(Setup!$C$60:$C$89,MATCH($B32,Setup!$A$60:$A$89,0)),"")))</f>
        <v/>
      </c>
      <c r="E32" s="42"/>
      <c r="F32" s="42"/>
    </row>
    <row r="33" customFormat="false" ht="15" hidden="false" customHeight="true" outlineLevel="0" collapsed="false">
      <c r="A33" s="42"/>
      <c r="B33" s="42"/>
      <c r="C33" s="42"/>
      <c r="D33" s="28" t="str">
        <f aca="false">IF(OR($B33="",$C33=""),"",$C33*IFERROR(INDEX(Setup!$C$47:$C$56,MATCH($B33,Setup!$A$47:$A$56,0)),IFERROR(INDEX(Setup!$C$60:$C$89,MATCH($B33,Setup!$A$60:$A$89,0)),"")))</f>
        <v/>
      </c>
      <c r="E33" s="42"/>
      <c r="F33" s="42"/>
    </row>
    <row r="34" customFormat="false" ht="15" hidden="false" customHeight="true" outlineLevel="0" collapsed="false">
      <c r="A34" s="42"/>
      <c r="B34" s="42"/>
      <c r="C34" s="42"/>
      <c r="D34" s="28" t="str">
        <f aca="false">IF(OR($B34="",$C34=""),"",$C34*IFERROR(INDEX(Setup!$C$47:$C$56,MATCH($B34,Setup!$A$47:$A$56,0)),IFERROR(INDEX(Setup!$C$60:$C$89,MATCH($B34,Setup!$A$60:$A$89,0)),"")))</f>
        <v/>
      </c>
      <c r="E34" s="42"/>
      <c r="F34" s="42"/>
    </row>
    <row r="35" customFormat="false" ht="15" hidden="false" customHeight="true" outlineLevel="0" collapsed="false">
      <c r="A35" s="42"/>
      <c r="B35" s="42"/>
      <c r="C35" s="42"/>
      <c r="D35" s="28" t="str">
        <f aca="false">IF(OR($B35="",$C35=""),"",$C35*IFERROR(INDEX(Setup!$C$47:$C$56,MATCH($B35,Setup!$A$47:$A$56,0)),IFERROR(INDEX(Setup!$C$60:$C$89,MATCH($B35,Setup!$A$60:$A$89,0)),"")))</f>
        <v/>
      </c>
      <c r="E35" s="42"/>
      <c r="F35" s="42"/>
    </row>
    <row r="36" customFormat="false" ht="15" hidden="false" customHeight="true" outlineLevel="0" collapsed="false">
      <c r="A36" s="42"/>
      <c r="B36" s="42"/>
      <c r="C36" s="42"/>
      <c r="D36" s="28" t="str">
        <f aca="false">IF(OR($B36="",$C36=""),"",$C36*IFERROR(INDEX(Setup!$C$47:$C$56,MATCH($B36,Setup!$A$47:$A$56,0)),IFERROR(INDEX(Setup!$C$60:$C$89,MATCH($B36,Setup!$A$60:$A$89,0)),"")))</f>
        <v/>
      </c>
      <c r="E36" s="42"/>
      <c r="F36" s="42"/>
    </row>
    <row r="37" customFormat="false" ht="15" hidden="false" customHeight="true" outlineLevel="0" collapsed="false">
      <c r="A37" s="42"/>
      <c r="B37" s="42"/>
      <c r="C37" s="42"/>
      <c r="D37" s="28" t="str">
        <f aca="false">IF(OR($B37="",$C37=""),"",$C37*IFERROR(INDEX(Setup!$C$47:$C$56,MATCH($B37,Setup!$A$47:$A$56,0)),IFERROR(INDEX(Setup!$C$60:$C$89,MATCH($B37,Setup!$A$60:$A$89,0)),"")))</f>
        <v/>
      </c>
      <c r="E37" s="42"/>
      <c r="F37" s="42"/>
    </row>
    <row r="38" customFormat="false" ht="15" hidden="false" customHeight="true" outlineLevel="0" collapsed="false">
      <c r="A38" s="42"/>
      <c r="B38" s="42"/>
      <c r="C38" s="42"/>
      <c r="D38" s="28" t="str">
        <f aca="false">IF(OR($B38="",$C38=""),"",$C38*IFERROR(INDEX(Setup!$C$47:$C$56,MATCH($B38,Setup!$A$47:$A$56,0)),IFERROR(INDEX(Setup!$C$60:$C$89,MATCH($B38,Setup!$A$60:$A$89,0)),"")))</f>
        <v/>
      </c>
      <c r="E38" s="42"/>
      <c r="F38" s="42"/>
    </row>
    <row r="39" customFormat="false" ht="15" hidden="false" customHeight="true" outlineLevel="0" collapsed="false">
      <c r="A39" s="42"/>
      <c r="B39" s="42"/>
      <c r="C39" s="42"/>
      <c r="D39" s="28" t="str">
        <f aca="false">IF(OR($B39="",$C39=""),"",$C39*IFERROR(INDEX(Setup!$C$47:$C$56,MATCH($B39,Setup!$A$47:$A$56,0)),IFERROR(INDEX(Setup!$C$60:$C$89,MATCH($B39,Setup!$A$60:$A$89,0)),"")))</f>
        <v/>
      </c>
      <c r="E39" s="42"/>
      <c r="F39" s="42"/>
    </row>
    <row r="40" customFormat="false" ht="15" hidden="false" customHeight="true" outlineLevel="0" collapsed="false">
      <c r="A40" s="42"/>
      <c r="B40" s="42"/>
      <c r="C40" s="42"/>
      <c r="D40" s="28" t="str">
        <f aca="false">IF(OR($B40="",$C40=""),"",$C40*IFERROR(INDEX(Setup!$C$47:$C$56,MATCH($B40,Setup!$A$47:$A$56,0)),IFERROR(INDEX(Setup!$C$60:$C$89,MATCH($B40,Setup!$A$60:$A$89,0)),"")))</f>
        <v/>
      </c>
      <c r="E40" s="42"/>
      <c r="F40" s="42"/>
    </row>
    <row r="41" customFormat="false" ht="15" hidden="false" customHeight="true" outlineLevel="0" collapsed="false">
      <c r="A41" s="42"/>
      <c r="B41" s="42"/>
      <c r="C41" s="42"/>
      <c r="D41" s="28" t="str">
        <f aca="false">IF(OR($B41="",$C41=""),"",$C41*IFERROR(INDEX(Setup!$C$47:$C$56,MATCH($B41,Setup!$A$47:$A$56,0)),IFERROR(INDEX(Setup!$C$60:$C$89,MATCH($B41,Setup!$A$60:$A$89,0)),"")))</f>
        <v/>
      </c>
      <c r="E41" s="42"/>
      <c r="F41" s="42"/>
    </row>
    <row r="42" customFormat="false" ht="15" hidden="false" customHeight="true" outlineLevel="0" collapsed="false">
      <c r="A42" s="42"/>
      <c r="B42" s="42"/>
      <c r="C42" s="42"/>
      <c r="D42" s="28" t="str">
        <f aca="false">IF(OR($B42="",$C42=""),"",$C42*IFERROR(INDEX(Setup!$C$47:$C$56,MATCH($B42,Setup!$A$47:$A$56,0)),IFERROR(INDEX(Setup!$C$60:$C$89,MATCH($B42,Setup!$A$60:$A$89,0)),"")))</f>
        <v/>
      </c>
      <c r="E42" s="42"/>
      <c r="F42" s="42"/>
    </row>
    <row r="43" customFormat="false" ht="15" hidden="false" customHeight="true" outlineLevel="0" collapsed="false">
      <c r="A43" s="42"/>
      <c r="B43" s="42"/>
      <c r="C43" s="42"/>
      <c r="D43" s="28" t="str">
        <f aca="false">IF(OR($B43="",$C43=""),"",$C43*IFERROR(INDEX(Setup!$C$47:$C$56,MATCH($B43,Setup!$A$47:$A$56,0)),IFERROR(INDEX(Setup!$C$60:$C$89,MATCH($B43,Setup!$A$60:$A$89,0)),"")))</f>
        <v/>
      </c>
      <c r="E43" s="42"/>
      <c r="F43" s="42"/>
    </row>
    <row r="44" customFormat="false" ht="15" hidden="false" customHeight="true" outlineLevel="0" collapsed="false">
      <c r="A44" s="42"/>
      <c r="B44" s="42"/>
      <c r="C44" s="42"/>
      <c r="D44" s="28" t="str">
        <f aca="false">IF(OR($B44="",$C44=""),"",$C44*IFERROR(INDEX(Setup!$C$47:$C$56,MATCH($B44,Setup!$A$47:$A$56,0)),IFERROR(INDEX(Setup!$C$60:$C$89,MATCH($B44,Setup!$A$60:$A$89,0)),"")))</f>
        <v/>
      </c>
      <c r="E44" s="42"/>
      <c r="F44" s="42"/>
    </row>
    <row r="45" customFormat="false" ht="15" hidden="false" customHeight="true" outlineLevel="0" collapsed="false">
      <c r="A45" s="42"/>
      <c r="B45" s="42"/>
      <c r="C45" s="42"/>
      <c r="D45" s="28" t="str">
        <f aca="false">IF(OR($B45="",$C45=""),"",$C45*IFERROR(INDEX(Setup!$C$47:$C$56,MATCH($B45,Setup!$A$47:$A$56,0)),IFERROR(INDEX(Setup!$C$60:$C$89,MATCH($B45,Setup!$A$60:$A$89,0)),"")))</f>
        <v/>
      </c>
      <c r="E45" s="42"/>
      <c r="F45" s="42"/>
    </row>
    <row r="46" customFormat="false" ht="15" hidden="false" customHeight="true" outlineLevel="0" collapsed="false">
      <c r="A46" s="42"/>
      <c r="B46" s="42"/>
      <c r="C46" s="42"/>
      <c r="D46" s="28" t="str">
        <f aca="false">IF(OR($B46="",$C46=""),"",$C46*IFERROR(INDEX(Setup!$C$47:$C$56,MATCH($B46,Setup!$A$47:$A$56,0)),IFERROR(INDEX(Setup!$C$60:$C$89,MATCH($B46,Setup!$A$60:$A$89,0)),"")))</f>
        <v/>
      </c>
      <c r="E46" s="42"/>
      <c r="F46" s="42"/>
    </row>
    <row r="47" customFormat="false" ht="15" hidden="false" customHeight="true" outlineLevel="0" collapsed="false">
      <c r="A47" s="42"/>
      <c r="B47" s="42"/>
      <c r="C47" s="42"/>
      <c r="D47" s="28" t="str">
        <f aca="false">IF(OR($B47="",$C47=""),"",$C47*IFERROR(INDEX(Setup!$C$47:$C$56,MATCH($B47,Setup!$A$47:$A$56,0)),IFERROR(INDEX(Setup!$C$60:$C$89,MATCH($B47,Setup!$A$60:$A$89,0)),"")))</f>
        <v/>
      </c>
      <c r="E47" s="42"/>
      <c r="F47" s="42"/>
    </row>
    <row r="48" customFormat="false" ht="15" hidden="false" customHeight="true" outlineLevel="0" collapsed="false">
      <c r="A48" s="42"/>
      <c r="B48" s="42"/>
      <c r="C48" s="42"/>
      <c r="D48" s="28" t="str">
        <f aca="false">IF(OR($B48="",$C48=""),"",$C48*IFERROR(INDEX(Setup!$C$47:$C$56,MATCH($B48,Setup!$A$47:$A$56,0)),IFERROR(INDEX(Setup!$C$60:$C$89,MATCH($B48,Setup!$A$60:$A$89,0)),"")))</f>
        <v/>
      </c>
      <c r="E48" s="42"/>
      <c r="F48" s="42"/>
    </row>
    <row r="49" customFormat="false" ht="15" hidden="false" customHeight="true" outlineLevel="0" collapsed="false">
      <c r="A49" s="42"/>
      <c r="B49" s="42"/>
      <c r="C49" s="42"/>
      <c r="D49" s="28" t="str">
        <f aca="false">IF(OR($B49="",$C49=""),"",$C49*IFERROR(INDEX(Setup!$C$47:$C$56,MATCH($B49,Setup!$A$47:$A$56,0)),IFERROR(INDEX(Setup!$C$60:$C$89,MATCH($B49,Setup!$A$60:$A$89,0)),"")))</f>
        <v/>
      </c>
      <c r="E49" s="42"/>
      <c r="F49" s="42"/>
    </row>
    <row r="50" customFormat="false" ht="15" hidden="false" customHeight="true" outlineLevel="0" collapsed="false">
      <c r="A50" s="42"/>
      <c r="B50" s="42"/>
      <c r="C50" s="42"/>
      <c r="D50" s="28" t="str">
        <f aca="false">IF(OR($B50="",$C50=""),"",$C50*IFERROR(INDEX(Setup!$C$47:$C$56,MATCH($B50,Setup!$A$47:$A$56,0)),IFERROR(INDEX(Setup!$C$60:$C$89,MATCH($B50,Setup!$A$60:$A$89,0)),"")))</f>
        <v/>
      </c>
      <c r="E50" s="42"/>
      <c r="F50" s="42"/>
    </row>
    <row r="51" customFormat="false" ht="15" hidden="false" customHeight="true" outlineLevel="0" collapsed="false">
      <c r="A51" s="42"/>
      <c r="B51" s="42"/>
      <c r="C51" s="42"/>
      <c r="D51" s="28" t="str">
        <f aca="false">IF(OR($B51="",$C51=""),"",$C51*IFERROR(INDEX(Setup!$C$47:$C$56,MATCH($B51,Setup!$A$47:$A$56,0)),IFERROR(INDEX(Setup!$C$60:$C$89,MATCH($B51,Setup!$A$60:$A$89,0)),"")))</f>
        <v/>
      </c>
      <c r="E51" s="42"/>
      <c r="F51" s="42"/>
    </row>
    <row r="52" customFormat="false" ht="15" hidden="false" customHeight="true" outlineLevel="0" collapsed="false">
      <c r="A52" s="42"/>
      <c r="B52" s="42"/>
      <c r="C52" s="42"/>
      <c r="D52" s="28" t="str">
        <f aca="false">IF(OR($B52="",$C52=""),"",$C52*IFERROR(INDEX(Setup!$C$47:$C$56,MATCH($B52,Setup!$A$47:$A$56,0)),IFERROR(INDEX(Setup!$C$60:$C$89,MATCH($B52,Setup!$A$60:$A$89,0)),"")))</f>
        <v/>
      </c>
      <c r="E52" s="42"/>
      <c r="F52" s="42"/>
    </row>
    <row r="53" customFormat="false" ht="15" hidden="false" customHeight="true" outlineLevel="0" collapsed="false">
      <c r="A53" s="42"/>
      <c r="B53" s="42"/>
      <c r="C53" s="42"/>
      <c r="D53" s="28" t="str">
        <f aca="false">IF(OR($B53="",$C53=""),"",$C53*IFERROR(INDEX(Setup!$C$47:$C$56,MATCH($B53,Setup!$A$47:$A$56,0)),IFERROR(INDEX(Setup!$C$60:$C$89,MATCH($B53,Setup!$A$60:$A$89,0)),"")))</f>
        <v/>
      </c>
      <c r="E53" s="42"/>
      <c r="F53" s="42"/>
    </row>
    <row r="54" customFormat="false" ht="15" hidden="false" customHeight="true" outlineLevel="0" collapsed="false">
      <c r="A54" s="42"/>
      <c r="B54" s="42"/>
      <c r="C54" s="42"/>
      <c r="D54" s="28" t="str">
        <f aca="false">IF(OR($B54="",$C54=""),"",$C54*IFERROR(INDEX(Setup!$C$47:$C$56,MATCH($B54,Setup!$A$47:$A$56,0)),IFERROR(INDEX(Setup!$C$60:$C$89,MATCH($B54,Setup!$A$60:$A$89,0)),"")))</f>
        <v/>
      </c>
      <c r="E54" s="42"/>
      <c r="F54" s="42"/>
    </row>
    <row r="55" customFormat="false" ht="15" hidden="false" customHeight="true" outlineLevel="0" collapsed="false">
      <c r="A55" s="42"/>
      <c r="B55" s="42"/>
      <c r="C55" s="42"/>
      <c r="D55" s="28" t="str">
        <f aca="false">IF(OR($B55="",$C55=""),"",$C55*IFERROR(INDEX(Setup!$C$47:$C$56,MATCH($B55,Setup!$A$47:$A$56,0)),IFERROR(INDEX(Setup!$C$60:$C$89,MATCH($B55,Setup!$A$60:$A$89,0)),"")))</f>
        <v/>
      </c>
      <c r="E55" s="42"/>
      <c r="F55" s="42"/>
    </row>
    <row r="56" customFormat="false" ht="15" hidden="false" customHeight="true" outlineLevel="0" collapsed="false">
      <c r="A56" s="42"/>
      <c r="B56" s="42"/>
      <c r="C56" s="42"/>
      <c r="D56" s="28" t="str">
        <f aca="false">IF(OR($B56="",$C56=""),"",$C56*IFERROR(INDEX(Setup!$C$47:$C$56,MATCH($B56,Setup!$A$47:$A$56,0)),IFERROR(INDEX(Setup!$C$60:$C$89,MATCH($B56,Setup!$A$60:$A$89,0)),"")))</f>
        <v/>
      </c>
      <c r="E56" s="42"/>
      <c r="F56" s="42"/>
    </row>
    <row r="57" customFormat="false" ht="15" hidden="false" customHeight="true" outlineLevel="0" collapsed="false">
      <c r="A57" s="42"/>
      <c r="B57" s="42"/>
      <c r="C57" s="42"/>
      <c r="D57" s="28" t="str">
        <f aca="false">IF(OR($B57="",$C57=""),"",$C57*IFERROR(INDEX(Setup!$C$47:$C$56,MATCH($B57,Setup!$A$47:$A$56,0)),IFERROR(INDEX(Setup!$C$60:$C$89,MATCH($B57,Setup!$A$60:$A$89,0)),"")))</f>
        <v/>
      </c>
      <c r="E57" s="42"/>
      <c r="F57" s="42"/>
    </row>
    <row r="58" customFormat="false" ht="15" hidden="false" customHeight="true" outlineLevel="0" collapsed="false">
      <c r="A58" s="42"/>
      <c r="B58" s="42"/>
      <c r="C58" s="42"/>
      <c r="D58" s="28" t="str">
        <f aca="false">IF(OR($B58="",$C58=""),"",$C58*IFERROR(INDEX(Setup!$C$47:$C$56,MATCH($B58,Setup!$A$47:$A$56,0)),IFERROR(INDEX(Setup!$C$60:$C$89,MATCH($B58,Setup!$A$60:$A$89,0)),"")))</f>
        <v/>
      </c>
      <c r="E58" s="42"/>
      <c r="F58" s="42"/>
    </row>
    <row r="59" customFormat="false" ht="15" hidden="false" customHeight="true" outlineLevel="0" collapsed="false">
      <c r="A59" s="42"/>
      <c r="B59" s="42"/>
      <c r="C59" s="42"/>
      <c r="D59" s="28" t="str">
        <f aca="false">IF(OR($B59="",$C59=""),"",$C59*IFERROR(INDEX(Setup!$C$47:$C$56,MATCH($B59,Setup!$A$47:$A$56,0)),IFERROR(INDEX(Setup!$C$60:$C$89,MATCH($B59,Setup!$A$60:$A$89,0)),"")))</f>
        <v/>
      </c>
      <c r="E59" s="42"/>
      <c r="F59" s="42"/>
    </row>
    <row r="60" customFormat="false" ht="15" hidden="false" customHeight="true" outlineLevel="0" collapsed="false">
      <c r="A60" s="42"/>
      <c r="B60" s="42"/>
      <c r="C60" s="42"/>
      <c r="D60" s="28" t="str">
        <f aca="false">IF(OR($B60="",$C60=""),"",$C60*IFERROR(INDEX(Setup!$C$47:$C$56,MATCH($B60,Setup!$A$47:$A$56,0)),IFERROR(INDEX(Setup!$C$60:$C$89,MATCH($B60,Setup!$A$60:$A$89,0)),"")))</f>
        <v/>
      </c>
      <c r="E60" s="42"/>
      <c r="F60" s="42"/>
    </row>
    <row r="61" customFormat="false" ht="15" hidden="false" customHeight="true" outlineLevel="0" collapsed="false">
      <c r="A61" s="42"/>
      <c r="B61" s="42"/>
      <c r="C61" s="42"/>
      <c r="D61" s="28" t="str">
        <f aca="false">IF(OR($B61="",$C61=""),"",$C61*IFERROR(INDEX(Setup!$C$47:$C$56,MATCH($B61,Setup!$A$47:$A$56,0)),IFERROR(INDEX(Setup!$C$60:$C$89,MATCH($B61,Setup!$A$60:$A$89,0)),"")))</f>
        <v/>
      </c>
      <c r="E61" s="42"/>
      <c r="F61" s="42"/>
    </row>
    <row r="62" customFormat="false" ht="15" hidden="false" customHeight="true" outlineLevel="0" collapsed="false">
      <c r="A62" s="42"/>
      <c r="B62" s="42"/>
      <c r="C62" s="42"/>
      <c r="D62" s="28" t="str">
        <f aca="false">IF(OR($B62="",$C62=""),"",$C62*IFERROR(INDEX(Setup!$C$47:$C$56,MATCH($B62,Setup!$A$47:$A$56,0)),IFERROR(INDEX(Setup!$C$60:$C$89,MATCH($B62,Setup!$A$60:$A$89,0)),"")))</f>
        <v/>
      </c>
      <c r="E62" s="42"/>
      <c r="F62" s="42"/>
    </row>
    <row r="63" customFormat="false" ht="15" hidden="false" customHeight="true" outlineLevel="0" collapsed="false">
      <c r="A63" s="42"/>
      <c r="B63" s="42"/>
      <c r="C63" s="42"/>
      <c r="D63" s="28" t="str">
        <f aca="false">IF(OR($B63="",$C63=""),"",$C63*IFERROR(INDEX(Setup!$C$47:$C$56,MATCH($B63,Setup!$A$47:$A$56,0)),IFERROR(INDEX(Setup!$C$60:$C$89,MATCH($B63,Setup!$A$60:$A$89,0)),"")))</f>
        <v/>
      </c>
      <c r="E63" s="42"/>
      <c r="F63" s="42"/>
    </row>
    <row r="64" customFormat="false" ht="15" hidden="false" customHeight="true" outlineLevel="0" collapsed="false">
      <c r="A64" s="42"/>
      <c r="B64" s="42"/>
      <c r="C64" s="42"/>
      <c r="D64" s="28" t="str">
        <f aca="false">IF(OR($B64="",$C64=""),"",$C64*IFERROR(INDEX(Setup!$C$47:$C$56,MATCH($B64,Setup!$A$47:$A$56,0)),IFERROR(INDEX(Setup!$C$60:$C$89,MATCH($B64,Setup!$A$60:$A$89,0)),"")))</f>
        <v/>
      </c>
      <c r="E64" s="42"/>
      <c r="F64" s="42"/>
    </row>
    <row r="65" customFormat="false" ht="15" hidden="false" customHeight="true" outlineLevel="0" collapsed="false">
      <c r="A65" s="42"/>
      <c r="B65" s="42"/>
      <c r="C65" s="42"/>
      <c r="D65" s="28" t="str">
        <f aca="false">IF(OR($B65="",$C65=""),"",$C65*IFERROR(INDEX(Setup!$C$47:$C$56,MATCH($B65,Setup!$A$47:$A$56,0)),IFERROR(INDEX(Setup!$C$60:$C$89,MATCH($B65,Setup!$A$60:$A$89,0)),"")))</f>
        <v/>
      </c>
      <c r="E65" s="42"/>
      <c r="F65" s="42"/>
    </row>
    <row r="66" customFormat="false" ht="15" hidden="false" customHeight="true" outlineLevel="0" collapsed="false">
      <c r="A66" s="42"/>
      <c r="B66" s="42"/>
      <c r="C66" s="42"/>
      <c r="D66" s="28" t="str">
        <f aca="false">IF(OR($B66="",$C66=""),"",$C66*IFERROR(INDEX(Setup!$C$47:$C$56,MATCH($B66,Setup!$A$47:$A$56,0)),IFERROR(INDEX(Setup!$C$60:$C$89,MATCH($B66,Setup!$A$60:$A$89,0)),"")))</f>
        <v/>
      </c>
      <c r="E66" s="42"/>
      <c r="F66" s="42"/>
    </row>
    <row r="67" customFormat="false" ht="15" hidden="false" customHeight="true" outlineLevel="0" collapsed="false">
      <c r="A67" s="42"/>
      <c r="B67" s="42"/>
      <c r="C67" s="42"/>
      <c r="D67" s="28" t="str">
        <f aca="false">IF(OR($B67="",$C67=""),"",$C67*IFERROR(INDEX(Setup!$C$47:$C$56,MATCH($B67,Setup!$A$47:$A$56,0)),IFERROR(INDEX(Setup!$C$60:$C$89,MATCH($B67,Setup!$A$60:$A$89,0)),"")))</f>
        <v/>
      </c>
      <c r="E67" s="42"/>
      <c r="F67" s="42"/>
    </row>
    <row r="68" customFormat="false" ht="15" hidden="false" customHeight="true" outlineLevel="0" collapsed="false">
      <c r="A68" s="42"/>
      <c r="B68" s="42"/>
      <c r="C68" s="42"/>
      <c r="D68" s="28" t="str">
        <f aca="false">IF(OR($B68="",$C68=""),"",$C68*IFERROR(INDEX(Setup!$C$47:$C$56,MATCH($B68,Setup!$A$47:$A$56,0)),IFERROR(INDEX(Setup!$C$60:$C$89,MATCH($B68,Setup!$A$60:$A$89,0)),"")))</f>
        <v/>
      </c>
      <c r="E68" s="42"/>
      <c r="F68" s="42"/>
    </row>
    <row r="69" customFormat="false" ht="15" hidden="false" customHeight="true" outlineLevel="0" collapsed="false">
      <c r="A69" s="42"/>
      <c r="B69" s="42"/>
      <c r="C69" s="42"/>
      <c r="D69" s="28" t="str">
        <f aca="false">IF(OR($B69="",$C69=""),"",$C69*IFERROR(INDEX(Setup!$C$47:$C$56,MATCH($B69,Setup!$A$47:$A$56,0)),IFERROR(INDEX(Setup!$C$60:$C$89,MATCH($B69,Setup!$A$60:$A$89,0)),"")))</f>
        <v/>
      </c>
      <c r="E69" s="42"/>
      <c r="F69" s="42"/>
    </row>
    <row r="70" customFormat="false" ht="15" hidden="false" customHeight="true" outlineLevel="0" collapsed="false">
      <c r="A70" s="42"/>
      <c r="B70" s="42"/>
      <c r="C70" s="42"/>
      <c r="D70" s="28" t="str">
        <f aca="false">IF(OR($B70="",$C70=""),"",$C70*IFERROR(INDEX(Setup!$C$47:$C$56,MATCH($B70,Setup!$A$47:$A$56,0)),IFERROR(INDEX(Setup!$C$60:$C$89,MATCH($B70,Setup!$A$60:$A$89,0)),"")))</f>
        <v/>
      </c>
      <c r="E70" s="42"/>
      <c r="F70" s="42"/>
    </row>
    <row r="71" customFormat="false" ht="15" hidden="false" customHeight="true" outlineLevel="0" collapsed="false">
      <c r="A71" s="42"/>
      <c r="B71" s="42"/>
      <c r="C71" s="42"/>
      <c r="D71" s="28" t="str">
        <f aca="false">IF(OR($B71="",$C71=""),"",$C71*IFERROR(INDEX(Setup!$C$47:$C$56,MATCH($B71,Setup!$A$47:$A$56,0)),IFERROR(INDEX(Setup!$C$60:$C$89,MATCH($B71,Setup!$A$60:$A$89,0)),"")))</f>
        <v/>
      </c>
      <c r="E71" s="42"/>
      <c r="F71" s="42"/>
    </row>
    <row r="72" customFormat="false" ht="15" hidden="false" customHeight="true" outlineLevel="0" collapsed="false">
      <c r="A72" s="42"/>
      <c r="B72" s="42"/>
      <c r="C72" s="42"/>
      <c r="D72" s="28" t="str">
        <f aca="false">IF(OR($B72="",$C72=""),"",$C72*IFERROR(INDEX(Setup!$C$47:$C$56,MATCH($B72,Setup!$A$47:$A$56,0)),IFERROR(INDEX(Setup!$C$60:$C$89,MATCH($B72,Setup!$A$60:$A$89,0)),"")))</f>
        <v/>
      </c>
      <c r="E72" s="42"/>
      <c r="F72" s="42"/>
    </row>
    <row r="73" customFormat="false" ht="15" hidden="false" customHeight="true" outlineLevel="0" collapsed="false">
      <c r="A73" s="42"/>
      <c r="B73" s="42"/>
      <c r="C73" s="42"/>
      <c r="D73" s="28" t="str">
        <f aca="false">IF(OR($B73="",$C73=""),"",$C73*IFERROR(INDEX(Setup!$C$47:$C$56,MATCH($B73,Setup!$A$47:$A$56,0)),IFERROR(INDEX(Setup!$C$60:$C$89,MATCH($B73,Setup!$A$60:$A$89,0)),"")))</f>
        <v/>
      </c>
      <c r="E73" s="42"/>
      <c r="F73" s="42"/>
    </row>
    <row r="74" customFormat="false" ht="15" hidden="false" customHeight="true" outlineLevel="0" collapsed="false">
      <c r="A74" s="42"/>
      <c r="B74" s="42"/>
      <c r="C74" s="42"/>
      <c r="D74" s="28" t="str">
        <f aca="false">IF(OR($B74="",$C74=""),"",$C74*IFERROR(INDEX(Setup!$C$47:$C$56,MATCH($B74,Setup!$A$47:$A$56,0)),IFERROR(INDEX(Setup!$C$60:$C$89,MATCH($B74,Setup!$A$60:$A$89,0)),"")))</f>
        <v/>
      </c>
      <c r="E74" s="42"/>
      <c r="F74" s="42"/>
    </row>
    <row r="75" customFormat="false" ht="15" hidden="false" customHeight="true" outlineLevel="0" collapsed="false">
      <c r="A75" s="42"/>
      <c r="B75" s="42"/>
      <c r="C75" s="42"/>
      <c r="D75" s="28" t="str">
        <f aca="false">IF(OR($B75="",$C75=""),"",$C75*IFERROR(INDEX(Setup!$C$47:$C$56,MATCH($B75,Setup!$A$47:$A$56,0)),IFERROR(INDEX(Setup!$C$60:$C$89,MATCH($B75,Setup!$A$60:$A$89,0)),"")))</f>
        <v/>
      </c>
      <c r="E75" s="42"/>
      <c r="F75" s="42"/>
    </row>
    <row r="76" customFormat="false" ht="15" hidden="false" customHeight="true" outlineLevel="0" collapsed="false">
      <c r="A76" s="42"/>
      <c r="B76" s="42"/>
      <c r="C76" s="42"/>
      <c r="D76" s="28" t="str">
        <f aca="false">IF(OR($B76="",$C76=""),"",$C76*IFERROR(INDEX(Setup!$C$47:$C$56,MATCH($B76,Setup!$A$47:$A$56,0)),IFERROR(INDEX(Setup!$C$60:$C$89,MATCH($B76,Setup!$A$60:$A$89,0)),"")))</f>
        <v/>
      </c>
      <c r="E76" s="42"/>
      <c r="F76" s="42"/>
    </row>
    <row r="77" customFormat="false" ht="15" hidden="false" customHeight="true" outlineLevel="0" collapsed="false">
      <c r="A77" s="42"/>
      <c r="B77" s="42"/>
      <c r="C77" s="42"/>
      <c r="D77" s="28" t="str">
        <f aca="false">IF(OR($B77="",$C77=""),"",$C77*IFERROR(INDEX(Setup!$C$47:$C$56,MATCH($B77,Setup!$A$47:$A$56,0)),IFERROR(INDEX(Setup!$C$60:$C$89,MATCH($B77,Setup!$A$60:$A$89,0)),"")))</f>
        <v/>
      </c>
      <c r="E77" s="42"/>
      <c r="F77" s="42"/>
    </row>
    <row r="78" customFormat="false" ht="15" hidden="false" customHeight="true" outlineLevel="0" collapsed="false">
      <c r="A78" s="42"/>
      <c r="B78" s="42"/>
      <c r="C78" s="42"/>
      <c r="D78" s="28" t="str">
        <f aca="false">IF(OR($B78="",$C78=""),"",$C78*IFERROR(INDEX(Setup!$C$47:$C$56,MATCH($B78,Setup!$A$47:$A$56,0)),IFERROR(INDEX(Setup!$C$60:$C$89,MATCH($B78,Setup!$A$60:$A$89,0)),"")))</f>
        <v/>
      </c>
      <c r="E78" s="42"/>
      <c r="F78" s="42"/>
    </row>
    <row r="79" customFormat="false" ht="15" hidden="false" customHeight="true" outlineLevel="0" collapsed="false">
      <c r="A79" s="42"/>
      <c r="B79" s="42"/>
      <c r="C79" s="42"/>
      <c r="D79" s="28" t="str">
        <f aca="false">IF(OR($B79="",$C79=""),"",$C79*IFERROR(INDEX(Setup!$C$47:$C$56,MATCH($B79,Setup!$A$47:$A$56,0)),IFERROR(INDEX(Setup!$C$60:$C$89,MATCH($B79,Setup!$A$60:$A$89,0)),"")))</f>
        <v/>
      </c>
      <c r="E79" s="42"/>
      <c r="F79" s="42"/>
    </row>
    <row r="80" customFormat="false" ht="15" hidden="false" customHeight="true" outlineLevel="0" collapsed="false">
      <c r="A80" s="42"/>
      <c r="B80" s="42"/>
      <c r="C80" s="42"/>
      <c r="D80" s="28" t="str">
        <f aca="false">IF(OR($B80="",$C80=""),"",$C80*IFERROR(INDEX(Setup!$C$47:$C$56,MATCH($B80,Setup!$A$47:$A$56,0)),IFERROR(INDEX(Setup!$C$60:$C$89,MATCH($B80,Setup!$A$60:$A$89,0)),"")))</f>
        <v/>
      </c>
      <c r="E80" s="42"/>
      <c r="F80" s="42"/>
    </row>
    <row r="81" customFormat="false" ht="15" hidden="false" customHeight="true" outlineLevel="0" collapsed="false">
      <c r="A81" s="42"/>
      <c r="B81" s="42"/>
      <c r="C81" s="42"/>
      <c r="D81" s="28" t="str">
        <f aca="false">IF(OR($B81="",$C81=""),"",$C81*IFERROR(INDEX(Setup!$C$47:$C$56,MATCH($B81,Setup!$A$47:$A$56,0)),IFERROR(INDEX(Setup!$C$60:$C$89,MATCH($B81,Setup!$A$60:$A$89,0)),"")))</f>
        <v/>
      </c>
      <c r="E81" s="42"/>
      <c r="F81" s="42"/>
    </row>
    <row r="82" customFormat="false" ht="15" hidden="false" customHeight="true" outlineLevel="0" collapsed="false">
      <c r="A82" s="42"/>
      <c r="B82" s="42"/>
      <c r="C82" s="42"/>
      <c r="D82" s="28" t="str">
        <f aca="false">IF(OR($B82="",$C82=""),"",$C82*IFERROR(INDEX(Setup!$C$47:$C$56,MATCH($B82,Setup!$A$47:$A$56,0)),IFERROR(INDEX(Setup!$C$60:$C$89,MATCH($B82,Setup!$A$60:$A$89,0)),"")))</f>
        <v/>
      </c>
      <c r="E82" s="42"/>
      <c r="F82" s="42"/>
    </row>
    <row r="83" customFormat="false" ht="15" hidden="false" customHeight="true" outlineLevel="0" collapsed="false">
      <c r="A83" s="42"/>
      <c r="B83" s="42"/>
      <c r="C83" s="42"/>
      <c r="D83" s="28" t="str">
        <f aca="false">IF(OR($B83="",$C83=""),"",$C83*IFERROR(INDEX(Setup!$C$47:$C$56,MATCH($B83,Setup!$A$47:$A$56,0)),IFERROR(INDEX(Setup!$C$60:$C$89,MATCH($B83,Setup!$A$60:$A$89,0)),"")))</f>
        <v/>
      </c>
      <c r="E83" s="42"/>
      <c r="F83" s="42"/>
    </row>
    <row r="84" customFormat="false" ht="15" hidden="false" customHeight="true" outlineLevel="0" collapsed="false">
      <c r="A84" s="42"/>
      <c r="B84" s="42"/>
      <c r="C84" s="42"/>
      <c r="D84" s="28" t="str">
        <f aca="false">IF(OR($B84="",$C84=""),"",$C84*IFERROR(INDEX(Setup!$C$47:$C$56,MATCH($B84,Setup!$A$47:$A$56,0)),IFERROR(INDEX(Setup!$C$60:$C$89,MATCH($B84,Setup!$A$60:$A$89,0)),"")))</f>
        <v/>
      </c>
      <c r="E84" s="42"/>
      <c r="F84" s="42"/>
    </row>
    <row r="85" customFormat="false" ht="15" hidden="false" customHeight="true" outlineLevel="0" collapsed="false">
      <c r="A85" s="42"/>
      <c r="B85" s="42"/>
      <c r="C85" s="42"/>
      <c r="D85" s="28" t="str">
        <f aca="false">IF(OR($B85="",$C85=""),"",$C85*IFERROR(INDEX(Setup!$C$47:$C$56,MATCH($B85,Setup!$A$47:$A$56,0)),IFERROR(INDEX(Setup!$C$60:$C$89,MATCH($B85,Setup!$A$60:$A$89,0)),"")))</f>
        <v/>
      </c>
      <c r="E85" s="42"/>
      <c r="F85" s="42"/>
    </row>
    <row r="86" customFormat="false" ht="15" hidden="false" customHeight="true" outlineLevel="0" collapsed="false">
      <c r="A86" s="42"/>
      <c r="B86" s="42"/>
      <c r="C86" s="42"/>
      <c r="D86" s="28" t="str">
        <f aca="false">IF(OR($B86="",$C86=""),"",$C86*IFERROR(INDEX(Setup!$C$47:$C$56,MATCH($B86,Setup!$A$47:$A$56,0)),IFERROR(INDEX(Setup!$C$60:$C$89,MATCH($B86,Setup!$A$60:$A$89,0)),"")))</f>
        <v/>
      </c>
      <c r="E86" s="42"/>
      <c r="F86" s="42"/>
    </row>
    <row r="87" customFormat="false" ht="15" hidden="false" customHeight="true" outlineLevel="0" collapsed="false">
      <c r="A87" s="42"/>
      <c r="B87" s="42"/>
      <c r="C87" s="42"/>
      <c r="D87" s="28" t="str">
        <f aca="false">IF(OR($B87="",$C87=""),"",$C87*IFERROR(INDEX(Setup!$C$47:$C$56,MATCH($B87,Setup!$A$47:$A$56,0)),IFERROR(INDEX(Setup!$C$60:$C$89,MATCH($B87,Setup!$A$60:$A$89,0)),"")))</f>
        <v/>
      </c>
      <c r="E87" s="42"/>
      <c r="F87" s="42"/>
    </row>
    <row r="88" customFormat="false" ht="15" hidden="false" customHeight="true" outlineLevel="0" collapsed="false">
      <c r="A88" s="42"/>
      <c r="B88" s="42"/>
      <c r="C88" s="42"/>
      <c r="D88" s="28" t="str">
        <f aca="false">IF(OR($B88="",$C88=""),"",$C88*IFERROR(INDEX(Setup!$C$47:$C$56,MATCH($B88,Setup!$A$47:$A$56,0)),IFERROR(INDEX(Setup!$C$60:$C$89,MATCH($B88,Setup!$A$60:$A$89,0)),"")))</f>
        <v/>
      </c>
      <c r="E88" s="42"/>
      <c r="F88" s="42"/>
    </row>
    <row r="89" customFormat="false" ht="15" hidden="false" customHeight="true" outlineLevel="0" collapsed="false">
      <c r="A89" s="42"/>
      <c r="B89" s="42"/>
      <c r="C89" s="42"/>
      <c r="D89" s="28" t="str">
        <f aca="false">IF(OR($B89="",$C89=""),"",$C89*IFERROR(INDEX(Setup!$C$47:$C$56,MATCH($B89,Setup!$A$47:$A$56,0)),IFERROR(INDEX(Setup!$C$60:$C$89,MATCH($B89,Setup!$A$60:$A$89,0)),"")))</f>
        <v/>
      </c>
      <c r="E89" s="42"/>
      <c r="F89" s="42"/>
    </row>
    <row r="90" customFormat="false" ht="15" hidden="false" customHeight="true" outlineLevel="0" collapsed="false">
      <c r="A90" s="42"/>
      <c r="B90" s="42"/>
      <c r="C90" s="42"/>
      <c r="D90" s="28" t="str">
        <f aca="false">IF(OR($B90="",$C90=""),"",$C90*IFERROR(INDEX(Setup!$C$47:$C$56,MATCH($B90,Setup!$A$47:$A$56,0)),IFERROR(INDEX(Setup!$C$60:$C$89,MATCH($B90,Setup!$A$60:$A$89,0)),"")))</f>
        <v/>
      </c>
      <c r="E90" s="42"/>
      <c r="F90" s="42"/>
    </row>
    <row r="91" customFormat="false" ht="15" hidden="false" customHeight="true" outlineLevel="0" collapsed="false">
      <c r="A91" s="42"/>
      <c r="B91" s="42"/>
      <c r="C91" s="42"/>
      <c r="D91" s="28" t="str">
        <f aca="false">IF(OR($B91="",$C91=""),"",$C91*IFERROR(INDEX(Setup!$C$47:$C$56,MATCH($B91,Setup!$A$47:$A$56,0)),IFERROR(INDEX(Setup!$C$60:$C$89,MATCH($B91,Setup!$A$60:$A$89,0)),"")))</f>
        <v/>
      </c>
      <c r="E91" s="42"/>
      <c r="F91" s="42"/>
    </row>
    <row r="92" customFormat="false" ht="15" hidden="false" customHeight="true" outlineLevel="0" collapsed="false">
      <c r="A92" s="42"/>
      <c r="B92" s="42"/>
      <c r="C92" s="42"/>
      <c r="D92" s="28" t="str">
        <f aca="false">IF(OR($B92="",$C92=""),"",$C92*IFERROR(INDEX(Setup!$C$47:$C$56,MATCH($B92,Setup!$A$47:$A$56,0)),IFERROR(INDEX(Setup!$C$60:$C$89,MATCH($B92,Setup!$A$60:$A$89,0)),"")))</f>
        <v/>
      </c>
      <c r="E92" s="42"/>
      <c r="F92" s="42"/>
    </row>
    <row r="93" customFormat="false" ht="15" hidden="false" customHeight="true" outlineLevel="0" collapsed="false">
      <c r="A93" s="42"/>
      <c r="B93" s="42"/>
      <c r="C93" s="42"/>
      <c r="D93" s="28" t="str">
        <f aca="false">IF(OR($B93="",$C93=""),"",$C93*IFERROR(INDEX(Setup!$C$47:$C$56,MATCH($B93,Setup!$A$47:$A$56,0)),IFERROR(INDEX(Setup!$C$60:$C$89,MATCH($B93,Setup!$A$60:$A$89,0)),"")))</f>
        <v/>
      </c>
      <c r="E93" s="42"/>
      <c r="F93" s="42"/>
    </row>
    <row r="94" customFormat="false" ht="15" hidden="false" customHeight="true" outlineLevel="0" collapsed="false">
      <c r="A94" s="42"/>
      <c r="B94" s="42"/>
      <c r="C94" s="42"/>
      <c r="D94" s="28" t="str">
        <f aca="false">IF(OR($B94="",$C94=""),"",$C94*IFERROR(INDEX(Setup!$C$47:$C$56,MATCH($B94,Setup!$A$47:$A$56,0)),IFERROR(INDEX(Setup!$C$60:$C$89,MATCH($B94,Setup!$A$60:$A$89,0)),"")))</f>
        <v/>
      </c>
      <c r="E94" s="42"/>
      <c r="F94" s="42"/>
    </row>
    <row r="95" customFormat="false" ht="15" hidden="false" customHeight="true" outlineLevel="0" collapsed="false">
      <c r="A95" s="42"/>
      <c r="B95" s="42"/>
      <c r="C95" s="42"/>
      <c r="D95" s="28" t="str">
        <f aca="false">IF(OR($B95="",$C95=""),"",$C95*IFERROR(INDEX(Setup!$C$47:$C$56,MATCH($B95,Setup!$A$47:$A$56,0)),IFERROR(INDEX(Setup!$C$60:$C$89,MATCH($B95,Setup!$A$60:$A$89,0)),"")))</f>
        <v/>
      </c>
      <c r="E95" s="42"/>
      <c r="F95" s="42"/>
    </row>
    <row r="96" customFormat="false" ht="15" hidden="false" customHeight="true" outlineLevel="0" collapsed="false">
      <c r="A96" s="42"/>
      <c r="B96" s="42"/>
      <c r="C96" s="42"/>
      <c r="D96" s="28" t="str">
        <f aca="false">IF(OR($B96="",$C96=""),"",$C96*IFERROR(INDEX(Setup!$C$47:$C$56,MATCH($B96,Setup!$A$47:$A$56,0)),IFERROR(INDEX(Setup!$C$60:$C$89,MATCH($B96,Setup!$A$60:$A$89,0)),"")))</f>
        <v/>
      </c>
      <c r="E96" s="42"/>
      <c r="F96" s="42"/>
    </row>
    <row r="97" customFormat="false" ht="15" hidden="false" customHeight="true" outlineLevel="0" collapsed="false">
      <c r="A97" s="42"/>
      <c r="B97" s="42"/>
      <c r="C97" s="42"/>
      <c r="D97" s="28" t="str">
        <f aca="false">IF(OR($B97="",$C97=""),"",$C97*IFERROR(INDEX(Setup!$C$47:$C$56,MATCH($B97,Setup!$A$47:$A$56,0)),IFERROR(INDEX(Setup!$C$60:$C$89,MATCH($B97,Setup!$A$60:$A$89,0)),"")))</f>
        <v/>
      </c>
      <c r="E97" s="42"/>
      <c r="F97" s="42"/>
    </row>
    <row r="98" customFormat="false" ht="15" hidden="false" customHeight="true" outlineLevel="0" collapsed="false">
      <c r="A98" s="42"/>
      <c r="B98" s="42"/>
      <c r="C98" s="42"/>
      <c r="D98" s="28" t="str">
        <f aca="false">IF(OR($B98="",$C98=""),"",$C98*IFERROR(INDEX(Setup!$C$47:$C$56,MATCH($B98,Setup!$A$47:$A$56,0)),IFERROR(INDEX(Setup!$C$60:$C$89,MATCH($B98,Setup!$A$60:$A$89,0)),"")))</f>
        <v/>
      </c>
      <c r="E98" s="42"/>
      <c r="F98" s="42"/>
    </row>
    <row r="99" customFormat="false" ht="15" hidden="false" customHeight="true" outlineLevel="0" collapsed="false">
      <c r="A99" s="42"/>
      <c r="B99" s="42"/>
      <c r="C99" s="42"/>
      <c r="D99" s="28" t="str">
        <f aca="false">IF(OR($B99="",$C99=""),"",$C99*IFERROR(INDEX(Setup!$C$47:$C$56,MATCH($B99,Setup!$A$47:$A$56,0)),IFERROR(INDEX(Setup!$C$60:$C$89,MATCH($B99,Setup!$A$60:$A$89,0)),"")))</f>
        <v/>
      </c>
      <c r="E99" s="42"/>
      <c r="F99" s="42"/>
    </row>
    <row r="100" customFormat="false" ht="15" hidden="false" customHeight="true" outlineLevel="0" collapsed="false">
      <c r="A100" s="42"/>
      <c r="B100" s="42"/>
      <c r="C100" s="42"/>
      <c r="D100" s="28" t="str">
        <f aca="false">IF(OR($B100="",$C100=""),"",$C100*IFERROR(INDEX(Setup!$C$47:$C$56,MATCH($B100,Setup!$A$47:$A$56,0)),IFERROR(INDEX(Setup!$C$60:$C$89,MATCH($B100,Setup!$A$60:$A$89,0)),"")))</f>
        <v/>
      </c>
      <c r="E100" s="42"/>
      <c r="F100" s="42"/>
    </row>
    <row r="101" customFormat="false" ht="15" hidden="false" customHeight="true" outlineLevel="0" collapsed="false">
      <c r="A101" s="42"/>
      <c r="B101" s="42"/>
      <c r="C101" s="42"/>
      <c r="D101" s="28" t="str">
        <f aca="false">IF(OR($B101="",$C101=""),"",$C101*IFERROR(INDEX(Setup!$C$47:$C$56,MATCH($B101,Setup!$A$47:$A$56,0)),IFERROR(INDEX(Setup!$C$60:$C$89,MATCH($B101,Setup!$A$60:$A$89,0)),"")))</f>
        <v/>
      </c>
      <c r="E101" s="42"/>
      <c r="F101" s="42"/>
    </row>
    <row r="102" customFormat="false" ht="15" hidden="false" customHeight="true" outlineLevel="0" collapsed="false">
      <c r="A102" s="42"/>
      <c r="B102" s="42"/>
      <c r="C102" s="42"/>
      <c r="D102" s="28" t="str">
        <f aca="false">IF(OR($B102="",$C102=""),"",$C102*IFERROR(INDEX(Setup!$C$47:$C$56,MATCH($B102,Setup!$A$47:$A$56,0)),IFERROR(INDEX(Setup!$C$60:$C$89,MATCH($B102,Setup!$A$60:$A$89,0)),"")))</f>
        <v/>
      </c>
      <c r="E102" s="42"/>
      <c r="F102" s="42"/>
    </row>
    <row r="103" customFormat="false" ht="15" hidden="false" customHeight="true" outlineLevel="0" collapsed="false">
      <c r="A103" s="42"/>
      <c r="B103" s="42"/>
      <c r="C103" s="42"/>
      <c r="D103" s="28" t="str">
        <f aca="false">IF(OR($B103="",$C103=""),"",$C103*IFERROR(INDEX(Setup!$C$47:$C$56,MATCH($B103,Setup!$A$47:$A$56,0)),IFERROR(INDEX(Setup!$C$60:$C$89,MATCH($B103,Setup!$A$60:$A$89,0)),"")))</f>
        <v/>
      </c>
      <c r="E103" s="42"/>
      <c r="F103" s="42"/>
    </row>
    <row r="104" customFormat="false" ht="15" hidden="false" customHeight="true" outlineLevel="0" collapsed="false">
      <c r="A104" s="42"/>
      <c r="B104" s="42"/>
      <c r="C104" s="42"/>
      <c r="D104" s="28" t="str">
        <f aca="false">IF(OR($B104="",$C104=""),"",$C104*IFERROR(INDEX(Setup!$C$47:$C$56,MATCH($B104,Setup!$A$47:$A$56,0)),IFERROR(INDEX(Setup!$C$60:$C$89,MATCH($B104,Setup!$A$60:$A$89,0)),"")))</f>
        <v/>
      </c>
      <c r="E104" s="42"/>
      <c r="F104" s="42"/>
    </row>
    <row r="105" customFormat="false" ht="15" hidden="false" customHeight="true" outlineLevel="0" collapsed="false">
      <c r="A105" s="42"/>
      <c r="B105" s="42"/>
      <c r="C105" s="42"/>
      <c r="D105" s="28" t="str">
        <f aca="false">IF(OR($B105="",$C105=""),"",$C105*IFERROR(INDEX(Setup!$C$47:$C$56,MATCH($B105,Setup!$A$47:$A$56,0)),IFERROR(INDEX(Setup!$C$60:$C$89,MATCH($B105,Setup!$A$60:$A$89,0)),"")))</f>
        <v/>
      </c>
      <c r="E105" s="42"/>
      <c r="F105" s="42"/>
    </row>
    <row r="106" customFormat="false" ht="15" hidden="false" customHeight="true" outlineLevel="0" collapsed="false">
      <c r="A106" s="42"/>
      <c r="B106" s="42"/>
      <c r="C106" s="42"/>
      <c r="D106" s="28" t="str">
        <f aca="false">IF(OR($B106="",$C106=""),"",$C106*IFERROR(INDEX(Setup!$C$47:$C$56,MATCH($B106,Setup!$A$47:$A$56,0)),IFERROR(INDEX(Setup!$C$60:$C$89,MATCH($B106,Setup!$A$60:$A$89,0)),"")))</f>
        <v/>
      </c>
      <c r="E106" s="42"/>
      <c r="F106" s="42"/>
    </row>
    <row r="107" customFormat="false" ht="15" hidden="false" customHeight="true" outlineLevel="0" collapsed="false">
      <c r="A107" s="42"/>
      <c r="B107" s="42"/>
      <c r="C107" s="42"/>
      <c r="D107" s="28" t="str">
        <f aca="false">IF(OR($B107="",$C107=""),"",$C107*IFERROR(INDEX(Setup!$C$47:$C$56,MATCH($B107,Setup!$A$47:$A$56,0)),IFERROR(INDEX(Setup!$C$60:$C$89,MATCH($B107,Setup!$A$60:$A$89,0)),"")))</f>
        <v/>
      </c>
      <c r="E107" s="42"/>
      <c r="F107" s="42"/>
    </row>
    <row r="108" customFormat="false" ht="15" hidden="false" customHeight="true" outlineLevel="0" collapsed="false">
      <c r="A108" s="42"/>
      <c r="B108" s="42"/>
      <c r="C108" s="42"/>
      <c r="D108" s="28" t="str">
        <f aca="false">IF(OR($B108="",$C108=""),"",$C108*IFERROR(INDEX(Setup!$C$47:$C$56,MATCH($B108,Setup!$A$47:$A$56,0)),IFERROR(INDEX(Setup!$C$60:$C$89,MATCH($B108,Setup!$A$60:$A$89,0)),"")))</f>
        <v/>
      </c>
      <c r="E108" s="42"/>
      <c r="F108" s="42"/>
    </row>
    <row r="109" customFormat="false" ht="15" hidden="false" customHeight="true" outlineLevel="0" collapsed="false">
      <c r="A109" s="42"/>
      <c r="B109" s="42"/>
      <c r="C109" s="42"/>
      <c r="D109" s="28" t="str">
        <f aca="false">IF(OR($B109="",$C109=""),"",$C109*IFERROR(INDEX(Setup!$C$47:$C$56,MATCH($B109,Setup!$A$47:$A$56,0)),IFERROR(INDEX(Setup!$C$60:$C$89,MATCH($B109,Setup!$A$60:$A$89,0)),"")))</f>
        <v/>
      </c>
      <c r="E109" s="42"/>
      <c r="F109" s="42"/>
    </row>
    <row r="110" customFormat="false" ht="15" hidden="false" customHeight="true" outlineLevel="0" collapsed="false">
      <c r="A110" s="42"/>
      <c r="B110" s="42"/>
      <c r="C110" s="42"/>
      <c r="D110" s="28" t="str">
        <f aca="false">IF(OR($B110="",$C110=""),"",$C110*IFERROR(INDEX(Setup!$C$47:$C$56,MATCH($B110,Setup!$A$47:$A$56,0)),IFERROR(INDEX(Setup!$C$60:$C$89,MATCH($B110,Setup!$A$60:$A$89,0)),"")))</f>
        <v/>
      </c>
      <c r="E110" s="42"/>
      <c r="F110" s="42"/>
    </row>
    <row r="111" customFormat="false" ht="15" hidden="false" customHeight="true" outlineLevel="0" collapsed="false">
      <c r="A111" s="42"/>
      <c r="B111" s="42"/>
      <c r="C111" s="42"/>
      <c r="D111" s="28" t="str">
        <f aca="false">IF(OR($B111="",$C111=""),"",$C111*IFERROR(INDEX(Setup!$C$47:$C$56,MATCH($B111,Setup!$A$47:$A$56,0)),IFERROR(INDEX(Setup!$C$60:$C$89,MATCH($B111,Setup!$A$60:$A$89,0)),"")))</f>
        <v/>
      </c>
      <c r="E111" s="42"/>
      <c r="F111" s="42"/>
    </row>
    <row r="112" customFormat="false" ht="15" hidden="false" customHeight="true" outlineLevel="0" collapsed="false">
      <c r="A112" s="42"/>
      <c r="B112" s="42"/>
      <c r="C112" s="42"/>
      <c r="D112" s="28" t="str">
        <f aca="false">IF(OR($B112="",$C112=""),"",$C112*IFERROR(INDEX(Setup!$C$47:$C$56,MATCH($B112,Setup!$A$47:$A$56,0)),IFERROR(INDEX(Setup!$C$60:$C$89,MATCH($B112,Setup!$A$60:$A$89,0)),"")))</f>
        <v/>
      </c>
      <c r="E112" s="42"/>
      <c r="F112" s="42"/>
    </row>
    <row r="113" customFormat="false" ht="15" hidden="false" customHeight="true" outlineLevel="0" collapsed="false">
      <c r="A113" s="42"/>
      <c r="B113" s="42"/>
      <c r="C113" s="42"/>
      <c r="D113" s="28" t="str">
        <f aca="false">IF(OR($B113="",$C113=""),"",$C113*IFERROR(INDEX(Setup!$C$47:$C$56,MATCH($B113,Setup!$A$47:$A$56,0)),IFERROR(INDEX(Setup!$C$60:$C$89,MATCH($B113,Setup!$A$60:$A$89,0)),"")))</f>
        <v/>
      </c>
      <c r="E113" s="42"/>
      <c r="F113" s="42"/>
    </row>
    <row r="114" customFormat="false" ht="15" hidden="false" customHeight="true" outlineLevel="0" collapsed="false">
      <c r="A114" s="42"/>
      <c r="B114" s="42"/>
      <c r="C114" s="42"/>
      <c r="D114" s="28" t="str">
        <f aca="false">IF(OR($B114="",$C114=""),"",$C114*IFERROR(INDEX(Setup!$C$47:$C$56,MATCH($B114,Setup!$A$47:$A$56,0)),IFERROR(INDEX(Setup!$C$60:$C$89,MATCH($B114,Setup!$A$60:$A$89,0)),"")))</f>
        <v/>
      </c>
      <c r="E114" s="42"/>
      <c r="F114" s="42"/>
    </row>
    <row r="115" customFormat="false" ht="15" hidden="false" customHeight="true" outlineLevel="0" collapsed="false">
      <c r="A115" s="42"/>
      <c r="B115" s="42"/>
      <c r="C115" s="42"/>
      <c r="D115" s="28" t="str">
        <f aca="false">IF(OR($B115="",$C115=""),"",$C115*IFERROR(INDEX(Setup!$C$47:$C$56,MATCH($B115,Setup!$A$47:$A$56,0)),IFERROR(INDEX(Setup!$C$60:$C$89,MATCH($B115,Setup!$A$60:$A$89,0)),"")))</f>
        <v/>
      </c>
      <c r="E115" s="42"/>
      <c r="F115" s="42"/>
    </row>
    <row r="116" customFormat="false" ht="15" hidden="false" customHeight="true" outlineLevel="0" collapsed="false">
      <c r="A116" s="42"/>
      <c r="B116" s="42"/>
      <c r="C116" s="42"/>
      <c r="D116" s="28" t="str">
        <f aca="false">IF(OR($B116="",$C116=""),"",$C116*IFERROR(INDEX(Setup!$C$47:$C$56,MATCH($B116,Setup!$A$47:$A$56,0)),IFERROR(INDEX(Setup!$C$60:$C$89,MATCH($B116,Setup!$A$60:$A$89,0)),"")))</f>
        <v/>
      </c>
      <c r="E116" s="42"/>
      <c r="F116" s="42"/>
    </row>
    <row r="117" customFormat="false" ht="15" hidden="false" customHeight="true" outlineLevel="0" collapsed="false">
      <c r="A117" s="42"/>
      <c r="B117" s="42"/>
      <c r="C117" s="42"/>
      <c r="D117" s="28" t="str">
        <f aca="false">IF(OR($B117="",$C117=""),"",$C117*IFERROR(INDEX(Setup!$C$47:$C$56,MATCH($B117,Setup!$A$47:$A$56,0)),IFERROR(INDEX(Setup!$C$60:$C$89,MATCH($B117,Setup!$A$60:$A$89,0)),"")))</f>
        <v/>
      </c>
      <c r="E117" s="42"/>
      <c r="F117" s="42"/>
    </row>
    <row r="118" customFormat="false" ht="15" hidden="false" customHeight="true" outlineLevel="0" collapsed="false">
      <c r="A118" s="42"/>
      <c r="B118" s="42"/>
      <c r="C118" s="42"/>
      <c r="D118" s="28" t="str">
        <f aca="false">IF(OR($B118="",$C118=""),"",$C118*IFERROR(INDEX(Setup!$C$47:$C$56,MATCH($B118,Setup!$A$47:$A$56,0)),IFERROR(INDEX(Setup!$C$60:$C$89,MATCH($B118,Setup!$A$60:$A$89,0)),"")))</f>
        <v/>
      </c>
      <c r="E118" s="42"/>
      <c r="F118" s="42"/>
    </row>
    <row r="119" customFormat="false" ht="15" hidden="false" customHeight="true" outlineLevel="0" collapsed="false">
      <c r="A119" s="42"/>
      <c r="B119" s="42"/>
      <c r="C119" s="42"/>
      <c r="D119" s="28" t="str">
        <f aca="false">IF(OR($B119="",$C119=""),"",$C119*IFERROR(INDEX(Setup!$C$47:$C$56,MATCH($B119,Setup!$A$47:$A$56,0)),IFERROR(INDEX(Setup!$C$60:$C$89,MATCH($B119,Setup!$A$60:$A$89,0)),"")))</f>
        <v/>
      </c>
      <c r="E119" s="42"/>
      <c r="F119" s="42"/>
    </row>
    <row r="120" customFormat="false" ht="15" hidden="false" customHeight="true" outlineLevel="0" collapsed="false">
      <c r="A120" s="42"/>
      <c r="B120" s="42"/>
      <c r="C120" s="42"/>
      <c r="D120" s="28" t="str">
        <f aca="false">IF(OR($B120="",$C120=""),"",$C120*IFERROR(INDEX(Setup!$C$47:$C$56,MATCH($B120,Setup!$A$47:$A$56,0)),IFERROR(INDEX(Setup!$C$60:$C$89,MATCH($B120,Setup!$A$60:$A$89,0)),"")))</f>
        <v/>
      </c>
      <c r="E120" s="42"/>
      <c r="F120" s="42"/>
    </row>
    <row r="121" customFormat="false" ht="15" hidden="false" customHeight="true" outlineLevel="0" collapsed="false">
      <c r="A121" s="42"/>
      <c r="B121" s="42"/>
      <c r="C121" s="42"/>
      <c r="D121" s="28" t="str">
        <f aca="false">IF(OR($B121="",$C121=""),"",$C121*IFERROR(INDEX(Setup!$C$47:$C$56,MATCH($B121,Setup!$A$47:$A$56,0)),IFERROR(INDEX(Setup!$C$60:$C$89,MATCH($B121,Setup!$A$60:$A$89,0)),"")))</f>
        <v/>
      </c>
      <c r="E121" s="42"/>
      <c r="F121" s="42"/>
    </row>
    <row r="122" customFormat="false" ht="15" hidden="false" customHeight="true" outlineLevel="0" collapsed="false">
      <c r="A122" s="42"/>
      <c r="B122" s="42"/>
      <c r="C122" s="42"/>
      <c r="D122" s="28" t="str">
        <f aca="false">IF(OR($B122="",$C122=""),"",$C122*IFERROR(INDEX(Setup!$C$47:$C$56,MATCH($B122,Setup!$A$47:$A$56,0)),IFERROR(INDEX(Setup!$C$60:$C$89,MATCH($B122,Setup!$A$60:$A$89,0)),"")))</f>
        <v/>
      </c>
      <c r="E122" s="42"/>
      <c r="F122" s="42"/>
    </row>
    <row r="123" customFormat="false" ht="15" hidden="false" customHeight="true" outlineLevel="0" collapsed="false">
      <c r="A123" s="42"/>
      <c r="B123" s="42"/>
      <c r="C123" s="42"/>
      <c r="D123" s="28" t="str">
        <f aca="false">IF(OR($B123="",$C123=""),"",$C123*IFERROR(INDEX(Setup!$C$47:$C$56,MATCH($B123,Setup!$A$47:$A$56,0)),IFERROR(INDEX(Setup!$C$60:$C$89,MATCH($B123,Setup!$A$60:$A$89,0)),"")))</f>
        <v/>
      </c>
      <c r="E123" s="42"/>
      <c r="F123" s="42"/>
    </row>
    <row r="124" customFormat="false" ht="15" hidden="false" customHeight="true" outlineLevel="0" collapsed="false">
      <c r="A124" s="42"/>
      <c r="B124" s="42"/>
      <c r="C124" s="42"/>
      <c r="D124" s="28" t="str">
        <f aca="false">IF(OR($B124="",$C124=""),"",$C124*IFERROR(INDEX(Setup!$C$47:$C$56,MATCH($B124,Setup!$A$47:$A$56,0)),IFERROR(INDEX(Setup!$C$60:$C$89,MATCH($B124,Setup!$A$60:$A$89,0)),"")))</f>
        <v/>
      </c>
      <c r="E124" s="42"/>
      <c r="F124" s="42"/>
    </row>
    <row r="125" customFormat="false" ht="15" hidden="false" customHeight="true" outlineLevel="0" collapsed="false">
      <c r="A125" s="42"/>
      <c r="B125" s="42"/>
      <c r="C125" s="42"/>
      <c r="D125" s="28" t="str">
        <f aca="false">IF(OR($B125="",$C125=""),"",$C125*IFERROR(INDEX(Setup!$C$47:$C$56,MATCH($B125,Setup!$A$47:$A$56,0)),IFERROR(INDEX(Setup!$C$60:$C$89,MATCH($B125,Setup!$A$60:$A$89,0)),"")))</f>
        <v/>
      </c>
      <c r="E125" s="42"/>
      <c r="F125" s="42"/>
    </row>
    <row r="126" customFormat="false" ht="15" hidden="false" customHeight="true" outlineLevel="0" collapsed="false">
      <c r="A126" s="42"/>
      <c r="B126" s="42"/>
      <c r="C126" s="42"/>
      <c r="D126" s="28" t="str">
        <f aca="false">IF(OR($B126="",$C126=""),"",$C126*IFERROR(INDEX(Setup!$C$47:$C$56,MATCH($B126,Setup!$A$47:$A$56,0)),IFERROR(INDEX(Setup!$C$60:$C$89,MATCH($B126,Setup!$A$60:$A$89,0)),"")))</f>
        <v/>
      </c>
      <c r="E126" s="42"/>
      <c r="F126" s="42"/>
    </row>
    <row r="127" customFormat="false" ht="15" hidden="false" customHeight="true" outlineLevel="0" collapsed="false">
      <c r="A127" s="42"/>
      <c r="B127" s="42"/>
      <c r="C127" s="42"/>
      <c r="D127" s="28" t="str">
        <f aca="false">IF(OR($B127="",$C127=""),"",$C127*IFERROR(INDEX(Setup!$C$47:$C$56,MATCH($B127,Setup!$A$47:$A$56,0)),IFERROR(INDEX(Setup!$C$60:$C$89,MATCH($B127,Setup!$A$60:$A$89,0)),"")))</f>
        <v/>
      </c>
      <c r="E127" s="42"/>
      <c r="F127" s="42"/>
    </row>
    <row r="128" customFormat="false" ht="15" hidden="false" customHeight="true" outlineLevel="0" collapsed="false">
      <c r="A128" s="42"/>
      <c r="B128" s="42"/>
      <c r="C128" s="42"/>
      <c r="D128" s="28" t="str">
        <f aca="false">IF(OR($B128="",$C128=""),"",$C128*IFERROR(INDEX(Setup!$C$47:$C$56,MATCH($B128,Setup!$A$47:$A$56,0)),IFERROR(INDEX(Setup!$C$60:$C$89,MATCH($B128,Setup!$A$60:$A$89,0)),"")))</f>
        <v/>
      </c>
      <c r="E128" s="42"/>
      <c r="F128" s="42"/>
    </row>
    <row r="129" customFormat="false" ht="15" hidden="false" customHeight="true" outlineLevel="0" collapsed="false">
      <c r="A129" s="42"/>
      <c r="B129" s="42"/>
      <c r="C129" s="42"/>
      <c r="D129" s="28" t="str">
        <f aca="false">IF(OR($B129="",$C129=""),"",$C129*IFERROR(INDEX(Setup!$C$47:$C$56,MATCH($B129,Setup!$A$47:$A$56,0)),IFERROR(INDEX(Setup!$C$60:$C$89,MATCH($B129,Setup!$A$60:$A$89,0)),"")))</f>
        <v/>
      </c>
      <c r="E129" s="42"/>
      <c r="F129" s="42"/>
    </row>
    <row r="130" customFormat="false" ht="15" hidden="false" customHeight="true" outlineLevel="0" collapsed="false">
      <c r="A130" s="42"/>
      <c r="B130" s="42"/>
      <c r="C130" s="42"/>
      <c r="D130" s="28" t="str">
        <f aca="false">IF(OR($B130="",$C130=""),"",$C130*IFERROR(INDEX(Setup!$C$47:$C$56,MATCH($B130,Setup!$A$47:$A$56,0)),IFERROR(INDEX(Setup!$C$60:$C$89,MATCH($B130,Setup!$A$60:$A$89,0)),"")))</f>
        <v/>
      </c>
      <c r="E130" s="42"/>
      <c r="F130" s="42"/>
    </row>
    <row r="131" customFormat="false" ht="15" hidden="false" customHeight="true" outlineLevel="0" collapsed="false">
      <c r="A131" s="42"/>
      <c r="B131" s="42"/>
      <c r="C131" s="42"/>
      <c r="D131" s="28" t="str">
        <f aca="false">IF(OR($B131="",$C131=""),"",$C131*IFERROR(INDEX(Setup!$C$47:$C$56,MATCH($B131,Setup!$A$47:$A$56,0)),IFERROR(INDEX(Setup!$C$60:$C$89,MATCH($B131,Setup!$A$60:$A$89,0)),"")))</f>
        <v/>
      </c>
      <c r="E131" s="42"/>
      <c r="F131" s="42"/>
    </row>
    <row r="132" customFormat="false" ht="15" hidden="false" customHeight="true" outlineLevel="0" collapsed="false">
      <c r="A132" s="42"/>
      <c r="B132" s="42"/>
      <c r="C132" s="42"/>
      <c r="D132" s="28" t="str">
        <f aca="false">IF(OR($B132="",$C132=""),"",$C132*IFERROR(INDEX(Setup!$C$47:$C$56,MATCH($B132,Setup!$A$47:$A$56,0)),IFERROR(INDEX(Setup!$C$60:$C$89,MATCH($B132,Setup!$A$60:$A$89,0)),"")))</f>
        <v/>
      </c>
      <c r="E132" s="42"/>
      <c r="F132" s="42"/>
    </row>
    <row r="133" customFormat="false" ht="15" hidden="false" customHeight="true" outlineLevel="0" collapsed="false">
      <c r="A133" s="42"/>
      <c r="B133" s="42"/>
      <c r="C133" s="42"/>
      <c r="D133" s="28" t="str">
        <f aca="false">IF(OR($B133="",$C133=""),"",$C133*IFERROR(INDEX(Setup!$C$47:$C$56,MATCH($B133,Setup!$A$47:$A$56,0)),IFERROR(INDEX(Setup!$C$60:$C$89,MATCH($B133,Setup!$A$60:$A$89,0)),"")))</f>
        <v/>
      </c>
      <c r="E133" s="42"/>
      <c r="F133" s="42"/>
    </row>
    <row r="134" customFormat="false" ht="15" hidden="false" customHeight="true" outlineLevel="0" collapsed="false">
      <c r="A134" s="42"/>
      <c r="B134" s="42"/>
      <c r="C134" s="42"/>
      <c r="D134" s="28" t="str">
        <f aca="false">IF(OR($B134="",$C134=""),"",$C134*IFERROR(INDEX(Setup!$C$47:$C$56,MATCH($B134,Setup!$A$47:$A$56,0)),IFERROR(INDEX(Setup!$C$60:$C$89,MATCH($B134,Setup!$A$60:$A$89,0)),"")))</f>
        <v/>
      </c>
      <c r="E134" s="42"/>
      <c r="F134" s="42"/>
    </row>
    <row r="135" customFormat="false" ht="15" hidden="false" customHeight="true" outlineLevel="0" collapsed="false">
      <c r="A135" s="42"/>
      <c r="B135" s="42"/>
      <c r="C135" s="42"/>
      <c r="D135" s="28" t="str">
        <f aca="false">IF(OR($B135="",$C135=""),"",$C135*IFERROR(INDEX(Setup!$C$47:$C$56,MATCH($B135,Setup!$A$47:$A$56,0)),IFERROR(INDEX(Setup!$C$60:$C$89,MATCH($B135,Setup!$A$60:$A$89,0)),"")))</f>
        <v/>
      </c>
      <c r="E135" s="42"/>
      <c r="F135" s="42"/>
    </row>
    <row r="136" customFormat="false" ht="15" hidden="false" customHeight="true" outlineLevel="0" collapsed="false">
      <c r="A136" s="42"/>
      <c r="B136" s="42"/>
      <c r="C136" s="42"/>
      <c r="D136" s="28" t="str">
        <f aca="false">IF(OR($B136="",$C136=""),"",$C136*IFERROR(INDEX(Setup!$C$47:$C$56,MATCH($B136,Setup!$A$47:$A$56,0)),IFERROR(INDEX(Setup!$C$60:$C$89,MATCH($B136,Setup!$A$60:$A$89,0)),"")))</f>
        <v/>
      </c>
      <c r="E136" s="42"/>
      <c r="F136" s="42"/>
    </row>
    <row r="137" customFormat="false" ht="15" hidden="false" customHeight="true" outlineLevel="0" collapsed="false">
      <c r="A137" s="42"/>
      <c r="B137" s="42"/>
      <c r="C137" s="42"/>
      <c r="D137" s="28" t="str">
        <f aca="false">IF(OR($B137="",$C137=""),"",$C137*IFERROR(INDEX(Setup!$C$47:$C$56,MATCH($B137,Setup!$A$47:$A$56,0)),IFERROR(INDEX(Setup!$C$60:$C$89,MATCH($B137,Setup!$A$60:$A$89,0)),"")))</f>
        <v/>
      </c>
      <c r="E137" s="42"/>
      <c r="F137" s="42"/>
    </row>
    <row r="138" customFormat="false" ht="15" hidden="false" customHeight="true" outlineLevel="0" collapsed="false">
      <c r="A138" s="42"/>
      <c r="B138" s="42"/>
      <c r="C138" s="42"/>
      <c r="D138" s="28" t="str">
        <f aca="false">IF(OR($B138="",$C138=""),"",$C138*IFERROR(INDEX(Setup!$C$47:$C$56,MATCH($B138,Setup!$A$47:$A$56,0)),IFERROR(INDEX(Setup!$C$60:$C$89,MATCH($B138,Setup!$A$60:$A$89,0)),"")))</f>
        <v/>
      </c>
      <c r="E138" s="42"/>
      <c r="F138" s="42"/>
    </row>
    <row r="139" customFormat="false" ht="15" hidden="false" customHeight="true" outlineLevel="0" collapsed="false">
      <c r="A139" s="42"/>
      <c r="B139" s="42"/>
      <c r="C139" s="42"/>
      <c r="D139" s="28" t="str">
        <f aca="false">IF(OR($B139="",$C139=""),"",$C139*IFERROR(INDEX(Setup!$C$47:$C$56,MATCH($B139,Setup!$A$47:$A$56,0)),IFERROR(INDEX(Setup!$C$60:$C$89,MATCH($B139,Setup!$A$60:$A$89,0)),"")))</f>
        <v/>
      </c>
      <c r="E139" s="42"/>
      <c r="F139" s="42"/>
    </row>
    <row r="140" customFormat="false" ht="15" hidden="false" customHeight="true" outlineLevel="0" collapsed="false">
      <c r="A140" s="42"/>
      <c r="B140" s="42"/>
      <c r="C140" s="42"/>
      <c r="D140" s="28" t="str">
        <f aca="false">IF(OR($B140="",$C140=""),"",$C140*IFERROR(INDEX(Setup!$C$47:$C$56,MATCH($B140,Setup!$A$47:$A$56,0)),IFERROR(INDEX(Setup!$C$60:$C$89,MATCH($B140,Setup!$A$60:$A$89,0)),"")))</f>
        <v/>
      </c>
      <c r="E140" s="42"/>
      <c r="F140" s="42"/>
    </row>
    <row r="141" customFormat="false" ht="15" hidden="false" customHeight="true" outlineLevel="0" collapsed="false">
      <c r="A141" s="42"/>
      <c r="B141" s="42"/>
      <c r="C141" s="42"/>
      <c r="D141" s="28" t="str">
        <f aca="false">IF(OR($B141="",$C141=""),"",$C141*IFERROR(INDEX(Setup!$C$47:$C$56,MATCH($B141,Setup!$A$47:$A$56,0)),IFERROR(INDEX(Setup!$C$60:$C$89,MATCH($B141,Setup!$A$60:$A$89,0)),"")))</f>
        <v/>
      </c>
      <c r="E141" s="42"/>
      <c r="F141" s="42"/>
    </row>
    <row r="142" customFormat="false" ht="15" hidden="false" customHeight="true" outlineLevel="0" collapsed="false">
      <c r="A142" s="42"/>
      <c r="B142" s="42"/>
      <c r="C142" s="42"/>
      <c r="D142" s="28" t="str">
        <f aca="false">IF(OR($B142="",$C142=""),"",$C142*IFERROR(INDEX(Setup!$C$47:$C$56,MATCH($B142,Setup!$A$47:$A$56,0)),IFERROR(INDEX(Setup!$C$60:$C$89,MATCH($B142,Setup!$A$60:$A$89,0)),"")))</f>
        <v/>
      </c>
      <c r="E142" s="42"/>
      <c r="F142" s="42"/>
    </row>
    <row r="143" customFormat="false" ht="15" hidden="false" customHeight="true" outlineLevel="0" collapsed="false">
      <c r="A143" s="42"/>
      <c r="B143" s="42"/>
      <c r="C143" s="42"/>
      <c r="D143" s="28" t="str">
        <f aca="false">IF(OR($B143="",$C143=""),"",$C143*IFERROR(INDEX(Setup!$C$47:$C$56,MATCH($B143,Setup!$A$47:$A$56,0)),IFERROR(INDEX(Setup!$C$60:$C$89,MATCH($B143,Setup!$A$60:$A$89,0)),"")))</f>
        <v/>
      </c>
      <c r="E143" s="42"/>
      <c r="F143" s="42"/>
    </row>
    <row r="144" customFormat="false" ht="15" hidden="false" customHeight="true" outlineLevel="0" collapsed="false">
      <c r="A144" s="42"/>
      <c r="B144" s="42"/>
      <c r="C144" s="42"/>
      <c r="D144" s="28" t="str">
        <f aca="false">IF(OR($B144="",$C144=""),"",$C144*IFERROR(INDEX(Setup!$C$47:$C$56,MATCH($B144,Setup!$A$47:$A$56,0)),IFERROR(INDEX(Setup!$C$60:$C$89,MATCH($B144,Setup!$A$60:$A$89,0)),"")))</f>
        <v/>
      </c>
      <c r="E144" s="42"/>
      <c r="F144" s="42"/>
    </row>
    <row r="145" customFormat="false" ht="15" hidden="false" customHeight="true" outlineLevel="0" collapsed="false">
      <c r="A145" s="42"/>
      <c r="B145" s="42"/>
      <c r="C145" s="42"/>
      <c r="D145" s="28" t="str">
        <f aca="false">IF(OR($B145="",$C145=""),"",$C145*IFERROR(INDEX(Setup!$C$47:$C$56,MATCH($B145,Setup!$A$47:$A$56,0)),IFERROR(INDEX(Setup!$C$60:$C$89,MATCH($B145,Setup!$A$60:$A$89,0)),"")))</f>
        <v/>
      </c>
      <c r="E145" s="42"/>
      <c r="F145" s="42"/>
    </row>
    <row r="146" customFormat="false" ht="15" hidden="false" customHeight="true" outlineLevel="0" collapsed="false">
      <c r="A146" s="42"/>
      <c r="B146" s="42"/>
      <c r="C146" s="42"/>
      <c r="D146" s="28" t="str">
        <f aca="false">IF(OR($B146="",$C146=""),"",$C146*IFERROR(INDEX(Setup!$C$47:$C$56,MATCH($B146,Setup!$A$47:$A$56,0)),IFERROR(INDEX(Setup!$C$60:$C$89,MATCH($B146,Setup!$A$60:$A$89,0)),"")))</f>
        <v/>
      </c>
      <c r="E146" s="42"/>
      <c r="F146" s="42"/>
    </row>
    <row r="147" customFormat="false" ht="15" hidden="false" customHeight="true" outlineLevel="0" collapsed="false">
      <c r="A147" s="42"/>
      <c r="B147" s="42"/>
      <c r="C147" s="42"/>
      <c r="D147" s="28" t="str">
        <f aca="false">IF(OR($B147="",$C147=""),"",$C147*IFERROR(INDEX(Setup!$C$47:$C$56,MATCH($B147,Setup!$A$47:$A$56,0)),IFERROR(INDEX(Setup!$C$60:$C$89,MATCH($B147,Setup!$A$60:$A$89,0)),"")))</f>
        <v/>
      </c>
      <c r="E147" s="42"/>
      <c r="F147" s="42"/>
    </row>
    <row r="148" customFormat="false" ht="15" hidden="false" customHeight="true" outlineLevel="0" collapsed="false">
      <c r="A148" s="42"/>
      <c r="B148" s="42"/>
      <c r="C148" s="42"/>
      <c r="D148" s="28" t="str">
        <f aca="false">IF(OR($B148="",$C148=""),"",$C148*IFERROR(INDEX(Setup!$C$47:$C$56,MATCH($B148,Setup!$A$47:$A$56,0)),IFERROR(INDEX(Setup!$C$60:$C$89,MATCH($B148,Setup!$A$60:$A$89,0)),"")))</f>
        <v/>
      </c>
      <c r="E148" s="42"/>
      <c r="F148" s="42"/>
    </row>
    <row r="149" customFormat="false" ht="15" hidden="false" customHeight="true" outlineLevel="0" collapsed="false">
      <c r="A149" s="42"/>
      <c r="B149" s="42"/>
      <c r="C149" s="42"/>
      <c r="D149" s="28" t="str">
        <f aca="false">IF(OR($B149="",$C149=""),"",$C149*IFERROR(INDEX(Setup!$C$47:$C$56,MATCH($B149,Setup!$A$47:$A$56,0)),IFERROR(INDEX(Setup!$C$60:$C$89,MATCH($B149,Setup!$A$60:$A$89,0)),"")))</f>
        <v/>
      </c>
      <c r="E149" s="42"/>
      <c r="F149" s="42"/>
    </row>
    <row r="150" customFormat="false" ht="15" hidden="false" customHeight="true" outlineLevel="0" collapsed="false">
      <c r="A150" s="42"/>
      <c r="B150" s="42"/>
      <c r="C150" s="42"/>
      <c r="D150" s="28" t="str">
        <f aca="false">IF(OR($B150="",$C150=""),"",$C150*IFERROR(INDEX(Setup!$C$47:$C$56,MATCH($B150,Setup!$A$47:$A$56,0)),IFERROR(INDEX(Setup!$C$60:$C$89,MATCH($B150,Setup!$A$60:$A$89,0)),"")))</f>
        <v/>
      </c>
      <c r="E150" s="42"/>
      <c r="F150" s="42"/>
    </row>
    <row r="151" customFormat="false" ht="15" hidden="false" customHeight="true" outlineLevel="0" collapsed="false">
      <c r="A151" s="42"/>
      <c r="B151" s="42"/>
      <c r="C151" s="42"/>
      <c r="D151" s="28" t="str">
        <f aca="false">IF(OR($B151="",$C151=""),"",$C151*IFERROR(INDEX(Setup!$C$47:$C$56,MATCH($B151,Setup!$A$47:$A$56,0)),IFERROR(INDEX(Setup!$C$60:$C$89,MATCH($B151,Setup!$A$60:$A$89,0)),"")))</f>
        <v/>
      </c>
      <c r="E151" s="42"/>
      <c r="F151" s="42"/>
    </row>
    <row r="152" customFormat="false" ht="15" hidden="false" customHeight="true" outlineLevel="0" collapsed="false">
      <c r="A152" s="42"/>
      <c r="B152" s="42"/>
      <c r="C152" s="42"/>
      <c r="D152" s="28" t="str">
        <f aca="false">IF(OR($B152="",$C152=""),"",$C152*IFERROR(INDEX(Setup!$C$47:$C$56,MATCH($B152,Setup!$A$47:$A$56,0)),IFERROR(INDEX(Setup!$C$60:$C$89,MATCH($B152,Setup!$A$60:$A$89,0)),"")))</f>
        <v/>
      </c>
      <c r="E152" s="42"/>
      <c r="F152" s="42"/>
    </row>
    <row r="153" customFormat="false" ht="15" hidden="false" customHeight="true" outlineLevel="0" collapsed="false">
      <c r="A153" s="42"/>
      <c r="B153" s="42"/>
      <c r="C153" s="42"/>
      <c r="D153" s="28" t="str">
        <f aca="false">IF(OR($B153="",$C153=""),"",$C153*IFERROR(INDEX(Setup!$C$47:$C$56,MATCH($B153,Setup!$A$47:$A$56,0)),IFERROR(INDEX(Setup!$C$60:$C$89,MATCH($B153,Setup!$A$60:$A$89,0)),"")))</f>
        <v/>
      </c>
      <c r="E153" s="42"/>
      <c r="F153" s="42"/>
    </row>
    <row r="154" customFormat="false" ht="15" hidden="false" customHeight="true" outlineLevel="0" collapsed="false">
      <c r="A154" s="42"/>
      <c r="B154" s="42"/>
      <c r="C154" s="42"/>
      <c r="D154" s="28" t="str">
        <f aca="false">IF(OR($B154="",$C154=""),"",$C154*IFERROR(INDEX(Setup!$C$47:$C$56,MATCH($B154,Setup!$A$47:$A$56,0)),IFERROR(INDEX(Setup!$C$60:$C$89,MATCH($B154,Setup!$A$60:$A$89,0)),"")))</f>
        <v/>
      </c>
      <c r="E154" s="42"/>
      <c r="F154" s="42"/>
    </row>
    <row r="155" customFormat="false" ht="15" hidden="false" customHeight="true" outlineLevel="0" collapsed="false">
      <c r="A155" s="42"/>
      <c r="B155" s="42"/>
      <c r="C155" s="42"/>
      <c r="D155" s="28" t="str">
        <f aca="false">IF(OR($B155="",$C155=""),"",$C155*IFERROR(INDEX(Setup!$C$47:$C$56,MATCH($B155,Setup!$A$47:$A$56,0)),IFERROR(INDEX(Setup!$C$60:$C$89,MATCH($B155,Setup!$A$60:$A$89,0)),"")))</f>
        <v/>
      </c>
      <c r="E155" s="42"/>
      <c r="F155" s="42"/>
    </row>
    <row r="156" customFormat="false" ht="15" hidden="false" customHeight="true" outlineLevel="0" collapsed="false">
      <c r="A156" s="42"/>
      <c r="B156" s="42"/>
      <c r="C156" s="42"/>
      <c r="D156" s="28" t="str">
        <f aca="false">IF(OR($B156="",$C156=""),"",$C156*IFERROR(INDEX(Setup!$C$47:$C$56,MATCH($B156,Setup!$A$47:$A$56,0)),IFERROR(INDEX(Setup!$C$60:$C$89,MATCH($B156,Setup!$A$60:$A$89,0)),"")))</f>
        <v/>
      </c>
      <c r="E156" s="42"/>
      <c r="F156" s="42"/>
    </row>
    <row r="157" customFormat="false" ht="15" hidden="false" customHeight="true" outlineLevel="0" collapsed="false">
      <c r="A157" s="42"/>
      <c r="B157" s="42"/>
      <c r="C157" s="42"/>
      <c r="D157" s="28" t="str">
        <f aca="false">IF(OR($B157="",$C157=""),"",$C157*IFERROR(INDEX(Setup!$C$47:$C$56,MATCH($B157,Setup!$A$47:$A$56,0)),IFERROR(INDEX(Setup!$C$60:$C$89,MATCH($B157,Setup!$A$60:$A$89,0)),"")))</f>
        <v/>
      </c>
      <c r="E157" s="42"/>
      <c r="F157" s="42"/>
    </row>
    <row r="158" customFormat="false" ht="15" hidden="false" customHeight="true" outlineLevel="0" collapsed="false">
      <c r="A158" s="42"/>
      <c r="B158" s="42"/>
      <c r="C158" s="42"/>
      <c r="D158" s="28" t="str">
        <f aca="false">IF(OR($B158="",$C158=""),"",$C158*IFERROR(INDEX(Setup!$C$47:$C$56,MATCH($B158,Setup!$A$47:$A$56,0)),IFERROR(INDEX(Setup!$C$60:$C$89,MATCH($B158,Setup!$A$60:$A$89,0)),"")))</f>
        <v/>
      </c>
      <c r="E158" s="42"/>
      <c r="F158" s="42"/>
    </row>
    <row r="159" customFormat="false" ht="15" hidden="false" customHeight="true" outlineLevel="0" collapsed="false">
      <c r="A159" s="42"/>
      <c r="B159" s="42"/>
      <c r="C159" s="42"/>
      <c r="D159" s="28" t="str">
        <f aca="false">IF(OR($B159="",$C159=""),"",$C159*IFERROR(INDEX(Setup!$C$47:$C$56,MATCH($B159,Setup!$A$47:$A$56,0)),IFERROR(INDEX(Setup!$C$60:$C$89,MATCH($B159,Setup!$A$60:$A$89,0)),"")))</f>
        <v/>
      </c>
      <c r="E159" s="42"/>
      <c r="F159" s="42"/>
    </row>
    <row r="160" customFormat="false" ht="15" hidden="false" customHeight="true" outlineLevel="0" collapsed="false">
      <c r="A160" s="42"/>
      <c r="B160" s="42"/>
      <c r="C160" s="42"/>
      <c r="D160" s="28" t="str">
        <f aca="false">IF(OR($B160="",$C160=""),"",$C160*IFERROR(INDEX(Setup!$C$47:$C$56,MATCH($B160,Setup!$A$47:$A$56,0)),IFERROR(INDEX(Setup!$C$60:$C$89,MATCH($B160,Setup!$A$60:$A$89,0)),"")))</f>
        <v/>
      </c>
      <c r="E160" s="42"/>
      <c r="F160" s="42"/>
    </row>
    <row r="161" customFormat="false" ht="15" hidden="false" customHeight="true" outlineLevel="0" collapsed="false">
      <c r="A161" s="42"/>
      <c r="B161" s="42"/>
      <c r="C161" s="42"/>
      <c r="D161" s="28" t="str">
        <f aca="false">IF(OR($B161="",$C161=""),"",$C161*IFERROR(INDEX(Setup!$C$47:$C$56,MATCH($B161,Setup!$A$47:$A$56,0)),IFERROR(INDEX(Setup!$C$60:$C$89,MATCH($B161,Setup!$A$60:$A$89,0)),"")))</f>
        <v/>
      </c>
      <c r="E161" s="42"/>
      <c r="F161" s="42"/>
    </row>
    <row r="162" customFormat="false" ht="15" hidden="false" customHeight="true" outlineLevel="0" collapsed="false">
      <c r="A162" s="42"/>
      <c r="B162" s="42"/>
      <c r="C162" s="42"/>
      <c r="D162" s="28" t="str">
        <f aca="false">IF(OR($B162="",$C162=""),"",$C162*IFERROR(INDEX(Setup!$C$47:$C$56,MATCH($B162,Setup!$A$47:$A$56,0)),IFERROR(INDEX(Setup!$C$60:$C$89,MATCH($B162,Setup!$A$60:$A$89,0)),"")))</f>
        <v/>
      </c>
      <c r="E162" s="42"/>
      <c r="F162" s="42"/>
    </row>
    <row r="163" customFormat="false" ht="15" hidden="false" customHeight="true" outlineLevel="0" collapsed="false">
      <c r="A163" s="42"/>
      <c r="B163" s="42"/>
      <c r="C163" s="42"/>
      <c r="D163" s="28" t="str">
        <f aca="false">IF(OR($B163="",$C163=""),"",$C163*IFERROR(INDEX(Setup!$C$47:$C$56,MATCH($B163,Setup!$A$47:$A$56,0)),IFERROR(INDEX(Setup!$C$60:$C$89,MATCH($B163,Setup!$A$60:$A$89,0)),"")))</f>
        <v/>
      </c>
      <c r="E163" s="42"/>
      <c r="F163" s="42"/>
    </row>
    <row r="164" customFormat="false" ht="15" hidden="false" customHeight="true" outlineLevel="0" collapsed="false">
      <c r="A164" s="42"/>
      <c r="B164" s="42"/>
      <c r="C164" s="42"/>
      <c r="D164" s="28" t="str">
        <f aca="false">IF(OR($B164="",$C164=""),"",$C164*IFERROR(INDEX(Setup!$C$47:$C$56,MATCH($B164,Setup!$A$47:$A$56,0)),IFERROR(INDEX(Setup!$C$60:$C$89,MATCH($B164,Setup!$A$60:$A$89,0)),"")))</f>
        <v/>
      </c>
      <c r="E164" s="42"/>
      <c r="F164" s="42"/>
    </row>
    <row r="165" customFormat="false" ht="15" hidden="false" customHeight="true" outlineLevel="0" collapsed="false">
      <c r="A165" s="42"/>
      <c r="B165" s="42"/>
      <c r="C165" s="42"/>
      <c r="D165" s="28" t="str">
        <f aca="false">IF(OR($B165="",$C165=""),"",$C165*IFERROR(INDEX(Setup!$C$47:$C$56,MATCH($B165,Setup!$A$47:$A$56,0)),IFERROR(INDEX(Setup!$C$60:$C$89,MATCH($B165,Setup!$A$60:$A$89,0)),"")))</f>
        <v/>
      </c>
      <c r="E165" s="42"/>
      <c r="F165" s="42"/>
    </row>
    <row r="166" customFormat="false" ht="15" hidden="false" customHeight="true" outlineLevel="0" collapsed="false">
      <c r="A166" s="42"/>
      <c r="B166" s="42"/>
      <c r="C166" s="42"/>
      <c r="D166" s="28" t="str">
        <f aca="false">IF(OR($B166="",$C166=""),"",$C166*IFERROR(INDEX(Setup!$C$47:$C$56,MATCH($B166,Setup!$A$47:$A$56,0)),IFERROR(INDEX(Setup!$C$60:$C$89,MATCH($B166,Setup!$A$60:$A$89,0)),"")))</f>
        <v/>
      </c>
      <c r="E166" s="42"/>
      <c r="F166" s="42"/>
    </row>
    <row r="167" customFormat="false" ht="15" hidden="false" customHeight="true" outlineLevel="0" collapsed="false">
      <c r="A167" s="42"/>
      <c r="B167" s="42"/>
      <c r="C167" s="42"/>
      <c r="D167" s="28" t="str">
        <f aca="false">IF(OR($B167="",$C167=""),"",$C167*IFERROR(INDEX(Setup!$C$47:$C$56,MATCH($B167,Setup!$A$47:$A$56,0)),IFERROR(INDEX(Setup!$C$60:$C$89,MATCH($B167,Setup!$A$60:$A$89,0)),"")))</f>
        <v/>
      </c>
      <c r="E167" s="42"/>
      <c r="F167" s="42"/>
    </row>
    <row r="168" customFormat="false" ht="15" hidden="false" customHeight="true" outlineLevel="0" collapsed="false">
      <c r="A168" s="42"/>
      <c r="B168" s="42"/>
      <c r="C168" s="42"/>
      <c r="D168" s="28" t="str">
        <f aca="false">IF(OR($B168="",$C168=""),"",$C168*IFERROR(INDEX(Setup!$C$47:$C$56,MATCH($B168,Setup!$A$47:$A$56,0)),IFERROR(INDEX(Setup!$C$60:$C$89,MATCH($B168,Setup!$A$60:$A$89,0)),"")))</f>
        <v/>
      </c>
      <c r="E168" s="42"/>
      <c r="F168" s="42"/>
    </row>
    <row r="169" customFormat="false" ht="15" hidden="false" customHeight="true" outlineLevel="0" collapsed="false">
      <c r="A169" s="42"/>
      <c r="B169" s="42"/>
      <c r="C169" s="42"/>
      <c r="D169" s="28" t="str">
        <f aca="false">IF(OR($B169="",$C169=""),"",$C169*IFERROR(INDEX(Setup!$C$47:$C$56,MATCH($B169,Setup!$A$47:$A$56,0)),IFERROR(INDEX(Setup!$C$60:$C$89,MATCH($B169,Setup!$A$60:$A$89,0)),"")))</f>
        <v/>
      </c>
      <c r="E169" s="42"/>
      <c r="F169" s="42"/>
    </row>
    <row r="170" customFormat="false" ht="15" hidden="false" customHeight="true" outlineLevel="0" collapsed="false">
      <c r="A170" s="42"/>
      <c r="B170" s="42"/>
      <c r="C170" s="42"/>
      <c r="D170" s="28" t="str">
        <f aca="false">IF(OR($B170="",$C170=""),"",$C170*IFERROR(INDEX(Setup!$C$47:$C$56,MATCH($B170,Setup!$A$47:$A$56,0)),IFERROR(INDEX(Setup!$C$60:$C$89,MATCH($B170,Setup!$A$60:$A$89,0)),"")))</f>
        <v/>
      </c>
      <c r="E170" s="42"/>
      <c r="F170" s="42"/>
    </row>
    <row r="171" customFormat="false" ht="15" hidden="false" customHeight="true" outlineLevel="0" collapsed="false">
      <c r="A171" s="42"/>
      <c r="B171" s="42"/>
      <c r="C171" s="42"/>
      <c r="D171" s="28" t="str">
        <f aca="false">IF(OR($B171="",$C171=""),"",$C171*IFERROR(INDEX(Setup!$C$47:$C$56,MATCH($B171,Setup!$A$47:$A$56,0)),IFERROR(INDEX(Setup!$C$60:$C$89,MATCH($B171,Setup!$A$60:$A$89,0)),"")))</f>
        <v/>
      </c>
      <c r="E171" s="42"/>
      <c r="F171" s="42"/>
    </row>
    <row r="172" customFormat="false" ht="15" hidden="false" customHeight="true" outlineLevel="0" collapsed="false">
      <c r="A172" s="42"/>
      <c r="B172" s="42"/>
      <c r="C172" s="42"/>
      <c r="D172" s="28" t="str">
        <f aca="false">IF(OR($B172="",$C172=""),"",$C172*IFERROR(INDEX(Setup!$C$47:$C$56,MATCH($B172,Setup!$A$47:$A$56,0)),IFERROR(INDEX(Setup!$C$60:$C$89,MATCH($B172,Setup!$A$60:$A$89,0)),"")))</f>
        <v/>
      </c>
      <c r="E172" s="42"/>
      <c r="F172" s="42"/>
    </row>
    <row r="173" customFormat="false" ht="15" hidden="false" customHeight="true" outlineLevel="0" collapsed="false">
      <c r="A173" s="42"/>
      <c r="B173" s="42"/>
      <c r="C173" s="42"/>
      <c r="D173" s="28" t="str">
        <f aca="false">IF(OR($B173="",$C173=""),"",$C173*IFERROR(INDEX(Setup!$C$47:$C$56,MATCH($B173,Setup!$A$47:$A$56,0)),IFERROR(INDEX(Setup!$C$60:$C$89,MATCH($B173,Setup!$A$60:$A$89,0)),"")))</f>
        <v/>
      </c>
      <c r="E173" s="42"/>
      <c r="F173" s="42"/>
    </row>
    <row r="174" customFormat="false" ht="15" hidden="false" customHeight="true" outlineLevel="0" collapsed="false">
      <c r="A174" s="42"/>
      <c r="B174" s="42"/>
      <c r="C174" s="42"/>
      <c r="D174" s="28" t="str">
        <f aca="false">IF(OR($B174="",$C174=""),"",$C174*IFERROR(INDEX(Setup!$C$47:$C$56,MATCH($B174,Setup!$A$47:$A$56,0)),IFERROR(INDEX(Setup!$C$60:$C$89,MATCH($B174,Setup!$A$60:$A$89,0)),"")))</f>
        <v/>
      </c>
      <c r="E174" s="42"/>
      <c r="F174" s="42"/>
    </row>
    <row r="175" customFormat="false" ht="15" hidden="false" customHeight="true" outlineLevel="0" collapsed="false">
      <c r="A175" s="42"/>
      <c r="B175" s="42"/>
      <c r="C175" s="42"/>
      <c r="D175" s="28" t="str">
        <f aca="false">IF(OR($B175="",$C175=""),"",$C175*IFERROR(INDEX(Setup!$C$47:$C$56,MATCH($B175,Setup!$A$47:$A$56,0)),IFERROR(INDEX(Setup!$C$60:$C$89,MATCH($B175,Setup!$A$60:$A$89,0)),"")))</f>
        <v/>
      </c>
      <c r="E175" s="42"/>
      <c r="F175" s="42"/>
    </row>
    <row r="176" customFormat="false" ht="15" hidden="false" customHeight="true" outlineLevel="0" collapsed="false">
      <c r="A176" s="42"/>
      <c r="B176" s="42"/>
      <c r="C176" s="42"/>
      <c r="D176" s="28" t="str">
        <f aca="false">IF(OR($B176="",$C176=""),"",$C176*IFERROR(INDEX(Setup!$C$47:$C$56,MATCH($B176,Setup!$A$47:$A$56,0)),IFERROR(INDEX(Setup!$C$60:$C$89,MATCH($B176,Setup!$A$60:$A$89,0)),"")))</f>
        <v/>
      </c>
      <c r="E176" s="42"/>
      <c r="F176" s="42"/>
    </row>
    <row r="177" customFormat="false" ht="15" hidden="false" customHeight="true" outlineLevel="0" collapsed="false">
      <c r="A177" s="42"/>
      <c r="B177" s="42"/>
      <c r="C177" s="42"/>
      <c r="D177" s="28" t="str">
        <f aca="false">IF(OR($B177="",$C177=""),"",$C177*IFERROR(INDEX(Setup!$C$47:$C$56,MATCH($B177,Setup!$A$47:$A$56,0)),IFERROR(INDEX(Setup!$C$60:$C$89,MATCH($B177,Setup!$A$60:$A$89,0)),"")))</f>
        <v/>
      </c>
      <c r="E177" s="42"/>
      <c r="F177" s="42"/>
    </row>
    <row r="178" customFormat="false" ht="15" hidden="false" customHeight="true" outlineLevel="0" collapsed="false">
      <c r="A178" s="42"/>
      <c r="B178" s="42"/>
      <c r="C178" s="42"/>
      <c r="D178" s="28" t="str">
        <f aca="false">IF(OR($B178="",$C178=""),"",$C178*IFERROR(INDEX(Setup!$C$47:$C$56,MATCH($B178,Setup!$A$47:$A$56,0)),IFERROR(INDEX(Setup!$C$60:$C$89,MATCH($B178,Setup!$A$60:$A$89,0)),"")))</f>
        <v/>
      </c>
      <c r="E178" s="42"/>
      <c r="F178" s="42"/>
    </row>
    <row r="179" customFormat="false" ht="15" hidden="false" customHeight="true" outlineLevel="0" collapsed="false">
      <c r="A179" s="42"/>
      <c r="B179" s="42"/>
      <c r="C179" s="42"/>
      <c r="D179" s="28" t="str">
        <f aca="false">IF(OR($B179="",$C179=""),"",$C179*IFERROR(INDEX(Setup!$C$47:$C$56,MATCH($B179,Setup!$A$47:$A$56,0)),IFERROR(INDEX(Setup!$C$60:$C$89,MATCH($B179,Setup!$A$60:$A$89,0)),"")))</f>
        <v/>
      </c>
      <c r="E179" s="42"/>
      <c r="F179" s="42"/>
    </row>
    <row r="180" customFormat="false" ht="15" hidden="false" customHeight="true" outlineLevel="0" collapsed="false">
      <c r="A180" s="42"/>
      <c r="B180" s="42"/>
      <c r="C180" s="42"/>
      <c r="D180" s="28" t="str">
        <f aca="false">IF(OR($B180="",$C180=""),"",$C180*IFERROR(INDEX(Setup!$C$47:$C$56,MATCH($B180,Setup!$A$47:$A$56,0)),IFERROR(INDEX(Setup!$C$60:$C$89,MATCH($B180,Setup!$A$60:$A$89,0)),"")))</f>
        <v/>
      </c>
      <c r="E180" s="42"/>
      <c r="F180" s="42"/>
    </row>
    <row r="181" customFormat="false" ht="15" hidden="false" customHeight="true" outlineLevel="0" collapsed="false">
      <c r="A181" s="42"/>
      <c r="B181" s="42"/>
      <c r="C181" s="42"/>
      <c r="D181" s="28" t="str">
        <f aca="false">IF(OR($B181="",$C181=""),"",$C181*IFERROR(INDEX(Setup!$C$47:$C$56,MATCH($B181,Setup!$A$47:$A$56,0)),IFERROR(INDEX(Setup!$C$60:$C$89,MATCH($B181,Setup!$A$60:$A$89,0)),"")))</f>
        <v/>
      </c>
      <c r="E181" s="42"/>
      <c r="F181" s="42"/>
    </row>
    <row r="182" customFormat="false" ht="15" hidden="false" customHeight="true" outlineLevel="0" collapsed="false">
      <c r="A182" s="42"/>
      <c r="B182" s="42"/>
      <c r="C182" s="42"/>
      <c r="D182" s="28" t="str">
        <f aca="false">IF(OR($B182="",$C182=""),"",$C182*IFERROR(INDEX(Setup!$C$47:$C$56,MATCH($B182,Setup!$A$47:$A$56,0)),IFERROR(INDEX(Setup!$C$60:$C$89,MATCH($B182,Setup!$A$60:$A$89,0)),"")))</f>
        <v/>
      </c>
      <c r="E182" s="42"/>
      <c r="F182" s="42"/>
    </row>
    <row r="183" customFormat="false" ht="15" hidden="false" customHeight="true" outlineLevel="0" collapsed="false">
      <c r="A183" s="42"/>
      <c r="B183" s="42"/>
      <c r="C183" s="42"/>
      <c r="D183" s="28" t="str">
        <f aca="false">IF(OR($B183="",$C183=""),"",$C183*IFERROR(INDEX(Setup!$C$47:$C$56,MATCH($B183,Setup!$A$47:$A$56,0)),IFERROR(INDEX(Setup!$C$60:$C$89,MATCH($B183,Setup!$A$60:$A$89,0)),"")))</f>
        <v/>
      </c>
      <c r="E183" s="42"/>
      <c r="F183" s="42"/>
    </row>
    <row r="184" customFormat="false" ht="15" hidden="false" customHeight="true" outlineLevel="0" collapsed="false">
      <c r="A184" s="42"/>
      <c r="B184" s="42"/>
      <c r="C184" s="42"/>
      <c r="D184" s="28" t="str">
        <f aca="false">IF(OR($B184="",$C184=""),"",$C184*IFERROR(INDEX(Setup!$C$47:$C$56,MATCH($B184,Setup!$A$47:$A$56,0)),IFERROR(INDEX(Setup!$C$60:$C$89,MATCH($B184,Setup!$A$60:$A$89,0)),"")))</f>
        <v/>
      </c>
      <c r="E184" s="42"/>
      <c r="F184" s="42"/>
    </row>
    <row r="185" customFormat="false" ht="15" hidden="false" customHeight="true" outlineLevel="0" collapsed="false">
      <c r="A185" s="42"/>
      <c r="B185" s="42"/>
      <c r="C185" s="42"/>
      <c r="D185" s="28" t="str">
        <f aca="false">IF(OR($B185="",$C185=""),"",$C185*IFERROR(INDEX(Setup!$C$47:$C$56,MATCH($B185,Setup!$A$47:$A$56,0)),IFERROR(INDEX(Setup!$C$60:$C$89,MATCH($B185,Setup!$A$60:$A$89,0)),"")))</f>
        <v/>
      </c>
      <c r="E185" s="42"/>
      <c r="F185" s="42"/>
    </row>
    <row r="186" customFormat="false" ht="15" hidden="false" customHeight="true" outlineLevel="0" collapsed="false">
      <c r="A186" s="42"/>
      <c r="B186" s="42"/>
      <c r="C186" s="42"/>
      <c r="D186" s="28" t="str">
        <f aca="false">IF(OR($B186="",$C186=""),"",$C186*IFERROR(INDEX(Setup!$C$47:$C$56,MATCH($B186,Setup!$A$47:$A$56,0)),IFERROR(INDEX(Setup!$C$60:$C$89,MATCH($B186,Setup!$A$60:$A$89,0)),"")))</f>
        <v/>
      </c>
      <c r="E186" s="42"/>
      <c r="F186" s="42"/>
    </row>
    <row r="187" customFormat="false" ht="15" hidden="false" customHeight="true" outlineLevel="0" collapsed="false">
      <c r="A187" s="42"/>
      <c r="B187" s="42"/>
      <c r="C187" s="42"/>
      <c r="D187" s="28" t="str">
        <f aca="false">IF(OR($B187="",$C187=""),"",$C187*IFERROR(INDEX(Setup!$C$47:$C$56,MATCH($B187,Setup!$A$47:$A$56,0)),IFERROR(INDEX(Setup!$C$60:$C$89,MATCH($B187,Setup!$A$60:$A$89,0)),"")))</f>
        <v/>
      </c>
      <c r="E187" s="42"/>
      <c r="F187" s="42"/>
    </row>
    <row r="188" customFormat="false" ht="15" hidden="false" customHeight="true" outlineLevel="0" collapsed="false">
      <c r="A188" s="42"/>
      <c r="B188" s="42"/>
      <c r="C188" s="42"/>
      <c r="D188" s="28" t="str">
        <f aca="false">IF(OR($B188="",$C188=""),"",$C188*IFERROR(INDEX(Setup!$C$47:$C$56,MATCH($B188,Setup!$A$47:$A$56,0)),IFERROR(INDEX(Setup!$C$60:$C$89,MATCH($B188,Setup!$A$60:$A$89,0)),"")))</f>
        <v/>
      </c>
      <c r="E188" s="42"/>
      <c r="F188" s="42"/>
    </row>
    <row r="189" customFormat="false" ht="15" hidden="false" customHeight="true" outlineLevel="0" collapsed="false">
      <c r="A189" s="42"/>
      <c r="B189" s="42"/>
      <c r="C189" s="42"/>
      <c r="D189" s="28" t="str">
        <f aca="false">IF(OR($B189="",$C189=""),"",$C189*IFERROR(INDEX(Setup!$C$47:$C$56,MATCH($B189,Setup!$A$47:$A$56,0)),IFERROR(INDEX(Setup!$C$60:$C$89,MATCH($B189,Setup!$A$60:$A$89,0)),"")))</f>
        <v/>
      </c>
      <c r="E189" s="42"/>
      <c r="F189" s="42"/>
    </row>
    <row r="190" customFormat="false" ht="15" hidden="false" customHeight="true" outlineLevel="0" collapsed="false">
      <c r="A190" s="42"/>
      <c r="B190" s="42"/>
      <c r="C190" s="42"/>
      <c r="D190" s="28" t="str">
        <f aca="false">IF(OR($B190="",$C190=""),"",$C190*IFERROR(INDEX(Setup!$C$47:$C$56,MATCH($B190,Setup!$A$47:$A$56,0)),IFERROR(INDEX(Setup!$C$60:$C$89,MATCH($B190,Setup!$A$60:$A$89,0)),"")))</f>
        <v/>
      </c>
      <c r="E190" s="42"/>
      <c r="F190" s="42"/>
    </row>
    <row r="191" customFormat="false" ht="15" hidden="false" customHeight="true" outlineLevel="0" collapsed="false">
      <c r="A191" s="42"/>
      <c r="B191" s="42"/>
      <c r="C191" s="42"/>
      <c r="D191" s="28" t="str">
        <f aca="false">IF(OR($B191="",$C191=""),"",$C191*IFERROR(INDEX(Setup!$C$47:$C$56,MATCH($B191,Setup!$A$47:$A$56,0)),IFERROR(INDEX(Setup!$C$60:$C$89,MATCH($B191,Setup!$A$60:$A$89,0)),"")))</f>
        <v/>
      </c>
      <c r="E191" s="42"/>
      <c r="F191" s="42"/>
    </row>
    <row r="192" customFormat="false" ht="15" hidden="false" customHeight="true" outlineLevel="0" collapsed="false">
      <c r="A192" s="42"/>
      <c r="B192" s="42"/>
      <c r="C192" s="42"/>
      <c r="D192" s="28" t="str">
        <f aca="false">IF(OR($B192="",$C192=""),"",$C192*IFERROR(INDEX(Setup!$C$47:$C$56,MATCH($B192,Setup!$A$47:$A$56,0)),IFERROR(INDEX(Setup!$C$60:$C$89,MATCH($B192,Setup!$A$60:$A$89,0)),"")))</f>
        <v/>
      </c>
      <c r="E192" s="42"/>
      <c r="F192" s="42"/>
    </row>
    <row r="193" customFormat="false" ht="15" hidden="false" customHeight="true" outlineLevel="0" collapsed="false">
      <c r="A193" s="42"/>
      <c r="B193" s="42"/>
      <c r="C193" s="42"/>
      <c r="D193" s="28" t="str">
        <f aca="false">IF(OR($B193="",$C193=""),"",$C193*IFERROR(INDEX(Setup!$C$47:$C$56,MATCH($B193,Setup!$A$47:$A$56,0)),IFERROR(INDEX(Setup!$C$60:$C$89,MATCH($B193,Setup!$A$60:$A$89,0)),"")))</f>
        <v/>
      </c>
      <c r="E193" s="42"/>
      <c r="F193" s="42"/>
    </row>
    <row r="194" customFormat="false" ht="15" hidden="false" customHeight="true" outlineLevel="0" collapsed="false">
      <c r="A194" s="42"/>
      <c r="B194" s="42"/>
      <c r="C194" s="42"/>
      <c r="D194" s="28" t="str">
        <f aca="false">IF(OR($B194="",$C194=""),"",$C194*IFERROR(INDEX(Setup!$C$47:$C$56,MATCH($B194,Setup!$A$47:$A$56,0)),IFERROR(INDEX(Setup!$C$60:$C$89,MATCH($B194,Setup!$A$60:$A$89,0)),"")))</f>
        <v/>
      </c>
      <c r="E194" s="42"/>
      <c r="F194" s="42"/>
    </row>
    <row r="195" customFormat="false" ht="15" hidden="false" customHeight="true" outlineLevel="0" collapsed="false">
      <c r="A195" s="42"/>
      <c r="B195" s="42"/>
      <c r="C195" s="42"/>
      <c r="D195" s="28" t="str">
        <f aca="false">IF(OR($B195="",$C195=""),"",$C195*IFERROR(INDEX(Setup!$C$47:$C$56,MATCH($B195,Setup!$A$47:$A$56,0)),IFERROR(INDEX(Setup!$C$60:$C$89,MATCH($B195,Setup!$A$60:$A$89,0)),"")))</f>
        <v/>
      </c>
      <c r="E195" s="42"/>
      <c r="F195" s="42"/>
    </row>
    <row r="196" customFormat="false" ht="15" hidden="false" customHeight="true" outlineLevel="0" collapsed="false">
      <c r="A196" s="42"/>
      <c r="B196" s="42"/>
      <c r="C196" s="42"/>
      <c r="D196" s="28" t="str">
        <f aca="false">IF(OR($B196="",$C196=""),"",$C196*IFERROR(INDEX(Setup!$C$47:$C$56,MATCH($B196,Setup!$A$47:$A$56,0)),IFERROR(INDEX(Setup!$C$60:$C$89,MATCH($B196,Setup!$A$60:$A$89,0)),"")))</f>
        <v/>
      </c>
      <c r="E196" s="42"/>
      <c r="F196" s="42"/>
    </row>
    <row r="197" customFormat="false" ht="15" hidden="false" customHeight="true" outlineLevel="0" collapsed="false">
      <c r="A197" s="42"/>
      <c r="B197" s="42"/>
      <c r="C197" s="42"/>
      <c r="D197" s="28" t="str">
        <f aca="false">IF(OR($B197="",$C197=""),"",$C197*IFERROR(INDEX(Setup!$C$47:$C$56,MATCH($B197,Setup!$A$47:$A$56,0)),IFERROR(INDEX(Setup!$C$60:$C$89,MATCH($B197,Setup!$A$60:$A$89,0)),"")))</f>
        <v/>
      </c>
      <c r="E197" s="42"/>
      <c r="F197" s="42"/>
    </row>
    <row r="198" customFormat="false" ht="15" hidden="false" customHeight="true" outlineLevel="0" collapsed="false">
      <c r="A198" s="42"/>
      <c r="B198" s="42"/>
      <c r="C198" s="42"/>
      <c r="D198" s="28" t="str">
        <f aca="false">IF(OR($B198="",$C198=""),"",$C198*IFERROR(INDEX(Setup!$C$47:$C$56,MATCH($B198,Setup!$A$47:$A$56,0)),IFERROR(INDEX(Setup!$C$60:$C$89,MATCH($B198,Setup!$A$60:$A$89,0)),"")))</f>
        <v/>
      </c>
      <c r="E198" s="42"/>
      <c r="F198" s="42"/>
    </row>
    <row r="199" customFormat="false" ht="15" hidden="false" customHeight="true" outlineLevel="0" collapsed="false">
      <c r="A199" s="42"/>
      <c r="B199" s="42"/>
      <c r="C199" s="42"/>
      <c r="D199" s="28" t="str">
        <f aca="false">IF(OR($B199="",$C199=""),"",$C199*IFERROR(INDEX(Setup!$C$47:$C$56,MATCH($B199,Setup!$A$47:$A$56,0)),IFERROR(INDEX(Setup!$C$60:$C$89,MATCH($B199,Setup!$A$60:$A$89,0)),"")))</f>
        <v/>
      </c>
      <c r="E199" s="42"/>
      <c r="F199" s="42"/>
    </row>
    <row r="200" customFormat="false" ht="15" hidden="false" customHeight="true" outlineLevel="0" collapsed="false">
      <c r="A200" s="42"/>
      <c r="B200" s="42"/>
      <c r="C200" s="42"/>
      <c r="D200" s="28" t="str">
        <f aca="false">IF(OR($B200="",$C200=""),"",$C200*IFERROR(INDEX(Setup!$C$47:$C$56,MATCH($B200,Setup!$A$47:$A$56,0)),IFERROR(INDEX(Setup!$C$60:$C$89,MATCH($B200,Setup!$A$60:$A$89,0)),"")))</f>
        <v/>
      </c>
      <c r="E200" s="42"/>
      <c r="F200" s="42"/>
    </row>
    <row r="201" customFormat="false" ht="15" hidden="false" customHeight="true" outlineLevel="0" collapsed="false">
      <c r="A201" s="42"/>
      <c r="B201" s="42"/>
      <c r="C201" s="42"/>
      <c r="D201" s="28" t="str">
        <f aca="false">IF(OR($B201="",$C201=""),"",$C201*IFERROR(INDEX(Setup!$C$47:$C$56,MATCH($B201,Setup!$A$47:$A$56,0)),IFERROR(INDEX(Setup!$C$60:$C$89,MATCH($B201,Setup!$A$60:$A$89,0)),"")))</f>
        <v/>
      </c>
      <c r="E201" s="42"/>
      <c r="F201" s="42"/>
    </row>
    <row r="202" customFormat="false" ht="15" hidden="false" customHeight="true" outlineLevel="0" collapsed="false">
      <c r="A202" s="42"/>
      <c r="B202" s="42"/>
      <c r="C202" s="42"/>
      <c r="D202" s="28" t="str">
        <f aca="false">IF(OR($B202="",$C202=""),"",$C202*IFERROR(INDEX(Setup!$C$47:$C$56,MATCH($B202,Setup!$A$47:$A$56,0)),IFERROR(INDEX(Setup!$C$60:$C$89,MATCH($B202,Setup!$A$60:$A$89,0)),"")))</f>
        <v/>
      </c>
      <c r="E202" s="42"/>
      <c r="F202" s="42"/>
    </row>
    <row r="203" customFormat="false" ht="15" hidden="false" customHeight="true" outlineLevel="0" collapsed="false">
      <c r="A203" s="42"/>
      <c r="B203" s="42"/>
      <c r="C203" s="42"/>
      <c r="D203" s="28" t="str">
        <f aca="false">IF(OR($B203="",$C203=""),"",$C203*IFERROR(INDEX(Setup!$C$47:$C$56,MATCH($B203,Setup!$A$47:$A$56,0)),IFERROR(INDEX(Setup!$C$60:$C$89,MATCH($B203,Setup!$A$60:$A$89,0)),"")))</f>
        <v/>
      </c>
      <c r="E203" s="42"/>
      <c r="F203" s="42"/>
    </row>
    <row r="204" customFormat="false" ht="15" hidden="false" customHeight="true" outlineLevel="0" collapsed="false">
      <c r="A204" s="42"/>
      <c r="B204" s="42"/>
      <c r="C204" s="42"/>
      <c r="D204" s="28" t="str">
        <f aca="false">IF(OR($B204="",$C204=""),"",$C204*IFERROR(INDEX(Setup!$C$47:$C$56,MATCH($B204,Setup!$A$47:$A$56,0)),IFERROR(INDEX(Setup!$C$60:$C$89,MATCH($B204,Setup!$A$60:$A$89,0)),"")))</f>
        <v/>
      </c>
      <c r="E204" s="42"/>
      <c r="F204" s="42"/>
    </row>
    <row r="205" customFormat="false" ht="15" hidden="false" customHeight="true" outlineLevel="0" collapsed="false">
      <c r="A205" s="42"/>
      <c r="B205" s="42"/>
      <c r="C205" s="42"/>
      <c r="D205" s="28" t="str">
        <f aca="false">IF(OR($B205="",$C205=""),"",$C205*IFERROR(INDEX(Setup!$C$47:$C$56,MATCH($B205,Setup!$A$47:$A$56,0)),IFERROR(INDEX(Setup!$C$60:$C$89,MATCH($B205,Setup!$A$60:$A$89,0)),"")))</f>
        <v/>
      </c>
      <c r="E205" s="42"/>
      <c r="F205" s="42"/>
    </row>
    <row r="206" customFormat="false" ht="15" hidden="false" customHeight="true" outlineLevel="0" collapsed="false">
      <c r="A206" s="42"/>
      <c r="B206" s="42"/>
      <c r="C206" s="42"/>
      <c r="D206" s="28" t="str">
        <f aca="false">IF(OR($B206="",$C206=""),"",$C206*IFERROR(INDEX(Setup!$C$47:$C$56,MATCH($B206,Setup!$A$47:$A$56,0)),IFERROR(INDEX(Setup!$C$60:$C$89,MATCH($B206,Setup!$A$60:$A$89,0)),"")))</f>
        <v/>
      </c>
      <c r="E206" s="42"/>
      <c r="F206" s="42"/>
    </row>
    <row r="207" customFormat="false" ht="15" hidden="false" customHeight="true" outlineLevel="0" collapsed="false">
      <c r="A207" s="42"/>
      <c r="B207" s="42"/>
      <c r="C207" s="42"/>
      <c r="D207" s="28" t="str">
        <f aca="false">IF(OR($B207="",$C207=""),"",$C207*IFERROR(INDEX(Setup!$C$47:$C$56,MATCH($B207,Setup!$A$47:$A$56,0)),IFERROR(INDEX(Setup!$C$60:$C$89,MATCH($B207,Setup!$A$60:$A$89,0)),"")))</f>
        <v/>
      </c>
      <c r="E207" s="42"/>
      <c r="F207" s="42"/>
    </row>
    <row r="208" customFormat="false" ht="15" hidden="false" customHeight="true" outlineLevel="0" collapsed="false">
      <c r="A208" s="42"/>
      <c r="B208" s="42"/>
      <c r="C208" s="42"/>
      <c r="D208" s="28" t="str">
        <f aca="false">IF(OR($B208="",$C208=""),"",$C208*IFERROR(INDEX(Setup!$C$47:$C$56,MATCH($B208,Setup!$A$47:$A$56,0)),IFERROR(INDEX(Setup!$C$60:$C$89,MATCH($B208,Setup!$A$60:$A$89,0)),"")))</f>
        <v/>
      </c>
      <c r="E208" s="42"/>
      <c r="F208" s="42"/>
    </row>
    <row r="209" customFormat="false" ht="15" hidden="false" customHeight="true" outlineLevel="0" collapsed="false">
      <c r="A209" s="42"/>
      <c r="B209" s="42"/>
      <c r="C209" s="42"/>
      <c r="D209" s="28" t="str">
        <f aca="false">IF(OR($B209="",$C209=""),"",$C209*IFERROR(INDEX(Setup!$C$47:$C$56,MATCH($B209,Setup!$A$47:$A$56,0)),IFERROR(INDEX(Setup!$C$60:$C$89,MATCH($B209,Setup!$A$60:$A$89,0)),"")))</f>
        <v/>
      </c>
      <c r="E209" s="42"/>
      <c r="F209" s="42"/>
    </row>
    <row r="210" customFormat="false" ht="15" hidden="false" customHeight="true" outlineLevel="0" collapsed="false">
      <c r="A210" s="42"/>
      <c r="B210" s="42"/>
      <c r="C210" s="42"/>
      <c r="D210" s="28" t="str">
        <f aca="false">IF(OR($B210="",$C210=""),"",$C210*IFERROR(INDEX(Setup!$C$47:$C$56,MATCH($B210,Setup!$A$47:$A$56,0)),IFERROR(INDEX(Setup!$C$60:$C$89,MATCH($B210,Setup!$A$60:$A$89,0)),"")))</f>
        <v/>
      </c>
      <c r="E210" s="42"/>
      <c r="F210" s="42"/>
    </row>
    <row r="211" customFormat="false" ht="15" hidden="false" customHeight="true" outlineLevel="0" collapsed="false">
      <c r="A211" s="42"/>
      <c r="B211" s="42"/>
      <c r="C211" s="42"/>
      <c r="D211" s="28" t="str">
        <f aca="false">IF(OR($B211="",$C211=""),"",$C211*IFERROR(INDEX(Setup!$C$47:$C$56,MATCH($B211,Setup!$A$47:$A$56,0)),IFERROR(INDEX(Setup!$C$60:$C$89,MATCH($B211,Setup!$A$60:$A$89,0)),"")))</f>
        <v/>
      </c>
      <c r="E211" s="42"/>
      <c r="F211" s="42"/>
    </row>
    <row r="212" customFormat="false" ht="15" hidden="false" customHeight="true" outlineLevel="0" collapsed="false">
      <c r="A212" s="42"/>
      <c r="B212" s="42"/>
      <c r="C212" s="42"/>
      <c r="D212" s="28" t="str">
        <f aca="false">IF(OR($B212="",$C212=""),"",$C212*IFERROR(INDEX(Setup!$C$47:$C$56,MATCH($B212,Setup!$A$47:$A$56,0)),IFERROR(INDEX(Setup!$C$60:$C$89,MATCH($B212,Setup!$A$60:$A$89,0)),"")))</f>
        <v/>
      </c>
      <c r="E212" s="42"/>
      <c r="F212" s="42"/>
    </row>
    <row r="213" customFormat="false" ht="15" hidden="false" customHeight="true" outlineLevel="0" collapsed="false">
      <c r="A213" s="42"/>
      <c r="B213" s="42"/>
      <c r="C213" s="42"/>
      <c r="D213" s="28" t="str">
        <f aca="false">IF(OR($B213="",$C213=""),"",$C213*IFERROR(INDEX(Setup!$C$47:$C$56,MATCH($B213,Setup!$A$47:$A$56,0)),IFERROR(INDEX(Setup!$C$60:$C$89,MATCH($B213,Setup!$A$60:$A$89,0)),"")))</f>
        <v/>
      </c>
      <c r="E213" s="42"/>
      <c r="F213" s="42"/>
    </row>
    <row r="214" customFormat="false" ht="15" hidden="false" customHeight="true" outlineLevel="0" collapsed="false">
      <c r="A214" s="42"/>
      <c r="B214" s="42"/>
      <c r="C214" s="42"/>
      <c r="D214" s="28" t="str">
        <f aca="false">IF(OR($B214="",$C214=""),"",$C214*IFERROR(INDEX(Setup!$C$47:$C$56,MATCH($B214,Setup!$A$47:$A$56,0)),IFERROR(INDEX(Setup!$C$60:$C$89,MATCH($B214,Setup!$A$60:$A$89,0)),"")))</f>
        <v/>
      </c>
      <c r="E214" s="42"/>
      <c r="F214" s="42"/>
    </row>
    <row r="215" customFormat="false" ht="15" hidden="false" customHeight="true" outlineLevel="0" collapsed="false">
      <c r="A215" s="42"/>
      <c r="B215" s="42"/>
      <c r="C215" s="42"/>
      <c r="D215" s="28" t="str">
        <f aca="false">IF(OR($B215="",$C215=""),"",$C215*IFERROR(INDEX(Setup!$C$47:$C$56,MATCH($B215,Setup!$A$47:$A$56,0)),IFERROR(INDEX(Setup!$C$60:$C$89,MATCH($B215,Setup!$A$60:$A$89,0)),"")))</f>
        <v/>
      </c>
      <c r="E215" s="42"/>
      <c r="F215" s="42"/>
    </row>
    <row r="216" customFormat="false" ht="15" hidden="false" customHeight="true" outlineLevel="0" collapsed="false">
      <c r="A216" s="42"/>
      <c r="B216" s="42"/>
      <c r="C216" s="42"/>
      <c r="D216" s="28" t="str">
        <f aca="false">IF(OR($B216="",$C216=""),"",$C216*IFERROR(INDEX(Setup!$C$47:$C$56,MATCH($B216,Setup!$A$47:$A$56,0)),IFERROR(INDEX(Setup!$C$60:$C$89,MATCH($B216,Setup!$A$60:$A$89,0)),"")))</f>
        <v/>
      </c>
      <c r="E216" s="42"/>
      <c r="F216" s="42"/>
    </row>
    <row r="217" customFormat="false" ht="15" hidden="false" customHeight="true" outlineLevel="0" collapsed="false">
      <c r="A217" s="42"/>
      <c r="B217" s="42"/>
      <c r="C217" s="42"/>
      <c r="D217" s="28" t="str">
        <f aca="false">IF(OR($B217="",$C217=""),"",$C217*IFERROR(INDEX(Setup!$C$47:$C$56,MATCH($B217,Setup!$A$47:$A$56,0)),IFERROR(INDEX(Setup!$C$60:$C$89,MATCH($B217,Setup!$A$60:$A$89,0)),"")))</f>
        <v/>
      </c>
      <c r="E217" s="42"/>
      <c r="F217" s="42"/>
    </row>
    <row r="218" customFormat="false" ht="15" hidden="false" customHeight="true" outlineLevel="0" collapsed="false">
      <c r="A218" s="42"/>
      <c r="B218" s="42"/>
      <c r="C218" s="42"/>
      <c r="D218" s="28" t="str">
        <f aca="false">IF(OR($B218="",$C218=""),"",$C218*IFERROR(INDEX(Setup!$C$47:$C$56,MATCH($B218,Setup!$A$47:$A$56,0)),IFERROR(INDEX(Setup!$C$60:$C$89,MATCH($B218,Setup!$A$60:$A$89,0)),"")))</f>
        <v/>
      </c>
      <c r="E218" s="42"/>
      <c r="F218" s="42"/>
    </row>
    <row r="219" customFormat="false" ht="15" hidden="false" customHeight="true" outlineLevel="0" collapsed="false">
      <c r="A219" s="42"/>
      <c r="B219" s="42"/>
      <c r="C219" s="42"/>
      <c r="D219" s="28" t="str">
        <f aca="false">IF(OR($B219="",$C219=""),"",$C219*IFERROR(INDEX(Setup!$C$47:$C$56,MATCH($B219,Setup!$A$47:$A$56,0)),IFERROR(INDEX(Setup!$C$60:$C$89,MATCH($B219,Setup!$A$60:$A$89,0)),"")))</f>
        <v/>
      </c>
      <c r="E219" s="42"/>
      <c r="F219" s="42"/>
    </row>
    <row r="220" customFormat="false" ht="15" hidden="false" customHeight="true" outlineLevel="0" collapsed="false">
      <c r="A220" s="42"/>
      <c r="B220" s="42"/>
      <c r="C220" s="42"/>
      <c r="D220" s="28" t="str">
        <f aca="false">IF(OR($B220="",$C220=""),"",$C220*IFERROR(INDEX(Setup!$C$47:$C$56,MATCH($B220,Setup!$A$47:$A$56,0)),IFERROR(INDEX(Setup!$C$60:$C$89,MATCH($B220,Setup!$A$60:$A$89,0)),"")))</f>
        <v/>
      </c>
      <c r="E220" s="42"/>
      <c r="F220" s="42"/>
    </row>
    <row r="221" customFormat="false" ht="15" hidden="false" customHeight="true" outlineLevel="0" collapsed="false">
      <c r="A221" s="42"/>
      <c r="B221" s="42"/>
      <c r="C221" s="42"/>
      <c r="D221" s="28" t="str">
        <f aca="false">IF(OR($B221="",$C221=""),"",$C221*IFERROR(INDEX(Setup!$C$47:$C$56,MATCH($B221,Setup!$A$47:$A$56,0)),IFERROR(INDEX(Setup!$C$60:$C$89,MATCH($B221,Setup!$A$60:$A$89,0)),"")))</f>
        <v/>
      </c>
      <c r="E221" s="42"/>
      <c r="F221" s="42"/>
    </row>
    <row r="222" customFormat="false" ht="15" hidden="false" customHeight="true" outlineLevel="0" collapsed="false">
      <c r="A222" s="42"/>
      <c r="B222" s="42"/>
      <c r="C222" s="42"/>
      <c r="D222" s="28" t="str">
        <f aca="false">IF(OR($B222="",$C222=""),"",$C222*IFERROR(INDEX(Setup!$C$47:$C$56,MATCH($B222,Setup!$A$47:$A$56,0)),IFERROR(INDEX(Setup!$C$60:$C$89,MATCH($B222,Setup!$A$60:$A$89,0)),"")))</f>
        <v/>
      </c>
      <c r="E222" s="42"/>
      <c r="F222" s="42"/>
    </row>
    <row r="223" customFormat="false" ht="15" hidden="false" customHeight="true" outlineLevel="0" collapsed="false">
      <c r="A223" s="42"/>
      <c r="B223" s="42"/>
      <c r="C223" s="42"/>
      <c r="D223" s="28" t="str">
        <f aca="false">IF(OR($B223="",$C223=""),"",$C223*IFERROR(INDEX(Setup!$C$47:$C$56,MATCH($B223,Setup!$A$47:$A$56,0)),IFERROR(INDEX(Setup!$C$60:$C$89,MATCH($B223,Setup!$A$60:$A$89,0)),"")))</f>
        <v/>
      </c>
      <c r="E223" s="42"/>
      <c r="F223" s="42"/>
    </row>
    <row r="224" customFormat="false" ht="15" hidden="false" customHeight="true" outlineLevel="0" collapsed="false">
      <c r="A224" s="42"/>
      <c r="B224" s="42"/>
      <c r="C224" s="42"/>
      <c r="D224" s="28" t="str">
        <f aca="false">IF(OR($B224="",$C224=""),"",$C224*IFERROR(INDEX(Setup!$C$47:$C$56,MATCH($B224,Setup!$A$47:$A$56,0)),IFERROR(INDEX(Setup!$C$60:$C$89,MATCH($B224,Setup!$A$60:$A$89,0)),"")))</f>
        <v/>
      </c>
      <c r="E224" s="42"/>
      <c r="F224" s="42"/>
    </row>
    <row r="225" customFormat="false" ht="15" hidden="false" customHeight="true" outlineLevel="0" collapsed="false">
      <c r="A225" s="42"/>
      <c r="B225" s="42"/>
      <c r="C225" s="42"/>
      <c r="D225" s="28" t="str">
        <f aca="false">IF(OR($B225="",$C225=""),"",$C225*IFERROR(INDEX(Setup!$C$47:$C$56,MATCH($B225,Setup!$A$47:$A$56,0)),IFERROR(INDEX(Setup!$C$60:$C$89,MATCH($B225,Setup!$A$60:$A$89,0)),"")))</f>
        <v/>
      </c>
      <c r="E225" s="42"/>
      <c r="F225" s="42"/>
    </row>
    <row r="226" customFormat="false" ht="15" hidden="false" customHeight="true" outlineLevel="0" collapsed="false">
      <c r="A226" s="42"/>
      <c r="B226" s="42"/>
      <c r="C226" s="42"/>
      <c r="D226" s="28" t="str">
        <f aca="false">IF(OR($B226="",$C226=""),"",$C226*IFERROR(INDEX(Setup!$C$47:$C$56,MATCH($B226,Setup!$A$47:$A$56,0)),IFERROR(INDEX(Setup!$C$60:$C$89,MATCH($B226,Setup!$A$60:$A$89,0)),"")))</f>
        <v/>
      </c>
      <c r="E226" s="42"/>
      <c r="F226" s="42"/>
    </row>
    <row r="227" customFormat="false" ht="15" hidden="false" customHeight="true" outlineLevel="0" collapsed="false">
      <c r="A227" s="42"/>
      <c r="B227" s="42"/>
      <c r="C227" s="42"/>
      <c r="D227" s="28" t="str">
        <f aca="false">IF(OR($B227="",$C227=""),"",$C227*IFERROR(INDEX(Setup!$C$47:$C$56,MATCH($B227,Setup!$A$47:$A$56,0)),IFERROR(INDEX(Setup!$C$60:$C$89,MATCH($B227,Setup!$A$60:$A$89,0)),"")))</f>
        <v/>
      </c>
      <c r="E227" s="42"/>
      <c r="F227" s="42"/>
    </row>
    <row r="228" customFormat="false" ht="15" hidden="false" customHeight="true" outlineLevel="0" collapsed="false">
      <c r="A228" s="42"/>
      <c r="B228" s="42"/>
      <c r="C228" s="42"/>
      <c r="D228" s="28" t="str">
        <f aca="false">IF(OR($B228="",$C228=""),"",$C228*IFERROR(INDEX(Setup!$C$47:$C$56,MATCH($B228,Setup!$A$47:$A$56,0)),IFERROR(INDEX(Setup!$C$60:$C$89,MATCH($B228,Setup!$A$60:$A$89,0)),"")))</f>
        <v/>
      </c>
      <c r="E228" s="42"/>
      <c r="F228" s="42"/>
    </row>
    <row r="229" customFormat="false" ht="15" hidden="false" customHeight="true" outlineLevel="0" collapsed="false">
      <c r="A229" s="42"/>
      <c r="B229" s="42"/>
      <c r="C229" s="42"/>
      <c r="D229" s="28" t="str">
        <f aca="false">IF(OR($B229="",$C229=""),"",$C229*IFERROR(INDEX(Setup!$C$47:$C$56,MATCH($B229,Setup!$A$47:$A$56,0)),IFERROR(INDEX(Setup!$C$60:$C$89,MATCH($B229,Setup!$A$60:$A$89,0)),"")))</f>
        <v/>
      </c>
      <c r="E229" s="42"/>
      <c r="F229" s="42"/>
    </row>
    <row r="230" customFormat="false" ht="15" hidden="false" customHeight="true" outlineLevel="0" collapsed="false">
      <c r="A230" s="42"/>
      <c r="B230" s="42"/>
      <c r="C230" s="42"/>
      <c r="D230" s="28" t="str">
        <f aca="false">IF(OR($B230="",$C230=""),"",$C230*IFERROR(INDEX(Setup!$C$47:$C$56,MATCH($B230,Setup!$A$47:$A$56,0)),IFERROR(INDEX(Setup!$C$60:$C$89,MATCH($B230,Setup!$A$60:$A$89,0)),"")))</f>
        <v/>
      </c>
      <c r="E230" s="42"/>
      <c r="F230" s="42"/>
    </row>
    <row r="231" customFormat="false" ht="15" hidden="false" customHeight="true" outlineLevel="0" collapsed="false">
      <c r="A231" s="42"/>
      <c r="B231" s="42"/>
      <c r="C231" s="42"/>
      <c r="D231" s="28" t="str">
        <f aca="false">IF(OR($B231="",$C231=""),"",$C231*IFERROR(INDEX(Setup!$C$47:$C$56,MATCH($B231,Setup!$A$47:$A$56,0)),IFERROR(INDEX(Setup!$C$60:$C$89,MATCH($B231,Setup!$A$60:$A$89,0)),"")))</f>
        <v/>
      </c>
      <c r="E231" s="42"/>
      <c r="F231" s="42"/>
    </row>
    <row r="232" customFormat="false" ht="15" hidden="false" customHeight="true" outlineLevel="0" collapsed="false">
      <c r="A232" s="42"/>
      <c r="B232" s="42"/>
      <c r="C232" s="42"/>
      <c r="D232" s="28" t="str">
        <f aca="false">IF(OR($B232="",$C232=""),"",$C232*IFERROR(INDEX(Setup!$C$47:$C$56,MATCH($B232,Setup!$A$47:$A$56,0)),IFERROR(INDEX(Setup!$C$60:$C$89,MATCH($B232,Setup!$A$60:$A$89,0)),"")))</f>
        <v/>
      </c>
      <c r="E232" s="42"/>
      <c r="F232" s="42"/>
    </row>
    <row r="233" customFormat="false" ht="15" hidden="false" customHeight="true" outlineLevel="0" collapsed="false">
      <c r="A233" s="42"/>
      <c r="B233" s="42"/>
      <c r="C233" s="42"/>
      <c r="D233" s="28" t="str">
        <f aca="false">IF(OR($B233="",$C233=""),"",$C233*IFERROR(INDEX(Setup!$C$47:$C$56,MATCH($B233,Setup!$A$47:$A$56,0)),IFERROR(INDEX(Setup!$C$60:$C$89,MATCH($B233,Setup!$A$60:$A$89,0)),"")))</f>
        <v/>
      </c>
      <c r="E233" s="42"/>
      <c r="F233" s="42"/>
    </row>
    <row r="234" customFormat="false" ht="15" hidden="false" customHeight="true" outlineLevel="0" collapsed="false">
      <c r="A234" s="42"/>
      <c r="B234" s="42"/>
      <c r="C234" s="42"/>
      <c r="D234" s="28" t="str">
        <f aca="false">IF(OR($B234="",$C234=""),"",$C234*IFERROR(INDEX(Setup!$C$47:$C$56,MATCH($B234,Setup!$A$47:$A$56,0)),IFERROR(INDEX(Setup!$C$60:$C$89,MATCH($B234,Setup!$A$60:$A$89,0)),"")))</f>
        <v/>
      </c>
      <c r="E234" s="42"/>
      <c r="F234" s="42"/>
    </row>
    <row r="235" customFormat="false" ht="15" hidden="false" customHeight="true" outlineLevel="0" collapsed="false">
      <c r="A235" s="42"/>
      <c r="B235" s="42"/>
      <c r="C235" s="42"/>
      <c r="D235" s="28" t="str">
        <f aca="false">IF(OR($B235="",$C235=""),"",$C235*IFERROR(INDEX(Setup!$C$47:$C$56,MATCH($B235,Setup!$A$47:$A$56,0)),IFERROR(INDEX(Setup!$C$60:$C$89,MATCH($B235,Setup!$A$60:$A$89,0)),"")))</f>
        <v/>
      </c>
      <c r="E235" s="42"/>
      <c r="F235" s="42"/>
    </row>
    <row r="236" customFormat="false" ht="15" hidden="false" customHeight="true" outlineLevel="0" collapsed="false">
      <c r="A236" s="42"/>
      <c r="B236" s="42"/>
      <c r="C236" s="42"/>
      <c r="D236" s="28" t="str">
        <f aca="false">IF(OR($B236="",$C236=""),"",$C236*IFERROR(INDEX(Setup!$C$47:$C$56,MATCH($B236,Setup!$A$47:$A$56,0)),IFERROR(INDEX(Setup!$C$60:$C$89,MATCH($B236,Setup!$A$60:$A$89,0)),"")))</f>
        <v/>
      </c>
      <c r="E236" s="42"/>
      <c r="F236" s="42"/>
    </row>
    <row r="237" customFormat="false" ht="15" hidden="false" customHeight="true" outlineLevel="0" collapsed="false">
      <c r="A237" s="42"/>
      <c r="B237" s="42"/>
      <c r="C237" s="42"/>
      <c r="D237" s="28" t="str">
        <f aca="false">IF(OR($B237="",$C237=""),"",$C237*IFERROR(INDEX(Setup!$C$47:$C$56,MATCH($B237,Setup!$A$47:$A$56,0)),IFERROR(INDEX(Setup!$C$60:$C$89,MATCH($B237,Setup!$A$60:$A$89,0)),"")))</f>
        <v/>
      </c>
      <c r="E237" s="42"/>
      <c r="F237" s="42"/>
    </row>
    <row r="238" customFormat="false" ht="15" hidden="false" customHeight="true" outlineLevel="0" collapsed="false">
      <c r="A238" s="42"/>
      <c r="B238" s="42"/>
      <c r="C238" s="42"/>
      <c r="D238" s="28" t="str">
        <f aca="false">IF(OR($B238="",$C238=""),"",$C238*IFERROR(INDEX(Setup!$C$47:$C$56,MATCH($B238,Setup!$A$47:$A$56,0)),IFERROR(INDEX(Setup!$C$60:$C$89,MATCH($B238,Setup!$A$60:$A$89,0)),"")))</f>
        <v/>
      </c>
      <c r="E238" s="42"/>
      <c r="F238" s="42"/>
    </row>
    <row r="239" customFormat="false" ht="15" hidden="false" customHeight="true" outlineLevel="0" collapsed="false">
      <c r="A239" s="42"/>
      <c r="B239" s="42"/>
      <c r="C239" s="42"/>
      <c r="D239" s="28" t="str">
        <f aca="false">IF(OR($B239="",$C239=""),"",$C239*IFERROR(INDEX(Setup!$C$47:$C$56,MATCH($B239,Setup!$A$47:$A$56,0)),IFERROR(INDEX(Setup!$C$60:$C$89,MATCH($B239,Setup!$A$60:$A$89,0)),"")))</f>
        <v/>
      </c>
      <c r="E239" s="42"/>
      <c r="F239" s="42"/>
    </row>
    <row r="240" customFormat="false" ht="15" hidden="false" customHeight="true" outlineLevel="0" collapsed="false">
      <c r="A240" s="42"/>
      <c r="B240" s="42"/>
      <c r="C240" s="42"/>
      <c r="D240" s="28" t="str">
        <f aca="false">IF(OR($B240="",$C240=""),"",$C240*IFERROR(INDEX(Setup!$C$47:$C$56,MATCH($B240,Setup!$A$47:$A$56,0)),IFERROR(INDEX(Setup!$C$60:$C$89,MATCH($B240,Setup!$A$60:$A$89,0)),"")))</f>
        <v/>
      </c>
      <c r="E240" s="42"/>
      <c r="F240" s="42"/>
    </row>
    <row r="241" customFormat="false" ht="15" hidden="false" customHeight="true" outlineLevel="0" collapsed="false">
      <c r="A241" s="42"/>
      <c r="B241" s="42"/>
      <c r="C241" s="42"/>
      <c r="D241" s="28" t="str">
        <f aca="false">IF(OR($B241="",$C241=""),"",$C241*IFERROR(INDEX(Setup!$C$47:$C$56,MATCH($B241,Setup!$A$47:$A$56,0)),IFERROR(INDEX(Setup!$C$60:$C$89,MATCH($B241,Setup!$A$60:$A$89,0)),"")))</f>
        <v/>
      </c>
      <c r="E241" s="42"/>
      <c r="F241" s="42"/>
    </row>
    <row r="242" customFormat="false" ht="15" hidden="false" customHeight="true" outlineLevel="0" collapsed="false">
      <c r="A242" s="42"/>
      <c r="B242" s="42"/>
      <c r="C242" s="42"/>
      <c r="D242" s="28" t="str">
        <f aca="false">IF(OR($B242="",$C242=""),"",$C242*IFERROR(INDEX(Setup!$C$47:$C$56,MATCH($B242,Setup!$A$47:$A$56,0)),IFERROR(INDEX(Setup!$C$60:$C$89,MATCH($B242,Setup!$A$60:$A$89,0)),"")))</f>
        <v/>
      </c>
      <c r="E242" s="42"/>
      <c r="F242" s="42"/>
    </row>
    <row r="243" customFormat="false" ht="15" hidden="false" customHeight="true" outlineLevel="0" collapsed="false">
      <c r="A243" s="42"/>
      <c r="B243" s="42"/>
      <c r="C243" s="42"/>
      <c r="D243" s="28" t="str">
        <f aca="false">IF(OR($B243="",$C243=""),"",$C243*IFERROR(INDEX(Setup!$C$47:$C$56,MATCH($B243,Setup!$A$47:$A$56,0)),IFERROR(INDEX(Setup!$C$60:$C$89,MATCH($B243,Setup!$A$60:$A$89,0)),"")))</f>
        <v/>
      </c>
      <c r="E243" s="42"/>
      <c r="F243" s="42"/>
    </row>
    <row r="244" customFormat="false" ht="15" hidden="false" customHeight="true" outlineLevel="0" collapsed="false">
      <c r="A244" s="42"/>
      <c r="B244" s="42"/>
      <c r="C244" s="42"/>
      <c r="D244" s="28" t="str">
        <f aca="false">IF(OR($B244="",$C244=""),"",$C244*IFERROR(INDEX(Setup!$C$47:$C$56,MATCH($B244,Setup!$A$47:$A$56,0)),IFERROR(INDEX(Setup!$C$60:$C$89,MATCH($B244,Setup!$A$60:$A$89,0)),"")))</f>
        <v/>
      </c>
      <c r="E244" s="42"/>
      <c r="F244" s="42"/>
    </row>
    <row r="245" customFormat="false" ht="15" hidden="false" customHeight="true" outlineLevel="0" collapsed="false">
      <c r="A245" s="42"/>
      <c r="B245" s="42"/>
      <c r="C245" s="42"/>
      <c r="D245" s="28" t="str">
        <f aca="false">IF(OR($B245="",$C245=""),"",$C245*IFERROR(INDEX(Setup!$C$47:$C$56,MATCH($B245,Setup!$A$47:$A$56,0)),IFERROR(INDEX(Setup!$C$60:$C$89,MATCH($B245,Setup!$A$60:$A$89,0)),"")))</f>
        <v/>
      </c>
      <c r="E245" s="42"/>
      <c r="F245" s="42"/>
    </row>
    <row r="246" customFormat="false" ht="15" hidden="false" customHeight="true" outlineLevel="0" collapsed="false">
      <c r="A246" s="42"/>
      <c r="B246" s="42"/>
      <c r="C246" s="42"/>
      <c r="D246" s="28" t="str">
        <f aca="false">IF(OR($B246="",$C246=""),"",$C246*IFERROR(INDEX(Setup!$C$47:$C$56,MATCH($B246,Setup!$A$47:$A$56,0)),IFERROR(INDEX(Setup!$C$60:$C$89,MATCH($B246,Setup!$A$60:$A$89,0)),"")))</f>
        <v/>
      </c>
      <c r="E246" s="42"/>
      <c r="F246" s="42"/>
    </row>
    <row r="247" customFormat="false" ht="15" hidden="false" customHeight="true" outlineLevel="0" collapsed="false">
      <c r="A247" s="42"/>
      <c r="B247" s="42"/>
      <c r="C247" s="42"/>
      <c r="D247" s="28" t="str">
        <f aca="false">IF(OR($B247="",$C247=""),"",$C247*IFERROR(INDEX(Setup!$C$47:$C$56,MATCH($B247,Setup!$A$47:$A$56,0)),IFERROR(INDEX(Setup!$C$60:$C$89,MATCH($B247,Setup!$A$60:$A$89,0)),"")))</f>
        <v/>
      </c>
      <c r="E247" s="42"/>
      <c r="F247" s="42"/>
    </row>
    <row r="248" customFormat="false" ht="15" hidden="false" customHeight="true" outlineLevel="0" collapsed="false">
      <c r="A248" s="42"/>
      <c r="B248" s="42"/>
      <c r="C248" s="42"/>
      <c r="D248" s="28" t="str">
        <f aca="false">IF(OR($B248="",$C248=""),"",$C248*IFERROR(INDEX(Setup!$C$47:$C$56,MATCH($B248,Setup!$A$47:$A$56,0)),IFERROR(INDEX(Setup!$C$60:$C$89,MATCH($B248,Setup!$A$60:$A$89,0)),"")))</f>
        <v/>
      </c>
      <c r="E248" s="42"/>
      <c r="F248" s="42"/>
    </row>
    <row r="249" customFormat="false" ht="15" hidden="false" customHeight="true" outlineLevel="0" collapsed="false">
      <c r="A249" s="42"/>
      <c r="B249" s="42"/>
      <c r="C249" s="42"/>
      <c r="D249" s="28" t="str">
        <f aca="false">IF(OR($B249="",$C249=""),"",$C249*IFERROR(INDEX(Setup!$C$47:$C$56,MATCH($B249,Setup!$A$47:$A$56,0)),IFERROR(INDEX(Setup!$C$60:$C$89,MATCH($B249,Setup!$A$60:$A$89,0)),"")))</f>
        <v/>
      </c>
      <c r="E249" s="42"/>
      <c r="F249" s="42"/>
    </row>
    <row r="250" customFormat="false" ht="15" hidden="false" customHeight="true" outlineLevel="0" collapsed="false">
      <c r="A250" s="42"/>
      <c r="B250" s="42"/>
      <c r="C250" s="42"/>
      <c r="D250" s="28" t="str">
        <f aca="false">IF(OR($B250="",$C250=""),"",$C250*IFERROR(INDEX(Setup!$C$47:$C$56,MATCH($B250,Setup!$A$47:$A$56,0)),IFERROR(INDEX(Setup!$C$60:$C$89,MATCH($B250,Setup!$A$60:$A$89,0)),"")))</f>
        <v/>
      </c>
      <c r="E250" s="42"/>
      <c r="F250" s="42"/>
    </row>
    <row r="251" customFormat="false" ht="15" hidden="false" customHeight="true" outlineLevel="0" collapsed="false">
      <c r="A251" s="42"/>
      <c r="B251" s="42"/>
      <c r="C251" s="42"/>
      <c r="D251" s="28" t="str">
        <f aca="false">IF(OR($B251="",$C251=""),"",$C251*IFERROR(INDEX(Setup!$C$47:$C$56,MATCH($B251,Setup!$A$47:$A$56,0)),IFERROR(INDEX(Setup!$C$60:$C$89,MATCH($B251,Setup!$A$60:$A$89,0)),"")))</f>
        <v/>
      </c>
      <c r="E251" s="42"/>
      <c r="F251" s="42"/>
    </row>
    <row r="252" customFormat="false" ht="15" hidden="false" customHeight="true" outlineLevel="0" collapsed="false">
      <c r="A252" s="42"/>
      <c r="B252" s="42"/>
      <c r="C252" s="42"/>
      <c r="D252" s="28" t="str">
        <f aca="false">IF(OR($B252="",$C252=""),"",$C252*IFERROR(INDEX(Setup!$C$47:$C$56,MATCH($B252,Setup!$A$47:$A$56,0)),IFERROR(INDEX(Setup!$C$60:$C$89,MATCH($B252,Setup!$A$60:$A$89,0)),"")))</f>
        <v/>
      </c>
      <c r="E252" s="42"/>
      <c r="F252" s="42"/>
    </row>
    <row r="253" customFormat="false" ht="15" hidden="false" customHeight="true" outlineLevel="0" collapsed="false">
      <c r="A253" s="42"/>
      <c r="B253" s="42"/>
      <c r="C253" s="42"/>
      <c r="D253" s="28" t="str">
        <f aca="false">IF(OR($B253="",$C253=""),"",$C253*IFERROR(INDEX(Setup!$C$47:$C$56,MATCH($B253,Setup!$A$47:$A$56,0)),IFERROR(INDEX(Setup!$C$60:$C$89,MATCH($B253,Setup!$A$60:$A$89,0)),"")))</f>
        <v/>
      </c>
      <c r="E253" s="42"/>
      <c r="F253" s="42"/>
    </row>
    <row r="254" customFormat="false" ht="15" hidden="false" customHeight="true" outlineLevel="0" collapsed="false">
      <c r="A254" s="42"/>
      <c r="B254" s="42"/>
      <c r="C254" s="42"/>
      <c r="D254" s="28" t="str">
        <f aca="false">IF(OR($B254="",$C254=""),"",$C254*IFERROR(INDEX(Setup!$C$47:$C$56,MATCH($B254,Setup!$A$47:$A$56,0)),IFERROR(INDEX(Setup!$C$60:$C$89,MATCH($B254,Setup!$A$60:$A$89,0)),"")))</f>
        <v/>
      </c>
      <c r="E254" s="42"/>
      <c r="F254" s="42"/>
    </row>
    <row r="255" customFormat="false" ht="15" hidden="false" customHeight="true" outlineLevel="0" collapsed="false">
      <c r="A255" s="42"/>
      <c r="B255" s="42"/>
      <c r="C255" s="42"/>
      <c r="D255" s="28" t="str">
        <f aca="false">IF(OR($B255="",$C255=""),"",$C255*IFERROR(INDEX(Setup!$C$47:$C$56,MATCH($B255,Setup!$A$47:$A$56,0)),IFERROR(INDEX(Setup!$C$60:$C$89,MATCH($B255,Setup!$A$60:$A$89,0)),"")))</f>
        <v/>
      </c>
      <c r="E255" s="42"/>
      <c r="F255" s="42"/>
    </row>
    <row r="256" customFormat="false" ht="15" hidden="false" customHeight="true" outlineLevel="0" collapsed="false">
      <c r="A256" s="42"/>
      <c r="B256" s="42"/>
      <c r="C256" s="42"/>
      <c r="D256" s="28" t="str">
        <f aca="false">IF(OR($B256="",$C256=""),"",$C256*IFERROR(INDEX(Setup!$C$47:$C$56,MATCH($B256,Setup!$A$47:$A$56,0)),IFERROR(INDEX(Setup!$C$60:$C$89,MATCH($B256,Setup!$A$60:$A$89,0)),"")))</f>
        <v/>
      </c>
      <c r="E256" s="42"/>
      <c r="F256" s="42"/>
    </row>
    <row r="257" customFormat="false" ht="15" hidden="false" customHeight="true" outlineLevel="0" collapsed="false">
      <c r="A257" s="42"/>
      <c r="B257" s="42"/>
      <c r="C257" s="42"/>
      <c r="D257" s="28" t="str">
        <f aca="false">IF(OR($B257="",$C257=""),"",$C257*IFERROR(INDEX(Setup!$C$47:$C$56,MATCH($B257,Setup!$A$47:$A$56,0)),IFERROR(INDEX(Setup!$C$60:$C$89,MATCH($B257,Setup!$A$60:$A$89,0)),"")))</f>
        <v/>
      </c>
      <c r="E257" s="42"/>
      <c r="F257" s="42"/>
    </row>
    <row r="258" customFormat="false" ht="15" hidden="false" customHeight="true" outlineLevel="0" collapsed="false">
      <c r="A258" s="42"/>
      <c r="B258" s="42"/>
      <c r="C258" s="42"/>
      <c r="D258" s="28" t="str">
        <f aca="false">IF(OR($B258="",$C258=""),"",$C258*IFERROR(INDEX(Setup!$C$47:$C$56,MATCH($B258,Setup!$A$47:$A$56,0)),IFERROR(INDEX(Setup!$C$60:$C$89,MATCH($B258,Setup!$A$60:$A$89,0)),"")))</f>
        <v/>
      </c>
      <c r="E258" s="42"/>
      <c r="F258" s="42"/>
    </row>
    <row r="259" customFormat="false" ht="15" hidden="false" customHeight="true" outlineLevel="0" collapsed="false">
      <c r="A259" s="42"/>
      <c r="B259" s="42"/>
      <c r="C259" s="42"/>
      <c r="D259" s="28" t="str">
        <f aca="false">IF(OR($B259="",$C259=""),"",$C259*IFERROR(INDEX(Setup!$C$47:$C$56,MATCH($B259,Setup!$A$47:$A$56,0)),IFERROR(INDEX(Setup!$C$60:$C$89,MATCH($B259,Setup!$A$60:$A$89,0)),"")))</f>
        <v/>
      </c>
      <c r="E259" s="42"/>
      <c r="F259" s="42"/>
    </row>
    <row r="260" customFormat="false" ht="15" hidden="false" customHeight="true" outlineLevel="0" collapsed="false">
      <c r="A260" s="42"/>
      <c r="B260" s="42"/>
      <c r="C260" s="42"/>
      <c r="D260" s="28" t="str">
        <f aca="false">IF(OR($B260="",$C260=""),"",$C260*IFERROR(INDEX(Setup!$C$47:$C$56,MATCH($B260,Setup!$A$47:$A$56,0)),IFERROR(INDEX(Setup!$C$60:$C$89,MATCH($B260,Setup!$A$60:$A$89,0)),"")))</f>
        <v/>
      </c>
      <c r="E260" s="42"/>
      <c r="F260" s="42"/>
    </row>
    <row r="261" customFormat="false" ht="15" hidden="false" customHeight="true" outlineLevel="0" collapsed="false">
      <c r="A261" s="42"/>
      <c r="B261" s="42"/>
      <c r="C261" s="42"/>
      <c r="D261" s="28" t="str">
        <f aca="false">IF(OR($B261="",$C261=""),"",$C261*IFERROR(INDEX(Setup!$C$47:$C$56,MATCH($B261,Setup!$A$47:$A$56,0)),IFERROR(INDEX(Setup!$C$60:$C$89,MATCH($B261,Setup!$A$60:$A$89,0)),"")))</f>
        <v/>
      </c>
      <c r="E261" s="42"/>
      <c r="F261" s="42"/>
    </row>
    <row r="262" customFormat="false" ht="15" hidden="false" customHeight="true" outlineLevel="0" collapsed="false">
      <c r="A262" s="42"/>
      <c r="B262" s="42"/>
      <c r="C262" s="42"/>
      <c r="D262" s="28" t="str">
        <f aca="false">IF(OR($B262="",$C262=""),"",$C262*IFERROR(INDEX(Setup!$C$47:$C$56,MATCH($B262,Setup!$A$47:$A$56,0)),IFERROR(INDEX(Setup!$C$60:$C$89,MATCH($B262,Setup!$A$60:$A$89,0)),"")))</f>
        <v/>
      </c>
      <c r="E262" s="42"/>
      <c r="F262" s="42"/>
    </row>
    <row r="263" customFormat="false" ht="15" hidden="false" customHeight="true" outlineLevel="0" collapsed="false">
      <c r="A263" s="42"/>
      <c r="B263" s="42"/>
      <c r="C263" s="42"/>
      <c r="D263" s="28" t="str">
        <f aca="false">IF(OR($B263="",$C263=""),"",$C263*IFERROR(INDEX(Setup!$C$47:$C$56,MATCH($B263,Setup!$A$47:$A$56,0)),IFERROR(INDEX(Setup!$C$60:$C$89,MATCH($B263,Setup!$A$60:$A$89,0)),"")))</f>
        <v/>
      </c>
      <c r="E263" s="42"/>
      <c r="F263" s="42"/>
    </row>
    <row r="264" customFormat="false" ht="15" hidden="false" customHeight="true" outlineLevel="0" collapsed="false">
      <c r="A264" s="42"/>
      <c r="B264" s="42"/>
      <c r="C264" s="42"/>
      <c r="D264" s="28" t="str">
        <f aca="false">IF(OR($B264="",$C264=""),"",$C264*IFERROR(INDEX(Setup!$C$47:$C$56,MATCH($B264,Setup!$A$47:$A$56,0)),IFERROR(INDEX(Setup!$C$60:$C$89,MATCH($B264,Setup!$A$60:$A$89,0)),"")))</f>
        <v/>
      </c>
      <c r="E264" s="42"/>
      <c r="F264" s="42"/>
    </row>
    <row r="265" customFormat="false" ht="15" hidden="false" customHeight="true" outlineLevel="0" collapsed="false">
      <c r="A265" s="42"/>
      <c r="B265" s="42"/>
      <c r="C265" s="42"/>
      <c r="D265" s="28" t="str">
        <f aca="false">IF(OR($B265="",$C265=""),"",$C265*IFERROR(INDEX(Setup!$C$47:$C$56,MATCH($B265,Setup!$A$47:$A$56,0)),IFERROR(INDEX(Setup!$C$60:$C$89,MATCH($B265,Setup!$A$60:$A$89,0)),"")))</f>
        <v/>
      </c>
      <c r="E265" s="42"/>
      <c r="F265" s="42"/>
    </row>
    <row r="266" customFormat="false" ht="15" hidden="false" customHeight="true" outlineLevel="0" collapsed="false">
      <c r="A266" s="42"/>
      <c r="B266" s="42"/>
      <c r="C266" s="42"/>
      <c r="D266" s="28" t="str">
        <f aca="false">IF(OR($B266="",$C266=""),"",$C266*IFERROR(INDEX(Setup!$C$47:$C$56,MATCH($B266,Setup!$A$47:$A$56,0)),IFERROR(INDEX(Setup!$C$60:$C$89,MATCH($B266,Setup!$A$60:$A$89,0)),"")))</f>
        <v/>
      </c>
      <c r="E266" s="42"/>
      <c r="F266" s="42"/>
    </row>
    <row r="267" customFormat="false" ht="15" hidden="false" customHeight="true" outlineLevel="0" collapsed="false">
      <c r="A267" s="42"/>
      <c r="B267" s="42"/>
      <c r="C267" s="42"/>
      <c r="D267" s="28" t="str">
        <f aca="false">IF(OR($B267="",$C267=""),"",$C267*IFERROR(INDEX(Setup!$C$47:$C$56,MATCH($B267,Setup!$A$47:$A$56,0)),IFERROR(INDEX(Setup!$C$60:$C$89,MATCH($B267,Setup!$A$60:$A$89,0)),"")))</f>
        <v/>
      </c>
      <c r="E267" s="42"/>
      <c r="F267" s="42"/>
    </row>
    <row r="268" customFormat="false" ht="15" hidden="false" customHeight="true" outlineLevel="0" collapsed="false">
      <c r="A268" s="42"/>
      <c r="B268" s="42"/>
      <c r="C268" s="42"/>
      <c r="D268" s="28" t="str">
        <f aca="false">IF(OR($B268="",$C268=""),"",$C268*IFERROR(INDEX(Setup!$C$47:$C$56,MATCH($B268,Setup!$A$47:$A$56,0)),IFERROR(INDEX(Setup!$C$60:$C$89,MATCH($B268,Setup!$A$60:$A$89,0)),"")))</f>
        <v/>
      </c>
      <c r="E268" s="42"/>
      <c r="F268" s="42"/>
    </row>
    <row r="269" customFormat="false" ht="15" hidden="false" customHeight="true" outlineLevel="0" collapsed="false">
      <c r="A269" s="42"/>
      <c r="B269" s="42"/>
      <c r="C269" s="42"/>
      <c r="D269" s="28" t="str">
        <f aca="false">IF(OR($B269="",$C269=""),"",$C269*IFERROR(INDEX(Setup!$C$47:$C$56,MATCH($B269,Setup!$A$47:$A$56,0)),IFERROR(INDEX(Setup!$C$60:$C$89,MATCH($B269,Setup!$A$60:$A$89,0)),"")))</f>
        <v/>
      </c>
      <c r="E269" s="42"/>
      <c r="F269" s="42"/>
    </row>
    <row r="270" customFormat="false" ht="15" hidden="false" customHeight="true" outlineLevel="0" collapsed="false">
      <c r="A270" s="42"/>
      <c r="B270" s="42"/>
      <c r="C270" s="42"/>
      <c r="D270" s="28" t="str">
        <f aca="false">IF(OR($B270="",$C270=""),"",$C270*IFERROR(INDEX(Setup!$C$47:$C$56,MATCH($B270,Setup!$A$47:$A$56,0)),IFERROR(INDEX(Setup!$C$60:$C$89,MATCH($B270,Setup!$A$60:$A$89,0)),"")))</f>
        <v/>
      </c>
      <c r="E270" s="42"/>
      <c r="F270" s="42"/>
    </row>
    <row r="271" customFormat="false" ht="15" hidden="false" customHeight="true" outlineLevel="0" collapsed="false">
      <c r="A271" s="42"/>
      <c r="B271" s="42"/>
      <c r="C271" s="42"/>
      <c r="D271" s="28" t="str">
        <f aca="false">IF(OR($B271="",$C271=""),"",$C271*IFERROR(INDEX(Setup!$C$47:$C$56,MATCH($B271,Setup!$A$47:$A$56,0)),IFERROR(INDEX(Setup!$C$60:$C$89,MATCH($B271,Setup!$A$60:$A$89,0)),"")))</f>
        <v/>
      </c>
      <c r="E271" s="42"/>
      <c r="F271" s="42"/>
    </row>
    <row r="272" customFormat="false" ht="15" hidden="false" customHeight="true" outlineLevel="0" collapsed="false">
      <c r="A272" s="42"/>
      <c r="B272" s="42"/>
      <c r="C272" s="42"/>
      <c r="D272" s="28" t="str">
        <f aca="false">IF(OR($B272="",$C272=""),"",$C272*IFERROR(INDEX(Setup!$C$47:$C$56,MATCH($B272,Setup!$A$47:$A$56,0)),IFERROR(INDEX(Setup!$C$60:$C$89,MATCH($B272,Setup!$A$60:$A$89,0)),"")))</f>
        <v/>
      </c>
      <c r="E272" s="42"/>
      <c r="F272" s="42"/>
    </row>
    <row r="273" customFormat="false" ht="15" hidden="false" customHeight="true" outlineLevel="0" collapsed="false">
      <c r="A273" s="42"/>
      <c r="B273" s="42"/>
      <c r="C273" s="42"/>
      <c r="D273" s="28" t="str">
        <f aca="false">IF(OR($B273="",$C273=""),"",$C273*IFERROR(INDEX(Setup!$C$47:$C$56,MATCH($B273,Setup!$A$47:$A$56,0)),IFERROR(INDEX(Setup!$C$60:$C$89,MATCH($B273,Setup!$A$60:$A$89,0)),"")))</f>
        <v/>
      </c>
      <c r="E273" s="42"/>
      <c r="F273" s="42"/>
    </row>
    <row r="274" customFormat="false" ht="15" hidden="false" customHeight="true" outlineLevel="0" collapsed="false">
      <c r="A274" s="42"/>
      <c r="B274" s="42"/>
      <c r="C274" s="42"/>
      <c r="D274" s="28" t="str">
        <f aca="false">IF(OR($B274="",$C274=""),"",$C274*IFERROR(INDEX(Setup!$C$47:$C$56,MATCH($B274,Setup!$A$47:$A$56,0)),IFERROR(INDEX(Setup!$C$60:$C$89,MATCH($B274,Setup!$A$60:$A$89,0)),"")))</f>
        <v/>
      </c>
      <c r="E274" s="42"/>
      <c r="F274" s="42"/>
    </row>
    <row r="275" customFormat="false" ht="15" hidden="false" customHeight="true" outlineLevel="0" collapsed="false">
      <c r="A275" s="42"/>
      <c r="B275" s="42"/>
      <c r="C275" s="42"/>
      <c r="D275" s="28" t="str">
        <f aca="false">IF(OR($B275="",$C275=""),"",$C275*IFERROR(INDEX(Setup!$C$47:$C$56,MATCH($B275,Setup!$A$47:$A$56,0)),IFERROR(INDEX(Setup!$C$60:$C$89,MATCH($B275,Setup!$A$60:$A$89,0)),"")))</f>
        <v/>
      </c>
      <c r="E275" s="42"/>
      <c r="F275" s="42"/>
    </row>
    <row r="276" customFormat="false" ht="15" hidden="false" customHeight="true" outlineLevel="0" collapsed="false">
      <c r="A276" s="42"/>
      <c r="B276" s="42"/>
      <c r="C276" s="42"/>
      <c r="D276" s="28" t="str">
        <f aca="false">IF(OR($B276="",$C276=""),"",$C276*IFERROR(INDEX(Setup!$C$47:$C$56,MATCH($B276,Setup!$A$47:$A$56,0)),IFERROR(INDEX(Setup!$C$60:$C$89,MATCH($B276,Setup!$A$60:$A$89,0)),"")))</f>
        <v/>
      </c>
      <c r="E276" s="42"/>
      <c r="F276" s="42"/>
    </row>
    <row r="277" customFormat="false" ht="15" hidden="false" customHeight="true" outlineLevel="0" collapsed="false">
      <c r="A277" s="42"/>
      <c r="B277" s="42"/>
      <c r="C277" s="42"/>
      <c r="D277" s="28" t="str">
        <f aca="false">IF(OR($B277="",$C277=""),"",$C277*IFERROR(INDEX(Setup!$C$47:$C$56,MATCH($B277,Setup!$A$47:$A$56,0)),IFERROR(INDEX(Setup!$C$60:$C$89,MATCH($B277,Setup!$A$60:$A$89,0)),"")))</f>
        <v/>
      </c>
      <c r="E277" s="42"/>
      <c r="F277" s="42"/>
    </row>
    <row r="278" customFormat="false" ht="15" hidden="false" customHeight="true" outlineLevel="0" collapsed="false">
      <c r="A278" s="42"/>
      <c r="B278" s="42"/>
      <c r="C278" s="42"/>
      <c r="D278" s="28" t="str">
        <f aca="false">IF(OR($B278="",$C278=""),"",$C278*IFERROR(INDEX(Setup!$C$47:$C$56,MATCH($B278,Setup!$A$47:$A$56,0)),IFERROR(INDEX(Setup!$C$60:$C$89,MATCH($B278,Setup!$A$60:$A$89,0)),"")))</f>
        <v/>
      </c>
      <c r="E278" s="42"/>
      <c r="F278" s="42"/>
    </row>
    <row r="279" customFormat="false" ht="15" hidden="false" customHeight="true" outlineLevel="0" collapsed="false">
      <c r="A279" s="42"/>
      <c r="B279" s="42"/>
      <c r="C279" s="42"/>
      <c r="D279" s="28" t="str">
        <f aca="false">IF(OR($B279="",$C279=""),"",$C279*IFERROR(INDEX(Setup!$C$47:$C$56,MATCH($B279,Setup!$A$47:$A$56,0)),IFERROR(INDEX(Setup!$C$60:$C$89,MATCH($B279,Setup!$A$60:$A$89,0)),"")))</f>
        <v/>
      </c>
      <c r="E279" s="42"/>
      <c r="F279" s="42"/>
    </row>
    <row r="280" customFormat="false" ht="15" hidden="false" customHeight="true" outlineLevel="0" collapsed="false">
      <c r="A280" s="42"/>
      <c r="B280" s="42"/>
      <c r="C280" s="42"/>
      <c r="D280" s="28" t="str">
        <f aca="false">IF(OR($B280="",$C280=""),"",$C280*IFERROR(INDEX(Setup!$C$47:$C$56,MATCH($B280,Setup!$A$47:$A$56,0)),IFERROR(INDEX(Setup!$C$60:$C$89,MATCH($B280,Setup!$A$60:$A$89,0)),"")))</f>
        <v/>
      </c>
      <c r="E280" s="42"/>
      <c r="F280" s="42"/>
    </row>
    <row r="281" customFormat="false" ht="15" hidden="false" customHeight="true" outlineLevel="0" collapsed="false">
      <c r="A281" s="42"/>
      <c r="B281" s="42"/>
      <c r="C281" s="42"/>
      <c r="D281" s="28" t="str">
        <f aca="false">IF(OR($B281="",$C281=""),"",$C281*IFERROR(INDEX(Setup!$C$47:$C$56,MATCH($B281,Setup!$A$47:$A$56,0)),IFERROR(INDEX(Setup!$C$60:$C$89,MATCH($B281,Setup!$A$60:$A$89,0)),"")))</f>
        <v/>
      </c>
      <c r="E281" s="42"/>
      <c r="F281" s="42"/>
    </row>
    <row r="282" customFormat="false" ht="15" hidden="false" customHeight="true" outlineLevel="0" collapsed="false">
      <c r="A282" s="42"/>
      <c r="B282" s="42"/>
      <c r="C282" s="42"/>
      <c r="D282" s="28" t="str">
        <f aca="false">IF(OR($B282="",$C282=""),"",$C282*IFERROR(INDEX(Setup!$C$47:$C$56,MATCH($B282,Setup!$A$47:$A$56,0)),IFERROR(INDEX(Setup!$C$60:$C$89,MATCH($B282,Setup!$A$60:$A$89,0)),"")))</f>
        <v/>
      </c>
      <c r="E282" s="42"/>
      <c r="F282" s="42"/>
    </row>
    <row r="283" customFormat="false" ht="15" hidden="false" customHeight="true" outlineLevel="0" collapsed="false">
      <c r="A283" s="42"/>
      <c r="B283" s="42"/>
      <c r="C283" s="42"/>
      <c r="D283" s="28" t="str">
        <f aca="false">IF(OR($B283="",$C283=""),"",$C283*IFERROR(INDEX(Setup!$C$47:$C$56,MATCH($B283,Setup!$A$47:$A$56,0)),IFERROR(INDEX(Setup!$C$60:$C$89,MATCH($B283,Setup!$A$60:$A$89,0)),"")))</f>
        <v/>
      </c>
      <c r="E283" s="42"/>
      <c r="F283" s="42"/>
    </row>
    <row r="284" customFormat="false" ht="15" hidden="false" customHeight="true" outlineLevel="0" collapsed="false">
      <c r="A284" s="42"/>
      <c r="B284" s="42"/>
      <c r="C284" s="42"/>
      <c r="D284" s="28" t="str">
        <f aca="false">IF(OR($B284="",$C284=""),"",$C284*IFERROR(INDEX(Setup!$C$47:$C$56,MATCH($B284,Setup!$A$47:$A$56,0)),IFERROR(INDEX(Setup!$C$60:$C$89,MATCH($B284,Setup!$A$60:$A$89,0)),"")))</f>
        <v/>
      </c>
      <c r="E284" s="42"/>
      <c r="F284" s="42"/>
    </row>
    <row r="285" customFormat="false" ht="15" hidden="false" customHeight="true" outlineLevel="0" collapsed="false">
      <c r="A285" s="42"/>
      <c r="B285" s="42"/>
      <c r="C285" s="42"/>
      <c r="D285" s="28" t="str">
        <f aca="false">IF(OR($B285="",$C285=""),"",$C285*IFERROR(INDEX(Setup!$C$47:$C$56,MATCH($B285,Setup!$A$47:$A$56,0)),IFERROR(INDEX(Setup!$C$60:$C$89,MATCH($B285,Setup!$A$60:$A$89,0)),"")))</f>
        <v/>
      </c>
      <c r="E285" s="42"/>
      <c r="F285" s="42"/>
    </row>
    <row r="286" customFormat="false" ht="15" hidden="false" customHeight="true" outlineLevel="0" collapsed="false">
      <c r="A286" s="42"/>
      <c r="B286" s="42"/>
      <c r="C286" s="42"/>
      <c r="D286" s="28" t="str">
        <f aca="false">IF(OR($B286="",$C286=""),"",$C286*IFERROR(INDEX(Setup!$C$47:$C$56,MATCH($B286,Setup!$A$47:$A$56,0)),IFERROR(INDEX(Setup!$C$60:$C$89,MATCH($B286,Setup!$A$60:$A$89,0)),"")))</f>
        <v/>
      </c>
      <c r="E286" s="42"/>
      <c r="F286" s="42"/>
    </row>
    <row r="287" customFormat="false" ht="15" hidden="false" customHeight="true" outlineLevel="0" collapsed="false">
      <c r="A287" s="42"/>
      <c r="B287" s="42"/>
      <c r="C287" s="42"/>
      <c r="D287" s="28" t="str">
        <f aca="false">IF(OR($B287="",$C287=""),"",$C287*IFERROR(INDEX(Setup!$C$47:$C$56,MATCH($B287,Setup!$A$47:$A$56,0)),IFERROR(INDEX(Setup!$C$60:$C$89,MATCH($B287,Setup!$A$60:$A$89,0)),"")))</f>
        <v/>
      </c>
      <c r="E287" s="42"/>
      <c r="F287" s="42"/>
    </row>
    <row r="288" customFormat="false" ht="15" hidden="false" customHeight="true" outlineLevel="0" collapsed="false">
      <c r="A288" s="42"/>
      <c r="B288" s="42"/>
      <c r="C288" s="42"/>
      <c r="D288" s="28" t="str">
        <f aca="false">IF(OR($B288="",$C288=""),"",$C288*IFERROR(INDEX(Setup!$C$47:$C$56,MATCH($B288,Setup!$A$47:$A$56,0)),IFERROR(INDEX(Setup!$C$60:$C$89,MATCH($B288,Setup!$A$60:$A$89,0)),"")))</f>
        <v/>
      </c>
      <c r="E288" s="42"/>
      <c r="F288" s="42"/>
    </row>
    <row r="289" customFormat="false" ht="15" hidden="false" customHeight="true" outlineLevel="0" collapsed="false">
      <c r="A289" s="42"/>
      <c r="B289" s="42"/>
      <c r="C289" s="42"/>
      <c r="D289" s="28" t="str">
        <f aca="false">IF(OR($B289="",$C289=""),"",$C289*IFERROR(INDEX(Setup!$C$47:$C$56,MATCH($B289,Setup!$A$47:$A$56,0)),IFERROR(INDEX(Setup!$C$60:$C$89,MATCH($B289,Setup!$A$60:$A$89,0)),"")))</f>
        <v/>
      </c>
      <c r="E289" s="42"/>
      <c r="F289" s="42"/>
    </row>
    <row r="290" customFormat="false" ht="15" hidden="false" customHeight="true" outlineLevel="0" collapsed="false">
      <c r="A290" s="42"/>
      <c r="B290" s="42"/>
      <c r="C290" s="42"/>
      <c r="D290" s="28" t="str">
        <f aca="false">IF(OR($B290="",$C290=""),"",$C290*IFERROR(INDEX(Setup!$C$47:$C$56,MATCH($B290,Setup!$A$47:$A$56,0)),IFERROR(INDEX(Setup!$C$60:$C$89,MATCH($B290,Setup!$A$60:$A$89,0)),"")))</f>
        <v/>
      </c>
      <c r="E290" s="42"/>
      <c r="F290" s="42"/>
    </row>
    <row r="291" customFormat="false" ht="15" hidden="false" customHeight="true" outlineLevel="0" collapsed="false">
      <c r="A291" s="42"/>
      <c r="B291" s="42"/>
      <c r="C291" s="42"/>
      <c r="D291" s="28" t="str">
        <f aca="false">IF(OR($B291="",$C291=""),"",$C291*IFERROR(INDEX(Setup!$C$47:$C$56,MATCH($B291,Setup!$A$47:$A$56,0)),IFERROR(INDEX(Setup!$C$60:$C$89,MATCH($B291,Setup!$A$60:$A$89,0)),"")))</f>
        <v/>
      </c>
      <c r="E291" s="42"/>
      <c r="F291" s="42"/>
    </row>
    <row r="292" customFormat="false" ht="15" hidden="false" customHeight="true" outlineLevel="0" collapsed="false">
      <c r="A292" s="42"/>
      <c r="B292" s="42"/>
      <c r="C292" s="42"/>
      <c r="D292" s="28" t="str">
        <f aca="false">IF(OR($B292="",$C292=""),"",$C292*IFERROR(INDEX(Setup!$C$47:$C$56,MATCH($B292,Setup!$A$47:$A$56,0)),IFERROR(INDEX(Setup!$C$60:$C$89,MATCH($B292,Setup!$A$60:$A$89,0)),"")))</f>
        <v/>
      </c>
      <c r="E292" s="42"/>
      <c r="F292" s="42"/>
    </row>
    <row r="293" customFormat="false" ht="15" hidden="false" customHeight="true" outlineLevel="0" collapsed="false">
      <c r="A293" s="42"/>
      <c r="B293" s="42"/>
      <c r="C293" s="42"/>
      <c r="D293" s="28" t="str">
        <f aca="false">IF(OR($B293="",$C293=""),"",$C293*IFERROR(INDEX(Setup!$C$47:$C$56,MATCH($B293,Setup!$A$47:$A$56,0)),IFERROR(INDEX(Setup!$C$60:$C$89,MATCH($B293,Setup!$A$60:$A$89,0)),"")))</f>
        <v/>
      </c>
      <c r="E293" s="42"/>
      <c r="F293" s="42"/>
    </row>
    <row r="294" customFormat="false" ht="15" hidden="false" customHeight="true" outlineLevel="0" collapsed="false">
      <c r="A294" s="42"/>
      <c r="B294" s="42"/>
      <c r="C294" s="42"/>
      <c r="D294" s="28" t="str">
        <f aca="false">IF(OR($B294="",$C294=""),"",$C294*IFERROR(INDEX(Setup!$C$47:$C$56,MATCH($B294,Setup!$A$47:$A$56,0)),IFERROR(INDEX(Setup!$C$60:$C$89,MATCH($B294,Setup!$A$60:$A$89,0)),"")))</f>
        <v/>
      </c>
      <c r="E294" s="42"/>
      <c r="F294" s="42"/>
    </row>
    <row r="295" customFormat="false" ht="15" hidden="false" customHeight="true" outlineLevel="0" collapsed="false">
      <c r="A295" s="42"/>
      <c r="B295" s="42"/>
      <c r="C295" s="42"/>
      <c r="D295" s="28" t="str">
        <f aca="false">IF(OR($B295="",$C295=""),"",$C295*IFERROR(INDEX(Setup!$C$47:$C$56,MATCH($B295,Setup!$A$47:$A$56,0)),IFERROR(INDEX(Setup!$C$60:$C$89,MATCH($B295,Setup!$A$60:$A$89,0)),"")))</f>
        <v/>
      </c>
      <c r="E295" s="42"/>
      <c r="F295" s="42"/>
    </row>
    <row r="296" customFormat="false" ht="15" hidden="false" customHeight="true" outlineLevel="0" collapsed="false">
      <c r="A296" s="42"/>
      <c r="B296" s="42"/>
      <c r="C296" s="42"/>
      <c r="D296" s="28" t="str">
        <f aca="false">IF(OR($B296="",$C296=""),"",$C296*IFERROR(INDEX(Setup!$C$47:$C$56,MATCH($B296,Setup!$A$47:$A$56,0)),IFERROR(INDEX(Setup!$C$60:$C$89,MATCH($B296,Setup!$A$60:$A$89,0)),"")))</f>
        <v/>
      </c>
      <c r="E296" s="42"/>
      <c r="F296" s="42"/>
    </row>
    <row r="297" customFormat="false" ht="15" hidden="false" customHeight="true" outlineLevel="0" collapsed="false">
      <c r="A297" s="42"/>
      <c r="B297" s="42"/>
      <c r="C297" s="42"/>
      <c r="D297" s="28" t="str">
        <f aca="false">IF(OR($B297="",$C297=""),"",$C297*IFERROR(INDEX(Setup!$C$47:$C$56,MATCH($B297,Setup!$A$47:$A$56,0)),IFERROR(INDEX(Setup!$C$60:$C$89,MATCH($B297,Setup!$A$60:$A$89,0)),"")))</f>
        <v/>
      </c>
      <c r="E297" s="42"/>
      <c r="F297" s="42"/>
    </row>
    <row r="298" customFormat="false" ht="15" hidden="false" customHeight="true" outlineLevel="0" collapsed="false">
      <c r="A298" s="42"/>
      <c r="B298" s="42"/>
      <c r="C298" s="42"/>
      <c r="D298" s="28" t="str">
        <f aca="false">IF(OR($B298="",$C298=""),"",$C298*IFERROR(INDEX(Setup!$C$47:$C$56,MATCH($B298,Setup!$A$47:$A$56,0)),IFERROR(INDEX(Setup!$C$60:$C$89,MATCH($B298,Setup!$A$60:$A$89,0)),"")))</f>
        <v/>
      </c>
      <c r="E298" s="42"/>
      <c r="F298" s="42"/>
    </row>
    <row r="299" customFormat="false" ht="15" hidden="false" customHeight="true" outlineLevel="0" collapsed="false">
      <c r="A299" s="42"/>
      <c r="B299" s="42"/>
      <c r="C299" s="42"/>
      <c r="D299" s="28" t="str">
        <f aca="false">IF(OR($B299="",$C299=""),"",$C299*IFERROR(INDEX(Setup!$C$47:$C$56,MATCH($B299,Setup!$A$47:$A$56,0)),IFERROR(INDEX(Setup!$C$60:$C$89,MATCH($B299,Setup!$A$60:$A$89,0)),"")))</f>
        <v/>
      </c>
      <c r="E299" s="42"/>
      <c r="F299" s="42"/>
    </row>
    <row r="300" customFormat="false" ht="15" hidden="false" customHeight="true" outlineLevel="0" collapsed="false">
      <c r="A300" s="42"/>
      <c r="B300" s="42"/>
      <c r="C300" s="42"/>
      <c r="D300" s="28" t="str">
        <f aca="false">IF(OR($B300="",$C300=""),"",$C300*IFERROR(INDEX(Setup!$C$47:$C$56,MATCH($B300,Setup!$A$47:$A$56,0)),IFERROR(INDEX(Setup!$C$60:$C$89,MATCH($B300,Setup!$A$60:$A$89,0)),"")))</f>
        <v/>
      </c>
      <c r="E300" s="42"/>
      <c r="F300" s="42"/>
    </row>
    <row r="301" customFormat="false" ht="15" hidden="false" customHeight="true" outlineLevel="0" collapsed="false">
      <c r="A301" s="42"/>
      <c r="B301" s="42"/>
      <c r="C301" s="42"/>
      <c r="D301" s="28" t="str">
        <f aca="false">IF(OR($B301="",$C301=""),"",$C301*IFERROR(INDEX(Setup!$C$47:$C$56,MATCH($B301,Setup!$A$47:$A$56,0)),IFERROR(INDEX(Setup!$C$60:$C$89,MATCH($B301,Setup!$A$60:$A$89,0)),"")))</f>
        <v/>
      </c>
      <c r="E301" s="42"/>
      <c r="F301" s="42"/>
    </row>
    <row r="302" customFormat="false" ht="15" hidden="false" customHeight="true" outlineLevel="0" collapsed="false">
      <c r="A302" s="42"/>
      <c r="B302" s="42"/>
      <c r="C302" s="42"/>
      <c r="D302" s="28" t="str">
        <f aca="false">IF(OR($B302="",$C302=""),"",$C302*IFERROR(INDEX(Setup!$C$47:$C$56,MATCH($B302,Setup!$A$47:$A$56,0)),IFERROR(INDEX(Setup!$C$60:$C$89,MATCH($B302,Setup!$A$60:$A$89,0)),"")))</f>
        <v/>
      </c>
      <c r="E302" s="42"/>
      <c r="F302" s="42"/>
    </row>
    <row r="303" customFormat="false" ht="15" hidden="false" customHeight="true" outlineLevel="0" collapsed="false">
      <c r="A303" s="42"/>
      <c r="B303" s="42"/>
      <c r="C303" s="42"/>
      <c r="D303" s="28" t="str">
        <f aca="false">IF(OR($B303="",$C303=""),"",$C303*IFERROR(INDEX(Setup!$C$47:$C$56,MATCH($B303,Setup!$A$47:$A$56,0)),IFERROR(INDEX(Setup!$C$60:$C$89,MATCH($B303,Setup!$A$60:$A$89,0)),"")))</f>
        <v/>
      </c>
      <c r="E303" s="42"/>
      <c r="F303" s="42"/>
    </row>
    <row r="304" customFormat="false" ht="15" hidden="false" customHeight="true" outlineLevel="0" collapsed="false">
      <c r="A304" s="42"/>
      <c r="B304" s="42"/>
      <c r="C304" s="42"/>
      <c r="D304" s="28" t="str">
        <f aca="false">IF(OR($B304="",$C304=""),"",$C304*IFERROR(INDEX(Setup!$C$47:$C$56,MATCH($B304,Setup!$A$47:$A$56,0)),IFERROR(INDEX(Setup!$C$60:$C$89,MATCH($B304,Setup!$A$60:$A$89,0)),"")))</f>
        <v/>
      </c>
      <c r="E304" s="42"/>
      <c r="F304" s="42"/>
    </row>
    <row r="305" customFormat="false" ht="15" hidden="false" customHeight="true" outlineLevel="0" collapsed="false">
      <c r="A305" s="42"/>
      <c r="B305" s="42"/>
      <c r="C305" s="42"/>
      <c r="D305" s="28" t="str">
        <f aca="false">IF(OR($B305="",$C305=""),"",$C305*IFERROR(INDEX(Setup!$C$47:$C$56,MATCH($B305,Setup!$A$47:$A$56,0)),IFERROR(INDEX(Setup!$C$60:$C$89,MATCH($B305,Setup!$A$60:$A$89,0)),"")))</f>
        <v/>
      </c>
      <c r="E305" s="42"/>
      <c r="F305" s="42"/>
    </row>
    <row r="306" customFormat="false" ht="15" hidden="false" customHeight="true" outlineLevel="0" collapsed="false">
      <c r="A306" s="42"/>
      <c r="B306" s="42"/>
      <c r="C306" s="42"/>
      <c r="D306" s="28" t="str">
        <f aca="false">IF(OR($B306="",$C306=""),"",$C306*IFERROR(INDEX(Setup!$C$47:$C$56,MATCH($B306,Setup!$A$47:$A$56,0)),IFERROR(INDEX(Setup!$C$60:$C$89,MATCH($B306,Setup!$A$60:$A$89,0)),"")))</f>
        <v/>
      </c>
      <c r="E306" s="42"/>
      <c r="F306" s="42"/>
    </row>
    <row r="307" customFormat="false" ht="15" hidden="false" customHeight="true" outlineLevel="0" collapsed="false">
      <c r="A307" s="42"/>
      <c r="B307" s="42"/>
      <c r="C307" s="42"/>
      <c r="D307" s="28" t="str">
        <f aca="false">IF(OR($B307="",$C307=""),"",$C307*IFERROR(INDEX(Setup!$C$47:$C$56,MATCH($B307,Setup!$A$47:$A$56,0)),IFERROR(INDEX(Setup!$C$60:$C$89,MATCH($B307,Setup!$A$60:$A$89,0)),"")))</f>
        <v/>
      </c>
      <c r="E307" s="42"/>
      <c r="F307" s="42"/>
    </row>
    <row r="308" customFormat="false" ht="15" hidden="false" customHeight="true" outlineLevel="0" collapsed="false">
      <c r="A308" s="42"/>
      <c r="B308" s="42"/>
      <c r="C308" s="42"/>
      <c r="D308" s="28" t="str">
        <f aca="false">IF(OR($B308="",$C308=""),"",$C308*IFERROR(INDEX(Setup!$C$47:$C$56,MATCH($B308,Setup!$A$47:$A$56,0)),IFERROR(INDEX(Setup!$C$60:$C$89,MATCH($B308,Setup!$A$60:$A$89,0)),"")))</f>
        <v/>
      </c>
      <c r="E308" s="42"/>
      <c r="F308" s="42"/>
    </row>
    <row r="309" customFormat="false" ht="15" hidden="false" customHeight="true" outlineLevel="0" collapsed="false">
      <c r="A309" s="42"/>
      <c r="B309" s="42"/>
      <c r="C309" s="42"/>
      <c r="D309" s="28" t="str">
        <f aca="false">IF(OR($B309="",$C309=""),"",$C309*IFERROR(INDEX(Setup!$C$47:$C$56,MATCH($B309,Setup!$A$47:$A$56,0)),IFERROR(INDEX(Setup!$C$60:$C$89,MATCH($B309,Setup!$A$60:$A$89,0)),"")))</f>
        <v/>
      </c>
      <c r="E309" s="42"/>
      <c r="F309" s="42"/>
    </row>
    <row r="310" customFormat="false" ht="15" hidden="false" customHeight="true" outlineLevel="0" collapsed="false">
      <c r="A310" s="42"/>
      <c r="B310" s="42"/>
      <c r="C310" s="42"/>
      <c r="D310" s="28" t="str">
        <f aca="false">IF(OR($B310="",$C310=""),"",$C310*IFERROR(INDEX(Setup!$C$47:$C$56,MATCH($B310,Setup!$A$47:$A$56,0)),IFERROR(INDEX(Setup!$C$60:$C$89,MATCH($B310,Setup!$A$60:$A$89,0)),"")))</f>
        <v/>
      </c>
      <c r="E310" s="42"/>
      <c r="F310" s="42"/>
    </row>
    <row r="311" customFormat="false" ht="15" hidden="false" customHeight="true" outlineLevel="0" collapsed="false">
      <c r="A311" s="42"/>
      <c r="B311" s="42"/>
      <c r="C311" s="42"/>
      <c r="D311" s="28" t="str">
        <f aca="false">IF(OR($B311="",$C311=""),"",$C311*IFERROR(INDEX(Setup!$C$47:$C$56,MATCH($B311,Setup!$A$47:$A$56,0)),IFERROR(INDEX(Setup!$C$60:$C$89,MATCH($B311,Setup!$A$60:$A$89,0)),"")))</f>
        <v/>
      </c>
      <c r="E311" s="42"/>
      <c r="F311" s="42"/>
    </row>
    <row r="312" customFormat="false" ht="15" hidden="false" customHeight="true" outlineLevel="0" collapsed="false">
      <c r="A312" s="42"/>
      <c r="B312" s="42"/>
      <c r="C312" s="42"/>
      <c r="D312" s="28" t="str">
        <f aca="false">IF(OR($B312="",$C312=""),"",$C312*IFERROR(INDEX(Setup!$C$47:$C$56,MATCH($B312,Setup!$A$47:$A$56,0)),IFERROR(INDEX(Setup!$C$60:$C$89,MATCH($B312,Setup!$A$60:$A$89,0)),"")))</f>
        <v/>
      </c>
      <c r="E312" s="42"/>
      <c r="F312" s="42"/>
    </row>
    <row r="313" customFormat="false" ht="15" hidden="false" customHeight="true" outlineLevel="0" collapsed="false">
      <c r="A313" s="42"/>
      <c r="B313" s="42"/>
      <c r="C313" s="42"/>
      <c r="D313" s="28" t="str">
        <f aca="false">IF(OR($B313="",$C313=""),"",$C313*IFERROR(INDEX(Setup!$C$47:$C$56,MATCH($B313,Setup!$A$47:$A$56,0)),IFERROR(INDEX(Setup!$C$60:$C$89,MATCH($B313,Setup!$A$60:$A$89,0)),"")))</f>
        <v/>
      </c>
      <c r="E313" s="42"/>
      <c r="F313" s="42"/>
    </row>
    <row r="314" customFormat="false" ht="15" hidden="false" customHeight="true" outlineLevel="0" collapsed="false">
      <c r="A314" s="42"/>
      <c r="B314" s="42"/>
      <c r="C314" s="42"/>
      <c r="D314" s="28" t="str">
        <f aca="false">IF(OR($B314="",$C314=""),"",$C314*IFERROR(INDEX(Setup!$C$47:$C$56,MATCH($B314,Setup!$A$47:$A$56,0)),IFERROR(INDEX(Setup!$C$60:$C$89,MATCH($B314,Setup!$A$60:$A$89,0)),"")))</f>
        <v/>
      </c>
      <c r="E314" s="42"/>
      <c r="F314" s="42"/>
    </row>
    <row r="315" customFormat="false" ht="15" hidden="false" customHeight="true" outlineLevel="0" collapsed="false">
      <c r="A315" s="42"/>
      <c r="B315" s="42"/>
      <c r="C315" s="42"/>
      <c r="D315" s="28" t="str">
        <f aca="false">IF(OR($B315="",$C315=""),"",$C315*IFERROR(INDEX(Setup!$C$47:$C$56,MATCH($B315,Setup!$A$47:$A$56,0)),IFERROR(INDEX(Setup!$C$60:$C$89,MATCH($B315,Setup!$A$60:$A$89,0)),"")))</f>
        <v/>
      </c>
      <c r="E315" s="42"/>
      <c r="F315" s="42"/>
    </row>
    <row r="316" customFormat="false" ht="15" hidden="false" customHeight="true" outlineLevel="0" collapsed="false">
      <c r="A316" s="42"/>
      <c r="B316" s="42"/>
      <c r="C316" s="42"/>
      <c r="D316" s="28" t="str">
        <f aca="false">IF(OR($B316="",$C316=""),"",$C316*IFERROR(INDEX(Setup!$C$47:$C$56,MATCH($B316,Setup!$A$47:$A$56,0)),IFERROR(INDEX(Setup!$C$60:$C$89,MATCH($B316,Setup!$A$60:$A$89,0)),"")))</f>
        <v/>
      </c>
      <c r="E316" s="42"/>
      <c r="F316" s="42"/>
    </row>
    <row r="317" customFormat="false" ht="15" hidden="false" customHeight="true" outlineLevel="0" collapsed="false">
      <c r="A317" s="42"/>
      <c r="B317" s="42"/>
      <c r="C317" s="42"/>
      <c r="D317" s="28" t="str">
        <f aca="false">IF(OR($B317="",$C317=""),"",$C317*IFERROR(INDEX(Setup!$C$47:$C$56,MATCH($B317,Setup!$A$47:$A$56,0)),IFERROR(INDEX(Setup!$C$60:$C$89,MATCH($B317,Setup!$A$60:$A$89,0)),"")))</f>
        <v/>
      </c>
      <c r="E317" s="42"/>
      <c r="F317" s="42"/>
    </row>
    <row r="318" customFormat="false" ht="15" hidden="false" customHeight="true" outlineLevel="0" collapsed="false">
      <c r="A318" s="42"/>
      <c r="B318" s="42"/>
      <c r="C318" s="42"/>
      <c r="D318" s="28" t="str">
        <f aca="false">IF(OR($B318="",$C318=""),"",$C318*IFERROR(INDEX(Setup!$C$47:$C$56,MATCH($B318,Setup!$A$47:$A$56,0)),IFERROR(INDEX(Setup!$C$60:$C$89,MATCH($B318,Setup!$A$60:$A$89,0)),"")))</f>
        <v/>
      </c>
      <c r="E318" s="42"/>
      <c r="F318" s="42"/>
    </row>
    <row r="319" customFormat="false" ht="15" hidden="false" customHeight="true" outlineLevel="0" collapsed="false">
      <c r="A319" s="42"/>
      <c r="B319" s="42"/>
      <c r="C319" s="42"/>
      <c r="D319" s="28" t="str">
        <f aca="false">IF(OR($B319="",$C319=""),"",$C319*IFERROR(INDEX(Setup!$C$47:$C$56,MATCH($B319,Setup!$A$47:$A$56,0)),IFERROR(INDEX(Setup!$C$60:$C$89,MATCH($B319,Setup!$A$60:$A$89,0)),"")))</f>
        <v/>
      </c>
      <c r="E319" s="42"/>
      <c r="F319" s="42"/>
    </row>
    <row r="320" customFormat="false" ht="15" hidden="false" customHeight="true" outlineLevel="0" collapsed="false">
      <c r="A320" s="42"/>
      <c r="B320" s="42"/>
      <c r="C320" s="42"/>
      <c r="D320" s="28" t="str">
        <f aca="false">IF(OR($B320="",$C320=""),"",$C320*IFERROR(INDEX(Setup!$C$47:$C$56,MATCH($B320,Setup!$A$47:$A$56,0)),IFERROR(INDEX(Setup!$C$60:$C$89,MATCH($B320,Setup!$A$60:$A$89,0)),"")))</f>
        <v/>
      </c>
      <c r="E320" s="42"/>
      <c r="F320" s="42"/>
    </row>
    <row r="321" customFormat="false" ht="15" hidden="false" customHeight="true" outlineLevel="0" collapsed="false">
      <c r="A321" s="42"/>
      <c r="B321" s="42"/>
      <c r="C321" s="42"/>
      <c r="D321" s="28" t="str">
        <f aca="false">IF(OR($B321="",$C321=""),"",$C321*IFERROR(INDEX(Setup!$C$47:$C$56,MATCH($B321,Setup!$A$47:$A$56,0)),IFERROR(INDEX(Setup!$C$60:$C$89,MATCH($B321,Setup!$A$60:$A$89,0)),"")))</f>
        <v/>
      </c>
      <c r="E321" s="42"/>
      <c r="F321" s="42"/>
    </row>
    <row r="322" customFormat="false" ht="15" hidden="false" customHeight="true" outlineLevel="0" collapsed="false">
      <c r="A322" s="42"/>
      <c r="B322" s="42"/>
      <c r="C322" s="42"/>
      <c r="D322" s="28" t="str">
        <f aca="false">IF(OR($B322="",$C322=""),"",$C322*IFERROR(INDEX(Setup!$C$47:$C$56,MATCH($B322,Setup!$A$47:$A$56,0)),IFERROR(INDEX(Setup!$C$60:$C$89,MATCH($B322,Setup!$A$60:$A$89,0)),"")))</f>
        <v/>
      </c>
      <c r="E322" s="42"/>
      <c r="F322" s="42"/>
    </row>
    <row r="323" customFormat="false" ht="15" hidden="false" customHeight="true" outlineLevel="0" collapsed="false">
      <c r="A323" s="42"/>
      <c r="B323" s="42"/>
      <c r="C323" s="42"/>
      <c r="D323" s="28" t="str">
        <f aca="false">IF(OR($B323="",$C323=""),"",$C323*IFERROR(INDEX(Setup!$C$47:$C$56,MATCH($B323,Setup!$A$47:$A$56,0)),IFERROR(INDEX(Setup!$C$60:$C$89,MATCH($B323,Setup!$A$60:$A$89,0)),"")))</f>
        <v/>
      </c>
      <c r="E323" s="42"/>
      <c r="F323" s="42"/>
    </row>
    <row r="324" customFormat="false" ht="15" hidden="false" customHeight="true" outlineLevel="0" collapsed="false">
      <c r="A324" s="42"/>
      <c r="B324" s="42"/>
      <c r="C324" s="42"/>
      <c r="D324" s="28" t="str">
        <f aca="false">IF(OR($B324="",$C324=""),"",$C324*IFERROR(INDEX(Setup!$C$47:$C$56,MATCH($B324,Setup!$A$47:$A$56,0)),IFERROR(INDEX(Setup!$C$60:$C$89,MATCH($B324,Setup!$A$60:$A$89,0)),"")))</f>
        <v/>
      </c>
      <c r="E324" s="42"/>
      <c r="F324" s="42"/>
    </row>
    <row r="325" customFormat="false" ht="15" hidden="false" customHeight="true" outlineLevel="0" collapsed="false">
      <c r="A325" s="42"/>
      <c r="B325" s="42"/>
      <c r="C325" s="42"/>
      <c r="D325" s="28" t="str">
        <f aca="false">IF(OR($B325="",$C325=""),"",$C325*IFERROR(INDEX(Setup!$C$47:$C$56,MATCH($B325,Setup!$A$47:$A$56,0)),IFERROR(INDEX(Setup!$C$60:$C$89,MATCH($B325,Setup!$A$60:$A$89,0)),"")))</f>
        <v/>
      </c>
      <c r="E325" s="42"/>
      <c r="F325" s="42"/>
    </row>
    <row r="326" customFormat="false" ht="15" hidden="false" customHeight="true" outlineLevel="0" collapsed="false">
      <c r="A326" s="42"/>
      <c r="B326" s="42"/>
      <c r="C326" s="42"/>
      <c r="D326" s="28" t="str">
        <f aca="false">IF(OR($B326="",$C326=""),"",$C326*IFERROR(INDEX(Setup!$C$47:$C$56,MATCH($B326,Setup!$A$47:$A$56,0)),IFERROR(INDEX(Setup!$C$60:$C$89,MATCH($B326,Setup!$A$60:$A$89,0)),"")))</f>
        <v/>
      </c>
      <c r="E326" s="42"/>
      <c r="F326" s="42"/>
    </row>
    <row r="327" customFormat="false" ht="15" hidden="false" customHeight="true" outlineLevel="0" collapsed="false">
      <c r="A327" s="42"/>
      <c r="B327" s="42"/>
      <c r="C327" s="42"/>
      <c r="D327" s="28" t="str">
        <f aca="false">IF(OR($B327="",$C327=""),"",$C327*IFERROR(INDEX(Setup!$C$47:$C$56,MATCH($B327,Setup!$A$47:$A$56,0)),IFERROR(INDEX(Setup!$C$60:$C$89,MATCH($B327,Setup!$A$60:$A$89,0)),"")))</f>
        <v/>
      </c>
      <c r="E327" s="42"/>
      <c r="F327" s="42"/>
    </row>
    <row r="328" customFormat="false" ht="15" hidden="false" customHeight="true" outlineLevel="0" collapsed="false">
      <c r="A328" s="42"/>
      <c r="B328" s="42"/>
      <c r="C328" s="42"/>
      <c r="D328" s="28" t="str">
        <f aca="false">IF(OR($B328="",$C328=""),"",$C328*IFERROR(INDEX(Setup!$C$47:$C$56,MATCH($B328,Setup!$A$47:$A$56,0)),IFERROR(INDEX(Setup!$C$60:$C$89,MATCH($B328,Setup!$A$60:$A$89,0)),"")))</f>
        <v/>
      </c>
      <c r="E328" s="42"/>
      <c r="F328" s="42"/>
    </row>
    <row r="329" customFormat="false" ht="15" hidden="false" customHeight="true" outlineLevel="0" collapsed="false">
      <c r="A329" s="42"/>
      <c r="B329" s="42"/>
      <c r="C329" s="42"/>
      <c r="D329" s="28" t="str">
        <f aca="false">IF(OR($B329="",$C329=""),"",$C329*IFERROR(INDEX(Setup!$C$47:$C$56,MATCH($B329,Setup!$A$47:$A$56,0)),IFERROR(INDEX(Setup!$C$60:$C$89,MATCH($B329,Setup!$A$60:$A$89,0)),"")))</f>
        <v/>
      </c>
      <c r="E329" s="42"/>
      <c r="F329" s="42"/>
    </row>
    <row r="330" customFormat="false" ht="15" hidden="false" customHeight="true" outlineLevel="0" collapsed="false">
      <c r="A330" s="42"/>
      <c r="B330" s="42"/>
      <c r="C330" s="42"/>
      <c r="D330" s="28" t="str">
        <f aca="false">IF(OR($B330="",$C330=""),"",$C330*IFERROR(INDEX(Setup!$C$47:$C$56,MATCH($B330,Setup!$A$47:$A$56,0)),IFERROR(INDEX(Setup!$C$60:$C$89,MATCH($B330,Setup!$A$60:$A$89,0)),"")))</f>
        <v/>
      </c>
      <c r="E330" s="42"/>
      <c r="F330" s="42"/>
    </row>
    <row r="331" customFormat="false" ht="15" hidden="false" customHeight="true" outlineLevel="0" collapsed="false">
      <c r="A331" s="42"/>
      <c r="B331" s="42"/>
      <c r="C331" s="42"/>
      <c r="D331" s="28" t="str">
        <f aca="false">IF(OR($B331="",$C331=""),"",$C331*IFERROR(INDEX(Setup!$C$47:$C$56,MATCH($B331,Setup!$A$47:$A$56,0)),IFERROR(INDEX(Setup!$C$60:$C$89,MATCH($B331,Setup!$A$60:$A$89,0)),"")))</f>
        <v/>
      </c>
      <c r="E331" s="42"/>
      <c r="F331" s="42"/>
    </row>
    <row r="332" customFormat="false" ht="15" hidden="false" customHeight="true" outlineLevel="0" collapsed="false">
      <c r="A332" s="42"/>
      <c r="B332" s="42"/>
      <c r="C332" s="42"/>
      <c r="D332" s="28" t="str">
        <f aca="false">IF(OR($B332="",$C332=""),"",$C332*IFERROR(INDEX(Setup!$C$47:$C$56,MATCH($B332,Setup!$A$47:$A$56,0)),IFERROR(INDEX(Setup!$C$60:$C$89,MATCH($B332,Setup!$A$60:$A$89,0)),"")))</f>
        <v/>
      </c>
      <c r="E332" s="42"/>
      <c r="F332" s="42"/>
    </row>
    <row r="333" customFormat="false" ht="15" hidden="false" customHeight="true" outlineLevel="0" collapsed="false">
      <c r="A333" s="42"/>
      <c r="B333" s="42"/>
      <c r="C333" s="42"/>
      <c r="D333" s="28" t="str">
        <f aca="false">IF(OR($B333="",$C333=""),"",$C333*IFERROR(INDEX(Setup!$C$47:$C$56,MATCH($B333,Setup!$A$47:$A$56,0)),IFERROR(INDEX(Setup!$C$60:$C$89,MATCH($B333,Setup!$A$60:$A$89,0)),"")))</f>
        <v/>
      </c>
      <c r="E333" s="42"/>
      <c r="F333" s="42"/>
    </row>
    <row r="334" customFormat="false" ht="15" hidden="false" customHeight="true" outlineLevel="0" collapsed="false">
      <c r="A334" s="42"/>
      <c r="B334" s="42"/>
      <c r="C334" s="42"/>
      <c r="D334" s="28" t="str">
        <f aca="false">IF(OR($B334="",$C334=""),"",$C334*IFERROR(INDEX(Setup!$C$47:$C$56,MATCH($B334,Setup!$A$47:$A$56,0)),IFERROR(INDEX(Setup!$C$60:$C$89,MATCH($B334,Setup!$A$60:$A$89,0)),"")))</f>
        <v/>
      </c>
      <c r="E334" s="42"/>
      <c r="F334" s="42"/>
    </row>
    <row r="335" customFormat="false" ht="15" hidden="false" customHeight="true" outlineLevel="0" collapsed="false">
      <c r="A335" s="42"/>
      <c r="B335" s="42"/>
      <c r="C335" s="42"/>
      <c r="D335" s="28" t="str">
        <f aca="false">IF(OR($B335="",$C335=""),"",$C335*IFERROR(INDEX(Setup!$C$47:$C$56,MATCH($B335,Setup!$A$47:$A$56,0)),IFERROR(INDEX(Setup!$C$60:$C$89,MATCH($B335,Setup!$A$60:$A$89,0)),"")))</f>
        <v/>
      </c>
      <c r="E335" s="42"/>
      <c r="F335" s="42"/>
    </row>
    <row r="336" customFormat="false" ht="15" hidden="false" customHeight="true" outlineLevel="0" collapsed="false">
      <c r="A336" s="42"/>
      <c r="B336" s="42"/>
      <c r="C336" s="42"/>
      <c r="D336" s="28" t="str">
        <f aca="false">IF(OR($B336="",$C336=""),"",$C336*IFERROR(INDEX(Setup!$C$47:$C$56,MATCH($B336,Setup!$A$47:$A$56,0)),IFERROR(INDEX(Setup!$C$60:$C$89,MATCH($B336,Setup!$A$60:$A$89,0)),"")))</f>
        <v/>
      </c>
      <c r="E336" s="42"/>
      <c r="F336" s="42"/>
    </row>
    <row r="337" customFormat="false" ht="15" hidden="false" customHeight="true" outlineLevel="0" collapsed="false">
      <c r="A337" s="42"/>
      <c r="B337" s="42"/>
      <c r="C337" s="42"/>
      <c r="D337" s="28" t="str">
        <f aca="false">IF(OR($B337="",$C337=""),"",$C337*IFERROR(INDEX(Setup!$C$47:$C$56,MATCH($B337,Setup!$A$47:$A$56,0)),IFERROR(INDEX(Setup!$C$60:$C$89,MATCH($B337,Setup!$A$60:$A$89,0)),"")))</f>
        <v/>
      </c>
      <c r="E337" s="42"/>
      <c r="F337" s="42"/>
    </row>
    <row r="338" customFormat="false" ht="15" hidden="false" customHeight="true" outlineLevel="0" collapsed="false">
      <c r="A338" s="42"/>
      <c r="B338" s="42"/>
      <c r="C338" s="42"/>
      <c r="D338" s="28" t="str">
        <f aca="false">IF(OR($B338="",$C338=""),"",$C338*IFERROR(INDEX(Setup!$C$47:$C$56,MATCH($B338,Setup!$A$47:$A$56,0)),IFERROR(INDEX(Setup!$C$60:$C$89,MATCH($B338,Setup!$A$60:$A$89,0)),"")))</f>
        <v/>
      </c>
      <c r="E338" s="42"/>
      <c r="F338" s="42"/>
    </row>
    <row r="339" customFormat="false" ht="15" hidden="false" customHeight="true" outlineLevel="0" collapsed="false">
      <c r="A339" s="42"/>
      <c r="B339" s="42"/>
      <c r="C339" s="42"/>
      <c r="D339" s="28" t="str">
        <f aca="false">IF(OR($B339="",$C339=""),"",$C339*IFERROR(INDEX(Setup!$C$47:$C$56,MATCH($B339,Setup!$A$47:$A$56,0)),IFERROR(INDEX(Setup!$C$60:$C$89,MATCH($B339,Setup!$A$60:$A$89,0)),"")))</f>
        <v/>
      </c>
      <c r="E339" s="42"/>
      <c r="F339" s="42"/>
    </row>
    <row r="340" customFormat="false" ht="15" hidden="false" customHeight="true" outlineLevel="0" collapsed="false">
      <c r="A340" s="42"/>
      <c r="B340" s="42"/>
      <c r="C340" s="42"/>
      <c r="D340" s="28" t="str">
        <f aca="false">IF(OR($B340="",$C340=""),"",$C340*IFERROR(INDEX(Setup!$C$47:$C$56,MATCH($B340,Setup!$A$47:$A$56,0)),IFERROR(INDEX(Setup!$C$60:$C$89,MATCH($B340,Setup!$A$60:$A$89,0)),"")))</f>
        <v/>
      </c>
      <c r="E340" s="42"/>
      <c r="F340" s="42"/>
    </row>
    <row r="341" customFormat="false" ht="15" hidden="false" customHeight="true" outlineLevel="0" collapsed="false">
      <c r="A341" s="42"/>
      <c r="B341" s="42"/>
      <c r="C341" s="42"/>
      <c r="D341" s="28" t="str">
        <f aca="false">IF(OR($B341="",$C341=""),"",$C341*IFERROR(INDEX(Setup!$C$47:$C$56,MATCH($B341,Setup!$A$47:$A$56,0)),IFERROR(INDEX(Setup!$C$60:$C$89,MATCH($B341,Setup!$A$60:$A$89,0)),"")))</f>
        <v/>
      </c>
      <c r="E341" s="42"/>
      <c r="F341" s="42"/>
    </row>
    <row r="342" customFormat="false" ht="15" hidden="false" customHeight="true" outlineLevel="0" collapsed="false">
      <c r="A342" s="42"/>
      <c r="B342" s="42"/>
      <c r="C342" s="42"/>
      <c r="D342" s="28" t="str">
        <f aca="false">IF(OR($B342="",$C342=""),"",$C342*IFERROR(INDEX(Setup!$C$47:$C$56,MATCH($B342,Setup!$A$47:$A$56,0)),IFERROR(INDEX(Setup!$C$60:$C$89,MATCH($B342,Setup!$A$60:$A$89,0)),"")))</f>
        <v/>
      </c>
      <c r="E342" s="42"/>
      <c r="F342" s="42"/>
    </row>
    <row r="343" customFormat="false" ht="15" hidden="false" customHeight="true" outlineLevel="0" collapsed="false">
      <c r="A343" s="42"/>
      <c r="B343" s="42"/>
      <c r="C343" s="42"/>
      <c r="D343" s="28" t="str">
        <f aca="false">IF(OR($B343="",$C343=""),"",$C343*IFERROR(INDEX(Setup!$C$47:$C$56,MATCH($B343,Setup!$A$47:$A$56,0)),IFERROR(INDEX(Setup!$C$60:$C$89,MATCH($B343,Setup!$A$60:$A$89,0)),"")))</f>
        <v/>
      </c>
      <c r="E343" s="42"/>
      <c r="F343" s="42"/>
    </row>
    <row r="344" customFormat="false" ht="15" hidden="false" customHeight="true" outlineLevel="0" collapsed="false">
      <c r="A344" s="42"/>
      <c r="B344" s="42"/>
      <c r="C344" s="42"/>
      <c r="D344" s="28" t="str">
        <f aca="false">IF(OR($B344="",$C344=""),"",$C344*IFERROR(INDEX(Setup!$C$47:$C$56,MATCH($B344,Setup!$A$47:$A$56,0)),IFERROR(INDEX(Setup!$C$60:$C$89,MATCH($B344,Setup!$A$60:$A$89,0)),"")))</f>
        <v/>
      </c>
      <c r="E344" s="42"/>
      <c r="F344" s="42"/>
    </row>
    <row r="345" customFormat="false" ht="15" hidden="false" customHeight="true" outlineLevel="0" collapsed="false">
      <c r="A345" s="42"/>
      <c r="B345" s="42"/>
      <c r="C345" s="42"/>
      <c r="D345" s="28" t="str">
        <f aca="false">IF(OR($B345="",$C345=""),"",$C345*IFERROR(INDEX(Setup!$C$47:$C$56,MATCH($B345,Setup!$A$47:$A$56,0)),IFERROR(INDEX(Setup!$C$60:$C$89,MATCH($B345,Setup!$A$60:$A$89,0)),"")))</f>
        <v/>
      </c>
      <c r="E345" s="42"/>
      <c r="F345" s="42"/>
    </row>
    <row r="346" customFormat="false" ht="15" hidden="false" customHeight="true" outlineLevel="0" collapsed="false">
      <c r="A346" s="42"/>
      <c r="B346" s="42"/>
      <c r="C346" s="42"/>
      <c r="D346" s="28" t="str">
        <f aca="false">IF(OR($B346="",$C346=""),"",$C346*IFERROR(INDEX(Setup!$C$47:$C$56,MATCH($B346,Setup!$A$47:$A$56,0)),IFERROR(INDEX(Setup!$C$60:$C$89,MATCH($B346,Setup!$A$60:$A$89,0)),"")))</f>
        <v/>
      </c>
      <c r="E346" s="42"/>
      <c r="F346" s="42"/>
    </row>
    <row r="347" customFormat="false" ht="15" hidden="false" customHeight="true" outlineLevel="0" collapsed="false">
      <c r="A347" s="42"/>
      <c r="B347" s="42"/>
      <c r="C347" s="42"/>
      <c r="D347" s="28" t="str">
        <f aca="false">IF(OR($B347="",$C347=""),"",$C347*IFERROR(INDEX(Setup!$C$47:$C$56,MATCH($B347,Setup!$A$47:$A$56,0)),IFERROR(INDEX(Setup!$C$60:$C$89,MATCH($B347,Setup!$A$60:$A$89,0)),"")))</f>
        <v/>
      </c>
      <c r="E347" s="42"/>
      <c r="F347" s="42"/>
    </row>
    <row r="348" customFormat="false" ht="15" hidden="false" customHeight="true" outlineLevel="0" collapsed="false">
      <c r="A348" s="42"/>
      <c r="B348" s="42"/>
      <c r="C348" s="42"/>
      <c r="D348" s="28" t="str">
        <f aca="false">IF(OR($B348="",$C348=""),"",$C348*IFERROR(INDEX(Setup!$C$47:$C$56,MATCH($B348,Setup!$A$47:$A$56,0)),IFERROR(INDEX(Setup!$C$60:$C$89,MATCH($B348,Setup!$A$60:$A$89,0)),"")))</f>
        <v/>
      </c>
      <c r="E348" s="42"/>
      <c r="F348" s="42"/>
    </row>
    <row r="349" customFormat="false" ht="15" hidden="false" customHeight="true" outlineLevel="0" collapsed="false">
      <c r="A349" s="42"/>
      <c r="B349" s="42"/>
      <c r="C349" s="42"/>
      <c r="D349" s="28" t="str">
        <f aca="false">IF(OR($B349="",$C349=""),"",$C349*IFERROR(INDEX(Setup!$C$47:$C$56,MATCH($B349,Setup!$A$47:$A$56,0)),IFERROR(INDEX(Setup!$C$60:$C$89,MATCH($B349,Setup!$A$60:$A$89,0)),"")))</f>
        <v/>
      </c>
      <c r="E349" s="42"/>
      <c r="F349" s="42"/>
    </row>
    <row r="350" customFormat="false" ht="15" hidden="false" customHeight="true" outlineLevel="0" collapsed="false">
      <c r="A350" s="42"/>
      <c r="B350" s="42"/>
      <c r="C350" s="42"/>
      <c r="D350" s="28" t="str">
        <f aca="false">IF(OR($B350="",$C350=""),"",$C350*IFERROR(INDEX(Setup!$C$47:$C$56,MATCH($B350,Setup!$A$47:$A$56,0)),IFERROR(INDEX(Setup!$C$60:$C$89,MATCH($B350,Setup!$A$60:$A$89,0)),"")))</f>
        <v/>
      </c>
      <c r="E350" s="42"/>
      <c r="F350" s="42"/>
    </row>
    <row r="351" customFormat="false" ht="15" hidden="false" customHeight="true" outlineLevel="0" collapsed="false">
      <c r="A351" s="42"/>
      <c r="B351" s="42"/>
      <c r="C351" s="42"/>
      <c r="D351" s="28" t="str">
        <f aca="false">IF(OR($B351="",$C351=""),"",$C351*IFERROR(INDEX(Setup!$C$47:$C$56,MATCH($B351,Setup!$A$47:$A$56,0)),IFERROR(INDEX(Setup!$C$60:$C$89,MATCH($B351,Setup!$A$60:$A$89,0)),"")))</f>
        <v/>
      </c>
      <c r="E351" s="42"/>
      <c r="F351" s="42"/>
    </row>
    <row r="352" customFormat="false" ht="15" hidden="false" customHeight="true" outlineLevel="0" collapsed="false">
      <c r="A352" s="42"/>
      <c r="B352" s="42"/>
      <c r="C352" s="42"/>
      <c r="D352" s="28" t="str">
        <f aca="false">IF(OR($B352="",$C352=""),"",$C352*IFERROR(INDEX(Setup!$C$47:$C$56,MATCH($B352,Setup!$A$47:$A$56,0)),IFERROR(INDEX(Setup!$C$60:$C$89,MATCH($B352,Setup!$A$60:$A$89,0)),"")))</f>
        <v/>
      </c>
      <c r="E352" s="42"/>
      <c r="F352" s="42"/>
    </row>
    <row r="353" customFormat="false" ht="15" hidden="false" customHeight="true" outlineLevel="0" collapsed="false">
      <c r="A353" s="42"/>
      <c r="B353" s="42"/>
      <c r="C353" s="42"/>
      <c r="D353" s="28" t="str">
        <f aca="false">IF(OR($B353="",$C353=""),"",$C353*IFERROR(INDEX(Setup!$C$47:$C$56,MATCH($B353,Setup!$A$47:$A$56,0)),IFERROR(INDEX(Setup!$C$60:$C$89,MATCH($B353,Setup!$A$60:$A$89,0)),"")))</f>
        <v/>
      </c>
      <c r="E353" s="42"/>
      <c r="F353" s="42"/>
    </row>
    <row r="354" customFormat="false" ht="15" hidden="false" customHeight="true" outlineLevel="0" collapsed="false">
      <c r="A354" s="42"/>
      <c r="B354" s="42"/>
      <c r="C354" s="42"/>
      <c r="D354" s="28" t="str">
        <f aca="false">IF(OR($B354="",$C354=""),"",$C354*IFERROR(INDEX(Setup!$C$47:$C$56,MATCH($B354,Setup!$A$47:$A$56,0)),IFERROR(INDEX(Setup!$C$60:$C$89,MATCH($B354,Setup!$A$60:$A$89,0)),"")))</f>
        <v/>
      </c>
      <c r="E354" s="42"/>
      <c r="F354" s="42"/>
    </row>
    <row r="355" customFormat="false" ht="15" hidden="false" customHeight="true" outlineLevel="0" collapsed="false">
      <c r="A355" s="42"/>
      <c r="B355" s="42"/>
      <c r="C355" s="42"/>
      <c r="D355" s="28" t="str">
        <f aca="false">IF(OR($B355="",$C355=""),"",$C355*IFERROR(INDEX(Setup!$C$47:$C$56,MATCH($B355,Setup!$A$47:$A$56,0)),IFERROR(INDEX(Setup!$C$60:$C$89,MATCH($B355,Setup!$A$60:$A$89,0)),"")))</f>
        <v/>
      </c>
      <c r="E355" s="42"/>
      <c r="F355" s="42"/>
    </row>
    <row r="356" customFormat="false" ht="15" hidden="false" customHeight="true" outlineLevel="0" collapsed="false">
      <c r="A356" s="42"/>
      <c r="B356" s="42"/>
      <c r="C356" s="42"/>
      <c r="D356" s="28" t="str">
        <f aca="false">IF(OR($B356="",$C356=""),"",$C356*IFERROR(INDEX(Setup!$C$47:$C$56,MATCH($B356,Setup!$A$47:$A$56,0)),IFERROR(INDEX(Setup!$C$60:$C$89,MATCH($B356,Setup!$A$60:$A$89,0)),"")))</f>
        <v/>
      </c>
      <c r="E356" s="42"/>
      <c r="F356" s="42"/>
    </row>
    <row r="357" customFormat="false" ht="15" hidden="false" customHeight="true" outlineLevel="0" collapsed="false">
      <c r="A357" s="42"/>
      <c r="B357" s="42"/>
      <c r="C357" s="42"/>
      <c r="D357" s="28" t="str">
        <f aca="false">IF(OR($B357="",$C357=""),"",$C357*IFERROR(INDEX(Setup!$C$47:$C$56,MATCH($B357,Setup!$A$47:$A$56,0)),IFERROR(INDEX(Setup!$C$60:$C$89,MATCH($B357,Setup!$A$60:$A$89,0)),"")))</f>
        <v/>
      </c>
      <c r="E357" s="42"/>
      <c r="F357" s="42"/>
    </row>
    <row r="358" customFormat="false" ht="15" hidden="false" customHeight="true" outlineLevel="0" collapsed="false">
      <c r="A358" s="42"/>
      <c r="B358" s="42"/>
      <c r="C358" s="42"/>
      <c r="D358" s="28" t="str">
        <f aca="false">IF(OR($B358="",$C358=""),"",$C358*IFERROR(INDEX(Setup!$C$47:$C$56,MATCH($B358,Setup!$A$47:$A$56,0)),IFERROR(INDEX(Setup!$C$60:$C$89,MATCH($B358,Setup!$A$60:$A$89,0)),"")))</f>
        <v/>
      </c>
      <c r="E358" s="42"/>
      <c r="F358" s="42"/>
    </row>
    <row r="359" customFormat="false" ht="15" hidden="false" customHeight="true" outlineLevel="0" collapsed="false">
      <c r="A359" s="42"/>
      <c r="B359" s="42"/>
      <c r="C359" s="42"/>
      <c r="D359" s="28" t="str">
        <f aca="false">IF(OR($B359="",$C359=""),"",$C359*IFERROR(INDEX(Setup!$C$47:$C$56,MATCH($B359,Setup!$A$47:$A$56,0)),IFERROR(INDEX(Setup!$C$60:$C$89,MATCH($B359,Setup!$A$60:$A$89,0)),"")))</f>
        <v/>
      </c>
      <c r="E359" s="42"/>
      <c r="F359" s="42"/>
    </row>
    <row r="360" customFormat="false" ht="15" hidden="false" customHeight="true" outlineLevel="0" collapsed="false">
      <c r="A360" s="42"/>
      <c r="B360" s="42"/>
      <c r="C360" s="42"/>
      <c r="D360" s="28" t="str">
        <f aca="false">IF(OR($B360="",$C360=""),"",$C360*IFERROR(INDEX(Setup!$C$47:$C$56,MATCH($B360,Setup!$A$47:$A$56,0)),IFERROR(INDEX(Setup!$C$60:$C$89,MATCH($B360,Setup!$A$60:$A$89,0)),"")))</f>
        <v/>
      </c>
      <c r="E360" s="42"/>
      <c r="F360" s="42"/>
    </row>
    <row r="361" customFormat="false" ht="15" hidden="false" customHeight="true" outlineLevel="0" collapsed="false">
      <c r="A361" s="42"/>
      <c r="B361" s="42"/>
      <c r="C361" s="42"/>
      <c r="D361" s="28" t="str">
        <f aca="false">IF(OR($B361="",$C361=""),"",$C361*IFERROR(INDEX(Setup!$C$47:$C$56,MATCH($B361,Setup!$A$47:$A$56,0)),IFERROR(INDEX(Setup!$C$60:$C$89,MATCH($B361,Setup!$A$60:$A$89,0)),"")))</f>
        <v/>
      </c>
      <c r="E361" s="42"/>
      <c r="F361" s="42"/>
    </row>
    <row r="362" customFormat="false" ht="15" hidden="false" customHeight="true" outlineLevel="0" collapsed="false">
      <c r="A362" s="42"/>
      <c r="B362" s="42"/>
      <c r="C362" s="42"/>
      <c r="D362" s="28" t="str">
        <f aca="false">IF(OR($B362="",$C362=""),"",$C362*IFERROR(INDEX(Setup!$C$47:$C$56,MATCH($B362,Setup!$A$47:$A$56,0)),IFERROR(INDEX(Setup!$C$60:$C$89,MATCH($B362,Setup!$A$60:$A$89,0)),"")))</f>
        <v/>
      </c>
      <c r="E362" s="42"/>
      <c r="F362" s="42"/>
    </row>
    <row r="363" customFormat="false" ht="15" hidden="false" customHeight="true" outlineLevel="0" collapsed="false">
      <c r="A363" s="42"/>
      <c r="B363" s="42"/>
      <c r="C363" s="42"/>
      <c r="D363" s="28" t="str">
        <f aca="false">IF(OR($B363="",$C363=""),"",$C363*IFERROR(INDEX(Setup!$C$47:$C$56,MATCH($B363,Setup!$A$47:$A$56,0)),IFERROR(INDEX(Setup!$C$60:$C$89,MATCH($B363,Setup!$A$60:$A$89,0)),"")))</f>
        <v/>
      </c>
      <c r="E363" s="42"/>
      <c r="F363" s="42"/>
    </row>
    <row r="364" customFormat="false" ht="15" hidden="false" customHeight="true" outlineLevel="0" collapsed="false">
      <c r="A364" s="42"/>
      <c r="B364" s="42"/>
      <c r="C364" s="42"/>
      <c r="D364" s="28" t="str">
        <f aca="false">IF(OR($B364="",$C364=""),"",$C364*IFERROR(INDEX(Setup!$C$47:$C$56,MATCH($B364,Setup!$A$47:$A$56,0)),IFERROR(INDEX(Setup!$C$60:$C$89,MATCH($B364,Setup!$A$60:$A$89,0)),"")))</f>
        <v/>
      </c>
      <c r="E364" s="42"/>
      <c r="F364" s="42"/>
    </row>
    <row r="365" customFormat="false" ht="15" hidden="false" customHeight="true" outlineLevel="0" collapsed="false">
      <c r="A365" s="42"/>
      <c r="B365" s="42"/>
      <c r="C365" s="42"/>
      <c r="D365" s="28" t="str">
        <f aca="false">IF(OR($B365="",$C365=""),"",$C365*IFERROR(INDEX(Setup!$C$47:$C$56,MATCH($B365,Setup!$A$47:$A$56,0)),IFERROR(INDEX(Setup!$C$60:$C$89,MATCH($B365,Setup!$A$60:$A$89,0)),"")))</f>
        <v/>
      </c>
      <c r="E365" s="42"/>
      <c r="F365" s="42"/>
    </row>
    <row r="366" customFormat="false" ht="15" hidden="false" customHeight="true" outlineLevel="0" collapsed="false">
      <c r="A366" s="42"/>
      <c r="B366" s="42"/>
      <c r="C366" s="42"/>
      <c r="D366" s="28" t="str">
        <f aca="false">IF(OR($B366="",$C366=""),"",$C366*IFERROR(INDEX(Setup!$C$47:$C$56,MATCH($B366,Setup!$A$47:$A$56,0)),IFERROR(INDEX(Setup!$C$60:$C$89,MATCH($B366,Setup!$A$60:$A$89,0)),"")))</f>
        <v/>
      </c>
      <c r="E366" s="42"/>
      <c r="F366" s="42"/>
    </row>
    <row r="367" customFormat="false" ht="15" hidden="false" customHeight="true" outlineLevel="0" collapsed="false">
      <c r="A367" s="42"/>
      <c r="B367" s="42"/>
      <c r="C367" s="42"/>
      <c r="D367" s="28" t="str">
        <f aca="false">IF(OR($B367="",$C367=""),"",$C367*IFERROR(INDEX(Setup!$C$47:$C$56,MATCH($B367,Setup!$A$47:$A$56,0)),IFERROR(INDEX(Setup!$C$60:$C$89,MATCH($B367,Setup!$A$60:$A$89,0)),"")))</f>
        <v/>
      </c>
      <c r="E367" s="42"/>
      <c r="F367" s="42"/>
    </row>
    <row r="368" customFormat="false" ht="15" hidden="false" customHeight="true" outlineLevel="0" collapsed="false">
      <c r="A368" s="42"/>
      <c r="B368" s="42"/>
      <c r="C368" s="42"/>
      <c r="D368" s="28" t="str">
        <f aca="false">IF(OR($B368="",$C368=""),"",$C368*IFERROR(INDEX(Setup!$C$47:$C$56,MATCH($B368,Setup!$A$47:$A$56,0)),IFERROR(INDEX(Setup!$C$60:$C$89,MATCH($B368,Setup!$A$60:$A$89,0)),"")))</f>
        <v/>
      </c>
      <c r="E368" s="42"/>
      <c r="F368" s="42"/>
    </row>
    <row r="369" customFormat="false" ht="15" hidden="false" customHeight="true" outlineLevel="0" collapsed="false">
      <c r="A369" s="42"/>
      <c r="B369" s="42"/>
      <c r="C369" s="42"/>
      <c r="D369" s="28" t="str">
        <f aca="false">IF(OR($B369="",$C369=""),"",$C369*IFERROR(INDEX(Setup!$C$47:$C$56,MATCH($B369,Setup!$A$47:$A$56,0)),IFERROR(INDEX(Setup!$C$60:$C$89,MATCH($B369,Setup!$A$60:$A$89,0)),"")))</f>
        <v/>
      </c>
      <c r="E369" s="42"/>
      <c r="F369" s="42"/>
    </row>
    <row r="370" customFormat="false" ht="15" hidden="false" customHeight="true" outlineLevel="0" collapsed="false">
      <c r="A370" s="42"/>
      <c r="B370" s="42"/>
      <c r="C370" s="42"/>
      <c r="D370" s="28" t="str">
        <f aca="false">IF(OR($B370="",$C370=""),"",$C370*IFERROR(INDEX(Setup!$C$47:$C$56,MATCH($B370,Setup!$A$47:$A$56,0)),IFERROR(INDEX(Setup!$C$60:$C$89,MATCH($B370,Setup!$A$60:$A$89,0)),"")))</f>
        <v/>
      </c>
      <c r="E370" s="42"/>
      <c r="F370" s="42"/>
    </row>
    <row r="371" customFormat="false" ht="15" hidden="false" customHeight="true" outlineLevel="0" collapsed="false">
      <c r="A371" s="42"/>
      <c r="B371" s="42"/>
      <c r="C371" s="42"/>
      <c r="D371" s="28" t="str">
        <f aca="false">IF(OR($B371="",$C371=""),"",$C371*IFERROR(INDEX(Setup!$C$47:$C$56,MATCH($B371,Setup!$A$47:$A$56,0)),IFERROR(INDEX(Setup!$C$60:$C$89,MATCH($B371,Setup!$A$60:$A$89,0)),"")))</f>
        <v/>
      </c>
      <c r="E371" s="42"/>
      <c r="F371" s="42"/>
    </row>
    <row r="372" customFormat="false" ht="15" hidden="false" customHeight="true" outlineLevel="0" collapsed="false">
      <c r="A372" s="42"/>
      <c r="B372" s="42"/>
      <c r="C372" s="42"/>
      <c r="D372" s="28" t="str">
        <f aca="false">IF(OR($B372="",$C372=""),"",$C372*IFERROR(INDEX(Setup!$C$47:$C$56,MATCH($B372,Setup!$A$47:$A$56,0)),IFERROR(INDEX(Setup!$C$60:$C$89,MATCH($B372,Setup!$A$60:$A$89,0)),"")))</f>
        <v/>
      </c>
      <c r="E372" s="42"/>
      <c r="F372" s="42"/>
    </row>
    <row r="373" customFormat="false" ht="15" hidden="false" customHeight="true" outlineLevel="0" collapsed="false">
      <c r="A373" s="42"/>
      <c r="B373" s="42"/>
      <c r="C373" s="42"/>
      <c r="D373" s="28" t="str">
        <f aca="false">IF(OR($B373="",$C373=""),"",$C373*IFERROR(INDEX(Setup!$C$47:$C$56,MATCH($B373,Setup!$A$47:$A$56,0)),IFERROR(INDEX(Setup!$C$60:$C$89,MATCH($B373,Setup!$A$60:$A$89,0)),"")))</f>
        <v/>
      </c>
      <c r="E373" s="42"/>
      <c r="F373" s="42"/>
    </row>
    <row r="374" customFormat="false" ht="15" hidden="false" customHeight="true" outlineLevel="0" collapsed="false">
      <c r="A374" s="42"/>
      <c r="B374" s="42"/>
      <c r="C374" s="42"/>
      <c r="D374" s="28" t="str">
        <f aca="false">IF(OR($B374="",$C374=""),"",$C374*IFERROR(INDEX(Setup!$C$47:$C$56,MATCH($B374,Setup!$A$47:$A$56,0)),IFERROR(INDEX(Setup!$C$60:$C$89,MATCH($B374,Setup!$A$60:$A$89,0)),"")))</f>
        <v/>
      </c>
      <c r="E374" s="42"/>
      <c r="F374" s="42"/>
    </row>
    <row r="375" customFormat="false" ht="15" hidden="false" customHeight="true" outlineLevel="0" collapsed="false">
      <c r="A375" s="42"/>
      <c r="B375" s="42"/>
      <c r="C375" s="42"/>
      <c r="D375" s="28" t="str">
        <f aca="false">IF(OR($B375="",$C375=""),"",$C375*IFERROR(INDEX(Setup!$C$47:$C$56,MATCH($B375,Setup!$A$47:$A$56,0)),IFERROR(INDEX(Setup!$C$60:$C$89,MATCH($B375,Setup!$A$60:$A$89,0)),"")))</f>
        <v/>
      </c>
      <c r="E375" s="42"/>
      <c r="F375" s="42"/>
    </row>
    <row r="376" customFormat="false" ht="15" hidden="false" customHeight="true" outlineLevel="0" collapsed="false">
      <c r="A376" s="42"/>
      <c r="B376" s="42"/>
      <c r="C376" s="42"/>
      <c r="D376" s="28" t="str">
        <f aca="false">IF(OR($B376="",$C376=""),"",$C376*IFERROR(INDEX(Setup!$C$47:$C$56,MATCH($B376,Setup!$A$47:$A$56,0)),IFERROR(INDEX(Setup!$C$60:$C$89,MATCH($B376,Setup!$A$60:$A$89,0)),"")))</f>
        <v/>
      </c>
      <c r="E376" s="42"/>
      <c r="F376" s="42"/>
    </row>
    <row r="377" customFormat="false" ht="15" hidden="false" customHeight="true" outlineLevel="0" collapsed="false">
      <c r="A377" s="42"/>
      <c r="B377" s="42"/>
      <c r="C377" s="42"/>
      <c r="D377" s="28" t="str">
        <f aca="false">IF(OR($B377="",$C377=""),"",$C377*IFERROR(INDEX(Setup!$C$47:$C$56,MATCH($B377,Setup!$A$47:$A$56,0)),IFERROR(INDEX(Setup!$C$60:$C$89,MATCH($B377,Setup!$A$60:$A$89,0)),"")))</f>
        <v/>
      </c>
      <c r="E377" s="42"/>
      <c r="F377" s="42"/>
    </row>
    <row r="378" customFormat="false" ht="15" hidden="false" customHeight="true" outlineLevel="0" collapsed="false">
      <c r="A378" s="42"/>
      <c r="B378" s="42"/>
      <c r="C378" s="42"/>
      <c r="D378" s="28" t="str">
        <f aca="false">IF(OR($B378="",$C378=""),"",$C378*IFERROR(INDEX(Setup!$C$47:$C$56,MATCH($B378,Setup!$A$47:$A$56,0)),IFERROR(INDEX(Setup!$C$60:$C$89,MATCH($B378,Setup!$A$60:$A$89,0)),"")))</f>
        <v/>
      </c>
      <c r="E378" s="42"/>
      <c r="F378" s="42"/>
    </row>
    <row r="379" customFormat="false" ht="15" hidden="false" customHeight="true" outlineLevel="0" collapsed="false">
      <c r="A379" s="42"/>
      <c r="B379" s="42"/>
      <c r="C379" s="42"/>
      <c r="D379" s="28" t="str">
        <f aca="false">IF(OR($B379="",$C379=""),"",$C379*IFERROR(INDEX(Setup!$C$47:$C$56,MATCH($B379,Setup!$A$47:$A$56,0)),IFERROR(INDEX(Setup!$C$60:$C$89,MATCH($B379,Setup!$A$60:$A$89,0)),"")))</f>
        <v/>
      </c>
      <c r="E379" s="42"/>
      <c r="F379" s="42"/>
    </row>
    <row r="380" customFormat="false" ht="15" hidden="false" customHeight="true" outlineLevel="0" collapsed="false">
      <c r="A380" s="42"/>
      <c r="B380" s="42"/>
      <c r="C380" s="42"/>
      <c r="D380" s="28" t="str">
        <f aca="false">IF(OR($B380="",$C380=""),"",$C380*IFERROR(INDEX(Setup!$C$47:$C$56,MATCH($B380,Setup!$A$47:$A$56,0)),IFERROR(INDEX(Setup!$C$60:$C$89,MATCH($B380,Setup!$A$60:$A$89,0)),"")))</f>
        <v/>
      </c>
      <c r="E380" s="42"/>
      <c r="F380" s="42"/>
    </row>
    <row r="381" customFormat="false" ht="15" hidden="false" customHeight="true" outlineLevel="0" collapsed="false">
      <c r="A381" s="42"/>
      <c r="B381" s="42"/>
      <c r="C381" s="42"/>
      <c r="D381" s="28" t="str">
        <f aca="false">IF(OR($B381="",$C381=""),"",$C381*IFERROR(INDEX(Setup!$C$47:$C$56,MATCH($B381,Setup!$A$47:$A$56,0)),IFERROR(INDEX(Setup!$C$60:$C$89,MATCH($B381,Setup!$A$60:$A$89,0)),"")))</f>
        <v/>
      </c>
      <c r="E381" s="42"/>
      <c r="F381" s="42"/>
    </row>
    <row r="382" customFormat="false" ht="15" hidden="false" customHeight="true" outlineLevel="0" collapsed="false">
      <c r="A382" s="42"/>
      <c r="B382" s="42"/>
      <c r="C382" s="42"/>
      <c r="D382" s="28" t="str">
        <f aca="false">IF(OR($B382="",$C382=""),"",$C382*IFERROR(INDEX(Setup!$C$47:$C$56,MATCH($B382,Setup!$A$47:$A$56,0)),IFERROR(INDEX(Setup!$C$60:$C$89,MATCH($B382,Setup!$A$60:$A$89,0)),"")))</f>
        <v/>
      </c>
      <c r="E382" s="42"/>
      <c r="F382" s="42"/>
    </row>
    <row r="383" customFormat="false" ht="15" hidden="false" customHeight="true" outlineLevel="0" collapsed="false">
      <c r="A383" s="42"/>
      <c r="B383" s="42"/>
      <c r="C383" s="42"/>
      <c r="D383" s="28" t="str">
        <f aca="false">IF(OR($B383="",$C383=""),"",$C383*IFERROR(INDEX(Setup!$C$47:$C$56,MATCH($B383,Setup!$A$47:$A$56,0)),IFERROR(INDEX(Setup!$C$60:$C$89,MATCH($B383,Setup!$A$60:$A$89,0)),"")))</f>
        <v/>
      </c>
      <c r="E383" s="42"/>
      <c r="F383" s="42"/>
    </row>
    <row r="384" customFormat="false" ht="15" hidden="false" customHeight="true" outlineLevel="0" collapsed="false">
      <c r="A384" s="42"/>
      <c r="B384" s="42"/>
      <c r="C384" s="42"/>
      <c r="D384" s="28" t="str">
        <f aca="false">IF(OR($B384="",$C384=""),"",$C384*IFERROR(INDEX(Setup!$C$47:$C$56,MATCH($B384,Setup!$A$47:$A$56,0)),IFERROR(INDEX(Setup!$C$60:$C$89,MATCH($B384,Setup!$A$60:$A$89,0)),"")))</f>
        <v/>
      </c>
      <c r="E384" s="42"/>
      <c r="F384" s="42"/>
    </row>
    <row r="385" customFormat="false" ht="15" hidden="false" customHeight="true" outlineLevel="0" collapsed="false">
      <c r="A385" s="42"/>
      <c r="B385" s="42"/>
      <c r="C385" s="42"/>
      <c r="D385" s="28" t="str">
        <f aca="false">IF(OR($B385="",$C385=""),"",$C385*IFERROR(INDEX(Setup!$C$47:$C$56,MATCH($B385,Setup!$A$47:$A$56,0)),IFERROR(INDEX(Setup!$C$60:$C$89,MATCH($B385,Setup!$A$60:$A$89,0)),"")))</f>
        <v/>
      </c>
      <c r="E385" s="42"/>
      <c r="F385" s="42"/>
    </row>
    <row r="386" customFormat="false" ht="15" hidden="false" customHeight="true" outlineLevel="0" collapsed="false">
      <c r="A386" s="42"/>
      <c r="B386" s="42"/>
      <c r="C386" s="42"/>
      <c r="D386" s="28" t="str">
        <f aca="false">IF(OR($B386="",$C386=""),"",$C386*IFERROR(INDEX(Setup!$C$47:$C$56,MATCH($B386,Setup!$A$47:$A$56,0)),IFERROR(INDEX(Setup!$C$60:$C$89,MATCH($B386,Setup!$A$60:$A$89,0)),"")))</f>
        <v/>
      </c>
      <c r="E386" s="42"/>
      <c r="F386" s="42"/>
    </row>
    <row r="387" customFormat="false" ht="15" hidden="false" customHeight="true" outlineLevel="0" collapsed="false">
      <c r="A387" s="42"/>
      <c r="B387" s="42"/>
      <c r="C387" s="42"/>
      <c r="D387" s="28" t="str">
        <f aca="false">IF(OR($B387="",$C387=""),"",$C387*IFERROR(INDEX(Setup!$C$47:$C$56,MATCH($B387,Setup!$A$47:$A$56,0)),IFERROR(INDEX(Setup!$C$60:$C$89,MATCH($B387,Setup!$A$60:$A$89,0)),"")))</f>
        <v/>
      </c>
      <c r="E387" s="42"/>
      <c r="F387" s="42"/>
    </row>
    <row r="388" customFormat="false" ht="15" hidden="false" customHeight="true" outlineLevel="0" collapsed="false">
      <c r="A388" s="42"/>
      <c r="B388" s="42"/>
      <c r="C388" s="42"/>
      <c r="D388" s="28" t="str">
        <f aca="false">IF(OR($B388="",$C388=""),"",$C388*IFERROR(INDEX(Setup!$C$47:$C$56,MATCH($B388,Setup!$A$47:$A$56,0)),IFERROR(INDEX(Setup!$C$60:$C$89,MATCH($B388,Setup!$A$60:$A$89,0)),"")))</f>
        <v/>
      </c>
      <c r="E388" s="42"/>
      <c r="F388" s="42"/>
    </row>
    <row r="389" customFormat="false" ht="15" hidden="false" customHeight="true" outlineLevel="0" collapsed="false">
      <c r="A389" s="42"/>
      <c r="B389" s="42"/>
      <c r="C389" s="42"/>
      <c r="D389" s="28" t="str">
        <f aca="false">IF(OR($B389="",$C389=""),"",$C389*IFERROR(INDEX(Setup!$C$47:$C$56,MATCH($B389,Setup!$A$47:$A$56,0)),IFERROR(INDEX(Setup!$C$60:$C$89,MATCH($B389,Setup!$A$60:$A$89,0)),"")))</f>
        <v/>
      </c>
      <c r="E389" s="42"/>
      <c r="F389" s="42"/>
    </row>
    <row r="390" customFormat="false" ht="15" hidden="false" customHeight="true" outlineLevel="0" collapsed="false">
      <c r="A390" s="42"/>
      <c r="B390" s="42"/>
      <c r="C390" s="42"/>
      <c r="D390" s="28" t="str">
        <f aca="false">IF(OR($B390="",$C390=""),"",$C390*IFERROR(INDEX(Setup!$C$47:$C$56,MATCH($B390,Setup!$A$47:$A$56,0)),IFERROR(INDEX(Setup!$C$60:$C$89,MATCH($B390,Setup!$A$60:$A$89,0)),"")))</f>
        <v/>
      </c>
      <c r="E390" s="42"/>
      <c r="F390" s="42"/>
    </row>
    <row r="391" customFormat="false" ht="15" hidden="false" customHeight="true" outlineLevel="0" collapsed="false">
      <c r="A391" s="42"/>
      <c r="B391" s="42"/>
      <c r="C391" s="42"/>
      <c r="D391" s="28" t="str">
        <f aca="false">IF(OR($B391="",$C391=""),"",$C391*IFERROR(INDEX(Setup!$C$47:$C$56,MATCH($B391,Setup!$A$47:$A$56,0)),IFERROR(INDEX(Setup!$C$60:$C$89,MATCH($B391,Setup!$A$60:$A$89,0)),"")))</f>
        <v/>
      </c>
      <c r="E391" s="42"/>
      <c r="F391" s="42"/>
    </row>
    <row r="392" customFormat="false" ht="15" hidden="false" customHeight="true" outlineLevel="0" collapsed="false">
      <c r="A392" s="42"/>
      <c r="B392" s="42"/>
      <c r="C392" s="42"/>
      <c r="D392" s="28" t="str">
        <f aca="false">IF(OR($B392="",$C392=""),"",$C392*IFERROR(INDEX(Setup!$C$47:$C$56,MATCH($B392,Setup!$A$47:$A$56,0)),IFERROR(INDEX(Setup!$C$60:$C$89,MATCH($B392,Setup!$A$60:$A$89,0)),"")))</f>
        <v/>
      </c>
      <c r="E392" s="42"/>
      <c r="F392" s="42"/>
    </row>
    <row r="393" customFormat="false" ht="15" hidden="false" customHeight="true" outlineLevel="0" collapsed="false">
      <c r="A393" s="42"/>
      <c r="B393" s="42"/>
      <c r="C393" s="42"/>
      <c r="D393" s="28" t="str">
        <f aca="false">IF(OR($B393="",$C393=""),"",$C393*IFERROR(INDEX(Setup!$C$47:$C$56,MATCH($B393,Setup!$A$47:$A$56,0)),IFERROR(INDEX(Setup!$C$60:$C$89,MATCH($B393,Setup!$A$60:$A$89,0)),"")))</f>
        <v/>
      </c>
      <c r="E393" s="42"/>
      <c r="F393" s="42"/>
    </row>
    <row r="394" customFormat="false" ht="15" hidden="false" customHeight="true" outlineLevel="0" collapsed="false">
      <c r="A394" s="42"/>
      <c r="B394" s="42"/>
      <c r="C394" s="42"/>
      <c r="D394" s="28" t="str">
        <f aca="false">IF(OR($B394="",$C394=""),"",$C394*IFERROR(INDEX(Setup!$C$47:$C$56,MATCH($B394,Setup!$A$47:$A$56,0)),IFERROR(INDEX(Setup!$C$60:$C$89,MATCH($B394,Setup!$A$60:$A$89,0)),"")))</f>
        <v/>
      </c>
      <c r="E394" s="42"/>
      <c r="F394" s="42"/>
    </row>
    <row r="395" customFormat="false" ht="15" hidden="false" customHeight="true" outlineLevel="0" collapsed="false">
      <c r="A395" s="42"/>
      <c r="B395" s="42"/>
      <c r="C395" s="42"/>
      <c r="D395" s="28" t="str">
        <f aca="false">IF(OR($B395="",$C395=""),"",$C395*IFERROR(INDEX(Setup!$C$47:$C$56,MATCH($B395,Setup!$A$47:$A$56,0)),IFERROR(INDEX(Setup!$C$60:$C$89,MATCH($B395,Setup!$A$60:$A$89,0)),"")))</f>
        <v/>
      </c>
      <c r="E395" s="42"/>
      <c r="F395" s="42"/>
    </row>
    <row r="396" customFormat="false" ht="15" hidden="false" customHeight="true" outlineLevel="0" collapsed="false">
      <c r="A396" s="42"/>
      <c r="B396" s="42"/>
      <c r="C396" s="42"/>
      <c r="D396" s="28" t="str">
        <f aca="false">IF(OR($B396="",$C396=""),"",$C396*IFERROR(INDEX(Setup!$C$47:$C$56,MATCH($B396,Setup!$A$47:$A$56,0)),IFERROR(INDEX(Setup!$C$60:$C$89,MATCH($B396,Setup!$A$60:$A$89,0)),"")))</f>
        <v/>
      </c>
      <c r="E396" s="42"/>
      <c r="F396" s="42"/>
    </row>
    <row r="397" customFormat="false" ht="15" hidden="false" customHeight="true" outlineLevel="0" collapsed="false">
      <c r="A397" s="42"/>
      <c r="B397" s="42"/>
      <c r="C397" s="42"/>
      <c r="D397" s="28" t="str">
        <f aca="false">IF(OR($B397="",$C397=""),"",$C397*IFERROR(INDEX(Setup!$C$47:$C$56,MATCH($B397,Setup!$A$47:$A$56,0)),IFERROR(INDEX(Setup!$C$60:$C$89,MATCH($B397,Setup!$A$60:$A$89,0)),"")))</f>
        <v/>
      </c>
      <c r="E397" s="42"/>
      <c r="F397" s="42"/>
    </row>
    <row r="398" customFormat="false" ht="15" hidden="false" customHeight="true" outlineLevel="0" collapsed="false">
      <c r="A398" s="42"/>
      <c r="B398" s="42"/>
      <c r="C398" s="42"/>
      <c r="D398" s="28" t="str">
        <f aca="false">IF(OR($B398="",$C398=""),"",$C398*IFERROR(INDEX(Setup!$C$47:$C$56,MATCH($B398,Setup!$A$47:$A$56,0)),IFERROR(INDEX(Setup!$C$60:$C$89,MATCH($B398,Setup!$A$60:$A$89,0)),"")))</f>
        <v/>
      </c>
      <c r="E398" s="42"/>
      <c r="F398" s="42"/>
    </row>
    <row r="399" customFormat="false" ht="15" hidden="false" customHeight="true" outlineLevel="0" collapsed="false">
      <c r="A399" s="42"/>
      <c r="B399" s="42"/>
      <c r="C399" s="42"/>
      <c r="D399" s="28" t="str">
        <f aca="false">IF(OR($B399="",$C399=""),"",$C399*IFERROR(INDEX(Setup!$C$47:$C$56,MATCH($B399,Setup!$A$47:$A$56,0)),IFERROR(INDEX(Setup!$C$60:$C$89,MATCH($B399,Setup!$A$60:$A$89,0)),"")))</f>
        <v/>
      </c>
      <c r="E399" s="42"/>
      <c r="F399" s="42"/>
    </row>
    <row r="400" customFormat="false" ht="15" hidden="false" customHeight="true" outlineLevel="0" collapsed="false">
      <c r="A400" s="42"/>
      <c r="B400" s="42"/>
      <c r="C400" s="42"/>
      <c r="D400" s="28" t="str">
        <f aca="false">IF(OR($B400="",$C400=""),"",$C400*IFERROR(INDEX(Setup!$C$47:$C$56,MATCH($B400,Setup!$A$47:$A$56,0)),IFERROR(INDEX(Setup!$C$60:$C$89,MATCH($B400,Setup!$A$60:$A$89,0)),"")))</f>
        <v/>
      </c>
      <c r="E400" s="42"/>
      <c r="F400" s="42"/>
    </row>
    <row r="401" customFormat="false" ht="15" hidden="false" customHeight="true" outlineLevel="0" collapsed="false">
      <c r="A401" s="42"/>
      <c r="B401" s="42"/>
      <c r="C401" s="42"/>
      <c r="D401" s="28" t="str">
        <f aca="false">IF(OR($B401="",$C401=""),"",$C401*IFERROR(INDEX(Setup!$C$47:$C$56,MATCH($B401,Setup!$A$47:$A$56,0)),IFERROR(INDEX(Setup!$C$60:$C$89,MATCH($B401,Setup!$A$60:$A$89,0)),"")))</f>
        <v/>
      </c>
      <c r="E401" s="42"/>
      <c r="F401" s="42"/>
    </row>
    <row r="402" customFormat="false" ht="15" hidden="false" customHeight="true" outlineLevel="0" collapsed="false">
      <c r="A402" s="42"/>
      <c r="B402" s="42"/>
      <c r="C402" s="42"/>
      <c r="D402" s="28" t="str">
        <f aca="false">IF(OR($B402="",$C402=""),"",$C402*IFERROR(INDEX(Setup!$C$47:$C$56,MATCH($B402,Setup!$A$47:$A$56,0)),IFERROR(INDEX(Setup!$C$60:$C$89,MATCH($B402,Setup!$A$60:$A$89,0)),"")))</f>
        <v/>
      </c>
      <c r="E402" s="42"/>
      <c r="F402" s="42"/>
    </row>
    <row r="403" customFormat="false" ht="15" hidden="false" customHeight="true" outlineLevel="0" collapsed="false">
      <c r="A403" s="42"/>
      <c r="B403" s="42"/>
      <c r="C403" s="42"/>
      <c r="D403" s="28" t="str">
        <f aca="false">IF(OR($B403="",$C403=""),"",$C403*IFERROR(INDEX(Setup!$C$47:$C$56,MATCH($B403,Setup!$A$47:$A$56,0)),IFERROR(INDEX(Setup!$C$60:$C$89,MATCH($B403,Setup!$A$60:$A$89,0)),"")))</f>
        <v/>
      </c>
      <c r="E403" s="42"/>
      <c r="F403" s="42"/>
    </row>
    <row r="404" customFormat="false" ht="15" hidden="false" customHeight="true" outlineLevel="0" collapsed="false">
      <c r="A404" s="42"/>
      <c r="B404" s="42"/>
      <c r="C404" s="42"/>
      <c r="D404" s="28" t="str">
        <f aca="false">IF(OR($B404="",$C404=""),"",$C404*IFERROR(INDEX(Setup!$C$47:$C$56,MATCH($B404,Setup!$A$47:$A$56,0)),IFERROR(INDEX(Setup!$C$60:$C$89,MATCH($B404,Setup!$A$60:$A$89,0)),"")))</f>
        <v/>
      </c>
      <c r="E404" s="42"/>
      <c r="F404" s="42"/>
    </row>
    <row r="405" customFormat="false" ht="15" hidden="false" customHeight="true" outlineLevel="0" collapsed="false">
      <c r="A405" s="42"/>
      <c r="B405" s="42"/>
      <c r="C405" s="42"/>
      <c r="D405" s="28" t="str">
        <f aca="false">IF(OR($B405="",$C405=""),"",$C405*IFERROR(INDEX(Setup!$C$47:$C$56,MATCH($B405,Setup!$A$47:$A$56,0)),IFERROR(INDEX(Setup!$C$60:$C$89,MATCH($B405,Setup!$A$60:$A$89,0)),"")))</f>
        <v/>
      </c>
      <c r="E405" s="42"/>
      <c r="F405" s="42"/>
    </row>
    <row r="406" customFormat="false" ht="15" hidden="false" customHeight="true" outlineLevel="0" collapsed="false">
      <c r="A406" s="42"/>
      <c r="B406" s="42"/>
      <c r="C406" s="42"/>
      <c r="D406" s="28" t="str">
        <f aca="false">IF(OR($B406="",$C406=""),"",$C406*IFERROR(INDEX(Setup!$C$47:$C$56,MATCH($B406,Setup!$A$47:$A$56,0)),IFERROR(INDEX(Setup!$C$60:$C$89,MATCH($B406,Setup!$A$60:$A$89,0)),"")))</f>
        <v/>
      </c>
      <c r="E406" s="42"/>
      <c r="F406" s="42"/>
    </row>
    <row r="407" customFormat="false" ht="15" hidden="false" customHeight="true" outlineLevel="0" collapsed="false">
      <c r="A407" s="42"/>
      <c r="B407" s="42"/>
      <c r="C407" s="42"/>
      <c r="D407" s="28" t="str">
        <f aca="false">IF(OR($B407="",$C407=""),"",$C407*IFERROR(INDEX(Setup!$C$47:$C$56,MATCH($B407,Setup!$A$47:$A$56,0)),IFERROR(INDEX(Setup!$C$60:$C$89,MATCH($B407,Setup!$A$60:$A$89,0)),"")))</f>
        <v/>
      </c>
      <c r="E407" s="42"/>
      <c r="F407" s="42"/>
    </row>
    <row r="408" customFormat="false" ht="15" hidden="false" customHeight="true" outlineLevel="0" collapsed="false">
      <c r="A408" s="42"/>
      <c r="B408" s="42"/>
      <c r="C408" s="42"/>
      <c r="D408" s="28" t="str">
        <f aca="false">IF(OR($B408="",$C408=""),"",$C408*IFERROR(INDEX(Setup!$C$47:$C$56,MATCH($B408,Setup!$A$47:$A$56,0)),IFERROR(INDEX(Setup!$C$60:$C$89,MATCH($B408,Setup!$A$60:$A$89,0)),"")))</f>
        <v/>
      </c>
      <c r="E408" s="42"/>
      <c r="F408" s="42"/>
    </row>
    <row r="409" customFormat="false" ht="15" hidden="false" customHeight="true" outlineLevel="0" collapsed="false">
      <c r="A409" s="42"/>
      <c r="B409" s="42"/>
      <c r="C409" s="42"/>
      <c r="D409" s="28" t="str">
        <f aca="false">IF(OR($B409="",$C409=""),"",$C409*IFERROR(INDEX(Setup!$C$47:$C$56,MATCH($B409,Setup!$A$47:$A$56,0)),IFERROR(INDEX(Setup!$C$60:$C$89,MATCH($B409,Setup!$A$60:$A$89,0)),"")))</f>
        <v/>
      </c>
      <c r="E409" s="42"/>
      <c r="F409" s="42"/>
    </row>
    <row r="410" customFormat="false" ht="15" hidden="false" customHeight="true" outlineLevel="0" collapsed="false">
      <c r="A410" s="42"/>
      <c r="B410" s="42"/>
      <c r="C410" s="42"/>
      <c r="D410" s="28" t="str">
        <f aca="false">IF(OR($B410="",$C410=""),"",$C410*IFERROR(INDEX(Setup!$C$47:$C$56,MATCH($B410,Setup!$A$47:$A$56,0)),IFERROR(INDEX(Setup!$C$60:$C$89,MATCH($B410,Setup!$A$60:$A$89,0)),"")))</f>
        <v/>
      </c>
      <c r="E410" s="42"/>
      <c r="F410" s="42"/>
    </row>
    <row r="411" customFormat="false" ht="15" hidden="false" customHeight="true" outlineLevel="0" collapsed="false">
      <c r="A411" s="42"/>
      <c r="B411" s="42"/>
      <c r="C411" s="42"/>
      <c r="D411" s="28" t="str">
        <f aca="false">IF(OR($B411="",$C411=""),"",$C411*IFERROR(INDEX(Setup!$C$47:$C$56,MATCH($B411,Setup!$A$47:$A$56,0)),IFERROR(INDEX(Setup!$C$60:$C$89,MATCH($B411,Setup!$A$60:$A$89,0)),"")))</f>
        <v/>
      </c>
      <c r="E411" s="42"/>
      <c r="F411" s="42"/>
    </row>
    <row r="412" customFormat="false" ht="15" hidden="false" customHeight="true" outlineLevel="0" collapsed="false">
      <c r="A412" s="42"/>
      <c r="B412" s="42"/>
      <c r="C412" s="42"/>
      <c r="D412" s="28" t="str">
        <f aca="false">IF(OR($B412="",$C412=""),"",$C412*IFERROR(INDEX(Setup!$C$47:$C$56,MATCH($B412,Setup!$A$47:$A$56,0)),IFERROR(INDEX(Setup!$C$60:$C$89,MATCH($B412,Setup!$A$60:$A$89,0)),"")))</f>
        <v/>
      </c>
      <c r="E412" s="42"/>
      <c r="F412" s="42"/>
    </row>
    <row r="413" customFormat="false" ht="15" hidden="false" customHeight="true" outlineLevel="0" collapsed="false">
      <c r="A413" s="42"/>
      <c r="B413" s="42"/>
      <c r="C413" s="42"/>
      <c r="D413" s="28" t="str">
        <f aca="false">IF(OR($B413="",$C413=""),"",$C413*IFERROR(INDEX(Setup!$C$47:$C$56,MATCH($B413,Setup!$A$47:$A$56,0)),IFERROR(INDEX(Setup!$C$60:$C$89,MATCH($B413,Setup!$A$60:$A$89,0)),"")))</f>
        <v/>
      </c>
      <c r="E413" s="42"/>
      <c r="F413" s="42"/>
    </row>
    <row r="414" customFormat="false" ht="15" hidden="false" customHeight="true" outlineLevel="0" collapsed="false">
      <c r="A414" s="42"/>
      <c r="B414" s="42"/>
      <c r="C414" s="42"/>
      <c r="D414" s="28" t="str">
        <f aca="false">IF(OR($B414="",$C414=""),"",$C414*IFERROR(INDEX(Setup!$C$47:$C$56,MATCH($B414,Setup!$A$47:$A$56,0)),IFERROR(INDEX(Setup!$C$60:$C$89,MATCH($B414,Setup!$A$60:$A$89,0)),"")))</f>
        <v/>
      </c>
      <c r="E414" s="42"/>
      <c r="F414" s="42"/>
    </row>
    <row r="415" customFormat="false" ht="15" hidden="false" customHeight="true" outlineLevel="0" collapsed="false">
      <c r="A415" s="42"/>
      <c r="B415" s="42"/>
      <c r="C415" s="42"/>
      <c r="D415" s="28" t="str">
        <f aca="false">IF(OR($B415="",$C415=""),"",$C415*IFERROR(INDEX(Setup!$C$47:$C$56,MATCH($B415,Setup!$A$47:$A$56,0)),IFERROR(INDEX(Setup!$C$60:$C$89,MATCH($B415,Setup!$A$60:$A$89,0)),"")))</f>
        <v/>
      </c>
      <c r="E415" s="42"/>
      <c r="F415" s="42"/>
    </row>
    <row r="416" customFormat="false" ht="15" hidden="false" customHeight="true" outlineLevel="0" collapsed="false">
      <c r="A416" s="42"/>
      <c r="B416" s="42"/>
      <c r="C416" s="42"/>
      <c r="D416" s="28" t="str">
        <f aca="false">IF(OR($B416="",$C416=""),"",$C416*IFERROR(INDEX(Setup!$C$47:$C$56,MATCH($B416,Setup!$A$47:$A$56,0)),IFERROR(INDEX(Setup!$C$60:$C$89,MATCH($B416,Setup!$A$60:$A$89,0)),"")))</f>
        <v/>
      </c>
      <c r="E416" s="42"/>
      <c r="F416" s="42"/>
    </row>
    <row r="417" customFormat="false" ht="15" hidden="false" customHeight="true" outlineLevel="0" collapsed="false">
      <c r="A417" s="42"/>
      <c r="B417" s="42"/>
      <c r="C417" s="42"/>
      <c r="D417" s="28" t="str">
        <f aca="false">IF(OR($B417="",$C417=""),"",$C417*IFERROR(INDEX(Setup!$C$47:$C$56,MATCH($B417,Setup!$A$47:$A$56,0)),IFERROR(INDEX(Setup!$C$60:$C$89,MATCH($B417,Setup!$A$60:$A$89,0)),"")))</f>
        <v/>
      </c>
      <c r="E417" s="42"/>
      <c r="F417" s="42"/>
    </row>
    <row r="418" customFormat="false" ht="15" hidden="false" customHeight="true" outlineLevel="0" collapsed="false">
      <c r="A418" s="42"/>
      <c r="B418" s="42"/>
      <c r="C418" s="42"/>
      <c r="D418" s="28" t="str">
        <f aca="false">IF(OR($B418="",$C418=""),"",$C418*IFERROR(INDEX(Setup!$C$47:$C$56,MATCH($B418,Setup!$A$47:$A$56,0)),IFERROR(INDEX(Setup!$C$60:$C$89,MATCH($B418,Setup!$A$60:$A$89,0)),"")))</f>
        <v/>
      </c>
      <c r="E418" s="42"/>
      <c r="F418" s="42"/>
    </row>
    <row r="419" customFormat="false" ht="15" hidden="false" customHeight="true" outlineLevel="0" collapsed="false">
      <c r="A419" s="42"/>
      <c r="B419" s="42"/>
      <c r="C419" s="42"/>
      <c r="D419" s="28" t="str">
        <f aca="false">IF(OR($B419="",$C419=""),"",$C419*IFERROR(INDEX(Setup!$C$47:$C$56,MATCH($B419,Setup!$A$47:$A$56,0)),IFERROR(INDEX(Setup!$C$60:$C$89,MATCH($B419,Setup!$A$60:$A$89,0)),"")))</f>
        <v/>
      </c>
      <c r="E419" s="42"/>
      <c r="F419" s="42"/>
    </row>
    <row r="420" customFormat="false" ht="15" hidden="false" customHeight="true" outlineLevel="0" collapsed="false">
      <c r="A420" s="42"/>
      <c r="B420" s="42"/>
      <c r="C420" s="42"/>
      <c r="D420" s="28" t="str">
        <f aca="false">IF(OR($B420="",$C420=""),"",$C420*IFERROR(INDEX(Setup!$C$47:$C$56,MATCH($B420,Setup!$A$47:$A$56,0)),IFERROR(INDEX(Setup!$C$60:$C$89,MATCH($B420,Setup!$A$60:$A$89,0)),"")))</f>
        <v/>
      </c>
      <c r="E420" s="42"/>
      <c r="F420" s="42"/>
    </row>
    <row r="421" customFormat="false" ht="15" hidden="false" customHeight="true" outlineLevel="0" collapsed="false">
      <c r="A421" s="42"/>
      <c r="B421" s="42"/>
      <c r="C421" s="42"/>
      <c r="D421" s="28" t="str">
        <f aca="false">IF(OR($B421="",$C421=""),"",$C421*IFERROR(INDEX(Setup!$C$47:$C$56,MATCH($B421,Setup!$A$47:$A$56,0)),IFERROR(INDEX(Setup!$C$60:$C$89,MATCH($B421,Setup!$A$60:$A$89,0)),"")))</f>
        <v/>
      </c>
      <c r="E421" s="42"/>
      <c r="F421" s="42"/>
    </row>
    <row r="422" customFormat="false" ht="15" hidden="false" customHeight="true" outlineLevel="0" collapsed="false">
      <c r="A422" s="42"/>
      <c r="B422" s="42"/>
      <c r="C422" s="42"/>
      <c r="D422" s="28" t="str">
        <f aca="false">IF(OR($B422="",$C422=""),"",$C422*IFERROR(INDEX(Setup!$C$47:$C$56,MATCH($B422,Setup!$A$47:$A$56,0)),IFERROR(INDEX(Setup!$C$60:$C$89,MATCH($B422,Setup!$A$60:$A$89,0)),"")))</f>
        <v/>
      </c>
      <c r="E422" s="42"/>
      <c r="F422" s="42"/>
    </row>
    <row r="423" customFormat="false" ht="15" hidden="false" customHeight="true" outlineLevel="0" collapsed="false">
      <c r="A423" s="42"/>
      <c r="B423" s="42"/>
      <c r="C423" s="42"/>
      <c r="D423" s="28" t="str">
        <f aca="false">IF(OR($B423="",$C423=""),"",$C423*IFERROR(INDEX(Setup!$C$47:$C$56,MATCH($B423,Setup!$A$47:$A$56,0)),IFERROR(INDEX(Setup!$C$60:$C$89,MATCH($B423,Setup!$A$60:$A$89,0)),"")))</f>
        <v/>
      </c>
      <c r="E423" s="42"/>
      <c r="F423" s="42"/>
    </row>
    <row r="424" customFormat="false" ht="15" hidden="false" customHeight="true" outlineLevel="0" collapsed="false">
      <c r="A424" s="42"/>
      <c r="B424" s="42"/>
      <c r="C424" s="42"/>
      <c r="D424" s="28" t="str">
        <f aca="false">IF(OR($B424="",$C424=""),"",$C424*IFERROR(INDEX(Setup!$C$47:$C$56,MATCH($B424,Setup!$A$47:$A$56,0)),IFERROR(INDEX(Setup!$C$60:$C$89,MATCH($B424,Setup!$A$60:$A$89,0)),"")))</f>
        <v/>
      </c>
      <c r="E424" s="42"/>
      <c r="F424" s="42"/>
    </row>
    <row r="425" customFormat="false" ht="15" hidden="false" customHeight="true" outlineLevel="0" collapsed="false">
      <c r="A425" s="42"/>
      <c r="B425" s="42"/>
      <c r="C425" s="42"/>
      <c r="D425" s="28" t="str">
        <f aca="false">IF(OR($B425="",$C425=""),"",$C425*IFERROR(INDEX(Setup!$C$47:$C$56,MATCH($B425,Setup!$A$47:$A$56,0)),IFERROR(INDEX(Setup!$C$60:$C$89,MATCH($B425,Setup!$A$60:$A$89,0)),"")))</f>
        <v/>
      </c>
      <c r="E425" s="42"/>
      <c r="F425" s="42"/>
    </row>
    <row r="426" customFormat="false" ht="15" hidden="false" customHeight="true" outlineLevel="0" collapsed="false">
      <c r="A426" s="42"/>
      <c r="B426" s="42"/>
      <c r="C426" s="42"/>
      <c r="D426" s="28" t="str">
        <f aca="false">IF(OR($B426="",$C426=""),"",$C426*IFERROR(INDEX(Setup!$C$47:$C$56,MATCH($B426,Setup!$A$47:$A$56,0)),IFERROR(INDEX(Setup!$C$60:$C$89,MATCH($B426,Setup!$A$60:$A$89,0)),"")))</f>
        <v/>
      </c>
      <c r="E426" s="42"/>
      <c r="F426" s="42"/>
    </row>
    <row r="427" customFormat="false" ht="15" hidden="false" customHeight="true" outlineLevel="0" collapsed="false">
      <c r="A427" s="42"/>
      <c r="B427" s="42"/>
      <c r="C427" s="42"/>
      <c r="D427" s="28" t="str">
        <f aca="false">IF(OR($B427="",$C427=""),"",$C427*IFERROR(INDEX(Setup!$C$47:$C$56,MATCH($B427,Setup!$A$47:$A$56,0)),IFERROR(INDEX(Setup!$C$60:$C$89,MATCH($B427,Setup!$A$60:$A$89,0)),"")))</f>
        <v/>
      </c>
      <c r="E427" s="42"/>
      <c r="F427" s="42"/>
    </row>
    <row r="428" customFormat="false" ht="15" hidden="false" customHeight="true" outlineLevel="0" collapsed="false">
      <c r="A428" s="42"/>
      <c r="B428" s="42"/>
      <c r="C428" s="42"/>
      <c r="D428" s="28" t="str">
        <f aca="false">IF(OR($B428="",$C428=""),"",$C428*IFERROR(INDEX(Setup!$C$47:$C$56,MATCH($B428,Setup!$A$47:$A$56,0)),IFERROR(INDEX(Setup!$C$60:$C$89,MATCH($B428,Setup!$A$60:$A$89,0)),"")))</f>
        <v/>
      </c>
      <c r="E428" s="42"/>
      <c r="F428" s="42"/>
    </row>
    <row r="429" customFormat="false" ht="15" hidden="false" customHeight="true" outlineLevel="0" collapsed="false">
      <c r="A429" s="42"/>
      <c r="B429" s="42"/>
      <c r="C429" s="42"/>
      <c r="D429" s="28" t="str">
        <f aca="false">IF(OR($B429="",$C429=""),"",$C429*IFERROR(INDEX(Setup!$C$47:$C$56,MATCH($B429,Setup!$A$47:$A$56,0)),IFERROR(INDEX(Setup!$C$60:$C$89,MATCH($B429,Setup!$A$60:$A$89,0)),"")))</f>
        <v/>
      </c>
      <c r="E429" s="42"/>
      <c r="F429" s="42"/>
    </row>
    <row r="430" customFormat="false" ht="15" hidden="false" customHeight="true" outlineLevel="0" collapsed="false">
      <c r="A430" s="42"/>
      <c r="B430" s="42"/>
      <c r="C430" s="42"/>
      <c r="D430" s="28" t="str">
        <f aca="false">IF(OR($B430="",$C430=""),"",$C430*IFERROR(INDEX(Setup!$C$47:$C$56,MATCH($B430,Setup!$A$47:$A$56,0)),IFERROR(INDEX(Setup!$C$60:$C$89,MATCH($B430,Setup!$A$60:$A$89,0)),"")))</f>
        <v/>
      </c>
      <c r="E430" s="42"/>
      <c r="F430" s="42"/>
    </row>
    <row r="431" customFormat="false" ht="15" hidden="false" customHeight="true" outlineLevel="0" collapsed="false">
      <c r="A431" s="42"/>
      <c r="B431" s="42"/>
      <c r="C431" s="42"/>
      <c r="D431" s="28" t="str">
        <f aca="false">IF(OR($B431="",$C431=""),"",$C431*IFERROR(INDEX(Setup!$C$47:$C$56,MATCH($B431,Setup!$A$47:$A$56,0)),IFERROR(INDEX(Setup!$C$60:$C$89,MATCH($B431,Setup!$A$60:$A$89,0)),"")))</f>
        <v/>
      </c>
      <c r="E431" s="42"/>
      <c r="F431" s="42"/>
    </row>
    <row r="432" customFormat="false" ht="15" hidden="false" customHeight="true" outlineLevel="0" collapsed="false">
      <c r="A432" s="42"/>
      <c r="B432" s="42"/>
      <c r="C432" s="42"/>
      <c r="D432" s="28" t="str">
        <f aca="false">IF(OR($B432="",$C432=""),"",$C432*IFERROR(INDEX(Setup!$C$47:$C$56,MATCH($B432,Setup!$A$47:$A$56,0)),IFERROR(INDEX(Setup!$C$60:$C$89,MATCH($B432,Setup!$A$60:$A$89,0)),"")))</f>
        <v/>
      </c>
      <c r="E432" s="42"/>
      <c r="F432" s="42"/>
    </row>
    <row r="433" customFormat="false" ht="15" hidden="false" customHeight="true" outlineLevel="0" collapsed="false">
      <c r="A433" s="42"/>
      <c r="B433" s="42"/>
      <c r="C433" s="42"/>
      <c r="D433" s="28" t="str">
        <f aca="false">IF(OR($B433="",$C433=""),"",$C433*IFERROR(INDEX(Setup!$C$47:$C$56,MATCH($B433,Setup!$A$47:$A$56,0)),IFERROR(INDEX(Setup!$C$60:$C$89,MATCH($B433,Setup!$A$60:$A$89,0)),"")))</f>
        <v/>
      </c>
      <c r="E433" s="42"/>
      <c r="F433" s="42"/>
    </row>
    <row r="434" customFormat="false" ht="15" hidden="false" customHeight="true" outlineLevel="0" collapsed="false">
      <c r="A434" s="42"/>
      <c r="B434" s="42"/>
      <c r="C434" s="42"/>
      <c r="D434" s="28" t="str">
        <f aca="false">IF(OR($B434="",$C434=""),"",$C434*IFERROR(INDEX(Setup!$C$47:$C$56,MATCH($B434,Setup!$A$47:$A$56,0)),IFERROR(INDEX(Setup!$C$60:$C$89,MATCH($B434,Setup!$A$60:$A$89,0)),"")))</f>
        <v/>
      </c>
      <c r="E434" s="42"/>
      <c r="F434" s="42"/>
    </row>
    <row r="435" customFormat="false" ht="15" hidden="false" customHeight="true" outlineLevel="0" collapsed="false">
      <c r="A435" s="42"/>
      <c r="B435" s="42"/>
      <c r="C435" s="42"/>
      <c r="D435" s="28" t="str">
        <f aca="false">IF(OR($B435="",$C435=""),"",$C435*IFERROR(INDEX(Setup!$C$47:$C$56,MATCH($B435,Setup!$A$47:$A$56,0)),IFERROR(INDEX(Setup!$C$60:$C$89,MATCH($B435,Setup!$A$60:$A$89,0)),"")))</f>
        <v/>
      </c>
      <c r="E435" s="42"/>
      <c r="F435" s="42"/>
    </row>
    <row r="436" customFormat="false" ht="15" hidden="false" customHeight="true" outlineLevel="0" collapsed="false">
      <c r="A436" s="42"/>
      <c r="B436" s="42"/>
      <c r="C436" s="42"/>
      <c r="D436" s="28" t="str">
        <f aca="false">IF(OR($B436="",$C436=""),"",$C436*IFERROR(INDEX(Setup!$C$47:$C$56,MATCH($B436,Setup!$A$47:$A$56,0)),IFERROR(INDEX(Setup!$C$60:$C$89,MATCH($B436,Setup!$A$60:$A$89,0)),"")))</f>
        <v/>
      </c>
      <c r="E436" s="42"/>
      <c r="F436" s="42"/>
    </row>
    <row r="437" customFormat="false" ht="15" hidden="false" customHeight="true" outlineLevel="0" collapsed="false">
      <c r="A437" s="42"/>
      <c r="B437" s="42"/>
      <c r="C437" s="42"/>
      <c r="D437" s="28" t="str">
        <f aca="false">IF(OR($B437="",$C437=""),"",$C437*IFERROR(INDEX(Setup!$C$47:$C$56,MATCH($B437,Setup!$A$47:$A$56,0)),IFERROR(INDEX(Setup!$C$60:$C$89,MATCH($B437,Setup!$A$60:$A$89,0)),"")))</f>
        <v/>
      </c>
      <c r="E437" s="42"/>
      <c r="F437" s="42"/>
    </row>
    <row r="438" customFormat="false" ht="15" hidden="false" customHeight="true" outlineLevel="0" collapsed="false">
      <c r="A438" s="42"/>
      <c r="B438" s="42"/>
      <c r="C438" s="42"/>
      <c r="D438" s="28" t="str">
        <f aca="false">IF(OR($B438="",$C438=""),"",$C438*IFERROR(INDEX(Setup!$C$47:$C$56,MATCH($B438,Setup!$A$47:$A$56,0)),IFERROR(INDEX(Setup!$C$60:$C$89,MATCH($B438,Setup!$A$60:$A$89,0)),"")))</f>
        <v/>
      </c>
      <c r="E438" s="42"/>
      <c r="F438" s="42"/>
    </row>
    <row r="439" customFormat="false" ht="15" hidden="false" customHeight="true" outlineLevel="0" collapsed="false">
      <c r="A439" s="42"/>
      <c r="B439" s="42"/>
      <c r="C439" s="42"/>
      <c r="D439" s="28" t="str">
        <f aca="false">IF(OR($B439="",$C439=""),"",$C439*IFERROR(INDEX(Setup!$C$47:$C$56,MATCH($B439,Setup!$A$47:$A$56,0)),IFERROR(INDEX(Setup!$C$60:$C$89,MATCH($B439,Setup!$A$60:$A$89,0)),"")))</f>
        <v/>
      </c>
      <c r="E439" s="42"/>
      <c r="F439" s="42"/>
    </row>
    <row r="440" customFormat="false" ht="15" hidden="false" customHeight="true" outlineLevel="0" collapsed="false">
      <c r="A440" s="42"/>
      <c r="B440" s="42"/>
      <c r="C440" s="42"/>
      <c r="D440" s="28" t="str">
        <f aca="false">IF(OR($B440="",$C440=""),"",$C440*IFERROR(INDEX(Setup!$C$47:$C$56,MATCH($B440,Setup!$A$47:$A$56,0)),IFERROR(INDEX(Setup!$C$60:$C$89,MATCH($B440,Setup!$A$60:$A$89,0)),"")))</f>
        <v/>
      </c>
      <c r="E440" s="42"/>
      <c r="F440" s="42"/>
    </row>
    <row r="441" customFormat="false" ht="15" hidden="false" customHeight="true" outlineLevel="0" collapsed="false">
      <c r="A441" s="42"/>
      <c r="B441" s="42"/>
      <c r="C441" s="42"/>
      <c r="D441" s="28" t="str">
        <f aca="false">IF(OR($B441="",$C441=""),"",$C441*IFERROR(INDEX(Setup!$C$47:$C$56,MATCH($B441,Setup!$A$47:$A$56,0)),IFERROR(INDEX(Setup!$C$60:$C$89,MATCH($B441,Setup!$A$60:$A$89,0)),"")))</f>
        <v/>
      </c>
      <c r="E441" s="42"/>
      <c r="F441" s="42"/>
    </row>
    <row r="442" customFormat="false" ht="15" hidden="false" customHeight="true" outlineLevel="0" collapsed="false">
      <c r="A442" s="42"/>
      <c r="B442" s="42"/>
      <c r="C442" s="42"/>
      <c r="D442" s="28" t="str">
        <f aca="false">IF(OR($B442="",$C442=""),"",$C442*IFERROR(INDEX(Setup!$C$47:$C$56,MATCH($B442,Setup!$A$47:$A$56,0)),IFERROR(INDEX(Setup!$C$60:$C$89,MATCH($B442,Setup!$A$60:$A$89,0)),"")))</f>
        <v/>
      </c>
      <c r="E442" s="42"/>
      <c r="F442" s="42"/>
    </row>
    <row r="443" customFormat="false" ht="15" hidden="false" customHeight="true" outlineLevel="0" collapsed="false">
      <c r="A443" s="42"/>
      <c r="B443" s="42"/>
      <c r="C443" s="42"/>
      <c r="D443" s="28" t="str">
        <f aca="false">IF(OR($B443="",$C443=""),"",$C443*IFERROR(INDEX(Setup!$C$47:$C$56,MATCH($B443,Setup!$A$47:$A$56,0)),IFERROR(INDEX(Setup!$C$60:$C$89,MATCH($B443,Setup!$A$60:$A$89,0)),"")))</f>
        <v/>
      </c>
      <c r="E443" s="42"/>
      <c r="F443" s="42"/>
    </row>
    <row r="444" customFormat="false" ht="15" hidden="false" customHeight="true" outlineLevel="0" collapsed="false">
      <c r="A444" s="42"/>
      <c r="B444" s="42"/>
      <c r="C444" s="42"/>
      <c r="D444" s="28" t="str">
        <f aca="false">IF(OR($B444="",$C444=""),"",$C444*IFERROR(INDEX(Setup!$C$47:$C$56,MATCH($B444,Setup!$A$47:$A$56,0)),IFERROR(INDEX(Setup!$C$60:$C$89,MATCH($B444,Setup!$A$60:$A$89,0)),"")))</f>
        <v/>
      </c>
      <c r="E444" s="42"/>
      <c r="F444" s="42"/>
    </row>
    <row r="445" customFormat="false" ht="15" hidden="false" customHeight="true" outlineLevel="0" collapsed="false">
      <c r="A445" s="42"/>
      <c r="B445" s="42"/>
      <c r="C445" s="42"/>
      <c r="D445" s="28" t="str">
        <f aca="false">IF(OR($B445="",$C445=""),"",$C445*IFERROR(INDEX(Setup!$C$47:$C$56,MATCH($B445,Setup!$A$47:$A$56,0)),IFERROR(INDEX(Setup!$C$60:$C$89,MATCH($B445,Setup!$A$60:$A$89,0)),"")))</f>
        <v/>
      </c>
      <c r="E445" s="42"/>
      <c r="F445" s="42"/>
    </row>
    <row r="446" customFormat="false" ht="15" hidden="false" customHeight="true" outlineLevel="0" collapsed="false">
      <c r="A446" s="42"/>
      <c r="B446" s="42"/>
      <c r="C446" s="42"/>
      <c r="D446" s="28" t="str">
        <f aca="false">IF(OR($B446="",$C446=""),"",$C446*IFERROR(INDEX(Setup!$C$47:$C$56,MATCH($B446,Setup!$A$47:$A$56,0)),IFERROR(INDEX(Setup!$C$60:$C$89,MATCH($B446,Setup!$A$60:$A$89,0)),"")))</f>
        <v/>
      </c>
      <c r="E446" s="42"/>
      <c r="F446" s="42"/>
    </row>
    <row r="447" customFormat="false" ht="15" hidden="false" customHeight="true" outlineLevel="0" collapsed="false">
      <c r="A447" s="42"/>
      <c r="B447" s="42"/>
      <c r="C447" s="42"/>
      <c r="D447" s="28" t="str">
        <f aca="false">IF(OR($B447="",$C447=""),"",$C447*IFERROR(INDEX(Setup!$C$47:$C$56,MATCH($B447,Setup!$A$47:$A$56,0)),IFERROR(INDEX(Setup!$C$60:$C$89,MATCH($B447,Setup!$A$60:$A$89,0)),"")))</f>
        <v/>
      </c>
      <c r="E447" s="42"/>
      <c r="F447" s="42"/>
    </row>
    <row r="448" customFormat="false" ht="15" hidden="false" customHeight="true" outlineLevel="0" collapsed="false">
      <c r="A448" s="42"/>
      <c r="B448" s="42"/>
      <c r="C448" s="42"/>
      <c r="D448" s="28" t="str">
        <f aca="false">IF(OR($B448="",$C448=""),"",$C448*IFERROR(INDEX(Setup!$C$47:$C$56,MATCH($B448,Setup!$A$47:$A$56,0)),IFERROR(INDEX(Setup!$C$60:$C$89,MATCH($B448,Setup!$A$60:$A$89,0)),"")))</f>
        <v/>
      </c>
      <c r="E448" s="42"/>
      <c r="F448" s="42"/>
    </row>
    <row r="449" customFormat="false" ht="15" hidden="false" customHeight="true" outlineLevel="0" collapsed="false">
      <c r="A449" s="42"/>
      <c r="B449" s="42"/>
      <c r="C449" s="42"/>
      <c r="D449" s="28" t="str">
        <f aca="false">IF(OR($B449="",$C449=""),"",$C449*IFERROR(INDEX(Setup!$C$47:$C$56,MATCH($B449,Setup!$A$47:$A$56,0)),IFERROR(INDEX(Setup!$C$60:$C$89,MATCH($B449,Setup!$A$60:$A$89,0)),"")))</f>
        <v/>
      </c>
      <c r="E449" s="42"/>
      <c r="F449" s="42"/>
    </row>
    <row r="450" customFormat="false" ht="15" hidden="false" customHeight="true" outlineLevel="0" collapsed="false">
      <c r="A450" s="42"/>
      <c r="B450" s="42"/>
      <c r="C450" s="42"/>
      <c r="D450" s="28" t="str">
        <f aca="false">IF(OR($B450="",$C450=""),"",$C450*IFERROR(INDEX(Setup!$C$47:$C$56,MATCH($B450,Setup!$A$47:$A$56,0)),IFERROR(INDEX(Setup!$C$60:$C$89,MATCH($B450,Setup!$A$60:$A$89,0)),"")))</f>
        <v/>
      </c>
      <c r="E450" s="42"/>
      <c r="F450" s="42"/>
    </row>
    <row r="451" customFormat="false" ht="15" hidden="false" customHeight="true" outlineLevel="0" collapsed="false">
      <c r="A451" s="42"/>
      <c r="B451" s="42"/>
      <c r="C451" s="42"/>
      <c r="D451" s="28" t="str">
        <f aca="false">IF(OR($B451="",$C451=""),"",$C451*IFERROR(INDEX(Setup!$C$47:$C$56,MATCH($B451,Setup!$A$47:$A$56,0)),IFERROR(INDEX(Setup!$C$60:$C$89,MATCH($B451,Setup!$A$60:$A$89,0)),"")))</f>
        <v/>
      </c>
      <c r="E451" s="42"/>
      <c r="F451" s="42"/>
    </row>
    <row r="452" customFormat="false" ht="15" hidden="false" customHeight="true" outlineLevel="0" collapsed="false">
      <c r="A452" s="42"/>
      <c r="B452" s="42"/>
      <c r="C452" s="42"/>
      <c r="D452" s="28" t="str">
        <f aca="false">IF(OR($B452="",$C452=""),"",$C452*IFERROR(INDEX(Setup!$C$47:$C$56,MATCH($B452,Setup!$A$47:$A$56,0)),IFERROR(INDEX(Setup!$C$60:$C$89,MATCH($B452,Setup!$A$60:$A$89,0)),"")))</f>
        <v/>
      </c>
      <c r="E452" s="42"/>
      <c r="F452" s="42"/>
    </row>
    <row r="453" customFormat="false" ht="15" hidden="false" customHeight="true" outlineLevel="0" collapsed="false">
      <c r="A453" s="42"/>
      <c r="B453" s="42"/>
      <c r="C453" s="42"/>
      <c r="D453" s="28" t="str">
        <f aca="false">IF(OR($B453="",$C453=""),"",$C453*IFERROR(INDEX(Setup!$C$47:$C$56,MATCH($B453,Setup!$A$47:$A$56,0)),IFERROR(INDEX(Setup!$C$60:$C$89,MATCH($B453,Setup!$A$60:$A$89,0)),"")))</f>
        <v/>
      </c>
      <c r="E453" s="42"/>
      <c r="F453" s="42"/>
    </row>
    <row r="454" customFormat="false" ht="15" hidden="false" customHeight="true" outlineLevel="0" collapsed="false">
      <c r="A454" s="42"/>
      <c r="B454" s="42"/>
      <c r="C454" s="42"/>
      <c r="D454" s="28" t="str">
        <f aca="false">IF(OR($B454="",$C454=""),"",$C454*IFERROR(INDEX(Setup!$C$47:$C$56,MATCH($B454,Setup!$A$47:$A$56,0)),IFERROR(INDEX(Setup!$C$60:$C$89,MATCH($B454,Setup!$A$60:$A$89,0)),"")))</f>
        <v/>
      </c>
      <c r="E454" s="42"/>
      <c r="F454" s="42"/>
    </row>
    <row r="455" customFormat="false" ht="15" hidden="false" customHeight="true" outlineLevel="0" collapsed="false">
      <c r="A455" s="42"/>
      <c r="B455" s="42"/>
      <c r="C455" s="42"/>
      <c r="D455" s="28" t="str">
        <f aca="false">IF(OR($B455="",$C455=""),"",$C455*IFERROR(INDEX(Setup!$C$47:$C$56,MATCH($B455,Setup!$A$47:$A$56,0)),IFERROR(INDEX(Setup!$C$60:$C$89,MATCH($B455,Setup!$A$60:$A$89,0)),"")))</f>
        <v/>
      </c>
      <c r="E455" s="42"/>
      <c r="F455" s="42"/>
    </row>
    <row r="456" customFormat="false" ht="15" hidden="false" customHeight="true" outlineLevel="0" collapsed="false">
      <c r="A456" s="42"/>
      <c r="B456" s="42"/>
      <c r="C456" s="42"/>
      <c r="D456" s="28" t="str">
        <f aca="false">IF(OR($B456="",$C456=""),"",$C456*IFERROR(INDEX(Setup!$C$47:$C$56,MATCH($B456,Setup!$A$47:$A$56,0)),IFERROR(INDEX(Setup!$C$60:$C$89,MATCH($B456,Setup!$A$60:$A$89,0)),"")))</f>
        <v/>
      </c>
      <c r="E456" s="42"/>
      <c r="F456" s="42"/>
    </row>
    <row r="457" customFormat="false" ht="15" hidden="false" customHeight="true" outlineLevel="0" collapsed="false">
      <c r="A457" s="42"/>
      <c r="B457" s="42"/>
      <c r="C457" s="42"/>
      <c r="D457" s="28" t="str">
        <f aca="false">IF(OR($B457="",$C457=""),"",$C457*IFERROR(INDEX(Setup!$C$47:$C$56,MATCH($B457,Setup!$A$47:$A$56,0)),IFERROR(INDEX(Setup!$C$60:$C$89,MATCH($B457,Setup!$A$60:$A$89,0)),"")))</f>
        <v/>
      </c>
      <c r="E457" s="42"/>
      <c r="F457" s="42"/>
    </row>
    <row r="458" customFormat="false" ht="15" hidden="false" customHeight="true" outlineLevel="0" collapsed="false">
      <c r="A458" s="42"/>
      <c r="B458" s="42"/>
      <c r="C458" s="42"/>
      <c r="D458" s="28" t="str">
        <f aca="false">IF(OR($B458="",$C458=""),"",$C458*IFERROR(INDEX(Setup!$C$47:$C$56,MATCH($B458,Setup!$A$47:$A$56,0)),IFERROR(INDEX(Setup!$C$60:$C$89,MATCH($B458,Setup!$A$60:$A$89,0)),"")))</f>
        <v/>
      </c>
      <c r="E458" s="42"/>
      <c r="F458" s="42"/>
    </row>
    <row r="459" customFormat="false" ht="15" hidden="false" customHeight="true" outlineLevel="0" collapsed="false">
      <c r="A459" s="42"/>
      <c r="B459" s="42"/>
      <c r="C459" s="42"/>
      <c r="D459" s="28" t="str">
        <f aca="false">IF(OR($B459="",$C459=""),"",$C459*IFERROR(INDEX(Setup!$C$47:$C$56,MATCH($B459,Setup!$A$47:$A$56,0)),IFERROR(INDEX(Setup!$C$60:$C$89,MATCH($B459,Setup!$A$60:$A$89,0)),"")))</f>
        <v/>
      </c>
      <c r="E459" s="42"/>
      <c r="F459" s="42"/>
    </row>
    <row r="460" customFormat="false" ht="15" hidden="false" customHeight="true" outlineLevel="0" collapsed="false">
      <c r="A460" s="42"/>
      <c r="B460" s="42"/>
      <c r="C460" s="42"/>
      <c r="D460" s="28" t="str">
        <f aca="false">IF(OR($B460="",$C460=""),"",$C460*IFERROR(INDEX(Setup!$C$47:$C$56,MATCH($B460,Setup!$A$47:$A$56,0)),IFERROR(INDEX(Setup!$C$60:$C$89,MATCH($B460,Setup!$A$60:$A$89,0)),"")))</f>
        <v/>
      </c>
      <c r="E460" s="42"/>
      <c r="F460" s="42"/>
    </row>
    <row r="461" customFormat="false" ht="15" hidden="false" customHeight="true" outlineLevel="0" collapsed="false">
      <c r="A461" s="42"/>
      <c r="B461" s="42"/>
      <c r="C461" s="42"/>
      <c r="D461" s="28" t="str">
        <f aca="false">IF(OR($B461="",$C461=""),"",$C461*IFERROR(INDEX(Setup!$C$47:$C$56,MATCH($B461,Setup!$A$47:$A$56,0)),IFERROR(INDEX(Setup!$C$60:$C$89,MATCH($B461,Setup!$A$60:$A$89,0)),"")))</f>
        <v/>
      </c>
      <c r="E461" s="42"/>
      <c r="F461" s="42"/>
    </row>
    <row r="462" customFormat="false" ht="15" hidden="false" customHeight="true" outlineLevel="0" collapsed="false">
      <c r="A462" s="42"/>
      <c r="B462" s="42"/>
      <c r="C462" s="42"/>
      <c r="D462" s="28" t="str">
        <f aca="false">IF(OR($B462="",$C462=""),"",$C462*IFERROR(INDEX(Setup!$C$47:$C$56,MATCH($B462,Setup!$A$47:$A$56,0)),IFERROR(INDEX(Setup!$C$60:$C$89,MATCH($B462,Setup!$A$60:$A$89,0)),"")))</f>
        <v/>
      </c>
      <c r="E462" s="42"/>
      <c r="F462" s="42"/>
    </row>
    <row r="463" customFormat="false" ht="15" hidden="false" customHeight="true" outlineLevel="0" collapsed="false">
      <c r="A463" s="42"/>
      <c r="B463" s="42"/>
      <c r="C463" s="42"/>
      <c r="D463" s="28" t="str">
        <f aca="false">IF(OR($B463="",$C463=""),"",$C463*IFERROR(INDEX(Setup!$C$47:$C$56,MATCH($B463,Setup!$A$47:$A$56,0)),IFERROR(INDEX(Setup!$C$60:$C$89,MATCH($B463,Setup!$A$60:$A$89,0)),"")))</f>
        <v/>
      </c>
      <c r="E463" s="42"/>
      <c r="F463" s="42"/>
    </row>
    <row r="464" customFormat="false" ht="15" hidden="false" customHeight="true" outlineLevel="0" collapsed="false">
      <c r="A464" s="42"/>
      <c r="B464" s="42"/>
      <c r="C464" s="42"/>
      <c r="D464" s="28" t="str">
        <f aca="false">IF(OR($B464="",$C464=""),"",$C464*IFERROR(INDEX(Setup!$C$47:$C$56,MATCH($B464,Setup!$A$47:$A$56,0)),IFERROR(INDEX(Setup!$C$60:$C$89,MATCH($B464,Setup!$A$60:$A$89,0)),"")))</f>
        <v/>
      </c>
      <c r="E464" s="42"/>
      <c r="F464" s="42"/>
    </row>
    <row r="465" customFormat="false" ht="15" hidden="false" customHeight="true" outlineLevel="0" collapsed="false">
      <c r="A465" s="42"/>
      <c r="B465" s="42"/>
      <c r="C465" s="42"/>
      <c r="D465" s="28" t="str">
        <f aca="false">IF(OR($B465="",$C465=""),"",$C465*IFERROR(INDEX(Setup!$C$47:$C$56,MATCH($B465,Setup!$A$47:$A$56,0)),IFERROR(INDEX(Setup!$C$60:$C$89,MATCH($B465,Setup!$A$60:$A$89,0)),"")))</f>
        <v/>
      </c>
      <c r="E465" s="42"/>
      <c r="F465" s="42"/>
    </row>
    <row r="466" customFormat="false" ht="15" hidden="false" customHeight="true" outlineLevel="0" collapsed="false">
      <c r="A466" s="42"/>
      <c r="B466" s="42"/>
      <c r="C466" s="42"/>
      <c r="D466" s="28" t="str">
        <f aca="false">IF(OR($B466="",$C466=""),"",$C466*IFERROR(INDEX(Setup!$C$47:$C$56,MATCH($B466,Setup!$A$47:$A$56,0)),IFERROR(INDEX(Setup!$C$60:$C$89,MATCH($B466,Setup!$A$60:$A$89,0)),"")))</f>
        <v/>
      </c>
      <c r="E466" s="42"/>
      <c r="F466" s="42"/>
    </row>
    <row r="467" customFormat="false" ht="15" hidden="false" customHeight="true" outlineLevel="0" collapsed="false">
      <c r="A467" s="42"/>
      <c r="B467" s="42"/>
      <c r="C467" s="42"/>
      <c r="D467" s="28" t="str">
        <f aca="false">IF(OR($B467="",$C467=""),"",$C467*IFERROR(INDEX(Setup!$C$47:$C$56,MATCH($B467,Setup!$A$47:$A$56,0)),IFERROR(INDEX(Setup!$C$60:$C$89,MATCH($B467,Setup!$A$60:$A$89,0)),"")))</f>
        <v/>
      </c>
      <c r="E467" s="42"/>
      <c r="F467" s="42"/>
    </row>
    <row r="468" customFormat="false" ht="15" hidden="false" customHeight="true" outlineLevel="0" collapsed="false">
      <c r="A468" s="42"/>
      <c r="B468" s="42"/>
      <c r="C468" s="42"/>
      <c r="D468" s="28" t="str">
        <f aca="false">IF(OR($B468="",$C468=""),"",$C468*IFERROR(INDEX(Setup!$C$47:$C$56,MATCH($B468,Setup!$A$47:$A$56,0)),IFERROR(INDEX(Setup!$C$60:$C$89,MATCH($B468,Setup!$A$60:$A$89,0)),"")))</f>
        <v/>
      </c>
      <c r="E468" s="42"/>
      <c r="F468" s="42"/>
    </row>
    <row r="469" customFormat="false" ht="15" hidden="false" customHeight="true" outlineLevel="0" collapsed="false">
      <c r="A469" s="42"/>
      <c r="B469" s="42"/>
      <c r="C469" s="42"/>
      <c r="D469" s="28" t="str">
        <f aca="false">IF(OR($B469="",$C469=""),"",$C469*IFERROR(INDEX(Setup!$C$47:$C$56,MATCH($B469,Setup!$A$47:$A$56,0)),IFERROR(INDEX(Setup!$C$60:$C$89,MATCH($B469,Setup!$A$60:$A$89,0)),"")))</f>
        <v/>
      </c>
      <c r="E469" s="42"/>
      <c r="F469" s="42"/>
    </row>
    <row r="470" customFormat="false" ht="15" hidden="false" customHeight="true" outlineLevel="0" collapsed="false">
      <c r="A470" s="42"/>
      <c r="B470" s="42"/>
      <c r="C470" s="42"/>
      <c r="D470" s="28" t="str">
        <f aca="false">IF(OR($B470="",$C470=""),"",$C470*IFERROR(INDEX(Setup!$C$47:$C$56,MATCH($B470,Setup!$A$47:$A$56,0)),IFERROR(INDEX(Setup!$C$60:$C$89,MATCH($B470,Setup!$A$60:$A$89,0)),"")))</f>
        <v/>
      </c>
      <c r="E470" s="42"/>
      <c r="F470" s="42"/>
    </row>
    <row r="471" customFormat="false" ht="15" hidden="false" customHeight="true" outlineLevel="0" collapsed="false">
      <c r="A471" s="42"/>
      <c r="B471" s="42"/>
      <c r="C471" s="42"/>
      <c r="D471" s="28" t="str">
        <f aca="false">IF(OR($B471="",$C471=""),"",$C471*IFERROR(INDEX(Setup!$C$47:$C$56,MATCH($B471,Setup!$A$47:$A$56,0)),IFERROR(INDEX(Setup!$C$60:$C$89,MATCH($B471,Setup!$A$60:$A$89,0)),"")))</f>
        <v/>
      </c>
      <c r="E471" s="42"/>
      <c r="F471" s="42"/>
    </row>
    <row r="472" customFormat="false" ht="15" hidden="false" customHeight="true" outlineLevel="0" collapsed="false">
      <c r="A472" s="42"/>
      <c r="B472" s="42"/>
      <c r="C472" s="42"/>
      <c r="D472" s="28" t="str">
        <f aca="false">IF(OR($B472="",$C472=""),"",$C472*IFERROR(INDEX(Setup!$C$47:$C$56,MATCH($B472,Setup!$A$47:$A$56,0)),IFERROR(INDEX(Setup!$C$60:$C$89,MATCH($B472,Setup!$A$60:$A$89,0)),"")))</f>
        <v/>
      </c>
      <c r="E472" s="42"/>
      <c r="F472" s="42"/>
    </row>
    <row r="473" customFormat="false" ht="15" hidden="false" customHeight="true" outlineLevel="0" collapsed="false">
      <c r="A473" s="42"/>
      <c r="B473" s="42"/>
      <c r="C473" s="42"/>
      <c r="D473" s="28" t="str">
        <f aca="false">IF(OR($B473="",$C473=""),"",$C473*IFERROR(INDEX(Setup!$C$47:$C$56,MATCH($B473,Setup!$A$47:$A$56,0)),IFERROR(INDEX(Setup!$C$60:$C$89,MATCH($B473,Setup!$A$60:$A$89,0)),"")))</f>
        <v/>
      </c>
      <c r="E473" s="42"/>
      <c r="F473" s="42"/>
    </row>
    <row r="474" customFormat="false" ht="15" hidden="false" customHeight="true" outlineLevel="0" collapsed="false">
      <c r="A474" s="42"/>
      <c r="B474" s="42"/>
      <c r="C474" s="42"/>
      <c r="D474" s="28" t="str">
        <f aca="false">IF(OR($B474="",$C474=""),"",$C474*IFERROR(INDEX(Setup!$C$47:$C$56,MATCH($B474,Setup!$A$47:$A$56,0)),IFERROR(INDEX(Setup!$C$60:$C$89,MATCH($B474,Setup!$A$60:$A$89,0)),"")))</f>
        <v/>
      </c>
      <c r="E474" s="42"/>
      <c r="F474" s="42"/>
    </row>
    <row r="475" customFormat="false" ht="15" hidden="false" customHeight="true" outlineLevel="0" collapsed="false">
      <c r="A475" s="42"/>
      <c r="B475" s="42"/>
      <c r="C475" s="42"/>
      <c r="D475" s="28" t="str">
        <f aca="false">IF(OR($B475="",$C475=""),"",$C475*IFERROR(INDEX(Setup!$C$47:$C$56,MATCH($B475,Setup!$A$47:$A$56,0)),IFERROR(INDEX(Setup!$C$60:$C$89,MATCH($B475,Setup!$A$60:$A$89,0)),"")))</f>
        <v/>
      </c>
      <c r="E475" s="42"/>
      <c r="F475" s="42"/>
    </row>
    <row r="476" customFormat="false" ht="15" hidden="false" customHeight="true" outlineLevel="0" collapsed="false">
      <c r="A476" s="42"/>
      <c r="B476" s="42"/>
      <c r="C476" s="42"/>
      <c r="D476" s="28" t="str">
        <f aca="false">IF(OR($B476="",$C476=""),"",$C476*IFERROR(INDEX(Setup!$C$47:$C$56,MATCH($B476,Setup!$A$47:$A$56,0)),IFERROR(INDEX(Setup!$C$60:$C$89,MATCH($B476,Setup!$A$60:$A$89,0)),"")))</f>
        <v/>
      </c>
      <c r="E476" s="42"/>
      <c r="F476" s="42"/>
    </row>
    <row r="477" customFormat="false" ht="15" hidden="false" customHeight="true" outlineLevel="0" collapsed="false">
      <c r="A477" s="42"/>
      <c r="B477" s="42"/>
      <c r="C477" s="42"/>
      <c r="D477" s="28" t="str">
        <f aca="false">IF(OR($B477="",$C477=""),"",$C477*IFERROR(INDEX(Setup!$C$47:$C$56,MATCH($B477,Setup!$A$47:$A$56,0)),IFERROR(INDEX(Setup!$C$60:$C$89,MATCH($B477,Setup!$A$60:$A$89,0)),"")))</f>
        <v/>
      </c>
      <c r="E477" s="42"/>
      <c r="F477" s="42"/>
    </row>
    <row r="478" customFormat="false" ht="15" hidden="false" customHeight="true" outlineLevel="0" collapsed="false">
      <c r="A478" s="42"/>
      <c r="B478" s="42"/>
      <c r="C478" s="42"/>
      <c r="D478" s="28" t="str">
        <f aca="false">IF(OR($B478="",$C478=""),"",$C478*IFERROR(INDEX(Setup!$C$47:$C$56,MATCH($B478,Setup!$A$47:$A$56,0)),IFERROR(INDEX(Setup!$C$60:$C$89,MATCH($B478,Setup!$A$60:$A$89,0)),"")))</f>
        <v/>
      </c>
      <c r="E478" s="42"/>
      <c r="F478" s="42"/>
    </row>
    <row r="479" customFormat="false" ht="15" hidden="false" customHeight="true" outlineLevel="0" collapsed="false">
      <c r="A479" s="42"/>
      <c r="B479" s="42"/>
      <c r="C479" s="42"/>
      <c r="D479" s="28" t="str">
        <f aca="false">IF(OR($B479="",$C479=""),"",$C479*IFERROR(INDEX(Setup!$C$47:$C$56,MATCH($B479,Setup!$A$47:$A$56,0)),IFERROR(INDEX(Setup!$C$60:$C$89,MATCH($B479,Setup!$A$60:$A$89,0)),"")))</f>
        <v/>
      </c>
      <c r="E479" s="42"/>
      <c r="F479" s="42"/>
    </row>
    <row r="480" customFormat="false" ht="15" hidden="false" customHeight="true" outlineLevel="0" collapsed="false">
      <c r="A480" s="42"/>
      <c r="B480" s="42"/>
      <c r="C480" s="42"/>
      <c r="D480" s="28" t="str">
        <f aca="false">IF(OR($B480="",$C480=""),"",$C480*IFERROR(INDEX(Setup!$C$47:$C$56,MATCH($B480,Setup!$A$47:$A$56,0)),IFERROR(INDEX(Setup!$C$60:$C$89,MATCH($B480,Setup!$A$60:$A$89,0)),"")))</f>
        <v/>
      </c>
      <c r="E480" s="42"/>
      <c r="F480" s="42"/>
    </row>
    <row r="481" customFormat="false" ht="15" hidden="false" customHeight="true" outlineLevel="0" collapsed="false">
      <c r="A481" s="42"/>
      <c r="B481" s="42"/>
      <c r="C481" s="42"/>
      <c r="D481" s="28" t="str">
        <f aca="false">IF(OR($B481="",$C481=""),"",$C481*IFERROR(INDEX(Setup!$C$47:$C$56,MATCH($B481,Setup!$A$47:$A$56,0)),IFERROR(INDEX(Setup!$C$60:$C$89,MATCH($B481,Setup!$A$60:$A$89,0)),"")))</f>
        <v/>
      </c>
      <c r="E481" s="42"/>
      <c r="F481" s="42"/>
    </row>
    <row r="482" customFormat="false" ht="15" hidden="false" customHeight="true" outlineLevel="0" collapsed="false">
      <c r="A482" s="42"/>
      <c r="B482" s="42"/>
      <c r="C482" s="42"/>
      <c r="D482" s="28" t="str">
        <f aca="false">IF(OR($B482="",$C482=""),"",$C482*IFERROR(INDEX(Setup!$C$47:$C$56,MATCH($B482,Setup!$A$47:$A$56,0)),IFERROR(INDEX(Setup!$C$60:$C$89,MATCH($B482,Setup!$A$60:$A$89,0)),"")))</f>
        <v/>
      </c>
      <c r="E482" s="42"/>
      <c r="F482" s="42"/>
    </row>
    <row r="483" customFormat="false" ht="15" hidden="false" customHeight="true" outlineLevel="0" collapsed="false">
      <c r="A483" s="42"/>
      <c r="B483" s="42"/>
      <c r="C483" s="42"/>
      <c r="D483" s="28" t="str">
        <f aca="false">IF(OR($B483="",$C483=""),"",$C483*IFERROR(INDEX(Setup!$C$47:$C$56,MATCH($B483,Setup!$A$47:$A$56,0)),IFERROR(INDEX(Setup!$C$60:$C$89,MATCH($B483,Setup!$A$60:$A$89,0)),"")))</f>
        <v/>
      </c>
      <c r="E483" s="42"/>
      <c r="F483" s="42"/>
    </row>
    <row r="484" customFormat="false" ht="15" hidden="false" customHeight="true" outlineLevel="0" collapsed="false">
      <c r="A484" s="42"/>
      <c r="B484" s="42"/>
      <c r="C484" s="42"/>
      <c r="D484" s="28" t="str">
        <f aca="false">IF(OR($B484="",$C484=""),"",$C484*IFERROR(INDEX(Setup!$C$47:$C$56,MATCH($B484,Setup!$A$47:$A$56,0)),IFERROR(INDEX(Setup!$C$60:$C$89,MATCH($B484,Setup!$A$60:$A$89,0)),"")))</f>
        <v/>
      </c>
      <c r="E484" s="42"/>
      <c r="F484" s="42"/>
    </row>
    <row r="485" customFormat="false" ht="15" hidden="false" customHeight="true" outlineLevel="0" collapsed="false">
      <c r="A485" s="42"/>
      <c r="B485" s="42"/>
      <c r="C485" s="42"/>
      <c r="D485" s="28" t="str">
        <f aca="false">IF(OR($B485="",$C485=""),"",$C485*IFERROR(INDEX(Setup!$C$47:$C$56,MATCH($B485,Setup!$A$47:$A$56,0)),IFERROR(INDEX(Setup!$C$60:$C$89,MATCH($B485,Setup!$A$60:$A$89,0)),"")))</f>
        <v/>
      </c>
      <c r="E485" s="42"/>
      <c r="F485" s="42"/>
    </row>
    <row r="486" customFormat="false" ht="15" hidden="false" customHeight="true" outlineLevel="0" collapsed="false">
      <c r="A486" s="42"/>
      <c r="B486" s="42"/>
      <c r="C486" s="42"/>
      <c r="D486" s="28" t="str">
        <f aca="false">IF(OR($B486="",$C486=""),"",$C486*IFERROR(INDEX(Setup!$C$47:$C$56,MATCH($B486,Setup!$A$47:$A$56,0)),IFERROR(INDEX(Setup!$C$60:$C$89,MATCH($B486,Setup!$A$60:$A$89,0)),"")))</f>
        <v/>
      </c>
      <c r="E486" s="42"/>
      <c r="F486" s="42"/>
    </row>
    <row r="487" customFormat="false" ht="15" hidden="false" customHeight="true" outlineLevel="0" collapsed="false">
      <c r="A487" s="42"/>
      <c r="B487" s="42"/>
      <c r="C487" s="42"/>
      <c r="D487" s="28" t="str">
        <f aca="false">IF(OR($B487="",$C487=""),"",$C487*IFERROR(INDEX(Setup!$C$47:$C$56,MATCH($B487,Setup!$A$47:$A$56,0)),IFERROR(INDEX(Setup!$C$60:$C$89,MATCH($B487,Setup!$A$60:$A$89,0)),"")))</f>
        <v/>
      </c>
      <c r="E487" s="42"/>
      <c r="F487" s="42"/>
    </row>
    <row r="488" customFormat="false" ht="15" hidden="false" customHeight="true" outlineLevel="0" collapsed="false">
      <c r="A488" s="42"/>
      <c r="B488" s="42"/>
      <c r="C488" s="42"/>
      <c r="D488" s="28" t="str">
        <f aca="false">IF(OR($B488="",$C488=""),"",$C488*IFERROR(INDEX(Setup!$C$47:$C$56,MATCH($B488,Setup!$A$47:$A$56,0)),IFERROR(INDEX(Setup!$C$60:$C$89,MATCH($B488,Setup!$A$60:$A$89,0)),"")))</f>
        <v/>
      </c>
      <c r="E488" s="42"/>
      <c r="F488" s="42"/>
    </row>
    <row r="489" customFormat="false" ht="15" hidden="false" customHeight="true" outlineLevel="0" collapsed="false">
      <c r="A489" s="42"/>
      <c r="B489" s="42"/>
      <c r="C489" s="42"/>
      <c r="D489" s="28" t="str">
        <f aca="false">IF(OR($B489="",$C489=""),"",$C489*IFERROR(INDEX(Setup!$C$47:$C$56,MATCH($B489,Setup!$A$47:$A$56,0)),IFERROR(INDEX(Setup!$C$60:$C$89,MATCH($B489,Setup!$A$60:$A$89,0)),"")))</f>
        <v/>
      </c>
      <c r="E489" s="42"/>
      <c r="F489" s="42"/>
    </row>
    <row r="490" customFormat="false" ht="15" hidden="false" customHeight="true" outlineLevel="0" collapsed="false">
      <c r="A490" s="42"/>
      <c r="B490" s="42"/>
      <c r="C490" s="42"/>
      <c r="D490" s="28" t="str">
        <f aca="false">IF(OR($B490="",$C490=""),"",$C490*IFERROR(INDEX(Setup!$C$47:$C$56,MATCH($B490,Setup!$A$47:$A$56,0)),IFERROR(INDEX(Setup!$C$60:$C$89,MATCH($B490,Setup!$A$60:$A$89,0)),"")))</f>
        <v/>
      </c>
      <c r="E490" s="42"/>
      <c r="F490" s="42"/>
    </row>
    <row r="491" customFormat="false" ht="15" hidden="false" customHeight="true" outlineLevel="0" collapsed="false">
      <c r="A491" s="42"/>
      <c r="B491" s="42"/>
      <c r="C491" s="42"/>
      <c r="D491" s="28" t="str">
        <f aca="false">IF(OR($B491="",$C491=""),"",$C491*IFERROR(INDEX(Setup!$C$47:$C$56,MATCH($B491,Setup!$A$47:$A$56,0)),IFERROR(INDEX(Setup!$C$60:$C$89,MATCH($B491,Setup!$A$60:$A$89,0)),"")))</f>
        <v/>
      </c>
      <c r="E491" s="42"/>
      <c r="F491" s="42"/>
    </row>
    <row r="492" customFormat="false" ht="15" hidden="false" customHeight="true" outlineLevel="0" collapsed="false">
      <c r="A492" s="42"/>
      <c r="B492" s="42"/>
      <c r="C492" s="42"/>
      <c r="D492" s="28" t="str">
        <f aca="false">IF(OR($B492="",$C492=""),"",$C492*IFERROR(INDEX(Setup!$C$47:$C$56,MATCH($B492,Setup!$A$47:$A$56,0)),IFERROR(INDEX(Setup!$C$60:$C$89,MATCH($B492,Setup!$A$60:$A$89,0)),"")))</f>
        <v/>
      </c>
      <c r="E492" s="42"/>
      <c r="F492" s="42"/>
    </row>
    <row r="493" customFormat="false" ht="15" hidden="false" customHeight="true" outlineLevel="0" collapsed="false">
      <c r="A493" s="42"/>
      <c r="B493" s="42"/>
      <c r="C493" s="42"/>
      <c r="D493" s="28" t="str">
        <f aca="false">IF(OR($B493="",$C493=""),"",$C493*IFERROR(INDEX(Setup!$C$47:$C$56,MATCH($B493,Setup!$A$47:$A$56,0)),IFERROR(INDEX(Setup!$C$60:$C$89,MATCH($B493,Setup!$A$60:$A$89,0)),"")))</f>
        <v/>
      </c>
      <c r="E493" s="42"/>
      <c r="F493" s="42"/>
    </row>
    <row r="494" customFormat="false" ht="15" hidden="false" customHeight="true" outlineLevel="0" collapsed="false">
      <c r="A494" s="42"/>
      <c r="B494" s="42"/>
      <c r="C494" s="42"/>
      <c r="D494" s="28" t="str">
        <f aca="false">IF(OR($B494="",$C494=""),"",$C494*IFERROR(INDEX(Setup!$C$47:$C$56,MATCH($B494,Setup!$A$47:$A$56,0)),IFERROR(INDEX(Setup!$C$60:$C$89,MATCH($B494,Setup!$A$60:$A$89,0)),"")))</f>
        <v/>
      </c>
      <c r="E494" s="42"/>
      <c r="F494" s="42"/>
    </row>
    <row r="495" customFormat="false" ht="15" hidden="false" customHeight="true" outlineLevel="0" collapsed="false">
      <c r="A495" s="42"/>
      <c r="B495" s="42"/>
      <c r="C495" s="42"/>
      <c r="D495" s="28" t="str">
        <f aca="false">IF(OR($B495="",$C495=""),"",$C495*IFERROR(INDEX(Setup!$C$47:$C$56,MATCH($B495,Setup!$A$47:$A$56,0)),IFERROR(INDEX(Setup!$C$60:$C$89,MATCH($B495,Setup!$A$60:$A$89,0)),"")))</f>
        <v/>
      </c>
      <c r="E495" s="42"/>
      <c r="F495" s="42"/>
    </row>
    <row r="496" customFormat="false" ht="15" hidden="false" customHeight="true" outlineLevel="0" collapsed="false">
      <c r="A496" s="42"/>
      <c r="B496" s="42"/>
      <c r="C496" s="42"/>
      <c r="D496" s="28" t="str">
        <f aca="false">IF(OR($B496="",$C496=""),"",$C496*IFERROR(INDEX(Setup!$C$47:$C$56,MATCH($B496,Setup!$A$47:$A$56,0)),IFERROR(INDEX(Setup!$C$60:$C$89,MATCH($B496,Setup!$A$60:$A$89,0)),"")))</f>
        <v/>
      </c>
      <c r="E496" s="42"/>
      <c r="F496" s="42"/>
    </row>
    <row r="497" customFormat="false" ht="15" hidden="false" customHeight="true" outlineLevel="0" collapsed="false">
      <c r="A497" s="42"/>
      <c r="B497" s="42"/>
      <c r="C497" s="42"/>
      <c r="D497" s="28" t="str">
        <f aca="false">IF(OR($B497="",$C497=""),"",$C497*IFERROR(INDEX(Setup!$C$47:$C$56,MATCH($B497,Setup!$A$47:$A$56,0)),IFERROR(INDEX(Setup!$C$60:$C$89,MATCH($B497,Setup!$A$60:$A$89,0)),"")))</f>
        <v/>
      </c>
      <c r="E497" s="42"/>
      <c r="F497" s="42"/>
    </row>
    <row r="498" customFormat="false" ht="15" hidden="false" customHeight="true" outlineLevel="0" collapsed="false">
      <c r="A498" s="42"/>
      <c r="B498" s="42"/>
      <c r="C498" s="42"/>
      <c r="D498" s="28" t="str">
        <f aca="false">IF(OR($B498="",$C498=""),"",$C498*IFERROR(INDEX(Setup!$C$47:$C$56,MATCH($B498,Setup!$A$47:$A$56,0)),IFERROR(INDEX(Setup!$C$60:$C$89,MATCH($B498,Setup!$A$60:$A$89,0)),"")))</f>
        <v/>
      </c>
      <c r="E498" s="42"/>
      <c r="F498" s="42"/>
    </row>
    <row r="499" customFormat="false" ht="15" hidden="false" customHeight="true" outlineLevel="0" collapsed="false">
      <c r="A499" s="42"/>
      <c r="B499" s="42"/>
      <c r="C499" s="42"/>
      <c r="D499" s="28" t="str">
        <f aca="false">IF(OR($B499="",$C499=""),"",$C499*IFERROR(INDEX(Setup!$C$47:$C$56,MATCH($B499,Setup!$A$47:$A$56,0)),IFERROR(INDEX(Setup!$C$60:$C$89,MATCH($B499,Setup!$A$60:$A$89,0)),"")))</f>
        <v/>
      </c>
      <c r="E499" s="42"/>
      <c r="F499" s="42"/>
    </row>
    <row r="500" customFormat="false" ht="15" hidden="false" customHeight="true" outlineLevel="0" collapsed="false">
      <c r="A500" s="42"/>
      <c r="B500" s="42"/>
      <c r="C500" s="42"/>
      <c r="D500" s="28" t="str">
        <f aca="false">IF(OR($B500="",$C500=""),"",$C500*IFERROR(INDEX(Setup!$C$47:$C$56,MATCH($B500,Setup!$A$47:$A$56,0)),IFERROR(INDEX(Setup!$C$60:$C$89,MATCH($B500,Setup!$A$60:$A$89,0)),"")))</f>
        <v/>
      </c>
      <c r="E500" s="42"/>
      <c r="F500" s="42"/>
    </row>
    <row r="501" customFormat="false" ht="15" hidden="false" customHeight="true" outlineLevel="0" collapsed="false">
      <c r="A501" s="42"/>
      <c r="B501" s="42"/>
      <c r="C501" s="42"/>
      <c r="D501" s="28" t="str">
        <f aca="false">IF(OR($B501="",$C501=""),"",$C501*IFERROR(INDEX(Setup!$C$47:$C$56,MATCH($B501,Setup!$A$47:$A$56,0)),IFERROR(INDEX(Setup!$C$60:$C$89,MATCH($B501,Setup!$A$60:$A$89,0)),"")))</f>
        <v/>
      </c>
      <c r="E501" s="42"/>
      <c r="F501" s="42"/>
    </row>
    <row r="502" customFormat="false" ht="15" hidden="false" customHeight="true" outlineLevel="0" collapsed="false">
      <c r="A502" s="42"/>
      <c r="B502" s="42"/>
      <c r="C502" s="42"/>
      <c r="D502" s="28" t="str">
        <f aca="false">IF(OR($B502="",$C502=""),"",$C502*IFERROR(INDEX(Setup!$C$47:$C$56,MATCH($B502,Setup!$A$47:$A$56,0)),IFERROR(INDEX(Setup!$C$60:$C$89,MATCH($B502,Setup!$A$60:$A$89,0)),"")))</f>
        <v/>
      </c>
      <c r="E502" s="42"/>
      <c r="F502" s="42"/>
    </row>
    <row r="503" customFormat="false" ht="15" hidden="false" customHeight="true" outlineLevel="0" collapsed="false">
      <c r="A503" s="42"/>
      <c r="B503" s="42"/>
      <c r="C503" s="42"/>
      <c r="D503" s="28" t="str">
        <f aca="false">IF(OR($B503="",$C503=""),"",$C503*IFERROR(INDEX(Setup!$C$47:$C$56,MATCH($B503,Setup!$A$47:$A$56,0)),IFERROR(INDEX(Setup!$C$60:$C$89,MATCH($B503,Setup!$A$60:$A$89,0)),"")))</f>
        <v/>
      </c>
      <c r="E503" s="42"/>
      <c r="F503" s="42"/>
    </row>
    <row r="504" customFormat="false" ht="15" hidden="false" customHeight="true" outlineLevel="0" collapsed="false">
      <c r="A504" s="42"/>
      <c r="B504" s="42"/>
      <c r="C504" s="42"/>
      <c r="D504" s="28" t="str">
        <f aca="false">IF(OR($B504="",$C504=""),"",$C504*IFERROR(INDEX(Setup!$C$47:$C$56,MATCH($B504,Setup!$A$47:$A$56,0)),IFERROR(INDEX(Setup!$C$60:$C$89,MATCH($B504,Setup!$A$60:$A$89,0)),"")))</f>
        <v/>
      </c>
      <c r="E504" s="42"/>
      <c r="F504" s="42"/>
    </row>
    <row r="505" customFormat="false" ht="15" hidden="false" customHeight="true" outlineLevel="0" collapsed="false">
      <c r="A505" s="42"/>
      <c r="B505" s="42"/>
      <c r="C505" s="42"/>
      <c r="D505" s="28" t="str">
        <f aca="false">IF(OR($B505="",$C505=""),"",$C505*IFERROR(INDEX(Setup!$C$47:$C$56,MATCH($B505,Setup!$A$47:$A$56,0)),IFERROR(INDEX(Setup!$C$60:$C$89,MATCH($B505,Setup!$A$60:$A$89,0)),"")))</f>
        <v/>
      </c>
      <c r="E505" s="42"/>
      <c r="F505" s="42"/>
    </row>
    <row r="506" customFormat="false" ht="15" hidden="false" customHeight="true" outlineLevel="0" collapsed="false">
      <c r="A506" s="42"/>
      <c r="B506" s="42"/>
      <c r="C506" s="42"/>
      <c r="D506" s="28" t="str">
        <f aca="false">IF(OR($B506="",$C506=""),"",$C506*IFERROR(INDEX(Setup!$C$47:$C$56,MATCH($B506,Setup!$A$47:$A$56,0)),IFERROR(INDEX(Setup!$C$60:$C$89,MATCH($B506,Setup!$A$60:$A$89,0)),"")))</f>
        <v/>
      </c>
      <c r="E506" s="42"/>
      <c r="F506" s="42"/>
    </row>
    <row r="507" customFormat="false" ht="15" hidden="false" customHeight="true" outlineLevel="0" collapsed="false">
      <c r="A507" s="42"/>
      <c r="B507" s="42"/>
      <c r="C507" s="42"/>
      <c r="D507" s="28" t="str">
        <f aca="false">IF(OR($B507="",$C507=""),"",$C507*IFERROR(INDEX(Setup!$C$47:$C$56,MATCH($B507,Setup!$A$47:$A$56,0)),IFERROR(INDEX(Setup!$C$60:$C$89,MATCH($B507,Setup!$A$60:$A$89,0)),"")))</f>
        <v/>
      </c>
      <c r="E507" s="42"/>
      <c r="F507" s="42"/>
    </row>
    <row r="508" customFormat="false" ht="15" hidden="false" customHeight="true" outlineLevel="0" collapsed="false">
      <c r="A508" s="42"/>
      <c r="B508" s="42"/>
      <c r="C508" s="42"/>
      <c r="D508" s="28" t="str">
        <f aca="false">IF(OR($B508="",$C508=""),"",$C508*IFERROR(INDEX(Setup!$C$47:$C$56,MATCH($B508,Setup!$A$47:$A$56,0)),IFERROR(INDEX(Setup!$C$60:$C$89,MATCH($B508,Setup!$A$60:$A$89,0)),"")))</f>
        <v/>
      </c>
      <c r="E508" s="42"/>
      <c r="F508" s="42"/>
    </row>
    <row r="509" customFormat="false" ht="15" hidden="false" customHeight="true" outlineLevel="0" collapsed="false">
      <c r="A509" s="42"/>
      <c r="B509" s="42"/>
      <c r="C509" s="42"/>
      <c r="D509" s="28" t="str">
        <f aca="false">IF(OR($B509="",$C509=""),"",$C509*IFERROR(INDEX(Setup!$C$47:$C$56,MATCH($B509,Setup!$A$47:$A$56,0)),IFERROR(INDEX(Setup!$C$60:$C$89,MATCH($B509,Setup!$A$60:$A$89,0)),"")))</f>
        <v/>
      </c>
      <c r="E509" s="42"/>
      <c r="F509" s="42"/>
    </row>
    <row r="510" customFormat="false" ht="15" hidden="false" customHeight="true" outlineLevel="0" collapsed="false">
      <c r="A510" s="42"/>
      <c r="B510" s="42"/>
      <c r="C510" s="42"/>
      <c r="D510" s="28" t="str">
        <f aca="false">IF(OR($B510="",$C510=""),"",$C510*IFERROR(INDEX(Setup!$C$47:$C$56,MATCH($B510,Setup!$A$47:$A$56,0)),IFERROR(INDEX(Setup!$C$60:$C$89,MATCH($B510,Setup!$A$60:$A$89,0)),"")))</f>
        <v/>
      </c>
      <c r="E510" s="42"/>
      <c r="F510" s="42"/>
    </row>
    <row r="511" customFormat="false" ht="15" hidden="false" customHeight="true" outlineLevel="0" collapsed="false">
      <c r="A511" s="42"/>
      <c r="B511" s="42"/>
      <c r="C511" s="42"/>
      <c r="D511" s="28" t="str">
        <f aca="false">IF(OR($B511="",$C511=""),"",$C511*IFERROR(INDEX(Setup!$C$47:$C$56,MATCH($B511,Setup!$A$47:$A$56,0)),IFERROR(INDEX(Setup!$C$60:$C$89,MATCH($B511,Setup!$A$60:$A$89,0)),"")))</f>
        <v/>
      </c>
      <c r="E511" s="42"/>
      <c r="F511" s="42"/>
    </row>
    <row r="512" customFormat="false" ht="15" hidden="false" customHeight="true" outlineLevel="0" collapsed="false">
      <c r="A512" s="42"/>
      <c r="B512" s="42"/>
      <c r="C512" s="42"/>
      <c r="D512" s="28" t="str">
        <f aca="false">IF(OR($B512="",$C512=""),"",$C512*IFERROR(INDEX(Setup!$C$47:$C$56,MATCH($B512,Setup!$A$47:$A$56,0)),IFERROR(INDEX(Setup!$C$60:$C$89,MATCH($B512,Setup!$A$60:$A$89,0)),"")))</f>
        <v/>
      </c>
      <c r="E512" s="42"/>
      <c r="F512" s="42"/>
    </row>
    <row r="513" customFormat="false" ht="15" hidden="false" customHeight="true" outlineLevel="0" collapsed="false">
      <c r="A513" s="42"/>
      <c r="B513" s="42"/>
      <c r="C513" s="42"/>
      <c r="D513" s="28" t="str">
        <f aca="false">IF(OR($B513="",$C513=""),"",$C513*IFERROR(INDEX(Setup!$C$47:$C$56,MATCH($B513,Setup!$A$47:$A$56,0)),IFERROR(INDEX(Setup!$C$60:$C$89,MATCH($B513,Setup!$A$60:$A$89,0)),"")))</f>
        <v/>
      </c>
      <c r="E513" s="42"/>
      <c r="F513" s="42"/>
    </row>
    <row r="514" customFormat="false" ht="15" hidden="false" customHeight="true" outlineLevel="0" collapsed="false">
      <c r="A514" s="42"/>
      <c r="B514" s="42"/>
      <c r="C514" s="42"/>
      <c r="D514" s="28" t="str">
        <f aca="false">IF(OR($B514="",$C514=""),"",$C514*IFERROR(INDEX(Setup!$C$47:$C$56,MATCH($B514,Setup!$A$47:$A$56,0)),IFERROR(INDEX(Setup!$C$60:$C$89,MATCH($B514,Setup!$A$60:$A$89,0)),"")))</f>
        <v/>
      </c>
      <c r="E514" s="42"/>
      <c r="F514" s="42"/>
    </row>
    <row r="515" customFormat="false" ht="15" hidden="false" customHeight="true" outlineLevel="0" collapsed="false">
      <c r="A515" s="42"/>
      <c r="B515" s="42"/>
      <c r="C515" s="42"/>
      <c r="D515" s="28" t="str">
        <f aca="false">IF(OR($B515="",$C515=""),"",$C515*IFERROR(INDEX(Setup!$C$47:$C$56,MATCH($B515,Setup!$A$47:$A$56,0)),IFERROR(INDEX(Setup!$C$60:$C$89,MATCH($B515,Setup!$A$60:$A$89,0)),"")))</f>
        <v/>
      </c>
      <c r="E515" s="42"/>
      <c r="F515" s="42"/>
    </row>
    <row r="516" customFormat="false" ht="15" hidden="false" customHeight="true" outlineLevel="0" collapsed="false">
      <c r="A516" s="42"/>
      <c r="B516" s="42"/>
      <c r="C516" s="42"/>
      <c r="D516" s="28" t="str">
        <f aca="false">IF(OR($B516="",$C516=""),"",$C516*IFERROR(INDEX(Setup!$C$47:$C$56,MATCH($B516,Setup!$A$47:$A$56,0)),IFERROR(INDEX(Setup!$C$60:$C$89,MATCH($B516,Setup!$A$60:$A$89,0)),"")))</f>
        <v/>
      </c>
      <c r="E516" s="42"/>
      <c r="F516" s="42"/>
    </row>
    <row r="517" customFormat="false" ht="15" hidden="false" customHeight="true" outlineLevel="0" collapsed="false">
      <c r="A517" s="42"/>
      <c r="B517" s="42"/>
      <c r="C517" s="42"/>
      <c r="D517" s="28" t="str">
        <f aca="false">IF(OR($B517="",$C517=""),"",$C517*IFERROR(INDEX(Setup!$C$47:$C$56,MATCH($B517,Setup!$A$47:$A$56,0)),IFERROR(INDEX(Setup!$C$60:$C$89,MATCH($B517,Setup!$A$60:$A$89,0)),"")))</f>
        <v/>
      </c>
      <c r="E517" s="42"/>
      <c r="F517" s="42"/>
    </row>
    <row r="518" customFormat="false" ht="15" hidden="false" customHeight="true" outlineLevel="0" collapsed="false">
      <c r="A518" s="42"/>
      <c r="B518" s="42"/>
      <c r="C518" s="42"/>
      <c r="D518" s="28" t="str">
        <f aca="false">IF(OR($B518="",$C518=""),"",$C518*IFERROR(INDEX(Setup!$C$47:$C$56,MATCH($B518,Setup!$A$47:$A$56,0)),IFERROR(INDEX(Setup!$C$60:$C$89,MATCH($B518,Setup!$A$60:$A$89,0)),"")))</f>
        <v/>
      </c>
      <c r="E518" s="42"/>
      <c r="F518" s="42"/>
    </row>
    <row r="519" customFormat="false" ht="15" hidden="false" customHeight="true" outlineLevel="0" collapsed="false">
      <c r="A519" s="42"/>
      <c r="B519" s="42"/>
      <c r="C519" s="42"/>
      <c r="D519" s="28" t="str">
        <f aca="false">IF(OR($B519="",$C519=""),"",$C519*IFERROR(INDEX(Setup!$C$47:$C$56,MATCH($B519,Setup!$A$47:$A$56,0)),IFERROR(INDEX(Setup!$C$60:$C$89,MATCH($B519,Setup!$A$60:$A$89,0)),"")))</f>
        <v/>
      </c>
      <c r="E519" s="42"/>
      <c r="F519" s="42"/>
    </row>
    <row r="520" customFormat="false" ht="15" hidden="false" customHeight="true" outlineLevel="0" collapsed="false">
      <c r="A520" s="42"/>
      <c r="B520" s="42"/>
      <c r="C520" s="42"/>
      <c r="D520" s="28" t="str">
        <f aca="false">IF(OR($B520="",$C520=""),"",$C520*IFERROR(INDEX(Setup!$C$47:$C$56,MATCH($B520,Setup!$A$47:$A$56,0)),IFERROR(INDEX(Setup!$C$60:$C$89,MATCH($B520,Setup!$A$60:$A$89,0)),"")))</f>
        <v/>
      </c>
      <c r="E520" s="42"/>
      <c r="F520" s="42"/>
    </row>
    <row r="521" customFormat="false" ht="15" hidden="false" customHeight="true" outlineLevel="0" collapsed="false">
      <c r="A521" s="42"/>
      <c r="B521" s="42"/>
      <c r="C521" s="42"/>
      <c r="D521" s="28" t="str">
        <f aca="false">IF(OR($B521="",$C521=""),"",$C521*IFERROR(INDEX(Setup!$C$47:$C$56,MATCH($B521,Setup!$A$47:$A$56,0)),IFERROR(INDEX(Setup!$C$60:$C$89,MATCH($B521,Setup!$A$60:$A$89,0)),"")))</f>
        <v/>
      </c>
      <c r="E521" s="42"/>
      <c r="F521" s="42"/>
    </row>
    <row r="522" customFormat="false" ht="15" hidden="false" customHeight="true" outlineLevel="0" collapsed="false">
      <c r="A522" s="42"/>
      <c r="B522" s="42"/>
      <c r="C522" s="42"/>
      <c r="D522" s="28" t="str">
        <f aca="false">IF(OR($B522="",$C522=""),"",$C522*IFERROR(INDEX(Setup!$C$47:$C$56,MATCH($B522,Setup!$A$47:$A$56,0)),IFERROR(INDEX(Setup!$C$60:$C$89,MATCH($B522,Setup!$A$60:$A$89,0)),"")))</f>
        <v/>
      </c>
      <c r="E522" s="42"/>
      <c r="F522" s="42"/>
    </row>
    <row r="523" customFormat="false" ht="15" hidden="false" customHeight="true" outlineLevel="0" collapsed="false">
      <c r="A523" s="42"/>
      <c r="B523" s="42"/>
      <c r="C523" s="42"/>
      <c r="D523" s="28" t="str">
        <f aca="false">IF(OR($B523="",$C523=""),"",$C523*IFERROR(INDEX(Setup!$C$47:$C$56,MATCH($B523,Setup!$A$47:$A$56,0)),IFERROR(INDEX(Setup!$C$60:$C$89,MATCH($B523,Setup!$A$60:$A$89,0)),"")))</f>
        <v/>
      </c>
      <c r="E523" s="42"/>
      <c r="F523" s="42"/>
    </row>
    <row r="524" customFormat="false" ht="15" hidden="false" customHeight="true" outlineLevel="0" collapsed="false">
      <c r="A524" s="42"/>
      <c r="B524" s="42"/>
      <c r="C524" s="42"/>
      <c r="D524" s="28" t="str">
        <f aca="false">IF(OR($B524="",$C524=""),"",$C524*IFERROR(INDEX(Setup!$C$47:$C$56,MATCH($B524,Setup!$A$47:$A$56,0)),IFERROR(INDEX(Setup!$C$60:$C$89,MATCH($B524,Setup!$A$60:$A$89,0)),"")))</f>
        <v/>
      </c>
      <c r="E524" s="42"/>
      <c r="F524" s="42"/>
    </row>
    <row r="525" customFormat="false" ht="15" hidden="false" customHeight="true" outlineLevel="0" collapsed="false">
      <c r="A525" s="42"/>
      <c r="B525" s="42"/>
      <c r="C525" s="42"/>
      <c r="D525" s="28" t="str">
        <f aca="false">IF(OR($B525="",$C525=""),"",$C525*IFERROR(INDEX(Setup!$C$47:$C$56,MATCH($B525,Setup!$A$47:$A$56,0)),IFERROR(INDEX(Setup!$C$60:$C$89,MATCH($B525,Setup!$A$60:$A$89,0)),"")))</f>
        <v/>
      </c>
      <c r="E525" s="42"/>
      <c r="F525" s="42"/>
    </row>
    <row r="526" customFormat="false" ht="15" hidden="false" customHeight="true" outlineLevel="0" collapsed="false">
      <c r="A526" s="42"/>
      <c r="B526" s="42"/>
      <c r="C526" s="42"/>
      <c r="D526" s="28" t="str">
        <f aca="false">IF(OR($B526="",$C526=""),"",$C526*IFERROR(INDEX(Setup!$C$47:$C$56,MATCH($B526,Setup!$A$47:$A$56,0)),IFERROR(INDEX(Setup!$C$60:$C$89,MATCH($B526,Setup!$A$60:$A$89,0)),"")))</f>
        <v/>
      </c>
      <c r="E526" s="42"/>
      <c r="F526" s="42"/>
    </row>
    <row r="527" customFormat="false" ht="15" hidden="false" customHeight="true" outlineLevel="0" collapsed="false">
      <c r="A527" s="42"/>
      <c r="B527" s="42"/>
      <c r="C527" s="42"/>
      <c r="D527" s="28" t="str">
        <f aca="false">IF(OR($B527="",$C527=""),"",$C527*IFERROR(INDEX(Setup!$C$47:$C$56,MATCH($B527,Setup!$A$47:$A$56,0)),IFERROR(INDEX(Setup!$C$60:$C$89,MATCH($B527,Setup!$A$60:$A$89,0)),"")))</f>
        <v/>
      </c>
      <c r="E527" s="42"/>
      <c r="F527" s="42"/>
    </row>
    <row r="528" customFormat="false" ht="15" hidden="false" customHeight="true" outlineLevel="0" collapsed="false">
      <c r="A528" s="42"/>
      <c r="B528" s="42"/>
      <c r="C528" s="42"/>
      <c r="D528" s="28" t="str">
        <f aca="false">IF(OR($B528="",$C528=""),"",$C528*IFERROR(INDEX(Setup!$C$47:$C$56,MATCH($B528,Setup!$A$47:$A$56,0)),IFERROR(INDEX(Setup!$C$60:$C$89,MATCH($B528,Setup!$A$60:$A$89,0)),"")))</f>
        <v/>
      </c>
      <c r="E528" s="42"/>
      <c r="F528" s="42"/>
    </row>
    <row r="529" customFormat="false" ht="15" hidden="false" customHeight="true" outlineLevel="0" collapsed="false">
      <c r="A529" s="42"/>
      <c r="B529" s="42"/>
      <c r="C529" s="42"/>
      <c r="D529" s="28" t="str">
        <f aca="false">IF(OR($B529="",$C529=""),"",$C529*IFERROR(INDEX(Setup!$C$47:$C$56,MATCH($B529,Setup!$A$47:$A$56,0)),IFERROR(INDEX(Setup!$C$60:$C$89,MATCH($B529,Setup!$A$60:$A$89,0)),"")))</f>
        <v/>
      </c>
      <c r="E529" s="42"/>
      <c r="F529" s="42"/>
    </row>
    <row r="530" customFormat="false" ht="15" hidden="false" customHeight="true" outlineLevel="0" collapsed="false">
      <c r="A530" s="42"/>
      <c r="B530" s="42"/>
      <c r="C530" s="42"/>
      <c r="D530" s="28" t="str">
        <f aca="false">IF(OR($B530="",$C530=""),"",$C530*IFERROR(INDEX(Setup!$C$47:$C$56,MATCH($B530,Setup!$A$47:$A$56,0)),IFERROR(INDEX(Setup!$C$60:$C$89,MATCH($B530,Setup!$A$60:$A$89,0)),"")))</f>
        <v/>
      </c>
      <c r="E530" s="42"/>
      <c r="F530" s="42"/>
    </row>
    <row r="531" customFormat="false" ht="15" hidden="false" customHeight="true" outlineLevel="0" collapsed="false">
      <c r="A531" s="42"/>
      <c r="B531" s="42"/>
      <c r="C531" s="42"/>
      <c r="D531" s="28" t="str">
        <f aca="false">IF(OR($B531="",$C531=""),"",$C531*IFERROR(INDEX(Setup!$C$47:$C$56,MATCH($B531,Setup!$A$47:$A$56,0)),IFERROR(INDEX(Setup!$C$60:$C$89,MATCH($B531,Setup!$A$60:$A$89,0)),"")))</f>
        <v/>
      </c>
      <c r="E531" s="42"/>
      <c r="F531" s="42"/>
    </row>
    <row r="532" customFormat="false" ht="15" hidden="false" customHeight="true" outlineLevel="0" collapsed="false">
      <c r="A532" s="42"/>
      <c r="B532" s="42"/>
      <c r="C532" s="42"/>
      <c r="D532" s="28" t="str">
        <f aca="false">IF(OR($B532="",$C532=""),"",$C532*IFERROR(INDEX(Setup!$C$47:$C$56,MATCH($B532,Setup!$A$47:$A$56,0)),IFERROR(INDEX(Setup!$C$60:$C$89,MATCH($B532,Setup!$A$60:$A$89,0)),"")))</f>
        <v/>
      </c>
      <c r="E532" s="42"/>
      <c r="F532" s="42"/>
    </row>
    <row r="533" customFormat="false" ht="15" hidden="false" customHeight="true" outlineLevel="0" collapsed="false">
      <c r="A533" s="42"/>
      <c r="B533" s="42"/>
      <c r="C533" s="42"/>
      <c r="D533" s="28" t="str">
        <f aca="false">IF(OR($B533="",$C533=""),"",$C533*IFERROR(INDEX(Setup!$C$47:$C$56,MATCH($B533,Setup!$A$47:$A$56,0)),IFERROR(INDEX(Setup!$C$60:$C$89,MATCH($B533,Setup!$A$60:$A$89,0)),"")))</f>
        <v/>
      </c>
      <c r="E533" s="42"/>
      <c r="F533" s="42"/>
    </row>
    <row r="534" customFormat="false" ht="15" hidden="false" customHeight="true" outlineLevel="0" collapsed="false">
      <c r="A534" s="42"/>
      <c r="B534" s="42"/>
      <c r="C534" s="42"/>
      <c r="D534" s="28" t="str">
        <f aca="false">IF(OR($B534="",$C534=""),"",$C534*IFERROR(INDEX(Setup!$C$47:$C$56,MATCH($B534,Setup!$A$47:$A$56,0)),IFERROR(INDEX(Setup!$C$60:$C$89,MATCH($B534,Setup!$A$60:$A$89,0)),"")))</f>
        <v/>
      </c>
      <c r="E534" s="42"/>
      <c r="F534" s="42"/>
    </row>
    <row r="535" customFormat="false" ht="15" hidden="false" customHeight="true" outlineLevel="0" collapsed="false">
      <c r="A535" s="42"/>
      <c r="B535" s="42"/>
      <c r="C535" s="42"/>
      <c r="D535" s="28" t="str">
        <f aca="false">IF(OR($B535="",$C535=""),"",$C535*IFERROR(INDEX(Setup!$C$47:$C$56,MATCH($B535,Setup!$A$47:$A$56,0)),IFERROR(INDEX(Setup!$C$60:$C$89,MATCH($B535,Setup!$A$60:$A$89,0)),"")))</f>
        <v/>
      </c>
      <c r="E535" s="42"/>
      <c r="F535" s="42"/>
    </row>
    <row r="536" customFormat="false" ht="15" hidden="false" customHeight="true" outlineLevel="0" collapsed="false">
      <c r="A536" s="42"/>
      <c r="B536" s="42"/>
      <c r="C536" s="42"/>
      <c r="D536" s="28" t="str">
        <f aca="false">IF(OR($B536="",$C536=""),"",$C536*IFERROR(INDEX(Setup!$C$47:$C$56,MATCH($B536,Setup!$A$47:$A$56,0)),IFERROR(INDEX(Setup!$C$60:$C$89,MATCH($B536,Setup!$A$60:$A$89,0)),"")))</f>
        <v/>
      </c>
      <c r="E536" s="42"/>
      <c r="F536" s="42"/>
    </row>
    <row r="537" customFormat="false" ht="15" hidden="false" customHeight="true" outlineLevel="0" collapsed="false">
      <c r="A537" s="42"/>
      <c r="B537" s="42"/>
      <c r="C537" s="42"/>
      <c r="D537" s="28" t="str">
        <f aca="false">IF(OR($B537="",$C537=""),"",$C537*IFERROR(INDEX(Setup!$C$47:$C$56,MATCH($B537,Setup!$A$47:$A$56,0)),IFERROR(INDEX(Setup!$C$60:$C$89,MATCH($B537,Setup!$A$60:$A$89,0)),"")))</f>
        <v/>
      </c>
      <c r="E537" s="42"/>
      <c r="F537" s="42"/>
    </row>
    <row r="538" customFormat="false" ht="15" hidden="false" customHeight="true" outlineLevel="0" collapsed="false">
      <c r="A538" s="42"/>
      <c r="B538" s="42"/>
      <c r="C538" s="42"/>
      <c r="D538" s="28" t="str">
        <f aca="false">IF(OR($B538="",$C538=""),"",$C538*IFERROR(INDEX(Setup!$C$47:$C$56,MATCH($B538,Setup!$A$47:$A$56,0)),IFERROR(INDEX(Setup!$C$60:$C$89,MATCH($B538,Setup!$A$60:$A$89,0)),"")))</f>
        <v/>
      </c>
      <c r="E538" s="42"/>
      <c r="F538" s="42"/>
    </row>
    <row r="539" customFormat="false" ht="15" hidden="false" customHeight="true" outlineLevel="0" collapsed="false">
      <c r="A539" s="42"/>
      <c r="B539" s="42"/>
      <c r="C539" s="42"/>
      <c r="D539" s="28" t="str">
        <f aca="false">IF(OR($B539="",$C539=""),"",$C539*IFERROR(INDEX(Setup!$C$47:$C$56,MATCH($B539,Setup!$A$47:$A$56,0)),IFERROR(INDEX(Setup!$C$60:$C$89,MATCH($B539,Setup!$A$60:$A$89,0)),"")))</f>
        <v/>
      </c>
      <c r="E539" s="42"/>
      <c r="F539" s="42"/>
    </row>
    <row r="540" customFormat="false" ht="15" hidden="false" customHeight="true" outlineLevel="0" collapsed="false">
      <c r="A540" s="42"/>
      <c r="B540" s="42"/>
      <c r="C540" s="42"/>
      <c r="D540" s="28" t="str">
        <f aca="false">IF(OR($B540="",$C540=""),"",$C540*IFERROR(INDEX(Setup!$C$47:$C$56,MATCH($B540,Setup!$A$47:$A$56,0)),IFERROR(INDEX(Setup!$C$60:$C$89,MATCH($B540,Setup!$A$60:$A$89,0)),"")))</f>
        <v/>
      </c>
      <c r="E540" s="42"/>
      <c r="F540" s="42"/>
    </row>
    <row r="541" customFormat="false" ht="15" hidden="false" customHeight="true" outlineLevel="0" collapsed="false">
      <c r="A541" s="42"/>
      <c r="B541" s="42"/>
      <c r="C541" s="42"/>
      <c r="D541" s="28" t="str">
        <f aca="false">IF(OR($B541="",$C541=""),"",$C541*IFERROR(INDEX(Setup!$C$47:$C$56,MATCH($B541,Setup!$A$47:$A$56,0)),IFERROR(INDEX(Setup!$C$60:$C$89,MATCH($B541,Setup!$A$60:$A$89,0)),"")))</f>
        <v/>
      </c>
      <c r="E541" s="42"/>
      <c r="F541" s="42"/>
    </row>
    <row r="542" customFormat="false" ht="15" hidden="false" customHeight="true" outlineLevel="0" collapsed="false">
      <c r="A542" s="42"/>
      <c r="B542" s="42"/>
      <c r="C542" s="42"/>
      <c r="D542" s="28" t="str">
        <f aca="false">IF(OR($B542="",$C542=""),"",$C542*IFERROR(INDEX(Setup!$C$47:$C$56,MATCH($B542,Setup!$A$47:$A$56,0)),IFERROR(INDEX(Setup!$C$60:$C$89,MATCH($B542,Setup!$A$60:$A$89,0)),"")))</f>
        <v/>
      </c>
      <c r="E542" s="42"/>
      <c r="F542" s="42"/>
    </row>
    <row r="543" customFormat="false" ht="15" hidden="false" customHeight="true" outlineLevel="0" collapsed="false">
      <c r="A543" s="42"/>
      <c r="B543" s="42"/>
      <c r="C543" s="42"/>
      <c r="D543" s="28" t="str">
        <f aca="false">IF(OR($B543="",$C543=""),"",$C543*IFERROR(INDEX(Setup!$C$47:$C$56,MATCH($B543,Setup!$A$47:$A$56,0)),IFERROR(INDEX(Setup!$C$60:$C$89,MATCH($B543,Setup!$A$60:$A$89,0)),"")))</f>
        <v/>
      </c>
      <c r="E543" s="42"/>
      <c r="F543" s="42"/>
    </row>
    <row r="544" customFormat="false" ht="15" hidden="false" customHeight="true" outlineLevel="0" collapsed="false">
      <c r="A544" s="42"/>
      <c r="B544" s="42"/>
      <c r="C544" s="42"/>
      <c r="D544" s="28" t="str">
        <f aca="false">IF(OR($B544="",$C544=""),"",$C544*IFERROR(INDEX(Setup!$C$47:$C$56,MATCH($B544,Setup!$A$47:$A$56,0)),IFERROR(INDEX(Setup!$C$60:$C$89,MATCH($B544,Setup!$A$60:$A$89,0)),"")))</f>
        <v/>
      </c>
      <c r="E544" s="42"/>
      <c r="F544" s="42"/>
    </row>
    <row r="545" customFormat="false" ht="15" hidden="false" customHeight="true" outlineLevel="0" collapsed="false">
      <c r="A545" s="42"/>
      <c r="B545" s="42"/>
      <c r="C545" s="42"/>
      <c r="D545" s="28" t="str">
        <f aca="false">IF(OR($B545="",$C545=""),"",$C545*IFERROR(INDEX(Setup!$C$47:$C$56,MATCH($B545,Setup!$A$47:$A$56,0)),IFERROR(INDEX(Setup!$C$60:$C$89,MATCH($B545,Setup!$A$60:$A$89,0)),"")))</f>
        <v/>
      </c>
      <c r="E545" s="42"/>
      <c r="F545" s="42"/>
    </row>
    <row r="546" customFormat="false" ht="15" hidden="false" customHeight="true" outlineLevel="0" collapsed="false">
      <c r="A546" s="42"/>
      <c r="B546" s="42"/>
      <c r="C546" s="42"/>
      <c r="D546" s="28" t="str">
        <f aca="false">IF(OR($B546="",$C546=""),"",$C546*IFERROR(INDEX(Setup!$C$47:$C$56,MATCH($B546,Setup!$A$47:$A$56,0)),IFERROR(INDEX(Setup!$C$60:$C$89,MATCH($B546,Setup!$A$60:$A$89,0)),"")))</f>
        <v/>
      </c>
      <c r="E546" s="42"/>
      <c r="F546" s="42"/>
    </row>
    <row r="547" customFormat="false" ht="15" hidden="false" customHeight="true" outlineLevel="0" collapsed="false">
      <c r="A547" s="42"/>
      <c r="B547" s="42"/>
      <c r="C547" s="42"/>
      <c r="D547" s="28" t="str">
        <f aca="false">IF(OR($B547="",$C547=""),"",$C547*IFERROR(INDEX(Setup!$C$47:$C$56,MATCH($B547,Setup!$A$47:$A$56,0)),IFERROR(INDEX(Setup!$C$60:$C$89,MATCH($B547,Setup!$A$60:$A$89,0)),"")))</f>
        <v/>
      </c>
      <c r="E547" s="42"/>
      <c r="F547" s="42"/>
    </row>
    <row r="548" customFormat="false" ht="15" hidden="false" customHeight="true" outlineLevel="0" collapsed="false">
      <c r="A548" s="42"/>
      <c r="B548" s="42"/>
      <c r="C548" s="42"/>
      <c r="D548" s="28" t="str">
        <f aca="false">IF(OR($B548="",$C548=""),"",$C548*IFERROR(INDEX(Setup!$C$47:$C$56,MATCH($B548,Setup!$A$47:$A$56,0)),IFERROR(INDEX(Setup!$C$60:$C$89,MATCH($B548,Setup!$A$60:$A$89,0)),"")))</f>
        <v/>
      </c>
      <c r="E548" s="42"/>
      <c r="F548" s="42"/>
    </row>
    <row r="549" customFormat="false" ht="15" hidden="false" customHeight="true" outlineLevel="0" collapsed="false">
      <c r="A549" s="42"/>
      <c r="B549" s="42"/>
      <c r="C549" s="42"/>
      <c r="D549" s="28" t="str">
        <f aca="false">IF(OR($B549="",$C549=""),"",$C549*IFERROR(INDEX(Setup!$C$47:$C$56,MATCH($B549,Setup!$A$47:$A$56,0)),IFERROR(INDEX(Setup!$C$60:$C$89,MATCH($B549,Setup!$A$60:$A$89,0)),"")))</f>
        <v/>
      </c>
      <c r="E549" s="42"/>
      <c r="F549" s="42"/>
    </row>
    <row r="550" customFormat="false" ht="15" hidden="false" customHeight="true" outlineLevel="0" collapsed="false">
      <c r="A550" s="42"/>
      <c r="B550" s="42"/>
      <c r="C550" s="42"/>
      <c r="D550" s="28" t="str">
        <f aca="false">IF(OR($B550="",$C550=""),"",$C550*IFERROR(INDEX(Setup!$C$47:$C$56,MATCH($B550,Setup!$A$47:$A$56,0)),IFERROR(INDEX(Setup!$C$60:$C$89,MATCH($B550,Setup!$A$60:$A$89,0)),"")))</f>
        <v/>
      </c>
      <c r="E550" s="42"/>
      <c r="F550" s="42"/>
    </row>
    <row r="551" customFormat="false" ht="15" hidden="false" customHeight="true" outlineLevel="0" collapsed="false">
      <c r="A551" s="42"/>
      <c r="B551" s="42"/>
      <c r="C551" s="42"/>
      <c r="D551" s="28" t="str">
        <f aca="false">IF(OR($B551="",$C551=""),"",$C551*IFERROR(INDEX(Setup!$C$47:$C$56,MATCH($B551,Setup!$A$47:$A$56,0)),IFERROR(INDEX(Setup!$C$60:$C$89,MATCH($B551,Setup!$A$60:$A$89,0)),"")))</f>
        <v/>
      </c>
      <c r="E551" s="42"/>
      <c r="F551" s="42"/>
    </row>
    <row r="552" customFormat="false" ht="15" hidden="false" customHeight="true" outlineLevel="0" collapsed="false">
      <c r="A552" s="42"/>
      <c r="B552" s="42"/>
      <c r="C552" s="42"/>
      <c r="D552" s="28" t="str">
        <f aca="false">IF(OR($B552="",$C552=""),"",$C552*IFERROR(INDEX(Setup!$C$47:$C$56,MATCH($B552,Setup!$A$47:$A$56,0)),IFERROR(INDEX(Setup!$C$60:$C$89,MATCH($B552,Setup!$A$60:$A$89,0)),"")))</f>
        <v/>
      </c>
      <c r="E552" s="42"/>
      <c r="F552" s="42"/>
    </row>
    <row r="553" customFormat="false" ht="15" hidden="false" customHeight="true" outlineLevel="0" collapsed="false">
      <c r="A553" s="42"/>
      <c r="B553" s="42"/>
      <c r="C553" s="42"/>
      <c r="D553" s="28" t="str">
        <f aca="false">IF(OR($B553="",$C553=""),"",$C553*IFERROR(INDEX(Setup!$C$47:$C$56,MATCH($B553,Setup!$A$47:$A$56,0)),IFERROR(INDEX(Setup!$C$60:$C$89,MATCH($B553,Setup!$A$60:$A$89,0)),"")))</f>
        <v/>
      </c>
      <c r="E553" s="42"/>
      <c r="F553" s="42"/>
    </row>
    <row r="554" customFormat="false" ht="15" hidden="false" customHeight="true" outlineLevel="0" collapsed="false">
      <c r="A554" s="42"/>
      <c r="B554" s="42"/>
      <c r="C554" s="42"/>
      <c r="D554" s="28" t="str">
        <f aca="false">IF(OR($B554="",$C554=""),"",$C554*IFERROR(INDEX(Setup!$C$47:$C$56,MATCH($B554,Setup!$A$47:$A$56,0)),IFERROR(INDEX(Setup!$C$60:$C$89,MATCH($B554,Setup!$A$60:$A$89,0)),"")))</f>
        <v/>
      </c>
      <c r="E554" s="42"/>
      <c r="F554" s="42"/>
    </row>
    <row r="555" customFormat="false" ht="15" hidden="false" customHeight="true" outlineLevel="0" collapsed="false">
      <c r="A555" s="42"/>
      <c r="B555" s="42"/>
      <c r="C555" s="42"/>
      <c r="D555" s="28" t="str">
        <f aca="false">IF(OR($B555="",$C555=""),"",$C555*IFERROR(INDEX(Setup!$C$47:$C$56,MATCH($B555,Setup!$A$47:$A$56,0)),IFERROR(INDEX(Setup!$C$60:$C$89,MATCH($B555,Setup!$A$60:$A$89,0)),"")))</f>
        <v/>
      </c>
      <c r="E555" s="42"/>
      <c r="F555" s="42"/>
    </row>
    <row r="556" customFormat="false" ht="15" hidden="false" customHeight="true" outlineLevel="0" collapsed="false">
      <c r="A556" s="42"/>
      <c r="B556" s="42"/>
      <c r="C556" s="42"/>
      <c r="D556" s="28" t="str">
        <f aca="false">IF(OR($B556="",$C556=""),"",$C556*IFERROR(INDEX(Setup!$C$47:$C$56,MATCH($B556,Setup!$A$47:$A$56,0)),IFERROR(INDEX(Setup!$C$60:$C$89,MATCH($B556,Setup!$A$60:$A$89,0)),"")))</f>
        <v/>
      </c>
      <c r="E556" s="42"/>
      <c r="F556" s="42"/>
    </row>
    <row r="557" customFormat="false" ht="15" hidden="false" customHeight="true" outlineLevel="0" collapsed="false">
      <c r="A557" s="42"/>
      <c r="B557" s="42"/>
      <c r="C557" s="42"/>
      <c r="D557" s="28" t="str">
        <f aca="false">IF(OR($B557="",$C557=""),"",$C557*IFERROR(INDEX(Setup!$C$47:$C$56,MATCH($B557,Setup!$A$47:$A$56,0)),IFERROR(INDEX(Setup!$C$60:$C$89,MATCH($B557,Setup!$A$60:$A$89,0)),"")))</f>
        <v/>
      </c>
      <c r="E557" s="42"/>
      <c r="F557" s="42"/>
    </row>
    <row r="558" customFormat="false" ht="15" hidden="false" customHeight="true" outlineLevel="0" collapsed="false">
      <c r="A558" s="42"/>
      <c r="B558" s="42"/>
      <c r="C558" s="42"/>
      <c r="D558" s="28" t="str">
        <f aca="false">IF(OR($B558="",$C558=""),"",$C558*IFERROR(INDEX(Setup!$C$47:$C$56,MATCH($B558,Setup!$A$47:$A$56,0)),IFERROR(INDEX(Setup!$C$60:$C$89,MATCH($B558,Setup!$A$60:$A$89,0)),"")))</f>
        <v/>
      </c>
      <c r="E558" s="42"/>
      <c r="F558" s="42"/>
    </row>
    <row r="559" customFormat="false" ht="15" hidden="false" customHeight="true" outlineLevel="0" collapsed="false">
      <c r="A559" s="42"/>
      <c r="B559" s="42"/>
      <c r="C559" s="42"/>
      <c r="D559" s="28" t="str">
        <f aca="false">IF(OR($B559="",$C559=""),"",$C559*IFERROR(INDEX(Setup!$C$47:$C$56,MATCH($B559,Setup!$A$47:$A$56,0)),IFERROR(INDEX(Setup!$C$60:$C$89,MATCH($B559,Setup!$A$60:$A$89,0)),"")))</f>
        <v/>
      </c>
      <c r="E559" s="42"/>
      <c r="F559" s="42"/>
    </row>
    <row r="560" customFormat="false" ht="15" hidden="false" customHeight="true" outlineLevel="0" collapsed="false">
      <c r="A560" s="42"/>
      <c r="B560" s="42"/>
      <c r="C560" s="42"/>
      <c r="D560" s="28" t="str">
        <f aca="false">IF(OR($B560="",$C560=""),"",$C560*IFERROR(INDEX(Setup!$C$47:$C$56,MATCH($B560,Setup!$A$47:$A$56,0)),IFERROR(INDEX(Setup!$C$60:$C$89,MATCH($B560,Setup!$A$60:$A$89,0)),"")))</f>
        <v/>
      </c>
      <c r="E560" s="42"/>
      <c r="F560" s="42"/>
    </row>
    <row r="561" customFormat="false" ht="15" hidden="false" customHeight="true" outlineLevel="0" collapsed="false">
      <c r="A561" s="42"/>
      <c r="B561" s="42"/>
      <c r="C561" s="42"/>
      <c r="D561" s="28" t="str">
        <f aca="false">IF(OR($B561="",$C561=""),"",$C561*IFERROR(INDEX(Setup!$C$47:$C$56,MATCH($B561,Setup!$A$47:$A$56,0)),IFERROR(INDEX(Setup!$C$60:$C$89,MATCH($B561,Setup!$A$60:$A$89,0)),"")))</f>
        <v/>
      </c>
      <c r="E561" s="42"/>
      <c r="F561" s="42"/>
    </row>
    <row r="562" customFormat="false" ht="15" hidden="false" customHeight="true" outlineLevel="0" collapsed="false">
      <c r="A562" s="42"/>
      <c r="B562" s="42"/>
      <c r="C562" s="42"/>
      <c r="D562" s="28" t="str">
        <f aca="false">IF(OR($B562="",$C562=""),"",$C562*IFERROR(INDEX(Setup!$C$47:$C$56,MATCH($B562,Setup!$A$47:$A$56,0)),IFERROR(INDEX(Setup!$C$60:$C$89,MATCH($B562,Setup!$A$60:$A$89,0)),"")))</f>
        <v/>
      </c>
      <c r="E562" s="42"/>
      <c r="F562" s="42"/>
    </row>
    <row r="563" customFormat="false" ht="15" hidden="false" customHeight="true" outlineLevel="0" collapsed="false">
      <c r="A563" s="42"/>
      <c r="B563" s="42"/>
      <c r="C563" s="42"/>
      <c r="D563" s="28" t="str">
        <f aca="false">IF(OR($B563="",$C563=""),"",$C563*IFERROR(INDEX(Setup!$C$47:$C$56,MATCH($B563,Setup!$A$47:$A$56,0)),IFERROR(INDEX(Setup!$C$60:$C$89,MATCH($B563,Setup!$A$60:$A$89,0)),"")))</f>
        <v/>
      </c>
      <c r="E563" s="42"/>
      <c r="F563" s="42"/>
    </row>
    <row r="564" customFormat="false" ht="15" hidden="false" customHeight="true" outlineLevel="0" collapsed="false">
      <c r="A564" s="42"/>
      <c r="B564" s="42"/>
      <c r="C564" s="42"/>
      <c r="D564" s="28" t="str">
        <f aca="false">IF(OR($B564="",$C564=""),"",$C564*IFERROR(INDEX(Setup!$C$47:$C$56,MATCH($B564,Setup!$A$47:$A$56,0)),IFERROR(INDEX(Setup!$C$60:$C$89,MATCH($B564,Setup!$A$60:$A$89,0)),"")))</f>
        <v/>
      </c>
      <c r="E564" s="42"/>
      <c r="F564" s="42"/>
    </row>
    <row r="565" customFormat="false" ht="15" hidden="false" customHeight="true" outlineLevel="0" collapsed="false">
      <c r="A565" s="42"/>
      <c r="B565" s="42"/>
      <c r="C565" s="42"/>
      <c r="D565" s="28" t="str">
        <f aca="false">IF(OR($B565="",$C565=""),"",$C565*IFERROR(INDEX(Setup!$C$47:$C$56,MATCH($B565,Setup!$A$47:$A$56,0)),IFERROR(INDEX(Setup!$C$60:$C$89,MATCH($B565,Setup!$A$60:$A$89,0)),"")))</f>
        <v/>
      </c>
      <c r="E565" s="42"/>
      <c r="F565" s="42"/>
    </row>
    <row r="566" customFormat="false" ht="15" hidden="false" customHeight="true" outlineLevel="0" collapsed="false">
      <c r="A566" s="42"/>
      <c r="B566" s="42"/>
      <c r="C566" s="42"/>
      <c r="D566" s="28" t="str">
        <f aca="false">IF(OR($B566="",$C566=""),"",$C566*IFERROR(INDEX(Setup!$C$47:$C$56,MATCH($B566,Setup!$A$47:$A$56,0)),IFERROR(INDEX(Setup!$C$60:$C$89,MATCH($B566,Setup!$A$60:$A$89,0)),"")))</f>
        <v/>
      </c>
      <c r="E566" s="42"/>
      <c r="F566" s="42"/>
    </row>
    <row r="567" customFormat="false" ht="15" hidden="false" customHeight="true" outlineLevel="0" collapsed="false">
      <c r="A567" s="42"/>
      <c r="B567" s="42"/>
      <c r="C567" s="42"/>
      <c r="D567" s="28" t="str">
        <f aca="false">IF(OR($B567="",$C567=""),"",$C567*IFERROR(INDEX(Setup!$C$47:$C$56,MATCH($B567,Setup!$A$47:$A$56,0)),IFERROR(INDEX(Setup!$C$60:$C$89,MATCH($B567,Setup!$A$60:$A$89,0)),"")))</f>
        <v/>
      </c>
      <c r="E567" s="42"/>
      <c r="F567" s="42"/>
    </row>
    <row r="568" customFormat="false" ht="15" hidden="false" customHeight="true" outlineLevel="0" collapsed="false">
      <c r="A568" s="42"/>
      <c r="B568" s="42"/>
      <c r="C568" s="42"/>
      <c r="D568" s="28" t="str">
        <f aca="false">IF(OR($B568="",$C568=""),"",$C568*IFERROR(INDEX(Setup!$C$47:$C$56,MATCH($B568,Setup!$A$47:$A$56,0)),IFERROR(INDEX(Setup!$C$60:$C$89,MATCH($B568,Setup!$A$60:$A$89,0)),"")))</f>
        <v/>
      </c>
      <c r="E568" s="42"/>
      <c r="F568" s="42"/>
    </row>
    <row r="569" customFormat="false" ht="15" hidden="false" customHeight="true" outlineLevel="0" collapsed="false">
      <c r="A569" s="42"/>
      <c r="B569" s="42"/>
      <c r="C569" s="42"/>
      <c r="D569" s="28" t="str">
        <f aca="false">IF(OR($B569="",$C569=""),"",$C569*IFERROR(INDEX(Setup!$C$47:$C$56,MATCH($B569,Setup!$A$47:$A$56,0)),IFERROR(INDEX(Setup!$C$60:$C$89,MATCH($B569,Setup!$A$60:$A$89,0)),"")))</f>
        <v/>
      </c>
      <c r="E569" s="42"/>
      <c r="F569" s="42"/>
    </row>
    <row r="570" customFormat="false" ht="15" hidden="false" customHeight="true" outlineLevel="0" collapsed="false">
      <c r="A570" s="42"/>
      <c r="B570" s="42"/>
      <c r="C570" s="42"/>
      <c r="D570" s="28" t="str">
        <f aca="false">IF(OR($B570="",$C570=""),"",$C570*IFERROR(INDEX(Setup!$C$47:$C$56,MATCH($B570,Setup!$A$47:$A$56,0)),IFERROR(INDEX(Setup!$C$60:$C$89,MATCH($B570,Setup!$A$60:$A$89,0)),"")))</f>
        <v/>
      </c>
      <c r="E570" s="42"/>
      <c r="F570" s="42"/>
    </row>
    <row r="571" customFormat="false" ht="15" hidden="false" customHeight="true" outlineLevel="0" collapsed="false">
      <c r="A571" s="42"/>
      <c r="B571" s="42"/>
      <c r="C571" s="42"/>
      <c r="D571" s="28" t="str">
        <f aca="false">IF(OR($B571="",$C571=""),"",$C571*IFERROR(INDEX(Setup!$C$47:$C$56,MATCH($B571,Setup!$A$47:$A$56,0)),IFERROR(INDEX(Setup!$C$60:$C$89,MATCH($B571,Setup!$A$60:$A$89,0)),"")))</f>
        <v/>
      </c>
      <c r="E571" s="42"/>
      <c r="F571" s="42"/>
    </row>
    <row r="572" customFormat="false" ht="15" hidden="false" customHeight="true" outlineLevel="0" collapsed="false">
      <c r="A572" s="42"/>
      <c r="B572" s="42"/>
      <c r="C572" s="42"/>
      <c r="D572" s="28" t="str">
        <f aca="false">IF(OR($B572="",$C572=""),"",$C572*IFERROR(INDEX(Setup!$C$47:$C$56,MATCH($B572,Setup!$A$47:$A$56,0)),IFERROR(INDEX(Setup!$C$60:$C$89,MATCH($B572,Setup!$A$60:$A$89,0)),"")))</f>
        <v/>
      </c>
      <c r="E572" s="42"/>
      <c r="F572" s="42"/>
    </row>
    <row r="573" customFormat="false" ht="15" hidden="false" customHeight="true" outlineLevel="0" collapsed="false">
      <c r="A573" s="42"/>
      <c r="B573" s="42"/>
      <c r="C573" s="42"/>
      <c r="D573" s="28" t="str">
        <f aca="false">IF(OR($B573="",$C573=""),"",$C573*IFERROR(INDEX(Setup!$C$47:$C$56,MATCH($B573,Setup!$A$47:$A$56,0)),IFERROR(INDEX(Setup!$C$60:$C$89,MATCH($B573,Setup!$A$60:$A$89,0)),"")))</f>
        <v/>
      </c>
      <c r="E573" s="42"/>
      <c r="F573" s="42"/>
    </row>
    <row r="574" customFormat="false" ht="15" hidden="false" customHeight="true" outlineLevel="0" collapsed="false">
      <c r="A574" s="42"/>
      <c r="B574" s="42"/>
      <c r="C574" s="42"/>
      <c r="D574" s="28" t="str">
        <f aca="false">IF(OR($B574="",$C574=""),"",$C574*IFERROR(INDEX(Setup!$C$47:$C$56,MATCH($B574,Setup!$A$47:$A$56,0)),IFERROR(INDEX(Setup!$C$60:$C$89,MATCH($B574,Setup!$A$60:$A$89,0)),"")))</f>
        <v/>
      </c>
      <c r="E574" s="42"/>
      <c r="F574" s="42"/>
    </row>
    <row r="575" customFormat="false" ht="15" hidden="false" customHeight="true" outlineLevel="0" collapsed="false">
      <c r="A575" s="42"/>
      <c r="B575" s="42"/>
      <c r="C575" s="42"/>
      <c r="D575" s="28" t="str">
        <f aca="false">IF(OR($B575="",$C575=""),"",$C575*IFERROR(INDEX(Setup!$C$47:$C$56,MATCH($B575,Setup!$A$47:$A$56,0)),IFERROR(INDEX(Setup!$C$60:$C$89,MATCH($B575,Setup!$A$60:$A$89,0)),"")))</f>
        <v/>
      </c>
      <c r="E575" s="42"/>
      <c r="F575" s="42"/>
    </row>
    <row r="576" customFormat="false" ht="15" hidden="false" customHeight="true" outlineLevel="0" collapsed="false">
      <c r="A576" s="42"/>
      <c r="B576" s="42"/>
      <c r="C576" s="42"/>
      <c r="D576" s="28" t="str">
        <f aca="false">IF(OR($B576="",$C576=""),"",$C576*IFERROR(INDEX(Setup!$C$47:$C$56,MATCH($B576,Setup!$A$47:$A$56,0)),IFERROR(INDEX(Setup!$C$60:$C$89,MATCH($B576,Setup!$A$60:$A$89,0)),"")))</f>
        <v/>
      </c>
      <c r="E576" s="42"/>
      <c r="F576" s="42"/>
    </row>
    <row r="577" customFormat="false" ht="15" hidden="false" customHeight="true" outlineLevel="0" collapsed="false">
      <c r="A577" s="42"/>
      <c r="B577" s="42"/>
      <c r="C577" s="42"/>
      <c r="D577" s="28" t="str">
        <f aca="false">IF(OR($B577="",$C577=""),"",$C577*IFERROR(INDEX(Setup!$C$47:$C$56,MATCH($B577,Setup!$A$47:$A$56,0)),IFERROR(INDEX(Setup!$C$60:$C$89,MATCH($B577,Setup!$A$60:$A$89,0)),"")))</f>
        <v/>
      </c>
      <c r="E577" s="42"/>
      <c r="F577" s="42"/>
    </row>
    <row r="578" customFormat="false" ht="15" hidden="false" customHeight="true" outlineLevel="0" collapsed="false">
      <c r="A578" s="42"/>
      <c r="B578" s="42"/>
      <c r="C578" s="42"/>
      <c r="D578" s="28" t="str">
        <f aca="false">IF(OR($B578="",$C578=""),"",$C578*IFERROR(INDEX(Setup!$C$47:$C$56,MATCH($B578,Setup!$A$47:$A$56,0)),IFERROR(INDEX(Setup!$C$60:$C$89,MATCH($B578,Setup!$A$60:$A$89,0)),"")))</f>
        <v/>
      </c>
      <c r="E578" s="42"/>
      <c r="F578" s="42"/>
    </row>
    <row r="579" customFormat="false" ht="15" hidden="false" customHeight="true" outlineLevel="0" collapsed="false">
      <c r="A579" s="42"/>
      <c r="B579" s="42"/>
      <c r="C579" s="42"/>
      <c r="D579" s="28" t="str">
        <f aca="false">IF(OR($B579="",$C579=""),"",$C579*IFERROR(INDEX(Setup!$C$47:$C$56,MATCH($B579,Setup!$A$47:$A$56,0)),IFERROR(INDEX(Setup!$C$60:$C$89,MATCH($B579,Setup!$A$60:$A$89,0)),"")))</f>
        <v/>
      </c>
      <c r="E579" s="42"/>
      <c r="F579" s="42"/>
    </row>
    <row r="580" customFormat="false" ht="15" hidden="false" customHeight="true" outlineLevel="0" collapsed="false">
      <c r="A580" s="42"/>
      <c r="B580" s="42"/>
      <c r="C580" s="42"/>
      <c r="D580" s="28" t="str">
        <f aca="false">IF(OR($B580="",$C580=""),"",$C580*IFERROR(INDEX(Setup!$C$47:$C$56,MATCH($B580,Setup!$A$47:$A$56,0)),IFERROR(INDEX(Setup!$C$60:$C$89,MATCH($B580,Setup!$A$60:$A$89,0)),"")))</f>
        <v/>
      </c>
      <c r="E580" s="42"/>
      <c r="F580" s="42"/>
    </row>
    <row r="581" customFormat="false" ht="15" hidden="false" customHeight="true" outlineLevel="0" collapsed="false">
      <c r="A581" s="42"/>
      <c r="B581" s="42"/>
      <c r="C581" s="42"/>
      <c r="D581" s="28" t="str">
        <f aca="false">IF(OR($B581="",$C581=""),"",$C581*IFERROR(INDEX(Setup!$C$47:$C$56,MATCH($B581,Setup!$A$47:$A$56,0)),IFERROR(INDEX(Setup!$C$60:$C$89,MATCH($B581,Setup!$A$60:$A$89,0)),"")))</f>
        <v/>
      </c>
      <c r="E581" s="42"/>
      <c r="F581" s="42"/>
    </row>
    <row r="582" customFormat="false" ht="15" hidden="false" customHeight="true" outlineLevel="0" collapsed="false">
      <c r="A582" s="42"/>
      <c r="B582" s="42"/>
      <c r="C582" s="42"/>
      <c r="D582" s="28" t="str">
        <f aca="false">IF(OR($B582="",$C582=""),"",$C582*IFERROR(INDEX(Setup!$C$47:$C$56,MATCH($B582,Setup!$A$47:$A$56,0)),IFERROR(INDEX(Setup!$C$60:$C$89,MATCH($B582,Setup!$A$60:$A$89,0)),"")))</f>
        <v/>
      </c>
      <c r="E582" s="42"/>
      <c r="F582" s="42"/>
    </row>
    <row r="583" customFormat="false" ht="15" hidden="false" customHeight="true" outlineLevel="0" collapsed="false">
      <c r="A583" s="42"/>
      <c r="B583" s="42"/>
      <c r="C583" s="42"/>
      <c r="D583" s="28" t="str">
        <f aca="false">IF(OR($B583="",$C583=""),"",$C583*IFERROR(INDEX(Setup!$C$47:$C$56,MATCH($B583,Setup!$A$47:$A$56,0)),IFERROR(INDEX(Setup!$C$60:$C$89,MATCH($B583,Setup!$A$60:$A$89,0)),"")))</f>
        <v/>
      </c>
      <c r="E583" s="42"/>
      <c r="F583" s="42"/>
    </row>
    <row r="584" customFormat="false" ht="15" hidden="false" customHeight="true" outlineLevel="0" collapsed="false">
      <c r="A584" s="42"/>
      <c r="B584" s="42"/>
      <c r="C584" s="42"/>
      <c r="D584" s="28" t="str">
        <f aca="false">IF(OR($B584="",$C584=""),"",$C584*IFERROR(INDEX(Setup!$C$47:$C$56,MATCH($B584,Setup!$A$47:$A$56,0)),IFERROR(INDEX(Setup!$C$60:$C$89,MATCH($B584,Setup!$A$60:$A$89,0)),"")))</f>
        <v/>
      </c>
      <c r="E584" s="42"/>
      <c r="F584" s="42"/>
    </row>
    <row r="585" customFormat="false" ht="15" hidden="false" customHeight="true" outlineLevel="0" collapsed="false">
      <c r="A585" s="42"/>
      <c r="B585" s="42"/>
      <c r="C585" s="42"/>
      <c r="D585" s="28" t="str">
        <f aca="false">IF(OR($B585="",$C585=""),"",$C585*IFERROR(INDEX(Setup!$C$47:$C$56,MATCH($B585,Setup!$A$47:$A$56,0)),IFERROR(INDEX(Setup!$C$60:$C$89,MATCH($B585,Setup!$A$60:$A$89,0)),"")))</f>
        <v/>
      </c>
      <c r="E585" s="42"/>
      <c r="F585" s="42"/>
    </row>
    <row r="586" customFormat="false" ht="15" hidden="false" customHeight="true" outlineLevel="0" collapsed="false">
      <c r="A586" s="42"/>
      <c r="B586" s="42"/>
      <c r="C586" s="42"/>
      <c r="D586" s="28" t="str">
        <f aca="false">IF(OR($B586="",$C586=""),"",$C586*IFERROR(INDEX(Setup!$C$47:$C$56,MATCH($B586,Setup!$A$47:$A$56,0)),IFERROR(INDEX(Setup!$C$60:$C$89,MATCH($B586,Setup!$A$60:$A$89,0)),"")))</f>
        <v/>
      </c>
      <c r="E586" s="42"/>
      <c r="F586" s="42"/>
    </row>
    <row r="587" customFormat="false" ht="15" hidden="false" customHeight="true" outlineLevel="0" collapsed="false">
      <c r="A587" s="42"/>
      <c r="B587" s="42"/>
      <c r="C587" s="42"/>
      <c r="D587" s="28" t="str">
        <f aca="false">IF(OR($B587="",$C587=""),"",$C587*IFERROR(INDEX(Setup!$C$47:$C$56,MATCH($B587,Setup!$A$47:$A$56,0)),IFERROR(INDEX(Setup!$C$60:$C$89,MATCH($B587,Setup!$A$60:$A$89,0)),"")))</f>
        <v/>
      </c>
      <c r="E587" s="42"/>
      <c r="F587" s="42"/>
    </row>
    <row r="588" customFormat="false" ht="15" hidden="false" customHeight="true" outlineLevel="0" collapsed="false">
      <c r="A588" s="42"/>
      <c r="B588" s="42"/>
      <c r="C588" s="42"/>
      <c r="D588" s="28" t="str">
        <f aca="false">IF(OR($B588="",$C588=""),"",$C588*IFERROR(INDEX(Setup!$C$47:$C$56,MATCH($B588,Setup!$A$47:$A$56,0)),IFERROR(INDEX(Setup!$C$60:$C$89,MATCH($B588,Setup!$A$60:$A$89,0)),"")))</f>
        <v/>
      </c>
      <c r="E588" s="42"/>
      <c r="F588" s="42"/>
    </row>
    <row r="589" customFormat="false" ht="15" hidden="false" customHeight="true" outlineLevel="0" collapsed="false">
      <c r="A589" s="42"/>
      <c r="B589" s="42"/>
      <c r="C589" s="42"/>
      <c r="D589" s="28" t="str">
        <f aca="false">IF(OR($B589="",$C589=""),"",$C589*IFERROR(INDEX(Setup!$C$47:$C$56,MATCH($B589,Setup!$A$47:$A$56,0)),IFERROR(INDEX(Setup!$C$60:$C$89,MATCH($B589,Setup!$A$60:$A$89,0)),"")))</f>
        <v/>
      </c>
      <c r="E589" s="42"/>
      <c r="F589" s="42"/>
    </row>
    <row r="590" customFormat="false" ht="15" hidden="false" customHeight="true" outlineLevel="0" collapsed="false">
      <c r="A590" s="42"/>
      <c r="B590" s="42"/>
      <c r="C590" s="42"/>
      <c r="D590" s="28" t="str">
        <f aca="false">IF(OR($B590="",$C590=""),"",$C590*IFERROR(INDEX(Setup!$C$47:$C$56,MATCH($B590,Setup!$A$47:$A$56,0)),IFERROR(INDEX(Setup!$C$60:$C$89,MATCH($B590,Setup!$A$60:$A$89,0)),"")))</f>
        <v/>
      </c>
      <c r="E590" s="42"/>
      <c r="F590" s="42"/>
    </row>
    <row r="591" customFormat="false" ht="15" hidden="false" customHeight="true" outlineLevel="0" collapsed="false">
      <c r="A591" s="42"/>
      <c r="B591" s="42"/>
      <c r="C591" s="42"/>
      <c r="D591" s="28" t="str">
        <f aca="false">IF(OR($B591="",$C591=""),"",$C591*IFERROR(INDEX(Setup!$C$47:$C$56,MATCH($B591,Setup!$A$47:$A$56,0)),IFERROR(INDEX(Setup!$C$60:$C$89,MATCH($B591,Setup!$A$60:$A$89,0)),"")))</f>
        <v/>
      </c>
      <c r="E591" s="42"/>
      <c r="F591" s="42"/>
    </row>
    <row r="592" customFormat="false" ht="15" hidden="false" customHeight="true" outlineLevel="0" collapsed="false">
      <c r="A592" s="42"/>
      <c r="B592" s="42"/>
      <c r="C592" s="42"/>
      <c r="D592" s="28" t="str">
        <f aca="false">IF(OR($B592="",$C592=""),"",$C592*IFERROR(INDEX(Setup!$C$47:$C$56,MATCH($B592,Setup!$A$47:$A$56,0)),IFERROR(INDEX(Setup!$C$60:$C$89,MATCH($B592,Setup!$A$60:$A$89,0)),"")))</f>
        <v/>
      </c>
      <c r="E592" s="42"/>
      <c r="F592" s="42"/>
    </row>
    <row r="593" customFormat="false" ht="15" hidden="false" customHeight="true" outlineLevel="0" collapsed="false">
      <c r="A593" s="42"/>
      <c r="B593" s="42"/>
      <c r="C593" s="42"/>
      <c r="D593" s="28" t="str">
        <f aca="false">IF(OR($B593="",$C593=""),"",$C593*IFERROR(INDEX(Setup!$C$47:$C$56,MATCH($B593,Setup!$A$47:$A$56,0)),IFERROR(INDEX(Setup!$C$60:$C$89,MATCH($B593,Setup!$A$60:$A$89,0)),"")))</f>
        <v/>
      </c>
      <c r="E593" s="42"/>
      <c r="F593" s="42"/>
    </row>
    <row r="594" customFormat="false" ht="15" hidden="false" customHeight="true" outlineLevel="0" collapsed="false">
      <c r="A594" s="42"/>
      <c r="B594" s="42"/>
      <c r="C594" s="42"/>
      <c r="D594" s="28" t="str">
        <f aca="false">IF(OR($B594="",$C594=""),"",$C594*IFERROR(INDEX(Setup!$C$47:$C$56,MATCH($B594,Setup!$A$47:$A$56,0)),IFERROR(INDEX(Setup!$C$60:$C$89,MATCH($B594,Setup!$A$60:$A$89,0)),"")))</f>
        <v/>
      </c>
      <c r="E594" s="42"/>
      <c r="F594" s="42"/>
    </row>
    <row r="595" customFormat="false" ht="15" hidden="false" customHeight="true" outlineLevel="0" collapsed="false">
      <c r="A595" s="42"/>
      <c r="B595" s="42"/>
      <c r="C595" s="42"/>
      <c r="D595" s="28" t="str">
        <f aca="false">IF(OR($B595="",$C595=""),"",$C595*IFERROR(INDEX(Setup!$C$47:$C$56,MATCH($B595,Setup!$A$47:$A$56,0)),IFERROR(INDEX(Setup!$C$60:$C$89,MATCH($B595,Setup!$A$60:$A$89,0)),"")))</f>
        <v/>
      </c>
      <c r="E595" s="42"/>
      <c r="F595" s="42"/>
    </row>
    <row r="596" customFormat="false" ht="15" hidden="false" customHeight="true" outlineLevel="0" collapsed="false">
      <c r="A596" s="42"/>
      <c r="B596" s="42"/>
      <c r="C596" s="42"/>
      <c r="D596" s="28" t="str">
        <f aca="false">IF(OR($B596="",$C596=""),"",$C596*IFERROR(INDEX(Setup!$C$47:$C$56,MATCH($B596,Setup!$A$47:$A$56,0)),IFERROR(INDEX(Setup!$C$60:$C$89,MATCH($B596,Setup!$A$60:$A$89,0)),"")))</f>
        <v/>
      </c>
      <c r="E596" s="42"/>
      <c r="F596" s="42"/>
    </row>
    <row r="597" customFormat="false" ht="15" hidden="false" customHeight="true" outlineLevel="0" collapsed="false">
      <c r="A597" s="42"/>
      <c r="B597" s="42"/>
      <c r="C597" s="42"/>
      <c r="D597" s="28" t="str">
        <f aca="false">IF(OR($B597="",$C597=""),"",$C597*IFERROR(INDEX(Setup!$C$47:$C$56,MATCH($B597,Setup!$A$47:$A$56,0)),IFERROR(INDEX(Setup!$C$60:$C$89,MATCH($B597,Setup!$A$60:$A$89,0)),"")))</f>
        <v/>
      </c>
      <c r="E597" s="42"/>
      <c r="F597" s="42"/>
    </row>
    <row r="598" customFormat="false" ht="15" hidden="false" customHeight="true" outlineLevel="0" collapsed="false">
      <c r="A598" s="42"/>
      <c r="B598" s="42"/>
      <c r="C598" s="42"/>
      <c r="D598" s="28" t="str">
        <f aca="false">IF(OR($B598="",$C598=""),"",$C598*IFERROR(INDEX(Setup!$C$47:$C$56,MATCH($B598,Setup!$A$47:$A$56,0)),IFERROR(INDEX(Setup!$C$60:$C$89,MATCH($B598,Setup!$A$60:$A$89,0)),"")))</f>
        <v/>
      </c>
      <c r="E598" s="42"/>
      <c r="F598" s="42"/>
    </row>
    <row r="599" customFormat="false" ht="15" hidden="false" customHeight="true" outlineLevel="0" collapsed="false">
      <c r="A599" s="42"/>
      <c r="B599" s="42"/>
      <c r="C599" s="42"/>
      <c r="D599" s="28" t="str">
        <f aca="false">IF(OR($B599="",$C599=""),"",$C599*IFERROR(INDEX(Setup!$C$47:$C$56,MATCH($B599,Setup!$A$47:$A$56,0)),IFERROR(INDEX(Setup!$C$60:$C$89,MATCH($B599,Setup!$A$60:$A$89,0)),"")))</f>
        <v/>
      </c>
      <c r="E599" s="42"/>
      <c r="F599" s="42"/>
    </row>
    <row r="600" customFormat="false" ht="15" hidden="false" customHeight="true" outlineLevel="0" collapsed="false">
      <c r="A600" s="42"/>
      <c r="B600" s="42"/>
      <c r="C600" s="42"/>
      <c r="D600" s="28" t="str">
        <f aca="false">IF(OR($B600="",$C600=""),"",$C600*IFERROR(INDEX(Setup!$C$47:$C$56,MATCH($B600,Setup!$A$47:$A$56,0)),IFERROR(INDEX(Setup!$C$60:$C$89,MATCH($B600,Setup!$A$60:$A$89,0)),"")))</f>
        <v/>
      </c>
      <c r="E600" s="42"/>
      <c r="F600" s="42"/>
    </row>
    <row r="601" customFormat="false" ht="15" hidden="false" customHeight="true" outlineLevel="0" collapsed="false">
      <c r="A601" s="42"/>
      <c r="B601" s="42"/>
      <c r="C601" s="42"/>
      <c r="D601" s="28" t="str">
        <f aca="false">IF(OR($B601="",$C601=""),"",$C601*IFERROR(INDEX(Setup!$C$47:$C$56,MATCH($B601,Setup!$A$47:$A$56,0)),IFERROR(INDEX(Setup!$C$60:$C$89,MATCH($B601,Setup!$A$60:$A$89,0)),"")))</f>
        <v/>
      </c>
      <c r="E601" s="42"/>
      <c r="F601" s="42"/>
    </row>
    <row r="602" customFormat="false" ht="15" hidden="false" customHeight="true" outlineLevel="0" collapsed="false">
      <c r="A602" s="42"/>
      <c r="B602" s="42"/>
      <c r="C602" s="42"/>
      <c r="D602" s="28" t="str">
        <f aca="false">IF(OR($B602="",$C602=""),"",$C602*IFERROR(INDEX(Setup!$C$47:$C$56,MATCH($B602,Setup!$A$47:$A$56,0)),IFERROR(INDEX(Setup!$C$60:$C$89,MATCH($B602,Setup!$A$60:$A$89,0)),"")))</f>
        <v/>
      </c>
      <c r="E602" s="42"/>
      <c r="F602" s="42"/>
    </row>
    <row r="603" customFormat="false" ht="15" hidden="false" customHeight="true" outlineLevel="0" collapsed="false">
      <c r="A603" s="42"/>
      <c r="B603" s="42"/>
      <c r="C603" s="42"/>
      <c r="D603" s="28" t="str">
        <f aca="false">IF(OR($B603="",$C603=""),"",$C603*IFERROR(INDEX(Setup!$C$47:$C$56,MATCH($B603,Setup!$A$47:$A$56,0)),IFERROR(INDEX(Setup!$C$60:$C$89,MATCH($B603,Setup!$A$60:$A$89,0)),"")))</f>
        <v/>
      </c>
      <c r="E603" s="42"/>
      <c r="F603" s="42"/>
    </row>
    <row r="604" customFormat="false" ht="15" hidden="false" customHeight="true" outlineLevel="0" collapsed="false">
      <c r="A604" s="42"/>
      <c r="B604" s="42"/>
      <c r="C604" s="42"/>
      <c r="D604" s="28" t="str">
        <f aca="false">IF(OR($B604="",$C604=""),"",$C604*IFERROR(INDEX(Setup!$C$47:$C$56,MATCH($B604,Setup!$A$47:$A$56,0)),IFERROR(INDEX(Setup!$C$60:$C$89,MATCH($B604,Setup!$A$60:$A$89,0)),"")))</f>
        <v/>
      </c>
      <c r="E604" s="42"/>
      <c r="F604" s="42"/>
    </row>
    <row r="605" customFormat="false" ht="15" hidden="false" customHeight="true" outlineLevel="0" collapsed="false">
      <c r="A605" s="42"/>
      <c r="B605" s="42"/>
      <c r="C605" s="42"/>
      <c r="D605" s="28" t="str">
        <f aca="false">IF(OR($B605="",$C605=""),"",$C605*IFERROR(INDEX(Setup!$C$47:$C$56,MATCH($B605,Setup!$A$47:$A$56,0)),IFERROR(INDEX(Setup!$C$60:$C$89,MATCH($B605,Setup!$A$60:$A$89,0)),"")))</f>
        <v/>
      </c>
      <c r="E605" s="42"/>
      <c r="F605" s="42"/>
    </row>
    <row r="606" customFormat="false" ht="15" hidden="false" customHeight="true" outlineLevel="0" collapsed="false">
      <c r="A606" s="42"/>
      <c r="B606" s="42"/>
      <c r="C606" s="42"/>
      <c r="D606" s="28" t="str">
        <f aca="false">IF(OR($B606="",$C606=""),"",$C606*IFERROR(INDEX(Setup!$C$47:$C$56,MATCH($B606,Setup!$A$47:$A$56,0)),IFERROR(INDEX(Setup!$C$60:$C$89,MATCH($B606,Setup!$A$60:$A$89,0)),"")))</f>
        <v/>
      </c>
      <c r="E606" s="42"/>
      <c r="F606" s="42"/>
    </row>
    <row r="607" customFormat="false" ht="15" hidden="false" customHeight="true" outlineLevel="0" collapsed="false">
      <c r="A607" s="42"/>
      <c r="B607" s="42"/>
      <c r="C607" s="42"/>
      <c r="D607" s="28" t="str">
        <f aca="false">IF(OR($B607="",$C607=""),"",$C607*IFERROR(INDEX(Setup!$C$47:$C$56,MATCH($B607,Setup!$A$47:$A$56,0)),IFERROR(INDEX(Setup!$C$60:$C$89,MATCH($B607,Setup!$A$60:$A$89,0)),"")))</f>
        <v/>
      </c>
      <c r="E607" s="42"/>
      <c r="F607" s="42"/>
    </row>
    <row r="608" customFormat="false" ht="15" hidden="false" customHeight="true" outlineLevel="0" collapsed="false">
      <c r="A608" s="42"/>
      <c r="B608" s="42"/>
      <c r="C608" s="42"/>
      <c r="D608" s="28" t="str">
        <f aca="false">IF(OR($B608="",$C608=""),"",$C608*IFERROR(INDEX(Setup!$C$47:$C$56,MATCH($B608,Setup!$A$47:$A$56,0)),IFERROR(INDEX(Setup!$C$60:$C$89,MATCH($B608,Setup!$A$60:$A$89,0)),"")))</f>
        <v/>
      </c>
      <c r="E608" s="42"/>
      <c r="F608" s="42"/>
    </row>
    <row r="609" customFormat="false" ht="15" hidden="false" customHeight="true" outlineLevel="0" collapsed="false">
      <c r="A609" s="42"/>
      <c r="B609" s="42"/>
      <c r="C609" s="42"/>
      <c r="D609" s="28" t="str">
        <f aca="false">IF(OR($B609="",$C609=""),"",$C609*IFERROR(INDEX(Setup!$C$47:$C$56,MATCH($B609,Setup!$A$47:$A$56,0)),IFERROR(INDEX(Setup!$C$60:$C$89,MATCH($B609,Setup!$A$60:$A$89,0)),"")))</f>
        <v/>
      </c>
      <c r="E609" s="42"/>
      <c r="F609" s="42"/>
    </row>
    <row r="610" customFormat="false" ht="15" hidden="false" customHeight="true" outlineLevel="0" collapsed="false">
      <c r="A610" s="42"/>
      <c r="B610" s="42"/>
      <c r="C610" s="42"/>
      <c r="D610" s="28" t="str">
        <f aca="false">IF(OR($B610="",$C610=""),"",$C610*IFERROR(INDEX(Setup!$C$47:$C$56,MATCH($B610,Setup!$A$47:$A$56,0)),IFERROR(INDEX(Setup!$C$60:$C$89,MATCH($B610,Setup!$A$60:$A$89,0)),"")))</f>
        <v/>
      </c>
      <c r="E610" s="42"/>
      <c r="F610" s="42"/>
    </row>
    <row r="611" customFormat="false" ht="15" hidden="false" customHeight="true" outlineLevel="0" collapsed="false">
      <c r="A611" s="42"/>
      <c r="B611" s="42"/>
      <c r="C611" s="42"/>
      <c r="D611" s="28" t="str">
        <f aca="false">IF(OR($B611="",$C611=""),"",$C611*IFERROR(INDEX(Setup!$C$47:$C$56,MATCH($B611,Setup!$A$47:$A$56,0)),IFERROR(INDEX(Setup!$C$60:$C$89,MATCH($B611,Setup!$A$60:$A$89,0)),"")))</f>
        <v/>
      </c>
      <c r="E611" s="42"/>
      <c r="F611" s="42"/>
    </row>
    <row r="612" customFormat="false" ht="15" hidden="false" customHeight="true" outlineLevel="0" collapsed="false">
      <c r="A612" s="42"/>
      <c r="B612" s="42"/>
      <c r="C612" s="42"/>
      <c r="D612" s="28" t="str">
        <f aca="false">IF(OR($B612="",$C612=""),"",$C612*IFERROR(INDEX(Setup!$C$47:$C$56,MATCH($B612,Setup!$A$47:$A$56,0)),IFERROR(INDEX(Setup!$C$60:$C$89,MATCH($B612,Setup!$A$60:$A$89,0)),"")))</f>
        <v/>
      </c>
      <c r="E612" s="42"/>
      <c r="F612" s="42"/>
    </row>
    <row r="613" customFormat="false" ht="15" hidden="false" customHeight="true" outlineLevel="0" collapsed="false">
      <c r="A613" s="42"/>
      <c r="B613" s="42"/>
      <c r="C613" s="42"/>
      <c r="D613" s="28" t="str">
        <f aca="false">IF(OR($B613="",$C613=""),"",$C613*IFERROR(INDEX(Setup!$C$47:$C$56,MATCH($B613,Setup!$A$47:$A$56,0)),IFERROR(INDEX(Setup!$C$60:$C$89,MATCH($B613,Setup!$A$60:$A$89,0)),"")))</f>
        <v/>
      </c>
      <c r="E613" s="42"/>
      <c r="F613" s="42"/>
    </row>
    <row r="614" customFormat="false" ht="15" hidden="false" customHeight="true" outlineLevel="0" collapsed="false">
      <c r="A614" s="42"/>
      <c r="B614" s="42"/>
      <c r="C614" s="42"/>
      <c r="D614" s="28" t="str">
        <f aca="false">IF(OR($B614="",$C614=""),"",$C614*IFERROR(INDEX(Setup!$C$47:$C$56,MATCH($B614,Setup!$A$47:$A$56,0)),IFERROR(INDEX(Setup!$C$60:$C$89,MATCH($B614,Setup!$A$60:$A$89,0)),"")))</f>
        <v/>
      </c>
      <c r="E614" s="42"/>
      <c r="F614" s="42"/>
    </row>
    <row r="615" customFormat="false" ht="15" hidden="false" customHeight="true" outlineLevel="0" collapsed="false">
      <c r="A615" s="42"/>
      <c r="B615" s="42"/>
      <c r="C615" s="42"/>
      <c r="D615" s="28" t="str">
        <f aca="false">IF(OR($B615="",$C615=""),"",$C615*IFERROR(INDEX(Setup!$C$47:$C$56,MATCH($B615,Setup!$A$47:$A$56,0)),IFERROR(INDEX(Setup!$C$60:$C$89,MATCH($B615,Setup!$A$60:$A$89,0)),"")))</f>
        <v/>
      </c>
      <c r="E615" s="42"/>
      <c r="F615" s="42"/>
    </row>
    <row r="616" customFormat="false" ht="15" hidden="false" customHeight="true" outlineLevel="0" collapsed="false">
      <c r="A616" s="42"/>
      <c r="B616" s="42"/>
      <c r="C616" s="42"/>
      <c r="D616" s="28" t="str">
        <f aca="false">IF(OR($B616="",$C616=""),"",$C616*IFERROR(INDEX(Setup!$C$47:$C$56,MATCH($B616,Setup!$A$47:$A$56,0)),IFERROR(INDEX(Setup!$C$60:$C$89,MATCH($B616,Setup!$A$60:$A$89,0)),"")))</f>
        <v/>
      </c>
      <c r="E616" s="42"/>
      <c r="F616" s="42"/>
    </row>
    <row r="617" customFormat="false" ht="15" hidden="false" customHeight="true" outlineLevel="0" collapsed="false">
      <c r="A617" s="42"/>
      <c r="B617" s="42"/>
      <c r="C617" s="42"/>
      <c r="D617" s="28" t="str">
        <f aca="false">IF(OR($B617="",$C617=""),"",$C617*IFERROR(INDEX(Setup!$C$47:$C$56,MATCH($B617,Setup!$A$47:$A$56,0)),IFERROR(INDEX(Setup!$C$60:$C$89,MATCH($B617,Setup!$A$60:$A$89,0)),"")))</f>
        <v/>
      </c>
      <c r="E617" s="42"/>
      <c r="F617" s="42"/>
    </row>
    <row r="618" customFormat="false" ht="15" hidden="false" customHeight="true" outlineLevel="0" collapsed="false">
      <c r="A618" s="42"/>
      <c r="B618" s="42"/>
      <c r="C618" s="42"/>
      <c r="D618" s="28" t="str">
        <f aca="false">IF(OR($B618="",$C618=""),"",$C618*IFERROR(INDEX(Setup!$C$47:$C$56,MATCH($B618,Setup!$A$47:$A$56,0)),IFERROR(INDEX(Setup!$C$60:$C$89,MATCH($B618,Setup!$A$60:$A$89,0)),"")))</f>
        <v/>
      </c>
      <c r="E618" s="42"/>
      <c r="F618" s="42"/>
    </row>
    <row r="619" customFormat="false" ht="15" hidden="false" customHeight="true" outlineLevel="0" collapsed="false">
      <c r="A619" s="42"/>
      <c r="B619" s="42"/>
      <c r="C619" s="42"/>
      <c r="D619" s="28" t="str">
        <f aca="false">IF(OR($B619="",$C619=""),"",$C619*IFERROR(INDEX(Setup!$C$47:$C$56,MATCH($B619,Setup!$A$47:$A$56,0)),IFERROR(INDEX(Setup!$C$60:$C$89,MATCH($B619,Setup!$A$60:$A$89,0)),"")))</f>
        <v/>
      </c>
      <c r="E619" s="42"/>
      <c r="F619" s="42"/>
    </row>
    <row r="620" customFormat="false" ht="15" hidden="false" customHeight="true" outlineLevel="0" collapsed="false">
      <c r="A620" s="42"/>
      <c r="B620" s="42"/>
      <c r="C620" s="42"/>
      <c r="D620" s="28" t="str">
        <f aca="false">IF(OR($B620="",$C620=""),"",$C620*IFERROR(INDEX(Setup!$C$47:$C$56,MATCH($B620,Setup!$A$47:$A$56,0)),IFERROR(INDEX(Setup!$C$60:$C$89,MATCH($B620,Setup!$A$60:$A$89,0)),"")))</f>
        <v/>
      </c>
      <c r="E620" s="42"/>
      <c r="F620" s="42"/>
    </row>
    <row r="621" customFormat="false" ht="15" hidden="false" customHeight="true" outlineLevel="0" collapsed="false">
      <c r="A621" s="42"/>
      <c r="B621" s="42"/>
      <c r="C621" s="42"/>
      <c r="D621" s="28" t="str">
        <f aca="false">IF(OR($B621="",$C621=""),"",$C621*IFERROR(INDEX(Setup!$C$47:$C$56,MATCH($B621,Setup!$A$47:$A$56,0)),IFERROR(INDEX(Setup!$C$60:$C$89,MATCH($B621,Setup!$A$60:$A$89,0)),"")))</f>
        <v/>
      </c>
      <c r="E621" s="42"/>
      <c r="F621" s="42"/>
    </row>
    <row r="622" customFormat="false" ht="15" hidden="false" customHeight="true" outlineLevel="0" collapsed="false">
      <c r="A622" s="42"/>
      <c r="B622" s="42"/>
      <c r="C622" s="42"/>
      <c r="D622" s="28" t="str">
        <f aca="false">IF(OR($B622="",$C622=""),"",$C622*IFERROR(INDEX(Setup!$C$47:$C$56,MATCH($B622,Setup!$A$47:$A$56,0)),IFERROR(INDEX(Setup!$C$60:$C$89,MATCH($B622,Setup!$A$60:$A$89,0)),"")))</f>
        <v/>
      </c>
      <c r="E622" s="42"/>
      <c r="F622" s="42"/>
    </row>
    <row r="623" customFormat="false" ht="15" hidden="false" customHeight="true" outlineLevel="0" collapsed="false">
      <c r="A623" s="42"/>
      <c r="B623" s="42"/>
      <c r="C623" s="42"/>
      <c r="D623" s="28" t="str">
        <f aca="false">IF(OR($B623="",$C623=""),"",$C623*IFERROR(INDEX(Setup!$C$47:$C$56,MATCH($B623,Setup!$A$47:$A$56,0)),IFERROR(INDEX(Setup!$C$60:$C$89,MATCH($B623,Setup!$A$60:$A$89,0)),"")))</f>
        <v/>
      </c>
      <c r="E623" s="42"/>
      <c r="F623" s="42"/>
    </row>
    <row r="624" customFormat="false" ht="15" hidden="false" customHeight="true" outlineLevel="0" collapsed="false">
      <c r="A624" s="42"/>
      <c r="B624" s="42"/>
      <c r="C624" s="42"/>
      <c r="D624" s="28" t="str">
        <f aca="false">IF(OR($B624="",$C624=""),"",$C624*IFERROR(INDEX(Setup!$C$47:$C$56,MATCH($B624,Setup!$A$47:$A$56,0)),IFERROR(INDEX(Setup!$C$60:$C$89,MATCH($B624,Setup!$A$60:$A$89,0)),"")))</f>
        <v/>
      </c>
      <c r="E624" s="42"/>
      <c r="F624" s="42"/>
    </row>
    <row r="625" customFormat="false" ht="15" hidden="false" customHeight="true" outlineLevel="0" collapsed="false">
      <c r="A625" s="42"/>
      <c r="B625" s="42"/>
      <c r="C625" s="42"/>
      <c r="D625" s="28" t="str">
        <f aca="false">IF(OR($B625="",$C625=""),"",$C625*IFERROR(INDEX(Setup!$C$47:$C$56,MATCH($B625,Setup!$A$47:$A$56,0)),IFERROR(INDEX(Setup!$C$60:$C$89,MATCH($B625,Setup!$A$60:$A$89,0)),"")))</f>
        <v/>
      </c>
      <c r="E625" s="42"/>
      <c r="F625" s="42"/>
    </row>
    <row r="626" customFormat="false" ht="15" hidden="false" customHeight="true" outlineLevel="0" collapsed="false">
      <c r="A626" s="42"/>
      <c r="B626" s="42"/>
      <c r="C626" s="42"/>
      <c r="D626" s="28" t="str">
        <f aca="false">IF(OR($B626="",$C626=""),"",$C626*IFERROR(INDEX(Setup!$C$47:$C$56,MATCH($B626,Setup!$A$47:$A$56,0)),IFERROR(INDEX(Setup!$C$60:$C$89,MATCH($B626,Setup!$A$60:$A$89,0)),"")))</f>
        <v/>
      </c>
      <c r="E626" s="42"/>
      <c r="F626" s="42"/>
    </row>
    <row r="627" customFormat="false" ht="15" hidden="false" customHeight="true" outlineLevel="0" collapsed="false">
      <c r="A627" s="42"/>
      <c r="B627" s="42"/>
      <c r="C627" s="42"/>
      <c r="D627" s="28" t="str">
        <f aca="false">IF(OR($B627="",$C627=""),"",$C627*IFERROR(INDEX(Setup!$C$47:$C$56,MATCH($B627,Setup!$A$47:$A$56,0)),IFERROR(INDEX(Setup!$C$60:$C$89,MATCH($B627,Setup!$A$60:$A$89,0)),"")))</f>
        <v/>
      </c>
      <c r="E627" s="42"/>
      <c r="F627" s="42"/>
    </row>
    <row r="628" customFormat="false" ht="15" hidden="false" customHeight="true" outlineLevel="0" collapsed="false">
      <c r="A628" s="42"/>
      <c r="B628" s="42"/>
      <c r="C628" s="42"/>
      <c r="D628" s="28" t="str">
        <f aca="false">IF(OR($B628="",$C628=""),"",$C628*IFERROR(INDEX(Setup!$C$47:$C$56,MATCH($B628,Setup!$A$47:$A$56,0)),IFERROR(INDEX(Setup!$C$60:$C$89,MATCH($B628,Setup!$A$60:$A$89,0)),"")))</f>
        <v/>
      </c>
      <c r="E628" s="42"/>
      <c r="F628" s="42"/>
    </row>
    <row r="629" customFormat="false" ht="15" hidden="false" customHeight="true" outlineLevel="0" collapsed="false">
      <c r="A629" s="42"/>
      <c r="B629" s="42"/>
      <c r="C629" s="42"/>
      <c r="D629" s="28" t="str">
        <f aca="false">IF(OR($B629="",$C629=""),"",$C629*IFERROR(INDEX(Setup!$C$47:$C$56,MATCH($B629,Setup!$A$47:$A$56,0)),IFERROR(INDEX(Setup!$C$60:$C$89,MATCH($B629,Setup!$A$60:$A$89,0)),"")))</f>
        <v/>
      </c>
      <c r="E629" s="42"/>
      <c r="F629" s="42"/>
    </row>
    <row r="630" customFormat="false" ht="15" hidden="false" customHeight="true" outlineLevel="0" collapsed="false">
      <c r="A630" s="42"/>
      <c r="B630" s="42"/>
      <c r="C630" s="42"/>
      <c r="D630" s="28" t="str">
        <f aca="false">IF(OR($B630="",$C630=""),"",$C630*IFERROR(INDEX(Setup!$C$47:$C$56,MATCH($B630,Setup!$A$47:$A$56,0)),IFERROR(INDEX(Setup!$C$60:$C$89,MATCH($B630,Setup!$A$60:$A$89,0)),"")))</f>
        <v/>
      </c>
      <c r="E630" s="42"/>
      <c r="F630" s="42"/>
    </row>
    <row r="631" customFormat="false" ht="15" hidden="false" customHeight="true" outlineLevel="0" collapsed="false">
      <c r="A631" s="42"/>
      <c r="B631" s="42"/>
      <c r="C631" s="42"/>
      <c r="D631" s="28" t="str">
        <f aca="false">IF(OR($B631="",$C631=""),"",$C631*IFERROR(INDEX(Setup!$C$47:$C$56,MATCH($B631,Setup!$A$47:$A$56,0)),IFERROR(INDEX(Setup!$C$60:$C$89,MATCH($B631,Setup!$A$60:$A$89,0)),"")))</f>
        <v/>
      </c>
      <c r="E631" s="42"/>
      <c r="F631" s="42"/>
    </row>
    <row r="632" customFormat="false" ht="15" hidden="false" customHeight="true" outlineLevel="0" collapsed="false">
      <c r="A632" s="42"/>
      <c r="B632" s="42"/>
      <c r="C632" s="42"/>
      <c r="D632" s="28" t="str">
        <f aca="false">IF(OR($B632="",$C632=""),"",$C632*IFERROR(INDEX(Setup!$C$47:$C$56,MATCH($B632,Setup!$A$47:$A$56,0)),IFERROR(INDEX(Setup!$C$60:$C$89,MATCH($B632,Setup!$A$60:$A$89,0)),"")))</f>
        <v/>
      </c>
      <c r="E632" s="42"/>
      <c r="F632" s="42"/>
    </row>
    <row r="633" customFormat="false" ht="15" hidden="false" customHeight="true" outlineLevel="0" collapsed="false">
      <c r="A633" s="42"/>
      <c r="B633" s="42"/>
      <c r="C633" s="42"/>
      <c r="D633" s="28" t="str">
        <f aca="false">IF(OR($B633="",$C633=""),"",$C633*IFERROR(INDEX(Setup!$C$47:$C$56,MATCH($B633,Setup!$A$47:$A$56,0)),IFERROR(INDEX(Setup!$C$60:$C$89,MATCH($B633,Setup!$A$60:$A$89,0)),"")))</f>
        <v/>
      </c>
      <c r="E633" s="42"/>
      <c r="F633" s="42"/>
    </row>
    <row r="634" customFormat="false" ht="15" hidden="false" customHeight="true" outlineLevel="0" collapsed="false">
      <c r="A634" s="42"/>
      <c r="B634" s="42"/>
      <c r="C634" s="42"/>
      <c r="D634" s="28" t="str">
        <f aca="false">IF(OR($B634="",$C634=""),"",$C634*IFERROR(INDEX(Setup!$C$47:$C$56,MATCH($B634,Setup!$A$47:$A$56,0)),IFERROR(INDEX(Setup!$C$60:$C$89,MATCH($B634,Setup!$A$60:$A$89,0)),"")))</f>
        <v/>
      </c>
      <c r="E634" s="42"/>
      <c r="F634" s="42"/>
    </row>
    <row r="635" customFormat="false" ht="15" hidden="false" customHeight="true" outlineLevel="0" collapsed="false">
      <c r="A635" s="42"/>
      <c r="B635" s="42"/>
      <c r="C635" s="42"/>
      <c r="D635" s="28" t="str">
        <f aca="false">IF(OR($B635="",$C635=""),"",$C635*IFERROR(INDEX(Setup!$C$47:$C$56,MATCH($B635,Setup!$A$47:$A$56,0)),IFERROR(INDEX(Setup!$C$60:$C$89,MATCH($B635,Setup!$A$60:$A$89,0)),"")))</f>
        <v/>
      </c>
      <c r="E635" s="42"/>
      <c r="F635" s="42"/>
    </row>
    <row r="636" customFormat="false" ht="15" hidden="false" customHeight="true" outlineLevel="0" collapsed="false">
      <c r="A636" s="42"/>
      <c r="B636" s="42"/>
      <c r="C636" s="42"/>
      <c r="D636" s="28" t="str">
        <f aca="false">IF(OR($B636="",$C636=""),"",$C636*IFERROR(INDEX(Setup!$C$47:$C$56,MATCH($B636,Setup!$A$47:$A$56,0)),IFERROR(INDEX(Setup!$C$60:$C$89,MATCH($B636,Setup!$A$60:$A$89,0)),"")))</f>
        <v/>
      </c>
      <c r="E636" s="42"/>
      <c r="F636" s="42"/>
    </row>
    <row r="637" customFormat="false" ht="15" hidden="false" customHeight="true" outlineLevel="0" collapsed="false">
      <c r="A637" s="42"/>
      <c r="B637" s="42"/>
      <c r="C637" s="42"/>
      <c r="D637" s="28" t="str">
        <f aca="false">IF(OR($B637="",$C637=""),"",$C637*IFERROR(INDEX(Setup!$C$47:$C$56,MATCH($B637,Setup!$A$47:$A$56,0)),IFERROR(INDEX(Setup!$C$60:$C$89,MATCH($B637,Setup!$A$60:$A$89,0)),"")))</f>
        <v/>
      </c>
      <c r="E637" s="42"/>
      <c r="F637" s="42"/>
    </row>
    <row r="638" customFormat="false" ht="15" hidden="false" customHeight="true" outlineLevel="0" collapsed="false">
      <c r="A638" s="42"/>
      <c r="B638" s="42"/>
      <c r="C638" s="42"/>
      <c r="D638" s="28" t="str">
        <f aca="false">IF(OR($B638="",$C638=""),"",$C638*IFERROR(INDEX(Setup!$C$47:$C$56,MATCH($B638,Setup!$A$47:$A$56,0)),IFERROR(INDEX(Setup!$C$60:$C$89,MATCH($B638,Setup!$A$60:$A$89,0)),"")))</f>
        <v/>
      </c>
      <c r="E638" s="42"/>
      <c r="F638" s="42"/>
    </row>
    <row r="639" customFormat="false" ht="15" hidden="false" customHeight="true" outlineLevel="0" collapsed="false">
      <c r="A639" s="42"/>
      <c r="B639" s="42"/>
      <c r="C639" s="42"/>
      <c r="D639" s="28" t="str">
        <f aca="false">IF(OR($B639="",$C639=""),"",$C639*IFERROR(INDEX(Setup!$C$47:$C$56,MATCH($B639,Setup!$A$47:$A$56,0)),IFERROR(INDEX(Setup!$C$60:$C$89,MATCH($B639,Setup!$A$60:$A$89,0)),"")))</f>
        <v/>
      </c>
      <c r="E639" s="42"/>
      <c r="F639" s="42"/>
    </row>
    <row r="640" customFormat="false" ht="15" hidden="false" customHeight="true" outlineLevel="0" collapsed="false">
      <c r="A640" s="42"/>
      <c r="B640" s="42"/>
      <c r="C640" s="42"/>
      <c r="D640" s="28" t="str">
        <f aca="false">IF(OR($B640="",$C640=""),"",$C640*IFERROR(INDEX(Setup!$C$47:$C$56,MATCH($B640,Setup!$A$47:$A$56,0)),IFERROR(INDEX(Setup!$C$60:$C$89,MATCH($B640,Setup!$A$60:$A$89,0)),"")))</f>
        <v/>
      </c>
      <c r="E640" s="42"/>
      <c r="F640" s="42"/>
    </row>
    <row r="641" customFormat="false" ht="15" hidden="false" customHeight="true" outlineLevel="0" collapsed="false">
      <c r="A641" s="42"/>
      <c r="B641" s="42"/>
      <c r="C641" s="42"/>
      <c r="D641" s="28" t="str">
        <f aca="false">IF(OR($B641="",$C641=""),"",$C641*IFERROR(INDEX(Setup!$C$47:$C$56,MATCH($B641,Setup!$A$47:$A$56,0)),IFERROR(INDEX(Setup!$C$60:$C$89,MATCH($B641,Setup!$A$60:$A$89,0)),"")))</f>
        <v/>
      </c>
      <c r="E641" s="42"/>
      <c r="F641" s="42"/>
    </row>
    <row r="642" customFormat="false" ht="15" hidden="false" customHeight="true" outlineLevel="0" collapsed="false">
      <c r="A642" s="42"/>
      <c r="B642" s="42"/>
      <c r="C642" s="42"/>
      <c r="D642" s="28" t="str">
        <f aca="false">IF(OR($B642="",$C642=""),"",$C642*IFERROR(INDEX(Setup!$C$47:$C$56,MATCH($B642,Setup!$A$47:$A$56,0)),IFERROR(INDEX(Setup!$C$60:$C$89,MATCH($B642,Setup!$A$60:$A$89,0)),"")))</f>
        <v/>
      </c>
      <c r="E642" s="42"/>
      <c r="F642" s="42"/>
    </row>
    <row r="643" customFormat="false" ht="15" hidden="false" customHeight="true" outlineLevel="0" collapsed="false">
      <c r="A643" s="42"/>
      <c r="B643" s="42"/>
      <c r="C643" s="42"/>
      <c r="D643" s="28" t="str">
        <f aca="false">IF(OR($B643="",$C643=""),"",$C643*IFERROR(INDEX(Setup!$C$47:$C$56,MATCH($B643,Setup!$A$47:$A$56,0)),IFERROR(INDEX(Setup!$C$60:$C$89,MATCH($B643,Setup!$A$60:$A$89,0)),"")))</f>
        <v/>
      </c>
      <c r="E643" s="42"/>
      <c r="F643" s="42"/>
    </row>
    <row r="644" customFormat="false" ht="15" hidden="false" customHeight="true" outlineLevel="0" collapsed="false">
      <c r="A644" s="42"/>
      <c r="B644" s="42"/>
      <c r="C644" s="42"/>
      <c r="D644" s="28" t="str">
        <f aca="false">IF(OR($B644="",$C644=""),"",$C644*IFERROR(INDEX(Setup!$C$47:$C$56,MATCH($B644,Setup!$A$47:$A$56,0)),IFERROR(INDEX(Setup!$C$60:$C$89,MATCH($B644,Setup!$A$60:$A$89,0)),"")))</f>
        <v/>
      </c>
      <c r="E644" s="42"/>
      <c r="F644" s="42"/>
    </row>
    <row r="645" customFormat="false" ht="15" hidden="false" customHeight="true" outlineLevel="0" collapsed="false">
      <c r="A645" s="42"/>
      <c r="B645" s="42"/>
      <c r="C645" s="42"/>
      <c r="D645" s="28" t="str">
        <f aca="false">IF(OR($B645="",$C645=""),"",$C645*IFERROR(INDEX(Setup!$C$47:$C$56,MATCH($B645,Setup!$A$47:$A$56,0)),IFERROR(INDEX(Setup!$C$60:$C$89,MATCH($B645,Setup!$A$60:$A$89,0)),"")))</f>
        <v/>
      </c>
      <c r="E645" s="42"/>
      <c r="F645" s="42"/>
    </row>
    <row r="646" customFormat="false" ht="15" hidden="false" customHeight="true" outlineLevel="0" collapsed="false">
      <c r="A646" s="42"/>
      <c r="B646" s="42"/>
      <c r="C646" s="42"/>
      <c r="D646" s="28" t="str">
        <f aca="false">IF(OR($B646="",$C646=""),"",$C646*IFERROR(INDEX(Setup!$C$47:$C$56,MATCH($B646,Setup!$A$47:$A$56,0)),IFERROR(INDEX(Setup!$C$60:$C$89,MATCH($B646,Setup!$A$60:$A$89,0)),"")))</f>
        <v/>
      </c>
      <c r="E646" s="42"/>
      <c r="F646" s="42"/>
    </row>
    <row r="647" customFormat="false" ht="15" hidden="false" customHeight="true" outlineLevel="0" collapsed="false">
      <c r="A647" s="42"/>
      <c r="B647" s="42"/>
      <c r="C647" s="42"/>
      <c r="D647" s="28" t="str">
        <f aca="false">IF(OR($B647="",$C647=""),"",$C647*IFERROR(INDEX(Setup!$C$47:$C$56,MATCH($B647,Setup!$A$47:$A$56,0)),IFERROR(INDEX(Setup!$C$60:$C$89,MATCH($B647,Setup!$A$60:$A$89,0)),"")))</f>
        <v/>
      </c>
      <c r="E647" s="42"/>
      <c r="F647" s="42"/>
    </row>
    <row r="648" customFormat="false" ht="15" hidden="false" customHeight="true" outlineLevel="0" collapsed="false">
      <c r="A648" s="42"/>
      <c r="B648" s="42"/>
      <c r="C648" s="42"/>
      <c r="D648" s="28" t="str">
        <f aca="false">IF(OR($B648="",$C648=""),"",$C648*IFERROR(INDEX(Setup!$C$47:$C$56,MATCH($B648,Setup!$A$47:$A$56,0)),IFERROR(INDEX(Setup!$C$60:$C$89,MATCH($B648,Setup!$A$60:$A$89,0)),"")))</f>
        <v/>
      </c>
      <c r="E648" s="42"/>
      <c r="F648" s="42"/>
    </row>
    <row r="649" customFormat="false" ht="15" hidden="false" customHeight="true" outlineLevel="0" collapsed="false">
      <c r="A649" s="42"/>
      <c r="B649" s="42"/>
      <c r="C649" s="42"/>
      <c r="D649" s="28" t="str">
        <f aca="false">IF(OR($B649="",$C649=""),"",$C649*IFERROR(INDEX(Setup!$C$47:$C$56,MATCH($B649,Setup!$A$47:$A$56,0)),IFERROR(INDEX(Setup!$C$60:$C$89,MATCH($B649,Setup!$A$60:$A$89,0)),"")))</f>
        <v/>
      </c>
      <c r="E649" s="42"/>
      <c r="F649" s="42"/>
    </row>
    <row r="650" customFormat="false" ht="15" hidden="false" customHeight="true" outlineLevel="0" collapsed="false">
      <c r="A650" s="42"/>
      <c r="B650" s="42"/>
      <c r="C650" s="42"/>
      <c r="D650" s="28" t="str">
        <f aca="false">IF(OR($B650="",$C650=""),"",$C650*IFERROR(INDEX(Setup!$C$47:$C$56,MATCH($B650,Setup!$A$47:$A$56,0)),IFERROR(INDEX(Setup!$C$60:$C$89,MATCH($B650,Setup!$A$60:$A$89,0)),"")))</f>
        <v/>
      </c>
      <c r="E650" s="42"/>
      <c r="F650" s="42"/>
    </row>
    <row r="651" customFormat="false" ht="15" hidden="false" customHeight="true" outlineLevel="0" collapsed="false">
      <c r="A651" s="42"/>
      <c r="B651" s="42"/>
      <c r="C651" s="42"/>
      <c r="D651" s="28" t="str">
        <f aca="false">IF(OR($B651="",$C651=""),"",$C651*IFERROR(INDEX(Setup!$C$47:$C$56,MATCH($B651,Setup!$A$47:$A$56,0)),IFERROR(INDEX(Setup!$C$60:$C$89,MATCH($B651,Setup!$A$60:$A$89,0)),"")))</f>
        <v/>
      </c>
      <c r="E651" s="42"/>
      <c r="F651" s="42"/>
    </row>
    <row r="652" customFormat="false" ht="15" hidden="false" customHeight="true" outlineLevel="0" collapsed="false">
      <c r="A652" s="42"/>
      <c r="B652" s="42"/>
      <c r="C652" s="42"/>
      <c r="D652" s="28" t="str">
        <f aca="false">IF(OR($B652="",$C652=""),"",$C652*IFERROR(INDEX(Setup!$C$47:$C$56,MATCH($B652,Setup!$A$47:$A$56,0)),IFERROR(INDEX(Setup!$C$60:$C$89,MATCH($B652,Setup!$A$60:$A$89,0)),"")))</f>
        <v/>
      </c>
      <c r="E652" s="42"/>
      <c r="F652" s="42"/>
    </row>
    <row r="653" customFormat="false" ht="15" hidden="false" customHeight="true" outlineLevel="0" collapsed="false">
      <c r="A653" s="42"/>
      <c r="B653" s="42"/>
      <c r="C653" s="42"/>
      <c r="D653" s="28" t="str">
        <f aca="false">IF(OR($B653="",$C653=""),"",$C653*IFERROR(INDEX(Setup!$C$47:$C$56,MATCH($B653,Setup!$A$47:$A$56,0)),IFERROR(INDEX(Setup!$C$60:$C$89,MATCH($B653,Setup!$A$60:$A$89,0)),"")))</f>
        <v/>
      </c>
      <c r="E653" s="42"/>
      <c r="F653" s="42"/>
    </row>
    <row r="654" customFormat="false" ht="15" hidden="false" customHeight="true" outlineLevel="0" collapsed="false">
      <c r="A654" s="42"/>
      <c r="B654" s="42"/>
      <c r="C654" s="42"/>
      <c r="D654" s="28" t="str">
        <f aca="false">IF(OR($B654="",$C654=""),"",$C654*IFERROR(INDEX(Setup!$C$47:$C$56,MATCH($B654,Setup!$A$47:$A$56,0)),IFERROR(INDEX(Setup!$C$60:$C$89,MATCH($B654,Setup!$A$60:$A$89,0)),"")))</f>
        <v/>
      </c>
      <c r="E654" s="42"/>
      <c r="F654" s="42"/>
    </row>
    <row r="655" customFormat="false" ht="15" hidden="false" customHeight="true" outlineLevel="0" collapsed="false">
      <c r="A655" s="42"/>
      <c r="B655" s="42"/>
      <c r="C655" s="42"/>
      <c r="D655" s="28" t="str">
        <f aca="false">IF(OR($B655="",$C655=""),"",$C655*IFERROR(INDEX(Setup!$C$47:$C$56,MATCH($B655,Setup!$A$47:$A$56,0)),IFERROR(INDEX(Setup!$C$60:$C$89,MATCH($B655,Setup!$A$60:$A$89,0)),"")))</f>
        <v/>
      </c>
      <c r="E655" s="42"/>
      <c r="F655" s="42"/>
    </row>
    <row r="656" customFormat="false" ht="15" hidden="false" customHeight="true" outlineLevel="0" collapsed="false">
      <c r="A656" s="42"/>
      <c r="B656" s="42"/>
      <c r="C656" s="42"/>
      <c r="D656" s="28" t="str">
        <f aca="false">IF(OR($B656="",$C656=""),"",$C656*IFERROR(INDEX(Setup!$C$47:$C$56,MATCH($B656,Setup!$A$47:$A$56,0)),IFERROR(INDEX(Setup!$C$60:$C$89,MATCH($B656,Setup!$A$60:$A$89,0)),"")))</f>
        <v/>
      </c>
      <c r="E656" s="42"/>
      <c r="F656" s="42"/>
    </row>
    <row r="657" customFormat="false" ht="15" hidden="false" customHeight="true" outlineLevel="0" collapsed="false">
      <c r="A657" s="42"/>
      <c r="B657" s="42"/>
      <c r="C657" s="42"/>
      <c r="D657" s="28" t="str">
        <f aca="false">IF(OR($B657="",$C657=""),"",$C657*IFERROR(INDEX(Setup!$C$47:$C$56,MATCH($B657,Setup!$A$47:$A$56,0)),IFERROR(INDEX(Setup!$C$60:$C$89,MATCH($B657,Setup!$A$60:$A$89,0)),"")))</f>
        <v/>
      </c>
      <c r="E657" s="42"/>
      <c r="F657" s="42"/>
    </row>
    <row r="658" customFormat="false" ht="15" hidden="false" customHeight="true" outlineLevel="0" collapsed="false">
      <c r="A658" s="42"/>
      <c r="B658" s="42"/>
      <c r="C658" s="42"/>
      <c r="D658" s="28" t="str">
        <f aca="false">IF(OR($B658="",$C658=""),"",$C658*IFERROR(INDEX(Setup!$C$47:$C$56,MATCH($B658,Setup!$A$47:$A$56,0)),IFERROR(INDEX(Setup!$C$60:$C$89,MATCH($B658,Setup!$A$60:$A$89,0)),"")))</f>
        <v/>
      </c>
      <c r="E658" s="42"/>
      <c r="F658" s="42"/>
    </row>
    <row r="659" customFormat="false" ht="15" hidden="false" customHeight="true" outlineLevel="0" collapsed="false">
      <c r="A659" s="42"/>
      <c r="B659" s="42"/>
      <c r="C659" s="42"/>
      <c r="D659" s="28" t="str">
        <f aca="false">IF(OR($B659="",$C659=""),"",$C659*IFERROR(INDEX(Setup!$C$47:$C$56,MATCH($B659,Setup!$A$47:$A$56,0)),IFERROR(INDEX(Setup!$C$60:$C$89,MATCH($B659,Setup!$A$60:$A$89,0)),"")))</f>
        <v/>
      </c>
      <c r="E659" s="42"/>
      <c r="F659" s="42"/>
    </row>
    <row r="660" customFormat="false" ht="15" hidden="false" customHeight="true" outlineLevel="0" collapsed="false">
      <c r="A660" s="42"/>
      <c r="B660" s="42"/>
      <c r="C660" s="42"/>
      <c r="D660" s="28" t="str">
        <f aca="false">IF(OR($B660="",$C660=""),"",$C660*IFERROR(INDEX(Setup!$C$47:$C$56,MATCH($B660,Setup!$A$47:$A$56,0)),IFERROR(INDEX(Setup!$C$60:$C$89,MATCH($B660,Setup!$A$60:$A$89,0)),"")))</f>
        <v/>
      </c>
      <c r="E660" s="42"/>
      <c r="F660" s="42"/>
    </row>
    <row r="661" customFormat="false" ht="15" hidden="false" customHeight="true" outlineLevel="0" collapsed="false">
      <c r="A661" s="42"/>
      <c r="B661" s="42"/>
      <c r="C661" s="42"/>
      <c r="D661" s="28" t="str">
        <f aca="false">IF(OR($B661="",$C661=""),"",$C661*IFERROR(INDEX(Setup!$C$47:$C$56,MATCH($B661,Setup!$A$47:$A$56,0)),IFERROR(INDEX(Setup!$C$60:$C$89,MATCH($B661,Setup!$A$60:$A$89,0)),"")))</f>
        <v/>
      </c>
      <c r="E661" s="42"/>
      <c r="F661" s="42"/>
    </row>
    <row r="662" customFormat="false" ht="15" hidden="false" customHeight="true" outlineLevel="0" collapsed="false">
      <c r="A662" s="42"/>
      <c r="B662" s="42"/>
      <c r="C662" s="42"/>
      <c r="D662" s="28" t="str">
        <f aca="false">IF(OR($B662="",$C662=""),"",$C662*IFERROR(INDEX(Setup!$C$47:$C$56,MATCH($B662,Setup!$A$47:$A$56,0)),IFERROR(INDEX(Setup!$C$60:$C$89,MATCH($B662,Setup!$A$60:$A$89,0)),"")))</f>
        <v/>
      </c>
      <c r="E662" s="42"/>
      <c r="F662" s="42"/>
    </row>
    <row r="663" customFormat="false" ht="15" hidden="false" customHeight="true" outlineLevel="0" collapsed="false">
      <c r="A663" s="42"/>
      <c r="B663" s="42"/>
      <c r="C663" s="42"/>
      <c r="D663" s="28" t="str">
        <f aca="false">IF(OR($B663="",$C663=""),"",$C663*IFERROR(INDEX(Setup!$C$47:$C$56,MATCH($B663,Setup!$A$47:$A$56,0)),IFERROR(INDEX(Setup!$C$60:$C$89,MATCH($B663,Setup!$A$60:$A$89,0)),"")))</f>
        <v/>
      </c>
      <c r="E663" s="42"/>
      <c r="F663" s="42"/>
    </row>
    <row r="664" customFormat="false" ht="15" hidden="false" customHeight="true" outlineLevel="0" collapsed="false">
      <c r="A664" s="42"/>
      <c r="B664" s="42"/>
      <c r="C664" s="42"/>
      <c r="D664" s="28" t="str">
        <f aca="false">IF(OR($B664="",$C664=""),"",$C664*IFERROR(INDEX(Setup!$C$47:$C$56,MATCH($B664,Setup!$A$47:$A$56,0)),IFERROR(INDEX(Setup!$C$60:$C$89,MATCH($B664,Setup!$A$60:$A$89,0)),"")))</f>
        <v/>
      </c>
      <c r="E664" s="42"/>
      <c r="F664" s="42"/>
    </row>
    <row r="665" customFormat="false" ht="15" hidden="false" customHeight="true" outlineLevel="0" collapsed="false">
      <c r="A665" s="42"/>
      <c r="B665" s="42"/>
      <c r="C665" s="42"/>
      <c r="D665" s="28" t="str">
        <f aca="false">IF(OR($B665="",$C665=""),"",$C665*IFERROR(INDEX(Setup!$C$47:$C$56,MATCH($B665,Setup!$A$47:$A$56,0)),IFERROR(INDEX(Setup!$C$60:$C$89,MATCH($B665,Setup!$A$60:$A$89,0)),"")))</f>
        <v/>
      </c>
      <c r="E665" s="42"/>
      <c r="F665" s="42"/>
    </row>
    <row r="666" customFormat="false" ht="15" hidden="false" customHeight="true" outlineLevel="0" collapsed="false">
      <c r="A666" s="42"/>
      <c r="B666" s="42"/>
      <c r="C666" s="42"/>
      <c r="D666" s="28" t="str">
        <f aca="false">IF(OR($B666="",$C666=""),"",$C666*IFERROR(INDEX(Setup!$C$47:$C$56,MATCH($B666,Setup!$A$47:$A$56,0)),IFERROR(INDEX(Setup!$C$60:$C$89,MATCH($B666,Setup!$A$60:$A$89,0)),"")))</f>
        <v/>
      </c>
      <c r="E666" s="42"/>
      <c r="F666" s="42"/>
    </row>
    <row r="667" customFormat="false" ht="15" hidden="false" customHeight="true" outlineLevel="0" collapsed="false">
      <c r="A667" s="42"/>
      <c r="B667" s="42"/>
      <c r="C667" s="42"/>
      <c r="D667" s="28" t="str">
        <f aca="false">IF(OR($B667="",$C667=""),"",$C667*IFERROR(INDEX(Setup!$C$47:$C$56,MATCH($B667,Setup!$A$47:$A$56,0)),IFERROR(INDEX(Setup!$C$60:$C$89,MATCH($B667,Setup!$A$60:$A$89,0)),"")))</f>
        <v/>
      </c>
      <c r="E667" s="42"/>
      <c r="F667" s="42"/>
    </row>
    <row r="668" customFormat="false" ht="15" hidden="false" customHeight="true" outlineLevel="0" collapsed="false">
      <c r="A668" s="42"/>
      <c r="B668" s="42"/>
      <c r="C668" s="42"/>
      <c r="D668" s="28" t="str">
        <f aca="false">IF(OR($B668="",$C668=""),"",$C668*IFERROR(INDEX(Setup!$C$47:$C$56,MATCH($B668,Setup!$A$47:$A$56,0)),IFERROR(INDEX(Setup!$C$60:$C$89,MATCH($B668,Setup!$A$60:$A$89,0)),"")))</f>
        <v/>
      </c>
      <c r="E668" s="42"/>
      <c r="F668" s="42"/>
    </row>
    <row r="669" customFormat="false" ht="15" hidden="false" customHeight="true" outlineLevel="0" collapsed="false">
      <c r="A669" s="42"/>
      <c r="B669" s="42"/>
      <c r="C669" s="42"/>
      <c r="D669" s="28" t="str">
        <f aca="false">IF(OR($B669="",$C669=""),"",$C669*IFERROR(INDEX(Setup!$C$47:$C$56,MATCH($B669,Setup!$A$47:$A$56,0)),IFERROR(INDEX(Setup!$C$60:$C$89,MATCH($B669,Setup!$A$60:$A$89,0)),"")))</f>
        <v/>
      </c>
      <c r="E669" s="42"/>
      <c r="F669" s="42"/>
    </row>
    <row r="670" customFormat="false" ht="15" hidden="false" customHeight="true" outlineLevel="0" collapsed="false">
      <c r="A670" s="42"/>
      <c r="B670" s="42"/>
      <c r="C670" s="42"/>
      <c r="D670" s="28" t="str">
        <f aca="false">IF(OR($B670="",$C670=""),"",$C670*IFERROR(INDEX(Setup!$C$47:$C$56,MATCH($B670,Setup!$A$47:$A$56,0)),IFERROR(INDEX(Setup!$C$60:$C$89,MATCH($B670,Setup!$A$60:$A$89,0)),"")))</f>
        <v/>
      </c>
      <c r="E670" s="42"/>
      <c r="F670" s="42"/>
    </row>
    <row r="671" customFormat="false" ht="15" hidden="false" customHeight="true" outlineLevel="0" collapsed="false">
      <c r="A671" s="42"/>
      <c r="B671" s="42"/>
      <c r="C671" s="42"/>
      <c r="D671" s="28" t="str">
        <f aca="false">IF(OR($B671="",$C671=""),"",$C671*IFERROR(INDEX(Setup!$C$47:$C$56,MATCH($B671,Setup!$A$47:$A$56,0)),IFERROR(INDEX(Setup!$C$60:$C$89,MATCH($B671,Setup!$A$60:$A$89,0)),"")))</f>
        <v/>
      </c>
      <c r="E671" s="42"/>
      <c r="F671" s="42"/>
    </row>
    <row r="672" customFormat="false" ht="15" hidden="false" customHeight="true" outlineLevel="0" collapsed="false">
      <c r="A672" s="42"/>
      <c r="B672" s="42"/>
      <c r="C672" s="42"/>
      <c r="D672" s="28" t="str">
        <f aca="false">IF(OR($B672="",$C672=""),"",$C672*IFERROR(INDEX(Setup!$C$47:$C$56,MATCH($B672,Setup!$A$47:$A$56,0)),IFERROR(INDEX(Setup!$C$60:$C$89,MATCH($B672,Setup!$A$60:$A$89,0)),"")))</f>
        <v/>
      </c>
      <c r="E672" s="42"/>
      <c r="F672" s="42"/>
    </row>
    <row r="673" customFormat="false" ht="15" hidden="false" customHeight="true" outlineLevel="0" collapsed="false">
      <c r="A673" s="42"/>
      <c r="B673" s="42"/>
      <c r="C673" s="42"/>
      <c r="D673" s="28" t="str">
        <f aca="false">IF(OR($B673="",$C673=""),"",$C673*IFERROR(INDEX(Setup!$C$47:$C$56,MATCH($B673,Setup!$A$47:$A$56,0)),IFERROR(INDEX(Setup!$C$60:$C$89,MATCH($B673,Setup!$A$60:$A$89,0)),"")))</f>
        <v/>
      </c>
      <c r="E673" s="42"/>
      <c r="F673" s="42"/>
    </row>
    <row r="674" customFormat="false" ht="15" hidden="false" customHeight="true" outlineLevel="0" collapsed="false">
      <c r="A674" s="42"/>
      <c r="B674" s="42"/>
      <c r="C674" s="42"/>
      <c r="D674" s="28" t="str">
        <f aca="false">IF(OR($B674="",$C674=""),"",$C674*IFERROR(INDEX(Setup!$C$47:$C$56,MATCH($B674,Setup!$A$47:$A$56,0)),IFERROR(INDEX(Setup!$C$60:$C$89,MATCH($B674,Setup!$A$60:$A$89,0)),"")))</f>
        <v/>
      </c>
      <c r="E674" s="42"/>
      <c r="F674" s="42"/>
    </row>
    <row r="675" customFormat="false" ht="15" hidden="false" customHeight="true" outlineLevel="0" collapsed="false">
      <c r="A675" s="42"/>
      <c r="B675" s="42"/>
      <c r="C675" s="42"/>
      <c r="D675" s="28" t="str">
        <f aca="false">IF(OR($B675="",$C675=""),"",$C675*IFERROR(INDEX(Setup!$C$47:$C$56,MATCH($B675,Setup!$A$47:$A$56,0)),IFERROR(INDEX(Setup!$C$60:$C$89,MATCH($B675,Setup!$A$60:$A$89,0)),"")))</f>
        <v/>
      </c>
      <c r="E675" s="42"/>
      <c r="F675" s="42"/>
    </row>
    <row r="676" customFormat="false" ht="15" hidden="false" customHeight="true" outlineLevel="0" collapsed="false">
      <c r="A676" s="42"/>
      <c r="B676" s="42"/>
      <c r="C676" s="42"/>
      <c r="D676" s="28" t="str">
        <f aca="false">IF(OR($B676="",$C676=""),"",$C676*IFERROR(INDEX(Setup!$C$47:$C$56,MATCH($B676,Setup!$A$47:$A$56,0)),IFERROR(INDEX(Setup!$C$60:$C$89,MATCH($B676,Setup!$A$60:$A$89,0)),"")))</f>
        <v/>
      </c>
      <c r="E676" s="42"/>
      <c r="F676" s="42"/>
    </row>
    <row r="677" customFormat="false" ht="15" hidden="false" customHeight="true" outlineLevel="0" collapsed="false">
      <c r="A677" s="42"/>
      <c r="B677" s="42"/>
      <c r="C677" s="42"/>
      <c r="D677" s="28" t="str">
        <f aca="false">IF(OR($B677="",$C677=""),"",$C677*IFERROR(INDEX(Setup!$C$47:$C$56,MATCH($B677,Setup!$A$47:$A$56,0)),IFERROR(INDEX(Setup!$C$60:$C$89,MATCH($B677,Setup!$A$60:$A$89,0)),"")))</f>
        <v/>
      </c>
      <c r="E677" s="42"/>
      <c r="F677" s="42"/>
    </row>
    <row r="678" customFormat="false" ht="15" hidden="false" customHeight="true" outlineLevel="0" collapsed="false">
      <c r="A678" s="42"/>
      <c r="B678" s="42"/>
      <c r="C678" s="42"/>
      <c r="D678" s="28" t="str">
        <f aca="false">IF(OR($B678="",$C678=""),"",$C678*IFERROR(INDEX(Setup!$C$47:$C$56,MATCH($B678,Setup!$A$47:$A$56,0)),IFERROR(INDEX(Setup!$C$60:$C$89,MATCH($B678,Setup!$A$60:$A$89,0)),"")))</f>
        <v/>
      </c>
      <c r="E678" s="42"/>
      <c r="F678" s="42"/>
    </row>
    <row r="679" customFormat="false" ht="15" hidden="false" customHeight="true" outlineLevel="0" collapsed="false">
      <c r="A679" s="42"/>
      <c r="B679" s="42"/>
      <c r="C679" s="42"/>
      <c r="D679" s="28" t="str">
        <f aca="false">IF(OR($B679="",$C679=""),"",$C679*IFERROR(INDEX(Setup!$C$47:$C$56,MATCH($B679,Setup!$A$47:$A$56,0)),IFERROR(INDEX(Setup!$C$60:$C$89,MATCH($B679,Setup!$A$60:$A$89,0)),"")))</f>
        <v/>
      </c>
      <c r="E679" s="42"/>
      <c r="F679" s="42"/>
    </row>
    <row r="680" customFormat="false" ht="15" hidden="false" customHeight="true" outlineLevel="0" collapsed="false">
      <c r="A680" s="42"/>
      <c r="B680" s="42"/>
      <c r="C680" s="42"/>
      <c r="D680" s="28" t="str">
        <f aca="false">IF(OR($B680="",$C680=""),"",$C680*IFERROR(INDEX(Setup!$C$47:$C$56,MATCH($B680,Setup!$A$47:$A$56,0)),IFERROR(INDEX(Setup!$C$60:$C$89,MATCH($B680,Setup!$A$60:$A$89,0)),"")))</f>
        <v/>
      </c>
      <c r="E680" s="42"/>
      <c r="F680" s="42"/>
    </row>
    <row r="681" customFormat="false" ht="15" hidden="false" customHeight="true" outlineLevel="0" collapsed="false">
      <c r="A681" s="42"/>
      <c r="B681" s="42"/>
      <c r="C681" s="42"/>
      <c r="D681" s="28" t="str">
        <f aca="false">IF(OR($B681="",$C681=""),"",$C681*IFERROR(INDEX(Setup!$C$47:$C$56,MATCH($B681,Setup!$A$47:$A$56,0)),IFERROR(INDEX(Setup!$C$60:$C$89,MATCH($B681,Setup!$A$60:$A$89,0)),"")))</f>
        <v/>
      </c>
      <c r="E681" s="42"/>
      <c r="F681" s="42"/>
    </row>
    <row r="682" customFormat="false" ht="15" hidden="false" customHeight="true" outlineLevel="0" collapsed="false">
      <c r="A682" s="42"/>
      <c r="B682" s="42"/>
      <c r="C682" s="42"/>
      <c r="D682" s="28" t="str">
        <f aca="false">IF(OR($B682="",$C682=""),"",$C682*IFERROR(INDEX(Setup!$C$47:$C$56,MATCH($B682,Setup!$A$47:$A$56,0)),IFERROR(INDEX(Setup!$C$60:$C$89,MATCH($B682,Setup!$A$60:$A$89,0)),"")))</f>
        <v/>
      </c>
      <c r="E682" s="42"/>
      <c r="F682" s="42"/>
    </row>
    <row r="683" customFormat="false" ht="15" hidden="false" customHeight="true" outlineLevel="0" collapsed="false">
      <c r="A683" s="42"/>
      <c r="B683" s="42"/>
      <c r="C683" s="42"/>
      <c r="D683" s="28" t="str">
        <f aca="false">IF(OR($B683="",$C683=""),"",$C683*IFERROR(INDEX(Setup!$C$47:$C$56,MATCH($B683,Setup!$A$47:$A$56,0)),IFERROR(INDEX(Setup!$C$60:$C$89,MATCH($B683,Setup!$A$60:$A$89,0)),"")))</f>
        <v/>
      </c>
      <c r="E683" s="42"/>
      <c r="F683" s="42"/>
    </row>
    <row r="684" customFormat="false" ht="15" hidden="false" customHeight="true" outlineLevel="0" collapsed="false">
      <c r="A684" s="42"/>
      <c r="B684" s="42"/>
      <c r="C684" s="42"/>
      <c r="D684" s="28" t="str">
        <f aca="false">IF(OR($B684="",$C684=""),"",$C684*IFERROR(INDEX(Setup!$C$47:$C$56,MATCH($B684,Setup!$A$47:$A$56,0)),IFERROR(INDEX(Setup!$C$60:$C$89,MATCH($B684,Setup!$A$60:$A$89,0)),"")))</f>
        <v/>
      </c>
      <c r="E684" s="42"/>
      <c r="F684" s="42"/>
    </row>
    <row r="685" customFormat="false" ht="15" hidden="false" customHeight="true" outlineLevel="0" collapsed="false">
      <c r="A685" s="42"/>
      <c r="B685" s="42"/>
      <c r="C685" s="42"/>
      <c r="D685" s="28" t="str">
        <f aca="false">IF(OR($B685="",$C685=""),"",$C685*IFERROR(INDEX(Setup!$C$47:$C$56,MATCH($B685,Setup!$A$47:$A$56,0)),IFERROR(INDEX(Setup!$C$60:$C$89,MATCH($B685,Setup!$A$60:$A$89,0)),"")))</f>
        <v/>
      </c>
      <c r="E685" s="42"/>
      <c r="F685" s="42"/>
    </row>
    <row r="686" customFormat="false" ht="15" hidden="false" customHeight="true" outlineLevel="0" collapsed="false">
      <c r="A686" s="42"/>
      <c r="B686" s="42"/>
      <c r="C686" s="42"/>
      <c r="D686" s="28" t="str">
        <f aca="false">IF(OR($B686="",$C686=""),"",$C686*IFERROR(INDEX(Setup!$C$47:$C$56,MATCH($B686,Setup!$A$47:$A$56,0)),IFERROR(INDEX(Setup!$C$60:$C$89,MATCH($B686,Setup!$A$60:$A$89,0)),"")))</f>
        <v/>
      </c>
      <c r="E686" s="42"/>
      <c r="F686" s="42"/>
    </row>
    <row r="687" customFormat="false" ht="15" hidden="false" customHeight="true" outlineLevel="0" collapsed="false">
      <c r="A687" s="42"/>
      <c r="B687" s="42"/>
      <c r="C687" s="42"/>
      <c r="D687" s="28" t="str">
        <f aca="false">IF(OR($B687="",$C687=""),"",$C687*IFERROR(INDEX(Setup!$C$47:$C$56,MATCH($B687,Setup!$A$47:$A$56,0)),IFERROR(INDEX(Setup!$C$60:$C$89,MATCH($B687,Setup!$A$60:$A$89,0)),"")))</f>
        <v/>
      </c>
      <c r="E687" s="42"/>
      <c r="F687" s="42"/>
    </row>
    <row r="688" customFormat="false" ht="15" hidden="false" customHeight="true" outlineLevel="0" collapsed="false">
      <c r="A688" s="42"/>
      <c r="B688" s="42"/>
      <c r="C688" s="42"/>
      <c r="D688" s="28" t="str">
        <f aca="false">IF(OR($B688="",$C688=""),"",$C688*IFERROR(INDEX(Setup!$C$47:$C$56,MATCH($B688,Setup!$A$47:$A$56,0)),IFERROR(INDEX(Setup!$C$60:$C$89,MATCH($B688,Setup!$A$60:$A$89,0)),"")))</f>
        <v/>
      </c>
      <c r="E688" s="42"/>
      <c r="F688" s="42"/>
    </row>
    <row r="689" customFormat="false" ht="15" hidden="false" customHeight="true" outlineLevel="0" collapsed="false">
      <c r="A689" s="42"/>
      <c r="B689" s="42"/>
      <c r="C689" s="42"/>
      <c r="D689" s="28" t="str">
        <f aca="false">IF(OR($B689="",$C689=""),"",$C689*IFERROR(INDEX(Setup!$C$47:$C$56,MATCH($B689,Setup!$A$47:$A$56,0)),IFERROR(INDEX(Setup!$C$60:$C$89,MATCH($B689,Setup!$A$60:$A$89,0)),"")))</f>
        <v/>
      </c>
      <c r="E689" s="42"/>
      <c r="F689" s="42"/>
    </row>
    <row r="690" customFormat="false" ht="15" hidden="false" customHeight="true" outlineLevel="0" collapsed="false">
      <c r="A690" s="42"/>
      <c r="B690" s="42"/>
      <c r="C690" s="42"/>
      <c r="D690" s="28" t="str">
        <f aca="false">IF(OR($B690="",$C690=""),"",$C690*IFERROR(INDEX(Setup!$C$47:$C$56,MATCH($B690,Setup!$A$47:$A$56,0)),IFERROR(INDEX(Setup!$C$60:$C$89,MATCH($B690,Setup!$A$60:$A$89,0)),"")))</f>
        <v/>
      </c>
      <c r="E690" s="42"/>
      <c r="F690" s="42"/>
    </row>
    <row r="691" customFormat="false" ht="15" hidden="false" customHeight="true" outlineLevel="0" collapsed="false">
      <c r="A691" s="42"/>
      <c r="B691" s="42"/>
      <c r="C691" s="42"/>
      <c r="D691" s="28" t="str">
        <f aca="false">IF(OR($B691="",$C691=""),"",$C691*IFERROR(INDEX(Setup!$C$47:$C$56,MATCH($B691,Setup!$A$47:$A$56,0)),IFERROR(INDEX(Setup!$C$60:$C$89,MATCH($B691,Setup!$A$60:$A$89,0)),"")))</f>
        <v/>
      </c>
      <c r="E691" s="42"/>
      <c r="F691" s="42"/>
    </row>
    <row r="692" customFormat="false" ht="15" hidden="false" customHeight="true" outlineLevel="0" collapsed="false">
      <c r="A692" s="42"/>
      <c r="B692" s="42"/>
      <c r="C692" s="42"/>
      <c r="D692" s="28" t="str">
        <f aca="false">IF(OR($B692="",$C692=""),"",$C692*IFERROR(INDEX(Setup!$C$47:$C$56,MATCH($B692,Setup!$A$47:$A$56,0)),IFERROR(INDEX(Setup!$C$60:$C$89,MATCH($B692,Setup!$A$60:$A$89,0)),"")))</f>
        <v/>
      </c>
      <c r="E692" s="42"/>
      <c r="F692" s="42"/>
    </row>
    <row r="693" customFormat="false" ht="15" hidden="false" customHeight="true" outlineLevel="0" collapsed="false">
      <c r="A693" s="42"/>
      <c r="B693" s="42"/>
      <c r="C693" s="42"/>
      <c r="D693" s="28" t="str">
        <f aca="false">IF(OR($B693="",$C693=""),"",$C693*IFERROR(INDEX(Setup!$C$47:$C$56,MATCH($B693,Setup!$A$47:$A$56,0)),IFERROR(INDEX(Setup!$C$60:$C$89,MATCH($B693,Setup!$A$60:$A$89,0)),"")))</f>
        <v/>
      </c>
      <c r="E693" s="42"/>
      <c r="F693" s="42"/>
    </row>
    <row r="694" customFormat="false" ht="15" hidden="false" customHeight="true" outlineLevel="0" collapsed="false">
      <c r="A694" s="42"/>
      <c r="B694" s="42"/>
      <c r="C694" s="42"/>
      <c r="D694" s="28" t="str">
        <f aca="false">IF(OR($B694="",$C694=""),"",$C694*IFERROR(INDEX(Setup!$C$47:$C$56,MATCH($B694,Setup!$A$47:$A$56,0)),IFERROR(INDEX(Setup!$C$60:$C$89,MATCH($B694,Setup!$A$60:$A$89,0)),"")))</f>
        <v/>
      </c>
      <c r="E694" s="42"/>
      <c r="F694" s="42"/>
    </row>
    <row r="695" customFormat="false" ht="15" hidden="false" customHeight="true" outlineLevel="0" collapsed="false">
      <c r="A695" s="42"/>
      <c r="B695" s="42"/>
      <c r="C695" s="42"/>
      <c r="D695" s="28" t="str">
        <f aca="false">IF(OR($B695="",$C695=""),"",$C695*IFERROR(INDEX(Setup!$C$47:$C$56,MATCH($B695,Setup!$A$47:$A$56,0)),IFERROR(INDEX(Setup!$C$60:$C$89,MATCH($B695,Setup!$A$60:$A$89,0)),"")))</f>
        <v/>
      </c>
      <c r="E695" s="42"/>
      <c r="F695" s="42"/>
    </row>
    <row r="696" customFormat="false" ht="15" hidden="false" customHeight="true" outlineLevel="0" collapsed="false">
      <c r="A696" s="42"/>
      <c r="B696" s="42"/>
      <c r="C696" s="42"/>
      <c r="D696" s="28" t="str">
        <f aca="false">IF(OR($B696="",$C696=""),"",$C696*IFERROR(INDEX(Setup!$C$47:$C$56,MATCH($B696,Setup!$A$47:$A$56,0)),IFERROR(INDEX(Setup!$C$60:$C$89,MATCH($B696,Setup!$A$60:$A$89,0)),"")))</f>
        <v/>
      </c>
      <c r="E696" s="42"/>
      <c r="F696" s="42"/>
    </row>
    <row r="697" customFormat="false" ht="15" hidden="false" customHeight="true" outlineLevel="0" collapsed="false">
      <c r="A697" s="42"/>
      <c r="B697" s="42"/>
      <c r="C697" s="42"/>
      <c r="D697" s="28" t="str">
        <f aca="false">IF(OR($B697="",$C697=""),"",$C697*IFERROR(INDEX(Setup!$C$47:$C$56,MATCH($B697,Setup!$A$47:$A$56,0)),IFERROR(INDEX(Setup!$C$60:$C$89,MATCH($B697,Setup!$A$60:$A$89,0)),"")))</f>
        <v/>
      </c>
      <c r="E697" s="42"/>
      <c r="F697" s="42"/>
    </row>
    <row r="698" customFormat="false" ht="15" hidden="false" customHeight="true" outlineLevel="0" collapsed="false">
      <c r="A698" s="42"/>
      <c r="B698" s="42"/>
      <c r="C698" s="42"/>
      <c r="D698" s="28" t="str">
        <f aca="false">IF(OR($B698="",$C698=""),"",$C698*IFERROR(INDEX(Setup!$C$47:$C$56,MATCH($B698,Setup!$A$47:$A$56,0)),IFERROR(INDEX(Setup!$C$60:$C$89,MATCH($B698,Setup!$A$60:$A$89,0)),"")))</f>
        <v/>
      </c>
      <c r="E698" s="42"/>
      <c r="F698" s="42"/>
    </row>
    <row r="699" customFormat="false" ht="15" hidden="false" customHeight="true" outlineLevel="0" collapsed="false">
      <c r="A699" s="42"/>
      <c r="B699" s="42"/>
      <c r="C699" s="42"/>
      <c r="D699" s="28" t="str">
        <f aca="false">IF(OR($B699="",$C699=""),"",$C699*IFERROR(INDEX(Setup!$C$47:$C$56,MATCH($B699,Setup!$A$47:$A$56,0)),IFERROR(INDEX(Setup!$C$60:$C$89,MATCH($B699,Setup!$A$60:$A$89,0)),"")))</f>
        <v/>
      </c>
      <c r="E699" s="42"/>
      <c r="F699" s="42"/>
    </row>
    <row r="700" customFormat="false" ht="15" hidden="false" customHeight="true" outlineLevel="0" collapsed="false">
      <c r="A700" s="42"/>
      <c r="B700" s="42"/>
      <c r="C700" s="42"/>
      <c r="D700" s="28" t="str">
        <f aca="false">IF(OR($B700="",$C700=""),"",$C700*IFERROR(INDEX(Setup!$C$47:$C$56,MATCH($B700,Setup!$A$47:$A$56,0)),IFERROR(INDEX(Setup!$C$60:$C$89,MATCH($B700,Setup!$A$60:$A$89,0)),"")))</f>
        <v/>
      </c>
      <c r="E700" s="42"/>
      <c r="F700" s="42"/>
    </row>
    <row r="701" customFormat="false" ht="15" hidden="false" customHeight="true" outlineLevel="0" collapsed="false">
      <c r="A701" s="42"/>
      <c r="B701" s="42"/>
      <c r="C701" s="42"/>
      <c r="D701" s="28" t="str">
        <f aca="false">IF(OR($B701="",$C701=""),"",$C701*IFERROR(INDEX(Setup!$C$47:$C$56,MATCH($B701,Setup!$A$47:$A$56,0)),IFERROR(INDEX(Setup!$C$60:$C$89,MATCH($B701,Setup!$A$60:$A$89,0)),"")))</f>
        <v/>
      </c>
      <c r="E701" s="42"/>
      <c r="F701" s="42"/>
    </row>
    <row r="702" customFormat="false" ht="15" hidden="false" customHeight="true" outlineLevel="0" collapsed="false">
      <c r="A702" s="42"/>
      <c r="B702" s="42"/>
      <c r="C702" s="42"/>
      <c r="D702" s="28" t="str">
        <f aca="false">IF(OR($B702="",$C702=""),"",$C702*IFERROR(INDEX(Setup!$C$47:$C$56,MATCH($B702,Setup!$A$47:$A$56,0)),IFERROR(INDEX(Setup!$C$60:$C$89,MATCH($B702,Setup!$A$60:$A$89,0)),"")))</f>
        <v/>
      </c>
      <c r="E702" s="42"/>
      <c r="F702" s="42"/>
    </row>
    <row r="703" customFormat="false" ht="15" hidden="false" customHeight="true" outlineLevel="0" collapsed="false">
      <c r="A703" s="42"/>
      <c r="B703" s="42"/>
      <c r="C703" s="42"/>
      <c r="D703" s="28" t="str">
        <f aca="false">IF(OR($B703="",$C703=""),"",$C703*IFERROR(INDEX(Setup!$C$47:$C$56,MATCH($B703,Setup!$A$47:$A$56,0)),IFERROR(INDEX(Setup!$C$60:$C$89,MATCH($B703,Setup!$A$60:$A$89,0)),"")))</f>
        <v/>
      </c>
      <c r="E703" s="42"/>
      <c r="F703" s="42"/>
    </row>
    <row r="704" customFormat="false" ht="15" hidden="false" customHeight="true" outlineLevel="0" collapsed="false">
      <c r="A704" s="42"/>
      <c r="B704" s="42"/>
      <c r="C704" s="42"/>
      <c r="D704" s="28" t="str">
        <f aca="false">IF(OR($B704="",$C704=""),"",$C704*IFERROR(INDEX(Setup!$C$47:$C$56,MATCH($B704,Setup!$A$47:$A$56,0)),IFERROR(INDEX(Setup!$C$60:$C$89,MATCH($B704,Setup!$A$60:$A$89,0)),"")))</f>
        <v/>
      </c>
      <c r="E704" s="42"/>
      <c r="F704" s="42"/>
    </row>
    <row r="705" customFormat="false" ht="15" hidden="false" customHeight="true" outlineLevel="0" collapsed="false">
      <c r="A705" s="42"/>
      <c r="B705" s="42"/>
      <c r="C705" s="42"/>
      <c r="D705" s="28" t="str">
        <f aca="false">IF(OR($B705="",$C705=""),"",$C705*IFERROR(INDEX(Setup!$C$47:$C$56,MATCH($B705,Setup!$A$47:$A$56,0)),IFERROR(INDEX(Setup!$C$60:$C$89,MATCH($B705,Setup!$A$60:$A$89,0)),"")))</f>
        <v/>
      </c>
      <c r="E705" s="42"/>
      <c r="F705" s="42"/>
    </row>
    <row r="706" customFormat="false" ht="15" hidden="false" customHeight="true" outlineLevel="0" collapsed="false">
      <c r="A706" s="42"/>
      <c r="B706" s="42"/>
      <c r="C706" s="42"/>
      <c r="D706" s="28" t="str">
        <f aca="false">IF(OR($B706="",$C706=""),"",$C706*IFERROR(INDEX(Setup!$C$47:$C$56,MATCH($B706,Setup!$A$47:$A$56,0)),IFERROR(INDEX(Setup!$C$60:$C$89,MATCH($B706,Setup!$A$60:$A$89,0)),"")))</f>
        <v/>
      </c>
      <c r="E706" s="42"/>
      <c r="F706" s="42"/>
    </row>
    <row r="707" customFormat="false" ht="15" hidden="false" customHeight="true" outlineLevel="0" collapsed="false">
      <c r="A707" s="42"/>
      <c r="B707" s="42"/>
      <c r="C707" s="42"/>
      <c r="D707" s="28" t="str">
        <f aca="false">IF(OR($B707="",$C707=""),"",$C707*IFERROR(INDEX(Setup!$C$47:$C$56,MATCH($B707,Setup!$A$47:$A$56,0)),IFERROR(INDEX(Setup!$C$60:$C$89,MATCH($B707,Setup!$A$60:$A$89,0)),"")))</f>
        <v/>
      </c>
      <c r="E707" s="42"/>
      <c r="F707" s="42"/>
    </row>
    <row r="708" customFormat="false" ht="15" hidden="false" customHeight="true" outlineLevel="0" collapsed="false">
      <c r="A708" s="42"/>
      <c r="B708" s="42"/>
      <c r="C708" s="42"/>
      <c r="D708" s="28" t="str">
        <f aca="false">IF(OR($B708="",$C708=""),"",$C708*IFERROR(INDEX(Setup!$C$47:$C$56,MATCH($B708,Setup!$A$47:$A$56,0)),IFERROR(INDEX(Setup!$C$60:$C$89,MATCH($B708,Setup!$A$60:$A$89,0)),"")))</f>
        <v/>
      </c>
      <c r="E708" s="42"/>
      <c r="F708" s="42"/>
    </row>
    <row r="709" customFormat="false" ht="15" hidden="false" customHeight="true" outlineLevel="0" collapsed="false">
      <c r="A709" s="42"/>
      <c r="B709" s="42"/>
      <c r="C709" s="42"/>
      <c r="D709" s="28" t="str">
        <f aca="false">IF(OR($B709="",$C709=""),"",$C709*IFERROR(INDEX(Setup!$C$47:$C$56,MATCH($B709,Setup!$A$47:$A$56,0)),IFERROR(INDEX(Setup!$C$60:$C$89,MATCH($B709,Setup!$A$60:$A$89,0)),"")))</f>
        <v/>
      </c>
      <c r="E709" s="42"/>
      <c r="F709" s="42"/>
    </row>
    <row r="710" customFormat="false" ht="15" hidden="false" customHeight="true" outlineLevel="0" collapsed="false">
      <c r="A710" s="42"/>
      <c r="B710" s="42"/>
      <c r="C710" s="42"/>
      <c r="D710" s="28" t="str">
        <f aca="false">IF(OR($B710="",$C710=""),"",$C710*IFERROR(INDEX(Setup!$C$47:$C$56,MATCH($B710,Setup!$A$47:$A$56,0)),IFERROR(INDEX(Setup!$C$60:$C$89,MATCH($B710,Setup!$A$60:$A$89,0)),"")))</f>
        <v/>
      </c>
      <c r="E710" s="42"/>
      <c r="F710" s="42"/>
    </row>
    <row r="711" customFormat="false" ht="15" hidden="false" customHeight="true" outlineLevel="0" collapsed="false">
      <c r="A711" s="42"/>
      <c r="B711" s="42"/>
      <c r="C711" s="42"/>
      <c r="D711" s="28" t="str">
        <f aca="false">IF(OR($B711="",$C711=""),"",$C711*IFERROR(INDEX(Setup!$C$47:$C$56,MATCH($B711,Setup!$A$47:$A$56,0)),IFERROR(INDEX(Setup!$C$60:$C$89,MATCH($B711,Setup!$A$60:$A$89,0)),"")))</f>
        <v/>
      </c>
      <c r="E711" s="42"/>
      <c r="F711" s="42"/>
    </row>
    <row r="712" customFormat="false" ht="15" hidden="false" customHeight="true" outlineLevel="0" collapsed="false">
      <c r="A712" s="42"/>
      <c r="B712" s="42"/>
      <c r="C712" s="42"/>
      <c r="D712" s="28" t="str">
        <f aca="false">IF(OR($B712="",$C712=""),"",$C712*IFERROR(INDEX(Setup!$C$47:$C$56,MATCH($B712,Setup!$A$47:$A$56,0)),IFERROR(INDEX(Setup!$C$60:$C$89,MATCH($B712,Setup!$A$60:$A$89,0)),"")))</f>
        <v/>
      </c>
      <c r="E712" s="42"/>
      <c r="F712" s="42"/>
    </row>
    <row r="713" customFormat="false" ht="15" hidden="false" customHeight="true" outlineLevel="0" collapsed="false">
      <c r="A713" s="42"/>
      <c r="B713" s="42"/>
      <c r="C713" s="42"/>
      <c r="D713" s="28" t="str">
        <f aca="false">IF(OR($B713="",$C713=""),"",$C713*IFERROR(INDEX(Setup!$C$47:$C$56,MATCH($B713,Setup!$A$47:$A$56,0)),IFERROR(INDEX(Setup!$C$60:$C$89,MATCH($B713,Setup!$A$60:$A$89,0)),"")))</f>
        <v/>
      </c>
      <c r="E713" s="42"/>
      <c r="F713" s="42"/>
    </row>
    <row r="714" customFormat="false" ht="15" hidden="false" customHeight="true" outlineLevel="0" collapsed="false">
      <c r="A714" s="42"/>
      <c r="B714" s="42"/>
      <c r="C714" s="42"/>
      <c r="D714" s="28" t="str">
        <f aca="false">IF(OR($B714="",$C714=""),"",$C714*IFERROR(INDEX(Setup!$C$47:$C$56,MATCH($B714,Setup!$A$47:$A$56,0)),IFERROR(INDEX(Setup!$C$60:$C$89,MATCH($B714,Setup!$A$60:$A$89,0)),"")))</f>
        <v/>
      </c>
      <c r="E714" s="42"/>
      <c r="F714" s="42"/>
    </row>
    <row r="715" customFormat="false" ht="15" hidden="false" customHeight="true" outlineLevel="0" collapsed="false">
      <c r="A715" s="42"/>
      <c r="B715" s="42"/>
      <c r="C715" s="42"/>
      <c r="D715" s="28" t="str">
        <f aca="false">IF(OR($B715="",$C715=""),"",$C715*IFERROR(INDEX(Setup!$C$47:$C$56,MATCH($B715,Setup!$A$47:$A$56,0)),IFERROR(INDEX(Setup!$C$60:$C$89,MATCH($B715,Setup!$A$60:$A$89,0)),"")))</f>
        <v/>
      </c>
      <c r="E715" s="42"/>
      <c r="F715" s="42"/>
    </row>
    <row r="716" customFormat="false" ht="15" hidden="false" customHeight="true" outlineLevel="0" collapsed="false">
      <c r="A716" s="42"/>
      <c r="B716" s="42"/>
      <c r="C716" s="42"/>
      <c r="D716" s="28" t="str">
        <f aca="false">IF(OR($B716="",$C716=""),"",$C716*IFERROR(INDEX(Setup!$C$47:$C$56,MATCH($B716,Setup!$A$47:$A$56,0)),IFERROR(INDEX(Setup!$C$60:$C$89,MATCH($B716,Setup!$A$60:$A$89,0)),"")))</f>
        <v/>
      </c>
      <c r="E716" s="42"/>
      <c r="F716" s="42"/>
    </row>
    <row r="717" customFormat="false" ht="15" hidden="false" customHeight="true" outlineLevel="0" collapsed="false">
      <c r="A717" s="42"/>
      <c r="B717" s="42"/>
      <c r="C717" s="42"/>
      <c r="D717" s="28" t="str">
        <f aca="false">IF(OR($B717="",$C717=""),"",$C717*IFERROR(INDEX(Setup!$C$47:$C$56,MATCH($B717,Setup!$A$47:$A$56,0)),IFERROR(INDEX(Setup!$C$60:$C$89,MATCH($B717,Setup!$A$60:$A$89,0)),"")))</f>
        <v/>
      </c>
      <c r="E717" s="42"/>
      <c r="F717" s="42"/>
    </row>
    <row r="718" customFormat="false" ht="15" hidden="false" customHeight="true" outlineLevel="0" collapsed="false">
      <c r="A718" s="42"/>
      <c r="B718" s="42"/>
      <c r="C718" s="42"/>
      <c r="D718" s="28" t="str">
        <f aca="false">IF(OR($B718="",$C718=""),"",$C718*IFERROR(INDEX(Setup!$C$47:$C$56,MATCH($B718,Setup!$A$47:$A$56,0)),IFERROR(INDEX(Setup!$C$60:$C$89,MATCH($B718,Setup!$A$60:$A$89,0)),"")))</f>
        <v/>
      </c>
      <c r="E718" s="42"/>
      <c r="F718" s="42"/>
    </row>
    <row r="719" customFormat="false" ht="15" hidden="false" customHeight="true" outlineLevel="0" collapsed="false">
      <c r="A719" s="42"/>
      <c r="B719" s="42"/>
      <c r="C719" s="42"/>
      <c r="D719" s="28" t="str">
        <f aca="false">IF(OR($B719="",$C719=""),"",$C719*IFERROR(INDEX(Setup!$C$47:$C$56,MATCH($B719,Setup!$A$47:$A$56,0)),IFERROR(INDEX(Setup!$C$60:$C$89,MATCH($B719,Setup!$A$60:$A$89,0)),"")))</f>
        <v/>
      </c>
      <c r="E719" s="42"/>
      <c r="F719" s="42"/>
    </row>
    <row r="720" customFormat="false" ht="15" hidden="false" customHeight="true" outlineLevel="0" collapsed="false">
      <c r="A720" s="42"/>
      <c r="B720" s="42"/>
      <c r="C720" s="42"/>
      <c r="D720" s="28" t="str">
        <f aca="false">IF(OR($B720="",$C720=""),"",$C720*IFERROR(INDEX(Setup!$C$47:$C$56,MATCH($B720,Setup!$A$47:$A$56,0)),IFERROR(INDEX(Setup!$C$60:$C$89,MATCH($B720,Setup!$A$60:$A$89,0)),"")))</f>
        <v/>
      </c>
      <c r="E720" s="42"/>
      <c r="F720" s="42"/>
    </row>
    <row r="721" customFormat="false" ht="15" hidden="false" customHeight="true" outlineLevel="0" collapsed="false">
      <c r="A721" s="42"/>
      <c r="B721" s="42"/>
      <c r="C721" s="42"/>
      <c r="D721" s="28" t="str">
        <f aca="false">IF(OR($B721="",$C721=""),"",$C721*IFERROR(INDEX(Setup!$C$47:$C$56,MATCH($B721,Setup!$A$47:$A$56,0)),IFERROR(INDEX(Setup!$C$60:$C$89,MATCH($B721,Setup!$A$60:$A$89,0)),"")))</f>
        <v/>
      </c>
      <c r="E721" s="42"/>
      <c r="F721" s="42"/>
    </row>
    <row r="722" customFormat="false" ht="15" hidden="false" customHeight="true" outlineLevel="0" collapsed="false">
      <c r="A722" s="42"/>
      <c r="B722" s="42"/>
      <c r="C722" s="42"/>
      <c r="D722" s="28" t="str">
        <f aca="false">IF(OR($B722="",$C722=""),"",$C722*IFERROR(INDEX(Setup!$C$47:$C$56,MATCH($B722,Setup!$A$47:$A$56,0)),IFERROR(INDEX(Setup!$C$60:$C$89,MATCH($B722,Setup!$A$60:$A$89,0)),"")))</f>
        <v/>
      </c>
      <c r="E722" s="42"/>
      <c r="F722" s="42"/>
    </row>
    <row r="723" customFormat="false" ht="15" hidden="false" customHeight="true" outlineLevel="0" collapsed="false">
      <c r="A723" s="42"/>
      <c r="B723" s="42"/>
      <c r="C723" s="42"/>
      <c r="D723" s="28" t="str">
        <f aca="false">IF(OR($B723="",$C723=""),"",$C723*IFERROR(INDEX(Setup!$C$47:$C$56,MATCH($B723,Setup!$A$47:$A$56,0)),IFERROR(INDEX(Setup!$C$60:$C$89,MATCH($B723,Setup!$A$60:$A$89,0)),"")))</f>
        <v/>
      </c>
      <c r="E723" s="42"/>
      <c r="F723" s="42"/>
    </row>
    <row r="724" customFormat="false" ht="15" hidden="false" customHeight="true" outlineLevel="0" collapsed="false">
      <c r="A724" s="42"/>
      <c r="B724" s="42"/>
      <c r="C724" s="42"/>
      <c r="D724" s="28" t="str">
        <f aca="false">IF(OR($B724="",$C724=""),"",$C724*IFERROR(INDEX(Setup!$C$47:$C$56,MATCH($B724,Setup!$A$47:$A$56,0)),IFERROR(INDEX(Setup!$C$60:$C$89,MATCH($B724,Setup!$A$60:$A$89,0)),"")))</f>
        <v/>
      </c>
      <c r="E724" s="42"/>
      <c r="F724" s="42"/>
    </row>
    <row r="725" customFormat="false" ht="15" hidden="false" customHeight="true" outlineLevel="0" collapsed="false">
      <c r="A725" s="42"/>
      <c r="B725" s="42"/>
      <c r="C725" s="42"/>
      <c r="D725" s="28" t="str">
        <f aca="false">IF(OR($B725="",$C725=""),"",$C725*IFERROR(INDEX(Setup!$C$47:$C$56,MATCH($B725,Setup!$A$47:$A$56,0)),IFERROR(INDEX(Setup!$C$60:$C$89,MATCH($B725,Setup!$A$60:$A$89,0)),"")))</f>
        <v/>
      </c>
      <c r="E725" s="42"/>
      <c r="F725" s="42"/>
    </row>
    <row r="726" customFormat="false" ht="15" hidden="false" customHeight="true" outlineLevel="0" collapsed="false">
      <c r="A726" s="42"/>
      <c r="B726" s="42"/>
      <c r="C726" s="42"/>
      <c r="D726" s="28" t="str">
        <f aca="false">IF(OR($B726="",$C726=""),"",$C726*IFERROR(INDEX(Setup!$C$47:$C$56,MATCH($B726,Setup!$A$47:$A$56,0)),IFERROR(INDEX(Setup!$C$60:$C$89,MATCH($B726,Setup!$A$60:$A$89,0)),"")))</f>
        <v/>
      </c>
      <c r="E726" s="42"/>
      <c r="F726" s="42"/>
    </row>
    <row r="727" customFormat="false" ht="15" hidden="false" customHeight="true" outlineLevel="0" collapsed="false">
      <c r="A727" s="42"/>
      <c r="B727" s="42"/>
      <c r="C727" s="42"/>
      <c r="D727" s="28" t="str">
        <f aca="false">IF(OR($B727="",$C727=""),"",$C727*IFERROR(INDEX(Setup!$C$47:$C$56,MATCH($B727,Setup!$A$47:$A$56,0)),IFERROR(INDEX(Setup!$C$60:$C$89,MATCH($B727,Setup!$A$60:$A$89,0)),"")))</f>
        <v/>
      </c>
      <c r="E727" s="42"/>
      <c r="F727" s="42"/>
    </row>
    <row r="728" customFormat="false" ht="15" hidden="false" customHeight="true" outlineLevel="0" collapsed="false">
      <c r="A728" s="42"/>
      <c r="B728" s="42"/>
      <c r="C728" s="42"/>
      <c r="D728" s="28" t="str">
        <f aca="false">IF(OR($B728="",$C728=""),"",$C728*IFERROR(INDEX(Setup!$C$47:$C$56,MATCH($B728,Setup!$A$47:$A$56,0)),IFERROR(INDEX(Setup!$C$60:$C$89,MATCH($B728,Setup!$A$60:$A$89,0)),"")))</f>
        <v/>
      </c>
      <c r="E728" s="42"/>
      <c r="F728" s="42"/>
    </row>
    <row r="729" customFormat="false" ht="15" hidden="false" customHeight="true" outlineLevel="0" collapsed="false">
      <c r="A729" s="42"/>
      <c r="B729" s="42"/>
      <c r="C729" s="42"/>
      <c r="D729" s="28" t="str">
        <f aca="false">IF(OR($B729="",$C729=""),"",$C729*IFERROR(INDEX(Setup!$C$47:$C$56,MATCH($B729,Setup!$A$47:$A$56,0)),IFERROR(INDEX(Setup!$C$60:$C$89,MATCH($B729,Setup!$A$60:$A$89,0)),"")))</f>
        <v/>
      </c>
      <c r="E729" s="42"/>
      <c r="F729" s="42"/>
    </row>
    <row r="730" customFormat="false" ht="15" hidden="false" customHeight="true" outlineLevel="0" collapsed="false">
      <c r="A730" s="42"/>
      <c r="B730" s="42"/>
      <c r="C730" s="42"/>
      <c r="D730" s="28" t="str">
        <f aca="false">IF(OR($B730="",$C730=""),"",$C730*IFERROR(INDEX(Setup!$C$47:$C$56,MATCH($B730,Setup!$A$47:$A$56,0)),IFERROR(INDEX(Setup!$C$60:$C$89,MATCH($B730,Setup!$A$60:$A$89,0)),"")))</f>
        <v/>
      </c>
      <c r="E730" s="42"/>
      <c r="F730" s="42"/>
    </row>
    <row r="731" customFormat="false" ht="15" hidden="false" customHeight="true" outlineLevel="0" collapsed="false">
      <c r="A731" s="42"/>
      <c r="B731" s="42"/>
      <c r="C731" s="42"/>
      <c r="D731" s="28" t="str">
        <f aca="false">IF(OR($B731="",$C731=""),"",$C731*IFERROR(INDEX(Setup!$C$47:$C$56,MATCH($B731,Setup!$A$47:$A$56,0)),IFERROR(INDEX(Setup!$C$60:$C$89,MATCH($B731,Setup!$A$60:$A$89,0)),"")))</f>
        <v/>
      </c>
      <c r="E731" s="42"/>
      <c r="F731" s="42"/>
    </row>
    <row r="732" customFormat="false" ht="15" hidden="false" customHeight="true" outlineLevel="0" collapsed="false">
      <c r="A732" s="42"/>
      <c r="B732" s="42"/>
      <c r="C732" s="42"/>
      <c r="D732" s="28" t="str">
        <f aca="false">IF(OR($B732="",$C732=""),"",$C732*IFERROR(INDEX(Setup!$C$47:$C$56,MATCH($B732,Setup!$A$47:$A$56,0)),IFERROR(INDEX(Setup!$C$60:$C$89,MATCH($B732,Setup!$A$60:$A$89,0)),"")))</f>
        <v/>
      </c>
      <c r="E732" s="42"/>
      <c r="F732" s="42"/>
    </row>
    <row r="733" customFormat="false" ht="15" hidden="false" customHeight="true" outlineLevel="0" collapsed="false">
      <c r="A733" s="42"/>
      <c r="B733" s="42"/>
      <c r="C733" s="42"/>
      <c r="D733" s="28" t="str">
        <f aca="false">IF(OR($B733="",$C733=""),"",$C733*IFERROR(INDEX(Setup!$C$47:$C$56,MATCH($B733,Setup!$A$47:$A$56,0)),IFERROR(INDEX(Setup!$C$60:$C$89,MATCH($B733,Setup!$A$60:$A$89,0)),"")))</f>
        <v/>
      </c>
      <c r="E733" s="42"/>
      <c r="F733" s="42"/>
    </row>
    <row r="734" customFormat="false" ht="15" hidden="false" customHeight="true" outlineLevel="0" collapsed="false">
      <c r="A734" s="42"/>
      <c r="B734" s="42"/>
      <c r="C734" s="42"/>
      <c r="D734" s="28" t="str">
        <f aca="false">IF(OR($B734="",$C734=""),"",$C734*IFERROR(INDEX(Setup!$C$47:$C$56,MATCH($B734,Setup!$A$47:$A$56,0)),IFERROR(INDEX(Setup!$C$60:$C$89,MATCH($B734,Setup!$A$60:$A$89,0)),"")))</f>
        <v/>
      </c>
      <c r="E734" s="42"/>
      <c r="F734" s="42"/>
    </row>
    <row r="735" customFormat="false" ht="15" hidden="false" customHeight="true" outlineLevel="0" collapsed="false">
      <c r="A735" s="42"/>
      <c r="B735" s="42"/>
      <c r="C735" s="42"/>
      <c r="D735" s="28" t="str">
        <f aca="false">IF(OR($B735="",$C735=""),"",$C735*IFERROR(INDEX(Setup!$C$47:$C$56,MATCH($B735,Setup!$A$47:$A$56,0)),IFERROR(INDEX(Setup!$C$60:$C$89,MATCH($B735,Setup!$A$60:$A$89,0)),"")))</f>
        <v/>
      </c>
      <c r="E735" s="42"/>
      <c r="F735" s="42"/>
    </row>
    <row r="736" customFormat="false" ht="15" hidden="false" customHeight="true" outlineLevel="0" collapsed="false">
      <c r="A736" s="42"/>
      <c r="B736" s="42"/>
      <c r="C736" s="42"/>
      <c r="D736" s="28" t="str">
        <f aca="false">IF(OR($B736="",$C736=""),"",$C736*IFERROR(INDEX(Setup!$C$47:$C$56,MATCH($B736,Setup!$A$47:$A$56,0)),IFERROR(INDEX(Setup!$C$60:$C$89,MATCH($B736,Setup!$A$60:$A$89,0)),"")))</f>
        <v/>
      </c>
      <c r="E736" s="42"/>
      <c r="F736" s="42"/>
    </row>
    <row r="737" customFormat="false" ht="15" hidden="false" customHeight="true" outlineLevel="0" collapsed="false">
      <c r="A737" s="42"/>
      <c r="B737" s="42"/>
      <c r="C737" s="42"/>
      <c r="D737" s="28" t="str">
        <f aca="false">IF(OR($B737="",$C737=""),"",$C737*IFERROR(INDEX(Setup!$C$47:$C$56,MATCH($B737,Setup!$A$47:$A$56,0)),IFERROR(INDEX(Setup!$C$60:$C$89,MATCH($B737,Setup!$A$60:$A$89,0)),"")))</f>
        <v/>
      </c>
      <c r="E737" s="42"/>
      <c r="F737" s="42"/>
    </row>
    <row r="738" customFormat="false" ht="15" hidden="false" customHeight="true" outlineLevel="0" collapsed="false">
      <c r="A738" s="42"/>
      <c r="B738" s="42"/>
      <c r="C738" s="42"/>
      <c r="D738" s="28" t="str">
        <f aca="false">IF(OR($B738="",$C738=""),"",$C738*IFERROR(INDEX(Setup!$C$47:$C$56,MATCH($B738,Setup!$A$47:$A$56,0)),IFERROR(INDEX(Setup!$C$60:$C$89,MATCH($B738,Setup!$A$60:$A$89,0)),"")))</f>
        <v/>
      </c>
      <c r="E738" s="42"/>
      <c r="F738" s="42"/>
    </row>
    <row r="739" customFormat="false" ht="15" hidden="false" customHeight="true" outlineLevel="0" collapsed="false">
      <c r="A739" s="42"/>
      <c r="B739" s="42"/>
      <c r="C739" s="42"/>
      <c r="D739" s="28" t="str">
        <f aca="false">IF(OR($B739="",$C739=""),"",$C739*IFERROR(INDEX(Setup!$C$47:$C$56,MATCH($B739,Setup!$A$47:$A$56,0)),IFERROR(INDEX(Setup!$C$60:$C$89,MATCH($B739,Setup!$A$60:$A$89,0)),"")))</f>
        <v/>
      </c>
      <c r="E739" s="42"/>
      <c r="F739" s="42"/>
    </row>
    <row r="740" customFormat="false" ht="15" hidden="false" customHeight="true" outlineLevel="0" collapsed="false">
      <c r="A740" s="42"/>
      <c r="B740" s="42"/>
      <c r="C740" s="42"/>
      <c r="D740" s="28" t="str">
        <f aca="false">IF(OR($B740="",$C740=""),"",$C740*IFERROR(INDEX(Setup!$C$47:$C$56,MATCH($B740,Setup!$A$47:$A$56,0)),IFERROR(INDEX(Setup!$C$60:$C$89,MATCH($B740,Setup!$A$60:$A$89,0)),"")))</f>
        <v/>
      </c>
      <c r="E740" s="42"/>
      <c r="F740" s="42"/>
    </row>
    <row r="741" customFormat="false" ht="15" hidden="false" customHeight="true" outlineLevel="0" collapsed="false">
      <c r="A741" s="42"/>
      <c r="B741" s="42"/>
      <c r="C741" s="42"/>
      <c r="D741" s="28" t="str">
        <f aca="false">IF(OR($B741="",$C741=""),"",$C741*IFERROR(INDEX(Setup!$C$47:$C$56,MATCH($B741,Setup!$A$47:$A$56,0)),IFERROR(INDEX(Setup!$C$60:$C$89,MATCH($B741,Setup!$A$60:$A$89,0)),"")))</f>
        <v/>
      </c>
      <c r="E741" s="42"/>
      <c r="F741" s="42"/>
    </row>
    <row r="742" customFormat="false" ht="15" hidden="false" customHeight="true" outlineLevel="0" collapsed="false">
      <c r="A742" s="42"/>
      <c r="B742" s="42"/>
      <c r="C742" s="42"/>
      <c r="D742" s="28" t="str">
        <f aca="false">IF(OR($B742="",$C742=""),"",$C742*IFERROR(INDEX(Setup!$C$47:$C$56,MATCH($B742,Setup!$A$47:$A$56,0)),IFERROR(INDEX(Setup!$C$60:$C$89,MATCH($B742,Setup!$A$60:$A$89,0)),"")))</f>
        <v/>
      </c>
      <c r="E742" s="42"/>
      <c r="F742" s="42"/>
    </row>
    <row r="743" customFormat="false" ht="15" hidden="false" customHeight="true" outlineLevel="0" collapsed="false">
      <c r="A743" s="42"/>
      <c r="B743" s="42"/>
      <c r="C743" s="42"/>
      <c r="D743" s="28" t="str">
        <f aca="false">IF(OR($B743="",$C743=""),"",$C743*IFERROR(INDEX(Setup!$C$47:$C$56,MATCH($B743,Setup!$A$47:$A$56,0)),IFERROR(INDEX(Setup!$C$60:$C$89,MATCH($B743,Setup!$A$60:$A$89,0)),"")))</f>
        <v/>
      </c>
      <c r="E743" s="42"/>
      <c r="F743" s="42"/>
    </row>
    <row r="744" customFormat="false" ht="15" hidden="false" customHeight="true" outlineLevel="0" collapsed="false">
      <c r="A744" s="42"/>
      <c r="B744" s="42"/>
      <c r="C744" s="42"/>
      <c r="D744" s="28" t="str">
        <f aca="false">IF(OR($B744="",$C744=""),"",$C744*IFERROR(INDEX(Setup!$C$47:$C$56,MATCH($B744,Setup!$A$47:$A$56,0)),IFERROR(INDEX(Setup!$C$60:$C$89,MATCH($B744,Setup!$A$60:$A$89,0)),"")))</f>
        <v/>
      </c>
      <c r="E744" s="42"/>
      <c r="F744" s="42"/>
    </row>
    <row r="745" customFormat="false" ht="15" hidden="false" customHeight="true" outlineLevel="0" collapsed="false">
      <c r="A745" s="42"/>
      <c r="B745" s="42"/>
      <c r="C745" s="42"/>
      <c r="D745" s="28" t="str">
        <f aca="false">IF(OR($B745="",$C745=""),"",$C745*IFERROR(INDEX(Setup!$C$47:$C$56,MATCH($B745,Setup!$A$47:$A$56,0)),IFERROR(INDEX(Setup!$C$60:$C$89,MATCH($B745,Setup!$A$60:$A$89,0)),"")))</f>
        <v/>
      </c>
      <c r="E745" s="42"/>
      <c r="F745" s="42"/>
    </row>
    <row r="746" customFormat="false" ht="15" hidden="false" customHeight="true" outlineLevel="0" collapsed="false">
      <c r="A746" s="42"/>
      <c r="B746" s="42"/>
      <c r="C746" s="42"/>
      <c r="D746" s="28" t="str">
        <f aca="false">IF(OR($B746="",$C746=""),"",$C746*IFERROR(INDEX(Setup!$C$47:$C$56,MATCH($B746,Setup!$A$47:$A$56,0)),IFERROR(INDEX(Setup!$C$60:$C$89,MATCH($B746,Setup!$A$60:$A$89,0)),"")))</f>
        <v/>
      </c>
      <c r="E746" s="42"/>
      <c r="F746" s="42"/>
    </row>
    <row r="747" customFormat="false" ht="15" hidden="false" customHeight="true" outlineLevel="0" collapsed="false">
      <c r="A747" s="42"/>
      <c r="B747" s="42"/>
      <c r="C747" s="42"/>
      <c r="D747" s="28" t="str">
        <f aca="false">IF(OR($B747="",$C747=""),"",$C747*IFERROR(INDEX(Setup!$C$47:$C$56,MATCH($B747,Setup!$A$47:$A$56,0)),IFERROR(INDEX(Setup!$C$60:$C$89,MATCH($B747,Setup!$A$60:$A$89,0)),"")))</f>
        <v/>
      </c>
      <c r="E747" s="42"/>
      <c r="F747" s="42"/>
    </row>
    <row r="748" customFormat="false" ht="15" hidden="false" customHeight="true" outlineLevel="0" collapsed="false">
      <c r="A748" s="42"/>
      <c r="B748" s="42"/>
      <c r="C748" s="42"/>
      <c r="D748" s="28" t="str">
        <f aca="false">IF(OR($B748="",$C748=""),"",$C748*IFERROR(INDEX(Setup!$C$47:$C$56,MATCH($B748,Setup!$A$47:$A$56,0)),IFERROR(INDEX(Setup!$C$60:$C$89,MATCH($B748,Setup!$A$60:$A$89,0)),"")))</f>
        <v/>
      </c>
      <c r="E748" s="42"/>
      <c r="F748" s="42"/>
    </row>
    <row r="749" customFormat="false" ht="15" hidden="false" customHeight="true" outlineLevel="0" collapsed="false">
      <c r="A749" s="42"/>
      <c r="B749" s="42"/>
      <c r="C749" s="42"/>
      <c r="D749" s="28" t="str">
        <f aca="false">IF(OR($B749="",$C749=""),"",$C749*IFERROR(INDEX(Setup!$C$47:$C$56,MATCH($B749,Setup!$A$47:$A$56,0)),IFERROR(INDEX(Setup!$C$60:$C$89,MATCH($B749,Setup!$A$60:$A$89,0)),"")))</f>
        <v/>
      </c>
      <c r="E749" s="42"/>
      <c r="F749" s="42"/>
    </row>
    <row r="750" customFormat="false" ht="15" hidden="false" customHeight="true" outlineLevel="0" collapsed="false">
      <c r="A750" s="42"/>
      <c r="B750" s="42"/>
      <c r="C750" s="42"/>
      <c r="D750" s="28" t="str">
        <f aca="false">IF(OR($B750="",$C750=""),"",$C750*IFERROR(INDEX(Setup!$C$47:$C$56,MATCH($B750,Setup!$A$47:$A$56,0)),IFERROR(INDEX(Setup!$C$60:$C$89,MATCH($B750,Setup!$A$60:$A$89,0)),"")))</f>
        <v/>
      </c>
      <c r="E750" s="42"/>
      <c r="F750" s="42"/>
    </row>
    <row r="751" customFormat="false" ht="15" hidden="false" customHeight="true" outlineLevel="0" collapsed="false">
      <c r="A751" s="42"/>
      <c r="B751" s="42"/>
      <c r="C751" s="42"/>
      <c r="D751" s="28" t="str">
        <f aca="false">IF(OR($B751="",$C751=""),"",$C751*IFERROR(INDEX(Setup!$C$47:$C$56,MATCH($B751,Setup!$A$47:$A$56,0)),IFERROR(INDEX(Setup!$C$60:$C$89,MATCH($B751,Setup!$A$60:$A$89,0)),"")))</f>
        <v/>
      </c>
      <c r="E751" s="42"/>
      <c r="F751" s="42"/>
    </row>
    <row r="752" customFormat="false" ht="15" hidden="false" customHeight="true" outlineLevel="0" collapsed="false">
      <c r="A752" s="42"/>
      <c r="B752" s="42"/>
      <c r="C752" s="42"/>
      <c r="D752" s="28" t="str">
        <f aca="false">IF(OR($B752="",$C752=""),"",$C752*IFERROR(INDEX(Setup!$C$47:$C$56,MATCH($B752,Setup!$A$47:$A$56,0)),IFERROR(INDEX(Setup!$C$60:$C$89,MATCH($B752,Setup!$A$60:$A$89,0)),"")))</f>
        <v/>
      </c>
      <c r="E752" s="42"/>
      <c r="F752" s="42"/>
    </row>
    <row r="753" customFormat="false" ht="15" hidden="false" customHeight="true" outlineLevel="0" collapsed="false">
      <c r="A753" s="42"/>
      <c r="B753" s="42"/>
      <c r="C753" s="42"/>
      <c r="D753" s="28" t="str">
        <f aca="false">IF(OR($B753="",$C753=""),"",$C753*IFERROR(INDEX(Setup!$C$47:$C$56,MATCH($B753,Setup!$A$47:$A$56,0)),IFERROR(INDEX(Setup!$C$60:$C$89,MATCH($B753,Setup!$A$60:$A$89,0)),"")))</f>
        <v/>
      </c>
      <c r="E753" s="42"/>
      <c r="F753" s="42"/>
    </row>
    <row r="754" customFormat="false" ht="15" hidden="false" customHeight="true" outlineLevel="0" collapsed="false">
      <c r="A754" s="42"/>
      <c r="B754" s="42"/>
      <c r="C754" s="42"/>
      <c r="D754" s="28" t="str">
        <f aca="false">IF(OR($B754="",$C754=""),"",$C754*IFERROR(INDEX(Setup!$C$47:$C$56,MATCH($B754,Setup!$A$47:$A$56,0)),IFERROR(INDEX(Setup!$C$60:$C$89,MATCH($B754,Setup!$A$60:$A$89,0)),"")))</f>
        <v/>
      </c>
      <c r="E754" s="42"/>
      <c r="F754" s="42"/>
    </row>
    <row r="755" customFormat="false" ht="15" hidden="false" customHeight="true" outlineLevel="0" collapsed="false">
      <c r="A755" s="42"/>
      <c r="B755" s="42"/>
      <c r="C755" s="42"/>
      <c r="D755" s="28" t="str">
        <f aca="false">IF(OR($B755="",$C755=""),"",$C755*IFERROR(INDEX(Setup!$C$47:$C$56,MATCH($B755,Setup!$A$47:$A$56,0)),IFERROR(INDEX(Setup!$C$60:$C$89,MATCH($B755,Setup!$A$60:$A$89,0)),"")))</f>
        <v/>
      </c>
      <c r="E755" s="42"/>
      <c r="F755" s="42"/>
    </row>
    <row r="756" customFormat="false" ht="15" hidden="false" customHeight="true" outlineLevel="0" collapsed="false">
      <c r="A756" s="42"/>
      <c r="B756" s="42"/>
      <c r="C756" s="42"/>
      <c r="D756" s="28" t="str">
        <f aca="false">IF(OR($B756="",$C756=""),"",$C756*IFERROR(INDEX(Setup!$C$47:$C$56,MATCH($B756,Setup!$A$47:$A$56,0)),IFERROR(INDEX(Setup!$C$60:$C$89,MATCH($B756,Setup!$A$60:$A$89,0)),"")))</f>
        <v/>
      </c>
      <c r="E756" s="42"/>
      <c r="F756" s="42"/>
    </row>
    <row r="757" customFormat="false" ht="15" hidden="false" customHeight="true" outlineLevel="0" collapsed="false">
      <c r="A757" s="42"/>
      <c r="B757" s="42"/>
      <c r="C757" s="42"/>
      <c r="D757" s="28" t="str">
        <f aca="false">IF(OR($B757="",$C757=""),"",$C757*IFERROR(INDEX(Setup!$C$47:$C$56,MATCH($B757,Setup!$A$47:$A$56,0)),IFERROR(INDEX(Setup!$C$60:$C$89,MATCH($B757,Setup!$A$60:$A$89,0)),"")))</f>
        <v/>
      </c>
      <c r="E757" s="42"/>
      <c r="F757" s="42"/>
    </row>
    <row r="758" customFormat="false" ht="15" hidden="false" customHeight="true" outlineLevel="0" collapsed="false">
      <c r="A758" s="42"/>
      <c r="B758" s="42"/>
      <c r="C758" s="42"/>
      <c r="D758" s="28" t="str">
        <f aca="false">IF(OR($B758="",$C758=""),"",$C758*IFERROR(INDEX(Setup!$C$47:$C$56,MATCH($B758,Setup!$A$47:$A$56,0)),IFERROR(INDEX(Setup!$C$60:$C$89,MATCH($B758,Setup!$A$60:$A$89,0)),"")))</f>
        <v/>
      </c>
      <c r="E758" s="42"/>
      <c r="F758" s="42"/>
    </row>
    <row r="759" customFormat="false" ht="15" hidden="false" customHeight="true" outlineLevel="0" collapsed="false">
      <c r="A759" s="42"/>
      <c r="B759" s="42"/>
      <c r="C759" s="42"/>
      <c r="D759" s="28" t="str">
        <f aca="false">IF(OR($B759="",$C759=""),"",$C759*IFERROR(INDEX(Setup!$C$47:$C$56,MATCH($B759,Setup!$A$47:$A$56,0)),IFERROR(INDEX(Setup!$C$60:$C$89,MATCH($B759,Setup!$A$60:$A$89,0)),"")))</f>
        <v/>
      </c>
      <c r="E759" s="42"/>
      <c r="F759" s="42"/>
    </row>
    <row r="760" customFormat="false" ht="15" hidden="false" customHeight="true" outlineLevel="0" collapsed="false">
      <c r="A760" s="42"/>
      <c r="B760" s="42"/>
      <c r="C760" s="42"/>
      <c r="D760" s="28" t="str">
        <f aca="false">IF(OR($B760="",$C760=""),"",$C760*IFERROR(INDEX(Setup!$C$47:$C$56,MATCH($B760,Setup!$A$47:$A$56,0)),IFERROR(INDEX(Setup!$C$60:$C$89,MATCH($B760,Setup!$A$60:$A$89,0)),"")))</f>
        <v/>
      </c>
      <c r="E760" s="42"/>
      <c r="F760" s="42"/>
    </row>
    <row r="761" customFormat="false" ht="15" hidden="false" customHeight="true" outlineLevel="0" collapsed="false">
      <c r="A761" s="42"/>
      <c r="B761" s="42"/>
      <c r="C761" s="42"/>
      <c r="D761" s="28" t="str">
        <f aca="false">IF(OR($B761="",$C761=""),"",$C761*IFERROR(INDEX(Setup!$C$47:$C$56,MATCH($B761,Setup!$A$47:$A$56,0)),IFERROR(INDEX(Setup!$C$60:$C$89,MATCH($B761,Setup!$A$60:$A$89,0)),"")))</f>
        <v/>
      </c>
      <c r="E761" s="42"/>
      <c r="F761" s="42"/>
    </row>
    <row r="762" customFormat="false" ht="15" hidden="false" customHeight="true" outlineLevel="0" collapsed="false">
      <c r="A762" s="42"/>
      <c r="B762" s="42"/>
      <c r="C762" s="42"/>
      <c r="D762" s="28" t="str">
        <f aca="false">IF(OR($B762="",$C762=""),"",$C762*IFERROR(INDEX(Setup!$C$47:$C$56,MATCH($B762,Setup!$A$47:$A$56,0)),IFERROR(INDEX(Setup!$C$60:$C$89,MATCH($B762,Setup!$A$60:$A$89,0)),"")))</f>
        <v/>
      </c>
      <c r="E762" s="42"/>
      <c r="F762" s="42"/>
    </row>
    <row r="763" customFormat="false" ht="15" hidden="false" customHeight="true" outlineLevel="0" collapsed="false">
      <c r="A763" s="42"/>
      <c r="B763" s="42"/>
      <c r="C763" s="42"/>
      <c r="D763" s="28" t="str">
        <f aca="false">IF(OR($B763="",$C763=""),"",$C763*IFERROR(INDEX(Setup!$C$47:$C$56,MATCH($B763,Setup!$A$47:$A$56,0)),IFERROR(INDEX(Setup!$C$60:$C$89,MATCH($B763,Setup!$A$60:$A$89,0)),"")))</f>
        <v/>
      </c>
      <c r="E763" s="42"/>
      <c r="F763" s="42"/>
    </row>
    <row r="764" customFormat="false" ht="15" hidden="false" customHeight="true" outlineLevel="0" collapsed="false">
      <c r="A764" s="42"/>
      <c r="B764" s="42"/>
      <c r="C764" s="42"/>
      <c r="D764" s="28" t="str">
        <f aca="false">IF(OR($B764="",$C764=""),"",$C764*IFERROR(INDEX(Setup!$C$47:$C$56,MATCH($B764,Setup!$A$47:$A$56,0)),IFERROR(INDEX(Setup!$C$60:$C$89,MATCH($B764,Setup!$A$60:$A$89,0)),"")))</f>
        <v/>
      </c>
      <c r="E764" s="42"/>
      <c r="F764" s="42"/>
    </row>
    <row r="765" customFormat="false" ht="15" hidden="false" customHeight="true" outlineLevel="0" collapsed="false">
      <c r="A765" s="42"/>
      <c r="B765" s="42"/>
      <c r="C765" s="42"/>
      <c r="D765" s="28" t="str">
        <f aca="false">IF(OR($B765="",$C765=""),"",$C765*IFERROR(INDEX(Setup!$C$47:$C$56,MATCH($B765,Setup!$A$47:$A$56,0)),IFERROR(INDEX(Setup!$C$60:$C$89,MATCH($B765,Setup!$A$60:$A$89,0)),"")))</f>
        <v/>
      </c>
      <c r="E765" s="42"/>
      <c r="F765" s="42"/>
    </row>
    <row r="766" customFormat="false" ht="15" hidden="false" customHeight="true" outlineLevel="0" collapsed="false">
      <c r="A766" s="42"/>
      <c r="B766" s="42"/>
      <c r="C766" s="42"/>
      <c r="D766" s="28" t="str">
        <f aca="false">IF(OR($B766="",$C766=""),"",$C766*IFERROR(INDEX(Setup!$C$47:$C$56,MATCH($B766,Setup!$A$47:$A$56,0)),IFERROR(INDEX(Setup!$C$60:$C$89,MATCH($B766,Setup!$A$60:$A$89,0)),"")))</f>
        <v/>
      </c>
      <c r="E766" s="42"/>
      <c r="F766" s="42"/>
    </row>
    <row r="767" customFormat="false" ht="15" hidden="false" customHeight="true" outlineLevel="0" collapsed="false">
      <c r="A767" s="42"/>
      <c r="B767" s="42"/>
      <c r="C767" s="42"/>
      <c r="D767" s="28" t="str">
        <f aca="false">IF(OR($B767="",$C767=""),"",$C767*IFERROR(INDEX(Setup!$C$47:$C$56,MATCH($B767,Setup!$A$47:$A$56,0)),IFERROR(INDEX(Setup!$C$60:$C$89,MATCH($B767,Setup!$A$60:$A$89,0)),"")))</f>
        <v/>
      </c>
      <c r="E767" s="42"/>
      <c r="F767" s="42"/>
    </row>
    <row r="768" customFormat="false" ht="15" hidden="false" customHeight="true" outlineLevel="0" collapsed="false">
      <c r="A768" s="42"/>
      <c r="B768" s="42"/>
      <c r="C768" s="42"/>
      <c r="D768" s="28" t="str">
        <f aca="false">IF(OR($B768="",$C768=""),"",$C768*IFERROR(INDEX(Setup!$C$47:$C$56,MATCH($B768,Setup!$A$47:$A$56,0)),IFERROR(INDEX(Setup!$C$60:$C$89,MATCH($B768,Setup!$A$60:$A$89,0)),"")))</f>
        <v/>
      </c>
      <c r="E768" s="42"/>
      <c r="F768" s="42"/>
    </row>
    <row r="769" customFormat="false" ht="15" hidden="false" customHeight="true" outlineLevel="0" collapsed="false">
      <c r="A769" s="42"/>
      <c r="B769" s="42"/>
      <c r="C769" s="42"/>
      <c r="D769" s="28" t="str">
        <f aca="false">IF(OR($B769="",$C769=""),"",$C769*IFERROR(INDEX(Setup!$C$47:$C$56,MATCH($B769,Setup!$A$47:$A$56,0)),IFERROR(INDEX(Setup!$C$60:$C$89,MATCH($B769,Setup!$A$60:$A$89,0)),"")))</f>
        <v/>
      </c>
      <c r="E769" s="42"/>
      <c r="F769" s="42"/>
    </row>
    <row r="770" customFormat="false" ht="15" hidden="false" customHeight="true" outlineLevel="0" collapsed="false">
      <c r="A770" s="42"/>
      <c r="B770" s="42"/>
      <c r="C770" s="42"/>
      <c r="D770" s="28" t="str">
        <f aca="false">IF(OR($B770="",$C770=""),"",$C770*IFERROR(INDEX(Setup!$C$47:$C$56,MATCH($B770,Setup!$A$47:$A$56,0)),IFERROR(INDEX(Setup!$C$60:$C$89,MATCH($B770,Setup!$A$60:$A$89,0)),"")))</f>
        <v/>
      </c>
      <c r="E770" s="42"/>
      <c r="F770" s="42"/>
    </row>
    <row r="771" customFormat="false" ht="15" hidden="false" customHeight="true" outlineLevel="0" collapsed="false">
      <c r="A771" s="42"/>
      <c r="B771" s="42"/>
      <c r="C771" s="42"/>
      <c r="D771" s="28" t="str">
        <f aca="false">IF(OR($B771="",$C771=""),"",$C771*IFERROR(INDEX(Setup!$C$47:$C$56,MATCH($B771,Setup!$A$47:$A$56,0)),IFERROR(INDEX(Setup!$C$60:$C$89,MATCH($B771,Setup!$A$60:$A$89,0)),"")))</f>
        <v/>
      </c>
      <c r="E771" s="42"/>
      <c r="F771" s="42"/>
    </row>
    <row r="772" customFormat="false" ht="15" hidden="false" customHeight="true" outlineLevel="0" collapsed="false">
      <c r="A772" s="42"/>
      <c r="B772" s="42"/>
      <c r="C772" s="42"/>
      <c r="D772" s="28" t="str">
        <f aca="false">IF(OR($B772="",$C772=""),"",$C772*IFERROR(INDEX(Setup!$C$47:$C$56,MATCH($B772,Setup!$A$47:$A$56,0)),IFERROR(INDEX(Setup!$C$60:$C$89,MATCH($B772,Setup!$A$60:$A$89,0)),"")))</f>
        <v/>
      </c>
      <c r="E772" s="42"/>
      <c r="F772" s="42"/>
    </row>
    <row r="773" customFormat="false" ht="15" hidden="false" customHeight="true" outlineLevel="0" collapsed="false">
      <c r="A773" s="42"/>
      <c r="B773" s="42"/>
      <c r="C773" s="42"/>
      <c r="D773" s="28" t="str">
        <f aca="false">IF(OR($B773="",$C773=""),"",$C773*IFERROR(INDEX(Setup!$C$47:$C$56,MATCH($B773,Setup!$A$47:$A$56,0)),IFERROR(INDEX(Setup!$C$60:$C$89,MATCH($B773,Setup!$A$60:$A$89,0)),"")))</f>
        <v/>
      </c>
      <c r="E773" s="42"/>
      <c r="F773" s="42"/>
    </row>
    <row r="774" customFormat="false" ht="15" hidden="false" customHeight="true" outlineLevel="0" collapsed="false">
      <c r="A774" s="42"/>
      <c r="B774" s="42"/>
      <c r="C774" s="42"/>
      <c r="D774" s="28" t="str">
        <f aca="false">IF(OR($B774="",$C774=""),"",$C774*IFERROR(INDEX(Setup!$C$47:$C$56,MATCH($B774,Setup!$A$47:$A$56,0)),IFERROR(INDEX(Setup!$C$60:$C$89,MATCH($B774,Setup!$A$60:$A$89,0)),"")))</f>
        <v/>
      </c>
      <c r="E774" s="42"/>
      <c r="F774" s="42"/>
    </row>
    <row r="775" customFormat="false" ht="15" hidden="false" customHeight="true" outlineLevel="0" collapsed="false">
      <c r="A775" s="42"/>
      <c r="B775" s="42"/>
      <c r="C775" s="42"/>
      <c r="D775" s="28" t="str">
        <f aca="false">IF(OR($B775="",$C775=""),"",$C775*IFERROR(INDEX(Setup!$C$47:$C$56,MATCH($B775,Setup!$A$47:$A$56,0)),IFERROR(INDEX(Setup!$C$60:$C$89,MATCH($B775,Setup!$A$60:$A$89,0)),"")))</f>
        <v/>
      </c>
      <c r="E775" s="42"/>
      <c r="F775" s="42"/>
    </row>
    <row r="776" customFormat="false" ht="15" hidden="false" customHeight="true" outlineLevel="0" collapsed="false">
      <c r="A776" s="42"/>
      <c r="B776" s="42"/>
      <c r="C776" s="42"/>
      <c r="D776" s="28" t="str">
        <f aca="false">IF(OR($B776="",$C776=""),"",$C776*IFERROR(INDEX(Setup!$C$47:$C$56,MATCH($B776,Setup!$A$47:$A$56,0)),IFERROR(INDEX(Setup!$C$60:$C$89,MATCH($B776,Setup!$A$60:$A$89,0)),"")))</f>
        <v/>
      </c>
      <c r="E776" s="42"/>
      <c r="F776" s="42"/>
    </row>
    <row r="777" customFormat="false" ht="15" hidden="false" customHeight="true" outlineLevel="0" collapsed="false">
      <c r="A777" s="42"/>
      <c r="B777" s="42"/>
      <c r="C777" s="42"/>
      <c r="D777" s="28" t="str">
        <f aca="false">IF(OR($B777="",$C777=""),"",$C777*IFERROR(INDEX(Setup!$C$47:$C$56,MATCH($B777,Setup!$A$47:$A$56,0)),IFERROR(INDEX(Setup!$C$60:$C$89,MATCH($B777,Setup!$A$60:$A$89,0)),"")))</f>
        <v/>
      </c>
      <c r="E777" s="42"/>
      <c r="F777" s="42"/>
    </row>
    <row r="778" customFormat="false" ht="15" hidden="false" customHeight="true" outlineLevel="0" collapsed="false">
      <c r="A778" s="42"/>
      <c r="B778" s="42"/>
      <c r="C778" s="42"/>
      <c r="D778" s="28" t="str">
        <f aca="false">IF(OR($B778="",$C778=""),"",$C778*IFERROR(INDEX(Setup!$C$47:$C$56,MATCH($B778,Setup!$A$47:$A$56,0)),IFERROR(INDEX(Setup!$C$60:$C$89,MATCH($B778,Setup!$A$60:$A$89,0)),"")))</f>
        <v/>
      </c>
      <c r="E778" s="42"/>
      <c r="F778" s="42"/>
    </row>
    <row r="779" customFormat="false" ht="15" hidden="false" customHeight="true" outlineLevel="0" collapsed="false">
      <c r="A779" s="42"/>
      <c r="B779" s="42"/>
      <c r="C779" s="42"/>
      <c r="D779" s="28" t="str">
        <f aca="false">IF(OR($B779="",$C779=""),"",$C779*IFERROR(INDEX(Setup!$C$47:$C$56,MATCH($B779,Setup!$A$47:$A$56,0)),IFERROR(INDEX(Setup!$C$60:$C$89,MATCH($B779,Setup!$A$60:$A$89,0)),"")))</f>
        <v/>
      </c>
      <c r="E779" s="42"/>
      <c r="F779" s="42"/>
    </row>
    <row r="780" customFormat="false" ht="15" hidden="false" customHeight="true" outlineLevel="0" collapsed="false">
      <c r="A780" s="42"/>
      <c r="B780" s="42"/>
      <c r="C780" s="42"/>
      <c r="D780" s="28" t="str">
        <f aca="false">IF(OR($B780="",$C780=""),"",$C780*IFERROR(INDEX(Setup!$C$47:$C$56,MATCH($B780,Setup!$A$47:$A$56,0)),IFERROR(INDEX(Setup!$C$60:$C$89,MATCH($B780,Setup!$A$60:$A$89,0)),"")))</f>
        <v/>
      </c>
      <c r="E780" s="42"/>
      <c r="F780" s="42"/>
    </row>
    <row r="781" customFormat="false" ht="15" hidden="false" customHeight="true" outlineLevel="0" collapsed="false">
      <c r="A781" s="42"/>
      <c r="B781" s="42"/>
      <c r="C781" s="42"/>
      <c r="D781" s="28" t="str">
        <f aca="false">IF(OR($B781="",$C781=""),"",$C781*IFERROR(INDEX(Setup!$C$47:$C$56,MATCH($B781,Setup!$A$47:$A$56,0)),IFERROR(INDEX(Setup!$C$60:$C$89,MATCH($B781,Setup!$A$60:$A$89,0)),"")))</f>
        <v/>
      </c>
      <c r="E781" s="42"/>
      <c r="F781" s="42"/>
    </row>
    <row r="782" customFormat="false" ht="15" hidden="false" customHeight="true" outlineLevel="0" collapsed="false">
      <c r="A782" s="42"/>
      <c r="B782" s="42"/>
      <c r="C782" s="42"/>
      <c r="D782" s="28" t="str">
        <f aca="false">IF(OR($B782="",$C782=""),"",$C782*IFERROR(INDEX(Setup!$C$47:$C$56,MATCH($B782,Setup!$A$47:$A$56,0)),IFERROR(INDEX(Setup!$C$60:$C$89,MATCH($B782,Setup!$A$60:$A$89,0)),"")))</f>
        <v/>
      </c>
      <c r="E782" s="42"/>
      <c r="F782" s="42"/>
    </row>
    <row r="783" customFormat="false" ht="15" hidden="false" customHeight="true" outlineLevel="0" collapsed="false">
      <c r="A783" s="42"/>
      <c r="B783" s="42"/>
      <c r="C783" s="42"/>
      <c r="D783" s="28" t="str">
        <f aca="false">IF(OR($B783="",$C783=""),"",$C783*IFERROR(INDEX(Setup!$C$47:$C$56,MATCH($B783,Setup!$A$47:$A$56,0)),IFERROR(INDEX(Setup!$C$60:$C$89,MATCH($B783,Setup!$A$60:$A$89,0)),"")))</f>
        <v/>
      </c>
      <c r="E783" s="42"/>
      <c r="F783" s="42"/>
    </row>
    <row r="784" customFormat="false" ht="15" hidden="false" customHeight="true" outlineLevel="0" collapsed="false">
      <c r="A784" s="42"/>
      <c r="B784" s="42"/>
      <c r="C784" s="42"/>
      <c r="D784" s="28" t="str">
        <f aca="false">IF(OR($B784="",$C784=""),"",$C784*IFERROR(INDEX(Setup!$C$47:$C$56,MATCH($B784,Setup!$A$47:$A$56,0)),IFERROR(INDEX(Setup!$C$60:$C$89,MATCH($B784,Setup!$A$60:$A$89,0)),"")))</f>
        <v/>
      </c>
      <c r="E784" s="42"/>
      <c r="F784" s="42"/>
    </row>
    <row r="785" customFormat="false" ht="15" hidden="false" customHeight="true" outlineLevel="0" collapsed="false">
      <c r="A785" s="42"/>
      <c r="B785" s="42"/>
      <c r="C785" s="42"/>
      <c r="D785" s="28" t="str">
        <f aca="false">IF(OR($B785="",$C785=""),"",$C785*IFERROR(INDEX(Setup!$C$47:$C$56,MATCH($B785,Setup!$A$47:$A$56,0)),IFERROR(INDEX(Setup!$C$60:$C$89,MATCH($B785,Setup!$A$60:$A$89,0)),"")))</f>
        <v/>
      </c>
      <c r="E785" s="42"/>
      <c r="F785" s="42"/>
    </row>
    <row r="786" customFormat="false" ht="15" hidden="false" customHeight="true" outlineLevel="0" collapsed="false">
      <c r="A786" s="42"/>
      <c r="B786" s="42"/>
      <c r="C786" s="42"/>
      <c r="D786" s="28" t="str">
        <f aca="false">IF(OR($B786="",$C786=""),"",$C786*IFERROR(INDEX(Setup!$C$47:$C$56,MATCH($B786,Setup!$A$47:$A$56,0)),IFERROR(INDEX(Setup!$C$60:$C$89,MATCH($B786,Setup!$A$60:$A$89,0)),"")))</f>
        <v/>
      </c>
      <c r="E786" s="42"/>
      <c r="F786" s="42"/>
    </row>
    <row r="787" customFormat="false" ht="15" hidden="false" customHeight="true" outlineLevel="0" collapsed="false">
      <c r="A787" s="42"/>
      <c r="B787" s="42"/>
      <c r="C787" s="42"/>
      <c r="D787" s="28" t="str">
        <f aca="false">IF(OR($B787="",$C787=""),"",$C787*IFERROR(INDEX(Setup!$C$47:$C$56,MATCH($B787,Setup!$A$47:$A$56,0)),IFERROR(INDEX(Setup!$C$60:$C$89,MATCH($B787,Setup!$A$60:$A$89,0)),"")))</f>
        <v/>
      </c>
      <c r="E787" s="42"/>
      <c r="F787" s="42"/>
    </row>
    <row r="788" customFormat="false" ht="15" hidden="false" customHeight="true" outlineLevel="0" collapsed="false">
      <c r="A788" s="42"/>
      <c r="B788" s="42"/>
      <c r="C788" s="42"/>
      <c r="D788" s="28" t="str">
        <f aca="false">IF(OR($B788="",$C788=""),"",$C788*IFERROR(INDEX(Setup!$C$47:$C$56,MATCH($B788,Setup!$A$47:$A$56,0)),IFERROR(INDEX(Setup!$C$60:$C$89,MATCH($B788,Setup!$A$60:$A$89,0)),"")))</f>
        <v/>
      </c>
      <c r="E788" s="42"/>
      <c r="F788" s="42"/>
    </row>
    <row r="789" customFormat="false" ht="15" hidden="false" customHeight="true" outlineLevel="0" collapsed="false">
      <c r="A789" s="42"/>
      <c r="B789" s="42"/>
      <c r="C789" s="42"/>
      <c r="D789" s="28" t="str">
        <f aca="false">IF(OR($B789="",$C789=""),"",$C789*IFERROR(INDEX(Setup!$C$47:$C$56,MATCH($B789,Setup!$A$47:$A$56,0)),IFERROR(INDEX(Setup!$C$60:$C$89,MATCH($B789,Setup!$A$60:$A$89,0)),"")))</f>
        <v/>
      </c>
      <c r="E789" s="42"/>
      <c r="F789" s="42"/>
    </row>
    <row r="790" customFormat="false" ht="15" hidden="false" customHeight="true" outlineLevel="0" collapsed="false">
      <c r="A790" s="42"/>
      <c r="B790" s="42"/>
      <c r="C790" s="42"/>
      <c r="D790" s="28" t="str">
        <f aca="false">IF(OR($B790="",$C790=""),"",$C790*IFERROR(INDEX(Setup!$C$47:$C$56,MATCH($B790,Setup!$A$47:$A$56,0)),IFERROR(INDEX(Setup!$C$60:$C$89,MATCH($B790,Setup!$A$60:$A$89,0)),"")))</f>
        <v/>
      </c>
      <c r="E790" s="42"/>
      <c r="F790" s="42"/>
    </row>
    <row r="791" customFormat="false" ht="15" hidden="false" customHeight="true" outlineLevel="0" collapsed="false">
      <c r="A791" s="42"/>
      <c r="B791" s="42"/>
      <c r="C791" s="42"/>
      <c r="D791" s="28" t="str">
        <f aca="false">IF(OR($B791="",$C791=""),"",$C791*IFERROR(INDEX(Setup!$C$47:$C$56,MATCH($B791,Setup!$A$47:$A$56,0)),IFERROR(INDEX(Setup!$C$60:$C$89,MATCH($B791,Setup!$A$60:$A$89,0)),"")))</f>
        <v/>
      </c>
      <c r="E791" s="42"/>
      <c r="F791" s="42"/>
    </row>
    <row r="792" customFormat="false" ht="15" hidden="false" customHeight="true" outlineLevel="0" collapsed="false">
      <c r="A792" s="42"/>
      <c r="B792" s="42"/>
      <c r="C792" s="42"/>
      <c r="D792" s="28" t="str">
        <f aca="false">IF(OR($B792="",$C792=""),"",$C792*IFERROR(INDEX(Setup!$C$47:$C$56,MATCH($B792,Setup!$A$47:$A$56,0)),IFERROR(INDEX(Setup!$C$60:$C$89,MATCH($B792,Setup!$A$60:$A$89,0)),"")))</f>
        <v/>
      </c>
      <c r="E792" s="42"/>
      <c r="F792" s="42"/>
    </row>
    <row r="793" customFormat="false" ht="15" hidden="false" customHeight="true" outlineLevel="0" collapsed="false">
      <c r="A793" s="42"/>
      <c r="B793" s="42"/>
      <c r="C793" s="42"/>
      <c r="D793" s="28" t="str">
        <f aca="false">IF(OR($B793="",$C793=""),"",$C793*IFERROR(INDEX(Setup!$C$47:$C$56,MATCH($B793,Setup!$A$47:$A$56,0)),IFERROR(INDEX(Setup!$C$60:$C$89,MATCH($B793,Setup!$A$60:$A$89,0)),"")))</f>
        <v/>
      </c>
      <c r="E793" s="42"/>
      <c r="F793" s="42"/>
    </row>
    <row r="794" customFormat="false" ht="15" hidden="false" customHeight="true" outlineLevel="0" collapsed="false">
      <c r="A794" s="42"/>
      <c r="B794" s="42"/>
      <c r="C794" s="42"/>
      <c r="D794" s="28" t="str">
        <f aca="false">IF(OR($B794="",$C794=""),"",$C794*IFERROR(INDEX(Setup!$C$47:$C$56,MATCH($B794,Setup!$A$47:$A$56,0)),IFERROR(INDEX(Setup!$C$60:$C$89,MATCH($B794,Setup!$A$60:$A$89,0)),"")))</f>
        <v/>
      </c>
      <c r="E794" s="42"/>
      <c r="F794" s="42"/>
    </row>
    <row r="795" customFormat="false" ht="15" hidden="false" customHeight="true" outlineLevel="0" collapsed="false">
      <c r="A795" s="42"/>
      <c r="B795" s="42"/>
      <c r="C795" s="42"/>
      <c r="D795" s="28" t="str">
        <f aca="false">IF(OR($B795="",$C795=""),"",$C795*IFERROR(INDEX(Setup!$C$47:$C$56,MATCH($B795,Setup!$A$47:$A$56,0)),IFERROR(INDEX(Setup!$C$60:$C$89,MATCH($B795,Setup!$A$60:$A$89,0)),"")))</f>
        <v/>
      </c>
      <c r="E795" s="42"/>
      <c r="F795" s="42"/>
    </row>
    <row r="796" customFormat="false" ht="15" hidden="false" customHeight="true" outlineLevel="0" collapsed="false">
      <c r="A796" s="42"/>
      <c r="B796" s="42"/>
      <c r="C796" s="42"/>
      <c r="D796" s="28" t="str">
        <f aca="false">IF(OR($B796="",$C796=""),"",$C796*IFERROR(INDEX(Setup!$C$47:$C$56,MATCH($B796,Setup!$A$47:$A$56,0)),IFERROR(INDEX(Setup!$C$60:$C$89,MATCH($B796,Setup!$A$60:$A$89,0)),"")))</f>
        <v/>
      </c>
      <c r="E796" s="42"/>
      <c r="F796" s="42"/>
    </row>
    <row r="797" customFormat="false" ht="15" hidden="false" customHeight="true" outlineLevel="0" collapsed="false">
      <c r="A797" s="42"/>
      <c r="B797" s="42"/>
      <c r="C797" s="42"/>
      <c r="D797" s="28" t="str">
        <f aca="false">IF(OR($B797="",$C797=""),"",$C797*IFERROR(INDEX(Setup!$C$47:$C$56,MATCH($B797,Setup!$A$47:$A$56,0)),IFERROR(INDEX(Setup!$C$60:$C$89,MATCH($B797,Setup!$A$60:$A$89,0)),"")))</f>
        <v/>
      </c>
      <c r="E797" s="42"/>
      <c r="F797" s="42"/>
    </row>
    <row r="798" customFormat="false" ht="15" hidden="false" customHeight="true" outlineLevel="0" collapsed="false">
      <c r="A798" s="42"/>
      <c r="B798" s="42"/>
      <c r="C798" s="42"/>
      <c r="D798" s="28" t="str">
        <f aca="false">IF(OR($B798="",$C798=""),"",$C798*IFERROR(INDEX(Setup!$C$47:$C$56,MATCH($B798,Setup!$A$47:$A$56,0)),IFERROR(INDEX(Setup!$C$60:$C$89,MATCH($B798,Setup!$A$60:$A$89,0)),"")))</f>
        <v/>
      </c>
      <c r="E798" s="42"/>
      <c r="F798" s="42"/>
    </row>
    <row r="799" customFormat="false" ht="15" hidden="false" customHeight="true" outlineLevel="0" collapsed="false">
      <c r="A799" s="42"/>
      <c r="B799" s="42"/>
      <c r="C799" s="42"/>
      <c r="D799" s="28" t="str">
        <f aca="false">IF(OR($B799="",$C799=""),"",$C799*IFERROR(INDEX(Setup!$C$47:$C$56,MATCH($B799,Setup!$A$47:$A$56,0)),IFERROR(INDEX(Setup!$C$60:$C$89,MATCH($B799,Setup!$A$60:$A$89,0)),"")))</f>
        <v/>
      </c>
      <c r="E799" s="42"/>
      <c r="F799" s="42"/>
    </row>
    <row r="800" customFormat="false" ht="15" hidden="false" customHeight="true" outlineLevel="0" collapsed="false">
      <c r="A800" s="42"/>
      <c r="B800" s="42"/>
      <c r="C800" s="42"/>
      <c r="D800" s="28" t="str">
        <f aca="false">IF(OR($B800="",$C800=""),"",$C800*IFERROR(INDEX(Setup!$C$47:$C$56,MATCH($B800,Setup!$A$47:$A$56,0)),IFERROR(INDEX(Setup!$C$60:$C$89,MATCH($B800,Setup!$A$60:$A$89,0)),"")))</f>
        <v/>
      </c>
      <c r="E800" s="42"/>
      <c r="F800" s="42"/>
    </row>
    <row r="801" customFormat="false" ht="15" hidden="false" customHeight="true" outlineLevel="0" collapsed="false">
      <c r="A801" s="42"/>
      <c r="B801" s="42"/>
      <c r="C801" s="42"/>
      <c r="D801" s="28" t="str">
        <f aca="false">IF(OR($B801="",$C801=""),"",$C801*IFERROR(INDEX(Setup!$C$47:$C$56,MATCH($B801,Setup!$A$47:$A$56,0)),IFERROR(INDEX(Setup!$C$60:$C$89,MATCH($B801,Setup!$A$60:$A$89,0)),"")))</f>
        <v/>
      </c>
      <c r="E801" s="42"/>
      <c r="F801" s="42"/>
    </row>
    <row r="802" customFormat="false" ht="15" hidden="false" customHeight="true" outlineLevel="0" collapsed="false">
      <c r="A802" s="42"/>
      <c r="B802" s="42"/>
      <c r="C802" s="42"/>
      <c r="D802" s="28" t="str">
        <f aca="false">IF(OR($B802="",$C802=""),"",$C802*IFERROR(INDEX(Setup!$C$47:$C$56,MATCH($B802,Setup!$A$47:$A$56,0)),IFERROR(INDEX(Setup!$C$60:$C$89,MATCH($B802,Setup!$A$60:$A$89,0)),"")))</f>
        <v/>
      </c>
      <c r="E802" s="42"/>
      <c r="F802" s="42"/>
    </row>
    <row r="803" customFormat="false" ht="15" hidden="false" customHeight="true" outlineLevel="0" collapsed="false">
      <c r="A803" s="42"/>
      <c r="B803" s="42"/>
      <c r="C803" s="42"/>
      <c r="D803" s="28" t="str">
        <f aca="false">IF(OR($B803="",$C803=""),"",$C803*IFERROR(INDEX(Setup!$C$47:$C$56,MATCH($B803,Setup!$A$47:$A$56,0)),IFERROR(INDEX(Setup!$C$60:$C$89,MATCH($B803,Setup!$A$60:$A$89,0)),"")))</f>
        <v/>
      </c>
      <c r="E803" s="42"/>
      <c r="F803" s="42"/>
    </row>
    <row r="804" customFormat="false" ht="15" hidden="false" customHeight="true" outlineLevel="0" collapsed="false">
      <c r="A804" s="42"/>
      <c r="B804" s="42"/>
      <c r="C804" s="42"/>
      <c r="D804" s="28" t="str">
        <f aca="false">IF(OR($B804="",$C804=""),"",$C804*IFERROR(INDEX(Setup!$C$47:$C$56,MATCH($B804,Setup!$A$47:$A$56,0)),IFERROR(INDEX(Setup!$C$60:$C$89,MATCH($B804,Setup!$A$60:$A$89,0)),"")))</f>
        <v/>
      </c>
      <c r="E804" s="42"/>
      <c r="F804" s="42"/>
    </row>
    <row r="805" customFormat="false" ht="15" hidden="false" customHeight="true" outlineLevel="0" collapsed="false">
      <c r="A805" s="42"/>
      <c r="B805" s="42"/>
      <c r="C805" s="42"/>
      <c r="D805" s="28" t="str">
        <f aca="false">IF(OR($B805="",$C805=""),"",$C805*IFERROR(INDEX(Setup!$C$47:$C$56,MATCH($B805,Setup!$A$47:$A$56,0)),IFERROR(INDEX(Setup!$C$60:$C$89,MATCH($B805,Setup!$A$60:$A$89,0)),"")))</f>
        <v/>
      </c>
      <c r="E805" s="42"/>
      <c r="F805" s="42"/>
    </row>
    <row r="806" customFormat="false" ht="15" hidden="false" customHeight="true" outlineLevel="0" collapsed="false">
      <c r="A806" s="42"/>
      <c r="B806" s="42"/>
      <c r="C806" s="42"/>
      <c r="D806" s="28" t="str">
        <f aca="false">IF(OR($B806="",$C806=""),"",$C806*IFERROR(INDEX(Setup!$C$47:$C$56,MATCH($B806,Setup!$A$47:$A$56,0)),IFERROR(INDEX(Setup!$C$60:$C$89,MATCH($B806,Setup!$A$60:$A$89,0)),"")))</f>
        <v/>
      </c>
      <c r="E806" s="42"/>
      <c r="F806" s="42"/>
    </row>
    <row r="807" customFormat="false" ht="15" hidden="false" customHeight="true" outlineLevel="0" collapsed="false">
      <c r="A807" s="42"/>
      <c r="B807" s="42"/>
      <c r="C807" s="42"/>
      <c r="D807" s="28" t="str">
        <f aca="false">IF(OR($B807="",$C807=""),"",$C807*IFERROR(INDEX(Setup!$C$47:$C$56,MATCH($B807,Setup!$A$47:$A$56,0)),IFERROR(INDEX(Setup!$C$60:$C$89,MATCH($B807,Setup!$A$60:$A$89,0)),"")))</f>
        <v/>
      </c>
      <c r="E807" s="42"/>
      <c r="F807" s="42"/>
    </row>
    <row r="808" customFormat="false" ht="15" hidden="false" customHeight="true" outlineLevel="0" collapsed="false">
      <c r="A808" s="42"/>
      <c r="B808" s="42"/>
      <c r="C808" s="42"/>
      <c r="D808" s="28" t="str">
        <f aca="false">IF(OR($B808="",$C808=""),"",$C808*IFERROR(INDEX(Setup!$C$47:$C$56,MATCH($B808,Setup!$A$47:$A$56,0)),IFERROR(INDEX(Setup!$C$60:$C$89,MATCH($B808,Setup!$A$60:$A$89,0)),"")))</f>
        <v/>
      </c>
      <c r="E808" s="42"/>
      <c r="F808" s="42"/>
    </row>
    <row r="809" customFormat="false" ht="15" hidden="false" customHeight="true" outlineLevel="0" collapsed="false">
      <c r="A809" s="42"/>
      <c r="B809" s="42"/>
      <c r="C809" s="42"/>
      <c r="D809" s="28" t="str">
        <f aca="false">IF(OR($B809="",$C809=""),"",$C809*IFERROR(INDEX(Setup!$C$47:$C$56,MATCH($B809,Setup!$A$47:$A$56,0)),IFERROR(INDEX(Setup!$C$60:$C$89,MATCH($B809,Setup!$A$60:$A$89,0)),"")))</f>
        <v/>
      </c>
      <c r="E809" s="42"/>
      <c r="F809" s="42"/>
    </row>
    <row r="810" customFormat="false" ht="15" hidden="false" customHeight="true" outlineLevel="0" collapsed="false">
      <c r="A810" s="42"/>
      <c r="B810" s="42"/>
      <c r="C810" s="42"/>
      <c r="D810" s="28" t="str">
        <f aca="false">IF(OR($B810="",$C810=""),"",$C810*IFERROR(INDEX(Setup!$C$47:$C$56,MATCH($B810,Setup!$A$47:$A$56,0)),IFERROR(INDEX(Setup!$C$60:$C$89,MATCH($B810,Setup!$A$60:$A$89,0)),"")))</f>
        <v/>
      </c>
      <c r="E810" s="42"/>
      <c r="F810" s="42"/>
    </row>
    <row r="811" customFormat="false" ht="15" hidden="false" customHeight="true" outlineLevel="0" collapsed="false">
      <c r="A811" s="42"/>
      <c r="B811" s="42"/>
      <c r="C811" s="42"/>
      <c r="D811" s="28" t="str">
        <f aca="false">IF(OR($B811="",$C811=""),"",$C811*IFERROR(INDEX(Setup!$C$47:$C$56,MATCH($B811,Setup!$A$47:$A$56,0)),IFERROR(INDEX(Setup!$C$60:$C$89,MATCH($B811,Setup!$A$60:$A$89,0)),"")))</f>
        <v/>
      </c>
      <c r="E811" s="42"/>
      <c r="F811" s="42"/>
    </row>
    <row r="812" customFormat="false" ht="15" hidden="false" customHeight="true" outlineLevel="0" collapsed="false">
      <c r="A812" s="42"/>
      <c r="B812" s="42"/>
      <c r="C812" s="42"/>
      <c r="D812" s="28" t="str">
        <f aca="false">IF(OR($B812="",$C812=""),"",$C812*IFERROR(INDEX(Setup!$C$47:$C$56,MATCH($B812,Setup!$A$47:$A$56,0)),IFERROR(INDEX(Setup!$C$60:$C$89,MATCH($B812,Setup!$A$60:$A$89,0)),"")))</f>
        <v/>
      </c>
      <c r="E812" s="42"/>
      <c r="F812" s="42"/>
    </row>
    <row r="813" customFormat="false" ht="15" hidden="false" customHeight="true" outlineLevel="0" collapsed="false">
      <c r="A813" s="42"/>
      <c r="B813" s="42"/>
      <c r="C813" s="42"/>
      <c r="D813" s="28" t="str">
        <f aca="false">IF(OR($B813="",$C813=""),"",$C813*IFERROR(INDEX(Setup!$C$47:$C$56,MATCH($B813,Setup!$A$47:$A$56,0)),IFERROR(INDEX(Setup!$C$60:$C$89,MATCH($B813,Setup!$A$60:$A$89,0)),"")))</f>
        <v/>
      </c>
      <c r="E813" s="42"/>
      <c r="F813" s="42"/>
    </row>
    <row r="814" customFormat="false" ht="15" hidden="false" customHeight="true" outlineLevel="0" collapsed="false">
      <c r="A814" s="42"/>
      <c r="B814" s="42"/>
      <c r="C814" s="42"/>
      <c r="D814" s="28" t="str">
        <f aca="false">IF(OR($B814="",$C814=""),"",$C814*IFERROR(INDEX(Setup!$C$47:$C$56,MATCH($B814,Setup!$A$47:$A$56,0)),IFERROR(INDEX(Setup!$C$60:$C$89,MATCH($B814,Setup!$A$60:$A$89,0)),"")))</f>
        <v/>
      </c>
      <c r="E814" s="42"/>
      <c r="F814" s="42"/>
    </row>
    <row r="815" customFormat="false" ht="15" hidden="false" customHeight="true" outlineLevel="0" collapsed="false">
      <c r="A815" s="42"/>
      <c r="B815" s="42"/>
      <c r="C815" s="42"/>
      <c r="D815" s="28" t="str">
        <f aca="false">IF(OR($B815="",$C815=""),"",$C815*IFERROR(INDEX(Setup!$C$47:$C$56,MATCH($B815,Setup!$A$47:$A$56,0)),IFERROR(INDEX(Setup!$C$60:$C$89,MATCH($B815,Setup!$A$60:$A$89,0)),"")))</f>
        <v/>
      </c>
      <c r="E815" s="42"/>
      <c r="F815" s="42"/>
    </row>
    <row r="816" customFormat="false" ht="15" hidden="false" customHeight="true" outlineLevel="0" collapsed="false">
      <c r="A816" s="42"/>
      <c r="B816" s="42"/>
      <c r="C816" s="42"/>
      <c r="D816" s="28" t="str">
        <f aca="false">IF(OR($B816="",$C816=""),"",$C816*IFERROR(INDEX(Setup!$C$47:$C$56,MATCH($B816,Setup!$A$47:$A$56,0)),IFERROR(INDEX(Setup!$C$60:$C$89,MATCH($B816,Setup!$A$60:$A$89,0)),"")))</f>
        <v/>
      </c>
      <c r="E816" s="42"/>
      <c r="F816" s="42"/>
    </row>
    <row r="817" customFormat="false" ht="15" hidden="false" customHeight="true" outlineLevel="0" collapsed="false">
      <c r="A817" s="42"/>
      <c r="B817" s="42"/>
      <c r="C817" s="42"/>
      <c r="D817" s="28" t="str">
        <f aca="false">IF(OR($B817="",$C817=""),"",$C817*IFERROR(INDEX(Setup!$C$47:$C$56,MATCH($B817,Setup!$A$47:$A$56,0)),IFERROR(INDEX(Setup!$C$60:$C$89,MATCH($B817,Setup!$A$60:$A$89,0)),"")))</f>
        <v/>
      </c>
      <c r="E817" s="42"/>
      <c r="F817" s="42"/>
    </row>
    <row r="818" customFormat="false" ht="15" hidden="false" customHeight="true" outlineLevel="0" collapsed="false">
      <c r="A818" s="42"/>
      <c r="B818" s="42"/>
      <c r="C818" s="42"/>
      <c r="D818" s="28" t="str">
        <f aca="false">IF(OR($B818="",$C818=""),"",$C818*IFERROR(INDEX(Setup!$C$47:$C$56,MATCH($B818,Setup!$A$47:$A$56,0)),IFERROR(INDEX(Setup!$C$60:$C$89,MATCH($B818,Setup!$A$60:$A$89,0)),"")))</f>
        <v/>
      </c>
      <c r="E818" s="42"/>
      <c r="F818" s="42"/>
    </row>
    <row r="819" customFormat="false" ht="15" hidden="false" customHeight="true" outlineLevel="0" collapsed="false">
      <c r="A819" s="42"/>
      <c r="B819" s="42"/>
      <c r="C819" s="42"/>
      <c r="D819" s="28" t="str">
        <f aca="false">IF(OR($B819="",$C819=""),"",$C819*IFERROR(INDEX(Setup!$C$47:$C$56,MATCH($B819,Setup!$A$47:$A$56,0)),IFERROR(INDEX(Setup!$C$60:$C$89,MATCH($B819,Setup!$A$60:$A$89,0)),"")))</f>
        <v/>
      </c>
      <c r="E819" s="42"/>
      <c r="F819" s="42"/>
    </row>
    <row r="820" customFormat="false" ht="15" hidden="false" customHeight="true" outlineLevel="0" collapsed="false">
      <c r="A820" s="42"/>
      <c r="B820" s="42"/>
      <c r="C820" s="42"/>
      <c r="D820" s="28" t="str">
        <f aca="false">IF(OR($B820="",$C820=""),"",$C820*IFERROR(INDEX(Setup!$C$47:$C$56,MATCH($B820,Setup!$A$47:$A$56,0)),IFERROR(INDEX(Setup!$C$60:$C$89,MATCH($B820,Setup!$A$60:$A$89,0)),"")))</f>
        <v/>
      </c>
      <c r="E820" s="42"/>
      <c r="F820" s="42"/>
    </row>
    <row r="821" customFormat="false" ht="15" hidden="false" customHeight="true" outlineLevel="0" collapsed="false">
      <c r="A821" s="42"/>
      <c r="B821" s="42"/>
      <c r="C821" s="42"/>
      <c r="D821" s="28" t="str">
        <f aca="false">IF(OR($B821="",$C821=""),"",$C821*IFERROR(INDEX(Setup!$C$47:$C$56,MATCH($B821,Setup!$A$47:$A$56,0)),IFERROR(INDEX(Setup!$C$60:$C$89,MATCH($B821,Setup!$A$60:$A$89,0)),"")))</f>
        <v/>
      </c>
      <c r="E821" s="42"/>
      <c r="F821" s="42"/>
    </row>
    <row r="822" customFormat="false" ht="15" hidden="false" customHeight="true" outlineLevel="0" collapsed="false">
      <c r="A822" s="42"/>
      <c r="B822" s="42"/>
      <c r="C822" s="42"/>
      <c r="D822" s="28" t="str">
        <f aca="false">IF(OR($B822="",$C822=""),"",$C822*IFERROR(INDEX(Setup!$C$47:$C$56,MATCH($B822,Setup!$A$47:$A$56,0)),IFERROR(INDEX(Setup!$C$60:$C$89,MATCH($B822,Setup!$A$60:$A$89,0)),"")))</f>
        <v/>
      </c>
      <c r="E822" s="42"/>
      <c r="F822" s="42"/>
    </row>
    <row r="823" customFormat="false" ht="15" hidden="false" customHeight="true" outlineLevel="0" collapsed="false">
      <c r="A823" s="42"/>
      <c r="B823" s="42"/>
      <c r="C823" s="42"/>
      <c r="D823" s="28" t="str">
        <f aca="false">IF(OR($B823="",$C823=""),"",$C823*IFERROR(INDEX(Setup!$C$47:$C$56,MATCH($B823,Setup!$A$47:$A$56,0)),IFERROR(INDEX(Setup!$C$60:$C$89,MATCH($B823,Setup!$A$60:$A$89,0)),"")))</f>
        <v/>
      </c>
      <c r="E823" s="42"/>
      <c r="F823" s="42"/>
    </row>
    <row r="824" customFormat="false" ht="15" hidden="false" customHeight="true" outlineLevel="0" collapsed="false">
      <c r="A824" s="42"/>
      <c r="B824" s="42"/>
      <c r="C824" s="42"/>
      <c r="D824" s="28" t="str">
        <f aca="false">IF(OR($B824="",$C824=""),"",$C824*IFERROR(INDEX(Setup!$C$47:$C$56,MATCH($B824,Setup!$A$47:$A$56,0)),IFERROR(INDEX(Setup!$C$60:$C$89,MATCH($B824,Setup!$A$60:$A$89,0)),"")))</f>
        <v/>
      </c>
      <c r="E824" s="42"/>
      <c r="F824" s="42"/>
    </row>
    <row r="825" customFormat="false" ht="15" hidden="false" customHeight="true" outlineLevel="0" collapsed="false">
      <c r="A825" s="42"/>
      <c r="B825" s="42"/>
      <c r="C825" s="42"/>
      <c r="D825" s="28" t="str">
        <f aca="false">IF(OR($B825="",$C825=""),"",$C825*IFERROR(INDEX(Setup!$C$47:$C$56,MATCH($B825,Setup!$A$47:$A$56,0)),IFERROR(INDEX(Setup!$C$60:$C$89,MATCH($B825,Setup!$A$60:$A$89,0)),"")))</f>
        <v/>
      </c>
      <c r="E825" s="42"/>
      <c r="F825" s="42"/>
    </row>
    <row r="826" customFormat="false" ht="15" hidden="false" customHeight="true" outlineLevel="0" collapsed="false">
      <c r="A826" s="42"/>
      <c r="B826" s="42"/>
      <c r="C826" s="42"/>
      <c r="D826" s="28" t="str">
        <f aca="false">IF(OR($B826="",$C826=""),"",$C826*IFERROR(INDEX(Setup!$C$47:$C$56,MATCH($B826,Setup!$A$47:$A$56,0)),IFERROR(INDEX(Setup!$C$60:$C$89,MATCH($B826,Setup!$A$60:$A$89,0)),"")))</f>
        <v/>
      </c>
      <c r="E826" s="42"/>
      <c r="F826" s="42"/>
    </row>
    <row r="827" customFormat="false" ht="15" hidden="false" customHeight="true" outlineLevel="0" collapsed="false">
      <c r="A827" s="42"/>
      <c r="B827" s="42"/>
      <c r="C827" s="42"/>
      <c r="D827" s="28" t="str">
        <f aca="false">IF(OR($B827="",$C827=""),"",$C827*IFERROR(INDEX(Setup!$C$47:$C$56,MATCH($B827,Setup!$A$47:$A$56,0)),IFERROR(INDEX(Setup!$C$60:$C$89,MATCH($B827,Setup!$A$60:$A$89,0)),"")))</f>
        <v/>
      </c>
      <c r="E827" s="42"/>
      <c r="F827" s="42"/>
    </row>
    <row r="828" customFormat="false" ht="15" hidden="false" customHeight="true" outlineLevel="0" collapsed="false">
      <c r="A828" s="42"/>
      <c r="B828" s="42"/>
      <c r="C828" s="42"/>
      <c r="D828" s="28" t="str">
        <f aca="false">IF(OR($B828="",$C828=""),"",$C828*IFERROR(INDEX(Setup!$C$47:$C$56,MATCH($B828,Setup!$A$47:$A$56,0)),IFERROR(INDEX(Setup!$C$60:$C$89,MATCH($B828,Setup!$A$60:$A$89,0)),"")))</f>
        <v/>
      </c>
      <c r="E828" s="42"/>
      <c r="F828" s="42"/>
    </row>
    <row r="829" customFormat="false" ht="15" hidden="false" customHeight="true" outlineLevel="0" collapsed="false">
      <c r="A829" s="42"/>
      <c r="B829" s="42"/>
      <c r="C829" s="42"/>
      <c r="D829" s="28" t="str">
        <f aca="false">IF(OR($B829="",$C829=""),"",$C829*IFERROR(INDEX(Setup!$C$47:$C$56,MATCH($B829,Setup!$A$47:$A$56,0)),IFERROR(INDEX(Setup!$C$60:$C$89,MATCH($B829,Setup!$A$60:$A$89,0)),"")))</f>
        <v/>
      </c>
      <c r="E829" s="42"/>
      <c r="F829" s="42"/>
    </row>
    <row r="830" customFormat="false" ht="15" hidden="false" customHeight="true" outlineLevel="0" collapsed="false">
      <c r="A830" s="42"/>
      <c r="B830" s="42"/>
      <c r="C830" s="42"/>
      <c r="D830" s="28" t="str">
        <f aca="false">IF(OR($B830="",$C830=""),"",$C830*IFERROR(INDEX(Setup!$C$47:$C$56,MATCH($B830,Setup!$A$47:$A$56,0)),IFERROR(INDEX(Setup!$C$60:$C$89,MATCH($B830,Setup!$A$60:$A$89,0)),"")))</f>
        <v/>
      </c>
      <c r="E830" s="42"/>
      <c r="F830" s="42"/>
    </row>
    <row r="831" customFormat="false" ht="15" hidden="false" customHeight="true" outlineLevel="0" collapsed="false">
      <c r="A831" s="42"/>
      <c r="B831" s="42"/>
      <c r="C831" s="42"/>
      <c r="D831" s="28" t="str">
        <f aca="false">IF(OR($B831="",$C831=""),"",$C831*IFERROR(INDEX(Setup!$C$47:$C$56,MATCH($B831,Setup!$A$47:$A$56,0)),IFERROR(INDEX(Setup!$C$60:$C$89,MATCH($B831,Setup!$A$60:$A$89,0)),"")))</f>
        <v/>
      </c>
      <c r="E831" s="42"/>
      <c r="F831" s="42"/>
    </row>
    <row r="832" customFormat="false" ht="15" hidden="false" customHeight="true" outlineLevel="0" collapsed="false">
      <c r="A832" s="42"/>
      <c r="B832" s="42"/>
      <c r="C832" s="42"/>
      <c r="D832" s="28" t="str">
        <f aca="false">IF(OR($B832="",$C832=""),"",$C832*IFERROR(INDEX(Setup!$C$47:$C$56,MATCH($B832,Setup!$A$47:$A$56,0)),IFERROR(INDEX(Setup!$C$60:$C$89,MATCH($B832,Setup!$A$60:$A$89,0)),"")))</f>
        <v/>
      </c>
      <c r="E832" s="42"/>
      <c r="F832" s="42"/>
    </row>
    <row r="833" customFormat="false" ht="15" hidden="false" customHeight="true" outlineLevel="0" collapsed="false">
      <c r="A833" s="42"/>
      <c r="B833" s="42"/>
      <c r="C833" s="42"/>
      <c r="D833" s="28" t="str">
        <f aca="false">IF(OR($B833="",$C833=""),"",$C833*IFERROR(INDEX(Setup!$C$47:$C$56,MATCH($B833,Setup!$A$47:$A$56,0)),IFERROR(INDEX(Setup!$C$60:$C$89,MATCH($B833,Setup!$A$60:$A$89,0)),"")))</f>
        <v/>
      </c>
      <c r="E833" s="42"/>
      <c r="F833" s="42"/>
    </row>
    <row r="834" customFormat="false" ht="15" hidden="false" customHeight="true" outlineLevel="0" collapsed="false">
      <c r="A834" s="42"/>
      <c r="B834" s="42"/>
      <c r="C834" s="42"/>
      <c r="D834" s="28" t="str">
        <f aca="false">IF(OR($B834="",$C834=""),"",$C834*IFERROR(INDEX(Setup!$C$47:$C$56,MATCH($B834,Setup!$A$47:$A$56,0)),IFERROR(INDEX(Setup!$C$60:$C$89,MATCH($B834,Setup!$A$60:$A$89,0)),"")))</f>
        <v/>
      </c>
      <c r="E834" s="42"/>
      <c r="F834" s="42"/>
    </row>
    <row r="835" customFormat="false" ht="15" hidden="false" customHeight="true" outlineLevel="0" collapsed="false">
      <c r="A835" s="42"/>
      <c r="B835" s="42"/>
      <c r="C835" s="42"/>
      <c r="D835" s="28" t="str">
        <f aca="false">IF(OR($B835="",$C835=""),"",$C835*IFERROR(INDEX(Setup!$C$47:$C$56,MATCH($B835,Setup!$A$47:$A$56,0)),IFERROR(INDEX(Setup!$C$60:$C$89,MATCH($B835,Setup!$A$60:$A$89,0)),"")))</f>
        <v/>
      </c>
      <c r="E835" s="42"/>
      <c r="F835" s="42"/>
    </row>
    <row r="836" customFormat="false" ht="15" hidden="false" customHeight="true" outlineLevel="0" collapsed="false">
      <c r="A836" s="42"/>
      <c r="B836" s="42"/>
      <c r="C836" s="42"/>
      <c r="D836" s="28" t="str">
        <f aca="false">IF(OR($B836="",$C836=""),"",$C836*IFERROR(INDEX(Setup!$C$47:$C$56,MATCH($B836,Setup!$A$47:$A$56,0)),IFERROR(INDEX(Setup!$C$60:$C$89,MATCH($B836,Setup!$A$60:$A$89,0)),"")))</f>
        <v/>
      </c>
      <c r="E836" s="42"/>
      <c r="F836" s="42"/>
    </row>
    <row r="837" customFormat="false" ht="15" hidden="false" customHeight="true" outlineLevel="0" collapsed="false">
      <c r="A837" s="42"/>
      <c r="B837" s="42"/>
      <c r="C837" s="42"/>
      <c r="D837" s="28" t="str">
        <f aca="false">IF(OR($B837="",$C837=""),"",$C837*IFERROR(INDEX(Setup!$C$47:$C$56,MATCH($B837,Setup!$A$47:$A$56,0)),IFERROR(INDEX(Setup!$C$60:$C$89,MATCH($B837,Setup!$A$60:$A$89,0)),"")))</f>
        <v/>
      </c>
      <c r="E837" s="42"/>
      <c r="F837" s="42"/>
    </row>
    <row r="838" customFormat="false" ht="15" hidden="false" customHeight="true" outlineLevel="0" collapsed="false">
      <c r="A838" s="42"/>
      <c r="B838" s="42"/>
      <c r="C838" s="42"/>
      <c r="D838" s="28" t="str">
        <f aca="false">IF(OR($B838="",$C838=""),"",$C838*IFERROR(INDEX(Setup!$C$47:$C$56,MATCH($B838,Setup!$A$47:$A$56,0)),IFERROR(INDEX(Setup!$C$60:$C$89,MATCH($B838,Setup!$A$60:$A$89,0)),"")))</f>
        <v/>
      </c>
      <c r="E838" s="42"/>
      <c r="F838" s="42"/>
    </row>
    <row r="839" customFormat="false" ht="15" hidden="false" customHeight="true" outlineLevel="0" collapsed="false">
      <c r="A839" s="42"/>
      <c r="B839" s="42"/>
      <c r="C839" s="42"/>
      <c r="D839" s="28" t="str">
        <f aca="false">IF(OR($B839="",$C839=""),"",$C839*IFERROR(INDEX(Setup!$C$47:$C$56,MATCH($B839,Setup!$A$47:$A$56,0)),IFERROR(INDEX(Setup!$C$60:$C$89,MATCH($B839,Setup!$A$60:$A$89,0)),"")))</f>
        <v/>
      </c>
      <c r="E839" s="42"/>
      <c r="F839" s="42"/>
    </row>
    <row r="840" customFormat="false" ht="15" hidden="false" customHeight="true" outlineLevel="0" collapsed="false">
      <c r="A840" s="42"/>
      <c r="B840" s="42"/>
      <c r="C840" s="42"/>
      <c r="D840" s="28" t="str">
        <f aca="false">IF(OR($B840="",$C840=""),"",$C840*IFERROR(INDEX(Setup!$C$47:$C$56,MATCH($B840,Setup!$A$47:$A$56,0)),IFERROR(INDEX(Setup!$C$60:$C$89,MATCH($B840,Setup!$A$60:$A$89,0)),"")))</f>
        <v/>
      </c>
      <c r="E840" s="42"/>
      <c r="F840" s="42"/>
    </row>
    <row r="841" customFormat="false" ht="15" hidden="false" customHeight="true" outlineLevel="0" collapsed="false">
      <c r="A841" s="42"/>
      <c r="B841" s="42"/>
      <c r="C841" s="42"/>
      <c r="D841" s="28" t="str">
        <f aca="false">IF(OR($B841="",$C841=""),"",$C841*IFERROR(INDEX(Setup!$C$47:$C$56,MATCH($B841,Setup!$A$47:$A$56,0)),IFERROR(INDEX(Setup!$C$60:$C$89,MATCH($B841,Setup!$A$60:$A$89,0)),"")))</f>
        <v/>
      </c>
      <c r="E841" s="42"/>
      <c r="F841" s="42"/>
    </row>
    <row r="842" customFormat="false" ht="15" hidden="false" customHeight="true" outlineLevel="0" collapsed="false">
      <c r="A842" s="42"/>
      <c r="B842" s="42"/>
      <c r="C842" s="42"/>
      <c r="D842" s="28" t="str">
        <f aca="false">IF(OR($B842="",$C842=""),"",$C842*IFERROR(INDEX(Setup!$C$47:$C$56,MATCH($B842,Setup!$A$47:$A$56,0)),IFERROR(INDEX(Setup!$C$60:$C$89,MATCH($B842,Setup!$A$60:$A$89,0)),"")))</f>
        <v/>
      </c>
      <c r="E842" s="42"/>
      <c r="F842" s="42"/>
    </row>
    <row r="843" customFormat="false" ht="15" hidden="false" customHeight="true" outlineLevel="0" collapsed="false">
      <c r="A843" s="42"/>
      <c r="B843" s="42"/>
      <c r="C843" s="42"/>
      <c r="D843" s="28" t="str">
        <f aca="false">IF(OR($B843="",$C843=""),"",$C843*IFERROR(INDEX(Setup!$C$47:$C$56,MATCH($B843,Setup!$A$47:$A$56,0)),IFERROR(INDEX(Setup!$C$60:$C$89,MATCH($B843,Setup!$A$60:$A$89,0)),"")))</f>
        <v/>
      </c>
      <c r="E843" s="42"/>
      <c r="F843" s="42"/>
    </row>
    <row r="844" customFormat="false" ht="15" hidden="false" customHeight="true" outlineLevel="0" collapsed="false">
      <c r="A844" s="42"/>
      <c r="B844" s="42"/>
      <c r="C844" s="42"/>
      <c r="D844" s="28" t="str">
        <f aca="false">IF(OR($B844="",$C844=""),"",$C844*IFERROR(INDEX(Setup!$C$47:$C$56,MATCH($B844,Setup!$A$47:$A$56,0)),IFERROR(INDEX(Setup!$C$60:$C$89,MATCH($B844,Setup!$A$60:$A$89,0)),"")))</f>
        <v/>
      </c>
      <c r="E844" s="42"/>
      <c r="F844" s="42"/>
    </row>
    <row r="845" customFormat="false" ht="15" hidden="false" customHeight="true" outlineLevel="0" collapsed="false">
      <c r="A845" s="42"/>
      <c r="B845" s="42"/>
      <c r="C845" s="42"/>
      <c r="D845" s="28" t="str">
        <f aca="false">IF(OR($B845="",$C845=""),"",$C845*IFERROR(INDEX(Setup!$C$47:$C$56,MATCH($B845,Setup!$A$47:$A$56,0)),IFERROR(INDEX(Setup!$C$60:$C$89,MATCH($B845,Setup!$A$60:$A$89,0)),"")))</f>
        <v/>
      </c>
      <c r="E845" s="42"/>
      <c r="F845" s="42"/>
    </row>
    <row r="846" customFormat="false" ht="15" hidden="false" customHeight="true" outlineLevel="0" collapsed="false">
      <c r="A846" s="42"/>
      <c r="B846" s="42"/>
      <c r="C846" s="42"/>
      <c r="D846" s="28" t="str">
        <f aca="false">IF(OR($B846="",$C846=""),"",$C846*IFERROR(INDEX(Setup!$C$47:$C$56,MATCH($B846,Setup!$A$47:$A$56,0)),IFERROR(INDEX(Setup!$C$60:$C$89,MATCH($B846,Setup!$A$60:$A$89,0)),"")))</f>
        <v/>
      </c>
      <c r="E846" s="42"/>
      <c r="F846" s="42"/>
    </row>
    <row r="847" customFormat="false" ht="15" hidden="false" customHeight="true" outlineLevel="0" collapsed="false">
      <c r="A847" s="42"/>
      <c r="B847" s="42"/>
      <c r="C847" s="42"/>
      <c r="D847" s="28" t="str">
        <f aca="false">IF(OR($B847="",$C847=""),"",$C847*IFERROR(INDEX(Setup!$C$47:$C$56,MATCH($B847,Setup!$A$47:$A$56,0)),IFERROR(INDEX(Setup!$C$60:$C$89,MATCH($B847,Setup!$A$60:$A$89,0)),"")))</f>
        <v/>
      </c>
      <c r="E847" s="42"/>
      <c r="F847" s="42"/>
    </row>
    <row r="848" customFormat="false" ht="15" hidden="false" customHeight="true" outlineLevel="0" collapsed="false">
      <c r="A848" s="42"/>
      <c r="B848" s="42"/>
      <c r="C848" s="42"/>
      <c r="D848" s="28" t="str">
        <f aca="false">IF(OR($B848="",$C848=""),"",$C848*IFERROR(INDEX(Setup!$C$47:$C$56,MATCH($B848,Setup!$A$47:$A$56,0)),IFERROR(INDEX(Setup!$C$60:$C$89,MATCH($B848,Setup!$A$60:$A$89,0)),"")))</f>
        <v/>
      </c>
      <c r="E848" s="42"/>
      <c r="F848" s="42"/>
    </row>
    <row r="849" customFormat="false" ht="15" hidden="false" customHeight="true" outlineLevel="0" collapsed="false">
      <c r="A849" s="42"/>
      <c r="B849" s="42"/>
      <c r="C849" s="42"/>
      <c r="D849" s="28" t="str">
        <f aca="false">IF(OR($B849="",$C849=""),"",$C849*IFERROR(INDEX(Setup!$C$47:$C$56,MATCH($B849,Setup!$A$47:$A$56,0)),IFERROR(INDEX(Setup!$C$60:$C$89,MATCH($B849,Setup!$A$60:$A$89,0)),"")))</f>
        <v/>
      </c>
      <c r="E849" s="42"/>
      <c r="F849" s="42"/>
    </row>
    <row r="850" customFormat="false" ht="15" hidden="false" customHeight="true" outlineLevel="0" collapsed="false">
      <c r="A850" s="42"/>
      <c r="B850" s="42"/>
      <c r="C850" s="42"/>
      <c r="D850" s="28" t="str">
        <f aca="false">IF(OR($B850="",$C850=""),"",$C850*IFERROR(INDEX(Setup!$C$47:$C$56,MATCH($B850,Setup!$A$47:$A$56,0)),IFERROR(INDEX(Setup!$C$60:$C$89,MATCH($B850,Setup!$A$60:$A$89,0)),"")))</f>
        <v/>
      </c>
      <c r="E850" s="42"/>
      <c r="F850" s="42"/>
    </row>
    <row r="851" customFormat="false" ht="15" hidden="false" customHeight="true" outlineLevel="0" collapsed="false">
      <c r="A851" s="42"/>
      <c r="B851" s="42"/>
      <c r="C851" s="42"/>
      <c r="D851" s="28" t="str">
        <f aca="false">IF(OR($B851="",$C851=""),"",$C851*IFERROR(INDEX(Setup!$C$47:$C$56,MATCH($B851,Setup!$A$47:$A$56,0)),IFERROR(INDEX(Setup!$C$60:$C$89,MATCH($B851,Setup!$A$60:$A$89,0)),"")))</f>
        <v/>
      </c>
      <c r="E851" s="42"/>
      <c r="F851" s="42"/>
    </row>
    <row r="852" customFormat="false" ht="15" hidden="false" customHeight="true" outlineLevel="0" collapsed="false">
      <c r="A852" s="42"/>
      <c r="B852" s="42"/>
      <c r="C852" s="42"/>
      <c r="D852" s="28" t="str">
        <f aca="false">IF(OR($B852="",$C852=""),"",$C852*IFERROR(INDEX(Setup!$C$47:$C$56,MATCH($B852,Setup!$A$47:$A$56,0)),IFERROR(INDEX(Setup!$C$60:$C$89,MATCH($B852,Setup!$A$60:$A$89,0)),"")))</f>
        <v/>
      </c>
      <c r="E852" s="42"/>
      <c r="F852" s="42"/>
    </row>
    <row r="853" customFormat="false" ht="15" hidden="false" customHeight="true" outlineLevel="0" collapsed="false">
      <c r="A853" s="42"/>
      <c r="B853" s="42"/>
      <c r="C853" s="42"/>
      <c r="D853" s="28" t="str">
        <f aca="false">IF(OR($B853="",$C853=""),"",$C853*IFERROR(INDEX(Setup!$C$47:$C$56,MATCH($B853,Setup!$A$47:$A$56,0)),IFERROR(INDEX(Setup!$C$60:$C$89,MATCH($B853,Setup!$A$60:$A$89,0)),"")))</f>
        <v/>
      </c>
      <c r="E853" s="42"/>
      <c r="F853" s="42"/>
    </row>
    <row r="854" customFormat="false" ht="15" hidden="false" customHeight="true" outlineLevel="0" collapsed="false">
      <c r="A854" s="42"/>
      <c r="B854" s="42"/>
      <c r="C854" s="42"/>
      <c r="D854" s="28" t="str">
        <f aca="false">IF(OR($B854="",$C854=""),"",$C854*IFERROR(INDEX(Setup!$C$47:$C$56,MATCH($B854,Setup!$A$47:$A$56,0)),IFERROR(INDEX(Setup!$C$60:$C$89,MATCH($B854,Setup!$A$60:$A$89,0)),"")))</f>
        <v/>
      </c>
      <c r="E854" s="42"/>
      <c r="F854" s="42"/>
    </row>
    <row r="855" customFormat="false" ht="15" hidden="false" customHeight="true" outlineLevel="0" collapsed="false">
      <c r="A855" s="42"/>
      <c r="B855" s="42"/>
      <c r="C855" s="42"/>
      <c r="D855" s="28" t="str">
        <f aca="false">IF(OR($B855="",$C855=""),"",$C855*IFERROR(INDEX(Setup!$C$47:$C$56,MATCH($B855,Setup!$A$47:$A$56,0)),IFERROR(INDEX(Setup!$C$60:$C$89,MATCH($B855,Setup!$A$60:$A$89,0)),"")))</f>
        <v/>
      </c>
      <c r="E855" s="42"/>
      <c r="F855" s="42"/>
    </row>
    <row r="856" customFormat="false" ht="15" hidden="false" customHeight="true" outlineLevel="0" collapsed="false">
      <c r="A856" s="42"/>
      <c r="B856" s="42"/>
      <c r="C856" s="42"/>
      <c r="D856" s="28" t="str">
        <f aca="false">IF(OR($B856="",$C856=""),"",$C856*IFERROR(INDEX(Setup!$C$47:$C$56,MATCH($B856,Setup!$A$47:$A$56,0)),IFERROR(INDEX(Setup!$C$60:$C$89,MATCH($B856,Setup!$A$60:$A$89,0)),"")))</f>
        <v/>
      </c>
      <c r="E856" s="42"/>
      <c r="F856" s="42"/>
    </row>
    <row r="857" customFormat="false" ht="15" hidden="false" customHeight="true" outlineLevel="0" collapsed="false">
      <c r="A857" s="42"/>
      <c r="B857" s="42"/>
      <c r="C857" s="42"/>
      <c r="D857" s="28" t="str">
        <f aca="false">IF(OR($B857="",$C857=""),"",$C857*IFERROR(INDEX(Setup!$C$47:$C$56,MATCH($B857,Setup!$A$47:$A$56,0)),IFERROR(INDEX(Setup!$C$60:$C$89,MATCH($B857,Setup!$A$60:$A$89,0)),"")))</f>
        <v/>
      </c>
      <c r="E857" s="42"/>
      <c r="F857" s="42"/>
    </row>
    <row r="858" customFormat="false" ht="15" hidden="false" customHeight="true" outlineLevel="0" collapsed="false">
      <c r="A858" s="42"/>
      <c r="B858" s="42"/>
      <c r="C858" s="42"/>
      <c r="D858" s="28" t="str">
        <f aca="false">IF(OR($B858="",$C858=""),"",$C858*IFERROR(INDEX(Setup!$C$47:$C$56,MATCH($B858,Setup!$A$47:$A$56,0)),IFERROR(INDEX(Setup!$C$60:$C$89,MATCH($B858,Setup!$A$60:$A$89,0)),"")))</f>
        <v/>
      </c>
      <c r="E858" s="42"/>
      <c r="F858" s="42"/>
    </row>
    <row r="859" customFormat="false" ht="15" hidden="false" customHeight="true" outlineLevel="0" collapsed="false">
      <c r="A859" s="42"/>
      <c r="B859" s="42"/>
      <c r="C859" s="42"/>
      <c r="D859" s="28" t="str">
        <f aca="false">IF(OR($B859="",$C859=""),"",$C859*IFERROR(INDEX(Setup!$C$47:$C$56,MATCH($B859,Setup!$A$47:$A$56,0)),IFERROR(INDEX(Setup!$C$60:$C$89,MATCH($B859,Setup!$A$60:$A$89,0)),"")))</f>
        <v/>
      </c>
      <c r="E859" s="42"/>
      <c r="F859" s="42"/>
    </row>
    <row r="860" customFormat="false" ht="15" hidden="false" customHeight="true" outlineLevel="0" collapsed="false">
      <c r="A860" s="42"/>
      <c r="B860" s="42"/>
      <c r="C860" s="42"/>
      <c r="D860" s="28" t="str">
        <f aca="false">IF(OR($B860="",$C860=""),"",$C860*IFERROR(INDEX(Setup!$C$47:$C$56,MATCH($B860,Setup!$A$47:$A$56,0)),IFERROR(INDEX(Setup!$C$60:$C$89,MATCH($B860,Setup!$A$60:$A$89,0)),"")))</f>
        <v/>
      </c>
      <c r="E860" s="42"/>
      <c r="F860" s="42"/>
    </row>
    <row r="861" customFormat="false" ht="15" hidden="false" customHeight="true" outlineLevel="0" collapsed="false">
      <c r="A861" s="42"/>
      <c r="B861" s="42"/>
      <c r="C861" s="42"/>
      <c r="D861" s="28" t="str">
        <f aca="false">IF(OR($B861="",$C861=""),"",$C861*IFERROR(INDEX(Setup!$C$47:$C$56,MATCH($B861,Setup!$A$47:$A$56,0)),IFERROR(INDEX(Setup!$C$60:$C$89,MATCH($B861,Setup!$A$60:$A$89,0)),"")))</f>
        <v/>
      </c>
      <c r="E861" s="42"/>
      <c r="F861" s="42"/>
    </row>
    <row r="862" customFormat="false" ht="15" hidden="false" customHeight="true" outlineLevel="0" collapsed="false">
      <c r="A862" s="42"/>
      <c r="B862" s="42"/>
      <c r="C862" s="42"/>
      <c r="D862" s="28" t="str">
        <f aca="false">IF(OR($B862="",$C862=""),"",$C862*IFERROR(INDEX(Setup!$C$47:$C$56,MATCH($B862,Setup!$A$47:$A$56,0)),IFERROR(INDEX(Setup!$C$60:$C$89,MATCH($B862,Setup!$A$60:$A$89,0)),"")))</f>
        <v/>
      </c>
      <c r="E862" s="42"/>
      <c r="F862" s="42"/>
    </row>
    <row r="863" customFormat="false" ht="15" hidden="false" customHeight="true" outlineLevel="0" collapsed="false">
      <c r="A863" s="42"/>
      <c r="B863" s="42"/>
      <c r="C863" s="42"/>
      <c r="D863" s="28" t="str">
        <f aca="false">IF(OR($B863="",$C863=""),"",$C863*IFERROR(INDEX(Setup!$C$47:$C$56,MATCH($B863,Setup!$A$47:$A$56,0)),IFERROR(INDEX(Setup!$C$60:$C$89,MATCH($B863,Setup!$A$60:$A$89,0)),"")))</f>
        <v/>
      </c>
      <c r="E863" s="42"/>
      <c r="F863" s="42"/>
    </row>
    <row r="864" customFormat="false" ht="15" hidden="false" customHeight="true" outlineLevel="0" collapsed="false">
      <c r="A864" s="42"/>
      <c r="B864" s="42"/>
      <c r="C864" s="42"/>
      <c r="D864" s="28" t="str">
        <f aca="false">IF(OR($B864="",$C864=""),"",$C864*IFERROR(INDEX(Setup!$C$47:$C$56,MATCH($B864,Setup!$A$47:$A$56,0)),IFERROR(INDEX(Setup!$C$60:$C$89,MATCH($B864,Setup!$A$60:$A$89,0)),"")))</f>
        <v/>
      </c>
      <c r="E864" s="42"/>
      <c r="F864" s="42"/>
    </row>
    <row r="865" customFormat="false" ht="15" hidden="false" customHeight="true" outlineLevel="0" collapsed="false">
      <c r="A865" s="42"/>
      <c r="B865" s="42"/>
      <c r="C865" s="42"/>
      <c r="D865" s="28" t="str">
        <f aca="false">IF(OR($B865="",$C865=""),"",$C865*IFERROR(INDEX(Setup!$C$47:$C$56,MATCH($B865,Setup!$A$47:$A$56,0)),IFERROR(INDEX(Setup!$C$60:$C$89,MATCH($B865,Setup!$A$60:$A$89,0)),"")))</f>
        <v/>
      </c>
      <c r="E865" s="42"/>
      <c r="F865" s="42"/>
    </row>
    <row r="866" customFormat="false" ht="15" hidden="false" customHeight="true" outlineLevel="0" collapsed="false">
      <c r="A866" s="42"/>
      <c r="B866" s="42"/>
      <c r="C866" s="42"/>
      <c r="D866" s="28" t="str">
        <f aca="false">IF(OR($B866="",$C866=""),"",$C866*IFERROR(INDEX(Setup!$C$47:$C$56,MATCH($B866,Setup!$A$47:$A$56,0)),IFERROR(INDEX(Setup!$C$60:$C$89,MATCH($B866,Setup!$A$60:$A$89,0)),"")))</f>
        <v/>
      </c>
      <c r="E866" s="42"/>
      <c r="F866" s="42"/>
    </row>
    <row r="867" customFormat="false" ht="15" hidden="false" customHeight="true" outlineLevel="0" collapsed="false">
      <c r="A867" s="42"/>
      <c r="B867" s="42"/>
      <c r="C867" s="42"/>
      <c r="D867" s="28" t="str">
        <f aca="false">IF(OR($B867="",$C867=""),"",$C867*IFERROR(INDEX(Setup!$C$47:$C$56,MATCH($B867,Setup!$A$47:$A$56,0)),IFERROR(INDEX(Setup!$C$60:$C$89,MATCH($B867,Setup!$A$60:$A$89,0)),"")))</f>
        <v/>
      </c>
      <c r="E867" s="42"/>
      <c r="F867" s="42"/>
    </row>
    <row r="868" customFormat="false" ht="15" hidden="false" customHeight="true" outlineLevel="0" collapsed="false">
      <c r="A868" s="42"/>
      <c r="B868" s="42"/>
      <c r="C868" s="42"/>
      <c r="D868" s="28" t="str">
        <f aca="false">IF(OR($B868="",$C868=""),"",$C868*IFERROR(INDEX(Setup!$C$47:$C$56,MATCH($B868,Setup!$A$47:$A$56,0)),IFERROR(INDEX(Setup!$C$60:$C$89,MATCH($B868,Setup!$A$60:$A$89,0)),"")))</f>
        <v/>
      </c>
      <c r="E868" s="42"/>
      <c r="F868" s="42"/>
    </row>
    <row r="869" customFormat="false" ht="15" hidden="false" customHeight="true" outlineLevel="0" collapsed="false">
      <c r="A869" s="42"/>
      <c r="B869" s="42"/>
      <c r="C869" s="42"/>
      <c r="D869" s="28" t="str">
        <f aca="false">IF(OR($B869="",$C869=""),"",$C869*IFERROR(INDEX(Setup!$C$47:$C$56,MATCH($B869,Setup!$A$47:$A$56,0)),IFERROR(INDEX(Setup!$C$60:$C$89,MATCH($B869,Setup!$A$60:$A$89,0)),"")))</f>
        <v/>
      </c>
      <c r="E869" s="42"/>
      <c r="F869" s="42"/>
    </row>
    <row r="870" customFormat="false" ht="15" hidden="false" customHeight="true" outlineLevel="0" collapsed="false">
      <c r="A870" s="42"/>
      <c r="B870" s="42"/>
      <c r="C870" s="42"/>
      <c r="D870" s="28" t="str">
        <f aca="false">IF(OR($B870="",$C870=""),"",$C870*IFERROR(INDEX(Setup!$C$47:$C$56,MATCH($B870,Setup!$A$47:$A$56,0)),IFERROR(INDEX(Setup!$C$60:$C$89,MATCH($B870,Setup!$A$60:$A$89,0)),"")))</f>
        <v/>
      </c>
      <c r="E870" s="42"/>
      <c r="F870" s="42"/>
    </row>
    <row r="871" customFormat="false" ht="15" hidden="false" customHeight="true" outlineLevel="0" collapsed="false">
      <c r="A871" s="42"/>
      <c r="B871" s="42"/>
      <c r="C871" s="42"/>
      <c r="D871" s="28" t="str">
        <f aca="false">IF(OR($B871="",$C871=""),"",$C871*IFERROR(INDEX(Setup!$C$47:$C$56,MATCH($B871,Setup!$A$47:$A$56,0)),IFERROR(INDEX(Setup!$C$60:$C$89,MATCH($B871,Setup!$A$60:$A$89,0)),"")))</f>
        <v/>
      </c>
      <c r="E871" s="42"/>
      <c r="F871" s="42"/>
    </row>
    <row r="872" customFormat="false" ht="15" hidden="false" customHeight="true" outlineLevel="0" collapsed="false">
      <c r="A872" s="42"/>
      <c r="B872" s="42"/>
      <c r="C872" s="42"/>
      <c r="D872" s="28" t="str">
        <f aca="false">IF(OR($B872="",$C872=""),"",$C872*IFERROR(INDEX(Setup!$C$47:$C$56,MATCH($B872,Setup!$A$47:$A$56,0)),IFERROR(INDEX(Setup!$C$60:$C$89,MATCH($B872,Setup!$A$60:$A$89,0)),"")))</f>
        <v/>
      </c>
      <c r="E872" s="42"/>
      <c r="F872" s="42"/>
    </row>
    <row r="873" customFormat="false" ht="15" hidden="false" customHeight="true" outlineLevel="0" collapsed="false">
      <c r="A873" s="42"/>
      <c r="B873" s="42"/>
      <c r="C873" s="42"/>
      <c r="D873" s="28" t="str">
        <f aca="false">IF(OR($B873="",$C873=""),"",$C873*IFERROR(INDEX(Setup!$C$47:$C$56,MATCH($B873,Setup!$A$47:$A$56,0)),IFERROR(INDEX(Setup!$C$60:$C$89,MATCH($B873,Setup!$A$60:$A$89,0)),"")))</f>
        <v/>
      </c>
      <c r="E873" s="42"/>
      <c r="F873" s="42"/>
    </row>
    <row r="874" customFormat="false" ht="15" hidden="false" customHeight="true" outlineLevel="0" collapsed="false">
      <c r="A874" s="42"/>
      <c r="B874" s="42"/>
      <c r="C874" s="42"/>
      <c r="D874" s="28" t="str">
        <f aca="false">IF(OR($B874="",$C874=""),"",$C874*IFERROR(INDEX(Setup!$C$47:$C$56,MATCH($B874,Setup!$A$47:$A$56,0)),IFERROR(INDEX(Setup!$C$60:$C$89,MATCH($B874,Setup!$A$60:$A$89,0)),"")))</f>
        <v/>
      </c>
      <c r="E874" s="42"/>
      <c r="F874" s="42"/>
    </row>
    <row r="875" customFormat="false" ht="15" hidden="false" customHeight="true" outlineLevel="0" collapsed="false">
      <c r="A875" s="42"/>
      <c r="B875" s="42"/>
      <c r="C875" s="42"/>
      <c r="D875" s="28" t="str">
        <f aca="false">IF(OR($B875="",$C875=""),"",$C875*IFERROR(INDEX(Setup!$C$47:$C$56,MATCH($B875,Setup!$A$47:$A$56,0)),IFERROR(INDEX(Setup!$C$60:$C$89,MATCH($B875,Setup!$A$60:$A$89,0)),"")))</f>
        <v/>
      </c>
      <c r="E875" s="42"/>
      <c r="F875" s="42"/>
    </row>
    <row r="876" customFormat="false" ht="15" hidden="false" customHeight="true" outlineLevel="0" collapsed="false">
      <c r="A876" s="42"/>
      <c r="B876" s="42"/>
      <c r="C876" s="42"/>
      <c r="D876" s="28" t="str">
        <f aca="false">IF(OR($B876="",$C876=""),"",$C876*IFERROR(INDEX(Setup!$C$47:$C$56,MATCH($B876,Setup!$A$47:$A$56,0)),IFERROR(INDEX(Setup!$C$60:$C$89,MATCH($B876,Setup!$A$60:$A$89,0)),"")))</f>
        <v/>
      </c>
      <c r="E876" s="42"/>
      <c r="F876" s="42"/>
    </row>
    <row r="877" customFormat="false" ht="15" hidden="false" customHeight="true" outlineLevel="0" collapsed="false">
      <c r="A877" s="42"/>
      <c r="B877" s="42"/>
      <c r="C877" s="42"/>
      <c r="D877" s="28" t="str">
        <f aca="false">IF(OR($B877="",$C877=""),"",$C877*IFERROR(INDEX(Setup!$C$47:$C$56,MATCH($B877,Setup!$A$47:$A$56,0)),IFERROR(INDEX(Setup!$C$60:$C$89,MATCH($B877,Setup!$A$60:$A$89,0)),"")))</f>
        <v/>
      </c>
      <c r="E877" s="42"/>
      <c r="F877" s="42"/>
    </row>
    <row r="878" customFormat="false" ht="15" hidden="false" customHeight="true" outlineLevel="0" collapsed="false">
      <c r="A878" s="42"/>
      <c r="B878" s="42"/>
      <c r="C878" s="42"/>
      <c r="D878" s="28" t="str">
        <f aca="false">IF(OR($B878="",$C878=""),"",$C878*IFERROR(INDEX(Setup!$C$47:$C$56,MATCH($B878,Setup!$A$47:$A$56,0)),IFERROR(INDEX(Setup!$C$60:$C$89,MATCH($B878,Setup!$A$60:$A$89,0)),"")))</f>
        <v/>
      </c>
      <c r="E878" s="42"/>
      <c r="F878" s="42"/>
    </row>
    <row r="879" customFormat="false" ht="15" hidden="false" customHeight="true" outlineLevel="0" collapsed="false">
      <c r="A879" s="42"/>
      <c r="B879" s="42"/>
      <c r="C879" s="42"/>
      <c r="D879" s="28" t="str">
        <f aca="false">IF(OR($B879="",$C879=""),"",$C879*IFERROR(INDEX(Setup!$C$47:$C$56,MATCH($B879,Setup!$A$47:$A$56,0)),IFERROR(INDEX(Setup!$C$60:$C$89,MATCH($B879,Setup!$A$60:$A$89,0)),"")))</f>
        <v/>
      </c>
      <c r="E879" s="42"/>
      <c r="F879" s="42"/>
    </row>
    <row r="880" customFormat="false" ht="15" hidden="false" customHeight="true" outlineLevel="0" collapsed="false">
      <c r="A880" s="42"/>
      <c r="B880" s="42"/>
      <c r="C880" s="42"/>
      <c r="D880" s="28" t="str">
        <f aca="false">IF(OR($B880="",$C880=""),"",$C880*IFERROR(INDEX(Setup!$C$47:$C$56,MATCH($B880,Setup!$A$47:$A$56,0)),IFERROR(INDEX(Setup!$C$60:$C$89,MATCH($B880,Setup!$A$60:$A$89,0)),"")))</f>
        <v/>
      </c>
      <c r="E880" s="42"/>
      <c r="F880" s="42"/>
    </row>
    <row r="881" customFormat="false" ht="15" hidden="false" customHeight="true" outlineLevel="0" collapsed="false">
      <c r="A881" s="42"/>
      <c r="B881" s="42"/>
      <c r="C881" s="42"/>
      <c r="D881" s="28" t="str">
        <f aca="false">IF(OR($B881="",$C881=""),"",$C881*IFERROR(INDEX(Setup!$C$47:$C$56,MATCH($B881,Setup!$A$47:$A$56,0)),IFERROR(INDEX(Setup!$C$60:$C$89,MATCH($B881,Setup!$A$60:$A$89,0)),"")))</f>
        <v/>
      </c>
      <c r="E881" s="42"/>
      <c r="F881" s="42"/>
    </row>
    <row r="882" customFormat="false" ht="15" hidden="false" customHeight="true" outlineLevel="0" collapsed="false">
      <c r="A882" s="42"/>
      <c r="B882" s="42"/>
      <c r="C882" s="42"/>
      <c r="D882" s="28" t="str">
        <f aca="false">IF(OR($B882="",$C882=""),"",$C882*IFERROR(INDEX(Setup!$C$47:$C$56,MATCH($B882,Setup!$A$47:$A$56,0)),IFERROR(INDEX(Setup!$C$60:$C$89,MATCH($B882,Setup!$A$60:$A$89,0)),"")))</f>
        <v/>
      </c>
      <c r="E882" s="42"/>
      <c r="F882" s="42"/>
    </row>
    <row r="883" customFormat="false" ht="15" hidden="false" customHeight="true" outlineLevel="0" collapsed="false">
      <c r="A883" s="42"/>
      <c r="B883" s="42"/>
      <c r="C883" s="42"/>
      <c r="D883" s="28" t="str">
        <f aca="false">IF(OR($B883="",$C883=""),"",$C883*IFERROR(INDEX(Setup!$C$47:$C$56,MATCH($B883,Setup!$A$47:$A$56,0)),IFERROR(INDEX(Setup!$C$60:$C$89,MATCH($B883,Setup!$A$60:$A$89,0)),"")))</f>
        <v/>
      </c>
      <c r="E883" s="42"/>
      <c r="F883" s="42"/>
    </row>
    <row r="884" customFormat="false" ht="15" hidden="false" customHeight="true" outlineLevel="0" collapsed="false">
      <c r="A884" s="42"/>
      <c r="B884" s="42"/>
      <c r="C884" s="42"/>
      <c r="D884" s="28" t="str">
        <f aca="false">IF(OR($B884="",$C884=""),"",$C884*IFERROR(INDEX(Setup!$C$47:$C$56,MATCH($B884,Setup!$A$47:$A$56,0)),IFERROR(INDEX(Setup!$C$60:$C$89,MATCH($B884,Setup!$A$60:$A$89,0)),"")))</f>
        <v/>
      </c>
      <c r="E884" s="42"/>
      <c r="F884" s="42"/>
    </row>
    <row r="885" customFormat="false" ht="15" hidden="false" customHeight="true" outlineLevel="0" collapsed="false">
      <c r="A885" s="42"/>
      <c r="B885" s="42"/>
      <c r="C885" s="42"/>
      <c r="D885" s="28" t="str">
        <f aca="false">IF(OR($B885="",$C885=""),"",$C885*IFERROR(INDEX(Setup!$C$47:$C$56,MATCH($B885,Setup!$A$47:$A$56,0)),IFERROR(INDEX(Setup!$C$60:$C$89,MATCH($B885,Setup!$A$60:$A$89,0)),"")))</f>
        <v/>
      </c>
      <c r="E885" s="42"/>
      <c r="F885" s="42"/>
    </row>
    <row r="886" customFormat="false" ht="15" hidden="false" customHeight="true" outlineLevel="0" collapsed="false">
      <c r="A886" s="42"/>
      <c r="B886" s="42"/>
      <c r="C886" s="42"/>
      <c r="D886" s="28" t="str">
        <f aca="false">IF(OR($B886="",$C886=""),"",$C886*IFERROR(INDEX(Setup!$C$47:$C$56,MATCH($B886,Setup!$A$47:$A$56,0)),IFERROR(INDEX(Setup!$C$60:$C$89,MATCH($B886,Setup!$A$60:$A$89,0)),"")))</f>
        <v/>
      </c>
      <c r="E886" s="42"/>
      <c r="F886" s="42"/>
    </row>
    <row r="887" customFormat="false" ht="15" hidden="false" customHeight="true" outlineLevel="0" collapsed="false">
      <c r="A887" s="42"/>
      <c r="B887" s="42"/>
      <c r="C887" s="42"/>
      <c r="D887" s="28" t="str">
        <f aca="false">IF(OR($B887="",$C887=""),"",$C887*IFERROR(INDEX(Setup!$C$47:$C$56,MATCH($B887,Setup!$A$47:$A$56,0)),IFERROR(INDEX(Setup!$C$60:$C$89,MATCH($B887,Setup!$A$60:$A$89,0)),"")))</f>
        <v/>
      </c>
      <c r="E887" s="42"/>
      <c r="F887" s="42"/>
    </row>
    <row r="888" customFormat="false" ht="15" hidden="false" customHeight="true" outlineLevel="0" collapsed="false">
      <c r="A888" s="42"/>
      <c r="B888" s="42"/>
      <c r="C888" s="42"/>
      <c r="D888" s="28" t="str">
        <f aca="false">IF(OR($B888="",$C888=""),"",$C888*IFERROR(INDEX(Setup!$C$47:$C$56,MATCH($B888,Setup!$A$47:$A$56,0)),IFERROR(INDEX(Setup!$C$60:$C$89,MATCH($B888,Setup!$A$60:$A$89,0)),"")))</f>
        <v/>
      </c>
      <c r="E888" s="42"/>
      <c r="F888" s="42"/>
    </row>
    <row r="889" customFormat="false" ht="15" hidden="false" customHeight="true" outlineLevel="0" collapsed="false">
      <c r="A889" s="42"/>
      <c r="B889" s="42"/>
      <c r="C889" s="42"/>
      <c r="D889" s="28" t="str">
        <f aca="false">IF(OR($B889="",$C889=""),"",$C889*IFERROR(INDEX(Setup!$C$47:$C$56,MATCH($B889,Setup!$A$47:$A$56,0)),IFERROR(INDEX(Setup!$C$60:$C$89,MATCH($B889,Setup!$A$60:$A$89,0)),"")))</f>
        <v/>
      </c>
      <c r="E889" s="42"/>
      <c r="F889" s="42"/>
    </row>
    <row r="890" customFormat="false" ht="15" hidden="false" customHeight="true" outlineLevel="0" collapsed="false">
      <c r="A890" s="42"/>
      <c r="B890" s="42"/>
      <c r="C890" s="42"/>
      <c r="D890" s="28" t="str">
        <f aca="false">IF(OR($B890="",$C890=""),"",$C890*IFERROR(INDEX(Setup!$C$47:$C$56,MATCH($B890,Setup!$A$47:$A$56,0)),IFERROR(INDEX(Setup!$C$60:$C$89,MATCH($B890,Setup!$A$60:$A$89,0)),"")))</f>
        <v/>
      </c>
      <c r="E890" s="42"/>
      <c r="F890" s="42"/>
    </row>
    <row r="891" customFormat="false" ht="15" hidden="false" customHeight="true" outlineLevel="0" collapsed="false">
      <c r="A891" s="42"/>
      <c r="B891" s="42"/>
      <c r="C891" s="42"/>
      <c r="D891" s="28" t="str">
        <f aca="false">IF(OR($B891="",$C891=""),"",$C891*IFERROR(INDEX(Setup!$C$47:$C$56,MATCH($B891,Setup!$A$47:$A$56,0)),IFERROR(INDEX(Setup!$C$60:$C$89,MATCH($B891,Setup!$A$60:$A$89,0)),"")))</f>
        <v/>
      </c>
      <c r="E891" s="42"/>
      <c r="F891" s="42"/>
    </row>
    <row r="892" customFormat="false" ht="15" hidden="false" customHeight="true" outlineLevel="0" collapsed="false">
      <c r="A892" s="42"/>
      <c r="B892" s="42"/>
      <c r="C892" s="42"/>
      <c r="D892" s="28" t="str">
        <f aca="false">IF(OR($B892="",$C892=""),"",$C892*IFERROR(INDEX(Setup!$C$47:$C$56,MATCH($B892,Setup!$A$47:$A$56,0)),IFERROR(INDEX(Setup!$C$60:$C$89,MATCH($B892,Setup!$A$60:$A$89,0)),"")))</f>
        <v/>
      </c>
      <c r="E892" s="42"/>
      <c r="F892" s="42"/>
    </row>
    <row r="893" customFormat="false" ht="15" hidden="false" customHeight="true" outlineLevel="0" collapsed="false">
      <c r="A893" s="42"/>
      <c r="B893" s="42"/>
      <c r="C893" s="42"/>
      <c r="D893" s="28" t="str">
        <f aca="false">IF(OR($B893="",$C893=""),"",$C893*IFERROR(INDEX(Setup!$C$47:$C$56,MATCH($B893,Setup!$A$47:$A$56,0)),IFERROR(INDEX(Setup!$C$60:$C$89,MATCH($B893,Setup!$A$60:$A$89,0)),"")))</f>
        <v/>
      </c>
      <c r="E893" s="42"/>
      <c r="F893" s="42"/>
    </row>
    <row r="894" customFormat="false" ht="15" hidden="false" customHeight="true" outlineLevel="0" collapsed="false">
      <c r="A894" s="42"/>
      <c r="B894" s="42"/>
      <c r="C894" s="42"/>
      <c r="D894" s="28" t="str">
        <f aca="false">IF(OR($B894="",$C894=""),"",$C894*IFERROR(INDEX(Setup!$C$47:$C$56,MATCH($B894,Setup!$A$47:$A$56,0)),IFERROR(INDEX(Setup!$C$60:$C$89,MATCH($B894,Setup!$A$60:$A$89,0)),"")))</f>
        <v/>
      </c>
      <c r="E894" s="42"/>
      <c r="F894" s="42"/>
    </row>
    <row r="895" customFormat="false" ht="15" hidden="false" customHeight="true" outlineLevel="0" collapsed="false">
      <c r="A895" s="42"/>
      <c r="B895" s="42"/>
      <c r="C895" s="42"/>
      <c r="D895" s="28" t="str">
        <f aca="false">IF(OR($B895="",$C895=""),"",$C895*IFERROR(INDEX(Setup!$C$47:$C$56,MATCH($B895,Setup!$A$47:$A$56,0)),IFERROR(INDEX(Setup!$C$60:$C$89,MATCH($B895,Setup!$A$60:$A$89,0)),"")))</f>
        <v/>
      </c>
      <c r="E895" s="42"/>
      <c r="F895" s="42"/>
    </row>
    <row r="896" customFormat="false" ht="15" hidden="false" customHeight="true" outlineLevel="0" collapsed="false">
      <c r="A896" s="42"/>
      <c r="B896" s="42"/>
      <c r="C896" s="42"/>
      <c r="D896" s="28" t="str">
        <f aca="false">IF(OR($B896="",$C896=""),"",$C896*IFERROR(INDEX(Setup!$C$47:$C$56,MATCH($B896,Setup!$A$47:$A$56,0)),IFERROR(INDEX(Setup!$C$60:$C$89,MATCH($B896,Setup!$A$60:$A$89,0)),"")))</f>
        <v/>
      </c>
      <c r="E896" s="42"/>
      <c r="F896" s="42"/>
    </row>
    <row r="897" customFormat="false" ht="15" hidden="false" customHeight="true" outlineLevel="0" collapsed="false">
      <c r="A897" s="42"/>
      <c r="B897" s="42"/>
      <c r="C897" s="42"/>
      <c r="D897" s="28" t="str">
        <f aca="false">IF(OR($B897="",$C897=""),"",$C897*IFERROR(INDEX(Setup!$C$47:$C$56,MATCH($B897,Setup!$A$47:$A$56,0)),IFERROR(INDEX(Setup!$C$60:$C$89,MATCH($B897,Setup!$A$60:$A$89,0)),"")))</f>
        <v/>
      </c>
      <c r="E897" s="42"/>
      <c r="F897" s="42"/>
    </row>
    <row r="898" customFormat="false" ht="15" hidden="false" customHeight="true" outlineLevel="0" collapsed="false">
      <c r="A898" s="42"/>
      <c r="B898" s="42"/>
      <c r="C898" s="42"/>
      <c r="D898" s="28" t="str">
        <f aca="false">IF(OR($B898="",$C898=""),"",$C898*IFERROR(INDEX(Setup!$C$47:$C$56,MATCH($B898,Setup!$A$47:$A$56,0)),IFERROR(INDEX(Setup!$C$60:$C$89,MATCH($B898,Setup!$A$60:$A$89,0)),"")))</f>
        <v/>
      </c>
      <c r="E898" s="42"/>
      <c r="F898" s="42"/>
    </row>
    <row r="899" customFormat="false" ht="15" hidden="false" customHeight="true" outlineLevel="0" collapsed="false">
      <c r="A899" s="42"/>
      <c r="B899" s="42"/>
      <c r="C899" s="42"/>
      <c r="D899" s="28" t="str">
        <f aca="false">IF(OR($B899="",$C899=""),"",$C899*IFERROR(INDEX(Setup!$C$47:$C$56,MATCH($B899,Setup!$A$47:$A$56,0)),IFERROR(INDEX(Setup!$C$60:$C$89,MATCH($B899,Setup!$A$60:$A$89,0)),"")))</f>
        <v/>
      </c>
      <c r="E899" s="42"/>
      <c r="F899" s="42"/>
    </row>
    <row r="900" customFormat="false" ht="15" hidden="false" customHeight="true" outlineLevel="0" collapsed="false">
      <c r="A900" s="42"/>
      <c r="B900" s="42"/>
      <c r="C900" s="42"/>
      <c r="D900" s="28" t="str">
        <f aca="false">IF(OR($B900="",$C900=""),"",$C900*IFERROR(INDEX(Setup!$C$47:$C$56,MATCH($B900,Setup!$A$47:$A$56,0)),IFERROR(INDEX(Setup!$C$60:$C$89,MATCH($B900,Setup!$A$60:$A$89,0)),"")))</f>
        <v/>
      </c>
      <c r="E900" s="42"/>
      <c r="F900" s="42"/>
    </row>
    <row r="901" customFormat="false" ht="15" hidden="false" customHeight="true" outlineLevel="0" collapsed="false">
      <c r="A901" s="42"/>
      <c r="B901" s="42"/>
      <c r="C901" s="42"/>
      <c r="D901" s="28" t="str">
        <f aca="false">IF(OR($B901="",$C901=""),"",$C901*IFERROR(INDEX(Setup!$C$47:$C$56,MATCH($B901,Setup!$A$47:$A$56,0)),IFERROR(INDEX(Setup!$C$60:$C$89,MATCH($B901,Setup!$A$60:$A$89,0)),"")))</f>
        <v/>
      </c>
      <c r="E901" s="42"/>
      <c r="F901" s="42"/>
    </row>
    <row r="902" customFormat="false" ht="15" hidden="false" customHeight="true" outlineLevel="0" collapsed="false">
      <c r="A902" s="42"/>
      <c r="B902" s="42"/>
      <c r="C902" s="42"/>
      <c r="D902" s="28" t="str">
        <f aca="false">IF(OR($B902="",$C902=""),"",$C902*IFERROR(INDEX(Setup!$C$47:$C$56,MATCH($B902,Setup!$A$47:$A$56,0)),IFERROR(INDEX(Setup!$C$60:$C$89,MATCH($B902,Setup!$A$60:$A$89,0)),"")))</f>
        <v/>
      </c>
      <c r="E902" s="42"/>
      <c r="F902" s="42"/>
    </row>
    <row r="903" customFormat="false" ht="15" hidden="false" customHeight="true" outlineLevel="0" collapsed="false">
      <c r="A903" s="42"/>
      <c r="B903" s="42"/>
      <c r="C903" s="42"/>
      <c r="D903" s="28" t="str">
        <f aca="false">IF(OR($B903="",$C903=""),"",$C903*IFERROR(INDEX(Setup!$C$47:$C$56,MATCH($B903,Setup!$A$47:$A$56,0)),IFERROR(INDEX(Setup!$C$60:$C$89,MATCH($B903,Setup!$A$60:$A$89,0)),"")))</f>
        <v/>
      </c>
      <c r="E903" s="42"/>
      <c r="F903" s="42"/>
    </row>
    <row r="904" customFormat="false" ht="15" hidden="false" customHeight="true" outlineLevel="0" collapsed="false">
      <c r="A904" s="42"/>
      <c r="B904" s="42"/>
      <c r="C904" s="42"/>
      <c r="D904" s="28" t="str">
        <f aca="false">IF(OR($B904="",$C904=""),"",$C904*IFERROR(INDEX(Setup!$C$47:$C$56,MATCH($B904,Setup!$A$47:$A$56,0)),IFERROR(INDEX(Setup!$C$60:$C$89,MATCH($B904,Setup!$A$60:$A$89,0)),"")))</f>
        <v/>
      </c>
      <c r="E904" s="42"/>
      <c r="F904" s="42"/>
    </row>
    <row r="905" customFormat="false" ht="15" hidden="false" customHeight="true" outlineLevel="0" collapsed="false">
      <c r="A905" s="42"/>
      <c r="B905" s="42"/>
      <c r="C905" s="42"/>
      <c r="D905" s="28" t="str">
        <f aca="false">IF(OR($B905="",$C905=""),"",$C905*IFERROR(INDEX(Setup!$C$47:$C$56,MATCH($B905,Setup!$A$47:$A$56,0)),IFERROR(INDEX(Setup!$C$60:$C$89,MATCH($B905,Setup!$A$60:$A$89,0)),"")))</f>
        <v/>
      </c>
      <c r="E905" s="42"/>
      <c r="F905" s="42"/>
    </row>
    <row r="906" customFormat="false" ht="15" hidden="false" customHeight="true" outlineLevel="0" collapsed="false">
      <c r="A906" s="42"/>
      <c r="B906" s="42"/>
      <c r="C906" s="42"/>
      <c r="D906" s="28" t="str">
        <f aca="false">IF(OR($B906="",$C906=""),"",$C906*IFERROR(INDEX(Setup!$C$47:$C$56,MATCH($B906,Setup!$A$47:$A$56,0)),IFERROR(INDEX(Setup!$C$60:$C$89,MATCH($B906,Setup!$A$60:$A$89,0)),"")))</f>
        <v/>
      </c>
      <c r="E906" s="42"/>
      <c r="F906" s="42"/>
    </row>
    <row r="907" customFormat="false" ht="15" hidden="false" customHeight="true" outlineLevel="0" collapsed="false">
      <c r="A907" s="42"/>
      <c r="B907" s="42"/>
      <c r="C907" s="42"/>
      <c r="D907" s="28" t="str">
        <f aca="false">IF(OR($B907="",$C907=""),"",$C907*IFERROR(INDEX(Setup!$C$47:$C$56,MATCH($B907,Setup!$A$47:$A$56,0)),IFERROR(INDEX(Setup!$C$60:$C$89,MATCH($B907,Setup!$A$60:$A$89,0)),"")))</f>
        <v/>
      </c>
      <c r="E907" s="42"/>
      <c r="F907" s="42"/>
    </row>
    <row r="908" customFormat="false" ht="15" hidden="false" customHeight="true" outlineLevel="0" collapsed="false">
      <c r="A908" s="42"/>
      <c r="B908" s="42"/>
      <c r="C908" s="42"/>
      <c r="D908" s="28" t="str">
        <f aca="false">IF(OR($B908="",$C908=""),"",$C908*IFERROR(INDEX(Setup!$C$47:$C$56,MATCH($B908,Setup!$A$47:$A$56,0)),IFERROR(INDEX(Setup!$C$60:$C$89,MATCH($B908,Setup!$A$60:$A$89,0)),"")))</f>
        <v/>
      </c>
      <c r="E908" s="42"/>
      <c r="F908" s="42"/>
    </row>
    <row r="909" customFormat="false" ht="15" hidden="false" customHeight="true" outlineLevel="0" collapsed="false">
      <c r="A909" s="42"/>
      <c r="B909" s="42"/>
      <c r="C909" s="42"/>
      <c r="D909" s="28" t="str">
        <f aca="false">IF(OR($B909="",$C909=""),"",$C909*IFERROR(INDEX(Setup!$C$47:$C$56,MATCH($B909,Setup!$A$47:$A$56,0)),IFERROR(INDEX(Setup!$C$60:$C$89,MATCH($B909,Setup!$A$60:$A$89,0)),"")))</f>
        <v/>
      </c>
      <c r="E909" s="42"/>
      <c r="F909" s="42"/>
    </row>
    <row r="910" customFormat="false" ht="15" hidden="false" customHeight="true" outlineLevel="0" collapsed="false">
      <c r="A910" s="42"/>
      <c r="B910" s="42"/>
      <c r="C910" s="42"/>
      <c r="D910" s="28" t="str">
        <f aca="false">IF(OR($B910="",$C910=""),"",$C910*IFERROR(INDEX(Setup!$C$47:$C$56,MATCH($B910,Setup!$A$47:$A$56,0)),IFERROR(INDEX(Setup!$C$60:$C$89,MATCH($B910,Setup!$A$60:$A$89,0)),"")))</f>
        <v/>
      </c>
      <c r="E910" s="42"/>
      <c r="F910" s="42"/>
    </row>
    <row r="911" customFormat="false" ht="15" hidden="false" customHeight="true" outlineLevel="0" collapsed="false">
      <c r="A911" s="42"/>
      <c r="B911" s="42"/>
      <c r="C911" s="42"/>
      <c r="D911" s="28" t="str">
        <f aca="false">IF(OR($B911="",$C911=""),"",$C911*IFERROR(INDEX(Setup!$C$47:$C$56,MATCH($B911,Setup!$A$47:$A$56,0)),IFERROR(INDEX(Setup!$C$60:$C$89,MATCH($B911,Setup!$A$60:$A$89,0)),"")))</f>
        <v/>
      </c>
      <c r="E911" s="42"/>
      <c r="F911" s="42"/>
    </row>
    <row r="912" customFormat="false" ht="15" hidden="false" customHeight="true" outlineLevel="0" collapsed="false">
      <c r="A912" s="42"/>
      <c r="B912" s="42"/>
      <c r="C912" s="42"/>
      <c r="D912" s="28" t="str">
        <f aca="false">IF(OR($B912="",$C912=""),"",$C912*IFERROR(INDEX(Setup!$C$47:$C$56,MATCH($B912,Setup!$A$47:$A$56,0)),IFERROR(INDEX(Setup!$C$60:$C$89,MATCH($B912,Setup!$A$60:$A$89,0)),"")))</f>
        <v/>
      </c>
      <c r="E912" s="42"/>
      <c r="F912" s="42"/>
    </row>
    <row r="913" customFormat="false" ht="15" hidden="false" customHeight="true" outlineLevel="0" collapsed="false">
      <c r="A913" s="42"/>
      <c r="B913" s="42"/>
      <c r="C913" s="42"/>
      <c r="D913" s="28" t="str">
        <f aca="false">IF(OR($B913="",$C913=""),"",$C913*IFERROR(INDEX(Setup!$C$47:$C$56,MATCH($B913,Setup!$A$47:$A$56,0)),IFERROR(INDEX(Setup!$C$60:$C$89,MATCH($B913,Setup!$A$60:$A$89,0)),"")))</f>
        <v/>
      </c>
      <c r="E913" s="42"/>
      <c r="F913" s="42"/>
    </row>
    <row r="914" customFormat="false" ht="15" hidden="false" customHeight="true" outlineLevel="0" collapsed="false">
      <c r="A914" s="42"/>
      <c r="B914" s="42"/>
      <c r="C914" s="42"/>
      <c r="D914" s="28" t="str">
        <f aca="false">IF(OR($B914="",$C914=""),"",$C914*IFERROR(INDEX(Setup!$C$47:$C$56,MATCH($B914,Setup!$A$47:$A$56,0)),IFERROR(INDEX(Setup!$C$60:$C$89,MATCH($B914,Setup!$A$60:$A$89,0)),"")))</f>
        <v/>
      </c>
      <c r="E914" s="42"/>
      <c r="F914" s="42"/>
    </row>
    <row r="915" customFormat="false" ht="15" hidden="false" customHeight="true" outlineLevel="0" collapsed="false">
      <c r="A915" s="42"/>
      <c r="B915" s="42"/>
      <c r="C915" s="42"/>
      <c r="D915" s="28" t="str">
        <f aca="false">IF(OR($B915="",$C915=""),"",$C915*IFERROR(INDEX(Setup!$C$47:$C$56,MATCH($B915,Setup!$A$47:$A$56,0)),IFERROR(INDEX(Setup!$C$60:$C$89,MATCH($B915,Setup!$A$60:$A$89,0)),"")))</f>
        <v/>
      </c>
      <c r="E915" s="42"/>
      <c r="F915" s="42"/>
    </row>
    <row r="916" customFormat="false" ht="15" hidden="false" customHeight="true" outlineLevel="0" collapsed="false">
      <c r="A916" s="42"/>
      <c r="B916" s="42"/>
      <c r="C916" s="42"/>
      <c r="D916" s="28" t="str">
        <f aca="false">IF(OR($B916="",$C916=""),"",$C916*IFERROR(INDEX(Setup!$C$47:$C$56,MATCH($B916,Setup!$A$47:$A$56,0)),IFERROR(INDEX(Setup!$C$60:$C$89,MATCH($B916,Setup!$A$60:$A$89,0)),"")))</f>
        <v/>
      </c>
      <c r="E916" s="42"/>
      <c r="F916" s="42"/>
    </row>
    <row r="917" customFormat="false" ht="15" hidden="false" customHeight="true" outlineLevel="0" collapsed="false">
      <c r="A917" s="42"/>
      <c r="B917" s="42"/>
      <c r="C917" s="42"/>
      <c r="D917" s="28" t="str">
        <f aca="false">IF(OR($B917="",$C917=""),"",$C917*IFERROR(INDEX(Setup!$C$47:$C$56,MATCH($B917,Setup!$A$47:$A$56,0)),IFERROR(INDEX(Setup!$C$60:$C$89,MATCH($B917,Setup!$A$60:$A$89,0)),"")))</f>
        <v/>
      </c>
      <c r="E917" s="42"/>
      <c r="F917" s="42"/>
    </row>
    <row r="918" customFormat="false" ht="15" hidden="false" customHeight="true" outlineLevel="0" collapsed="false">
      <c r="A918" s="42"/>
      <c r="B918" s="42"/>
      <c r="C918" s="42"/>
      <c r="D918" s="28" t="str">
        <f aca="false">IF(OR($B918="",$C918=""),"",$C918*IFERROR(INDEX(Setup!$C$47:$C$56,MATCH($B918,Setup!$A$47:$A$56,0)),IFERROR(INDEX(Setup!$C$60:$C$89,MATCH($B918,Setup!$A$60:$A$89,0)),"")))</f>
        <v/>
      </c>
      <c r="E918" s="42"/>
      <c r="F918" s="42"/>
    </row>
    <row r="919" customFormat="false" ht="15" hidden="false" customHeight="true" outlineLevel="0" collapsed="false">
      <c r="A919" s="42"/>
      <c r="B919" s="42"/>
      <c r="C919" s="42"/>
      <c r="D919" s="28" t="str">
        <f aca="false">IF(OR($B919="",$C919=""),"",$C919*IFERROR(INDEX(Setup!$C$47:$C$56,MATCH($B919,Setup!$A$47:$A$56,0)),IFERROR(INDEX(Setup!$C$60:$C$89,MATCH($B919,Setup!$A$60:$A$89,0)),"")))</f>
        <v/>
      </c>
      <c r="E919" s="42"/>
      <c r="F919" s="42"/>
    </row>
    <row r="920" customFormat="false" ht="15" hidden="false" customHeight="true" outlineLevel="0" collapsed="false">
      <c r="A920" s="42"/>
      <c r="B920" s="42"/>
      <c r="C920" s="42"/>
      <c r="D920" s="28" t="str">
        <f aca="false">IF(OR($B920="",$C920=""),"",$C920*IFERROR(INDEX(Setup!$C$47:$C$56,MATCH($B920,Setup!$A$47:$A$56,0)),IFERROR(INDEX(Setup!$C$60:$C$89,MATCH($B920,Setup!$A$60:$A$89,0)),"")))</f>
        <v/>
      </c>
      <c r="E920" s="42"/>
      <c r="F920" s="42"/>
    </row>
    <row r="921" customFormat="false" ht="15" hidden="false" customHeight="true" outlineLevel="0" collapsed="false">
      <c r="A921" s="42"/>
      <c r="B921" s="42"/>
      <c r="C921" s="42"/>
      <c r="D921" s="28" t="str">
        <f aca="false">IF(OR($B921="",$C921=""),"",$C921*IFERROR(INDEX(Setup!$C$47:$C$56,MATCH($B921,Setup!$A$47:$A$56,0)),IFERROR(INDEX(Setup!$C$60:$C$89,MATCH($B921,Setup!$A$60:$A$89,0)),"")))</f>
        <v/>
      </c>
      <c r="E921" s="42"/>
      <c r="F921" s="42"/>
    </row>
    <row r="922" customFormat="false" ht="15" hidden="false" customHeight="true" outlineLevel="0" collapsed="false">
      <c r="A922" s="42"/>
      <c r="B922" s="42"/>
      <c r="C922" s="42"/>
      <c r="D922" s="28" t="str">
        <f aca="false">IF(OR($B922="",$C922=""),"",$C922*IFERROR(INDEX(Setup!$C$47:$C$56,MATCH($B922,Setup!$A$47:$A$56,0)),IFERROR(INDEX(Setup!$C$60:$C$89,MATCH($B922,Setup!$A$60:$A$89,0)),"")))</f>
        <v/>
      </c>
      <c r="E922" s="42"/>
      <c r="F922" s="42"/>
    </row>
    <row r="923" customFormat="false" ht="15" hidden="false" customHeight="true" outlineLevel="0" collapsed="false">
      <c r="A923" s="42"/>
      <c r="B923" s="42"/>
      <c r="C923" s="42"/>
      <c r="D923" s="28" t="str">
        <f aca="false">IF(OR($B923="",$C923=""),"",$C923*IFERROR(INDEX(Setup!$C$47:$C$56,MATCH($B923,Setup!$A$47:$A$56,0)),IFERROR(INDEX(Setup!$C$60:$C$89,MATCH($B923,Setup!$A$60:$A$89,0)),"")))</f>
        <v/>
      </c>
      <c r="E923" s="42"/>
      <c r="F923" s="42"/>
    </row>
    <row r="924" customFormat="false" ht="15" hidden="false" customHeight="true" outlineLevel="0" collapsed="false">
      <c r="A924" s="42"/>
      <c r="B924" s="42"/>
      <c r="C924" s="42"/>
      <c r="D924" s="28" t="str">
        <f aca="false">IF(OR($B924="",$C924=""),"",$C924*IFERROR(INDEX(Setup!$C$47:$C$56,MATCH($B924,Setup!$A$47:$A$56,0)),IFERROR(INDEX(Setup!$C$60:$C$89,MATCH($B924,Setup!$A$60:$A$89,0)),"")))</f>
        <v/>
      </c>
      <c r="E924" s="42"/>
      <c r="F924" s="42"/>
    </row>
    <row r="925" customFormat="false" ht="15" hidden="false" customHeight="true" outlineLevel="0" collapsed="false">
      <c r="A925" s="42"/>
      <c r="B925" s="42"/>
      <c r="C925" s="42"/>
      <c r="D925" s="28" t="str">
        <f aca="false">IF(OR($B925="",$C925=""),"",$C925*IFERROR(INDEX(Setup!$C$47:$C$56,MATCH($B925,Setup!$A$47:$A$56,0)),IFERROR(INDEX(Setup!$C$60:$C$89,MATCH($B925,Setup!$A$60:$A$89,0)),"")))</f>
        <v/>
      </c>
      <c r="E925" s="42"/>
      <c r="F925" s="42"/>
    </row>
    <row r="926" customFormat="false" ht="15" hidden="false" customHeight="true" outlineLevel="0" collapsed="false">
      <c r="A926" s="42"/>
      <c r="B926" s="42"/>
      <c r="C926" s="42"/>
      <c r="D926" s="28" t="str">
        <f aca="false">IF(OR($B926="",$C926=""),"",$C926*IFERROR(INDEX(Setup!$C$47:$C$56,MATCH($B926,Setup!$A$47:$A$56,0)),IFERROR(INDEX(Setup!$C$60:$C$89,MATCH($B926,Setup!$A$60:$A$89,0)),"")))</f>
        <v/>
      </c>
      <c r="E926" s="42"/>
      <c r="F926" s="42"/>
    </row>
    <row r="927" customFormat="false" ht="15" hidden="false" customHeight="true" outlineLevel="0" collapsed="false">
      <c r="A927" s="42"/>
      <c r="B927" s="42"/>
      <c r="C927" s="42"/>
      <c r="D927" s="28" t="str">
        <f aca="false">IF(OR($B927="",$C927=""),"",$C927*IFERROR(INDEX(Setup!$C$47:$C$56,MATCH($B927,Setup!$A$47:$A$56,0)),IFERROR(INDEX(Setup!$C$60:$C$89,MATCH($B927,Setup!$A$60:$A$89,0)),"")))</f>
        <v/>
      </c>
      <c r="E927" s="42"/>
      <c r="F927" s="42"/>
    </row>
    <row r="928" customFormat="false" ht="15" hidden="false" customHeight="true" outlineLevel="0" collapsed="false">
      <c r="A928" s="42"/>
      <c r="B928" s="42"/>
      <c r="C928" s="42"/>
      <c r="D928" s="28" t="str">
        <f aca="false">IF(OR($B928="",$C928=""),"",$C928*IFERROR(INDEX(Setup!$C$47:$C$56,MATCH($B928,Setup!$A$47:$A$56,0)),IFERROR(INDEX(Setup!$C$60:$C$89,MATCH($B928,Setup!$A$60:$A$89,0)),"")))</f>
        <v/>
      </c>
      <c r="E928" s="42"/>
      <c r="F928" s="42"/>
    </row>
    <row r="929" customFormat="false" ht="15" hidden="false" customHeight="true" outlineLevel="0" collapsed="false">
      <c r="A929" s="42"/>
      <c r="B929" s="42"/>
      <c r="C929" s="42"/>
      <c r="D929" s="28" t="str">
        <f aca="false">IF(OR($B929="",$C929=""),"",$C929*IFERROR(INDEX(Setup!$C$47:$C$56,MATCH($B929,Setup!$A$47:$A$56,0)),IFERROR(INDEX(Setup!$C$60:$C$89,MATCH($B929,Setup!$A$60:$A$89,0)),"")))</f>
        <v/>
      </c>
      <c r="E929" s="42"/>
      <c r="F929" s="42"/>
    </row>
    <row r="930" customFormat="false" ht="15" hidden="false" customHeight="true" outlineLevel="0" collapsed="false">
      <c r="A930" s="42"/>
      <c r="B930" s="42"/>
      <c r="C930" s="42"/>
      <c r="D930" s="28" t="str">
        <f aca="false">IF(OR($B930="",$C930=""),"",$C930*IFERROR(INDEX(Setup!$C$47:$C$56,MATCH($B930,Setup!$A$47:$A$56,0)),IFERROR(INDEX(Setup!$C$60:$C$89,MATCH($B930,Setup!$A$60:$A$89,0)),"")))</f>
        <v/>
      </c>
      <c r="E930" s="42"/>
      <c r="F930" s="42"/>
    </row>
    <row r="931" customFormat="false" ht="15" hidden="false" customHeight="true" outlineLevel="0" collapsed="false">
      <c r="A931" s="42"/>
      <c r="B931" s="42"/>
      <c r="C931" s="42"/>
      <c r="D931" s="28" t="str">
        <f aca="false">IF(OR($B931="",$C931=""),"",$C931*IFERROR(INDEX(Setup!$C$47:$C$56,MATCH($B931,Setup!$A$47:$A$56,0)),IFERROR(INDEX(Setup!$C$60:$C$89,MATCH($B931,Setup!$A$60:$A$89,0)),"")))</f>
        <v/>
      </c>
      <c r="E931" s="42"/>
      <c r="F931" s="42"/>
    </row>
    <row r="932" customFormat="false" ht="15" hidden="false" customHeight="true" outlineLevel="0" collapsed="false">
      <c r="A932" s="42"/>
      <c r="B932" s="42"/>
      <c r="C932" s="42"/>
      <c r="D932" s="28" t="str">
        <f aca="false">IF(OR($B932="",$C932=""),"",$C932*IFERROR(INDEX(Setup!$C$47:$C$56,MATCH($B932,Setup!$A$47:$A$56,0)),IFERROR(INDEX(Setup!$C$60:$C$89,MATCH($B932,Setup!$A$60:$A$89,0)),"")))</f>
        <v/>
      </c>
      <c r="E932" s="42"/>
      <c r="F932" s="42"/>
    </row>
    <row r="933" customFormat="false" ht="15" hidden="false" customHeight="true" outlineLevel="0" collapsed="false">
      <c r="A933" s="42"/>
      <c r="B933" s="42"/>
      <c r="C933" s="42"/>
      <c r="D933" s="28" t="str">
        <f aca="false">IF(OR($B933="",$C933=""),"",$C933*IFERROR(INDEX(Setup!$C$47:$C$56,MATCH($B933,Setup!$A$47:$A$56,0)),IFERROR(INDEX(Setup!$C$60:$C$89,MATCH($B933,Setup!$A$60:$A$89,0)),"")))</f>
        <v/>
      </c>
      <c r="E933" s="42"/>
      <c r="F933" s="42"/>
    </row>
    <row r="934" customFormat="false" ht="15" hidden="false" customHeight="true" outlineLevel="0" collapsed="false">
      <c r="A934" s="42"/>
      <c r="B934" s="42"/>
      <c r="C934" s="42"/>
      <c r="D934" s="28" t="str">
        <f aca="false">IF(OR($B934="",$C934=""),"",$C934*IFERROR(INDEX(Setup!$C$47:$C$56,MATCH($B934,Setup!$A$47:$A$56,0)),IFERROR(INDEX(Setup!$C$60:$C$89,MATCH($B934,Setup!$A$60:$A$89,0)),"")))</f>
        <v/>
      </c>
      <c r="E934" s="42"/>
      <c r="F934" s="42"/>
    </row>
    <row r="935" customFormat="false" ht="15" hidden="false" customHeight="true" outlineLevel="0" collapsed="false">
      <c r="A935" s="42"/>
      <c r="B935" s="42"/>
      <c r="C935" s="42"/>
      <c r="D935" s="28" t="str">
        <f aca="false">IF(OR($B935="",$C935=""),"",$C935*IFERROR(INDEX(Setup!$C$47:$C$56,MATCH($B935,Setup!$A$47:$A$56,0)),IFERROR(INDEX(Setup!$C$60:$C$89,MATCH($B935,Setup!$A$60:$A$89,0)),"")))</f>
        <v/>
      </c>
      <c r="E935" s="42"/>
      <c r="F935" s="42"/>
    </row>
    <row r="936" customFormat="false" ht="15" hidden="false" customHeight="true" outlineLevel="0" collapsed="false">
      <c r="A936" s="42"/>
      <c r="B936" s="42"/>
      <c r="C936" s="42"/>
      <c r="D936" s="28" t="str">
        <f aca="false">IF(OR($B936="",$C936=""),"",$C936*IFERROR(INDEX(Setup!$C$47:$C$56,MATCH($B936,Setup!$A$47:$A$56,0)),IFERROR(INDEX(Setup!$C$60:$C$89,MATCH($B936,Setup!$A$60:$A$89,0)),"")))</f>
        <v/>
      </c>
      <c r="E936" s="42"/>
      <c r="F936" s="42"/>
    </row>
    <row r="937" customFormat="false" ht="15" hidden="false" customHeight="true" outlineLevel="0" collapsed="false">
      <c r="A937" s="42"/>
      <c r="B937" s="42"/>
      <c r="C937" s="42"/>
      <c r="D937" s="28" t="str">
        <f aca="false">IF(OR($B937="",$C937=""),"",$C937*IFERROR(INDEX(Setup!$C$47:$C$56,MATCH($B937,Setup!$A$47:$A$56,0)),IFERROR(INDEX(Setup!$C$60:$C$89,MATCH($B937,Setup!$A$60:$A$89,0)),"")))</f>
        <v/>
      </c>
      <c r="E937" s="42"/>
      <c r="F937" s="42"/>
    </row>
    <row r="938" customFormat="false" ht="15" hidden="false" customHeight="true" outlineLevel="0" collapsed="false">
      <c r="A938" s="42"/>
      <c r="B938" s="42"/>
      <c r="C938" s="42"/>
      <c r="D938" s="28" t="str">
        <f aca="false">IF(OR($B938="",$C938=""),"",$C938*IFERROR(INDEX(Setup!$C$47:$C$56,MATCH($B938,Setup!$A$47:$A$56,0)),IFERROR(INDEX(Setup!$C$60:$C$89,MATCH($B938,Setup!$A$60:$A$89,0)),"")))</f>
        <v/>
      </c>
      <c r="E938" s="42"/>
      <c r="F938" s="42"/>
    </row>
    <row r="939" customFormat="false" ht="15" hidden="false" customHeight="true" outlineLevel="0" collapsed="false">
      <c r="A939" s="42"/>
      <c r="B939" s="42"/>
      <c r="C939" s="42"/>
      <c r="D939" s="28" t="str">
        <f aca="false">IF(OR($B939="",$C939=""),"",$C939*IFERROR(INDEX(Setup!$C$47:$C$56,MATCH($B939,Setup!$A$47:$A$56,0)),IFERROR(INDEX(Setup!$C$60:$C$89,MATCH($B939,Setup!$A$60:$A$89,0)),"")))</f>
        <v/>
      </c>
      <c r="E939" s="42"/>
      <c r="F939" s="42"/>
    </row>
    <row r="940" customFormat="false" ht="15" hidden="false" customHeight="true" outlineLevel="0" collapsed="false">
      <c r="A940" s="42"/>
      <c r="B940" s="42"/>
      <c r="C940" s="42"/>
      <c r="D940" s="28" t="str">
        <f aca="false">IF(OR($B940="",$C940=""),"",$C940*IFERROR(INDEX(Setup!$C$47:$C$56,MATCH($B940,Setup!$A$47:$A$56,0)),IFERROR(INDEX(Setup!$C$60:$C$89,MATCH($B940,Setup!$A$60:$A$89,0)),"")))</f>
        <v/>
      </c>
      <c r="E940" s="42"/>
      <c r="F940" s="42"/>
    </row>
    <row r="941" customFormat="false" ht="15" hidden="false" customHeight="true" outlineLevel="0" collapsed="false">
      <c r="A941" s="42"/>
      <c r="B941" s="42"/>
      <c r="C941" s="42"/>
      <c r="D941" s="28" t="str">
        <f aca="false">IF(OR($B941="",$C941=""),"",$C941*IFERROR(INDEX(Setup!$C$47:$C$56,MATCH($B941,Setup!$A$47:$A$56,0)),IFERROR(INDEX(Setup!$C$60:$C$89,MATCH($B941,Setup!$A$60:$A$89,0)),"")))</f>
        <v/>
      </c>
      <c r="E941" s="42"/>
      <c r="F941" s="42"/>
    </row>
    <row r="942" customFormat="false" ht="15" hidden="false" customHeight="true" outlineLevel="0" collapsed="false">
      <c r="A942" s="42"/>
      <c r="B942" s="42"/>
      <c r="C942" s="42"/>
      <c r="D942" s="28" t="str">
        <f aca="false">IF(OR($B942="",$C942=""),"",$C942*IFERROR(INDEX(Setup!$C$47:$C$56,MATCH($B942,Setup!$A$47:$A$56,0)),IFERROR(INDEX(Setup!$C$60:$C$89,MATCH($B942,Setup!$A$60:$A$89,0)),"")))</f>
        <v/>
      </c>
      <c r="E942" s="42"/>
      <c r="F942" s="42"/>
    </row>
    <row r="943" customFormat="false" ht="15" hidden="false" customHeight="true" outlineLevel="0" collapsed="false">
      <c r="A943" s="42"/>
      <c r="B943" s="42"/>
      <c r="C943" s="42"/>
      <c r="D943" s="28" t="str">
        <f aca="false">IF(OR($B943="",$C943=""),"",$C943*IFERROR(INDEX(Setup!$C$47:$C$56,MATCH($B943,Setup!$A$47:$A$56,0)),IFERROR(INDEX(Setup!$C$60:$C$89,MATCH($B943,Setup!$A$60:$A$89,0)),"")))</f>
        <v/>
      </c>
      <c r="E943" s="42"/>
      <c r="F943" s="42"/>
    </row>
    <row r="944" customFormat="false" ht="15" hidden="false" customHeight="true" outlineLevel="0" collapsed="false">
      <c r="A944" s="42"/>
      <c r="B944" s="42"/>
      <c r="C944" s="42"/>
      <c r="D944" s="28" t="str">
        <f aca="false">IF(OR($B944="",$C944=""),"",$C944*IFERROR(INDEX(Setup!$C$47:$C$56,MATCH($B944,Setup!$A$47:$A$56,0)),IFERROR(INDEX(Setup!$C$60:$C$89,MATCH($B944,Setup!$A$60:$A$89,0)),"")))</f>
        <v/>
      </c>
      <c r="E944" s="42"/>
      <c r="F944" s="42"/>
    </row>
    <row r="945" customFormat="false" ht="15" hidden="false" customHeight="true" outlineLevel="0" collapsed="false">
      <c r="A945" s="42"/>
      <c r="B945" s="42"/>
      <c r="C945" s="42"/>
      <c r="D945" s="28" t="str">
        <f aca="false">IF(OR($B945="",$C945=""),"",$C945*IFERROR(INDEX(Setup!$C$47:$C$56,MATCH($B945,Setup!$A$47:$A$56,0)),IFERROR(INDEX(Setup!$C$60:$C$89,MATCH($B945,Setup!$A$60:$A$89,0)),"")))</f>
        <v/>
      </c>
      <c r="E945" s="42"/>
      <c r="F945" s="42"/>
    </row>
    <row r="946" customFormat="false" ht="15" hidden="false" customHeight="true" outlineLevel="0" collapsed="false">
      <c r="A946" s="42"/>
      <c r="B946" s="42"/>
      <c r="C946" s="42"/>
      <c r="D946" s="28" t="str">
        <f aca="false">IF(OR($B946="",$C946=""),"",$C946*IFERROR(INDEX(Setup!$C$47:$C$56,MATCH($B946,Setup!$A$47:$A$56,0)),IFERROR(INDEX(Setup!$C$60:$C$89,MATCH($B946,Setup!$A$60:$A$89,0)),"")))</f>
        <v/>
      </c>
      <c r="E946" s="42"/>
      <c r="F946" s="42"/>
    </row>
    <row r="947" customFormat="false" ht="15" hidden="false" customHeight="true" outlineLevel="0" collapsed="false">
      <c r="A947" s="42"/>
      <c r="B947" s="42"/>
      <c r="C947" s="42"/>
      <c r="D947" s="28" t="str">
        <f aca="false">IF(OR($B947="",$C947=""),"",$C947*IFERROR(INDEX(Setup!$C$47:$C$56,MATCH($B947,Setup!$A$47:$A$56,0)),IFERROR(INDEX(Setup!$C$60:$C$89,MATCH($B947,Setup!$A$60:$A$89,0)),"")))</f>
        <v/>
      </c>
      <c r="E947" s="42"/>
      <c r="F947" s="42"/>
    </row>
    <row r="948" customFormat="false" ht="15" hidden="false" customHeight="true" outlineLevel="0" collapsed="false">
      <c r="A948" s="42"/>
      <c r="B948" s="42"/>
      <c r="C948" s="42"/>
      <c r="D948" s="28" t="str">
        <f aca="false">IF(OR($B948="",$C948=""),"",$C948*IFERROR(INDEX(Setup!$C$47:$C$56,MATCH($B948,Setup!$A$47:$A$56,0)),IFERROR(INDEX(Setup!$C$60:$C$89,MATCH($B948,Setup!$A$60:$A$89,0)),"")))</f>
        <v/>
      </c>
      <c r="E948" s="42"/>
      <c r="F948" s="42"/>
    </row>
    <row r="949" customFormat="false" ht="15" hidden="false" customHeight="true" outlineLevel="0" collapsed="false">
      <c r="A949" s="42"/>
      <c r="B949" s="42"/>
      <c r="C949" s="42"/>
      <c r="D949" s="28" t="str">
        <f aca="false">IF(OR($B949="",$C949=""),"",$C949*IFERROR(INDEX(Setup!$C$47:$C$56,MATCH($B949,Setup!$A$47:$A$56,0)),IFERROR(INDEX(Setup!$C$60:$C$89,MATCH($B949,Setup!$A$60:$A$89,0)),"")))</f>
        <v/>
      </c>
      <c r="E949" s="42"/>
      <c r="F949" s="42"/>
    </row>
    <row r="950" customFormat="false" ht="15" hidden="false" customHeight="true" outlineLevel="0" collapsed="false">
      <c r="A950" s="42"/>
      <c r="B950" s="42"/>
      <c r="C950" s="42"/>
      <c r="D950" s="28" t="str">
        <f aca="false">IF(OR($B950="",$C950=""),"",$C950*IFERROR(INDEX(Setup!$C$47:$C$56,MATCH($B950,Setup!$A$47:$A$56,0)),IFERROR(INDEX(Setup!$C$60:$C$89,MATCH($B950,Setup!$A$60:$A$89,0)),"")))</f>
        <v/>
      </c>
      <c r="E950" s="42"/>
      <c r="F950" s="42"/>
    </row>
    <row r="951" customFormat="false" ht="15" hidden="false" customHeight="true" outlineLevel="0" collapsed="false">
      <c r="A951" s="42"/>
      <c r="B951" s="42"/>
      <c r="C951" s="42"/>
      <c r="D951" s="28" t="str">
        <f aca="false">IF(OR($B951="",$C951=""),"",$C951*IFERROR(INDEX(Setup!$C$47:$C$56,MATCH($B951,Setup!$A$47:$A$56,0)),IFERROR(INDEX(Setup!$C$60:$C$89,MATCH($B951,Setup!$A$60:$A$89,0)),"")))</f>
        <v/>
      </c>
      <c r="E951" s="42"/>
      <c r="F951" s="42"/>
    </row>
    <row r="952" customFormat="false" ht="15" hidden="false" customHeight="true" outlineLevel="0" collapsed="false">
      <c r="A952" s="42"/>
      <c r="B952" s="42"/>
      <c r="C952" s="42"/>
      <c r="D952" s="28" t="str">
        <f aca="false">IF(OR($B952="",$C952=""),"",$C952*IFERROR(INDEX(Setup!$C$47:$C$56,MATCH($B952,Setup!$A$47:$A$56,0)),IFERROR(INDEX(Setup!$C$60:$C$89,MATCH($B952,Setup!$A$60:$A$89,0)),"")))</f>
        <v/>
      </c>
      <c r="E952" s="42"/>
      <c r="F952" s="42"/>
    </row>
    <row r="953" customFormat="false" ht="15" hidden="false" customHeight="true" outlineLevel="0" collapsed="false">
      <c r="A953" s="42"/>
      <c r="B953" s="42"/>
      <c r="C953" s="42"/>
      <c r="D953" s="28" t="str">
        <f aca="false">IF(OR($B953="",$C953=""),"",$C953*IFERROR(INDEX(Setup!$C$47:$C$56,MATCH($B953,Setup!$A$47:$A$56,0)),IFERROR(INDEX(Setup!$C$60:$C$89,MATCH($B953,Setup!$A$60:$A$89,0)),"")))</f>
        <v/>
      </c>
      <c r="E953" s="42"/>
      <c r="F953" s="42"/>
    </row>
    <row r="954" customFormat="false" ht="15" hidden="false" customHeight="true" outlineLevel="0" collapsed="false">
      <c r="A954" s="42"/>
      <c r="B954" s="42"/>
      <c r="C954" s="42"/>
      <c r="D954" s="28" t="str">
        <f aca="false">IF(OR($B954="",$C954=""),"",$C954*IFERROR(INDEX(Setup!$C$47:$C$56,MATCH($B954,Setup!$A$47:$A$56,0)),IFERROR(INDEX(Setup!$C$60:$C$89,MATCH($B954,Setup!$A$60:$A$89,0)),"")))</f>
        <v/>
      </c>
      <c r="E954" s="42"/>
      <c r="F954" s="42"/>
    </row>
    <row r="955" customFormat="false" ht="15" hidden="false" customHeight="true" outlineLevel="0" collapsed="false">
      <c r="A955" s="42"/>
      <c r="B955" s="42"/>
      <c r="C955" s="42"/>
      <c r="D955" s="28" t="str">
        <f aca="false">IF(OR($B955="",$C955=""),"",$C955*IFERROR(INDEX(Setup!$C$47:$C$56,MATCH($B955,Setup!$A$47:$A$56,0)),IFERROR(INDEX(Setup!$C$60:$C$89,MATCH($B955,Setup!$A$60:$A$89,0)),"")))</f>
        <v/>
      </c>
      <c r="E955" s="42"/>
      <c r="F955" s="42"/>
    </row>
    <row r="956" customFormat="false" ht="15" hidden="false" customHeight="true" outlineLevel="0" collapsed="false">
      <c r="A956" s="42"/>
      <c r="B956" s="42"/>
      <c r="C956" s="42"/>
      <c r="D956" s="28" t="str">
        <f aca="false">IF(OR($B956="",$C956=""),"",$C956*IFERROR(INDEX(Setup!$C$47:$C$56,MATCH($B956,Setup!$A$47:$A$56,0)),IFERROR(INDEX(Setup!$C$60:$C$89,MATCH($B956,Setup!$A$60:$A$89,0)),"")))</f>
        <v/>
      </c>
      <c r="E956" s="42"/>
      <c r="F956" s="42"/>
    </row>
    <row r="957" customFormat="false" ht="15" hidden="false" customHeight="true" outlineLevel="0" collapsed="false">
      <c r="A957" s="42"/>
      <c r="B957" s="42"/>
      <c r="C957" s="42"/>
      <c r="D957" s="28" t="str">
        <f aca="false">IF(OR($B957="",$C957=""),"",$C957*IFERROR(INDEX(Setup!$C$47:$C$56,MATCH($B957,Setup!$A$47:$A$56,0)),IFERROR(INDEX(Setup!$C$60:$C$89,MATCH($B957,Setup!$A$60:$A$89,0)),"")))</f>
        <v/>
      </c>
      <c r="E957" s="42"/>
      <c r="F957" s="42"/>
    </row>
    <row r="958" customFormat="false" ht="15" hidden="false" customHeight="true" outlineLevel="0" collapsed="false">
      <c r="A958" s="42"/>
      <c r="B958" s="42"/>
      <c r="C958" s="42"/>
      <c r="D958" s="28" t="str">
        <f aca="false">IF(OR($B958="",$C958=""),"",$C958*IFERROR(INDEX(Setup!$C$47:$C$56,MATCH($B958,Setup!$A$47:$A$56,0)),IFERROR(INDEX(Setup!$C$60:$C$89,MATCH($B958,Setup!$A$60:$A$89,0)),"")))</f>
        <v/>
      </c>
      <c r="E958" s="42"/>
      <c r="F958" s="42"/>
    </row>
    <row r="959" customFormat="false" ht="15" hidden="false" customHeight="true" outlineLevel="0" collapsed="false">
      <c r="A959" s="42"/>
      <c r="B959" s="42"/>
      <c r="C959" s="42"/>
      <c r="D959" s="28" t="str">
        <f aca="false">IF(OR($B959="",$C959=""),"",$C959*IFERROR(INDEX(Setup!$C$47:$C$56,MATCH($B959,Setup!$A$47:$A$56,0)),IFERROR(INDEX(Setup!$C$60:$C$89,MATCH($B959,Setup!$A$60:$A$89,0)),"")))</f>
        <v/>
      </c>
      <c r="E959" s="42"/>
      <c r="F959" s="42"/>
    </row>
    <row r="960" customFormat="false" ht="15" hidden="false" customHeight="true" outlineLevel="0" collapsed="false">
      <c r="A960" s="42"/>
      <c r="B960" s="42"/>
      <c r="C960" s="42"/>
      <c r="D960" s="28" t="str">
        <f aca="false">IF(OR($B960="",$C960=""),"",$C960*IFERROR(INDEX(Setup!$C$47:$C$56,MATCH($B960,Setup!$A$47:$A$56,0)),IFERROR(INDEX(Setup!$C$60:$C$89,MATCH($B960,Setup!$A$60:$A$89,0)),"")))</f>
        <v/>
      </c>
      <c r="E960" s="42"/>
      <c r="F960" s="42"/>
    </row>
    <row r="961" customFormat="false" ht="15" hidden="false" customHeight="true" outlineLevel="0" collapsed="false">
      <c r="A961" s="42"/>
      <c r="B961" s="42"/>
      <c r="C961" s="42"/>
      <c r="D961" s="28" t="str">
        <f aca="false">IF(OR($B961="",$C961=""),"",$C961*IFERROR(INDEX(Setup!$C$47:$C$56,MATCH($B961,Setup!$A$47:$A$56,0)),IFERROR(INDEX(Setup!$C$60:$C$89,MATCH($B961,Setup!$A$60:$A$89,0)),"")))</f>
        <v/>
      </c>
      <c r="E961" s="42"/>
      <c r="F961" s="42"/>
    </row>
    <row r="962" customFormat="false" ht="15" hidden="false" customHeight="true" outlineLevel="0" collapsed="false">
      <c r="A962" s="42"/>
      <c r="B962" s="42"/>
      <c r="C962" s="42"/>
      <c r="D962" s="28" t="str">
        <f aca="false">IF(OR($B962="",$C962=""),"",$C962*IFERROR(INDEX(Setup!$C$47:$C$56,MATCH($B962,Setup!$A$47:$A$56,0)),IFERROR(INDEX(Setup!$C$60:$C$89,MATCH($B962,Setup!$A$60:$A$89,0)),"")))</f>
        <v/>
      </c>
      <c r="E962" s="42"/>
      <c r="F962" s="42"/>
    </row>
    <row r="963" customFormat="false" ht="15" hidden="false" customHeight="true" outlineLevel="0" collapsed="false">
      <c r="A963" s="42"/>
      <c r="B963" s="42"/>
      <c r="C963" s="42"/>
      <c r="D963" s="28" t="str">
        <f aca="false">IF(OR($B963="",$C963=""),"",$C963*IFERROR(INDEX(Setup!$C$47:$C$56,MATCH($B963,Setup!$A$47:$A$56,0)),IFERROR(INDEX(Setup!$C$60:$C$89,MATCH($B963,Setup!$A$60:$A$89,0)),"")))</f>
        <v/>
      </c>
      <c r="E963" s="42"/>
      <c r="F963" s="42"/>
    </row>
    <row r="964" customFormat="false" ht="15" hidden="false" customHeight="true" outlineLevel="0" collapsed="false">
      <c r="A964" s="42"/>
      <c r="B964" s="42"/>
      <c r="C964" s="42"/>
      <c r="D964" s="28" t="str">
        <f aca="false">IF(OR($B964="",$C964=""),"",$C964*IFERROR(INDEX(Setup!$C$47:$C$56,MATCH($B964,Setup!$A$47:$A$56,0)),IFERROR(INDEX(Setup!$C$60:$C$89,MATCH($B964,Setup!$A$60:$A$89,0)),"")))</f>
        <v/>
      </c>
      <c r="E964" s="42"/>
      <c r="F964" s="42"/>
    </row>
    <row r="965" customFormat="false" ht="15" hidden="false" customHeight="true" outlineLevel="0" collapsed="false">
      <c r="A965" s="42"/>
      <c r="B965" s="42"/>
      <c r="C965" s="42"/>
      <c r="D965" s="28" t="str">
        <f aca="false">IF(OR($B965="",$C965=""),"",$C965*IFERROR(INDEX(Setup!$C$47:$C$56,MATCH($B965,Setup!$A$47:$A$56,0)),IFERROR(INDEX(Setup!$C$60:$C$89,MATCH($B965,Setup!$A$60:$A$89,0)),"")))</f>
        <v/>
      </c>
      <c r="E965" s="42"/>
      <c r="F965" s="42"/>
    </row>
    <row r="966" customFormat="false" ht="15" hidden="false" customHeight="true" outlineLevel="0" collapsed="false">
      <c r="A966" s="42"/>
      <c r="B966" s="42"/>
      <c r="C966" s="42"/>
      <c r="D966" s="28" t="str">
        <f aca="false">IF(OR($B966="",$C966=""),"",$C966*IFERROR(INDEX(Setup!$C$47:$C$56,MATCH($B966,Setup!$A$47:$A$56,0)),IFERROR(INDEX(Setup!$C$60:$C$89,MATCH($B966,Setup!$A$60:$A$89,0)),"")))</f>
        <v/>
      </c>
      <c r="E966" s="42"/>
      <c r="F966" s="42"/>
    </row>
    <row r="967" customFormat="false" ht="15" hidden="false" customHeight="true" outlineLevel="0" collapsed="false">
      <c r="A967" s="42"/>
      <c r="B967" s="42"/>
      <c r="C967" s="42"/>
      <c r="D967" s="28" t="str">
        <f aca="false">IF(OR($B967="",$C967=""),"",$C967*IFERROR(INDEX(Setup!$C$47:$C$56,MATCH($B967,Setup!$A$47:$A$56,0)),IFERROR(INDEX(Setup!$C$60:$C$89,MATCH($B967,Setup!$A$60:$A$89,0)),"")))</f>
        <v/>
      </c>
      <c r="E967" s="42"/>
      <c r="F967" s="42"/>
    </row>
    <row r="968" customFormat="false" ht="15" hidden="false" customHeight="true" outlineLevel="0" collapsed="false">
      <c r="A968" s="42"/>
      <c r="B968" s="42"/>
      <c r="C968" s="42"/>
      <c r="D968" s="28" t="str">
        <f aca="false">IF(OR($B968="",$C968=""),"",$C968*IFERROR(INDEX(Setup!$C$47:$C$56,MATCH($B968,Setup!$A$47:$A$56,0)),IFERROR(INDEX(Setup!$C$60:$C$89,MATCH($B968,Setup!$A$60:$A$89,0)),"")))</f>
        <v/>
      </c>
      <c r="E968" s="42"/>
      <c r="F968" s="42"/>
    </row>
    <row r="969" customFormat="false" ht="15" hidden="false" customHeight="true" outlineLevel="0" collapsed="false">
      <c r="A969" s="42"/>
      <c r="B969" s="42"/>
      <c r="C969" s="42"/>
      <c r="D969" s="28" t="str">
        <f aca="false">IF(OR($B969="",$C969=""),"",$C969*IFERROR(INDEX(Setup!$C$47:$C$56,MATCH($B969,Setup!$A$47:$A$56,0)),IFERROR(INDEX(Setup!$C$60:$C$89,MATCH($B969,Setup!$A$60:$A$89,0)),"")))</f>
        <v/>
      </c>
      <c r="E969" s="42"/>
      <c r="F969" s="42"/>
    </row>
    <row r="970" customFormat="false" ht="15" hidden="false" customHeight="true" outlineLevel="0" collapsed="false">
      <c r="A970" s="42"/>
      <c r="B970" s="42"/>
      <c r="C970" s="42"/>
      <c r="D970" s="28" t="str">
        <f aca="false">IF(OR($B970="",$C970=""),"",$C970*IFERROR(INDEX(Setup!$C$47:$C$56,MATCH($B970,Setup!$A$47:$A$56,0)),IFERROR(INDEX(Setup!$C$60:$C$89,MATCH($B970,Setup!$A$60:$A$89,0)),"")))</f>
        <v/>
      </c>
      <c r="E970" s="42"/>
      <c r="F970" s="42"/>
    </row>
    <row r="971" customFormat="false" ht="15" hidden="false" customHeight="true" outlineLevel="0" collapsed="false">
      <c r="A971" s="42"/>
      <c r="B971" s="42"/>
      <c r="C971" s="42"/>
      <c r="D971" s="28" t="str">
        <f aca="false">IF(OR($B971="",$C971=""),"",$C971*IFERROR(INDEX(Setup!$C$47:$C$56,MATCH($B971,Setup!$A$47:$A$56,0)),IFERROR(INDEX(Setup!$C$60:$C$89,MATCH($B971,Setup!$A$60:$A$89,0)),"")))</f>
        <v/>
      </c>
      <c r="E971" s="42"/>
      <c r="F971" s="42"/>
    </row>
    <row r="972" customFormat="false" ht="15" hidden="false" customHeight="true" outlineLevel="0" collapsed="false">
      <c r="A972" s="42"/>
      <c r="B972" s="42"/>
      <c r="C972" s="42"/>
      <c r="D972" s="28" t="str">
        <f aca="false">IF(OR($B972="",$C972=""),"",$C972*IFERROR(INDEX(Setup!$C$47:$C$56,MATCH($B972,Setup!$A$47:$A$56,0)),IFERROR(INDEX(Setup!$C$60:$C$89,MATCH($B972,Setup!$A$60:$A$89,0)),"")))</f>
        <v/>
      </c>
      <c r="E972" s="42"/>
      <c r="F972" s="42"/>
    </row>
    <row r="973" customFormat="false" ht="15" hidden="false" customHeight="true" outlineLevel="0" collapsed="false">
      <c r="A973" s="42"/>
      <c r="B973" s="42"/>
      <c r="C973" s="42"/>
      <c r="D973" s="28" t="str">
        <f aca="false">IF(OR($B973="",$C973=""),"",$C973*IFERROR(INDEX(Setup!$C$47:$C$56,MATCH($B973,Setup!$A$47:$A$56,0)),IFERROR(INDEX(Setup!$C$60:$C$89,MATCH($B973,Setup!$A$60:$A$89,0)),"")))</f>
        <v/>
      </c>
      <c r="E973" s="42"/>
      <c r="F973" s="42"/>
    </row>
    <row r="974" customFormat="false" ht="15" hidden="false" customHeight="true" outlineLevel="0" collapsed="false">
      <c r="A974" s="42"/>
      <c r="B974" s="42"/>
      <c r="C974" s="42"/>
      <c r="D974" s="28" t="str">
        <f aca="false">IF(OR($B974="",$C974=""),"",$C974*IFERROR(INDEX(Setup!$C$47:$C$56,MATCH($B974,Setup!$A$47:$A$56,0)),IFERROR(INDEX(Setup!$C$60:$C$89,MATCH($B974,Setup!$A$60:$A$89,0)),"")))</f>
        <v/>
      </c>
      <c r="E974" s="42"/>
      <c r="F974" s="42"/>
    </row>
    <row r="975" customFormat="false" ht="15" hidden="false" customHeight="true" outlineLevel="0" collapsed="false">
      <c r="A975" s="42"/>
      <c r="B975" s="42"/>
      <c r="C975" s="42"/>
      <c r="D975" s="28" t="str">
        <f aca="false">IF(OR($B975="",$C975=""),"",$C975*IFERROR(INDEX(Setup!$C$47:$C$56,MATCH($B975,Setup!$A$47:$A$56,0)),IFERROR(INDEX(Setup!$C$60:$C$89,MATCH($B975,Setup!$A$60:$A$89,0)),"")))</f>
        <v/>
      </c>
      <c r="E975" s="42"/>
      <c r="F975" s="42"/>
    </row>
    <row r="976" customFormat="false" ht="15" hidden="false" customHeight="true" outlineLevel="0" collapsed="false">
      <c r="A976" s="42"/>
      <c r="B976" s="42"/>
      <c r="C976" s="42"/>
      <c r="D976" s="28" t="str">
        <f aca="false">IF(OR($B976="",$C976=""),"",$C976*IFERROR(INDEX(Setup!$C$47:$C$56,MATCH($B976,Setup!$A$47:$A$56,0)),IFERROR(INDEX(Setup!$C$60:$C$89,MATCH($B976,Setup!$A$60:$A$89,0)),"")))</f>
        <v/>
      </c>
      <c r="E976" s="42"/>
      <c r="F976" s="42"/>
    </row>
    <row r="977" customFormat="false" ht="15" hidden="false" customHeight="true" outlineLevel="0" collapsed="false">
      <c r="A977" s="42"/>
      <c r="B977" s="42"/>
      <c r="C977" s="42"/>
      <c r="D977" s="28" t="str">
        <f aca="false">IF(OR($B977="",$C977=""),"",$C977*IFERROR(INDEX(Setup!$C$47:$C$56,MATCH($B977,Setup!$A$47:$A$56,0)),IFERROR(INDEX(Setup!$C$60:$C$89,MATCH($B977,Setup!$A$60:$A$89,0)),"")))</f>
        <v/>
      </c>
      <c r="E977" s="42"/>
      <c r="F977" s="42"/>
    </row>
    <row r="978" customFormat="false" ht="15" hidden="false" customHeight="true" outlineLevel="0" collapsed="false">
      <c r="A978" s="42"/>
      <c r="B978" s="42"/>
      <c r="C978" s="42"/>
      <c r="D978" s="28" t="str">
        <f aca="false">IF(OR($B978="",$C978=""),"",$C978*IFERROR(INDEX(Setup!$C$47:$C$56,MATCH($B978,Setup!$A$47:$A$56,0)),IFERROR(INDEX(Setup!$C$60:$C$89,MATCH($B978,Setup!$A$60:$A$89,0)),"")))</f>
        <v/>
      </c>
      <c r="E978" s="42"/>
      <c r="F978" s="42"/>
    </row>
    <row r="979" customFormat="false" ht="15" hidden="false" customHeight="true" outlineLevel="0" collapsed="false">
      <c r="A979" s="42"/>
      <c r="B979" s="42"/>
      <c r="C979" s="42"/>
      <c r="D979" s="28" t="str">
        <f aca="false">IF(OR($B979="",$C979=""),"",$C979*IFERROR(INDEX(Setup!$C$47:$C$56,MATCH($B979,Setup!$A$47:$A$56,0)),IFERROR(INDEX(Setup!$C$60:$C$89,MATCH($B979,Setup!$A$60:$A$89,0)),"")))</f>
        <v/>
      </c>
      <c r="E979" s="42"/>
      <c r="F979" s="42"/>
    </row>
    <row r="980" customFormat="false" ht="15" hidden="false" customHeight="true" outlineLevel="0" collapsed="false">
      <c r="A980" s="42"/>
      <c r="B980" s="42"/>
      <c r="C980" s="42"/>
      <c r="D980" s="28" t="str">
        <f aca="false">IF(OR($B980="",$C980=""),"",$C980*IFERROR(INDEX(Setup!$C$47:$C$56,MATCH($B980,Setup!$A$47:$A$56,0)),IFERROR(INDEX(Setup!$C$60:$C$89,MATCH($B980,Setup!$A$60:$A$89,0)),"")))</f>
        <v/>
      </c>
      <c r="E980" s="42"/>
      <c r="F980" s="42"/>
    </row>
    <row r="981" customFormat="false" ht="15" hidden="false" customHeight="true" outlineLevel="0" collapsed="false">
      <c r="A981" s="42"/>
      <c r="B981" s="42"/>
      <c r="C981" s="42"/>
      <c r="D981" s="28" t="str">
        <f aca="false">IF(OR($B981="",$C981=""),"",$C981*IFERROR(INDEX(Setup!$C$47:$C$56,MATCH($B981,Setup!$A$47:$A$56,0)),IFERROR(INDEX(Setup!$C$60:$C$89,MATCH($B981,Setup!$A$60:$A$89,0)),"")))</f>
        <v/>
      </c>
      <c r="E981" s="42"/>
      <c r="F981" s="42"/>
    </row>
    <row r="982" customFormat="false" ht="15" hidden="false" customHeight="true" outlineLevel="0" collapsed="false">
      <c r="A982" s="42"/>
      <c r="B982" s="42"/>
      <c r="C982" s="42"/>
      <c r="D982" s="28" t="str">
        <f aca="false">IF(OR($B982="",$C982=""),"",$C982*IFERROR(INDEX(Setup!$C$47:$C$56,MATCH($B982,Setup!$A$47:$A$56,0)),IFERROR(INDEX(Setup!$C$60:$C$89,MATCH($B982,Setup!$A$60:$A$89,0)),"")))</f>
        <v/>
      </c>
      <c r="E982" s="42"/>
      <c r="F982" s="42"/>
    </row>
    <row r="983" customFormat="false" ht="15" hidden="false" customHeight="true" outlineLevel="0" collapsed="false">
      <c r="A983" s="42"/>
      <c r="B983" s="42"/>
      <c r="C983" s="42"/>
      <c r="D983" s="28" t="str">
        <f aca="false">IF(OR($B983="",$C983=""),"",$C983*IFERROR(INDEX(Setup!$C$47:$C$56,MATCH($B983,Setup!$A$47:$A$56,0)),IFERROR(INDEX(Setup!$C$60:$C$89,MATCH($B983,Setup!$A$60:$A$89,0)),"")))</f>
        <v/>
      </c>
      <c r="E983" s="42"/>
      <c r="F983" s="42"/>
    </row>
    <row r="984" customFormat="false" ht="15" hidden="false" customHeight="true" outlineLevel="0" collapsed="false">
      <c r="A984" s="42"/>
      <c r="B984" s="42"/>
      <c r="C984" s="42"/>
      <c r="D984" s="28" t="str">
        <f aca="false">IF(OR($B984="",$C984=""),"",$C984*IFERROR(INDEX(Setup!$C$47:$C$56,MATCH($B984,Setup!$A$47:$A$56,0)),IFERROR(INDEX(Setup!$C$60:$C$89,MATCH($B984,Setup!$A$60:$A$89,0)),"")))</f>
        <v/>
      </c>
      <c r="E984" s="42"/>
      <c r="F984" s="42"/>
    </row>
    <row r="985" customFormat="false" ht="15" hidden="false" customHeight="true" outlineLevel="0" collapsed="false">
      <c r="A985" s="42"/>
      <c r="B985" s="42"/>
      <c r="C985" s="42"/>
      <c r="D985" s="28" t="str">
        <f aca="false">IF(OR($B985="",$C985=""),"",$C985*IFERROR(INDEX(Setup!$C$47:$C$56,MATCH($B985,Setup!$A$47:$A$56,0)),IFERROR(INDEX(Setup!$C$60:$C$89,MATCH($B985,Setup!$A$60:$A$89,0)),"")))</f>
        <v/>
      </c>
      <c r="E985" s="42"/>
      <c r="F985" s="42"/>
    </row>
    <row r="986" customFormat="false" ht="15" hidden="false" customHeight="true" outlineLevel="0" collapsed="false">
      <c r="A986" s="42"/>
      <c r="B986" s="42"/>
      <c r="C986" s="42"/>
      <c r="D986" s="28" t="str">
        <f aca="false">IF(OR($B986="",$C986=""),"",$C986*IFERROR(INDEX(Setup!$C$47:$C$56,MATCH($B986,Setup!$A$47:$A$56,0)),IFERROR(INDEX(Setup!$C$60:$C$89,MATCH($B986,Setup!$A$60:$A$89,0)),"")))</f>
        <v/>
      </c>
      <c r="E986" s="42"/>
      <c r="F986" s="42"/>
    </row>
    <row r="987" customFormat="false" ht="15" hidden="false" customHeight="true" outlineLevel="0" collapsed="false">
      <c r="A987" s="42"/>
      <c r="B987" s="42"/>
      <c r="C987" s="42"/>
      <c r="D987" s="28" t="str">
        <f aca="false">IF(OR($B987="",$C987=""),"",$C987*IFERROR(INDEX(Setup!$C$47:$C$56,MATCH($B987,Setup!$A$47:$A$56,0)),IFERROR(INDEX(Setup!$C$60:$C$89,MATCH($B987,Setup!$A$60:$A$89,0)),"")))</f>
        <v/>
      </c>
      <c r="E987" s="42"/>
      <c r="F987" s="42"/>
    </row>
    <row r="988" customFormat="false" ht="15" hidden="false" customHeight="true" outlineLevel="0" collapsed="false">
      <c r="A988" s="42"/>
      <c r="B988" s="42"/>
      <c r="C988" s="42"/>
      <c r="D988" s="28" t="str">
        <f aca="false">IF(OR($B988="",$C988=""),"",$C988*IFERROR(INDEX(Setup!$C$47:$C$56,MATCH($B988,Setup!$A$47:$A$56,0)),IFERROR(INDEX(Setup!$C$60:$C$89,MATCH($B988,Setup!$A$60:$A$89,0)),"")))</f>
        <v/>
      </c>
      <c r="E988" s="42"/>
      <c r="F988" s="42"/>
    </row>
    <row r="989" customFormat="false" ht="15" hidden="false" customHeight="true" outlineLevel="0" collapsed="false">
      <c r="A989" s="42"/>
      <c r="B989" s="42"/>
      <c r="C989" s="42"/>
      <c r="D989" s="28" t="str">
        <f aca="false">IF(OR($B989="",$C989=""),"",$C989*IFERROR(INDEX(Setup!$C$47:$C$56,MATCH($B989,Setup!$A$47:$A$56,0)),IFERROR(INDEX(Setup!$C$60:$C$89,MATCH($B989,Setup!$A$60:$A$89,0)),"")))</f>
        <v/>
      </c>
      <c r="E989" s="42"/>
      <c r="F989" s="42"/>
    </row>
    <row r="990" customFormat="false" ht="15" hidden="false" customHeight="true" outlineLevel="0" collapsed="false">
      <c r="A990" s="42"/>
      <c r="B990" s="42"/>
      <c r="C990" s="42"/>
      <c r="D990" s="28" t="str">
        <f aca="false">IF(OR($B990="",$C990=""),"",$C990*IFERROR(INDEX(Setup!$C$47:$C$56,MATCH($B990,Setup!$A$47:$A$56,0)),IFERROR(INDEX(Setup!$C$60:$C$89,MATCH($B990,Setup!$A$60:$A$89,0)),"")))</f>
        <v/>
      </c>
      <c r="E990" s="42"/>
      <c r="F990" s="42"/>
    </row>
    <row r="991" customFormat="false" ht="15" hidden="false" customHeight="true" outlineLevel="0" collapsed="false">
      <c r="A991" s="42"/>
      <c r="B991" s="42"/>
      <c r="C991" s="42"/>
      <c r="D991" s="28" t="str">
        <f aca="false">IF(OR($B991="",$C991=""),"",$C991*IFERROR(INDEX(Setup!$C$47:$C$56,MATCH($B991,Setup!$A$47:$A$56,0)),IFERROR(INDEX(Setup!$C$60:$C$89,MATCH($B991,Setup!$A$60:$A$89,0)),"")))</f>
        <v/>
      </c>
      <c r="E991" s="42"/>
      <c r="F991" s="42"/>
    </row>
    <row r="992" customFormat="false" ht="15" hidden="false" customHeight="true" outlineLevel="0" collapsed="false">
      <c r="A992" s="42"/>
      <c r="B992" s="42"/>
      <c r="C992" s="42"/>
      <c r="D992" s="28" t="str">
        <f aca="false">IF(OR($B992="",$C992=""),"",$C992*IFERROR(INDEX(Setup!$C$47:$C$56,MATCH($B992,Setup!$A$47:$A$56,0)),IFERROR(INDEX(Setup!$C$60:$C$89,MATCH($B992,Setup!$A$60:$A$89,0)),"")))</f>
        <v/>
      </c>
      <c r="E992" s="42"/>
      <c r="F992" s="42"/>
    </row>
    <row r="993" customFormat="false" ht="15" hidden="false" customHeight="true" outlineLevel="0" collapsed="false">
      <c r="A993" s="42"/>
      <c r="B993" s="42"/>
      <c r="C993" s="42"/>
      <c r="D993" s="28" t="str">
        <f aca="false">IF(OR($B993="",$C993=""),"",$C993*IFERROR(INDEX(Setup!$C$47:$C$56,MATCH($B993,Setup!$A$47:$A$56,0)),IFERROR(INDEX(Setup!$C$60:$C$89,MATCH($B993,Setup!$A$60:$A$89,0)),"")))</f>
        <v/>
      </c>
      <c r="E993" s="42"/>
      <c r="F993" s="42"/>
    </row>
    <row r="994" customFormat="false" ht="15" hidden="false" customHeight="true" outlineLevel="0" collapsed="false">
      <c r="A994" s="42"/>
      <c r="B994" s="42"/>
      <c r="C994" s="42"/>
      <c r="D994" s="28" t="str">
        <f aca="false">IF(OR($B994="",$C994=""),"",$C994*IFERROR(INDEX(Setup!$C$47:$C$56,MATCH($B994,Setup!$A$47:$A$56,0)),IFERROR(INDEX(Setup!$C$60:$C$89,MATCH($B994,Setup!$A$60:$A$89,0)),"")))</f>
        <v/>
      </c>
      <c r="E994" s="42"/>
      <c r="F994" s="42"/>
    </row>
    <row r="995" customFormat="false" ht="15" hidden="false" customHeight="true" outlineLevel="0" collapsed="false">
      <c r="A995" s="42"/>
      <c r="B995" s="42"/>
      <c r="C995" s="42"/>
      <c r="D995" s="28" t="str">
        <f aca="false">IF(OR($B995="",$C995=""),"",$C995*IFERROR(INDEX(Setup!$C$47:$C$56,MATCH($B995,Setup!$A$47:$A$56,0)),IFERROR(INDEX(Setup!$C$60:$C$89,MATCH($B995,Setup!$A$60:$A$89,0)),"")))</f>
        <v/>
      </c>
      <c r="E995" s="42"/>
      <c r="F995" s="42"/>
    </row>
    <row r="996" customFormat="false" ht="15" hidden="false" customHeight="true" outlineLevel="0" collapsed="false">
      <c r="A996" s="42"/>
      <c r="B996" s="42"/>
      <c r="C996" s="42"/>
      <c r="D996" s="28" t="str">
        <f aca="false">IF(OR($B996="",$C996=""),"",$C996*IFERROR(INDEX(Setup!$C$47:$C$56,MATCH($B996,Setup!$A$47:$A$56,0)),IFERROR(INDEX(Setup!$C$60:$C$89,MATCH($B996,Setup!$A$60:$A$89,0)),"")))</f>
        <v/>
      </c>
      <c r="E996" s="42"/>
      <c r="F996" s="42"/>
    </row>
    <row r="997" customFormat="false" ht="15" hidden="false" customHeight="true" outlineLevel="0" collapsed="false">
      <c r="A997" s="42"/>
      <c r="B997" s="42"/>
      <c r="C997" s="42"/>
      <c r="D997" s="28" t="str">
        <f aca="false">IF(OR($B997="",$C997=""),"",$C997*IFERROR(INDEX(Setup!$C$47:$C$56,MATCH($B997,Setup!$A$47:$A$56,0)),IFERROR(INDEX(Setup!$C$60:$C$89,MATCH($B997,Setup!$A$60:$A$89,0)),"")))</f>
        <v/>
      </c>
      <c r="E997" s="42"/>
      <c r="F997" s="42"/>
    </row>
    <row r="998" customFormat="false" ht="15" hidden="false" customHeight="true" outlineLevel="0" collapsed="false">
      <c r="A998" s="42"/>
      <c r="B998" s="42"/>
      <c r="C998" s="42"/>
      <c r="D998" s="28" t="str">
        <f aca="false">IF(OR($B998="",$C998=""),"",$C998*IFERROR(INDEX(Setup!$C$47:$C$56,MATCH($B998,Setup!$A$47:$A$56,0)),IFERROR(INDEX(Setup!$C$60:$C$89,MATCH($B998,Setup!$A$60:$A$89,0)),"")))</f>
        <v/>
      </c>
      <c r="E998" s="42"/>
      <c r="F998" s="42"/>
    </row>
    <row r="999" customFormat="false" ht="15" hidden="false" customHeight="true" outlineLevel="0" collapsed="false">
      <c r="A999" s="42"/>
      <c r="B999" s="42"/>
      <c r="C999" s="42"/>
      <c r="D999" s="28" t="str">
        <f aca="false">IF(OR($B999="",$C999=""),"",$C999*IFERROR(INDEX(Setup!$C$47:$C$56,MATCH($B999,Setup!$A$47:$A$56,0)),IFERROR(INDEX(Setup!$C$60:$C$89,MATCH($B999,Setup!$A$60:$A$89,0)),"")))</f>
        <v/>
      </c>
      <c r="E999" s="42"/>
      <c r="F999" s="42"/>
    </row>
    <row r="1000" customFormat="false" ht="15" hidden="false" customHeight="true" outlineLevel="0" collapsed="false">
      <c r="A1000" s="42"/>
      <c r="B1000" s="42"/>
      <c r="C1000" s="42"/>
      <c r="D1000" s="28" t="str">
        <f aca="false">IF(OR($B1000="",$C1000=""),"",$C1000*IFERROR(INDEX(Setup!$C$47:$C$56,MATCH($B1000,Setup!$A$47:$A$56,0)),IFERROR(INDEX(Setup!$C$60:$C$89,MATCH($B1000,Setup!$A$60:$A$89,0)),"")))</f>
        <v/>
      </c>
      <c r="E1000" s="42"/>
      <c r="F1000" s="42"/>
    </row>
    <row r="1001" customFormat="false" ht="15" hidden="false" customHeight="true" outlineLevel="0" collapsed="false">
      <c r="A1001" s="42"/>
      <c r="B1001" s="42"/>
      <c r="C1001" s="42"/>
      <c r="D1001" s="28" t="str">
        <f aca="false">IF(OR($B1001="",$C1001=""),"",$C1001*IFERROR(INDEX(Setup!$C$47:$C$56,MATCH($B1001,Setup!$A$47:$A$56,0)),IFERROR(INDEX(Setup!$C$60:$C$89,MATCH($B1001,Setup!$A$60:$A$89,0)),"")))</f>
        <v/>
      </c>
      <c r="E1001" s="42"/>
      <c r="F1001" s="42"/>
    </row>
    <row r="1002" customFormat="false" ht="15" hidden="false" customHeight="true" outlineLevel="0" collapsed="false">
      <c r="A1002" s="42"/>
      <c r="B1002" s="42"/>
      <c r="C1002" s="42"/>
      <c r="D1002" s="28" t="str">
        <f aca="false">IF(OR($B1002="",$C1002=""),"",$C1002*IFERROR(INDEX(Setup!$C$47:$C$56,MATCH($B1002,Setup!$A$47:$A$56,0)),IFERROR(INDEX(Setup!$C$60:$C$89,MATCH($B1002,Setup!$A$60:$A$89,0)),"")))</f>
        <v/>
      </c>
      <c r="E1002" s="42"/>
      <c r="F1002" s="42"/>
    </row>
    <row r="1003" customFormat="false" ht="15" hidden="false" customHeight="true" outlineLevel="0" collapsed="false">
      <c r="A1003" s="42"/>
      <c r="B1003" s="42"/>
      <c r="C1003" s="42"/>
      <c r="D1003" s="28" t="str">
        <f aca="false">IF(OR($B1003="",$C1003=""),"",$C1003*IFERROR(INDEX(Setup!$C$47:$C$56,MATCH($B1003,Setup!$A$47:$A$56,0)),IFERROR(INDEX(Setup!$C$60:$C$89,MATCH($B1003,Setup!$A$60:$A$89,0)),"")))</f>
        <v/>
      </c>
      <c r="E1003" s="42"/>
      <c r="F1003" s="42"/>
    </row>
    <row r="1004" customFormat="false" ht="15" hidden="false" customHeight="true" outlineLevel="0" collapsed="false">
      <c r="A1004" s="42"/>
      <c r="B1004" s="42"/>
      <c r="C1004" s="42"/>
      <c r="D1004" s="28" t="str">
        <f aca="false">IF(OR($B1004="",$C1004=""),"",$C1004*IFERROR(INDEX(Setup!$C$47:$C$56,MATCH($B1004,Setup!$A$47:$A$56,0)),IFERROR(INDEX(Setup!$C$60:$C$89,MATCH($B1004,Setup!$A$60:$A$89,0)),"")))</f>
        <v/>
      </c>
      <c r="E1004" s="42"/>
      <c r="F1004" s="42"/>
    </row>
    <row r="1005" customFormat="false" ht="15" hidden="false" customHeight="true" outlineLevel="0" collapsed="false">
      <c r="A1005" s="42"/>
      <c r="B1005" s="42"/>
      <c r="C1005" s="42"/>
      <c r="D1005" s="28" t="str">
        <f aca="false">IF(OR($B1005="",$C1005=""),"",$C1005*IFERROR(INDEX(Setup!$C$47:$C$56,MATCH($B1005,Setup!$A$47:$A$56,0)),IFERROR(INDEX(Setup!$C$60:$C$89,MATCH($B1005,Setup!$A$60:$A$89,0)),"")))</f>
        <v/>
      </c>
      <c r="E1005" s="42"/>
      <c r="F1005" s="42"/>
    </row>
    <row r="1006" customFormat="false" ht="15" hidden="false" customHeight="true" outlineLevel="0" collapsed="false">
      <c r="A1006" s="42"/>
      <c r="B1006" s="42"/>
      <c r="C1006" s="42"/>
      <c r="D1006" s="28" t="str">
        <f aca="false">IF(OR($B1006="",$C1006=""),"",$C1006*IFERROR(INDEX(Setup!$C$47:$C$56,MATCH($B1006,Setup!$A$47:$A$56,0)),IFERROR(INDEX(Setup!$C$60:$C$89,MATCH($B1006,Setup!$A$60:$A$89,0)),"")))</f>
        <v/>
      </c>
      <c r="E1006" s="42"/>
      <c r="F1006" s="42"/>
    </row>
    <row r="1007" customFormat="false" ht="15" hidden="false" customHeight="true" outlineLevel="0" collapsed="false">
      <c r="A1007" s="42"/>
      <c r="B1007" s="42"/>
      <c r="C1007" s="42"/>
      <c r="D1007" s="28" t="str">
        <f aca="false">IF(OR($B1007="",$C1007=""),"",$C1007*IFERROR(INDEX(Setup!$C$47:$C$56,MATCH($B1007,Setup!$A$47:$A$56,0)),IFERROR(INDEX(Setup!$C$60:$C$89,MATCH($B1007,Setup!$A$60:$A$89,0)),"")))</f>
        <v/>
      </c>
      <c r="E1007" s="42"/>
      <c r="F1007" s="42"/>
    </row>
    <row r="1008" customFormat="false" ht="15" hidden="false" customHeight="true" outlineLevel="0" collapsed="false">
      <c r="A1008" s="42"/>
      <c r="B1008" s="42"/>
      <c r="C1008" s="42"/>
      <c r="D1008" s="28" t="str">
        <f aca="false">IF(OR($B1008="",$C1008=""),"",$C1008*IFERROR(INDEX(Setup!$C$47:$C$56,MATCH($B1008,Setup!$A$47:$A$56,0)),IFERROR(INDEX(Setup!$C$60:$C$89,MATCH($B1008,Setup!$A$60:$A$89,0)),"")))</f>
        <v/>
      </c>
      <c r="E1008" s="42"/>
      <c r="F1008" s="42"/>
    </row>
    <row r="1009" customFormat="false" ht="15" hidden="false" customHeight="true" outlineLevel="0" collapsed="false">
      <c r="A1009" s="42"/>
      <c r="B1009" s="42"/>
      <c r="C1009" s="42"/>
      <c r="D1009" s="28" t="str">
        <f aca="false">IF(OR($B1009="",$C1009=""),"",$C1009*IFERROR(INDEX(Setup!$C$47:$C$56,MATCH($B1009,Setup!$A$47:$A$56,0)),IFERROR(INDEX(Setup!$C$60:$C$89,MATCH($B1009,Setup!$A$60:$A$89,0)),"")))</f>
        <v/>
      </c>
      <c r="E1009" s="42"/>
      <c r="F1009" s="42"/>
    </row>
    <row r="1010" customFormat="false" ht="15" hidden="false" customHeight="true" outlineLevel="0" collapsed="false">
      <c r="A1010" s="42"/>
      <c r="B1010" s="42"/>
      <c r="C1010" s="42"/>
      <c r="D1010" s="28" t="str">
        <f aca="false">IF(OR($B1010="",$C1010=""),"",$C1010*IFERROR(INDEX(Setup!$C$47:$C$56,MATCH($B1010,Setup!$A$47:$A$56,0)),IFERROR(INDEX(Setup!$C$60:$C$89,MATCH($B1010,Setup!$A$60:$A$89,0)),"")))</f>
        <v/>
      </c>
      <c r="E1010" s="42"/>
      <c r="F1010" s="42"/>
    </row>
    <row r="1011" customFormat="false" ht="15" hidden="false" customHeight="true" outlineLevel="0" collapsed="false">
      <c r="A1011" s="42"/>
      <c r="B1011" s="42"/>
      <c r="C1011" s="42"/>
      <c r="D1011" s="28" t="str">
        <f aca="false">IF(OR($B1011="",$C1011=""),"",$C1011*IFERROR(INDEX(Setup!$C$47:$C$56,MATCH($B1011,Setup!$A$47:$A$56,0)),IFERROR(INDEX(Setup!$C$60:$C$89,MATCH($B1011,Setup!$A$60:$A$89,0)),"")))</f>
        <v/>
      </c>
      <c r="E1011" s="42"/>
      <c r="F1011" s="42"/>
    </row>
    <row r="1012" customFormat="false" ht="15" hidden="false" customHeight="true" outlineLevel="0" collapsed="false">
      <c r="A1012" s="42"/>
      <c r="B1012" s="42"/>
      <c r="C1012" s="42"/>
      <c r="D1012" s="28" t="str">
        <f aca="false">IF(OR($B1012="",$C1012=""),"",$C1012*IFERROR(INDEX(Setup!$C$47:$C$56,MATCH($B1012,Setup!$A$47:$A$56,0)),IFERROR(INDEX(Setup!$C$60:$C$89,MATCH($B1012,Setup!$A$60:$A$89,0)),"")))</f>
        <v/>
      </c>
      <c r="E1012" s="42"/>
      <c r="F1012" s="42"/>
    </row>
    <row r="1013" customFormat="false" ht="15" hidden="false" customHeight="true" outlineLevel="0" collapsed="false">
      <c r="A1013" s="42"/>
      <c r="B1013" s="42"/>
      <c r="C1013" s="42"/>
      <c r="D1013" s="28" t="str">
        <f aca="false">IF(OR($B1013="",$C1013=""),"",$C1013*IFERROR(INDEX(Setup!$C$47:$C$56,MATCH($B1013,Setup!$A$47:$A$56,0)),IFERROR(INDEX(Setup!$C$60:$C$89,MATCH($B1013,Setup!$A$60:$A$89,0)),"")))</f>
        <v/>
      </c>
      <c r="E1013" s="42"/>
      <c r="F1013" s="42"/>
    </row>
    <row r="1014" customFormat="false" ht="15" hidden="false" customHeight="true" outlineLevel="0" collapsed="false">
      <c r="A1014" s="42"/>
      <c r="B1014" s="42"/>
      <c r="C1014" s="42"/>
      <c r="D1014" s="28" t="str">
        <f aca="false">IF(OR($B1014="",$C1014=""),"",$C1014*IFERROR(INDEX(Setup!$C$47:$C$56,MATCH($B1014,Setup!$A$47:$A$56,0)),IFERROR(INDEX(Setup!$C$60:$C$89,MATCH($B1014,Setup!$A$60:$A$89,0)),"")))</f>
        <v/>
      </c>
      <c r="E1014" s="42"/>
      <c r="F1014" s="42"/>
    </row>
    <row r="1015" customFormat="false" ht="15" hidden="false" customHeight="true" outlineLevel="0" collapsed="false">
      <c r="A1015" s="42"/>
      <c r="B1015" s="42"/>
      <c r="C1015" s="42"/>
      <c r="D1015" s="28" t="str">
        <f aca="false">IF(OR($B1015="",$C1015=""),"",$C1015*IFERROR(INDEX(Setup!$C$47:$C$56,MATCH($B1015,Setup!$A$47:$A$56,0)),IFERROR(INDEX(Setup!$C$60:$C$89,MATCH($B1015,Setup!$A$60:$A$89,0)),"")))</f>
        <v/>
      </c>
      <c r="E1015" s="42"/>
      <c r="F1015" s="42"/>
    </row>
    <row r="1016" customFormat="false" ht="15" hidden="false" customHeight="true" outlineLevel="0" collapsed="false">
      <c r="A1016" s="42"/>
      <c r="B1016" s="42"/>
      <c r="C1016" s="42"/>
      <c r="D1016" s="28" t="str">
        <f aca="false">IF(OR($B1016="",$C1016=""),"",$C1016*IFERROR(INDEX(Setup!$C$47:$C$56,MATCH($B1016,Setup!$A$47:$A$56,0)),IFERROR(INDEX(Setup!$C$60:$C$89,MATCH($B1016,Setup!$A$60:$A$89,0)),"")))</f>
        <v/>
      </c>
      <c r="E1016" s="42"/>
      <c r="F1016" s="42"/>
    </row>
    <row r="1017" customFormat="false" ht="15" hidden="false" customHeight="true" outlineLevel="0" collapsed="false">
      <c r="A1017" s="42"/>
      <c r="B1017" s="42"/>
      <c r="C1017" s="42"/>
      <c r="D1017" s="28" t="str">
        <f aca="false">IF(OR($B1017="",$C1017=""),"",$C1017*IFERROR(INDEX(Setup!$C$47:$C$56,MATCH($B1017,Setup!$A$47:$A$56,0)),IFERROR(INDEX(Setup!$C$60:$C$89,MATCH($B1017,Setup!$A$60:$A$89,0)),"")))</f>
        <v/>
      </c>
      <c r="E1017" s="42"/>
      <c r="F1017" s="42"/>
    </row>
    <row r="1018" customFormat="false" ht="15" hidden="false" customHeight="true" outlineLevel="0" collapsed="false">
      <c r="A1018" s="42"/>
      <c r="B1018" s="42"/>
      <c r="C1018" s="42"/>
      <c r="D1018" s="28" t="str">
        <f aca="false">IF(OR($B1018="",$C1018=""),"",$C1018*IFERROR(INDEX(Setup!$C$47:$C$56,MATCH($B1018,Setup!$A$47:$A$56,0)),IFERROR(INDEX(Setup!$C$60:$C$89,MATCH($B1018,Setup!$A$60:$A$89,0)),"")))</f>
        <v/>
      </c>
      <c r="E1018" s="42"/>
      <c r="F1018" s="42"/>
    </row>
    <row r="1019" customFormat="false" ht="15" hidden="false" customHeight="true" outlineLevel="0" collapsed="false">
      <c r="A1019" s="42"/>
      <c r="B1019" s="42"/>
      <c r="C1019" s="42"/>
      <c r="D1019" s="28" t="str">
        <f aca="false">IF(OR($B1019="",$C1019=""),"",$C1019*IFERROR(INDEX(Setup!$C$47:$C$56,MATCH($B1019,Setup!$A$47:$A$56,0)),IFERROR(INDEX(Setup!$C$60:$C$89,MATCH($B1019,Setup!$A$60:$A$89,0)),"")))</f>
        <v/>
      </c>
      <c r="E1019" s="42"/>
      <c r="F1019" s="42"/>
    </row>
    <row r="1020" customFormat="false" ht="15" hidden="false" customHeight="true" outlineLevel="0" collapsed="false">
      <c r="A1020" s="42"/>
      <c r="B1020" s="42"/>
      <c r="C1020" s="42"/>
      <c r="D1020" s="28" t="str">
        <f aca="false">IF(OR($B1020="",$C1020=""),"",$C1020*IFERROR(INDEX(Setup!$C$47:$C$56,MATCH($B1020,Setup!$A$47:$A$56,0)),IFERROR(INDEX(Setup!$C$60:$C$89,MATCH($B1020,Setup!$A$60:$A$89,0)),"")))</f>
        <v/>
      </c>
      <c r="E1020" s="42"/>
      <c r="F1020" s="42"/>
    </row>
    <row r="1021" customFormat="false" ht="15" hidden="false" customHeight="true" outlineLevel="0" collapsed="false">
      <c r="A1021" s="42"/>
      <c r="B1021" s="42"/>
      <c r="C1021" s="42"/>
      <c r="D1021" s="28" t="str">
        <f aca="false">IF(OR($B1021="",$C1021=""),"",$C1021*IFERROR(INDEX(Setup!$C$47:$C$56,MATCH($B1021,Setup!$A$47:$A$56,0)),IFERROR(INDEX(Setup!$C$60:$C$89,MATCH($B1021,Setup!$A$60:$A$89,0)),"")))</f>
        <v/>
      </c>
      <c r="E1021" s="42"/>
      <c r="F1021" s="42"/>
    </row>
    <row r="1022" customFormat="false" ht="15" hidden="false" customHeight="true" outlineLevel="0" collapsed="false">
      <c r="A1022" s="42"/>
      <c r="B1022" s="42"/>
      <c r="C1022" s="42"/>
      <c r="D1022" s="28" t="str">
        <f aca="false">IF(OR($B1022="",$C1022=""),"",$C1022*IFERROR(INDEX(Setup!$C$47:$C$56,MATCH($B1022,Setup!$A$47:$A$56,0)),IFERROR(INDEX(Setup!$C$60:$C$89,MATCH($B1022,Setup!$A$60:$A$89,0)),"")))</f>
        <v/>
      </c>
      <c r="E1022" s="42"/>
      <c r="F1022" s="42"/>
    </row>
    <row r="1023" customFormat="false" ht="15" hidden="false" customHeight="true" outlineLevel="0" collapsed="false">
      <c r="A1023" s="42"/>
      <c r="B1023" s="42"/>
      <c r="C1023" s="42"/>
      <c r="D1023" s="28" t="str">
        <f aca="false">IF(OR($B1023="",$C1023=""),"",$C1023*IFERROR(INDEX(Setup!$C$47:$C$56,MATCH($B1023,Setup!$A$47:$A$56,0)),IFERROR(INDEX(Setup!$C$60:$C$89,MATCH($B1023,Setup!$A$60:$A$89,0)),"")))</f>
        <v/>
      </c>
      <c r="E1023" s="42"/>
      <c r="F1023" s="42"/>
    </row>
    <row r="1024" customFormat="false" ht="15" hidden="false" customHeight="true" outlineLevel="0" collapsed="false">
      <c r="A1024" s="42"/>
      <c r="B1024" s="42"/>
      <c r="C1024" s="42"/>
      <c r="D1024" s="28" t="str">
        <f aca="false">IF(OR($B1024="",$C1024=""),"",$C1024*IFERROR(INDEX(Setup!$C$47:$C$56,MATCH($B1024,Setup!$A$47:$A$56,0)),IFERROR(INDEX(Setup!$C$60:$C$89,MATCH($B1024,Setup!$A$60:$A$89,0)),"")))</f>
        <v/>
      </c>
      <c r="E1024" s="42"/>
      <c r="F1024" s="42"/>
    </row>
    <row r="1025" customFormat="false" ht="15" hidden="false" customHeight="true" outlineLevel="0" collapsed="false">
      <c r="A1025" s="42"/>
      <c r="B1025" s="42"/>
      <c r="C1025" s="42"/>
      <c r="D1025" s="28" t="str">
        <f aca="false">IF(OR($B1025="",$C1025=""),"",$C1025*IFERROR(INDEX(Setup!$C$47:$C$56,MATCH($B1025,Setup!$A$47:$A$56,0)),IFERROR(INDEX(Setup!$C$60:$C$89,MATCH($B1025,Setup!$A$60:$A$89,0)),"")))</f>
        <v/>
      </c>
      <c r="E1025" s="42"/>
      <c r="F1025" s="42"/>
    </row>
    <row r="1026" customFormat="false" ht="15" hidden="false" customHeight="true" outlineLevel="0" collapsed="false">
      <c r="A1026" s="42"/>
      <c r="B1026" s="42"/>
      <c r="C1026" s="42"/>
      <c r="D1026" s="28" t="str">
        <f aca="false">IF(OR($B1026="",$C1026=""),"",$C1026*IFERROR(INDEX(Setup!$C$47:$C$56,MATCH($B1026,Setup!$A$47:$A$56,0)),IFERROR(INDEX(Setup!$C$60:$C$89,MATCH($B1026,Setup!$A$60:$A$89,0)),"")))</f>
        <v/>
      </c>
      <c r="E1026" s="42"/>
      <c r="F1026" s="42"/>
    </row>
    <row r="1027" customFormat="false" ht="15" hidden="false" customHeight="true" outlineLevel="0" collapsed="false">
      <c r="A1027" s="42"/>
      <c r="B1027" s="42"/>
      <c r="C1027" s="42"/>
      <c r="D1027" s="28" t="str">
        <f aca="false">IF(OR($B1027="",$C1027=""),"",$C1027*IFERROR(INDEX(Setup!$C$47:$C$56,MATCH($B1027,Setup!$A$47:$A$56,0)),IFERROR(INDEX(Setup!$C$60:$C$89,MATCH($B1027,Setup!$A$60:$A$89,0)),"")))</f>
        <v/>
      </c>
      <c r="E1027" s="42"/>
      <c r="F1027" s="42"/>
    </row>
    <row r="1028" customFormat="false" ht="15" hidden="false" customHeight="true" outlineLevel="0" collapsed="false">
      <c r="A1028" s="42"/>
      <c r="B1028" s="42"/>
      <c r="C1028" s="42"/>
      <c r="D1028" s="28" t="str">
        <f aca="false">IF(OR($B1028="",$C1028=""),"",$C1028*IFERROR(INDEX(Setup!$C$47:$C$56,MATCH($B1028,Setup!$A$47:$A$56,0)),IFERROR(INDEX(Setup!$C$60:$C$89,MATCH($B1028,Setup!$A$60:$A$89,0)),"")))</f>
        <v/>
      </c>
      <c r="E1028" s="42"/>
      <c r="F1028" s="42"/>
    </row>
    <row r="1029" customFormat="false" ht="15" hidden="false" customHeight="true" outlineLevel="0" collapsed="false">
      <c r="A1029" s="42"/>
      <c r="B1029" s="42"/>
      <c r="C1029" s="42"/>
      <c r="D1029" s="28" t="str">
        <f aca="false">IF(OR($B1029="",$C1029=""),"",$C1029*IFERROR(INDEX(Setup!$C$47:$C$56,MATCH($B1029,Setup!$A$47:$A$56,0)),IFERROR(INDEX(Setup!$C$60:$C$89,MATCH($B1029,Setup!$A$60:$A$89,0)),"")))</f>
        <v/>
      </c>
      <c r="E1029" s="42"/>
      <c r="F1029" s="42"/>
    </row>
    <row r="1030" customFormat="false" ht="15" hidden="false" customHeight="true" outlineLevel="0" collapsed="false">
      <c r="A1030" s="42"/>
      <c r="B1030" s="42"/>
      <c r="C1030" s="42"/>
      <c r="D1030" s="28" t="str">
        <f aca="false">IF(OR($B1030="",$C1030=""),"",$C1030*IFERROR(INDEX(Setup!$C$47:$C$56,MATCH($B1030,Setup!$A$47:$A$56,0)),IFERROR(INDEX(Setup!$C$60:$C$89,MATCH($B1030,Setup!$A$60:$A$89,0)),"")))</f>
        <v/>
      </c>
      <c r="E1030" s="42"/>
      <c r="F1030" s="42"/>
    </row>
    <row r="1031" customFormat="false" ht="15" hidden="false" customHeight="true" outlineLevel="0" collapsed="false">
      <c r="A1031" s="42"/>
      <c r="B1031" s="42"/>
      <c r="C1031" s="42"/>
      <c r="D1031" s="28" t="str">
        <f aca="false">IF(OR($B1031="",$C1031=""),"",$C1031*IFERROR(INDEX(Setup!$C$47:$C$56,MATCH($B1031,Setup!$A$47:$A$56,0)),IFERROR(INDEX(Setup!$C$60:$C$89,MATCH($B1031,Setup!$A$60:$A$89,0)),"")))</f>
        <v/>
      </c>
      <c r="E1031" s="42"/>
      <c r="F1031" s="42"/>
    </row>
    <row r="1032" customFormat="false" ht="15" hidden="false" customHeight="true" outlineLevel="0" collapsed="false">
      <c r="A1032" s="42"/>
      <c r="B1032" s="42"/>
      <c r="C1032" s="42"/>
      <c r="D1032" s="28" t="str">
        <f aca="false">IF(OR($B1032="",$C1032=""),"",$C1032*IFERROR(INDEX(Setup!$C$47:$C$56,MATCH($B1032,Setup!$A$47:$A$56,0)),IFERROR(INDEX(Setup!$C$60:$C$89,MATCH($B1032,Setup!$A$60:$A$89,0)),"")))</f>
        <v/>
      </c>
      <c r="E1032" s="42"/>
      <c r="F1032" s="42"/>
    </row>
    <row r="1033" customFormat="false" ht="15" hidden="false" customHeight="true" outlineLevel="0" collapsed="false">
      <c r="A1033" s="42"/>
      <c r="B1033" s="42"/>
      <c r="C1033" s="42"/>
      <c r="D1033" s="28" t="str">
        <f aca="false">IF(OR($B1033="",$C1033=""),"",$C1033*IFERROR(INDEX(Setup!$C$47:$C$56,MATCH($B1033,Setup!$A$47:$A$56,0)),IFERROR(INDEX(Setup!$C$60:$C$89,MATCH($B1033,Setup!$A$60:$A$89,0)),"")))</f>
        <v/>
      </c>
      <c r="E1033" s="42"/>
      <c r="F1033" s="42"/>
    </row>
    <row r="1034" customFormat="false" ht="15" hidden="false" customHeight="true" outlineLevel="0" collapsed="false">
      <c r="A1034" s="42"/>
      <c r="B1034" s="42"/>
      <c r="C1034" s="42"/>
      <c r="D1034" s="28" t="str">
        <f aca="false">IF(OR($B1034="",$C1034=""),"",$C1034*IFERROR(INDEX(Setup!$C$47:$C$56,MATCH($B1034,Setup!$A$47:$A$56,0)),IFERROR(INDEX(Setup!$C$60:$C$89,MATCH($B1034,Setup!$A$60:$A$89,0)),"")))</f>
        <v/>
      </c>
      <c r="E1034" s="42"/>
      <c r="F1034" s="42"/>
    </row>
    <row r="1035" customFormat="false" ht="15" hidden="false" customHeight="true" outlineLevel="0" collapsed="false">
      <c r="A1035" s="42"/>
      <c r="B1035" s="42"/>
      <c r="C1035" s="42"/>
      <c r="D1035" s="28" t="str">
        <f aca="false">IF(OR($B1035="",$C1035=""),"",$C1035*IFERROR(INDEX(Setup!$C$47:$C$56,MATCH($B1035,Setup!$A$47:$A$56,0)),IFERROR(INDEX(Setup!$C$60:$C$89,MATCH($B1035,Setup!$A$60:$A$89,0)),"")))</f>
        <v/>
      </c>
      <c r="E1035" s="42"/>
      <c r="F1035" s="42"/>
    </row>
    <row r="1036" customFormat="false" ht="15" hidden="false" customHeight="true" outlineLevel="0" collapsed="false">
      <c r="A1036" s="42"/>
      <c r="B1036" s="42"/>
      <c r="C1036" s="42"/>
      <c r="D1036" s="28" t="str">
        <f aca="false">IF(OR($B1036="",$C1036=""),"",$C1036*IFERROR(INDEX(Setup!$C$47:$C$56,MATCH($B1036,Setup!$A$47:$A$56,0)),IFERROR(INDEX(Setup!$C$60:$C$89,MATCH($B1036,Setup!$A$60:$A$89,0)),"")))</f>
        <v/>
      </c>
      <c r="E1036" s="42"/>
      <c r="F1036" s="42"/>
    </row>
    <row r="1037" customFormat="false" ht="15" hidden="false" customHeight="true" outlineLevel="0" collapsed="false">
      <c r="A1037" s="42"/>
      <c r="B1037" s="42"/>
      <c r="C1037" s="42"/>
      <c r="D1037" s="28" t="str">
        <f aca="false">IF(OR($B1037="",$C1037=""),"",$C1037*IFERROR(INDEX(Setup!$C$47:$C$56,MATCH($B1037,Setup!$A$47:$A$56,0)),IFERROR(INDEX(Setup!$C$60:$C$89,MATCH($B1037,Setup!$A$60:$A$89,0)),"")))</f>
        <v/>
      </c>
      <c r="E1037" s="42"/>
      <c r="F1037" s="42"/>
    </row>
    <row r="1038" customFormat="false" ht="15" hidden="false" customHeight="true" outlineLevel="0" collapsed="false">
      <c r="A1038" s="42"/>
      <c r="B1038" s="42"/>
      <c r="C1038" s="42"/>
      <c r="D1038" s="28" t="str">
        <f aca="false">IF(OR($B1038="",$C1038=""),"",$C1038*IFERROR(INDEX(Setup!$C$47:$C$56,MATCH($B1038,Setup!$A$47:$A$56,0)),IFERROR(INDEX(Setup!$C$60:$C$89,MATCH($B1038,Setup!$A$60:$A$89,0)),"")))</f>
        <v/>
      </c>
      <c r="E1038" s="42"/>
      <c r="F1038" s="42"/>
    </row>
    <row r="1039" customFormat="false" ht="15" hidden="false" customHeight="true" outlineLevel="0" collapsed="false">
      <c r="A1039" s="42"/>
      <c r="B1039" s="42"/>
      <c r="C1039" s="42"/>
      <c r="D1039" s="28" t="str">
        <f aca="false">IF(OR($B1039="",$C1039=""),"",$C1039*IFERROR(INDEX(Setup!$C$47:$C$56,MATCH($B1039,Setup!$A$47:$A$56,0)),IFERROR(INDEX(Setup!$C$60:$C$89,MATCH($B1039,Setup!$A$60:$A$89,0)),"")))</f>
        <v/>
      </c>
      <c r="E1039" s="42"/>
      <c r="F1039" s="42"/>
    </row>
    <row r="1040" customFormat="false" ht="15" hidden="false" customHeight="true" outlineLevel="0" collapsed="false">
      <c r="A1040" s="42"/>
      <c r="B1040" s="42"/>
      <c r="C1040" s="42"/>
      <c r="D1040" s="28" t="str">
        <f aca="false">IF(OR($B1040="",$C1040=""),"",$C1040*IFERROR(INDEX(Setup!$C$47:$C$56,MATCH($B1040,Setup!$A$47:$A$56,0)),IFERROR(INDEX(Setup!$C$60:$C$89,MATCH($B1040,Setup!$A$60:$A$89,0)),"")))</f>
        <v/>
      </c>
      <c r="E1040" s="42"/>
      <c r="F1040" s="42"/>
    </row>
    <row r="1041" customFormat="false" ht="15" hidden="false" customHeight="true" outlineLevel="0" collapsed="false">
      <c r="A1041" s="42"/>
      <c r="B1041" s="42"/>
      <c r="C1041" s="42"/>
      <c r="D1041" s="28" t="str">
        <f aca="false">IF(OR($B1041="",$C1041=""),"",$C1041*IFERROR(INDEX(Setup!$C$47:$C$56,MATCH($B1041,Setup!$A$47:$A$56,0)),IFERROR(INDEX(Setup!$C$60:$C$89,MATCH($B1041,Setup!$A$60:$A$89,0)),"")))</f>
        <v/>
      </c>
      <c r="E1041" s="42"/>
      <c r="F1041" s="42"/>
    </row>
    <row r="1042" customFormat="false" ht="15" hidden="false" customHeight="true" outlineLevel="0" collapsed="false">
      <c r="A1042" s="42"/>
      <c r="B1042" s="42"/>
      <c r="C1042" s="42"/>
      <c r="D1042" s="28" t="str">
        <f aca="false">IF(OR($B1042="",$C1042=""),"",$C1042*IFERROR(INDEX(Setup!$C$47:$C$56,MATCH($B1042,Setup!$A$47:$A$56,0)),IFERROR(INDEX(Setup!$C$60:$C$89,MATCH($B1042,Setup!$A$60:$A$89,0)),"")))</f>
        <v/>
      </c>
      <c r="E1042" s="42"/>
      <c r="F1042" s="42"/>
    </row>
    <row r="1043" customFormat="false" ht="15" hidden="false" customHeight="true" outlineLevel="0" collapsed="false">
      <c r="A1043" s="42"/>
      <c r="B1043" s="42"/>
      <c r="C1043" s="42"/>
      <c r="D1043" s="28" t="str">
        <f aca="false">IF(OR($B1043="",$C1043=""),"",$C1043*IFERROR(INDEX(Setup!$C$47:$C$56,MATCH($B1043,Setup!$A$47:$A$56,0)),IFERROR(INDEX(Setup!$C$60:$C$89,MATCH($B1043,Setup!$A$60:$A$89,0)),"")))</f>
        <v/>
      </c>
      <c r="E1043" s="42"/>
      <c r="F1043" s="42"/>
    </row>
    <row r="1044" customFormat="false" ht="15" hidden="false" customHeight="true" outlineLevel="0" collapsed="false">
      <c r="A1044" s="42"/>
      <c r="B1044" s="42"/>
      <c r="C1044" s="42"/>
      <c r="D1044" s="28" t="str">
        <f aca="false">IF(OR($B1044="",$C1044=""),"",$C1044*IFERROR(INDEX(Setup!$C$47:$C$56,MATCH($B1044,Setup!$A$47:$A$56,0)),IFERROR(INDEX(Setup!$C$60:$C$89,MATCH($B1044,Setup!$A$60:$A$89,0)),"")))</f>
        <v/>
      </c>
      <c r="E1044" s="42"/>
      <c r="F1044" s="42"/>
    </row>
    <row r="1045" customFormat="false" ht="15" hidden="false" customHeight="true" outlineLevel="0" collapsed="false">
      <c r="A1045" s="42"/>
      <c r="B1045" s="42"/>
      <c r="C1045" s="42"/>
      <c r="D1045" s="28" t="str">
        <f aca="false">IF(OR($B1045="",$C1045=""),"",$C1045*IFERROR(INDEX(Setup!$C$47:$C$56,MATCH($B1045,Setup!$A$47:$A$56,0)),IFERROR(INDEX(Setup!$C$60:$C$89,MATCH($B1045,Setup!$A$60:$A$89,0)),"")))</f>
        <v/>
      </c>
      <c r="E1045" s="42"/>
      <c r="F1045" s="42"/>
    </row>
    <row r="1046" customFormat="false" ht="15" hidden="false" customHeight="true" outlineLevel="0" collapsed="false">
      <c r="A1046" s="42"/>
      <c r="B1046" s="42"/>
      <c r="C1046" s="42"/>
      <c r="D1046" s="28" t="str">
        <f aca="false">IF(OR($B1046="",$C1046=""),"",$C1046*IFERROR(INDEX(Setup!$C$47:$C$56,MATCH($B1046,Setup!$A$47:$A$56,0)),IFERROR(INDEX(Setup!$C$60:$C$89,MATCH($B1046,Setup!$A$60:$A$89,0)),"")))</f>
        <v/>
      </c>
      <c r="E1046" s="42"/>
      <c r="F1046" s="42"/>
    </row>
    <row r="1047" customFormat="false" ht="15" hidden="false" customHeight="true" outlineLevel="0" collapsed="false">
      <c r="A1047" s="42"/>
      <c r="B1047" s="42"/>
      <c r="C1047" s="42"/>
      <c r="D1047" s="28" t="str">
        <f aca="false">IF(OR($B1047="",$C1047=""),"",$C1047*IFERROR(INDEX(Setup!$C$47:$C$56,MATCH($B1047,Setup!$A$47:$A$56,0)),IFERROR(INDEX(Setup!$C$60:$C$89,MATCH($B1047,Setup!$A$60:$A$89,0)),"")))</f>
        <v/>
      </c>
      <c r="E1047" s="42"/>
      <c r="F1047" s="42"/>
    </row>
    <row r="1048" customFormat="false" ht="15" hidden="false" customHeight="true" outlineLevel="0" collapsed="false">
      <c r="A1048" s="42"/>
      <c r="B1048" s="42"/>
      <c r="C1048" s="42"/>
      <c r="D1048" s="28" t="str">
        <f aca="false">IF(OR($B1048="",$C1048=""),"",$C1048*IFERROR(INDEX(Setup!$C$47:$C$56,MATCH($B1048,Setup!$A$47:$A$56,0)),IFERROR(INDEX(Setup!$C$60:$C$89,MATCH($B1048,Setup!$A$60:$A$89,0)),"")))</f>
        <v/>
      </c>
      <c r="E1048" s="42"/>
      <c r="F1048" s="42"/>
    </row>
    <row r="1049" customFormat="false" ht="15" hidden="false" customHeight="true" outlineLevel="0" collapsed="false">
      <c r="A1049" s="42"/>
      <c r="B1049" s="42"/>
      <c r="C1049" s="42"/>
      <c r="D1049" s="28" t="str">
        <f aca="false">IF(OR($B1049="",$C1049=""),"",$C1049*IFERROR(INDEX(Setup!$C$47:$C$56,MATCH($B1049,Setup!$A$47:$A$56,0)),IFERROR(INDEX(Setup!$C$60:$C$89,MATCH($B1049,Setup!$A$60:$A$89,0)),"")))</f>
        <v/>
      </c>
      <c r="E1049" s="42"/>
      <c r="F1049" s="42"/>
    </row>
    <row r="1050" customFormat="false" ht="15" hidden="false" customHeight="true" outlineLevel="0" collapsed="false">
      <c r="A1050" s="42"/>
      <c r="B1050" s="42"/>
      <c r="C1050" s="42"/>
      <c r="D1050" s="28" t="str">
        <f aca="false">IF(OR($B1050="",$C1050=""),"",$C1050*IFERROR(INDEX(Setup!$C$47:$C$56,MATCH($B1050,Setup!$A$47:$A$56,0)),IFERROR(INDEX(Setup!$C$60:$C$89,MATCH($B1050,Setup!$A$60:$A$89,0)),"")))</f>
        <v/>
      </c>
      <c r="E1050" s="42"/>
      <c r="F1050" s="42"/>
    </row>
    <row r="1051" customFormat="false" ht="15" hidden="false" customHeight="true" outlineLevel="0" collapsed="false">
      <c r="A1051" s="42"/>
      <c r="B1051" s="42"/>
      <c r="C1051" s="42"/>
      <c r="D1051" s="28" t="str">
        <f aca="false">IF(OR($B1051="",$C1051=""),"",$C1051*IFERROR(INDEX(Setup!$C$47:$C$56,MATCH($B1051,Setup!$A$47:$A$56,0)),IFERROR(INDEX(Setup!$C$60:$C$89,MATCH($B1051,Setup!$A$60:$A$89,0)),"")))</f>
        <v/>
      </c>
      <c r="E1051" s="42"/>
      <c r="F1051" s="42"/>
    </row>
    <row r="1052" customFormat="false" ht="15" hidden="false" customHeight="true" outlineLevel="0" collapsed="false">
      <c r="A1052" s="42"/>
      <c r="B1052" s="42"/>
      <c r="C1052" s="42"/>
      <c r="D1052" s="28" t="str">
        <f aca="false">IF(OR($B1052="",$C1052=""),"",$C1052*IFERROR(INDEX(Setup!$C$47:$C$56,MATCH($B1052,Setup!$A$47:$A$56,0)),IFERROR(INDEX(Setup!$C$60:$C$89,MATCH($B1052,Setup!$A$60:$A$89,0)),"")))</f>
        <v/>
      </c>
      <c r="E1052" s="42"/>
      <c r="F1052" s="42"/>
    </row>
    <row r="1053" customFormat="false" ht="15" hidden="false" customHeight="true" outlineLevel="0" collapsed="false">
      <c r="A1053" s="42"/>
      <c r="B1053" s="42"/>
      <c r="C1053" s="42"/>
      <c r="D1053" s="28" t="str">
        <f aca="false">IF(OR($B1053="",$C1053=""),"",$C1053*IFERROR(INDEX(Setup!$C$47:$C$56,MATCH($B1053,Setup!$A$47:$A$56,0)),IFERROR(INDEX(Setup!$C$60:$C$89,MATCH($B1053,Setup!$A$60:$A$89,0)),"")))</f>
        <v/>
      </c>
      <c r="E1053" s="42"/>
      <c r="F1053" s="42"/>
    </row>
    <row r="1054" customFormat="false" ht="15" hidden="false" customHeight="true" outlineLevel="0" collapsed="false">
      <c r="A1054" s="42"/>
      <c r="B1054" s="42"/>
      <c r="C1054" s="42"/>
      <c r="D1054" s="28" t="str">
        <f aca="false">IF(OR($B1054="",$C1054=""),"",$C1054*IFERROR(INDEX(Setup!$C$47:$C$56,MATCH($B1054,Setup!$A$47:$A$56,0)),IFERROR(INDEX(Setup!$C$60:$C$89,MATCH($B1054,Setup!$A$60:$A$89,0)),"")))</f>
        <v/>
      </c>
      <c r="E1054" s="42"/>
      <c r="F1054" s="42"/>
    </row>
    <row r="1055" customFormat="false" ht="15" hidden="false" customHeight="true" outlineLevel="0" collapsed="false">
      <c r="A1055" s="42"/>
      <c r="B1055" s="42"/>
      <c r="C1055" s="42"/>
      <c r="D1055" s="28" t="str">
        <f aca="false">IF(OR($B1055="",$C1055=""),"",$C1055*IFERROR(INDEX(Setup!$C$47:$C$56,MATCH($B1055,Setup!$A$47:$A$56,0)),IFERROR(INDEX(Setup!$C$60:$C$89,MATCH($B1055,Setup!$A$60:$A$89,0)),"")))</f>
        <v/>
      </c>
      <c r="E1055" s="42"/>
      <c r="F1055" s="42"/>
    </row>
    <row r="1056" customFormat="false" ht="15" hidden="false" customHeight="true" outlineLevel="0" collapsed="false">
      <c r="A1056" s="42"/>
      <c r="B1056" s="42"/>
      <c r="C1056" s="42"/>
      <c r="D1056" s="28" t="str">
        <f aca="false">IF(OR($B1056="",$C1056=""),"",$C1056*IFERROR(INDEX(Setup!$C$47:$C$56,MATCH($B1056,Setup!$A$47:$A$56,0)),IFERROR(INDEX(Setup!$C$60:$C$89,MATCH($B1056,Setup!$A$60:$A$89,0)),"")))</f>
        <v/>
      </c>
      <c r="E1056" s="42"/>
      <c r="F1056" s="42"/>
    </row>
    <row r="1057" customFormat="false" ht="15" hidden="false" customHeight="true" outlineLevel="0" collapsed="false">
      <c r="A1057" s="42"/>
      <c r="B1057" s="42"/>
      <c r="C1057" s="42"/>
      <c r="D1057" s="28" t="str">
        <f aca="false">IF(OR($B1057="",$C1057=""),"",$C1057*IFERROR(INDEX(Setup!$C$47:$C$56,MATCH($B1057,Setup!$A$47:$A$56,0)),IFERROR(INDEX(Setup!$C$60:$C$89,MATCH($B1057,Setup!$A$60:$A$89,0)),"")))</f>
        <v/>
      </c>
      <c r="E1057" s="42"/>
      <c r="F1057" s="42"/>
    </row>
    <row r="1058" customFormat="false" ht="15" hidden="false" customHeight="true" outlineLevel="0" collapsed="false">
      <c r="A1058" s="42"/>
      <c r="B1058" s="42"/>
      <c r="C1058" s="42"/>
      <c r="D1058" s="28" t="str">
        <f aca="false">IF(OR($B1058="",$C1058=""),"",$C1058*IFERROR(INDEX(Setup!$C$47:$C$56,MATCH($B1058,Setup!$A$47:$A$56,0)),IFERROR(INDEX(Setup!$C$60:$C$89,MATCH($B1058,Setup!$A$60:$A$89,0)),"")))</f>
        <v/>
      </c>
      <c r="E1058" s="42"/>
      <c r="F1058" s="42"/>
    </row>
    <row r="1059" customFormat="false" ht="15" hidden="false" customHeight="true" outlineLevel="0" collapsed="false">
      <c r="A1059" s="42"/>
      <c r="B1059" s="42"/>
      <c r="C1059" s="42"/>
      <c r="D1059" s="28" t="str">
        <f aca="false">IF(OR($B1059="",$C1059=""),"",$C1059*IFERROR(INDEX(Setup!$C$47:$C$56,MATCH($B1059,Setup!$A$47:$A$56,0)),IFERROR(INDEX(Setup!$C$60:$C$89,MATCH($B1059,Setup!$A$60:$A$89,0)),"")))</f>
        <v/>
      </c>
      <c r="E1059" s="42"/>
      <c r="F1059" s="42"/>
    </row>
    <row r="1060" customFormat="false" ht="15" hidden="false" customHeight="true" outlineLevel="0" collapsed="false">
      <c r="A1060" s="42"/>
      <c r="B1060" s="42"/>
      <c r="C1060" s="42"/>
      <c r="D1060" s="28" t="str">
        <f aca="false">IF(OR($B1060="",$C1060=""),"",$C1060*IFERROR(INDEX(Setup!$C$47:$C$56,MATCH($B1060,Setup!$A$47:$A$56,0)),IFERROR(INDEX(Setup!$C$60:$C$89,MATCH($B1060,Setup!$A$60:$A$89,0)),"")))</f>
        <v/>
      </c>
      <c r="E1060" s="42"/>
      <c r="F1060" s="42"/>
    </row>
    <row r="1061" customFormat="false" ht="15" hidden="false" customHeight="true" outlineLevel="0" collapsed="false">
      <c r="A1061" s="42"/>
      <c r="B1061" s="42"/>
      <c r="C1061" s="42"/>
      <c r="D1061" s="28" t="str">
        <f aca="false">IF(OR($B1061="",$C1061=""),"",$C1061*IFERROR(INDEX(Setup!$C$47:$C$56,MATCH($B1061,Setup!$A$47:$A$56,0)),IFERROR(INDEX(Setup!$C$60:$C$89,MATCH($B1061,Setup!$A$60:$A$89,0)),"")))</f>
        <v/>
      </c>
      <c r="E1061" s="42"/>
      <c r="F1061" s="42"/>
    </row>
    <row r="1062" customFormat="false" ht="15" hidden="false" customHeight="true" outlineLevel="0" collapsed="false">
      <c r="A1062" s="42"/>
      <c r="B1062" s="42"/>
      <c r="C1062" s="42"/>
      <c r="D1062" s="28" t="str">
        <f aca="false">IF(OR($B1062="",$C1062=""),"",$C1062*IFERROR(INDEX(Setup!$C$47:$C$56,MATCH($B1062,Setup!$A$47:$A$56,0)),IFERROR(INDEX(Setup!$C$60:$C$89,MATCH($B1062,Setup!$A$60:$A$89,0)),"")))</f>
        <v/>
      </c>
      <c r="E1062" s="42"/>
      <c r="F1062" s="42"/>
    </row>
    <row r="1063" customFormat="false" ht="15" hidden="false" customHeight="true" outlineLevel="0" collapsed="false">
      <c r="A1063" s="42"/>
      <c r="B1063" s="42"/>
      <c r="C1063" s="42"/>
      <c r="D1063" s="28" t="str">
        <f aca="false">IF(OR($B1063="",$C1063=""),"",$C1063*IFERROR(INDEX(Setup!$C$47:$C$56,MATCH($B1063,Setup!$A$47:$A$56,0)),IFERROR(INDEX(Setup!$C$60:$C$89,MATCH($B1063,Setup!$A$60:$A$89,0)),"")))</f>
        <v/>
      </c>
      <c r="E1063" s="42"/>
      <c r="F1063" s="42"/>
    </row>
    <row r="1064" customFormat="false" ht="15" hidden="false" customHeight="true" outlineLevel="0" collapsed="false">
      <c r="A1064" s="42"/>
      <c r="B1064" s="42"/>
      <c r="C1064" s="42"/>
      <c r="D1064" s="28" t="str">
        <f aca="false">IF(OR($B1064="",$C1064=""),"",$C1064*IFERROR(INDEX(Setup!$C$47:$C$56,MATCH($B1064,Setup!$A$47:$A$56,0)),IFERROR(INDEX(Setup!$C$60:$C$89,MATCH($B1064,Setup!$A$60:$A$89,0)),"")))</f>
        <v/>
      </c>
      <c r="E1064" s="42"/>
      <c r="F1064" s="42"/>
    </row>
    <row r="1065" customFormat="false" ht="15" hidden="false" customHeight="true" outlineLevel="0" collapsed="false">
      <c r="A1065" s="42"/>
      <c r="B1065" s="42"/>
      <c r="C1065" s="42"/>
      <c r="D1065" s="28" t="str">
        <f aca="false">IF(OR($B1065="",$C1065=""),"",$C1065*IFERROR(INDEX(Setup!$C$47:$C$56,MATCH($B1065,Setup!$A$47:$A$56,0)),IFERROR(INDEX(Setup!$C$60:$C$89,MATCH($B1065,Setup!$A$60:$A$89,0)),"")))</f>
        <v/>
      </c>
      <c r="E1065" s="42"/>
      <c r="F1065" s="42"/>
    </row>
    <row r="1066" customFormat="false" ht="15" hidden="false" customHeight="true" outlineLevel="0" collapsed="false">
      <c r="A1066" s="42"/>
      <c r="B1066" s="42"/>
      <c r="C1066" s="42"/>
      <c r="D1066" s="28" t="str">
        <f aca="false">IF(OR($B1066="",$C1066=""),"",$C1066*IFERROR(INDEX(Setup!$C$47:$C$56,MATCH($B1066,Setup!$A$47:$A$56,0)),IFERROR(INDEX(Setup!$C$60:$C$89,MATCH($B1066,Setup!$A$60:$A$89,0)),"")))</f>
        <v/>
      </c>
      <c r="E1066" s="42"/>
      <c r="F1066" s="42"/>
    </row>
    <row r="1067" customFormat="false" ht="15" hidden="false" customHeight="true" outlineLevel="0" collapsed="false">
      <c r="A1067" s="42"/>
      <c r="B1067" s="42"/>
      <c r="C1067" s="42"/>
      <c r="D1067" s="28" t="str">
        <f aca="false">IF(OR($B1067="",$C1067=""),"",$C1067*IFERROR(INDEX(Setup!$C$47:$C$56,MATCH($B1067,Setup!$A$47:$A$56,0)),IFERROR(INDEX(Setup!$C$60:$C$89,MATCH($B1067,Setup!$A$60:$A$89,0)),"")))</f>
        <v/>
      </c>
      <c r="E1067" s="42"/>
      <c r="F1067" s="42"/>
    </row>
    <row r="1068" customFormat="false" ht="15" hidden="false" customHeight="true" outlineLevel="0" collapsed="false">
      <c r="A1068" s="42"/>
      <c r="B1068" s="42"/>
      <c r="C1068" s="42"/>
      <c r="D1068" s="28" t="str">
        <f aca="false">IF(OR($B1068="",$C1068=""),"",$C1068*IFERROR(INDEX(Setup!$C$47:$C$56,MATCH($B1068,Setup!$A$47:$A$56,0)),IFERROR(INDEX(Setup!$C$60:$C$89,MATCH($B1068,Setup!$A$60:$A$89,0)),"")))</f>
        <v/>
      </c>
      <c r="E1068" s="42"/>
      <c r="F1068" s="42"/>
    </row>
    <row r="1069" customFormat="false" ht="15" hidden="false" customHeight="true" outlineLevel="0" collapsed="false">
      <c r="A1069" s="42"/>
      <c r="B1069" s="42"/>
      <c r="C1069" s="42"/>
      <c r="D1069" s="28" t="str">
        <f aca="false">IF(OR($B1069="",$C1069=""),"",$C1069*IFERROR(INDEX(Setup!$C$47:$C$56,MATCH($B1069,Setup!$A$47:$A$56,0)),IFERROR(INDEX(Setup!$C$60:$C$89,MATCH($B1069,Setup!$A$60:$A$89,0)),"")))</f>
        <v/>
      </c>
      <c r="E1069" s="42"/>
      <c r="F1069" s="42"/>
    </row>
    <row r="1070" customFormat="false" ht="15" hidden="false" customHeight="true" outlineLevel="0" collapsed="false">
      <c r="A1070" s="42"/>
      <c r="B1070" s="42"/>
      <c r="C1070" s="42"/>
      <c r="D1070" s="28" t="str">
        <f aca="false">IF(OR($B1070="",$C1070=""),"",$C1070*IFERROR(INDEX(Setup!$C$47:$C$56,MATCH($B1070,Setup!$A$47:$A$56,0)),IFERROR(INDEX(Setup!$C$60:$C$89,MATCH($B1070,Setup!$A$60:$A$89,0)),"")))</f>
        <v/>
      </c>
      <c r="E1070" s="42"/>
      <c r="F1070" s="42"/>
    </row>
    <row r="1071" customFormat="false" ht="15" hidden="false" customHeight="true" outlineLevel="0" collapsed="false">
      <c r="A1071" s="42"/>
      <c r="B1071" s="42"/>
      <c r="C1071" s="42"/>
      <c r="D1071" s="28" t="str">
        <f aca="false">IF(OR($B1071="",$C1071=""),"",$C1071*IFERROR(INDEX(Setup!$C$47:$C$56,MATCH($B1071,Setup!$A$47:$A$56,0)),IFERROR(INDEX(Setup!$C$60:$C$89,MATCH($B1071,Setup!$A$60:$A$89,0)),"")))</f>
        <v/>
      </c>
      <c r="E1071" s="42"/>
      <c r="F1071" s="42"/>
    </row>
    <row r="1072" customFormat="false" ht="15" hidden="false" customHeight="true" outlineLevel="0" collapsed="false">
      <c r="A1072" s="42"/>
      <c r="B1072" s="42"/>
      <c r="C1072" s="42"/>
      <c r="D1072" s="28" t="str">
        <f aca="false">IF(OR($B1072="",$C1072=""),"",$C1072*IFERROR(INDEX(Setup!$C$47:$C$56,MATCH($B1072,Setup!$A$47:$A$56,0)),IFERROR(INDEX(Setup!$C$60:$C$89,MATCH($B1072,Setup!$A$60:$A$89,0)),"")))</f>
        <v/>
      </c>
      <c r="E1072" s="42"/>
      <c r="F1072" s="42"/>
    </row>
    <row r="1073" customFormat="false" ht="15" hidden="false" customHeight="true" outlineLevel="0" collapsed="false">
      <c r="A1073" s="42"/>
      <c r="B1073" s="42"/>
      <c r="C1073" s="42"/>
      <c r="D1073" s="28" t="str">
        <f aca="false">IF(OR($B1073="",$C1073=""),"",$C1073*IFERROR(INDEX(Setup!$C$47:$C$56,MATCH($B1073,Setup!$A$47:$A$56,0)),IFERROR(INDEX(Setup!$C$60:$C$89,MATCH($B1073,Setup!$A$60:$A$89,0)),"")))</f>
        <v/>
      </c>
      <c r="E1073" s="42"/>
      <c r="F1073" s="42"/>
    </row>
    <row r="1074" customFormat="false" ht="15" hidden="false" customHeight="true" outlineLevel="0" collapsed="false">
      <c r="A1074" s="42"/>
      <c r="B1074" s="42"/>
      <c r="C1074" s="42"/>
      <c r="D1074" s="28" t="str">
        <f aca="false">IF(OR($B1074="",$C1074=""),"",$C1074*IFERROR(INDEX(Setup!$C$47:$C$56,MATCH($B1074,Setup!$A$47:$A$56,0)),IFERROR(INDEX(Setup!$C$60:$C$89,MATCH($B1074,Setup!$A$60:$A$89,0)),"")))</f>
        <v/>
      </c>
      <c r="E1074" s="42"/>
      <c r="F1074" s="42"/>
    </row>
    <row r="1075" customFormat="false" ht="15" hidden="false" customHeight="true" outlineLevel="0" collapsed="false">
      <c r="A1075" s="42"/>
      <c r="B1075" s="42"/>
      <c r="C1075" s="42"/>
      <c r="D1075" s="28" t="str">
        <f aca="false">IF(OR($B1075="",$C1075=""),"",$C1075*IFERROR(INDEX(Setup!$C$47:$C$56,MATCH($B1075,Setup!$A$47:$A$56,0)),IFERROR(INDEX(Setup!$C$60:$C$89,MATCH($B1075,Setup!$A$60:$A$89,0)),"")))</f>
        <v/>
      </c>
      <c r="E1075" s="42"/>
      <c r="F1075" s="42"/>
    </row>
    <row r="1076" customFormat="false" ht="15" hidden="false" customHeight="true" outlineLevel="0" collapsed="false">
      <c r="A1076" s="42"/>
      <c r="B1076" s="42"/>
      <c r="C1076" s="42"/>
      <c r="D1076" s="28" t="str">
        <f aca="false">IF(OR($B1076="",$C1076=""),"",$C1076*IFERROR(INDEX(Setup!$C$47:$C$56,MATCH($B1076,Setup!$A$47:$A$56,0)),IFERROR(INDEX(Setup!$C$60:$C$89,MATCH($B1076,Setup!$A$60:$A$89,0)),"")))</f>
        <v/>
      </c>
      <c r="E1076" s="42"/>
      <c r="F1076" s="42"/>
    </row>
    <row r="1077" customFormat="false" ht="15" hidden="false" customHeight="true" outlineLevel="0" collapsed="false">
      <c r="A1077" s="42"/>
      <c r="B1077" s="42"/>
      <c r="C1077" s="42"/>
      <c r="D1077" s="28" t="str">
        <f aca="false">IF(OR($B1077="",$C1077=""),"",$C1077*IFERROR(INDEX(Setup!$C$47:$C$56,MATCH($B1077,Setup!$A$47:$A$56,0)),IFERROR(INDEX(Setup!$C$60:$C$89,MATCH($B1077,Setup!$A$60:$A$89,0)),"")))</f>
        <v/>
      </c>
      <c r="E1077" s="42"/>
      <c r="F1077" s="42"/>
    </row>
    <row r="1078" customFormat="false" ht="15" hidden="false" customHeight="true" outlineLevel="0" collapsed="false">
      <c r="A1078" s="42"/>
      <c r="B1078" s="42"/>
      <c r="C1078" s="42"/>
      <c r="D1078" s="28" t="str">
        <f aca="false">IF(OR($B1078="",$C1078=""),"",$C1078*IFERROR(INDEX(Setup!$C$47:$C$56,MATCH($B1078,Setup!$A$47:$A$56,0)),IFERROR(INDEX(Setup!$C$60:$C$89,MATCH($B1078,Setup!$A$60:$A$89,0)),"")))</f>
        <v/>
      </c>
      <c r="E1078" s="42"/>
      <c r="F1078" s="42"/>
    </row>
    <row r="1079" customFormat="false" ht="15" hidden="false" customHeight="true" outlineLevel="0" collapsed="false">
      <c r="A1079" s="42"/>
      <c r="B1079" s="42"/>
      <c r="C1079" s="42"/>
      <c r="D1079" s="28" t="str">
        <f aca="false">IF(OR($B1079="",$C1079=""),"",$C1079*IFERROR(INDEX(Setup!$C$47:$C$56,MATCH($B1079,Setup!$A$47:$A$56,0)),IFERROR(INDEX(Setup!$C$60:$C$89,MATCH($B1079,Setup!$A$60:$A$89,0)),"")))</f>
        <v/>
      </c>
      <c r="E1079" s="42"/>
      <c r="F1079" s="42"/>
    </row>
    <row r="1080" customFormat="false" ht="15" hidden="false" customHeight="true" outlineLevel="0" collapsed="false">
      <c r="A1080" s="42"/>
      <c r="B1080" s="42"/>
      <c r="C1080" s="42"/>
      <c r="D1080" s="28" t="str">
        <f aca="false">IF(OR($B1080="",$C1080=""),"",$C1080*IFERROR(INDEX(Setup!$C$47:$C$56,MATCH($B1080,Setup!$A$47:$A$56,0)),IFERROR(INDEX(Setup!$C$60:$C$89,MATCH($B1080,Setup!$A$60:$A$89,0)),"")))</f>
        <v/>
      </c>
      <c r="E1080" s="42"/>
      <c r="F1080" s="42"/>
    </row>
    <row r="1081" customFormat="false" ht="15" hidden="false" customHeight="true" outlineLevel="0" collapsed="false">
      <c r="A1081" s="42"/>
      <c r="B1081" s="42"/>
      <c r="C1081" s="42"/>
      <c r="D1081" s="28" t="str">
        <f aca="false">IF(OR($B1081="",$C1081=""),"",$C1081*IFERROR(INDEX(Setup!$C$47:$C$56,MATCH($B1081,Setup!$A$47:$A$56,0)),IFERROR(INDEX(Setup!$C$60:$C$89,MATCH($B1081,Setup!$A$60:$A$89,0)),"")))</f>
        <v/>
      </c>
      <c r="E1081" s="42"/>
      <c r="F1081" s="42"/>
    </row>
    <row r="1082" customFormat="false" ht="15" hidden="false" customHeight="true" outlineLevel="0" collapsed="false">
      <c r="A1082" s="42"/>
      <c r="B1082" s="42"/>
      <c r="C1082" s="42"/>
      <c r="D1082" s="28" t="str">
        <f aca="false">IF(OR($B1082="",$C1082=""),"",$C1082*IFERROR(INDEX(Setup!$C$47:$C$56,MATCH($B1082,Setup!$A$47:$A$56,0)),IFERROR(INDEX(Setup!$C$60:$C$89,MATCH($B1082,Setup!$A$60:$A$89,0)),"")))</f>
        <v/>
      </c>
      <c r="E1082" s="42"/>
      <c r="F1082" s="42"/>
    </row>
    <row r="1083" customFormat="false" ht="15" hidden="false" customHeight="true" outlineLevel="0" collapsed="false">
      <c r="A1083" s="42"/>
      <c r="B1083" s="42"/>
      <c r="C1083" s="42"/>
      <c r="D1083" s="28" t="str">
        <f aca="false">IF(OR($B1083="",$C1083=""),"",$C1083*IFERROR(INDEX(Setup!$C$47:$C$56,MATCH($B1083,Setup!$A$47:$A$56,0)),IFERROR(INDEX(Setup!$C$60:$C$89,MATCH($B1083,Setup!$A$60:$A$89,0)),"")))</f>
        <v/>
      </c>
      <c r="E1083" s="42"/>
      <c r="F1083" s="42"/>
    </row>
    <row r="1084" customFormat="false" ht="15" hidden="false" customHeight="true" outlineLevel="0" collapsed="false">
      <c r="A1084" s="42"/>
      <c r="B1084" s="42"/>
      <c r="C1084" s="42"/>
      <c r="D1084" s="28" t="str">
        <f aca="false">IF(OR($B1084="",$C1084=""),"",$C1084*IFERROR(INDEX(Setup!$C$47:$C$56,MATCH($B1084,Setup!$A$47:$A$56,0)),IFERROR(INDEX(Setup!$C$60:$C$89,MATCH($B1084,Setup!$A$60:$A$89,0)),"")))</f>
        <v/>
      </c>
      <c r="E1084" s="42"/>
      <c r="F1084" s="42"/>
    </row>
    <row r="1085" customFormat="false" ht="15" hidden="false" customHeight="true" outlineLevel="0" collapsed="false">
      <c r="A1085" s="42"/>
      <c r="B1085" s="42"/>
      <c r="C1085" s="42"/>
      <c r="D1085" s="28" t="str">
        <f aca="false">IF(OR($B1085="",$C1085=""),"",$C1085*IFERROR(INDEX(Setup!$C$47:$C$56,MATCH($B1085,Setup!$A$47:$A$56,0)),IFERROR(INDEX(Setup!$C$60:$C$89,MATCH($B1085,Setup!$A$60:$A$89,0)),"")))</f>
        <v/>
      </c>
      <c r="E1085" s="42"/>
      <c r="F1085" s="42"/>
    </row>
    <row r="1086" customFormat="false" ht="15" hidden="false" customHeight="true" outlineLevel="0" collapsed="false">
      <c r="A1086" s="42"/>
      <c r="B1086" s="42"/>
      <c r="C1086" s="42"/>
      <c r="D1086" s="28" t="str">
        <f aca="false">IF(OR($B1086="",$C1086=""),"",$C1086*IFERROR(INDEX(Setup!$C$47:$C$56,MATCH($B1086,Setup!$A$47:$A$56,0)),IFERROR(INDEX(Setup!$C$60:$C$89,MATCH($B1086,Setup!$A$60:$A$89,0)),"")))</f>
        <v/>
      </c>
      <c r="E1086" s="42"/>
      <c r="F1086" s="42"/>
    </row>
    <row r="1087" customFormat="false" ht="15" hidden="false" customHeight="true" outlineLevel="0" collapsed="false">
      <c r="A1087" s="42"/>
      <c r="B1087" s="42"/>
      <c r="C1087" s="42"/>
      <c r="D1087" s="28" t="str">
        <f aca="false">IF(OR($B1087="",$C1087=""),"",$C1087*IFERROR(INDEX(Setup!$C$47:$C$56,MATCH($B1087,Setup!$A$47:$A$56,0)),IFERROR(INDEX(Setup!$C$60:$C$89,MATCH($B1087,Setup!$A$60:$A$89,0)),"")))</f>
        <v/>
      </c>
      <c r="E1087" s="42"/>
      <c r="F1087" s="42"/>
    </row>
    <row r="1088" customFormat="false" ht="15" hidden="false" customHeight="true" outlineLevel="0" collapsed="false">
      <c r="A1088" s="42"/>
      <c r="B1088" s="42"/>
      <c r="C1088" s="42"/>
      <c r="D1088" s="28" t="str">
        <f aca="false">IF(OR($B1088="",$C1088=""),"",$C1088*IFERROR(INDEX(Setup!$C$47:$C$56,MATCH($B1088,Setup!$A$47:$A$56,0)),IFERROR(INDEX(Setup!$C$60:$C$89,MATCH($B1088,Setup!$A$60:$A$89,0)),"")))</f>
        <v/>
      </c>
      <c r="E1088" s="42"/>
      <c r="F1088" s="42"/>
    </row>
    <row r="1089" customFormat="false" ht="15" hidden="false" customHeight="true" outlineLevel="0" collapsed="false">
      <c r="A1089" s="42"/>
      <c r="B1089" s="42"/>
      <c r="C1089" s="42"/>
      <c r="D1089" s="28" t="str">
        <f aca="false">IF(OR($B1089="",$C1089=""),"",$C1089*IFERROR(INDEX(Setup!$C$47:$C$56,MATCH($B1089,Setup!$A$47:$A$56,0)),IFERROR(INDEX(Setup!$C$60:$C$89,MATCH($B1089,Setup!$A$60:$A$89,0)),"")))</f>
        <v/>
      </c>
      <c r="E1089" s="42"/>
      <c r="F1089" s="42"/>
    </row>
    <row r="1090" customFormat="false" ht="15" hidden="false" customHeight="true" outlineLevel="0" collapsed="false">
      <c r="A1090" s="42"/>
      <c r="B1090" s="42"/>
      <c r="C1090" s="42"/>
      <c r="D1090" s="28" t="str">
        <f aca="false">IF(OR($B1090="",$C1090=""),"",$C1090*IFERROR(INDEX(Setup!$C$47:$C$56,MATCH($B1090,Setup!$A$47:$A$56,0)),IFERROR(INDEX(Setup!$C$60:$C$89,MATCH($B1090,Setup!$A$60:$A$89,0)),"")))</f>
        <v/>
      </c>
      <c r="E1090" s="42"/>
      <c r="F1090" s="42"/>
    </row>
    <row r="1091" customFormat="false" ht="15" hidden="false" customHeight="true" outlineLevel="0" collapsed="false">
      <c r="A1091" s="42"/>
      <c r="B1091" s="42"/>
      <c r="C1091" s="42"/>
      <c r="D1091" s="28" t="str">
        <f aca="false">IF(OR($B1091="",$C1091=""),"",$C1091*IFERROR(INDEX(Setup!$C$47:$C$56,MATCH($B1091,Setup!$A$47:$A$56,0)),IFERROR(INDEX(Setup!$C$60:$C$89,MATCH($B1091,Setup!$A$60:$A$89,0)),"")))</f>
        <v/>
      </c>
      <c r="E1091" s="42"/>
      <c r="F1091" s="42"/>
    </row>
    <row r="1092" customFormat="false" ht="15" hidden="false" customHeight="true" outlineLevel="0" collapsed="false">
      <c r="A1092" s="42"/>
      <c r="B1092" s="42"/>
      <c r="C1092" s="42"/>
      <c r="D1092" s="28" t="str">
        <f aca="false">IF(OR($B1092="",$C1092=""),"",$C1092*IFERROR(INDEX(Setup!$C$47:$C$56,MATCH($B1092,Setup!$A$47:$A$56,0)),IFERROR(INDEX(Setup!$C$60:$C$89,MATCH($B1092,Setup!$A$60:$A$89,0)),"")))</f>
        <v/>
      </c>
      <c r="E1092" s="42"/>
      <c r="F1092" s="42"/>
    </row>
    <row r="1093" customFormat="false" ht="15" hidden="false" customHeight="true" outlineLevel="0" collapsed="false">
      <c r="A1093" s="42"/>
      <c r="B1093" s="42"/>
      <c r="C1093" s="42"/>
      <c r="D1093" s="28" t="str">
        <f aca="false">IF(OR($B1093="",$C1093=""),"",$C1093*IFERROR(INDEX(Setup!$C$47:$C$56,MATCH($B1093,Setup!$A$47:$A$56,0)),IFERROR(INDEX(Setup!$C$60:$C$89,MATCH($B1093,Setup!$A$60:$A$89,0)),"")))</f>
        <v/>
      </c>
      <c r="E1093" s="42"/>
      <c r="F1093" s="42"/>
    </row>
    <row r="1094" customFormat="false" ht="15" hidden="false" customHeight="true" outlineLevel="0" collapsed="false">
      <c r="A1094" s="42"/>
      <c r="B1094" s="42"/>
      <c r="C1094" s="42"/>
      <c r="D1094" s="28" t="str">
        <f aca="false">IF(OR($B1094="",$C1094=""),"",$C1094*IFERROR(INDEX(Setup!$C$47:$C$56,MATCH($B1094,Setup!$A$47:$A$56,0)),IFERROR(INDEX(Setup!$C$60:$C$89,MATCH($B1094,Setup!$A$60:$A$89,0)),"")))</f>
        <v/>
      </c>
      <c r="E1094" s="42"/>
      <c r="F1094" s="42"/>
    </row>
    <row r="1095" customFormat="false" ht="15" hidden="false" customHeight="true" outlineLevel="0" collapsed="false">
      <c r="A1095" s="42"/>
      <c r="B1095" s="42"/>
      <c r="C1095" s="42"/>
      <c r="D1095" s="28" t="str">
        <f aca="false">IF(OR($B1095="",$C1095=""),"",$C1095*IFERROR(INDEX(Setup!$C$47:$C$56,MATCH($B1095,Setup!$A$47:$A$56,0)),IFERROR(INDEX(Setup!$C$60:$C$89,MATCH($B1095,Setup!$A$60:$A$89,0)),"")))</f>
        <v/>
      </c>
      <c r="E1095" s="42"/>
      <c r="F1095" s="42"/>
    </row>
    <row r="1096" customFormat="false" ht="15" hidden="false" customHeight="true" outlineLevel="0" collapsed="false">
      <c r="A1096" s="42"/>
      <c r="B1096" s="42"/>
      <c r="C1096" s="42"/>
      <c r="D1096" s="28" t="str">
        <f aca="false">IF(OR($B1096="",$C1096=""),"",$C1096*IFERROR(INDEX(Setup!$C$47:$C$56,MATCH($B1096,Setup!$A$47:$A$56,0)),IFERROR(INDEX(Setup!$C$60:$C$89,MATCH($B1096,Setup!$A$60:$A$89,0)),"")))</f>
        <v/>
      </c>
      <c r="E1096" s="42"/>
      <c r="F1096" s="42"/>
    </row>
    <row r="1097" customFormat="false" ht="15" hidden="false" customHeight="true" outlineLevel="0" collapsed="false">
      <c r="A1097" s="42"/>
      <c r="B1097" s="42"/>
      <c r="C1097" s="42"/>
      <c r="D1097" s="28" t="str">
        <f aca="false">IF(OR($B1097="",$C1097=""),"",$C1097*IFERROR(INDEX(Setup!$C$47:$C$56,MATCH($B1097,Setup!$A$47:$A$56,0)),IFERROR(INDEX(Setup!$C$60:$C$89,MATCH($B1097,Setup!$A$60:$A$89,0)),"")))</f>
        <v/>
      </c>
      <c r="E1097" s="42"/>
      <c r="F1097" s="42"/>
    </row>
    <row r="1098" customFormat="false" ht="15" hidden="false" customHeight="true" outlineLevel="0" collapsed="false">
      <c r="A1098" s="42"/>
      <c r="B1098" s="42"/>
      <c r="C1098" s="42"/>
      <c r="D1098" s="28" t="str">
        <f aca="false">IF(OR($B1098="",$C1098=""),"",$C1098*IFERROR(INDEX(Setup!$C$47:$C$56,MATCH($B1098,Setup!$A$47:$A$56,0)),IFERROR(INDEX(Setup!$C$60:$C$89,MATCH($B1098,Setup!$A$60:$A$89,0)),"")))</f>
        <v/>
      </c>
      <c r="E1098" s="42"/>
      <c r="F1098" s="42"/>
    </row>
    <row r="1099" customFormat="false" ht="15" hidden="false" customHeight="true" outlineLevel="0" collapsed="false">
      <c r="A1099" s="42"/>
      <c r="B1099" s="42"/>
      <c r="C1099" s="42"/>
      <c r="D1099" s="28" t="str">
        <f aca="false">IF(OR($B1099="",$C1099=""),"",$C1099*IFERROR(INDEX(Setup!$C$47:$C$56,MATCH($B1099,Setup!$A$47:$A$56,0)),IFERROR(INDEX(Setup!$C$60:$C$89,MATCH($B1099,Setup!$A$60:$A$89,0)),"")))</f>
        <v/>
      </c>
      <c r="E1099" s="42"/>
      <c r="F1099" s="42"/>
    </row>
    <row r="1100" customFormat="false" ht="15" hidden="false" customHeight="true" outlineLevel="0" collapsed="false">
      <c r="A1100" s="42"/>
      <c r="B1100" s="42"/>
      <c r="C1100" s="42"/>
      <c r="D1100" s="28" t="str">
        <f aca="false">IF(OR($B1100="",$C1100=""),"",$C1100*IFERROR(INDEX(Setup!$C$47:$C$56,MATCH($B1100,Setup!$A$47:$A$56,0)),IFERROR(INDEX(Setup!$C$60:$C$89,MATCH($B1100,Setup!$A$60:$A$89,0)),"")))</f>
        <v/>
      </c>
      <c r="E1100" s="42"/>
      <c r="F1100" s="42"/>
    </row>
    <row r="1101" customFormat="false" ht="15" hidden="false" customHeight="true" outlineLevel="0" collapsed="false">
      <c r="A1101" s="42"/>
      <c r="B1101" s="42"/>
      <c r="C1101" s="42"/>
      <c r="D1101" s="28" t="str">
        <f aca="false">IF(OR($B1101="",$C1101=""),"",$C1101*IFERROR(INDEX(Setup!$C$47:$C$56,MATCH($B1101,Setup!$A$47:$A$56,0)),IFERROR(INDEX(Setup!$C$60:$C$89,MATCH($B1101,Setup!$A$60:$A$89,0)),"")))</f>
        <v/>
      </c>
      <c r="E1101" s="42"/>
      <c r="F1101" s="42"/>
    </row>
    <row r="1102" customFormat="false" ht="15" hidden="false" customHeight="true" outlineLevel="0" collapsed="false">
      <c r="A1102" s="42"/>
      <c r="B1102" s="42"/>
      <c r="C1102" s="42"/>
      <c r="D1102" s="28" t="str">
        <f aca="false">IF(OR($B1102="",$C1102=""),"",$C1102*IFERROR(INDEX(Setup!$C$47:$C$56,MATCH($B1102,Setup!$A$47:$A$56,0)),IFERROR(INDEX(Setup!$C$60:$C$89,MATCH($B1102,Setup!$A$60:$A$89,0)),"")))</f>
        <v/>
      </c>
      <c r="E1102" s="42"/>
      <c r="F1102" s="42"/>
    </row>
    <row r="1103" customFormat="false" ht="15" hidden="false" customHeight="true" outlineLevel="0" collapsed="false">
      <c r="A1103" s="42"/>
      <c r="B1103" s="42"/>
      <c r="C1103" s="42"/>
      <c r="D1103" s="28" t="str">
        <f aca="false">IF(OR($B1103="",$C1103=""),"",$C1103*IFERROR(INDEX(Setup!$C$47:$C$56,MATCH($B1103,Setup!$A$47:$A$56,0)),IFERROR(INDEX(Setup!$C$60:$C$89,MATCH($B1103,Setup!$A$60:$A$89,0)),"")))</f>
        <v/>
      </c>
      <c r="E1103" s="42"/>
      <c r="F1103" s="42"/>
    </row>
    <row r="1104" customFormat="false" ht="15" hidden="false" customHeight="true" outlineLevel="0" collapsed="false">
      <c r="A1104" s="42"/>
      <c r="B1104" s="42"/>
      <c r="C1104" s="42"/>
      <c r="D1104" s="28" t="str">
        <f aca="false">IF(OR($B1104="",$C1104=""),"",$C1104*IFERROR(INDEX(Setup!$C$47:$C$56,MATCH($B1104,Setup!$A$47:$A$56,0)),IFERROR(INDEX(Setup!$C$60:$C$89,MATCH($B1104,Setup!$A$60:$A$89,0)),"")))</f>
        <v/>
      </c>
      <c r="E1104" s="42"/>
      <c r="F1104" s="42"/>
    </row>
    <row r="1105" customFormat="false" ht="15" hidden="false" customHeight="true" outlineLevel="0" collapsed="false">
      <c r="A1105" s="42"/>
      <c r="B1105" s="42"/>
      <c r="C1105" s="42"/>
      <c r="D1105" s="28" t="str">
        <f aca="false">IF(OR($B1105="",$C1105=""),"",$C1105*IFERROR(INDEX(Setup!$C$47:$C$56,MATCH($B1105,Setup!$A$47:$A$56,0)),IFERROR(INDEX(Setup!$C$60:$C$89,MATCH($B1105,Setup!$A$60:$A$89,0)),"")))</f>
        <v/>
      </c>
      <c r="E1105" s="42"/>
      <c r="F1105" s="42"/>
    </row>
    <row r="1106" customFormat="false" ht="15" hidden="false" customHeight="true" outlineLevel="0" collapsed="false">
      <c r="A1106" s="42"/>
      <c r="B1106" s="42"/>
      <c r="C1106" s="42"/>
      <c r="D1106" s="28" t="str">
        <f aca="false">IF(OR($B1106="",$C1106=""),"",$C1106*IFERROR(INDEX(Setup!$C$47:$C$56,MATCH($B1106,Setup!$A$47:$A$56,0)),IFERROR(INDEX(Setup!$C$60:$C$89,MATCH($B1106,Setup!$A$60:$A$89,0)),"")))</f>
        <v/>
      </c>
      <c r="E1106" s="42"/>
      <c r="F1106" s="42"/>
    </row>
    <row r="1107" customFormat="false" ht="15" hidden="false" customHeight="true" outlineLevel="0" collapsed="false">
      <c r="A1107" s="42"/>
      <c r="B1107" s="42"/>
      <c r="C1107" s="42"/>
      <c r="D1107" s="28" t="str">
        <f aca="false">IF(OR($B1107="",$C1107=""),"",$C1107*IFERROR(INDEX(Setup!$C$47:$C$56,MATCH($B1107,Setup!$A$47:$A$56,0)),IFERROR(INDEX(Setup!$C$60:$C$89,MATCH($B1107,Setup!$A$60:$A$89,0)),"")))</f>
        <v/>
      </c>
      <c r="E1107" s="42"/>
      <c r="F1107" s="42"/>
    </row>
    <row r="1108" customFormat="false" ht="15" hidden="false" customHeight="true" outlineLevel="0" collapsed="false">
      <c r="A1108" s="42"/>
      <c r="B1108" s="42"/>
      <c r="C1108" s="42"/>
      <c r="D1108" s="28" t="str">
        <f aca="false">IF(OR($B1108="",$C1108=""),"",$C1108*IFERROR(INDEX(Setup!$C$47:$C$56,MATCH($B1108,Setup!$A$47:$A$56,0)),IFERROR(INDEX(Setup!$C$60:$C$89,MATCH($B1108,Setup!$A$60:$A$89,0)),"")))</f>
        <v/>
      </c>
      <c r="E1108" s="42"/>
      <c r="F1108" s="42"/>
    </row>
    <row r="1109" customFormat="false" ht="15" hidden="false" customHeight="true" outlineLevel="0" collapsed="false">
      <c r="A1109" s="42"/>
      <c r="B1109" s="42"/>
      <c r="C1109" s="42"/>
      <c r="D1109" s="28" t="str">
        <f aca="false">IF(OR($B1109="",$C1109=""),"",$C1109*IFERROR(INDEX(Setup!$C$47:$C$56,MATCH($B1109,Setup!$A$47:$A$56,0)),IFERROR(INDEX(Setup!$C$60:$C$89,MATCH($B1109,Setup!$A$60:$A$89,0)),"")))</f>
        <v/>
      </c>
      <c r="E1109" s="42"/>
      <c r="F1109" s="42"/>
    </row>
    <row r="1110" customFormat="false" ht="15" hidden="false" customHeight="true" outlineLevel="0" collapsed="false">
      <c r="A1110" s="42"/>
      <c r="B1110" s="42"/>
      <c r="C1110" s="42"/>
      <c r="D1110" s="28" t="str">
        <f aca="false">IF(OR($B1110="",$C1110=""),"",$C1110*IFERROR(INDEX(Setup!$C$47:$C$56,MATCH($B1110,Setup!$A$47:$A$56,0)),IFERROR(INDEX(Setup!$C$60:$C$89,MATCH($B1110,Setup!$A$60:$A$89,0)),"")))</f>
        <v/>
      </c>
      <c r="E1110" s="42"/>
      <c r="F1110" s="42"/>
    </row>
    <row r="1111" customFormat="false" ht="15" hidden="false" customHeight="true" outlineLevel="0" collapsed="false">
      <c r="A1111" s="42"/>
      <c r="B1111" s="42"/>
      <c r="C1111" s="42"/>
      <c r="D1111" s="28" t="str">
        <f aca="false">IF(OR($B1111="",$C1111=""),"",$C1111*IFERROR(INDEX(Setup!$C$47:$C$56,MATCH($B1111,Setup!$A$47:$A$56,0)),IFERROR(INDEX(Setup!$C$60:$C$89,MATCH($B1111,Setup!$A$60:$A$89,0)),"")))</f>
        <v/>
      </c>
      <c r="E1111" s="42"/>
      <c r="F1111" s="42"/>
    </row>
    <row r="1112" customFormat="false" ht="15" hidden="false" customHeight="true" outlineLevel="0" collapsed="false">
      <c r="A1112" s="42"/>
      <c r="B1112" s="42"/>
      <c r="C1112" s="42"/>
      <c r="D1112" s="28" t="str">
        <f aca="false">IF(OR($B1112="",$C1112=""),"",$C1112*IFERROR(INDEX(Setup!$C$47:$C$56,MATCH($B1112,Setup!$A$47:$A$56,0)),IFERROR(INDEX(Setup!$C$60:$C$89,MATCH($B1112,Setup!$A$60:$A$89,0)),"")))</f>
        <v/>
      </c>
      <c r="E1112" s="42"/>
      <c r="F1112" s="42"/>
    </row>
    <row r="1113" customFormat="false" ht="15" hidden="false" customHeight="true" outlineLevel="0" collapsed="false">
      <c r="A1113" s="42"/>
      <c r="B1113" s="42"/>
      <c r="C1113" s="42"/>
      <c r="D1113" s="28" t="str">
        <f aca="false">IF(OR($B1113="",$C1113=""),"",$C1113*IFERROR(INDEX(Setup!$C$47:$C$56,MATCH($B1113,Setup!$A$47:$A$56,0)),IFERROR(INDEX(Setup!$C$60:$C$89,MATCH($B1113,Setup!$A$60:$A$89,0)),"")))</f>
        <v/>
      </c>
      <c r="E1113" s="42"/>
      <c r="F1113" s="42"/>
    </row>
    <row r="1114" customFormat="false" ht="15" hidden="false" customHeight="true" outlineLevel="0" collapsed="false">
      <c r="A1114" s="42"/>
      <c r="B1114" s="42"/>
      <c r="C1114" s="42"/>
      <c r="D1114" s="28" t="str">
        <f aca="false">IF(OR($B1114="",$C1114=""),"",$C1114*IFERROR(INDEX(Setup!$C$47:$C$56,MATCH($B1114,Setup!$A$47:$A$56,0)),IFERROR(INDEX(Setup!$C$60:$C$89,MATCH($B1114,Setup!$A$60:$A$89,0)),"")))</f>
        <v/>
      </c>
      <c r="E1114" s="42"/>
      <c r="F1114" s="42"/>
    </row>
    <row r="1115" customFormat="false" ht="15" hidden="false" customHeight="true" outlineLevel="0" collapsed="false">
      <c r="A1115" s="42"/>
      <c r="B1115" s="42"/>
      <c r="C1115" s="42"/>
      <c r="D1115" s="28" t="str">
        <f aca="false">IF(OR($B1115="",$C1115=""),"",$C1115*IFERROR(INDEX(Setup!$C$47:$C$56,MATCH($B1115,Setup!$A$47:$A$56,0)),IFERROR(INDEX(Setup!$C$60:$C$89,MATCH($B1115,Setup!$A$60:$A$89,0)),"")))</f>
        <v/>
      </c>
      <c r="E1115" s="42"/>
      <c r="F1115" s="42"/>
    </row>
    <row r="1116" customFormat="false" ht="15" hidden="false" customHeight="true" outlineLevel="0" collapsed="false">
      <c r="A1116" s="42"/>
      <c r="B1116" s="42"/>
      <c r="C1116" s="42"/>
      <c r="D1116" s="28" t="str">
        <f aca="false">IF(OR($B1116="",$C1116=""),"",$C1116*IFERROR(INDEX(Setup!$C$47:$C$56,MATCH($B1116,Setup!$A$47:$A$56,0)),IFERROR(INDEX(Setup!$C$60:$C$89,MATCH($B1116,Setup!$A$60:$A$89,0)),"")))</f>
        <v/>
      </c>
      <c r="E1116" s="42"/>
      <c r="F1116" s="42"/>
    </row>
    <row r="1117" customFormat="false" ht="15" hidden="false" customHeight="true" outlineLevel="0" collapsed="false">
      <c r="A1117" s="42"/>
      <c r="B1117" s="42"/>
      <c r="C1117" s="42"/>
      <c r="D1117" s="28" t="str">
        <f aca="false">IF(OR($B1117="",$C1117=""),"",$C1117*IFERROR(INDEX(Setup!$C$47:$C$56,MATCH($B1117,Setup!$A$47:$A$56,0)),IFERROR(INDEX(Setup!$C$60:$C$89,MATCH($B1117,Setup!$A$60:$A$89,0)),"")))</f>
        <v/>
      </c>
      <c r="E1117" s="42"/>
      <c r="F1117" s="42"/>
    </row>
    <row r="1118" customFormat="false" ht="15" hidden="false" customHeight="true" outlineLevel="0" collapsed="false">
      <c r="A1118" s="42"/>
      <c r="B1118" s="42"/>
      <c r="C1118" s="42"/>
      <c r="D1118" s="28" t="str">
        <f aca="false">IF(OR($B1118="",$C1118=""),"",$C1118*IFERROR(INDEX(Setup!$C$47:$C$56,MATCH($B1118,Setup!$A$47:$A$56,0)),IFERROR(INDEX(Setup!$C$60:$C$89,MATCH($B1118,Setup!$A$60:$A$89,0)),"")))</f>
        <v/>
      </c>
      <c r="E1118" s="42"/>
      <c r="F1118" s="42"/>
    </row>
    <row r="1119" customFormat="false" ht="15" hidden="false" customHeight="true" outlineLevel="0" collapsed="false">
      <c r="A1119" s="42"/>
      <c r="B1119" s="42"/>
      <c r="C1119" s="42"/>
      <c r="D1119" s="28" t="str">
        <f aca="false">IF(OR($B1119="",$C1119=""),"",$C1119*IFERROR(INDEX(Setup!$C$47:$C$56,MATCH($B1119,Setup!$A$47:$A$56,0)),IFERROR(INDEX(Setup!$C$60:$C$89,MATCH($B1119,Setup!$A$60:$A$89,0)),"")))</f>
        <v/>
      </c>
      <c r="E1119" s="42"/>
      <c r="F1119" s="42"/>
    </row>
    <row r="1120" customFormat="false" ht="15" hidden="false" customHeight="true" outlineLevel="0" collapsed="false">
      <c r="A1120" s="42"/>
      <c r="B1120" s="42"/>
      <c r="C1120" s="42"/>
      <c r="D1120" s="28" t="str">
        <f aca="false">IF(OR($B1120="",$C1120=""),"",$C1120*IFERROR(INDEX(Setup!$C$47:$C$56,MATCH($B1120,Setup!$A$47:$A$56,0)),IFERROR(INDEX(Setup!$C$60:$C$89,MATCH($B1120,Setup!$A$60:$A$89,0)),"")))</f>
        <v/>
      </c>
      <c r="E1120" s="42"/>
      <c r="F1120" s="42"/>
    </row>
    <row r="1121" customFormat="false" ht="15" hidden="false" customHeight="true" outlineLevel="0" collapsed="false">
      <c r="A1121" s="42"/>
      <c r="B1121" s="42"/>
      <c r="C1121" s="42"/>
      <c r="D1121" s="28" t="str">
        <f aca="false">IF(OR($B1121="",$C1121=""),"",$C1121*IFERROR(INDEX(Setup!$C$47:$C$56,MATCH($B1121,Setup!$A$47:$A$56,0)),IFERROR(INDEX(Setup!$C$60:$C$89,MATCH($B1121,Setup!$A$60:$A$89,0)),"")))</f>
        <v/>
      </c>
      <c r="E1121" s="42"/>
      <c r="F1121" s="42"/>
    </row>
    <row r="1122" customFormat="false" ht="15" hidden="false" customHeight="true" outlineLevel="0" collapsed="false">
      <c r="A1122" s="42"/>
      <c r="B1122" s="42"/>
      <c r="C1122" s="42"/>
      <c r="D1122" s="28" t="str">
        <f aca="false">IF(OR($B1122="",$C1122=""),"",$C1122*IFERROR(INDEX(Setup!$C$47:$C$56,MATCH($B1122,Setup!$A$47:$A$56,0)),IFERROR(INDEX(Setup!$C$60:$C$89,MATCH($B1122,Setup!$A$60:$A$89,0)),"")))</f>
        <v/>
      </c>
      <c r="E1122" s="42"/>
      <c r="F1122" s="42"/>
    </row>
    <row r="1123" customFormat="false" ht="15" hidden="false" customHeight="true" outlineLevel="0" collapsed="false">
      <c r="A1123" s="42"/>
      <c r="B1123" s="42"/>
      <c r="C1123" s="42"/>
      <c r="D1123" s="28" t="str">
        <f aca="false">IF(OR($B1123="",$C1123=""),"",$C1123*IFERROR(INDEX(Setup!$C$47:$C$56,MATCH($B1123,Setup!$A$47:$A$56,0)),IFERROR(INDEX(Setup!$C$60:$C$89,MATCH($B1123,Setup!$A$60:$A$89,0)),"")))</f>
        <v/>
      </c>
      <c r="E1123" s="42"/>
      <c r="F1123" s="42"/>
    </row>
    <row r="1124" customFormat="false" ht="15" hidden="false" customHeight="true" outlineLevel="0" collapsed="false">
      <c r="A1124" s="42"/>
      <c r="B1124" s="42"/>
      <c r="C1124" s="42"/>
      <c r="D1124" s="28" t="str">
        <f aca="false">IF(OR($B1124="",$C1124=""),"",$C1124*IFERROR(INDEX(Setup!$C$47:$C$56,MATCH($B1124,Setup!$A$47:$A$56,0)),IFERROR(INDEX(Setup!$C$60:$C$89,MATCH($B1124,Setup!$A$60:$A$89,0)),"")))</f>
        <v/>
      </c>
      <c r="E1124" s="42"/>
      <c r="F1124" s="42"/>
    </row>
    <row r="1125" customFormat="false" ht="15" hidden="false" customHeight="true" outlineLevel="0" collapsed="false">
      <c r="A1125" s="42"/>
      <c r="B1125" s="42"/>
      <c r="C1125" s="42"/>
      <c r="D1125" s="28" t="str">
        <f aca="false">IF(OR($B1125="",$C1125=""),"",$C1125*IFERROR(INDEX(Setup!$C$47:$C$56,MATCH($B1125,Setup!$A$47:$A$56,0)),IFERROR(INDEX(Setup!$C$60:$C$89,MATCH($B1125,Setup!$A$60:$A$89,0)),"")))</f>
        <v/>
      </c>
      <c r="E1125" s="42"/>
      <c r="F1125" s="42"/>
    </row>
    <row r="1126" customFormat="false" ht="15" hidden="false" customHeight="true" outlineLevel="0" collapsed="false">
      <c r="A1126" s="42"/>
      <c r="B1126" s="42"/>
      <c r="C1126" s="42"/>
      <c r="D1126" s="28" t="str">
        <f aca="false">IF(OR($B1126="",$C1126=""),"",$C1126*IFERROR(INDEX(Setup!$C$47:$C$56,MATCH($B1126,Setup!$A$47:$A$56,0)),IFERROR(INDEX(Setup!$C$60:$C$89,MATCH($B1126,Setup!$A$60:$A$89,0)),"")))</f>
        <v/>
      </c>
      <c r="E1126" s="42"/>
      <c r="F1126" s="42"/>
    </row>
    <row r="1127" customFormat="false" ht="15" hidden="false" customHeight="true" outlineLevel="0" collapsed="false">
      <c r="A1127" s="42"/>
      <c r="B1127" s="42"/>
      <c r="C1127" s="42"/>
      <c r="D1127" s="28" t="str">
        <f aca="false">IF(OR($B1127="",$C1127=""),"",$C1127*IFERROR(INDEX(Setup!$C$47:$C$56,MATCH($B1127,Setup!$A$47:$A$56,0)),IFERROR(INDEX(Setup!$C$60:$C$89,MATCH($B1127,Setup!$A$60:$A$89,0)),"")))</f>
        <v/>
      </c>
      <c r="E1127" s="42"/>
      <c r="F1127" s="42"/>
    </row>
    <row r="1128" customFormat="false" ht="15" hidden="false" customHeight="true" outlineLevel="0" collapsed="false">
      <c r="A1128" s="42"/>
      <c r="B1128" s="42"/>
      <c r="C1128" s="42"/>
      <c r="D1128" s="28" t="str">
        <f aca="false">IF(OR($B1128="",$C1128=""),"",$C1128*IFERROR(INDEX(Setup!$C$47:$C$56,MATCH($B1128,Setup!$A$47:$A$56,0)),IFERROR(INDEX(Setup!$C$60:$C$89,MATCH($B1128,Setup!$A$60:$A$89,0)),"")))</f>
        <v/>
      </c>
      <c r="E1128" s="42"/>
      <c r="F1128" s="42"/>
    </row>
    <row r="1129" customFormat="false" ht="15" hidden="false" customHeight="true" outlineLevel="0" collapsed="false">
      <c r="A1129" s="42"/>
      <c r="B1129" s="42"/>
      <c r="C1129" s="42"/>
      <c r="D1129" s="28" t="str">
        <f aca="false">IF(OR($B1129="",$C1129=""),"",$C1129*IFERROR(INDEX(Setup!$C$47:$C$56,MATCH($B1129,Setup!$A$47:$A$56,0)),IFERROR(INDEX(Setup!$C$60:$C$89,MATCH($B1129,Setup!$A$60:$A$89,0)),"")))</f>
        <v/>
      </c>
      <c r="E1129" s="42"/>
      <c r="F1129" s="42"/>
    </row>
    <row r="1130" customFormat="false" ht="15" hidden="false" customHeight="true" outlineLevel="0" collapsed="false">
      <c r="A1130" s="42"/>
      <c r="B1130" s="42"/>
      <c r="C1130" s="42"/>
      <c r="D1130" s="28" t="str">
        <f aca="false">IF(OR($B1130="",$C1130=""),"",$C1130*IFERROR(INDEX(Setup!$C$47:$C$56,MATCH($B1130,Setup!$A$47:$A$56,0)),IFERROR(INDEX(Setup!$C$60:$C$89,MATCH($B1130,Setup!$A$60:$A$89,0)),"")))</f>
        <v/>
      </c>
      <c r="E1130" s="42"/>
      <c r="F1130" s="42"/>
    </row>
    <row r="1131" customFormat="false" ht="15" hidden="false" customHeight="true" outlineLevel="0" collapsed="false">
      <c r="A1131" s="42"/>
      <c r="B1131" s="42"/>
      <c r="C1131" s="42"/>
      <c r="D1131" s="28" t="str">
        <f aca="false">IF(OR($B1131="",$C1131=""),"",$C1131*IFERROR(INDEX(Setup!$C$47:$C$56,MATCH($B1131,Setup!$A$47:$A$56,0)),IFERROR(INDEX(Setup!$C$60:$C$89,MATCH($B1131,Setup!$A$60:$A$89,0)),"")))</f>
        <v/>
      </c>
      <c r="E1131" s="42"/>
      <c r="F1131" s="42"/>
    </row>
    <row r="1132" customFormat="false" ht="15" hidden="false" customHeight="true" outlineLevel="0" collapsed="false">
      <c r="A1132" s="42"/>
      <c r="B1132" s="42"/>
      <c r="C1132" s="42"/>
      <c r="D1132" s="28" t="str">
        <f aca="false">IF(OR($B1132="",$C1132=""),"",$C1132*IFERROR(INDEX(Setup!$C$47:$C$56,MATCH($B1132,Setup!$A$47:$A$56,0)),IFERROR(INDEX(Setup!$C$60:$C$89,MATCH($B1132,Setup!$A$60:$A$89,0)),"")))</f>
        <v/>
      </c>
      <c r="E1132" s="42"/>
      <c r="F1132" s="42"/>
    </row>
    <row r="1133" customFormat="false" ht="15" hidden="false" customHeight="true" outlineLevel="0" collapsed="false">
      <c r="A1133" s="42"/>
      <c r="B1133" s="42"/>
      <c r="C1133" s="42"/>
      <c r="D1133" s="28" t="str">
        <f aca="false">IF(OR($B1133="",$C1133=""),"",$C1133*IFERROR(INDEX(Setup!$C$47:$C$56,MATCH($B1133,Setup!$A$47:$A$56,0)),IFERROR(INDEX(Setup!$C$60:$C$89,MATCH($B1133,Setup!$A$60:$A$89,0)),"")))</f>
        <v/>
      </c>
      <c r="E1133" s="42"/>
      <c r="F1133" s="42"/>
    </row>
    <row r="1134" customFormat="false" ht="15" hidden="false" customHeight="true" outlineLevel="0" collapsed="false">
      <c r="A1134" s="42"/>
      <c r="B1134" s="42"/>
      <c r="C1134" s="42"/>
      <c r="D1134" s="28" t="str">
        <f aca="false">IF(OR($B1134="",$C1134=""),"",$C1134*IFERROR(INDEX(Setup!$C$47:$C$56,MATCH($B1134,Setup!$A$47:$A$56,0)),IFERROR(INDEX(Setup!$C$60:$C$89,MATCH($B1134,Setup!$A$60:$A$89,0)),"")))</f>
        <v/>
      </c>
      <c r="E1134" s="42"/>
      <c r="F1134" s="42"/>
    </row>
    <row r="1135" customFormat="false" ht="15" hidden="false" customHeight="true" outlineLevel="0" collapsed="false">
      <c r="A1135" s="42"/>
      <c r="B1135" s="42"/>
      <c r="C1135" s="42"/>
      <c r="D1135" s="28" t="str">
        <f aca="false">IF(OR($B1135="",$C1135=""),"",$C1135*IFERROR(INDEX(Setup!$C$47:$C$56,MATCH($B1135,Setup!$A$47:$A$56,0)),IFERROR(INDEX(Setup!$C$60:$C$89,MATCH($B1135,Setup!$A$60:$A$89,0)),"")))</f>
        <v/>
      </c>
      <c r="E1135" s="42"/>
      <c r="F1135" s="42"/>
    </row>
    <row r="1136" customFormat="false" ht="15" hidden="false" customHeight="true" outlineLevel="0" collapsed="false">
      <c r="A1136" s="42"/>
      <c r="B1136" s="42"/>
      <c r="C1136" s="42"/>
      <c r="D1136" s="28" t="str">
        <f aca="false">IF(OR($B1136="",$C1136=""),"",$C1136*IFERROR(INDEX(Setup!$C$47:$C$56,MATCH($B1136,Setup!$A$47:$A$56,0)),IFERROR(INDEX(Setup!$C$60:$C$89,MATCH($B1136,Setup!$A$60:$A$89,0)),"")))</f>
        <v/>
      </c>
      <c r="E1136" s="42"/>
      <c r="F1136" s="42"/>
    </row>
    <row r="1137" customFormat="false" ht="15" hidden="false" customHeight="true" outlineLevel="0" collapsed="false">
      <c r="A1137" s="42"/>
      <c r="B1137" s="42"/>
      <c r="C1137" s="42"/>
      <c r="D1137" s="28" t="str">
        <f aca="false">IF(OR($B1137="",$C1137=""),"",$C1137*IFERROR(INDEX(Setup!$C$47:$C$56,MATCH($B1137,Setup!$A$47:$A$56,0)),IFERROR(INDEX(Setup!$C$60:$C$89,MATCH($B1137,Setup!$A$60:$A$89,0)),"")))</f>
        <v/>
      </c>
      <c r="E1137" s="42"/>
      <c r="F1137" s="42"/>
    </row>
    <row r="1138" customFormat="false" ht="15" hidden="false" customHeight="true" outlineLevel="0" collapsed="false">
      <c r="A1138" s="42"/>
      <c r="B1138" s="42"/>
      <c r="C1138" s="42"/>
      <c r="D1138" s="28" t="str">
        <f aca="false">IF(OR($B1138="",$C1138=""),"",$C1138*IFERROR(INDEX(Setup!$C$47:$C$56,MATCH($B1138,Setup!$A$47:$A$56,0)),IFERROR(INDEX(Setup!$C$60:$C$89,MATCH($B1138,Setup!$A$60:$A$89,0)),"")))</f>
        <v/>
      </c>
      <c r="E1138" s="42"/>
      <c r="F1138" s="42"/>
    </row>
    <row r="1139" customFormat="false" ht="15" hidden="false" customHeight="true" outlineLevel="0" collapsed="false">
      <c r="A1139" s="42"/>
      <c r="B1139" s="42"/>
      <c r="C1139" s="42"/>
      <c r="D1139" s="28" t="str">
        <f aca="false">IF(OR($B1139="",$C1139=""),"",$C1139*IFERROR(INDEX(Setup!$C$47:$C$56,MATCH($B1139,Setup!$A$47:$A$56,0)),IFERROR(INDEX(Setup!$C$60:$C$89,MATCH($B1139,Setup!$A$60:$A$89,0)),"")))</f>
        <v/>
      </c>
      <c r="E1139" s="42"/>
      <c r="F1139" s="42"/>
    </row>
    <row r="1140" customFormat="false" ht="15" hidden="false" customHeight="true" outlineLevel="0" collapsed="false">
      <c r="A1140" s="42"/>
      <c r="B1140" s="42"/>
      <c r="C1140" s="42"/>
      <c r="D1140" s="28" t="str">
        <f aca="false">IF(OR($B1140="",$C1140=""),"",$C1140*IFERROR(INDEX(Setup!$C$47:$C$56,MATCH($B1140,Setup!$A$47:$A$56,0)),IFERROR(INDEX(Setup!$C$60:$C$89,MATCH($B1140,Setup!$A$60:$A$89,0)),"")))</f>
        <v/>
      </c>
      <c r="E1140" s="42"/>
      <c r="F1140" s="42"/>
    </row>
    <row r="1141" customFormat="false" ht="15" hidden="false" customHeight="true" outlineLevel="0" collapsed="false">
      <c r="A1141" s="42"/>
      <c r="B1141" s="42"/>
      <c r="C1141" s="42"/>
      <c r="D1141" s="28" t="str">
        <f aca="false">IF(OR($B1141="",$C1141=""),"",$C1141*IFERROR(INDEX(Setup!$C$47:$C$56,MATCH($B1141,Setup!$A$47:$A$56,0)),IFERROR(INDEX(Setup!$C$60:$C$89,MATCH($B1141,Setup!$A$60:$A$89,0)),"")))</f>
        <v/>
      </c>
      <c r="E1141" s="42"/>
      <c r="F1141" s="42"/>
    </row>
    <row r="1142" customFormat="false" ht="15" hidden="false" customHeight="true" outlineLevel="0" collapsed="false">
      <c r="A1142" s="42"/>
      <c r="B1142" s="42"/>
      <c r="C1142" s="42"/>
      <c r="D1142" s="28" t="str">
        <f aca="false">IF(OR($B1142="",$C1142=""),"",$C1142*IFERROR(INDEX(Setup!$C$47:$C$56,MATCH($B1142,Setup!$A$47:$A$56,0)),IFERROR(INDEX(Setup!$C$60:$C$89,MATCH($B1142,Setup!$A$60:$A$89,0)),"")))</f>
        <v/>
      </c>
      <c r="E1142" s="42"/>
      <c r="F1142" s="42"/>
    </row>
    <row r="1143" customFormat="false" ht="15" hidden="false" customHeight="true" outlineLevel="0" collapsed="false">
      <c r="A1143" s="42"/>
      <c r="B1143" s="42"/>
      <c r="C1143" s="42"/>
      <c r="D1143" s="28" t="str">
        <f aca="false">IF(OR($B1143="",$C1143=""),"",$C1143*IFERROR(INDEX(Setup!$C$47:$C$56,MATCH($B1143,Setup!$A$47:$A$56,0)),IFERROR(INDEX(Setup!$C$60:$C$89,MATCH($B1143,Setup!$A$60:$A$89,0)),"")))</f>
        <v/>
      </c>
      <c r="E1143" s="42"/>
      <c r="F1143" s="42"/>
    </row>
    <row r="1144" customFormat="false" ht="15" hidden="false" customHeight="true" outlineLevel="0" collapsed="false">
      <c r="A1144" s="42"/>
      <c r="B1144" s="42"/>
      <c r="C1144" s="42"/>
      <c r="D1144" s="28" t="str">
        <f aca="false">IF(OR($B1144="",$C1144=""),"",$C1144*IFERROR(INDEX(Setup!$C$47:$C$56,MATCH($B1144,Setup!$A$47:$A$56,0)),IFERROR(INDEX(Setup!$C$60:$C$89,MATCH($B1144,Setup!$A$60:$A$89,0)),"")))</f>
        <v/>
      </c>
      <c r="E1144" s="42"/>
      <c r="F1144" s="42"/>
    </row>
    <row r="1145" customFormat="false" ht="15" hidden="false" customHeight="true" outlineLevel="0" collapsed="false">
      <c r="A1145" s="42"/>
      <c r="B1145" s="42"/>
      <c r="C1145" s="42"/>
      <c r="D1145" s="28" t="str">
        <f aca="false">IF(OR($B1145="",$C1145=""),"",$C1145*IFERROR(INDEX(Setup!$C$47:$C$56,MATCH($B1145,Setup!$A$47:$A$56,0)),IFERROR(INDEX(Setup!$C$60:$C$89,MATCH($B1145,Setup!$A$60:$A$89,0)),"")))</f>
        <v/>
      </c>
      <c r="E1145" s="42"/>
      <c r="F1145" s="42"/>
    </row>
    <row r="1146" customFormat="false" ht="15" hidden="false" customHeight="true" outlineLevel="0" collapsed="false">
      <c r="A1146" s="42"/>
      <c r="B1146" s="42"/>
      <c r="C1146" s="42"/>
      <c r="D1146" s="28" t="str">
        <f aca="false">IF(OR($B1146="",$C1146=""),"",$C1146*IFERROR(INDEX(Setup!$C$47:$C$56,MATCH($B1146,Setup!$A$47:$A$56,0)),IFERROR(INDEX(Setup!$C$60:$C$89,MATCH($B1146,Setup!$A$60:$A$89,0)),"")))</f>
        <v/>
      </c>
      <c r="E1146" s="42"/>
      <c r="F1146" s="42"/>
    </row>
    <row r="1147" customFormat="false" ht="15" hidden="false" customHeight="true" outlineLevel="0" collapsed="false">
      <c r="A1147" s="42"/>
      <c r="B1147" s="42"/>
      <c r="C1147" s="42"/>
      <c r="D1147" s="28" t="str">
        <f aca="false">IF(OR($B1147="",$C1147=""),"",$C1147*IFERROR(INDEX(Setup!$C$47:$C$56,MATCH($B1147,Setup!$A$47:$A$56,0)),IFERROR(INDEX(Setup!$C$60:$C$89,MATCH($B1147,Setup!$A$60:$A$89,0)),"")))</f>
        <v/>
      </c>
      <c r="E1147" s="42"/>
      <c r="F1147" s="42"/>
    </row>
    <row r="1148" customFormat="false" ht="15" hidden="false" customHeight="true" outlineLevel="0" collapsed="false">
      <c r="A1148" s="42"/>
      <c r="B1148" s="42"/>
      <c r="C1148" s="42"/>
      <c r="D1148" s="28" t="str">
        <f aca="false">IF(OR($B1148="",$C1148=""),"",$C1148*IFERROR(INDEX(Setup!$C$47:$C$56,MATCH($B1148,Setup!$A$47:$A$56,0)),IFERROR(INDEX(Setup!$C$60:$C$89,MATCH($B1148,Setup!$A$60:$A$89,0)),"")))</f>
        <v/>
      </c>
      <c r="E1148" s="42"/>
      <c r="F1148" s="42"/>
    </row>
    <row r="1149" customFormat="false" ht="15" hidden="false" customHeight="true" outlineLevel="0" collapsed="false">
      <c r="A1149" s="42"/>
      <c r="B1149" s="42"/>
      <c r="C1149" s="42"/>
      <c r="D1149" s="28" t="str">
        <f aca="false">IF(OR($B1149="",$C1149=""),"",$C1149*IFERROR(INDEX(Setup!$C$47:$C$56,MATCH($B1149,Setup!$A$47:$A$56,0)),IFERROR(INDEX(Setup!$C$60:$C$89,MATCH($B1149,Setup!$A$60:$A$89,0)),"")))</f>
        <v/>
      </c>
      <c r="E1149" s="42"/>
      <c r="F1149" s="42"/>
    </row>
    <row r="1150" customFormat="false" ht="15" hidden="false" customHeight="true" outlineLevel="0" collapsed="false">
      <c r="A1150" s="42"/>
      <c r="B1150" s="42"/>
      <c r="C1150" s="42"/>
      <c r="D1150" s="28" t="str">
        <f aca="false">IF(OR($B1150="",$C1150=""),"",$C1150*IFERROR(INDEX(Setup!$C$47:$C$56,MATCH($B1150,Setup!$A$47:$A$56,0)),IFERROR(INDEX(Setup!$C$60:$C$89,MATCH($B1150,Setup!$A$60:$A$89,0)),"")))</f>
        <v/>
      </c>
      <c r="E1150" s="42"/>
      <c r="F1150" s="42"/>
    </row>
    <row r="1151" customFormat="false" ht="15" hidden="false" customHeight="true" outlineLevel="0" collapsed="false">
      <c r="A1151" s="42"/>
      <c r="B1151" s="42"/>
      <c r="C1151" s="42"/>
      <c r="D1151" s="28" t="str">
        <f aca="false">IF(OR($B1151="",$C1151=""),"",$C1151*IFERROR(INDEX(Setup!$C$47:$C$56,MATCH($B1151,Setup!$A$47:$A$56,0)),IFERROR(INDEX(Setup!$C$60:$C$89,MATCH($B1151,Setup!$A$60:$A$89,0)),"")))</f>
        <v/>
      </c>
      <c r="E1151" s="42"/>
      <c r="F1151" s="42"/>
    </row>
    <row r="1152" customFormat="false" ht="15" hidden="false" customHeight="true" outlineLevel="0" collapsed="false">
      <c r="A1152" s="42"/>
      <c r="B1152" s="42"/>
      <c r="C1152" s="42"/>
      <c r="D1152" s="28" t="str">
        <f aca="false">IF(OR($B1152="",$C1152=""),"",$C1152*IFERROR(INDEX(Setup!$C$47:$C$56,MATCH($B1152,Setup!$A$47:$A$56,0)),IFERROR(INDEX(Setup!$C$60:$C$89,MATCH($B1152,Setup!$A$60:$A$89,0)),"")))</f>
        <v/>
      </c>
      <c r="E1152" s="42"/>
      <c r="F1152" s="42"/>
    </row>
    <row r="1153" customFormat="false" ht="15" hidden="false" customHeight="true" outlineLevel="0" collapsed="false">
      <c r="A1153" s="42"/>
      <c r="B1153" s="42"/>
      <c r="C1153" s="42"/>
      <c r="D1153" s="28" t="str">
        <f aca="false">IF(OR($B1153="",$C1153=""),"",$C1153*IFERROR(INDEX(Setup!$C$47:$C$56,MATCH($B1153,Setup!$A$47:$A$56,0)),IFERROR(INDEX(Setup!$C$60:$C$89,MATCH($B1153,Setup!$A$60:$A$89,0)),"")))</f>
        <v/>
      </c>
      <c r="E1153" s="42"/>
      <c r="F1153" s="42"/>
    </row>
    <row r="1154" customFormat="false" ht="15" hidden="false" customHeight="true" outlineLevel="0" collapsed="false">
      <c r="A1154" s="42"/>
      <c r="B1154" s="42"/>
      <c r="C1154" s="42"/>
      <c r="D1154" s="28" t="str">
        <f aca="false">IF(OR($B1154="",$C1154=""),"",$C1154*IFERROR(INDEX(Setup!$C$47:$C$56,MATCH($B1154,Setup!$A$47:$A$56,0)),IFERROR(INDEX(Setup!$C$60:$C$89,MATCH($B1154,Setup!$A$60:$A$89,0)),"")))</f>
        <v/>
      </c>
      <c r="E1154" s="42"/>
      <c r="F1154" s="42"/>
    </row>
    <row r="1155" customFormat="false" ht="15" hidden="false" customHeight="true" outlineLevel="0" collapsed="false">
      <c r="A1155" s="42"/>
      <c r="B1155" s="42"/>
      <c r="C1155" s="42"/>
      <c r="D1155" s="28" t="str">
        <f aca="false">IF(OR($B1155="",$C1155=""),"",$C1155*IFERROR(INDEX(Setup!$C$47:$C$56,MATCH($B1155,Setup!$A$47:$A$56,0)),IFERROR(INDEX(Setup!$C$60:$C$89,MATCH($B1155,Setup!$A$60:$A$89,0)),"")))</f>
        <v/>
      </c>
      <c r="E1155" s="42"/>
      <c r="F1155" s="42"/>
    </row>
    <row r="1156" customFormat="false" ht="15" hidden="false" customHeight="true" outlineLevel="0" collapsed="false">
      <c r="A1156" s="42"/>
      <c r="B1156" s="42"/>
      <c r="C1156" s="42"/>
      <c r="D1156" s="28" t="str">
        <f aca="false">IF(OR($B1156="",$C1156=""),"",$C1156*IFERROR(INDEX(Setup!$C$47:$C$56,MATCH($B1156,Setup!$A$47:$A$56,0)),IFERROR(INDEX(Setup!$C$60:$C$89,MATCH($B1156,Setup!$A$60:$A$89,0)),"")))</f>
        <v/>
      </c>
      <c r="E1156" s="42"/>
      <c r="F1156" s="42"/>
    </row>
    <row r="1157" customFormat="false" ht="15" hidden="false" customHeight="true" outlineLevel="0" collapsed="false">
      <c r="A1157" s="42"/>
      <c r="B1157" s="42"/>
      <c r="C1157" s="42"/>
      <c r="D1157" s="28" t="str">
        <f aca="false">IF(OR($B1157="",$C1157=""),"",$C1157*IFERROR(INDEX(Setup!$C$47:$C$56,MATCH($B1157,Setup!$A$47:$A$56,0)),IFERROR(INDEX(Setup!$C$60:$C$89,MATCH($B1157,Setup!$A$60:$A$89,0)),"")))</f>
        <v/>
      </c>
      <c r="E1157" s="42"/>
      <c r="F1157" s="42"/>
    </row>
    <row r="1158" customFormat="false" ht="15" hidden="false" customHeight="true" outlineLevel="0" collapsed="false">
      <c r="A1158" s="42"/>
      <c r="B1158" s="42"/>
      <c r="C1158" s="42"/>
      <c r="D1158" s="28" t="str">
        <f aca="false">IF(OR($B1158="",$C1158=""),"",$C1158*IFERROR(INDEX(Setup!$C$47:$C$56,MATCH($B1158,Setup!$A$47:$A$56,0)),IFERROR(INDEX(Setup!$C$60:$C$89,MATCH($B1158,Setup!$A$60:$A$89,0)),"")))</f>
        <v/>
      </c>
      <c r="E1158" s="42"/>
      <c r="F1158" s="42"/>
    </row>
    <row r="1159" customFormat="false" ht="15" hidden="false" customHeight="true" outlineLevel="0" collapsed="false">
      <c r="A1159" s="42"/>
      <c r="B1159" s="42"/>
      <c r="C1159" s="42"/>
      <c r="D1159" s="28" t="str">
        <f aca="false">IF(OR($B1159="",$C1159=""),"",$C1159*IFERROR(INDEX(Setup!$C$47:$C$56,MATCH($B1159,Setup!$A$47:$A$56,0)),IFERROR(INDEX(Setup!$C$60:$C$89,MATCH($B1159,Setup!$A$60:$A$89,0)),"")))</f>
        <v/>
      </c>
      <c r="E1159" s="42"/>
      <c r="F1159" s="42"/>
    </row>
    <row r="1160" customFormat="false" ht="15" hidden="false" customHeight="true" outlineLevel="0" collapsed="false">
      <c r="A1160" s="42"/>
      <c r="B1160" s="42"/>
      <c r="C1160" s="42"/>
      <c r="D1160" s="28" t="str">
        <f aca="false">IF(OR($B1160="",$C1160=""),"",$C1160*IFERROR(INDEX(Setup!$C$47:$C$56,MATCH($B1160,Setup!$A$47:$A$56,0)),IFERROR(INDEX(Setup!$C$60:$C$89,MATCH($B1160,Setup!$A$60:$A$89,0)),"")))</f>
        <v/>
      </c>
      <c r="E1160" s="42"/>
      <c r="F1160" s="42"/>
    </row>
    <row r="1161" customFormat="false" ht="15" hidden="false" customHeight="true" outlineLevel="0" collapsed="false">
      <c r="A1161" s="42"/>
      <c r="B1161" s="42"/>
      <c r="C1161" s="42"/>
      <c r="D1161" s="28" t="str">
        <f aca="false">IF(OR($B1161="",$C1161=""),"",$C1161*IFERROR(INDEX(Setup!$C$47:$C$56,MATCH($B1161,Setup!$A$47:$A$56,0)),IFERROR(INDEX(Setup!$C$60:$C$89,MATCH($B1161,Setup!$A$60:$A$89,0)),"")))</f>
        <v/>
      </c>
      <c r="E1161" s="42"/>
      <c r="F1161" s="42"/>
    </row>
    <row r="1162" customFormat="false" ht="15" hidden="false" customHeight="true" outlineLevel="0" collapsed="false">
      <c r="A1162" s="42"/>
      <c r="B1162" s="42"/>
      <c r="C1162" s="42"/>
      <c r="D1162" s="28" t="str">
        <f aca="false">IF(OR($B1162="",$C1162=""),"",$C1162*IFERROR(INDEX(Setup!$C$47:$C$56,MATCH($B1162,Setup!$A$47:$A$56,0)),IFERROR(INDEX(Setup!$C$60:$C$89,MATCH($B1162,Setup!$A$60:$A$89,0)),"")))</f>
        <v/>
      </c>
      <c r="E1162" s="42"/>
      <c r="F1162" s="42"/>
    </row>
    <row r="1163" customFormat="false" ht="15" hidden="false" customHeight="true" outlineLevel="0" collapsed="false">
      <c r="A1163" s="42"/>
      <c r="B1163" s="42"/>
      <c r="C1163" s="42"/>
      <c r="D1163" s="28" t="str">
        <f aca="false">IF(OR($B1163="",$C1163=""),"",$C1163*IFERROR(INDEX(Setup!$C$47:$C$56,MATCH($B1163,Setup!$A$47:$A$56,0)),IFERROR(INDEX(Setup!$C$60:$C$89,MATCH($B1163,Setup!$A$60:$A$89,0)),"")))</f>
        <v/>
      </c>
      <c r="E1163" s="42"/>
      <c r="F1163" s="42"/>
    </row>
    <row r="1164" customFormat="false" ht="15" hidden="false" customHeight="true" outlineLevel="0" collapsed="false">
      <c r="A1164" s="42"/>
      <c r="B1164" s="42"/>
      <c r="C1164" s="42"/>
      <c r="D1164" s="28" t="str">
        <f aca="false">IF(OR($B1164="",$C1164=""),"",$C1164*IFERROR(INDEX(Setup!$C$47:$C$56,MATCH($B1164,Setup!$A$47:$A$56,0)),IFERROR(INDEX(Setup!$C$60:$C$89,MATCH($B1164,Setup!$A$60:$A$89,0)),"")))</f>
        <v/>
      </c>
      <c r="E1164" s="42"/>
      <c r="F1164" s="42"/>
    </row>
    <row r="1165" customFormat="false" ht="15" hidden="false" customHeight="true" outlineLevel="0" collapsed="false">
      <c r="A1165" s="42"/>
      <c r="B1165" s="42"/>
      <c r="C1165" s="42"/>
      <c r="D1165" s="28" t="str">
        <f aca="false">IF(OR($B1165="",$C1165=""),"",$C1165*IFERROR(INDEX(Setup!$C$47:$C$56,MATCH($B1165,Setup!$A$47:$A$56,0)),IFERROR(INDEX(Setup!$C$60:$C$89,MATCH($B1165,Setup!$A$60:$A$89,0)),"")))</f>
        <v/>
      </c>
      <c r="E1165" s="42"/>
      <c r="F1165" s="42"/>
    </row>
    <row r="1166" customFormat="false" ht="15" hidden="false" customHeight="true" outlineLevel="0" collapsed="false">
      <c r="A1166" s="42"/>
      <c r="B1166" s="42"/>
      <c r="C1166" s="42"/>
      <c r="D1166" s="28" t="str">
        <f aca="false">IF(OR($B1166="",$C1166=""),"",$C1166*IFERROR(INDEX(Setup!$C$47:$C$56,MATCH($B1166,Setup!$A$47:$A$56,0)),IFERROR(INDEX(Setup!$C$60:$C$89,MATCH($B1166,Setup!$A$60:$A$89,0)),"")))</f>
        <v/>
      </c>
      <c r="E1166" s="42"/>
      <c r="F1166" s="42"/>
    </row>
    <row r="1167" customFormat="false" ht="15" hidden="false" customHeight="true" outlineLevel="0" collapsed="false">
      <c r="A1167" s="42"/>
      <c r="B1167" s="42"/>
      <c r="C1167" s="42"/>
      <c r="D1167" s="28" t="str">
        <f aca="false">IF(OR($B1167="",$C1167=""),"",$C1167*IFERROR(INDEX(Setup!$C$47:$C$56,MATCH($B1167,Setup!$A$47:$A$56,0)),IFERROR(INDEX(Setup!$C$60:$C$89,MATCH($B1167,Setup!$A$60:$A$89,0)),"")))</f>
        <v/>
      </c>
      <c r="E1167" s="42"/>
      <c r="F1167" s="42"/>
    </row>
    <row r="1168" customFormat="false" ht="15" hidden="false" customHeight="true" outlineLevel="0" collapsed="false">
      <c r="A1168" s="42"/>
      <c r="B1168" s="42"/>
      <c r="C1168" s="42"/>
      <c r="D1168" s="28" t="str">
        <f aca="false">IF(OR($B1168="",$C1168=""),"",$C1168*IFERROR(INDEX(Setup!$C$47:$C$56,MATCH($B1168,Setup!$A$47:$A$56,0)),IFERROR(INDEX(Setup!$C$60:$C$89,MATCH($B1168,Setup!$A$60:$A$89,0)),"")))</f>
        <v/>
      </c>
      <c r="E1168" s="42"/>
      <c r="F1168" s="42"/>
    </row>
    <row r="1169" customFormat="false" ht="15" hidden="false" customHeight="true" outlineLevel="0" collapsed="false">
      <c r="A1169" s="42"/>
      <c r="B1169" s="42"/>
      <c r="C1169" s="42"/>
      <c r="D1169" s="28" t="str">
        <f aca="false">IF(OR($B1169="",$C1169=""),"",$C1169*IFERROR(INDEX(Setup!$C$47:$C$56,MATCH($B1169,Setup!$A$47:$A$56,0)),IFERROR(INDEX(Setup!$C$60:$C$89,MATCH($B1169,Setup!$A$60:$A$89,0)),"")))</f>
        <v/>
      </c>
      <c r="E1169" s="42"/>
      <c r="F1169" s="42"/>
    </row>
    <row r="1170" customFormat="false" ht="15" hidden="false" customHeight="true" outlineLevel="0" collapsed="false">
      <c r="A1170" s="42"/>
      <c r="B1170" s="42"/>
      <c r="C1170" s="42"/>
      <c r="D1170" s="28" t="str">
        <f aca="false">IF(OR($B1170="",$C1170=""),"",$C1170*IFERROR(INDEX(Setup!$C$47:$C$56,MATCH($B1170,Setup!$A$47:$A$56,0)),IFERROR(INDEX(Setup!$C$60:$C$89,MATCH($B1170,Setup!$A$60:$A$89,0)),"")))</f>
        <v/>
      </c>
      <c r="E1170" s="42"/>
      <c r="F1170" s="42"/>
    </row>
    <row r="1171" customFormat="false" ht="15" hidden="false" customHeight="true" outlineLevel="0" collapsed="false">
      <c r="A1171" s="42"/>
      <c r="B1171" s="42"/>
      <c r="C1171" s="42"/>
      <c r="D1171" s="28" t="str">
        <f aca="false">IF(OR($B1171="",$C1171=""),"",$C1171*IFERROR(INDEX(Setup!$C$47:$C$56,MATCH($B1171,Setup!$A$47:$A$56,0)),IFERROR(INDEX(Setup!$C$60:$C$89,MATCH($B1171,Setup!$A$60:$A$89,0)),"")))</f>
        <v/>
      </c>
      <c r="E1171" s="42"/>
      <c r="F1171" s="42"/>
    </row>
    <row r="1172" customFormat="false" ht="15" hidden="false" customHeight="true" outlineLevel="0" collapsed="false">
      <c r="A1172" s="42"/>
      <c r="B1172" s="42"/>
      <c r="C1172" s="42"/>
      <c r="D1172" s="28" t="str">
        <f aca="false">IF(OR($B1172="",$C1172=""),"",$C1172*IFERROR(INDEX(Setup!$C$47:$C$56,MATCH($B1172,Setup!$A$47:$A$56,0)),IFERROR(INDEX(Setup!$C$60:$C$89,MATCH($B1172,Setup!$A$60:$A$89,0)),"")))</f>
        <v/>
      </c>
      <c r="E1172" s="42"/>
      <c r="F1172" s="42"/>
    </row>
    <row r="1173" customFormat="false" ht="15" hidden="false" customHeight="true" outlineLevel="0" collapsed="false">
      <c r="A1173" s="42"/>
      <c r="B1173" s="42"/>
      <c r="C1173" s="42"/>
      <c r="D1173" s="28" t="str">
        <f aca="false">IF(OR($B1173="",$C1173=""),"",$C1173*IFERROR(INDEX(Setup!$C$47:$C$56,MATCH($B1173,Setup!$A$47:$A$56,0)),IFERROR(INDEX(Setup!$C$60:$C$89,MATCH($B1173,Setup!$A$60:$A$89,0)),"")))</f>
        <v/>
      </c>
      <c r="E1173" s="42"/>
      <c r="F1173" s="42"/>
    </row>
    <row r="1174" customFormat="false" ht="15" hidden="false" customHeight="true" outlineLevel="0" collapsed="false">
      <c r="A1174" s="42"/>
      <c r="B1174" s="42"/>
      <c r="C1174" s="42"/>
      <c r="D1174" s="28" t="str">
        <f aca="false">IF(OR($B1174="",$C1174=""),"",$C1174*IFERROR(INDEX(Setup!$C$47:$C$56,MATCH($B1174,Setup!$A$47:$A$56,0)),IFERROR(INDEX(Setup!$C$60:$C$89,MATCH($B1174,Setup!$A$60:$A$89,0)),"")))</f>
        <v/>
      </c>
      <c r="E1174" s="42"/>
      <c r="F1174" s="42"/>
    </row>
    <row r="1175" customFormat="false" ht="15" hidden="false" customHeight="true" outlineLevel="0" collapsed="false">
      <c r="A1175" s="42"/>
      <c r="B1175" s="42"/>
      <c r="C1175" s="42"/>
      <c r="D1175" s="28" t="str">
        <f aca="false">IF(OR($B1175="",$C1175=""),"",$C1175*IFERROR(INDEX(Setup!$C$47:$C$56,MATCH($B1175,Setup!$A$47:$A$56,0)),IFERROR(INDEX(Setup!$C$60:$C$89,MATCH($B1175,Setup!$A$60:$A$89,0)),"")))</f>
        <v/>
      </c>
      <c r="E1175" s="42"/>
      <c r="F1175" s="42"/>
    </row>
    <row r="1176" customFormat="false" ht="15" hidden="false" customHeight="true" outlineLevel="0" collapsed="false">
      <c r="A1176" s="42"/>
      <c r="B1176" s="42"/>
      <c r="C1176" s="42"/>
      <c r="D1176" s="28" t="str">
        <f aca="false">IF(OR($B1176="",$C1176=""),"",$C1176*IFERROR(INDEX(Setup!$C$47:$C$56,MATCH($B1176,Setup!$A$47:$A$56,0)),IFERROR(INDEX(Setup!$C$60:$C$89,MATCH($B1176,Setup!$A$60:$A$89,0)),"")))</f>
        <v/>
      </c>
      <c r="E1176" s="42"/>
      <c r="F1176" s="42"/>
    </row>
    <row r="1177" customFormat="false" ht="15" hidden="false" customHeight="true" outlineLevel="0" collapsed="false">
      <c r="A1177" s="42"/>
      <c r="B1177" s="42"/>
      <c r="C1177" s="42"/>
      <c r="D1177" s="28" t="str">
        <f aca="false">IF(OR($B1177="",$C1177=""),"",$C1177*IFERROR(INDEX(Setup!$C$47:$C$56,MATCH($B1177,Setup!$A$47:$A$56,0)),IFERROR(INDEX(Setup!$C$60:$C$89,MATCH($B1177,Setup!$A$60:$A$89,0)),"")))</f>
        <v/>
      </c>
      <c r="E1177" s="42"/>
      <c r="F1177" s="42"/>
    </row>
    <row r="1178" customFormat="false" ht="15" hidden="false" customHeight="true" outlineLevel="0" collapsed="false">
      <c r="A1178" s="42"/>
      <c r="B1178" s="42"/>
      <c r="C1178" s="42"/>
      <c r="D1178" s="28" t="str">
        <f aca="false">IF(OR($B1178="",$C1178=""),"",$C1178*IFERROR(INDEX(Setup!$C$47:$C$56,MATCH($B1178,Setup!$A$47:$A$56,0)),IFERROR(INDEX(Setup!$C$60:$C$89,MATCH($B1178,Setup!$A$60:$A$89,0)),"")))</f>
        <v/>
      </c>
      <c r="E1178" s="42"/>
      <c r="F1178" s="42"/>
    </row>
    <row r="1179" customFormat="false" ht="15" hidden="false" customHeight="true" outlineLevel="0" collapsed="false">
      <c r="A1179" s="42"/>
      <c r="B1179" s="42"/>
      <c r="C1179" s="42"/>
      <c r="D1179" s="28" t="str">
        <f aca="false">IF(OR($B1179="",$C1179=""),"",$C1179*IFERROR(INDEX(Setup!$C$47:$C$56,MATCH($B1179,Setup!$A$47:$A$56,0)),IFERROR(INDEX(Setup!$C$60:$C$89,MATCH($B1179,Setup!$A$60:$A$89,0)),"")))</f>
        <v/>
      </c>
      <c r="E1179" s="42"/>
      <c r="F1179" s="42"/>
    </row>
    <row r="1180" customFormat="false" ht="15" hidden="false" customHeight="true" outlineLevel="0" collapsed="false">
      <c r="A1180" s="42"/>
      <c r="B1180" s="42"/>
      <c r="C1180" s="42"/>
      <c r="D1180" s="28" t="str">
        <f aca="false">IF(OR($B1180="",$C1180=""),"",$C1180*IFERROR(INDEX(Setup!$C$47:$C$56,MATCH($B1180,Setup!$A$47:$A$56,0)),IFERROR(INDEX(Setup!$C$60:$C$89,MATCH($B1180,Setup!$A$60:$A$89,0)),"")))</f>
        <v/>
      </c>
      <c r="E1180" s="42"/>
      <c r="F1180" s="42"/>
    </row>
    <row r="1181" customFormat="false" ht="15" hidden="false" customHeight="true" outlineLevel="0" collapsed="false">
      <c r="A1181" s="42"/>
      <c r="B1181" s="42"/>
      <c r="C1181" s="42"/>
      <c r="D1181" s="28" t="str">
        <f aca="false">IF(OR($B1181="",$C1181=""),"",$C1181*IFERROR(INDEX(Setup!$C$47:$C$56,MATCH($B1181,Setup!$A$47:$A$56,0)),IFERROR(INDEX(Setup!$C$60:$C$89,MATCH($B1181,Setup!$A$60:$A$89,0)),"")))</f>
        <v/>
      </c>
      <c r="E1181" s="42"/>
      <c r="F1181" s="42"/>
    </row>
    <row r="1182" customFormat="false" ht="15" hidden="false" customHeight="true" outlineLevel="0" collapsed="false">
      <c r="A1182" s="42"/>
      <c r="B1182" s="42"/>
      <c r="C1182" s="42"/>
      <c r="D1182" s="28" t="str">
        <f aca="false">IF(OR($B1182="",$C1182=""),"",$C1182*IFERROR(INDEX(Setup!$C$47:$C$56,MATCH($B1182,Setup!$A$47:$A$56,0)),IFERROR(INDEX(Setup!$C$60:$C$89,MATCH($B1182,Setup!$A$60:$A$89,0)),"")))</f>
        <v/>
      </c>
      <c r="E1182" s="42"/>
      <c r="F1182" s="42"/>
    </row>
    <row r="1183" customFormat="false" ht="15" hidden="false" customHeight="true" outlineLevel="0" collapsed="false">
      <c r="A1183" s="42"/>
      <c r="B1183" s="42"/>
      <c r="C1183" s="42"/>
      <c r="D1183" s="28" t="str">
        <f aca="false">IF(OR($B1183="",$C1183=""),"",$C1183*IFERROR(INDEX(Setup!$C$47:$C$56,MATCH($B1183,Setup!$A$47:$A$56,0)),IFERROR(INDEX(Setup!$C$60:$C$89,MATCH($B1183,Setup!$A$60:$A$89,0)),"")))</f>
        <v/>
      </c>
      <c r="E1183" s="42"/>
      <c r="F1183" s="42"/>
    </row>
    <row r="1184" customFormat="false" ht="15" hidden="false" customHeight="true" outlineLevel="0" collapsed="false">
      <c r="A1184" s="42"/>
      <c r="B1184" s="42"/>
      <c r="C1184" s="42"/>
      <c r="D1184" s="28" t="str">
        <f aca="false">IF(OR($B1184="",$C1184=""),"",$C1184*IFERROR(INDEX(Setup!$C$47:$C$56,MATCH($B1184,Setup!$A$47:$A$56,0)),IFERROR(INDEX(Setup!$C$60:$C$89,MATCH($B1184,Setup!$A$60:$A$89,0)),"")))</f>
        <v/>
      </c>
      <c r="E1184" s="42"/>
      <c r="F1184" s="42"/>
    </row>
    <row r="1185" customFormat="false" ht="15" hidden="false" customHeight="true" outlineLevel="0" collapsed="false">
      <c r="A1185" s="42"/>
      <c r="B1185" s="42"/>
      <c r="C1185" s="42"/>
      <c r="D1185" s="28" t="str">
        <f aca="false">IF(OR($B1185="",$C1185=""),"",$C1185*IFERROR(INDEX(Setup!$C$47:$C$56,MATCH($B1185,Setup!$A$47:$A$56,0)),IFERROR(INDEX(Setup!$C$60:$C$89,MATCH($B1185,Setup!$A$60:$A$89,0)),"")))</f>
        <v/>
      </c>
      <c r="E1185" s="42"/>
      <c r="F1185" s="42"/>
    </row>
    <row r="1186" customFormat="false" ht="15" hidden="false" customHeight="true" outlineLevel="0" collapsed="false">
      <c r="A1186" s="42"/>
      <c r="B1186" s="42"/>
      <c r="C1186" s="42"/>
      <c r="D1186" s="28" t="str">
        <f aca="false">IF(OR($B1186="",$C1186=""),"",$C1186*IFERROR(INDEX(Setup!$C$47:$C$56,MATCH($B1186,Setup!$A$47:$A$56,0)),IFERROR(INDEX(Setup!$C$60:$C$89,MATCH($B1186,Setup!$A$60:$A$89,0)),"")))</f>
        <v/>
      </c>
      <c r="E1186" s="42"/>
      <c r="F1186" s="42"/>
    </row>
    <row r="1187" customFormat="false" ht="15" hidden="false" customHeight="true" outlineLevel="0" collapsed="false">
      <c r="A1187" s="42"/>
      <c r="B1187" s="42"/>
      <c r="C1187" s="42"/>
      <c r="D1187" s="28" t="str">
        <f aca="false">IF(OR($B1187="",$C1187=""),"",$C1187*IFERROR(INDEX(Setup!$C$47:$C$56,MATCH($B1187,Setup!$A$47:$A$56,0)),IFERROR(INDEX(Setup!$C$60:$C$89,MATCH($B1187,Setup!$A$60:$A$89,0)),"")))</f>
        <v/>
      </c>
      <c r="E1187" s="42"/>
      <c r="F1187" s="42"/>
    </row>
    <row r="1188" customFormat="false" ht="15" hidden="false" customHeight="true" outlineLevel="0" collapsed="false">
      <c r="A1188" s="42"/>
      <c r="B1188" s="42"/>
      <c r="C1188" s="42"/>
      <c r="D1188" s="28" t="str">
        <f aca="false">IF(OR($B1188="",$C1188=""),"",$C1188*IFERROR(INDEX(Setup!$C$47:$C$56,MATCH($B1188,Setup!$A$47:$A$56,0)),IFERROR(INDEX(Setup!$C$60:$C$89,MATCH($B1188,Setup!$A$60:$A$89,0)),"")))</f>
        <v/>
      </c>
      <c r="E1188" s="42"/>
      <c r="F1188" s="42"/>
    </row>
    <row r="1189" customFormat="false" ht="15" hidden="false" customHeight="true" outlineLevel="0" collapsed="false">
      <c r="A1189" s="42"/>
      <c r="B1189" s="42"/>
      <c r="C1189" s="42"/>
      <c r="D1189" s="28" t="str">
        <f aca="false">IF(OR($B1189="",$C1189=""),"",$C1189*IFERROR(INDEX(Setup!$C$47:$C$56,MATCH($B1189,Setup!$A$47:$A$56,0)),IFERROR(INDEX(Setup!$C$60:$C$89,MATCH($B1189,Setup!$A$60:$A$89,0)),"")))</f>
        <v/>
      </c>
      <c r="E1189" s="42"/>
      <c r="F1189" s="42"/>
    </row>
    <row r="1190" customFormat="false" ht="15" hidden="false" customHeight="true" outlineLevel="0" collapsed="false">
      <c r="A1190" s="42"/>
      <c r="B1190" s="42"/>
      <c r="C1190" s="42"/>
      <c r="D1190" s="28" t="str">
        <f aca="false">IF(OR($B1190="",$C1190=""),"",$C1190*IFERROR(INDEX(Setup!$C$47:$C$56,MATCH($B1190,Setup!$A$47:$A$56,0)),IFERROR(INDEX(Setup!$C$60:$C$89,MATCH($B1190,Setup!$A$60:$A$89,0)),"")))</f>
        <v/>
      </c>
      <c r="E1190" s="42"/>
      <c r="F1190" s="42"/>
    </row>
    <row r="1191" customFormat="false" ht="15" hidden="false" customHeight="true" outlineLevel="0" collapsed="false">
      <c r="A1191" s="42"/>
      <c r="B1191" s="42"/>
      <c r="C1191" s="42"/>
      <c r="D1191" s="28" t="str">
        <f aca="false">IF(OR($B1191="",$C1191=""),"",$C1191*IFERROR(INDEX(Setup!$C$47:$C$56,MATCH($B1191,Setup!$A$47:$A$56,0)),IFERROR(INDEX(Setup!$C$60:$C$89,MATCH($B1191,Setup!$A$60:$A$89,0)),"")))</f>
        <v/>
      </c>
      <c r="E1191" s="42"/>
      <c r="F1191" s="42"/>
    </row>
    <row r="1192" customFormat="false" ht="15" hidden="false" customHeight="true" outlineLevel="0" collapsed="false">
      <c r="A1192" s="42"/>
      <c r="B1192" s="42"/>
      <c r="C1192" s="42"/>
      <c r="D1192" s="28" t="str">
        <f aca="false">IF(OR($B1192="",$C1192=""),"",$C1192*IFERROR(INDEX(Setup!$C$47:$C$56,MATCH($B1192,Setup!$A$47:$A$56,0)),IFERROR(INDEX(Setup!$C$60:$C$89,MATCH($B1192,Setup!$A$60:$A$89,0)),"")))</f>
        <v/>
      </c>
      <c r="E1192" s="42"/>
      <c r="F1192" s="42"/>
    </row>
    <row r="1193" customFormat="false" ht="15" hidden="false" customHeight="true" outlineLevel="0" collapsed="false">
      <c r="A1193" s="42"/>
      <c r="B1193" s="42"/>
      <c r="C1193" s="42"/>
      <c r="D1193" s="28" t="str">
        <f aca="false">IF(OR($B1193="",$C1193=""),"",$C1193*IFERROR(INDEX(Setup!$C$47:$C$56,MATCH($B1193,Setup!$A$47:$A$56,0)),IFERROR(INDEX(Setup!$C$60:$C$89,MATCH($B1193,Setup!$A$60:$A$89,0)),"")))</f>
        <v/>
      </c>
      <c r="E1193" s="42"/>
      <c r="F1193" s="42"/>
    </row>
    <row r="1194" customFormat="false" ht="15" hidden="false" customHeight="true" outlineLevel="0" collapsed="false">
      <c r="A1194" s="42"/>
      <c r="B1194" s="42"/>
      <c r="C1194" s="42"/>
      <c r="D1194" s="28" t="str">
        <f aca="false">IF(OR($B1194="",$C1194=""),"",$C1194*IFERROR(INDEX(Setup!$C$47:$C$56,MATCH($B1194,Setup!$A$47:$A$56,0)),IFERROR(INDEX(Setup!$C$60:$C$89,MATCH($B1194,Setup!$A$60:$A$89,0)),"")))</f>
        <v/>
      </c>
      <c r="E1194" s="42"/>
      <c r="F1194" s="42"/>
    </row>
    <row r="1195" customFormat="false" ht="15" hidden="false" customHeight="true" outlineLevel="0" collapsed="false">
      <c r="A1195" s="42"/>
      <c r="B1195" s="42"/>
      <c r="C1195" s="42"/>
      <c r="D1195" s="28" t="str">
        <f aca="false">IF(OR($B1195="",$C1195=""),"",$C1195*IFERROR(INDEX(Setup!$C$47:$C$56,MATCH($B1195,Setup!$A$47:$A$56,0)),IFERROR(INDEX(Setup!$C$60:$C$89,MATCH($B1195,Setup!$A$60:$A$89,0)),"")))</f>
        <v/>
      </c>
      <c r="E1195" s="42"/>
      <c r="F1195" s="42"/>
    </row>
    <row r="1196" customFormat="false" ht="15" hidden="false" customHeight="true" outlineLevel="0" collapsed="false">
      <c r="A1196" s="42"/>
      <c r="B1196" s="42"/>
      <c r="C1196" s="42"/>
      <c r="D1196" s="28" t="str">
        <f aca="false">IF(OR($B1196="",$C1196=""),"",$C1196*IFERROR(INDEX(Setup!$C$47:$C$56,MATCH($B1196,Setup!$A$47:$A$56,0)),IFERROR(INDEX(Setup!$C$60:$C$89,MATCH($B1196,Setup!$A$60:$A$89,0)),"")))</f>
        <v/>
      </c>
      <c r="E1196" s="42"/>
      <c r="F1196" s="42"/>
    </row>
    <row r="1197" customFormat="false" ht="15" hidden="false" customHeight="true" outlineLevel="0" collapsed="false">
      <c r="A1197" s="42"/>
      <c r="B1197" s="42"/>
      <c r="C1197" s="42"/>
      <c r="D1197" s="28" t="str">
        <f aca="false">IF(OR($B1197="",$C1197=""),"",$C1197*IFERROR(INDEX(Setup!$C$47:$C$56,MATCH($B1197,Setup!$A$47:$A$56,0)),IFERROR(INDEX(Setup!$C$60:$C$89,MATCH($B1197,Setup!$A$60:$A$89,0)),"")))</f>
        <v/>
      </c>
      <c r="E1197" s="42"/>
      <c r="F1197" s="42"/>
    </row>
    <row r="1198" customFormat="false" ht="15" hidden="false" customHeight="true" outlineLevel="0" collapsed="false">
      <c r="A1198" s="42"/>
      <c r="B1198" s="42"/>
      <c r="C1198" s="42"/>
      <c r="D1198" s="28" t="str">
        <f aca="false">IF(OR($B1198="",$C1198=""),"",$C1198*IFERROR(INDEX(Setup!$C$47:$C$56,MATCH($B1198,Setup!$A$47:$A$56,0)),IFERROR(INDEX(Setup!$C$60:$C$89,MATCH($B1198,Setup!$A$60:$A$89,0)),"")))</f>
        <v/>
      </c>
      <c r="E1198" s="42"/>
      <c r="F1198" s="42"/>
    </row>
    <row r="1199" customFormat="false" ht="15" hidden="false" customHeight="true" outlineLevel="0" collapsed="false">
      <c r="A1199" s="42"/>
      <c r="B1199" s="42"/>
      <c r="C1199" s="42"/>
      <c r="D1199" s="28" t="str">
        <f aca="false">IF(OR($B1199="",$C1199=""),"",$C1199*IFERROR(INDEX(Setup!$C$47:$C$56,MATCH($B1199,Setup!$A$47:$A$56,0)),IFERROR(INDEX(Setup!$C$60:$C$89,MATCH($B1199,Setup!$A$60:$A$89,0)),"")))</f>
        <v/>
      </c>
      <c r="E1199" s="42"/>
      <c r="F1199" s="42"/>
    </row>
    <row r="1200" customFormat="false" ht="15" hidden="false" customHeight="true" outlineLevel="0" collapsed="false">
      <c r="A1200" s="42"/>
      <c r="B1200" s="42"/>
      <c r="C1200" s="42"/>
      <c r="D1200" s="28" t="str">
        <f aca="false">IF(OR($B1200="",$C1200=""),"",$C1200*IFERROR(INDEX(Setup!$C$47:$C$56,MATCH($B1200,Setup!$A$47:$A$56,0)),IFERROR(INDEX(Setup!$C$60:$C$89,MATCH($B1200,Setup!$A$60:$A$89,0)),"")))</f>
        <v/>
      </c>
      <c r="E1200" s="42"/>
      <c r="F1200" s="42"/>
    </row>
    <row r="1201" customFormat="false" ht="15" hidden="false" customHeight="true" outlineLevel="0" collapsed="false">
      <c r="A1201" s="42"/>
      <c r="B1201" s="42"/>
      <c r="C1201" s="42"/>
      <c r="D1201" s="28" t="str">
        <f aca="false">IF(OR($B1201="",$C1201=""),"",$C1201*IFERROR(INDEX(Setup!$C$47:$C$56,MATCH($B1201,Setup!$A$47:$A$56,0)),IFERROR(INDEX(Setup!$C$60:$C$89,MATCH($B1201,Setup!$A$60:$A$89,0)),"")))</f>
        <v/>
      </c>
      <c r="E1201" s="42"/>
      <c r="F1201" s="42"/>
    </row>
    <row r="1202" customFormat="false" ht="15" hidden="false" customHeight="true" outlineLevel="0" collapsed="false">
      <c r="A1202" s="42"/>
      <c r="B1202" s="42"/>
      <c r="C1202" s="42"/>
      <c r="D1202" s="28" t="str">
        <f aca="false">IF(OR($B1202="",$C1202=""),"",$C1202*IFERROR(INDEX(Setup!$C$47:$C$56,MATCH($B1202,Setup!$A$47:$A$56,0)),IFERROR(INDEX(Setup!$C$60:$C$89,MATCH($B1202,Setup!$A$60:$A$89,0)),"")))</f>
        <v/>
      </c>
      <c r="E1202" s="42"/>
      <c r="F1202" s="42"/>
    </row>
    <row r="1203" customFormat="false" ht="15" hidden="false" customHeight="true" outlineLevel="0" collapsed="false">
      <c r="A1203" s="42"/>
      <c r="B1203" s="42"/>
      <c r="C1203" s="42"/>
      <c r="D1203" s="28" t="str">
        <f aca="false">IF(OR($B1203="",$C1203=""),"",$C1203*IFERROR(INDEX(Setup!$C$47:$C$56,MATCH($B1203,Setup!$A$47:$A$56,0)),IFERROR(INDEX(Setup!$C$60:$C$89,MATCH($B1203,Setup!$A$60:$A$89,0)),"")))</f>
        <v/>
      </c>
      <c r="E1203" s="42"/>
      <c r="F1203" s="42"/>
    </row>
    <row r="1204" customFormat="false" ht="15" hidden="false" customHeight="true" outlineLevel="0" collapsed="false">
      <c r="A1204" s="42"/>
      <c r="B1204" s="42"/>
      <c r="C1204" s="42"/>
      <c r="D1204" s="28" t="str">
        <f aca="false">IF(OR($B1204="",$C1204=""),"",$C1204*IFERROR(INDEX(Setup!$C$47:$C$56,MATCH($B1204,Setup!$A$47:$A$56,0)),IFERROR(INDEX(Setup!$C$60:$C$89,MATCH($B1204,Setup!$A$60:$A$89,0)),"")))</f>
        <v/>
      </c>
      <c r="E1204" s="42"/>
      <c r="F1204" s="42"/>
    </row>
    <row r="1205" customFormat="false" ht="15" hidden="false" customHeight="true" outlineLevel="0" collapsed="false">
      <c r="A1205" s="42"/>
      <c r="B1205" s="42"/>
      <c r="C1205" s="42"/>
      <c r="D1205" s="28" t="str">
        <f aca="false">IF(OR($B1205="",$C1205=""),"",$C1205*IFERROR(INDEX(Setup!$C$47:$C$56,MATCH($B1205,Setup!$A$47:$A$56,0)),IFERROR(INDEX(Setup!$C$60:$C$89,MATCH($B1205,Setup!$A$60:$A$89,0)),"")))</f>
        <v/>
      </c>
      <c r="E1205" s="42"/>
      <c r="F1205" s="42"/>
    </row>
    <row r="1206" customFormat="false" ht="15" hidden="false" customHeight="true" outlineLevel="0" collapsed="false">
      <c r="A1206" s="42"/>
      <c r="B1206" s="42"/>
      <c r="C1206" s="42"/>
      <c r="D1206" s="28" t="str">
        <f aca="false">IF(OR($B1206="",$C1206=""),"",$C1206*IFERROR(INDEX(Setup!$C$47:$C$56,MATCH($B1206,Setup!$A$47:$A$56,0)),IFERROR(INDEX(Setup!$C$60:$C$89,MATCH($B1206,Setup!$A$60:$A$89,0)),"")))</f>
        <v/>
      </c>
      <c r="E1206" s="42"/>
      <c r="F1206" s="42"/>
    </row>
    <row r="1207" customFormat="false" ht="15" hidden="false" customHeight="true" outlineLevel="0" collapsed="false">
      <c r="A1207" s="42"/>
      <c r="B1207" s="42"/>
      <c r="C1207" s="42"/>
      <c r="D1207" s="28" t="str">
        <f aca="false">IF(OR($B1207="",$C1207=""),"",$C1207*IFERROR(INDEX(Setup!$C$47:$C$56,MATCH($B1207,Setup!$A$47:$A$56,0)),IFERROR(INDEX(Setup!$C$60:$C$89,MATCH($B1207,Setup!$A$60:$A$89,0)),"")))</f>
        <v/>
      </c>
      <c r="E1207" s="42"/>
      <c r="F1207" s="42"/>
    </row>
    <row r="1208" customFormat="false" ht="15" hidden="false" customHeight="true" outlineLevel="0" collapsed="false">
      <c r="A1208" s="42"/>
      <c r="B1208" s="42"/>
      <c r="C1208" s="42"/>
      <c r="D1208" s="28" t="str">
        <f aca="false">IF(OR($B1208="",$C1208=""),"",$C1208*IFERROR(INDEX(Setup!$C$47:$C$56,MATCH($B1208,Setup!$A$47:$A$56,0)),IFERROR(INDEX(Setup!$C$60:$C$89,MATCH($B1208,Setup!$A$60:$A$89,0)),"")))</f>
        <v/>
      </c>
      <c r="E1208" s="42"/>
      <c r="F1208" s="42"/>
    </row>
    <row r="1209" customFormat="false" ht="15" hidden="false" customHeight="true" outlineLevel="0" collapsed="false">
      <c r="A1209" s="42"/>
      <c r="B1209" s="42"/>
      <c r="C1209" s="42"/>
      <c r="D1209" s="28" t="str">
        <f aca="false">IF(OR($B1209="",$C1209=""),"",$C1209*IFERROR(INDEX(Setup!$C$47:$C$56,MATCH($B1209,Setup!$A$47:$A$56,0)),IFERROR(INDEX(Setup!$C$60:$C$89,MATCH($B1209,Setup!$A$60:$A$89,0)),"")))</f>
        <v/>
      </c>
      <c r="E1209" s="42"/>
      <c r="F1209" s="42"/>
    </row>
    <row r="1210" customFormat="false" ht="15" hidden="false" customHeight="true" outlineLevel="0" collapsed="false">
      <c r="A1210" s="42"/>
      <c r="B1210" s="42"/>
      <c r="C1210" s="42"/>
      <c r="D1210" s="28" t="str">
        <f aca="false">IF(OR($B1210="",$C1210=""),"",$C1210*IFERROR(INDEX(Setup!$C$47:$C$56,MATCH($B1210,Setup!$A$47:$A$56,0)),IFERROR(INDEX(Setup!$C$60:$C$89,MATCH($B1210,Setup!$A$60:$A$89,0)),"")))</f>
        <v/>
      </c>
      <c r="E1210" s="42"/>
      <c r="F1210" s="42"/>
    </row>
    <row r="1211" customFormat="false" ht="15" hidden="false" customHeight="true" outlineLevel="0" collapsed="false">
      <c r="A1211" s="42"/>
      <c r="B1211" s="42"/>
      <c r="C1211" s="42"/>
      <c r="D1211" s="28" t="str">
        <f aca="false">IF(OR($B1211="",$C1211=""),"",$C1211*IFERROR(INDEX(Setup!$C$47:$C$56,MATCH($B1211,Setup!$A$47:$A$56,0)),IFERROR(INDEX(Setup!$C$60:$C$89,MATCH($B1211,Setup!$A$60:$A$89,0)),"")))</f>
        <v/>
      </c>
      <c r="E1211" s="42"/>
      <c r="F1211" s="42"/>
    </row>
    <row r="1212" customFormat="false" ht="15" hidden="false" customHeight="true" outlineLevel="0" collapsed="false">
      <c r="A1212" s="42"/>
      <c r="B1212" s="42"/>
      <c r="C1212" s="42"/>
      <c r="D1212" s="28" t="str">
        <f aca="false">IF(OR($B1212="",$C1212=""),"",$C1212*IFERROR(INDEX(Setup!$C$47:$C$56,MATCH($B1212,Setup!$A$47:$A$56,0)),IFERROR(INDEX(Setup!$C$60:$C$89,MATCH($B1212,Setup!$A$60:$A$89,0)),"")))</f>
        <v/>
      </c>
      <c r="E1212" s="42"/>
      <c r="F1212" s="42"/>
    </row>
    <row r="1213" customFormat="false" ht="15" hidden="false" customHeight="true" outlineLevel="0" collapsed="false">
      <c r="A1213" s="42"/>
      <c r="B1213" s="42"/>
      <c r="C1213" s="42"/>
      <c r="D1213" s="28" t="str">
        <f aca="false">IF(OR($B1213="",$C1213=""),"",$C1213*IFERROR(INDEX(Setup!$C$47:$C$56,MATCH($B1213,Setup!$A$47:$A$56,0)),IFERROR(INDEX(Setup!$C$60:$C$89,MATCH($B1213,Setup!$A$60:$A$89,0)),"")))</f>
        <v/>
      </c>
      <c r="E1213" s="42"/>
      <c r="F1213" s="42"/>
    </row>
    <row r="1214" customFormat="false" ht="15" hidden="false" customHeight="true" outlineLevel="0" collapsed="false">
      <c r="A1214" s="42"/>
      <c r="B1214" s="42"/>
      <c r="C1214" s="42"/>
      <c r="D1214" s="28" t="str">
        <f aca="false">IF(OR($B1214="",$C1214=""),"",$C1214*IFERROR(INDEX(Setup!$C$47:$C$56,MATCH($B1214,Setup!$A$47:$A$56,0)),IFERROR(INDEX(Setup!$C$60:$C$89,MATCH($B1214,Setup!$A$60:$A$89,0)),"")))</f>
        <v/>
      </c>
      <c r="E1214" s="42"/>
      <c r="F1214" s="42"/>
    </row>
    <row r="1215" customFormat="false" ht="15" hidden="false" customHeight="true" outlineLevel="0" collapsed="false">
      <c r="A1215" s="42"/>
      <c r="B1215" s="42"/>
      <c r="C1215" s="42"/>
      <c r="D1215" s="28" t="str">
        <f aca="false">IF(OR($B1215="",$C1215=""),"",$C1215*IFERROR(INDEX(Setup!$C$47:$C$56,MATCH($B1215,Setup!$A$47:$A$56,0)),IFERROR(INDEX(Setup!$C$60:$C$89,MATCH($B1215,Setup!$A$60:$A$89,0)),"")))</f>
        <v/>
      </c>
      <c r="E1215" s="42"/>
      <c r="F1215" s="42"/>
    </row>
    <row r="1216" customFormat="false" ht="15" hidden="false" customHeight="true" outlineLevel="0" collapsed="false">
      <c r="A1216" s="42"/>
      <c r="B1216" s="42"/>
      <c r="C1216" s="42"/>
      <c r="D1216" s="28" t="str">
        <f aca="false">IF(OR($B1216="",$C1216=""),"",$C1216*IFERROR(INDEX(Setup!$C$47:$C$56,MATCH($B1216,Setup!$A$47:$A$56,0)),IFERROR(INDEX(Setup!$C$60:$C$89,MATCH($B1216,Setup!$A$60:$A$89,0)),"")))</f>
        <v/>
      </c>
      <c r="E1216" s="42"/>
      <c r="F1216" s="42"/>
    </row>
    <row r="1217" customFormat="false" ht="15" hidden="false" customHeight="true" outlineLevel="0" collapsed="false">
      <c r="A1217" s="42"/>
      <c r="B1217" s="42"/>
      <c r="C1217" s="42"/>
      <c r="D1217" s="28" t="str">
        <f aca="false">IF(OR($B1217="",$C1217=""),"",$C1217*IFERROR(INDEX(Setup!$C$47:$C$56,MATCH($B1217,Setup!$A$47:$A$56,0)),IFERROR(INDEX(Setup!$C$60:$C$89,MATCH($B1217,Setup!$A$60:$A$89,0)),"")))</f>
        <v/>
      </c>
      <c r="E1217" s="42"/>
      <c r="F1217" s="42"/>
    </row>
    <row r="1218" customFormat="false" ht="15" hidden="false" customHeight="true" outlineLevel="0" collapsed="false">
      <c r="A1218" s="42"/>
      <c r="B1218" s="42"/>
      <c r="C1218" s="42"/>
      <c r="D1218" s="28" t="str">
        <f aca="false">IF(OR($B1218="",$C1218=""),"",$C1218*IFERROR(INDEX(Setup!$C$47:$C$56,MATCH($B1218,Setup!$A$47:$A$56,0)),IFERROR(INDEX(Setup!$C$60:$C$89,MATCH($B1218,Setup!$A$60:$A$89,0)),"")))</f>
        <v/>
      </c>
      <c r="E1218" s="42"/>
      <c r="F1218" s="42"/>
    </row>
    <row r="1219" customFormat="false" ht="15" hidden="false" customHeight="true" outlineLevel="0" collapsed="false">
      <c r="A1219" s="42"/>
      <c r="B1219" s="42"/>
      <c r="C1219" s="42"/>
      <c r="D1219" s="28" t="str">
        <f aca="false">IF(OR($B1219="",$C1219=""),"",$C1219*IFERROR(INDEX(Setup!$C$47:$C$56,MATCH($B1219,Setup!$A$47:$A$56,0)),IFERROR(INDEX(Setup!$C$60:$C$89,MATCH($B1219,Setup!$A$60:$A$89,0)),"")))</f>
        <v/>
      </c>
      <c r="E1219" s="42"/>
      <c r="F1219" s="42"/>
    </row>
    <row r="1220" customFormat="false" ht="15" hidden="false" customHeight="true" outlineLevel="0" collapsed="false">
      <c r="A1220" s="42"/>
      <c r="B1220" s="42"/>
      <c r="C1220" s="42"/>
      <c r="D1220" s="28" t="str">
        <f aca="false">IF(OR($B1220="",$C1220=""),"",$C1220*IFERROR(INDEX(Setup!$C$47:$C$56,MATCH($B1220,Setup!$A$47:$A$56,0)),IFERROR(INDEX(Setup!$C$60:$C$89,MATCH($B1220,Setup!$A$60:$A$89,0)),"")))</f>
        <v/>
      </c>
      <c r="E1220" s="42"/>
      <c r="F1220" s="42"/>
    </row>
    <row r="1221" customFormat="false" ht="15" hidden="false" customHeight="true" outlineLevel="0" collapsed="false">
      <c r="A1221" s="42"/>
      <c r="B1221" s="42"/>
      <c r="C1221" s="42"/>
      <c r="D1221" s="28" t="str">
        <f aca="false">IF(OR($B1221="",$C1221=""),"",$C1221*IFERROR(INDEX(Setup!$C$47:$C$56,MATCH($B1221,Setup!$A$47:$A$56,0)),IFERROR(INDEX(Setup!$C$60:$C$89,MATCH($B1221,Setup!$A$60:$A$89,0)),"")))</f>
        <v/>
      </c>
      <c r="E1221" s="42"/>
      <c r="F1221" s="42"/>
    </row>
    <row r="1222" customFormat="false" ht="15" hidden="false" customHeight="true" outlineLevel="0" collapsed="false">
      <c r="A1222" s="42"/>
      <c r="B1222" s="42"/>
      <c r="C1222" s="42"/>
      <c r="D1222" s="28" t="str">
        <f aca="false">IF(OR($B1222="",$C1222=""),"",$C1222*IFERROR(INDEX(Setup!$C$47:$C$56,MATCH($B1222,Setup!$A$47:$A$56,0)),IFERROR(INDEX(Setup!$C$60:$C$89,MATCH($B1222,Setup!$A$60:$A$89,0)),"")))</f>
        <v/>
      </c>
      <c r="E1222" s="42"/>
      <c r="F1222" s="42"/>
    </row>
    <row r="1223" customFormat="false" ht="15" hidden="false" customHeight="true" outlineLevel="0" collapsed="false">
      <c r="A1223" s="42"/>
      <c r="B1223" s="42"/>
      <c r="C1223" s="42"/>
      <c r="D1223" s="28" t="str">
        <f aca="false">IF(OR($B1223="",$C1223=""),"",$C1223*IFERROR(INDEX(Setup!$C$47:$C$56,MATCH($B1223,Setup!$A$47:$A$56,0)),IFERROR(INDEX(Setup!$C$60:$C$89,MATCH($B1223,Setup!$A$60:$A$89,0)),"")))</f>
        <v/>
      </c>
      <c r="E1223" s="42"/>
      <c r="F1223" s="42"/>
    </row>
    <row r="1224" customFormat="false" ht="15" hidden="false" customHeight="true" outlineLevel="0" collapsed="false">
      <c r="A1224" s="42"/>
      <c r="B1224" s="42"/>
      <c r="C1224" s="42"/>
      <c r="D1224" s="28" t="str">
        <f aca="false">IF(OR($B1224="",$C1224=""),"",$C1224*IFERROR(INDEX(Setup!$C$47:$C$56,MATCH($B1224,Setup!$A$47:$A$56,0)),IFERROR(INDEX(Setup!$C$60:$C$89,MATCH($B1224,Setup!$A$60:$A$89,0)),"")))</f>
        <v/>
      </c>
      <c r="E1224" s="42"/>
      <c r="F1224" s="42"/>
    </row>
    <row r="1225" customFormat="false" ht="15" hidden="false" customHeight="true" outlineLevel="0" collapsed="false">
      <c r="A1225" s="42"/>
      <c r="B1225" s="42"/>
      <c r="C1225" s="42"/>
      <c r="D1225" s="28" t="str">
        <f aca="false">IF(OR($B1225="",$C1225=""),"",$C1225*IFERROR(INDEX(Setup!$C$47:$C$56,MATCH($B1225,Setup!$A$47:$A$56,0)),IFERROR(INDEX(Setup!$C$60:$C$89,MATCH($B1225,Setup!$A$60:$A$89,0)),"")))</f>
        <v/>
      </c>
      <c r="E1225" s="42"/>
      <c r="F1225" s="42"/>
    </row>
    <row r="1226" customFormat="false" ht="15" hidden="false" customHeight="true" outlineLevel="0" collapsed="false">
      <c r="A1226" s="42"/>
      <c r="B1226" s="42"/>
      <c r="C1226" s="42"/>
      <c r="D1226" s="28" t="str">
        <f aca="false">IF(OR($B1226="",$C1226=""),"",$C1226*IFERROR(INDEX(Setup!$C$47:$C$56,MATCH($B1226,Setup!$A$47:$A$56,0)),IFERROR(INDEX(Setup!$C$60:$C$89,MATCH($B1226,Setup!$A$60:$A$89,0)),"")))</f>
        <v/>
      </c>
      <c r="E1226" s="42"/>
      <c r="F1226" s="42"/>
    </row>
    <row r="1227" customFormat="false" ht="15" hidden="false" customHeight="true" outlineLevel="0" collapsed="false">
      <c r="A1227" s="42"/>
      <c r="B1227" s="42"/>
      <c r="C1227" s="42"/>
      <c r="D1227" s="28" t="str">
        <f aca="false">IF(OR($B1227="",$C1227=""),"",$C1227*IFERROR(INDEX(Setup!$C$47:$C$56,MATCH($B1227,Setup!$A$47:$A$56,0)),IFERROR(INDEX(Setup!$C$60:$C$89,MATCH($B1227,Setup!$A$60:$A$89,0)),"")))</f>
        <v/>
      </c>
      <c r="E1227" s="42"/>
      <c r="F1227" s="42"/>
    </row>
    <row r="1228" customFormat="false" ht="15" hidden="false" customHeight="true" outlineLevel="0" collapsed="false">
      <c r="A1228" s="42"/>
      <c r="B1228" s="42"/>
      <c r="C1228" s="42"/>
      <c r="D1228" s="28" t="str">
        <f aca="false">IF(OR($B1228="",$C1228=""),"",$C1228*IFERROR(INDEX(Setup!$C$47:$C$56,MATCH($B1228,Setup!$A$47:$A$56,0)),IFERROR(INDEX(Setup!$C$60:$C$89,MATCH($B1228,Setup!$A$60:$A$89,0)),"")))</f>
        <v/>
      </c>
      <c r="E1228" s="42"/>
      <c r="F1228" s="42"/>
    </row>
    <row r="1229" customFormat="false" ht="15" hidden="false" customHeight="true" outlineLevel="0" collapsed="false">
      <c r="A1229" s="42"/>
      <c r="B1229" s="42"/>
      <c r="C1229" s="42"/>
      <c r="D1229" s="28" t="str">
        <f aca="false">IF(OR($B1229="",$C1229=""),"",$C1229*IFERROR(INDEX(Setup!$C$47:$C$56,MATCH($B1229,Setup!$A$47:$A$56,0)),IFERROR(INDEX(Setup!$C$60:$C$89,MATCH($B1229,Setup!$A$60:$A$89,0)),"")))</f>
        <v/>
      </c>
      <c r="E1229" s="42"/>
      <c r="F1229" s="42"/>
    </row>
    <row r="1230" customFormat="false" ht="15" hidden="false" customHeight="true" outlineLevel="0" collapsed="false">
      <c r="A1230" s="42"/>
      <c r="B1230" s="42"/>
      <c r="C1230" s="42"/>
      <c r="D1230" s="28" t="str">
        <f aca="false">IF(OR($B1230="",$C1230=""),"",$C1230*IFERROR(INDEX(Setup!$C$47:$C$56,MATCH($B1230,Setup!$A$47:$A$56,0)),IFERROR(INDEX(Setup!$C$60:$C$89,MATCH($B1230,Setup!$A$60:$A$89,0)),"")))</f>
        <v/>
      </c>
      <c r="E1230" s="42"/>
      <c r="F1230" s="42"/>
    </row>
    <row r="1231" customFormat="false" ht="15" hidden="false" customHeight="true" outlineLevel="0" collapsed="false">
      <c r="A1231" s="42"/>
      <c r="B1231" s="42"/>
      <c r="C1231" s="42"/>
      <c r="D1231" s="28" t="str">
        <f aca="false">IF(OR($B1231="",$C1231=""),"",$C1231*IFERROR(INDEX(Setup!$C$47:$C$56,MATCH($B1231,Setup!$A$47:$A$56,0)),IFERROR(INDEX(Setup!$C$60:$C$89,MATCH($B1231,Setup!$A$60:$A$89,0)),"")))</f>
        <v/>
      </c>
      <c r="E1231" s="42"/>
      <c r="F1231" s="42"/>
    </row>
    <row r="1232" customFormat="false" ht="15" hidden="false" customHeight="true" outlineLevel="0" collapsed="false">
      <c r="A1232" s="42"/>
      <c r="B1232" s="42"/>
      <c r="C1232" s="42"/>
      <c r="D1232" s="28" t="str">
        <f aca="false">IF(OR($B1232="",$C1232=""),"",$C1232*IFERROR(INDEX(Setup!$C$47:$C$56,MATCH($B1232,Setup!$A$47:$A$56,0)),IFERROR(INDEX(Setup!$C$60:$C$89,MATCH($B1232,Setup!$A$60:$A$89,0)),"")))</f>
        <v/>
      </c>
      <c r="E1232" s="42"/>
      <c r="F1232" s="42"/>
    </row>
    <row r="1233" customFormat="false" ht="15" hidden="false" customHeight="true" outlineLevel="0" collapsed="false">
      <c r="A1233" s="42"/>
      <c r="B1233" s="42"/>
      <c r="C1233" s="42"/>
      <c r="D1233" s="28" t="str">
        <f aca="false">IF(OR($B1233="",$C1233=""),"",$C1233*IFERROR(INDEX(Setup!$C$47:$C$56,MATCH($B1233,Setup!$A$47:$A$56,0)),IFERROR(INDEX(Setup!$C$60:$C$89,MATCH($B1233,Setup!$A$60:$A$89,0)),"")))</f>
        <v/>
      </c>
      <c r="E1233" s="42"/>
      <c r="F1233" s="42"/>
    </row>
    <row r="1234" customFormat="false" ht="15" hidden="false" customHeight="true" outlineLevel="0" collapsed="false">
      <c r="A1234" s="42"/>
      <c r="B1234" s="42"/>
      <c r="C1234" s="42"/>
      <c r="D1234" s="28" t="str">
        <f aca="false">IF(OR($B1234="",$C1234=""),"",$C1234*IFERROR(INDEX(Setup!$C$47:$C$56,MATCH($B1234,Setup!$A$47:$A$56,0)),IFERROR(INDEX(Setup!$C$60:$C$89,MATCH($B1234,Setup!$A$60:$A$89,0)),"")))</f>
        <v/>
      </c>
      <c r="E1234" s="42"/>
      <c r="F1234" s="42"/>
    </row>
    <row r="1235" customFormat="false" ht="15" hidden="false" customHeight="true" outlineLevel="0" collapsed="false">
      <c r="A1235" s="42"/>
      <c r="B1235" s="42"/>
      <c r="C1235" s="42"/>
      <c r="D1235" s="28" t="str">
        <f aca="false">IF(OR($B1235="",$C1235=""),"",$C1235*IFERROR(INDEX(Setup!$C$47:$C$56,MATCH($B1235,Setup!$A$47:$A$56,0)),IFERROR(INDEX(Setup!$C$60:$C$89,MATCH($B1235,Setup!$A$60:$A$89,0)),"")))</f>
        <v/>
      </c>
      <c r="E1235" s="42"/>
      <c r="F1235" s="42"/>
    </row>
    <row r="1236" customFormat="false" ht="15" hidden="false" customHeight="true" outlineLevel="0" collapsed="false">
      <c r="A1236" s="42"/>
      <c r="B1236" s="42"/>
      <c r="C1236" s="42"/>
      <c r="D1236" s="28" t="str">
        <f aca="false">IF(OR($B1236="",$C1236=""),"",$C1236*IFERROR(INDEX(Setup!$C$47:$C$56,MATCH($B1236,Setup!$A$47:$A$56,0)),IFERROR(INDEX(Setup!$C$60:$C$89,MATCH($B1236,Setup!$A$60:$A$89,0)),"")))</f>
        <v/>
      </c>
      <c r="E1236" s="42"/>
      <c r="F1236" s="42"/>
    </row>
    <row r="1237" customFormat="false" ht="15" hidden="false" customHeight="true" outlineLevel="0" collapsed="false">
      <c r="A1237" s="42"/>
      <c r="B1237" s="42"/>
      <c r="C1237" s="42"/>
      <c r="D1237" s="28" t="str">
        <f aca="false">IF(OR($B1237="",$C1237=""),"",$C1237*IFERROR(INDEX(Setup!$C$47:$C$56,MATCH($B1237,Setup!$A$47:$A$56,0)),IFERROR(INDEX(Setup!$C$60:$C$89,MATCH($B1237,Setup!$A$60:$A$89,0)),"")))</f>
        <v/>
      </c>
      <c r="E1237" s="42"/>
      <c r="F1237" s="42"/>
    </row>
    <row r="1238" customFormat="false" ht="15" hidden="false" customHeight="true" outlineLevel="0" collapsed="false">
      <c r="A1238" s="42"/>
      <c r="B1238" s="42"/>
      <c r="C1238" s="42"/>
      <c r="D1238" s="28" t="str">
        <f aca="false">IF(OR($B1238="",$C1238=""),"",$C1238*IFERROR(INDEX(Setup!$C$47:$C$56,MATCH($B1238,Setup!$A$47:$A$56,0)),IFERROR(INDEX(Setup!$C$60:$C$89,MATCH($B1238,Setup!$A$60:$A$89,0)),"")))</f>
        <v/>
      </c>
      <c r="E1238" s="42"/>
      <c r="F1238" s="42"/>
    </row>
    <row r="1239" customFormat="false" ht="15" hidden="false" customHeight="true" outlineLevel="0" collapsed="false">
      <c r="A1239" s="42"/>
      <c r="B1239" s="42"/>
      <c r="C1239" s="42"/>
      <c r="D1239" s="28" t="str">
        <f aca="false">IF(OR($B1239="",$C1239=""),"",$C1239*IFERROR(INDEX(Setup!$C$47:$C$56,MATCH($B1239,Setup!$A$47:$A$56,0)),IFERROR(INDEX(Setup!$C$60:$C$89,MATCH($B1239,Setup!$A$60:$A$89,0)),"")))</f>
        <v/>
      </c>
      <c r="E1239" s="42"/>
      <c r="F1239" s="42"/>
    </row>
    <row r="1240" customFormat="false" ht="15" hidden="false" customHeight="true" outlineLevel="0" collapsed="false">
      <c r="A1240" s="42"/>
      <c r="B1240" s="42"/>
      <c r="C1240" s="42"/>
      <c r="D1240" s="28" t="str">
        <f aca="false">IF(OR($B1240="",$C1240=""),"",$C1240*IFERROR(INDEX(Setup!$C$47:$C$56,MATCH($B1240,Setup!$A$47:$A$56,0)),IFERROR(INDEX(Setup!$C$60:$C$89,MATCH($B1240,Setup!$A$60:$A$89,0)),"")))</f>
        <v/>
      </c>
      <c r="E1240" s="42"/>
      <c r="F1240" s="42"/>
    </row>
    <row r="1241" customFormat="false" ht="15" hidden="false" customHeight="true" outlineLevel="0" collapsed="false">
      <c r="A1241" s="42"/>
      <c r="B1241" s="42"/>
      <c r="C1241" s="42"/>
      <c r="D1241" s="28" t="str">
        <f aca="false">IF(OR($B1241="",$C1241=""),"",$C1241*IFERROR(INDEX(Setup!$C$47:$C$56,MATCH($B1241,Setup!$A$47:$A$56,0)),IFERROR(INDEX(Setup!$C$60:$C$89,MATCH($B1241,Setup!$A$60:$A$89,0)),"")))</f>
        <v/>
      </c>
      <c r="E1241" s="42"/>
      <c r="F1241" s="42"/>
    </row>
    <row r="1242" customFormat="false" ht="15" hidden="false" customHeight="true" outlineLevel="0" collapsed="false">
      <c r="A1242" s="42"/>
      <c r="B1242" s="42"/>
      <c r="C1242" s="42"/>
      <c r="D1242" s="28" t="str">
        <f aca="false">IF(OR($B1242="",$C1242=""),"",$C1242*IFERROR(INDEX(Setup!$C$47:$C$56,MATCH($B1242,Setup!$A$47:$A$56,0)),IFERROR(INDEX(Setup!$C$60:$C$89,MATCH($B1242,Setup!$A$60:$A$89,0)),"")))</f>
        <v/>
      </c>
      <c r="E1242" s="42"/>
      <c r="F1242" s="42"/>
    </row>
    <row r="1243" customFormat="false" ht="15" hidden="false" customHeight="true" outlineLevel="0" collapsed="false">
      <c r="A1243" s="42"/>
      <c r="B1243" s="42"/>
      <c r="C1243" s="42"/>
      <c r="D1243" s="28" t="str">
        <f aca="false">IF(OR($B1243="",$C1243=""),"",$C1243*IFERROR(INDEX(Setup!$C$47:$C$56,MATCH($B1243,Setup!$A$47:$A$56,0)),IFERROR(INDEX(Setup!$C$60:$C$89,MATCH($B1243,Setup!$A$60:$A$89,0)),"")))</f>
        <v/>
      </c>
      <c r="E1243" s="42"/>
      <c r="F1243" s="42"/>
    </row>
    <row r="1244" customFormat="false" ht="15" hidden="false" customHeight="true" outlineLevel="0" collapsed="false">
      <c r="A1244" s="42"/>
      <c r="B1244" s="42"/>
      <c r="C1244" s="42"/>
      <c r="D1244" s="28" t="str">
        <f aca="false">IF(OR($B1244="",$C1244=""),"",$C1244*IFERROR(INDEX(Setup!$C$47:$C$56,MATCH($B1244,Setup!$A$47:$A$56,0)),IFERROR(INDEX(Setup!$C$60:$C$89,MATCH($B1244,Setup!$A$60:$A$89,0)),"")))</f>
        <v/>
      </c>
      <c r="E1244" s="42"/>
      <c r="F1244" s="42"/>
    </row>
    <row r="1245" customFormat="false" ht="15" hidden="false" customHeight="true" outlineLevel="0" collapsed="false">
      <c r="A1245" s="42"/>
      <c r="B1245" s="42"/>
      <c r="C1245" s="42"/>
      <c r="D1245" s="28" t="str">
        <f aca="false">IF(OR($B1245="",$C1245=""),"",$C1245*IFERROR(INDEX(Setup!$C$47:$C$56,MATCH($B1245,Setup!$A$47:$A$56,0)),IFERROR(INDEX(Setup!$C$60:$C$89,MATCH($B1245,Setup!$A$60:$A$89,0)),"")))</f>
        <v/>
      </c>
      <c r="E1245" s="42"/>
      <c r="F1245" s="42"/>
    </row>
    <row r="1246" customFormat="false" ht="15" hidden="false" customHeight="true" outlineLevel="0" collapsed="false">
      <c r="A1246" s="42"/>
      <c r="B1246" s="42"/>
      <c r="C1246" s="42"/>
      <c r="D1246" s="28" t="str">
        <f aca="false">IF(OR($B1246="",$C1246=""),"",$C1246*IFERROR(INDEX(Setup!$C$47:$C$56,MATCH($B1246,Setup!$A$47:$A$56,0)),IFERROR(INDEX(Setup!$C$60:$C$89,MATCH($B1246,Setup!$A$60:$A$89,0)),"")))</f>
        <v/>
      </c>
      <c r="E1246" s="42"/>
      <c r="F1246" s="42"/>
    </row>
    <row r="1247" customFormat="false" ht="15" hidden="false" customHeight="true" outlineLevel="0" collapsed="false">
      <c r="A1247" s="42"/>
      <c r="B1247" s="42"/>
      <c r="C1247" s="42"/>
      <c r="D1247" s="28" t="str">
        <f aca="false">IF(OR($B1247="",$C1247=""),"",$C1247*IFERROR(INDEX(Setup!$C$47:$C$56,MATCH($B1247,Setup!$A$47:$A$56,0)),IFERROR(INDEX(Setup!$C$60:$C$89,MATCH($B1247,Setup!$A$60:$A$89,0)),"")))</f>
        <v/>
      </c>
      <c r="E1247" s="42"/>
      <c r="F1247" s="42"/>
    </row>
    <row r="1248" customFormat="false" ht="15" hidden="false" customHeight="true" outlineLevel="0" collapsed="false">
      <c r="A1248" s="42"/>
      <c r="B1248" s="42"/>
      <c r="C1248" s="42"/>
      <c r="D1248" s="28" t="str">
        <f aca="false">IF(OR($B1248="",$C1248=""),"",$C1248*IFERROR(INDEX(Setup!$C$47:$C$56,MATCH($B1248,Setup!$A$47:$A$56,0)),IFERROR(INDEX(Setup!$C$60:$C$89,MATCH($B1248,Setup!$A$60:$A$89,0)),"")))</f>
        <v/>
      </c>
      <c r="E1248" s="42"/>
      <c r="F1248" s="42"/>
    </row>
    <row r="1249" customFormat="false" ht="15" hidden="false" customHeight="true" outlineLevel="0" collapsed="false">
      <c r="A1249" s="42"/>
      <c r="B1249" s="42"/>
      <c r="C1249" s="42"/>
      <c r="D1249" s="28" t="str">
        <f aca="false">IF(OR($B1249="",$C1249=""),"",$C1249*IFERROR(INDEX(Setup!$C$47:$C$56,MATCH($B1249,Setup!$A$47:$A$56,0)),IFERROR(INDEX(Setup!$C$60:$C$89,MATCH($B1249,Setup!$A$60:$A$89,0)),"")))</f>
        <v/>
      </c>
      <c r="E1249" s="42"/>
      <c r="F1249" s="42"/>
    </row>
    <row r="1250" customFormat="false" ht="15" hidden="false" customHeight="true" outlineLevel="0" collapsed="false">
      <c r="A1250" s="42"/>
      <c r="B1250" s="42"/>
      <c r="C1250" s="42"/>
      <c r="D1250" s="28" t="str">
        <f aca="false">IF(OR($B1250="",$C1250=""),"",$C1250*IFERROR(INDEX(Setup!$C$47:$C$56,MATCH($B1250,Setup!$A$47:$A$56,0)),IFERROR(INDEX(Setup!$C$60:$C$89,MATCH($B1250,Setup!$A$60:$A$89,0)),"")))</f>
        <v/>
      </c>
      <c r="E1250" s="42"/>
      <c r="F1250" s="42"/>
    </row>
    <row r="1251" customFormat="false" ht="15" hidden="false" customHeight="true" outlineLevel="0" collapsed="false">
      <c r="A1251" s="42"/>
      <c r="B1251" s="42"/>
      <c r="C1251" s="42"/>
      <c r="D1251" s="28" t="str">
        <f aca="false">IF(OR($B1251="",$C1251=""),"",$C1251*IFERROR(INDEX(Setup!$C$47:$C$56,MATCH($B1251,Setup!$A$47:$A$56,0)),IFERROR(INDEX(Setup!$C$60:$C$89,MATCH($B1251,Setup!$A$60:$A$89,0)),"")))</f>
        <v/>
      </c>
      <c r="E1251" s="42"/>
      <c r="F1251" s="42"/>
    </row>
    <row r="1252" customFormat="false" ht="15" hidden="false" customHeight="true" outlineLevel="0" collapsed="false">
      <c r="A1252" s="42"/>
      <c r="B1252" s="42"/>
      <c r="C1252" s="42"/>
      <c r="D1252" s="28" t="str">
        <f aca="false">IF(OR($B1252="",$C1252=""),"",$C1252*IFERROR(INDEX(Setup!$C$47:$C$56,MATCH($B1252,Setup!$A$47:$A$56,0)),IFERROR(INDEX(Setup!$C$60:$C$89,MATCH($B1252,Setup!$A$60:$A$89,0)),"")))</f>
        <v/>
      </c>
      <c r="E1252" s="42"/>
      <c r="F1252" s="42"/>
    </row>
    <row r="1253" customFormat="false" ht="15" hidden="false" customHeight="true" outlineLevel="0" collapsed="false">
      <c r="A1253" s="42"/>
      <c r="B1253" s="42"/>
      <c r="C1253" s="42"/>
      <c r="D1253" s="28" t="str">
        <f aca="false">IF(OR($B1253="",$C1253=""),"",$C1253*IFERROR(INDEX(Setup!$C$47:$C$56,MATCH($B1253,Setup!$A$47:$A$56,0)),IFERROR(INDEX(Setup!$C$60:$C$89,MATCH($B1253,Setup!$A$60:$A$89,0)),"")))</f>
        <v/>
      </c>
      <c r="E1253" s="42"/>
      <c r="F1253" s="42"/>
    </row>
    <row r="1254" customFormat="false" ht="15" hidden="false" customHeight="true" outlineLevel="0" collapsed="false">
      <c r="A1254" s="42"/>
      <c r="B1254" s="42"/>
      <c r="C1254" s="42"/>
      <c r="D1254" s="28" t="str">
        <f aca="false">IF(OR($B1254="",$C1254=""),"",$C1254*IFERROR(INDEX(Setup!$C$47:$C$56,MATCH($B1254,Setup!$A$47:$A$56,0)),IFERROR(INDEX(Setup!$C$60:$C$89,MATCH($B1254,Setup!$A$60:$A$89,0)),"")))</f>
        <v/>
      </c>
      <c r="E1254" s="42"/>
      <c r="F1254" s="42"/>
    </row>
    <row r="1255" customFormat="false" ht="15" hidden="false" customHeight="true" outlineLevel="0" collapsed="false">
      <c r="A1255" s="42"/>
      <c r="B1255" s="42"/>
      <c r="C1255" s="42"/>
      <c r="D1255" s="28" t="str">
        <f aca="false">IF(OR($B1255="",$C1255=""),"",$C1255*IFERROR(INDEX(Setup!$C$47:$C$56,MATCH($B1255,Setup!$A$47:$A$56,0)),IFERROR(INDEX(Setup!$C$60:$C$89,MATCH($B1255,Setup!$A$60:$A$89,0)),"")))</f>
        <v/>
      </c>
      <c r="E1255" s="42"/>
      <c r="F1255" s="42"/>
    </row>
    <row r="1256" customFormat="false" ht="15" hidden="false" customHeight="true" outlineLevel="0" collapsed="false">
      <c r="A1256" s="42"/>
      <c r="B1256" s="42"/>
      <c r="C1256" s="42"/>
      <c r="D1256" s="28" t="str">
        <f aca="false">IF(OR($B1256="",$C1256=""),"",$C1256*IFERROR(INDEX(Setup!$C$47:$C$56,MATCH($B1256,Setup!$A$47:$A$56,0)),IFERROR(INDEX(Setup!$C$60:$C$89,MATCH($B1256,Setup!$A$60:$A$89,0)),"")))</f>
        <v/>
      </c>
      <c r="E1256" s="42"/>
      <c r="F1256" s="42"/>
    </row>
    <row r="1257" customFormat="false" ht="15" hidden="false" customHeight="true" outlineLevel="0" collapsed="false">
      <c r="A1257" s="42"/>
      <c r="B1257" s="42"/>
      <c r="C1257" s="42"/>
      <c r="D1257" s="28" t="str">
        <f aca="false">IF(OR($B1257="",$C1257=""),"",$C1257*IFERROR(INDEX(Setup!$C$47:$C$56,MATCH($B1257,Setup!$A$47:$A$56,0)),IFERROR(INDEX(Setup!$C$60:$C$89,MATCH($B1257,Setup!$A$60:$A$89,0)),"")))</f>
        <v/>
      </c>
      <c r="E1257" s="42"/>
      <c r="F1257" s="42"/>
    </row>
    <row r="1258" customFormat="false" ht="15" hidden="false" customHeight="true" outlineLevel="0" collapsed="false">
      <c r="A1258" s="42"/>
      <c r="B1258" s="42"/>
      <c r="C1258" s="42"/>
      <c r="D1258" s="28" t="str">
        <f aca="false">IF(OR($B1258="",$C1258=""),"",$C1258*IFERROR(INDEX(Setup!$C$47:$C$56,MATCH($B1258,Setup!$A$47:$A$56,0)),IFERROR(INDEX(Setup!$C$60:$C$89,MATCH($B1258,Setup!$A$60:$A$89,0)),"")))</f>
        <v/>
      </c>
      <c r="E1258" s="42"/>
      <c r="F1258" s="42"/>
    </row>
    <row r="1259" customFormat="false" ht="15" hidden="false" customHeight="true" outlineLevel="0" collapsed="false">
      <c r="A1259" s="42"/>
      <c r="B1259" s="42"/>
      <c r="C1259" s="42"/>
      <c r="D1259" s="28" t="str">
        <f aca="false">IF(OR($B1259="",$C1259=""),"",$C1259*IFERROR(INDEX(Setup!$C$47:$C$56,MATCH($B1259,Setup!$A$47:$A$56,0)),IFERROR(INDEX(Setup!$C$60:$C$89,MATCH($B1259,Setup!$A$60:$A$89,0)),"")))</f>
        <v/>
      </c>
      <c r="E1259" s="42"/>
      <c r="F1259" s="42"/>
    </row>
    <row r="1260" customFormat="false" ht="15" hidden="false" customHeight="true" outlineLevel="0" collapsed="false">
      <c r="A1260" s="42"/>
      <c r="B1260" s="42"/>
      <c r="C1260" s="42"/>
      <c r="D1260" s="28" t="str">
        <f aca="false">IF(OR($B1260="",$C1260=""),"",$C1260*IFERROR(INDEX(Setup!$C$47:$C$56,MATCH($B1260,Setup!$A$47:$A$56,0)),IFERROR(INDEX(Setup!$C$60:$C$89,MATCH($B1260,Setup!$A$60:$A$89,0)),"")))</f>
        <v/>
      </c>
      <c r="E1260" s="42"/>
      <c r="F1260" s="42"/>
    </row>
    <row r="1261" customFormat="false" ht="15" hidden="false" customHeight="true" outlineLevel="0" collapsed="false">
      <c r="A1261" s="42"/>
      <c r="B1261" s="42"/>
      <c r="C1261" s="42"/>
      <c r="D1261" s="28" t="str">
        <f aca="false">IF(OR($B1261="",$C1261=""),"",$C1261*IFERROR(INDEX(Setup!$C$47:$C$56,MATCH($B1261,Setup!$A$47:$A$56,0)),IFERROR(INDEX(Setup!$C$60:$C$89,MATCH($B1261,Setup!$A$60:$A$89,0)),"")))</f>
        <v/>
      </c>
      <c r="E1261" s="42"/>
      <c r="F1261" s="42"/>
    </row>
    <row r="1262" customFormat="false" ht="15" hidden="false" customHeight="true" outlineLevel="0" collapsed="false">
      <c r="A1262" s="42"/>
      <c r="B1262" s="42"/>
      <c r="C1262" s="42"/>
      <c r="D1262" s="28" t="str">
        <f aca="false">IF(OR($B1262="",$C1262=""),"",$C1262*IFERROR(INDEX(Setup!$C$47:$C$56,MATCH($B1262,Setup!$A$47:$A$56,0)),IFERROR(INDEX(Setup!$C$60:$C$89,MATCH($B1262,Setup!$A$60:$A$89,0)),"")))</f>
        <v/>
      </c>
      <c r="E1262" s="42"/>
      <c r="F1262" s="42"/>
    </row>
    <row r="1263" customFormat="false" ht="15" hidden="false" customHeight="true" outlineLevel="0" collapsed="false">
      <c r="A1263" s="42"/>
      <c r="B1263" s="42"/>
      <c r="C1263" s="42"/>
      <c r="D1263" s="28" t="str">
        <f aca="false">IF(OR($B1263="",$C1263=""),"",$C1263*IFERROR(INDEX(Setup!$C$47:$C$56,MATCH($B1263,Setup!$A$47:$A$56,0)),IFERROR(INDEX(Setup!$C$60:$C$89,MATCH($B1263,Setup!$A$60:$A$89,0)),"")))</f>
        <v/>
      </c>
      <c r="E1263" s="42"/>
      <c r="F1263" s="42"/>
    </row>
    <row r="1264" customFormat="false" ht="15" hidden="false" customHeight="true" outlineLevel="0" collapsed="false">
      <c r="A1264" s="42"/>
      <c r="B1264" s="42"/>
      <c r="C1264" s="42"/>
      <c r="D1264" s="28" t="str">
        <f aca="false">IF(OR($B1264="",$C1264=""),"",$C1264*IFERROR(INDEX(Setup!$C$47:$C$56,MATCH($B1264,Setup!$A$47:$A$56,0)),IFERROR(INDEX(Setup!$C$60:$C$89,MATCH($B1264,Setup!$A$60:$A$89,0)),"")))</f>
        <v/>
      </c>
      <c r="E1264" s="42"/>
      <c r="F1264" s="42"/>
    </row>
    <row r="1265" customFormat="false" ht="15" hidden="false" customHeight="true" outlineLevel="0" collapsed="false">
      <c r="A1265" s="42"/>
      <c r="B1265" s="42"/>
      <c r="C1265" s="42"/>
      <c r="D1265" s="28" t="str">
        <f aca="false">IF(OR($B1265="",$C1265=""),"",$C1265*IFERROR(INDEX(Setup!$C$47:$C$56,MATCH($B1265,Setup!$A$47:$A$56,0)),IFERROR(INDEX(Setup!$C$60:$C$89,MATCH($B1265,Setup!$A$60:$A$89,0)),"")))</f>
        <v/>
      </c>
      <c r="E1265" s="42"/>
      <c r="F1265" s="42"/>
    </row>
    <row r="1266" customFormat="false" ht="15" hidden="false" customHeight="true" outlineLevel="0" collapsed="false">
      <c r="A1266" s="42"/>
      <c r="B1266" s="42"/>
      <c r="C1266" s="42"/>
      <c r="D1266" s="28" t="str">
        <f aca="false">IF(OR($B1266="",$C1266=""),"",$C1266*IFERROR(INDEX(Setup!$C$47:$C$56,MATCH($B1266,Setup!$A$47:$A$56,0)),IFERROR(INDEX(Setup!$C$60:$C$89,MATCH($B1266,Setup!$A$60:$A$89,0)),"")))</f>
        <v/>
      </c>
      <c r="E1266" s="42"/>
      <c r="F1266" s="42"/>
    </row>
    <row r="1267" customFormat="false" ht="15" hidden="false" customHeight="true" outlineLevel="0" collapsed="false">
      <c r="A1267" s="42"/>
      <c r="B1267" s="42"/>
      <c r="C1267" s="42"/>
      <c r="D1267" s="28" t="str">
        <f aca="false">IF(OR($B1267="",$C1267=""),"",$C1267*IFERROR(INDEX(Setup!$C$47:$C$56,MATCH($B1267,Setup!$A$47:$A$56,0)),IFERROR(INDEX(Setup!$C$60:$C$89,MATCH($B1267,Setup!$A$60:$A$89,0)),"")))</f>
        <v/>
      </c>
      <c r="E1267" s="42"/>
      <c r="F1267" s="42"/>
    </row>
    <row r="1268" customFormat="false" ht="15" hidden="false" customHeight="true" outlineLevel="0" collapsed="false">
      <c r="A1268" s="42"/>
      <c r="B1268" s="42"/>
      <c r="C1268" s="42"/>
      <c r="D1268" s="28" t="str">
        <f aca="false">IF(OR($B1268="",$C1268=""),"",$C1268*IFERROR(INDEX(Setup!$C$47:$C$56,MATCH($B1268,Setup!$A$47:$A$56,0)),IFERROR(INDEX(Setup!$C$60:$C$89,MATCH($B1268,Setup!$A$60:$A$89,0)),"")))</f>
        <v/>
      </c>
      <c r="E1268" s="42"/>
      <c r="F1268" s="42"/>
    </row>
    <row r="1269" customFormat="false" ht="15" hidden="false" customHeight="true" outlineLevel="0" collapsed="false">
      <c r="A1269" s="42"/>
      <c r="B1269" s="42"/>
      <c r="C1269" s="42"/>
      <c r="D1269" s="28" t="str">
        <f aca="false">IF(OR($B1269="",$C1269=""),"",$C1269*IFERROR(INDEX(Setup!$C$47:$C$56,MATCH($B1269,Setup!$A$47:$A$56,0)),IFERROR(INDEX(Setup!$C$60:$C$89,MATCH($B1269,Setup!$A$60:$A$89,0)),"")))</f>
        <v/>
      </c>
      <c r="E1269" s="42"/>
      <c r="F1269" s="42"/>
    </row>
    <row r="1270" customFormat="false" ht="15" hidden="false" customHeight="true" outlineLevel="0" collapsed="false">
      <c r="A1270" s="42"/>
      <c r="B1270" s="42"/>
      <c r="C1270" s="42"/>
      <c r="D1270" s="28" t="str">
        <f aca="false">IF(OR($B1270="",$C1270=""),"",$C1270*IFERROR(INDEX(Setup!$C$47:$C$56,MATCH($B1270,Setup!$A$47:$A$56,0)),IFERROR(INDEX(Setup!$C$60:$C$89,MATCH($B1270,Setup!$A$60:$A$89,0)),"")))</f>
        <v/>
      </c>
      <c r="E1270" s="42"/>
      <c r="F1270" s="42"/>
    </row>
    <row r="1271" customFormat="false" ht="15" hidden="false" customHeight="true" outlineLevel="0" collapsed="false">
      <c r="A1271" s="42"/>
      <c r="B1271" s="42"/>
      <c r="C1271" s="42"/>
      <c r="D1271" s="28" t="str">
        <f aca="false">IF(OR($B1271="",$C1271=""),"",$C1271*IFERROR(INDEX(Setup!$C$47:$C$56,MATCH($B1271,Setup!$A$47:$A$56,0)),IFERROR(INDEX(Setup!$C$60:$C$89,MATCH($B1271,Setup!$A$60:$A$89,0)),"")))</f>
        <v/>
      </c>
      <c r="E1271" s="42"/>
      <c r="F1271" s="42"/>
    </row>
    <row r="1272" customFormat="false" ht="15" hidden="false" customHeight="true" outlineLevel="0" collapsed="false">
      <c r="A1272" s="42"/>
      <c r="B1272" s="42"/>
      <c r="C1272" s="42"/>
      <c r="D1272" s="28" t="str">
        <f aca="false">IF(OR($B1272="",$C1272=""),"",$C1272*IFERROR(INDEX(Setup!$C$47:$C$56,MATCH($B1272,Setup!$A$47:$A$56,0)),IFERROR(INDEX(Setup!$C$60:$C$89,MATCH($B1272,Setup!$A$60:$A$89,0)),"")))</f>
        <v/>
      </c>
      <c r="E1272" s="42"/>
      <c r="F1272" s="42"/>
    </row>
    <row r="1273" customFormat="false" ht="15" hidden="false" customHeight="true" outlineLevel="0" collapsed="false">
      <c r="A1273" s="42"/>
      <c r="B1273" s="42"/>
      <c r="C1273" s="42"/>
      <c r="D1273" s="28" t="str">
        <f aca="false">IF(OR($B1273="",$C1273=""),"",$C1273*IFERROR(INDEX(Setup!$C$47:$C$56,MATCH($B1273,Setup!$A$47:$A$56,0)),IFERROR(INDEX(Setup!$C$60:$C$89,MATCH($B1273,Setup!$A$60:$A$89,0)),"")))</f>
        <v/>
      </c>
      <c r="E1273" s="42"/>
      <c r="F1273" s="42"/>
    </row>
    <row r="1274" customFormat="false" ht="15" hidden="false" customHeight="true" outlineLevel="0" collapsed="false">
      <c r="A1274" s="42"/>
      <c r="B1274" s="42"/>
      <c r="C1274" s="42"/>
      <c r="D1274" s="28" t="str">
        <f aca="false">IF(OR($B1274="",$C1274=""),"",$C1274*IFERROR(INDEX(Setup!$C$47:$C$56,MATCH($B1274,Setup!$A$47:$A$56,0)),IFERROR(INDEX(Setup!$C$60:$C$89,MATCH($B1274,Setup!$A$60:$A$89,0)),"")))</f>
        <v/>
      </c>
      <c r="E1274" s="42"/>
      <c r="F1274" s="42"/>
    </row>
    <row r="1275" customFormat="false" ht="15" hidden="false" customHeight="true" outlineLevel="0" collapsed="false">
      <c r="A1275" s="42"/>
      <c r="B1275" s="42"/>
      <c r="C1275" s="42"/>
      <c r="D1275" s="28" t="str">
        <f aca="false">IF(OR($B1275="",$C1275=""),"",$C1275*IFERROR(INDEX(Setup!$C$47:$C$56,MATCH($B1275,Setup!$A$47:$A$56,0)),IFERROR(INDEX(Setup!$C$60:$C$89,MATCH($B1275,Setup!$A$60:$A$89,0)),"")))</f>
        <v/>
      </c>
      <c r="E1275" s="42"/>
      <c r="F1275" s="42"/>
    </row>
    <row r="1276" customFormat="false" ht="15" hidden="false" customHeight="true" outlineLevel="0" collapsed="false">
      <c r="A1276" s="42"/>
      <c r="B1276" s="42"/>
      <c r="C1276" s="42"/>
      <c r="D1276" s="28" t="str">
        <f aca="false">IF(OR($B1276="",$C1276=""),"",$C1276*IFERROR(INDEX(Setup!$C$47:$C$56,MATCH($B1276,Setup!$A$47:$A$56,0)),IFERROR(INDEX(Setup!$C$60:$C$89,MATCH($B1276,Setup!$A$60:$A$89,0)),"")))</f>
        <v/>
      </c>
      <c r="E1276" s="42"/>
      <c r="F1276" s="42"/>
    </row>
    <row r="1277" customFormat="false" ht="15" hidden="false" customHeight="true" outlineLevel="0" collapsed="false">
      <c r="A1277" s="42"/>
      <c r="B1277" s="42"/>
      <c r="C1277" s="42"/>
      <c r="D1277" s="28" t="str">
        <f aca="false">IF(OR($B1277="",$C1277=""),"",$C1277*IFERROR(INDEX(Setup!$C$47:$C$56,MATCH($B1277,Setup!$A$47:$A$56,0)),IFERROR(INDEX(Setup!$C$60:$C$89,MATCH($B1277,Setup!$A$60:$A$89,0)),"")))</f>
        <v/>
      </c>
      <c r="E1277" s="42"/>
      <c r="F1277" s="42"/>
    </row>
    <row r="1278" customFormat="false" ht="15" hidden="false" customHeight="true" outlineLevel="0" collapsed="false">
      <c r="A1278" s="42"/>
      <c r="B1278" s="42"/>
      <c r="C1278" s="42"/>
      <c r="D1278" s="28" t="str">
        <f aca="false">IF(OR($B1278="",$C1278=""),"",$C1278*IFERROR(INDEX(Setup!$C$47:$C$56,MATCH($B1278,Setup!$A$47:$A$56,0)),IFERROR(INDEX(Setup!$C$60:$C$89,MATCH($B1278,Setup!$A$60:$A$89,0)),"")))</f>
        <v/>
      </c>
      <c r="E1278" s="42"/>
      <c r="F1278" s="42"/>
    </row>
    <row r="1279" customFormat="false" ht="15" hidden="false" customHeight="true" outlineLevel="0" collapsed="false">
      <c r="A1279" s="42"/>
      <c r="B1279" s="42"/>
      <c r="C1279" s="42"/>
      <c r="D1279" s="28" t="str">
        <f aca="false">IF(OR($B1279="",$C1279=""),"",$C1279*IFERROR(INDEX(Setup!$C$47:$C$56,MATCH($B1279,Setup!$A$47:$A$56,0)),IFERROR(INDEX(Setup!$C$60:$C$89,MATCH($B1279,Setup!$A$60:$A$89,0)),"")))</f>
        <v/>
      </c>
      <c r="E1279" s="42"/>
      <c r="F1279" s="42"/>
    </row>
    <row r="1280" customFormat="false" ht="15" hidden="false" customHeight="true" outlineLevel="0" collapsed="false">
      <c r="A1280" s="42"/>
      <c r="B1280" s="42"/>
      <c r="C1280" s="42"/>
      <c r="D1280" s="28" t="str">
        <f aca="false">IF(OR($B1280="",$C1280=""),"",$C1280*IFERROR(INDEX(Setup!$C$47:$C$56,MATCH($B1280,Setup!$A$47:$A$56,0)),IFERROR(INDEX(Setup!$C$60:$C$89,MATCH($B1280,Setup!$A$60:$A$89,0)),"")))</f>
        <v/>
      </c>
      <c r="E1280" s="42"/>
      <c r="F1280" s="42"/>
    </row>
    <row r="1281" customFormat="false" ht="15" hidden="false" customHeight="true" outlineLevel="0" collapsed="false">
      <c r="A1281" s="42"/>
      <c r="B1281" s="42"/>
      <c r="C1281" s="42"/>
      <c r="D1281" s="28" t="str">
        <f aca="false">IF(OR($B1281="",$C1281=""),"",$C1281*IFERROR(INDEX(Setup!$C$47:$C$56,MATCH($B1281,Setup!$A$47:$A$56,0)),IFERROR(INDEX(Setup!$C$60:$C$89,MATCH($B1281,Setup!$A$60:$A$89,0)),"")))</f>
        <v/>
      </c>
      <c r="E1281" s="42"/>
      <c r="F1281" s="42"/>
    </row>
    <row r="1282" customFormat="false" ht="15" hidden="false" customHeight="true" outlineLevel="0" collapsed="false">
      <c r="A1282" s="42"/>
      <c r="B1282" s="42"/>
      <c r="C1282" s="42"/>
      <c r="D1282" s="28" t="str">
        <f aca="false">IF(OR($B1282="",$C1282=""),"",$C1282*IFERROR(INDEX(Setup!$C$47:$C$56,MATCH($B1282,Setup!$A$47:$A$56,0)),IFERROR(INDEX(Setup!$C$60:$C$89,MATCH($B1282,Setup!$A$60:$A$89,0)),"")))</f>
        <v/>
      </c>
      <c r="E1282" s="42"/>
      <c r="F1282" s="42"/>
    </row>
    <row r="1283" customFormat="false" ht="15" hidden="false" customHeight="true" outlineLevel="0" collapsed="false">
      <c r="A1283" s="42"/>
      <c r="B1283" s="42"/>
      <c r="C1283" s="42"/>
      <c r="D1283" s="28" t="str">
        <f aca="false">IF(OR($B1283="",$C1283=""),"",$C1283*IFERROR(INDEX(Setup!$C$47:$C$56,MATCH($B1283,Setup!$A$47:$A$56,0)),IFERROR(INDEX(Setup!$C$60:$C$89,MATCH($B1283,Setup!$A$60:$A$89,0)),"")))</f>
        <v/>
      </c>
      <c r="E1283" s="42"/>
      <c r="F1283" s="42"/>
    </row>
    <row r="1284" customFormat="false" ht="15" hidden="false" customHeight="true" outlineLevel="0" collapsed="false">
      <c r="A1284" s="42"/>
      <c r="B1284" s="42"/>
      <c r="C1284" s="42"/>
      <c r="D1284" s="28" t="str">
        <f aca="false">IF(OR($B1284="",$C1284=""),"",$C1284*IFERROR(INDEX(Setup!$C$47:$C$56,MATCH($B1284,Setup!$A$47:$A$56,0)),IFERROR(INDEX(Setup!$C$60:$C$89,MATCH($B1284,Setup!$A$60:$A$89,0)),"")))</f>
        <v/>
      </c>
      <c r="E1284" s="42"/>
      <c r="F1284" s="42"/>
    </row>
    <row r="1285" customFormat="false" ht="15" hidden="false" customHeight="true" outlineLevel="0" collapsed="false">
      <c r="A1285" s="42"/>
      <c r="B1285" s="42"/>
      <c r="C1285" s="42"/>
      <c r="D1285" s="28" t="str">
        <f aca="false">IF(OR($B1285="",$C1285=""),"",$C1285*IFERROR(INDEX(Setup!$C$47:$C$56,MATCH($B1285,Setup!$A$47:$A$56,0)),IFERROR(INDEX(Setup!$C$60:$C$89,MATCH($B1285,Setup!$A$60:$A$89,0)),"")))</f>
        <v/>
      </c>
      <c r="E1285" s="42"/>
      <c r="F1285" s="42"/>
    </row>
    <row r="1286" customFormat="false" ht="15" hidden="false" customHeight="true" outlineLevel="0" collapsed="false">
      <c r="A1286" s="42"/>
      <c r="B1286" s="42"/>
      <c r="C1286" s="42"/>
      <c r="D1286" s="28" t="str">
        <f aca="false">IF(OR($B1286="",$C1286=""),"",$C1286*IFERROR(INDEX(Setup!$C$47:$C$56,MATCH($B1286,Setup!$A$47:$A$56,0)),IFERROR(INDEX(Setup!$C$60:$C$89,MATCH($B1286,Setup!$A$60:$A$89,0)),"")))</f>
        <v/>
      </c>
      <c r="E1286" s="42"/>
      <c r="F1286" s="42"/>
    </row>
    <row r="1287" customFormat="false" ht="15" hidden="false" customHeight="true" outlineLevel="0" collapsed="false">
      <c r="A1287" s="42"/>
      <c r="B1287" s="42"/>
      <c r="C1287" s="42"/>
      <c r="D1287" s="28" t="str">
        <f aca="false">IF(OR($B1287="",$C1287=""),"",$C1287*IFERROR(INDEX(Setup!$C$47:$C$56,MATCH($B1287,Setup!$A$47:$A$56,0)),IFERROR(INDEX(Setup!$C$60:$C$89,MATCH($B1287,Setup!$A$60:$A$89,0)),"")))</f>
        <v/>
      </c>
      <c r="E1287" s="42"/>
      <c r="F1287" s="42"/>
    </row>
    <row r="1288" customFormat="false" ht="15" hidden="false" customHeight="true" outlineLevel="0" collapsed="false">
      <c r="A1288" s="42"/>
      <c r="B1288" s="42"/>
      <c r="C1288" s="42"/>
      <c r="D1288" s="28" t="str">
        <f aca="false">IF(OR($B1288="",$C1288=""),"",$C1288*IFERROR(INDEX(Setup!$C$47:$C$56,MATCH($B1288,Setup!$A$47:$A$56,0)),IFERROR(INDEX(Setup!$C$60:$C$89,MATCH($B1288,Setup!$A$60:$A$89,0)),"")))</f>
        <v/>
      </c>
      <c r="E1288" s="42"/>
      <c r="F1288" s="42"/>
    </row>
    <row r="1289" customFormat="false" ht="15" hidden="false" customHeight="true" outlineLevel="0" collapsed="false">
      <c r="A1289" s="42"/>
      <c r="B1289" s="42"/>
      <c r="C1289" s="42"/>
      <c r="D1289" s="28" t="str">
        <f aca="false">IF(OR($B1289="",$C1289=""),"",$C1289*IFERROR(INDEX(Setup!$C$47:$C$56,MATCH($B1289,Setup!$A$47:$A$56,0)),IFERROR(INDEX(Setup!$C$60:$C$89,MATCH($B1289,Setup!$A$60:$A$89,0)),"")))</f>
        <v/>
      </c>
      <c r="E1289" s="42"/>
      <c r="F1289" s="42"/>
    </row>
    <row r="1290" customFormat="false" ht="15" hidden="false" customHeight="true" outlineLevel="0" collapsed="false">
      <c r="A1290" s="42"/>
      <c r="B1290" s="42"/>
      <c r="C1290" s="42"/>
      <c r="D1290" s="28" t="str">
        <f aca="false">IF(OR($B1290="",$C1290=""),"",$C1290*IFERROR(INDEX(Setup!$C$47:$C$56,MATCH($B1290,Setup!$A$47:$A$56,0)),IFERROR(INDEX(Setup!$C$60:$C$89,MATCH($B1290,Setup!$A$60:$A$89,0)),"")))</f>
        <v/>
      </c>
      <c r="E1290" s="42"/>
      <c r="F1290" s="42"/>
    </row>
    <row r="1291" customFormat="false" ht="15" hidden="false" customHeight="true" outlineLevel="0" collapsed="false">
      <c r="A1291" s="42"/>
      <c r="B1291" s="42"/>
      <c r="C1291" s="42"/>
      <c r="D1291" s="28" t="str">
        <f aca="false">IF(OR($B1291="",$C1291=""),"",$C1291*IFERROR(INDEX(Setup!$C$47:$C$56,MATCH($B1291,Setup!$A$47:$A$56,0)),IFERROR(INDEX(Setup!$C$60:$C$89,MATCH($B1291,Setup!$A$60:$A$89,0)),"")))</f>
        <v/>
      </c>
      <c r="E1291" s="42"/>
      <c r="F1291" s="42"/>
    </row>
    <row r="1292" customFormat="false" ht="15" hidden="false" customHeight="true" outlineLevel="0" collapsed="false">
      <c r="A1292" s="42"/>
      <c r="B1292" s="42"/>
      <c r="C1292" s="42"/>
      <c r="D1292" s="28" t="str">
        <f aca="false">IF(OR($B1292="",$C1292=""),"",$C1292*IFERROR(INDEX(Setup!$C$47:$C$56,MATCH($B1292,Setup!$A$47:$A$56,0)),IFERROR(INDEX(Setup!$C$60:$C$89,MATCH($B1292,Setup!$A$60:$A$89,0)),"")))</f>
        <v/>
      </c>
      <c r="E1292" s="42"/>
      <c r="F1292" s="42"/>
    </row>
    <row r="1293" customFormat="false" ht="15" hidden="false" customHeight="true" outlineLevel="0" collapsed="false">
      <c r="A1293" s="42"/>
      <c r="B1293" s="42"/>
      <c r="C1293" s="42"/>
      <c r="D1293" s="28" t="str">
        <f aca="false">IF(OR($B1293="",$C1293=""),"",$C1293*IFERROR(INDEX(Setup!$C$47:$C$56,MATCH($B1293,Setup!$A$47:$A$56,0)),IFERROR(INDEX(Setup!$C$60:$C$89,MATCH($B1293,Setup!$A$60:$A$89,0)),"")))</f>
        <v/>
      </c>
      <c r="E1293" s="42"/>
      <c r="F1293" s="42"/>
    </row>
    <row r="1294" customFormat="false" ht="15" hidden="false" customHeight="true" outlineLevel="0" collapsed="false">
      <c r="A1294" s="42"/>
      <c r="B1294" s="42"/>
      <c r="C1294" s="42"/>
      <c r="D1294" s="28" t="str">
        <f aca="false">IF(OR($B1294="",$C1294=""),"",$C1294*IFERROR(INDEX(Setup!$C$47:$C$56,MATCH($B1294,Setup!$A$47:$A$56,0)),IFERROR(INDEX(Setup!$C$60:$C$89,MATCH($B1294,Setup!$A$60:$A$89,0)),"")))</f>
        <v/>
      </c>
      <c r="E1294" s="42"/>
      <c r="F1294" s="42"/>
    </row>
    <row r="1295" customFormat="false" ht="15" hidden="false" customHeight="true" outlineLevel="0" collapsed="false">
      <c r="A1295" s="42"/>
      <c r="B1295" s="42"/>
      <c r="C1295" s="42"/>
      <c r="D1295" s="28" t="str">
        <f aca="false">IF(OR($B1295="",$C1295=""),"",$C1295*IFERROR(INDEX(Setup!$C$47:$C$56,MATCH($B1295,Setup!$A$47:$A$56,0)),IFERROR(INDEX(Setup!$C$60:$C$89,MATCH($B1295,Setup!$A$60:$A$89,0)),"")))</f>
        <v/>
      </c>
      <c r="E1295" s="42"/>
      <c r="F1295" s="42"/>
    </row>
    <row r="1296" customFormat="false" ht="15" hidden="false" customHeight="true" outlineLevel="0" collapsed="false">
      <c r="A1296" s="42"/>
      <c r="B1296" s="42"/>
      <c r="C1296" s="42"/>
      <c r="D1296" s="28" t="str">
        <f aca="false">IF(OR($B1296="",$C1296=""),"",$C1296*IFERROR(INDEX(Setup!$C$47:$C$56,MATCH($B1296,Setup!$A$47:$A$56,0)),IFERROR(INDEX(Setup!$C$60:$C$89,MATCH($B1296,Setup!$A$60:$A$89,0)),"")))</f>
        <v/>
      </c>
      <c r="E1296" s="42"/>
      <c r="F1296" s="42"/>
    </row>
    <row r="1297" customFormat="false" ht="15" hidden="false" customHeight="true" outlineLevel="0" collapsed="false">
      <c r="A1297" s="42"/>
      <c r="B1297" s="42"/>
      <c r="C1297" s="42"/>
      <c r="D1297" s="28" t="str">
        <f aca="false">IF(OR($B1297="",$C1297=""),"",$C1297*IFERROR(INDEX(Setup!$C$47:$C$56,MATCH($B1297,Setup!$A$47:$A$56,0)),IFERROR(INDEX(Setup!$C$60:$C$89,MATCH($B1297,Setup!$A$60:$A$89,0)),"")))</f>
        <v/>
      </c>
      <c r="E1297" s="42"/>
      <c r="F1297" s="42"/>
    </row>
    <row r="1298" customFormat="false" ht="15" hidden="false" customHeight="true" outlineLevel="0" collapsed="false">
      <c r="A1298" s="42"/>
      <c r="B1298" s="42"/>
      <c r="C1298" s="42"/>
      <c r="D1298" s="28" t="str">
        <f aca="false">IF(OR($B1298="",$C1298=""),"",$C1298*IFERROR(INDEX(Setup!$C$47:$C$56,MATCH($B1298,Setup!$A$47:$A$56,0)),IFERROR(INDEX(Setup!$C$60:$C$89,MATCH($B1298,Setup!$A$60:$A$89,0)),"")))</f>
        <v/>
      </c>
      <c r="E1298" s="42"/>
      <c r="F1298" s="42"/>
    </row>
    <row r="1299" customFormat="false" ht="15" hidden="false" customHeight="true" outlineLevel="0" collapsed="false">
      <c r="A1299" s="42"/>
      <c r="B1299" s="42"/>
      <c r="C1299" s="42"/>
      <c r="D1299" s="28" t="str">
        <f aca="false">IF(OR($B1299="",$C1299=""),"",$C1299*IFERROR(INDEX(Setup!$C$47:$C$56,MATCH($B1299,Setup!$A$47:$A$56,0)),IFERROR(INDEX(Setup!$C$60:$C$89,MATCH($B1299,Setup!$A$60:$A$89,0)),"")))</f>
        <v/>
      </c>
      <c r="E1299" s="42"/>
      <c r="F1299" s="42"/>
    </row>
    <row r="1300" customFormat="false" ht="15" hidden="false" customHeight="true" outlineLevel="0" collapsed="false">
      <c r="A1300" s="42"/>
      <c r="B1300" s="42"/>
      <c r="C1300" s="42"/>
      <c r="D1300" s="28" t="str">
        <f aca="false">IF(OR($B1300="",$C1300=""),"",$C1300*IFERROR(INDEX(Setup!$C$47:$C$56,MATCH($B1300,Setup!$A$47:$A$56,0)),IFERROR(INDEX(Setup!$C$60:$C$89,MATCH($B1300,Setup!$A$60:$A$89,0)),"")))</f>
        <v/>
      </c>
      <c r="E1300" s="42"/>
      <c r="F1300" s="42"/>
    </row>
    <row r="1301" customFormat="false" ht="15" hidden="false" customHeight="true" outlineLevel="0" collapsed="false">
      <c r="A1301" s="42"/>
      <c r="B1301" s="42"/>
      <c r="C1301" s="42"/>
      <c r="D1301" s="28" t="str">
        <f aca="false">IF(OR($B1301="",$C1301=""),"",$C1301*IFERROR(INDEX(Setup!$C$47:$C$56,MATCH($B1301,Setup!$A$47:$A$56,0)),IFERROR(INDEX(Setup!$C$60:$C$89,MATCH($B1301,Setup!$A$60:$A$89,0)),"")))</f>
        <v/>
      </c>
      <c r="E1301" s="42"/>
      <c r="F1301" s="42"/>
    </row>
    <row r="1302" customFormat="false" ht="15" hidden="false" customHeight="true" outlineLevel="0" collapsed="false">
      <c r="A1302" s="42"/>
      <c r="B1302" s="42"/>
      <c r="C1302" s="42"/>
      <c r="D1302" s="28" t="str">
        <f aca="false">IF(OR($B1302="",$C1302=""),"",$C1302*IFERROR(INDEX(Setup!$C$47:$C$56,MATCH($B1302,Setup!$A$47:$A$56,0)),IFERROR(INDEX(Setup!$C$60:$C$89,MATCH($B1302,Setup!$A$60:$A$89,0)),"")))</f>
        <v/>
      </c>
      <c r="E1302" s="42"/>
      <c r="F1302" s="42"/>
    </row>
    <row r="1303" customFormat="false" ht="15" hidden="false" customHeight="true" outlineLevel="0" collapsed="false">
      <c r="A1303" s="42"/>
      <c r="B1303" s="42"/>
      <c r="C1303" s="42"/>
      <c r="D1303" s="28" t="str">
        <f aca="false">IF(OR($B1303="",$C1303=""),"",$C1303*IFERROR(INDEX(Setup!$C$47:$C$56,MATCH($B1303,Setup!$A$47:$A$56,0)),IFERROR(INDEX(Setup!$C$60:$C$89,MATCH($B1303,Setup!$A$60:$A$89,0)),"")))</f>
        <v/>
      </c>
      <c r="E1303" s="42"/>
      <c r="F1303" s="42"/>
    </row>
    <row r="1304" customFormat="false" ht="15" hidden="false" customHeight="true" outlineLevel="0" collapsed="false">
      <c r="A1304" s="42"/>
      <c r="B1304" s="42"/>
      <c r="C1304" s="42"/>
      <c r="D1304" s="28" t="str">
        <f aca="false">IF(OR($B1304="",$C1304=""),"",$C1304*IFERROR(INDEX(Setup!$C$47:$C$56,MATCH($B1304,Setup!$A$47:$A$56,0)),IFERROR(INDEX(Setup!$C$60:$C$89,MATCH($B1304,Setup!$A$60:$A$89,0)),"")))</f>
        <v/>
      </c>
      <c r="E1304" s="42"/>
      <c r="F1304" s="42"/>
    </row>
    <row r="1305" customFormat="false" ht="15" hidden="false" customHeight="true" outlineLevel="0" collapsed="false">
      <c r="A1305" s="42"/>
      <c r="B1305" s="42"/>
      <c r="C1305" s="42"/>
      <c r="D1305" s="28" t="str">
        <f aca="false">IF(OR($B1305="",$C1305=""),"",$C1305*IFERROR(INDEX(Setup!$C$47:$C$56,MATCH($B1305,Setup!$A$47:$A$56,0)),IFERROR(INDEX(Setup!$C$60:$C$89,MATCH($B1305,Setup!$A$60:$A$89,0)),"")))</f>
        <v/>
      </c>
      <c r="E1305" s="42"/>
      <c r="F1305" s="42"/>
    </row>
    <row r="1306" customFormat="false" ht="15" hidden="false" customHeight="true" outlineLevel="0" collapsed="false">
      <c r="A1306" s="42"/>
      <c r="B1306" s="42"/>
      <c r="C1306" s="42"/>
      <c r="D1306" s="28" t="str">
        <f aca="false">IF(OR($B1306="",$C1306=""),"",$C1306*IFERROR(INDEX(Setup!$C$47:$C$56,MATCH($B1306,Setup!$A$47:$A$56,0)),IFERROR(INDEX(Setup!$C$60:$C$89,MATCH($B1306,Setup!$A$60:$A$89,0)),"")))</f>
        <v/>
      </c>
      <c r="E1306" s="42"/>
      <c r="F1306" s="42"/>
    </row>
    <row r="1307" customFormat="false" ht="15" hidden="false" customHeight="true" outlineLevel="0" collapsed="false">
      <c r="A1307" s="42"/>
      <c r="B1307" s="42"/>
      <c r="C1307" s="42"/>
      <c r="D1307" s="28" t="str">
        <f aca="false">IF(OR($B1307="",$C1307=""),"",$C1307*IFERROR(INDEX(Setup!$C$47:$C$56,MATCH($B1307,Setup!$A$47:$A$56,0)),IFERROR(INDEX(Setup!$C$60:$C$89,MATCH($B1307,Setup!$A$60:$A$89,0)),"")))</f>
        <v/>
      </c>
      <c r="E1307" s="42"/>
      <c r="F1307" s="42"/>
    </row>
    <row r="1308" customFormat="false" ht="15" hidden="false" customHeight="true" outlineLevel="0" collapsed="false">
      <c r="A1308" s="42"/>
      <c r="B1308" s="42"/>
      <c r="C1308" s="42"/>
      <c r="D1308" s="28" t="str">
        <f aca="false">IF(OR($B1308="",$C1308=""),"",$C1308*IFERROR(INDEX(Setup!$C$47:$C$56,MATCH($B1308,Setup!$A$47:$A$56,0)),IFERROR(INDEX(Setup!$C$60:$C$89,MATCH($B1308,Setup!$A$60:$A$89,0)),"")))</f>
        <v/>
      </c>
      <c r="E1308" s="42"/>
      <c r="F1308" s="42"/>
    </row>
    <row r="1309" customFormat="false" ht="15" hidden="false" customHeight="true" outlineLevel="0" collapsed="false">
      <c r="A1309" s="42"/>
      <c r="B1309" s="42"/>
      <c r="C1309" s="42"/>
      <c r="D1309" s="28" t="str">
        <f aca="false">IF(OR($B1309="",$C1309=""),"",$C1309*IFERROR(INDEX(Setup!$C$47:$C$56,MATCH($B1309,Setup!$A$47:$A$56,0)),IFERROR(INDEX(Setup!$C$60:$C$89,MATCH($B1309,Setup!$A$60:$A$89,0)),"")))</f>
        <v/>
      </c>
      <c r="E1309" s="42"/>
      <c r="F1309" s="42"/>
    </row>
    <row r="1310" customFormat="false" ht="15" hidden="false" customHeight="true" outlineLevel="0" collapsed="false">
      <c r="A1310" s="42"/>
      <c r="B1310" s="42"/>
      <c r="C1310" s="42"/>
      <c r="D1310" s="28" t="str">
        <f aca="false">IF(OR($B1310="",$C1310=""),"",$C1310*IFERROR(INDEX(Setup!$C$47:$C$56,MATCH($B1310,Setup!$A$47:$A$56,0)),IFERROR(INDEX(Setup!$C$60:$C$89,MATCH($B1310,Setup!$A$60:$A$89,0)),"")))</f>
        <v/>
      </c>
      <c r="E1310" s="42"/>
      <c r="F1310" s="42"/>
    </row>
    <row r="1311" customFormat="false" ht="15" hidden="false" customHeight="true" outlineLevel="0" collapsed="false">
      <c r="A1311" s="42"/>
      <c r="B1311" s="42"/>
      <c r="C1311" s="42"/>
      <c r="D1311" s="28" t="str">
        <f aca="false">IF(OR($B1311="",$C1311=""),"",$C1311*IFERROR(INDEX(Setup!$C$47:$C$56,MATCH($B1311,Setup!$A$47:$A$56,0)),IFERROR(INDEX(Setup!$C$60:$C$89,MATCH($B1311,Setup!$A$60:$A$89,0)),"")))</f>
        <v/>
      </c>
      <c r="E1311" s="42"/>
      <c r="F1311" s="42"/>
    </row>
    <row r="1312" customFormat="false" ht="15" hidden="false" customHeight="true" outlineLevel="0" collapsed="false">
      <c r="A1312" s="42"/>
      <c r="B1312" s="42"/>
      <c r="C1312" s="42"/>
      <c r="D1312" s="28" t="str">
        <f aca="false">IF(OR($B1312="",$C1312=""),"",$C1312*IFERROR(INDEX(Setup!$C$47:$C$56,MATCH($B1312,Setup!$A$47:$A$56,0)),IFERROR(INDEX(Setup!$C$60:$C$89,MATCH($B1312,Setup!$A$60:$A$89,0)),"")))</f>
        <v/>
      </c>
      <c r="E1312" s="42"/>
      <c r="F1312" s="42"/>
    </row>
    <row r="1313" customFormat="false" ht="15" hidden="false" customHeight="true" outlineLevel="0" collapsed="false">
      <c r="A1313" s="42"/>
      <c r="B1313" s="42"/>
      <c r="C1313" s="42"/>
      <c r="D1313" s="28" t="str">
        <f aca="false">IF(OR($B1313="",$C1313=""),"",$C1313*IFERROR(INDEX(Setup!$C$47:$C$56,MATCH($B1313,Setup!$A$47:$A$56,0)),IFERROR(INDEX(Setup!$C$60:$C$89,MATCH($B1313,Setup!$A$60:$A$89,0)),"")))</f>
        <v/>
      </c>
      <c r="E1313" s="42"/>
      <c r="F1313" s="42"/>
    </row>
    <row r="1314" customFormat="false" ht="15" hidden="false" customHeight="true" outlineLevel="0" collapsed="false">
      <c r="A1314" s="42"/>
      <c r="B1314" s="42"/>
      <c r="C1314" s="42"/>
      <c r="D1314" s="28" t="str">
        <f aca="false">IF(OR($B1314="",$C1314=""),"",$C1314*IFERROR(INDEX(Setup!$C$47:$C$56,MATCH($B1314,Setup!$A$47:$A$56,0)),IFERROR(INDEX(Setup!$C$60:$C$89,MATCH($B1314,Setup!$A$60:$A$89,0)),"")))</f>
        <v/>
      </c>
      <c r="E1314" s="42"/>
      <c r="F1314" s="42"/>
    </row>
    <row r="1315" customFormat="false" ht="15" hidden="false" customHeight="true" outlineLevel="0" collapsed="false">
      <c r="A1315" s="42"/>
      <c r="B1315" s="42"/>
      <c r="C1315" s="42"/>
      <c r="D1315" s="28" t="str">
        <f aca="false">IF(OR($B1315="",$C1315=""),"",$C1315*IFERROR(INDEX(Setup!$C$47:$C$56,MATCH($B1315,Setup!$A$47:$A$56,0)),IFERROR(INDEX(Setup!$C$60:$C$89,MATCH($B1315,Setup!$A$60:$A$89,0)),"")))</f>
        <v/>
      </c>
      <c r="E1315" s="42"/>
      <c r="F1315" s="42"/>
    </row>
    <row r="1316" customFormat="false" ht="15" hidden="false" customHeight="true" outlineLevel="0" collapsed="false">
      <c r="A1316" s="42"/>
      <c r="B1316" s="42"/>
      <c r="C1316" s="42"/>
      <c r="D1316" s="28" t="str">
        <f aca="false">IF(OR($B1316="",$C1316=""),"",$C1316*IFERROR(INDEX(Setup!$C$47:$C$56,MATCH($B1316,Setup!$A$47:$A$56,0)),IFERROR(INDEX(Setup!$C$60:$C$89,MATCH($B1316,Setup!$A$60:$A$89,0)),"")))</f>
        <v/>
      </c>
      <c r="E1316" s="42"/>
      <c r="F1316" s="42"/>
    </row>
    <row r="1317" customFormat="false" ht="15" hidden="false" customHeight="true" outlineLevel="0" collapsed="false">
      <c r="A1317" s="42"/>
      <c r="B1317" s="42"/>
      <c r="C1317" s="42"/>
      <c r="D1317" s="28" t="str">
        <f aca="false">IF(OR($B1317="",$C1317=""),"",$C1317*IFERROR(INDEX(Setup!$C$47:$C$56,MATCH($B1317,Setup!$A$47:$A$56,0)),IFERROR(INDEX(Setup!$C$60:$C$89,MATCH($B1317,Setup!$A$60:$A$89,0)),"")))</f>
        <v/>
      </c>
      <c r="E1317" s="42"/>
      <c r="F1317" s="42"/>
    </row>
    <row r="1318" customFormat="false" ht="15" hidden="false" customHeight="true" outlineLevel="0" collapsed="false">
      <c r="A1318" s="42"/>
      <c r="B1318" s="42"/>
      <c r="C1318" s="42"/>
      <c r="D1318" s="28" t="str">
        <f aca="false">IF(OR($B1318="",$C1318=""),"",$C1318*IFERROR(INDEX(Setup!$C$47:$C$56,MATCH($B1318,Setup!$A$47:$A$56,0)),IFERROR(INDEX(Setup!$C$60:$C$89,MATCH($B1318,Setup!$A$60:$A$89,0)),"")))</f>
        <v/>
      </c>
      <c r="E1318" s="42"/>
      <c r="F1318" s="42"/>
    </row>
    <row r="1319" customFormat="false" ht="15" hidden="false" customHeight="true" outlineLevel="0" collapsed="false">
      <c r="A1319" s="42"/>
      <c r="B1319" s="42"/>
      <c r="C1319" s="42"/>
      <c r="D1319" s="28" t="str">
        <f aca="false">IF(OR($B1319="",$C1319=""),"",$C1319*IFERROR(INDEX(Setup!$C$47:$C$56,MATCH($B1319,Setup!$A$47:$A$56,0)),IFERROR(INDEX(Setup!$C$60:$C$89,MATCH($B1319,Setup!$A$60:$A$89,0)),"")))</f>
        <v/>
      </c>
      <c r="E1319" s="42"/>
      <c r="F1319" s="42"/>
    </row>
    <row r="1320" customFormat="false" ht="15" hidden="false" customHeight="true" outlineLevel="0" collapsed="false">
      <c r="A1320" s="42"/>
      <c r="B1320" s="42"/>
      <c r="C1320" s="42"/>
      <c r="D1320" s="28" t="str">
        <f aca="false">IF(OR($B1320="",$C1320=""),"",$C1320*IFERROR(INDEX(Setup!$C$47:$C$56,MATCH($B1320,Setup!$A$47:$A$56,0)),IFERROR(INDEX(Setup!$C$60:$C$89,MATCH($B1320,Setup!$A$60:$A$89,0)),"")))</f>
        <v/>
      </c>
      <c r="E1320" s="42"/>
      <c r="F1320" s="42"/>
    </row>
    <row r="1321" customFormat="false" ht="15" hidden="false" customHeight="true" outlineLevel="0" collapsed="false">
      <c r="A1321" s="42"/>
      <c r="B1321" s="42"/>
      <c r="C1321" s="42"/>
      <c r="D1321" s="28" t="str">
        <f aca="false">IF(OR($B1321="",$C1321=""),"",$C1321*IFERROR(INDEX(Setup!$C$47:$C$56,MATCH($B1321,Setup!$A$47:$A$56,0)),IFERROR(INDEX(Setup!$C$60:$C$89,MATCH($B1321,Setup!$A$60:$A$89,0)),"")))</f>
        <v/>
      </c>
      <c r="E1321" s="42"/>
      <c r="F1321" s="42"/>
    </row>
    <row r="1322" customFormat="false" ht="15" hidden="false" customHeight="true" outlineLevel="0" collapsed="false">
      <c r="A1322" s="42"/>
      <c r="B1322" s="42"/>
      <c r="C1322" s="42"/>
      <c r="D1322" s="28" t="str">
        <f aca="false">IF(OR($B1322="",$C1322=""),"",$C1322*IFERROR(INDEX(Setup!$C$47:$C$56,MATCH($B1322,Setup!$A$47:$A$56,0)),IFERROR(INDEX(Setup!$C$60:$C$89,MATCH($B1322,Setup!$A$60:$A$89,0)),"")))</f>
        <v/>
      </c>
      <c r="E1322" s="42"/>
      <c r="F1322" s="42"/>
    </row>
    <row r="1323" customFormat="false" ht="15" hidden="false" customHeight="true" outlineLevel="0" collapsed="false">
      <c r="A1323" s="42"/>
      <c r="B1323" s="42"/>
      <c r="C1323" s="42"/>
      <c r="D1323" s="28" t="str">
        <f aca="false">IF(OR($B1323="",$C1323=""),"",$C1323*IFERROR(INDEX(Setup!$C$47:$C$56,MATCH($B1323,Setup!$A$47:$A$56,0)),IFERROR(INDEX(Setup!$C$60:$C$89,MATCH($B1323,Setup!$A$60:$A$89,0)),"")))</f>
        <v/>
      </c>
      <c r="E1323" s="42"/>
      <c r="F1323" s="42"/>
    </row>
    <row r="1324" customFormat="false" ht="15" hidden="false" customHeight="true" outlineLevel="0" collapsed="false">
      <c r="A1324" s="42"/>
      <c r="B1324" s="42"/>
      <c r="C1324" s="42"/>
      <c r="D1324" s="28" t="str">
        <f aca="false">IF(OR($B1324="",$C1324=""),"",$C1324*IFERROR(INDEX(Setup!$C$47:$C$56,MATCH($B1324,Setup!$A$47:$A$56,0)),IFERROR(INDEX(Setup!$C$60:$C$89,MATCH($B1324,Setup!$A$60:$A$89,0)),"")))</f>
        <v/>
      </c>
      <c r="E1324" s="42"/>
      <c r="F1324" s="42"/>
    </row>
    <row r="1325" customFormat="false" ht="15" hidden="false" customHeight="true" outlineLevel="0" collapsed="false">
      <c r="A1325" s="42"/>
      <c r="B1325" s="42"/>
      <c r="C1325" s="42"/>
      <c r="D1325" s="28" t="str">
        <f aca="false">IF(OR($B1325="",$C1325=""),"",$C1325*IFERROR(INDEX(Setup!$C$47:$C$56,MATCH($B1325,Setup!$A$47:$A$56,0)),IFERROR(INDEX(Setup!$C$60:$C$89,MATCH($B1325,Setup!$A$60:$A$89,0)),"")))</f>
        <v/>
      </c>
      <c r="E1325" s="42"/>
      <c r="F1325" s="42"/>
    </row>
    <row r="1326" customFormat="false" ht="15" hidden="false" customHeight="true" outlineLevel="0" collapsed="false">
      <c r="A1326" s="42"/>
      <c r="B1326" s="42"/>
      <c r="C1326" s="42"/>
      <c r="D1326" s="28" t="str">
        <f aca="false">IF(OR($B1326="",$C1326=""),"",$C1326*IFERROR(INDEX(Setup!$C$47:$C$56,MATCH($B1326,Setup!$A$47:$A$56,0)),IFERROR(INDEX(Setup!$C$60:$C$89,MATCH($B1326,Setup!$A$60:$A$89,0)),"")))</f>
        <v/>
      </c>
      <c r="E1326" s="42"/>
      <c r="F1326" s="42"/>
    </row>
    <row r="1327" customFormat="false" ht="15" hidden="false" customHeight="true" outlineLevel="0" collapsed="false">
      <c r="A1327" s="42"/>
      <c r="B1327" s="42"/>
      <c r="C1327" s="42"/>
      <c r="D1327" s="28" t="str">
        <f aca="false">IF(OR($B1327="",$C1327=""),"",$C1327*IFERROR(INDEX(Setup!$C$47:$C$56,MATCH($B1327,Setup!$A$47:$A$56,0)),IFERROR(INDEX(Setup!$C$60:$C$89,MATCH($B1327,Setup!$A$60:$A$89,0)),"")))</f>
        <v/>
      </c>
      <c r="E1327" s="42"/>
      <c r="F1327" s="42"/>
    </row>
    <row r="1328" customFormat="false" ht="15" hidden="false" customHeight="true" outlineLevel="0" collapsed="false">
      <c r="A1328" s="42"/>
      <c r="B1328" s="42"/>
      <c r="C1328" s="42"/>
      <c r="D1328" s="28" t="str">
        <f aca="false">IF(OR($B1328="",$C1328=""),"",$C1328*IFERROR(INDEX(Setup!$C$47:$C$56,MATCH($B1328,Setup!$A$47:$A$56,0)),IFERROR(INDEX(Setup!$C$60:$C$89,MATCH($B1328,Setup!$A$60:$A$89,0)),"")))</f>
        <v/>
      </c>
      <c r="E1328" s="42"/>
      <c r="F1328" s="42"/>
    </row>
    <row r="1329" customFormat="false" ht="15" hidden="false" customHeight="true" outlineLevel="0" collapsed="false">
      <c r="A1329" s="42"/>
      <c r="B1329" s="42"/>
      <c r="C1329" s="42"/>
      <c r="D1329" s="28" t="str">
        <f aca="false">IF(OR($B1329="",$C1329=""),"",$C1329*IFERROR(INDEX(Setup!$C$47:$C$56,MATCH($B1329,Setup!$A$47:$A$56,0)),IFERROR(INDEX(Setup!$C$60:$C$89,MATCH($B1329,Setup!$A$60:$A$89,0)),"")))</f>
        <v/>
      </c>
      <c r="E1329" s="42"/>
      <c r="F1329" s="42"/>
    </row>
    <row r="1330" customFormat="false" ht="15" hidden="false" customHeight="true" outlineLevel="0" collapsed="false">
      <c r="A1330" s="42"/>
      <c r="B1330" s="42"/>
      <c r="C1330" s="42"/>
      <c r="D1330" s="28" t="str">
        <f aca="false">IF(OR($B1330="",$C1330=""),"",$C1330*IFERROR(INDEX(Setup!$C$47:$C$56,MATCH($B1330,Setup!$A$47:$A$56,0)),IFERROR(INDEX(Setup!$C$60:$C$89,MATCH($B1330,Setup!$A$60:$A$89,0)),"")))</f>
        <v/>
      </c>
      <c r="E1330" s="42"/>
      <c r="F1330" s="42"/>
    </row>
    <row r="1331" customFormat="false" ht="15" hidden="false" customHeight="true" outlineLevel="0" collapsed="false">
      <c r="A1331" s="42"/>
      <c r="B1331" s="42"/>
      <c r="C1331" s="42"/>
      <c r="D1331" s="28" t="str">
        <f aca="false">IF(OR($B1331="",$C1331=""),"",$C1331*IFERROR(INDEX(Setup!$C$47:$C$56,MATCH($B1331,Setup!$A$47:$A$56,0)),IFERROR(INDEX(Setup!$C$60:$C$89,MATCH($B1331,Setup!$A$60:$A$89,0)),"")))</f>
        <v/>
      </c>
      <c r="E1331" s="42"/>
      <c r="F1331" s="42"/>
    </row>
    <row r="1332" customFormat="false" ht="15" hidden="false" customHeight="true" outlineLevel="0" collapsed="false">
      <c r="A1332" s="42"/>
      <c r="B1332" s="42"/>
      <c r="C1332" s="42"/>
      <c r="D1332" s="28" t="str">
        <f aca="false">IF(OR($B1332="",$C1332=""),"",$C1332*IFERROR(INDEX(Setup!$C$47:$C$56,MATCH($B1332,Setup!$A$47:$A$56,0)),IFERROR(INDEX(Setup!$C$60:$C$89,MATCH($B1332,Setup!$A$60:$A$89,0)),"")))</f>
        <v/>
      </c>
      <c r="E1332" s="42"/>
      <c r="F1332" s="42"/>
    </row>
    <row r="1333" customFormat="false" ht="15" hidden="false" customHeight="true" outlineLevel="0" collapsed="false">
      <c r="A1333" s="42"/>
      <c r="B1333" s="42"/>
      <c r="C1333" s="42"/>
      <c r="D1333" s="28" t="str">
        <f aca="false">IF(OR($B1333="",$C1333=""),"",$C1333*IFERROR(INDEX(Setup!$C$47:$C$56,MATCH($B1333,Setup!$A$47:$A$56,0)),IFERROR(INDEX(Setup!$C$60:$C$89,MATCH($B1333,Setup!$A$60:$A$89,0)),"")))</f>
        <v/>
      </c>
      <c r="E1333" s="42"/>
      <c r="F1333" s="42"/>
    </row>
    <row r="1334" customFormat="false" ht="15" hidden="false" customHeight="true" outlineLevel="0" collapsed="false">
      <c r="A1334" s="42"/>
      <c r="B1334" s="42"/>
      <c r="C1334" s="42"/>
      <c r="D1334" s="28" t="str">
        <f aca="false">IF(OR($B1334="",$C1334=""),"",$C1334*IFERROR(INDEX(Setup!$C$47:$C$56,MATCH($B1334,Setup!$A$47:$A$56,0)),IFERROR(INDEX(Setup!$C$60:$C$89,MATCH($B1334,Setup!$A$60:$A$89,0)),"")))</f>
        <v/>
      </c>
      <c r="E1334" s="42"/>
      <c r="F1334" s="42"/>
    </row>
    <row r="1335" customFormat="false" ht="15" hidden="false" customHeight="true" outlineLevel="0" collapsed="false">
      <c r="A1335" s="42"/>
      <c r="B1335" s="42"/>
      <c r="C1335" s="42"/>
      <c r="D1335" s="28" t="str">
        <f aca="false">IF(OR($B1335="",$C1335=""),"",$C1335*IFERROR(INDEX(Setup!$C$47:$C$56,MATCH($B1335,Setup!$A$47:$A$56,0)),IFERROR(INDEX(Setup!$C$60:$C$89,MATCH($B1335,Setup!$A$60:$A$89,0)),"")))</f>
        <v/>
      </c>
      <c r="E1335" s="42"/>
      <c r="F1335" s="42"/>
    </row>
    <row r="1336" customFormat="false" ht="15" hidden="false" customHeight="true" outlineLevel="0" collapsed="false">
      <c r="A1336" s="42"/>
      <c r="B1336" s="42"/>
      <c r="C1336" s="42"/>
      <c r="D1336" s="28" t="str">
        <f aca="false">IF(OR($B1336="",$C1336=""),"",$C1336*IFERROR(INDEX(Setup!$C$47:$C$56,MATCH($B1336,Setup!$A$47:$A$56,0)),IFERROR(INDEX(Setup!$C$60:$C$89,MATCH($B1336,Setup!$A$60:$A$89,0)),"")))</f>
        <v/>
      </c>
      <c r="E1336" s="42"/>
      <c r="F1336" s="42"/>
    </row>
    <row r="1337" customFormat="false" ht="15" hidden="false" customHeight="true" outlineLevel="0" collapsed="false">
      <c r="A1337" s="42"/>
      <c r="B1337" s="42"/>
      <c r="C1337" s="42"/>
      <c r="D1337" s="28" t="str">
        <f aca="false">IF(OR($B1337="",$C1337=""),"",$C1337*IFERROR(INDEX(Setup!$C$47:$C$56,MATCH($B1337,Setup!$A$47:$A$56,0)),IFERROR(INDEX(Setup!$C$60:$C$89,MATCH($B1337,Setup!$A$60:$A$89,0)),"")))</f>
        <v/>
      </c>
      <c r="E1337" s="42"/>
      <c r="F1337" s="42"/>
    </row>
    <row r="1338" customFormat="false" ht="15" hidden="false" customHeight="true" outlineLevel="0" collapsed="false">
      <c r="A1338" s="42"/>
      <c r="B1338" s="42"/>
      <c r="C1338" s="42"/>
      <c r="D1338" s="28" t="str">
        <f aca="false">IF(OR($B1338="",$C1338=""),"",$C1338*IFERROR(INDEX(Setup!$C$47:$C$56,MATCH($B1338,Setup!$A$47:$A$56,0)),IFERROR(INDEX(Setup!$C$60:$C$89,MATCH($B1338,Setup!$A$60:$A$89,0)),"")))</f>
        <v/>
      </c>
      <c r="E1338" s="42"/>
      <c r="F1338" s="42"/>
    </row>
    <row r="1339" customFormat="false" ht="15" hidden="false" customHeight="true" outlineLevel="0" collapsed="false">
      <c r="A1339" s="42"/>
      <c r="B1339" s="42"/>
      <c r="C1339" s="42"/>
      <c r="D1339" s="28" t="str">
        <f aca="false">IF(OR($B1339="",$C1339=""),"",$C1339*IFERROR(INDEX(Setup!$C$47:$C$56,MATCH($B1339,Setup!$A$47:$A$56,0)),IFERROR(INDEX(Setup!$C$60:$C$89,MATCH($B1339,Setup!$A$60:$A$89,0)),"")))</f>
        <v/>
      </c>
      <c r="E1339" s="42"/>
      <c r="F1339" s="42"/>
    </row>
    <row r="1340" customFormat="false" ht="15" hidden="false" customHeight="true" outlineLevel="0" collapsed="false">
      <c r="A1340" s="42"/>
      <c r="B1340" s="42"/>
      <c r="C1340" s="42"/>
      <c r="D1340" s="28" t="str">
        <f aca="false">IF(OR($B1340="",$C1340=""),"",$C1340*IFERROR(INDEX(Setup!$C$47:$C$56,MATCH($B1340,Setup!$A$47:$A$56,0)),IFERROR(INDEX(Setup!$C$60:$C$89,MATCH($B1340,Setup!$A$60:$A$89,0)),"")))</f>
        <v/>
      </c>
      <c r="E1340" s="42"/>
      <c r="F1340" s="42"/>
    </row>
    <row r="1341" customFormat="false" ht="15" hidden="false" customHeight="true" outlineLevel="0" collapsed="false">
      <c r="A1341" s="42"/>
      <c r="B1341" s="42"/>
      <c r="C1341" s="42"/>
      <c r="D1341" s="28" t="str">
        <f aca="false">IF(OR($B1341="",$C1341=""),"",$C1341*IFERROR(INDEX(Setup!$C$47:$C$56,MATCH($B1341,Setup!$A$47:$A$56,0)),IFERROR(INDEX(Setup!$C$60:$C$89,MATCH($B1341,Setup!$A$60:$A$89,0)),"")))</f>
        <v/>
      </c>
      <c r="E1341" s="42"/>
      <c r="F1341" s="42"/>
    </row>
    <row r="1342" customFormat="false" ht="15" hidden="false" customHeight="true" outlineLevel="0" collapsed="false">
      <c r="A1342" s="42"/>
      <c r="B1342" s="42"/>
      <c r="C1342" s="42"/>
      <c r="D1342" s="28" t="str">
        <f aca="false">IF(OR($B1342="",$C1342=""),"",$C1342*IFERROR(INDEX(Setup!$C$47:$C$56,MATCH($B1342,Setup!$A$47:$A$56,0)),IFERROR(INDEX(Setup!$C$60:$C$89,MATCH($B1342,Setup!$A$60:$A$89,0)),"")))</f>
        <v/>
      </c>
      <c r="E1342" s="42"/>
      <c r="F1342" s="42"/>
    </row>
    <row r="1343" customFormat="false" ht="15" hidden="false" customHeight="true" outlineLevel="0" collapsed="false">
      <c r="A1343" s="42"/>
      <c r="B1343" s="42"/>
      <c r="C1343" s="42"/>
      <c r="D1343" s="28" t="str">
        <f aca="false">IF(OR($B1343="",$C1343=""),"",$C1343*IFERROR(INDEX(Setup!$C$47:$C$56,MATCH($B1343,Setup!$A$47:$A$56,0)),IFERROR(INDEX(Setup!$C$60:$C$89,MATCH($B1343,Setup!$A$60:$A$89,0)),"")))</f>
        <v/>
      </c>
      <c r="E1343" s="42"/>
      <c r="F1343" s="42"/>
    </row>
    <row r="1344" customFormat="false" ht="15" hidden="false" customHeight="true" outlineLevel="0" collapsed="false">
      <c r="A1344" s="42"/>
      <c r="B1344" s="42"/>
      <c r="C1344" s="42"/>
      <c r="D1344" s="28" t="str">
        <f aca="false">IF(OR($B1344="",$C1344=""),"",$C1344*IFERROR(INDEX(Setup!$C$47:$C$56,MATCH($B1344,Setup!$A$47:$A$56,0)),IFERROR(INDEX(Setup!$C$60:$C$89,MATCH($B1344,Setup!$A$60:$A$89,0)),"")))</f>
        <v/>
      </c>
      <c r="E1344" s="42"/>
      <c r="F1344" s="42"/>
    </row>
    <row r="1345" customFormat="false" ht="15" hidden="false" customHeight="true" outlineLevel="0" collapsed="false">
      <c r="A1345" s="42"/>
      <c r="B1345" s="42"/>
      <c r="C1345" s="42"/>
      <c r="D1345" s="28" t="str">
        <f aca="false">IF(OR($B1345="",$C1345=""),"",$C1345*IFERROR(INDEX(Setup!$C$47:$C$56,MATCH($B1345,Setup!$A$47:$A$56,0)),IFERROR(INDEX(Setup!$C$60:$C$89,MATCH($B1345,Setup!$A$60:$A$89,0)),"")))</f>
        <v/>
      </c>
      <c r="E1345" s="42"/>
      <c r="F1345" s="42"/>
    </row>
    <row r="1346" customFormat="false" ht="15" hidden="false" customHeight="true" outlineLevel="0" collapsed="false">
      <c r="A1346" s="42"/>
      <c r="B1346" s="42"/>
      <c r="C1346" s="42"/>
      <c r="D1346" s="28" t="str">
        <f aca="false">IF(OR($B1346="",$C1346=""),"",$C1346*IFERROR(INDEX(Setup!$C$47:$C$56,MATCH($B1346,Setup!$A$47:$A$56,0)),IFERROR(INDEX(Setup!$C$60:$C$89,MATCH($B1346,Setup!$A$60:$A$89,0)),"")))</f>
        <v/>
      </c>
      <c r="E1346" s="42"/>
      <c r="F1346" s="42"/>
    </row>
    <row r="1347" customFormat="false" ht="15" hidden="false" customHeight="true" outlineLevel="0" collapsed="false">
      <c r="A1347" s="42"/>
      <c r="B1347" s="42"/>
      <c r="C1347" s="42"/>
      <c r="D1347" s="28" t="str">
        <f aca="false">IF(OR($B1347="",$C1347=""),"",$C1347*IFERROR(INDEX(Setup!$C$47:$C$56,MATCH($B1347,Setup!$A$47:$A$56,0)),IFERROR(INDEX(Setup!$C$60:$C$89,MATCH($B1347,Setup!$A$60:$A$89,0)),"")))</f>
        <v/>
      </c>
      <c r="E1347" s="42"/>
      <c r="F1347" s="42"/>
    </row>
    <row r="1348" customFormat="false" ht="15" hidden="false" customHeight="true" outlineLevel="0" collapsed="false">
      <c r="A1348" s="42"/>
      <c r="B1348" s="42"/>
      <c r="C1348" s="42"/>
      <c r="D1348" s="28" t="str">
        <f aca="false">IF(OR($B1348="",$C1348=""),"",$C1348*IFERROR(INDEX(Setup!$C$47:$C$56,MATCH($B1348,Setup!$A$47:$A$56,0)),IFERROR(INDEX(Setup!$C$60:$C$89,MATCH($B1348,Setup!$A$60:$A$89,0)),"")))</f>
        <v/>
      </c>
      <c r="E1348" s="42"/>
      <c r="F1348" s="42"/>
    </row>
    <row r="1349" customFormat="false" ht="15" hidden="false" customHeight="true" outlineLevel="0" collapsed="false">
      <c r="A1349" s="42"/>
      <c r="B1349" s="42"/>
      <c r="C1349" s="42"/>
      <c r="D1349" s="28" t="str">
        <f aca="false">IF(OR($B1349="",$C1349=""),"",$C1349*IFERROR(INDEX(Setup!$C$47:$C$56,MATCH($B1349,Setup!$A$47:$A$56,0)),IFERROR(INDEX(Setup!$C$60:$C$89,MATCH($B1349,Setup!$A$60:$A$89,0)),"")))</f>
        <v/>
      </c>
      <c r="E1349" s="42"/>
      <c r="F1349" s="42"/>
    </row>
    <row r="1350" customFormat="false" ht="15" hidden="false" customHeight="true" outlineLevel="0" collapsed="false">
      <c r="A1350" s="42"/>
      <c r="B1350" s="42"/>
      <c r="C1350" s="42"/>
      <c r="D1350" s="28" t="str">
        <f aca="false">IF(OR($B1350="",$C1350=""),"",$C1350*IFERROR(INDEX(Setup!$C$47:$C$56,MATCH($B1350,Setup!$A$47:$A$56,0)),IFERROR(INDEX(Setup!$C$60:$C$89,MATCH($B1350,Setup!$A$60:$A$89,0)),"")))</f>
        <v/>
      </c>
      <c r="E1350" s="42"/>
      <c r="F1350" s="42"/>
    </row>
    <row r="1351" customFormat="false" ht="15" hidden="false" customHeight="true" outlineLevel="0" collapsed="false">
      <c r="A1351" s="42"/>
      <c r="B1351" s="42"/>
      <c r="C1351" s="42"/>
      <c r="D1351" s="28" t="str">
        <f aca="false">IF(OR($B1351="",$C1351=""),"",$C1351*IFERROR(INDEX(Setup!$C$47:$C$56,MATCH($B1351,Setup!$A$47:$A$56,0)),IFERROR(INDEX(Setup!$C$60:$C$89,MATCH($B1351,Setup!$A$60:$A$89,0)),"")))</f>
        <v/>
      </c>
      <c r="E1351" s="42"/>
      <c r="F1351" s="42"/>
    </row>
    <row r="1352" customFormat="false" ht="15" hidden="false" customHeight="true" outlineLevel="0" collapsed="false">
      <c r="A1352" s="42"/>
      <c r="B1352" s="42"/>
      <c r="C1352" s="42"/>
      <c r="D1352" s="28" t="str">
        <f aca="false">IF(OR($B1352="",$C1352=""),"",$C1352*IFERROR(INDEX(Setup!$C$47:$C$56,MATCH($B1352,Setup!$A$47:$A$56,0)),IFERROR(INDEX(Setup!$C$60:$C$89,MATCH($B1352,Setup!$A$60:$A$89,0)),"")))</f>
        <v/>
      </c>
      <c r="E1352" s="42"/>
      <c r="F1352" s="42"/>
    </row>
    <row r="1353" customFormat="false" ht="15" hidden="false" customHeight="true" outlineLevel="0" collapsed="false">
      <c r="A1353" s="42"/>
      <c r="B1353" s="42"/>
      <c r="C1353" s="42"/>
      <c r="D1353" s="28" t="str">
        <f aca="false">IF(OR($B1353="",$C1353=""),"",$C1353*IFERROR(INDEX(Setup!$C$47:$C$56,MATCH($B1353,Setup!$A$47:$A$56,0)),IFERROR(INDEX(Setup!$C$60:$C$89,MATCH($B1353,Setup!$A$60:$A$89,0)),"")))</f>
        <v/>
      </c>
      <c r="E1353" s="42"/>
      <c r="F1353" s="42"/>
    </row>
    <row r="1354" customFormat="false" ht="15" hidden="false" customHeight="true" outlineLevel="0" collapsed="false">
      <c r="A1354" s="42"/>
      <c r="B1354" s="42"/>
      <c r="C1354" s="42"/>
      <c r="D1354" s="28" t="str">
        <f aca="false">IF(OR($B1354="",$C1354=""),"",$C1354*IFERROR(INDEX(Setup!$C$47:$C$56,MATCH($B1354,Setup!$A$47:$A$56,0)),IFERROR(INDEX(Setup!$C$60:$C$89,MATCH($B1354,Setup!$A$60:$A$89,0)),"")))</f>
        <v/>
      </c>
      <c r="E1354" s="42"/>
      <c r="F1354" s="42"/>
    </row>
    <row r="1355" customFormat="false" ht="15" hidden="false" customHeight="true" outlineLevel="0" collapsed="false">
      <c r="A1355" s="42"/>
      <c r="B1355" s="42"/>
      <c r="C1355" s="42"/>
      <c r="D1355" s="28" t="str">
        <f aca="false">IF(OR($B1355="",$C1355=""),"",$C1355*IFERROR(INDEX(Setup!$C$47:$C$56,MATCH($B1355,Setup!$A$47:$A$56,0)),IFERROR(INDEX(Setup!$C$60:$C$89,MATCH($B1355,Setup!$A$60:$A$89,0)),"")))</f>
        <v/>
      </c>
      <c r="E1355" s="42"/>
      <c r="F1355" s="42"/>
    </row>
    <row r="1356" customFormat="false" ht="15" hidden="false" customHeight="true" outlineLevel="0" collapsed="false">
      <c r="A1356" s="42"/>
      <c r="B1356" s="42"/>
      <c r="C1356" s="42"/>
      <c r="D1356" s="28" t="str">
        <f aca="false">IF(OR($B1356="",$C1356=""),"",$C1356*IFERROR(INDEX(Setup!$C$47:$C$56,MATCH($B1356,Setup!$A$47:$A$56,0)),IFERROR(INDEX(Setup!$C$60:$C$89,MATCH($B1356,Setup!$A$60:$A$89,0)),"")))</f>
        <v/>
      </c>
      <c r="E1356" s="42"/>
      <c r="F1356" s="42"/>
    </row>
    <row r="1357" customFormat="false" ht="15" hidden="false" customHeight="true" outlineLevel="0" collapsed="false">
      <c r="A1357" s="42"/>
      <c r="B1357" s="42"/>
      <c r="C1357" s="42"/>
      <c r="D1357" s="28" t="str">
        <f aca="false">IF(OR($B1357="",$C1357=""),"",$C1357*IFERROR(INDEX(Setup!$C$47:$C$56,MATCH($B1357,Setup!$A$47:$A$56,0)),IFERROR(INDEX(Setup!$C$60:$C$89,MATCH($B1357,Setup!$A$60:$A$89,0)),"")))</f>
        <v/>
      </c>
      <c r="E1357" s="42"/>
      <c r="F1357" s="42"/>
    </row>
    <row r="1358" customFormat="false" ht="15" hidden="false" customHeight="true" outlineLevel="0" collapsed="false">
      <c r="A1358" s="42"/>
      <c r="B1358" s="42"/>
      <c r="C1358" s="42"/>
      <c r="D1358" s="28" t="str">
        <f aca="false">IF(OR($B1358="",$C1358=""),"",$C1358*IFERROR(INDEX(Setup!$C$47:$C$56,MATCH($B1358,Setup!$A$47:$A$56,0)),IFERROR(INDEX(Setup!$C$60:$C$89,MATCH($B1358,Setup!$A$60:$A$89,0)),"")))</f>
        <v/>
      </c>
      <c r="E1358" s="42"/>
      <c r="F1358" s="42"/>
    </row>
    <row r="1359" customFormat="false" ht="15" hidden="false" customHeight="true" outlineLevel="0" collapsed="false">
      <c r="A1359" s="42"/>
      <c r="B1359" s="42"/>
      <c r="C1359" s="42"/>
      <c r="D1359" s="28" t="str">
        <f aca="false">IF(OR($B1359="",$C1359=""),"",$C1359*IFERROR(INDEX(Setup!$C$47:$C$56,MATCH($B1359,Setup!$A$47:$A$56,0)),IFERROR(INDEX(Setup!$C$60:$C$89,MATCH($B1359,Setup!$A$60:$A$89,0)),"")))</f>
        <v/>
      </c>
      <c r="E1359" s="42"/>
      <c r="F1359" s="42"/>
    </row>
    <row r="1360" customFormat="false" ht="15" hidden="false" customHeight="true" outlineLevel="0" collapsed="false">
      <c r="A1360" s="42"/>
      <c r="B1360" s="42"/>
      <c r="C1360" s="42"/>
      <c r="D1360" s="28" t="str">
        <f aca="false">IF(OR($B1360="",$C1360=""),"",$C1360*IFERROR(INDEX(Setup!$C$47:$C$56,MATCH($B1360,Setup!$A$47:$A$56,0)),IFERROR(INDEX(Setup!$C$60:$C$89,MATCH($B1360,Setup!$A$60:$A$89,0)),"")))</f>
        <v/>
      </c>
      <c r="E1360" s="42"/>
      <c r="F1360" s="42"/>
    </row>
    <row r="1361" customFormat="false" ht="15" hidden="false" customHeight="true" outlineLevel="0" collapsed="false">
      <c r="A1361" s="42"/>
      <c r="B1361" s="42"/>
      <c r="C1361" s="42"/>
      <c r="D1361" s="28" t="str">
        <f aca="false">IF(OR($B1361="",$C1361=""),"",$C1361*IFERROR(INDEX(Setup!$C$47:$C$56,MATCH($B1361,Setup!$A$47:$A$56,0)),IFERROR(INDEX(Setup!$C$60:$C$89,MATCH($B1361,Setup!$A$60:$A$89,0)),"")))</f>
        <v/>
      </c>
      <c r="E1361" s="42"/>
      <c r="F1361" s="42"/>
    </row>
    <row r="1362" customFormat="false" ht="15" hidden="false" customHeight="true" outlineLevel="0" collapsed="false">
      <c r="A1362" s="42"/>
      <c r="B1362" s="42"/>
      <c r="C1362" s="42"/>
      <c r="D1362" s="28" t="str">
        <f aca="false">IF(OR($B1362="",$C1362=""),"",$C1362*IFERROR(INDEX(Setup!$C$47:$C$56,MATCH($B1362,Setup!$A$47:$A$56,0)),IFERROR(INDEX(Setup!$C$60:$C$89,MATCH($B1362,Setup!$A$60:$A$89,0)),"")))</f>
        <v/>
      </c>
      <c r="E1362" s="42"/>
      <c r="F1362" s="42"/>
    </row>
    <row r="1363" customFormat="false" ht="15" hidden="false" customHeight="true" outlineLevel="0" collapsed="false">
      <c r="A1363" s="42"/>
      <c r="B1363" s="42"/>
      <c r="C1363" s="42"/>
      <c r="D1363" s="28" t="str">
        <f aca="false">IF(OR($B1363="",$C1363=""),"",$C1363*IFERROR(INDEX(Setup!$C$47:$C$56,MATCH($B1363,Setup!$A$47:$A$56,0)),IFERROR(INDEX(Setup!$C$60:$C$89,MATCH($B1363,Setup!$A$60:$A$89,0)),"")))</f>
        <v/>
      </c>
      <c r="E1363" s="42"/>
      <c r="F1363" s="42"/>
    </row>
    <row r="1364" customFormat="false" ht="15" hidden="false" customHeight="true" outlineLevel="0" collapsed="false">
      <c r="A1364" s="42"/>
      <c r="B1364" s="42"/>
      <c r="C1364" s="42"/>
      <c r="D1364" s="28" t="str">
        <f aca="false">IF(OR($B1364="",$C1364=""),"",$C1364*IFERROR(INDEX(Setup!$C$47:$C$56,MATCH($B1364,Setup!$A$47:$A$56,0)),IFERROR(INDEX(Setup!$C$60:$C$89,MATCH($B1364,Setup!$A$60:$A$89,0)),"")))</f>
        <v/>
      </c>
      <c r="E1364" s="42"/>
      <c r="F1364" s="42"/>
    </row>
    <row r="1365" customFormat="false" ht="15" hidden="false" customHeight="true" outlineLevel="0" collapsed="false">
      <c r="A1365" s="42"/>
      <c r="B1365" s="42"/>
      <c r="C1365" s="42"/>
      <c r="D1365" s="28" t="str">
        <f aca="false">IF(OR($B1365="",$C1365=""),"",$C1365*IFERROR(INDEX(Setup!$C$47:$C$56,MATCH($B1365,Setup!$A$47:$A$56,0)),IFERROR(INDEX(Setup!$C$60:$C$89,MATCH($B1365,Setup!$A$60:$A$89,0)),"")))</f>
        <v/>
      </c>
      <c r="E1365" s="42"/>
      <c r="F1365" s="42"/>
    </row>
    <row r="1366" customFormat="false" ht="15" hidden="false" customHeight="true" outlineLevel="0" collapsed="false">
      <c r="A1366" s="42"/>
      <c r="B1366" s="42"/>
      <c r="C1366" s="42"/>
      <c r="D1366" s="28" t="str">
        <f aca="false">IF(OR($B1366="",$C1366=""),"",$C1366*IFERROR(INDEX(Setup!$C$47:$C$56,MATCH($B1366,Setup!$A$47:$A$56,0)),IFERROR(INDEX(Setup!$C$60:$C$89,MATCH($B1366,Setup!$A$60:$A$89,0)),"")))</f>
        <v/>
      </c>
      <c r="E1366" s="42"/>
      <c r="F1366" s="42"/>
    </row>
    <row r="1367" customFormat="false" ht="15" hidden="false" customHeight="true" outlineLevel="0" collapsed="false">
      <c r="A1367" s="42"/>
      <c r="B1367" s="42"/>
      <c r="C1367" s="42"/>
      <c r="D1367" s="28" t="str">
        <f aca="false">IF(OR($B1367="",$C1367=""),"",$C1367*IFERROR(INDEX(Setup!$C$47:$C$56,MATCH($B1367,Setup!$A$47:$A$56,0)),IFERROR(INDEX(Setup!$C$60:$C$89,MATCH($B1367,Setup!$A$60:$A$89,0)),"")))</f>
        <v/>
      </c>
      <c r="E1367" s="42"/>
      <c r="F1367" s="42"/>
    </row>
    <row r="1368" customFormat="false" ht="15" hidden="false" customHeight="true" outlineLevel="0" collapsed="false">
      <c r="A1368" s="42"/>
      <c r="B1368" s="42"/>
      <c r="C1368" s="42"/>
      <c r="D1368" s="28" t="str">
        <f aca="false">IF(OR($B1368="",$C1368=""),"",$C1368*IFERROR(INDEX(Setup!$C$47:$C$56,MATCH($B1368,Setup!$A$47:$A$56,0)),IFERROR(INDEX(Setup!$C$60:$C$89,MATCH($B1368,Setup!$A$60:$A$89,0)),"")))</f>
        <v/>
      </c>
      <c r="E1368" s="42"/>
      <c r="F1368" s="42"/>
    </row>
    <row r="1369" customFormat="false" ht="15" hidden="false" customHeight="true" outlineLevel="0" collapsed="false">
      <c r="A1369" s="42"/>
      <c r="B1369" s="42"/>
      <c r="C1369" s="42"/>
      <c r="D1369" s="28" t="str">
        <f aca="false">IF(OR($B1369="",$C1369=""),"",$C1369*IFERROR(INDEX(Setup!$C$47:$C$56,MATCH($B1369,Setup!$A$47:$A$56,0)),IFERROR(INDEX(Setup!$C$60:$C$89,MATCH($B1369,Setup!$A$60:$A$89,0)),"")))</f>
        <v/>
      </c>
      <c r="E1369" s="42"/>
      <c r="F1369" s="42"/>
    </row>
    <row r="1370" customFormat="false" ht="15" hidden="false" customHeight="true" outlineLevel="0" collapsed="false">
      <c r="A1370" s="42"/>
      <c r="B1370" s="42"/>
      <c r="C1370" s="42"/>
      <c r="D1370" s="28" t="str">
        <f aca="false">IF(OR($B1370="",$C1370=""),"",$C1370*IFERROR(INDEX(Setup!$C$47:$C$56,MATCH($B1370,Setup!$A$47:$A$56,0)),IFERROR(INDEX(Setup!$C$60:$C$89,MATCH($B1370,Setup!$A$60:$A$89,0)),"")))</f>
        <v/>
      </c>
      <c r="E1370" s="42"/>
      <c r="F1370" s="42"/>
    </row>
    <row r="1371" customFormat="false" ht="15" hidden="false" customHeight="true" outlineLevel="0" collapsed="false">
      <c r="A1371" s="42"/>
      <c r="B1371" s="42"/>
      <c r="C1371" s="42"/>
      <c r="D1371" s="28" t="str">
        <f aca="false">IF(OR($B1371="",$C1371=""),"",$C1371*IFERROR(INDEX(Setup!$C$47:$C$56,MATCH($B1371,Setup!$A$47:$A$56,0)),IFERROR(INDEX(Setup!$C$60:$C$89,MATCH($B1371,Setup!$A$60:$A$89,0)),"")))</f>
        <v/>
      </c>
      <c r="E1371" s="42"/>
      <c r="F1371" s="42"/>
    </row>
    <row r="1372" customFormat="false" ht="15" hidden="false" customHeight="true" outlineLevel="0" collapsed="false">
      <c r="A1372" s="42"/>
      <c r="B1372" s="42"/>
      <c r="C1372" s="42"/>
      <c r="D1372" s="28" t="str">
        <f aca="false">IF(OR($B1372="",$C1372=""),"",$C1372*IFERROR(INDEX(Setup!$C$47:$C$56,MATCH($B1372,Setup!$A$47:$A$56,0)),IFERROR(INDEX(Setup!$C$60:$C$89,MATCH($B1372,Setup!$A$60:$A$89,0)),"")))</f>
        <v/>
      </c>
      <c r="E1372" s="42"/>
      <c r="F1372" s="42"/>
    </row>
    <row r="1373" customFormat="false" ht="15" hidden="false" customHeight="true" outlineLevel="0" collapsed="false">
      <c r="A1373" s="42"/>
      <c r="B1373" s="42"/>
      <c r="C1373" s="42"/>
      <c r="D1373" s="28" t="str">
        <f aca="false">IF(OR($B1373="",$C1373=""),"",$C1373*IFERROR(INDEX(Setup!$C$47:$C$56,MATCH($B1373,Setup!$A$47:$A$56,0)),IFERROR(INDEX(Setup!$C$60:$C$89,MATCH($B1373,Setup!$A$60:$A$89,0)),"")))</f>
        <v/>
      </c>
      <c r="E1373" s="42"/>
      <c r="F1373" s="42"/>
    </row>
    <row r="1374" customFormat="false" ht="15" hidden="false" customHeight="true" outlineLevel="0" collapsed="false">
      <c r="A1374" s="42"/>
      <c r="B1374" s="42"/>
      <c r="C1374" s="42"/>
      <c r="D1374" s="28" t="str">
        <f aca="false">IF(OR($B1374="",$C1374=""),"",$C1374*IFERROR(INDEX(Setup!$C$47:$C$56,MATCH($B1374,Setup!$A$47:$A$56,0)),IFERROR(INDEX(Setup!$C$60:$C$89,MATCH($B1374,Setup!$A$60:$A$89,0)),"")))</f>
        <v/>
      </c>
      <c r="E1374" s="42"/>
      <c r="F1374" s="42"/>
    </row>
    <row r="1375" customFormat="false" ht="15" hidden="false" customHeight="true" outlineLevel="0" collapsed="false">
      <c r="A1375" s="42"/>
      <c r="B1375" s="42"/>
      <c r="C1375" s="42"/>
      <c r="D1375" s="28" t="str">
        <f aca="false">IF(OR($B1375="",$C1375=""),"",$C1375*IFERROR(INDEX(Setup!$C$47:$C$56,MATCH($B1375,Setup!$A$47:$A$56,0)),IFERROR(INDEX(Setup!$C$60:$C$89,MATCH($B1375,Setup!$A$60:$A$89,0)),"")))</f>
        <v/>
      </c>
      <c r="E1375" s="42"/>
      <c r="F1375" s="42"/>
    </row>
    <row r="1376" customFormat="false" ht="15" hidden="false" customHeight="true" outlineLevel="0" collapsed="false">
      <c r="A1376" s="42"/>
      <c r="B1376" s="42"/>
      <c r="C1376" s="42"/>
      <c r="D1376" s="28" t="str">
        <f aca="false">IF(OR($B1376="",$C1376=""),"",$C1376*IFERROR(INDEX(Setup!$C$47:$C$56,MATCH($B1376,Setup!$A$47:$A$56,0)),IFERROR(INDEX(Setup!$C$60:$C$89,MATCH($B1376,Setup!$A$60:$A$89,0)),"")))</f>
        <v/>
      </c>
      <c r="E1376" s="42"/>
      <c r="F1376" s="42"/>
    </row>
    <row r="1377" customFormat="false" ht="15" hidden="false" customHeight="true" outlineLevel="0" collapsed="false">
      <c r="A1377" s="42"/>
      <c r="B1377" s="42"/>
      <c r="C1377" s="42"/>
      <c r="D1377" s="28" t="str">
        <f aca="false">IF(OR($B1377="",$C1377=""),"",$C1377*IFERROR(INDEX(Setup!$C$47:$C$56,MATCH($B1377,Setup!$A$47:$A$56,0)),IFERROR(INDEX(Setup!$C$60:$C$89,MATCH($B1377,Setup!$A$60:$A$89,0)),"")))</f>
        <v/>
      </c>
      <c r="E1377" s="42"/>
      <c r="F1377" s="42"/>
    </row>
    <row r="1378" customFormat="false" ht="15" hidden="false" customHeight="true" outlineLevel="0" collapsed="false">
      <c r="A1378" s="42"/>
      <c r="B1378" s="42"/>
      <c r="C1378" s="42"/>
      <c r="D1378" s="28" t="str">
        <f aca="false">IF(OR($B1378="",$C1378=""),"",$C1378*IFERROR(INDEX(Setup!$C$47:$C$56,MATCH($B1378,Setup!$A$47:$A$56,0)),IFERROR(INDEX(Setup!$C$60:$C$89,MATCH($B1378,Setup!$A$60:$A$89,0)),"")))</f>
        <v/>
      </c>
      <c r="E1378" s="42"/>
      <c r="F1378" s="42"/>
    </row>
    <row r="1379" customFormat="false" ht="15" hidden="false" customHeight="true" outlineLevel="0" collapsed="false">
      <c r="A1379" s="42"/>
      <c r="B1379" s="42"/>
      <c r="C1379" s="42"/>
      <c r="D1379" s="28" t="str">
        <f aca="false">IF(OR($B1379="",$C1379=""),"",$C1379*IFERROR(INDEX(Setup!$C$47:$C$56,MATCH($B1379,Setup!$A$47:$A$56,0)),IFERROR(INDEX(Setup!$C$60:$C$89,MATCH($B1379,Setup!$A$60:$A$89,0)),"")))</f>
        <v/>
      </c>
      <c r="E1379" s="42"/>
      <c r="F1379" s="42"/>
    </row>
    <row r="1380" customFormat="false" ht="15" hidden="false" customHeight="true" outlineLevel="0" collapsed="false">
      <c r="A1380" s="42"/>
      <c r="B1380" s="42"/>
      <c r="C1380" s="42"/>
      <c r="D1380" s="28" t="str">
        <f aca="false">IF(OR($B1380="",$C1380=""),"",$C1380*IFERROR(INDEX(Setup!$C$47:$C$56,MATCH($B1380,Setup!$A$47:$A$56,0)),IFERROR(INDEX(Setup!$C$60:$C$89,MATCH($B1380,Setup!$A$60:$A$89,0)),"")))</f>
        <v/>
      </c>
      <c r="E1380" s="42"/>
      <c r="F1380" s="42"/>
    </row>
    <row r="1381" customFormat="false" ht="15" hidden="false" customHeight="true" outlineLevel="0" collapsed="false">
      <c r="A1381" s="42"/>
      <c r="B1381" s="42"/>
      <c r="C1381" s="42"/>
      <c r="D1381" s="28" t="str">
        <f aca="false">IF(OR($B1381="",$C1381=""),"",$C1381*IFERROR(INDEX(Setup!$C$47:$C$56,MATCH($B1381,Setup!$A$47:$A$56,0)),IFERROR(INDEX(Setup!$C$60:$C$89,MATCH($B1381,Setup!$A$60:$A$89,0)),"")))</f>
        <v/>
      </c>
      <c r="E1381" s="42"/>
      <c r="F1381" s="42"/>
    </row>
    <row r="1382" customFormat="false" ht="15" hidden="false" customHeight="true" outlineLevel="0" collapsed="false">
      <c r="A1382" s="42"/>
      <c r="B1382" s="42"/>
      <c r="C1382" s="42"/>
      <c r="D1382" s="28" t="str">
        <f aca="false">IF(OR($B1382="",$C1382=""),"",$C1382*IFERROR(INDEX(Setup!$C$47:$C$56,MATCH($B1382,Setup!$A$47:$A$56,0)),IFERROR(INDEX(Setup!$C$60:$C$89,MATCH($B1382,Setup!$A$60:$A$89,0)),"")))</f>
        <v/>
      </c>
      <c r="E1382" s="42"/>
      <c r="F1382" s="42"/>
    </row>
    <row r="1383" customFormat="false" ht="15" hidden="false" customHeight="true" outlineLevel="0" collapsed="false">
      <c r="A1383" s="42"/>
      <c r="B1383" s="42"/>
      <c r="C1383" s="42"/>
      <c r="D1383" s="28" t="str">
        <f aca="false">IF(OR($B1383="",$C1383=""),"",$C1383*IFERROR(INDEX(Setup!$C$47:$C$56,MATCH($B1383,Setup!$A$47:$A$56,0)),IFERROR(INDEX(Setup!$C$60:$C$89,MATCH($B1383,Setup!$A$60:$A$89,0)),"")))</f>
        <v/>
      </c>
      <c r="E1383" s="42"/>
      <c r="F1383" s="42"/>
    </row>
    <row r="1384" customFormat="false" ht="15" hidden="false" customHeight="true" outlineLevel="0" collapsed="false">
      <c r="A1384" s="42"/>
      <c r="B1384" s="42"/>
      <c r="C1384" s="42"/>
      <c r="D1384" s="28" t="str">
        <f aca="false">IF(OR($B1384="",$C1384=""),"",$C1384*IFERROR(INDEX(Setup!$C$47:$C$56,MATCH($B1384,Setup!$A$47:$A$56,0)),IFERROR(INDEX(Setup!$C$60:$C$89,MATCH($B1384,Setup!$A$60:$A$89,0)),"")))</f>
        <v/>
      </c>
      <c r="E1384" s="42"/>
      <c r="F1384" s="42"/>
    </row>
    <row r="1385" customFormat="false" ht="15" hidden="false" customHeight="true" outlineLevel="0" collapsed="false">
      <c r="A1385" s="42"/>
      <c r="B1385" s="42"/>
      <c r="C1385" s="42"/>
      <c r="D1385" s="28" t="str">
        <f aca="false">IF(OR($B1385="",$C1385=""),"",$C1385*IFERROR(INDEX(Setup!$C$47:$C$56,MATCH($B1385,Setup!$A$47:$A$56,0)),IFERROR(INDEX(Setup!$C$60:$C$89,MATCH($B1385,Setup!$A$60:$A$89,0)),"")))</f>
        <v/>
      </c>
      <c r="E1385" s="42"/>
      <c r="F1385" s="42"/>
    </row>
    <row r="1386" customFormat="false" ht="15" hidden="false" customHeight="true" outlineLevel="0" collapsed="false">
      <c r="A1386" s="42"/>
      <c r="B1386" s="42"/>
      <c r="C1386" s="42"/>
      <c r="D1386" s="28" t="str">
        <f aca="false">IF(OR($B1386="",$C1386=""),"",$C1386*IFERROR(INDEX(Setup!$C$47:$C$56,MATCH($B1386,Setup!$A$47:$A$56,0)),IFERROR(INDEX(Setup!$C$60:$C$89,MATCH($B1386,Setup!$A$60:$A$89,0)),"")))</f>
        <v/>
      </c>
      <c r="E1386" s="42"/>
      <c r="F1386" s="42"/>
    </row>
    <row r="1387" customFormat="false" ht="15" hidden="false" customHeight="true" outlineLevel="0" collapsed="false">
      <c r="A1387" s="42"/>
      <c r="B1387" s="42"/>
      <c r="C1387" s="42"/>
      <c r="D1387" s="28" t="str">
        <f aca="false">IF(OR($B1387="",$C1387=""),"",$C1387*IFERROR(INDEX(Setup!$C$47:$C$56,MATCH($B1387,Setup!$A$47:$A$56,0)),IFERROR(INDEX(Setup!$C$60:$C$89,MATCH($B1387,Setup!$A$60:$A$89,0)),"")))</f>
        <v/>
      </c>
      <c r="E1387" s="42"/>
      <c r="F1387" s="42"/>
    </row>
    <row r="1388" customFormat="false" ht="15" hidden="false" customHeight="true" outlineLevel="0" collapsed="false">
      <c r="A1388" s="42"/>
      <c r="B1388" s="42"/>
      <c r="C1388" s="42"/>
      <c r="D1388" s="28" t="str">
        <f aca="false">IF(OR($B1388="",$C1388=""),"",$C1388*IFERROR(INDEX(Setup!$C$47:$C$56,MATCH($B1388,Setup!$A$47:$A$56,0)),IFERROR(INDEX(Setup!$C$60:$C$89,MATCH($B1388,Setup!$A$60:$A$89,0)),"")))</f>
        <v/>
      </c>
      <c r="E1388" s="42"/>
      <c r="F1388" s="42"/>
    </row>
    <row r="1389" customFormat="false" ht="15" hidden="false" customHeight="true" outlineLevel="0" collapsed="false">
      <c r="A1389" s="42"/>
      <c r="B1389" s="42"/>
      <c r="C1389" s="42"/>
      <c r="D1389" s="28" t="str">
        <f aca="false">IF(OR($B1389="",$C1389=""),"",$C1389*IFERROR(INDEX(Setup!$C$47:$C$56,MATCH($B1389,Setup!$A$47:$A$56,0)),IFERROR(INDEX(Setup!$C$60:$C$89,MATCH($B1389,Setup!$A$60:$A$89,0)),"")))</f>
        <v/>
      </c>
      <c r="E1389" s="42"/>
      <c r="F1389" s="42"/>
    </row>
    <row r="1390" customFormat="false" ht="15" hidden="false" customHeight="true" outlineLevel="0" collapsed="false">
      <c r="A1390" s="42"/>
      <c r="B1390" s="42"/>
      <c r="C1390" s="42"/>
      <c r="D1390" s="28" t="str">
        <f aca="false">IF(OR($B1390="",$C1390=""),"",$C1390*IFERROR(INDEX(Setup!$C$47:$C$56,MATCH($B1390,Setup!$A$47:$A$56,0)),IFERROR(INDEX(Setup!$C$60:$C$89,MATCH($B1390,Setup!$A$60:$A$89,0)),"")))</f>
        <v/>
      </c>
      <c r="E1390" s="42"/>
      <c r="F1390" s="42"/>
    </row>
    <row r="1391" customFormat="false" ht="15" hidden="false" customHeight="true" outlineLevel="0" collapsed="false">
      <c r="A1391" s="42"/>
      <c r="B1391" s="42"/>
      <c r="C1391" s="42"/>
      <c r="D1391" s="28" t="str">
        <f aca="false">IF(OR($B1391="",$C1391=""),"",$C1391*IFERROR(INDEX(Setup!$C$47:$C$56,MATCH($B1391,Setup!$A$47:$A$56,0)),IFERROR(INDEX(Setup!$C$60:$C$89,MATCH($B1391,Setup!$A$60:$A$89,0)),"")))</f>
        <v/>
      </c>
      <c r="E1391" s="42"/>
      <c r="F1391" s="42"/>
    </row>
    <row r="1392" customFormat="false" ht="15" hidden="false" customHeight="true" outlineLevel="0" collapsed="false">
      <c r="A1392" s="42"/>
      <c r="B1392" s="42"/>
      <c r="C1392" s="42"/>
      <c r="D1392" s="28" t="str">
        <f aca="false">IF(OR($B1392="",$C1392=""),"",$C1392*IFERROR(INDEX(Setup!$C$47:$C$56,MATCH($B1392,Setup!$A$47:$A$56,0)),IFERROR(INDEX(Setup!$C$60:$C$89,MATCH($B1392,Setup!$A$60:$A$89,0)),"")))</f>
        <v/>
      </c>
      <c r="E1392" s="42"/>
      <c r="F1392" s="42"/>
    </row>
    <row r="1393" customFormat="false" ht="15" hidden="false" customHeight="true" outlineLevel="0" collapsed="false">
      <c r="A1393" s="42"/>
      <c r="B1393" s="42"/>
      <c r="C1393" s="42"/>
      <c r="D1393" s="28" t="str">
        <f aca="false">IF(OR($B1393="",$C1393=""),"",$C1393*IFERROR(INDEX(Setup!$C$47:$C$56,MATCH($B1393,Setup!$A$47:$A$56,0)),IFERROR(INDEX(Setup!$C$60:$C$89,MATCH($B1393,Setup!$A$60:$A$89,0)),"")))</f>
        <v/>
      </c>
      <c r="E1393" s="42"/>
      <c r="F1393" s="42"/>
    </row>
    <row r="1394" customFormat="false" ht="15" hidden="false" customHeight="true" outlineLevel="0" collapsed="false">
      <c r="A1394" s="42"/>
      <c r="B1394" s="42"/>
      <c r="C1394" s="42"/>
      <c r="D1394" s="28" t="str">
        <f aca="false">IF(OR($B1394="",$C1394=""),"",$C1394*IFERROR(INDEX(Setup!$C$47:$C$56,MATCH($B1394,Setup!$A$47:$A$56,0)),IFERROR(INDEX(Setup!$C$60:$C$89,MATCH($B1394,Setup!$A$60:$A$89,0)),"")))</f>
        <v/>
      </c>
      <c r="E1394" s="42"/>
      <c r="F1394" s="42"/>
    </row>
    <row r="1395" customFormat="false" ht="15" hidden="false" customHeight="true" outlineLevel="0" collapsed="false">
      <c r="A1395" s="42"/>
      <c r="B1395" s="42"/>
      <c r="C1395" s="42"/>
      <c r="D1395" s="28" t="str">
        <f aca="false">IF(OR($B1395="",$C1395=""),"",$C1395*IFERROR(INDEX(Setup!$C$47:$C$56,MATCH($B1395,Setup!$A$47:$A$56,0)),IFERROR(INDEX(Setup!$C$60:$C$89,MATCH($B1395,Setup!$A$60:$A$89,0)),"")))</f>
        <v/>
      </c>
      <c r="E1395" s="42"/>
      <c r="F1395" s="42"/>
    </row>
    <row r="1396" customFormat="false" ht="15" hidden="false" customHeight="true" outlineLevel="0" collapsed="false">
      <c r="A1396" s="42"/>
      <c r="B1396" s="42"/>
      <c r="C1396" s="42"/>
      <c r="D1396" s="28" t="str">
        <f aca="false">IF(OR($B1396="",$C1396=""),"",$C1396*IFERROR(INDEX(Setup!$C$47:$C$56,MATCH($B1396,Setup!$A$47:$A$56,0)),IFERROR(INDEX(Setup!$C$60:$C$89,MATCH($B1396,Setup!$A$60:$A$89,0)),"")))</f>
        <v/>
      </c>
      <c r="E1396" s="42"/>
      <c r="F1396" s="42"/>
    </row>
    <row r="1397" customFormat="false" ht="15" hidden="false" customHeight="true" outlineLevel="0" collapsed="false">
      <c r="A1397" s="42"/>
      <c r="B1397" s="42"/>
      <c r="C1397" s="42"/>
      <c r="D1397" s="28" t="str">
        <f aca="false">IF(OR($B1397="",$C1397=""),"",$C1397*IFERROR(INDEX(Setup!$C$47:$C$56,MATCH($B1397,Setup!$A$47:$A$56,0)),IFERROR(INDEX(Setup!$C$60:$C$89,MATCH($B1397,Setup!$A$60:$A$89,0)),"")))</f>
        <v/>
      </c>
      <c r="E1397" s="42"/>
      <c r="F1397" s="42"/>
    </row>
    <row r="1398" customFormat="false" ht="15" hidden="false" customHeight="true" outlineLevel="0" collapsed="false">
      <c r="A1398" s="42"/>
      <c r="B1398" s="42"/>
      <c r="C1398" s="42"/>
      <c r="D1398" s="28" t="str">
        <f aca="false">IF(OR($B1398="",$C1398=""),"",$C1398*IFERROR(INDEX(Setup!$C$47:$C$56,MATCH($B1398,Setup!$A$47:$A$56,0)),IFERROR(INDEX(Setup!$C$60:$C$89,MATCH($B1398,Setup!$A$60:$A$89,0)),"")))</f>
        <v/>
      </c>
      <c r="E1398" s="42"/>
      <c r="F1398" s="42"/>
    </row>
    <row r="1399" customFormat="false" ht="15" hidden="false" customHeight="true" outlineLevel="0" collapsed="false">
      <c r="A1399" s="42"/>
      <c r="B1399" s="42"/>
      <c r="C1399" s="42"/>
      <c r="D1399" s="28" t="str">
        <f aca="false">IF(OR($B1399="",$C1399=""),"",$C1399*IFERROR(INDEX(Setup!$C$47:$C$56,MATCH($B1399,Setup!$A$47:$A$56,0)),IFERROR(INDEX(Setup!$C$60:$C$89,MATCH($B1399,Setup!$A$60:$A$89,0)),"")))</f>
        <v/>
      </c>
      <c r="E1399" s="42"/>
      <c r="F1399" s="42"/>
    </row>
    <row r="1400" customFormat="false" ht="15" hidden="false" customHeight="true" outlineLevel="0" collapsed="false">
      <c r="A1400" s="42"/>
      <c r="B1400" s="42"/>
      <c r="C1400" s="42"/>
      <c r="D1400" s="28" t="str">
        <f aca="false">IF(OR($B1400="",$C1400=""),"",$C1400*IFERROR(INDEX(Setup!$C$47:$C$56,MATCH($B1400,Setup!$A$47:$A$56,0)),IFERROR(INDEX(Setup!$C$60:$C$89,MATCH($B1400,Setup!$A$60:$A$89,0)),"")))</f>
        <v/>
      </c>
      <c r="E1400" s="42"/>
      <c r="F1400" s="42"/>
    </row>
    <row r="1401" customFormat="false" ht="15" hidden="false" customHeight="true" outlineLevel="0" collapsed="false">
      <c r="A1401" s="42"/>
      <c r="B1401" s="42"/>
      <c r="C1401" s="42"/>
      <c r="D1401" s="28" t="str">
        <f aca="false">IF(OR($B1401="",$C1401=""),"",$C1401*IFERROR(INDEX(Setup!$C$47:$C$56,MATCH($B1401,Setup!$A$47:$A$56,0)),IFERROR(INDEX(Setup!$C$60:$C$89,MATCH($B1401,Setup!$A$60:$A$89,0)),"")))</f>
        <v/>
      </c>
      <c r="E1401" s="42"/>
      <c r="F1401" s="42"/>
    </row>
    <row r="1402" customFormat="false" ht="15" hidden="false" customHeight="true" outlineLevel="0" collapsed="false">
      <c r="A1402" s="42"/>
      <c r="B1402" s="42"/>
      <c r="C1402" s="42"/>
      <c r="D1402" s="28" t="str">
        <f aca="false">IF(OR($B1402="",$C1402=""),"",$C1402*IFERROR(INDEX(Setup!$C$47:$C$56,MATCH($B1402,Setup!$A$47:$A$56,0)),IFERROR(INDEX(Setup!$C$60:$C$89,MATCH($B1402,Setup!$A$60:$A$89,0)),"")))</f>
        <v/>
      </c>
      <c r="E1402" s="42"/>
      <c r="F1402" s="42"/>
    </row>
    <row r="1403" customFormat="false" ht="15" hidden="false" customHeight="true" outlineLevel="0" collapsed="false">
      <c r="A1403" s="42"/>
      <c r="B1403" s="42"/>
      <c r="C1403" s="42"/>
      <c r="D1403" s="28" t="str">
        <f aca="false">IF(OR($B1403="",$C1403=""),"",$C1403*IFERROR(INDEX(Setup!$C$47:$C$56,MATCH($B1403,Setup!$A$47:$A$56,0)),IFERROR(INDEX(Setup!$C$60:$C$89,MATCH($B1403,Setup!$A$60:$A$89,0)),"")))</f>
        <v/>
      </c>
      <c r="E1403" s="42"/>
      <c r="F1403" s="42"/>
    </row>
    <row r="1404" customFormat="false" ht="15" hidden="false" customHeight="true" outlineLevel="0" collapsed="false">
      <c r="A1404" s="42"/>
      <c r="B1404" s="42"/>
      <c r="C1404" s="42"/>
      <c r="D1404" s="28" t="str">
        <f aca="false">IF(OR($B1404="",$C1404=""),"",$C1404*IFERROR(INDEX(Setup!$C$47:$C$56,MATCH($B1404,Setup!$A$47:$A$56,0)),IFERROR(INDEX(Setup!$C$60:$C$89,MATCH($B1404,Setup!$A$60:$A$89,0)),"")))</f>
        <v/>
      </c>
      <c r="E1404" s="42"/>
      <c r="F1404" s="42"/>
    </row>
    <row r="1405" customFormat="false" ht="15" hidden="false" customHeight="true" outlineLevel="0" collapsed="false">
      <c r="A1405" s="42"/>
      <c r="B1405" s="42"/>
      <c r="C1405" s="42"/>
      <c r="D1405" s="28" t="str">
        <f aca="false">IF(OR($B1405="",$C1405=""),"",$C1405*IFERROR(INDEX(Setup!$C$47:$C$56,MATCH($B1405,Setup!$A$47:$A$56,0)),IFERROR(INDEX(Setup!$C$60:$C$89,MATCH($B1405,Setup!$A$60:$A$89,0)),"")))</f>
        <v/>
      </c>
      <c r="E1405" s="42"/>
      <c r="F1405" s="42"/>
    </row>
    <row r="1406" customFormat="false" ht="15" hidden="false" customHeight="true" outlineLevel="0" collapsed="false">
      <c r="A1406" s="42"/>
      <c r="B1406" s="42"/>
      <c r="C1406" s="42"/>
      <c r="D1406" s="28" t="str">
        <f aca="false">IF(OR($B1406="",$C1406=""),"",$C1406*IFERROR(INDEX(Setup!$C$47:$C$56,MATCH($B1406,Setup!$A$47:$A$56,0)),IFERROR(INDEX(Setup!$C$60:$C$89,MATCH($B1406,Setup!$A$60:$A$89,0)),"")))</f>
        <v/>
      </c>
      <c r="E1406" s="42"/>
      <c r="F1406" s="42"/>
    </row>
    <row r="1407" customFormat="false" ht="15" hidden="false" customHeight="true" outlineLevel="0" collapsed="false">
      <c r="A1407" s="42"/>
      <c r="B1407" s="42"/>
      <c r="C1407" s="42"/>
      <c r="D1407" s="28" t="str">
        <f aca="false">IF(OR($B1407="",$C1407=""),"",$C1407*IFERROR(INDEX(Setup!$C$47:$C$56,MATCH($B1407,Setup!$A$47:$A$56,0)),IFERROR(INDEX(Setup!$C$60:$C$89,MATCH($B1407,Setup!$A$60:$A$89,0)),"")))</f>
        <v/>
      </c>
      <c r="E1407" s="42"/>
      <c r="F1407" s="42"/>
    </row>
    <row r="1408" customFormat="false" ht="15" hidden="false" customHeight="true" outlineLevel="0" collapsed="false">
      <c r="A1408" s="42"/>
      <c r="B1408" s="42"/>
      <c r="C1408" s="42"/>
      <c r="D1408" s="28" t="str">
        <f aca="false">IF(OR($B1408="",$C1408=""),"",$C1408*IFERROR(INDEX(Setup!$C$47:$C$56,MATCH($B1408,Setup!$A$47:$A$56,0)),IFERROR(INDEX(Setup!$C$60:$C$89,MATCH($B1408,Setup!$A$60:$A$89,0)),"")))</f>
        <v/>
      </c>
      <c r="E1408" s="42"/>
      <c r="F1408" s="42"/>
    </row>
    <row r="1409" customFormat="false" ht="15" hidden="false" customHeight="true" outlineLevel="0" collapsed="false">
      <c r="A1409" s="42"/>
      <c r="B1409" s="42"/>
      <c r="C1409" s="42"/>
      <c r="D1409" s="28" t="str">
        <f aca="false">IF(OR($B1409="",$C1409=""),"",$C1409*IFERROR(INDEX(Setup!$C$47:$C$56,MATCH($B1409,Setup!$A$47:$A$56,0)),IFERROR(INDEX(Setup!$C$60:$C$89,MATCH($B1409,Setup!$A$60:$A$89,0)),"")))</f>
        <v/>
      </c>
      <c r="E1409" s="42"/>
      <c r="F1409" s="42"/>
    </row>
    <row r="1410" customFormat="false" ht="15" hidden="false" customHeight="true" outlineLevel="0" collapsed="false">
      <c r="A1410" s="42"/>
      <c r="B1410" s="42"/>
      <c r="C1410" s="42"/>
      <c r="D1410" s="28" t="str">
        <f aca="false">IF(OR($B1410="",$C1410=""),"",$C1410*IFERROR(INDEX(Setup!$C$47:$C$56,MATCH($B1410,Setup!$A$47:$A$56,0)),IFERROR(INDEX(Setup!$C$60:$C$89,MATCH($B1410,Setup!$A$60:$A$89,0)),"")))</f>
        <v/>
      </c>
      <c r="E1410" s="42"/>
      <c r="F1410" s="42"/>
    </row>
    <row r="1411" customFormat="false" ht="15" hidden="false" customHeight="true" outlineLevel="0" collapsed="false">
      <c r="A1411" s="42"/>
      <c r="B1411" s="42"/>
      <c r="C1411" s="42"/>
      <c r="D1411" s="28" t="str">
        <f aca="false">IF(OR($B1411="",$C1411=""),"",$C1411*IFERROR(INDEX(Setup!$C$47:$C$56,MATCH($B1411,Setup!$A$47:$A$56,0)),IFERROR(INDEX(Setup!$C$60:$C$89,MATCH($B1411,Setup!$A$60:$A$89,0)),"")))</f>
        <v/>
      </c>
      <c r="E1411" s="42"/>
      <c r="F1411" s="42"/>
    </row>
    <row r="1412" customFormat="false" ht="15" hidden="false" customHeight="true" outlineLevel="0" collapsed="false">
      <c r="A1412" s="42"/>
      <c r="B1412" s="42"/>
      <c r="C1412" s="42"/>
      <c r="D1412" s="28" t="str">
        <f aca="false">IF(OR($B1412="",$C1412=""),"",$C1412*IFERROR(INDEX(Setup!$C$47:$C$56,MATCH($B1412,Setup!$A$47:$A$56,0)),IFERROR(INDEX(Setup!$C$60:$C$89,MATCH($B1412,Setup!$A$60:$A$89,0)),"")))</f>
        <v/>
      </c>
      <c r="E1412" s="42"/>
      <c r="F1412" s="42"/>
    </row>
    <row r="1413" customFormat="false" ht="15" hidden="false" customHeight="true" outlineLevel="0" collapsed="false">
      <c r="A1413" s="42"/>
      <c r="B1413" s="42"/>
      <c r="C1413" s="42"/>
      <c r="D1413" s="28" t="str">
        <f aca="false">IF(OR($B1413="",$C1413=""),"",$C1413*IFERROR(INDEX(Setup!$C$47:$C$56,MATCH($B1413,Setup!$A$47:$A$56,0)),IFERROR(INDEX(Setup!$C$60:$C$89,MATCH($B1413,Setup!$A$60:$A$89,0)),"")))</f>
        <v/>
      </c>
      <c r="E1413" s="42"/>
      <c r="F1413" s="42"/>
    </row>
    <row r="1414" customFormat="false" ht="15" hidden="false" customHeight="true" outlineLevel="0" collapsed="false">
      <c r="A1414" s="42"/>
      <c r="B1414" s="42"/>
      <c r="C1414" s="42"/>
      <c r="D1414" s="28" t="str">
        <f aca="false">IF(OR($B1414="",$C1414=""),"",$C1414*IFERROR(INDEX(Setup!$C$47:$C$56,MATCH($B1414,Setup!$A$47:$A$56,0)),IFERROR(INDEX(Setup!$C$60:$C$89,MATCH($B1414,Setup!$A$60:$A$89,0)),"")))</f>
        <v/>
      </c>
      <c r="E1414" s="42"/>
      <c r="F1414" s="42"/>
    </row>
    <row r="1415" customFormat="false" ht="15" hidden="false" customHeight="true" outlineLevel="0" collapsed="false">
      <c r="A1415" s="42"/>
      <c r="B1415" s="42"/>
      <c r="C1415" s="42"/>
      <c r="D1415" s="28" t="str">
        <f aca="false">IF(OR($B1415="",$C1415=""),"",$C1415*IFERROR(INDEX(Setup!$C$47:$C$56,MATCH($B1415,Setup!$A$47:$A$56,0)),IFERROR(INDEX(Setup!$C$60:$C$89,MATCH($B1415,Setup!$A$60:$A$89,0)),"")))</f>
        <v/>
      </c>
      <c r="E1415" s="42"/>
      <c r="F1415" s="42"/>
    </row>
    <row r="1416" customFormat="false" ht="15" hidden="false" customHeight="true" outlineLevel="0" collapsed="false">
      <c r="A1416" s="42"/>
      <c r="B1416" s="42"/>
      <c r="C1416" s="42"/>
      <c r="D1416" s="28" t="str">
        <f aca="false">IF(OR($B1416="",$C1416=""),"",$C1416*IFERROR(INDEX(Setup!$C$47:$C$56,MATCH($B1416,Setup!$A$47:$A$56,0)),IFERROR(INDEX(Setup!$C$60:$C$89,MATCH($B1416,Setup!$A$60:$A$89,0)),"")))</f>
        <v/>
      </c>
      <c r="E1416" s="42"/>
      <c r="F1416" s="42"/>
    </row>
    <row r="1417" customFormat="false" ht="15" hidden="false" customHeight="true" outlineLevel="0" collapsed="false">
      <c r="A1417" s="42"/>
      <c r="B1417" s="42"/>
      <c r="C1417" s="42"/>
      <c r="D1417" s="28" t="str">
        <f aca="false">IF(OR($B1417="",$C1417=""),"",$C1417*IFERROR(INDEX(Setup!$C$47:$C$56,MATCH($B1417,Setup!$A$47:$A$56,0)),IFERROR(INDEX(Setup!$C$60:$C$89,MATCH($B1417,Setup!$A$60:$A$89,0)),"")))</f>
        <v/>
      </c>
      <c r="E1417" s="42"/>
      <c r="F1417" s="42"/>
    </row>
    <row r="1418" customFormat="false" ht="15" hidden="false" customHeight="true" outlineLevel="0" collapsed="false">
      <c r="A1418" s="42"/>
      <c r="B1418" s="42"/>
      <c r="C1418" s="42"/>
      <c r="D1418" s="28" t="str">
        <f aca="false">IF(OR($B1418="",$C1418=""),"",$C1418*IFERROR(INDEX(Setup!$C$47:$C$56,MATCH($B1418,Setup!$A$47:$A$56,0)),IFERROR(INDEX(Setup!$C$60:$C$89,MATCH($B1418,Setup!$A$60:$A$89,0)),"")))</f>
        <v/>
      </c>
      <c r="E1418" s="42"/>
      <c r="F1418" s="42"/>
    </row>
    <row r="1419" customFormat="false" ht="15" hidden="false" customHeight="true" outlineLevel="0" collapsed="false">
      <c r="A1419" s="42"/>
      <c r="B1419" s="42"/>
      <c r="C1419" s="42"/>
      <c r="D1419" s="28" t="str">
        <f aca="false">IF(OR($B1419="",$C1419=""),"",$C1419*IFERROR(INDEX(Setup!$C$47:$C$56,MATCH($B1419,Setup!$A$47:$A$56,0)),IFERROR(INDEX(Setup!$C$60:$C$89,MATCH($B1419,Setup!$A$60:$A$89,0)),"")))</f>
        <v/>
      </c>
      <c r="E1419" s="42"/>
      <c r="F1419" s="42"/>
    </row>
    <row r="1420" customFormat="false" ht="15" hidden="false" customHeight="true" outlineLevel="0" collapsed="false">
      <c r="A1420" s="42"/>
      <c r="B1420" s="42"/>
      <c r="C1420" s="42"/>
      <c r="D1420" s="28" t="str">
        <f aca="false">IF(OR($B1420="",$C1420=""),"",$C1420*IFERROR(INDEX(Setup!$C$47:$C$56,MATCH($B1420,Setup!$A$47:$A$56,0)),IFERROR(INDEX(Setup!$C$60:$C$89,MATCH($B1420,Setup!$A$60:$A$89,0)),"")))</f>
        <v/>
      </c>
      <c r="E1420" s="42"/>
      <c r="F1420" s="42"/>
    </row>
    <row r="1421" customFormat="false" ht="15" hidden="false" customHeight="true" outlineLevel="0" collapsed="false">
      <c r="A1421" s="42"/>
      <c r="B1421" s="42"/>
      <c r="C1421" s="42"/>
      <c r="D1421" s="28" t="str">
        <f aca="false">IF(OR($B1421="",$C1421=""),"",$C1421*IFERROR(INDEX(Setup!$C$47:$C$56,MATCH($B1421,Setup!$A$47:$A$56,0)),IFERROR(INDEX(Setup!$C$60:$C$89,MATCH($B1421,Setup!$A$60:$A$89,0)),"")))</f>
        <v/>
      </c>
      <c r="E1421" s="42"/>
      <c r="F1421" s="42"/>
    </row>
    <row r="1422" customFormat="false" ht="15" hidden="false" customHeight="true" outlineLevel="0" collapsed="false">
      <c r="A1422" s="42"/>
      <c r="B1422" s="42"/>
      <c r="C1422" s="42"/>
      <c r="D1422" s="28" t="str">
        <f aca="false">IF(OR($B1422="",$C1422=""),"",$C1422*IFERROR(INDEX(Setup!$C$47:$C$56,MATCH($B1422,Setup!$A$47:$A$56,0)),IFERROR(INDEX(Setup!$C$60:$C$89,MATCH($B1422,Setup!$A$60:$A$89,0)),"")))</f>
        <v/>
      </c>
      <c r="E1422" s="42"/>
      <c r="F1422" s="42"/>
    </row>
    <row r="1423" customFormat="false" ht="15" hidden="false" customHeight="true" outlineLevel="0" collapsed="false">
      <c r="A1423" s="42"/>
      <c r="B1423" s="42"/>
      <c r="C1423" s="42"/>
      <c r="D1423" s="28" t="str">
        <f aca="false">IF(OR($B1423="",$C1423=""),"",$C1423*IFERROR(INDEX(Setup!$C$47:$C$56,MATCH($B1423,Setup!$A$47:$A$56,0)),IFERROR(INDEX(Setup!$C$60:$C$89,MATCH($B1423,Setup!$A$60:$A$89,0)),"")))</f>
        <v/>
      </c>
      <c r="E1423" s="42"/>
      <c r="F1423" s="42"/>
    </row>
    <row r="1424" customFormat="false" ht="15" hidden="false" customHeight="true" outlineLevel="0" collapsed="false">
      <c r="A1424" s="42"/>
      <c r="B1424" s="42"/>
      <c r="C1424" s="42"/>
      <c r="D1424" s="28" t="str">
        <f aca="false">IF(OR($B1424="",$C1424=""),"",$C1424*IFERROR(INDEX(Setup!$C$47:$C$56,MATCH($B1424,Setup!$A$47:$A$56,0)),IFERROR(INDEX(Setup!$C$60:$C$89,MATCH($B1424,Setup!$A$60:$A$89,0)),"")))</f>
        <v/>
      </c>
      <c r="E1424" s="42"/>
      <c r="F1424" s="42"/>
    </row>
    <row r="1425" customFormat="false" ht="15" hidden="false" customHeight="true" outlineLevel="0" collapsed="false">
      <c r="A1425" s="42"/>
      <c r="B1425" s="42"/>
      <c r="C1425" s="42"/>
      <c r="D1425" s="28" t="str">
        <f aca="false">IF(OR($B1425="",$C1425=""),"",$C1425*IFERROR(INDEX(Setup!$C$47:$C$56,MATCH($B1425,Setup!$A$47:$A$56,0)),IFERROR(INDEX(Setup!$C$60:$C$89,MATCH($B1425,Setup!$A$60:$A$89,0)),"")))</f>
        <v/>
      </c>
      <c r="E1425" s="42"/>
      <c r="F1425" s="42"/>
    </row>
    <row r="1426" customFormat="false" ht="15" hidden="false" customHeight="true" outlineLevel="0" collapsed="false">
      <c r="A1426" s="42"/>
      <c r="B1426" s="42"/>
      <c r="C1426" s="42"/>
      <c r="D1426" s="28" t="str">
        <f aca="false">IF(OR($B1426="",$C1426=""),"",$C1426*IFERROR(INDEX(Setup!$C$47:$C$56,MATCH($B1426,Setup!$A$47:$A$56,0)),IFERROR(INDEX(Setup!$C$60:$C$89,MATCH($B1426,Setup!$A$60:$A$89,0)),"")))</f>
        <v/>
      </c>
      <c r="E1426" s="42"/>
      <c r="F1426" s="42"/>
    </row>
    <row r="1427" customFormat="false" ht="15" hidden="false" customHeight="true" outlineLevel="0" collapsed="false">
      <c r="A1427" s="42"/>
      <c r="B1427" s="42"/>
      <c r="C1427" s="42"/>
      <c r="D1427" s="28" t="str">
        <f aca="false">IF(OR($B1427="",$C1427=""),"",$C1427*IFERROR(INDEX(Setup!$C$47:$C$56,MATCH($B1427,Setup!$A$47:$A$56,0)),IFERROR(INDEX(Setup!$C$60:$C$89,MATCH($B1427,Setup!$A$60:$A$89,0)),"")))</f>
        <v/>
      </c>
      <c r="E1427" s="42"/>
      <c r="F1427" s="42"/>
    </row>
    <row r="1428" customFormat="false" ht="15" hidden="false" customHeight="true" outlineLevel="0" collapsed="false">
      <c r="A1428" s="42"/>
      <c r="B1428" s="42"/>
      <c r="C1428" s="42"/>
      <c r="D1428" s="28" t="str">
        <f aca="false">IF(OR($B1428="",$C1428=""),"",$C1428*IFERROR(INDEX(Setup!$C$47:$C$56,MATCH($B1428,Setup!$A$47:$A$56,0)),IFERROR(INDEX(Setup!$C$60:$C$89,MATCH($B1428,Setup!$A$60:$A$89,0)),"")))</f>
        <v/>
      </c>
      <c r="E1428" s="42"/>
      <c r="F1428" s="42"/>
    </row>
    <row r="1429" customFormat="false" ht="15" hidden="false" customHeight="true" outlineLevel="0" collapsed="false">
      <c r="A1429" s="42"/>
      <c r="B1429" s="42"/>
      <c r="C1429" s="42"/>
      <c r="D1429" s="28" t="str">
        <f aca="false">IF(OR($B1429="",$C1429=""),"",$C1429*IFERROR(INDEX(Setup!$C$47:$C$56,MATCH($B1429,Setup!$A$47:$A$56,0)),IFERROR(INDEX(Setup!$C$60:$C$89,MATCH($B1429,Setup!$A$60:$A$89,0)),"")))</f>
        <v/>
      </c>
      <c r="E1429" s="42"/>
      <c r="F1429" s="42"/>
    </row>
    <row r="1430" customFormat="false" ht="15" hidden="false" customHeight="true" outlineLevel="0" collapsed="false">
      <c r="A1430" s="42"/>
      <c r="B1430" s="42"/>
      <c r="C1430" s="42"/>
      <c r="D1430" s="28" t="str">
        <f aca="false">IF(OR($B1430="",$C1430=""),"",$C1430*IFERROR(INDEX(Setup!$C$47:$C$56,MATCH($B1430,Setup!$A$47:$A$56,0)),IFERROR(INDEX(Setup!$C$60:$C$89,MATCH($B1430,Setup!$A$60:$A$89,0)),"")))</f>
        <v/>
      </c>
      <c r="E1430" s="42"/>
      <c r="F1430" s="42"/>
    </row>
    <row r="1431" customFormat="false" ht="15" hidden="false" customHeight="true" outlineLevel="0" collapsed="false">
      <c r="A1431" s="42"/>
      <c r="B1431" s="42"/>
      <c r="C1431" s="42"/>
      <c r="D1431" s="28" t="str">
        <f aca="false">IF(OR($B1431="",$C1431=""),"",$C1431*IFERROR(INDEX(Setup!$C$47:$C$56,MATCH($B1431,Setup!$A$47:$A$56,0)),IFERROR(INDEX(Setup!$C$60:$C$89,MATCH($B1431,Setup!$A$60:$A$89,0)),"")))</f>
        <v/>
      </c>
      <c r="E1431" s="42"/>
      <c r="F1431" s="42"/>
    </row>
    <row r="1432" customFormat="false" ht="15" hidden="false" customHeight="true" outlineLevel="0" collapsed="false">
      <c r="A1432" s="42"/>
      <c r="B1432" s="42"/>
      <c r="C1432" s="42"/>
      <c r="D1432" s="28" t="str">
        <f aca="false">IF(OR($B1432="",$C1432=""),"",$C1432*IFERROR(INDEX(Setup!$C$47:$C$56,MATCH($B1432,Setup!$A$47:$A$56,0)),IFERROR(INDEX(Setup!$C$60:$C$89,MATCH($B1432,Setup!$A$60:$A$89,0)),"")))</f>
        <v/>
      </c>
      <c r="E1432" s="42"/>
      <c r="F1432" s="42"/>
    </row>
    <row r="1433" customFormat="false" ht="15" hidden="false" customHeight="true" outlineLevel="0" collapsed="false">
      <c r="A1433" s="42"/>
      <c r="B1433" s="42"/>
      <c r="C1433" s="42"/>
      <c r="D1433" s="28" t="str">
        <f aca="false">IF(OR($B1433="",$C1433=""),"",$C1433*IFERROR(INDEX(Setup!$C$47:$C$56,MATCH($B1433,Setup!$A$47:$A$56,0)),IFERROR(INDEX(Setup!$C$60:$C$89,MATCH($B1433,Setup!$A$60:$A$89,0)),"")))</f>
        <v/>
      </c>
      <c r="E1433" s="42"/>
      <c r="F1433" s="42"/>
    </row>
    <row r="1434" customFormat="false" ht="15" hidden="false" customHeight="true" outlineLevel="0" collapsed="false">
      <c r="A1434" s="42"/>
      <c r="B1434" s="42"/>
      <c r="C1434" s="42"/>
      <c r="D1434" s="28" t="str">
        <f aca="false">IF(OR($B1434="",$C1434=""),"",$C1434*IFERROR(INDEX(Setup!$C$47:$C$56,MATCH($B1434,Setup!$A$47:$A$56,0)),IFERROR(INDEX(Setup!$C$60:$C$89,MATCH($B1434,Setup!$A$60:$A$89,0)),"")))</f>
        <v/>
      </c>
      <c r="E1434" s="42"/>
      <c r="F1434" s="42"/>
    </row>
    <row r="1435" customFormat="false" ht="15" hidden="false" customHeight="true" outlineLevel="0" collapsed="false">
      <c r="A1435" s="42"/>
      <c r="B1435" s="42"/>
      <c r="C1435" s="42"/>
      <c r="D1435" s="28" t="str">
        <f aca="false">IF(OR($B1435="",$C1435=""),"",$C1435*IFERROR(INDEX(Setup!$C$47:$C$56,MATCH($B1435,Setup!$A$47:$A$56,0)),IFERROR(INDEX(Setup!$C$60:$C$89,MATCH($B1435,Setup!$A$60:$A$89,0)),"")))</f>
        <v/>
      </c>
      <c r="E1435" s="42"/>
      <c r="F1435" s="42"/>
    </row>
    <row r="1436" customFormat="false" ht="15" hidden="false" customHeight="true" outlineLevel="0" collapsed="false">
      <c r="A1436" s="42"/>
      <c r="B1436" s="42"/>
      <c r="C1436" s="42"/>
      <c r="D1436" s="28" t="str">
        <f aca="false">IF(OR($B1436="",$C1436=""),"",$C1436*IFERROR(INDEX(Setup!$C$47:$C$56,MATCH($B1436,Setup!$A$47:$A$56,0)),IFERROR(INDEX(Setup!$C$60:$C$89,MATCH($B1436,Setup!$A$60:$A$89,0)),"")))</f>
        <v/>
      </c>
      <c r="E1436" s="42"/>
      <c r="F1436" s="42"/>
    </row>
    <row r="1437" customFormat="false" ht="15" hidden="false" customHeight="true" outlineLevel="0" collapsed="false">
      <c r="A1437" s="42"/>
      <c r="B1437" s="42"/>
      <c r="C1437" s="42"/>
      <c r="D1437" s="28" t="str">
        <f aca="false">IF(OR($B1437="",$C1437=""),"",$C1437*IFERROR(INDEX(Setup!$C$47:$C$56,MATCH($B1437,Setup!$A$47:$A$56,0)),IFERROR(INDEX(Setup!$C$60:$C$89,MATCH($B1437,Setup!$A$60:$A$89,0)),"")))</f>
        <v/>
      </c>
      <c r="E1437" s="42"/>
      <c r="F1437" s="42"/>
    </row>
    <row r="1438" customFormat="false" ht="15" hidden="false" customHeight="true" outlineLevel="0" collapsed="false">
      <c r="A1438" s="42"/>
      <c r="B1438" s="42"/>
      <c r="C1438" s="42"/>
      <c r="D1438" s="28" t="str">
        <f aca="false">IF(OR($B1438="",$C1438=""),"",$C1438*IFERROR(INDEX(Setup!$C$47:$C$56,MATCH($B1438,Setup!$A$47:$A$56,0)),IFERROR(INDEX(Setup!$C$60:$C$89,MATCH($B1438,Setup!$A$60:$A$89,0)),"")))</f>
        <v/>
      </c>
      <c r="E1438" s="42"/>
      <c r="F1438" s="42"/>
    </row>
    <row r="1439" customFormat="false" ht="15" hidden="false" customHeight="true" outlineLevel="0" collapsed="false">
      <c r="A1439" s="42"/>
      <c r="B1439" s="42"/>
      <c r="C1439" s="42"/>
      <c r="D1439" s="28" t="str">
        <f aca="false">IF(OR($B1439="",$C1439=""),"",$C1439*IFERROR(INDEX(Setup!$C$47:$C$56,MATCH($B1439,Setup!$A$47:$A$56,0)),IFERROR(INDEX(Setup!$C$60:$C$89,MATCH($B1439,Setup!$A$60:$A$89,0)),"")))</f>
        <v/>
      </c>
      <c r="E1439" s="42"/>
      <c r="F1439" s="42"/>
    </row>
    <row r="1440" customFormat="false" ht="15" hidden="false" customHeight="true" outlineLevel="0" collapsed="false">
      <c r="A1440" s="42"/>
      <c r="B1440" s="42"/>
      <c r="C1440" s="42"/>
      <c r="D1440" s="28" t="str">
        <f aca="false">IF(OR($B1440="",$C1440=""),"",$C1440*IFERROR(INDEX(Setup!$C$47:$C$56,MATCH($B1440,Setup!$A$47:$A$56,0)),IFERROR(INDEX(Setup!$C$60:$C$89,MATCH($B1440,Setup!$A$60:$A$89,0)),"")))</f>
        <v/>
      </c>
      <c r="E1440" s="42"/>
      <c r="F1440" s="42"/>
    </row>
    <row r="1441" customFormat="false" ht="15" hidden="false" customHeight="true" outlineLevel="0" collapsed="false">
      <c r="A1441" s="42"/>
      <c r="B1441" s="42"/>
      <c r="C1441" s="42"/>
      <c r="D1441" s="28" t="str">
        <f aca="false">IF(OR($B1441="",$C1441=""),"",$C1441*IFERROR(INDEX(Setup!$C$47:$C$56,MATCH($B1441,Setup!$A$47:$A$56,0)),IFERROR(INDEX(Setup!$C$60:$C$89,MATCH($B1441,Setup!$A$60:$A$89,0)),"")))</f>
        <v/>
      </c>
      <c r="E1441" s="42"/>
      <c r="F1441" s="42"/>
    </row>
    <row r="1442" customFormat="false" ht="15" hidden="false" customHeight="true" outlineLevel="0" collapsed="false">
      <c r="A1442" s="42"/>
      <c r="B1442" s="42"/>
      <c r="C1442" s="42"/>
      <c r="D1442" s="28" t="str">
        <f aca="false">IF(OR($B1442="",$C1442=""),"",$C1442*IFERROR(INDEX(Setup!$C$47:$C$56,MATCH($B1442,Setup!$A$47:$A$56,0)),IFERROR(INDEX(Setup!$C$60:$C$89,MATCH($B1442,Setup!$A$60:$A$89,0)),"")))</f>
        <v/>
      </c>
      <c r="E1442" s="42"/>
      <c r="F1442" s="42"/>
    </row>
    <row r="1443" customFormat="false" ht="15" hidden="false" customHeight="true" outlineLevel="0" collapsed="false">
      <c r="A1443" s="42"/>
      <c r="B1443" s="42"/>
      <c r="C1443" s="42"/>
      <c r="D1443" s="28" t="str">
        <f aca="false">IF(OR($B1443="",$C1443=""),"",$C1443*IFERROR(INDEX(Setup!$C$47:$C$56,MATCH($B1443,Setup!$A$47:$A$56,0)),IFERROR(INDEX(Setup!$C$60:$C$89,MATCH($B1443,Setup!$A$60:$A$89,0)),"")))</f>
        <v/>
      </c>
      <c r="E1443" s="42"/>
      <c r="F1443" s="42"/>
    </row>
    <row r="1444" customFormat="false" ht="15" hidden="false" customHeight="true" outlineLevel="0" collapsed="false">
      <c r="A1444" s="42"/>
      <c r="B1444" s="42"/>
      <c r="C1444" s="42"/>
      <c r="D1444" s="28" t="str">
        <f aca="false">IF(OR($B1444="",$C1444=""),"",$C1444*IFERROR(INDEX(Setup!$C$47:$C$56,MATCH($B1444,Setup!$A$47:$A$56,0)),IFERROR(INDEX(Setup!$C$60:$C$89,MATCH($B1444,Setup!$A$60:$A$89,0)),"")))</f>
        <v/>
      </c>
      <c r="E1444" s="42"/>
      <c r="F1444" s="42"/>
    </row>
    <row r="1445" customFormat="false" ht="15" hidden="false" customHeight="true" outlineLevel="0" collapsed="false">
      <c r="A1445" s="42"/>
      <c r="B1445" s="42"/>
      <c r="C1445" s="42"/>
      <c r="D1445" s="28" t="str">
        <f aca="false">IF(OR($B1445="",$C1445=""),"",$C1445*IFERROR(INDEX(Setup!$C$47:$C$56,MATCH($B1445,Setup!$A$47:$A$56,0)),IFERROR(INDEX(Setup!$C$60:$C$89,MATCH($B1445,Setup!$A$60:$A$89,0)),"")))</f>
        <v/>
      </c>
      <c r="E1445" s="42"/>
      <c r="F1445" s="42"/>
    </row>
    <row r="1446" customFormat="false" ht="15" hidden="false" customHeight="true" outlineLevel="0" collapsed="false">
      <c r="A1446" s="42"/>
      <c r="B1446" s="42"/>
      <c r="C1446" s="42"/>
      <c r="D1446" s="28" t="str">
        <f aca="false">IF(OR($B1446="",$C1446=""),"",$C1446*IFERROR(INDEX(Setup!$C$47:$C$56,MATCH($B1446,Setup!$A$47:$A$56,0)),IFERROR(INDEX(Setup!$C$60:$C$89,MATCH($B1446,Setup!$A$60:$A$89,0)),"")))</f>
        <v/>
      </c>
      <c r="E1446" s="42"/>
      <c r="F1446" s="42"/>
    </row>
    <row r="1447" customFormat="false" ht="15" hidden="false" customHeight="true" outlineLevel="0" collapsed="false">
      <c r="A1447" s="42"/>
      <c r="B1447" s="42"/>
      <c r="C1447" s="42"/>
      <c r="D1447" s="28" t="str">
        <f aca="false">IF(OR($B1447="",$C1447=""),"",$C1447*IFERROR(INDEX(Setup!$C$47:$C$56,MATCH($B1447,Setup!$A$47:$A$56,0)),IFERROR(INDEX(Setup!$C$60:$C$89,MATCH($B1447,Setup!$A$60:$A$89,0)),"")))</f>
        <v/>
      </c>
      <c r="E1447" s="42"/>
      <c r="F1447" s="42"/>
    </row>
    <row r="1448" customFormat="false" ht="15" hidden="false" customHeight="true" outlineLevel="0" collapsed="false">
      <c r="A1448" s="42"/>
      <c r="B1448" s="42"/>
      <c r="C1448" s="42"/>
      <c r="D1448" s="28" t="str">
        <f aca="false">IF(OR($B1448="",$C1448=""),"",$C1448*IFERROR(INDEX(Setup!$C$47:$C$56,MATCH($B1448,Setup!$A$47:$A$56,0)),IFERROR(INDEX(Setup!$C$60:$C$89,MATCH($B1448,Setup!$A$60:$A$89,0)),"")))</f>
        <v/>
      </c>
      <c r="E1448" s="42"/>
      <c r="F1448" s="42"/>
    </row>
    <row r="1449" customFormat="false" ht="15" hidden="false" customHeight="true" outlineLevel="0" collapsed="false">
      <c r="A1449" s="42"/>
      <c r="B1449" s="42"/>
      <c r="C1449" s="42"/>
      <c r="D1449" s="28" t="str">
        <f aca="false">IF(OR($B1449="",$C1449=""),"",$C1449*IFERROR(INDEX(Setup!$C$47:$C$56,MATCH($B1449,Setup!$A$47:$A$56,0)),IFERROR(INDEX(Setup!$C$60:$C$89,MATCH($B1449,Setup!$A$60:$A$89,0)),"")))</f>
        <v/>
      </c>
      <c r="E1449" s="42"/>
      <c r="F1449" s="42"/>
    </row>
    <row r="1450" customFormat="false" ht="15" hidden="false" customHeight="true" outlineLevel="0" collapsed="false">
      <c r="A1450" s="42"/>
      <c r="B1450" s="42"/>
      <c r="C1450" s="42"/>
      <c r="D1450" s="28" t="str">
        <f aca="false">IF(OR($B1450="",$C1450=""),"",$C1450*IFERROR(INDEX(Setup!$C$47:$C$56,MATCH($B1450,Setup!$A$47:$A$56,0)),IFERROR(INDEX(Setup!$C$60:$C$89,MATCH($B1450,Setup!$A$60:$A$89,0)),"")))</f>
        <v/>
      </c>
      <c r="E1450" s="42"/>
      <c r="F1450" s="42"/>
    </row>
    <row r="1451" customFormat="false" ht="15" hidden="false" customHeight="true" outlineLevel="0" collapsed="false">
      <c r="A1451" s="42"/>
      <c r="B1451" s="42"/>
      <c r="C1451" s="42"/>
      <c r="D1451" s="28" t="str">
        <f aca="false">IF(OR($B1451="",$C1451=""),"",$C1451*IFERROR(INDEX(Setup!$C$47:$C$56,MATCH($B1451,Setup!$A$47:$A$56,0)),IFERROR(INDEX(Setup!$C$60:$C$89,MATCH($B1451,Setup!$A$60:$A$89,0)),"")))</f>
        <v/>
      </c>
      <c r="E1451" s="42"/>
      <c r="F1451" s="42"/>
    </row>
    <row r="1452" customFormat="false" ht="15" hidden="false" customHeight="true" outlineLevel="0" collapsed="false">
      <c r="A1452" s="42"/>
      <c r="B1452" s="42"/>
      <c r="C1452" s="42"/>
      <c r="D1452" s="28" t="str">
        <f aca="false">IF(OR($B1452="",$C1452=""),"",$C1452*IFERROR(INDEX(Setup!$C$47:$C$56,MATCH($B1452,Setup!$A$47:$A$56,0)),IFERROR(INDEX(Setup!$C$60:$C$89,MATCH($B1452,Setup!$A$60:$A$89,0)),"")))</f>
        <v/>
      </c>
      <c r="E1452" s="42"/>
      <c r="F1452" s="42"/>
    </row>
    <row r="1453" customFormat="false" ht="15" hidden="false" customHeight="true" outlineLevel="0" collapsed="false">
      <c r="A1453" s="42"/>
      <c r="B1453" s="42"/>
      <c r="C1453" s="42"/>
      <c r="D1453" s="28" t="str">
        <f aca="false">IF(OR($B1453="",$C1453=""),"",$C1453*IFERROR(INDEX(Setup!$C$47:$C$56,MATCH($B1453,Setup!$A$47:$A$56,0)),IFERROR(INDEX(Setup!$C$60:$C$89,MATCH($B1453,Setup!$A$60:$A$89,0)),"")))</f>
        <v/>
      </c>
      <c r="E1453" s="42"/>
      <c r="F1453" s="42"/>
    </row>
    <row r="1454" customFormat="false" ht="15" hidden="false" customHeight="true" outlineLevel="0" collapsed="false">
      <c r="A1454" s="42"/>
      <c r="B1454" s="42"/>
      <c r="C1454" s="42"/>
      <c r="D1454" s="28" t="str">
        <f aca="false">IF(OR($B1454="",$C1454=""),"",$C1454*IFERROR(INDEX(Setup!$C$47:$C$56,MATCH($B1454,Setup!$A$47:$A$56,0)),IFERROR(INDEX(Setup!$C$60:$C$89,MATCH($B1454,Setup!$A$60:$A$89,0)),"")))</f>
        <v/>
      </c>
      <c r="E1454" s="42"/>
      <c r="F1454" s="42"/>
    </row>
    <row r="1455" customFormat="false" ht="15" hidden="false" customHeight="true" outlineLevel="0" collapsed="false">
      <c r="A1455" s="42"/>
      <c r="B1455" s="42"/>
      <c r="C1455" s="42"/>
      <c r="D1455" s="28" t="str">
        <f aca="false">IF(OR($B1455="",$C1455=""),"",$C1455*IFERROR(INDEX(Setup!$C$47:$C$56,MATCH($B1455,Setup!$A$47:$A$56,0)),IFERROR(INDEX(Setup!$C$60:$C$89,MATCH($B1455,Setup!$A$60:$A$89,0)),"")))</f>
        <v/>
      </c>
      <c r="E1455" s="42"/>
      <c r="F1455" s="42"/>
    </row>
    <row r="1456" customFormat="false" ht="15" hidden="false" customHeight="true" outlineLevel="0" collapsed="false">
      <c r="A1456" s="42"/>
      <c r="B1456" s="42"/>
      <c r="C1456" s="42"/>
      <c r="D1456" s="28" t="str">
        <f aca="false">IF(OR($B1456="",$C1456=""),"",$C1456*IFERROR(INDEX(Setup!$C$47:$C$56,MATCH($B1456,Setup!$A$47:$A$56,0)),IFERROR(INDEX(Setup!$C$60:$C$89,MATCH($B1456,Setup!$A$60:$A$89,0)),"")))</f>
        <v/>
      </c>
      <c r="E1456" s="42"/>
      <c r="F1456" s="42"/>
    </row>
    <row r="1457" customFormat="false" ht="15" hidden="false" customHeight="true" outlineLevel="0" collapsed="false">
      <c r="A1457" s="42"/>
      <c r="B1457" s="42"/>
      <c r="C1457" s="42"/>
      <c r="D1457" s="28" t="str">
        <f aca="false">IF(OR($B1457="",$C1457=""),"",$C1457*IFERROR(INDEX(Setup!$C$47:$C$56,MATCH($B1457,Setup!$A$47:$A$56,0)),IFERROR(INDEX(Setup!$C$60:$C$89,MATCH($B1457,Setup!$A$60:$A$89,0)),"")))</f>
        <v/>
      </c>
      <c r="E1457" s="42"/>
      <c r="F1457" s="42"/>
    </row>
    <row r="1458" customFormat="false" ht="15" hidden="false" customHeight="true" outlineLevel="0" collapsed="false">
      <c r="A1458" s="42"/>
      <c r="B1458" s="42"/>
      <c r="C1458" s="42"/>
      <c r="D1458" s="28" t="str">
        <f aca="false">IF(OR($B1458="",$C1458=""),"",$C1458*IFERROR(INDEX(Setup!$C$47:$C$56,MATCH($B1458,Setup!$A$47:$A$56,0)),IFERROR(INDEX(Setup!$C$60:$C$89,MATCH($B1458,Setup!$A$60:$A$89,0)),"")))</f>
        <v/>
      </c>
      <c r="E1458" s="42"/>
      <c r="F1458" s="42"/>
    </row>
    <row r="1459" customFormat="false" ht="15" hidden="false" customHeight="true" outlineLevel="0" collapsed="false">
      <c r="A1459" s="42"/>
      <c r="B1459" s="42"/>
      <c r="C1459" s="42"/>
      <c r="D1459" s="28" t="str">
        <f aca="false">IF(OR($B1459="",$C1459=""),"",$C1459*IFERROR(INDEX(Setup!$C$47:$C$56,MATCH($B1459,Setup!$A$47:$A$56,0)),IFERROR(INDEX(Setup!$C$60:$C$89,MATCH($B1459,Setup!$A$60:$A$89,0)),"")))</f>
        <v/>
      </c>
      <c r="E1459" s="42"/>
      <c r="F1459" s="42"/>
    </row>
    <row r="1460" customFormat="false" ht="15" hidden="false" customHeight="true" outlineLevel="0" collapsed="false">
      <c r="A1460" s="42"/>
      <c r="B1460" s="42"/>
      <c r="C1460" s="42"/>
      <c r="D1460" s="28" t="str">
        <f aca="false">IF(OR($B1460="",$C1460=""),"",$C1460*IFERROR(INDEX(Setup!$C$47:$C$56,MATCH($B1460,Setup!$A$47:$A$56,0)),IFERROR(INDEX(Setup!$C$60:$C$89,MATCH($B1460,Setup!$A$60:$A$89,0)),"")))</f>
        <v/>
      </c>
      <c r="E1460" s="42"/>
      <c r="F1460" s="42"/>
    </row>
    <row r="1461" customFormat="false" ht="15" hidden="false" customHeight="true" outlineLevel="0" collapsed="false">
      <c r="A1461" s="42"/>
      <c r="B1461" s="42"/>
      <c r="C1461" s="42"/>
      <c r="D1461" s="28" t="str">
        <f aca="false">IF(OR($B1461="",$C1461=""),"",$C1461*IFERROR(INDEX(Setup!$C$47:$C$56,MATCH($B1461,Setup!$A$47:$A$56,0)),IFERROR(INDEX(Setup!$C$60:$C$89,MATCH($B1461,Setup!$A$60:$A$89,0)),"")))</f>
        <v/>
      </c>
      <c r="E1461" s="42"/>
      <c r="F1461" s="42"/>
    </row>
    <row r="1462" customFormat="false" ht="15" hidden="false" customHeight="true" outlineLevel="0" collapsed="false">
      <c r="A1462" s="42"/>
      <c r="B1462" s="42"/>
      <c r="C1462" s="42"/>
      <c r="D1462" s="28" t="str">
        <f aca="false">IF(OR($B1462="",$C1462=""),"",$C1462*IFERROR(INDEX(Setup!$C$47:$C$56,MATCH($B1462,Setup!$A$47:$A$56,0)),IFERROR(INDEX(Setup!$C$60:$C$89,MATCH($B1462,Setup!$A$60:$A$89,0)),"")))</f>
        <v/>
      </c>
      <c r="E1462" s="42"/>
      <c r="F1462" s="42"/>
    </row>
    <row r="1463" customFormat="false" ht="15" hidden="false" customHeight="true" outlineLevel="0" collapsed="false">
      <c r="A1463" s="42"/>
      <c r="B1463" s="42"/>
      <c r="C1463" s="42"/>
      <c r="D1463" s="28" t="str">
        <f aca="false">IF(OR($B1463="",$C1463=""),"",$C1463*IFERROR(INDEX(Setup!$C$47:$C$56,MATCH($B1463,Setup!$A$47:$A$56,0)),IFERROR(INDEX(Setup!$C$60:$C$89,MATCH($B1463,Setup!$A$60:$A$89,0)),"")))</f>
        <v/>
      </c>
      <c r="E1463" s="42"/>
      <c r="F1463" s="42"/>
    </row>
    <row r="1464" customFormat="false" ht="15" hidden="false" customHeight="true" outlineLevel="0" collapsed="false">
      <c r="A1464" s="42"/>
      <c r="B1464" s="42"/>
      <c r="C1464" s="42"/>
      <c r="D1464" s="28" t="str">
        <f aca="false">IF(OR($B1464="",$C1464=""),"",$C1464*IFERROR(INDEX(Setup!$C$47:$C$56,MATCH($B1464,Setup!$A$47:$A$56,0)),IFERROR(INDEX(Setup!$C$60:$C$89,MATCH($B1464,Setup!$A$60:$A$89,0)),"")))</f>
        <v/>
      </c>
      <c r="E1464" s="42"/>
      <c r="F1464" s="42"/>
    </row>
    <row r="1465" customFormat="false" ht="15" hidden="false" customHeight="true" outlineLevel="0" collapsed="false">
      <c r="A1465" s="42"/>
      <c r="B1465" s="42"/>
      <c r="C1465" s="42"/>
      <c r="D1465" s="28" t="str">
        <f aca="false">IF(OR($B1465="",$C1465=""),"",$C1465*IFERROR(INDEX(Setup!$C$47:$C$56,MATCH($B1465,Setup!$A$47:$A$56,0)),IFERROR(INDEX(Setup!$C$60:$C$89,MATCH($B1465,Setup!$A$60:$A$89,0)),"")))</f>
        <v/>
      </c>
      <c r="E1465" s="42"/>
      <c r="F1465" s="42"/>
    </row>
    <row r="1466" customFormat="false" ht="15" hidden="false" customHeight="true" outlineLevel="0" collapsed="false">
      <c r="A1466" s="42"/>
      <c r="B1466" s="42"/>
      <c r="C1466" s="42"/>
      <c r="D1466" s="28" t="str">
        <f aca="false">IF(OR($B1466="",$C1466=""),"",$C1466*IFERROR(INDEX(Setup!$C$47:$C$56,MATCH($B1466,Setup!$A$47:$A$56,0)),IFERROR(INDEX(Setup!$C$60:$C$89,MATCH($B1466,Setup!$A$60:$A$89,0)),"")))</f>
        <v/>
      </c>
      <c r="E1466" s="42"/>
      <c r="F1466" s="42"/>
    </row>
    <row r="1467" customFormat="false" ht="15" hidden="false" customHeight="true" outlineLevel="0" collapsed="false">
      <c r="A1467" s="42"/>
      <c r="B1467" s="42"/>
      <c r="C1467" s="42"/>
      <c r="D1467" s="28" t="str">
        <f aca="false">IF(OR($B1467="",$C1467=""),"",$C1467*IFERROR(INDEX(Setup!$C$47:$C$56,MATCH($B1467,Setup!$A$47:$A$56,0)),IFERROR(INDEX(Setup!$C$60:$C$89,MATCH($B1467,Setup!$A$60:$A$89,0)),"")))</f>
        <v/>
      </c>
      <c r="E1467" s="42"/>
      <c r="F1467" s="42"/>
    </row>
    <row r="1468" customFormat="false" ht="15" hidden="false" customHeight="true" outlineLevel="0" collapsed="false">
      <c r="A1468" s="42"/>
      <c r="B1468" s="42"/>
      <c r="C1468" s="42"/>
      <c r="D1468" s="28" t="str">
        <f aca="false">IF(OR($B1468="",$C1468=""),"",$C1468*IFERROR(INDEX(Setup!$C$47:$C$56,MATCH($B1468,Setup!$A$47:$A$56,0)),IFERROR(INDEX(Setup!$C$60:$C$89,MATCH($B1468,Setup!$A$60:$A$89,0)),"")))</f>
        <v/>
      </c>
      <c r="E1468" s="42"/>
      <c r="F1468" s="42"/>
    </row>
    <row r="1469" customFormat="false" ht="15" hidden="false" customHeight="true" outlineLevel="0" collapsed="false">
      <c r="A1469" s="42"/>
      <c r="B1469" s="42"/>
      <c r="C1469" s="42"/>
      <c r="D1469" s="28" t="str">
        <f aca="false">IF(OR($B1469="",$C1469=""),"",$C1469*IFERROR(INDEX(Setup!$C$47:$C$56,MATCH($B1469,Setup!$A$47:$A$56,0)),IFERROR(INDEX(Setup!$C$60:$C$89,MATCH($B1469,Setup!$A$60:$A$89,0)),"")))</f>
        <v/>
      </c>
      <c r="E1469" s="42"/>
      <c r="F1469" s="42"/>
    </row>
    <row r="1470" customFormat="false" ht="15" hidden="false" customHeight="true" outlineLevel="0" collapsed="false">
      <c r="A1470" s="42"/>
      <c r="B1470" s="42"/>
      <c r="C1470" s="42"/>
      <c r="D1470" s="28" t="str">
        <f aca="false">IF(OR($B1470="",$C1470=""),"",$C1470*IFERROR(INDEX(Setup!$C$47:$C$56,MATCH($B1470,Setup!$A$47:$A$56,0)),IFERROR(INDEX(Setup!$C$60:$C$89,MATCH($B1470,Setup!$A$60:$A$89,0)),"")))</f>
        <v/>
      </c>
      <c r="E1470" s="42"/>
      <c r="F1470" s="42"/>
    </row>
    <row r="1471" customFormat="false" ht="15" hidden="false" customHeight="true" outlineLevel="0" collapsed="false">
      <c r="A1471" s="42"/>
      <c r="B1471" s="42"/>
      <c r="C1471" s="42"/>
      <c r="D1471" s="28" t="str">
        <f aca="false">IF(OR($B1471="",$C1471=""),"",$C1471*IFERROR(INDEX(Setup!$C$47:$C$56,MATCH($B1471,Setup!$A$47:$A$56,0)),IFERROR(INDEX(Setup!$C$60:$C$89,MATCH($B1471,Setup!$A$60:$A$89,0)),"")))</f>
        <v/>
      </c>
      <c r="E1471" s="42"/>
      <c r="F1471" s="42"/>
    </row>
    <row r="1472" customFormat="false" ht="15" hidden="false" customHeight="true" outlineLevel="0" collapsed="false">
      <c r="A1472" s="42"/>
      <c r="B1472" s="42"/>
      <c r="C1472" s="42"/>
      <c r="D1472" s="28" t="str">
        <f aca="false">IF(OR($B1472="",$C1472=""),"",$C1472*IFERROR(INDEX(Setup!$C$47:$C$56,MATCH($B1472,Setup!$A$47:$A$56,0)),IFERROR(INDEX(Setup!$C$60:$C$89,MATCH($B1472,Setup!$A$60:$A$89,0)),"")))</f>
        <v/>
      </c>
      <c r="E1472" s="42"/>
      <c r="F1472" s="42"/>
    </row>
    <row r="1473" customFormat="false" ht="15" hidden="false" customHeight="true" outlineLevel="0" collapsed="false">
      <c r="A1473" s="42"/>
      <c r="B1473" s="42"/>
      <c r="C1473" s="42"/>
      <c r="D1473" s="28" t="str">
        <f aca="false">IF(OR($B1473="",$C1473=""),"",$C1473*IFERROR(INDEX(Setup!$C$47:$C$56,MATCH($B1473,Setup!$A$47:$A$56,0)),IFERROR(INDEX(Setup!$C$60:$C$89,MATCH($B1473,Setup!$A$60:$A$89,0)),"")))</f>
        <v/>
      </c>
      <c r="E1473" s="42"/>
      <c r="F1473" s="42"/>
    </row>
    <row r="1474" customFormat="false" ht="15" hidden="false" customHeight="true" outlineLevel="0" collapsed="false">
      <c r="A1474" s="42"/>
      <c r="B1474" s="42"/>
      <c r="C1474" s="42"/>
      <c r="D1474" s="28" t="str">
        <f aca="false">IF(OR($B1474="",$C1474=""),"",$C1474*IFERROR(INDEX(Setup!$C$47:$C$56,MATCH($B1474,Setup!$A$47:$A$56,0)),IFERROR(INDEX(Setup!$C$60:$C$89,MATCH($B1474,Setup!$A$60:$A$89,0)),"")))</f>
        <v/>
      </c>
      <c r="E1474" s="42"/>
      <c r="F1474" s="42"/>
    </row>
    <row r="1475" customFormat="false" ht="15" hidden="false" customHeight="true" outlineLevel="0" collapsed="false">
      <c r="A1475" s="42"/>
      <c r="B1475" s="42"/>
      <c r="C1475" s="42"/>
      <c r="D1475" s="28" t="str">
        <f aca="false">IF(OR($B1475="",$C1475=""),"",$C1475*IFERROR(INDEX(Setup!$C$47:$C$56,MATCH($B1475,Setup!$A$47:$A$56,0)),IFERROR(INDEX(Setup!$C$60:$C$89,MATCH($B1475,Setup!$A$60:$A$89,0)),"")))</f>
        <v/>
      </c>
      <c r="E1475" s="42"/>
      <c r="F1475" s="42"/>
    </row>
    <row r="1476" customFormat="false" ht="15" hidden="false" customHeight="true" outlineLevel="0" collapsed="false">
      <c r="A1476" s="42"/>
      <c r="B1476" s="42"/>
      <c r="C1476" s="42"/>
      <c r="D1476" s="28" t="str">
        <f aca="false">IF(OR($B1476="",$C1476=""),"",$C1476*IFERROR(INDEX(Setup!$C$47:$C$56,MATCH($B1476,Setup!$A$47:$A$56,0)),IFERROR(INDEX(Setup!$C$60:$C$89,MATCH($B1476,Setup!$A$60:$A$89,0)),"")))</f>
        <v/>
      </c>
      <c r="E1476" s="42"/>
      <c r="F1476" s="42"/>
    </row>
    <row r="1477" customFormat="false" ht="15" hidden="false" customHeight="true" outlineLevel="0" collapsed="false">
      <c r="A1477" s="42"/>
      <c r="B1477" s="42"/>
      <c r="C1477" s="42"/>
      <c r="D1477" s="28" t="str">
        <f aca="false">IF(OR($B1477="",$C1477=""),"",$C1477*IFERROR(INDEX(Setup!$C$47:$C$56,MATCH($B1477,Setup!$A$47:$A$56,0)),IFERROR(INDEX(Setup!$C$60:$C$89,MATCH($B1477,Setup!$A$60:$A$89,0)),"")))</f>
        <v/>
      </c>
      <c r="E1477" s="42"/>
      <c r="F1477" s="42"/>
    </row>
    <row r="1478" customFormat="false" ht="15" hidden="false" customHeight="true" outlineLevel="0" collapsed="false">
      <c r="A1478" s="42"/>
      <c r="B1478" s="42"/>
      <c r="C1478" s="42"/>
      <c r="D1478" s="28" t="str">
        <f aca="false">IF(OR($B1478="",$C1478=""),"",$C1478*IFERROR(INDEX(Setup!$C$47:$C$56,MATCH($B1478,Setup!$A$47:$A$56,0)),IFERROR(INDEX(Setup!$C$60:$C$89,MATCH($B1478,Setup!$A$60:$A$89,0)),"")))</f>
        <v/>
      </c>
      <c r="E1478" s="42"/>
      <c r="F1478" s="42"/>
    </row>
    <row r="1479" customFormat="false" ht="15" hidden="false" customHeight="true" outlineLevel="0" collapsed="false">
      <c r="A1479" s="42"/>
      <c r="B1479" s="42"/>
      <c r="C1479" s="42"/>
      <c r="D1479" s="28" t="str">
        <f aca="false">IF(OR($B1479="",$C1479=""),"",$C1479*IFERROR(INDEX(Setup!$C$47:$C$56,MATCH($B1479,Setup!$A$47:$A$56,0)),IFERROR(INDEX(Setup!$C$60:$C$89,MATCH($B1479,Setup!$A$60:$A$89,0)),"")))</f>
        <v/>
      </c>
      <c r="E1479" s="42"/>
      <c r="F1479" s="42"/>
    </row>
    <row r="1480" customFormat="false" ht="15" hidden="false" customHeight="true" outlineLevel="0" collapsed="false">
      <c r="A1480" s="42"/>
      <c r="B1480" s="42"/>
      <c r="C1480" s="42"/>
      <c r="D1480" s="28" t="str">
        <f aca="false">IF(OR($B1480="",$C1480=""),"",$C1480*IFERROR(INDEX(Setup!$C$47:$C$56,MATCH($B1480,Setup!$A$47:$A$56,0)),IFERROR(INDEX(Setup!$C$60:$C$89,MATCH($B1480,Setup!$A$60:$A$89,0)),"")))</f>
        <v/>
      </c>
      <c r="E1480" s="42"/>
      <c r="F1480" s="42"/>
    </row>
    <row r="1481" customFormat="false" ht="15" hidden="false" customHeight="true" outlineLevel="0" collapsed="false">
      <c r="A1481" s="42"/>
      <c r="B1481" s="42"/>
      <c r="C1481" s="42"/>
      <c r="D1481" s="28" t="str">
        <f aca="false">IF(OR($B1481="",$C1481=""),"",$C1481*IFERROR(INDEX(Setup!$C$47:$C$56,MATCH($B1481,Setup!$A$47:$A$56,0)),IFERROR(INDEX(Setup!$C$60:$C$89,MATCH($B1481,Setup!$A$60:$A$89,0)),"")))</f>
        <v/>
      </c>
      <c r="E1481" s="42"/>
      <c r="F1481" s="42"/>
    </row>
    <row r="1482" customFormat="false" ht="15" hidden="false" customHeight="true" outlineLevel="0" collapsed="false">
      <c r="A1482" s="42"/>
      <c r="B1482" s="42"/>
      <c r="C1482" s="42"/>
      <c r="D1482" s="28" t="str">
        <f aca="false">IF(OR($B1482="",$C1482=""),"",$C1482*IFERROR(INDEX(Setup!$C$47:$C$56,MATCH($B1482,Setup!$A$47:$A$56,0)),IFERROR(INDEX(Setup!$C$60:$C$89,MATCH($B1482,Setup!$A$60:$A$89,0)),"")))</f>
        <v/>
      </c>
      <c r="E1482" s="42"/>
      <c r="F1482" s="42"/>
    </row>
    <row r="1483" customFormat="false" ht="15" hidden="false" customHeight="true" outlineLevel="0" collapsed="false">
      <c r="A1483" s="42"/>
      <c r="B1483" s="42"/>
      <c r="C1483" s="42"/>
      <c r="D1483" s="28" t="str">
        <f aca="false">IF(OR($B1483="",$C1483=""),"",$C1483*IFERROR(INDEX(Setup!$C$47:$C$56,MATCH($B1483,Setup!$A$47:$A$56,0)),IFERROR(INDEX(Setup!$C$60:$C$89,MATCH($B1483,Setup!$A$60:$A$89,0)),"")))</f>
        <v/>
      </c>
      <c r="E1483" s="42"/>
      <c r="F1483" s="42"/>
    </row>
    <row r="1484" customFormat="false" ht="15" hidden="false" customHeight="true" outlineLevel="0" collapsed="false">
      <c r="A1484" s="42"/>
      <c r="B1484" s="42"/>
      <c r="C1484" s="42"/>
      <c r="D1484" s="28" t="str">
        <f aca="false">IF(OR($B1484="",$C1484=""),"",$C1484*IFERROR(INDEX(Setup!$C$47:$C$56,MATCH($B1484,Setup!$A$47:$A$56,0)),IFERROR(INDEX(Setup!$C$60:$C$89,MATCH($B1484,Setup!$A$60:$A$89,0)),"")))</f>
        <v/>
      </c>
      <c r="E1484" s="42"/>
      <c r="F1484" s="42"/>
    </row>
    <row r="1485" customFormat="false" ht="15" hidden="false" customHeight="true" outlineLevel="0" collapsed="false">
      <c r="A1485" s="42"/>
      <c r="B1485" s="42"/>
      <c r="C1485" s="42"/>
      <c r="D1485" s="28" t="str">
        <f aca="false">IF(OR($B1485="",$C1485=""),"",$C1485*IFERROR(INDEX(Setup!$C$47:$C$56,MATCH($B1485,Setup!$A$47:$A$56,0)),IFERROR(INDEX(Setup!$C$60:$C$89,MATCH($B1485,Setup!$A$60:$A$89,0)),"")))</f>
        <v/>
      </c>
      <c r="E1485" s="42"/>
      <c r="F1485" s="42"/>
    </row>
    <row r="1486" customFormat="false" ht="15" hidden="false" customHeight="true" outlineLevel="0" collapsed="false">
      <c r="A1486" s="42"/>
      <c r="B1486" s="42"/>
      <c r="C1486" s="42"/>
      <c r="D1486" s="28" t="str">
        <f aca="false">IF(OR($B1486="",$C1486=""),"",$C1486*IFERROR(INDEX(Setup!$C$47:$C$56,MATCH($B1486,Setup!$A$47:$A$56,0)),IFERROR(INDEX(Setup!$C$60:$C$89,MATCH($B1486,Setup!$A$60:$A$89,0)),"")))</f>
        <v/>
      </c>
      <c r="E1486" s="42"/>
      <c r="F1486" s="42"/>
    </row>
    <row r="1487" customFormat="false" ht="15" hidden="false" customHeight="true" outlineLevel="0" collapsed="false">
      <c r="A1487" s="42"/>
      <c r="B1487" s="42"/>
      <c r="C1487" s="42"/>
      <c r="D1487" s="28" t="str">
        <f aca="false">IF(OR($B1487="",$C1487=""),"",$C1487*IFERROR(INDEX(Setup!$C$47:$C$56,MATCH($B1487,Setup!$A$47:$A$56,0)),IFERROR(INDEX(Setup!$C$60:$C$89,MATCH($B1487,Setup!$A$60:$A$89,0)),"")))</f>
        <v/>
      </c>
      <c r="E1487" s="42"/>
      <c r="F1487" s="42"/>
    </row>
    <row r="1488" customFormat="false" ht="15" hidden="false" customHeight="true" outlineLevel="0" collapsed="false">
      <c r="A1488" s="42"/>
      <c r="B1488" s="42"/>
      <c r="C1488" s="42"/>
      <c r="D1488" s="28" t="str">
        <f aca="false">IF(OR($B1488="",$C1488=""),"",$C1488*IFERROR(INDEX(Setup!$C$47:$C$56,MATCH($B1488,Setup!$A$47:$A$56,0)),IFERROR(INDEX(Setup!$C$60:$C$89,MATCH($B1488,Setup!$A$60:$A$89,0)),"")))</f>
        <v/>
      </c>
      <c r="E1488" s="42"/>
      <c r="F1488" s="42"/>
    </row>
    <row r="1489" customFormat="false" ht="15" hidden="false" customHeight="true" outlineLevel="0" collapsed="false">
      <c r="A1489" s="42"/>
      <c r="B1489" s="42"/>
      <c r="C1489" s="42"/>
      <c r="D1489" s="28" t="str">
        <f aca="false">IF(OR($B1489="",$C1489=""),"",$C1489*IFERROR(INDEX(Setup!$C$47:$C$56,MATCH($B1489,Setup!$A$47:$A$56,0)),IFERROR(INDEX(Setup!$C$60:$C$89,MATCH($B1489,Setup!$A$60:$A$89,0)),"")))</f>
        <v/>
      </c>
      <c r="E1489" s="42"/>
      <c r="F1489" s="42"/>
    </row>
    <row r="1490" customFormat="false" ht="15" hidden="false" customHeight="true" outlineLevel="0" collapsed="false">
      <c r="A1490" s="42"/>
      <c r="B1490" s="42"/>
      <c r="C1490" s="42"/>
      <c r="D1490" s="28" t="str">
        <f aca="false">IF(OR($B1490="",$C1490=""),"",$C1490*IFERROR(INDEX(Setup!$C$47:$C$56,MATCH($B1490,Setup!$A$47:$A$56,0)),IFERROR(INDEX(Setup!$C$60:$C$89,MATCH($B1490,Setup!$A$60:$A$89,0)),"")))</f>
        <v/>
      </c>
      <c r="E1490" s="42"/>
      <c r="F1490" s="42"/>
    </row>
    <row r="1491" customFormat="false" ht="15" hidden="false" customHeight="true" outlineLevel="0" collapsed="false">
      <c r="A1491" s="42"/>
      <c r="B1491" s="42"/>
      <c r="C1491" s="42"/>
      <c r="D1491" s="28" t="str">
        <f aca="false">IF(OR($B1491="",$C1491=""),"",$C1491*IFERROR(INDEX(Setup!$C$47:$C$56,MATCH($B1491,Setup!$A$47:$A$56,0)),IFERROR(INDEX(Setup!$C$60:$C$89,MATCH($B1491,Setup!$A$60:$A$89,0)),"")))</f>
        <v/>
      </c>
      <c r="E1491" s="42"/>
      <c r="F1491" s="42"/>
    </row>
    <row r="1492" customFormat="false" ht="15" hidden="false" customHeight="true" outlineLevel="0" collapsed="false">
      <c r="A1492" s="42"/>
      <c r="B1492" s="42"/>
      <c r="C1492" s="42"/>
      <c r="D1492" s="28" t="str">
        <f aca="false">IF(OR($B1492="",$C1492=""),"",$C1492*IFERROR(INDEX(Setup!$C$47:$C$56,MATCH($B1492,Setup!$A$47:$A$56,0)),IFERROR(INDEX(Setup!$C$60:$C$89,MATCH($B1492,Setup!$A$60:$A$89,0)),"")))</f>
        <v/>
      </c>
      <c r="E1492" s="42"/>
      <c r="F1492" s="42"/>
    </row>
    <row r="1493" customFormat="false" ht="15" hidden="false" customHeight="true" outlineLevel="0" collapsed="false">
      <c r="A1493" s="42"/>
      <c r="B1493" s="42"/>
      <c r="C1493" s="42"/>
      <c r="D1493" s="28" t="str">
        <f aca="false">IF(OR($B1493="",$C1493=""),"",$C1493*IFERROR(INDEX(Setup!$C$47:$C$56,MATCH($B1493,Setup!$A$47:$A$56,0)),IFERROR(INDEX(Setup!$C$60:$C$89,MATCH($B1493,Setup!$A$60:$A$89,0)),"")))</f>
        <v/>
      </c>
      <c r="E1493" s="42"/>
      <c r="F1493" s="42"/>
    </row>
    <row r="1494" customFormat="false" ht="15" hidden="false" customHeight="true" outlineLevel="0" collapsed="false">
      <c r="A1494" s="42"/>
      <c r="B1494" s="42"/>
      <c r="C1494" s="42"/>
      <c r="D1494" s="28" t="str">
        <f aca="false">IF(OR($B1494="",$C1494=""),"",$C1494*IFERROR(INDEX(Setup!$C$47:$C$56,MATCH($B1494,Setup!$A$47:$A$56,0)),IFERROR(INDEX(Setup!$C$60:$C$89,MATCH($B1494,Setup!$A$60:$A$89,0)),"")))</f>
        <v/>
      </c>
      <c r="E1494" s="42"/>
      <c r="F1494" s="42"/>
    </row>
    <row r="1495" customFormat="false" ht="15" hidden="false" customHeight="true" outlineLevel="0" collapsed="false">
      <c r="A1495" s="42"/>
      <c r="B1495" s="42"/>
      <c r="C1495" s="42"/>
      <c r="D1495" s="28" t="str">
        <f aca="false">IF(OR($B1495="",$C1495=""),"",$C1495*IFERROR(INDEX(Setup!$C$47:$C$56,MATCH($B1495,Setup!$A$47:$A$56,0)),IFERROR(INDEX(Setup!$C$60:$C$89,MATCH($B1495,Setup!$A$60:$A$89,0)),"")))</f>
        <v/>
      </c>
      <c r="E1495" s="42"/>
      <c r="F1495" s="42"/>
    </row>
    <row r="1496" customFormat="false" ht="15" hidden="false" customHeight="true" outlineLevel="0" collapsed="false">
      <c r="A1496" s="42"/>
      <c r="B1496" s="42"/>
      <c r="C1496" s="42"/>
      <c r="D1496" s="28" t="str">
        <f aca="false">IF(OR($B1496="",$C1496=""),"",$C1496*IFERROR(INDEX(Setup!$C$47:$C$56,MATCH($B1496,Setup!$A$47:$A$56,0)),IFERROR(INDEX(Setup!$C$60:$C$89,MATCH($B1496,Setup!$A$60:$A$89,0)),"")))</f>
        <v/>
      </c>
      <c r="E1496" s="42"/>
      <c r="F1496" s="42"/>
    </row>
    <row r="1497" customFormat="false" ht="15" hidden="false" customHeight="true" outlineLevel="0" collapsed="false">
      <c r="A1497" s="42"/>
      <c r="B1497" s="42"/>
      <c r="C1497" s="42"/>
      <c r="D1497" s="28" t="str">
        <f aca="false">IF(OR($B1497="",$C1497=""),"",$C1497*IFERROR(INDEX(Setup!$C$47:$C$56,MATCH($B1497,Setup!$A$47:$A$56,0)),IFERROR(INDEX(Setup!$C$60:$C$89,MATCH($B1497,Setup!$A$60:$A$89,0)),"")))</f>
        <v/>
      </c>
      <c r="E1497" s="42"/>
      <c r="F1497" s="42"/>
    </row>
    <row r="1498" customFormat="false" ht="15" hidden="false" customHeight="true" outlineLevel="0" collapsed="false">
      <c r="A1498" s="42"/>
      <c r="B1498" s="42"/>
      <c r="C1498" s="42"/>
      <c r="D1498" s="28" t="str">
        <f aca="false">IF(OR($B1498="",$C1498=""),"",$C1498*IFERROR(INDEX(Setup!$C$47:$C$56,MATCH($B1498,Setup!$A$47:$A$56,0)),IFERROR(INDEX(Setup!$C$60:$C$89,MATCH($B1498,Setup!$A$60:$A$89,0)),"")))</f>
        <v/>
      </c>
      <c r="E1498" s="42"/>
      <c r="F1498" s="42"/>
    </row>
    <row r="1499" customFormat="false" ht="15" hidden="false" customHeight="true" outlineLevel="0" collapsed="false">
      <c r="A1499" s="42"/>
      <c r="B1499" s="42"/>
      <c r="C1499" s="42"/>
      <c r="D1499" s="28" t="str">
        <f aca="false">IF(OR($B1499="",$C1499=""),"",$C1499*IFERROR(INDEX(Setup!$C$47:$C$56,MATCH($B1499,Setup!$A$47:$A$56,0)),IFERROR(INDEX(Setup!$C$60:$C$89,MATCH($B1499,Setup!$A$60:$A$89,0)),"")))</f>
        <v/>
      </c>
      <c r="E1499" s="42"/>
      <c r="F1499" s="42"/>
    </row>
    <row r="1500" customFormat="false" ht="15" hidden="false" customHeight="true" outlineLevel="0" collapsed="false">
      <c r="A1500" s="42"/>
      <c r="B1500" s="42"/>
      <c r="C1500" s="42"/>
      <c r="D1500" s="28" t="str">
        <f aca="false">IF(OR($B1500="",$C1500=""),"",$C1500*IFERROR(INDEX(Setup!$C$47:$C$56,MATCH($B1500,Setup!$A$47:$A$56,0)),IFERROR(INDEX(Setup!$C$60:$C$89,MATCH($B1500,Setup!$A$60:$A$89,0)),"")))</f>
        <v/>
      </c>
      <c r="E1500" s="42"/>
      <c r="F1500" s="42"/>
    </row>
    <row r="1501" customFormat="false" ht="15" hidden="false" customHeight="true" outlineLevel="0" collapsed="false">
      <c r="A1501" s="42"/>
      <c r="B1501" s="42"/>
      <c r="C1501" s="42"/>
      <c r="D1501" s="28" t="str">
        <f aca="false">IF(OR($B1501="",$C1501=""),"",$C1501*IFERROR(INDEX(Setup!$C$47:$C$56,MATCH($B1501,Setup!$A$47:$A$56,0)),IFERROR(INDEX(Setup!$C$60:$C$89,MATCH($B1501,Setup!$A$60:$A$89,0)),"")))</f>
        <v/>
      </c>
      <c r="E1501" s="42"/>
      <c r="F1501" s="42"/>
    </row>
    <row r="1502" customFormat="false" ht="15" hidden="false" customHeight="true" outlineLevel="0" collapsed="false">
      <c r="A1502" s="42"/>
      <c r="B1502" s="42"/>
      <c r="C1502" s="42"/>
      <c r="D1502" s="28" t="str">
        <f aca="false">IF(OR($B1502="",$C1502=""),"",$C1502*IFERROR(INDEX(Setup!$C$47:$C$56,MATCH($B1502,Setup!$A$47:$A$56,0)),IFERROR(INDEX(Setup!$C$60:$C$89,MATCH($B1502,Setup!$A$60:$A$89,0)),"")))</f>
        <v/>
      </c>
      <c r="E1502" s="42"/>
      <c r="F1502" s="42"/>
    </row>
    <row r="1503" customFormat="false" ht="15" hidden="false" customHeight="true" outlineLevel="0" collapsed="false">
      <c r="A1503" s="42"/>
      <c r="B1503" s="42"/>
      <c r="C1503" s="42"/>
      <c r="D1503" s="28" t="str">
        <f aca="false">IF(OR($B1503="",$C1503=""),"",$C1503*IFERROR(INDEX(Setup!$C$47:$C$56,MATCH($B1503,Setup!$A$47:$A$56,0)),IFERROR(INDEX(Setup!$C$60:$C$89,MATCH($B1503,Setup!$A$60:$A$89,0)),"")))</f>
        <v/>
      </c>
      <c r="E1503" s="42"/>
      <c r="F1503" s="42"/>
    </row>
    <row r="1504" customFormat="false" ht="15" hidden="false" customHeight="true" outlineLevel="0" collapsed="false">
      <c r="A1504" s="42"/>
      <c r="B1504" s="42"/>
      <c r="C1504" s="42"/>
      <c r="D1504" s="28" t="str">
        <f aca="false">IF(OR($B1504="",$C1504=""),"",$C1504*IFERROR(INDEX(Setup!$C$47:$C$56,MATCH($B1504,Setup!$A$47:$A$56,0)),IFERROR(INDEX(Setup!$C$60:$C$89,MATCH($B1504,Setup!$A$60:$A$89,0)),"")))</f>
        <v/>
      </c>
      <c r="E1504" s="42"/>
      <c r="F1504" s="42"/>
    </row>
    <row r="1505" customFormat="false" ht="15" hidden="false" customHeight="true" outlineLevel="0" collapsed="false">
      <c r="A1505" s="42"/>
      <c r="B1505" s="42"/>
      <c r="C1505" s="42"/>
      <c r="D1505" s="28" t="str">
        <f aca="false">IF(OR($B1505="",$C1505=""),"",$C1505*IFERROR(INDEX(Setup!$C$47:$C$56,MATCH($B1505,Setup!$A$47:$A$56,0)),IFERROR(INDEX(Setup!$C$60:$C$89,MATCH($B1505,Setup!$A$60:$A$89,0)),"")))</f>
        <v/>
      </c>
      <c r="E1505" s="42"/>
      <c r="F1505" s="42"/>
    </row>
    <row r="1506" customFormat="false" ht="15" hidden="false" customHeight="true" outlineLevel="0" collapsed="false">
      <c r="A1506" s="42"/>
      <c r="B1506" s="42"/>
      <c r="C1506" s="42"/>
      <c r="D1506" s="28" t="str">
        <f aca="false">IF(OR($B1506="",$C1506=""),"",$C1506*IFERROR(INDEX(Setup!$C$47:$C$56,MATCH($B1506,Setup!$A$47:$A$56,0)),IFERROR(INDEX(Setup!$C$60:$C$89,MATCH($B1506,Setup!$A$60:$A$89,0)),"")))</f>
        <v/>
      </c>
      <c r="E1506" s="42"/>
      <c r="F1506" s="42"/>
    </row>
    <row r="1507" customFormat="false" ht="15" hidden="false" customHeight="true" outlineLevel="0" collapsed="false">
      <c r="A1507" s="42"/>
      <c r="B1507" s="42"/>
      <c r="C1507" s="42"/>
      <c r="D1507" s="28" t="str">
        <f aca="false">IF(OR($B1507="",$C1507=""),"",$C1507*IFERROR(INDEX(Setup!$C$47:$C$56,MATCH($B1507,Setup!$A$47:$A$56,0)),IFERROR(INDEX(Setup!$C$60:$C$89,MATCH($B1507,Setup!$A$60:$A$89,0)),"")))</f>
        <v/>
      </c>
      <c r="E1507" s="42"/>
      <c r="F1507" s="42"/>
    </row>
    <row r="1508" customFormat="false" ht="15" hidden="false" customHeight="true" outlineLevel="0" collapsed="false">
      <c r="A1508" s="42"/>
      <c r="B1508" s="42"/>
      <c r="C1508" s="42"/>
      <c r="D1508" s="28" t="str">
        <f aca="false">IF(OR($B1508="",$C1508=""),"",$C1508*IFERROR(INDEX(Setup!$C$47:$C$56,MATCH($B1508,Setup!$A$47:$A$56,0)),IFERROR(INDEX(Setup!$C$60:$C$89,MATCH($B1508,Setup!$A$60:$A$89,0)),"")))</f>
        <v/>
      </c>
      <c r="E1508" s="42"/>
      <c r="F1508" s="42"/>
    </row>
    <row r="1509" customFormat="false" ht="15" hidden="false" customHeight="true" outlineLevel="0" collapsed="false">
      <c r="A1509" s="42"/>
      <c r="B1509" s="42"/>
      <c r="C1509" s="42"/>
      <c r="D1509" s="28" t="str">
        <f aca="false">IF(OR($B1509="",$C1509=""),"",$C1509*IFERROR(INDEX(Setup!$C$47:$C$56,MATCH($B1509,Setup!$A$47:$A$56,0)),IFERROR(INDEX(Setup!$C$60:$C$89,MATCH($B1509,Setup!$A$60:$A$89,0)),"")))</f>
        <v/>
      </c>
      <c r="E1509" s="42"/>
      <c r="F1509" s="42"/>
    </row>
    <row r="1510" customFormat="false" ht="15" hidden="false" customHeight="true" outlineLevel="0" collapsed="false">
      <c r="A1510" s="42"/>
      <c r="B1510" s="42"/>
      <c r="C1510" s="42"/>
      <c r="D1510" s="28" t="str">
        <f aca="false">IF(OR($B1510="",$C1510=""),"",$C1510*IFERROR(INDEX(Setup!$C$47:$C$56,MATCH($B1510,Setup!$A$47:$A$56,0)),IFERROR(INDEX(Setup!$C$60:$C$89,MATCH($B1510,Setup!$A$60:$A$89,0)),"")))</f>
        <v/>
      </c>
      <c r="E1510" s="42"/>
      <c r="F1510" s="42"/>
    </row>
    <row r="1511" customFormat="false" ht="15" hidden="false" customHeight="true" outlineLevel="0" collapsed="false">
      <c r="A1511" s="42"/>
      <c r="B1511" s="42"/>
      <c r="C1511" s="42"/>
      <c r="D1511" s="28" t="str">
        <f aca="false">IF(OR($B1511="",$C1511=""),"",$C1511*IFERROR(INDEX(Setup!$C$47:$C$56,MATCH($B1511,Setup!$A$47:$A$56,0)),IFERROR(INDEX(Setup!$C$60:$C$89,MATCH($B1511,Setup!$A$60:$A$89,0)),"")))</f>
        <v/>
      </c>
      <c r="E1511" s="42"/>
      <c r="F1511" s="42"/>
    </row>
    <row r="1512" customFormat="false" ht="15" hidden="false" customHeight="true" outlineLevel="0" collapsed="false">
      <c r="A1512" s="42"/>
      <c r="B1512" s="42"/>
      <c r="C1512" s="42"/>
      <c r="D1512" s="28" t="str">
        <f aca="false">IF(OR($B1512="",$C1512=""),"",$C1512*IFERROR(INDEX(Setup!$C$47:$C$56,MATCH($B1512,Setup!$A$47:$A$56,0)),IFERROR(INDEX(Setup!$C$60:$C$89,MATCH($B1512,Setup!$A$60:$A$89,0)),"")))</f>
        <v/>
      </c>
      <c r="E1512" s="42"/>
      <c r="F1512" s="42"/>
    </row>
    <row r="1513" customFormat="false" ht="15" hidden="false" customHeight="true" outlineLevel="0" collapsed="false">
      <c r="A1513" s="42"/>
      <c r="B1513" s="42"/>
      <c r="C1513" s="42"/>
      <c r="D1513" s="28" t="str">
        <f aca="false">IF(OR($B1513="",$C1513=""),"",$C1513*IFERROR(INDEX(Setup!$C$47:$C$56,MATCH($B1513,Setup!$A$47:$A$56,0)),IFERROR(INDEX(Setup!$C$60:$C$89,MATCH($B1513,Setup!$A$60:$A$89,0)),"")))</f>
        <v/>
      </c>
      <c r="E1513" s="42"/>
      <c r="F1513" s="42"/>
    </row>
    <row r="1514" customFormat="false" ht="15" hidden="false" customHeight="true" outlineLevel="0" collapsed="false">
      <c r="A1514" s="42"/>
      <c r="B1514" s="42"/>
      <c r="C1514" s="42"/>
      <c r="D1514" s="28" t="str">
        <f aca="false">IF(OR($B1514="",$C1514=""),"",$C1514*IFERROR(INDEX(Setup!$C$47:$C$56,MATCH($B1514,Setup!$A$47:$A$56,0)),IFERROR(INDEX(Setup!$C$60:$C$89,MATCH($B1514,Setup!$A$60:$A$89,0)),"")))</f>
        <v/>
      </c>
      <c r="E1514" s="42"/>
      <c r="F1514" s="42"/>
    </row>
    <row r="1515" customFormat="false" ht="15" hidden="false" customHeight="true" outlineLevel="0" collapsed="false">
      <c r="A1515" s="42"/>
      <c r="B1515" s="42"/>
      <c r="C1515" s="42"/>
      <c r="D1515" s="28" t="str">
        <f aca="false">IF(OR($B1515="",$C1515=""),"",$C1515*IFERROR(INDEX(Setup!$C$47:$C$56,MATCH($B1515,Setup!$A$47:$A$56,0)),IFERROR(INDEX(Setup!$C$60:$C$89,MATCH($B1515,Setup!$A$60:$A$89,0)),"")))</f>
        <v/>
      </c>
      <c r="E1515" s="42"/>
      <c r="F1515" s="42"/>
    </row>
    <row r="1516" customFormat="false" ht="15" hidden="false" customHeight="true" outlineLevel="0" collapsed="false">
      <c r="A1516" s="42"/>
      <c r="B1516" s="42"/>
      <c r="C1516" s="42"/>
      <c r="D1516" s="28" t="str">
        <f aca="false">IF(OR($B1516="",$C1516=""),"",$C1516*IFERROR(INDEX(Setup!$C$47:$C$56,MATCH($B1516,Setup!$A$47:$A$56,0)),IFERROR(INDEX(Setup!$C$60:$C$89,MATCH($B1516,Setup!$A$60:$A$89,0)),"")))</f>
        <v/>
      </c>
      <c r="E1516" s="42"/>
      <c r="F1516" s="42"/>
    </row>
    <row r="1517" customFormat="false" ht="15" hidden="false" customHeight="true" outlineLevel="0" collapsed="false">
      <c r="A1517" s="42"/>
      <c r="B1517" s="42"/>
      <c r="C1517" s="42"/>
      <c r="D1517" s="28" t="str">
        <f aca="false">IF(OR($B1517="",$C1517=""),"",$C1517*IFERROR(INDEX(Setup!$C$47:$C$56,MATCH($B1517,Setup!$A$47:$A$56,0)),IFERROR(INDEX(Setup!$C$60:$C$89,MATCH($B1517,Setup!$A$60:$A$89,0)),"")))</f>
        <v/>
      </c>
      <c r="E1517" s="42"/>
      <c r="F1517" s="42"/>
    </row>
    <row r="1518" customFormat="false" ht="15" hidden="false" customHeight="true" outlineLevel="0" collapsed="false">
      <c r="A1518" s="42"/>
      <c r="B1518" s="42"/>
      <c r="C1518" s="42"/>
      <c r="D1518" s="28" t="str">
        <f aca="false">IF(OR($B1518="",$C1518=""),"",$C1518*IFERROR(INDEX(Setup!$C$47:$C$56,MATCH($B1518,Setup!$A$47:$A$56,0)),IFERROR(INDEX(Setup!$C$60:$C$89,MATCH($B1518,Setup!$A$60:$A$89,0)),"")))</f>
        <v/>
      </c>
      <c r="E1518" s="42"/>
      <c r="F1518" s="42"/>
    </row>
    <row r="1519" customFormat="false" ht="15" hidden="false" customHeight="true" outlineLevel="0" collapsed="false">
      <c r="A1519" s="42"/>
      <c r="B1519" s="42"/>
      <c r="C1519" s="42"/>
      <c r="D1519" s="28" t="str">
        <f aca="false">IF(OR($B1519="",$C1519=""),"",$C1519*IFERROR(INDEX(Setup!$C$47:$C$56,MATCH($B1519,Setup!$A$47:$A$56,0)),IFERROR(INDEX(Setup!$C$60:$C$89,MATCH($B1519,Setup!$A$60:$A$89,0)),"")))</f>
        <v/>
      </c>
      <c r="E1519" s="42"/>
      <c r="F1519" s="42"/>
    </row>
    <row r="1520" customFormat="false" ht="15" hidden="false" customHeight="true" outlineLevel="0" collapsed="false">
      <c r="A1520" s="42"/>
      <c r="B1520" s="42"/>
      <c r="C1520" s="42"/>
      <c r="D1520" s="28" t="str">
        <f aca="false">IF(OR($B1520="",$C1520=""),"",$C1520*IFERROR(INDEX(Setup!$C$47:$C$56,MATCH($B1520,Setup!$A$47:$A$56,0)),IFERROR(INDEX(Setup!$C$60:$C$89,MATCH($B1520,Setup!$A$60:$A$89,0)),"")))</f>
        <v/>
      </c>
      <c r="E1520" s="42"/>
      <c r="F1520" s="42"/>
    </row>
    <row r="1521" customFormat="false" ht="15" hidden="false" customHeight="true" outlineLevel="0" collapsed="false">
      <c r="A1521" s="42"/>
      <c r="B1521" s="42"/>
      <c r="C1521" s="42"/>
      <c r="D1521" s="28" t="str">
        <f aca="false">IF(OR($B1521="",$C1521=""),"",$C1521*IFERROR(INDEX(Setup!$C$47:$C$56,MATCH($B1521,Setup!$A$47:$A$56,0)),IFERROR(INDEX(Setup!$C$60:$C$89,MATCH($B1521,Setup!$A$60:$A$89,0)),"")))</f>
        <v/>
      </c>
      <c r="E1521" s="42"/>
      <c r="F1521" s="42"/>
    </row>
    <row r="1522" customFormat="false" ht="15" hidden="false" customHeight="true" outlineLevel="0" collapsed="false">
      <c r="A1522" s="42"/>
      <c r="B1522" s="42"/>
      <c r="C1522" s="42"/>
      <c r="D1522" s="28" t="str">
        <f aca="false">IF(OR($B1522="",$C1522=""),"",$C1522*IFERROR(INDEX(Setup!$C$47:$C$56,MATCH($B1522,Setup!$A$47:$A$56,0)),IFERROR(INDEX(Setup!$C$60:$C$89,MATCH($B1522,Setup!$A$60:$A$89,0)),"")))</f>
        <v/>
      </c>
      <c r="E1522" s="42"/>
      <c r="F1522" s="42"/>
    </row>
    <row r="1523" customFormat="false" ht="15" hidden="false" customHeight="true" outlineLevel="0" collapsed="false">
      <c r="A1523" s="42"/>
      <c r="B1523" s="42"/>
      <c r="C1523" s="42"/>
      <c r="D1523" s="28" t="str">
        <f aca="false">IF(OR($B1523="",$C1523=""),"",$C1523*IFERROR(INDEX(Setup!$C$47:$C$56,MATCH($B1523,Setup!$A$47:$A$56,0)),IFERROR(INDEX(Setup!$C$60:$C$89,MATCH($B1523,Setup!$A$60:$A$89,0)),"")))</f>
        <v/>
      </c>
      <c r="E1523" s="42"/>
      <c r="F1523" s="42"/>
    </row>
    <row r="1524" customFormat="false" ht="15" hidden="false" customHeight="true" outlineLevel="0" collapsed="false">
      <c r="A1524" s="42"/>
      <c r="B1524" s="42"/>
      <c r="C1524" s="42"/>
      <c r="D1524" s="28" t="str">
        <f aca="false">IF(OR($B1524="",$C1524=""),"",$C1524*IFERROR(INDEX(Setup!$C$47:$C$56,MATCH($B1524,Setup!$A$47:$A$56,0)),IFERROR(INDEX(Setup!$C$60:$C$89,MATCH($B1524,Setup!$A$60:$A$89,0)),"")))</f>
        <v/>
      </c>
      <c r="E1524" s="42"/>
      <c r="F1524" s="42"/>
    </row>
    <row r="1525" customFormat="false" ht="15" hidden="false" customHeight="true" outlineLevel="0" collapsed="false">
      <c r="A1525" s="42"/>
      <c r="B1525" s="42"/>
      <c r="C1525" s="42"/>
      <c r="D1525" s="28" t="str">
        <f aca="false">IF(OR($B1525="",$C1525=""),"",$C1525*IFERROR(INDEX(Setup!$C$47:$C$56,MATCH($B1525,Setup!$A$47:$A$56,0)),IFERROR(INDEX(Setup!$C$60:$C$89,MATCH($B1525,Setup!$A$60:$A$89,0)),"")))</f>
        <v/>
      </c>
      <c r="E1525" s="42"/>
      <c r="F1525" s="42"/>
    </row>
    <row r="1526" customFormat="false" ht="15" hidden="false" customHeight="true" outlineLevel="0" collapsed="false">
      <c r="A1526" s="42"/>
      <c r="B1526" s="42"/>
      <c r="C1526" s="42"/>
      <c r="D1526" s="28" t="str">
        <f aca="false">IF(OR($B1526="",$C1526=""),"",$C1526*IFERROR(INDEX(Setup!$C$47:$C$56,MATCH($B1526,Setup!$A$47:$A$56,0)),IFERROR(INDEX(Setup!$C$60:$C$89,MATCH($B1526,Setup!$A$60:$A$89,0)),"")))</f>
        <v/>
      </c>
      <c r="E1526" s="42"/>
      <c r="F1526" s="42"/>
    </row>
    <row r="1527" customFormat="false" ht="15" hidden="false" customHeight="true" outlineLevel="0" collapsed="false">
      <c r="A1527" s="42"/>
      <c r="B1527" s="42"/>
      <c r="C1527" s="42"/>
      <c r="D1527" s="28" t="str">
        <f aca="false">IF(OR($B1527="",$C1527=""),"",$C1527*IFERROR(INDEX(Setup!$C$47:$C$56,MATCH($B1527,Setup!$A$47:$A$56,0)),IFERROR(INDEX(Setup!$C$60:$C$89,MATCH($B1527,Setup!$A$60:$A$89,0)),"")))</f>
        <v/>
      </c>
      <c r="E1527" s="42"/>
      <c r="F1527" s="42"/>
    </row>
    <row r="1528" customFormat="false" ht="15" hidden="false" customHeight="true" outlineLevel="0" collapsed="false">
      <c r="A1528" s="42"/>
      <c r="B1528" s="42"/>
      <c r="C1528" s="42"/>
      <c r="D1528" s="28" t="str">
        <f aca="false">IF(OR($B1528="",$C1528=""),"",$C1528*IFERROR(INDEX(Setup!$C$47:$C$56,MATCH($B1528,Setup!$A$47:$A$56,0)),IFERROR(INDEX(Setup!$C$60:$C$89,MATCH($B1528,Setup!$A$60:$A$89,0)),"")))</f>
        <v/>
      </c>
      <c r="E1528" s="42"/>
      <c r="F1528" s="42"/>
    </row>
    <row r="1529" customFormat="false" ht="15" hidden="false" customHeight="true" outlineLevel="0" collapsed="false">
      <c r="A1529" s="42"/>
      <c r="B1529" s="42"/>
      <c r="C1529" s="42"/>
      <c r="D1529" s="28" t="str">
        <f aca="false">IF(OR($B1529="",$C1529=""),"",$C1529*IFERROR(INDEX(Setup!$C$47:$C$56,MATCH($B1529,Setup!$A$47:$A$56,0)),IFERROR(INDEX(Setup!$C$60:$C$89,MATCH($B1529,Setup!$A$60:$A$89,0)),"")))</f>
        <v/>
      </c>
      <c r="E1529" s="42"/>
      <c r="F1529" s="42"/>
    </row>
    <row r="1530" customFormat="false" ht="15" hidden="false" customHeight="true" outlineLevel="0" collapsed="false">
      <c r="A1530" s="42"/>
      <c r="B1530" s="42"/>
      <c r="C1530" s="42"/>
      <c r="D1530" s="28" t="str">
        <f aca="false">IF(OR($B1530="",$C1530=""),"",$C1530*IFERROR(INDEX(Setup!$C$47:$C$56,MATCH($B1530,Setup!$A$47:$A$56,0)),IFERROR(INDEX(Setup!$C$60:$C$89,MATCH($B1530,Setup!$A$60:$A$89,0)),"")))</f>
        <v/>
      </c>
      <c r="E1530" s="42"/>
      <c r="F1530" s="42"/>
    </row>
    <row r="1531" customFormat="false" ht="15" hidden="false" customHeight="true" outlineLevel="0" collapsed="false">
      <c r="A1531" s="42"/>
      <c r="B1531" s="42"/>
      <c r="C1531" s="42"/>
      <c r="D1531" s="28" t="str">
        <f aca="false">IF(OR($B1531="",$C1531=""),"",$C1531*IFERROR(INDEX(Setup!$C$47:$C$56,MATCH($B1531,Setup!$A$47:$A$56,0)),IFERROR(INDEX(Setup!$C$60:$C$89,MATCH($B1531,Setup!$A$60:$A$89,0)),"")))</f>
        <v/>
      </c>
      <c r="E1531" s="42"/>
      <c r="F1531" s="42"/>
    </row>
    <row r="1532" customFormat="false" ht="15" hidden="false" customHeight="true" outlineLevel="0" collapsed="false">
      <c r="A1532" s="42"/>
      <c r="B1532" s="42"/>
      <c r="C1532" s="42"/>
      <c r="D1532" s="28" t="str">
        <f aca="false">IF(OR($B1532="",$C1532=""),"",$C1532*IFERROR(INDEX(Setup!$C$47:$C$56,MATCH($B1532,Setup!$A$47:$A$56,0)),IFERROR(INDEX(Setup!$C$60:$C$89,MATCH($B1532,Setup!$A$60:$A$89,0)),"")))</f>
        <v/>
      </c>
      <c r="E1532" s="42"/>
      <c r="F1532" s="42"/>
    </row>
    <row r="1533" customFormat="false" ht="15" hidden="false" customHeight="true" outlineLevel="0" collapsed="false">
      <c r="A1533" s="42"/>
      <c r="B1533" s="42"/>
      <c r="C1533" s="42"/>
      <c r="D1533" s="28" t="str">
        <f aca="false">IF(OR($B1533="",$C1533=""),"",$C1533*IFERROR(INDEX(Setup!$C$47:$C$56,MATCH($B1533,Setup!$A$47:$A$56,0)),IFERROR(INDEX(Setup!$C$60:$C$89,MATCH($B1533,Setup!$A$60:$A$89,0)),"")))</f>
        <v/>
      </c>
      <c r="E1533" s="42"/>
      <c r="F1533" s="42"/>
    </row>
    <row r="1534" customFormat="false" ht="15" hidden="false" customHeight="true" outlineLevel="0" collapsed="false">
      <c r="A1534" s="42"/>
      <c r="B1534" s="42"/>
      <c r="C1534" s="42"/>
      <c r="D1534" s="28" t="str">
        <f aca="false">IF(OR($B1534="",$C1534=""),"",$C1534*IFERROR(INDEX(Setup!$C$47:$C$56,MATCH($B1534,Setup!$A$47:$A$56,0)),IFERROR(INDEX(Setup!$C$60:$C$89,MATCH($B1534,Setup!$A$60:$A$89,0)),"")))</f>
        <v/>
      </c>
      <c r="E1534" s="42"/>
      <c r="F1534" s="42"/>
    </row>
    <row r="1535" customFormat="false" ht="15" hidden="false" customHeight="true" outlineLevel="0" collapsed="false">
      <c r="A1535" s="42"/>
      <c r="B1535" s="42"/>
      <c r="C1535" s="42"/>
      <c r="D1535" s="28" t="str">
        <f aca="false">IF(OR($B1535="",$C1535=""),"",$C1535*IFERROR(INDEX(Setup!$C$47:$C$56,MATCH($B1535,Setup!$A$47:$A$56,0)),IFERROR(INDEX(Setup!$C$60:$C$89,MATCH($B1535,Setup!$A$60:$A$89,0)),"")))</f>
        <v/>
      </c>
      <c r="E1535" s="42"/>
      <c r="F1535" s="42"/>
    </row>
    <row r="1536" customFormat="false" ht="15" hidden="false" customHeight="true" outlineLevel="0" collapsed="false">
      <c r="A1536" s="42"/>
      <c r="B1536" s="42"/>
      <c r="C1536" s="42"/>
      <c r="D1536" s="28" t="str">
        <f aca="false">IF(OR($B1536="",$C1536=""),"",$C1536*IFERROR(INDEX(Setup!$C$47:$C$56,MATCH($B1536,Setup!$A$47:$A$56,0)),IFERROR(INDEX(Setup!$C$60:$C$89,MATCH($B1536,Setup!$A$60:$A$89,0)),"")))</f>
        <v/>
      </c>
      <c r="E1536" s="42"/>
      <c r="F1536" s="42"/>
    </row>
    <row r="1537" customFormat="false" ht="15" hidden="false" customHeight="true" outlineLevel="0" collapsed="false">
      <c r="A1537" s="42"/>
      <c r="B1537" s="42"/>
      <c r="C1537" s="42"/>
      <c r="D1537" s="28" t="str">
        <f aca="false">IF(OR($B1537="",$C1537=""),"",$C1537*IFERROR(INDEX(Setup!$C$47:$C$56,MATCH($B1537,Setup!$A$47:$A$56,0)),IFERROR(INDEX(Setup!$C$60:$C$89,MATCH($B1537,Setup!$A$60:$A$89,0)),"")))</f>
        <v/>
      </c>
      <c r="E1537" s="42"/>
      <c r="F1537" s="42"/>
    </row>
    <row r="1538" customFormat="false" ht="15" hidden="false" customHeight="true" outlineLevel="0" collapsed="false">
      <c r="A1538" s="42"/>
      <c r="B1538" s="42"/>
      <c r="C1538" s="42"/>
      <c r="D1538" s="28" t="str">
        <f aca="false">IF(OR($B1538="",$C1538=""),"",$C1538*IFERROR(INDEX(Setup!$C$47:$C$56,MATCH($B1538,Setup!$A$47:$A$56,0)),IFERROR(INDEX(Setup!$C$60:$C$89,MATCH($B1538,Setup!$A$60:$A$89,0)),"")))</f>
        <v/>
      </c>
      <c r="E1538" s="42"/>
      <c r="F1538" s="42"/>
    </row>
    <row r="1539" customFormat="false" ht="15" hidden="false" customHeight="true" outlineLevel="0" collapsed="false">
      <c r="A1539" s="42"/>
      <c r="B1539" s="42"/>
      <c r="C1539" s="42"/>
      <c r="D1539" s="28" t="str">
        <f aca="false">IF(OR($B1539="",$C1539=""),"",$C1539*IFERROR(INDEX(Setup!$C$47:$C$56,MATCH($B1539,Setup!$A$47:$A$56,0)),IFERROR(INDEX(Setup!$C$60:$C$89,MATCH($B1539,Setup!$A$60:$A$89,0)),"")))</f>
        <v/>
      </c>
      <c r="E1539" s="42"/>
      <c r="F1539" s="42"/>
    </row>
    <row r="1540" customFormat="false" ht="15" hidden="false" customHeight="true" outlineLevel="0" collapsed="false">
      <c r="A1540" s="42"/>
      <c r="B1540" s="42"/>
      <c r="C1540" s="42"/>
      <c r="D1540" s="28" t="str">
        <f aca="false">IF(OR($B1540="",$C1540=""),"",$C1540*IFERROR(INDEX(Setup!$C$47:$C$56,MATCH($B1540,Setup!$A$47:$A$56,0)),IFERROR(INDEX(Setup!$C$60:$C$89,MATCH($B1540,Setup!$A$60:$A$89,0)),"")))</f>
        <v/>
      </c>
      <c r="E1540" s="42"/>
      <c r="F1540" s="42"/>
    </row>
    <row r="1541" customFormat="false" ht="15" hidden="false" customHeight="true" outlineLevel="0" collapsed="false">
      <c r="A1541" s="42"/>
      <c r="B1541" s="42"/>
      <c r="C1541" s="42"/>
      <c r="D1541" s="28" t="str">
        <f aca="false">IF(OR($B1541="",$C1541=""),"",$C1541*IFERROR(INDEX(Setup!$C$47:$C$56,MATCH($B1541,Setup!$A$47:$A$56,0)),IFERROR(INDEX(Setup!$C$60:$C$89,MATCH($B1541,Setup!$A$60:$A$89,0)),"")))</f>
        <v/>
      </c>
      <c r="E1541" s="42"/>
      <c r="F1541" s="42"/>
    </row>
    <row r="1542" customFormat="false" ht="15" hidden="false" customHeight="true" outlineLevel="0" collapsed="false">
      <c r="A1542" s="42"/>
      <c r="B1542" s="42"/>
      <c r="C1542" s="42"/>
      <c r="D1542" s="28" t="str">
        <f aca="false">IF(OR($B1542="",$C1542=""),"",$C1542*IFERROR(INDEX(Setup!$C$47:$C$56,MATCH($B1542,Setup!$A$47:$A$56,0)),IFERROR(INDEX(Setup!$C$60:$C$89,MATCH($B1542,Setup!$A$60:$A$89,0)),"")))</f>
        <v/>
      </c>
      <c r="E1542" s="42"/>
      <c r="F1542" s="42"/>
    </row>
    <row r="1543" customFormat="false" ht="15" hidden="false" customHeight="true" outlineLevel="0" collapsed="false">
      <c r="A1543" s="42"/>
      <c r="B1543" s="42"/>
      <c r="C1543" s="42"/>
      <c r="D1543" s="28" t="str">
        <f aca="false">IF(OR($B1543="",$C1543=""),"",$C1543*IFERROR(INDEX(Setup!$C$47:$C$56,MATCH($B1543,Setup!$A$47:$A$56,0)),IFERROR(INDEX(Setup!$C$60:$C$89,MATCH($B1543,Setup!$A$60:$A$89,0)),"")))</f>
        <v/>
      </c>
      <c r="E1543" s="42"/>
      <c r="F1543" s="42"/>
    </row>
    <row r="1544" customFormat="false" ht="15" hidden="false" customHeight="true" outlineLevel="0" collapsed="false">
      <c r="A1544" s="42"/>
      <c r="B1544" s="42"/>
      <c r="C1544" s="42"/>
      <c r="D1544" s="28" t="str">
        <f aca="false">IF(OR($B1544="",$C1544=""),"",$C1544*IFERROR(INDEX(Setup!$C$47:$C$56,MATCH($B1544,Setup!$A$47:$A$56,0)),IFERROR(INDEX(Setup!$C$60:$C$89,MATCH($B1544,Setup!$A$60:$A$89,0)),"")))</f>
        <v/>
      </c>
      <c r="E1544" s="42"/>
      <c r="F1544" s="42"/>
    </row>
    <row r="1545" customFormat="false" ht="15" hidden="false" customHeight="true" outlineLevel="0" collapsed="false">
      <c r="A1545" s="42"/>
      <c r="B1545" s="42"/>
      <c r="C1545" s="42"/>
      <c r="D1545" s="28" t="str">
        <f aca="false">IF(OR($B1545="",$C1545=""),"",$C1545*IFERROR(INDEX(Setup!$C$47:$C$56,MATCH($B1545,Setup!$A$47:$A$56,0)),IFERROR(INDEX(Setup!$C$60:$C$89,MATCH($B1545,Setup!$A$60:$A$89,0)),"")))</f>
        <v/>
      </c>
      <c r="E1545" s="42"/>
      <c r="F1545" s="42"/>
    </row>
    <row r="1546" customFormat="false" ht="15" hidden="false" customHeight="true" outlineLevel="0" collapsed="false">
      <c r="A1546" s="42"/>
      <c r="B1546" s="42"/>
      <c r="C1546" s="42"/>
      <c r="D1546" s="28" t="str">
        <f aca="false">IF(OR($B1546="",$C1546=""),"",$C1546*IFERROR(INDEX(Setup!$C$47:$C$56,MATCH($B1546,Setup!$A$47:$A$56,0)),IFERROR(INDEX(Setup!$C$60:$C$89,MATCH($B1546,Setup!$A$60:$A$89,0)),"")))</f>
        <v/>
      </c>
      <c r="E1546" s="42"/>
      <c r="F1546" s="42"/>
    </row>
    <row r="1547" customFormat="false" ht="15" hidden="false" customHeight="true" outlineLevel="0" collapsed="false">
      <c r="A1547" s="42"/>
      <c r="B1547" s="42"/>
      <c r="C1547" s="42"/>
      <c r="D1547" s="28" t="str">
        <f aca="false">IF(OR($B1547="",$C1547=""),"",$C1547*IFERROR(INDEX(Setup!$C$47:$C$56,MATCH($B1547,Setup!$A$47:$A$56,0)),IFERROR(INDEX(Setup!$C$60:$C$89,MATCH($B1547,Setup!$A$60:$A$89,0)),"")))</f>
        <v/>
      </c>
      <c r="E1547" s="42"/>
      <c r="F1547" s="42"/>
    </row>
    <row r="1548" customFormat="false" ht="15" hidden="false" customHeight="true" outlineLevel="0" collapsed="false">
      <c r="A1548" s="42"/>
      <c r="B1548" s="42"/>
      <c r="C1548" s="42"/>
      <c r="D1548" s="28" t="str">
        <f aca="false">IF(OR($B1548="",$C1548=""),"",$C1548*IFERROR(INDEX(Setup!$C$47:$C$56,MATCH($B1548,Setup!$A$47:$A$56,0)),IFERROR(INDEX(Setup!$C$60:$C$89,MATCH($B1548,Setup!$A$60:$A$89,0)),"")))</f>
        <v/>
      </c>
      <c r="E1548" s="42"/>
      <c r="F1548" s="42"/>
    </row>
    <row r="1549" customFormat="false" ht="15" hidden="false" customHeight="true" outlineLevel="0" collapsed="false">
      <c r="A1549" s="42"/>
      <c r="B1549" s="42"/>
      <c r="C1549" s="42"/>
      <c r="D1549" s="28" t="str">
        <f aca="false">IF(OR($B1549="",$C1549=""),"",$C1549*IFERROR(INDEX(Setup!$C$47:$C$56,MATCH($B1549,Setup!$A$47:$A$56,0)),IFERROR(INDEX(Setup!$C$60:$C$89,MATCH($B1549,Setup!$A$60:$A$89,0)),"")))</f>
        <v/>
      </c>
      <c r="E1549" s="42"/>
      <c r="F1549" s="42"/>
    </row>
    <row r="1550" customFormat="false" ht="15" hidden="false" customHeight="true" outlineLevel="0" collapsed="false">
      <c r="A1550" s="42"/>
      <c r="B1550" s="42"/>
      <c r="C1550" s="42"/>
      <c r="D1550" s="28" t="str">
        <f aca="false">IF(OR($B1550="",$C1550=""),"",$C1550*IFERROR(INDEX(Setup!$C$47:$C$56,MATCH($B1550,Setup!$A$47:$A$56,0)),IFERROR(INDEX(Setup!$C$60:$C$89,MATCH($B1550,Setup!$A$60:$A$89,0)),"")))</f>
        <v/>
      </c>
      <c r="E1550" s="42"/>
      <c r="F1550" s="42"/>
    </row>
    <row r="1551" customFormat="false" ht="15" hidden="false" customHeight="true" outlineLevel="0" collapsed="false">
      <c r="A1551" s="42"/>
      <c r="B1551" s="42"/>
      <c r="C1551" s="42"/>
      <c r="D1551" s="28" t="str">
        <f aca="false">IF(OR($B1551="",$C1551=""),"",$C1551*IFERROR(INDEX(Setup!$C$47:$C$56,MATCH($B1551,Setup!$A$47:$A$56,0)),IFERROR(INDEX(Setup!$C$60:$C$89,MATCH($B1551,Setup!$A$60:$A$89,0)),"")))</f>
        <v/>
      </c>
      <c r="E1551" s="42"/>
      <c r="F1551" s="42"/>
    </row>
    <row r="1552" customFormat="false" ht="15" hidden="false" customHeight="true" outlineLevel="0" collapsed="false">
      <c r="A1552" s="42"/>
      <c r="B1552" s="42"/>
      <c r="C1552" s="42"/>
      <c r="D1552" s="28" t="str">
        <f aca="false">IF(OR($B1552="",$C1552=""),"",$C1552*IFERROR(INDEX(Setup!$C$47:$C$56,MATCH($B1552,Setup!$A$47:$A$56,0)),IFERROR(INDEX(Setup!$C$60:$C$89,MATCH($B1552,Setup!$A$60:$A$89,0)),"")))</f>
        <v/>
      </c>
      <c r="E1552" s="42"/>
      <c r="F1552" s="42"/>
    </row>
    <row r="1553" customFormat="false" ht="15" hidden="false" customHeight="true" outlineLevel="0" collapsed="false">
      <c r="A1553" s="42"/>
      <c r="B1553" s="42"/>
      <c r="C1553" s="42"/>
      <c r="D1553" s="28" t="str">
        <f aca="false">IF(OR($B1553="",$C1553=""),"",$C1553*IFERROR(INDEX(Setup!$C$47:$C$56,MATCH($B1553,Setup!$A$47:$A$56,0)),IFERROR(INDEX(Setup!$C$60:$C$89,MATCH($B1553,Setup!$A$60:$A$89,0)),"")))</f>
        <v/>
      </c>
      <c r="E1553" s="42"/>
      <c r="F1553" s="42"/>
    </row>
    <row r="1554" customFormat="false" ht="15" hidden="false" customHeight="true" outlineLevel="0" collapsed="false">
      <c r="A1554" s="42"/>
      <c r="B1554" s="42"/>
      <c r="C1554" s="42"/>
      <c r="D1554" s="28" t="str">
        <f aca="false">IF(OR($B1554="",$C1554=""),"",$C1554*IFERROR(INDEX(Setup!$C$47:$C$56,MATCH($B1554,Setup!$A$47:$A$56,0)),IFERROR(INDEX(Setup!$C$60:$C$89,MATCH($B1554,Setup!$A$60:$A$89,0)),"")))</f>
        <v/>
      </c>
      <c r="E1554" s="42"/>
      <c r="F1554" s="42"/>
    </row>
    <row r="1555" customFormat="false" ht="15" hidden="false" customHeight="true" outlineLevel="0" collapsed="false">
      <c r="A1555" s="42"/>
      <c r="B1555" s="42"/>
      <c r="C1555" s="42"/>
      <c r="D1555" s="28" t="str">
        <f aca="false">IF(OR($B1555="",$C1555=""),"",$C1555*IFERROR(INDEX(Setup!$C$47:$C$56,MATCH($B1555,Setup!$A$47:$A$56,0)),IFERROR(INDEX(Setup!$C$60:$C$89,MATCH($B1555,Setup!$A$60:$A$89,0)),"")))</f>
        <v/>
      </c>
      <c r="E1555" s="42"/>
      <c r="F1555" s="42"/>
    </row>
    <row r="1556" customFormat="false" ht="15" hidden="false" customHeight="true" outlineLevel="0" collapsed="false">
      <c r="A1556" s="42"/>
      <c r="B1556" s="42"/>
      <c r="C1556" s="42"/>
      <c r="D1556" s="28" t="str">
        <f aca="false">IF(OR($B1556="",$C1556=""),"",$C1556*IFERROR(INDEX(Setup!$C$47:$C$56,MATCH($B1556,Setup!$A$47:$A$56,0)),IFERROR(INDEX(Setup!$C$60:$C$89,MATCH($B1556,Setup!$A$60:$A$89,0)),"")))</f>
        <v/>
      </c>
      <c r="E1556" s="42"/>
      <c r="F1556" s="42"/>
    </row>
    <row r="1557" customFormat="false" ht="15" hidden="false" customHeight="true" outlineLevel="0" collapsed="false">
      <c r="A1557" s="42"/>
      <c r="B1557" s="42"/>
      <c r="C1557" s="42"/>
      <c r="D1557" s="28" t="str">
        <f aca="false">IF(OR($B1557="",$C1557=""),"",$C1557*IFERROR(INDEX(Setup!$C$47:$C$56,MATCH($B1557,Setup!$A$47:$A$56,0)),IFERROR(INDEX(Setup!$C$60:$C$89,MATCH($B1557,Setup!$A$60:$A$89,0)),"")))</f>
        <v/>
      </c>
      <c r="E1557" s="42"/>
      <c r="F1557" s="42"/>
    </row>
    <row r="1558" customFormat="false" ht="15" hidden="false" customHeight="true" outlineLevel="0" collapsed="false">
      <c r="A1558" s="42"/>
      <c r="B1558" s="42"/>
      <c r="C1558" s="42"/>
      <c r="D1558" s="28" t="str">
        <f aca="false">IF(OR($B1558="",$C1558=""),"",$C1558*IFERROR(INDEX(Setup!$C$47:$C$56,MATCH($B1558,Setup!$A$47:$A$56,0)),IFERROR(INDEX(Setup!$C$60:$C$89,MATCH($B1558,Setup!$A$60:$A$89,0)),"")))</f>
        <v/>
      </c>
      <c r="E1558" s="42"/>
      <c r="F1558" s="42"/>
    </row>
    <row r="1559" customFormat="false" ht="15" hidden="false" customHeight="true" outlineLevel="0" collapsed="false">
      <c r="A1559" s="42"/>
      <c r="B1559" s="42"/>
      <c r="C1559" s="42"/>
      <c r="D1559" s="28" t="str">
        <f aca="false">IF(OR($B1559="",$C1559=""),"",$C1559*IFERROR(INDEX(Setup!$C$47:$C$56,MATCH($B1559,Setup!$A$47:$A$56,0)),IFERROR(INDEX(Setup!$C$60:$C$89,MATCH($B1559,Setup!$A$60:$A$89,0)),"")))</f>
        <v/>
      </c>
      <c r="E1559" s="42"/>
      <c r="F1559" s="42"/>
    </row>
    <row r="1560" customFormat="false" ht="15" hidden="false" customHeight="true" outlineLevel="0" collapsed="false">
      <c r="A1560" s="42"/>
      <c r="B1560" s="42"/>
      <c r="C1560" s="42"/>
      <c r="D1560" s="28" t="str">
        <f aca="false">IF(OR($B1560="",$C1560=""),"",$C1560*IFERROR(INDEX(Setup!$C$47:$C$56,MATCH($B1560,Setup!$A$47:$A$56,0)),IFERROR(INDEX(Setup!$C$60:$C$89,MATCH($B1560,Setup!$A$60:$A$89,0)),"")))</f>
        <v/>
      </c>
      <c r="E1560" s="42"/>
      <c r="F1560" s="42"/>
    </row>
    <row r="1561" customFormat="false" ht="15" hidden="false" customHeight="true" outlineLevel="0" collapsed="false">
      <c r="A1561" s="42"/>
      <c r="B1561" s="42"/>
      <c r="C1561" s="42"/>
      <c r="D1561" s="28" t="str">
        <f aca="false">IF(OR($B1561="",$C1561=""),"",$C1561*IFERROR(INDEX(Setup!$C$47:$C$56,MATCH($B1561,Setup!$A$47:$A$56,0)),IFERROR(INDEX(Setup!$C$60:$C$89,MATCH($B1561,Setup!$A$60:$A$89,0)),"")))</f>
        <v/>
      </c>
      <c r="E1561" s="42"/>
      <c r="F1561" s="42"/>
    </row>
    <row r="1562" customFormat="false" ht="15" hidden="false" customHeight="true" outlineLevel="0" collapsed="false">
      <c r="A1562" s="42"/>
      <c r="B1562" s="42"/>
      <c r="C1562" s="42"/>
      <c r="D1562" s="28" t="str">
        <f aca="false">IF(OR($B1562="",$C1562=""),"",$C1562*IFERROR(INDEX(Setup!$C$47:$C$56,MATCH($B1562,Setup!$A$47:$A$56,0)),IFERROR(INDEX(Setup!$C$60:$C$89,MATCH($B1562,Setup!$A$60:$A$89,0)),"")))</f>
        <v/>
      </c>
      <c r="E1562" s="42"/>
      <c r="F1562" s="42"/>
    </row>
    <row r="1563" customFormat="false" ht="15" hidden="false" customHeight="true" outlineLevel="0" collapsed="false">
      <c r="A1563" s="42"/>
      <c r="B1563" s="42"/>
      <c r="C1563" s="42"/>
      <c r="D1563" s="28" t="str">
        <f aca="false">IF(OR($B1563="",$C1563=""),"",$C1563*IFERROR(INDEX(Setup!$C$47:$C$56,MATCH($B1563,Setup!$A$47:$A$56,0)),IFERROR(INDEX(Setup!$C$60:$C$89,MATCH($B1563,Setup!$A$60:$A$89,0)),"")))</f>
        <v/>
      </c>
      <c r="E1563" s="42"/>
      <c r="F1563" s="42"/>
    </row>
    <row r="1564" customFormat="false" ht="15" hidden="false" customHeight="true" outlineLevel="0" collapsed="false">
      <c r="A1564" s="42"/>
      <c r="B1564" s="42"/>
      <c r="C1564" s="42"/>
      <c r="D1564" s="28" t="str">
        <f aca="false">IF(OR($B1564="",$C1564=""),"",$C1564*IFERROR(INDEX(Setup!$C$47:$C$56,MATCH($B1564,Setup!$A$47:$A$56,0)),IFERROR(INDEX(Setup!$C$60:$C$89,MATCH($B1564,Setup!$A$60:$A$89,0)),"")))</f>
        <v/>
      </c>
      <c r="E1564" s="42"/>
      <c r="F1564" s="42"/>
    </row>
    <row r="1565" customFormat="false" ht="15" hidden="false" customHeight="true" outlineLevel="0" collapsed="false">
      <c r="A1565" s="42"/>
      <c r="B1565" s="42"/>
      <c r="C1565" s="42"/>
      <c r="D1565" s="28" t="str">
        <f aca="false">IF(OR($B1565="",$C1565=""),"",$C1565*IFERROR(INDEX(Setup!$C$47:$C$56,MATCH($B1565,Setup!$A$47:$A$56,0)),IFERROR(INDEX(Setup!$C$60:$C$89,MATCH($B1565,Setup!$A$60:$A$89,0)),"")))</f>
        <v/>
      </c>
      <c r="E1565" s="42"/>
      <c r="F1565" s="42"/>
    </row>
    <row r="1566" customFormat="false" ht="15" hidden="false" customHeight="true" outlineLevel="0" collapsed="false">
      <c r="A1566" s="42"/>
      <c r="B1566" s="42"/>
      <c r="C1566" s="42"/>
      <c r="D1566" s="28" t="str">
        <f aca="false">IF(OR($B1566="",$C1566=""),"",$C1566*IFERROR(INDEX(Setup!$C$47:$C$56,MATCH($B1566,Setup!$A$47:$A$56,0)),IFERROR(INDEX(Setup!$C$60:$C$89,MATCH($B1566,Setup!$A$60:$A$89,0)),"")))</f>
        <v/>
      </c>
      <c r="E1566" s="42"/>
      <c r="F1566" s="42"/>
    </row>
    <row r="1567" customFormat="false" ht="15" hidden="false" customHeight="true" outlineLevel="0" collapsed="false">
      <c r="A1567" s="42"/>
      <c r="B1567" s="42"/>
      <c r="C1567" s="42"/>
      <c r="D1567" s="28" t="str">
        <f aca="false">IF(OR($B1567="",$C1567=""),"",$C1567*IFERROR(INDEX(Setup!$C$47:$C$56,MATCH($B1567,Setup!$A$47:$A$56,0)),IFERROR(INDEX(Setup!$C$60:$C$89,MATCH($B1567,Setup!$A$60:$A$89,0)),"")))</f>
        <v/>
      </c>
      <c r="E1567" s="42"/>
      <c r="F1567" s="42"/>
    </row>
    <row r="1568" customFormat="false" ht="15" hidden="false" customHeight="true" outlineLevel="0" collapsed="false">
      <c r="A1568" s="42"/>
      <c r="B1568" s="42"/>
      <c r="C1568" s="42"/>
      <c r="D1568" s="28" t="str">
        <f aca="false">IF(OR($B1568="",$C1568=""),"",$C1568*IFERROR(INDEX(Setup!$C$47:$C$56,MATCH($B1568,Setup!$A$47:$A$56,0)),IFERROR(INDEX(Setup!$C$60:$C$89,MATCH($B1568,Setup!$A$60:$A$89,0)),"")))</f>
        <v/>
      </c>
      <c r="E1568" s="42"/>
      <c r="F1568" s="42"/>
    </row>
    <row r="1569" customFormat="false" ht="15" hidden="false" customHeight="true" outlineLevel="0" collapsed="false">
      <c r="A1569" s="42"/>
      <c r="B1569" s="42"/>
      <c r="C1569" s="42"/>
      <c r="D1569" s="28" t="str">
        <f aca="false">IF(OR($B1569="",$C1569=""),"",$C1569*IFERROR(INDEX(Setup!$C$47:$C$56,MATCH($B1569,Setup!$A$47:$A$56,0)),IFERROR(INDEX(Setup!$C$60:$C$89,MATCH($B1569,Setup!$A$60:$A$89,0)),"")))</f>
        <v/>
      </c>
      <c r="E1569" s="42"/>
      <c r="F1569" s="42"/>
    </row>
    <row r="1570" customFormat="false" ht="15" hidden="false" customHeight="true" outlineLevel="0" collapsed="false">
      <c r="A1570" s="42"/>
      <c r="B1570" s="42"/>
      <c r="C1570" s="42"/>
      <c r="D1570" s="28" t="str">
        <f aca="false">IF(OR($B1570="",$C1570=""),"",$C1570*IFERROR(INDEX(Setup!$C$47:$C$56,MATCH($B1570,Setup!$A$47:$A$56,0)),IFERROR(INDEX(Setup!$C$60:$C$89,MATCH($B1570,Setup!$A$60:$A$89,0)),"")))</f>
        <v/>
      </c>
      <c r="E1570" s="42"/>
      <c r="F1570" s="42"/>
    </row>
    <row r="1571" customFormat="false" ht="15" hidden="false" customHeight="true" outlineLevel="0" collapsed="false">
      <c r="A1571" s="42"/>
      <c r="B1571" s="42"/>
      <c r="C1571" s="42"/>
      <c r="D1571" s="28" t="str">
        <f aca="false">IF(OR($B1571="",$C1571=""),"",$C1571*IFERROR(INDEX(Setup!$C$47:$C$56,MATCH($B1571,Setup!$A$47:$A$56,0)),IFERROR(INDEX(Setup!$C$60:$C$89,MATCH($B1571,Setup!$A$60:$A$89,0)),"")))</f>
        <v/>
      </c>
      <c r="E1571" s="42"/>
      <c r="F1571" s="42"/>
    </row>
    <row r="1572" customFormat="false" ht="15" hidden="false" customHeight="true" outlineLevel="0" collapsed="false">
      <c r="A1572" s="42"/>
      <c r="B1572" s="42"/>
      <c r="C1572" s="42"/>
      <c r="D1572" s="28" t="str">
        <f aca="false">IF(OR($B1572="",$C1572=""),"",$C1572*IFERROR(INDEX(Setup!$C$47:$C$56,MATCH($B1572,Setup!$A$47:$A$56,0)),IFERROR(INDEX(Setup!$C$60:$C$89,MATCH($B1572,Setup!$A$60:$A$89,0)),"")))</f>
        <v/>
      </c>
      <c r="E1572" s="42"/>
      <c r="F1572" s="42"/>
    </row>
    <row r="1573" customFormat="false" ht="15" hidden="false" customHeight="true" outlineLevel="0" collapsed="false">
      <c r="A1573" s="42"/>
      <c r="B1573" s="42"/>
      <c r="C1573" s="42"/>
      <c r="D1573" s="28" t="str">
        <f aca="false">IF(OR($B1573="",$C1573=""),"",$C1573*IFERROR(INDEX(Setup!$C$47:$C$56,MATCH($B1573,Setup!$A$47:$A$56,0)),IFERROR(INDEX(Setup!$C$60:$C$89,MATCH($B1573,Setup!$A$60:$A$89,0)),"")))</f>
        <v/>
      </c>
      <c r="E1573" s="42"/>
      <c r="F1573" s="42"/>
    </row>
    <row r="1574" customFormat="false" ht="15" hidden="false" customHeight="true" outlineLevel="0" collapsed="false">
      <c r="A1574" s="42"/>
      <c r="B1574" s="42"/>
      <c r="C1574" s="42"/>
      <c r="D1574" s="28" t="str">
        <f aca="false">IF(OR($B1574="",$C1574=""),"",$C1574*IFERROR(INDEX(Setup!$C$47:$C$56,MATCH($B1574,Setup!$A$47:$A$56,0)),IFERROR(INDEX(Setup!$C$60:$C$89,MATCH($B1574,Setup!$A$60:$A$89,0)),"")))</f>
        <v/>
      </c>
      <c r="E1574" s="42"/>
      <c r="F1574" s="42"/>
    </row>
    <row r="1575" customFormat="false" ht="15" hidden="false" customHeight="true" outlineLevel="0" collapsed="false">
      <c r="A1575" s="42"/>
      <c r="B1575" s="42"/>
      <c r="C1575" s="42"/>
      <c r="D1575" s="28" t="str">
        <f aca="false">IF(OR($B1575="",$C1575=""),"",$C1575*IFERROR(INDEX(Setup!$C$47:$C$56,MATCH($B1575,Setup!$A$47:$A$56,0)),IFERROR(INDEX(Setup!$C$60:$C$89,MATCH($B1575,Setup!$A$60:$A$89,0)),"")))</f>
        <v/>
      </c>
      <c r="E1575" s="42"/>
      <c r="F1575" s="42"/>
    </row>
    <row r="1576" customFormat="false" ht="15" hidden="false" customHeight="true" outlineLevel="0" collapsed="false">
      <c r="A1576" s="42"/>
      <c r="B1576" s="42"/>
      <c r="C1576" s="42"/>
      <c r="D1576" s="28" t="str">
        <f aca="false">IF(OR($B1576="",$C1576=""),"",$C1576*IFERROR(INDEX(Setup!$C$47:$C$56,MATCH($B1576,Setup!$A$47:$A$56,0)),IFERROR(INDEX(Setup!$C$60:$C$89,MATCH($B1576,Setup!$A$60:$A$89,0)),"")))</f>
        <v/>
      </c>
      <c r="E1576" s="42"/>
      <c r="F1576" s="42"/>
    </row>
    <row r="1577" customFormat="false" ht="15" hidden="false" customHeight="true" outlineLevel="0" collapsed="false">
      <c r="A1577" s="42"/>
      <c r="B1577" s="42"/>
      <c r="C1577" s="42"/>
      <c r="D1577" s="28" t="str">
        <f aca="false">IF(OR($B1577="",$C1577=""),"",$C1577*IFERROR(INDEX(Setup!$C$47:$C$56,MATCH($B1577,Setup!$A$47:$A$56,0)),IFERROR(INDEX(Setup!$C$60:$C$89,MATCH($B1577,Setup!$A$60:$A$89,0)),"")))</f>
        <v/>
      </c>
      <c r="E1577" s="42"/>
      <c r="F1577" s="42"/>
    </row>
    <row r="1578" customFormat="false" ht="15" hidden="false" customHeight="true" outlineLevel="0" collapsed="false">
      <c r="A1578" s="42"/>
      <c r="B1578" s="42"/>
      <c r="C1578" s="42"/>
      <c r="D1578" s="28" t="str">
        <f aca="false">IF(OR($B1578="",$C1578=""),"",$C1578*IFERROR(INDEX(Setup!$C$47:$C$56,MATCH($B1578,Setup!$A$47:$A$56,0)),IFERROR(INDEX(Setup!$C$60:$C$89,MATCH($B1578,Setup!$A$60:$A$89,0)),"")))</f>
        <v/>
      </c>
      <c r="E1578" s="42"/>
      <c r="F1578" s="42"/>
    </row>
    <row r="1579" customFormat="false" ht="15" hidden="false" customHeight="true" outlineLevel="0" collapsed="false">
      <c r="A1579" s="42"/>
      <c r="B1579" s="42"/>
      <c r="C1579" s="42"/>
      <c r="D1579" s="28" t="str">
        <f aca="false">IF(OR($B1579="",$C1579=""),"",$C1579*IFERROR(INDEX(Setup!$C$47:$C$56,MATCH($B1579,Setup!$A$47:$A$56,0)),IFERROR(INDEX(Setup!$C$60:$C$89,MATCH($B1579,Setup!$A$60:$A$89,0)),"")))</f>
        <v/>
      </c>
      <c r="E1579" s="42"/>
      <c r="F1579" s="42"/>
    </row>
    <row r="1580" customFormat="false" ht="15" hidden="false" customHeight="true" outlineLevel="0" collapsed="false">
      <c r="A1580" s="42"/>
      <c r="B1580" s="42"/>
      <c r="C1580" s="42"/>
      <c r="D1580" s="28" t="str">
        <f aca="false">IF(OR($B1580="",$C1580=""),"",$C1580*IFERROR(INDEX(Setup!$C$47:$C$56,MATCH($B1580,Setup!$A$47:$A$56,0)),IFERROR(INDEX(Setup!$C$60:$C$89,MATCH($B1580,Setup!$A$60:$A$89,0)),"")))</f>
        <v/>
      </c>
      <c r="E1580" s="42"/>
      <c r="F1580" s="42"/>
    </row>
    <row r="1581" customFormat="false" ht="15" hidden="false" customHeight="true" outlineLevel="0" collapsed="false">
      <c r="A1581" s="42"/>
      <c r="B1581" s="42"/>
      <c r="C1581" s="42"/>
      <c r="D1581" s="28" t="str">
        <f aca="false">IF(OR($B1581="",$C1581=""),"",$C1581*IFERROR(INDEX(Setup!$C$47:$C$56,MATCH($B1581,Setup!$A$47:$A$56,0)),IFERROR(INDEX(Setup!$C$60:$C$89,MATCH($B1581,Setup!$A$60:$A$89,0)),"")))</f>
        <v/>
      </c>
      <c r="E1581" s="42"/>
      <c r="F1581" s="42"/>
    </row>
    <row r="1582" customFormat="false" ht="15" hidden="false" customHeight="true" outlineLevel="0" collapsed="false">
      <c r="A1582" s="42"/>
      <c r="B1582" s="42"/>
      <c r="C1582" s="42"/>
      <c r="D1582" s="28" t="str">
        <f aca="false">IF(OR($B1582="",$C1582=""),"",$C1582*IFERROR(INDEX(Setup!$C$47:$C$56,MATCH($B1582,Setup!$A$47:$A$56,0)),IFERROR(INDEX(Setup!$C$60:$C$89,MATCH($B1582,Setup!$A$60:$A$89,0)),"")))</f>
        <v/>
      </c>
      <c r="E1582" s="42"/>
      <c r="F1582" s="42"/>
    </row>
    <row r="1583" customFormat="false" ht="15" hidden="false" customHeight="true" outlineLevel="0" collapsed="false">
      <c r="A1583" s="42"/>
      <c r="B1583" s="42"/>
      <c r="C1583" s="42"/>
      <c r="D1583" s="28" t="str">
        <f aca="false">IF(OR($B1583="",$C1583=""),"",$C1583*IFERROR(INDEX(Setup!$C$47:$C$56,MATCH($B1583,Setup!$A$47:$A$56,0)),IFERROR(INDEX(Setup!$C$60:$C$89,MATCH($B1583,Setup!$A$60:$A$89,0)),"")))</f>
        <v/>
      </c>
      <c r="E1583" s="42"/>
      <c r="F1583" s="42"/>
    </row>
    <row r="1584" customFormat="false" ht="15" hidden="false" customHeight="true" outlineLevel="0" collapsed="false">
      <c r="A1584" s="42"/>
      <c r="B1584" s="42"/>
      <c r="C1584" s="42"/>
      <c r="D1584" s="28" t="str">
        <f aca="false">IF(OR($B1584="",$C1584=""),"",$C1584*IFERROR(INDEX(Setup!$C$47:$C$56,MATCH($B1584,Setup!$A$47:$A$56,0)),IFERROR(INDEX(Setup!$C$60:$C$89,MATCH($B1584,Setup!$A$60:$A$89,0)),"")))</f>
        <v/>
      </c>
      <c r="E1584" s="42"/>
      <c r="F1584" s="42"/>
    </row>
    <row r="1585" customFormat="false" ht="15" hidden="false" customHeight="true" outlineLevel="0" collapsed="false">
      <c r="A1585" s="42"/>
      <c r="B1585" s="42"/>
      <c r="C1585" s="42"/>
      <c r="D1585" s="28" t="str">
        <f aca="false">IF(OR($B1585="",$C1585=""),"",$C1585*IFERROR(INDEX(Setup!$C$47:$C$56,MATCH($B1585,Setup!$A$47:$A$56,0)),IFERROR(INDEX(Setup!$C$60:$C$89,MATCH($B1585,Setup!$A$60:$A$89,0)),"")))</f>
        <v/>
      </c>
      <c r="E1585" s="42"/>
      <c r="F1585" s="42"/>
    </row>
    <row r="1586" customFormat="false" ht="15" hidden="false" customHeight="true" outlineLevel="0" collapsed="false">
      <c r="A1586" s="42"/>
      <c r="B1586" s="42"/>
      <c r="C1586" s="42"/>
      <c r="D1586" s="28" t="str">
        <f aca="false">IF(OR($B1586="",$C1586=""),"",$C1586*IFERROR(INDEX(Setup!$C$47:$C$56,MATCH($B1586,Setup!$A$47:$A$56,0)),IFERROR(INDEX(Setup!$C$60:$C$89,MATCH($B1586,Setup!$A$60:$A$89,0)),"")))</f>
        <v/>
      </c>
      <c r="E1586" s="42"/>
      <c r="F1586" s="42"/>
    </row>
    <row r="1587" customFormat="false" ht="15" hidden="false" customHeight="true" outlineLevel="0" collapsed="false">
      <c r="A1587" s="42"/>
      <c r="B1587" s="42"/>
      <c r="C1587" s="42"/>
      <c r="D1587" s="28" t="str">
        <f aca="false">IF(OR($B1587="",$C1587=""),"",$C1587*IFERROR(INDEX(Setup!$C$47:$C$56,MATCH($B1587,Setup!$A$47:$A$56,0)),IFERROR(INDEX(Setup!$C$60:$C$89,MATCH($B1587,Setup!$A$60:$A$89,0)),"")))</f>
        <v/>
      </c>
      <c r="E1587" s="42"/>
      <c r="F1587" s="42"/>
    </row>
    <row r="1588" customFormat="false" ht="15" hidden="false" customHeight="true" outlineLevel="0" collapsed="false">
      <c r="A1588" s="42"/>
      <c r="B1588" s="42"/>
      <c r="C1588" s="42"/>
      <c r="D1588" s="28" t="str">
        <f aca="false">IF(OR($B1588="",$C1588=""),"",$C1588*IFERROR(INDEX(Setup!$C$47:$C$56,MATCH($B1588,Setup!$A$47:$A$56,0)),IFERROR(INDEX(Setup!$C$60:$C$89,MATCH($B1588,Setup!$A$60:$A$89,0)),"")))</f>
        <v/>
      </c>
      <c r="E1588" s="42"/>
      <c r="F1588" s="42"/>
    </row>
    <row r="1589" customFormat="false" ht="15" hidden="false" customHeight="true" outlineLevel="0" collapsed="false">
      <c r="A1589" s="42"/>
      <c r="B1589" s="42"/>
      <c r="C1589" s="42"/>
      <c r="D1589" s="28" t="str">
        <f aca="false">IF(OR($B1589="",$C1589=""),"",$C1589*IFERROR(INDEX(Setup!$C$47:$C$56,MATCH($B1589,Setup!$A$47:$A$56,0)),IFERROR(INDEX(Setup!$C$60:$C$89,MATCH($B1589,Setup!$A$60:$A$89,0)),"")))</f>
        <v/>
      </c>
      <c r="E1589" s="42"/>
      <c r="F1589" s="42"/>
    </row>
    <row r="1590" customFormat="false" ht="15" hidden="false" customHeight="true" outlineLevel="0" collapsed="false">
      <c r="A1590" s="42"/>
      <c r="B1590" s="42"/>
      <c r="C1590" s="42"/>
      <c r="D1590" s="28" t="str">
        <f aca="false">IF(OR($B1590="",$C1590=""),"",$C1590*IFERROR(INDEX(Setup!$C$47:$C$56,MATCH($B1590,Setup!$A$47:$A$56,0)),IFERROR(INDEX(Setup!$C$60:$C$89,MATCH($B1590,Setup!$A$60:$A$89,0)),"")))</f>
        <v/>
      </c>
      <c r="E1590" s="42"/>
      <c r="F1590" s="42"/>
    </row>
    <row r="1591" customFormat="false" ht="15" hidden="false" customHeight="true" outlineLevel="0" collapsed="false">
      <c r="A1591" s="42"/>
      <c r="B1591" s="42"/>
      <c r="C1591" s="42"/>
      <c r="D1591" s="28" t="str">
        <f aca="false">IF(OR($B1591="",$C1591=""),"",$C1591*IFERROR(INDEX(Setup!$C$47:$C$56,MATCH($B1591,Setup!$A$47:$A$56,0)),IFERROR(INDEX(Setup!$C$60:$C$89,MATCH($B1591,Setup!$A$60:$A$89,0)),"")))</f>
        <v/>
      </c>
      <c r="E1591" s="42"/>
      <c r="F1591" s="42"/>
    </row>
    <row r="1592" customFormat="false" ht="15" hidden="false" customHeight="true" outlineLevel="0" collapsed="false">
      <c r="A1592" s="42"/>
      <c r="B1592" s="42"/>
      <c r="C1592" s="42"/>
      <c r="D1592" s="28" t="str">
        <f aca="false">IF(OR($B1592="",$C1592=""),"",$C1592*IFERROR(INDEX(Setup!$C$47:$C$56,MATCH($B1592,Setup!$A$47:$A$56,0)),IFERROR(INDEX(Setup!$C$60:$C$89,MATCH($B1592,Setup!$A$60:$A$89,0)),"")))</f>
        <v/>
      </c>
      <c r="E1592" s="42"/>
      <c r="F1592" s="42"/>
    </row>
    <row r="1593" customFormat="false" ht="15" hidden="false" customHeight="true" outlineLevel="0" collapsed="false">
      <c r="A1593" s="42"/>
      <c r="B1593" s="42"/>
      <c r="C1593" s="42"/>
      <c r="D1593" s="28" t="str">
        <f aca="false">IF(OR($B1593="",$C1593=""),"",$C1593*IFERROR(INDEX(Setup!$C$47:$C$56,MATCH($B1593,Setup!$A$47:$A$56,0)),IFERROR(INDEX(Setup!$C$60:$C$89,MATCH($B1593,Setup!$A$60:$A$89,0)),"")))</f>
        <v/>
      </c>
      <c r="E1593" s="42"/>
      <c r="F1593" s="42"/>
    </row>
    <row r="1594" customFormat="false" ht="15" hidden="false" customHeight="true" outlineLevel="0" collapsed="false">
      <c r="A1594" s="42"/>
      <c r="B1594" s="42"/>
      <c r="C1594" s="42"/>
      <c r="D1594" s="28" t="str">
        <f aca="false">IF(OR($B1594="",$C1594=""),"",$C1594*IFERROR(INDEX(Setup!$C$47:$C$56,MATCH($B1594,Setup!$A$47:$A$56,0)),IFERROR(INDEX(Setup!$C$60:$C$89,MATCH($B1594,Setup!$A$60:$A$89,0)),"")))</f>
        <v/>
      </c>
      <c r="E1594" s="42"/>
      <c r="F1594" s="42"/>
    </row>
    <row r="1595" customFormat="false" ht="15" hidden="false" customHeight="true" outlineLevel="0" collapsed="false">
      <c r="A1595" s="42"/>
      <c r="B1595" s="42"/>
      <c r="C1595" s="42"/>
      <c r="D1595" s="28" t="str">
        <f aca="false">IF(OR($B1595="",$C1595=""),"",$C1595*IFERROR(INDEX(Setup!$C$47:$C$56,MATCH($B1595,Setup!$A$47:$A$56,0)),IFERROR(INDEX(Setup!$C$60:$C$89,MATCH($B1595,Setup!$A$60:$A$89,0)),"")))</f>
        <v/>
      </c>
      <c r="E1595" s="42"/>
      <c r="F1595" s="42"/>
    </row>
    <row r="1596" customFormat="false" ht="15" hidden="false" customHeight="true" outlineLevel="0" collapsed="false">
      <c r="A1596" s="42"/>
      <c r="B1596" s="42"/>
      <c r="C1596" s="42"/>
      <c r="D1596" s="28" t="str">
        <f aca="false">IF(OR($B1596="",$C1596=""),"",$C1596*IFERROR(INDEX(Setup!$C$47:$C$56,MATCH($B1596,Setup!$A$47:$A$56,0)),IFERROR(INDEX(Setup!$C$60:$C$89,MATCH($B1596,Setup!$A$60:$A$89,0)),"")))</f>
        <v/>
      </c>
      <c r="E1596" s="42"/>
      <c r="F1596" s="42"/>
    </row>
    <row r="1597" customFormat="false" ht="15" hidden="false" customHeight="true" outlineLevel="0" collapsed="false">
      <c r="A1597" s="42"/>
      <c r="B1597" s="42"/>
      <c r="C1597" s="42"/>
      <c r="D1597" s="28" t="str">
        <f aca="false">IF(OR($B1597="",$C1597=""),"",$C1597*IFERROR(INDEX(Setup!$C$47:$C$56,MATCH($B1597,Setup!$A$47:$A$56,0)),IFERROR(INDEX(Setup!$C$60:$C$89,MATCH($B1597,Setup!$A$60:$A$89,0)),"")))</f>
        <v/>
      </c>
      <c r="E1597" s="42"/>
      <c r="F1597" s="42"/>
    </row>
    <row r="1598" customFormat="false" ht="15" hidden="false" customHeight="true" outlineLevel="0" collapsed="false">
      <c r="A1598" s="42"/>
      <c r="B1598" s="42"/>
      <c r="C1598" s="42"/>
      <c r="D1598" s="28" t="str">
        <f aca="false">IF(OR($B1598="",$C1598=""),"",$C1598*IFERROR(INDEX(Setup!$C$47:$C$56,MATCH($B1598,Setup!$A$47:$A$56,0)),IFERROR(INDEX(Setup!$C$60:$C$89,MATCH($B1598,Setup!$A$60:$A$89,0)),"")))</f>
        <v/>
      </c>
      <c r="E1598" s="42"/>
      <c r="F1598" s="42"/>
    </row>
    <row r="1599" customFormat="false" ht="15" hidden="false" customHeight="true" outlineLevel="0" collapsed="false">
      <c r="A1599" s="42"/>
      <c r="B1599" s="42"/>
      <c r="C1599" s="42"/>
      <c r="D1599" s="28" t="str">
        <f aca="false">IF(OR($B1599="",$C1599=""),"",$C1599*IFERROR(INDEX(Setup!$C$47:$C$56,MATCH($B1599,Setup!$A$47:$A$56,0)),IFERROR(INDEX(Setup!$C$60:$C$89,MATCH($B1599,Setup!$A$60:$A$89,0)),"")))</f>
        <v/>
      </c>
      <c r="E1599" s="42"/>
      <c r="F1599" s="42"/>
    </row>
    <row r="1600" customFormat="false" ht="15" hidden="false" customHeight="true" outlineLevel="0" collapsed="false">
      <c r="A1600" s="42"/>
      <c r="B1600" s="42"/>
      <c r="C1600" s="42"/>
      <c r="D1600" s="28" t="str">
        <f aca="false">IF(OR($B1600="",$C1600=""),"",$C1600*IFERROR(INDEX(Setup!$C$47:$C$56,MATCH($B1600,Setup!$A$47:$A$56,0)),IFERROR(INDEX(Setup!$C$60:$C$89,MATCH($B1600,Setup!$A$60:$A$89,0)),"")))</f>
        <v/>
      </c>
      <c r="E1600" s="42"/>
      <c r="F1600" s="42"/>
    </row>
    <row r="1601" customFormat="false" ht="15" hidden="false" customHeight="true" outlineLevel="0" collapsed="false">
      <c r="A1601" s="42"/>
      <c r="B1601" s="42"/>
      <c r="C1601" s="42"/>
      <c r="D1601" s="28" t="str">
        <f aca="false">IF(OR($B1601="",$C1601=""),"",$C1601*IFERROR(INDEX(Setup!$C$47:$C$56,MATCH($B1601,Setup!$A$47:$A$56,0)),IFERROR(INDEX(Setup!$C$60:$C$89,MATCH($B1601,Setup!$A$60:$A$89,0)),"")))</f>
        <v/>
      </c>
      <c r="E1601" s="42"/>
      <c r="F1601" s="42"/>
    </row>
    <row r="1602" customFormat="false" ht="15" hidden="false" customHeight="true" outlineLevel="0" collapsed="false">
      <c r="A1602" s="42"/>
      <c r="B1602" s="42"/>
      <c r="C1602" s="42"/>
      <c r="D1602" s="28" t="str">
        <f aca="false">IF(OR($B1602="",$C1602=""),"",$C1602*IFERROR(INDEX(Setup!$C$47:$C$56,MATCH($B1602,Setup!$A$47:$A$56,0)),IFERROR(INDEX(Setup!$C$60:$C$89,MATCH($B1602,Setup!$A$60:$A$89,0)),"")))</f>
        <v/>
      </c>
      <c r="E1602" s="42"/>
      <c r="F1602" s="42"/>
    </row>
    <row r="1603" customFormat="false" ht="15" hidden="false" customHeight="true" outlineLevel="0" collapsed="false">
      <c r="A1603" s="42"/>
      <c r="B1603" s="42"/>
      <c r="C1603" s="42"/>
      <c r="D1603" s="28" t="str">
        <f aca="false">IF(OR($B1603="",$C1603=""),"",$C1603*IFERROR(INDEX(Setup!$C$47:$C$56,MATCH($B1603,Setup!$A$47:$A$56,0)),IFERROR(INDEX(Setup!$C$60:$C$89,MATCH($B1603,Setup!$A$60:$A$89,0)),"")))</f>
        <v/>
      </c>
      <c r="E1603" s="42"/>
      <c r="F1603" s="42"/>
    </row>
    <row r="1604" customFormat="false" ht="15" hidden="false" customHeight="true" outlineLevel="0" collapsed="false">
      <c r="A1604" s="42"/>
      <c r="B1604" s="42"/>
      <c r="C1604" s="42"/>
      <c r="D1604" s="28" t="str">
        <f aca="false">IF(OR($B1604="",$C1604=""),"",$C1604*IFERROR(INDEX(Setup!$C$47:$C$56,MATCH($B1604,Setup!$A$47:$A$56,0)),IFERROR(INDEX(Setup!$C$60:$C$89,MATCH($B1604,Setup!$A$60:$A$89,0)),"")))</f>
        <v/>
      </c>
      <c r="E1604" s="42"/>
      <c r="F1604" s="42"/>
    </row>
    <row r="1605" customFormat="false" ht="15" hidden="false" customHeight="true" outlineLevel="0" collapsed="false">
      <c r="A1605" s="42"/>
      <c r="B1605" s="42"/>
      <c r="C1605" s="42"/>
      <c r="D1605" s="28" t="str">
        <f aca="false">IF(OR($B1605="",$C1605=""),"",$C1605*IFERROR(INDEX(Setup!$C$47:$C$56,MATCH($B1605,Setup!$A$47:$A$56,0)),IFERROR(INDEX(Setup!$C$60:$C$89,MATCH($B1605,Setup!$A$60:$A$89,0)),"")))</f>
        <v/>
      </c>
      <c r="E1605" s="42"/>
      <c r="F1605" s="42"/>
    </row>
    <row r="1606" customFormat="false" ht="15" hidden="false" customHeight="true" outlineLevel="0" collapsed="false">
      <c r="A1606" s="42"/>
      <c r="B1606" s="42"/>
      <c r="C1606" s="42"/>
      <c r="D1606" s="28" t="str">
        <f aca="false">IF(OR($B1606="",$C1606=""),"",$C1606*IFERROR(INDEX(Setup!$C$47:$C$56,MATCH($B1606,Setup!$A$47:$A$56,0)),IFERROR(INDEX(Setup!$C$60:$C$89,MATCH($B1606,Setup!$A$60:$A$89,0)),"")))</f>
        <v/>
      </c>
      <c r="E1606" s="42"/>
      <c r="F1606" s="42"/>
    </row>
    <row r="1607" customFormat="false" ht="15" hidden="false" customHeight="true" outlineLevel="0" collapsed="false">
      <c r="A1607" s="42"/>
      <c r="B1607" s="42"/>
      <c r="C1607" s="42"/>
      <c r="D1607" s="28" t="str">
        <f aca="false">IF(OR($B1607="",$C1607=""),"",$C1607*IFERROR(INDEX(Setup!$C$47:$C$56,MATCH($B1607,Setup!$A$47:$A$56,0)),IFERROR(INDEX(Setup!$C$60:$C$89,MATCH($B1607,Setup!$A$60:$A$89,0)),"")))</f>
        <v/>
      </c>
      <c r="E1607" s="42"/>
      <c r="F1607" s="42"/>
    </row>
    <row r="1608" customFormat="false" ht="15" hidden="false" customHeight="true" outlineLevel="0" collapsed="false">
      <c r="A1608" s="42"/>
      <c r="B1608" s="42"/>
      <c r="C1608" s="42"/>
      <c r="D1608" s="28" t="str">
        <f aca="false">IF(OR($B1608="",$C1608=""),"",$C1608*IFERROR(INDEX(Setup!$C$47:$C$56,MATCH($B1608,Setup!$A$47:$A$56,0)),IFERROR(INDEX(Setup!$C$60:$C$89,MATCH($B1608,Setup!$A$60:$A$89,0)),"")))</f>
        <v/>
      </c>
      <c r="E1608" s="42"/>
      <c r="F1608" s="42"/>
    </row>
    <row r="1609" customFormat="false" ht="15" hidden="false" customHeight="true" outlineLevel="0" collapsed="false">
      <c r="A1609" s="42"/>
      <c r="B1609" s="42"/>
      <c r="C1609" s="42"/>
      <c r="D1609" s="28" t="str">
        <f aca="false">IF(OR($B1609="",$C1609=""),"",$C1609*IFERROR(INDEX(Setup!$C$47:$C$56,MATCH($B1609,Setup!$A$47:$A$56,0)),IFERROR(INDEX(Setup!$C$60:$C$89,MATCH($B1609,Setup!$A$60:$A$89,0)),"")))</f>
        <v/>
      </c>
      <c r="E1609" s="42"/>
      <c r="F1609" s="42"/>
    </row>
    <row r="1610" customFormat="false" ht="15" hidden="false" customHeight="true" outlineLevel="0" collapsed="false">
      <c r="A1610" s="42"/>
      <c r="B1610" s="42"/>
      <c r="C1610" s="42"/>
      <c r="D1610" s="28" t="str">
        <f aca="false">IF(OR($B1610="",$C1610=""),"",$C1610*IFERROR(INDEX(Setup!$C$47:$C$56,MATCH($B1610,Setup!$A$47:$A$56,0)),IFERROR(INDEX(Setup!$C$60:$C$89,MATCH($B1610,Setup!$A$60:$A$89,0)),"")))</f>
        <v/>
      </c>
      <c r="E1610" s="42"/>
      <c r="F1610" s="42"/>
    </row>
    <row r="1611" customFormat="false" ht="15" hidden="false" customHeight="true" outlineLevel="0" collapsed="false">
      <c r="A1611" s="42"/>
      <c r="B1611" s="42"/>
      <c r="C1611" s="42"/>
      <c r="D1611" s="28" t="str">
        <f aca="false">IF(OR($B1611="",$C1611=""),"",$C1611*IFERROR(INDEX(Setup!$C$47:$C$56,MATCH($B1611,Setup!$A$47:$A$56,0)),IFERROR(INDEX(Setup!$C$60:$C$89,MATCH($B1611,Setup!$A$60:$A$89,0)),"")))</f>
        <v/>
      </c>
      <c r="E1611" s="42"/>
      <c r="F1611" s="42"/>
    </row>
    <row r="1612" customFormat="false" ht="15" hidden="false" customHeight="true" outlineLevel="0" collapsed="false">
      <c r="A1612" s="42"/>
      <c r="B1612" s="42"/>
      <c r="C1612" s="42"/>
      <c r="D1612" s="28" t="str">
        <f aca="false">IF(OR($B1612="",$C1612=""),"",$C1612*IFERROR(INDEX(Setup!$C$47:$C$56,MATCH($B1612,Setup!$A$47:$A$56,0)),IFERROR(INDEX(Setup!$C$60:$C$89,MATCH($B1612,Setup!$A$60:$A$89,0)),"")))</f>
        <v/>
      </c>
      <c r="E1612" s="42"/>
      <c r="F1612" s="42"/>
    </row>
    <row r="1613" customFormat="false" ht="15" hidden="false" customHeight="true" outlineLevel="0" collapsed="false">
      <c r="A1613" s="42"/>
      <c r="B1613" s="42"/>
      <c r="C1613" s="42"/>
      <c r="D1613" s="28" t="str">
        <f aca="false">IF(OR($B1613="",$C1613=""),"",$C1613*IFERROR(INDEX(Setup!$C$47:$C$56,MATCH($B1613,Setup!$A$47:$A$56,0)),IFERROR(INDEX(Setup!$C$60:$C$89,MATCH($B1613,Setup!$A$60:$A$89,0)),"")))</f>
        <v/>
      </c>
      <c r="E1613" s="42"/>
      <c r="F1613" s="42"/>
    </row>
    <row r="1614" customFormat="false" ht="15" hidden="false" customHeight="true" outlineLevel="0" collapsed="false">
      <c r="A1614" s="42"/>
      <c r="B1614" s="42"/>
      <c r="C1614" s="42"/>
      <c r="D1614" s="28" t="str">
        <f aca="false">IF(OR($B1614="",$C1614=""),"",$C1614*IFERROR(INDEX(Setup!$C$47:$C$56,MATCH($B1614,Setup!$A$47:$A$56,0)),IFERROR(INDEX(Setup!$C$60:$C$89,MATCH($B1614,Setup!$A$60:$A$89,0)),"")))</f>
        <v/>
      </c>
      <c r="E1614" s="42"/>
      <c r="F1614" s="42"/>
    </row>
    <row r="1615" customFormat="false" ht="15" hidden="false" customHeight="true" outlineLevel="0" collapsed="false">
      <c r="A1615" s="42"/>
      <c r="B1615" s="42"/>
      <c r="C1615" s="42"/>
      <c r="D1615" s="28" t="str">
        <f aca="false">IF(OR($B1615="",$C1615=""),"",$C1615*IFERROR(INDEX(Setup!$C$47:$C$56,MATCH($B1615,Setup!$A$47:$A$56,0)),IFERROR(INDEX(Setup!$C$60:$C$89,MATCH($B1615,Setup!$A$60:$A$89,0)),"")))</f>
        <v/>
      </c>
      <c r="E1615" s="42"/>
      <c r="F1615" s="42"/>
    </row>
    <row r="1616" customFormat="false" ht="15" hidden="false" customHeight="true" outlineLevel="0" collapsed="false">
      <c r="A1616" s="42"/>
      <c r="B1616" s="42"/>
      <c r="C1616" s="42"/>
      <c r="D1616" s="28" t="str">
        <f aca="false">IF(OR($B1616="",$C1616=""),"",$C1616*IFERROR(INDEX(Setup!$C$47:$C$56,MATCH($B1616,Setup!$A$47:$A$56,0)),IFERROR(INDEX(Setup!$C$60:$C$89,MATCH($B1616,Setup!$A$60:$A$89,0)),"")))</f>
        <v/>
      </c>
      <c r="E1616" s="42"/>
      <c r="F1616" s="42"/>
    </row>
    <row r="1617" customFormat="false" ht="15" hidden="false" customHeight="true" outlineLevel="0" collapsed="false">
      <c r="A1617" s="42"/>
      <c r="B1617" s="42"/>
      <c r="C1617" s="42"/>
      <c r="D1617" s="28" t="str">
        <f aca="false">IF(OR($B1617="",$C1617=""),"",$C1617*IFERROR(INDEX(Setup!$C$47:$C$56,MATCH($B1617,Setup!$A$47:$A$56,0)),IFERROR(INDEX(Setup!$C$60:$C$89,MATCH($B1617,Setup!$A$60:$A$89,0)),"")))</f>
        <v/>
      </c>
      <c r="E1617" s="42"/>
      <c r="F1617" s="42"/>
    </row>
    <row r="1618" customFormat="false" ht="15" hidden="false" customHeight="true" outlineLevel="0" collapsed="false">
      <c r="A1618" s="42"/>
      <c r="B1618" s="42"/>
      <c r="C1618" s="42"/>
      <c r="D1618" s="28" t="str">
        <f aca="false">IF(OR($B1618="",$C1618=""),"",$C1618*IFERROR(INDEX(Setup!$C$47:$C$56,MATCH($B1618,Setup!$A$47:$A$56,0)),IFERROR(INDEX(Setup!$C$60:$C$89,MATCH($B1618,Setup!$A$60:$A$89,0)),"")))</f>
        <v/>
      </c>
      <c r="E1618" s="42"/>
      <c r="F1618" s="42"/>
    </row>
    <row r="1619" customFormat="false" ht="15" hidden="false" customHeight="true" outlineLevel="0" collapsed="false">
      <c r="A1619" s="42"/>
      <c r="B1619" s="42"/>
      <c r="C1619" s="42"/>
      <c r="D1619" s="28" t="str">
        <f aca="false">IF(OR($B1619="",$C1619=""),"",$C1619*IFERROR(INDEX(Setup!$C$47:$C$56,MATCH($B1619,Setup!$A$47:$A$56,0)),IFERROR(INDEX(Setup!$C$60:$C$89,MATCH($B1619,Setup!$A$60:$A$89,0)),"")))</f>
        <v/>
      </c>
      <c r="E1619" s="42"/>
      <c r="F1619" s="42"/>
    </row>
    <row r="1620" customFormat="false" ht="15" hidden="false" customHeight="true" outlineLevel="0" collapsed="false">
      <c r="A1620" s="42"/>
      <c r="B1620" s="42"/>
      <c r="C1620" s="42"/>
      <c r="D1620" s="28" t="str">
        <f aca="false">IF(OR($B1620="",$C1620=""),"",$C1620*IFERROR(INDEX(Setup!$C$47:$C$56,MATCH($B1620,Setup!$A$47:$A$56,0)),IFERROR(INDEX(Setup!$C$60:$C$89,MATCH($B1620,Setup!$A$60:$A$89,0)),"")))</f>
        <v/>
      </c>
      <c r="E1620" s="42"/>
      <c r="F1620" s="42"/>
    </row>
    <row r="1621" customFormat="false" ht="15" hidden="false" customHeight="true" outlineLevel="0" collapsed="false">
      <c r="A1621" s="42"/>
      <c r="B1621" s="42"/>
      <c r="C1621" s="42"/>
      <c r="D1621" s="28" t="str">
        <f aca="false">IF(OR($B1621="",$C1621=""),"",$C1621*IFERROR(INDEX(Setup!$C$47:$C$56,MATCH($B1621,Setup!$A$47:$A$56,0)),IFERROR(INDEX(Setup!$C$60:$C$89,MATCH($B1621,Setup!$A$60:$A$89,0)),"")))</f>
        <v/>
      </c>
      <c r="E1621" s="42"/>
      <c r="F1621" s="42"/>
    </row>
    <row r="1622" customFormat="false" ht="15" hidden="false" customHeight="true" outlineLevel="0" collapsed="false">
      <c r="A1622" s="42"/>
      <c r="B1622" s="42"/>
      <c r="C1622" s="42"/>
      <c r="D1622" s="28" t="str">
        <f aca="false">IF(OR($B1622="",$C1622=""),"",$C1622*IFERROR(INDEX(Setup!$C$47:$C$56,MATCH($B1622,Setup!$A$47:$A$56,0)),IFERROR(INDEX(Setup!$C$60:$C$89,MATCH($B1622,Setup!$A$60:$A$89,0)),"")))</f>
        <v/>
      </c>
      <c r="E1622" s="42"/>
      <c r="F1622" s="42"/>
    </row>
    <row r="1623" customFormat="false" ht="15" hidden="false" customHeight="true" outlineLevel="0" collapsed="false">
      <c r="A1623" s="42"/>
      <c r="B1623" s="42"/>
      <c r="C1623" s="42"/>
      <c r="D1623" s="28" t="str">
        <f aca="false">IF(OR($B1623="",$C1623=""),"",$C1623*IFERROR(INDEX(Setup!$C$47:$C$56,MATCH($B1623,Setup!$A$47:$A$56,0)),IFERROR(INDEX(Setup!$C$60:$C$89,MATCH($B1623,Setup!$A$60:$A$89,0)),"")))</f>
        <v/>
      </c>
      <c r="E1623" s="42"/>
      <c r="F1623" s="42"/>
    </row>
    <row r="1624" customFormat="false" ht="15" hidden="false" customHeight="true" outlineLevel="0" collapsed="false">
      <c r="A1624" s="42"/>
      <c r="B1624" s="42"/>
      <c r="C1624" s="42"/>
      <c r="D1624" s="28" t="str">
        <f aca="false">IF(OR($B1624="",$C1624=""),"",$C1624*IFERROR(INDEX(Setup!$C$47:$C$56,MATCH($B1624,Setup!$A$47:$A$56,0)),IFERROR(INDEX(Setup!$C$60:$C$89,MATCH($B1624,Setup!$A$60:$A$89,0)),"")))</f>
        <v/>
      </c>
      <c r="E1624" s="42"/>
      <c r="F1624" s="42"/>
    </row>
    <row r="1625" customFormat="false" ht="15" hidden="false" customHeight="true" outlineLevel="0" collapsed="false">
      <c r="A1625" s="42"/>
      <c r="B1625" s="42"/>
      <c r="C1625" s="42"/>
      <c r="D1625" s="28" t="str">
        <f aca="false">IF(OR($B1625="",$C1625=""),"",$C1625*IFERROR(INDEX(Setup!$C$47:$C$56,MATCH($B1625,Setup!$A$47:$A$56,0)),IFERROR(INDEX(Setup!$C$60:$C$89,MATCH($B1625,Setup!$A$60:$A$89,0)),"")))</f>
        <v/>
      </c>
      <c r="E1625" s="42"/>
      <c r="F1625" s="42"/>
    </row>
    <row r="1626" customFormat="false" ht="15" hidden="false" customHeight="true" outlineLevel="0" collapsed="false">
      <c r="A1626" s="42"/>
      <c r="B1626" s="42"/>
      <c r="C1626" s="42"/>
      <c r="D1626" s="28" t="str">
        <f aca="false">IF(OR($B1626="",$C1626=""),"",$C1626*IFERROR(INDEX(Setup!$C$47:$C$56,MATCH($B1626,Setup!$A$47:$A$56,0)),IFERROR(INDEX(Setup!$C$60:$C$89,MATCH($B1626,Setup!$A$60:$A$89,0)),"")))</f>
        <v/>
      </c>
      <c r="E1626" s="42"/>
      <c r="F1626" s="42"/>
    </row>
    <row r="1627" customFormat="false" ht="15" hidden="false" customHeight="true" outlineLevel="0" collapsed="false">
      <c r="A1627" s="42"/>
      <c r="B1627" s="42"/>
      <c r="C1627" s="42"/>
      <c r="D1627" s="28" t="str">
        <f aca="false">IF(OR($B1627="",$C1627=""),"",$C1627*IFERROR(INDEX(Setup!$C$47:$C$56,MATCH($B1627,Setup!$A$47:$A$56,0)),IFERROR(INDEX(Setup!$C$60:$C$89,MATCH($B1627,Setup!$A$60:$A$89,0)),"")))</f>
        <v/>
      </c>
      <c r="E1627" s="42"/>
      <c r="F1627" s="42"/>
    </row>
    <row r="1628" customFormat="false" ht="15" hidden="false" customHeight="true" outlineLevel="0" collapsed="false">
      <c r="A1628" s="42"/>
      <c r="B1628" s="42"/>
      <c r="C1628" s="42"/>
      <c r="D1628" s="28" t="str">
        <f aca="false">IF(OR($B1628="",$C1628=""),"",$C1628*IFERROR(INDEX(Setup!$C$47:$C$56,MATCH($B1628,Setup!$A$47:$A$56,0)),IFERROR(INDEX(Setup!$C$60:$C$89,MATCH($B1628,Setup!$A$60:$A$89,0)),"")))</f>
        <v/>
      </c>
      <c r="E1628" s="42"/>
      <c r="F1628" s="42"/>
    </row>
    <row r="1629" customFormat="false" ht="15" hidden="false" customHeight="true" outlineLevel="0" collapsed="false">
      <c r="A1629" s="42"/>
      <c r="B1629" s="42"/>
      <c r="C1629" s="42"/>
      <c r="D1629" s="28" t="str">
        <f aca="false">IF(OR($B1629="",$C1629=""),"",$C1629*IFERROR(INDEX(Setup!$C$47:$C$56,MATCH($B1629,Setup!$A$47:$A$56,0)),IFERROR(INDEX(Setup!$C$60:$C$89,MATCH($B1629,Setup!$A$60:$A$89,0)),"")))</f>
        <v/>
      </c>
      <c r="E1629" s="42"/>
      <c r="F1629" s="42"/>
    </row>
    <row r="1630" customFormat="false" ht="15" hidden="false" customHeight="true" outlineLevel="0" collapsed="false">
      <c r="A1630" s="42"/>
      <c r="B1630" s="42"/>
      <c r="C1630" s="42"/>
      <c r="D1630" s="28" t="str">
        <f aca="false">IF(OR($B1630="",$C1630=""),"",$C1630*IFERROR(INDEX(Setup!$C$47:$C$56,MATCH($B1630,Setup!$A$47:$A$56,0)),IFERROR(INDEX(Setup!$C$60:$C$89,MATCH($B1630,Setup!$A$60:$A$89,0)),"")))</f>
        <v/>
      </c>
      <c r="E1630" s="42"/>
      <c r="F1630" s="42"/>
    </row>
    <row r="1631" customFormat="false" ht="15" hidden="false" customHeight="true" outlineLevel="0" collapsed="false">
      <c r="A1631" s="42"/>
      <c r="B1631" s="42"/>
      <c r="C1631" s="42"/>
      <c r="D1631" s="28" t="str">
        <f aca="false">IF(OR($B1631="",$C1631=""),"",$C1631*IFERROR(INDEX(Setup!$C$47:$C$56,MATCH($B1631,Setup!$A$47:$A$56,0)),IFERROR(INDEX(Setup!$C$60:$C$89,MATCH($B1631,Setup!$A$60:$A$89,0)),"")))</f>
        <v/>
      </c>
      <c r="E1631" s="42"/>
      <c r="F1631" s="42"/>
    </row>
    <row r="1632" customFormat="false" ht="15" hidden="false" customHeight="true" outlineLevel="0" collapsed="false">
      <c r="A1632" s="42"/>
      <c r="B1632" s="42"/>
      <c r="C1632" s="42"/>
      <c r="D1632" s="28" t="str">
        <f aca="false">IF(OR($B1632="",$C1632=""),"",$C1632*IFERROR(INDEX(Setup!$C$47:$C$56,MATCH($B1632,Setup!$A$47:$A$56,0)),IFERROR(INDEX(Setup!$C$60:$C$89,MATCH($B1632,Setup!$A$60:$A$89,0)),"")))</f>
        <v/>
      </c>
      <c r="E1632" s="42"/>
      <c r="F1632" s="42"/>
    </row>
    <row r="1633" customFormat="false" ht="15" hidden="false" customHeight="true" outlineLevel="0" collapsed="false">
      <c r="A1633" s="42"/>
      <c r="B1633" s="42"/>
      <c r="C1633" s="42"/>
      <c r="D1633" s="28" t="str">
        <f aca="false">IF(OR($B1633="",$C1633=""),"",$C1633*IFERROR(INDEX(Setup!$C$47:$C$56,MATCH($B1633,Setup!$A$47:$A$56,0)),IFERROR(INDEX(Setup!$C$60:$C$89,MATCH($B1633,Setup!$A$60:$A$89,0)),"")))</f>
        <v/>
      </c>
      <c r="E1633" s="42"/>
      <c r="F1633" s="42"/>
    </row>
    <row r="1634" customFormat="false" ht="15" hidden="false" customHeight="true" outlineLevel="0" collapsed="false">
      <c r="A1634" s="42"/>
      <c r="B1634" s="42"/>
      <c r="C1634" s="42"/>
      <c r="D1634" s="28" t="str">
        <f aca="false">IF(OR($B1634="",$C1634=""),"",$C1634*IFERROR(INDEX(Setup!$C$47:$C$56,MATCH($B1634,Setup!$A$47:$A$56,0)),IFERROR(INDEX(Setup!$C$60:$C$89,MATCH($B1634,Setup!$A$60:$A$89,0)),"")))</f>
        <v/>
      </c>
      <c r="E1634" s="42"/>
      <c r="F1634" s="42"/>
    </row>
    <row r="1635" customFormat="false" ht="15" hidden="false" customHeight="true" outlineLevel="0" collapsed="false">
      <c r="A1635" s="42"/>
      <c r="B1635" s="42"/>
      <c r="C1635" s="42"/>
      <c r="D1635" s="28" t="str">
        <f aca="false">IF(OR($B1635="",$C1635=""),"",$C1635*IFERROR(INDEX(Setup!$C$47:$C$56,MATCH($B1635,Setup!$A$47:$A$56,0)),IFERROR(INDEX(Setup!$C$60:$C$89,MATCH($B1635,Setup!$A$60:$A$89,0)),"")))</f>
        <v/>
      </c>
      <c r="E1635" s="42"/>
      <c r="F1635" s="42"/>
    </row>
    <row r="1636" customFormat="false" ht="15" hidden="false" customHeight="true" outlineLevel="0" collapsed="false">
      <c r="A1636" s="42"/>
      <c r="B1636" s="42"/>
      <c r="C1636" s="42"/>
      <c r="D1636" s="28" t="str">
        <f aca="false">IF(OR($B1636="",$C1636=""),"",$C1636*IFERROR(INDEX(Setup!$C$47:$C$56,MATCH($B1636,Setup!$A$47:$A$56,0)),IFERROR(INDEX(Setup!$C$60:$C$89,MATCH($B1636,Setup!$A$60:$A$89,0)),"")))</f>
        <v/>
      </c>
      <c r="E1636" s="42"/>
      <c r="F1636" s="42"/>
    </row>
    <row r="1637" customFormat="false" ht="15" hidden="false" customHeight="true" outlineLevel="0" collapsed="false">
      <c r="A1637" s="42"/>
      <c r="B1637" s="42"/>
      <c r="C1637" s="42"/>
      <c r="D1637" s="28" t="str">
        <f aca="false">IF(OR($B1637="",$C1637=""),"",$C1637*IFERROR(INDEX(Setup!$C$47:$C$56,MATCH($B1637,Setup!$A$47:$A$56,0)),IFERROR(INDEX(Setup!$C$60:$C$89,MATCH($B1637,Setup!$A$60:$A$89,0)),"")))</f>
        <v/>
      </c>
      <c r="E1637" s="42"/>
      <c r="F1637" s="42"/>
    </row>
    <row r="1638" customFormat="false" ht="15" hidden="false" customHeight="true" outlineLevel="0" collapsed="false">
      <c r="A1638" s="42"/>
      <c r="B1638" s="42"/>
      <c r="C1638" s="42"/>
      <c r="D1638" s="28" t="str">
        <f aca="false">IF(OR($B1638="",$C1638=""),"",$C1638*IFERROR(INDEX(Setup!$C$47:$C$56,MATCH($B1638,Setup!$A$47:$A$56,0)),IFERROR(INDEX(Setup!$C$60:$C$89,MATCH($B1638,Setup!$A$60:$A$89,0)),"")))</f>
        <v/>
      </c>
      <c r="E1638" s="42"/>
      <c r="F1638" s="42"/>
    </row>
    <row r="1639" customFormat="false" ht="15" hidden="false" customHeight="true" outlineLevel="0" collapsed="false">
      <c r="A1639" s="42"/>
      <c r="B1639" s="42"/>
      <c r="C1639" s="42"/>
      <c r="D1639" s="28" t="str">
        <f aca="false">IF(OR($B1639="",$C1639=""),"",$C1639*IFERROR(INDEX(Setup!$C$47:$C$56,MATCH($B1639,Setup!$A$47:$A$56,0)),IFERROR(INDEX(Setup!$C$60:$C$89,MATCH($B1639,Setup!$A$60:$A$89,0)),"")))</f>
        <v/>
      </c>
      <c r="E1639" s="42"/>
      <c r="F1639" s="42"/>
    </row>
    <row r="1640" customFormat="false" ht="15" hidden="false" customHeight="true" outlineLevel="0" collapsed="false">
      <c r="A1640" s="42"/>
      <c r="B1640" s="42"/>
      <c r="C1640" s="42"/>
      <c r="D1640" s="28" t="str">
        <f aca="false">IF(OR($B1640="",$C1640=""),"",$C1640*IFERROR(INDEX(Setup!$C$47:$C$56,MATCH($B1640,Setup!$A$47:$A$56,0)),IFERROR(INDEX(Setup!$C$60:$C$89,MATCH($B1640,Setup!$A$60:$A$89,0)),"")))</f>
        <v/>
      </c>
      <c r="E1640" s="42"/>
      <c r="F1640" s="42"/>
    </row>
    <row r="1641" customFormat="false" ht="15" hidden="false" customHeight="true" outlineLevel="0" collapsed="false">
      <c r="A1641" s="42"/>
      <c r="B1641" s="42"/>
      <c r="C1641" s="42"/>
      <c r="D1641" s="28" t="str">
        <f aca="false">IF(OR($B1641="",$C1641=""),"",$C1641*IFERROR(INDEX(Setup!$C$47:$C$56,MATCH($B1641,Setup!$A$47:$A$56,0)),IFERROR(INDEX(Setup!$C$60:$C$89,MATCH($B1641,Setup!$A$60:$A$89,0)),"")))</f>
        <v/>
      </c>
      <c r="E1641" s="42"/>
      <c r="F1641" s="42"/>
    </row>
    <row r="1642" customFormat="false" ht="15" hidden="false" customHeight="true" outlineLevel="0" collapsed="false">
      <c r="A1642" s="42"/>
      <c r="B1642" s="42"/>
      <c r="C1642" s="42"/>
      <c r="D1642" s="28" t="str">
        <f aca="false">IF(OR($B1642="",$C1642=""),"",$C1642*IFERROR(INDEX(Setup!$C$47:$C$56,MATCH($B1642,Setup!$A$47:$A$56,0)),IFERROR(INDEX(Setup!$C$60:$C$89,MATCH($B1642,Setup!$A$60:$A$89,0)),"")))</f>
        <v/>
      </c>
      <c r="E1642" s="42"/>
      <c r="F1642" s="42"/>
    </row>
    <row r="1643" customFormat="false" ht="15" hidden="false" customHeight="true" outlineLevel="0" collapsed="false">
      <c r="A1643" s="42"/>
      <c r="B1643" s="42"/>
      <c r="C1643" s="42"/>
      <c r="D1643" s="28" t="str">
        <f aca="false">IF(OR($B1643="",$C1643=""),"",$C1643*IFERROR(INDEX(Setup!$C$47:$C$56,MATCH($B1643,Setup!$A$47:$A$56,0)),IFERROR(INDEX(Setup!$C$60:$C$89,MATCH($B1643,Setup!$A$60:$A$89,0)),"")))</f>
        <v/>
      </c>
      <c r="E1643" s="42"/>
      <c r="F1643" s="42"/>
    </row>
    <row r="1644" customFormat="false" ht="15" hidden="false" customHeight="true" outlineLevel="0" collapsed="false">
      <c r="A1644" s="42"/>
      <c r="B1644" s="42"/>
      <c r="C1644" s="42"/>
      <c r="D1644" s="28" t="str">
        <f aca="false">IF(OR($B1644="",$C1644=""),"",$C1644*IFERROR(INDEX(Setup!$C$47:$C$56,MATCH($B1644,Setup!$A$47:$A$56,0)),IFERROR(INDEX(Setup!$C$60:$C$89,MATCH($B1644,Setup!$A$60:$A$89,0)),"")))</f>
        <v/>
      </c>
      <c r="E1644" s="42"/>
      <c r="F1644" s="42"/>
    </row>
    <row r="1645" customFormat="false" ht="15" hidden="false" customHeight="true" outlineLevel="0" collapsed="false">
      <c r="A1645" s="42"/>
      <c r="B1645" s="42"/>
      <c r="C1645" s="42"/>
      <c r="D1645" s="28" t="str">
        <f aca="false">IF(OR($B1645="",$C1645=""),"",$C1645*IFERROR(INDEX(Setup!$C$47:$C$56,MATCH($B1645,Setup!$A$47:$A$56,0)),IFERROR(INDEX(Setup!$C$60:$C$89,MATCH($B1645,Setup!$A$60:$A$89,0)),"")))</f>
        <v/>
      </c>
      <c r="E1645" s="42"/>
      <c r="F1645" s="42"/>
    </row>
    <row r="1646" customFormat="false" ht="15" hidden="false" customHeight="true" outlineLevel="0" collapsed="false">
      <c r="A1646" s="42"/>
      <c r="B1646" s="42"/>
      <c r="C1646" s="42"/>
      <c r="D1646" s="28" t="str">
        <f aca="false">IF(OR($B1646="",$C1646=""),"",$C1646*IFERROR(INDEX(Setup!$C$47:$C$56,MATCH($B1646,Setup!$A$47:$A$56,0)),IFERROR(INDEX(Setup!$C$60:$C$89,MATCH($B1646,Setup!$A$60:$A$89,0)),"")))</f>
        <v/>
      </c>
      <c r="E1646" s="42"/>
      <c r="F1646" s="42"/>
    </row>
    <row r="1647" customFormat="false" ht="15" hidden="false" customHeight="true" outlineLevel="0" collapsed="false">
      <c r="A1647" s="42"/>
      <c r="B1647" s="42"/>
      <c r="C1647" s="42"/>
      <c r="D1647" s="28" t="str">
        <f aca="false">IF(OR($B1647="",$C1647=""),"",$C1647*IFERROR(INDEX(Setup!$C$47:$C$56,MATCH($B1647,Setup!$A$47:$A$56,0)),IFERROR(INDEX(Setup!$C$60:$C$89,MATCH($B1647,Setup!$A$60:$A$89,0)),"")))</f>
        <v/>
      </c>
      <c r="E1647" s="42"/>
      <c r="F1647" s="42"/>
    </row>
    <row r="1648" customFormat="false" ht="15" hidden="false" customHeight="true" outlineLevel="0" collapsed="false">
      <c r="A1648" s="42"/>
      <c r="B1648" s="42"/>
      <c r="C1648" s="42"/>
      <c r="D1648" s="28" t="str">
        <f aca="false">IF(OR($B1648="",$C1648=""),"",$C1648*IFERROR(INDEX(Setup!$C$47:$C$56,MATCH($B1648,Setup!$A$47:$A$56,0)),IFERROR(INDEX(Setup!$C$60:$C$89,MATCH($B1648,Setup!$A$60:$A$89,0)),"")))</f>
        <v/>
      </c>
      <c r="E1648" s="42"/>
      <c r="F1648" s="42"/>
    </row>
    <row r="1649" customFormat="false" ht="15" hidden="false" customHeight="true" outlineLevel="0" collapsed="false">
      <c r="A1649" s="42"/>
      <c r="B1649" s="42"/>
      <c r="C1649" s="42"/>
      <c r="D1649" s="28" t="str">
        <f aca="false">IF(OR($B1649="",$C1649=""),"",$C1649*IFERROR(INDEX(Setup!$C$47:$C$56,MATCH($B1649,Setup!$A$47:$A$56,0)),IFERROR(INDEX(Setup!$C$60:$C$89,MATCH($B1649,Setup!$A$60:$A$89,0)),"")))</f>
        <v/>
      </c>
      <c r="E1649" s="42"/>
      <c r="F1649" s="42"/>
    </row>
    <row r="1650" customFormat="false" ht="15" hidden="false" customHeight="true" outlineLevel="0" collapsed="false">
      <c r="A1650" s="42"/>
      <c r="B1650" s="42"/>
      <c r="C1650" s="42"/>
      <c r="D1650" s="28" t="str">
        <f aca="false">IF(OR($B1650="",$C1650=""),"",$C1650*IFERROR(INDEX(Setup!$C$47:$C$56,MATCH($B1650,Setup!$A$47:$A$56,0)),IFERROR(INDEX(Setup!$C$60:$C$89,MATCH($B1650,Setup!$A$60:$A$89,0)),"")))</f>
        <v/>
      </c>
      <c r="E1650" s="42"/>
      <c r="F1650" s="42"/>
    </row>
    <row r="1651" customFormat="false" ht="15" hidden="false" customHeight="true" outlineLevel="0" collapsed="false">
      <c r="A1651" s="42"/>
      <c r="B1651" s="42"/>
      <c r="C1651" s="42"/>
      <c r="D1651" s="28" t="str">
        <f aca="false">IF(OR($B1651="",$C1651=""),"",$C1651*IFERROR(INDEX(Setup!$C$47:$C$56,MATCH($B1651,Setup!$A$47:$A$56,0)),IFERROR(INDEX(Setup!$C$60:$C$89,MATCH($B1651,Setup!$A$60:$A$89,0)),"")))</f>
        <v/>
      </c>
      <c r="E1651" s="42"/>
      <c r="F1651" s="42"/>
    </row>
    <row r="1652" customFormat="false" ht="15" hidden="false" customHeight="true" outlineLevel="0" collapsed="false">
      <c r="A1652" s="42"/>
      <c r="B1652" s="42"/>
      <c r="C1652" s="42"/>
      <c r="D1652" s="28" t="str">
        <f aca="false">IF(OR($B1652="",$C1652=""),"",$C1652*IFERROR(INDEX(Setup!$C$47:$C$56,MATCH($B1652,Setup!$A$47:$A$56,0)),IFERROR(INDEX(Setup!$C$60:$C$89,MATCH($B1652,Setup!$A$60:$A$89,0)),"")))</f>
        <v/>
      </c>
      <c r="E1652" s="42"/>
      <c r="F1652" s="42"/>
    </row>
    <row r="1653" customFormat="false" ht="15" hidden="false" customHeight="true" outlineLevel="0" collapsed="false">
      <c r="A1653" s="42"/>
      <c r="B1653" s="42"/>
      <c r="C1653" s="42"/>
      <c r="D1653" s="28" t="str">
        <f aca="false">IF(OR($B1653="",$C1653=""),"",$C1653*IFERROR(INDEX(Setup!$C$47:$C$56,MATCH($B1653,Setup!$A$47:$A$56,0)),IFERROR(INDEX(Setup!$C$60:$C$89,MATCH($B1653,Setup!$A$60:$A$89,0)),"")))</f>
        <v/>
      </c>
      <c r="E1653" s="42"/>
      <c r="F1653" s="42"/>
    </row>
    <row r="1654" customFormat="false" ht="15" hidden="false" customHeight="true" outlineLevel="0" collapsed="false">
      <c r="A1654" s="42"/>
      <c r="B1654" s="42"/>
      <c r="C1654" s="42"/>
      <c r="D1654" s="28" t="str">
        <f aca="false">IF(OR($B1654="",$C1654=""),"",$C1654*IFERROR(INDEX(Setup!$C$47:$C$56,MATCH($B1654,Setup!$A$47:$A$56,0)),IFERROR(INDEX(Setup!$C$60:$C$89,MATCH($B1654,Setup!$A$60:$A$89,0)),"")))</f>
        <v/>
      </c>
      <c r="E1654" s="42"/>
      <c r="F1654" s="42"/>
    </row>
    <row r="1655" customFormat="false" ht="15" hidden="false" customHeight="true" outlineLevel="0" collapsed="false">
      <c r="A1655" s="42"/>
      <c r="B1655" s="42"/>
      <c r="C1655" s="42"/>
      <c r="D1655" s="28" t="str">
        <f aca="false">IF(OR($B1655="",$C1655=""),"",$C1655*IFERROR(INDEX(Setup!$C$47:$C$56,MATCH($B1655,Setup!$A$47:$A$56,0)),IFERROR(INDEX(Setup!$C$60:$C$89,MATCH($B1655,Setup!$A$60:$A$89,0)),"")))</f>
        <v/>
      </c>
      <c r="E1655" s="42"/>
      <c r="F1655" s="42"/>
    </row>
    <row r="1656" customFormat="false" ht="15" hidden="false" customHeight="true" outlineLevel="0" collapsed="false">
      <c r="A1656" s="42"/>
      <c r="B1656" s="42"/>
      <c r="C1656" s="42"/>
      <c r="D1656" s="28" t="str">
        <f aca="false">IF(OR($B1656="",$C1656=""),"",$C1656*IFERROR(INDEX(Setup!$C$47:$C$56,MATCH($B1656,Setup!$A$47:$A$56,0)),IFERROR(INDEX(Setup!$C$60:$C$89,MATCH($B1656,Setup!$A$60:$A$89,0)),"")))</f>
        <v/>
      </c>
      <c r="E1656" s="42"/>
      <c r="F1656" s="42"/>
    </row>
    <row r="1657" customFormat="false" ht="15" hidden="false" customHeight="true" outlineLevel="0" collapsed="false">
      <c r="A1657" s="42"/>
      <c r="B1657" s="42"/>
      <c r="C1657" s="42"/>
      <c r="D1657" s="28" t="str">
        <f aca="false">IF(OR($B1657="",$C1657=""),"",$C1657*IFERROR(INDEX(Setup!$C$47:$C$56,MATCH($B1657,Setup!$A$47:$A$56,0)),IFERROR(INDEX(Setup!$C$60:$C$89,MATCH($B1657,Setup!$A$60:$A$89,0)),"")))</f>
        <v/>
      </c>
      <c r="E1657" s="42"/>
      <c r="F1657" s="42"/>
    </row>
    <row r="1658" customFormat="false" ht="15" hidden="false" customHeight="true" outlineLevel="0" collapsed="false">
      <c r="A1658" s="42"/>
      <c r="B1658" s="42"/>
      <c r="C1658" s="42"/>
      <c r="D1658" s="28" t="str">
        <f aca="false">IF(OR($B1658="",$C1658=""),"",$C1658*IFERROR(INDEX(Setup!$C$47:$C$56,MATCH($B1658,Setup!$A$47:$A$56,0)),IFERROR(INDEX(Setup!$C$60:$C$89,MATCH($B1658,Setup!$A$60:$A$89,0)),"")))</f>
        <v/>
      </c>
      <c r="E1658" s="42"/>
      <c r="F1658" s="42"/>
    </row>
    <row r="1659" customFormat="false" ht="15" hidden="false" customHeight="true" outlineLevel="0" collapsed="false">
      <c r="A1659" s="42"/>
      <c r="B1659" s="42"/>
      <c r="C1659" s="42"/>
      <c r="D1659" s="28" t="str">
        <f aca="false">IF(OR($B1659="",$C1659=""),"",$C1659*IFERROR(INDEX(Setup!$C$47:$C$56,MATCH($B1659,Setup!$A$47:$A$56,0)),IFERROR(INDEX(Setup!$C$60:$C$89,MATCH($B1659,Setup!$A$60:$A$89,0)),"")))</f>
        <v/>
      </c>
      <c r="E1659" s="42"/>
      <c r="F1659" s="42"/>
    </row>
    <row r="1660" customFormat="false" ht="15" hidden="false" customHeight="true" outlineLevel="0" collapsed="false">
      <c r="A1660" s="42"/>
      <c r="B1660" s="42"/>
      <c r="C1660" s="42"/>
      <c r="D1660" s="28" t="str">
        <f aca="false">IF(OR($B1660="",$C1660=""),"",$C1660*IFERROR(INDEX(Setup!$C$47:$C$56,MATCH($B1660,Setup!$A$47:$A$56,0)),IFERROR(INDEX(Setup!$C$60:$C$89,MATCH($B1660,Setup!$A$60:$A$89,0)),"")))</f>
        <v/>
      </c>
      <c r="E1660" s="42"/>
      <c r="F1660" s="42"/>
    </row>
    <row r="1661" customFormat="false" ht="15" hidden="false" customHeight="true" outlineLevel="0" collapsed="false">
      <c r="A1661" s="42"/>
      <c r="B1661" s="42"/>
      <c r="C1661" s="42"/>
      <c r="D1661" s="28" t="str">
        <f aca="false">IF(OR($B1661="",$C1661=""),"",$C1661*IFERROR(INDEX(Setup!$C$47:$C$56,MATCH($B1661,Setup!$A$47:$A$56,0)),IFERROR(INDEX(Setup!$C$60:$C$89,MATCH($B1661,Setup!$A$60:$A$89,0)),"")))</f>
        <v/>
      </c>
      <c r="E1661" s="42"/>
      <c r="F1661" s="42"/>
    </row>
    <row r="1662" customFormat="false" ht="15" hidden="false" customHeight="true" outlineLevel="0" collapsed="false">
      <c r="A1662" s="42"/>
      <c r="B1662" s="42"/>
      <c r="C1662" s="42"/>
      <c r="D1662" s="28" t="str">
        <f aca="false">IF(OR($B1662="",$C1662=""),"",$C1662*IFERROR(INDEX(Setup!$C$47:$C$56,MATCH($B1662,Setup!$A$47:$A$56,0)),IFERROR(INDEX(Setup!$C$60:$C$89,MATCH($B1662,Setup!$A$60:$A$89,0)),"")))</f>
        <v/>
      </c>
      <c r="E1662" s="42"/>
      <c r="F1662" s="42"/>
    </row>
    <row r="1663" customFormat="false" ht="15" hidden="false" customHeight="true" outlineLevel="0" collapsed="false">
      <c r="A1663" s="42"/>
      <c r="B1663" s="42"/>
      <c r="C1663" s="42"/>
      <c r="D1663" s="28" t="str">
        <f aca="false">IF(OR($B1663="",$C1663=""),"",$C1663*IFERROR(INDEX(Setup!$C$47:$C$56,MATCH($B1663,Setup!$A$47:$A$56,0)),IFERROR(INDEX(Setup!$C$60:$C$89,MATCH($B1663,Setup!$A$60:$A$89,0)),"")))</f>
        <v/>
      </c>
      <c r="E1663" s="42"/>
      <c r="F1663" s="42"/>
    </row>
    <row r="1664" customFormat="false" ht="15" hidden="false" customHeight="true" outlineLevel="0" collapsed="false">
      <c r="A1664" s="42"/>
      <c r="B1664" s="42"/>
      <c r="C1664" s="42"/>
      <c r="D1664" s="28" t="str">
        <f aca="false">IF(OR($B1664="",$C1664=""),"",$C1664*IFERROR(INDEX(Setup!$C$47:$C$56,MATCH($B1664,Setup!$A$47:$A$56,0)),IFERROR(INDEX(Setup!$C$60:$C$89,MATCH($B1664,Setup!$A$60:$A$89,0)),"")))</f>
        <v/>
      </c>
      <c r="E1664" s="42"/>
      <c r="F1664" s="42"/>
    </row>
    <row r="1665" customFormat="false" ht="15" hidden="false" customHeight="true" outlineLevel="0" collapsed="false">
      <c r="A1665" s="42"/>
      <c r="B1665" s="42"/>
      <c r="C1665" s="42"/>
      <c r="D1665" s="28" t="str">
        <f aca="false">IF(OR($B1665="",$C1665=""),"",$C1665*IFERROR(INDEX(Setup!$C$47:$C$56,MATCH($B1665,Setup!$A$47:$A$56,0)),IFERROR(INDEX(Setup!$C$60:$C$89,MATCH($B1665,Setup!$A$60:$A$89,0)),"")))</f>
        <v/>
      </c>
      <c r="E1665" s="42"/>
      <c r="F1665" s="42"/>
    </row>
    <row r="1666" customFormat="false" ht="15" hidden="false" customHeight="true" outlineLevel="0" collapsed="false">
      <c r="A1666" s="42"/>
      <c r="B1666" s="42"/>
      <c r="C1666" s="42"/>
      <c r="D1666" s="28" t="str">
        <f aca="false">IF(OR($B1666="",$C1666=""),"",$C1666*IFERROR(INDEX(Setup!$C$47:$C$56,MATCH($B1666,Setup!$A$47:$A$56,0)),IFERROR(INDEX(Setup!$C$60:$C$89,MATCH($B1666,Setup!$A$60:$A$89,0)),"")))</f>
        <v/>
      </c>
      <c r="E1666" s="42"/>
      <c r="F1666" s="42"/>
    </row>
    <row r="1667" customFormat="false" ht="15" hidden="false" customHeight="true" outlineLevel="0" collapsed="false">
      <c r="A1667" s="42"/>
      <c r="B1667" s="42"/>
      <c r="C1667" s="42"/>
      <c r="D1667" s="28" t="str">
        <f aca="false">IF(OR($B1667="",$C1667=""),"",$C1667*IFERROR(INDEX(Setup!$C$47:$C$56,MATCH($B1667,Setup!$A$47:$A$56,0)),IFERROR(INDEX(Setup!$C$60:$C$89,MATCH($B1667,Setup!$A$60:$A$89,0)),"")))</f>
        <v/>
      </c>
      <c r="E1667" s="42"/>
      <c r="F1667" s="42"/>
    </row>
    <row r="1668" customFormat="false" ht="15" hidden="false" customHeight="true" outlineLevel="0" collapsed="false">
      <c r="A1668" s="42"/>
      <c r="B1668" s="42"/>
      <c r="C1668" s="42"/>
      <c r="D1668" s="28" t="str">
        <f aca="false">IF(OR($B1668="",$C1668=""),"",$C1668*IFERROR(INDEX(Setup!$C$47:$C$56,MATCH($B1668,Setup!$A$47:$A$56,0)),IFERROR(INDEX(Setup!$C$60:$C$89,MATCH($B1668,Setup!$A$60:$A$89,0)),"")))</f>
        <v/>
      </c>
      <c r="E1668" s="42"/>
      <c r="F1668" s="42"/>
    </row>
    <row r="1669" customFormat="false" ht="15" hidden="false" customHeight="true" outlineLevel="0" collapsed="false">
      <c r="A1669" s="42"/>
      <c r="B1669" s="42"/>
      <c r="C1669" s="42"/>
      <c r="D1669" s="28" t="str">
        <f aca="false">IF(OR($B1669="",$C1669=""),"",$C1669*IFERROR(INDEX(Setup!$C$47:$C$56,MATCH($B1669,Setup!$A$47:$A$56,0)),IFERROR(INDEX(Setup!$C$60:$C$89,MATCH($B1669,Setup!$A$60:$A$89,0)),"")))</f>
        <v/>
      </c>
      <c r="E1669" s="42"/>
      <c r="F1669" s="42"/>
    </row>
    <row r="1670" customFormat="false" ht="15" hidden="false" customHeight="true" outlineLevel="0" collapsed="false">
      <c r="A1670" s="42"/>
      <c r="B1670" s="42"/>
      <c r="C1670" s="42"/>
      <c r="D1670" s="28" t="str">
        <f aca="false">IF(OR($B1670="",$C1670=""),"",$C1670*IFERROR(INDEX(Setup!$C$47:$C$56,MATCH($B1670,Setup!$A$47:$A$56,0)),IFERROR(INDEX(Setup!$C$60:$C$89,MATCH($B1670,Setup!$A$60:$A$89,0)),"")))</f>
        <v/>
      </c>
      <c r="E1670" s="42"/>
      <c r="F1670" s="42"/>
    </row>
    <row r="1671" customFormat="false" ht="15" hidden="false" customHeight="true" outlineLevel="0" collapsed="false">
      <c r="A1671" s="42"/>
      <c r="B1671" s="42"/>
      <c r="C1671" s="42"/>
      <c r="D1671" s="28" t="str">
        <f aca="false">IF(OR($B1671="",$C1671=""),"",$C1671*IFERROR(INDEX(Setup!$C$47:$C$56,MATCH($B1671,Setup!$A$47:$A$56,0)),IFERROR(INDEX(Setup!$C$60:$C$89,MATCH($B1671,Setup!$A$60:$A$89,0)),"")))</f>
        <v/>
      </c>
      <c r="E1671" s="42"/>
      <c r="F1671" s="42"/>
    </row>
    <row r="1672" customFormat="false" ht="15" hidden="false" customHeight="true" outlineLevel="0" collapsed="false">
      <c r="A1672" s="42"/>
      <c r="B1672" s="42"/>
      <c r="C1672" s="42"/>
      <c r="D1672" s="28" t="str">
        <f aca="false">IF(OR($B1672="",$C1672=""),"",$C1672*IFERROR(INDEX(Setup!$C$47:$C$56,MATCH($B1672,Setup!$A$47:$A$56,0)),IFERROR(INDEX(Setup!$C$60:$C$89,MATCH($B1672,Setup!$A$60:$A$89,0)),"")))</f>
        <v/>
      </c>
      <c r="E1672" s="42"/>
      <c r="F1672" s="42"/>
    </row>
    <row r="1673" customFormat="false" ht="15" hidden="false" customHeight="true" outlineLevel="0" collapsed="false">
      <c r="A1673" s="42"/>
      <c r="B1673" s="42"/>
      <c r="C1673" s="42"/>
      <c r="D1673" s="28" t="str">
        <f aca="false">IF(OR($B1673="",$C1673=""),"",$C1673*IFERROR(INDEX(Setup!$C$47:$C$56,MATCH($B1673,Setup!$A$47:$A$56,0)),IFERROR(INDEX(Setup!$C$60:$C$89,MATCH($B1673,Setup!$A$60:$A$89,0)),"")))</f>
        <v/>
      </c>
      <c r="E1673" s="42"/>
      <c r="F1673" s="42"/>
    </row>
    <row r="1674" customFormat="false" ht="15" hidden="false" customHeight="true" outlineLevel="0" collapsed="false">
      <c r="A1674" s="42"/>
      <c r="B1674" s="42"/>
      <c r="C1674" s="42"/>
      <c r="D1674" s="28" t="str">
        <f aca="false">IF(OR($B1674="",$C1674=""),"",$C1674*IFERROR(INDEX(Setup!$C$47:$C$56,MATCH($B1674,Setup!$A$47:$A$56,0)),IFERROR(INDEX(Setup!$C$60:$C$89,MATCH($B1674,Setup!$A$60:$A$89,0)),"")))</f>
        <v/>
      </c>
      <c r="E1674" s="42"/>
      <c r="F1674" s="42"/>
    </row>
    <row r="1675" customFormat="false" ht="15" hidden="false" customHeight="true" outlineLevel="0" collapsed="false">
      <c r="A1675" s="42"/>
      <c r="B1675" s="42"/>
      <c r="C1675" s="42"/>
      <c r="D1675" s="28" t="str">
        <f aca="false">IF(OR($B1675="",$C1675=""),"",$C1675*IFERROR(INDEX(Setup!$C$47:$C$56,MATCH($B1675,Setup!$A$47:$A$56,0)),IFERROR(INDEX(Setup!$C$60:$C$89,MATCH($B1675,Setup!$A$60:$A$89,0)),"")))</f>
        <v/>
      </c>
      <c r="E1675" s="42"/>
      <c r="F1675" s="42"/>
    </row>
    <row r="1676" customFormat="false" ht="15" hidden="false" customHeight="true" outlineLevel="0" collapsed="false">
      <c r="A1676" s="42"/>
      <c r="B1676" s="42"/>
      <c r="C1676" s="42"/>
      <c r="D1676" s="28" t="str">
        <f aca="false">IF(OR($B1676="",$C1676=""),"",$C1676*IFERROR(INDEX(Setup!$C$47:$C$56,MATCH($B1676,Setup!$A$47:$A$56,0)),IFERROR(INDEX(Setup!$C$60:$C$89,MATCH($B1676,Setup!$A$60:$A$89,0)),"")))</f>
        <v/>
      </c>
      <c r="E1676" s="42"/>
      <c r="F1676" s="42"/>
    </row>
    <row r="1677" customFormat="false" ht="15" hidden="false" customHeight="true" outlineLevel="0" collapsed="false">
      <c r="A1677" s="42"/>
      <c r="B1677" s="42"/>
      <c r="C1677" s="42"/>
      <c r="D1677" s="28" t="str">
        <f aca="false">IF(OR($B1677="",$C1677=""),"",$C1677*IFERROR(INDEX(Setup!$C$47:$C$56,MATCH($B1677,Setup!$A$47:$A$56,0)),IFERROR(INDEX(Setup!$C$60:$C$89,MATCH($B1677,Setup!$A$60:$A$89,0)),"")))</f>
        <v/>
      </c>
      <c r="E1677" s="42"/>
      <c r="F1677" s="42"/>
    </row>
    <row r="1678" customFormat="false" ht="15" hidden="false" customHeight="true" outlineLevel="0" collapsed="false">
      <c r="A1678" s="42"/>
      <c r="B1678" s="42"/>
      <c r="C1678" s="42"/>
      <c r="D1678" s="28" t="str">
        <f aca="false">IF(OR($B1678="",$C1678=""),"",$C1678*IFERROR(INDEX(Setup!$C$47:$C$56,MATCH($B1678,Setup!$A$47:$A$56,0)),IFERROR(INDEX(Setup!$C$60:$C$89,MATCH($B1678,Setup!$A$60:$A$89,0)),"")))</f>
        <v/>
      </c>
      <c r="E1678" s="42"/>
      <c r="F1678" s="42"/>
    </row>
    <row r="1679" customFormat="false" ht="15" hidden="false" customHeight="true" outlineLevel="0" collapsed="false">
      <c r="A1679" s="42"/>
      <c r="B1679" s="42"/>
      <c r="C1679" s="42"/>
      <c r="D1679" s="28" t="str">
        <f aca="false">IF(OR($B1679="",$C1679=""),"",$C1679*IFERROR(INDEX(Setup!$C$47:$C$56,MATCH($B1679,Setup!$A$47:$A$56,0)),IFERROR(INDEX(Setup!$C$60:$C$89,MATCH($B1679,Setup!$A$60:$A$89,0)),"")))</f>
        <v/>
      </c>
      <c r="E1679" s="42"/>
      <c r="F1679" s="42"/>
    </row>
    <row r="1680" customFormat="false" ht="15" hidden="false" customHeight="true" outlineLevel="0" collapsed="false">
      <c r="A1680" s="42"/>
      <c r="B1680" s="42"/>
      <c r="C1680" s="42"/>
      <c r="D1680" s="28" t="str">
        <f aca="false">IF(OR($B1680="",$C1680=""),"",$C1680*IFERROR(INDEX(Setup!$C$47:$C$56,MATCH($B1680,Setup!$A$47:$A$56,0)),IFERROR(INDEX(Setup!$C$60:$C$89,MATCH($B1680,Setup!$A$60:$A$89,0)),"")))</f>
        <v/>
      </c>
      <c r="E1680" s="42"/>
      <c r="F1680" s="42"/>
    </row>
    <row r="1681" customFormat="false" ht="15" hidden="false" customHeight="true" outlineLevel="0" collapsed="false">
      <c r="A1681" s="42"/>
      <c r="B1681" s="42"/>
      <c r="C1681" s="42"/>
      <c r="D1681" s="28" t="str">
        <f aca="false">IF(OR($B1681="",$C1681=""),"",$C1681*IFERROR(INDEX(Setup!$C$47:$C$56,MATCH($B1681,Setup!$A$47:$A$56,0)),IFERROR(INDEX(Setup!$C$60:$C$89,MATCH($B1681,Setup!$A$60:$A$89,0)),"")))</f>
        <v/>
      </c>
      <c r="E1681" s="42"/>
      <c r="F1681" s="42"/>
    </row>
    <row r="1682" customFormat="false" ht="15" hidden="false" customHeight="true" outlineLevel="0" collapsed="false">
      <c r="A1682" s="42"/>
      <c r="B1682" s="42"/>
      <c r="C1682" s="42"/>
      <c r="D1682" s="28" t="str">
        <f aca="false">IF(OR($B1682="",$C1682=""),"",$C1682*IFERROR(INDEX(Setup!$C$47:$C$56,MATCH($B1682,Setup!$A$47:$A$56,0)),IFERROR(INDEX(Setup!$C$60:$C$89,MATCH($B1682,Setup!$A$60:$A$89,0)),"")))</f>
        <v/>
      </c>
      <c r="E1682" s="42"/>
      <c r="F1682" s="42"/>
    </row>
    <row r="1683" customFormat="false" ht="15" hidden="false" customHeight="true" outlineLevel="0" collapsed="false">
      <c r="A1683" s="42"/>
      <c r="B1683" s="42"/>
      <c r="C1683" s="42"/>
      <c r="D1683" s="28" t="str">
        <f aca="false">IF(OR($B1683="",$C1683=""),"",$C1683*IFERROR(INDEX(Setup!$C$47:$C$56,MATCH($B1683,Setup!$A$47:$A$56,0)),IFERROR(INDEX(Setup!$C$60:$C$89,MATCH($B1683,Setup!$A$60:$A$89,0)),"")))</f>
        <v/>
      </c>
      <c r="E1683" s="42"/>
      <c r="F1683" s="42"/>
    </row>
    <row r="1684" customFormat="false" ht="15" hidden="false" customHeight="true" outlineLevel="0" collapsed="false">
      <c r="A1684" s="42"/>
      <c r="B1684" s="42"/>
      <c r="C1684" s="42"/>
      <c r="D1684" s="28" t="str">
        <f aca="false">IF(OR($B1684="",$C1684=""),"",$C1684*IFERROR(INDEX(Setup!$C$47:$C$56,MATCH($B1684,Setup!$A$47:$A$56,0)),IFERROR(INDEX(Setup!$C$60:$C$89,MATCH($B1684,Setup!$A$60:$A$89,0)),"")))</f>
        <v/>
      </c>
      <c r="E1684" s="42"/>
      <c r="F1684" s="42"/>
    </row>
    <row r="1685" customFormat="false" ht="15" hidden="false" customHeight="true" outlineLevel="0" collapsed="false">
      <c r="A1685" s="42"/>
      <c r="B1685" s="42"/>
      <c r="C1685" s="42"/>
      <c r="D1685" s="28" t="str">
        <f aca="false">IF(OR($B1685="",$C1685=""),"",$C1685*IFERROR(INDEX(Setup!$C$47:$C$56,MATCH($B1685,Setup!$A$47:$A$56,0)),IFERROR(INDEX(Setup!$C$60:$C$89,MATCH($B1685,Setup!$A$60:$A$89,0)),"")))</f>
        <v/>
      </c>
      <c r="E1685" s="42"/>
      <c r="F1685" s="42"/>
    </row>
    <row r="1686" customFormat="false" ht="15" hidden="false" customHeight="true" outlineLevel="0" collapsed="false">
      <c r="A1686" s="42"/>
      <c r="B1686" s="42"/>
      <c r="C1686" s="42"/>
      <c r="D1686" s="28" t="str">
        <f aca="false">IF(OR($B1686="",$C1686=""),"",$C1686*IFERROR(INDEX(Setup!$C$47:$C$56,MATCH($B1686,Setup!$A$47:$A$56,0)),IFERROR(INDEX(Setup!$C$60:$C$89,MATCH($B1686,Setup!$A$60:$A$89,0)),"")))</f>
        <v/>
      </c>
      <c r="E1686" s="42"/>
      <c r="F1686" s="42"/>
    </row>
    <row r="1687" customFormat="false" ht="15" hidden="false" customHeight="true" outlineLevel="0" collapsed="false">
      <c r="A1687" s="42"/>
      <c r="B1687" s="42"/>
      <c r="C1687" s="42"/>
      <c r="D1687" s="28" t="str">
        <f aca="false">IF(OR($B1687="",$C1687=""),"",$C1687*IFERROR(INDEX(Setup!$C$47:$C$56,MATCH($B1687,Setup!$A$47:$A$56,0)),IFERROR(INDEX(Setup!$C$60:$C$89,MATCH($B1687,Setup!$A$60:$A$89,0)),"")))</f>
        <v/>
      </c>
      <c r="E1687" s="42"/>
      <c r="F1687" s="42"/>
    </row>
    <row r="1688" customFormat="false" ht="15" hidden="false" customHeight="true" outlineLevel="0" collapsed="false">
      <c r="A1688" s="42"/>
      <c r="B1688" s="42"/>
      <c r="C1688" s="42"/>
      <c r="D1688" s="28" t="str">
        <f aca="false">IF(OR($B1688="",$C1688=""),"",$C1688*IFERROR(INDEX(Setup!$C$47:$C$56,MATCH($B1688,Setup!$A$47:$A$56,0)),IFERROR(INDEX(Setup!$C$60:$C$89,MATCH($B1688,Setup!$A$60:$A$89,0)),"")))</f>
        <v/>
      </c>
      <c r="E1688" s="42"/>
      <c r="F1688" s="42"/>
    </row>
    <row r="1689" customFormat="false" ht="15" hidden="false" customHeight="true" outlineLevel="0" collapsed="false">
      <c r="A1689" s="42"/>
      <c r="B1689" s="42"/>
      <c r="C1689" s="42"/>
      <c r="D1689" s="28" t="str">
        <f aca="false">IF(OR($B1689="",$C1689=""),"",$C1689*IFERROR(INDEX(Setup!$C$47:$C$56,MATCH($B1689,Setup!$A$47:$A$56,0)),IFERROR(INDEX(Setup!$C$60:$C$89,MATCH($B1689,Setup!$A$60:$A$89,0)),"")))</f>
        <v/>
      </c>
      <c r="E1689" s="42"/>
      <c r="F1689" s="42"/>
    </row>
    <row r="1690" customFormat="false" ht="15" hidden="false" customHeight="true" outlineLevel="0" collapsed="false">
      <c r="A1690" s="42"/>
      <c r="B1690" s="42"/>
      <c r="C1690" s="42"/>
      <c r="D1690" s="28" t="str">
        <f aca="false">IF(OR($B1690="",$C1690=""),"",$C1690*IFERROR(INDEX(Setup!$C$47:$C$56,MATCH($B1690,Setup!$A$47:$A$56,0)),IFERROR(INDEX(Setup!$C$60:$C$89,MATCH($B1690,Setup!$A$60:$A$89,0)),"")))</f>
        <v/>
      </c>
      <c r="E1690" s="42"/>
      <c r="F1690" s="42"/>
    </row>
    <row r="1691" customFormat="false" ht="15" hidden="false" customHeight="true" outlineLevel="0" collapsed="false">
      <c r="A1691" s="42"/>
      <c r="B1691" s="42"/>
      <c r="C1691" s="42"/>
      <c r="D1691" s="28" t="str">
        <f aca="false">IF(OR($B1691="",$C1691=""),"",$C1691*IFERROR(INDEX(Setup!$C$47:$C$56,MATCH($B1691,Setup!$A$47:$A$56,0)),IFERROR(INDEX(Setup!$C$60:$C$89,MATCH($B1691,Setup!$A$60:$A$89,0)),"")))</f>
        <v/>
      </c>
      <c r="E1691" s="42"/>
      <c r="F1691" s="42"/>
    </row>
    <row r="1692" customFormat="false" ht="15" hidden="false" customHeight="true" outlineLevel="0" collapsed="false">
      <c r="A1692" s="42"/>
      <c r="B1692" s="42"/>
      <c r="C1692" s="42"/>
      <c r="D1692" s="28" t="str">
        <f aca="false">IF(OR($B1692="",$C1692=""),"",$C1692*IFERROR(INDEX(Setup!$C$47:$C$56,MATCH($B1692,Setup!$A$47:$A$56,0)),IFERROR(INDEX(Setup!$C$60:$C$89,MATCH($B1692,Setup!$A$60:$A$89,0)),"")))</f>
        <v/>
      </c>
      <c r="E1692" s="42"/>
      <c r="F1692" s="42"/>
    </row>
    <row r="1693" customFormat="false" ht="15" hidden="false" customHeight="true" outlineLevel="0" collapsed="false">
      <c r="A1693" s="42"/>
      <c r="B1693" s="42"/>
      <c r="C1693" s="42"/>
      <c r="D1693" s="28" t="str">
        <f aca="false">IF(OR($B1693="",$C1693=""),"",$C1693*IFERROR(INDEX(Setup!$C$47:$C$56,MATCH($B1693,Setup!$A$47:$A$56,0)),IFERROR(INDEX(Setup!$C$60:$C$89,MATCH($B1693,Setup!$A$60:$A$89,0)),"")))</f>
        <v/>
      </c>
      <c r="E1693" s="42"/>
      <c r="F1693" s="42"/>
    </row>
    <row r="1694" customFormat="false" ht="15" hidden="false" customHeight="true" outlineLevel="0" collapsed="false">
      <c r="A1694" s="42"/>
      <c r="B1694" s="42"/>
      <c r="C1694" s="42"/>
      <c r="D1694" s="28" t="str">
        <f aca="false">IF(OR($B1694="",$C1694=""),"",$C1694*IFERROR(INDEX(Setup!$C$47:$C$56,MATCH($B1694,Setup!$A$47:$A$56,0)),IFERROR(INDEX(Setup!$C$60:$C$89,MATCH($B1694,Setup!$A$60:$A$89,0)),"")))</f>
        <v/>
      </c>
      <c r="E1694" s="42"/>
      <c r="F1694" s="42"/>
    </row>
    <row r="1695" customFormat="false" ht="15" hidden="false" customHeight="true" outlineLevel="0" collapsed="false">
      <c r="A1695" s="42"/>
      <c r="B1695" s="42"/>
      <c r="C1695" s="42"/>
      <c r="D1695" s="28" t="str">
        <f aca="false">IF(OR($B1695="",$C1695=""),"",$C1695*IFERROR(INDEX(Setup!$C$47:$C$56,MATCH($B1695,Setup!$A$47:$A$56,0)),IFERROR(INDEX(Setup!$C$60:$C$89,MATCH($B1695,Setup!$A$60:$A$89,0)),"")))</f>
        <v/>
      </c>
      <c r="E1695" s="42"/>
      <c r="F1695" s="42"/>
    </row>
    <row r="1696" customFormat="false" ht="15" hidden="false" customHeight="true" outlineLevel="0" collapsed="false">
      <c r="A1696" s="42"/>
      <c r="B1696" s="42"/>
      <c r="C1696" s="42"/>
      <c r="D1696" s="28" t="str">
        <f aca="false">IF(OR($B1696="",$C1696=""),"",$C1696*IFERROR(INDEX(Setup!$C$47:$C$56,MATCH($B1696,Setup!$A$47:$A$56,0)),IFERROR(INDEX(Setup!$C$60:$C$89,MATCH($B1696,Setup!$A$60:$A$89,0)),"")))</f>
        <v/>
      </c>
      <c r="E1696" s="42"/>
      <c r="F1696" s="42"/>
    </row>
    <row r="1697" customFormat="false" ht="15" hidden="false" customHeight="true" outlineLevel="0" collapsed="false">
      <c r="A1697" s="42"/>
      <c r="B1697" s="42"/>
      <c r="C1697" s="42"/>
      <c r="D1697" s="28" t="str">
        <f aca="false">IF(OR($B1697="",$C1697=""),"",$C1697*IFERROR(INDEX(Setup!$C$47:$C$56,MATCH($B1697,Setup!$A$47:$A$56,0)),IFERROR(INDEX(Setup!$C$60:$C$89,MATCH($B1697,Setup!$A$60:$A$89,0)),"")))</f>
        <v/>
      </c>
      <c r="E1697" s="42"/>
      <c r="F1697" s="42"/>
    </row>
    <row r="1698" customFormat="false" ht="15" hidden="false" customHeight="true" outlineLevel="0" collapsed="false">
      <c r="A1698" s="42"/>
      <c r="B1698" s="42"/>
      <c r="C1698" s="42"/>
      <c r="D1698" s="28" t="str">
        <f aca="false">IF(OR($B1698="",$C1698=""),"",$C1698*IFERROR(INDEX(Setup!$C$47:$C$56,MATCH($B1698,Setup!$A$47:$A$56,0)),IFERROR(INDEX(Setup!$C$60:$C$89,MATCH($B1698,Setup!$A$60:$A$89,0)),"")))</f>
        <v/>
      </c>
      <c r="E1698" s="42"/>
      <c r="F1698" s="42"/>
    </row>
    <row r="1699" customFormat="false" ht="15" hidden="false" customHeight="true" outlineLevel="0" collapsed="false">
      <c r="A1699" s="42"/>
      <c r="B1699" s="42"/>
      <c r="C1699" s="42"/>
      <c r="D1699" s="28" t="str">
        <f aca="false">IF(OR($B1699="",$C1699=""),"",$C1699*IFERROR(INDEX(Setup!$C$47:$C$56,MATCH($B1699,Setup!$A$47:$A$56,0)),IFERROR(INDEX(Setup!$C$60:$C$89,MATCH($B1699,Setup!$A$60:$A$89,0)),"")))</f>
        <v/>
      </c>
      <c r="E1699" s="42"/>
      <c r="F1699" s="42"/>
    </row>
    <row r="1700" customFormat="false" ht="15" hidden="false" customHeight="true" outlineLevel="0" collapsed="false">
      <c r="A1700" s="42"/>
      <c r="B1700" s="42"/>
      <c r="C1700" s="42"/>
      <c r="D1700" s="28" t="str">
        <f aca="false">IF(OR($B1700="",$C1700=""),"",$C1700*IFERROR(INDEX(Setup!$C$47:$C$56,MATCH($B1700,Setup!$A$47:$A$56,0)),IFERROR(INDEX(Setup!$C$60:$C$89,MATCH($B1700,Setup!$A$60:$A$89,0)),"")))</f>
        <v/>
      </c>
      <c r="E1700" s="42"/>
      <c r="F1700" s="42"/>
    </row>
    <row r="1701" customFormat="false" ht="15" hidden="false" customHeight="true" outlineLevel="0" collapsed="false">
      <c r="A1701" s="42"/>
      <c r="B1701" s="42"/>
      <c r="C1701" s="42"/>
      <c r="D1701" s="28" t="str">
        <f aca="false">IF(OR($B1701="",$C1701=""),"",$C1701*IFERROR(INDEX(Setup!$C$47:$C$56,MATCH($B1701,Setup!$A$47:$A$56,0)),IFERROR(INDEX(Setup!$C$60:$C$89,MATCH($B1701,Setup!$A$60:$A$89,0)),"")))</f>
        <v/>
      </c>
      <c r="E1701" s="42"/>
      <c r="F1701" s="42"/>
    </row>
    <row r="1702" customFormat="false" ht="15" hidden="false" customHeight="true" outlineLevel="0" collapsed="false">
      <c r="A1702" s="42"/>
      <c r="B1702" s="42"/>
      <c r="C1702" s="42"/>
      <c r="D1702" s="28" t="str">
        <f aca="false">IF(OR($B1702="",$C1702=""),"",$C1702*IFERROR(INDEX(Setup!$C$47:$C$56,MATCH($B1702,Setup!$A$47:$A$56,0)),IFERROR(INDEX(Setup!$C$60:$C$89,MATCH($B1702,Setup!$A$60:$A$89,0)),"")))</f>
        <v/>
      </c>
      <c r="E1702" s="42"/>
      <c r="F1702" s="42"/>
    </row>
    <row r="1703" customFormat="false" ht="15" hidden="false" customHeight="true" outlineLevel="0" collapsed="false">
      <c r="A1703" s="42"/>
      <c r="B1703" s="42"/>
      <c r="C1703" s="42"/>
      <c r="D1703" s="28" t="str">
        <f aca="false">IF(OR($B1703="",$C1703=""),"",$C1703*IFERROR(INDEX(Setup!$C$47:$C$56,MATCH($B1703,Setup!$A$47:$A$56,0)),IFERROR(INDEX(Setup!$C$60:$C$89,MATCH($B1703,Setup!$A$60:$A$89,0)),"")))</f>
        <v/>
      </c>
      <c r="E1703" s="42"/>
      <c r="F1703" s="42"/>
    </row>
    <row r="1704" customFormat="false" ht="15" hidden="false" customHeight="true" outlineLevel="0" collapsed="false">
      <c r="A1704" s="42"/>
      <c r="B1704" s="42"/>
      <c r="C1704" s="42"/>
      <c r="D1704" s="28" t="str">
        <f aca="false">IF(OR($B1704="",$C1704=""),"",$C1704*IFERROR(INDEX(Setup!$C$47:$C$56,MATCH($B1704,Setup!$A$47:$A$56,0)),IFERROR(INDEX(Setup!$C$60:$C$89,MATCH($B1704,Setup!$A$60:$A$89,0)),"")))</f>
        <v/>
      </c>
      <c r="E1704" s="42"/>
      <c r="F1704" s="42"/>
    </row>
    <row r="1705" customFormat="false" ht="15" hidden="false" customHeight="true" outlineLevel="0" collapsed="false">
      <c r="A1705" s="42"/>
      <c r="B1705" s="42"/>
      <c r="C1705" s="42"/>
      <c r="D1705" s="28" t="str">
        <f aca="false">IF(OR($B1705="",$C1705=""),"",$C1705*IFERROR(INDEX(Setup!$C$47:$C$56,MATCH($B1705,Setup!$A$47:$A$56,0)),IFERROR(INDEX(Setup!$C$60:$C$89,MATCH($B1705,Setup!$A$60:$A$89,0)),"")))</f>
        <v/>
      </c>
      <c r="E1705" s="42"/>
      <c r="F1705" s="42"/>
    </row>
    <row r="1706" customFormat="false" ht="15" hidden="false" customHeight="true" outlineLevel="0" collapsed="false">
      <c r="A1706" s="42"/>
      <c r="B1706" s="42"/>
      <c r="C1706" s="42"/>
      <c r="D1706" s="28" t="str">
        <f aca="false">IF(OR($B1706="",$C1706=""),"",$C1706*IFERROR(INDEX(Setup!$C$47:$C$56,MATCH($B1706,Setup!$A$47:$A$56,0)),IFERROR(INDEX(Setup!$C$60:$C$89,MATCH($B1706,Setup!$A$60:$A$89,0)),"")))</f>
        <v/>
      </c>
      <c r="E1706" s="42"/>
      <c r="F1706" s="42"/>
    </row>
    <row r="1707" customFormat="false" ht="15" hidden="false" customHeight="true" outlineLevel="0" collapsed="false">
      <c r="A1707" s="42"/>
      <c r="B1707" s="42"/>
      <c r="C1707" s="42"/>
      <c r="D1707" s="28" t="str">
        <f aca="false">IF(OR($B1707="",$C1707=""),"",$C1707*IFERROR(INDEX(Setup!$C$47:$C$56,MATCH($B1707,Setup!$A$47:$A$56,0)),IFERROR(INDEX(Setup!$C$60:$C$89,MATCH($B1707,Setup!$A$60:$A$89,0)),"")))</f>
        <v/>
      </c>
      <c r="E1707" s="42"/>
      <c r="F1707" s="42"/>
    </row>
    <row r="1708" customFormat="false" ht="15" hidden="false" customHeight="true" outlineLevel="0" collapsed="false">
      <c r="A1708" s="42"/>
      <c r="B1708" s="42"/>
      <c r="C1708" s="42"/>
      <c r="D1708" s="28" t="str">
        <f aca="false">IF(OR($B1708="",$C1708=""),"",$C1708*IFERROR(INDEX(Setup!$C$47:$C$56,MATCH($B1708,Setup!$A$47:$A$56,0)),IFERROR(INDEX(Setup!$C$60:$C$89,MATCH($B1708,Setup!$A$60:$A$89,0)),"")))</f>
        <v/>
      </c>
      <c r="E1708" s="42"/>
      <c r="F1708" s="42"/>
    </row>
    <row r="1709" customFormat="false" ht="15" hidden="false" customHeight="true" outlineLevel="0" collapsed="false">
      <c r="A1709" s="42"/>
      <c r="B1709" s="42"/>
      <c r="C1709" s="42"/>
      <c r="D1709" s="28" t="str">
        <f aca="false">IF(OR($B1709="",$C1709=""),"",$C1709*IFERROR(INDEX(Setup!$C$47:$C$56,MATCH($B1709,Setup!$A$47:$A$56,0)),IFERROR(INDEX(Setup!$C$60:$C$89,MATCH($B1709,Setup!$A$60:$A$89,0)),"")))</f>
        <v/>
      </c>
      <c r="E1709" s="42"/>
      <c r="F1709" s="42"/>
    </row>
    <row r="1710" customFormat="false" ht="15" hidden="false" customHeight="true" outlineLevel="0" collapsed="false">
      <c r="A1710" s="42"/>
      <c r="B1710" s="42"/>
      <c r="C1710" s="42"/>
      <c r="D1710" s="28" t="str">
        <f aca="false">IF(OR($B1710="",$C1710=""),"",$C1710*IFERROR(INDEX(Setup!$C$47:$C$56,MATCH($B1710,Setup!$A$47:$A$56,0)),IFERROR(INDEX(Setup!$C$60:$C$89,MATCH($B1710,Setup!$A$60:$A$89,0)),"")))</f>
        <v/>
      </c>
      <c r="E1710" s="42"/>
      <c r="F1710" s="42"/>
    </row>
    <row r="1711" customFormat="false" ht="15" hidden="false" customHeight="true" outlineLevel="0" collapsed="false">
      <c r="A1711" s="42"/>
      <c r="B1711" s="42"/>
      <c r="C1711" s="42"/>
      <c r="D1711" s="28" t="str">
        <f aca="false">IF(OR($B1711="",$C1711=""),"",$C1711*IFERROR(INDEX(Setup!$C$47:$C$56,MATCH($B1711,Setup!$A$47:$A$56,0)),IFERROR(INDEX(Setup!$C$60:$C$89,MATCH($B1711,Setup!$A$60:$A$89,0)),"")))</f>
        <v/>
      </c>
      <c r="E1711" s="42"/>
      <c r="F1711" s="42"/>
    </row>
    <row r="1712" customFormat="false" ht="15" hidden="false" customHeight="true" outlineLevel="0" collapsed="false">
      <c r="A1712" s="42"/>
      <c r="B1712" s="42"/>
      <c r="C1712" s="42"/>
      <c r="D1712" s="28" t="str">
        <f aca="false">IF(OR($B1712="",$C1712=""),"",$C1712*IFERROR(INDEX(Setup!$C$47:$C$56,MATCH($B1712,Setup!$A$47:$A$56,0)),IFERROR(INDEX(Setup!$C$60:$C$89,MATCH($B1712,Setup!$A$60:$A$89,0)),"")))</f>
        <v/>
      </c>
      <c r="E1712" s="42"/>
      <c r="F1712" s="42"/>
    </row>
    <row r="1713" customFormat="false" ht="15" hidden="false" customHeight="true" outlineLevel="0" collapsed="false">
      <c r="A1713" s="42"/>
      <c r="B1713" s="42"/>
      <c r="C1713" s="42"/>
      <c r="D1713" s="28" t="str">
        <f aca="false">IF(OR($B1713="",$C1713=""),"",$C1713*IFERROR(INDEX(Setup!$C$47:$C$56,MATCH($B1713,Setup!$A$47:$A$56,0)),IFERROR(INDEX(Setup!$C$60:$C$89,MATCH($B1713,Setup!$A$60:$A$89,0)),"")))</f>
        <v/>
      </c>
      <c r="E1713" s="42"/>
      <c r="F1713" s="42"/>
    </row>
    <row r="1714" customFormat="false" ht="15" hidden="false" customHeight="true" outlineLevel="0" collapsed="false">
      <c r="A1714" s="42"/>
      <c r="B1714" s="42"/>
      <c r="C1714" s="42"/>
      <c r="D1714" s="28" t="str">
        <f aca="false">IF(OR($B1714="",$C1714=""),"",$C1714*IFERROR(INDEX(Setup!$C$47:$C$56,MATCH($B1714,Setup!$A$47:$A$56,0)),IFERROR(INDEX(Setup!$C$60:$C$89,MATCH($B1714,Setup!$A$60:$A$89,0)),"")))</f>
        <v/>
      </c>
      <c r="E1714" s="42"/>
      <c r="F1714" s="42"/>
    </row>
    <row r="1715" customFormat="false" ht="15" hidden="false" customHeight="true" outlineLevel="0" collapsed="false">
      <c r="A1715" s="42"/>
      <c r="B1715" s="42"/>
      <c r="C1715" s="42"/>
      <c r="D1715" s="28" t="str">
        <f aca="false">IF(OR($B1715="",$C1715=""),"",$C1715*IFERROR(INDEX(Setup!$C$47:$C$56,MATCH($B1715,Setup!$A$47:$A$56,0)),IFERROR(INDEX(Setup!$C$60:$C$89,MATCH($B1715,Setup!$A$60:$A$89,0)),"")))</f>
        <v/>
      </c>
      <c r="E1715" s="42"/>
      <c r="F1715" s="42"/>
    </row>
    <row r="1716" customFormat="false" ht="15" hidden="false" customHeight="true" outlineLevel="0" collapsed="false">
      <c r="A1716" s="42"/>
      <c r="B1716" s="42"/>
      <c r="C1716" s="42"/>
      <c r="D1716" s="28" t="str">
        <f aca="false">IF(OR($B1716="",$C1716=""),"",$C1716*IFERROR(INDEX(Setup!$C$47:$C$56,MATCH($B1716,Setup!$A$47:$A$56,0)),IFERROR(INDEX(Setup!$C$60:$C$89,MATCH($B1716,Setup!$A$60:$A$89,0)),"")))</f>
        <v/>
      </c>
      <c r="E1716" s="42"/>
      <c r="F1716" s="42"/>
    </row>
    <row r="1717" customFormat="false" ht="15" hidden="false" customHeight="true" outlineLevel="0" collapsed="false">
      <c r="A1717" s="42"/>
      <c r="B1717" s="42"/>
      <c r="C1717" s="42"/>
      <c r="D1717" s="28" t="str">
        <f aca="false">IF(OR($B1717="",$C1717=""),"",$C1717*IFERROR(INDEX(Setup!$C$47:$C$56,MATCH($B1717,Setup!$A$47:$A$56,0)),IFERROR(INDEX(Setup!$C$60:$C$89,MATCH($B1717,Setup!$A$60:$A$89,0)),"")))</f>
        <v/>
      </c>
      <c r="E1717" s="42"/>
      <c r="F1717" s="42"/>
    </row>
    <row r="1718" customFormat="false" ht="15" hidden="false" customHeight="true" outlineLevel="0" collapsed="false">
      <c r="A1718" s="42"/>
      <c r="B1718" s="42"/>
      <c r="C1718" s="42"/>
      <c r="D1718" s="28" t="str">
        <f aca="false">IF(OR($B1718="",$C1718=""),"",$C1718*IFERROR(INDEX(Setup!$C$47:$C$56,MATCH($B1718,Setup!$A$47:$A$56,0)),IFERROR(INDEX(Setup!$C$60:$C$89,MATCH($B1718,Setup!$A$60:$A$89,0)),"")))</f>
        <v/>
      </c>
      <c r="E1718" s="42"/>
      <c r="F1718" s="42"/>
    </row>
    <row r="1719" customFormat="false" ht="15" hidden="false" customHeight="true" outlineLevel="0" collapsed="false">
      <c r="A1719" s="42"/>
      <c r="B1719" s="42"/>
      <c r="C1719" s="42"/>
      <c r="D1719" s="28" t="str">
        <f aca="false">IF(OR($B1719="",$C1719=""),"",$C1719*IFERROR(INDEX(Setup!$C$47:$C$56,MATCH($B1719,Setup!$A$47:$A$56,0)),IFERROR(INDEX(Setup!$C$60:$C$89,MATCH($B1719,Setup!$A$60:$A$89,0)),"")))</f>
        <v/>
      </c>
      <c r="E1719" s="42"/>
      <c r="F1719" s="42"/>
    </row>
    <row r="1720" customFormat="false" ht="15" hidden="false" customHeight="true" outlineLevel="0" collapsed="false">
      <c r="A1720" s="42"/>
      <c r="B1720" s="42"/>
      <c r="C1720" s="42"/>
      <c r="D1720" s="28" t="str">
        <f aca="false">IF(OR($B1720="",$C1720=""),"",$C1720*IFERROR(INDEX(Setup!$C$47:$C$56,MATCH($B1720,Setup!$A$47:$A$56,0)),IFERROR(INDEX(Setup!$C$60:$C$89,MATCH($B1720,Setup!$A$60:$A$89,0)),"")))</f>
        <v/>
      </c>
      <c r="E1720" s="42"/>
      <c r="F1720" s="42"/>
    </row>
    <row r="1721" customFormat="false" ht="15" hidden="false" customHeight="true" outlineLevel="0" collapsed="false">
      <c r="A1721" s="42"/>
      <c r="B1721" s="42"/>
      <c r="C1721" s="42"/>
      <c r="D1721" s="28" t="str">
        <f aca="false">IF(OR($B1721="",$C1721=""),"",$C1721*IFERROR(INDEX(Setup!$C$47:$C$56,MATCH($B1721,Setup!$A$47:$A$56,0)),IFERROR(INDEX(Setup!$C$60:$C$89,MATCH($B1721,Setup!$A$60:$A$89,0)),"")))</f>
        <v/>
      </c>
      <c r="E1721" s="42"/>
      <c r="F1721" s="42"/>
    </row>
    <row r="1722" customFormat="false" ht="15" hidden="false" customHeight="true" outlineLevel="0" collapsed="false">
      <c r="A1722" s="42"/>
      <c r="B1722" s="42"/>
      <c r="C1722" s="42"/>
      <c r="D1722" s="28" t="str">
        <f aca="false">IF(OR($B1722="",$C1722=""),"",$C1722*IFERROR(INDEX(Setup!$C$47:$C$56,MATCH($B1722,Setup!$A$47:$A$56,0)),IFERROR(INDEX(Setup!$C$60:$C$89,MATCH($B1722,Setup!$A$60:$A$89,0)),"")))</f>
        <v/>
      </c>
      <c r="E1722" s="42"/>
      <c r="F1722" s="42"/>
    </row>
    <row r="1723" customFormat="false" ht="15" hidden="false" customHeight="true" outlineLevel="0" collapsed="false">
      <c r="A1723" s="42"/>
      <c r="B1723" s="42"/>
      <c r="C1723" s="42"/>
      <c r="D1723" s="28" t="str">
        <f aca="false">IF(OR($B1723="",$C1723=""),"",$C1723*IFERROR(INDEX(Setup!$C$47:$C$56,MATCH($B1723,Setup!$A$47:$A$56,0)),IFERROR(INDEX(Setup!$C$60:$C$89,MATCH($B1723,Setup!$A$60:$A$89,0)),"")))</f>
        <v/>
      </c>
      <c r="E1723" s="42"/>
      <c r="F1723" s="42"/>
    </row>
    <row r="1724" customFormat="false" ht="15" hidden="false" customHeight="true" outlineLevel="0" collapsed="false">
      <c r="A1724" s="42"/>
      <c r="B1724" s="42"/>
      <c r="C1724" s="42"/>
      <c r="D1724" s="28" t="str">
        <f aca="false">IF(OR($B1724="",$C1724=""),"",$C1724*IFERROR(INDEX(Setup!$C$47:$C$56,MATCH($B1724,Setup!$A$47:$A$56,0)),IFERROR(INDEX(Setup!$C$60:$C$89,MATCH($B1724,Setup!$A$60:$A$89,0)),"")))</f>
        <v/>
      </c>
      <c r="E1724" s="42"/>
      <c r="F1724" s="42"/>
    </row>
    <row r="1725" customFormat="false" ht="15" hidden="false" customHeight="true" outlineLevel="0" collapsed="false">
      <c r="A1725" s="42"/>
      <c r="B1725" s="42"/>
      <c r="C1725" s="42"/>
      <c r="D1725" s="28" t="str">
        <f aca="false">IF(OR($B1725="",$C1725=""),"",$C1725*IFERROR(INDEX(Setup!$C$47:$C$56,MATCH($B1725,Setup!$A$47:$A$56,0)),IFERROR(INDEX(Setup!$C$60:$C$89,MATCH($B1725,Setup!$A$60:$A$89,0)),"")))</f>
        <v/>
      </c>
      <c r="E1725" s="42"/>
      <c r="F1725" s="42"/>
    </row>
    <row r="1726" customFormat="false" ht="15" hidden="false" customHeight="true" outlineLevel="0" collapsed="false">
      <c r="A1726" s="42"/>
      <c r="B1726" s="42"/>
      <c r="C1726" s="42"/>
      <c r="D1726" s="28" t="str">
        <f aca="false">IF(OR($B1726="",$C1726=""),"",$C1726*IFERROR(INDEX(Setup!$C$47:$C$56,MATCH($B1726,Setup!$A$47:$A$56,0)),IFERROR(INDEX(Setup!$C$60:$C$89,MATCH($B1726,Setup!$A$60:$A$89,0)),"")))</f>
        <v/>
      </c>
      <c r="E1726" s="42"/>
      <c r="F1726" s="42"/>
    </row>
    <row r="1727" customFormat="false" ht="15" hidden="false" customHeight="true" outlineLevel="0" collapsed="false">
      <c r="A1727" s="42"/>
      <c r="B1727" s="42"/>
      <c r="C1727" s="42"/>
      <c r="D1727" s="28" t="str">
        <f aca="false">IF(OR($B1727="",$C1727=""),"",$C1727*IFERROR(INDEX(Setup!$C$47:$C$56,MATCH($B1727,Setup!$A$47:$A$56,0)),IFERROR(INDEX(Setup!$C$60:$C$89,MATCH($B1727,Setup!$A$60:$A$89,0)),"")))</f>
        <v/>
      </c>
      <c r="E1727" s="42"/>
      <c r="F1727" s="42"/>
    </row>
    <row r="1728" customFormat="false" ht="15" hidden="false" customHeight="true" outlineLevel="0" collapsed="false">
      <c r="A1728" s="42"/>
      <c r="B1728" s="42"/>
      <c r="C1728" s="42"/>
      <c r="D1728" s="28" t="str">
        <f aca="false">IF(OR($B1728="",$C1728=""),"",$C1728*IFERROR(INDEX(Setup!$C$47:$C$56,MATCH($B1728,Setup!$A$47:$A$56,0)),IFERROR(INDEX(Setup!$C$60:$C$89,MATCH($B1728,Setup!$A$60:$A$89,0)),"")))</f>
        <v/>
      </c>
      <c r="E1728" s="42"/>
      <c r="F1728" s="42"/>
    </row>
    <row r="1729" customFormat="false" ht="15" hidden="false" customHeight="true" outlineLevel="0" collapsed="false">
      <c r="A1729" s="42"/>
      <c r="B1729" s="42"/>
      <c r="C1729" s="42"/>
      <c r="D1729" s="28" t="str">
        <f aca="false">IF(OR($B1729="",$C1729=""),"",$C1729*IFERROR(INDEX(Setup!$C$47:$C$56,MATCH($B1729,Setup!$A$47:$A$56,0)),IFERROR(INDEX(Setup!$C$60:$C$89,MATCH($B1729,Setup!$A$60:$A$89,0)),"")))</f>
        <v/>
      </c>
      <c r="E1729" s="42"/>
      <c r="F1729" s="42"/>
    </row>
    <row r="1730" customFormat="false" ht="15" hidden="false" customHeight="true" outlineLevel="0" collapsed="false">
      <c r="A1730" s="42"/>
      <c r="B1730" s="42"/>
      <c r="C1730" s="42"/>
      <c r="D1730" s="28" t="str">
        <f aca="false">IF(OR($B1730="",$C1730=""),"",$C1730*IFERROR(INDEX(Setup!$C$47:$C$56,MATCH($B1730,Setup!$A$47:$A$56,0)),IFERROR(INDEX(Setup!$C$60:$C$89,MATCH($B1730,Setup!$A$60:$A$89,0)),"")))</f>
        <v/>
      </c>
      <c r="E1730" s="42"/>
      <c r="F1730" s="42"/>
    </row>
    <row r="1731" customFormat="false" ht="15" hidden="false" customHeight="true" outlineLevel="0" collapsed="false">
      <c r="A1731" s="42"/>
      <c r="B1731" s="42"/>
      <c r="C1731" s="42"/>
      <c r="D1731" s="28" t="str">
        <f aca="false">IF(OR($B1731="",$C1731=""),"",$C1731*IFERROR(INDEX(Setup!$C$47:$C$56,MATCH($B1731,Setup!$A$47:$A$56,0)),IFERROR(INDEX(Setup!$C$60:$C$89,MATCH($B1731,Setup!$A$60:$A$89,0)),"")))</f>
        <v/>
      </c>
      <c r="E1731" s="42"/>
      <c r="F1731" s="42"/>
    </row>
    <row r="1732" customFormat="false" ht="15" hidden="false" customHeight="true" outlineLevel="0" collapsed="false">
      <c r="A1732" s="42"/>
      <c r="B1732" s="42"/>
      <c r="C1732" s="42"/>
      <c r="D1732" s="28" t="str">
        <f aca="false">IF(OR($B1732="",$C1732=""),"",$C1732*IFERROR(INDEX(Setup!$C$47:$C$56,MATCH($B1732,Setup!$A$47:$A$56,0)),IFERROR(INDEX(Setup!$C$60:$C$89,MATCH($B1732,Setup!$A$60:$A$89,0)),"")))</f>
        <v/>
      </c>
      <c r="E1732" s="42"/>
      <c r="F1732" s="42"/>
    </row>
    <row r="1733" customFormat="false" ht="15" hidden="false" customHeight="true" outlineLevel="0" collapsed="false">
      <c r="A1733" s="42"/>
      <c r="B1733" s="42"/>
      <c r="C1733" s="42"/>
      <c r="D1733" s="28" t="str">
        <f aca="false">IF(OR($B1733="",$C1733=""),"",$C1733*IFERROR(INDEX(Setup!$C$47:$C$56,MATCH($B1733,Setup!$A$47:$A$56,0)),IFERROR(INDEX(Setup!$C$60:$C$89,MATCH($B1733,Setup!$A$60:$A$89,0)),"")))</f>
        <v/>
      </c>
      <c r="E1733" s="42"/>
      <c r="F1733" s="42"/>
    </row>
    <row r="1734" customFormat="false" ht="15" hidden="false" customHeight="true" outlineLevel="0" collapsed="false">
      <c r="A1734" s="42"/>
      <c r="B1734" s="42"/>
      <c r="C1734" s="42"/>
      <c r="D1734" s="28" t="str">
        <f aca="false">IF(OR($B1734="",$C1734=""),"",$C1734*IFERROR(INDEX(Setup!$C$47:$C$56,MATCH($B1734,Setup!$A$47:$A$56,0)),IFERROR(INDEX(Setup!$C$60:$C$89,MATCH($B1734,Setup!$A$60:$A$89,0)),"")))</f>
        <v/>
      </c>
      <c r="E1734" s="42"/>
      <c r="F1734" s="42"/>
    </row>
    <row r="1735" customFormat="false" ht="15" hidden="false" customHeight="true" outlineLevel="0" collapsed="false">
      <c r="A1735" s="42"/>
      <c r="B1735" s="42"/>
      <c r="C1735" s="42"/>
      <c r="D1735" s="28" t="str">
        <f aca="false">IF(OR($B1735="",$C1735=""),"",$C1735*IFERROR(INDEX(Setup!$C$47:$C$56,MATCH($B1735,Setup!$A$47:$A$56,0)),IFERROR(INDEX(Setup!$C$60:$C$89,MATCH($B1735,Setup!$A$60:$A$89,0)),"")))</f>
        <v/>
      </c>
      <c r="E1735" s="42"/>
      <c r="F1735" s="42"/>
    </row>
    <row r="1736" customFormat="false" ht="15" hidden="false" customHeight="true" outlineLevel="0" collapsed="false">
      <c r="A1736" s="42"/>
      <c r="B1736" s="42"/>
      <c r="C1736" s="42"/>
      <c r="D1736" s="28" t="str">
        <f aca="false">IF(OR($B1736="",$C1736=""),"",$C1736*IFERROR(INDEX(Setup!$C$47:$C$56,MATCH($B1736,Setup!$A$47:$A$56,0)),IFERROR(INDEX(Setup!$C$60:$C$89,MATCH($B1736,Setup!$A$60:$A$89,0)),"")))</f>
        <v/>
      </c>
      <c r="E1736" s="42"/>
      <c r="F1736" s="42"/>
    </row>
    <row r="1737" customFormat="false" ht="15" hidden="false" customHeight="true" outlineLevel="0" collapsed="false">
      <c r="A1737" s="42"/>
      <c r="B1737" s="42"/>
      <c r="C1737" s="42"/>
      <c r="D1737" s="28" t="str">
        <f aca="false">IF(OR($B1737="",$C1737=""),"",$C1737*IFERROR(INDEX(Setup!$C$47:$C$56,MATCH($B1737,Setup!$A$47:$A$56,0)),IFERROR(INDEX(Setup!$C$60:$C$89,MATCH($B1737,Setup!$A$60:$A$89,0)),"")))</f>
        <v/>
      </c>
      <c r="E1737" s="42"/>
      <c r="F1737" s="42"/>
    </row>
    <row r="1738" customFormat="false" ht="15" hidden="false" customHeight="true" outlineLevel="0" collapsed="false">
      <c r="A1738" s="42"/>
      <c r="B1738" s="42"/>
      <c r="C1738" s="42"/>
      <c r="D1738" s="28" t="str">
        <f aca="false">IF(OR($B1738="",$C1738=""),"",$C1738*IFERROR(INDEX(Setup!$C$47:$C$56,MATCH($B1738,Setup!$A$47:$A$56,0)),IFERROR(INDEX(Setup!$C$60:$C$89,MATCH($B1738,Setup!$A$60:$A$89,0)),"")))</f>
        <v/>
      </c>
      <c r="E1738" s="42"/>
      <c r="F1738" s="42"/>
    </row>
    <row r="1739" customFormat="false" ht="15" hidden="false" customHeight="true" outlineLevel="0" collapsed="false">
      <c r="A1739" s="42"/>
      <c r="B1739" s="42"/>
      <c r="C1739" s="42"/>
      <c r="D1739" s="28" t="str">
        <f aca="false">IF(OR($B1739="",$C1739=""),"",$C1739*IFERROR(INDEX(Setup!$C$47:$C$56,MATCH($B1739,Setup!$A$47:$A$56,0)),IFERROR(INDEX(Setup!$C$60:$C$89,MATCH($B1739,Setup!$A$60:$A$89,0)),"")))</f>
        <v/>
      </c>
      <c r="E1739" s="42"/>
      <c r="F1739" s="42"/>
    </row>
    <row r="1740" customFormat="false" ht="15" hidden="false" customHeight="true" outlineLevel="0" collapsed="false">
      <c r="A1740" s="42"/>
      <c r="B1740" s="42"/>
      <c r="C1740" s="42"/>
      <c r="D1740" s="28" t="str">
        <f aca="false">IF(OR($B1740="",$C1740=""),"",$C1740*IFERROR(INDEX(Setup!$C$47:$C$56,MATCH($B1740,Setup!$A$47:$A$56,0)),IFERROR(INDEX(Setup!$C$60:$C$89,MATCH($B1740,Setup!$A$60:$A$89,0)),"")))</f>
        <v/>
      </c>
      <c r="E1740" s="42"/>
      <c r="F1740" s="42"/>
    </row>
    <row r="1741" customFormat="false" ht="15" hidden="false" customHeight="true" outlineLevel="0" collapsed="false">
      <c r="A1741" s="42"/>
      <c r="B1741" s="42"/>
      <c r="C1741" s="42"/>
      <c r="D1741" s="28" t="str">
        <f aca="false">IF(OR($B1741="",$C1741=""),"",$C1741*IFERROR(INDEX(Setup!$C$47:$C$56,MATCH($B1741,Setup!$A$47:$A$56,0)),IFERROR(INDEX(Setup!$C$60:$C$89,MATCH($B1741,Setup!$A$60:$A$89,0)),"")))</f>
        <v/>
      </c>
      <c r="E1741" s="42"/>
      <c r="F1741" s="42"/>
    </row>
    <row r="1742" customFormat="false" ht="15" hidden="false" customHeight="true" outlineLevel="0" collapsed="false">
      <c r="A1742" s="42"/>
      <c r="B1742" s="42"/>
      <c r="C1742" s="42"/>
      <c r="D1742" s="28" t="str">
        <f aca="false">IF(OR($B1742="",$C1742=""),"",$C1742*IFERROR(INDEX(Setup!$C$47:$C$56,MATCH($B1742,Setup!$A$47:$A$56,0)),IFERROR(INDEX(Setup!$C$60:$C$89,MATCH($B1742,Setup!$A$60:$A$89,0)),"")))</f>
        <v/>
      </c>
      <c r="E1742" s="42"/>
      <c r="F1742" s="42"/>
    </row>
    <row r="1743" customFormat="false" ht="15" hidden="false" customHeight="true" outlineLevel="0" collapsed="false">
      <c r="A1743" s="42"/>
      <c r="B1743" s="42"/>
      <c r="C1743" s="42"/>
      <c r="D1743" s="28" t="str">
        <f aca="false">IF(OR($B1743="",$C1743=""),"",$C1743*IFERROR(INDEX(Setup!$C$47:$C$56,MATCH($B1743,Setup!$A$47:$A$56,0)),IFERROR(INDEX(Setup!$C$60:$C$89,MATCH($B1743,Setup!$A$60:$A$89,0)),"")))</f>
        <v/>
      </c>
      <c r="E1743" s="42"/>
      <c r="F1743" s="42"/>
    </row>
    <row r="1744" customFormat="false" ht="15" hidden="false" customHeight="true" outlineLevel="0" collapsed="false">
      <c r="A1744" s="42"/>
      <c r="B1744" s="42"/>
      <c r="C1744" s="42"/>
      <c r="D1744" s="28" t="str">
        <f aca="false">IF(OR($B1744="",$C1744=""),"",$C1744*IFERROR(INDEX(Setup!$C$47:$C$56,MATCH($B1744,Setup!$A$47:$A$56,0)),IFERROR(INDEX(Setup!$C$60:$C$89,MATCH($B1744,Setup!$A$60:$A$89,0)),"")))</f>
        <v/>
      </c>
      <c r="E1744" s="42"/>
      <c r="F1744" s="42"/>
    </row>
    <row r="1745" customFormat="false" ht="15" hidden="false" customHeight="true" outlineLevel="0" collapsed="false">
      <c r="A1745" s="42"/>
      <c r="B1745" s="42"/>
      <c r="C1745" s="42"/>
      <c r="D1745" s="28" t="str">
        <f aca="false">IF(OR($B1745="",$C1745=""),"",$C1745*IFERROR(INDEX(Setup!$C$47:$C$56,MATCH($B1745,Setup!$A$47:$A$56,0)),IFERROR(INDEX(Setup!$C$60:$C$89,MATCH($B1745,Setup!$A$60:$A$89,0)),"")))</f>
        <v/>
      </c>
      <c r="E1745" s="42"/>
      <c r="F1745" s="42"/>
    </row>
    <row r="1746" customFormat="false" ht="15" hidden="false" customHeight="true" outlineLevel="0" collapsed="false">
      <c r="A1746" s="42"/>
      <c r="B1746" s="42"/>
      <c r="C1746" s="42"/>
      <c r="D1746" s="28" t="str">
        <f aca="false">IF(OR($B1746="",$C1746=""),"",$C1746*IFERROR(INDEX(Setup!$C$47:$C$56,MATCH($B1746,Setup!$A$47:$A$56,0)),IFERROR(INDEX(Setup!$C$60:$C$89,MATCH($B1746,Setup!$A$60:$A$89,0)),"")))</f>
        <v/>
      </c>
      <c r="E1746" s="42"/>
      <c r="F1746" s="42"/>
    </row>
    <row r="1747" customFormat="false" ht="15" hidden="false" customHeight="true" outlineLevel="0" collapsed="false">
      <c r="A1747" s="42"/>
      <c r="B1747" s="42"/>
      <c r="C1747" s="42"/>
      <c r="D1747" s="28" t="str">
        <f aca="false">IF(OR($B1747="",$C1747=""),"",$C1747*IFERROR(INDEX(Setup!$C$47:$C$56,MATCH($B1747,Setup!$A$47:$A$56,0)),IFERROR(INDEX(Setup!$C$60:$C$89,MATCH($B1747,Setup!$A$60:$A$89,0)),"")))</f>
        <v/>
      </c>
      <c r="E1747" s="42"/>
      <c r="F1747" s="42"/>
    </row>
    <row r="1748" customFormat="false" ht="15" hidden="false" customHeight="true" outlineLevel="0" collapsed="false">
      <c r="A1748" s="42"/>
      <c r="B1748" s="42"/>
      <c r="C1748" s="42"/>
      <c r="D1748" s="28" t="str">
        <f aca="false">IF(OR($B1748="",$C1748=""),"",$C1748*IFERROR(INDEX(Setup!$C$47:$C$56,MATCH($B1748,Setup!$A$47:$A$56,0)),IFERROR(INDEX(Setup!$C$60:$C$89,MATCH($B1748,Setup!$A$60:$A$89,0)),"")))</f>
        <v/>
      </c>
      <c r="E1748" s="42"/>
      <c r="F1748" s="42"/>
    </row>
    <row r="1749" customFormat="false" ht="15" hidden="false" customHeight="true" outlineLevel="0" collapsed="false">
      <c r="A1749" s="42"/>
      <c r="B1749" s="42"/>
      <c r="C1749" s="42"/>
      <c r="D1749" s="28" t="str">
        <f aca="false">IF(OR($B1749="",$C1749=""),"",$C1749*IFERROR(INDEX(Setup!$C$47:$C$56,MATCH($B1749,Setup!$A$47:$A$56,0)),IFERROR(INDEX(Setup!$C$60:$C$89,MATCH($B1749,Setup!$A$60:$A$89,0)),"")))</f>
        <v/>
      </c>
      <c r="E1749" s="42"/>
      <c r="F1749" s="42"/>
    </row>
    <row r="1750" customFormat="false" ht="15" hidden="false" customHeight="true" outlineLevel="0" collapsed="false">
      <c r="A1750" s="42"/>
      <c r="B1750" s="42"/>
      <c r="C1750" s="42"/>
      <c r="D1750" s="28" t="str">
        <f aca="false">IF(OR($B1750="",$C1750=""),"",$C1750*IFERROR(INDEX(Setup!$C$47:$C$56,MATCH($B1750,Setup!$A$47:$A$56,0)),IFERROR(INDEX(Setup!$C$60:$C$89,MATCH($B1750,Setup!$A$60:$A$89,0)),"")))</f>
        <v/>
      </c>
      <c r="E1750" s="42"/>
      <c r="F1750" s="42"/>
    </row>
    <row r="1751" customFormat="false" ht="15" hidden="false" customHeight="true" outlineLevel="0" collapsed="false">
      <c r="A1751" s="42"/>
      <c r="B1751" s="42"/>
      <c r="C1751" s="42"/>
      <c r="D1751" s="28" t="str">
        <f aca="false">IF(OR($B1751="",$C1751=""),"",$C1751*IFERROR(INDEX(Setup!$C$47:$C$56,MATCH($B1751,Setup!$A$47:$A$56,0)),IFERROR(INDEX(Setup!$C$60:$C$89,MATCH($B1751,Setup!$A$60:$A$89,0)),"")))</f>
        <v/>
      </c>
      <c r="E1751" s="42"/>
      <c r="F1751" s="42"/>
    </row>
    <row r="1752" customFormat="false" ht="15" hidden="false" customHeight="true" outlineLevel="0" collapsed="false">
      <c r="A1752" s="42"/>
      <c r="B1752" s="42"/>
      <c r="C1752" s="42"/>
      <c r="D1752" s="28" t="str">
        <f aca="false">IF(OR($B1752="",$C1752=""),"",$C1752*IFERROR(INDEX(Setup!$C$47:$C$56,MATCH($B1752,Setup!$A$47:$A$56,0)),IFERROR(INDEX(Setup!$C$60:$C$89,MATCH($B1752,Setup!$A$60:$A$89,0)),"")))</f>
        <v/>
      </c>
      <c r="E1752" s="42"/>
      <c r="F1752" s="42"/>
    </row>
    <row r="1753" customFormat="false" ht="15" hidden="false" customHeight="true" outlineLevel="0" collapsed="false">
      <c r="A1753" s="42"/>
      <c r="B1753" s="42"/>
      <c r="C1753" s="42"/>
      <c r="D1753" s="28" t="str">
        <f aca="false">IF(OR($B1753="",$C1753=""),"",$C1753*IFERROR(INDEX(Setup!$C$47:$C$56,MATCH($B1753,Setup!$A$47:$A$56,0)),IFERROR(INDEX(Setup!$C$60:$C$89,MATCH($B1753,Setup!$A$60:$A$89,0)),"")))</f>
        <v/>
      </c>
      <c r="E1753" s="42"/>
      <c r="F1753" s="42"/>
    </row>
    <row r="1754" customFormat="false" ht="15" hidden="false" customHeight="true" outlineLevel="0" collapsed="false">
      <c r="A1754" s="42"/>
      <c r="B1754" s="42"/>
      <c r="C1754" s="42"/>
      <c r="D1754" s="28" t="str">
        <f aca="false">IF(OR($B1754="",$C1754=""),"",$C1754*IFERROR(INDEX(Setup!$C$47:$C$56,MATCH($B1754,Setup!$A$47:$A$56,0)),IFERROR(INDEX(Setup!$C$60:$C$89,MATCH($B1754,Setup!$A$60:$A$89,0)),"")))</f>
        <v/>
      </c>
      <c r="E1754" s="42"/>
      <c r="F1754" s="42"/>
    </row>
    <row r="1755" customFormat="false" ht="15" hidden="false" customHeight="true" outlineLevel="0" collapsed="false">
      <c r="A1755" s="42"/>
      <c r="B1755" s="42"/>
      <c r="C1755" s="42"/>
      <c r="D1755" s="28" t="str">
        <f aca="false">IF(OR($B1755="",$C1755=""),"",$C1755*IFERROR(INDEX(Setup!$C$47:$C$56,MATCH($B1755,Setup!$A$47:$A$56,0)),IFERROR(INDEX(Setup!$C$60:$C$89,MATCH($B1755,Setup!$A$60:$A$89,0)),"")))</f>
        <v/>
      </c>
      <c r="E1755" s="42"/>
      <c r="F1755" s="42"/>
    </row>
    <row r="1756" customFormat="false" ht="15" hidden="false" customHeight="true" outlineLevel="0" collapsed="false">
      <c r="A1756" s="42"/>
      <c r="B1756" s="42"/>
      <c r="C1756" s="42"/>
      <c r="D1756" s="28" t="str">
        <f aca="false">IF(OR($B1756="",$C1756=""),"",$C1756*IFERROR(INDEX(Setup!$C$47:$C$56,MATCH($B1756,Setup!$A$47:$A$56,0)),IFERROR(INDEX(Setup!$C$60:$C$89,MATCH($B1756,Setup!$A$60:$A$89,0)),"")))</f>
        <v/>
      </c>
      <c r="E1756" s="42"/>
      <c r="F1756" s="42"/>
    </row>
    <row r="1757" customFormat="false" ht="15" hidden="false" customHeight="true" outlineLevel="0" collapsed="false">
      <c r="A1757" s="42"/>
      <c r="B1757" s="42"/>
      <c r="C1757" s="42"/>
      <c r="D1757" s="28" t="str">
        <f aca="false">IF(OR($B1757="",$C1757=""),"",$C1757*IFERROR(INDEX(Setup!$C$47:$C$56,MATCH($B1757,Setup!$A$47:$A$56,0)),IFERROR(INDEX(Setup!$C$60:$C$89,MATCH($B1757,Setup!$A$60:$A$89,0)),"")))</f>
        <v/>
      </c>
      <c r="E1757" s="42"/>
      <c r="F1757" s="42"/>
    </row>
    <row r="1758" customFormat="false" ht="15" hidden="false" customHeight="true" outlineLevel="0" collapsed="false">
      <c r="A1758" s="42"/>
      <c r="B1758" s="42"/>
      <c r="C1758" s="42"/>
      <c r="D1758" s="28" t="str">
        <f aca="false">IF(OR($B1758="",$C1758=""),"",$C1758*IFERROR(INDEX(Setup!$C$47:$C$56,MATCH($B1758,Setup!$A$47:$A$56,0)),IFERROR(INDEX(Setup!$C$60:$C$89,MATCH($B1758,Setup!$A$60:$A$89,0)),"")))</f>
        <v/>
      </c>
      <c r="E1758" s="42"/>
      <c r="F1758" s="42"/>
    </row>
    <row r="1759" customFormat="false" ht="15" hidden="false" customHeight="true" outlineLevel="0" collapsed="false">
      <c r="A1759" s="42"/>
      <c r="B1759" s="42"/>
      <c r="C1759" s="42"/>
      <c r="D1759" s="28" t="str">
        <f aca="false">IF(OR($B1759="",$C1759=""),"",$C1759*IFERROR(INDEX(Setup!$C$47:$C$56,MATCH($B1759,Setup!$A$47:$A$56,0)),IFERROR(INDEX(Setup!$C$60:$C$89,MATCH($B1759,Setup!$A$60:$A$89,0)),"")))</f>
        <v/>
      </c>
      <c r="E1759" s="42"/>
      <c r="F1759" s="42"/>
    </row>
    <row r="1760" customFormat="false" ht="15" hidden="false" customHeight="true" outlineLevel="0" collapsed="false">
      <c r="A1760" s="42"/>
      <c r="B1760" s="42"/>
      <c r="C1760" s="42"/>
      <c r="D1760" s="28" t="str">
        <f aca="false">IF(OR($B1760="",$C1760=""),"",$C1760*IFERROR(INDEX(Setup!$C$47:$C$56,MATCH($B1760,Setup!$A$47:$A$56,0)),IFERROR(INDEX(Setup!$C$60:$C$89,MATCH($B1760,Setup!$A$60:$A$89,0)),"")))</f>
        <v/>
      </c>
      <c r="E1760" s="42"/>
      <c r="F1760" s="42"/>
    </row>
    <row r="1761" customFormat="false" ht="15" hidden="false" customHeight="true" outlineLevel="0" collapsed="false">
      <c r="A1761" s="42"/>
      <c r="B1761" s="42"/>
      <c r="C1761" s="42"/>
      <c r="D1761" s="28" t="str">
        <f aca="false">IF(OR($B1761="",$C1761=""),"",$C1761*IFERROR(INDEX(Setup!$C$47:$C$56,MATCH($B1761,Setup!$A$47:$A$56,0)),IFERROR(INDEX(Setup!$C$60:$C$89,MATCH($B1761,Setup!$A$60:$A$89,0)),"")))</f>
        <v/>
      </c>
      <c r="E1761" s="42"/>
      <c r="F1761" s="42"/>
    </row>
    <row r="1762" customFormat="false" ht="15" hidden="false" customHeight="true" outlineLevel="0" collapsed="false">
      <c r="A1762" s="42"/>
      <c r="B1762" s="42"/>
      <c r="C1762" s="42"/>
      <c r="D1762" s="28" t="str">
        <f aca="false">IF(OR($B1762="",$C1762=""),"",$C1762*IFERROR(INDEX(Setup!$C$47:$C$56,MATCH($B1762,Setup!$A$47:$A$56,0)),IFERROR(INDEX(Setup!$C$60:$C$89,MATCH($B1762,Setup!$A$60:$A$89,0)),"")))</f>
        <v/>
      </c>
      <c r="E1762" s="42"/>
      <c r="F1762" s="42"/>
    </row>
    <row r="1763" customFormat="false" ht="15" hidden="false" customHeight="true" outlineLevel="0" collapsed="false">
      <c r="A1763" s="42"/>
      <c r="B1763" s="42"/>
      <c r="C1763" s="42"/>
      <c r="D1763" s="28" t="str">
        <f aca="false">IF(OR($B1763="",$C1763=""),"",$C1763*IFERROR(INDEX(Setup!$C$47:$C$56,MATCH($B1763,Setup!$A$47:$A$56,0)),IFERROR(INDEX(Setup!$C$60:$C$89,MATCH($B1763,Setup!$A$60:$A$89,0)),"")))</f>
        <v/>
      </c>
      <c r="E1763" s="42"/>
      <c r="F1763" s="42"/>
    </row>
    <row r="1764" customFormat="false" ht="15" hidden="false" customHeight="true" outlineLevel="0" collapsed="false">
      <c r="A1764" s="42"/>
      <c r="B1764" s="42"/>
      <c r="C1764" s="42"/>
      <c r="D1764" s="28" t="str">
        <f aca="false">IF(OR($B1764="",$C1764=""),"",$C1764*IFERROR(INDEX(Setup!$C$47:$C$56,MATCH($B1764,Setup!$A$47:$A$56,0)),IFERROR(INDEX(Setup!$C$60:$C$89,MATCH($B1764,Setup!$A$60:$A$89,0)),"")))</f>
        <v/>
      </c>
      <c r="E1764" s="42"/>
      <c r="F1764" s="42"/>
    </row>
    <row r="1765" customFormat="false" ht="15" hidden="false" customHeight="true" outlineLevel="0" collapsed="false">
      <c r="A1765" s="42"/>
      <c r="B1765" s="42"/>
      <c r="C1765" s="42"/>
      <c r="D1765" s="28" t="str">
        <f aca="false">IF(OR($B1765="",$C1765=""),"",$C1765*IFERROR(INDEX(Setup!$C$47:$C$56,MATCH($B1765,Setup!$A$47:$A$56,0)),IFERROR(INDEX(Setup!$C$60:$C$89,MATCH($B1765,Setup!$A$60:$A$89,0)),"")))</f>
        <v/>
      </c>
      <c r="E1765" s="42"/>
      <c r="F1765" s="42"/>
    </row>
    <row r="1766" customFormat="false" ht="15" hidden="false" customHeight="true" outlineLevel="0" collapsed="false">
      <c r="A1766" s="42"/>
      <c r="B1766" s="42"/>
      <c r="C1766" s="42"/>
      <c r="D1766" s="28" t="str">
        <f aca="false">IF(OR($B1766="",$C1766=""),"",$C1766*IFERROR(INDEX(Setup!$C$47:$C$56,MATCH($B1766,Setup!$A$47:$A$56,0)),IFERROR(INDEX(Setup!$C$60:$C$89,MATCH($B1766,Setup!$A$60:$A$89,0)),"")))</f>
        <v/>
      </c>
      <c r="E1766" s="42"/>
      <c r="F1766" s="42"/>
    </row>
    <row r="1767" customFormat="false" ht="15" hidden="false" customHeight="true" outlineLevel="0" collapsed="false">
      <c r="A1767" s="42"/>
      <c r="B1767" s="42"/>
      <c r="C1767" s="42"/>
      <c r="D1767" s="28" t="str">
        <f aca="false">IF(OR($B1767="",$C1767=""),"",$C1767*IFERROR(INDEX(Setup!$C$47:$C$56,MATCH($B1767,Setup!$A$47:$A$56,0)),IFERROR(INDEX(Setup!$C$60:$C$89,MATCH($B1767,Setup!$A$60:$A$89,0)),"")))</f>
        <v/>
      </c>
      <c r="E1767" s="42"/>
      <c r="F1767" s="42"/>
    </row>
    <row r="1768" customFormat="false" ht="15" hidden="false" customHeight="true" outlineLevel="0" collapsed="false">
      <c r="A1768" s="42"/>
      <c r="B1768" s="42"/>
      <c r="C1768" s="42"/>
      <c r="D1768" s="28" t="str">
        <f aca="false">IF(OR($B1768="",$C1768=""),"",$C1768*IFERROR(INDEX(Setup!$C$47:$C$56,MATCH($B1768,Setup!$A$47:$A$56,0)),IFERROR(INDEX(Setup!$C$60:$C$89,MATCH($B1768,Setup!$A$60:$A$89,0)),"")))</f>
        <v/>
      </c>
      <c r="E1768" s="42"/>
      <c r="F1768" s="42"/>
    </row>
    <row r="1769" customFormat="false" ht="15" hidden="false" customHeight="true" outlineLevel="0" collapsed="false">
      <c r="A1769" s="42"/>
      <c r="B1769" s="42"/>
      <c r="C1769" s="42"/>
      <c r="D1769" s="28" t="str">
        <f aca="false">IF(OR($B1769="",$C1769=""),"",$C1769*IFERROR(INDEX(Setup!$C$47:$C$56,MATCH($B1769,Setup!$A$47:$A$56,0)),IFERROR(INDEX(Setup!$C$60:$C$89,MATCH($B1769,Setup!$A$60:$A$89,0)),"")))</f>
        <v/>
      </c>
      <c r="E1769" s="42"/>
      <c r="F1769" s="42"/>
    </row>
    <row r="1770" customFormat="false" ht="15" hidden="false" customHeight="true" outlineLevel="0" collapsed="false">
      <c r="A1770" s="42"/>
      <c r="B1770" s="42"/>
      <c r="C1770" s="42"/>
      <c r="D1770" s="28" t="str">
        <f aca="false">IF(OR($B1770="",$C1770=""),"",$C1770*IFERROR(INDEX(Setup!$C$47:$C$56,MATCH($B1770,Setup!$A$47:$A$56,0)),IFERROR(INDEX(Setup!$C$60:$C$89,MATCH($B1770,Setup!$A$60:$A$89,0)),"")))</f>
        <v/>
      </c>
      <c r="E1770" s="42"/>
      <c r="F1770" s="42"/>
    </row>
    <row r="1771" customFormat="false" ht="15" hidden="false" customHeight="true" outlineLevel="0" collapsed="false">
      <c r="A1771" s="42"/>
      <c r="B1771" s="42"/>
      <c r="C1771" s="42"/>
      <c r="D1771" s="28" t="str">
        <f aca="false">IF(OR($B1771="",$C1771=""),"",$C1771*IFERROR(INDEX(Setup!$C$47:$C$56,MATCH($B1771,Setup!$A$47:$A$56,0)),IFERROR(INDEX(Setup!$C$60:$C$89,MATCH($B1771,Setup!$A$60:$A$89,0)),"")))</f>
        <v/>
      </c>
      <c r="E1771" s="42"/>
      <c r="F1771" s="42"/>
    </row>
    <row r="1772" customFormat="false" ht="15" hidden="false" customHeight="true" outlineLevel="0" collapsed="false">
      <c r="A1772" s="42"/>
      <c r="B1772" s="42"/>
      <c r="C1772" s="42"/>
      <c r="D1772" s="28" t="str">
        <f aca="false">IF(OR($B1772="",$C1772=""),"",$C1772*IFERROR(INDEX(Setup!$C$47:$C$56,MATCH($B1772,Setup!$A$47:$A$56,0)),IFERROR(INDEX(Setup!$C$60:$C$89,MATCH($B1772,Setup!$A$60:$A$89,0)),"")))</f>
        <v/>
      </c>
      <c r="E1772" s="42"/>
      <c r="F1772" s="42"/>
    </row>
    <row r="1773" customFormat="false" ht="15" hidden="false" customHeight="true" outlineLevel="0" collapsed="false">
      <c r="A1773" s="42"/>
      <c r="B1773" s="42"/>
      <c r="C1773" s="42"/>
      <c r="D1773" s="28" t="str">
        <f aca="false">IF(OR($B1773="",$C1773=""),"",$C1773*IFERROR(INDEX(Setup!$C$47:$C$56,MATCH($B1773,Setup!$A$47:$A$56,0)),IFERROR(INDEX(Setup!$C$60:$C$89,MATCH($B1773,Setup!$A$60:$A$89,0)),"")))</f>
        <v/>
      </c>
      <c r="E1773" s="42"/>
      <c r="F1773" s="42"/>
    </row>
    <row r="1774" customFormat="false" ht="15" hidden="false" customHeight="true" outlineLevel="0" collapsed="false">
      <c r="A1774" s="42"/>
      <c r="B1774" s="42"/>
      <c r="C1774" s="42"/>
      <c r="D1774" s="28" t="str">
        <f aca="false">IF(OR($B1774="",$C1774=""),"",$C1774*IFERROR(INDEX(Setup!$C$47:$C$56,MATCH($B1774,Setup!$A$47:$A$56,0)),IFERROR(INDEX(Setup!$C$60:$C$89,MATCH($B1774,Setup!$A$60:$A$89,0)),"")))</f>
        <v/>
      </c>
      <c r="E1774" s="42"/>
      <c r="F1774" s="42"/>
    </row>
    <row r="1775" customFormat="false" ht="15" hidden="false" customHeight="true" outlineLevel="0" collapsed="false">
      <c r="A1775" s="42"/>
      <c r="B1775" s="42"/>
      <c r="C1775" s="42"/>
      <c r="D1775" s="28" t="str">
        <f aca="false">IF(OR($B1775="",$C1775=""),"",$C1775*IFERROR(INDEX(Setup!$C$47:$C$56,MATCH($B1775,Setup!$A$47:$A$56,0)),IFERROR(INDEX(Setup!$C$60:$C$89,MATCH($B1775,Setup!$A$60:$A$89,0)),"")))</f>
        <v/>
      </c>
      <c r="E1775" s="42"/>
      <c r="F1775" s="42"/>
    </row>
    <row r="1776" customFormat="false" ht="15" hidden="false" customHeight="true" outlineLevel="0" collapsed="false">
      <c r="A1776" s="42"/>
      <c r="B1776" s="42"/>
      <c r="C1776" s="42"/>
      <c r="D1776" s="28" t="str">
        <f aca="false">IF(OR($B1776="",$C1776=""),"",$C1776*IFERROR(INDEX(Setup!$C$47:$C$56,MATCH($B1776,Setup!$A$47:$A$56,0)),IFERROR(INDEX(Setup!$C$60:$C$89,MATCH($B1776,Setup!$A$60:$A$89,0)),"")))</f>
        <v/>
      </c>
      <c r="E1776" s="42"/>
      <c r="F1776" s="42"/>
    </row>
    <row r="1777" customFormat="false" ht="15" hidden="false" customHeight="true" outlineLevel="0" collapsed="false">
      <c r="A1777" s="42"/>
      <c r="B1777" s="42"/>
      <c r="C1777" s="42"/>
      <c r="D1777" s="28" t="str">
        <f aca="false">IF(OR($B1777="",$C1777=""),"",$C1777*IFERROR(INDEX(Setup!$C$47:$C$56,MATCH($B1777,Setup!$A$47:$A$56,0)),IFERROR(INDEX(Setup!$C$60:$C$89,MATCH($B1777,Setup!$A$60:$A$89,0)),"")))</f>
        <v/>
      </c>
      <c r="E1777" s="42"/>
      <c r="F1777" s="42"/>
    </row>
    <row r="1778" customFormat="false" ht="15" hidden="false" customHeight="true" outlineLevel="0" collapsed="false">
      <c r="A1778" s="42"/>
      <c r="B1778" s="42"/>
      <c r="C1778" s="42"/>
      <c r="D1778" s="28" t="str">
        <f aca="false">IF(OR($B1778="",$C1778=""),"",$C1778*IFERROR(INDEX(Setup!$C$47:$C$56,MATCH($B1778,Setup!$A$47:$A$56,0)),IFERROR(INDEX(Setup!$C$60:$C$89,MATCH($B1778,Setup!$A$60:$A$89,0)),"")))</f>
        <v/>
      </c>
      <c r="E1778" s="42"/>
      <c r="F1778" s="42"/>
    </row>
    <row r="1779" customFormat="false" ht="15" hidden="false" customHeight="true" outlineLevel="0" collapsed="false">
      <c r="A1779" s="42"/>
      <c r="B1779" s="42"/>
      <c r="C1779" s="42"/>
      <c r="D1779" s="28" t="str">
        <f aca="false">IF(OR($B1779="",$C1779=""),"",$C1779*IFERROR(INDEX(Setup!$C$47:$C$56,MATCH($B1779,Setup!$A$47:$A$56,0)),IFERROR(INDEX(Setup!$C$60:$C$89,MATCH($B1779,Setup!$A$60:$A$89,0)),"")))</f>
        <v/>
      </c>
      <c r="E1779" s="42"/>
      <c r="F1779" s="42"/>
    </row>
    <row r="1780" customFormat="false" ht="15" hidden="false" customHeight="true" outlineLevel="0" collapsed="false">
      <c r="A1780" s="42"/>
      <c r="B1780" s="42"/>
      <c r="C1780" s="42"/>
      <c r="D1780" s="28" t="str">
        <f aca="false">IF(OR($B1780="",$C1780=""),"",$C1780*IFERROR(INDEX(Setup!$C$47:$C$56,MATCH($B1780,Setup!$A$47:$A$56,0)),IFERROR(INDEX(Setup!$C$60:$C$89,MATCH($B1780,Setup!$A$60:$A$89,0)),"")))</f>
        <v/>
      </c>
      <c r="E1780" s="42"/>
      <c r="F1780" s="42"/>
    </row>
    <row r="1781" customFormat="false" ht="15" hidden="false" customHeight="true" outlineLevel="0" collapsed="false">
      <c r="A1781" s="42"/>
      <c r="B1781" s="42"/>
      <c r="C1781" s="42"/>
      <c r="D1781" s="28" t="str">
        <f aca="false">IF(OR($B1781="",$C1781=""),"",$C1781*IFERROR(INDEX(Setup!$C$47:$C$56,MATCH($B1781,Setup!$A$47:$A$56,0)),IFERROR(INDEX(Setup!$C$60:$C$89,MATCH($B1781,Setup!$A$60:$A$89,0)),"")))</f>
        <v/>
      </c>
      <c r="E1781" s="42"/>
      <c r="F1781" s="42"/>
    </row>
    <row r="1782" customFormat="false" ht="15" hidden="false" customHeight="true" outlineLevel="0" collapsed="false">
      <c r="A1782" s="42"/>
      <c r="B1782" s="42"/>
      <c r="C1782" s="42"/>
      <c r="D1782" s="28" t="str">
        <f aca="false">IF(OR($B1782="",$C1782=""),"",$C1782*IFERROR(INDEX(Setup!$C$47:$C$56,MATCH($B1782,Setup!$A$47:$A$56,0)),IFERROR(INDEX(Setup!$C$60:$C$89,MATCH($B1782,Setup!$A$60:$A$89,0)),"")))</f>
        <v/>
      </c>
      <c r="E1782" s="42"/>
      <c r="F1782" s="42"/>
    </row>
    <row r="1783" customFormat="false" ht="15" hidden="false" customHeight="true" outlineLevel="0" collapsed="false">
      <c r="A1783" s="42"/>
      <c r="B1783" s="42"/>
      <c r="C1783" s="42"/>
      <c r="D1783" s="28" t="str">
        <f aca="false">IF(OR($B1783="",$C1783=""),"",$C1783*IFERROR(INDEX(Setup!$C$47:$C$56,MATCH($B1783,Setup!$A$47:$A$56,0)),IFERROR(INDEX(Setup!$C$60:$C$89,MATCH($B1783,Setup!$A$60:$A$89,0)),"")))</f>
        <v/>
      </c>
      <c r="E1783" s="42"/>
      <c r="F1783" s="42"/>
    </row>
    <row r="1784" customFormat="false" ht="15" hidden="false" customHeight="true" outlineLevel="0" collapsed="false">
      <c r="A1784" s="42"/>
      <c r="B1784" s="42"/>
      <c r="C1784" s="42"/>
      <c r="D1784" s="28" t="str">
        <f aca="false">IF(OR($B1784="",$C1784=""),"",$C1784*IFERROR(INDEX(Setup!$C$47:$C$56,MATCH($B1784,Setup!$A$47:$A$56,0)),IFERROR(INDEX(Setup!$C$60:$C$89,MATCH($B1784,Setup!$A$60:$A$89,0)),"")))</f>
        <v/>
      </c>
      <c r="E1784" s="42"/>
      <c r="F1784" s="42"/>
    </row>
    <row r="1785" customFormat="false" ht="15" hidden="false" customHeight="true" outlineLevel="0" collapsed="false">
      <c r="A1785" s="42"/>
      <c r="B1785" s="42"/>
      <c r="C1785" s="42"/>
      <c r="D1785" s="28" t="str">
        <f aca="false">IF(OR($B1785="",$C1785=""),"",$C1785*IFERROR(INDEX(Setup!$C$47:$C$56,MATCH($B1785,Setup!$A$47:$A$56,0)),IFERROR(INDEX(Setup!$C$60:$C$89,MATCH($B1785,Setup!$A$60:$A$89,0)),"")))</f>
        <v/>
      </c>
      <c r="E1785" s="42"/>
      <c r="F1785" s="42"/>
    </row>
    <row r="1786" customFormat="false" ht="15" hidden="false" customHeight="true" outlineLevel="0" collapsed="false">
      <c r="A1786" s="42"/>
      <c r="B1786" s="42"/>
      <c r="C1786" s="42"/>
      <c r="D1786" s="28" t="str">
        <f aca="false">IF(OR($B1786="",$C1786=""),"",$C1786*IFERROR(INDEX(Setup!$C$47:$C$56,MATCH($B1786,Setup!$A$47:$A$56,0)),IFERROR(INDEX(Setup!$C$60:$C$89,MATCH($B1786,Setup!$A$60:$A$89,0)),"")))</f>
        <v/>
      </c>
      <c r="E1786" s="42"/>
      <c r="F1786" s="42"/>
    </row>
    <row r="1787" customFormat="false" ht="15" hidden="false" customHeight="true" outlineLevel="0" collapsed="false">
      <c r="A1787" s="42"/>
      <c r="B1787" s="42"/>
      <c r="C1787" s="42"/>
      <c r="D1787" s="28" t="str">
        <f aca="false">IF(OR($B1787="",$C1787=""),"",$C1787*IFERROR(INDEX(Setup!$C$47:$C$56,MATCH($B1787,Setup!$A$47:$A$56,0)),IFERROR(INDEX(Setup!$C$60:$C$89,MATCH($B1787,Setup!$A$60:$A$89,0)),"")))</f>
        <v/>
      </c>
      <c r="E1787" s="42"/>
      <c r="F1787" s="42"/>
    </row>
    <row r="1788" customFormat="false" ht="15" hidden="false" customHeight="true" outlineLevel="0" collapsed="false">
      <c r="A1788" s="42"/>
      <c r="B1788" s="42"/>
      <c r="C1788" s="42"/>
      <c r="D1788" s="28" t="str">
        <f aca="false">IF(OR($B1788="",$C1788=""),"",$C1788*IFERROR(INDEX(Setup!$C$47:$C$56,MATCH($B1788,Setup!$A$47:$A$56,0)),IFERROR(INDEX(Setup!$C$60:$C$89,MATCH($B1788,Setup!$A$60:$A$89,0)),"")))</f>
        <v/>
      </c>
      <c r="E1788" s="42"/>
      <c r="F1788" s="42"/>
    </row>
    <row r="1789" customFormat="false" ht="15" hidden="false" customHeight="true" outlineLevel="0" collapsed="false">
      <c r="A1789" s="42"/>
      <c r="B1789" s="42"/>
      <c r="C1789" s="42"/>
      <c r="D1789" s="28" t="str">
        <f aca="false">IF(OR($B1789="",$C1789=""),"",$C1789*IFERROR(INDEX(Setup!$C$47:$C$56,MATCH($B1789,Setup!$A$47:$A$56,0)),IFERROR(INDEX(Setup!$C$60:$C$89,MATCH($B1789,Setup!$A$60:$A$89,0)),"")))</f>
        <v/>
      </c>
      <c r="E1789" s="42"/>
      <c r="F1789" s="42"/>
    </row>
    <row r="1790" customFormat="false" ht="15" hidden="false" customHeight="true" outlineLevel="0" collapsed="false">
      <c r="A1790" s="42"/>
      <c r="B1790" s="42"/>
      <c r="C1790" s="42"/>
      <c r="D1790" s="28" t="str">
        <f aca="false">IF(OR($B1790="",$C1790=""),"",$C1790*IFERROR(INDEX(Setup!$C$47:$C$56,MATCH($B1790,Setup!$A$47:$A$56,0)),IFERROR(INDEX(Setup!$C$60:$C$89,MATCH($B1790,Setup!$A$60:$A$89,0)),"")))</f>
        <v/>
      </c>
      <c r="E1790" s="42"/>
      <c r="F1790" s="42"/>
    </row>
    <row r="1791" customFormat="false" ht="15" hidden="false" customHeight="true" outlineLevel="0" collapsed="false">
      <c r="A1791" s="42"/>
      <c r="B1791" s="42"/>
      <c r="C1791" s="42"/>
      <c r="D1791" s="28" t="str">
        <f aca="false">IF(OR($B1791="",$C1791=""),"",$C1791*IFERROR(INDEX(Setup!$C$47:$C$56,MATCH($B1791,Setup!$A$47:$A$56,0)),IFERROR(INDEX(Setup!$C$60:$C$89,MATCH($B1791,Setup!$A$60:$A$89,0)),"")))</f>
        <v/>
      </c>
      <c r="E1791" s="42"/>
      <c r="F1791" s="42"/>
    </row>
    <row r="1792" customFormat="false" ht="15" hidden="false" customHeight="true" outlineLevel="0" collapsed="false">
      <c r="A1792" s="42"/>
      <c r="B1792" s="42"/>
      <c r="C1792" s="42"/>
      <c r="D1792" s="28" t="str">
        <f aca="false">IF(OR($B1792="",$C1792=""),"",$C1792*IFERROR(INDEX(Setup!$C$47:$C$56,MATCH($B1792,Setup!$A$47:$A$56,0)),IFERROR(INDEX(Setup!$C$60:$C$89,MATCH($B1792,Setup!$A$60:$A$89,0)),"")))</f>
        <v/>
      </c>
      <c r="E1792" s="42"/>
      <c r="F1792" s="42"/>
    </row>
    <row r="1793" customFormat="false" ht="15" hidden="false" customHeight="true" outlineLevel="0" collapsed="false">
      <c r="A1793" s="42"/>
      <c r="B1793" s="42"/>
      <c r="C1793" s="42"/>
      <c r="D1793" s="28" t="str">
        <f aca="false">IF(OR($B1793="",$C1793=""),"",$C1793*IFERROR(INDEX(Setup!$C$47:$C$56,MATCH($B1793,Setup!$A$47:$A$56,0)),IFERROR(INDEX(Setup!$C$60:$C$89,MATCH($B1793,Setup!$A$60:$A$89,0)),"")))</f>
        <v/>
      </c>
      <c r="E1793" s="42"/>
      <c r="F1793" s="42"/>
    </row>
    <row r="1794" customFormat="false" ht="15" hidden="false" customHeight="true" outlineLevel="0" collapsed="false">
      <c r="A1794" s="42"/>
      <c r="B1794" s="42"/>
      <c r="C1794" s="42"/>
      <c r="D1794" s="28" t="str">
        <f aca="false">IF(OR($B1794="",$C1794=""),"",$C1794*IFERROR(INDEX(Setup!$C$47:$C$56,MATCH($B1794,Setup!$A$47:$A$56,0)),IFERROR(INDEX(Setup!$C$60:$C$89,MATCH($B1794,Setup!$A$60:$A$89,0)),"")))</f>
        <v/>
      </c>
      <c r="E1794" s="42"/>
      <c r="F1794" s="42"/>
    </row>
    <row r="1795" customFormat="false" ht="15" hidden="false" customHeight="true" outlineLevel="0" collapsed="false">
      <c r="A1795" s="42"/>
      <c r="B1795" s="42"/>
      <c r="C1795" s="42"/>
      <c r="D1795" s="28" t="str">
        <f aca="false">IF(OR($B1795="",$C1795=""),"",$C1795*IFERROR(INDEX(Setup!$C$47:$C$56,MATCH($B1795,Setup!$A$47:$A$56,0)),IFERROR(INDEX(Setup!$C$60:$C$89,MATCH($B1795,Setup!$A$60:$A$89,0)),"")))</f>
        <v/>
      </c>
      <c r="E1795" s="42"/>
      <c r="F1795" s="42"/>
    </row>
    <row r="1796" customFormat="false" ht="15" hidden="false" customHeight="true" outlineLevel="0" collapsed="false">
      <c r="A1796" s="42"/>
      <c r="B1796" s="42"/>
      <c r="C1796" s="42"/>
      <c r="D1796" s="28" t="str">
        <f aca="false">IF(OR($B1796="",$C1796=""),"",$C1796*IFERROR(INDEX(Setup!$C$47:$C$56,MATCH($B1796,Setup!$A$47:$A$56,0)),IFERROR(INDEX(Setup!$C$60:$C$89,MATCH($B1796,Setup!$A$60:$A$89,0)),"")))</f>
        <v/>
      </c>
      <c r="E1796" s="42"/>
      <c r="F1796" s="42"/>
    </row>
    <row r="1797" customFormat="false" ht="15" hidden="false" customHeight="true" outlineLevel="0" collapsed="false">
      <c r="A1797" s="42"/>
      <c r="B1797" s="42"/>
      <c r="C1797" s="42"/>
      <c r="D1797" s="28" t="str">
        <f aca="false">IF(OR($B1797="",$C1797=""),"",$C1797*IFERROR(INDEX(Setup!$C$47:$C$56,MATCH($B1797,Setup!$A$47:$A$56,0)),IFERROR(INDEX(Setup!$C$60:$C$89,MATCH($B1797,Setup!$A$60:$A$89,0)),"")))</f>
        <v/>
      </c>
      <c r="E1797" s="42"/>
      <c r="F1797" s="42"/>
    </row>
    <row r="1798" customFormat="false" ht="15" hidden="false" customHeight="true" outlineLevel="0" collapsed="false">
      <c r="A1798" s="42"/>
      <c r="B1798" s="42"/>
      <c r="C1798" s="42"/>
      <c r="D1798" s="28" t="str">
        <f aca="false">IF(OR($B1798="",$C1798=""),"",$C1798*IFERROR(INDEX(Setup!$C$47:$C$56,MATCH($B1798,Setup!$A$47:$A$56,0)),IFERROR(INDEX(Setup!$C$60:$C$89,MATCH($B1798,Setup!$A$60:$A$89,0)),"")))</f>
        <v/>
      </c>
      <c r="E1798" s="42"/>
      <c r="F1798" s="42"/>
    </row>
    <row r="1799" customFormat="false" ht="15" hidden="false" customHeight="true" outlineLevel="0" collapsed="false">
      <c r="A1799" s="42"/>
      <c r="B1799" s="42"/>
      <c r="C1799" s="42"/>
      <c r="D1799" s="28" t="str">
        <f aca="false">IF(OR($B1799="",$C1799=""),"",$C1799*IFERROR(INDEX(Setup!$C$47:$C$56,MATCH($B1799,Setup!$A$47:$A$56,0)),IFERROR(INDEX(Setup!$C$60:$C$89,MATCH($B1799,Setup!$A$60:$A$89,0)),"")))</f>
        <v/>
      </c>
      <c r="E1799" s="42"/>
      <c r="F1799" s="42"/>
    </row>
    <row r="1800" customFormat="false" ht="15" hidden="false" customHeight="true" outlineLevel="0" collapsed="false">
      <c r="A1800" s="42"/>
      <c r="B1800" s="42"/>
      <c r="C1800" s="42"/>
      <c r="D1800" s="28" t="str">
        <f aca="false">IF(OR($B1800="",$C1800=""),"",$C1800*IFERROR(INDEX(Setup!$C$47:$C$56,MATCH($B1800,Setup!$A$47:$A$56,0)),IFERROR(INDEX(Setup!$C$60:$C$89,MATCH($B1800,Setup!$A$60:$A$89,0)),"")))</f>
        <v/>
      </c>
      <c r="E1800" s="42"/>
      <c r="F1800" s="42"/>
    </row>
    <row r="1801" customFormat="false" ht="15" hidden="false" customHeight="true" outlineLevel="0" collapsed="false">
      <c r="A1801" s="42"/>
      <c r="B1801" s="42"/>
      <c r="C1801" s="42"/>
      <c r="D1801" s="28" t="str">
        <f aca="false">IF(OR($B1801="",$C1801=""),"",$C1801*IFERROR(INDEX(Setup!$C$47:$C$56,MATCH($B1801,Setup!$A$47:$A$56,0)),IFERROR(INDEX(Setup!$C$60:$C$89,MATCH($B1801,Setup!$A$60:$A$89,0)),"")))</f>
        <v/>
      </c>
      <c r="E1801" s="42"/>
      <c r="F1801" s="42"/>
    </row>
    <row r="1802" customFormat="false" ht="15" hidden="false" customHeight="true" outlineLevel="0" collapsed="false">
      <c r="A1802" s="42"/>
      <c r="B1802" s="42"/>
      <c r="C1802" s="42"/>
      <c r="D1802" s="28" t="str">
        <f aca="false">IF(OR($B1802="",$C1802=""),"",$C1802*IFERROR(INDEX(Setup!$C$47:$C$56,MATCH($B1802,Setup!$A$47:$A$56,0)),IFERROR(INDEX(Setup!$C$60:$C$89,MATCH($B1802,Setup!$A$60:$A$89,0)),"")))</f>
        <v/>
      </c>
      <c r="E1802" s="42"/>
      <c r="F1802" s="42"/>
    </row>
    <row r="1803" customFormat="false" ht="15" hidden="false" customHeight="true" outlineLevel="0" collapsed="false">
      <c r="A1803" s="42"/>
      <c r="B1803" s="42"/>
      <c r="C1803" s="42"/>
      <c r="D1803" s="28" t="str">
        <f aca="false">IF(OR($B1803="",$C1803=""),"",$C1803*IFERROR(INDEX(Setup!$C$47:$C$56,MATCH($B1803,Setup!$A$47:$A$56,0)),IFERROR(INDEX(Setup!$C$60:$C$89,MATCH($B1803,Setup!$A$60:$A$89,0)),"")))</f>
        <v/>
      </c>
      <c r="E1803" s="42"/>
      <c r="F1803" s="42"/>
    </row>
    <row r="1804" customFormat="false" ht="15" hidden="false" customHeight="true" outlineLevel="0" collapsed="false">
      <c r="A1804" s="42"/>
      <c r="B1804" s="42"/>
      <c r="C1804" s="42"/>
      <c r="D1804" s="28" t="str">
        <f aca="false">IF(OR($B1804="",$C1804=""),"",$C1804*IFERROR(INDEX(Setup!$C$47:$C$56,MATCH($B1804,Setup!$A$47:$A$56,0)),IFERROR(INDEX(Setup!$C$60:$C$89,MATCH($B1804,Setup!$A$60:$A$89,0)),"")))</f>
        <v/>
      </c>
      <c r="E1804" s="42"/>
      <c r="F1804" s="42"/>
    </row>
    <row r="1805" customFormat="false" ht="15" hidden="false" customHeight="true" outlineLevel="0" collapsed="false">
      <c r="A1805" s="42"/>
      <c r="B1805" s="42"/>
      <c r="C1805" s="42"/>
      <c r="D1805" s="28" t="str">
        <f aca="false">IF(OR($B1805="",$C1805=""),"",$C1805*IFERROR(INDEX(Setup!$C$47:$C$56,MATCH($B1805,Setup!$A$47:$A$56,0)),IFERROR(INDEX(Setup!$C$60:$C$89,MATCH($B1805,Setup!$A$60:$A$89,0)),"")))</f>
        <v/>
      </c>
      <c r="E1805" s="42"/>
      <c r="F1805" s="42"/>
    </row>
    <row r="1806" customFormat="false" ht="15" hidden="false" customHeight="true" outlineLevel="0" collapsed="false">
      <c r="A1806" s="42"/>
      <c r="B1806" s="42"/>
      <c r="C1806" s="42"/>
      <c r="D1806" s="28" t="str">
        <f aca="false">IF(OR($B1806="",$C1806=""),"",$C1806*IFERROR(INDEX(Setup!$C$47:$C$56,MATCH($B1806,Setup!$A$47:$A$56,0)),IFERROR(INDEX(Setup!$C$60:$C$89,MATCH($B1806,Setup!$A$60:$A$89,0)),"")))</f>
        <v/>
      </c>
      <c r="E1806" s="42"/>
      <c r="F1806" s="42"/>
    </row>
    <row r="1807" customFormat="false" ht="15" hidden="false" customHeight="true" outlineLevel="0" collapsed="false">
      <c r="A1807" s="42"/>
      <c r="B1807" s="42"/>
      <c r="C1807" s="42"/>
      <c r="D1807" s="28" t="str">
        <f aca="false">IF(OR($B1807="",$C1807=""),"",$C1807*IFERROR(INDEX(Setup!$C$47:$C$56,MATCH($B1807,Setup!$A$47:$A$56,0)),IFERROR(INDEX(Setup!$C$60:$C$89,MATCH($B1807,Setup!$A$60:$A$89,0)),"")))</f>
        <v/>
      </c>
      <c r="E1807" s="42"/>
      <c r="F1807" s="42"/>
    </row>
    <row r="1808" customFormat="false" ht="15" hidden="false" customHeight="true" outlineLevel="0" collapsed="false">
      <c r="A1808" s="42"/>
      <c r="B1808" s="42"/>
      <c r="C1808" s="42"/>
      <c r="D1808" s="28" t="str">
        <f aca="false">IF(OR($B1808="",$C1808=""),"",$C1808*IFERROR(INDEX(Setup!$C$47:$C$56,MATCH($B1808,Setup!$A$47:$A$56,0)),IFERROR(INDEX(Setup!$C$60:$C$89,MATCH($B1808,Setup!$A$60:$A$89,0)),"")))</f>
        <v/>
      </c>
      <c r="E1808" s="42"/>
      <c r="F1808" s="42"/>
    </row>
    <row r="1809" customFormat="false" ht="15" hidden="false" customHeight="true" outlineLevel="0" collapsed="false">
      <c r="A1809" s="42"/>
      <c r="B1809" s="42"/>
      <c r="C1809" s="42"/>
      <c r="D1809" s="28" t="str">
        <f aca="false">IF(OR($B1809="",$C1809=""),"",$C1809*IFERROR(INDEX(Setup!$C$47:$C$56,MATCH($B1809,Setup!$A$47:$A$56,0)),IFERROR(INDEX(Setup!$C$60:$C$89,MATCH($B1809,Setup!$A$60:$A$89,0)),"")))</f>
        <v/>
      </c>
      <c r="E1809" s="42"/>
      <c r="F1809" s="42"/>
    </row>
    <row r="1810" customFormat="false" ht="15" hidden="false" customHeight="true" outlineLevel="0" collapsed="false">
      <c r="A1810" s="42"/>
      <c r="B1810" s="42"/>
      <c r="C1810" s="42"/>
      <c r="D1810" s="28" t="str">
        <f aca="false">IF(OR($B1810="",$C1810=""),"",$C1810*IFERROR(INDEX(Setup!$C$47:$C$56,MATCH($B1810,Setup!$A$47:$A$56,0)),IFERROR(INDEX(Setup!$C$60:$C$89,MATCH($B1810,Setup!$A$60:$A$89,0)),"")))</f>
        <v/>
      </c>
      <c r="E1810" s="42"/>
      <c r="F1810" s="42"/>
    </row>
    <row r="1811" customFormat="false" ht="15" hidden="false" customHeight="true" outlineLevel="0" collapsed="false">
      <c r="A1811" s="42"/>
      <c r="B1811" s="42"/>
      <c r="C1811" s="42"/>
      <c r="D1811" s="28" t="str">
        <f aca="false">IF(OR($B1811="",$C1811=""),"",$C1811*IFERROR(INDEX(Setup!$C$47:$C$56,MATCH($B1811,Setup!$A$47:$A$56,0)),IFERROR(INDEX(Setup!$C$60:$C$89,MATCH($B1811,Setup!$A$60:$A$89,0)),"")))</f>
        <v/>
      </c>
      <c r="E1811" s="42"/>
      <c r="F1811" s="42"/>
    </row>
    <row r="1812" customFormat="false" ht="15" hidden="false" customHeight="true" outlineLevel="0" collapsed="false">
      <c r="A1812" s="42"/>
      <c r="B1812" s="42"/>
      <c r="C1812" s="42"/>
      <c r="D1812" s="28" t="str">
        <f aca="false">IF(OR($B1812="",$C1812=""),"",$C1812*IFERROR(INDEX(Setup!$C$47:$C$56,MATCH($B1812,Setup!$A$47:$A$56,0)),IFERROR(INDEX(Setup!$C$60:$C$89,MATCH($B1812,Setup!$A$60:$A$89,0)),"")))</f>
        <v/>
      </c>
      <c r="E1812" s="42"/>
      <c r="F1812" s="42"/>
    </row>
    <row r="1813" customFormat="false" ht="15" hidden="false" customHeight="true" outlineLevel="0" collapsed="false">
      <c r="A1813" s="42"/>
      <c r="B1813" s="42"/>
      <c r="C1813" s="42"/>
      <c r="D1813" s="28" t="str">
        <f aca="false">IF(OR($B1813="",$C1813=""),"",$C1813*IFERROR(INDEX(Setup!$C$47:$C$56,MATCH($B1813,Setup!$A$47:$A$56,0)),IFERROR(INDEX(Setup!$C$60:$C$89,MATCH($B1813,Setup!$A$60:$A$89,0)),"")))</f>
        <v/>
      </c>
      <c r="E1813" s="42"/>
      <c r="F1813" s="42"/>
    </row>
    <row r="1814" customFormat="false" ht="15" hidden="false" customHeight="true" outlineLevel="0" collapsed="false">
      <c r="A1814" s="42"/>
      <c r="B1814" s="42"/>
      <c r="C1814" s="42"/>
      <c r="D1814" s="28" t="str">
        <f aca="false">IF(OR($B1814="",$C1814=""),"",$C1814*IFERROR(INDEX(Setup!$C$47:$C$56,MATCH($B1814,Setup!$A$47:$A$56,0)),IFERROR(INDEX(Setup!$C$60:$C$89,MATCH($B1814,Setup!$A$60:$A$89,0)),"")))</f>
        <v/>
      </c>
      <c r="E1814" s="42"/>
      <c r="F1814" s="42"/>
    </row>
    <row r="1815" customFormat="false" ht="15" hidden="false" customHeight="true" outlineLevel="0" collapsed="false">
      <c r="A1815" s="42"/>
      <c r="B1815" s="42"/>
      <c r="C1815" s="42"/>
      <c r="D1815" s="28" t="str">
        <f aca="false">IF(OR($B1815="",$C1815=""),"",$C1815*IFERROR(INDEX(Setup!$C$47:$C$56,MATCH($B1815,Setup!$A$47:$A$56,0)),IFERROR(INDEX(Setup!$C$60:$C$89,MATCH($B1815,Setup!$A$60:$A$89,0)),"")))</f>
        <v/>
      </c>
      <c r="E1815" s="42"/>
      <c r="F1815" s="42"/>
    </row>
    <row r="1816" customFormat="false" ht="15" hidden="false" customHeight="true" outlineLevel="0" collapsed="false">
      <c r="A1816" s="42"/>
      <c r="B1816" s="42"/>
      <c r="C1816" s="42"/>
      <c r="D1816" s="28" t="str">
        <f aca="false">IF(OR($B1816="",$C1816=""),"",$C1816*IFERROR(INDEX(Setup!$C$47:$C$56,MATCH($B1816,Setup!$A$47:$A$56,0)),IFERROR(INDEX(Setup!$C$60:$C$89,MATCH($B1816,Setup!$A$60:$A$89,0)),"")))</f>
        <v/>
      </c>
      <c r="E1816" s="42"/>
      <c r="F1816" s="42"/>
    </row>
    <row r="1817" customFormat="false" ht="15" hidden="false" customHeight="true" outlineLevel="0" collapsed="false">
      <c r="A1817" s="42"/>
      <c r="B1817" s="42"/>
      <c r="C1817" s="42"/>
      <c r="D1817" s="28" t="str">
        <f aca="false">IF(OR($B1817="",$C1817=""),"",$C1817*IFERROR(INDEX(Setup!$C$47:$C$56,MATCH($B1817,Setup!$A$47:$A$56,0)),IFERROR(INDEX(Setup!$C$60:$C$89,MATCH($B1817,Setup!$A$60:$A$89,0)),"")))</f>
        <v/>
      </c>
      <c r="E1817" s="42"/>
      <c r="F1817" s="42"/>
    </row>
    <row r="1818" customFormat="false" ht="15" hidden="false" customHeight="true" outlineLevel="0" collapsed="false">
      <c r="A1818" s="42"/>
      <c r="B1818" s="42"/>
      <c r="C1818" s="42"/>
      <c r="D1818" s="28" t="str">
        <f aca="false">IF(OR($B1818="",$C1818=""),"",$C1818*IFERROR(INDEX(Setup!$C$47:$C$56,MATCH($B1818,Setup!$A$47:$A$56,0)),IFERROR(INDEX(Setup!$C$60:$C$89,MATCH($B1818,Setup!$A$60:$A$89,0)),"")))</f>
        <v/>
      </c>
      <c r="E1818" s="42"/>
      <c r="F1818" s="42"/>
    </row>
    <row r="1819" customFormat="false" ht="15" hidden="false" customHeight="true" outlineLevel="0" collapsed="false">
      <c r="A1819" s="42"/>
      <c r="B1819" s="42"/>
      <c r="C1819" s="42"/>
      <c r="D1819" s="28" t="str">
        <f aca="false">IF(OR($B1819="",$C1819=""),"",$C1819*IFERROR(INDEX(Setup!$C$47:$C$56,MATCH($B1819,Setup!$A$47:$A$56,0)),IFERROR(INDEX(Setup!$C$60:$C$89,MATCH($B1819,Setup!$A$60:$A$89,0)),"")))</f>
        <v/>
      </c>
      <c r="E1819" s="42"/>
      <c r="F1819" s="42"/>
    </row>
    <row r="1820" customFormat="false" ht="15" hidden="false" customHeight="true" outlineLevel="0" collapsed="false">
      <c r="A1820" s="42"/>
      <c r="B1820" s="42"/>
      <c r="C1820" s="42"/>
      <c r="D1820" s="28" t="str">
        <f aca="false">IF(OR($B1820="",$C1820=""),"",$C1820*IFERROR(INDEX(Setup!$C$47:$C$56,MATCH($B1820,Setup!$A$47:$A$56,0)),IFERROR(INDEX(Setup!$C$60:$C$89,MATCH($B1820,Setup!$A$60:$A$89,0)),"")))</f>
        <v/>
      </c>
      <c r="E1820" s="42"/>
      <c r="F1820" s="42"/>
    </row>
    <row r="1821" customFormat="false" ht="15" hidden="false" customHeight="true" outlineLevel="0" collapsed="false">
      <c r="A1821" s="42"/>
      <c r="B1821" s="42"/>
      <c r="C1821" s="42"/>
      <c r="D1821" s="28" t="str">
        <f aca="false">IF(OR($B1821="",$C1821=""),"",$C1821*IFERROR(INDEX(Setup!$C$47:$C$56,MATCH($B1821,Setup!$A$47:$A$56,0)),IFERROR(INDEX(Setup!$C$60:$C$89,MATCH($B1821,Setup!$A$60:$A$89,0)),"")))</f>
        <v/>
      </c>
      <c r="E1821" s="42"/>
      <c r="F1821" s="42"/>
    </row>
    <row r="1822" customFormat="false" ht="15" hidden="false" customHeight="true" outlineLevel="0" collapsed="false">
      <c r="A1822" s="42"/>
      <c r="B1822" s="42"/>
      <c r="C1822" s="42"/>
      <c r="D1822" s="28" t="str">
        <f aca="false">IF(OR($B1822="",$C1822=""),"",$C1822*IFERROR(INDEX(Setup!$C$47:$C$56,MATCH($B1822,Setup!$A$47:$A$56,0)),IFERROR(INDEX(Setup!$C$60:$C$89,MATCH($B1822,Setup!$A$60:$A$89,0)),"")))</f>
        <v/>
      </c>
      <c r="E1822" s="42"/>
      <c r="F1822" s="42"/>
    </row>
    <row r="1823" customFormat="false" ht="15" hidden="false" customHeight="true" outlineLevel="0" collapsed="false">
      <c r="A1823" s="42"/>
      <c r="B1823" s="42"/>
      <c r="C1823" s="42"/>
      <c r="D1823" s="28" t="str">
        <f aca="false">IF(OR($B1823="",$C1823=""),"",$C1823*IFERROR(INDEX(Setup!$C$47:$C$56,MATCH($B1823,Setup!$A$47:$A$56,0)),IFERROR(INDEX(Setup!$C$60:$C$89,MATCH($B1823,Setup!$A$60:$A$89,0)),"")))</f>
        <v/>
      </c>
      <c r="E1823" s="42"/>
      <c r="F1823" s="42"/>
    </row>
    <row r="1824" customFormat="false" ht="15" hidden="false" customHeight="true" outlineLevel="0" collapsed="false">
      <c r="A1824" s="42"/>
      <c r="B1824" s="42"/>
      <c r="C1824" s="42"/>
      <c r="D1824" s="28" t="str">
        <f aca="false">IF(OR($B1824="",$C1824=""),"",$C1824*IFERROR(INDEX(Setup!$C$47:$C$56,MATCH($B1824,Setup!$A$47:$A$56,0)),IFERROR(INDEX(Setup!$C$60:$C$89,MATCH($B1824,Setup!$A$60:$A$89,0)),"")))</f>
        <v/>
      </c>
      <c r="E1824" s="42"/>
      <c r="F1824" s="42"/>
    </row>
    <row r="1825" customFormat="false" ht="15" hidden="false" customHeight="true" outlineLevel="0" collapsed="false">
      <c r="A1825" s="42"/>
      <c r="B1825" s="42"/>
      <c r="C1825" s="42"/>
      <c r="D1825" s="28" t="str">
        <f aca="false">IF(OR($B1825="",$C1825=""),"",$C1825*IFERROR(INDEX(Setup!$C$47:$C$56,MATCH($B1825,Setup!$A$47:$A$56,0)),IFERROR(INDEX(Setup!$C$60:$C$89,MATCH($B1825,Setup!$A$60:$A$89,0)),"")))</f>
        <v/>
      </c>
      <c r="E1825" s="42"/>
      <c r="F1825" s="42"/>
    </row>
    <row r="1826" customFormat="false" ht="15" hidden="false" customHeight="true" outlineLevel="0" collapsed="false">
      <c r="A1826" s="42"/>
      <c r="B1826" s="42"/>
      <c r="C1826" s="42"/>
      <c r="D1826" s="28" t="str">
        <f aca="false">IF(OR($B1826="",$C1826=""),"",$C1826*IFERROR(INDEX(Setup!$C$47:$C$56,MATCH($B1826,Setup!$A$47:$A$56,0)),IFERROR(INDEX(Setup!$C$60:$C$89,MATCH($B1826,Setup!$A$60:$A$89,0)),"")))</f>
        <v/>
      </c>
      <c r="E1826" s="42"/>
      <c r="F1826" s="42"/>
    </row>
    <row r="1827" customFormat="false" ht="15" hidden="false" customHeight="true" outlineLevel="0" collapsed="false">
      <c r="A1827" s="42"/>
      <c r="B1827" s="42"/>
      <c r="C1827" s="42"/>
      <c r="D1827" s="28" t="str">
        <f aca="false">IF(OR($B1827="",$C1827=""),"",$C1827*IFERROR(INDEX(Setup!$C$47:$C$56,MATCH($B1827,Setup!$A$47:$A$56,0)),IFERROR(INDEX(Setup!$C$60:$C$89,MATCH($B1827,Setup!$A$60:$A$89,0)),"")))</f>
        <v/>
      </c>
      <c r="E1827" s="42"/>
      <c r="F1827" s="42"/>
    </row>
    <row r="1828" customFormat="false" ht="15" hidden="false" customHeight="true" outlineLevel="0" collapsed="false">
      <c r="A1828" s="42"/>
      <c r="B1828" s="42"/>
      <c r="C1828" s="42"/>
      <c r="D1828" s="28" t="str">
        <f aca="false">IF(OR($B1828="",$C1828=""),"",$C1828*IFERROR(INDEX(Setup!$C$47:$C$56,MATCH($B1828,Setup!$A$47:$A$56,0)),IFERROR(INDEX(Setup!$C$60:$C$89,MATCH($B1828,Setup!$A$60:$A$89,0)),"")))</f>
        <v/>
      </c>
      <c r="E1828" s="42"/>
      <c r="F1828" s="42"/>
    </row>
    <row r="1829" customFormat="false" ht="15" hidden="false" customHeight="true" outlineLevel="0" collapsed="false">
      <c r="A1829" s="42"/>
      <c r="B1829" s="42"/>
      <c r="C1829" s="42"/>
      <c r="D1829" s="28" t="str">
        <f aca="false">IF(OR($B1829="",$C1829=""),"",$C1829*IFERROR(INDEX(Setup!$C$47:$C$56,MATCH($B1829,Setup!$A$47:$A$56,0)),IFERROR(INDEX(Setup!$C$60:$C$89,MATCH($B1829,Setup!$A$60:$A$89,0)),"")))</f>
        <v/>
      </c>
      <c r="E1829" s="42"/>
      <c r="F1829" s="42"/>
    </row>
    <row r="1830" customFormat="false" ht="15" hidden="false" customHeight="true" outlineLevel="0" collapsed="false">
      <c r="A1830" s="42"/>
      <c r="B1830" s="42"/>
      <c r="C1830" s="42"/>
      <c r="D1830" s="28" t="str">
        <f aca="false">IF(OR($B1830="",$C1830=""),"",$C1830*IFERROR(INDEX(Setup!$C$47:$C$56,MATCH($B1830,Setup!$A$47:$A$56,0)),IFERROR(INDEX(Setup!$C$60:$C$89,MATCH($B1830,Setup!$A$60:$A$89,0)),"")))</f>
        <v/>
      </c>
      <c r="E1830" s="42"/>
      <c r="F1830" s="42"/>
    </row>
    <row r="1831" customFormat="false" ht="15" hidden="false" customHeight="true" outlineLevel="0" collapsed="false">
      <c r="A1831" s="42"/>
      <c r="B1831" s="42"/>
      <c r="C1831" s="42"/>
      <c r="D1831" s="28" t="str">
        <f aca="false">IF(OR($B1831="",$C1831=""),"",$C1831*IFERROR(INDEX(Setup!$C$47:$C$56,MATCH($B1831,Setup!$A$47:$A$56,0)),IFERROR(INDEX(Setup!$C$60:$C$89,MATCH($B1831,Setup!$A$60:$A$89,0)),"")))</f>
        <v/>
      </c>
      <c r="E1831" s="42"/>
      <c r="F1831" s="42"/>
    </row>
    <row r="1832" customFormat="false" ht="15" hidden="false" customHeight="true" outlineLevel="0" collapsed="false">
      <c r="A1832" s="42"/>
      <c r="B1832" s="42"/>
      <c r="C1832" s="42"/>
      <c r="D1832" s="28" t="str">
        <f aca="false">IF(OR($B1832="",$C1832=""),"",$C1832*IFERROR(INDEX(Setup!$C$47:$C$56,MATCH($B1832,Setup!$A$47:$A$56,0)),IFERROR(INDEX(Setup!$C$60:$C$89,MATCH($B1832,Setup!$A$60:$A$89,0)),"")))</f>
        <v/>
      </c>
      <c r="E1832" s="42"/>
      <c r="F1832" s="42"/>
    </row>
    <row r="1833" customFormat="false" ht="15" hidden="false" customHeight="true" outlineLevel="0" collapsed="false">
      <c r="A1833" s="42"/>
      <c r="B1833" s="42"/>
      <c r="C1833" s="42"/>
      <c r="D1833" s="28" t="str">
        <f aca="false">IF(OR($B1833="",$C1833=""),"",$C1833*IFERROR(INDEX(Setup!$C$47:$C$56,MATCH($B1833,Setup!$A$47:$A$56,0)),IFERROR(INDEX(Setup!$C$60:$C$89,MATCH($B1833,Setup!$A$60:$A$89,0)),"")))</f>
        <v/>
      </c>
      <c r="E1833" s="42"/>
      <c r="F1833" s="42"/>
    </row>
    <row r="1834" customFormat="false" ht="15" hidden="false" customHeight="true" outlineLevel="0" collapsed="false">
      <c r="A1834" s="42"/>
      <c r="B1834" s="42"/>
      <c r="C1834" s="42"/>
      <c r="D1834" s="28" t="str">
        <f aca="false">IF(OR($B1834="",$C1834=""),"",$C1834*IFERROR(INDEX(Setup!$C$47:$C$56,MATCH($B1834,Setup!$A$47:$A$56,0)),IFERROR(INDEX(Setup!$C$60:$C$89,MATCH($B1834,Setup!$A$60:$A$89,0)),"")))</f>
        <v/>
      </c>
      <c r="E1834" s="42"/>
      <c r="F1834" s="42"/>
    </row>
    <row r="1835" customFormat="false" ht="15" hidden="false" customHeight="true" outlineLevel="0" collapsed="false">
      <c r="A1835" s="42"/>
      <c r="B1835" s="42"/>
      <c r="C1835" s="42"/>
      <c r="D1835" s="28" t="str">
        <f aca="false">IF(OR($B1835="",$C1835=""),"",$C1835*IFERROR(INDEX(Setup!$C$47:$C$56,MATCH($B1835,Setup!$A$47:$A$56,0)),IFERROR(INDEX(Setup!$C$60:$C$89,MATCH($B1835,Setup!$A$60:$A$89,0)),"")))</f>
        <v/>
      </c>
      <c r="E1835" s="42"/>
      <c r="F1835" s="42"/>
    </row>
    <row r="1836" customFormat="false" ht="15" hidden="false" customHeight="true" outlineLevel="0" collapsed="false">
      <c r="A1836" s="42"/>
      <c r="B1836" s="42"/>
      <c r="C1836" s="42"/>
      <c r="D1836" s="28" t="str">
        <f aca="false">IF(OR($B1836="",$C1836=""),"",$C1836*IFERROR(INDEX(Setup!$C$47:$C$56,MATCH($B1836,Setup!$A$47:$A$56,0)),IFERROR(INDEX(Setup!$C$60:$C$89,MATCH($B1836,Setup!$A$60:$A$89,0)),"")))</f>
        <v/>
      </c>
      <c r="E1836" s="42"/>
      <c r="F1836" s="42"/>
    </row>
    <row r="1837" customFormat="false" ht="15" hidden="false" customHeight="true" outlineLevel="0" collapsed="false">
      <c r="A1837" s="42"/>
      <c r="B1837" s="42"/>
      <c r="C1837" s="42"/>
      <c r="D1837" s="28" t="str">
        <f aca="false">IF(OR($B1837="",$C1837=""),"",$C1837*IFERROR(INDEX(Setup!$C$47:$C$56,MATCH($B1837,Setup!$A$47:$A$56,0)),IFERROR(INDEX(Setup!$C$60:$C$89,MATCH($B1837,Setup!$A$60:$A$89,0)),"")))</f>
        <v/>
      </c>
      <c r="E1837" s="42"/>
      <c r="F1837" s="42"/>
    </row>
    <row r="1838" customFormat="false" ht="15" hidden="false" customHeight="true" outlineLevel="0" collapsed="false">
      <c r="A1838" s="42"/>
      <c r="B1838" s="42"/>
      <c r="C1838" s="42"/>
      <c r="D1838" s="28" t="str">
        <f aca="false">IF(OR($B1838="",$C1838=""),"",$C1838*IFERROR(INDEX(Setup!$C$47:$C$56,MATCH($B1838,Setup!$A$47:$A$56,0)),IFERROR(INDEX(Setup!$C$60:$C$89,MATCH($B1838,Setup!$A$60:$A$89,0)),"")))</f>
        <v/>
      </c>
      <c r="E1838" s="42"/>
      <c r="F1838" s="42"/>
    </row>
    <row r="1839" customFormat="false" ht="15" hidden="false" customHeight="true" outlineLevel="0" collapsed="false">
      <c r="A1839" s="42"/>
      <c r="B1839" s="42"/>
      <c r="C1839" s="42"/>
      <c r="D1839" s="28" t="str">
        <f aca="false">IF(OR($B1839="",$C1839=""),"",$C1839*IFERROR(INDEX(Setup!$C$47:$C$56,MATCH($B1839,Setup!$A$47:$A$56,0)),IFERROR(INDEX(Setup!$C$60:$C$89,MATCH($B1839,Setup!$A$60:$A$89,0)),"")))</f>
        <v/>
      </c>
      <c r="E1839" s="42"/>
      <c r="F1839" s="42"/>
    </row>
    <row r="1840" customFormat="false" ht="15" hidden="false" customHeight="true" outlineLevel="0" collapsed="false">
      <c r="A1840" s="42"/>
      <c r="B1840" s="42"/>
      <c r="C1840" s="42"/>
      <c r="D1840" s="28" t="str">
        <f aca="false">IF(OR($B1840="",$C1840=""),"",$C1840*IFERROR(INDEX(Setup!$C$47:$C$56,MATCH($B1840,Setup!$A$47:$A$56,0)),IFERROR(INDEX(Setup!$C$60:$C$89,MATCH($B1840,Setup!$A$60:$A$89,0)),"")))</f>
        <v/>
      </c>
      <c r="E1840" s="42"/>
      <c r="F1840" s="42"/>
    </row>
    <row r="1841" customFormat="false" ht="15" hidden="false" customHeight="true" outlineLevel="0" collapsed="false">
      <c r="A1841" s="42"/>
      <c r="B1841" s="42"/>
      <c r="C1841" s="42"/>
      <c r="D1841" s="28" t="str">
        <f aca="false">IF(OR($B1841="",$C1841=""),"",$C1841*IFERROR(INDEX(Setup!$C$47:$C$56,MATCH($B1841,Setup!$A$47:$A$56,0)),IFERROR(INDEX(Setup!$C$60:$C$89,MATCH($B1841,Setup!$A$60:$A$89,0)),"")))</f>
        <v/>
      </c>
      <c r="E1841" s="42"/>
      <c r="F1841" s="42"/>
    </row>
    <row r="1842" customFormat="false" ht="15" hidden="false" customHeight="true" outlineLevel="0" collapsed="false">
      <c r="A1842" s="42"/>
      <c r="B1842" s="42"/>
      <c r="C1842" s="42"/>
      <c r="D1842" s="28" t="str">
        <f aca="false">IF(OR($B1842="",$C1842=""),"",$C1842*IFERROR(INDEX(Setup!$C$47:$C$56,MATCH($B1842,Setup!$A$47:$A$56,0)),IFERROR(INDEX(Setup!$C$60:$C$89,MATCH($B1842,Setup!$A$60:$A$89,0)),"")))</f>
        <v/>
      </c>
      <c r="E1842" s="42"/>
      <c r="F1842" s="42"/>
    </row>
    <row r="1843" customFormat="false" ht="15" hidden="false" customHeight="true" outlineLevel="0" collapsed="false">
      <c r="A1843" s="42"/>
      <c r="B1843" s="42"/>
      <c r="C1843" s="42"/>
      <c r="D1843" s="28" t="str">
        <f aca="false">IF(OR($B1843="",$C1843=""),"",$C1843*IFERROR(INDEX(Setup!$C$47:$C$56,MATCH($B1843,Setup!$A$47:$A$56,0)),IFERROR(INDEX(Setup!$C$60:$C$89,MATCH($B1843,Setup!$A$60:$A$89,0)),"")))</f>
        <v/>
      </c>
      <c r="E1843" s="42"/>
      <c r="F1843" s="42"/>
    </row>
    <row r="1844" customFormat="false" ht="15" hidden="false" customHeight="true" outlineLevel="0" collapsed="false">
      <c r="A1844" s="42"/>
      <c r="B1844" s="42"/>
      <c r="C1844" s="42"/>
      <c r="D1844" s="28" t="str">
        <f aca="false">IF(OR($B1844="",$C1844=""),"",$C1844*IFERROR(INDEX(Setup!$C$47:$C$56,MATCH($B1844,Setup!$A$47:$A$56,0)),IFERROR(INDEX(Setup!$C$60:$C$89,MATCH($B1844,Setup!$A$60:$A$89,0)),"")))</f>
        <v/>
      </c>
      <c r="E1844" s="42"/>
      <c r="F1844" s="42"/>
    </row>
    <row r="1845" customFormat="false" ht="15" hidden="false" customHeight="true" outlineLevel="0" collapsed="false">
      <c r="A1845" s="42"/>
      <c r="B1845" s="42"/>
      <c r="C1845" s="42"/>
      <c r="D1845" s="28" t="str">
        <f aca="false">IF(OR($B1845="",$C1845=""),"",$C1845*IFERROR(INDEX(Setup!$C$47:$C$56,MATCH($B1845,Setup!$A$47:$A$56,0)),IFERROR(INDEX(Setup!$C$60:$C$89,MATCH($B1845,Setup!$A$60:$A$89,0)),"")))</f>
        <v/>
      </c>
      <c r="E1845" s="42"/>
      <c r="F1845" s="42"/>
    </row>
    <row r="1846" customFormat="false" ht="15" hidden="false" customHeight="true" outlineLevel="0" collapsed="false">
      <c r="A1846" s="42"/>
      <c r="B1846" s="42"/>
      <c r="C1846" s="42"/>
      <c r="D1846" s="28" t="str">
        <f aca="false">IF(OR($B1846="",$C1846=""),"",$C1846*IFERROR(INDEX(Setup!$C$47:$C$56,MATCH($B1846,Setup!$A$47:$A$56,0)),IFERROR(INDEX(Setup!$C$60:$C$89,MATCH($B1846,Setup!$A$60:$A$89,0)),"")))</f>
        <v/>
      </c>
      <c r="E1846" s="42"/>
      <c r="F1846" s="42"/>
    </row>
    <row r="1847" customFormat="false" ht="15" hidden="false" customHeight="true" outlineLevel="0" collapsed="false">
      <c r="A1847" s="42"/>
      <c r="B1847" s="42"/>
      <c r="C1847" s="42"/>
      <c r="D1847" s="28" t="str">
        <f aca="false">IF(OR($B1847="",$C1847=""),"",$C1847*IFERROR(INDEX(Setup!$C$47:$C$56,MATCH($B1847,Setup!$A$47:$A$56,0)),IFERROR(INDEX(Setup!$C$60:$C$89,MATCH($B1847,Setup!$A$60:$A$89,0)),"")))</f>
        <v/>
      </c>
      <c r="E1847" s="42"/>
      <c r="F1847" s="42"/>
    </row>
    <row r="1848" customFormat="false" ht="15" hidden="false" customHeight="true" outlineLevel="0" collapsed="false">
      <c r="A1848" s="42"/>
      <c r="B1848" s="42"/>
      <c r="C1848" s="42"/>
      <c r="D1848" s="28" t="str">
        <f aca="false">IF(OR($B1848="",$C1848=""),"",$C1848*IFERROR(INDEX(Setup!$C$47:$C$56,MATCH($B1848,Setup!$A$47:$A$56,0)),IFERROR(INDEX(Setup!$C$60:$C$89,MATCH($B1848,Setup!$A$60:$A$89,0)),"")))</f>
        <v/>
      </c>
      <c r="E1848" s="42"/>
      <c r="F1848" s="42"/>
    </row>
    <row r="1849" customFormat="false" ht="15" hidden="false" customHeight="true" outlineLevel="0" collapsed="false">
      <c r="A1849" s="42"/>
      <c r="B1849" s="42"/>
      <c r="C1849" s="42"/>
      <c r="D1849" s="28" t="str">
        <f aca="false">IF(OR($B1849="",$C1849=""),"",$C1849*IFERROR(INDEX(Setup!$C$47:$C$56,MATCH($B1849,Setup!$A$47:$A$56,0)),IFERROR(INDEX(Setup!$C$60:$C$89,MATCH($B1849,Setup!$A$60:$A$89,0)),"")))</f>
        <v/>
      </c>
      <c r="E1849" s="42"/>
      <c r="F1849" s="42"/>
    </row>
    <row r="1850" customFormat="false" ht="15" hidden="false" customHeight="true" outlineLevel="0" collapsed="false">
      <c r="A1850" s="42"/>
      <c r="B1850" s="42"/>
      <c r="C1850" s="42"/>
      <c r="D1850" s="28" t="str">
        <f aca="false">IF(OR($B1850="",$C1850=""),"",$C1850*IFERROR(INDEX(Setup!$C$47:$C$56,MATCH($B1850,Setup!$A$47:$A$56,0)),IFERROR(INDEX(Setup!$C$60:$C$89,MATCH($B1850,Setup!$A$60:$A$89,0)),"")))</f>
        <v/>
      </c>
      <c r="E1850" s="42"/>
      <c r="F1850" s="42"/>
    </row>
    <row r="1851" customFormat="false" ht="15" hidden="false" customHeight="true" outlineLevel="0" collapsed="false">
      <c r="A1851" s="42"/>
      <c r="B1851" s="42"/>
      <c r="C1851" s="42"/>
      <c r="D1851" s="28" t="str">
        <f aca="false">IF(OR($B1851="",$C1851=""),"",$C1851*IFERROR(INDEX(Setup!$C$47:$C$56,MATCH($B1851,Setup!$A$47:$A$56,0)),IFERROR(INDEX(Setup!$C$60:$C$89,MATCH($B1851,Setup!$A$60:$A$89,0)),"")))</f>
        <v/>
      </c>
      <c r="E1851" s="42"/>
      <c r="F1851" s="42"/>
    </row>
    <row r="1852" customFormat="false" ht="15" hidden="false" customHeight="true" outlineLevel="0" collapsed="false">
      <c r="A1852" s="42"/>
      <c r="B1852" s="42"/>
      <c r="C1852" s="42"/>
      <c r="D1852" s="28" t="str">
        <f aca="false">IF(OR($B1852="",$C1852=""),"",$C1852*IFERROR(INDEX(Setup!$C$47:$C$56,MATCH($B1852,Setup!$A$47:$A$56,0)),IFERROR(INDEX(Setup!$C$60:$C$89,MATCH($B1852,Setup!$A$60:$A$89,0)),"")))</f>
        <v/>
      </c>
      <c r="E1852" s="42"/>
      <c r="F1852" s="42"/>
    </row>
    <row r="1853" customFormat="false" ht="15" hidden="false" customHeight="true" outlineLevel="0" collapsed="false">
      <c r="A1853" s="42"/>
      <c r="B1853" s="42"/>
      <c r="C1853" s="42"/>
      <c r="D1853" s="28" t="str">
        <f aca="false">IF(OR($B1853="",$C1853=""),"",$C1853*IFERROR(INDEX(Setup!$C$47:$C$56,MATCH($B1853,Setup!$A$47:$A$56,0)),IFERROR(INDEX(Setup!$C$60:$C$89,MATCH($B1853,Setup!$A$60:$A$89,0)),"")))</f>
        <v/>
      </c>
      <c r="E1853" s="42"/>
      <c r="F1853" s="42"/>
    </row>
    <row r="1854" customFormat="false" ht="15" hidden="false" customHeight="true" outlineLevel="0" collapsed="false">
      <c r="A1854" s="42"/>
      <c r="B1854" s="42"/>
      <c r="C1854" s="42"/>
      <c r="D1854" s="28" t="str">
        <f aca="false">IF(OR($B1854="",$C1854=""),"",$C1854*IFERROR(INDEX(Setup!$C$47:$C$56,MATCH($B1854,Setup!$A$47:$A$56,0)),IFERROR(INDEX(Setup!$C$60:$C$89,MATCH($B1854,Setup!$A$60:$A$89,0)),"")))</f>
        <v/>
      </c>
      <c r="E1854" s="42"/>
      <c r="F1854" s="42"/>
    </row>
    <row r="1855" customFormat="false" ht="15" hidden="false" customHeight="true" outlineLevel="0" collapsed="false">
      <c r="A1855" s="42"/>
      <c r="B1855" s="42"/>
      <c r="C1855" s="42"/>
      <c r="D1855" s="28" t="str">
        <f aca="false">IF(OR($B1855="",$C1855=""),"",$C1855*IFERROR(INDEX(Setup!$C$47:$C$56,MATCH($B1855,Setup!$A$47:$A$56,0)),IFERROR(INDEX(Setup!$C$60:$C$89,MATCH($B1855,Setup!$A$60:$A$89,0)),"")))</f>
        <v/>
      </c>
      <c r="E1855" s="42"/>
      <c r="F1855" s="42"/>
    </row>
    <row r="1856" customFormat="false" ht="15" hidden="false" customHeight="true" outlineLevel="0" collapsed="false">
      <c r="A1856" s="42"/>
      <c r="B1856" s="42"/>
      <c r="C1856" s="42"/>
      <c r="D1856" s="28" t="str">
        <f aca="false">IF(OR($B1856="",$C1856=""),"",$C1856*IFERROR(INDEX(Setup!$C$47:$C$56,MATCH($B1856,Setup!$A$47:$A$56,0)),IFERROR(INDEX(Setup!$C$60:$C$89,MATCH($B1856,Setup!$A$60:$A$89,0)),"")))</f>
        <v/>
      </c>
      <c r="E1856" s="42"/>
      <c r="F1856" s="42"/>
    </row>
    <row r="1857" customFormat="false" ht="15" hidden="false" customHeight="true" outlineLevel="0" collapsed="false">
      <c r="A1857" s="42"/>
      <c r="B1857" s="42"/>
      <c r="C1857" s="42"/>
      <c r="D1857" s="28" t="str">
        <f aca="false">IF(OR($B1857="",$C1857=""),"",$C1857*IFERROR(INDEX(Setup!$C$47:$C$56,MATCH($B1857,Setup!$A$47:$A$56,0)),IFERROR(INDEX(Setup!$C$60:$C$89,MATCH($B1857,Setup!$A$60:$A$89,0)),"")))</f>
        <v/>
      </c>
      <c r="E1857" s="42"/>
      <c r="F1857" s="42"/>
    </row>
    <row r="1858" customFormat="false" ht="15" hidden="false" customHeight="true" outlineLevel="0" collapsed="false">
      <c r="A1858" s="42"/>
      <c r="B1858" s="42"/>
      <c r="C1858" s="42"/>
      <c r="D1858" s="28" t="str">
        <f aca="false">IF(OR($B1858="",$C1858=""),"",$C1858*IFERROR(INDEX(Setup!$C$47:$C$56,MATCH($B1858,Setup!$A$47:$A$56,0)),IFERROR(INDEX(Setup!$C$60:$C$89,MATCH($B1858,Setup!$A$60:$A$89,0)),"")))</f>
        <v/>
      </c>
      <c r="E1858" s="42"/>
      <c r="F1858" s="42"/>
    </row>
    <row r="1859" customFormat="false" ht="15" hidden="false" customHeight="true" outlineLevel="0" collapsed="false">
      <c r="A1859" s="42"/>
      <c r="B1859" s="42"/>
      <c r="C1859" s="42"/>
      <c r="D1859" s="28" t="str">
        <f aca="false">IF(OR($B1859="",$C1859=""),"",$C1859*IFERROR(INDEX(Setup!$C$47:$C$56,MATCH($B1859,Setup!$A$47:$A$56,0)),IFERROR(INDEX(Setup!$C$60:$C$89,MATCH($B1859,Setup!$A$60:$A$89,0)),"")))</f>
        <v/>
      </c>
      <c r="E1859" s="42"/>
      <c r="F1859" s="42"/>
    </row>
    <row r="1860" customFormat="false" ht="15" hidden="false" customHeight="true" outlineLevel="0" collapsed="false">
      <c r="A1860" s="42"/>
      <c r="B1860" s="42"/>
      <c r="C1860" s="42"/>
      <c r="D1860" s="28" t="str">
        <f aca="false">IF(OR($B1860="",$C1860=""),"",$C1860*IFERROR(INDEX(Setup!$C$47:$C$56,MATCH($B1860,Setup!$A$47:$A$56,0)),IFERROR(INDEX(Setup!$C$60:$C$89,MATCH($B1860,Setup!$A$60:$A$89,0)),"")))</f>
        <v/>
      </c>
      <c r="E1860" s="42"/>
      <c r="F1860" s="42"/>
    </row>
    <row r="1861" customFormat="false" ht="15" hidden="false" customHeight="true" outlineLevel="0" collapsed="false">
      <c r="A1861" s="42"/>
      <c r="B1861" s="42"/>
      <c r="C1861" s="42"/>
      <c r="D1861" s="28" t="str">
        <f aca="false">IF(OR($B1861="",$C1861=""),"",$C1861*IFERROR(INDEX(Setup!$C$47:$C$56,MATCH($B1861,Setup!$A$47:$A$56,0)),IFERROR(INDEX(Setup!$C$60:$C$89,MATCH($B1861,Setup!$A$60:$A$89,0)),"")))</f>
        <v/>
      </c>
      <c r="E1861" s="42"/>
      <c r="F1861" s="42"/>
    </row>
    <row r="1862" customFormat="false" ht="15" hidden="false" customHeight="true" outlineLevel="0" collapsed="false">
      <c r="A1862" s="42"/>
      <c r="B1862" s="42"/>
      <c r="C1862" s="42"/>
      <c r="D1862" s="28" t="str">
        <f aca="false">IF(OR($B1862="",$C1862=""),"",$C1862*IFERROR(INDEX(Setup!$C$47:$C$56,MATCH($B1862,Setup!$A$47:$A$56,0)),IFERROR(INDEX(Setup!$C$60:$C$89,MATCH($B1862,Setup!$A$60:$A$89,0)),"")))</f>
        <v/>
      </c>
      <c r="E1862" s="42"/>
      <c r="F1862" s="42"/>
    </row>
    <row r="1863" customFormat="false" ht="15" hidden="false" customHeight="true" outlineLevel="0" collapsed="false">
      <c r="A1863" s="42"/>
      <c r="B1863" s="42"/>
      <c r="C1863" s="42"/>
      <c r="D1863" s="28" t="str">
        <f aca="false">IF(OR($B1863="",$C1863=""),"",$C1863*IFERROR(INDEX(Setup!$C$47:$C$56,MATCH($B1863,Setup!$A$47:$A$56,0)),IFERROR(INDEX(Setup!$C$60:$C$89,MATCH($B1863,Setup!$A$60:$A$89,0)),"")))</f>
        <v/>
      </c>
      <c r="E1863" s="42"/>
      <c r="F1863" s="42"/>
    </row>
    <row r="1864" customFormat="false" ht="15" hidden="false" customHeight="true" outlineLevel="0" collapsed="false">
      <c r="A1864" s="42"/>
      <c r="B1864" s="42"/>
      <c r="C1864" s="42"/>
      <c r="D1864" s="28" t="str">
        <f aca="false">IF(OR($B1864="",$C1864=""),"",$C1864*IFERROR(INDEX(Setup!$C$47:$C$56,MATCH($B1864,Setup!$A$47:$A$56,0)),IFERROR(INDEX(Setup!$C$60:$C$89,MATCH($B1864,Setup!$A$60:$A$89,0)),"")))</f>
        <v/>
      </c>
      <c r="E1864" s="42"/>
      <c r="F1864" s="42"/>
    </row>
    <row r="1865" customFormat="false" ht="15" hidden="false" customHeight="true" outlineLevel="0" collapsed="false">
      <c r="A1865" s="42"/>
      <c r="B1865" s="42"/>
      <c r="C1865" s="42"/>
      <c r="D1865" s="28" t="str">
        <f aca="false">IF(OR($B1865="",$C1865=""),"",$C1865*IFERROR(INDEX(Setup!$C$47:$C$56,MATCH($B1865,Setup!$A$47:$A$56,0)),IFERROR(INDEX(Setup!$C$60:$C$89,MATCH($B1865,Setup!$A$60:$A$89,0)),"")))</f>
        <v/>
      </c>
      <c r="E1865" s="42"/>
      <c r="F1865" s="42"/>
    </row>
    <row r="1866" customFormat="false" ht="15" hidden="false" customHeight="true" outlineLevel="0" collapsed="false">
      <c r="A1866" s="42"/>
      <c r="B1866" s="42"/>
      <c r="C1866" s="42"/>
      <c r="D1866" s="28" t="str">
        <f aca="false">IF(OR($B1866="",$C1866=""),"",$C1866*IFERROR(INDEX(Setup!$C$47:$C$56,MATCH($B1866,Setup!$A$47:$A$56,0)),IFERROR(INDEX(Setup!$C$60:$C$89,MATCH($B1866,Setup!$A$60:$A$89,0)),"")))</f>
        <v/>
      </c>
      <c r="E1866" s="42"/>
      <c r="F1866" s="42"/>
    </row>
    <row r="1867" customFormat="false" ht="15" hidden="false" customHeight="true" outlineLevel="0" collapsed="false">
      <c r="A1867" s="42"/>
      <c r="B1867" s="42"/>
      <c r="C1867" s="42"/>
      <c r="D1867" s="28" t="str">
        <f aca="false">IF(OR($B1867="",$C1867=""),"",$C1867*IFERROR(INDEX(Setup!$C$47:$C$56,MATCH($B1867,Setup!$A$47:$A$56,0)),IFERROR(INDEX(Setup!$C$60:$C$89,MATCH($B1867,Setup!$A$60:$A$89,0)),"")))</f>
        <v/>
      </c>
      <c r="E1867" s="42"/>
      <c r="F1867" s="42"/>
    </row>
    <row r="1868" customFormat="false" ht="15" hidden="false" customHeight="true" outlineLevel="0" collapsed="false">
      <c r="A1868" s="42"/>
      <c r="B1868" s="42"/>
      <c r="C1868" s="42"/>
      <c r="D1868" s="28" t="str">
        <f aca="false">IF(OR($B1868="",$C1868=""),"",$C1868*IFERROR(INDEX(Setup!$C$47:$C$56,MATCH($B1868,Setup!$A$47:$A$56,0)),IFERROR(INDEX(Setup!$C$60:$C$89,MATCH($B1868,Setup!$A$60:$A$89,0)),"")))</f>
        <v/>
      </c>
      <c r="E1868" s="42"/>
      <c r="F1868" s="42"/>
    </row>
    <row r="1869" customFormat="false" ht="15" hidden="false" customHeight="true" outlineLevel="0" collapsed="false">
      <c r="A1869" s="42"/>
      <c r="B1869" s="42"/>
      <c r="C1869" s="42"/>
      <c r="D1869" s="28" t="str">
        <f aca="false">IF(OR($B1869="",$C1869=""),"",$C1869*IFERROR(INDEX(Setup!$C$47:$C$56,MATCH($B1869,Setup!$A$47:$A$56,0)),IFERROR(INDEX(Setup!$C$60:$C$89,MATCH($B1869,Setup!$A$60:$A$89,0)),"")))</f>
        <v/>
      </c>
      <c r="E1869" s="42"/>
      <c r="F1869" s="42"/>
    </row>
    <row r="1870" customFormat="false" ht="15" hidden="false" customHeight="true" outlineLevel="0" collapsed="false">
      <c r="A1870" s="42"/>
      <c r="B1870" s="42"/>
      <c r="C1870" s="42"/>
      <c r="D1870" s="28" t="str">
        <f aca="false">IF(OR($B1870="",$C1870=""),"",$C1870*IFERROR(INDEX(Setup!$C$47:$C$56,MATCH($B1870,Setup!$A$47:$A$56,0)),IFERROR(INDEX(Setup!$C$60:$C$89,MATCH($B1870,Setup!$A$60:$A$89,0)),"")))</f>
        <v/>
      </c>
      <c r="E1870" s="42"/>
      <c r="F1870" s="42"/>
    </row>
    <row r="1871" customFormat="false" ht="15" hidden="false" customHeight="true" outlineLevel="0" collapsed="false">
      <c r="A1871" s="42"/>
      <c r="B1871" s="42"/>
      <c r="C1871" s="42"/>
      <c r="D1871" s="28" t="str">
        <f aca="false">IF(OR($B1871="",$C1871=""),"",$C1871*IFERROR(INDEX(Setup!$C$47:$C$56,MATCH($B1871,Setup!$A$47:$A$56,0)),IFERROR(INDEX(Setup!$C$60:$C$89,MATCH($B1871,Setup!$A$60:$A$89,0)),"")))</f>
        <v/>
      </c>
      <c r="E1871" s="42"/>
      <c r="F1871" s="42"/>
    </row>
    <row r="1872" customFormat="false" ht="15" hidden="false" customHeight="true" outlineLevel="0" collapsed="false">
      <c r="A1872" s="42"/>
      <c r="B1872" s="42"/>
      <c r="C1872" s="42"/>
      <c r="D1872" s="28" t="str">
        <f aca="false">IF(OR($B1872="",$C1872=""),"",$C1872*IFERROR(INDEX(Setup!$C$47:$C$56,MATCH($B1872,Setup!$A$47:$A$56,0)),IFERROR(INDEX(Setup!$C$60:$C$89,MATCH($B1872,Setup!$A$60:$A$89,0)),"")))</f>
        <v/>
      </c>
      <c r="E1872" s="42"/>
      <c r="F1872" s="42"/>
    </row>
    <row r="1873" customFormat="false" ht="15" hidden="false" customHeight="true" outlineLevel="0" collapsed="false">
      <c r="A1873" s="42"/>
      <c r="B1873" s="42"/>
      <c r="C1873" s="42"/>
      <c r="D1873" s="28" t="str">
        <f aca="false">IF(OR($B1873="",$C1873=""),"",$C1873*IFERROR(INDEX(Setup!$C$47:$C$56,MATCH($B1873,Setup!$A$47:$A$56,0)),IFERROR(INDEX(Setup!$C$60:$C$89,MATCH($B1873,Setup!$A$60:$A$89,0)),"")))</f>
        <v/>
      </c>
      <c r="E1873" s="42"/>
      <c r="F1873" s="42"/>
    </row>
    <row r="1874" customFormat="false" ht="15" hidden="false" customHeight="true" outlineLevel="0" collapsed="false">
      <c r="A1874" s="42"/>
      <c r="B1874" s="42"/>
      <c r="C1874" s="42"/>
      <c r="D1874" s="28" t="str">
        <f aca="false">IF(OR($B1874="",$C1874=""),"",$C1874*IFERROR(INDEX(Setup!$C$47:$C$56,MATCH($B1874,Setup!$A$47:$A$56,0)),IFERROR(INDEX(Setup!$C$60:$C$89,MATCH($B1874,Setup!$A$60:$A$89,0)),"")))</f>
        <v/>
      </c>
      <c r="E1874" s="42"/>
      <c r="F1874" s="42"/>
    </row>
    <row r="1875" customFormat="false" ht="15" hidden="false" customHeight="true" outlineLevel="0" collapsed="false">
      <c r="A1875" s="42"/>
      <c r="B1875" s="42"/>
      <c r="C1875" s="42"/>
      <c r="D1875" s="28" t="str">
        <f aca="false">IF(OR($B1875="",$C1875=""),"",$C1875*IFERROR(INDEX(Setup!$C$47:$C$56,MATCH($B1875,Setup!$A$47:$A$56,0)),IFERROR(INDEX(Setup!$C$60:$C$89,MATCH($B1875,Setup!$A$60:$A$89,0)),"")))</f>
        <v/>
      </c>
      <c r="E1875" s="42"/>
      <c r="F1875" s="42"/>
    </row>
    <row r="1876" customFormat="false" ht="15" hidden="false" customHeight="true" outlineLevel="0" collapsed="false">
      <c r="A1876" s="42"/>
      <c r="B1876" s="42"/>
      <c r="C1876" s="42"/>
      <c r="D1876" s="28" t="str">
        <f aca="false">IF(OR($B1876="",$C1876=""),"",$C1876*IFERROR(INDEX(Setup!$C$47:$C$56,MATCH($B1876,Setup!$A$47:$A$56,0)),IFERROR(INDEX(Setup!$C$60:$C$89,MATCH($B1876,Setup!$A$60:$A$89,0)),"")))</f>
        <v/>
      </c>
      <c r="E1876" s="42"/>
      <c r="F1876" s="42"/>
    </row>
    <row r="1877" customFormat="false" ht="15" hidden="false" customHeight="true" outlineLevel="0" collapsed="false">
      <c r="A1877" s="42"/>
      <c r="B1877" s="42"/>
      <c r="C1877" s="42"/>
      <c r="D1877" s="28" t="str">
        <f aca="false">IF(OR($B1877="",$C1877=""),"",$C1877*IFERROR(INDEX(Setup!$C$47:$C$56,MATCH($B1877,Setup!$A$47:$A$56,0)),IFERROR(INDEX(Setup!$C$60:$C$89,MATCH($B1877,Setup!$A$60:$A$89,0)),"")))</f>
        <v/>
      </c>
      <c r="E1877" s="42"/>
      <c r="F1877" s="42"/>
    </row>
    <row r="1878" customFormat="false" ht="15" hidden="false" customHeight="true" outlineLevel="0" collapsed="false">
      <c r="A1878" s="42"/>
      <c r="B1878" s="42"/>
      <c r="C1878" s="42"/>
      <c r="D1878" s="28" t="str">
        <f aca="false">IF(OR($B1878="",$C1878=""),"",$C1878*IFERROR(INDEX(Setup!$C$47:$C$56,MATCH($B1878,Setup!$A$47:$A$56,0)),IFERROR(INDEX(Setup!$C$60:$C$89,MATCH($B1878,Setup!$A$60:$A$89,0)),"")))</f>
        <v/>
      </c>
      <c r="E1878" s="42"/>
      <c r="F1878" s="42"/>
    </row>
    <row r="1879" customFormat="false" ht="15" hidden="false" customHeight="true" outlineLevel="0" collapsed="false">
      <c r="A1879" s="42"/>
      <c r="B1879" s="42"/>
      <c r="C1879" s="42"/>
      <c r="D1879" s="28" t="str">
        <f aca="false">IF(OR($B1879="",$C1879=""),"",$C1879*IFERROR(INDEX(Setup!$C$47:$C$56,MATCH($B1879,Setup!$A$47:$A$56,0)),IFERROR(INDEX(Setup!$C$60:$C$89,MATCH($B1879,Setup!$A$60:$A$89,0)),"")))</f>
        <v/>
      </c>
      <c r="E1879" s="42"/>
      <c r="F1879" s="42"/>
    </row>
    <row r="1880" customFormat="false" ht="15" hidden="false" customHeight="true" outlineLevel="0" collapsed="false">
      <c r="A1880" s="42"/>
      <c r="B1880" s="42"/>
      <c r="C1880" s="42"/>
      <c r="D1880" s="28" t="str">
        <f aca="false">IF(OR($B1880="",$C1880=""),"",$C1880*IFERROR(INDEX(Setup!$C$47:$C$56,MATCH($B1880,Setup!$A$47:$A$56,0)),IFERROR(INDEX(Setup!$C$60:$C$89,MATCH($B1880,Setup!$A$60:$A$89,0)),"")))</f>
        <v/>
      </c>
      <c r="E1880" s="42"/>
      <c r="F1880" s="42"/>
    </row>
    <row r="1881" customFormat="false" ht="15" hidden="false" customHeight="true" outlineLevel="0" collapsed="false">
      <c r="A1881" s="42"/>
      <c r="B1881" s="42"/>
      <c r="C1881" s="42"/>
      <c r="D1881" s="28" t="str">
        <f aca="false">IF(OR($B1881="",$C1881=""),"",$C1881*IFERROR(INDEX(Setup!$C$47:$C$56,MATCH($B1881,Setup!$A$47:$A$56,0)),IFERROR(INDEX(Setup!$C$60:$C$89,MATCH($B1881,Setup!$A$60:$A$89,0)),"")))</f>
        <v/>
      </c>
      <c r="E1881" s="42"/>
      <c r="F1881" s="42"/>
    </row>
    <row r="1882" customFormat="false" ht="15" hidden="false" customHeight="true" outlineLevel="0" collapsed="false">
      <c r="A1882" s="42"/>
      <c r="B1882" s="42"/>
      <c r="C1882" s="42"/>
      <c r="D1882" s="28" t="str">
        <f aca="false">IF(OR($B1882="",$C1882=""),"",$C1882*IFERROR(INDEX(Setup!$C$47:$C$56,MATCH($B1882,Setup!$A$47:$A$56,0)),IFERROR(INDEX(Setup!$C$60:$C$89,MATCH($B1882,Setup!$A$60:$A$89,0)),"")))</f>
        <v/>
      </c>
      <c r="E1882" s="42"/>
      <c r="F1882" s="42"/>
    </row>
    <row r="1883" customFormat="false" ht="15" hidden="false" customHeight="true" outlineLevel="0" collapsed="false">
      <c r="A1883" s="42"/>
      <c r="B1883" s="42"/>
      <c r="C1883" s="42"/>
      <c r="D1883" s="28" t="str">
        <f aca="false">IF(OR($B1883="",$C1883=""),"",$C1883*IFERROR(INDEX(Setup!$C$47:$C$56,MATCH($B1883,Setup!$A$47:$A$56,0)),IFERROR(INDEX(Setup!$C$60:$C$89,MATCH($B1883,Setup!$A$60:$A$89,0)),"")))</f>
        <v/>
      </c>
      <c r="E1883" s="42"/>
      <c r="F1883" s="42"/>
    </row>
    <row r="1884" customFormat="false" ht="15" hidden="false" customHeight="true" outlineLevel="0" collapsed="false">
      <c r="A1884" s="42"/>
      <c r="B1884" s="42"/>
      <c r="C1884" s="42"/>
      <c r="D1884" s="28" t="str">
        <f aca="false">IF(OR($B1884="",$C1884=""),"",$C1884*IFERROR(INDEX(Setup!$C$47:$C$56,MATCH($B1884,Setup!$A$47:$A$56,0)),IFERROR(INDEX(Setup!$C$60:$C$89,MATCH($B1884,Setup!$A$60:$A$89,0)),"")))</f>
        <v/>
      </c>
      <c r="E1884" s="42"/>
      <c r="F1884" s="42"/>
    </row>
    <row r="1885" customFormat="false" ht="15" hidden="false" customHeight="true" outlineLevel="0" collapsed="false">
      <c r="A1885" s="42"/>
      <c r="B1885" s="42"/>
      <c r="C1885" s="42"/>
      <c r="D1885" s="28" t="str">
        <f aca="false">IF(OR($B1885="",$C1885=""),"",$C1885*IFERROR(INDEX(Setup!$C$47:$C$56,MATCH($B1885,Setup!$A$47:$A$56,0)),IFERROR(INDEX(Setup!$C$60:$C$89,MATCH($B1885,Setup!$A$60:$A$89,0)),"")))</f>
        <v/>
      </c>
      <c r="E1885" s="42"/>
      <c r="F1885" s="42"/>
    </row>
    <row r="1886" customFormat="false" ht="15" hidden="false" customHeight="true" outlineLevel="0" collapsed="false">
      <c r="A1886" s="42"/>
      <c r="B1886" s="42"/>
      <c r="C1886" s="42"/>
      <c r="D1886" s="28" t="str">
        <f aca="false">IF(OR($B1886="",$C1886=""),"",$C1886*IFERROR(INDEX(Setup!$C$47:$C$56,MATCH($B1886,Setup!$A$47:$A$56,0)),IFERROR(INDEX(Setup!$C$60:$C$89,MATCH($B1886,Setup!$A$60:$A$89,0)),"")))</f>
        <v/>
      </c>
      <c r="E1886" s="42"/>
      <c r="F1886" s="42"/>
    </row>
    <row r="1887" customFormat="false" ht="15" hidden="false" customHeight="true" outlineLevel="0" collapsed="false">
      <c r="A1887" s="42"/>
      <c r="B1887" s="42"/>
      <c r="C1887" s="42"/>
      <c r="D1887" s="28" t="str">
        <f aca="false">IF(OR($B1887="",$C1887=""),"",$C1887*IFERROR(INDEX(Setup!$C$47:$C$56,MATCH($B1887,Setup!$A$47:$A$56,0)),IFERROR(INDEX(Setup!$C$60:$C$89,MATCH($B1887,Setup!$A$60:$A$89,0)),"")))</f>
        <v/>
      </c>
      <c r="E1887" s="42"/>
      <c r="F1887" s="42"/>
    </row>
    <row r="1888" customFormat="false" ht="15" hidden="false" customHeight="true" outlineLevel="0" collapsed="false">
      <c r="A1888" s="42"/>
      <c r="B1888" s="42"/>
      <c r="C1888" s="42"/>
      <c r="D1888" s="28" t="str">
        <f aca="false">IF(OR($B1888="",$C1888=""),"",$C1888*IFERROR(INDEX(Setup!$C$47:$C$56,MATCH($B1888,Setup!$A$47:$A$56,0)),IFERROR(INDEX(Setup!$C$60:$C$89,MATCH($B1888,Setup!$A$60:$A$89,0)),"")))</f>
        <v/>
      </c>
      <c r="E1888" s="42"/>
      <c r="F1888" s="42"/>
    </row>
    <row r="1889" customFormat="false" ht="15" hidden="false" customHeight="true" outlineLevel="0" collapsed="false">
      <c r="A1889" s="42"/>
      <c r="B1889" s="42"/>
      <c r="C1889" s="42"/>
      <c r="D1889" s="28" t="str">
        <f aca="false">IF(OR($B1889="",$C1889=""),"",$C1889*IFERROR(INDEX(Setup!$C$47:$C$56,MATCH($B1889,Setup!$A$47:$A$56,0)),IFERROR(INDEX(Setup!$C$60:$C$89,MATCH($B1889,Setup!$A$60:$A$89,0)),"")))</f>
        <v/>
      </c>
      <c r="E1889" s="42"/>
      <c r="F1889" s="42"/>
    </row>
    <row r="1890" customFormat="false" ht="15" hidden="false" customHeight="true" outlineLevel="0" collapsed="false">
      <c r="A1890" s="42"/>
      <c r="B1890" s="42"/>
      <c r="C1890" s="42"/>
      <c r="D1890" s="28" t="str">
        <f aca="false">IF(OR($B1890="",$C1890=""),"",$C1890*IFERROR(INDEX(Setup!$C$47:$C$56,MATCH($B1890,Setup!$A$47:$A$56,0)),IFERROR(INDEX(Setup!$C$60:$C$89,MATCH($B1890,Setup!$A$60:$A$89,0)),"")))</f>
        <v/>
      </c>
      <c r="E1890" s="42"/>
      <c r="F1890" s="42"/>
    </row>
    <row r="1891" customFormat="false" ht="15" hidden="false" customHeight="true" outlineLevel="0" collapsed="false">
      <c r="A1891" s="42"/>
      <c r="B1891" s="42"/>
      <c r="C1891" s="42"/>
      <c r="D1891" s="28" t="str">
        <f aca="false">IF(OR($B1891="",$C1891=""),"",$C1891*IFERROR(INDEX(Setup!$C$47:$C$56,MATCH($B1891,Setup!$A$47:$A$56,0)),IFERROR(INDEX(Setup!$C$60:$C$89,MATCH($B1891,Setup!$A$60:$A$89,0)),"")))</f>
        <v/>
      </c>
      <c r="E1891" s="42"/>
      <c r="F1891" s="42"/>
    </row>
    <row r="1892" customFormat="false" ht="15" hidden="false" customHeight="true" outlineLevel="0" collapsed="false">
      <c r="A1892" s="42"/>
      <c r="B1892" s="42"/>
      <c r="C1892" s="42"/>
      <c r="D1892" s="28" t="str">
        <f aca="false">IF(OR($B1892="",$C1892=""),"",$C1892*IFERROR(INDEX(Setup!$C$47:$C$56,MATCH($B1892,Setup!$A$47:$A$56,0)),IFERROR(INDEX(Setup!$C$60:$C$89,MATCH($B1892,Setup!$A$60:$A$89,0)),"")))</f>
        <v/>
      </c>
      <c r="E1892" s="42"/>
      <c r="F1892" s="42"/>
    </row>
    <row r="1893" customFormat="false" ht="15" hidden="false" customHeight="true" outlineLevel="0" collapsed="false">
      <c r="A1893" s="42"/>
      <c r="B1893" s="42"/>
      <c r="C1893" s="42"/>
      <c r="D1893" s="28" t="str">
        <f aca="false">IF(OR($B1893="",$C1893=""),"",$C1893*IFERROR(INDEX(Setup!$C$47:$C$56,MATCH($B1893,Setup!$A$47:$A$56,0)),IFERROR(INDEX(Setup!$C$60:$C$89,MATCH($B1893,Setup!$A$60:$A$89,0)),"")))</f>
        <v/>
      </c>
      <c r="E1893" s="42"/>
      <c r="F1893" s="42"/>
    </row>
    <row r="1894" customFormat="false" ht="15" hidden="false" customHeight="true" outlineLevel="0" collapsed="false">
      <c r="A1894" s="42"/>
      <c r="B1894" s="42"/>
      <c r="C1894" s="42"/>
      <c r="D1894" s="28" t="str">
        <f aca="false">IF(OR($B1894="",$C1894=""),"",$C1894*IFERROR(INDEX(Setup!$C$47:$C$56,MATCH($B1894,Setup!$A$47:$A$56,0)),IFERROR(INDEX(Setup!$C$60:$C$89,MATCH($B1894,Setup!$A$60:$A$89,0)),"")))</f>
        <v/>
      </c>
      <c r="E1894" s="42"/>
      <c r="F1894" s="42"/>
    </row>
    <row r="1895" customFormat="false" ht="15" hidden="false" customHeight="true" outlineLevel="0" collapsed="false">
      <c r="A1895" s="42"/>
      <c r="B1895" s="42"/>
      <c r="C1895" s="42"/>
      <c r="D1895" s="28" t="str">
        <f aca="false">IF(OR($B1895="",$C1895=""),"",$C1895*IFERROR(INDEX(Setup!$C$47:$C$56,MATCH($B1895,Setup!$A$47:$A$56,0)),IFERROR(INDEX(Setup!$C$60:$C$89,MATCH($B1895,Setup!$A$60:$A$89,0)),"")))</f>
        <v/>
      </c>
      <c r="E1895" s="42"/>
      <c r="F1895" s="42"/>
    </row>
    <row r="1896" customFormat="false" ht="15" hidden="false" customHeight="true" outlineLevel="0" collapsed="false">
      <c r="A1896" s="42"/>
      <c r="B1896" s="42"/>
      <c r="C1896" s="42"/>
      <c r="D1896" s="28" t="str">
        <f aca="false">IF(OR($B1896="",$C1896=""),"",$C1896*IFERROR(INDEX(Setup!$C$47:$C$56,MATCH($B1896,Setup!$A$47:$A$56,0)),IFERROR(INDEX(Setup!$C$60:$C$89,MATCH($B1896,Setup!$A$60:$A$89,0)),"")))</f>
        <v/>
      </c>
      <c r="E1896" s="42"/>
      <c r="F1896" s="42"/>
    </row>
    <row r="1897" customFormat="false" ht="15" hidden="false" customHeight="true" outlineLevel="0" collapsed="false">
      <c r="A1897" s="42"/>
      <c r="B1897" s="42"/>
      <c r="C1897" s="42"/>
      <c r="D1897" s="28" t="str">
        <f aca="false">IF(OR($B1897="",$C1897=""),"",$C1897*IFERROR(INDEX(Setup!$C$47:$C$56,MATCH($B1897,Setup!$A$47:$A$56,0)),IFERROR(INDEX(Setup!$C$60:$C$89,MATCH($B1897,Setup!$A$60:$A$89,0)),"")))</f>
        <v/>
      </c>
      <c r="E1897" s="42"/>
      <c r="F1897" s="42"/>
    </row>
    <row r="1898" customFormat="false" ht="15" hidden="false" customHeight="true" outlineLevel="0" collapsed="false">
      <c r="A1898" s="42"/>
      <c r="B1898" s="42"/>
      <c r="C1898" s="42"/>
      <c r="D1898" s="28" t="str">
        <f aca="false">IF(OR($B1898="",$C1898=""),"",$C1898*IFERROR(INDEX(Setup!$C$47:$C$56,MATCH($B1898,Setup!$A$47:$A$56,0)),IFERROR(INDEX(Setup!$C$60:$C$89,MATCH($B1898,Setup!$A$60:$A$89,0)),"")))</f>
        <v/>
      </c>
      <c r="E1898" s="42"/>
      <c r="F1898" s="42"/>
    </row>
    <row r="1899" customFormat="false" ht="15" hidden="false" customHeight="true" outlineLevel="0" collapsed="false">
      <c r="A1899" s="42"/>
      <c r="B1899" s="42"/>
      <c r="C1899" s="42"/>
      <c r="D1899" s="28" t="str">
        <f aca="false">IF(OR($B1899="",$C1899=""),"",$C1899*IFERROR(INDEX(Setup!$C$47:$C$56,MATCH($B1899,Setup!$A$47:$A$56,0)),IFERROR(INDEX(Setup!$C$60:$C$89,MATCH($B1899,Setup!$A$60:$A$89,0)),"")))</f>
        <v/>
      </c>
      <c r="E1899" s="42"/>
      <c r="F1899" s="42"/>
    </row>
    <row r="1900" customFormat="false" ht="15" hidden="false" customHeight="true" outlineLevel="0" collapsed="false">
      <c r="A1900" s="42"/>
      <c r="B1900" s="42"/>
      <c r="C1900" s="42"/>
      <c r="D1900" s="28" t="str">
        <f aca="false">IF(OR($B1900="",$C1900=""),"",$C1900*IFERROR(INDEX(Setup!$C$47:$C$56,MATCH($B1900,Setup!$A$47:$A$56,0)),IFERROR(INDEX(Setup!$C$60:$C$89,MATCH($B1900,Setup!$A$60:$A$89,0)),"")))</f>
        <v/>
      </c>
      <c r="E1900" s="42"/>
      <c r="F1900" s="42"/>
    </row>
    <row r="1901" customFormat="false" ht="15" hidden="false" customHeight="true" outlineLevel="0" collapsed="false">
      <c r="A1901" s="42"/>
      <c r="B1901" s="42"/>
      <c r="C1901" s="42"/>
      <c r="D1901" s="28" t="str">
        <f aca="false">IF(OR($B1901="",$C1901=""),"",$C1901*IFERROR(INDEX(Setup!$C$47:$C$56,MATCH($B1901,Setup!$A$47:$A$56,0)),IFERROR(INDEX(Setup!$C$60:$C$89,MATCH($B1901,Setup!$A$60:$A$89,0)),"")))</f>
        <v/>
      </c>
      <c r="E1901" s="42"/>
      <c r="F1901" s="42"/>
    </row>
    <row r="1902" customFormat="false" ht="15" hidden="false" customHeight="true" outlineLevel="0" collapsed="false">
      <c r="A1902" s="42"/>
      <c r="B1902" s="42"/>
      <c r="C1902" s="42"/>
      <c r="D1902" s="28" t="str">
        <f aca="false">IF(OR($B1902="",$C1902=""),"",$C1902*IFERROR(INDEX(Setup!$C$47:$C$56,MATCH($B1902,Setup!$A$47:$A$56,0)),IFERROR(INDEX(Setup!$C$60:$C$89,MATCH($B1902,Setup!$A$60:$A$89,0)),"")))</f>
        <v/>
      </c>
      <c r="E1902" s="42"/>
      <c r="F1902" s="42"/>
    </row>
    <row r="1903" customFormat="false" ht="15" hidden="false" customHeight="true" outlineLevel="0" collapsed="false">
      <c r="A1903" s="42"/>
      <c r="B1903" s="42"/>
      <c r="C1903" s="42"/>
      <c r="D1903" s="28" t="str">
        <f aca="false">IF(OR($B1903="",$C1903=""),"",$C1903*IFERROR(INDEX(Setup!$C$47:$C$56,MATCH($B1903,Setup!$A$47:$A$56,0)),IFERROR(INDEX(Setup!$C$60:$C$89,MATCH($B1903,Setup!$A$60:$A$89,0)),"")))</f>
        <v/>
      </c>
      <c r="E1903" s="42"/>
      <c r="F1903" s="42"/>
    </row>
    <row r="1904" customFormat="false" ht="15" hidden="false" customHeight="true" outlineLevel="0" collapsed="false">
      <c r="A1904" s="42"/>
      <c r="B1904" s="42"/>
      <c r="C1904" s="42"/>
      <c r="D1904" s="28" t="str">
        <f aca="false">IF(OR($B1904="",$C1904=""),"",$C1904*IFERROR(INDEX(Setup!$C$47:$C$56,MATCH($B1904,Setup!$A$47:$A$56,0)),IFERROR(INDEX(Setup!$C$60:$C$89,MATCH($B1904,Setup!$A$60:$A$89,0)),"")))</f>
        <v/>
      </c>
      <c r="E1904" s="42"/>
      <c r="F1904" s="42"/>
    </row>
    <row r="1905" customFormat="false" ht="15" hidden="false" customHeight="true" outlineLevel="0" collapsed="false">
      <c r="A1905" s="42"/>
      <c r="B1905" s="42"/>
      <c r="C1905" s="42"/>
      <c r="D1905" s="28" t="str">
        <f aca="false">IF(OR($B1905="",$C1905=""),"",$C1905*IFERROR(INDEX(Setup!$C$47:$C$56,MATCH($B1905,Setup!$A$47:$A$56,0)),IFERROR(INDEX(Setup!$C$60:$C$89,MATCH($B1905,Setup!$A$60:$A$89,0)),"")))</f>
        <v/>
      </c>
      <c r="E1905" s="42"/>
      <c r="F1905" s="42"/>
    </row>
    <row r="1906" customFormat="false" ht="15" hidden="false" customHeight="true" outlineLevel="0" collapsed="false">
      <c r="A1906" s="42"/>
      <c r="B1906" s="42"/>
      <c r="C1906" s="42"/>
      <c r="D1906" s="28" t="str">
        <f aca="false">IF(OR($B1906="",$C1906=""),"",$C1906*IFERROR(INDEX(Setup!$C$47:$C$56,MATCH($B1906,Setup!$A$47:$A$56,0)),IFERROR(INDEX(Setup!$C$60:$C$89,MATCH($B1906,Setup!$A$60:$A$89,0)),"")))</f>
        <v/>
      </c>
      <c r="E1906" s="42"/>
      <c r="F1906" s="42"/>
    </row>
    <row r="1907" customFormat="false" ht="15" hidden="false" customHeight="true" outlineLevel="0" collapsed="false">
      <c r="A1907" s="42"/>
      <c r="B1907" s="42"/>
      <c r="C1907" s="42"/>
      <c r="D1907" s="28" t="str">
        <f aca="false">IF(OR($B1907="",$C1907=""),"",$C1907*IFERROR(INDEX(Setup!$C$47:$C$56,MATCH($B1907,Setup!$A$47:$A$56,0)),IFERROR(INDEX(Setup!$C$60:$C$89,MATCH($B1907,Setup!$A$60:$A$89,0)),"")))</f>
        <v/>
      </c>
      <c r="E1907" s="42"/>
      <c r="F1907" s="42"/>
    </row>
    <row r="1908" customFormat="false" ht="15" hidden="false" customHeight="true" outlineLevel="0" collapsed="false">
      <c r="A1908" s="42"/>
      <c r="B1908" s="42"/>
      <c r="C1908" s="42"/>
      <c r="D1908" s="28" t="str">
        <f aca="false">IF(OR($B1908="",$C1908=""),"",$C1908*IFERROR(INDEX(Setup!$C$47:$C$56,MATCH($B1908,Setup!$A$47:$A$56,0)),IFERROR(INDEX(Setup!$C$60:$C$89,MATCH($B1908,Setup!$A$60:$A$89,0)),"")))</f>
        <v/>
      </c>
      <c r="E1908" s="42"/>
      <c r="F1908" s="42"/>
    </row>
    <row r="1909" customFormat="false" ht="15" hidden="false" customHeight="true" outlineLevel="0" collapsed="false">
      <c r="A1909" s="42"/>
      <c r="B1909" s="42"/>
      <c r="C1909" s="42"/>
      <c r="D1909" s="28" t="str">
        <f aca="false">IF(OR($B1909="",$C1909=""),"",$C1909*IFERROR(INDEX(Setup!$C$47:$C$56,MATCH($B1909,Setup!$A$47:$A$56,0)),IFERROR(INDEX(Setup!$C$60:$C$89,MATCH($B1909,Setup!$A$60:$A$89,0)),"")))</f>
        <v/>
      </c>
      <c r="E1909" s="42"/>
      <c r="F1909" s="42"/>
    </row>
    <row r="1910" customFormat="false" ht="15" hidden="false" customHeight="true" outlineLevel="0" collapsed="false">
      <c r="A1910" s="42"/>
      <c r="B1910" s="42"/>
      <c r="C1910" s="42"/>
      <c r="D1910" s="28" t="str">
        <f aca="false">IF(OR($B1910="",$C1910=""),"",$C1910*IFERROR(INDEX(Setup!$C$47:$C$56,MATCH($B1910,Setup!$A$47:$A$56,0)),IFERROR(INDEX(Setup!$C$60:$C$89,MATCH($B1910,Setup!$A$60:$A$89,0)),"")))</f>
        <v/>
      </c>
      <c r="E1910" s="42"/>
      <c r="F1910" s="42"/>
    </row>
    <row r="1911" customFormat="false" ht="15" hidden="false" customHeight="true" outlineLevel="0" collapsed="false">
      <c r="A1911" s="42"/>
      <c r="B1911" s="42"/>
      <c r="C1911" s="42"/>
      <c r="D1911" s="28" t="str">
        <f aca="false">IF(OR($B1911="",$C1911=""),"",$C1911*IFERROR(INDEX(Setup!$C$47:$C$56,MATCH($B1911,Setup!$A$47:$A$56,0)),IFERROR(INDEX(Setup!$C$60:$C$89,MATCH($B1911,Setup!$A$60:$A$89,0)),"")))</f>
        <v/>
      </c>
      <c r="E1911" s="42"/>
      <c r="F1911" s="42"/>
    </row>
    <row r="1912" customFormat="false" ht="15" hidden="false" customHeight="true" outlineLevel="0" collapsed="false">
      <c r="A1912" s="42"/>
      <c r="B1912" s="42"/>
      <c r="C1912" s="42"/>
      <c r="D1912" s="28" t="str">
        <f aca="false">IF(OR($B1912="",$C1912=""),"",$C1912*IFERROR(INDEX(Setup!$C$47:$C$56,MATCH($B1912,Setup!$A$47:$A$56,0)),IFERROR(INDEX(Setup!$C$60:$C$89,MATCH($B1912,Setup!$A$60:$A$89,0)),"")))</f>
        <v/>
      </c>
      <c r="E1912" s="42"/>
      <c r="F1912" s="42"/>
    </row>
    <row r="1913" customFormat="false" ht="15" hidden="false" customHeight="true" outlineLevel="0" collapsed="false">
      <c r="A1913" s="42"/>
      <c r="B1913" s="42"/>
      <c r="C1913" s="42"/>
      <c r="D1913" s="28" t="str">
        <f aca="false">IF(OR($B1913="",$C1913=""),"",$C1913*IFERROR(INDEX(Setup!$C$47:$C$56,MATCH($B1913,Setup!$A$47:$A$56,0)),IFERROR(INDEX(Setup!$C$60:$C$89,MATCH($B1913,Setup!$A$60:$A$89,0)),"")))</f>
        <v/>
      </c>
      <c r="E1913" s="42"/>
      <c r="F1913" s="42"/>
    </row>
    <row r="1914" customFormat="false" ht="15" hidden="false" customHeight="true" outlineLevel="0" collapsed="false">
      <c r="A1914" s="42"/>
      <c r="B1914" s="42"/>
      <c r="C1914" s="42"/>
      <c r="D1914" s="28" t="str">
        <f aca="false">IF(OR($B1914="",$C1914=""),"",$C1914*IFERROR(INDEX(Setup!$C$47:$C$56,MATCH($B1914,Setup!$A$47:$A$56,0)),IFERROR(INDEX(Setup!$C$60:$C$89,MATCH($B1914,Setup!$A$60:$A$89,0)),"")))</f>
        <v/>
      </c>
      <c r="E1914" s="42"/>
      <c r="F1914" s="42"/>
    </row>
    <row r="1915" customFormat="false" ht="15" hidden="false" customHeight="true" outlineLevel="0" collapsed="false">
      <c r="A1915" s="42"/>
      <c r="B1915" s="42"/>
      <c r="C1915" s="42"/>
      <c r="D1915" s="28" t="str">
        <f aca="false">IF(OR($B1915="",$C1915=""),"",$C1915*IFERROR(INDEX(Setup!$C$47:$C$56,MATCH($B1915,Setup!$A$47:$A$56,0)),IFERROR(INDEX(Setup!$C$60:$C$89,MATCH($B1915,Setup!$A$60:$A$89,0)),"")))</f>
        <v/>
      </c>
      <c r="E1915" s="42"/>
      <c r="F1915" s="42"/>
    </row>
    <row r="1916" customFormat="false" ht="15" hidden="false" customHeight="true" outlineLevel="0" collapsed="false">
      <c r="A1916" s="42"/>
      <c r="B1916" s="42"/>
      <c r="C1916" s="42"/>
      <c r="D1916" s="28" t="str">
        <f aca="false">IF(OR($B1916="",$C1916=""),"",$C1916*IFERROR(INDEX(Setup!$C$47:$C$56,MATCH($B1916,Setup!$A$47:$A$56,0)),IFERROR(INDEX(Setup!$C$60:$C$89,MATCH($B1916,Setup!$A$60:$A$89,0)),"")))</f>
        <v/>
      </c>
      <c r="E1916" s="42"/>
      <c r="F1916" s="42"/>
    </row>
    <row r="1917" customFormat="false" ht="15" hidden="false" customHeight="true" outlineLevel="0" collapsed="false">
      <c r="A1917" s="42"/>
      <c r="B1917" s="42"/>
      <c r="C1917" s="42"/>
      <c r="D1917" s="28" t="str">
        <f aca="false">IF(OR($B1917="",$C1917=""),"",$C1917*IFERROR(INDEX(Setup!$C$47:$C$56,MATCH($B1917,Setup!$A$47:$A$56,0)),IFERROR(INDEX(Setup!$C$60:$C$89,MATCH($B1917,Setup!$A$60:$A$89,0)),"")))</f>
        <v/>
      </c>
      <c r="E1917" s="42"/>
      <c r="F1917" s="42"/>
    </row>
    <row r="1918" customFormat="false" ht="15" hidden="false" customHeight="true" outlineLevel="0" collapsed="false">
      <c r="A1918" s="42"/>
      <c r="B1918" s="42"/>
      <c r="C1918" s="42"/>
      <c r="D1918" s="28" t="str">
        <f aca="false">IF(OR($B1918="",$C1918=""),"",$C1918*IFERROR(INDEX(Setup!$C$47:$C$56,MATCH($B1918,Setup!$A$47:$A$56,0)),IFERROR(INDEX(Setup!$C$60:$C$89,MATCH($B1918,Setup!$A$60:$A$89,0)),"")))</f>
        <v/>
      </c>
      <c r="E1918" s="42"/>
      <c r="F1918" s="42"/>
    </row>
    <row r="1919" customFormat="false" ht="15" hidden="false" customHeight="true" outlineLevel="0" collapsed="false">
      <c r="A1919" s="42"/>
      <c r="B1919" s="42"/>
      <c r="C1919" s="42"/>
      <c r="D1919" s="28" t="str">
        <f aca="false">IF(OR($B1919="",$C1919=""),"",$C1919*IFERROR(INDEX(Setup!$C$47:$C$56,MATCH($B1919,Setup!$A$47:$A$56,0)),IFERROR(INDEX(Setup!$C$60:$C$89,MATCH($B1919,Setup!$A$60:$A$89,0)),"")))</f>
        <v/>
      </c>
      <c r="E1919" s="42"/>
      <c r="F1919" s="42"/>
    </row>
    <row r="1920" customFormat="false" ht="15" hidden="false" customHeight="true" outlineLevel="0" collapsed="false">
      <c r="A1920" s="42"/>
      <c r="B1920" s="42"/>
      <c r="C1920" s="42"/>
      <c r="D1920" s="28" t="str">
        <f aca="false">IF(OR($B1920="",$C1920=""),"",$C1920*IFERROR(INDEX(Setup!$C$47:$C$56,MATCH($B1920,Setup!$A$47:$A$56,0)),IFERROR(INDEX(Setup!$C$60:$C$89,MATCH($B1920,Setup!$A$60:$A$89,0)),"")))</f>
        <v/>
      </c>
      <c r="E1920" s="42"/>
      <c r="F1920" s="42"/>
    </row>
    <row r="1921" customFormat="false" ht="15" hidden="false" customHeight="true" outlineLevel="0" collapsed="false">
      <c r="A1921" s="42"/>
      <c r="B1921" s="42"/>
      <c r="C1921" s="42"/>
      <c r="D1921" s="28" t="str">
        <f aca="false">IF(OR($B1921="",$C1921=""),"",$C1921*IFERROR(INDEX(Setup!$C$47:$C$56,MATCH($B1921,Setup!$A$47:$A$56,0)),IFERROR(INDEX(Setup!$C$60:$C$89,MATCH($B1921,Setup!$A$60:$A$89,0)),"")))</f>
        <v/>
      </c>
      <c r="E1921" s="42"/>
      <c r="F1921" s="42"/>
    </row>
    <row r="1922" customFormat="false" ht="15" hidden="false" customHeight="true" outlineLevel="0" collapsed="false">
      <c r="A1922" s="42"/>
      <c r="B1922" s="42"/>
      <c r="C1922" s="42"/>
      <c r="D1922" s="28" t="str">
        <f aca="false">IF(OR($B1922="",$C1922=""),"",$C1922*IFERROR(INDEX(Setup!$C$47:$C$56,MATCH($B1922,Setup!$A$47:$A$56,0)),IFERROR(INDEX(Setup!$C$60:$C$89,MATCH($B1922,Setup!$A$60:$A$89,0)),"")))</f>
        <v/>
      </c>
      <c r="E1922" s="42"/>
      <c r="F1922" s="42"/>
    </row>
    <row r="1923" customFormat="false" ht="15" hidden="false" customHeight="true" outlineLevel="0" collapsed="false">
      <c r="A1923" s="42"/>
      <c r="B1923" s="42"/>
      <c r="C1923" s="42"/>
      <c r="D1923" s="28" t="str">
        <f aca="false">IF(OR($B1923="",$C1923=""),"",$C1923*IFERROR(INDEX(Setup!$C$47:$C$56,MATCH($B1923,Setup!$A$47:$A$56,0)),IFERROR(INDEX(Setup!$C$60:$C$89,MATCH($B1923,Setup!$A$60:$A$89,0)),"")))</f>
        <v/>
      </c>
      <c r="E1923" s="42"/>
      <c r="F1923" s="42"/>
    </row>
    <row r="1924" customFormat="false" ht="15" hidden="false" customHeight="true" outlineLevel="0" collapsed="false">
      <c r="A1924" s="42"/>
      <c r="B1924" s="42"/>
      <c r="C1924" s="42"/>
      <c r="D1924" s="28" t="str">
        <f aca="false">IF(OR($B1924="",$C1924=""),"",$C1924*IFERROR(INDEX(Setup!$C$47:$C$56,MATCH($B1924,Setup!$A$47:$A$56,0)),IFERROR(INDEX(Setup!$C$60:$C$89,MATCH($B1924,Setup!$A$60:$A$89,0)),"")))</f>
        <v/>
      </c>
      <c r="E1924" s="42"/>
      <c r="F1924" s="42"/>
    </row>
    <row r="1925" customFormat="false" ht="15" hidden="false" customHeight="true" outlineLevel="0" collapsed="false">
      <c r="A1925" s="42"/>
      <c r="B1925" s="42"/>
      <c r="C1925" s="42"/>
      <c r="D1925" s="28" t="str">
        <f aca="false">IF(OR($B1925="",$C1925=""),"",$C1925*IFERROR(INDEX(Setup!$C$47:$C$56,MATCH($B1925,Setup!$A$47:$A$56,0)),IFERROR(INDEX(Setup!$C$60:$C$89,MATCH($B1925,Setup!$A$60:$A$89,0)),"")))</f>
        <v/>
      </c>
      <c r="E1925" s="42"/>
      <c r="F1925" s="42"/>
    </row>
    <row r="1926" customFormat="false" ht="15" hidden="false" customHeight="true" outlineLevel="0" collapsed="false">
      <c r="A1926" s="42"/>
      <c r="B1926" s="42"/>
      <c r="C1926" s="42"/>
      <c r="D1926" s="28" t="str">
        <f aca="false">IF(OR($B1926="",$C1926=""),"",$C1926*IFERROR(INDEX(Setup!$C$47:$C$56,MATCH($B1926,Setup!$A$47:$A$56,0)),IFERROR(INDEX(Setup!$C$60:$C$89,MATCH($B1926,Setup!$A$60:$A$89,0)),"")))</f>
        <v/>
      </c>
      <c r="E1926" s="42"/>
      <c r="F1926" s="42"/>
    </row>
    <row r="1927" customFormat="false" ht="15" hidden="false" customHeight="true" outlineLevel="0" collapsed="false">
      <c r="A1927" s="42"/>
      <c r="B1927" s="42"/>
      <c r="C1927" s="42"/>
      <c r="D1927" s="28" t="str">
        <f aca="false">IF(OR($B1927="",$C1927=""),"",$C1927*IFERROR(INDEX(Setup!$C$47:$C$56,MATCH($B1927,Setup!$A$47:$A$56,0)),IFERROR(INDEX(Setup!$C$60:$C$89,MATCH($B1927,Setup!$A$60:$A$89,0)),"")))</f>
        <v/>
      </c>
      <c r="E1927" s="42"/>
      <c r="F1927" s="42"/>
    </row>
    <row r="1928" customFormat="false" ht="15" hidden="false" customHeight="true" outlineLevel="0" collapsed="false">
      <c r="A1928" s="42"/>
      <c r="B1928" s="42"/>
      <c r="C1928" s="42"/>
      <c r="D1928" s="28" t="str">
        <f aca="false">IF(OR($B1928="",$C1928=""),"",$C1928*IFERROR(INDEX(Setup!$C$47:$C$56,MATCH($B1928,Setup!$A$47:$A$56,0)),IFERROR(INDEX(Setup!$C$60:$C$89,MATCH($B1928,Setup!$A$60:$A$89,0)),"")))</f>
        <v/>
      </c>
      <c r="E1928" s="42"/>
      <c r="F1928" s="42"/>
    </row>
    <row r="1929" customFormat="false" ht="15" hidden="false" customHeight="true" outlineLevel="0" collapsed="false">
      <c r="A1929" s="42"/>
      <c r="B1929" s="42"/>
      <c r="C1929" s="42"/>
      <c r="D1929" s="28" t="str">
        <f aca="false">IF(OR($B1929="",$C1929=""),"",$C1929*IFERROR(INDEX(Setup!$C$47:$C$56,MATCH($B1929,Setup!$A$47:$A$56,0)),IFERROR(INDEX(Setup!$C$60:$C$89,MATCH($B1929,Setup!$A$60:$A$89,0)),"")))</f>
        <v/>
      </c>
      <c r="E1929" s="42"/>
      <c r="F1929" s="42"/>
    </row>
    <row r="1930" customFormat="false" ht="15" hidden="false" customHeight="true" outlineLevel="0" collapsed="false">
      <c r="A1930" s="42"/>
      <c r="B1930" s="42"/>
      <c r="C1930" s="42"/>
      <c r="D1930" s="28" t="str">
        <f aca="false">IF(OR($B1930="",$C1930=""),"",$C1930*IFERROR(INDEX(Setup!$C$47:$C$56,MATCH($B1930,Setup!$A$47:$A$56,0)),IFERROR(INDEX(Setup!$C$60:$C$89,MATCH($B1930,Setup!$A$60:$A$89,0)),"")))</f>
        <v/>
      </c>
      <c r="E1930" s="42"/>
      <c r="F1930" s="42"/>
    </row>
    <row r="1931" customFormat="false" ht="15" hidden="false" customHeight="true" outlineLevel="0" collapsed="false">
      <c r="A1931" s="42"/>
      <c r="B1931" s="42"/>
      <c r="C1931" s="42"/>
      <c r="D1931" s="28" t="str">
        <f aca="false">IF(OR($B1931="",$C1931=""),"",$C1931*IFERROR(INDEX(Setup!$C$47:$C$56,MATCH($B1931,Setup!$A$47:$A$56,0)),IFERROR(INDEX(Setup!$C$60:$C$89,MATCH($B1931,Setup!$A$60:$A$89,0)),"")))</f>
        <v/>
      </c>
      <c r="E1931" s="42"/>
      <c r="F1931" s="42"/>
    </row>
    <row r="1932" customFormat="false" ht="15" hidden="false" customHeight="true" outlineLevel="0" collapsed="false">
      <c r="A1932" s="42"/>
      <c r="B1932" s="42"/>
      <c r="C1932" s="42"/>
      <c r="D1932" s="28" t="str">
        <f aca="false">IF(OR($B1932="",$C1932=""),"",$C1932*IFERROR(INDEX(Setup!$C$47:$C$56,MATCH($B1932,Setup!$A$47:$A$56,0)),IFERROR(INDEX(Setup!$C$60:$C$89,MATCH($B1932,Setup!$A$60:$A$89,0)),"")))</f>
        <v/>
      </c>
      <c r="E1932" s="42"/>
      <c r="F1932" s="42"/>
    </row>
    <row r="1933" customFormat="false" ht="15" hidden="false" customHeight="true" outlineLevel="0" collapsed="false">
      <c r="A1933" s="42"/>
      <c r="B1933" s="42"/>
      <c r="C1933" s="42"/>
      <c r="D1933" s="28" t="str">
        <f aca="false">IF(OR($B1933="",$C1933=""),"",$C1933*IFERROR(INDEX(Setup!$C$47:$C$56,MATCH($B1933,Setup!$A$47:$A$56,0)),IFERROR(INDEX(Setup!$C$60:$C$89,MATCH($B1933,Setup!$A$60:$A$89,0)),"")))</f>
        <v/>
      </c>
      <c r="E1933" s="42"/>
      <c r="F1933" s="42"/>
    </row>
    <row r="1934" customFormat="false" ht="15" hidden="false" customHeight="true" outlineLevel="0" collapsed="false">
      <c r="A1934" s="42"/>
      <c r="B1934" s="42"/>
      <c r="C1934" s="42"/>
      <c r="D1934" s="28" t="str">
        <f aca="false">IF(OR($B1934="",$C1934=""),"",$C1934*IFERROR(INDEX(Setup!$C$47:$C$56,MATCH($B1934,Setup!$A$47:$A$56,0)),IFERROR(INDEX(Setup!$C$60:$C$89,MATCH($B1934,Setup!$A$60:$A$89,0)),"")))</f>
        <v/>
      </c>
      <c r="E1934" s="42"/>
      <c r="F1934" s="42"/>
    </row>
    <row r="1935" customFormat="false" ht="15" hidden="false" customHeight="true" outlineLevel="0" collapsed="false">
      <c r="A1935" s="42"/>
      <c r="B1935" s="42"/>
      <c r="C1935" s="42"/>
      <c r="D1935" s="28" t="str">
        <f aca="false">IF(OR($B1935="",$C1935=""),"",$C1935*IFERROR(INDEX(Setup!$C$47:$C$56,MATCH($B1935,Setup!$A$47:$A$56,0)),IFERROR(INDEX(Setup!$C$60:$C$89,MATCH($B1935,Setup!$A$60:$A$89,0)),"")))</f>
        <v/>
      </c>
      <c r="E1935" s="42"/>
      <c r="F1935" s="42"/>
    </row>
    <row r="1936" customFormat="false" ht="15" hidden="false" customHeight="true" outlineLevel="0" collapsed="false">
      <c r="A1936" s="42"/>
      <c r="B1936" s="42"/>
      <c r="C1936" s="42"/>
      <c r="D1936" s="28" t="str">
        <f aca="false">IF(OR($B1936="",$C1936=""),"",$C1936*IFERROR(INDEX(Setup!$C$47:$C$56,MATCH($B1936,Setup!$A$47:$A$56,0)),IFERROR(INDEX(Setup!$C$60:$C$89,MATCH($B1936,Setup!$A$60:$A$89,0)),"")))</f>
        <v/>
      </c>
      <c r="E1936" s="42"/>
      <c r="F1936" s="42"/>
    </row>
    <row r="1937" customFormat="false" ht="15" hidden="false" customHeight="true" outlineLevel="0" collapsed="false">
      <c r="A1937" s="42"/>
      <c r="B1937" s="42"/>
      <c r="C1937" s="42"/>
      <c r="D1937" s="28" t="str">
        <f aca="false">IF(OR($B1937="",$C1937=""),"",$C1937*IFERROR(INDEX(Setup!$C$47:$C$56,MATCH($B1937,Setup!$A$47:$A$56,0)),IFERROR(INDEX(Setup!$C$60:$C$89,MATCH($B1937,Setup!$A$60:$A$89,0)),"")))</f>
        <v/>
      </c>
      <c r="E1937" s="42"/>
      <c r="F1937" s="42"/>
    </row>
    <row r="1938" customFormat="false" ht="15" hidden="false" customHeight="true" outlineLevel="0" collapsed="false">
      <c r="A1938" s="42"/>
      <c r="B1938" s="42"/>
      <c r="C1938" s="42"/>
      <c r="D1938" s="28" t="str">
        <f aca="false">IF(OR($B1938="",$C1938=""),"",$C1938*IFERROR(INDEX(Setup!$C$47:$C$56,MATCH($B1938,Setup!$A$47:$A$56,0)),IFERROR(INDEX(Setup!$C$60:$C$89,MATCH($B1938,Setup!$A$60:$A$89,0)),"")))</f>
        <v/>
      </c>
      <c r="E1938" s="42"/>
      <c r="F1938" s="42"/>
    </row>
    <row r="1939" customFormat="false" ht="15" hidden="false" customHeight="true" outlineLevel="0" collapsed="false">
      <c r="A1939" s="42"/>
      <c r="B1939" s="42"/>
      <c r="C1939" s="42"/>
      <c r="D1939" s="28" t="str">
        <f aca="false">IF(OR($B1939="",$C1939=""),"",$C1939*IFERROR(INDEX(Setup!$C$47:$C$56,MATCH($B1939,Setup!$A$47:$A$56,0)),IFERROR(INDEX(Setup!$C$60:$C$89,MATCH($B1939,Setup!$A$60:$A$89,0)),"")))</f>
        <v/>
      </c>
      <c r="E1939" s="42"/>
      <c r="F1939" s="42"/>
    </row>
    <row r="1940" customFormat="false" ht="15" hidden="false" customHeight="true" outlineLevel="0" collapsed="false">
      <c r="A1940" s="42"/>
      <c r="B1940" s="42"/>
      <c r="C1940" s="42"/>
      <c r="D1940" s="28" t="str">
        <f aca="false">IF(OR($B1940="",$C1940=""),"",$C1940*IFERROR(INDEX(Setup!$C$47:$C$56,MATCH($B1940,Setup!$A$47:$A$56,0)),IFERROR(INDEX(Setup!$C$60:$C$89,MATCH($B1940,Setup!$A$60:$A$89,0)),"")))</f>
        <v/>
      </c>
      <c r="E1940" s="42"/>
      <c r="F1940" s="42"/>
    </row>
    <row r="1941" customFormat="false" ht="15" hidden="false" customHeight="true" outlineLevel="0" collapsed="false">
      <c r="A1941" s="42"/>
      <c r="B1941" s="42"/>
      <c r="C1941" s="42"/>
      <c r="D1941" s="28" t="str">
        <f aca="false">IF(OR($B1941="",$C1941=""),"",$C1941*IFERROR(INDEX(Setup!$C$47:$C$56,MATCH($B1941,Setup!$A$47:$A$56,0)),IFERROR(INDEX(Setup!$C$60:$C$89,MATCH($B1941,Setup!$A$60:$A$89,0)),"")))</f>
        <v/>
      </c>
      <c r="E1941" s="42"/>
      <c r="F1941" s="42"/>
    </row>
    <row r="1942" customFormat="false" ht="15" hidden="false" customHeight="true" outlineLevel="0" collapsed="false">
      <c r="A1942" s="42"/>
      <c r="B1942" s="42"/>
      <c r="C1942" s="42"/>
      <c r="D1942" s="28" t="str">
        <f aca="false">IF(OR($B1942="",$C1942=""),"",$C1942*IFERROR(INDEX(Setup!$C$47:$C$56,MATCH($B1942,Setup!$A$47:$A$56,0)),IFERROR(INDEX(Setup!$C$60:$C$89,MATCH($B1942,Setup!$A$60:$A$89,0)),"")))</f>
        <v/>
      </c>
      <c r="E1942" s="42"/>
      <c r="F1942" s="42"/>
    </row>
    <row r="1943" customFormat="false" ht="15" hidden="false" customHeight="true" outlineLevel="0" collapsed="false">
      <c r="A1943" s="42"/>
      <c r="B1943" s="42"/>
      <c r="C1943" s="42"/>
      <c r="D1943" s="28" t="str">
        <f aca="false">IF(OR($B1943="",$C1943=""),"",$C1943*IFERROR(INDEX(Setup!$C$47:$C$56,MATCH($B1943,Setup!$A$47:$A$56,0)),IFERROR(INDEX(Setup!$C$60:$C$89,MATCH($B1943,Setup!$A$60:$A$89,0)),"")))</f>
        <v/>
      </c>
      <c r="E1943" s="42"/>
      <c r="F1943" s="42"/>
    </row>
    <row r="1944" customFormat="false" ht="15" hidden="false" customHeight="true" outlineLevel="0" collapsed="false">
      <c r="A1944" s="42"/>
      <c r="B1944" s="42"/>
      <c r="C1944" s="42"/>
      <c r="D1944" s="28" t="str">
        <f aca="false">IF(OR($B1944="",$C1944=""),"",$C1944*IFERROR(INDEX(Setup!$C$47:$C$56,MATCH($B1944,Setup!$A$47:$A$56,0)),IFERROR(INDEX(Setup!$C$60:$C$89,MATCH($B1944,Setup!$A$60:$A$89,0)),"")))</f>
        <v/>
      </c>
      <c r="E1944" s="42"/>
      <c r="F1944" s="42"/>
    </row>
    <row r="1945" customFormat="false" ht="15" hidden="false" customHeight="true" outlineLevel="0" collapsed="false">
      <c r="A1945" s="42"/>
      <c r="B1945" s="42"/>
      <c r="C1945" s="42"/>
      <c r="D1945" s="28" t="str">
        <f aca="false">IF(OR($B1945="",$C1945=""),"",$C1945*IFERROR(INDEX(Setup!$C$47:$C$56,MATCH($B1945,Setup!$A$47:$A$56,0)),IFERROR(INDEX(Setup!$C$60:$C$89,MATCH($B1945,Setup!$A$60:$A$89,0)),"")))</f>
        <v/>
      </c>
      <c r="E1945" s="42"/>
      <c r="F1945" s="42"/>
    </row>
    <row r="1946" customFormat="false" ht="15" hidden="false" customHeight="true" outlineLevel="0" collapsed="false">
      <c r="A1946" s="42"/>
      <c r="B1946" s="42"/>
      <c r="C1946" s="42"/>
      <c r="D1946" s="28" t="str">
        <f aca="false">IF(OR($B1946="",$C1946=""),"",$C1946*IFERROR(INDEX(Setup!$C$47:$C$56,MATCH($B1946,Setup!$A$47:$A$56,0)),IFERROR(INDEX(Setup!$C$60:$C$89,MATCH($B1946,Setup!$A$60:$A$89,0)),"")))</f>
        <v/>
      </c>
      <c r="E1946" s="42"/>
      <c r="F1946" s="42"/>
    </row>
    <row r="1947" customFormat="false" ht="15" hidden="false" customHeight="true" outlineLevel="0" collapsed="false">
      <c r="A1947" s="42"/>
      <c r="B1947" s="42"/>
      <c r="C1947" s="42"/>
      <c r="D1947" s="28" t="str">
        <f aca="false">IF(OR($B1947="",$C1947=""),"",$C1947*IFERROR(INDEX(Setup!$C$47:$C$56,MATCH($B1947,Setup!$A$47:$A$56,0)),IFERROR(INDEX(Setup!$C$60:$C$89,MATCH($B1947,Setup!$A$60:$A$89,0)),"")))</f>
        <v/>
      </c>
      <c r="E1947" s="42"/>
      <c r="F1947" s="42"/>
    </row>
    <row r="1948" customFormat="false" ht="15" hidden="false" customHeight="true" outlineLevel="0" collapsed="false">
      <c r="A1948" s="42"/>
      <c r="B1948" s="42"/>
      <c r="C1948" s="42"/>
      <c r="D1948" s="28" t="str">
        <f aca="false">IF(OR($B1948="",$C1948=""),"",$C1948*IFERROR(INDEX(Setup!$C$47:$C$56,MATCH($B1948,Setup!$A$47:$A$56,0)),IFERROR(INDEX(Setup!$C$60:$C$89,MATCH($B1948,Setup!$A$60:$A$89,0)),"")))</f>
        <v/>
      </c>
      <c r="E1948" s="42"/>
      <c r="F1948" s="42"/>
    </row>
    <row r="1949" customFormat="false" ht="15" hidden="false" customHeight="true" outlineLevel="0" collapsed="false">
      <c r="A1949" s="42"/>
      <c r="B1949" s="42"/>
      <c r="C1949" s="42"/>
      <c r="D1949" s="28" t="str">
        <f aca="false">IF(OR($B1949="",$C1949=""),"",$C1949*IFERROR(INDEX(Setup!$C$47:$C$56,MATCH($B1949,Setup!$A$47:$A$56,0)),IFERROR(INDEX(Setup!$C$60:$C$89,MATCH($B1949,Setup!$A$60:$A$89,0)),"")))</f>
        <v/>
      </c>
      <c r="E1949" s="42"/>
      <c r="F1949" s="42"/>
    </row>
    <row r="1950" customFormat="false" ht="15" hidden="false" customHeight="true" outlineLevel="0" collapsed="false">
      <c r="A1950" s="42"/>
      <c r="B1950" s="42"/>
      <c r="C1950" s="42"/>
      <c r="D1950" s="28" t="str">
        <f aca="false">IF(OR($B1950="",$C1950=""),"",$C1950*IFERROR(INDEX(Setup!$C$47:$C$56,MATCH($B1950,Setup!$A$47:$A$56,0)),IFERROR(INDEX(Setup!$C$60:$C$89,MATCH($B1950,Setup!$A$60:$A$89,0)),"")))</f>
        <v/>
      </c>
      <c r="E1950" s="42"/>
      <c r="F1950" s="42"/>
    </row>
    <row r="1951" customFormat="false" ht="15" hidden="false" customHeight="true" outlineLevel="0" collapsed="false">
      <c r="A1951" s="42"/>
      <c r="B1951" s="42"/>
      <c r="C1951" s="42"/>
      <c r="D1951" s="28" t="str">
        <f aca="false">IF(OR($B1951="",$C1951=""),"",$C1951*IFERROR(INDEX(Setup!$C$47:$C$56,MATCH($B1951,Setup!$A$47:$A$56,0)),IFERROR(INDEX(Setup!$C$60:$C$89,MATCH($B1951,Setup!$A$60:$A$89,0)),"")))</f>
        <v/>
      </c>
      <c r="E1951" s="42"/>
      <c r="F1951" s="42"/>
    </row>
    <row r="1952" customFormat="false" ht="15" hidden="false" customHeight="true" outlineLevel="0" collapsed="false">
      <c r="A1952" s="42"/>
      <c r="B1952" s="42"/>
      <c r="C1952" s="42"/>
      <c r="D1952" s="28" t="str">
        <f aca="false">IF(OR($B1952="",$C1952=""),"",$C1952*IFERROR(INDEX(Setup!$C$47:$C$56,MATCH($B1952,Setup!$A$47:$A$56,0)),IFERROR(INDEX(Setup!$C$60:$C$89,MATCH($B1952,Setup!$A$60:$A$89,0)),"")))</f>
        <v/>
      </c>
      <c r="E1952" s="42"/>
      <c r="F1952" s="42"/>
    </row>
    <row r="1953" customFormat="false" ht="15" hidden="false" customHeight="true" outlineLevel="0" collapsed="false">
      <c r="A1953" s="42"/>
      <c r="B1953" s="42"/>
      <c r="C1953" s="42"/>
      <c r="D1953" s="28" t="str">
        <f aca="false">IF(OR($B1953="",$C1953=""),"",$C1953*IFERROR(INDEX(Setup!$C$47:$C$56,MATCH($B1953,Setup!$A$47:$A$56,0)),IFERROR(INDEX(Setup!$C$60:$C$89,MATCH($B1953,Setup!$A$60:$A$89,0)),"")))</f>
        <v/>
      </c>
      <c r="E1953" s="42"/>
      <c r="F1953" s="42"/>
    </row>
    <row r="1954" customFormat="false" ht="15" hidden="false" customHeight="true" outlineLevel="0" collapsed="false">
      <c r="A1954" s="42"/>
      <c r="B1954" s="42"/>
      <c r="C1954" s="42"/>
      <c r="D1954" s="28" t="str">
        <f aca="false">IF(OR($B1954="",$C1954=""),"",$C1954*IFERROR(INDEX(Setup!$C$47:$C$56,MATCH($B1954,Setup!$A$47:$A$56,0)),IFERROR(INDEX(Setup!$C$60:$C$89,MATCH($B1954,Setup!$A$60:$A$89,0)),"")))</f>
        <v/>
      </c>
      <c r="E1954" s="42"/>
      <c r="F1954" s="42"/>
    </row>
    <row r="1955" customFormat="false" ht="15" hidden="false" customHeight="true" outlineLevel="0" collapsed="false">
      <c r="A1955" s="42"/>
      <c r="B1955" s="42"/>
      <c r="C1955" s="42"/>
      <c r="D1955" s="28" t="str">
        <f aca="false">IF(OR($B1955="",$C1955=""),"",$C1955*IFERROR(INDEX(Setup!$C$47:$C$56,MATCH($B1955,Setup!$A$47:$A$56,0)),IFERROR(INDEX(Setup!$C$60:$C$89,MATCH($B1955,Setup!$A$60:$A$89,0)),"")))</f>
        <v/>
      </c>
      <c r="E1955" s="42"/>
      <c r="F1955" s="42"/>
    </row>
    <row r="1956" customFormat="false" ht="15" hidden="false" customHeight="true" outlineLevel="0" collapsed="false">
      <c r="A1956" s="42"/>
      <c r="B1956" s="42"/>
      <c r="C1956" s="42"/>
      <c r="D1956" s="28" t="str">
        <f aca="false">IF(OR($B1956="",$C1956=""),"",$C1956*IFERROR(INDEX(Setup!$C$47:$C$56,MATCH($B1956,Setup!$A$47:$A$56,0)),IFERROR(INDEX(Setup!$C$60:$C$89,MATCH($B1956,Setup!$A$60:$A$89,0)),"")))</f>
        <v/>
      </c>
      <c r="E1956" s="42"/>
      <c r="F1956" s="42"/>
    </row>
    <row r="1957" customFormat="false" ht="15" hidden="false" customHeight="true" outlineLevel="0" collapsed="false">
      <c r="A1957" s="42"/>
      <c r="B1957" s="42"/>
      <c r="C1957" s="42"/>
      <c r="D1957" s="28" t="str">
        <f aca="false">IF(OR($B1957="",$C1957=""),"",$C1957*IFERROR(INDEX(Setup!$C$47:$C$56,MATCH($B1957,Setup!$A$47:$A$56,0)),IFERROR(INDEX(Setup!$C$60:$C$89,MATCH($B1957,Setup!$A$60:$A$89,0)),"")))</f>
        <v/>
      </c>
      <c r="E1957" s="42"/>
      <c r="F1957" s="42"/>
    </row>
    <row r="1958" customFormat="false" ht="15" hidden="false" customHeight="true" outlineLevel="0" collapsed="false">
      <c r="A1958" s="42"/>
      <c r="B1958" s="42"/>
      <c r="C1958" s="42"/>
      <c r="D1958" s="28" t="str">
        <f aca="false">IF(OR($B1958="",$C1958=""),"",$C1958*IFERROR(INDEX(Setup!$C$47:$C$56,MATCH($B1958,Setup!$A$47:$A$56,0)),IFERROR(INDEX(Setup!$C$60:$C$89,MATCH($B1958,Setup!$A$60:$A$89,0)),"")))</f>
        <v/>
      </c>
      <c r="E1958" s="42"/>
      <c r="F1958" s="42"/>
    </row>
    <row r="1959" customFormat="false" ht="15" hidden="false" customHeight="true" outlineLevel="0" collapsed="false">
      <c r="A1959" s="42"/>
      <c r="B1959" s="42"/>
      <c r="C1959" s="42"/>
      <c r="D1959" s="28" t="str">
        <f aca="false">IF(OR($B1959="",$C1959=""),"",$C1959*IFERROR(INDEX(Setup!$C$47:$C$56,MATCH($B1959,Setup!$A$47:$A$56,0)),IFERROR(INDEX(Setup!$C$60:$C$89,MATCH($B1959,Setup!$A$60:$A$89,0)),"")))</f>
        <v/>
      </c>
      <c r="E1959" s="42"/>
      <c r="F1959" s="42"/>
    </row>
    <row r="1960" customFormat="false" ht="15" hidden="false" customHeight="true" outlineLevel="0" collapsed="false">
      <c r="A1960" s="42"/>
      <c r="B1960" s="42"/>
      <c r="C1960" s="42"/>
      <c r="D1960" s="28" t="str">
        <f aca="false">IF(OR($B1960="",$C1960=""),"",$C1960*IFERROR(INDEX(Setup!$C$47:$C$56,MATCH($B1960,Setup!$A$47:$A$56,0)),IFERROR(INDEX(Setup!$C$60:$C$89,MATCH($B1960,Setup!$A$60:$A$89,0)),"")))</f>
        <v/>
      </c>
      <c r="E1960" s="42"/>
      <c r="F1960" s="42"/>
    </row>
    <row r="1961" customFormat="false" ht="15" hidden="false" customHeight="true" outlineLevel="0" collapsed="false">
      <c r="A1961" s="42"/>
      <c r="B1961" s="42"/>
      <c r="C1961" s="42"/>
      <c r="D1961" s="28" t="str">
        <f aca="false">IF(OR($B1961="",$C1961=""),"",$C1961*IFERROR(INDEX(Setup!$C$47:$C$56,MATCH($B1961,Setup!$A$47:$A$56,0)),IFERROR(INDEX(Setup!$C$60:$C$89,MATCH($B1961,Setup!$A$60:$A$89,0)),"")))</f>
        <v/>
      </c>
      <c r="E1961" s="42"/>
      <c r="F1961" s="42"/>
    </row>
    <row r="1962" customFormat="false" ht="15" hidden="false" customHeight="true" outlineLevel="0" collapsed="false">
      <c r="A1962" s="42"/>
      <c r="B1962" s="42"/>
      <c r="C1962" s="42"/>
      <c r="D1962" s="28" t="str">
        <f aca="false">IF(OR($B1962="",$C1962=""),"",$C1962*IFERROR(INDEX(Setup!$C$47:$C$56,MATCH($B1962,Setup!$A$47:$A$56,0)),IFERROR(INDEX(Setup!$C$60:$C$89,MATCH($B1962,Setup!$A$60:$A$89,0)),"")))</f>
        <v/>
      </c>
      <c r="E1962" s="42"/>
      <c r="F1962" s="42"/>
    </row>
    <row r="1963" customFormat="false" ht="15" hidden="false" customHeight="true" outlineLevel="0" collapsed="false">
      <c r="A1963" s="42"/>
      <c r="B1963" s="42"/>
      <c r="C1963" s="42"/>
      <c r="D1963" s="28" t="str">
        <f aca="false">IF(OR($B1963="",$C1963=""),"",$C1963*IFERROR(INDEX(Setup!$C$47:$C$56,MATCH($B1963,Setup!$A$47:$A$56,0)),IFERROR(INDEX(Setup!$C$60:$C$89,MATCH($B1963,Setup!$A$60:$A$89,0)),"")))</f>
        <v/>
      </c>
      <c r="E1963" s="42"/>
      <c r="F1963" s="42"/>
    </row>
    <row r="1964" customFormat="false" ht="15" hidden="false" customHeight="true" outlineLevel="0" collapsed="false">
      <c r="A1964" s="42"/>
      <c r="B1964" s="42"/>
      <c r="C1964" s="42"/>
      <c r="D1964" s="28" t="str">
        <f aca="false">IF(OR($B1964="",$C1964=""),"",$C1964*IFERROR(INDEX(Setup!$C$47:$C$56,MATCH($B1964,Setup!$A$47:$A$56,0)),IFERROR(INDEX(Setup!$C$60:$C$89,MATCH($B1964,Setup!$A$60:$A$89,0)),"")))</f>
        <v/>
      </c>
      <c r="E1964" s="42"/>
      <c r="F1964" s="42"/>
    </row>
    <row r="1965" customFormat="false" ht="15" hidden="false" customHeight="true" outlineLevel="0" collapsed="false">
      <c r="A1965" s="42"/>
      <c r="B1965" s="42"/>
      <c r="C1965" s="42"/>
      <c r="D1965" s="28" t="str">
        <f aca="false">IF(OR($B1965="",$C1965=""),"",$C1965*IFERROR(INDEX(Setup!$C$47:$C$56,MATCH($B1965,Setup!$A$47:$A$56,0)),IFERROR(INDEX(Setup!$C$60:$C$89,MATCH($B1965,Setup!$A$60:$A$89,0)),"")))</f>
        <v/>
      </c>
      <c r="E1965" s="42"/>
      <c r="F1965" s="42"/>
    </row>
    <row r="1966" customFormat="false" ht="15" hidden="false" customHeight="true" outlineLevel="0" collapsed="false">
      <c r="A1966" s="42"/>
      <c r="B1966" s="42"/>
      <c r="C1966" s="42"/>
      <c r="D1966" s="28" t="str">
        <f aca="false">IF(OR($B1966="",$C1966=""),"",$C1966*IFERROR(INDEX(Setup!$C$47:$C$56,MATCH($B1966,Setup!$A$47:$A$56,0)),IFERROR(INDEX(Setup!$C$60:$C$89,MATCH($B1966,Setup!$A$60:$A$89,0)),"")))</f>
        <v/>
      </c>
      <c r="E1966" s="42"/>
      <c r="F1966" s="42"/>
    </row>
    <row r="1967" customFormat="false" ht="15" hidden="false" customHeight="true" outlineLevel="0" collapsed="false">
      <c r="A1967" s="42"/>
      <c r="B1967" s="42"/>
      <c r="C1967" s="42"/>
      <c r="D1967" s="28" t="str">
        <f aca="false">IF(OR($B1967="",$C1967=""),"",$C1967*IFERROR(INDEX(Setup!$C$47:$C$56,MATCH($B1967,Setup!$A$47:$A$56,0)),IFERROR(INDEX(Setup!$C$60:$C$89,MATCH($B1967,Setup!$A$60:$A$89,0)),"")))</f>
        <v/>
      </c>
      <c r="E1967" s="42"/>
      <c r="F1967" s="42"/>
    </row>
    <row r="1968" customFormat="false" ht="15" hidden="false" customHeight="true" outlineLevel="0" collapsed="false">
      <c r="A1968" s="42"/>
      <c r="B1968" s="42"/>
      <c r="C1968" s="42"/>
      <c r="D1968" s="28" t="str">
        <f aca="false">IF(OR($B1968="",$C1968=""),"",$C1968*IFERROR(INDEX(Setup!$C$47:$C$56,MATCH($B1968,Setup!$A$47:$A$56,0)),IFERROR(INDEX(Setup!$C$60:$C$89,MATCH($B1968,Setup!$A$60:$A$89,0)),"")))</f>
        <v/>
      </c>
      <c r="E1968" s="42"/>
      <c r="F1968" s="42"/>
    </row>
    <row r="1969" customFormat="false" ht="15" hidden="false" customHeight="true" outlineLevel="0" collapsed="false">
      <c r="A1969" s="42"/>
      <c r="B1969" s="42"/>
      <c r="C1969" s="42"/>
      <c r="D1969" s="28" t="str">
        <f aca="false">IF(OR($B1969="",$C1969=""),"",$C1969*IFERROR(INDEX(Setup!$C$47:$C$56,MATCH($B1969,Setup!$A$47:$A$56,0)),IFERROR(INDEX(Setup!$C$60:$C$89,MATCH($B1969,Setup!$A$60:$A$89,0)),"")))</f>
        <v/>
      </c>
      <c r="E1969" s="42"/>
      <c r="F1969" s="42"/>
    </row>
    <row r="1970" customFormat="false" ht="15" hidden="false" customHeight="true" outlineLevel="0" collapsed="false">
      <c r="A1970" s="42"/>
      <c r="B1970" s="42"/>
      <c r="C1970" s="42"/>
      <c r="D1970" s="28" t="str">
        <f aca="false">IF(OR($B1970="",$C1970=""),"",$C1970*IFERROR(INDEX(Setup!$C$47:$C$56,MATCH($B1970,Setup!$A$47:$A$56,0)),IFERROR(INDEX(Setup!$C$60:$C$89,MATCH($B1970,Setup!$A$60:$A$89,0)),"")))</f>
        <v/>
      </c>
      <c r="E1970" s="42"/>
      <c r="F1970" s="42"/>
    </row>
    <row r="1971" customFormat="false" ht="15" hidden="false" customHeight="true" outlineLevel="0" collapsed="false">
      <c r="A1971" s="42"/>
      <c r="B1971" s="42"/>
      <c r="C1971" s="42"/>
      <c r="D1971" s="28" t="str">
        <f aca="false">IF(OR($B1971="",$C1971=""),"",$C1971*IFERROR(INDEX(Setup!$C$47:$C$56,MATCH($B1971,Setup!$A$47:$A$56,0)),IFERROR(INDEX(Setup!$C$60:$C$89,MATCH($B1971,Setup!$A$60:$A$89,0)),"")))</f>
        <v/>
      </c>
      <c r="E1971" s="42"/>
      <c r="F1971" s="42"/>
    </row>
    <row r="1972" customFormat="false" ht="15" hidden="false" customHeight="true" outlineLevel="0" collapsed="false">
      <c r="A1972" s="42"/>
      <c r="B1972" s="42"/>
      <c r="C1972" s="42"/>
      <c r="D1972" s="28" t="str">
        <f aca="false">IF(OR($B1972="",$C1972=""),"",$C1972*IFERROR(INDEX(Setup!$C$47:$C$56,MATCH($B1972,Setup!$A$47:$A$56,0)),IFERROR(INDEX(Setup!$C$60:$C$89,MATCH($B1972,Setup!$A$60:$A$89,0)),"")))</f>
        <v/>
      </c>
      <c r="E1972" s="42"/>
      <c r="F1972" s="42"/>
    </row>
    <row r="1973" customFormat="false" ht="15" hidden="false" customHeight="true" outlineLevel="0" collapsed="false">
      <c r="A1973" s="42"/>
      <c r="B1973" s="42"/>
      <c r="C1973" s="42"/>
      <c r="D1973" s="28" t="str">
        <f aca="false">IF(OR($B1973="",$C1973=""),"",$C1973*IFERROR(INDEX(Setup!$C$47:$C$56,MATCH($B1973,Setup!$A$47:$A$56,0)),IFERROR(INDEX(Setup!$C$60:$C$89,MATCH($B1973,Setup!$A$60:$A$89,0)),"")))</f>
        <v/>
      </c>
      <c r="E1973" s="42"/>
      <c r="F1973" s="42"/>
    </row>
    <row r="1974" customFormat="false" ht="15" hidden="false" customHeight="true" outlineLevel="0" collapsed="false">
      <c r="A1974" s="42"/>
      <c r="B1974" s="42"/>
      <c r="C1974" s="42"/>
      <c r="D1974" s="28" t="str">
        <f aca="false">IF(OR($B1974="",$C1974=""),"",$C1974*IFERROR(INDEX(Setup!$C$47:$C$56,MATCH($B1974,Setup!$A$47:$A$56,0)),IFERROR(INDEX(Setup!$C$60:$C$89,MATCH($B1974,Setup!$A$60:$A$89,0)),"")))</f>
        <v/>
      </c>
      <c r="E1974" s="42"/>
      <c r="F1974" s="42"/>
    </row>
    <row r="1975" customFormat="false" ht="15" hidden="false" customHeight="true" outlineLevel="0" collapsed="false">
      <c r="A1975" s="42"/>
      <c r="B1975" s="42"/>
      <c r="C1975" s="42"/>
      <c r="D1975" s="28" t="str">
        <f aca="false">IF(OR($B1975="",$C1975=""),"",$C1975*IFERROR(INDEX(Setup!$C$47:$C$56,MATCH($B1975,Setup!$A$47:$A$56,0)),IFERROR(INDEX(Setup!$C$60:$C$89,MATCH($B1975,Setup!$A$60:$A$89,0)),"")))</f>
        <v/>
      </c>
      <c r="E1975" s="42"/>
      <c r="F1975" s="42"/>
    </row>
    <row r="1976" customFormat="false" ht="15" hidden="false" customHeight="true" outlineLevel="0" collapsed="false">
      <c r="A1976" s="42"/>
      <c r="B1976" s="42"/>
      <c r="C1976" s="42"/>
      <c r="D1976" s="28" t="str">
        <f aca="false">IF(OR($B1976="",$C1976=""),"",$C1976*IFERROR(INDEX(Setup!$C$47:$C$56,MATCH($B1976,Setup!$A$47:$A$56,0)),IFERROR(INDEX(Setup!$C$60:$C$89,MATCH($B1976,Setup!$A$60:$A$89,0)),"")))</f>
        <v/>
      </c>
      <c r="E1976" s="42"/>
      <c r="F1976" s="42"/>
    </row>
    <row r="1977" customFormat="false" ht="15" hidden="false" customHeight="true" outlineLevel="0" collapsed="false">
      <c r="A1977" s="42"/>
      <c r="B1977" s="42"/>
      <c r="C1977" s="42"/>
      <c r="D1977" s="28" t="str">
        <f aca="false">IF(OR($B1977="",$C1977=""),"",$C1977*IFERROR(INDEX(Setup!$C$47:$C$56,MATCH($B1977,Setup!$A$47:$A$56,0)),IFERROR(INDEX(Setup!$C$60:$C$89,MATCH($B1977,Setup!$A$60:$A$89,0)),"")))</f>
        <v/>
      </c>
      <c r="E1977" s="42"/>
      <c r="F1977" s="42"/>
    </row>
    <row r="1978" customFormat="false" ht="15" hidden="false" customHeight="true" outlineLevel="0" collapsed="false">
      <c r="A1978" s="42"/>
      <c r="B1978" s="42"/>
      <c r="C1978" s="42"/>
      <c r="D1978" s="28" t="str">
        <f aca="false">IF(OR($B1978="",$C1978=""),"",$C1978*IFERROR(INDEX(Setup!$C$47:$C$56,MATCH($B1978,Setup!$A$47:$A$56,0)),IFERROR(INDEX(Setup!$C$60:$C$89,MATCH($B1978,Setup!$A$60:$A$89,0)),"")))</f>
        <v/>
      </c>
      <c r="E1978" s="42"/>
      <c r="F1978" s="42"/>
    </row>
    <row r="1979" customFormat="false" ht="15" hidden="false" customHeight="true" outlineLevel="0" collapsed="false">
      <c r="A1979" s="42"/>
      <c r="B1979" s="42"/>
      <c r="C1979" s="42"/>
      <c r="D1979" s="28" t="str">
        <f aca="false">IF(OR($B1979="",$C1979=""),"",$C1979*IFERROR(INDEX(Setup!$C$47:$C$56,MATCH($B1979,Setup!$A$47:$A$56,0)),IFERROR(INDEX(Setup!$C$60:$C$89,MATCH($B1979,Setup!$A$60:$A$89,0)),"")))</f>
        <v/>
      </c>
      <c r="E1979" s="42"/>
      <c r="F1979" s="42"/>
    </row>
    <row r="1980" customFormat="false" ht="15" hidden="false" customHeight="true" outlineLevel="0" collapsed="false">
      <c r="A1980" s="42"/>
      <c r="B1980" s="42"/>
      <c r="C1980" s="42"/>
      <c r="D1980" s="28" t="str">
        <f aca="false">IF(OR($B1980="",$C1980=""),"",$C1980*IFERROR(INDEX(Setup!$C$47:$C$56,MATCH($B1980,Setup!$A$47:$A$56,0)),IFERROR(INDEX(Setup!$C$60:$C$89,MATCH($B1980,Setup!$A$60:$A$89,0)),"")))</f>
        <v/>
      </c>
      <c r="E1980" s="42"/>
      <c r="F1980" s="42"/>
    </row>
    <row r="1981" customFormat="false" ht="15" hidden="false" customHeight="true" outlineLevel="0" collapsed="false">
      <c r="A1981" s="42"/>
      <c r="B1981" s="42"/>
      <c r="C1981" s="42"/>
      <c r="D1981" s="28" t="str">
        <f aca="false">IF(OR($B1981="",$C1981=""),"",$C1981*IFERROR(INDEX(Setup!$C$47:$C$56,MATCH($B1981,Setup!$A$47:$A$56,0)),IFERROR(INDEX(Setup!$C$60:$C$89,MATCH($B1981,Setup!$A$60:$A$89,0)),"")))</f>
        <v/>
      </c>
      <c r="E1981" s="42"/>
      <c r="F1981" s="42"/>
    </row>
    <row r="1982" customFormat="false" ht="15" hidden="false" customHeight="true" outlineLevel="0" collapsed="false">
      <c r="A1982" s="42"/>
      <c r="B1982" s="42"/>
      <c r="C1982" s="42"/>
      <c r="D1982" s="28" t="str">
        <f aca="false">IF(OR($B1982="",$C1982=""),"",$C1982*IFERROR(INDEX(Setup!$C$47:$C$56,MATCH($B1982,Setup!$A$47:$A$56,0)),IFERROR(INDEX(Setup!$C$60:$C$89,MATCH($B1982,Setup!$A$60:$A$89,0)),"")))</f>
        <v/>
      </c>
      <c r="E1982" s="42"/>
      <c r="F1982" s="42"/>
    </row>
    <row r="1983" customFormat="false" ht="15" hidden="false" customHeight="true" outlineLevel="0" collapsed="false">
      <c r="A1983" s="42"/>
      <c r="B1983" s="42"/>
      <c r="C1983" s="42"/>
      <c r="D1983" s="28" t="str">
        <f aca="false">IF(OR($B1983="",$C1983=""),"",$C1983*IFERROR(INDEX(Setup!$C$47:$C$56,MATCH($B1983,Setup!$A$47:$A$56,0)),IFERROR(INDEX(Setup!$C$60:$C$89,MATCH($B1983,Setup!$A$60:$A$89,0)),"")))</f>
        <v/>
      </c>
      <c r="E1983" s="42"/>
      <c r="F1983" s="42"/>
    </row>
    <row r="1984" customFormat="false" ht="15" hidden="false" customHeight="true" outlineLevel="0" collapsed="false">
      <c r="A1984" s="42"/>
      <c r="B1984" s="42"/>
      <c r="C1984" s="42"/>
      <c r="D1984" s="28" t="str">
        <f aca="false">IF(OR($B1984="",$C1984=""),"",$C1984*IFERROR(INDEX(Setup!$C$47:$C$56,MATCH($B1984,Setup!$A$47:$A$56,0)),IFERROR(INDEX(Setup!$C$60:$C$89,MATCH($B1984,Setup!$A$60:$A$89,0)),"")))</f>
        <v/>
      </c>
      <c r="E1984" s="42"/>
      <c r="F1984" s="42"/>
    </row>
    <row r="1985" customFormat="false" ht="15" hidden="false" customHeight="true" outlineLevel="0" collapsed="false">
      <c r="A1985" s="42"/>
      <c r="B1985" s="42"/>
      <c r="C1985" s="42"/>
      <c r="D1985" s="28" t="str">
        <f aca="false">IF(OR($B1985="",$C1985=""),"",$C1985*IFERROR(INDEX(Setup!$C$47:$C$56,MATCH($B1985,Setup!$A$47:$A$56,0)),IFERROR(INDEX(Setup!$C$60:$C$89,MATCH($B1985,Setup!$A$60:$A$89,0)),"")))</f>
        <v/>
      </c>
      <c r="E1985" s="42"/>
      <c r="F1985" s="42"/>
    </row>
    <row r="1986" customFormat="false" ht="15" hidden="false" customHeight="true" outlineLevel="0" collapsed="false">
      <c r="A1986" s="42"/>
      <c r="B1986" s="42"/>
      <c r="C1986" s="42"/>
      <c r="D1986" s="28" t="str">
        <f aca="false">IF(OR($B1986="",$C1986=""),"",$C1986*IFERROR(INDEX(Setup!$C$47:$C$56,MATCH($B1986,Setup!$A$47:$A$56,0)),IFERROR(INDEX(Setup!$C$60:$C$89,MATCH($B1986,Setup!$A$60:$A$89,0)),"")))</f>
        <v/>
      </c>
      <c r="E1986" s="42"/>
      <c r="F1986" s="42"/>
    </row>
    <row r="1987" customFormat="false" ht="15" hidden="false" customHeight="true" outlineLevel="0" collapsed="false">
      <c r="A1987" s="42"/>
      <c r="B1987" s="42"/>
      <c r="C1987" s="42"/>
      <c r="D1987" s="28" t="str">
        <f aca="false">IF(OR($B1987="",$C1987=""),"",$C1987*IFERROR(INDEX(Setup!$C$47:$C$56,MATCH($B1987,Setup!$A$47:$A$56,0)),IFERROR(INDEX(Setup!$C$60:$C$89,MATCH($B1987,Setup!$A$60:$A$89,0)),"")))</f>
        <v/>
      </c>
      <c r="E1987" s="42"/>
      <c r="F1987" s="42"/>
    </row>
    <row r="1988" customFormat="false" ht="15" hidden="false" customHeight="true" outlineLevel="0" collapsed="false">
      <c r="A1988" s="42"/>
      <c r="B1988" s="42"/>
      <c r="C1988" s="42"/>
      <c r="D1988" s="28" t="str">
        <f aca="false">IF(OR($B1988="",$C1988=""),"",$C1988*IFERROR(INDEX(Setup!$C$47:$C$56,MATCH($B1988,Setup!$A$47:$A$56,0)),IFERROR(INDEX(Setup!$C$60:$C$89,MATCH($B1988,Setup!$A$60:$A$89,0)),"")))</f>
        <v/>
      </c>
      <c r="E1988" s="42"/>
      <c r="F1988" s="42"/>
    </row>
    <row r="1989" customFormat="false" ht="15" hidden="false" customHeight="true" outlineLevel="0" collapsed="false">
      <c r="A1989" s="42"/>
      <c r="B1989" s="42"/>
      <c r="C1989" s="42"/>
      <c r="D1989" s="28" t="str">
        <f aca="false">IF(OR($B1989="",$C1989=""),"",$C1989*IFERROR(INDEX(Setup!$C$47:$C$56,MATCH($B1989,Setup!$A$47:$A$56,0)),IFERROR(INDEX(Setup!$C$60:$C$89,MATCH($B1989,Setup!$A$60:$A$89,0)),"")))</f>
        <v/>
      </c>
      <c r="E1989" s="42"/>
      <c r="F1989" s="42"/>
    </row>
    <row r="1990" customFormat="false" ht="15" hidden="false" customHeight="true" outlineLevel="0" collapsed="false">
      <c r="A1990" s="42"/>
      <c r="B1990" s="42"/>
      <c r="C1990" s="42"/>
      <c r="D1990" s="28" t="str">
        <f aca="false">IF(OR($B1990="",$C1990=""),"",$C1990*IFERROR(INDEX(Setup!$C$47:$C$56,MATCH($B1990,Setup!$A$47:$A$56,0)),IFERROR(INDEX(Setup!$C$60:$C$89,MATCH($B1990,Setup!$A$60:$A$89,0)),"")))</f>
        <v/>
      </c>
      <c r="E1990" s="42"/>
      <c r="F1990" s="42"/>
    </row>
    <row r="1991" customFormat="false" ht="15" hidden="false" customHeight="true" outlineLevel="0" collapsed="false">
      <c r="A1991" s="42"/>
      <c r="B1991" s="42"/>
      <c r="C1991" s="42"/>
      <c r="D1991" s="28" t="str">
        <f aca="false">IF(OR($B1991="",$C1991=""),"",$C1991*IFERROR(INDEX(Setup!$C$47:$C$56,MATCH($B1991,Setup!$A$47:$A$56,0)),IFERROR(INDEX(Setup!$C$60:$C$89,MATCH($B1991,Setup!$A$60:$A$89,0)),"")))</f>
        <v/>
      </c>
      <c r="E1991" s="42"/>
      <c r="F1991" s="42"/>
    </row>
    <row r="1992" customFormat="false" ht="15" hidden="false" customHeight="true" outlineLevel="0" collapsed="false">
      <c r="A1992" s="42"/>
      <c r="B1992" s="42"/>
      <c r="C1992" s="42"/>
      <c r="D1992" s="28" t="str">
        <f aca="false">IF(OR($B1992="",$C1992=""),"",$C1992*IFERROR(INDEX(Setup!$C$47:$C$56,MATCH($B1992,Setup!$A$47:$A$56,0)),IFERROR(INDEX(Setup!$C$60:$C$89,MATCH($B1992,Setup!$A$60:$A$89,0)),"")))</f>
        <v/>
      </c>
      <c r="E1992" s="42"/>
      <c r="F1992" s="42"/>
    </row>
    <row r="1993" customFormat="false" ht="15" hidden="false" customHeight="true" outlineLevel="0" collapsed="false">
      <c r="A1993" s="42"/>
      <c r="B1993" s="42"/>
      <c r="C1993" s="42"/>
      <c r="D1993" s="28" t="str">
        <f aca="false">IF(OR($B1993="",$C1993=""),"",$C1993*IFERROR(INDEX(Setup!$C$47:$C$56,MATCH($B1993,Setup!$A$47:$A$56,0)),IFERROR(INDEX(Setup!$C$60:$C$89,MATCH($B1993,Setup!$A$60:$A$89,0)),"")))</f>
        <v/>
      </c>
      <c r="E1993" s="42"/>
      <c r="F1993" s="42"/>
    </row>
    <row r="1994" customFormat="false" ht="15" hidden="false" customHeight="true" outlineLevel="0" collapsed="false">
      <c r="A1994" s="42"/>
      <c r="B1994" s="42"/>
      <c r="C1994" s="42"/>
      <c r="D1994" s="28" t="str">
        <f aca="false">IF(OR($B1994="",$C1994=""),"",$C1994*IFERROR(INDEX(Setup!$C$47:$C$56,MATCH($B1994,Setup!$A$47:$A$56,0)),IFERROR(INDEX(Setup!$C$60:$C$89,MATCH($B1994,Setup!$A$60:$A$89,0)),"")))</f>
        <v/>
      </c>
      <c r="E1994" s="42"/>
      <c r="F1994" s="42"/>
    </row>
    <row r="1995" customFormat="false" ht="15" hidden="false" customHeight="true" outlineLevel="0" collapsed="false">
      <c r="A1995" s="42"/>
      <c r="B1995" s="42"/>
      <c r="C1995" s="42"/>
      <c r="D1995" s="28" t="str">
        <f aca="false">IF(OR($B1995="",$C1995=""),"",$C1995*IFERROR(INDEX(Setup!$C$47:$C$56,MATCH($B1995,Setup!$A$47:$A$56,0)),IFERROR(INDEX(Setup!$C$60:$C$89,MATCH($B1995,Setup!$A$60:$A$89,0)),"")))</f>
        <v/>
      </c>
      <c r="E1995" s="42"/>
      <c r="F1995" s="42"/>
    </row>
    <row r="1996" customFormat="false" ht="15" hidden="false" customHeight="true" outlineLevel="0" collapsed="false">
      <c r="A1996" s="42"/>
      <c r="B1996" s="42"/>
      <c r="C1996" s="42"/>
      <c r="D1996" s="28" t="str">
        <f aca="false">IF(OR($B1996="",$C1996=""),"",$C1996*IFERROR(INDEX(Setup!$C$47:$C$56,MATCH($B1996,Setup!$A$47:$A$56,0)),IFERROR(INDEX(Setup!$C$60:$C$89,MATCH($B1996,Setup!$A$60:$A$89,0)),"")))</f>
        <v/>
      </c>
      <c r="E1996" s="42"/>
      <c r="F1996" s="42"/>
    </row>
    <row r="1997" customFormat="false" ht="15" hidden="false" customHeight="true" outlineLevel="0" collapsed="false">
      <c r="A1997" s="42"/>
      <c r="B1997" s="42"/>
      <c r="C1997" s="42"/>
      <c r="D1997" s="28" t="str">
        <f aca="false">IF(OR($B1997="",$C1997=""),"",$C1997*IFERROR(INDEX(Setup!$C$47:$C$56,MATCH($B1997,Setup!$A$47:$A$56,0)),IFERROR(INDEX(Setup!$C$60:$C$89,MATCH($B1997,Setup!$A$60:$A$89,0)),"")))</f>
        <v/>
      </c>
      <c r="E1997" s="42"/>
      <c r="F1997" s="42"/>
    </row>
    <row r="1998" customFormat="false" ht="15" hidden="false" customHeight="true" outlineLevel="0" collapsed="false">
      <c r="A1998" s="42"/>
      <c r="B1998" s="42"/>
      <c r="C1998" s="42"/>
      <c r="D1998" s="28" t="str">
        <f aca="false">IF(OR($B1998="",$C1998=""),"",$C1998*IFERROR(INDEX(Setup!$C$47:$C$56,MATCH($B1998,Setup!$A$47:$A$56,0)),IFERROR(INDEX(Setup!$C$60:$C$89,MATCH($B1998,Setup!$A$60:$A$89,0)),"")))</f>
        <v/>
      </c>
      <c r="E1998" s="42"/>
      <c r="F1998" s="42"/>
    </row>
    <row r="1999" customFormat="false" ht="15" hidden="false" customHeight="true" outlineLevel="0" collapsed="false">
      <c r="A1999" s="42"/>
      <c r="B1999" s="42"/>
      <c r="C1999" s="42"/>
      <c r="D1999" s="28" t="str">
        <f aca="false">IF(OR($B1999="",$C1999=""),"",$C1999*IFERROR(INDEX(Setup!$C$47:$C$56,MATCH($B1999,Setup!$A$47:$A$56,0)),IFERROR(INDEX(Setup!$C$60:$C$89,MATCH($B1999,Setup!$A$60:$A$89,0)),"")))</f>
        <v/>
      </c>
      <c r="E1999" s="42"/>
      <c r="F1999" s="42"/>
    </row>
    <row r="2000" customFormat="false" ht="15" hidden="false" customHeight="true" outlineLevel="0" collapsed="false">
      <c r="A2000" s="42"/>
      <c r="B2000" s="42"/>
      <c r="C2000" s="42"/>
      <c r="D2000" s="28" t="str">
        <f aca="false">IF(OR($B2000="",$C2000=""),"",$C2000*IFERROR(INDEX(Setup!$C$47:$C$56,MATCH($B2000,Setup!$A$47:$A$56,0)),IFERROR(INDEX(Setup!$C$60:$C$89,MATCH($B2000,Setup!$A$60:$A$89,0)),"")))</f>
        <v/>
      </c>
      <c r="E2000" s="42"/>
      <c r="F2000" s="42"/>
    </row>
    <row r="2001" customFormat="false" ht="15" hidden="false" customHeight="true" outlineLevel="0" collapsed="false">
      <c r="A2001" s="42"/>
      <c r="B2001" s="42"/>
      <c r="C2001" s="42"/>
      <c r="D2001" s="28" t="str">
        <f aca="false">IF(OR($B2001="",$C2001=""),"",$C2001*IFERROR(INDEX(Setup!$C$47:$C$56,MATCH($B2001,Setup!$A$47:$A$56,0)),IFERROR(INDEX(Setup!$C$60:$C$89,MATCH($B2001,Setup!$A$60:$A$89,0)),"")))</f>
        <v/>
      </c>
      <c r="E2001" s="42"/>
      <c r="F2001" s="42"/>
    </row>
    <row r="2002" customFormat="false" ht="15" hidden="false" customHeight="true" outlineLevel="0" collapsed="false">
      <c r="A2002" s="42"/>
      <c r="B2002" s="42"/>
      <c r="C2002" s="42"/>
      <c r="D2002" s="28" t="str">
        <f aca="false">IF(OR($B2002="",$C2002=""),"",$C2002*IFERROR(INDEX(Setup!$C$47:$C$56,MATCH($B2002,Setup!$A$47:$A$56,0)),IFERROR(INDEX(Setup!$C$60:$C$89,MATCH($B2002,Setup!$A$60:$A$89,0)),"")))</f>
        <v/>
      </c>
      <c r="E2002" s="42"/>
      <c r="F2002" s="42"/>
    </row>
    <row r="2003" customFormat="false" ht="15" hidden="false" customHeight="true" outlineLevel="0" collapsed="false">
      <c r="A2003" s="42"/>
      <c r="B2003" s="42"/>
      <c r="C2003" s="42"/>
      <c r="D2003" s="28" t="str">
        <f aca="false">IF(OR($B2003="",$C2003=""),"",$C2003*IFERROR(INDEX(Setup!$C$47:$C$56,MATCH($B2003,Setup!$A$47:$A$56,0)),IFERROR(INDEX(Setup!$C$60:$C$89,MATCH($B2003,Setup!$A$60:$A$89,0)),"")))</f>
        <v/>
      </c>
      <c r="E2003" s="42"/>
      <c r="F2003" s="42"/>
    </row>
    <row r="2004" customFormat="false" ht="15" hidden="false" customHeight="true" outlineLevel="0" collapsed="false">
      <c r="A2004" s="42"/>
      <c r="B2004" s="42"/>
      <c r="C2004" s="42"/>
      <c r="D2004" s="28" t="str">
        <f aca="false">IF(OR($B2004="",$C2004=""),"",$C2004*IFERROR(INDEX(Setup!$C$47:$C$56,MATCH($B2004,Setup!$A$47:$A$56,0)),IFERROR(INDEX(Setup!$C$60:$C$89,MATCH($B2004,Setup!$A$60:$A$89,0)),"")))</f>
        <v/>
      </c>
      <c r="E2004" s="42"/>
      <c r="F2004" s="42"/>
    </row>
    <row r="2005" customFormat="false" ht="15" hidden="false" customHeight="true" outlineLevel="0" collapsed="false">
      <c r="A2005" s="42"/>
      <c r="B2005" s="42"/>
      <c r="C2005" s="42"/>
      <c r="D2005" s="28" t="str">
        <f aca="false">IF(OR($B2005="",$C2005=""),"",$C2005*IFERROR(INDEX(Setup!$C$47:$C$56,MATCH($B2005,Setup!$A$47:$A$56,0)),IFERROR(INDEX(Setup!$C$60:$C$89,MATCH($B2005,Setup!$A$60:$A$89,0)),"")))</f>
        <v/>
      </c>
      <c r="E2005" s="42"/>
      <c r="F2005" s="42"/>
    </row>
    <row r="2006" customFormat="false" ht="15" hidden="false" customHeight="true" outlineLevel="0" collapsed="false">
      <c r="A2006" s="42"/>
      <c r="B2006" s="42"/>
      <c r="C2006" s="42"/>
      <c r="D2006" s="28" t="str">
        <f aca="false">IF(OR($B2006="",$C2006=""),"",$C2006*IFERROR(INDEX(Setup!$C$47:$C$56,MATCH($B2006,Setup!$A$47:$A$56,0)),IFERROR(INDEX(Setup!$C$60:$C$89,MATCH($B2006,Setup!$A$60:$A$89,0)),"")))</f>
        <v/>
      </c>
      <c r="E2006" s="42"/>
      <c r="F2006" s="42"/>
    </row>
    <row r="2007" customFormat="false" ht="15" hidden="false" customHeight="true" outlineLevel="0" collapsed="false">
      <c r="A2007" s="42"/>
      <c r="B2007" s="42"/>
      <c r="C2007" s="42"/>
      <c r="D2007" s="28" t="str">
        <f aca="false">IF(OR($B2007="",$C2007=""),"",$C2007*IFERROR(INDEX(Setup!$C$47:$C$56,MATCH($B2007,Setup!$A$47:$A$56,0)),IFERROR(INDEX(Setup!$C$60:$C$89,MATCH($B2007,Setup!$A$60:$A$89,0)),"")))</f>
        <v/>
      </c>
      <c r="E2007" s="42"/>
      <c r="F2007" s="42"/>
    </row>
    <row r="2008" customFormat="false" ht="15" hidden="false" customHeight="true" outlineLevel="0" collapsed="false">
      <c r="A2008" s="42"/>
      <c r="B2008" s="42"/>
      <c r="C2008" s="42"/>
      <c r="D2008" s="28" t="str">
        <f aca="false">IF(OR($B2008="",$C2008=""),"",$C2008*IFERROR(INDEX(Setup!$C$47:$C$56,MATCH($B2008,Setup!$A$47:$A$56,0)),IFERROR(INDEX(Setup!$C$60:$C$89,MATCH($B2008,Setup!$A$60:$A$89,0)),"")))</f>
        <v/>
      </c>
      <c r="E2008" s="42"/>
      <c r="F2008" s="42"/>
    </row>
    <row r="2009" customFormat="false" ht="15" hidden="false" customHeight="true" outlineLevel="0" collapsed="false">
      <c r="A2009" s="42"/>
      <c r="B2009" s="42"/>
      <c r="C2009" s="42"/>
      <c r="D2009" s="28" t="str">
        <f aca="false">IF(OR($B2009="",$C2009=""),"",$C2009*IFERROR(INDEX(Setup!$C$47:$C$56,MATCH($B2009,Setup!$A$47:$A$56,0)),IFERROR(INDEX(Setup!$C$60:$C$89,MATCH($B2009,Setup!$A$60:$A$89,0)),"")))</f>
        <v/>
      </c>
      <c r="E2009" s="42"/>
      <c r="F2009" s="42"/>
    </row>
    <row r="2010" customFormat="false" ht="15" hidden="false" customHeight="true" outlineLevel="0" collapsed="false">
      <c r="A2010" s="42"/>
      <c r="B2010" s="42"/>
      <c r="C2010" s="42"/>
      <c r="D2010" s="28" t="str">
        <f aca="false">IF(OR($B2010="",$C2010=""),"",$C2010*IFERROR(INDEX(Setup!$C$47:$C$56,MATCH($B2010,Setup!$A$47:$A$56,0)),IFERROR(INDEX(Setup!$C$60:$C$89,MATCH($B2010,Setup!$A$60:$A$89,0)),"")))</f>
        <v/>
      </c>
      <c r="E2010" s="42"/>
      <c r="F2010" s="42"/>
    </row>
    <row r="2011" customFormat="false" ht="15" hidden="false" customHeight="true" outlineLevel="0" collapsed="false">
      <c r="A2011" s="42"/>
      <c r="B2011" s="42"/>
      <c r="C2011" s="42"/>
      <c r="D2011" s="28" t="str">
        <f aca="false">IF(OR($B2011="",$C2011=""),"",$C2011*IFERROR(INDEX(Setup!$C$47:$C$56,MATCH($B2011,Setup!$A$47:$A$56,0)),IFERROR(INDEX(Setup!$C$60:$C$89,MATCH($B2011,Setup!$A$60:$A$89,0)),"")))</f>
        <v/>
      </c>
      <c r="E2011" s="42"/>
      <c r="F2011" s="42"/>
    </row>
    <row r="2012" customFormat="false" ht="15" hidden="false" customHeight="true" outlineLevel="0" collapsed="false">
      <c r="A2012" s="42"/>
      <c r="B2012" s="42"/>
      <c r="C2012" s="42"/>
      <c r="D2012" s="28" t="str">
        <f aca="false">IF(OR($B2012="",$C2012=""),"",$C2012*IFERROR(INDEX(Setup!$C$47:$C$56,MATCH($B2012,Setup!$A$47:$A$56,0)),IFERROR(INDEX(Setup!$C$60:$C$89,MATCH($B2012,Setup!$A$60:$A$89,0)),"")))</f>
        <v/>
      </c>
      <c r="E2012" s="42"/>
      <c r="F2012" s="42"/>
    </row>
    <row r="2013" customFormat="false" ht="15" hidden="false" customHeight="true" outlineLevel="0" collapsed="false">
      <c r="A2013" s="42"/>
      <c r="B2013" s="42"/>
      <c r="C2013" s="42"/>
      <c r="D2013" s="28" t="str">
        <f aca="false">IF(OR($B2013="",$C2013=""),"",$C2013*IFERROR(INDEX(Setup!$C$47:$C$56,MATCH($B2013,Setup!$A$47:$A$56,0)),IFERROR(INDEX(Setup!$C$60:$C$89,MATCH($B2013,Setup!$A$60:$A$89,0)),"")))</f>
        <v/>
      </c>
      <c r="E2013" s="42"/>
      <c r="F2013" s="42"/>
    </row>
    <row r="2014" customFormat="false" ht="15" hidden="false" customHeight="true" outlineLevel="0" collapsed="false">
      <c r="A2014" s="42"/>
      <c r="B2014" s="42"/>
      <c r="C2014" s="42"/>
      <c r="D2014" s="28" t="str">
        <f aca="false">IF(OR($B2014="",$C2014=""),"",$C2014*IFERROR(INDEX(Setup!$C$47:$C$56,MATCH($B2014,Setup!$A$47:$A$56,0)),IFERROR(INDEX(Setup!$C$60:$C$89,MATCH($B2014,Setup!$A$60:$A$89,0)),"")))</f>
        <v/>
      </c>
      <c r="E2014" s="42"/>
      <c r="F2014" s="42"/>
    </row>
    <row r="2015" customFormat="false" ht="15" hidden="false" customHeight="true" outlineLevel="0" collapsed="false">
      <c r="A2015" s="42"/>
      <c r="B2015" s="42"/>
      <c r="C2015" s="42"/>
      <c r="D2015" s="28" t="str">
        <f aca="false">IF(OR($B2015="",$C2015=""),"",$C2015*IFERROR(INDEX(Setup!$C$47:$C$56,MATCH($B2015,Setup!$A$47:$A$56,0)),IFERROR(INDEX(Setup!$C$60:$C$89,MATCH($B2015,Setup!$A$60:$A$89,0)),"")))</f>
        <v/>
      </c>
      <c r="E2015" s="42"/>
      <c r="F2015" s="42"/>
    </row>
    <row r="2016" customFormat="false" ht="15" hidden="false" customHeight="true" outlineLevel="0" collapsed="false">
      <c r="A2016" s="42"/>
      <c r="B2016" s="42"/>
      <c r="C2016" s="42"/>
      <c r="D2016" s="28" t="str">
        <f aca="false">IF(OR($B2016="",$C2016=""),"",$C2016*IFERROR(INDEX(Setup!$C$47:$C$56,MATCH($B2016,Setup!$A$47:$A$56,0)),IFERROR(INDEX(Setup!$C$60:$C$89,MATCH($B2016,Setup!$A$60:$A$89,0)),"")))</f>
        <v/>
      </c>
      <c r="E2016" s="42"/>
      <c r="F2016" s="42"/>
    </row>
    <row r="2017" customFormat="false" ht="15" hidden="false" customHeight="true" outlineLevel="0" collapsed="false">
      <c r="A2017" s="42"/>
      <c r="B2017" s="42"/>
      <c r="C2017" s="42"/>
      <c r="D2017" s="28" t="str">
        <f aca="false">IF(OR($B2017="",$C2017=""),"",$C2017*IFERROR(INDEX(Setup!$C$47:$C$56,MATCH($B2017,Setup!$A$47:$A$56,0)),IFERROR(INDEX(Setup!$C$60:$C$89,MATCH($B2017,Setup!$A$60:$A$89,0)),"")))</f>
        <v/>
      </c>
      <c r="E2017" s="42"/>
      <c r="F2017" s="42"/>
    </row>
    <row r="2018" customFormat="false" ht="15" hidden="false" customHeight="true" outlineLevel="0" collapsed="false">
      <c r="A2018" s="42"/>
      <c r="B2018" s="42"/>
      <c r="C2018" s="42"/>
      <c r="D2018" s="28" t="str">
        <f aca="false">IF(OR($B2018="",$C2018=""),"",$C2018*IFERROR(INDEX(Setup!$C$47:$C$56,MATCH($B2018,Setup!$A$47:$A$56,0)),IFERROR(INDEX(Setup!$C$60:$C$89,MATCH($B2018,Setup!$A$60:$A$89,0)),"")))</f>
        <v/>
      </c>
      <c r="E2018" s="42"/>
      <c r="F2018" s="42"/>
    </row>
    <row r="2019" customFormat="false" ht="15" hidden="false" customHeight="true" outlineLevel="0" collapsed="false">
      <c r="A2019" s="42"/>
      <c r="B2019" s="42"/>
      <c r="C2019" s="42"/>
      <c r="D2019" s="28" t="str">
        <f aca="false">IF(OR($B2019="",$C2019=""),"",$C2019*IFERROR(INDEX(Setup!$C$47:$C$56,MATCH($B2019,Setup!$A$47:$A$56,0)),IFERROR(INDEX(Setup!$C$60:$C$89,MATCH($B2019,Setup!$A$60:$A$89,0)),"")))</f>
        <v/>
      </c>
      <c r="E2019" s="42"/>
      <c r="F2019" s="42"/>
    </row>
    <row r="2020" customFormat="false" ht="15" hidden="false" customHeight="true" outlineLevel="0" collapsed="false">
      <c r="A2020" s="42"/>
      <c r="B2020" s="42"/>
      <c r="C2020" s="42"/>
      <c r="D2020" s="28" t="str">
        <f aca="false">IF(OR($B2020="",$C2020=""),"",$C2020*IFERROR(INDEX(Setup!$C$47:$C$56,MATCH($B2020,Setup!$A$47:$A$56,0)),IFERROR(INDEX(Setup!$C$60:$C$89,MATCH($B2020,Setup!$A$60:$A$89,0)),"")))</f>
        <v/>
      </c>
      <c r="E2020" s="42"/>
      <c r="F2020" s="42"/>
    </row>
    <row r="2021" customFormat="false" ht="15" hidden="false" customHeight="true" outlineLevel="0" collapsed="false">
      <c r="A2021" s="42"/>
      <c r="B2021" s="42"/>
      <c r="C2021" s="42"/>
      <c r="D2021" s="28" t="str">
        <f aca="false">IF(OR($B2021="",$C2021=""),"",$C2021*IFERROR(INDEX(Setup!$C$47:$C$56,MATCH($B2021,Setup!$A$47:$A$56,0)),IFERROR(INDEX(Setup!$C$60:$C$89,MATCH($B2021,Setup!$A$60:$A$89,0)),"")))</f>
        <v/>
      </c>
      <c r="E2021" s="42"/>
      <c r="F2021" s="42"/>
    </row>
    <row r="2022" customFormat="false" ht="15" hidden="false" customHeight="true" outlineLevel="0" collapsed="false">
      <c r="A2022" s="42"/>
      <c r="B2022" s="42"/>
      <c r="C2022" s="42"/>
      <c r="D2022" s="28" t="str">
        <f aca="false">IF(OR($B2022="",$C2022=""),"",$C2022*IFERROR(INDEX(Setup!$C$47:$C$56,MATCH($B2022,Setup!$A$47:$A$56,0)),IFERROR(INDEX(Setup!$C$60:$C$89,MATCH($B2022,Setup!$A$60:$A$89,0)),"")))</f>
        <v/>
      </c>
      <c r="E2022" s="42"/>
      <c r="F2022" s="42"/>
    </row>
    <row r="2023" customFormat="false" ht="15" hidden="false" customHeight="true" outlineLevel="0" collapsed="false">
      <c r="A2023" s="42"/>
      <c r="B2023" s="42"/>
      <c r="C2023" s="42"/>
      <c r="D2023" s="28" t="str">
        <f aca="false">IF(OR($B2023="",$C2023=""),"",$C2023*IFERROR(INDEX(Setup!$C$47:$C$56,MATCH($B2023,Setup!$A$47:$A$56,0)),IFERROR(INDEX(Setup!$C$60:$C$89,MATCH($B2023,Setup!$A$60:$A$89,0)),"")))</f>
        <v/>
      </c>
      <c r="E2023" s="42"/>
      <c r="F2023" s="42"/>
    </row>
    <row r="2024" customFormat="false" ht="15" hidden="false" customHeight="true" outlineLevel="0" collapsed="false">
      <c r="A2024" s="42"/>
      <c r="B2024" s="42"/>
      <c r="C2024" s="42"/>
      <c r="D2024" s="28" t="str">
        <f aca="false">IF(OR($B2024="",$C2024=""),"",$C2024*IFERROR(INDEX(Setup!$C$47:$C$56,MATCH($B2024,Setup!$A$47:$A$56,0)),IFERROR(INDEX(Setup!$C$60:$C$89,MATCH($B2024,Setup!$A$60:$A$89,0)),"")))</f>
        <v/>
      </c>
      <c r="E2024" s="42"/>
      <c r="F2024" s="42"/>
    </row>
    <row r="2025" customFormat="false" ht="15" hidden="false" customHeight="true" outlineLevel="0" collapsed="false">
      <c r="A2025" s="42"/>
      <c r="B2025" s="42"/>
      <c r="C2025" s="42"/>
      <c r="D2025" s="28" t="str">
        <f aca="false">IF(OR($B2025="",$C2025=""),"",$C2025*IFERROR(INDEX(Setup!$C$47:$C$56,MATCH($B2025,Setup!$A$47:$A$56,0)),IFERROR(INDEX(Setup!$C$60:$C$89,MATCH($B2025,Setup!$A$60:$A$89,0)),"")))</f>
        <v/>
      </c>
      <c r="E2025" s="42"/>
      <c r="F2025" s="42"/>
    </row>
    <row r="2026" customFormat="false" ht="15" hidden="false" customHeight="true" outlineLevel="0" collapsed="false">
      <c r="A2026" s="42"/>
      <c r="B2026" s="42"/>
      <c r="C2026" s="42"/>
      <c r="D2026" s="28" t="str">
        <f aca="false">IF(OR($B2026="",$C2026=""),"",$C2026*IFERROR(INDEX(Setup!$C$47:$C$56,MATCH($B2026,Setup!$A$47:$A$56,0)),IFERROR(INDEX(Setup!$C$60:$C$89,MATCH($B2026,Setup!$A$60:$A$89,0)),"")))</f>
        <v/>
      </c>
      <c r="E2026" s="42"/>
      <c r="F2026" s="42"/>
    </row>
    <row r="2027" customFormat="false" ht="15" hidden="false" customHeight="true" outlineLevel="0" collapsed="false">
      <c r="A2027" s="42"/>
      <c r="B2027" s="42"/>
      <c r="C2027" s="42"/>
      <c r="D2027" s="28" t="str">
        <f aca="false">IF(OR($B2027="",$C2027=""),"",$C2027*IFERROR(INDEX(Setup!$C$47:$C$56,MATCH($B2027,Setup!$A$47:$A$56,0)),IFERROR(INDEX(Setup!$C$60:$C$89,MATCH($B2027,Setup!$A$60:$A$89,0)),"")))</f>
        <v/>
      </c>
      <c r="E2027" s="42"/>
      <c r="F2027" s="42"/>
    </row>
    <row r="2028" customFormat="false" ht="15" hidden="false" customHeight="true" outlineLevel="0" collapsed="false">
      <c r="A2028" s="42"/>
      <c r="B2028" s="42"/>
      <c r="C2028" s="42"/>
      <c r="D2028" s="28" t="str">
        <f aca="false">IF(OR($B2028="",$C2028=""),"",$C2028*IFERROR(INDEX(Setup!$C$47:$C$56,MATCH($B2028,Setup!$A$47:$A$56,0)),IFERROR(INDEX(Setup!$C$60:$C$89,MATCH($B2028,Setup!$A$60:$A$89,0)),"")))</f>
        <v/>
      </c>
      <c r="E2028" s="42"/>
      <c r="F2028" s="42"/>
    </row>
    <row r="2029" customFormat="false" ht="15" hidden="false" customHeight="true" outlineLevel="0" collapsed="false">
      <c r="A2029" s="42"/>
      <c r="B2029" s="42"/>
      <c r="C2029" s="42"/>
      <c r="D2029" s="28" t="str">
        <f aca="false">IF(OR($B2029="",$C2029=""),"",$C2029*IFERROR(INDEX(Setup!$C$47:$C$56,MATCH($B2029,Setup!$A$47:$A$56,0)),IFERROR(INDEX(Setup!$C$60:$C$89,MATCH($B2029,Setup!$A$60:$A$89,0)),"")))</f>
        <v/>
      </c>
      <c r="E2029" s="42"/>
      <c r="F2029" s="42"/>
    </row>
    <row r="2030" customFormat="false" ht="15" hidden="false" customHeight="true" outlineLevel="0" collapsed="false">
      <c r="A2030" s="42"/>
      <c r="B2030" s="42"/>
      <c r="C2030" s="42"/>
      <c r="D2030" s="28" t="str">
        <f aca="false">IF(OR($B2030="",$C2030=""),"",$C2030*IFERROR(INDEX(Setup!$C$47:$C$56,MATCH($B2030,Setup!$A$47:$A$56,0)),IFERROR(INDEX(Setup!$C$60:$C$89,MATCH($B2030,Setup!$A$60:$A$89,0)),"")))</f>
        <v/>
      </c>
      <c r="E2030" s="42"/>
      <c r="F2030" s="42"/>
    </row>
    <row r="2031" customFormat="false" ht="15" hidden="false" customHeight="true" outlineLevel="0" collapsed="false">
      <c r="A2031" s="42"/>
      <c r="B2031" s="42"/>
      <c r="C2031" s="42"/>
      <c r="D2031" s="28" t="str">
        <f aca="false">IF(OR($B2031="",$C2031=""),"",$C2031*IFERROR(INDEX(Setup!$C$47:$C$56,MATCH($B2031,Setup!$A$47:$A$56,0)),IFERROR(INDEX(Setup!$C$60:$C$89,MATCH($B2031,Setup!$A$60:$A$89,0)),"")))</f>
        <v/>
      </c>
      <c r="E2031" s="42"/>
      <c r="F2031" s="42"/>
    </row>
    <row r="2032" customFormat="false" ht="15" hidden="false" customHeight="true" outlineLevel="0" collapsed="false">
      <c r="A2032" s="42"/>
      <c r="B2032" s="42"/>
      <c r="C2032" s="42"/>
      <c r="D2032" s="28" t="str">
        <f aca="false">IF(OR($B2032="",$C2032=""),"",$C2032*IFERROR(INDEX(Setup!$C$47:$C$56,MATCH($B2032,Setup!$A$47:$A$56,0)),IFERROR(INDEX(Setup!$C$60:$C$89,MATCH($B2032,Setup!$A$60:$A$89,0)),"")))</f>
        <v/>
      </c>
      <c r="E2032" s="42"/>
      <c r="F2032" s="42"/>
    </row>
    <row r="2033" customFormat="false" ht="15" hidden="false" customHeight="true" outlineLevel="0" collapsed="false">
      <c r="A2033" s="42"/>
      <c r="B2033" s="42"/>
      <c r="C2033" s="42"/>
      <c r="D2033" s="28" t="str">
        <f aca="false">IF(OR($B2033="",$C2033=""),"",$C2033*IFERROR(INDEX(Setup!$C$47:$C$56,MATCH($B2033,Setup!$A$47:$A$56,0)),IFERROR(INDEX(Setup!$C$60:$C$89,MATCH($B2033,Setup!$A$60:$A$89,0)),"")))</f>
        <v/>
      </c>
      <c r="E2033" s="42"/>
      <c r="F2033" s="42"/>
    </row>
    <row r="2034" customFormat="false" ht="15" hidden="false" customHeight="true" outlineLevel="0" collapsed="false">
      <c r="A2034" s="42"/>
      <c r="B2034" s="42"/>
      <c r="C2034" s="42"/>
      <c r="D2034" s="28" t="str">
        <f aca="false">IF(OR($B2034="",$C2034=""),"",$C2034*IFERROR(INDEX(Setup!$C$47:$C$56,MATCH($B2034,Setup!$A$47:$A$56,0)),IFERROR(INDEX(Setup!$C$60:$C$89,MATCH($B2034,Setup!$A$60:$A$89,0)),"")))</f>
        <v/>
      </c>
      <c r="E2034" s="42"/>
      <c r="F2034" s="42"/>
    </row>
    <row r="2035" customFormat="false" ht="15" hidden="false" customHeight="true" outlineLevel="0" collapsed="false">
      <c r="A2035" s="42"/>
      <c r="B2035" s="42"/>
      <c r="C2035" s="42"/>
      <c r="D2035" s="28" t="str">
        <f aca="false">IF(OR($B2035="",$C2035=""),"",$C2035*IFERROR(INDEX(Setup!$C$47:$C$56,MATCH($B2035,Setup!$A$47:$A$56,0)),IFERROR(INDEX(Setup!$C$60:$C$89,MATCH($B2035,Setup!$A$60:$A$89,0)),"")))</f>
        <v/>
      </c>
      <c r="E2035" s="42"/>
      <c r="F2035" s="42"/>
    </row>
    <row r="2036" customFormat="false" ht="15" hidden="false" customHeight="true" outlineLevel="0" collapsed="false">
      <c r="A2036" s="42"/>
      <c r="B2036" s="42"/>
      <c r="C2036" s="42"/>
      <c r="D2036" s="28" t="str">
        <f aca="false">IF(OR($B2036="",$C2036=""),"",$C2036*IFERROR(INDEX(Setup!$C$47:$C$56,MATCH($B2036,Setup!$A$47:$A$56,0)),IFERROR(INDEX(Setup!$C$60:$C$89,MATCH($B2036,Setup!$A$60:$A$89,0)),"")))</f>
        <v/>
      </c>
      <c r="E2036" s="42"/>
      <c r="F2036" s="42"/>
    </row>
    <row r="2037" customFormat="false" ht="15" hidden="false" customHeight="true" outlineLevel="0" collapsed="false">
      <c r="A2037" s="42"/>
      <c r="B2037" s="42"/>
      <c r="C2037" s="42"/>
      <c r="D2037" s="28" t="str">
        <f aca="false">IF(OR($B2037="",$C2037=""),"",$C2037*IFERROR(INDEX(Setup!$C$47:$C$56,MATCH($B2037,Setup!$A$47:$A$56,0)),IFERROR(INDEX(Setup!$C$60:$C$89,MATCH($B2037,Setup!$A$60:$A$89,0)),"")))</f>
        <v/>
      </c>
      <c r="E2037" s="42"/>
      <c r="F2037" s="42"/>
    </row>
    <row r="2038" customFormat="false" ht="15" hidden="false" customHeight="true" outlineLevel="0" collapsed="false">
      <c r="A2038" s="42"/>
      <c r="B2038" s="42"/>
      <c r="C2038" s="42"/>
      <c r="D2038" s="28" t="str">
        <f aca="false">IF(OR($B2038="",$C2038=""),"",$C2038*IFERROR(INDEX(Setup!$C$47:$C$56,MATCH($B2038,Setup!$A$47:$A$56,0)),IFERROR(INDEX(Setup!$C$60:$C$89,MATCH($B2038,Setup!$A$60:$A$89,0)),"")))</f>
        <v/>
      </c>
      <c r="E2038" s="42"/>
      <c r="F2038" s="42"/>
    </row>
    <row r="2039" customFormat="false" ht="15" hidden="false" customHeight="true" outlineLevel="0" collapsed="false">
      <c r="A2039" s="42"/>
      <c r="B2039" s="42"/>
      <c r="C2039" s="42"/>
      <c r="D2039" s="28" t="str">
        <f aca="false">IF(OR($B2039="",$C2039=""),"",$C2039*IFERROR(INDEX(Setup!$C$47:$C$56,MATCH($B2039,Setup!$A$47:$A$56,0)),IFERROR(INDEX(Setup!$C$60:$C$89,MATCH($B2039,Setup!$A$60:$A$89,0)),"")))</f>
        <v/>
      </c>
      <c r="E2039" s="42"/>
      <c r="F2039" s="42"/>
    </row>
    <row r="2040" customFormat="false" ht="15" hidden="false" customHeight="true" outlineLevel="0" collapsed="false">
      <c r="A2040" s="42"/>
      <c r="B2040" s="42"/>
      <c r="C2040" s="42"/>
      <c r="D2040" s="28" t="str">
        <f aca="false">IF(OR($B2040="",$C2040=""),"",$C2040*IFERROR(INDEX(Setup!$C$47:$C$56,MATCH($B2040,Setup!$A$47:$A$56,0)),IFERROR(INDEX(Setup!$C$60:$C$89,MATCH($B2040,Setup!$A$60:$A$89,0)),"")))</f>
        <v/>
      </c>
      <c r="E2040" s="42"/>
      <c r="F2040" s="42"/>
    </row>
    <row r="2041" customFormat="false" ht="15" hidden="false" customHeight="true" outlineLevel="0" collapsed="false">
      <c r="A2041" s="42"/>
      <c r="B2041" s="42"/>
      <c r="C2041" s="42"/>
      <c r="D2041" s="28" t="str">
        <f aca="false">IF(OR($B2041="",$C2041=""),"",$C2041*IFERROR(INDEX(Setup!$C$47:$C$56,MATCH($B2041,Setup!$A$47:$A$56,0)),IFERROR(INDEX(Setup!$C$60:$C$89,MATCH($B2041,Setup!$A$60:$A$89,0)),"")))</f>
        <v/>
      </c>
      <c r="E2041" s="42"/>
      <c r="F2041" s="42"/>
    </row>
    <row r="2042" customFormat="false" ht="15" hidden="false" customHeight="true" outlineLevel="0" collapsed="false">
      <c r="A2042" s="42"/>
      <c r="B2042" s="42"/>
      <c r="C2042" s="42"/>
      <c r="D2042" s="28" t="str">
        <f aca="false">IF(OR($B2042="",$C2042=""),"",$C2042*IFERROR(INDEX(Setup!$C$47:$C$56,MATCH($B2042,Setup!$A$47:$A$56,0)),IFERROR(INDEX(Setup!$C$60:$C$89,MATCH($B2042,Setup!$A$60:$A$89,0)),"")))</f>
        <v/>
      </c>
      <c r="E2042" s="42"/>
      <c r="F2042" s="42"/>
    </row>
    <row r="2043" customFormat="false" ht="15" hidden="false" customHeight="true" outlineLevel="0" collapsed="false">
      <c r="A2043" s="42"/>
      <c r="B2043" s="42"/>
      <c r="C2043" s="42"/>
      <c r="D2043" s="28" t="str">
        <f aca="false">IF(OR($B2043="",$C2043=""),"",$C2043*IFERROR(INDEX(Setup!$C$47:$C$56,MATCH($B2043,Setup!$A$47:$A$56,0)),IFERROR(INDEX(Setup!$C$60:$C$89,MATCH($B2043,Setup!$A$60:$A$89,0)),"")))</f>
        <v/>
      </c>
      <c r="E2043" s="42"/>
      <c r="F2043" s="42"/>
    </row>
    <row r="2044" customFormat="false" ht="15" hidden="false" customHeight="true" outlineLevel="0" collapsed="false">
      <c r="A2044" s="42"/>
      <c r="B2044" s="42"/>
      <c r="C2044" s="42"/>
      <c r="D2044" s="28" t="str">
        <f aca="false">IF(OR($B2044="",$C2044=""),"",$C2044*IFERROR(INDEX(Setup!$C$47:$C$56,MATCH($B2044,Setup!$A$47:$A$56,0)),IFERROR(INDEX(Setup!$C$60:$C$89,MATCH($B2044,Setup!$A$60:$A$89,0)),"")))</f>
        <v/>
      </c>
      <c r="E2044" s="42"/>
      <c r="F2044" s="42"/>
    </row>
    <row r="2045" customFormat="false" ht="15" hidden="false" customHeight="true" outlineLevel="0" collapsed="false">
      <c r="A2045" s="42"/>
      <c r="B2045" s="42"/>
      <c r="C2045" s="42"/>
      <c r="D2045" s="28" t="str">
        <f aca="false">IF(OR($B2045="",$C2045=""),"",$C2045*IFERROR(INDEX(Setup!$C$47:$C$56,MATCH($B2045,Setup!$A$47:$A$56,0)),IFERROR(INDEX(Setup!$C$60:$C$89,MATCH($B2045,Setup!$A$60:$A$89,0)),"")))</f>
        <v/>
      </c>
      <c r="E2045" s="42"/>
      <c r="F2045" s="42"/>
    </row>
    <row r="2046" customFormat="false" ht="15" hidden="false" customHeight="true" outlineLevel="0" collapsed="false">
      <c r="A2046" s="42"/>
      <c r="B2046" s="42"/>
      <c r="C2046" s="42"/>
      <c r="D2046" s="28" t="str">
        <f aca="false">IF(OR($B2046="",$C2046=""),"",$C2046*IFERROR(INDEX(Setup!$C$47:$C$56,MATCH($B2046,Setup!$A$47:$A$56,0)),IFERROR(INDEX(Setup!$C$60:$C$89,MATCH($B2046,Setup!$A$60:$A$89,0)),"")))</f>
        <v/>
      </c>
      <c r="E2046" s="42"/>
      <c r="F2046" s="42"/>
    </row>
    <row r="2047" customFormat="false" ht="15" hidden="false" customHeight="true" outlineLevel="0" collapsed="false">
      <c r="A2047" s="42"/>
      <c r="B2047" s="42"/>
      <c r="C2047" s="42"/>
      <c r="D2047" s="28" t="str">
        <f aca="false">IF(OR($B2047="",$C2047=""),"",$C2047*IFERROR(INDEX(Setup!$C$47:$C$56,MATCH($B2047,Setup!$A$47:$A$56,0)),IFERROR(INDEX(Setup!$C$60:$C$89,MATCH($B2047,Setup!$A$60:$A$89,0)),"")))</f>
        <v/>
      </c>
      <c r="E2047" s="42"/>
      <c r="F2047" s="42"/>
    </row>
    <row r="2048" customFormat="false" ht="15" hidden="false" customHeight="true" outlineLevel="0" collapsed="false">
      <c r="A2048" s="42"/>
      <c r="B2048" s="42"/>
      <c r="C2048" s="42"/>
      <c r="D2048" s="28" t="str">
        <f aca="false">IF(OR($B2048="",$C2048=""),"",$C2048*IFERROR(INDEX(Setup!$C$47:$C$56,MATCH($B2048,Setup!$A$47:$A$56,0)),IFERROR(INDEX(Setup!$C$60:$C$89,MATCH($B2048,Setup!$A$60:$A$89,0)),"")))</f>
        <v/>
      </c>
      <c r="E2048" s="42"/>
      <c r="F2048" s="42"/>
    </row>
    <row r="2049" customFormat="false" ht="15" hidden="false" customHeight="true" outlineLevel="0" collapsed="false">
      <c r="A2049" s="42"/>
      <c r="B2049" s="42"/>
      <c r="C2049" s="42"/>
      <c r="D2049" s="28" t="str">
        <f aca="false">IF(OR($B2049="",$C2049=""),"",$C2049*IFERROR(INDEX(Setup!$C$47:$C$56,MATCH($B2049,Setup!$A$47:$A$56,0)),IFERROR(INDEX(Setup!$C$60:$C$89,MATCH($B2049,Setup!$A$60:$A$89,0)),"")))</f>
        <v/>
      </c>
      <c r="E2049" s="42"/>
      <c r="F2049" s="42"/>
    </row>
    <row r="2050" customFormat="false" ht="15" hidden="false" customHeight="true" outlineLevel="0" collapsed="false">
      <c r="A2050" s="42"/>
      <c r="B2050" s="42"/>
      <c r="C2050" s="42"/>
      <c r="D2050" s="28" t="str">
        <f aca="false">IF(OR($B2050="",$C2050=""),"",$C2050*IFERROR(INDEX(Setup!$C$47:$C$56,MATCH($B2050,Setup!$A$47:$A$56,0)),IFERROR(INDEX(Setup!$C$60:$C$89,MATCH($B2050,Setup!$A$60:$A$89,0)),"")))</f>
        <v/>
      </c>
      <c r="E2050" s="42"/>
      <c r="F2050" s="42"/>
    </row>
    <row r="2051" customFormat="false" ht="15" hidden="false" customHeight="true" outlineLevel="0" collapsed="false">
      <c r="A2051" s="42"/>
      <c r="B2051" s="42"/>
      <c r="C2051" s="42"/>
      <c r="D2051" s="28" t="str">
        <f aca="false">IF(OR($B2051="",$C2051=""),"",$C2051*IFERROR(INDEX(Setup!$C$47:$C$56,MATCH($B2051,Setup!$A$47:$A$56,0)),IFERROR(INDEX(Setup!$C$60:$C$89,MATCH($B2051,Setup!$A$60:$A$89,0)),"")))</f>
        <v/>
      </c>
      <c r="E2051" s="42"/>
      <c r="F2051" s="42"/>
    </row>
    <row r="2052" customFormat="false" ht="15" hidden="false" customHeight="true" outlineLevel="0" collapsed="false">
      <c r="A2052" s="42"/>
      <c r="B2052" s="42"/>
      <c r="C2052" s="42"/>
      <c r="D2052" s="28" t="str">
        <f aca="false">IF(OR($B2052="",$C2052=""),"",$C2052*IFERROR(INDEX(Setup!$C$47:$C$56,MATCH($B2052,Setup!$A$47:$A$56,0)),IFERROR(INDEX(Setup!$C$60:$C$89,MATCH($B2052,Setup!$A$60:$A$89,0)),"")))</f>
        <v/>
      </c>
      <c r="E2052" s="42"/>
      <c r="F2052" s="42"/>
    </row>
    <row r="2053" customFormat="false" ht="15" hidden="false" customHeight="true" outlineLevel="0" collapsed="false">
      <c r="A2053" s="42"/>
      <c r="B2053" s="42"/>
      <c r="C2053" s="42"/>
      <c r="D2053" s="28" t="str">
        <f aca="false">IF(OR($B2053="",$C2053=""),"",$C2053*IFERROR(INDEX(Setup!$C$47:$C$56,MATCH($B2053,Setup!$A$47:$A$56,0)),IFERROR(INDEX(Setup!$C$60:$C$89,MATCH($B2053,Setup!$A$60:$A$89,0)),"")))</f>
        <v/>
      </c>
      <c r="E2053" s="42"/>
      <c r="F2053" s="42"/>
    </row>
    <row r="2054" customFormat="false" ht="15" hidden="false" customHeight="true" outlineLevel="0" collapsed="false">
      <c r="A2054" s="42"/>
      <c r="B2054" s="42"/>
      <c r="C2054" s="42"/>
      <c r="D2054" s="28" t="str">
        <f aca="false">IF(OR($B2054="",$C2054=""),"",$C2054*IFERROR(INDEX(Setup!$C$47:$C$56,MATCH($B2054,Setup!$A$47:$A$56,0)),IFERROR(INDEX(Setup!$C$60:$C$89,MATCH($B2054,Setup!$A$60:$A$89,0)),"")))</f>
        <v/>
      </c>
      <c r="E2054" s="42"/>
      <c r="F2054" s="42"/>
    </row>
    <row r="2055" customFormat="false" ht="15" hidden="false" customHeight="true" outlineLevel="0" collapsed="false">
      <c r="A2055" s="42"/>
      <c r="B2055" s="42"/>
      <c r="C2055" s="42"/>
      <c r="D2055" s="28" t="str">
        <f aca="false">IF(OR($B2055="",$C2055=""),"",$C2055*IFERROR(INDEX(Setup!$C$47:$C$56,MATCH($B2055,Setup!$A$47:$A$56,0)),IFERROR(INDEX(Setup!$C$60:$C$89,MATCH($B2055,Setup!$A$60:$A$89,0)),"")))</f>
        <v/>
      </c>
      <c r="E2055" s="42"/>
      <c r="F2055" s="42"/>
    </row>
    <row r="2056" customFormat="false" ht="15" hidden="false" customHeight="true" outlineLevel="0" collapsed="false">
      <c r="A2056" s="42"/>
      <c r="B2056" s="42"/>
      <c r="C2056" s="42"/>
      <c r="D2056" s="28" t="str">
        <f aca="false">IF(OR($B2056="",$C2056=""),"",$C2056*IFERROR(INDEX(Setup!$C$47:$C$56,MATCH($B2056,Setup!$A$47:$A$56,0)),IFERROR(INDEX(Setup!$C$60:$C$89,MATCH($B2056,Setup!$A$60:$A$89,0)),"")))</f>
        <v/>
      </c>
      <c r="E2056" s="42"/>
      <c r="F2056" s="42"/>
    </row>
    <row r="2057" customFormat="false" ht="15" hidden="false" customHeight="true" outlineLevel="0" collapsed="false">
      <c r="A2057" s="42"/>
      <c r="B2057" s="42"/>
      <c r="C2057" s="42"/>
      <c r="D2057" s="28" t="str">
        <f aca="false">IF(OR($B2057="",$C2057=""),"",$C2057*IFERROR(INDEX(Setup!$C$47:$C$56,MATCH($B2057,Setup!$A$47:$A$56,0)),IFERROR(INDEX(Setup!$C$60:$C$89,MATCH($B2057,Setup!$A$60:$A$89,0)),"")))</f>
        <v/>
      </c>
      <c r="E2057" s="42"/>
      <c r="F2057" s="42"/>
    </row>
    <row r="2058" customFormat="false" ht="15" hidden="false" customHeight="true" outlineLevel="0" collapsed="false">
      <c r="A2058" s="42"/>
      <c r="B2058" s="42"/>
      <c r="C2058" s="42"/>
      <c r="D2058" s="28" t="str">
        <f aca="false">IF(OR($B2058="",$C2058=""),"",$C2058*IFERROR(INDEX(Setup!$C$47:$C$56,MATCH($B2058,Setup!$A$47:$A$56,0)),IFERROR(INDEX(Setup!$C$60:$C$89,MATCH($B2058,Setup!$A$60:$A$89,0)),"")))</f>
        <v/>
      </c>
      <c r="E2058" s="42"/>
      <c r="F2058" s="42"/>
    </row>
    <row r="2059" customFormat="false" ht="15" hidden="false" customHeight="true" outlineLevel="0" collapsed="false">
      <c r="A2059" s="42"/>
      <c r="B2059" s="42"/>
      <c r="C2059" s="42"/>
      <c r="D2059" s="28" t="str">
        <f aca="false">IF(OR($B2059="",$C2059=""),"",$C2059*IFERROR(INDEX(Setup!$C$47:$C$56,MATCH($B2059,Setup!$A$47:$A$56,0)),IFERROR(INDEX(Setup!$C$60:$C$89,MATCH($B2059,Setup!$A$60:$A$89,0)),"")))</f>
        <v/>
      </c>
      <c r="E2059" s="42"/>
      <c r="F2059" s="42"/>
    </row>
    <row r="2060" customFormat="false" ht="15" hidden="false" customHeight="true" outlineLevel="0" collapsed="false">
      <c r="A2060" s="42"/>
      <c r="B2060" s="42"/>
      <c r="C2060" s="42"/>
      <c r="D2060" s="28" t="str">
        <f aca="false">IF(OR($B2060="",$C2060=""),"",$C2060*IFERROR(INDEX(Setup!$C$47:$C$56,MATCH($B2060,Setup!$A$47:$A$56,0)),IFERROR(INDEX(Setup!$C$60:$C$89,MATCH($B2060,Setup!$A$60:$A$89,0)),"")))</f>
        <v/>
      </c>
      <c r="E2060" s="42"/>
      <c r="F2060" s="42"/>
    </row>
    <row r="2061" customFormat="false" ht="15" hidden="false" customHeight="true" outlineLevel="0" collapsed="false">
      <c r="A2061" s="42"/>
      <c r="B2061" s="42"/>
      <c r="C2061" s="42"/>
      <c r="D2061" s="28" t="str">
        <f aca="false">IF(OR($B2061="",$C2061=""),"",$C2061*IFERROR(INDEX(Setup!$C$47:$C$56,MATCH($B2061,Setup!$A$47:$A$56,0)),IFERROR(INDEX(Setup!$C$60:$C$89,MATCH($B2061,Setup!$A$60:$A$89,0)),"")))</f>
        <v/>
      </c>
      <c r="E2061" s="42"/>
      <c r="F2061" s="42"/>
    </row>
    <row r="2062" customFormat="false" ht="15" hidden="false" customHeight="true" outlineLevel="0" collapsed="false">
      <c r="A2062" s="42"/>
      <c r="B2062" s="42"/>
      <c r="C2062" s="42"/>
      <c r="D2062" s="28" t="str">
        <f aca="false">IF(OR($B2062="",$C2062=""),"",$C2062*IFERROR(INDEX(Setup!$C$47:$C$56,MATCH($B2062,Setup!$A$47:$A$56,0)),IFERROR(INDEX(Setup!$C$60:$C$89,MATCH($B2062,Setup!$A$60:$A$89,0)),"")))</f>
        <v/>
      </c>
      <c r="E2062" s="42"/>
      <c r="F2062" s="42"/>
    </row>
    <row r="2063" customFormat="false" ht="15" hidden="false" customHeight="true" outlineLevel="0" collapsed="false">
      <c r="A2063" s="42"/>
      <c r="B2063" s="42"/>
      <c r="C2063" s="42"/>
      <c r="D2063" s="28" t="str">
        <f aca="false">IF(OR($B2063="",$C2063=""),"",$C2063*IFERROR(INDEX(Setup!$C$47:$C$56,MATCH($B2063,Setup!$A$47:$A$56,0)),IFERROR(INDEX(Setup!$C$60:$C$89,MATCH($B2063,Setup!$A$60:$A$89,0)),"")))</f>
        <v/>
      </c>
      <c r="E2063" s="42"/>
      <c r="F2063" s="42"/>
    </row>
    <row r="2064" customFormat="false" ht="15" hidden="false" customHeight="true" outlineLevel="0" collapsed="false">
      <c r="A2064" s="42"/>
      <c r="B2064" s="42"/>
      <c r="C2064" s="42"/>
      <c r="D2064" s="28" t="str">
        <f aca="false">IF(OR($B2064="",$C2064=""),"",$C2064*IFERROR(INDEX(Setup!$C$47:$C$56,MATCH($B2064,Setup!$A$47:$A$56,0)),IFERROR(INDEX(Setup!$C$60:$C$89,MATCH($B2064,Setup!$A$60:$A$89,0)),"")))</f>
        <v/>
      </c>
      <c r="E2064" s="42"/>
      <c r="F2064" s="42"/>
    </row>
    <row r="2065" customFormat="false" ht="15" hidden="false" customHeight="true" outlineLevel="0" collapsed="false">
      <c r="A2065" s="42"/>
      <c r="B2065" s="42"/>
      <c r="C2065" s="42"/>
      <c r="D2065" s="28" t="str">
        <f aca="false">IF(OR($B2065="",$C2065=""),"",$C2065*IFERROR(INDEX(Setup!$C$47:$C$56,MATCH($B2065,Setup!$A$47:$A$56,0)),IFERROR(INDEX(Setup!$C$60:$C$89,MATCH($B2065,Setup!$A$60:$A$89,0)),"")))</f>
        <v/>
      </c>
      <c r="E2065" s="42"/>
      <c r="F2065" s="42"/>
    </row>
    <row r="2066" customFormat="false" ht="15" hidden="false" customHeight="true" outlineLevel="0" collapsed="false">
      <c r="A2066" s="42"/>
      <c r="B2066" s="42"/>
      <c r="C2066" s="42"/>
      <c r="D2066" s="28" t="str">
        <f aca="false">IF(OR($B2066="",$C2066=""),"",$C2066*IFERROR(INDEX(Setup!$C$47:$C$56,MATCH($B2066,Setup!$A$47:$A$56,0)),IFERROR(INDEX(Setup!$C$60:$C$89,MATCH($B2066,Setup!$A$60:$A$89,0)),"")))</f>
        <v/>
      </c>
      <c r="E2066" s="42"/>
      <c r="F2066" s="42"/>
    </row>
    <row r="2067" customFormat="false" ht="15" hidden="false" customHeight="true" outlineLevel="0" collapsed="false">
      <c r="A2067" s="42"/>
      <c r="B2067" s="42"/>
      <c r="C2067" s="42"/>
      <c r="D2067" s="28" t="str">
        <f aca="false">IF(OR($B2067="",$C2067=""),"",$C2067*IFERROR(INDEX(Setup!$C$47:$C$56,MATCH($B2067,Setup!$A$47:$A$56,0)),IFERROR(INDEX(Setup!$C$60:$C$89,MATCH($B2067,Setup!$A$60:$A$89,0)),"")))</f>
        <v/>
      </c>
      <c r="E2067" s="42"/>
      <c r="F2067" s="42"/>
    </row>
    <row r="2068" customFormat="false" ht="15" hidden="false" customHeight="true" outlineLevel="0" collapsed="false">
      <c r="A2068" s="42"/>
      <c r="B2068" s="42"/>
      <c r="C2068" s="42"/>
      <c r="D2068" s="28" t="str">
        <f aca="false">IF(OR($B2068="",$C2068=""),"",$C2068*IFERROR(INDEX(Setup!$C$47:$C$56,MATCH($B2068,Setup!$A$47:$A$56,0)),IFERROR(INDEX(Setup!$C$60:$C$89,MATCH($B2068,Setup!$A$60:$A$89,0)),"")))</f>
        <v/>
      </c>
      <c r="E2068" s="42"/>
      <c r="F2068" s="42"/>
    </row>
    <row r="2069" customFormat="false" ht="15" hidden="false" customHeight="true" outlineLevel="0" collapsed="false">
      <c r="A2069" s="42"/>
      <c r="B2069" s="42"/>
      <c r="C2069" s="42"/>
      <c r="D2069" s="28" t="str">
        <f aca="false">IF(OR($B2069="",$C2069=""),"",$C2069*IFERROR(INDEX(Setup!$C$47:$C$56,MATCH($B2069,Setup!$A$47:$A$56,0)),IFERROR(INDEX(Setup!$C$60:$C$89,MATCH($B2069,Setup!$A$60:$A$89,0)),"")))</f>
        <v/>
      </c>
      <c r="E2069" s="42"/>
      <c r="F2069" s="42"/>
    </row>
    <row r="2070" customFormat="false" ht="15" hidden="false" customHeight="true" outlineLevel="0" collapsed="false">
      <c r="A2070" s="42"/>
      <c r="B2070" s="42"/>
      <c r="C2070" s="42"/>
      <c r="D2070" s="28" t="str">
        <f aca="false">IF(OR($B2070="",$C2070=""),"",$C2070*IFERROR(INDEX(Setup!$C$47:$C$56,MATCH($B2070,Setup!$A$47:$A$56,0)),IFERROR(INDEX(Setup!$C$60:$C$89,MATCH($B2070,Setup!$A$60:$A$89,0)),"")))</f>
        <v/>
      </c>
      <c r="E2070" s="42"/>
      <c r="F2070" s="42"/>
    </row>
    <row r="2071" customFormat="false" ht="15" hidden="false" customHeight="true" outlineLevel="0" collapsed="false">
      <c r="A2071" s="42"/>
      <c r="B2071" s="42"/>
      <c r="C2071" s="42"/>
      <c r="D2071" s="28" t="str">
        <f aca="false">IF(OR($B2071="",$C2071=""),"",$C2071*IFERROR(INDEX(Setup!$C$47:$C$56,MATCH($B2071,Setup!$A$47:$A$56,0)),IFERROR(INDEX(Setup!$C$60:$C$89,MATCH($B2071,Setup!$A$60:$A$89,0)),"")))</f>
        <v/>
      </c>
      <c r="E2071" s="42"/>
      <c r="F2071" s="42"/>
    </row>
    <row r="2072" customFormat="false" ht="15" hidden="false" customHeight="true" outlineLevel="0" collapsed="false">
      <c r="A2072" s="42"/>
      <c r="B2072" s="42"/>
      <c r="C2072" s="42"/>
      <c r="D2072" s="28" t="str">
        <f aca="false">IF(OR($B2072="",$C2072=""),"",$C2072*IFERROR(INDEX(Setup!$C$47:$C$56,MATCH($B2072,Setup!$A$47:$A$56,0)),IFERROR(INDEX(Setup!$C$60:$C$89,MATCH($B2072,Setup!$A$60:$A$89,0)),"")))</f>
        <v/>
      </c>
      <c r="E2072" s="42"/>
      <c r="F2072" s="42"/>
    </row>
    <row r="2073" customFormat="false" ht="15" hidden="false" customHeight="true" outlineLevel="0" collapsed="false">
      <c r="A2073" s="42"/>
      <c r="B2073" s="42"/>
      <c r="C2073" s="42"/>
      <c r="D2073" s="28" t="str">
        <f aca="false">IF(OR($B2073="",$C2073=""),"",$C2073*IFERROR(INDEX(Setup!$C$47:$C$56,MATCH($B2073,Setup!$A$47:$A$56,0)),IFERROR(INDEX(Setup!$C$60:$C$89,MATCH($B2073,Setup!$A$60:$A$89,0)),"")))</f>
        <v/>
      </c>
      <c r="E2073" s="42"/>
      <c r="F2073" s="42"/>
    </row>
    <row r="2074" customFormat="false" ht="15" hidden="false" customHeight="true" outlineLevel="0" collapsed="false">
      <c r="A2074" s="42"/>
      <c r="B2074" s="42"/>
      <c r="C2074" s="42"/>
      <c r="D2074" s="28" t="str">
        <f aca="false">IF(OR($B2074="",$C2074=""),"",$C2074*IFERROR(INDEX(Setup!$C$47:$C$56,MATCH($B2074,Setup!$A$47:$A$56,0)),IFERROR(INDEX(Setup!$C$60:$C$89,MATCH($B2074,Setup!$A$60:$A$89,0)),"")))</f>
        <v/>
      </c>
      <c r="E2074" s="42"/>
      <c r="F2074" s="42"/>
    </row>
    <row r="2075" customFormat="false" ht="15" hidden="false" customHeight="true" outlineLevel="0" collapsed="false">
      <c r="A2075" s="42"/>
      <c r="B2075" s="42"/>
      <c r="C2075" s="42"/>
      <c r="D2075" s="28" t="str">
        <f aca="false">IF(OR($B2075="",$C2075=""),"",$C2075*IFERROR(INDEX(Setup!$C$47:$C$56,MATCH($B2075,Setup!$A$47:$A$56,0)),IFERROR(INDEX(Setup!$C$60:$C$89,MATCH($B2075,Setup!$A$60:$A$89,0)),"")))</f>
        <v/>
      </c>
      <c r="E2075" s="42"/>
      <c r="F2075" s="42"/>
    </row>
    <row r="2076" customFormat="false" ht="15" hidden="false" customHeight="true" outlineLevel="0" collapsed="false">
      <c r="A2076" s="42"/>
      <c r="B2076" s="42"/>
      <c r="C2076" s="42"/>
      <c r="D2076" s="28" t="str">
        <f aca="false">IF(OR($B2076="",$C2076=""),"",$C2076*IFERROR(INDEX(Setup!$C$47:$C$56,MATCH($B2076,Setup!$A$47:$A$56,0)),IFERROR(INDEX(Setup!$C$60:$C$89,MATCH($B2076,Setup!$A$60:$A$89,0)),"")))</f>
        <v/>
      </c>
      <c r="E2076" s="42"/>
      <c r="F2076" s="42"/>
    </row>
    <row r="2077" customFormat="false" ht="15" hidden="false" customHeight="true" outlineLevel="0" collapsed="false">
      <c r="A2077" s="42"/>
      <c r="B2077" s="42"/>
      <c r="C2077" s="42"/>
      <c r="D2077" s="28" t="str">
        <f aca="false">IF(OR($B2077="",$C2077=""),"",$C2077*IFERROR(INDEX(Setup!$C$47:$C$56,MATCH($B2077,Setup!$A$47:$A$56,0)),IFERROR(INDEX(Setup!$C$60:$C$89,MATCH($B2077,Setup!$A$60:$A$89,0)),"")))</f>
        <v/>
      </c>
      <c r="E2077" s="42"/>
      <c r="F2077" s="42"/>
    </row>
    <row r="2078" customFormat="false" ht="15" hidden="false" customHeight="true" outlineLevel="0" collapsed="false">
      <c r="A2078" s="42"/>
      <c r="B2078" s="42"/>
      <c r="C2078" s="42"/>
      <c r="D2078" s="28" t="str">
        <f aca="false">IF(OR($B2078="",$C2078=""),"",$C2078*IFERROR(INDEX(Setup!$C$47:$C$56,MATCH($B2078,Setup!$A$47:$A$56,0)),IFERROR(INDEX(Setup!$C$60:$C$89,MATCH($B2078,Setup!$A$60:$A$89,0)),"")))</f>
        <v/>
      </c>
      <c r="E2078" s="42"/>
      <c r="F2078" s="42"/>
    </row>
    <row r="2079" customFormat="false" ht="15" hidden="false" customHeight="true" outlineLevel="0" collapsed="false">
      <c r="A2079" s="42"/>
      <c r="B2079" s="42"/>
      <c r="C2079" s="42"/>
      <c r="D2079" s="28" t="str">
        <f aca="false">IF(OR($B2079="",$C2079=""),"",$C2079*IFERROR(INDEX(Setup!$C$47:$C$56,MATCH($B2079,Setup!$A$47:$A$56,0)),IFERROR(INDEX(Setup!$C$60:$C$89,MATCH($B2079,Setup!$A$60:$A$89,0)),"")))</f>
        <v/>
      </c>
      <c r="E2079" s="42"/>
      <c r="F2079" s="42"/>
    </row>
    <row r="2080" customFormat="false" ht="15" hidden="false" customHeight="true" outlineLevel="0" collapsed="false">
      <c r="A2080" s="42"/>
      <c r="B2080" s="42"/>
      <c r="C2080" s="42"/>
      <c r="D2080" s="28" t="str">
        <f aca="false">IF(OR($B2080="",$C2080=""),"",$C2080*IFERROR(INDEX(Setup!$C$47:$C$56,MATCH($B2080,Setup!$A$47:$A$56,0)),IFERROR(INDEX(Setup!$C$60:$C$89,MATCH($B2080,Setup!$A$60:$A$89,0)),"")))</f>
        <v/>
      </c>
      <c r="E2080" s="42"/>
      <c r="F2080" s="42"/>
    </row>
    <row r="2081" customFormat="false" ht="15" hidden="false" customHeight="true" outlineLevel="0" collapsed="false">
      <c r="A2081" s="42"/>
      <c r="B2081" s="42"/>
      <c r="C2081" s="42"/>
      <c r="D2081" s="28" t="str">
        <f aca="false">IF(OR($B2081="",$C2081=""),"",$C2081*IFERROR(INDEX(Setup!$C$47:$C$56,MATCH($B2081,Setup!$A$47:$A$56,0)),IFERROR(INDEX(Setup!$C$60:$C$89,MATCH($B2081,Setup!$A$60:$A$89,0)),"")))</f>
        <v/>
      </c>
      <c r="E2081" s="42"/>
      <c r="F2081" s="42"/>
    </row>
    <row r="2082" customFormat="false" ht="15" hidden="false" customHeight="true" outlineLevel="0" collapsed="false">
      <c r="A2082" s="42"/>
      <c r="B2082" s="42"/>
      <c r="C2082" s="42"/>
      <c r="D2082" s="28" t="str">
        <f aca="false">IF(OR($B2082="",$C2082=""),"",$C2082*IFERROR(INDEX(Setup!$C$47:$C$56,MATCH($B2082,Setup!$A$47:$A$56,0)),IFERROR(INDEX(Setup!$C$60:$C$89,MATCH($B2082,Setup!$A$60:$A$89,0)),"")))</f>
        <v/>
      </c>
      <c r="E2082" s="42"/>
      <c r="F2082" s="42"/>
    </row>
    <row r="2083" customFormat="false" ht="15" hidden="false" customHeight="true" outlineLevel="0" collapsed="false">
      <c r="A2083" s="42"/>
      <c r="B2083" s="42"/>
      <c r="C2083" s="42"/>
      <c r="D2083" s="28" t="str">
        <f aca="false">IF(OR($B2083="",$C2083=""),"",$C2083*IFERROR(INDEX(Setup!$C$47:$C$56,MATCH($B2083,Setup!$A$47:$A$56,0)),IFERROR(INDEX(Setup!$C$60:$C$89,MATCH($B2083,Setup!$A$60:$A$89,0)),"")))</f>
        <v/>
      </c>
      <c r="E2083" s="42"/>
      <c r="F2083" s="42"/>
    </row>
    <row r="2084" customFormat="false" ht="15" hidden="false" customHeight="true" outlineLevel="0" collapsed="false">
      <c r="A2084" s="42"/>
      <c r="B2084" s="42"/>
      <c r="C2084" s="42"/>
      <c r="D2084" s="28" t="str">
        <f aca="false">IF(OR($B2084="",$C2084=""),"",$C2084*IFERROR(INDEX(Setup!$C$47:$C$56,MATCH($B2084,Setup!$A$47:$A$56,0)),IFERROR(INDEX(Setup!$C$60:$C$89,MATCH($B2084,Setup!$A$60:$A$89,0)),"")))</f>
        <v/>
      </c>
      <c r="E2084" s="42"/>
      <c r="F2084" s="42"/>
    </row>
    <row r="2085" customFormat="false" ht="15" hidden="false" customHeight="true" outlineLevel="0" collapsed="false">
      <c r="A2085" s="42"/>
      <c r="B2085" s="42"/>
      <c r="C2085" s="42"/>
      <c r="D2085" s="28" t="str">
        <f aca="false">IF(OR($B2085="",$C2085=""),"",$C2085*IFERROR(INDEX(Setup!$C$47:$C$56,MATCH($B2085,Setup!$A$47:$A$56,0)),IFERROR(INDEX(Setup!$C$60:$C$89,MATCH($B2085,Setup!$A$60:$A$89,0)),"")))</f>
        <v/>
      </c>
      <c r="E2085" s="42"/>
      <c r="F2085" s="42"/>
    </row>
    <row r="2086" customFormat="false" ht="15" hidden="false" customHeight="true" outlineLevel="0" collapsed="false">
      <c r="A2086" s="42"/>
      <c r="B2086" s="42"/>
      <c r="C2086" s="42"/>
      <c r="D2086" s="28" t="str">
        <f aca="false">IF(OR($B2086="",$C2086=""),"",$C2086*IFERROR(INDEX(Setup!$C$47:$C$56,MATCH($B2086,Setup!$A$47:$A$56,0)),IFERROR(INDEX(Setup!$C$60:$C$89,MATCH($B2086,Setup!$A$60:$A$89,0)),"")))</f>
        <v/>
      </c>
      <c r="E2086" s="42"/>
      <c r="F2086" s="42"/>
    </row>
    <row r="2087" customFormat="false" ht="15" hidden="false" customHeight="true" outlineLevel="0" collapsed="false">
      <c r="A2087" s="42"/>
      <c r="B2087" s="42"/>
      <c r="C2087" s="42"/>
      <c r="D2087" s="28" t="str">
        <f aca="false">IF(OR($B2087="",$C2087=""),"",$C2087*IFERROR(INDEX(Setup!$C$47:$C$56,MATCH($B2087,Setup!$A$47:$A$56,0)),IFERROR(INDEX(Setup!$C$60:$C$89,MATCH($B2087,Setup!$A$60:$A$89,0)),"")))</f>
        <v/>
      </c>
      <c r="E2087" s="42"/>
      <c r="F2087" s="42"/>
    </row>
    <row r="2088" customFormat="false" ht="15" hidden="false" customHeight="true" outlineLevel="0" collapsed="false">
      <c r="A2088" s="42"/>
      <c r="B2088" s="42"/>
      <c r="C2088" s="42"/>
      <c r="D2088" s="28" t="str">
        <f aca="false">IF(OR($B2088="",$C2088=""),"",$C2088*IFERROR(INDEX(Setup!$C$47:$C$56,MATCH($B2088,Setup!$A$47:$A$56,0)),IFERROR(INDEX(Setup!$C$60:$C$89,MATCH($B2088,Setup!$A$60:$A$89,0)),"")))</f>
        <v/>
      </c>
      <c r="E2088" s="42"/>
      <c r="F2088" s="42"/>
    </row>
    <row r="2089" customFormat="false" ht="15" hidden="false" customHeight="true" outlineLevel="0" collapsed="false">
      <c r="A2089" s="42"/>
      <c r="B2089" s="42"/>
      <c r="C2089" s="42"/>
      <c r="D2089" s="28" t="str">
        <f aca="false">IF(OR($B2089="",$C2089=""),"",$C2089*IFERROR(INDEX(Setup!$C$47:$C$56,MATCH($B2089,Setup!$A$47:$A$56,0)),IFERROR(INDEX(Setup!$C$60:$C$89,MATCH($B2089,Setup!$A$60:$A$89,0)),"")))</f>
        <v/>
      </c>
      <c r="E2089" s="42"/>
      <c r="F2089" s="42"/>
    </row>
    <row r="2090" customFormat="false" ht="15" hidden="false" customHeight="true" outlineLevel="0" collapsed="false">
      <c r="A2090" s="42"/>
      <c r="B2090" s="42"/>
      <c r="C2090" s="42"/>
      <c r="D2090" s="28" t="str">
        <f aca="false">IF(OR($B2090="",$C2090=""),"",$C2090*IFERROR(INDEX(Setup!$C$47:$C$56,MATCH($B2090,Setup!$A$47:$A$56,0)),IFERROR(INDEX(Setup!$C$60:$C$89,MATCH($B2090,Setup!$A$60:$A$89,0)),"")))</f>
        <v/>
      </c>
      <c r="E2090" s="42"/>
      <c r="F2090" s="42"/>
    </row>
    <row r="2091" customFormat="false" ht="15" hidden="false" customHeight="true" outlineLevel="0" collapsed="false">
      <c r="A2091" s="42"/>
      <c r="B2091" s="42"/>
      <c r="C2091" s="42"/>
      <c r="D2091" s="28" t="str">
        <f aca="false">IF(OR($B2091="",$C2091=""),"",$C2091*IFERROR(INDEX(Setup!$C$47:$C$56,MATCH($B2091,Setup!$A$47:$A$56,0)),IFERROR(INDEX(Setup!$C$60:$C$89,MATCH($B2091,Setup!$A$60:$A$89,0)),"")))</f>
        <v/>
      </c>
      <c r="E2091" s="42"/>
      <c r="F2091" s="42"/>
    </row>
    <row r="2092" customFormat="false" ht="15" hidden="false" customHeight="true" outlineLevel="0" collapsed="false">
      <c r="A2092" s="42"/>
      <c r="B2092" s="42"/>
      <c r="C2092" s="42"/>
      <c r="D2092" s="28" t="str">
        <f aca="false">IF(OR($B2092="",$C2092=""),"",$C2092*IFERROR(INDEX(Setup!$C$47:$C$56,MATCH($B2092,Setup!$A$47:$A$56,0)),IFERROR(INDEX(Setup!$C$60:$C$89,MATCH($B2092,Setup!$A$60:$A$89,0)),"")))</f>
        <v/>
      </c>
      <c r="E2092" s="42"/>
      <c r="F2092" s="42"/>
    </row>
    <row r="2093" customFormat="false" ht="15" hidden="false" customHeight="true" outlineLevel="0" collapsed="false">
      <c r="A2093" s="42"/>
      <c r="B2093" s="42"/>
      <c r="C2093" s="42"/>
      <c r="D2093" s="28" t="str">
        <f aca="false">IF(OR($B2093="",$C2093=""),"",$C2093*IFERROR(INDEX(Setup!$C$47:$C$56,MATCH($B2093,Setup!$A$47:$A$56,0)),IFERROR(INDEX(Setup!$C$60:$C$89,MATCH($B2093,Setup!$A$60:$A$89,0)),"")))</f>
        <v/>
      </c>
      <c r="E2093" s="42"/>
      <c r="F2093" s="42"/>
    </row>
    <row r="2094" customFormat="false" ht="15" hidden="false" customHeight="true" outlineLevel="0" collapsed="false">
      <c r="A2094" s="42"/>
      <c r="B2094" s="42"/>
      <c r="C2094" s="42"/>
      <c r="D2094" s="28" t="str">
        <f aca="false">IF(OR($B2094="",$C2094=""),"",$C2094*IFERROR(INDEX(Setup!$C$47:$C$56,MATCH($B2094,Setup!$A$47:$A$56,0)),IFERROR(INDEX(Setup!$C$60:$C$89,MATCH($B2094,Setup!$A$60:$A$89,0)),"")))</f>
        <v/>
      </c>
      <c r="E2094" s="42"/>
      <c r="F2094" s="42"/>
    </row>
    <row r="2095" customFormat="false" ht="15" hidden="false" customHeight="true" outlineLevel="0" collapsed="false">
      <c r="A2095" s="42"/>
      <c r="B2095" s="42"/>
      <c r="C2095" s="42"/>
      <c r="D2095" s="28" t="str">
        <f aca="false">IF(OR($B2095="",$C2095=""),"",$C2095*IFERROR(INDEX(Setup!$C$47:$C$56,MATCH($B2095,Setup!$A$47:$A$56,0)),IFERROR(INDEX(Setup!$C$60:$C$89,MATCH($B2095,Setup!$A$60:$A$89,0)),"")))</f>
        <v/>
      </c>
      <c r="E2095" s="42"/>
      <c r="F2095" s="42"/>
    </row>
    <row r="2096" customFormat="false" ht="15" hidden="false" customHeight="true" outlineLevel="0" collapsed="false">
      <c r="A2096" s="42"/>
      <c r="B2096" s="42"/>
      <c r="C2096" s="42"/>
      <c r="D2096" s="28" t="str">
        <f aca="false">IF(OR($B2096="",$C2096=""),"",$C2096*IFERROR(INDEX(Setup!$C$47:$C$56,MATCH($B2096,Setup!$A$47:$A$56,0)),IFERROR(INDEX(Setup!$C$60:$C$89,MATCH($B2096,Setup!$A$60:$A$89,0)),"")))</f>
        <v/>
      </c>
      <c r="E2096" s="42"/>
      <c r="F2096" s="42"/>
    </row>
    <row r="2097" customFormat="false" ht="15" hidden="false" customHeight="true" outlineLevel="0" collapsed="false">
      <c r="A2097" s="42"/>
      <c r="B2097" s="42"/>
      <c r="C2097" s="42"/>
      <c r="D2097" s="28" t="str">
        <f aca="false">IF(OR($B2097="",$C2097=""),"",$C2097*IFERROR(INDEX(Setup!$C$47:$C$56,MATCH($B2097,Setup!$A$47:$A$56,0)),IFERROR(INDEX(Setup!$C$60:$C$89,MATCH($B2097,Setup!$A$60:$A$89,0)),"")))</f>
        <v/>
      </c>
      <c r="E2097" s="42"/>
      <c r="F2097" s="42"/>
    </row>
    <row r="2098" customFormat="false" ht="15" hidden="false" customHeight="true" outlineLevel="0" collapsed="false">
      <c r="A2098" s="42"/>
      <c r="B2098" s="42"/>
      <c r="C2098" s="42"/>
      <c r="D2098" s="28" t="str">
        <f aca="false">IF(OR($B2098="",$C2098=""),"",$C2098*IFERROR(INDEX(Setup!$C$47:$C$56,MATCH($B2098,Setup!$A$47:$A$56,0)),IFERROR(INDEX(Setup!$C$60:$C$89,MATCH($B2098,Setup!$A$60:$A$89,0)),"")))</f>
        <v/>
      </c>
      <c r="E2098" s="42"/>
      <c r="F2098" s="42"/>
    </row>
    <row r="2099" customFormat="false" ht="15" hidden="false" customHeight="true" outlineLevel="0" collapsed="false">
      <c r="A2099" s="42"/>
      <c r="B2099" s="42"/>
      <c r="C2099" s="42"/>
      <c r="D2099" s="28" t="str">
        <f aca="false">IF(OR($B2099="",$C2099=""),"",$C2099*IFERROR(INDEX(Setup!$C$47:$C$56,MATCH($B2099,Setup!$A$47:$A$56,0)),IFERROR(INDEX(Setup!$C$60:$C$89,MATCH($B2099,Setup!$A$60:$A$89,0)),"")))</f>
        <v/>
      </c>
      <c r="E2099" s="42"/>
      <c r="F2099" s="42"/>
    </row>
    <row r="2100" customFormat="false" ht="15" hidden="false" customHeight="true" outlineLevel="0" collapsed="false">
      <c r="A2100" s="42"/>
      <c r="B2100" s="42"/>
      <c r="C2100" s="42"/>
      <c r="D2100" s="28" t="str">
        <f aca="false">IF(OR($B2100="",$C2100=""),"",$C2100*IFERROR(INDEX(Setup!$C$47:$C$56,MATCH($B2100,Setup!$A$47:$A$56,0)),IFERROR(INDEX(Setup!$C$60:$C$89,MATCH($B2100,Setup!$A$60:$A$89,0)),"")))</f>
        <v/>
      </c>
      <c r="E2100" s="42"/>
      <c r="F2100" s="42"/>
    </row>
    <row r="2101" customFormat="false" ht="15" hidden="false" customHeight="true" outlineLevel="0" collapsed="false">
      <c r="A2101" s="42"/>
      <c r="B2101" s="42"/>
      <c r="C2101" s="42"/>
      <c r="D2101" s="28" t="str">
        <f aca="false">IF(OR($B2101="",$C2101=""),"",$C2101*IFERROR(INDEX(Setup!$C$47:$C$56,MATCH($B2101,Setup!$A$47:$A$56,0)),IFERROR(INDEX(Setup!$C$60:$C$89,MATCH($B2101,Setup!$A$60:$A$89,0)),"")))</f>
        <v/>
      </c>
      <c r="E2101" s="42"/>
      <c r="F2101" s="42"/>
    </row>
    <row r="2102" customFormat="false" ht="15" hidden="false" customHeight="true" outlineLevel="0" collapsed="false">
      <c r="A2102" s="42"/>
      <c r="B2102" s="42"/>
      <c r="C2102" s="42"/>
      <c r="D2102" s="28" t="str">
        <f aca="false">IF(OR($B2102="",$C2102=""),"",$C2102*IFERROR(INDEX(Setup!$C$47:$C$56,MATCH($B2102,Setup!$A$47:$A$56,0)),IFERROR(INDEX(Setup!$C$60:$C$89,MATCH($B2102,Setup!$A$60:$A$89,0)),"")))</f>
        <v/>
      </c>
      <c r="E2102" s="42"/>
      <c r="F2102" s="42"/>
    </row>
    <row r="2103" customFormat="false" ht="15" hidden="false" customHeight="true" outlineLevel="0" collapsed="false">
      <c r="A2103" s="42"/>
      <c r="B2103" s="42"/>
      <c r="C2103" s="42"/>
      <c r="D2103" s="28" t="str">
        <f aca="false">IF(OR($B2103="",$C2103=""),"",$C2103*IFERROR(INDEX(Setup!$C$47:$C$56,MATCH($B2103,Setup!$A$47:$A$56,0)),IFERROR(INDEX(Setup!$C$60:$C$89,MATCH($B2103,Setup!$A$60:$A$89,0)),"")))</f>
        <v/>
      </c>
      <c r="E2103" s="42"/>
      <c r="F2103" s="42"/>
    </row>
    <row r="2104" customFormat="false" ht="15" hidden="false" customHeight="true" outlineLevel="0" collapsed="false">
      <c r="A2104" s="42"/>
      <c r="B2104" s="42"/>
      <c r="C2104" s="42"/>
      <c r="D2104" s="28" t="str">
        <f aca="false">IF(OR($B2104="",$C2104=""),"",$C2104*IFERROR(INDEX(Setup!$C$47:$C$56,MATCH($B2104,Setup!$A$47:$A$56,0)),IFERROR(INDEX(Setup!$C$60:$C$89,MATCH($B2104,Setup!$A$60:$A$89,0)),"")))</f>
        <v/>
      </c>
      <c r="E2104" s="42"/>
      <c r="F2104" s="42"/>
    </row>
    <row r="2105" customFormat="false" ht="15" hidden="false" customHeight="true" outlineLevel="0" collapsed="false">
      <c r="A2105" s="42"/>
      <c r="B2105" s="42"/>
      <c r="C2105" s="42"/>
      <c r="D2105" s="28" t="str">
        <f aca="false">IF(OR($B2105="",$C2105=""),"",$C2105*IFERROR(INDEX(Setup!$C$47:$C$56,MATCH($B2105,Setup!$A$47:$A$56,0)),IFERROR(INDEX(Setup!$C$60:$C$89,MATCH($B2105,Setup!$A$60:$A$89,0)),"")))</f>
        <v/>
      </c>
      <c r="E2105" s="42"/>
      <c r="F2105" s="42"/>
    </row>
    <row r="2106" customFormat="false" ht="15" hidden="false" customHeight="true" outlineLevel="0" collapsed="false">
      <c r="A2106" s="42"/>
      <c r="B2106" s="42"/>
      <c r="C2106" s="42"/>
      <c r="D2106" s="28" t="str">
        <f aca="false">IF(OR($B2106="",$C2106=""),"",$C2106*IFERROR(INDEX(Setup!$C$47:$C$56,MATCH($B2106,Setup!$A$47:$A$56,0)),IFERROR(INDEX(Setup!$C$60:$C$89,MATCH($B2106,Setup!$A$60:$A$89,0)),"")))</f>
        <v/>
      </c>
      <c r="E2106" s="42"/>
      <c r="F2106" s="42"/>
    </row>
    <row r="2107" customFormat="false" ht="15" hidden="false" customHeight="true" outlineLevel="0" collapsed="false">
      <c r="A2107" s="42"/>
      <c r="B2107" s="42"/>
      <c r="C2107" s="42"/>
      <c r="D2107" s="28" t="str">
        <f aca="false">IF(OR($B2107="",$C2107=""),"",$C2107*IFERROR(INDEX(Setup!$C$47:$C$56,MATCH($B2107,Setup!$A$47:$A$56,0)),IFERROR(INDEX(Setup!$C$60:$C$89,MATCH($B2107,Setup!$A$60:$A$89,0)),"")))</f>
        <v/>
      </c>
      <c r="E2107" s="42"/>
      <c r="F2107" s="42"/>
    </row>
    <row r="2108" customFormat="false" ht="15" hidden="false" customHeight="true" outlineLevel="0" collapsed="false">
      <c r="A2108" s="42"/>
      <c r="B2108" s="42"/>
      <c r="C2108" s="42"/>
      <c r="D2108" s="28" t="str">
        <f aca="false">IF(OR($B2108="",$C2108=""),"",$C2108*IFERROR(INDEX(Setup!$C$47:$C$56,MATCH($B2108,Setup!$A$47:$A$56,0)),IFERROR(INDEX(Setup!$C$60:$C$89,MATCH($B2108,Setup!$A$60:$A$89,0)),"")))</f>
        <v/>
      </c>
      <c r="E2108" s="42"/>
      <c r="F2108" s="42"/>
    </row>
    <row r="2109" customFormat="false" ht="15" hidden="false" customHeight="true" outlineLevel="0" collapsed="false">
      <c r="A2109" s="42"/>
      <c r="B2109" s="42"/>
      <c r="C2109" s="42"/>
      <c r="D2109" s="28" t="str">
        <f aca="false">IF(OR($B2109="",$C2109=""),"",$C2109*IFERROR(INDEX(Setup!$C$47:$C$56,MATCH($B2109,Setup!$A$47:$A$56,0)),IFERROR(INDEX(Setup!$C$60:$C$89,MATCH($B2109,Setup!$A$60:$A$89,0)),"")))</f>
        <v/>
      </c>
      <c r="E2109" s="42"/>
      <c r="F2109" s="42"/>
    </row>
    <row r="2110" customFormat="false" ht="15" hidden="false" customHeight="true" outlineLevel="0" collapsed="false">
      <c r="A2110" s="42"/>
      <c r="B2110" s="42"/>
      <c r="C2110" s="42"/>
      <c r="D2110" s="28" t="str">
        <f aca="false">IF(OR($B2110="",$C2110=""),"",$C2110*IFERROR(INDEX(Setup!$C$47:$C$56,MATCH($B2110,Setup!$A$47:$A$56,0)),IFERROR(INDEX(Setup!$C$60:$C$89,MATCH($B2110,Setup!$A$60:$A$89,0)),"")))</f>
        <v/>
      </c>
      <c r="E2110" s="42"/>
      <c r="F2110" s="42"/>
    </row>
    <row r="2111" customFormat="false" ht="15" hidden="false" customHeight="true" outlineLevel="0" collapsed="false">
      <c r="A2111" s="42"/>
      <c r="B2111" s="42"/>
      <c r="C2111" s="42"/>
      <c r="D2111" s="28" t="str">
        <f aca="false">IF(OR($B2111="",$C2111=""),"",$C2111*IFERROR(INDEX(Setup!$C$47:$C$56,MATCH($B2111,Setup!$A$47:$A$56,0)),IFERROR(INDEX(Setup!$C$60:$C$89,MATCH($B2111,Setup!$A$60:$A$89,0)),"")))</f>
        <v/>
      </c>
      <c r="E2111" s="42"/>
      <c r="F2111" s="42"/>
    </row>
    <row r="2112" customFormat="false" ht="15" hidden="false" customHeight="true" outlineLevel="0" collapsed="false">
      <c r="A2112" s="42"/>
      <c r="B2112" s="42"/>
      <c r="C2112" s="42"/>
      <c r="D2112" s="28" t="str">
        <f aca="false">IF(OR($B2112="",$C2112=""),"",$C2112*IFERROR(INDEX(Setup!$C$47:$C$56,MATCH($B2112,Setup!$A$47:$A$56,0)),IFERROR(INDEX(Setup!$C$60:$C$89,MATCH($B2112,Setup!$A$60:$A$89,0)),"")))</f>
        <v/>
      </c>
      <c r="E2112" s="42"/>
      <c r="F2112" s="42"/>
    </row>
    <row r="2113" customFormat="false" ht="15" hidden="false" customHeight="true" outlineLevel="0" collapsed="false">
      <c r="A2113" s="42"/>
      <c r="B2113" s="42"/>
      <c r="C2113" s="42"/>
      <c r="D2113" s="28" t="str">
        <f aca="false">IF(OR($B2113="",$C2113=""),"",$C2113*IFERROR(INDEX(Setup!$C$47:$C$56,MATCH($B2113,Setup!$A$47:$A$56,0)),IFERROR(INDEX(Setup!$C$60:$C$89,MATCH($B2113,Setup!$A$60:$A$89,0)),"")))</f>
        <v/>
      </c>
      <c r="E2113" s="42"/>
      <c r="F2113" s="42"/>
    </row>
    <row r="2114" customFormat="false" ht="15" hidden="false" customHeight="true" outlineLevel="0" collapsed="false">
      <c r="A2114" s="42"/>
      <c r="B2114" s="42"/>
      <c r="C2114" s="42"/>
      <c r="D2114" s="28" t="str">
        <f aca="false">IF(OR($B2114="",$C2114=""),"",$C2114*IFERROR(INDEX(Setup!$C$47:$C$56,MATCH($B2114,Setup!$A$47:$A$56,0)),IFERROR(INDEX(Setup!$C$60:$C$89,MATCH($B2114,Setup!$A$60:$A$89,0)),"")))</f>
        <v/>
      </c>
      <c r="E2114" s="42"/>
      <c r="F2114" s="42"/>
    </row>
    <row r="2115" customFormat="false" ht="15" hidden="false" customHeight="true" outlineLevel="0" collapsed="false">
      <c r="A2115" s="42"/>
      <c r="B2115" s="42"/>
      <c r="C2115" s="42"/>
      <c r="D2115" s="28" t="str">
        <f aca="false">IF(OR($B2115="",$C2115=""),"",$C2115*IFERROR(INDEX(Setup!$C$47:$C$56,MATCH($B2115,Setup!$A$47:$A$56,0)),IFERROR(INDEX(Setup!$C$60:$C$89,MATCH($B2115,Setup!$A$60:$A$89,0)),"")))</f>
        <v/>
      </c>
      <c r="E2115" s="42"/>
      <c r="F2115" s="42"/>
    </row>
    <row r="2116" customFormat="false" ht="15" hidden="false" customHeight="true" outlineLevel="0" collapsed="false">
      <c r="A2116" s="42"/>
      <c r="B2116" s="42"/>
      <c r="C2116" s="42"/>
      <c r="D2116" s="28" t="str">
        <f aca="false">IF(OR($B2116="",$C2116=""),"",$C2116*IFERROR(INDEX(Setup!$C$47:$C$56,MATCH($B2116,Setup!$A$47:$A$56,0)),IFERROR(INDEX(Setup!$C$60:$C$89,MATCH($B2116,Setup!$A$60:$A$89,0)),"")))</f>
        <v/>
      </c>
      <c r="E2116" s="42"/>
      <c r="F2116" s="42"/>
    </row>
    <row r="2117" customFormat="false" ht="15" hidden="false" customHeight="true" outlineLevel="0" collapsed="false">
      <c r="A2117" s="42"/>
      <c r="B2117" s="42"/>
      <c r="C2117" s="42"/>
      <c r="D2117" s="28" t="str">
        <f aca="false">IF(OR($B2117="",$C2117=""),"",$C2117*IFERROR(INDEX(Setup!$C$47:$C$56,MATCH($B2117,Setup!$A$47:$A$56,0)),IFERROR(INDEX(Setup!$C$60:$C$89,MATCH($B2117,Setup!$A$60:$A$89,0)),"")))</f>
        <v/>
      </c>
      <c r="E2117" s="42"/>
      <c r="F2117" s="42"/>
    </row>
    <row r="2118" customFormat="false" ht="15" hidden="false" customHeight="true" outlineLevel="0" collapsed="false">
      <c r="A2118" s="42"/>
      <c r="B2118" s="42"/>
      <c r="C2118" s="42"/>
      <c r="D2118" s="28" t="str">
        <f aca="false">IF(OR($B2118="",$C2118=""),"",$C2118*IFERROR(INDEX(Setup!$C$47:$C$56,MATCH($B2118,Setup!$A$47:$A$56,0)),IFERROR(INDEX(Setup!$C$60:$C$89,MATCH($B2118,Setup!$A$60:$A$89,0)),"")))</f>
        <v/>
      </c>
      <c r="E2118" s="42"/>
      <c r="F2118" s="42"/>
    </row>
    <row r="2119" customFormat="false" ht="15" hidden="false" customHeight="true" outlineLevel="0" collapsed="false">
      <c r="A2119" s="42"/>
      <c r="B2119" s="42"/>
      <c r="C2119" s="42"/>
      <c r="D2119" s="28" t="str">
        <f aca="false">IF(OR($B2119="",$C2119=""),"",$C2119*IFERROR(INDEX(Setup!$C$47:$C$56,MATCH($B2119,Setup!$A$47:$A$56,0)),IFERROR(INDEX(Setup!$C$60:$C$89,MATCH($B2119,Setup!$A$60:$A$89,0)),"")))</f>
        <v/>
      </c>
      <c r="E2119" s="42"/>
      <c r="F2119" s="42"/>
    </row>
    <row r="2120" customFormat="false" ht="15" hidden="false" customHeight="true" outlineLevel="0" collapsed="false">
      <c r="A2120" s="42"/>
      <c r="B2120" s="42"/>
      <c r="C2120" s="42"/>
      <c r="D2120" s="28" t="str">
        <f aca="false">IF(OR($B2120="",$C2120=""),"",$C2120*IFERROR(INDEX(Setup!$C$47:$C$56,MATCH($B2120,Setup!$A$47:$A$56,0)),IFERROR(INDEX(Setup!$C$60:$C$89,MATCH($B2120,Setup!$A$60:$A$89,0)),"")))</f>
        <v/>
      </c>
      <c r="E2120" s="42"/>
      <c r="F2120" s="42"/>
    </row>
    <row r="2121" customFormat="false" ht="15" hidden="false" customHeight="true" outlineLevel="0" collapsed="false">
      <c r="A2121" s="42"/>
      <c r="B2121" s="42"/>
      <c r="C2121" s="42"/>
      <c r="D2121" s="28" t="str">
        <f aca="false">IF(OR($B2121="",$C2121=""),"",$C2121*IFERROR(INDEX(Setup!$C$47:$C$56,MATCH($B2121,Setup!$A$47:$A$56,0)),IFERROR(INDEX(Setup!$C$60:$C$89,MATCH($B2121,Setup!$A$60:$A$89,0)),"")))</f>
        <v/>
      </c>
      <c r="E2121" s="42"/>
      <c r="F2121" s="42"/>
    </row>
    <row r="2122" customFormat="false" ht="15" hidden="false" customHeight="true" outlineLevel="0" collapsed="false">
      <c r="A2122" s="42"/>
      <c r="B2122" s="42"/>
      <c r="C2122" s="42"/>
      <c r="D2122" s="28" t="str">
        <f aca="false">IF(OR($B2122="",$C2122=""),"",$C2122*IFERROR(INDEX(Setup!$C$47:$C$56,MATCH($B2122,Setup!$A$47:$A$56,0)),IFERROR(INDEX(Setup!$C$60:$C$89,MATCH($B2122,Setup!$A$60:$A$89,0)),"")))</f>
        <v/>
      </c>
      <c r="E2122" s="42"/>
      <c r="F2122" s="42"/>
    </row>
    <row r="2123" customFormat="false" ht="15" hidden="false" customHeight="true" outlineLevel="0" collapsed="false">
      <c r="A2123" s="42"/>
      <c r="B2123" s="42"/>
      <c r="C2123" s="42"/>
      <c r="D2123" s="28" t="str">
        <f aca="false">IF(OR($B2123="",$C2123=""),"",$C2123*IFERROR(INDEX(Setup!$C$47:$C$56,MATCH($B2123,Setup!$A$47:$A$56,0)),IFERROR(INDEX(Setup!$C$60:$C$89,MATCH($B2123,Setup!$A$60:$A$89,0)),"")))</f>
        <v/>
      </c>
      <c r="E2123" s="42"/>
      <c r="F2123" s="42"/>
    </row>
    <row r="2124" customFormat="false" ht="15" hidden="false" customHeight="true" outlineLevel="0" collapsed="false">
      <c r="A2124" s="42"/>
      <c r="B2124" s="42"/>
      <c r="C2124" s="42"/>
      <c r="D2124" s="28" t="str">
        <f aca="false">IF(OR($B2124="",$C2124=""),"",$C2124*IFERROR(INDEX(Setup!$C$47:$C$56,MATCH($B2124,Setup!$A$47:$A$56,0)),IFERROR(INDEX(Setup!$C$60:$C$89,MATCH($B2124,Setup!$A$60:$A$89,0)),"")))</f>
        <v/>
      </c>
      <c r="E2124" s="42"/>
      <c r="F2124" s="42"/>
    </row>
    <row r="2125" customFormat="false" ht="15" hidden="false" customHeight="true" outlineLevel="0" collapsed="false">
      <c r="A2125" s="42"/>
      <c r="B2125" s="42"/>
      <c r="C2125" s="42"/>
      <c r="D2125" s="28" t="str">
        <f aca="false">IF(OR($B2125="",$C2125=""),"",$C2125*IFERROR(INDEX(Setup!$C$47:$C$56,MATCH($B2125,Setup!$A$47:$A$56,0)),IFERROR(INDEX(Setup!$C$60:$C$89,MATCH($B2125,Setup!$A$60:$A$89,0)),"")))</f>
        <v/>
      </c>
      <c r="E2125" s="42"/>
      <c r="F2125" s="42"/>
    </row>
    <row r="2126" customFormat="false" ht="15" hidden="false" customHeight="true" outlineLevel="0" collapsed="false">
      <c r="A2126" s="42"/>
      <c r="B2126" s="42"/>
      <c r="C2126" s="42"/>
      <c r="D2126" s="28" t="str">
        <f aca="false">IF(OR($B2126="",$C2126=""),"",$C2126*IFERROR(INDEX(Setup!$C$47:$C$56,MATCH($B2126,Setup!$A$47:$A$56,0)),IFERROR(INDEX(Setup!$C$60:$C$89,MATCH($B2126,Setup!$A$60:$A$89,0)),"")))</f>
        <v/>
      </c>
      <c r="E2126" s="42"/>
      <c r="F2126" s="42"/>
    </row>
    <row r="2127" customFormat="false" ht="15" hidden="false" customHeight="true" outlineLevel="0" collapsed="false">
      <c r="A2127" s="42"/>
      <c r="B2127" s="42"/>
      <c r="C2127" s="42"/>
      <c r="D2127" s="28" t="str">
        <f aca="false">IF(OR($B2127="",$C2127=""),"",$C2127*IFERROR(INDEX(Setup!$C$47:$C$56,MATCH($B2127,Setup!$A$47:$A$56,0)),IFERROR(INDEX(Setup!$C$60:$C$89,MATCH($B2127,Setup!$A$60:$A$89,0)),"")))</f>
        <v/>
      </c>
      <c r="E2127" s="42"/>
      <c r="F2127" s="42"/>
    </row>
    <row r="2128" customFormat="false" ht="15" hidden="false" customHeight="true" outlineLevel="0" collapsed="false">
      <c r="A2128" s="42"/>
      <c r="B2128" s="42"/>
      <c r="C2128" s="42"/>
      <c r="D2128" s="28" t="str">
        <f aca="false">IF(OR($B2128="",$C2128=""),"",$C2128*IFERROR(INDEX(Setup!$C$47:$C$56,MATCH($B2128,Setup!$A$47:$A$56,0)),IFERROR(INDEX(Setup!$C$60:$C$89,MATCH($B2128,Setup!$A$60:$A$89,0)),"")))</f>
        <v/>
      </c>
      <c r="E2128" s="42"/>
      <c r="F2128" s="42"/>
    </row>
    <row r="2129" customFormat="false" ht="15" hidden="false" customHeight="true" outlineLevel="0" collapsed="false">
      <c r="A2129" s="42"/>
      <c r="B2129" s="42"/>
      <c r="C2129" s="42"/>
      <c r="D2129" s="28" t="str">
        <f aca="false">IF(OR($B2129="",$C2129=""),"",$C2129*IFERROR(INDEX(Setup!$C$47:$C$56,MATCH($B2129,Setup!$A$47:$A$56,0)),IFERROR(INDEX(Setup!$C$60:$C$89,MATCH($B2129,Setup!$A$60:$A$89,0)),"")))</f>
        <v/>
      </c>
      <c r="E2129" s="42"/>
      <c r="F2129" s="42"/>
    </row>
    <row r="2130" customFormat="false" ht="15" hidden="false" customHeight="true" outlineLevel="0" collapsed="false">
      <c r="A2130" s="42"/>
      <c r="B2130" s="42"/>
      <c r="C2130" s="42"/>
      <c r="D2130" s="28" t="str">
        <f aca="false">IF(OR($B2130="",$C2130=""),"",$C2130*IFERROR(INDEX(Setup!$C$47:$C$56,MATCH($B2130,Setup!$A$47:$A$56,0)),IFERROR(INDEX(Setup!$C$60:$C$89,MATCH($B2130,Setup!$A$60:$A$89,0)),"")))</f>
        <v/>
      </c>
      <c r="E2130" s="42"/>
      <c r="F2130" s="42"/>
    </row>
    <row r="2131" customFormat="false" ht="15" hidden="false" customHeight="true" outlineLevel="0" collapsed="false">
      <c r="A2131" s="42"/>
      <c r="B2131" s="42"/>
      <c r="C2131" s="42"/>
      <c r="D2131" s="28" t="str">
        <f aca="false">IF(OR($B2131="",$C2131=""),"",$C2131*IFERROR(INDEX(Setup!$C$47:$C$56,MATCH($B2131,Setup!$A$47:$A$56,0)),IFERROR(INDEX(Setup!$C$60:$C$89,MATCH($B2131,Setup!$A$60:$A$89,0)),"")))</f>
        <v/>
      </c>
      <c r="E2131" s="42"/>
      <c r="F2131" s="42"/>
    </row>
    <row r="2132" customFormat="false" ht="15" hidden="false" customHeight="true" outlineLevel="0" collapsed="false">
      <c r="A2132" s="42"/>
      <c r="B2132" s="42"/>
      <c r="C2132" s="42"/>
      <c r="D2132" s="28" t="str">
        <f aca="false">IF(OR($B2132="",$C2132=""),"",$C2132*IFERROR(INDEX(Setup!$C$47:$C$56,MATCH($B2132,Setup!$A$47:$A$56,0)),IFERROR(INDEX(Setup!$C$60:$C$89,MATCH($B2132,Setup!$A$60:$A$89,0)),"")))</f>
        <v/>
      </c>
      <c r="E2132" s="42"/>
      <c r="F2132" s="42"/>
    </row>
    <row r="2133" customFormat="false" ht="15" hidden="false" customHeight="true" outlineLevel="0" collapsed="false">
      <c r="A2133" s="42"/>
      <c r="B2133" s="42"/>
      <c r="C2133" s="42"/>
      <c r="D2133" s="28" t="str">
        <f aca="false">IF(OR($B2133="",$C2133=""),"",$C2133*IFERROR(INDEX(Setup!$C$47:$C$56,MATCH($B2133,Setup!$A$47:$A$56,0)),IFERROR(INDEX(Setup!$C$60:$C$89,MATCH($B2133,Setup!$A$60:$A$89,0)),"")))</f>
        <v/>
      </c>
      <c r="E2133" s="42"/>
      <c r="F2133" s="42"/>
    </row>
    <row r="2134" customFormat="false" ht="15" hidden="false" customHeight="true" outlineLevel="0" collapsed="false">
      <c r="A2134" s="42"/>
      <c r="B2134" s="42"/>
      <c r="C2134" s="42"/>
      <c r="D2134" s="28" t="str">
        <f aca="false">IF(OR($B2134="",$C2134=""),"",$C2134*IFERROR(INDEX(Setup!$C$47:$C$56,MATCH($B2134,Setup!$A$47:$A$56,0)),IFERROR(INDEX(Setup!$C$60:$C$89,MATCH($B2134,Setup!$A$60:$A$89,0)),"")))</f>
        <v/>
      </c>
      <c r="E2134" s="42"/>
      <c r="F2134" s="42"/>
    </row>
    <row r="2135" customFormat="false" ht="15" hidden="false" customHeight="true" outlineLevel="0" collapsed="false">
      <c r="A2135" s="42"/>
      <c r="B2135" s="42"/>
      <c r="C2135" s="42"/>
      <c r="D2135" s="28" t="str">
        <f aca="false">IF(OR($B2135="",$C2135=""),"",$C2135*IFERROR(INDEX(Setup!$C$47:$C$56,MATCH($B2135,Setup!$A$47:$A$56,0)),IFERROR(INDEX(Setup!$C$60:$C$89,MATCH($B2135,Setup!$A$60:$A$89,0)),"")))</f>
        <v/>
      </c>
      <c r="E2135" s="42"/>
      <c r="F2135" s="42"/>
    </row>
    <row r="2136" customFormat="false" ht="15" hidden="false" customHeight="true" outlineLevel="0" collapsed="false">
      <c r="A2136" s="42"/>
      <c r="B2136" s="42"/>
      <c r="C2136" s="42"/>
      <c r="D2136" s="28" t="str">
        <f aca="false">IF(OR($B2136="",$C2136=""),"",$C2136*IFERROR(INDEX(Setup!$C$47:$C$56,MATCH($B2136,Setup!$A$47:$A$56,0)),IFERROR(INDEX(Setup!$C$60:$C$89,MATCH($B2136,Setup!$A$60:$A$89,0)),"")))</f>
        <v/>
      </c>
      <c r="E2136" s="42"/>
      <c r="F2136" s="42"/>
    </row>
    <row r="2137" customFormat="false" ht="15" hidden="false" customHeight="true" outlineLevel="0" collapsed="false">
      <c r="A2137" s="42"/>
      <c r="B2137" s="42"/>
      <c r="C2137" s="42"/>
      <c r="D2137" s="28" t="str">
        <f aca="false">IF(OR($B2137="",$C2137=""),"",$C2137*IFERROR(INDEX(Setup!$C$47:$C$56,MATCH($B2137,Setup!$A$47:$A$56,0)),IFERROR(INDEX(Setup!$C$60:$C$89,MATCH($B2137,Setup!$A$60:$A$89,0)),"")))</f>
        <v/>
      </c>
      <c r="E2137" s="42"/>
      <c r="F2137" s="42"/>
    </row>
    <row r="2138" customFormat="false" ht="15" hidden="false" customHeight="true" outlineLevel="0" collapsed="false">
      <c r="A2138" s="42"/>
      <c r="B2138" s="42"/>
      <c r="C2138" s="42"/>
      <c r="D2138" s="28" t="str">
        <f aca="false">IF(OR($B2138="",$C2138=""),"",$C2138*IFERROR(INDEX(Setup!$C$47:$C$56,MATCH($B2138,Setup!$A$47:$A$56,0)),IFERROR(INDEX(Setup!$C$60:$C$89,MATCH($B2138,Setup!$A$60:$A$89,0)),"")))</f>
        <v/>
      </c>
      <c r="E2138" s="42"/>
      <c r="F2138" s="42"/>
    </row>
    <row r="2139" customFormat="false" ht="15" hidden="false" customHeight="true" outlineLevel="0" collapsed="false">
      <c r="A2139" s="42"/>
      <c r="B2139" s="42"/>
      <c r="C2139" s="42"/>
      <c r="D2139" s="28" t="str">
        <f aca="false">IF(OR($B2139="",$C2139=""),"",$C2139*IFERROR(INDEX(Setup!$C$47:$C$56,MATCH($B2139,Setup!$A$47:$A$56,0)),IFERROR(INDEX(Setup!$C$60:$C$89,MATCH($B2139,Setup!$A$60:$A$89,0)),"")))</f>
        <v/>
      </c>
      <c r="E2139" s="42"/>
      <c r="F2139" s="42"/>
    </row>
    <row r="2140" customFormat="false" ht="15" hidden="false" customHeight="true" outlineLevel="0" collapsed="false">
      <c r="A2140" s="42"/>
      <c r="B2140" s="42"/>
      <c r="C2140" s="42"/>
      <c r="D2140" s="28" t="str">
        <f aca="false">IF(OR($B2140="",$C2140=""),"",$C2140*IFERROR(INDEX(Setup!$C$47:$C$56,MATCH($B2140,Setup!$A$47:$A$56,0)),IFERROR(INDEX(Setup!$C$60:$C$89,MATCH($B2140,Setup!$A$60:$A$89,0)),"")))</f>
        <v/>
      </c>
      <c r="E2140" s="42"/>
      <c r="F2140" s="42"/>
    </row>
    <row r="2141" customFormat="false" ht="15" hidden="false" customHeight="true" outlineLevel="0" collapsed="false">
      <c r="A2141" s="42"/>
      <c r="B2141" s="42"/>
      <c r="C2141" s="42"/>
      <c r="D2141" s="28" t="str">
        <f aca="false">IF(OR($B2141="",$C2141=""),"",$C2141*IFERROR(INDEX(Setup!$C$47:$C$56,MATCH($B2141,Setup!$A$47:$A$56,0)),IFERROR(INDEX(Setup!$C$60:$C$89,MATCH($B2141,Setup!$A$60:$A$89,0)),"")))</f>
        <v/>
      </c>
      <c r="E2141" s="42"/>
      <c r="F2141" s="42"/>
    </row>
    <row r="2142" customFormat="false" ht="15" hidden="false" customHeight="true" outlineLevel="0" collapsed="false">
      <c r="A2142" s="42"/>
      <c r="B2142" s="42"/>
      <c r="C2142" s="42"/>
      <c r="D2142" s="28" t="str">
        <f aca="false">IF(OR($B2142="",$C2142=""),"",$C2142*IFERROR(INDEX(Setup!$C$47:$C$56,MATCH($B2142,Setup!$A$47:$A$56,0)),IFERROR(INDEX(Setup!$C$60:$C$89,MATCH($B2142,Setup!$A$60:$A$89,0)),"")))</f>
        <v/>
      </c>
      <c r="E2142" s="42"/>
      <c r="F2142" s="42"/>
    </row>
    <row r="2143" customFormat="false" ht="15" hidden="false" customHeight="true" outlineLevel="0" collapsed="false">
      <c r="A2143" s="42"/>
      <c r="B2143" s="42"/>
      <c r="C2143" s="42"/>
      <c r="D2143" s="28" t="str">
        <f aca="false">IF(OR($B2143="",$C2143=""),"",$C2143*IFERROR(INDEX(Setup!$C$47:$C$56,MATCH($B2143,Setup!$A$47:$A$56,0)),IFERROR(INDEX(Setup!$C$60:$C$89,MATCH($B2143,Setup!$A$60:$A$89,0)),"")))</f>
        <v/>
      </c>
      <c r="E2143" s="42"/>
      <c r="F2143" s="42"/>
    </row>
    <row r="2144" customFormat="false" ht="15" hidden="false" customHeight="true" outlineLevel="0" collapsed="false">
      <c r="A2144" s="42"/>
      <c r="B2144" s="42"/>
      <c r="C2144" s="42"/>
      <c r="D2144" s="28" t="str">
        <f aca="false">IF(OR($B2144="",$C2144=""),"",$C2144*IFERROR(INDEX(Setup!$C$47:$C$56,MATCH($B2144,Setup!$A$47:$A$56,0)),IFERROR(INDEX(Setup!$C$60:$C$89,MATCH($B2144,Setup!$A$60:$A$89,0)),"")))</f>
        <v/>
      </c>
      <c r="E2144" s="42"/>
      <c r="F2144" s="42"/>
    </row>
    <row r="2145" customFormat="false" ht="15" hidden="false" customHeight="true" outlineLevel="0" collapsed="false">
      <c r="A2145" s="42"/>
      <c r="B2145" s="42"/>
      <c r="C2145" s="42"/>
      <c r="D2145" s="28" t="str">
        <f aca="false">IF(OR($B2145="",$C2145=""),"",$C2145*IFERROR(INDEX(Setup!$C$47:$C$56,MATCH($B2145,Setup!$A$47:$A$56,0)),IFERROR(INDEX(Setup!$C$60:$C$89,MATCH($B2145,Setup!$A$60:$A$89,0)),"")))</f>
        <v/>
      </c>
      <c r="E2145" s="42"/>
      <c r="F2145" s="42"/>
    </row>
    <row r="2146" customFormat="false" ht="15" hidden="false" customHeight="true" outlineLevel="0" collapsed="false">
      <c r="A2146" s="42"/>
      <c r="B2146" s="42"/>
      <c r="C2146" s="42"/>
      <c r="D2146" s="28" t="str">
        <f aca="false">IF(OR($B2146="",$C2146=""),"",$C2146*IFERROR(INDEX(Setup!$C$47:$C$56,MATCH($B2146,Setup!$A$47:$A$56,0)),IFERROR(INDEX(Setup!$C$60:$C$89,MATCH($B2146,Setup!$A$60:$A$89,0)),"")))</f>
        <v/>
      </c>
      <c r="E2146" s="42"/>
      <c r="F2146" s="42"/>
    </row>
    <row r="2147" customFormat="false" ht="15" hidden="false" customHeight="true" outlineLevel="0" collapsed="false">
      <c r="A2147" s="42"/>
      <c r="B2147" s="42"/>
      <c r="C2147" s="42"/>
      <c r="D2147" s="28" t="str">
        <f aca="false">IF(OR($B2147="",$C2147=""),"",$C2147*IFERROR(INDEX(Setup!$C$47:$C$56,MATCH($B2147,Setup!$A$47:$A$56,0)),IFERROR(INDEX(Setup!$C$60:$C$89,MATCH($B2147,Setup!$A$60:$A$89,0)),"")))</f>
        <v/>
      </c>
      <c r="E2147" s="42"/>
      <c r="F2147" s="42"/>
    </row>
    <row r="2148" customFormat="false" ht="15" hidden="false" customHeight="true" outlineLevel="0" collapsed="false">
      <c r="A2148" s="42"/>
      <c r="B2148" s="42"/>
      <c r="C2148" s="42"/>
      <c r="D2148" s="28" t="str">
        <f aca="false">IF(OR($B2148="",$C2148=""),"",$C2148*IFERROR(INDEX(Setup!$C$47:$C$56,MATCH($B2148,Setup!$A$47:$A$56,0)),IFERROR(INDEX(Setup!$C$60:$C$89,MATCH($B2148,Setup!$A$60:$A$89,0)),"")))</f>
        <v/>
      </c>
      <c r="E2148" s="42"/>
      <c r="F2148" s="42"/>
    </row>
    <row r="2149" customFormat="false" ht="15" hidden="false" customHeight="true" outlineLevel="0" collapsed="false">
      <c r="A2149" s="42"/>
      <c r="B2149" s="42"/>
      <c r="C2149" s="42"/>
      <c r="D2149" s="28" t="str">
        <f aca="false">IF(OR($B2149="",$C2149=""),"",$C2149*IFERROR(INDEX(Setup!$C$47:$C$56,MATCH($B2149,Setup!$A$47:$A$56,0)),IFERROR(INDEX(Setup!$C$60:$C$89,MATCH($B2149,Setup!$A$60:$A$89,0)),"")))</f>
        <v/>
      </c>
      <c r="E2149" s="42"/>
      <c r="F2149" s="42"/>
    </row>
    <row r="2150" customFormat="false" ht="15" hidden="false" customHeight="true" outlineLevel="0" collapsed="false">
      <c r="A2150" s="42"/>
      <c r="B2150" s="42"/>
      <c r="C2150" s="42"/>
      <c r="D2150" s="28" t="str">
        <f aca="false">IF(OR($B2150="",$C2150=""),"",$C2150*IFERROR(INDEX(Setup!$C$47:$C$56,MATCH($B2150,Setup!$A$47:$A$56,0)),IFERROR(INDEX(Setup!$C$60:$C$89,MATCH($B2150,Setup!$A$60:$A$89,0)),"")))</f>
        <v/>
      </c>
      <c r="E2150" s="42"/>
      <c r="F2150" s="42"/>
    </row>
    <row r="2151" customFormat="false" ht="15" hidden="false" customHeight="true" outlineLevel="0" collapsed="false">
      <c r="A2151" s="42"/>
      <c r="B2151" s="42"/>
      <c r="C2151" s="42"/>
      <c r="D2151" s="28" t="str">
        <f aca="false">IF(OR($B2151="",$C2151=""),"",$C2151*IFERROR(INDEX(Setup!$C$47:$C$56,MATCH($B2151,Setup!$A$47:$A$56,0)),IFERROR(INDEX(Setup!$C$60:$C$89,MATCH($B2151,Setup!$A$60:$A$89,0)),"")))</f>
        <v/>
      </c>
      <c r="E2151" s="42"/>
      <c r="F2151" s="42"/>
    </row>
    <row r="2152" customFormat="false" ht="15" hidden="false" customHeight="true" outlineLevel="0" collapsed="false">
      <c r="A2152" s="42"/>
      <c r="B2152" s="42"/>
      <c r="C2152" s="42"/>
      <c r="D2152" s="28" t="str">
        <f aca="false">IF(OR($B2152="",$C2152=""),"",$C2152*IFERROR(INDEX(Setup!$C$47:$C$56,MATCH($B2152,Setup!$A$47:$A$56,0)),IFERROR(INDEX(Setup!$C$60:$C$89,MATCH($B2152,Setup!$A$60:$A$89,0)),"")))</f>
        <v/>
      </c>
      <c r="E2152" s="42"/>
      <c r="F2152" s="42"/>
    </row>
    <row r="2153" customFormat="false" ht="15" hidden="false" customHeight="true" outlineLevel="0" collapsed="false">
      <c r="A2153" s="42"/>
      <c r="B2153" s="42"/>
      <c r="C2153" s="42"/>
      <c r="D2153" s="28" t="str">
        <f aca="false">IF(OR($B2153="",$C2153=""),"",$C2153*IFERROR(INDEX(Setup!$C$47:$C$56,MATCH($B2153,Setup!$A$47:$A$56,0)),IFERROR(INDEX(Setup!$C$60:$C$89,MATCH($B2153,Setup!$A$60:$A$89,0)),"")))</f>
        <v/>
      </c>
      <c r="E2153" s="42"/>
      <c r="F2153" s="42"/>
    </row>
    <row r="2154" customFormat="false" ht="15" hidden="false" customHeight="true" outlineLevel="0" collapsed="false">
      <c r="A2154" s="42"/>
      <c r="B2154" s="42"/>
      <c r="C2154" s="42"/>
      <c r="D2154" s="28" t="str">
        <f aca="false">IF(OR($B2154="",$C2154=""),"",$C2154*IFERROR(INDEX(Setup!$C$47:$C$56,MATCH($B2154,Setup!$A$47:$A$56,0)),IFERROR(INDEX(Setup!$C$60:$C$89,MATCH($B2154,Setup!$A$60:$A$89,0)),"")))</f>
        <v/>
      </c>
      <c r="E2154" s="42"/>
      <c r="F2154" s="42"/>
    </row>
    <row r="2155" customFormat="false" ht="15" hidden="false" customHeight="true" outlineLevel="0" collapsed="false">
      <c r="A2155" s="42"/>
      <c r="B2155" s="42"/>
      <c r="C2155" s="42"/>
      <c r="D2155" s="28" t="str">
        <f aca="false">IF(OR($B2155="",$C2155=""),"",$C2155*IFERROR(INDEX(Setup!$C$47:$C$56,MATCH($B2155,Setup!$A$47:$A$56,0)),IFERROR(INDEX(Setup!$C$60:$C$89,MATCH($B2155,Setup!$A$60:$A$89,0)),"")))</f>
        <v/>
      </c>
      <c r="E2155" s="42"/>
      <c r="F2155" s="42"/>
    </row>
    <row r="2156" customFormat="false" ht="15" hidden="false" customHeight="true" outlineLevel="0" collapsed="false">
      <c r="A2156" s="42"/>
      <c r="B2156" s="42"/>
      <c r="C2156" s="42"/>
      <c r="D2156" s="28" t="str">
        <f aca="false">IF(OR($B2156="",$C2156=""),"",$C2156*IFERROR(INDEX(Setup!$C$47:$C$56,MATCH($B2156,Setup!$A$47:$A$56,0)),IFERROR(INDEX(Setup!$C$60:$C$89,MATCH($B2156,Setup!$A$60:$A$89,0)),"")))</f>
        <v/>
      </c>
      <c r="E2156" s="42"/>
      <c r="F2156" s="42"/>
    </row>
    <row r="2157" customFormat="false" ht="15" hidden="false" customHeight="true" outlineLevel="0" collapsed="false">
      <c r="A2157" s="42"/>
      <c r="B2157" s="42"/>
      <c r="C2157" s="42"/>
      <c r="D2157" s="28" t="str">
        <f aca="false">IF(OR($B2157="",$C2157=""),"",$C2157*IFERROR(INDEX(Setup!$C$47:$C$56,MATCH($B2157,Setup!$A$47:$A$56,0)),IFERROR(INDEX(Setup!$C$60:$C$89,MATCH($B2157,Setup!$A$60:$A$89,0)),"")))</f>
        <v/>
      </c>
      <c r="E2157" s="42"/>
      <c r="F2157" s="42"/>
    </row>
    <row r="2158" customFormat="false" ht="15" hidden="false" customHeight="true" outlineLevel="0" collapsed="false">
      <c r="A2158" s="42"/>
      <c r="B2158" s="42"/>
      <c r="C2158" s="42"/>
      <c r="D2158" s="28" t="str">
        <f aca="false">IF(OR($B2158="",$C2158=""),"",$C2158*IFERROR(INDEX(Setup!$C$47:$C$56,MATCH($B2158,Setup!$A$47:$A$56,0)),IFERROR(INDEX(Setup!$C$60:$C$89,MATCH($B2158,Setup!$A$60:$A$89,0)),"")))</f>
        <v/>
      </c>
      <c r="E2158" s="42"/>
      <c r="F2158" s="42"/>
    </row>
    <row r="2159" customFormat="false" ht="15" hidden="false" customHeight="true" outlineLevel="0" collapsed="false">
      <c r="A2159" s="42"/>
      <c r="B2159" s="42"/>
      <c r="C2159" s="42"/>
      <c r="D2159" s="28" t="str">
        <f aca="false">IF(OR($B2159="",$C2159=""),"",$C2159*IFERROR(INDEX(Setup!$C$47:$C$56,MATCH($B2159,Setup!$A$47:$A$56,0)),IFERROR(INDEX(Setup!$C$60:$C$89,MATCH($B2159,Setup!$A$60:$A$89,0)),"")))</f>
        <v/>
      </c>
      <c r="E2159" s="42"/>
      <c r="F2159" s="42"/>
    </row>
    <row r="2160" customFormat="false" ht="15" hidden="false" customHeight="true" outlineLevel="0" collapsed="false">
      <c r="A2160" s="42"/>
      <c r="B2160" s="42"/>
      <c r="C2160" s="42"/>
      <c r="D2160" s="28" t="str">
        <f aca="false">IF(OR($B2160="",$C2160=""),"",$C2160*IFERROR(INDEX(Setup!$C$47:$C$56,MATCH($B2160,Setup!$A$47:$A$56,0)),IFERROR(INDEX(Setup!$C$60:$C$89,MATCH($B2160,Setup!$A$60:$A$89,0)),"")))</f>
        <v/>
      </c>
      <c r="E2160" s="42"/>
      <c r="F2160" s="42"/>
    </row>
    <row r="2161" customFormat="false" ht="15" hidden="false" customHeight="true" outlineLevel="0" collapsed="false">
      <c r="A2161" s="42"/>
      <c r="B2161" s="42"/>
      <c r="C2161" s="42"/>
      <c r="D2161" s="28" t="str">
        <f aca="false">IF(OR($B2161="",$C2161=""),"",$C2161*IFERROR(INDEX(Setup!$C$47:$C$56,MATCH($B2161,Setup!$A$47:$A$56,0)),IFERROR(INDEX(Setup!$C$60:$C$89,MATCH($B2161,Setup!$A$60:$A$89,0)),"")))</f>
        <v/>
      </c>
      <c r="E2161" s="42"/>
      <c r="F2161" s="42"/>
    </row>
    <row r="2162" customFormat="false" ht="15" hidden="false" customHeight="true" outlineLevel="0" collapsed="false">
      <c r="A2162" s="42"/>
      <c r="B2162" s="42"/>
      <c r="C2162" s="42"/>
      <c r="D2162" s="28" t="str">
        <f aca="false">IF(OR($B2162="",$C2162=""),"",$C2162*IFERROR(INDEX(Setup!$C$47:$C$56,MATCH($B2162,Setup!$A$47:$A$56,0)),IFERROR(INDEX(Setup!$C$60:$C$89,MATCH($B2162,Setup!$A$60:$A$89,0)),"")))</f>
        <v/>
      </c>
      <c r="E2162" s="42"/>
      <c r="F2162" s="42"/>
    </row>
    <row r="2163" customFormat="false" ht="15" hidden="false" customHeight="true" outlineLevel="0" collapsed="false">
      <c r="A2163" s="42"/>
      <c r="B2163" s="42"/>
      <c r="C2163" s="42"/>
      <c r="D2163" s="28" t="str">
        <f aca="false">IF(OR($B2163="",$C2163=""),"",$C2163*IFERROR(INDEX(Setup!$C$47:$C$56,MATCH($B2163,Setup!$A$47:$A$56,0)),IFERROR(INDEX(Setup!$C$60:$C$89,MATCH($B2163,Setup!$A$60:$A$89,0)),"")))</f>
        <v/>
      </c>
      <c r="E2163" s="42"/>
      <c r="F2163" s="42"/>
    </row>
    <row r="2164" customFormat="false" ht="15" hidden="false" customHeight="true" outlineLevel="0" collapsed="false">
      <c r="A2164" s="42"/>
      <c r="B2164" s="42"/>
      <c r="C2164" s="42"/>
      <c r="D2164" s="28" t="str">
        <f aca="false">IF(OR($B2164="",$C2164=""),"",$C2164*IFERROR(INDEX(Setup!$C$47:$C$56,MATCH($B2164,Setup!$A$47:$A$56,0)),IFERROR(INDEX(Setup!$C$60:$C$89,MATCH($B2164,Setup!$A$60:$A$89,0)),"")))</f>
        <v/>
      </c>
      <c r="E2164" s="42"/>
      <c r="F2164" s="42"/>
    </row>
    <row r="2165" customFormat="false" ht="15" hidden="false" customHeight="true" outlineLevel="0" collapsed="false">
      <c r="A2165" s="42"/>
      <c r="B2165" s="42"/>
      <c r="C2165" s="42"/>
      <c r="D2165" s="28" t="str">
        <f aca="false">IF(OR($B2165="",$C2165=""),"",$C2165*IFERROR(INDEX(Setup!$C$47:$C$56,MATCH($B2165,Setup!$A$47:$A$56,0)),IFERROR(INDEX(Setup!$C$60:$C$89,MATCH($B2165,Setup!$A$60:$A$89,0)),"")))</f>
        <v/>
      </c>
      <c r="E2165" s="42"/>
      <c r="F2165" s="42"/>
    </row>
    <row r="2166" customFormat="false" ht="15" hidden="false" customHeight="true" outlineLevel="0" collapsed="false">
      <c r="A2166" s="42"/>
      <c r="B2166" s="42"/>
      <c r="C2166" s="42"/>
      <c r="D2166" s="28" t="str">
        <f aca="false">IF(OR($B2166="",$C2166=""),"",$C2166*IFERROR(INDEX(Setup!$C$47:$C$56,MATCH($B2166,Setup!$A$47:$A$56,0)),IFERROR(INDEX(Setup!$C$60:$C$89,MATCH($B2166,Setup!$A$60:$A$89,0)),"")))</f>
        <v/>
      </c>
      <c r="E2166" s="42"/>
      <c r="F2166" s="42"/>
    </row>
    <row r="2167" customFormat="false" ht="15" hidden="false" customHeight="true" outlineLevel="0" collapsed="false">
      <c r="A2167" s="42"/>
      <c r="B2167" s="42"/>
      <c r="C2167" s="42"/>
      <c r="D2167" s="28" t="str">
        <f aca="false">IF(OR($B2167="",$C2167=""),"",$C2167*IFERROR(INDEX(Setup!$C$47:$C$56,MATCH($B2167,Setup!$A$47:$A$56,0)),IFERROR(INDEX(Setup!$C$60:$C$89,MATCH($B2167,Setup!$A$60:$A$89,0)),"")))</f>
        <v/>
      </c>
      <c r="E2167" s="42"/>
      <c r="F2167" s="42"/>
    </row>
    <row r="2168" customFormat="false" ht="15" hidden="false" customHeight="true" outlineLevel="0" collapsed="false">
      <c r="A2168" s="42"/>
      <c r="B2168" s="42"/>
      <c r="C2168" s="42"/>
      <c r="D2168" s="28" t="str">
        <f aca="false">IF(OR($B2168="",$C2168=""),"",$C2168*IFERROR(INDEX(Setup!$C$47:$C$56,MATCH($B2168,Setup!$A$47:$A$56,0)),IFERROR(INDEX(Setup!$C$60:$C$89,MATCH($B2168,Setup!$A$60:$A$89,0)),"")))</f>
        <v/>
      </c>
      <c r="E2168" s="42"/>
      <c r="F2168" s="42"/>
    </row>
    <row r="2169" customFormat="false" ht="15" hidden="false" customHeight="true" outlineLevel="0" collapsed="false">
      <c r="A2169" s="42"/>
      <c r="B2169" s="42"/>
      <c r="C2169" s="42"/>
      <c r="D2169" s="28" t="str">
        <f aca="false">IF(OR($B2169="",$C2169=""),"",$C2169*IFERROR(INDEX(Setup!$C$47:$C$56,MATCH($B2169,Setup!$A$47:$A$56,0)),IFERROR(INDEX(Setup!$C$60:$C$89,MATCH($B2169,Setup!$A$60:$A$89,0)),"")))</f>
        <v/>
      </c>
      <c r="E2169" s="42"/>
      <c r="F2169" s="42"/>
    </row>
    <row r="2170" customFormat="false" ht="15" hidden="false" customHeight="true" outlineLevel="0" collapsed="false">
      <c r="A2170" s="42"/>
      <c r="B2170" s="42"/>
      <c r="C2170" s="42"/>
      <c r="D2170" s="28" t="str">
        <f aca="false">IF(OR($B2170="",$C2170=""),"",$C2170*IFERROR(INDEX(Setup!$C$47:$C$56,MATCH($B2170,Setup!$A$47:$A$56,0)),IFERROR(INDEX(Setup!$C$60:$C$89,MATCH($B2170,Setup!$A$60:$A$89,0)),"")))</f>
        <v/>
      </c>
      <c r="E2170" s="42"/>
      <c r="F2170" s="42"/>
    </row>
    <row r="2171" customFormat="false" ht="15" hidden="false" customHeight="true" outlineLevel="0" collapsed="false">
      <c r="A2171" s="42"/>
      <c r="B2171" s="42"/>
      <c r="C2171" s="42"/>
      <c r="D2171" s="28" t="str">
        <f aca="false">IF(OR($B2171="",$C2171=""),"",$C2171*IFERROR(INDEX(Setup!$C$47:$C$56,MATCH($B2171,Setup!$A$47:$A$56,0)),IFERROR(INDEX(Setup!$C$60:$C$89,MATCH($B2171,Setup!$A$60:$A$89,0)),"")))</f>
        <v/>
      </c>
      <c r="E2171" s="42"/>
      <c r="F2171" s="42"/>
    </row>
    <row r="2172" customFormat="false" ht="15" hidden="false" customHeight="true" outlineLevel="0" collapsed="false">
      <c r="A2172" s="42"/>
      <c r="B2172" s="42"/>
      <c r="C2172" s="42"/>
      <c r="D2172" s="28" t="str">
        <f aca="false">IF(OR($B2172="",$C2172=""),"",$C2172*IFERROR(INDEX(Setup!$C$47:$C$56,MATCH($B2172,Setup!$A$47:$A$56,0)),IFERROR(INDEX(Setup!$C$60:$C$89,MATCH($B2172,Setup!$A$60:$A$89,0)),"")))</f>
        <v/>
      </c>
      <c r="E2172" s="42"/>
      <c r="F2172" s="42"/>
    </row>
    <row r="2173" customFormat="false" ht="15" hidden="false" customHeight="true" outlineLevel="0" collapsed="false">
      <c r="A2173" s="42"/>
      <c r="B2173" s="42"/>
      <c r="C2173" s="42"/>
      <c r="D2173" s="28" t="str">
        <f aca="false">IF(OR($B2173="",$C2173=""),"",$C2173*IFERROR(INDEX(Setup!$C$47:$C$56,MATCH($B2173,Setup!$A$47:$A$56,0)),IFERROR(INDEX(Setup!$C$60:$C$89,MATCH($B2173,Setup!$A$60:$A$89,0)),"")))</f>
        <v/>
      </c>
      <c r="E2173" s="42"/>
      <c r="F2173" s="42"/>
    </row>
    <row r="2174" customFormat="false" ht="15" hidden="false" customHeight="true" outlineLevel="0" collapsed="false">
      <c r="A2174" s="42"/>
      <c r="B2174" s="42"/>
      <c r="C2174" s="42"/>
      <c r="D2174" s="28" t="str">
        <f aca="false">IF(OR($B2174="",$C2174=""),"",$C2174*IFERROR(INDEX(Setup!$C$47:$C$56,MATCH($B2174,Setup!$A$47:$A$56,0)),IFERROR(INDEX(Setup!$C$60:$C$89,MATCH($B2174,Setup!$A$60:$A$89,0)),"")))</f>
        <v/>
      </c>
      <c r="E2174" s="42"/>
      <c r="F2174" s="42"/>
    </row>
    <row r="2175" customFormat="false" ht="15" hidden="false" customHeight="true" outlineLevel="0" collapsed="false">
      <c r="A2175" s="42"/>
      <c r="B2175" s="42"/>
      <c r="C2175" s="42"/>
      <c r="D2175" s="28" t="str">
        <f aca="false">IF(OR($B2175="",$C2175=""),"",$C2175*IFERROR(INDEX(Setup!$C$47:$C$56,MATCH($B2175,Setup!$A$47:$A$56,0)),IFERROR(INDEX(Setup!$C$60:$C$89,MATCH($B2175,Setup!$A$60:$A$89,0)),"")))</f>
        <v/>
      </c>
      <c r="E2175" s="42"/>
      <c r="F2175" s="42"/>
    </row>
    <row r="2176" customFormat="false" ht="15" hidden="false" customHeight="true" outlineLevel="0" collapsed="false">
      <c r="A2176" s="42"/>
      <c r="B2176" s="42"/>
      <c r="C2176" s="42"/>
      <c r="D2176" s="28" t="str">
        <f aca="false">IF(OR($B2176="",$C2176=""),"",$C2176*IFERROR(INDEX(Setup!$C$47:$C$56,MATCH($B2176,Setup!$A$47:$A$56,0)),IFERROR(INDEX(Setup!$C$60:$C$89,MATCH($B2176,Setup!$A$60:$A$89,0)),"")))</f>
        <v/>
      </c>
      <c r="E2176" s="42"/>
      <c r="F2176" s="42"/>
    </row>
    <row r="2177" customFormat="false" ht="15" hidden="false" customHeight="true" outlineLevel="0" collapsed="false">
      <c r="A2177" s="42"/>
      <c r="B2177" s="42"/>
      <c r="C2177" s="42"/>
      <c r="D2177" s="28" t="str">
        <f aca="false">IF(OR($B2177="",$C2177=""),"",$C2177*IFERROR(INDEX(Setup!$C$47:$C$56,MATCH($B2177,Setup!$A$47:$A$56,0)),IFERROR(INDEX(Setup!$C$60:$C$89,MATCH($B2177,Setup!$A$60:$A$89,0)),"")))</f>
        <v/>
      </c>
      <c r="E2177" s="42"/>
      <c r="F2177" s="42"/>
    </row>
    <row r="2178" customFormat="false" ht="15" hidden="false" customHeight="true" outlineLevel="0" collapsed="false">
      <c r="A2178" s="42"/>
      <c r="B2178" s="42"/>
      <c r="C2178" s="42"/>
      <c r="D2178" s="28" t="str">
        <f aca="false">IF(OR($B2178="",$C2178=""),"",$C2178*IFERROR(INDEX(Setup!$C$47:$C$56,MATCH($B2178,Setup!$A$47:$A$56,0)),IFERROR(INDEX(Setup!$C$60:$C$89,MATCH($B2178,Setup!$A$60:$A$89,0)),"")))</f>
        <v/>
      </c>
      <c r="E2178" s="42"/>
      <c r="F2178" s="42"/>
    </row>
    <row r="2179" customFormat="false" ht="15" hidden="false" customHeight="true" outlineLevel="0" collapsed="false">
      <c r="A2179" s="42"/>
      <c r="B2179" s="42"/>
      <c r="C2179" s="42"/>
      <c r="D2179" s="28" t="str">
        <f aca="false">IF(OR($B2179="",$C2179=""),"",$C2179*IFERROR(INDEX(Setup!$C$47:$C$56,MATCH($B2179,Setup!$A$47:$A$56,0)),IFERROR(INDEX(Setup!$C$60:$C$89,MATCH($B2179,Setup!$A$60:$A$89,0)),"")))</f>
        <v/>
      </c>
      <c r="E2179" s="42"/>
      <c r="F2179" s="42"/>
    </row>
    <row r="2180" customFormat="false" ht="15" hidden="false" customHeight="true" outlineLevel="0" collapsed="false">
      <c r="A2180" s="42"/>
      <c r="B2180" s="42"/>
      <c r="C2180" s="42"/>
      <c r="D2180" s="28" t="str">
        <f aca="false">IF(OR($B2180="",$C2180=""),"",$C2180*IFERROR(INDEX(Setup!$C$47:$C$56,MATCH($B2180,Setup!$A$47:$A$56,0)),IFERROR(INDEX(Setup!$C$60:$C$89,MATCH($B2180,Setup!$A$60:$A$89,0)),"")))</f>
        <v/>
      </c>
      <c r="E2180" s="42"/>
      <c r="F2180" s="42"/>
    </row>
    <row r="2181" customFormat="false" ht="15" hidden="false" customHeight="true" outlineLevel="0" collapsed="false">
      <c r="A2181" s="42"/>
      <c r="B2181" s="42"/>
      <c r="C2181" s="42"/>
      <c r="D2181" s="28" t="str">
        <f aca="false">IF(OR($B2181="",$C2181=""),"",$C2181*IFERROR(INDEX(Setup!$C$47:$C$56,MATCH($B2181,Setup!$A$47:$A$56,0)),IFERROR(INDEX(Setup!$C$60:$C$89,MATCH($B2181,Setup!$A$60:$A$89,0)),"")))</f>
        <v/>
      </c>
      <c r="E2181" s="42"/>
      <c r="F2181" s="42"/>
    </row>
    <row r="2182" customFormat="false" ht="15" hidden="false" customHeight="true" outlineLevel="0" collapsed="false">
      <c r="A2182" s="42"/>
      <c r="B2182" s="42"/>
      <c r="C2182" s="42"/>
      <c r="D2182" s="28" t="str">
        <f aca="false">IF(OR($B2182="",$C2182=""),"",$C2182*IFERROR(INDEX(Setup!$C$47:$C$56,MATCH($B2182,Setup!$A$47:$A$56,0)),IFERROR(INDEX(Setup!$C$60:$C$89,MATCH($B2182,Setup!$A$60:$A$89,0)),"")))</f>
        <v/>
      </c>
      <c r="E2182" s="42"/>
      <c r="F2182" s="42"/>
    </row>
    <row r="2183" customFormat="false" ht="15" hidden="false" customHeight="true" outlineLevel="0" collapsed="false">
      <c r="A2183" s="42"/>
      <c r="B2183" s="42"/>
      <c r="C2183" s="42"/>
      <c r="D2183" s="28" t="str">
        <f aca="false">IF(OR($B2183="",$C2183=""),"",$C2183*IFERROR(INDEX(Setup!$C$47:$C$56,MATCH($B2183,Setup!$A$47:$A$56,0)),IFERROR(INDEX(Setup!$C$60:$C$89,MATCH($B2183,Setup!$A$60:$A$89,0)),"")))</f>
        <v/>
      </c>
      <c r="E2183" s="42"/>
      <c r="F2183" s="42"/>
    </row>
    <row r="2184" customFormat="false" ht="15" hidden="false" customHeight="true" outlineLevel="0" collapsed="false">
      <c r="A2184" s="42"/>
      <c r="B2184" s="42"/>
      <c r="C2184" s="42"/>
      <c r="D2184" s="28" t="str">
        <f aca="false">IF(OR($B2184="",$C2184=""),"",$C2184*IFERROR(INDEX(Setup!$C$47:$C$56,MATCH($B2184,Setup!$A$47:$A$56,0)),IFERROR(INDEX(Setup!$C$60:$C$89,MATCH($B2184,Setup!$A$60:$A$89,0)),"")))</f>
        <v/>
      </c>
      <c r="E2184" s="42"/>
      <c r="F2184" s="42"/>
    </row>
    <row r="2185" customFormat="false" ht="15" hidden="false" customHeight="true" outlineLevel="0" collapsed="false">
      <c r="A2185" s="42"/>
      <c r="B2185" s="42"/>
      <c r="C2185" s="42"/>
      <c r="D2185" s="28" t="str">
        <f aca="false">IF(OR($B2185="",$C2185=""),"",$C2185*IFERROR(INDEX(Setup!$C$47:$C$56,MATCH($B2185,Setup!$A$47:$A$56,0)),IFERROR(INDEX(Setup!$C$60:$C$89,MATCH($B2185,Setup!$A$60:$A$89,0)),"")))</f>
        <v/>
      </c>
      <c r="E2185" s="42"/>
      <c r="F2185" s="42"/>
    </row>
    <row r="2186" customFormat="false" ht="15" hidden="false" customHeight="true" outlineLevel="0" collapsed="false">
      <c r="A2186" s="42"/>
      <c r="B2186" s="42"/>
      <c r="C2186" s="42"/>
      <c r="D2186" s="28" t="str">
        <f aca="false">IF(OR($B2186="",$C2186=""),"",$C2186*IFERROR(INDEX(Setup!$C$47:$C$56,MATCH($B2186,Setup!$A$47:$A$56,0)),IFERROR(INDEX(Setup!$C$60:$C$89,MATCH($B2186,Setup!$A$60:$A$89,0)),"")))</f>
        <v/>
      </c>
      <c r="E2186" s="42"/>
      <c r="F2186" s="42"/>
    </row>
    <row r="2187" customFormat="false" ht="15" hidden="false" customHeight="true" outlineLevel="0" collapsed="false">
      <c r="A2187" s="42"/>
      <c r="B2187" s="42"/>
      <c r="C2187" s="42"/>
      <c r="D2187" s="28" t="str">
        <f aca="false">IF(OR($B2187="",$C2187=""),"",$C2187*IFERROR(INDEX(Setup!$C$47:$C$56,MATCH($B2187,Setup!$A$47:$A$56,0)),IFERROR(INDEX(Setup!$C$60:$C$89,MATCH($B2187,Setup!$A$60:$A$89,0)),"")))</f>
        <v/>
      </c>
      <c r="E2187" s="42"/>
      <c r="F2187" s="42"/>
    </row>
    <row r="2188" customFormat="false" ht="15" hidden="false" customHeight="true" outlineLevel="0" collapsed="false">
      <c r="A2188" s="42"/>
      <c r="B2188" s="42"/>
      <c r="C2188" s="42"/>
      <c r="D2188" s="28" t="str">
        <f aca="false">IF(OR($B2188="",$C2188=""),"",$C2188*IFERROR(INDEX(Setup!$C$47:$C$56,MATCH($B2188,Setup!$A$47:$A$56,0)),IFERROR(INDEX(Setup!$C$60:$C$89,MATCH($B2188,Setup!$A$60:$A$89,0)),"")))</f>
        <v/>
      </c>
      <c r="E2188" s="42"/>
      <c r="F2188" s="42"/>
    </row>
    <row r="2189" customFormat="false" ht="15" hidden="false" customHeight="true" outlineLevel="0" collapsed="false">
      <c r="A2189" s="42"/>
      <c r="B2189" s="42"/>
      <c r="C2189" s="42"/>
      <c r="D2189" s="28" t="str">
        <f aca="false">IF(OR($B2189="",$C2189=""),"",$C2189*IFERROR(INDEX(Setup!$C$47:$C$56,MATCH($B2189,Setup!$A$47:$A$56,0)),IFERROR(INDEX(Setup!$C$60:$C$89,MATCH($B2189,Setup!$A$60:$A$89,0)),"")))</f>
        <v/>
      </c>
      <c r="E2189" s="42"/>
      <c r="F2189" s="42"/>
    </row>
    <row r="2190" customFormat="false" ht="15" hidden="false" customHeight="true" outlineLevel="0" collapsed="false">
      <c r="A2190" s="42"/>
      <c r="B2190" s="42"/>
      <c r="C2190" s="42"/>
      <c r="D2190" s="28" t="str">
        <f aca="false">IF(OR($B2190="",$C2190=""),"",$C2190*IFERROR(INDEX(Setup!$C$47:$C$56,MATCH($B2190,Setup!$A$47:$A$56,0)),IFERROR(INDEX(Setup!$C$60:$C$89,MATCH($B2190,Setup!$A$60:$A$89,0)),"")))</f>
        <v/>
      </c>
      <c r="E2190" s="42"/>
      <c r="F2190" s="42"/>
    </row>
    <row r="2191" customFormat="false" ht="15" hidden="false" customHeight="true" outlineLevel="0" collapsed="false">
      <c r="A2191" s="42"/>
      <c r="B2191" s="42"/>
      <c r="C2191" s="42"/>
      <c r="D2191" s="28" t="str">
        <f aca="false">IF(OR($B2191="",$C2191=""),"",$C2191*IFERROR(INDEX(Setup!$C$47:$C$56,MATCH($B2191,Setup!$A$47:$A$56,0)),IFERROR(INDEX(Setup!$C$60:$C$89,MATCH($B2191,Setup!$A$60:$A$89,0)),"")))</f>
        <v/>
      </c>
      <c r="E2191" s="42"/>
      <c r="F2191" s="42"/>
    </row>
    <row r="2192" customFormat="false" ht="15" hidden="false" customHeight="true" outlineLevel="0" collapsed="false">
      <c r="A2192" s="42"/>
      <c r="B2192" s="42"/>
      <c r="C2192" s="42"/>
      <c r="D2192" s="28" t="str">
        <f aca="false">IF(OR($B2192="",$C2192=""),"",$C2192*IFERROR(INDEX(Setup!$C$47:$C$56,MATCH($B2192,Setup!$A$47:$A$56,0)),IFERROR(INDEX(Setup!$C$60:$C$89,MATCH($B2192,Setup!$A$60:$A$89,0)),"")))</f>
        <v/>
      </c>
      <c r="E2192" s="42"/>
      <c r="F2192" s="42"/>
    </row>
    <row r="2193" customFormat="false" ht="15" hidden="false" customHeight="true" outlineLevel="0" collapsed="false">
      <c r="A2193" s="42"/>
      <c r="B2193" s="42"/>
      <c r="C2193" s="42"/>
      <c r="D2193" s="28" t="str">
        <f aca="false">IF(OR($B2193="",$C2193=""),"",$C2193*IFERROR(INDEX(Setup!$C$47:$C$56,MATCH($B2193,Setup!$A$47:$A$56,0)),IFERROR(INDEX(Setup!$C$60:$C$89,MATCH($B2193,Setup!$A$60:$A$89,0)),"")))</f>
        <v/>
      </c>
      <c r="E2193" s="42"/>
      <c r="F2193" s="42"/>
    </row>
    <row r="2194" customFormat="false" ht="15" hidden="false" customHeight="true" outlineLevel="0" collapsed="false">
      <c r="A2194" s="42"/>
      <c r="B2194" s="42"/>
      <c r="C2194" s="42"/>
      <c r="D2194" s="28" t="str">
        <f aca="false">IF(OR($B2194="",$C2194=""),"",$C2194*IFERROR(INDEX(Setup!$C$47:$C$56,MATCH($B2194,Setup!$A$47:$A$56,0)),IFERROR(INDEX(Setup!$C$60:$C$89,MATCH($B2194,Setup!$A$60:$A$89,0)),"")))</f>
        <v/>
      </c>
      <c r="E2194" s="42"/>
      <c r="F2194" s="42"/>
    </row>
    <row r="2195" customFormat="false" ht="15" hidden="false" customHeight="true" outlineLevel="0" collapsed="false">
      <c r="A2195" s="42"/>
      <c r="B2195" s="42"/>
      <c r="C2195" s="42"/>
      <c r="D2195" s="28" t="str">
        <f aca="false">IF(OR($B2195="",$C2195=""),"",$C2195*IFERROR(INDEX(Setup!$C$47:$C$56,MATCH($B2195,Setup!$A$47:$A$56,0)),IFERROR(INDEX(Setup!$C$60:$C$89,MATCH($B2195,Setup!$A$60:$A$89,0)),"")))</f>
        <v/>
      </c>
      <c r="E2195" s="42"/>
      <c r="F2195" s="42"/>
    </row>
    <row r="2196" customFormat="false" ht="15" hidden="false" customHeight="true" outlineLevel="0" collapsed="false">
      <c r="A2196" s="42"/>
      <c r="B2196" s="42"/>
      <c r="C2196" s="42"/>
      <c r="D2196" s="28" t="str">
        <f aca="false">IF(OR($B2196="",$C2196=""),"",$C2196*IFERROR(INDEX(Setup!$C$47:$C$56,MATCH($B2196,Setup!$A$47:$A$56,0)),IFERROR(INDEX(Setup!$C$60:$C$89,MATCH($B2196,Setup!$A$60:$A$89,0)),"")))</f>
        <v/>
      </c>
      <c r="E2196" s="42"/>
      <c r="F2196" s="42"/>
    </row>
    <row r="2197" customFormat="false" ht="15" hidden="false" customHeight="true" outlineLevel="0" collapsed="false">
      <c r="A2197" s="42"/>
      <c r="B2197" s="42"/>
      <c r="C2197" s="42"/>
      <c r="D2197" s="28" t="str">
        <f aca="false">IF(OR($B2197="",$C2197=""),"",$C2197*IFERROR(INDEX(Setup!$C$47:$C$56,MATCH($B2197,Setup!$A$47:$A$56,0)),IFERROR(INDEX(Setup!$C$60:$C$89,MATCH($B2197,Setup!$A$60:$A$89,0)),"")))</f>
        <v/>
      </c>
      <c r="E2197" s="42"/>
      <c r="F2197" s="42"/>
    </row>
    <row r="2198" customFormat="false" ht="15" hidden="false" customHeight="true" outlineLevel="0" collapsed="false">
      <c r="A2198" s="42"/>
      <c r="B2198" s="42"/>
      <c r="C2198" s="42"/>
      <c r="D2198" s="28" t="str">
        <f aca="false">IF(OR($B2198="",$C2198=""),"",$C2198*IFERROR(INDEX(Setup!$C$47:$C$56,MATCH($B2198,Setup!$A$47:$A$56,0)),IFERROR(INDEX(Setup!$C$60:$C$89,MATCH($B2198,Setup!$A$60:$A$89,0)),"")))</f>
        <v/>
      </c>
      <c r="E2198" s="42"/>
      <c r="F2198" s="42"/>
    </row>
    <row r="2199" customFormat="false" ht="15" hidden="false" customHeight="true" outlineLevel="0" collapsed="false">
      <c r="A2199" s="42"/>
      <c r="B2199" s="42"/>
      <c r="C2199" s="42"/>
      <c r="D2199" s="28" t="str">
        <f aca="false">IF(OR($B2199="",$C2199=""),"",$C2199*IFERROR(INDEX(Setup!$C$47:$C$56,MATCH($B2199,Setup!$A$47:$A$56,0)),IFERROR(INDEX(Setup!$C$60:$C$89,MATCH($B2199,Setup!$A$60:$A$89,0)),"")))</f>
        <v/>
      </c>
      <c r="E2199" s="42"/>
      <c r="F2199" s="42"/>
    </row>
    <row r="2200" customFormat="false" ht="15" hidden="false" customHeight="true" outlineLevel="0" collapsed="false">
      <c r="A2200" s="42"/>
      <c r="B2200" s="42"/>
      <c r="C2200" s="42"/>
      <c r="D2200" s="28" t="str">
        <f aca="false">IF(OR($B2200="",$C2200=""),"",$C2200*IFERROR(INDEX(Setup!$C$47:$C$56,MATCH($B2200,Setup!$A$47:$A$56,0)),IFERROR(INDEX(Setup!$C$60:$C$89,MATCH($B2200,Setup!$A$60:$A$89,0)),"")))</f>
        <v/>
      </c>
      <c r="E2200" s="42"/>
      <c r="F2200" s="42"/>
    </row>
    <row r="2201" customFormat="false" ht="15" hidden="false" customHeight="true" outlineLevel="0" collapsed="false">
      <c r="A2201" s="42"/>
      <c r="B2201" s="42"/>
      <c r="C2201" s="42"/>
      <c r="D2201" s="28" t="str">
        <f aca="false">IF(OR($B2201="",$C2201=""),"",$C2201*IFERROR(INDEX(Setup!$C$47:$C$56,MATCH($B2201,Setup!$A$47:$A$56,0)),IFERROR(INDEX(Setup!$C$60:$C$89,MATCH($B2201,Setup!$A$60:$A$89,0)),"")))</f>
        <v/>
      </c>
      <c r="E2201" s="42"/>
      <c r="F2201" s="42"/>
    </row>
    <row r="2202" customFormat="false" ht="15" hidden="false" customHeight="true" outlineLevel="0" collapsed="false">
      <c r="A2202" s="42"/>
      <c r="B2202" s="42"/>
      <c r="C2202" s="42"/>
      <c r="D2202" s="28" t="str">
        <f aca="false">IF(OR($B2202="",$C2202=""),"",$C2202*IFERROR(INDEX(Setup!$C$47:$C$56,MATCH($B2202,Setup!$A$47:$A$56,0)),IFERROR(INDEX(Setup!$C$60:$C$89,MATCH($B2202,Setup!$A$60:$A$89,0)),"")))</f>
        <v/>
      </c>
      <c r="E2202" s="42"/>
      <c r="F2202" s="42"/>
    </row>
    <row r="2203" customFormat="false" ht="15" hidden="false" customHeight="true" outlineLevel="0" collapsed="false">
      <c r="A2203" s="42"/>
      <c r="B2203" s="42"/>
      <c r="C2203" s="42"/>
      <c r="D2203" s="28" t="str">
        <f aca="false">IF(OR($B2203="",$C2203=""),"",$C2203*IFERROR(INDEX(Setup!$C$47:$C$56,MATCH($B2203,Setup!$A$47:$A$56,0)),IFERROR(INDEX(Setup!$C$60:$C$89,MATCH($B2203,Setup!$A$60:$A$89,0)),"")))</f>
        <v/>
      </c>
      <c r="E2203" s="42"/>
      <c r="F2203" s="42"/>
    </row>
    <row r="2204" customFormat="false" ht="15" hidden="false" customHeight="true" outlineLevel="0" collapsed="false">
      <c r="A2204" s="42"/>
      <c r="B2204" s="42"/>
      <c r="C2204" s="42"/>
      <c r="D2204" s="28" t="str">
        <f aca="false">IF(OR($B2204="",$C2204=""),"",$C2204*IFERROR(INDEX(Setup!$C$47:$C$56,MATCH($B2204,Setup!$A$47:$A$56,0)),IFERROR(INDEX(Setup!$C$60:$C$89,MATCH($B2204,Setup!$A$60:$A$89,0)),"")))</f>
        <v/>
      </c>
      <c r="E2204" s="42"/>
      <c r="F2204" s="42"/>
    </row>
    <row r="2205" customFormat="false" ht="15" hidden="false" customHeight="true" outlineLevel="0" collapsed="false">
      <c r="A2205" s="42"/>
      <c r="B2205" s="42"/>
      <c r="C2205" s="42"/>
      <c r="D2205" s="28" t="str">
        <f aca="false">IF(OR($B2205="",$C2205=""),"",$C2205*IFERROR(INDEX(Setup!$C$47:$C$56,MATCH($B2205,Setup!$A$47:$A$56,0)),IFERROR(INDEX(Setup!$C$60:$C$89,MATCH($B2205,Setup!$A$60:$A$89,0)),"")))</f>
        <v/>
      </c>
      <c r="E2205" s="42"/>
      <c r="F2205" s="42"/>
    </row>
    <row r="2206" customFormat="false" ht="15" hidden="false" customHeight="true" outlineLevel="0" collapsed="false">
      <c r="A2206" s="42"/>
      <c r="B2206" s="42"/>
      <c r="C2206" s="42"/>
      <c r="D2206" s="28" t="str">
        <f aca="false">IF(OR($B2206="",$C2206=""),"",$C2206*IFERROR(INDEX(Setup!$C$47:$C$56,MATCH($B2206,Setup!$A$47:$A$56,0)),IFERROR(INDEX(Setup!$C$60:$C$89,MATCH($B2206,Setup!$A$60:$A$89,0)),"")))</f>
        <v/>
      </c>
      <c r="E2206" s="42"/>
      <c r="F2206" s="42"/>
    </row>
    <row r="2207" customFormat="false" ht="15" hidden="false" customHeight="true" outlineLevel="0" collapsed="false">
      <c r="A2207" s="42"/>
      <c r="B2207" s="42"/>
      <c r="C2207" s="42"/>
      <c r="D2207" s="28" t="str">
        <f aca="false">IF(OR($B2207="",$C2207=""),"",$C2207*IFERROR(INDEX(Setup!$C$47:$C$56,MATCH($B2207,Setup!$A$47:$A$56,0)),IFERROR(INDEX(Setup!$C$60:$C$89,MATCH($B2207,Setup!$A$60:$A$89,0)),"")))</f>
        <v/>
      </c>
      <c r="E2207" s="42"/>
      <c r="F2207" s="42"/>
    </row>
    <row r="2208" customFormat="false" ht="15" hidden="false" customHeight="true" outlineLevel="0" collapsed="false">
      <c r="A2208" s="42"/>
      <c r="B2208" s="42"/>
      <c r="C2208" s="42"/>
      <c r="D2208" s="28" t="str">
        <f aca="false">IF(OR($B2208="",$C2208=""),"",$C2208*IFERROR(INDEX(Setup!$C$47:$C$56,MATCH($B2208,Setup!$A$47:$A$56,0)),IFERROR(INDEX(Setup!$C$60:$C$89,MATCH($B2208,Setup!$A$60:$A$89,0)),"")))</f>
        <v/>
      </c>
      <c r="E2208" s="42"/>
      <c r="F2208" s="42"/>
    </row>
    <row r="2209" customFormat="false" ht="15" hidden="false" customHeight="true" outlineLevel="0" collapsed="false">
      <c r="A2209" s="42"/>
      <c r="B2209" s="42"/>
      <c r="C2209" s="42"/>
      <c r="D2209" s="28" t="str">
        <f aca="false">IF(OR($B2209="",$C2209=""),"",$C2209*IFERROR(INDEX(Setup!$C$47:$C$56,MATCH($B2209,Setup!$A$47:$A$56,0)),IFERROR(INDEX(Setup!$C$60:$C$89,MATCH($B2209,Setup!$A$60:$A$89,0)),"")))</f>
        <v/>
      </c>
      <c r="E2209" s="42"/>
      <c r="F2209" s="42"/>
    </row>
    <row r="2210" customFormat="false" ht="15" hidden="false" customHeight="true" outlineLevel="0" collapsed="false">
      <c r="A2210" s="42"/>
      <c r="B2210" s="42"/>
      <c r="C2210" s="42"/>
      <c r="D2210" s="28" t="str">
        <f aca="false">IF(OR($B2210="",$C2210=""),"",$C2210*IFERROR(INDEX(Setup!$C$47:$C$56,MATCH($B2210,Setup!$A$47:$A$56,0)),IFERROR(INDEX(Setup!$C$60:$C$89,MATCH($B2210,Setup!$A$60:$A$89,0)),"")))</f>
        <v/>
      </c>
      <c r="E2210" s="42"/>
      <c r="F2210" s="42"/>
    </row>
    <row r="2211" customFormat="false" ht="15" hidden="false" customHeight="true" outlineLevel="0" collapsed="false">
      <c r="A2211" s="42"/>
      <c r="B2211" s="42"/>
      <c r="C2211" s="42"/>
      <c r="D2211" s="28" t="str">
        <f aca="false">IF(OR($B2211="",$C2211=""),"",$C2211*IFERROR(INDEX(Setup!$C$47:$C$56,MATCH($B2211,Setup!$A$47:$A$56,0)),IFERROR(INDEX(Setup!$C$60:$C$89,MATCH($B2211,Setup!$A$60:$A$89,0)),"")))</f>
        <v/>
      </c>
      <c r="E2211" s="42"/>
      <c r="F2211" s="42"/>
    </row>
    <row r="2212" customFormat="false" ht="15" hidden="false" customHeight="true" outlineLevel="0" collapsed="false">
      <c r="A2212" s="42"/>
      <c r="B2212" s="42"/>
      <c r="C2212" s="42"/>
      <c r="D2212" s="28" t="str">
        <f aca="false">IF(OR($B2212="",$C2212=""),"",$C2212*IFERROR(INDEX(Setup!$C$47:$C$56,MATCH($B2212,Setup!$A$47:$A$56,0)),IFERROR(INDEX(Setup!$C$60:$C$89,MATCH($B2212,Setup!$A$60:$A$89,0)),"")))</f>
        <v/>
      </c>
      <c r="E2212" s="42"/>
      <c r="F2212" s="42"/>
    </row>
    <row r="2213" customFormat="false" ht="15" hidden="false" customHeight="true" outlineLevel="0" collapsed="false">
      <c r="A2213" s="42"/>
      <c r="B2213" s="42"/>
      <c r="C2213" s="42"/>
      <c r="D2213" s="28" t="str">
        <f aca="false">IF(OR($B2213="",$C2213=""),"",$C2213*IFERROR(INDEX(Setup!$C$47:$C$56,MATCH($B2213,Setup!$A$47:$A$56,0)),IFERROR(INDEX(Setup!$C$60:$C$89,MATCH($B2213,Setup!$A$60:$A$89,0)),"")))</f>
        <v/>
      </c>
      <c r="E2213" s="42"/>
      <c r="F2213" s="42"/>
    </row>
    <row r="2214" customFormat="false" ht="15" hidden="false" customHeight="true" outlineLevel="0" collapsed="false">
      <c r="A2214" s="42"/>
      <c r="B2214" s="42"/>
      <c r="C2214" s="42"/>
      <c r="D2214" s="28" t="str">
        <f aca="false">IF(OR($B2214="",$C2214=""),"",$C2214*IFERROR(INDEX(Setup!$C$47:$C$56,MATCH($B2214,Setup!$A$47:$A$56,0)),IFERROR(INDEX(Setup!$C$60:$C$89,MATCH($B2214,Setup!$A$60:$A$89,0)),"")))</f>
        <v/>
      </c>
      <c r="E2214" s="42"/>
      <c r="F2214" s="42"/>
    </row>
    <row r="2215" customFormat="false" ht="15" hidden="false" customHeight="true" outlineLevel="0" collapsed="false">
      <c r="A2215" s="42"/>
      <c r="B2215" s="42"/>
      <c r="C2215" s="42"/>
      <c r="D2215" s="28" t="str">
        <f aca="false">IF(OR($B2215="",$C2215=""),"",$C2215*IFERROR(INDEX(Setup!$C$47:$C$56,MATCH($B2215,Setup!$A$47:$A$56,0)),IFERROR(INDEX(Setup!$C$60:$C$89,MATCH($B2215,Setup!$A$60:$A$89,0)),"")))</f>
        <v/>
      </c>
      <c r="E2215" s="42"/>
      <c r="F2215" s="42"/>
    </row>
    <row r="2216" customFormat="false" ht="15" hidden="false" customHeight="true" outlineLevel="0" collapsed="false">
      <c r="A2216" s="42"/>
      <c r="B2216" s="42"/>
      <c r="C2216" s="42"/>
      <c r="D2216" s="28" t="str">
        <f aca="false">IF(OR($B2216="",$C2216=""),"",$C2216*IFERROR(INDEX(Setup!$C$47:$C$56,MATCH($B2216,Setup!$A$47:$A$56,0)),IFERROR(INDEX(Setup!$C$60:$C$89,MATCH($B2216,Setup!$A$60:$A$89,0)),"")))</f>
        <v/>
      </c>
      <c r="E2216" s="42"/>
      <c r="F2216" s="42"/>
    </row>
    <row r="2217" customFormat="false" ht="15" hidden="false" customHeight="true" outlineLevel="0" collapsed="false">
      <c r="A2217" s="42"/>
      <c r="B2217" s="42"/>
      <c r="C2217" s="42"/>
      <c r="D2217" s="28" t="str">
        <f aca="false">IF(OR($B2217="",$C2217=""),"",$C2217*IFERROR(INDEX(Setup!$C$47:$C$56,MATCH($B2217,Setup!$A$47:$A$56,0)),IFERROR(INDEX(Setup!$C$60:$C$89,MATCH($B2217,Setup!$A$60:$A$89,0)),"")))</f>
        <v/>
      </c>
      <c r="E2217" s="42"/>
      <c r="F2217" s="42"/>
    </row>
    <row r="2218" customFormat="false" ht="15" hidden="false" customHeight="true" outlineLevel="0" collapsed="false">
      <c r="A2218" s="42"/>
      <c r="B2218" s="42"/>
      <c r="C2218" s="42"/>
      <c r="D2218" s="28" t="str">
        <f aca="false">IF(OR($B2218="",$C2218=""),"",$C2218*IFERROR(INDEX(Setup!$C$47:$C$56,MATCH($B2218,Setup!$A$47:$A$56,0)),IFERROR(INDEX(Setup!$C$60:$C$89,MATCH($B2218,Setup!$A$60:$A$89,0)),"")))</f>
        <v/>
      </c>
      <c r="E2218" s="42"/>
      <c r="F2218" s="42"/>
    </row>
    <row r="2219" customFormat="false" ht="15" hidden="false" customHeight="true" outlineLevel="0" collapsed="false">
      <c r="A2219" s="42"/>
      <c r="B2219" s="42"/>
      <c r="C2219" s="42"/>
      <c r="D2219" s="28" t="str">
        <f aca="false">IF(OR($B2219="",$C2219=""),"",$C2219*IFERROR(INDEX(Setup!$C$47:$C$56,MATCH($B2219,Setup!$A$47:$A$56,0)),IFERROR(INDEX(Setup!$C$60:$C$89,MATCH($B2219,Setup!$A$60:$A$89,0)),"")))</f>
        <v/>
      </c>
      <c r="E2219" s="42"/>
      <c r="F2219" s="42"/>
    </row>
    <row r="2220" customFormat="false" ht="15" hidden="false" customHeight="true" outlineLevel="0" collapsed="false">
      <c r="A2220" s="42"/>
      <c r="B2220" s="42"/>
      <c r="C2220" s="42"/>
      <c r="D2220" s="28" t="str">
        <f aca="false">IF(OR($B2220="",$C2220=""),"",$C2220*IFERROR(INDEX(Setup!$C$47:$C$56,MATCH($B2220,Setup!$A$47:$A$56,0)),IFERROR(INDEX(Setup!$C$60:$C$89,MATCH($B2220,Setup!$A$60:$A$89,0)),"")))</f>
        <v/>
      </c>
      <c r="E2220" s="42"/>
      <c r="F2220" s="42"/>
    </row>
    <row r="2221" customFormat="false" ht="15" hidden="false" customHeight="true" outlineLevel="0" collapsed="false">
      <c r="A2221" s="42"/>
      <c r="B2221" s="42"/>
      <c r="C2221" s="42"/>
      <c r="D2221" s="28" t="str">
        <f aca="false">IF(OR($B2221="",$C2221=""),"",$C2221*IFERROR(INDEX(Setup!$C$47:$C$56,MATCH($B2221,Setup!$A$47:$A$56,0)),IFERROR(INDEX(Setup!$C$60:$C$89,MATCH($B2221,Setup!$A$60:$A$89,0)),"")))</f>
        <v/>
      </c>
      <c r="E2221" s="42"/>
      <c r="F2221" s="42"/>
    </row>
    <row r="2222" customFormat="false" ht="15" hidden="false" customHeight="true" outlineLevel="0" collapsed="false">
      <c r="A2222" s="42"/>
      <c r="B2222" s="42"/>
      <c r="C2222" s="42"/>
      <c r="D2222" s="28" t="str">
        <f aca="false">IF(OR($B2222="",$C2222=""),"",$C2222*IFERROR(INDEX(Setup!$C$47:$C$56,MATCH($B2222,Setup!$A$47:$A$56,0)),IFERROR(INDEX(Setup!$C$60:$C$89,MATCH($B2222,Setup!$A$60:$A$89,0)),"")))</f>
        <v/>
      </c>
      <c r="E2222" s="42"/>
      <c r="F2222" s="42"/>
    </row>
    <row r="2223" customFormat="false" ht="15" hidden="false" customHeight="true" outlineLevel="0" collapsed="false">
      <c r="A2223" s="42"/>
      <c r="B2223" s="42"/>
      <c r="C2223" s="42"/>
      <c r="D2223" s="28" t="str">
        <f aca="false">IF(OR($B2223="",$C2223=""),"",$C2223*IFERROR(INDEX(Setup!$C$47:$C$56,MATCH($B2223,Setup!$A$47:$A$56,0)),IFERROR(INDEX(Setup!$C$60:$C$89,MATCH($B2223,Setup!$A$60:$A$89,0)),"")))</f>
        <v/>
      </c>
      <c r="E2223" s="42"/>
      <c r="F2223" s="42"/>
    </row>
    <row r="2224" customFormat="false" ht="15" hidden="false" customHeight="true" outlineLevel="0" collapsed="false">
      <c r="A2224" s="42"/>
      <c r="B2224" s="42"/>
      <c r="C2224" s="42"/>
      <c r="D2224" s="28" t="str">
        <f aca="false">IF(OR($B2224="",$C2224=""),"",$C2224*IFERROR(INDEX(Setup!$C$47:$C$56,MATCH($B2224,Setup!$A$47:$A$56,0)),IFERROR(INDEX(Setup!$C$60:$C$89,MATCH($B2224,Setup!$A$60:$A$89,0)),"")))</f>
        <v/>
      </c>
      <c r="E2224" s="42"/>
      <c r="F2224" s="42"/>
    </row>
    <row r="2225" customFormat="false" ht="15" hidden="false" customHeight="true" outlineLevel="0" collapsed="false">
      <c r="A2225" s="42"/>
      <c r="B2225" s="42"/>
      <c r="C2225" s="42"/>
      <c r="D2225" s="28" t="str">
        <f aca="false">IF(OR($B2225="",$C2225=""),"",$C2225*IFERROR(INDEX(Setup!$C$47:$C$56,MATCH($B2225,Setup!$A$47:$A$56,0)),IFERROR(INDEX(Setup!$C$60:$C$89,MATCH($B2225,Setup!$A$60:$A$89,0)),"")))</f>
        <v/>
      </c>
      <c r="E2225" s="42"/>
      <c r="F2225" s="42"/>
    </row>
    <row r="2226" customFormat="false" ht="15" hidden="false" customHeight="true" outlineLevel="0" collapsed="false">
      <c r="A2226" s="42"/>
      <c r="B2226" s="42"/>
      <c r="C2226" s="42"/>
      <c r="D2226" s="28" t="str">
        <f aca="false">IF(OR($B2226="",$C2226=""),"",$C2226*IFERROR(INDEX(Setup!$C$47:$C$56,MATCH($B2226,Setup!$A$47:$A$56,0)),IFERROR(INDEX(Setup!$C$60:$C$89,MATCH($B2226,Setup!$A$60:$A$89,0)),"")))</f>
        <v/>
      </c>
      <c r="E2226" s="42"/>
      <c r="F2226" s="42"/>
    </row>
    <row r="2227" customFormat="false" ht="15" hidden="false" customHeight="true" outlineLevel="0" collapsed="false">
      <c r="A2227" s="42"/>
      <c r="B2227" s="42"/>
      <c r="C2227" s="42"/>
      <c r="D2227" s="28" t="str">
        <f aca="false">IF(OR($B2227="",$C2227=""),"",$C2227*IFERROR(INDEX(Setup!$C$47:$C$56,MATCH($B2227,Setup!$A$47:$A$56,0)),IFERROR(INDEX(Setup!$C$60:$C$89,MATCH($B2227,Setup!$A$60:$A$89,0)),"")))</f>
        <v/>
      </c>
      <c r="E2227" s="42"/>
      <c r="F2227" s="42"/>
    </row>
    <row r="2228" customFormat="false" ht="15" hidden="false" customHeight="true" outlineLevel="0" collapsed="false">
      <c r="A2228" s="42"/>
      <c r="B2228" s="42"/>
      <c r="C2228" s="42"/>
      <c r="D2228" s="28" t="str">
        <f aca="false">IF(OR($B2228="",$C2228=""),"",$C2228*IFERROR(INDEX(Setup!$C$47:$C$56,MATCH($B2228,Setup!$A$47:$A$56,0)),IFERROR(INDEX(Setup!$C$60:$C$89,MATCH($B2228,Setup!$A$60:$A$89,0)),"")))</f>
        <v/>
      </c>
      <c r="E2228" s="42"/>
      <c r="F2228" s="42"/>
    </row>
    <row r="2229" customFormat="false" ht="15" hidden="false" customHeight="true" outlineLevel="0" collapsed="false">
      <c r="A2229" s="42"/>
      <c r="B2229" s="42"/>
      <c r="C2229" s="42"/>
      <c r="D2229" s="28" t="str">
        <f aca="false">IF(OR($B2229="",$C2229=""),"",$C2229*IFERROR(INDEX(Setup!$C$47:$C$56,MATCH($B2229,Setup!$A$47:$A$56,0)),IFERROR(INDEX(Setup!$C$60:$C$89,MATCH($B2229,Setup!$A$60:$A$89,0)),"")))</f>
        <v/>
      </c>
      <c r="E2229" s="42"/>
      <c r="F2229" s="42"/>
    </row>
    <row r="2230" customFormat="false" ht="15" hidden="false" customHeight="true" outlineLevel="0" collapsed="false">
      <c r="A2230" s="42"/>
      <c r="B2230" s="42"/>
      <c r="C2230" s="42"/>
      <c r="D2230" s="28" t="str">
        <f aca="false">IF(OR($B2230="",$C2230=""),"",$C2230*IFERROR(INDEX(Setup!$C$47:$C$56,MATCH($B2230,Setup!$A$47:$A$56,0)),IFERROR(INDEX(Setup!$C$60:$C$89,MATCH($B2230,Setup!$A$60:$A$89,0)),"")))</f>
        <v/>
      </c>
      <c r="E2230" s="42"/>
      <c r="F2230" s="42"/>
    </row>
    <row r="2231" customFormat="false" ht="15" hidden="false" customHeight="true" outlineLevel="0" collapsed="false">
      <c r="A2231" s="42"/>
      <c r="B2231" s="42"/>
      <c r="C2231" s="42"/>
      <c r="D2231" s="28" t="str">
        <f aca="false">IF(OR($B2231="",$C2231=""),"",$C2231*IFERROR(INDEX(Setup!$C$47:$C$56,MATCH($B2231,Setup!$A$47:$A$56,0)),IFERROR(INDEX(Setup!$C$60:$C$89,MATCH($B2231,Setup!$A$60:$A$89,0)),"")))</f>
        <v/>
      </c>
      <c r="E2231" s="42"/>
      <c r="F2231" s="42"/>
    </row>
    <row r="2232" customFormat="false" ht="15" hidden="false" customHeight="true" outlineLevel="0" collapsed="false">
      <c r="A2232" s="42"/>
      <c r="B2232" s="42"/>
      <c r="C2232" s="42"/>
      <c r="D2232" s="28" t="str">
        <f aca="false">IF(OR($B2232="",$C2232=""),"",$C2232*IFERROR(INDEX(Setup!$C$47:$C$56,MATCH($B2232,Setup!$A$47:$A$56,0)),IFERROR(INDEX(Setup!$C$60:$C$89,MATCH($B2232,Setup!$A$60:$A$89,0)),"")))</f>
        <v/>
      </c>
      <c r="E2232" s="42"/>
      <c r="F2232" s="42"/>
    </row>
    <row r="2233" customFormat="false" ht="15" hidden="false" customHeight="true" outlineLevel="0" collapsed="false">
      <c r="A2233" s="42"/>
      <c r="B2233" s="42"/>
      <c r="C2233" s="42"/>
      <c r="D2233" s="28" t="str">
        <f aca="false">IF(OR($B2233="",$C2233=""),"",$C2233*IFERROR(INDEX(Setup!$C$47:$C$56,MATCH($B2233,Setup!$A$47:$A$56,0)),IFERROR(INDEX(Setup!$C$60:$C$89,MATCH($B2233,Setup!$A$60:$A$89,0)),"")))</f>
        <v/>
      </c>
      <c r="E2233" s="42"/>
      <c r="F2233" s="42"/>
    </row>
    <row r="2234" customFormat="false" ht="15" hidden="false" customHeight="true" outlineLevel="0" collapsed="false">
      <c r="A2234" s="42"/>
      <c r="B2234" s="42"/>
      <c r="C2234" s="42"/>
      <c r="D2234" s="28" t="str">
        <f aca="false">IF(OR($B2234="",$C2234=""),"",$C2234*IFERROR(INDEX(Setup!$C$47:$C$56,MATCH($B2234,Setup!$A$47:$A$56,0)),IFERROR(INDEX(Setup!$C$60:$C$89,MATCH($B2234,Setup!$A$60:$A$89,0)),"")))</f>
        <v/>
      </c>
      <c r="E2234" s="42"/>
      <c r="F2234" s="42"/>
    </row>
    <row r="2235" customFormat="false" ht="15" hidden="false" customHeight="true" outlineLevel="0" collapsed="false">
      <c r="A2235" s="42"/>
      <c r="B2235" s="42"/>
      <c r="C2235" s="42"/>
      <c r="D2235" s="28" t="str">
        <f aca="false">IF(OR($B2235="",$C2235=""),"",$C2235*IFERROR(INDEX(Setup!$C$47:$C$56,MATCH($B2235,Setup!$A$47:$A$56,0)),IFERROR(INDEX(Setup!$C$60:$C$89,MATCH($B2235,Setup!$A$60:$A$89,0)),"")))</f>
        <v/>
      </c>
      <c r="E2235" s="42"/>
      <c r="F2235" s="42"/>
    </row>
    <row r="2236" customFormat="false" ht="15" hidden="false" customHeight="true" outlineLevel="0" collapsed="false">
      <c r="A2236" s="42"/>
      <c r="B2236" s="42"/>
      <c r="C2236" s="42"/>
      <c r="D2236" s="28" t="str">
        <f aca="false">IF(OR($B2236="",$C2236=""),"",$C2236*IFERROR(INDEX(Setup!$C$47:$C$56,MATCH($B2236,Setup!$A$47:$A$56,0)),IFERROR(INDEX(Setup!$C$60:$C$89,MATCH($B2236,Setup!$A$60:$A$89,0)),"")))</f>
        <v/>
      </c>
      <c r="E2236" s="42"/>
      <c r="F2236" s="42"/>
    </row>
    <row r="2237" customFormat="false" ht="15" hidden="false" customHeight="true" outlineLevel="0" collapsed="false">
      <c r="A2237" s="42"/>
      <c r="B2237" s="42"/>
      <c r="C2237" s="42"/>
      <c r="D2237" s="28" t="str">
        <f aca="false">IF(OR($B2237="",$C2237=""),"",$C2237*IFERROR(INDEX(Setup!$C$47:$C$56,MATCH($B2237,Setup!$A$47:$A$56,0)),IFERROR(INDEX(Setup!$C$60:$C$89,MATCH($B2237,Setup!$A$60:$A$89,0)),"")))</f>
        <v/>
      </c>
      <c r="E2237" s="42"/>
      <c r="F2237" s="42"/>
    </row>
    <row r="2238" customFormat="false" ht="15" hidden="false" customHeight="true" outlineLevel="0" collapsed="false">
      <c r="A2238" s="42"/>
      <c r="B2238" s="42"/>
      <c r="C2238" s="42"/>
      <c r="D2238" s="28" t="str">
        <f aca="false">IF(OR($B2238="",$C2238=""),"",$C2238*IFERROR(INDEX(Setup!$C$47:$C$56,MATCH($B2238,Setup!$A$47:$A$56,0)),IFERROR(INDEX(Setup!$C$60:$C$89,MATCH($B2238,Setup!$A$60:$A$89,0)),"")))</f>
        <v/>
      </c>
      <c r="E2238" s="42"/>
      <c r="F2238" s="42"/>
    </row>
    <row r="2239" customFormat="false" ht="15" hidden="false" customHeight="true" outlineLevel="0" collapsed="false">
      <c r="A2239" s="42"/>
      <c r="B2239" s="42"/>
      <c r="C2239" s="42"/>
      <c r="D2239" s="28" t="str">
        <f aca="false">IF(OR($B2239="",$C2239=""),"",$C2239*IFERROR(INDEX(Setup!$C$47:$C$56,MATCH($B2239,Setup!$A$47:$A$56,0)),IFERROR(INDEX(Setup!$C$60:$C$89,MATCH($B2239,Setup!$A$60:$A$89,0)),"")))</f>
        <v/>
      </c>
      <c r="E2239" s="42"/>
      <c r="F2239" s="42"/>
    </row>
    <row r="2240" customFormat="false" ht="15" hidden="false" customHeight="true" outlineLevel="0" collapsed="false">
      <c r="A2240" s="42"/>
      <c r="B2240" s="42"/>
      <c r="C2240" s="42"/>
      <c r="D2240" s="28" t="str">
        <f aca="false">IF(OR($B2240="",$C2240=""),"",$C2240*IFERROR(INDEX(Setup!$C$47:$C$56,MATCH($B2240,Setup!$A$47:$A$56,0)),IFERROR(INDEX(Setup!$C$60:$C$89,MATCH($B2240,Setup!$A$60:$A$89,0)),"")))</f>
        <v/>
      </c>
      <c r="E2240" s="42"/>
      <c r="F2240" s="42"/>
    </row>
    <row r="2241" customFormat="false" ht="15" hidden="false" customHeight="true" outlineLevel="0" collapsed="false">
      <c r="A2241" s="42"/>
      <c r="B2241" s="42"/>
      <c r="C2241" s="42"/>
      <c r="D2241" s="28" t="str">
        <f aca="false">IF(OR($B2241="",$C2241=""),"",$C2241*IFERROR(INDEX(Setup!$C$47:$C$56,MATCH($B2241,Setup!$A$47:$A$56,0)),IFERROR(INDEX(Setup!$C$60:$C$89,MATCH($B2241,Setup!$A$60:$A$89,0)),"")))</f>
        <v/>
      </c>
      <c r="E2241" s="42"/>
      <c r="F2241" s="42"/>
    </row>
    <row r="2242" customFormat="false" ht="15" hidden="false" customHeight="true" outlineLevel="0" collapsed="false">
      <c r="A2242" s="42"/>
      <c r="B2242" s="42"/>
      <c r="C2242" s="42"/>
      <c r="D2242" s="28" t="str">
        <f aca="false">IF(OR($B2242="",$C2242=""),"",$C2242*IFERROR(INDEX(Setup!$C$47:$C$56,MATCH($B2242,Setup!$A$47:$A$56,0)),IFERROR(INDEX(Setup!$C$60:$C$89,MATCH($B2242,Setup!$A$60:$A$89,0)),"")))</f>
        <v/>
      </c>
      <c r="E2242" s="42"/>
      <c r="F2242" s="42"/>
    </row>
    <row r="2243" customFormat="false" ht="15" hidden="false" customHeight="true" outlineLevel="0" collapsed="false">
      <c r="A2243" s="42"/>
      <c r="B2243" s="42"/>
      <c r="C2243" s="42"/>
      <c r="D2243" s="28" t="str">
        <f aca="false">IF(OR($B2243="",$C2243=""),"",$C2243*IFERROR(INDEX(Setup!$C$47:$C$56,MATCH($B2243,Setup!$A$47:$A$56,0)),IFERROR(INDEX(Setup!$C$60:$C$89,MATCH($B2243,Setup!$A$60:$A$89,0)),"")))</f>
        <v/>
      </c>
      <c r="E2243" s="42"/>
      <c r="F2243" s="42"/>
    </row>
    <row r="2244" customFormat="false" ht="15" hidden="false" customHeight="true" outlineLevel="0" collapsed="false">
      <c r="A2244" s="42"/>
      <c r="B2244" s="42"/>
      <c r="C2244" s="42"/>
      <c r="D2244" s="28" t="str">
        <f aca="false">IF(OR($B2244="",$C2244=""),"",$C2244*IFERROR(INDEX(Setup!$C$47:$C$56,MATCH($B2244,Setup!$A$47:$A$56,0)),IFERROR(INDEX(Setup!$C$60:$C$89,MATCH($B2244,Setup!$A$60:$A$89,0)),"")))</f>
        <v/>
      </c>
      <c r="E2244" s="42"/>
      <c r="F2244" s="42"/>
    </row>
    <row r="2245" customFormat="false" ht="15" hidden="false" customHeight="true" outlineLevel="0" collapsed="false">
      <c r="A2245" s="42"/>
      <c r="B2245" s="42"/>
      <c r="C2245" s="42"/>
      <c r="D2245" s="28" t="str">
        <f aca="false">IF(OR($B2245="",$C2245=""),"",$C2245*IFERROR(INDEX(Setup!$C$47:$C$56,MATCH($B2245,Setup!$A$47:$A$56,0)),IFERROR(INDEX(Setup!$C$60:$C$89,MATCH($B2245,Setup!$A$60:$A$89,0)),"")))</f>
        <v/>
      </c>
      <c r="E2245" s="42"/>
      <c r="F2245" s="42"/>
    </row>
    <row r="2246" customFormat="false" ht="15" hidden="false" customHeight="true" outlineLevel="0" collapsed="false">
      <c r="A2246" s="42"/>
      <c r="B2246" s="42"/>
      <c r="C2246" s="42"/>
      <c r="D2246" s="28" t="str">
        <f aca="false">IF(OR($B2246="",$C2246=""),"",$C2246*IFERROR(INDEX(Setup!$C$47:$C$56,MATCH($B2246,Setup!$A$47:$A$56,0)),IFERROR(INDEX(Setup!$C$60:$C$89,MATCH($B2246,Setup!$A$60:$A$89,0)),"")))</f>
        <v/>
      </c>
      <c r="E2246" s="42"/>
      <c r="F2246" s="42"/>
    </row>
    <row r="2247" customFormat="false" ht="15" hidden="false" customHeight="true" outlineLevel="0" collapsed="false">
      <c r="A2247" s="42"/>
      <c r="B2247" s="42"/>
      <c r="C2247" s="42"/>
      <c r="D2247" s="28" t="str">
        <f aca="false">IF(OR($B2247="",$C2247=""),"",$C2247*IFERROR(INDEX(Setup!$C$47:$C$56,MATCH($B2247,Setup!$A$47:$A$56,0)),IFERROR(INDEX(Setup!$C$60:$C$89,MATCH($B2247,Setup!$A$60:$A$89,0)),"")))</f>
        <v/>
      </c>
      <c r="E2247" s="42"/>
      <c r="F2247" s="42"/>
    </row>
    <row r="2248" customFormat="false" ht="15" hidden="false" customHeight="true" outlineLevel="0" collapsed="false">
      <c r="A2248" s="42"/>
      <c r="B2248" s="42"/>
      <c r="C2248" s="42"/>
      <c r="D2248" s="28" t="str">
        <f aca="false">IF(OR($B2248="",$C2248=""),"",$C2248*IFERROR(INDEX(Setup!$C$47:$C$56,MATCH($B2248,Setup!$A$47:$A$56,0)),IFERROR(INDEX(Setup!$C$60:$C$89,MATCH($B2248,Setup!$A$60:$A$89,0)),"")))</f>
        <v/>
      </c>
      <c r="E2248" s="42"/>
      <c r="F2248" s="42"/>
    </row>
    <row r="2249" customFormat="false" ht="15" hidden="false" customHeight="true" outlineLevel="0" collapsed="false">
      <c r="A2249" s="42"/>
      <c r="B2249" s="42"/>
      <c r="C2249" s="42"/>
      <c r="D2249" s="28" t="str">
        <f aca="false">IF(OR($B2249="",$C2249=""),"",$C2249*IFERROR(INDEX(Setup!$C$47:$C$56,MATCH($B2249,Setup!$A$47:$A$56,0)),IFERROR(INDEX(Setup!$C$60:$C$89,MATCH($B2249,Setup!$A$60:$A$89,0)),"")))</f>
        <v/>
      </c>
      <c r="E2249" s="42"/>
      <c r="F2249" s="42"/>
    </row>
    <row r="2250" customFormat="false" ht="15" hidden="false" customHeight="true" outlineLevel="0" collapsed="false">
      <c r="A2250" s="42"/>
      <c r="B2250" s="42"/>
      <c r="C2250" s="42"/>
      <c r="D2250" s="28" t="str">
        <f aca="false">IF(OR($B2250="",$C2250=""),"",$C2250*IFERROR(INDEX(Setup!$C$47:$C$56,MATCH($B2250,Setup!$A$47:$A$56,0)),IFERROR(INDEX(Setup!$C$60:$C$89,MATCH($B2250,Setup!$A$60:$A$89,0)),"")))</f>
        <v/>
      </c>
      <c r="E2250" s="42"/>
      <c r="F2250" s="42"/>
    </row>
    <row r="2251" customFormat="false" ht="15" hidden="false" customHeight="true" outlineLevel="0" collapsed="false">
      <c r="A2251" s="42"/>
      <c r="B2251" s="42"/>
      <c r="C2251" s="42"/>
      <c r="D2251" s="28" t="str">
        <f aca="false">IF(OR($B2251="",$C2251=""),"",$C2251*IFERROR(INDEX(Setup!$C$47:$C$56,MATCH($B2251,Setup!$A$47:$A$56,0)),IFERROR(INDEX(Setup!$C$60:$C$89,MATCH($B2251,Setup!$A$60:$A$89,0)),"")))</f>
        <v/>
      </c>
      <c r="E2251" s="42"/>
      <c r="F2251" s="42"/>
    </row>
    <row r="2252" customFormat="false" ht="15" hidden="false" customHeight="true" outlineLevel="0" collapsed="false">
      <c r="A2252" s="42"/>
      <c r="B2252" s="42"/>
      <c r="C2252" s="42"/>
      <c r="D2252" s="28" t="str">
        <f aca="false">IF(OR($B2252="",$C2252=""),"",$C2252*IFERROR(INDEX(Setup!$C$47:$C$56,MATCH($B2252,Setup!$A$47:$A$56,0)),IFERROR(INDEX(Setup!$C$60:$C$89,MATCH($B2252,Setup!$A$60:$A$89,0)),"")))</f>
        <v/>
      </c>
      <c r="E2252" s="42"/>
      <c r="F2252" s="42"/>
    </row>
    <row r="2253" customFormat="false" ht="15" hidden="false" customHeight="true" outlineLevel="0" collapsed="false">
      <c r="A2253" s="42"/>
      <c r="B2253" s="42"/>
      <c r="C2253" s="42"/>
      <c r="D2253" s="28" t="str">
        <f aca="false">IF(OR($B2253="",$C2253=""),"",$C2253*IFERROR(INDEX(Setup!$C$47:$C$56,MATCH($B2253,Setup!$A$47:$A$56,0)),IFERROR(INDEX(Setup!$C$60:$C$89,MATCH($B2253,Setup!$A$60:$A$89,0)),"")))</f>
        <v/>
      </c>
      <c r="E2253" s="42"/>
      <c r="F2253" s="42"/>
    </row>
    <row r="2254" customFormat="false" ht="15" hidden="false" customHeight="true" outlineLevel="0" collapsed="false">
      <c r="A2254" s="42"/>
      <c r="B2254" s="42"/>
      <c r="C2254" s="42"/>
      <c r="D2254" s="28" t="str">
        <f aca="false">IF(OR($B2254="",$C2254=""),"",$C2254*IFERROR(INDEX(Setup!$C$47:$C$56,MATCH($B2254,Setup!$A$47:$A$56,0)),IFERROR(INDEX(Setup!$C$60:$C$89,MATCH($B2254,Setup!$A$60:$A$89,0)),"")))</f>
        <v/>
      </c>
      <c r="E2254" s="42"/>
      <c r="F2254" s="42"/>
    </row>
    <row r="2255" customFormat="false" ht="15" hidden="false" customHeight="true" outlineLevel="0" collapsed="false">
      <c r="A2255" s="42"/>
      <c r="B2255" s="42"/>
      <c r="C2255" s="42"/>
      <c r="D2255" s="28" t="str">
        <f aca="false">IF(OR($B2255="",$C2255=""),"",$C2255*IFERROR(INDEX(Setup!$C$47:$C$56,MATCH($B2255,Setup!$A$47:$A$56,0)),IFERROR(INDEX(Setup!$C$60:$C$89,MATCH($B2255,Setup!$A$60:$A$89,0)),"")))</f>
        <v/>
      </c>
      <c r="E2255" s="42"/>
      <c r="F2255" s="42"/>
    </row>
    <row r="2256" customFormat="false" ht="15" hidden="false" customHeight="true" outlineLevel="0" collapsed="false">
      <c r="A2256" s="42"/>
      <c r="B2256" s="42"/>
      <c r="C2256" s="42"/>
      <c r="D2256" s="28" t="str">
        <f aca="false">IF(OR($B2256="",$C2256=""),"",$C2256*IFERROR(INDEX(Setup!$C$47:$C$56,MATCH($B2256,Setup!$A$47:$A$56,0)),IFERROR(INDEX(Setup!$C$60:$C$89,MATCH($B2256,Setup!$A$60:$A$89,0)),"")))</f>
        <v/>
      </c>
      <c r="E2256" s="42"/>
      <c r="F2256" s="42"/>
    </row>
    <row r="2257" customFormat="false" ht="15" hidden="false" customHeight="true" outlineLevel="0" collapsed="false">
      <c r="A2257" s="42"/>
      <c r="B2257" s="42"/>
      <c r="C2257" s="42"/>
      <c r="D2257" s="28" t="str">
        <f aca="false">IF(OR($B2257="",$C2257=""),"",$C2257*IFERROR(INDEX(Setup!$C$47:$C$56,MATCH($B2257,Setup!$A$47:$A$56,0)),IFERROR(INDEX(Setup!$C$60:$C$89,MATCH($B2257,Setup!$A$60:$A$89,0)),"")))</f>
        <v/>
      </c>
      <c r="E2257" s="42"/>
      <c r="F2257" s="42"/>
    </row>
    <row r="2258" customFormat="false" ht="15" hidden="false" customHeight="true" outlineLevel="0" collapsed="false">
      <c r="A2258" s="42"/>
      <c r="B2258" s="42"/>
      <c r="C2258" s="42"/>
      <c r="D2258" s="28" t="str">
        <f aca="false">IF(OR($B2258="",$C2258=""),"",$C2258*IFERROR(INDEX(Setup!$C$47:$C$56,MATCH($B2258,Setup!$A$47:$A$56,0)),IFERROR(INDEX(Setup!$C$60:$C$89,MATCH($B2258,Setup!$A$60:$A$89,0)),"")))</f>
        <v/>
      </c>
      <c r="E2258" s="42"/>
      <c r="F2258" s="42"/>
    </row>
    <row r="2259" customFormat="false" ht="15" hidden="false" customHeight="true" outlineLevel="0" collapsed="false">
      <c r="A2259" s="42"/>
      <c r="B2259" s="42"/>
      <c r="C2259" s="42"/>
      <c r="D2259" s="28" t="str">
        <f aca="false">IF(OR($B2259="",$C2259=""),"",$C2259*IFERROR(INDEX(Setup!$C$47:$C$56,MATCH($B2259,Setup!$A$47:$A$56,0)),IFERROR(INDEX(Setup!$C$60:$C$89,MATCH($B2259,Setup!$A$60:$A$89,0)),"")))</f>
        <v/>
      </c>
      <c r="E2259" s="42"/>
      <c r="F2259" s="42"/>
    </row>
    <row r="2260" customFormat="false" ht="15" hidden="false" customHeight="true" outlineLevel="0" collapsed="false">
      <c r="A2260" s="42"/>
      <c r="B2260" s="42"/>
      <c r="C2260" s="42"/>
      <c r="D2260" s="28" t="str">
        <f aca="false">IF(OR($B2260="",$C2260=""),"",$C2260*IFERROR(INDEX(Setup!$C$47:$C$56,MATCH($B2260,Setup!$A$47:$A$56,0)),IFERROR(INDEX(Setup!$C$60:$C$89,MATCH($B2260,Setup!$A$60:$A$89,0)),"")))</f>
        <v/>
      </c>
      <c r="E2260" s="42"/>
      <c r="F2260" s="42"/>
    </row>
    <row r="2261" customFormat="false" ht="15" hidden="false" customHeight="true" outlineLevel="0" collapsed="false">
      <c r="A2261" s="42"/>
      <c r="B2261" s="42"/>
      <c r="C2261" s="42"/>
      <c r="D2261" s="28" t="str">
        <f aca="false">IF(OR($B2261="",$C2261=""),"",$C2261*IFERROR(INDEX(Setup!$C$47:$C$56,MATCH($B2261,Setup!$A$47:$A$56,0)),IFERROR(INDEX(Setup!$C$60:$C$89,MATCH($B2261,Setup!$A$60:$A$89,0)),"")))</f>
        <v/>
      </c>
      <c r="E2261" s="42"/>
      <c r="F2261" s="42"/>
    </row>
    <row r="2262" customFormat="false" ht="15" hidden="false" customHeight="true" outlineLevel="0" collapsed="false">
      <c r="A2262" s="42"/>
      <c r="B2262" s="42"/>
      <c r="C2262" s="42"/>
      <c r="D2262" s="28" t="str">
        <f aca="false">IF(OR($B2262="",$C2262=""),"",$C2262*IFERROR(INDEX(Setup!$C$47:$C$56,MATCH($B2262,Setup!$A$47:$A$56,0)),IFERROR(INDEX(Setup!$C$60:$C$89,MATCH($B2262,Setup!$A$60:$A$89,0)),"")))</f>
        <v/>
      </c>
      <c r="E2262" s="42"/>
      <c r="F2262" s="42"/>
    </row>
    <row r="2263" customFormat="false" ht="15" hidden="false" customHeight="true" outlineLevel="0" collapsed="false">
      <c r="A2263" s="42"/>
      <c r="B2263" s="42"/>
      <c r="C2263" s="42"/>
      <c r="D2263" s="28" t="str">
        <f aca="false">IF(OR($B2263="",$C2263=""),"",$C2263*IFERROR(INDEX(Setup!$C$47:$C$56,MATCH($B2263,Setup!$A$47:$A$56,0)),IFERROR(INDEX(Setup!$C$60:$C$89,MATCH($B2263,Setup!$A$60:$A$89,0)),"")))</f>
        <v/>
      </c>
      <c r="E2263" s="42"/>
      <c r="F2263" s="42"/>
    </row>
    <row r="2264" customFormat="false" ht="15" hidden="false" customHeight="true" outlineLevel="0" collapsed="false">
      <c r="A2264" s="42"/>
      <c r="B2264" s="42"/>
      <c r="C2264" s="42"/>
      <c r="D2264" s="28" t="str">
        <f aca="false">IF(OR($B2264="",$C2264=""),"",$C2264*IFERROR(INDEX(Setup!$C$47:$C$56,MATCH($B2264,Setup!$A$47:$A$56,0)),IFERROR(INDEX(Setup!$C$60:$C$89,MATCH($B2264,Setup!$A$60:$A$89,0)),"")))</f>
        <v/>
      </c>
      <c r="E2264" s="42"/>
      <c r="F2264" s="42"/>
    </row>
    <row r="2265" customFormat="false" ht="15" hidden="false" customHeight="true" outlineLevel="0" collapsed="false">
      <c r="A2265" s="42"/>
      <c r="B2265" s="42"/>
      <c r="C2265" s="42"/>
      <c r="D2265" s="28" t="str">
        <f aca="false">IF(OR($B2265="",$C2265=""),"",$C2265*IFERROR(INDEX(Setup!$C$47:$C$56,MATCH($B2265,Setup!$A$47:$A$56,0)),IFERROR(INDEX(Setup!$C$60:$C$89,MATCH($B2265,Setup!$A$60:$A$89,0)),"")))</f>
        <v/>
      </c>
      <c r="E2265" s="42"/>
      <c r="F2265" s="42"/>
    </row>
    <row r="2266" customFormat="false" ht="15" hidden="false" customHeight="true" outlineLevel="0" collapsed="false">
      <c r="A2266" s="42"/>
      <c r="B2266" s="42"/>
      <c r="C2266" s="42"/>
      <c r="D2266" s="28" t="str">
        <f aca="false">IF(OR($B2266="",$C2266=""),"",$C2266*IFERROR(INDEX(Setup!$C$47:$C$56,MATCH($B2266,Setup!$A$47:$A$56,0)),IFERROR(INDEX(Setup!$C$60:$C$89,MATCH($B2266,Setup!$A$60:$A$89,0)),"")))</f>
        <v/>
      </c>
      <c r="E2266" s="42"/>
      <c r="F2266" s="42"/>
    </row>
    <row r="2267" customFormat="false" ht="15" hidden="false" customHeight="true" outlineLevel="0" collapsed="false">
      <c r="A2267" s="42"/>
      <c r="B2267" s="42"/>
      <c r="C2267" s="42"/>
      <c r="D2267" s="28" t="str">
        <f aca="false">IF(OR($B2267="",$C2267=""),"",$C2267*IFERROR(INDEX(Setup!$C$47:$C$56,MATCH($B2267,Setup!$A$47:$A$56,0)),IFERROR(INDEX(Setup!$C$60:$C$89,MATCH($B2267,Setup!$A$60:$A$89,0)),"")))</f>
        <v/>
      </c>
      <c r="E2267" s="42"/>
      <c r="F2267" s="42"/>
    </row>
    <row r="2268" customFormat="false" ht="15" hidden="false" customHeight="true" outlineLevel="0" collapsed="false">
      <c r="A2268" s="42"/>
      <c r="B2268" s="42"/>
      <c r="C2268" s="42"/>
      <c r="D2268" s="28" t="str">
        <f aca="false">IF(OR($B2268="",$C2268=""),"",$C2268*IFERROR(INDEX(Setup!$C$47:$C$56,MATCH($B2268,Setup!$A$47:$A$56,0)),IFERROR(INDEX(Setup!$C$60:$C$89,MATCH($B2268,Setup!$A$60:$A$89,0)),"")))</f>
        <v/>
      </c>
      <c r="E2268" s="42"/>
      <c r="F2268" s="42"/>
    </row>
    <row r="2269" customFormat="false" ht="15" hidden="false" customHeight="true" outlineLevel="0" collapsed="false">
      <c r="A2269" s="42"/>
      <c r="B2269" s="42"/>
      <c r="C2269" s="42"/>
      <c r="D2269" s="28" t="str">
        <f aca="false">IF(OR($B2269="",$C2269=""),"",$C2269*IFERROR(INDEX(Setup!$C$47:$C$56,MATCH($B2269,Setup!$A$47:$A$56,0)),IFERROR(INDEX(Setup!$C$60:$C$89,MATCH($B2269,Setup!$A$60:$A$89,0)),"")))</f>
        <v/>
      </c>
      <c r="E2269" s="42"/>
      <c r="F2269" s="42"/>
    </row>
    <row r="2270" customFormat="false" ht="15" hidden="false" customHeight="true" outlineLevel="0" collapsed="false">
      <c r="A2270" s="42"/>
      <c r="B2270" s="42"/>
      <c r="C2270" s="42"/>
      <c r="D2270" s="28" t="str">
        <f aca="false">IF(OR($B2270="",$C2270=""),"",$C2270*IFERROR(INDEX(Setup!$C$47:$C$56,MATCH($B2270,Setup!$A$47:$A$56,0)),IFERROR(INDEX(Setup!$C$60:$C$89,MATCH($B2270,Setup!$A$60:$A$89,0)),"")))</f>
        <v/>
      </c>
      <c r="E2270" s="42"/>
      <c r="F2270" s="42"/>
    </row>
    <row r="2271" customFormat="false" ht="15" hidden="false" customHeight="true" outlineLevel="0" collapsed="false">
      <c r="A2271" s="42"/>
      <c r="B2271" s="42"/>
      <c r="C2271" s="42"/>
      <c r="D2271" s="28" t="str">
        <f aca="false">IF(OR($B2271="",$C2271=""),"",$C2271*IFERROR(INDEX(Setup!$C$47:$C$56,MATCH($B2271,Setup!$A$47:$A$56,0)),IFERROR(INDEX(Setup!$C$60:$C$89,MATCH($B2271,Setup!$A$60:$A$89,0)),"")))</f>
        <v/>
      </c>
      <c r="E2271" s="42"/>
      <c r="F2271" s="42"/>
    </row>
    <row r="2272" customFormat="false" ht="15" hidden="false" customHeight="true" outlineLevel="0" collapsed="false">
      <c r="A2272" s="42"/>
      <c r="B2272" s="42"/>
      <c r="C2272" s="42"/>
      <c r="D2272" s="28" t="str">
        <f aca="false">IF(OR($B2272="",$C2272=""),"",$C2272*IFERROR(INDEX(Setup!$C$47:$C$56,MATCH($B2272,Setup!$A$47:$A$56,0)),IFERROR(INDEX(Setup!$C$60:$C$89,MATCH($B2272,Setup!$A$60:$A$89,0)),"")))</f>
        <v/>
      </c>
      <c r="E2272" s="42"/>
      <c r="F2272" s="42"/>
    </row>
    <row r="2273" customFormat="false" ht="15" hidden="false" customHeight="true" outlineLevel="0" collapsed="false">
      <c r="A2273" s="42"/>
      <c r="B2273" s="42"/>
      <c r="C2273" s="42"/>
      <c r="D2273" s="28" t="str">
        <f aca="false">IF(OR($B2273="",$C2273=""),"",$C2273*IFERROR(INDEX(Setup!$C$47:$C$56,MATCH($B2273,Setup!$A$47:$A$56,0)),IFERROR(INDEX(Setup!$C$60:$C$89,MATCH($B2273,Setup!$A$60:$A$89,0)),"")))</f>
        <v/>
      </c>
      <c r="E2273" s="42"/>
      <c r="F2273" s="42"/>
    </row>
    <row r="2274" customFormat="false" ht="15" hidden="false" customHeight="true" outlineLevel="0" collapsed="false">
      <c r="A2274" s="42"/>
      <c r="B2274" s="42"/>
      <c r="C2274" s="42"/>
      <c r="D2274" s="28" t="str">
        <f aca="false">IF(OR($B2274="",$C2274=""),"",$C2274*IFERROR(INDEX(Setup!$C$47:$C$56,MATCH($B2274,Setup!$A$47:$A$56,0)),IFERROR(INDEX(Setup!$C$60:$C$89,MATCH($B2274,Setup!$A$60:$A$89,0)),"")))</f>
        <v/>
      </c>
      <c r="E2274" s="42"/>
      <c r="F2274" s="42"/>
    </row>
    <row r="2275" customFormat="false" ht="15" hidden="false" customHeight="true" outlineLevel="0" collapsed="false">
      <c r="A2275" s="42"/>
      <c r="B2275" s="42"/>
      <c r="C2275" s="42"/>
      <c r="D2275" s="28" t="str">
        <f aca="false">IF(OR($B2275="",$C2275=""),"",$C2275*IFERROR(INDEX(Setup!$C$47:$C$56,MATCH($B2275,Setup!$A$47:$A$56,0)),IFERROR(INDEX(Setup!$C$60:$C$89,MATCH($B2275,Setup!$A$60:$A$89,0)),"")))</f>
        <v/>
      </c>
      <c r="E2275" s="42"/>
      <c r="F2275" s="42"/>
    </row>
    <row r="2276" customFormat="false" ht="15" hidden="false" customHeight="true" outlineLevel="0" collapsed="false">
      <c r="A2276" s="42"/>
      <c r="B2276" s="42"/>
      <c r="C2276" s="42"/>
      <c r="D2276" s="28" t="str">
        <f aca="false">IF(OR($B2276="",$C2276=""),"",$C2276*IFERROR(INDEX(Setup!$C$47:$C$56,MATCH($B2276,Setup!$A$47:$A$56,0)),IFERROR(INDEX(Setup!$C$60:$C$89,MATCH($B2276,Setup!$A$60:$A$89,0)),"")))</f>
        <v/>
      </c>
      <c r="E2276" s="42"/>
      <c r="F2276" s="42"/>
    </row>
    <row r="2277" customFormat="false" ht="15" hidden="false" customHeight="true" outlineLevel="0" collapsed="false">
      <c r="A2277" s="42"/>
      <c r="B2277" s="42"/>
      <c r="C2277" s="42"/>
      <c r="D2277" s="28" t="str">
        <f aca="false">IF(OR($B2277="",$C2277=""),"",$C2277*IFERROR(INDEX(Setup!$C$47:$C$56,MATCH($B2277,Setup!$A$47:$A$56,0)),IFERROR(INDEX(Setup!$C$60:$C$89,MATCH($B2277,Setup!$A$60:$A$89,0)),"")))</f>
        <v/>
      </c>
      <c r="E2277" s="42"/>
      <c r="F2277" s="42"/>
    </row>
    <row r="2278" customFormat="false" ht="15" hidden="false" customHeight="true" outlineLevel="0" collapsed="false">
      <c r="A2278" s="42"/>
      <c r="B2278" s="42"/>
      <c r="C2278" s="42"/>
      <c r="D2278" s="28" t="str">
        <f aca="false">IF(OR($B2278="",$C2278=""),"",$C2278*IFERROR(INDEX(Setup!$C$47:$C$56,MATCH($B2278,Setup!$A$47:$A$56,0)),IFERROR(INDEX(Setup!$C$60:$C$89,MATCH($B2278,Setup!$A$60:$A$89,0)),"")))</f>
        <v/>
      </c>
      <c r="E2278" s="42"/>
      <c r="F2278" s="42"/>
    </row>
    <row r="2279" customFormat="false" ht="15" hidden="false" customHeight="true" outlineLevel="0" collapsed="false">
      <c r="A2279" s="42"/>
      <c r="B2279" s="42"/>
      <c r="C2279" s="42"/>
      <c r="D2279" s="28" t="str">
        <f aca="false">IF(OR($B2279="",$C2279=""),"",$C2279*IFERROR(INDEX(Setup!$C$47:$C$56,MATCH($B2279,Setup!$A$47:$A$56,0)),IFERROR(INDEX(Setup!$C$60:$C$89,MATCH($B2279,Setup!$A$60:$A$89,0)),"")))</f>
        <v/>
      </c>
      <c r="E2279" s="42"/>
      <c r="F2279" s="42"/>
    </row>
    <row r="2280" customFormat="false" ht="15" hidden="false" customHeight="true" outlineLevel="0" collapsed="false">
      <c r="A2280" s="42"/>
      <c r="B2280" s="42"/>
      <c r="C2280" s="42"/>
      <c r="D2280" s="28" t="str">
        <f aca="false">IF(OR($B2280="",$C2280=""),"",$C2280*IFERROR(INDEX(Setup!$C$47:$C$56,MATCH($B2280,Setup!$A$47:$A$56,0)),IFERROR(INDEX(Setup!$C$60:$C$89,MATCH($B2280,Setup!$A$60:$A$89,0)),"")))</f>
        <v/>
      </c>
      <c r="E2280" s="42"/>
      <c r="F2280" s="42"/>
    </row>
    <row r="2281" customFormat="false" ht="15" hidden="false" customHeight="true" outlineLevel="0" collapsed="false">
      <c r="A2281" s="42"/>
      <c r="B2281" s="42"/>
      <c r="C2281" s="42"/>
      <c r="D2281" s="28" t="str">
        <f aca="false">IF(OR($B2281="",$C2281=""),"",$C2281*IFERROR(INDEX(Setup!$C$47:$C$56,MATCH($B2281,Setup!$A$47:$A$56,0)),IFERROR(INDEX(Setup!$C$60:$C$89,MATCH($B2281,Setup!$A$60:$A$89,0)),"")))</f>
        <v/>
      </c>
      <c r="E2281" s="42"/>
      <c r="F2281" s="42"/>
    </row>
    <row r="2282" customFormat="false" ht="15" hidden="false" customHeight="true" outlineLevel="0" collapsed="false">
      <c r="A2282" s="42"/>
      <c r="B2282" s="42"/>
      <c r="C2282" s="42"/>
      <c r="D2282" s="28" t="str">
        <f aca="false">IF(OR($B2282="",$C2282=""),"",$C2282*IFERROR(INDEX(Setup!$C$47:$C$56,MATCH($B2282,Setup!$A$47:$A$56,0)),IFERROR(INDEX(Setup!$C$60:$C$89,MATCH($B2282,Setup!$A$60:$A$89,0)),"")))</f>
        <v/>
      </c>
      <c r="E2282" s="42"/>
      <c r="F2282" s="42"/>
    </row>
    <row r="2283" customFormat="false" ht="15" hidden="false" customHeight="true" outlineLevel="0" collapsed="false">
      <c r="A2283" s="42"/>
      <c r="B2283" s="42"/>
      <c r="C2283" s="42"/>
      <c r="D2283" s="28" t="str">
        <f aca="false">IF(OR($B2283="",$C2283=""),"",$C2283*IFERROR(INDEX(Setup!$C$47:$C$56,MATCH($B2283,Setup!$A$47:$A$56,0)),IFERROR(INDEX(Setup!$C$60:$C$89,MATCH($B2283,Setup!$A$60:$A$89,0)),"")))</f>
        <v/>
      </c>
      <c r="E2283" s="42"/>
      <c r="F2283" s="42"/>
    </row>
    <row r="2284" customFormat="false" ht="15" hidden="false" customHeight="true" outlineLevel="0" collapsed="false">
      <c r="A2284" s="42"/>
      <c r="B2284" s="42"/>
      <c r="C2284" s="42"/>
      <c r="D2284" s="28" t="str">
        <f aca="false">IF(OR($B2284="",$C2284=""),"",$C2284*IFERROR(INDEX(Setup!$C$47:$C$56,MATCH($B2284,Setup!$A$47:$A$56,0)),IFERROR(INDEX(Setup!$C$60:$C$89,MATCH($B2284,Setup!$A$60:$A$89,0)),"")))</f>
        <v/>
      </c>
      <c r="E2284" s="42"/>
      <c r="F2284" s="42"/>
    </row>
    <row r="2285" customFormat="false" ht="15" hidden="false" customHeight="true" outlineLevel="0" collapsed="false">
      <c r="A2285" s="42"/>
      <c r="B2285" s="42"/>
      <c r="C2285" s="42"/>
      <c r="D2285" s="28" t="str">
        <f aca="false">IF(OR($B2285="",$C2285=""),"",$C2285*IFERROR(INDEX(Setup!$C$47:$C$56,MATCH($B2285,Setup!$A$47:$A$56,0)),IFERROR(INDEX(Setup!$C$60:$C$89,MATCH($B2285,Setup!$A$60:$A$89,0)),"")))</f>
        <v/>
      </c>
      <c r="E2285" s="42"/>
      <c r="F2285" s="42"/>
    </row>
    <row r="2286" customFormat="false" ht="15" hidden="false" customHeight="true" outlineLevel="0" collapsed="false">
      <c r="A2286" s="42"/>
      <c r="B2286" s="42"/>
      <c r="C2286" s="42"/>
      <c r="D2286" s="28" t="str">
        <f aca="false">IF(OR($B2286="",$C2286=""),"",$C2286*IFERROR(INDEX(Setup!$C$47:$C$56,MATCH($B2286,Setup!$A$47:$A$56,0)),IFERROR(INDEX(Setup!$C$60:$C$89,MATCH($B2286,Setup!$A$60:$A$89,0)),"")))</f>
        <v/>
      </c>
      <c r="E2286" s="42"/>
      <c r="F2286" s="42"/>
    </row>
    <row r="2287" customFormat="false" ht="15" hidden="false" customHeight="true" outlineLevel="0" collapsed="false">
      <c r="A2287" s="42"/>
      <c r="B2287" s="42"/>
      <c r="C2287" s="42"/>
      <c r="D2287" s="28" t="str">
        <f aca="false">IF(OR($B2287="",$C2287=""),"",$C2287*IFERROR(INDEX(Setup!$C$47:$C$56,MATCH($B2287,Setup!$A$47:$A$56,0)),IFERROR(INDEX(Setup!$C$60:$C$89,MATCH($B2287,Setup!$A$60:$A$89,0)),"")))</f>
        <v/>
      </c>
      <c r="E2287" s="42"/>
      <c r="F2287" s="42"/>
    </row>
    <row r="2288" customFormat="false" ht="15" hidden="false" customHeight="true" outlineLevel="0" collapsed="false">
      <c r="A2288" s="42"/>
      <c r="B2288" s="42"/>
      <c r="C2288" s="42"/>
      <c r="D2288" s="28" t="str">
        <f aca="false">IF(OR($B2288="",$C2288=""),"",$C2288*IFERROR(INDEX(Setup!$C$47:$C$56,MATCH($B2288,Setup!$A$47:$A$56,0)),IFERROR(INDEX(Setup!$C$60:$C$89,MATCH($B2288,Setup!$A$60:$A$89,0)),"")))</f>
        <v/>
      </c>
      <c r="E2288" s="42"/>
      <c r="F2288" s="42"/>
    </row>
    <row r="2289" customFormat="false" ht="15" hidden="false" customHeight="true" outlineLevel="0" collapsed="false">
      <c r="A2289" s="42"/>
      <c r="B2289" s="42"/>
      <c r="C2289" s="42"/>
      <c r="D2289" s="28" t="str">
        <f aca="false">IF(OR($B2289="",$C2289=""),"",$C2289*IFERROR(INDEX(Setup!$C$47:$C$56,MATCH($B2289,Setup!$A$47:$A$56,0)),IFERROR(INDEX(Setup!$C$60:$C$89,MATCH($B2289,Setup!$A$60:$A$89,0)),"")))</f>
        <v/>
      </c>
      <c r="E2289" s="42"/>
      <c r="F2289" s="42"/>
    </row>
    <row r="2290" customFormat="false" ht="15" hidden="false" customHeight="true" outlineLevel="0" collapsed="false">
      <c r="A2290" s="42"/>
      <c r="B2290" s="42"/>
      <c r="C2290" s="42"/>
      <c r="D2290" s="28" t="str">
        <f aca="false">IF(OR($B2290="",$C2290=""),"",$C2290*IFERROR(INDEX(Setup!$C$47:$C$56,MATCH($B2290,Setup!$A$47:$A$56,0)),IFERROR(INDEX(Setup!$C$60:$C$89,MATCH($B2290,Setup!$A$60:$A$89,0)),"")))</f>
        <v/>
      </c>
      <c r="E2290" s="42"/>
      <c r="F2290" s="42"/>
    </row>
    <row r="2291" customFormat="false" ht="15" hidden="false" customHeight="true" outlineLevel="0" collapsed="false">
      <c r="A2291" s="42"/>
      <c r="B2291" s="42"/>
      <c r="C2291" s="42"/>
      <c r="D2291" s="28" t="str">
        <f aca="false">IF(OR($B2291="",$C2291=""),"",$C2291*IFERROR(INDEX(Setup!$C$47:$C$56,MATCH($B2291,Setup!$A$47:$A$56,0)),IFERROR(INDEX(Setup!$C$60:$C$89,MATCH($B2291,Setup!$A$60:$A$89,0)),"")))</f>
        <v/>
      </c>
      <c r="E2291" s="42"/>
      <c r="F2291" s="42"/>
    </row>
    <row r="2292" customFormat="false" ht="15" hidden="false" customHeight="true" outlineLevel="0" collapsed="false">
      <c r="A2292" s="42"/>
      <c r="B2292" s="42"/>
      <c r="C2292" s="42"/>
      <c r="D2292" s="28" t="str">
        <f aca="false">IF(OR($B2292="",$C2292=""),"",$C2292*IFERROR(INDEX(Setup!$C$47:$C$56,MATCH($B2292,Setup!$A$47:$A$56,0)),IFERROR(INDEX(Setup!$C$60:$C$89,MATCH($B2292,Setup!$A$60:$A$89,0)),"")))</f>
        <v/>
      </c>
      <c r="E2292" s="42"/>
      <c r="F2292" s="42"/>
    </row>
    <row r="2293" customFormat="false" ht="15" hidden="false" customHeight="true" outlineLevel="0" collapsed="false">
      <c r="A2293" s="42"/>
      <c r="B2293" s="42"/>
      <c r="C2293" s="42"/>
      <c r="D2293" s="28" t="str">
        <f aca="false">IF(OR($B2293="",$C2293=""),"",$C2293*IFERROR(INDEX(Setup!$C$47:$C$56,MATCH($B2293,Setup!$A$47:$A$56,0)),IFERROR(INDEX(Setup!$C$60:$C$89,MATCH($B2293,Setup!$A$60:$A$89,0)),"")))</f>
        <v/>
      </c>
      <c r="E2293" s="42"/>
      <c r="F2293" s="42"/>
    </row>
    <row r="2294" customFormat="false" ht="15" hidden="false" customHeight="true" outlineLevel="0" collapsed="false">
      <c r="A2294" s="42"/>
      <c r="B2294" s="42"/>
      <c r="C2294" s="42"/>
      <c r="D2294" s="28" t="str">
        <f aca="false">IF(OR($B2294="",$C2294=""),"",$C2294*IFERROR(INDEX(Setup!$C$47:$C$56,MATCH($B2294,Setup!$A$47:$A$56,0)),IFERROR(INDEX(Setup!$C$60:$C$89,MATCH($B2294,Setup!$A$60:$A$89,0)),"")))</f>
        <v/>
      </c>
      <c r="E2294" s="42"/>
      <c r="F2294" s="42"/>
    </row>
    <row r="2295" customFormat="false" ht="15" hidden="false" customHeight="true" outlineLevel="0" collapsed="false">
      <c r="A2295" s="42"/>
      <c r="B2295" s="42"/>
      <c r="C2295" s="42"/>
      <c r="D2295" s="28" t="str">
        <f aca="false">IF(OR($B2295="",$C2295=""),"",$C2295*IFERROR(INDEX(Setup!$C$47:$C$56,MATCH($B2295,Setup!$A$47:$A$56,0)),IFERROR(INDEX(Setup!$C$60:$C$89,MATCH($B2295,Setup!$A$60:$A$89,0)),"")))</f>
        <v/>
      </c>
      <c r="E2295" s="42"/>
      <c r="F2295" s="42"/>
    </row>
    <row r="2296" customFormat="false" ht="15" hidden="false" customHeight="true" outlineLevel="0" collapsed="false">
      <c r="A2296" s="42"/>
      <c r="B2296" s="42"/>
      <c r="C2296" s="42"/>
      <c r="D2296" s="28" t="str">
        <f aca="false">IF(OR($B2296="",$C2296=""),"",$C2296*IFERROR(INDEX(Setup!$C$47:$C$56,MATCH($B2296,Setup!$A$47:$A$56,0)),IFERROR(INDEX(Setup!$C$60:$C$89,MATCH($B2296,Setup!$A$60:$A$89,0)),"")))</f>
        <v/>
      </c>
      <c r="E2296" s="42"/>
      <c r="F2296" s="42"/>
    </row>
    <row r="2297" customFormat="false" ht="15" hidden="false" customHeight="true" outlineLevel="0" collapsed="false">
      <c r="A2297" s="42"/>
      <c r="B2297" s="42"/>
      <c r="C2297" s="42"/>
      <c r="D2297" s="28" t="str">
        <f aca="false">IF(OR($B2297="",$C2297=""),"",$C2297*IFERROR(INDEX(Setup!$C$47:$C$56,MATCH($B2297,Setup!$A$47:$A$56,0)),IFERROR(INDEX(Setup!$C$60:$C$89,MATCH($B2297,Setup!$A$60:$A$89,0)),"")))</f>
        <v/>
      </c>
      <c r="E2297" s="42"/>
      <c r="F2297" s="42"/>
    </row>
    <row r="2298" customFormat="false" ht="15" hidden="false" customHeight="true" outlineLevel="0" collapsed="false">
      <c r="A2298" s="42"/>
      <c r="B2298" s="42"/>
      <c r="C2298" s="42"/>
      <c r="D2298" s="28" t="str">
        <f aca="false">IF(OR($B2298="",$C2298=""),"",$C2298*IFERROR(INDEX(Setup!$C$47:$C$56,MATCH($B2298,Setup!$A$47:$A$56,0)),IFERROR(INDEX(Setup!$C$60:$C$89,MATCH($B2298,Setup!$A$60:$A$89,0)),"")))</f>
        <v/>
      </c>
      <c r="E2298" s="42"/>
      <c r="F2298" s="42"/>
    </row>
    <row r="2299" customFormat="false" ht="15" hidden="false" customHeight="true" outlineLevel="0" collapsed="false">
      <c r="A2299" s="42"/>
      <c r="B2299" s="42"/>
      <c r="C2299" s="42"/>
      <c r="D2299" s="28" t="str">
        <f aca="false">IF(OR($B2299="",$C2299=""),"",$C2299*IFERROR(INDEX(Setup!$C$47:$C$56,MATCH($B2299,Setup!$A$47:$A$56,0)),IFERROR(INDEX(Setup!$C$60:$C$89,MATCH($B2299,Setup!$A$60:$A$89,0)),"")))</f>
        <v/>
      </c>
      <c r="E2299" s="42"/>
      <c r="F2299" s="42"/>
    </row>
    <row r="2300" customFormat="false" ht="15" hidden="false" customHeight="true" outlineLevel="0" collapsed="false">
      <c r="A2300" s="42"/>
      <c r="B2300" s="42"/>
      <c r="C2300" s="42"/>
      <c r="D2300" s="28" t="str">
        <f aca="false">IF(OR($B2300="",$C2300=""),"",$C2300*IFERROR(INDEX(Setup!$C$47:$C$56,MATCH($B2300,Setup!$A$47:$A$56,0)),IFERROR(INDEX(Setup!$C$60:$C$89,MATCH($B2300,Setup!$A$60:$A$89,0)),"")))</f>
        <v/>
      </c>
      <c r="E2300" s="42"/>
      <c r="F2300" s="42"/>
    </row>
    <row r="2301" customFormat="false" ht="15" hidden="false" customHeight="true" outlineLevel="0" collapsed="false">
      <c r="A2301" s="42"/>
      <c r="B2301" s="42"/>
      <c r="C2301" s="42"/>
      <c r="D2301" s="28" t="str">
        <f aca="false">IF(OR($B2301="",$C2301=""),"",$C2301*IFERROR(INDEX(Setup!$C$47:$C$56,MATCH($B2301,Setup!$A$47:$A$56,0)),IFERROR(INDEX(Setup!$C$60:$C$89,MATCH($B2301,Setup!$A$60:$A$89,0)),"")))</f>
        <v/>
      </c>
      <c r="E2301" s="42"/>
      <c r="F2301" s="42"/>
    </row>
    <row r="2302" customFormat="false" ht="15" hidden="false" customHeight="true" outlineLevel="0" collapsed="false">
      <c r="A2302" s="42"/>
      <c r="B2302" s="42"/>
      <c r="C2302" s="42"/>
      <c r="D2302" s="28" t="str">
        <f aca="false">IF(OR($B2302="",$C2302=""),"",$C2302*IFERROR(INDEX(Setup!$C$47:$C$56,MATCH($B2302,Setup!$A$47:$A$56,0)),IFERROR(INDEX(Setup!$C$60:$C$89,MATCH($B2302,Setup!$A$60:$A$89,0)),"")))</f>
        <v/>
      </c>
      <c r="E2302" s="42"/>
      <c r="F2302" s="42"/>
    </row>
    <row r="2303" customFormat="false" ht="15" hidden="false" customHeight="true" outlineLevel="0" collapsed="false">
      <c r="A2303" s="42"/>
      <c r="B2303" s="42"/>
      <c r="C2303" s="42"/>
      <c r="D2303" s="28" t="str">
        <f aca="false">IF(OR($B2303="",$C2303=""),"",$C2303*IFERROR(INDEX(Setup!$C$47:$C$56,MATCH($B2303,Setup!$A$47:$A$56,0)),IFERROR(INDEX(Setup!$C$60:$C$89,MATCH($B2303,Setup!$A$60:$A$89,0)),"")))</f>
        <v/>
      </c>
      <c r="E2303" s="42"/>
      <c r="F2303" s="42"/>
    </row>
    <row r="2304" customFormat="false" ht="15" hidden="false" customHeight="true" outlineLevel="0" collapsed="false">
      <c r="A2304" s="42"/>
      <c r="B2304" s="42"/>
      <c r="C2304" s="42"/>
      <c r="D2304" s="28" t="str">
        <f aca="false">IF(OR($B2304="",$C2304=""),"",$C2304*IFERROR(INDEX(Setup!$C$47:$C$56,MATCH($B2304,Setup!$A$47:$A$56,0)),IFERROR(INDEX(Setup!$C$60:$C$89,MATCH($B2304,Setup!$A$60:$A$89,0)),"")))</f>
        <v/>
      </c>
      <c r="E2304" s="42"/>
      <c r="F2304" s="42"/>
    </row>
    <row r="2305" customFormat="false" ht="15" hidden="false" customHeight="true" outlineLevel="0" collapsed="false">
      <c r="A2305" s="42"/>
      <c r="B2305" s="42"/>
      <c r="C2305" s="42"/>
      <c r="D2305" s="28" t="str">
        <f aca="false">IF(OR($B2305="",$C2305=""),"",$C2305*IFERROR(INDEX(Setup!$C$47:$C$56,MATCH($B2305,Setup!$A$47:$A$56,0)),IFERROR(INDEX(Setup!$C$60:$C$89,MATCH($B2305,Setup!$A$60:$A$89,0)),"")))</f>
        <v/>
      </c>
      <c r="E2305" s="42"/>
      <c r="F2305" s="42"/>
    </row>
    <row r="2306" customFormat="false" ht="15" hidden="false" customHeight="true" outlineLevel="0" collapsed="false">
      <c r="A2306" s="42"/>
      <c r="B2306" s="42"/>
      <c r="C2306" s="42"/>
      <c r="D2306" s="28" t="str">
        <f aca="false">IF(OR($B2306="",$C2306=""),"",$C2306*IFERROR(INDEX(Setup!$C$47:$C$56,MATCH($B2306,Setup!$A$47:$A$56,0)),IFERROR(INDEX(Setup!$C$60:$C$89,MATCH($B2306,Setup!$A$60:$A$89,0)),"")))</f>
        <v/>
      </c>
      <c r="E2306" s="42"/>
      <c r="F2306" s="42"/>
    </row>
    <row r="2307" customFormat="false" ht="15" hidden="false" customHeight="true" outlineLevel="0" collapsed="false">
      <c r="A2307" s="42"/>
      <c r="B2307" s="42"/>
      <c r="C2307" s="42"/>
      <c r="D2307" s="28" t="str">
        <f aca="false">IF(OR($B2307="",$C2307=""),"",$C2307*IFERROR(INDEX(Setup!$C$47:$C$56,MATCH($B2307,Setup!$A$47:$A$56,0)),IFERROR(INDEX(Setup!$C$60:$C$89,MATCH($B2307,Setup!$A$60:$A$89,0)),"")))</f>
        <v/>
      </c>
      <c r="E2307" s="42"/>
      <c r="F2307" s="42"/>
    </row>
    <row r="2308" customFormat="false" ht="15" hidden="false" customHeight="true" outlineLevel="0" collapsed="false">
      <c r="A2308" s="42"/>
      <c r="B2308" s="42"/>
      <c r="C2308" s="42"/>
      <c r="D2308" s="28" t="str">
        <f aca="false">IF(OR($B2308="",$C2308=""),"",$C2308*IFERROR(INDEX(Setup!$C$47:$C$56,MATCH($B2308,Setup!$A$47:$A$56,0)),IFERROR(INDEX(Setup!$C$60:$C$89,MATCH($B2308,Setup!$A$60:$A$89,0)),"")))</f>
        <v/>
      </c>
      <c r="E2308" s="42"/>
      <c r="F2308" s="42"/>
    </row>
    <row r="2309" customFormat="false" ht="15" hidden="false" customHeight="true" outlineLevel="0" collapsed="false">
      <c r="A2309" s="42"/>
      <c r="B2309" s="42"/>
      <c r="C2309" s="42"/>
      <c r="D2309" s="28" t="str">
        <f aca="false">IF(OR($B2309="",$C2309=""),"",$C2309*IFERROR(INDEX(Setup!$C$47:$C$56,MATCH($B2309,Setup!$A$47:$A$56,0)),IFERROR(INDEX(Setup!$C$60:$C$89,MATCH($B2309,Setup!$A$60:$A$89,0)),"")))</f>
        <v/>
      </c>
      <c r="E2309" s="42"/>
      <c r="F2309" s="42"/>
    </row>
    <row r="2310" customFormat="false" ht="15" hidden="false" customHeight="true" outlineLevel="0" collapsed="false">
      <c r="A2310" s="42"/>
      <c r="B2310" s="42"/>
      <c r="C2310" s="42"/>
      <c r="D2310" s="28" t="str">
        <f aca="false">IF(OR($B2310="",$C2310=""),"",$C2310*IFERROR(INDEX(Setup!$C$47:$C$56,MATCH($B2310,Setup!$A$47:$A$56,0)),IFERROR(INDEX(Setup!$C$60:$C$89,MATCH($B2310,Setup!$A$60:$A$89,0)),"")))</f>
        <v/>
      </c>
      <c r="E2310" s="42"/>
      <c r="F2310" s="42"/>
    </row>
    <row r="2311" customFormat="false" ht="15" hidden="false" customHeight="true" outlineLevel="0" collapsed="false">
      <c r="A2311" s="42"/>
      <c r="B2311" s="42"/>
      <c r="C2311" s="42"/>
      <c r="D2311" s="28" t="str">
        <f aca="false">IF(OR($B2311="",$C2311=""),"",$C2311*IFERROR(INDEX(Setup!$C$47:$C$56,MATCH($B2311,Setup!$A$47:$A$56,0)),IFERROR(INDEX(Setup!$C$60:$C$89,MATCH($B2311,Setup!$A$60:$A$89,0)),"")))</f>
        <v/>
      </c>
      <c r="E2311" s="42"/>
      <c r="F2311" s="42"/>
    </row>
    <row r="2312" customFormat="false" ht="15" hidden="false" customHeight="true" outlineLevel="0" collapsed="false">
      <c r="A2312" s="42"/>
      <c r="B2312" s="42"/>
      <c r="C2312" s="42"/>
      <c r="D2312" s="28" t="str">
        <f aca="false">IF(OR($B2312="",$C2312=""),"",$C2312*IFERROR(INDEX(Setup!$C$47:$C$56,MATCH($B2312,Setup!$A$47:$A$56,0)),IFERROR(INDEX(Setup!$C$60:$C$89,MATCH($B2312,Setup!$A$60:$A$89,0)),"")))</f>
        <v/>
      </c>
      <c r="E2312" s="42"/>
      <c r="F2312" s="42"/>
    </row>
    <row r="2313" customFormat="false" ht="15" hidden="false" customHeight="true" outlineLevel="0" collapsed="false">
      <c r="A2313" s="42"/>
      <c r="B2313" s="42"/>
      <c r="C2313" s="42"/>
      <c r="D2313" s="28" t="str">
        <f aca="false">IF(OR($B2313="",$C2313=""),"",$C2313*IFERROR(INDEX(Setup!$C$47:$C$56,MATCH($B2313,Setup!$A$47:$A$56,0)),IFERROR(INDEX(Setup!$C$60:$C$89,MATCH($B2313,Setup!$A$60:$A$89,0)),"")))</f>
        <v/>
      </c>
      <c r="E2313" s="42"/>
      <c r="F2313" s="42"/>
    </row>
    <row r="2314" customFormat="false" ht="15" hidden="false" customHeight="true" outlineLevel="0" collapsed="false">
      <c r="A2314" s="42"/>
      <c r="B2314" s="42"/>
      <c r="C2314" s="42"/>
      <c r="D2314" s="28" t="str">
        <f aca="false">IF(OR($B2314="",$C2314=""),"",$C2314*IFERROR(INDEX(Setup!$C$47:$C$56,MATCH($B2314,Setup!$A$47:$A$56,0)),IFERROR(INDEX(Setup!$C$60:$C$89,MATCH($B2314,Setup!$A$60:$A$89,0)),"")))</f>
        <v/>
      </c>
      <c r="E2314" s="42"/>
      <c r="F2314" s="42"/>
    </row>
    <row r="2315" customFormat="false" ht="15" hidden="false" customHeight="true" outlineLevel="0" collapsed="false">
      <c r="A2315" s="42"/>
      <c r="B2315" s="42"/>
      <c r="C2315" s="42"/>
      <c r="D2315" s="28" t="str">
        <f aca="false">IF(OR($B2315="",$C2315=""),"",$C2315*IFERROR(INDEX(Setup!$C$47:$C$56,MATCH($B2315,Setup!$A$47:$A$56,0)),IFERROR(INDEX(Setup!$C$60:$C$89,MATCH($B2315,Setup!$A$60:$A$89,0)),"")))</f>
        <v/>
      </c>
      <c r="E2315" s="42"/>
      <c r="F2315" s="42"/>
    </row>
    <row r="2316" customFormat="false" ht="15" hidden="false" customHeight="true" outlineLevel="0" collapsed="false">
      <c r="A2316" s="42"/>
      <c r="B2316" s="42"/>
      <c r="C2316" s="42"/>
      <c r="D2316" s="28" t="str">
        <f aca="false">IF(OR($B2316="",$C2316=""),"",$C2316*IFERROR(INDEX(Setup!$C$47:$C$56,MATCH($B2316,Setup!$A$47:$A$56,0)),IFERROR(INDEX(Setup!$C$60:$C$89,MATCH($B2316,Setup!$A$60:$A$89,0)),"")))</f>
        <v/>
      </c>
      <c r="E2316" s="42"/>
      <c r="F2316" s="42"/>
    </row>
    <row r="2317" customFormat="false" ht="15" hidden="false" customHeight="true" outlineLevel="0" collapsed="false">
      <c r="A2317" s="42"/>
      <c r="B2317" s="42"/>
      <c r="C2317" s="42"/>
      <c r="D2317" s="28" t="str">
        <f aca="false">IF(OR($B2317="",$C2317=""),"",$C2317*IFERROR(INDEX(Setup!$C$47:$C$56,MATCH($B2317,Setup!$A$47:$A$56,0)),IFERROR(INDEX(Setup!$C$60:$C$89,MATCH($B2317,Setup!$A$60:$A$89,0)),"")))</f>
        <v/>
      </c>
      <c r="E2317" s="42"/>
      <c r="F2317" s="42"/>
    </row>
    <row r="2318" customFormat="false" ht="15" hidden="false" customHeight="true" outlineLevel="0" collapsed="false">
      <c r="A2318" s="42"/>
      <c r="B2318" s="42"/>
      <c r="C2318" s="42"/>
      <c r="D2318" s="28" t="str">
        <f aca="false">IF(OR($B2318="",$C2318=""),"",$C2318*IFERROR(INDEX(Setup!$C$47:$C$56,MATCH($B2318,Setup!$A$47:$A$56,0)),IFERROR(INDEX(Setup!$C$60:$C$89,MATCH($B2318,Setup!$A$60:$A$89,0)),"")))</f>
        <v/>
      </c>
      <c r="E2318" s="42"/>
      <c r="F2318" s="42"/>
    </row>
    <row r="2319" customFormat="false" ht="15" hidden="false" customHeight="true" outlineLevel="0" collapsed="false">
      <c r="A2319" s="42"/>
      <c r="B2319" s="42"/>
      <c r="C2319" s="42"/>
      <c r="D2319" s="28" t="str">
        <f aca="false">IF(OR($B2319="",$C2319=""),"",$C2319*IFERROR(INDEX(Setup!$C$47:$C$56,MATCH($B2319,Setup!$A$47:$A$56,0)),IFERROR(INDEX(Setup!$C$60:$C$89,MATCH($B2319,Setup!$A$60:$A$89,0)),"")))</f>
        <v/>
      </c>
      <c r="E2319" s="42"/>
      <c r="F2319" s="42"/>
    </row>
    <row r="2320" customFormat="false" ht="15" hidden="false" customHeight="true" outlineLevel="0" collapsed="false">
      <c r="A2320" s="42"/>
      <c r="B2320" s="42"/>
      <c r="C2320" s="42"/>
      <c r="D2320" s="28" t="str">
        <f aca="false">IF(OR($B2320="",$C2320=""),"",$C2320*IFERROR(INDEX(Setup!$C$47:$C$56,MATCH($B2320,Setup!$A$47:$A$56,0)),IFERROR(INDEX(Setup!$C$60:$C$89,MATCH($B2320,Setup!$A$60:$A$89,0)),"")))</f>
        <v/>
      </c>
      <c r="E2320" s="42"/>
      <c r="F2320" s="42"/>
    </row>
    <row r="2321" customFormat="false" ht="15" hidden="false" customHeight="true" outlineLevel="0" collapsed="false">
      <c r="A2321" s="42"/>
      <c r="B2321" s="42"/>
      <c r="C2321" s="42"/>
      <c r="D2321" s="28" t="str">
        <f aca="false">IF(OR($B2321="",$C2321=""),"",$C2321*IFERROR(INDEX(Setup!$C$47:$C$56,MATCH($B2321,Setup!$A$47:$A$56,0)),IFERROR(INDEX(Setup!$C$60:$C$89,MATCH($B2321,Setup!$A$60:$A$89,0)),"")))</f>
        <v/>
      </c>
      <c r="E2321" s="42"/>
      <c r="F2321" s="42"/>
    </row>
    <row r="2322" customFormat="false" ht="15" hidden="false" customHeight="true" outlineLevel="0" collapsed="false">
      <c r="A2322" s="42"/>
      <c r="B2322" s="42"/>
      <c r="C2322" s="42"/>
      <c r="D2322" s="28" t="str">
        <f aca="false">IF(OR($B2322="",$C2322=""),"",$C2322*IFERROR(INDEX(Setup!$C$47:$C$56,MATCH($B2322,Setup!$A$47:$A$56,0)),IFERROR(INDEX(Setup!$C$60:$C$89,MATCH($B2322,Setup!$A$60:$A$89,0)),"")))</f>
        <v/>
      </c>
      <c r="E2322" s="42"/>
      <c r="F2322" s="42"/>
    </row>
    <row r="2323" customFormat="false" ht="15" hidden="false" customHeight="true" outlineLevel="0" collapsed="false">
      <c r="A2323" s="42"/>
      <c r="B2323" s="42"/>
      <c r="C2323" s="42"/>
      <c r="D2323" s="28" t="str">
        <f aca="false">IF(OR($B2323="",$C2323=""),"",$C2323*IFERROR(INDEX(Setup!$C$47:$C$56,MATCH($B2323,Setup!$A$47:$A$56,0)),IFERROR(INDEX(Setup!$C$60:$C$89,MATCH($B2323,Setup!$A$60:$A$89,0)),"")))</f>
        <v/>
      </c>
      <c r="E2323" s="42"/>
      <c r="F2323" s="42"/>
    </row>
    <row r="2324" customFormat="false" ht="15" hidden="false" customHeight="true" outlineLevel="0" collapsed="false">
      <c r="A2324" s="42"/>
      <c r="B2324" s="42"/>
      <c r="C2324" s="42"/>
      <c r="D2324" s="28" t="str">
        <f aca="false">IF(OR($B2324="",$C2324=""),"",$C2324*IFERROR(INDEX(Setup!$C$47:$C$56,MATCH($B2324,Setup!$A$47:$A$56,0)),IFERROR(INDEX(Setup!$C$60:$C$89,MATCH($B2324,Setup!$A$60:$A$89,0)),"")))</f>
        <v/>
      </c>
      <c r="E2324" s="42"/>
      <c r="F2324" s="42"/>
    </row>
    <row r="2325" customFormat="false" ht="15" hidden="false" customHeight="true" outlineLevel="0" collapsed="false">
      <c r="A2325" s="42"/>
      <c r="B2325" s="42"/>
      <c r="C2325" s="42"/>
      <c r="D2325" s="28" t="str">
        <f aca="false">IF(OR($B2325="",$C2325=""),"",$C2325*IFERROR(INDEX(Setup!$C$47:$C$56,MATCH($B2325,Setup!$A$47:$A$56,0)),IFERROR(INDEX(Setup!$C$60:$C$89,MATCH($B2325,Setup!$A$60:$A$89,0)),"")))</f>
        <v/>
      </c>
      <c r="E2325" s="42"/>
      <c r="F2325" s="42"/>
    </row>
    <row r="2326" customFormat="false" ht="15" hidden="false" customHeight="true" outlineLevel="0" collapsed="false">
      <c r="A2326" s="42"/>
      <c r="B2326" s="42"/>
      <c r="C2326" s="42"/>
      <c r="D2326" s="28" t="str">
        <f aca="false">IF(OR($B2326="",$C2326=""),"",$C2326*IFERROR(INDEX(Setup!$C$47:$C$56,MATCH($B2326,Setup!$A$47:$A$56,0)),IFERROR(INDEX(Setup!$C$60:$C$89,MATCH($B2326,Setup!$A$60:$A$89,0)),"")))</f>
        <v/>
      </c>
      <c r="E2326" s="42"/>
      <c r="F2326" s="42"/>
    </row>
    <row r="2327" customFormat="false" ht="15" hidden="false" customHeight="true" outlineLevel="0" collapsed="false">
      <c r="A2327" s="42"/>
      <c r="B2327" s="42"/>
      <c r="C2327" s="42"/>
      <c r="D2327" s="28" t="str">
        <f aca="false">IF(OR($B2327="",$C2327=""),"",$C2327*IFERROR(INDEX(Setup!$C$47:$C$56,MATCH($B2327,Setup!$A$47:$A$56,0)),IFERROR(INDEX(Setup!$C$60:$C$89,MATCH($B2327,Setup!$A$60:$A$89,0)),"")))</f>
        <v/>
      </c>
      <c r="E2327" s="42"/>
      <c r="F2327" s="42"/>
    </row>
    <row r="2328" customFormat="false" ht="15" hidden="false" customHeight="true" outlineLevel="0" collapsed="false">
      <c r="A2328" s="42"/>
      <c r="B2328" s="42"/>
      <c r="C2328" s="42"/>
      <c r="D2328" s="28" t="str">
        <f aca="false">IF(OR($B2328="",$C2328=""),"",$C2328*IFERROR(INDEX(Setup!$C$47:$C$56,MATCH($B2328,Setup!$A$47:$A$56,0)),IFERROR(INDEX(Setup!$C$60:$C$89,MATCH($B2328,Setup!$A$60:$A$89,0)),"")))</f>
        <v/>
      </c>
      <c r="E2328" s="42"/>
      <c r="F2328" s="42"/>
    </row>
    <row r="2329" customFormat="false" ht="15" hidden="false" customHeight="true" outlineLevel="0" collapsed="false">
      <c r="A2329" s="42"/>
      <c r="B2329" s="42"/>
      <c r="C2329" s="42"/>
      <c r="D2329" s="28" t="str">
        <f aca="false">IF(OR($B2329="",$C2329=""),"",$C2329*IFERROR(INDEX(Setup!$C$47:$C$56,MATCH($B2329,Setup!$A$47:$A$56,0)),IFERROR(INDEX(Setup!$C$60:$C$89,MATCH($B2329,Setup!$A$60:$A$89,0)),"")))</f>
        <v/>
      </c>
      <c r="E2329" s="42"/>
      <c r="F2329" s="42"/>
    </row>
    <row r="2330" customFormat="false" ht="15" hidden="false" customHeight="true" outlineLevel="0" collapsed="false">
      <c r="A2330" s="42"/>
      <c r="B2330" s="42"/>
      <c r="C2330" s="42"/>
      <c r="D2330" s="28" t="str">
        <f aca="false">IF(OR($B2330="",$C2330=""),"",$C2330*IFERROR(INDEX(Setup!$C$47:$C$56,MATCH($B2330,Setup!$A$47:$A$56,0)),IFERROR(INDEX(Setup!$C$60:$C$89,MATCH($B2330,Setup!$A$60:$A$89,0)),"")))</f>
        <v/>
      </c>
      <c r="E2330" s="42"/>
      <c r="F2330" s="42"/>
    </row>
    <row r="2331" customFormat="false" ht="15" hidden="false" customHeight="true" outlineLevel="0" collapsed="false">
      <c r="A2331" s="42"/>
      <c r="B2331" s="42"/>
      <c r="C2331" s="42"/>
      <c r="D2331" s="28" t="str">
        <f aca="false">IF(OR($B2331="",$C2331=""),"",$C2331*IFERROR(INDEX(Setup!$C$47:$C$56,MATCH($B2331,Setup!$A$47:$A$56,0)),IFERROR(INDEX(Setup!$C$60:$C$89,MATCH($B2331,Setup!$A$60:$A$89,0)),"")))</f>
        <v/>
      </c>
      <c r="E2331" s="42"/>
      <c r="F2331" s="42"/>
    </row>
    <row r="2332" customFormat="false" ht="15" hidden="false" customHeight="true" outlineLevel="0" collapsed="false">
      <c r="A2332" s="42"/>
      <c r="B2332" s="42"/>
      <c r="C2332" s="42"/>
      <c r="D2332" s="28" t="str">
        <f aca="false">IF(OR($B2332="",$C2332=""),"",$C2332*IFERROR(INDEX(Setup!$C$47:$C$56,MATCH($B2332,Setup!$A$47:$A$56,0)),IFERROR(INDEX(Setup!$C$60:$C$89,MATCH($B2332,Setup!$A$60:$A$89,0)),"")))</f>
        <v/>
      </c>
      <c r="E2332" s="42"/>
      <c r="F2332" s="42"/>
    </row>
    <row r="2333" customFormat="false" ht="15" hidden="false" customHeight="true" outlineLevel="0" collapsed="false">
      <c r="A2333" s="42"/>
      <c r="B2333" s="42"/>
      <c r="C2333" s="42"/>
      <c r="D2333" s="28" t="str">
        <f aca="false">IF(OR($B2333="",$C2333=""),"",$C2333*IFERROR(INDEX(Setup!$C$47:$C$56,MATCH($B2333,Setup!$A$47:$A$56,0)),IFERROR(INDEX(Setup!$C$60:$C$89,MATCH($B2333,Setup!$A$60:$A$89,0)),"")))</f>
        <v/>
      </c>
      <c r="E2333" s="42"/>
      <c r="F2333" s="42"/>
    </row>
    <row r="2334" customFormat="false" ht="15" hidden="false" customHeight="true" outlineLevel="0" collapsed="false">
      <c r="A2334" s="42"/>
      <c r="B2334" s="42"/>
      <c r="C2334" s="42"/>
      <c r="D2334" s="28" t="str">
        <f aca="false">IF(OR($B2334="",$C2334=""),"",$C2334*IFERROR(INDEX(Setup!$C$47:$C$56,MATCH($B2334,Setup!$A$47:$A$56,0)),IFERROR(INDEX(Setup!$C$60:$C$89,MATCH($B2334,Setup!$A$60:$A$89,0)),"")))</f>
        <v/>
      </c>
      <c r="E2334" s="42"/>
      <c r="F2334" s="42"/>
    </row>
    <row r="2335" customFormat="false" ht="15" hidden="false" customHeight="true" outlineLevel="0" collapsed="false">
      <c r="A2335" s="42"/>
      <c r="B2335" s="42"/>
      <c r="C2335" s="42"/>
      <c r="D2335" s="28" t="str">
        <f aca="false">IF(OR($B2335="",$C2335=""),"",$C2335*IFERROR(INDEX(Setup!$C$47:$C$56,MATCH($B2335,Setup!$A$47:$A$56,0)),IFERROR(INDEX(Setup!$C$60:$C$89,MATCH($B2335,Setup!$A$60:$A$89,0)),"")))</f>
        <v/>
      </c>
      <c r="E2335" s="42"/>
      <c r="F2335" s="42"/>
    </row>
    <row r="2336" customFormat="false" ht="15" hidden="false" customHeight="true" outlineLevel="0" collapsed="false">
      <c r="A2336" s="42"/>
      <c r="B2336" s="42"/>
      <c r="C2336" s="42"/>
      <c r="D2336" s="28" t="str">
        <f aca="false">IF(OR($B2336="",$C2336=""),"",$C2336*IFERROR(INDEX(Setup!$C$47:$C$56,MATCH($B2336,Setup!$A$47:$A$56,0)),IFERROR(INDEX(Setup!$C$60:$C$89,MATCH($B2336,Setup!$A$60:$A$89,0)),"")))</f>
        <v/>
      </c>
      <c r="E2336" s="42"/>
      <c r="F2336" s="42"/>
    </row>
    <row r="2337" customFormat="false" ht="15" hidden="false" customHeight="true" outlineLevel="0" collapsed="false">
      <c r="A2337" s="42"/>
      <c r="B2337" s="42"/>
      <c r="C2337" s="42"/>
      <c r="D2337" s="28" t="str">
        <f aca="false">IF(OR($B2337="",$C2337=""),"",$C2337*IFERROR(INDEX(Setup!$C$47:$C$56,MATCH($B2337,Setup!$A$47:$A$56,0)),IFERROR(INDEX(Setup!$C$60:$C$89,MATCH($B2337,Setup!$A$60:$A$89,0)),"")))</f>
        <v/>
      </c>
      <c r="E2337" s="42"/>
      <c r="F2337" s="42"/>
    </row>
    <row r="2338" customFormat="false" ht="15" hidden="false" customHeight="true" outlineLevel="0" collapsed="false">
      <c r="A2338" s="42"/>
      <c r="B2338" s="42"/>
      <c r="C2338" s="42"/>
      <c r="D2338" s="28" t="str">
        <f aca="false">IF(OR($B2338="",$C2338=""),"",$C2338*IFERROR(INDEX(Setup!$C$47:$C$56,MATCH($B2338,Setup!$A$47:$A$56,0)),IFERROR(INDEX(Setup!$C$60:$C$89,MATCH($B2338,Setup!$A$60:$A$89,0)),"")))</f>
        <v/>
      </c>
      <c r="E2338" s="42"/>
      <c r="F2338" s="42"/>
    </row>
    <row r="2339" customFormat="false" ht="15" hidden="false" customHeight="true" outlineLevel="0" collapsed="false">
      <c r="A2339" s="42"/>
      <c r="B2339" s="42"/>
      <c r="C2339" s="42"/>
      <c r="D2339" s="28" t="str">
        <f aca="false">IF(OR($B2339="",$C2339=""),"",$C2339*IFERROR(INDEX(Setup!$C$47:$C$56,MATCH($B2339,Setup!$A$47:$A$56,0)),IFERROR(INDEX(Setup!$C$60:$C$89,MATCH($B2339,Setup!$A$60:$A$89,0)),"")))</f>
        <v/>
      </c>
      <c r="E2339" s="42"/>
      <c r="F2339" s="42"/>
    </row>
    <row r="2340" customFormat="false" ht="15" hidden="false" customHeight="true" outlineLevel="0" collapsed="false">
      <c r="A2340" s="42"/>
      <c r="B2340" s="42"/>
      <c r="C2340" s="42"/>
      <c r="D2340" s="28" t="str">
        <f aca="false">IF(OR($B2340="",$C2340=""),"",$C2340*IFERROR(INDEX(Setup!$C$47:$C$56,MATCH($B2340,Setup!$A$47:$A$56,0)),IFERROR(INDEX(Setup!$C$60:$C$89,MATCH($B2340,Setup!$A$60:$A$89,0)),"")))</f>
        <v/>
      </c>
      <c r="E2340" s="42"/>
      <c r="F2340" s="42"/>
    </row>
    <row r="2341" customFormat="false" ht="15" hidden="false" customHeight="true" outlineLevel="0" collapsed="false">
      <c r="A2341" s="42"/>
      <c r="B2341" s="42"/>
      <c r="C2341" s="42"/>
      <c r="D2341" s="28" t="str">
        <f aca="false">IF(OR($B2341="",$C2341=""),"",$C2341*IFERROR(INDEX(Setup!$C$47:$C$56,MATCH($B2341,Setup!$A$47:$A$56,0)),IFERROR(INDEX(Setup!$C$60:$C$89,MATCH($B2341,Setup!$A$60:$A$89,0)),"")))</f>
        <v/>
      </c>
      <c r="E2341" s="42"/>
      <c r="F2341" s="42"/>
    </row>
    <row r="2342" customFormat="false" ht="15" hidden="false" customHeight="true" outlineLevel="0" collapsed="false">
      <c r="A2342" s="42"/>
      <c r="B2342" s="42"/>
      <c r="C2342" s="42"/>
      <c r="D2342" s="28" t="str">
        <f aca="false">IF(OR($B2342="",$C2342=""),"",$C2342*IFERROR(INDEX(Setup!$C$47:$C$56,MATCH($B2342,Setup!$A$47:$A$56,0)),IFERROR(INDEX(Setup!$C$60:$C$89,MATCH($B2342,Setup!$A$60:$A$89,0)),"")))</f>
        <v/>
      </c>
      <c r="E2342" s="42"/>
      <c r="F2342" s="42"/>
    </row>
    <row r="2343" customFormat="false" ht="15" hidden="false" customHeight="true" outlineLevel="0" collapsed="false">
      <c r="A2343" s="42"/>
      <c r="B2343" s="42"/>
      <c r="C2343" s="42"/>
      <c r="D2343" s="28" t="str">
        <f aca="false">IF(OR($B2343="",$C2343=""),"",$C2343*IFERROR(INDEX(Setup!$C$47:$C$56,MATCH($B2343,Setup!$A$47:$A$56,0)),IFERROR(INDEX(Setup!$C$60:$C$89,MATCH($B2343,Setup!$A$60:$A$89,0)),"")))</f>
        <v/>
      </c>
      <c r="E2343" s="42"/>
      <c r="F2343" s="42"/>
    </row>
    <row r="2344" customFormat="false" ht="15" hidden="false" customHeight="true" outlineLevel="0" collapsed="false">
      <c r="A2344" s="42"/>
      <c r="B2344" s="42"/>
      <c r="C2344" s="42"/>
      <c r="D2344" s="28" t="str">
        <f aca="false">IF(OR($B2344="",$C2344=""),"",$C2344*IFERROR(INDEX(Setup!$C$47:$C$56,MATCH($B2344,Setup!$A$47:$A$56,0)),IFERROR(INDEX(Setup!$C$60:$C$89,MATCH($B2344,Setup!$A$60:$A$89,0)),"")))</f>
        <v/>
      </c>
      <c r="E2344" s="42"/>
      <c r="F2344" s="42"/>
    </row>
    <row r="2345" customFormat="false" ht="15" hidden="false" customHeight="true" outlineLevel="0" collapsed="false">
      <c r="A2345" s="42"/>
      <c r="B2345" s="42"/>
      <c r="C2345" s="42"/>
      <c r="D2345" s="28" t="str">
        <f aca="false">IF(OR($B2345="",$C2345=""),"",$C2345*IFERROR(INDEX(Setup!$C$47:$C$56,MATCH($B2345,Setup!$A$47:$A$56,0)),IFERROR(INDEX(Setup!$C$60:$C$89,MATCH($B2345,Setup!$A$60:$A$89,0)),"")))</f>
        <v/>
      </c>
      <c r="E2345" s="42"/>
      <c r="F2345" s="42"/>
    </row>
    <row r="2346" customFormat="false" ht="15" hidden="false" customHeight="true" outlineLevel="0" collapsed="false">
      <c r="A2346" s="42"/>
      <c r="B2346" s="42"/>
      <c r="C2346" s="42"/>
      <c r="D2346" s="28" t="str">
        <f aca="false">IF(OR($B2346="",$C2346=""),"",$C2346*IFERROR(INDEX(Setup!$C$47:$C$56,MATCH($B2346,Setup!$A$47:$A$56,0)),IFERROR(INDEX(Setup!$C$60:$C$89,MATCH($B2346,Setup!$A$60:$A$89,0)),"")))</f>
        <v/>
      </c>
      <c r="E2346" s="42"/>
      <c r="F2346" s="42"/>
    </row>
    <row r="2347" customFormat="false" ht="15" hidden="false" customHeight="true" outlineLevel="0" collapsed="false">
      <c r="A2347" s="42"/>
      <c r="B2347" s="42"/>
      <c r="C2347" s="42"/>
      <c r="D2347" s="28" t="str">
        <f aca="false">IF(OR($B2347="",$C2347=""),"",$C2347*IFERROR(INDEX(Setup!$C$47:$C$56,MATCH($B2347,Setup!$A$47:$A$56,0)),IFERROR(INDEX(Setup!$C$60:$C$89,MATCH($B2347,Setup!$A$60:$A$89,0)),"")))</f>
        <v/>
      </c>
      <c r="E2347" s="42"/>
      <c r="F2347" s="42"/>
    </row>
    <row r="2348" customFormat="false" ht="15" hidden="false" customHeight="true" outlineLevel="0" collapsed="false">
      <c r="A2348" s="42"/>
      <c r="B2348" s="42"/>
      <c r="C2348" s="42"/>
      <c r="D2348" s="28" t="str">
        <f aca="false">IF(OR($B2348="",$C2348=""),"",$C2348*IFERROR(INDEX(Setup!$C$47:$C$56,MATCH($B2348,Setup!$A$47:$A$56,0)),IFERROR(INDEX(Setup!$C$60:$C$89,MATCH($B2348,Setup!$A$60:$A$89,0)),"")))</f>
        <v/>
      </c>
      <c r="E2348" s="42"/>
      <c r="F2348" s="42"/>
    </row>
    <row r="2349" customFormat="false" ht="15" hidden="false" customHeight="true" outlineLevel="0" collapsed="false">
      <c r="A2349" s="42"/>
      <c r="B2349" s="42"/>
      <c r="C2349" s="42"/>
      <c r="D2349" s="28" t="str">
        <f aca="false">IF(OR($B2349="",$C2349=""),"",$C2349*IFERROR(INDEX(Setup!$C$47:$C$56,MATCH($B2349,Setup!$A$47:$A$56,0)),IFERROR(INDEX(Setup!$C$60:$C$89,MATCH($B2349,Setup!$A$60:$A$89,0)),"")))</f>
        <v/>
      </c>
      <c r="E2349" s="42"/>
      <c r="F2349" s="42"/>
    </row>
    <row r="2350" customFormat="false" ht="15" hidden="false" customHeight="true" outlineLevel="0" collapsed="false">
      <c r="A2350" s="42"/>
      <c r="B2350" s="42"/>
      <c r="C2350" s="42"/>
      <c r="D2350" s="28" t="str">
        <f aca="false">IF(OR($B2350="",$C2350=""),"",$C2350*IFERROR(INDEX(Setup!$C$47:$C$56,MATCH($B2350,Setup!$A$47:$A$56,0)),IFERROR(INDEX(Setup!$C$60:$C$89,MATCH($B2350,Setup!$A$60:$A$89,0)),"")))</f>
        <v/>
      </c>
      <c r="E2350" s="42"/>
      <c r="F2350" s="42"/>
    </row>
    <row r="2351" customFormat="false" ht="15" hidden="false" customHeight="true" outlineLevel="0" collapsed="false">
      <c r="A2351" s="42"/>
      <c r="B2351" s="42"/>
      <c r="C2351" s="42"/>
      <c r="D2351" s="28" t="str">
        <f aca="false">IF(OR($B2351="",$C2351=""),"",$C2351*IFERROR(INDEX(Setup!$C$47:$C$56,MATCH($B2351,Setup!$A$47:$A$56,0)),IFERROR(INDEX(Setup!$C$60:$C$89,MATCH($B2351,Setup!$A$60:$A$89,0)),"")))</f>
        <v/>
      </c>
      <c r="E2351" s="42"/>
      <c r="F2351" s="42"/>
    </row>
    <row r="2352" customFormat="false" ht="15" hidden="false" customHeight="true" outlineLevel="0" collapsed="false">
      <c r="A2352" s="42"/>
      <c r="B2352" s="42"/>
      <c r="C2352" s="42"/>
      <c r="D2352" s="28" t="str">
        <f aca="false">IF(OR($B2352="",$C2352=""),"",$C2352*IFERROR(INDEX(Setup!$C$47:$C$56,MATCH($B2352,Setup!$A$47:$A$56,0)),IFERROR(INDEX(Setup!$C$60:$C$89,MATCH($B2352,Setup!$A$60:$A$89,0)),"")))</f>
        <v/>
      </c>
      <c r="E2352" s="42"/>
      <c r="F2352" s="42"/>
    </row>
    <row r="2353" customFormat="false" ht="15" hidden="false" customHeight="true" outlineLevel="0" collapsed="false">
      <c r="A2353" s="42"/>
      <c r="B2353" s="42"/>
      <c r="C2353" s="42"/>
      <c r="D2353" s="28" t="str">
        <f aca="false">IF(OR($B2353="",$C2353=""),"",$C2353*IFERROR(INDEX(Setup!$C$47:$C$56,MATCH($B2353,Setup!$A$47:$A$56,0)),IFERROR(INDEX(Setup!$C$60:$C$89,MATCH($B2353,Setup!$A$60:$A$89,0)),"")))</f>
        <v/>
      </c>
      <c r="E2353" s="42"/>
      <c r="F2353" s="42"/>
    </row>
    <row r="2354" customFormat="false" ht="15" hidden="false" customHeight="true" outlineLevel="0" collapsed="false">
      <c r="A2354" s="42"/>
      <c r="B2354" s="42"/>
      <c r="C2354" s="42"/>
      <c r="D2354" s="28" t="str">
        <f aca="false">IF(OR($B2354="",$C2354=""),"",$C2354*IFERROR(INDEX(Setup!$C$47:$C$56,MATCH($B2354,Setup!$A$47:$A$56,0)),IFERROR(INDEX(Setup!$C$60:$C$89,MATCH($B2354,Setup!$A$60:$A$89,0)),"")))</f>
        <v/>
      </c>
      <c r="E2354" s="42"/>
      <c r="F2354" s="42"/>
    </row>
    <row r="2355" customFormat="false" ht="15" hidden="false" customHeight="true" outlineLevel="0" collapsed="false">
      <c r="A2355" s="42"/>
      <c r="B2355" s="42"/>
      <c r="C2355" s="42"/>
      <c r="D2355" s="28" t="str">
        <f aca="false">IF(OR($B2355="",$C2355=""),"",$C2355*IFERROR(INDEX(Setup!$C$47:$C$56,MATCH($B2355,Setup!$A$47:$A$56,0)),IFERROR(INDEX(Setup!$C$60:$C$89,MATCH($B2355,Setup!$A$60:$A$89,0)),"")))</f>
        <v/>
      </c>
      <c r="E2355" s="42"/>
      <c r="F2355" s="42"/>
    </row>
    <row r="2356" customFormat="false" ht="15" hidden="false" customHeight="true" outlineLevel="0" collapsed="false">
      <c r="A2356" s="42"/>
      <c r="B2356" s="42"/>
      <c r="C2356" s="42"/>
      <c r="D2356" s="28" t="str">
        <f aca="false">IF(OR($B2356="",$C2356=""),"",$C2356*IFERROR(INDEX(Setup!$C$47:$C$56,MATCH($B2356,Setup!$A$47:$A$56,0)),IFERROR(INDEX(Setup!$C$60:$C$89,MATCH($B2356,Setup!$A$60:$A$89,0)),"")))</f>
        <v/>
      </c>
      <c r="E2356" s="42"/>
      <c r="F2356" s="42"/>
    </row>
    <row r="2357" customFormat="false" ht="15" hidden="false" customHeight="true" outlineLevel="0" collapsed="false">
      <c r="A2357" s="42"/>
      <c r="B2357" s="42"/>
      <c r="C2357" s="42"/>
      <c r="D2357" s="28" t="str">
        <f aca="false">IF(OR($B2357="",$C2357=""),"",$C2357*IFERROR(INDEX(Setup!$C$47:$C$56,MATCH($B2357,Setup!$A$47:$A$56,0)),IFERROR(INDEX(Setup!$C$60:$C$89,MATCH($B2357,Setup!$A$60:$A$89,0)),"")))</f>
        <v/>
      </c>
      <c r="E2357" s="42"/>
      <c r="F2357" s="42"/>
    </row>
    <row r="2358" customFormat="false" ht="15" hidden="false" customHeight="true" outlineLevel="0" collapsed="false">
      <c r="A2358" s="42"/>
      <c r="B2358" s="42"/>
      <c r="C2358" s="42"/>
      <c r="D2358" s="28" t="str">
        <f aca="false">IF(OR($B2358="",$C2358=""),"",$C2358*IFERROR(INDEX(Setup!$C$47:$C$56,MATCH($B2358,Setup!$A$47:$A$56,0)),IFERROR(INDEX(Setup!$C$60:$C$89,MATCH($B2358,Setup!$A$60:$A$89,0)),"")))</f>
        <v/>
      </c>
      <c r="E2358" s="42"/>
      <c r="F2358" s="42"/>
    </row>
    <row r="2359" customFormat="false" ht="15" hidden="false" customHeight="true" outlineLevel="0" collapsed="false">
      <c r="A2359" s="42"/>
      <c r="B2359" s="42"/>
      <c r="C2359" s="42"/>
      <c r="D2359" s="28" t="str">
        <f aca="false">IF(OR($B2359="",$C2359=""),"",$C2359*IFERROR(INDEX(Setup!$C$47:$C$56,MATCH($B2359,Setup!$A$47:$A$56,0)),IFERROR(INDEX(Setup!$C$60:$C$89,MATCH($B2359,Setup!$A$60:$A$89,0)),"")))</f>
        <v/>
      </c>
      <c r="E2359" s="42"/>
      <c r="F2359" s="42"/>
    </row>
    <row r="2360" customFormat="false" ht="15" hidden="false" customHeight="true" outlineLevel="0" collapsed="false">
      <c r="A2360" s="42"/>
      <c r="B2360" s="42"/>
      <c r="C2360" s="42"/>
      <c r="D2360" s="28" t="str">
        <f aca="false">IF(OR($B2360="",$C2360=""),"",$C2360*IFERROR(INDEX(Setup!$C$47:$C$56,MATCH($B2360,Setup!$A$47:$A$56,0)),IFERROR(INDEX(Setup!$C$60:$C$89,MATCH($B2360,Setup!$A$60:$A$89,0)),"")))</f>
        <v/>
      </c>
      <c r="E2360" s="42"/>
      <c r="F2360" s="42"/>
    </row>
    <row r="2361" customFormat="false" ht="15" hidden="false" customHeight="true" outlineLevel="0" collapsed="false">
      <c r="A2361" s="42"/>
      <c r="B2361" s="42"/>
      <c r="C2361" s="42"/>
      <c r="D2361" s="28" t="str">
        <f aca="false">IF(OR($B2361="",$C2361=""),"",$C2361*IFERROR(INDEX(Setup!$C$47:$C$56,MATCH($B2361,Setup!$A$47:$A$56,0)),IFERROR(INDEX(Setup!$C$60:$C$89,MATCH($B2361,Setup!$A$60:$A$89,0)),"")))</f>
        <v/>
      </c>
      <c r="E2361" s="42"/>
      <c r="F2361" s="42"/>
    </row>
    <row r="2362" customFormat="false" ht="15" hidden="false" customHeight="true" outlineLevel="0" collapsed="false">
      <c r="A2362" s="42"/>
      <c r="B2362" s="42"/>
      <c r="C2362" s="42"/>
      <c r="D2362" s="28" t="str">
        <f aca="false">IF(OR($B2362="",$C2362=""),"",$C2362*IFERROR(INDEX(Setup!$C$47:$C$56,MATCH($B2362,Setup!$A$47:$A$56,0)),IFERROR(INDEX(Setup!$C$60:$C$89,MATCH($B2362,Setup!$A$60:$A$89,0)),"")))</f>
        <v/>
      </c>
      <c r="E2362" s="42"/>
      <c r="F2362" s="42"/>
    </row>
    <row r="2363" customFormat="false" ht="15" hidden="false" customHeight="true" outlineLevel="0" collapsed="false">
      <c r="A2363" s="42"/>
      <c r="B2363" s="42"/>
      <c r="C2363" s="42"/>
      <c r="D2363" s="28" t="str">
        <f aca="false">IF(OR($B2363="",$C2363=""),"",$C2363*IFERROR(INDEX(Setup!$C$47:$C$56,MATCH($B2363,Setup!$A$47:$A$56,0)),IFERROR(INDEX(Setup!$C$60:$C$89,MATCH($B2363,Setup!$A$60:$A$89,0)),"")))</f>
        <v/>
      </c>
      <c r="E2363" s="42"/>
      <c r="F2363" s="42"/>
    </row>
    <row r="2364" customFormat="false" ht="15" hidden="false" customHeight="true" outlineLevel="0" collapsed="false">
      <c r="A2364" s="42"/>
      <c r="B2364" s="42"/>
      <c r="C2364" s="42"/>
      <c r="D2364" s="28" t="str">
        <f aca="false">IF(OR($B2364="",$C2364=""),"",$C2364*IFERROR(INDEX(Setup!$C$47:$C$56,MATCH($B2364,Setup!$A$47:$A$56,0)),IFERROR(INDEX(Setup!$C$60:$C$89,MATCH($B2364,Setup!$A$60:$A$89,0)),"")))</f>
        <v/>
      </c>
      <c r="E2364" s="42"/>
      <c r="F2364" s="42"/>
    </row>
    <row r="2365" customFormat="false" ht="15" hidden="false" customHeight="true" outlineLevel="0" collapsed="false">
      <c r="A2365" s="42"/>
      <c r="B2365" s="42"/>
      <c r="C2365" s="42"/>
      <c r="D2365" s="28" t="str">
        <f aca="false">IF(OR($B2365="",$C2365=""),"",$C2365*IFERROR(INDEX(Setup!$C$47:$C$56,MATCH($B2365,Setup!$A$47:$A$56,0)),IFERROR(INDEX(Setup!$C$60:$C$89,MATCH($B2365,Setup!$A$60:$A$89,0)),"")))</f>
        <v/>
      </c>
      <c r="E2365" s="42"/>
      <c r="F2365" s="42"/>
    </row>
    <row r="2366" customFormat="false" ht="15" hidden="false" customHeight="true" outlineLevel="0" collapsed="false">
      <c r="A2366" s="42"/>
      <c r="B2366" s="42"/>
      <c r="C2366" s="42"/>
      <c r="D2366" s="28" t="str">
        <f aca="false">IF(OR($B2366="",$C2366=""),"",$C2366*IFERROR(INDEX(Setup!$C$47:$C$56,MATCH($B2366,Setup!$A$47:$A$56,0)),IFERROR(INDEX(Setup!$C$60:$C$89,MATCH($B2366,Setup!$A$60:$A$89,0)),"")))</f>
        <v/>
      </c>
      <c r="E2366" s="42"/>
      <c r="F2366" s="42"/>
    </row>
    <row r="2367" customFormat="false" ht="15" hidden="false" customHeight="true" outlineLevel="0" collapsed="false">
      <c r="A2367" s="42"/>
      <c r="B2367" s="42"/>
      <c r="C2367" s="42"/>
      <c r="D2367" s="28" t="str">
        <f aca="false">IF(OR($B2367="",$C2367=""),"",$C2367*IFERROR(INDEX(Setup!$C$47:$C$56,MATCH($B2367,Setup!$A$47:$A$56,0)),IFERROR(INDEX(Setup!$C$60:$C$89,MATCH($B2367,Setup!$A$60:$A$89,0)),"")))</f>
        <v/>
      </c>
      <c r="E2367" s="42"/>
      <c r="F2367" s="42"/>
    </row>
    <row r="2368" customFormat="false" ht="15" hidden="false" customHeight="true" outlineLevel="0" collapsed="false">
      <c r="A2368" s="42"/>
      <c r="B2368" s="42"/>
      <c r="C2368" s="42"/>
      <c r="D2368" s="28" t="str">
        <f aca="false">IF(OR($B2368="",$C2368=""),"",$C2368*IFERROR(INDEX(Setup!$C$47:$C$56,MATCH($B2368,Setup!$A$47:$A$56,0)),IFERROR(INDEX(Setup!$C$60:$C$89,MATCH($B2368,Setup!$A$60:$A$89,0)),"")))</f>
        <v/>
      </c>
      <c r="E2368" s="42"/>
      <c r="F2368" s="42"/>
    </row>
    <row r="2369" customFormat="false" ht="15" hidden="false" customHeight="true" outlineLevel="0" collapsed="false">
      <c r="A2369" s="42"/>
      <c r="B2369" s="42"/>
      <c r="C2369" s="42"/>
      <c r="D2369" s="28" t="str">
        <f aca="false">IF(OR($B2369="",$C2369=""),"",$C2369*IFERROR(INDEX(Setup!$C$47:$C$56,MATCH($B2369,Setup!$A$47:$A$56,0)),IFERROR(INDEX(Setup!$C$60:$C$89,MATCH($B2369,Setup!$A$60:$A$89,0)),"")))</f>
        <v/>
      </c>
      <c r="E2369" s="42"/>
      <c r="F2369" s="42"/>
    </row>
    <row r="2370" customFormat="false" ht="15" hidden="false" customHeight="true" outlineLevel="0" collapsed="false">
      <c r="A2370" s="42"/>
      <c r="B2370" s="42"/>
      <c r="C2370" s="42"/>
      <c r="D2370" s="28" t="str">
        <f aca="false">IF(OR($B2370="",$C2370=""),"",$C2370*IFERROR(INDEX(Setup!$C$47:$C$56,MATCH($B2370,Setup!$A$47:$A$56,0)),IFERROR(INDEX(Setup!$C$60:$C$89,MATCH($B2370,Setup!$A$60:$A$89,0)),"")))</f>
        <v/>
      </c>
      <c r="E2370" s="42"/>
      <c r="F2370" s="42"/>
    </row>
    <row r="2371" customFormat="false" ht="15" hidden="false" customHeight="true" outlineLevel="0" collapsed="false">
      <c r="A2371" s="42"/>
      <c r="B2371" s="42"/>
      <c r="C2371" s="42"/>
      <c r="D2371" s="28" t="str">
        <f aca="false">IF(OR($B2371="",$C2371=""),"",$C2371*IFERROR(INDEX(Setup!$C$47:$C$56,MATCH($B2371,Setup!$A$47:$A$56,0)),IFERROR(INDEX(Setup!$C$60:$C$89,MATCH($B2371,Setup!$A$60:$A$89,0)),"")))</f>
        <v/>
      </c>
      <c r="E2371" s="42"/>
      <c r="F2371" s="42"/>
    </row>
    <row r="2372" customFormat="false" ht="15" hidden="false" customHeight="true" outlineLevel="0" collapsed="false">
      <c r="A2372" s="42"/>
      <c r="B2372" s="42"/>
      <c r="C2372" s="42"/>
      <c r="D2372" s="28" t="str">
        <f aca="false">IF(OR($B2372="",$C2372=""),"",$C2372*IFERROR(INDEX(Setup!$C$47:$C$56,MATCH($B2372,Setup!$A$47:$A$56,0)),IFERROR(INDEX(Setup!$C$60:$C$89,MATCH($B2372,Setup!$A$60:$A$89,0)),"")))</f>
        <v/>
      </c>
      <c r="E2372" s="42"/>
      <c r="F2372" s="42"/>
    </row>
    <row r="2373" customFormat="false" ht="15" hidden="false" customHeight="true" outlineLevel="0" collapsed="false">
      <c r="A2373" s="42"/>
      <c r="B2373" s="42"/>
      <c r="C2373" s="42"/>
      <c r="D2373" s="28" t="str">
        <f aca="false">IF(OR($B2373="",$C2373=""),"",$C2373*IFERROR(INDEX(Setup!$C$47:$C$56,MATCH($B2373,Setup!$A$47:$A$56,0)),IFERROR(INDEX(Setup!$C$60:$C$89,MATCH($B2373,Setup!$A$60:$A$89,0)),"")))</f>
        <v/>
      </c>
      <c r="E2373" s="42"/>
      <c r="F2373" s="42"/>
    </row>
    <row r="2374" customFormat="false" ht="15" hidden="false" customHeight="true" outlineLevel="0" collapsed="false">
      <c r="A2374" s="42"/>
      <c r="B2374" s="42"/>
      <c r="C2374" s="42"/>
      <c r="D2374" s="28" t="str">
        <f aca="false">IF(OR($B2374="",$C2374=""),"",$C2374*IFERROR(INDEX(Setup!$C$47:$C$56,MATCH($B2374,Setup!$A$47:$A$56,0)),IFERROR(INDEX(Setup!$C$60:$C$89,MATCH($B2374,Setup!$A$60:$A$89,0)),"")))</f>
        <v/>
      </c>
      <c r="E2374" s="42"/>
      <c r="F2374" s="42"/>
    </row>
    <row r="2375" customFormat="false" ht="15" hidden="false" customHeight="true" outlineLevel="0" collapsed="false">
      <c r="A2375" s="42"/>
      <c r="B2375" s="42"/>
      <c r="C2375" s="42"/>
      <c r="D2375" s="28" t="str">
        <f aca="false">IF(OR($B2375="",$C2375=""),"",$C2375*IFERROR(INDEX(Setup!$C$47:$C$56,MATCH($B2375,Setup!$A$47:$A$56,0)),IFERROR(INDEX(Setup!$C$60:$C$89,MATCH($B2375,Setup!$A$60:$A$89,0)),"")))</f>
        <v/>
      </c>
      <c r="E2375" s="42"/>
      <c r="F2375" s="42"/>
    </row>
    <row r="2376" customFormat="false" ht="15" hidden="false" customHeight="true" outlineLevel="0" collapsed="false">
      <c r="A2376" s="42"/>
      <c r="B2376" s="42"/>
      <c r="C2376" s="42"/>
      <c r="D2376" s="28" t="str">
        <f aca="false">IF(OR($B2376="",$C2376=""),"",$C2376*IFERROR(INDEX(Setup!$C$47:$C$56,MATCH($B2376,Setup!$A$47:$A$56,0)),IFERROR(INDEX(Setup!$C$60:$C$89,MATCH($B2376,Setup!$A$60:$A$89,0)),"")))</f>
        <v/>
      </c>
      <c r="E2376" s="42"/>
      <c r="F2376" s="42"/>
    </row>
    <row r="2377" customFormat="false" ht="15" hidden="false" customHeight="true" outlineLevel="0" collapsed="false">
      <c r="A2377" s="42"/>
      <c r="B2377" s="42"/>
      <c r="C2377" s="42"/>
      <c r="D2377" s="28" t="str">
        <f aca="false">IF(OR($B2377="",$C2377=""),"",$C2377*IFERROR(INDEX(Setup!$C$47:$C$56,MATCH($B2377,Setup!$A$47:$A$56,0)),IFERROR(INDEX(Setup!$C$60:$C$89,MATCH($B2377,Setup!$A$60:$A$89,0)),"")))</f>
        <v/>
      </c>
      <c r="E2377" s="42"/>
      <c r="F2377" s="42"/>
    </row>
    <row r="2378" customFormat="false" ht="15" hidden="false" customHeight="true" outlineLevel="0" collapsed="false">
      <c r="A2378" s="42"/>
      <c r="B2378" s="42"/>
      <c r="C2378" s="42"/>
      <c r="D2378" s="28" t="str">
        <f aca="false">IF(OR($B2378="",$C2378=""),"",$C2378*IFERROR(INDEX(Setup!$C$47:$C$56,MATCH($B2378,Setup!$A$47:$A$56,0)),IFERROR(INDEX(Setup!$C$60:$C$89,MATCH($B2378,Setup!$A$60:$A$89,0)),"")))</f>
        <v/>
      </c>
      <c r="E2378" s="42"/>
      <c r="F2378" s="42"/>
    </row>
    <row r="2379" customFormat="false" ht="15" hidden="false" customHeight="true" outlineLevel="0" collapsed="false">
      <c r="A2379" s="42"/>
      <c r="B2379" s="42"/>
      <c r="C2379" s="42"/>
      <c r="D2379" s="28" t="str">
        <f aca="false">IF(OR($B2379="",$C2379=""),"",$C2379*IFERROR(INDEX(Setup!$C$47:$C$56,MATCH($B2379,Setup!$A$47:$A$56,0)),IFERROR(INDEX(Setup!$C$60:$C$89,MATCH($B2379,Setup!$A$60:$A$89,0)),"")))</f>
        <v/>
      </c>
      <c r="E2379" s="42"/>
      <c r="F2379" s="42"/>
    </row>
    <row r="2380" customFormat="false" ht="15" hidden="false" customHeight="true" outlineLevel="0" collapsed="false">
      <c r="A2380" s="42"/>
      <c r="B2380" s="42"/>
      <c r="C2380" s="42"/>
      <c r="D2380" s="28" t="str">
        <f aca="false">IF(OR($B2380="",$C2380=""),"",$C2380*IFERROR(INDEX(Setup!$C$47:$C$56,MATCH($B2380,Setup!$A$47:$A$56,0)),IFERROR(INDEX(Setup!$C$60:$C$89,MATCH($B2380,Setup!$A$60:$A$89,0)),"")))</f>
        <v/>
      </c>
      <c r="E2380" s="42"/>
      <c r="F2380" s="42"/>
    </row>
    <row r="2381" customFormat="false" ht="15" hidden="false" customHeight="true" outlineLevel="0" collapsed="false">
      <c r="A2381" s="42"/>
      <c r="B2381" s="42"/>
      <c r="C2381" s="42"/>
      <c r="D2381" s="28" t="str">
        <f aca="false">IF(OR($B2381="",$C2381=""),"",$C2381*IFERROR(INDEX(Setup!$C$47:$C$56,MATCH($B2381,Setup!$A$47:$A$56,0)),IFERROR(INDEX(Setup!$C$60:$C$89,MATCH($B2381,Setup!$A$60:$A$89,0)),"")))</f>
        <v/>
      </c>
      <c r="E2381" s="42"/>
      <c r="F2381" s="42"/>
    </row>
    <row r="2382" customFormat="false" ht="15" hidden="false" customHeight="true" outlineLevel="0" collapsed="false">
      <c r="A2382" s="42"/>
      <c r="B2382" s="42"/>
      <c r="C2382" s="42"/>
      <c r="D2382" s="28" t="str">
        <f aca="false">IF(OR($B2382="",$C2382=""),"",$C2382*IFERROR(INDEX(Setup!$C$47:$C$56,MATCH($B2382,Setup!$A$47:$A$56,0)),IFERROR(INDEX(Setup!$C$60:$C$89,MATCH($B2382,Setup!$A$60:$A$89,0)),"")))</f>
        <v/>
      </c>
      <c r="E2382" s="42"/>
      <c r="F2382" s="42"/>
    </row>
    <row r="2383" customFormat="false" ht="15" hidden="false" customHeight="true" outlineLevel="0" collapsed="false">
      <c r="A2383" s="42"/>
      <c r="B2383" s="42"/>
      <c r="C2383" s="42"/>
      <c r="D2383" s="28" t="str">
        <f aca="false">IF(OR($B2383="",$C2383=""),"",$C2383*IFERROR(INDEX(Setup!$C$47:$C$56,MATCH($B2383,Setup!$A$47:$A$56,0)),IFERROR(INDEX(Setup!$C$60:$C$89,MATCH($B2383,Setup!$A$60:$A$89,0)),"")))</f>
        <v/>
      </c>
      <c r="E2383" s="42"/>
      <c r="F2383" s="42"/>
    </row>
    <row r="2384" customFormat="false" ht="15" hidden="false" customHeight="true" outlineLevel="0" collapsed="false">
      <c r="A2384" s="42"/>
      <c r="B2384" s="42"/>
      <c r="C2384" s="42"/>
      <c r="D2384" s="28" t="str">
        <f aca="false">IF(OR($B2384="",$C2384=""),"",$C2384*IFERROR(INDEX(Setup!$C$47:$C$56,MATCH($B2384,Setup!$A$47:$A$56,0)),IFERROR(INDEX(Setup!$C$60:$C$89,MATCH($B2384,Setup!$A$60:$A$89,0)),"")))</f>
        <v/>
      </c>
      <c r="E2384" s="42"/>
      <c r="F2384" s="42"/>
    </row>
    <row r="2385" customFormat="false" ht="15" hidden="false" customHeight="true" outlineLevel="0" collapsed="false">
      <c r="A2385" s="42"/>
      <c r="B2385" s="42"/>
      <c r="C2385" s="42"/>
      <c r="D2385" s="28" t="str">
        <f aca="false">IF(OR($B2385="",$C2385=""),"",$C2385*IFERROR(INDEX(Setup!$C$47:$C$56,MATCH($B2385,Setup!$A$47:$A$56,0)),IFERROR(INDEX(Setup!$C$60:$C$89,MATCH($B2385,Setup!$A$60:$A$89,0)),"")))</f>
        <v/>
      </c>
      <c r="E2385" s="42"/>
      <c r="F2385" s="42"/>
    </row>
    <row r="2386" customFormat="false" ht="15" hidden="false" customHeight="true" outlineLevel="0" collapsed="false">
      <c r="A2386" s="42"/>
      <c r="B2386" s="42"/>
      <c r="C2386" s="42"/>
      <c r="D2386" s="28" t="str">
        <f aca="false">IF(OR($B2386="",$C2386=""),"",$C2386*IFERROR(INDEX(Setup!$C$47:$C$56,MATCH($B2386,Setup!$A$47:$A$56,0)),IFERROR(INDEX(Setup!$C$60:$C$89,MATCH($B2386,Setup!$A$60:$A$89,0)),"")))</f>
        <v/>
      </c>
      <c r="E2386" s="42"/>
      <c r="F2386" s="42"/>
    </row>
    <row r="2387" customFormat="false" ht="15" hidden="false" customHeight="true" outlineLevel="0" collapsed="false">
      <c r="A2387" s="42"/>
      <c r="B2387" s="42"/>
      <c r="C2387" s="42"/>
      <c r="D2387" s="28" t="str">
        <f aca="false">IF(OR($B2387="",$C2387=""),"",$C2387*IFERROR(INDEX(Setup!$C$47:$C$56,MATCH($B2387,Setup!$A$47:$A$56,0)),IFERROR(INDEX(Setup!$C$60:$C$89,MATCH($B2387,Setup!$A$60:$A$89,0)),"")))</f>
        <v/>
      </c>
      <c r="E2387" s="42"/>
      <c r="F2387" s="42"/>
    </row>
    <row r="2388" customFormat="false" ht="15" hidden="false" customHeight="true" outlineLevel="0" collapsed="false">
      <c r="A2388" s="42"/>
      <c r="B2388" s="42"/>
      <c r="C2388" s="42"/>
      <c r="D2388" s="28" t="str">
        <f aca="false">IF(OR($B2388="",$C2388=""),"",$C2388*IFERROR(INDEX(Setup!$C$47:$C$56,MATCH($B2388,Setup!$A$47:$A$56,0)),IFERROR(INDEX(Setup!$C$60:$C$89,MATCH($B2388,Setup!$A$60:$A$89,0)),"")))</f>
        <v/>
      </c>
      <c r="E2388" s="42"/>
      <c r="F2388" s="42"/>
    </row>
    <row r="2389" customFormat="false" ht="15" hidden="false" customHeight="true" outlineLevel="0" collapsed="false">
      <c r="A2389" s="42"/>
      <c r="B2389" s="42"/>
      <c r="C2389" s="42"/>
      <c r="D2389" s="28" t="str">
        <f aca="false">IF(OR($B2389="",$C2389=""),"",$C2389*IFERROR(INDEX(Setup!$C$47:$C$56,MATCH($B2389,Setup!$A$47:$A$56,0)),IFERROR(INDEX(Setup!$C$60:$C$89,MATCH($B2389,Setup!$A$60:$A$89,0)),"")))</f>
        <v/>
      </c>
      <c r="E2389" s="42"/>
      <c r="F2389" s="42"/>
    </row>
    <row r="2390" customFormat="false" ht="15" hidden="false" customHeight="true" outlineLevel="0" collapsed="false">
      <c r="A2390" s="42"/>
      <c r="B2390" s="42"/>
      <c r="C2390" s="42"/>
      <c r="D2390" s="28" t="str">
        <f aca="false">IF(OR($B2390="",$C2390=""),"",$C2390*IFERROR(INDEX(Setup!$C$47:$C$56,MATCH($B2390,Setup!$A$47:$A$56,0)),IFERROR(INDEX(Setup!$C$60:$C$89,MATCH($B2390,Setup!$A$60:$A$89,0)),"")))</f>
        <v/>
      </c>
      <c r="E2390" s="42"/>
      <c r="F2390" s="42"/>
    </row>
    <row r="2391" customFormat="false" ht="15" hidden="false" customHeight="true" outlineLevel="0" collapsed="false">
      <c r="A2391" s="42"/>
      <c r="B2391" s="42"/>
      <c r="C2391" s="42"/>
      <c r="D2391" s="28" t="str">
        <f aca="false">IF(OR($B2391="",$C2391=""),"",$C2391*IFERROR(INDEX(Setup!$C$47:$C$56,MATCH($B2391,Setup!$A$47:$A$56,0)),IFERROR(INDEX(Setup!$C$60:$C$89,MATCH($B2391,Setup!$A$60:$A$89,0)),"")))</f>
        <v/>
      </c>
      <c r="E2391" s="42"/>
      <c r="F2391" s="42"/>
    </row>
    <row r="2392" customFormat="false" ht="15" hidden="false" customHeight="true" outlineLevel="0" collapsed="false">
      <c r="A2392" s="42"/>
      <c r="B2392" s="42"/>
      <c r="C2392" s="42"/>
      <c r="D2392" s="28" t="str">
        <f aca="false">IF(OR($B2392="",$C2392=""),"",$C2392*IFERROR(INDEX(Setup!$C$47:$C$56,MATCH($B2392,Setup!$A$47:$A$56,0)),IFERROR(INDEX(Setup!$C$60:$C$89,MATCH($B2392,Setup!$A$60:$A$89,0)),"")))</f>
        <v/>
      </c>
      <c r="E2392" s="42"/>
      <c r="F2392" s="42"/>
    </row>
    <row r="2393" customFormat="false" ht="15" hidden="false" customHeight="true" outlineLevel="0" collapsed="false">
      <c r="A2393" s="42"/>
      <c r="B2393" s="42"/>
      <c r="C2393" s="42"/>
      <c r="D2393" s="28" t="str">
        <f aca="false">IF(OR($B2393="",$C2393=""),"",$C2393*IFERROR(INDEX(Setup!$C$47:$C$56,MATCH($B2393,Setup!$A$47:$A$56,0)),IFERROR(INDEX(Setup!$C$60:$C$89,MATCH($B2393,Setup!$A$60:$A$89,0)),"")))</f>
        <v/>
      </c>
      <c r="E2393" s="42"/>
      <c r="F2393" s="42"/>
    </row>
    <row r="2394" customFormat="false" ht="15" hidden="false" customHeight="true" outlineLevel="0" collapsed="false">
      <c r="A2394" s="42"/>
      <c r="B2394" s="42"/>
      <c r="C2394" s="42"/>
      <c r="D2394" s="28" t="str">
        <f aca="false">IF(OR($B2394="",$C2394=""),"",$C2394*IFERROR(INDEX(Setup!$C$47:$C$56,MATCH($B2394,Setup!$A$47:$A$56,0)),IFERROR(INDEX(Setup!$C$60:$C$89,MATCH($B2394,Setup!$A$60:$A$89,0)),"")))</f>
        <v/>
      </c>
      <c r="E2394" s="42"/>
      <c r="F2394" s="42"/>
    </row>
    <row r="2395" customFormat="false" ht="15" hidden="false" customHeight="true" outlineLevel="0" collapsed="false">
      <c r="A2395" s="42"/>
      <c r="B2395" s="42"/>
      <c r="C2395" s="42"/>
      <c r="D2395" s="28" t="str">
        <f aca="false">IF(OR($B2395="",$C2395=""),"",$C2395*IFERROR(INDEX(Setup!$C$47:$C$56,MATCH($B2395,Setup!$A$47:$A$56,0)),IFERROR(INDEX(Setup!$C$60:$C$89,MATCH($B2395,Setup!$A$60:$A$89,0)),"")))</f>
        <v/>
      </c>
      <c r="E2395" s="42"/>
      <c r="F2395" s="42"/>
    </row>
    <row r="2396" customFormat="false" ht="15" hidden="false" customHeight="true" outlineLevel="0" collapsed="false">
      <c r="A2396" s="42"/>
      <c r="B2396" s="42"/>
      <c r="C2396" s="42"/>
      <c r="D2396" s="28" t="str">
        <f aca="false">IF(OR($B2396="",$C2396=""),"",$C2396*IFERROR(INDEX(Setup!$C$47:$C$56,MATCH($B2396,Setup!$A$47:$A$56,0)),IFERROR(INDEX(Setup!$C$60:$C$89,MATCH($B2396,Setup!$A$60:$A$89,0)),"")))</f>
        <v/>
      </c>
      <c r="E2396" s="42"/>
      <c r="F2396" s="42"/>
    </row>
    <row r="2397" customFormat="false" ht="15" hidden="false" customHeight="true" outlineLevel="0" collapsed="false">
      <c r="A2397" s="42"/>
      <c r="B2397" s="42"/>
      <c r="C2397" s="42"/>
      <c r="D2397" s="28" t="str">
        <f aca="false">IF(OR($B2397="",$C2397=""),"",$C2397*IFERROR(INDEX(Setup!$C$47:$C$56,MATCH($B2397,Setup!$A$47:$A$56,0)),IFERROR(INDEX(Setup!$C$60:$C$89,MATCH($B2397,Setup!$A$60:$A$89,0)),"")))</f>
        <v/>
      </c>
      <c r="E2397" s="42"/>
      <c r="F2397" s="42"/>
    </row>
    <row r="2398" customFormat="false" ht="15" hidden="false" customHeight="true" outlineLevel="0" collapsed="false">
      <c r="A2398" s="42"/>
      <c r="B2398" s="42"/>
      <c r="C2398" s="42"/>
      <c r="D2398" s="28" t="str">
        <f aca="false">IF(OR($B2398="",$C2398=""),"",$C2398*IFERROR(INDEX(Setup!$C$47:$C$56,MATCH($B2398,Setup!$A$47:$A$56,0)),IFERROR(INDEX(Setup!$C$60:$C$89,MATCH($B2398,Setup!$A$60:$A$89,0)),"")))</f>
        <v/>
      </c>
      <c r="E2398" s="42"/>
      <c r="F2398" s="42"/>
    </row>
    <row r="2399" customFormat="false" ht="15" hidden="false" customHeight="true" outlineLevel="0" collapsed="false">
      <c r="A2399" s="42"/>
      <c r="B2399" s="42"/>
      <c r="C2399" s="42"/>
      <c r="D2399" s="28" t="str">
        <f aca="false">IF(OR($B2399="",$C2399=""),"",$C2399*IFERROR(INDEX(Setup!$C$47:$C$56,MATCH($B2399,Setup!$A$47:$A$56,0)),IFERROR(INDEX(Setup!$C$60:$C$89,MATCH($B2399,Setup!$A$60:$A$89,0)),"")))</f>
        <v/>
      </c>
      <c r="E2399" s="42"/>
      <c r="F2399" s="42"/>
    </row>
    <row r="2400" customFormat="false" ht="15" hidden="false" customHeight="true" outlineLevel="0" collapsed="false">
      <c r="A2400" s="42"/>
      <c r="B2400" s="42"/>
      <c r="C2400" s="42"/>
      <c r="D2400" s="28" t="str">
        <f aca="false">IF(OR($B2400="",$C2400=""),"",$C2400*IFERROR(INDEX(Setup!$C$47:$C$56,MATCH($B2400,Setup!$A$47:$A$56,0)),IFERROR(INDEX(Setup!$C$60:$C$89,MATCH($B2400,Setup!$A$60:$A$89,0)),"")))</f>
        <v/>
      </c>
      <c r="E2400" s="42"/>
      <c r="F2400" s="42"/>
    </row>
    <row r="2401" customFormat="false" ht="15" hidden="false" customHeight="true" outlineLevel="0" collapsed="false">
      <c r="A2401" s="42"/>
      <c r="B2401" s="42"/>
      <c r="C2401" s="42"/>
      <c r="D2401" s="28" t="str">
        <f aca="false">IF(OR($B2401="",$C2401=""),"",$C2401*IFERROR(INDEX(Setup!$C$47:$C$56,MATCH($B2401,Setup!$A$47:$A$56,0)),IFERROR(INDEX(Setup!$C$60:$C$89,MATCH($B2401,Setup!$A$60:$A$89,0)),"")))</f>
        <v/>
      </c>
      <c r="E2401" s="42"/>
      <c r="F2401" s="42"/>
    </row>
    <row r="2402" customFormat="false" ht="15" hidden="false" customHeight="true" outlineLevel="0" collapsed="false">
      <c r="A2402" s="42"/>
      <c r="B2402" s="42"/>
      <c r="C2402" s="42"/>
      <c r="D2402" s="28" t="str">
        <f aca="false">IF(OR($B2402="",$C2402=""),"",$C2402*IFERROR(INDEX(Setup!$C$47:$C$56,MATCH($B2402,Setup!$A$47:$A$56,0)),IFERROR(INDEX(Setup!$C$60:$C$89,MATCH($B2402,Setup!$A$60:$A$89,0)),"")))</f>
        <v/>
      </c>
      <c r="E2402" s="42"/>
      <c r="F2402" s="42"/>
    </row>
    <row r="2403" customFormat="false" ht="15" hidden="false" customHeight="true" outlineLevel="0" collapsed="false">
      <c r="A2403" s="42"/>
      <c r="B2403" s="42"/>
      <c r="C2403" s="42"/>
      <c r="D2403" s="28" t="str">
        <f aca="false">IF(OR($B2403="",$C2403=""),"",$C2403*IFERROR(INDEX(Setup!$C$47:$C$56,MATCH($B2403,Setup!$A$47:$A$56,0)),IFERROR(INDEX(Setup!$C$60:$C$89,MATCH($B2403,Setup!$A$60:$A$89,0)),"")))</f>
        <v/>
      </c>
      <c r="E2403" s="42"/>
      <c r="F2403" s="42"/>
    </row>
    <row r="2404" customFormat="false" ht="15" hidden="false" customHeight="true" outlineLevel="0" collapsed="false">
      <c r="A2404" s="42"/>
      <c r="B2404" s="42"/>
      <c r="C2404" s="42"/>
      <c r="D2404" s="28" t="str">
        <f aca="false">IF(OR($B2404="",$C2404=""),"",$C2404*IFERROR(INDEX(Setup!$C$47:$C$56,MATCH($B2404,Setup!$A$47:$A$56,0)),IFERROR(INDEX(Setup!$C$60:$C$89,MATCH($B2404,Setup!$A$60:$A$89,0)),"")))</f>
        <v/>
      </c>
      <c r="E2404" s="42"/>
      <c r="F2404" s="42"/>
    </row>
    <row r="2405" customFormat="false" ht="15" hidden="false" customHeight="true" outlineLevel="0" collapsed="false">
      <c r="A2405" s="42"/>
      <c r="B2405" s="42"/>
      <c r="C2405" s="42"/>
      <c r="D2405" s="28" t="str">
        <f aca="false">IF(OR($B2405="",$C2405=""),"",$C2405*IFERROR(INDEX(Setup!$C$47:$C$56,MATCH($B2405,Setup!$A$47:$A$56,0)),IFERROR(INDEX(Setup!$C$60:$C$89,MATCH($B2405,Setup!$A$60:$A$89,0)),"")))</f>
        <v/>
      </c>
      <c r="E2405" s="42"/>
      <c r="F2405" s="42"/>
    </row>
    <row r="2406" customFormat="false" ht="15" hidden="false" customHeight="true" outlineLevel="0" collapsed="false">
      <c r="A2406" s="42"/>
      <c r="B2406" s="42"/>
      <c r="C2406" s="42"/>
      <c r="D2406" s="28" t="str">
        <f aca="false">IF(OR($B2406="",$C2406=""),"",$C2406*IFERROR(INDEX(Setup!$C$47:$C$56,MATCH($B2406,Setup!$A$47:$A$56,0)),IFERROR(INDEX(Setup!$C$60:$C$89,MATCH($B2406,Setup!$A$60:$A$89,0)),"")))</f>
        <v/>
      </c>
      <c r="E2406" s="42"/>
      <c r="F2406" s="42"/>
    </row>
    <row r="2407" customFormat="false" ht="15" hidden="false" customHeight="true" outlineLevel="0" collapsed="false">
      <c r="A2407" s="42"/>
      <c r="B2407" s="42"/>
      <c r="C2407" s="42"/>
      <c r="D2407" s="28" t="str">
        <f aca="false">IF(OR($B2407="",$C2407=""),"",$C2407*IFERROR(INDEX(Setup!$C$47:$C$56,MATCH($B2407,Setup!$A$47:$A$56,0)),IFERROR(INDEX(Setup!$C$60:$C$89,MATCH($B2407,Setup!$A$60:$A$89,0)),"")))</f>
        <v/>
      </c>
      <c r="E2407" s="42"/>
      <c r="F2407" s="42"/>
    </row>
    <row r="2408" customFormat="false" ht="15" hidden="false" customHeight="true" outlineLevel="0" collapsed="false">
      <c r="A2408" s="42"/>
      <c r="B2408" s="42"/>
      <c r="C2408" s="42"/>
      <c r="D2408" s="28" t="str">
        <f aca="false">IF(OR($B2408="",$C2408=""),"",$C2408*IFERROR(INDEX(Setup!$C$47:$C$56,MATCH($B2408,Setup!$A$47:$A$56,0)),IFERROR(INDEX(Setup!$C$60:$C$89,MATCH($B2408,Setup!$A$60:$A$89,0)),"")))</f>
        <v/>
      </c>
      <c r="E2408" s="42"/>
      <c r="F2408" s="42"/>
    </row>
    <row r="2409" customFormat="false" ht="15" hidden="false" customHeight="true" outlineLevel="0" collapsed="false">
      <c r="A2409" s="42"/>
      <c r="B2409" s="42"/>
      <c r="C2409" s="42"/>
      <c r="D2409" s="28" t="str">
        <f aca="false">IF(OR($B2409="",$C2409=""),"",$C2409*IFERROR(INDEX(Setup!$C$47:$C$56,MATCH($B2409,Setup!$A$47:$A$56,0)),IFERROR(INDEX(Setup!$C$60:$C$89,MATCH($B2409,Setup!$A$60:$A$89,0)),"")))</f>
        <v/>
      </c>
      <c r="E2409" s="42"/>
      <c r="F2409" s="42"/>
    </row>
    <row r="2410" customFormat="false" ht="15" hidden="false" customHeight="true" outlineLevel="0" collapsed="false">
      <c r="A2410" s="42"/>
      <c r="B2410" s="42"/>
      <c r="C2410" s="42"/>
      <c r="D2410" s="28" t="str">
        <f aca="false">IF(OR($B2410="",$C2410=""),"",$C2410*IFERROR(INDEX(Setup!$C$47:$C$56,MATCH($B2410,Setup!$A$47:$A$56,0)),IFERROR(INDEX(Setup!$C$60:$C$89,MATCH($B2410,Setup!$A$60:$A$89,0)),"")))</f>
        <v/>
      </c>
      <c r="E2410" s="42"/>
      <c r="F2410" s="42"/>
    </row>
    <row r="2411" customFormat="false" ht="15" hidden="false" customHeight="true" outlineLevel="0" collapsed="false">
      <c r="A2411" s="42"/>
      <c r="B2411" s="42"/>
      <c r="C2411" s="42"/>
      <c r="D2411" s="28" t="str">
        <f aca="false">IF(OR($B2411="",$C2411=""),"",$C2411*IFERROR(INDEX(Setup!$C$47:$C$56,MATCH($B2411,Setup!$A$47:$A$56,0)),IFERROR(INDEX(Setup!$C$60:$C$89,MATCH($B2411,Setup!$A$60:$A$89,0)),"")))</f>
        <v/>
      </c>
      <c r="E2411" s="42"/>
      <c r="F2411" s="42"/>
    </row>
    <row r="2412" customFormat="false" ht="15" hidden="false" customHeight="true" outlineLevel="0" collapsed="false">
      <c r="A2412" s="42"/>
      <c r="B2412" s="42"/>
      <c r="C2412" s="42"/>
      <c r="D2412" s="28" t="str">
        <f aca="false">IF(OR($B2412="",$C2412=""),"",$C2412*IFERROR(INDEX(Setup!$C$47:$C$56,MATCH($B2412,Setup!$A$47:$A$56,0)),IFERROR(INDEX(Setup!$C$60:$C$89,MATCH($B2412,Setup!$A$60:$A$89,0)),"")))</f>
        <v/>
      </c>
      <c r="E2412" s="42"/>
      <c r="F2412" s="42"/>
    </row>
    <row r="2413" customFormat="false" ht="15" hidden="false" customHeight="true" outlineLevel="0" collapsed="false">
      <c r="A2413" s="42"/>
      <c r="B2413" s="42"/>
      <c r="C2413" s="42"/>
      <c r="D2413" s="28" t="str">
        <f aca="false">IF(OR($B2413="",$C2413=""),"",$C2413*IFERROR(INDEX(Setup!$C$47:$C$56,MATCH($B2413,Setup!$A$47:$A$56,0)),IFERROR(INDEX(Setup!$C$60:$C$89,MATCH($B2413,Setup!$A$60:$A$89,0)),"")))</f>
        <v/>
      </c>
      <c r="E2413" s="42"/>
      <c r="F2413" s="42"/>
    </row>
    <row r="2414" customFormat="false" ht="15" hidden="false" customHeight="true" outlineLevel="0" collapsed="false">
      <c r="A2414" s="42"/>
      <c r="B2414" s="42"/>
      <c r="C2414" s="42"/>
      <c r="D2414" s="28" t="str">
        <f aca="false">IF(OR($B2414="",$C2414=""),"",$C2414*IFERROR(INDEX(Setup!$C$47:$C$56,MATCH($B2414,Setup!$A$47:$A$56,0)),IFERROR(INDEX(Setup!$C$60:$C$89,MATCH($B2414,Setup!$A$60:$A$89,0)),"")))</f>
        <v/>
      </c>
      <c r="E2414" s="42"/>
      <c r="F2414" s="42"/>
    </row>
    <row r="2415" customFormat="false" ht="15" hidden="false" customHeight="true" outlineLevel="0" collapsed="false">
      <c r="A2415" s="42"/>
      <c r="B2415" s="42"/>
      <c r="C2415" s="42"/>
      <c r="D2415" s="28" t="str">
        <f aca="false">IF(OR($B2415="",$C2415=""),"",$C2415*IFERROR(INDEX(Setup!$C$47:$C$56,MATCH($B2415,Setup!$A$47:$A$56,0)),IFERROR(INDEX(Setup!$C$60:$C$89,MATCH($B2415,Setup!$A$60:$A$89,0)),"")))</f>
        <v/>
      </c>
      <c r="E2415" s="42"/>
      <c r="F2415" s="42"/>
    </row>
    <row r="2416" customFormat="false" ht="15" hidden="false" customHeight="true" outlineLevel="0" collapsed="false">
      <c r="A2416" s="42"/>
      <c r="B2416" s="42"/>
      <c r="C2416" s="42"/>
      <c r="D2416" s="28" t="str">
        <f aca="false">IF(OR($B2416="",$C2416=""),"",$C2416*IFERROR(INDEX(Setup!$C$47:$C$56,MATCH($B2416,Setup!$A$47:$A$56,0)),IFERROR(INDEX(Setup!$C$60:$C$89,MATCH($B2416,Setup!$A$60:$A$89,0)),"")))</f>
        <v/>
      </c>
      <c r="E2416" s="42"/>
      <c r="F2416" s="42"/>
    </row>
    <row r="2417" customFormat="false" ht="15" hidden="false" customHeight="true" outlineLevel="0" collapsed="false">
      <c r="A2417" s="42"/>
      <c r="B2417" s="42"/>
      <c r="C2417" s="42"/>
      <c r="D2417" s="28" t="str">
        <f aca="false">IF(OR($B2417="",$C2417=""),"",$C2417*IFERROR(INDEX(Setup!$C$47:$C$56,MATCH($B2417,Setup!$A$47:$A$56,0)),IFERROR(INDEX(Setup!$C$60:$C$89,MATCH($B2417,Setup!$A$60:$A$89,0)),"")))</f>
        <v/>
      </c>
      <c r="E2417" s="42"/>
      <c r="F2417" s="42"/>
    </row>
    <row r="2418" customFormat="false" ht="15" hidden="false" customHeight="true" outlineLevel="0" collapsed="false">
      <c r="A2418" s="42"/>
      <c r="B2418" s="42"/>
      <c r="C2418" s="42"/>
      <c r="D2418" s="28" t="str">
        <f aca="false">IF(OR($B2418="",$C2418=""),"",$C2418*IFERROR(INDEX(Setup!$C$47:$C$56,MATCH($B2418,Setup!$A$47:$A$56,0)),IFERROR(INDEX(Setup!$C$60:$C$89,MATCH($B2418,Setup!$A$60:$A$89,0)),"")))</f>
        <v/>
      </c>
      <c r="E2418" s="42"/>
      <c r="F2418" s="42"/>
    </row>
    <row r="2419" customFormat="false" ht="15" hidden="false" customHeight="true" outlineLevel="0" collapsed="false">
      <c r="A2419" s="42"/>
      <c r="B2419" s="42"/>
      <c r="C2419" s="42"/>
      <c r="D2419" s="28" t="str">
        <f aca="false">IF(OR($B2419="",$C2419=""),"",$C2419*IFERROR(INDEX(Setup!$C$47:$C$56,MATCH($B2419,Setup!$A$47:$A$56,0)),IFERROR(INDEX(Setup!$C$60:$C$89,MATCH($B2419,Setup!$A$60:$A$89,0)),"")))</f>
        <v/>
      </c>
      <c r="E2419" s="42"/>
      <c r="F2419" s="42"/>
    </row>
    <row r="2420" customFormat="false" ht="15" hidden="false" customHeight="true" outlineLevel="0" collapsed="false">
      <c r="A2420" s="42"/>
      <c r="B2420" s="42"/>
      <c r="C2420" s="42"/>
      <c r="D2420" s="28" t="str">
        <f aca="false">IF(OR($B2420="",$C2420=""),"",$C2420*IFERROR(INDEX(Setup!$C$47:$C$56,MATCH($B2420,Setup!$A$47:$A$56,0)),IFERROR(INDEX(Setup!$C$60:$C$89,MATCH($B2420,Setup!$A$60:$A$89,0)),"")))</f>
        <v/>
      </c>
      <c r="E2420" s="42"/>
      <c r="F2420" s="42"/>
    </row>
    <row r="2421" customFormat="false" ht="15" hidden="false" customHeight="true" outlineLevel="0" collapsed="false">
      <c r="A2421" s="42"/>
      <c r="B2421" s="42"/>
      <c r="C2421" s="42"/>
      <c r="D2421" s="28" t="str">
        <f aca="false">IF(OR($B2421="",$C2421=""),"",$C2421*IFERROR(INDEX(Setup!$C$47:$C$56,MATCH($B2421,Setup!$A$47:$A$56,0)),IFERROR(INDEX(Setup!$C$60:$C$89,MATCH($B2421,Setup!$A$60:$A$89,0)),"")))</f>
        <v/>
      </c>
      <c r="E2421" s="42"/>
      <c r="F2421" s="42"/>
    </row>
    <row r="2422" customFormat="false" ht="15" hidden="false" customHeight="true" outlineLevel="0" collapsed="false">
      <c r="A2422" s="42"/>
      <c r="B2422" s="42"/>
      <c r="C2422" s="42"/>
      <c r="D2422" s="28" t="str">
        <f aca="false">IF(OR($B2422="",$C2422=""),"",$C2422*IFERROR(INDEX(Setup!$C$47:$C$56,MATCH($B2422,Setup!$A$47:$A$56,0)),IFERROR(INDEX(Setup!$C$60:$C$89,MATCH($B2422,Setup!$A$60:$A$89,0)),"")))</f>
        <v/>
      </c>
      <c r="E2422" s="42"/>
      <c r="F2422" s="42"/>
    </row>
    <row r="2423" customFormat="false" ht="15" hidden="false" customHeight="true" outlineLevel="0" collapsed="false">
      <c r="A2423" s="42"/>
      <c r="B2423" s="42"/>
      <c r="C2423" s="42"/>
      <c r="D2423" s="28" t="str">
        <f aca="false">IF(OR($B2423="",$C2423=""),"",$C2423*IFERROR(INDEX(Setup!$C$47:$C$56,MATCH($B2423,Setup!$A$47:$A$56,0)),IFERROR(INDEX(Setup!$C$60:$C$89,MATCH($B2423,Setup!$A$60:$A$89,0)),"")))</f>
        <v/>
      </c>
      <c r="E2423" s="42"/>
      <c r="F2423" s="42"/>
    </row>
    <row r="2424" customFormat="false" ht="15" hidden="false" customHeight="true" outlineLevel="0" collapsed="false">
      <c r="A2424" s="42"/>
      <c r="B2424" s="42"/>
      <c r="C2424" s="42"/>
      <c r="D2424" s="28" t="str">
        <f aca="false">IF(OR($B2424="",$C2424=""),"",$C2424*IFERROR(INDEX(Setup!$C$47:$C$56,MATCH($B2424,Setup!$A$47:$A$56,0)),IFERROR(INDEX(Setup!$C$60:$C$89,MATCH($B2424,Setup!$A$60:$A$89,0)),"")))</f>
        <v/>
      </c>
      <c r="E2424" s="42"/>
      <c r="F2424" s="42"/>
    </row>
    <row r="2425" customFormat="false" ht="15" hidden="false" customHeight="true" outlineLevel="0" collapsed="false">
      <c r="A2425" s="42"/>
      <c r="B2425" s="42"/>
      <c r="C2425" s="42"/>
      <c r="D2425" s="28" t="str">
        <f aca="false">IF(OR($B2425="",$C2425=""),"",$C2425*IFERROR(INDEX(Setup!$C$47:$C$56,MATCH($B2425,Setup!$A$47:$A$56,0)),IFERROR(INDEX(Setup!$C$60:$C$89,MATCH($B2425,Setup!$A$60:$A$89,0)),"")))</f>
        <v/>
      </c>
      <c r="E2425" s="42"/>
      <c r="F2425" s="42"/>
    </row>
    <row r="2426" customFormat="false" ht="15" hidden="false" customHeight="true" outlineLevel="0" collapsed="false">
      <c r="A2426" s="42"/>
      <c r="B2426" s="42"/>
      <c r="C2426" s="42"/>
      <c r="D2426" s="28" t="str">
        <f aca="false">IF(OR($B2426="",$C2426=""),"",$C2426*IFERROR(INDEX(Setup!$C$47:$C$56,MATCH($B2426,Setup!$A$47:$A$56,0)),IFERROR(INDEX(Setup!$C$60:$C$89,MATCH($B2426,Setup!$A$60:$A$89,0)),"")))</f>
        <v/>
      </c>
      <c r="E2426" s="42"/>
      <c r="F2426" s="42"/>
    </row>
    <row r="2427" customFormat="false" ht="15" hidden="false" customHeight="true" outlineLevel="0" collapsed="false">
      <c r="A2427" s="42"/>
      <c r="B2427" s="42"/>
      <c r="C2427" s="42"/>
      <c r="D2427" s="28" t="str">
        <f aca="false">IF(OR($B2427="",$C2427=""),"",$C2427*IFERROR(INDEX(Setup!$C$47:$C$56,MATCH($B2427,Setup!$A$47:$A$56,0)),IFERROR(INDEX(Setup!$C$60:$C$89,MATCH($B2427,Setup!$A$60:$A$89,0)),"")))</f>
        <v/>
      </c>
      <c r="E2427" s="42"/>
      <c r="F2427" s="42"/>
    </row>
    <row r="2428" customFormat="false" ht="15" hidden="false" customHeight="true" outlineLevel="0" collapsed="false">
      <c r="A2428" s="42"/>
      <c r="B2428" s="42"/>
      <c r="C2428" s="42"/>
      <c r="D2428" s="28" t="str">
        <f aca="false">IF(OR($B2428="",$C2428=""),"",$C2428*IFERROR(INDEX(Setup!$C$47:$C$56,MATCH($B2428,Setup!$A$47:$A$56,0)),IFERROR(INDEX(Setup!$C$60:$C$89,MATCH($B2428,Setup!$A$60:$A$89,0)),"")))</f>
        <v/>
      </c>
      <c r="E2428" s="42"/>
      <c r="F2428" s="42"/>
    </row>
    <row r="2429" customFormat="false" ht="15" hidden="false" customHeight="true" outlineLevel="0" collapsed="false">
      <c r="A2429" s="42"/>
      <c r="B2429" s="42"/>
      <c r="C2429" s="42"/>
      <c r="D2429" s="28" t="str">
        <f aca="false">IF(OR($B2429="",$C2429=""),"",$C2429*IFERROR(INDEX(Setup!$C$47:$C$56,MATCH($B2429,Setup!$A$47:$A$56,0)),IFERROR(INDEX(Setup!$C$60:$C$89,MATCH($B2429,Setup!$A$60:$A$89,0)),"")))</f>
        <v/>
      </c>
      <c r="E2429" s="42"/>
      <c r="F2429" s="42"/>
    </row>
    <row r="2430" customFormat="false" ht="15" hidden="false" customHeight="true" outlineLevel="0" collapsed="false">
      <c r="A2430" s="42"/>
      <c r="B2430" s="42"/>
      <c r="C2430" s="42"/>
      <c r="D2430" s="28" t="str">
        <f aca="false">IF(OR($B2430="",$C2430=""),"",$C2430*IFERROR(INDEX(Setup!$C$47:$C$56,MATCH($B2430,Setup!$A$47:$A$56,0)),IFERROR(INDEX(Setup!$C$60:$C$89,MATCH($B2430,Setup!$A$60:$A$89,0)),"")))</f>
        <v/>
      </c>
      <c r="E2430" s="42"/>
      <c r="F2430" s="42"/>
    </row>
    <row r="2431" customFormat="false" ht="15" hidden="false" customHeight="true" outlineLevel="0" collapsed="false">
      <c r="A2431" s="42"/>
      <c r="B2431" s="42"/>
      <c r="C2431" s="42"/>
      <c r="D2431" s="28" t="str">
        <f aca="false">IF(OR($B2431="",$C2431=""),"",$C2431*IFERROR(INDEX(Setup!$C$47:$C$56,MATCH($B2431,Setup!$A$47:$A$56,0)),IFERROR(INDEX(Setup!$C$60:$C$89,MATCH($B2431,Setup!$A$60:$A$89,0)),"")))</f>
        <v/>
      </c>
      <c r="E2431" s="42"/>
      <c r="F2431" s="42"/>
    </row>
    <row r="2432" customFormat="false" ht="15" hidden="false" customHeight="true" outlineLevel="0" collapsed="false">
      <c r="A2432" s="42"/>
      <c r="B2432" s="42"/>
      <c r="C2432" s="42"/>
      <c r="D2432" s="28" t="str">
        <f aca="false">IF(OR($B2432="",$C2432=""),"",$C2432*IFERROR(INDEX(Setup!$C$47:$C$56,MATCH($B2432,Setup!$A$47:$A$56,0)),IFERROR(INDEX(Setup!$C$60:$C$89,MATCH($B2432,Setup!$A$60:$A$89,0)),"")))</f>
        <v/>
      </c>
      <c r="E2432" s="42"/>
      <c r="F2432" s="42"/>
    </row>
    <row r="2433" customFormat="false" ht="15" hidden="false" customHeight="true" outlineLevel="0" collapsed="false">
      <c r="A2433" s="42"/>
      <c r="B2433" s="42"/>
      <c r="C2433" s="42"/>
      <c r="D2433" s="28" t="str">
        <f aca="false">IF(OR($B2433="",$C2433=""),"",$C2433*IFERROR(INDEX(Setup!$C$47:$C$56,MATCH($B2433,Setup!$A$47:$A$56,0)),IFERROR(INDEX(Setup!$C$60:$C$89,MATCH($B2433,Setup!$A$60:$A$89,0)),"")))</f>
        <v/>
      </c>
      <c r="E2433" s="42"/>
      <c r="F2433" s="42"/>
    </row>
    <row r="2434" customFormat="false" ht="15" hidden="false" customHeight="true" outlineLevel="0" collapsed="false">
      <c r="A2434" s="42"/>
      <c r="B2434" s="42"/>
      <c r="C2434" s="42"/>
      <c r="D2434" s="28" t="str">
        <f aca="false">IF(OR($B2434="",$C2434=""),"",$C2434*IFERROR(INDEX(Setup!$C$47:$C$56,MATCH($B2434,Setup!$A$47:$A$56,0)),IFERROR(INDEX(Setup!$C$60:$C$89,MATCH($B2434,Setup!$A$60:$A$89,0)),"")))</f>
        <v/>
      </c>
      <c r="E2434" s="42"/>
      <c r="F2434" s="42"/>
    </row>
    <row r="2435" customFormat="false" ht="15" hidden="false" customHeight="true" outlineLevel="0" collapsed="false">
      <c r="A2435" s="42"/>
      <c r="B2435" s="42"/>
      <c r="C2435" s="42"/>
      <c r="D2435" s="28" t="str">
        <f aca="false">IF(OR($B2435="",$C2435=""),"",$C2435*IFERROR(INDEX(Setup!$C$47:$C$56,MATCH($B2435,Setup!$A$47:$A$56,0)),IFERROR(INDEX(Setup!$C$60:$C$89,MATCH($B2435,Setup!$A$60:$A$89,0)),"")))</f>
        <v/>
      </c>
      <c r="E2435" s="42"/>
      <c r="F2435" s="42"/>
    </row>
    <row r="2436" customFormat="false" ht="15" hidden="false" customHeight="true" outlineLevel="0" collapsed="false">
      <c r="A2436" s="42"/>
      <c r="B2436" s="42"/>
      <c r="C2436" s="42"/>
      <c r="D2436" s="28" t="str">
        <f aca="false">IF(OR($B2436="",$C2436=""),"",$C2436*IFERROR(INDEX(Setup!$C$47:$C$56,MATCH($B2436,Setup!$A$47:$A$56,0)),IFERROR(INDEX(Setup!$C$60:$C$89,MATCH($B2436,Setup!$A$60:$A$89,0)),"")))</f>
        <v/>
      </c>
      <c r="E2436" s="42"/>
      <c r="F2436" s="42"/>
    </row>
    <row r="2437" customFormat="false" ht="15" hidden="false" customHeight="true" outlineLevel="0" collapsed="false">
      <c r="A2437" s="42"/>
      <c r="B2437" s="42"/>
      <c r="C2437" s="42"/>
      <c r="D2437" s="28" t="str">
        <f aca="false">IF(OR($B2437="",$C2437=""),"",$C2437*IFERROR(INDEX(Setup!$C$47:$C$56,MATCH($B2437,Setup!$A$47:$A$56,0)),IFERROR(INDEX(Setup!$C$60:$C$89,MATCH($B2437,Setup!$A$60:$A$89,0)),"")))</f>
        <v/>
      </c>
      <c r="E2437" s="42"/>
      <c r="F2437" s="42"/>
    </row>
    <row r="2438" customFormat="false" ht="15" hidden="false" customHeight="true" outlineLevel="0" collapsed="false">
      <c r="A2438" s="42"/>
      <c r="B2438" s="42"/>
      <c r="C2438" s="42"/>
      <c r="D2438" s="28" t="str">
        <f aca="false">IF(OR($B2438="",$C2438=""),"",$C2438*IFERROR(INDEX(Setup!$C$47:$C$56,MATCH($B2438,Setup!$A$47:$A$56,0)),IFERROR(INDEX(Setup!$C$60:$C$89,MATCH($B2438,Setup!$A$60:$A$89,0)),"")))</f>
        <v/>
      </c>
      <c r="E2438" s="42"/>
      <c r="F2438" s="42"/>
    </row>
    <row r="2439" customFormat="false" ht="15" hidden="false" customHeight="true" outlineLevel="0" collapsed="false">
      <c r="A2439" s="42"/>
      <c r="B2439" s="42"/>
      <c r="C2439" s="42"/>
      <c r="D2439" s="28" t="str">
        <f aca="false">IF(OR($B2439="",$C2439=""),"",$C2439*IFERROR(INDEX(Setup!$C$47:$C$56,MATCH($B2439,Setup!$A$47:$A$56,0)),IFERROR(INDEX(Setup!$C$60:$C$89,MATCH($B2439,Setup!$A$60:$A$89,0)),"")))</f>
        <v/>
      </c>
      <c r="E2439" s="42"/>
      <c r="F2439" s="42"/>
    </row>
    <row r="2440" customFormat="false" ht="15" hidden="false" customHeight="true" outlineLevel="0" collapsed="false">
      <c r="A2440" s="42"/>
      <c r="B2440" s="42"/>
      <c r="C2440" s="42"/>
      <c r="D2440" s="28" t="str">
        <f aca="false">IF(OR($B2440="",$C2440=""),"",$C2440*IFERROR(INDEX(Setup!$C$47:$C$56,MATCH($B2440,Setup!$A$47:$A$56,0)),IFERROR(INDEX(Setup!$C$60:$C$89,MATCH($B2440,Setup!$A$60:$A$89,0)),"")))</f>
        <v/>
      </c>
      <c r="E2440" s="42"/>
      <c r="F2440" s="42"/>
    </row>
    <row r="2441" customFormat="false" ht="15" hidden="false" customHeight="true" outlineLevel="0" collapsed="false">
      <c r="A2441" s="42"/>
      <c r="B2441" s="42"/>
      <c r="C2441" s="42"/>
      <c r="D2441" s="28" t="str">
        <f aca="false">IF(OR($B2441="",$C2441=""),"",$C2441*IFERROR(INDEX(Setup!$C$47:$C$56,MATCH($B2441,Setup!$A$47:$A$56,0)),IFERROR(INDEX(Setup!$C$60:$C$89,MATCH($B2441,Setup!$A$60:$A$89,0)),"")))</f>
        <v/>
      </c>
      <c r="E2441" s="42"/>
      <c r="F2441" s="42"/>
    </row>
    <row r="2442" customFormat="false" ht="15" hidden="false" customHeight="true" outlineLevel="0" collapsed="false">
      <c r="A2442" s="42"/>
      <c r="B2442" s="42"/>
      <c r="C2442" s="42"/>
      <c r="D2442" s="28" t="str">
        <f aca="false">IF(OR($B2442="",$C2442=""),"",$C2442*IFERROR(INDEX(Setup!$C$47:$C$56,MATCH($B2442,Setup!$A$47:$A$56,0)),IFERROR(INDEX(Setup!$C$60:$C$89,MATCH($B2442,Setup!$A$60:$A$89,0)),"")))</f>
        <v/>
      </c>
      <c r="E2442" s="42"/>
      <c r="F2442" s="42"/>
    </row>
    <row r="2443" customFormat="false" ht="15" hidden="false" customHeight="true" outlineLevel="0" collapsed="false">
      <c r="A2443" s="42"/>
      <c r="B2443" s="42"/>
      <c r="C2443" s="42"/>
      <c r="D2443" s="28" t="str">
        <f aca="false">IF(OR($B2443="",$C2443=""),"",$C2443*IFERROR(INDEX(Setup!$C$47:$C$56,MATCH($B2443,Setup!$A$47:$A$56,0)),IFERROR(INDEX(Setup!$C$60:$C$89,MATCH($B2443,Setup!$A$60:$A$89,0)),"")))</f>
        <v/>
      </c>
      <c r="E2443" s="42"/>
      <c r="F2443" s="42"/>
    </row>
    <row r="2444" customFormat="false" ht="15" hidden="false" customHeight="true" outlineLevel="0" collapsed="false">
      <c r="A2444" s="42"/>
      <c r="B2444" s="42"/>
      <c r="C2444" s="42"/>
      <c r="D2444" s="28" t="str">
        <f aca="false">IF(OR($B2444="",$C2444=""),"",$C2444*IFERROR(INDEX(Setup!$C$47:$C$56,MATCH($B2444,Setup!$A$47:$A$56,0)),IFERROR(INDEX(Setup!$C$60:$C$89,MATCH($B2444,Setup!$A$60:$A$89,0)),"")))</f>
        <v/>
      </c>
      <c r="E2444" s="42"/>
      <c r="F2444" s="42"/>
    </row>
    <row r="2445" customFormat="false" ht="15" hidden="false" customHeight="true" outlineLevel="0" collapsed="false">
      <c r="A2445" s="42"/>
      <c r="B2445" s="42"/>
      <c r="C2445" s="42"/>
      <c r="D2445" s="28" t="str">
        <f aca="false">IF(OR($B2445="",$C2445=""),"",$C2445*IFERROR(INDEX(Setup!$C$47:$C$56,MATCH($B2445,Setup!$A$47:$A$56,0)),IFERROR(INDEX(Setup!$C$60:$C$89,MATCH($B2445,Setup!$A$60:$A$89,0)),"")))</f>
        <v/>
      </c>
      <c r="E2445" s="42"/>
      <c r="F2445" s="42"/>
    </row>
    <row r="2446" customFormat="false" ht="15" hidden="false" customHeight="true" outlineLevel="0" collapsed="false">
      <c r="A2446" s="42"/>
      <c r="B2446" s="42"/>
      <c r="C2446" s="42"/>
      <c r="D2446" s="28" t="str">
        <f aca="false">IF(OR($B2446="",$C2446=""),"",$C2446*IFERROR(INDEX(Setup!$C$47:$C$56,MATCH($B2446,Setup!$A$47:$A$56,0)),IFERROR(INDEX(Setup!$C$60:$C$89,MATCH($B2446,Setup!$A$60:$A$89,0)),"")))</f>
        <v/>
      </c>
      <c r="E2446" s="42"/>
      <c r="F2446" s="42"/>
    </row>
    <row r="2447" customFormat="false" ht="15" hidden="false" customHeight="true" outlineLevel="0" collapsed="false">
      <c r="A2447" s="42"/>
      <c r="B2447" s="42"/>
      <c r="C2447" s="42"/>
      <c r="D2447" s="28" t="str">
        <f aca="false">IF(OR($B2447="",$C2447=""),"",$C2447*IFERROR(INDEX(Setup!$C$47:$C$56,MATCH($B2447,Setup!$A$47:$A$56,0)),IFERROR(INDEX(Setup!$C$60:$C$89,MATCH($B2447,Setup!$A$60:$A$89,0)),"")))</f>
        <v/>
      </c>
      <c r="E2447" s="42"/>
      <c r="F2447" s="42"/>
    </row>
    <row r="2448" customFormat="false" ht="15" hidden="false" customHeight="true" outlineLevel="0" collapsed="false">
      <c r="A2448" s="42"/>
      <c r="B2448" s="42"/>
      <c r="C2448" s="42"/>
      <c r="D2448" s="28" t="str">
        <f aca="false">IF(OR($B2448="",$C2448=""),"",$C2448*IFERROR(INDEX(Setup!$C$47:$C$56,MATCH($B2448,Setup!$A$47:$A$56,0)),IFERROR(INDEX(Setup!$C$60:$C$89,MATCH($B2448,Setup!$A$60:$A$89,0)),"")))</f>
        <v/>
      </c>
      <c r="E2448" s="42"/>
      <c r="F2448" s="42"/>
    </row>
    <row r="2449" customFormat="false" ht="15" hidden="false" customHeight="true" outlineLevel="0" collapsed="false">
      <c r="A2449" s="42"/>
      <c r="B2449" s="42"/>
      <c r="C2449" s="42"/>
      <c r="D2449" s="28" t="str">
        <f aca="false">IF(OR($B2449="",$C2449=""),"",$C2449*IFERROR(INDEX(Setup!$C$47:$C$56,MATCH($B2449,Setup!$A$47:$A$56,0)),IFERROR(INDEX(Setup!$C$60:$C$89,MATCH($B2449,Setup!$A$60:$A$89,0)),"")))</f>
        <v/>
      </c>
      <c r="E2449" s="42"/>
      <c r="F2449" s="42"/>
    </row>
    <row r="2450" customFormat="false" ht="15" hidden="false" customHeight="true" outlineLevel="0" collapsed="false">
      <c r="A2450" s="42"/>
      <c r="B2450" s="42"/>
      <c r="C2450" s="42"/>
      <c r="D2450" s="28" t="str">
        <f aca="false">IF(OR($B2450="",$C2450=""),"",$C2450*IFERROR(INDEX(Setup!$C$47:$C$56,MATCH($B2450,Setup!$A$47:$A$56,0)),IFERROR(INDEX(Setup!$C$60:$C$89,MATCH($B2450,Setup!$A$60:$A$89,0)),"")))</f>
        <v/>
      </c>
      <c r="E2450" s="42"/>
      <c r="F2450" s="42"/>
    </row>
    <row r="2451" customFormat="false" ht="15" hidden="false" customHeight="true" outlineLevel="0" collapsed="false">
      <c r="A2451" s="42"/>
      <c r="B2451" s="42"/>
      <c r="C2451" s="42"/>
      <c r="D2451" s="28" t="str">
        <f aca="false">IF(OR($B2451="",$C2451=""),"",$C2451*IFERROR(INDEX(Setup!$C$47:$C$56,MATCH($B2451,Setup!$A$47:$A$56,0)),IFERROR(INDEX(Setup!$C$60:$C$89,MATCH($B2451,Setup!$A$60:$A$89,0)),"")))</f>
        <v/>
      </c>
      <c r="E2451" s="42"/>
      <c r="F2451" s="42"/>
    </row>
    <row r="2452" customFormat="false" ht="15" hidden="false" customHeight="true" outlineLevel="0" collapsed="false">
      <c r="A2452" s="42"/>
      <c r="B2452" s="42"/>
      <c r="C2452" s="42"/>
      <c r="D2452" s="28" t="str">
        <f aca="false">IF(OR($B2452="",$C2452=""),"",$C2452*IFERROR(INDEX(Setup!$C$47:$C$56,MATCH($B2452,Setup!$A$47:$A$56,0)),IFERROR(INDEX(Setup!$C$60:$C$89,MATCH($B2452,Setup!$A$60:$A$89,0)),"")))</f>
        <v/>
      </c>
      <c r="E2452" s="42"/>
      <c r="F2452" s="42"/>
    </row>
    <row r="2453" customFormat="false" ht="15" hidden="false" customHeight="true" outlineLevel="0" collapsed="false">
      <c r="A2453" s="42"/>
      <c r="B2453" s="42"/>
      <c r="C2453" s="42"/>
      <c r="D2453" s="28" t="str">
        <f aca="false">IF(OR($B2453="",$C2453=""),"",$C2453*IFERROR(INDEX(Setup!$C$47:$C$56,MATCH($B2453,Setup!$A$47:$A$56,0)),IFERROR(INDEX(Setup!$C$60:$C$89,MATCH($B2453,Setup!$A$60:$A$89,0)),"")))</f>
        <v/>
      </c>
      <c r="E2453" s="42"/>
      <c r="F2453" s="42"/>
    </row>
    <row r="2454" customFormat="false" ht="15" hidden="false" customHeight="true" outlineLevel="0" collapsed="false">
      <c r="A2454" s="42"/>
      <c r="B2454" s="42"/>
      <c r="C2454" s="42"/>
      <c r="D2454" s="28" t="str">
        <f aca="false">IF(OR($B2454="",$C2454=""),"",$C2454*IFERROR(INDEX(Setup!$C$47:$C$56,MATCH($B2454,Setup!$A$47:$A$56,0)),IFERROR(INDEX(Setup!$C$60:$C$89,MATCH($B2454,Setup!$A$60:$A$89,0)),"")))</f>
        <v/>
      </c>
      <c r="E2454" s="42"/>
      <c r="F2454" s="42"/>
    </row>
    <row r="2455" customFormat="false" ht="15" hidden="false" customHeight="true" outlineLevel="0" collapsed="false">
      <c r="A2455" s="42"/>
      <c r="B2455" s="42"/>
      <c r="C2455" s="42"/>
      <c r="D2455" s="28" t="str">
        <f aca="false">IF(OR($B2455="",$C2455=""),"",$C2455*IFERROR(INDEX(Setup!$C$47:$C$56,MATCH($B2455,Setup!$A$47:$A$56,0)),IFERROR(INDEX(Setup!$C$60:$C$89,MATCH($B2455,Setup!$A$60:$A$89,0)),"")))</f>
        <v/>
      </c>
      <c r="E2455" s="42"/>
      <c r="F2455" s="42"/>
    </row>
    <row r="2456" customFormat="false" ht="15" hidden="false" customHeight="true" outlineLevel="0" collapsed="false">
      <c r="A2456" s="42"/>
      <c r="B2456" s="42"/>
      <c r="C2456" s="42"/>
      <c r="D2456" s="28" t="str">
        <f aca="false">IF(OR($B2456="",$C2456=""),"",$C2456*IFERROR(INDEX(Setup!$C$47:$C$56,MATCH($B2456,Setup!$A$47:$A$56,0)),IFERROR(INDEX(Setup!$C$60:$C$89,MATCH($B2456,Setup!$A$60:$A$89,0)),"")))</f>
        <v/>
      </c>
      <c r="E2456" s="42"/>
      <c r="F2456" s="42"/>
    </row>
    <row r="2457" customFormat="false" ht="15" hidden="false" customHeight="true" outlineLevel="0" collapsed="false">
      <c r="A2457" s="42"/>
      <c r="B2457" s="42"/>
      <c r="C2457" s="42"/>
      <c r="D2457" s="28" t="str">
        <f aca="false">IF(OR($B2457="",$C2457=""),"",$C2457*IFERROR(INDEX(Setup!$C$47:$C$56,MATCH($B2457,Setup!$A$47:$A$56,0)),IFERROR(INDEX(Setup!$C$60:$C$89,MATCH($B2457,Setup!$A$60:$A$89,0)),"")))</f>
        <v/>
      </c>
      <c r="E2457" s="42"/>
      <c r="F2457" s="42"/>
    </row>
    <row r="2458" customFormat="false" ht="15" hidden="false" customHeight="true" outlineLevel="0" collapsed="false">
      <c r="A2458" s="42"/>
      <c r="B2458" s="42"/>
      <c r="C2458" s="42"/>
      <c r="D2458" s="28" t="str">
        <f aca="false">IF(OR($B2458="",$C2458=""),"",$C2458*IFERROR(INDEX(Setup!$C$47:$C$56,MATCH($B2458,Setup!$A$47:$A$56,0)),IFERROR(INDEX(Setup!$C$60:$C$89,MATCH($B2458,Setup!$A$60:$A$89,0)),"")))</f>
        <v/>
      </c>
      <c r="E2458" s="42"/>
      <c r="F2458" s="42"/>
    </row>
    <row r="2459" customFormat="false" ht="15" hidden="false" customHeight="true" outlineLevel="0" collapsed="false">
      <c r="A2459" s="42"/>
      <c r="B2459" s="42"/>
      <c r="C2459" s="42"/>
      <c r="D2459" s="28" t="str">
        <f aca="false">IF(OR($B2459="",$C2459=""),"",$C2459*IFERROR(INDEX(Setup!$C$47:$C$56,MATCH($B2459,Setup!$A$47:$A$56,0)),IFERROR(INDEX(Setup!$C$60:$C$89,MATCH($B2459,Setup!$A$60:$A$89,0)),"")))</f>
        <v/>
      </c>
      <c r="E2459" s="42"/>
      <c r="F2459" s="42"/>
    </row>
    <row r="2460" customFormat="false" ht="15" hidden="false" customHeight="true" outlineLevel="0" collapsed="false">
      <c r="A2460" s="42"/>
      <c r="B2460" s="42"/>
      <c r="C2460" s="42"/>
      <c r="D2460" s="28" t="str">
        <f aca="false">IF(OR($B2460="",$C2460=""),"",$C2460*IFERROR(INDEX(Setup!$C$47:$C$56,MATCH($B2460,Setup!$A$47:$A$56,0)),IFERROR(INDEX(Setup!$C$60:$C$89,MATCH($B2460,Setup!$A$60:$A$89,0)),"")))</f>
        <v/>
      </c>
      <c r="E2460" s="42"/>
      <c r="F2460" s="42"/>
    </row>
    <row r="2461" customFormat="false" ht="15" hidden="false" customHeight="true" outlineLevel="0" collapsed="false">
      <c r="A2461" s="42"/>
      <c r="B2461" s="42"/>
      <c r="C2461" s="42"/>
      <c r="D2461" s="28" t="str">
        <f aca="false">IF(OR($B2461="",$C2461=""),"",$C2461*IFERROR(INDEX(Setup!$C$47:$C$56,MATCH($B2461,Setup!$A$47:$A$56,0)),IFERROR(INDEX(Setup!$C$60:$C$89,MATCH($B2461,Setup!$A$60:$A$89,0)),"")))</f>
        <v/>
      </c>
      <c r="E2461" s="42"/>
      <c r="F2461" s="42"/>
    </row>
    <row r="2462" customFormat="false" ht="15" hidden="false" customHeight="true" outlineLevel="0" collapsed="false">
      <c r="A2462" s="42"/>
      <c r="B2462" s="42"/>
      <c r="C2462" s="42"/>
      <c r="D2462" s="28" t="str">
        <f aca="false">IF(OR($B2462="",$C2462=""),"",$C2462*IFERROR(INDEX(Setup!$C$47:$C$56,MATCH($B2462,Setup!$A$47:$A$56,0)),IFERROR(INDEX(Setup!$C$60:$C$89,MATCH($B2462,Setup!$A$60:$A$89,0)),"")))</f>
        <v/>
      </c>
      <c r="E2462" s="42"/>
      <c r="F2462" s="42"/>
    </row>
    <row r="2463" customFormat="false" ht="15" hidden="false" customHeight="true" outlineLevel="0" collapsed="false">
      <c r="A2463" s="42"/>
      <c r="B2463" s="42"/>
      <c r="C2463" s="42"/>
      <c r="D2463" s="28" t="str">
        <f aca="false">IF(OR($B2463="",$C2463=""),"",$C2463*IFERROR(INDEX(Setup!$C$47:$C$56,MATCH($B2463,Setup!$A$47:$A$56,0)),IFERROR(INDEX(Setup!$C$60:$C$89,MATCH($B2463,Setup!$A$60:$A$89,0)),"")))</f>
        <v/>
      </c>
      <c r="E2463" s="42"/>
      <c r="F2463" s="42"/>
    </row>
    <row r="2464" customFormat="false" ht="15" hidden="false" customHeight="true" outlineLevel="0" collapsed="false">
      <c r="A2464" s="42"/>
      <c r="B2464" s="42"/>
      <c r="C2464" s="42"/>
      <c r="D2464" s="28" t="str">
        <f aca="false">IF(OR($B2464="",$C2464=""),"",$C2464*IFERROR(INDEX(Setup!$C$47:$C$56,MATCH($B2464,Setup!$A$47:$A$56,0)),IFERROR(INDEX(Setup!$C$60:$C$89,MATCH($B2464,Setup!$A$60:$A$89,0)),"")))</f>
        <v/>
      </c>
      <c r="E2464" s="42"/>
      <c r="F2464" s="42"/>
    </row>
    <row r="2465" customFormat="false" ht="15" hidden="false" customHeight="true" outlineLevel="0" collapsed="false">
      <c r="A2465" s="42"/>
      <c r="B2465" s="42"/>
      <c r="C2465" s="42"/>
      <c r="D2465" s="28" t="str">
        <f aca="false">IF(OR($B2465="",$C2465=""),"",$C2465*IFERROR(INDEX(Setup!$C$47:$C$56,MATCH($B2465,Setup!$A$47:$A$56,0)),IFERROR(INDEX(Setup!$C$60:$C$89,MATCH($B2465,Setup!$A$60:$A$89,0)),"")))</f>
        <v/>
      </c>
      <c r="E2465" s="42"/>
      <c r="F2465" s="42"/>
    </row>
    <row r="2466" customFormat="false" ht="15" hidden="false" customHeight="true" outlineLevel="0" collapsed="false">
      <c r="A2466" s="42"/>
      <c r="B2466" s="42"/>
      <c r="C2466" s="42"/>
      <c r="D2466" s="28" t="str">
        <f aca="false">IF(OR($B2466="",$C2466=""),"",$C2466*IFERROR(INDEX(Setup!$C$47:$C$56,MATCH($B2466,Setup!$A$47:$A$56,0)),IFERROR(INDEX(Setup!$C$60:$C$89,MATCH($B2466,Setup!$A$60:$A$89,0)),"")))</f>
        <v/>
      </c>
      <c r="E2466" s="42"/>
      <c r="F2466" s="42"/>
    </row>
    <row r="2467" customFormat="false" ht="15" hidden="false" customHeight="true" outlineLevel="0" collapsed="false">
      <c r="A2467" s="42"/>
      <c r="B2467" s="42"/>
      <c r="C2467" s="42"/>
      <c r="D2467" s="28" t="str">
        <f aca="false">IF(OR($B2467="",$C2467=""),"",$C2467*IFERROR(INDEX(Setup!$C$47:$C$56,MATCH($B2467,Setup!$A$47:$A$56,0)),IFERROR(INDEX(Setup!$C$60:$C$89,MATCH($B2467,Setup!$A$60:$A$89,0)),"")))</f>
        <v/>
      </c>
      <c r="E2467" s="42"/>
      <c r="F2467" s="42"/>
    </row>
    <row r="2468" customFormat="false" ht="15" hidden="false" customHeight="true" outlineLevel="0" collapsed="false">
      <c r="A2468" s="42"/>
      <c r="B2468" s="42"/>
      <c r="C2468" s="42"/>
      <c r="D2468" s="28" t="str">
        <f aca="false">IF(OR($B2468="",$C2468=""),"",$C2468*IFERROR(INDEX(Setup!$C$47:$C$56,MATCH($B2468,Setup!$A$47:$A$56,0)),IFERROR(INDEX(Setup!$C$60:$C$89,MATCH($B2468,Setup!$A$60:$A$89,0)),"")))</f>
        <v/>
      </c>
      <c r="E2468" s="42"/>
      <c r="F2468" s="42"/>
    </row>
    <row r="2469" customFormat="false" ht="15" hidden="false" customHeight="true" outlineLevel="0" collapsed="false">
      <c r="A2469" s="42"/>
      <c r="B2469" s="42"/>
      <c r="C2469" s="42"/>
      <c r="D2469" s="28" t="str">
        <f aca="false">IF(OR($B2469="",$C2469=""),"",$C2469*IFERROR(INDEX(Setup!$C$47:$C$56,MATCH($B2469,Setup!$A$47:$A$56,0)),IFERROR(INDEX(Setup!$C$60:$C$89,MATCH($B2469,Setup!$A$60:$A$89,0)),"")))</f>
        <v/>
      </c>
      <c r="E2469" s="42"/>
      <c r="F2469" s="42"/>
    </row>
    <row r="2470" customFormat="false" ht="15" hidden="false" customHeight="true" outlineLevel="0" collapsed="false">
      <c r="A2470" s="42"/>
      <c r="B2470" s="42"/>
      <c r="C2470" s="42"/>
      <c r="D2470" s="28" t="str">
        <f aca="false">IF(OR($B2470="",$C2470=""),"",$C2470*IFERROR(INDEX(Setup!$C$47:$C$56,MATCH($B2470,Setup!$A$47:$A$56,0)),IFERROR(INDEX(Setup!$C$60:$C$89,MATCH($B2470,Setup!$A$60:$A$89,0)),"")))</f>
        <v/>
      </c>
      <c r="E2470" s="42"/>
      <c r="F2470" s="42"/>
    </row>
    <row r="2471" customFormat="false" ht="15" hidden="false" customHeight="true" outlineLevel="0" collapsed="false">
      <c r="A2471" s="42"/>
      <c r="B2471" s="42"/>
      <c r="C2471" s="42"/>
      <c r="D2471" s="28" t="str">
        <f aca="false">IF(OR($B2471="",$C2471=""),"",$C2471*IFERROR(INDEX(Setup!$C$47:$C$56,MATCH($B2471,Setup!$A$47:$A$56,0)),IFERROR(INDEX(Setup!$C$60:$C$89,MATCH($B2471,Setup!$A$60:$A$89,0)),"")))</f>
        <v/>
      </c>
      <c r="E2471" s="42"/>
      <c r="F2471" s="42"/>
    </row>
    <row r="2472" customFormat="false" ht="15" hidden="false" customHeight="true" outlineLevel="0" collapsed="false">
      <c r="A2472" s="42"/>
      <c r="B2472" s="42"/>
      <c r="C2472" s="42"/>
      <c r="D2472" s="28" t="str">
        <f aca="false">IF(OR($B2472="",$C2472=""),"",$C2472*IFERROR(INDEX(Setup!$C$47:$C$56,MATCH($B2472,Setup!$A$47:$A$56,0)),IFERROR(INDEX(Setup!$C$60:$C$89,MATCH($B2472,Setup!$A$60:$A$89,0)),"")))</f>
        <v/>
      </c>
      <c r="E2472" s="42"/>
      <c r="F2472" s="42"/>
    </row>
    <row r="2473" customFormat="false" ht="15" hidden="false" customHeight="true" outlineLevel="0" collapsed="false">
      <c r="A2473" s="42"/>
      <c r="B2473" s="42"/>
      <c r="C2473" s="42"/>
      <c r="D2473" s="28" t="str">
        <f aca="false">IF(OR($B2473="",$C2473=""),"",$C2473*IFERROR(INDEX(Setup!$C$47:$C$56,MATCH($B2473,Setup!$A$47:$A$56,0)),IFERROR(INDEX(Setup!$C$60:$C$89,MATCH($B2473,Setup!$A$60:$A$89,0)),"")))</f>
        <v/>
      </c>
      <c r="E2473" s="42"/>
      <c r="F2473" s="42"/>
    </row>
    <row r="2474" customFormat="false" ht="15" hidden="false" customHeight="true" outlineLevel="0" collapsed="false">
      <c r="A2474" s="42"/>
      <c r="B2474" s="42"/>
      <c r="C2474" s="42"/>
      <c r="D2474" s="28" t="str">
        <f aca="false">IF(OR($B2474="",$C2474=""),"",$C2474*IFERROR(INDEX(Setup!$C$47:$C$56,MATCH($B2474,Setup!$A$47:$A$56,0)),IFERROR(INDEX(Setup!$C$60:$C$89,MATCH($B2474,Setup!$A$60:$A$89,0)),"")))</f>
        <v/>
      </c>
      <c r="E2474" s="42"/>
      <c r="F2474" s="42"/>
    </row>
    <row r="2475" customFormat="false" ht="15" hidden="false" customHeight="true" outlineLevel="0" collapsed="false">
      <c r="A2475" s="42"/>
      <c r="B2475" s="42"/>
      <c r="C2475" s="42"/>
      <c r="D2475" s="28" t="str">
        <f aca="false">IF(OR($B2475="",$C2475=""),"",$C2475*IFERROR(INDEX(Setup!$C$47:$C$56,MATCH($B2475,Setup!$A$47:$A$56,0)),IFERROR(INDEX(Setup!$C$60:$C$89,MATCH($B2475,Setup!$A$60:$A$89,0)),"")))</f>
        <v/>
      </c>
      <c r="E2475" s="42"/>
      <c r="F2475" s="42"/>
    </row>
    <row r="2476" customFormat="false" ht="15" hidden="false" customHeight="true" outlineLevel="0" collapsed="false">
      <c r="A2476" s="42"/>
      <c r="B2476" s="42"/>
      <c r="C2476" s="42"/>
      <c r="D2476" s="28" t="str">
        <f aca="false">IF(OR($B2476="",$C2476=""),"",$C2476*IFERROR(INDEX(Setup!$C$47:$C$56,MATCH($B2476,Setup!$A$47:$A$56,0)),IFERROR(INDEX(Setup!$C$60:$C$89,MATCH($B2476,Setup!$A$60:$A$89,0)),"")))</f>
        <v/>
      </c>
      <c r="E2476" s="42"/>
      <c r="F2476" s="42"/>
    </row>
    <row r="2477" customFormat="false" ht="15" hidden="false" customHeight="true" outlineLevel="0" collapsed="false">
      <c r="A2477" s="42"/>
      <c r="B2477" s="42"/>
      <c r="C2477" s="42"/>
      <c r="D2477" s="28" t="str">
        <f aca="false">IF(OR($B2477="",$C2477=""),"",$C2477*IFERROR(INDEX(Setup!$C$47:$C$56,MATCH($B2477,Setup!$A$47:$A$56,0)),IFERROR(INDEX(Setup!$C$60:$C$89,MATCH($B2477,Setup!$A$60:$A$89,0)),"")))</f>
        <v/>
      </c>
      <c r="E2477" s="42"/>
      <c r="F2477" s="42"/>
    </row>
    <row r="2478" customFormat="false" ht="15" hidden="false" customHeight="true" outlineLevel="0" collapsed="false">
      <c r="A2478" s="42"/>
      <c r="B2478" s="42"/>
      <c r="C2478" s="42"/>
      <c r="D2478" s="28" t="str">
        <f aca="false">IF(OR($B2478="",$C2478=""),"",$C2478*IFERROR(INDEX(Setup!$C$47:$C$56,MATCH($B2478,Setup!$A$47:$A$56,0)),IFERROR(INDEX(Setup!$C$60:$C$89,MATCH($B2478,Setup!$A$60:$A$89,0)),"")))</f>
        <v/>
      </c>
      <c r="E2478" s="42"/>
      <c r="F2478" s="42"/>
    </row>
    <row r="2479" customFormat="false" ht="15" hidden="false" customHeight="true" outlineLevel="0" collapsed="false">
      <c r="A2479" s="42"/>
      <c r="B2479" s="42"/>
      <c r="C2479" s="42"/>
      <c r="D2479" s="28" t="str">
        <f aca="false">IF(OR($B2479="",$C2479=""),"",$C2479*IFERROR(INDEX(Setup!$C$47:$C$56,MATCH($B2479,Setup!$A$47:$A$56,0)),IFERROR(INDEX(Setup!$C$60:$C$89,MATCH($B2479,Setup!$A$60:$A$89,0)),"")))</f>
        <v/>
      </c>
      <c r="E2479" s="42"/>
      <c r="F2479" s="42"/>
    </row>
    <row r="2480" customFormat="false" ht="15" hidden="false" customHeight="true" outlineLevel="0" collapsed="false">
      <c r="A2480" s="42"/>
      <c r="B2480" s="42"/>
      <c r="C2480" s="42"/>
      <c r="D2480" s="28" t="str">
        <f aca="false">IF(OR($B2480="",$C2480=""),"",$C2480*IFERROR(INDEX(Setup!$C$47:$C$56,MATCH($B2480,Setup!$A$47:$A$56,0)),IFERROR(INDEX(Setup!$C$60:$C$89,MATCH($B2480,Setup!$A$60:$A$89,0)),"")))</f>
        <v/>
      </c>
      <c r="E2480" s="42"/>
      <c r="F2480" s="42"/>
    </row>
    <row r="2481" customFormat="false" ht="15" hidden="false" customHeight="true" outlineLevel="0" collapsed="false">
      <c r="A2481" s="42"/>
      <c r="B2481" s="42"/>
      <c r="C2481" s="42"/>
      <c r="D2481" s="28" t="str">
        <f aca="false">IF(OR($B2481="",$C2481=""),"",$C2481*IFERROR(INDEX(Setup!$C$47:$C$56,MATCH($B2481,Setup!$A$47:$A$56,0)),IFERROR(INDEX(Setup!$C$60:$C$89,MATCH($B2481,Setup!$A$60:$A$89,0)),"")))</f>
        <v/>
      </c>
      <c r="E2481" s="42"/>
      <c r="F2481" s="42"/>
    </row>
    <row r="2482" customFormat="false" ht="15" hidden="false" customHeight="true" outlineLevel="0" collapsed="false">
      <c r="A2482" s="42"/>
      <c r="B2482" s="42"/>
      <c r="C2482" s="42"/>
      <c r="D2482" s="28" t="str">
        <f aca="false">IF(OR($B2482="",$C2482=""),"",$C2482*IFERROR(INDEX(Setup!$C$47:$C$56,MATCH($B2482,Setup!$A$47:$A$56,0)),IFERROR(INDEX(Setup!$C$60:$C$89,MATCH($B2482,Setup!$A$60:$A$89,0)),"")))</f>
        <v/>
      </c>
      <c r="E2482" s="42"/>
      <c r="F2482" s="42"/>
    </row>
    <row r="2483" customFormat="false" ht="15" hidden="false" customHeight="true" outlineLevel="0" collapsed="false">
      <c r="A2483" s="42"/>
      <c r="B2483" s="42"/>
      <c r="C2483" s="42"/>
      <c r="D2483" s="28" t="str">
        <f aca="false">IF(OR($B2483="",$C2483=""),"",$C2483*IFERROR(INDEX(Setup!$C$47:$C$56,MATCH($B2483,Setup!$A$47:$A$56,0)),IFERROR(INDEX(Setup!$C$60:$C$89,MATCH($B2483,Setup!$A$60:$A$89,0)),"")))</f>
        <v/>
      </c>
      <c r="E2483" s="42"/>
      <c r="F2483" s="42"/>
    </row>
    <row r="2484" customFormat="false" ht="15" hidden="false" customHeight="true" outlineLevel="0" collapsed="false">
      <c r="A2484" s="42"/>
      <c r="B2484" s="42"/>
      <c r="C2484" s="42"/>
      <c r="D2484" s="28" t="str">
        <f aca="false">IF(OR($B2484="",$C2484=""),"",$C2484*IFERROR(INDEX(Setup!$C$47:$C$56,MATCH($B2484,Setup!$A$47:$A$56,0)),IFERROR(INDEX(Setup!$C$60:$C$89,MATCH($B2484,Setup!$A$60:$A$89,0)),"")))</f>
        <v/>
      </c>
      <c r="E2484" s="42"/>
      <c r="F2484" s="42"/>
    </row>
    <row r="2485" customFormat="false" ht="15" hidden="false" customHeight="true" outlineLevel="0" collapsed="false">
      <c r="A2485" s="42"/>
      <c r="B2485" s="42"/>
      <c r="C2485" s="42"/>
      <c r="D2485" s="28" t="str">
        <f aca="false">IF(OR($B2485="",$C2485=""),"",$C2485*IFERROR(INDEX(Setup!$C$47:$C$56,MATCH($B2485,Setup!$A$47:$A$56,0)),IFERROR(INDEX(Setup!$C$60:$C$89,MATCH($B2485,Setup!$A$60:$A$89,0)),"")))</f>
        <v/>
      </c>
      <c r="E2485" s="42"/>
      <c r="F2485" s="42"/>
    </row>
    <row r="2486" customFormat="false" ht="15" hidden="false" customHeight="true" outlineLevel="0" collapsed="false">
      <c r="A2486" s="42"/>
      <c r="B2486" s="42"/>
      <c r="C2486" s="42"/>
      <c r="D2486" s="28" t="str">
        <f aca="false">IF(OR($B2486="",$C2486=""),"",$C2486*IFERROR(INDEX(Setup!$C$47:$C$56,MATCH($B2486,Setup!$A$47:$A$56,0)),IFERROR(INDEX(Setup!$C$60:$C$89,MATCH($B2486,Setup!$A$60:$A$89,0)),"")))</f>
        <v/>
      </c>
      <c r="E2486" s="42"/>
      <c r="F2486" s="42"/>
    </row>
    <row r="2487" customFormat="false" ht="15" hidden="false" customHeight="true" outlineLevel="0" collapsed="false">
      <c r="A2487" s="42"/>
      <c r="B2487" s="42"/>
      <c r="C2487" s="42"/>
      <c r="D2487" s="28" t="str">
        <f aca="false">IF(OR($B2487="",$C2487=""),"",$C2487*IFERROR(INDEX(Setup!$C$47:$C$56,MATCH($B2487,Setup!$A$47:$A$56,0)),IFERROR(INDEX(Setup!$C$60:$C$89,MATCH($B2487,Setup!$A$60:$A$89,0)),"")))</f>
        <v/>
      </c>
      <c r="E2487" s="42"/>
      <c r="F2487" s="42"/>
    </row>
    <row r="2488" customFormat="false" ht="15" hidden="false" customHeight="true" outlineLevel="0" collapsed="false">
      <c r="A2488" s="42"/>
      <c r="B2488" s="42"/>
      <c r="C2488" s="42"/>
      <c r="D2488" s="28" t="str">
        <f aca="false">IF(OR($B2488="",$C2488=""),"",$C2488*IFERROR(INDEX(Setup!$C$47:$C$56,MATCH($B2488,Setup!$A$47:$A$56,0)),IFERROR(INDEX(Setup!$C$60:$C$89,MATCH($B2488,Setup!$A$60:$A$89,0)),"")))</f>
        <v/>
      </c>
      <c r="E2488" s="42"/>
      <c r="F2488" s="42"/>
    </row>
    <row r="2489" customFormat="false" ht="15" hidden="false" customHeight="true" outlineLevel="0" collapsed="false">
      <c r="A2489" s="42"/>
      <c r="B2489" s="42"/>
      <c r="C2489" s="42"/>
      <c r="D2489" s="28" t="str">
        <f aca="false">IF(OR($B2489="",$C2489=""),"",$C2489*IFERROR(INDEX(Setup!$C$47:$C$56,MATCH($B2489,Setup!$A$47:$A$56,0)),IFERROR(INDEX(Setup!$C$60:$C$89,MATCH($B2489,Setup!$A$60:$A$89,0)),"")))</f>
        <v/>
      </c>
      <c r="E2489" s="42"/>
      <c r="F2489" s="42"/>
    </row>
    <row r="2490" customFormat="false" ht="15" hidden="false" customHeight="true" outlineLevel="0" collapsed="false">
      <c r="A2490" s="42"/>
      <c r="B2490" s="42"/>
      <c r="C2490" s="42"/>
      <c r="D2490" s="28" t="str">
        <f aca="false">IF(OR($B2490="",$C2490=""),"",$C2490*IFERROR(INDEX(Setup!$C$47:$C$56,MATCH($B2490,Setup!$A$47:$A$56,0)),IFERROR(INDEX(Setup!$C$60:$C$89,MATCH($B2490,Setup!$A$60:$A$89,0)),"")))</f>
        <v/>
      </c>
      <c r="E2490" s="42"/>
      <c r="F2490" s="42"/>
    </row>
    <row r="2491" customFormat="false" ht="15" hidden="false" customHeight="true" outlineLevel="0" collapsed="false">
      <c r="A2491" s="42"/>
      <c r="B2491" s="42"/>
      <c r="C2491" s="42"/>
      <c r="D2491" s="28" t="str">
        <f aca="false">IF(OR($B2491="",$C2491=""),"",$C2491*IFERROR(INDEX(Setup!$C$47:$C$56,MATCH($B2491,Setup!$A$47:$A$56,0)),IFERROR(INDEX(Setup!$C$60:$C$89,MATCH($B2491,Setup!$A$60:$A$89,0)),"")))</f>
        <v/>
      </c>
      <c r="E2491" s="42"/>
      <c r="F2491" s="42"/>
    </row>
    <row r="2492" customFormat="false" ht="15" hidden="false" customHeight="true" outlineLevel="0" collapsed="false">
      <c r="A2492" s="42"/>
      <c r="B2492" s="42"/>
      <c r="C2492" s="42"/>
      <c r="D2492" s="28" t="str">
        <f aca="false">IF(OR($B2492="",$C2492=""),"",$C2492*IFERROR(INDEX(Setup!$C$47:$C$56,MATCH($B2492,Setup!$A$47:$A$56,0)),IFERROR(INDEX(Setup!$C$60:$C$89,MATCH($B2492,Setup!$A$60:$A$89,0)),"")))</f>
        <v/>
      </c>
      <c r="E2492" s="42"/>
      <c r="F2492" s="42"/>
    </row>
    <row r="2493" customFormat="false" ht="15" hidden="false" customHeight="true" outlineLevel="0" collapsed="false">
      <c r="A2493" s="42"/>
      <c r="B2493" s="42"/>
      <c r="C2493" s="42"/>
      <c r="D2493" s="28" t="str">
        <f aca="false">IF(OR($B2493="",$C2493=""),"",$C2493*IFERROR(INDEX(Setup!$C$47:$C$56,MATCH($B2493,Setup!$A$47:$A$56,0)),IFERROR(INDEX(Setup!$C$60:$C$89,MATCH($B2493,Setup!$A$60:$A$89,0)),"")))</f>
        <v/>
      </c>
      <c r="E2493" s="42"/>
      <c r="F2493" s="42"/>
    </row>
    <row r="2494" customFormat="false" ht="15" hidden="false" customHeight="true" outlineLevel="0" collapsed="false">
      <c r="A2494" s="42"/>
      <c r="B2494" s="42"/>
      <c r="C2494" s="42"/>
      <c r="D2494" s="28" t="str">
        <f aca="false">IF(OR($B2494="",$C2494=""),"",$C2494*IFERROR(INDEX(Setup!$C$47:$C$56,MATCH($B2494,Setup!$A$47:$A$56,0)),IFERROR(INDEX(Setup!$C$60:$C$89,MATCH($B2494,Setup!$A$60:$A$89,0)),"")))</f>
        <v/>
      </c>
      <c r="E2494" s="42"/>
      <c r="F2494" s="42"/>
    </row>
    <row r="2495" customFormat="false" ht="15" hidden="false" customHeight="true" outlineLevel="0" collapsed="false">
      <c r="A2495" s="42"/>
      <c r="B2495" s="42"/>
      <c r="C2495" s="42"/>
      <c r="D2495" s="28" t="str">
        <f aca="false">IF(OR($B2495="",$C2495=""),"",$C2495*IFERROR(INDEX(Setup!$C$47:$C$56,MATCH($B2495,Setup!$A$47:$A$56,0)),IFERROR(INDEX(Setup!$C$60:$C$89,MATCH($B2495,Setup!$A$60:$A$89,0)),"")))</f>
        <v/>
      </c>
      <c r="E2495" s="42"/>
      <c r="F2495" s="42"/>
    </row>
    <row r="2496" customFormat="false" ht="15" hidden="false" customHeight="true" outlineLevel="0" collapsed="false">
      <c r="A2496" s="42"/>
      <c r="B2496" s="42"/>
      <c r="C2496" s="42"/>
      <c r="D2496" s="28" t="str">
        <f aca="false">IF(OR($B2496="",$C2496=""),"",$C2496*IFERROR(INDEX(Setup!$C$47:$C$56,MATCH($B2496,Setup!$A$47:$A$56,0)),IFERROR(INDEX(Setup!$C$60:$C$89,MATCH($B2496,Setup!$A$60:$A$89,0)),"")))</f>
        <v/>
      </c>
      <c r="E2496" s="42"/>
      <c r="F2496" s="42"/>
    </row>
    <row r="2497" customFormat="false" ht="15" hidden="false" customHeight="true" outlineLevel="0" collapsed="false">
      <c r="A2497" s="42"/>
      <c r="B2497" s="42"/>
      <c r="C2497" s="42"/>
      <c r="D2497" s="28" t="str">
        <f aca="false">IF(OR($B2497="",$C2497=""),"",$C2497*IFERROR(INDEX(Setup!$C$47:$C$56,MATCH($B2497,Setup!$A$47:$A$56,0)),IFERROR(INDEX(Setup!$C$60:$C$89,MATCH($B2497,Setup!$A$60:$A$89,0)),"")))</f>
        <v/>
      </c>
      <c r="E2497" s="42"/>
      <c r="F2497" s="42"/>
    </row>
    <row r="2498" customFormat="false" ht="15" hidden="false" customHeight="true" outlineLevel="0" collapsed="false">
      <c r="A2498" s="42"/>
      <c r="B2498" s="42"/>
      <c r="C2498" s="42"/>
      <c r="D2498" s="28" t="str">
        <f aca="false">IF(OR($B2498="",$C2498=""),"",$C2498*IFERROR(INDEX(Setup!$C$47:$C$56,MATCH($B2498,Setup!$A$47:$A$56,0)),IFERROR(INDEX(Setup!$C$60:$C$89,MATCH($B2498,Setup!$A$60:$A$89,0)),"")))</f>
        <v/>
      </c>
      <c r="E2498" s="42"/>
      <c r="F2498" s="42"/>
    </row>
    <row r="2499" customFormat="false" ht="15" hidden="false" customHeight="true" outlineLevel="0" collapsed="false">
      <c r="A2499" s="42"/>
      <c r="B2499" s="42"/>
      <c r="C2499" s="42"/>
      <c r="D2499" s="28" t="str">
        <f aca="false">IF(OR($B2499="",$C2499=""),"",$C2499*IFERROR(INDEX(Setup!$C$47:$C$56,MATCH($B2499,Setup!$A$47:$A$56,0)),IFERROR(INDEX(Setup!$C$60:$C$89,MATCH($B2499,Setup!$A$60:$A$89,0)),"")))</f>
        <v/>
      </c>
      <c r="E2499" s="42"/>
      <c r="F2499" s="42"/>
    </row>
    <row r="2500" customFormat="false" ht="15" hidden="false" customHeight="true" outlineLevel="0" collapsed="false">
      <c r="A2500" s="42"/>
      <c r="B2500" s="42"/>
      <c r="C2500" s="42"/>
      <c r="D2500" s="28" t="str">
        <f aca="false">IF(OR($B2500="",$C2500=""),"",$C2500*IFERROR(INDEX(Setup!$C$47:$C$56,MATCH($B2500,Setup!$A$47:$A$56,0)),IFERROR(INDEX(Setup!$C$60:$C$89,MATCH($B2500,Setup!$A$60:$A$89,0)),"")))</f>
        <v/>
      </c>
      <c r="E2500" s="42"/>
      <c r="F2500" s="42"/>
    </row>
    <row r="2501" customFormat="false" ht="15" hidden="false" customHeight="true" outlineLevel="0" collapsed="false">
      <c r="A2501" s="42"/>
      <c r="B2501" s="42"/>
      <c r="C2501" s="42"/>
      <c r="D2501" s="28" t="str">
        <f aca="false">IF(OR($B2501="",$C2501=""),"",$C2501*IFERROR(INDEX(Setup!$C$47:$C$56,MATCH($B2501,Setup!$A$47:$A$56,0)),IFERROR(INDEX(Setup!$C$60:$C$89,MATCH($B2501,Setup!$A$60:$A$89,0)),"")))</f>
        <v/>
      </c>
      <c r="E2501" s="42"/>
      <c r="F2501" s="42"/>
    </row>
    <row r="2502" customFormat="false" ht="15" hidden="false" customHeight="true" outlineLevel="0" collapsed="false">
      <c r="A2502" s="42"/>
      <c r="B2502" s="42"/>
      <c r="C2502" s="42"/>
      <c r="D2502" s="28" t="str">
        <f aca="false">IF(OR($B2502="",$C2502=""),"",$C2502*IFERROR(INDEX(Setup!$C$47:$C$56,MATCH($B2502,Setup!$A$47:$A$56,0)),IFERROR(INDEX(Setup!$C$60:$C$89,MATCH($B2502,Setup!$A$60:$A$89,0)),"")))</f>
        <v/>
      </c>
      <c r="E2502" s="42"/>
      <c r="F2502" s="42"/>
    </row>
    <row r="2503" customFormat="false" ht="15" hidden="false" customHeight="true" outlineLevel="0" collapsed="false">
      <c r="A2503" s="42"/>
      <c r="B2503" s="42"/>
      <c r="C2503" s="42"/>
      <c r="D2503" s="28" t="str">
        <f aca="false">IF(OR($B2503="",$C2503=""),"",$C2503*IFERROR(INDEX(Setup!$C$47:$C$56,MATCH($B2503,Setup!$A$47:$A$56,0)),IFERROR(INDEX(Setup!$C$60:$C$89,MATCH($B2503,Setup!$A$60:$A$89,0)),"")))</f>
        <v/>
      </c>
      <c r="E2503" s="42"/>
      <c r="F2503" s="42"/>
    </row>
    <row r="2504" customFormat="false" ht="15" hidden="false" customHeight="true" outlineLevel="0" collapsed="false">
      <c r="A2504" s="42"/>
      <c r="B2504" s="42"/>
      <c r="C2504" s="42"/>
      <c r="D2504" s="28" t="str">
        <f aca="false">IF(OR($B2504="",$C2504=""),"",$C2504*IFERROR(INDEX(Setup!$C$47:$C$56,MATCH($B2504,Setup!$A$47:$A$56,0)),IFERROR(INDEX(Setup!$C$60:$C$89,MATCH($B2504,Setup!$A$60:$A$89,0)),"")))</f>
        <v/>
      </c>
      <c r="E2504" s="42"/>
      <c r="F2504" s="42"/>
    </row>
    <row r="2505" customFormat="false" ht="15" hidden="false" customHeight="true" outlineLevel="0" collapsed="false">
      <c r="A2505" s="42"/>
      <c r="B2505" s="42"/>
      <c r="C2505" s="42"/>
      <c r="D2505" s="28" t="str">
        <f aca="false">IF(OR($B2505="",$C2505=""),"",$C2505*IFERROR(INDEX(Setup!$C$47:$C$56,MATCH($B2505,Setup!$A$47:$A$56,0)),IFERROR(INDEX(Setup!$C$60:$C$89,MATCH($B2505,Setup!$A$60:$A$89,0)),"")))</f>
        <v/>
      </c>
      <c r="E2505" s="42"/>
      <c r="F2505" s="42"/>
    </row>
    <row r="2506" customFormat="false" ht="15" hidden="false" customHeight="true" outlineLevel="0" collapsed="false">
      <c r="A2506" s="42"/>
      <c r="B2506" s="42"/>
      <c r="C2506" s="42"/>
      <c r="D2506" s="28" t="str">
        <f aca="false">IF(OR($B2506="",$C2506=""),"",$C2506*IFERROR(INDEX(Setup!$C$47:$C$56,MATCH($B2506,Setup!$A$47:$A$56,0)),IFERROR(INDEX(Setup!$C$60:$C$89,MATCH($B2506,Setup!$A$60:$A$89,0)),"")))</f>
        <v/>
      </c>
      <c r="E2506" s="42"/>
      <c r="F2506" s="42"/>
    </row>
    <row r="2507" customFormat="false" ht="15" hidden="false" customHeight="true" outlineLevel="0" collapsed="false">
      <c r="A2507" s="42"/>
      <c r="B2507" s="42"/>
      <c r="C2507" s="42"/>
      <c r="D2507" s="28" t="str">
        <f aca="false">IF(OR($B2507="",$C2507=""),"",$C2507*IFERROR(INDEX(Setup!$C$47:$C$56,MATCH($B2507,Setup!$A$47:$A$56,0)),IFERROR(INDEX(Setup!$C$60:$C$89,MATCH($B2507,Setup!$A$60:$A$89,0)),"")))</f>
        <v/>
      </c>
      <c r="E2507" s="42"/>
      <c r="F2507" s="42"/>
    </row>
    <row r="2508" customFormat="false" ht="15" hidden="false" customHeight="true" outlineLevel="0" collapsed="false">
      <c r="A2508" s="42"/>
      <c r="B2508" s="42"/>
      <c r="C2508" s="42"/>
      <c r="D2508" s="28" t="str">
        <f aca="false">IF(OR($B2508="",$C2508=""),"",$C2508*IFERROR(INDEX(Setup!$C$47:$C$56,MATCH($B2508,Setup!$A$47:$A$56,0)),IFERROR(INDEX(Setup!$C$60:$C$89,MATCH($B2508,Setup!$A$60:$A$89,0)),"")))</f>
        <v/>
      </c>
      <c r="E2508" s="42"/>
      <c r="F2508" s="42"/>
    </row>
    <row r="2509" customFormat="false" ht="15" hidden="false" customHeight="true" outlineLevel="0" collapsed="false">
      <c r="A2509" s="42"/>
      <c r="B2509" s="42"/>
      <c r="C2509" s="42"/>
      <c r="D2509" s="28" t="str">
        <f aca="false">IF(OR($B2509="",$C2509=""),"",$C2509*IFERROR(INDEX(Setup!$C$47:$C$56,MATCH($B2509,Setup!$A$47:$A$56,0)),IFERROR(INDEX(Setup!$C$60:$C$89,MATCH($B2509,Setup!$A$60:$A$89,0)),"")))</f>
        <v/>
      </c>
      <c r="E2509" s="42"/>
      <c r="F2509" s="42"/>
    </row>
    <row r="2510" customFormat="false" ht="15" hidden="false" customHeight="true" outlineLevel="0" collapsed="false">
      <c r="A2510" s="42"/>
      <c r="B2510" s="42"/>
      <c r="C2510" s="42"/>
      <c r="D2510" s="28" t="str">
        <f aca="false">IF(OR($B2510="",$C2510=""),"",$C2510*IFERROR(INDEX(Setup!$C$47:$C$56,MATCH($B2510,Setup!$A$47:$A$56,0)),IFERROR(INDEX(Setup!$C$60:$C$89,MATCH($B2510,Setup!$A$60:$A$89,0)),"")))</f>
        <v/>
      </c>
      <c r="E2510" s="42"/>
      <c r="F2510" s="42"/>
    </row>
    <row r="2511" customFormat="false" ht="15" hidden="false" customHeight="true" outlineLevel="0" collapsed="false">
      <c r="A2511" s="42"/>
      <c r="B2511" s="42"/>
      <c r="C2511" s="42"/>
      <c r="D2511" s="28" t="str">
        <f aca="false">IF(OR($B2511="",$C2511=""),"",$C2511*IFERROR(INDEX(Setup!$C$47:$C$56,MATCH($B2511,Setup!$A$47:$A$56,0)),IFERROR(INDEX(Setup!$C$60:$C$89,MATCH($B2511,Setup!$A$60:$A$89,0)),"")))</f>
        <v/>
      </c>
      <c r="E2511" s="42"/>
      <c r="F2511" s="42"/>
    </row>
    <row r="2512" customFormat="false" ht="15" hidden="false" customHeight="true" outlineLevel="0" collapsed="false">
      <c r="A2512" s="42"/>
      <c r="B2512" s="42"/>
      <c r="C2512" s="42"/>
      <c r="D2512" s="28" t="str">
        <f aca="false">IF(OR($B2512="",$C2512=""),"",$C2512*IFERROR(INDEX(Setup!$C$47:$C$56,MATCH($B2512,Setup!$A$47:$A$56,0)),IFERROR(INDEX(Setup!$C$60:$C$89,MATCH($B2512,Setup!$A$60:$A$89,0)),"")))</f>
        <v/>
      </c>
      <c r="E2512" s="42"/>
      <c r="F2512" s="42"/>
    </row>
    <row r="2513" customFormat="false" ht="15" hidden="false" customHeight="true" outlineLevel="0" collapsed="false">
      <c r="A2513" s="42"/>
      <c r="B2513" s="42"/>
      <c r="C2513" s="42"/>
      <c r="D2513" s="28" t="str">
        <f aca="false">IF(OR($B2513="",$C2513=""),"",$C2513*IFERROR(INDEX(Setup!$C$47:$C$56,MATCH($B2513,Setup!$A$47:$A$56,0)),IFERROR(INDEX(Setup!$C$60:$C$89,MATCH($B2513,Setup!$A$60:$A$89,0)),"")))</f>
        <v/>
      </c>
      <c r="E2513" s="42"/>
      <c r="F2513" s="42"/>
    </row>
    <row r="2514" customFormat="false" ht="15" hidden="false" customHeight="true" outlineLevel="0" collapsed="false">
      <c r="A2514" s="42"/>
      <c r="B2514" s="42"/>
      <c r="C2514" s="42"/>
      <c r="D2514" s="28" t="str">
        <f aca="false">IF(OR($B2514="",$C2514=""),"",$C2514*IFERROR(INDEX(Setup!$C$47:$C$56,MATCH($B2514,Setup!$A$47:$A$56,0)),IFERROR(INDEX(Setup!$C$60:$C$89,MATCH($B2514,Setup!$A$60:$A$89,0)),"")))</f>
        <v/>
      </c>
      <c r="E2514" s="42"/>
      <c r="F2514" s="42"/>
    </row>
    <row r="2515" customFormat="false" ht="15" hidden="false" customHeight="true" outlineLevel="0" collapsed="false">
      <c r="A2515" s="42"/>
      <c r="B2515" s="42"/>
      <c r="C2515" s="42"/>
      <c r="D2515" s="28" t="str">
        <f aca="false">IF(OR($B2515="",$C2515=""),"",$C2515*IFERROR(INDEX(Setup!$C$47:$C$56,MATCH($B2515,Setup!$A$47:$A$56,0)),IFERROR(INDEX(Setup!$C$60:$C$89,MATCH($B2515,Setup!$A$60:$A$89,0)),"")))</f>
        <v/>
      </c>
      <c r="E2515" s="42"/>
      <c r="F2515" s="42"/>
    </row>
    <row r="2516" customFormat="false" ht="15" hidden="false" customHeight="true" outlineLevel="0" collapsed="false">
      <c r="A2516" s="42"/>
      <c r="B2516" s="42"/>
      <c r="C2516" s="42"/>
      <c r="D2516" s="28" t="str">
        <f aca="false">IF(OR($B2516="",$C2516=""),"",$C2516*IFERROR(INDEX(Setup!$C$47:$C$56,MATCH($B2516,Setup!$A$47:$A$56,0)),IFERROR(INDEX(Setup!$C$60:$C$89,MATCH($B2516,Setup!$A$60:$A$89,0)),"")))</f>
        <v/>
      </c>
      <c r="E2516" s="42"/>
      <c r="F2516" s="42"/>
    </row>
    <row r="2517" customFormat="false" ht="15" hidden="false" customHeight="true" outlineLevel="0" collapsed="false">
      <c r="A2517" s="42"/>
      <c r="B2517" s="42"/>
      <c r="C2517" s="42"/>
      <c r="D2517" s="28" t="str">
        <f aca="false">IF(OR($B2517="",$C2517=""),"",$C2517*IFERROR(INDEX(Setup!$C$47:$C$56,MATCH($B2517,Setup!$A$47:$A$56,0)),IFERROR(INDEX(Setup!$C$60:$C$89,MATCH($B2517,Setup!$A$60:$A$89,0)),"")))</f>
        <v/>
      </c>
      <c r="E2517" s="42"/>
      <c r="F2517" s="42"/>
    </row>
    <row r="2518" customFormat="false" ht="15" hidden="false" customHeight="true" outlineLevel="0" collapsed="false">
      <c r="A2518" s="42"/>
      <c r="B2518" s="42"/>
      <c r="C2518" s="42"/>
      <c r="D2518" s="28" t="str">
        <f aca="false">IF(OR($B2518="",$C2518=""),"",$C2518*IFERROR(INDEX(Setup!$C$47:$C$56,MATCH($B2518,Setup!$A$47:$A$56,0)),IFERROR(INDEX(Setup!$C$60:$C$89,MATCH($B2518,Setup!$A$60:$A$89,0)),"")))</f>
        <v/>
      </c>
      <c r="E2518" s="42"/>
      <c r="F2518" s="42"/>
    </row>
    <row r="2519" customFormat="false" ht="15" hidden="false" customHeight="true" outlineLevel="0" collapsed="false">
      <c r="A2519" s="42"/>
      <c r="B2519" s="42"/>
      <c r="C2519" s="42"/>
      <c r="D2519" s="28" t="str">
        <f aca="false">IF(OR($B2519="",$C2519=""),"",$C2519*IFERROR(INDEX(Setup!$C$47:$C$56,MATCH($B2519,Setup!$A$47:$A$56,0)),IFERROR(INDEX(Setup!$C$60:$C$89,MATCH($B2519,Setup!$A$60:$A$89,0)),"")))</f>
        <v/>
      </c>
      <c r="E2519" s="42"/>
      <c r="F2519" s="42"/>
    </row>
    <row r="2520" customFormat="false" ht="15" hidden="false" customHeight="true" outlineLevel="0" collapsed="false">
      <c r="A2520" s="42"/>
      <c r="B2520" s="42"/>
      <c r="C2520" s="42"/>
      <c r="D2520" s="28" t="str">
        <f aca="false">IF(OR($B2520="",$C2520=""),"",$C2520*IFERROR(INDEX(Setup!$C$47:$C$56,MATCH($B2520,Setup!$A$47:$A$56,0)),IFERROR(INDEX(Setup!$C$60:$C$89,MATCH($B2520,Setup!$A$60:$A$89,0)),"")))</f>
        <v/>
      </c>
      <c r="E2520" s="42"/>
      <c r="F2520" s="42"/>
    </row>
    <row r="2521" customFormat="false" ht="15" hidden="false" customHeight="true" outlineLevel="0" collapsed="false">
      <c r="A2521" s="42"/>
      <c r="B2521" s="42"/>
      <c r="C2521" s="42"/>
      <c r="D2521" s="28" t="str">
        <f aca="false">IF(OR($B2521="",$C2521=""),"",$C2521*IFERROR(INDEX(Setup!$C$47:$C$56,MATCH($B2521,Setup!$A$47:$A$56,0)),IFERROR(INDEX(Setup!$C$60:$C$89,MATCH($B2521,Setup!$A$60:$A$89,0)),"")))</f>
        <v/>
      </c>
      <c r="E2521" s="42"/>
      <c r="F2521" s="42"/>
    </row>
    <row r="2522" customFormat="false" ht="15" hidden="false" customHeight="true" outlineLevel="0" collapsed="false">
      <c r="A2522" s="42"/>
      <c r="B2522" s="42"/>
      <c r="C2522" s="42"/>
      <c r="D2522" s="28" t="str">
        <f aca="false">IF(OR($B2522="",$C2522=""),"",$C2522*IFERROR(INDEX(Setup!$C$47:$C$56,MATCH($B2522,Setup!$A$47:$A$56,0)),IFERROR(INDEX(Setup!$C$60:$C$89,MATCH($B2522,Setup!$A$60:$A$89,0)),"")))</f>
        <v/>
      </c>
      <c r="E2522" s="42"/>
      <c r="F2522" s="42"/>
    </row>
    <row r="2523" customFormat="false" ht="15" hidden="false" customHeight="true" outlineLevel="0" collapsed="false">
      <c r="A2523" s="42"/>
      <c r="B2523" s="42"/>
      <c r="C2523" s="42"/>
      <c r="D2523" s="28" t="str">
        <f aca="false">IF(OR($B2523="",$C2523=""),"",$C2523*IFERROR(INDEX(Setup!$C$47:$C$56,MATCH($B2523,Setup!$A$47:$A$56,0)),IFERROR(INDEX(Setup!$C$60:$C$89,MATCH($B2523,Setup!$A$60:$A$89,0)),"")))</f>
        <v/>
      </c>
      <c r="E2523" s="42"/>
      <c r="F2523" s="42"/>
    </row>
    <row r="2524" customFormat="false" ht="15" hidden="false" customHeight="true" outlineLevel="0" collapsed="false">
      <c r="A2524" s="42"/>
      <c r="B2524" s="42"/>
      <c r="C2524" s="42"/>
      <c r="D2524" s="28" t="str">
        <f aca="false">IF(OR($B2524="",$C2524=""),"",$C2524*IFERROR(INDEX(Setup!$C$47:$C$56,MATCH($B2524,Setup!$A$47:$A$56,0)),IFERROR(INDEX(Setup!$C$60:$C$89,MATCH($B2524,Setup!$A$60:$A$89,0)),"")))</f>
        <v/>
      </c>
      <c r="E2524" s="42"/>
      <c r="F2524" s="42"/>
    </row>
    <row r="2525" customFormat="false" ht="15" hidden="false" customHeight="true" outlineLevel="0" collapsed="false">
      <c r="A2525" s="42"/>
      <c r="B2525" s="42"/>
      <c r="C2525" s="42"/>
      <c r="D2525" s="28" t="str">
        <f aca="false">IF(OR($B2525="",$C2525=""),"",$C2525*IFERROR(INDEX(Setup!$C$47:$C$56,MATCH($B2525,Setup!$A$47:$A$56,0)),IFERROR(INDEX(Setup!$C$60:$C$89,MATCH($B2525,Setup!$A$60:$A$89,0)),"")))</f>
        <v/>
      </c>
      <c r="E2525" s="42"/>
      <c r="F2525" s="42"/>
    </row>
    <row r="2526" customFormat="false" ht="15" hidden="false" customHeight="true" outlineLevel="0" collapsed="false">
      <c r="A2526" s="42"/>
      <c r="B2526" s="42"/>
      <c r="C2526" s="42"/>
      <c r="D2526" s="28" t="str">
        <f aca="false">IF(OR($B2526="",$C2526=""),"",$C2526*IFERROR(INDEX(Setup!$C$47:$C$56,MATCH($B2526,Setup!$A$47:$A$56,0)),IFERROR(INDEX(Setup!$C$60:$C$89,MATCH($B2526,Setup!$A$60:$A$89,0)),"")))</f>
        <v/>
      </c>
      <c r="E2526" s="42"/>
      <c r="F2526" s="42"/>
    </row>
    <row r="2527" customFormat="false" ht="15" hidden="false" customHeight="true" outlineLevel="0" collapsed="false">
      <c r="A2527" s="42"/>
      <c r="B2527" s="42"/>
      <c r="C2527" s="42"/>
      <c r="D2527" s="28" t="str">
        <f aca="false">IF(OR($B2527="",$C2527=""),"",$C2527*IFERROR(INDEX(Setup!$C$47:$C$56,MATCH($B2527,Setup!$A$47:$A$56,0)),IFERROR(INDEX(Setup!$C$60:$C$89,MATCH($B2527,Setup!$A$60:$A$89,0)),"")))</f>
        <v/>
      </c>
      <c r="E2527" s="42"/>
      <c r="F2527" s="42"/>
    </row>
    <row r="2528" customFormat="false" ht="15" hidden="false" customHeight="true" outlineLevel="0" collapsed="false">
      <c r="A2528" s="42"/>
      <c r="B2528" s="42"/>
      <c r="C2528" s="42"/>
      <c r="D2528" s="28" t="str">
        <f aca="false">IF(OR($B2528="",$C2528=""),"",$C2528*IFERROR(INDEX(Setup!$C$47:$C$56,MATCH($B2528,Setup!$A$47:$A$56,0)),IFERROR(INDEX(Setup!$C$60:$C$89,MATCH($B2528,Setup!$A$60:$A$89,0)),"")))</f>
        <v/>
      </c>
      <c r="E2528" s="42"/>
      <c r="F2528" s="42"/>
    </row>
    <row r="2529" customFormat="false" ht="15" hidden="false" customHeight="true" outlineLevel="0" collapsed="false">
      <c r="A2529" s="42"/>
      <c r="B2529" s="42"/>
      <c r="C2529" s="42"/>
      <c r="D2529" s="28" t="str">
        <f aca="false">IF(OR($B2529="",$C2529=""),"",$C2529*IFERROR(INDEX(Setup!$C$47:$C$56,MATCH($B2529,Setup!$A$47:$A$56,0)),IFERROR(INDEX(Setup!$C$60:$C$89,MATCH($B2529,Setup!$A$60:$A$89,0)),"")))</f>
        <v/>
      </c>
      <c r="E2529" s="42"/>
      <c r="F2529" s="42"/>
    </row>
    <row r="2530" customFormat="false" ht="15" hidden="false" customHeight="true" outlineLevel="0" collapsed="false">
      <c r="A2530" s="42"/>
      <c r="B2530" s="42"/>
      <c r="C2530" s="42"/>
      <c r="D2530" s="28" t="str">
        <f aca="false">IF(OR($B2530="",$C2530=""),"",$C2530*IFERROR(INDEX(Setup!$C$47:$C$56,MATCH($B2530,Setup!$A$47:$A$56,0)),IFERROR(INDEX(Setup!$C$60:$C$89,MATCH($B2530,Setup!$A$60:$A$89,0)),"")))</f>
        <v/>
      </c>
      <c r="E2530" s="42"/>
      <c r="F2530" s="42"/>
    </row>
    <row r="2531" customFormat="false" ht="15" hidden="false" customHeight="true" outlineLevel="0" collapsed="false">
      <c r="A2531" s="42"/>
      <c r="B2531" s="42"/>
      <c r="C2531" s="42"/>
      <c r="D2531" s="28" t="str">
        <f aca="false">IF(OR($B2531="",$C2531=""),"",$C2531*IFERROR(INDEX(Setup!$C$47:$C$56,MATCH($B2531,Setup!$A$47:$A$56,0)),IFERROR(INDEX(Setup!$C$60:$C$89,MATCH($B2531,Setup!$A$60:$A$89,0)),"")))</f>
        <v/>
      </c>
      <c r="E2531" s="42"/>
      <c r="F2531" s="42"/>
    </row>
    <row r="2532" customFormat="false" ht="15" hidden="false" customHeight="true" outlineLevel="0" collapsed="false">
      <c r="A2532" s="42"/>
      <c r="B2532" s="42"/>
      <c r="C2532" s="42"/>
      <c r="D2532" s="28" t="str">
        <f aca="false">IF(OR($B2532="",$C2532=""),"",$C2532*IFERROR(INDEX(Setup!$C$47:$C$56,MATCH($B2532,Setup!$A$47:$A$56,0)),IFERROR(INDEX(Setup!$C$60:$C$89,MATCH($B2532,Setup!$A$60:$A$89,0)),"")))</f>
        <v/>
      </c>
      <c r="E2532" s="42"/>
      <c r="F2532" s="42"/>
    </row>
    <row r="2533" customFormat="false" ht="15" hidden="false" customHeight="true" outlineLevel="0" collapsed="false">
      <c r="A2533" s="42"/>
      <c r="B2533" s="42"/>
      <c r="C2533" s="42"/>
      <c r="D2533" s="28" t="str">
        <f aca="false">IF(OR($B2533="",$C2533=""),"",$C2533*IFERROR(INDEX(Setup!$C$47:$C$56,MATCH($B2533,Setup!$A$47:$A$56,0)),IFERROR(INDEX(Setup!$C$60:$C$89,MATCH($B2533,Setup!$A$60:$A$89,0)),"")))</f>
        <v/>
      </c>
      <c r="E2533" s="42"/>
      <c r="F2533" s="42"/>
    </row>
    <row r="2534" customFormat="false" ht="15" hidden="false" customHeight="true" outlineLevel="0" collapsed="false">
      <c r="A2534" s="42"/>
      <c r="B2534" s="42"/>
      <c r="C2534" s="42"/>
      <c r="D2534" s="28" t="str">
        <f aca="false">IF(OR($B2534="",$C2534=""),"",$C2534*IFERROR(INDEX(Setup!$C$47:$C$56,MATCH($B2534,Setup!$A$47:$A$56,0)),IFERROR(INDEX(Setup!$C$60:$C$89,MATCH($B2534,Setup!$A$60:$A$89,0)),"")))</f>
        <v/>
      </c>
      <c r="E2534" s="42"/>
      <c r="F2534" s="42"/>
    </row>
    <row r="2535" customFormat="false" ht="15" hidden="false" customHeight="true" outlineLevel="0" collapsed="false">
      <c r="A2535" s="42"/>
      <c r="B2535" s="42"/>
      <c r="C2535" s="42"/>
      <c r="D2535" s="28" t="str">
        <f aca="false">IF(OR($B2535="",$C2535=""),"",$C2535*IFERROR(INDEX(Setup!$C$47:$C$56,MATCH($B2535,Setup!$A$47:$A$56,0)),IFERROR(INDEX(Setup!$C$60:$C$89,MATCH($B2535,Setup!$A$60:$A$89,0)),"")))</f>
        <v/>
      </c>
      <c r="E2535" s="42"/>
      <c r="F2535" s="42"/>
    </row>
    <row r="2536" customFormat="false" ht="15" hidden="false" customHeight="true" outlineLevel="0" collapsed="false">
      <c r="A2536" s="42"/>
      <c r="B2536" s="42"/>
      <c r="C2536" s="42"/>
      <c r="D2536" s="28" t="str">
        <f aca="false">IF(OR($B2536="",$C2536=""),"",$C2536*IFERROR(INDEX(Setup!$C$47:$C$56,MATCH($B2536,Setup!$A$47:$A$56,0)),IFERROR(INDEX(Setup!$C$60:$C$89,MATCH($B2536,Setup!$A$60:$A$89,0)),"")))</f>
        <v/>
      </c>
      <c r="E2536" s="42"/>
      <c r="F2536" s="42"/>
    </row>
    <row r="2537" customFormat="false" ht="15" hidden="false" customHeight="true" outlineLevel="0" collapsed="false">
      <c r="A2537" s="42"/>
      <c r="B2537" s="42"/>
      <c r="C2537" s="42"/>
      <c r="D2537" s="28" t="str">
        <f aca="false">IF(OR($B2537="",$C2537=""),"",$C2537*IFERROR(INDEX(Setup!$C$47:$C$56,MATCH($B2537,Setup!$A$47:$A$56,0)),IFERROR(INDEX(Setup!$C$60:$C$89,MATCH($B2537,Setup!$A$60:$A$89,0)),"")))</f>
        <v/>
      </c>
      <c r="E2537" s="42"/>
      <c r="F2537" s="42"/>
    </row>
    <row r="2538" customFormat="false" ht="15" hidden="false" customHeight="true" outlineLevel="0" collapsed="false">
      <c r="A2538" s="42"/>
      <c r="B2538" s="42"/>
      <c r="C2538" s="42"/>
      <c r="D2538" s="28" t="str">
        <f aca="false">IF(OR($B2538="",$C2538=""),"",$C2538*IFERROR(INDEX(Setup!$C$47:$C$56,MATCH($B2538,Setup!$A$47:$A$56,0)),IFERROR(INDEX(Setup!$C$60:$C$89,MATCH($B2538,Setup!$A$60:$A$89,0)),"")))</f>
        <v/>
      </c>
      <c r="E2538" s="42"/>
      <c r="F2538" s="42"/>
    </row>
    <row r="2539" customFormat="false" ht="15" hidden="false" customHeight="true" outlineLevel="0" collapsed="false">
      <c r="A2539" s="42"/>
      <c r="B2539" s="42"/>
      <c r="C2539" s="42"/>
      <c r="D2539" s="28" t="str">
        <f aca="false">IF(OR($B2539="",$C2539=""),"",$C2539*IFERROR(INDEX(Setup!$C$47:$C$56,MATCH($B2539,Setup!$A$47:$A$56,0)),IFERROR(INDEX(Setup!$C$60:$C$89,MATCH($B2539,Setup!$A$60:$A$89,0)),"")))</f>
        <v/>
      </c>
      <c r="E2539" s="42"/>
      <c r="F2539" s="42"/>
    </row>
    <row r="2540" customFormat="false" ht="15" hidden="false" customHeight="true" outlineLevel="0" collapsed="false">
      <c r="A2540" s="42"/>
      <c r="B2540" s="42"/>
      <c r="C2540" s="42"/>
      <c r="D2540" s="28" t="str">
        <f aca="false">IF(OR($B2540="",$C2540=""),"",$C2540*IFERROR(INDEX(Setup!$C$47:$C$56,MATCH($B2540,Setup!$A$47:$A$56,0)),IFERROR(INDEX(Setup!$C$60:$C$89,MATCH($B2540,Setup!$A$60:$A$89,0)),"")))</f>
        <v/>
      </c>
      <c r="E2540" s="42"/>
      <c r="F2540" s="42"/>
    </row>
    <row r="2541" customFormat="false" ht="15" hidden="false" customHeight="true" outlineLevel="0" collapsed="false">
      <c r="A2541" s="42"/>
      <c r="B2541" s="42"/>
      <c r="C2541" s="42"/>
      <c r="D2541" s="28" t="str">
        <f aca="false">IF(OR($B2541="",$C2541=""),"",$C2541*IFERROR(INDEX(Setup!$C$47:$C$56,MATCH($B2541,Setup!$A$47:$A$56,0)),IFERROR(INDEX(Setup!$C$60:$C$89,MATCH($B2541,Setup!$A$60:$A$89,0)),"")))</f>
        <v/>
      </c>
      <c r="E2541" s="42"/>
      <c r="F2541" s="42"/>
    </row>
    <row r="2542" customFormat="false" ht="15" hidden="false" customHeight="true" outlineLevel="0" collapsed="false">
      <c r="A2542" s="42"/>
      <c r="B2542" s="42"/>
      <c r="C2542" s="42"/>
      <c r="D2542" s="28" t="str">
        <f aca="false">IF(OR($B2542="",$C2542=""),"",$C2542*IFERROR(INDEX(Setup!$C$47:$C$56,MATCH($B2542,Setup!$A$47:$A$56,0)),IFERROR(INDEX(Setup!$C$60:$C$89,MATCH($B2542,Setup!$A$60:$A$89,0)),"")))</f>
        <v/>
      </c>
      <c r="E2542" s="42"/>
      <c r="F2542" s="42"/>
    </row>
    <row r="2543" customFormat="false" ht="15" hidden="false" customHeight="true" outlineLevel="0" collapsed="false">
      <c r="A2543" s="42"/>
      <c r="B2543" s="42"/>
      <c r="C2543" s="42"/>
      <c r="D2543" s="28" t="str">
        <f aca="false">IF(OR($B2543="",$C2543=""),"",$C2543*IFERROR(INDEX(Setup!$C$47:$C$56,MATCH($B2543,Setup!$A$47:$A$56,0)),IFERROR(INDEX(Setup!$C$60:$C$89,MATCH($B2543,Setup!$A$60:$A$89,0)),"")))</f>
        <v/>
      </c>
      <c r="E2543" s="42"/>
      <c r="F2543" s="42"/>
    </row>
    <row r="2544" customFormat="false" ht="15" hidden="false" customHeight="true" outlineLevel="0" collapsed="false">
      <c r="A2544" s="42"/>
      <c r="B2544" s="42"/>
      <c r="C2544" s="42"/>
      <c r="D2544" s="28" t="str">
        <f aca="false">IF(OR($B2544="",$C2544=""),"",$C2544*IFERROR(INDEX(Setup!$C$47:$C$56,MATCH($B2544,Setup!$A$47:$A$56,0)),IFERROR(INDEX(Setup!$C$60:$C$89,MATCH($B2544,Setup!$A$60:$A$89,0)),"")))</f>
        <v/>
      </c>
      <c r="E2544" s="42"/>
      <c r="F2544" s="42"/>
    </row>
    <row r="2545" customFormat="false" ht="15" hidden="false" customHeight="true" outlineLevel="0" collapsed="false">
      <c r="A2545" s="42"/>
      <c r="B2545" s="42"/>
      <c r="C2545" s="42"/>
      <c r="D2545" s="28" t="str">
        <f aca="false">IF(OR($B2545="",$C2545=""),"",$C2545*IFERROR(INDEX(Setup!$C$47:$C$56,MATCH($B2545,Setup!$A$47:$A$56,0)),IFERROR(INDEX(Setup!$C$60:$C$89,MATCH($B2545,Setup!$A$60:$A$89,0)),"")))</f>
        <v/>
      </c>
      <c r="E2545" s="42"/>
      <c r="F2545" s="42"/>
    </row>
    <row r="2546" customFormat="false" ht="15" hidden="false" customHeight="true" outlineLevel="0" collapsed="false">
      <c r="A2546" s="42"/>
      <c r="B2546" s="42"/>
      <c r="C2546" s="42"/>
      <c r="D2546" s="28" t="str">
        <f aca="false">IF(OR($B2546="",$C2546=""),"",$C2546*IFERROR(INDEX(Setup!$C$47:$C$56,MATCH($B2546,Setup!$A$47:$A$56,0)),IFERROR(INDEX(Setup!$C$60:$C$89,MATCH($B2546,Setup!$A$60:$A$89,0)),"")))</f>
        <v/>
      </c>
      <c r="E2546" s="42"/>
      <c r="F2546" s="42"/>
    </row>
    <row r="2547" customFormat="false" ht="15" hidden="false" customHeight="true" outlineLevel="0" collapsed="false">
      <c r="A2547" s="42"/>
      <c r="B2547" s="42"/>
      <c r="C2547" s="42"/>
      <c r="D2547" s="28" t="str">
        <f aca="false">IF(OR($B2547="",$C2547=""),"",$C2547*IFERROR(INDEX(Setup!$C$47:$C$56,MATCH($B2547,Setup!$A$47:$A$56,0)),IFERROR(INDEX(Setup!$C$60:$C$89,MATCH($B2547,Setup!$A$60:$A$89,0)),"")))</f>
        <v/>
      </c>
      <c r="E2547" s="42"/>
      <c r="F2547" s="42"/>
    </row>
    <row r="2548" customFormat="false" ht="15" hidden="false" customHeight="true" outlineLevel="0" collapsed="false">
      <c r="A2548" s="42"/>
      <c r="B2548" s="42"/>
      <c r="C2548" s="42"/>
      <c r="D2548" s="28" t="str">
        <f aca="false">IF(OR($B2548="",$C2548=""),"",$C2548*IFERROR(INDEX(Setup!$C$47:$C$56,MATCH($B2548,Setup!$A$47:$A$56,0)),IFERROR(INDEX(Setup!$C$60:$C$89,MATCH($B2548,Setup!$A$60:$A$89,0)),"")))</f>
        <v/>
      </c>
      <c r="E2548" s="42"/>
      <c r="F2548" s="42"/>
    </row>
    <row r="2549" customFormat="false" ht="15" hidden="false" customHeight="true" outlineLevel="0" collapsed="false">
      <c r="A2549" s="42"/>
      <c r="B2549" s="42"/>
      <c r="C2549" s="42"/>
      <c r="D2549" s="28" t="str">
        <f aca="false">IF(OR($B2549="",$C2549=""),"",$C2549*IFERROR(INDEX(Setup!$C$47:$C$56,MATCH($B2549,Setup!$A$47:$A$56,0)),IFERROR(INDEX(Setup!$C$60:$C$89,MATCH($B2549,Setup!$A$60:$A$89,0)),"")))</f>
        <v/>
      </c>
      <c r="E2549" s="42"/>
      <c r="F2549" s="42"/>
    </row>
    <row r="2550" customFormat="false" ht="15" hidden="false" customHeight="true" outlineLevel="0" collapsed="false">
      <c r="A2550" s="42"/>
      <c r="B2550" s="42"/>
      <c r="C2550" s="42"/>
      <c r="D2550" s="28" t="str">
        <f aca="false">IF(OR($B2550="",$C2550=""),"",$C2550*IFERROR(INDEX(Setup!$C$47:$C$56,MATCH($B2550,Setup!$A$47:$A$56,0)),IFERROR(INDEX(Setup!$C$60:$C$89,MATCH($B2550,Setup!$A$60:$A$89,0)),"")))</f>
        <v/>
      </c>
      <c r="E2550" s="42"/>
      <c r="F2550" s="42"/>
    </row>
    <row r="2551" customFormat="false" ht="15" hidden="false" customHeight="true" outlineLevel="0" collapsed="false">
      <c r="A2551" s="42"/>
      <c r="B2551" s="42"/>
      <c r="C2551" s="42"/>
      <c r="D2551" s="28" t="str">
        <f aca="false">IF(OR($B2551="",$C2551=""),"",$C2551*IFERROR(INDEX(Setup!$C$47:$C$56,MATCH($B2551,Setup!$A$47:$A$56,0)),IFERROR(INDEX(Setup!$C$60:$C$89,MATCH($B2551,Setup!$A$60:$A$89,0)),"")))</f>
        <v/>
      </c>
      <c r="E2551" s="42"/>
      <c r="F2551" s="42"/>
    </row>
    <row r="2552" customFormat="false" ht="15" hidden="false" customHeight="true" outlineLevel="0" collapsed="false">
      <c r="A2552" s="42"/>
      <c r="B2552" s="42"/>
      <c r="C2552" s="42"/>
      <c r="D2552" s="28" t="str">
        <f aca="false">IF(OR($B2552="",$C2552=""),"",$C2552*IFERROR(INDEX(Setup!$C$47:$C$56,MATCH($B2552,Setup!$A$47:$A$56,0)),IFERROR(INDEX(Setup!$C$60:$C$89,MATCH($B2552,Setup!$A$60:$A$89,0)),"")))</f>
        <v/>
      </c>
      <c r="E2552" s="42"/>
      <c r="F2552" s="42"/>
    </row>
    <row r="2553" customFormat="false" ht="15" hidden="false" customHeight="true" outlineLevel="0" collapsed="false">
      <c r="A2553" s="42"/>
      <c r="B2553" s="42"/>
      <c r="C2553" s="42"/>
      <c r="D2553" s="28" t="str">
        <f aca="false">IF(OR($B2553="",$C2553=""),"",$C2553*IFERROR(INDEX(Setup!$C$47:$C$56,MATCH($B2553,Setup!$A$47:$A$56,0)),IFERROR(INDEX(Setup!$C$60:$C$89,MATCH($B2553,Setup!$A$60:$A$89,0)),"")))</f>
        <v/>
      </c>
      <c r="E2553" s="42"/>
      <c r="F2553" s="42"/>
    </row>
    <row r="2554" customFormat="false" ht="15" hidden="false" customHeight="true" outlineLevel="0" collapsed="false">
      <c r="A2554" s="42"/>
      <c r="B2554" s="42"/>
      <c r="C2554" s="42"/>
      <c r="D2554" s="28" t="str">
        <f aca="false">IF(OR($B2554="",$C2554=""),"",$C2554*IFERROR(INDEX(Setup!$C$47:$C$56,MATCH($B2554,Setup!$A$47:$A$56,0)),IFERROR(INDEX(Setup!$C$60:$C$89,MATCH($B2554,Setup!$A$60:$A$89,0)),"")))</f>
        <v/>
      </c>
      <c r="E2554" s="42"/>
      <c r="F2554" s="42"/>
    </row>
    <row r="2555" customFormat="false" ht="15" hidden="false" customHeight="true" outlineLevel="0" collapsed="false">
      <c r="A2555" s="42"/>
      <c r="B2555" s="42"/>
      <c r="C2555" s="42"/>
      <c r="D2555" s="28" t="str">
        <f aca="false">IF(OR($B2555="",$C2555=""),"",$C2555*IFERROR(INDEX(Setup!$C$47:$C$56,MATCH($B2555,Setup!$A$47:$A$56,0)),IFERROR(INDEX(Setup!$C$60:$C$89,MATCH($B2555,Setup!$A$60:$A$89,0)),"")))</f>
        <v/>
      </c>
      <c r="E2555" s="42"/>
      <c r="F2555" s="42"/>
    </row>
    <row r="2556" customFormat="false" ht="15" hidden="false" customHeight="true" outlineLevel="0" collapsed="false">
      <c r="A2556" s="42"/>
      <c r="B2556" s="42"/>
      <c r="C2556" s="42"/>
      <c r="D2556" s="28" t="str">
        <f aca="false">IF(OR($B2556="",$C2556=""),"",$C2556*IFERROR(INDEX(Setup!$C$47:$C$56,MATCH($B2556,Setup!$A$47:$A$56,0)),IFERROR(INDEX(Setup!$C$60:$C$89,MATCH($B2556,Setup!$A$60:$A$89,0)),"")))</f>
        <v/>
      </c>
      <c r="E2556" s="42"/>
      <c r="F2556" s="42"/>
    </row>
    <row r="2557" customFormat="false" ht="15" hidden="false" customHeight="true" outlineLevel="0" collapsed="false">
      <c r="A2557" s="42"/>
      <c r="B2557" s="42"/>
      <c r="C2557" s="42"/>
      <c r="D2557" s="28" t="str">
        <f aca="false">IF(OR($B2557="",$C2557=""),"",$C2557*IFERROR(INDEX(Setup!$C$47:$C$56,MATCH($B2557,Setup!$A$47:$A$56,0)),IFERROR(INDEX(Setup!$C$60:$C$89,MATCH($B2557,Setup!$A$60:$A$89,0)),"")))</f>
        <v/>
      </c>
      <c r="E2557" s="42"/>
      <c r="F2557" s="42"/>
    </row>
    <row r="2558" customFormat="false" ht="15" hidden="false" customHeight="true" outlineLevel="0" collapsed="false">
      <c r="A2558" s="42"/>
      <c r="B2558" s="42"/>
      <c r="C2558" s="42"/>
      <c r="D2558" s="28" t="str">
        <f aca="false">IF(OR($B2558="",$C2558=""),"",$C2558*IFERROR(INDEX(Setup!$C$47:$C$56,MATCH($B2558,Setup!$A$47:$A$56,0)),IFERROR(INDEX(Setup!$C$60:$C$89,MATCH($B2558,Setup!$A$60:$A$89,0)),"")))</f>
        <v/>
      </c>
      <c r="E2558" s="42"/>
      <c r="F2558" s="42"/>
    </row>
    <row r="2559" customFormat="false" ht="15" hidden="false" customHeight="true" outlineLevel="0" collapsed="false">
      <c r="A2559" s="42"/>
      <c r="B2559" s="42"/>
      <c r="C2559" s="42"/>
      <c r="D2559" s="28" t="str">
        <f aca="false">IF(OR($B2559="",$C2559=""),"",$C2559*IFERROR(INDEX(Setup!$C$47:$C$56,MATCH($B2559,Setup!$A$47:$A$56,0)),IFERROR(INDEX(Setup!$C$60:$C$89,MATCH($B2559,Setup!$A$60:$A$89,0)),"")))</f>
        <v/>
      </c>
      <c r="E2559" s="42"/>
      <c r="F2559" s="42"/>
    </row>
    <row r="2560" customFormat="false" ht="15" hidden="false" customHeight="true" outlineLevel="0" collapsed="false">
      <c r="A2560" s="42"/>
      <c r="B2560" s="42"/>
      <c r="C2560" s="42"/>
      <c r="D2560" s="28" t="str">
        <f aca="false">IF(OR($B2560="",$C2560=""),"",$C2560*IFERROR(INDEX(Setup!$C$47:$C$56,MATCH($B2560,Setup!$A$47:$A$56,0)),IFERROR(INDEX(Setup!$C$60:$C$89,MATCH($B2560,Setup!$A$60:$A$89,0)),"")))</f>
        <v/>
      </c>
      <c r="E2560" s="42"/>
      <c r="F2560" s="42"/>
    </row>
    <row r="2561" customFormat="false" ht="15" hidden="false" customHeight="true" outlineLevel="0" collapsed="false">
      <c r="A2561" s="42"/>
      <c r="B2561" s="42"/>
      <c r="C2561" s="42"/>
      <c r="D2561" s="28" t="str">
        <f aca="false">IF(OR($B2561="",$C2561=""),"",$C2561*IFERROR(INDEX(Setup!$C$47:$C$56,MATCH($B2561,Setup!$A$47:$A$56,0)),IFERROR(INDEX(Setup!$C$60:$C$89,MATCH($B2561,Setup!$A$60:$A$89,0)),"")))</f>
        <v/>
      </c>
      <c r="E2561" s="42"/>
      <c r="F2561" s="42"/>
    </row>
    <row r="2562" customFormat="false" ht="15" hidden="false" customHeight="true" outlineLevel="0" collapsed="false">
      <c r="A2562" s="42"/>
      <c r="B2562" s="42"/>
      <c r="C2562" s="42"/>
      <c r="D2562" s="28" t="str">
        <f aca="false">IF(OR($B2562="",$C2562=""),"",$C2562*IFERROR(INDEX(Setup!$C$47:$C$56,MATCH($B2562,Setup!$A$47:$A$56,0)),IFERROR(INDEX(Setup!$C$60:$C$89,MATCH($B2562,Setup!$A$60:$A$89,0)),"")))</f>
        <v/>
      </c>
      <c r="E2562" s="42"/>
      <c r="F2562" s="42"/>
    </row>
    <row r="2563" customFormat="false" ht="15" hidden="false" customHeight="true" outlineLevel="0" collapsed="false">
      <c r="A2563" s="42"/>
      <c r="B2563" s="42"/>
      <c r="C2563" s="42"/>
      <c r="D2563" s="28" t="str">
        <f aca="false">IF(OR($B2563="",$C2563=""),"",$C2563*IFERROR(INDEX(Setup!$C$47:$C$56,MATCH($B2563,Setup!$A$47:$A$56,0)),IFERROR(INDEX(Setup!$C$60:$C$89,MATCH($B2563,Setup!$A$60:$A$89,0)),"")))</f>
        <v/>
      </c>
      <c r="E2563" s="42"/>
      <c r="F2563" s="42"/>
    </row>
    <row r="2564" customFormat="false" ht="15" hidden="false" customHeight="true" outlineLevel="0" collapsed="false">
      <c r="A2564" s="42"/>
      <c r="B2564" s="42"/>
      <c r="C2564" s="42"/>
      <c r="D2564" s="28" t="str">
        <f aca="false">IF(OR($B2564="",$C2564=""),"",$C2564*IFERROR(INDEX(Setup!$C$47:$C$56,MATCH($B2564,Setup!$A$47:$A$56,0)),IFERROR(INDEX(Setup!$C$60:$C$89,MATCH($B2564,Setup!$A$60:$A$89,0)),"")))</f>
        <v/>
      </c>
      <c r="E2564" s="42"/>
      <c r="F2564" s="42"/>
    </row>
    <row r="2565" customFormat="false" ht="15" hidden="false" customHeight="true" outlineLevel="0" collapsed="false">
      <c r="A2565" s="42"/>
      <c r="B2565" s="42"/>
      <c r="C2565" s="42"/>
      <c r="D2565" s="28" t="str">
        <f aca="false">IF(OR($B2565="",$C2565=""),"",$C2565*IFERROR(INDEX(Setup!$C$47:$C$56,MATCH($B2565,Setup!$A$47:$A$56,0)),IFERROR(INDEX(Setup!$C$60:$C$89,MATCH($B2565,Setup!$A$60:$A$89,0)),"")))</f>
        <v/>
      </c>
      <c r="E2565" s="42"/>
      <c r="F2565" s="42"/>
    </row>
    <row r="2566" customFormat="false" ht="15" hidden="false" customHeight="true" outlineLevel="0" collapsed="false">
      <c r="A2566" s="42"/>
      <c r="B2566" s="42"/>
      <c r="C2566" s="42"/>
      <c r="D2566" s="28" t="str">
        <f aca="false">IF(OR($B2566="",$C2566=""),"",$C2566*IFERROR(INDEX(Setup!$C$47:$C$56,MATCH($B2566,Setup!$A$47:$A$56,0)),IFERROR(INDEX(Setup!$C$60:$C$89,MATCH($B2566,Setup!$A$60:$A$89,0)),"")))</f>
        <v/>
      </c>
      <c r="E2566" s="42"/>
      <c r="F2566" s="42"/>
    </row>
    <row r="2567" customFormat="false" ht="15" hidden="false" customHeight="true" outlineLevel="0" collapsed="false">
      <c r="A2567" s="42"/>
      <c r="B2567" s="42"/>
      <c r="C2567" s="42"/>
      <c r="D2567" s="28" t="str">
        <f aca="false">IF(OR($B2567="",$C2567=""),"",$C2567*IFERROR(INDEX(Setup!$C$47:$C$56,MATCH($B2567,Setup!$A$47:$A$56,0)),IFERROR(INDEX(Setup!$C$60:$C$89,MATCH($B2567,Setup!$A$60:$A$89,0)),"")))</f>
        <v/>
      </c>
      <c r="E2567" s="42"/>
      <c r="F2567" s="42"/>
    </row>
    <row r="2568" customFormat="false" ht="15" hidden="false" customHeight="true" outlineLevel="0" collapsed="false">
      <c r="A2568" s="42"/>
      <c r="B2568" s="42"/>
      <c r="C2568" s="42"/>
      <c r="D2568" s="28" t="str">
        <f aca="false">IF(OR($B2568="",$C2568=""),"",$C2568*IFERROR(INDEX(Setup!$C$47:$C$56,MATCH($B2568,Setup!$A$47:$A$56,0)),IFERROR(INDEX(Setup!$C$60:$C$89,MATCH($B2568,Setup!$A$60:$A$89,0)),"")))</f>
        <v/>
      </c>
      <c r="E2568" s="42"/>
      <c r="F2568" s="42"/>
    </row>
    <row r="2569" customFormat="false" ht="15" hidden="false" customHeight="true" outlineLevel="0" collapsed="false">
      <c r="A2569" s="42"/>
      <c r="B2569" s="42"/>
      <c r="C2569" s="42"/>
      <c r="D2569" s="28" t="str">
        <f aca="false">IF(OR($B2569="",$C2569=""),"",$C2569*IFERROR(INDEX(Setup!$C$47:$C$56,MATCH($B2569,Setup!$A$47:$A$56,0)),IFERROR(INDEX(Setup!$C$60:$C$89,MATCH($B2569,Setup!$A$60:$A$89,0)),"")))</f>
        <v/>
      </c>
      <c r="E2569" s="42"/>
      <c r="F2569" s="42"/>
    </row>
    <row r="2570" customFormat="false" ht="15" hidden="false" customHeight="true" outlineLevel="0" collapsed="false">
      <c r="A2570" s="42"/>
      <c r="B2570" s="42"/>
      <c r="C2570" s="42"/>
      <c r="D2570" s="28" t="str">
        <f aca="false">IF(OR($B2570="",$C2570=""),"",$C2570*IFERROR(INDEX(Setup!$C$47:$C$56,MATCH($B2570,Setup!$A$47:$A$56,0)),IFERROR(INDEX(Setup!$C$60:$C$89,MATCH($B2570,Setup!$A$60:$A$89,0)),"")))</f>
        <v/>
      </c>
      <c r="E2570" s="42"/>
      <c r="F2570" s="42"/>
    </row>
    <row r="2571" customFormat="false" ht="15" hidden="false" customHeight="true" outlineLevel="0" collapsed="false">
      <c r="A2571" s="42"/>
      <c r="B2571" s="42"/>
      <c r="C2571" s="42"/>
      <c r="D2571" s="28" t="str">
        <f aca="false">IF(OR($B2571="",$C2571=""),"",$C2571*IFERROR(INDEX(Setup!$C$47:$C$56,MATCH($B2571,Setup!$A$47:$A$56,0)),IFERROR(INDEX(Setup!$C$60:$C$89,MATCH($B2571,Setup!$A$60:$A$89,0)),"")))</f>
        <v/>
      </c>
      <c r="E2571" s="42"/>
      <c r="F2571" s="42"/>
    </row>
    <row r="2572" customFormat="false" ht="15" hidden="false" customHeight="true" outlineLevel="0" collapsed="false">
      <c r="A2572" s="42"/>
      <c r="B2572" s="42"/>
      <c r="C2572" s="42"/>
      <c r="D2572" s="28" t="str">
        <f aca="false">IF(OR($B2572="",$C2572=""),"",$C2572*IFERROR(INDEX(Setup!$C$47:$C$56,MATCH($B2572,Setup!$A$47:$A$56,0)),IFERROR(INDEX(Setup!$C$60:$C$89,MATCH($B2572,Setup!$A$60:$A$89,0)),"")))</f>
        <v/>
      </c>
      <c r="E2572" s="42"/>
      <c r="F2572" s="42"/>
    </row>
    <row r="2573" customFormat="false" ht="15" hidden="false" customHeight="true" outlineLevel="0" collapsed="false">
      <c r="A2573" s="42"/>
      <c r="B2573" s="42"/>
      <c r="C2573" s="42"/>
      <c r="D2573" s="28" t="str">
        <f aca="false">IF(OR($B2573="",$C2573=""),"",$C2573*IFERROR(INDEX(Setup!$C$47:$C$56,MATCH($B2573,Setup!$A$47:$A$56,0)),IFERROR(INDEX(Setup!$C$60:$C$89,MATCH($B2573,Setup!$A$60:$A$89,0)),"")))</f>
        <v/>
      </c>
      <c r="E2573" s="42"/>
      <c r="F2573" s="42"/>
    </row>
    <row r="2574" customFormat="false" ht="15" hidden="false" customHeight="true" outlineLevel="0" collapsed="false">
      <c r="A2574" s="42"/>
      <c r="B2574" s="42"/>
      <c r="C2574" s="42"/>
      <c r="D2574" s="28" t="str">
        <f aca="false">IF(OR($B2574="",$C2574=""),"",$C2574*IFERROR(INDEX(Setup!$C$47:$C$56,MATCH($B2574,Setup!$A$47:$A$56,0)),IFERROR(INDEX(Setup!$C$60:$C$89,MATCH($B2574,Setup!$A$60:$A$89,0)),"")))</f>
        <v/>
      </c>
      <c r="E2574" s="42"/>
      <c r="F2574" s="42"/>
    </row>
    <row r="2575" customFormat="false" ht="15" hidden="false" customHeight="true" outlineLevel="0" collapsed="false">
      <c r="A2575" s="42"/>
      <c r="B2575" s="42"/>
      <c r="C2575" s="42"/>
      <c r="D2575" s="28" t="str">
        <f aca="false">IF(OR($B2575="",$C2575=""),"",$C2575*IFERROR(INDEX(Setup!$C$47:$C$56,MATCH($B2575,Setup!$A$47:$A$56,0)),IFERROR(INDEX(Setup!$C$60:$C$89,MATCH($B2575,Setup!$A$60:$A$89,0)),"")))</f>
        <v/>
      </c>
      <c r="E2575" s="42"/>
      <c r="F2575" s="42"/>
    </row>
    <row r="2576" customFormat="false" ht="15" hidden="false" customHeight="true" outlineLevel="0" collapsed="false">
      <c r="A2576" s="42"/>
      <c r="B2576" s="42"/>
      <c r="C2576" s="42"/>
      <c r="D2576" s="28" t="str">
        <f aca="false">IF(OR($B2576="",$C2576=""),"",$C2576*IFERROR(INDEX(Setup!$C$47:$C$56,MATCH($B2576,Setup!$A$47:$A$56,0)),IFERROR(INDEX(Setup!$C$60:$C$89,MATCH($B2576,Setup!$A$60:$A$89,0)),"")))</f>
        <v/>
      </c>
      <c r="E2576" s="42"/>
      <c r="F2576" s="42"/>
    </row>
    <row r="2577" customFormat="false" ht="15" hidden="false" customHeight="true" outlineLevel="0" collapsed="false">
      <c r="A2577" s="42"/>
      <c r="B2577" s="42"/>
      <c r="C2577" s="42"/>
      <c r="D2577" s="28" t="str">
        <f aca="false">IF(OR($B2577="",$C2577=""),"",$C2577*IFERROR(INDEX(Setup!$C$47:$C$56,MATCH($B2577,Setup!$A$47:$A$56,0)),IFERROR(INDEX(Setup!$C$60:$C$89,MATCH($B2577,Setup!$A$60:$A$89,0)),"")))</f>
        <v/>
      </c>
      <c r="E2577" s="42"/>
      <c r="F2577" s="42"/>
    </row>
    <row r="2578" customFormat="false" ht="15" hidden="false" customHeight="true" outlineLevel="0" collapsed="false">
      <c r="A2578" s="42"/>
      <c r="B2578" s="42"/>
      <c r="C2578" s="42"/>
      <c r="D2578" s="28" t="str">
        <f aca="false">IF(OR($B2578="",$C2578=""),"",$C2578*IFERROR(INDEX(Setup!$C$47:$C$56,MATCH($B2578,Setup!$A$47:$A$56,0)),IFERROR(INDEX(Setup!$C$60:$C$89,MATCH($B2578,Setup!$A$60:$A$89,0)),"")))</f>
        <v/>
      </c>
      <c r="E2578" s="42"/>
      <c r="F2578" s="42"/>
    </row>
    <row r="2579" customFormat="false" ht="15" hidden="false" customHeight="true" outlineLevel="0" collapsed="false">
      <c r="A2579" s="42"/>
      <c r="B2579" s="42"/>
      <c r="C2579" s="42"/>
      <c r="D2579" s="28" t="str">
        <f aca="false">IF(OR($B2579="",$C2579=""),"",$C2579*IFERROR(INDEX(Setup!$C$47:$C$56,MATCH($B2579,Setup!$A$47:$A$56,0)),IFERROR(INDEX(Setup!$C$60:$C$89,MATCH($B2579,Setup!$A$60:$A$89,0)),"")))</f>
        <v/>
      </c>
      <c r="E2579" s="42"/>
      <c r="F2579" s="42"/>
    </row>
    <row r="2580" customFormat="false" ht="15" hidden="false" customHeight="true" outlineLevel="0" collapsed="false">
      <c r="A2580" s="42"/>
      <c r="B2580" s="42"/>
      <c r="C2580" s="42"/>
      <c r="D2580" s="28" t="str">
        <f aca="false">IF(OR($B2580="",$C2580=""),"",$C2580*IFERROR(INDEX(Setup!$C$47:$C$56,MATCH($B2580,Setup!$A$47:$A$56,0)),IFERROR(INDEX(Setup!$C$60:$C$89,MATCH($B2580,Setup!$A$60:$A$89,0)),"")))</f>
        <v/>
      </c>
      <c r="E2580" s="42"/>
      <c r="F2580" s="42"/>
    </row>
    <row r="2581" customFormat="false" ht="15" hidden="false" customHeight="true" outlineLevel="0" collapsed="false">
      <c r="A2581" s="42"/>
      <c r="B2581" s="42"/>
      <c r="C2581" s="42"/>
      <c r="D2581" s="28" t="str">
        <f aca="false">IF(OR($B2581="",$C2581=""),"",$C2581*IFERROR(INDEX(Setup!$C$47:$C$56,MATCH($B2581,Setup!$A$47:$A$56,0)),IFERROR(INDEX(Setup!$C$60:$C$89,MATCH($B2581,Setup!$A$60:$A$89,0)),"")))</f>
        <v/>
      </c>
      <c r="E2581" s="42"/>
      <c r="F2581" s="42"/>
    </row>
    <row r="2582" customFormat="false" ht="15" hidden="false" customHeight="true" outlineLevel="0" collapsed="false">
      <c r="A2582" s="42"/>
      <c r="B2582" s="42"/>
      <c r="C2582" s="42"/>
      <c r="D2582" s="28" t="str">
        <f aca="false">IF(OR($B2582="",$C2582=""),"",$C2582*IFERROR(INDEX(Setup!$C$47:$C$56,MATCH($B2582,Setup!$A$47:$A$56,0)),IFERROR(INDEX(Setup!$C$60:$C$89,MATCH($B2582,Setup!$A$60:$A$89,0)),"")))</f>
        <v/>
      </c>
      <c r="E2582" s="42"/>
      <c r="F2582" s="42"/>
    </row>
    <row r="2583" customFormat="false" ht="15" hidden="false" customHeight="true" outlineLevel="0" collapsed="false">
      <c r="A2583" s="42"/>
      <c r="B2583" s="42"/>
      <c r="C2583" s="42"/>
      <c r="D2583" s="28" t="str">
        <f aca="false">IF(OR($B2583="",$C2583=""),"",$C2583*IFERROR(INDEX(Setup!$C$47:$C$56,MATCH($B2583,Setup!$A$47:$A$56,0)),IFERROR(INDEX(Setup!$C$60:$C$89,MATCH($B2583,Setup!$A$60:$A$89,0)),"")))</f>
        <v/>
      </c>
      <c r="E2583" s="42"/>
      <c r="F2583" s="42"/>
    </row>
    <row r="2584" customFormat="false" ht="15" hidden="false" customHeight="true" outlineLevel="0" collapsed="false">
      <c r="A2584" s="42"/>
      <c r="B2584" s="42"/>
      <c r="C2584" s="42"/>
      <c r="D2584" s="28" t="str">
        <f aca="false">IF(OR($B2584="",$C2584=""),"",$C2584*IFERROR(INDEX(Setup!$C$47:$C$56,MATCH($B2584,Setup!$A$47:$A$56,0)),IFERROR(INDEX(Setup!$C$60:$C$89,MATCH($B2584,Setup!$A$60:$A$89,0)),"")))</f>
        <v/>
      </c>
      <c r="E2584" s="42"/>
      <c r="F2584" s="42"/>
    </row>
    <row r="2585" customFormat="false" ht="15" hidden="false" customHeight="true" outlineLevel="0" collapsed="false">
      <c r="A2585" s="42"/>
      <c r="B2585" s="42"/>
      <c r="C2585" s="42"/>
      <c r="D2585" s="28" t="str">
        <f aca="false">IF(OR($B2585="",$C2585=""),"",$C2585*IFERROR(INDEX(Setup!$C$47:$C$56,MATCH($B2585,Setup!$A$47:$A$56,0)),IFERROR(INDEX(Setup!$C$60:$C$89,MATCH($B2585,Setup!$A$60:$A$89,0)),"")))</f>
        <v/>
      </c>
      <c r="E2585" s="42"/>
      <c r="F2585" s="42"/>
    </row>
    <row r="2586" customFormat="false" ht="15" hidden="false" customHeight="true" outlineLevel="0" collapsed="false">
      <c r="A2586" s="42"/>
      <c r="B2586" s="42"/>
      <c r="C2586" s="42"/>
      <c r="D2586" s="28" t="str">
        <f aca="false">IF(OR($B2586="",$C2586=""),"",$C2586*IFERROR(INDEX(Setup!$C$47:$C$56,MATCH($B2586,Setup!$A$47:$A$56,0)),IFERROR(INDEX(Setup!$C$60:$C$89,MATCH($B2586,Setup!$A$60:$A$89,0)),"")))</f>
        <v/>
      </c>
      <c r="E2586" s="42"/>
      <c r="F2586" s="42"/>
    </row>
    <row r="2587" customFormat="false" ht="15" hidden="false" customHeight="true" outlineLevel="0" collapsed="false">
      <c r="A2587" s="42"/>
      <c r="B2587" s="42"/>
      <c r="C2587" s="42"/>
      <c r="D2587" s="28" t="str">
        <f aca="false">IF(OR($B2587="",$C2587=""),"",$C2587*IFERROR(INDEX(Setup!$C$47:$C$56,MATCH($B2587,Setup!$A$47:$A$56,0)),IFERROR(INDEX(Setup!$C$60:$C$89,MATCH($B2587,Setup!$A$60:$A$89,0)),"")))</f>
        <v/>
      </c>
      <c r="E2587" s="42"/>
      <c r="F2587" s="42"/>
    </row>
    <row r="2588" customFormat="false" ht="15" hidden="false" customHeight="true" outlineLevel="0" collapsed="false">
      <c r="A2588" s="42"/>
      <c r="B2588" s="42"/>
      <c r="C2588" s="42"/>
      <c r="D2588" s="28" t="str">
        <f aca="false">IF(OR($B2588="",$C2588=""),"",$C2588*IFERROR(INDEX(Setup!$C$47:$C$56,MATCH($B2588,Setup!$A$47:$A$56,0)),IFERROR(INDEX(Setup!$C$60:$C$89,MATCH($B2588,Setup!$A$60:$A$89,0)),"")))</f>
        <v/>
      </c>
      <c r="E2588" s="42"/>
      <c r="F2588" s="42"/>
    </row>
    <row r="2589" customFormat="false" ht="15" hidden="false" customHeight="true" outlineLevel="0" collapsed="false">
      <c r="A2589" s="42"/>
      <c r="B2589" s="42"/>
      <c r="C2589" s="42"/>
      <c r="D2589" s="28" t="str">
        <f aca="false">IF(OR($B2589="",$C2589=""),"",$C2589*IFERROR(INDEX(Setup!$C$47:$C$56,MATCH($B2589,Setup!$A$47:$A$56,0)),IFERROR(INDEX(Setup!$C$60:$C$89,MATCH($B2589,Setup!$A$60:$A$89,0)),"")))</f>
        <v/>
      </c>
      <c r="E2589" s="42"/>
      <c r="F2589" s="42"/>
    </row>
    <row r="2590" customFormat="false" ht="15" hidden="false" customHeight="true" outlineLevel="0" collapsed="false">
      <c r="A2590" s="42"/>
      <c r="B2590" s="42"/>
      <c r="C2590" s="42"/>
      <c r="D2590" s="28" t="str">
        <f aca="false">IF(OR($B2590="",$C2590=""),"",$C2590*IFERROR(INDEX(Setup!$C$47:$C$56,MATCH($B2590,Setup!$A$47:$A$56,0)),IFERROR(INDEX(Setup!$C$60:$C$89,MATCH($B2590,Setup!$A$60:$A$89,0)),"")))</f>
        <v/>
      </c>
      <c r="E2590" s="42"/>
      <c r="F2590" s="42"/>
    </row>
    <row r="2591" customFormat="false" ht="15" hidden="false" customHeight="true" outlineLevel="0" collapsed="false">
      <c r="A2591" s="42"/>
      <c r="B2591" s="42"/>
      <c r="C2591" s="42"/>
      <c r="D2591" s="28" t="str">
        <f aca="false">IF(OR($B2591="",$C2591=""),"",$C2591*IFERROR(INDEX(Setup!$C$47:$C$56,MATCH($B2591,Setup!$A$47:$A$56,0)),IFERROR(INDEX(Setup!$C$60:$C$89,MATCH($B2591,Setup!$A$60:$A$89,0)),"")))</f>
        <v/>
      </c>
      <c r="E2591" s="42"/>
      <c r="F2591" s="42"/>
    </row>
    <row r="2592" customFormat="false" ht="15" hidden="false" customHeight="true" outlineLevel="0" collapsed="false">
      <c r="A2592" s="42"/>
      <c r="B2592" s="42"/>
      <c r="C2592" s="42"/>
      <c r="D2592" s="28" t="str">
        <f aca="false">IF(OR($B2592="",$C2592=""),"",$C2592*IFERROR(INDEX(Setup!$C$47:$C$56,MATCH($B2592,Setup!$A$47:$A$56,0)),IFERROR(INDEX(Setup!$C$60:$C$89,MATCH($B2592,Setup!$A$60:$A$89,0)),"")))</f>
        <v/>
      </c>
      <c r="E2592" s="42"/>
      <c r="F2592" s="42"/>
    </row>
    <row r="2593" customFormat="false" ht="15" hidden="false" customHeight="true" outlineLevel="0" collapsed="false">
      <c r="A2593" s="42"/>
      <c r="B2593" s="42"/>
      <c r="C2593" s="42"/>
      <c r="D2593" s="28" t="str">
        <f aca="false">IF(OR($B2593="",$C2593=""),"",$C2593*IFERROR(INDEX(Setup!$C$47:$C$56,MATCH($B2593,Setup!$A$47:$A$56,0)),IFERROR(INDEX(Setup!$C$60:$C$89,MATCH($B2593,Setup!$A$60:$A$89,0)),"")))</f>
        <v/>
      </c>
      <c r="E2593" s="42"/>
      <c r="F2593" s="42"/>
    </row>
    <row r="2594" customFormat="false" ht="15" hidden="false" customHeight="true" outlineLevel="0" collapsed="false">
      <c r="A2594" s="42"/>
      <c r="B2594" s="42"/>
      <c r="C2594" s="42"/>
      <c r="D2594" s="28" t="str">
        <f aca="false">IF(OR($B2594="",$C2594=""),"",$C2594*IFERROR(INDEX(Setup!$C$47:$C$56,MATCH($B2594,Setup!$A$47:$A$56,0)),IFERROR(INDEX(Setup!$C$60:$C$89,MATCH($B2594,Setup!$A$60:$A$89,0)),"")))</f>
        <v/>
      </c>
      <c r="E2594" s="42"/>
      <c r="F2594" s="42"/>
    </row>
    <row r="2595" customFormat="false" ht="15" hidden="false" customHeight="true" outlineLevel="0" collapsed="false">
      <c r="A2595" s="42"/>
      <c r="B2595" s="42"/>
      <c r="C2595" s="42"/>
      <c r="D2595" s="28" t="str">
        <f aca="false">IF(OR($B2595="",$C2595=""),"",$C2595*IFERROR(INDEX(Setup!$C$47:$C$56,MATCH($B2595,Setup!$A$47:$A$56,0)),IFERROR(INDEX(Setup!$C$60:$C$89,MATCH($B2595,Setup!$A$60:$A$89,0)),"")))</f>
        <v/>
      </c>
      <c r="E2595" s="42"/>
      <c r="F2595" s="42"/>
    </row>
    <row r="2596" customFormat="false" ht="15" hidden="false" customHeight="true" outlineLevel="0" collapsed="false">
      <c r="A2596" s="42"/>
      <c r="B2596" s="42"/>
      <c r="C2596" s="42"/>
      <c r="D2596" s="28" t="str">
        <f aca="false">IF(OR($B2596="",$C2596=""),"",$C2596*IFERROR(INDEX(Setup!$C$47:$C$56,MATCH($B2596,Setup!$A$47:$A$56,0)),IFERROR(INDEX(Setup!$C$60:$C$89,MATCH($B2596,Setup!$A$60:$A$89,0)),"")))</f>
        <v/>
      </c>
      <c r="E2596" s="42"/>
      <c r="F2596" s="42"/>
    </row>
    <row r="2597" customFormat="false" ht="15" hidden="false" customHeight="true" outlineLevel="0" collapsed="false">
      <c r="A2597" s="42"/>
      <c r="B2597" s="42"/>
      <c r="C2597" s="42"/>
      <c r="D2597" s="28" t="str">
        <f aca="false">IF(OR($B2597="",$C2597=""),"",$C2597*IFERROR(INDEX(Setup!$C$47:$C$56,MATCH($B2597,Setup!$A$47:$A$56,0)),IFERROR(INDEX(Setup!$C$60:$C$89,MATCH($B2597,Setup!$A$60:$A$89,0)),"")))</f>
        <v/>
      </c>
      <c r="E2597" s="42"/>
      <c r="F2597" s="42"/>
    </row>
    <row r="2598" customFormat="false" ht="15" hidden="false" customHeight="true" outlineLevel="0" collapsed="false">
      <c r="A2598" s="42"/>
      <c r="B2598" s="42"/>
      <c r="C2598" s="42"/>
      <c r="D2598" s="28" t="str">
        <f aca="false">IF(OR($B2598="",$C2598=""),"",$C2598*IFERROR(INDEX(Setup!$C$47:$C$56,MATCH($B2598,Setup!$A$47:$A$56,0)),IFERROR(INDEX(Setup!$C$60:$C$89,MATCH($B2598,Setup!$A$60:$A$89,0)),"")))</f>
        <v/>
      </c>
      <c r="E2598" s="42"/>
      <c r="F2598" s="42"/>
    </row>
    <row r="2599" customFormat="false" ht="15" hidden="false" customHeight="true" outlineLevel="0" collapsed="false">
      <c r="A2599" s="42"/>
      <c r="B2599" s="42"/>
      <c r="C2599" s="42"/>
      <c r="D2599" s="28" t="str">
        <f aca="false">IF(OR($B2599="",$C2599=""),"",$C2599*IFERROR(INDEX(Setup!$C$47:$C$56,MATCH($B2599,Setup!$A$47:$A$56,0)),IFERROR(INDEX(Setup!$C$60:$C$89,MATCH($B2599,Setup!$A$60:$A$89,0)),"")))</f>
        <v/>
      </c>
      <c r="E2599" s="42"/>
      <c r="F2599" s="42"/>
    </row>
    <row r="2600" customFormat="false" ht="15" hidden="false" customHeight="true" outlineLevel="0" collapsed="false">
      <c r="A2600" s="42"/>
      <c r="B2600" s="42"/>
      <c r="C2600" s="42"/>
      <c r="D2600" s="28" t="str">
        <f aca="false">IF(OR($B2600="",$C2600=""),"",$C2600*IFERROR(INDEX(Setup!$C$47:$C$56,MATCH($B2600,Setup!$A$47:$A$56,0)),IFERROR(INDEX(Setup!$C$60:$C$89,MATCH($B2600,Setup!$A$60:$A$89,0)),"")))</f>
        <v/>
      </c>
      <c r="E2600" s="42"/>
      <c r="F2600" s="42"/>
    </row>
    <row r="2601" customFormat="false" ht="15" hidden="false" customHeight="true" outlineLevel="0" collapsed="false">
      <c r="A2601" s="42"/>
      <c r="B2601" s="42"/>
      <c r="C2601" s="42"/>
      <c r="D2601" s="28" t="str">
        <f aca="false">IF(OR($B2601="",$C2601=""),"",$C2601*IFERROR(INDEX(Setup!$C$47:$C$56,MATCH($B2601,Setup!$A$47:$A$56,0)),IFERROR(INDEX(Setup!$C$60:$C$89,MATCH($B2601,Setup!$A$60:$A$89,0)),"")))</f>
        <v/>
      </c>
      <c r="E2601" s="42"/>
      <c r="F2601" s="42"/>
    </row>
    <row r="2602" customFormat="false" ht="15" hidden="false" customHeight="true" outlineLevel="0" collapsed="false">
      <c r="A2602" s="42"/>
      <c r="B2602" s="42"/>
      <c r="C2602" s="42"/>
      <c r="D2602" s="28" t="str">
        <f aca="false">IF(OR($B2602="",$C2602=""),"",$C2602*IFERROR(INDEX(Setup!$C$47:$C$56,MATCH($B2602,Setup!$A$47:$A$56,0)),IFERROR(INDEX(Setup!$C$60:$C$89,MATCH($B2602,Setup!$A$60:$A$89,0)),"")))</f>
        <v/>
      </c>
      <c r="E2602" s="42"/>
      <c r="F2602" s="42"/>
    </row>
    <row r="2603" customFormat="false" ht="15" hidden="false" customHeight="true" outlineLevel="0" collapsed="false">
      <c r="A2603" s="42"/>
      <c r="B2603" s="42"/>
      <c r="C2603" s="42"/>
      <c r="D2603" s="28" t="str">
        <f aca="false">IF(OR($B2603="",$C2603=""),"",$C2603*IFERROR(INDEX(Setup!$C$47:$C$56,MATCH($B2603,Setup!$A$47:$A$56,0)),IFERROR(INDEX(Setup!$C$60:$C$89,MATCH($B2603,Setup!$A$60:$A$89,0)),"")))</f>
        <v/>
      </c>
      <c r="E2603" s="42"/>
      <c r="F2603" s="42"/>
    </row>
    <row r="2604" customFormat="false" ht="15" hidden="false" customHeight="true" outlineLevel="0" collapsed="false">
      <c r="A2604" s="42"/>
      <c r="B2604" s="42"/>
      <c r="C2604" s="42"/>
      <c r="D2604" s="28" t="str">
        <f aca="false">IF(OR($B2604="",$C2604=""),"",$C2604*IFERROR(INDEX(Setup!$C$47:$C$56,MATCH($B2604,Setup!$A$47:$A$56,0)),IFERROR(INDEX(Setup!$C$60:$C$89,MATCH($B2604,Setup!$A$60:$A$89,0)),"")))</f>
        <v/>
      </c>
      <c r="E2604" s="42"/>
      <c r="F2604" s="42"/>
    </row>
    <row r="2605" customFormat="false" ht="15" hidden="false" customHeight="true" outlineLevel="0" collapsed="false">
      <c r="A2605" s="42"/>
      <c r="B2605" s="42"/>
      <c r="C2605" s="42"/>
      <c r="D2605" s="28" t="str">
        <f aca="false">IF(OR($B2605="",$C2605=""),"",$C2605*IFERROR(INDEX(Setup!$C$47:$C$56,MATCH($B2605,Setup!$A$47:$A$56,0)),IFERROR(INDEX(Setup!$C$60:$C$89,MATCH($B2605,Setup!$A$60:$A$89,0)),"")))</f>
        <v/>
      </c>
      <c r="E2605" s="42"/>
      <c r="F2605" s="42"/>
    </row>
    <row r="2606" customFormat="false" ht="15" hidden="false" customHeight="true" outlineLevel="0" collapsed="false">
      <c r="A2606" s="42"/>
      <c r="B2606" s="42"/>
      <c r="C2606" s="42"/>
      <c r="D2606" s="28" t="str">
        <f aca="false">IF(OR($B2606="",$C2606=""),"",$C2606*IFERROR(INDEX(Setup!$C$47:$C$56,MATCH($B2606,Setup!$A$47:$A$56,0)),IFERROR(INDEX(Setup!$C$60:$C$89,MATCH($B2606,Setup!$A$60:$A$89,0)),"")))</f>
        <v/>
      </c>
      <c r="E2606" s="42"/>
      <c r="F2606" s="42"/>
    </row>
    <row r="2607" customFormat="false" ht="15" hidden="false" customHeight="true" outlineLevel="0" collapsed="false">
      <c r="A2607" s="42"/>
      <c r="B2607" s="42"/>
      <c r="C2607" s="42"/>
      <c r="D2607" s="28" t="str">
        <f aca="false">IF(OR($B2607="",$C2607=""),"",$C2607*IFERROR(INDEX(Setup!$C$47:$C$56,MATCH($B2607,Setup!$A$47:$A$56,0)),IFERROR(INDEX(Setup!$C$60:$C$89,MATCH($B2607,Setup!$A$60:$A$89,0)),"")))</f>
        <v/>
      </c>
      <c r="E2607" s="42"/>
      <c r="F2607" s="42"/>
    </row>
    <row r="2608" customFormat="false" ht="15" hidden="false" customHeight="true" outlineLevel="0" collapsed="false">
      <c r="A2608" s="42"/>
      <c r="B2608" s="42"/>
      <c r="C2608" s="42"/>
      <c r="D2608" s="28" t="str">
        <f aca="false">IF(OR($B2608="",$C2608=""),"",$C2608*IFERROR(INDEX(Setup!$C$47:$C$56,MATCH($B2608,Setup!$A$47:$A$56,0)),IFERROR(INDEX(Setup!$C$60:$C$89,MATCH($B2608,Setup!$A$60:$A$89,0)),"")))</f>
        <v/>
      </c>
      <c r="E2608" s="42"/>
      <c r="F2608" s="42"/>
    </row>
    <row r="2609" customFormat="false" ht="15" hidden="false" customHeight="true" outlineLevel="0" collapsed="false">
      <c r="A2609" s="42"/>
      <c r="B2609" s="42"/>
      <c r="C2609" s="42"/>
      <c r="D2609" s="28" t="str">
        <f aca="false">IF(OR($B2609="",$C2609=""),"",$C2609*IFERROR(INDEX(Setup!$C$47:$C$56,MATCH($B2609,Setup!$A$47:$A$56,0)),IFERROR(INDEX(Setup!$C$60:$C$89,MATCH($B2609,Setup!$A$60:$A$89,0)),"")))</f>
        <v/>
      </c>
      <c r="E2609" s="42"/>
      <c r="F2609" s="42"/>
    </row>
    <row r="2610" customFormat="false" ht="15" hidden="false" customHeight="true" outlineLevel="0" collapsed="false">
      <c r="A2610" s="42"/>
      <c r="B2610" s="42"/>
      <c r="C2610" s="42"/>
      <c r="D2610" s="28" t="str">
        <f aca="false">IF(OR($B2610="",$C2610=""),"",$C2610*IFERROR(INDEX(Setup!$C$47:$C$56,MATCH($B2610,Setup!$A$47:$A$56,0)),IFERROR(INDEX(Setup!$C$60:$C$89,MATCH($B2610,Setup!$A$60:$A$89,0)),"")))</f>
        <v/>
      </c>
      <c r="E2610" s="42"/>
      <c r="F2610" s="42"/>
    </row>
    <row r="2611" customFormat="false" ht="15" hidden="false" customHeight="true" outlineLevel="0" collapsed="false">
      <c r="A2611" s="42"/>
      <c r="B2611" s="42"/>
      <c r="C2611" s="42"/>
      <c r="D2611" s="28" t="str">
        <f aca="false">IF(OR($B2611="",$C2611=""),"",$C2611*IFERROR(INDEX(Setup!$C$47:$C$56,MATCH($B2611,Setup!$A$47:$A$56,0)),IFERROR(INDEX(Setup!$C$60:$C$89,MATCH($B2611,Setup!$A$60:$A$89,0)),"")))</f>
        <v/>
      </c>
      <c r="E2611" s="42"/>
      <c r="F2611" s="42"/>
    </row>
    <row r="2612" customFormat="false" ht="15" hidden="false" customHeight="true" outlineLevel="0" collapsed="false">
      <c r="A2612" s="42"/>
      <c r="B2612" s="42"/>
      <c r="C2612" s="42"/>
      <c r="D2612" s="28" t="str">
        <f aca="false">IF(OR($B2612="",$C2612=""),"",$C2612*IFERROR(INDEX(Setup!$C$47:$C$56,MATCH($B2612,Setup!$A$47:$A$56,0)),IFERROR(INDEX(Setup!$C$60:$C$89,MATCH($B2612,Setup!$A$60:$A$89,0)),"")))</f>
        <v/>
      </c>
      <c r="E2612" s="42"/>
      <c r="F2612" s="42"/>
    </row>
    <row r="2613" customFormat="false" ht="15" hidden="false" customHeight="true" outlineLevel="0" collapsed="false">
      <c r="A2613" s="42"/>
      <c r="B2613" s="42"/>
      <c r="C2613" s="42"/>
      <c r="D2613" s="28" t="str">
        <f aca="false">IF(OR($B2613="",$C2613=""),"",$C2613*IFERROR(INDEX(Setup!$C$47:$C$56,MATCH($B2613,Setup!$A$47:$A$56,0)),IFERROR(INDEX(Setup!$C$60:$C$89,MATCH($B2613,Setup!$A$60:$A$89,0)),"")))</f>
        <v/>
      </c>
      <c r="E2613" s="42"/>
      <c r="F2613" s="42"/>
    </row>
    <row r="2614" customFormat="false" ht="15" hidden="false" customHeight="true" outlineLevel="0" collapsed="false">
      <c r="A2614" s="42"/>
      <c r="B2614" s="42"/>
      <c r="C2614" s="42"/>
      <c r="D2614" s="28" t="str">
        <f aca="false">IF(OR($B2614="",$C2614=""),"",$C2614*IFERROR(INDEX(Setup!$C$47:$C$56,MATCH($B2614,Setup!$A$47:$A$56,0)),IFERROR(INDEX(Setup!$C$60:$C$89,MATCH($B2614,Setup!$A$60:$A$89,0)),"")))</f>
        <v/>
      </c>
      <c r="E2614" s="42"/>
      <c r="F2614" s="42"/>
    </row>
    <row r="2615" customFormat="false" ht="15" hidden="false" customHeight="true" outlineLevel="0" collapsed="false">
      <c r="A2615" s="42"/>
      <c r="B2615" s="42"/>
      <c r="C2615" s="42"/>
      <c r="D2615" s="28" t="str">
        <f aca="false">IF(OR($B2615="",$C2615=""),"",$C2615*IFERROR(INDEX(Setup!$C$47:$C$56,MATCH($B2615,Setup!$A$47:$A$56,0)),IFERROR(INDEX(Setup!$C$60:$C$89,MATCH($B2615,Setup!$A$60:$A$89,0)),"")))</f>
        <v/>
      </c>
      <c r="E2615" s="42"/>
      <c r="F2615" s="42"/>
    </row>
    <row r="2616" customFormat="false" ht="15" hidden="false" customHeight="true" outlineLevel="0" collapsed="false">
      <c r="A2616" s="42"/>
      <c r="B2616" s="42"/>
      <c r="C2616" s="42"/>
      <c r="D2616" s="28" t="str">
        <f aca="false">IF(OR($B2616="",$C2616=""),"",$C2616*IFERROR(INDEX(Setup!$C$47:$C$56,MATCH($B2616,Setup!$A$47:$A$56,0)),IFERROR(INDEX(Setup!$C$60:$C$89,MATCH($B2616,Setup!$A$60:$A$89,0)),"")))</f>
        <v/>
      </c>
      <c r="E2616" s="42"/>
      <c r="F2616" s="42"/>
    </row>
    <row r="2617" customFormat="false" ht="15" hidden="false" customHeight="true" outlineLevel="0" collapsed="false">
      <c r="A2617" s="42"/>
      <c r="B2617" s="42"/>
      <c r="C2617" s="42"/>
      <c r="D2617" s="28" t="str">
        <f aca="false">IF(OR($B2617="",$C2617=""),"",$C2617*IFERROR(INDEX(Setup!$C$47:$C$56,MATCH($B2617,Setup!$A$47:$A$56,0)),IFERROR(INDEX(Setup!$C$60:$C$89,MATCH($B2617,Setup!$A$60:$A$89,0)),"")))</f>
        <v/>
      </c>
      <c r="E2617" s="42"/>
      <c r="F2617" s="42"/>
    </row>
    <row r="2618" customFormat="false" ht="15" hidden="false" customHeight="true" outlineLevel="0" collapsed="false">
      <c r="A2618" s="42"/>
      <c r="B2618" s="42"/>
      <c r="C2618" s="42"/>
      <c r="D2618" s="28" t="str">
        <f aca="false">IF(OR($B2618="",$C2618=""),"",$C2618*IFERROR(INDEX(Setup!$C$47:$C$56,MATCH($B2618,Setup!$A$47:$A$56,0)),IFERROR(INDEX(Setup!$C$60:$C$89,MATCH($B2618,Setup!$A$60:$A$89,0)),"")))</f>
        <v/>
      </c>
      <c r="E2618" s="42"/>
      <c r="F2618" s="42"/>
    </row>
    <row r="2619" customFormat="false" ht="15" hidden="false" customHeight="true" outlineLevel="0" collapsed="false">
      <c r="A2619" s="42"/>
      <c r="B2619" s="42"/>
      <c r="C2619" s="42"/>
      <c r="D2619" s="28" t="str">
        <f aca="false">IF(OR($B2619="",$C2619=""),"",$C2619*IFERROR(INDEX(Setup!$C$47:$C$56,MATCH($B2619,Setup!$A$47:$A$56,0)),IFERROR(INDEX(Setup!$C$60:$C$89,MATCH($B2619,Setup!$A$60:$A$89,0)),"")))</f>
        <v/>
      </c>
      <c r="E2619" s="42"/>
      <c r="F2619" s="42"/>
    </row>
    <row r="2620" customFormat="false" ht="15" hidden="false" customHeight="true" outlineLevel="0" collapsed="false">
      <c r="A2620" s="42"/>
      <c r="B2620" s="42"/>
      <c r="C2620" s="42"/>
      <c r="D2620" s="28" t="str">
        <f aca="false">IF(OR($B2620="",$C2620=""),"",$C2620*IFERROR(INDEX(Setup!$C$47:$C$56,MATCH($B2620,Setup!$A$47:$A$56,0)),IFERROR(INDEX(Setup!$C$60:$C$89,MATCH($B2620,Setup!$A$60:$A$89,0)),"")))</f>
        <v/>
      </c>
      <c r="E2620" s="42"/>
      <c r="F2620" s="42"/>
    </row>
    <row r="2621" customFormat="false" ht="15" hidden="false" customHeight="true" outlineLevel="0" collapsed="false">
      <c r="A2621" s="42"/>
      <c r="B2621" s="42"/>
      <c r="C2621" s="42"/>
      <c r="D2621" s="28" t="str">
        <f aca="false">IF(OR($B2621="",$C2621=""),"",$C2621*IFERROR(INDEX(Setup!$C$47:$C$56,MATCH($B2621,Setup!$A$47:$A$56,0)),IFERROR(INDEX(Setup!$C$60:$C$89,MATCH($B2621,Setup!$A$60:$A$89,0)),"")))</f>
        <v/>
      </c>
      <c r="E2621" s="42"/>
      <c r="F2621" s="42"/>
    </row>
    <row r="2622" customFormat="false" ht="15" hidden="false" customHeight="true" outlineLevel="0" collapsed="false">
      <c r="A2622" s="42"/>
      <c r="B2622" s="42"/>
      <c r="C2622" s="42"/>
      <c r="D2622" s="28" t="str">
        <f aca="false">IF(OR($B2622="",$C2622=""),"",$C2622*IFERROR(INDEX(Setup!$C$47:$C$56,MATCH($B2622,Setup!$A$47:$A$56,0)),IFERROR(INDEX(Setup!$C$60:$C$89,MATCH($B2622,Setup!$A$60:$A$89,0)),"")))</f>
        <v/>
      </c>
      <c r="E2622" s="42"/>
      <c r="F2622" s="42"/>
    </row>
    <row r="2623" customFormat="false" ht="15" hidden="false" customHeight="true" outlineLevel="0" collapsed="false">
      <c r="A2623" s="42"/>
      <c r="B2623" s="42"/>
      <c r="C2623" s="42"/>
      <c r="D2623" s="28" t="str">
        <f aca="false">IF(OR($B2623="",$C2623=""),"",$C2623*IFERROR(INDEX(Setup!$C$47:$C$56,MATCH($B2623,Setup!$A$47:$A$56,0)),IFERROR(INDEX(Setup!$C$60:$C$89,MATCH($B2623,Setup!$A$60:$A$89,0)),"")))</f>
        <v/>
      </c>
      <c r="E2623" s="42"/>
      <c r="F2623" s="42"/>
    </row>
    <row r="2624" customFormat="false" ht="15" hidden="false" customHeight="true" outlineLevel="0" collapsed="false">
      <c r="A2624" s="42"/>
      <c r="B2624" s="42"/>
      <c r="C2624" s="42"/>
      <c r="D2624" s="28" t="str">
        <f aca="false">IF(OR($B2624="",$C2624=""),"",$C2624*IFERROR(INDEX(Setup!$C$47:$C$56,MATCH($B2624,Setup!$A$47:$A$56,0)),IFERROR(INDEX(Setup!$C$60:$C$89,MATCH($B2624,Setup!$A$60:$A$89,0)),"")))</f>
        <v/>
      </c>
      <c r="E2624" s="42"/>
      <c r="F2624" s="42"/>
    </row>
    <row r="2625" customFormat="false" ht="15" hidden="false" customHeight="true" outlineLevel="0" collapsed="false">
      <c r="A2625" s="42"/>
      <c r="B2625" s="42"/>
      <c r="C2625" s="42"/>
      <c r="D2625" s="28" t="str">
        <f aca="false">IF(OR($B2625="",$C2625=""),"",$C2625*IFERROR(INDEX(Setup!$C$47:$C$56,MATCH($B2625,Setup!$A$47:$A$56,0)),IFERROR(INDEX(Setup!$C$60:$C$89,MATCH($B2625,Setup!$A$60:$A$89,0)),"")))</f>
        <v/>
      </c>
      <c r="E2625" s="42"/>
      <c r="F2625" s="42"/>
    </row>
    <row r="2626" customFormat="false" ht="15" hidden="false" customHeight="true" outlineLevel="0" collapsed="false">
      <c r="A2626" s="42"/>
      <c r="B2626" s="42"/>
      <c r="C2626" s="42"/>
      <c r="D2626" s="28" t="str">
        <f aca="false">IF(OR($B2626="",$C2626=""),"",$C2626*IFERROR(INDEX(Setup!$C$47:$C$56,MATCH($B2626,Setup!$A$47:$A$56,0)),IFERROR(INDEX(Setup!$C$60:$C$89,MATCH($B2626,Setup!$A$60:$A$89,0)),"")))</f>
        <v/>
      </c>
      <c r="E2626" s="42"/>
      <c r="F2626" s="42"/>
    </row>
    <row r="2627" customFormat="false" ht="15" hidden="false" customHeight="true" outlineLevel="0" collapsed="false">
      <c r="A2627" s="42"/>
      <c r="B2627" s="42"/>
      <c r="C2627" s="42"/>
      <c r="D2627" s="28" t="str">
        <f aca="false">IF(OR($B2627="",$C2627=""),"",$C2627*IFERROR(INDEX(Setup!$C$47:$C$56,MATCH($B2627,Setup!$A$47:$A$56,0)),IFERROR(INDEX(Setup!$C$60:$C$89,MATCH($B2627,Setup!$A$60:$A$89,0)),"")))</f>
        <v/>
      </c>
      <c r="E2627" s="42"/>
      <c r="F2627" s="42"/>
    </row>
    <row r="2628" customFormat="false" ht="15" hidden="false" customHeight="true" outlineLevel="0" collapsed="false">
      <c r="A2628" s="42"/>
      <c r="B2628" s="42"/>
      <c r="C2628" s="42"/>
      <c r="D2628" s="28" t="str">
        <f aca="false">IF(OR($B2628="",$C2628=""),"",$C2628*IFERROR(INDEX(Setup!$C$47:$C$56,MATCH($B2628,Setup!$A$47:$A$56,0)),IFERROR(INDEX(Setup!$C$60:$C$89,MATCH($B2628,Setup!$A$60:$A$89,0)),"")))</f>
        <v/>
      </c>
      <c r="E2628" s="42"/>
      <c r="F2628" s="42"/>
    </row>
    <row r="2629" customFormat="false" ht="15" hidden="false" customHeight="true" outlineLevel="0" collapsed="false">
      <c r="A2629" s="42"/>
      <c r="B2629" s="42"/>
      <c r="C2629" s="42"/>
      <c r="D2629" s="28" t="str">
        <f aca="false">IF(OR($B2629="",$C2629=""),"",$C2629*IFERROR(INDEX(Setup!$C$47:$C$56,MATCH($B2629,Setup!$A$47:$A$56,0)),IFERROR(INDEX(Setup!$C$60:$C$89,MATCH($B2629,Setup!$A$60:$A$89,0)),"")))</f>
        <v/>
      </c>
      <c r="E2629" s="42"/>
      <c r="F2629" s="42"/>
    </row>
    <row r="2630" customFormat="false" ht="15" hidden="false" customHeight="true" outlineLevel="0" collapsed="false">
      <c r="A2630" s="42"/>
      <c r="B2630" s="42"/>
      <c r="C2630" s="42"/>
      <c r="D2630" s="28" t="str">
        <f aca="false">IF(OR($B2630="",$C2630=""),"",$C2630*IFERROR(INDEX(Setup!$C$47:$C$56,MATCH($B2630,Setup!$A$47:$A$56,0)),IFERROR(INDEX(Setup!$C$60:$C$89,MATCH($B2630,Setup!$A$60:$A$89,0)),"")))</f>
        <v/>
      </c>
      <c r="E2630" s="42"/>
      <c r="F2630" s="42"/>
    </row>
    <row r="2631" customFormat="false" ht="15" hidden="false" customHeight="true" outlineLevel="0" collapsed="false">
      <c r="A2631" s="42"/>
      <c r="B2631" s="42"/>
      <c r="C2631" s="42"/>
      <c r="D2631" s="28" t="str">
        <f aca="false">IF(OR($B2631="",$C2631=""),"",$C2631*IFERROR(INDEX(Setup!$C$47:$C$56,MATCH($B2631,Setup!$A$47:$A$56,0)),IFERROR(INDEX(Setup!$C$60:$C$89,MATCH($B2631,Setup!$A$60:$A$89,0)),"")))</f>
        <v/>
      </c>
      <c r="E2631" s="42"/>
      <c r="F2631" s="42"/>
    </row>
    <row r="2632" customFormat="false" ht="15" hidden="false" customHeight="true" outlineLevel="0" collapsed="false">
      <c r="A2632" s="42"/>
      <c r="B2632" s="42"/>
      <c r="C2632" s="42"/>
      <c r="D2632" s="28" t="str">
        <f aca="false">IF(OR($B2632="",$C2632=""),"",$C2632*IFERROR(INDEX(Setup!$C$47:$C$56,MATCH($B2632,Setup!$A$47:$A$56,0)),IFERROR(INDEX(Setup!$C$60:$C$89,MATCH($B2632,Setup!$A$60:$A$89,0)),"")))</f>
        <v/>
      </c>
      <c r="E2632" s="42"/>
      <c r="F2632" s="42"/>
    </row>
    <row r="2633" customFormat="false" ht="15" hidden="false" customHeight="true" outlineLevel="0" collapsed="false">
      <c r="A2633" s="42"/>
      <c r="B2633" s="42"/>
      <c r="C2633" s="42"/>
      <c r="D2633" s="28" t="str">
        <f aca="false">IF(OR($B2633="",$C2633=""),"",$C2633*IFERROR(INDEX(Setup!$C$47:$C$56,MATCH($B2633,Setup!$A$47:$A$56,0)),IFERROR(INDEX(Setup!$C$60:$C$89,MATCH($B2633,Setup!$A$60:$A$89,0)),"")))</f>
        <v/>
      </c>
      <c r="E2633" s="42"/>
      <c r="F2633" s="42"/>
    </row>
    <row r="2634" customFormat="false" ht="15" hidden="false" customHeight="true" outlineLevel="0" collapsed="false">
      <c r="A2634" s="42"/>
      <c r="B2634" s="42"/>
      <c r="C2634" s="42"/>
      <c r="D2634" s="28" t="str">
        <f aca="false">IF(OR($B2634="",$C2634=""),"",$C2634*IFERROR(INDEX(Setup!$C$47:$C$56,MATCH($B2634,Setup!$A$47:$A$56,0)),IFERROR(INDEX(Setup!$C$60:$C$89,MATCH($B2634,Setup!$A$60:$A$89,0)),"")))</f>
        <v/>
      </c>
      <c r="E2634" s="42"/>
      <c r="F2634" s="42"/>
    </row>
    <row r="2635" customFormat="false" ht="15" hidden="false" customHeight="true" outlineLevel="0" collapsed="false">
      <c r="A2635" s="42"/>
      <c r="B2635" s="42"/>
      <c r="C2635" s="42"/>
      <c r="D2635" s="28" t="str">
        <f aca="false">IF(OR($B2635="",$C2635=""),"",$C2635*IFERROR(INDEX(Setup!$C$47:$C$56,MATCH($B2635,Setup!$A$47:$A$56,0)),IFERROR(INDEX(Setup!$C$60:$C$89,MATCH($B2635,Setup!$A$60:$A$89,0)),"")))</f>
        <v/>
      </c>
      <c r="E2635" s="42"/>
      <c r="F2635" s="42"/>
    </row>
    <row r="2636" customFormat="false" ht="15" hidden="false" customHeight="true" outlineLevel="0" collapsed="false">
      <c r="A2636" s="42"/>
      <c r="B2636" s="42"/>
      <c r="C2636" s="42"/>
      <c r="D2636" s="28" t="str">
        <f aca="false">IF(OR($B2636="",$C2636=""),"",$C2636*IFERROR(INDEX(Setup!$C$47:$C$56,MATCH($B2636,Setup!$A$47:$A$56,0)),IFERROR(INDEX(Setup!$C$60:$C$89,MATCH($B2636,Setup!$A$60:$A$89,0)),"")))</f>
        <v/>
      </c>
      <c r="E2636" s="42"/>
      <c r="F2636" s="42"/>
    </row>
    <row r="2637" customFormat="false" ht="15" hidden="false" customHeight="true" outlineLevel="0" collapsed="false">
      <c r="A2637" s="42"/>
      <c r="B2637" s="42"/>
      <c r="C2637" s="42"/>
      <c r="D2637" s="28" t="str">
        <f aca="false">IF(OR($B2637="",$C2637=""),"",$C2637*IFERROR(INDEX(Setup!$C$47:$C$56,MATCH($B2637,Setup!$A$47:$A$56,0)),IFERROR(INDEX(Setup!$C$60:$C$89,MATCH($B2637,Setup!$A$60:$A$89,0)),"")))</f>
        <v/>
      </c>
      <c r="E2637" s="42"/>
      <c r="F2637" s="42"/>
    </row>
    <row r="2638" customFormat="false" ht="15" hidden="false" customHeight="true" outlineLevel="0" collapsed="false">
      <c r="A2638" s="42"/>
      <c r="B2638" s="42"/>
      <c r="C2638" s="42"/>
      <c r="D2638" s="28" t="str">
        <f aca="false">IF(OR($B2638="",$C2638=""),"",$C2638*IFERROR(INDEX(Setup!$C$47:$C$56,MATCH($B2638,Setup!$A$47:$A$56,0)),IFERROR(INDEX(Setup!$C$60:$C$89,MATCH($B2638,Setup!$A$60:$A$89,0)),"")))</f>
        <v/>
      </c>
      <c r="E2638" s="42"/>
      <c r="F2638" s="42"/>
    </row>
    <row r="2639" customFormat="false" ht="15" hidden="false" customHeight="true" outlineLevel="0" collapsed="false">
      <c r="A2639" s="42"/>
      <c r="B2639" s="42"/>
      <c r="C2639" s="42"/>
      <c r="D2639" s="28" t="str">
        <f aca="false">IF(OR($B2639="",$C2639=""),"",$C2639*IFERROR(INDEX(Setup!$C$47:$C$56,MATCH($B2639,Setup!$A$47:$A$56,0)),IFERROR(INDEX(Setup!$C$60:$C$89,MATCH($B2639,Setup!$A$60:$A$89,0)),"")))</f>
        <v/>
      </c>
      <c r="E2639" s="42"/>
      <c r="F2639" s="42"/>
    </row>
    <row r="2640" customFormat="false" ht="15" hidden="false" customHeight="true" outlineLevel="0" collapsed="false">
      <c r="A2640" s="42"/>
      <c r="B2640" s="42"/>
      <c r="C2640" s="42"/>
      <c r="D2640" s="28" t="str">
        <f aca="false">IF(OR($B2640="",$C2640=""),"",$C2640*IFERROR(INDEX(Setup!$C$47:$C$56,MATCH($B2640,Setup!$A$47:$A$56,0)),IFERROR(INDEX(Setup!$C$60:$C$89,MATCH($B2640,Setup!$A$60:$A$89,0)),"")))</f>
        <v/>
      </c>
      <c r="E2640" s="42"/>
      <c r="F2640" s="42"/>
    </row>
    <row r="2641" customFormat="false" ht="15" hidden="false" customHeight="true" outlineLevel="0" collapsed="false">
      <c r="A2641" s="42"/>
      <c r="B2641" s="42"/>
      <c r="C2641" s="42"/>
      <c r="D2641" s="28" t="str">
        <f aca="false">IF(OR($B2641="",$C2641=""),"",$C2641*IFERROR(INDEX(Setup!$C$47:$C$56,MATCH($B2641,Setup!$A$47:$A$56,0)),IFERROR(INDEX(Setup!$C$60:$C$89,MATCH($B2641,Setup!$A$60:$A$89,0)),"")))</f>
        <v/>
      </c>
      <c r="E2641" s="42"/>
      <c r="F2641" s="42"/>
    </row>
    <row r="2642" customFormat="false" ht="15" hidden="false" customHeight="true" outlineLevel="0" collapsed="false">
      <c r="A2642" s="42"/>
      <c r="B2642" s="42"/>
      <c r="C2642" s="42"/>
      <c r="D2642" s="28" t="str">
        <f aca="false">IF(OR($B2642="",$C2642=""),"",$C2642*IFERROR(INDEX(Setup!$C$47:$C$56,MATCH($B2642,Setup!$A$47:$A$56,0)),IFERROR(INDEX(Setup!$C$60:$C$89,MATCH($B2642,Setup!$A$60:$A$89,0)),"")))</f>
        <v/>
      </c>
      <c r="E2642" s="42"/>
      <c r="F2642" s="42"/>
    </row>
    <row r="2643" customFormat="false" ht="15" hidden="false" customHeight="true" outlineLevel="0" collapsed="false">
      <c r="A2643" s="42"/>
      <c r="B2643" s="42"/>
      <c r="C2643" s="42"/>
      <c r="D2643" s="28" t="str">
        <f aca="false">IF(OR($B2643="",$C2643=""),"",$C2643*IFERROR(INDEX(Setup!$C$47:$C$56,MATCH($B2643,Setup!$A$47:$A$56,0)),IFERROR(INDEX(Setup!$C$60:$C$89,MATCH($B2643,Setup!$A$60:$A$89,0)),"")))</f>
        <v/>
      </c>
      <c r="E2643" s="42"/>
      <c r="F2643" s="42"/>
    </row>
    <row r="2644" customFormat="false" ht="15" hidden="false" customHeight="true" outlineLevel="0" collapsed="false">
      <c r="A2644" s="42"/>
      <c r="B2644" s="42"/>
      <c r="C2644" s="42"/>
      <c r="D2644" s="28" t="str">
        <f aca="false">IF(OR($B2644="",$C2644=""),"",$C2644*IFERROR(INDEX(Setup!$C$47:$C$56,MATCH($B2644,Setup!$A$47:$A$56,0)),IFERROR(INDEX(Setup!$C$60:$C$89,MATCH($B2644,Setup!$A$60:$A$89,0)),"")))</f>
        <v/>
      </c>
      <c r="E2644" s="42"/>
      <c r="F2644" s="42"/>
    </row>
    <row r="2645" customFormat="false" ht="15" hidden="false" customHeight="true" outlineLevel="0" collapsed="false">
      <c r="A2645" s="42"/>
      <c r="B2645" s="42"/>
      <c r="C2645" s="42"/>
      <c r="D2645" s="28" t="str">
        <f aca="false">IF(OR($B2645="",$C2645=""),"",$C2645*IFERROR(INDEX(Setup!$C$47:$C$56,MATCH($B2645,Setup!$A$47:$A$56,0)),IFERROR(INDEX(Setup!$C$60:$C$89,MATCH($B2645,Setup!$A$60:$A$89,0)),"")))</f>
        <v/>
      </c>
      <c r="E2645" s="42"/>
      <c r="F2645" s="42"/>
    </row>
    <row r="2646" customFormat="false" ht="15" hidden="false" customHeight="true" outlineLevel="0" collapsed="false">
      <c r="A2646" s="42"/>
      <c r="B2646" s="42"/>
      <c r="C2646" s="42"/>
      <c r="D2646" s="28" t="str">
        <f aca="false">IF(OR($B2646="",$C2646=""),"",$C2646*IFERROR(INDEX(Setup!$C$47:$C$56,MATCH($B2646,Setup!$A$47:$A$56,0)),IFERROR(INDEX(Setup!$C$60:$C$89,MATCH($B2646,Setup!$A$60:$A$89,0)),"")))</f>
        <v/>
      </c>
      <c r="E2646" s="42"/>
      <c r="F2646" s="42"/>
    </row>
    <row r="2647" customFormat="false" ht="15" hidden="false" customHeight="true" outlineLevel="0" collapsed="false">
      <c r="A2647" s="42"/>
      <c r="B2647" s="42"/>
      <c r="C2647" s="42"/>
      <c r="D2647" s="28" t="str">
        <f aca="false">IF(OR($B2647="",$C2647=""),"",$C2647*IFERROR(INDEX(Setup!$C$47:$C$56,MATCH($B2647,Setup!$A$47:$A$56,0)),IFERROR(INDEX(Setup!$C$60:$C$89,MATCH($B2647,Setup!$A$60:$A$89,0)),"")))</f>
        <v/>
      </c>
      <c r="E2647" s="42"/>
      <c r="F2647" s="42"/>
    </row>
    <row r="2648" customFormat="false" ht="15" hidden="false" customHeight="true" outlineLevel="0" collapsed="false">
      <c r="A2648" s="42"/>
      <c r="B2648" s="42"/>
      <c r="C2648" s="42"/>
      <c r="D2648" s="28" t="str">
        <f aca="false">IF(OR($B2648="",$C2648=""),"",$C2648*IFERROR(INDEX(Setup!$C$47:$C$56,MATCH($B2648,Setup!$A$47:$A$56,0)),IFERROR(INDEX(Setup!$C$60:$C$89,MATCH($B2648,Setup!$A$60:$A$89,0)),"")))</f>
        <v/>
      </c>
      <c r="E2648" s="42"/>
      <c r="F2648" s="42"/>
    </row>
    <row r="2649" customFormat="false" ht="15" hidden="false" customHeight="true" outlineLevel="0" collapsed="false">
      <c r="A2649" s="42"/>
      <c r="B2649" s="42"/>
      <c r="C2649" s="42"/>
      <c r="D2649" s="28" t="str">
        <f aca="false">IF(OR($B2649="",$C2649=""),"",$C2649*IFERROR(INDEX(Setup!$C$47:$C$56,MATCH($B2649,Setup!$A$47:$A$56,0)),IFERROR(INDEX(Setup!$C$60:$C$89,MATCH($B2649,Setup!$A$60:$A$89,0)),"")))</f>
        <v/>
      </c>
      <c r="E2649" s="42"/>
      <c r="F2649" s="42"/>
    </row>
    <row r="2650" customFormat="false" ht="15" hidden="false" customHeight="true" outlineLevel="0" collapsed="false">
      <c r="A2650" s="42"/>
      <c r="B2650" s="42"/>
      <c r="C2650" s="42"/>
      <c r="D2650" s="28" t="str">
        <f aca="false">IF(OR($B2650="",$C2650=""),"",$C2650*IFERROR(INDEX(Setup!$C$47:$C$56,MATCH($B2650,Setup!$A$47:$A$56,0)),IFERROR(INDEX(Setup!$C$60:$C$89,MATCH($B2650,Setup!$A$60:$A$89,0)),"")))</f>
        <v/>
      </c>
      <c r="E2650" s="42"/>
      <c r="F2650" s="42"/>
    </row>
    <row r="2651" customFormat="false" ht="15" hidden="false" customHeight="true" outlineLevel="0" collapsed="false">
      <c r="A2651" s="42"/>
      <c r="B2651" s="42"/>
      <c r="C2651" s="42"/>
      <c r="D2651" s="28" t="str">
        <f aca="false">IF(OR($B2651="",$C2651=""),"",$C2651*IFERROR(INDEX(Setup!$C$47:$C$56,MATCH($B2651,Setup!$A$47:$A$56,0)),IFERROR(INDEX(Setup!$C$60:$C$89,MATCH($B2651,Setup!$A$60:$A$89,0)),"")))</f>
        <v/>
      </c>
      <c r="E2651" s="42"/>
      <c r="F2651" s="42"/>
    </row>
    <row r="2652" customFormat="false" ht="15" hidden="false" customHeight="true" outlineLevel="0" collapsed="false">
      <c r="A2652" s="42"/>
      <c r="B2652" s="42"/>
      <c r="C2652" s="42"/>
      <c r="D2652" s="28" t="str">
        <f aca="false">IF(OR($B2652="",$C2652=""),"",$C2652*IFERROR(INDEX(Setup!$C$47:$C$56,MATCH($B2652,Setup!$A$47:$A$56,0)),IFERROR(INDEX(Setup!$C$60:$C$89,MATCH($B2652,Setup!$A$60:$A$89,0)),"")))</f>
        <v/>
      </c>
      <c r="E2652" s="42"/>
      <c r="F2652" s="42"/>
    </row>
    <row r="2653" customFormat="false" ht="15" hidden="false" customHeight="true" outlineLevel="0" collapsed="false">
      <c r="A2653" s="42"/>
      <c r="B2653" s="42"/>
      <c r="C2653" s="42"/>
      <c r="D2653" s="28" t="str">
        <f aca="false">IF(OR($B2653="",$C2653=""),"",$C2653*IFERROR(INDEX(Setup!$C$47:$C$56,MATCH($B2653,Setup!$A$47:$A$56,0)),IFERROR(INDEX(Setup!$C$60:$C$89,MATCH($B2653,Setup!$A$60:$A$89,0)),"")))</f>
        <v/>
      </c>
      <c r="E2653" s="42"/>
      <c r="F2653" s="42"/>
    </row>
    <row r="2654" customFormat="false" ht="15" hidden="false" customHeight="true" outlineLevel="0" collapsed="false">
      <c r="A2654" s="42"/>
      <c r="B2654" s="42"/>
      <c r="C2654" s="42"/>
      <c r="D2654" s="28" t="str">
        <f aca="false">IF(OR($B2654="",$C2654=""),"",$C2654*IFERROR(INDEX(Setup!$C$47:$C$56,MATCH($B2654,Setup!$A$47:$A$56,0)),IFERROR(INDEX(Setup!$C$60:$C$89,MATCH($B2654,Setup!$A$60:$A$89,0)),"")))</f>
        <v/>
      </c>
      <c r="E2654" s="42"/>
      <c r="F2654" s="42"/>
    </row>
    <row r="2655" customFormat="false" ht="15" hidden="false" customHeight="true" outlineLevel="0" collapsed="false">
      <c r="A2655" s="42"/>
      <c r="B2655" s="42"/>
      <c r="C2655" s="42"/>
      <c r="D2655" s="28" t="str">
        <f aca="false">IF(OR($B2655="",$C2655=""),"",$C2655*IFERROR(INDEX(Setup!$C$47:$C$56,MATCH($B2655,Setup!$A$47:$A$56,0)),IFERROR(INDEX(Setup!$C$60:$C$89,MATCH($B2655,Setup!$A$60:$A$89,0)),"")))</f>
        <v/>
      </c>
      <c r="E2655" s="42"/>
      <c r="F2655" s="42"/>
    </row>
    <row r="2656" customFormat="false" ht="15" hidden="false" customHeight="true" outlineLevel="0" collapsed="false">
      <c r="A2656" s="42"/>
      <c r="B2656" s="42"/>
      <c r="C2656" s="42"/>
      <c r="D2656" s="28" t="str">
        <f aca="false">IF(OR($B2656="",$C2656=""),"",$C2656*IFERROR(INDEX(Setup!$C$47:$C$56,MATCH($B2656,Setup!$A$47:$A$56,0)),IFERROR(INDEX(Setup!$C$60:$C$89,MATCH($B2656,Setup!$A$60:$A$89,0)),"")))</f>
        <v/>
      </c>
      <c r="E2656" s="42"/>
      <c r="F2656" s="42"/>
    </row>
    <row r="2657" customFormat="false" ht="15" hidden="false" customHeight="true" outlineLevel="0" collapsed="false">
      <c r="A2657" s="42"/>
      <c r="B2657" s="42"/>
      <c r="C2657" s="42"/>
      <c r="D2657" s="28" t="str">
        <f aca="false">IF(OR($B2657="",$C2657=""),"",$C2657*IFERROR(INDEX(Setup!$C$47:$C$56,MATCH($B2657,Setup!$A$47:$A$56,0)),IFERROR(INDEX(Setup!$C$60:$C$89,MATCH($B2657,Setup!$A$60:$A$89,0)),"")))</f>
        <v/>
      </c>
      <c r="E2657" s="42"/>
      <c r="F2657" s="42"/>
    </row>
    <row r="2658" customFormat="false" ht="15" hidden="false" customHeight="true" outlineLevel="0" collapsed="false">
      <c r="A2658" s="42"/>
      <c r="B2658" s="42"/>
      <c r="C2658" s="42"/>
      <c r="D2658" s="28" t="str">
        <f aca="false">IF(OR($B2658="",$C2658=""),"",$C2658*IFERROR(INDEX(Setup!$C$47:$C$56,MATCH($B2658,Setup!$A$47:$A$56,0)),IFERROR(INDEX(Setup!$C$60:$C$89,MATCH($B2658,Setup!$A$60:$A$89,0)),"")))</f>
        <v/>
      </c>
      <c r="E2658" s="42"/>
      <c r="F2658" s="42"/>
    </row>
    <row r="2659" customFormat="false" ht="15" hidden="false" customHeight="true" outlineLevel="0" collapsed="false">
      <c r="A2659" s="42"/>
      <c r="B2659" s="42"/>
      <c r="C2659" s="42"/>
      <c r="D2659" s="28" t="str">
        <f aca="false">IF(OR($B2659="",$C2659=""),"",$C2659*IFERROR(INDEX(Setup!$C$47:$C$56,MATCH($B2659,Setup!$A$47:$A$56,0)),IFERROR(INDEX(Setup!$C$60:$C$89,MATCH($B2659,Setup!$A$60:$A$89,0)),"")))</f>
        <v/>
      </c>
      <c r="E2659" s="42"/>
      <c r="F2659" s="42"/>
    </row>
    <row r="2660" customFormat="false" ht="15" hidden="false" customHeight="true" outlineLevel="0" collapsed="false">
      <c r="A2660" s="42"/>
      <c r="B2660" s="42"/>
      <c r="C2660" s="42"/>
      <c r="D2660" s="28" t="str">
        <f aca="false">IF(OR($B2660="",$C2660=""),"",$C2660*IFERROR(INDEX(Setup!$C$47:$C$56,MATCH($B2660,Setup!$A$47:$A$56,0)),IFERROR(INDEX(Setup!$C$60:$C$89,MATCH($B2660,Setup!$A$60:$A$89,0)),"")))</f>
        <v/>
      </c>
      <c r="E2660" s="42"/>
      <c r="F2660" s="42"/>
    </row>
    <row r="2661" customFormat="false" ht="15" hidden="false" customHeight="true" outlineLevel="0" collapsed="false">
      <c r="A2661" s="42"/>
      <c r="B2661" s="42"/>
      <c r="C2661" s="42"/>
      <c r="D2661" s="28" t="str">
        <f aca="false">IF(OR($B2661="",$C2661=""),"",$C2661*IFERROR(INDEX(Setup!$C$47:$C$56,MATCH($B2661,Setup!$A$47:$A$56,0)),IFERROR(INDEX(Setup!$C$60:$C$89,MATCH($B2661,Setup!$A$60:$A$89,0)),"")))</f>
        <v/>
      </c>
      <c r="E2661" s="42"/>
      <c r="F2661" s="42"/>
    </row>
    <row r="2662" customFormat="false" ht="15" hidden="false" customHeight="true" outlineLevel="0" collapsed="false">
      <c r="A2662" s="42"/>
      <c r="B2662" s="42"/>
      <c r="C2662" s="42"/>
      <c r="D2662" s="28" t="str">
        <f aca="false">IF(OR($B2662="",$C2662=""),"",$C2662*IFERROR(INDEX(Setup!$C$47:$C$56,MATCH($B2662,Setup!$A$47:$A$56,0)),IFERROR(INDEX(Setup!$C$60:$C$89,MATCH($B2662,Setup!$A$60:$A$89,0)),"")))</f>
        <v/>
      </c>
      <c r="E2662" s="42"/>
      <c r="F2662" s="42"/>
    </row>
    <row r="2663" customFormat="false" ht="15" hidden="false" customHeight="true" outlineLevel="0" collapsed="false">
      <c r="A2663" s="42"/>
      <c r="B2663" s="42"/>
      <c r="C2663" s="42"/>
      <c r="D2663" s="28" t="str">
        <f aca="false">IF(OR($B2663="",$C2663=""),"",$C2663*IFERROR(INDEX(Setup!$C$47:$C$56,MATCH($B2663,Setup!$A$47:$A$56,0)),IFERROR(INDEX(Setup!$C$60:$C$89,MATCH($B2663,Setup!$A$60:$A$89,0)),"")))</f>
        <v/>
      </c>
      <c r="E2663" s="42"/>
      <c r="F2663" s="42"/>
    </row>
    <row r="2664" customFormat="false" ht="15" hidden="false" customHeight="true" outlineLevel="0" collapsed="false">
      <c r="A2664" s="42"/>
      <c r="B2664" s="42"/>
      <c r="C2664" s="42"/>
      <c r="D2664" s="28" t="str">
        <f aca="false">IF(OR($B2664="",$C2664=""),"",$C2664*IFERROR(INDEX(Setup!$C$47:$C$56,MATCH($B2664,Setup!$A$47:$A$56,0)),IFERROR(INDEX(Setup!$C$60:$C$89,MATCH($B2664,Setup!$A$60:$A$89,0)),"")))</f>
        <v/>
      </c>
      <c r="E2664" s="42"/>
      <c r="F2664" s="42"/>
    </row>
    <row r="2665" customFormat="false" ht="15" hidden="false" customHeight="true" outlineLevel="0" collapsed="false">
      <c r="A2665" s="42"/>
      <c r="B2665" s="42"/>
      <c r="C2665" s="42"/>
      <c r="D2665" s="28" t="str">
        <f aca="false">IF(OR($B2665="",$C2665=""),"",$C2665*IFERROR(INDEX(Setup!$C$47:$C$56,MATCH($B2665,Setup!$A$47:$A$56,0)),IFERROR(INDEX(Setup!$C$60:$C$89,MATCH($B2665,Setup!$A$60:$A$89,0)),"")))</f>
        <v/>
      </c>
      <c r="E2665" s="42"/>
      <c r="F2665" s="42"/>
    </row>
    <row r="2666" customFormat="false" ht="15" hidden="false" customHeight="true" outlineLevel="0" collapsed="false">
      <c r="A2666" s="42"/>
      <c r="B2666" s="42"/>
      <c r="C2666" s="42"/>
      <c r="D2666" s="28" t="str">
        <f aca="false">IF(OR($B2666="",$C2666=""),"",$C2666*IFERROR(INDEX(Setup!$C$47:$C$56,MATCH($B2666,Setup!$A$47:$A$56,0)),IFERROR(INDEX(Setup!$C$60:$C$89,MATCH($B2666,Setup!$A$60:$A$89,0)),"")))</f>
        <v/>
      </c>
      <c r="E2666" s="42"/>
      <c r="F2666" s="42"/>
    </row>
    <row r="2667" customFormat="false" ht="15" hidden="false" customHeight="true" outlineLevel="0" collapsed="false">
      <c r="A2667" s="42"/>
      <c r="B2667" s="42"/>
      <c r="C2667" s="42"/>
      <c r="D2667" s="28" t="str">
        <f aca="false">IF(OR($B2667="",$C2667=""),"",$C2667*IFERROR(INDEX(Setup!$C$47:$C$56,MATCH($B2667,Setup!$A$47:$A$56,0)),IFERROR(INDEX(Setup!$C$60:$C$89,MATCH($B2667,Setup!$A$60:$A$89,0)),"")))</f>
        <v/>
      </c>
      <c r="E2667" s="42"/>
      <c r="F2667" s="42"/>
    </row>
    <row r="2668" customFormat="false" ht="15" hidden="false" customHeight="true" outlineLevel="0" collapsed="false">
      <c r="A2668" s="42"/>
      <c r="B2668" s="42"/>
      <c r="C2668" s="42"/>
      <c r="D2668" s="28" t="str">
        <f aca="false">IF(OR($B2668="",$C2668=""),"",$C2668*IFERROR(INDEX(Setup!$C$47:$C$56,MATCH($B2668,Setup!$A$47:$A$56,0)),IFERROR(INDEX(Setup!$C$60:$C$89,MATCH($B2668,Setup!$A$60:$A$89,0)),"")))</f>
        <v/>
      </c>
      <c r="E2668" s="42"/>
      <c r="F2668" s="42"/>
    </row>
    <row r="2669" customFormat="false" ht="15" hidden="false" customHeight="true" outlineLevel="0" collapsed="false">
      <c r="A2669" s="42"/>
      <c r="B2669" s="42"/>
      <c r="C2669" s="42"/>
      <c r="D2669" s="28" t="str">
        <f aca="false">IF(OR($B2669="",$C2669=""),"",$C2669*IFERROR(INDEX(Setup!$C$47:$C$56,MATCH($B2669,Setup!$A$47:$A$56,0)),IFERROR(INDEX(Setup!$C$60:$C$89,MATCH($B2669,Setup!$A$60:$A$89,0)),"")))</f>
        <v/>
      </c>
      <c r="E2669" s="42"/>
      <c r="F2669" s="42"/>
    </row>
    <row r="2670" customFormat="false" ht="15" hidden="false" customHeight="true" outlineLevel="0" collapsed="false">
      <c r="A2670" s="42"/>
      <c r="B2670" s="42"/>
      <c r="C2670" s="42"/>
      <c r="D2670" s="28" t="str">
        <f aca="false">IF(OR($B2670="",$C2670=""),"",$C2670*IFERROR(INDEX(Setup!$C$47:$C$56,MATCH($B2670,Setup!$A$47:$A$56,0)),IFERROR(INDEX(Setup!$C$60:$C$89,MATCH($B2670,Setup!$A$60:$A$89,0)),"")))</f>
        <v/>
      </c>
      <c r="E2670" s="42"/>
      <c r="F2670" s="42"/>
    </row>
    <row r="2671" customFormat="false" ht="15" hidden="false" customHeight="true" outlineLevel="0" collapsed="false">
      <c r="A2671" s="42"/>
      <c r="B2671" s="42"/>
      <c r="C2671" s="42"/>
      <c r="D2671" s="28" t="str">
        <f aca="false">IF(OR($B2671="",$C2671=""),"",$C2671*IFERROR(INDEX(Setup!$C$47:$C$56,MATCH($B2671,Setup!$A$47:$A$56,0)),IFERROR(INDEX(Setup!$C$60:$C$89,MATCH($B2671,Setup!$A$60:$A$89,0)),"")))</f>
        <v/>
      </c>
      <c r="E2671" s="42"/>
      <c r="F2671" s="42"/>
    </row>
    <row r="2672" customFormat="false" ht="15" hidden="false" customHeight="true" outlineLevel="0" collapsed="false">
      <c r="A2672" s="42"/>
      <c r="B2672" s="42"/>
      <c r="C2672" s="42"/>
      <c r="D2672" s="28" t="str">
        <f aca="false">IF(OR($B2672="",$C2672=""),"",$C2672*IFERROR(INDEX(Setup!$C$47:$C$56,MATCH($B2672,Setup!$A$47:$A$56,0)),IFERROR(INDEX(Setup!$C$60:$C$89,MATCH($B2672,Setup!$A$60:$A$89,0)),"")))</f>
        <v/>
      </c>
      <c r="E2672" s="42"/>
      <c r="F2672" s="42"/>
    </row>
    <row r="2673" customFormat="false" ht="15" hidden="false" customHeight="true" outlineLevel="0" collapsed="false">
      <c r="A2673" s="42"/>
      <c r="B2673" s="42"/>
      <c r="C2673" s="42"/>
      <c r="D2673" s="28" t="str">
        <f aca="false">IF(OR($B2673="",$C2673=""),"",$C2673*IFERROR(INDEX(Setup!$C$47:$C$56,MATCH($B2673,Setup!$A$47:$A$56,0)),IFERROR(INDEX(Setup!$C$60:$C$89,MATCH($B2673,Setup!$A$60:$A$89,0)),"")))</f>
        <v/>
      </c>
      <c r="E2673" s="42"/>
      <c r="F2673" s="42"/>
    </row>
    <row r="2674" customFormat="false" ht="15" hidden="false" customHeight="true" outlineLevel="0" collapsed="false">
      <c r="A2674" s="42"/>
      <c r="B2674" s="42"/>
      <c r="C2674" s="42"/>
      <c r="D2674" s="28" t="str">
        <f aca="false">IF(OR($B2674="",$C2674=""),"",$C2674*IFERROR(INDEX(Setup!$C$47:$C$56,MATCH($B2674,Setup!$A$47:$A$56,0)),IFERROR(INDEX(Setup!$C$60:$C$89,MATCH($B2674,Setup!$A$60:$A$89,0)),"")))</f>
        <v/>
      </c>
      <c r="E2674" s="42"/>
      <c r="F2674" s="42"/>
    </row>
    <row r="2675" customFormat="false" ht="15" hidden="false" customHeight="true" outlineLevel="0" collapsed="false">
      <c r="A2675" s="42"/>
      <c r="B2675" s="42"/>
      <c r="C2675" s="42"/>
      <c r="D2675" s="28" t="str">
        <f aca="false">IF(OR($B2675="",$C2675=""),"",$C2675*IFERROR(INDEX(Setup!$C$47:$C$56,MATCH($B2675,Setup!$A$47:$A$56,0)),IFERROR(INDEX(Setup!$C$60:$C$89,MATCH($B2675,Setup!$A$60:$A$89,0)),"")))</f>
        <v/>
      </c>
      <c r="E2675" s="42"/>
      <c r="F2675" s="42"/>
    </row>
    <row r="2676" customFormat="false" ht="15" hidden="false" customHeight="true" outlineLevel="0" collapsed="false">
      <c r="A2676" s="42"/>
      <c r="B2676" s="42"/>
      <c r="C2676" s="42"/>
      <c r="D2676" s="28" t="str">
        <f aca="false">IF(OR($B2676="",$C2676=""),"",$C2676*IFERROR(INDEX(Setup!$C$47:$C$56,MATCH($B2676,Setup!$A$47:$A$56,0)),IFERROR(INDEX(Setup!$C$60:$C$89,MATCH($B2676,Setup!$A$60:$A$89,0)),"")))</f>
        <v/>
      </c>
      <c r="E2676" s="42"/>
      <c r="F2676" s="42"/>
    </row>
    <row r="2677" customFormat="false" ht="15" hidden="false" customHeight="true" outlineLevel="0" collapsed="false">
      <c r="A2677" s="42"/>
      <c r="B2677" s="42"/>
      <c r="C2677" s="42"/>
      <c r="D2677" s="28" t="str">
        <f aca="false">IF(OR($B2677="",$C2677=""),"",$C2677*IFERROR(INDEX(Setup!$C$47:$C$56,MATCH($B2677,Setup!$A$47:$A$56,0)),IFERROR(INDEX(Setup!$C$60:$C$89,MATCH($B2677,Setup!$A$60:$A$89,0)),"")))</f>
        <v/>
      </c>
      <c r="E2677" s="42"/>
      <c r="F2677" s="42"/>
    </row>
    <row r="2678" customFormat="false" ht="15" hidden="false" customHeight="true" outlineLevel="0" collapsed="false">
      <c r="A2678" s="42"/>
      <c r="B2678" s="42"/>
      <c r="C2678" s="42"/>
      <c r="D2678" s="28" t="str">
        <f aca="false">IF(OR($B2678="",$C2678=""),"",$C2678*IFERROR(INDEX(Setup!$C$47:$C$56,MATCH($B2678,Setup!$A$47:$A$56,0)),IFERROR(INDEX(Setup!$C$60:$C$89,MATCH($B2678,Setup!$A$60:$A$89,0)),"")))</f>
        <v/>
      </c>
      <c r="E2678" s="42"/>
      <c r="F2678" s="42"/>
    </row>
    <row r="2679" customFormat="false" ht="15" hidden="false" customHeight="true" outlineLevel="0" collapsed="false">
      <c r="A2679" s="42"/>
      <c r="B2679" s="42"/>
      <c r="C2679" s="42"/>
      <c r="D2679" s="28" t="str">
        <f aca="false">IF(OR($B2679="",$C2679=""),"",$C2679*IFERROR(INDEX(Setup!$C$47:$C$56,MATCH($B2679,Setup!$A$47:$A$56,0)),IFERROR(INDEX(Setup!$C$60:$C$89,MATCH($B2679,Setup!$A$60:$A$89,0)),"")))</f>
        <v/>
      </c>
      <c r="E2679" s="42"/>
      <c r="F2679" s="42"/>
    </row>
    <row r="2680" customFormat="false" ht="15" hidden="false" customHeight="true" outlineLevel="0" collapsed="false">
      <c r="A2680" s="42"/>
      <c r="B2680" s="42"/>
      <c r="C2680" s="42"/>
      <c r="D2680" s="28" t="str">
        <f aca="false">IF(OR($B2680="",$C2680=""),"",$C2680*IFERROR(INDEX(Setup!$C$47:$C$56,MATCH($B2680,Setup!$A$47:$A$56,0)),IFERROR(INDEX(Setup!$C$60:$C$89,MATCH($B2680,Setup!$A$60:$A$89,0)),"")))</f>
        <v/>
      </c>
      <c r="E2680" s="42"/>
      <c r="F2680" s="42"/>
    </row>
    <row r="2681" customFormat="false" ht="15" hidden="false" customHeight="true" outlineLevel="0" collapsed="false">
      <c r="A2681" s="42"/>
      <c r="B2681" s="42"/>
      <c r="C2681" s="42"/>
      <c r="D2681" s="28" t="str">
        <f aca="false">IF(OR($B2681="",$C2681=""),"",$C2681*IFERROR(INDEX(Setup!$C$47:$C$56,MATCH($B2681,Setup!$A$47:$A$56,0)),IFERROR(INDEX(Setup!$C$60:$C$89,MATCH($B2681,Setup!$A$60:$A$89,0)),"")))</f>
        <v/>
      </c>
      <c r="E2681" s="42"/>
      <c r="F2681" s="42"/>
    </row>
    <row r="2682" customFormat="false" ht="15" hidden="false" customHeight="true" outlineLevel="0" collapsed="false">
      <c r="A2682" s="42"/>
      <c r="B2682" s="42"/>
      <c r="C2682" s="42"/>
      <c r="D2682" s="28" t="str">
        <f aca="false">IF(OR($B2682="",$C2682=""),"",$C2682*IFERROR(INDEX(Setup!$C$47:$C$56,MATCH($B2682,Setup!$A$47:$A$56,0)),IFERROR(INDEX(Setup!$C$60:$C$89,MATCH($B2682,Setup!$A$60:$A$89,0)),"")))</f>
        <v/>
      </c>
      <c r="E2682" s="42"/>
      <c r="F2682" s="42"/>
    </row>
    <row r="2683" customFormat="false" ht="15" hidden="false" customHeight="true" outlineLevel="0" collapsed="false">
      <c r="A2683" s="42"/>
      <c r="B2683" s="42"/>
      <c r="C2683" s="42"/>
      <c r="D2683" s="28" t="str">
        <f aca="false">IF(OR($B2683="",$C2683=""),"",$C2683*IFERROR(INDEX(Setup!$C$47:$C$56,MATCH($B2683,Setup!$A$47:$A$56,0)),IFERROR(INDEX(Setup!$C$60:$C$89,MATCH($B2683,Setup!$A$60:$A$89,0)),"")))</f>
        <v/>
      </c>
      <c r="E2683" s="42"/>
      <c r="F2683" s="42"/>
    </row>
    <row r="2684" customFormat="false" ht="15" hidden="false" customHeight="true" outlineLevel="0" collapsed="false">
      <c r="A2684" s="42"/>
      <c r="B2684" s="42"/>
      <c r="C2684" s="42"/>
      <c r="D2684" s="28" t="str">
        <f aca="false">IF(OR($B2684="",$C2684=""),"",$C2684*IFERROR(INDEX(Setup!$C$47:$C$56,MATCH($B2684,Setup!$A$47:$A$56,0)),IFERROR(INDEX(Setup!$C$60:$C$89,MATCH($B2684,Setup!$A$60:$A$89,0)),"")))</f>
        <v/>
      </c>
      <c r="E2684" s="42"/>
      <c r="F2684" s="42"/>
    </row>
    <row r="2685" customFormat="false" ht="15" hidden="false" customHeight="true" outlineLevel="0" collapsed="false">
      <c r="A2685" s="42"/>
      <c r="B2685" s="42"/>
      <c r="C2685" s="42"/>
      <c r="D2685" s="28" t="str">
        <f aca="false">IF(OR($B2685="",$C2685=""),"",$C2685*IFERROR(INDEX(Setup!$C$47:$C$56,MATCH($B2685,Setup!$A$47:$A$56,0)),IFERROR(INDEX(Setup!$C$60:$C$89,MATCH($B2685,Setup!$A$60:$A$89,0)),"")))</f>
        <v/>
      </c>
      <c r="E2685" s="42"/>
      <c r="F2685" s="42"/>
    </row>
    <row r="2686" customFormat="false" ht="15" hidden="false" customHeight="true" outlineLevel="0" collapsed="false">
      <c r="A2686" s="42"/>
      <c r="B2686" s="42"/>
      <c r="C2686" s="42"/>
      <c r="D2686" s="28" t="str">
        <f aca="false">IF(OR($B2686="",$C2686=""),"",$C2686*IFERROR(INDEX(Setup!$C$47:$C$56,MATCH($B2686,Setup!$A$47:$A$56,0)),IFERROR(INDEX(Setup!$C$60:$C$89,MATCH($B2686,Setup!$A$60:$A$89,0)),"")))</f>
        <v/>
      </c>
      <c r="E2686" s="42"/>
      <c r="F2686" s="42"/>
    </row>
    <row r="2687" customFormat="false" ht="15" hidden="false" customHeight="true" outlineLevel="0" collapsed="false">
      <c r="A2687" s="42"/>
      <c r="B2687" s="42"/>
      <c r="C2687" s="42"/>
      <c r="D2687" s="28" t="str">
        <f aca="false">IF(OR($B2687="",$C2687=""),"",$C2687*IFERROR(INDEX(Setup!$C$47:$C$56,MATCH($B2687,Setup!$A$47:$A$56,0)),IFERROR(INDEX(Setup!$C$60:$C$89,MATCH($B2687,Setup!$A$60:$A$89,0)),"")))</f>
        <v/>
      </c>
      <c r="E2687" s="42"/>
      <c r="F2687" s="42"/>
    </row>
    <row r="2688" customFormat="false" ht="15" hidden="false" customHeight="true" outlineLevel="0" collapsed="false">
      <c r="A2688" s="42"/>
      <c r="B2688" s="42"/>
      <c r="C2688" s="42"/>
      <c r="D2688" s="28" t="str">
        <f aca="false">IF(OR($B2688="",$C2688=""),"",$C2688*IFERROR(INDEX(Setup!$C$47:$C$56,MATCH($B2688,Setup!$A$47:$A$56,0)),IFERROR(INDEX(Setup!$C$60:$C$89,MATCH($B2688,Setup!$A$60:$A$89,0)),"")))</f>
        <v/>
      </c>
      <c r="E2688" s="42"/>
      <c r="F2688" s="42"/>
    </row>
    <row r="2689" customFormat="false" ht="15" hidden="false" customHeight="true" outlineLevel="0" collapsed="false">
      <c r="A2689" s="42"/>
      <c r="B2689" s="42"/>
      <c r="C2689" s="42"/>
      <c r="D2689" s="28" t="str">
        <f aca="false">IF(OR($B2689="",$C2689=""),"",$C2689*IFERROR(INDEX(Setup!$C$47:$C$56,MATCH($B2689,Setup!$A$47:$A$56,0)),IFERROR(INDEX(Setup!$C$60:$C$89,MATCH($B2689,Setup!$A$60:$A$89,0)),"")))</f>
        <v/>
      </c>
      <c r="E2689" s="42"/>
      <c r="F2689" s="42"/>
    </row>
    <row r="2690" customFormat="false" ht="15" hidden="false" customHeight="true" outlineLevel="0" collapsed="false">
      <c r="A2690" s="42"/>
      <c r="B2690" s="42"/>
      <c r="C2690" s="42"/>
      <c r="D2690" s="28" t="str">
        <f aca="false">IF(OR($B2690="",$C2690=""),"",$C2690*IFERROR(INDEX(Setup!$C$47:$C$56,MATCH($B2690,Setup!$A$47:$A$56,0)),IFERROR(INDEX(Setup!$C$60:$C$89,MATCH($B2690,Setup!$A$60:$A$89,0)),"")))</f>
        <v/>
      </c>
      <c r="E2690" s="42"/>
      <c r="F2690" s="42"/>
    </row>
    <row r="2691" customFormat="false" ht="15" hidden="false" customHeight="true" outlineLevel="0" collapsed="false">
      <c r="A2691" s="42"/>
      <c r="B2691" s="42"/>
      <c r="C2691" s="42"/>
      <c r="D2691" s="28" t="str">
        <f aca="false">IF(OR($B2691="",$C2691=""),"",$C2691*IFERROR(INDEX(Setup!$C$47:$C$56,MATCH($B2691,Setup!$A$47:$A$56,0)),IFERROR(INDEX(Setup!$C$60:$C$89,MATCH($B2691,Setup!$A$60:$A$89,0)),"")))</f>
        <v/>
      </c>
      <c r="E2691" s="42"/>
      <c r="F2691" s="42"/>
    </row>
    <row r="2692" customFormat="false" ht="15" hidden="false" customHeight="true" outlineLevel="0" collapsed="false">
      <c r="A2692" s="42"/>
      <c r="B2692" s="42"/>
      <c r="C2692" s="42"/>
      <c r="D2692" s="28" t="str">
        <f aca="false">IF(OR($B2692="",$C2692=""),"",$C2692*IFERROR(INDEX(Setup!$C$47:$C$56,MATCH($B2692,Setup!$A$47:$A$56,0)),IFERROR(INDEX(Setup!$C$60:$C$89,MATCH($B2692,Setup!$A$60:$A$89,0)),"")))</f>
        <v/>
      </c>
      <c r="E2692" s="42"/>
      <c r="F2692" s="42"/>
    </row>
    <row r="2693" customFormat="false" ht="15" hidden="false" customHeight="true" outlineLevel="0" collapsed="false">
      <c r="A2693" s="42"/>
      <c r="B2693" s="42"/>
      <c r="C2693" s="42"/>
      <c r="D2693" s="28" t="str">
        <f aca="false">IF(OR($B2693="",$C2693=""),"",$C2693*IFERROR(INDEX(Setup!$C$47:$C$56,MATCH($B2693,Setup!$A$47:$A$56,0)),IFERROR(INDEX(Setup!$C$60:$C$89,MATCH($B2693,Setup!$A$60:$A$89,0)),"")))</f>
        <v/>
      </c>
      <c r="E2693" s="42"/>
      <c r="F2693" s="42"/>
    </row>
    <row r="2694" customFormat="false" ht="15" hidden="false" customHeight="true" outlineLevel="0" collapsed="false">
      <c r="A2694" s="42"/>
      <c r="B2694" s="42"/>
      <c r="C2694" s="42"/>
      <c r="D2694" s="28" t="str">
        <f aca="false">IF(OR($B2694="",$C2694=""),"",$C2694*IFERROR(INDEX(Setup!$C$47:$C$56,MATCH($B2694,Setup!$A$47:$A$56,0)),IFERROR(INDEX(Setup!$C$60:$C$89,MATCH($B2694,Setup!$A$60:$A$89,0)),"")))</f>
        <v/>
      </c>
      <c r="E2694" s="42"/>
      <c r="F2694" s="42"/>
    </row>
    <row r="2695" customFormat="false" ht="15" hidden="false" customHeight="true" outlineLevel="0" collapsed="false">
      <c r="A2695" s="42"/>
      <c r="B2695" s="42"/>
      <c r="C2695" s="42"/>
      <c r="D2695" s="28" t="str">
        <f aca="false">IF(OR($B2695="",$C2695=""),"",$C2695*IFERROR(INDEX(Setup!$C$47:$C$56,MATCH($B2695,Setup!$A$47:$A$56,0)),IFERROR(INDEX(Setup!$C$60:$C$89,MATCH($B2695,Setup!$A$60:$A$89,0)),"")))</f>
        <v/>
      </c>
      <c r="E2695" s="42"/>
      <c r="F2695" s="42"/>
    </row>
    <row r="2696" customFormat="false" ht="15" hidden="false" customHeight="true" outlineLevel="0" collapsed="false">
      <c r="A2696" s="42"/>
      <c r="B2696" s="42"/>
      <c r="C2696" s="42"/>
      <c r="D2696" s="28" t="str">
        <f aca="false">IF(OR($B2696="",$C2696=""),"",$C2696*IFERROR(INDEX(Setup!$C$47:$C$56,MATCH($B2696,Setup!$A$47:$A$56,0)),IFERROR(INDEX(Setup!$C$60:$C$89,MATCH($B2696,Setup!$A$60:$A$89,0)),"")))</f>
        <v/>
      </c>
      <c r="E2696" s="42"/>
      <c r="F2696" s="42"/>
    </row>
    <row r="2697" customFormat="false" ht="15" hidden="false" customHeight="true" outlineLevel="0" collapsed="false">
      <c r="A2697" s="42"/>
      <c r="B2697" s="42"/>
      <c r="C2697" s="42"/>
      <c r="D2697" s="28" t="str">
        <f aca="false">IF(OR($B2697="",$C2697=""),"",$C2697*IFERROR(INDEX(Setup!$C$47:$C$56,MATCH($B2697,Setup!$A$47:$A$56,0)),IFERROR(INDEX(Setup!$C$60:$C$89,MATCH($B2697,Setup!$A$60:$A$89,0)),"")))</f>
        <v/>
      </c>
      <c r="E2697" s="42"/>
      <c r="F2697" s="42"/>
    </row>
    <row r="2698" customFormat="false" ht="15" hidden="false" customHeight="true" outlineLevel="0" collapsed="false">
      <c r="A2698" s="42"/>
      <c r="B2698" s="42"/>
      <c r="C2698" s="42"/>
      <c r="D2698" s="28" t="str">
        <f aca="false">IF(OR($B2698="",$C2698=""),"",$C2698*IFERROR(INDEX(Setup!$C$47:$C$56,MATCH($B2698,Setup!$A$47:$A$56,0)),IFERROR(INDEX(Setup!$C$60:$C$89,MATCH($B2698,Setup!$A$60:$A$89,0)),"")))</f>
        <v/>
      </c>
      <c r="E2698" s="42"/>
      <c r="F2698" s="42"/>
    </row>
    <row r="2699" customFormat="false" ht="15" hidden="false" customHeight="true" outlineLevel="0" collapsed="false">
      <c r="A2699" s="42"/>
      <c r="B2699" s="42"/>
      <c r="C2699" s="42"/>
      <c r="D2699" s="28" t="str">
        <f aca="false">IF(OR($B2699="",$C2699=""),"",$C2699*IFERROR(INDEX(Setup!$C$47:$C$56,MATCH($B2699,Setup!$A$47:$A$56,0)),IFERROR(INDEX(Setup!$C$60:$C$89,MATCH($B2699,Setup!$A$60:$A$89,0)),"")))</f>
        <v/>
      </c>
      <c r="E2699" s="42"/>
      <c r="F2699" s="42"/>
    </row>
    <row r="2700" customFormat="false" ht="15" hidden="false" customHeight="true" outlineLevel="0" collapsed="false">
      <c r="A2700" s="42"/>
      <c r="B2700" s="42"/>
      <c r="C2700" s="42"/>
      <c r="D2700" s="28" t="str">
        <f aca="false">IF(OR($B2700="",$C2700=""),"",$C2700*IFERROR(INDEX(Setup!$C$47:$C$56,MATCH($B2700,Setup!$A$47:$A$56,0)),IFERROR(INDEX(Setup!$C$60:$C$89,MATCH($B2700,Setup!$A$60:$A$89,0)),"")))</f>
        <v/>
      </c>
      <c r="E2700" s="42"/>
      <c r="F2700" s="42"/>
    </row>
    <row r="2701" customFormat="false" ht="15" hidden="false" customHeight="true" outlineLevel="0" collapsed="false">
      <c r="A2701" s="42"/>
      <c r="B2701" s="42"/>
      <c r="C2701" s="42"/>
      <c r="D2701" s="28" t="str">
        <f aca="false">IF(OR($B2701="",$C2701=""),"",$C2701*IFERROR(INDEX(Setup!$C$47:$C$56,MATCH($B2701,Setup!$A$47:$A$56,0)),IFERROR(INDEX(Setup!$C$60:$C$89,MATCH($B2701,Setup!$A$60:$A$89,0)),"")))</f>
        <v/>
      </c>
      <c r="E2701" s="42"/>
      <c r="F2701" s="42"/>
    </row>
    <row r="2702" customFormat="false" ht="15" hidden="false" customHeight="true" outlineLevel="0" collapsed="false">
      <c r="A2702" s="42"/>
      <c r="B2702" s="42"/>
      <c r="C2702" s="42"/>
      <c r="D2702" s="28" t="str">
        <f aca="false">IF(OR($B2702="",$C2702=""),"",$C2702*IFERROR(INDEX(Setup!$C$47:$C$56,MATCH($B2702,Setup!$A$47:$A$56,0)),IFERROR(INDEX(Setup!$C$60:$C$89,MATCH($B2702,Setup!$A$60:$A$89,0)),"")))</f>
        <v/>
      </c>
      <c r="E2702" s="42"/>
      <c r="F2702" s="42"/>
    </row>
    <row r="2703" customFormat="false" ht="15" hidden="false" customHeight="true" outlineLevel="0" collapsed="false">
      <c r="A2703" s="42"/>
      <c r="B2703" s="42"/>
      <c r="C2703" s="42"/>
      <c r="D2703" s="28" t="str">
        <f aca="false">IF(OR($B2703="",$C2703=""),"",$C2703*IFERROR(INDEX(Setup!$C$47:$C$56,MATCH($B2703,Setup!$A$47:$A$56,0)),IFERROR(INDEX(Setup!$C$60:$C$89,MATCH($B2703,Setup!$A$60:$A$89,0)),"")))</f>
        <v/>
      </c>
      <c r="E2703" s="42"/>
      <c r="F2703" s="42"/>
    </row>
    <row r="2704" customFormat="false" ht="15" hidden="false" customHeight="true" outlineLevel="0" collapsed="false">
      <c r="A2704" s="42"/>
      <c r="B2704" s="42"/>
      <c r="C2704" s="42"/>
      <c r="D2704" s="28" t="str">
        <f aca="false">IF(OR($B2704="",$C2704=""),"",$C2704*IFERROR(INDEX(Setup!$C$47:$C$56,MATCH($B2704,Setup!$A$47:$A$56,0)),IFERROR(INDEX(Setup!$C$60:$C$89,MATCH($B2704,Setup!$A$60:$A$89,0)),"")))</f>
        <v/>
      </c>
      <c r="E2704" s="42"/>
      <c r="F2704" s="42"/>
    </row>
    <row r="2705" customFormat="false" ht="15" hidden="false" customHeight="true" outlineLevel="0" collapsed="false">
      <c r="A2705" s="42"/>
      <c r="B2705" s="42"/>
      <c r="C2705" s="42"/>
      <c r="D2705" s="28" t="str">
        <f aca="false">IF(OR($B2705="",$C2705=""),"",$C2705*IFERROR(INDEX(Setup!$C$47:$C$56,MATCH($B2705,Setup!$A$47:$A$56,0)),IFERROR(INDEX(Setup!$C$60:$C$89,MATCH($B2705,Setup!$A$60:$A$89,0)),"")))</f>
        <v/>
      </c>
      <c r="E2705" s="42"/>
      <c r="F2705" s="42"/>
    </row>
    <row r="2706" customFormat="false" ht="15" hidden="false" customHeight="true" outlineLevel="0" collapsed="false">
      <c r="A2706" s="42"/>
      <c r="B2706" s="42"/>
      <c r="C2706" s="42"/>
      <c r="D2706" s="28" t="str">
        <f aca="false">IF(OR($B2706="",$C2706=""),"",$C2706*IFERROR(INDEX(Setup!$C$47:$C$56,MATCH($B2706,Setup!$A$47:$A$56,0)),IFERROR(INDEX(Setup!$C$60:$C$89,MATCH($B2706,Setup!$A$60:$A$89,0)),"")))</f>
        <v/>
      </c>
      <c r="E2706" s="42"/>
      <c r="F2706" s="42"/>
    </row>
    <row r="2707" customFormat="false" ht="15" hidden="false" customHeight="true" outlineLevel="0" collapsed="false">
      <c r="A2707" s="42"/>
      <c r="B2707" s="42"/>
      <c r="C2707" s="42"/>
      <c r="D2707" s="28" t="str">
        <f aca="false">IF(OR($B2707="",$C2707=""),"",$C2707*IFERROR(INDEX(Setup!$C$47:$C$56,MATCH($B2707,Setup!$A$47:$A$56,0)),IFERROR(INDEX(Setup!$C$60:$C$89,MATCH($B2707,Setup!$A$60:$A$89,0)),"")))</f>
        <v/>
      </c>
      <c r="E2707" s="42"/>
      <c r="F2707" s="42"/>
    </row>
    <row r="2708" customFormat="false" ht="15" hidden="false" customHeight="true" outlineLevel="0" collapsed="false">
      <c r="A2708" s="42"/>
      <c r="B2708" s="42"/>
      <c r="C2708" s="42"/>
      <c r="D2708" s="28" t="str">
        <f aca="false">IF(OR($B2708="",$C2708=""),"",$C2708*IFERROR(INDEX(Setup!$C$47:$C$56,MATCH($B2708,Setup!$A$47:$A$56,0)),IFERROR(INDEX(Setup!$C$60:$C$89,MATCH($B2708,Setup!$A$60:$A$89,0)),"")))</f>
        <v/>
      </c>
      <c r="E2708" s="42"/>
      <c r="F2708" s="42"/>
    </row>
    <row r="2709" customFormat="false" ht="15" hidden="false" customHeight="true" outlineLevel="0" collapsed="false">
      <c r="A2709" s="42"/>
      <c r="B2709" s="42"/>
      <c r="C2709" s="42"/>
      <c r="D2709" s="28" t="str">
        <f aca="false">IF(OR($B2709="",$C2709=""),"",$C2709*IFERROR(INDEX(Setup!$C$47:$C$56,MATCH($B2709,Setup!$A$47:$A$56,0)),IFERROR(INDEX(Setup!$C$60:$C$89,MATCH($B2709,Setup!$A$60:$A$89,0)),"")))</f>
        <v/>
      </c>
      <c r="E2709" s="42"/>
      <c r="F2709" s="42"/>
    </row>
    <row r="2710" customFormat="false" ht="15" hidden="false" customHeight="true" outlineLevel="0" collapsed="false">
      <c r="A2710" s="42"/>
      <c r="B2710" s="42"/>
      <c r="C2710" s="42"/>
      <c r="D2710" s="28" t="str">
        <f aca="false">IF(OR($B2710="",$C2710=""),"",$C2710*IFERROR(INDEX(Setup!$C$47:$C$56,MATCH($B2710,Setup!$A$47:$A$56,0)),IFERROR(INDEX(Setup!$C$60:$C$89,MATCH($B2710,Setup!$A$60:$A$89,0)),"")))</f>
        <v/>
      </c>
      <c r="E2710" s="42"/>
      <c r="F2710" s="42"/>
    </row>
    <row r="2711" customFormat="false" ht="15" hidden="false" customHeight="true" outlineLevel="0" collapsed="false">
      <c r="A2711" s="42"/>
      <c r="B2711" s="42"/>
      <c r="C2711" s="42"/>
      <c r="D2711" s="28" t="str">
        <f aca="false">IF(OR($B2711="",$C2711=""),"",$C2711*IFERROR(INDEX(Setup!$C$47:$C$56,MATCH($B2711,Setup!$A$47:$A$56,0)),IFERROR(INDEX(Setup!$C$60:$C$89,MATCH($B2711,Setup!$A$60:$A$89,0)),"")))</f>
        <v/>
      </c>
      <c r="E2711" s="42"/>
      <c r="F2711" s="42"/>
    </row>
    <row r="2712" customFormat="false" ht="15" hidden="false" customHeight="true" outlineLevel="0" collapsed="false">
      <c r="A2712" s="42"/>
      <c r="B2712" s="42"/>
      <c r="C2712" s="42"/>
      <c r="D2712" s="28" t="str">
        <f aca="false">IF(OR($B2712="",$C2712=""),"",$C2712*IFERROR(INDEX(Setup!$C$47:$C$56,MATCH($B2712,Setup!$A$47:$A$56,0)),IFERROR(INDEX(Setup!$C$60:$C$89,MATCH($B2712,Setup!$A$60:$A$89,0)),"")))</f>
        <v/>
      </c>
      <c r="E2712" s="42"/>
      <c r="F2712" s="42"/>
    </row>
    <row r="2713" customFormat="false" ht="15" hidden="false" customHeight="true" outlineLevel="0" collapsed="false">
      <c r="A2713" s="42"/>
      <c r="B2713" s="42"/>
      <c r="C2713" s="42"/>
      <c r="D2713" s="28" t="str">
        <f aca="false">IF(OR($B2713="",$C2713=""),"",$C2713*IFERROR(INDEX(Setup!$C$47:$C$56,MATCH($B2713,Setup!$A$47:$A$56,0)),IFERROR(INDEX(Setup!$C$60:$C$89,MATCH($B2713,Setup!$A$60:$A$89,0)),"")))</f>
        <v/>
      </c>
      <c r="E2713" s="42"/>
      <c r="F2713" s="42"/>
    </row>
    <row r="2714" customFormat="false" ht="15" hidden="false" customHeight="true" outlineLevel="0" collapsed="false">
      <c r="A2714" s="42"/>
      <c r="B2714" s="42"/>
      <c r="C2714" s="42"/>
      <c r="D2714" s="28" t="str">
        <f aca="false">IF(OR($B2714="",$C2714=""),"",$C2714*IFERROR(INDEX(Setup!$C$47:$C$56,MATCH($B2714,Setup!$A$47:$A$56,0)),IFERROR(INDEX(Setup!$C$60:$C$89,MATCH($B2714,Setup!$A$60:$A$89,0)),"")))</f>
        <v/>
      </c>
      <c r="E2714" s="42"/>
      <c r="F2714" s="42"/>
    </row>
    <row r="2715" customFormat="false" ht="15" hidden="false" customHeight="true" outlineLevel="0" collapsed="false">
      <c r="A2715" s="42"/>
      <c r="B2715" s="42"/>
      <c r="C2715" s="42"/>
      <c r="D2715" s="28" t="str">
        <f aca="false">IF(OR($B2715="",$C2715=""),"",$C2715*IFERROR(INDEX(Setup!$C$47:$C$56,MATCH($B2715,Setup!$A$47:$A$56,0)),IFERROR(INDEX(Setup!$C$60:$C$89,MATCH($B2715,Setup!$A$60:$A$89,0)),"")))</f>
        <v/>
      </c>
      <c r="E2715" s="42"/>
      <c r="F2715" s="42"/>
    </row>
    <row r="2716" customFormat="false" ht="15" hidden="false" customHeight="true" outlineLevel="0" collapsed="false">
      <c r="A2716" s="42"/>
      <c r="B2716" s="42"/>
      <c r="C2716" s="42"/>
      <c r="D2716" s="28" t="str">
        <f aca="false">IF(OR($B2716="",$C2716=""),"",$C2716*IFERROR(INDEX(Setup!$C$47:$C$56,MATCH($B2716,Setup!$A$47:$A$56,0)),IFERROR(INDEX(Setup!$C$60:$C$89,MATCH($B2716,Setup!$A$60:$A$89,0)),"")))</f>
        <v/>
      </c>
      <c r="E2716" s="42"/>
      <c r="F2716" s="42"/>
    </row>
    <row r="2717" customFormat="false" ht="15" hidden="false" customHeight="true" outlineLevel="0" collapsed="false">
      <c r="A2717" s="42"/>
      <c r="B2717" s="42"/>
      <c r="C2717" s="42"/>
      <c r="D2717" s="28" t="str">
        <f aca="false">IF(OR($B2717="",$C2717=""),"",$C2717*IFERROR(INDEX(Setup!$C$47:$C$56,MATCH($B2717,Setup!$A$47:$A$56,0)),IFERROR(INDEX(Setup!$C$60:$C$89,MATCH($B2717,Setup!$A$60:$A$89,0)),"")))</f>
        <v/>
      </c>
      <c r="E2717" s="42"/>
      <c r="F2717" s="42"/>
    </row>
    <row r="2718" customFormat="false" ht="15" hidden="false" customHeight="true" outlineLevel="0" collapsed="false">
      <c r="A2718" s="42"/>
      <c r="B2718" s="42"/>
      <c r="C2718" s="42"/>
      <c r="D2718" s="28" t="str">
        <f aca="false">IF(OR($B2718="",$C2718=""),"",$C2718*IFERROR(INDEX(Setup!$C$47:$C$56,MATCH($B2718,Setup!$A$47:$A$56,0)),IFERROR(INDEX(Setup!$C$60:$C$89,MATCH($B2718,Setup!$A$60:$A$89,0)),"")))</f>
        <v/>
      </c>
      <c r="E2718" s="42"/>
      <c r="F2718" s="42"/>
    </row>
    <row r="2719" customFormat="false" ht="15" hidden="false" customHeight="true" outlineLevel="0" collapsed="false">
      <c r="A2719" s="42"/>
      <c r="B2719" s="42"/>
      <c r="C2719" s="42"/>
      <c r="D2719" s="28" t="str">
        <f aca="false">IF(OR($B2719="",$C2719=""),"",$C2719*IFERROR(INDEX(Setup!$C$47:$C$56,MATCH($B2719,Setup!$A$47:$A$56,0)),IFERROR(INDEX(Setup!$C$60:$C$89,MATCH($B2719,Setup!$A$60:$A$89,0)),"")))</f>
        <v/>
      </c>
      <c r="E2719" s="42"/>
      <c r="F2719" s="42"/>
    </row>
    <row r="2720" customFormat="false" ht="15" hidden="false" customHeight="true" outlineLevel="0" collapsed="false">
      <c r="A2720" s="42"/>
      <c r="B2720" s="42"/>
      <c r="C2720" s="42"/>
      <c r="D2720" s="28" t="str">
        <f aca="false">IF(OR($B2720="",$C2720=""),"",$C2720*IFERROR(INDEX(Setup!$C$47:$C$56,MATCH($B2720,Setup!$A$47:$A$56,0)),IFERROR(INDEX(Setup!$C$60:$C$89,MATCH($B2720,Setup!$A$60:$A$89,0)),"")))</f>
        <v/>
      </c>
      <c r="E2720" s="42"/>
      <c r="F2720" s="42"/>
    </row>
    <row r="2721" customFormat="false" ht="15" hidden="false" customHeight="true" outlineLevel="0" collapsed="false">
      <c r="A2721" s="42"/>
      <c r="B2721" s="42"/>
      <c r="C2721" s="42"/>
      <c r="D2721" s="28" t="str">
        <f aca="false">IF(OR($B2721="",$C2721=""),"",$C2721*IFERROR(INDEX(Setup!$C$47:$C$56,MATCH($B2721,Setup!$A$47:$A$56,0)),IFERROR(INDEX(Setup!$C$60:$C$89,MATCH($B2721,Setup!$A$60:$A$89,0)),"")))</f>
        <v/>
      </c>
      <c r="E2721" s="42"/>
      <c r="F2721" s="42"/>
    </row>
    <row r="2722" customFormat="false" ht="15" hidden="false" customHeight="true" outlineLevel="0" collapsed="false">
      <c r="A2722" s="42"/>
      <c r="B2722" s="42"/>
      <c r="C2722" s="42"/>
      <c r="D2722" s="28" t="str">
        <f aca="false">IF(OR($B2722="",$C2722=""),"",$C2722*IFERROR(INDEX(Setup!$C$47:$C$56,MATCH($B2722,Setup!$A$47:$A$56,0)),IFERROR(INDEX(Setup!$C$60:$C$89,MATCH($B2722,Setup!$A$60:$A$89,0)),"")))</f>
        <v/>
      </c>
      <c r="E2722" s="42"/>
      <c r="F2722" s="42"/>
    </row>
    <row r="2723" customFormat="false" ht="15" hidden="false" customHeight="true" outlineLevel="0" collapsed="false">
      <c r="A2723" s="42"/>
      <c r="B2723" s="42"/>
      <c r="C2723" s="42"/>
      <c r="D2723" s="28" t="str">
        <f aca="false">IF(OR($B2723="",$C2723=""),"",$C2723*IFERROR(INDEX(Setup!$C$47:$C$56,MATCH($B2723,Setup!$A$47:$A$56,0)),IFERROR(INDEX(Setup!$C$60:$C$89,MATCH($B2723,Setup!$A$60:$A$89,0)),"")))</f>
        <v/>
      </c>
      <c r="E2723" s="42"/>
      <c r="F2723" s="42"/>
    </row>
    <row r="2724" customFormat="false" ht="15" hidden="false" customHeight="true" outlineLevel="0" collapsed="false">
      <c r="A2724" s="42"/>
      <c r="B2724" s="42"/>
      <c r="C2724" s="42"/>
      <c r="D2724" s="28" t="str">
        <f aca="false">IF(OR($B2724="",$C2724=""),"",$C2724*IFERROR(INDEX(Setup!$C$47:$C$56,MATCH($B2724,Setup!$A$47:$A$56,0)),IFERROR(INDEX(Setup!$C$60:$C$89,MATCH($B2724,Setup!$A$60:$A$89,0)),"")))</f>
        <v/>
      </c>
      <c r="E2724" s="42"/>
      <c r="F2724" s="42"/>
    </row>
    <row r="2725" customFormat="false" ht="15" hidden="false" customHeight="true" outlineLevel="0" collapsed="false">
      <c r="A2725" s="42"/>
      <c r="B2725" s="42"/>
      <c r="C2725" s="42"/>
      <c r="D2725" s="28" t="str">
        <f aca="false">IF(OR($B2725="",$C2725=""),"",$C2725*IFERROR(INDEX(Setup!$C$47:$C$56,MATCH($B2725,Setup!$A$47:$A$56,0)),IFERROR(INDEX(Setup!$C$60:$C$89,MATCH($B2725,Setup!$A$60:$A$89,0)),"")))</f>
        <v/>
      </c>
      <c r="E2725" s="42"/>
      <c r="F2725" s="42"/>
    </row>
    <row r="2726" customFormat="false" ht="15" hidden="false" customHeight="true" outlineLevel="0" collapsed="false">
      <c r="A2726" s="42"/>
      <c r="B2726" s="42"/>
      <c r="C2726" s="42"/>
      <c r="D2726" s="28" t="str">
        <f aca="false">IF(OR($B2726="",$C2726=""),"",$C2726*IFERROR(INDEX(Setup!$C$47:$C$56,MATCH($B2726,Setup!$A$47:$A$56,0)),IFERROR(INDEX(Setup!$C$60:$C$89,MATCH($B2726,Setup!$A$60:$A$89,0)),"")))</f>
        <v/>
      </c>
      <c r="E2726" s="42"/>
      <c r="F2726" s="42"/>
    </row>
    <row r="2727" customFormat="false" ht="15" hidden="false" customHeight="true" outlineLevel="0" collapsed="false">
      <c r="A2727" s="42"/>
      <c r="B2727" s="42"/>
      <c r="C2727" s="42"/>
      <c r="D2727" s="28" t="str">
        <f aca="false">IF(OR($B2727="",$C2727=""),"",$C2727*IFERROR(INDEX(Setup!$C$47:$C$56,MATCH($B2727,Setup!$A$47:$A$56,0)),IFERROR(INDEX(Setup!$C$60:$C$89,MATCH($B2727,Setup!$A$60:$A$89,0)),"")))</f>
        <v/>
      </c>
      <c r="E2727" s="42"/>
      <c r="F2727" s="42"/>
    </row>
    <row r="2728" customFormat="false" ht="15" hidden="false" customHeight="true" outlineLevel="0" collapsed="false">
      <c r="A2728" s="42"/>
      <c r="B2728" s="42"/>
      <c r="C2728" s="42"/>
      <c r="D2728" s="28" t="str">
        <f aca="false">IF(OR($B2728="",$C2728=""),"",$C2728*IFERROR(INDEX(Setup!$C$47:$C$56,MATCH($B2728,Setup!$A$47:$A$56,0)),IFERROR(INDEX(Setup!$C$60:$C$89,MATCH($B2728,Setup!$A$60:$A$89,0)),"")))</f>
        <v/>
      </c>
      <c r="E2728" s="42"/>
      <c r="F2728" s="42"/>
    </row>
    <row r="2729" customFormat="false" ht="15" hidden="false" customHeight="true" outlineLevel="0" collapsed="false">
      <c r="A2729" s="42"/>
      <c r="B2729" s="42"/>
      <c r="C2729" s="42"/>
      <c r="D2729" s="28" t="str">
        <f aca="false">IF(OR($B2729="",$C2729=""),"",$C2729*IFERROR(INDEX(Setup!$C$47:$C$56,MATCH($B2729,Setup!$A$47:$A$56,0)),IFERROR(INDEX(Setup!$C$60:$C$89,MATCH($B2729,Setup!$A$60:$A$89,0)),"")))</f>
        <v/>
      </c>
      <c r="E2729" s="42"/>
      <c r="F2729" s="42"/>
    </row>
    <row r="2730" customFormat="false" ht="15" hidden="false" customHeight="true" outlineLevel="0" collapsed="false">
      <c r="A2730" s="42"/>
      <c r="B2730" s="42"/>
      <c r="C2730" s="42"/>
      <c r="D2730" s="28" t="str">
        <f aca="false">IF(OR($B2730="",$C2730=""),"",$C2730*IFERROR(INDEX(Setup!$C$47:$C$56,MATCH($B2730,Setup!$A$47:$A$56,0)),IFERROR(INDEX(Setup!$C$60:$C$89,MATCH($B2730,Setup!$A$60:$A$89,0)),"")))</f>
        <v/>
      </c>
      <c r="E2730" s="42"/>
      <c r="F2730" s="42"/>
    </row>
    <row r="2731" customFormat="false" ht="15" hidden="false" customHeight="true" outlineLevel="0" collapsed="false">
      <c r="A2731" s="42"/>
      <c r="B2731" s="42"/>
      <c r="C2731" s="42"/>
      <c r="D2731" s="28" t="str">
        <f aca="false">IF(OR($B2731="",$C2731=""),"",$C2731*IFERROR(INDEX(Setup!$C$47:$C$56,MATCH($B2731,Setup!$A$47:$A$56,0)),IFERROR(INDEX(Setup!$C$60:$C$89,MATCH($B2731,Setup!$A$60:$A$89,0)),"")))</f>
        <v/>
      </c>
      <c r="E2731" s="42"/>
      <c r="F2731" s="42"/>
    </row>
    <row r="2732" customFormat="false" ht="15" hidden="false" customHeight="true" outlineLevel="0" collapsed="false">
      <c r="A2732" s="42"/>
      <c r="B2732" s="42"/>
      <c r="C2732" s="42"/>
      <c r="D2732" s="28" t="str">
        <f aca="false">IF(OR($B2732="",$C2732=""),"",$C2732*IFERROR(INDEX(Setup!$C$47:$C$56,MATCH($B2732,Setup!$A$47:$A$56,0)),IFERROR(INDEX(Setup!$C$60:$C$89,MATCH($B2732,Setup!$A$60:$A$89,0)),"")))</f>
        <v/>
      </c>
      <c r="E2732" s="42"/>
      <c r="F2732" s="42"/>
    </row>
    <row r="2733" customFormat="false" ht="15" hidden="false" customHeight="true" outlineLevel="0" collapsed="false">
      <c r="A2733" s="42"/>
      <c r="B2733" s="42"/>
      <c r="C2733" s="42"/>
      <c r="D2733" s="28" t="str">
        <f aca="false">IF(OR($B2733="",$C2733=""),"",$C2733*IFERROR(INDEX(Setup!$C$47:$C$56,MATCH($B2733,Setup!$A$47:$A$56,0)),IFERROR(INDEX(Setup!$C$60:$C$89,MATCH($B2733,Setup!$A$60:$A$89,0)),"")))</f>
        <v/>
      </c>
      <c r="E2733" s="42"/>
      <c r="F2733" s="42"/>
    </row>
    <row r="2734" customFormat="false" ht="15" hidden="false" customHeight="true" outlineLevel="0" collapsed="false">
      <c r="A2734" s="42"/>
      <c r="B2734" s="42"/>
      <c r="C2734" s="42"/>
      <c r="D2734" s="28" t="str">
        <f aca="false">IF(OR($B2734="",$C2734=""),"",$C2734*IFERROR(INDEX(Setup!$C$47:$C$56,MATCH($B2734,Setup!$A$47:$A$56,0)),IFERROR(INDEX(Setup!$C$60:$C$89,MATCH($B2734,Setup!$A$60:$A$89,0)),"")))</f>
        <v/>
      </c>
      <c r="E2734" s="42"/>
      <c r="F2734" s="42"/>
    </row>
    <row r="2735" customFormat="false" ht="15" hidden="false" customHeight="true" outlineLevel="0" collapsed="false">
      <c r="A2735" s="42"/>
      <c r="B2735" s="42"/>
      <c r="C2735" s="42"/>
      <c r="D2735" s="28" t="str">
        <f aca="false">IF(OR($B2735="",$C2735=""),"",$C2735*IFERROR(INDEX(Setup!$C$47:$C$56,MATCH($B2735,Setup!$A$47:$A$56,0)),IFERROR(INDEX(Setup!$C$60:$C$89,MATCH($B2735,Setup!$A$60:$A$89,0)),"")))</f>
        <v/>
      </c>
      <c r="E2735" s="42"/>
      <c r="F2735" s="42"/>
    </row>
    <row r="2736" customFormat="false" ht="15" hidden="false" customHeight="true" outlineLevel="0" collapsed="false">
      <c r="A2736" s="42"/>
      <c r="B2736" s="42"/>
      <c r="C2736" s="42"/>
      <c r="D2736" s="28" t="str">
        <f aca="false">IF(OR($B2736="",$C2736=""),"",$C2736*IFERROR(INDEX(Setup!$C$47:$C$56,MATCH($B2736,Setup!$A$47:$A$56,0)),IFERROR(INDEX(Setup!$C$60:$C$89,MATCH($B2736,Setup!$A$60:$A$89,0)),"")))</f>
        <v/>
      </c>
      <c r="E2736" s="42"/>
      <c r="F2736" s="42"/>
    </row>
    <row r="2737" customFormat="false" ht="15" hidden="false" customHeight="true" outlineLevel="0" collapsed="false">
      <c r="A2737" s="42"/>
      <c r="B2737" s="42"/>
      <c r="C2737" s="42"/>
      <c r="D2737" s="28" t="str">
        <f aca="false">IF(OR($B2737="",$C2737=""),"",$C2737*IFERROR(INDEX(Setup!$C$47:$C$56,MATCH($B2737,Setup!$A$47:$A$56,0)),IFERROR(INDEX(Setup!$C$60:$C$89,MATCH($B2737,Setup!$A$60:$A$89,0)),"")))</f>
        <v/>
      </c>
      <c r="E2737" s="42"/>
      <c r="F2737" s="42"/>
    </row>
    <row r="2738" customFormat="false" ht="15" hidden="false" customHeight="true" outlineLevel="0" collapsed="false">
      <c r="A2738" s="42"/>
      <c r="B2738" s="42"/>
      <c r="C2738" s="42"/>
      <c r="D2738" s="28" t="str">
        <f aca="false">IF(OR($B2738="",$C2738=""),"",$C2738*IFERROR(INDEX(Setup!$C$47:$C$56,MATCH($B2738,Setup!$A$47:$A$56,0)),IFERROR(INDEX(Setup!$C$60:$C$89,MATCH($B2738,Setup!$A$60:$A$89,0)),"")))</f>
        <v/>
      </c>
      <c r="E2738" s="42"/>
      <c r="F2738" s="42"/>
    </row>
    <row r="2739" customFormat="false" ht="15" hidden="false" customHeight="true" outlineLevel="0" collapsed="false">
      <c r="A2739" s="42"/>
      <c r="B2739" s="42"/>
      <c r="C2739" s="42"/>
      <c r="D2739" s="28" t="str">
        <f aca="false">IF(OR($B2739="",$C2739=""),"",$C2739*IFERROR(INDEX(Setup!$C$47:$C$56,MATCH($B2739,Setup!$A$47:$A$56,0)),IFERROR(INDEX(Setup!$C$60:$C$89,MATCH($B2739,Setup!$A$60:$A$89,0)),"")))</f>
        <v/>
      </c>
      <c r="E2739" s="42"/>
      <c r="F2739" s="42"/>
    </row>
    <row r="2740" customFormat="false" ht="15" hidden="false" customHeight="true" outlineLevel="0" collapsed="false">
      <c r="A2740" s="42"/>
      <c r="B2740" s="42"/>
      <c r="C2740" s="42"/>
      <c r="D2740" s="28" t="str">
        <f aca="false">IF(OR($B2740="",$C2740=""),"",$C2740*IFERROR(INDEX(Setup!$C$47:$C$56,MATCH($B2740,Setup!$A$47:$A$56,0)),IFERROR(INDEX(Setup!$C$60:$C$89,MATCH($B2740,Setup!$A$60:$A$89,0)),"")))</f>
        <v/>
      </c>
      <c r="E2740" s="42"/>
      <c r="F2740" s="42"/>
    </row>
    <row r="2741" customFormat="false" ht="15" hidden="false" customHeight="true" outlineLevel="0" collapsed="false">
      <c r="A2741" s="42"/>
      <c r="B2741" s="42"/>
      <c r="C2741" s="42"/>
      <c r="D2741" s="28" t="str">
        <f aca="false">IF(OR($B2741="",$C2741=""),"",$C2741*IFERROR(INDEX(Setup!$C$47:$C$56,MATCH($B2741,Setup!$A$47:$A$56,0)),IFERROR(INDEX(Setup!$C$60:$C$89,MATCH($B2741,Setup!$A$60:$A$89,0)),"")))</f>
        <v/>
      </c>
      <c r="E2741" s="42"/>
      <c r="F2741" s="42"/>
    </row>
    <row r="2742" customFormat="false" ht="15" hidden="false" customHeight="true" outlineLevel="0" collapsed="false">
      <c r="A2742" s="42"/>
      <c r="B2742" s="42"/>
      <c r="C2742" s="42"/>
      <c r="D2742" s="28" t="str">
        <f aca="false">IF(OR($B2742="",$C2742=""),"",$C2742*IFERROR(INDEX(Setup!$C$47:$C$56,MATCH($B2742,Setup!$A$47:$A$56,0)),IFERROR(INDEX(Setup!$C$60:$C$89,MATCH($B2742,Setup!$A$60:$A$89,0)),"")))</f>
        <v/>
      </c>
      <c r="E2742" s="42"/>
      <c r="F2742" s="42"/>
    </row>
    <row r="2743" customFormat="false" ht="15" hidden="false" customHeight="true" outlineLevel="0" collapsed="false">
      <c r="A2743" s="42"/>
      <c r="B2743" s="42"/>
      <c r="C2743" s="42"/>
      <c r="D2743" s="28" t="str">
        <f aca="false">IF(OR($B2743="",$C2743=""),"",$C2743*IFERROR(INDEX(Setup!$C$47:$C$56,MATCH($B2743,Setup!$A$47:$A$56,0)),IFERROR(INDEX(Setup!$C$60:$C$89,MATCH($B2743,Setup!$A$60:$A$89,0)),"")))</f>
        <v/>
      </c>
      <c r="E2743" s="42"/>
      <c r="F2743" s="42"/>
    </row>
    <row r="2744" customFormat="false" ht="15" hidden="false" customHeight="true" outlineLevel="0" collapsed="false">
      <c r="A2744" s="42"/>
      <c r="B2744" s="42"/>
      <c r="C2744" s="42"/>
      <c r="D2744" s="28" t="str">
        <f aca="false">IF(OR($B2744="",$C2744=""),"",$C2744*IFERROR(INDEX(Setup!$C$47:$C$56,MATCH($B2744,Setup!$A$47:$A$56,0)),IFERROR(INDEX(Setup!$C$60:$C$89,MATCH($B2744,Setup!$A$60:$A$89,0)),"")))</f>
        <v/>
      </c>
      <c r="E2744" s="42"/>
      <c r="F2744" s="42"/>
    </row>
    <row r="2745" customFormat="false" ht="15" hidden="false" customHeight="true" outlineLevel="0" collapsed="false">
      <c r="A2745" s="42"/>
      <c r="B2745" s="42"/>
      <c r="C2745" s="42"/>
      <c r="D2745" s="28" t="str">
        <f aca="false">IF(OR($B2745="",$C2745=""),"",$C2745*IFERROR(INDEX(Setup!$C$47:$C$56,MATCH($B2745,Setup!$A$47:$A$56,0)),IFERROR(INDEX(Setup!$C$60:$C$89,MATCH($B2745,Setup!$A$60:$A$89,0)),"")))</f>
        <v/>
      </c>
      <c r="E2745" s="42"/>
      <c r="F2745" s="42"/>
    </row>
    <row r="2746" customFormat="false" ht="15" hidden="false" customHeight="true" outlineLevel="0" collapsed="false">
      <c r="A2746" s="42"/>
      <c r="B2746" s="42"/>
      <c r="C2746" s="42"/>
      <c r="D2746" s="28" t="str">
        <f aca="false">IF(OR($B2746="",$C2746=""),"",$C2746*IFERROR(INDEX(Setup!$C$47:$C$56,MATCH($B2746,Setup!$A$47:$A$56,0)),IFERROR(INDEX(Setup!$C$60:$C$89,MATCH($B2746,Setup!$A$60:$A$89,0)),"")))</f>
        <v/>
      </c>
      <c r="E2746" s="42"/>
      <c r="F2746" s="42"/>
    </row>
    <row r="2747" customFormat="false" ht="15" hidden="false" customHeight="true" outlineLevel="0" collapsed="false">
      <c r="A2747" s="42"/>
      <c r="B2747" s="42"/>
      <c r="C2747" s="42"/>
      <c r="D2747" s="28" t="str">
        <f aca="false">IF(OR($B2747="",$C2747=""),"",$C2747*IFERROR(INDEX(Setup!$C$47:$C$56,MATCH($B2747,Setup!$A$47:$A$56,0)),IFERROR(INDEX(Setup!$C$60:$C$89,MATCH($B2747,Setup!$A$60:$A$89,0)),"")))</f>
        <v/>
      </c>
      <c r="E2747" s="42"/>
      <c r="F2747" s="42"/>
    </row>
    <row r="2748" customFormat="false" ht="15" hidden="false" customHeight="true" outlineLevel="0" collapsed="false">
      <c r="A2748" s="42"/>
      <c r="B2748" s="42"/>
      <c r="C2748" s="42"/>
      <c r="D2748" s="28" t="str">
        <f aca="false">IF(OR($B2748="",$C2748=""),"",$C2748*IFERROR(INDEX(Setup!$C$47:$C$56,MATCH($B2748,Setup!$A$47:$A$56,0)),IFERROR(INDEX(Setup!$C$60:$C$89,MATCH($B2748,Setup!$A$60:$A$89,0)),"")))</f>
        <v/>
      </c>
      <c r="E2748" s="42"/>
      <c r="F2748" s="42"/>
    </row>
    <row r="2749" customFormat="false" ht="15" hidden="false" customHeight="true" outlineLevel="0" collapsed="false">
      <c r="A2749" s="42"/>
      <c r="B2749" s="42"/>
      <c r="C2749" s="42"/>
      <c r="D2749" s="28" t="str">
        <f aca="false">IF(OR($B2749="",$C2749=""),"",$C2749*IFERROR(INDEX(Setup!$C$47:$C$56,MATCH($B2749,Setup!$A$47:$A$56,0)),IFERROR(INDEX(Setup!$C$60:$C$89,MATCH($B2749,Setup!$A$60:$A$89,0)),"")))</f>
        <v/>
      </c>
      <c r="E2749" s="42"/>
      <c r="F2749" s="42"/>
    </row>
    <row r="2750" customFormat="false" ht="15" hidden="false" customHeight="true" outlineLevel="0" collapsed="false">
      <c r="A2750" s="42"/>
      <c r="B2750" s="42"/>
      <c r="C2750" s="42"/>
      <c r="D2750" s="28" t="str">
        <f aca="false">IF(OR($B2750="",$C2750=""),"",$C2750*IFERROR(INDEX(Setup!$C$47:$C$56,MATCH($B2750,Setup!$A$47:$A$56,0)),IFERROR(INDEX(Setup!$C$60:$C$89,MATCH($B2750,Setup!$A$60:$A$89,0)),"")))</f>
        <v/>
      </c>
      <c r="E2750" s="42"/>
      <c r="F2750" s="42"/>
    </row>
    <row r="2751" customFormat="false" ht="15" hidden="false" customHeight="true" outlineLevel="0" collapsed="false">
      <c r="A2751" s="42"/>
      <c r="B2751" s="42"/>
      <c r="C2751" s="42"/>
      <c r="D2751" s="28" t="str">
        <f aca="false">IF(OR($B2751="",$C2751=""),"",$C2751*IFERROR(INDEX(Setup!$C$47:$C$56,MATCH($B2751,Setup!$A$47:$A$56,0)),IFERROR(INDEX(Setup!$C$60:$C$89,MATCH($B2751,Setup!$A$60:$A$89,0)),"")))</f>
        <v/>
      </c>
      <c r="E2751" s="42"/>
      <c r="F2751" s="42"/>
    </row>
    <row r="2752" customFormat="false" ht="15" hidden="false" customHeight="true" outlineLevel="0" collapsed="false">
      <c r="A2752" s="42"/>
      <c r="B2752" s="42"/>
      <c r="C2752" s="42"/>
      <c r="D2752" s="28" t="str">
        <f aca="false">IF(OR($B2752="",$C2752=""),"",$C2752*IFERROR(INDEX(Setup!$C$47:$C$56,MATCH($B2752,Setup!$A$47:$A$56,0)),IFERROR(INDEX(Setup!$C$60:$C$89,MATCH($B2752,Setup!$A$60:$A$89,0)),"")))</f>
        <v/>
      </c>
      <c r="E2752" s="42"/>
      <c r="F2752" s="42"/>
    </row>
    <row r="2753" customFormat="false" ht="15" hidden="false" customHeight="true" outlineLevel="0" collapsed="false">
      <c r="A2753" s="42"/>
      <c r="B2753" s="42"/>
      <c r="C2753" s="42"/>
      <c r="D2753" s="28" t="str">
        <f aca="false">IF(OR($B2753="",$C2753=""),"",$C2753*IFERROR(INDEX(Setup!$C$47:$C$56,MATCH($B2753,Setup!$A$47:$A$56,0)),IFERROR(INDEX(Setup!$C$60:$C$89,MATCH($B2753,Setup!$A$60:$A$89,0)),"")))</f>
        <v/>
      </c>
      <c r="E2753" s="42"/>
      <c r="F2753" s="42"/>
    </row>
    <row r="2754" customFormat="false" ht="15" hidden="false" customHeight="true" outlineLevel="0" collapsed="false">
      <c r="A2754" s="42"/>
      <c r="B2754" s="42"/>
      <c r="C2754" s="42"/>
      <c r="D2754" s="28" t="str">
        <f aca="false">IF(OR($B2754="",$C2754=""),"",$C2754*IFERROR(INDEX(Setup!$C$47:$C$56,MATCH($B2754,Setup!$A$47:$A$56,0)),IFERROR(INDEX(Setup!$C$60:$C$89,MATCH($B2754,Setup!$A$60:$A$89,0)),"")))</f>
        <v/>
      </c>
      <c r="E2754" s="42"/>
      <c r="F2754" s="42"/>
    </row>
    <row r="2755" customFormat="false" ht="15" hidden="false" customHeight="true" outlineLevel="0" collapsed="false">
      <c r="A2755" s="42"/>
      <c r="B2755" s="42"/>
      <c r="C2755" s="42"/>
      <c r="D2755" s="28" t="str">
        <f aca="false">IF(OR($B2755="",$C2755=""),"",$C2755*IFERROR(INDEX(Setup!$C$47:$C$56,MATCH($B2755,Setup!$A$47:$A$56,0)),IFERROR(INDEX(Setup!$C$60:$C$89,MATCH($B2755,Setup!$A$60:$A$89,0)),"")))</f>
        <v/>
      </c>
      <c r="E2755" s="42"/>
      <c r="F2755" s="42"/>
    </row>
    <row r="2756" customFormat="false" ht="15" hidden="false" customHeight="true" outlineLevel="0" collapsed="false">
      <c r="A2756" s="42"/>
      <c r="B2756" s="42"/>
      <c r="C2756" s="42"/>
      <c r="D2756" s="28" t="str">
        <f aca="false">IF(OR($B2756="",$C2756=""),"",$C2756*IFERROR(INDEX(Setup!$C$47:$C$56,MATCH($B2756,Setup!$A$47:$A$56,0)),IFERROR(INDEX(Setup!$C$60:$C$89,MATCH($B2756,Setup!$A$60:$A$89,0)),"")))</f>
        <v/>
      </c>
      <c r="E2756" s="42"/>
      <c r="F2756" s="42"/>
    </row>
    <row r="2757" customFormat="false" ht="15" hidden="false" customHeight="true" outlineLevel="0" collapsed="false">
      <c r="A2757" s="42"/>
      <c r="B2757" s="42"/>
      <c r="C2757" s="42"/>
      <c r="D2757" s="28" t="str">
        <f aca="false">IF(OR($B2757="",$C2757=""),"",$C2757*IFERROR(INDEX(Setup!$C$47:$C$56,MATCH($B2757,Setup!$A$47:$A$56,0)),IFERROR(INDEX(Setup!$C$60:$C$89,MATCH($B2757,Setup!$A$60:$A$89,0)),"")))</f>
        <v/>
      </c>
      <c r="E2757" s="42"/>
      <c r="F2757" s="42"/>
    </row>
    <row r="2758" customFormat="false" ht="15" hidden="false" customHeight="true" outlineLevel="0" collapsed="false">
      <c r="A2758" s="42"/>
      <c r="B2758" s="42"/>
      <c r="C2758" s="42"/>
      <c r="D2758" s="28" t="str">
        <f aca="false">IF(OR($B2758="",$C2758=""),"",$C2758*IFERROR(INDEX(Setup!$C$47:$C$56,MATCH($B2758,Setup!$A$47:$A$56,0)),IFERROR(INDEX(Setup!$C$60:$C$89,MATCH($B2758,Setup!$A$60:$A$89,0)),"")))</f>
        <v/>
      </c>
      <c r="E2758" s="42"/>
      <c r="F2758" s="42"/>
    </row>
    <row r="2759" customFormat="false" ht="15" hidden="false" customHeight="true" outlineLevel="0" collapsed="false">
      <c r="A2759" s="42"/>
      <c r="B2759" s="42"/>
      <c r="C2759" s="42"/>
      <c r="D2759" s="28" t="str">
        <f aca="false">IF(OR($B2759="",$C2759=""),"",$C2759*IFERROR(INDEX(Setup!$C$47:$C$56,MATCH($B2759,Setup!$A$47:$A$56,0)),IFERROR(INDEX(Setup!$C$60:$C$89,MATCH($B2759,Setup!$A$60:$A$89,0)),"")))</f>
        <v/>
      </c>
      <c r="E2759" s="42"/>
      <c r="F2759" s="42"/>
    </row>
    <row r="2760" customFormat="false" ht="15" hidden="false" customHeight="true" outlineLevel="0" collapsed="false">
      <c r="A2760" s="42"/>
      <c r="B2760" s="42"/>
      <c r="C2760" s="42"/>
      <c r="D2760" s="28" t="str">
        <f aca="false">IF(OR($B2760="",$C2760=""),"",$C2760*IFERROR(INDEX(Setup!$C$47:$C$56,MATCH($B2760,Setup!$A$47:$A$56,0)),IFERROR(INDEX(Setup!$C$60:$C$89,MATCH($B2760,Setup!$A$60:$A$89,0)),"")))</f>
        <v/>
      </c>
      <c r="E2760" s="42"/>
      <c r="F2760" s="42"/>
    </row>
    <row r="2761" customFormat="false" ht="15" hidden="false" customHeight="true" outlineLevel="0" collapsed="false">
      <c r="A2761" s="42"/>
      <c r="B2761" s="42"/>
      <c r="C2761" s="42"/>
      <c r="D2761" s="28" t="str">
        <f aca="false">IF(OR($B2761="",$C2761=""),"",$C2761*IFERROR(INDEX(Setup!$C$47:$C$56,MATCH($B2761,Setup!$A$47:$A$56,0)),IFERROR(INDEX(Setup!$C$60:$C$89,MATCH($B2761,Setup!$A$60:$A$89,0)),"")))</f>
        <v/>
      </c>
      <c r="E2761" s="42"/>
      <c r="F2761" s="42"/>
    </row>
    <row r="2762" customFormat="false" ht="15" hidden="false" customHeight="true" outlineLevel="0" collapsed="false">
      <c r="A2762" s="42"/>
      <c r="B2762" s="42"/>
      <c r="C2762" s="42"/>
      <c r="D2762" s="28" t="str">
        <f aca="false">IF(OR($B2762="",$C2762=""),"",$C2762*IFERROR(INDEX(Setup!$C$47:$C$56,MATCH($B2762,Setup!$A$47:$A$56,0)),IFERROR(INDEX(Setup!$C$60:$C$89,MATCH($B2762,Setup!$A$60:$A$89,0)),"")))</f>
        <v/>
      </c>
      <c r="E2762" s="42"/>
      <c r="F2762" s="42"/>
    </row>
    <row r="2763" customFormat="false" ht="15" hidden="false" customHeight="true" outlineLevel="0" collapsed="false">
      <c r="A2763" s="42"/>
      <c r="B2763" s="42"/>
      <c r="C2763" s="42"/>
      <c r="D2763" s="28" t="str">
        <f aca="false">IF(OR($B2763="",$C2763=""),"",$C2763*IFERROR(INDEX(Setup!$C$47:$C$56,MATCH($B2763,Setup!$A$47:$A$56,0)),IFERROR(INDEX(Setup!$C$60:$C$89,MATCH($B2763,Setup!$A$60:$A$89,0)),"")))</f>
        <v/>
      </c>
      <c r="E2763" s="42"/>
      <c r="F2763" s="42"/>
    </row>
    <row r="2764" customFormat="false" ht="15" hidden="false" customHeight="true" outlineLevel="0" collapsed="false">
      <c r="A2764" s="42"/>
      <c r="B2764" s="42"/>
      <c r="C2764" s="42"/>
      <c r="D2764" s="28" t="str">
        <f aca="false">IF(OR($B2764="",$C2764=""),"",$C2764*IFERROR(INDEX(Setup!$C$47:$C$56,MATCH($B2764,Setup!$A$47:$A$56,0)),IFERROR(INDEX(Setup!$C$60:$C$89,MATCH($B2764,Setup!$A$60:$A$89,0)),"")))</f>
        <v/>
      </c>
      <c r="E2764" s="42"/>
      <c r="F2764" s="42"/>
    </row>
    <row r="2765" customFormat="false" ht="15" hidden="false" customHeight="true" outlineLevel="0" collapsed="false">
      <c r="A2765" s="42"/>
      <c r="B2765" s="42"/>
      <c r="C2765" s="42"/>
      <c r="D2765" s="28" t="str">
        <f aca="false">IF(OR($B2765="",$C2765=""),"",$C2765*IFERROR(INDEX(Setup!$C$47:$C$56,MATCH($B2765,Setup!$A$47:$A$56,0)),IFERROR(INDEX(Setup!$C$60:$C$89,MATCH($B2765,Setup!$A$60:$A$89,0)),"")))</f>
        <v/>
      </c>
      <c r="E2765" s="42"/>
      <c r="F2765" s="42"/>
    </row>
    <row r="2766" customFormat="false" ht="15" hidden="false" customHeight="true" outlineLevel="0" collapsed="false">
      <c r="A2766" s="42"/>
      <c r="B2766" s="42"/>
      <c r="C2766" s="42"/>
      <c r="D2766" s="28" t="str">
        <f aca="false">IF(OR($B2766="",$C2766=""),"",$C2766*IFERROR(INDEX(Setup!$C$47:$C$56,MATCH($B2766,Setup!$A$47:$A$56,0)),IFERROR(INDEX(Setup!$C$60:$C$89,MATCH($B2766,Setup!$A$60:$A$89,0)),"")))</f>
        <v/>
      </c>
      <c r="E2766" s="42"/>
      <c r="F2766" s="42"/>
    </row>
    <row r="2767" customFormat="false" ht="15" hidden="false" customHeight="true" outlineLevel="0" collapsed="false">
      <c r="A2767" s="42"/>
      <c r="B2767" s="42"/>
      <c r="C2767" s="42"/>
      <c r="D2767" s="28" t="str">
        <f aca="false">IF(OR($B2767="",$C2767=""),"",$C2767*IFERROR(INDEX(Setup!$C$47:$C$56,MATCH($B2767,Setup!$A$47:$A$56,0)),IFERROR(INDEX(Setup!$C$60:$C$89,MATCH($B2767,Setup!$A$60:$A$89,0)),"")))</f>
        <v/>
      </c>
      <c r="E2767" s="42"/>
      <c r="F2767" s="42"/>
    </row>
    <row r="2768" customFormat="false" ht="15" hidden="false" customHeight="true" outlineLevel="0" collapsed="false">
      <c r="A2768" s="42"/>
      <c r="B2768" s="42"/>
      <c r="C2768" s="42"/>
      <c r="D2768" s="28" t="str">
        <f aca="false">IF(OR($B2768="",$C2768=""),"",$C2768*IFERROR(INDEX(Setup!$C$47:$C$56,MATCH($B2768,Setup!$A$47:$A$56,0)),IFERROR(INDEX(Setup!$C$60:$C$89,MATCH($B2768,Setup!$A$60:$A$89,0)),"")))</f>
        <v/>
      </c>
      <c r="E2768" s="42"/>
      <c r="F2768" s="42"/>
    </row>
    <row r="2769" customFormat="false" ht="15" hidden="false" customHeight="true" outlineLevel="0" collapsed="false">
      <c r="A2769" s="42"/>
      <c r="B2769" s="42"/>
      <c r="C2769" s="42"/>
      <c r="D2769" s="28" t="str">
        <f aca="false">IF(OR($B2769="",$C2769=""),"",$C2769*IFERROR(INDEX(Setup!$C$47:$C$56,MATCH($B2769,Setup!$A$47:$A$56,0)),IFERROR(INDEX(Setup!$C$60:$C$89,MATCH($B2769,Setup!$A$60:$A$89,0)),"")))</f>
        <v/>
      </c>
      <c r="E2769" s="42"/>
      <c r="F2769" s="42"/>
    </row>
    <row r="2770" customFormat="false" ht="15" hidden="false" customHeight="true" outlineLevel="0" collapsed="false">
      <c r="A2770" s="42"/>
      <c r="B2770" s="42"/>
      <c r="C2770" s="42"/>
      <c r="D2770" s="28" t="str">
        <f aca="false">IF(OR($B2770="",$C2770=""),"",$C2770*IFERROR(INDEX(Setup!$C$47:$C$56,MATCH($B2770,Setup!$A$47:$A$56,0)),IFERROR(INDEX(Setup!$C$60:$C$89,MATCH($B2770,Setup!$A$60:$A$89,0)),"")))</f>
        <v/>
      </c>
      <c r="E2770" s="42"/>
      <c r="F2770" s="42"/>
    </row>
    <row r="2771" customFormat="false" ht="15" hidden="false" customHeight="true" outlineLevel="0" collapsed="false">
      <c r="A2771" s="42"/>
      <c r="B2771" s="42"/>
      <c r="C2771" s="42"/>
      <c r="D2771" s="28" t="str">
        <f aca="false">IF(OR($B2771="",$C2771=""),"",$C2771*IFERROR(INDEX(Setup!$C$47:$C$56,MATCH($B2771,Setup!$A$47:$A$56,0)),IFERROR(INDEX(Setup!$C$60:$C$89,MATCH($B2771,Setup!$A$60:$A$89,0)),"")))</f>
        <v/>
      </c>
      <c r="E2771" s="42"/>
      <c r="F2771" s="42"/>
    </row>
    <row r="2772" customFormat="false" ht="15" hidden="false" customHeight="true" outlineLevel="0" collapsed="false">
      <c r="A2772" s="42"/>
      <c r="B2772" s="42"/>
      <c r="C2772" s="42"/>
      <c r="D2772" s="28" t="str">
        <f aca="false">IF(OR($B2772="",$C2772=""),"",$C2772*IFERROR(INDEX(Setup!$C$47:$C$56,MATCH($B2772,Setup!$A$47:$A$56,0)),IFERROR(INDEX(Setup!$C$60:$C$89,MATCH($B2772,Setup!$A$60:$A$89,0)),"")))</f>
        <v/>
      </c>
      <c r="E2772" s="42"/>
      <c r="F2772" s="42"/>
    </row>
    <row r="2773" customFormat="false" ht="15" hidden="false" customHeight="true" outlineLevel="0" collapsed="false">
      <c r="A2773" s="42"/>
      <c r="B2773" s="42"/>
      <c r="C2773" s="42"/>
      <c r="D2773" s="28" t="str">
        <f aca="false">IF(OR($B2773="",$C2773=""),"",$C2773*IFERROR(INDEX(Setup!$C$47:$C$56,MATCH($B2773,Setup!$A$47:$A$56,0)),IFERROR(INDEX(Setup!$C$60:$C$89,MATCH($B2773,Setup!$A$60:$A$89,0)),"")))</f>
        <v/>
      </c>
      <c r="E2773" s="42"/>
      <c r="F2773" s="42"/>
    </row>
    <row r="2774" customFormat="false" ht="15" hidden="false" customHeight="true" outlineLevel="0" collapsed="false">
      <c r="A2774" s="42"/>
      <c r="B2774" s="42"/>
      <c r="C2774" s="42"/>
      <c r="D2774" s="28" t="str">
        <f aca="false">IF(OR($B2774="",$C2774=""),"",$C2774*IFERROR(INDEX(Setup!$C$47:$C$56,MATCH($B2774,Setup!$A$47:$A$56,0)),IFERROR(INDEX(Setup!$C$60:$C$89,MATCH($B2774,Setup!$A$60:$A$89,0)),"")))</f>
        <v/>
      </c>
      <c r="E2774" s="42"/>
      <c r="F2774" s="42"/>
    </row>
    <row r="2775" customFormat="false" ht="15" hidden="false" customHeight="true" outlineLevel="0" collapsed="false">
      <c r="A2775" s="42"/>
      <c r="B2775" s="42"/>
      <c r="C2775" s="42"/>
      <c r="D2775" s="28" t="str">
        <f aca="false">IF(OR($B2775="",$C2775=""),"",$C2775*IFERROR(INDEX(Setup!$C$47:$C$56,MATCH($B2775,Setup!$A$47:$A$56,0)),IFERROR(INDEX(Setup!$C$60:$C$89,MATCH($B2775,Setup!$A$60:$A$89,0)),"")))</f>
        <v/>
      </c>
      <c r="E2775" s="42"/>
      <c r="F2775" s="42"/>
    </row>
    <row r="2776" customFormat="false" ht="15" hidden="false" customHeight="true" outlineLevel="0" collapsed="false">
      <c r="A2776" s="42"/>
      <c r="B2776" s="42"/>
      <c r="C2776" s="42"/>
      <c r="D2776" s="28" t="str">
        <f aca="false">IF(OR($B2776="",$C2776=""),"",$C2776*IFERROR(INDEX(Setup!$C$47:$C$56,MATCH($B2776,Setup!$A$47:$A$56,0)),IFERROR(INDEX(Setup!$C$60:$C$89,MATCH($B2776,Setup!$A$60:$A$89,0)),"")))</f>
        <v/>
      </c>
      <c r="E2776" s="42"/>
      <c r="F2776" s="42"/>
    </row>
    <row r="2777" customFormat="false" ht="15" hidden="false" customHeight="true" outlineLevel="0" collapsed="false">
      <c r="A2777" s="42"/>
      <c r="B2777" s="42"/>
      <c r="C2777" s="42"/>
      <c r="D2777" s="28" t="str">
        <f aca="false">IF(OR($B2777="",$C2777=""),"",$C2777*IFERROR(INDEX(Setup!$C$47:$C$56,MATCH($B2777,Setup!$A$47:$A$56,0)),IFERROR(INDEX(Setup!$C$60:$C$89,MATCH($B2777,Setup!$A$60:$A$89,0)),"")))</f>
        <v/>
      </c>
      <c r="E2777" s="42"/>
      <c r="F2777" s="42"/>
    </row>
    <row r="2778" customFormat="false" ht="15" hidden="false" customHeight="true" outlineLevel="0" collapsed="false">
      <c r="A2778" s="42"/>
      <c r="B2778" s="42"/>
      <c r="C2778" s="42"/>
      <c r="D2778" s="28" t="str">
        <f aca="false">IF(OR($B2778="",$C2778=""),"",$C2778*IFERROR(INDEX(Setup!$C$47:$C$56,MATCH($B2778,Setup!$A$47:$A$56,0)),IFERROR(INDEX(Setup!$C$60:$C$89,MATCH($B2778,Setup!$A$60:$A$89,0)),"")))</f>
        <v/>
      </c>
      <c r="E2778" s="42"/>
      <c r="F2778" s="42"/>
    </row>
    <row r="2779" customFormat="false" ht="15" hidden="false" customHeight="true" outlineLevel="0" collapsed="false">
      <c r="A2779" s="42"/>
      <c r="B2779" s="42"/>
      <c r="C2779" s="42"/>
      <c r="D2779" s="28" t="str">
        <f aca="false">IF(OR($B2779="",$C2779=""),"",$C2779*IFERROR(INDEX(Setup!$C$47:$C$56,MATCH($B2779,Setup!$A$47:$A$56,0)),IFERROR(INDEX(Setup!$C$60:$C$89,MATCH($B2779,Setup!$A$60:$A$89,0)),"")))</f>
        <v/>
      </c>
      <c r="E2779" s="42"/>
      <c r="F2779" s="42"/>
    </row>
    <row r="2780" customFormat="false" ht="15" hidden="false" customHeight="true" outlineLevel="0" collapsed="false">
      <c r="A2780" s="42"/>
      <c r="B2780" s="42"/>
      <c r="C2780" s="42"/>
      <c r="D2780" s="28" t="str">
        <f aca="false">IF(OR($B2780="",$C2780=""),"",$C2780*IFERROR(INDEX(Setup!$C$47:$C$56,MATCH($B2780,Setup!$A$47:$A$56,0)),IFERROR(INDEX(Setup!$C$60:$C$89,MATCH($B2780,Setup!$A$60:$A$89,0)),"")))</f>
        <v/>
      </c>
      <c r="E2780" s="42"/>
      <c r="F2780" s="42"/>
    </row>
    <row r="2781" customFormat="false" ht="15" hidden="false" customHeight="true" outlineLevel="0" collapsed="false">
      <c r="A2781" s="42"/>
      <c r="B2781" s="42"/>
      <c r="C2781" s="42"/>
      <c r="D2781" s="28" t="str">
        <f aca="false">IF(OR($B2781="",$C2781=""),"",$C2781*IFERROR(INDEX(Setup!$C$47:$C$56,MATCH($B2781,Setup!$A$47:$A$56,0)),IFERROR(INDEX(Setup!$C$60:$C$89,MATCH($B2781,Setup!$A$60:$A$89,0)),"")))</f>
        <v/>
      </c>
      <c r="E2781" s="42"/>
      <c r="F2781" s="42"/>
    </row>
    <row r="2782" customFormat="false" ht="15" hidden="false" customHeight="true" outlineLevel="0" collapsed="false">
      <c r="A2782" s="42"/>
      <c r="B2782" s="42"/>
      <c r="C2782" s="42"/>
      <c r="D2782" s="28" t="str">
        <f aca="false">IF(OR($B2782="",$C2782=""),"",$C2782*IFERROR(INDEX(Setup!$C$47:$C$56,MATCH($B2782,Setup!$A$47:$A$56,0)),IFERROR(INDEX(Setup!$C$60:$C$89,MATCH($B2782,Setup!$A$60:$A$89,0)),"")))</f>
        <v/>
      </c>
      <c r="E2782" s="42"/>
      <c r="F2782" s="42"/>
    </row>
    <row r="2783" customFormat="false" ht="15" hidden="false" customHeight="true" outlineLevel="0" collapsed="false">
      <c r="A2783" s="42"/>
      <c r="B2783" s="42"/>
      <c r="C2783" s="42"/>
      <c r="D2783" s="28" t="str">
        <f aca="false">IF(OR($B2783="",$C2783=""),"",$C2783*IFERROR(INDEX(Setup!$C$47:$C$56,MATCH($B2783,Setup!$A$47:$A$56,0)),IFERROR(INDEX(Setup!$C$60:$C$89,MATCH($B2783,Setup!$A$60:$A$89,0)),"")))</f>
        <v/>
      </c>
      <c r="E2783" s="42"/>
      <c r="F2783" s="42"/>
    </row>
    <row r="2784" customFormat="false" ht="15" hidden="false" customHeight="true" outlineLevel="0" collapsed="false">
      <c r="A2784" s="42"/>
      <c r="B2784" s="42"/>
      <c r="C2784" s="42"/>
      <c r="D2784" s="28" t="str">
        <f aca="false">IF(OR($B2784="",$C2784=""),"",$C2784*IFERROR(INDEX(Setup!$C$47:$C$56,MATCH($B2784,Setup!$A$47:$A$56,0)),IFERROR(INDEX(Setup!$C$60:$C$89,MATCH($B2784,Setup!$A$60:$A$89,0)),"")))</f>
        <v/>
      </c>
      <c r="E2784" s="42"/>
      <c r="F2784" s="42"/>
    </row>
    <row r="2785" customFormat="false" ht="15" hidden="false" customHeight="true" outlineLevel="0" collapsed="false">
      <c r="A2785" s="42"/>
      <c r="B2785" s="42"/>
      <c r="C2785" s="42"/>
      <c r="D2785" s="28" t="str">
        <f aca="false">IF(OR($B2785="",$C2785=""),"",$C2785*IFERROR(INDEX(Setup!$C$47:$C$56,MATCH($B2785,Setup!$A$47:$A$56,0)),IFERROR(INDEX(Setup!$C$60:$C$89,MATCH($B2785,Setup!$A$60:$A$89,0)),"")))</f>
        <v/>
      </c>
      <c r="E2785" s="42"/>
      <c r="F2785" s="42"/>
    </row>
    <row r="2786" customFormat="false" ht="15" hidden="false" customHeight="true" outlineLevel="0" collapsed="false">
      <c r="A2786" s="42"/>
      <c r="B2786" s="42"/>
      <c r="C2786" s="42"/>
      <c r="D2786" s="28" t="str">
        <f aca="false">IF(OR($B2786="",$C2786=""),"",$C2786*IFERROR(INDEX(Setup!$C$47:$C$56,MATCH($B2786,Setup!$A$47:$A$56,0)),IFERROR(INDEX(Setup!$C$60:$C$89,MATCH($B2786,Setup!$A$60:$A$89,0)),"")))</f>
        <v/>
      </c>
      <c r="E2786" s="42"/>
      <c r="F2786" s="42"/>
    </row>
    <row r="2787" customFormat="false" ht="15" hidden="false" customHeight="true" outlineLevel="0" collapsed="false">
      <c r="A2787" s="42"/>
      <c r="B2787" s="42"/>
      <c r="C2787" s="42"/>
      <c r="D2787" s="28" t="str">
        <f aca="false">IF(OR($B2787="",$C2787=""),"",$C2787*IFERROR(INDEX(Setup!$C$47:$C$56,MATCH($B2787,Setup!$A$47:$A$56,0)),IFERROR(INDEX(Setup!$C$60:$C$89,MATCH($B2787,Setup!$A$60:$A$89,0)),"")))</f>
        <v/>
      </c>
      <c r="E2787" s="42"/>
      <c r="F2787" s="42"/>
    </row>
    <row r="2788" customFormat="false" ht="15" hidden="false" customHeight="true" outlineLevel="0" collapsed="false">
      <c r="A2788" s="42"/>
      <c r="B2788" s="42"/>
      <c r="C2788" s="42"/>
      <c r="D2788" s="28" t="str">
        <f aca="false">IF(OR($B2788="",$C2788=""),"",$C2788*IFERROR(INDEX(Setup!$C$47:$C$56,MATCH($B2788,Setup!$A$47:$A$56,0)),IFERROR(INDEX(Setup!$C$60:$C$89,MATCH($B2788,Setup!$A$60:$A$89,0)),"")))</f>
        <v/>
      </c>
      <c r="E2788" s="42"/>
      <c r="F2788" s="42"/>
    </row>
    <row r="2789" customFormat="false" ht="15" hidden="false" customHeight="true" outlineLevel="0" collapsed="false">
      <c r="A2789" s="42"/>
      <c r="B2789" s="42"/>
      <c r="C2789" s="42"/>
      <c r="D2789" s="28" t="str">
        <f aca="false">IF(OR($B2789="",$C2789=""),"",$C2789*IFERROR(INDEX(Setup!$C$47:$C$56,MATCH($B2789,Setup!$A$47:$A$56,0)),IFERROR(INDEX(Setup!$C$60:$C$89,MATCH($B2789,Setup!$A$60:$A$89,0)),"")))</f>
        <v/>
      </c>
      <c r="E2789" s="42"/>
      <c r="F2789" s="42"/>
    </row>
    <row r="2790" customFormat="false" ht="15" hidden="false" customHeight="true" outlineLevel="0" collapsed="false">
      <c r="A2790" s="42"/>
      <c r="B2790" s="42"/>
      <c r="C2790" s="42"/>
      <c r="D2790" s="28" t="str">
        <f aca="false">IF(OR($B2790="",$C2790=""),"",$C2790*IFERROR(INDEX(Setup!$C$47:$C$56,MATCH($B2790,Setup!$A$47:$A$56,0)),IFERROR(INDEX(Setup!$C$60:$C$89,MATCH($B2790,Setup!$A$60:$A$89,0)),"")))</f>
        <v/>
      </c>
      <c r="E2790" s="42"/>
      <c r="F2790" s="42"/>
    </row>
    <row r="2791" customFormat="false" ht="15" hidden="false" customHeight="true" outlineLevel="0" collapsed="false">
      <c r="A2791" s="42"/>
      <c r="B2791" s="42"/>
      <c r="C2791" s="42"/>
      <c r="D2791" s="28" t="str">
        <f aca="false">IF(OR($B2791="",$C2791=""),"",$C2791*IFERROR(INDEX(Setup!$C$47:$C$56,MATCH($B2791,Setup!$A$47:$A$56,0)),IFERROR(INDEX(Setup!$C$60:$C$89,MATCH($B2791,Setup!$A$60:$A$89,0)),"")))</f>
        <v/>
      </c>
      <c r="E2791" s="42"/>
      <c r="F2791" s="42"/>
    </row>
    <row r="2792" customFormat="false" ht="15" hidden="false" customHeight="true" outlineLevel="0" collapsed="false">
      <c r="A2792" s="42"/>
      <c r="B2792" s="42"/>
      <c r="C2792" s="42"/>
      <c r="D2792" s="28" t="str">
        <f aca="false">IF(OR($B2792="",$C2792=""),"",$C2792*IFERROR(INDEX(Setup!$C$47:$C$56,MATCH($B2792,Setup!$A$47:$A$56,0)),IFERROR(INDEX(Setup!$C$60:$C$89,MATCH($B2792,Setup!$A$60:$A$89,0)),"")))</f>
        <v/>
      </c>
      <c r="E2792" s="42"/>
      <c r="F2792" s="42"/>
    </row>
    <row r="2793" customFormat="false" ht="15" hidden="false" customHeight="true" outlineLevel="0" collapsed="false">
      <c r="A2793" s="42"/>
      <c r="B2793" s="42"/>
      <c r="C2793" s="42"/>
      <c r="D2793" s="28" t="str">
        <f aca="false">IF(OR($B2793="",$C2793=""),"",$C2793*IFERROR(INDEX(Setup!$C$47:$C$56,MATCH($B2793,Setup!$A$47:$A$56,0)),IFERROR(INDEX(Setup!$C$60:$C$89,MATCH($B2793,Setup!$A$60:$A$89,0)),"")))</f>
        <v/>
      </c>
      <c r="E2793" s="42"/>
      <c r="F2793" s="42"/>
    </row>
    <row r="2794" customFormat="false" ht="15" hidden="false" customHeight="true" outlineLevel="0" collapsed="false">
      <c r="A2794" s="42"/>
      <c r="B2794" s="42"/>
      <c r="C2794" s="42"/>
      <c r="D2794" s="28" t="str">
        <f aca="false">IF(OR($B2794="",$C2794=""),"",$C2794*IFERROR(INDEX(Setup!$C$47:$C$56,MATCH($B2794,Setup!$A$47:$A$56,0)),IFERROR(INDEX(Setup!$C$60:$C$89,MATCH($B2794,Setup!$A$60:$A$89,0)),"")))</f>
        <v/>
      </c>
      <c r="E2794" s="42"/>
      <c r="F2794" s="42"/>
    </row>
    <row r="2795" customFormat="false" ht="15" hidden="false" customHeight="true" outlineLevel="0" collapsed="false">
      <c r="A2795" s="42"/>
      <c r="B2795" s="42"/>
      <c r="C2795" s="42"/>
      <c r="D2795" s="28" t="str">
        <f aca="false">IF(OR($B2795="",$C2795=""),"",$C2795*IFERROR(INDEX(Setup!$C$47:$C$56,MATCH($B2795,Setup!$A$47:$A$56,0)),IFERROR(INDEX(Setup!$C$60:$C$89,MATCH($B2795,Setup!$A$60:$A$89,0)),"")))</f>
        <v/>
      </c>
      <c r="E2795" s="42"/>
      <c r="F2795" s="42"/>
    </row>
    <row r="2796" customFormat="false" ht="15" hidden="false" customHeight="true" outlineLevel="0" collapsed="false">
      <c r="A2796" s="42"/>
      <c r="B2796" s="42"/>
      <c r="C2796" s="42"/>
      <c r="D2796" s="28" t="str">
        <f aca="false">IF(OR($B2796="",$C2796=""),"",$C2796*IFERROR(INDEX(Setup!$C$47:$C$56,MATCH($B2796,Setup!$A$47:$A$56,0)),IFERROR(INDEX(Setup!$C$60:$C$89,MATCH($B2796,Setup!$A$60:$A$89,0)),"")))</f>
        <v/>
      </c>
      <c r="E2796" s="42"/>
      <c r="F2796" s="42"/>
    </row>
    <row r="2797" customFormat="false" ht="15" hidden="false" customHeight="true" outlineLevel="0" collapsed="false">
      <c r="A2797" s="42"/>
      <c r="B2797" s="42"/>
      <c r="C2797" s="42"/>
      <c r="D2797" s="28" t="str">
        <f aca="false">IF(OR($B2797="",$C2797=""),"",$C2797*IFERROR(INDEX(Setup!$C$47:$C$56,MATCH($B2797,Setup!$A$47:$A$56,0)),IFERROR(INDEX(Setup!$C$60:$C$89,MATCH($B2797,Setup!$A$60:$A$89,0)),"")))</f>
        <v/>
      </c>
      <c r="E2797" s="42"/>
      <c r="F2797" s="42"/>
    </row>
    <row r="2798" customFormat="false" ht="15" hidden="false" customHeight="true" outlineLevel="0" collapsed="false">
      <c r="A2798" s="42"/>
      <c r="B2798" s="42"/>
      <c r="C2798" s="42"/>
      <c r="D2798" s="28" t="str">
        <f aca="false">IF(OR($B2798="",$C2798=""),"",$C2798*IFERROR(INDEX(Setup!$C$47:$C$56,MATCH($B2798,Setup!$A$47:$A$56,0)),IFERROR(INDEX(Setup!$C$60:$C$89,MATCH($B2798,Setup!$A$60:$A$89,0)),"")))</f>
        <v/>
      </c>
      <c r="E2798" s="42"/>
      <c r="F2798" s="42"/>
    </row>
    <row r="2799" customFormat="false" ht="15" hidden="false" customHeight="true" outlineLevel="0" collapsed="false">
      <c r="A2799" s="42"/>
      <c r="B2799" s="42"/>
      <c r="C2799" s="42"/>
      <c r="D2799" s="28" t="str">
        <f aca="false">IF(OR($B2799="",$C2799=""),"",$C2799*IFERROR(INDEX(Setup!$C$47:$C$56,MATCH($B2799,Setup!$A$47:$A$56,0)),IFERROR(INDEX(Setup!$C$60:$C$89,MATCH($B2799,Setup!$A$60:$A$89,0)),"")))</f>
        <v/>
      </c>
      <c r="E2799" s="42"/>
      <c r="F2799" s="42"/>
    </row>
    <row r="2800" customFormat="false" ht="15" hidden="false" customHeight="true" outlineLevel="0" collapsed="false">
      <c r="A2800" s="42"/>
      <c r="B2800" s="42"/>
      <c r="C2800" s="42"/>
      <c r="D2800" s="28" t="str">
        <f aca="false">IF(OR($B2800="",$C2800=""),"",$C2800*IFERROR(INDEX(Setup!$C$47:$C$56,MATCH($B2800,Setup!$A$47:$A$56,0)),IFERROR(INDEX(Setup!$C$60:$C$89,MATCH($B2800,Setup!$A$60:$A$89,0)),"")))</f>
        <v/>
      </c>
      <c r="E2800" s="42"/>
      <c r="F2800" s="42"/>
    </row>
    <row r="2801" customFormat="false" ht="15" hidden="false" customHeight="true" outlineLevel="0" collapsed="false">
      <c r="A2801" s="42"/>
      <c r="B2801" s="42"/>
      <c r="C2801" s="42"/>
      <c r="D2801" s="28" t="str">
        <f aca="false">IF(OR($B2801="",$C2801=""),"",$C2801*IFERROR(INDEX(Setup!$C$47:$C$56,MATCH($B2801,Setup!$A$47:$A$56,0)),IFERROR(INDEX(Setup!$C$60:$C$89,MATCH($B2801,Setup!$A$60:$A$89,0)),"")))</f>
        <v/>
      </c>
      <c r="E2801" s="42"/>
      <c r="F2801" s="42"/>
    </row>
    <row r="2802" customFormat="false" ht="15" hidden="false" customHeight="true" outlineLevel="0" collapsed="false">
      <c r="A2802" s="42"/>
      <c r="B2802" s="42"/>
      <c r="C2802" s="42"/>
      <c r="D2802" s="28" t="str">
        <f aca="false">IF(OR($B2802="",$C2802=""),"",$C2802*IFERROR(INDEX(Setup!$C$47:$C$56,MATCH($B2802,Setup!$A$47:$A$56,0)),IFERROR(INDEX(Setup!$C$60:$C$89,MATCH($B2802,Setup!$A$60:$A$89,0)),"")))</f>
        <v/>
      </c>
      <c r="E2802" s="42"/>
      <c r="F2802" s="42"/>
    </row>
    <row r="2803" customFormat="false" ht="15" hidden="false" customHeight="true" outlineLevel="0" collapsed="false">
      <c r="A2803" s="42"/>
      <c r="B2803" s="42"/>
      <c r="C2803" s="42"/>
      <c r="D2803" s="28" t="str">
        <f aca="false">IF(OR($B2803="",$C2803=""),"",$C2803*IFERROR(INDEX(Setup!$C$47:$C$56,MATCH($B2803,Setup!$A$47:$A$56,0)),IFERROR(INDEX(Setup!$C$60:$C$89,MATCH($B2803,Setup!$A$60:$A$89,0)),"")))</f>
        <v/>
      </c>
      <c r="E2803" s="42"/>
      <c r="F2803" s="42"/>
    </row>
    <row r="2804" customFormat="false" ht="15" hidden="false" customHeight="true" outlineLevel="0" collapsed="false">
      <c r="A2804" s="42"/>
      <c r="B2804" s="42"/>
      <c r="C2804" s="42"/>
      <c r="D2804" s="28" t="str">
        <f aca="false">IF(OR($B2804="",$C2804=""),"",$C2804*IFERROR(INDEX(Setup!$C$47:$C$56,MATCH($B2804,Setup!$A$47:$A$56,0)),IFERROR(INDEX(Setup!$C$60:$C$89,MATCH($B2804,Setup!$A$60:$A$89,0)),"")))</f>
        <v/>
      </c>
      <c r="E2804" s="42"/>
      <c r="F2804" s="42"/>
    </row>
    <row r="2805" customFormat="false" ht="15" hidden="false" customHeight="true" outlineLevel="0" collapsed="false">
      <c r="A2805" s="42"/>
      <c r="B2805" s="42"/>
      <c r="C2805" s="42"/>
      <c r="D2805" s="28" t="str">
        <f aca="false">IF(OR($B2805="",$C2805=""),"",$C2805*IFERROR(INDEX(Setup!$C$47:$C$56,MATCH($B2805,Setup!$A$47:$A$56,0)),IFERROR(INDEX(Setup!$C$60:$C$89,MATCH($B2805,Setup!$A$60:$A$89,0)),"")))</f>
        <v/>
      </c>
      <c r="E2805" s="42"/>
      <c r="F2805" s="42"/>
    </row>
    <row r="2806" customFormat="false" ht="15" hidden="false" customHeight="true" outlineLevel="0" collapsed="false">
      <c r="A2806" s="42"/>
      <c r="B2806" s="42"/>
      <c r="C2806" s="42"/>
      <c r="D2806" s="28" t="str">
        <f aca="false">IF(OR($B2806="",$C2806=""),"",$C2806*IFERROR(INDEX(Setup!$C$47:$C$56,MATCH($B2806,Setup!$A$47:$A$56,0)),IFERROR(INDEX(Setup!$C$60:$C$89,MATCH($B2806,Setup!$A$60:$A$89,0)),"")))</f>
        <v/>
      </c>
      <c r="E2806" s="42"/>
      <c r="F2806" s="42"/>
    </row>
    <row r="2807" customFormat="false" ht="15" hidden="false" customHeight="true" outlineLevel="0" collapsed="false">
      <c r="A2807" s="42"/>
      <c r="B2807" s="42"/>
      <c r="C2807" s="42"/>
      <c r="D2807" s="28" t="str">
        <f aca="false">IF(OR($B2807="",$C2807=""),"",$C2807*IFERROR(INDEX(Setup!$C$47:$C$56,MATCH($B2807,Setup!$A$47:$A$56,0)),IFERROR(INDEX(Setup!$C$60:$C$89,MATCH($B2807,Setup!$A$60:$A$89,0)),"")))</f>
        <v/>
      </c>
      <c r="E2807" s="42"/>
      <c r="F2807" s="42"/>
    </row>
    <row r="2808" customFormat="false" ht="15" hidden="false" customHeight="true" outlineLevel="0" collapsed="false">
      <c r="A2808" s="42"/>
      <c r="B2808" s="42"/>
      <c r="C2808" s="42"/>
      <c r="D2808" s="28" t="str">
        <f aca="false">IF(OR($B2808="",$C2808=""),"",$C2808*IFERROR(INDEX(Setup!$C$47:$C$56,MATCH($B2808,Setup!$A$47:$A$56,0)),IFERROR(INDEX(Setup!$C$60:$C$89,MATCH($B2808,Setup!$A$60:$A$89,0)),"")))</f>
        <v/>
      </c>
      <c r="E2808" s="42"/>
      <c r="F2808" s="42"/>
    </row>
    <row r="2809" customFormat="false" ht="15" hidden="false" customHeight="true" outlineLevel="0" collapsed="false">
      <c r="A2809" s="42"/>
      <c r="B2809" s="42"/>
      <c r="C2809" s="42"/>
      <c r="D2809" s="28" t="str">
        <f aca="false">IF(OR($B2809="",$C2809=""),"",$C2809*IFERROR(INDEX(Setup!$C$47:$C$56,MATCH($B2809,Setup!$A$47:$A$56,0)),IFERROR(INDEX(Setup!$C$60:$C$89,MATCH($B2809,Setup!$A$60:$A$89,0)),"")))</f>
        <v/>
      </c>
      <c r="E2809" s="42"/>
      <c r="F2809" s="42"/>
    </row>
    <row r="2810" customFormat="false" ht="15" hidden="false" customHeight="true" outlineLevel="0" collapsed="false">
      <c r="A2810" s="42"/>
      <c r="B2810" s="42"/>
      <c r="C2810" s="42"/>
      <c r="D2810" s="28" t="str">
        <f aca="false">IF(OR($B2810="",$C2810=""),"",$C2810*IFERROR(INDEX(Setup!$C$47:$C$56,MATCH($B2810,Setup!$A$47:$A$56,0)),IFERROR(INDEX(Setup!$C$60:$C$89,MATCH($B2810,Setup!$A$60:$A$89,0)),"")))</f>
        <v/>
      </c>
      <c r="E2810" s="42"/>
      <c r="F2810" s="42"/>
    </row>
    <row r="2811" customFormat="false" ht="15" hidden="false" customHeight="true" outlineLevel="0" collapsed="false">
      <c r="A2811" s="42"/>
      <c r="B2811" s="42"/>
      <c r="C2811" s="42"/>
      <c r="D2811" s="28" t="str">
        <f aca="false">IF(OR($B2811="",$C2811=""),"",$C2811*IFERROR(INDEX(Setup!$C$47:$C$56,MATCH($B2811,Setup!$A$47:$A$56,0)),IFERROR(INDEX(Setup!$C$60:$C$89,MATCH($B2811,Setup!$A$60:$A$89,0)),"")))</f>
        <v/>
      </c>
      <c r="E2811" s="42"/>
      <c r="F2811" s="42"/>
    </row>
    <row r="2812" customFormat="false" ht="15" hidden="false" customHeight="true" outlineLevel="0" collapsed="false">
      <c r="A2812" s="42"/>
      <c r="B2812" s="42"/>
      <c r="C2812" s="42"/>
      <c r="D2812" s="28" t="str">
        <f aca="false">IF(OR($B2812="",$C2812=""),"",$C2812*IFERROR(INDEX(Setup!$C$47:$C$56,MATCH($B2812,Setup!$A$47:$A$56,0)),IFERROR(INDEX(Setup!$C$60:$C$89,MATCH($B2812,Setup!$A$60:$A$89,0)),"")))</f>
        <v/>
      </c>
      <c r="E2812" s="42"/>
      <c r="F2812" s="42"/>
    </row>
    <row r="2813" customFormat="false" ht="15" hidden="false" customHeight="true" outlineLevel="0" collapsed="false">
      <c r="A2813" s="42"/>
      <c r="B2813" s="42"/>
      <c r="C2813" s="42"/>
      <c r="D2813" s="28" t="str">
        <f aca="false">IF(OR($B2813="",$C2813=""),"",$C2813*IFERROR(INDEX(Setup!$C$47:$C$56,MATCH($B2813,Setup!$A$47:$A$56,0)),IFERROR(INDEX(Setup!$C$60:$C$89,MATCH($B2813,Setup!$A$60:$A$89,0)),"")))</f>
        <v/>
      </c>
      <c r="E2813" s="42"/>
      <c r="F2813" s="42"/>
    </row>
    <row r="2814" customFormat="false" ht="15" hidden="false" customHeight="true" outlineLevel="0" collapsed="false">
      <c r="A2814" s="42"/>
      <c r="B2814" s="42"/>
      <c r="C2814" s="42"/>
      <c r="D2814" s="28" t="str">
        <f aca="false">IF(OR($B2814="",$C2814=""),"",$C2814*IFERROR(INDEX(Setup!$C$47:$C$56,MATCH($B2814,Setup!$A$47:$A$56,0)),IFERROR(INDEX(Setup!$C$60:$C$89,MATCH($B2814,Setup!$A$60:$A$89,0)),"")))</f>
        <v/>
      </c>
      <c r="E2814" s="42"/>
      <c r="F2814" s="42"/>
    </row>
    <row r="2815" customFormat="false" ht="15" hidden="false" customHeight="true" outlineLevel="0" collapsed="false">
      <c r="A2815" s="42"/>
      <c r="B2815" s="42"/>
      <c r="C2815" s="42"/>
      <c r="D2815" s="28" t="str">
        <f aca="false">IF(OR($B2815="",$C2815=""),"",$C2815*IFERROR(INDEX(Setup!$C$47:$C$56,MATCH($B2815,Setup!$A$47:$A$56,0)),IFERROR(INDEX(Setup!$C$60:$C$89,MATCH($B2815,Setup!$A$60:$A$89,0)),"")))</f>
        <v/>
      </c>
      <c r="E2815" s="42"/>
      <c r="F2815" s="42"/>
    </row>
    <row r="2816" customFormat="false" ht="15" hidden="false" customHeight="true" outlineLevel="0" collapsed="false">
      <c r="A2816" s="42"/>
      <c r="B2816" s="42"/>
      <c r="C2816" s="42"/>
      <c r="D2816" s="28" t="str">
        <f aca="false">IF(OR($B2816="",$C2816=""),"",$C2816*IFERROR(INDEX(Setup!$C$47:$C$56,MATCH($B2816,Setup!$A$47:$A$56,0)),IFERROR(INDEX(Setup!$C$60:$C$89,MATCH($B2816,Setup!$A$60:$A$89,0)),"")))</f>
        <v/>
      </c>
      <c r="E2816" s="42"/>
      <c r="F2816" s="42"/>
    </row>
    <row r="2817" customFormat="false" ht="15" hidden="false" customHeight="true" outlineLevel="0" collapsed="false">
      <c r="A2817" s="42"/>
      <c r="B2817" s="42"/>
      <c r="C2817" s="42"/>
      <c r="D2817" s="28" t="str">
        <f aca="false">IF(OR($B2817="",$C2817=""),"",$C2817*IFERROR(INDEX(Setup!$C$47:$C$56,MATCH($B2817,Setup!$A$47:$A$56,0)),IFERROR(INDEX(Setup!$C$60:$C$89,MATCH($B2817,Setup!$A$60:$A$89,0)),"")))</f>
        <v/>
      </c>
      <c r="E2817" s="42"/>
      <c r="F2817" s="42"/>
    </row>
    <row r="2818" customFormat="false" ht="15" hidden="false" customHeight="true" outlineLevel="0" collapsed="false">
      <c r="A2818" s="42"/>
      <c r="B2818" s="42"/>
      <c r="C2818" s="42"/>
      <c r="D2818" s="28" t="str">
        <f aca="false">IF(OR($B2818="",$C2818=""),"",$C2818*IFERROR(INDEX(Setup!$C$47:$C$56,MATCH($B2818,Setup!$A$47:$A$56,0)),IFERROR(INDEX(Setup!$C$60:$C$89,MATCH($B2818,Setup!$A$60:$A$89,0)),"")))</f>
        <v/>
      </c>
      <c r="E2818" s="42"/>
      <c r="F2818" s="42"/>
    </row>
    <row r="2819" customFormat="false" ht="15" hidden="false" customHeight="true" outlineLevel="0" collapsed="false">
      <c r="A2819" s="42"/>
      <c r="B2819" s="42"/>
      <c r="C2819" s="42"/>
      <c r="D2819" s="28" t="str">
        <f aca="false">IF(OR($B2819="",$C2819=""),"",$C2819*IFERROR(INDEX(Setup!$C$47:$C$56,MATCH($B2819,Setup!$A$47:$A$56,0)),IFERROR(INDEX(Setup!$C$60:$C$89,MATCH($B2819,Setup!$A$60:$A$89,0)),"")))</f>
        <v/>
      </c>
      <c r="E2819" s="42"/>
      <c r="F2819" s="42"/>
    </row>
    <row r="2820" customFormat="false" ht="15" hidden="false" customHeight="true" outlineLevel="0" collapsed="false">
      <c r="A2820" s="42"/>
      <c r="B2820" s="42"/>
      <c r="C2820" s="42"/>
      <c r="D2820" s="28" t="str">
        <f aca="false">IF(OR($B2820="",$C2820=""),"",$C2820*IFERROR(INDEX(Setup!$C$47:$C$56,MATCH($B2820,Setup!$A$47:$A$56,0)),IFERROR(INDEX(Setup!$C$60:$C$89,MATCH($B2820,Setup!$A$60:$A$89,0)),"")))</f>
        <v/>
      </c>
      <c r="E2820" s="42"/>
      <c r="F2820" s="42"/>
    </row>
    <row r="2821" customFormat="false" ht="15" hidden="false" customHeight="true" outlineLevel="0" collapsed="false">
      <c r="A2821" s="42"/>
      <c r="B2821" s="42"/>
      <c r="C2821" s="42"/>
      <c r="D2821" s="28" t="str">
        <f aca="false">IF(OR($B2821="",$C2821=""),"",$C2821*IFERROR(INDEX(Setup!$C$47:$C$56,MATCH($B2821,Setup!$A$47:$A$56,0)),IFERROR(INDEX(Setup!$C$60:$C$89,MATCH($B2821,Setup!$A$60:$A$89,0)),"")))</f>
        <v/>
      </c>
      <c r="E2821" s="42"/>
      <c r="F2821" s="42"/>
    </row>
    <row r="2822" customFormat="false" ht="15" hidden="false" customHeight="true" outlineLevel="0" collapsed="false">
      <c r="A2822" s="42"/>
      <c r="B2822" s="42"/>
      <c r="C2822" s="42"/>
      <c r="D2822" s="28" t="str">
        <f aca="false">IF(OR($B2822="",$C2822=""),"",$C2822*IFERROR(INDEX(Setup!$C$47:$C$56,MATCH($B2822,Setup!$A$47:$A$56,0)),IFERROR(INDEX(Setup!$C$60:$C$89,MATCH($B2822,Setup!$A$60:$A$89,0)),"")))</f>
        <v/>
      </c>
      <c r="E2822" s="42"/>
      <c r="F2822" s="42"/>
    </row>
    <row r="2823" customFormat="false" ht="15" hidden="false" customHeight="true" outlineLevel="0" collapsed="false">
      <c r="A2823" s="42"/>
      <c r="B2823" s="42"/>
      <c r="C2823" s="42"/>
      <c r="D2823" s="28" t="str">
        <f aca="false">IF(OR($B2823="",$C2823=""),"",$C2823*IFERROR(INDEX(Setup!$C$47:$C$56,MATCH($B2823,Setup!$A$47:$A$56,0)),IFERROR(INDEX(Setup!$C$60:$C$89,MATCH($B2823,Setup!$A$60:$A$89,0)),"")))</f>
        <v/>
      </c>
      <c r="E2823" s="42"/>
      <c r="F2823" s="42"/>
    </row>
    <row r="2824" customFormat="false" ht="15" hidden="false" customHeight="true" outlineLevel="0" collapsed="false">
      <c r="A2824" s="42"/>
      <c r="B2824" s="42"/>
      <c r="C2824" s="42"/>
      <c r="D2824" s="28" t="str">
        <f aca="false">IF(OR($B2824="",$C2824=""),"",$C2824*IFERROR(INDEX(Setup!$C$47:$C$56,MATCH($B2824,Setup!$A$47:$A$56,0)),IFERROR(INDEX(Setup!$C$60:$C$89,MATCH($B2824,Setup!$A$60:$A$89,0)),"")))</f>
        <v/>
      </c>
      <c r="E2824" s="42"/>
      <c r="F2824" s="42"/>
    </row>
    <row r="2825" customFormat="false" ht="15" hidden="false" customHeight="true" outlineLevel="0" collapsed="false">
      <c r="A2825" s="42"/>
      <c r="B2825" s="42"/>
      <c r="C2825" s="42"/>
      <c r="D2825" s="28" t="str">
        <f aca="false">IF(OR($B2825="",$C2825=""),"",$C2825*IFERROR(INDEX(Setup!$C$47:$C$56,MATCH($B2825,Setup!$A$47:$A$56,0)),IFERROR(INDEX(Setup!$C$60:$C$89,MATCH($B2825,Setup!$A$60:$A$89,0)),"")))</f>
        <v/>
      </c>
      <c r="E2825" s="42"/>
      <c r="F2825" s="42"/>
    </row>
    <row r="2826" customFormat="false" ht="15" hidden="false" customHeight="true" outlineLevel="0" collapsed="false">
      <c r="A2826" s="42"/>
      <c r="B2826" s="42"/>
      <c r="C2826" s="42"/>
      <c r="D2826" s="28" t="str">
        <f aca="false">IF(OR($B2826="",$C2826=""),"",$C2826*IFERROR(INDEX(Setup!$C$47:$C$56,MATCH($B2826,Setup!$A$47:$A$56,0)),IFERROR(INDEX(Setup!$C$60:$C$89,MATCH($B2826,Setup!$A$60:$A$89,0)),"")))</f>
        <v/>
      </c>
      <c r="E2826" s="42"/>
      <c r="F2826" s="42"/>
    </row>
    <row r="2827" customFormat="false" ht="15" hidden="false" customHeight="true" outlineLevel="0" collapsed="false">
      <c r="A2827" s="42"/>
      <c r="B2827" s="42"/>
      <c r="C2827" s="42"/>
      <c r="D2827" s="28" t="str">
        <f aca="false">IF(OR($B2827="",$C2827=""),"",$C2827*IFERROR(INDEX(Setup!$C$47:$C$56,MATCH($B2827,Setup!$A$47:$A$56,0)),IFERROR(INDEX(Setup!$C$60:$C$89,MATCH($B2827,Setup!$A$60:$A$89,0)),"")))</f>
        <v/>
      </c>
      <c r="E2827" s="42"/>
      <c r="F2827" s="42"/>
    </row>
    <row r="2828" customFormat="false" ht="15" hidden="false" customHeight="true" outlineLevel="0" collapsed="false">
      <c r="A2828" s="42"/>
      <c r="B2828" s="42"/>
      <c r="C2828" s="42"/>
      <c r="D2828" s="28" t="str">
        <f aca="false">IF(OR($B2828="",$C2828=""),"",$C2828*IFERROR(INDEX(Setup!$C$47:$C$56,MATCH($B2828,Setup!$A$47:$A$56,0)),IFERROR(INDEX(Setup!$C$60:$C$89,MATCH($B2828,Setup!$A$60:$A$89,0)),"")))</f>
        <v/>
      </c>
      <c r="E2828" s="42"/>
      <c r="F2828" s="42"/>
    </row>
    <row r="2829" customFormat="false" ht="15" hidden="false" customHeight="true" outlineLevel="0" collapsed="false">
      <c r="A2829" s="42"/>
      <c r="B2829" s="42"/>
      <c r="C2829" s="42"/>
      <c r="D2829" s="28" t="str">
        <f aca="false">IF(OR($B2829="",$C2829=""),"",$C2829*IFERROR(INDEX(Setup!$C$47:$C$56,MATCH($B2829,Setup!$A$47:$A$56,0)),IFERROR(INDEX(Setup!$C$60:$C$89,MATCH($B2829,Setup!$A$60:$A$89,0)),"")))</f>
        <v/>
      </c>
      <c r="E2829" s="42"/>
      <c r="F2829" s="42"/>
    </row>
    <row r="2830" customFormat="false" ht="15" hidden="false" customHeight="true" outlineLevel="0" collapsed="false">
      <c r="A2830" s="42"/>
      <c r="B2830" s="42"/>
      <c r="C2830" s="42"/>
      <c r="D2830" s="28" t="str">
        <f aca="false">IF(OR($B2830="",$C2830=""),"",$C2830*IFERROR(INDEX(Setup!$C$47:$C$56,MATCH($B2830,Setup!$A$47:$A$56,0)),IFERROR(INDEX(Setup!$C$60:$C$89,MATCH($B2830,Setup!$A$60:$A$89,0)),"")))</f>
        <v/>
      </c>
      <c r="E2830" s="42"/>
      <c r="F2830" s="42"/>
    </row>
    <row r="2831" customFormat="false" ht="15" hidden="false" customHeight="true" outlineLevel="0" collapsed="false">
      <c r="A2831" s="42"/>
      <c r="B2831" s="42"/>
      <c r="C2831" s="42"/>
      <c r="D2831" s="28" t="str">
        <f aca="false">IF(OR($B2831="",$C2831=""),"",$C2831*IFERROR(INDEX(Setup!$C$47:$C$56,MATCH($B2831,Setup!$A$47:$A$56,0)),IFERROR(INDEX(Setup!$C$60:$C$89,MATCH($B2831,Setup!$A$60:$A$89,0)),"")))</f>
        <v/>
      </c>
      <c r="E2831" s="42"/>
      <c r="F2831" s="42"/>
    </row>
    <row r="2832" customFormat="false" ht="15" hidden="false" customHeight="true" outlineLevel="0" collapsed="false">
      <c r="A2832" s="42"/>
      <c r="B2832" s="42"/>
      <c r="C2832" s="42"/>
      <c r="D2832" s="28" t="str">
        <f aca="false">IF(OR($B2832="",$C2832=""),"",$C2832*IFERROR(INDEX(Setup!$C$47:$C$56,MATCH($B2832,Setup!$A$47:$A$56,0)),IFERROR(INDEX(Setup!$C$60:$C$89,MATCH($B2832,Setup!$A$60:$A$89,0)),"")))</f>
        <v/>
      </c>
      <c r="E2832" s="42"/>
      <c r="F2832" s="42"/>
    </row>
    <row r="2833" customFormat="false" ht="15" hidden="false" customHeight="true" outlineLevel="0" collapsed="false">
      <c r="A2833" s="42"/>
      <c r="B2833" s="42"/>
      <c r="C2833" s="42"/>
      <c r="D2833" s="28" t="str">
        <f aca="false">IF(OR($B2833="",$C2833=""),"",$C2833*IFERROR(INDEX(Setup!$C$47:$C$56,MATCH($B2833,Setup!$A$47:$A$56,0)),IFERROR(INDEX(Setup!$C$60:$C$89,MATCH($B2833,Setup!$A$60:$A$89,0)),"")))</f>
        <v/>
      </c>
      <c r="E2833" s="42"/>
      <c r="F2833" s="42"/>
    </row>
    <row r="2834" customFormat="false" ht="15" hidden="false" customHeight="true" outlineLevel="0" collapsed="false">
      <c r="A2834" s="42"/>
      <c r="B2834" s="42"/>
      <c r="C2834" s="42"/>
      <c r="D2834" s="28" t="str">
        <f aca="false">IF(OR($B2834="",$C2834=""),"",$C2834*IFERROR(INDEX(Setup!$C$47:$C$56,MATCH($B2834,Setup!$A$47:$A$56,0)),IFERROR(INDEX(Setup!$C$60:$C$89,MATCH($B2834,Setup!$A$60:$A$89,0)),"")))</f>
        <v/>
      </c>
      <c r="E2834" s="42"/>
      <c r="F2834" s="42"/>
    </row>
    <row r="2835" customFormat="false" ht="15" hidden="false" customHeight="true" outlineLevel="0" collapsed="false">
      <c r="A2835" s="42"/>
      <c r="B2835" s="42"/>
      <c r="C2835" s="42"/>
      <c r="D2835" s="28" t="str">
        <f aca="false">IF(OR($B2835="",$C2835=""),"",$C2835*IFERROR(INDEX(Setup!$C$47:$C$56,MATCH($B2835,Setup!$A$47:$A$56,0)),IFERROR(INDEX(Setup!$C$60:$C$89,MATCH($B2835,Setup!$A$60:$A$89,0)),"")))</f>
        <v/>
      </c>
      <c r="E2835" s="42"/>
      <c r="F2835" s="42"/>
    </row>
    <row r="2836" customFormat="false" ht="15" hidden="false" customHeight="true" outlineLevel="0" collapsed="false">
      <c r="A2836" s="42"/>
      <c r="B2836" s="42"/>
      <c r="C2836" s="42"/>
      <c r="D2836" s="28" t="str">
        <f aca="false">IF(OR($B2836="",$C2836=""),"",$C2836*IFERROR(INDEX(Setup!$C$47:$C$56,MATCH($B2836,Setup!$A$47:$A$56,0)),IFERROR(INDEX(Setup!$C$60:$C$89,MATCH($B2836,Setup!$A$60:$A$89,0)),"")))</f>
        <v/>
      </c>
      <c r="E2836" s="42"/>
      <c r="F2836" s="42"/>
    </row>
    <row r="2837" customFormat="false" ht="15" hidden="false" customHeight="true" outlineLevel="0" collapsed="false">
      <c r="A2837" s="42"/>
      <c r="B2837" s="42"/>
      <c r="C2837" s="42"/>
      <c r="D2837" s="28" t="str">
        <f aca="false">IF(OR($B2837="",$C2837=""),"",$C2837*IFERROR(INDEX(Setup!$C$47:$C$56,MATCH($B2837,Setup!$A$47:$A$56,0)),IFERROR(INDEX(Setup!$C$60:$C$89,MATCH($B2837,Setup!$A$60:$A$89,0)),"")))</f>
        <v/>
      </c>
      <c r="E2837" s="42"/>
      <c r="F2837" s="42"/>
    </row>
    <row r="2838" customFormat="false" ht="15" hidden="false" customHeight="true" outlineLevel="0" collapsed="false">
      <c r="A2838" s="42"/>
      <c r="B2838" s="42"/>
      <c r="C2838" s="42"/>
      <c r="D2838" s="28" t="str">
        <f aca="false">IF(OR($B2838="",$C2838=""),"",$C2838*IFERROR(INDEX(Setup!$C$47:$C$56,MATCH($B2838,Setup!$A$47:$A$56,0)),IFERROR(INDEX(Setup!$C$60:$C$89,MATCH($B2838,Setup!$A$60:$A$89,0)),"")))</f>
        <v/>
      </c>
      <c r="E2838" s="42"/>
      <c r="F2838" s="42"/>
    </row>
    <row r="2839" customFormat="false" ht="15" hidden="false" customHeight="true" outlineLevel="0" collapsed="false">
      <c r="A2839" s="42"/>
      <c r="B2839" s="42"/>
      <c r="C2839" s="42"/>
      <c r="D2839" s="28" t="str">
        <f aca="false">IF(OR($B2839="",$C2839=""),"",$C2839*IFERROR(INDEX(Setup!$C$47:$C$56,MATCH($B2839,Setup!$A$47:$A$56,0)),IFERROR(INDEX(Setup!$C$60:$C$89,MATCH($B2839,Setup!$A$60:$A$89,0)),"")))</f>
        <v/>
      </c>
      <c r="E2839" s="42"/>
      <c r="F2839" s="42"/>
    </row>
    <row r="2840" customFormat="false" ht="15" hidden="false" customHeight="true" outlineLevel="0" collapsed="false">
      <c r="A2840" s="42"/>
      <c r="B2840" s="42"/>
      <c r="C2840" s="42"/>
      <c r="D2840" s="28" t="str">
        <f aca="false">IF(OR($B2840="",$C2840=""),"",$C2840*IFERROR(INDEX(Setup!$C$47:$C$56,MATCH($B2840,Setup!$A$47:$A$56,0)),IFERROR(INDEX(Setup!$C$60:$C$89,MATCH($B2840,Setup!$A$60:$A$89,0)),"")))</f>
        <v/>
      </c>
      <c r="E2840" s="42"/>
      <c r="F2840" s="42"/>
    </row>
    <row r="2841" customFormat="false" ht="15" hidden="false" customHeight="true" outlineLevel="0" collapsed="false">
      <c r="A2841" s="42"/>
      <c r="B2841" s="42"/>
      <c r="C2841" s="42"/>
      <c r="D2841" s="28" t="str">
        <f aca="false">IF(OR($B2841="",$C2841=""),"",$C2841*IFERROR(INDEX(Setup!$C$47:$C$56,MATCH($B2841,Setup!$A$47:$A$56,0)),IFERROR(INDEX(Setup!$C$60:$C$89,MATCH($B2841,Setup!$A$60:$A$89,0)),"")))</f>
        <v/>
      </c>
      <c r="E2841" s="42"/>
      <c r="F2841" s="42"/>
    </row>
    <row r="2842" customFormat="false" ht="15" hidden="false" customHeight="true" outlineLevel="0" collapsed="false">
      <c r="A2842" s="42"/>
      <c r="B2842" s="42"/>
      <c r="C2842" s="42"/>
      <c r="D2842" s="28" t="str">
        <f aca="false">IF(OR($B2842="",$C2842=""),"",$C2842*IFERROR(INDEX(Setup!$C$47:$C$56,MATCH($B2842,Setup!$A$47:$A$56,0)),IFERROR(INDEX(Setup!$C$60:$C$89,MATCH($B2842,Setup!$A$60:$A$89,0)),"")))</f>
        <v/>
      </c>
      <c r="E2842" s="42"/>
      <c r="F2842" s="42"/>
    </row>
    <row r="2843" customFormat="false" ht="15" hidden="false" customHeight="true" outlineLevel="0" collapsed="false">
      <c r="A2843" s="42"/>
      <c r="B2843" s="42"/>
      <c r="C2843" s="42"/>
      <c r="D2843" s="28" t="str">
        <f aca="false">IF(OR($B2843="",$C2843=""),"",$C2843*IFERROR(INDEX(Setup!$C$47:$C$56,MATCH($B2843,Setup!$A$47:$A$56,0)),IFERROR(INDEX(Setup!$C$60:$C$89,MATCH($B2843,Setup!$A$60:$A$89,0)),"")))</f>
        <v/>
      </c>
      <c r="E2843" s="42"/>
      <c r="F2843" s="42"/>
    </row>
    <row r="2844" customFormat="false" ht="15" hidden="false" customHeight="true" outlineLevel="0" collapsed="false">
      <c r="A2844" s="42"/>
      <c r="B2844" s="42"/>
      <c r="C2844" s="42"/>
      <c r="D2844" s="28" t="str">
        <f aca="false">IF(OR($B2844="",$C2844=""),"",$C2844*IFERROR(INDEX(Setup!$C$47:$C$56,MATCH($B2844,Setup!$A$47:$A$56,0)),IFERROR(INDEX(Setup!$C$60:$C$89,MATCH($B2844,Setup!$A$60:$A$89,0)),"")))</f>
        <v/>
      </c>
      <c r="E2844" s="42"/>
      <c r="F2844" s="42"/>
    </row>
    <row r="2845" customFormat="false" ht="15" hidden="false" customHeight="true" outlineLevel="0" collapsed="false">
      <c r="A2845" s="42"/>
      <c r="B2845" s="42"/>
      <c r="C2845" s="42"/>
      <c r="D2845" s="28" t="str">
        <f aca="false">IF(OR($B2845="",$C2845=""),"",$C2845*IFERROR(INDEX(Setup!$C$47:$C$56,MATCH($B2845,Setup!$A$47:$A$56,0)),IFERROR(INDEX(Setup!$C$60:$C$89,MATCH($B2845,Setup!$A$60:$A$89,0)),"")))</f>
        <v/>
      </c>
      <c r="E2845" s="42"/>
      <c r="F2845" s="42"/>
    </row>
    <row r="2846" customFormat="false" ht="15" hidden="false" customHeight="true" outlineLevel="0" collapsed="false">
      <c r="A2846" s="42"/>
      <c r="B2846" s="42"/>
      <c r="C2846" s="42"/>
      <c r="D2846" s="28" t="str">
        <f aca="false">IF(OR($B2846="",$C2846=""),"",$C2846*IFERROR(INDEX(Setup!$C$47:$C$56,MATCH($B2846,Setup!$A$47:$A$56,0)),IFERROR(INDEX(Setup!$C$60:$C$89,MATCH($B2846,Setup!$A$60:$A$89,0)),"")))</f>
        <v/>
      </c>
      <c r="E2846" s="42"/>
      <c r="F2846" s="42"/>
    </row>
    <row r="2847" customFormat="false" ht="15" hidden="false" customHeight="true" outlineLevel="0" collapsed="false">
      <c r="A2847" s="42"/>
      <c r="B2847" s="42"/>
      <c r="C2847" s="42"/>
      <c r="D2847" s="28" t="str">
        <f aca="false">IF(OR($B2847="",$C2847=""),"",$C2847*IFERROR(INDEX(Setup!$C$47:$C$56,MATCH($B2847,Setup!$A$47:$A$56,0)),IFERROR(INDEX(Setup!$C$60:$C$89,MATCH($B2847,Setup!$A$60:$A$89,0)),"")))</f>
        <v/>
      </c>
      <c r="E2847" s="42"/>
      <c r="F2847" s="42"/>
    </row>
    <row r="2848" customFormat="false" ht="15" hidden="false" customHeight="true" outlineLevel="0" collapsed="false">
      <c r="A2848" s="42"/>
      <c r="B2848" s="42"/>
      <c r="C2848" s="42"/>
      <c r="D2848" s="28" t="str">
        <f aca="false">IF(OR($B2848="",$C2848=""),"",$C2848*IFERROR(INDEX(Setup!$C$47:$C$56,MATCH($B2848,Setup!$A$47:$A$56,0)),IFERROR(INDEX(Setup!$C$60:$C$89,MATCH($B2848,Setup!$A$60:$A$89,0)),"")))</f>
        <v/>
      </c>
      <c r="E2848" s="42"/>
      <c r="F2848" s="42"/>
    </row>
    <row r="2849" customFormat="false" ht="15" hidden="false" customHeight="true" outlineLevel="0" collapsed="false">
      <c r="A2849" s="42"/>
      <c r="B2849" s="42"/>
      <c r="C2849" s="42"/>
      <c r="D2849" s="28" t="str">
        <f aca="false">IF(OR($B2849="",$C2849=""),"",$C2849*IFERROR(INDEX(Setup!$C$47:$C$56,MATCH($B2849,Setup!$A$47:$A$56,0)),IFERROR(INDEX(Setup!$C$60:$C$89,MATCH($B2849,Setup!$A$60:$A$89,0)),"")))</f>
        <v/>
      </c>
      <c r="E2849" s="42"/>
      <c r="F2849" s="42"/>
    </row>
    <row r="2850" customFormat="false" ht="15" hidden="false" customHeight="true" outlineLevel="0" collapsed="false">
      <c r="A2850" s="42"/>
      <c r="B2850" s="42"/>
      <c r="C2850" s="42"/>
      <c r="D2850" s="28" t="str">
        <f aca="false">IF(OR($B2850="",$C2850=""),"",$C2850*IFERROR(INDEX(Setup!$C$47:$C$56,MATCH($B2850,Setup!$A$47:$A$56,0)),IFERROR(INDEX(Setup!$C$60:$C$89,MATCH($B2850,Setup!$A$60:$A$89,0)),"")))</f>
        <v/>
      </c>
      <c r="E2850" s="42"/>
      <c r="F2850" s="42"/>
    </row>
    <row r="2851" customFormat="false" ht="15" hidden="false" customHeight="true" outlineLevel="0" collapsed="false">
      <c r="A2851" s="42"/>
      <c r="B2851" s="42"/>
      <c r="C2851" s="42"/>
      <c r="D2851" s="28" t="str">
        <f aca="false">IF(OR($B2851="",$C2851=""),"",$C2851*IFERROR(INDEX(Setup!$C$47:$C$56,MATCH($B2851,Setup!$A$47:$A$56,0)),IFERROR(INDEX(Setup!$C$60:$C$89,MATCH($B2851,Setup!$A$60:$A$89,0)),"")))</f>
        <v/>
      </c>
      <c r="E2851" s="42"/>
      <c r="F2851" s="42"/>
    </row>
    <row r="2852" customFormat="false" ht="15" hidden="false" customHeight="true" outlineLevel="0" collapsed="false">
      <c r="A2852" s="42"/>
      <c r="B2852" s="42"/>
      <c r="C2852" s="42"/>
      <c r="D2852" s="28" t="str">
        <f aca="false">IF(OR($B2852="",$C2852=""),"",$C2852*IFERROR(INDEX(Setup!$C$47:$C$56,MATCH($B2852,Setup!$A$47:$A$56,0)),IFERROR(INDEX(Setup!$C$60:$C$89,MATCH($B2852,Setup!$A$60:$A$89,0)),"")))</f>
        <v/>
      </c>
      <c r="E2852" s="42"/>
      <c r="F2852" s="42"/>
    </row>
    <row r="2853" customFormat="false" ht="15" hidden="false" customHeight="true" outlineLevel="0" collapsed="false">
      <c r="A2853" s="42"/>
      <c r="B2853" s="42"/>
      <c r="C2853" s="42"/>
      <c r="D2853" s="28" t="str">
        <f aca="false">IF(OR($B2853="",$C2853=""),"",$C2853*IFERROR(INDEX(Setup!$C$47:$C$56,MATCH($B2853,Setup!$A$47:$A$56,0)),IFERROR(INDEX(Setup!$C$60:$C$89,MATCH($B2853,Setup!$A$60:$A$89,0)),"")))</f>
        <v/>
      </c>
      <c r="E2853" s="42"/>
      <c r="F2853" s="42"/>
    </row>
    <row r="2854" customFormat="false" ht="15" hidden="false" customHeight="true" outlineLevel="0" collapsed="false">
      <c r="A2854" s="42"/>
      <c r="B2854" s="42"/>
      <c r="C2854" s="42"/>
      <c r="D2854" s="28" t="str">
        <f aca="false">IF(OR($B2854="",$C2854=""),"",$C2854*IFERROR(INDEX(Setup!$C$47:$C$56,MATCH($B2854,Setup!$A$47:$A$56,0)),IFERROR(INDEX(Setup!$C$60:$C$89,MATCH($B2854,Setup!$A$60:$A$89,0)),"")))</f>
        <v/>
      </c>
      <c r="E2854" s="42"/>
      <c r="F2854" s="42"/>
    </row>
    <row r="2855" customFormat="false" ht="15" hidden="false" customHeight="true" outlineLevel="0" collapsed="false">
      <c r="A2855" s="42"/>
      <c r="B2855" s="42"/>
      <c r="C2855" s="42"/>
      <c r="D2855" s="28" t="str">
        <f aca="false">IF(OR($B2855="",$C2855=""),"",$C2855*IFERROR(INDEX(Setup!$C$47:$C$56,MATCH($B2855,Setup!$A$47:$A$56,0)),IFERROR(INDEX(Setup!$C$60:$C$89,MATCH($B2855,Setup!$A$60:$A$89,0)),"")))</f>
        <v/>
      </c>
      <c r="E2855" s="42"/>
      <c r="F2855" s="42"/>
    </row>
    <row r="2856" customFormat="false" ht="15" hidden="false" customHeight="true" outlineLevel="0" collapsed="false">
      <c r="A2856" s="42"/>
      <c r="B2856" s="42"/>
      <c r="C2856" s="42"/>
      <c r="D2856" s="28" t="str">
        <f aca="false">IF(OR($B2856="",$C2856=""),"",$C2856*IFERROR(INDEX(Setup!$C$47:$C$56,MATCH($B2856,Setup!$A$47:$A$56,0)),IFERROR(INDEX(Setup!$C$60:$C$89,MATCH($B2856,Setup!$A$60:$A$89,0)),"")))</f>
        <v/>
      </c>
      <c r="E2856" s="42"/>
      <c r="F2856" s="42"/>
    </row>
    <row r="2857" customFormat="false" ht="15" hidden="false" customHeight="true" outlineLevel="0" collapsed="false">
      <c r="A2857" s="42"/>
      <c r="B2857" s="42"/>
      <c r="C2857" s="42"/>
      <c r="D2857" s="28" t="str">
        <f aca="false">IF(OR($B2857="",$C2857=""),"",$C2857*IFERROR(INDEX(Setup!$C$47:$C$56,MATCH($B2857,Setup!$A$47:$A$56,0)),IFERROR(INDEX(Setup!$C$60:$C$89,MATCH($B2857,Setup!$A$60:$A$89,0)),"")))</f>
        <v/>
      </c>
      <c r="E2857" s="42"/>
      <c r="F2857" s="42"/>
    </row>
    <row r="2858" customFormat="false" ht="15" hidden="false" customHeight="true" outlineLevel="0" collapsed="false">
      <c r="A2858" s="42"/>
      <c r="B2858" s="42"/>
      <c r="C2858" s="42"/>
      <c r="D2858" s="28" t="str">
        <f aca="false">IF(OR($B2858="",$C2858=""),"",$C2858*IFERROR(INDEX(Setup!$C$47:$C$56,MATCH($B2858,Setup!$A$47:$A$56,0)),IFERROR(INDEX(Setup!$C$60:$C$89,MATCH($B2858,Setup!$A$60:$A$89,0)),"")))</f>
        <v/>
      </c>
      <c r="E2858" s="42"/>
      <c r="F2858" s="42"/>
    </row>
    <row r="2859" customFormat="false" ht="15" hidden="false" customHeight="true" outlineLevel="0" collapsed="false">
      <c r="A2859" s="42"/>
      <c r="B2859" s="42"/>
      <c r="C2859" s="42"/>
      <c r="D2859" s="28" t="str">
        <f aca="false">IF(OR($B2859="",$C2859=""),"",$C2859*IFERROR(INDEX(Setup!$C$47:$C$56,MATCH($B2859,Setup!$A$47:$A$56,0)),IFERROR(INDEX(Setup!$C$60:$C$89,MATCH($B2859,Setup!$A$60:$A$89,0)),"")))</f>
        <v/>
      </c>
      <c r="E2859" s="42"/>
      <c r="F2859" s="42"/>
    </row>
    <row r="2860" customFormat="false" ht="15" hidden="false" customHeight="true" outlineLevel="0" collapsed="false">
      <c r="A2860" s="42"/>
      <c r="B2860" s="42"/>
      <c r="C2860" s="42"/>
      <c r="D2860" s="28" t="str">
        <f aca="false">IF(OR($B2860="",$C2860=""),"",$C2860*IFERROR(INDEX(Setup!$C$47:$C$56,MATCH($B2860,Setup!$A$47:$A$56,0)),IFERROR(INDEX(Setup!$C$60:$C$89,MATCH($B2860,Setup!$A$60:$A$89,0)),"")))</f>
        <v/>
      </c>
      <c r="E2860" s="42"/>
      <c r="F2860" s="42"/>
    </row>
    <row r="2861" customFormat="false" ht="15" hidden="false" customHeight="true" outlineLevel="0" collapsed="false">
      <c r="A2861" s="42"/>
      <c r="B2861" s="42"/>
      <c r="C2861" s="42"/>
      <c r="D2861" s="28" t="str">
        <f aca="false">IF(OR($B2861="",$C2861=""),"",$C2861*IFERROR(INDEX(Setup!$C$47:$C$56,MATCH($B2861,Setup!$A$47:$A$56,0)),IFERROR(INDEX(Setup!$C$60:$C$89,MATCH($B2861,Setup!$A$60:$A$89,0)),"")))</f>
        <v/>
      </c>
      <c r="E2861" s="42"/>
      <c r="F2861" s="42"/>
    </row>
    <row r="2862" customFormat="false" ht="15" hidden="false" customHeight="true" outlineLevel="0" collapsed="false">
      <c r="A2862" s="42"/>
      <c r="B2862" s="42"/>
      <c r="C2862" s="42"/>
      <c r="D2862" s="28" t="str">
        <f aca="false">IF(OR($B2862="",$C2862=""),"",$C2862*IFERROR(INDEX(Setup!$C$47:$C$56,MATCH($B2862,Setup!$A$47:$A$56,0)),IFERROR(INDEX(Setup!$C$60:$C$89,MATCH($B2862,Setup!$A$60:$A$89,0)),"")))</f>
        <v/>
      </c>
      <c r="E2862" s="42"/>
      <c r="F2862" s="42"/>
    </row>
    <row r="2863" customFormat="false" ht="15" hidden="false" customHeight="true" outlineLevel="0" collapsed="false">
      <c r="A2863" s="42"/>
      <c r="B2863" s="42"/>
      <c r="C2863" s="42"/>
      <c r="D2863" s="28" t="str">
        <f aca="false">IF(OR($B2863="",$C2863=""),"",$C2863*IFERROR(INDEX(Setup!$C$47:$C$56,MATCH($B2863,Setup!$A$47:$A$56,0)),IFERROR(INDEX(Setup!$C$60:$C$89,MATCH($B2863,Setup!$A$60:$A$89,0)),"")))</f>
        <v/>
      </c>
      <c r="E2863" s="42"/>
      <c r="F2863" s="42"/>
    </row>
    <row r="2864" customFormat="false" ht="15" hidden="false" customHeight="true" outlineLevel="0" collapsed="false">
      <c r="A2864" s="42"/>
      <c r="B2864" s="42"/>
      <c r="C2864" s="42"/>
      <c r="D2864" s="28" t="str">
        <f aca="false">IF(OR($B2864="",$C2864=""),"",$C2864*IFERROR(INDEX(Setup!$C$47:$C$56,MATCH($B2864,Setup!$A$47:$A$56,0)),IFERROR(INDEX(Setup!$C$60:$C$89,MATCH($B2864,Setup!$A$60:$A$89,0)),"")))</f>
        <v/>
      </c>
      <c r="E2864" s="42"/>
      <c r="F2864" s="42"/>
    </row>
    <row r="2865" customFormat="false" ht="15" hidden="false" customHeight="true" outlineLevel="0" collapsed="false">
      <c r="A2865" s="42"/>
      <c r="B2865" s="42"/>
      <c r="C2865" s="42"/>
      <c r="D2865" s="28" t="str">
        <f aca="false">IF(OR($B2865="",$C2865=""),"",$C2865*IFERROR(INDEX(Setup!$C$47:$C$56,MATCH($B2865,Setup!$A$47:$A$56,0)),IFERROR(INDEX(Setup!$C$60:$C$89,MATCH($B2865,Setup!$A$60:$A$89,0)),"")))</f>
        <v/>
      </c>
      <c r="E2865" s="42"/>
      <c r="F2865" s="42"/>
    </row>
    <row r="2866" customFormat="false" ht="15" hidden="false" customHeight="true" outlineLevel="0" collapsed="false">
      <c r="A2866" s="42"/>
      <c r="B2866" s="42"/>
      <c r="C2866" s="42"/>
      <c r="D2866" s="28" t="str">
        <f aca="false">IF(OR($B2866="",$C2866=""),"",$C2866*IFERROR(INDEX(Setup!$C$47:$C$56,MATCH($B2866,Setup!$A$47:$A$56,0)),IFERROR(INDEX(Setup!$C$60:$C$89,MATCH($B2866,Setup!$A$60:$A$89,0)),"")))</f>
        <v/>
      </c>
      <c r="E2866" s="42"/>
      <c r="F2866" s="42"/>
    </row>
    <row r="2867" customFormat="false" ht="15" hidden="false" customHeight="true" outlineLevel="0" collapsed="false">
      <c r="A2867" s="42"/>
      <c r="B2867" s="42"/>
      <c r="C2867" s="42"/>
      <c r="D2867" s="28" t="str">
        <f aca="false">IF(OR($B2867="",$C2867=""),"",$C2867*IFERROR(INDEX(Setup!$C$47:$C$56,MATCH($B2867,Setup!$A$47:$A$56,0)),IFERROR(INDEX(Setup!$C$60:$C$89,MATCH($B2867,Setup!$A$60:$A$89,0)),"")))</f>
        <v/>
      </c>
      <c r="E2867" s="42"/>
      <c r="F2867" s="42"/>
    </row>
    <row r="2868" customFormat="false" ht="15" hidden="false" customHeight="true" outlineLevel="0" collapsed="false">
      <c r="A2868" s="42"/>
      <c r="B2868" s="42"/>
      <c r="C2868" s="42"/>
      <c r="D2868" s="28" t="str">
        <f aca="false">IF(OR($B2868="",$C2868=""),"",$C2868*IFERROR(INDEX(Setup!$C$47:$C$56,MATCH($B2868,Setup!$A$47:$A$56,0)),IFERROR(INDEX(Setup!$C$60:$C$89,MATCH($B2868,Setup!$A$60:$A$89,0)),"")))</f>
        <v/>
      </c>
      <c r="E2868" s="42"/>
      <c r="F2868" s="42"/>
    </row>
    <row r="2869" customFormat="false" ht="15" hidden="false" customHeight="true" outlineLevel="0" collapsed="false">
      <c r="A2869" s="42"/>
      <c r="B2869" s="42"/>
      <c r="C2869" s="42"/>
      <c r="D2869" s="28" t="str">
        <f aca="false">IF(OR($B2869="",$C2869=""),"",$C2869*IFERROR(INDEX(Setup!$C$47:$C$56,MATCH($B2869,Setup!$A$47:$A$56,0)),IFERROR(INDEX(Setup!$C$60:$C$89,MATCH($B2869,Setup!$A$60:$A$89,0)),"")))</f>
        <v/>
      </c>
      <c r="E2869" s="42"/>
      <c r="F2869" s="42"/>
    </row>
    <row r="2870" customFormat="false" ht="15" hidden="false" customHeight="true" outlineLevel="0" collapsed="false">
      <c r="A2870" s="42"/>
      <c r="B2870" s="42"/>
      <c r="C2870" s="42"/>
      <c r="D2870" s="28" t="str">
        <f aca="false">IF(OR($B2870="",$C2870=""),"",$C2870*IFERROR(INDEX(Setup!$C$47:$C$56,MATCH($B2870,Setup!$A$47:$A$56,0)),IFERROR(INDEX(Setup!$C$60:$C$89,MATCH($B2870,Setup!$A$60:$A$89,0)),"")))</f>
        <v/>
      </c>
      <c r="E2870" s="42"/>
      <c r="F2870" s="42"/>
    </row>
    <row r="2871" customFormat="false" ht="15" hidden="false" customHeight="true" outlineLevel="0" collapsed="false">
      <c r="A2871" s="42"/>
      <c r="B2871" s="42"/>
      <c r="C2871" s="42"/>
      <c r="D2871" s="28" t="str">
        <f aca="false">IF(OR($B2871="",$C2871=""),"",$C2871*IFERROR(INDEX(Setup!$C$47:$C$56,MATCH($B2871,Setup!$A$47:$A$56,0)),IFERROR(INDEX(Setup!$C$60:$C$89,MATCH($B2871,Setup!$A$60:$A$89,0)),"")))</f>
        <v/>
      </c>
      <c r="E2871" s="42"/>
      <c r="F2871" s="42"/>
    </row>
    <row r="2872" customFormat="false" ht="15" hidden="false" customHeight="true" outlineLevel="0" collapsed="false">
      <c r="A2872" s="42"/>
      <c r="B2872" s="42"/>
      <c r="C2872" s="42"/>
      <c r="D2872" s="28" t="str">
        <f aca="false">IF(OR($B2872="",$C2872=""),"",$C2872*IFERROR(INDEX(Setup!$C$47:$C$56,MATCH($B2872,Setup!$A$47:$A$56,0)),IFERROR(INDEX(Setup!$C$60:$C$89,MATCH($B2872,Setup!$A$60:$A$89,0)),"")))</f>
        <v/>
      </c>
      <c r="E2872" s="42"/>
      <c r="F2872" s="42"/>
    </row>
    <row r="2873" customFormat="false" ht="15" hidden="false" customHeight="true" outlineLevel="0" collapsed="false">
      <c r="A2873" s="42"/>
      <c r="B2873" s="42"/>
      <c r="C2873" s="42"/>
      <c r="D2873" s="28" t="str">
        <f aca="false">IF(OR($B2873="",$C2873=""),"",$C2873*IFERROR(INDEX(Setup!$C$47:$C$56,MATCH($B2873,Setup!$A$47:$A$56,0)),IFERROR(INDEX(Setup!$C$60:$C$89,MATCH($B2873,Setup!$A$60:$A$89,0)),"")))</f>
        <v/>
      </c>
      <c r="E2873" s="42"/>
      <c r="F2873" s="42"/>
    </row>
    <row r="2874" customFormat="false" ht="15" hidden="false" customHeight="true" outlineLevel="0" collapsed="false">
      <c r="A2874" s="42"/>
      <c r="B2874" s="42"/>
      <c r="C2874" s="42"/>
      <c r="D2874" s="28" t="str">
        <f aca="false">IF(OR($B2874="",$C2874=""),"",$C2874*IFERROR(INDEX(Setup!$C$47:$C$56,MATCH($B2874,Setup!$A$47:$A$56,0)),IFERROR(INDEX(Setup!$C$60:$C$89,MATCH($B2874,Setup!$A$60:$A$89,0)),"")))</f>
        <v/>
      </c>
      <c r="E2874" s="42"/>
      <c r="F2874" s="42"/>
    </row>
    <row r="2875" customFormat="false" ht="15" hidden="false" customHeight="true" outlineLevel="0" collapsed="false">
      <c r="A2875" s="42"/>
      <c r="B2875" s="42"/>
      <c r="C2875" s="42"/>
      <c r="D2875" s="28" t="str">
        <f aca="false">IF(OR($B2875="",$C2875=""),"",$C2875*IFERROR(INDEX(Setup!$C$47:$C$56,MATCH($B2875,Setup!$A$47:$A$56,0)),IFERROR(INDEX(Setup!$C$60:$C$89,MATCH($B2875,Setup!$A$60:$A$89,0)),"")))</f>
        <v/>
      </c>
      <c r="E2875" s="42"/>
      <c r="F2875" s="42"/>
    </row>
    <row r="2876" customFormat="false" ht="15" hidden="false" customHeight="true" outlineLevel="0" collapsed="false">
      <c r="A2876" s="42"/>
      <c r="B2876" s="42"/>
      <c r="C2876" s="42"/>
      <c r="D2876" s="28" t="str">
        <f aca="false">IF(OR($B2876="",$C2876=""),"",$C2876*IFERROR(INDEX(Setup!$C$47:$C$56,MATCH($B2876,Setup!$A$47:$A$56,0)),IFERROR(INDEX(Setup!$C$60:$C$89,MATCH($B2876,Setup!$A$60:$A$89,0)),"")))</f>
        <v/>
      </c>
      <c r="E2876" s="42"/>
      <c r="F2876" s="42"/>
    </row>
    <row r="2877" customFormat="false" ht="15" hidden="false" customHeight="true" outlineLevel="0" collapsed="false">
      <c r="A2877" s="42"/>
      <c r="B2877" s="42"/>
      <c r="C2877" s="42"/>
      <c r="D2877" s="28" t="str">
        <f aca="false">IF(OR($B2877="",$C2877=""),"",$C2877*IFERROR(INDEX(Setup!$C$47:$C$56,MATCH($B2877,Setup!$A$47:$A$56,0)),IFERROR(INDEX(Setup!$C$60:$C$89,MATCH($B2877,Setup!$A$60:$A$89,0)),"")))</f>
        <v/>
      </c>
      <c r="E2877" s="42"/>
      <c r="F2877" s="42"/>
    </row>
    <row r="2878" customFormat="false" ht="15" hidden="false" customHeight="true" outlineLevel="0" collapsed="false">
      <c r="A2878" s="42"/>
      <c r="B2878" s="42"/>
      <c r="C2878" s="42"/>
      <c r="D2878" s="28" t="str">
        <f aca="false">IF(OR($B2878="",$C2878=""),"",$C2878*IFERROR(INDEX(Setup!$C$47:$C$56,MATCH($B2878,Setup!$A$47:$A$56,0)),IFERROR(INDEX(Setup!$C$60:$C$89,MATCH($B2878,Setup!$A$60:$A$89,0)),"")))</f>
        <v/>
      </c>
      <c r="E2878" s="42"/>
      <c r="F2878" s="42"/>
    </row>
    <row r="2879" customFormat="false" ht="15" hidden="false" customHeight="true" outlineLevel="0" collapsed="false">
      <c r="A2879" s="42"/>
      <c r="B2879" s="42"/>
      <c r="C2879" s="42"/>
      <c r="D2879" s="28" t="str">
        <f aca="false">IF(OR($B2879="",$C2879=""),"",$C2879*IFERROR(INDEX(Setup!$C$47:$C$56,MATCH($B2879,Setup!$A$47:$A$56,0)),IFERROR(INDEX(Setup!$C$60:$C$89,MATCH($B2879,Setup!$A$60:$A$89,0)),"")))</f>
        <v/>
      </c>
      <c r="E2879" s="42"/>
      <c r="F2879" s="42"/>
    </row>
    <row r="2880" customFormat="false" ht="15" hidden="false" customHeight="true" outlineLevel="0" collapsed="false">
      <c r="A2880" s="42"/>
      <c r="B2880" s="42"/>
      <c r="C2880" s="42"/>
      <c r="D2880" s="28" t="str">
        <f aca="false">IF(OR($B2880="",$C2880=""),"",$C2880*IFERROR(INDEX(Setup!$C$47:$C$56,MATCH($B2880,Setup!$A$47:$A$56,0)),IFERROR(INDEX(Setup!$C$60:$C$89,MATCH($B2880,Setup!$A$60:$A$89,0)),"")))</f>
        <v/>
      </c>
      <c r="E2880" s="42"/>
      <c r="F2880" s="42"/>
    </row>
    <row r="2881" customFormat="false" ht="15" hidden="false" customHeight="true" outlineLevel="0" collapsed="false">
      <c r="A2881" s="42"/>
      <c r="B2881" s="42"/>
      <c r="C2881" s="42"/>
      <c r="D2881" s="28" t="str">
        <f aca="false">IF(OR($B2881="",$C2881=""),"",$C2881*IFERROR(INDEX(Setup!$C$47:$C$56,MATCH($B2881,Setup!$A$47:$A$56,0)),IFERROR(INDEX(Setup!$C$60:$C$89,MATCH($B2881,Setup!$A$60:$A$89,0)),"")))</f>
        <v/>
      </c>
      <c r="E2881" s="42"/>
      <c r="F2881" s="42"/>
    </row>
    <row r="2882" customFormat="false" ht="15" hidden="false" customHeight="true" outlineLevel="0" collapsed="false">
      <c r="A2882" s="42"/>
      <c r="B2882" s="42"/>
      <c r="C2882" s="42"/>
      <c r="D2882" s="28" t="str">
        <f aca="false">IF(OR($B2882="",$C2882=""),"",$C2882*IFERROR(INDEX(Setup!$C$47:$C$56,MATCH($B2882,Setup!$A$47:$A$56,0)),IFERROR(INDEX(Setup!$C$60:$C$89,MATCH($B2882,Setup!$A$60:$A$89,0)),"")))</f>
        <v/>
      </c>
      <c r="E2882" s="42"/>
      <c r="F2882" s="42"/>
    </row>
    <row r="2883" customFormat="false" ht="15" hidden="false" customHeight="true" outlineLevel="0" collapsed="false">
      <c r="A2883" s="42"/>
      <c r="B2883" s="42"/>
      <c r="C2883" s="42"/>
      <c r="D2883" s="28" t="str">
        <f aca="false">IF(OR($B2883="",$C2883=""),"",$C2883*IFERROR(INDEX(Setup!$C$47:$C$56,MATCH($B2883,Setup!$A$47:$A$56,0)),IFERROR(INDEX(Setup!$C$60:$C$89,MATCH($B2883,Setup!$A$60:$A$89,0)),"")))</f>
        <v/>
      </c>
      <c r="E2883" s="42"/>
      <c r="F2883" s="42"/>
    </row>
    <row r="2884" customFormat="false" ht="15" hidden="false" customHeight="true" outlineLevel="0" collapsed="false">
      <c r="A2884" s="42"/>
      <c r="B2884" s="42"/>
      <c r="C2884" s="42"/>
      <c r="D2884" s="28" t="str">
        <f aca="false">IF(OR($B2884="",$C2884=""),"",$C2884*IFERROR(INDEX(Setup!$C$47:$C$56,MATCH($B2884,Setup!$A$47:$A$56,0)),IFERROR(INDEX(Setup!$C$60:$C$89,MATCH($B2884,Setup!$A$60:$A$89,0)),"")))</f>
        <v/>
      </c>
      <c r="E2884" s="42"/>
      <c r="F2884" s="42"/>
    </row>
    <row r="2885" customFormat="false" ht="15" hidden="false" customHeight="true" outlineLevel="0" collapsed="false">
      <c r="A2885" s="42"/>
      <c r="B2885" s="42"/>
      <c r="C2885" s="42"/>
      <c r="D2885" s="28" t="str">
        <f aca="false">IF(OR($B2885="",$C2885=""),"",$C2885*IFERROR(INDEX(Setup!$C$47:$C$56,MATCH($B2885,Setup!$A$47:$A$56,0)),IFERROR(INDEX(Setup!$C$60:$C$89,MATCH($B2885,Setup!$A$60:$A$89,0)),"")))</f>
        <v/>
      </c>
      <c r="E2885" s="42"/>
      <c r="F2885" s="42"/>
    </row>
    <row r="2886" customFormat="false" ht="15" hidden="false" customHeight="true" outlineLevel="0" collapsed="false">
      <c r="A2886" s="42"/>
      <c r="B2886" s="42"/>
      <c r="C2886" s="42"/>
      <c r="D2886" s="28" t="str">
        <f aca="false">IF(OR($B2886="",$C2886=""),"",$C2886*IFERROR(INDEX(Setup!$C$47:$C$56,MATCH($B2886,Setup!$A$47:$A$56,0)),IFERROR(INDEX(Setup!$C$60:$C$89,MATCH($B2886,Setup!$A$60:$A$89,0)),"")))</f>
        <v/>
      </c>
      <c r="E2886" s="42"/>
      <c r="F2886" s="42"/>
    </row>
    <row r="2887" customFormat="false" ht="15" hidden="false" customHeight="true" outlineLevel="0" collapsed="false">
      <c r="A2887" s="42"/>
      <c r="B2887" s="42"/>
      <c r="C2887" s="42"/>
      <c r="D2887" s="28" t="str">
        <f aca="false">IF(OR($B2887="",$C2887=""),"",$C2887*IFERROR(INDEX(Setup!$C$47:$C$56,MATCH($B2887,Setup!$A$47:$A$56,0)),IFERROR(INDEX(Setup!$C$60:$C$89,MATCH($B2887,Setup!$A$60:$A$89,0)),"")))</f>
        <v/>
      </c>
      <c r="E2887" s="42"/>
      <c r="F2887" s="42"/>
    </row>
    <row r="2888" customFormat="false" ht="15" hidden="false" customHeight="true" outlineLevel="0" collapsed="false">
      <c r="A2888" s="42"/>
      <c r="B2888" s="42"/>
      <c r="C2888" s="42"/>
      <c r="D2888" s="28" t="str">
        <f aca="false">IF(OR($B2888="",$C2888=""),"",$C2888*IFERROR(INDEX(Setup!$C$47:$C$56,MATCH($B2888,Setup!$A$47:$A$56,0)),IFERROR(INDEX(Setup!$C$60:$C$89,MATCH($B2888,Setup!$A$60:$A$89,0)),"")))</f>
        <v/>
      </c>
      <c r="E2888" s="42"/>
      <c r="F2888" s="42"/>
    </row>
    <row r="2889" customFormat="false" ht="15" hidden="false" customHeight="true" outlineLevel="0" collapsed="false">
      <c r="A2889" s="42"/>
      <c r="B2889" s="42"/>
      <c r="C2889" s="42"/>
      <c r="D2889" s="28" t="str">
        <f aca="false">IF(OR($B2889="",$C2889=""),"",$C2889*IFERROR(INDEX(Setup!$C$47:$C$56,MATCH($B2889,Setup!$A$47:$A$56,0)),IFERROR(INDEX(Setup!$C$60:$C$89,MATCH($B2889,Setup!$A$60:$A$89,0)),"")))</f>
        <v/>
      </c>
      <c r="E2889" s="42"/>
      <c r="F2889" s="42"/>
    </row>
    <row r="2890" customFormat="false" ht="15" hidden="false" customHeight="true" outlineLevel="0" collapsed="false">
      <c r="A2890" s="42"/>
      <c r="B2890" s="42"/>
      <c r="C2890" s="42"/>
      <c r="D2890" s="28" t="str">
        <f aca="false">IF(OR($B2890="",$C2890=""),"",$C2890*IFERROR(INDEX(Setup!$C$47:$C$56,MATCH($B2890,Setup!$A$47:$A$56,0)),IFERROR(INDEX(Setup!$C$60:$C$89,MATCH($B2890,Setup!$A$60:$A$89,0)),"")))</f>
        <v/>
      </c>
      <c r="E2890" s="42"/>
      <c r="F2890" s="42"/>
    </row>
    <row r="2891" customFormat="false" ht="15" hidden="false" customHeight="true" outlineLevel="0" collapsed="false">
      <c r="A2891" s="42"/>
      <c r="B2891" s="42"/>
      <c r="C2891" s="42"/>
      <c r="D2891" s="28" t="str">
        <f aca="false">IF(OR($B2891="",$C2891=""),"",$C2891*IFERROR(INDEX(Setup!$C$47:$C$56,MATCH($B2891,Setup!$A$47:$A$56,0)),IFERROR(INDEX(Setup!$C$60:$C$89,MATCH($B2891,Setup!$A$60:$A$89,0)),"")))</f>
        <v/>
      </c>
      <c r="E2891" s="42"/>
      <c r="F2891" s="42"/>
    </row>
    <row r="2892" customFormat="false" ht="15" hidden="false" customHeight="true" outlineLevel="0" collapsed="false">
      <c r="A2892" s="42"/>
      <c r="B2892" s="42"/>
      <c r="C2892" s="42"/>
      <c r="D2892" s="28" t="str">
        <f aca="false">IF(OR($B2892="",$C2892=""),"",$C2892*IFERROR(INDEX(Setup!$C$47:$C$56,MATCH($B2892,Setup!$A$47:$A$56,0)),IFERROR(INDEX(Setup!$C$60:$C$89,MATCH($B2892,Setup!$A$60:$A$89,0)),"")))</f>
        <v/>
      </c>
      <c r="E2892" s="42"/>
      <c r="F2892" s="42"/>
    </row>
    <row r="2893" customFormat="false" ht="15" hidden="false" customHeight="true" outlineLevel="0" collapsed="false">
      <c r="A2893" s="42"/>
      <c r="B2893" s="42"/>
      <c r="C2893" s="42"/>
      <c r="D2893" s="28" t="str">
        <f aca="false">IF(OR($B2893="",$C2893=""),"",$C2893*IFERROR(INDEX(Setup!$C$47:$C$56,MATCH($B2893,Setup!$A$47:$A$56,0)),IFERROR(INDEX(Setup!$C$60:$C$89,MATCH($B2893,Setup!$A$60:$A$89,0)),"")))</f>
        <v/>
      </c>
      <c r="E2893" s="42"/>
      <c r="F2893" s="42"/>
    </row>
    <row r="2894" customFormat="false" ht="15" hidden="false" customHeight="true" outlineLevel="0" collapsed="false">
      <c r="A2894" s="42"/>
      <c r="B2894" s="42"/>
      <c r="C2894" s="42"/>
      <c r="D2894" s="28" t="str">
        <f aca="false">IF(OR($B2894="",$C2894=""),"",$C2894*IFERROR(INDEX(Setup!$C$47:$C$56,MATCH($B2894,Setup!$A$47:$A$56,0)),IFERROR(INDEX(Setup!$C$60:$C$89,MATCH($B2894,Setup!$A$60:$A$89,0)),"")))</f>
        <v/>
      </c>
      <c r="E2894" s="42"/>
      <c r="F2894" s="42"/>
    </row>
    <row r="2895" customFormat="false" ht="15" hidden="false" customHeight="true" outlineLevel="0" collapsed="false">
      <c r="A2895" s="42"/>
      <c r="B2895" s="42"/>
      <c r="C2895" s="42"/>
      <c r="D2895" s="28" t="str">
        <f aca="false">IF(OR($B2895="",$C2895=""),"",$C2895*IFERROR(INDEX(Setup!$C$47:$C$56,MATCH($B2895,Setup!$A$47:$A$56,0)),IFERROR(INDEX(Setup!$C$60:$C$89,MATCH($B2895,Setup!$A$60:$A$89,0)),"")))</f>
        <v/>
      </c>
      <c r="E2895" s="42"/>
      <c r="F2895" s="42"/>
    </row>
    <row r="2896" customFormat="false" ht="15" hidden="false" customHeight="true" outlineLevel="0" collapsed="false">
      <c r="A2896" s="42"/>
      <c r="B2896" s="42"/>
      <c r="C2896" s="42"/>
      <c r="D2896" s="28" t="str">
        <f aca="false">IF(OR($B2896="",$C2896=""),"",$C2896*IFERROR(INDEX(Setup!$C$47:$C$56,MATCH($B2896,Setup!$A$47:$A$56,0)),IFERROR(INDEX(Setup!$C$60:$C$89,MATCH($B2896,Setup!$A$60:$A$89,0)),"")))</f>
        <v/>
      </c>
      <c r="E2896" s="42"/>
      <c r="F2896" s="42"/>
    </row>
    <row r="2897" customFormat="false" ht="15" hidden="false" customHeight="true" outlineLevel="0" collapsed="false">
      <c r="A2897" s="42"/>
      <c r="B2897" s="42"/>
      <c r="C2897" s="42"/>
      <c r="D2897" s="28" t="str">
        <f aca="false">IF(OR($B2897="",$C2897=""),"",$C2897*IFERROR(INDEX(Setup!$C$47:$C$56,MATCH($B2897,Setup!$A$47:$A$56,0)),IFERROR(INDEX(Setup!$C$60:$C$89,MATCH($B2897,Setup!$A$60:$A$89,0)),"")))</f>
        <v/>
      </c>
      <c r="E2897" s="42"/>
      <c r="F2897" s="42"/>
    </row>
    <row r="2898" customFormat="false" ht="15" hidden="false" customHeight="true" outlineLevel="0" collapsed="false">
      <c r="A2898" s="42"/>
      <c r="B2898" s="42"/>
      <c r="C2898" s="42"/>
      <c r="D2898" s="28" t="str">
        <f aca="false">IF(OR($B2898="",$C2898=""),"",$C2898*IFERROR(INDEX(Setup!$C$47:$C$56,MATCH($B2898,Setup!$A$47:$A$56,0)),IFERROR(INDEX(Setup!$C$60:$C$89,MATCH($B2898,Setup!$A$60:$A$89,0)),"")))</f>
        <v/>
      </c>
      <c r="E2898" s="42"/>
      <c r="F2898" s="42"/>
    </row>
    <row r="2899" customFormat="false" ht="15" hidden="false" customHeight="true" outlineLevel="0" collapsed="false">
      <c r="A2899" s="42"/>
      <c r="B2899" s="42"/>
      <c r="C2899" s="42"/>
      <c r="D2899" s="28" t="str">
        <f aca="false">IF(OR($B2899="",$C2899=""),"",$C2899*IFERROR(INDEX(Setup!$C$47:$C$56,MATCH($B2899,Setup!$A$47:$A$56,0)),IFERROR(INDEX(Setup!$C$60:$C$89,MATCH($B2899,Setup!$A$60:$A$89,0)),"")))</f>
        <v/>
      </c>
      <c r="E2899" s="42"/>
      <c r="F2899" s="42"/>
    </row>
    <row r="2900" customFormat="false" ht="15" hidden="false" customHeight="true" outlineLevel="0" collapsed="false">
      <c r="A2900" s="42"/>
      <c r="B2900" s="42"/>
      <c r="C2900" s="42"/>
      <c r="D2900" s="28" t="str">
        <f aca="false">IF(OR($B2900="",$C2900=""),"",$C2900*IFERROR(INDEX(Setup!$C$47:$C$56,MATCH($B2900,Setup!$A$47:$A$56,0)),IFERROR(INDEX(Setup!$C$60:$C$89,MATCH($B2900,Setup!$A$60:$A$89,0)),"")))</f>
        <v/>
      </c>
      <c r="E2900" s="42"/>
      <c r="F2900" s="42"/>
    </row>
    <row r="2901" customFormat="false" ht="15" hidden="false" customHeight="true" outlineLevel="0" collapsed="false">
      <c r="A2901" s="42"/>
      <c r="B2901" s="42"/>
      <c r="C2901" s="42"/>
      <c r="D2901" s="28" t="str">
        <f aca="false">IF(OR($B2901="",$C2901=""),"",$C2901*IFERROR(INDEX(Setup!$C$47:$C$56,MATCH($B2901,Setup!$A$47:$A$56,0)),IFERROR(INDEX(Setup!$C$60:$C$89,MATCH($B2901,Setup!$A$60:$A$89,0)),"")))</f>
        <v/>
      </c>
      <c r="E2901" s="42"/>
      <c r="F2901" s="42"/>
    </row>
    <row r="2902" customFormat="false" ht="15" hidden="false" customHeight="true" outlineLevel="0" collapsed="false">
      <c r="A2902" s="42"/>
      <c r="B2902" s="42"/>
      <c r="C2902" s="42"/>
      <c r="D2902" s="28" t="str">
        <f aca="false">IF(OR($B2902="",$C2902=""),"",$C2902*IFERROR(INDEX(Setup!$C$47:$C$56,MATCH($B2902,Setup!$A$47:$A$56,0)),IFERROR(INDEX(Setup!$C$60:$C$89,MATCH($B2902,Setup!$A$60:$A$89,0)),"")))</f>
        <v/>
      </c>
      <c r="E2902" s="42"/>
      <c r="F2902" s="42"/>
    </row>
    <row r="2903" customFormat="false" ht="15" hidden="false" customHeight="true" outlineLevel="0" collapsed="false">
      <c r="A2903" s="42"/>
      <c r="B2903" s="42"/>
      <c r="C2903" s="42"/>
      <c r="D2903" s="28" t="str">
        <f aca="false">IF(OR($B2903="",$C2903=""),"",$C2903*IFERROR(INDEX(Setup!$C$47:$C$56,MATCH($B2903,Setup!$A$47:$A$56,0)),IFERROR(INDEX(Setup!$C$60:$C$89,MATCH($B2903,Setup!$A$60:$A$89,0)),"")))</f>
        <v/>
      </c>
      <c r="E2903" s="42"/>
      <c r="F2903" s="42"/>
    </row>
    <row r="2904" customFormat="false" ht="15" hidden="false" customHeight="true" outlineLevel="0" collapsed="false">
      <c r="A2904" s="42"/>
      <c r="B2904" s="42"/>
      <c r="C2904" s="42"/>
      <c r="D2904" s="28" t="str">
        <f aca="false">IF(OR($B2904="",$C2904=""),"",$C2904*IFERROR(INDEX(Setup!$C$47:$C$56,MATCH($B2904,Setup!$A$47:$A$56,0)),IFERROR(INDEX(Setup!$C$60:$C$89,MATCH($B2904,Setup!$A$60:$A$89,0)),"")))</f>
        <v/>
      </c>
      <c r="E2904" s="42"/>
      <c r="F2904" s="42"/>
    </row>
    <row r="2905" customFormat="false" ht="15" hidden="false" customHeight="true" outlineLevel="0" collapsed="false">
      <c r="A2905" s="42"/>
      <c r="B2905" s="42"/>
      <c r="C2905" s="42"/>
      <c r="D2905" s="28" t="str">
        <f aca="false">IF(OR($B2905="",$C2905=""),"",$C2905*IFERROR(INDEX(Setup!$C$47:$C$56,MATCH($B2905,Setup!$A$47:$A$56,0)),IFERROR(INDEX(Setup!$C$60:$C$89,MATCH($B2905,Setup!$A$60:$A$89,0)),"")))</f>
        <v/>
      </c>
      <c r="E2905" s="42"/>
      <c r="F2905" s="42"/>
    </row>
    <row r="2906" customFormat="false" ht="15" hidden="false" customHeight="true" outlineLevel="0" collapsed="false">
      <c r="A2906" s="42"/>
      <c r="B2906" s="42"/>
      <c r="C2906" s="42"/>
      <c r="D2906" s="28" t="str">
        <f aca="false">IF(OR($B2906="",$C2906=""),"",$C2906*IFERROR(INDEX(Setup!$C$47:$C$56,MATCH($B2906,Setup!$A$47:$A$56,0)),IFERROR(INDEX(Setup!$C$60:$C$89,MATCH($B2906,Setup!$A$60:$A$89,0)),"")))</f>
        <v/>
      </c>
      <c r="E2906" s="42"/>
      <c r="F2906" s="42"/>
    </row>
    <row r="2907" customFormat="false" ht="15" hidden="false" customHeight="true" outlineLevel="0" collapsed="false">
      <c r="A2907" s="42"/>
      <c r="B2907" s="42"/>
      <c r="C2907" s="42"/>
      <c r="D2907" s="28" t="str">
        <f aca="false">IF(OR($B2907="",$C2907=""),"",$C2907*IFERROR(INDEX(Setup!$C$47:$C$56,MATCH($B2907,Setup!$A$47:$A$56,0)),IFERROR(INDEX(Setup!$C$60:$C$89,MATCH($B2907,Setup!$A$60:$A$89,0)),"")))</f>
        <v/>
      </c>
      <c r="E2907" s="42"/>
      <c r="F2907" s="42"/>
    </row>
    <row r="2908" customFormat="false" ht="15" hidden="false" customHeight="true" outlineLevel="0" collapsed="false">
      <c r="A2908" s="42"/>
      <c r="B2908" s="42"/>
      <c r="C2908" s="42"/>
      <c r="D2908" s="28" t="str">
        <f aca="false">IF(OR($B2908="",$C2908=""),"",$C2908*IFERROR(INDEX(Setup!$C$47:$C$56,MATCH($B2908,Setup!$A$47:$A$56,0)),IFERROR(INDEX(Setup!$C$60:$C$89,MATCH($B2908,Setup!$A$60:$A$89,0)),"")))</f>
        <v/>
      </c>
      <c r="E2908" s="42"/>
      <c r="F2908" s="42"/>
    </row>
    <row r="2909" customFormat="false" ht="15" hidden="false" customHeight="true" outlineLevel="0" collapsed="false">
      <c r="A2909" s="42"/>
      <c r="B2909" s="42"/>
      <c r="C2909" s="42"/>
      <c r="D2909" s="28" t="str">
        <f aca="false">IF(OR($B2909="",$C2909=""),"",$C2909*IFERROR(INDEX(Setup!$C$47:$C$56,MATCH($B2909,Setup!$A$47:$A$56,0)),IFERROR(INDEX(Setup!$C$60:$C$89,MATCH($B2909,Setup!$A$60:$A$89,0)),"")))</f>
        <v/>
      </c>
      <c r="E2909" s="42"/>
      <c r="F2909" s="42"/>
    </row>
    <row r="2910" customFormat="false" ht="15" hidden="false" customHeight="true" outlineLevel="0" collapsed="false">
      <c r="A2910" s="42"/>
      <c r="B2910" s="42"/>
      <c r="C2910" s="42"/>
      <c r="D2910" s="28" t="str">
        <f aca="false">IF(OR($B2910="",$C2910=""),"",$C2910*IFERROR(INDEX(Setup!$C$47:$C$56,MATCH($B2910,Setup!$A$47:$A$56,0)),IFERROR(INDEX(Setup!$C$60:$C$89,MATCH($B2910,Setup!$A$60:$A$89,0)),"")))</f>
        <v/>
      </c>
      <c r="E2910" s="42"/>
      <c r="F2910" s="42"/>
    </row>
    <row r="2911" customFormat="false" ht="15" hidden="false" customHeight="true" outlineLevel="0" collapsed="false">
      <c r="A2911" s="42"/>
      <c r="B2911" s="42"/>
      <c r="C2911" s="42"/>
      <c r="D2911" s="28" t="str">
        <f aca="false">IF(OR($B2911="",$C2911=""),"",$C2911*IFERROR(INDEX(Setup!$C$47:$C$56,MATCH($B2911,Setup!$A$47:$A$56,0)),IFERROR(INDEX(Setup!$C$60:$C$89,MATCH($B2911,Setup!$A$60:$A$89,0)),"")))</f>
        <v/>
      </c>
      <c r="E2911" s="42"/>
      <c r="F2911" s="42"/>
    </row>
    <row r="2912" customFormat="false" ht="15" hidden="false" customHeight="true" outlineLevel="0" collapsed="false">
      <c r="A2912" s="42"/>
      <c r="B2912" s="42"/>
      <c r="C2912" s="42"/>
      <c r="D2912" s="28" t="str">
        <f aca="false">IF(OR($B2912="",$C2912=""),"",$C2912*IFERROR(INDEX(Setup!$C$47:$C$56,MATCH($B2912,Setup!$A$47:$A$56,0)),IFERROR(INDEX(Setup!$C$60:$C$89,MATCH($B2912,Setup!$A$60:$A$89,0)),"")))</f>
        <v/>
      </c>
      <c r="E2912" s="42"/>
      <c r="F2912" s="42"/>
    </row>
    <row r="2913" customFormat="false" ht="15" hidden="false" customHeight="true" outlineLevel="0" collapsed="false">
      <c r="A2913" s="42"/>
      <c r="B2913" s="42"/>
      <c r="C2913" s="42"/>
      <c r="D2913" s="28" t="str">
        <f aca="false">IF(OR($B2913="",$C2913=""),"",$C2913*IFERROR(INDEX(Setup!$C$47:$C$56,MATCH($B2913,Setup!$A$47:$A$56,0)),IFERROR(INDEX(Setup!$C$60:$C$89,MATCH($B2913,Setup!$A$60:$A$89,0)),"")))</f>
        <v/>
      </c>
      <c r="E2913" s="42"/>
      <c r="F2913" s="42"/>
    </row>
    <row r="2914" customFormat="false" ht="15" hidden="false" customHeight="true" outlineLevel="0" collapsed="false">
      <c r="A2914" s="42"/>
      <c r="B2914" s="42"/>
      <c r="C2914" s="42"/>
      <c r="D2914" s="28" t="str">
        <f aca="false">IF(OR($B2914="",$C2914=""),"",$C2914*IFERROR(INDEX(Setup!$C$47:$C$56,MATCH($B2914,Setup!$A$47:$A$56,0)),IFERROR(INDEX(Setup!$C$60:$C$89,MATCH($B2914,Setup!$A$60:$A$89,0)),"")))</f>
        <v/>
      </c>
      <c r="E2914" s="42"/>
      <c r="F2914" s="42"/>
    </row>
    <row r="2915" customFormat="false" ht="15" hidden="false" customHeight="true" outlineLevel="0" collapsed="false">
      <c r="A2915" s="42"/>
      <c r="B2915" s="42"/>
      <c r="C2915" s="42"/>
      <c r="D2915" s="28" t="str">
        <f aca="false">IF(OR($B2915="",$C2915=""),"",$C2915*IFERROR(INDEX(Setup!$C$47:$C$56,MATCH($B2915,Setup!$A$47:$A$56,0)),IFERROR(INDEX(Setup!$C$60:$C$89,MATCH($B2915,Setup!$A$60:$A$89,0)),"")))</f>
        <v/>
      </c>
      <c r="E2915" s="42"/>
      <c r="F2915" s="42"/>
    </row>
    <row r="2916" customFormat="false" ht="15" hidden="false" customHeight="true" outlineLevel="0" collapsed="false">
      <c r="A2916" s="42"/>
      <c r="B2916" s="42"/>
      <c r="C2916" s="42"/>
      <c r="D2916" s="28" t="str">
        <f aca="false">IF(OR($B2916="",$C2916=""),"",$C2916*IFERROR(INDEX(Setup!$C$47:$C$56,MATCH($B2916,Setup!$A$47:$A$56,0)),IFERROR(INDEX(Setup!$C$60:$C$89,MATCH($B2916,Setup!$A$60:$A$89,0)),"")))</f>
        <v/>
      </c>
      <c r="E2916" s="42"/>
      <c r="F2916" s="42"/>
    </row>
    <row r="2917" customFormat="false" ht="15" hidden="false" customHeight="true" outlineLevel="0" collapsed="false">
      <c r="A2917" s="42"/>
      <c r="B2917" s="42"/>
      <c r="C2917" s="42"/>
      <c r="D2917" s="28" t="str">
        <f aca="false">IF(OR($B2917="",$C2917=""),"",$C2917*IFERROR(INDEX(Setup!$C$47:$C$56,MATCH($B2917,Setup!$A$47:$A$56,0)),IFERROR(INDEX(Setup!$C$60:$C$89,MATCH($B2917,Setup!$A$60:$A$89,0)),"")))</f>
        <v/>
      </c>
      <c r="E2917" s="42"/>
      <c r="F2917" s="42"/>
    </row>
    <row r="2918" customFormat="false" ht="15" hidden="false" customHeight="true" outlineLevel="0" collapsed="false">
      <c r="A2918" s="42"/>
      <c r="B2918" s="42"/>
      <c r="C2918" s="42"/>
      <c r="D2918" s="28" t="str">
        <f aca="false">IF(OR($B2918="",$C2918=""),"",$C2918*IFERROR(INDEX(Setup!$C$47:$C$56,MATCH($B2918,Setup!$A$47:$A$56,0)),IFERROR(INDEX(Setup!$C$60:$C$89,MATCH($B2918,Setup!$A$60:$A$89,0)),"")))</f>
        <v/>
      </c>
      <c r="E2918" s="42"/>
      <c r="F2918" s="42"/>
    </row>
    <row r="2919" customFormat="false" ht="15" hidden="false" customHeight="true" outlineLevel="0" collapsed="false">
      <c r="A2919" s="42"/>
      <c r="B2919" s="42"/>
      <c r="C2919" s="42"/>
      <c r="D2919" s="28" t="str">
        <f aca="false">IF(OR($B2919="",$C2919=""),"",$C2919*IFERROR(INDEX(Setup!$C$47:$C$56,MATCH($B2919,Setup!$A$47:$A$56,0)),IFERROR(INDEX(Setup!$C$60:$C$89,MATCH($B2919,Setup!$A$60:$A$89,0)),"")))</f>
        <v/>
      </c>
      <c r="E2919" s="42"/>
      <c r="F2919" s="42"/>
    </row>
    <row r="2920" customFormat="false" ht="15" hidden="false" customHeight="true" outlineLevel="0" collapsed="false">
      <c r="A2920" s="42"/>
      <c r="B2920" s="42"/>
      <c r="C2920" s="42"/>
      <c r="D2920" s="28" t="str">
        <f aca="false">IF(OR($B2920="",$C2920=""),"",$C2920*IFERROR(INDEX(Setup!$C$47:$C$56,MATCH($B2920,Setup!$A$47:$A$56,0)),IFERROR(INDEX(Setup!$C$60:$C$89,MATCH($B2920,Setup!$A$60:$A$89,0)),"")))</f>
        <v/>
      </c>
      <c r="E2920" s="42"/>
      <c r="F2920" s="42"/>
    </row>
    <row r="2921" customFormat="false" ht="15" hidden="false" customHeight="true" outlineLevel="0" collapsed="false">
      <c r="A2921" s="42"/>
      <c r="B2921" s="42"/>
      <c r="C2921" s="42"/>
      <c r="D2921" s="28" t="str">
        <f aca="false">IF(OR($B2921="",$C2921=""),"",$C2921*IFERROR(INDEX(Setup!$C$47:$C$56,MATCH($B2921,Setup!$A$47:$A$56,0)),IFERROR(INDEX(Setup!$C$60:$C$89,MATCH($B2921,Setup!$A$60:$A$89,0)),"")))</f>
        <v/>
      </c>
      <c r="E2921" s="42"/>
      <c r="F2921" s="42"/>
    </row>
    <row r="2922" customFormat="false" ht="15" hidden="false" customHeight="true" outlineLevel="0" collapsed="false">
      <c r="A2922" s="42"/>
      <c r="B2922" s="42"/>
      <c r="C2922" s="42"/>
      <c r="D2922" s="28" t="str">
        <f aca="false">IF(OR($B2922="",$C2922=""),"",$C2922*IFERROR(INDEX(Setup!$C$47:$C$56,MATCH($B2922,Setup!$A$47:$A$56,0)),IFERROR(INDEX(Setup!$C$60:$C$89,MATCH($B2922,Setup!$A$60:$A$89,0)),"")))</f>
        <v/>
      </c>
      <c r="E2922" s="42"/>
      <c r="F2922" s="42"/>
    </row>
    <row r="2923" customFormat="false" ht="15" hidden="false" customHeight="true" outlineLevel="0" collapsed="false">
      <c r="A2923" s="42"/>
      <c r="B2923" s="42"/>
      <c r="C2923" s="42"/>
      <c r="D2923" s="28" t="str">
        <f aca="false">IF(OR($B2923="",$C2923=""),"",$C2923*IFERROR(INDEX(Setup!$C$47:$C$56,MATCH($B2923,Setup!$A$47:$A$56,0)),IFERROR(INDEX(Setup!$C$60:$C$89,MATCH($B2923,Setup!$A$60:$A$89,0)),"")))</f>
        <v/>
      </c>
      <c r="E2923" s="42"/>
      <c r="F2923" s="42"/>
    </row>
    <row r="2924" customFormat="false" ht="15" hidden="false" customHeight="true" outlineLevel="0" collapsed="false">
      <c r="A2924" s="42"/>
      <c r="B2924" s="42"/>
      <c r="C2924" s="42"/>
      <c r="D2924" s="28" t="str">
        <f aca="false">IF(OR($B2924="",$C2924=""),"",$C2924*IFERROR(INDEX(Setup!$C$47:$C$56,MATCH($B2924,Setup!$A$47:$A$56,0)),IFERROR(INDEX(Setup!$C$60:$C$89,MATCH($B2924,Setup!$A$60:$A$89,0)),"")))</f>
        <v/>
      </c>
      <c r="E2924" s="42"/>
      <c r="F2924" s="42"/>
    </row>
    <row r="2925" customFormat="false" ht="15" hidden="false" customHeight="true" outlineLevel="0" collapsed="false">
      <c r="A2925" s="42"/>
      <c r="B2925" s="42"/>
      <c r="C2925" s="42"/>
      <c r="D2925" s="28" t="str">
        <f aca="false">IF(OR($B2925="",$C2925=""),"",$C2925*IFERROR(INDEX(Setup!$C$47:$C$56,MATCH($B2925,Setup!$A$47:$A$56,0)),IFERROR(INDEX(Setup!$C$60:$C$89,MATCH($B2925,Setup!$A$60:$A$89,0)),"")))</f>
        <v/>
      </c>
      <c r="E2925" s="42"/>
      <c r="F2925" s="42"/>
    </row>
    <row r="2926" customFormat="false" ht="15" hidden="false" customHeight="true" outlineLevel="0" collapsed="false">
      <c r="A2926" s="42"/>
      <c r="B2926" s="42"/>
      <c r="C2926" s="42"/>
      <c r="D2926" s="28" t="str">
        <f aca="false">IF(OR($B2926="",$C2926=""),"",$C2926*IFERROR(INDEX(Setup!$C$47:$C$56,MATCH($B2926,Setup!$A$47:$A$56,0)),IFERROR(INDEX(Setup!$C$60:$C$89,MATCH($B2926,Setup!$A$60:$A$89,0)),"")))</f>
        <v/>
      </c>
      <c r="E2926" s="42"/>
      <c r="F2926" s="42"/>
    </row>
    <row r="2927" customFormat="false" ht="15" hidden="false" customHeight="true" outlineLevel="0" collapsed="false">
      <c r="A2927" s="42"/>
      <c r="B2927" s="42"/>
      <c r="C2927" s="42"/>
      <c r="D2927" s="28" t="str">
        <f aca="false">IF(OR($B2927="",$C2927=""),"",$C2927*IFERROR(INDEX(Setup!$C$47:$C$56,MATCH($B2927,Setup!$A$47:$A$56,0)),IFERROR(INDEX(Setup!$C$60:$C$89,MATCH($B2927,Setup!$A$60:$A$89,0)),"")))</f>
        <v/>
      </c>
      <c r="E2927" s="42"/>
      <c r="F2927" s="42"/>
    </row>
    <row r="2928" customFormat="false" ht="15" hidden="false" customHeight="true" outlineLevel="0" collapsed="false">
      <c r="A2928" s="42"/>
      <c r="B2928" s="42"/>
      <c r="C2928" s="42"/>
      <c r="D2928" s="28" t="str">
        <f aca="false">IF(OR($B2928="",$C2928=""),"",$C2928*IFERROR(INDEX(Setup!$C$47:$C$56,MATCH($B2928,Setup!$A$47:$A$56,0)),IFERROR(INDEX(Setup!$C$60:$C$89,MATCH($B2928,Setup!$A$60:$A$89,0)),"")))</f>
        <v/>
      </c>
      <c r="E2928" s="42"/>
      <c r="F2928" s="42"/>
    </row>
    <row r="2929" customFormat="false" ht="15" hidden="false" customHeight="true" outlineLevel="0" collapsed="false">
      <c r="A2929" s="42"/>
      <c r="B2929" s="42"/>
      <c r="C2929" s="42"/>
      <c r="D2929" s="28" t="str">
        <f aca="false">IF(OR($B2929="",$C2929=""),"",$C2929*IFERROR(INDEX(Setup!$C$47:$C$56,MATCH($B2929,Setup!$A$47:$A$56,0)),IFERROR(INDEX(Setup!$C$60:$C$89,MATCH($B2929,Setup!$A$60:$A$89,0)),"")))</f>
        <v/>
      </c>
      <c r="E2929" s="42"/>
      <c r="F2929" s="42"/>
    </row>
    <row r="2930" customFormat="false" ht="15" hidden="false" customHeight="true" outlineLevel="0" collapsed="false">
      <c r="A2930" s="42"/>
      <c r="B2930" s="42"/>
      <c r="C2930" s="42"/>
      <c r="D2930" s="28" t="str">
        <f aca="false">IF(OR($B2930="",$C2930=""),"",$C2930*IFERROR(INDEX(Setup!$C$47:$C$56,MATCH($B2930,Setup!$A$47:$A$56,0)),IFERROR(INDEX(Setup!$C$60:$C$89,MATCH($B2930,Setup!$A$60:$A$89,0)),"")))</f>
        <v/>
      </c>
      <c r="E2930" s="42"/>
      <c r="F2930" s="42"/>
    </row>
    <row r="2931" customFormat="false" ht="15" hidden="false" customHeight="true" outlineLevel="0" collapsed="false">
      <c r="A2931" s="42"/>
      <c r="B2931" s="42"/>
      <c r="C2931" s="42"/>
      <c r="D2931" s="28" t="str">
        <f aca="false">IF(OR($B2931="",$C2931=""),"",$C2931*IFERROR(INDEX(Setup!$C$47:$C$56,MATCH($B2931,Setup!$A$47:$A$56,0)),IFERROR(INDEX(Setup!$C$60:$C$89,MATCH($B2931,Setup!$A$60:$A$89,0)),"")))</f>
        <v/>
      </c>
      <c r="E2931" s="42"/>
      <c r="F2931" s="42"/>
    </row>
    <row r="2932" customFormat="false" ht="15" hidden="false" customHeight="true" outlineLevel="0" collapsed="false">
      <c r="A2932" s="42"/>
      <c r="B2932" s="42"/>
      <c r="C2932" s="42"/>
      <c r="D2932" s="28" t="str">
        <f aca="false">IF(OR($B2932="",$C2932=""),"",$C2932*IFERROR(INDEX(Setup!$C$47:$C$56,MATCH($B2932,Setup!$A$47:$A$56,0)),IFERROR(INDEX(Setup!$C$60:$C$89,MATCH($B2932,Setup!$A$60:$A$89,0)),"")))</f>
        <v/>
      </c>
      <c r="E2932" s="42"/>
      <c r="F2932" s="42"/>
    </row>
    <row r="2933" customFormat="false" ht="15" hidden="false" customHeight="true" outlineLevel="0" collapsed="false">
      <c r="A2933" s="42"/>
      <c r="B2933" s="42"/>
      <c r="C2933" s="42"/>
      <c r="D2933" s="28" t="str">
        <f aca="false">IF(OR($B2933="",$C2933=""),"",$C2933*IFERROR(INDEX(Setup!$C$47:$C$56,MATCH($B2933,Setup!$A$47:$A$56,0)),IFERROR(INDEX(Setup!$C$60:$C$89,MATCH($B2933,Setup!$A$60:$A$89,0)),"")))</f>
        <v/>
      </c>
      <c r="E2933" s="42"/>
      <c r="F2933" s="42"/>
    </row>
    <row r="2934" customFormat="false" ht="15" hidden="false" customHeight="true" outlineLevel="0" collapsed="false">
      <c r="A2934" s="42"/>
      <c r="B2934" s="42"/>
      <c r="C2934" s="42"/>
      <c r="D2934" s="28" t="str">
        <f aca="false">IF(OR($B2934="",$C2934=""),"",$C2934*IFERROR(INDEX(Setup!$C$47:$C$56,MATCH($B2934,Setup!$A$47:$A$56,0)),IFERROR(INDEX(Setup!$C$60:$C$89,MATCH($B2934,Setup!$A$60:$A$89,0)),"")))</f>
        <v/>
      </c>
      <c r="E2934" s="42"/>
      <c r="F2934" s="42"/>
    </row>
    <row r="2935" customFormat="false" ht="15" hidden="false" customHeight="true" outlineLevel="0" collapsed="false">
      <c r="A2935" s="42"/>
      <c r="B2935" s="42"/>
      <c r="C2935" s="42"/>
      <c r="D2935" s="28" t="str">
        <f aca="false">IF(OR($B2935="",$C2935=""),"",$C2935*IFERROR(INDEX(Setup!$C$47:$C$56,MATCH($B2935,Setup!$A$47:$A$56,0)),IFERROR(INDEX(Setup!$C$60:$C$89,MATCH($B2935,Setup!$A$60:$A$89,0)),"")))</f>
        <v/>
      </c>
      <c r="E2935" s="42"/>
      <c r="F2935" s="42"/>
    </row>
    <row r="2936" customFormat="false" ht="15" hidden="false" customHeight="true" outlineLevel="0" collapsed="false">
      <c r="A2936" s="42"/>
      <c r="B2936" s="42"/>
      <c r="C2936" s="42"/>
      <c r="D2936" s="28" t="str">
        <f aca="false">IF(OR($B2936="",$C2936=""),"",$C2936*IFERROR(INDEX(Setup!$C$47:$C$56,MATCH($B2936,Setup!$A$47:$A$56,0)),IFERROR(INDEX(Setup!$C$60:$C$89,MATCH($B2936,Setup!$A$60:$A$89,0)),"")))</f>
        <v/>
      </c>
      <c r="E2936" s="42"/>
      <c r="F2936" s="42"/>
    </row>
    <row r="2937" customFormat="false" ht="15" hidden="false" customHeight="true" outlineLevel="0" collapsed="false">
      <c r="A2937" s="42"/>
      <c r="B2937" s="42"/>
      <c r="C2937" s="42"/>
      <c r="D2937" s="28" t="str">
        <f aca="false">IF(OR($B2937="",$C2937=""),"",$C2937*IFERROR(INDEX(Setup!$C$47:$C$56,MATCH($B2937,Setup!$A$47:$A$56,0)),IFERROR(INDEX(Setup!$C$60:$C$89,MATCH($B2937,Setup!$A$60:$A$89,0)),"")))</f>
        <v/>
      </c>
      <c r="E2937" s="42"/>
      <c r="F2937" s="42"/>
    </row>
    <row r="2938" customFormat="false" ht="15" hidden="false" customHeight="true" outlineLevel="0" collapsed="false">
      <c r="A2938" s="42"/>
      <c r="B2938" s="42"/>
      <c r="C2938" s="42"/>
      <c r="D2938" s="28" t="str">
        <f aca="false">IF(OR($B2938="",$C2938=""),"",$C2938*IFERROR(INDEX(Setup!$C$47:$C$56,MATCH($B2938,Setup!$A$47:$A$56,0)),IFERROR(INDEX(Setup!$C$60:$C$89,MATCH($B2938,Setup!$A$60:$A$89,0)),"")))</f>
        <v/>
      </c>
      <c r="E2938" s="42"/>
      <c r="F2938" s="42"/>
    </row>
    <row r="2939" customFormat="false" ht="15" hidden="false" customHeight="true" outlineLevel="0" collapsed="false">
      <c r="A2939" s="42"/>
      <c r="B2939" s="42"/>
      <c r="C2939" s="42"/>
      <c r="D2939" s="28" t="str">
        <f aca="false">IF(OR($B2939="",$C2939=""),"",$C2939*IFERROR(INDEX(Setup!$C$47:$C$56,MATCH($B2939,Setup!$A$47:$A$56,0)),IFERROR(INDEX(Setup!$C$60:$C$89,MATCH($B2939,Setup!$A$60:$A$89,0)),"")))</f>
        <v/>
      </c>
      <c r="E2939" s="42"/>
      <c r="F2939" s="42"/>
    </row>
    <row r="2940" customFormat="false" ht="15" hidden="false" customHeight="true" outlineLevel="0" collapsed="false">
      <c r="A2940" s="42"/>
      <c r="B2940" s="42"/>
      <c r="C2940" s="42"/>
      <c r="D2940" s="28" t="str">
        <f aca="false">IF(OR($B2940="",$C2940=""),"",$C2940*IFERROR(INDEX(Setup!$C$47:$C$56,MATCH($B2940,Setup!$A$47:$A$56,0)),IFERROR(INDEX(Setup!$C$60:$C$89,MATCH($B2940,Setup!$A$60:$A$89,0)),"")))</f>
        <v/>
      </c>
      <c r="E2940" s="42"/>
      <c r="F2940" s="42"/>
    </row>
    <row r="2941" customFormat="false" ht="15" hidden="false" customHeight="true" outlineLevel="0" collapsed="false">
      <c r="A2941" s="42"/>
      <c r="B2941" s="42"/>
      <c r="C2941" s="42"/>
      <c r="D2941" s="28" t="str">
        <f aca="false">IF(OR($B2941="",$C2941=""),"",$C2941*IFERROR(INDEX(Setup!$C$47:$C$56,MATCH($B2941,Setup!$A$47:$A$56,0)),IFERROR(INDEX(Setup!$C$60:$C$89,MATCH($B2941,Setup!$A$60:$A$89,0)),"")))</f>
        <v/>
      </c>
      <c r="E2941" s="42"/>
      <c r="F2941" s="42"/>
    </row>
    <row r="2942" customFormat="false" ht="15" hidden="false" customHeight="true" outlineLevel="0" collapsed="false">
      <c r="A2942" s="42"/>
      <c r="B2942" s="42"/>
      <c r="C2942" s="42"/>
      <c r="D2942" s="28" t="str">
        <f aca="false">IF(OR($B2942="",$C2942=""),"",$C2942*IFERROR(INDEX(Setup!$C$47:$C$56,MATCH($B2942,Setup!$A$47:$A$56,0)),IFERROR(INDEX(Setup!$C$60:$C$89,MATCH($B2942,Setup!$A$60:$A$89,0)),"")))</f>
        <v/>
      </c>
      <c r="E2942" s="42"/>
      <c r="F2942" s="42"/>
    </row>
    <row r="2943" customFormat="false" ht="15" hidden="false" customHeight="true" outlineLevel="0" collapsed="false">
      <c r="A2943" s="42"/>
      <c r="B2943" s="42"/>
      <c r="C2943" s="42"/>
      <c r="D2943" s="28" t="str">
        <f aca="false">IF(OR($B2943="",$C2943=""),"",$C2943*IFERROR(INDEX(Setup!$C$47:$C$56,MATCH($B2943,Setup!$A$47:$A$56,0)),IFERROR(INDEX(Setup!$C$60:$C$89,MATCH($B2943,Setup!$A$60:$A$89,0)),"")))</f>
        <v/>
      </c>
      <c r="E2943" s="42"/>
      <c r="F2943" s="42"/>
    </row>
    <row r="2944" customFormat="false" ht="15" hidden="false" customHeight="true" outlineLevel="0" collapsed="false">
      <c r="A2944" s="42"/>
      <c r="B2944" s="42"/>
      <c r="C2944" s="42"/>
      <c r="D2944" s="28" t="str">
        <f aca="false">IF(OR($B2944="",$C2944=""),"",$C2944*IFERROR(INDEX(Setup!$C$47:$C$56,MATCH($B2944,Setup!$A$47:$A$56,0)),IFERROR(INDEX(Setup!$C$60:$C$89,MATCH($B2944,Setup!$A$60:$A$89,0)),"")))</f>
        <v/>
      </c>
      <c r="E2944" s="42"/>
      <c r="F2944" s="42"/>
    </row>
    <row r="2945" customFormat="false" ht="15" hidden="false" customHeight="true" outlineLevel="0" collapsed="false">
      <c r="A2945" s="42"/>
      <c r="B2945" s="42"/>
      <c r="C2945" s="42"/>
      <c r="D2945" s="28" t="str">
        <f aca="false">IF(OR($B2945="",$C2945=""),"",$C2945*IFERROR(INDEX(Setup!$C$47:$C$56,MATCH($B2945,Setup!$A$47:$A$56,0)),IFERROR(INDEX(Setup!$C$60:$C$89,MATCH($B2945,Setup!$A$60:$A$89,0)),"")))</f>
        <v/>
      </c>
      <c r="E2945" s="42"/>
      <c r="F2945" s="42"/>
    </row>
    <row r="2946" customFormat="false" ht="15" hidden="false" customHeight="true" outlineLevel="0" collapsed="false">
      <c r="A2946" s="42"/>
      <c r="B2946" s="42"/>
      <c r="C2946" s="42"/>
      <c r="D2946" s="28" t="str">
        <f aca="false">IF(OR($B2946="",$C2946=""),"",$C2946*IFERROR(INDEX(Setup!$C$47:$C$56,MATCH($B2946,Setup!$A$47:$A$56,0)),IFERROR(INDEX(Setup!$C$60:$C$89,MATCH($B2946,Setup!$A$60:$A$89,0)),"")))</f>
        <v/>
      </c>
      <c r="E2946" s="42"/>
      <c r="F2946" s="42"/>
    </row>
    <row r="2947" customFormat="false" ht="15" hidden="false" customHeight="true" outlineLevel="0" collapsed="false">
      <c r="A2947" s="42"/>
      <c r="B2947" s="42"/>
      <c r="C2947" s="42"/>
      <c r="D2947" s="28" t="str">
        <f aca="false">IF(OR($B2947="",$C2947=""),"",$C2947*IFERROR(INDEX(Setup!$C$47:$C$56,MATCH($B2947,Setup!$A$47:$A$56,0)),IFERROR(INDEX(Setup!$C$60:$C$89,MATCH($B2947,Setup!$A$60:$A$89,0)),"")))</f>
        <v/>
      </c>
      <c r="E2947" s="42"/>
      <c r="F2947" s="42"/>
    </row>
    <row r="2948" customFormat="false" ht="15" hidden="false" customHeight="true" outlineLevel="0" collapsed="false">
      <c r="A2948" s="42"/>
      <c r="B2948" s="42"/>
      <c r="C2948" s="42"/>
      <c r="D2948" s="28" t="str">
        <f aca="false">IF(OR($B2948="",$C2948=""),"",$C2948*IFERROR(INDEX(Setup!$C$47:$C$56,MATCH($B2948,Setup!$A$47:$A$56,0)),IFERROR(INDEX(Setup!$C$60:$C$89,MATCH($B2948,Setup!$A$60:$A$89,0)),"")))</f>
        <v/>
      </c>
      <c r="E2948" s="42"/>
      <c r="F2948" s="42"/>
    </row>
    <row r="2949" customFormat="false" ht="15" hidden="false" customHeight="true" outlineLevel="0" collapsed="false">
      <c r="A2949" s="42"/>
      <c r="B2949" s="42"/>
      <c r="C2949" s="42"/>
      <c r="D2949" s="28" t="str">
        <f aca="false">IF(OR($B2949="",$C2949=""),"",$C2949*IFERROR(INDEX(Setup!$C$47:$C$56,MATCH($B2949,Setup!$A$47:$A$56,0)),IFERROR(INDEX(Setup!$C$60:$C$89,MATCH($B2949,Setup!$A$60:$A$89,0)),"")))</f>
        <v/>
      </c>
      <c r="E2949" s="42"/>
      <c r="F2949" s="42"/>
    </row>
    <row r="2950" customFormat="false" ht="15" hidden="false" customHeight="true" outlineLevel="0" collapsed="false">
      <c r="A2950" s="42"/>
      <c r="B2950" s="42"/>
      <c r="C2950" s="42"/>
      <c r="D2950" s="28" t="str">
        <f aca="false">IF(OR($B2950="",$C2950=""),"",$C2950*IFERROR(INDEX(Setup!$C$47:$C$56,MATCH($B2950,Setup!$A$47:$A$56,0)),IFERROR(INDEX(Setup!$C$60:$C$89,MATCH($B2950,Setup!$A$60:$A$89,0)),"")))</f>
        <v/>
      </c>
      <c r="E2950" s="42"/>
      <c r="F2950" s="42"/>
    </row>
    <row r="2951" customFormat="false" ht="15" hidden="false" customHeight="true" outlineLevel="0" collapsed="false">
      <c r="A2951" s="42"/>
      <c r="B2951" s="42"/>
      <c r="C2951" s="42"/>
      <c r="D2951" s="28" t="str">
        <f aca="false">IF(OR($B2951="",$C2951=""),"",$C2951*IFERROR(INDEX(Setup!$C$47:$C$56,MATCH($B2951,Setup!$A$47:$A$56,0)),IFERROR(INDEX(Setup!$C$60:$C$89,MATCH($B2951,Setup!$A$60:$A$89,0)),"")))</f>
        <v/>
      </c>
      <c r="E2951" s="42"/>
      <c r="F2951" s="42"/>
    </row>
    <row r="2952" customFormat="false" ht="15" hidden="false" customHeight="true" outlineLevel="0" collapsed="false">
      <c r="A2952" s="42"/>
      <c r="B2952" s="42"/>
      <c r="C2952" s="42"/>
      <c r="D2952" s="28" t="str">
        <f aca="false">IF(OR($B2952="",$C2952=""),"",$C2952*IFERROR(INDEX(Setup!$C$47:$C$56,MATCH($B2952,Setup!$A$47:$A$56,0)),IFERROR(INDEX(Setup!$C$60:$C$89,MATCH($B2952,Setup!$A$60:$A$89,0)),"")))</f>
        <v/>
      </c>
      <c r="E2952" s="42"/>
      <c r="F2952" s="42"/>
    </row>
    <row r="2953" customFormat="false" ht="15" hidden="false" customHeight="true" outlineLevel="0" collapsed="false">
      <c r="A2953" s="42"/>
      <c r="B2953" s="42"/>
      <c r="C2953" s="42"/>
      <c r="D2953" s="28" t="str">
        <f aca="false">IF(OR($B2953="",$C2953=""),"",$C2953*IFERROR(INDEX(Setup!$C$47:$C$56,MATCH($B2953,Setup!$A$47:$A$56,0)),IFERROR(INDEX(Setup!$C$60:$C$89,MATCH($B2953,Setup!$A$60:$A$89,0)),"")))</f>
        <v/>
      </c>
      <c r="E2953" s="42"/>
      <c r="F2953" s="42"/>
    </row>
    <row r="2954" customFormat="false" ht="15" hidden="false" customHeight="true" outlineLevel="0" collapsed="false">
      <c r="A2954" s="42"/>
      <c r="B2954" s="42"/>
      <c r="C2954" s="42"/>
      <c r="D2954" s="28" t="str">
        <f aca="false">IF(OR($B2954="",$C2954=""),"",$C2954*IFERROR(INDEX(Setup!$C$47:$C$56,MATCH($B2954,Setup!$A$47:$A$56,0)),IFERROR(INDEX(Setup!$C$60:$C$89,MATCH($B2954,Setup!$A$60:$A$89,0)),"")))</f>
        <v/>
      </c>
      <c r="E2954" s="42"/>
      <c r="F2954" s="42"/>
    </row>
    <row r="2955" customFormat="false" ht="15" hidden="false" customHeight="true" outlineLevel="0" collapsed="false">
      <c r="A2955" s="42"/>
      <c r="B2955" s="42"/>
      <c r="C2955" s="42"/>
      <c r="D2955" s="28" t="str">
        <f aca="false">IF(OR($B2955="",$C2955=""),"",$C2955*IFERROR(INDEX(Setup!$C$47:$C$56,MATCH($B2955,Setup!$A$47:$A$56,0)),IFERROR(INDEX(Setup!$C$60:$C$89,MATCH($B2955,Setup!$A$60:$A$89,0)),"")))</f>
        <v/>
      </c>
      <c r="E2955" s="42"/>
      <c r="F2955" s="42"/>
    </row>
    <row r="2956" customFormat="false" ht="15" hidden="false" customHeight="true" outlineLevel="0" collapsed="false">
      <c r="A2956" s="42"/>
      <c r="B2956" s="42"/>
      <c r="C2956" s="42"/>
      <c r="D2956" s="28" t="str">
        <f aca="false">IF(OR($B2956="",$C2956=""),"",$C2956*IFERROR(INDEX(Setup!$C$47:$C$56,MATCH($B2956,Setup!$A$47:$A$56,0)),IFERROR(INDEX(Setup!$C$60:$C$89,MATCH($B2956,Setup!$A$60:$A$89,0)),"")))</f>
        <v/>
      </c>
      <c r="E2956" s="42"/>
      <c r="F2956" s="42"/>
    </row>
    <row r="2957" customFormat="false" ht="15" hidden="false" customHeight="true" outlineLevel="0" collapsed="false">
      <c r="A2957" s="42"/>
      <c r="B2957" s="42"/>
      <c r="C2957" s="42"/>
      <c r="D2957" s="28" t="str">
        <f aca="false">IF(OR($B2957="",$C2957=""),"",$C2957*IFERROR(INDEX(Setup!$C$47:$C$56,MATCH($B2957,Setup!$A$47:$A$56,0)),IFERROR(INDEX(Setup!$C$60:$C$89,MATCH($B2957,Setup!$A$60:$A$89,0)),"")))</f>
        <v/>
      </c>
      <c r="E2957" s="42"/>
      <c r="F2957" s="42"/>
    </row>
    <row r="2958" customFormat="false" ht="15" hidden="false" customHeight="true" outlineLevel="0" collapsed="false">
      <c r="A2958" s="42"/>
      <c r="B2958" s="42"/>
      <c r="C2958" s="42"/>
      <c r="D2958" s="28" t="str">
        <f aca="false">IF(OR($B2958="",$C2958=""),"",$C2958*IFERROR(INDEX(Setup!$C$47:$C$56,MATCH($B2958,Setup!$A$47:$A$56,0)),IFERROR(INDEX(Setup!$C$60:$C$89,MATCH($B2958,Setup!$A$60:$A$89,0)),"")))</f>
        <v/>
      </c>
      <c r="E2958" s="42"/>
      <c r="F2958" s="42"/>
    </row>
    <row r="2959" customFormat="false" ht="15" hidden="false" customHeight="true" outlineLevel="0" collapsed="false">
      <c r="A2959" s="42"/>
      <c r="B2959" s="42"/>
      <c r="C2959" s="42"/>
      <c r="D2959" s="28" t="str">
        <f aca="false">IF(OR($B2959="",$C2959=""),"",$C2959*IFERROR(INDEX(Setup!$C$47:$C$56,MATCH($B2959,Setup!$A$47:$A$56,0)),IFERROR(INDEX(Setup!$C$60:$C$89,MATCH($B2959,Setup!$A$60:$A$89,0)),"")))</f>
        <v/>
      </c>
      <c r="E2959" s="42"/>
      <c r="F2959" s="42"/>
    </row>
    <row r="2960" customFormat="false" ht="15" hidden="false" customHeight="true" outlineLevel="0" collapsed="false">
      <c r="A2960" s="42"/>
      <c r="B2960" s="42"/>
      <c r="C2960" s="42"/>
      <c r="D2960" s="28" t="str">
        <f aca="false">IF(OR($B2960="",$C2960=""),"",$C2960*IFERROR(INDEX(Setup!$C$47:$C$56,MATCH($B2960,Setup!$A$47:$A$56,0)),IFERROR(INDEX(Setup!$C$60:$C$89,MATCH($B2960,Setup!$A$60:$A$89,0)),"")))</f>
        <v/>
      </c>
      <c r="E2960" s="42"/>
      <c r="F2960" s="42"/>
    </row>
    <row r="2961" customFormat="false" ht="15" hidden="false" customHeight="true" outlineLevel="0" collapsed="false">
      <c r="A2961" s="42"/>
      <c r="B2961" s="42"/>
      <c r="C2961" s="42"/>
      <c r="D2961" s="28" t="str">
        <f aca="false">IF(OR($B2961="",$C2961=""),"",$C2961*IFERROR(INDEX(Setup!$C$47:$C$56,MATCH($B2961,Setup!$A$47:$A$56,0)),IFERROR(INDEX(Setup!$C$60:$C$89,MATCH($B2961,Setup!$A$60:$A$89,0)),"")))</f>
        <v/>
      </c>
      <c r="E2961" s="42"/>
      <c r="F2961" s="42"/>
    </row>
    <row r="2962" customFormat="false" ht="15" hidden="false" customHeight="true" outlineLevel="0" collapsed="false">
      <c r="A2962" s="42"/>
      <c r="B2962" s="42"/>
      <c r="C2962" s="42"/>
      <c r="D2962" s="28" t="str">
        <f aca="false">IF(OR($B2962="",$C2962=""),"",$C2962*IFERROR(INDEX(Setup!$C$47:$C$56,MATCH($B2962,Setup!$A$47:$A$56,0)),IFERROR(INDEX(Setup!$C$60:$C$89,MATCH($B2962,Setup!$A$60:$A$89,0)),"")))</f>
        <v/>
      </c>
      <c r="E2962" s="42"/>
      <c r="F2962" s="42"/>
    </row>
    <row r="2963" customFormat="false" ht="15" hidden="false" customHeight="true" outlineLevel="0" collapsed="false">
      <c r="A2963" s="42"/>
      <c r="B2963" s="42"/>
      <c r="C2963" s="42"/>
      <c r="D2963" s="28" t="str">
        <f aca="false">IF(OR($B2963="",$C2963=""),"",$C2963*IFERROR(INDEX(Setup!$C$47:$C$56,MATCH($B2963,Setup!$A$47:$A$56,0)),IFERROR(INDEX(Setup!$C$60:$C$89,MATCH($B2963,Setup!$A$60:$A$89,0)),"")))</f>
        <v/>
      </c>
      <c r="E2963" s="42"/>
      <c r="F2963" s="42"/>
    </row>
    <row r="2964" customFormat="false" ht="15" hidden="false" customHeight="true" outlineLevel="0" collapsed="false">
      <c r="A2964" s="42"/>
      <c r="B2964" s="42"/>
      <c r="C2964" s="42"/>
      <c r="D2964" s="28" t="str">
        <f aca="false">IF(OR($B2964="",$C2964=""),"",$C2964*IFERROR(INDEX(Setup!$C$47:$C$56,MATCH($B2964,Setup!$A$47:$A$56,0)),IFERROR(INDEX(Setup!$C$60:$C$89,MATCH($B2964,Setup!$A$60:$A$89,0)),"")))</f>
        <v/>
      </c>
      <c r="E2964" s="42"/>
      <c r="F2964" s="42"/>
    </row>
    <row r="2965" customFormat="false" ht="15" hidden="false" customHeight="true" outlineLevel="0" collapsed="false">
      <c r="A2965" s="42"/>
      <c r="B2965" s="42"/>
      <c r="C2965" s="42"/>
      <c r="D2965" s="28" t="str">
        <f aca="false">IF(OR($B2965="",$C2965=""),"",$C2965*IFERROR(INDEX(Setup!$C$47:$C$56,MATCH($B2965,Setup!$A$47:$A$56,0)),IFERROR(INDEX(Setup!$C$60:$C$89,MATCH($B2965,Setup!$A$60:$A$89,0)),"")))</f>
        <v/>
      </c>
      <c r="E2965" s="42"/>
      <c r="F2965" s="42"/>
    </row>
    <row r="2966" customFormat="false" ht="15" hidden="false" customHeight="true" outlineLevel="0" collapsed="false">
      <c r="A2966" s="42"/>
      <c r="B2966" s="42"/>
      <c r="C2966" s="42"/>
      <c r="D2966" s="28" t="str">
        <f aca="false">IF(OR($B2966="",$C2966=""),"",$C2966*IFERROR(INDEX(Setup!$C$47:$C$56,MATCH($B2966,Setup!$A$47:$A$56,0)),IFERROR(INDEX(Setup!$C$60:$C$89,MATCH($B2966,Setup!$A$60:$A$89,0)),"")))</f>
        <v/>
      </c>
      <c r="E2966" s="42"/>
      <c r="F2966" s="42"/>
    </row>
    <row r="2967" customFormat="false" ht="15" hidden="false" customHeight="true" outlineLevel="0" collapsed="false">
      <c r="A2967" s="42"/>
      <c r="B2967" s="42"/>
      <c r="C2967" s="42"/>
      <c r="D2967" s="28" t="str">
        <f aca="false">IF(OR($B2967="",$C2967=""),"",$C2967*IFERROR(INDEX(Setup!$C$47:$C$56,MATCH($B2967,Setup!$A$47:$A$56,0)),IFERROR(INDEX(Setup!$C$60:$C$89,MATCH($B2967,Setup!$A$60:$A$89,0)),"")))</f>
        <v/>
      </c>
      <c r="E2967" s="42"/>
      <c r="F2967" s="42"/>
    </row>
    <row r="2968" customFormat="false" ht="15" hidden="false" customHeight="true" outlineLevel="0" collapsed="false">
      <c r="A2968" s="42"/>
      <c r="B2968" s="42"/>
      <c r="C2968" s="42"/>
      <c r="D2968" s="28" t="str">
        <f aca="false">IF(OR($B2968="",$C2968=""),"",$C2968*IFERROR(INDEX(Setup!$C$47:$C$56,MATCH($B2968,Setup!$A$47:$A$56,0)),IFERROR(INDEX(Setup!$C$60:$C$89,MATCH($B2968,Setup!$A$60:$A$89,0)),"")))</f>
        <v/>
      </c>
      <c r="E2968" s="42"/>
      <c r="F2968" s="42"/>
    </row>
    <row r="2969" customFormat="false" ht="15" hidden="false" customHeight="true" outlineLevel="0" collapsed="false">
      <c r="A2969" s="42"/>
      <c r="B2969" s="42"/>
      <c r="C2969" s="42"/>
      <c r="D2969" s="28" t="str">
        <f aca="false">IF(OR($B2969="",$C2969=""),"",$C2969*IFERROR(INDEX(Setup!$C$47:$C$56,MATCH($B2969,Setup!$A$47:$A$56,0)),IFERROR(INDEX(Setup!$C$60:$C$89,MATCH($B2969,Setup!$A$60:$A$89,0)),"")))</f>
        <v/>
      </c>
      <c r="E2969" s="42"/>
      <c r="F2969" s="42"/>
    </row>
    <row r="2970" customFormat="false" ht="15" hidden="false" customHeight="true" outlineLevel="0" collapsed="false">
      <c r="A2970" s="42"/>
      <c r="B2970" s="42"/>
      <c r="C2970" s="42"/>
      <c r="D2970" s="28" t="str">
        <f aca="false">IF(OR($B2970="",$C2970=""),"",$C2970*IFERROR(INDEX(Setup!$C$47:$C$56,MATCH($B2970,Setup!$A$47:$A$56,0)),IFERROR(INDEX(Setup!$C$60:$C$89,MATCH($B2970,Setup!$A$60:$A$89,0)),"")))</f>
        <v/>
      </c>
      <c r="E2970" s="42"/>
      <c r="F2970" s="42"/>
    </row>
    <row r="2971" customFormat="false" ht="15" hidden="false" customHeight="true" outlineLevel="0" collapsed="false">
      <c r="A2971" s="42"/>
      <c r="B2971" s="42"/>
      <c r="C2971" s="42"/>
      <c r="D2971" s="28" t="str">
        <f aca="false">IF(OR($B2971="",$C2971=""),"",$C2971*IFERROR(INDEX(Setup!$C$47:$C$56,MATCH($B2971,Setup!$A$47:$A$56,0)),IFERROR(INDEX(Setup!$C$60:$C$89,MATCH($B2971,Setup!$A$60:$A$89,0)),"")))</f>
        <v/>
      </c>
      <c r="E2971" s="42"/>
      <c r="F2971" s="42"/>
    </row>
    <row r="2972" customFormat="false" ht="15" hidden="false" customHeight="true" outlineLevel="0" collapsed="false">
      <c r="A2972" s="42"/>
      <c r="B2972" s="42"/>
      <c r="C2972" s="42"/>
      <c r="D2972" s="28" t="str">
        <f aca="false">IF(OR($B2972="",$C2972=""),"",$C2972*IFERROR(INDEX(Setup!$C$47:$C$56,MATCH($B2972,Setup!$A$47:$A$56,0)),IFERROR(INDEX(Setup!$C$60:$C$89,MATCH($B2972,Setup!$A$60:$A$89,0)),"")))</f>
        <v/>
      </c>
      <c r="E2972" s="42"/>
      <c r="F2972" s="42"/>
    </row>
    <row r="2973" customFormat="false" ht="15" hidden="false" customHeight="true" outlineLevel="0" collapsed="false">
      <c r="A2973" s="42"/>
      <c r="B2973" s="42"/>
      <c r="C2973" s="42"/>
      <c r="D2973" s="28" t="str">
        <f aca="false">IF(OR($B2973="",$C2973=""),"",$C2973*IFERROR(INDEX(Setup!$C$47:$C$56,MATCH($B2973,Setup!$A$47:$A$56,0)),IFERROR(INDEX(Setup!$C$60:$C$89,MATCH($B2973,Setup!$A$60:$A$89,0)),"")))</f>
        <v/>
      </c>
      <c r="E2973" s="42"/>
      <c r="F2973" s="42"/>
    </row>
    <row r="2974" customFormat="false" ht="15" hidden="false" customHeight="true" outlineLevel="0" collapsed="false">
      <c r="A2974" s="42"/>
      <c r="B2974" s="42"/>
      <c r="C2974" s="42"/>
      <c r="D2974" s="28" t="str">
        <f aca="false">IF(OR($B2974="",$C2974=""),"",$C2974*IFERROR(INDEX(Setup!$C$47:$C$56,MATCH($B2974,Setup!$A$47:$A$56,0)),IFERROR(INDEX(Setup!$C$60:$C$89,MATCH($B2974,Setup!$A$60:$A$89,0)),"")))</f>
        <v/>
      </c>
      <c r="E2974" s="42"/>
      <c r="F2974" s="42"/>
    </row>
    <row r="2975" customFormat="false" ht="15" hidden="false" customHeight="true" outlineLevel="0" collapsed="false">
      <c r="A2975" s="42"/>
      <c r="B2975" s="42"/>
      <c r="C2975" s="42"/>
      <c r="D2975" s="28" t="str">
        <f aca="false">IF(OR($B2975="",$C2975=""),"",$C2975*IFERROR(INDEX(Setup!$C$47:$C$56,MATCH($B2975,Setup!$A$47:$A$56,0)),IFERROR(INDEX(Setup!$C$60:$C$89,MATCH($B2975,Setup!$A$60:$A$89,0)),"")))</f>
        <v/>
      </c>
      <c r="E2975" s="42"/>
      <c r="F2975" s="42"/>
    </row>
    <row r="2976" customFormat="false" ht="15" hidden="false" customHeight="true" outlineLevel="0" collapsed="false">
      <c r="A2976" s="42"/>
      <c r="B2976" s="42"/>
      <c r="C2976" s="42"/>
      <c r="D2976" s="28" t="str">
        <f aca="false">IF(OR($B2976="",$C2976=""),"",$C2976*IFERROR(INDEX(Setup!$C$47:$C$56,MATCH($B2976,Setup!$A$47:$A$56,0)),IFERROR(INDEX(Setup!$C$60:$C$89,MATCH($B2976,Setup!$A$60:$A$89,0)),"")))</f>
        <v/>
      </c>
      <c r="E2976" s="42"/>
      <c r="F2976" s="42"/>
    </row>
    <row r="2977" customFormat="false" ht="15" hidden="false" customHeight="true" outlineLevel="0" collapsed="false">
      <c r="A2977" s="42"/>
      <c r="B2977" s="42"/>
      <c r="C2977" s="42"/>
      <c r="D2977" s="28" t="str">
        <f aca="false">IF(OR($B2977="",$C2977=""),"",$C2977*IFERROR(INDEX(Setup!$C$47:$C$56,MATCH($B2977,Setup!$A$47:$A$56,0)),IFERROR(INDEX(Setup!$C$60:$C$89,MATCH($B2977,Setup!$A$60:$A$89,0)),"")))</f>
        <v/>
      </c>
      <c r="E2977" s="42"/>
      <c r="F2977" s="42"/>
    </row>
    <row r="2978" customFormat="false" ht="15" hidden="false" customHeight="true" outlineLevel="0" collapsed="false">
      <c r="A2978" s="42"/>
      <c r="B2978" s="42"/>
      <c r="C2978" s="42"/>
      <c r="D2978" s="28" t="str">
        <f aca="false">IF(OR($B2978="",$C2978=""),"",$C2978*IFERROR(INDEX(Setup!$C$47:$C$56,MATCH($B2978,Setup!$A$47:$A$56,0)),IFERROR(INDEX(Setup!$C$60:$C$89,MATCH($B2978,Setup!$A$60:$A$89,0)),"")))</f>
        <v/>
      </c>
      <c r="E2978" s="42"/>
      <c r="F2978" s="42"/>
    </row>
    <row r="2979" customFormat="false" ht="15" hidden="false" customHeight="true" outlineLevel="0" collapsed="false">
      <c r="A2979" s="42"/>
      <c r="B2979" s="42"/>
      <c r="C2979" s="42"/>
      <c r="D2979" s="28" t="str">
        <f aca="false">IF(OR($B2979="",$C2979=""),"",$C2979*IFERROR(INDEX(Setup!$C$47:$C$56,MATCH($B2979,Setup!$A$47:$A$56,0)),IFERROR(INDEX(Setup!$C$60:$C$89,MATCH($B2979,Setup!$A$60:$A$89,0)),"")))</f>
        <v/>
      </c>
      <c r="E2979" s="42"/>
      <c r="F2979" s="42"/>
    </row>
    <row r="2980" customFormat="false" ht="15" hidden="false" customHeight="true" outlineLevel="0" collapsed="false">
      <c r="A2980" s="42"/>
      <c r="B2980" s="42"/>
      <c r="C2980" s="42"/>
      <c r="D2980" s="28" t="str">
        <f aca="false">IF(OR($B2980="",$C2980=""),"",$C2980*IFERROR(INDEX(Setup!$C$47:$C$56,MATCH($B2980,Setup!$A$47:$A$56,0)),IFERROR(INDEX(Setup!$C$60:$C$89,MATCH($B2980,Setup!$A$60:$A$89,0)),"")))</f>
        <v/>
      </c>
      <c r="E2980" s="42"/>
      <c r="F2980" s="42"/>
    </row>
    <row r="2981" customFormat="false" ht="15" hidden="false" customHeight="true" outlineLevel="0" collapsed="false">
      <c r="A2981" s="42"/>
      <c r="B2981" s="42"/>
      <c r="C2981" s="42"/>
      <c r="D2981" s="28" t="str">
        <f aca="false">IF(OR($B2981="",$C2981=""),"",$C2981*IFERROR(INDEX(Setup!$C$47:$C$56,MATCH($B2981,Setup!$A$47:$A$56,0)),IFERROR(INDEX(Setup!$C$60:$C$89,MATCH($B2981,Setup!$A$60:$A$89,0)),"")))</f>
        <v/>
      </c>
      <c r="E2981" s="42"/>
      <c r="F2981" s="42"/>
    </row>
    <row r="2982" customFormat="false" ht="15" hidden="false" customHeight="true" outlineLevel="0" collapsed="false">
      <c r="A2982" s="42"/>
      <c r="B2982" s="42"/>
      <c r="C2982" s="42"/>
      <c r="D2982" s="28" t="str">
        <f aca="false">IF(OR($B2982="",$C2982=""),"",$C2982*IFERROR(INDEX(Setup!$C$47:$C$56,MATCH($B2982,Setup!$A$47:$A$56,0)),IFERROR(INDEX(Setup!$C$60:$C$89,MATCH($B2982,Setup!$A$60:$A$89,0)),"")))</f>
        <v/>
      </c>
      <c r="E2982" s="42"/>
      <c r="F2982" s="42"/>
    </row>
    <row r="2983" customFormat="false" ht="15" hidden="false" customHeight="true" outlineLevel="0" collapsed="false">
      <c r="A2983" s="42"/>
      <c r="B2983" s="42"/>
      <c r="C2983" s="42"/>
      <c r="D2983" s="28" t="str">
        <f aca="false">IF(OR($B2983="",$C2983=""),"",$C2983*IFERROR(INDEX(Setup!$C$47:$C$56,MATCH($B2983,Setup!$A$47:$A$56,0)),IFERROR(INDEX(Setup!$C$60:$C$89,MATCH($B2983,Setup!$A$60:$A$89,0)),"")))</f>
        <v/>
      </c>
      <c r="E2983" s="42"/>
      <c r="F2983" s="42"/>
    </row>
    <row r="2984" customFormat="false" ht="15" hidden="false" customHeight="true" outlineLevel="0" collapsed="false">
      <c r="A2984" s="42"/>
      <c r="B2984" s="42"/>
      <c r="C2984" s="42"/>
      <c r="D2984" s="28" t="str">
        <f aca="false">IF(OR($B2984="",$C2984=""),"",$C2984*IFERROR(INDEX(Setup!$C$47:$C$56,MATCH($B2984,Setup!$A$47:$A$56,0)),IFERROR(INDEX(Setup!$C$60:$C$89,MATCH($B2984,Setup!$A$60:$A$89,0)),"")))</f>
        <v/>
      </c>
      <c r="E2984" s="42"/>
      <c r="F2984" s="42"/>
    </row>
    <row r="2985" customFormat="false" ht="15" hidden="false" customHeight="true" outlineLevel="0" collapsed="false">
      <c r="A2985" s="42"/>
      <c r="B2985" s="42"/>
      <c r="C2985" s="42"/>
      <c r="D2985" s="28" t="str">
        <f aca="false">IF(OR($B2985="",$C2985=""),"",$C2985*IFERROR(INDEX(Setup!$C$47:$C$56,MATCH($B2985,Setup!$A$47:$A$56,0)),IFERROR(INDEX(Setup!$C$60:$C$89,MATCH($B2985,Setup!$A$60:$A$89,0)),"")))</f>
        <v/>
      </c>
      <c r="E2985" s="42"/>
      <c r="F2985" s="42"/>
    </row>
    <row r="2986" customFormat="false" ht="15" hidden="false" customHeight="true" outlineLevel="0" collapsed="false">
      <c r="A2986" s="42"/>
      <c r="B2986" s="42"/>
      <c r="C2986" s="42"/>
      <c r="D2986" s="28" t="str">
        <f aca="false">IF(OR($B2986="",$C2986=""),"",$C2986*IFERROR(INDEX(Setup!$C$47:$C$56,MATCH($B2986,Setup!$A$47:$A$56,0)),IFERROR(INDEX(Setup!$C$60:$C$89,MATCH($B2986,Setup!$A$60:$A$89,0)),"")))</f>
        <v/>
      </c>
      <c r="E2986" s="42"/>
      <c r="F2986" s="42"/>
    </row>
    <row r="2987" customFormat="false" ht="15" hidden="false" customHeight="true" outlineLevel="0" collapsed="false">
      <c r="A2987" s="42"/>
      <c r="B2987" s="42"/>
      <c r="C2987" s="42"/>
      <c r="D2987" s="28" t="str">
        <f aca="false">IF(OR($B2987="",$C2987=""),"",$C2987*IFERROR(INDEX(Setup!$C$47:$C$56,MATCH($B2987,Setup!$A$47:$A$56,0)),IFERROR(INDEX(Setup!$C$60:$C$89,MATCH($B2987,Setup!$A$60:$A$89,0)),"")))</f>
        <v/>
      </c>
      <c r="E2987" s="42"/>
      <c r="F2987" s="42"/>
    </row>
    <row r="2988" customFormat="false" ht="15" hidden="false" customHeight="true" outlineLevel="0" collapsed="false">
      <c r="A2988" s="42"/>
      <c r="B2988" s="42"/>
      <c r="C2988" s="42"/>
      <c r="D2988" s="28" t="str">
        <f aca="false">IF(OR($B2988="",$C2988=""),"",$C2988*IFERROR(INDEX(Setup!$C$47:$C$56,MATCH($B2988,Setup!$A$47:$A$56,0)),IFERROR(INDEX(Setup!$C$60:$C$89,MATCH($B2988,Setup!$A$60:$A$89,0)),"")))</f>
        <v/>
      </c>
      <c r="E2988" s="42"/>
      <c r="F2988" s="42"/>
    </row>
    <row r="2989" customFormat="false" ht="15" hidden="false" customHeight="true" outlineLevel="0" collapsed="false">
      <c r="A2989" s="42"/>
      <c r="B2989" s="42"/>
      <c r="C2989" s="42"/>
      <c r="D2989" s="28" t="str">
        <f aca="false">IF(OR($B2989="",$C2989=""),"",$C2989*IFERROR(INDEX(Setup!$C$47:$C$56,MATCH($B2989,Setup!$A$47:$A$56,0)),IFERROR(INDEX(Setup!$C$60:$C$89,MATCH($B2989,Setup!$A$60:$A$89,0)),"")))</f>
        <v/>
      </c>
      <c r="E2989" s="42"/>
      <c r="F2989" s="42"/>
    </row>
    <row r="2990" customFormat="false" ht="15" hidden="false" customHeight="true" outlineLevel="0" collapsed="false">
      <c r="A2990" s="42"/>
      <c r="B2990" s="42"/>
      <c r="C2990" s="42"/>
      <c r="D2990" s="28" t="str">
        <f aca="false">IF(OR($B2990="",$C2990=""),"",$C2990*IFERROR(INDEX(Setup!$C$47:$C$56,MATCH($B2990,Setup!$A$47:$A$56,0)),IFERROR(INDEX(Setup!$C$60:$C$89,MATCH($B2990,Setup!$A$60:$A$89,0)),"")))</f>
        <v/>
      </c>
      <c r="E2990" s="42"/>
      <c r="F2990" s="42"/>
    </row>
    <row r="2991" customFormat="false" ht="15" hidden="false" customHeight="true" outlineLevel="0" collapsed="false">
      <c r="A2991" s="42"/>
      <c r="B2991" s="42"/>
      <c r="C2991" s="42"/>
      <c r="D2991" s="28" t="str">
        <f aca="false">IF(OR($B2991="",$C2991=""),"",$C2991*IFERROR(INDEX(Setup!$C$47:$C$56,MATCH($B2991,Setup!$A$47:$A$56,0)),IFERROR(INDEX(Setup!$C$60:$C$89,MATCH($B2991,Setup!$A$60:$A$89,0)),"")))</f>
        <v/>
      </c>
      <c r="E2991" s="42"/>
      <c r="F2991" s="42"/>
    </row>
    <row r="2992" customFormat="false" ht="15" hidden="false" customHeight="true" outlineLevel="0" collapsed="false">
      <c r="A2992" s="42"/>
      <c r="B2992" s="42"/>
      <c r="C2992" s="42"/>
      <c r="D2992" s="28" t="str">
        <f aca="false">IF(OR($B2992="",$C2992=""),"",$C2992*IFERROR(INDEX(Setup!$C$47:$C$56,MATCH($B2992,Setup!$A$47:$A$56,0)),IFERROR(INDEX(Setup!$C$60:$C$89,MATCH($B2992,Setup!$A$60:$A$89,0)),"")))</f>
        <v/>
      </c>
      <c r="E2992" s="42"/>
      <c r="F2992" s="42"/>
    </row>
    <row r="2993" customFormat="false" ht="15" hidden="false" customHeight="true" outlineLevel="0" collapsed="false">
      <c r="A2993" s="42"/>
      <c r="B2993" s="42"/>
      <c r="C2993" s="42"/>
      <c r="D2993" s="28" t="str">
        <f aca="false">IF(OR($B2993="",$C2993=""),"",$C2993*IFERROR(INDEX(Setup!$C$47:$C$56,MATCH($B2993,Setup!$A$47:$A$56,0)),IFERROR(INDEX(Setup!$C$60:$C$89,MATCH($B2993,Setup!$A$60:$A$89,0)),"")))</f>
        <v/>
      </c>
      <c r="E2993" s="42"/>
      <c r="F2993" s="42"/>
    </row>
    <row r="2994" customFormat="false" ht="15" hidden="false" customHeight="true" outlineLevel="0" collapsed="false">
      <c r="A2994" s="42"/>
      <c r="B2994" s="42"/>
      <c r="C2994" s="42"/>
      <c r="D2994" s="28" t="str">
        <f aca="false">IF(OR($B2994="",$C2994=""),"",$C2994*IFERROR(INDEX(Setup!$C$47:$C$56,MATCH($B2994,Setup!$A$47:$A$56,0)),IFERROR(INDEX(Setup!$C$60:$C$89,MATCH($B2994,Setup!$A$60:$A$89,0)),"")))</f>
        <v/>
      </c>
      <c r="E2994" s="42"/>
      <c r="F2994" s="42"/>
    </row>
    <row r="2995" customFormat="false" ht="15" hidden="false" customHeight="true" outlineLevel="0" collapsed="false">
      <c r="A2995" s="42"/>
      <c r="B2995" s="42"/>
      <c r="C2995" s="42"/>
      <c r="D2995" s="28" t="str">
        <f aca="false">IF(OR($B2995="",$C2995=""),"",$C2995*IFERROR(INDEX(Setup!$C$47:$C$56,MATCH($B2995,Setup!$A$47:$A$56,0)),IFERROR(INDEX(Setup!$C$60:$C$89,MATCH($B2995,Setup!$A$60:$A$89,0)),"")))</f>
        <v/>
      </c>
      <c r="E2995" s="42"/>
      <c r="F2995" s="42"/>
    </row>
    <row r="2996" customFormat="false" ht="15" hidden="false" customHeight="true" outlineLevel="0" collapsed="false">
      <c r="A2996" s="42"/>
      <c r="B2996" s="42"/>
      <c r="C2996" s="42"/>
      <c r="D2996" s="28" t="str">
        <f aca="false">IF(OR($B2996="",$C2996=""),"",$C2996*IFERROR(INDEX(Setup!$C$47:$C$56,MATCH($B2996,Setup!$A$47:$A$56,0)),IFERROR(INDEX(Setup!$C$60:$C$89,MATCH($B2996,Setup!$A$60:$A$89,0)),"")))</f>
        <v/>
      </c>
      <c r="E2996" s="42"/>
      <c r="F2996" s="42"/>
    </row>
    <row r="2997" customFormat="false" ht="15" hidden="false" customHeight="true" outlineLevel="0" collapsed="false">
      <c r="A2997" s="42"/>
      <c r="B2997" s="42"/>
      <c r="C2997" s="42"/>
      <c r="D2997" s="28" t="str">
        <f aca="false">IF(OR($B2997="",$C2997=""),"",$C2997*IFERROR(INDEX(Setup!$C$47:$C$56,MATCH($B2997,Setup!$A$47:$A$56,0)),IFERROR(INDEX(Setup!$C$60:$C$89,MATCH($B2997,Setup!$A$60:$A$89,0)),"")))</f>
        <v/>
      </c>
      <c r="E2997" s="42"/>
      <c r="F2997" s="42"/>
    </row>
    <row r="2998" customFormat="false" ht="15" hidden="false" customHeight="true" outlineLevel="0" collapsed="false">
      <c r="A2998" s="42"/>
      <c r="B2998" s="42"/>
      <c r="C2998" s="42"/>
      <c r="D2998" s="28" t="str">
        <f aca="false">IF(OR($B2998="",$C2998=""),"",$C2998*IFERROR(INDEX(Setup!$C$47:$C$56,MATCH($B2998,Setup!$A$47:$A$56,0)),IFERROR(INDEX(Setup!$C$60:$C$89,MATCH($B2998,Setup!$A$60:$A$89,0)),"")))</f>
        <v/>
      </c>
      <c r="E2998" s="42"/>
      <c r="F2998" s="42"/>
    </row>
    <row r="2999" customFormat="false" ht="15" hidden="false" customHeight="true" outlineLevel="0" collapsed="false">
      <c r="A2999" s="42"/>
      <c r="B2999" s="42"/>
      <c r="C2999" s="42"/>
      <c r="D2999" s="28" t="str">
        <f aca="false">IF(OR($B2999="",$C2999=""),"",$C2999*IFERROR(INDEX(Setup!$C$47:$C$56,MATCH($B2999,Setup!$A$47:$A$56,0)),IFERROR(INDEX(Setup!$C$60:$C$89,MATCH($B2999,Setup!$A$60:$A$89,0)),"")))</f>
        <v/>
      </c>
      <c r="E2999" s="42"/>
      <c r="F2999" s="42"/>
    </row>
    <row r="3000" customFormat="false" ht="15" hidden="false" customHeight="true" outlineLevel="0" collapsed="false">
      <c r="A3000" s="42"/>
      <c r="B3000" s="42"/>
      <c r="C3000" s="42"/>
      <c r="D3000" s="28" t="str">
        <f aca="false">IF(OR($B3000="",$C3000=""),"",$C3000*IFERROR(INDEX(Setup!$C$47:$C$56,MATCH($B3000,Setup!$A$47:$A$56,0)),IFERROR(INDEX(Setup!$C$60:$C$89,MATCH($B3000,Setup!$A$60:$A$89,0)),"")))</f>
        <v/>
      </c>
      <c r="E3000" s="42"/>
      <c r="F3000" s="42"/>
    </row>
    <row r="3001" customFormat="false" ht="15" hidden="false" customHeight="true" outlineLevel="0" collapsed="false">
      <c r="A3001" s="42"/>
      <c r="B3001" s="42"/>
      <c r="C3001" s="42"/>
      <c r="D3001" s="28" t="str">
        <f aca="false">IF(OR($B3001="",$C3001=""),"",$C3001*IFERROR(INDEX(Setup!$C$47:$C$56,MATCH($B3001,Setup!$A$47:$A$56,0)),IFERROR(INDEX(Setup!$C$60:$C$89,MATCH($B3001,Setup!$A$60:$A$89,0)),"")))</f>
        <v/>
      </c>
      <c r="E3001" s="42"/>
      <c r="F3001" s="42"/>
    </row>
    <row r="3002" customFormat="false" ht="15" hidden="false" customHeight="true" outlineLevel="0" collapsed="false">
      <c r="A3002" s="42"/>
      <c r="B3002" s="42"/>
      <c r="C3002" s="42"/>
      <c r="D3002" s="28" t="str">
        <f aca="false">IF(OR($B3002="",$C3002=""),"",$C3002*IFERROR(INDEX(Setup!$C$47:$C$56,MATCH($B3002,Setup!$A$47:$A$56,0)),IFERROR(INDEX(Setup!$C$60:$C$89,MATCH($B3002,Setup!$A$60:$A$89,0)),"")))</f>
        <v/>
      </c>
      <c r="E3002" s="42"/>
      <c r="F3002" s="42"/>
    </row>
    <row r="3003" customFormat="false" ht="15" hidden="false" customHeight="true" outlineLevel="0" collapsed="false">
      <c r="A3003" s="42"/>
      <c r="B3003" s="42"/>
      <c r="C3003" s="42"/>
      <c r="D3003" s="28" t="str">
        <f aca="false">IF(OR($B3003="",$C3003=""),"",$C3003*IFERROR(INDEX(Setup!$C$47:$C$56,MATCH($B3003,Setup!$A$47:$A$56,0)),IFERROR(INDEX(Setup!$C$60:$C$89,MATCH($B3003,Setup!$A$60:$A$89,0)),"")))</f>
        <v/>
      </c>
      <c r="E3003" s="42"/>
      <c r="F3003" s="42"/>
    </row>
    <row r="3004" customFormat="false" ht="15" hidden="false" customHeight="true" outlineLevel="0" collapsed="false">
      <c r="A3004" s="42"/>
      <c r="B3004" s="42"/>
      <c r="C3004" s="42"/>
      <c r="D3004" s="28" t="str">
        <f aca="false">IF(OR($B3004="",$C3004=""),"",$C3004*IFERROR(INDEX(Setup!$C$47:$C$56,MATCH($B3004,Setup!$A$47:$A$56,0)),IFERROR(INDEX(Setup!$C$60:$C$89,MATCH($B3004,Setup!$A$60:$A$89,0)),"")))</f>
        <v/>
      </c>
      <c r="E3004" s="42"/>
      <c r="F3004" s="42"/>
    </row>
    <row r="3005" customFormat="false" ht="15" hidden="false" customHeight="true" outlineLevel="0" collapsed="false">
      <c r="A3005" s="42"/>
      <c r="B3005" s="42"/>
      <c r="C3005" s="42"/>
      <c r="D3005" s="28" t="str">
        <f aca="false">IF(OR($B3005="",$C3005=""),"",$C3005*IFERROR(INDEX(Setup!$C$47:$C$56,MATCH($B3005,Setup!$A$47:$A$56,0)),IFERROR(INDEX(Setup!$C$60:$C$89,MATCH($B3005,Setup!$A$60:$A$89,0)),"")))</f>
        <v/>
      </c>
      <c r="E3005" s="42"/>
      <c r="F3005" s="42"/>
    </row>
    <row r="3006" customFormat="false" ht="15" hidden="false" customHeight="true" outlineLevel="0" collapsed="false">
      <c r="A3006" s="42"/>
      <c r="B3006" s="42"/>
      <c r="C3006" s="42"/>
      <c r="D3006" s="28" t="str">
        <f aca="false">IF(OR($B3006="",$C3006=""),"",$C3006*IFERROR(INDEX(Setup!$C$47:$C$56,MATCH($B3006,Setup!$A$47:$A$56,0)),IFERROR(INDEX(Setup!$C$60:$C$89,MATCH($B3006,Setup!$A$60:$A$89,0)),"")))</f>
        <v/>
      </c>
      <c r="E3006" s="42"/>
      <c r="F3006" s="42"/>
    </row>
    <row r="3007" customFormat="false" ht="15" hidden="false" customHeight="true" outlineLevel="0" collapsed="false">
      <c r="A3007" s="42"/>
      <c r="B3007" s="42"/>
      <c r="C3007" s="42"/>
      <c r="D3007" s="28" t="str">
        <f aca="false">IF(OR($B3007="",$C3007=""),"",$C3007*IFERROR(INDEX(Setup!$C$47:$C$56,MATCH($B3007,Setup!$A$47:$A$56,0)),IFERROR(INDEX(Setup!$C$60:$C$89,MATCH($B3007,Setup!$A$60:$A$89,0)),"")))</f>
        <v/>
      </c>
      <c r="E3007" s="42"/>
      <c r="F3007" s="42"/>
    </row>
    <row r="3008" customFormat="false" ht="15" hidden="false" customHeight="true" outlineLevel="0" collapsed="false">
      <c r="A3008" s="42"/>
      <c r="B3008" s="42"/>
      <c r="C3008" s="42"/>
      <c r="D3008" s="28" t="str">
        <f aca="false">IF(OR($B3008="",$C3008=""),"",$C3008*IFERROR(INDEX(Setup!$C$47:$C$56,MATCH($B3008,Setup!$A$47:$A$56,0)),IFERROR(INDEX(Setup!$C$60:$C$89,MATCH($B3008,Setup!$A$60:$A$89,0)),"")))</f>
        <v/>
      </c>
      <c r="E3008" s="42"/>
      <c r="F3008" s="42"/>
    </row>
    <row r="3009" customFormat="false" ht="15" hidden="false" customHeight="true" outlineLevel="0" collapsed="false">
      <c r="A3009" s="42"/>
      <c r="B3009" s="42"/>
      <c r="C3009" s="42"/>
      <c r="D3009" s="28" t="str">
        <f aca="false">IF(OR($B3009="",$C3009=""),"",$C3009*IFERROR(INDEX(Setup!$C$47:$C$56,MATCH($B3009,Setup!$A$47:$A$56,0)),IFERROR(INDEX(Setup!$C$60:$C$89,MATCH($B3009,Setup!$A$60:$A$89,0)),"")))</f>
        <v/>
      </c>
      <c r="E3009" s="42"/>
      <c r="F3009" s="42"/>
    </row>
    <row r="3010" customFormat="false" ht="15" hidden="false" customHeight="true" outlineLevel="0" collapsed="false">
      <c r="A3010" s="42"/>
      <c r="B3010" s="42"/>
      <c r="C3010" s="42"/>
      <c r="D3010" s="28" t="str">
        <f aca="false">IF(OR($B3010="",$C3010=""),"",$C3010*IFERROR(INDEX(Setup!$C$47:$C$56,MATCH($B3010,Setup!$A$47:$A$56,0)),IFERROR(INDEX(Setup!$C$60:$C$89,MATCH($B3010,Setup!$A$60:$A$89,0)),"")))</f>
        <v/>
      </c>
      <c r="E3010" s="42"/>
      <c r="F3010" s="42"/>
    </row>
    <row r="3011" customFormat="false" ht="15" hidden="false" customHeight="true" outlineLevel="0" collapsed="false">
      <c r="A3011" s="42"/>
      <c r="B3011" s="42"/>
      <c r="C3011" s="42"/>
      <c r="D3011" s="28" t="str">
        <f aca="false">IF(OR($B3011="",$C3011=""),"",$C3011*IFERROR(INDEX(Setup!$C$47:$C$56,MATCH($B3011,Setup!$A$47:$A$56,0)),IFERROR(INDEX(Setup!$C$60:$C$89,MATCH($B3011,Setup!$A$60:$A$89,0)),"")))</f>
        <v/>
      </c>
      <c r="E3011" s="42"/>
      <c r="F3011" s="42"/>
    </row>
    <row r="3012" customFormat="false" ht="15" hidden="false" customHeight="true" outlineLevel="0" collapsed="false">
      <c r="A3012" s="42"/>
      <c r="B3012" s="42"/>
      <c r="C3012" s="42"/>
      <c r="D3012" s="28" t="str">
        <f aca="false">IF(OR($B3012="",$C3012=""),"",$C3012*IFERROR(INDEX(Setup!$C$47:$C$56,MATCH($B3012,Setup!$A$47:$A$56,0)),IFERROR(INDEX(Setup!$C$60:$C$89,MATCH($B3012,Setup!$A$60:$A$89,0)),"")))</f>
        <v/>
      </c>
      <c r="E3012" s="42"/>
      <c r="F3012" s="42"/>
    </row>
    <row r="3013" customFormat="false" ht="15" hidden="false" customHeight="true" outlineLevel="0" collapsed="false">
      <c r="A3013" s="42"/>
      <c r="B3013" s="42"/>
      <c r="C3013" s="42"/>
      <c r="D3013" s="28" t="str">
        <f aca="false">IF(OR($B3013="",$C3013=""),"",$C3013*IFERROR(INDEX(Setup!$C$47:$C$56,MATCH($B3013,Setup!$A$47:$A$56,0)),IFERROR(INDEX(Setup!$C$60:$C$89,MATCH($B3013,Setup!$A$60:$A$89,0)),"")))</f>
        <v/>
      </c>
      <c r="E3013" s="42"/>
      <c r="F3013" s="42"/>
    </row>
    <row r="3014" customFormat="false" ht="15" hidden="false" customHeight="true" outlineLevel="0" collapsed="false">
      <c r="A3014" s="42"/>
      <c r="B3014" s="42"/>
      <c r="C3014" s="42"/>
      <c r="D3014" s="28" t="str">
        <f aca="false">IF(OR($B3014="",$C3014=""),"",$C3014*IFERROR(INDEX(Setup!$C$47:$C$56,MATCH($B3014,Setup!$A$47:$A$56,0)),IFERROR(INDEX(Setup!$C$60:$C$89,MATCH($B3014,Setup!$A$60:$A$89,0)),"")))</f>
        <v/>
      </c>
      <c r="E3014" s="42"/>
      <c r="F3014" s="42"/>
    </row>
    <row r="3015" customFormat="false" ht="15" hidden="false" customHeight="true" outlineLevel="0" collapsed="false">
      <c r="A3015" s="42"/>
      <c r="B3015" s="42"/>
      <c r="C3015" s="42"/>
      <c r="D3015" s="28" t="str">
        <f aca="false">IF(OR($B3015="",$C3015=""),"",$C3015*IFERROR(INDEX(Setup!$C$47:$C$56,MATCH($B3015,Setup!$A$47:$A$56,0)),IFERROR(INDEX(Setup!$C$60:$C$89,MATCH($B3015,Setup!$A$60:$A$89,0)),"")))</f>
        <v/>
      </c>
      <c r="E3015" s="42"/>
      <c r="F3015" s="42"/>
    </row>
    <row r="3016" customFormat="false" ht="15" hidden="false" customHeight="true" outlineLevel="0" collapsed="false">
      <c r="A3016" s="42"/>
      <c r="B3016" s="42"/>
      <c r="C3016" s="42"/>
      <c r="D3016" s="28" t="str">
        <f aca="false">IF(OR($B3016="",$C3016=""),"",$C3016*IFERROR(INDEX(Setup!$C$47:$C$56,MATCH($B3016,Setup!$A$47:$A$56,0)),IFERROR(INDEX(Setup!$C$60:$C$89,MATCH($B3016,Setup!$A$60:$A$89,0)),"")))</f>
        <v/>
      </c>
      <c r="E3016" s="42"/>
      <c r="F3016" s="42"/>
    </row>
    <row r="3017" customFormat="false" ht="15" hidden="false" customHeight="true" outlineLevel="0" collapsed="false">
      <c r="A3017" s="42"/>
      <c r="B3017" s="42"/>
      <c r="C3017" s="42"/>
      <c r="D3017" s="28" t="str">
        <f aca="false">IF(OR($B3017="",$C3017=""),"",$C3017*IFERROR(INDEX(Setup!$C$47:$C$56,MATCH($B3017,Setup!$A$47:$A$56,0)),IFERROR(INDEX(Setup!$C$60:$C$89,MATCH($B3017,Setup!$A$60:$A$89,0)),"")))</f>
        <v/>
      </c>
      <c r="E3017" s="42"/>
      <c r="F3017" s="42"/>
    </row>
    <row r="3018" customFormat="false" ht="15" hidden="false" customHeight="true" outlineLevel="0" collapsed="false">
      <c r="A3018" s="42"/>
      <c r="B3018" s="42"/>
      <c r="C3018" s="42"/>
      <c r="D3018" s="28" t="str">
        <f aca="false">IF(OR($B3018="",$C3018=""),"",$C3018*IFERROR(INDEX(Setup!$C$47:$C$56,MATCH($B3018,Setup!$A$47:$A$56,0)),IFERROR(INDEX(Setup!$C$60:$C$89,MATCH($B3018,Setup!$A$60:$A$89,0)),"")))</f>
        <v/>
      </c>
      <c r="E3018" s="42"/>
      <c r="F3018" s="42"/>
    </row>
    <row r="3019" customFormat="false" ht="15" hidden="false" customHeight="true" outlineLevel="0" collapsed="false">
      <c r="A3019" s="42"/>
      <c r="B3019" s="42"/>
      <c r="C3019" s="42"/>
      <c r="D3019" s="28" t="str">
        <f aca="false">IF(OR($B3019="",$C3019=""),"",$C3019*IFERROR(INDEX(Setup!$C$47:$C$56,MATCH($B3019,Setup!$A$47:$A$56,0)),IFERROR(INDEX(Setup!$C$60:$C$89,MATCH($B3019,Setup!$A$60:$A$89,0)),"")))</f>
        <v/>
      </c>
      <c r="E3019" s="42"/>
      <c r="F3019" s="42"/>
    </row>
    <row r="3020" customFormat="false" ht="15" hidden="false" customHeight="true" outlineLevel="0" collapsed="false">
      <c r="A3020" s="42"/>
      <c r="B3020" s="42"/>
      <c r="C3020" s="42"/>
      <c r="D3020" s="28" t="str">
        <f aca="false">IF(OR($B3020="",$C3020=""),"",$C3020*IFERROR(INDEX(Setup!$C$47:$C$56,MATCH($B3020,Setup!$A$47:$A$56,0)),IFERROR(INDEX(Setup!$C$60:$C$89,MATCH($B3020,Setup!$A$60:$A$89,0)),"")))</f>
        <v/>
      </c>
      <c r="E3020" s="42"/>
      <c r="F3020" s="42"/>
    </row>
    <row r="3021" customFormat="false" ht="15" hidden="false" customHeight="true" outlineLevel="0" collapsed="false">
      <c r="A3021" s="42"/>
      <c r="B3021" s="42"/>
      <c r="C3021" s="42"/>
      <c r="D3021" s="28" t="str">
        <f aca="false">IF(OR($B3021="",$C3021=""),"",$C3021*IFERROR(INDEX(Setup!$C$47:$C$56,MATCH($B3021,Setup!$A$47:$A$56,0)),IFERROR(INDEX(Setup!$C$60:$C$89,MATCH($B3021,Setup!$A$60:$A$89,0)),"")))</f>
        <v/>
      </c>
      <c r="E3021" s="42"/>
      <c r="F3021" s="42"/>
    </row>
    <row r="3022" customFormat="false" ht="15" hidden="false" customHeight="true" outlineLevel="0" collapsed="false">
      <c r="A3022" s="42"/>
      <c r="B3022" s="42"/>
      <c r="C3022" s="42"/>
      <c r="D3022" s="28" t="str">
        <f aca="false">IF(OR($B3022="",$C3022=""),"",$C3022*IFERROR(INDEX(Setup!$C$47:$C$56,MATCH($B3022,Setup!$A$47:$A$56,0)),IFERROR(INDEX(Setup!$C$60:$C$89,MATCH($B3022,Setup!$A$60:$A$89,0)),"")))</f>
        <v/>
      </c>
      <c r="E3022" s="42"/>
      <c r="F3022" s="42"/>
    </row>
    <row r="3023" customFormat="false" ht="15" hidden="false" customHeight="true" outlineLevel="0" collapsed="false">
      <c r="A3023" s="42"/>
      <c r="B3023" s="42"/>
      <c r="C3023" s="42"/>
      <c r="D3023" s="28" t="str">
        <f aca="false">IF(OR($B3023="",$C3023=""),"",$C3023*IFERROR(INDEX(Setup!$C$47:$C$56,MATCH($B3023,Setup!$A$47:$A$56,0)),IFERROR(INDEX(Setup!$C$60:$C$89,MATCH($B3023,Setup!$A$60:$A$89,0)),"")))</f>
        <v/>
      </c>
      <c r="E3023" s="42"/>
      <c r="F3023" s="42"/>
    </row>
    <row r="3024" customFormat="false" ht="15" hidden="false" customHeight="true" outlineLevel="0" collapsed="false">
      <c r="A3024" s="42"/>
      <c r="B3024" s="42"/>
      <c r="C3024" s="42"/>
      <c r="D3024" s="28" t="str">
        <f aca="false">IF(OR($B3024="",$C3024=""),"",$C3024*IFERROR(INDEX(Setup!$C$47:$C$56,MATCH($B3024,Setup!$A$47:$A$56,0)),IFERROR(INDEX(Setup!$C$60:$C$89,MATCH($B3024,Setup!$A$60:$A$89,0)),"")))</f>
        <v/>
      </c>
      <c r="E3024" s="42"/>
      <c r="F3024" s="42"/>
    </row>
    <row r="3025" customFormat="false" ht="15" hidden="false" customHeight="true" outlineLevel="0" collapsed="false">
      <c r="A3025" s="42"/>
      <c r="B3025" s="42"/>
      <c r="C3025" s="42"/>
      <c r="D3025" s="28" t="str">
        <f aca="false">IF(OR($B3025="",$C3025=""),"",$C3025*IFERROR(INDEX(Setup!$C$47:$C$56,MATCH($B3025,Setup!$A$47:$A$56,0)),IFERROR(INDEX(Setup!$C$60:$C$89,MATCH($B3025,Setup!$A$60:$A$89,0)),"")))</f>
        <v/>
      </c>
      <c r="E3025" s="42"/>
      <c r="F3025" s="42"/>
    </row>
    <row r="3026" customFormat="false" ht="15" hidden="false" customHeight="true" outlineLevel="0" collapsed="false">
      <c r="A3026" s="42"/>
      <c r="B3026" s="42"/>
      <c r="C3026" s="42"/>
      <c r="D3026" s="28" t="str">
        <f aca="false">IF(OR($B3026="",$C3026=""),"",$C3026*IFERROR(INDEX(Setup!$C$47:$C$56,MATCH($B3026,Setup!$A$47:$A$56,0)),IFERROR(INDEX(Setup!$C$60:$C$89,MATCH($B3026,Setup!$A$60:$A$89,0)),"")))</f>
        <v/>
      </c>
      <c r="E3026" s="42"/>
      <c r="F3026" s="42"/>
    </row>
    <row r="3027" customFormat="false" ht="15" hidden="false" customHeight="true" outlineLevel="0" collapsed="false">
      <c r="A3027" s="42"/>
      <c r="B3027" s="42"/>
      <c r="C3027" s="42"/>
      <c r="D3027" s="28" t="str">
        <f aca="false">IF(OR($B3027="",$C3027=""),"",$C3027*IFERROR(INDEX(Setup!$C$47:$C$56,MATCH($B3027,Setup!$A$47:$A$56,0)),IFERROR(INDEX(Setup!$C$60:$C$89,MATCH($B3027,Setup!$A$60:$A$89,0)),"")))</f>
        <v/>
      </c>
      <c r="E3027" s="42"/>
      <c r="F3027" s="42"/>
    </row>
    <row r="3028" customFormat="false" ht="15" hidden="false" customHeight="true" outlineLevel="0" collapsed="false">
      <c r="A3028" s="42"/>
      <c r="B3028" s="42"/>
      <c r="C3028" s="42"/>
      <c r="D3028" s="28" t="str">
        <f aca="false">IF(OR($B3028="",$C3028=""),"",$C3028*IFERROR(INDEX(Setup!$C$47:$C$56,MATCH($B3028,Setup!$A$47:$A$56,0)),IFERROR(INDEX(Setup!$C$60:$C$89,MATCH($B3028,Setup!$A$60:$A$89,0)),"")))</f>
        <v/>
      </c>
      <c r="E3028" s="42"/>
      <c r="F3028" s="42"/>
    </row>
    <row r="3029" customFormat="false" ht="15" hidden="false" customHeight="true" outlineLevel="0" collapsed="false">
      <c r="A3029" s="42"/>
      <c r="B3029" s="42"/>
      <c r="C3029" s="42"/>
      <c r="D3029" s="28" t="str">
        <f aca="false">IF(OR($B3029="",$C3029=""),"",$C3029*IFERROR(INDEX(Setup!$C$47:$C$56,MATCH($B3029,Setup!$A$47:$A$56,0)),IFERROR(INDEX(Setup!$C$60:$C$89,MATCH($B3029,Setup!$A$60:$A$89,0)),"")))</f>
        <v/>
      </c>
      <c r="E3029" s="42"/>
      <c r="F3029" s="42"/>
    </row>
    <row r="3030" customFormat="false" ht="15" hidden="false" customHeight="true" outlineLevel="0" collapsed="false">
      <c r="A3030" s="42"/>
      <c r="B3030" s="42"/>
      <c r="C3030" s="42"/>
      <c r="D3030" s="28" t="str">
        <f aca="false">IF(OR($B3030="",$C3030=""),"",$C3030*IFERROR(INDEX(Setup!$C$47:$C$56,MATCH($B3030,Setup!$A$47:$A$56,0)),IFERROR(INDEX(Setup!$C$60:$C$89,MATCH($B3030,Setup!$A$60:$A$89,0)),"")))</f>
        <v/>
      </c>
      <c r="E3030" s="42"/>
      <c r="F3030" s="42"/>
    </row>
    <row r="3031" customFormat="false" ht="15" hidden="false" customHeight="true" outlineLevel="0" collapsed="false">
      <c r="A3031" s="42"/>
      <c r="B3031" s="42"/>
      <c r="C3031" s="42"/>
      <c r="D3031" s="28" t="str">
        <f aca="false">IF(OR($B3031="",$C3031=""),"",$C3031*IFERROR(INDEX(Setup!$C$47:$C$56,MATCH($B3031,Setup!$A$47:$A$56,0)),IFERROR(INDEX(Setup!$C$60:$C$89,MATCH($B3031,Setup!$A$60:$A$89,0)),"")))</f>
        <v/>
      </c>
      <c r="E3031" s="42"/>
      <c r="F3031" s="42"/>
    </row>
    <row r="3032" customFormat="false" ht="15" hidden="false" customHeight="true" outlineLevel="0" collapsed="false">
      <c r="A3032" s="42"/>
      <c r="B3032" s="42"/>
      <c r="C3032" s="42"/>
      <c r="D3032" s="28" t="str">
        <f aca="false">IF(OR($B3032="",$C3032=""),"",$C3032*IFERROR(INDEX(Setup!$C$47:$C$56,MATCH($B3032,Setup!$A$47:$A$56,0)),IFERROR(INDEX(Setup!$C$60:$C$89,MATCH($B3032,Setup!$A$60:$A$89,0)),"")))</f>
        <v/>
      </c>
      <c r="E3032" s="42"/>
      <c r="F3032" s="42"/>
    </row>
    <row r="3033" customFormat="false" ht="15" hidden="false" customHeight="true" outlineLevel="0" collapsed="false">
      <c r="A3033" s="42"/>
      <c r="B3033" s="42"/>
      <c r="C3033" s="42"/>
      <c r="D3033" s="28" t="str">
        <f aca="false">IF(OR($B3033="",$C3033=""),"",$C3033*IFERROR(INDEX(Setup!$C$47:$C$56,MATCH($B3033,Setup!$A$47:$A$56,0)),IFERROR(INDEX(Setup!$C$60:$C$89,MATCH($B3033,Setup!$A$60:$A$89,0)),"")))</f>
        <v/>
      </c>
      <c r="E3033" s="42"/>
      <c r="F3033" s="42"/>
    </row>
    <row r="3034" customFormat="false" ht="15" hidden="false" customHeight="true" outlineLevel="0" collapsed="false">
      <c r="A3034" s="42"/>
      <c r="B3034" s="42"/>
      <c r="C3034" s="42"/>
      <c r="D3034" s="28" t="str">
        <f aca="false">IF(OR($B3034="",$C3034=""),"",$C3034*IFERROR(INDEX(Setup!$C$47:$C$56,MATCH($B3034,Setup!$A$47:$A$56,0)),IFERROR(INDEX(Setup!$C$60:$C$89,MATCH($B3034,Setup!$A$60:$A$89,0)),"")))</f>
        <v/>
      </c>
      <c r="E3034" s="42"/>
      <c r="F3034" s="42"/>
    </row>
    <row r="3035" customFormat="false" ht="15" hidden="false" customHeight="true" outlineLevel="0" collapsed="false">
      <c r="A3035" s="42"/>
      <c r="B3035" s="42"/>
      <c r="C3035" s="42"/>
      <c r="D3035" s="28" t="str">
        <f aca="false">IF(OR($B3035="",$C3035=""),"",$C3035*IFERROR(INDEX(Setup!$C$47:$C$56,MATCH($B3035,Setup!$A$47:$A$56,0)),IFERROR(INDEX(Setup!$C$60:$C$89,MATCH($B3035,Setup!$A$60:$A$89,0)),"")))</f>
        <v/>
      </c>
      <c r="E3035" s="42"/>
      <c r="F3035" s="42"/>
    </row>
    <row r="3036" customFormat="false" ht="15" hidden="false" customHeight="true" outlineLevel="0" collapsed="false">
      <c r="A3036" s="42"/>
      <c r="B3036" s="42"/>
      <c r="C3036" s="42"/>
      <c r="D3036" s="28" t="str">
        <f aca="false">IF(OR($B3036="",$C3036=""),"",$C3036*IFERROR(INDEX(Setup!$C$47:$C$56,MATCH($B3036,Setup!$A$47:$A$56,0)),IFERROR(INDEX(Setup!$C$60:$C$89,MATCH($B3036,Setup!$A$60:$A$89,0)),"")))</f>
        <v/>
      </c>
      <c r="E3036" s="42"/>
      <c r="F3036" s="42"/>
    </row>
    <row r="3037" customFormat="false" ht="15" hidden="false" customHeight="true" outlineLevel="0" collapsed="false">
      <c r="A3037" s="42"/>
      <c r="B3037" s="42"/>
      <c r="C3037" s="42"/>
      <c r="D3037" s="28" t="str">
        <f aca="false">IF(OR($B3037="",$C3037=""),"",$C3037*IFERROR(INDEX(Setup!$C$47:$C$56,MATCH($B3037,Setup!$A$47:$A$56,0)),IFERROR(INDEX(Setup!$C$60:$C$89,MATCH($B3037,Setup!$A$60:$A$89,0)),"")))</f>
        <v/>
      </c>
      <c r="E3037" s="42"/>
      <c r="F3037" s="42"/>
    </row>
    <row r="3038" customFormat="false" ht="15" hidden="false" customHeight="true" outlineLevel="0" collapsed="false">
      <c r="A3038" s="42"/>
      <c r="B3038" s="42"/>
      <c r="C3038" s="42"/>
      <c r="D3038" s="28" t="str">
        <f aca="false">IF(OR($B3038="",$C3038=""),"",$C3038*IFERROR(INDEX(Setup!$C$47:$C$56,MATCH($B3038,Setup!$A$47:$A$56,0)),IFERROR(INDEX(Setup!$C$60:$C$89,MATCH($B3038,Setup!$A$60:$A$89,0)),"")))</f>
        <v/>
      </c>
      <c r="E3038" s="42"/>
      <c r="F3038" s="42"/>
    </row>
    <row r="3039" customFormat="false" ht="15" hidden="false" customHeight="true" outlineLevel="0" collapsed="false">
      <c r="A3039" s="42"/>
      <c r="B3039" s="42"/>
      <c r="C3039" s="42"/>
      <c r="D3039" s="28" t="str">
        <f aca="false">IF(OR($B3039="",$C3039=""),"",$C3039*IFERROR(INDEX(Setup!$C$47:$C$56,MATCH($B3039,Setup!$A$47:$A$56,0)),IFERROR(INDEX(Setup!$C$60:$C$89,MATCH($B3039,Setup!$A$60:$A$89,0)),"")))</f>
        <v/>
      </c>
      <c r="E3039" s="42"/>
      <c r="F3039" s="42"/>
    </row>
    <row r="3040" customFormat="false" ht="15" hidden="false" customHeight="true" outlineLevel="0" collapsed="false">
      <c r="A3040" s="42"/>
      <c r="B3040" s="42"/>
      <c r="C3040" s="42"/>
      <c r="D3040" s="28" t="str">
        <f aca="false">IF(OR($B3040="",$C3040=""),"",$C3040*IFERROR(INDEX(Setup!$C$47:$C$56,MATCH($B3040,Setup!$A$47:$A$56,0)),IFERROR(INDEX(Setup!$C$60:$C$89,MATCH($B3040,Setup!$A$60:$A$89,0)),"")))</f>
        <v/>
      </c>
      <c r="E3040" s="42"/>
      <c r="F3040" s="42"/>
    </row>
    <row r="3041" customFormat="false" ht="15" hidden="false" customHeight="true" outlineLevel="0" collapsed="false">
      <c r="A3041" s="42"/>
      <c r="B3041" s="42"/>
      <c r="C3041" s="42"/>
      <c r="D3041" s="28" t="str">
        <f aca="false">IF(OR($B3041="",$C3041=""),"",$C3041*IFERROR(INDEX(Setup!$C$47:$C$56,MATCH($B3041,Setup!$A$47:$A$56,0)),IFERROR(INDEX(Setup!$C$60:$C$89,MATCH($B3041,Setup!$A$60:$A$89,0)),"")))</f>
        <v/>
      </c>
      <c r="E3041" s="42"/>
      <c r="F3041" s="42"/>
    </row>
    <row r="3042" customFormat="false" ht="15" hidden="false" customHeight="true" outlineLevel="0" collapsed="false">
      <c r="A3042" s="42"/>
      <c r="B3042" s="42"/>
      <c r="C3042" s="42"/>
      <c r="D3042" s="28" t="str">
        <f aca="false">IF(OR($B3042="",$C3042=""),"",$C3042*IFERROR(INDEX(Setup!$C$47:$C$56,MATCH($B3042,Setup!$A$47:$A$56,0)),IFERROR(INDEX(Setup!$C$60:$C$89,MATCH($B3042,Setup!$A$60:$A$89,0)),"")))</f>
        <v/>
      </c>
      <c r="E3042" s="42"/>
      <c r="F3042" s="42"/>
    </row>
    <row r="3043" customFormat="false" ht="15" hidden="false" customHeight="true" outlineLevel="0" collapsed="false">
      <c r="A3043" s="42"/>
      <c r="B3043" s="42"/>
      <c r="C3043" s="42"/>
      <c r="D3043" s="28" t="str">
        <f aca="false">IF(OR($B3043="",$C3043=""),"",$C3043*IFERROR(INDEX(Setup!$C$47:$C$56,MATCH($B3043,Setup!$A$47:$A$56,0)),IFERROR(INDEX(Setup!$C$60:$C$89,MATCH($B3043,Setup!$A$60:$A$89,0)),"")))</f>
        <v/>
      </c>
      <c r="E3043" s="42"/>
      <c r="F3043" s="42"/>
    </row>
    <row r="3044" customFormat="false" ht="15" hidden="false" customHeight="true" outlineLevel="0" collapsed="false">
      <c r="A3044" s="42"/>
      <c r="B3044" s="42"/>
      <c r="C3044" s="42"/>
      <c r="D3044" s="28" t="str">
        <f aca="false">IF(OR($B3044="",$C3044=""),"",$C3044*IFERROR(INDEX(Setup!$C$47:$C$56,MATCH($B3044,Setup!$A$47:$A$56,0)),IFERROR(INDEX(Setup!$C$60:$C$89,MATCH($B3044,Setup!$A$60:$A$89,0)),"")))</f>
        <v/>
      </c>
      <c r="E3044" s="42"/>
      <c r="F3044" s="42"/>
    </row>
    <row r="3045" customFormat="false" ht="15" hidden="false" customHeight="true" outlineLevel="0" collapsed="false">
      <c r="A3045" s="42"/>
      <c r="B3045" s="42"/>
      <c r="C3045" s="42"/>
      <c r="D3045" s="28" t="str">
        <f aca="false">IF(OR($B3045="",$C3045=""),"",$C3045*IFERROR(INDEX(Setup!$C$47:$C$56,MATCH($B3045,Setup!$A$47:$A$56,0)),IFERROR(INDEX(Setup!$C$60:$C$89,MATCH($B3045,Setup!$A$60:$A$89,0)),"")))</f>
        <v/>
      </c>
      <c r="E3045" s="42"/>
      <c r="F3045" s="42"/>
    </row>
    <row r="3046" customFormat="false" ht="15" hidden="false" customHeight="true" outlineLevel="0" collapsed="false">
      <c r="A3046" s="42"/>
      <c r="B3046" s="42"/>
      <c r="C3046" s="42"/>
      <c r="D3046" s="28" t="str">
        <f aca="false">IF(OR($B3046="",$C3046=""),"",$C3046*IFERROR(INDEX(Setup!$C$47:$C$56,MATCH($B3046,Setup!$A$47:$A$56,0)),IFERROR(INDEX(Setup!$C$60:$C$89,MATCH($B3046,Setup!$A$60:$A$89,0)),"")))</f>
        <v/>
      </c>
      <c r="E3046" s="42"/>
      <c r="F3046" s="42"/>
    </row>
    <row r="3047" customFormat="false" ht="15" hidden="false" customHeight="true" outlineLevel="0" collapsed="false">
      <c r="A3047" s="42"/>
      <c r="B3047" s="42"/>
      <c r="C3047" s="42"/>
      <c r="D3047" s="28" t="str">
        <f aca="false">IF(OR($B3047="",$C3047=""),"",$C3047*IFERROR(INDEX(Setup!$C$47:$C$56,MATCH($B3047,Setup!$A$47:$A$56,0)),IFERROR(INDEX(Setup!$C$60:$C$89,MATCH($B3047,Setup!$A$60:$A$89,0)),"")))</f>
        <v/>
      </c>
      <c r="E3047" s="42"/>
      <c r="F3047" s="42"/>
    </row>
    <row r="3048" customFormat="false" ht="15" hidden="false" customHeight="true" outlineLevel="0" collapsed="false">
      <c r="A3048" s="42"/>
      <c r="B3048" s="42"/>
      <c r="C3048" s="42"/>
      <c r="D3048" s="28" t="str">
        <f aca="false">IF(OR($B3048="",$C3048=""),"",$C3048*IFERROR(INDEX(Setup!$C$47:$C$56,MATCH($B3048,Setup!$A$47:$A$56,0)),IFERROR(INDEX(Setup!$C$60:$C$89,MATCH($B3048,Setup!$A$60:$A$89,0)),"")))</f>
        <v/>
      </c>
      <c r="E3048" s="42"/>
      <c r="F3048" s="42"/>
    </row>
    <row r="3049" customFormat="false" ht="15" hidden="false" customHeight="true" outlineLevel="0" collapsed="false">
      <c r="A3049" s="42"/>
      <c r="B3049" s="42"/>
      <c r="C3049" s="42"/>
      <c r="D3049" s="28" t="str">
        <f aca="false">IF(OR($B3049="",$C3049=""),"",$C3049*IFERROR(INDEX(Setup!$C$47:$C$56,MATCH($B3049,Setup!$A$47:$A$56,0)),IFERROR(INDEX(Setup!$C$60:$C$89,MATCH($B3049,Setup!$A$60:$A$89,0)),"")))</f>
        <v/>
      </c>
      <c r="E3049" s="42"/>
      <c r="F3049" s="42"/>
    </row>
    <row r="3050" customFormat="false" ht="15" hidden="false" customHeight="true" outlineLevel="0" collapsed="false">
      <c r="A3050" s="42"/>
      <c r="B3050" s="42"/>
      <c r="C3050" s="42"/>
      <c r="D3050" s="28" t="str">
        <f aca="false">IF(OR($B3050="",$C3050=""),"",$C3050*IFERROR(INDEX(Setup!$C$47:$C$56,MATCH($B3050,Setup!$A$47:$A$56,0)),IFERROR(INDEX(Setup!$C$60:$C$89,MATCH($B3050,Setup!$A$60:$A$89,0)),"")))</f>
        <v/>
      </c>
      <c r="E3050" s="42"/>
      <c r="F3050" s="42"/>
    </row>
    <row r="3051" customFormat="false" ht="15" hidden="false" customHeight="true" outlineLevel="0" collapsed="false">
      <c r="A3051" s="42"/>
      <c r="B3051" s="42"/>
      <c r="C3051" s="42"/>
      <c r="D3051" s="28" t="str">
        <f aca="false">IF(OR($B3051="",$C3051=""),"",$C3051*IFERROR(INDEX(Setup!$C$47:$C$56,MATCH($B3051,Setup!$A$47:$A$56,0)),IFERROR(INDEX(Setup!$C$60:$C$89,MATCH($B3051,Setup!$A$60:$A$89,0)),"")))</f>
        <v/>
      </c>
      <c r="E3051" s="42"/>
      <c r="F3051" s="42"/>
    </row>
    <row r="3052" customFormat="false" ht="15" hidden="false" customHeight="true" outlineLevel="0" collapsed="false">
      <c r="A3052" s="42"/>
      <c r="B3052" s="42"/>
      <c r="C3052" s="42"/>
      <c r="D3052" s="28" t="str">
        <f aca="false">IF(OR($B3052="",$C3052=""),"",$C3052*IFERROR(INDEX(Setup!$C$47:$C$56,MATCH($B3052,Setup!$A$47:$A$56,0)),IFERROR(INDEX(Setup!$C$60:$C$89,MATCH($B3052,Setup!$A$60:$A$89,0)),"")))</f>
        <v/>
      </c>
      <c r="E3052" s="42"/>
      <c r="F3052" s="42"/>
    </row>
    <row r="3053" customFormat="false" ht="15" hidden="false" customHeight="true" outlineLevel="0" collapsed="false">
      <c r="A3053" s="42"/>
      <c r="B3053" s="42"/>
      <c r="C3053" s="42"/>
      <c r="D3053" s="28" t="str">
        <f aca="false">IF(OR($B3053="",$C3053=""),"",$C3053*IFERROR(INDEX(Setup!$C$47:$C$56,MATCH($B3053,Setup!$A$47:$A$56,0)),IFERROR(INDEX(Setup!$C$60:$C$89,MATCH($B3053,Setup!$A$60:$A$89,0)),"")))</f>
        <v/>
      </c>
      <c r="E3053" s="42"/>
      <c r="F3053" s="42"/>
    </row>
    <row r="3054" customFormat="false" ht="15" hidden="false" customHeight="true" outlineLevel="0" collapsed="false">
      <c r="A3054" s="42"/>
      <c r="B3054" s="42"/>
      <c r="C3054" s="42"/>
      <c r="D3054" s="28" t="str">
        <f aca="false">IF(OR($B3054="",$C3054=""),"",$C3054*IFERROR(INDEX(Setup!$C$47:$C$56,MATCH($B3054,Setup!$A$47:$A$56,0)),IFERROR(INDEX(Setup!$C$60:$C$89,MATCH($B3054,Setup!$A$60:$A$89,0)),"")))</f>
        <v/>
      </c>
      <c r="E3054" s="42"/>
      <c r="F3054" s="42"/>
    </row>
    <row r="3055" customFormat="false" ht="15" hidden="false" customHeight="true" outlineLevel="0" collapsed="false">
      <c r="A3055" s="42"/>
      <c r="B3055" s="42"/>
      <c r="C3055" s="42"/>
      <c r="D3055" s="28" t="str">
        <f aca="false">IF(OR($B3055="",$C3055=""),"",$C3055*IFERROR(INDEX(Setup!$C$47:$C$56,MATCH($B3055,Setup!$A$47:$A$56,0)),IFERROR(INDEX(Setup!$C$60:$C$89,MATCH($B3055,Setup!$A$60:$A$89,0)),"")))</f>
        <v/>
      </c>
      <c r="E3055" s="42"/>
      <c r="F3055" s="42"/>
    </row>
    <row r="3056" customFormat="false" ht="15" hidden="false" customHeight="true" outlineLevel="0" collapsed="false">
      <c r="A3056" s="42"/>
      <c r="B3056" s="42"/>
      <c r="C3056" s="42"/>
      <c r="D3056" s="28" t="str">
        <f aca="false">IF(OR($B3056="",$C3056=""),"",$C3056*IFERROR(INDEX(Setup!$C$47:$C$56,MATCH($B3056,Setup!$A$47:$A$56,0)),IFERROR(INDEX(Setup!$C$60:$C$89,MATCH($B3056,Setup!$A$60:$A$89,0)),"")))</f>
        <v/>
      </c>
      <c r="E3056" s="42"/>
      <c r="F3056" s="42"/>
    </row>
    <row r="3057" customFormat="false" ht="15" hidden="false" customHeight="true" outlineLevel="0" collapsed="false">
      <c r="A3057" s="42"/>
      <c r="B3057" s="42"/>
      <c r="C3057" s="42"/>
      <c r="D3057" s="28" t="str">
        <f aca="false">IF(OR($B3057="",$C3057=""),"",$C3057*IFERROR(INDEX(Setup!$C$47:$C$56,MATCH($B3057,Setup!$A$47:$A$56,0)),IFERROR(INDEX(Setup!$C$60:$C$89,MATCH($B3057,Setup!$A$60:$A$89,0)),"")))</f>
        <v/>
      </c>
      <c r="E3057" s="42"/>
      <c r="F3057" s="42"/>
    </row>
    <row r="3058" customFormat="false" ht="15" hidden="false" customHeight="true" outlineLevel="0" collapsed="false">
      <c r="A3058" s="42"/>
      <c r="B3058" s="42"/>
      <c r="C3058" s="42"/>
      <c r="D3058" s="28" t="str">
        <f aca="false">IF(OR($B3058="",$C3058=""),"",$C3058*IFERROR(INDEX(Setup!$C$47:$C$56,MATCH($B3058,Setup!$A$47:$A$56,0)),IFERROR(INDEX(Setup!$C$60:$C$89,MATCH($B3058,Setup!$A$60:$A$89,0)),"")))</f>
        <v/>
      </c>
      <c r="E3058" s="42"/>
      <c r="F3058" s="42"/>
    </row>
    <row r="3059" customFormat="false" ht="15" hidden="false" customHeight="true" outlineLevel="0" collapsed="false">
      <c r="A3059" s="42"/>
      <c r="B3059" s="42"/>
      <c r="C3059" s="42"/>
      <c r="D3059" s="28" t="str">
        <f aca="false">IF(OR($B3059="",$C3059=""),"",$C3059*IFERROR(INDEX(Setup!$C$47:$C$56,MATCH($B3059,Setup!$A$47:$A$56,0)),IFERROR(INDEX(Setup!$C$60:$C$89,MATCH($B3059,Setup!$A$60:$A$89,0)),"")))</f>
        <v/>
      </c>
      <c r="E3059" s="42"/>
      <c r="F3059" s="42"/>
    </row>
    <row r="3060" customFormat="false" ht="15" hidden="false" customHeight="true" outlineLevel="0" collapsed="false">
      <c r="A3060" s="42"/>
      <c r="B3060" s="42"/>
      <c r="C3060" s="42"/>
      <c r="D3060" s="28" t="str">
        <f aca="false">IF(OR($B3060="",$C3060=""),"",$C3060*IFERROR(INDEX(Setup!$C$47:$C$56,MATCH($B3060,Setup!$A$47:$A$56,0)),IFERROR(INDEX(Setup!$C$60:$C$89,MATCH($B3060,Setup!$A$60:$A$89,0)),"")))</f>
        <v/>
      </c>
      <c r="E3060" s="42"/>
      <c r="F3060" s="42"/>
    </row>
    <row r="3061" customFormat="false" ht="15" hidden="false" customHeight="true" outlineLevel="0" collapsed="false">
      <c r="A3061" s="42"/>
      <c r="B3061" s="42"/>
      <c r="C3061" s="42"/>
      <c r="D3061" s="28" t="str">
        <f aca="false">IF(OR($B3061="",$C3061=""),"",$C3061*IFERROR(INDEX(Setup!$C$47:$C$56,MATCH($B3061,Setup!$A$47:$A$56,0)),IFERROR(INDEX(Setup!$C$60:$C$89,MATCH($B3061,Setup!$A$60:$A$89,0)),"")))</f>
        <v/>
      </c>
      <c r="E3061" s="42"/>
      <c r="F3061" s="42"/>
    </row>
    <row r="3062" customFormat="false" ht="15" hidden="false" customHeight="true" outlineLevel="0" collapsed="false">
      <c r="A3062" s="42"/>
      <c r="B3062" s="42"/>
      <c r="C3062" s="42"/>
      <c r="D3062" s="28" t="str">
        <f aca="false">IF(OR($B3062="",$C3062=""),"",$C3062*IFERROR(INDEX(Setup!$C$47:$C$56,MATCH($B3062,Setup!$A$47:$A$56,0)),IFERROR(INDEX(Setup!$C$60:$C$89,MATCH($B3062,Setup!$A$60:$A$89,0)),"")))</f>
        <v/>
      </c>
      <c r="E3062" s="42"/>
      <c r="F3062" s="42"/>
    </row>
    <row r="3063" customFormat="false" ht="15" hidden="false" customHeight="true" outlineLevel="0" collapsed="false">
      <c r="A3063" s="42"/>
      <c r="B3063" s="42"/>
      <c r="C3063" s="42"/>
      <c r="D3063" s="28" t="str">
        <f aca="false">IF(OR($B3063="",$C3063=""),"",$C3063*IFERROR(INDEX(Setup!$C$47:$C$56,MATCH($B3063,Setup!$A$47:$A$56,0)),IFERROR(INDEX(Setup!$C$60:$C$89,MATCH($B3063,Setup!$A$60:$A$89,0)),"")))</f>
        <v/>
      </c>
      <c r="E3063" s="42"/>
      <c r="F3063" s="42"/>
    </row>
    <row r="3064" customFormat="false" ht="15" hidden="false" customHeight="true" outlineLevel="0" collapsed="false">
      <c r="A3064" s="42"/>
      <c r="B3064" s="42"/>
      <c r="C3064" s="42"/>
      <c r="D3064" s="28" t="str">
        <f aca="false">IF(OR($B3064="",$C3064=""),"",$C3064*IFERROR(INDEX(Setup!$C$47:$C$56,MATCH($B3064,Setup!$A$47:$A$56,0)),IFERROR(INDEX(Setup!$C$60:$C$89,MATCH($B3064,Setup!$A$60:$A$89,0)),"")))</f>
        <v/>
      </c>
      <c r="E3064" s="42"/>
      <c r="F3064" s="42"/>
    </row>
    <row r="3065" customFormat="false" ht="15" hidden="false" customHeight="true" outlineLevel="0" collapsed="false">
      <c r="A3065" s="42"/>
      <c r="B3065" s="42"/>
      <c r="C3065" s="42"/>
      <c r="D3065" s="28" t="str">
        <f aca="false">IF(OR($B3065="",$C3065=""),"",$C3065*IFERROR(INDEX(Setup!$C$47:$C$56,MATCH($B3065,Setup!$A$47:$A$56,0)),IFERROR(INDEX(Setup!$C$60:$C$89,MATCH($B3065,Setup!$A$60:$A$89,0)),"")))</f>
        <v/>
      </c>
      <c r="E3065" s="42"/>
      <c r="F3065" s="42"/>
    </row>
    <row r="3066" customFormat="false" ht="15" hidden="false" customHeight="true" outlineLevel="0" collapsed="false">
      <c r="A3066" s="42"/>
      <c r="B3066" s="42"/>
      <c r="C3066" s="42"/>
      <c r="D3066" s="28" t="str">
        <f aca="false">IF(OR($B3066="",$C3066=""),"",$C3066*IFERROR(INDEX(Setup!$C$47:$C$56,MATCH($B3066,Setup!$A$47:$A$56,0)),IFERROR(INDEX(Setup!$C$60:$C$89,MATCH($B3066,Setup!$A$60:$A$89,0)),"")))</f>
        <v/>
      </c>
      <c r="E3066" s="42"/>
      <c r="F3066" s="42"/>
    </row>
    <row r="3067" customFormat="false" ht="15" hidden="false" customHeight="true" outlineLevel="0" collapsed="false">
      <c r="A3067" s="42"/>
      <c r="B3067" s="42"/>
      <c r="C3067" s="42"/>
      <c r="D3067" s="28" t="str">
        <f aca="false">IF(OR($B3067="",$C3067=""),"",$C3067*IFERROR(INDEX(Setup!$C$47:$C$56,MATCH($B3067,Setup!$A$47:$A$56,0)),IFERROR(INDEX(Setup!$C$60:$C$89,MATCH($B3067,Setup!$A$60:$A$89,0)),"")))</f>
        <v/>
      </c>
      <c r="E3067" s="42"/>
      <c r="F3067" s="42"/>
    </row>
    <row r="3068" customFormat="false" ht="15" hidden="false" customHeight="true" outlineLevel="0" collapsed="false">
      <c r="A3068" s="42"/>
      <c r="B3068" s="42"/>
      <c r="C3068" s="42"/>
      <c r="D3068" s="28" t="str">
        <f aca="false">IF(OR($B3068="",$C3068=""),"",$C3068*IFERROR(INDEX(Setup!$C$47:$C$56,MATCH($B3068,Setup!$A$47:$A$56,0)),IFERROR(INDEX(Setup!$C$60:$C$89,MATCH($B3068,Setup!$A$60:$A$89,0)),"")))</f>
        <v/>
      </c>
      <c r="E3068" s="42"/>
      <c r="F3068" s="42"/>
    </row>
    <row r="3069" customFormat="false" ht="15" hidden="false" customHeight="true" outlineLevel="0" collapsed="false">
      <c r="A3069" s="42"/>
      <c r="B3069" s="42"/>
      <c r="C3069" s="42"/>
      <c r="D3069" s="28" t="str">
        <f aca="false">IF(OR($B3069="",$C3069=""),"",$C3069*IFERROR(INDEX(Setup!$C$47:$C$56,MATCH($B3069,Setup!$A$47:$A$56,0)),IFERROR(INDEX(Setup!$C$60:$C$89,MATCH($B3069,Setup!$A$60:$A$89,0)),"")))</f>
        <v/>
      </c>
      <c r="E3069" s="42"/>
      <c r="F3069" s="42"/>
    </row>
    <row r="3070" customFormat="false" ht="15" hidden="false" customHeight="true" outlineLevel="0" collapsed="false">
      <c r="A3070" s="42"/>
      <c r="B3070" s="42"/>
      <c r="C3070" s="42"/>
      <c r="D3070" s="28" t="str">
        <f aca="false">IF(OR($B3070="",$C3070=""),"",$C3070*IFERROR(INDEX(Setup!$C$47:$C$56,MATCH($B3070,Setup!$A$47:$A$56,0)),IFERROR(INDEX(Setup!$C$60:$C$89,MATCH($B3070,Setup!$A$60:$A$89,0)),"")))</f>
        <v/>
      </c>
      <c r="E3070" s="42"/>
      <c r="F3070" s="42"/>
    </row>
    <row r="3071" customFormat="false" ht="15" hidden="false" customHeight="true" outlineLevel="0" collapsed="false">
      <c r="A3071" s="42"/>
      <c r="B3071" s="42"/>
      <c r="C3071" s="42"/>
      <c r="D3071" s="28" t="str">
        <f aca="false">IF(OR($B3071="",$C3071=""),"",$C3071*IFERROR(INDEX(Setup!$C$47:$C$56,MATCH($B3071,Setup!$A$47:$A$56,0)),IFERROR(INDEX(Setup!$C$60:$C$89,MATCH($B3071,Setup!$A$60:$A$89,0)),"")))</f>
        <v/>
      </c>
      <c r="E3071" s="42"/>
      <c r="F3071" s="42"/>
    </row>
    <row r="3072" customFormat="false" ht="15" hidden="false" customHeight="true" outlineLevel="0" collapsed="false">
      <c r="A3072" s="42"/>
      <c r="B3072" s="42"/>
      <c r="C3072" s="42"/>
      <c r="D3072" s="28" t="str">
        <f aca="false">IF(OR($B3072="",$C3072=""),"",$C3072*IFERROR(INDEX(Setup!$C$47:$C$56,MATCH($B3072,Setup!$A$47:$A$56,0)),IFERROR(INDEX(Setup!$C$60:$C$89,MATCH($B3072,Setup!$A$60:$A$89,0)),"")))</f>
        <v/>
      </c>
      <c r="E3072" s="42"/>
      <c r="F3072" s="42"/>
    </row>
    <row r="3073" customFormat="false" ht="15" hidden="false" customHeight="true" outlineLevel="0" collapsed="false">
      <c r="A3073" s="42"/>
      <c r="B3073" s="42"/>
      <c r="C3073" s="42"/>
      <c r="D3073" s="28" t="str">
        <f aca="false">IF(OR($B3073="",$C3073=""),"",$C3073*IFERROR(INDEX(Setup!$C$47:$C$56,MATCH($B3073,Setup!$A$47:$A$56,0)),IFERROR(INDEX(Setup!$C$60:$C$89,MATCH($B3073,Setup!$A$60:$A$89,0)),"")))</f>
        <v/>
      </c>
      <c r="E3073" s="42"/>
      <c r="F3073" s="42"/>
    </row>
    <row r="3074" customFormat="false" ht="15" hidden="false" customHeight="true" outlineLevel="0" collapsed="false">
      <c r="A3074" s="42"/>
      <c r="B3074" s="42"/>
      <c r="C3074" s="42"/>
      <c r="D3074" s="28" t="str">
        <f aca="false">IF(OR($B3074="",$C3074=""),"",$C3074*IFERROR(INDEX(Setup!$C$47:$C$56,MATCH($B3074,Setup!$A$47:$A$56,0)),IFERROR(INDEX(Setup!$C$60:$C$89,MATCH($B3074,Setup!$A$60:$A$89,0)),"")))</f>
        <v/>
      </c>
      <c r="E3074" s="42"/>
      <c r="F3074" s="42"/>
    </row>
    <row r="3075" customFormat="false" ht="15" hidden="false" customHeight="true" outlineLevel="0" collapsed="false">
      <c r="A3075" s="42"/>
      <c r="B3075" s="42"/>
      <c r="C3075" s="42"/>
      <c r="D3075" s="28" t="str">
        <f aca="false">IF(OR($B3075="",$C3075=""),"",$C3075*IFERROR(INDEX(Setup!$C$47:$C$56,MATCH($B3075,Setup!$A$47:$A$56,0)),IFERROR(INDEX(Setup!$C$60:$C$89,MATCH($B3075,Setup!$A$60:$A$89,0)),"")))</f>
        <v/>
      </c>
      <c r="E3075" s="42"/>
      <c r="F3075" s="42"/>
    </row>
    <row r="3076" customFormat="false" ht="15" hidden="false" customHeight="true" outlineLevel="0" collapsed="false">
      <c r="A3076" s="42"/>
      <c r="B3076" s="42"/>
      <c r="C3076" s="42"/>
      <c r="D3076" s="28" t="str">
        <f aca="false">IF(OR($B3076="",$C3076=""),"",$C3076*IFERROR(INDEX(Setup!$C$47:$C$56,MATCH($B3076,Setup!$A$47:$A$56,0)),IFERROR(INDEX(Setup!$C$60:$C$89,MATCH($B3076,Setup!$A$60:$A$89,0)),"")))</f>
        <v/>
      </c>
      <c r="E3076" s="42"/>
      <c r="F3076" s="42"/>
    </row>
    <row r="3077" customFormat="false" ht="15" hidden="false" customHeight="true" outlineLevel="0" collapsed="false">
      <c r="A3077" s="42"/>
      <c r="B3077" s="42"/>
      <c r="C3077" s="42"/>
      <c r="D3077" s="28" t="str">
        <f aca="false">IF(OR($B3077="",$C3077=""),"",$C3077*IFERROR(INDEX(Setup!$C$47:$C$56,MATCH($B3077,Setup!$A$47:$A$56,0)),IFERROR(INDEX(Setup!$C$60:$C$89,MATCH($B3077,Setup!$A$60:$A$89,0)),"")))</f>
        <v/>
      </c>
      <c r="E3077" s="42"/>
      <c r="F3077" s="42"/>
    </row>
    <row r="3078" customFormat="false" ht="15" hidden="false" customHeight="true" outlineLevel="0" collapsed="false">
      <c r="A3078" s="42"/>
      <c r="B3078" s="42"/>
      <c r="C3078" s="42"/>
      <c r="D3078" s="28" t="str">
        <f aca="false">IF(OR($B3078="",$C3078=""),"",$C3078*IFERROR(INDEX(Setup!$C$47:$C$56,MATCH($B3078,Setup!$A$47:$A$56,0)),IFERROR(INDEX(Setup!$C$60:$C$89,MATCH($B3078,Setup!$A$60:$A$89,0)),"")))</f>
        <v/>
      </c>
      <c r="E3078" s="42"/>
      <c r="F3078" s="42"/>
    </row>
    <row r="3079" customFormat="false" ht="15" hidden="false" customHeight="true" outlineLevel="0" collapsed="false">
      <c r="A3079" s="42"/>
      <c r="B3079" s="42"/>
      <c r="C3079" s="42"/>
      <c r="D3079" s="28" t="str">
        <f aca="false">IF(OR($B3079="",$C3079=""),"",$C3079*IFERROR(INDEX(Setup!$C$47:$C$56,MATCH($B3079,Setup!$A$47:$A$56,0)),IFERROR(INDEX(Setup!$C$60:$C$89,MATCH($B3079,Setup!$A$60:$A$89,0)),"")))</f>
        <v/>
      </c>
      <c r="E3079" s="42"/>
      <c r="F3079" s="42"/>
    </row>
    <row r="3080" customFormat="false" ht="15" hidden="false" customHeight="true" outlineLevel="0" collapsed="false">
      <c r="A3080" s="42"/>
      <c r="B3080" s="42"/>
      <c r="C3080" s="42"/>
      <c r="D3080" s="28" t="str">
        <f aca="false">IF(OR($B3080="",$C3080=""),"",$C3080*IFERROR(INDEX(Setup!$C$47:$C$56,MATCH($B3080,Setup!$A$47:$A$56,0)),IFERROR(INDEX(Setup!$C$60:$C$89,MATCH($B3080,Setup!$A$60:$A$89,0)),"")))</f>
        <v/>
      </c>
      <c r="E3080" s="42"/>
      <c r="F3080" s="42"/>
    </row>
    <row r="3081" customFormat="false" ht="15" hidden="false" customHeight="true" outlineLevel="0" collapsed="false">
      <c r="A3081" s="42"/>
      <c r="B3081" s="42"/>
      <c r="C3081" s="42"/>
      <c r="D3081" s="28" t="str">
        <f aca="false">IF(OR($B3081="",$C3081=""),"",$C3081*IFERROR(INDEX(Setup!$C$47:$C$56,MATCH($B3081,Setup!$A$47:$A$56,0)),IFERROR(INDEX(Setup!$C$60:$C$89,MATCH($B3081,Setup!$A$60:$A$89,0)),"")))</f>
        <v/>
      </c>
      <c r="E3081" s="42"/>
      <c r="F3081" s="42"/>
    </row>
    <row r="3082" customFormat="false" ht="15" hidden="false" customHeight="true" outlineLevel="0" collapsed="false">
      <c r="A3082" s="42"/>
      <c r="B3082" s="42"/>
      <c r="C3082" s="42"/>
      <c r="D3082" s="28" t="str">
        <f aca="false">IF(OR($B3082="",$C3082=""),"",$C3082*IFERROR(INDEX(Setup!$C$47:$C$56,MATCH($B3082,Setup!$A$47:$A$56,0)),IFERROR(INDEX(Setup!$C$60:$C$89,MATCH($B3082,Setup!$A$60:$A$89,0)),"")))</f>
        <v/>
      </c>
      <c r="E3082" s="42"/>
      <c r="F3082" s="42"/>
    </row>
    <row r="3083" customFormat="false" ht="15" hidden="false" customHeight="true" outlineLevel="0" collapsed="false">
      <c r="A3083" s="42"/>
      <c r="B3083" s="42"/>
      <c r="C3083" s="42"/>
      <c r="D3083" s="28" t="str">
        <f aca="false">IF(OR($B3083="",$C3083=""),"",$C3083*IFERROR(INDEX(Setup!$C$47:$C$56,MATCH($B3083,Setup!$A$47:$A$56,0)),IFERROR(INDEX(Setup!$C$60:$C$89,MATCH($B3083,Setup!$A$60:$A$89,0)),"")))</f>
        <v/>
      </c>
      <c r="E3083" s="42"/>
      <c r="F3083" s="42"/>
    </row>
    <row r="3084" customFormat="false" ht="15" hidden="false" customHeight="true" outlineLevel="0" collapsed="false">
      <c r="A3084" s="42"/>
      <c r="B3084" s="42"/>
      <c r="C3084" s="42"/>
      <c r="D3084" s="28" t="str">
        <f aca="false">IF(OR($B3084="",$C3084=""),"",$C3084*IFERROR(INDEX(Setup!$C$47:$C$56,MATCH($B3084,Setup!$A$47:$A$56,0)),IFERROR(INDEX(Setup!$C$60:$C$89,MATCH($B3084,Setup!$A$60:$A$89,0)),"")))</f>
        <v/>
      </c>
      <c r="E3084" s="42"/>
      <c r="F3084" s="42"/>
    </row>
    <row r="3085" customFormat="false" ht="15" hidden="false" customHeight="true" outlineLevel="0" collapsed="false">
      <c r="A3085" s="42"/>
      <c r="B3085" s="42"/>
      <c r="C3085" s="42"/>
      <c r="D3085" s="28" t="str">
        <f aca="false">IF(OR($B3085="",$C3085=""),"",$C3085*IFERROR(INDEX(Setup!$C$47:$C$56,MATCH($B3085,Setup!$A$47:$A$56,0)),IFERROR(INDEX(Setup!$C$60:$C$89,MATCH($B3085,Setup!$A$60:$A$89,0)),"")))</f>
        <v/>
      </c>
      <c r="E3085" s="42"/>
      <c r="F3085" s="42"/>
    </row>
    <row r="3086" customFormat="false" ht="15" hidden="false" customHeight="true" outlineLevel="0" collapsed="false">
      <c r="A3086" s="42"/>
      <c r="B3086" s="42"/>
      <c r="C3086" s="42"/>
      <c r="D3086" s="28" t="str">
        <f aca="false">IF(OR($B3086="",$C3086=""),"",$C3086*IFERROR(INDEX(Setup!$C$47:$C$56,MATCH($B3086,Setup!$A$47:$A$56,0)),IFERROR(INDEX(Setup!$C$60:$C$89,MATCH($B3086,Setup!$A$60:$A$89,0)),"")))</f>
        <v/>
      </c>
      <c r="E3086" s="42"/>
      <c r="F3086" s="42"/>
    </row>
    <row r="3087" customFormat="false" ht="15" hidden="false" customHeight="true" outlineLevel="0" collapsed="false">
      <c r="A3087" s="42"/>
      <c r="B3087" s="42"/>
      <c r="C3087" s="42"/>
      <c r="D3087" s="28" t="str">
        <f aca="false">IF(OR($B3087="",$C3087=""),"",$C3087*IFERROR(INDEX(Setup!$C$47:$C$56,MATCH($B3087,Setup!$A$47:$A$56,0)),IFERROR(INDEX(Setup!$C$60:$C$89,MATCH($B3087,Setup!$A$60:$A$89,0)),"")))</f>
        <v/>
      </c>
      <c r="E3087" s="42"/>
      <c r="F3087" s="42"/>
    </row>
    <row r="3088" customFormat="false" ht="15" hidden="false" customHeight="true" outlineLevel="0" collapsed="false">
      <c r="A3088" s="42"/>
      <c r="B3088" s="42"/>
      <c r="C3088" s="42"/>
      <c r="D3088" s="28" t="str">
        <f aca="false">IF(OR($B3088="",$C3088=""),"",$C3088*IFERROR(INDEX(Setup!$C$47:$C$56,MATCH($B3088,Setup!$A$47:$A$56,0)),IFERROR(INDEX(Setup!$C$60:$C$89,MATCH($B3088,Setup!$A$60:$A$89,0)),"")))</f>
        <v/>
      </c>
      <c r="E3088" s="42"/>
      <c r="F3088" s="42"/>
    </row>
    <row r="3089" customFormat="false" ht="15" hidden="false" customHeight="true" outlineLevel="0" collapsed="false">
      <c r="A3089" s="42"/>
      <c r="B3089" s="42"/>
      <c r="C3089" s="42"/>
      <c r="D3089" s="28" t="str">
        <f aca="false">IF(OR($B3089="",$C3089=""),"",$C3089*IFERROR(INDEX(Setup!$C$47:$C$56,MATCH($B3089,Setup!$A$47:$A$56,0)),IFERROR(INDEX(Setup!$C$60:$C$89,MATCH($B3089,Setup!$A$60:$A$89,0)),"")))</f>
        <v/>
      </c>
      <c r="E3089" s="42"/>
      <c r="F3089" s="42"/>
    </row>
    <row r="3090" customFormat="false" ht="15" hidden="false" customHeight="true" outlineLevel="0" collapsed="false">
      <c r="A3090" s="42"/>
      <c r="B3090" s="42"/>
      <c r="C3090" s="42"/>
      <c r="D3090" s="28" t="str">
        <f aca="false">IF(OR($B3090="",$C3090=""),"",$C3090*IFERROR(INDEX(Setup!$C$47:$C$56,MATCH($B3090,Setup!$A$47:$A$56,0)),IFERROR(INDEX(Setup!$C$60:$C$89,MATCH($B3090,Setup!$A$60:$A$89,0)),"")))</f>
        <v/>
      </c>
      <c r="E3090" s="42"/>
      <c r="F3090" s="42"/>
    </row>
    <row r="3091" customFormat="false" ht="15" hidden="false" customHeight="true" outlineLevel="0" collapsed="false">
      <c r="A3091" s="42"/>
      <c r="B3091" s="42"/>
      <c r="C3091" s="42"/>
      <c r="D3091" s="28" t="str">
        <f aca="false">IF(OR($B3091="",$C3091=""),"",$C3091*IFERROR(INDEX(Setup!$C$47:$C$56,MATCH($B3091,Setup!$A$47:$A$56,0)),IFERROR(INDEX(Setup!$C$60:$C$89,MATCH($B3091,Setup!$A$60:$A$89,0)),"")))</f>
        <v/>
      </c>
      <c r="E3091" s="42"/>
      <c r="F3091" s="42"/>
    </row>
    <row r="3092" customFormat="false" ht="15" hidden="false" customHeight="true" outlineLevel="0" collapsed="false">
      <c r="A3092" s="42"/>
      <c r="B3092" s="42"/>
      <c r="C3092" s="42"/>
      <c r="D3092" s="28" t="str">
        <f aca="false">IF(OR($B3092="",$C3092=""),"",$C3092*IFERROR(INDEX(Setup!$C$47:$C$56,MATCH($B3092,Setup!$A$47:$A$56,0)),IFERROR(INDEX(Setup!$C$60:$C$89,MATCH($B3092,Setup!$A$60:$A$89,0)),"")))</f>
        <v/>
      </c>
      <c r="E3092" s="42"/>
      <c r="F3092" s="42"/>
    </row>
    <row r="3093" customFormat="false" ht="15" hidden="false" customHeight="true" outlineLevel="0" collapsed="false">
      <c r="A3093" s="42"/>
      <c r="B3093" s="42"/>
      <c r="C3093" s="42"/>
      <c r="D3093" s="28" t="str">
        <f aca="false">IF(OR($B3093="",$C3093=""),"",$C3093*IFERROR(INDEX(Setup!$C$47:$C$56,MATCH($B3093,Setup!$A$47:$A$56,0)),IFERROR(INDEX(Setup!$C$60:$C$89,MATCH($B3093,Setup!$A$60:$A$89,0)),"")))</f>
        <v/>
      </c>
      <c r="E3093" s="42"/>
      <c r="F3093" s="42"/>
    </row>
    <row r="3094" customFormat="false" ht="15" hidden="false" customHeight="true" outlineLevel="0" collapsed="false">
      <c r="A3094" s="42"/>
      <c r="B3094" s="42"/>
      <c r="C3094" s="42"/>
      <c r="D3094" s="28" t="str">
        <f aca="false">IF(OR($B3094="",$C3094=""),"",$C3094*IFERROR(INDEX(Setup!$C$47:$C$56,MATCH($B3094,Setup!$A$47:$A$56,0)),IFERROR(INDEX(Setup!$C$60:$C$89,MATCH($B3094,Setup!$A$60:$A$89,0)),"")))</f>
        <v/>
      </c>
      <c r="E3094" s="42"/>
      <c r="F3094" s="42"/>
    </row>
    <row r="3095" customFormat="false" ht="15" hidden="false" customHeight="true" outlineLevel="0" collapsed="false">
      <c r="A3095" s="42"/>
      <c r="B3095" s="42"/>
      <c r="C3095" s="42"/>
      <c r="D3095" s="28" t="str">
        <f aca="false">IF(OR($B3095="",$C3095=""),"",$C3095*IFERROR(INDEX(Setup!$C$47:$C$56,MATCH($B3095,Setup!$A$47:$A$56,0)),IFERROR(INDEX(Setup!$C$60:$C$89,MATCH($B3095,Setup!$A$60:$A$89,0)),"")))</f>
        <v/>
      </c>
      <c r="E3095" s="42"/>
      <c r="F3095" s="42"/>
    </row>
    <row r="3096" customFormat="false" ht="15" hidden="false" customHeight="true" outlineLevel="0" collapsed="false">
      <c r="A3096" s="42"/>
      <c r="B3096" s="42"/>
      <c r="C3096" s="42"/>
      <c r="D3096" s="28" t="str">
        <f aca="false">IF(OR($B3096="",$C3096=""),"",$C3096*IFERROR(INDEX(Setup!$C$47:$C$56,MATCH($B3096,Setup!$A$47:$A$56,0)),IFERROR(INDEX(Setup!$C$60:$C$89,MATCH($B3096,Setup!$A$60:$A$89,0)),"")))</f>
        <v/>
      </c>
      <c r="E3096" s="42"/>
      <c r="F3096" s="42"/>
    </row>
    <row r="3097" customFormat="false" ht="15" hidden="false" customHeight="true" outlineLevel="0" collapsed="false">
      <c r="A3097" s="42"/>
      <c r="B3097" s="42"/>
      <c r="C3097" s="42"/>
      <c r="D3097" s="28" t="str">
        <f aca="false">IF(OR($B3097="",$C3097=""),"",$C3097*IFERROR(INDEX(Setup!$C$47:$C$56,MATCH($B3097,Setup!$A$47:$A$56,0)),IFERROR(INDEX(Setup!$C$60:$C$89,MATCH($B3097,Setup!$A$60:$A$89,0)),"")))</f>
        <v/>
      </c>
      <c r="E3097" s="42"/>
      <c r="F3097" s="42"/>
    </row>
    <row r="3098" customFormat="false" ht="15" hidden="false" customHeight="true" outlineLevel="0" collapsed="false">
      <c r="A3098" s="42"/>
      <c r="B3098" s="42"/>
      <c r="C3098" s="42"/>
      <c r="D3098" s="28" t="str">
        <f aca="false">IF(OR($B3098="",$C3098=""),"",$C3098*IFERROR(INDEX(Setup!$C$47:$C$56,MATCH($B3098,Setup!$A$47:$A$56,0)),IFERROR(INDEX(Setup!$C$60:$C$89,MATCH($B3098,Setup!$A$60:$A$89,0)),"")))</f>
        <v/>
      </c>
      <c r="E3098" s="42"/>
      <c r="F3098" s="42"/>
    </row>
    <row r="3099" customFormat="false" ht="15" hidden="false" customHeight="true" outlineLevel="0" collapsed="false">
      <c r="A3099" s="42"/>
      <c r="B3099" s="42"/>
      <c r="C3099" s="42"/>
      <c r="D3099" s="28" t="str">
        <f aca="false">IF(OR($B3099="",$C3099=""),"",$C3099*IFERROR(INDEX(Setup!$C$47:$C$56,MATCH($B3099,Setup!$A$47:$A$56,0)),IFERROR(INDEX(Setup!$C$60:$C$89,MATCH($B3099,Setup!$A$60:$A$89,0)),"")))</f>
        <v/>
      </c>
      <c r="E3099" s="42"/>
      <c r="F3099" s="42"/>
    </row>
    <row r="3100" customFormat="false" ht="15" hidden="false" customHeight="true" outlineLevel="0" collapsed="false">
      <c r="A3100" s="42"/>
      <c r="B3100" s="42"/>
      <c r="C3100" s="42"/>
      <c r="D3100" s="28" t="str">
        <f aca="false">IF(OR($B3100="",$C3100=""),"",$C3100*IFERROR(INDEX(Setup!$C$47:$C$56,MATCH($B3100,Setup!$A$47:$A$56,0)),IFERROR(INDEX(Setup!$C$60:$C$89,MATCH($B3100,Setup!$A$60:$A$89,0)),"")))</f>
        <v/>
      </c>
      <c r="E3100" s="42"/>
      <c r="F3100" s="42"/>
    </row>
    <row r="3101" customFormat="false" ht="15" hidden="false" customHeight="true" outlineLevel="0" collapsed="false">
      <c r="A3101" s="42"/>
      <c r="B3101" s="42"/>
      <c r="C3101" s="42"/>
      <c r="D3101" s="28" t="str">
        <f aca="false">IF(OR($B3101="",$C3101=""),"",$C3101*IFERROR(INDEX(Setup!$C$47:$C$56,MATCH($B3101,Setup!$A$47:$A$56,0)),IFERROR(INDEX(Setup!$C$60:$C$89,MATCH($B3101,Setup!$A$60:$A$89,0)),"")))</f>
        <v/>
      </c>
      <c r="E3101" s="42"/>
      <c r="F3101" s="42"/>
    </row>
    <row r="3102" customFormat="false" ht="15" hidden="false" customHeight="true" outlineLevel="0" collapsed="false">
      <c r="A3102" s="42"/>
      <c r="B3102" s="42"/>
      <c r="C3102" s="42"/>
      <c r="D3102" s="28" t="str">
        <f aca="false">IF(OR($B3102="",$C3102=""),"",$C3102*IFERROR(INDEX(Setup!$C$47:$C$56,MATCH($B3102,Setup!$A$47:$A$56,0)),IFERROR(INDEX(Setup!$C$60:$C$89,MATCH($B3102,Setup!$A$60:$A$89,0)),"")))</f>
        <v/>
      </c>
      <c r="E3102" s="42"/>
      <c r="F3102" s="42"/>
    </row>
    <row r="3103" customFormat="false" ht="15" hidden="false" customHeight="true" outlineLevel="0" collapsed="false">
      <c r="A3103" s="42"/>
      <c r="B3103" s="42"/>
      <c r="C3103" s="42"/>
      <c r="D3103" s="28" t="str">
        <f aca="false">IF(OR($B3103="",$C3103=""),"",$C3103*IFERROR(INDEX(Setup!$C$47:$C$56,MATCH($B3103,Setup!$A$47:$A$56,0)),IFERROR(INDEX(Setup!$C$60:$C$89,MATCH($B3103,Setup!$A$60:$A$89,0)),"")))</f>
        <v/>
      </c>
      <c r="E3103" s="42"/>
      <c r="F3103" s="42"/>
    </row>
    <row r="3104" customFormat="false" ht="15" hidden="false" customHeight="true" outlineLevel="0" collapsed="false">
      <c r="A3104" s="42"/>
      <c r="B3104" s="42"/>
      <c r="C3104" s="42"/>
      <c r="D3104" s="28" t="str">
        <f aca="false">IF(OR($B3104="",$C3104=""),"",$C3104*IFERROR(INDEX(Setup!$C$47:$C$56,MATCH($B3104,Setup!$A$47:$A$56,0)),IFERROR(INDEX(Setup!$C$60:$C$89,MATCH($B3104,Setup!$A$60:$A$89,0)),"")))</f>
        <v/>
      </c>
      <c r="E3104" s="42"/>
      <c r="F3104" s="42"/>
    </row>
    <row r="3105" customFormat="false" ht="15" hidden="false" customHeight="true" outlineLevel="0" collapsed="false">
      <c r="A3105" s="42"/>
      <c r="B3105" s="42"/>
      <c r="C3105" s="42"/>
      <c r="D3105" s="28" t="str">
        <f aca="false">IF(OR($B3105="",$C3105=""),"",$C3105*IFERROR(INDEX(Setup!$C$47:$C$56,MATCH($B3105,Setup!$A$47:$A$56,0)),IFERROR(INDEX(Setup!$C$60:$C$89,MATCH($B3105,Setup!$A$60:$A$89,0)),"")))</f>
        <v/>
      </c>
      <c r="E3105" s="42"/>
      <c r="F3105" s="42"/>
    </row>
    <row r="3106" customFormat="false" ht="15" hidden="false" customHeight="true" outlineLevel="0" collapsed="false">
      <c r="A3106" s="42"/>
      <c r="B3106" s="42"/>
      <c r="C3106" s="42"/>
      <c r="D3106" s="28" t="str">
        <f aca="false">IF(OR($B3106="",$C3106=""),"",$C3106*IFERROR(INDEX(Setup!$C$47:$C$56,MATCH($B3106,Setup!$A$47:$A$56,0)),IFERROR(INDEX(Setup!$C$60:$C$89,MATCH($B3106,Setup!$A$60:$A$89,0)),"")))</f>
        <v/>
      </c>
      <c r="E3106" s="42"/>
      <c r="F3106" s="42"/>
    </row>
    <row r="3107" customFormat="false" ht="15" hidden="false" customHeight="true" outlineLevel="0" collapsed="false">
      <c r="A3107" s="42"/>
      <c r="B3107" s="42"/>
      <c r="C3107" s="42"/>
      <c r="D3107" s="28" t="str">
        <f aca="false">IF(OR($B3107="",$C3107=""),"",$C3107*IFERROR(INDEX(Setup!$C$47:$C$56,MATCH($B3107,Setup!$A$47:$A$56,0)),IFERROR(INDEX(Setup!$C$60:$C$89,MATCH($B3107,Setup!$A$60:$A$89,0)),"")))</f>
        <v/>
      </c>
      <c r="E3107" s="42"/>
      <c r="F3107" s="42"/>
    </row>
    <row r="3108" customFormat="false" ht="15" hidden="false" customHeight="true" outlineLevel="0" collapsed="false">
      <c r="A3108" s="42"/>
      <c r="B3108" s="42"/>
      <c r="C3108" s="42"/>
      <c r="D3108" s="28" t="str">
        <f aca="false">IF(OR($B3108="",$C3108=""),"",$C3108*IFERROR(INDEX(Setup!$C$47:$C$56,MATCH($B3108,Setup!$A$47:$A$56,0)),IFERROR(INDEX(Setup!$C$60:$C$89,MATCH($B3108,Setup!$A$60:$A$89,0)),"")))</f>
        <v/>
      </c>
      <c r="E3108" s="42"/>
      <c r="F3108" s="42"/>
    </row>
    <row r="3109" customFormat="false" ht="15" hidden="false" customHeight="true" outlineLevel="0" collapsed="false">
      <c r="A3109" s="42"/>
      <c r="B3109" s="42"/>
      <c r="C3109" s="42"/>
      <c r="D3109" s="28" t="str">
        <f aca="false">IF(OR($B3109="",$C3109=""),"",$C3109*IFERROR(INDEX(Setup!$C$47:$C$56,MATCH($B3109,Setup!$A$47:$A$56,0)),IFERROR(INDEX(Setup!$C$60:$C$89,MATCH($B3109,Setup!$A$60:$A$89,0)),"")))</f>
        <v/>
      </c>
      <c r="E3109" s="42"/>
      <c r="F3109" s="42"/>
    </row>
    <row r="3110" customFormat="false" ht="15" hidden="false" customHeight="true" outlineLevel="0" collapsed="false">
      <c r="A3110" s="42"/>
      <c r="B3110" s="42"/>
      <c r="C3110" s="42"/>
      <c r="D3110" s="28" t="str">
        <f aca="false">IF(OR($B3110="",$C3110=""),"",$C3110*IFERROR(INDEX(Setup!$C$47:$C$56,MATCH($B3110,Setup!$A$47:$A$56,0)),IFERROR(INDEX(Setup!$C$60:$C$89,MATCH($B3110,Setup!$A$60:$A$89,0)),"")))</f>
        <v/>
      </c>
      <c r="E3110" s="42"/>
      <c r="F3110" s="42"/>
    </row>
    <row r="3111" customFormat="false" ht="15" hidden="false" customHeight="true" outlineLevel="0" collapsed="false">
      <c r="A3111" s="42"/>
      <c r="B3111" s="42"/>
      <c r="C3111" s="42"/>
      <c r="D3111" s="28" t="str">
        <f aca="false">IF(OR($B3111="",$C3111=""),"",$C3111*IFERROR(INDEX(Setup!$C$47:$C$56,MATCH($B3111,Setup!$A$47:$A$56,0)),IFERROR(INDEX(Setup!$C$60:$C$89,MATCH($B3111,Setup!$A$60:$A$89,0)),"")))</f>
        <v/>
      </c>
      <c r="E3111" s="42"/>
      <c r="F3111" s="42"/>
    </row>
    <row r="3112" customFormat="false" ht="15" hidden="false" customHeight="true" outlineLevel="0" collapsed="false">
      <c r="A3112" s="42"/>
      <c r="B3112" s="42"/>
      <c r="C3112" s="42"/>
      <c r="D3112" s="28" t="str">
        <f aca="false">IF(OR($B3112="",$C3112=""),"",$C3112*IFERROR(INDEX(Setup!$C$47:$C$56,MATCH($B3112,Setup!$A$47:$A$56,0)),IFERROR(INDEX(Setup!$C$60:$C$89,MATCH($B3112,Setup!$A$60:$A$89,0)),"")))</f>
        <v/>
      </c>
      <c r="E3112" s="42"/>
      <c r="F3112" s="42"/>
    </row>
    <row r="3113" customFormat="false" ht="15" hidden="false" customHeight="true" outlineLevel="0" collapsed="false">
      <c r="A3113" s="42"/>
      <c r="B3113" s="42"/>
      <c r="C3113" s="42"/>
      <c r="D3113" s="28" t="str">
        <f aca="false">IF(OR($B3113="",$C3113=""),"",$C3113*IFERROR(INDEX(Setup!$C$47:$C$56,MATCH($B3113,Setup!$A$47:$A$56,0)),IFERROR(INDEX(Setup!$C$60:$C$89,MATCH($B3113,Setup!$A$60:$A$89,0)),"")))</f>
        <v/>
      </c>
      <c r="E3113" s="42"/>
      <c r="F3113" s="42"/>
    </row>
    <row r="3114" customFormat="false" ht="15" hidden="false" customHeight="true" outlineLevel="0" collapsed="false">
      <c r="A3114" s="42"/>
      <c r="B3114" s="42"/>
      <c r="C3114" s="42"/>
      <c r="D3114" s="28" t="str">
        <f aca="false">IF(OR($B3114="",$C3114=""),"",$C3114*IFERROR(INDEX(Setup!$C$47:$C$56,MATCH($B3114,Setup!$A$47:$A$56,0)),IFERROR(INDEX(Setup!$C$60:$C$89,MATCH($B3114,Setup!$A$60:$A$89,0)),"")))</f>
        <v/>
      </c>
      <c r="E3114" s="42"/>
      <c r="F3114" s="42"/>
    </row>
    <row r="3115" customFormat="false" ht="15" hidden="false" customHeight="true" outlineLevel="0" collapsed="false">
      <c r="A3115" s="42"/>
      <c r="B3115" s="42"/>
      <c r="C3115" s="42"/>
      <c r="D3115" s="28" t="str">
        <f aca="false">IF(OR($B3115="",$C3115=""),"",$C3115*IFERROR(INDEX(Setup!$C$47:$C$56,MATCH($B3115,Setup!$A$47:$A$56,0)),IFERROR(INDEX(Setup!$C$60:$C$89,MATCH($B3115,Setup!$A$60:$A$89,0)),"")))</f>
        <v/>
      </c>
      <c r="E3115" s="42"/>
      <c r="F3115" s="42"/>
    </row>
    <row r="3116" customFormat="false" ht="15" hidden="false" customHeight="true" outlineLevel="0" collapsed="false">
      <c r="A3116" s="42"/>
      <c r="B3116" s="42"/>
      <c r="C3116" s="42"/>
      <c r="D3116" s="28" t="str">
        <f aca="false">IF(OR($B3116="",$C3116=""),"",$C3116*IFERROR(INDEX(Setup!$C$47:$C$56,MATCH($B3116,Setup!$A$47:$A$56,0)),IFERROR(INDEX(Setup!$C$60:$C$89,MATCH($B3116,Setup!$A$60:$A$89,0)),"")))</f>
        <v/>
      </c>
      <c r="E3116" s="42"/>
      <c r="F3116" s="42"/>
    </row>
    <row r="3117" customFormat="false" ht="15" hidden="false" customHeight="true" outlineLevel="0" collapsed="false">
      <c r="A3117" s="42"/>
      <c r="B3117" s="42"/>
      <c r="C3117" s="42"/>
      <c r="D3117" s="28" t="str">
        <f aca="false">IF(OR($B3117="",$C3117=""),"",$C3117*IFERROR(INDEX(Setup!$C$47:$C$56,MATCH($B3117,Setup!$A$47:$A$56,0)),IFERROR(INDEX(Setup!$C$60:$C$89,MATCH($B3117,Setup!$A$60:$A$89,0)),"")))</f>
        <v/>
      </c>
      <c r="E3117" s="42"/>
      <c r="F3117" s="42"/>
    </row>
    <row r="3118" customFormat="false" ht="15" hidden="false" customHeight="true" outlineLevel="0" collapsed="false">
      <c r="A3118" s="42"/>
      <c r="B3118" s="42"/>
      <c r="C3118" s="42"/>
      <c r="D3118" s="28" t="str">
        <f aca="false">IF(OR($B3118="",$C3118=""),"",$C3118*IFERROR(INDEX(Setup!$C$47:$C$56,MATCH($B3118,Setup!$A$47:$A$56,0)),IFERROR(INDEX(Setup!$C$60:$C$89,MATCH($B3118,Setup!$A$60:$A$89,0)),"")))</f>
        <v/>
      </c>
      <c r="E3118" s="42"/>
      <c r="F3118" s="42"/>
    </row>
    <row r="3119" customFormat="false" ht="15" hidden="false" customHeight="true" outlineLevel="0" collapsed="false">
      <c r="A3119" s="42"/>
      <c r="B3119" s="42"/>
      <c r="C3119" s="42"/>
      <c r="D3119" s="28" t="str">
        <f aca="false">IF(OR($B3119="",$C3119=""),"",$C3119*IFERROR(INDEX(Setup!$C$47:$C$56,MATCH($B3119,Setup!$A$47:$A$56,0)),IFERROR(INDEX(Setup!$C$60:$C$89,MATCH($B3119,Setup!$A$60:$A$89,0)),"")))</f>
        <v/>
      </c>
      <c r="E3119" s="42"/>
      <c r="F3119" s="42"/>
    </row>
    <row r="3120" customFormat="false" ht="15" hidden="false" customHeight="true" outlineLevel="0" collapsed="false">
      <c r="A3120" s="42"/>
      <c r="B3120" s="42"/>
      <c r="C3120" s="42"/>
      <c r="D3120" s="28" t="str">
        <f aca="false">IF(OR($B3120="",$C3120=""),"",$C3120*IFERROR(INDEX(Setup!$C$47:$C$56,MATCH($B3120,Setup!$A$47:$A$56,0)),IFERROR(INDEX(Setup!$C$60:$C$89,MATCH($B3120,Setup!$A$60:$A$89,0)),"")))</f>
        <v/>
      </c>
      <c r="E3120" s="42"/>
      <c r="F3120" s="42"/>
    </row>
    <row r="3121" customFormat="false" ht="15" hidden="false" customHeight="true" outlineLevel="0" collapsed="false">
      <c r="A3121" s="42"/>
      <c r="B3121" s="42"/>
      <c r="C3121" s="42"/>
      <c r="D3121" s="28" t="str">
        <f aca="false">IF(OR($B3121="",$C3121=""),"",$C3121*IFERROR(INDEX(Setup!$C$47:$C$56,MATCH($B3121,Setup!$A$47:$A$56,0)),IFERROR(INDEX(Setup!$C$60:$C$89,MATCH($B3121,Setup!$A$60:$A$89,0)),"")))</f>
        <v/>
      </c>
      <c r="E3121" s="42"/>
      <c r="F3121" s="42"/>
    </row>
    <row r="3122" customFormat="false" ht="15" hidden="false" customHeight="true" outlineLevel="0" collapsed="false">
      <c r="A3122" s="42"/>
      <c r="B3122" s="42"/>
      <c r="C3122" s="42"/>
      <c r="D3122" s="28" t="str">
        <f aca="false">IF(OR($B3122="",$C3122=""),"",$C3122*IFERROR(INDEX(Setup!$C$47:$C$56,MATCH($B3122,Setup!$A$47:$A$56,0)),IFERROR(INDEX(Setup!$C$60:$C$89,MATCH($B3122,Setup!$A$60:$A$89,0)),"")))</f>
        <v/>
      </c>
      <c r="E3122" s="42"/>
      <c r="F3122" s="42"/>
    </row>
    <row r="3123" customFormat="false" ht="15" hidden="false" customHeight="true" outlineLevel="0" collapsed="false">
      <c r="A3123" s="42"/>
      <c r="B3123" s="42"/>
      <c r="C3123" s="42"/>
      <c r="D3123" s="28" t="str">
        <f aca="false">IF(OR($B3123="",$C3123=""),"",$C3123*IFERROR(INDEX(Setup!$C$47:$C$56,MATCH($B3123,Setup!$A$47:$A$56,0)),IFERROR(INDEX(Setup!$C$60:$C$89,MATCH($B3123,Setup!$A$60:$A$89,0)),"")))</f>
        <v/>
      </c>
      <c r="E3123" s="42"/>
      <c r="F3123" s="42"/>
    </row>
    <row r="3124" customFormat="false" ht="15" hidden="false" customHeight="true" outlineLevel="0" collapsed="false">
      <c r="A3124" s="42"/>
      <c r="B3124" s="42"/>
      <c r="C3124" s="42"/>
      <c r="D3124" s="28" t="str">
        <f aca="false">IF(OR($B3124="",$C3124=""),"",$C3124*IFERROR(INDEX(Setup!$C$47:$C$56,MATCH($B3124,Setup!$A$47:$A$56,0)),IFERROR(INDEX(Setup!$C$60:$C$89,MATCH($B3124,Setup!$A$60:$A$89,0)),"")))</f>
        <v/>
      </c>
      <c r="E3124" s="42"/>
      <c r="F3124" s="42"/>
    </row>
    <row r="3125" customFormat="false" ht="15" hidden="false" customHeight="true" outlineLevel="0" collapsed="false">
      <c r="A3125" s="42"/>
      <c r="B3125" s="42"/>
      <c r="C3125" s="42"/>
      <c r="D3125" s="28" t="str">
        <f aca="false">IF(OR($B3125="",$C3125=""),"",$C3125*IFERROR(INDEX(Setup!$C$47:$C$56,MATCH($B3125,Setup!$A$47:$A$56,0)),IFERROR(INDEX(Setup!$C$60:$C$89,MATCH($B3125,Setup!$A$60:$A$89,0)),"")))</f>
        <v/>
      </c>
      <c r="E3125" s="42"/>
      <c r="F3125" s="42"/>
    </row>
    <row r="3126" customFormat="false" ht="15" hidden="false" customHeight="true" outlineLevel="0" collapsed="false">
      <c r="A3126" s="42"/>
      <c r="B3126" s="42"/>
      <c r="C3126" s="42"/>
      <c r="D3126" s="28" t="str">
        <f aca="false">IF(OR($B3126="",$C3126=""),"",$C3126*IFERROR(INDEX(Setup!$C$47:$C$56,MATCH($B3126,Setup!$A$47:$A$56,0)),IFERROR(INDEX(Setup!$C$60:$C$89,MATCH($B3126,Setup!$A$60:$A$89,0)),"")))</f>
        <v/>
      </c>
      <c r="E3126" s="42"/>
      <c r="F3126" s="42"/>
    </row>
    <row r="3127" customFormat="false" ht="15" hidden="false" customHeight="true" outlineLevel="0" collapsed="false">
      <c r="A3127" s="42"/>
      <c r="B3127" s="42"/>
      <c r="C3127" s="42"/>
      <c r="D3127" s="28" t="str">
        <f aca="false">IF(OR($B3127="",$C3127=""),"",$C3127*IFERROR(INDEX(Setup!$C$47:$C$56,MATCH($B3127,Setup!$A$47:$A$56,0)),IFERROR(INDEX(Setup!$C$60:$C$89,MATCH($B3127,Setup!$A$60:$A$89,0)),"")))</f>
        <v/>
      </c>
      <c r="E3127" s="42"/>
      <c r="F3127" s="42"/>
    </row>
    <row r="3128" customFormat="false" ht="15" hidden="false" customHeight="true" outlineLevel="0" collapsed="false">
      <c r="A3128" s="42"/>
      <c r="B3128" s="42"/>
      <c r="C3128" s="42"/>
      <c r="D3128" s="28" t="str">
        <f aca="false">IF(OR($B3128="",$C3128=""),"",$C3128*IFERROR(INDEX(Setup!$C$47:$C$56,MATCH($B3128,Setup!$A$47:$A$56,0)),IFERROR(INDEX(Setup!$C$60:$C$89,MATCH($B3128,Setup!$A$60:$A$89,0)),"")))</f>
        <v/>
      </c>
      <c r="E3128" s="42"/>
      <c r="F3128" s="42"/>
    </row>
    <row r="3129" customFormat="false" ht="15" hidden="false" customHeight="true" outlineLevel="0" collapsed="false">
      <c r="A3129" s="42"/>
      <c r="B3129" s="42"/>
      <c r="C3129" s="42"/>
      <c r="D3129" s="28" t="str">
        <f aca="false">IF(OR($B3129="",$C3129=""),"",$C3129*IFERROR(INDEX(Setup!$C$47:$C$56,MATCH($B3129,Setup!$A$47:$A$56,0)),IFERROR(INDEX(Setup!$C$60:$C$89,MATCH($B3129,Setup!$A$60:$A$89,0)),"")))</f>
        <v/>
      </c>
      <c r="E3129" s="42"/>
      <c r="F3129" s="42"/>
    </row>
    <row r="3130" customFormat="false" ht="15" hidden="false" customHeight="true" outlineLevel="0" collapsed="false">
      <c r="A3130" s="42"/>
      <c r="B3130" s="42"/>
      <c r="C3130" s="42"/>
      <c r="D3130" s="28" t="str">
        <f aca="false">IF(OR($B3130="",$C3130=""),"",$C3130*IFERROR(INDEX(Setup!$C$47:$C$56,MATCH($B3130,Setup!$A$47:$A$56,0)),IFERROR(INDEX(Setup!$C$60:$C$89,MATCH($B3130,Setup!$A$60:$A$89,0)),"")))</f>
        <v/>
      </c>
      <c r="E3130" s="42"/>
      <c r="F3130" s="42"/>
    </row>
    <row r="3131" customFormat="false" ht="15" hidden="false" customHeight="true" outlineLevel="0" collapsed="false">
      <c r="A3131" s="42"/>
      <c r="B3131" s="42"/>
      <c r="C3131" s="42"/>
      <c r="D3131" s="28" t="str">
        <f aca="false">IF(OR($B3131="",$C3131=""),"",$C3131*IFERROR(INDEX(Setup!$C$47:$C$56,MATCH($B3131,Setup!$A$47:$A$56,0)),IFERROR(INDEX(Setup!$C$60:$C$89,MATCH($B3131,Setup!$A$60:$A$89,0)),"")))</f>
        <v/>
      </c>
      <c r="E3131" s="42"/>
      <c r="F3131" s="42"/>
    </row>
    <row r="3132" customFormat="false" ht="15" hidden="false" customHeight="true" outlineLevel="0" collapsed="false">
      <c r="A3132" s="42"/>
      <c r="B3132" s="42"/>
      <c r="C3132" s="42"/>
      <c r="D3132" s="28" t="str">
        <f aca="false">IF(OR($B3132="",$C3132=""),"",$C3132*IFERROR(INDEX(Setup!$C$47:$C$56,MATCH($B3132,Setup!$A$47:$A$56,0)),IFERROR(INDEX(Setup!$C$60:$C$89,MATCH($B3132,Setup!$A$60:$A$89,0)),"")))</f>
        <v/>
      </c>
      <c r="E3132" s="42"/>
      <c r="F3132" s="42"/>
    </row>
    <row r="3133" customFormat="false" ht="15" hidden="false" customHeight="true" outlineLevel="0" collapsed="false">
      <c r="A3133" s="42"/>
      <c r="B3133" s="42"/>
      <c r="C3133" s="42"/>
      <c r="D3133" s="28" t="str">
        <f aca="false">IF(OR($B3133="",$C3133=""),"",$C3133*IFERROR(INDEX(Setup!$C$47:$C$56,MATCH($B3133,Setup!$A$47:$A$56,0)),IFERROR(INDEX(Setup!$C$60:$C$89,MATCH($B3133,Setup!$A$60:$A$89,0)),"")))</f>
        <v/>
      </c>
      <c r="E3133" s="42"/>
      <c r="F3133" s="42"/>
    </row>
    <row r="3134" customFormat="false" ht="15" hidden="false" customHeight="true" outlineLevel="0" collapsed="false">
      <c r="A3134" s="42"/>
      <c r="B3134" s="42"/>
      <c r="C3134" s="42"/>
      <c r="D3134" s="28" t="str">
        <f aca="false">IF(OR($B3134="",$C3134=""),"",$C3134*IFERROR(INDEX(Setup!$C$47:$C$56,MATCH($B3134,Setup!$A$47:$A$56,0)),IFERROR(INDEX(Setup!$C$60:$C$89,MATCH($B3134,Setup!$A$60:$A$89,0)),"")))</f>
        <v/>
      </c>
      <c r="E3134" s="42"/>
      <c r="F3134" s="42"/>
    </row>
    <row r="3135" customFormat="false" ht="15" hidden="false" customHeight="true" outlineLevel="0" collapsed="false">
      <c r="A3135" s="42"/>
      <c r="B3135" s="42"/>
      <c r="C3135" s="42"/>
      <c r="D3135" s="28" t="str">
        <f aca="false">IF(OR($B3135="",$C3135=""),"",$C3135*IFERROR(INDEX(Setup!$C$47:$C$56,MATCH($B3135,Setup!$A$47:$A$56,0)),IFERROR(INDEX(Setup!$C$60:$C$89,MATCH($B3135,Setup!$A$60:$A$89,0)),"")))</f>
        <v/>
      </c>
      <c r="E3135" s="42"/>
      <c r="F3135" s="42"/>
    </row>
    <row r="3136" customFormat="false" ht="15" hidden="false" customHeight="true" outlineLevel="0" collapsed="false">
      <c r="A3136" s="42"/>
      <c r="B3136" s="42"/>
      <c r="C3136" s="42"/>
      <c r="D3136" s="28" t="str">
        <f aca="false">IF(OR($B3136="",$C3136=""),"",$C3136*IFERROR(INDEX(Setup!$C$47:$C$56,MATCH($B3136,Setup!$A$47:$A$56,0)),IFERROR(INDEX(Setup!$C$60:$C$89,MATCH($B3136,Setup!$A$60:$A$89,0)),"")))</f>
        <v/>
      </c>
      <c r="E3136" s="42"/>
      <c r="F3136" s="42"/>
    </row>
    <row r="3137" customFormat="false" ht="15" hidden="false" customHeight="true" outlineLevel="0" collapsed="false">
      <c r="A3137" s="42"/>
      <c r="B3137" s="42"/>
      <c r="C3137" s="42"/>
      <c r="D3137" s="28" t="str">
        <f aca="false">IF(OR($B3137="",$C3137=""),"",$C3137*IFERROR(INDEX(Setup!$C$47:$C$56,MATCH($B3137,Setup!$A$47:$A$56,0)),IFERROR(INDEX(Setup!$C$60:$C$89,MATCH($B3137,Setup!$A$60:$A$89,0)),"")))</f>
        <v/>
      </c>
      <c r="E3137" s="42"/>
      <c r="F3137" s="42"/>
    </row>
    <row r="3138" customFormat="false" ht="15" hidden="false" customHeight="true" outlineLevel="0" collapsed="false">
      <c r="A3138" s="42"/>
      <c r="B3138" s="42"/>
      <c r="C3138" s="42"/>
      <c r="D3138" s="28" t="str">
        <f aca="false">IF(OR($B3138="",$C3138=""),"",$C3138*IFERROR(INDEX(Setup!$C$47:$C$56,MATCH($B3138,Setup!$A$47:$A$56,0)),IFERROR(INDEX(Setup!$C$60:$C$89,MATCH($B3138,Setup!$A$60:$A$89,0)),"")))</f>
        <v/>
      </c>
      <c r="E3138" s="42"/>
      <c r="F3138" s="42"/>
    </row>
    <row r="3139" customFormat="false" ht="15" hidden="false" customHeight="true" outlineLevel="0" collapsed="false">
      <c r="A3139" s="42"/>
      <c r="B3139" s="42"/>
      <c r="C3139" s="42"/>
      <c r="D3139" s="28" t="str">
        <f aca="false">IF(OR($B3139="",$C3139=""),"",$C3139*IFERROR(INDEX(Setup!$C$47:$C$56,MATCH($B3139,Setup!$A$47:$A$56,0)),IFERROR(INDEX(Setup!$C$60:$C$89,MATCH($B3139,Setup!$A$60:$A$89,0)),"")))</f>
        <v/>
      </c>
      <c r="E3139" s="42"/>
      <c r="F3139" s="42"/>
    </row>
    <row r="3140" customFormat="false" ht="15" hidden="false" customHeight="true" outlineLevel="0" collapsed="false">
      <c r="A3140" s="42"/>
      <c r="B3140" s="42"/>
      <c r="C3140" s="42"/>
      <c r="D3140" s="28" t="str">
        <f aca="false">IF(OR($B3140="",$C3140=""),"",$C3140*IFERROR(INDEX(Setup!$C$47:$C$56,MATCH($B3140,Setup!$A$47:$A$56,0)),IFERROR(INDEX(Setup!$C$60:$C$89,MATCH($B3140,Setup!$A$60:$A$89,0)),"")))</f>
        <v/>
      </c>
      <c r="E3140" s="42"/>
      <c r="F3140" s="42"/>
    </row>
    <row r="3141" customFormat="false" ht="15" hidden="false" customHeight="true" outlineLevel="0" collapsed="false">
      <c r="A3141" s="42"/>
      <c r="B3141" s="42"/>
      <c r="C3141" s="42"/>
      <c r="D3141" s="28" t="str">
        <f aca="false">IF(OR($B3141="",$C3141=""),"",$C3141*IFERROR(INDEX(Setup!$C$47:$C$56,MATCH($B3141,Setup!$A$47:$A$56,0)),IFERROR(INDEX(Setup!$C$60:$C$89,MATCH($B3141,Setup!$A$60:$A$89,0)),"")))</f>
        <v/>
      </c>
      <c r="E3141" s="42"/>
      <c r="F3141" s="42"/>
    </row>
    <row r="3142" customFormat="false" ht="15" hidden="false" customHeight="true" outlineLevel="0" collapsed="false">
      <c r="A3142" s="42"/>
      <c r="B3142" s="42"/>
      <c r="C3142" s="42"/>
      <c r="D3142" s="28" t="str">
        <f aca="false">IF(OR($B3142="",$C3142=""),"",$C3142*IFERROR(INDEX(Setup!$C$47:$C$56,MATCH($B3142,Setup!$A$47:$A$56,0)),IFERROR(INDEX(Setup!$C$60:$C$89,MATCH($B3142,Setup!$A$60:$A$89,0)),"")))</f>
        <v/>
      </c>
      <c r="E3142" s="42"/>
      <c r="F3142" s="42"/>
    </row>
    <row r="3143" customFormat="false" ht="15" hidden="false" customHeight="true" outlineLevel="0" collapsed="false">
      <c r="A3143" s="42"/>
      <c r="B3143" s="42"/>
      <c r="C3143" s="42"/>
      <c r="D3143" s="28" t="str">
        <f aca="false">IF(OR($B3143="",$C3143=""),"",$C3143*IFERROR(INDEX(Setup!$C$47:$C$56,MATCH($B3143,Setup!$A$47:$A$56,0)),IFERROR(INDEX(Setup!$C$60:$C$89,MATCH($B3143,Setup!$A$60:$A$89,0)),"")))</f>
        <v/>
      </c>
      <c r="E3143" s="42"/>
      <c r="F3143" s="42"/>
    </row>
    <row r="3144" customFormat="false" ht="15" hidden="false" customHeight="true" outlineLevel="0" collapsed="false">
      <c r="A3144" s="42"/>
      <c r="B3144" s="42"/>
      <c r="C3144" s="42"/>
      <c r="D3144" s="28" t="str">
        <f aca="false">IF(OR($B3144="",$C3144=""),"",$C3144*IFERROR(INDEX(Setup!$C$47:$C$56,MATCH($B3144,Setup!$A$47:$A$56,0)),IFERROR(INDEX(Setup!$C$60:$C$89,MATCH($B3144,Setup!$A$60:$A$89,0)),"")))</f>
        <v/>
      </c>
      <c r="E3144" s="42"/>
      <c r="F3144" s="42"/>
    </row>
    <row r="3145" customFormat="false" ht="15" hidden="false" customHeight="true" outlineLevel="0" collapsed="false">
      <c r="A3145" s="42"/>
      <c r="B3145" s="42"/>
      <c r="C3145" s="42"/>
      <c r="D3145" s="28" t="str">
        <f aca="false">IF(OR($B3145="",$C3145=""),"",$C3145*IFERROR(INDEX(Setup!$C$47:$C$56,MATCH($B3145,Setup!$A$47:$A$56,0)),IFERROR(INDEX(Setup!$C$60:$C$89,MATCH($B3145,Setup!$A$60:$A$89,0)),"")))</f>
        <v/>
      </c>
      <c r="E3145" s="42"/>
      <c r="F3145" s="42"/>
    </row>
    <row r="3146" customFormat="false" ht="15" hidden="false" customHeight="true" outlineLevel="0" collapsed="false">
      <c r="A3146" s="42"/>
      <c r="B3146" s="42"/>
      <c r="C3146" s="42"/>
      <c r="D3146" s="28" t="str">
        <f aca="false">IF(OR($B3146="",$C3146=""),"",$C3146*IFERROR(INDEX(Setup!$C$47:$C$56,MATCH($B3146,Setup!$A$47:$A$56,0)),IFERROR(INDEX(Setup!$C$60:$C$89,MATCH($B3146,Setup!$A$60:$A$89,0)),"")))</f>
        <v/>
      </c>
      <c r="E3146" s="42"/>
      <c r="F3146" s="42"/>
    </row>
    <row r="3147" customFormat="false" ht="15" hidden="false" customHeight="true" outlineLevel="0" collapsed="false">
      <c r="A3147" s="42"/>
      <c r="B3147" s="42"/>
      <c r="C3147" s="42"/>
      <c r="D3147" s="28" t="str">
        <f aca="false">IF(OR($B3147="",$C3147=""),"",$C3147*IFERROR(INDEX(Setup!$C$47:$C$56,MATCH($B3147,Setup!$A$47:$A$56,0)),IFERROR(INDEX(Setup!$C$60:$C$89,MATCH($B3147,Setup!$A$60:$A$89,0)),"")))</f>
        <v/>
      </c>
      <c r="E3147" s="42"/>
      <c r="F3147" s="42"/>
    </row>
    <row r="3148" customFormat="false" ht="15" hidden="false" customHeight="true" outlineLevel="0" collapsed="false">
      <c r="A3148" s="42"/>
      <c r="B3148" s="42"/>
      <c r="C3148" s="42"/>
      <c r="D3148" s="28" t="str">
        <f aca="false">IF(OR($B3148="",$C3148=""),"",$C3148*IFERROR(INDEX(Setup!$C$47:$C$56,MATCH($B3148,Setup!$A$47:$A$56,0)),IFERROR(INDEX(Setup!$C$60:$C$89,MATCH($B3148,Setup!$A$60:$A$89,0)),"")))</f>
        <v/>
      </c>
      <c r="E3148" s="42"/>
      <c r="F3148" s="42"/>
    </row>
    <row r="3149" customFormat="false" ht="15" hidden="false" customHeight="true" outlineLevel="0" collapsed="false">
      <c r="A3149" s="42"/>
      <c r="B3149" s="42"/>
      <c r="C3149" s="42"/>
      <c r="D3149" s="28" t="str">
        <f aca="false">IF(OR($B3149="",$C3149=""),"",$C3149*IFERROR(INDEX(Setup!$C$47:$C$56,MATCH($B3149,Setup!$A$47:$A$56,0)),IFERROR(INDEX(Setup!$C$60:$C$89,MATCH($B3149,Setup!$A$60:$A$89,0)),"")))</f>
        <v/>
      </c>
      <c r="E3149" s="42"/>
      <c r="F3149" s="42"/>
    </row>
    <row r="3150" customFormat="false" ht="15" hidden="false" customHeight="true" outlineLevel="0" collapsed="false">
      <c r="A3150" s="42"/>
      <c r="B3150" s="42"/>
      <c r="C3150" s="42"/>
      <c r="D3150" s="28" t="str">
        <f aca="false">IF(OR($B3150="",$C3150=""),"",$C3150*IFERROR(INDEX(Setup!$C$47:$C$56,MATCH($B3150,Setup!$A$47:$A$56,0)),IFERROR(INDEX(Setup!$C$60:$C$89,MATCH($B3150,Setup!$A$60:$A$89,0)),"")))</f>
        <v/>
      </c>
      <c r="E3150" s="42"/>
      <c r="F3150" s="42"/>
    </row>
    <row r="3151" customFormat="false" ht="15" hidden="false" customHeight="true" outlineLevel="0" collapsed="false">
      <c r="A3151" s="42"/>
      <c r="B3151" s="42"/>
      <c r="C3151" s="42"/>
      <c r="D3151" s="28" t="str">
        <f aca="false">IF(OR($B3151="",$C3151=""),"",$C3151*IFERROR(INDEX(Setup!$C$47:$C$56,MATCH($B3151,Setup!$A$47:$A$56,0)),IFERROR(INDEX(Setup!$C$60:$C$89,MATCH($B3151,Setup!$A$60:$A$89,0)),"")))</f>
        <v/>
      </c>
      <c r="E3151" s="42"/>
      <c r="F3151" s="42"/>
    </row>
    <row r="3152" customFormat="false" ht="15" hidden="false" customHeight="true" outlineLevel="0" collapsed="false">
      <c r="A3152" s="42"/>
      <c r="B3152" s="42"/>
      <c r="C3152" s="42"/>
      <c r="D3152" s="28" t="str">
        <f aca="false">IF(OR($B3152="",$C3152=""),"",$C3152*IFERROR(INDEX(Setup!$C$47:$C$56,MATCH($B3152,Setup!$A$47:$A$56,0)),IFERROR(INDEX(Setup!$C$60:$C$89,MATCH($B3152,Setup!$A$60:$A$89,0)),"")))</f>
        <v/>
      </c>
      <c r="E3152" s="42"/>
      <c r="F3152" s="42"/>
    </row>
    <row r="3153" customFormat="false" ht="15" hidden="false" customHeight="true" outlineLevel="0" collapsed="false">
      <c r="A3153" s="42"/>
      <c r="B3153" s="42"/>
      <c r="C3153" s="42"/>
      <c r="D3153" s="28" t="str">
        <f aca="false">IF(OR($B3153="",$C3153=""),"",$C3153*IFERROR(INDEX(Setup!$C$47:$C$56,MATCH($B3153,Setup!$A$47:$A$56,0)),IFERROR(INDEX(Setup!$C$60:$C$89,MATCH($B3153,Setup!$A$60:$A$89,0)),"")))</f>
        <v/>
      </c>
      <c r="E3153" s="42"/>
      <c r="F3153" s="42"/>
    </row>
    <row r="3154" customFormat="false" ht="15" hidden="false" customHeight="true" outlineLevel="0" collapsed="false">
      <c r="A3154" s="42"/>
      <c r="B3154" s="42"/>
      <c r="C3154" s="42"/>
      <c r="D3154" s="28" t="str">
        <f aca="false">IF(OR($B3154="",$C3154=""),"",$C3154*IFERROR(INDEX(Setup!$C$47:$C$56,MATCH($B3154,Setup!$A$47:$A$56,0)),IFERROR(INDEX(Setup!$C$60:$C$89,MATCH($B3154,Setup!$A$60:$A$89,0)),"")))</f>
        <v/>
      </c>
      <c r="E3154" s="42"/>
      <c r="F3154" s="42"/>
    </row>
    <row r="3155" customFormat="false" ht="15" hidden="false" customHeight="true" outlineLevel="0" collapsed="false">
      <c r="A3155" s="42"/>
      <c r="B3155" s="42"/>
      <c r="C3155" s="42"/>
      <c r="D3155" s="28" t="str">
        <f aca="false">IF(OR($B3155="",$C3155=""),"",$C3155*IFERROR(INDEX(Setup!$C$47:$C$56,MATCH($B3155,Setup!$A$47:$A$56,0)),IFERROR(INDEX(Setup!$C$60:$C$89,MATCH($B3155,Setup!$A$60:$A$89,0)),"")))</f>
        <v/>
      </c>
      <c r="E3155" s="42"/>
      <c r="F3155" s="42"/>
    </row>
    <row r="3156" customFormat="false" ht="15" hidden="false" customHeight="true" outlineLevel="0" collapsed="false">
      <c r="A3156" s="42"/>
      <c r="B3156" s="42"/>
      <c r="C3156" s="42"/>
      <c r="D3156" s="28" t="str">
        <f aca="false">IF(OR($B3156="",$C3156=""),"",$C3156*IFERROR(INDEX(Setup!$C$47:$C$56,MATCH($B3156,Setup!$A$47:$A$56,0)),IFERROR(INDEX(Setup!$C$60:$C$89,MATCH($B3156,Setup!$A$60:$A$89,0)),"")))</f>
        <v/>
      </c>
      <c r="E3156" s="42"/>
      <c r="F3156" s="42"/>
    </row>
    <row r="3157" customFormat="false" ht="15" hidden="false" customHeight="true" outlineLevel="0" collapsed="false">
      <c r="A3157" s="42"/>
      <c r="B3157" s="42"/>
      <c r="C3157" s="42"/>
      <c r="D3157" s="28" t="str">
        <f aca="false">IF(OR($B3157="",$C3157=""),"",$C3157*IFERROR(INDEX(Setup!$C$47:$C$56,MATCH($B3157,Setup!$A$47:$A$56,0)),IFERROR(INDEX(Setup!$C$60:$C$89,MATCH($B3157,Setup!$A$60:$A$89,0)),"")))</f>
        <v/>
      </c>
      <c r="E3157" s="42"/>
      <c r="F3157" s="42"/>
    </row>
    <row r="3158" customFormat="false" ht="15" hidden="false" customHeight="true" outlineLevel="0" collapsed="false">
      <c r="A3158" s="42"/>
      <c r="B3158" s="42"/>
      <c r="C3158" s="42"/>
      <c r="D3158" s="28" t="str">
        <f aca="false">IF(OR($B3158="",$C3158=""),"",$C3158*IFERROR(INDEX(Setup!$C$47:$C$56,MATCH($B3158,Setup!$A$47:$A$56,0)),IFERROR(INDEX(Setup!$C$60:$C$89,MATCH($B3158,Setup!$A$60:$A$89,0)),"")))</f>
        <v/>
      </c>
      <c r="E3158" s="42"/>
      <c r="F3158" s="42"/>
    </row>
    <row r="3159" customFormat="false" ht="15" hidden="false" customHeight="true" outlineLevel="0" collapsed="false">
      <c r="A3159" s="42"/>
      <c r="B3159" s="42"/>
      <c r="C3159" s="42"/>
      <c r="D3159" s="28" t="str">
        <f aca="false">IF(OR($B3159="",$C3159=""),"",$C3159*IFERROR(INDEX(Setup!$C$47:$C$56,MATCH($B3159,Setup!$A$47:$A$56,0)),IFERROR(INDEX(Setup!$C$60:$C$89,MATCH($B3159,Setup!$A$60:$A$89,0)),"")))</f>
        <v/>
      </c>
      <c r="E3159" s="42"/>
      <c r="F3159" s="42"/>
    </row>
    <row r="3160" customFormat="false" ht="15" hidden="false" customHeight="true" outlineLevel="0" collapsed="false">
      <c r="A3160" s="42"/>
      <c r="B3160" s="42"/>
      <c r="C3160" s="42"/>
      <c r="D3160" s="28" t="str">
        <f aca="false">IF(OR($B3160="",$C3160=""),"",$C3160*IFERROR(INDEX(Setup!$C$47:$C$56,MATCH($B3160,Setup!$A$47:$A$56,0)),IFERROR(INDEX(Setup!$C$60:$C$89,MATCH($B3160,Setup!$A$60:$A$89,0)),"")))</f>
        <v/>
      </c>
      <c r="E3160" s="42"/>
      <c r="F3160" s="42"/>
    </row>
    <row r="3161" customFormat="false" ht="15" hidden="false" customHeight="true" outlineLevel="0" collapsed="false">
      <c r="A3161" s="42"/>
      <c r="B3161" s="42"/>
      <c r="C3161" s="42"/>
      <c r="D3161" s="28" t="str">
        <f aca="false">IF(OR($B3161="",$C3161=""),"",$C3161*IFERROR(INDEX(Setup!$C$47:$C$56,MATCH($B3161,Setup!$A$47:$A$56,0)),IFERROR(INDEX(Setup!$C$60:$C$89,MATCH($B3161,Setup!$A$60:$A$89,0)),"")))</f>
        <v/>
      </c>
      <c r="E3161" s="42"/>
      <c r="F3161" s="42"/>
    </row>
    <row r="3162" customFormat="false" ht="15" hidden="false" customHeight="true" outlineLevel="0" collapsed="false">
      <c r="A3162" s="42"/>
      <c r="B3162" s="42"/>
      <c r="C3162" s="42"/>
      <c r="D3162" s="28" t="str">
        <f aca="false">IF(OR($B3162="",$C3162=""),"",$C3162*IFERROR(INDEX(Setup!$C$47:$C$56,MATCH($B3162,Setup!$A$47:$A$56,0)),IFERROR(INDEX(Setup!$C$60:$C$89,MATCH($B3162,Setup!$A$60:$A$89,0)),"")))</f>
        <v/>
      </c>
      <c r="E3162" s="42"/>
      <c r="F3162" s="42"/>
    </row>
    <row r="3163" customFormat="false" ht="15" hidden="false" customHeight="true" outlineLevel="0" collapsed="false">
      <c r="A3163" s="42"/>
      <c r="B3163" s="42"/>
      <c r="C3163" s="42"/>
      <c r="D3163" s="28" t="str">
        <f aca="false">IF(OR($B3163="",$C3163=""),"",$C3163*IFERROR(INDEX(Setup!$C$47:$C$56,MATCH($B3163,Setup!$A$47:$A$56,0)),IFERROR(INDEX(Setup!$C$60:$C$89,MATCH($B3163,Setup!$A$60:$A$89,0)),"")))</f>
        <v/>
      </c>
      <c r="E3163" s="42"/>
      <c r="F3163" s="42"/>
    </row>
    <row r="3164" customFormat="false" ht="15" hidden="false" customHeight="true" outlineLevel="0" collapsed="false">
      <c r="A3164" s="42"/>
      <c r="B3164" s="42"/>
      <c r="C3164" s="42"/>
      <c r="D3164" s="28" t="str">
        <f aca="false">IF(OR($B3164="",$C3164=""),"",$C3164*IFERROR(INDEX(Setup!$C$47:$C$56,MATCH($B3164,Setup!$A$47:$A$56,0)),IFERROR(INDEX(Setup!$C$60:$C$89,MATCH($B3164,Setup!$A$60:$A$89,0)),"")))</f>
        <v/>
      </c>
      <c r="E3164" s="42"/>
      <c r="F3164" s="42"/>
    </row>
    <row r="3165" customFormat="false" ht="15" hidden="false" customHeight="true" outlineLevel="0" collapsed="false">
      <c r="A3165" s="42"/>
      <c r="B3165" s="42"/>
      <c r="C3165" s="42"/>
      <c r="D3165" s="28" t="str">
        <f aca="false">IF(OR($B3165="",$C3165=""),"",$C3165*IFERROR(INDEX(Setup!$C$47:$C$56,MATCH($B3165,Setup!$A$47:$A$56,0)),IFERROR(INDEX(Setup!$C$60:$C$89,MATCH($B3165,Setup!$A$60:$A$89,0)),"")))</f>
        <v/>
      </c>
      <c r="E3165" s="42"/>
      <c r="F3165" s="42"/>
    </row>
    <row r="3166" customFormat="false" ht="15" hidden="false" customHeight="true" outlineLevel="0" collapsed="false">
      <c r="A3166" s="42"/>
      <c r="B3166" s="42"/>
      <c r="C3166" s="42"/>
      <c r="D3166" s="28" t="str">
        <f aca="false">IF(OR($B3166="",$C3166=""),"",$C3166*IFERROR(INDEX(Setup!$C$47:$C$56,MATCH($B3166,Setup!$A$47:$A$56,0)),IFERROR(INDEX(Setup!$C$60:$C$89,MATCH($B3166,Setup!$A$60:$A$89,0)),"")))</f>
        <v/>
      </c>
      <c r="E3166" s="42"/>
      <c r="F3166" s="42"/>
    </row>
    <row r="3167" customFormat="false" ht="15" hidden="false" customHeight="true" outlineLevel="0" collapsed="false">
      <c r="A3167" s="42"/>
      <c r="B3167" s="42"/>
      <c r="C3167" s="42"/>
      <c r="D3167" s="28" t="str">
        <f aca="false">IF(OR($B3167="",$C3167=""),"",$C3167*IFERROR(INDEX(Setup!$C$47:$C$56,MATCH($B3167,Setup!$A$47:$A$56,0)),IFERROR(INDEX(Setup!$C$60:$C$89,MATCH($B3167,Setup!$A$60:$A$89,0)),"")))</f>
        <v/>
      </c>
      <c r="E3167" s="42"/>
      <c r="F3167" s="42"/>
    </row>
    <row r="3168" customFormat="false" ht="15" hidden="false" customHeight="true" outlineLevel="0" collapsed="false">
      <c r="A3168" s="42"/>
      <c r="B3168" s="42"/>
      <c r="C3168" s="42"/>
      <c r="D3168" s="28" t="str">
        <f aca="false">IF(OR($B3168="",$C3168=""),"",$C3168*IFERROR(INDEX(Setup!$C$47:$C$56,MATCH($B3168,Setup!$A$47:$A$56,0)),IFERROR(INDEX(Setup!$C$60:$C$89,MATCH($B3168,Setup!$A$60:$A$89,0)),"")))</f>
        <v/>
      </c>
      <c r="E3168" s="42"/>
      <c r="F3168" s="42"/>
    </row>
    <row r="3169" customFormat="false" ht="15" hidden="false" customHeight="true" outlineLevel="0" collapsed="false">
      <c r="A3169" s="42"/>
      <c r="B3169" s="42"/>
      <c r="C3169" s="42"/>
      <c r="D3169" s="28" t="str">
        <f aca="false">IF(OR($B3169="",$C3169=""),"",$C3169*IFERROR(INDEX(Setup!$C$47:$C$56,MATCH($B3169,Setup!$A$47:$A$56,0)),IFERROR(INDEX(Setup!$C$60:$C$89,MATCH($B3169,Setup!$A$60:$A$89,0)),"")))</f>
        <v/>
      </c>
      <c r="E3169" s="42"/>
      <c r="F3169" s="42"/>
    </row>
    <row r="3170" customFormat="false" ht="15" hidden="false" customHeight="true" outlineLevel="0" collapsed="false">
      <c r="A3170" s="42"/>
      <c r="B3170" s="42"/>
      <c r="C3170" s="42"/>
      <c r="D3170" s="28" t="str">
        <f aca="false">IF(OR($B3170="",$C3170=""),"",$C3170*IFERROR(INDEX(Setup!$C$47:$C$56,MATCH($B3170,Setup!$A$47:$A$56,0)),IFERROR(INDEX(Setup!$C$60:$C$89,MATCH($B3170,Setup!$A$60:$A$89,0)),"")))</f>
        <v/>
      </c>
      <c r="E3170" s="42"/>
      <c r="F3170" s="42"/>
    </row>
    <row r="3171" customFormat="false" ht="15" hidden="false" customHeight="true" outlineLevel="0" collapsed="false">
      <c r="A3171" s="42"/>
      <c r="B3171" s="42"/>
      <c r="C3171" s="42"/>
      <c r="D3171" s="28" t="str">
        <f aca="false">IF(OR($B3171="",$C3171=""),"",$C3171*IFERROR(INDEX(Setup!$C$47:$C$56,MATCH($B3171,Setup!$A$47:$A$56,0)),IFERROR(INDEX(Setup!$C$60:$C$89,MATCH($B3171,Setup!$A$60:$A$89,0)),"")))</f>
        <v/>
      </c>
      <c r="E3171" s="42"/>
      <c r="F3171" s="42"/>
    </row>
    <row r="3172" customFormat="false" ht="15" hidden="false" customHeight="true" outlineLevel="0" collapsed="false">
      <c r="A3172" s="42"/>
      <c r="B3172" s="42"/>
      <c r="C3172" s="42"/>
      <c r="D3172" s="28" t="str">
        <f aca="false">IF(OR($B3172="",$C3172=""),"",$C3172*IFERROR(INDEX(Setup!$C$47:$C$56,MATCH($B3172,Setup!$A$47:$A$56,0)),IFERROR(INDEX(Setup!$C$60:$C$89,MATCH($B3172,Setup!$A$60:$A$89,0)),"")))</f>
        <v/>
      </c>
      <c r="E3172" s="42"/>
      <c r="F3172" s="42"/>
    </row>
    <row r="3173" customFormat="false" ht="15" hidden="false" customHeight="true" outlineLevel="0" collapsed="false">
      <c r="A3173" s="42"/>
      <c r="B3173" s="42"/>
      <c r="C3173" s="42"/>
      <c r="D3173" s="28" t="str">
        <f aca="false">IF(OR($B3173="",$C3173=""),"",$C3173*IFERROR(INDEX(Setup!$C$47:$C$56,MATCH($B3173,Setup!$A$47:$A$56,0)),IFERROR(INDEX(Setup!$C$60:$C$89,MATCH($B3173,Setup!$A$60:$A$89,0)),"")))</f>
        <v/>
      </c>
      <c r="E3173" s="42"/>
      <c r="F3173" s="42"/>
    </row>
    <row r="3174" customFormat="false" ht="15" hidden="false" customHeight="true" outlineLevel="0" collapsed="false">
      <c r="A3174" s="42"/>
      <c r="B3174" s="42"/>
      <c r="C3174" s="42"/>
      <c r="D3174" s="28" t="str">
        <f aca="false">IF(OR($B3174="",$C3174=""),"",$C3174*IFERROR(INDEX(Setup!$C$47:$C$56,MATCH($B3174,Setup!$A$47:$A$56,0)),IFERROR(INDEX(Setup!$C$60:$C$89,MATCH($B3174,Setup!$A$60:$A$89,0)),"")))</f>
        <v/>
      </c>
      <c r="E3174" s="42"/>
      <c r="F3174" s="42"/>
    </row>
    <row r="3175" customFormat="false" ht="15" hidden="false" customHeight="true" outlineLevel="0" collapsed="false">
      <c r="A3175" s="42"/>
      <c r="B3175" s="42"/>
      <c r="C3175" s="42"/>
      <c r="D3175" s="28" t="str">
        <f aca="false">IF(OR($B3175="",$C3175=""),"",$C3175*IFERROR(INDEX(Setup!$C$47:$C$56,MATCH($B3175,Setup!$A$47:$A$56,0)),IFERROR(INDEX(Setup!$C$60:$C$89,MATCH($B3175,Setup!$A$60:$A$89,0)),"")))</f>
        <v/>
      </c>
      <c r="E3175" s="42"/>
      <c r="F3175" s="42"/>
    </row>
    <row r="3176" customFormat="false" ht="15" hidden="false" customHeight="true" outlineLevel="0" collapsed="false">
      <c r="A3176" s="42"/>
      <c r="B3176" s="42"/>
      <c r="C3176" s="42"/>
      <c r="D3176" s="28" t="str">
        <f aca="false">IF(OR($B3176="",$C3176=""),"",$C3176*IFERROR(INDEX(Setup!$C$47:$C$56,MATCH($B3176,Setup!$A$47:$A$56,0)),IFERROR(INDEX(Setup!$C$60:$C$89,MATCH($B3176,Setup!$A$60:$A$89,0)),"")))</f>
        <v/>
      </c>
      <c r="E3176" s="42"/>
      <c r="F3176" s="42"/>
    </row>
    <row r="3177" customFormat="false" ht="15" hidden="false" customHeight="true" outlineLevel="0" collapsed="false">
      <c r="A3177" s="42"/>
      <c r="B3177" s="42"/>
      <c r="C3177" s="42"/>
      <c r="D3177" s="28" t="str">
        <f aca="false">IF(OR($B3177="",$C3177=""),"",$C3177*IFERROR(INDEX(Setup!$C$47:$C$56,MATCH($B3177,Setup!$A$47:$A$56,0)),IFERROR(INDEX(Setup!$C$60:$C$89,MATCH($B3177,Setup!$A$60:$A$89,0)),"")))</f>
        <v/>
      </c>
      <c r="E3177" s="42"/>
      <c r="F3177" s="42"/>
    </row>
    <row r="3178" customFormat="false" ht="15" hidden="false" customHeight="true" outlineLevel="0" collapsed="false">
      <c r="A3178" s="42"/>
      <c r="B3178" s="42"/>
      <c r="C3178" s="42"/>
      <c r="D3178" s="28" t="str">
        <f aca="false">IF(OR($B3178="",$C3178=""),"",$C3178*IFERROR(INDEX(Setup!$C$47:$C$56,MATCH($B3178,Setup!$A$47:$A$56,0)),IFERROR(INDEX(Setup!$C$60:$C$89,MATCH($B3178,Setup!$A$60:$A$89,0)),"")))</f>
        <v/>
      </c>
      <c r="E3178" s="42"/>
      <c r="F3178" s="42"/>
    </row>
    <row r="3179" customFormat="false" ht="15" hidden="false" customHeight="true" outlineLevel="0" collapsed="false">
      <c r="A3179" s="42"/>
      <c r="B3179" s="42"/>
      <c r="C3179" s="42"/>
      <c r="D3179" s="28" t="str">
        <f aca="false">IF(OR($B3179="",$C3179=""),"",$C3179*IFERROR(INDEX(Setup!$C$47:$C$56,MATCH($B3179,Setup!$A$47:$A$56,0)),IFERROR(INDEX(Setup!$C$60:$C$89,MATCH($B3179,Setup!$A$60:$A$89,0)),"")))</f>
        <v/>
      </c>
      <c r="E3179" s="42"/>
      <c r="F3179" s="42"/>
    </row>
    <row r="3180" customFormat="false" ht="15" hidden="false" customHeight="true" outlineLevel="0" collapsed="false">
      <c r="A3180" s="42"/>
      <c r="B3180" s="42"/>
      <c r="C3180" s="42"/>
      <c r="D3180" s="28" t="str">
        <f aca="false">IF(OR($B3180="",$C3180=""),"",$C3180*IFERROR(INDEX(Setup!$C$47:$C$56,MATCH($B3180,Setup!$A$47:$A$56,0)),IFERROR(INDEX(Setup!$C$60:$C$89,MATCH($B3180,Setup!$A$60:$A$89,0)),"")))</f>
        <v/>
      </c>
      <c r="E3180" s="42"/>
      <c r="F3180" s="42"/>
    </row>
    <row r="3181" customFormat="false" ht="15" hidden="false" customHeight="true" outlineLevel="0" collapsed="false">
      <c r="A3181" s="42"/>
      <c r="B3181" s="42"/>
      <c r="C3181" s="42"/>
      <c r="D3181" s="28" t="str">
        <f aca="false">IF(OR($B3181="",$C3181=""),"",$C3181*IFERROR(INDEX(Setup!$C$47:$C$56,MATCH($B3181,Setup!$A$47:$A$56,0)),IFERROR(INDEX(Setup!$C$60:$C$89,MATCH($B3181,Setup!$A$60:$A$89,0)),"")))</f>
        <v/>
      </c>
      <c r="E3181" s="42"/>
      <c r="F3181" s="42"/>
    </row>
    <row r="3182" customFormat="false" ht="15" hidden="false" customHeight="true" outlineLevel="0" collapsed="false">
      <c r="A3182" s="42"/>
      <c r="B3182" s="42"/>
      <c r="C3182" s="42"/>
      <c r="D3182" s="28" t="str">
        <f aca="false">IF(OR($B3182="",$C3182=""),"",$C3182*IFERROR(INDEX(Setup!$C$47:$C$56,MATCH($B3182,Setup!$A$47:$A$56,0)),IFERROR(INDEX(Setup!$C$60:$C$89,MATCH($B3182,Setup!$A$60:$A$89,0)),"")))</f>
        <v/>
      </c>
      <c r="E3182" s="42"/>
      <c r="F3182" s="42"/>
    </row>
    <row r="3183" customFormat="false" ht="15" hidden="false" customHeight="true" outlineLevel="0" collapsed="false">
      <c r="A3183" s="42"/>
      <c r="B3183" s="42"/>
      <c r="C3183" s="42"/>
      <c r="D3183" s="28" t="str">
        <f aca="false">IF(OR($B3183="",$C3183=""),"",$C3183*IFERROR(INDEX(Setup!$C$47:$C$56,MATCH($B3183,Setup!$A$47:$A$56,0)),IFERROR(INDEX(Setup!$C$60:$C$89,MATCH($B3183,Setup!$A$60:$A$89,0)),"")))</f>
        <v/>
      </c>
      <c r="E3183" s="42"/>
      <c r="F3183" s="42"/>
    </row>
    <row r="3184" customFormat="false" ht="15" hidden="false" customHeight="true" outlineLevel="0" collapsed="false">
      <c r="A3184" s="42"/>
      <c r="B3184" s="42"/>
      <c r="C3184" s="42"/>
      <c r="D3184" s="28" t="str">
        <f aca="false">IF(OR($B3184="",$C3184=""),"",$C3184*IFERROR(INDEX(Setup!$C$47:$C$56,MATCH($B3184,Setup!$A$47:$A$56,0)),IFERROR(INDEX(Setup!$C$60:$C$89,MATCH($B3184,Setup!$A$60:$A$89,0)),"")))</f>
        <v/>
      </c>
      <c r="E3184" s="42"/>
      <c r="F3184" s="42"/>
    </row>
    <row r="3185" customFormat="false" ht="15" hidden="false" customHeight="true" outlineLevel="0" collapsed="false">
      <c r="A3185" s="42"/>
      <c r="B3185" s="42"/>
      <c r="C3185" s="42"/>
      <c r="D3185" s="28" t="str">
        <f aca="false">IF(OR($B3185="",$C3185=""),"",$C3185*IFERROR(INDEX(Setup!$C$47:$C$56,MATCH($B3185,Setup!$A$47:$A$56,0)),IFERROR(INDEX(Setup!$C$60:$C$89,MATCH($B3185,Setup!$A$60:$A$89,0)),"")))</f>
        <v/>
      </c>
      <c r="E3185" s="42"/>
      <c r="F3185" s="42"/>
    </row>
    <row r="3186" customFormat="false" ht="15" hidden="false" customHeight="true" outlineLevel="0" collapsed="false">
      <c r="A3186" s="42"/>
      <c r="B3186" s="42"/>
      <c r="C3186" s="42"/>
      <c r="D3186" s="28" t="str">
        <f aca="false">IF(OR($B3186="",$C3186=""),"",$C3186*IFERROR(INDEX(Setup!$C$47:$C$56,MATCH($B3186,Setup!$A$47:$A$56,0)),IFERROR(INDEX(Setup!$C$60:$C$89,MATCH($B3186,Setup!$A$60:$A$89,0)),"")))</f>
        <v/>
      </c>
      <c r="E3186" s="42"/>
      <c r="F3186" s="42"/>
    </row>
    <row r="3187" customFormat="false" ht="15" hidden="false" customHeight="true" outlineLevel="0" collapsed="false">
      <c r="A3187" s="42"/>
      <c r="B3187" s="42"/>
      <c r="C3187" s="42"/>
      <c r="D3187" s="28" t="str">
        <f aca="false">IF(OR($B3187="",$C3187=""),"",$C3187*IFERROR(INDEX(Setup!$C$47:$C$56,MATCH($B3187,Setup!$A$47:$A$56,0)),IFERROR(INDEX(Setup!$C$60:$C$89,MATCH($B3187,Setup!$A$60:$A$89,0)),"")))</f>
        <v/>
      </c>
      <c r="E3187" s="42"/>
      <c r="F3187" s="42"/>
    </row>
    <row r="3188" customFormat="false" ht="15" hidden="false" customHeight="true" outlineLevel="0" collapsed="false">
      <c r="A3188" s="42"/>
      <c r="B3188" s="42"/>
      <c r="C3188" s="42"/>
      <c r="D3188" s="28" t="str">
        <f aca="false">IF(OR($B3188="",$C3188=""),"",$C3188*IFERROR(INDEX(Setup!$C$47:$C$56,MATCH($B3188,Setup!$A$47:$A$56,0)),IFERROR(INDEX(Setup!$C$60:$C$89,MATCH($B3188,Setup!$A$60:$A$89,0)),"")))</f>
        <v/>
      </c>
      <c r="E3188" s="42"/>
      <c r="F3188" s="42"/>
    </row>
    <row r="3189" customFormat="false" ht="15" hidden="false" customHeight="true" outlineLevel="0" collapsed="false">
      <c r="A3189" s="42"/>
      <c r="B3189" s="42"/>
      <c r="C3189" s="42"/>
      <c r="D3189" s="28" t="str">
        <f aca="false">IF(OR($B3189="",$C3189=""),"",$C3189*IFERROR(INDEX(Setup!$C$47:$C$56,MATCH($B3189,Setup!$A$47:$A$56,0)),IFERROR(INDEX(Setup!$C$60:$C$89,MATCH($B3189,Setup!$A$60:$A$89,0)),"")))</f>
        <v/>
      </c>
      <c r="E3189" s="42"/>
      <c r="F3189" s="42"/>
    </row>
    <row r="3190" customFormat="false" ht="15" hidden="false" customHeight="true" outlineLevel="0" collapsed="false">
      <c r="A3190" s="42"/>
      <c r="B3190" s="42"/>
      <c r="C3190" s="42"/>
      <c r="D3190" s="28" t="str">
        <f aca="false">IF(OR($B3190="",$C3190=""),"",$C3190*IFERROR(INDEX(Setup!$C$47:$C$56,MATCH($B3190,Setup!$A$47:$A$56,0)),IFERROR(INDEX(Setup!$C$60:$C$89,MATCH($B3190,Setup!$A$60:$A$89,0)),"")))</f>
        <v/>
      </c>
      <c r="E3190" s="42"/>
      <c r="F3190" s="42"/>
    </row>
    <row r="3191" customFormat="false" ht="15" hidden="false" customHeight="true" outlineLevel="0" collapsed="false">
      <c r="A3191" s="42"/>
      <c r="B3191" s="42"/>
      <c r="C3191" s="42"/>
      <c r="D3191" s="28" t="str">
        <f aca="false">IF(OR($B3191="",$C3191=""),"",$C3191*IFERROR(INDEX(Setup!$C$47:$C$56,MATCH($B3191,Setup!$A$47:$A$56,0)),IFERROR(INDEX(Setup!$C$60:$C$89,MATCH($B3191,Setup!$A$60:$A$89,0)),"")))</f>
        <v/>
      </c>
      <c r="E3191" s="42"/>
      <c r="F3191" s="42"/>
    </row>
    <row r="3192" customFormat="false" ht="15" hidden="false" customHeight="true" outlineLevel="0" collapsed="false">
      <c r="A3192" s="42"/>
      <c r="B3192" s="42"/>
      <c r="C3192" s="42"/>
      <c r="D3192" s="28" t="str">
        <f aca="false">IF(OR($B3192="",$C3192=""),"",$C3192*IFERROR(INDEX(Setup!$C$47:$C$56,MATCH($B3192,Setup!$A$47:$A$56,0)),IFERROR(INDEX(Setup!$C$60:$C$89,MATCH($B3192,Setup!$A$60:$A$89,0)),"")))</f>
        <v/>
      </c>
      <c r="E3192" s="42"/>
      <c r="F3192" s="42"/>
    </row>
    <row r="3193" customFormat="false" ht="15" hidden="false" customHeight="true" outlineLevel="0" collapsed="false">
      <c r="A3193" s="42"/>
      <c r="B3193" s="42"/>
      <c r="C3193" s="42"/>
      <c r="D3193" s="28" t="str">
        <f aca="false">IF(OR($B3193="",$C3193=""),"",$C3193*IFERROR(INDEX(Setup!$C$47:$C$56,MATCH($B3193,Setup!$A$47:$A$56,0)),IFERROR(INDEX(Setup!$C$60:$C$89,MATCH($B3193,Setup!$A$60:$A$89,0)),"")))</f>
        <v/>
      </c>
      <c r="E3193" s="42"/>
      <c r="F3193" s="42"/>
    </row>
    <row r="3194" customFormat="false" ht="15" hidden="false" customHeight="true" outlineLevel="0" collapsed="false">
      <c r="A3194" s="42"/>
      <c r="B3194" s="42"/>
      <c r="C3194" s="42"/>
      <c r="D3194" s="28" t="str">
        <f aca="false">IF(OR($B3194="",$C3194=""),"",$C3194*IFERROR(INDEX(Setup!$C$47:$C$56,MATCH($B3194,Setup!$A$47:$A$56,0)),IFERROR(INDEX(Setup!$C$60:$C$89,MATCH($B3194,Setup!$A$60:$A$89,0)),"")))</f>
        <v/>
      </c>
      <c r="E3194" s="42"/>
      <c r="F3194" s="42"/>
    </row>
    <row r="3195" customFormat="false" ht="15" hidden="false" customHeight="true" outlineLevel="0" collapsed="false">
      <c r="A3195" s="42"/>
      <c r="B3195" s="42"/>
      <c r="C3195" s="42"/>
      <c r="D3195" s="28" t="str">
        <f aca="false">IF(OR($B3195="",$C3195=""),"",$C3195*IFERROR(INDEX(Setup!$C$47:$C$56,MATCH($B3195,Setup!$A$47:$A$56,0)),IFERROR(INDEX(Setup!$C$60:$C$89,MATCH($B3195,Setup!$A$60:$A$89,0)),"")))</f>
        <v/>
      </c>
      <c r="E3195" s="42"/>
      <c r="F3195" s="42"/>
    </row>
    <row r="3196" customFormat="false" ht="15" hidden="false" customHeight="true" outlineLevel="0" collapsed="false">
      <c r="A3196" s="42"/>
      <c r="B3196" s="42"/>
      <c r="C3196" s="42"/>
      <c r="D3196" s="28" t="str">
        <f aca="false">IF(OR($B3196="",$C3196=""),"",$C3196*IFERROR(INDEX(Setup!$C$47:$C$56,MATCH($B3196,Setup!$A$47:$A$56,0)),IFERROR(INDEX(Setup!$C$60:$C$89,MATCH($B3196,Setup!$A$60:$A$89,0)),"")))</f>
        <v/>
      </c>
      <c r="E3196" s="42"/>
      <c r="F3196" s="42"/>
    </row>
    <row r="3197" customFormat="false" ht="15" hidden="false" customHeight="true" outlineLevel="0" collapsed="false">
      <c r="A3197" s="42"/>
      <c r="B3197" s="42"/>
      <c r="C3197" s="42"/>
      <c r="D3197" s="28" t="str">
        <f aca="false">IF(OR($B3197="",$C3197=""),"",$C3197*IFERROR(INDEX(Setup!$C$47:$C$56,MATCH($B3197,Setup!$A$47:$A$56,0)),IFERROR(INDEX(Setup!$C$60:$C$89,MATCH($B3197,Setup!$A$60:$A$89,0)),"")))</f>
        <v/>
      </c>
      <c r="E3197" s="42"/>
      <c r="F3197" s="42"/>
    </row>
    <row r="3198" customFormat="false" ht="15" hidden="false" customHeight="true" outlineLevel="0" collapsed="false">
      <c r="A3198" s="42"/>
      <c r="B3198" s="42"/>
      <c r="C3198" s="42"/>
      <c r="D3198" s="28" t="str">
        <f aca="false">IF(OR($B3198="",$C3198=""),"",$C3198*IFERROR(INDEX(Setup!$C$47:$C$56,MATCH($B3198,Setup!$A$47:$A$56,0)),IFERROR(INDEX(Setup!$C$60:$C$89,MATCH($B3198,Setup!$A$60:$A$89,0)),"")))</f>
        <v/>
      </c>
      <c r="E3198" s="42"/>
      <c r="F3198" s="42"/>
    </row>
    <row r="3199" customFormat="false" ht="15" hidden="false" customHeight="true" outlineLevel="0" collapsed="false">
      <c r="A3199" s="42"/>
      <c r="B3199" s="42"/>
      <c r="C3199" s="42"/>
      <c r="D3199" s="28" t="str">
        <f aca="false">IF(OR($B3199="",$C3199=""),"",$C3199*IFERROR(INDEX(Setup!$C$47:$C$56,MATCH($B3199,Setup!$A$47:$A$56,0)),IFERROR(INDEX(Setup!$C$60:$C$89,MATCH($B3199,Setup!$A$60:$A$89,0)),"")))</f>
        <v/>
      </c>
      <c r="E3199" s="42"/>
      <c r="F3199" s="42"/>
    </row>
    <row r="3200" customFormat="false" ht="15" hidden="false" customHeight="true" outlineLevel="0" collapsed="false">
      <c r="A3200" s="42"/>
      <c r="B3200" s="42"/>
      <c r="C3200" s="42"/>
      <c r="D3200" s="28" t="str">
        <f aca="false">IF(OR($B3200="",$C3200=""),"",$C3200*IFERROR(INDEX(Setup!$C$47:$C$56,MATCH($B3200,Setup!$A$47:$A$56,0)),IFERROR(INDEX(Setup!$C$60:$C$89,MATCH($B3200,Setup!$A$60:$A$89,0)),"")))</f>
        <v/>
      </c>
      <c r="E3200" s="42"/>
      <c r="F3200" s="42"/>
    </row>
    <row r="3201" customFormat="false" ht="15" hidden="false" customHeight="true" outlineLevel="0" collapsed="false">
      <c r="A3201" s="42"/>
      <c r="B3201" s="42"/>
      <c r="C3201" s="42"/>
      <c r="D3201" s="28" t="str">
        <f aca="false">IF(OR($B3201="",$C3201=""),"",$C3201*IFERROR(INDEX(Setup!$C$47:$C$56,MATCH($B3201,Setup!$A$47:$A$56,0)),IFERROR(INDEX(Setup!$C$60:$C$89,MATCH($B3201,Setup!$A$60:$A$89,0)),"")))</f>
        <v/>
      </c>
      <c r="E3201" s="42"/>
      <c r="F3201" s="42"/>
    </row>
    <row r="3202" customFormat="false" ht="15" hidden="false" customHeight="true" outlineLevel="0" collapsed="false">
      <c r="A3202" s="42"/>
      <c r="B3202" s="42"/>
      <c r="C3202" s="42"/>
      <c r="D3202" s="28" t="str">
        <f aca="false">IF(OR($B3202="",$C3202=""),"",$C3202*IFERROR(INDEX(Setup!$C$47:$C$56,MATCH($B3202,Setup!$A$47:$A$56,0)),IFERROR(INDEX(Setup!$C$60:$C$89,MATCH($B3202,Setup!$A$60:$A$89,0)),"")))</f>
        <v/>
      </c>
      <c r="E3202" s="42"/>
      <c r="F3202" s="42"/>
    </row>
    <row r="3203" customFormat="false" ht="15" hidden="false" customHeight="true" outlineLevel="0" collapsed="false">
      <c r="A3203" s="42"/>
      <c r="B3203" s="42"/>
      <c r="C3203" s="42"/>
      <c r="D3203" s="28" t="str">
        <f aca="false">IF(OR($B3203="",$C3203=""),"",$C3203*IFERROR(INDEX(Setup!$C$47:$C$56,MATCH($B3203,Setup!$A$47:$A$56,0)),IFERROR(INDEX(Setup!$C$60:$C$89,MATCH($B3203,Setup!$A$60:$A$89,0)),"")))</f>
        <v/>
      </c>
      <c r="E3203" s="42"/>
      <c r="F3203" s="42"/>
    </row>
    <row r="3204" customFormat="false" ht="15" hidden="false" customHeight="true" outlineLevel="0" collapsed="false">
      <c r="A3204" s="42"/>
      <c r="B3204" s="42"/>
      <c r="C3204" s="42"/>
      <c r="D3204" s="28" t="str">
        <f aca="false">IF(OR($B3204="",$C3204=""),"",$C3204*IFERROR(INDEX(Setup!$C$47:$C$56,MATCH($B3204,Setup!$A$47:$A$56,0)),IFERROR(INDEX(Setup!$C$60:$C$89,MATCH($B3204,Setup!$A$60:$A$89,0)),"")))</f>
        <v/>
      </c>
      <c r="E3204" s="42"/>
      <c r="F3204" s="42"/>
    </row>
    <row r="3205" customFormat="false" ht="15" hidden="false" customHeight="true" outlineLevel="0" collapsed="false">
      <c r="A3205" s="42"/>
      <c r="B3205" s="42"/>
      <c r="C3205" s="42"/>
      <c r="D3205" s="28" t="str">
        <f aca="false">IF(OR($B3205="",$C3205=""),"",$C3205*IFERROR(INDEX(Setup!$C$47:$C$56,MATCH($B3205,Setup!$A$47:$A$56,0)),IFERROR(INDEX(Setup!$C$60:$C$89,MATCH($B3205,Setup!$A$60:$A$89,0)),"")))</f>
        <v/>
      </c>
      <c r="E3205" s="42"/>
      <c r="F3205" s="42"/>
    </row>
    <row r="3206" customFormat="false" ht="15" hidden="false" customHeight="true" outlineLevel="0" collapsed="false">
      <c r="A3206" s="42"/>
      <c r="B3206" s="42"/>
      <c r="C3206" s="42"/>
      <c r="D3206" s="28" t="str">
        <f aca="false">IF(OR($B3206="",$C3206=""),"",$C3206*IFERROR(INDEX(Setup!$C$47:$C$56,MATCH($B3206,Setup!$A$47:$A$56,0)),IFERROR(INDEX(Setup!$C$60:$C$89,MATCH($B3206,Setup!$A$60:$A$89,0)),"")))</f>
        <v/>
      </c>
      <c r="E3206" s="42"/>
      <c r="F3206" s="42"/>
    </row>
    <row r="3207" customFormat="false" ht="15" hidden="false" customHeight="true" outlineLevel="0" collapsed="false">
      <c r="A3207" s="42"/>
      <c r="B3207" s="42"/>
      <c r="C3207" s="42"/>
      <c r="D3207" s="28" t="str">
        <f aca="false">IF(OR($B3207="",$C3207=""),"",$C3207*IFERROR(INDEX(Setup!$C$47:$C$56,MATCH($B3207,Setup!$A$47:$A$56,0)),IFERROR(INDEX(Setup!$C$60:$C$89,MATCH($B3207,Setup!$A$60:$A$89,0)),"")))</f>
        <v/>
      </c>
      <c r="E3207" s="42"/>
      <c r="F3207" s="42"/>
    </row>
    <row r="3208" customFormat="false" ht="15" hidden="false" customHeight="true" outlineLevel="0" collapsed="false">
      <c r="A3208" s="42"/>
      <c r="B3208" s="42"/>
      <c r="C3208" s="42"/>
      <c r="D3208" s="28" t="str">
        <f aca="false">IF(OR($B3208="",$C3208=""),"",$C3208*IFERROR(INDEX(Setup!$C$47:$C$56,MATCH($B3208,Setup!$A$47:$A$56,0)),IFERROR(INDEX(Setup!$C$60:$C$89,MATCH($B3208,Setup!$A$60:$A$89,0)),"")))</f>
        <v/>
      </c>
      <c r="E3208" s="42"/>
      <c r="F3208" s="42"/>
    </row>
    <row r="3209" customFormat="false" ht="15" hidden="false" customHeight="true" outlineLevel="0" collapsed="false">
      <c r="A3209" s="42"/>
      <c r="B3209" s="42"/>
      <c r="C3209" s="42"/>
      <c r="D3209" s="28" t="str">
        <f aca="false">IF(OR($B3209="",$C3209=""),"",$C3209*IFERROR(INDEX(Setup!$C$47:$C$56,MATCH($B3209,Setup!$A$47:$A$56,0)),IFERROR(INDEX(Setup!$C$60:$C$89,MATCH($B3209,Setup!$A$60:$A$89,0)),"")))</f>
        <v/>
      </c>
      <c r="E3209" s="42"/>
      <c r="F3209" s="42"/>
    </row>
    <row r="3210" customFormat="false" ht="15" hidden="false" customHeight="true" outlineLevel="0" collapsed="false">
      <c r="A3210" s="42"/>
      <c r="B3210" s="42"/>
      <c r="C3210" s="42"/>
      <c r="D3210" s="28" t="str">
        <f aca="false">IF(OR($B3210="",$C3210=""),"",$C3210*IFERROR(INDEX(Setup!$C$47:$C$56,MATCH($B3210,Setup!$A$47:$A$56,0)),IFERROR(INDEX(Setup!$C$60:$C$89,MATCH($B3210,Setup!$A$60:$A$89,0)),"")))</f>
        <v/>
      </c>
      <c r="E3210" s="42"/>
      <c r="F3210" s="42"/>
    </row>
    <row r="3211" customFormat="false" ht="15" hidden="false" customHeight="true" outlineLevel="0" collapsed="false">
      <c r="A3211" s="42"/>
      <c r="B3211" s="42"/>
      <c r="C3211" s="42"/>
      <c r="D3211" s="28" t="str">
        <f aca="false">IF(OR($B3211="",$C3211=""),"",$C3211*IFERROR(INDEX(Setup!$C$47:$C$56,MATCH($B3211,Setup!$A$47:$A$56,0)),IFERROR(INDEX(Setup!$C$60:$C$89,MATCH($B3211,Setup!$A$60:$A$89,0)),"")))</f>
        <v/>
      </c>
      <c r="E3211" s="42"/>
      <c r="F3211" s="42"/>
    </row>
    <row r="3212" customFormat="false" ht="15" hidden="false" customHeight="true" outlineLevel="0" collapsed="false">
      <c r="A3212" s="42"/>
      <c r="B3212" s="42"/>
      <c r="C3212" s="42"/>
      <c r="D3212" s="28" t="str">
        <f aca="false">IF(OR($B3212="",$C3212=""),"",$C3212*IFERROR(INDEX(Setup!$C$47:$C$56,MATCH($B3212,Setup!$A$47:$A$56,0)),IFERROR(INDEX(Setup!$C$60:$C$89,MATCH($B3212,Setup!$A$60:$A$89,0)),"")))</f>
        <v/>
      </c>
      <c r="E3212" s="42"/>
      <c r="F3212" s="42"/>
    </row>
    <row r="3213" customFormat="false" ht="15" hidden="false" customHeight="true" outlineLevel="0" collapsed="false">
      <c r="A3213" s="42"/>
      <c r="B3213" s="42"/>
      <c r="C3213" s="42"/>
      <c r="D3213" s="28" t="str">
        <f aca="false">IF(OR($B3213="",$C3213=""),"",$C3213*IFERROR(INDEX(Setup!$C$47:$C$56,MATCH($B3213,Setup!$A$47:$A$56,0)),IFERROR(INDEX(Setup!$C$60:$C$89,MATCH($B3213,Setup!$A$60:$A$89,0)),"")))</f>
        <v/>
      </c>
      <c r="E3213" s="42"/>
      <c r="F3213" s="42"/>
    </row>
    <row r="3214" customFormat="false" ht="15" hidden="false" customHeight="true" outlineLevel="0" collapsed="false">
      <c r="A3214" s="42"/>
      <c r="B3214" s="42"/>
      <c r="C3214" s="42"/>
      <c r="D3214" s="28" t="str">
        <f aca="false">IF(OR($B3214="",$C3214=""),"",$C3214*IFERROR(INDEX(Setup!$C$47:$C$56,MATCH($B3214,Setup!$A$47:$A$56,0)),IFERROR(INDEX(Setup!$C$60:$C$89,MATCH($B3214,Setup!$A$60:$A$89,0)),"")))</f>
        <v/>
      </c>
      <c r="E3214" s="42"/>
      <c r="F3214" s="42"/>
    </row>
    <row r="3215" customFormat="false" ht="15" hidden="false" customHeight="true" outlineLevel="0" collapsed="false">
      <c r="A3215" s="42"/>
      <c r="B3215" s="42"/>
      <c r="C3215" s="42"/>
      <c r="D3215" s="28" t="str">
        <f aca="false">IF(OR($B3215="",$C3215=""),"",$C3215*IFERROR(INDEX(Setup!$C$47:$C$56,MATCH($B3215,Setup!$A$47:$A$56,0)),IFERROR(INDEX(Setup!$C$60:$C$89,MATCH($B3215,Setup!$A$60:$A$89,0)),"")))</f>
        <v/>
      </c>
      <c r="E3215" s="42"/>
      <c r="F3215" s="42"/>
    </row>
    <row r="3216" customFormat="false" ht="15" hidden="false" customHeight="true" outlineLevel="0" collapsed="false">
      <c r="A3216" s="42"/>
      <c r="B3216" s="42"/>
      <c r="C3216" s="42"/>
      <c r="D3216" s="28" t="str">
        <f aca="false">IF(OR($B3216="",$C3216=""),"",$C3216*IFERROR(INDEX(Setup!$C$47:$C$56,MATCH($B3216,Setup!$A$47:$A$56,0)),IFERROR(INDEX(Setup!$C$60:$C$89,MATCH($B3216,Setup!$A$60:$A$89,0)),"")))</f>
        <v/>
      </c>
      <c r="E3216" s="42"/>
      <c r="F3216" s="42"/>
    </row>
    <row r="3217" customFormat="false" ht="15" hidden="false" customHeight="true" outlineLevel="0" collapsed="false">
      <c r="A3217" s="42"/>
      <c r="B3217" s="42"/>
      <c r="C3217" s="42"/>
      <c r="D3217" s="28" t="str">
        <f aca="false">IF(OR($B3217="",$C3217=""),"",$C3217*IFERROR(INDEX(Setup!$C$47:$C$56,MATCH($B3217,Setup!$A$47:$A$56,0)),IFERROR(INDEX(Setup!$C$60:$C$89,MATCH($B3217,Setup!$A$60:$A$89,0)),"")))</f>
        <v/>
      </c>
      <c r="E3217" s="42"/>
      <c r="F3217" s="42"/>
    </row>
    <row r="3218" customFormat="false" ht="15" hidden="false" customHeight="true" outlineLevel="0" collapsed="false">
      <c r="A3218" s="42"/>
      <c r="B3218" s="42"/>
      <c r="C3218" s="42"/>
      <c r="D3218" s="28" t="str">
        <f aca="false">IF(OR($B3218="",$C3218=""),"",$C3218*IFERROR(INDEX(Setup!$C$47:$C$56,MATCH($B3218,Setup!$A$47:$A$56,0)),IFERROR(INDEX(Setup!$C$60:$C$89,MATCH($B3218,Setup!$A$60:$A$89,0)),"")))</f>
        <v/>
      </c>
      <c r="E3218" s="42"/>
      <c r="F3218" s="42"/>
    </row>
    <row r="3219" customFormat="false" ht="15" hidden="false" customHeight="true" outlineLevel="0" collapsed="false">
      <c r="A3219" s="42"/>
      <c r="B3219" s="42"/>
      <c r="C3219" s="42"/>
      <c r="D3219" s="28" t="str">
        <f aca="false">IF(OR($B3219="",$C3219=""),"",$C3219*IFERROR(INDEX(Setup!$C$47:$C$56,MATCH($B3219,Setup!$A$47:$A$56,0)),IFERROR(INDEX(Setup!$C$60:$C$89,MATCH($B3219,Setup!$A$60:$A$89,0)),"")))</f>
        <v/>
      </c>
      <c r="E3219" s="42"/>
      <c r="F3219" s="42"/>
    </row>
    <row r="3220" customFormat="false" ht="15" hidden="false" customHeight="true" outlineLevel="0" collapsed="false">
      <c r="A3220" s="42"/>
      <c r="B3220" s="42"/>
      <c r="C3220" s="42"/>
      <c r="D3220" s="28" t="str">
        <f aca="false">IF(OR($B3220="",$C3220=""),"",$C3220*IFERROR(INDEX(Setup!$C$47:$C$56,MATCH($B3220,Setup!$A$47:$A$56,0)),IFERROR(INDEX(Setup!$C$60:$C$89,MATCH($B3220,Setup!$A$60:$A$89,0)),"")))</f>
        <v/>
      </c>
      <c r="E3220" s="42"/>
      <c r="F3220" s="42"/>
    </row>
    <row r="3221" customFormat="false" ht="15" hidden="false" customHeight="true" outlineLevel="0" collapsed="false">
      <c r="A3221" s="42"/>
      <c r="B3221" s="42"/>
      <c r="C3221" s="42"/>
      <c r="D3221" s="28" t="str">
        <f aca="false">IF(OR($B3221="",$C3221=""),"",$C3221*IFERROR(INDEX(Setup!$C$47:$C$56,MATCH($B3221,Setup!$A$47:$A$56,0)),IFERROR(INDEX(Setup!$C$60:$C$89,MATCH($B3221,Setup!$A$60:$A$89,0)),"")))</f>
        <v/>
      </c>
      <c r="E3221" s="42"/>
      <c r="F3221" s="42"/>
    </row>
    <row r="3222" customFormat="false" ht="15" hidden="false" customHeight="true" outlineLevel="0" collapsed="false">
      <c r="A3222" s="42"/>
      <c r="B3222" s="42"/>
      <c r="C3222" s="42"/>
      <c r="D3222" s="28" t="str">
        <f aca="false">IF(OR($B3222="",$C3222=""),"",$C3222*IFERROR(INDEX(Setup!$C$47:$C$56,MATCH($B3222,Setup!$A$47:$A$56,0)),IFERROR(INDEX(Setup!$C$60:$C$89,MATCH($B3222,Setup!$A$60:$A$89,0)),"")))</f>
        <v/>
      </c>
      <c r="E3222" s="42"/>
      <c r="F3222" s="42"/>
    </row>
    <row r="3223" customFormat="false" ht="15" hidden="false" customHeight="true" outlineLevel="0" collapsed="false">
      <c r="A3223" s="42"/>
      <c r="B3223" s="42"/>
      <c r="C3223" s="42"/>
      <c r="D3223" s="28" t="str">
        <f aca="false">IF(OR($B3223="",$C3223=""),"",$C3223*IFERROR(INDEX(Setup!$C$47:$C$56,MATCH($B3223,Setup!$A$47:$A$56,0)),IFERROR(INDEX(Setup!$C$60:$C$89,MATCH($B3223,Setup!$A$60:$A$89,0)),"")))</f>
        <v/>
      </c>
      <c r="E3223" s="42"/>
      <c r="F3223" s="42"/>
    </row>
    <row r="3224" customFormat="false" ht="15" hidden="false" customHeight="true" outlineLevel="0" collapsed="false">
      <c r="A3224" s="42"/>
      <c r="B3224" s="42"/>
      <c r="C3224" s="42"/>
      <c r="D3224" s="28" t="str">
        <f aca="false">IF(OR($B3224="",$C3224=""),"",$C3224*IFERROR(INDEX(Setup!$C$47:$C$56,MATCH($B3224,Setup!$A$47:$A$56,0)),IFERROR(INDEX(Setup!$C$60:$C$89,MATCH($B3224,Setup!$A$60:$A$89,0)),"")))</f>
        <v/>
      </c>
      <c r="E3224" s="42"/>
      <c r="F3224" s="42"/>
    </row>
    <row r="3225" customFormat="false" ht="15" hidden="false" customHeight="true" outlineLevel="0" collapsed="false">
      <c r="A3225" s="42"/>
      <c r="B3225" s="42"/>
      <c r="C3225" s="42"/>
      <c r="D3225" s="28" t="str">
        <f aca="false">IF(OR($B3225="",$C3225=""),"",$C3225*IFERROR(INDEX(Setup!$C$47:$C$56,MATCH($B3225,Setup!$A$47:$A$56,0)),IFERROR(INDEX(Setup!$C$60:$C$89,MATCH($B3225,Setup!$A$60:$A$89,0)),"")))</f>
        <v/>
      </c>
      <c r="E3225" s="42"/>
      <c r="F3225" s="42"/>
    </row>
    <row r="3226" customFormat="false" ht="15" hidden="false" customHeight="true" outlineLevel="0" collapsed="false">
      <c r="A3226" s="42"/>
      <c r="B3226" s="42"/>
      <c r="C3226" s="42"/>
      <c r="D3226" s="28" t="str">
        <f aca="false">IF(OR($B3226="",$C3226=""),"",$C3226*IFERROR(INDEX(Setup!$C$47:$C$56,MATCH($B3226,Setup!$A$47:$A$56,0)),IFERROR(INDEX(Setup!$C$60:$C$89,MATCH($B3226,Setup!$A$60:$A$89,0)),"")))</f>
        <v/>
      </c>
      <c r="E3226" s="42"/>
      <c r="F3226" s="42"/>
    </row>
    <row r="3227" customFormat="false" ht="15" hidden="false" customHeight="true" outlineLevel="0" collapsed="false">
      <c r="A3227" s="42"/>
      <c r="B3227" s="42"/>
      <c r="C3227" s="42"/>
      <c r="D3227" s="28" t="str">
        <f aca="false">IF(OR($B3227="",$C3227=""),"",$C3227*IFERROR(INDEX(Setup!$C$47:$C$56,MATCH($B3227,Setup!$A$47:$A$56,0)),IFERROR(INDEX(Setup!$C$60:$C$89,MATCH($B3227,Setup!$A$60:$A$89,0)),"")))</f>
        <v/>
      </c>
      <c r="E3227" s="42"/>
      <c r="F3227" s="42"/>
    </row>
    <row r="3228" customFormat="false" ht="15" hidden="false" customHeight="true" outlineLevel="0" collapsed="false">
      <c r="A3228" s="42"/>
      <c r="B3228" s="42"/>
      <c r="C3228" s="42"/>
      <c r="D3228" s="28" t="str">
        <f aca="false">IF(OR($B3228="",$C3228=""),"",$C3228*IFERROR(INDEX(Setup!$C$47:$C$56,MATCH($B3228,Setup!$A$47:$A$56,0)),IFERROR(INDEX(Setup!$C$60:$C$89,MATCH($B3228,Setup!$A$60:$A$89,0)),"")))</f>
        <v/>
      </c>
      <c r="E3228" s="42"/>
      <c r="F3228" s="42"/>
    </row>
    <row r="3229" customFormat="false" ht="15" hidden="false" customHeight="true" outlineLevel="0" collapsed="false">
      <c r="A3229" s="42"/>
      <c r="B3229" s="42"/>
      <c r="C3229" s="42"/>
      <c r="D3229" s="28" t="str">
        <f aca="false">IF(OR($B3229="",$C3229=""),"",$C3229*IFERROR(INDEX(Setup!$C$47:$C$56,MATCH($B3229,Setup!$A$47:$A$56,0)),IFERROR(INDEX(Setup!$C$60:$C$89,MATCH($B3229,Setup!$A$60:$A$89,0)),"")))</f>
        <v/>
      </c>
      <c r="E3229" s="42"/>
      <c r="F3229" s="42"/>
    </row>
    <row r="3230" customFormat="false" ht="15" hidden="false" customHeight="true" outlineLevel="0" collapsed="false">
      <c r="A3230" s="42"/>
      <c r="B3230" s="42"/>
      <c r="C3230" s="42"/>
      <c r="D3230" s="28" t="str">
        <f aca="false">IF(OR($B3230="",$C3230=""),"",$C3230*IFERROR(INDEX(Setup!$C$47:$C$56,MATCH($B3230,Setup!$A$47:$A$56,0)),IFERROR(INDEX(Setup!$C$60:$C$89,MATCH($B3230,Setup!$A$60:$A$89,0)),"")))</f>
        <v/>
      </c>
      <c r="E3230" s="42"/>
      <c r="F3230" s="42"/>
    </row>
    <row r="3231" customFormat="false" ht="15" hidden="false" customHeight="true" outlineLevel="0" collapsed="false">
      <c r="A3231" s="42"/>
      <c r="B3231" s="42"/>
      <c r="C3231" s="42"/>
      <c r="D3231" s="28" t="str">
        <f aca="false">IF(OR($B3231="",$C3231=""),"",$C3231*IFERROR(INDEX(Setup!$C$47:$C$56,MATCH($B3231,Setup!$A$47:$A$56,0)),IFERROR(INDEX(Setup!$C$60:$C$89,MATCH($B3231,Setup!$A$60:$A$89,0)),"")))</f>
        <v/>
      </c>
      <c r="E3231" s="42"/>
      <c r="F3231" s="42"/>
    </row>
    <row r="3232" customFormat="false" ht="15" hidden="false" customHeight="true" outlineLevel="0" collapsed="false">
      <c r="A3232" s="42"/>
      <c r="B3232" s="42"/>
      <c r="C3232" s="42"/>
      <c r="D3232" s="28" t="str">
        <f aca="false">IF(OR($B3232="",$C3232=""),"",$C3232*IFERROR(INDEX(Setup!$C$47:$C$56,MATCH($B3232,Setup!$A$47:$A$56,0)),IFERROR(INDEX(Setup!$C$60:$C$89,MATCH($B3232,Setup!$A$60:$A$89,0)),"")))</f>
        <v/>
      </c>
      <c r="E3232" s="42"/>
      <c r="F3232" s="42"/>
    </row>
    <row r="3233" customFormat="false" ht="15" hidden="false" customHeight="true" outlineLevel="0" collapsed="false">
      <c r="A3233" s="42"/>
      <c r="B3233" s="42"/>
      <c r="C3233" s="42"/>
      <c r="D3233" s="28" t="str">
        <f aca="false">IF(OR($B3233="",$C3233=""),"",$C3233*IFERROR(INDEX(Setup!$C$47:$C$56,MATCH($B3233,Setup!$A$47:$A$56,0)),IFERROR(INDEX(Setup!$C$60:$C$89,MATCH($B3233,Setup!$A$60:$A$89,0)),"")))</f>
        <v/>
      </c>
      <c r="E3233" s="42"/>
      <c r="F3233" s="42"/>
    </row>
    <row r="3234" customFormat="false" ht="15" hidden="false" customHeight="true" outlineLevel="0" collapsed="false">
      <c r="A3234" s="42"/>
      <c r="B3234" s="42"/>
      <c r="C3234" s="42"/>
      <c r="D3234" s="28" t="str">
        <f aca="false">IF(OR($B3234="",$C3234=""),"",$C3234*IFERROR(INDEX(Setup!$C$47:$C$56,MATCH($B3234,Setup!$A$47:$A$56,0)),IFERROR(INDEX(Setup!$C$60:$C$89,MATCH($B3234,Setup!$A$60:$A$89,0)),"")))</f>
        <v/>
      </c>
      <c r="E3234" s="42"/>
      <c r="F3234" s="42"/>
    </row>
    <row r="3235" customFormat="false" ht="15" hidden="false" customHeight="true" outlineLevel="0" collapsed="false">
      <c r="A3235" s="42"/>
      <c r="B3235" s="42"/>
      <c r="C3235" s="42"/>
      <c r="D3235" s="28" t="str">
        <f aca="false">IF(OR($B3235="",$C3235=""),"",$C3235*IFERROR(INDEX(Setup!$C$47:$C$56,MATCH($B3235,Setup!$A$47:$A$56,0)),IFERROR(INDEX(Setup!$C$60:$C$89,MATCH($B3235,Setup!$A$60:$A$89,0)),"")))</f>
        <v/>
      </c>
      <c r="E3235" s="42"/>
      <c r="F3235" s="42"/>
    </row>
    <row r="3236" customFormat="false" ht="15" hidden="false" customHeight="true" outlineLevel="0" collapsed="false">
      <c r="A3236" s="42"/>
      <c r="B3236" s="42"/>
      <c r="C3236" s="42"/>
      <c r="D3236" s="28" t="str">
        <f aca="false">IF(OR($B3236="",$C3236=""),"",$C3236*IFERROR(INDEX(Setup!$C$47:$C$56,MATCH($B3236,Setup!$A$47:$A$56,0)),IFERROR(INDEX(Setup!$C$60:$C$89,MATCH($B3236,Setup!$A$60:$A$89,0)),"")))</f>
        <v/>
      </c>
      <c r="E3236" s="42"/>
      <c r="F3236" s="42"/>
    </row>
    <row r="3237" customFormat="false" ht="15" hidden="false" customHeight="true" outlineLevel="0" collapsed="false">
      <c r="A3237" s="42"/>
      <c r="B3237" s="42"/>
      <c r="C3237" s="42"/>
      <c r="D3237" s="28" t="str">
        <f aca="false">IF(OR($B3237="",$C3237=""),"",$C3237*IFERROR(INDEX(Setup!$C$47:$C$56,MATCH($B3237,Setup!$A$47:$A$56,0)),IFERROR(INDEX(Setup!$C$60:$C$89,MATCH($B3237,Setup!$A$60:$A$89,0)),"")))</f>
        <v/>
      </c>
      <c r="E3237" s="42"/>
      <c r="F3237" s="42"/>
    </row>
    <row r="3238" customFormat="false" ht="15" hidden="false" customHeight="true" outlineLevel="0" collapsed="false">
      <c r="A3238" s="42"/>
      <c r="B3238" s="42"/>
      <c r="C3238" s="42"/>
      <c r="D3238" s="28" t="str">
        <f aca="false">IF(OR($B3238="",$C3238=""),"",$C3238*IFERROR(INDEX(Setup!$C$47:$C$56,MATCH($B3238,Setup!$A$47:$A$56,0)),IFERROR(INDEX(Setup!$C$60:$C$89,MATCH($B3238,Setup!$A$60:$A$89,0)),"")))</f>
        <v/>
      </c>
      <c r="E3238" s="42"/>
      <c r="F3238" s="42"/>
    </row>
    <row r="3239" customFormat="false" ht="15" hidden="false" customHeight="true" outlineLevel="0" collapsed="false">
      <c r="A3239" s="42"/>
      <c r="B3239" s="42"/>
      <c r="C3239" s="42"/>
      <c r="D3239" s="28" t="str">
        <f aca="false">IF(OR($B3239="",$C3239=""),"",$C3239*IFERROR(INDEX(Setup!$C$47:$C$56,MATCH($B3239,Setup!$A$47:$A$56,0)),IFERROR(INDEX(Setup!$C$60:$C$89,MATCH($B3239,Setup!$A$60:$A$89,0)),"")))</f>
        <v/>
      </c>
      <c r="E3239" s="42"/>
      <c r="F3239" s="42"/>
    </row>
    <row r="3240" customFormat="false" ht="15" hidden="false" customHeight="true" outlineLevel="0" collapsed="false">
      <c r="A3240" s="42"/>
      <c r="B3240" s="42"/>
      <c r="C3240" s="42"/>
      <c r="D3240" s="28" t="str">
        <f aca="false">IF(OR($B3240="",$C3240=""),"",$C3240*IFERROR(INDEX(Setup!$C$47:$C$56,MATCH($B3240,Setup!$A$47:$A$56,0)),IFERROR(INDEX(Setup!$C$60:$C$89,MATCH($B3240,Setup!$A$60:$A$89,0)),"")))</f>
        <v/>
      </c>
      <c r="E3240" s="42"/>
      <c r="F3240" s="42"/>
    </row>
    <row r="3241" customFormat="false" ht="15" hidden="false" customHeight="true" outlineLevel="0" collapsed="false">
      <c r="A3241" s="42"/>
      <c r="B3241" s="42"/>
      <c r="C3241" s="42"/>
      <c r="D3241" s="28" t="str">
        <f aca="false">IF(OR($B3241="",$C3241=""),"",$C3241*IFERROR(INDEX(Setup!$C$47:$C$56,MATCH($B3241,Setup!$A$47:$A$56,0)),IFERROR(INDEX(Setup!$C$60:$C$89,MATCH($B3241,Setup!$A$60:$A$89,0)),"")))</f>
        <v/>
      </c>
      <c r="E3241" s="42"/>
      <c r="F3241" s="42"/>
    </row>
    <row r="3242" customFormat="false" ht="15" hidden="false" customHeight="true" outlineLevel="0" collapsed="false">
      <c r="A3242" s="42"/>
      <c r="B3242" s="42"/>
      <c r="C3242" s="42"/>
      <c r="D3242" s="28" t="str">
        <f aca="false">IF(OR($B3242="",$C3242=""),"",$C3242*IFERROR(INDEX(Setup!$C$47:$C$56,MATCH($B3242,Setup!$A$47:$A$56,0)),IFERROR(INDEX(Setup!$C$60:$C$89,MATCH($B3242,Setup!$A$60:$A$89,0)),"")))</f>
        <v/>
      </c>
      <c r="E3242" s="42"/>
      <c r="F3242" s="42"/>
    </row>
    <row r="3243" customFormat="false" ht="15" hidden="false" customHeight="true" outlineLevel="0" collapsed="false">
      <c r="A3243" s="42"/>
      <c r="B3243" s="42"/>
      <c r="C3243" s="42"/>
      <c r="D3243" s="28" t="str">
        <f aca="false">IF(OR($B3243="",$C3243=""),"",$C3243*IFERROR(INDEX(Setup!$C$47:$C$56,MATCH($B3243,Setup!$A$47:$A$56,0)),IFERROR(INDEX(Setup!$C$60:$C$89,MATCH($B3243,Setup!$A$60:$A$89,0)),"")))</f>
        <v/>
      </c>
      <c r="E3243" s="42"/>
      <c r="F3243" s="42"/>
    </row>
    <row r="3244" customFormat="false" ht="15" hidden="false" customHeight="true" outlineLevel="0" collapsed="false">
      <c r="A3244" s="42"/>
      <c r="B3244" s="42"/>
      <c r="C3244" s="42"/>
      <c r="D3244" s="28" t="str">
        <f aca="false">IF(OR($B3244="",$C3244=""),"",$C3244*IFERROR(INDEX(Setup!$C$47:$C$56,MATCH($B3244,Setup!$A$47:$A$56,0)),IFERROR(INDEX(Setup!$C$60:$C$89,MATCH($B3244,Setup!$A$60:$A$89,0)),"")))</f>
        <v/>
      </c>
      <c r="E3244" s="42"/>
      <c r="F3244" s="42"/>
    </row>
    <row r="3245" customFormat="false" ht="15" hidden="false" customHeight="true" outlineLevel="0" collapsed="false">
      <c r="A3245" s="42"/>
      <c r="B3245" s="42"/>
      <c r="C3245" s="42"/>
      <c r="D3245" s="28" t="str">
        <f aca="false">IF(OR($B3245="",$C3245=""),"",$C3245*IFERROR(INDEX(Setup!$C$47:$C$56,MATCH($B3245,Setup!$A$47:$A$56,0)),IFERROR(INDEX(Setup!$C$60:$C$89,MATCH($B3245,Setup!$A$60:$A$89,0)),"")))</f>
        <v/>
      </c>
      <c r="E3245" s="42"/>
      <c r="F3245" s="42"/>
    </row>
    <row r="3246" customFormat="false" ht="15" hidden="false" customHeight="true" outlineLevel="0" collapsed="false">
      <c r="A3246" s="42"/>
      <c r="B3246" s="42"/>
      <c r="C3246" s="42"/>
      <c r="D3246" s="28" t="str">
        <f aca="false">IF(OR($B3246="",$C3246=""),"",$C3246*IFERROR(INDEX(Setup!$C$47:$C$56,MATCH($B3246,Setup!$A$47:$A$56,0)),IFERROR(INDEX(Setup!$C$60:$C$89,MATCH($B3246,Setup!$A$60:$A$89,0)),"")))</f>
        <v/>
      </c>
      <c r="E3246" s="42"/>
      <c r="F3246" s="42"/>
    </row>
    <row r="3247" customFormat="false" ht="15" hidden="false" customHeight="true" outlineLevel="0" collapsed="false">
      <c r="A3247" s="42"/>
      <c r="B3247" s="42"/>
      <c r="C3247" s="42"/>
      <c r="D3247" s="28" t="str">
        <f aca="false">IF(OR($B3247="",$C3247=""),"",$C3247*IFERROR(INDEX(Setup!$C$47:$C$56,MATCH($B3247,Setup!$A$47:$A$56,0)),IFERROR(INDEX(Setup!$C$60:$C$89,MATCH($B3247,Setup!$A$60:$A$89,0)),"")))</f>
        <v/>
      </c>
      <c r="E3247" s="42"/>
      <c r="F3247" s="42"/>
    </row>
    <row r="3248" customFormat="false" ht="15" hidden="false" customHeight="true" outlineLevel="0" collapsed="false">
      <c r="A3248" s="42"/>
      <c r="B3248" s="42"/>
      <c r="C3248" s="42"/>
      <c r="D3248" s="28" t="str">
        <f aca="false">IF(OR($B3248="",$C3248=""),"",$C3248*IFERROR(INDEX(Setup!$C$47:$C$56,MATCH($B3248,Setup!$A$47:$A$56,0)),IFERROR(INDEX(Setup!$C$60:$C$89,MATCH($B3248,Setup!$A$60:$A$89,0)),"")))</f>
        <v/>
      </c>
      <c r="E3248" s="42"/>
      <c r="F3248" s="42"/>
    </row>
    <row r="3249" customFormat="false" ht="15" hidden="false" customHeight="true" outlineLevel="0" collapsed="false">
      <c r="A3249" s="42"/>
      <c r="B3249" s="42"/>
      <c r="C3249" s="42"/>
      <c r="D3249" s="28" t="str">
        <f aca="false">IF(OR($B3249="",$C3249=""),"",$C3249*IFERROR(INDEX(Setup!$C$47:$C$56,MATCH($B3249,Setup!$A$47:$A$56,0)),IFERROR(INDEX(Setup!$C$60:$C$89,MATCH($B3249,Setup!$A$60:$A$89,0)),"")))</f>
        <v/>
      </c>
      <c r="E3249" s="42"/>
      <c r="F3249" s="42"/>
    </row>
    <row r="3250" customFormat="false" ht="15" hidden="false" customHeight="true" outlineLevel="0" collapsed="false">
      <c r="A3250" s="42"/>
      <c r="B3250" s="42"/>
      <c r="C3250" s="42"/>
      <c r="D3250" s="28" t="str">
        <f aca="false">IF(OR($B3250="",$C3250=""),"",$C3250*IFERROR(INDEX(Setup!$C$47:$C$56,MATCH($B3250,Setup!$A$47:$A$56,0)),IFERROR(INDEX(Setup!$C$60:$C$89,MATCH($B3250,Setup!$A$60:$A$89,0)),"")))</f>
        <v/>
      </c>
      <c r="E3250" s="42"/>
      <c r="F3250" s="42"/>
    </row>
    <row r="3251" customFormat="false" ht="15" hidden="false" customHeight="true" outlineLevel="0" collapsed="false">
      <c r="A3251" s="42"/>
      <c r="B3251" s="42"/>
      <c r="C3251" s="42"/>
      <c r="D3251" s="28" t="str">
        <f aca="false">IF(OR($B3251="",$C3251=""),"",$C3251*IFERROR(INDEX(Setup!$C$47:$C$56,MATCH($B3251,Setup!$A$47:$A$56,0)),IFERROR(INDEX(Setup!$C$60:$C$89,MATCH($B3251,Setup!$A$60:$A$89,0)),"")))</f>
        <v/>
      </c>
      <c r="E3251" s="42"/>
      <c r="F3251" s="42"/>
    </row>
    <row r="3252" customFormat="false" ht="15" hidden="false" customHeight="true" outlineLevel="0" collapsed="false">
      <c r="A3252" s="42"/>
      <c r="B3252" s="42"/>
      <c r="C3252" s="42"/>
      <c r="D3252" s="28" t="str">
        <f aca="false">IF(OR($B3252="",$C3252=""),"",$C3252*IFERROR(INDEX(Setup!$C$47:$C$56,MATCH($B3252,Setup!$A$47:$A$56,0)),IFERROR(INDEX(Setup!$C$60:$C$89,MATCH($B3252,Setup!$A$60:$A$89,0)),"")))</f>
        <v/>
      </c>
      <c r="E3252" s="42"/>
      <c r="F3252" s="42"/>
    </row>
    <row r="3253" customFormat="false" ht="15" hidden="false" customHeight="true" outlineLevel="0" collapsed="false">
      <c r="A3253" s="42"/>
      <c r="B3253" s="42"/>
      <c r="C3253" s="42"/>
      <c r="D3253" s="28" t="str">
        <f aca="false">IF(OR($B3253="",$C3253=""),"",$C3253*IFERROR(INDEX(Setup!$C$47:$C$56,MATCH($B3253,Setup!$A$47:$A$56,0)),IFERROR(INDEX(Setup!$C$60:$C$89,MATCH($B3253,Setup!$A$60:$A$89,0)),"")))</f>
        <v/>
      </c>
      <c r="E3253" s="42"/>
      <c r="F3253" s="42"/>
    </row>
    <row r="3254" customFormat="false" ht="15" hidden="false" customHeight="true" outlineLevel="0" collapsed="false">
      <c r="A3254" s="42"/>
      <c r="B3254" s="42"/>
      <c r="C3254" s="42"/>
      <c r="D3254" s="28" t="str">
        <f aca="false">IF(OR($B3254="",$C3254=""),"",$C3254*IFERROR(INDEX(Setup!$C$47:$C$56,MATCH($B3254,Setup!$A$47:$A$56,0)),IFERROR(INDEX(Setup!$C$60:$C$89,MATCH($B3254,Setup!$A$60:$A$89,0)),"")))</f>
        <v/>
      </c>
      <c r="E3254" s="42"/>
      <c r="F3254" s="42"/>
    </row>
    <row r="3255" customFormat="false" ht="15" hidden="false" customHeight="true" outlineLevel="0" collapsed="false">
      <c r="A3255" s="42"/>
      <c r="B3255" s="42"/>
      <c r="C3255" s="42"/>
      <c r="D3255" s="28" t="str">
        <f aca="false">IF(OR($B3255="",$C3255=""),"",$C3255*IFERROR(INDEX(Setup!$C$47:$C$56,MATCH($B3255,Setup!$A$47:$A$56,0)),IFERROR(INDEX(Setup!$C$60:$C$89,MATCH($B3255,Setup!$A$60:$A$89,0)),"")))</f>
        <v/>
      </c>
      <c r="E3255" s="42"/>
      <c r="F3255" s="42"/>
    </row>
    <row r="3256" customFormat="false" ht="15" hidden="false" customHeight="true" outlineLevel="0" collapsed="false">
      <c r="A3256" s="42"/>
      <c r="B3256" s="42"/>
      <c r="C3256" s="42"/>
      <c r="D3256" s="28" t="str">
        <f aca="false">IF(OR($B3256="",$C3256=""),"",$C3256*IFERROR(INDEX(Setup!$C$47:$C$56,MATCH($B3256,Setup!$A$47:$A$56,0)),IFERROR(INDEX(Setup!$C$60:$C$89,MATCH($B3256,Setup!$A$60:$A$89,0)),"")))</f>
        <v/>
      </c>
      <c r="E3256" s="42"/>
      <c r="F3256" s="42"/>
    </row>
    <row r="3257" customFormat="false" ht="15" hidden="false" customHeight="true" outlineLevel="0" collapsed="false">
      <c r="A3257" s="42"/>
      <c r="B3257" s="42"/>
      <c r="C3257" s="42"/>
      <c r="D3257" s="28" t="str">
        <f aca="false">IF(OR($B3257="",$C3257=""),"",$C3257*IFERROR(INDEX(Setup!$C$47:$C$56,MATCH($B3257,Setup!$A$47:$A$56,0)),IFERROR(INDEX(Setup!$C$60:$C$89,MATCH($B3257,Setup!$A$60:$A$89,0)),"")))</f>
        <v/>
      </c>
      <c r="E3257" s="42"/>
      <c r="F3257" s="42"/>
    </row>
    <row r="3258" customFormat="false" ht="15" hidden="false" customHeight="true" outlineLevel="0" collapsed="false">
      <c r="A3258" s="42"/>
      <c r="B3258" s="42"/>
      <c r="C3258" s="42"/>
      <c r="D3258" s="28" t="str">
        <f aca="false">IF(OR($B3258="",$C3258=""),"",$C3258*IFERROR(INDEX(Setup!$C$47:$C$56,MATCH($B3258,Setup!$A$47:$A$56,0)),IFERROR(INDEX(Setup!$C$60:$C$89,MATCH($B3258,Setup!$A$60:$A$89,0)),"")))</f>
        <v/>
      </c>
      <c r="E3258" s="42"/>
      <c r="F3258" s="42"/>
    </row>
    <row r="3259" customFormat="false" ht="15" hidden="false" customHeight="true" outlineLevel="0" collapsed="false">
      <c r="A3259" s="42"/>
      <c r="B3259" s="42"/>
      <c r="C3259" s="42"/>
      <c r="D3259" s="28" t="str">
        <f aca="false">IF(OR($B3259="",$C3259=""),"",$C3259*IFERROR(INDEX(Setup!$C$47:$C$56,MATCH($B3259,Setup!$A$47:$A$56,0)),IFERROR(INDEX(Setup!$C$60:$C$89,MATCH($B3259,Setup!$A$60:$A$89,0)),"")))</f>
        <v/>
      </c>
      <c r="E3259" s="42"/>
      <c r="F3259" s="42"/>
    </row>
    <row r="3260" customFormat="false" ht="15" hidden="false" customHeight="true" outlineLevel="0" collapsed="false">
      <c r="A3260" s="42"/>
      <c r="B3260" s="42"/>
      <c r="C3260" s="42"/>
      <c r="D3260" s="28" t="str">
        <f aca="false">IF(OR($B3260="",$C3260=""),"",$C3260*IFERROR(INDEX(Setup!$C$47:$C$56,MATCH($B3260,Setup!$A$47:$A$56,0)),IFERROR(INDEX(Setup!$C$60:$C$89,MATCH($B3260,Setup!$A$60:$A$89,0)),"")))</f>
        <v/>
      </c>
      <c r="E3260" s="42"/>
      <c r="F3260" s="42"/>
    </row>
    <row r="3261" customFormat="false" ht="15" hidden="false" customHeight="true" outlineLevel="0" collapsed="false">
      <c r="A3261" s="42"/>
      <c r="B3261" s="42"/>
      <c r="C3261" s="42"/>
      <c r="D3261" s="28" t="str">
        <f aca="false">IF(OR($B3261="",$C3261=""),"",$C3261*IFERROR(INDEX(Setup!$C$47:$C$56,MATCH($B3261,Setup!$A$47:$A$56,0)),IFERROR(INDEX(Setup!$C$60:$C$89,MATCH($B3261,Setup!$A$60:$A$89,0)),"")))</f>
        <v/>
      </c>
      <c r="E3261" s="42"/>
      <c r="F3261" s="42"/>
    </row>
    <row r="3262" customFormat="false" ht="15" hidden="false" customHeight="true" outlineLevel="0" collapsed="false">
      <c r="A3262" s="42"/>
      <c r="B3262" s="42"/>
      <c r="C3262" s="42"/>
      <c r="D3262" s="28" t="str">
        <f aca="false">IF(OR($B3262="",$C3262=""),"",$C3262*IFERROR(INDEX(Setup!$C$47:$C$56,MATCH($B3262,Setup!$A$47:$A$56,0)),IFERROR(INDEX(Setup!$C$60:$C$89,MATCH($B3262,Setup!$A$60:$A$89,0)),"")))</f>
        <v/>
      </c>
      <c r="E3262" s="42"/>
      <c r="F3262" s="42"/>
    </row>
    <row r="3263" customFormat="false" ht="15" hidden="false" customHeight="true" outlineLevel="0" collapsed="false">
      <c r="A3263" s="42"/>
      <c r="B3263" s="42"/>
      <c r="C3263" s="42"/>
      <c r="D3263" s="28" t="str">
        <f aca="false">IF(OR($B3263="",$C3263=""),"",$C3263*IFERROR(INDEX(Setup!$C$47:$C$56,MATCH($B3263,Setup!$A$47:$A$56,0)),IFERROR(INDEX(Setup!$C$60:$C$89,MATCH($B3263,Setup!$A$60:$A$89,0)),"")))</f>
        <v/>
      </c>
      <c r="E3263" s="42"/>
      <c r="F3263" s="42"/>
    </row>
    <row r="3264" customFormat="false" ht="15" hidden="false" customHeight="true" outlineLevel="0" collapsed="false">
      <c r="A3264" s="42"/>
      <c r="B3264" s="42"/>
      <c r="C3264" s="42"/>
      <c r="D3264" s="28" t="str">
        <f aca="false">IF(OR($B3264="",$C3264=""),"",$C3264*IFERROR(INDEX(Setup!$C$47:$C$56,MATCH($B3264,Setup!$A$47:$A$56,0)),IFERROR(INDEX(Setup!$C$60:$C$89,MATCH($B3264,Setup!$A$60:$A$89,0)),"")))</f>
        <v/>
      </c>
      <c r="E3264" s="42"/>
      <c r="F3264" s="42"/>
    </row>
    <row r="3265" customFormat="false" ht="15" hidden="false" customHeight="true" outlineLevel="0" collapsed="false">
      <c r="A3265" s="42"/>
      <c r="B3265" s="42"/>
      <c r="C3265" s="42"/>
      <c r="D3265" s="28" t="str">
        <f aca="false">IF(OR($B3265="",$C3265=""),"",$C3265*IFERROR(INDEX(Setup!$C$47:$C$56,MATCH($B3265,Setup!$A$47:$A$56,0)),IFERROR(INDEX(Setup!$C$60:$C$89,MATCH($B3265,Setup!$A$60:$A$89,0)),"")))</f>
        <v/>
      </c>
      <c r="E3265" s="42"/>
      <c r="F3265" s="42"/>
    </row>
    <row r="3266" customFormat="false" ht="15" hidden="false" customHeight="true" outlineLevel="0" collapsed="false">
      <c r="A3266" s="42"/>
      <c r="B3266" s="42"/>
      <c r="C3266" s="42"/>
      <c r="D3266" s="28" t="str">
        <f aca="false">IF(OR($B3266="",$C3266=""),"",$C3266*IFERROR(INDEX(Setup!$C$47:$C$56,MATCH($B3266,Setup!$A$47:$A$56,0)),IFERROR(INDEX(Setup!$C$60:$C$89,MATCH($B3266,Setup!$A$60:$A$89,0)),"")))</f>
        <v/>
      </c>
      <c r="E3266" s="42"/>
      <c r="F3266" s="42"/>
    </row>
    <row r="3267" customFormat="false" ht="15" hidden="false" customHeight="true" outlineLevel="0" collapsed="false">
      <c r="A3267" s="42"/>
      <c r="B3267" s="42"/>
      <c r="C3267" s="42"/>
      <c r="D3267" s="28" t="str">
        <f aca="false">IF(OR($B3267="",$C3267=""),"",$C3267*IFERROR(INDEX(Setup!$C$47:$C$56,MATCH($B3267,Setup!$A$47:$A$56,0)),IFERROR(INDEX(Setup!$C$60:$C$89,MATCH($B3267,Setup!$A$60:$A$89,0)),"")))</f>
        <v/>
      </c>
      <c r="E3267" s="42"/>
      <c r="F3267" s="42"/>
    </row>
    <row r="3268" customFormat="false" ht="15" hidden="false" customHeight="true" outlineLevel="0" collapsed="false">
      <c r="A3268" s="42"/>
      <c r="B3268" s="42"/>
      <c r="C3268" s="42"/>
      <c r="D3268" s="28" t="str">
        <f aca="false">IF(OR($B3268="",$C3268=""),"",$C3268*IFERROR(INDEX(Setup!$C$47:$C$56,MATCH($B3268,Setup!$A$47:$A$56,0)),IFERROR(INDEX(Setup!$C$60:$C$89,MATCH($B3268,Setup!$A$60:$A$89,0)),"")))</f>
        <v/>
      </c>
      <c r="E3268" s="42"/>
      <c r="F3268" s="42"/>
    </row>
    <row r="3269" customFormat="false" ht="15" hidden="false" customHeight="true" outlineLevel="0" collapsed="false">
      <c r="A3269" s="42"/>
      <c r="B3269" s="42"/>
      <c r="C3269" s="42"/>
      <c r="D3269" s="28" t="str">
        <f aca="false">IF(OR($B3269="",$C3269=""),"",$C3269*IFERROR(INDEX(Setup!$C$47:$C$56,MATCH($B3269,Setup!$A$47:$A$56,0)),IFERROR(INDEX(Setup!$C$60:$C$89,MATCH($B3269,Setup!$A$60:$A$89,0)),"")))</f>
        <v/>
      </c>
      <c r="E3269" s="42"/>
      <c r="F3269" s="42"/>
    </row>
    <row r="3270" customFormat="false" ht="15" hidden="false" customHeight="true" outlineLevel="0" collapsed="false">
      <c r="A3270" s="42"/>
      <c r="B3270" s="42"/>
      <c r="C3270" s="42"/>
      <c r="D3270" s="28" t="str">
        <f aca="false">IF(OR($B3270="",$C3270=""),"",$C3270*IFERROR(INDEX(Setup!$C$47:$C$56,MATCH($B3270,Setup!$A$47:$A$56,0)),IFERROR(INDEX(Setup!$C$60:$C$89,MATCH($B3270,Setup!$A$60:$A$89,0)),"")))</f>
        <v/>
      </c>
      <c r="E3270" s="42"/>
      <c r="F3270" s="42"/>
    </row>
    <row r="3271" customFormat="false" ht="15" hidden="false" customHeight="true" outlineLevel="0" collapsed="false">
      <c r="A3271" s="42"/>
      <c r="B3271" s="42"/>
      <c r="C3271" s="42"/>
      <c r="D3271" s="28" t="str">
        <f aca="false">IF(OR($B3271="",$C3271=""),"",$C3271*IFERROR(INDEX(Setup!$C$47:$C$56,MATCH($B3271,Setup!$A$47:$A$56,0)),IFERROR(INDEX(Setup!$C$60:$C$89,MATCH($B3271,Setup!$A$60:$A$89,0)),"")))</f>
        <v/>
      </c>
      <c r="E3271" s="42"/>
      <c r="F3271" s="42"/>
    </row>
    <row r="3272" customFormat="false" ht="15" hidden="false" customHeight="true" outlineLevel="0" collapsed="false">
      <c r="A3272" s="42"/>
      <c r="B3272" s="42"/>
      <c r="C3272" s="42"/>
      <c r="D3272" s="28" t="str">
        <f aca="false">IF(OR($B3272="",$C3272=""),"",$C3272*IFERROR(INDEX(Setup!$C$47:$C$56,MATCH($B3272,Setup!$A$47:$A$56,0)),IFERROR(INDEX(Setup!$C$60:$C$89,MATCH($B3272,Setup!$A$60:$A$89,0)),"")))</f>
        <v/>
      </c>
      <c r="E3272" s="42"/>
      <c r="F3272" s="42"/>
    </row>
    <row r="3273" customFormat="false" ht="15" hidden="false" customHeight="true" outlineLevel="0" collapsed="false">
      <c r="A3273" s="42"/>
      <c r="B3273" s="42"/>
      <c r="C3273" s="42"/>
      <c r="D3273" s="28" t="str">
        <f aca="false">IF(OR($B3273="",$C3273=""),"",$C3273*IFERROR(INDEX(Setup!$C$47:$C$56,MATCH($B3273,Setup!$A$47:$A$56,0)),IFERROR(INDEX(Setup!$C$60:$C$89,MATCH($B3273,Setup!$A$60:$A$89,0)),"")))</f>
        <v/>
      </c>
      <c r="E3273" s="42"/>
      <c r="F3273" s="42"/>
    </row>
    <row r="3274" customFormat="false" ht="15" hidden="false" customHeight="true" outlineLevel="0" collapsed="false">
      <c r="A3274" s="42"/>
      <c r="B3274" s="42"/>
      <c r="C3274" s="42"/>
      <c r="D3274" s="28" t="str">
        <f aca="false">IF(OR($B3274="",$C3274=""),"",$C3274*IFERROR(INDEX(Setup!$C$47:$C$56,MATCH($B3274,Setup!$A$47:$A$56,0)),IFERROR(INDEX(Setup!$C$60:$C$89,MATCH($B3274,Setup!$A$60:$A$89,0)),"")))</f>
        <v/>
      </c>
      <c r="E3274" s="42"/>
      <c r="F3274" s="42"/>
    </row>
    <row r="3275" customFormat="false" ht="15" hidden="false" customHeight="true" outlineLevel="0" collapsed="false">
      <c r="A3275" s="42"/>
      <c r="B3275" s="42"/>
      <c r="C3275" s="42"/>
      <c r="D3275" s="28" t="str">
        <f aca="false">IF(OR($B3275="",$C3275=""),"",$C3275*IFERROR(INDEX(Setup!$C$47:$C$56,MATCH($B3275,Setup!$A$47:$A$56,0)),IFERROR(INDEX(Setup!$C$60:$C$89,MATCH($B3275,Setup!$A$60:$A$89,0)),"")))</f>
        <v/>
      </c>
      <c r="E3275" s="42"/>
      <c r="F3275" s="42"/>
    </row>
    <row r="3276" customFormat="false" ht="15" hidden="false" customHeight="true" outlineLevel="0" collapsed="false">
      <c r="A3276" s="42"/>
      <c r="B3276" s="42"/>
      <c r="C3276" s="42"/>
      <c r="D3276" s="28" t="str">
        <f aca="false">IF(OR($B3276="",$C3276=""),"",$C3276*IFERROR(INDEX(Setup!$C$47:$C$56,MATCH($B3276,Setup!$A$47:$A$56,0)),IFERROR(INDEX(Setup!$C$60:$C$89,MATCH($B3276,Setup!$A$60:$A$89,0)),"")))</f>
        <v/>
      </c>
      <c r="E3276" s="42"/>
      <c r="F3276" s="42"/>
    </row>
    <row r="3277" customFormat="false" ht="15" hidden="false" customHeight="true" outlineLevel="0" collapsed="false">
      <c r="A3277" s="42"/>
      <c r="B3277" s="42"/>
      <c r="C3277" s="42"/>
      <c r="D3277" s="28" t="str">
        <f aca="false">IF(OR($B3277="",$C3277=""),"",$C3277*IFERROR(INDEX(Setup!$C$47:$C$56,MATCH($B3277,Setup!$A$47:$A$56,0)),IFERROR(INDEX(Setup!$C$60:$C$89,MATCH($B3277,Setup!$A$60:$A$89,0)),"")))</f>
        <v/>
      </c>
      <c r="E3277" s="42"/>
      <c r="F3277" s="42"/>
    </row>
    <row r="3278" customFormat="false" ht="15" hidden="false" customHeight="true" outlineLevel="0" collapsed="false">
      <c r="A3278" s="42"/>
      <c r="B3278" s="42"/>
      <c r="C3278" s="42"/>
      <c r="D3278" s="28" t="str">
        <f aca="false">IF(OR($B3278="",$C3278=""),"",$C3278*IFERROR(INDEX(Setup!$C$47:$C$56,MATCH($B3278,Setup!$A$47:$A$56,0)),IFERROR(INDEX(Setup!$C$60:$C$89,MATCH($B3278,Setup!$A$60:$A$89,0)),"")))</f>
        <v/>
      </c>
      <c r="E3278" s="42"/>
      <c r="F3278" s="42"/>
    </row>
    <row r="3279" customFormat="false" ht="15" hidden="false" customHeight="true" outlineLevel="0" collapsed="false">
      <c r="A3279" s="42"/>
      <c r="B3279" s="42"/>
      <c r="C3279" s="42"/>
      <c r="D3279" s="28" t="str">
        <f aca="false">IF(OR($B3279="",$C3279=""),"",$C3279*IFERROR(INDEX(Setup!$C$47:$C$56,MATCH($B3279,Setup!$A$47:$A$56,0)),IFERROR(INDEX(Setup!$C$60:$C$89,MATCH($B3279,Setup!$A$60:$A$89,0)),"")))</f>
        <v/>
      </c>
      <c r="E3279" s="42"/>
      <c r="F3279" s="42"/>
    </row>
    <row r="3280" customFormat="false" ht="15" hidden="false" customHeight="true" outlineLevel="0" collapsed="false">
      <c r="A3280" s="42"/>
      <c r="B3280" s="42"/>
      <c r="C3280" s="42"/>
      <c r="D3280" s="28" t="str">
        <f aca="false">IF(OR($B3280="",$C3280=""),"",$C3280*IFERROR(INDEX(Setup!$C$47:$C$56,MATCH($B3280,Setup!$A$47:$A$56,0)),IFERROR(INDEX(Setup!$C$60:$C$89,MATCH($B3280,Setup!$A$60:$A$89,0)),"")))</f>
        <v/>
      </c>
      <c r="E3280" s="42"/>
      <c r="F3280" s="42"/>
    </row>
    <row r="3281" customFormat="false" ht="15" hidden="false" customHeight="true" outlineLevel="0" collapsed="false">
      <c r="A3281" s="42"/>
      <c r="B3281" s="42"/>
      <c r="C3281" s="42"/>
      <c r="D3281" s="28" t="str">
        <f aca="false">IF(OR($B3281="",$C3281=""),"",$C3281*IFERROR(INDEX(Setup!$C$47:$C$56,MATCH($B3281,Setup!$A$47:$A$56,0)),IFERROR(INDEX(Setup!$C$60:$C$89,MATCH($B3281,Setup!$A$60:$A$89,0)),"")))</f>
        <v/>
      </c>
      <c r="E3281" s="42"/>
      <c r="F3281" s="42"/>
    </row>
    <row r="3282" customFormat="false" ht="15" hidden="false" customHeight="true" outlineLevel="0" collapsed="false">
      <c r="A3282" s="42"/>
      <c r="B3282" s="42"/>
      <c r="C3282" s="42"/>
      <c r="D3282" s="28" t="str">
        <f aca="false">IF(OR($B3282="",$C3282=""),"",$C3282*IFERROR(INDEX(Setup!$C$47:$C$56,MATCH($B3282,Setup!$A$47:$A$56,0)),IFERROR(INDEX(Setup!$C$60:$C$89,MATCH($B3282,Setup!$A$60:$A$89,0)),"")))</f>
        <v/>
      </c>
      <c r="E3282" s="42"/>
      <c r="F3282" s="42"/>
    </row>
    <row r="3283" customFormat="false" ht="15" hidden="false" customHeight="true" outlineLevel="0" collapsed="false">
      <c r="A3283" s="42"/>
      <c r="B3283" s="42"/>
      <c r="C3283" s="42"/>
      <c r="D3283" s="28" t="str">
        <f aca="false">IF(OR($B3283="",$C3283=""),"",$C3283*IFERROR(INDEX(Setup!$C$47:$C$56,MATCH($B3283,Setup!$A$47:$A$56,0)),IFERROR(INDEX(Setup!$C$60:$C$89,MATCH($B3283,Setup!$A$60:$A$89,0)),"")))</f>
        <v/>
      </c>
      <c r="E3283" s="42"/>
      <c r="F3283" s="42"/>
    </row>
    <row r="3284" customFormat="false" ht="15" hidden="false" customHeight="true" outlineLevel="0" collapsed="false">
      <c r="A3284" s="42"/>
      <c r="B3284" s="42"/>
      <c r="C3284" s="42"/>
      <c r="D3284" s="28" t="str">
        <f aca="false">IF(OR($B3284="",$C3284=""),"",$C3284*IFERROR(INDEX(Setup!$C$47:$C$56,MATCH($B3284,Setup!$A$47:$A$56,0)),IFERROR(INDEX(Setup!$C$60:$C$89,MATCH($B3284,Setup!$A$60:$A$89,0)),"")))</f>
        <v/>
      </c>
      <c r="E3284" s="42"/>
      <c r="F3284" s="42"/>
    </row>
    <row r="3285" customFormat="false" ht="15" hidden="false" customHeight="true" outlineLevel="0" collapsed="false">
      <c r="A3285" s="42"/>
      <c r="B3285" s="42"/>
      <c r="C3285" s="42"/>
      <c r="D3285" s="28" t="str">
        <f aca="false">IF(OR($B3285="",$C3285=""),"",$C3285*IFERROR(INDEX(Setup!$C$47:$C$56,MATCH($B3285,Setup!$A$47:$A$56,0)),IFERROR(INDEX(Setup!$C$60:$C$89,MATCH($B3285,Setup!$A$60:$A$89,0)),"")))</f>
        <v/>
      </c>
      <c r="E3285" s="42"/>
      <c r="F3285" s="42"/>
    </row>
    <row r="3286" customFormat="false" ht="15" hidden="false" customHeight="true" outlineLevel="0" collapsed="false">
      <c r="A3286" s="42"/>
      <c r="B3286" s="42"/>
      <c r="C3286" s="42"/>
      <c r="D3286" s="28" t="str">
        <f aca="false">IF(OR($B3286="",$C3286=""),"",$C3286*IFERROR(INDEX(Setup!$C$47:$C$56,MATCH($B3286,Setup!$A$47:$A$56,0)),IFERROR(INDEX(Setup!$C$60:$C$89,MATCH($B3286,Setup!$A$60:$A$89,0)),"")))</f>
        <v/>
      </c>
      <c r="E3286" s="42"/>
      <c r="F3286" s="42"/>
    </row>
    <row r="3287" customFormat="false" ht="15" hidden="false" customHeight="true" outlineLevel="0" collapsed="false">
      <c r="A3287" s="42"/>
      <c r="B3287" s="42"/>
      <c r="C3287" s="42"/>
      <c r="D3287" s="28" t="str">
        <f aca="false">IF(OR($B3287="",$C3287=""),"",$C3287*IFERROR(INDEX(Setup!$C$47:$C$56,MATCH($B3287,Setup!$A$47:$A$56,0)),IFERROR(INDEX(Setup!$C$60:$C$89,MATCH($B3287,Setup!$A$60:$A$89,0)),"")))</f>
        <v/>
      </c>
      <c r="E3287" s="42"/>
      <c r="F3287" s="42"/>
    </row>
    <row r="3288" customFormat="false" ht="15" hidden="false" customHeight="true" outlineLevel="0" collapsed="false">
      <c r="A3288" s="42"/>
      <c r="B3288" s="42"/>
      <c r="C3288" s="42"/>
      <c r="D3288" s="28" t="str">
        <f aca="false">IF(OR($B3288="",$C3288=""),"",$C3288*IFERROR(INDEX(Setup!$C$47:$C$56,MATCH($B3288,Setup!$A$47:$A$56,0)),IFERROR(INDEX(Setup!$C$60:$C$89,MATCH($B3288,Setup!$A$60:$A$89,0)),"")))</f>
        <v/>
      </c>
      <c r="E3288" s="42"/>
      <c r="F3288" s="42"/>
    </row>
    <row r="3289" customFormat="false" ht="15" hidden="false" customHeight="true" outlineLevel="0" collapsed="false">
      <c r="A3289" s="42"/>
      <c r="B3289" s="42"/>
      <c r="C3289" s="42"/>
      <c r="D3289" s="28" t="str">
        <f aca="false">IF(OR($B3289="",$C3289=""),"",$C3289*IFERROR(INDEX(Setup!$C$47:$C$56,MATCH($B3289,Setup!$A$47:$A$56,0)),IFERROR(INDEX(Setup!$C$60:$C$89,MATCH($B3289,Setup!$A$60:$A$89,0)),"")))</f>
        <v/>
      </c>
      <c r="E3289" s="42"/>
      <c r="F3289" s="42"/>
    </row>
    <row r="3290" customFormat="false" ht="15" hidden="false" customHeight="true" outlineLevel="0" collapsed="false">
      <c r="A3290" s="42"/>
      <c r="B3290" s="42"/>
      <c r="C3290" s="42"/>
      <c r="D3290" s="28" t="str">
        <f aca="false">IF(OR($B3290="",$C3290=""),"",$C3290*IFERROR(INDEX(Setup!$C$47:$C$56,MATCH($B3290,Setup!$A$47:$A$56,0)),IFERROR(INDEX(Setup!$C$60:$C$89,MATCH($B3290,Setup!$A$60:$A$89,0)),"")))</f>
        <v/>
      </c>
      <c r="E3290" s="42"/>
      <c r="F3290" s="42"/>
    </row>
    <row r="3291" customFormat="false" ht="15" hidden="false" customHeight="true" outlineLevel="0" collapsed="false">
      <c r="A3291" s="42"/>
      <c r="B3291" s="42"/>
      <c r="C3291" s="42"/>
      <c r="D3291" s="28" t="str">
        <f aca="false">IF(OR($B3291="",$C3291=""),"",$C3291*IFERROR(INDEX(Setup!$C$47:$C$56,MATCH($B3291,Setup!$A$47:$A$56,0)),IFERROR(INDEX(Setup!$C$60:$C$89,MATCH($B3291,Setup!$A$60:$A$89,0)),"")))</f>
        <v/>
      </c>
      <c r="E3291" s="42"/>
      <c r="F3291" s="42"/>
    </row>
    <row r="3292" customFormat="false" ht="15" hidden="false" customHeight="true" outlineLevel="0" collapsed="false">
      <c r="A3292" s="42"/>
      <c r="B3292" s="42"/>
      <c r="C3292" s="42"/>
      <c r="D3292" s="28" t="str">
        <f aca="false">IF(OR($B3292="",$C3292=""),"",$C3292*IFERROR(INDEX(Setup!$C$47:$C$56,MATCH($B3292,Setup!$A$47:$A$56,0)),IFERROR(INDEX(Setup!$C$60:$C$89,MATCH($B3292,Setup!$A$60:$A$89,0)),"")))</f>
        <v/>
      </c>
      <c r="E3292" s="42"/>
      <c r="F3292" s="42"/>
    </row>
    <row r="3293" customFormat="false" ht="15" hidden="false" customHeight="true" outlineLevel="0" collapsed="false">
      <c r="A3293" s="42"/>
      <c r="B3293" s="42"/>
      <c r="C3293" s="42"/>
      <c r="D3293" s="28" t="str">
        <f aca="false">IF(OR($B3293="",$C3293=""),"",$C3293*IFERROR(INDEX(Setup!$C$47:$C$56,MATCH($B3293,Setup!$A$47:$A$56,0)),IFERROR(INDEX(Setup!$C$60:$C$89,MATCH($B3293,Setup!$A$60:$A$89,0)),"")))</f>
        <v/>
      </c>
      <c r="E3293" s="42"/>
      <c r="F3293" s="42"/>
    </row>
    <row r="3294" customFormat="false" ht="15" hidden="false" customHeight="true" outlineLevel="0" collapsed="false">
      <c r="A3294" s="42"/>
      <c r="B3294" s="42"/>
      <c r="C3294" s="42"/>
      <c r="D3294" s="28" t="str">
        <f aca="false">IF(OR($B3294="",$C3294=""),"",$C3294*IFERROR(INDEX(Setup!$C$47:$C$56,MATCH($B3294,Setup!$A$47:$A$56,0)),IFERROR(INDEX(Setup!$C$60:$C$89,MATCH($B3294,Setup!$A$60:$A$89,0)),"")))</f>
        <v/>
      </c>
      <c r="E3294" s="42"/>
      <c r="F3294" s="42"/>
    </row>
    <row r="3295" customFormat="false" ht="15" hidden="false" customHeight="true" outlineLevel="0" collapsed="false">
      <c r="A3295" s="42"/>
      <c r="B3295" s="42"/>
      <c r="C3295" s="42"/>
      <c r="D3295" s="28" t="str">
        <f aca="false">IF(OR($B3295="",$C3295=""),"",$C3295*IFERROR(INDEX(Setup!$C$47:$C$56,MATCH($B3295,Setup!$A$47:$A$56,0)),IFERROR(INDEX(Setup!$C$60:$C$89,MATCH($B3295,Setup!$A$60:$A$89,0)),"")))</f>
        <v/>
      </c>
      <c r="E3295" s="42"/>
      <c r="F3295" s="42"/>
    </row>
    <row r="3296" customFormat="false" ht="15" hidden="false" customHeight="true" outlineLevel="0" collapsed="false">
      <c r="A3296" s="42"/>
      <c r="B3296" s="42"/>
      <c r="C3296" s="42"/>
      <c r="D3296" s="28" t="str">
        <f aca="false">IF(OR($B3296="",$C3296=""),"",$C3296*IFERROR(INDEX(Setup!$C$47:$C$56,MATCH($B3296,Setup!$A$47:$A$56,0)),IFERROR(INDEX(Setup!$C$60:$C$89,MATCH($B3296,Setup!$A$60:$A$89,0)),"")))</f>
        <v/>
      </c>
      <c r="E3296" s="42"/>
      <c r="F3296" s="42"/>
    </row>
    <row r="3297" customFormat="false" ht="15" hidden="false" customHeight="true" outlineLevel="0" collapsed="false">
      <c r="A3297" s="42"/>
      <c r="B3297" s="42"/>
      <c r="C3297" s="42"/>
      <c r="D3297" s="28" t="str">
        <f aca="false">IF(OR($B3297="",$C3297=""),"",$C3297*IFERROR(INDEX(Setup!$C$47:$C$56,MATCH($B3297,Setup!$A$47:$A$56,0)),IFERROR(INDEX(Setup!$C$60:$C$89,MATCH($B3297,Setup!$A$60:$A$89,0)),"")))</f>
        <v/>
      </c>
      <c r="E3297" s="42"/>
      <c r="F3297" s="42"/>
    </row>
    <row r="3298" customFormat="false" ht="15" hidden="false" customHeight="true" outlineLevel="0" collapsed="false">
      <c r="A3298" s="42"/>
      <c r="B3298" s="42"/>
      <c r="C3298" s="42"/>
      <c r="D3298" s="28" t="str">
        <f aca="false">IF(OR($B3298="",$C3298=""),"",$C3298*IFERROR(INDEX(Setup!$C$47:$C$56,MATCH($B3298,Setup!$A$47:$A$56,0)),IFERROR(INDEX(Setup!$C$60:$C$89,MATCH($B3298,Setup!$A$60:$A$89,0)),"")))</f>
        <v/>
      </c>
      <c r="E3298" s="42"/>
      <c r="F3298" s="42"/>
    </row>
    <row r="3299" customFormat="false" ht="15" hidden="false" customHeight="true" outlineLevel="0" collapsed="false">
      <c r="A3299" s="42"/>
      <c r="B3299" s="42"/>
      <c r="C3299" s="42"/>
      <c r="D3299" s="28" t="str">
        <f aca="false">IF(OR($B3299="",$C3299=""),"",$C3299*IFERROR(INDEX(Setup!$C$47:$C$56,MATCH($B3299,Setup!$A$47:$A$56,0)),IFERROR(INDEX(Setup!$C$60:$C$89,MATCH($B3299,Setup!$A$60:$A$89,0)),"")))</f>
        <v/>
      </c>
      <c r="E3299" s="42"/>
      <c r="F3299" s="42"/>
    </row>
    <row r="3300" customFormat="false" ht="15" hidden="false" customHeight="true" outlineLevel="0" collapsed="false">
      <c r="A3300" s="42"/>
      <c r="B3300" s="42"/>
      <c r="C3300" s="42"/>
      <c r="D3300" s="28" t="str">
        <f aca="false">IF(OR($B3300="",$C3300=""),"",$C3300*IFERROR(INDEX(Setup!$C$47:$C$56,MATCH($B3300,Setup!$A$47:$A$56,0)),IFERROR(INDEX(Setup!$C$60:$C$89,MATCH($B3300,Setup!$A$60:$A$89,0)),"")))</f>
        <v/>
      </c>
      <c r="E3300" s="42"/>
      <c r="F3300" s="42"/>
    </row>
    <row r="3301" customFormat="false" ht="15" hidden="false" customHeight="true" outlineLevel="0" collapsed="false">
      <c r="A3301" s="42"/>
      <c r="B3301" s="42"/>
      <c r="C3301" s="42"/>
      <c r="D3301" s="28" t="str">
        <f aca="false">IF(OR($B3301="",$C3301=""),"",$C3301*IFERROR(INDEX(Setup!$C$47:$C$56,MATCH($B3301,Setup!$A$47:$A$56,0)),IFERROR(INDEX(Setup!$C$60:$C$89,MATCH($B3301,Setup!$A$60:$A$89,0)),"")))</f>
        <v/>
      </c>
      <c r="E3301" s="42"/>
      <c r="F3301" s="42"/>
    </row>
    <row r="3302" customFormat="false" ht="15" hidden="false" customHeight="true" outlineLevel="0" collapsed="false">
      <c r="A3302" s="42"/>
      <c r="B3302" s="42"/>
      <c r="C3302" s="42"/>
      <c r="D3302" s="28" t="str">
        <f aca="false">IF(OR($B3302="",$C3302=""),"",$C3302*IFERROR(INDEX(Setup!$C$47:$C$56,MATCH($B3302,Setup!$A$47:$A$56,0)),IFERROR(INDEX(Setup!$C$60:$C$89,MATCH($B3302,Setup!$A$60:$A$89,0)),"")))</f>
        <v/>
      </c>
      <c r="E3302" s="42"/>
      <c r="F3302" s="42"/>
    </row>
    <row r="3303" customFormat="false" ht="15" hidden="false" customHeight="true" outlineLevel="0" collapsed="false">
      <c r="A3303" s="42"/>
      <c r="B3303" s="42"/>
      <c r="C3303" s="42"/>
      <c r="D3303" s="28" t="str">
        <f aca="false">IF(OR($B3303="",$C3303=""),"",$C3303*IFERROR(INDEX(Setup!$C$47:$C$56,MATCH($B3303,Setup!$A$47:$A$56,0)),IFERROR(INDEX(Setup!$C$60:$C$89,MATCH($B3303,Setup!$A$60:$A$89,0)),"")))</f>
        <v/>
      </c>
      <c r="E3303" s="42"/>
      <c r="F3303" s="42"/>
    </row>
    <row r="3304" customFormat="false" ht="15" hidden="false" customHeight="true" outlineLevel="0" collapsed="false">
      <c r="A3304" s="42"/>
      <c r="B3304" s="42"/>
      <c r="C3304" s="42"/>
      <c r="D3304" s="28" t="str">
        <f aca="false">IF(OR($B3304="",$C3304=""),"",$C3304*IFERROR(INDEX(Setup!$C$47:$C$56,MATCH($B3304,Setup!$A$47:$A$56,0)),IFERROR(INDEX(Setup!$C$60:$C$89,MATCH($B3304,Setup!$A$60:$A$89,0)),"")))</f>
        <v/>
      </c>
      <c r="E3304" s="42"/>
      <c r="F3304" s="42"/>
    </row>
    <row r="3305" customFormat="false" ht="15" hidden="false" customHeight="true" outlineLevel="0" collapsed="false">
      <c r="A3305" s="42"/>
      <c r="B3305" s="42"/>
      <c r="C3305" s="42"/>
      <c r="D3305" s="28" t="str">
        <f aca="false">IF(OR($B3305="",$C3305=""),"",$C3305*IFERROR(INDEX(Setup!$C$47:$C$56,MATCH($B3305,Setup!$A$47:$A$56,0)),IFERROR(INDEX(Setup!$C$60:$C$89,MATCH($B3305,Setup!$A$60:$A$89,0)),"")))</f>
        <v/>
      </c>
      <c r="E3305" s="42"/>
      <c r="F3305" s="42"/>
    </row>
    <row r="3306" customFormat="false" ht="15" hidden="false" customHeight="true" outlineLevel="0" collapsed="false">
      <c r="A3306" s="42"/>
      <c r="B3306" s="42"/>
      <c r="C3306" s="42"/>
      <c r="D3306" s="28" t="str">
        <f aca="false">IF(OR($B3306="",$C3306=""),"",$C3306*IFERROR(INDEX(Setup!$C$47:$C$56,MATCH($B3306,Setup!$A$47:$A$56,0)),IFERROR(INDEX(Setup!$C$60:$C$89,MATCH($B3306,Setup!$A$60:$A$89,0)),"")))</f>
        <v/>
      </c>
      <c r="E3306" s="42"/>
      <c r="F3306" s="42"/>
    </row>
    <row r="3307" customFormat="false" ht="15" hidden="false" customHeight="true" outlineLevel="0" collapsed="false">
      <c r="A3307" s="42"/>
      <c r="B3307" s="42"/>
      <c r="C3307" s="42"/>
      <c r="D3307" s="28" t="str">
        <f aca="false">IF(OR($B3307="",$C3307=""),"",$C3307*IFERROR(INDEX(Setup!$C$47:$C$56,MATCH($B3307,Setup!$A$47:$A$56,0)),IFERROR(INDEX(Setup!$C$60:$C$89,MATCH($B3307,Setup!$A$60:$A$89,0)),"")))</f>
        <v/>
      </c>
      <c r="E3307" s="42"/>
      <c r="F3307" s="42"/>
    </row>
    <row r="3308" customFormat="false" ht="15" hidden="false" customHeight="true" outlineLevel="0" collapsed="false">
      <c r="A3308" s="42"/>
      <c r="B3308" s="42"/>
      <c r="C3308" s="42"/>
      <c r="D3308" s="28" t="str">
        <f aca="false">IF(OR($B3308="",$C3308=""),"",$C3308*IFERROR(INDEX(Setup!$C$47:$C$56,MATCH($B3308,Setup!$A$47:$A$56,0)),IFERROR(INDEX(Setup!$C$60:$C$89,MATCH($B3308,Setup!$A$60:$A$89,0)),"")))</f>
        <v/>
      </c>
      <c r="E3308" s="42"/>
      <c r="F3308" s="42"/>
    </row>
    <row r="3309" customFormat="false" ht="15" hidden="false" customHeight="true" outlineLevel="0" collapsed="false">
      <c r="A3309" s="42"/>
      <c r="B3309" s="42"/>
      <c r="C3309" s="42"/>
      <c r="D3309" s="28" t="str">
        <f aca="false">IF(OR($B3309="",$C3309=""),"",$C3309*IFERROR(INDEX(Setup!$C$47:$C$56,MATCH($B3309,Setup!$A$47:$A$56,0)),IFERROR(INDEX(Setup!$C$60:$C$89,MATCH($B3309,Setup!$A$60:$A$89,0)),"")))</f>
        <v/>
      </c>
      <c r="E3309" s="42"/>
      <c r="F3309" s="42"/>
    </row>
    <row r="3310" customFormat="false" ht="15" hidden="false" customHeight="true" outlineLevel="0" collapsed="false">
      <c r="A3310" s="42"/>
      <c r="B3310" s="42"/>
      <c r="C3310" s="42"/>
      <c r="D3310" s="28" t="str">
        <f aca="false">IF(OR($B3310="",$C3310=""),"",$C3310*IFERROR(INDEX(Setup!$C$47:$C$56,MATCH($B3310,Setup!$A$47:$A$56,0)),IFERROR(INDEX(Setup!$C$60:$C$89,MATCH($B3310,Setup!$A$60:$A$89,0)),"")))</f>
        <v/>
      </c>
      <c r="E3310" s="42"/>
      <c r="F3310" s="42"/>
    </row>
    <row r="3311" customFormat="false" ht="15" hidden="false" customHeight="true" outlineLevel="0" collapsed="false">
      <c r="A3311" s="42"/>
      <c r="B3311" s="42"/>
      <c r="C3311" s="42"/>
      <c r="D3311" s="28" t="str">
        <f aca="false">IF(OR($B3311="",$C3311=""),"",$C3311*IFERROR(INDEX(Setup!$C$47:$C$56,MATCH($B3311,Setup!$A$47:$A$56,0)),IFERROR(INDEX(Setup!$C$60:$C$89,MATCH($B3311,Setup!$A$60:$A$89,0)),"")))</f>
        <v/>
      </c>
      <c r="E3311" s="42"/>
      <c r="F3311" s="42"/>
    </row>
    <row r="3312" customFormat="false" ht="15" hidden="false" customHeight="true" outlineLevel="0" collapsed="false">
      <c r="A3312" s="42"/>
      <c r="B3312" s="42"/>
      <c r="C3312" s="42"/>
      <c r="D3312" s="28" t="str">
        <f aca="false">IF(OR($B3312="",$C3312=""),"",$C3312*IFERROR(INDEX(Setup!$C$47:$C$56,MATCH($B3312,Setup!$A$47:$A$56,0)),IFERROR(INDEX(Setup!$C$60:$C$89,MATCH($B3312,Setup!$A$60:$A$89,0)),"")))</f>
        <v/>
      </c>
      <c r="E3312" s="42"/>
      <c r="F3312" s="42"/>
    </row>
    <row r="3313" customFormat="false" ht="15" hidden="false" customHeight="true" outlineLevel="0" collapsed="false">
      <c r="A3313" s="42"/>
      <c r="B3313" s="42"/>
      <c r="C3313" s="42"/>
      <c r="D3313" s="28" t="str">
        <f aca="false">IF(OR($B3313="",$C3313=""),"",$C3313*IFERROR(INDEX(Setup!$C$47:$C$56,MATCH($B3313,Setup!$A$47:$A$56,0)),IFERROR(INDEX(Setup!$C$60:$C$89,MATCH($B3313,Setup!$A$60:$A$89,0)),"")))</f>
        <v/>
      </c>
      <c r="E3313" s="42"/>
      <c r="F3313" s="42"/>
    </row>
    <row r="3314" customFormat="false" ht="15" hidden="false" customHeight="true" outlineLevel="0" collapsed="false">
      <c r="A3314" s="42"/>
      <c r="B3314" s="42"/>
      <c r="C3314" s="42"/>
      <c r="D3314" s="28" t="str">
        <f aca="false">IF(OR($B3314="",$C3314=""),"",$C3314*IFERROR(INDEX(Setup!$C$47:$C$56,MATCH($B3314,Setup!$A$47:$A$56,0)),IFERROR(INDEX(Setup!$C$60:$C$89,MATCH($B3314,Setup!$A$60:$A$89,0)),"")))</f>
        <v/>
      </c>
      <c r="E3314" s="42"/>
      <c r="F3314" s="42"/>
    </row>
    <row r="3315" customFormat="false" ht="15" hidden="false" customHeight="true" outlineLevel="0" collapsed="false">
      <c r="A3315" s="42"/>
      <c r="B3315" s="42"/>
      <c r="C3315" s="42"/>
      <c r="D3315" s="28" t="str">
        <f aca="false">IF(OR($B3315="",$C3315=""),"",$C3315*IFERROR(INDEX(Setup!$C$47:$C$56,MATCH($B3315,Setup!$A$47:$A$56,0)),IFERROR(INDEX(Setup!$C$60:$C$89,MATCH($B3315,Setup!$A$60:$A$89,0)),"")))</f>
        <v/>
      </c>
      <c r="E3315" s="42"/>
      <c r="F3315" s="42"/>
    </row>
    <row r="3316" customFormat="false" ht="15" hidden="false" customHeight="true" outlineLevel="0" collapsed="false">
      <c r="A3316" s="42"/>
      <c r="B3316" s="42"/>
      <c r="C3316" s="42"/>
      <c r="D3316" s="28" t="str">
        <f aca="false">IF(OR($B3316="",$C3316=""),"",$C3316*IFERROR(INDEX(Setup!$C$47:$C$56,MATCH($B3316,Setup!$A$47:$A$56,0)),IFERROR(INDEX(Setup!$C$60:$C$89,MATCH($B3316,Setup!$A$60:$A$89,0)),"")))</f>
        <v/>
      </c>
      <c r="E3316" s="42"/>
      <c r="F3316" s="42"/>
    </row>
    <row r="3317" customFormat="false" ht="15" hidden="false" customHeight="true" outlineLevel="0" collapsed="false">
      <c r="A3317" s="42"/>
      <c r="B3317" s="42"/>
      <c r="C3317" s="42"/>
      <c r="D3317" s="28" t="str">
        <f aca="false">IF(OR($B3317="",$C3317=""),"",$C3317*IFERROR(INDEX(Setup!$C$47:$C$56,MATCH($B3317,Setup!$A$47:$A$56,0)),IFERROR(INDEX(Setup!$C$60:$C$89,MATCH($B3317,Setup!$A$60:$A$89,0)),"")))</f>
        <v/>
      </c>
      <c r="E3317" s="42"/>
      <c r="F3317" s="42"/>
    </row>
    <row r="3318" customFormat="false" ht="15" hidden="false" customHeight="true" outlineLevel="0" collapsed="false">
      <c r="A3318" s="42"/>
      <c r="B3318" s="42"/>
      <c r="C3318" s="42"/>
      <c r="D3318" s="28" t="str">
        <f aca="false">IF(OR($B3318="",$C3318=""),"",$C3318*IFERROR(INDEX(Setup!$C$47:$C$56,MATCH($B3318,Setup!$A$47:$A$56,0)),IFERROR(INDEX(Setup!$C$60:$C$89,MATCH($B3318,Setup!$A$60:$A$89,0)),"")))</f>
        <v/>
      </c>
      <c r="E3318" s="42"/>
      <c r="F3318" s="42"/>
    </row>
    <row r="3319" customFormat="false" ht="15" hidden="false" customHeight="true" outlineLevel="0" collapsed="false">
      <c r="A3319" s="42"/>
      <c r="B3319" s="42"/>
      <c r="C3319" s="42"/>
      <c r="D3319" s="28" t="str">
        <f aca="false">IF(OR($B3319="",$C3319=""),"",$C3319*IFERROR(INDEX(Setup!$C$47:$C$56,MATCH($B3319,Setup!$A$47:$A$56,0)),IFERROR(INDEX(Setup!$C$60:$C$89,MATCH($B3319,Setup!$A$60:$A$89,0)),"")))</f>
        <v/>
      </c>
      <c r="E3319" s="42"/>
      <c r="F3319" s="42"/>
    </row>
    <row r="3320" customFormat="false" ht="15" hidden="false" customHeight="true" outlineLevel="0" collapsed="false">
      <c r="A3320" s="42"/>
      <c r="B3320" s="42"/>
      <c r="C3320" s="42"/>
      <c r="D3320" s="28" t="str">
        <f aca="false">IF(OR($B3320="",$C3320=""),"",$C3320*IFERROR(INDEX(Setup!$C$47:$C$56,MATCH($B3320,Setup!$A$47:$A$56,0)),IFERROR(INDEX(Setup!$C$60:$C$89,MATCH($B3320,Setup!$A$60:$A$89,0)),"")))</f>
        <v/>
      </c>
      <c r="E3320" s="42"/>
      <c r="F3320" s="42"/>
    </row>
    <row r="3321" customFormat="false" ht="15" hidden="false" customHeight="true" outlineLevel="0" collapsed="false">
      <c r="A3321" s="42"/>
      <c r="B3321" s="42"/>
      <c r="C3321" s="42"/>
      <c r="D3321" s="28" t="str">
        <f aca="false">IF(OR($B3321="",$C3321=""),"",$C3321*IFERROR(INDEX(Setup!$C$47:$C$56,MATCH($B3321,Setup!$A$47:$A$56,0)),IFERROR(INDEX(Setup!$C$60:$C$89,MATCH($B3321,Setup!$A$60:$A$89,0)),"")))</f>
        <v/>
      </c>
      <c r="E3321" s="42"/>
      <c r="F3321" s="42"/>
    </row>
    <row r="3322" customFormat="false" ht="15" hidden="false" customHeight="true" outlineLevel="0" collapsed="false">
      <c r="A3322" s="42"/>
      <c r="B3322" s="42"/>
      <c r="C3322" s="42"/>
      <c r="D3322" s="28" t="str">
        <f aca="false">IF(OR($B3322="",$C3322=""),"",$C3322*IFERROR(INDEX(Setup!$C$47:$C$56,MATCH($B3322,Setup!$A$47:$A$56,0)),IFERROR(INDEX(Setup!$C$60:$C$89,MATCH($B3322,Setup!$A$60:$A$89,0)),"")))</f>
        <v/>
      </c>
      <c r="E3322" s="42"/>
      <c r="F3322" s="42"/>
    </row>
    <row r="3323" customFormat="false" ht="15" hidden="false" customHeight="true" outlineLevel="0" collapsed="false">
      <c r="A3323" s="42"/>
      <c r="B3323" s="42"/>
      <c r="C3323" s="42"/>
      <c r="D3323" s="28" t="str">
        <f aca="false">IF(OR($B3323="",$C3323=""),"",$C3323*IFERROR(INDEX(Setup!$C$47:$C$56,MATCH($B3323,Setup!$A$47:$A$56,0)),IFERROR(INDEX(Setup!$C$60:$C$89,MATCH($B3323,Setup!$A$60:$A$89,0)),"")))</f>
        <v/>
      </c>
      <c r="E3323" s="42"/>
      <c r="F3323" s="42"/>
    </row>
    <row r="3324" customFormat="false" ht="15" hidden="false" customHeight="true" outlineLevel="0" collapsed="false">
      <c r="A3324" s="42"/>
      <c r="B3324" s="42"/>
      <c r="C3324" s="42"/>
      <c r="D3324" s="28" t="str">
        <f aca="false">IF(OR($B3324="",$C3324=""),"",$C3324*IFERROR(INDEX(Setup!$C$47:$C$56,MATCH($B3324,Setup!$A$47:$A$56,0)),IFERROR(INDEX(Setup!$C$60:$C$89,MATCH($B3324,Setup!$A$60:$A$89,0)),"")))</f>
        <v/>
      </c>
      <c r="E3324" s="42"/>
      <c r="F3324" s="42"/>
    </row>
    <row r="3325" customFormat="false" ht="15" hidden="false" customHeight="true" outlineLevel="0" collapsed="false">
      <c r="A3325" s="42"/>
      <c r="B3325" s="42"/>
      <c r="C3325" s="42"/>
      <c r="D3325" s="28" t="str">
        <f aca="false">IF(OR($B3325="",$C3325=""),"",$C3325*IFERROR(INDEX(Setup!$C$47:$C$56,MATCH($B3325,Setup!$A$47:$A$56,0)),IFERROR(INDEX(Setup!$C$60:$C$89,MATCH($B3325,Setup!$A$60:$A$89,0)),"")))</f>
        <v/>
      </c>
      <c r="E3325" s="42"/>
      <c r="F3325" s="42"/>
    </row>
    <row r="3326" customFormat="false" ht="15" hidden="false" customHeight="true" outlineLevel="0" collapsed="false">
      <c r="A3326" s="42"/>
      <c r="B3326" s="42"/>
      <c r="C3326" s="42"/>
      <c r="D3326" s="28" t="str">
        <f aca="false">IF(OR($B3326="",$C3326=""),"",$C3326*IFERROR(INDEX(Setup!$C$47:$C$56,MATCH($B3326,Setup!$A$47:$A$56,0)),IFERROR(INDEX(Setup!$C$60:$C$89,MATCH($B3326,Setup!$A$60:$A$89,0)),"")))</f>
        <v/>
      </c>
      <c r="E3326" s="42"/>
      <c r="F3326" s="42"/>
    </row>
    <row r="3327" customFormat="false" ht="15" hidden="false" customHeight="true" outlineLevel="0" collapsed="false">
      <c r="A3327" s="42"/>
      <c r="B3327" s="42"/>
      <c r="C3327" s="42"/>
      <c r="D3327" s="28" t="str">
        <f aca="false">IF(OR($B3327="",$C3327=""),"",$C3327*IFERROR(INDEX(Setup!$C$47:$C$56,MATCH($B3327,Setup!$A$47:$A$56,0)),IFERROR(INDEX(Setup!$C$60:$C$89,MATCH($B3327,Setup!$A$60:$A$89,0)),"")))</f>
        <v/>
      </c>
      <c r="E3327" s="42"/>
      <c r="F3327" s="42"/>
    </row>
    <row r="3328" customFormat="false" ht="15" hidden="false" customHeight="true" outlineLevel="0" collapsed="false">
      <c r="A3328" s="42"/>
      <c r="B3328" s="42"/>
      <c r="C3328" s="42"/>
      <c r="D3328" s="28" t="str">
        <f aca="false">IF(OR($B3328="",$C3328=""),"",$C3328*IFERROR(INDEX(Setup!$C$47:$C$56,MATCH($B3328,Setup!$A$47:$A$56,0)),IFERROR(INDEX(Setup!$C$60:$C$89,MATCH($B3328,Setup!$A$60:$A$89,0)),"")))</f>
        <v/>
      </c>
      <c r="E3328" s="42"/>
      <c r="F3328" s="42"/>
    </row>
    <row r="3329" customFormat="false" ht="15" hidden="false" customHeight="true" outlineLevel="0" collapsed="false">
      <c r="A3329" s="42"/>
      <c r="B3329" s="42"/>
      <c r="C3329" s="42"/>
      <c r="D3329" s="28" t="str">
        <f aca="false">IF(OR($B3329="",$C3329=""),"",$C3329*IFERROR(INDEX(Setup!$C$47:$C$56,MATCH($B3329,Setup!$A$47:$A$56,0)),IFERROR(INDEX(Setup!$C$60:$C$89,MATCH($B3329,Setup!$A$60:$A$89,0)),"")))</f>
        <v/>
      </c>
      <c r="E3329" s="42"/>
      <c r="F3329" s="42"/>
    </row>
    <row r="3330" customFormat="false" ht="15" hidden="false" customHeight="true" outlineLevel="0" collapsed="false">
      <c r="A3330" s="42"/>
      <c r="B3330" s="42"/>
      <c r="C3330" s="42"/>
      <c r="D3330" s="28" t="str">
        <f aca="false">IF(OR($B3330="",$C3330=""),"",$C3330*IFERROR(INDEX(Setup!$C$47:$C$56,MATCH($B3330,Setup!$A$47:$A$56,0)),IFERROR(INDEX(Setup!$C$60:$C$89,MATCH($B3330,Setup!$A$60:$A$89,0)),"")))</f>
        <v/>
      </c>
      <c r="E3330" s="42"/>
      <c r="F3330" s="42"/>
    </row>
    <row r="3331" customFormat="false" ht="15" hidden="false" customHeight="true" outlineLevel="0" collapsed="false">
      <c r="A3331" s="42"/>
      <c r="B3331" s="42"/>
      <c r="C3331" s="42"/>
      <c r="D3331" s="28" t="str">
        <f aca="false">IF(OR($B3331="",$C3331=""),"",$C3331*IFERROR(INDEX(Setup!$C$47:$C$56,MATCH($B3331,Setup!$A$47:$A$56,0)),IFERROR(INDEX(Setup!$C$60:$C$89,MATCH($B3331,Setup!$A$60:$A$89,0)),"")))</f>
        <v/>
      </c>
      <c r="E3331" s="42"/>
      <c r="F3331" s="42"/>
    </row>
    <row r="3332" customFormat="false" ht="15" hidden="false" customHeight="true" outlineLevel="0" collapsed="false">
      <c r="A3332" s="42"/>
      <c r="B3332" s="42"/>
      <c r="C3332" s="42"/>
      <c r="D3332" s="28" t="str">
        <f aca="false">IF(OR($B3332="",$C3332=""),"",$C3332*IFERROR(INDEX(Setup!$C$47:$C$56,MATCH($B3332,Setup!$A$47:$A$56,0)),IFERROR(INDEX(Setup!$C$60:$C$89,MATCH($B3332,Setup!$A$60:$A$89,0)),"")))</f>
        <v/>
      </c>
      <c r="E3332" s="42"/>
      <c r="F3332" s="42"/>
    </row>
    <row r="3333" customFormat="false" ht="15" hidden="false" customHeight="true" outlineLevel="0" collapsed="false">
      <c r="A3333" s="42"/>
      <c r="B3333" s="42"/>
      <c r="C3333" s="42"/>
      <c r="D3333" s="28" t="str">
        <f aca="false">IF(OR($B3333="",$C3333=""),"",$C3333*IFERROR(INDEX(Setup!$C$47:$C$56,MATCH($B3333,Setup!$A$47:$A$56,0)),IFERROR(INDEX(Setup!$C$60:$C$89,MATCH($B3333,Setup!$A$60:$A$89,0)),"")))</f>
        <v/>
      </c>
      <c r="E3333" s="42"/>
      <c r="F3333" s="42"/>
    </row>
    <row r="3334" customFormat="false" ht="15" hidden="false" customHeight="true" outlineLevel="0" collapsed="false">
      <c r="A3334" s="42"/>
      <c r="B3334" s="42"/>
      <c r="C3334" s="42"/>
      <c r="D3334" s="28" t="str">
        <f aca="false">IF(OR($B3334="",$C3334=""),"",$C3334*IFERROR(INDEX(Setup!$C$47:$C$56,MATCH($B3334,Setup!$A$47:$A$56,0)),IFERROR(INDEX(Setup!$C$60:$C$89,MATCH($B3334,Setup!$A$60:$A$89,0)),"")))</f>
        <v/>
      </c>
      <c r="E3334" s="42"/>
      <c r="F3334" s="42"/>
    </row>
    <row r="3335" customFormat="false" ht="15" hidden="false" customHeight="true" outlineLevel="0" collapsed="false">
      <c r="A3335" s="42"/>
      <c r="B3335" s="42"/>
      <c r="C3335" s="42"/>
      <c r="D3335" s="28" t="str">
        <f aca="false">IF(OR($B3335="",$C3335=""),"",$C3335*IFERROR(INDEX(Setup!$C$47:$C$56,MATCH($B3335,Setup!$A$47:$A$56,0)),IFERROR(INDEX(Setup!$C$60:$C$89,MATCH($B3335,Setup!$A$60:$A$89,0)),"")))</f>
        <v/>
      </c>
      <c r="E3335" s="42"/>
      <c r="F3335" s="42"/>
    </row>
    <row r="3336" customFormat="false" ht="15" hidden="false" customHeight="true" outlineLevel="0" collapsed="false">
      <c r="A3336" s="42"/>
      <c r="B3336" s="42"/>
      <c r="C3336" s="42"/>
      <c r="D3336" s="28" t="str">
        <f aca="false">IF(OR($B3336="",$C3336=""),"",$C3336*IFERROR(INDEX(Setup!$C$47:$C$56,MATCH($B3336,Setup!$A$47:$A$56,0)),IFERROR(INDEX(Setup!$C$60:$C$89,MATCH($B3336,Setup!$A$60:$A$89,0)),"")))</f>
        <v/>
      </c>
      <c r="E3336" s="42"/>
      <c r="F3336" s="42"/>
    </row>
    <row r="3337" customFormat="false" ht="15" hidden="false" customHeight="true" outlineLevel="0" collapsed="false">
      <c r="A3337" s="42"/>
      <c r="B3337" s="42"/>
      <c r="C3337" s="42"/>
      <c r="D3337" s="28" t="str">
        <f aca="false">IF(OR($B3337="",$C3337=""),"",$C3337*IFERROR(INDEX(Setup!$C$47:$C$56,MATCH($B3337,Setup!$A$47:$A$56,0)),IFERROR(INDEX(Setup!$C$60:$C$89,MATCH($B3337,Setup!$A$60:$A$89,0)),"")))</f>
        <v/>
      </c>
      <c r="E3337" s="42"/>
      <c r="F3337" s="42"/>
    </row>
    <row r="3338" customFormat="false" ht="15" hidden="false" customHeight="true" outlineLevel="0" collapsed="false">
      <c r="A3338" s="42"/>
      <c r="B3338" s="42"/>
      <c r="C3338" s="42"/>
      <c r="D3338" s="28" t="str">
        <f aca="false">IF(OR($B3338="",$C3338=""),"",$C3338*IFERROR(INDEX(Setup!$C$47:$C$56,MATCH($B3338,Setup!$A$47:$A$56,0)),IFERROR(INDEX(Setup!$C$60:$C$89,MATCH($B3338,Setup!$A$60:$A$89,0)),"")))</f>
        <v/>
      </c>
      <c r="E3338" s="42"/>
      <c r="F3338" s="42"/>
    </row>
    <row r="3339" customFormat="false" ht="15" hidden="false" customHeight="true" outlineLevel="0" collapsed="false">
      <c r="A3339" s="42"/>
      <c r="B3339" s="42"/>
      <c r="C3339" s="42"/>
      <c r="D3339" s="28" t="str">
        <f aca="false">IF(OR($B3339="",$C3339=""),"",$C3339*IFERROR(INDEX(Setup!$C$47:$C$56,MATCH($B3339,Setup!$A$47:$A$56,0)),IFERROR(INDEX(Setup!$C$60:$C$89,MATCH($B3339,Setup!$A$60:$A$89,0)),"")))</f>
        <v/>
      </c>
      <c r="E3339" s="42"/>
      <c r="F3339" s="42"/>
    </row>
    <row r="3340" customFormat="false" ht="15" hidden="false" customHeight="true" outlineLevel="0" collapsed="false">
      <c r="A3340" s="42"/>
      <c r="B3340" s="42"/>
      <c r="C3340" s="42"/>
      <c r="D3340" s="28" t="str">
        <f aca="false">IF(OR($B3340="",$C3340=""),"",$C3340*IFERROR(INDEX(Setup!$C$47:$C$56,MATCH($B3340,Setup!$A$47:$A$56,0)),IFERROR(INDEX(Setup!$C$60:$C$89,MATCH($B3340,Setup!$A$60:$A$89,0)),"")))</f>
        <v/>
      </c>
      <c r="E3340" s="42"/>
      <c r="F3340" s="42"/>
    </row>
    <row r="3341" customFormat="false" ht="15" hidden="false" customHeight="true" outlineLevel="0" collapsed="false">
      <c r="A3341" s="42"/>
      <c r="B3341" s="42"/>
      <c r="C3341" s="42"/>
      <c r="D3341" s="28" t="str">
        <f aca="false">IF(OR($B3341="",$C3341=""),"",$C3341*IFERROR(INDEX(Setup!$C$47:$C$56,MATCH($B3341,Setup!$A$47:$A$56,0)),IFERROR(INDEX(Setup!$C$60:$C$89,MATCH($B3341,Setup!$A$60:$A$89,0)),"")))</f>
        <v/>
      </c>
      <c r="E3341" s="42"/>
      <c r="F3341" s="42"/>
    </row>
    <row r="3342" customFormat="false" ht="15" hidden="false" customHeight="true" outlineLevel="0" collapsed="false">
      <c r="A3342" s="42"/>
      <c r="B3342" s="42"/>
      <c r="C3342" s="42"/>
      <c r="D3342" s="28" t="str">
        <f aca="false">IF(OR($B3342="",$C3342=""),"",$C3342*IFERROR(INDEX(Setup!$C$47:$C$56,MATCH($B3342,Setup!$A$47:$A$56,0)),IFERROR(INDEX(Setup!$C$60:$C$89,MATCH($B3342,Setup!$A$60:$A$89,0)),"")))</f>
        <v/>
      </c>
      <c r="E3342" s="42"/>
      <c r="F3342" s="42"/>
    </row>
    <row r="3343" customFormat="false" ht="15" hidden="false" customHeight="true" outlineLevel="0" collapsed="false">
      <c r="A3343" s="42"/>
      <c r="B3343" s="42"/>
      <c r="C3343" s="42"/>
      <c r="D3343" s="28" t="str">
        <f aca="false">IF(OR($B3343="",$C3343=""),"",$C3343*IFERROR(INDEX(Setup!$C$47:$C$56,MATCH($B3343,Setup!$A$47:$A$56,0)),IFERROR(INDEX(Setup!$C$60:$C$89,MATCH($B3343,Setup!$A$60:$A$89,0)),"")))</f>
        <v/>
      </c>
      <c r="E3343" s="42"/>
      <c r="F3343" s="42"/>
    </row>
    <row r="3344" customFormat="false" ht="15" hidden="false" customHeight="true" outlineLevel="0" collapsed="false">
      <c r="A3344" s="42"/>
      <c r="B3344" s="42"/>
      <c r="C3344" s="42"/>
      <c r="D3344" s="28" t="str">
        <f aca="false">IF(OR($B3344="",$C3344=""),"",$C3344*IFERROR(INDEX(Setup!$C$47:$C$56,MATCH($B3344,Setup!$A$47:$A$56,0)),IFERROR(INDEX(Setup!$C$60:$C$89,MATCH($B3344,Setup!$A$60:$A$89,0)),"")))</f>
        <v/>
      </c>
      <c r="E3344" s="42"/>
      <c r="F3344" s="42"/>
    </row>
    <row r="3345" customFormat="false" ht="15" hidden="false" customHeight="true" outlineLevel="0" collapsed="false">
      <c r="A3345" s="42"/>
      <c r="B3345" s="42"/>
      <c r="C3345" s="42"/>
      <c r="D3345" s="28" t="str">
        <f aca="false">IF(OR($B3345="",$C3345=""),"",$C3345*IFERROR(INDEX(Setup!$C$47:$C$56,MATCH($B3345,Setup!$A$47:$A$56,0)),IFERROR(INDEX(Setup!$C$60:$C$89,MATCH($B3345,Setup!$A$60:$A$89,0)),"")))</f>
        <v/>
      </c>
      <c r="E3345" s="42"/>
      <c r="F3345" s="42"/>
    </row>
    <row r="3346" customFormat="false" ht="15" hidden="false" customHeight="true" outlineLevel="0" collapsed="false">
      <c r="A3346" s="42"/>
      <c r="B3346" s="42"/>
      <c r="C3346" s="42"/>
      <c r="D3346" s="28" t="str">
        <f aca="false">IF(OR($B3346="",$C3346=""),"",$C3346*IFERROR(INDEX(Setup!$C$47:$C$56,MATCH($B3346,Setup!$A$47:$A$56,0)),IFERROR(INDEX(Setup!$C$60:$C$89,MATCH($B3346,Setup!$A$60:$A$89,0)),"")))</f>
        <v/>
      </c>
      <c r="E3346" s="42"/>
      <c r="F3346" s="42"/>
    </row>
    <row r="3347" customFormat="false" ht="15" hidden="false" customHeight="true" outlineLevel="0" collapsed="false">
      <c r="A3347" s="42"/>
      <c r="B3347" s="42"/>
      <c r="C3347" s="42"/>
      <c r="D3347" s="28" t="str">
        <f aca="false">IF(OR($B3347="",$C3347=""),"",$C3347*IFERROR(INDEX(Setup!$C$47:$C$56,MATCH($B3347,Setup!$A$47:$A$56,0)),IFERROR(INDEX(Setup!$C$60:$C$89,MATCH($B3347,Setup!$A$60:$A$89,0)),"")))</f>
        <v/>
      </c>
      <c r="E3347" s="42"/>
      <c r="F3347" s="42"/>
    </row>
    <row r="3348" customFormat="false" ht="15" hidden="false" customHeight="true" outlineLevel="0" collapsed="false">
      <c r="A3348" s="42"/>
      <c r="B3348" s="42"/>
      <c r="C3348" s="42"/>
      <c r="D3348" s="28" t="str">
        <f aca="false">IF(OR($B3348="",$C3348=""),"",$C3348*IFERROR(INDEX(Setup!$C$47:$C$56,MATCH($B3348,Setup!$A$47:$A$56,0)),IFERROR(INDEX(Setup!$C$60:$C$89,MATCH($B3348,Setup!$A$60:$A$89,0)),"")))</f>
        <v/>
      </c>
      <c r="E3348" s="42"/>
      <c r="F3348" s="42"/>
    </row>
    <row r="3349" customFormat="false" ht="15" hidden="false" customHeight="true" outlineLevel="0" collapsed="false">
      <c r="A3349" s="42"/>
      <c r="B3349" s="42"/>
      <c r="C3349" s="42"/>
      <c r="D3349" s="28" t="str">
        <f aca="false">IF(OR($B3349="",$C3349=""),"",$C3349*IFERROR(INDEX(Setup!$C$47:$C$56,MATCH($B3349,Setup!$A$47:$A$56,0)),IFERROR(INDEX(Setup!$C$60:$C$89,MATCH($B3349,Setup!$A$60:$A$89,0)),"")))</f>
        <v/>
      </c>
      <c r="E3349" s="42"/>
      <c r="F3349" s="42"/>
    </row>
    <row r="3350" customFormat="false" ht="15" hidden="false" customHeight="true" outlineLevel="0" collapsed="false">
      <c r="A3350" s="42"/>
      <c r="B3350" s="42"/>
      <c r="C3350" s="42"/>
      <c r="D3350" s="28" t="str">
        <f aca="false">IF(OR($B3350="",$C3350=""),"",$C3350*IFERROR(INDEX(Setup!$C$47:$C$56,MATCH($B3350,Setup!$A$47:$A$56,0)),IFERROR(INDEX(Setup!$C$60:$C$89,MATCH($B3350,Setup!$A$60:$A$89,0)),"")))</f>
        <v/>
      </c>
      <c r="E3350" s="42"/>
      <c r="F3350" s="42"/>
    </row>
    <row r="3351" customFormat="false" ht="15" hidden="false" customHeight="true" outlineLevel="0" collapsed="false">
      <c r="A3351" s="42"/>
      <c r="B3351" s="42"/>
      <c r="C3351" s="42"/>
      <c r="D3351" s="28" t="str">
        <f aca="false">IF(OR($B3351="",$C3351=""),"",$C3351*IFERROR(INDEX(Setup!$C$47:$C$56,MATCH($B3351,Setup!$A$47:$A$56,0)),IFERROR(INDEX(Setup!$C$60:$C$89,MATCH($B3351,Setup!$A$60:$A$89,0)),"")))</f>
        <v/>
      </c>
      <c r="E3351" s="42"/>
      <c r="F3351" s="42"/>
    </row>
    <row r="3352" customFormat="false" ht="15" hidden="false" customHeight="true" outlineLevel="0" collapsed="false">
      <c r="A3352" s="42"/>
      <c r="B3352" s="42"/>
      <c r="C3352" s="42"/>
      <c r="D3352" s="28" t="str">
        <f aca="false">IF(OR($B3352="",$C3352=""),"",$C3352*IFERROR(INDEX(Setup!$C$47:$C$56,MATCH($B3352,Setup!$A$47:$A$56,0)),IFERROR(INDEX(Setup!$C$60:$C$89,MATCH($B3352,Setup!$A$60:$A$89,0)),"")))</f>
        <v/>
      </c>
      <c r="E3352" s="42"/>
      <c r="F3352" s="42"/>
    </row>
    <row r="3353" customFormat="false" ht="15" hidden="false" customHeight="true" outlineLevel="0" collapsed="false">
      <c r="A3353" s="42"/>
      <c r="B3353" s="42"/>
      <c r="C3353" s="42"/>
      <c r="D3353" s="28" t="str">
        <f aca="false">IF(OR($B3353="",$C3353=""),"",$C3353*IFERROR(INDEX(Setup!$C$47:$C$56,MATCH($B3353,Setup!$A$47:$A$56,0)),IFERROR(INDEX(Setup!$C$60:$C$89,MATCH($B3353,Setup!$A$60:$A$89,0)),"")))</f>
        <v/>
      </c>
      <c r="E3353" s="42"/>
      <c r="F3353" s="42"/>
    </row>
    <row r="3354" customFormat="false" ht="15" hidden="false" customHeight="true" outlineLevel="0" collapsed="false">
      <c r="A3354" s="42"/>
      <c r="B3354" s="42"/>
      <c r="C3354" s="42"/>
      <c r="D3354" s="28" t="str">
        <f aca="false">IF(OR($B3354="",$C3354=""),"",$C3354*IFERROR(INDEX(Setup!$C$47:$C$56,MATCH($B3354,Setup!$A$47:$A$56,0)),IFERROR(INDEX(Setup!$C$60:$C$89,MATCH($B3354,Setup!$A$60:$A$89,0)),"")))</f>
        <v/>
      </c>
      <c r="E3354" s="42"/>
      <c r="F3354" s="42"/>
    </row>
    <row r="3355" customFormat="false" ht="15" hidden="false" customHeight="true" outlineLevel="0" collapsed="false">
      <c r="A3355" s="42"/>
      <c r="B3355" s="42"/>
      <c r="C3355" s="42"/>
      <c r="D3355" s="28" t="str">
        <f aca="false">IF(OR($B3355="",$C3355=""),"",$C3355*IFERROR(INDEX(Setup!$C$47:$C$56,MATCH($B3355,Setup!$A$47:$A$56,0)),IFERROR(INDEX(Setup!$C$60:$C$89,MATCH($B3355,Setup!$A$60:$A$89,0)),"")))</f>
        <v/>
      </c>
      <c r="E3355" s="42"/>
      <c r="F3355" s="42"/>
    </row>
    <row r="3356" customFormat="false" ht="15" hidden="false" customHeight="true" outlineLevel="0" collapsed="false">
      <c r="A3356" s="42"/>
      <c r="B3356" s="42"/>
      <c r="C3356" s="42"/>
      <c r="D3356" s="28" t="str">
        <f aca="false">IF(OR($B3356="",$C3356=""),"",$C3356*IFERROR(INDEX(Setup!$C$47:$C$56,MATCH($B3356,Setup!$A$47:$A$56,0)),IFERROR(INDEX(Setup!$C$60:$C$89,MATCH($B3356,Setup!$A$60:$A$89,0)),"")))</f>
        <v/>
      </c>
      <c r="E3356" s="42"/>
      <c r="F3356" s="42"/>
    </row>
    <row r="3357" customFormat="false" ht="15" hidden="false" customHeight="true" outlineLevel="0" collapsed="false">
      <c r="A3357" s="42"/>
      <c r="B3357" s="42"/>
      <c r="C3357" s="42"/>
      <c r="D3357" s="28" t="str">
        <f aca="false">IF(OR($B3357="",$C3357=""),"",$C3357*IFERROR(INDEX(Setup!$C$47:$C$56,MATCH($B3357,Setup!$A$47:$A$56,0)),IFERROR(INDEX(Setup!$C$60:$C$89,MATCH($B3357,Setup!$A$60:$A$89,0)),"")))</f>
        <v/>
      </c>
      <c r="E3357" s="42"/>
      <c r="F3357" s="42"/>
    </row>
    <row r="3358" customFormat="false" ht="15" hidden="false" customHeight="true" outlineLevel="0" collapsed="false">
      <c r="A3358" s="42"/>
      <c r="B3358" s="42"/>
      <c r="C3358" s="42"/>
      <c r="D3358" s="28" t="str">
        <f aca="false">IF(OR($B3358="",$C3358=""),"",$C3358*IFERROR(INDEX(Setup!$C$47:$C$56,MATCH($B3358,Setup!$A$47:$A$56,0)),IFERROR(INDEX(Setup!$C$60:$C$89,MATCH($B3358,Setup!$A$60:$A$89,0)),"")))</f>
        <v/>
      </c>
      <c r="E3358" s="42"/>
      <c r="F3358" s="42"/>
    </row>
    <row r="3359" customFormat="false" ht="15" hidden="false" customHeight="true" outlineLevel="0" collapsed="false">
      <c r="A3359" s="42"/>
      <c r="B3359" s="42"/>
      <c r="C3359" s="42"/>
      <c r="D3359" s="28" t="str">
        <f aca="false">IF(OR($B3359="",$C3359=""),"",$C3359*IFERROR(INDEX(Setup!$C$47:$C$56,MATCH($B3359,Setup!$A$47:$A$56,0)),IFERROR(INDEX(Setup!$C$60:$C$89,MATCH($B3359,Setup!$A$60:$A$89,0)),"")))</f>
        <v/>
      </c>
      <c r="E3359" s="42"/>
      <c r="F3359" s="42"/>
    </row>
    <row r="3360" customFormat="false" ht="15" hidden="false" customHeight="true" outlineLevel="0" collapsed="false">
      <c r="A3360" s="42"/>
      <c r="B3360" s="42"/>
      <c r="C3360" s="42"/>
      <c r="D3360" s="28" t="str">
        <f aca="false">IF(OR($B3360="",$C3360=""),"",$C3360*IFERROR(INDEX(Setup!$C$47:$C$56,MATCH($B3360,Setup!$A$47:$A$56,0)),IFERROR(INDEX(Setup!$C$60:$C$89,MATCH($B3360,Setup!$A$60:$A$89,0)),"")))</f>
        <v/>
      </c>
      <c r="E3360" s="42"/>
      <c r="F3360" s="42"/>
    </row>
    <row r="3361" customFormat="false" ht="15" hidden="false" customHeight="true" outlineLevel="0" collapsed="false">
      <c r="A3361" s="42"/>
      <c r="B3361" s="42"/>
      <c r="C3361" s="42"/>
      <c r="D3361" s="28" t="str">
        <f aca="false">IF(OR($B3361="",$C3361=""),"",$C3361*IFERROR(INDEX(Setup!$C$47:$C$56,MATCH($B3361,Setup!$A$47:$A$56,0)),IFERROR(INDEX(Setup!$C$60:$C$89,MATCH($B3361,Setup!$A$60:$A$89,0)),"")))</f>
        <v/>
      </c>
      <c r="E3361" s="42"/>
      <c r="F3361" s="42"/>
    </row>
    <row r="3362" customFormat="false" ht="15" hidden="false" customHeight="true" outlineLevel="0" collapsed="false">
      <c r="A3362" s="42"/>
      <c r="B3362" s="42"/>
      <c r="C3362" s="42"/>
      <c r="D3362" s="28" t="str">
        <f aca="false">IF(OR($B3362="",$C3362=""),"",$C3362*IFERROR(INDEX(Setup!$C$47:$C$56,MATCH($B3362,Setup!$A$47:$A$56,0)),IFERROR(INDEX(Setup!$C$60:$C$89,MATCH($B3362,Setup!$A$60:$A$89,0)),"")))</f>
        <v/>
      </c>
      <c r="E3362" s="42"/>
      <c r="F3362" s="42"/>
    </row>
    <row r="3363" customFormat="false" ht="15" hidden="false" customHeight="true" outlineLevel="0" collapsed="false">
      <c r="A3363" s="42"/>
      <c r="B3363" s="42"/>
      <c r="C3363" s="42"/>
      <c r="D3363" s="28" t="str">
        <f aca="false">IF(OR($B3363="",$C3363=""),"",$C3363*IFERROR(INDEX(Setup!$C$47:$C$56,MATCH($B3363,Setup!$A$47:$A$56,0)),IFERROR(INDEX(Setup!$C$60:$C$89,MATCH($B3363,Setup!$A$60:$A$89,0)),"")))</f>
        <v/>
      </c>
      <c r="E3363" s="42"/>
      <c r="F3363" s="42"/>
    </row>
    <row r="3364" customFormat="false" ht="15" hidden="false" customHeight="true" outlineLevel="0" collapsed="false">
      <c r="A3364" s="42"/>
      <c r="B3364" s="42"/>
      <c r="C3364" s="42"/>
      <c r="D3364" s="28" t="str">
        <f aca="false">IF(OR($B3364="",$C3364=""),"",$C3364*IFERROR(INDEX(Setup!$C$47:$C$56,MATCH($B3364,Setup!$A$47:$A$56,0)),IFERROR(INDEX(Setup!$C$60:$C$89,MATCH($B3364,Setup!$A$60:$A$89,0)),"")))</f>
        <v/>
      </c>
      <c r="E3364" s="42"/>
      <c r="F3364" s="42"/>
    </row>
    <row r="3365" customFormat="false" ht="15" hidden="false" customHeight="true" outlineLevel="0" collapsed="false">
      <c r="A3365" s="42"/>
      <c r="B3365" s="42"/>
      <c r="C3365" s="42"/>
      <c r="D3365" s="28" t="str">
        <f aca="false">IF(OR($B3365="",$C3365=""),"",$C3365*IFERROR(INDEX(Setup!$C$47:$C$56,MATCH($B3365,Setup!$A$47:$A$56,0)),IFERROR(INDEX(Setup!$C$60:$C$89,MATCH($B3365,Setup!$A$60:$A$89,0)),"")))</f>
        <v/>
      </c>
      <c r="E3365" s="42"/>
      <c r="F3365" s="42"/>
    </row>
    <row r="3366" customFormat="false" ht="15" hidden="false" customHeight="true" outlineLevel="0" collapsed="false">
      <c r="A3366" s="42"/>
      <c r="B3366" s="42"/>
      <c r="C3366" s="42"/>
      <c r="D3366" s="28" t="str">
        <f aca="false">IF(OR($B3366="",$C3366=""),"",$C3366*IFERROR(INDEX(Setup!$C$47:$C$56,MATCH($B3366,Setup!$A$47:$A$56,0)),IFERROR(INDEX(Setup!$C$60:$C$89,MATCH($B3366,Setup!$A$60:$A$89,0)),"")))</f>
        <v/>
      </c>
      <c r="E3366" s="42"/>
      <c r="F3366" s="42"/>
    </row>
    <row r="3367" customFormat="false" ht="15" hidden="false" customHeight="true" outlineLevel="0" collapsed="false">
      <c r="A3367" s="42"/>
      <c r="B3367" s="42"/>
      <c r="C3367" s="42"/>
      <c r="D3367" s="28" t="str">
        <f aca="false">IF(OR($B3367="",$C3367=""),"",$C3367*IFERROR(INDEX(Setup!$C$47:$C$56,MATCH($B3367,Setup!$A$47:$A$56,0)),IFERROR(INDEX(Setup!$C$60:$C$89,MATCH($B3367,Setup!$A$60:$A$89,0)),"")))</f>
        <v/>
      </c>
      <c r="E3367" s="42"/>
      <c r="F3367" s="42"/>
    </row>
    <row r="3368" customFormat="false" ht="15" hidden="false" customHeight="true" outlineLevel="0" collapsed="false">
      <c r="A3368" s="42"/>
      <c r="B3368" s="42"/>
      <c r="C3368" s="42"/>
      <c r="D3368" s="28" t="str">
        <f aca="false">IF(OR($B3368="",$C3368=""),"",$C3368*IFERROR(INDEX(Setup!$C$47:$C$56,MATCH($B3368,Setup!$A$47:$A$56,0)),IFERROR(INDEX(Setup!$C$60:$C$89,MATCH($B3368,Setup!$A$60:$A$89,0)),"")))</f>
        <v/>
      </c>
      <c r="E3368" s="42"/>
      <c r="F3368" s="42"/>
    </row>
    <row r="3369" customFormat="false" ht="15" hidden="false" customHeight="true" outlineLevel="0" collapsed="false">
      <c r="A3369" s="42"/>
      <c r="B3369" s="42"/>
      <c r="C3369" s="42"/>
      <c r="D3369" s="28" t="str">
        <f aca="false">IF(OR($B3369="",$C3369=""),"",$C3369*IFERROR(INDEX(Setup!$C$47:$C$56,MATCH($B3369,Setup!$A$47:$A$56,0)),IFERROR(INDEX(Setup!$C$60:$C$89,MATCH($B3369,Setup!$A$60:$A$89,0)),"")))</f>
        <v/>
      </c>
      <c r="E3369" s="42"/>
      <c r="F3369" s="42"/>
    </row>
    <row r="3370" customFormat="false" ht="15" hidden="false" customHeight="true" outlineLevel="0" collapsed="false">
      <c r="A3370" s="42"/>
      <c r="B3370" s="42"/>
      <c r="C3370" s="42"/>
      <c r="D3370" s="28" t="str">
        <f aca="false">IF(OR($B3370="",$C3370=""),"",$C3370*IFERROR(INDEX(Setup!$C$47:$C$56,MATCH($B3370,Setup!$A$47:$A$56,0)),IFERROR(INDEX(Setup!$C$60:$C$89,MATCH($B3370,Setup!$A$60:$A$89,0)),"")))</f>
        <v/>
      </c>
      <c r="E3370" s="42"/>
      <c r="F3370" s="42"/>
    </row>
    <row r="3371" customFormat="false" ht="15" hidden="false" customHeight="true" outlineLevel="0" collapsed="false">
      <c r="A3371" s="42"/>
      <c r="B3371" s="42"/>
      <c r="C3371" s="42"/>
      <c r="D3371" s="28" t="str">
        <f aca="false">IF(OR($B3371="",$C3371=""),"",$C3371*IFERROR(INDEX(Setup!$C$47:$C$56,MATCH($B3371,Setup!$A$47:$A$56,0)),IFERROR(INDEX(Setup!$C$60:$C$89,MATCH($B3371,Setup!$A$60:$A$89,0)),"")))</f>
        <v/>
      </c>
      <c r="E3371" s="42"/>
      <c r="F3371" s="42"/>
    </row>
    <row r="3372" customFormat="false" ht="15" hidden="false" customHeight="true" outlineLevel="0" collapsed="false">
      <c r="A3372" s="42"/>
      <c r="B3372" s="42"/>
      <c r="C3372" s="42"/>
      <c r="D3372" s="28" t="str">
        <f aca="false">IF(OR($B3372="",$C3372=""),"",$C3372*IFERROR(INDEX(Setup!$C$47:$C$56,MATCH($B3372,Setup!$A$47:$A$56,0)),IFERROR(INDEX(Setup!$C$60:$C$89,MATCH($B3372,Setup!$A$60:$A$89,0)),"")))</f>
        <v/>
      </c>
      <c r="E3372" s="42"/>
      <c r="F3372" s="42"/>
    </row>
    <row r="3373" customFormat="false" ht="15" hidden="false" customHeight="true" outlineLevel="0" collapsed="false">
      <c r="A3373" s="42"/>
      <c r="B3373" s="42"/>
      <c r="C3373" s="42"/>
      <c r="D3373" s="28" t="str">
        <f aca="false">IF(OR($B3373="",$C3373=""),"",$C3373*IFERROR(INDEX(Setup!$C$47:$C$56,MATCH($B3373,Setup!$A$47:$A$56,0)),IFERROR(INDEX(Setup!$C$60:$C$89,MATCH($B3373,Setup!$A$60:$A$89,0)),"")))</f>
        <v/>
      </c>
      <c r="E3373" s="42"/>
      <c r="F3373" s="42"/>
    </row>
    <row r="3374" customFormat="false" ht="15" hidden="false" customHeight="true" outlineLevel="0" collapsed="false">
      <c r="A3374" s="42"/>
      <c r="B3374" s="42"/>
      <c r="C3374" s="42"/>
      <c r="D3374" s="28" t="str">
        <f aca="false">IF(OR($B3374="",$C3374=""),"",$C3374*IFERROR(INDEX(Setup!$C$47:$C$56,MATCH($B3374,Setup!$A$47:$A$56,0)),IFERROR(INDEX(Setup!$C$60:$C$89,MATCH($B3374,Setup!$A$60:$A$89,0)),"")))</f>
        <v/>
      </c>
      <c r="E3374" s="42"/>
      <c r="F3374" s="42"/>
    </row>
    <row r="3375" customFormat="false" ht="15" hidden="false" customHeight="true" outlineLevel="0" collapsed="false">
      <c r="A3375" s="42"/>
      <c r="B3375" s="42"/>
      <c r="C3375" s="42"/>
      <c r="D3375" s="28" t="str">
        <f aca="false">IF(OR($B3375="",$C3375=""),"",$C3375*IFERROR(INDEX(Setup!$C$47:$C$56,MATCH($B3375,Setup!$A$47:$A$56,0)),IFERROR(INDEX(Setup!$C$60:$C$89,MATCH($B3375,Setup!$A$60:$A$89,0)),"")))</f>
        <v/>
      </c>
      <c r="E3375" s="42"/>
      <c r="F3375" s="42"/>
    </row>
    <row r="3376" customFormat="false" ht="15" hidden="false" customHeight="true" outlineLevel="0" collapsed="false">
      <c r="A3376" s="42"/>
      <c r="B3376" s="42"/>
      <c r="C3376" s="42"/>
      <c r="D3376" s="28" t="str">
        <f aca="false">IF(OR($B3376="",$C3376=""),"",$C3376*IFERROR(INDEX(Setup!$C$47:$C$56,MATCH($B3376,Setup!$A$47:$A$56,0)),IFERROR(INDEX(Setup!$C$60:$C$89,MATCH($B3376,Setup!$A$60:$A$89,0)),"")))</f>
        <v/>
      </c>
      <c r="E3376" s="42"/>
      <c r="F3376" s="42"/>
    </row>
    <row r="3377" customFormat="false" ht="15" hidden="false" customHeight="true" outlineLevel="0" collapsed="false">
      <c r="A3377" s="42"/>
      <c r="B3377" s="42"/>
      <c r="C3377" s="42"/>
      <c r="D3377" s="28" t="str">
        <f aca="false">IF(OR($B3377="",$C3377=""),"",$C3377*IFERROR(INDEX(Setup!$C$47:$C$56,MATCH($B3377,Setup!$A$47:$A$56,0)),IFERROR(INDEX(Setup!$C$60:$C$89,MATCH($B3377,Setup!$A$60:$A$89,0)),"")))</f>
        <v/>
      </c>
      <c r="E3377" s="42"/>
      <c r="F3377" s="42"/>
    </row>
    <row r="3378" customFormat="false" ht="15" hidden="false" customHeight="true" outlineLevel="0" collapsed="false">
      <c r="A3378" s="42"/>
      <c r="B3378" s="42"/>
      <c r="C3378" s="42"/>
      <c r="D3378" s="28" t="str">
        <f aca="false">IF(OR($B3378="",$C3378=""),"",$C3378*IFERROR(INDEX(Setup!$C$47:$C$56,MATCH($B3378,Setup!$A$47:$A$56,0)),IFERROR(INDEX(Setup!$C$60:$C$89,MATCH($B3378,Setup!$A$60:$A$89,0)),"")))</f>
        <v/>
      </c>
      <c r="E3378" s="42"/>
      <c r="F3378" s="42"/>
    </row>
    <row r="3379" customFormat="false" ht="15" hidden="false" customHeight="true" outlineLevel="0" collapsed="false">
      <c r="A3379" s="42"/>
      <c r="B3379" s="42"/>
      <c r="C3379" s="42"/>
      <c r="D3379" s="28" t="str">
        <f aca="false">IF(OR($B3379="",$C3379=""),"",$C3379*IFERROR(INDEX(Setup!$C$47:$C$56,MATCH($B3379,Setup!$A$47:$A$56,0)),IFERROR(INDEX(Setup!$C$60:$C$89,MATCH($B3379,Setup!$A$60:$A$89,0)),"")))</f>
        <v/>
      </c>
      <c r="E3379" s="42"/>
      <c r="F3379" s="42"/>
    </row>
    <row r="3380" customFormat="false" ht="15" hidden="false" customHeight="true" outlineLevel="0" collapsed="false">
      <c r="A3380" s="42"/>
      <c r="B3380" s="42"/>
      <c r="C3380" s="42"/>
      <c r="D3380" s="28" t="str">
        <f aca="false">IF(OR($B3380="",$C3380=""),"",$C3380*IFERROR(INDEX(Setup!$C$47:$C$56,MATCH($B3380,Setup!$A$47:$A$56,0)),IFERROR(INDEX(Setup!$C$60:$C$89,MATCH($B3380,Setup!$A$60:$A$89,0)),"")))</f>
        <v/>
      </c>
      <c r="E3380" s="42"/>
      <c r="F3380" s="42"/>
    </row>
    <row r="3381" customFormat="false" ht="15" hidden="false" customHeight="true" outlineLevel="0" collapsed="false">
      <c r="A3381" s="42"/>
      <c r="B3381" s="42"/>
      <c r="C3381" s="42"/>
      <c r="D3381" s="28" t="str">
        <f aca="false">IF(OR($B3381="",$C3381=""),"",$C3381*IFERROR(INDEX(Setup!$C$47:$C$56,MATCH($B3381,Setup!$A$47:$A$56,0)),IFERROR(INDEX(Setup!$C$60:$C$89,MATCH($B3381,Setup!$A$60:$A$89,0)),"")))</f>
        <v/>
      </c>
      <c r="E3381" s="42"/>
      <c r="F3381" s="42"/>
    </row>
    <row r="3382" customFormat="false" ht="15" hidden="false" customHeight="true" outlineLevel="0" collapsed="false">
      <c r="A3382" s="42"/>
      <c r="B3382" s="42"/>
      <c r="C3382" s="42"/>
      <c r="D3382" s="28" t="str">
        <f aca="false">IF(OR($B3382="",$C3382=""),"",$C3382*IFERROR(INDEX(Setup!$C$47:$C$56,MATCH($B3382,Setup!$A$47:$A$56,0)),IFERROR(INDEX(Setup!$C$60:$C$89,MATCH($B3382,Setup!$A$60:$A$89,0)),"")))</f>
        <v/>
      </c>
      <c r="E3382" s="42"/>
      <c r="F3382" s="42"/>
    </row>
    <row r="3383" customFormat="false" ht="15" hidden="false" customHeight="true" outlineLevel="0" collapsed="false">
      <c r="A3383" s="42"/>
      <c r="B3383" s="42"/>
      <c r="C3383" s="42"/>
      <c r="D3383" s="28" t="str">
        <f aca="false">IF(OR($B3383="",$C3383=""),"",$C3383*IFERROR(INDEX(Setup!$C$47:$C$56,MATCH($B3383,Setup!$A$47:$A$56,0)),IFERROR(INDEX(Setup!$C$60:$C$89,MATCH($B3383,Setup!$A$60:$A$89,0)),"")))</f>
        <v/>
      </c>
      <c r="E3383" s="42"/>
      <c r="F3383" s="42"/>
    </row>
    <row r="3384" customFormat="false" ht="15" hidden="false" customHeight="true" outlineLevel="0" collapsed="false">
      <c r="A3384" s="42"/>
      <c r="B3384" s="42"/>
      <c r="C3384" s="42"/>
      <c r="D3384" s="28" t="str">
        <f aca="false">IF(OR($B3384="",$C3384=""),"",$C3384*IFERROR(INDEX(Setup!$C$47:$C$56,MATCH($B3384,Setup!$A$47:$A$56,0)),IFERROR(INDEX(Setup!$C$60:$C$89,MATCH($B3384,Setup!$A$60:$A$89,0)),"")))</f>
        <v/>
      </c>
      <c r="E3384" s="42"/>
      <c r="F3384" s="42"/>
    </row>
    <row r="3385" customFormat="false" ht="15" hidden="false" customHeight="true" outlineLevel="0" collapsed="false">
      <c r="A3385" s="42"/>
      <c r="B3385" s="42"/>
      <c r="C3385" s="42"/>
      <c r="D3385" s="28" t="str">
        <f aca="false">IF(OR($B3385="",$C3385=""),"",$C3385*IFERROR(INDEX(Setup!$C$47:$C$56,MATCH($B3385,Setup!$A$47:$A$56,0)),IFERROR(INDEX(Setup!$C$60:$C$89,MATCH($B3385,Setup!$A$60:$A$89,0)),"")))</f>
        <v/>
      </c>
      <c r="E3385" s="42"/>
      <c r="F3385" s="42"/>
    </row>
    <row r="3386" customFormat="false" ht="15" hidden="false" customHeight="true" outlineLevel="0" collapsed="false">
      <c r="A3386" s="42"/>
      <c r="B3386" s="42"/>
      <c r="C3386" s="42"/>
      <c r="D3386" s="28" t="str">
        <f aca="false">IF(OR($B3386="",$C3386=""),"",$C3386*IFERROR(INDEX(Setup!$C$47:$C$56,MATCH($B3386,Setup!$A$47:$A$56,0)),IFERROR(INDEX(Setup!$C$60:$C$89,MATCH($B3386,Setup!$A$60:$A$89,0)),"")))</f>
        <v/>
      </c>
      <c r="E3386" s="42"/>
      <c r="F3386" s="42"/>
    </row>
    <row r="3387" customFormat="false" ht="15" hidden="false" customHeight="true" outlineLevel="0" collapsed="false">
      <c r="A3387" s="42"/>
      <c r="B3387" s="42"/>
      <c r="C3387" s="42"/>
      <c r="D3387" s="28" t="str">
        <f aca="false">IF(OR($B3387="",$C3387=""),"",$C3387*IFERROR(INDEX(Setup!$C$47:$C$56,MATCH($B3387,Setup!$A$47:$A$56,0)),IFERROR(INDEX(Setup!$C$60:$C$89,MATCH($B3387,Setup!$A$60:$A$89,0)),"")))</f>
        <v/>
      </c>
      <c r="E3387" s="42"/>
      <c r="F3387" s="42"/>
    </row>
    <row r="3388" customFormat="false" ht="15" hidden="false" customHeight="true" outlineLevel="0" collapsed="false">
      <c r="A3388" s="42"/>
      <c r="B3388" s="42"/>
      <c r="C3388" s="42"/>
      <c r="D3388" s="28" t="str">
        <f aca="false">IF(OR($B3388="",$C3388=""),"",$C3388*IFERROR(INDEX(Setup!$C$47:$C$56,MATCH($B3388,Setup!$A$47:$A$56,0)),IFERROR(INDEX(Setup!$C$60:$C$89,MATCH($B3388,Setup!$A$60:$A$89,0)),"")))</f>
        <v/>
      </c>
      <c r="E3388" s="42"/>
      <c r="F3388" s="42"/>
    </row>
    <row r="3389" customFormat="false" ht="15" hidden="false" customHeight="true" outlineLevel="0" collapsed="false">
      <c r="A3389" s="42"/>
      <c r="B3389" s="42"/>
      <c r="C3389" s="42"/>
      <c r="D3389" s="28" t="str">
        <f aca="false">IF(OR($B3389="",$C3389=""),"",$C3389*IFERROR(INDEX(Setup!$C$47:$C$56,MATCH($B3389,Setup!$A$47:$A$56,0)),IFERROR(INDEX(Setup!$C$60:$C$89,MATCH($B3389,Setup!$A$60:$A$89,0)),"")))</f>
        <v/>
      </c>
      <c r="E3389" s="42"/>
      <c r="F3389" s="42"/>
    </row>
    <row r="3390" customFormat="false" ht="15" hidden="false" customHeight="true" outlineLevel="0" collapsed="false">
      <c r="A3390" s="42"/>
      <c r="B3390" s="42"/>
      <c r="C3390" s="42"/>
      <c r="D3390" s="28" t="str">
        <f aca="false">IF(OR($B3390="",$C3390=""),"",$C3390*IFERROR(INDEX(Setup!$C$47:$C$56,MATCH($B3390,Setup!$A$47:$A$56,0)),IFERROR(INDEX(Setup!$C$60:$C$89,MATCH($B3390,Setup!$A$60:$A$89,0)),"")))</f>
        <v/>
      </c>
      <c r="E3390" s="42"/>
      <c r="F3390" s="42"/>
    </row>
    <row r="3391" customFormat="false" ht="15" hidden="false" customHeight="true" outlineLevel="0" collapsed="false">
      <c r="A3391" s="42"/>
      <c r="B3391" s="42"/>
      <c r="C3391" s="42"/>
      <c r="D3391" s="28" t="str">
        <f aca="false">IF(OR($B3391="",$C3391=""),"",$C3391*IFERROR(INDEX(Setup!$C$47:$C$56,MATCH($B3391,Setup!$A$47:$A$56,0)),IFERROR(INDEX(Setup!$C$60:$C$89,MATCH($B3391,Setup!$A$60:$A$89,0)),"")))</f>
        <v/>
      </c>
      <c r="E3391" s="42"/>
      <c r="F3391" s="42"/>
    </row>
    <row r="3392" customFormat="false" ht="15" hidden="false" customHeight="true" outlineLevel="0" collapsed="false">
      <c r="A3392" s="42"/>
      <c r="B3392" s="42"/>
      <c r="C3392" s="42"/>
      <c r="D3392" s="28" t="str">
        <f aca="false">IF(OR($B3392="",$C3392=""),"",$C3392*IFERROR(INDEX(Setup!$C$47:$C$56,MATCH($B3392,Setup!$A$47:$A$56,0)),IFERROR(INDEX(Setup!$C$60:$C$89,MATCH($B3392,Setup!$A$60:$A$89,0)),"")))</f>
        <v/>
      </c>
      <c r="E3392" s="42"/>
      <c r="F3392" s="42"/>
    </row>
    <row r="3393" customFormat="false" ht="15" hidden="false" customHeight="true" outlineLevel="0" collapsed="false">
      <c r="A3393" s="42"/>
      <c r="B3393" s="42"/>
      <c r="C3393" s="42"/>
      <c r="D3393" s="28" t="str">
        <f aca="false">IF(OR($B3393="",$C3393=""),"",$C3393*IFERROR(INDEX(Setup!$C$47:$C$56,MATCH($B3393,Setup!$A$47:$A$56,0)),IFERROR(INDEX(Setup!$C$60:$C$89,MATCH($B3393,Setup!$A$60:$A$89,0)),"")))</f>
        <v/>
      </c>
      <c r="E3393" s="42"/>
      <c r="F3393" s="42"/>
    </row>
    <row r="3394" customFormat="false" ht="15" hidden="false" customHeight="true" outlineLevel="0" collapsed="false">
      <c r="A3394" s="42"/>
      <c r="B3394" s="42"/>
      <c r="C3394" s="42"/>
      <c r="D3394" s="28" t="str">
        <f aca="false">IF(OR($B3394="",$C3394=""),"",$C3394*IFERROR(INDEX(Setup!$C$47:$C$56,MATCH($B3394,Setup!$A$47:$A$56,0)),IFERROR(INDEX(Setup!$C$60:$C$89,MATCH($B3394,Setup!$A$60:$A$89,0)),"")))</f>
        <v/>
      </c>
      <c r="E3394" s="42"/>
      <c r="F3394" s="42"/>
    </row>
    <row r="3395" customFormat="false" ht="15" hidden="false" customHeight="true" outlineLevel="0" collapsed="false">
      <c r="A3395" s="42"/>
      <c r="B3395" s="42"/>
      <c r="C3395" s="42"/>
      <c r="D3395" s="28" t="str">
        <f aca="false">IF(OR($B3395="",$C3395=""),"",$C3395*IFERROR(INDEX(Setup!$C$47:$C$56,MATCH($B3395,Setup!$A$47:$A$56,0)),IFERROR(INDEX(Setup!$C$60:$C$89,MATCH($B3395,Setup!$A$60:$A$89,0)),"")))</f>
        <v/>
      </c>
      <c r="E3395" s="42"/>
      <c r="F3395" s="42"/>
    </row>
    <row r="3396" customFormat="false" ht="15" hidden="false" customHeight="true" outlineLevel="0" collapsed="false">
      <c r="A3396" s="42"/>
      <c r="B3396" s="42"/>
      <c r="C3396" s="42"/>
      <c r="D3396" s="28" t="str">
        <f aca="false">IF(OR($B3396="",$C3396=""),"",$C3396*IFERROR(INDEX(Setup!$C$47:$C$56,MATCH($B3396,Setup!$A$47:$A$56,0)),IFERROR(INDEX(Setup!$C$60:$C$89,MATCH($B3396,Setup!$A$60:$A$89,0)),"")))</f>
        <v/>
      </c>
      <c r="E3396" s="42"/>
      <c r="F3396" s="42"/>
    </row>
    <row r="3397" customFormat="false" ht="15" hidden="false" customHeight="true" outlineLevel="0" collapsed="false">
      <c r="A3397" s="42"/>
      <c r="B3397" s="42"/>
      <c r="C3397" s="42"/>
      <c r="D3397" s="28" t="str">
        <f aca="false">IF(OR($B3397="",$C3397=""),"",$C3397*IFERROR(INDEX(Setup!$C$47:$C$56,MATCH($B3397,Setup!$A$47:$A$56,0)),IFERROR(INDEX(Setup!$C$60:$C$89,MATCH($B3397,Setup!$A$60:$A$89,0)),"")))</f>
        <v/>
      </c>
      <c r="E3397" s="42"/>
      <c r="F3397" s="42"/>
    </row>
    <row r="3398" customFormat="false" ht="15" hidden="false" customHeight="true" outlineLevel="0" collapsed="false">
      <c r="A3398" s="42"/>
      <c r="B3398" s="42"/>
      <c r="C3398" s="42"/>
      <c r="D3398" s="28" t="str">
        <f aca="false">IF(OR($B3398="",$C3398=""),"",$C3398*IFERROR(INDEX(Setup!$C$47:$C$56,MATCH($B3398,Setup!$A$47:$A$56,0)),IFERROR(INDEX(Setup!$C$60:$C$89,MATCH($B3398,Setup!$A$60:$A$89,0)),"")))</f>
        <v/>
      </c>
      <c r="E3398" s="42"/>
      <c r="F3398" s="42"/>
    </row>
    <row r="3399" customFormat="false" ht="15" hidden="false" customHeight="true" outlineLevel="0" collapsed="false">
      <c r="A3399" s="42"/>
      <c r="B3399" s="42"/>
      <c r="C3399" s="42"/>
      <c r="D3399" s="28" t="str">
        <f aca="false">IF(OR($B3399="",$C3399=""),"",$C3399*IFERROR(INDEX(Setup!$C$47:$C$56,MATCH($B3399,Setup!$A$47:$A$56,0)),IFERROR(INDEX(Setup!$C$60:$C$89,MATCH($B3399,Setup!$A$60:$A$89,0)),"")))</f>
        <v/>
      </c>
      <c r="E3399" s="42"/>
      <c r="F3399" s="42"/>
    </row>
    <row r="3400" customFormat="false" ht="15" hidden="false" customHeight="true" outlineLevel="0" collapsed="false">
      <c r="A3400" s="42"/>
      <c r="B3400" s="42"/>
      <c r="C3400" s="42"/>
      <c r="D3400" s="28" t="str">
        <f aca="false">IF(OR($B3400="",$C3400=""),"",$C3400*IFERROR(INDEX(Setup!$C$47:$C$56,MATCH($B3400,Setup!$A$47:$A$56,0)),IFERROR(INDEX(Setup!$C$60:$C$89,MATCH($B3400,Setup!$A$60:$A$89,0)),"")))</f>
        <v/>
      </c>
      <c r="E3400" s="42"/>
      <c r="F3400" s="42"/>
    </row>
    <row r="3401" customFormat="false" ht="15" hidden="false" customHeight="true" outlineLevel="0" collapsed="false">
      <c r="A3401" s="42"/>
      <c r="B3401" s="42"/>
      <c r="C3401" s="42"/>
      <c r="D3401" s="28" t="str">
        <f aca="false">IF(OR($B3401="",$C3401=""),"",$C3401*IFERROR(INDEX(Setup!$C$47:$C$56,MATCH($B3401,Setup!$A$47:$A$56,0)),IFERROR(INDEX(Setup!$C$60:$C$89,MATCH($B3401,Setup!$A$60:$A$89,0)),"")))</f>
        <v/>
      </c>
      <c r="E3401" s="42"/>
      <c r="F3401" s="42"/>
    </row>
    <row r="3402" customFormat="false" ht="15" hidden="false" customHeight="true" outlineLevel="0" collapsed="false">
      <c r="A3402" s="42"/>
      <c r="B3402" s="42"/>
      <c r="C3402" s="42"/>
      <c r="D3402" s="28" t="str">
        <f aca="false">IF(OR($B3402="",$C3402=""),"",$C3402*IFERROR(INDEX(Setup!$C$47:$C$56,MATCH($B3402,Setup!$A$47:$A$56,0)),IFERROR(INDEX(Setup!$C$60:$C$89,MATCH($B3402,Setup!$A$60:$A$89,0)),"")))</f>
        <v/>
      </c>
      <c r="E3402" s="42"/>
      <c r="F3402" s="42"/>
    </row>
    <row r="3403" customFormat="false" ht="15" hidden="false" customHeight="true" outlineLevel="0" collapsed="false">
      <c r="A3403" s="42"/>
      <c r="B3403" s="42"/>
      <c r="C3403" s="42"/>
      <c r="D3403" s="28" t="str">
        <f aca="false">IF(OR($B3403="",$C3403=""),"",$C3403*IFERROR(INDEX(Setup!$C$47:$C$56,MATCH($B3403,Setup!$A$47:$A$56,0)),IFERROR(INDEX(Setup!$C$60:$C$89,MATCH($B3403,Setup!$A$60:$A$89,0)),"")))</f>
        <v/>
      </c>
      <c r="E3403" s="42"/>
      <c r="F3403" s="42"/>
    </row>
    <row r="3404" customFormat="false" ht="15" hidden="false" customHeight="true" outlineLevel="0" collapsed="false">
      <c r="A3404" s="42"/>
      <c r="B3404" s="42"/>
      <c r="C3404" s="42"/>
      <c r="D3404" s="28" t="str">
        <f aca="false">IF(OR($B3404="",$C3404=""),"",$C3404*IFERROR(INDEX(Setup!$C$47:$C$56,MATCH($B3404,Setup!$A$47:$A$56,0)),IFERROR(INDEX(Setup!$C$60:$C$89,MATCH($B3404,Setup!$A$60:$A$89,0)),"")))</f>
        <v/>
      </c>
      <c r="E3404" s="42"/>
      <c r="F3404" s="42"/>
    </row>
    <row r="3405" customFormat="false" ht="15" hidden="false" customHeight="true" outlineLevel="0" collapsed="false">
      <c r="A3405" s="42"/>
      <c r="B3405" s="42"/>
      <c r="C3405" s="42"/>
      <c r="D3405" s="28" t="str">
        <f aca="false">IF(OR($B3405="",$C3405=""),"",$C3405*IFERROR(INDEX(Setup!$C$47:$C$56,MATCH($B3405,Setup!$A$47:$A$56,0)),IFERROR(INDEX(Setup!$C$60:$C$89,MATCH($B3405,Setup!$A$60:$A$89,0)),"")))</f>
        <v/>
      </c>
      <c r="E3405" s="42"/>
      <c r="F3405" s="42"/>
    </row>
    <row r="3406" customFormat="false" ht="15" hidden="false" customHeight="true" outlineLevel="0" collapsed="false">
      <c r="A3406" s="42"/>
      <c r="B3406" s="42"/>
      <c r="C3406" s="42"/>
      <c r="D3406" s="28" t="str">
        <f aca="false">IF(OR($B3406="",$C3406=""),"",$C3406*IFERROR(INDEX(Setup!$C$47:$C$56,MATCH($B3406,Setup!$A$47:$A$56,0)),IFERROR(INDEX(Setup!$C$60:$C$89,MATCH($B3406,Setup!$A$60:$A$89,0)),"")))</f>
        <v/>
      </c>
      <c r="E3406" s="42"/>
      <c r="F3406" s="42"/>
    </row>
    <row r="3407" customFormat="false" ht="15" hidden="false" customHeight="true" outlineLevel="0" collapsed="false">
      <c r="A3407" s="42"/>
      <c r="B3407" s="42"/>
      <c r="C3407" s="42"/>
      <c r="D3407" s="28" t="str">
        <f aca="false">IF(OR($B3407="",$C3407=""),"",$C3407*IFERROR(INDEX(Setup!$C$47:$C$56,MATCH($B3407,Setup!$A$47:$A$56,0)),IFERROR(INDEX(Setup!$C$60:$C$89,MATCH($B3407,Setup!$A$60:$A$89,0)),"")))</f>
        <v/>
      </c>
      <c r="E3407" s="42"/>
      <c r="F3407" s="42"/>
    </row>
    <row r="3408" customFormat="false" ht="15" hidden="false" customHeight="true" outlineLevel="0" collapsed="false">
      <c r="A3408" s="42"/>
      <c r="B3408" s="42"/>
      <c r="C3408" s="42"/>
      <c r="D3408" s="28" t="str">
        <f aca="false">IF(OR($B3408="",$C3408=""),"",$C3408*IFERROR(INDEX(Setup!$C$47:$C$56,MATCH($B3408,Setup!$A$47:$A$56,0)),IFERROR(INDEX(Setup!$C$60:$C$89,MATCH($B3408,Setup!$A$60:$A$89,0)),"")))</f>
        <v/>
      </c>
      <c r="E3408" s="42"/>
      <c r="F3408" s="42"/>
    </row>
    <row r="3409" customFormat="false" ht="15" hidden="false" customHeight="true" outlineLevel="0" collapsed="false">
      <c r="A3409" s="42"/>
      <c r="B3409" s="42"/>
      <c r="C3409" s="42"/>
      <c r="D3409" s="28" t="str">
        <f aca="false">IF(OR($B3409="",$C3409=""),"",$C3409*IFERROR(INDEX(Setup!$C$47:$C$56,MATCH($B3409,Setup!$A$47:$A$56,0)),IFERROR(INDEX(Setup!$C$60:$C$89,MATCH($B3409,Setup!$A$60:$A$89,0)),"")))</f>
        <v/>
      </c>
      <c r="E3409" s="42"/>
      <c r="F3409" s="42"/>
    </row>
    <row r="3410" customFormat="false" ht="15" hidden="false" customHeight="true" outlineLevel="0" collapsed="false">
      <c r="A3410" s="42"/>
      <c r="B3410" s="42"/>
      <c r="C3410" s="42"/>
      <c r="D3410" s="28" t="str">
        <f aca="false">IF(OR($B3410="",$C3410=""),"",$C3410*IFERROR(INDEX(Setup!$C$47:$C$56,MATCH($B3410,Setup!$A$47:$A$56,0)),IFERROR(INDEX(Setup!$C$60:$C$89,MATCH($B3410,Setup!$A$60:$A$89,0)),"")))</f>
        <v/>
      </c>
      <c r="E3410" s="42"/>
      <c r="F3410" s="42"/>
    </row>
    <row r="3411" customFormat="false" ht="15" hidden="false" customHeight="true" outlineLevel="0" collapsed="false">
      <c r="A3411" s="42"/>
      <c r="B3411" s="42"/>
      <c r="C3411" s="42"/>
      <c r="D3411" s="28" t="str">
        <f aca="false">IF(OR($B3411="",$C3411=""),"",$C3411*IFERROR(INDEX(Setup!$C$47:$C$56,MATCH($B3411,Setup!$A$47:$A$56,0)),IFERROR(INDEX(Setup!$C$60:$C$89,MATCH($B3411,Setup!$A$60:$A$89,0)),"")))</f>
        <v/>
      </c>
      <c r="E3411" s="42"/>
      <c r="F3411" s="42"/>
    </row>
    <row r="3412" customFormat="false" ht="15" hidden="false" customHeight="true" outlineLevel="0" collapsed="false">
      <c r="A3412" s="42"/>
      <c r="B3412" s="42"/>
      <c r="C3412" s="42"/>
      <c r="D3412" s="28" t="str">
        <f aca="false">IF(OR($B3412="",$C3412=""),"",$C3412*IFERROR(INDEX(Setup!$C$47:$C$56,MATCH($B3412,Setup!$A$47:$A$56,0)),IFERROR(INDEX(Setup!$C$60:$C$89,MATCH($B3412,Setup!$A$60:$A$89,0)),"")))</f>
        <v/>
      </c>
      <c r="E3412" s="42"/>
      <c r="F3412" s="42"/>
    </row>
    <row r="3413" customFormat="false" ht="15" hidden="false" customHeight="true" outlineLevel="0" collapsed="false">
      <c r="A3413" s="42"/>
      <c r="B3413" s="42"/>
      <c r="C3413" s="42"/>
      <c r="D3413" s="28" t="str">
        <f aca="false">IF(OR($B3413="",$C3413=""),"",$C3413*IFERROR(INDEX(Setup!$C$47:$C$56,MATCH($B3413,Setup!$A$47:$A$56,0)),IFERROR(INDEX(Setup!$C$60:$C$89,MATCH($B3413,Setup!$A$60:$A$89,0)),"")))</f>
        <v/>
      </c>
      <c r="E3413" s="42"/>
      <c r="F3413" s="42"/>
    </row>
    <row r="3414" customFormat="false" ht="15" hidden="false" customHeight="true" outlineLevel="0" collapsed="false">
      <c r="A3414" s="42"/>
      <c r="B3414" s="42"/>
      <c r="C3414" s="42"/>
      <c r="D3414" s="28" t="str">
        <f aca="false">IF(OR($B3414="",$C3414=""),"",$C3414*IFERROR(INDEX(Setup!$C$47:$C$56,MATCH($B3414,Setup!$A$47:$A$56,0)),IFERROR(INDEX(Setup!$C$60:$C$89,MATCH($B3414,Setup!$A$60:$A$89,0)),"")))</f>
        <v/>
      </c>
      <c r="E3414" s="42"/>
      <c r="F3414" s="42"/>
    </row>
    <row r="3415" customFormat="false" ht="15" hidden="false" customHeight="true" outlineLevel="0" collapsed="false">
      <c r="A3415" s="42"/>
      <c r="B3415" s="42"/>
      <c r="C3415" s="42"/>
      <c r="D3415" s="28" t="str">
        <f aca="false">IF(OR($B3415="",$C3415=""),"",$C3415*IFERROR(INDEX(Setup!$C$47:$C$56,MATCH($B3415,Setup!$A$47:$A$56,0)),IFERROR(INDEX(Setup!$C$60:$C$89,MATCH($B3415,Setup!$A$60:$A$89,0)),"")))</f>
        <v/>
      </c>
      <c r="E3415" s="42"/>
      <c r="F3415" s="42"/>
    </row>
    <row r="3416" customFormat="false" ht="15" hidden="false" customHeight="true" outlineLevel="0" collapsed="false">
      <c r="A3416" s="42"/>
      <c r="B3416" s="42"/>
      <c r="C3416" s="42"/>
      <c r="D3416" s="28" t="str">
        <f aca="false">IF(OR($B3416="",$C3416=""),"",$C3416*IFERROR(INDEX(Setup!$C$47:$C$56,MATCH($B3416,Setup!$A$47:$A$56,0)),IFERROR(INDEX(Setup!$C$60:$C$89,MATCH($B3416,Setup!$A$60:$A$89,0)),"")))</f>
        <v/>
      </c>
      <c r="E3416" s="42"/>
      <c r="F3416" s="42"/>
    </row>
    <row r="3417" customFormat="false" ht="15" hidden="false" customHeight="true" outlineLevel="0" collapsed="false">
      <c r="A3417" s="42"/>
      <c r="B3417" s="42"/>
      <c r="C3417" s="42"/>
      <c r="D3417" s="28" t="str">
        <f aca="false">IF(OR($B3417="",$C3417=""),"",$C3417*IFERROR(INDEX(Setup!$C$47:$C$56,MATCH($B3417,Setup!$A$47:$A$56,0)),IFERROR(INDEX(Setup!$C$60:$C$89,MATCH($B3417,Setup!$A$60:$A$89,0)),"")))</f>
        <v/>
      </c>
      <c r="E3417" s="42"/>
      <c r="F3417" s="42"/>
    </row>
    <row r="3418" customFormat="false" ht="15" hidden="false" customHeight="true" outlineLevel="0" collapsed="false">
      <c r="A3418" s="42"/>
      <c r="B3418" s="42"/>
      <c r="C3418" s="42"/>
      <c r="D3418" s="28" t="str">
        <f aca="false">IF(OR($B3418="",$C3418=""),"",$C3418*IFERROR(INDEX(Setup!$C$47:$C$56,MATCH($B3418,Setup!$A$47:$A$56,0)),IFERROR(INDEX(Setup!$C$60:$C$89,MATCH($B3418,Setup!$A$60:$A$89,0)),"")))</f>
        <v/>
      </c>
      <c r="E3418" s="42"/>
      <c r="F3418" s="42"/>
    </row>
    <row r="3419" customFormat="false" ht="15" hidden="false" customHeight="true" outlineLevel="0" collapsed="false">
      <c r="A3419" s="42"/>
      <c r="B3419" s="42"/>
      <c r="C3419" s="42"/>
      <c r="D3419" s="28" t="str">
        <f aca="false">IF(OR($B3419="",$C3419=""),"",$C3419*IFERROR(INDEX(Setup!$C$47:$C$56,MATCH($B3419,Setup!$A$47:$A$56,0)),IFERROR(INDEX(Setup!$C$60:$C$89,MATCH($B3419,Setup!$A$60:$A$89,0)),"")))</f>
        <v/>
      </c>
      <c r="E3419" s="42"/>
      <c r="F3419" s="42"/>
    </row>
    <row r="3420" customFormat="false" ht="15" hidden="false" customHeight="true" outlineLevel="0" collapsed="false">
      <c r="A3420" s="42"/>
      <c r="B3420" s="42"/>
      <c r="C3420" s="42"/>
      <c r="D3420" s="28" t="str">
        <f aca="false">IF(OR($B3420="",$C3420=""),"",$C3420*IFERROR(INDEX(Setup!$C$47:$C$56,MATCH($B3420,Setup!$A$47:$A$56,0)),IFERROR(INDEX(Setup!$C$60:$C$89,MATCH($B3420,Setup!$A$60:$A$89,0)),"")))</f>
        <v/>
      </c>
      <c r="E3420" s="42"/>
      <c r="F3420" s="42"/>
    </row>
    <row r="3421" customFormat="false" ht="15" hidden="false" customHeight="true" outlineLevel="0" collapsed="false">
      <c r="A3421" s="42"/>
      <c r="B3421" s="42"/>
      <c r="C3421" s="42"/>
      <c r="D3421" s="28" t="str">
        <f aca="false">IF(OR($B3421="",$C3421=""),"",$C3421*IFERROR(INDEX(Setup!$C$47:$C$56,MATCH($B3421,Setup!$A$47:$A$56,0)),IFERROR(INDEX(Setup!$C$60:$C$89,MATCH($B3421,Setup!$A$60:$A$89,0)),"")))</f>
        <v/>
      </c>
      <c r="E3421" s="42"/>
      <c r="F3421" s="42"/>
    </row>
    <row r="3422" customFormat="false" ht="15" hidden="false" customHeight="true" outlineLevel="0" collapsed="false">
      <c r="A3422" s="42"/>
      <c r="B3422" s="42"/>
      <c r="C3422" s="42"/>
      <c r="D3422" s="28" t="str">
        <f aca="false">IF(OR($B3422="",$C3422=""),"",$C3422*IFERROR(INDEX(Setup!$C$47:$C$56,MATCH($B3422,Setup!$A$47:$A$56,0)),IFERROR(INDEX(Setup!$C$60:$C$89,MATCH($B3422,Setup!$A$60:$A$89,0)),"")))</f>
        <v/>
      </c>
      <c r="E3422" s="42"/>
      <c r="F3422" s="42"/>
    </row>
    <row r="3423" customFormat="false" ht="15" hidden="false" customHeight="true" outlineLevel="0" collapsed="false">
      <c r="A3423" s="42"/>
      <c r="B3423" s="42"/>
      <c r="C3423" s="42"/>
      <c r="D3423" s="28" t="str">
        <f aca="false">IF(OR($B3423="",$C3423=""),"",$C3423*IFERROR(INDEX(Setup!$C$47:$C$56,MATCH($B3423,Setup!$A$47:$A$56,0)),IFERROR(INDEX(Setup!$C$60:$C$89,MATCH($B3423,Setup!$A$60:$A$89,0)),"")))</f>
        <v/>
      </c>
      <c r="E3423" s="42"/>
      <c r="F3423" s="42"/>
    </row>
    <row r="3424" customFormat="false" ht="15" hidden="false" customHeight="true" outlineLevel="0" collapsed="false">
      <c r="A3424" s="42"/>
      <c r="B3424" s="42"/>
      <c r="C3424" s="42"/>
      <c r="D3424" s="28" t="str">
        <f aca="false">IF(OR($B3424="",$C3424=""),"",$C3424*IFERROR(INDEX(Setup!$C$47:$C$56,MATCH($B3424,Setup!$A$47:$A$56,0)),IFERROR(INDEX(Setup!$C$60:$C$89,MATCH($B3424,Setup!$A$60:$A$89,0)),"")))</f>
        <v/>
      </c>
      <c r="E3424" s="42"/>
      <c r="F3424" s="42"/>
    </row>
    <row r="3425" customFormat="false" ht="15" hidden="false" customHeight="true" outlineLevel="0" collapsed="false">
      <c r="A3425" s="42"/>
      <c r="B3425" s="42"/>
      <c r="C3425" s="42"/>
      <c r="D3425" s="28" t="str">
        <f aca="false">IF(OR($B3425="",$C3425=""),"",$C3425*IFERROR(INDEX(Setup!$C$47:$C$56,MATCH($B3425,Setup!$A$47:$A$56,0)),IFERROR(INDEX(Setup!$C$60:$C$89,MATCH($B3425,Setup!$A$60:$A$89,0)),"")))</f>
        <v/>
      </c>
      <c r="E3425" s="42"/>
      <c r="F3425" s="42"/>
    </row>
    <row r="3426" customFormat="false" ht="15" hidden="false" customHeight="true" outlineLevel="0" collapsed="false">
      <c r="A3426" s="42"/>
      <c r="B3426" s="42"/>
      <c r="C3426" s="42"/>
      <c r="D3426" s="28" t="str">
        <f aca="false">IF(OR($B3426="",$C3426=""),"",$C3426*IFERROR(INDEX(Setup!$C$47:$C$56,MATCH($B3426,Setup!$A$47:$A$56,0)),IFERROR(INDEX(Setup!$C$60:$C$89,MATCH($B3426,Setup!$A$60:$A$89,0)),"")))</f>
        <v/>
      </c>
      <c r="E3426" s="42"/>
      <c r="F3426" s="42"/>
    </row>
    <row r="3427" customFormat="false" ht="15" hidden="false" customHeight="true" outlineLevel="0" collapsed="false">
      <c r="A3427" s="42"/>
      <c r="B3427" s="42"/>
      <c r="C3427" s="42"/>
      <c r="D3427" s="28" t="str">
        <f aca="false">IF(OR($B3427="",$C3427=""),"",$C3427*IFERROR(INDEX(Setup!$C$47:$C$56,MATCH($B3427,Setup!$A$47:$A$56,0)),IFERROR(INDEX(Setup!$C$60:$C$89,MATCH($B3427,Setup!$A$60:$A$89,0)),"")))</f>
        <v/>
      </c>
      <c r="E3427" s="42"/>
      <c r="F3427" s="42"/>
    </row>
    <row r="3428" customFormat="false" ht="15" hidden="false" customHeight="true" outlineLevel="0" collapsed="false">
      <c r="A3428" s="42"/>
      <c r="B3428" s="42"/>
      <c r="C3428" s="42"/>
      <c r="D3428" s="28" t="str">
        <f aca="false">IF(OR($B3428="",$C3428=""),"",$C3428*IFERROR(INDEX(Setup!$C$47:$C$56,MATCH($B3428,Setup!$A$47:$A$56,0)),IFERROR(INDEX(Setup!$C$60:$C$89,MATCH($B3428,Setup!$A$60:$A$89,0)),"")))</f>
        <v/>
      </c>
      <c r="E3428" s="42"/>
      <c r="F3428" s="42"/>
    </row>
    <row r="3429" customFormat="false" ht="15" hidden="false" customHeight="true" outlineLevel="0" collapsed="false">
      <c r="A3429" s="42"/>
      <c r="B3429" s="42"/>
      <c r="C3429" s="42"/>
      <c r="D3429" s="28" t="str">
        <f aca="false">IF(OR($B3429="",$C3429=""),"",$C3429*IFERROR(INDEX(Setup!$C$47:$C$56,MATCH($B3429,Setup!$A$47:$A$56,0)),IFERROR(INDEX(Setup!$C$60:$C$89,MATCH($B3429,Setup!$A$60:$A$89,0)),"")))</f>
        <v/>
      </c>
      <c r="E3429" s="42"/>
      <c r="F3429" s="42"/>
    </row>
    <row r="3430" customFormat="false" ht="15" hidden="false" customHeight="true" outlineLevel="0" collapsed="false">
      <c r="A3430" s="42"/>
      <c r="B3430" s="42"/>
      <c r="C3430" s="42"/>
      <c r="D3430" s="28" t="str">
        <f aca="false">IF(OR($B3430="",$C3430=""),"",$C3430*IFERROR(INDEX(Setup!$C$47:$C$56,MATCH($B3430,Setup!$A$47:$A$56,0)),IFERROR(INDEX(Setup!$C$60:$C$89,MATCH($B3430,Setup!$A$60:$A$89,0)),"")))</f>
        <v/>
      </c>
      <c r="E3430" s="42"/>
      <c r="F3430" s="42"/>
    </row>
    <row r="3431" customFormat="false" ht="15" hidden="false" customHeight="true" outlineLevel="0" collapsed="false">
      <c r="A3431" s="42"/>
      <c r="B3431" s="42"/>
      <c r="C3431" s="42"/>
      <c r="D3431" s="28" t="str">
        <f aca="false">IF(OR($B3431="",$C3431=""),"",$C3431*IFERROR(INDEX(Setup!$C$47:$C$56,MATCH($B3431,Setup!$A$47:$A$56,0)),IFERROR(INDEX(Setup!$C$60:$C$89,MATCH($B3431,Setup!$A$60:$A$89,0)),"")))</f>
        <v/>
      </c>
      <c r="E3431" s="42"/>
      <c r="F3431" s="42"/>
    </row>
    <row r="3432" customFormat="false" ht="15" hidden="false" customHeight="true" outlineLevel="0" collapsed="false">
      <c r="A3432" s="42"/>
      <c r="B3432" s="42"/>
      <c r="C3432" s="42"/>
      <c r="D3432" s="28" t="str">
        <f aca="false">IF(OR($B3432="",$C3432=""),"",$C3432*IFERROR(INDEX(Setup!$C$47:$C$56,MATCH($B3432,Setup!$A$47:$A$56,0)),IFERROR(INDEX(Setup!$C$60:$C$89,MATCH($B3432,Setup!$A$60:$A$89,0)),"")))</f>
        <v/>
      </c>
      <c r="E3432" s="42"/>
      <c r="F3432" s="42"/>
    </row>
    <row r="3433" customFormat="false" ht="15" hidden="false" customHeight="true" outlineLevel="0" collapsed="false">
      <c r="A3433" s="42"/>
      <c r="B3433" s="42"/>
      <c r="C3433" s="42"/>
      <c r="D3433" s="28" t="str">
        <f aca="false">IF(OR($B3433="",$C3433=""),"",$C3433*IFERROR(INDEX(Setup!$C$47:$C$56,MATCH($B3433,Setup!$A$47:$A$56,0)),IFERROR(INDEX(Setup!$C$60:$C$89,MATCH($B3433,Setup!$A$60:$A$89,0)),"")))</f>
        <v/>
      </c>
      <c r="E3433" s="42"/>
      <c r="F3433" s="42"/>
    </row>
    <row r="3434" customFormat="false" ht="15" hidden="false" customHeight="true" outlineLevel="0" collapsed="false">
      <c r="A3434" s="42"/>
      <c r="B3434" s="42"/>
      <c r="C3434" s="42"/>
      <c r="D3434" s="28" t="str">
        <f aca="false">IF(OR($B3434="",$C3434=""),"",$C3434*IFERROR(INDEX(Setup!$C$47:$C$56,MATCH($B3434,Setup!$A$47:$A$56,0)),IFERROR(INDEX(Setup!$C$60:$C$89,MATCH($B3434,Setup!$A$60:$A$89,0)),"")))</f>
        <v/>
      </c>
      <c r="E3434" s="42"/>
      <c r="F3434" s="42"/>
    </row>
    <row r="3435" customFormat="false" ht="15" hidden="false" customHeight="true" outlineLevel="0" collapsed="false">
      <c r="A3435" s="42"/>
      <c r="B3435" s="42"/>
      <c r="C3435" s="42"/>
      <c r="D3435" s="28" t="str">
        <f aca="false">IF(OR($B3435="",$C3435=""),"",$C3435*IFERROR(INDEX(Setup!$C$47:$C$56,MATCH($B3435,Setup!$A$47:$A$56,0)),IFERROR(INDEX(Setup!$C$60:$C$89,MATCH($B3435,Setup!$A$60:$A$89,0)),"")))</f>
        <v/>
      </c>
      <c r="E3435" s="42"/>
      <c r="F3435" s="42"/>
    </row>
    <row r="3436" customFormat="false" ht="15" hidden="false" customHeight="true" outlineLevel="0" collapsed="false">
      <c r="A3436" s="42"/>
      <c r="B3436" s="42"/>
      <c r="C3436" s="42"/>
      <c r="D3436" s="28" t="str">
        <f aca="false">IF(OR($B3436="",$C3436=""),"",$C3436*IFERROR(INDEX(Setup!$C$47:$C$56,MATCH($B3436,Setup!$A$47:$A$56,0)),IFERROR(INDEX(Setup!$C$60:$C$89,MATCH($B3436,Setup!$A$60:$A$89,0)),"")))</f>
        <v/>
      </c>
      <c r="E3436" s="42"/>
      <c r="F3436" s="42"/>
    </row>
    <row r="3437" customFormat="false" ht="15" hidden="false" customHeight="true" outlineLevel="0" collapsed="false">
      <c r="A3437" s="42"/>
      <c r="B3437" s="42"/>
      <c r="C3437" s="42"/>
      <c r="D3437" s="28" t="str">
        <f aca="false">IF(OR($B3437="",$C3437=""),"",$C3437*IFERROR(INDEX(Setup!$C$47:$C$56,MATCH($B3437,Setup!$A$47:$A$56,0)),IFERROR(INDEX(Setup!$C$60:$C$89,MATCH($B3437,Setup!$A$60:$A$89,0)),"")))</f>
        <v/>
      </c>
      <c r="E3437" s="42"/>
      <c r="F3437" s="42"/>
    </row>
    <row r="3438" customFormat="false" ht="15" hidden="false" customHeight="true" outlineLevel="0" collapsed="false">
      <c r="A3438" s="42"/>
      <c r="B3438" s="42"/>
      <c r="C3438" s="42"/>
      <c r="D3438" s="28" t="str">
        <f aca="false">IF(OR($B3438="",$C3438=""),"",$C3438*IFERROR(INDEX(Setup!$C$47:$C$56,MATCH($B3438,Setup!$A$47:$A$56,0)),IFERROR(INDEX(Setup!$C$60:$C$89,MATCH($B3438,Setup!$A$60:$A$89,0)),"")))</f>
        <v/>
      </c>
      <c r="E3438" s="42"/>
      <c r="F3438" s="42"/>
    </row>
    <row r="3439" customFormat="false" ht="15" hidden="false" customHeight="true" outlineLevel="0" collapsed="false">
      <c r="A3439" s="42"/>
      <c r="B3439" s="42"/>
      <c r="C3439" s="42"/>
      <c r="D3439" s="28" t="str">
        <f aca="false">IF(OR($B3439="",$C3439=""),"",$C3439*IFERROR(INDEX(Setup!$C$47:$C$56,MATCH($B3439,Setup!$A$47:$A$56,0)),IFERROR(INDEX(Setup!$C$60:$C$89,MATCH($B3439,Setup!$A$60:$A$89,0)),"")))</f>
        <v/>
      </c>
      <c r="E3439" s="42"/>
      <c r="F3439" s="42"/>
    </row>
    <row r="3440" customFormat="false" ht="15" hidden="false" customHeight="true" outlineLevel="0" collapsed="false">
      <c r="A3440" s="42"/>
      <c r="B3440" s="42"/>
      <c r="C3440" s="42"/>
      <c r="D3440" s="28" t="str">
        <f aca="false">IF(OR($B3440="",$C3440=""),"",$C3440*IFERROR(INDEX(Setup!$C$47:$C$56,MATCH($B3440,Setup!$A$47:$A$56,0)),IFERROR(INDEX(Setup!$C$60:$C$89,MATCH($B3440,Setup!$A$60:$A$89,0)),"")))</f>
        <v/>
      </c>
      <c r="E3440" s="42"/>
      <c r="F3440" s="42"/>
    </row>
    <row r="3441" customFormat="false" ht="15" hidden="false" customHeight="true" outlineLevel="0" collapsed="false">
      <c r="A3441" s="42"/>
      <c r="B3441" s="42"/>
      <c r="C3441" s="42"/>
      <c r="D3441" s="28" t="str">
        <f aca="false">IF(OR($B3441="",$C3441=""),"",$C3441*IFERROR(INDEX(Setup!$C$47:$C$56,MATCH($B3441,Setup!$A$47:$A$56,0)),IFERROR(INDEX(Setup!$C$60:$C$89,MATCH($B3441,Setup!$A$60:$A$89,0)),"")))</f>
        <v/>
      </c>
      <c r="E3441" s="42"/>
      <c r="F3441" s="42"/>
    </row>
    <row r="3442" customFormat="false" ht="15" hidden="false" customHeight="true" outlineLevel="0" collapsed="false">
      <c r="A3442" s="42"/>
      <c r="B3442" s="42"/>
      <c r="C3442" s="42"/>
      <c r="D3442" s="28" t="str">
        <f aca="false">IF(OR($B3442="",$C3442=""),"",$C3442*IFERROR(INDEX(Setup!$C$47:$C$56,MATCH($B3442,Setup!$A$47:$A$56,0)),IFERROR(INDEX(Setup!$C$60:$C$89,MATCH($B3442,Setup!$A$60:$A$89,0)),"")))</f>
        <v/>
      </c>
      <c r="E3442" s="42"/>
      <c r="F3442" s="42"/>
    </row>
    <row r="3443" customFormat="false" ht="15" hidden="false" customHeight="true" outlineLevel="0" collapsed="false">
      <c r="A3443" s="42"/>
      <c r="B3443" s="42"/>
      <c r="C3443" s="42"/>
      <c r="D3443" s="28" t="str">
        <f aca="false">IF(OR($B3443="",$C3443=""),"",$C3443*IFERROR(INDEX(Setup!$C$47:$C$56,MATCH($B3443,Setup!$A$47:$A$56,0)),IFERROR(INDEX(Setup!$C$60:$C$89,MATCH($B3443,Setup!$A$60:$A$89,0)),"")))</f>
        <v/>
      </c>
      <c r="E3443" s="42"/>
      <c r="F3443" s="42"/>
    </row>
    <row r="3444" customFormat="false" ht="15" hidden="false" customHeight="true" outlineLevel="0" collapsed="false">
      <c r="A3444" s="42"/>
      <c r="B3444" s="42"/>
      <c r="C3444" s="42"/>
      <c r="D3444" s="28" t="str">
        <f aca="false">IF(OR($B3444="",$C3444=""),"",$C3444*IFERROR(INDEX(Setup!$C$47:$C$56,MATCH($B3444,Setup!$A$47:$A$56,0)),IFERROR(INDEX(Setup!$C$60:$C$89,MATCH($B3444,Setup!$A$60:$A$89,0)),"")))</f>
        <v/>
      </c>
      <c r="E3444" s="42"/>
      <c r="F3444" s="42"/>
    </row>
    <row r="3445" customFormat="false" ht="15" hidden="false" customHeight="true" outlineLevel="0" collapsed="false">
      <c r="A3445" s="42"/>
      <c r="B3445" s="42"/>
      <c r="C3445" s="42"/>
      <c r="D3445" s="28" t="str">
        <f aca="false">IF(OR($B3445="",$C3445=""),"",$C3445*IFERROR(INDEX(Setup!$C$47:$C$56,MATCH($B3445,Setup!$A$47:$A$56,0)),IFERROR(INDEX(Setup!$C$60:$C$89,MATCH($B3445,Setup!$A$60:$A$89,0)),"")))</f>
        <v/>
      </c>
      <c r="E3445" s="42"/>
      <c r="F3445" s="42"/>
    </row>
    <row r="3446" customFormat="false" ht="15" hidden="false" customHeight="true" outlineLevel="0" collapsed="false">
      <c r="A3446" s="42"/>
      <c r="B3446" s="42"/>
      <c r="C3446" s="42"/>
      <c r="D3446" s="28" t="str">
        <f aca="false">IF(OR($B3446="",$C3446=""),"",$C3446*IFERROR(INDEX(Setup!$C$47:$C$56,MATCH($B3446,Setup!$A$47:$A$56,0)),IFERROR(INDEX(Setup!$C$60:$C$89,MATCH($B3446,Setup!$A$60:$A$89,0)),"")))</f>
        <v/>
      </c>
      <c r="E3446" s="42"/>
      <c r="F3446" s="42"/>
    </row>
    <row r="3447" customFormat="false" ht="15" hidden="false" customHeight="true" outlineLevel="0" collapsed="false">
      <c r="A3447" s="42"/>
      <c r="B3447" s="42"/>
      <c r="C3447" s="42"/>
      <c r="D3447" s="28" t="str">
        <f aca="false">IF(OR($B3447="",$C3447=""),"",$C3447*IFERROR(INDEX(Setup!$C$47:$C$56,MATCH($B3447,Setup!$A$47:$A$56,0)),IFERROR(INDEX(Setup!$C$60:$C$89,MATCH($B3447,Setup!$A$60:$A$89,0)),"")))</f>
        <v/>
      </c>
      <c r="E3447" s="42"/>
      <c r="F3447" s="42"/>
    </row>
    <row r="3448" customFormat="false" ht="15" hidden="false" customHeight="true" outlineLevel="0" collapsed="false">
      <c r="A3448" s="42"/>
      <c r="B3448" s="42"/>
      <c r="C3448" s="42"/>
      <c r="D3448" s="28" t="str">
        <f aca="false">IF(OR($B3448="",$C3448=""),"",$C3448*IFERROR(INDEX(Setup!$C$47:$C$56,MATCH($B3448,Setup!$A$47:$A$56,0)),IFERROR(INDEX(Setup!$C$60:$C$89,MATCH($B3448,Setup!$A$60:$A$89,0)),"")))</f>
        <v/>
      </c>
      <c r="E3448" s="42"/>
      <c r="F3448" s="42"/>
    </row>
    <row r="3449" customFormat="false" ht="15" hidden="false" customHeight="true" outlineLevel="0" collapsed="false">
      <c r="A3449" s="42"/>
      <c r="B3449" s="42"/>
      <c r="C3449" s="42"/>
      <c r="D3449" s="28" t="str">
        <f aca="false">IF(OR($B3449="",$C3449=""),"",$C3449*IFERROR(INDEX(Setup!$C$47:$C$56,MATCH($B3449,Setup!$A$47:$A$56,0)),IFERROR(INDEX(Setup!$C$60:$C$89,MATCH($B3449,Setup!$A$60:$A$89,0)),"")))</f>
        <v/>
      </c>
      <c r="E3449" s="42"/>
      <c r="F3449" s="42"/>
    </row>
    <row r="3450" customFormat="false" ht="15" hidden="false" customHeight="true" outlineLevel="0" collapsed="false">
      <c r="A3450" s="42"/>
      <c r="B3450" s="42"/>
      <c r="C3450" s="42"/>
      <c r="D3450" s="28" t="str">
        <f aca="false">IF(OR($B3450="",$C3450=""),"",$C3450*IFERROR(INDEX(Setup!$C$47:$C$56,MATCH($B3450,Setup!$A$47:$A$56,0)),IFERROR(INDEX(Setup!$C$60:$C$89,MATCH($B3450,Setup!$A$60:$A$89,0)),"")))</f>
        <v/>
      </c>
      <c r="E3450" s="42"/>
      <c r="F3450" s="42"/>
    </row>
    <row r="3451" customFormat="false" ht="15" hidden="false" customHeight="true" outlineLevel="0" collapsed="false">
      <c r="A3451" s="42"/>
      <c r="B3451" s="42"/>
      <c r="C3451" s="42"/>
      <c r="D3451" s="28" t="str">
        <f aca="false">IF(OR($B3451="",$C3451=""),"",$C3451*IFERROR(INDEX(Setup!$C$47:$C$56,MATCH($B3451,Setup!$A$47:$A$56,0)),IFERROR(INDEX(Setup!$C$60:$C$89,MATCH($B3451,Setup!$A$60:$A$89,0)),"")))</f>
        <v/>
      </c>
      <c r="E3451" s="42"/>
      <c r="F3451" s="42"/>
    </row>
    <row r="3452" customFormat="false" ht="15" hidden="false" customHeight="true" outlineLevel="0" collapsed="false">
      <c r="A3452" s="42"/>
      <c r="B3452" s="42"/>
      <c r="C3452" s="42"/>
      <c r="D3452" s="28" t="str">
        <f aca="false">IF(OR($B3452="",$C3452=""),"",$C3452*IFERROR(INDEX(Setup!$C$47:$C$56,MATCH($B3452,Setup!$A$47:$A$56,0)),IFERROR(INDEX(Setup!$C$60:$C$89,MATCH($B3452,Setup!$A$60:$A$89,0)),"")))</f>
        <v/>
      </c>
      <c r="E3452" s="42"/>
      <c r="F3452" s="42"/>
    </row>
    <row r="3453" customFormat="false" ht="15" hidden="false" customHeight="true" outlineLevel="0" collapsed="false">
      <c r="A3453" s="42"/>
      <c r="B3453" s="42"/>
      <c r="C3453" s="42"/>
      <c r="D3453" s="28" t="str">
        <f aca="false">IF(OR($B3453="",$C3453=""),"",$C3453*IFERROR(INDEX(Setup!$C$47:$C$56,MATCH($B3453,Setup!$A$47:$A$56,0)),IFERROR(INDEX(Setup!$C$60:$C$89,MATCH($B3453,Setup!$A$60:$A$89,0)),"")))</f>
        <v/>
      </c>
      <c r="E3453" s="42"/>
      <c r="F3453" s="42"/>
    </row>
    <row r="3454" customFormat="false" ht="15" hidden="false" customHeight="true" outlineLevel="0" collapsed="false">
      <c r="A3454" s="42"/>
      <c r="B3454" s="42"/>
      <c r="C3454" s="42"/>
      <c r="D3454" s="28" t="str">
        <f aca="false">IF(OR($B3454="",$C3454=""),"",$C3454*IFERROR(INDEX(Setup!$C$47:$C$56,MATCH($B3454,Setup!$A$47:$A$56,0)),IFERROR(INDEX(Setup!$C$60:$C$89,MATCH($B3454,Setup!$A$60:$A$89,0)),"")))</f>
        <v/>
      </c>
      <c r="E3454" s="42"/>
      <c r="F3454" s="42"/>
    </row>
    <row r="3455" customFormat="false" ht="15" hidden="false" customHeight="true" outlineLevel="0" collapsed="false">
      <c r="A3455" s="42"/>
      <c r="B3455" s="42"/>
      <c r="C3455" s="42"/>
      <c r="D3455" s="28" t="str">
        <f aca="false">IF(OR($B3455="",$C3455=""),"",$C3455*IFERROR(INDEX(Setup!$C$47:$C$56,MATCH($B3455,Setup!$A$47:$A$56,0)),IFERROR(INDEX(Setup!$C$60:$C$89,MATCH($B3455,Setup!$A$60:$A$89,0)),"")))</f>
        <v/>
      </c>
      <c r="E3455" s="42"/>
      <c r="F3455" s="42"/>
    </row>
    <row r="3456" customFormat="false" ht="15" hidden="false" customHeight="true" outlineLevel="0" collapsed="false">
      <c r="A3456" s="42"/>
      <c r="B3456" s="42"/>
      <c r="C3456" s="42"/>
      <c r="D3456" s="28" t="str">
        <f aca="false">IF(OR($B3456="",$C3456=""),"",$C3456*IFERROR(INDEX(Setup!$C$47:$C$56,MATCH($B3456,Setup!$A$47:$A$56,0)),IFERROR(INDEX(Setup!$C$60:$C$89,MATCH($B3456,Setup!$A$60:$A$89,0)),"")))</f>
        <v/>
      </c>
      <c r="E3456" s="42"/>
      <c r="F3456" s="42"/>
    </row>
    <row r="3457" customFormat="false" ht="15" hidden="false" customHeight="true" outlineLevel="0" collapsed="false">
      <c r="A3457" s="42"/>
      <c r="B3457" s="42"/>
      <c r="C3457" s="42"/>
      <c r="D3457" s="28" t="str">
        <f aca="false">IF(OR($B3457="",$C3457=""),"",$C3457*IFERROR(INDEX(Setup!$C$47:$C$56,MATCH($B3457,Setup!$A$47:$A$56,0)),IFERROR(INDEX(Setup!$C$60:$C$89,MATCH($B3457,Setup!$A$60:$A$89,0)),"")))</f>
        <v/>
      </c>
      <c r="E3457" s="42"/>
      <c r="F3457" s="42"/>
    </row>
    <row r="3458" customFormat="false" ht="15" hidden="false" customHeight="true" outlineLevel="0" collapsed="false">
      <c r="A3458" s="42"/>
      <c r="B3458" s="42"/>
      <c r="C3458" s="42"/>
      <c r="D3458" s="28" t="str">
        <f aca="false">IF(OR($B3458="",$C3458=""),"",$C3458*IFERROR(INDEX(Setup!$C$47:$C$56,MATCH($B3458,Setup!$A$47:$A$56,0)),IFERROR(INDEX(Setup!$C$60:$C$89,MATCH($B3458,Setup!$A$60:$A$89,0)),"")))</f>
        <v/>
      </c>
      <c r="E3458" s="42"/>
      <c r="F3458" s="42"/>
    </row>
    <row r="3459" customFormat="false" ht="15" hidden="false" customHeight="true" outlineLevel="0" collapsed="false">
      <c r="A3459" s="42"/>
      <c r="B3459" s="42"/>
      <c r="C3459" s="42"/>
      <c r="D3459" s="28" t="str">
        <f aca="false">IF(OR($B3459="",$C3459=""),"",$C3459*IFERROR(INDEX(Setup!$C$47:$C$56,MATCH($B3459,Setup!$A$47:$A$56,0)),IFERROR(INDEX(Setup!$C$60:$C$89,MATCH($B3459,Setup!$A$60:$A$89,0)),"")))</f>
        <v/>
      </c>
      <c r="E3459" s="42"/>
      <c r="F3459" s="42"/>
    </row>
    <row r="3460" customFormat="false" ht="15" hidden="false" customHeight="true" outlineLevel="0" collapsed="false">
      <c r="A3460" s="42"/>
      <c r="B3460" s="42"/>
      <c r="C3460" s="42"/>
      <c r="D3460" s="28" t="str">
        <f aca="false">IF(OR($B3460="",$C3460=""),"",$C3460*IFERROR(INDEX(Setup!$C$47:$C$56,MATCH($B3460,Setup!$A$47:$A$56,0)),IFERROR(INDEX(Setup!$C$60:$C$89,MATCH($B3460,Setup!$A$60:$A$89,0)),"")))</f>
        <v/>
      </c>
      <c r="E3460" s="42"/>
      <c r="F3460" s="42"/>
    </row>
    <row r="3461" customFormat="false" ht="15" hidden="false" customHeight="true" outlineLevel="0" collapsed="false">
      <c r="A3461" s="42"/>
      <c r="B3461" s="42"/>
      <c r="C3461" s="42"/>
      <c r="D3461" s="28" t="str">
        <f aca="false">IF(OR($B3461="",$C3461=""),"",$C3461*IFERROR(INDEX(Setup!$C$47:$C$56,MATCH($B3461,Setup!$A$47:$A$56,0)),IFERROR(INDEX(Setup!$C$60:$C$89,MATCH($B3461,Setup!$A$60:$A$89,0)),"")))</f>
        <v/>
      </c>
      <c r="E3461" s="42"/>
      <c r="F3461" s="42"/>
    </row>
    <row r="3462" customFormat="false" ht="15" hidden="false" customHeight="true" outlineLevel="0" collapsed="false">
      <c r="A3462" s="42"/>
      <c r="B3462" s="42"/>
      <c r="C3462" s="42"/>
      <c r="D3462" s="28" t="str">
        <f aca="false">IF(OR($B3462="",$C3462=""),"",$C3462*IFERROR(INDEX(Setup!$C$47:$C$56,MATCH($B3462,Setup!$A$47:$A$56,0)),IFERROR(INDEX(Setup!$C$60:$C$89,MATCH($B3462,Setup!$A$60:$A$89,0)),"")))</f>
        <v/>
      </c>
      <c r="E3462" s="42"/>
      <c r="F3462" s="42"/>
    </row>
    <row r="3463" customFormat="false" ht="15" hidden="false" customHeight="true" outlineLevel="0" collapsed="false">
      <c r="A3463" s="42"/>
      <c r="B3463" s="42"/>
      <c r="C3463" s="42"/>
      <c r="D3463" s="28" t="str">
        <f aca="false">IF(OR($B3463="",$C3463=""),"",$C3463*IFERROR(INDEX(Setup!$C$47:$C$56,MATCH($B3463,Setup!$A$47:$A$56,0)),IFERROR(INDEX(Setup!$C$60:$C$89,MATCH($B3463,Setup!$A$60:$A$89,0)),"")))</f>
        <v/>
      </c>
      <c r="E3463" s="42"/>
      <c r="F3463" s="42"/>
    </row>
    <row r="3464" customFormat="false" ht="15" hidden="false" customHeight="true" outlineLevel="0" collapsed="false">
      <c r="A3464" s="42"/>
      <c r="B3464" s="42"/>
      <c r="C3464" s="42"/>
      <c r="D3464" s="28" t="str">
        <f aca="false">IF(OR($B3464="",$C3464=""),"",$C3464*IFERROR(INDEX(Setup!$C$47:$C$56,MATCH($B3464,Setup!$A$47:$A$56,0)),IFERROR(INDEX(Setup!$C$60:$C$89,MATCH($B3464,Setup!$A$60:$A$89,0)),"")))</f>
        <v/>
      </c>
      <c r="E3464" s="42"/>
      <c r="F3464" s="42"/>
    </row>
    <row r="3465" customFormat="false" ht="15" hidden="false" customHeight="true" outlineLevel="0" collapsed="false">
      <c r="A3465" s="42"/>
      <c r="B3465" s="42"/>
      <c r="C3465" s="42"/>
      <c r="D3465" s="28" t="str">
        <f aca="false">IF(OR($B3465="",$C3465=""),"",$C3465*IFERROR(INDEX(Setup!$C$47:$C$56,MATCH($B3465,Setup!$A$47:$A$56,0)),IFERROR(INDEX(Setup!$C$60:$C$89,MATCH($B3465,Setup!$A$60:$A$89,0)),"")))</f>
        <v/>
      </c>
      <c r="E3465" s="42"/>
      <c r="F3465" s="42"/>
    </row>
    <row r="3466" customFormat="false" ht="15" hidden="false" customHeight="true" outlineLevel="0" collapsed="false">
      <c r="A3466" s="42"/>
      <c r="B3466" s="42"/>
      <c r="C3466" s="42"/>
      <c r="D3466" s="28" t="str">
        <f aca="false">IF(OR($B3466="",$C3466=""),"",$C3466*IFERROR(INDEX(Setup!$C$47:$C$56,MATCH($B3466,Setup!$A$47:$A$56,0)),IFERROR(INDEX(Setup!$C$60:$C$89,MATCH($B3466,Setup!$A$60:$A$89,0)),"")))</f>
        <v/>
      </c>
      <c r="E3466" s="42"/>
      <c r="F3466" s="42"/>
    </row>
    <row r="3467" customFormat="false" ht="15" hidden="false" customHeight="true" outlineLevel="0" collapsed="false">
      <c r="A3467" s="42"/>
      <c r="B3467" s="42"/>
      <c r="C3467" s="42"/>
      <c r="D3467" s="28" t="str">
        <f aca="false">IF(OR($B3467="",$C3467=""),"",$C3467*IFERROR(INDEX(Setup!$C$47:$C$56,MATCH($B3467,Setup!$A$47:$A$56,0)),IFERROR(INDEX(Setup!$C$60:$C$89,MATCH($B3467,Setup!$A$60:$A$89,0)),"")))</f>
        <v/>
      </c>
      <c r="E3467" s="42"/>
      <c r="F3467" s="42"/>
    </row>
    <row r="3468" customFormat="false" ht="15" hidden="false" customHeight="true" outlineLevel="0" collapsed="false">
      <c r="A3468" s="42"/>
      <c r="B3468" s="42"/>
      <c r="C3468" s="42"/>
      <c r="D3468" s="28" t="str">
        <f aca="false">IF(OR($B3468="",$C3468=""),"",$C3468*IFERROR(INDEX(Setup!$C$47:$C$56,MATCH($B3468,Setup!$A$47:$A$56,0)),IFERROR(INDEX(Setup!$C$60:$C$89,MATCH($B3468,Setup!$A$60:$A$89,0)),"")))</f>
        <v/>
      </c>
      <c r="E3468" s="42"/>
      <c r="F3468" s="42"/>
    </row>
    <row r="3469" customFormat="false" ht="15" hidden="false" customHeight="true" outlineLevel="0" collapsed="false">
      <c r="A3469" s="42"/>
      <c r="B3469" s="42"/>
      <c r="C3469" s="42"/>
      <c r="D3469" s="28" t="str">
        <f aca="false">IF(OR($B3469="",$C3469=""),"",$C3469*IFERROR(INDEX(Setup!$C$47:$C$56,MATCH($B3469,Setup!$A$47:$A$56,0)),IFERROR(INDEX(Setup!$C$60:$C$89,MATCH($B3469,Setup!$A$60:$A$89,0)),"")))</f>
        <v/>
      </c>
      <c r="E3469" s="42"/>
      <c r="F3469" s="42"/>
    </row>
    <row r="3470" customFormat="false" ht="15" hidden="false" customHeight="true" outlineLevel="0" collapsed="false">
      <c r="A3470" s="42"/>
      <c r="B3470" s="42"/>
      <c r="C3470" s="42"/>
      <c r="D3470" s="28" t="str">
        <f aca="false">IF(OR($B3470="",$C3470=""),"",$C3470*IFERROR(INDEX(Setup!$C$47:$C$56,MATCH($B3470,Setup!$A$47:$A$56,0)),IFERROR(INDEX(Setup!$C$60:$C$89,MATCH($B3470,Setup!$A$60:$A$89,0)),"")))</f>
        <v/>
      </c>
      <c r="E3470" s="42"/>
      <c r="F3470" s="42"/>
    </row>
    <row r="3471" customFormat="false" ht="15" hidden="false" customHeight="true" outlineLevel="0" collapsed="false">
      <c r="A3471" s="42"/>
      <c r="B3471" s="42"/>
      <c r="C3471" s="42"/>
      <c r="D3471" s="28" t="str">
        <f aca="false">IF(OR($B3471="",$C3471=""),"",$C3471*IFERROR(INDEX(Setup!$C$47:$C$56,MATCH($B3471,Setup!$A$47:$A$56,0)),IFERROR(INDEX(Setup!$C$60:$C$89,MATCH($B3471,Setup!$A$60:$A$89,0)),"")))</f>
        <v/>
      </c>
      <c r="E3471" s="42"/>
      <c r="F3471" s="42"/>
    </row>
    <row r="3472" customFormat="false" ht="15" hidden="false" customHeight="true" outlineLevel="0" collapsed="false">
      <c r="A3472" s="42"/>
      <c r="B3472" s="42"/>
      <c r="C3472" s="42"/>
      <c r="D3472" s="28" t="str">
        <f aca="false">IF(OR($B3472="",$C3472=""),"",$C3472*IFERROR(INDEX(Setup!$C$47:$C$56,MATCH($B3472,Setup!$A$47:$A$56,0)),IFERROR(INDEX(Setup!$C$60:$C$89,MATCH($B3472,Setup!$A$60:$A$89,0)),"")))</f>
        <v/>
      </c>
      <c r="E3472" s="42"/>
      <c r="F3472" s="42"/>
    </row>
    <row r="3473" customFormat="false" ht="15" hidden="false" customHeight="true" outlineLevel="0" collapsed="false">
      <c r="A3473" s="42"/>
      <c r="B3473" s="42"/>
      <c r="C3473" s="42"/>
      <c r="D3473" s="28" t="str">
        <f aca="false">IF(OR($B3473="",$C3473=""),"",$C3473*IFERROR(INDEX(Setup!$C$47:$C$56,MATCH($B3473,Setup!$A$47:$A$56,0)),IFERROR(INDEX(Setup!$C$60:$C$89,MATCH($B3473,Setup!$A$60:$A$89,0)),"")))</f>
        <v/>
      </c>
      <c r="E3473" s="42"/>
      <c r="F3473" s="42"/>
    </row>
    <row r="3474" customFormat="false" ht="15" hidden="false" customHeight="true" outlineLevel="0" collapsed="false">
      <c r="A3474" s="42"/>
      <c r="B3474" s="42"/>
      <c r="C3474" s="42"/>
      <c r="D3474" s="28" t="str">
        <f aca="false">IF(OR($B3474="",$C3474=""),"",$C3474*IFERROR(INDEX(Setup!$C$47:$C$56,MATCH($B3474,Setup!$A$47:$A$56,0)),IFERROR(INDEX(Setup!$C$60:$C$89,MATCH($B3474,Setup!$A$60:$A$89,0)),"")))</f>
        <v/>
      </c>
      <c r="E3474" s="42"/>
      <c r="F3474" s="42"/>
    </row>
    <row r="3475" customFormat="false" ht="15" hidden="false" customHeight="true" outlineLevel="0" collapsed="false">
      <c r="A3475" s="42"/>
      <c r="B3475" s="42"/>
      <c r="C3475" s="42"/>
      <c r="D3475" s="28" t="str">
        <f aca="false">IF(OR($B3475="",$C3475=""),"",$C3475*IFERROR(INDEX(Setup!$C$47:$C$56,MATCH($B3475,Setup!$A$47:$A$56,0)),IFERROR(INDEX(Setup!$C$60:$C$89,MATCH($B3475,Setup!$A$60:$A$89,0)),"")))</f>
        <v/>
      </c>
      <c r="E3475" s="42"/>
      <c r="F3475" s="42"/>
    </row>
    <row r="3476" customFormat="false" ht="15" hidden="false" customHeight="true" outlineLevel="0" collapsed="false">
      <c r="A3476" s="42"/>
      <c r="B3476" s="42"/>
      <c r="C3476" s="42"/>
      <c r="D3476" s="28" t="str">
        <f aca="false">IF(OR($B3476="",$C3476=""),"",$C3476*IFERROR(INDEX(Setup!$C$47:$C$56,MATCH($B3476,Setup!$A$47:$A$56,0)),IFERROR(INDEX(Setup!$C$60:$C$89,MATCH($B3476,Setup!$A$60:$A$89,0)),"")))</f>
        <v/>
      </c>
      <c r="E3476" s="42"/>
      <c r="F3476" s="42"/>
    </row>
    <row r="3477" customFormat="false" ht="15" hidden="false" customHeight="true" outlineLevel="0" collapsed="false">
      <c r="A3477" s="42"/>
      <c r="B3477" s="42"/>
      <c r="C3477" s="42"/>
      <c r="D3477" s="28" t="str">
        <f aca="false">IF(OR($B3477="",$C3477=""),"",$C3477*IFERROR(INDEX(Setup!$C$47:$C$56,MATCH($B3477,Setup!$A$47:$A$56,0)),IFERROR(INDEX(Setup!$C$60:$C$89,MATCH($B3477,Setup!$A$60:$A$89,0)),"")))</f>
        <v/>
      </c>
      <c r="E3477" s="42"/>
      <c r="F3477" s="42"/>
    </row>
    <row r="3478" customFormat="false" ht="15" hidden="false" customHeight="true" outlineLevel="0" collapsed="false">
      <c r="A3478" s="42"/>
      <c r="B3478" s="42"/>
      <c r="C3478" s="42"/>
      <c r="D3478" s="28" t="str">
        <f aca="false">IF(OR($B3478="",$C3478=""),"",$C3478*IFERROR(INDEX(Setup!$C$47:$C$56,MATCH($B3478,Setup!$A$47:$A$56,0)),IFERROR(INDEX(Setup!$C$60:$C$89,MATCH($B3478,Setup!$A$60:$A$89,0)),"")))</f>
        <v/>
      </c>
      <c r="E3478" s="42"/>
      <c r="F3478" s="42"/>
    </row>
    <row r="3479" customFormat="false" ht="15" hidden="false" customHeight="true" outlineLevel="0" collapsed="false">
      <c r="A3479" s="42"/>
      <c r="B3479" s="42"/>
      <c r="C3479" s="42"/>
      <c r="D3479" s="28" t="str">
        <f aca="false">IF(OR($B3479="",$C3479=""),"",$C3479*IFERROR(INDEX(Setup!$C$47:$C$56,MATCH($B3479,Setup!$A$47:$A$56,0)),IFERROR(INDEX(Setup!$C$60:$C$89,MATCH($B3479,Setup!$A$60:$A$89,0)),"")))</f>
        <v/>
      </c>
      <c r="E3479" s="42"/>
      <c r="F3479" s="42"/>
    </row>
    <row r="3480" customFormat="false" ht="15" hidden="false" customHeight="true" outlineLevel="0" collapsed="false">
      <c r="A3480" s="42"/>
      <c r="B3480" s="42"/>
      <c r="C3480" s="42"/>
      <c r="D3480" s="28" t="str">
        <f aca="false">IF(OR($B3480="",$C3480=""),"",$C3480*IFERROR(INDEX(Setup!$C$47:$C$56,MATCH($B3480,Setup!$A$47:$A$56,0)),IFERROR(INDEX(Setup!$C$60:$C$89,MATCH($B3480,Setup!$A$60:$A$89,0)),"")))</f>
        <v/>
      </c>
      <c r="E3480" s="42"/>
      <c r="F3480" s="42"/>
    </row>
    <row r="3481" customFormat="false" ht="15" hidden="false" customHeight="true" outlineLevel="0" collapsed="false">
      <c r="A3481" s="42"/>
      <c r="B3481" s="42"/>
      <c r="C3481" s="42"/>
      <c r="D3481" s="28" t="str">
        <f aca="false">IF(OR($B3481="",$C3481=""),"",$C3481*IFERROR(INDEX(Setup!$C$47:$C$56,MATCH($B3481,Setup!$A$47:$A$56,0)),IFERROR(INDEX(Setup!$C$60:$C$89,MATCH($B3481,Setup!$A$60:$A$89,0)),"")))</f>
        <v/>
      </c>
      <c r="E3481" s="42"/>
      <c r="F3481" s="42"/>
    </row>
    <row r="3482" customFormat="false" ht="15" hidden="false" customHeight="true" outlineLevel="0" collapsed="false">
      <c r="A3482" s="42"/>
      <c r="B3482" s="42"/>
      <c r="C3482" s="42"/>
      <c r="D3482" s="28" t="str">
        <f aca="false">IF(OR($B3482="",$C3482=""),"",$C3482*IFERROR(INDEX(Setup!$C$47:$C$56,MATCH($B3482,Setup!$A$47:$A$56,0)),IFERROR(INDEX(Setup!$C$60:$C$89,MATCH($B3482,Setup!$A$60:$A$89,0)),"")))</f>
        <v/>
      </c>
      <c r="E3482" s="42"/>
      <c r="F3482" s="42"/>
    </row>
    <row r="3483" customFormat="false" ht="15" hidden="false" customHeight="true" outlineLevel="0" collapsed="false">
      <c r="A3483" s="42"/>
      <c r="B3483" s="42"/>
      <c r="C3483" s="42"/>
      <c r="D3483" s="28" t="str">
        <f aca="false">IF(OR($B3483="",$C3483=""),"",$C3483*IFERROR(INDEX(Setup!$C$47:$C$56,MATCH($B3483,Setup!$A$47:$A$56,0)),IFERROR(INDEX(Setup!$C$60:$C$89,MATCH($B3483,Setup!$A$60:$A$89,0)),"")))</f>
        <v/>
      </c>
      <c r="E3483" s="42"/>
      <c r="F3483" s="42"/>
    </row>
    <row r="3484" customFormat="false" ht="15" hidden="false" customHeight="true" outlineLevel="0" collapsed="false">
      <c r="A3484" s="42"/>
      <c r="B3484" s="42"/>
      <c r="C3484" s="42"/>
      <c r="D3484" s="28" t="str">
        <f aca="false">IF(OR($B3484="",$C3484=""),"",$C3484*IFERROR(INDEX(Setup!$C$47:$C$56,MATCH($B3484,Setup!$A$47:$A$56,0)),IFERROR(INDEX(Setup!$C$60:$C$89,MATCH($B3484,Setup!$A$60:$A$89,0)),"")))</f>
        <v/>
      </c>
      <c r="E3484" s="42"/>
      <c r="F3484" s="42"/>
    </row>
    <row r="3485" customFormat="false" ht="15" hidden="false" customHeight="true" outlineLevel="0" collapsed="false">
      <c r="A3485" s="42"/>
      <c r="B3485" s="42"/>
      <c r="C3485" s="42"/>
      <c r="D3485" s="28" t="str">
        <f aca="false">IF(OR($B3485="",$C3485=""),"",$C3485*IFERROR(INDEX(Setup!$C$47:$C$56,MATCH($B3485,Setup!$A$47:$A$56,0)),IFERROR(INDEX(Setup!$C$60:$C$89,MATCH($B3485,Setup!$A$60:$A$89,0)),"")))</f>
        <v/>
      </c>
      <c r="E3485" s="42"/>
      <c r="F3485" s="42"/>
    </row>
    <row r="3486" customFormat="false" ht="15" hidden="false" customHeight="true" outlineLevel="0" collapsed="false">
      <c r="A3486" s="42"/>
      <c r="B3486" s="42"/>
      <c r="C3486" s="42"/>
      <c r="D3486" s="28" t="str">
        <f aca="false">IF(OR($B3486="",$C3486=""),"",$C3486*IFERROR(INDEX(Setup!$C$47:$C$56,MATCH($B3486,Setup!$A$47:$A$56,0)),IFERROR(INDEX(Setup!$C$60:$C$89,MATCH($B3486,Setup!$A$60:$A$89,0)),"")))</f>
        <v/>
      </c>
      <c r="E3486" s="42"/>
      <c r="F3486" s="42"/>
    </row>
    <row r="3487" customFormat="false" ht="15" hidden="false" customHeight="true" outlineLevel="0" collapsed="false">
      <c r="A3487" s="42"/>
      <c r="B3487" s="42"/>
      <c r="C3487" s="42"/>
      <c r="D3487" s="28" t="str">
        <f aca="false">IF(OR($B3487="",$C3487=""),"",$C3487*IFERROR(INDEX(Setup!$C$47:$C$56,MATCH($B3487,Setup!$A$47:$A$56,0)),IFERROR(INDEX(Setup!$C$60:$C$89,MATCH($B3487,Setup!$A$60:$A$89,0)),"")))</f>
        <v/>
      </c>
      <c r="E3487" s="42"/>
      <c r="F3487" s="42"/>
    </row>
    <row r="3488" customFormat="false" ht="15" hidden="false" customHeight="true" outlineLevel="0" collapsed="false">
      <c r="A3488" s="42"/>
      <c r="B3488" s="42"/>
      <c r="C3488" s="42"/>
      <c r="D3488" s="28" t="str">
        <f aca="false">IF(OR($B3488="",$C3488=""),"",$C3488*IFERROR(INDEX(Setup!$C$47:$C$56,MATCH($B3488,Setup!$A$47:$A$56,0)),IFERROR(INDEX(Setup!$C$60:$C$89,MATCH($B3488,Setup!$A$60:$A$89,0)),"")))</f>
        <v/>
      </c>
      <c r="E3488" s="42"/>
      <c r="F3488" s="42"/>
    </row>
    <row r="3489" customFormat="false" ht="15" hidden="false" customHeight="true" outlineLevel="0" collapsed="false">
      <c r="A3489" s="42"/>
      <c r="B3489" s="42"/>
      <c r="C3489" s="42"/>
      <c r="D3489" s="28" t="str">
        <f aca="false">IF(OR($B3489="",$C3489=""),"",$C3489*IFERROR(INDEX(Setup!$C$47:$C$56,MATCH($B3489,Setup!$A$47:$A$56,0)),IFERROR(INDEX(Setup!$C$60:$C$89,MATCH($B3489,Setup!$A$60:$A$89,0)),"")))</f>
        <v/>
      </c>
      <c r="E3489" s="42"/>
      <c r="F3489" s="42"/>
    </row>
    <row r="3490" customFormat="false" ht="15" hidden="false" customHeight="true" outlineLevel="0" collapsed="false">
      <c r="A3490" s="42"/>
      <c r="B3490" s="42"/>
      <c r="C3490" s="42"/>
      <c r="D3490" s="28" t="str">
        <f aca="false">IF(OR($B3490="",$C3490=""),"",$C3490*IFERROR(INDEX(Setup!$C$47:$C$56,MATCH($B3490,Setup!$A$47:$A$56,0)),IFERROR(INDEX(Setup!$C$60:$C$89,MATCH($B3490,Setup!$A$60:$A$89,0)),"")))</f>
        <v/>
      </c>
      <c r="E3490" s="42"/>
      <c r="F3490" s="42"/>
    </row>
    <row r="3491" customFormat="false" ht="15" hidden="false" customHeight="true" outlineLevel="0" collapsed="false">
      <c r="A3491" s="42"/>
      <c r="B3491" s="42"/>
      <c r="C3491" s="42"/>
      <c r="D3491" s="28" t="str">
        <f aca="false">IF(OR($B3491="",$C3491=""),"",$C3491*IFERROR(INDEX(Setup!$C$47:$C$56,MATCH($B3491,Setup!$A$47:$A$56,0)),IFERROR(INDEX(Setup!$C$60:$C$89,MATCH($B3491,Setup!$A$60:$A$89,0)),"")))</f>
        <v/>
      </c>
      <c r="E3491" s="42"/>
      <c r="F3491" s="42"/>
    </row>
    <row r="3492" customFormat="false" ht="15" hidden="false" customHeight="true" outlineLevel="0" collapsed="false">
      <c r="A3492" s="42"/>
      <c r="B3492" s="42"/>
      <c r="C3492" s="42"/>
      <c r="D3492" s="28" t="str">
        <f aca="false">IF(OR($B3492="",$C3492=""),"",$C3492*IFERROR(INDEX(Setup!$C$47:$C$56,MATCH($B3492,Setup!$A$47:$A$56,0)),IFERROR(INDEX(Setup!$C$60:$C$89,MATCH($B3492,Setup!$A$60:$A$89,0)),"")))</f>
        <v/>
      </c>
      <c r="E3492" s="42"/>
      <c r="F3492" s="42"/>
    </row>
    <row r="3493" customFormat="false" ht="15" hidden="false" customHeight="true" outlineLevel="0" collapsed="false">
      <c r="A3493" s="42"/>
      <c r="B3493" s="42"/>
      <c r="C3493" s="42"/>
      <c r="D3493" s="28" t="str">
        <f aca="false">IF(OR($B3493="",$C3493=""),"",$C3493*IFERROR(INDEX(Setup!$C$47:$C$56,MATCH($B3493,Setup!$A$47:$A$56,0)),IFERROR(INDEX(Setup!$C$60:$C$89,MATCH($B3493,Setup!$A$60:$A$89,0)),"")))</f>
        <v/>
      </c>
      <c r="E3493" s="42"/>
      <c r="F3493" s="42"/>
    </row>
    <row r="3494" customFormat="false" ht="15" hidden="false" customHeight="true" outlineLevel="0" collapsed="false">
      <c r="A3494" s="42"/>
      <c r="B3494" s="42"/>
      <c r="C3494" s="42"/>
      <c r="D3494" s="28" t="str">
        <f aca="false">IF(OR($B3494="",$C3494=""),"",$C3494*IFERROR(INDEX(Setup!$C$47:$C$56,MATCH($B3494,Setup!$A$47:$A$56,0)),IFERROR(INDEX(Setup!$C$60:$C$89,MATCH($B3494,Setup!$A$60:$A$89,0)),"")))</f>
        <v/>
      </c>
      <c r="E3494" s="42"/>
      <c r="F3494" s="42"/>
    </row>
    <row r="3495" customFormat="false" ht="15" hidden="false" customHeight="true" outlineLevel="0" collapsed="false">
      <c r="A3495" s="42"/>
      <c r="B3495" s="42"/>
      <c r="C3495" s="42"/>
      <c r="D3495" s="28" t="str">
        <f aca="false">IF(OR($B3495="",$C3495=""),"",$C3495*IFERROR(INDEX(Setup!$C$47:$C$56,MATCH($B3495,Setup!$A$47:$A$56,0)),IFERROR(INDEX(Setup!$C$60:$C$89,MATCH($B3495,Setup!$A$60:$A$89,0)),"")))</f>
        <v/>
      </c>
      <c r="E3495" s="42"/>
      <c r="F3495" s="42"/>
    </row>
    <row r="3496" customFormat="false" ht="15" hidden="false" customHeight="true" outlineLevel="0" collapsed="false">
      <c r="A3496" s="42"/>
      <c r="B3496" s="42"/>
      <c r="C3496" s="42"/>
      <c r="D3496" s="28" t="str">
        <f aca="false">IF(OR($B3496="",$C3496=""),"",$C3496*IFERROR(INDEX(Setup!$C$47:$C$56,MATCH($B3496,Setup!$A$47:$A$56,0)),IFERROR(INDEX(Setup!$C$60:$C$89,MATCH($B3496,Setup!$A$60:$A$89,0)),"")))</f>
        <v/>
      </c>
      <c r="E3496" s="42"/>
      <c r="F3496" s="42"/>
    </row>
    <row r="3497" customFormat="false" ht="15" hidden="false" customHeight="true" outlineLevel="0" collapsed="false">
      <c r="A3497" s="42"/>
      <c r="B3497" s="42"/>
      <c r="C3497" s="42"/>
      <c r="D3497" s="28" t="str">
        <f aca="false">IF(OR($B3497="",$C3497=""),"",$C3497*IFERROR(INDEX(Setup!$C$47:$C$56,MATCH($B3497,Setup!$A$47:$A$56,0)),IFERROR(INDEX(Setup!$C$60:$C$89,MATCH($B3497,Setup!$A$60:$A$89,0)),"")))</f>
        <v/>
      </c>
      <c r="E3497" s="42"/>
      <c r="F3497" s="42"/>
    </row>
    <row r="3498" customFormat="false" ht="15" hidden="false" customHeight="true" outlineLevel="0" collapsed="false">
      <c r="A3498" s="42"/>
      <c r="B3498" s="42"/>
      <c r="C3498" s="42"/>
      <c r="D3498" s="28" t="str">
        <f aca="false">IF(OR($B3498="",$C3498=""),"",$C3498*IFERROR(INDEX(Setup!$C$47:$C$56,MATCH($B3498,Setup!$A$47:$A$56,0)),IFERROR(INDEX(Setup!$C$60:$C$89,MATCH($B3498,Setup!$A$60:$A$89,0)),"")))</f>
        <v/>
      </c>
      <c r="E3498" s="42"/>
      <c r="F3498" s="42"/>
    </row>
    <row r="3499" customFormat="false" ht="15" hidden="false" customHeight="true" outlineLevel="0" collapsed="false">
      <c r="A3499" s="42"/>
      <c r="B3499" s="42"/>
      <c r="C3499" s="42"/>
      <c r="D3499" s="28" t="str">
        <f aca="false">IF(OR($B3499="",$C3499=""),"",$C3499*IFERROR(INDEX(Setup!$C$47:$C$56,MATCH($B3499,Setup!$A$47:$A$56,0)),IFERROR(INDEX(Setup!$C$60:$C$89,MATCH($B3499,Setup!$A$60:$A$89,0)),"")))</f>
        <v/>
      </c>
      <c r="E3499" s="42"/>
      <c r="F3499" s="42"/>
    </row>
    <row r="3500" customFormat="false" ht="15" hidden="false" customHeight="true" outlineLevel="0" collapsed="false">
      <c r="A3500" s="42"/>
      <c r="B3500" s="42"/>
      <c r="C3500" s="42"/>
      <c r="D3500" s="28" t="str">
        <f aca="false">IF(OR($B3500="",$C3500=""),"",$C3500*IFERROR(INDEX(Setup!$C$47:$C$56,MATCH($B3500,Setup!$A$47:$A$56,0)),IFERROR(INDEX(Setup!$C$60:$C$89,MATCH($B3500,Setup!$A$60:$A$89,0)),"")))</f>
        <v/>
      </c>
      <c r="E3500" s="42"/>
      <c r="F3500" s="42"/>
    </row>
    <row r="3501" customFormat="false" ht="15" hidden="false" customHeight="true" outlineLevel="0" collapsed="false">
      <c r="A3501" s="42"/>
      <c r="B3501" s="42"/>
      <c r="C3501" s="42"/>
      <c r="D3501" s="28" t="str">
        <f aca="false">IF(OR($B3501="",$C3501=""),"",$C3501*IFERROR(INDEX(Setup!$C$47:$C$56,MATCH($B3501,Setup!$A$47:$A$56,0)),IFERROR(INDEX(Setup!$C$60:$C$89,MATCH($B3501,Setup!$A$60:$A$89,0)),"")))</f>
        <v/>
      </c>
      <c r="E3501" s="42"/>
      <c r="F3501" s="42"/>
    </row>
    <row r="3502" customFormat="false" ht="15" hidden="false" customHeight="true" outlineLevel="0" collapsed="false">
      <c r="A3502" s="42"/>
      <c r="B3502" s="42"/>
      <c r="C3502" s="42"/>
      <c r="D3502" s="28" t="str">
        <f aca="false">IF(OR($B3502="",$C3502=""),"",$C3502*IFERROR(INDEX(Setup!$C$47:$C$56,MATCH($B3502,Setup!$A$47:$A$56,0)),IFERROR(INDEX(Setup!$C$60:$C$89,MATCH($B3502,Setup!$A$60:$A$89,0)),"")))</f>
        <v/>
      </c>
      <c r="E3502" s="42"/>
      <c r="F3502" s="42"/>
    </row>
    <row r="3503" customFormat="false" ht="15" hidden="false" customHeight="true" outlineLevel="0" collapsed="false">
      <c r="A3503" s="42"/>
      <c r="B3503" s="42"/>
      <c r="C3503" s="42"/>
      <c r="D3503" s="28" t="str">
        <f aca="false">IF(OR($B3503="",$C3503=""),"",$C3503*IFERROR(INDEX(Setup!$C$47:$C$56,MATCH($B3503,Setup!$A$47:$A$56,0)),IFERROR(INDEX(Setup!$C$60:$C$89,MATCH($B3503,Setup!$A$60:$A$89,0)),"")))</f>
        <v/>
      </c>
      <c r="E3503" s="42"/>
      <c r="F3503" s="42"/>
    </row>
    <row r="3504" customFormat="false" ht="15" hidden="false" customHeight="true" outlineLevel="0" collapsed="false">
      <c r="A3504" s="42"/>
      <c r="B3504" s="42"/>
      <c r="C3504" s="42"/>
      <c r="D3504" s="28" t="str">
        <f aca="false">IF(OR($B3504="",$C3504=""),"",$C3504*IFERROR(INDEX(Setup!$C$47:$C$56,MATCH($B3504,Setup!$A$47:$A$56,0)),IFERROR(INDEX(Setup!$C$60:$C$89,MATCH($B3504,Setup!$A$60:$A$89,0)),"")))</f>
        <v/>
      </c>
      <c r="E3504" s="42"/>
      <c r="F3504" s="42"/>
    </row>
    <row r="3505" customFormat="false" ht="15" hidden="false" customHeight="true" outlineLevel="0" collapsed="false">
      <c r="A3505" s="42"/>
      <c r="B3505" s="42"/>
      <c r="C3505" s="42"/>
      <c r="D3505" s="28" t="str">
        <f aca="false">IF(OR($B3505="",$C3505=""),"",$C3505*IFERROR(INDEX(Setup!$C$47:$C$56,MATCH($B3505,Setup!$A$47:$A$56,0)),IFERROR(INDEX(Setup!$C$60:$C$89,MATCH($B3505,Setup!$A$60:$A$89,0)),"")))</f>
        <v/>
      </c>
      <c r="E3505" s="42"/>
      <c r="F3505" s="42"/>
    </row>
    <row r="3506" customFormat="false" ht="15" hidden="false" customHeight="true" outlineLevel="0" collapsed="false">
      <c r="A3506" s="42"/>
      <c r="B3506" s="42"/>
      <c r="C3506" s="42"/>
      <c r="D3506" s="28" t="str">
        <f aca="false">IF(OR($B3506="",$C3506=""),"",$C3506*IFERROR(INDEX(Setup!$C$47:$C$56,MATCH($B3506,Setup!$A$47:$A$56,0)),IFERROR(INDEX(Setup!$C$60:$C$89,MATCH($B3506,Setup!$A$60:$A$89,0)),"")))</f>
        <v/>
      </c>
      <c r="E3506" s="42"/>
      <c r="F3506" s="42"/>
    </row>
    <row r="3507" customFormat="false" ht="15" hidden="false" customHeight="true" outlineLevel="0" collapsed="false">
      <c r="A3507" s="42"/>
      <c r="B3507" s="42"/>
      <c r="C3507" s="42"/>
      <c r="D3507" s="28" t="str">
        <f aca="false">IF(OR($B3507="",$C3507=""),"",$C3507*IFERROR(INDEX(Setup!$C$47:$C$56,MATCH($B3507,Setup!$A$47:$A$56,0)),IFERROR(INDEX(Setup!$C$60:$C$89,MATCH($B3507,Setup!$A$60:$A$89,0)),"")))</f>
        <v/>
      </c>
      <c r="E3507" s="42"/>
      <c r="F3507" s="42"/>
    </row>
    <row r="3508" customFormat="false" ht="15" hidden="false" customHeight="true" outlineLevel="0" collapsed="false">
      <c r="A3508" s="42"/>
      <c r="B3508" s="42"/>
      <c r="C3508" s="42"/>
      <c r="D3508" s="28" t="str">
        <f aca="false">IF(OR($B3508="",$C3508=""),"",$C3508*IFERROR(INDEX(Setup!$C$47:$C$56,MATCH($B3508,Setup!$A$47:$A$56,0)),IFERROR(INDEX(Setup!$C$60:$C$89,MATCH($B3508,Setup!$A$60:$A$89,0)),"")))</f>
        <v/>
      </c>
      <c r="E3508" s="42"/>
      <c r="F3508" s="42"/>
    </row>
    <row r="3509" customFormat="false" ht="15" hidden="false" customHeight="true" outlineLevel="0" collapsed="false">
      <c r="A3509" s="42"/>
      <c r="B3509" s="42"/>
      <c r="C3509" s="42"/>
      <c r="D3509" s="28" t="str">
        <f aca="false">IF(OR($B3509="",$C3509=""),"",$C3509*IFERROR(INDEX(Setup!$C$47:$C$56,MATCH($B3509,Setup!$A$47:$A$56,0)),IFERROR(INDEX(Setup!$C$60:$C$89,MATCH($B3509,Setup!$A$60:$A$89,0)),"")))</f>
        <v/>
      </c>
      <c r="E3509" s="42"/>
      <c r="F3509" s="42"/>
    </row>
    <row r="3510" customFormat="false" ht="15" hidden="false" customHeight="true" outlineLevel="0" collapsed="false">
      <c r="A3510" s="42"/>
      <c r="B3510" s="42"/>
      <c r="C3510" s="42"/>
      <c r="D3510" s="28" t="str">
        <f aca="false">IF(OR($B3510="",$C3510=""),"",$C3510*IFERROR(INDEX(Setup!$C$47:$C$56,MATCH($B3510,Setup!$A$47:$A$56,0)),IFERROR(INDEX(Setup!$C$60:$C$89,MATCH($B3510,Setup!$A$60:$A$89,0)),"")))</f>
        <v/>
      </c>
      <c r="E3510" s="42"/>
      <c r="F3510" s="42"/>
    </row>
    <row r="3511" customFormat="false" ht="15" hidden="false" customHeight="true" outlineLevel="0" collapsed="false">
      <c r="A3511" s="42"/>
      <c r="B3511" s="42"/>
      <c r="C3511" s="42"/>
      <c r="D3511" s="28" t="str">
        <f aca="false">IF(OR($B3511="",$C3511=""),"",$C3511*IFERROR(INDEX(Setup!$C$47:$C$56,MATCH($B3511,Setup!$A$47:$A$56,0)),IFERROR(INDEX(Setup!$C$60:$C$89,MATCH($B3511,Setup!$A$60:$A$89,0)),"")))</f>
        <v/>
      </c>
      <c r="E3511" s="42"/>
      <c r="F3511" s="42"/>
    </row>
    <row r="3512" customFormat="false" ht="15" hidden="false" customHeight="true" outlineLevel="0" collapsed="false">
      <c r="A3512" s="42"/>
      <c r="B3512" s="42"/>
      <c r="C3512" s="42"/>
      <c r="D3512" s="28" t="str">
        <f aca="false">IF(OR($B3512="",$C3512=""),"",$C3512*IFERROR(INDEX(Setup!$C$47:$C$56,MATCH($B3512,Setup!$A$47:$A$56,0)),IFERROR(INDEX(Setup!$C$60:$C$89,MATCH($B3512,Setup!$A$60:$A$89,0)),"")))</f>
        <v/>
      </c>
      <c r="E3512" s="42"/>
      <c r="F3512" s="42"/>
    </row>
    <row r="3513" customFormat="false" ht="15" hidden="false" customHeight="true" outlineLevel="0" collapsed="false">
      <c r="A3513" s="42"/>
      <c r="B3513" s="42"/>
      <c r="C3513" s="42"/>
      <c r="D3513" s="28" t="str">
        <f aca="false">IF(OR($B3513="",$C3513=""),"",$C3513*IFERROR(INDEX(Setup!$C$47:$C$56,MATCH($B3513,Setup!$A$47:$A$56,0)),IFERROR(INDEX(Setup!$C$60:$C$89,MATCH($B3513,Setup!$A$60:$A$89,0)),"")))</f>
        <v/>
      </c>
      <c r="E3513" s="42"/>
      <c r="F3513" s="42"/>
    </row>
    <row r="3514" customFormat="false" ht="15" hidden="false" customHeight="true" outlineLevel="0" collapsed="false">
      <c r="A3514" s="42"/>
      <c r="B3514" s="42"/>
      <c r="C3514" s="42"/>
      <c r="D3514" s="28" t="str">
        <f aca="false">IF(OR($B3514="",$C3514=""),"",$C3514*IFERROR(INDEX(Setup!$C$47:$C$56,MATCH($B3514,Setup!$A$47:$A$56,0)),IFERROR(INDEX(Setup!$C$60:$C$89,MATCH($B3514,Setup!$A$60:$A$89,0)),"")))</f>
        <v/>
      </c>
      <c r="E3514" s="42"/>
      <c r="F3514" s="42"/>
    </row>
    <row r="3515" customFormat="false" ht="15" hidden="false" customHeight="true" outlineLevel="0" collapsed="false">
      <c r="A3515" s="42"/>
      <c r="B3515" s="42"/>
      <c r="C3515" s="42"/>
      <c r="D3515" s="28" t="str">
        <f aca="false">IF(OR($B3515="",$C3515=""),"",$C3515*IFERROR(INDEX(Setup!$C$47:$C$56,MATCH($B3515,Setup!$A$47:$A$56,0)),IFERROR(INDEX(Setup!$C$60:$C$89,MATCH($B3515,Setup!$A$60:$A$89,0)),"")))</f>
        <v/>
      </c>
      <c r="E3515" s="42"/>
      <c r="F3515" s="42"/>
    </row>
    <row r="3516" customFormat="false" ht="15" hidden="false" customHeight="true" outlineLevel="0" collapsed="false">
      <c r="A3516" s="42"/>
      <c r="B3516" s="42"/>
      <c r="C3516" s="42"/>
      <c r="D3516" s="28" t="str">
        <f aca="false">IF(OR($B3516="",$C3516=""),"",$C3516*IFERROR(INDEX(Setup!$C$47:$C$56,MATCH($B3516,Setup!$A$47:$A$56,0)),IFERROR(INDEX(Setup!$C$60:$C$89,MATCH($B3516,Setup!$A$60:$A$89,0)),"")))</f>
        <v/>
      </c>
      <c r="E3516" s="42"/>
      <c r="F3516" s="42"/>
    </row>
    <row r="3517" customFormat="false" ht="15" hidden="false" customHeight="true" outlineLevel="0" collapsed="false">
      <c r="A3517" s="42"/>
      <c r="B3517" s="42"/>
      <c r="C3517" s="42"/>
      <c r="D3517" s="28" t="str">
        <f aca="false">IF(OR($B3517="",$C3517=""),"",$C3517*IFERROR(INDEX(Setup!$C$47:$C$56,MATCH($B3517,Setup!$A$47:$A$56,0)),IFERROR(INDEX(Setup!$C$60:$C$89,MATCH($B3517,Setup!$A$60:$A$89,0)),"")))</f>
        <v/>
      </c>
      <c r="E3517" s="42"/>
      <c r="F3517" s="42"/>
    </row>
    <row r="3518" customFormat="false" ht="15" hidden="false" customHeight="true" outlineLevel="0" collapsed="false">
      <c r="A3518" s="42"/>
      <c r="B3518" s="42"/>
      <c r="C3518" s="42"/>
      <c r="D3518" s="28" t="str">
        <f aca="false">IF(OR($B3518="",$C3518=""),"",$C3518*IFERROR(INDEX(Setup!$C$47:$C$56,MATCH($B3518,Setup!$A$47:$A$56,0)),IFERROR(INDEX(Setup!$C$60:$C$89,MATCH($B3518,Setup!$A$60:$A$89,0)),"")))</f>
        <v/>
      </c>
      <c r="E3518" s="42"/>
      <c r="F3518" s="42"/>
    </row>
    <row r="3519" customFormat="false" ht="15" hidden="false" customHeight="true" outlineLevel="0" collapsed="false">
      <c r="A3519" s="42"/>
      <c r="B3519" s="42"/>
      <c r="C3519" s="42"/>
      <c r="D3519" s="28" t="str">
        <f aca="false">IF(OR($B3519="",$C3519=""),"",$C3519*IFERROR(INDEX(Setup!$C$47:$C$56,MATCH($B3519,Setup!$A$47:$A$56,0)),IFERROR(INDEX(Setup!$C$60:$C$89,MATCH($B3519,Setup!$A$60:$A$89,0)),"")))</f>
        <v/>
      </c>
      <c r="E3519" s="42"/>
      <c r="F3519" s="42"/>
    </row>
    <row r="3520" customFormat="false" ht="15" hidden="false" customHeight="true" outlineLevel="0" collapsed="false">
      <c r="A3520" s="42"/>
      <c r="B3520" s="42"/>
      <c r="C3520" s="42"/>
      <c r="D3520" s="28" t="str">
        <f aca="false">IF(OR($B3520="",$C3520=""),"",$C3520*IFERROR(INDEX(Setup!$C$47:$C$56,MATCH($B3520,Setup!$A$47:$A$56,0)),IFERROR(INDEX(Setup!$C$60:$C$89,MATCH($B3520,Setup!$A$60:$A$89,0)),"")))</f>
        <v/>
      </c>
      <c r="E3520" s="42"/>
      <c r="F3520" s="42"/>
    </row>
    <row r="3521" customFormat="false" ht="15" hidden="false" customHeight="true" outlineLevel="0" collapsed="false">
      <c r="A3521" s="42"/>
      <c r="B3521" s="42"/>
      <c r="C3521" s="42"/>
      <c r="D3521" s="28" t="str">
        <f aca="false">IF(OR($B3521="",$C3521=""),"",$C3521*IFERROR(INDEX(Setup!$C$47:$C$56,MATCH($B3521,Setup!$A$47:$A$56,0)),IFERROR(INDEX(Setup!$C$60:$C$89,MATCH($B3521,Setup!$A$60:$A$89,0)),"")))</f>
        <v/>
      </c>
      <c r="E3521" s="42"/>
      <c r="F3521" s="42"/>
    </row>
    <row r="3522" customFormat="false" ht="15" hidden="false" customHeight="true" outlineLevel="0" collapsed="false">
      <c r="A3522" s="42"/>
      <c r="B3522" s="42"/>
      <c r="C3522" s="42"/>
      <c r="D3522" s="28" t="str">
        <f aca="false">IF(OR($B3522="",$C3522=""),"",$C3522*IFERROR(INDEX(Setup!$C$47:$C$56,MATCH($B3522,Setup!$A$47:$A$56,0)),IFERROR(INDEX(Setup!$C$60:$C$89,MATCH($B3522,Setup!$A$60:$A$89,0)),"")))</f>
        <v/>
      </c>
      <c r="E3522" s="42"/>
      <c r="F3522" s="42"/>
    </row>
    <row r="3523" customFormat="false" ht="15" hidden="false" customHeight="true" outlineLevel="0" collapsed="false">
      <c r="A3523" s="42"/>
      <c r="B3523" s="42"/>
      <c r="C3523" s="42"/>
      <c r="D3523" s="28" t="str">
        <f aca="false">IF(OR($B3523="",$C3523=""),"",$C3523*IFERROR(INDEX(Setup!$C$47:$C$56,MATCH($B3523,Setup!$A$47:$A$56,0)),IFERROR(INDEX(Setup!$C$60:$C$89,MATCH($B3523,Setup!$A$60:$A$89,0)),"")))</f>
        <v/>
      </c>
      <c r="E3523" s="42"/>
      <c r="F3523" s="42"/>
    </row>
    <row r="3524" customFormat="false" ht="15" hidden="false" customHeight="true" outlineLevel="0" collapsed="false">
      <c r="A3524" s="42"/>
      <c r="B3524" s="42"/>
      <c r="C3524" s="42"/>
      <c r="D3524" s="28" t="str">
        <f aca="false">IF(OR($B3524="",$C3524=""),"",$C3524*IFERROR(INDEX(Setup!$C$47:$C$56,MATCH($B3524,Setup!$A$47:$A$56,0)),IFERROR(INDEX(Setup!$C$60:$C$89,MATCH($B3524,Setup!$A$60:$A$89,0)),"")))</f>
        <v/>
      </c>
      <c r="E3524" s="42"/>
      <c r="F3524" s="42"/>
    </row>
    <row r="3525" customFormat="false" ht="15" hidden="false" customHeight="true" outlineLevel="0" collapsed="false">
      <c r="A3525" s="42"/>
      <c r="B3525" s="42"/>
      <c r="C3525" s="42"/>
      <c r="D3525" s="28" t="str">
        <f aca="false">IF(OR($B3525="",$C3525=""),"",$C3525*IFERROR(INDEX(Setup!$C$47:$C$56,MATCH($B3525,Setup!$A$47:$A$56,0)),IFERROR(INDEX(Setup!$C$60:$C$89,MATCH($B3525,Setup!$A$60:$A$89,0)),"")))</f>
        <v/>
      </c>
      <c r="E3525" s="42"/>
      <c r="F3525" s="42"/>
    </row>
    <row r="3526" customFormat="false" ht="15" hidden="false" customHeight="true" outlineLevel="0" collapsed="false">
      <c r="A3526" s="42"/>
      <c r="B3526" s="42"/>
      <c r="C3526" s="42"/>
      <c r="D3526" s="28" t="str">
        <f aca="false">IF(OR($B3526="",$C3526=""),"",$C3526*IFERROR(INDEX(Setup!$C$47:$C$56,MATCH($B3526,Setup!$A$47:$A$56,0)),IFERROR(INDEX(Setup!$C$60:$C$89,MATCH($B3526,Setup!$A$60:$A$89,0)),"")))</f>
        <v/>
      </c>
      <c r="E3526" s="42"/>
      <c r="F3526" s="42"/>
    </row>
    <row r="3527" customFormat="false" ht="15" hidden="false" customHeight="true" outlineLevel="0" collapsed="false">
      <c r="A3527" s="42"/>
      <c r="B3527" s="42"/>
      <c r="C3527" s="42"/>
      <c r="D3527" s="28" t="str">
        <f aca="false">IF(OR($B3527="",$C3527=""),"",$C3527*IFERROR(INDEX(Setup!$C$47:$C$56,MATCH($B3527,Setup!$A$47:$A$56,0)),IFERROR(INDEX(Setup!$C$60:$C$89,MATCH($B3527,Setup!$A$60:$A$89,0)),"")))</f>
        <v/>
      </c>
      <c r="E3527" s="42"/>
      <c r="F3527" s="42"/>
    </row>
    <row r="3528" customFormat="false" ht="15" hidden="false" customHeight="true" outlineLevel="0" collapsed="false">
      <c r="A3528" s="42"/>
      <c r="B3528" s="42"/>
      <c r="C3528" s="42"/>
      <c r="D3528" s="28" t="str">
        <f aca="false">IF(OR($B3528="",$C3528=""),"",$C3528*IFERROR(INDEX(Setup!$C$47:$C$56,MATCH($B3528,Setup!$A$47:$A$56,0)),IFERROR(INDEX(Setup!$C$60:$C$89,MATCH($B3528,Setup!$A$60:$A$89,0)),"")))</f>
        <v/>
      </c>
      <c r="E3528" s="42"/>
      <c r="F3528" s="42"/>
    </row>
    <row r="3529" customFormat="false" ht="15" hidden="false" customHeight="true" outlineLevel="0" collapsed="false">
      <c r="A3529" s="42"/>
      <c r="B3529" s="42"/>
      <c r="C3529" s="42"/>
      <c r="D3529" s="28" t="str">
        <f aca="false">IF(OR($B3529="",$C3529=""),"",$C3529*IFERROR(INDEX(Setup!$C$47:$C$56,MATCH($B3529,Setup!$A$47:$A$56,0)),IFERROR(INDEX(Setup!$C$60:$C$89,MATCH($B3529,Setup!$A$60:$A$89,0)),"")))</f>
        <v/>
      </c>
      <c r="E3529" s="42"/>
      <c r="F3529" s="42"/>
    </row>
    <row r="3530" customFormat="false" ht="15" hidden="false" customHeight="true" outlineLevel="0" collapsed="false">
      <c r="A3530" s="42"/>
      <c r="B3530" s="42"/>
      <c r="C3530" s="42"/>
      <c r="D3530" s="28" t="str">
        <f aca="false">IF(OR($B3530="",$C3530=""),"",$C3530*IFERROR(INDEX(Setup!$C$47:$C$56,MATCH($B3530,Setup!$A$47:$A$56,0)),IFERROR(INDEX(Setup!$C$60:$C$89,MATCH($B3530,Setup!$A$60:$A$89,0)),"")))</f>
        <v/>
      </c>
      <c r="E3530" s="42"/>
      <c r="F3530" s="42"/>
    </row>
    <row r="3531" customFormat="false" ht="15" hidden="false" customHeight="true" outlineLevel="0" collapsed="false">
      <c r="A3531" s="42"/>
      <c r="B3531" s="42"/>
      <c r="C3531" s="42"/>
      <c r="D3531" s="28" t="str">
        <f aca="false">IF(OR($B3531="",$C3531=""),"",$C3531*IFERROR(INDEX(Setup!$C$47:$C$56,MATCH($B3531,Setup!$A$47:$A$56,0)),IFERROR(INDEX(Setup!$C$60:$C$89,MATCH($B3531,Setup!$A$60:$A$89,0)),"")))</f>
        <v/>
      </c>
      <c r="E3531" s="42"/>
      <c r="F3531" s="42"/>
    </row>
    <row r="3532" customFormat="false" ht="15" hidden="false" customHeight="true" outlineLevel="0" collapsed="false">
      <c r="A3532" s="42"/>
      <c r="B3532" s="42"/>
      <c r="C3532" s="42"/>
      <c r="D3532" s="28" t="str">
        <f aca="false">IF(OR($B3532="",$C3532=""),"",$C3532*IFERROR(INDEX(Setup!$C$47:$C$56,MATCH($B3532,Setup!$A$47:$A$56,0)),IFERROR(INDEX(Setup!$C$60:$C$89,MATCH($B3532,Setup!$A$60:$A$89,0)),"")))</f>
        <v/>
      </c>
      <c r="E3532" s="42"/>
      <c r="F3532" s="42"/>
    </row>
    <row r="3533" customFormat="false" ht="15" hidden="false" customHeight="true" outlineLevel="0" collapsed="false">
      <c r="A3533" s="42"/>
      <c r="B3533" s="42"/>
      <c r="C3533" s="42"/>
      <c r="D3533" s="28" t="str">
        <f aca="false">IF(OR($B3533="",$C3533=""),"",$C3533*IFERROR(INDEX(Setup!$C$47:$C$56,MATCH($B3533,Setup!$A$47:$A$56,0)),IFERROR(INDEX(Setup!$C$60:$C$89,MATCH($B3533,Setup!$A$60:$A$89,0)),"")))</f>
        <v/>
      </c>
      <c r="E3533" s="42"/>
      <c r="F3533" s="42"/>
    </row>
    <row r="3534" customFormat="false" ht="15" hidden="false" customHeight="true" outlineLevel="0" collapsed="false">
      <c r="A3534" s="42"/>
      <c r="B3534" s="42"/>
      <c r="C3534" s="42"/>
      <c r="D3534" s="28" t="str">
        <f aca="false">IF(OR($B3534="",$C3534=""),"",$C3534*IFERROR(INDEX(Setup!$C$47:$C$56,MATCH($B3534,Setup!$A$47:$A$56,0)),IFERROR(INDEX(Setup!$C$60:$C$89,MATCH($B3534,Setup!$A$60:$A$89,0)),"")))</f>
        <v/>
      </c>
      <c r="E3534" s="42"/>
      <c r="F3534" s="42"/>
    </row>
    <row r="3535" customFormat="false" ht="15" hidden="false" customHeight="true" outlineLevel="0" collapsed="false">
      <c r="A3535" s="42"/>
      <c r="B3535" s="42"/>
      <c r="C3535" s="42"/>
      <c r="D3535" s="28" t="str">
        <f aca="false">IF(OR($B3535="",$C3535=""),"",$C3535*IFERROR(INDEX(Setup!$C$47:$C$56,MATCH($B3535,Setup!$A$47:$A$56,0)),IFERROR(INDEX(Setup!$C$60:$C$89,MATCH($B3535,Setup!$A$60:$A$89,0)),"")))</f>
        <v/>
      </c>
      <c r="E3535" s="42"/>
      <c r="F3535" s="42"/>
    </row>
    <row r="3536" customFormat="false" ht="15" hidden="false" customHeight="true" outlineLevel="0" collapsed="false">
      <c r="A3536" s="42"/>
      <c r="B3536" s="42"/>
      <c r="C3536" s="42"/>
      <c r="D3536" s="28" t="str">
        <f aca="false">IF(OR($B3536="",$C3536=""),"",$C3536*IFERROR(INDEX(Setup!$C$47:$C$56,MATCH($B3536,Setup!$A$47:$A$56,0)),IFERROR(INDEX(Setup!$C$60:$C$89,MATCH($B3536,Setup!$A$60:$A$89,0)),"")))</f>
        <v/>
      </c>
      <c r="E3536" s="42"/>
      <c r="F3536" s="42"/>
    </row>
    <row r="3537" customFormat="false" ht="15" hidden="false" customHeight="true" outlineLevel="0" collapsed="false">
      <c r="A3537" s="42"/>
      <c r="B3537" s="42"/>
      <c r="C3537" s="42"/>
      <c r="D3537" s="28" t="str">
        <f aca="false">IF(OR($B3537="",$C3537=""),"",$C3537*IFERROR(INDEX(Setup!$C$47:$C$56,MATCH($B3537,Setup!$A$47:$A$56,0)),IFERROR(INDEX(Setup!$C$60:$C$89,MATCH($B3537,Setup!$A$60:$A$89,0)),"")))</f>
        <v/>
      </c>
      <c r="E3537" s="42"/>
      <c r="F3537" s="42"/>
    </row>
    <row r="3538" customFormat="false" ht="15" hidden="false" customHeight="true" outlineLevel="0" collapsed="false">
      <c r="A3538" s="42"/>
      <c r="B3538" s="42"/>
      <c r="C3538" s="42"/>
      <c r="D3538" s="28" t="str">
        <f aca="false">IF(OR($B3538="",$C3538=""),"",$C3538*IFERROR(INDEX(Setup!$C$47:$C$56,MATCH($B3538,Setup!$A$47:$A$56,0)),IFERROR(INDEX(Setup!$C$60:$C$89,MATCH($B3538,Setup!$A$60:$A$89,0)),"")))</f>
        <v/>
      </c>
      <c r="E3538" s="42"/>
      <c r="F3538" s="42"/>
    </row>
    <row r="3539" customFormat="false" ht="15" hidden="false" customHeight="true" outlineLevel="0" collapsed="false">
      <c r="A3539" s="42"/>
      <c r="B3539" s="42"/>
      <c r="C3539" s="42"/>
      <c r="D3539" s="28" t="str">
        <f aca="false">IF(OR($B3539="",$C3539=""),"",$C3539*IFERROR(INDEX(Setup!$C$47:$C$56,MATCH($B3539,Setup!$A$47:$A$56,0)),IFERROR(INDEX(Setup!$C$60:$C$89,MATCH($B3539,Setup!$A$60:$A$89,0)),"")))</f>
        <v/>
      </c>
      <c r="E3539" s="42"/>
      <c r="F3539" s="42"/>
    </row>
    <row r="3540" customFormat="false" ht="15" hidden="false" customHeight="true" outlineLevel="0" collapsed="false">
      <c r="A3540" s="42"/>
      <c r="B3540" s="42"/>
      <c r="C3540" s="42"/>
      <c r="D3540" s="28" t="str">
        <f aca="false">IF(OR($B3540="",$C3540=""),"",$C3540*IFERROR(INDEX(Setup!$C$47:$C$56,MATCH($B3540,Setup!$A$47:$A$56,0)),IFERROR(INDEX(Setup!$C$60:$C$89,MATCH($B3540,Setup!$A$60:$A$89,0)),"")))</f>
        <v/>
      </c>
      <c r="E3540" s="42"/>
      <c r="F3540" s="42"/>
    </row>
    <row r="3541" customFormat="false" ht="15" hidden="false" customHeight="true" outlineLevel="0" collapsed="false">
      <c r="A3541" s="42"/>
      <c r="B3541" s="42"/>
      <c r="C3541" s="42"/>
      <c r="D3541" s="28" t="str">
        <f aca="false">IF(OR($B3541="",$C3541=""),"",$C3541*IFERROR(INDEX(Setup!$C$47:$C$56,MATCH($B3541,Setup!$A$47:$A$56,0)),IFERROR(INDEX(Setup!$C$60:$C$89,MATCH($B3541,Setup!$A$60:$A$89,0)),"")))</f>
        <v/>
      </c>
      <c r="E3541" s="42"/>
      <c r="F3541" s="42"/>
    </row>
    <row r="3542" customFormat="false" ht="15" hidden="false" customHeight="true" outlineLevel="0" collapsed="false">
      <c r="A3542" s="42"/>
      <c r="B3542" s="42"/>
      <c r="C3542" s="42"/>
      <c r="D3542" s="28" t="str">
        <f aca="false">IF(OR($B3542="",$C3542=""),"",$C3542*IFERROR(INDEX(Setup!$C$47:$C$56,MATCH($B3542,Setup!$A$47:$A$56,0)),IFERROR(INDEX(Setup!$C$60:$C$89,MATCH($B3542,Setup!$A$60:$A$89,0)),"")))</f>
        <v/>
      </c>
      <c r="E3542" s="42"/>
      <c r="F3542" s="42"/>
    </row>
    <row r="3543" customFormat="false" ht="15" hidden="false" customHeight="true" outlineLevel="0" collapsed="false">
      <c r="A3543" s="42"/>
      <c r="B3543" s="42"/>
      <c r="C3543" s="42"/>
      <c r="D3543" s="28" t="str">
        <f aca="false">IF(OR($B3543="",$C3543=""),"",$C3543*IFERROR(INDEX(Setup!$C$47:$C$56,MATCH($B3543,Setup!$A$47:$A$56,0)),IFERROR(INDEX(Setup!$C$60:$C$89,MATCH($B3543,Setup!$A$60:$A$89,0)),"")))</f>
        <v/>
      </c>
      <c r="E3543" s="42"/>
      <c r="F3543" s="42"/>
    </row>
    <row r="3544" customFormat="false" ht="15" hidden="false" customHeight="true" outlineLevel="0" collapsed="false">
      <c r="A3544" s="42"/>
      <c r="B3544" s="42"/>
      <c r="C3544" s="42"/>
      <c r="D3544" s="28" t="str">
        <f aca="false">IF(OR($B3544="",$C3544=""),"",$C3544*IFERROR(INDEX(Setup!$C$47:$C$56,MATCH($B3544,Setup!$A$47:$A$56,0)),IFERROR(INDEX(Setup!$C$60:$C$89,MATCH($B3544,Setup!$A$60:$A$89,0)),"")))</f>
        <v/>
      </c>
      <c r="E3544" s="42"/>
      <c r="F3544" s="42"/>
    </row>
    <row r="3545" customFormat="false" ht="15" hidden="false" customHeight="true" outlineLevel="0" collapsed="false">
      <c r="A3545" s="42"/>
      <c r="B3545" s="42"/>
      <c r="C3545" s="42"/>
      <c r="D3545" s="28" t="str">
        <f aca="false">IF(OR($B3545="",$C3545=""),"",$C3545*IFERROR(INDEX(Setup!$C$47:$C$56,MATCH($B3545,Setup!$A$47:$A$56,0)),IFERROR(INDEX(Setup!$C$60:$C$89,MATCH($B3545,Setup!$A$60:$A$89,0)),"")))</f>
        <v/>
      </c>
      <c r="E3545" s="42"/>
      <c r="F3545" s="42"/>
    </row>
    <row r="3546" customFormat="false" ht="15" hidden="false" customHeight="true" outlineLevel="0" collapsed="false">
      <c r="A3546" s="42"/>
      <c r="B3546" s="42"/>
      <c r="C3546" s="42"/>
      <c r="D3546" s="28" t="str">
        <f aca="false">IF(OR($B3546="",$C3546=""),"",$C3546*IFERROR(INDEX(Setup!$C$47:$C$56,MATCH($B3546,Setup!$A$47:$A$56,0)),IFERROR(INDEX(Setup!$C$60:$C$89,MATCH($B3546,Setup!$A$60:$A$89,0)),"")))</f>
        <v/>
      </c>
      <c r="E3546" s="42"/>
      <c r="F3546" s="42"/>
    </row>
    <row r="3547" customFormat="false" ht="15" hidden="false" customHeight="true" outlineLevel="0" collapsed="false">
      <c r="A3547" s="42"/>
      <c r="B3547" s="42"/>
      <c r="C3547" s="42"/>
      <c r="D3547" s="28" t="str">
        <f aca="false">IF(OR($B3547="",$C3547=""),"",$C3547*IFERROR(INDEX(Setup!$C$47:$C$56,MATCH($B3547,Setup!$A$47:$A$56,0)),IFERROR(INDEX(Setup!$C$60:$C$89,MATCH($B3547,Setup!$A$60:$A$89,0)),"")))</f>
        <v/>
      </c>
      <c r="E3547" s="42"/>
      <c r="F3547" s="42"/>
    </row>
    <row r="3548" customFormat="false" ht="15" hidden="false" customHeight="true" outlineLevel="0" collapsed="false">
      <c r="A3548" s="42"/>
      <c r="B3548" s="42"/>
      <c r="C3548" s="42"/>
      <c r="D3548" s="28" t="str">
        <f aca="false">IF(OR($B3548="",$C3548=""),"",$C3548*IFERROR(INDEX(Setup!$C$47:$C$56,MATCH($B3548,Setup!$A$47:$A$56,0)),IFERROR(INDEX(Setup!$C$60:$C$89,MATCH($B3548,Setup!$A$60:$A$89,0)),"")))</f>
        <v/>
      </c>
      <c r="E3548" s="42"/>
      <c r="F3548" s="42"/>
    </row>
    <row r="3549" customFormat="false" ht="15" hidden="false" customHeight="true" outlineLevel="0" collapsed="false">
      <c r="A3549" s="42"/>
      <c r="B3549" s="42"/>
      <c r="C3549" s="42"/>
      <c r="D3549" s="28" t="str">
        <f aca="false">IF(OR($B3549="",$C3549=""),"",$C3549*IFERROR(INDEX(Setup!$C$47:$C$56,MATCH($B3549,Setup!$A$47:$A$56,0)),IFERROR(INDEX(Setup!$C$60:$C$89,MATCH($B3549,Setup!$A$60:$A$89,0)),"")))</f>
        <v/>
      </c>
      <c r="E3549" s="42"/>
      <c r="F3549" s="42"/>
    </row>
    <row r="3550" customFormat="false" ht="15" hidden="false" customHeight="true" outlineLevel="0" collapsed="false">
      <c r="A3550" s="42"/>
      <c r="B3550" s="42"/>
      <c r="C3550" s="42"/>
      <c r="D3550" s="28" t="str">
        <f aca="false">IF(OR($B3550="",$C3550=""),"",$C3550*IFERROR(INDEX(Setup!$C$47:$C$56,MATCH($B3550,Setup!$A$47:$A$56,0)),IFERROR(INDEX(Setup!$C$60:$C$89,MATCH($B3550,Setup!$A$60:$A$89,0)),"")))</f>
        <v/>
      </c>
      <c r="E3550" s="42"/>
      <c r="F3550" s="42"/>
    </row>
    <row r="3551" customFormat="false" ht="15" hidden="false" customHeight="true" outlineLevel="0" collapsed="false">
      <c r="A3551" s="42"/>
      <c r="B3551" s="42"/>
      <c r="C3551" s="42"/>
      <c r="D3551" s="28" t="str">
        <f aca="false">IF(OR($B3551="",$C3551=""),"",$C3551*IFERROR(INDEX(Setup!$C$47:$C$56,MATCH($B3551,Setup!$A$47:$A$56,0)),IFERROR(INDEX(Setup!$C$60:$C$89,MATCH($B3551,Setup!$A$60:$A$89,0)),"")))</f>
        <v/>
      </c>
      <c r="E3551" s="42"/>
      <c r="F3551" s="42"/>
    </row>
    <row r="3552" customFormat="false" ht="15" hidden="false" customHeight="true" outlineLevel="0" collapsed="false">
      <c r="A3552" s="42"/>
      <c r="B3552" s="42"/>
      <c r="C3552" s="42"/>
      <c r="D3552" s="28" t="str">
        <f aca="false">IF(OR($B3552="",$C3552=""),"",$C3552*IFERROR(INDEX(Setup!$C$47:$C$56,MATCH($B3552,Setup!$A$47:$A$56,0)),IFERROR(INDEX(Setup!$C$60:$C$89,MATCH($B3552,Setup!$A$60:$A$89,0)),"")))</f>
        <v/>
      </c>
      <c r="E3552" s="42"/>
      <c r="F3552" s="42"/>
    </row>
    <row r="3553" customFormat="false" ht="15" hidden="false" customHeight="true" outlineLevel="0" collapsed="false">
      <c r="A3553" s="42"/>
      <c r="B3553" s="42"/>
      <c r="C3553" s="42"/>
      <c r="D3553" s="28" t="str">
        <f aca="false">IF(OR($B3553="",$C3553=""),"",$C3553*IFERROR(INDEX(Setup!$C$47:$C$56,MATCH($B3553,Setup!$A$47:$A$56,0)),IFERROR(INDEX(Setup!$C$60:$C$89,MATCH($B3553,Setup!$A$60:$A$89,0)),"")))</f>
        <v/>
      </c>
      <c r="E3553" s="42"/>
      <c r="F3553" s="42"/>
    </row>
    <row r="3554" customFormat="false" ht="15" hidden="false" customHeight="true" outlineLevel="0" collapsed="false">
      <c r="A3554" s="42"/>
      <c r="B3554" s="42"/>
      <c r="C3554" s="42"/>
      <c r="D3554" s="28" t="str">
        <f aca="false">IF(OR($B3554="",$C3554=""),"",$C3554*IFERROR(INDEX(Setup!$C$47:$C$56,MATCH($B3554,Setup!$A$47:$A$56,0)),IFERROR(INDEX(Setup!$C$60:$C$89,MATCH($B3554,Setup!$A$60:$A$89,0)),"")))</f>
        <v/>
      </c>
      <c r="E3554" s="42"/>
      <c r="F3554" s="42"/>
    </row>
    <row r="3555" customFormat="false" ht="15" hidden="false" customHeight="true" outlineLevel="0" collapsed="false">
      <c r="A3555" s="42"/>
      <c r="B3555" s="42"/>
      <c r="C3555" s="42"/>
      <c r="D3555" s="28" t="str">
        <f aca="false">IF(OR($B3555="",$C3555=""),"",$C3555*IFERROR(INDEX(Setup!$C$47:$C$56,MATCH($B3555,Setup!$A$47:$A$56,0)),IFERROR(INDEX(Setup!$C$60:$C$89,MATCH($B3555,Setup!$A$60:$A$89,0)),"")))</f>
        <v/>
      </c>
      <c r="E3555" s="42"/>
      <c r="F3555" s="42"/>
    </row>
    <row r="3556" customFormat="false" ht="15" hidden="false" customHeight="true" outlineLevel="0" collapsed="false">
      <c r="A3556" s="42"/>
      <c r="B3556" s="42"/>
      <c r="C3556" s="42"/>
      <c r="D3556" s="28" t="str">
        <f aca="false">IF(OR($B3556="",$C3556=""),"",$C3556*IFERROR(INDEX(Setup!$C$47:$C$56,MATCH($B3556,Setup!$A$47:$A$56,0)),IFERROR(INDEX(Setup!$C$60:$C$89,MATCH($B3556,Setup!$A$60:$A$89,0)),"")))</f>
        <v/>
      </c>
      <c r="E3556" s="42"/>
      <c r="F3556" s="42"/>
    </row>
    <row r="3557" customFormat="false" ht="15" hidden="false" customHeight="true" outlineLevel="0" collapsed="false">
      <c r="A3557" s="42"/>
      <c r="B3557" s="42"/>
      <c r="C3557" s="42"/>
      <c r="D3557" s="28" t="str">
        <f aca="false">IF(OR($B3557="",$C3557=""),"",$C3557*IFERROR(INDEX(Setup!$C$47:$C$56,MATCH($B3557,Setup!$A$47:$A$56,0)),IFERROR(INDEX(Setup!$C$60:$C$89,MATCH($B3557,Setup!$A$60:$A$89,0)),"")))</f>
        <v/>
      </c>
      <c r="E3557" s="42"/>
      <c r="F3557" s="42"/>
    </row>
    <row r="3558" customFormat="false" ht="15" hidden="false" customHeight="true" outlineLevel="0" collapsed="false">
      <c r="A3558" s="42"/>
      <c r="B3558" s="42"/>
      <c r="C3558" s="42"/>
      <c r="D3558" s="28" t="str">
        <f aca="false">IF(OR($B3558="",$C3558=""),"",$C3558*IFERROR(INDEX(Setup!$C$47:$C$56,MATCH($B3558,Setup!$A$47:$A$56,0)),IFERROR(INDEX(Setup!$C$60:$C$89,MATCH($B3558,Setup!$A$60:$A$89,0)),"")))</f>
        <v/>
      </c>
      <c r="E3558" s="42"/>
      <c r="F3558" s="42"/>
    </row>
    <row r="3559" customFormat="false" ht="15" hidden="false" customHeight="true" outlineLevel="0" collapsed="false">
      <c r="A3559" s="42"/>
      <c r="B3559" s="42"/>
      <c r="C3559" s="42"/>
      <c r="D3559" s="28" t="str">
        <f aca="false">IF(OR($B3559="",$C3559=""),"",$C3559*IFERROR(INDEX(Setup!$C$47:$C$56,MATCH($B3559,Setup!$A$47:$A$56,0)),IFERROR(INDEX(Setup!$C$60:$C$89,MATCH($B3559,Setup!$A$60:$A$89,0)),"")))</f>
        <v/>
      </c>
      <c r="E3559" s="42"/>
      <c r="F3559" s="42"/>
    </row>
    <row r="3560" customFormat="false" ht="15" hidden="false" customHeight="true" outlineLevel="0" collapsed="false">
      <c r="A3560" s="42"/>
      <c r="B3560" s="42"/>
      <c r="C3560" s="42"/>
      <c r="D3560" s="28" t="str">
        <f aca="false">IF(OR($B3560="",$C3560=""),"",$C3560*IFERROR(INDEX(Setup!$C$47:$C$56,MATCH($B3560,Setup!$A$47:$A$56,0)),IFERROR(INDEX(Setup!$C$60:$C$89,MATCH($B3560,Setup!$A$60:$A$89,0)),"")))</f>
        <v/>
      </c>
      <c r="E3560" s="42"/>
      <c r="F3560" s="42"/>
    </row>
    <row r="3561" customFormat="false" ht="15" hidden="false" customHeight="true" outlineLevel="0" collapsed="false">
      <c r="A3561" s="42"/>
      <c r="B3561" s="42"/>
      <c r="C3561" s="42"/>
      <c r="D3561" s="28" t="str">
        <f aca="false">IF(OR($B3561="",$C3561=""),"",$C3561*IFERROR(INDEX(Setup!$C$47:$C$56,MATCH($B3561,Setup!$A$47:$A$56,0)),IFERROR(INDEX(Setup!$C$60:$C$89,MATCH($B3561,Setup!$A$60:$A$89,0)),"")))</f>
        <v/>
      </c>
      <c r="E3561" s="42"/>
      <c r="F3561" s="42"/>
    </row>
    <row r="3562" customFormat="false" ht="15" hidden="false" customHeight="true" outlineLevel="0" collapsed="false">
      <c r="A3562" s="42"/>
      <c r="B3562" s="42"/>
      <c r="C3562" s="42"/>
      <c r="D3562" s="28" t="str">
        <f aca="false">IF(OR($B3562="",$C3562=""),"",$C3562*IFERROR(INDEX(Setup!$C$47:$C$56,MATCH($B3562,Setup!$A$47:$A$56,0)),IFERROR(INDEX(Setup!$C$60:$C$89,MATCH($B3562,Setup!$A$60:$A$89,0)),"")))</f>
        <v/>
      </c>
      <c r="E3562" s="42"/>
      <c r="F3562" s="42"/>
    </row>
    <row r="3563" customFormat="false" ht="15" hidden="false" customHeight="true" outlineLevel="0" collapsed="false">
      <c r="A3563" s="42"/>
      <c r="B3563" s="42"/>
      <c r="C3563" s="42"/>
      <c r="D3563" s="28" t="str">
        <f aca="false">IF(OR($B3563="",$C3563=""),"",$C3563*IFERROR(INDEX(Setup!$C$47:$C$56,MATCH($B3563,Setup!$A$47:$A$56,0)),IFERROR(INDEX(Setup!$C$60:$C$89,MATCH($B3563,Setup!$A$60:$A$89,0)),"")))</f>
        <v/>
      </c>
      <c r="E3563" s="42"/>
      <c r="F3563" s="42"/>
    </row>
    <row r="3564" customFormat="false" ht="15" hidden="false" customHeight="true" outlineLevel="0" collapsed="false">
      <c r="A3564" s="42"/>
      <c r="B3564" s="42"/>
      <c r="C3564" s="42"/>
      <c r="D3564" s="28" t="str">
        <f aca="false">IF(OR($B3564="",$C3564=""),"",$C3564*IFERROR(INDEX(Setup!$C$47:$C$56,MATCH($B3564,Setup!$A$47:$A$56,0)),IFERROR(INDEX(Setup!$C$60:$C$89,MATCH($B3564,Setup!$A$60:$A$89,0)),"")))</f>
        <v/>
      </c>
      <c r="E3564" s="42"/>
      <c r="F3564" s="42"/>
    </row>
    <row r="3565" customFormat="false" ht="15" hidden="false" customHeight="true" outlineLevel="0" collapsed="false">
      <c r="A3565" s="42"/>
      <c r="B3565" s="42"/>
      <c r="C3565" s="42"/>
      <c r="D3565" s="28" t="str">
        <f aca="false">IF(OR($B3565="",$C3565=""),"",$C3565*IFERROR(INDEX(Setup!$C$47:$C$56,MATCH($B3565,Setup!$A$47:$A$56,0)),IFERROR(INDEX(Setup!$C$60:$C$89,MATCH($B3565,Setup!$A$60:$A$89,0)),"")))</f>
        <v/>
      </c>
      <c r="E3565" s="42"/>
      <c r="F3565" s="42"/>
    </row>
    <row r="3566" customFormat="false" ht="15" hidden="false" customHeight="true" outlineLevel="0" collapsed="false">
      <c r="A3566" s="42"/>
      <c r="B3566" s="42"/>
      <c r="C3566" s="42"/>
      <c r="D3566" s="28" t="str">
        <f aca="false">IF(OR($B3566="",$C3566=""),"",$C3566*IFERROR(INDEX(Setup!$C$47:$C$56,MATCH($B3566,Setup!$A$47:$A$56,0)),IFERROR(INDEX(Setup!$C$60:$C$89,MATCH($B3566,Setup!$A$60:$A$89,0)),"")))</f>
        <v/>
      </c>
      <c r="E3566" s="42"/>
      <c r="F3566" s="42"/>
    </row>
    <row r="3567" customFormat="false" ht="15" hidden="false" customHeight="true" outlineLevel="0" collapsed="false">
      <c r="A3567" s="42"/>
      <c r="B3567" s="42"/>
      <c r="C3567" s="42"/>
      <c r="D3567" s="28" t="str">
        <f aca="false">IF(OR($B3567="",$C3567=""),"",$C3567*IFERROR(INDEX(Setup!$C$47:$C$56,MATCH($B3567,Setup!$A$47:$A$56,0)),IFERROR(INDEX(Setup!$C$60:$C$89,MATCH($B3567,Setup!$A$60:$A$89,0)),"")))</f>
        <v/>
      </c>
      <c r="E3567" s="42"/>
      <c r="F3567" s="42"/>
    </row>
    <row r="3568" customFormat="false" ht="15" hidden="false" customHeight="true" outlineLevel="0" collapsed="false">
      <c r="A3568" s="42"/>
      <c r="B3568" s="42"/>
      <c r="C3568" s="42"/>
      <c r="D3568" s="28" t="str">
        <f aca="false">IF(OR($B3568="",$C3568=""),"",$C3568*IFERROR(INDEX(Setup!$C$47:$C$56,MATCH($B3568,Setup!$A$47:$A$56,0)),IFERROR(INDEX(Setup!$C$60:$C$89,MATCH($B3568,Setup!$A$60:$A$89,0)),"")))</f>
        <v/>
      </c>
      <c r="E3568" s="42"/>
      <c r="F3568" s="42"/>
    </row>
    <row r="3569" customFormat="false" ht="15" hidden="false" customHeight="true" outlineLevel="0" collapsed="false">
      <c r="A3569" s="42"/>
      <c r="B3569" s="42"/>
      <c r="C3569" s="42"/>
      <c r="D3569" s="28" t="str">
        <f aca="false">IF(OR($B3569="",$C3569=""),"",$C3569*IFERROR(INDEX(Setup!$C$47:$C$56,MATCH($B3569,Setup!$A$47:$A$56,0)),IFERROR(INDEX(Setup!$C$60:$C$89,MATCH($B3569,Setup!$A$60:$A$89,0)),"")))</f>
        <v/>
      </c>
      <c r="E3569" s="42"/>
      <c r="F3569" s="42"/>
    </row>
    <row r="3570" customFormat="false" ht="15" hidden="false" customHeight="true" outlineLevel="0" collapsed="false">
      <c r="A3570" s="42"/>
      <c r="B3570" s="42"/>
      <c r="C3570" s="42"/>
      <c r="D3570" s="28" t="str">
        <f aca="false">IF(OR($B3570="",$C3570=""),"",$C3570*IFERROR(INDEX(Setup!$C$47:$C$56,MATCH($B3570,Setup!$A$47:$A$56,0)),IFERROR(INDEX(Setup!$C$60:$C$89,MATCH($B3570,Setup!$A$60:$A$89,0)),"")))</f>
        <v/>
      </c>
      <c r="E3570" s="42"/>
      <c r="F3570" s="42"/>
    </row>
    <row r="3571" customFormat="false" ht="15" hidden="false" customHeight="true" outlineLevel="0" collapsed="false">
      <c r="A3571" s="42"/>
      <c r="B3571" s="42"/>
      <c r="C3571" s="42"/>
      <c r="D3571" s="28" t="str">
        <f aca="false">IF(OR($B3571="",$C3571=""),"",$C3571*IFERROR(INDEX(Setup!$C$47:$C$56,MATCH($B3571,Setup!$A$47:$A$56,0)),IFERROR(INDEX(Setup!$C$60:$C$89,MATCH($B3571,Setup!$A$60:$A$89,0)),"")))</f>
        <v/>
      </c>
      <c r="E3571" s="42"/>
      <c r="F3571" s="42"/>
    </row>
    <row r="3572" customFormat="false" ht="15" hidden="false" customHeight="true" outlineLevel="0" collapsed="false">
      <c r="A3572" s="42"/>
      <c r="B3572" s="42"/>
      <c r="C3572" s="42"/>
      <c r="D3572" s="28" t="str">
        <f aca="false">IF(OR($B3572="",$C3572=""),"",$C3572*IFERROR(INDEX(Setup!$C$47:$C$56,MATCH($B3572,Setup!$A$47:$A$56,0)),IFERROR(INDEX(Setup!$C$60:$C$89,MATCH($B3572,Setup!$A$60:$A$89,0)),"")))</f>
        <v/>
      </c>
      <c r="E3572" s="42"/>
      <c r="F3572" s="42"/>
    </row>
    <row r="3573" customFormat="false" ht="15" hidden="false" customHeight="true" outlineLevel="0" collapsed="false">
      <c r="A3573" s="42"/>
      <c r="B3573" s="42"/>
      <c r="C3573" s="42"/>
      <c r="D3573" s="28" t="str">
        <f aca="false">IF(OR($B3573="",$C3573=""),"",$C3573*IFERROR(INDEX(Setup!$C$47:$C$56,MATCH($B3573,Setup!$A$47:$A$56,0)),IFERROR(INDEX(Setup!$C$60:$C$89,MATCH($B3573,Setup!$A$60:$A$89,0)),"")))</f>
        <v/>
      </c>
      <c r="E3573" s="42"/>
      <c r="F3573" s="42"/>
    </row>
    <row r="3574" customFormat="false" ht="15" hidden="false" customHeight="true" outlineLevel="0" collapsed="false">
      <c r="A3574" s="42"/>
      <c r="B3574" s="42"/>
      <c r="C3574" s="42"/>
      <c r="D3574" s="28" t="str">
        <f aca="false">IF(OR($B3574="",$C3574=""),"",$C3574*IFERROR(INDEX(Setup!$C$47:$C$56,MATCH($B3574,Setup!$A$47:$A$56,0)),IFERROR(INDEX(Setup!$C$60:$C$89,MATCH($B3574,Setup!$A$60:$A$89,0)),"")))</f>
        <v/>
      </c>
      <c r="E3574" s="42"/>
      <c r="F3574" s="42"/>
    </row>
    <row r="3575" customFormat="false" ht="15" hidden="false" customHeight="true" outlineLevel="0" collapsed="false">
      <c r="A3575" s="42"/>
      <c r="B3575" s="42"/>
      <c r="C3575" s="42"/>
      <c r="D3575" s="28" t="str">
        <f aca="false">IF(OR($B3575="",$C3575=""),"",$C3575*IFERROR(INDEX(Setup!$C$47:$C$56,MATCH($B3575,Setup!$A$47:$A$56,0)),IFERROR(INDEX(Setup!$C$60:$C$89,MATCH($B3575,Setup!$A$60:$A$89,0)),"")))</f>
        <v/>
      </c>
      <c r="E3575" s="42"/>
      <c r="F3575" s="42"/>
    </row>
    <row r="3576" customFormat="false" ht="15" hidden="false" customHeight="true" outlineLevel="0" collapsed="false">
      <c r="A3576" s="42"/>
      <c r="B3576" s="42"/>
      <c r="C3576" s="42"/>
      <c r="D3576" s="28" t="str">
        <f aca="false">IF(OR($B3576="",$C3576=""),"",$C3576*IFERROR(INDEX(Setup!$C$47:$C$56,MATCH($B3576,Setup!$A$47:$A$56,0)),IFERROR(INDEX(Setup!$C$60:$C$89,MATCH($B3576,Setup!$A$60:$A$89,0)),"")))</f>
        <v/>
      </c>
      <c r="E3576" s="42"/>
      <c r="F3576" s="42"/>
    </row>
    <row r="3577" customFormat="false" ht="15" hidden="false" customHeight="true" outlineLevel="0" collapsed="false">
      <c r="A3577" s="42"/>
      <c r="B3577" s="42"/>
      <c r="C3577" s="42"/>
      <c r="D3577" s="28" t="str">
        <f aca="false">IF(OR($B3577="",$C3577=""),"",$C3577*IFERROR(INDEX(Setup!$C$47:$C$56,MATCH($B3577,Setup!$A$47:$A$56,0)),IFERROR(INDEX(Setup!$C$60:$C$89,MATCH($B3577,Setup!$A$60:$A$89,0)),"")))</f>
        <v/>
      </c>
      <c r="E3577" s="42"/>
      <c r="F3577" s="42"/>
    </row>
    <row r="3578" customFormat="false" ht="15" hidden="false" customHeight="true" outlineLevel="0" collapsed="false">
      <c r="A3578" s="42"/>
      <c r="B3578" s="42"/>
      <c r="C3578" s="42"/>
      <c r="D3578" s="28" t="str">
        <f aca="false">IF(OR($B3578="",$C3578=""),"",$C3578*IFERROR(INDEX(Setup!$C$47:$C$56,MATCH($B3578,Setup!$A$47:$A$56,0)),IFERROR(INDEX(Setup!$C$60:$C$89,MATCH($B3578,Setup!$A$60:$A$89,0)),"")))</f>
        <v/>
      </c>
      <c r="E3578" s="42"/>
      <c r="F3578" s="42"/>
    </row>
    <row r="3579" customFormat="false" ht="15" hidden="false" customHeight="true" outlineLevel="0" collapsed="false">
      <c r="A3579" s="42"/>
      <c r="B3579" s="42"/>
      <c r="C3579" s="42"/>
      <c r="D3579" s="28" t="str">
        <f aca="false">IF(OR($B3579="",$C3579=""),"",$C3579*IFERROR(INDEX(Setup!$C$47:$C$56,MATCH($B3579,Setup!$A$47:$A$56,0)),IFERROR(INDEX(Setup!$C$60:$C$89,MATCH($B3579,Setup!$A$60:$A$89,0)),"")))</f>
        <v/>
      </c>
      <c r="E3579" s="42"/>
      <c r="F3579" s="42"/>
    </row>
    <row r="3580" customFormat="false" ht="15" hidden="false" customHeight="true" outlineLevel="0" collapsed="false">
      <c r="A3580" s="42"/>
      <c r="B3580" s="42"/>
      <c r="C3580" s="42"/>
      <c r="D3580" s="28" t="str">
        <f aca="false">IF(OR($B3580="",$C3580=""),"",$C3580*IFERROR(INDEX(Setup!$C$47:$C$56,MATCH($B3580,Setup!$A$47:$A$56,0)),IFERROR(INDEX(Setup!$C$60:$C$89,MATCH($B3580,Setup!$A$60:$A$89,0)),"")))</f>
        <v/>
      </c>
      <c r="E3580" s="42"/>
      <c r="F3580" s="42"/>
    </row>
    <row r="3581" customFormat="false" ht="15" hidden="false" customHeight="true" outlineLevel="0" collapsed="false">
      <c r="A3581" s="42"/>
      <c r="B3581" s="42"/>
      <c r="C3581" s="42"/>
      <c r="D3581" s="28" t="str">
        <f aca="false">IF(OR($B3581="",$C3581=""),"",$C3581*IFERROR(INDEX(Setup!$C$47:$C$56,MATCH($B3581,Setup!$A$47:$A$56,0)),IFERROR(INDEX(Setup!$C$60:$C$89,MATCH($B3581,Setup!$A$60:$A$89,0)),"")))</f>
        <v/>
      </c>
      <c r="E3581" s="42"/>
      <c r="F3581" s="42"/>
    </row>
    <row r="3582" customFormat="false" ht="15" hidden="false" customHeight="true" outlineLevel="0" collapsed="false">
      <c r="A3582" s="42"/>
      <c r="B3582" s="42"/>
      <c r="C3582" s="42"/>
      <c r="D3582" s="28" t="str">
        <f aca="false">IF(OR($B3582="",$C3582=""),"",$C3582*IFERROR(INDEX(Setup!$C$47:$C$56,MATCH($B3582,Setup!$A$47:$A$56,0)),IFERROR(INDEX(Setup!$C$60:$C$89,MATCH($B3582,Setup!$A$60:$A$89,0)),"")))</f>
        <v/>
      </c>
      <c r="E3582" s="42"/>
      <c r="F3582" s="42"/>
    </row>
    <row r="3583" customFormat="false" ht="15" hidden="false" customHeight="true" outlineLevel="0" collapsed="false">
      <c r="A3583" s="42"/>
      <c r="B3583" s="42"/>
      <c r="C3583" s="42"/>
      <c r="D3583" s="28" t="str">
        <f aca="false">IF(OR($B3583="",$C3583=""),"",$C3583*IFERROR(INDEX(Setup!$C$47:$C$56,MATCH($B3583,Setup!$A$47:$A$56,0)),IFERROR(INDEX(Setup!$C$60:$C$89,MATCH($B3583,Setup!$A$60:$A$89,0)),"")))</f>
        <v/>
      </c>
      <c r="E3583" s="42"/>
      <c r="F3583" s="42"/>
    </row>
    <row r="3584" customFormat="false" ht="15" hidden="false" customHeight="true" outlineLevel="0" collapsed="false">
      <c r="A3584" s="42"/>
      <c r="B3584" s="42"/>
      <c r="C3584" s="42"/>
      <c r="D3584" s="28" t="str">
        <f aca="false">IF(OR($B3584="",$C3584=""),"",$C3584*IFERROR(INDEX(Setup!$C$47:$C$56,MATCH($B3584,Setup!$A$47:$A$56,0)),IFERROR(INDEX(Setup!$C$60:$C$89,MATCH($B3584,Setup!$A$60:$A$89,0)),"")))</f>
        <v/>
      </c>
      <c r="E3584" s="42"/>
      <c r="F3584" s="42"/>
    </row>
    <row r="3585" customFormat="false" ht="15" hidden="false" customHeight="true" outlineLevel="0" collapsed="false">
      <c r="A3585" s="42"/>
      <c r="B3585" s="42"/>
      <c r="C3585" s="42"/>
      <c r="D3585" s="28" t="str">
        <f aca="false">IF(OR($B3585="",$C3585=""),"",$C3585*IFERROR(INDEX(Setup!$C$47:$C$56,MATCH($B3585,Setup!$A$47:$A$56,0)),IFERROR(INDEX(Setup!$C$60:$C$89,MATCH($B3585,Setup!$A$60:$A$89,0)),"")))</f>
        <v/>
      </c>
      <c r="E3585" s="42"/>
      <c r="F3585" s="42"/>
    </row>
    <row r="3586" customFormat="false" ht="15" hidden="false" customHeight="true" outlineLevel="0" collapsed="false">
      <c r="A3586" s="42"/>
      <c r="B3586" s="42"/>
      <c r="C3586" s="42"/>
      <c r="D3586" s="28" t="str">
        <f aca="false">IF(OR($B3586="",$C3586=""),"",$C3586*IFERROR(INDEX(Setup!$C$47:$C$56,MATCH($B3586,Setup!$A$47:$A$56,0)),IFERROR(INDEX(Setup!$C$60:$C$89,MATCH($B3586,Setup!$A$60:$A$89,0)),"")))</f>
        <v/>
      </c>
      <c r="E3586" s="42"/>
      <c r="F3586" s="42"/>
    </row>
    <row r="3587" customFormat="false" ht="15" hidden="false" customHeight="true" outlineLevel="0" collapsed="false">
      <c r="A3587" s="42"/>
      <c r="B3587" s="42"/>
      <c r="C3587" s="42"/>
      <c r="D3587" s="28" t="str">
        <f aca="false">IF(OR($B3587="",$C3587=""),"",$C3587*IFERROR(INDEX(Setup!$C$47:$C$56,MATCH($B3587,Setup!$A$47:$A$56,0)),IFERROR(INDEX(Setup!$C$60:$C$89,MATCH($B3587,Setup!$A$60:$A$89,0)),"")))</f>
        <v/>
      </c>
      <c r="E3587" s="42"/>
      <c r="F3587" s="42"/>
    </row>
    <row r="3588" customFormat="false" ht="15" hidden="false" customHeight="true" outlineLevel="0" collapsed="false">
      <c r="A3588" s="42"/>
      <c r="B3588" s="42"/>
      <c r="C3588" s="42"/>
      <c r="D3588" s="28" t="str">
        <f aca="false">IF(OR($B3588="",$C3588=""),"",$C3588*IFERROR(INDEX(Setup!$C$47:$C$56,MATCH($B3588,Setup!$A$47:$A$56,0)),IFERROR(INDEX(Setup!$C$60:$C$89,MATCH($B3588,Setup!$A$60:$A$89,0)),"")))</f>
        <v/>
      </c>
      <c r="E3588" s="42"/>
      <c r="F3588" s="42"/>
    </row>
    <row r="3589" customFormat="false" ht="15" hidden="false" customHeight="true" outlineLevel="0" collapsed="false">
      <c r="A3589" s="42"/>
      <c r="B3589" s="42"/>
      <c r="C3589" s="42"/>
      <c r="D3589" s="28" t="str">
        <f aca="false">IF(OR($B3589="",$C3589=""),"",$C3589*IFERROR(INDEX(Setup!$C$47:$C$56,MATCH($B3589,Setup!$A$47:$A$56,0)),IFERROR(INDEX(Setup!$C$60:$C$89,MATCH($B3589,Setup!$A$60:$A$89,0)),"")))</f>
        <v/>
      </c>
      <c r="E3589" s="42"/>
      <c r="F3589" s="42"/>
    </row>
    <row r="3590" customFormat="false" ht="15" hidden="false" customHeight="true" outlineLevel="0" collapsed="false">
      <c r="A3590" s="42"/>
      <c r="B3590" s="42"/>
      <c r="C3590" s="42"/>
      <c r="D3590" s="28" t="str">
        <f aca="false">IF(OR($B3590="",$C3590=""),"",$C3590*IFERROR(INDEX(Setup!$C$47:$C$56,MATCH($B3590,Setup!$A$47:$A$56,0)),IFERROR(INDEX(Setup!$C$60:$C$89,MATCH($B3590,Setup!$A$60:$A$89,0)),"")))</f>
        <v/>
      </c>
      <c r="E3590" s="42"/>
      <c r="F3590" s="42"/>
    </row>
    <row r="3591" customFormat="false" ht="15" hidden="false" customHeight="true" outlineLevel="0" collapsed="false">
      <c r="A3591" s="42"/>
      <c r="B3591" s="42"/>
      <c r="C3591" s="42"/>
      <c r="D3591" s="28" t="str">
        <f aca="false">IF(OR($B3591="",$C3591=""),"",$C3591*IFERROR(INDEX(Setup!$C$47:$C$56,MATCH($B3591,Setup!$A$47:$A$56,0)),IFERROR(INDEX(Setup!$C$60:$C$89,MATCH($B3591,Setup!$A$60:$A$89,0)),"")))</f>
        <v/>
      </c>
      <c r="E3591" s="42"/>
      <c r="F3591" s="42"/>
    </row>
    <row r="3592" customFormat="false" ht="15" hidden="false" customHeight="true" outlineLevel="0" collapsed="false">
      <c r="A3592" s="42"/>
      <c r="B3592" s="42"/>
      <c r="C3592" s="42"/>
      <c r="D3592" s="28" t="str">
        <f aca="false">IF(OR($B3592="",$C3592=""),"",$C3592*IFERROR(INDEX(Setup!$C$47:$C$56,MATCH($B3592,Setup!$A$47:$A$56,0)),IFERROR(INDEX(Setup!$C$60:$C$89,MATCH($B3592,Setup!$A$60:$A$89,0)),"")))</f>
        <v/>
      </c>
      <c r="E3592" s="42"/>
      <c r="F3592" s="42"/>
    </row>
    <row r="3593" customFormat="false" ht="15" hidden="false" customHeight="true" outlineLevel="0" collapsed="false">
      <c r="A3593" s="42"/>
      <c r="B3593" s="42"/>
      <c r="C3593" s="42"/>
      <c r="D3593" s="28" t="str">
        <f aca="false">IF(OR($B3593="",$C3593=""),"",$C3593*IFERROR(INDEX(Setup!$C$47:$C$56,MATCH($B3593,Setup!$A$47:$A$56,0)),IFERROR(INDEX(Setup!$C$60:$C$89,MATCH($B3593,Setup!$A$60:$A$89,0)),"")))</f>
        <v/>
      </c>
      <c r="E3593" s="42"/>
      <c r="F3593" s="42"/>
    </row>
    <row r="3594" customFormat="false" ht="15" hidden="false" customHeight="true" outlineLevel="0" collapsed="false">
      <c r="A3594" s="42"/>
      <c r="B3594" s="42"/>
      <c r="C3594" s="42"/>
      <c r="D3594" s="28" t="str">
        <f aca="false">IF(OR($B3594="",$C3594=""),"",$C3594*IFERROR(INDEX(Setup!$C$47:$C$56,MATCH($B3594,Setup!$A$47:$A$56,0)),IFERROR(INDEX(Setup!$C$60:$C$89,MATCH($B3594,Setup!$A$60:$A$89,0)),"")))</f>
        <v/>
      </c>
      <c r="E3594" s="42"/>
      <c r="F3594" s="42"/>
    </row>
    <row r="3595" customFormat="false" ht="15" hidden="false" customHeight="true" outlineLevel="0" collapsed="false">
      <c r="A3595" s="42"/>
      <c r="B3595" s="42"/>
      <c r="C3595" s="42"/>
      <c r="D3595" s="28" t="str">
        <f aca="false">IF(OR($B3595="",$C3595=""),"",$C3595*IFERROR(INDEX(Setup!$C$47:$C$56,MATCH($B3595,Setup!$A$47:$A$56,0)),IFERROR(INDEX(Setup!$C$60:$C$89,MATCH($B3595,Setup!$A$60:$A$89,0)),"")))</f>
        <v/>
      </c>
      <c r="E3595" s="42"/>
      <c r="F3595" s="42"/>
    </row>
    <row r="3596" customFormat="false" ht="15" hidden="false" customHeight="true" outlineLevel="0" collapsed="false">
      <c r="A3596" s="42"/>
      <c r="B3596" s="42"/>
      <c r="C3596" s="42"/>
      <c r="D3596" s="28" t="str">
        <f aca="false">IF(OR($B3596="",$C3596=""),"",$C3596*IFERROR(INDEX(Setup!$C$47:$C$56,MATCH($B3596,Setup!$A$47:$A$56,0)),IFERROR(INDEX(Setup!$C$60:$C$89,MATCH($B3596,Setup!$A$60:$A$89,0)),"")))</f>
        <v/>
      </c>
      <c r="E3596" s="42"/>
      <c r="F3596" s="42"/>
    </row>
    <row r="3597" customFormat="false" ht="15" hidden="false" customHeight="true" outlineLevel="0" collapsed="false">
      <c r="A3597" s="42"/>
      <c r="B3597" s="42"/>
      <c r="C3597" s="42"/>
      <c r="D3597" s="28" t="str">
        <f aca="false">IF(OR($B3597="",$C3597=""),"",$C3597*IFERROR(INDEX(Setup!$C$47:$C$56,MATCH($B3597,Setup!$A$47:$A$56,0)),IFERROR(INDEX(Setup!$C$60:$C$89,MATCH($B3597,Setup!$A$60:$A$89,0)),"")))</f>
        <v/>
      </c>
      <c r="E3597" s="42"/>
      <c r="F3597" s="42"/>
    </row>
    <row r="3598" customFormat="false" ht="15" hidden="false" customHeight="true" outlineLevel="0" collapsed="false">
      <c r="A3598" s="42"/>
      <c r="B3598" s="42"/>
      <c r="C3598" s="42"/>
      <c r="D3598" s="28" t="str">
        <f aca="false">IF(OR($B3598="",$C3598=""),"",$C3598*IFERROR(INDEX(Setup!$C$47:$C$56,MATCH($B3598,Setup!$A$47:$A$56,0)),IFERROR(INDEX(Setup!$C$60:$C$89,MATCH($B3598,Setup!$A$60:$A$89,0)),"")))</f>
        <v/>
      </c>
      <c r="E3598" s="42"/>
      <c r="F3598" s="42"/>
    </row>
    <row r="3599" customFormat="false" ht="15" hidden="false" customHeight="true" outlineLevel="0" collapsed="false">
      <c r="A3599" s="42"/>
      <c r="B3599" s="42"/>
      <c r="C3599" s="42"/>
      <c r="D3599" s="28" t="str">
        <f aca="false">IF(OR($B3599="",$C3599=""),"",$C3599*IFERROR(INDEX(Setup!$C$47:$C$56,MATCH($B3599,Setup!$A$47:$A$56,0)),IFERROR(INDEX(Setup!$C$60:$C$89,MATCH($B3599,Setup!$A$60:$A$89,0)),"")))</f>
        <v/>
      </c>
      <c r="E3599" s="42"/>
      <c r="F3599" s="42"/>
    </row>
    <row r="3600" customFormat="false" ht="15" hidden="false" customHeight="true" outlineLevel="0" collapsed="false">
      <c r="A3600" s="42"/>
      <c r="B3600" s="42"/>
      <c r="C3600" s="42"/>
      <c r="D3600" s="28" t="str">
        <f aca="false">IF(OR($B3600="",$C3600=""),"",$C3600*IFERROR(INDEX(Setup!$C$47:$C$56,MATCH($B3600,Setup!$A$47:$A$56,0)),IFERROR(INDEX(Setup!$C$60:$C$89,MATCH($B3600,Setup!$A$60:$A$89,0)),"")))</f>
        <v/>
      </c>
      <c r="E3600" s="42"/>
      <c r="F3600" s="42"/>
    </row>
    <row r="3601" customFormat="false" ht="15" hidden="false" customHeight="true" outlineLevel="0" collapsed="false">
      <c r="A3601" s="42"/>
      <c r="B3601" s="42"/>
      <c r="C3601" s="42"/>
      <c r="D3601" s="28" t="str">
        <f aca="false">IF(OR($B3601="",$C3601=""),"",$C3601*IFERROR(INDEX(Setup!$C$47:$C$56,MATCH($B3601,Setup!$A$47:$A$56,0)),IFERROR(INDEX(Setup!$C$60:$C$89,MATCH($B3601,Setup!$A$60:$A$89,0)),"")))</f>
        <v/>
      </c>
      <c r="E3601" s="42"/>
      <c r="F3601" s="42"/>
    </row>
    <row r="3602" customFormat="false" ht="15" hidden="false" customHeight="true" outlineLevel="0" collapsed="false">
      <c r="A3602" s="42"/>
      <c r="B3602" s="42"/>
      <c r="C3602" s="42"/>
      <c r="D3602" s="28" t="str">
        <f aca="false">IF(OR($B3602="",$C3602=""),"",$C3602*IFERROR(INDEX(Setup!$C$47:$C$56,MATCH($B3602,Setup!$A$47:$A$56,0)),IFERROR(INDEX(Setup!$C$60:$C$89,MATCH($B3602,Setup!$A$60:$A$89,0)),"")))</f>
        <v/>
      </c>
      <c r="E3602" s="42"/>
      <c r="F3602" s="42"/>
    </row>
    <row r="3603" customFormat="false" ht="15" hidden="false" customHeight="true" outlineLevel="0" collapsed="false">
      <c r="A3603" s="42"/>
      <c r="B3603" s="42"/>
      <c r="C3603" s="42"/>
      <c r="D3603" s="28" t="str">
        <f aca="false">IF(OR($B3603="",$C3603=""),"",$C3603*IFERROR(INDEX(Setup!$C$47:$C$56,MATCH($B3603,Setup!$A$47:$A$56,0)),IFERROR(INDEX(Setup!$C$60:$C$89,MATCH($B3603,Setup!$A$60:$A$89,0)),"")))</f>
        <v/>
      </c>
      <c r="E3603" s="42"/>
      <c r="F3603" s="42"/>
    </row>
    <row r="3604" customFormat="false" ht="15" hidden="false" customHeight="true" outlineLevel="0" collapsed="false">
      <c r="A3604" s="42"/>
      <c r="B3604" s="42"/>
      <c r="C3604" s="42"/>
      <c r="D3604" s="28" t="str">
        <f aca="false">IF(OR($B3604="",$C3604=""),"",$C3604*IFERROR(INDEX(Setup!$C$47:$C$56,MATCH($B3604,Setup!$A$47:$A$56,0)),IFERROR(INDEX(Setup!$C$60:$C$89,MATCH($B3604,Setup!$A$60:$A$89,0)),"")))</f>
        <v/>
      </c>
      <c r="E3604" s="42"/>
      <c r="F3604" s="42"/>
    </row>
    <row r="3605" customFormat="false" ht="15" hidden="false" customHeight="true" outlineLevel="0" collapsed="false">
      <c r="A3605" s="42"/>
      <c r="B3605" s="42"/>
      <c r="C3605" s="42"/>
      <c r="D3605" s="28" t="str">
        <f aca="false">IF(OR($B3605="",$C3605=""),"",$C3605*IFERROR(INDEX(Setup!$C$47:$C$56,MATCH($B3605,Setup!$A$47:$A$56,0)),IFERROR(INDEX(Setup!$C$60:$C$89,MATCH($B3605,Setup!$A$60:$A$89,0)),"")))</f>
        <v/>
      </c>
      <c r="E3605" s="42"/>
      <c r="F3605" s="42"/>
    </row>
    <row r="3606" customFormat="false" ht="15" hidden="false" customHeight="true" outlineLevel="0" collapsed="false">
      <c r="A3606" s="42"/>
      <c r="B3606" s="42"/>
      <c r="C3606" s="42"/>
      <c r="D3606" s="28" t="str">
        <f aca="false">IF(OR($B3606="",$C3606=""),"",$C3606*IFERROR(INDEX(Setup!$C$47:$C$56,MATCH($B3606,Setup!$A$47:$A$56,0)),IFERROR(INDEX(Setup!$C$60:$C$89,MATCH($B3606,Setup!$A$60:$A$89,0)),"")))</f>
        <v/>
      </c>
      <c r="E3606" s="42"/>
      <c r="F3606" s="42"/>
    </row>
    <row r="3607" customFormat="false" ht="15" hidden="false" customHeight="true" outlineLevel="0" collapsed="false">
      <c r="A3607" s="42"/>
      <c r="B3607" s="42"/>
      <c r="C3607" s="42"/>
      <c r="D3607" s="28" t="str">
        <f aca="false">IF(OR($B3607="",$C3607=""),"",$C3607*IFERROR(INDEX(Setup!$C$47:$C$56,MATCH($B3607,Setup!$A$47:$A$56,0)),IFERROR(INDEX(Setup!$C$60:$C$89,MATCH($B3607,Setup!$A$60:$A$89,0)),"")))</f>
        <v/>
      </c>
      <c r="E3607" s="42"/>
      <c r="F3607" s="42"/>
    </row>
    <row r="3608" customFormat="false" ht="15" hidden="false" customHeight="true" outlineLevel="0" collapsed="false">
      <c r="A3608" s="42"/>
      <c r="B3608" s="42"/>
      <c r="C3608" s="42"/>
      <c r="D3608" s="28" t="str">
        <f aca="false">IF(OR($B3608="",$C3608=""),"",$C3608*IFERROR(INDEX(Setup!$C$47:$C$56,MATCH($B3608,Setup!$A$47:$A$56,0)),IFERROR(INDEX(Setup!$C$60:$C$89,MATCH($B3608,Setup!$A$60:$A$89,0)),"")))</f>
        <v/>
      </c>
      <c r="E3608" s="42"/>
      <c r="F3608" s="42"/>
    </row>
    <row r="3609" customFormat="false" ht="15" hidden="false" customHeight="true" outlineLevel="0" collapsed="false">
      <c r="A3609" s="42"/>
      <c r="B3609" s="42"/>
      <c r="C3609" s="42"/>
      <c r="D3609" s="28" t="str">
        <f aca="false">IF(OR($B3609="",$C3609=""),"",$C3609*IFERROR(INDEX(Setup!$C$47:$C$56,MATCH($B3609,Setup!$A$47:$A$56,0)),IFERROR(INDEX(Setup!$C$60:$C$89,MATCH($B3609,Setup!$A$60:$A$89,0)),"")))</f>
        <v/>
      </c>
      <c r="E3609" s="42"/>
      <c r="F3609" s="42"/>
    </row>
    <row r="3610" customFormat="false" ht="15" hidden="false" customHeight="true" outlineLevel="0" collapsed="false">
      <c r="A3610" s="42"/>
      <c r="B3610" s="42"/>
      <c r="C3610" s="42"/>
      <c r="D3610" s="28" t="str">
        <f aca="false">IF(OR($B3610="",$C3610=""),"",$C3610*IFERROR(INDEX(Setup!$C$47:$C$56,MATCH($B3610,Setup!$A$47:$A$56,0)),IFERROR(INDEX(Setup!$C$60:$C$89,MATCH($B3610,Setup!$A$60:$A$89,0)),"")))</f>
        <v/>
      </c>
      <c r="E3610" s="42"/>
      <c r="F3610" s="42"/>
    </row>
    <row r="3611" customFormat="false" ht="15" hidden="false" customHeight="true" outlineLevel="0" collapsed="false">
      <c r="A3611" s="42"/>
      <c r="B3611" s="42"/>
      <c r="C3611" s="42"/>
      <c r="D3611" s="28" t="str">
        <f aca="false">IF(OR($B3611="",$C3611=""),"",$C3611*IFERROR(INDEX(Setup!$C$47:$C$56,MATCH($B3611,Setup!$A$47:$A$56,0)),IFERROR(INDEX(Setup!$C$60:$C$89,MATCH($B3611,Setup!$A$60:$A$89,0)),"")))</f>
        <v/>
      </c>
      <c r="E3611" s="42"/>
      <c r="F3611" s="42"/>
    </row>
    <row r="3612" customFormat="false" ht="15" hidden="false" customHeight="true" outlineLevel="0" collapsed="false">
      <c r="A3612" s="42"/>
      <c r="B3612" s="42"/>
      <c r="C3612" s="42"/>
      <c r="D3612" s="28" t="str">
        <f aca="false">IF(OR($B3612="",$C3612=""),"",$C3612*IFERROR(INDEX(Setup!$C$47:$C$56,MATCH($B3612,Setup!$A$47:$A$56,0)),IFERROR(INDEX(Setup!$C$60:$C$89,MATCH($B3612,Setup!$A$60:$A$89,0)),"")))</f>
        <v/>
      </c>
      <c r="E3612" s="42"/>
      <c r="F3612" s="42"/>
    </row>
    <row r="3613" customFormat="false" ht="15" hidden="false" customHeight="true" outlineLevel="0" collapsed="false">
      <c r="A3613" s="42"/>
      <c r="B3613" s="42"/>
      <c r="C3613" s="42"/>
      <c r="D3613" s="28" t="str">
        <f aca="false">IF(OR($B3613="",$C3613=""),"",$C3613*IFERROR(INDEX(Setup!$C$47:$C$56,MATCH($B3613,Setup!$A$47:$A$56,0)),IFERROR(INDEX(Setup!$C$60:$C$89,MATCH($B3613,Setup!$A$60:$A$89,0)),"")))</f>
        <v/>
      </c>
      <c r="E3613" s="42"/>
      <c r="F3613" s="42"/>
    </row>
    <row r="3614" customFormat="false" ht="15" hidden="false" customHeight="true" outlineLevel="0" collapsed="false">
      <c r="A3614" s="42"/>
      <c r="B3614" s="42"/>
      <c r="C3614" s="42"/>
      <c r="D3614" s="28" t="str">
        <f aca="false">IF(OR($B3614="",$C3614=""),"",$C3614*IFERROR(INDEX(Setup!$C$47:$C$56,MATCH($B3614,Setup!$A$47:$A$56,0)),IFERROR(INDEX(Setup!$C$60:$C$89,MATCH($B3614,Setup!$A$60:$A$89,0)),"")))</f>
        <v/>
      </c>
      <c r="E3614" s="42"/>
      <c r="F3614" s="42"/>
    </row>
    <row r="3615" customFormat="false" ht="15" hidden="false" customHeight="true" outlineLevel="0" collapsed="false">
      <c r="A3615" s="42"/>
      <c r="B3615" s="42"/>
      <c r="C3615" s="42"/>
      <c r="D3615" s="28" t="str">
        <f aca="false">IF(OR($B3615="",$C3615=""),"",$C3615*IFERROR(INDEX(Setup!$C$47:$C$56,MATCH($B3615,Setup!$A$47:$A$56,0)),IFERROR(INDEX(Setup!$C$60:$C$89,MATCH($B3615,Setup!$A$60:$A$89,0)),"")))</f>
        <v/>
      </c>
      <c r="E3615" s="42"/>
      <c r="F3615" s="42"/>
    </row>
    <row r="3616" customFormat="false" ht="15" hidden="false" customHeight="true" outlineLevel="0" collapsed="false">
      <c r="A3616" s="42"/>
      <c r="B3616" s="42"/>
      <c r="C3616" s="42"/>
      <c r="D3616" s="28" t="str">
        <f aca="false">IF(OR($B3616="",$C3616=""),"",$C3616*IFERROR(INDEX(Setup!$C$47:$C$56,MATCH($B3616,Setup!$A$47:$A$56,0)),IFERROR(INDEX(Setup!$C$60:$C$89,MATCH($B3616,Setup!$A$60:$A$89,0)),"")))</f>
        <v/>
      </c>
      <c r="E3616" s="42"/>
      <c r="F3616" s="42"/>
    </row>
    <row r="3617" customFormat="false" ht="15" hidden="false" customHeight="true" outlineLevel="0" collapsed="false">
      <c r="A3617" s="42"/>
      <c r="B3617" s="42"/>
      <c r="C3617" s="42"/>
      <c r="D3617" s="28" t="str">
        <f aca="false">IF(OR($B3617="",$C3617=""),"",$C3617*IFERROR(INDEX(Setup!$C$47:$C$56,MATCH($B3617,Setup!$A$47:$A$56,0)),IFERROR(INDEX(Setup!$C$60:$C$89,MATCH($B3617,Setup!$A$60:$A$89,0)),"")))</f>
        <v/>
      </c>
      <c r="E3617" s="42"/>
      <c r="F3617" s="42"/>
    </row>
    <row r="3618" customFormat="false" ht="15" hidden="false" customHeight="true" outlineLevel="0" collapsed="false">
      <c r="A3618" s="42"/>
      <c r="B3618" s="42"/>
      <c r="C3618" s="42"/>
      <c r="D3618" s="28" t="str">
        <f aca="false">IF(OR($B3618="",$C3618=""),"",$C3618*IFERROR(INDEX(Setup!$C$47:$C$56,MATCH($B3618,Setup!$A$47:$A$56,0)),IFERROR(INDEX(Setup!$C$60:$C$89,MATCH($B3618,Setup!$A$60:$A$89,0)),"")))</f>
        <v/>
      </c>
      <c r="E3618" s="42"/>
      <c r="F3618" s="42"/>
    </row>
    <row r="3619" customFormat="false" ht="15" hidden="false" customHeight="true" outlineLevel="0" collapsed="false">
      <c r="A3619" s="42"/>
      <c r="B3619" s="42"/>
      <c r="C3619" s="42"/>
      <c r="D3619" s="28" t="str">
        <f aca="false">IF(OR($B3619="",$C3619=""),"",$C3619*IFERROR(INDEX(Setup!$C$47:$C$56,MATCH($B3619,Setup!$A$47:$A$56,0)),IFERROR(INDEX(Setup!$C$60:$C$89,MATCH($B3619,Setup!$A$60:$A$89,0)),"")))</f>
        <v/>
      </c>
      <c r="E3619" s="42"/>
      <c r="F3619" s="42"/>
    </row>
    <row r="3620" customFormat="false" ht="15" hidden="false" customHeight="true" outlineLevel="0" collapsed="false">
      <c r="A3620" s="42"/>
      <c r="B3620" s="42"/>
      <c r="C3620" s="42"/>
      <c r="D3620" s="28" t="str">
        <f aca="false">IF(OR($B3620="",$C3620=""),"",$C3620*IFERROR(INDEX(Setup!$C$47:$C$56,MATCH($B3620,Setup!$A$47:$A$56,0)),IFERROR(INDEX(Setup!$C$60:$C$89,MATCH($B3620,Setup!$A$60:$A$89,0)),"")))</f>
        <v/>
      </c>
      <c r="E3620" s="42"/>
      <c r="F3620" s="42"/>
    </row>
    <row r="3621" customFormat="false" ht="15" hidden="false" customHeight="true" outlineLevel="0" collapsed="false">
      <c r="A3621" s="42"/>
      <c r="B3621" s="42"/>
      <c r="C3621" s="42"/>
      <c r="D3621" s="28" t="str">
        <f aca="false">IF(OR($B3621="",$C3621=""),"",$C3621*IFERROR(INDEX(Setup!$C$47:$C$56,MATCH($B3621,Setup!$A$47:$A$56,0)),IFERROR(INDEX(Setup!$C$60:$C$89,MATCH($B3621,Setup!$A$60:$A$89,0)),"")))</f>
        <v/>
      </c>
      <c r="E3621" s="42"/>
      <c r="F3621" s="42"/>
    </row>
    <row r="3622" customFormat="false" ht="15" hidden="false" customHeight="true" outlineLevel="0" collapsed="false">
      <c r="A3622" s="42"/>
      <c r="B3622" s="42"/>
      <c r="C3622" s="42"/>
      <c r="D3622" s="28" t="str">
        <f aca="false">IF(OR($B3622="",$C3622=""),"",$C3622*IFERROR(INDEX(Setup!$C$47:$C$56,MATCH($B3622,Setup!$A$47:$A$56,0)),IFERROR(INDEX(Setup!$C$60:$C$89,MATCH($B3622,Setup!$A$60:$A$89,0)),"")))</f>
        <v/>
      </c>
      <c r="E3622" s="42"/>
      <c r="F3622" s="42"/>
    </row>
    <row r="3623" customFormat="false" ht="15" hidden="false" customHeight="true" outlineLevel="0" collapsed="false">
      <c r="A3623" s="42"/>
      <c r="B3623" s="42"/>
      <c r="C3623" s="42"/>
      <c r="D3623" s="28" t="str">
        <f aca="false">IF(OR($B3623="",$C3623=""),"",$C3623*IFERROR(INDEX(Setup!$C$47:$C$56,MATCH($B3623,Setup!$A$47:$A$56,0)),IFERROR(INDEX(Setup!$C$60:$C$89,MATCH($B3623,Setup!$A$60:$A$89,0)),"")))</f>
        <v/>
      </c>
      <c r="E3623" s="42"/>
      <c r="F3623" s="42"/>
    </row>
    <row r="3624" customFormat="false" ht="15" hidden="false" customHeight="true" outlineLevel="0" collapsed="false">
      <c r="A3624" s="42"/>
      <c r="B3624" s="42"/>
      <c r="C3624" s="42"/>
      <c r="D3624" s="28" t="str">
        <f aca="false">IF(OR($B3624="",$C3624=""),"",$C3624*IFERROR(INDEX(Setup!$C$47:$C$56,MATCH($B3624,Setup!$A$47:$A$56,0)),IFERROR(INDEX(Setup!$C$60:$C$89,MATCH($B3624,Setup!$A$60:$A$89,0)),"")))</f>
        <v/>
      </c>
      <c r="E3624" s="42"/>
      <c r="F3624" s="42"/>
    </row>
    <row r="3625" customFormat="false" ht="15" hidden="false" customHeight="true" outlineLevel="0" collapsed="false">
      <c r="A3625" s="42"/>
      <c r="B3625" s="42"/>
      <c r="C3625" s="42"/>
      <c r="D3625" s="28" t="str">
        <f aca="false">IF(OR($B3625="",$C3625=""),"",$C3625*IFERROR(INDEX(Setup!$C$47:$C$56,MATCH($B3625,Setup!$A$47:$A$56,0)),IFERROR(INDEX(Setup!$C$60:$C$89,MATCH($B3625,Setup!$A$60:$A$89,0)),"")))</f>
        <v/>
      </c>
      <c r="E3625" s="42"/>
      <c r="F3625" s="42"/>
    </row>
    <row r="3626" customFormat="false" ht="15" hidden="false" customHeight="true" outlineLevel="0" collapsed="false">
      <c r="A3626" s="42"/>
      <c r="B3626" s="42"/>
      <c r="C3626" s="42"/>
      <c r="D3626" s="28" t="str">
        <f aca="false">IF(OR($B3626="",$C3626=""),"",$C3626*IFERROR(INDEX(Setup!$C$47:$C$56,MATCH($B3626,Setup!$A$47:$A$56,0)),IFERROR(INDEX(Setup!$C$60:$C$89,MATCH($B3626,Setup!$A$60:$A$89,0)),"")))</f>
        <v/>
      </c>
      <c r="E3626" s="42"/>
      <c r="F3626" s="42"/>
    </row>
    <row r="3627" customFormat="false" ht="15" hidden="false" customHeight="true" outlineLevel="0" collapsed="false">
      <c r="A3627" s="42"/>
      <c r="B3627" s="42"/>
      <c r="C3627" s="42"/>
      <c r="D3627" s="28" t="str">
        <f aca="false">IF(OR($B3627="",$C3627=""),"",$C3627*IFERROR(INDEX(Setup!$C$47:$C$56,MATCH($B3627,Setup!$A$47:$A$56,0)),IFERROR(INDEX(Setup!$C$60:$C$89,MATCH($B3627,Setup!$A$60:$A$89,0)),"")))</f>
        <v/>
      </c>
      <c r="E3627" s="42"/>
      <c r="F3627" s="42"/>
    </row>
    <row r="3628" customFormat="false" ht="15" hidden="false" customHeight="true" outlineLevel="0" collapsed="false">
      <c r="A3628" s="42"/>
      <c r="B3628" s="42"/>
      <c r="C3628" s="42"/>
      <c r="D3628" s="28" t="str">
        <f aca="false">IF(OR($B3628="",$C3628=""),"",$C3628*IFERROR(INDEX(Setup!$C$47:$C$56,MATCH($B3628,Setup!$A$47:$A$56,0)),IFERROR(INDEX(Setup!$C$60:$C$89,MATCH($B3628,Setup!$A$60:$A$89,0)),"")))</f>
        <v/>
      </c>
      <c r="E3628" s="42"/>
      <c r="F3628" s="42"/>
    </row>
    <row r="3629" customFormat="false" ht="15" hidden="false" customHeight="true" outlineLevel="0" collapsed="false">
      <c r="A3629" s="42"/>
      <c r="B3629" s="42"/>
      <c r="C3629" s="42"/>
      <c r="D3629" s="28" t="str">
        <f aca="false">IF(OR($B3629="",$C3629=""),"",$C3629*IFERROR(INDEX(Setup!$C$47:$C$56,MATCH($B3629,Setup!$A$47:$A$56,0)),IFERROR(INDEX(Setup!$C$60:$C$89,MATCH($B3629,Setup!$A$60:$A$89,0)),"")))</f>
        <v/>
      </c>
      <c r="E3629" s="42"/>
      <c r="F3629" s="42"/>
    </row>
    <row r="3630" customFormat="false" ht="15" hidden="false" customHeight="true" outlineLevel="0" collapsed="false">
      <c r="A3630" s="42"/>
      <c r="B3630" s="42"/>
      <c r="C3630" s="42"/>
      <c r="D3630" s="28" t="str">
        <f aca="false">IF(OR($B3630="",$C3630=""),"",$C3630*IFERROR(INDEX(Setup!$C$47:$C$56,MATCH($B3630,Setup!$A$47:$A$56,0)),IFERROR(INDEX(Setup!$C$60:$C$89,MATCH($B3630,Setup!$A$60:$A$89,0)),"")))</f>
        <v/>
      </c>
      <c r="E3630" s="42"/>
      <c r="F3630" s="42"/>
    </row>
    <row r="3631" customFormat="false" ht="15" hidden="false" customHeight="true" outlineLevel="0" collapsed="false">
      <c r="A3631" s="42"/>
      <c r="B3631" s="42"/>
      <c r="C3631" s="42"/>
      <c r="D3631" s="28" t="str">
        <f aca="false">IF(OR($B3631="",$C3631=""),"",$C3631*IFERROR(INDEX(Setup!$C$47:$C$56,MATCH($B3631,Setup!$A$47:$A$56,0)),IFERROR(INDEX(Setup!$C$60:$C$89,MATCH($B3631,Setup!$A$60:$A$89,0)),"")))</f>
        <v/>
      </c>
      <c r="E3631" s="42"/>
      <c r="F3631" s="42"/>
    </row>
    <row r="3632" customFormat="false" ht="15" hidden="false" customHeight="true" outlineLevel="0" collapsed="false">
      <c r="A3632" s="42"/>
      <c r="B3632" s="42"/>
      <c r="C3632" s="42"/>
      <c r="D3632" s="28" t="str">
        <f aca="false">IF(OR($B3632="",$C3632=""),"",$C3632*IFERROR(INDEX(Setup!$C$47:$C$56,MATCH($B3632,Setup!$A$47:$A$56,0)),IFERROR(INDEX(Setup!$C$60:$C$89,MATCH($B3632,Setup!$A$60:$A$89,0)),"")))</f>
        <v/>
      </c>
      <c r="E3632" s="42"/>
      <c r="F3632" s="42"/>
    </row>
    <row r="3633" customFormat="false" ht="15" hidden="false" customHeight="true" outlineLevel="0" collapsed="false">
      <c r="A3633" s="42"/>
      <c r="B3633" s="42"/>
      <c r="C3633" s="42"/>
      <c r="D3633" s="28" t="str">
        <f aca="false">IF(OR($B3633="",$C3633=""),"",$C3633*IFERROR(INDEX(Setup!$C$47:$C$56,MATCH($B3633,Setup!$A$47:$A$56,0)),IFERROR(INDEX(Setup!$C$60:$C$89,MATCH($B3633,Setup!$A$60:$A$89,0)),"")))</f>
        <v/>
      </c>
      <c r="E3633" s="42"/>
      <c r="F3633" s="42"/>
    </row>
    <row r="3634" customFormat="false" ht="15" hidden="false" customHeight="true" outlineLevel="0" collapsed="false">
      <c r="A3634" s="42"/>
      <c r="B3634" s="42"/>
      <c r="C3634" s="42"/>
      <c r="D3634" s="28" t="str">
        <f aca="false">IF(OR($B3634="",$C3634=""),"",$C3634*IFERROR(INDEX(Setup!$C$47:$C$56,MATCH($B3634,Setup!$A$47:$A$56,0)),IFERROR(INDEX(Setup!$C$60:$C$89,MATCH($B3634,Setup!$A$60:$A$89,0)),"")))</f>
        <v/>
      </c>
      <c r="E3634" s="42"/>
      <c r="F3634" s="42"/>
    </row>
    <row r="3635" customFormat="false" ht="15" hidden="false" customHeight="true" outlineLevel="0" collapsed="false">
      <c r="A3635" s="42"/>
      <c r="B3635" s="42"/>
      <c r="C3635" s="42"/>
      <c r="D3635" s="28" t="str">
        <f aca="false">IF(OR($B3635="",$C3635=""),"",$C3635*IFERROR(INDEX(Setup!$C$47:$C$56,MATCH($B3635,Setup!$A$47:$A$56,0)),IFERROR(INDEX(Setup!$C$60:$C$89,MATCH($B3635,Setup!$A$60:$A$89,0)),"")))</f>
        <v/>
      </c>
      <c r="E3635" s="42"/>
      <c r="F3635" s="42"/>
    </row>
    <row r="3636" customFormat="false" ht="15" hidden="false" customHeight="true" outlineLevel="0" collapsed="false">
      <c r="A3636" s="42"/>
      <c r="B3636" s="42"/>
      <c r="C3636" s="42"/>
      <c r="D3636" s="28" t="str">
        <f aca="false">IF(OR($B3636="",$C3636=""),"",$C3636*IFERROR(INDEX(Setup!$C$47:$C$56,MATCH($B3636,Setup!$A$47:$A$56,0)),IFERROR(INDEX(Setup!$C$60:$C$89,MATCH($B3636,Setup!$A$60:$A$89,0)),"")))</f>
        <v/>
      </c>
      <c r="E3636" s="42"/>
      <c r="F3636" s="42"/>
    </row>
    <row r="3637" customFormat="false" ht="15" hidden="false" customHeight="true" outlineLevel="0" collapsed="false">
      <c r="A3637" s="42"/>
      <c r="B3637" s="42"/>
      <c r="C3637" s="42"/>
      <c r="D3637" s="28" t="str">
        <f aca="false">IF(OR($B3637="",$C3637=""),"",$C3637*IFERROR(INDEX(Setup!$C$47:$C$56,MATCH($B3637,Setup!$A$47:$A$56,0)),IFERROR(INDEX(Setup!$C$60:$C$89,MATCH($B3637,Setup!$A$60:$A$89,0)),"")))</f>
        <v/>
      </c>
      <c r="E3637" s="42"/>
      <c r="F3637" s="42"/>
    </row>
    <row r="3638" customFormat="false" ht="15" hidden="false" customHeight="true" outlineLevel="0" collapsed="false">
      <c r="A3638" s="42"/>
      <c r="B3638" s="42"/>
      <c r="C3638" s="42"/>
      <c r="D3638" s="28" t="str">
        <f aca="false">IF(OR($B3638="",$C3638=""),"",$C3638*IFERROR(INDEX(Setup!$C$47:$C$56,MATCH($B3638,Setup!$A$47:$A$56,0)),IFERROR(INDEX(Setup!$C$60:$C$89,MATCH($B3638,Setup!$A$60:$A$89,0)),"")))</f>
        <v/>
      </c>
      <c r="E3638" s="42"/>
      <c r="F3638" s="42"/>
    </row>
    <row r="3639" customFormat="false" ht="15" hidden="false" customHeight="true" outlineLevel="0" collapsed="false">
      <c r="A3639" s="42"/>
      <c r="B3639" s="42"/>
      <c r="C3639" s="42"/>
      <c r="D3639" s="28" t="str">
        <f aca="false">IF(OR($B3639="",$C3639=""),"",$C3639*IFERROR(INDEX(Setup!$C$47:$C$56,MATCH($B3639,Setup!$A$47:$A$56,0)),IFERROR(INDEX(Setup!$C$60:$C$89,MATCH($B3639,Setup!$A$60:$A$89,0)),"")))</f>
        <v/>
      </c>
      <c r="E3639" s="42"/>
      <c r="F3639" s="42"/>
    </row>
    <row r="3640" customFormat="false" ht="15" hidden="false" customHeight="true" outlineLevel="0" collapsed="false">
      <c r="A3640" s="42"/>
      <c r="B3640" s="42"/>
      <c r="C3640" s="42"/>
      <c r="D3640" s="28" t="str">
        <f aca="false">IF(OR($B3640="",$C3640=""),"",$C3640*IFERROR(INDEX(Setup!$C$47:$C$56,MATCH($B3640,Setup!$A$47:$A$56,0)),IFERROR(INDEX(Setup!$C$60:$C$89,MATCH($B3640,Setup!$A$60:$A$89,0)),"")))</f>
        <v/>
      </c>
      <c r="E3640" s="42"/>
      <c r="F3640" s="42"/>
    </row>
    <row r="3641" customFormat="false" ht="15" hidden="false" customHeight="true" outlineLevel="0" collapsed="false">
      <c r="A3641" s="42"/>
      <c r="B3641" s="42"/>
      <c r="C3641" s="42"/>
      <c r="D3641" s="28" t="str">
        <f aca="false">IF(OR($B3641="",$C3641=""),"",$C3641*IFERROR(INDEX(Setup!$C$47:$C$56,MATCH($B3641,Setup!$A$47:$A$56,0)),IFERROR(INDEX(Setup!$C$60:$C$89,MATCH($B3641,Setup!$A$60:$A$89,0)),"")))</f>
        <v/>
      </c>
      <c r="E3641" s="42"/>
      <c r="F3641" s="42"/>
    </row>
    <row r="3642" customFormat="false" ht="15" hidden="false" customHeight="true" outlineLevel="0" collapsed="false">
      <c r="A3642" s="42"/>
      <c r="B3642" s="42"/>
      <c r="C3642" s="42"/>
      <c r="D3642" s="28" t="str">
        <f aca="false">IF(OR($B3642="",$C3642=""),"",$C3642*IFERROR(INDEX(Setup!$C$47:$C$56,MATCH($B3642,Setup!$A$47:$A$56,0)),IFERROR(INDEX(Setup!$C$60:$C$89,MATCH($B3642,Setup!$A$60:$A$89,0)),"")))</f>
        <v/>
      </c>
      <c r="E3642" s="42"/>
      <c r="F3642" s="42"/>
    </row>
    <row r="3643" customFormat="false" ht="15" hidden="false" customHeight="true" outlineLevel="0" collapsed="false">
      <c r="A3643" s="42"/>
      <c r="B3643" s="42"/>
      <c r="C3643" s="42"/>
      <c r="D3643" s="28" t="str">
        <f aca="false">IF(OR($B3643="",$C3643=""),"",$C3643*IFERROR(INDEX(Setup!$C$47:$C$56,MATCH($B3643,Setup!$A$47:$A$56,0)),IFERROR(INDEX(Setup!$C$60:$C$89,MATCH($B3643,Setup!$A$60:$A$89,0)),"")))</f>
        <v/>
      </c>
      <c r="E3643" s="42"/>
      <c r="F3643" s="42"/>
    </row>
    <row r="3644" customFormat="false" ht="15" hidden="false" customHeight="true" outlineLevel="0" collapsed="false">
      <c r="A3644" s="42"/>
      <c r="B3644" s="42"/>
      <c r="C3644" s="42"/>
      <c r="D3644" s="28" t="str">
        <f aca="false">IF(OR($B3644="",$C3644=""),"",$C3644*IFERROR(INDEX(Setup!$C$47:$C$56,MATCH($B3644,Setup!$A$47:$A$56,0)),IFERROR(INDEX(Setup!$C$60:$C$89,MATCH($B3644,Setup!$A$60:$A$89,0)),"")))</f>
        <v/>
      </c>
      <c r="E3644" s="42"/>
      <c r="F3644" s="42"/>
    </row>
    <row r="3645" customFormat="false" ht="15" hidden="false" customHeight="true" outlineLevel="0" collapsed="false">
      <c r="A3645" s="42"/>
      <c r="B3645" s="42"/>
      <c r="C3645" s="42"/>
      <c r="D3645" s="28" t="str">
        <f aca="false">IF(OR($B3645="",$C3645=""),"",$C3645*IFERROR(INDEX(Setup!$C$47:$C$56,MATCH($B3645,Setup!$A$47:$A$56,0)),IFERROR(INDEX(Setup!$C$60:$C$89,MATCH($B3645,Setup!$A$60:$A$89,0)),"")))</f>
        <v/>
      </c>
      <c r="E3645" s="42"/>
      <c r="F3645" s="42"/>
    </row>
    <row r="3646" customFormat="false" ht="15" hidden="false" customHeight="true" outlineLevel="0" collapsed="false">
      <c r="A3646" s="42"/>
      <c r="B3646" s="42"/>
      <c r="C3646" s="42"/>
      <c r="D3646" s="28" t="str">
        <f aca="false">IF(OR($B3646="",$C3646=""),"",$C3646*IFERROR(INDEX(Setup!$C$47:$C$56,MATCH($B3646,Setup!$A$47:$A$56,0)),IFERROR(INDEX(Setup!$C$60:$C$89,MATCH($B3646,Setup!$A$60:$A$89,0)),"")))</f>
        <v/>
      </c>
      <c r="E3646" s="42"/>
      <c r="F3646" s="42"/>
    </row>
    <row r="3647" customFormat="false" ht="15" hidden="false" customHeight="true" outlineLevel="0" collapsed="false">
      <c r="A3647" s="42"/>
      <c r="B3647" s="42"/>
      <c r="C3647" s="42"/>
      <c r="D3647" s="28" t="str">
        <f aca="false">IF(OR($B3647="",$C3647=""),"",$C3647*IFERROR(INDEX(Setup!$C$47:$C$56,MATCH($B3647,Setup!$A$47:$A$56,0)),IFERROR(INDEX(Setup!$C$60:$C$89,MATCH($B3647,Setup!$A$60:$A$89,0)),"")))</f>
        <v/>
      </c>
      <c r="E3647" s="42"/>
      <c r="F3647" s="42"/>
    </row>
    <row r="3648" customFormat="false" ht="15" hidden="false" customHeight="true" outlineLevel="0" collapsed="false">
      <c r="A3648" s="42"/>
      <c r="B3648" s="42"/>
      <c r="C3648" s="42"/>
      <c r="D3648" s="28" t="str">
        <f aca="false">IF(OR($B3648="",$C3648=""),"",$C3648*IFERROR(INDEX(Setup!$C$47:$C$56,MATCH($B3648,Setup!$A$47:$A$56,0)),IFERROR(INDEX(Setup!$C$60:$C$89,MATCH($B3648,Setup!$A$60:$A$89,0)),"")))</f>
        <v/>
      </c>
      <c r="E3648" s="42"/>
      <c r="F3648" s="42"/>
    </row>
    <row r="3649" customFormat="false" ht="15" hidden="false" customHeight="true" outlineLevel="0" collapsed="false">
      <c r="A3649" s="42"/>
      <c r="B3649" s="42"/>
      <c r="C3649" s="42"/>
      <c r="D3649" s="28" t="str">
        <f aca="false">IF(OR($B3649="",$C3649=""),"",$C3649*IFERROR(INDEX(Setup!$C$47:$C$56,MATCH($B3649,Setup!$A$47:$A$56,0)),IFERROR(INDEX(Setup!$C$60:$C$89,MATCH($B3649,Setup!$A$60:$A$89,0)),"")))</f>
        <v/>
      </c>
      <c r="E3649" s="42"/>
      <c r="F3649" s="42"/>
    </row>
    <row r="3650" customFormat="false" ht="15" hidden="false" customHeight="true" outlineLevel="0" collapsed="false">
      <c r="A3650" s="42"/>
      <c r="B3650" s="42"/>
      <c r="C3650" s="42"/>
      <c r="D3650" s="28" t="str">
        <f aca="false">IF(OR($B3650="",$C3650=""),"",$C3650*IFERROR(INDEX(Setup!$C$47:$C$56,MATCH($B3650,Setup!$A$47:$A$56,0)),IFERROR(INDEX(Setup!$C$60:$C$89,MATCH($B3650,Setup!$A$60:$A$89,0)),"")))</f>
        <v/>
      </c>
      <c r="E3650" s="42"/>
      <c r="F3650" s="42"/>
    </row>
    <row r="3651" customFormat="false" ht="15" hidden="false" customHeight="true" outlineLevel="0" collapsed="false">
      <c r="A3651" s="42"/>
      <c r="B3651" s="42"/>
      <c r="C3651" s="42"/>
      <c r="D3651" s="28" t="str">
        <f aca="false">IF(OR($B3651="",$C3651=""),"",$C3651*IFERROR(INDEX(Setup!$C$47:$C$56,MATCH($B3651,Setup!$A$47:$A$56,0)),IFERROR(INDEX(Setup!$C$60:$C$89,MATCH($B3651,Setup!$A$60:$A$89,0)),"")))</f>
        <v/>
      </c>
      <c r="E3651" s="42"/>
      <c r="F3651" s="42"/>
    </row>
    <row r="3652" customFormat="false" ht="15" hidden="false" customHeight="true" outlineLevel="0" collapsed="false">
      <c r="A3652" s="42"/>
      <c r="B3652" s="42"/>
      <c r="C3652" s="42"/>
      <c r="D3652" s="28" t="str">
        <f aca="false">IF(OR($B3652="",$C3652=""),"",$C3652*IFERROR(INDEX(Setup!$C$47:$C$56,MATCH($B3652,Setup!$A$47:$A$56,0)),IFERROR(INDEX(Setup!$C$60:$C$89,MATCH($B3652,Setup!$A$60:$A$89,0)),"")))</f>
        <v/>
      </c>
      <c r="E3652" s="42"/>
      <c r="F3652" s="42"/>
    </row>
    <row r="3653" customFormat="false" ht="15" hidden="false" customHeight="true" outlineLevel="0" collapsed="false">
      <c r="A3653" s="42"/>
      <c r="B3653" s="42"/>
      <c r="C3653" s="42"/>
      <c r="D3653" s="28" t="str">
        <f aca="false">IF(OR($B3653="",$C3653=""),"",$C3653*IFERROR(INDEX(Setup!$C$47:$C$56,MATCH($B3653,Setup!$A$47:$A$56,0)),IFERROR(INDEX(Setup!$C$60:$C$89,MATCH($B3653,Setup!$A$60:$A$89,0)),"")))</f>
        <v/>
      </c>
      <c r="E3653" s="42"/>
      <c r="F3653" s="42"/>
    </row>
    <row r="3654" customFormat="false" ht="15" hidden="false" customHeight="true" outlineLevel="0" collapsed="false">
      <c r="A3654" s="42"/>
      <c r="B3654" s="42"/>
      <c r="C3654" s="42"/>
      <c r="D3654" s="28" t="str">
        <f aca="false">IF(OR($B3654="",$C3654=""),"",$C3654*IFERROR(INDEX(Setup!$C$47:$C$56,MATCH($B3654,Setup!$A$47:$A$56,0)),IFERROR(INDEX(Setup!$C$60:$C$89,MATCH($B3654,Setup!$A$60:$A$89,0)),"")))</f>
        <v/>
      </c>
      <c r="E3654" s="42"/>
      <c r="F3654" s="42"/>
    </row>
    <row r="3655" customFormat="false" ht="15" hidden="false" customHeight="true" outlineLevel="0" collapsed="false">
      <c r="A3655" s="42"/>
      <c r="B3655" s="42"/>
      <c r="C3655" s="42"/>
      <c r="D3655" s="28" t="str">
        <f aca="false">IF(OR($B3655="",$C3655=""),"",$C3655*IFERROR(INDEX(Setup!$C$47:$C$56,MATCH($B3655,Setup!$A$47:$A$56,0)),IFERROR(INDEX(Setup!$C$60:$C$89,MATCH($B3655,Setup!$A$60:$A$89,0)),"")))</f>
        <v/>
      </c>
      <c r="E3655" s="42"/>
      <c r="F3655" s="42"/>
    </row>
    <row r="3656" customFormat="false" ht="15" hidden="false" customHeight="true" outlineLevel="0" collapsed="false">
      <c r="A3656" s="42"/>
      <c r="B3656" s="42"/>
      <c r="C3656" s="42"/>
      <c r="D3656" s="28" t="str">
        <f aca="false">IF(OR($B3656="",$C3656=""),"",$C3656*IFERROR(INDEX(Setup!$C$47:$C$56,MATCH($B3656,Setup!$A$47:$A$56,0)),IFERROR(INDEX(Setup!$C$60:$C$89,MATCH($B3656,Setup!$A$60:$A$89,0)),"")))</f>
        <v/>
      </c>
      <c r="E3656" s="42"/>
      <c r="F3656" s="42"/>
    </row>
    <row r="3657" customFormat="false" ht="15" hidden="false" customHeight="true" outlineLevel="0" collapsed="false">
      <c r="A3657" s="42"/>
      <c r="B3657" s="42"/>
      <c r="C3657" s="42"/>
      <c r="D3657" s="28" t="str">
        <f aca="false">IF(OR($B3657="",$C3657=""),"",$C3657*IFERROR(INDEX(Setup!$C$47:$C$56,MATCH($B3657,Setup!$A$47:$A$56,0)),IFERROR(INDEX(Setup!$C$60:$C$89,MATCH($B3657,Setup!$A$60:$A$89,0)),"")))</f>
        <v/>
      </c>
      <c r="E3657" s="42"/>
      <c r="F3657" s="42"/>
    </row>
    <row r="3658" customFormat="false" ht="15" hidden="false" customHeight="true" outlineLevel="0" collapsed="false">
      <c r="A3658" s="42"/>
      <c r="B3658" s="42"/>
      <c r="C3658" s="42"/>
      <c r="D3658" s="28" t="str">
        <f aca="false">IF(OR($B3658="",$C3658=""),"",$C3658*IFERROR(INDEX(Setup!$C$47:$C$56,MATCH($B3658,Setup!$A$47:$A$56,0)),IFERROR(INDEX(Setup!$C$60:$C$89,MATCH($B3658,Setup!$A$60:$A$89,0)),"")))</f>
        <v/>
      </c>
      <c r="E3658" s="42"/>
      <c r="F3658" s="42"/>
    </row>
    <row r="3659" customFormat="false" ht="15" hidden="false" customHeight="true" outlineLevel="0" collapsed="false">
      <c r="A3659" s="42"/>
      <c r="B3659" s="42"/>
      <c r="C3659" s="42"/>
      <c r="D3659" s="28" t="str">
        <f aca="false">IF(OR($B3659="",$C3659=""),"",$C3659*IFERROR(INDEX(Setup!$C$47:$C$56,MATCH($B3659,Setup!$A$47:$A$56,0)),IFERROR(INDEX(Setup!$C$60:$C$89,MATCH($B3659,Setup!$A$60:$A$89,0)),"")))</f>
        <v/>
      </c>
      <c r="E3659" s="42"/>
      <c r="F3659" s="42"/>
    </row>
    <row r="3660" customFormat="false" ht="15" hidden="false" customHeight="true" outlineLevel="0" collapsed="false">
      <c r="A3660" s="42"/>
      <c r="B3660" s="42"/>
      <c r="C3660" s="42"/>
      <c r="D3660" s="28" t="str">
        <f aca="false">IF(OR($B3660="",$C3660=""),"",$C3660*IFERROR(INDEX(Setup!$C$47:$C$56,MATCH($B3660,Setup!$A$47:$A$56,0)),IFERROR(INDEX(Setup!$C$60:$C$89,MATCH($B3660,Setup!$A$60:$A$89,0)),"")))</f>
        <v/>
      </c>
      <c r="E3660" s="42"/>
      <c r="F3660" s="42"/>
    </row>
    <row r="3661" customFormat="false" ht="15" hidden="false" customHeight="true" outlineLevel="0" collapsed="false">
      <c r="A3661" s="42"/>
      <c r="B3661" s="42"/>
      <c r="C3661" s="42"/>
      <c r="D3661" s="28" t="str">
        <f aca="false">IF(OR($B3661="",$C3661=""),"",$C3661*IFERROR(INDEX(Setup!$C$47:$C$56,MATCH($B3661,Setup!$A$47:$A$56,0)),IFERROR(INDEX(Setup!$C$60:$C$89,MATCH($B3661,Setup!$A$60:$A$89,0)),"")))</f>
        <v/>
      </c>
      <c r="E3661" s="42"/>
      <c r="F3661" s="42"/>
    </row>
    <row r="3662" customFormat="false" ht="15" hidden="false" customHeight="true" outlineLevel="0" collapsed="false">
      <c r="A3662" s="42"/>
      <c r="B3662" s="42"/>
      <c r="C3662" s="42"/>
      <c r="D3662" s="28" t="str">
        <f aca="false">IF(OR($B3662="",$C3662=""),"",$C3662*IFERROR(INDEX(Setup!$C$47:$C$56,MATCH($B3662,Setup!$A$47:$A$56,0)),IFERROR(INDEX(Setup!$C$60:$C$89,MATCH($B3662,Setup!$A$60:$A$89,0)),"")))</f>
        <v/>
      </c>
      <c r="E3662" s="42"/>
      <c r="F3662" s="42"/>
    </row>
    <row r="3663" customFormat="false" ht="15" hidden="false" customHeight="true" outlineLevel="0" collapsed="false">
      <c r="A3663" s="42"/>
      <c r="B3663" s="42"/>
      <c r="C3663" s="42"/>
      <c r="D3663" s="28" t="str">
        <f aca="false">IF(OR($B3663="",$C3663=""),"",$C3663*IFERROR(INDEX(Setup!$C$47:$C$56,MATCH($B3663,Setup!$A$47:$A$56,0)),IFERROR(INDEX(Setup!$C$60:$C$89,MATCH($B3663,Setup!$A$60:$A$89,0)),"")))</f>
        <v/>
      </c>
      <c r="E3663" s="42"/>
      <c r="F3663" s="42"/>
    </row>
    <row r="3664" customFormat="false" ht="15" hidden="false" customHeight="true" outlineLevel="0" collapsed="false">
      <c r="A3664" s="42"/>
      <c r="B3664" s="42"/>
      <c r="C3664" s="42"/>
      <c r="D3664" s="28" t="str">
        <f aca="false">IF(OR($B3664="",$C3664=""),"",$C3664*IFERROR(INDEX(Setup!$C$47:$C$56,MATCH($B3664,Setup!$A$47:$A$56,0)),IFERROR(INDEX(Setup!$C$60:$C$89,MATCH($B3664,Setup!$A$60:$A$89,0)),"")))</f>
        <v/>
      </c>
      <c r="E3664" s="42"/>
      <c r="F3664" s="42"/>
    </row>
    <row r="3665" customFormat="false" ht="15" hidden="false" customHeight="true" outlineLevel="0" collapsed="false">
      <c r="A3665" s="42"/>
      <c r="B3665" s="42"/>
      <c r="C3665" s="42"/>
      <c r="D3665" s="28" t="str">
        <f aca="false">IF(OR($B3665="",$C3665=""),"",$C3665*IFERROR(INDEX(Setup!$C$47:$C$56,MATCH($B3665,Setup!$A$47:$A$56,0)),IFERROR(INDEX(Setup!$C$60:$C$89,MATCH($B3665,Setup!$A$60:$A$89,0)),"")))</f>
        <v/>
      </c>
      <c r="E3665" s="42"/>
      <c r="F3665" s="42"/>
    </row>
    <row r="3666" customFormat="false" ht="15" hidden="false" customHeight="true" outlineLevel="0" collapsed="false">
      <c r="A3666" s="42"/>
      <c r="B3666" s="42"/>
      <c r="C3666" s="42"/>
      <c r="D3666" s="28" t="str">
        <f aca="false">IF(OR($B3666="",$C3666=""),"",$C3666*IFERROR(INDEX(Setup!$C$47:$C$56,MATCH($B3666,Setup!$A$47:$A$56,0)),IFERROR(INDEX(Setup!$C$60:$C$89,MATCH($B3666,Setup!$A$60:$A$89,0)),"")))</f>
        <v/>
      </c>
      <c r="E3666" s="42"/>
      <c r="F3666" s="42"/>
    </row>
    <row r="3667" customFormat="false" ht="15" hidden="false" customHeight="true" outlineLevel="0" collapsed="false">
      <c r="A3667" s="42"/>
      <c r="B3667" s="42"/>
      <c r="C3667" s="42"/>
      <c r="D3667" s="28" t="str">
        <f aca="false">IF(OR($B3667="",$C3667=""),"",$C3667*IFERROR(INDEX(Setup!$C$47:$C$56,MATCH($B3667,Setup!$A$47:$A$56,0)),IFERROR(INDEX(Setup!$C$60:$C$89,MATCH($B3667,Setup!$A$60:$A$89,0)),"")))</f>
        <v/>
      </c>
      <c r="E3667" s="42"/>
      <c r="F3667" s="42"/>
    </row>
    <row r="3668" customFormat="false" ht="15" hidden="false" customHeight="true" outlineLevel="0" collapsed="false">
      <c r="A3668" s="42"/>
      <c r="B3668" s="42"/>
      <c r="C3668" s="42"/>
      <c r="D3668" s="28" t="str">
        <f aca="false">IF(OR($B3668="",$C3668=""),"",$C3668*IFERROR(INDEX(Setup!$C$47:$C$56,MATCH($B3668,Setup!$A$47:$A$56,0)),IFERROR(INDEX(Setup!$C$60:$C$89,MATCH($B3668,Setup!$A$60:$A$89,0)),"")))</f>
        <v/>
      </c>
      <c r="E3668" s="42"/>
      <c r="F3668" s="42"/>
    </row>
    <row r="3669" customFormat="false" ht="15" hidden="false" customHeight="true" outlineLevel="0" collapsed="false">
      <c r="A3669" s="42"/>
      <c r="B3669" s="42"/>
      <c r="C3669" s="42"/>
      <c r="D3669" s="28" t="str">
        <f aca="false">IF(OR($B3669="",$C3669=""),"",$C3669*IFERROR(INDEX(Setup!$C$47:$C$56,MATCH($B3669,Setup!$A$47:$A$56,0)),IFERROR(INDEX(Setup!$C$60:$C$89,MATCH($B3669,Setup!$A$60:$A$89,0)),"")))</f>
        <v/>
      </c>
      <c r="E3669" s="42"/>
      <c r="F3669" s="42"/>
    </row>
    <row r="3670" customFormat="false" ht="15" hidden="false" customHeight="true" outlineLevel="0" collapsed="false">
      <c r="A3670" s="42"/>
      <c r="B3670" s="42"/>
      <c r="C3670" s="42"/>
      <c r="D3670" s="28" t="str">
        <f aca="false">IF(OR($B3670="",$C3670=""),"",$C3670*IFERROR(INDEX(Setup!$C$47:$C$56,MATCH($B3670,Setup!$A$47:$A$56,0)),IFERROR(INDEX(Setup!$C$60:$C$89,MATCH($B3670,Setup!$A$60:$A$89,0)),"")))</f>
        <v/>
      </c>
      <c r="E3670" s="42"/>
      <c r="F3670" s="42"/>
    </row>
    <row r="3671" customFormat="false" ht="15" hidden="false" customHeight="true" outlineLevel="0" collapsed="false">
      <c r="A3671" s="42"/>
      <c r="B3671" s="42"/>
      <c r="C3671" s="42"/>
      <c r="D3671" s="28" t="str">
        <f aca="false">IF(OR($B3671="",$C3671=""),"",$C3671*IFERROR(INDEX(Setup!$C$47:$C$56,MATCH($B3671,Setup!$A$47:$A$56,0)),IFERROR(INDEX(Setup!$C$60:$C$89,MATCH($B3671,Setup!$A$60:$A$89,0)),"")))</f>
        <v/>
      </c>
      <c r="E3671" s="42"/>
      <c r="F3671" s="42"/>
    </row>
    <row r="3672" customFormat="false" ht="15" hidden="false" customHeight="true" outlineLevel="0" collapsed="false">
      <c r="A3672" s="42"/>
      <c r="B3672" s="42"/>
      <c r="C3672" s="42"/>
      <c r="D3672" s="28" t="str">
        <f aca="false">IF(OR($B3672="",$C3672=""),"",$C3672*IFERROR(INDEX(Setup!$C$47:$C$56,MATCH($B3672,Setup!$A$47:$A$56,0)),IFERROR(INDEX(Setup!$C$60:$C$89,MATCH($B3672,Setup!$A$60:$A$89,0)),"")))</f>
        <v/>
      </c>
      <c r="E3672" s="42"/>
      <c r="F3672" s="42"/>
    </row>
    <row r="3673" customFormat="false" ht="15" hidden="false" customHeight="true" outlineLevel="0" collapsed="false">
      <c r="A3673" s="42"/>
      <c r="B3673" s="42"/>
      <c r="C3673" s="42"/>
      <c r="D3673" s="28" t="str">
        <f aca="false">IF(OR($B3673="",$C3673=""),"",$C3673*IFERROR(INDEX(Setup!$C$47:$C$56,MATCH($B3673,Setup!$A$47:$A$56,0)),IFERROR(INDEX(Setup!$C$60:$C$89,MATCH($B3673,Setup!$A$60:$A$89,0)),"")))</f>
        <v/>
      </c>
      <c r="E3673" s="42"/>
      <c r="F3673" s="42"/>
    </row>
    <row r="3674" customFormat="false" ht="15" hidden="false" customHeight="true" outlineLevel="0" collapsed="false">
      <c r="A3674" s="42"/>
      <c r="B3674" s="42"/>
      <c r="C3674" s="42"/>
      <c r="D3674" s="28" t="str">
        <f aca="false">IF(OR($B3674="",$C3674=""),"",$C3674*IFERROR(INDEX(Setup!$C$47:$C$56,MATCH($B3674,Setup!$A$47:$A$56,0)),IFERROR(INDEX(Setup!$C$60:$C$89,MATCH($B3674,Setup!$A$60:$A$89,0)),"")))</f>
        <v/>
      </c>
      <c r="E3674" s="42"/>
      <c r="F3674" s="42"/>
    </row>
    <row r="3675" customFormat="false" ht="15" hidden="false" customHeight="true" outlineLevel="0" collapsed="false">
      <c r="A3675" s="42"/>
      <c r="B3675" s="42"/>
      <c r="C3675" s="42"/>
      <c r="D3675" s="28" t="str">
        <f aca="false">IF(OR($B3675="",$C3675=""),"",$C3675*IFERROR(INDEX(Setup!$C$47:$C$56,MATCH($B3675,Setup!$A$47:$A$56,0)),IFERROR(INDEX(Setup!$C$60:$C$89,MATCH($B3675,Setup!$A$60:$A$89,0)),"")))</f>
        <v/>
      </c>
      <c r="E3675" s="42"/>
      <c r="F3675" s="42"/>
    </row>
    <row r="3676" customFormat="false" ht="15" hidden="false" customHeight="true" outlineLevel="0" collapsed="false">
      <c r="A3676" s="42"/>
      <c r="B3676" s="42"/>
      <c r="C3676" s="42"/>
      <c r="D3676" s="28" t="str">
        <f aca="false">IF(OR($B3676="",$C3676=""),"",$C3676*IFERROR(INDEX(Setup!$C$47:$C$56,MATCH($B3676,Setup!$A$47:$A$56,0)),IFERROR(INDEX(Setup!$C$60:$C$89,MATCH($B3676,Setup!$A$60:$A$89,0)),"")))</f>
        <v/>
      </c>
      <c r="E3676" s="42"/>
      <c r="F3676" s="42"/>
    </row>
    <row r="3677" customFormat="false" ht="15" hidden="false" customHeight="true" outlineLevel="0" collapsed="false">
      <c r="A3677" s="42"/>
      <c r="B3677" s="42"/>
      <c r="C3677" s="42"/>
      <c r="D3677" s="28" t="str">
        <f aca="false">IF(OR($B3677="",$C3677=""),"",$C3677*IFERROR(INDEX(Setup!$C$47:$C$56,MATCH($B3677,Setup!$A$47:$A$56,0)),IFERROR(INDEX(Setup!$C$60:$C$89,MATCH($B3677,Setup!$A$60:$A$89,0)),"")))</f>
        <v/>
      </c>
      <c r="E3677" s="42"/>
      <c r="F3677" s="42"/>
    </row>
    <row r="3678" customFormat="false" ht="15" hidden="false" customHeight="true" outlineLevel="0" collapsed="false">
      <c r="A3678" s="42"/>
      <c r="B3678" s="42"/>
      <c r="C3678" s="42"/>
      <c r="D3678" s="28" t="str">
        <f aca="false">IF(OR($B3678="",$C3678=""),"",$C3678*IFERROR(INDEX(Setup!$C$47:$C$56,MATCH($B3678,Setup!$A$47:$A$56,0)),IFERROR(INDEX(Setup!$C$60:$C$89,MATCH($B3678,Setup!$A$60:$A$89,0)),"")))</f>
        <v/>
      </c>
      <c r="E3678" s="42"/>
      <c r="F3678" s="42"/>
    </row>
    <row r="3679" customFormat="false" ht="15" hidden="false" customHeight="true" outlineLevel="0" collapsed="false">
      <c r="A3679" s="42"/>
      <c r="B3679" s="42"/>
      <c r="C3679" s="42"/>
      <c r="D3679" s="28" t="str">
        <f aca="false">IF(OR($B3679="",$C3679=""),"",$C3679*IFERROR(INDEX(Setup!$C$47:$C$56,MATCH($B3679,Setup!$A$47:$A$56,0)),IFERROR(INDEX(Setup!$C$60:$C$89,MATCH($B3679,Setup!$A$60:$A$89,0)),"")))</f>
        <v/>
      </c>
      <c r="E3679" s="42"/>
      <c r="F3679" s="42"/>
    </row>
    <row r="3680" customFormat="false" ht="15" hidden="false" customHeight="true" outlineLevel="0" collapsed="false">
      <c r="A3680" s="42"/>
      <c r="B3680" s="42"/>
      <c r="C3680" s="42"/>
      <c r="D3680" s="28" t="str">
        <f aca="false">IF(OR($B3680="",$C3680=""),"",$C3680*IFERROR(INDEX(Setup!$C$47:$C$56,MATCH($B3680,Setup!$A$47:$A$56,0)),IFERROR(INDEX(Setup!$C$60:$C$89,MATCH($B3680,Setup!$A$60:$A$89,0)),"")))</f>
        <v/>
      </c>
      <c r="E3680" s="42"/>
      <c r="F3680" s="42"/>
    </row>
    <row r="3681" customFormat="false" ht="15" hidden="false" customHeight="true" outlineLevel="0" collapsed="false">
      <c r="A3681" s="42"/>
      <c r="B3681" s="42"/>
      <c r="C3681" s="42"/>
      <c r="D3681" s="28" t="str">
        <f aca="false">IF(OR($B3681="",$C3681=""),"",$C3681*IFERROR(INDEX(Setup!$C$47:$C$56,MATCH($B3681,Setup!$A$47:$A$56,0)),IFERROR(INDEX(Setup!$C$60:$C$89,MATCH($B3681,Setup!$A$60:$A$89,0)),"")))</f>
        <v/>
      </c>
      <c r="E3681" s="42"/>
      <c r="F3681" s="42"/>
    </row>
    <row r="3682" customFormat="false" ht="15" hidden="false" customHeight="true" outlineLevel="0" collapsed="false">
      <c r="A3682" s="42"/>
      <c r="B3682" s="42"/>
      <c r="C3682" s="42"/>
      <c r="D3682" s="28" t="str">
        <f aca="false">IF(OR($B3682="",$C3682=""),"",$C3682*IFERROR(INDEX(Setup!$C$47:$C$56,MATCH($B3682,Setup!$A$47:$A$56,0)),IFERROR(INDEX(Setup!$C$60:$C$89,MATCH($B3682,Setup!$A$60:$A$89,0)),"")))</f>
        <v/>
      </c>
      <c r="E3682" s="42"/>
      <c r="F3682" s="42"/>
    </row>
    <row r="3683" customFormat="false" ht="15" hidden="false" customHeight="true" outlineLevel="0" collapsed="false">
      <c r="A3683" s="42"/>
      <c r="B3683" s="42"/>
      <c r="C3683" s="42"/>
      <c r="D3683" s="28" t="str">
        <f aca="false">IF(OR($B3683="",$C3683=""),"",$C3683*IFERROR(INDEX(Setup!$C$47:$C$56,MATCH($B3683,Setup!$A$47:$A$56,0)),IFERROR(INDEX(Setup!$C$60:$C$89,MATCH($B3683,Setup!$A$60:$A$89,0)),"")))</f>
        <v/>
      </c>
      <c r="E3683" s="42"/>
      <c r="F3683" s="42"/>
    </row>
    <row r="3684" customFormat="false" ht="15" hidden="false" customHeight="true" outlineLevel="0" collapsed="false">
      <c r="A3684" s="42"/>
      <c r="B3684" s="42"/>
      <c r="C3684" s="42"/>
      <c r="D3684" s="28" t="str">
        <f aca="false">IF(OR($B3684="",$C3684=""),"",$C3684*IFERROR(INDEX(Setup!$C$47:$C$56,MATCH($B3684,Setup!$A$47:$A$56,0)),IFERROR(INDEX(Setup!$C$60:$C$89,MATCH($B3684,Setup!$A$60:$A$89,0)),"")))</f>
        <v/>
      </c>
      <c r="E3684" s="42"/>
      <c r="F3684" s="42"/>
    </row>
    <row r="3685" customFormat="false" ht="15" hidden="false" customHeight="true" outlineLevel="0" collapsed="false">
      <c r="A3685" s="42"/>
      <c r="B3685" s="42"/>
      <c r="C3685" s="42"/>
      <c r="D3685" s="28" t="str">
        <f aca="false">IF(OR($B3685="",$C3685=""),"",$C3685*IFERROR(INDEX(Setup!$C$47:$C$56,MATCH($B3685,Setup!$A$47:$A$56,0)),IFERROR(INDEX(Setup!$C$60:$C$89,MATCH($B3685,Setup!$A$60:$A$89,0)),"")))</f>
        <v/>
      </c>
      <c r="E3685" s="42"/>
      <c r="F3685" s="42"/>
    </row>
    <row r="3686" customFormat="false" ht="15" hidden="false" customHeight="true" outlineLevel="0" collapsed="false">
      <c r="A3686" s="42"/>
      <c r="B3686" s="42"/>
      <c r="C3686" s="42"/>
      <c r="D3686" s="28" t="str">
        <f aca="false">IF(OR($B3686="",$C3686=""),"",$C3686*IFERROR(INDEX(Setup!$C$47:$C$56,MATCH($B3686,Setup!$A$47:$A$56,0)),IFERROR(INDEX(Setup!$C$60:$C$89,MATCH($B3686,Setup!$A$60:$A$89,0)),"")))</f>
        <v/>
      </c>
      <c r="E3686" s="42"/>
      <c r="F3686" s="42"/>
    </row>
    <row r="3687" customFormat="false" ht="15" hidden="false" customHeight="true" outlineLevel="0" collapsed="false">
      <c r="A3687" s="42"/>
      <c r="B3687" s="42"/>
      <c r="C3687" s="42"/>
      <c r="D3687" s="28" t="str">
        <f aca="false">IF(OR($B3687="",$C3687=""),"",$C3687*IFERROR(INDEX(Setup!$C$47:$C$56,MATCH($B3687,Setup!$A$47:$A$56,0)),IFERROR(INDEX(Setup!$C$60:$C$89,MATCH($B3687,Setup!$A$60:$A$89,0)),"")))</f>
        <v/>
      </c>
      <c r="E3687" s="42"/>
      <c r="F3687" s="42"/>
    </row>
    <row r="3688" customFormat="false" ht="15" hidden="false" customHeight="true" outlineLevel="0" collapsed="false">
      <c r="A3688" s="42"/>
      <c r="B3688" s="42"/>
      <c r="C3688" s="42"/>
      <c r="D3688" s="28" t="str">
        <f aca="false">IF(OR($B3688="",$C3688=""),"",$C3688*IFERROR(INDEX(Setup!$C$47:$C$56,MATCH($B3688,Setup!$A$47:$A$56,0)),IFERROR(INDEX(Setup!$C$60:$C$89,MATCH($B3688,Setup!$A$60:$A$89,0)),"")))</f>
        <v/>
      </c>
      <c r="E3688" s="42"/>
      <c r="F3688" s="42"/>
    </row>
    <row r="3689" customFormat="false" ht="15" hidden="false" customHeight="true" outlineLevel="0" collapsed="false">
      <c r="A3689" s="42"/>
      <c r="B3689" s="42"/>
      <c r="C3689" s="42"/>
      <c r="D3689" s="28" t="str">
        <f aca="false">IF(OR($B3689="",$C3689=""),"",$C3689*IFERROR(INDEX(Setup!$C$47:$C$56,MATCH($B3689,Setup!$A$47:$A$56,0)),IFERROR(INDEX(Setup!$C$60:$C$89,MATCH($B3689,Setup!$A$60:$A$89,0)),"")))</f>
        <v/>
      </c>
      <c r="E3689" s="42"/>
      <c r="F3689" s="42"/>
    </row>
    <row r="3690" customFormat="false" ht="15" hidden="false" customHeight="true" outlineLevel="0" collapsed="false">
      <c r="A3690" s="42"/>
      <c r="B3690" s="42"/>
      <c r="C3690" s="42"/>
      <c r="D3690" s="28" t="str">
        <f aca="false">IF(OR($B3690="",$C3690=""),"",$C3690*IFERROR(INDEX(Setup!$C$47:$C$56,MATCH($B3690,Setup!$A$47:$A$56,0)),IFERROR(INDEX(Setup!$C$60:$C$89,MATCH($B3690,Setup!$A$60:$A$89,0)),"")))</f>
        <v/>
      </c>
      <c r="E3690" s="42"/>
      <c r="F3690" s="42"/>
    </row>
    <row r="3691" customFormat="false" ht="15" hidden="false" customHeight="true" outlineLevel="0" collapsed="false">
      <c r="A3691" s="42"/>
      <c r="B3691" s="42"/>
      <c r="C3691" s="42"/>
      <c r="D3691" s="28" t="str">
        <f aca="false">IF(OR($B3691="",$C3691=""),"",$C3691*IFERROR(INDEX(Setup!$C$47:$C$56,MATCH($B3691,Setup!$A$47:$A$56,0)),IFERROR(INDEX(Setup!$C$60:$C$89,MATCH($B3691,Setup!$A$60:$A$89,0)),"")))</f>
        <v/>
      </c>
      <c r="E3691" s="42"/>
      <c r="F3691" s="42"/>
    </row>
    <row r="3692" customFormat="false" ht="15" hidden="false" customHeight="true" outlineLevel="0" collapsed="false">
      <c r="A3692" s="42"/>
      <c r="B3692" s="42"/>
      <c r="C3692" s="42"/>
      <c r="D3692" s="28" t="str">
        <f aca="false">IF(OR($B3692="",$C3692=""),"",$C3692*IFERROR(INDEX(Setup!$C$47:$C$56,MATCH($B3692,Setup!$A$47:$A$56,0)),IFERROR(INDEX(Setup!$C$60:$C$89,MATCH($B3692,Setup!$A$60:$A$89,0)),"")))</f>
        <v/>
      </c>
      <c r="E3692" s="42"/>
      <c r="F3692" s="42"/>
    </row>
    <row r="3693" customFormat="false" ht="15" hidden="false" customHeight="true" outlineLevel="0" collapsed="false">
      <c r="A3693" s="42"/>
      <c r="B3693" s="42"/>
      <c r="C3693" s="42"/>
      <c r="D3693" s="28" t="str">
        <f aca="false">IF(OR($B3693="",$C3693=""),"",$C3693*IFERROR(INDEX(Setup!$C$47:$C$56,MATCH($B3693,Setup!$A$47:$A$56,0)),IFERROR(INDEX(Setup!$C$60:$C$89,MATCH($B3693,Setup!$A$60:$A$89,0)),"")))</f>
        <v/>
      </c>
      <c r="E3693" s="42"/>
      <c r="F3693" s="42"/>
    </row>
    <row r="3694" customFormat="false" ht="15" hidden="false" customHeight="true" outlineLevel="0" collapsed="false">
      <c r="A3694" s="42"/>
      <c r="B3694" s="42"/>
      <c r="C3694" s="42"/>
      <c r="D3694" s="28" t="str">
        <f aca="false">IF(OR($B3694="",$C3694=""),"",$C3694*IFERROR(INDEX(Setup!$C$47:$C$56,MATCH($B3694,Setup!$A$47:$A$56,0)),IFERROR(INDEX(Setup!$C$60:$C$89,MATCH($B3694,Setup!$A$60:$A$89,0)),"")))</f>
        <v/>
      </c>
      <c r="E3694" s="42"/>
      <c r="F3694" s="42"/>
    </row>
    <row r="3695" customFormat="false" ht="15" hidden="false" customHeight="true" outlineLevel="0" collapsed="false">
      <c r="A3695" s="42"/>
      <c r="B3695" s="42"/>
      <c r="C3695" s="42"/>
      <c r="D3695" s="28" t="str">
        <f aca="false">IF(OR($B3695="",$C3695=""),"",$C3695*IFERROR(INDEX(Setup!$C$47:$C$56,MATCH($B3695,Setup!$A$47:$A$56,0)),IFERROR(INDEX(Setup!$C$60:$C$89,MATCH($B3695,Setup!$A$60:$A$89,0)),"")))</f>
        <v/>
      </c>
      <c r="E3695" s="42"/>
      <c r="F3695" s="42"/>
    </row>
    <row r="3696" customFormat="false" ht="15" hidden="false" customHeight="true" outlineLevel="0" collapsed="false">
      <c r="A3696" s="42"/>
      <c r="B3696" s="42"/>
      <c r="C3696" s="42"/>
      <c r="D3696" s="28" t="str">
        <f aca="false">IF(OR($B3696="",$C3696=""),"",$C3696*IFERROR(INDEX(Setup!$C$47:$C$56,MATCH($B3696,Setup!$A$47:$A$56,0)),IFERROR(INDEX(Setup!$C$60:$C$89,MATCH($B3696,Setup!$A$60:$A$89,0)),"")))</f>
        <v/>
      </c>
      <c r="E3696" s="42"/>
      <c r="F3696" s="42"/>
    </row>
    <row r="3697" customFormat="false" ht="15" hidden="false" customHeight="true" outlineLevel="0" collapsed="false">
      <c r="A3697" s="42"/>
      <c r="B3697" s="42"/>
      <c r="C3697" s="42"/>
      <c r="D3697" s="28" t="str">
        <f aca="false">IF(OR($B3697="",$C3697=""),"",$C3697*IFERROR(INDEX(Setup!$C$47:$C$56,MATCH($B3697,Setup!$A$47:$A$56,0)),IFERROR(INDEX(Setup!$C$60:$C$89,MATCH($B3697,Setup!$A$60:$A$89,0)),"")))</f>
        <v/>
      </c>
      <c r="E3697" s="42"/>
      <c r="F3697" s="42"/>
    </row>
    <row r="3698" customFormat="false" ht="15" hidden="false" customHeight="true" outlineLevel="0" collapsed="false">
      <c r="A3698" s="42"/>
      <c r="B3698" s="42"/>
      <c r="C3698" s="42"/>
      <c r="D3698" s="28" t="str">
        <f aca="false">IF(OR($B3698="",$C3698=""),"",$C3698*IFERROR(INDEX(Setup!$C$47:$C$56,MATCH($B3698,Setup!$A$47:$A$56,0)),IFERROR(INDEX(Setup!$C$60:$C$89,MATCH($B3698,Setup!$A$60:$A$89,0)),"")))</f>
        <v/>
      </c>
      <c r="E3698" s="42"/>
      <c r="F3698" s="42"/>
    </row>
    <row r="3699" customFormat="false" ht="15" hidden="false" customHeight="true" outlineLevel="0" collapsed="false">
      <c r="A3699" s="42"/>
      <c r="B3699" s="42"/>
      <c r="C3699" s="42"/>
      <c r="D3699" s="28" t="str">
        <f aca="false">IF(OR($B3699="",$C3699=""),"",$C3699*IFERROR(INDEX(Setup!$C$47:$C$56,MATCH($B3699,Setup!$A$47:$A$56,0)),IFERROR(INDEX(Setup!$C$60:$C$89,MATCH($B3699,Setup!$A$60:$A$89,0)),"")))</f>
        <v/>
      </c>
      <c r="E3699" s="42"/>
      <c r="F3699" s="42"/>
    </row>
    <row r="3700" customFormat="false" ht="15" hidden="false" customHeight="true" outlineLevel="0" collapsed="false">
      <c r="A3700" s="42"/>
      <c r="B3700" s="42"/>
      <c r="C3700" s="42"/>
      <c r="D3700" s="28" t="str">
        <f aca="false">IF(OR($B3700="",$C3700=""),"",$C3700*IFERROR(INDEX(Setup!$C$47:$C$56,MATCH($B3700,Setup!$A$47:$A$56,0)),IFERROR(INDEX(Setup!$C$60:$C$89,MATCH($B3700,Setup!$A$60:$A$89,0)),"")))</f>
        <v/>
      </c>
      <c r="E3700" s="42"/>
      <c r="F3700" s="42"/>
    </row>
    <row r="3701" customFormat="false" ht="15" hidden="false" customHeight="true" outlineLevel="0" collapsed="false">
      <c r="A3701" s="42"/>
      <c r="B3701" s="42"/>
      <c r="C3701" s="42"/>
      <c r="D3701" s="28" t="str">
        <f aca="false">IF(OR($B3701="",$C3701=""),"",$C3701*IFERROR(INDEX(Setup!$C$47:$C$56,MATCH($B3701,Setup!$A$47:$A$56,0)),IFERROR(INDEX(Setup!$C$60:$C$89,MATCH($B3701,Setup!$A$60:$A$89,0)),"")))</f>
        <v/>
      </c>
      <c r="E3701" s="42"/>
      <c r="F3701" s="42"/>
    </row>
    <row r="3702" customFormat="false" ht="15" hidden="false" customHeight="true" outlineLevel="0" collapsed="false">
      <c r="A3702" s="42"/>
      <c r="B3702" s="42"/>
      <c r="C3702" s="42"/>
      <c r="D3702" s="28" t="str">
        <f aca="false">IF(OR($B3702="",$C3702=""),"",$C3702*IFERROR(INDEX(Setup!$C$47:$C$56,MATCH($B3702,Setup!$A$47:$A$56,0)),IFERROR(INDEX(Setup!$C$60:$C$89,MATCH($B3702,Setup!$A$60:$A$89,0)),"")))</f>
        <v/>
      </c>
      <c r="E3702" s="42"/>
      <c r="F3702" s="42"/>
    </row>
    <row r="3703" customFormat="false" ht="15" hidden="false" customHeight="true" outlineLevel="0" collapsed="false">
      <c r="A3703" s="42"/>
      <c r="B3703" s="42"/>
      <c r="C3703" s="42"/>
      <c r="D3703" s="28" t="str">
        <f aca="false">IF(OR($B3703="",$C3703=""),"",$C3703*IFERROR(INDEX(Setup!$C$47:$C$56,MATCH($B3703,Setup!$A$47:$A$56,0)),IFERROR(INDEX(Setup!$C$60:$C$89,MATCH($B3703,Setup!$A$60:$A$89,0)),"")))</f>
        <v/>
      </c>
      <c r="E3703" s="42"/>
      <c r="F3703" s="42"/>
    </row>
    <row r="3704" customFormat="false" ht="15" hidden="false" customHeight="true" outlineLevel="0" collapsed="false">
      <c r="A3704" s="42"/>
      <c r="B3704" s="42"/>
      <c r="C3704" s="42"/>
      <c r="D3704" s="28" t="str">
        <f aca="false">IF(OR($B3704="",$C3704=""),"",$C3704*IFERROR(INDEX(Setup!$C$47:$C$56,MATCH($B3704,Setup!$A$47:$A$56,0)),IFERROR(INDEX(Setup!$C$60:$C$89,MATCH($B3704,Setup!$A$60:$A$89,0)),"")))</f>
        <v/>
      </c>
      <c r="E3704" s="42"/>
      <c r="F3704" s="42"/>
    </row>
    <row r="3705" customFormat="false" ht="15" hidden="false" customHeight="true" outlineLevel="0" collapsed="false">
      <c r="A3705" s="42"/>
      <c r="B3705" s="42"/>
      <c r="C3705" s="42"/>
      <c r="D3705" s="28" t="str">
        <f aca="false">IF(OR($B3705="",$C3705=""),"",$C3705*IFERROR(INDEX(Setup!$C$47:$C$56,MATCH($B3705,Setup!$A$47:$A$56,0)),IFERROR(INDEX(Setup!$C$60:$C$89,MATCH($B3705,Setup!$A$60:$A$89,0)),"")))</f>
        <v/>
      </c>
      <c r="E3705" s="42"/>
      <c r="F3705" s="42"/>
    </row>
    <row r="3706" customFormat="false" ht="15" hidden="false" customHeight="true" outlineLevel="0" collapsed="false">
      <c r="A3706" s="42"/>
      <c r="B3706" s="42"/>
      <c r="C3706" s="42"/>
      <c r="D3706" s="28" t="str">
        <f aca="false">IF(OR($B3706="",$C3706=""),"",$C3706*IFERROR(INDEX(Setup!$C$47:$C$56,MATCH($B3706,Setup!$A$47:$A$56,0)),IFERROR(INDEX(Setup!$C$60:$C$89,MATCH($B3706,Setup!$A$60:$A$89,0)),"")))</f>
        <v/>
      </c>
      <c r="E3706" s="42"/>
      <c r="F3706" s="42"/>
    </row>
    <row r="3707" customFormat="false" ht="15" hidden="false" customHeight="true" outlineLevel="0" collapsed="false">
      <c r="A3707" s="42"/>
      <c r="B3707" s="42"/>
      <c r="C3707" s="42"/>
      <c r="D3707" s="28" t="str">
        <f aca="false">IF(OR($B3707="",$C3707=""),"",$C3707*IFERROR(INDEX(Setup!$C$47:$C$56,MATCH($B3707,Setup!$A$47:$A$56,0)),IFERROR(INDEX(Setup!$C$60:$C$89,MATCH($B3707,Setup!$A$60:$A$89,0)),"")))</f>
        <v/>
      </c>
      <c r="E3707" s="42"/>
      <c r="F3707" s="42"/>
    </row>
    <row r="3708" customFormat="false" ht="15" hidden="false" customHeight="true" outlineLevel="0" collapsed="false">
      <c r="A3708" s="42"/>
      <c r="B3708" s="42"/>
      <c r="C3708" s="42"/>
      <c r="D3708" s="28" t="str">
        <f aca="false">IF(OR($B3708="",$C3708=""),"",$C3708*IFERROR(INDEX(Setup!$C$47:$C$56,MATCH($B3708,Setup!$A$47:$A$56,0)),IFERROR(INDEX(Setup!$C$60:$C$89,MATCH($B3708,Setup!$A$60:$A$89,0)),"")))</f>
        <v/>
      </c>
      <c r="E3708" s="42"/>
      <c r="F3708" s="42"/>
    </row>
    <row r="3709" customFormat="false" ht="15" hidden="false" customHeight="true" outlineLevel="0" collapsed="false">
      <c r="A3709" s="42"/>
      <c r="B3709" s="42"/>
      <c r="C3709" s="42"/>
      <c r="D3709" s="28" t="str">
        <f aca="false">IF(OR($B3709="",$C3709=""),"",$C3709*IFERROR(INDEX(Setup!$C$47:$C$56,MATCH($B3709,Setup!$A$47:$A$56,0)),IFERROR(INDEX(Setup!$C$60:$C$89,MATCH($B3709,Setup!$A$60:$A$89,0)),"")))</f>
        <v/>
      </c>
      <c r="E3709" s="42"/>
      <c r="F3709" s="42"/>
    </row>
    <row r="3710" customFormat="false" ht="15" hidden="false" customHeight="true" outlineLevel="0" collapsed="false">
      <c r="A3710" s="42"/>
      <c r="B3710" s="42"/>
      <c r="C3710" s="42"/>
      <c r="D3710" s="28" t="str">
        <f aca="false">IF(OR($B3710="",$C3710=""),"",$C3710*IFERROR(INDEX(Setup!$C$47:$C$56,MATCH($B3710,Setup!$A$47:$A$56,0)),IFERROR(INDEX(Setup!$C$60:$C$89,MATCH($B3710,Setup!$A$60:$A$89,0)),"")))</f>
        <v/>
      </c>
      <c r="E3710" s="42"/>
      <c r="F3710" s="42"/>
    </row>
    <row r="3711" customFormat="false" ht="15" hidden="false" customHeight="true" outlineLevel="0" collapsed="false">
      <c r="A3711" s="42"/>
      <c r="B3711" s="42"/>
      <c r="C3711" s="42"/>
      <c r="D3711" s="28" t="str">
        <f aca="false">IF(OR($B3711="",$C3711=""),"",$C3711*IFERROR(INDEX(Setup!$C$47:$C$56,MATCH($B3711,Setup!$A$47:$A$56,0)),IFERROR(INDEX(Setup!$C$60:$C$89,MATCH($B3711,Setup!$A$60:$A$89,0)),"")))</f>
        <v/>
      </c>
      <c r="E3711" s="42"/>
      <c r="F3711" s="42"/>
    </row>
    <row r="3712" customFormat="false" ht="15" hidden="false" customHeight="true" outlineLevel="0" collapsed="false">
      <c r="A3712" s="42"/>
      <c r="B3712" s="42"/>
      <c r="C3712" s="42"/>
      <c r="D3712" s="28" t="str">
        <f aca="false">IF(OR($B3712="",$C3712=""),"",$C3712*IFERROR(INDEX(Setup!$C$47:$C$56,MATCH($B3712,Setup!$A$47:$A$56,0)),IFERROR(INDEX(Setup!$C$60:$C$89,MATCH($B3712,Setup!$A$60:$A$89,0)),"")))</f>
        <v/>
      </c>
      <c r="E3712" s="42"/>
      <c r="F3712" s="42"/>
    </row>
    <row r="3713" customFormat="false" ht="15" hidden="false" customHeight="true" outlineLevel="0" collapsed="false">
      <c r="A3713" s="42"/>
      <c r="B3713" s="42"/>
      <c r="C3713" s="42"/>
      <c r="D3713" s="28" t="str">
        <f aca="false">IF(OR($B3713="",$C3713=""),"",$C3713*IFERROR(INDEX(Setup!$C$47:$C$56,MATCH($B3713,Setup!$A$47:$A$56,0)),IFERROR(INDEX(Setup!$C$60:$C$89,MATCH($B3713,Setup!$A$60:$A$89,0)),"")))</f>
        <v/>
      </c>
      <c r="E3713" s="42"/>
      <c r="F3713" s="42"/>
    </row>
    <row r="3714" customFormat="false" ht="15" hidden="false" customHeight="true" outlineLevel="0" collapsed="false">
      <c r="A3714" s="42"/>
      <c r="B3714" s="42"/>
      <c r="C3714" s="42"/>
      <c r="D3714" s="28" t="str">
        <f aca="false">IF(OR($B3714="",$C3714=""),"",$C3714*IFERROR(INDEX(Setup!$C$47:$C$56,MATCH($B3714,Setup!$A$47:$A$56,0)),IFERROR(INDEX(Setup!$C$60:$C$89,MATCH($B3714,Setup!$A$60:$A$89,0)),"")))</f>
        <v/>
      </c>
      <c r="E3714" s="42"/>
      <c r="F3714" s="42"/>
    </row>
    <row r="3715" customFormat="false" ht="15" hidden="false" customHeight="true" outlineLevel="0" collapsed="false">
      <c r="A3715" s="42"/>
      <c r="B3715" s="42"/>
      <c r="C3715" s="42"/>
      <c r="D3715" s="28" t="str">
        <f aca="false">IF(OR($B3715="",$C3715=""),"",$C3715*IFERROR(INDEX(Setup!$C$47:$C$56,MATCH($B3715,Setup!$A$47:$A$56,0)),IFERROR(INDEX(Setup!$C$60:$C$89,MATCH($B3715,Setup!$A$60:$A$89,0)),"")))</f>
        <v/>
      </c>
      <c r="E3715" s="42"/>
      <c r="F3715" s="42"/>
    </row>
    <row r="3716" customFormat="false" ht="15" hidden="false" customHeight="true" outlineLevel="0" collapsed="false">
      <c r="A3716" s="42"/>
      <c r="B3716" s="42"/>
      <c r="C3716" s="42"/>
      <c r="D3716" s="28" t="str">
        <f aca="false">IF(OR($B3716="",$C3716=""),"",$C3716*IFERROR(INDEX(Setup!$C$47:$C$56,MATCH($B3716,Setup!$A$47:$A$56,0)),IFERROR(INDEX(Setup!$C$60:$C$89,MATCH($B3716,Setup!$A$60:$A$89,0)),"")))</f>
        <v/>
      </c>
      <c r="E3716" s="42"/>
      <c r="F3716" s="42"/>
    </row>
    <row r="3717" customFormat="false" ht="15" hidden="false" customHeight="true" outlineLevel="0" collapsed="false">
      <c r="A3717" s="42"/>
      <c r="B3717" s="42"/>
      <c r="C3717" s="42"/>
      <c r="D3717" s="28" t="str">
        <f aca="false">IF(OR($B3717="",$C3717=""),"",$C3717*IFERROR(INDEX(Setup!$C$47:$C$56,MATCH($B3717,Setup!$A$47:$A$56,0)),IFERROR(INDEX(Setup!$C$60:$C$89,MATCH($B3717,Setup!$A$60:$A$89,0)),"")))</f>
        <v/>
      </c>
      <c r="E3717" s="42"/>
      <c r="F3717" s="42"/>
    </row>
    <row r="3718" customFormat="false" ht="15" hidden="false" customHeight="true" outlineLevel="0" collapsed="false">
      <c r="A3718" s="42"/>
      <c r="B3718" s="42"/>
      <c r="C3718" s="42"/>
      <c r="D3718" s="28" t="str">
        <f aca="false">IF(OR($B3718="",$C3718=""),"",$C3718*IFERROR(INDEX(Setup!$C$47:$C$56,MATCH($B3718,Setup!$A$47:$A$56,0)),IFERROR(INDEX(Setup!$C$60:$C$89,MATCH($B3718,Setup!$A$60:$A$89,0)),"")))</f>
        <v/>
      </c>
      <c r="E3718" s="42"/>
      <c r="F3718" s="42"/>
    </row>
    <row r="3719" customFormat="false" ht="15" hidden="false" customHeight="true" outlineLevel="0" collapsed="false">
      <c r="A3719" s="42"/>
      <c r="B3719" s="42"/>
      <c r="C3719" s="42"/>
      <c r="D3719" s="28" t="str">
        <f aca="false">IF(OR($B3719="",$C3719=""),"",$C3719*IFERROR(INDEX(Setup!$C$47:$C$56,MATCH($B3719,Setup!$A$47:$A$56,0)),IFERROR(INDEX(Setup!$C$60:$C$89,MATCH($B3719,Setup!$A$60:$A$89,0)),"")))</f>
        <v/>
      </c>
      <c r="E3719" s="42"/>
      <c r="F3719" s="42"/>
    </row>
    <row r="3720" customFormat="false" ht="15" hidden="false" customHeight="true" outlineLevel="0" collapsed="false">
      <c r="A3720" s="42"/>
      <c r="B3720" s="42"/>
      <c r="C3720" s="42"/>
      <c r="D3720" s="28" t="str">
        <f aca="false">IF(OR($B3720="",$C3720=""),"",$C3720*IFERROR(INDEX(Setup!$C$47:$C$56,MATCH($B3720,Setup!$A$47:$A$56,0)),IFERROR(INDEX(Setup!$C$60:$C$89,MATCH($B3720,Setup!$A$60:$A$89,0)),"")))</f>
        <v/>
      </c>
      <c r="E3720" s="42"/>
      <c r="F3720" s="42"/>
    </row>
    <row r="3721" customFormat="false" ht="15" hidden="false" customHeight="true" outlineLevel="0" collapsed="false">
      <c r="A3721" s="42"/>
      <c r="B3721" s="42"/>
      <c r="C3721" s="42"/>
      <c r="D3721" s="28" t="str">
        <f aca="false">IF(OR($B3721="",$C3721=""),"",$C3721*IFERROR(INDEX(Setup!$C$47:$C$56,MATCH($B3721,Setup!$A$47:$A$56,0)),IFERROR(INDEX(Setup!$C$60:$C$89,MATCH($B3721,Setup!$A$60:$A$89,0)),"")))</f>
        <v/>
      </c>
      <c r="E3721" s="42"/>
      <c r="F3721" s="42"/>
    </row>
    <row r="3722" customFormat="false" ht="15" hidden="false" customHeight="true" outlineLevel="0" collapsed="false">
      <c r="A3722" s="42"/>
      <c r="B3722" s="42"/>
      <c r="C3722" s="42"/>
      <c r="D3722" s="28" t="str">
        <f aca="false">IF(OR($B3722="",$C3722=""),"",$C3722*IFERROR(INDEX(Setup!$C$47:$C$56,MATCH($B3722,Setup!$A$47:$A$56,0)),IFERROR(INDEX(Setup!$C$60:$C$89,MATCH($B3722,Setup!$A$60:$A$89,0)),"")))</f>
        <v/>
      </c>
      <c r="E3722" s="42"/>
      <c r="F3722" s="42"/>
    </row>
    <row r="3723" customFormat="false" ht="15" hidden="false" customHeight="true" outlineLevel="0" collapsed="false">
      <c r="A3723" s="42"/>
      <c r="B3723" s="42"/>
      <c r="C3723" s="42"/>
      <c r="D3723" s="28" t="str">
        <f aca="false">IF(OR($B3723="",$C3723=""),"",$C3723*IFERROR(INDEX(Setup!$C$47:$C$56,MATCH($B3723,Setup!$A$47:$A$56,0)),IFERROR(INDEX(Setup!$C$60:$C$89,MATCH($B3723,Setup!$A$60:$A$89,0)),"")))</f>
        <v/>
      </c>
      <c r="E3723" s="42"/>
      <c r="F3723" s="42"/>
    </row>
    <row r="3724" customFormat="false" ht="15" hidden="false" customHeight="true" outlineLevel="0" collapsed="false">
      <c r="A3724" s="42"/>
      <c r="B3724" s="42"/>
      <c r="C3724" s="42"/>
      <c r="D3724" s="28" t="str">
        <f aca="false">IF(OR($B3724="",$C3724=""),"",$C3724*IFERROR(INDEX(Setup!$C$47:$C$56,MATCH($B3724,Setup!$A$47:$A$56,0)),IFERROR(INDEX(Setup!$C$60:$C$89,MATCH($B3724,Setup!$A$60:$A$89,0)),"")))</f>
        <v/>
      </c>
      <c r="E3724" s="42"/>
      <c r="F3724" s="42"/>
    </row>
    <row r="3725" customFormat="false" ht="15" hidden="false" customHeight="true" outlineLevel="0" collapsed="false">
      <c r="A3725" s="42"/>
      <c r="B3725" s="42"/>
      <c r="C3725" s="42"/>
      <c r="D3725" s="28" t="str">
        <f aca="false">IF(OR($B3725="",$C3725=""),"",$C3725*IFERROR(INDEX(Setup!$C$47:$C$56,MATCH($B3725,Setup!$A$47:$A$56,0)),IFERROR(INDEX(Setup!$C$60:$C$89,MATCH($B3725,Setup!$A$60:$A$89,0)),"")))</f>
        <v/>
      </c>
      <c r="E3725" s="42"/>
      <c r="F3725" s="42"/>
    </row>
    <row r="3726" customFormat="false" ht="15" hidden="false" customHeight="true" outlineLevel="0" collapsed="false">
      <c r="A3726" s="42"/>
      <c r="B3726" s="42"/>
      <c r="C3726" s="42"/>
      <c r="D3726" s="28" t="str">
        <f aca="false">IF(OR($B3726="",$C3726=""),"",$C3726*IFERROR(INDEX(Setup!$C$47:$C$56,MATCH($B3726,Setup!$A$47:$A$56,0)),IFERROR(INDEX(Setup!$C$60:$C$89,MATCH($B3726,Setup!$A$60:$A$89,0)),"")))</f>
        <v/>
      </c>
      <c r="E3726" s="42"/>
      <c r="F3726" s="42"/>
    </row>
    <row r="3727" customFormat="false" ht="15" hidden="false" customHeight="true" outlineLevel="0" collapsed="false">
      <c r="A3727" s="42"/>
      <c r="B3727" s="42"/>
      <c r="C3727" s="42"/>
      <c r="D3727" s="28" t="str">
        <f aca="false">IF(OR($B3727="",$C3727=""),"",$C3727*IFERROR(INDEX(Setup!$C$47:$C$56,MATCH($B3727,Setup!$A$47:$A$56,0)),IFERROR(INDEX(Setup!$C$60:$C$89,MATCH($B3727,Setup!$A$60:$A$89,0)),"")))</f>
        <v/>
      </c>
      <c r="E3727" s="42"/>
      <c r="F3727" s="42"/>
    </row>
    <row r="3728" customFormat="false" ht="15" hidden="false" customHeight="true" outlineLevel="0" collapsed="false">
      <c r="A3728" s="42"/>
      <c r="B3728" s="42"/>
      <c r="C3728" s="42"/>
      <c r="D3728" s="28" t="str">
        <f aca="false">IF(OR($B3728="",$C3728=""),"",$C3728*IFERROR(INDEX(Setup!$C$47:$C$56,MATCH($B3728,Setup!$A$47:$A$56,0)),IFERROR(INDEX(Setup!$C$60:$C$89,MATCH($B3728,Setup!$A$60:$A$89,0)),"")))</f>
        <v/>
      </c>
      <c r="E3728" s="42"/>
      <c r="F3728" s="42"/>
    </row>
    <row r="3729" customFormat="false" ht="15" hidden="false" customHeight="true" outlineLevel="0" collapsed="false">
      <c r="A3729" s="42"/>
      <c r="B3729" s="42"/>
      <c r="C3729" s="42"/>
      <c r="D3729" s="28" t="str">
        <f aca="false">IF(OR($B3729="",$C3729=""),"",$C3729*IFERROR(INDEX(Setup!$C$47:$C$56,MATCH($B3729,Setup!$A$47:$A$56,0)),IFERROR(INDEX(Setup!$C$60:$C$89,MATCH($B3729,Setup!$A$60:$A$89,0)),"")))</f>
        <v/>
      </c>
      <c r="E3729" s="42"/>
      <c r="F3729" s="42"/>
    </row>
    <row r="3730" customFormat="false" ht="15" hidden="false" customHeight="true" outlineLevel="0" collapsed="false">
      <c r="A3730" s="42"/>
      <c r="B3730" s="42"/>
      <c r="C3730" s="42"/>
      <c r="D3730" s="28" t="str">
        <f aca="false">IF(OR($B3730="",$C3730=""),"",$C3730*IFERROR(INDEX(Setup!$C$47:$C$56,MATCH($B3730,Setup!$A$47:$A$56,0)),IFERROR(INDEX(Setup!$C$60:$C$89,MATCH($B3730,Setup!$A$60:$A$89,0)),"")))</f>
        <v/>
      </c>
      <c r="E3730" s="42"/>
      <c r="F3730" s="42"/>
    </row>
    <row r="3731" customFormat="false" ht="15" hidden="false" customHeight="true" outlineLevel="0" collapsed="false">
      <c r="A3731" s="42"/>
      <c r="B3731" s="42"/>
      <c r="C3731" s="42"/>
      <c r="D3731" s="28" t="str">
        <f aca="false">IF(OR($B3731="",$C3731=""),"",$C3731*IFERROR(INDEX(Setup!$C$47:$C$56,MATCH($B3731,Setup!$A$47:$A$56,0)),IFERROR(INDEX(Setup!$C$60:$C$89,MATCH($B3731,Setup!$A$60:$A$89,0)),"")))</f>
        <v/>
      </c>
      <c r="E3731" s="42"/>
      <c r="F3731" s="42"/>
    </row>
    <row r="3732" customFormat="false" ht="15" hidden="false" customHeight="true" outlineLevel="0" collapsed="false">
      <c r="A3732" s="42"/>
      <c r="B3732" s="42"/>
      <c r="C3732" s="42"/>
      <c r="D3732" s="28" t="str">
        <f aca="false">IF(OR($B3732="",$C3732=""),"",$C3732*IFERROR(INDEX(Setup!$C$47:$C$56,MATCH($B3732,Setup!$A$47:$A$56,0)),IFERROR(INDEX(Setup!$C$60:$C$89,MATCH($B3732,Setup!$A$60:$A$89,0)),"")))</f>
        <v/>
      </c>
      <c r="E3732" s="42"/>
      <c r="F3732" s="42"/>
    </row>
    <row r="3733" customFormat="false" ht="15" hidden="false" customHeight="true" outlineLevel="0" collapsed="false">
      <c r="A3733" s="42"/>
      <c r="B3733" s="42"/>
      <c r="C3733" s="42"/>
      <c r="D3733" s="28" t="str">
        <f aca="false">IF(OR($B3733="",$C3733=""),"",$C3733*IFERROR(INDEX(Setup!$C$47:$C$56,MATCH($B3733,Setup!$A$47:$A$56,0)),IFERROR(INDEX(Setup!$C$60:$C$89,MATCH($B3733,Setup!$A$60:$A$89,0)),"")))</f>
        <v/>
      </c>
      <c r="E3733" s="42"/>
      <c r="F3733" s="42"/>
    </row>
    <row r="3734" customFormat="false" ht="15" hidden="false" customHeight="true" outlineLevel="0" collapsed="false">
      <c r="A3734" s="42"/>
      <c r="B3734" s="42"/>
      <c r="C3734" s="42"/>
      <c r="D3734" s="28" t="str">
        <f aca="false">IF(OR($B3734="",$C3734=""),"",$C3734*IFERROR(INDEX(Setup!$C$47:$C$56,MATCH($B3734,Setup!$A$47:$A$56,0)),IFERROR(INDEX(Setup!$C$60:$C$89,MATCH($B3734,Setup!$A$60:$A$89,0)),"")))</f>
        <v/>
      </c>
      <c r="E3734" s="42"/>
      <c r="F3734" s="42"/>
    </row>
    <row r="3735" customFormat="false" ht="15" hidden="false" customHeight="true" outlineLevel="0" collapsed="false">
      <c r="A3735" s="42"/>
      <c r="B3735" s="42"/>
      <c r="C3735" s="42"/>
      <c r="D3735" s="28" t="str">
        <f aca="false">IF(OR($B3735="",$C3735=""),"",$C3735*IFERROR(INDEX(Setup!$C$47:$C$56,MATCH($B3735,Setup!$A$47:$A$56,0)),IFERROR(INDEX(Setup!$C$60:$C$89,MATCH($B3735,Setup!$A$60:$A$89,0)),"")))</f>
        <v/>
      </c>
      <c r="E3735" s="42"/>
      <c r="F3735" s="42"/>
    </row>
    <row r="3736" customFormat="false" ht="15" hidden="false" customHeight="true" outlineLevel="0" collapsed="false">
      <c r="A3736" s="42"/>
      <c r="B3736" s="42"/>
      <c r="C3736" s="42"/>
      <c r="D3736" s="28" t="str">
        <f aca="false">IF(OR($B3736="",$C3736=""),"",$C3736*IFERROR(INDEX(Setup!$C$47:$C$56,MATCH($B3736,Setup!$A$47:$A$56,0)),IFERROR(INDEX(Setup!$C$60:$C$89,MATCH($B3736,Setup!$A$60:$A$89,0)),"")))</f>
        <v/>
      </c>
      <c r="E3736" s="42"/>
      <c r="F3736" s="42"/>
    </row>
    <row r="3737" customFormat="false" ht="15" hidden="false" customHeight="true" outlineLevel="0" collapsed="false">
      <c r="A3737" s="42"/>
      <c r="B3737" s="42"/>
      <c r="C3737" s="42"/>
      <c r="D3737" s="28" t="str">
        <f aca="false">IF(OR($B3737="",$C3737=""),"",$C3737*IFERROR(INDEX(Setup!$C$47:$C$56,MATCH($B3737,Setup!$A$47:$A$56,0)),IFERROR(INDEX(Setup!$C$60:$C$89,MATCH($B3737,Setup!$A$60:$A$89,0)),"")))</f>
        <v/>
      </c>
      <c r="E3737" s="42"/>
      <c r="F3737" s="42"/>
    </row>
    <row r="3738" customFormat="false" ht="15" hidden="false" customHeight="true" outlineLevel="0" collapsed="false">
      <c r="A3738" s="42"/>
      <c r="B3738" s="42"/>
      <c r="C3738" s="42"/>
      <c r="D3738" s="28" t="str">
        <f aca="false">IF(OR($B3738="",$C3738=""),"",$C3738*IFERROR(INDEX(Setup!$C$47:$C$56,MATCH($B3738,Setup!$A$47:$A$56,0)),IFERROR(INDEX(Setup!$C$60:$C$89,MATCH($B3738,Setup!$A$60:$A$89,0)),"")))</f>
        <v/>
      </c>
      <c r="E3738" s="42"/>
      <c r="F3738" s="42"/>
    </row>
    <row r="3739" customFormat="false" ht="15" hidden="false" customHeight="true" outlineLevel="0" collapsed="false">
      <c r="A3739" s="42"/>
      <c r="B3739" s="42"/>
      <c r="C3739" s="42"/>
      <c r="D3739" s="28" t="str">
        <f aca="false">IF(OR($B3739="",$C3739=""),"",$C3739*IFERROR(INDEX(Setup!$C$47:$C$56,MATCH($B3739,Setup!$A$47:$A$56,0)),IFERROR(INDEX(Setup!$C$60:$C$89,MATCH($B3739,Setup!$A$60:$A$89,0)),"")))</f>
        <v/>
      </c>
      <c r="E3739" s="42"/>
      <c r="F3739" s="42"/>
    </row>
    <row r="3740" customFormat="false" ht="15" hidden="false" customHeight="true" outlineLevel="0" collapsed="false">
      <c r="A3740" s="42"/>
      <c r="B3740" s="42"/>
      <c r="C3740" s="42"/>
      <c r="D3740" s="28" t="str">
        <f aca="false">IF(OR($B3740="",$C3740=""),"",$C3740*IFERROR(INDEX(Setup!$C$47:$C$56,MATCH($B3740,Setup!$A$47:$A$56,0)),IFERROR(INDEX(Setup!$C$60:$C$89,MATCH($B3740,Setup!$A$60:$A$89,0)),"")))</f>
        <v/>
      </c>
      <c r="E3740" s="42"/>
      <c r="F3740" s="42"/>
    </row>
    <row r="3741" customFormat="false" ht="15" hidden="false" customHeight="true" outlineLevel="0" collapsed="false">
      <c r="A3741" s="42"/>
      <c r="B3741" s="42"/>
      <c r="C3741" s="42"/>
      <c r="D3741" s="28" t="str">
        <f aca="false">IF(OR($B3741="",$C3741=""),"",$C3741*IFERROR(INDEX(Setup!$C$47:$C$56,MATCH($B3741,Setup!$A$47:$A$56,0)),IFERROR(INDEX(Setup!$C$60:$C$89,MATCH($B3741,Setup!$A$60:$A$89,0)),"")))</f>
        <v/>
      </c>
      <c r="E3741" s="42"/>
      <c r="F3741" s="42"/>
    </row>
    <row r="3742" customFormat="false" ht="15" hidden="false" customHeight="true" outlineLevel="0" collapsed="false">
      <c r="A3742" s="42"/>
      <c r="B3742" s="42"/>
      <c r="C3742" s="42"/>
      <c r="D3742" s="28" t="str">
        <f aca="false">IF(OR($B3742="",$C3742=""),"",$C3742*IFERROR(INDEX(Setup!$C$47:$C$56,MATCH($B3742,Setup!$A$47:$A$56,0)),IFERROR(INDEX(Setup!$C$60:$C$89,MATCH($B3742,Setup!$A$60:$A$89,0)),"")))</f>
        <v/>
      </c>
      <c r="E3742" s="42"/>
      <c r="F3742" s="42"/>
    </row>
    <row r="3743" customFormat="false" ht="15" hidden="false" customHeight="true" outlineLevel="0" collapsed="false">
      <c r="A3743" s="42"/>
      <c r="B3743" s="42"/>
      <c r="C3743" s="42"/>
      <c r="D3743" s="28" t="str">
        <f aca="false">IF(OR($B3743="",$C3743=""),"",$C3743*IFERROR(INDEX(Setup!$C$47:$C$56,MATCH($B3743,Setup!$A$47:$A$56,0)),IFERROR(INDEX(Setup!$C$60:$C$89,MATCH($B3743,Setup!$A$60:$A$89,0)),"")))</f>
        <v/>
      </c>
      <c r="E3743" s="42"/>
      <c r="F3743" s="42"/>
    </row>
    <row r="3744" customFormat="false" ht="15" hidden="false" customHeight="true" outlineLevel="0" collapsed="false">
      <c r="A3744" s="42"/>
      <c r="B3744" s="42"/>
      <c r="C3744" s="42"/>
      <c r="D3744" s="28" t="str">
        <f aca="false">IF(OR($B3744="",$C3744=""),"",$C3744*IFERROR(INDEX(Setup!$C$47:$C$56,MATCH($B3744,Setup!$A$47:$A$56,0)),IFERROR(INDEX(Setup!$C$60:$C$89,MATCH($B3744,Setup!$A$60:$A$89,0)),"")))</f>
        <v/>
      </c>
      <c r="E3744" s="42"/>
      <c r="F3744" s="42"/>
    </row>
    <row r="3745" customFormat="false" ht="15" hidden="false" customHeight="true" outlineLevel="0" collapsed="false">
      <c r="A3745" s="42"/>
      <c r="B3745" s="42"/>
      <c r="C3745" s="42"/>
      <c r="D3745" s="28" t="str">
        <f aca="false">IF(OR($B3745="",$C3745=""),"",$C3745*IFERROR(INDEX(Setup!$C$47:$C$56,MATCH($B3745,Setup!$A$47:$A$56,0)),IFERROR(INDEX(Setup!$C$60:$C$89,MATCH($B3745,Setup!$A$60:$A$89,0)),"")))</f>
        <v/>
      </c>
      <c r="E3745" s="42"/>
      <c r="F3745" s="42"/>
    </row>
    <row r="3746" customFormat="false" ht="15" hidden="false" customHeight="true" outlineLevel="0" collapsed="false">
      <c r="A3746" s="42"/>
      <c r="B3746" s="42"/>
      <c r="C3746" s="42"/>
      <c r="D3746" s="28" t="str">
        <f aca="false">IF(OR($B3746="",$C3746=""),"",$C3746*IFERROR(INDEX(Setup!$C$47:$C$56,MATCH($B3746,Setup!$A$47:$A$56,0)),IFERROR(INDEX(Setup!$C$60:$C$89,MATCH($B3746,Setup!$A$60:$A$89,0)),"")))</f>
        <v/>
      </c>
      <c r="E3746" s="42"/>
      <c r="F3746" s="42"/>
    </row>
    <row r="3747" customFormat="false" ht="15" hidden="false" customHeight="true" outlineLevel="0" collapsed="false">
      <c r="A3747" s="42"/>
      <c r="B3747" s="42"/>
      <c r="C3747" s="42"/>
      <c r="D3747" s="28" t="str">
        <f aca="false">IF(OR($B3747="",$C3747=""),"",$C3747*IFERROR(INDEX(Setup!$C$47:$C$56,MATCH($B3747,Setup!$A$47:$A$56,0)),IFERROR(INDEX(Setup!$C$60:$C$89,MATCH($B3747,Setup!$A$60:$A$89,0)),"")))</f>
        <v/>
      </c>
      <c r="E3747" s="42"/>
      <c r="F3747" s="42"/>
    </row>
    <row r="3748" customFormat="false" ht="15" hidden="false" customHeight="true" outlineLevel="0" collapsed="false">
      <c r="A3748" s="42"/>
      <c r="B3748" s="42"/>
      <c r="C3748" s="42"/>
      <c r="D3748" s="28" t="str">
        <f aca="false">IF(OR($B3748="",$C3748=""),"",$C3748*IFERROR(INDEX(Setup!$C$47:$C$56,MATCH($B3748,Setup!$A$47:$A$56,0)),IFERROR(INDEX(Setup!$C$60:$C$89,MATCH($B3748,Setup!$A$60:$A$89,0)),"")))</f>
        <v/>
      </c>
      <c r="E3748" s="42"/>
      <c r="F3748" s="42"/>
    </row>
    <row r="3749" customFormat="false" ht="15" hidden="false" customHeight="true" outlineLevel="0" collapsed="false">
      <c r="A3749" s="42"/>
      <c r="B3749" s="42"/>
      <c r="C3749" s="42"/>
      <c r="D3749" s="28" t="str">
        <f aca="false">IF(OR($B3749="",$C3749=""),"",$C3749*IFERROR(INDEX(Setup!$C$47:$C$56,MATCH($B3749,Setup!$A$47:$A$56,0)),IFERROR(INDEX(Setup!$C$60:$C$89,MATCH($B3749,Setup!$A$60:$A$89,0)),"")))</f>
        <v/>
      </c>
      <c r="E3749" s="42"/>
      <c r="F3749" s="42"/>
    </row>
    <row r="3750" customFormat="false" ht="15" hidden="false" customHeight="true" outlineLevel="0" collapsed="false">
      <c r="A3750" s="42"/>
      <c r="B3750" s="42"/>
      <c r="C3750" s="42"/>
      <c r="D3750" s="28" t="str">
        <f aca="false">IF(OR($B3750="",$C3750=""),"",$C3750*IFERROR(INDEX(Setup!$C$47:$C$56,MATCH($B3750,Setup!$A$47:$A$56,0)),IFERROR(INDEX(Setup!$C$60:$C$89,MATCH($B3750,Setup!$A$60:$A$89,0)),"")))</f>
        <v/>
      </c>
      <c r="E3750" s="42"/>
      <c r="F3750" s="42"/>
    </row>
    <row r="3751" customFormat="false" ht="15" hidden="false" customHeight="true" outlineLevel="0" collapsed="false">
      <c r="A3751" s="42"/>
      <c r="B3751" s="42"/>
      <c r="C3751" s="42"/>
      <c r="D3751" s="28" t="str">
        <f aca="false">IF(OR($B3751="",$C3751=""),"",$C3751*IFERROR(INDEX(Setup!$C$47:$C$56,MATCH($B3751,Setup!$A$47:$A$56,0)),IFERROR(INDEX(Setup!$C$60:$C$89,MATCH($B3751,Setup!$A$60:$A$89,0)),"")))</f>
        <v/>
      </c>
      <c r="E3751" s="42"/>
      <c r="F3751" s="42"/>
    </row>
    <row r="3752" customFormat="false" ht="15" hidden="false" customHeight="true" outlineLevel="0" collapsed="false">
      <c r="A3752" s="42"/>
      <c r="B3752" s="42"/>
      <c r="C3752" s="42"/>
      <c r="D3752" s="28" t="str">
        <f aca="false">IF(OR($B3752="",$C3752=""),"",$C3752*IFERROR(INDEX(Setup!$C$47:$C$56,MATCH($B3752,Setup!$A$47:$A$56,0)),IFERROR(INDEX(Setup!$C$60:$C$89,MATCH($B3752,Setup!$A$60:$A$89,0)),"")))</f>
        <v/>
      </c>
      <c r="E3752" s="42"/>
      <c r="F3752" s="42"/>
    </row>
    <row r="3753" customFormat="false" ht="15" hidden="false" customHeight="true" outlineLevel="0" collapsed="false">
      <c r="A3753" s="42"/>
      <c r="B3753" s="42"/>
      <c r="C3753" s="42"/>
      <c r="D3753" s="28" t="str">
        <f aca="false">IF(OR($B3753="",$C3753=""),"",$C3753*IFERROR(INDEX(Setup!$C$47:$C$56,MATCH($B3753,Setup!$A$47:$A$56,0)),IFERROR(INDEX(Setup!$C$60:$C$89,MATCH($B3753,Setup!$A$60:$A$89,0)),"")))</f>
        <v/>
      </c>
      <c r="E3753" s="42"/>
      <c r="F3753" s="42"/>
    </row>
    <row r="3754" customFormat="false" ht="15" hidden="false" customHeight="true" outlineLevel="0" collapsed="false">
      <c r="A3754" s="42"/>
      <c r="B3754" s="42"/>
      <c r="C3754" s="42"/>
      <c r="D3754" s="28" t="str">
        <f aca="false">IF(OR($B3754="",$C3754=""),"",$C3754*IFERROR(INDEX(Setup!$C$47:$C$56,MATCH($B3754,Setup!$A$47:$A$56,0)),IFERROR(INDEX(Setup!$C$60:$C$89,MATCH($B3754,Setup!$A$60:$A$89,0)),"")))</f>
        <v/>
      </c>
      <c r="E3754" s="42"/>
      <c r="F3754" s="42"/>
    </row>
    <row r="3755" customFormat="false" ht="15" hidden="false" customHeight="true" outlineLevel="0" collapsed="false">
      <c r="A3755" s="42"/>
      <c r="B3755" s="42"/>
      <c r="C3755" s="42"/>
      <c r="D3755" s="28" t="str">
        <f aca="false">IF(OR($B3755="",$C3755=""),"",$C3755*IFERROR(INDEX(Setup!$C$47:$C$56,MATCH($B3755,Setup!$A$47:$A$56,0)),IFERROR(INDEX(Setup!$C$60:$C$89,MATCH($B3755,Setup!$A$60:$A$89,0)),"")))</f>
        <v/>
      </c>
      <c r="E3755" s="42"/>
      <c r="F3755" s="42"/>
    </row>
    <row r="3756" customFormat="false" ht="15" hidden="false" customHeight="true" outlineLevel="0" collapsed="false">
      <c r="A3756" s="42"/>
      <c r="B3756" s="42"/>
      <c r="C3756" s="42"/>
      <c r="D3756" s="28" t="str">
        <f aca="false">IF(OR($B3756="",$C3756=""),"",$C3756*IFERROR(INDEX(Setup!$C$47:$C$56,MATCH($B3756,Setup!$A$47:$A$56,0)),IFERROR(INDEX(Setup!$C$60:$C$89,MATCH($B3756,Setup!$A$60:$A$89,0)),"")))</f>
        <v/>
      </c>
      <c r="E3756" s="42"/>
      <c r="F3756" s="42"/>
    </row>
    <row r="3757" customFormat="false" ht="15" hidden="false" customHeight="true" outlineLevel="0" collapsed="false">
      <c r="A3757" s="42"/>
      <c r="B3757" s="42"/>
      <c r="C3757" s="42"/>
      <c r="D3757" s="28" t="str">
        <f aca="false">IF(OR($B3757="",$C3757=""),"",$C3757*IFERROR(INDEX(Setup!$C$47:$C$56,MATCH($B3757,Setup!$A$47:$A$56,0)),IFERROR(INDEX(Setup!$C$60:$C$89,MATCH($B3757,Setup!$A$60:$A$89,0)),"")))</f>
        <v/>
      </c>
      <c r="E3757" s="42"/>
      <c r="F3757" s="42"/>
    </row>
    <row r="3758" customFormat="false" ht="15" hidden="false" customHeight="true" outlineLevel="0" collapsed="false">
      <c r="A3758" s="42"/>
      <c r="B3758" s="42"/>
      <c r="C3758" s="42"/>
      <c r="D3758" s="28" t="str">
        <f aca="false">IF(OR($B3758="",$C3758=""),"",$C3758*IFERROR(INDEX(Setup!$C$47:$C$56,MATCH($B3758,Setup!$A$47:$A$56,0)),IFERROR(INDEX(Setup!$C$60:$C$89,MATCH($B3758,Setup!$A$60:$A$89,0)),"")))</f>
        <v/>
      </c>
      <c r="E3758" s="42"/>
      <c r="F3758" s="42"/>
    </row>
    <row r="3759" customFormat="false" ht="15" hidden="false" customHeight="true" outlineLevel="0" collapsed="false">
      <c r="A3759" s="42"/>
      <c r="B3759" s="42"/>
      <c r="C3759" s="42"/>
      <c r="D3759" s="28" t="str">
        <f aca="false">IF(OR($B3759="",$C3759=""),"",$C3759*IFERROR(INDEX(Setup!$C$47:$C$56,MATCH($B3759,Setup!$A$47:$A$56,0)),IFERROR(INDEX(Setup!$C$60:$C$89,MATCH($B3759,Setup!$A$60:$A$89,0)),"")))</f>
        <v/>
      </c>
      <c r="E3759" s="42"/>
      <c r="F3759" s="42"/>
    </row>
    <row r="3760" customFormat="false" ht="15" hidden="false" customHeight="true" outlineLevel="0" collapsed="false">
      <c r="A3760" s="42"/>
      <c r="B3760" s="42"/>
      <c r="C3760" s="42"/>
      <c r="D3760" s="28" t="str">
        <f aca="false">IF(OR($B3760="",$C3760=""),"",$C3760*IFERROR(INDEX(Setup!$C$47:$C$56,MATCH($B3760,Setup!$A$47:$A$56,0)),IFERROR(INDEX(Setup!$C$60:$C$89,MATCH($B3760,Setup!$A$60:$A$89,0)),"")))</f>
        <v/>
      </c>
      <c r="E3760" s="42"/>
      <c r="F3760" s="42"/>
    </row>
    <row r="3761" customFormat="false" ht="15" hidden="false" customHeight="true" outlineLevel="0" collapsed="false">
      <c r="A3761" s="42"/>
      <c r="B3761" s="42"/>
      <c r="C3761" s="42"/>
      <c r="D3761" s="28" t="str">
        <f aca="false">IF(OR($B3761="",$C3761=""),"",$C3761*IFERROR(INDEX(Setup!$C$47:$C$56,MATCH($B3761,Setup!$A$47:$A$56,0)),IFERROR(INDEX(Setup!$C$60:$C$89,MATCH($B3761,Setup!$A$60:$A$89,0)),"")))</f>
        <v/>
      </c>
      <c r="E3761" s="42"/>
      <c r="F3761" s="42"/>
    </row>
    <row r="3762" customFormat="false" ht="15" hidden="false" customHeight="true" outlineLevel="0" collapsed="false">
      <c r="A3762" s="42"/>
      <c r="B3762" s="42"/>
      <c r="C3762" s="42"/>
      <c r="D3762" s="28" t="str">
        <f aca="false">IF(OR($B3762="",$C3762=""),"",$C3762*IFERROR(INDEX(Setup!$C$47:$C$56,MATCH($B3762,Setup!$A$47:$A$56,0)),IFERROR(INDEX(Setup!$C$60:$C$89,MATCH($B3762,Setup!$A$60:$A$89,0)),"")))</f>
        <v/>
      </c>
      <c r="E3762" s="42"/>
      <c r="F3762" s="42"/>
    </row>
    <row r="3763" customFormat="false" ht="15" hidden="false" customHeight="true" outlineLevel="0" collapsed="false">
      <c r="A3763" s="42"/>
      <c r="B3763" s="42"/>
      <c r="C3763" s="42"/>
      <c r="D3763" s="28" t="str">
        <f aca="false">IF(OR($B3763="",$C3763=""),"",$C3763*IFERROR(INDEX(Setup!$C$47:$C$56,MATCH($B3763,Setup!$A$47:$A$56,0)),IFERROR(INDEX(Setup!$C$60:$C$89,MATCH($B3763,Setup!$A$60:$A$89,0)),"")))</f>
        <v/>
      </c>
      <c r="E3763" s="42"/>
      <c r="F3763" s="42"/>
    </row>
    <row r="3764" customFormat="false" ht="15" hidden="false" customHeight="true" outlineLevel="0" collapsed="false">
      <c r="A3764" s="42"/>
      <c r="B3764" s="42"/>
      <c r="C3764" s="42"/>
      <c r="D3764" s="28" t="str">
        <f aca="false">IF(OR($B3764="",$C3764=""),"",$C3764*IFERROR(INDEX(Setup!$C$47:$C$56,MATCH($B3764,Setup!$A$47:$A$56,0)),IFERROR(INDEX(Setup!$C$60:$C$89,MATCH($B3764,Setup!$A$60:$A$89,0)),"")))</f>
        <v/>
      </c>
      <c r="E3764" s="42"/>
      <c r="F3764" s="42"/>
    </row>
    <row r="3765" customFormat="false" ht="15" hidden="false" customHeight="true" outlineLevel="0" collapsed="false">
      <c r="A3765" s="42"/>
      <c r="B3765" s="42"/>
      <c r="C3765" s="42"/>
      <c r="D3765" s="28" t="str">
        <f aca="false">IF(OR($B3765="",$C3765=""),"",$C3765*IFERROR(INDEX(Setup!$C$47:$C$56,MATCH($B3765,Setup!$A$47:$A$56,0)),IFERROR(INDEX(Setup!$C$60:$C$89,MATCH($B3765,Setup!$A$60:$A$89,0)),"")))</f>
        <v/>
      </c>
      <c r="E3765" s="42"/>
      <c r="F3765" s="42"/>
    </row>
    <row r="3766" customFormat="false" ht="15" hidden="false" customHeight="true" outlineLevel="0" collapsed="false">
      <c r="A3766" s="42"/>
      <c r="B3766" s="42"/>
      <c r="C3766" s="42"/>
      <c r="D3766" s="28" t="str">
        <f aca="false">IF(OR($B3766="",$C3766=""),"",$C3766*IFERROR(INDEX(Setup!$C$47:$C$56,MATCH($B3766,Setup!$A$47:$A$56,0)),IFERROR(INDEX(Setup!$C$60:$C$89,MATCH($B3766,Setup!$A$60:$A$89,0)),"")))</f>
        <v/>
      </c>
      <c r="E3766" s="42"/>
      <c r="F3766" s="42"/>
    </row>
    <row r="3767" customFormat="false" ht="15" hidden="false" customHeight="true" outlineLevel="0" collapsed="false">
      <c r="A3767" s="42"/>
      <c r="B3767" s="42"/>
      <c r="C3767" s="42"/>
      <c r="D3767" s="28" t="str">
        <f aca="false">IF(OR($B3767="",$C3767=""),"",$C3767*IFERROR(INDEX(Setup!$C$47:$C$56,MATCH($B3767,Setup!$A$47:$A$56,0)),IFERROR(INDEX(Setup!$C$60:$C$89,MATCH($B3767,Setup!$A$60:$A$89,0)),"")))</f>
        <v/>
      </c>
      <c r="E3767" s="42"/>
      <c r="F3767" s="42"/>
    </row>
    <row r="3768" customFormat="false" ht="15" hidden="false" customHeight="true" outlineLevel="0" collapsed="false">
      <c r="A3768" s="42"/>
      <c r="B3768" s="42"/>
      <c r="C3768" s="42"/>
      <c r="D3768" s="28" t="str">
        <f aca="false">IF(OR($B3768="",$C3768=""),"",$C3768*IFERROR(INDEX(Setup!$C$47:$C$56,MATCH($B3768,Setup!$A$47:$A$56,0)),IFERROR(INDEX(Setup!$C$60:$C$89,MATCH($B3768,Setup!$A$60:$A$89,0)),"")))</f>
        <v/>
      </c>
      <c r="E3768" s="42"/>
      <c r="F3768" s="42"/>
    </row>
    <row r="3769" customFormat="false" ht="15" hidden="false" customHeight="true" outlineLevel="0" collapsed="false">
      <c r="A3769" s="42"/>
      <c r="B3769" s="42"/>
      <c r="C3769" s="42"/>
      <c r="D3769" s="28" t="str">
        <f aca="false">IF(OR($B3769="",$C3769=""),"",$C3769*IFERROR(INDEX(Setup!$C$47:$C$56,MATCH($B3769,Setup!$A$47:$A$56,0)),IFERROR(INDEX(Setup!$C$60:$C$89,MATCH($B3769,Setup!$A$60:$A$89,0)),"")))</f>
        <v/>
      </c>
      <c r="E3769" s="42"/>
      <c r="F3769" s="42"/>
    </row>
    <row r="3770" customFormat="false" ht="15" hidden="false" customHeight="true" outlineLevel="0" collapsed="false">
      <c r="A3770" s="42"/>
      <c r="B3770" s="42"/>
      <c r="C3770" s="42"/>
      <c r="D3770" s="28" t="str">
        <f aca="false">IF(OR($B3770="",$C3770=""),"",$C3770*IFERROR(INDEX(Setup!$C$47:$C$56,MATCH($B3770,Setup!$A$47:$A$56,0)),IFERROR(INDEX(Setup!$C$60:$C$89,MATCH($B3770,Setup!$A$60:$A$89,0)),"")))</f>
        <v/>
      </c>
      <c r="E3770" s="42"/>
      <c r="F3770" s="42"/>
    </row>
    <row r="3771" customFormat="false" ht="15" hidden="false" customHeight="true" outlineLevel="0" collapsed="false">
      <c r="A3771" s="42"/>
      <c r="B3771" s="42"/>
      <c r="C3771" s="42"/>
      <c r="D3771" s="28" t="str">
        <f aca="false">IF(OR($B3771="",$C3771=""),"",$C3771*IFERROR(INDEX(Setup!$C$47:$C$56,MATCH($B3771,Setup!$A$47:$A$56,0)),IFERROR(INDEX(Setup!$C$60:$C$89,MATCH($B3771,Setup!$A$60:$A$89,0)),"")))</f>
        <v/>
      </c>
      <c r="E3771" s="42"/>
      <c r="F3771" s="42"/>
    </row>
    <row r="3772" customFormat="false" ht="15" hidden="false" customHeight="true" outlineLevel="0" collapsed="false">
      <c r="A3772" s="42"/>
      <c r="B3772" s="42"/>
      <c r="C3772" s="42"/>
      <c r="D3772" s="28" t="str">
        <f aca="false">IF(OR($B3772="",$C3772=""),"",$C3772*IFERROR(INDEX(Setup!$C$47:$C$56,MATCH($B3772,Setup!$A$47:$A$56,0)),IFERROR(INDEX(Setup!$C$60:$C$89,MATCH($B3772,Setup!$A$60:$A$89,0)),"")))</f>
        <v/>
      </c>
      <c r="E3772" s="42"/>
      <c r="F3772" s="42"/>
    </row>
    <row r="3773" customFormat="false" ht="15" hidden="false" customHeight="true" outlineLevel="0" collapsed="false">
      <c r="A3773" s="42"/>
      <c r="B3773" s="42"/>
      <c r="C3773" s="42"/>
      <c r="D3773" s="28" t="str">
        <f aca="false">IF(OR($B3773="",$C3773=""),"",$C3773*IFERROR(INDEX(Setup!$C$47:$C$56,MATCH($B3773,Setup!$A$47:$A$56,0)),IFERROR(INDEX(Setup!$C$60:$C$89,MATCH($B3773,Setup!$A$60:$A$89,0)),"")))</f>
        <v/>
      </c>
      <c r="E3773" s="42"/>
      <c r="F3773" s="42"/>
    </row>
    <row r="3774" customFormat="false" ht="15" hidden="false" customHeight="true" outlineLevel="0" collapsed="false">
      <c r="A3774" s="42"/>
      <c r="B3774" s="42"/>
      <c r="C3774" s="42"/>
      <c r="D3774" s="28" t="str">
        <f aca="false">IF(OR($B3774="",$C3774=""),"",$C3774*IFERROR(INDEX(Setup!$C$47:$C$56,MATCH($B3774,Setup!$A$47:$A$56,0)),IFERROR(INDEX(Setup!$C$60:$C$89,MATCH($B3774,Setup!$A$60:$A$89,0)),"")))</f>
        <v/>
      </c>
      <c r="E3774" s="42"/>
      <c r="F3774" s="42"/>
    </row>
    <row r="3775" customFormat="false" ht="15" hidden="false" customHeight="true" outlineLevel="0" collapsed="false">
      <c r="A3775" s="42"/>
      <c r="B3775" s="42"/>
      <c r="C3775" s="42"/>
      <c r="D3775" s="28" t="str">
        <f aca="false">IF(OR($B3775="",$C3775=""),"",$C3775*IFERROR(INDEX(Setup!$C$47:$C$56,MATCH($B3775,Setup!$A$47:$A$56,0)),IFERROR(INDEX(Setup!$C$60:$C$89,MATCH($B3775,Setup!$A$60:$A$89,0)),"")))</f>
        <v/>
      </c>
      <c r="E3775" s="42"/>
      <c r="F3775" s="42"/>
    </row>
    <row r="3776" customFormat="false" ht="15" hidden="false" customHeight="true" outlineLevel="0" collapsed="false">
      <c r="A3776" s="42"/>
      <c r="B3776" s="42"/>
      <c r="C3776" s="42"/>
      <c r="D3776" s="28" t="str">
        <f aca="false">IF(OR($B3776="",$C3776=""),"",$C3776*IFERROR(INDEX(Setup!$C$47:$C$56,MATCH($B3776,Setup!$A$47:$A$56,0)),IFERROR(INDEX(Setup!$C$60:$C$89,MATCH($B3776,Setup!$A$60:$A$89,0)),"")))</f>
        <v/>
      </c>
      <c r="E3776" s="42"/>
      <c r="F3776" s="42"/>
    </row>
    <row r="3777" customFormat="false" ht="15" hidden="false" customHeight="true" outlineLevel="0" collapsed="false">
      <c r="A3777" s="42"/>
      <c r="B3777" s="42"/>
      <c r="C3777" s="42"/>
      <c r="D3777" s="28" t="str">
        <f aca="false">IF(OR($B3777="",$C3777=""),"",$C3777*IFERROR(INDEX(Setup!$C$47:$C$56,MATCH($B3777,Setup!$A$47:$A$56,0)),IFERROR(INDEX(Setup!$C$60:$C$89,MATCH($B3777,Setup!$A$60:$A$89,0)),"")))</f>
        <v/>
      </c>
      <c r="E3777" s="42"/>
      <c r="F3777" s="42"/>
    </row>
    <row r="3778" customFormat="false" ht="15" hidden="false" customHeight="true" outlineLevel="0" collapsed="false">
      <c r="A3778" s="42"/>
      <c r="B3778" s="42"/>
      <c r="C3778" s="42"/>
      <c r="D3778" s="28" t="str">
        <f aca="false">IF(OR($B3778="",$C3778=""),"",$C3778*IFERROR(INDEX(Setup!$C$47:$C$56,MATCH($B3778,Setup!$A$47:$A$56,0)),IFERROR(INDEX(Setup!$C$60:$C$89,MATCH($B3778,Setup!$A$60:$A$89,0)),"")))</f>
        <v/>
      </c>
      <c r="E3778" s="42"/>
      <c r="F3778" s="42"/>
    </row>
    <row r="3779" customFormat="false" ht="15" hidden="false" customHeight="true" outlineLevel="0" collapsed="false">
      <c r="A3779" s="42"/>
      <c r="B3779" s="42"/>
      <c r="C3779" s="42"/>
      <c r="D3779" s="28" t="str">
        <f aca="false">IF(OR($B3779="",$C3779=""),"",$C3779*IFERROR(INDEX(Setup!$C$47:$C$56,MATCH($B3779,Setup!$A$47:$A$56,0)),IFERROR(INDEX(Setup!$C$60:$C$89,MATCH($B3779,Setup!$A$60:$A$89,0)),"")))</f>
        <v/>
      </c>
      <c r="E3779" s="42"/>
      <c r="F3779" s="42"/>
    </row>
    <row r="3780" customFormat="false" ht="15" hidden="false" customHeight="true" outlineLevel="0" collapsed="false">
      <c r="A3780" s="42"/>
      <c r="B3780" s="42"/>
      <c r="C3780" s="42"/>
      <c r="D3780" s="28" t="str">
        <f aca="false">IF(OR($B3780="",$C3780=""),"",$C3780*IFERROR(INDEX(Setup!$C$47:$C$56,MATCH($B3780,Setup!$A$47:$A$56,0)),IFERROR(INDEX(Setup!$C$60:$C$89,MATCH($B3780,Setup!$A$60:$A$89,0)),"")))</f>
        <v/>
      </c>
      <c r="E3780" s="42"/>
      <c r="F3780" s="42"/>
    </row>
    <row r="3781" customFormat="false" ht="15" hidden="false" customHeight="true" outlineLevel="0" collapsed="false">
      <c r="A3781" s="42"/>
      <c r="B3781" s="42"/>
      <c r="C3781" s="42"/>
      <c r="D3781" s="28" t="str">
        <f aca="false">IF(OR($B3781="",$C3781=""),"",$C3781*IFERROR(INDEX(Setup!$C$47:$C$56,MATCH($B3781,Setup!$A$47:$A$56,0)),IFERROR(INDEX(Setup!$C$60:$C$89,MATCH($B3781,Setup!$A$60:$A$89,0)),"")))</f>
        <v/>
      </c>
      <c r="E3781" s="42"/>
      <c r="F3781" s="42"/>
    </row>
    <row r="3782" customFormat="false" ht="15" hidden="false" customHeight="true" outlineLevel="0" collapsed="false">
      <c r="A3782" s="42"/>
      <c r="B3782" s="42"/>
      <c r="C3782" s="42"/>
      <c r="D3782" s="28" t="str">
        <f aca="false">IF(OR($B3782="",$C3782=""),"",$C3782*IFERROR(INDEX(Setup!$C$47:$C$56,MATCH($B3782,Setup!$A$47:$A$56,0)),IFERROR(INDEX(Setup!$C$60:$C$89,MATCH($B3782,Setup!$A$60:$A$89,0)),"")))</f>
        <v/>
      </c>
      <c r="E3782" s="42"/>
      <c r="F3782" s="42"/>
    </row>
    <row r="3783" customFormat="false" ht="15" hidden="false" customHeight="true" outlineLevel="0" collapsed="false">
      <c r="A3783" s="42"/>
      <c r="B3783" s="42"/>
      <c r="C3783" s="42"/>
      <c r="D3783" s="28" t="str">
        <f aca="false">IF(OR($B3783="",$C3783=""),"",$C3783*IFERROR(INDEX(Setup!$C$47:$C$56,MATCH($B3783,Setup!$A$47:$A$56,0)),IFERROR(INDEX(Setup!$C$60:$C$89,MATCH($B3783,Setup!$A$60:$A$89,0)),"")))</f>
        <v/>
      </c>
      <c r="E3783" s="42"/>
      <c r="F3783" s="42"/>
    </row>
    <row r="3784" customFormat="false" ht="15" hidden="false" customHeight="true" outlineLevel="0" collapsed="false">
      <c r="A3784" s="42"/>
      <c r="B3784" s="42"/>
      <c r="C3784" s="42"/>
      <c r="D3784" s="28" t="str">
        <f aca="false">IF(OR($B3784="",$C3784=""),"",$C3784*IFERROR(INDEX(Setup!$C$47:$C$56,MATCH($B3784,Setup!$A$47:$A$56,0)),IFERROR(INDEX(Setup!$C$60:$C$89,MATCH($B3784,Setup!$A$60:$A$89,0)),"")))</f>
        <v/>
      </c>
      <c r="E3784" s="42"/>
      <c r="F3784" s="42"/>
    </row>
    <row r="3785" customFormat="false" ht="15" hidden="false" customHeight="true" outlineLevel="0" collapsed="false">
      <c r="A3785" s="42"/>
      <c r="B3785" s="42"/>
      <c r="C3785" s="42"/>
      <c r="D3785" s="28" t="str">
        <f aca="false">IF(OR($B3785="",$C3785=""),"",$C3785*IFERROR(INDEX(Setup!$C$47:$C$56,MATCH($B3785,Setup!$A$47:$A$56,0)),IFERROR(INDEX(Setup!$C$60:$C$89,MATCH($B3785,Setup!$A$60:$A$89,0)),"")))</f>
        <v/>
      </c>
      <c r="E3785" s="42"/>
      <c r="F3785" s="42"/>
    </row>
    <row r="3786" customFormat="false" ht="15" hidden="false" customHeight="true" outlineLevel="0" collapsed="false">
      <c r="A3786" s="42"/>
      <c r="B3786" s="42"/>
      <c r="C3786" s="42"/>
      <c r="D3786" s="28" t="str">
        <f aca="false">IF(OR($B3786="",$C3786=""),"",$C3786*IFERROR(INDEX(Setup!$C$47:$C$56,MATCH($B3786,Setup!$A$47:$A$56,0)),IFERROR(INDEX(Setup!$C$60:$C$89,MATCH($B3786,Setup!$A$60:$A$89,0)),"")))</f>
        <v/>
      </c>
      <c r="E3786" s="42"/>
      <c r="F3786" s="42"/>
    </row>
    <row r="3787" customFormat="false" ht="15" hidden="false" customHeight="true" outlineLevel="0" collapsed="false">
      <c r="A3787" s="42"/>
      <c r="B3787" s="42"/>
      <c r="C3787" s="42"/>
      <c r="D3787" s="28" t="str">
        <f aca="false">IF(OR($B3787="",$C3787=""),"",$C3787*IFERROR(INDEX(Setup!$C$47:$C$56,MATCH($B3787,Setup!$A$47:$A$56,0)),IFERROR(INDEX(Setup!$C$60:$C$89,MATCH($B3787,Setup!$A$60:$A$89,0)),"")))</f>
        <v/>
      </c>
      <c r="E3787" s="42"/>
      <c r="F3787" s="42"/>
    </row>
    <row r="3788" customFormat="false" ht="15" hidden="false" customHeight="true" outlineLevel="0" collapsed="false">
      <c r="A3788" s="42"/>
      <c r="B3788" s="42"/>
      <c r="C3788" s="42"/>
      <c r="D3788" s="28" t="str">
        <f aca="false">IF(OR($B3788="",$C3788=""),"",$C3788*IFERROR(INDEX(Setup!$C$47:$C$56,MATCH($B3788,Setup!$A$47:$A$56,0)),IFERROR(INDEX(Setup!$C$60:$C$89,MATCH($B3788,Setup!$A$60:$A$89,0)),"")))</f>
        <v/>
      </c>
      <c r="E3788" s="42"/>
      <c r="F3788" s="42"/>
    </row>
    <row r="3789" customFormat="false" ht="15" hidden="false" customHeight="true" outlineLevel="0" collapsed="false">
      <c r="A3789" s="42"/>
      <c r="B3789" s="42"/>
      <c r="C3789" s="42"/>
      <c r="D3789" s="28" t="str">
        <f aca="false">IF(OR($B3789="",$C3789=""),"",$C3789*IFERROR(INDEX(Setup!$C$47:$C$56,MATCH($B3789,Setup!$A$47:$A$56,0)),IFERROR(INDEX(Setup!$C$60:$C$89,MATCH($B3789,Setup!$A$60:$A$89,0)),"")))</f>
        <v/>
      </c>
      <c r="E3789" s="42"/>
      <c r="F3789" s="42"/>
    </row>
    <row r="3790" customFormat="false" ht="15" hidden="false" customHeight="true" outlineLevel="0" collapsed="false">
      <c r="A3790" s="42"/>
      <c r="B3790" s="42"/>
      <c r="C3790" s="42"/>
      <c r="D3790" s="28" t="str">
        <f aca="false">IF(OR($B3790="",$C3790=""),"",$C3790*IFERROR(INDEX(Setup!$C$47:$C$56,MATCH($B3790,Setup!$A$47:$A$56,0)),IFERROR(INDEX(Setup!$C$60:$C$89,MATCH($B3790,Setup!$A$60:$A$89,0)),"")))</f>
        <v/>
      </c>
      <c r="E3790" s="42"/>
      <c r="F3790" s="42"/>
    </row>
    <row r="3791" customFormat="false" ht="15" hidden="false" customHeight="true" outlineLevel="0" collapsed="false">
      <c r="A3791" s="42"/>
      <c r="B3791" s="42"/>
      <c r="C3791" s="42"/>
      <c r="D3791" s="28" t="str">
        <f aca="false">IF(OR($B3791="",$C3791=""),"",$C3791*IFERROR(INDEX(Setup!$C$47:$C$56,MATCH($B3791,Setup!$A$47:$A$56,0)),IFERROR(INDEX(Setup!$C$60:$C$89,MATCH($B3791,Setup!$A$60:$A$89,0)),"")))</f>
        <v/>
      </c>
      <c r="E3791" s="42"/>
      <c r="F3791" s="42"/>
    </row>
    <row r="3792" customFormat="false" ht="15" hidden="false" customHeight="true" outlineLevel="0" collapsed="false">
      <c r="A3792" s="42"/>
      <c r="B3792" s="42"/>
      <c r="C3792" s="42"/>
      <c r="D3792" s="28" t="str">
        <f aca="false">IF(OR($B3792="",$C3792=""),"",$C3792*IFERROR(INDEX(Setup!$C$47:$C$56,MATCH($B3792,Setup!$A$47:$A$56,0)),IFERROR(INDEX(Setup!$C$60:$C$89,MATCH($B3792,Setup!$A$60:$A$89,0)),"")))</f>
        <v/>
      </c>
      <c r="E3792" s="42"/>
      <c r="F3792" s="42"/>
    </row>
    <row r="3793" customFormat="false" ht="15" hidden="false" customHeight="true" outlineLevel="0" collapsed="false">
      <c r="A3793" s="42"/>
      <c r="B3793" s="42"/>
      <c r="C3793" s="42"/>
      <c r="D3793" s="28" t="str">
        <f aca="false">IF(OR($B3793="",$C3793=""),"",$C3793*IFERROR(INDEX(Setup!$C$47:$C$56,MATCH($B3793,Setup!$A$47:$A$56,0)),IFERROR(INDEX(Setup!$C$60:$C$89,MATCH($B3793,Setup!$A$60:$A$89,0)),"")))</f>
        <v/>
      </c>
      <c r="E3793" s="42"/>
      <c r="F3793" s="42"/>
    </row>
    <row r="3794" customFormat="false" ht="15" hidden="false" customHeight="true" outlineLevel="0" collapsed="false">
      <c r="A3794" s="42"/>
      <c r="B3794" s="42"/>
      <c r="C3794" s="42"/>
      <c r="D3794" s="28" t="str">
        <f aca="false">IF(OR($B3794="",$C3794=""),"",$C3794*IFERROR(INDEX(Setup!$C$47:$C$56,MATCH($B3794,Setup!$A$47:$A$56,0)),IFERROR(INDEX(Setup!$C$60:$C$89,MATCH($B3794,Setup!$A$60:$A$89,0)),"")))</f>
        <v/>
      </c>
      <c r="E3794" s="42"/>
      <c r="F3794" s="42"/>
    </row>
    <row r="3795" customFormat="false" ht="15" hidden="false" customHeight="true" outlineLevel="0" collapsed="false">
      <c r="A3795" s="42"/>
      <c r="B3795" s="42"/>
      <c r="C3795" s="42"/>
      <c r="D3795" s="28" t="str">
        <f aca="false">IF(OR($B3795="",$C3795=""),"",$C3795*IFERROR(INDEX(Setup!$C$47:$C$56,MATCH($B3795,Setup!$A$47:$A$56,0)),IFERROR(INDEX(Setup!$C$60:$C$89,MATCH($B3795,Setup!$A$60:$A$89,0)),"")))</f>
        <v/>
      </c>
      <c r="E3795" s="42"/>
      <c r="F3795" s="42"/>
    </row>
    <row r="3796" customFormat="false" ht="15" hidden="false" customHeight="true" outlineLevel="0" collapsed="false">
      <c r="A3796" s="42"/>
      <c r="B3796" s="42"/>
      <c r="C3796" s="42"/>
      <c r="D3796" s="28" t="str">
        <f aca="false">IF(OR($B3796="",$C3796=""),"",$C3796*IFERROR(INDEX(Setup!$C$47:$C$56,MATCH($B3796,Setup!$A$47:$A$56,0)),IFERROR(INDEX(Setup!$C$60:$C$89,MATCH($B3796,Setup!$A$60:$A$89,0)),"")))</f>
        <v/>
      </c>
      <c r="E3796" s="42"/>
      <c r="F3796" s="42"/>
    </row>
    <row r="3797" customFormat="false" ht="15" hidden="false" customHeight="true" outlineLevel="0" collapsed="false">
      <c r="A3797" s="42"/>
      <c r="B3797" s="42"/>
      <c r="C3797" s="42"/>
      <c r="D3797" s="28" t="str">
        <f aca="false">IF(OR($B3797="",$C3797=""),"",$C3797*IFERROR(INDEX(Setup!$C$47:$C$56,MATCH($B3797,Setup!$A$47:$A$56,0)),IFERROR(INDEX(Setup!$C$60:$C$89,MATCH($B3797,Setup!$A$60:$A$89,0)),"")))</f>
        <v/>
      </c>
      <c r="E3797" s="42"/>
      <c r="F3797" s="42"/>
    </row>
    <row r="3798" customFormat="false" ht="15" hidden="false" customHeight="true" outlineLevel="0" collapsed="false">
      <c r="A3798" s="42"/>
      <c r="B3798" s="42"/>
      <c r="C3798" s="42"/>
      <c r="D3798" s="28" t="str">
        <f aca="false">IF(OR($B3798="",$C3798=""),"",$C3798*IFERROR(INDEX(Setup!$C$47:$C$56,MATCH($B3798,Setup!$A$47:$A$56,0)),IFERROR(INDEX(Setup!$C$60:$C$89,MATCH($B3798,Setup!$A$60:$A$89,0)),"")))</f>
        <v/>
      </c>
      <c r="E3798" s="42"/>
      <c r="F3798" s="42"/>
    </row>
    <row r="3799" customFormat="false" ht="15" hidden="false" customHeight="true" outlineLevel="0" collapsed="false">
      <c r="A3799" s="42"/>
      <c r="B3799" s="42"/>
      <c r="C3799" s="42"/>
      <c r="D3799" s="28" t="str">
        <f aca="false">IF(OR($B3799="",$C3799=""),"",$C3799*IFERROR(INDEX(Setup!$C$47:$C$56,MATCH($B3799,Setup!$A$47:$A$56,0)),IFERROR(INDEX(Setup!$C$60:$C$89,MATCH($B3799,Setup!$A$60:$A$89,0)),"")))</f>
        <v/>
      </c>
      <c r="E3799" s="42"/>
      <c r="F3799" s="42"/>
    </row>
    <row r="3800" customFormat="false" ht="15" hidden="false" customHeight="true" outlineLevel="0" collapsed="false">
      <c r="A3800" s="42"/>
      <c r="B3800" s="42"/>
      <c r="C3800" s="42"/>
      <c r="D3800" s="28" t="str">
        <f aca="false">IF(OR($B3800="",$C3800=""),"",$C3800*IFERROR(INDEX(Setup!$C$47:$C$56,MATCH($B3800,Setup!$A$47:$A$56,0)),IFERROR(INDEX(Setup!$C$60:$C$89,MATCH($B3800,Setup!$A$60:$A$89,0)),"")))</f>
        <v/>
      </c>
      <c r="E3800" s="42"/>
      <c r="F3800" s="42"/>
    </row>
    <row r="3801" customFormat="false" ht="15" hidden="false" customHeight="true" outlineLevel="0" collapsed="false">
      <c r="A3801" s="42"/>
      <c r="B3801" s="42"/>
      <c r="C3801" s="42"/>
      <c r="D3801" s="28" t="str">
        <f aca="false">IF(OR($B3801="",$C3801=""),"",$C3801*IFERROR(INDEX(Setup!$C$47:$C$56,MATCH($B3801,Setup!$A$47:$A$56,0)),IFERROR(INDEX(Setup!$C$60:$C$89,MATCH($B3801,Setup!$A$60:$A$89,0)),"")))</f>
        <v/>
      </c>
      <c r="E3801" s="42"/>
      <c r="F3801" s="42"/>
    </row>
    <row r="3802" customFormat="false" ht="15" hidden="false" customHeight="true" outlineLevel="0" collapsed="false">
      <c r="A3802" s="42"/>
      <c r="B3802" s="42"/>
      <c r="C3802" s="42"/>
      <c r="D3802" s="28" t="str">
        <f aca="false">IF(OR($B3802="",$C3802=""),"",$C3802*IFERROR(INDEX(Setup!$C$47:$C$56,MATCH($B3802,Setup!$A$47:$A$56,0)),IFERROR(INDEX(Setup!$C$60:$C$89,MATCH($B3802,Setup!$A$60:$A$89,0)),"")))</f>
        <v/>
      </c>
      <c r="E3802" s="42"/>
      <c r="F3802" s="42"/>
    </row>
    <row r="3803" customFormat="false" ht="15" hidden="false" customHeight="true" outlineLevel="0" collapsed="false">
      <c r="A3803" s="42"/>
      <c r="B3803" s="42"/>
      <c r="C3803" s="42"/>
      <c r="D3803" s="28" t="str">
        <f aca="false">IF(OR($B3803="",$C3803=""),"",$C3803*IFERROR(INDEX(Setup!$C$47:$C$56,MATCH($B3803,Setup!$A$47:$A$56,0)),IFERROR(INDEX(Setup!$C$60:$C$89,MATCH($B3803,Setup!$A$60:$A$89,0)),"")))</f>
        <v/>
      </c>
      <c r="E3803" s="42"/>
      <c r="F3803" s="42"/>
    </row>
    <row r="3804" customFormat="false" ht="15" hidden="false" customHeight="true" outlineLevel="0" collapsed="false">
      <c r="A3804" s="42"/>
      <c r="B3804" s="42"/>
      <c r="C3804" s="42"/>
      <c r="D3804" s="28" t="str">
        <f aca="false">IF(OR($B3804="",$C3804=""),"",$C3804*IFERROR(INDEX(Setup!$C$47:$C$56,MATCH($B3804,Setup!$A$47:$A$56,0)),IFERROR(INDEX(Setup!$C$60:$C$89,MATCH($B3804,Setup!$A$60:$A$89,0)),"")))</f>
        <v/>
      </c>
      <c r="E3804" s="42"/>
      <c r="F3804" s="42"/>
    </row>
    <row r="3805" customFormat="false" ht="15" hidden="false" customHeight="true" outlineLevel="0" collapsed="false">
      <c r="A3805" s="42"/>
      <c r="B3805" s="42"/>
      <c r="C3805" s="42"/>
      <c r="D3805" s="28" t="str">
        <f aca="false">IF(OR($B3805="",$C3805=""),"",$C3805*IFERROR(INDEX(Setup!$C$47:$C$56,MATCH($B3805,Setup!$A$47:$A$56,0)),IFERROR(INDEX(Setup!$C$60:$C$89,MATCH($B3805,Setup!$A$60:$A$89,0)),"")))</f>
        <v/>
      </c>
      <c r="E3805" s="42"/>
      <c r="F3805" s="42"/>
    </row>
    <row r="3806" customFormat="false" ht="15" hidden="false" customHeight="true" outlineLevel="0" collapsed="false">
      <c r="A3806" s="42"/>
      <c r="B3806" s="42"/>
      <c r="C3806" s="42"/>
      <c r="D3806" s="28" t="str">
        <f aca="false">IF(OR($B3806="",$C3806=""),"",$C3806*IFERROR(INDEX(Setup!$C$47:$C$56,MATCH($B3806,Setup!$A$47:$A$56,0)),IFERROR(INDEX(Setup!$C$60:$C$89,MATCH($B3806,Setup!$A$60:$A$89,0)),"")))</f>
        <v/>
      </c>
      <c r="E3806" s="42"/>
      <c r="F3806" s="42"/>
    </row>
    <row r="3807" customFormat="false" ht="15" hidden="false" customHeight="true" outlineLevel="0" collapsed="false">
      <c r="A3807" s="42"/>
      <c r="B3807" s="42"/>
      <c r="C3807" s="42"/>
      <c r="D3807" s="28" t="str">
        <f aca="false">IF(OR($B3807="",$C3807=""),"",$C3807*IFERROR(INDEX(Setup!$C$47:$C$56,MATCH($B3807,Setup!$A$47:$A$56,0)),IFERROR(INDEX(Setup!$C$60:$C$89,MATCH($B3807,Setup!$A$60:$A$89,0)),"")))</f>
        <v/>
      </c>
      <c r="E3807" s="42"/>
      <c r="F3807" s="42"/>
    </row>
    <row r="3808" customFormat="false" ht="15" hidden="false" customHeight="true" outlineLevel="0" collapsed="false">
      <c r="A3808" s="42"/>
      <c r="B3808" s="42"/>
      <c r="C3808" s="42"/>
      <c r="D3808" s="28" t="str">
        <f aca="false">IF(OR($B3808="",$C3808=""),"",$C3808*IFERROR(INDEX(Setup!$C$47:$C$56,MATCH($B3808,Setup!$A$47:$A$56,0)),IFERROR(INDEX(Setup!$C$60:$C$89,MATCH($B3808,Setup!$A$60:$A$89,0)),"")))</f>
        <v/>
      </c>
      <c r="E3808" s="42"/>
      <c r="F3808" s="42"/>
    </row>
    <row r="3809" customFormat="false" ht="15" hidden="false" customHeight="true" outlineLevel="0" collapsed="false">
      <c r="A3809" s="42"/>
      <c r="B3809" s="42"/>
      <c r="C3809" s="42"/>
      <c r="D3809" s="28" t="str">
        <f aca="false">IF(OR($B3809="",$C3809=""),"",$C3809*IFERROR(INDEX(Setup!$C$47:$C$56,MATCH($B3809,Setup!$A$47:$A$56,0)),IFERROR(INDEX(Setup!$C$60:$C$89,MATCH($B3809,Setup!$A$60:$A$89,0)),"")))</f>
        <v/>
      </c>
      <c r="E3809" s="42"/>
      <c r="F3809" s="42"/>
    </row>
    <row r="3810" customFormat="false" ht="15" hidden="false" customHeight="true" outlineLevel="0" collapsed="false">
      <c r="A3810" s="42"/>
      <c r="B3810" s="42"/>
      <c r="C3810" s="42"/>
      <c r="D3810" s="28" t="str">
        <f aca="false">IF(OR($B3810="",$C3810=""),"",$C3810*IFERROR(INDEX(Setup!$C$47:$C$56,MATCH($B3810,Setup!$A$47:$A$56,0)),IFERROR(INDEX(Setup!$C$60:$C$89,MATCH($B3810,Setup!$A$60:$A$89,0)),"")))</f>
        <v/>
      </c>
      <c r="E3810" s="42"/>
      <c r="F3810" s="42"/>
    </row>
    <row r="3811" customFormat="false" ht="15" hidden="false" customHeight="true" outlineLevel="0" collapsed="false">
      <c r="A3811" s="42"/>
      <c r="B3811" s="42"/>
      <c r="C3811" s="42"/>
      <c r="D3811" s="28" t="str">
        <f aca="false">IF(OR($B3811="",$C3811=""),"",$C3811*IFERROR(INDEX(Setup!$C$47:$C$56,MATCH($B3811,Setup!$A$47:$A$56,0)),IFERROR(INDEX(Setup!$C$60:$C$89,MATCH($B3811,Setup!$A$60:$A$89,0)),"")))</f>
        <v/>
      </c>
      <c r="E3811" s="42"/>
      <c r="F3811" s="42"/>
    </row>
    <row r="3812" customFormat="false" ht="15" hidden="false" customHeight="true" outlineLevel="0" collapsed="false">
      <c r="A3812" s="42"/>
      <c r="B3812" s="42"/>
      <c r="C3812" s="42"/>
      <c r="D3812" s="28" t="str">
        <f aca="false">IF(OR($B3812="",$C3812=""),"",$C3812*IFERROR(INDEX(Setup!$C$47:$C$56,MATCH($B3812,Setup!$A$47:$A$56,0)),IFERROR(INDEX(Setup!$C$60:$C$89,MATCH($B3812,Setup!$A$60:$A$89,0)),"")))</f>
        <v/>
      </c>
      <c r="E3812" s="42"/>
      <c r="F3812" s="42"/>
    </row>
    <row r="3813" customFormat="false" ht="15" hidden="false" customHeight="true" outlineLevel="0" collapsed="false">
      <c r="A3813" s="42"/>
      <c r="B3813" s="42"/>
      <c r="C3813" s="42"/>
      <c r="D3813" s="28" t="str">
        <f aca="false">IF(OR($B3813="",$C3813=""),"",$C3813*IFERROR(INDEX(Setup!$C$47:$C$56,MATCH($B3813,Setup!$A$47:$A$56,0)),IFERROR(INDEX(Setup!$C$60:$C$89,MATCH($B3813,Setup!$A$60:$A$89,0)),"")))</f>
        <v/>
      </c>
      <c r="E3813" s="42"/>
      <c r="F3813" s="42"/>
    </row>
    <row r="3814" customFormat="false" ht="15" hidden="false" customHeight="true" outlineLevel="0" collapsed="false">
      <c r="A3814" s="42"/>
      <c r="B3814" s="42"/>
      <c r="C3814" s="42"/>
      <c r="D3814" s="28" t="str">
        <f aca="false">IF(OR($B3814="",$C3814=""),"",$C3814*IFERROR(INDEX(Setup!$C$47:$C$56,MATCH($B3814,Setup!$A$47:$A$56,0)),IFERROR(INDEX(Setup!$C$60:$C$89,MATCH($B3814,Setup!$A$60:$A$89,0)),"")))</f>
        <v/>
      </c>
      <c r="E3814" s="42"/>
      <c r="F3814" s="42"/>
    </row>
    <row r="3815" customFormat="false" ht="15" hidden="false" customHeight="true" outlineLevel="0" collapsed="false">
      <c r="A3815" s="42"/>
      <c r="B3815" s="42"/>
      <c r="C3815" s="42"/>
      <c r="D3815" s="28" t="str">
        <f aca="false">IF(OR($B3815="",$C3815=""),"",$C3815*IFERROR(INDEX(Setup!$C$47:$C$56,MATCH($B3815,Setup!$A$47:$A$56,0)),IFERROR(INDEX(Setup!$C$60:$C$89,MATCH($B3815,Setup!$A$60:$A$89,0)),"")))</f>
        <v/>
      </c>
      <c r="E3815" s="42"/>
      <c r="F3815" s="42"/>
    </row>
    <row r="3816" customFormat="false" ht="15" hidden="false" customHeight="true" outlineLevel="0" collapsed="false">
      <c r="A3816" s="42"/>
      <c r="B3816" s="42"/>
      <c r="C3816" s="42"/>
      <c r="D3816" s="28" t="str">
        <f aca="false">IF(OR($B3816="",$C3816=""),"",$C3816*IFERROR(INDEX(Setup!$C$47:$C$56,MATCH($B3816,Setup!$A$47:$A$56,0)),IFERROR(INDEX(Setup!$C$60:$C$89,MATCH($B3816,Setup!$A$60:$A$89,0)),"")))</f>
        <v/>
      </c>
      <c r="E3816" s="42"/>
      <c r="F3816" s="42"/>
    </row>
    <row r="3817" customFormat="false" ht="15" hidden="false" customHeight="true" outlineLevel="0" collapsed="false">
      <c r="A3817" s="42"/>
      <c r="B3817" s="42"/>
      <c r="C3817" s="42"/>
      <c r="D3817" s="28" t="str">
        <f aca="false">IF(OR($B3817="",$C3817=""),"",$C3817*IFERROR(INDEX(Setup!$C$47:$C$56,MATCH($B3817,Setup!$A$47:$A$56,0)),IFERROR(INDEX(Setup!$C$60:$C$89,MATCH($B3817,Setup!$A$60:$A$89,0)),"")))</f>
        <v/>
      </c>
      <c r="E3817" s="42"/>
      <c r="F3817" s="42"/>
    </row>
    <row r="3818" customFormat="false" ht="15" hidden="false" customHeight="true" outlineLevel="0" collapsed="false">
      <c r="A3818" s="42"/>
      <c r="B3818" s="42"/>
      <c r="C3818" s="42"/>
      <c r="D3818" s="28" t="str">
        <f aca="false">IF(OR($B3818="",$C3818=""),"",$C3818*IFERROR(INDEX(Setup!$C$47:$C$56,MATCH($B3818,Setup!$A$47:$A$56,0)),IFERROR(INDEX(Setup!$C$60:$C$89,MATCH($B3818,Setup!$A$60:$A$89,0)),"")))</f>
        <v/>
      </c>
      <c r="E3818" s="42"/>
      <c r="F3818" s="42"/>
    </row>
    <row r="3819" customFormat="false" ht="15" hidden="false" customHeight="true" outlineLevel="0" collapsed="false">
      <c r="A3819" s="42"/>
      <c r="B3819" s="42"/>
      <c r="C3819" s="42"/>
      <c r="D3819" s="28" t="str">
        <f aca="false">IF(OR($B3819="",$C3819=""),"",$C3819*IFERROR(INDEX(Setup!$C$47:$C$56,MATCH($B3819,Setup!$A$47:$A$56,0)),IFERROR(INDEX(Setup!$C$60:$C$89,MATCH($B3819,Setup!$A$60:$A$89,0)),"")))</f>
        <v/>
      </c>
      <c r="E3819" s="42"/>
      <c r="F3819" s="42"/>
    </row>
    <row r="3820" customFormat="false" ht="15" hidden="false" customHeight="true" outlineLevel="0" collapsed="false">
      <c r="A3820" s="42"/>
      <c r="B3820" s="42"/>
      <c r="C3820" s="42"/>
      <c r="D3820" s="28" t="str">
        <f aca="false">IF(OR($B3820="",$C3820=""),"",$C3820*IFERROR(INDEX(Setup!$C$47:$C$56,MATCH($B3820,Setup!$A$47:$A$56,0)),IFERROR(INDEX(Setup!$C$60:$C$89,MATCH($B3820,Setup!$A$60:$A$89,0)),"")))</f>
        <v/>
      </c>
      <c r="E3820" s="42"/>
      <c r="F3820" s="42"/>
    </row>
    <row r="3821" customFormat="false" ht="15" hidden="false" customHeight="true" outlineLevel="0" collapsed="false">
      <c r="A3821" s="42"/>
      <c r="B3821" s="42"/>
      <c r="C3821" s="42"/>
      <c r="D3821" s="28" t="str">
        <f aca="false">IF(OR($B3821="",$C3821=""),"",$C3821*IFERROR(INDEX(Setup!$C$47:$C$56,MATCH($B3821,Setup!$A$47:$A$56,0)),IFERROR(INDEX(Setup!$C$60:$C$89,MATCH($B3821,Setup!$A$60:$A$89,0)),"")))</f>
        <v/>
      </c>
      <c r="E3821" s="42"/>
      <c r="F3821" s="42"/>
    </row>
    <row r="3822" customFormat="false" ht="15" hidden="false" customHeight="true" outlineLevel="0" collapsed="false">
      <c r="A3822" s="42"/>
      <c r="B3822" s="42"/>
      <c r="C3822" s="42"/>
      <c r="D3822" s="28" t="str">
        <f aca="false">IF(OR($B3822="",$C3822=""),"",$C3822*IFERROR(INDEX(Setup!$C$47:$C$56,MATCH($B3822,Setup!$A$47:$A$56,0)),IFERROR(INDEX(Setup!$C$60:$C$89,MATCH($B3822,Setup!$A$60:$A$89,0)),"")))</f>
        <v/>
      </c>
      <c r="E3822" s="42"/>
      <c r="F3822" s="42"/>
    </row>
    <row r="3823" customFormat="false" ht="15" hidden="false" customHeight="true" outlineLevel="0" collapsed="false">
      <c r="A3823" s="42"/>
      <c r="B3823" s="42"/>
      <c r="C3823" s="42"/>
      <c r="D3823" s="28" t="str">
        <f aca="false">IF(OR($B3823="",$C3823=""),"",$C3823*IFERROR(INDEX(Setup!$C$47:$C$56,MATCH($B3823,Setup!$A$47:$A$56,0)),IFERROR(INDEX(Setup!$C$60:$C$89,MATCH($B3823,Setup!$A$60:$A$89,0)),"")))</f>
        <v/>
      </c>
      <c r="E3823" s="42"/>
      <c r="F3823" s="42"/>
    </row>
    <row r="3824" customFormat="false" ht="15" hidden="false" customHeight="true" outlineLevel="0" collapsed="false">
      <c r="A3824" s="42"/>
      <c r="B3824" s="42"/>
      <c r="C3824" s="42"/>
      <c r="D3824" s="28" t="str">
        <f aca="false">IF(OR($B3824="",$C3824=""),"",$C3824*IFERROR(INDEX(Setup!$C$47:$C$56,MATCH($B3824,Setup!$A$47:$A$56,0)),IFERROR(INDEX(Setup!$C$60:$C$89,MATCH($B3824,Setup!$A$60:$A$89,0)),"")))</f>
        <v/>
      </c>
      <c r="E3824" s="42"/>
      <c r="F3824" s="42"/>
    </row>
    <row r="3825" customFormat="false" ht="15" hidden="false" customHeight="true" outlineLevel="0" collapsed="false">
      <c r="A3825" s="42"/>
      <c r="B3825" s="42"/>
      <c r="C3825" s="42"/>
      <c r="D3825" s="28" t="str">
        <f aca="false">IF(OR($B3825="",$C3825=""),"",$C3825*IFERROR(INDEX(Setup!$C$47:$C$56,MATCH($B3825,Setup!$A$47:$A$56,0)),IFERROR(INDEX(Setup!$C$60:$C$89,MATCH($B3825,Setup!$A$60:$A$89,0)),"")))</f>
        <v/>
      </c>
      <c r="E3825" s="42"/>
      <c r="F3825" s="42"/>
    </row>
    <row r="3826" customFormat="false" ht="15" hidden="false" customHeight="true" outlineLevel="0" collapsed="false">
      <c r="A3826" s="42"/>
      <c r="B3826" s="42"/>
      <c r="C3826" s="42"/>
      <c r="D3826" s="28" t="str">
        <f aca="false">IF(OR($B3826="",$C3826=""),"",$C3826*IFERROR(INDEX(Setup!$C$47:$C$56,MATCH($B3826,Setup!$A$47:$A$56,0)),IFERROR(INDEX(Setup!$C$60:$C$89,MATCH($B3826,Setup!$A$60:$A$89,0)),"")))</f>
        <v/>
      </c>
      <c r="E3826" s="42"/>
      <c r="F3826" s="42"/>
    </row>
    <row r="3827" customFormat="false" ht="15" hidden="false" customHeight="true" outlineLevel="0" collapsed="false">
      <c r="A3827" s="42"/>
      <c r="B3827" s="42"/>
      <c r="C3827" s="42"/>
      <c r="D3827" s="28" t="str">
        <f aca="false">IF(OR($B3827="",$C3827=""),"",$C3827*IFERROR(INDEX(Setup!$C$47:$C$56,MATCH($B3827,Setup!$A$47:$A$56,0)),IFERROR(INDEX(Setup!$C$60:$C$89,MATCH($B3827,Setup!$A$60:$A$89,0)),"")))</f>
        <v/>
      </c>
      <c r="E3827" s="42"/>
      <c r="F3827" s="42"/>
    </row>
    <row r="3828" customFormat="false" ht="15" hidden="false" customHeight="true" outlineLevel="0" collapsed="false">
      <c r="A3828" s="42"/>
      <c r="B3828" s="42"/>
      <c r="C3828" s="42"/>
      <c r="D3828" s="28" t="str">
        <f aca="false">IF(OR($B3828="",$C3828=""),"",$C3828*IFERROR(INDEX(Setup!$C$47:$C$56,MATCH($B3828,Setup!$A$47:$A$56,0)),IFERROR(INDEX(Setup!$C$60:$C$89,MATCH($B3828,Setup!$A$60:$A$89,0)),"")))</f>
        <v/>
      </c>
      <c r="E3828" s="42"/>
      <c r="F3828" s="42"/>
    </row>
    <row r="3829" customFormat="false" ht="15" hidden="false" customHeight="true" outlineLevel="0" collapsed="false">
      <c r="A3829" s="42"/>
      <c r="B3829" s="42"/>
      <c r="C3829" s="42"/>
      <c r="D3829" s="28" t="str">
        <f aca="false">IF(OR($B3829="",$C3829=""),"",$C3829*IFERROR(INDEX(Setup!$C$47:$C$56,MATCH($B3829,Setup!$A$47:$A$56,0)),IFERROR(INDEX(Setup!$C$60:$C$89,MATCH($B3829,Setup!$A$60:$A$89,0)),"")))</f>
        <v/>
      </c>
      <c r="E3829" s="42"/>
      <c r="F3829" s="42"/>
    </row>
    <row r="3830" customFormat="false" ht="15" hidden="false" customHeight="true" outlineLevel="0" collapsed="false">
      <c r="A3830" s="42"/>
      <c r="B3830" s="42"/>
      <c r="C3830" s="42"/>
      <c r="D3830" s="28" t="str">
        <f aca="false">IF(OR($B3830="",$C3830=""),"",$C3830*IFERROR(INDEX(Setup!$C$47:$C$56,MATCH($B3830,Setup!$A$47:$A$56,0)),IFERROR(INDEX(Setup!$C$60:$C$89,MATCH($B3830,Setup!$A$60:$A$89,0)),"")))</f>
        <v/>
      </c>
      <c r="E3830" s="42"/>
      <c r="F3830" s="42"/>
    </row>
    <row r="3831" customFormat="false" ht="15" hidden="false" customHeight="true" outlineLevel="0" collapsed="false">
      <c r="A3831" s="42"/>
      <c r="B3831" s="42"/>
      <c r="C3831" s="42"/>
      <c r="D3831" s="28" t="str">
        <f aca="false">IF(OR($B3831="",$C3831=""),"",$C3831*IFERROR(INDEX(Setup!$C$47:$C$56,MATCH($B3831,Setup!$A$47:$A$56,0)),IFERROR(INDEX(Setup!$C$60:$C$89,MATCH($B3831,Setup!$A$60:$A$89,0)),"")))</f>
        <v/>
      </c>
      <c r="E3831" s="42"/>
      <c r="F3831" s="42"/>
    </row>
    <row r="3832" customFormat="false" ht="15" hidden="false" customHeight="true" outlineLevel="0" collapsed="false">
      <c r="A3832" s="42"/>
      <c r="B3832" s="42"/>
      <c r="C3832" s="42"/>
      <c r="D3832" s="28" t="str">
        <f aca="false">IF(OR($B3832="",$C3832=""),"",$C3832*IFERROR(INDEX(Setup!$C$47:$C$56,MATCH($B3832,Setup!$A$47:$A$56,0)),IFERROR(INDEX(Setup!$C$60:$C$89,MATCH($B3832,Setup!$A$60:$A$89,0)),"")))</f>
        <v/>
      </c>
      <c r="E3832" s="42"/>
      <c r="F3832" s="42"/>
    </row>
    <row r="3833" customFormat="false" ht="15" hidden="false" customHeight="true" outlineLevel="0" collapsed="false">
      <c r="A3833" s="42"/>
      <c r="B3833" s="42"/>
      <c r="C3833" s="42"/>
      <c r="D3833" s="28" t="str">
        <f aca="false">IF(OR($B3833="",$C3833=""),"",$C3833*IFERROR(INDEX(Setup!$C$47:$C$56,MATCH($B3833,Setup!$A$47:$A$56,0)),IFERROR(INDEX(Setup!$C$60:$C$89,MATCH($B3833,Setup!$A$60:$A$89,0)),"")))</f>
        <v/>
      </c>
      <c r="E3833" s="42"/>
      <c r="F3833" s="42"/>
    </row>
    <row r="3834" customFormat="false" ht="15" hidden="false" customHeight="true" outlineLevel="0" collapsed="false">
      <c r="A3834" s="42"/>
      <c r="B3834" s="42"/>
      <c r="C3834" s="42"/>
      <c r="D3834" s="28" t="str">
        <f aca="false">IF(OR($B3834="",$C3834=""),"",$C3834*IFERROR(INDEX(Setup!$C$47:$C$56,MATCH($B3834,Setup!$A$47:$A$56,0)),IFERROR(INDEX(Setup!$C$60:$C$89,MATCH($B3834,Setup!$A$60:$A$89,0)),"")))</f>
        <v/>
      </c>
      <c r="E3834" s="42"/>
      <c r="F3834" s="42"/>
    </row>
    <row r="3835" customFormat="false" ht="15" hidden="false" customHeight="true" outlineLevel="0" collapsed="false">
      <c r="A3835" s="42"/>
      <c r="B3835" s="42"/>
      <c r="C3835" s="42"/>
      <c r="D3835" s="28" t="str">
        <f aca="false">IF(OR($B3835="",$C3835=""),"",$C3835*IFERROR(INDEX(Setup!$C$47:$C$56,MATCH($B3835,Setup!$A$47:$A$56,0)),IFERROR(INDEX(Setup!$C$60:$C$89,MATCH($B3835,Setup!$A$60:$A$89,0)),"")))</f>
        <v/>
      </c>
      <c r="E3835" s="42"/>
      <c r="F3835" s="42"/>
    </row>
    <row r="3836" customFormat="false" ht="15" hidden="false" customHeight="true" outlineLevel="0" collapsed="false">
      <c r="A3836" s="42"/>
      <c r="B3836" s="42"/>
      <c r="C3836" s="42"/>
      <c r="D3836" s="28" t="str">
        <f aca="false">IF(OR($B3836="",$C3836=""),"",$C3836*IFERROR(INDEX(Setup!$C$47:$C$56,MATCH($B3836,Setup!$A$47:$A$56,0)),IFERROR(INDEX(Setup!$C$60:$C$89,MATCH($B3836,Setup!$A$60:$A$89,0)),"")))</f>
        <v/>
      </c>
      <c r="E3836" s="42"/>
      <c r="F3836" s="42"/>
    </row>
    <row r="3837" customFormat="false" ht="15" hidden="false" customHeight="true" outlineLevel="0" collapsed="false">
      <c r="A3837" s="42"/>
      <c r="B3837" s="42"/>
      <c r="C3837" s="42"/>
      <c r="D3837" s="28" t="str">
        <f aca="false">IF(OR($B3837="",$C3837=""),"",$C3837*IFERROR(INDEX(Setup!$C$47:$C$56,MATCH($B3837,Setup!$A$47:$A$56,0)),IFERROR(INDEX(Setup!$C$60:$C$89,MATCH($B3837,Setup!$A$60:$A$89,0)),"")))</f>
        <v/>
      </c>
      <c r="E3837" s="42"/>
      <c r="F3837" s="42"/>
    </row>
    <row r="3838" customFormat="false" ht="15" hidden="false" customHeight="true" outlineLevel="0" collapsed="false">
      <c r="A3838" s="42"/>
      <c r="B3838" s="42"/>
      <c r="C3838" s="42"/>
      <c r="D3838" s="28" t="str">
        <f aca="false">IF(OR($B3838="",$C3838=""),"",$C3838*IFERROR(INDEX(Setup!$C$47:$C$56,MATCH($B3838,Setup!$A$47:$A$56,0)),IFERROR(INDEX(Setup!$C$60:$C$89,MATCH($B3838,Setup!$A$60:$A$89,0)),"")))</f>
        <v/>
      </c>
      <c r="E3838" s="42"/>
      <c r="F3838" s="42"/>
    </row>
    <row r="3839" customFormat="false" ht="15" hidden="false" customHeight="true" outlineLevel="0" collapsed="false">
      <c r="A3839" s="42"/>
      <c r="B3839" s="42"/>
      <c r="C3839" s="42"/>
      <c r="D3839" s="28" t="str">
        <f aca="false">IF(OR($B3839="",$C3839=""),"",$C3839*IFERROR(INDEX(Setup!$C$47:$C$56,MATCH($B3839,Setup!$A$47:$A$56,0)),IFERROR(INDEX(Setup!$C$60:$C$89,MATCH($B3839,Setup!$A$60:$A$89,0)),"")))</f>
        <v/>
      </c>
      <c r="E3839" s="42"/>
      <c r="F3839" s="42"/>
    </row>
    <row r="3840" customFormat="false" ht="15" hidden="false" customHeight="true" outlineLevel="0" collapsed="false">
      <c r="A3840" s="42"/>
      <c r="B3840" s="42"/>
      <c r="C3840" s="42"/>
      <c r="D3840" s="28" t="str">
        <f aca="false">IF(OR($B3840="",$C3840=""),"",$C3840*IFERROR(INDEX(Setup!$C$47:$C$56,MATCH($B3840,Setup!$A$47:$A$56,0)),IFERROR(INDEX(Setup!$C$60:$C$89,MATCH($B3840,Setup!$A$60:$A$89,0)),"")))</f>
        <v/>
      </c>
      <c r="E3840" s="42"/>
      <c r="F3840" s="42"/>
    </row>
    <row r="3841" customFormat="false" ht="15" hidden="false" customHeight="true" outlineLevel="0" collapsed="false">
      <c r="A3841" s="42"/>
      <c r="B3841" s="42"/>
      <c r="C3841" s="42"/>
      <c r="D3841" s="28" t="str">
        <f aca="false">IF(OR($B3841="",$C3841=""),"",$C3841*IFERROR(INDEX(Setup!$C$47:$C$56,MATCH($B3841,Setup!$A$47:$A$56,0)),IFERROR(INDEX(Setup!$C$60:$C$89,MATCH($B3841,Setup!$A$60:$A$89,0)),"")))</f>
        <v/>
      </c>
      <c r="E3841" s="42"/>
      <c r="F3841" s="42"/>
    </row>
    <row r="3842" customFormat="false" ht="15" hidden="false" customHeight="true" outlineLevel="0" collapsed="false">
      <c r="A3842" s="42"/>
      <c r="B3842" s="42"/>
      <c r="C3842" s="42"/>
      <c r="D3842" s="28" t="str">
        <f aca="false">IF(OR($B3842="",$C3842=""),"",$C3842*IFERROR(INDEX(Setup!$C$47:$C$56,MATCH($B3842,Setup!$A$47:$A$56,0)),IFERROR(INDEX(Setup!$C$60:$C$89,MATCH($B3842,Setup!$A$60:$A$89,0)),"")))</f>
        <v/>
      </c>
      <c r="E3842" s="42"/>
      <c r="F3842" s="42"/>
    </row>
    <row r="3843" customFormat="false" ht="15" hidden="false" customHeight="true" outlineLevel="0" collapsed="false">
      <c r="A3843" s="42"/>
      <c r="B3843" s="42"/>
      <c r="C3843" s="42"/>
      <c r="D3843" s="28" t="str">
        <f aca="false">IF(OR($B3843="",$C3843=""),"",$C3843*IFERROR(INDEX(Setup!$C$47:$C$56,MATCH($B3843,Setup!$A$47:$A$56,0)),IFERROR(INDEX(Setup!$C$60:$C$89,MATCH($B3843,Setup!$A$60:$A$89,0)),"")))</f>
        <v/>
      </c>
      <c r="E3843" s="42"/>
      <c r="F3843" s="42"/>
    </row>
    <row r="3844" customFormat="false" ht="15" hidden="false" customHeight="true" outlineLevel="0" collapsed="false">
      <c r="A3844" s="42"/>
      <c r="B3844" s="42"/>
      <c r="C3844" s="42"/>
      <c r="D3844" s="28" t="str">
        <f aca="false">IF(OR($B3844="",$C3844=""),"",$C3844*IFERROR(INDEX(Setup!$C$47:$C$56,MATCH($B3844,Setup!$A$47:$A$56,0)),IFERROR(INDEX(Setup!$C$60:$C$89,MATCH($B3844,Setup!$A$60:$A$89,0)),"")))</f>
        <v/>
      </c>
      <c r="E3844" s="42"/>
      <c r="F3844" s="42"/>
    </row>
    <row r="3845" customFormat="false" ht="15" hidden="false" customHeight="true" outlineLevel="0" collapsed="false">
      <c r="A3845" s="42"/>
      <c r="B3845" s="42"/>
      <c r="C3845" s="42"/>
      <c r="D3845" s="28" t="str">
        <f aca="false">IF(OR($B3845="",$C3845=""),"",$C3845*IFERROR(INDEX(Setup!$C$47:$C$56,MATCH($B3845,Setup!$A$47:$A$56,0)),IFERROR(INDEX(Setup!$C$60:$C$89,MATCH($B3845,Setup!$A$60:$A$89,0)),"")))</f>
        <v/>
      </c>
      <c r="E3845" s="42"/>
      <c r="F3845" s="42"/>
    </row>
    <row r="3846" customFormat="false" ht="15" hidden="false" customHeight="true" outlineLevel="0" collapsed="false">
      <c r="A3846" s="42"/>
      <c r="B3846" s="42"/>
      <c r="C3846" s="42"/>
      <c r="D3846" s="28" t="str">
        <f aca="false">IF(OR($B3846="",$C3846=""),"",$C3846*IFERROR(INDEX(Setup!$C$47:$C$56,MATCH($B3846,Setup!$A$47:$A$56,0)),IFERROR(INDEX(Setup!$C$60:$C$89,MATCH($B3846,Setup!$A$60:$A$89,0)),"")))</f>
        <v/>
      </c>
      <c r="E3846" s="42"/>
      <c r="F3846" s="42"/>
    </row>
    <row r="3847" customFormat="false" ht="15" hidden="false" customHeight="true" outlineLevel="0" collapsed="false">
      <c r="A3847" s="42"/>
      <c r="B3847" s="42"/>
      <c r="C3847" s="42"/>
      <c r="D3847" s="28" t="str">
        <f aca="false">IF(OR($B3847="",$C3847=""),"",$C3847*IFERROR(INDEX(Setup!$C$47:$C$56,MATCH($B3847,Setup!$A$47:$A$56,0)),IFERROR(INDEX(Setup!$C$60:$C$89,MATCH($B3847,Setup!$A$60:$A$89,0)),"")))</f>
        <v/>
      </c>
      <c r="E3847" s="42"/>
      <c r="F3847" s="42"/>
    </row>
    <row r="3848" customFormat="false" ht="15" hidden="false" customHeight="true" outlineLevel="0" collapsed="false">
      <c r="A3848" s="42"/>
      <c r="B3848" s="42"/>
      <c r="C3848" s="42"/>
      <c r="D3848" s="28" t="str">
        <f aca="false">IF(OR($B3848="",$C3848=""),"",$C3848*IFERROR(INDEX(Setup!$C$47:$C$56,MATCH($B3848,Setup!$A$47:$A$56,0)),IFERROR(INDEX(Setup!$C$60:$C$89,MATCH($B3848,Setup!$A$60:$A$89,0)),"")))</f>
        <v/>
      </c>
      <c r="E3848" s="42"/>
      <c r="F3848" s="42"/>
    </row>
    <row r="3849" customFormat="false" ht="15" hidden="false" customHeight="true" outlineLevel="0" collapsed="false">
      <c r="A3849" s="42"/>
      <c r="B3849" s="42"/>
      <c r="C3849" s="42"/>
      <c r="D3849" s="28" t="str">
        <f aca="false">IF(OR($B3849="",$C3849=""),"",$C3849*IFERROR(INDEX(Setup!$C$47:$C$56,MATCH($B3849,Setup!$A$47:$A$56,0)),IFERROR(INDEX(Setup!$C$60:$C$89,MATCH($B3849,Setup!$A$60:$A$89,0)),"")))</f>
        <v/>
      </c>
      <c r="E3849" s="42"/>
      <c r="F3849" s="42"/>
    </row>
    <row r="3850" customFormat="false" ht="15" hidden="false" customHeight="true" outlineLevel="0" collapsed="false">
      <c r="A3850" s="42"/>
      <c r="B3850" s="42"/>
      <c r="C3850" s="42"/>
      <c r="D3850" s="28" t="str">
        <f aca="false">IF(OR($B3850="",$C3850=""),"",$C3850*IFERROR(INDEX(Setup!$C$47:$C$56,MATCH($B3850,Setup!$A$47:$A$56,0)),IFERROR(INDEX(Setup!$C$60:$C$89,MATCH($B3850,Setup!$A$60:$A$89,0)),"")))</f>
        <v/>
      </c>
      <c r="E3850" s="42"/>
      <c r="F3850" s="42"/>
    </row>
    <row r="3851" customFormat="false" ht="15" hidden="false" customHeight="true" outlineLevel="0" collapsed="false">
      <c r="A3851" s="42"/>
      <c r="B3851" s="42"/>
      <c r="C3851" s="42"/>
      <c r="D3851" s="28" t="str">
        <f aca="false">IF(OR($B3851="",$C3851=""),"",$C3851*IFERROR(INDEX(Setup!$C$47:$C$56,MATCH($B3851,Setup!$A$47:$A$56,0)),IFERROR(INDEX(Setup!$C$60:$C$89,MATCH($B3851,Setup!$A$60:$A$89,0)),"")))</f>
        <v/>
      </c>
      <c r="E3851" s="42"/>
      <c r="F3851" s="42"/>
    </row>
    <row r="3852" customFormat="false" ht="15" hidden="false" customHeight="true" outlineLevel="0" collapsed="false">
      <c r="A3852" s="42"/>
      <c r="B3852" s="42"/>
      <c r="C3852" s="42"/>
      <c r="D3852" s="28" t="str">
        <f aca="false">IF(OR($B3852="",$C3852=""),"",$C3852*IFERROR(INDEX(Setup!$C$47:$C$56,MATCH($B3852,Setup!$A$47:$A$56,0)),IFERROR(INDEX(Setup!$C$60:$C$89,MATCH($B3852,Setup!$A$60:$A$89,0)),"")))</f>
        <v/>
      </c>
      <c r="E3852" s="42"/>
      <c r="F3852" s="42"/>
    </row>
    <row r="3853" customFormat="false" ht="15" hidden="false" customHeight="true" outlineLevel="0" collapsed="false">
      <c r="A3853" s="42"/>
      <c r="B3853" s="42"/>
      <c r="C3853" s="42"/>
      <c r="D3853" s="28" t="str">
        <f aca="false">IF(OR($B3853="",$C3853=""),"",$C3853*IFERROR(INDEX(Setup!$C$47:$C$56,MATCH($B3853,Setup!$A$47:$A$56,0)),IFERROR(INDEX(Setup!$C$60:$C$89,MATCH($B3853,Setup!$A$60:$A$89,0)),"")))</f>
        <v/>
      </c>
      <c r="E3853" s="42"/>
      <c r="F3853" s="42"/>
    </row>
    <row r="3854" customFormat="false" ht="15" hidden="false" customHeight="true" outlineLevel="0" collapsed="false">
      <c r="A3854" s="42"/>
      <c r="B3854" s="42"/>
      <c r="C3854" s="42"/>
      <c r="D3854" s="28" t="str">
        <f aca="false">IF(OR($B3854="",$C3854=""),"",$C3854*IFERROR(INDEX(Setup!$C$47:$C$56,MATCH($B3854,Setup!$A$47:$A$56,0)),IFERROR(INDEX(Setup!$C$60:$C$89,MATCH($B3854,Setup!$A$60:$A$89,0)),"")))</f>
        <v/>
      </c>
      <c r="E3854" s="42"/>
      <c r="F3854" s="42"/>
    </row>
    <row r="3855" customFormat="false" ht="15" hidden="false" customHeight="true" outlineLevel="0" collapsed="false">
      <c r="A3855" s="42"/>
      <c r="B3855" s="42"/>
      <c r="C3855" s="42"/>
      <c r="D3855" s="28" t="str">
        <f aca="false">IF(OR($B3855="",$C3855=""),"",$C3855*IFERROR(INDEX(Setup!$C$47:$C$56,MATCH($B3855,Setup!$A$47:$A$56,0)),IFERROR(INDEX(Setup!$C$60:$C$89,MATCH($B3855,Setup!$A$60:$A$89,0)),"")))</f>
        <v/>
      </c>
      <c r="E3855" s="42"/>
      <c r="F3855" s="42"/>
    </row>
    <row r="3856" customFormat="false" ht="15" hidden="false" customHeight="true" outlineLevel="0" collapsed="false">
      <c r="A3856" s="42"/>
      <c r="B3856" s="42"/>
      <c r="C3856" s="42"/>
      <c r="D3856" s="28" t="str">
        <f aca="false">IF(OR($B3856="",$C3856=""),"",$C3856*IFERROR(INDEX(Setup!$C$47:$C$56,MATCH($B3856,Setup!$A$47:$A$56,0)),IFERROR(INDEX(Setup!$C$60:$C$89,MATCH($B3856,Setup!$A$60:$A$89,0)),"")))</f>
        <v/>
      </c>
      <c r="E3856" s="42"/>
      <c r="F3856" s="42"/>
    </row>
    <row r="3857" customFormat="false" ht="15" hidden="false" customHeight="true" outlineLevel="0" collapsed="false">
      <c r="A3857" s="42"/>
      <c r="B3857" s="42"/>
      <c r="C3857" s="42"/>
      <c r="D3857" s="28" t="str">
        <f aca="false">IF(OR($B3857="",$C3857=""),"",$C3857*IFERROR(INDEX(Setup!$C$47:$C$56,MATCH($B3857,Setup!$A$47:$A$56,0)),IFERROR(INDEX(Setup!$C$60:$C$89,MATCH($B3857,Setup!$A$60:$A$89,0)),"")))</f>
        <v/>
      </c>
      <c r="E3857" s="42"/>
      <c r="F3857" s="42"/>
    </row>
    <row r="3858" customFormat="false" ht="15" hidden="false" customHeight="true" outlineLevel="0" collapsed="false">
      <c r="A3858" s="42"/>
      <c r="B3858" s="42"/>
      <c r="C3858" s="42"/>
      <c r="D3858" s="28" t="str">
        <f aca="false">IF(OR($B3858="",$C3858=""),"",$C3858*IFERROR(INDEX(Setup!$C$47:$C$56,MATCH($B3858,Setup!$A$47:$A$56,0)),IFERROR(INDEX(Setup!$C$60:$C$89,MATCH($B3858,Setup!$A$60:$A$89,0)),"")))</f>
        <v/>
      </c>
      <c r="E3858" s="42"/>
      <c r="F3858" s="42"/>
    </row>
    <row r="3859" customFormat="false" ht="15" hidden="false" customHeight="true" outlineLevel="0" collapsed="false">
      <c r="A3859" s="42"/>
      <c r="B3859" s="42"/>
      <c r="C3859" s="42"/>
      <c r="D3859" s="28" t="str">
        <f aca="false">IF(OR($B3859="",$C3859=""),"",$C3859*IFERROR(INDEX(Setup!$C$47:$C$56,MATCH($B3859,Setup!$A$47:$A$56,0)),IFERROR(INDEX(Setup!$C$60:$C$89,MATCH($B3859,Setup!$A$60:$A$89,0)),"")))</f>
        <v/>
      </c>
      <c r="E3859" s="42"/>
      <c r="F3859" s="42"/>
    </row>
    <row r="3860" customFormat="false" ht="15" hidden="false" customHeight="true" outlineLevel="0" collapsed="false">
      <c r="A3860" s="42"/>
      <c r="B3860" s="42"/>
      <c r="C3860" s="42"/>
      <c r="D3860" s="28" t="str">
        <f aca="false">IF(OR($B3860="",$C3860=""),"",$C3860*IFERROR(INDEX(Setup!$C$47:$C$56,MATCH($B3860,Setup!$A$47:$A$56,0)),IFERROR(INDEX(Setup!$C$60:$C$89,MATCH($B3860,Setup!$A$60:$A$89,0)),"")))</f>
        <v/>
      </c>
      <c r="E3860" s="42"/>
      <c r="F3860" s="42"/>
    </row>
    <row r="3861" customFormat="false" ht="15" hidden="false" customHeight="true" outlineLevel="0" collapsed="false">
      <c r="A3861" s="42"/>
      <c r="B3861" s="42"/>
      <c r="C3861" s="42"/>
      <c r="D3861" s="28" t="str">
        <f aca="false">IF(OR($B3861="",$C3861=""),"",$C3861*IFERROR(INDEX(Setup!$C$47:$C$56,MATCH($B3861,Setup!$A$47:$A$56,0)),IFERROR(INDEX(Setup!$C$60:$C$89,MATCH($B3861,Setup!$A$60:$A$89,0)),"")))</f>
        <v/>
      </c>
      <c r="E3861" s="42"/>
      <c r="F3861" s="42"/>
    </row>
    <row r="3862" customFormat="false" ht="15" hidden="false" customHeight="true" outlineLevel="0" collapsed="false">
      <c r="A3862" s="42"/>
      <c r="B3862" s="42"/>
      <c r="C3862" s="42"/>
      <c r="D3862" s="28" t="str">
        <f aca="false">IF(OR($B3862="",$C3862=""),"",$C3862*IFERROR(INDEX(Setup!$C$47:$C$56,MATCH($B3862,Setup!$A$47:$A$56,0)),IFERROR(INDEX(Setup!$C$60:$C$89,MATCH($B3862,Setup!$A$60:$A$89,0)),"")))</f>
        <v/>
      </c>
      <c r="E3862" s="42"/>
      <c r="F3862" s="42"/>
    </row>
    <row r="3863" customFormat="false" ht="15" hidden="false" customHeight="true" outlineLevel="0" collapsed="false">
      <c r="A3863" s="42"/>
      <c r="B3863" s="42"/>
      <c r="C3863" s="42"/>
      <c r="D3863" s="28" t="str">
        <f aca="false">IF(OR($B3863="",$C3863=""),"",$C3863*IFERROR(INDEX(Setup!$C$47:$C$56,MATCH($B3863,Setup!$A$47:$A$56,0)),IFERROR(INDEX(Setup!$C$60:$C$89,MATCH($B3863,Setup!$A$60:$A$89,0)),"")))</f>
        <v/>
      </c>
      <c r="E3863" s="42"/>
      <c r="F3863" s="42"/>
    </row>
    <row r="3864" customFormat="false" ht="15" hidden="false" customHeight="true" outlineLevel="0" collapsed="false">
      <c r="A3864" s="42"/>
      <c r="B3864" s="42"/>
      <c r="C3864" s="42"/>
      <c r="D3864" s="28" t="str">
        <f aca="false">IF(OR($B3864="",$C3864=""),"",$C3864*IFERROR(INDEX(Setup!$C$47:$C$56,MATCH($B3864,Setup!$A$47:$A$56,0)),IFERROR(INDEX(Setup!$C$60:$C$89,MATCH($B3864,Setup!$A$60:$A$89,0)),"")))</f>
        <v/>
      </c>
      <c r="E3864" s="42"/>
      <c r="F3864" s="42"/>
    </row>
    <row r="3865" customFormat="false" ht="15" hidden="false" customHeight="true" outlineLevel="0" collapsed="false">
      <c r="A3865" s="42"/>
      <c r="B3865" s="42"/>
      <c r="C3865" s="42"/>
      <c r="D3865" s="28" t="str">
        <f aca="false">IF(OR($B3865="",$C3865=""),"",$C3865*IFERROR(INDEX(Setup!$C$47:$C$56,MATCH($B3865,Setup!$A$47:$A$56,0)),IFERROR(INDEX(Setup!$C$60:$C$89,MATCH($B3865,Setup!$A$60:$A$89,0)),"")))</f>
        <v/>
      </c>
      <c r="E3865" s="42"/>
      <c r="F3865" s="42"/>
    </row>
    <row r="3866" customFormat="false" ht="15" hidden="false" customHeight="true" outlineLevel="0" collapsed="false">
      <c r="A3866" s="42"/>
      <c r="B3866" s="42"/>
      <c r="C3866" s="42"/>
      <c r="D3866" s="28" t="str">
        <f aca="false">IF(OR($B3866="",$C3866=""),"",$C3866*IFERROR(INDEX(Setup!$C$47:$C$56,MATCH($B3866,Setup!$A$47:$A$56,0)),IFERROR(INDEX(Setup!$C$60:$C$89,MATCH($B3866,Setup!$A$60:$A$89,0)),"")))</f>
        <v/>
      </c>
      <c r="E3866" s="42"/>
      <c r="F3866" s="42"/>
    </row>
    <row r="3867" customFormat="false" ht="15" hidden="false" customHeight="true" outlineLevel="0" collapsed="false">
      <c r="A3867" s="42"/>
      <c r="B3867" s="42"/>
      <c r="C3867" s="42"/>
      <c r="D3867" s="28" t="str">
        <f aca="false">IF(OR($B3867="",$C3867=""),"",$C3867*IFERROR(INDEX(Setup!$C$47:$C$56,MATCH($B3867,Setup!$A$47:$A$56,0)),IFERROR(INDEX(Setup!$C$60:$C$89,MATCH($B3867,Setup!$A$60:$A$89,0)),"")))</f>
        <v/>
      </c>
      <c r="E3867" s="42"/>
      <c r="F3867" s="42"/>
    </row>
    <row r="3868" customFormat="false" ht="15" hidden="false" customHeight="true" outlineLevel="0" collapsed="false">
      <c r="A3868" s="42"/>
      <c r="B3868" s="42"/>
      <c r="C3868" s="42"/>
      <c r="D3868" s="28" t="str">
        <f aca="false">IF(OR($B3868="",$C3868=""),"",$C3868*IFERROR(INDEX(Setup!$C$47:$C$56,MATCH($B3868,Setup!$A$47:$A$56,0)),IFERROR(INDEX(Setup!$C$60:$C$89,MATCH($B3868,Setup!$A$60:$A$89,0)),"")))</f>
        <v/>
      </c>
      <c r="E3868" s="42"/>
      <c r="F3868" s="42"/>
    </row>
    <row r="3869" customFormat="false" ht="15" hidden="false" customHeight="true" outlineLevel="0" collapsed="false">
      <c r="A3869" s="42"/>
      <c r="B3869" s="42"/>
      <c r="C3869" s="42"/>
      <c r="D3869" s="28" t="str">
        <f aca="false">IF(OR($B3869="",$C3869=""),"",$C3869*IFERROR(INDEX(Setup!$C$47:$C$56,MATCH($B3869,Setup!$A$47:$A$56,0)),IFERROR(INDEX(Setup!$C$60:$C$89,MATCH($B3869,Setup!$A$60:$A$89,0)),"")))</f>
        <v/>
      </c>
      <c r="E3869" s="42"/>
      <c r="F3869" s="42"/>
    </row>
    <row r="3870" customFormat="false" ht="15" hidden="false" customHeight="true" outlineLevel="0" collapsed="false">
      <c r="A3870" s="42"/>
      <c r="B3870" s="42"/>
      <c r="C3870" s="42"/>
      <c r="D3870" s="28" t="str">
        <f aca="false">IF(OR($B3870="",$C3870=""),"",$C3870*IFERROR(INDEX(Setup!$C$47:$C$56,MATCH($B3870,Setup!$A$47:$A$56,0)),IFERROR(INDEX(Setup!$C$60:$C$89,MATCH($B3870,Setup!$A$60:$A$89,0)),"")))</f>
        <v/>
      </c>
      <c r="E3870" s="42"/>
      <c r="F3870" s="42"/>
    </row>
    <row r="3871" customFormat="false" ht="15" hidden="false" customHeight="true" outlineLevel="0" collapsed="false">
      <c r="A3871" s="42"/>
      <c r="B3871" s="42"/>
      <c r="C3871" s="42"/>
      <c r="D3871" s="28" t="str">
        <f aca="false">IF(OR($B3871="",$C3871=""),"",$C3871*IFERROR(INDEX(Setup!$C$47:$C$56,MATCH($B3871,Setup!$A$47:$A$56,0)),IFERROR(INDEX(Setup!$C$60:$C$89,MATCH($B3871,Setup!$A$60:$A$89,0)),"")))</f>
        <v/>
      </c>
      <c r="E3871" s="42"/>
      <c r="F3871" s="42"/>
    </row>
    <row r="3872" customFormat="false" ht="15" hidden="false" customHeight="true" outlineLevel="0" collapsed="false">
      <c r="A3872" s="42"/>
      <c r="B3872" s="42"/>
      <c r="C3872" s="42"/>
      <c r="D3872" s="28" t="str">
        <f aca="false">IF(OR($B3872="",$C3872=""),"",$C3872*IFERROR(INDEX(Setup!$C$47:$C$56,MATCH($B3872,Setup!$A$47:$A$56,0)),IFERROR(INDEX(Setup!$C$60:$C$89,MATCH($B3872,Setup!$A$60:$A$89,0)),"")))</f>
        <v/>
      </c>
      <c r="E3872" s="42"/>
      <c r="F3872" s="42"/>
    </row>
    <row r="3873" customFormat="false" ht="15" hidden="false" customHeight="true" outlineLevel="0" collapsed="false">
      <c r="A3873" s="42"/>
      <c r="B3873" s="42"/>
      <c r="C3873" s="42"/>
      <c r="D3873" s="28" t="str">
        <f aca="false">IF(OR($B3873="",$C3873=""),"",$C3873*IFERROR(INDEX(Setup!$C$47:$C$56,MATCH($B3873,Setup!$A$47:$A$56,0)),IFERROR(INDEX(Setup!$C$60:$C$89,MATCH($B3873,Setup!$A$60:$A$89,0)),"")))</f>
        <v/>
      </c>
      <c r="E3873" s="42"/>
      <c r="F3873" s="42"/>
    </row>
    <row r="3874" customFormat="false" ht="15" hidden="false" customHeight="true" outlineLevel="0" collapsed="false">
      <c r="A3874" s="42"/>
      <c r="B3874" s="42"/>
      <c r="C3874" s="42"/>
      <c r="D3874" s="28" t="str">
        <f aca="false">IF(OR($B3874="",$C3874=""),"",$C3874*IFERROR(INDEX(Setup!$C$47:$C$56,MATCH($B3874,Setup!$A$47:$A$56,0)),IFERROR(INDEX(Setup!$C$60:$C$89,MATCH($B3874,Setup!$A$60:$A$89,0)),"")))</f>
        <v/>
      </c>
      <c r="E3874" s="42"/>
      <c r="F3874" s="42"/>
    </row>
    <row r="3875" customFormat="false" ht="15" hidden="false" customHeight="true" outlineLevel="0" collapsed="false">
      <c r="A3875" s="42"/>
      <c r="B3875" s="42"/>
      <c r="C3875" s="42"/>
      <c r="D3875" s="28" t="str">
        <f aca="false">IF(OR($B3875="",$C3875=""),"",$C3875*IFERROR(INDEX(Setup!$C$47:$C$56,MATCH($B3875,Setup!$A$47:$A$56,0)),IFERROR(INDEX(Setup!$C$60:$C$89,MATCH($B3875,Setup!$A$60:$A$89,0)),"")))</f>
        <v/>
      </c>
      <c r="E3875" s="42"/>
      <c r="F3875" s="42"/>
    </row>
    <row r="3876" customFormat="false" ht="15" hidden="false" customHeight="true" outlineLevel="0" collapsed="false">
      <c r="A3876" s="42"/>
      <c r="B3876" s="42"/>
      <c r="C3876" s="42"/>
      <c r="D3876" s="28" t="str">
        <f aca="false">IF(OR($B3876="",$C3876=""),"",$C3876*IFERROR(INDEX(Setup!$C$47:$C$56,MATCH($B3876,Setup!$A$47:$A$56,0)),IFERROR(INDEX(Setup!$C$60:$C$89,MATCH($B3876,Setup!$A$60:$A$89,0)),"")))</f>
        <v/>
      </c>
      <c r="E3876" s="42"/>
      <c r="F3876" s="42"/>
    </row>
    <row r="3877" customFormat="false" ht="15" hidden="false" customHeight="true" outlineLevel="0" collapsed="false">
      <c r="A3877" s="42"/>
      <c r="B3877" s="42"/>
      <c r="C3877" s="42"/>
      <c r="D3877" s="28" t="str">
        <f aca="false">IF(OR($B3877="",$C3877=""),"",$C3877*IFERROR(INDEX(Setup!$C$47:$C$56,MATCH($B3877,Setup!$A$47:$A$56,0)),IFERROR(INDEX(Setup!$C$60:$C$89,MATCH($B3877,Setup!$A$60:$A$89,0)),"")))</f>
        <v/>
      </c>
      <c r="E3877" s="42"/>
      <c r="F3877" s="42"/>
    </row>
    <row r="3878" customFormat="false" ht="15" hidden="false" customHeight="true" outlineLevel="0" collapsed="false">
      <c r="A3878" s="42"/>
      <c r="B3878" s="42"/>
      <c r="C3878" s="42"/>
      <c r="D3878" s="28" t="str">
        <f aca="false">IF(OR($B3878="",$C3878=""),"",$C3878*IFERROR(INDEX(Setup!$C$47:$C$56,MATCH($B3878,Setup!$A$47:$A$56,0)),IFERROR(INDEX(Setup!$C$60:$C$89,MATCH($B3878,Setup!$A$60:$A$89,0)),"")))</f>
        <v/>
      </c>
      <c r="E3878" s="42"/>
      <c r="F3878" s="42"/>
    </row>
    <row r="3879" customFormat="false" ht="15" hidden="false" customHeight="true" outlineLevel="0" collapsed="false">
      <c r="A3879" s="42"/>
      <c r="B3879" s="42"/>
      <c r="C3879" s="42"/>
      <c r="D3879" s="28" t="str">
        <f aca="false">IF(OR($B3879="",$C3879=""),"",$C3879*IFERROR(INDEX(Setup!$C$47:$C$56,MATCH($B3879,Setup!$A$47:$A$56,0)),IFERROR(INDEX(Setup!$C$60:$C$89,MATCH($B3879,Setup!$A$60:$A$89,0)),"")))</f>
        <v/>
      </c>
      <c r="E3879" s="42"/>
      <c r="F3879" s="42"/>
    </row>
    <row r="3880" customFormat="false" ht="15" hidden="false" customHeight="true" outlineLevel="0" collapsed="false">
      <c r="A3880" s="42"/>
      <c r="B3880" s="42"/>
      <c r="C3880" s="42"/>
      <c r="D3880" s="28" t="str">
        <f aca="false">IF(OR($B3880="",$C3880=""),"",$C3880*IFERROR(INDEX(Setup!$C$47:$C$56,MATCH($B3880,Setup!$A$47:$A$56,0)),IFERROR(INDEX(Setup!$C$60:$C$89,MATCH($B3880,Setup!$A$60:$A$89,0)),"")))</f>
        <v/>
      </c>
      <c r="E3880" s="42"/>
      <c r="F3880" s="42"/>
    </row>
    <row r="3881" customFormat="false" ht="15" hidden="false" customHeight="true" outlineLevel="0" collapsed="false">
      <c r="A3881" s="42"/>
      <c r="B3881" s="42"/>
      <c r="C3881" s="42"/>
      <c r="D3881" s="28" t="str">
        <f aca="false">IF(OR($B3881="",$C3881=""),"",$C3881*IFERROR(INDEX(Setup!$C$47:$C$56,MATCH($B3881,Setup!$A$47:$A$56,0)),IFERROR(INDEX(Setup!$C$60:$C$89,MATCH($B3881,Setup!$A$60:$A$89,0)),"")))</f>
        <v/>
      </c>
      <c r="E3881" s="42"/>
      <c r="F3881" s="42"/>
    </row>
    <row r="3882" customFormat="false" ht="15" hidden="false" customHeight="true" outlineLevel="0" collapsed="false">
      <c r="A3882" s="42"/>
      <c r="B3882" s="42"/>
      <c r="C3882" s="42"/>
      <c r="D3882" s="28" t="str">
        <f aca="false">IF(OR($B3882="",$C3882=""),"",$C3882*IFERROR(INDEX(Setup!$C$47:$C$56,MATCH($B3882,Setup!$A$47:$A$56,0)),IFERROR(INDEX(Setup!$C$60:$C$89,MATCH($B3882,Setup!$A$60:$A$89,0)),"")))</f>
        <v/>
      </c>
      <c r="E3882" s="42"/>
      <c r="F3882" s="42"/>
    </row>
    <row r="3883" customFormat="false" ht="15" hidden="false" customHeight="true" outlineLevel="0" collapsed="false">
      <c r="A3883" s="42"/>
      <c r="B3883" s="42"/>
      <c r="C3883" s="42"/>
      <c r="D3883" s="28" t="str">
        <f aca="false">IF(OR($B3883="",$C3883=""),"",$C3883*IFERROR(INDEX(Setup!$C$47:$C$56,MATCH($B3883,Setup!$A$47:$A$56,0)),IFERROR(INDEX(Setup!$C$60:$C$89,MATCH($B3883,Setup!$A$60:$A$89,0)),"")))</f>
        <v/>
      </c>
      <c r="E3883" s="42"/>
      <c r="F3883" s="42"/>
    </row>
    <row r="3884" customFormat="false" ht="15" hidden="false" customHeight="true" outlineLevel="0" collapsed="false">
      <c r="A3884" s="42"/>
      <c r="B3884" s="42"/>
      <c r="C3884" s="42"/>
      <c r="D3884" s="28" t="str">
        <f aca="false">IF(OR($B3884="",$C3884=""),"",$C3884*IFERROR(INDEX(Setup!$C$47:$C$56,MATCH($B3884,Setup!$A$47:$A$56,0)),IFERROR(INDEX(Setup!$C$60:$C$89,MATCH($B3884,Setup!$A$60:$A$89,0)),"")))</f>
        <v/>
      </c>
      <c r="E3884" s="42"/>
      <c r="F3884" s="42"/>
    </row>
    <row r="3885" customFormat="false" ht="15" hidden="false" customHeight="true" outlineLevel="0" collapsed="false">
      <c r="A3885" s="42"/>
      <c r="B3885" s="42"/>
      <c r="C3885" s="42"/>
      <c r="D3885" s="28" t="str">
        <f aca="false">IF(OR($B3885="",$C3885=""),"",$C3885*IFERROR(INDEX(Setup!$C$47:$C$56,MATCH($B3885,Setup!$A$47:$A$56,0)),IFERROR(INDEX(Setup!$C$60:$C$89,MATCH($B3885,Setup!$A$60:$A$89,0)),"")))</f>
        <v/>
      </c>
      <c r="E3885" s="42"/>
      <c r="F3885" s="42"/>
    </row>
    <row r="3886" customFormat="false" ht="15" hidden="false" customHeight="true" outlineLevel="0" collapsed="false">
      <c r="A3886" s="42"/>
      <c r="B3886" s="42"/>
      <c r="C3886" s="42"/>
      <c r="D3886" s="28" t="str">
        <f aca="false">IF(OR($B3886="",$C3886=""),"",$C3886*IFERROR(INDEX(Setup!$C$47:$C$56,MATCH($B3886,Setup!$A$47:$A$56,0)),IFERROR(INDEX(Setup!$C$60:$C$89,MATCH($B3886,Setup!$A$60:$A$89,0)),"")))</f>
        <v/>
      </c>
      <c r="E3886" s="42"/>
      <c r="F3886" s="42"/>
    </row>
    <row r="3887" customFormat="false" ht="15" hidden="false" customHeight="true" outlineLevel="0" collapsed="false">
      <c r="A3887" s="42"/>
      <c r="B3887" s="42"/>
      <c r="C3887" s="42"/>
      <c r="D3887" s="28" t="str">
        <f aca="false">IF(OR($B3887="",$C3887=""),"",$C3887*IFERROR(INDEX(Setup!$C$47:$C$56,MATCH($B3887,Setup!$A$47:$A$56,0)),IFERROR(INDEX(Setup!$C$60:$C$89,MATCH($B3887,Setup!$A$60:$A$89,0)),"")))</f>
        <v/>
      </c>
      <c r="E3887" s="42"/>
      <c r="F3887" s="42"/>
    </row>
    <row r="3888" customFormat="false" ht="15" hidden="false" customHeight="true" outlineLevel="0" collapsed="false">
      <c r="A3888" s="42"/>
      <c r="B3888" s="42"/>
      <c r="C3888" s="42"/>
      <c r="D3888" s="28" t="str">
        <f aca="false">IF(OR($B3888="",$C3888=""),"",$C3888*IFERROR(INDEX(Setup!$C$47:$C$56,MATCH($B3888,Setup!$A$47:$A$56,0)),IFERROR(INDEX(Setup!$C$60:$C$89,MATCH($B3888,Setup!$A$60:$A$89,0)),"")))</f>
        <v/>
      </c>
      <c r="E3888" s="42"/>
      <c r="F3888" s="42"/>
    </row>
    <row r="3889" customFormat="false" ht="15" hidden="false" customHeight="true" outlineLevel="0" collapsed="false">
      <c r="A3889" s="42"/>
      <c r="B3889" s="42"/>
      <c r="C3889" s="42"/>
      <c r="D3889" s="28" t="str">
        <f aca="false">IF(OR($B3889="",$C3889=""),"",$C3889*IFERROR(INDEX(Setup!$C$47:$C$56,MATCH($B3889,Setup!$A$47:$A$56,0)),IFERROR(INDEX(Setup!$C$60:$C$89,MATCH($B3889,Setup!$A$60:$A$89,0)),"")))</f>
        <v/>
      </c>
      <c r="E3889" s="42"/>
      <c r="F3889" s="42"/>
    </row>
    <row r="3890" customFormat="false" ht="15" hidden="false" customHeight="true" outlineLevel="0" collapsed="false">
      <c r="A3890" s="42"/>
      <c r="B3890" s="42"/>
      <c r="C3890" s="42"/>
      <c r="D3890" s="28" t="str">
        <f aca="false">IF(OR($B3890="",$C3890=""),"",$C3890*IFERROR(INDEX(Setup!$C$47:$C$56,MATCH($B3890,Setup!$A$47:$A$56,0)),IFERROR(INDEX(Setup!$C$60:$C$89,MATCH($B3890,Setup!$A$60:$A$89,0)),"")))</f>
        <v/>
      </c>
      <c r="E3890" s="42"/>
      <c r="F3890" s="42"/>
    </row>
    <row r="3891" customFormat="false" ht="15" hidden="false" customHeight="true" outlineLevel="0" collapsed="false">
      <c r="A3891" s="42"/>
      <c r="B3891" s="42"/>
      <c r="C3891" s="42"/>
      <c r="D3891" s="28" t="str">
        <f aca="false">IF(OR($B3891="",$C3891=""),"",$C3891*IFERROR(INDEX(Setup!$C$47:$C$56,MATCH($B3891,Setup!$A$47:$A$56,0)),IFERROR(INDEX(Setup!$C$60:$C$89,MATCH($B3891,Setup!$A$60:$A$89,0)),"")))</f>
        <v/>
      </c>
      <c r="E3891" s="42"/>
      <c r="F3891" s="42"/>
    </row>
    <row r="3892" customFormat="false" ht="15" hidden="false" customHeight="true" outlineLevel="0" collapsed="false">
      <c r="A3892" s="42"/>
      <c r="B3892" s="42"/>
      <c r="C3892" s="42"/>
      <c r="D3892" s="28" t="str">
        <f aca="false">IF(OR($B3892="",$C3892=""),"",$C3892*IFERROR(INDEX(Setup!$C$47:$C$56,MATCH($B3892,Setup!$A$47:$A$56,0)),IFERROR(INDEX(Setup!$C$60:$C$89,MATCH($B3892,Setup!$A$60:$A$89,0)),"")))</f>
        <v/>
      </c>
      <c r="E3892" s="42"/>
      <c r="F3892" s="42"/>
    </row>
    <row r="3893" customFormat="false" ht="15" hidden="false" customHeight="true" outlineLevel="0" collapsed="false">
      <c r="A3893" s="42"/>
      <c r="B3893" s="42"/>
      <c r="C3893" s="42"/>
      <c r="D3893" s="28" t="str">
        <f aca="false">IF(OR($B3893="",$C3893=""),"",$C3893*IFERROR(INDEX(Setup!$C$47:$C$56,MATCH($B3893,Setup!$A$47:$A$56,0)),IFERROR(INDEX(Setup!$C$60:$C$89,MATCH($B3893,Setup!$A$60:$A$89,0)),"")))</f>
        <v/>
      </c>
      <c r="E3893" s="42"/>
      <c r="F3893" s="42"/>
    </row>
    <row r="3894" customFormat="false" ht="15" hidden="false" customHeight="true" outlineLevel="0" collapsed="false">
      <c r="A3894" s="42"/>
      <c r="B3894" s="42"/>
      <c r="C3894" s="42"/>
      <c r="D3894" s="28" t="str">
        <f aca="false">IF(OR($B3894="",$C3894=""),"",$C3894*IFERROR(INDEX(Setup!$C$47:$C$56,MATCH($B3894,Setup!$A$47:$A$56,0)),IFERROR(INDEX(Setup!$C$60:$C$89,MATCH($B3894,Setup!$A$60:$A$89,0)),"")))</f>
        <v/>
      </c>
      <c r="E3894" s="42"/>
      <c r="F3894" s="42"/>
    </row>
    <row r="3895" customFormat="false" ht="15" hidden="false" customHeight="true" outlineLevel="0" collapsed="false">
      <c r="A3895" s="42"/>
      <c r="B3895" s="42"/>
      <c r="C3895" s="42"/>
      <c r="D3895" s="28" t="str">
        <f aca="false">IF(OR($B3895="",$C3895=""),"",$C3895*IFERROR(INDEX(Setup!$C$47:$C$56,MATCH($B3895,Setup!$A$47:$A$56,0)),IFERROR(INDEX(Setup!$C$60:$C$89,MATCH($B3895,Setup!$A$60:$A$89,0)),"")))</f>
        <v/>
      </c>
      <c r="E3895" s="42"/>
      <c r="F3895" s="42"/>
    </row>
    <row r="3896" customFormat="false" ht="15" hidden="false" customHeight="true" outlineLevel="0" collapsed="false">
      <c r="A3896" s="42"/>
      <c r="B3896" s="42"/>
      <c r="C3896" s="42"/>
      <c r="D3896" s="28" t="str">
        <f aca="false">IF(OR($B3896="",$C3896=""),"",$C3896*IFERROR(INDEX(Setup!$C$47:$C$56,MATCH($B3896,Setup!$A$47:$A$56,0)),IFERROR(INDEX(Setup!$C$60:$C$89,MATCH($B3896,Setup!$A$60:$A$89,0)),"")))</f>
        <v/>
      </c>
      <c r="E3896" s="42"/>
      <c r="F3896" s="42"/>
    </row>
    <row r="3897" customFormat="false" ht="15" hidden="false" customHeight="true" outlineLevel="0" collapsed="false">
      <c r="A3897" s="42"/>
      <c r="B3897" s="42"/>
      <c r="C3897" s="42"/>
      <c r="D3897" s="28" t="str">
        <f aca="false">IF(OR($B3897="",$C3897=""),"",$C3897*IFERROR(INDEX(Setup!$C$47:$C$56,MATCH($B3897,Setup!$A$47:$A$56,0)),IFERROR(INDEX(Setup!$C$60:$C$89,MATCH($B3897,Setup!$A$60:$A$89,0)),"")))</f>
        <v/>
      </c>
      <c r="E3897" s="42"/>
      <c r="F3897" s="42"/>
    </row>
    <row r="3898" customFormat="false" ht="15" hidden="false" customHeight="true" outlineLevel="0" collapsed="false">
      <c r="A3898" s="42"/>
      <c r="B3898" s="42"/>
      <c r="C3898" s="42"/>
      <c r="D3898" s="28" t="str">
        <f aca="false">IF(OR($B3898="",$C3898=""),"",$C3898*IFERROR(INDEX(Setup!$C$47:$C$56,MATCH($B3898,Setup!$A$47:$A$56,0)),IFERROR(INDEX(Setup!$C$60:$C$89,MATCH($B3898,Setup!$A$60:$A$89,0)),"")))</f>
        <v/>
      </c>
      <c r="E3898" s="42"/>
      <c r="F3898" s="42"/>
    </row>
    <row r="3899" customFormat="false" ht="15" hidden="false" customHeight="true" outlineLevel="0" collapsed="false">
      <c r="A3899" s="42"/>
      <c r="B3899" s="42"/>
      <c r="C3899" s="42"/>
      <c r="D3899" s="28" t="str">
        <f aca="false">IF(OR($B3899="",$C3899=""),"",$C3899*IFERROR(INDEX(Setup!$C$47:$C$56,MATCH($B3899,Setup!$A$47:$A$56,0)),IFERROR(INDEX(Setup!$C$60:$C$89,MATCH($B3899,Setup!$A$60:$A$89,0)),"")))</f>
        <v/>
      </c>
      <c r="E3899" s="42"/>
      <c r="F3899" s="42"/>
    </row>
    <row r="3900" customFormat="false" ht="15" hidden="false" customHeight="true" outlineLevel="0" collapsed="false">
      <c r="A3900" s="42"/>
      <c r="B3900" s="42"/>
      <c r="C3900" s="42"/>
      <c r="D3900" s="28" t="str">
        <f aca="false">IF(OR($B3900="",$C3900=""),"",$C3900*IFERROR(INDEX(Setup!$C$47:$C$56,MATCH($B3900,Setup!$A$47:$A$56,0)),IFERROR(INDEX(Setup!$C$60:$C$89,MATCH($B3900,Setup!$A$60:$A$89,0)),"")))</f>
        <v/>
      </c>
      <c r="E3900" s="42"/>
      <c r="F3900" s="42"/>
    </row>
    <row r="3901" customFormat="false" ht="15" hidden="false" customHeight="true" outlineLevel="0" collapsed="false">
      <c r="A3901" s="42"/>
      <c r="B3901" s="42"/>
      <c r="C3901" s="42"/>
      <c r="D3901" s="28" t="str">
        <f aca="false">IF(OR($B3901="",$C3901=""),"",$C3901*IFERROR(INDEX(Setup!$C$47:$C$56,MATCH($B3901,Setup!$A$47:$A$56,0)),IFERROR(INDEX(Setup!$C$60:$C$89,MATCH($B3901,Setup!$A$60:$A$89,0)),"")))</f>
        <v/>
      </c>
      <c r="E3901" s="42"/>
      <c r="F3901" s="42"/>
    </row>
    <row r="3902" customFormat="false" ht="15" hidden="false" customHeight="true" outlineLevel="0" collapsed="false">
      <c r="A3902" s="42"/>
      <c r="B3902" s="42"/>
      <c r="C3902" s="42"/>
      <c r="D3902" s="28" t="str">
        <f aca="false">IF(OR($B3902="",$C3902=""),"",$C3902*IFERROR(INDEX(Setup!$C$47:$C$56,MATCH($B3902,Setup!$A$47:$A$56,0)),IFERROR(INDEX(Setup!$C$60:$C$89,MATCH($B3902,Setup!$A$60:$A$89,0)),"")))</f>
        <v/>
      </c>
      <c r="E3902" s="42"/>
      <c r="F3902" s="42"/>
    </row>
    <row r="3903" customFormat="false" ht="15" hidden="false" customHeight="true" outlineLevel="0" collapsed="false">
      <c r="A3903" s="42"/>
      <c r="B3903" s="42"/>
      <c r="C3903" s="42"/>
      <c r="D3903" s="28" t="str">
        <f aca="false">IF(OR($B3903="",$C3903=""),"",$C3903*IFERROR(INDEX(Setup!$C$47:$C$56,MATCH($B3903,Setup!$A$47:$A$56,0)),IFERROR(INDEX(Setup!$C$60:$C$89,MATCH($B3903,Setup!$A$60:$A$89,0)),"")))</f>
        <v/>
      </c>
      <c r="E3903" s="42"/>
      <c r="F3903" s="42"/>
    </row>
    <row r="3904" customFormat="false" ht="15" hidden="false" customHeight="true" outlineLevel="0" collapsed="false">
      <c r="A3904" s="42"/>
      <c r="B3904" s="42"/>
      <c r="C3904" s="42"/>
      <c r="D3904" s="28" t="str">
        <f aca="false">IF(OR($B3904="",$C3904=""),"",$C3904*IFERROR(INDEX(Setup!$C$47:$C$56,MATCH($B3904,Setup!$A$47:$A$56,0)),IFERROR(INDEX(Setup!$C$60:$C$89,MATCH($B3904,Setup!$A$60:$A$89,0)),"")))</f>
        <v/>
      </c>
      <c r="E3904" s="42"/>
      <c r="F3904" s="42"/>
    </row>
    <row r="3905" customFormat="false" ht="15" hidden="false" customHeight="true" outlineLevel="0" collapsed="false">
      <c r="A3905" s="42"/>
      <c r="B3905" s="42"/>
      <c r="C3905" s="42"/>
      <c r="D3905" s="28" t="str">
        <f aca="false">IF(OR($B3905="",$C3905=""),"",$C3905*IFERROR(INDEX(Setup!$C$47:$C$56,MATCH($B3905,Setup!$A$47:$A$56,0)),IFERROR(INDEX(Setup!$C$60:$C$89,MATCH($B3905,Setup!$A$60:$A$89,0)),"")))</f>
        <v/>
      </c>
      <c r="E3905" s="42"/>
      <c r="F3905" s="42"/>
    </row>
    <row r="3906" customFormat="false" ht="15" hidden="false" customHeight="true" outlineLevel="0" collapsed="false">
      <c r="A3906" s="42"/>
      <c r="B3906" s="42"/>
      <c r="C3906" s="42"/>
      <c r="D3906" s="28" t="str">
        <f aca="false">IF(OR($B3906="",$C3906=""),"",$C3906*IFERROR(INDEX(Setup!$C$47:$C$56,MATCH($B3906,Setup!$A$47:$A$56,0)),IFERROR(INDEX(Setup!$C$60:$C$89,MATCH($B3906,Setup!$A$60:$A$89,0)),"")))</f>
        <v/>
      </c>
      <c r="E3906" s="42"/>
      <c r="F3906" s="42"/>
    </row>
    <row r="3907" customFormat="false" ht="15" hidden="false" customHeight="true" outlineLevel="0" collapsed="false">
      <c r="A3907" s="42"/>
      <c r="B3907" s="42"/>
      <c r="C3907" s="42"/>
      <c r="D3907" s="28" t="str">
        <f aca="false">IF(OR($B3907="",$C3907=""),"",$C3907*IFERROR(INDEX(Setup!$C$47:$C$56,MATCH($B3907,Setup!$A$47:$A$56,0)),IFERROR(INDEX(Setup!$C$60:$C$89,MATCH($B3907,Setup!$A$60:$A$89,0)),"")))</f>
        <v/>
      </c>
      <c r="E3907" s="42"/>
      <c r="F3907" s="42"/>
    </row>
    <row r="3908" customFormat="false" ht="15" hidden="false" customHeight="true" outlineLevel="0" collapsed="false">
      <c r="A3908" s="42"/>
      <c r="B3908" s="42"/>
      <c r="C3908" s="42"/>
      <c r="D3908" s="28" t="str">
        <f aca="false">IF(OR($B3908="",$C3908=""),"",$C3908*IFERROR(INDEX(Setup!$C$47:$C$56,MATCH($B3908,Setup!$A$47:$A$56,0)),IFERROR(INDEX(Setup!$C$60:$C$89,MATCH($B3908,Setup!$A$60:$A$89,0)),"")))</f>
        <v/>
      </c>
      <c r="E3908" s="42"/>
      <c r="F3908" s="42"/>
    </row>
    <row r="3909" customFormat="false" ht="15" hidden="false" customHeight="true" outlineLevel="0" collapsed="false">
      <c r="A3909" s="42"/>
      <c r="B3909" s="42"/>
      <c r="C3909" s="42"/>
      <c r="D3909" s="28" t="str">
        <f aca="false">IF(OR($B3909="",$C3909=""),"",$C3909*IFERROR(INDEX(Setup!$C$47:$C$56,MATCH($B3909,Setup!$A$47:$A$56,0)),IFERROR(INDEX(Setup!$C$60:$C$89,MATCH($B3909,Setup!$A$60:$A$89,0)),"")))</f>
        <v/>
      </c>
      <c r="E3909" s="42"/>
      <c r="F3909" s="42"/>
    </row>
    <row r="3910" customFormat="false" ht="15" hidden="false" customHeight="true" outlineLevel="0" collapsed="false">
      <c r="A3910" s="42"/>
      <c r="B3910" s="42"/>
      <c r="C3910" s="42"/>
      <c r="D3910" s="28" t="str">
        <f aca="false">IF(OR($B3910="",$C3910=""),"",$C3910*IFERROR(INDEX(Setup!$C$47:$C$56,MATCH($B3910,Setup!$A$47:$A$56,0)),IFERROR(INDEX(Setup!$C$60:$C$89,MATCH($B3910,Setup!$A$60:$A$89,0)),"")))</f>
        <v/>
      </c>
      <c r="E3910" s="42"/>
      <c r="F3910" s="42"/>
    </row>
    <row r="3911" customFormat="false" ht="15" hidden="false" customHeight="true" outlineLevel="0" collapsed="false">
      <c r="A3911" s="42"/>
      <c r="B3911" s="42"/>
      <c r="C3911" s="42"/>
      <c r="D3911" s="28" t="str">
        <f aca="false">IF(OR($B3911="",$C3911=""),"",$C3911*IFERROR(INDEX(Setup!$C$47:$C$56,MATCH($B3911,Setup!$A$47:$A$56,0)),IFERROR(INDEX(Setup!$C$60:$C$89,MATCH($B3911,Setup!$A$60:$A$89,0)),"")))</f>
        <v/>
      </c>
      <c r="E3911" s="42"/>
      <c r="F3911" s="42"/>
    </row>
    <row r="3912" customFormat="false" ht="15" hidden="false" customHeight="true" outlineLevel="0" collapsed="false">
      <c r="A3912" s="42"/>
      <c r="B3912" s="42"/>
      <c r="C3912" s="42"/>
      <c r="D3912" s="28" t="str">
        <f aca="false">IF(OR($B3912="",$C3912=""),"",$C3912*IFERROR(INDEX(Setup!$C$47:$C$56,MATCH($B3912,Setup!$A$47:$A$56,0)),IFERROR(INDEX(Setup!$C$60:$C$89,MATCH($B3912,Setup!$A$60:$A$89,0)),"")))</f>
        <v/>
      </c>
      <c r="E3912" s="42"/>
      <c r="F3912" s="42"/>
    </row>
    <row r="3913" customFormat="false" ht="15" hidden="false" customHeight="true" outlineLevel="0" collapsed="false">
      <c r="A3913" s="42"/>
      <c r="B3913" s="42"/>
      <c r="C3913" s="42"/>
      <c r="D3913" s="28" t="str">
        <f aca="false">IF(OR($B3913="",$C3913=""),"",$C3913*IFERROR(INDEX(Setup!$C$47:$C$56,MATCH($B3913,Setup!$A$47:$A$56,0)),IFERROR(INDEX(Setup!$C$60:$C$89,MATCH($B3913,Setup!$A$60:$A$89,0)),"")))</f>
        <v/>
      </c>
      <c r="E3913" s="42"/>
      <c r="F3913" s="42"/>
    </row>
    <row r="3914" customFormat="false" ht="15" hidden="false" customHeight="true" outlineLevel="0" collapsed="false">
      <c r="A3914" s="42"/>
      <c r="B3914" s="42"/>
      <c r="C3914" s="42"/>
      <c r="D3914" s="28" t="str">
        <f aca="false">IF(OR($B3914="",$C3914=""),"",$C3914*IFERROR(INDEX(Setup!$C$47:$C$56,MATCH($B3914,Setup!$A$47:$A$56,0)),IFERROR(INDEX(Setup!$C$60:$C$89,MATCH($B3914,Setup!$A$60:$A$89,0)),"")))</f>
        <v/>
      </c>
      <c r="E3914" s="42"/>
      <c r="F3914" s="42"/>
    </row>
    <row r="3915" customFormat="false" ht="15" hidden="false" customHeight="true" outlineLevel="0" collapsed="false">
      <c r="A3915" s="42"/>
      <c r="B3915" s="42"/>
      <c r="C3915" s="42"/>
      <c r="D3915" s="28" t="str">
        <f aca="false">IF(OR($B3915="",$C3915=""),"",$C3915*IFERROR(INDEX(Setup!$C$47:$C$56,MATCH($B3915,Setup!$A$47:$A$56,0)),IFERROR(INDEX(Setup!$C$60:$C$89,MATCH($B3915,Setup!$A$60:$A$89,0)),"")))</f>
        <v/>
      </c>
      <c r="E3915" s="42"/>
      <c r="F3915" s="42"/>
    </row>
    <row r="3916" customFormat="false" ht="15" hidden="false" customHeight="true" outlineLevel="0" collapsed="false">
      <c r="A3916" s="42"/>
      <c r="B3916" s="42"/>
      <c r="C3916" s="42"/>
      <c r="D3916" s="28" t="str">
        <f aca="false">IF(OR($B3916="",$C3916=""),"",$C3916*IFERROR(INDEX(Setup!$C$47:$C$56,MATCH($B3916,Setup!$A$47:$A$56,0)),IFERROR(INDEX(Setup!$C$60:$C$89,MATCH($B3916,Setup!$A$60:$A$89,0)),"")))</f>
        <v/>
      </c>
      <c r="E3916" s="42"/>
      <c r="F3916" s="42"/>
    </row>
    <row r="3917" customFormat="false" ht="15" hidden="false" customHeight="true" outlineLevel="0" collapsed="false">
      <c r="A3917" s="42"/>
      <c r="B3917" s="42"/>
      <c r="C3917" s="42"/>
      <c r="D3917" s="28" t="str">
        <f aca="false">IF(OR($B3917="",$C3917=""),"",$C3917*IFERROR(INDEX(Setup!$C$47:$C$56,MATCH($B3917,Setup!$A$47:$A$56,0)),IFERROR(INDEX(Setup!$C$60:$C$89,MATCH($B3917,Setup!$A$60:$A$89,0)),"")))</f>
        <v/>
      </c>
      <c r="E3917" s="42"/>
      <c r="F3917" s="42"/>
    </row>
    <row r="3918" customFormat="false" ht="15" hidden="false" customHeight="true" outlineLevel="0" collapsed="false">
      <c r="A3918" s="42"/>
      <c r="B3918" s="42"/>
      <c r="C3918" s="42"/>
      <c r="D3918" s="28" t="str">
        <f aca="false">IF(OR($B3918="",$C3918=""),"",$C3918*IFERROR(INDEX(Setup!$C$47:$C$56,MATCH($B3918,Setup!$A$47:$A$56,0)),IFERROR(INDEX(Setup!$C$60:$C$89,MATCH($B3918,Setup!$A$60:$A$89,0)),"")))</f>
        <v/>
      </c>
      <c r="E3918" s="42"/>
      <c r="F3918" s="42"/>
    </row>
    <row r="3919" customFormat="false" ht="15" hidden="false" customHeight="true" outlineLevel="0" collapsed="false">
      <c r="A3919" s="42"/>
      <c r="B3919" s="42"/>
      <c r="C3919" s="42"/>
      <c r="D3919" s="28" t="str">
        <f aca="false">IF(OR($B3919="",$C3919=""),"",$C3919*IFERROR(INDEX(Setup!$C$47:$C$56,MATCH($B3919,Setup!$A$47:$A$56,0)),IFERROR(INDEX(Setup!$C$60:$C$89,MATCH($B3919,Setup!$A$60:$A$89,0)),"")))</f>
        <v/>
      </c>
      <c r="E3919" s="42"/>
      <c r="F3919" s="42"/>
    </row>
    <row r="3920" customFormat="false" ht="15" hidden="false" customHeight="true" outlineLevel="0" collapsed="false">
      <c r="A3920" s="42"/>
      <c r="B3920" s="42"/>
      <c r="C3920" s="42"/>
      <c r="D3920" s="28" t="str">
        <f aca="false">IF(OR($B3920="",$C3920=""),"",$C3920*IFERROR(INDEX(Setup!$C$47:$C$56,MATCH($B3920,Setup!$A$47:$A$56,0)),IFERROR(INDEX(Setup!$C$60:$C$89,MATCH($B3920,Setup!$A$60:$A$89,0)),"")))</f>
        <v/>
      </c>
      <c r="E3920" s="42"/>
      <c r="F3920" s="42"/>
    </row>
    <row r="3921" customFormat="false" ht="15" hidden="false" customHeight="true" outlineLevel="0" collapsed="false">
      <c r="A3921" s="42"/>
      <c r="B3921" s="42"/>
      <c r="C3921" s="42"/>
      <c r="D3921" s="28" t="str">
        <f aca="false">IF(OR($B3921="",$C3921=""),"",$C3921*IFERROR(INDEX(Setup!$C$47:$C$56,MATCH($B3921,Setup!$A$47:$A$56,0)),IFERROR(INDEX(Setup!$C$60:$C$89,MATCH($B3921,Setup!$A$60:$A$89,0)),"")))</f>
        <v/>
      </c>
      <c r="E3921" s="42"/>
      <c r="F3921" s="42"/>
    </row>
    <row r="3922" customFormat="false" ht="15" hidden="false" customHeight="true" outlineLevel="0" collapsed="false">
      <c r="A3922" s="42"/>
      <c r="B3922" s="42"/>
      <c r="C3922" s="42"/>
      <c r="D3922" s="28" t="str">
        <f aca="false">IF(OR($B3922="",$C3922=""),"",$C3922*IFERROR(INDEX(Setup!$C$47:$C$56,MATCH($B3922,Setup!$A$47:$A$56,0)),IFERROR(INDEX(Setup!$C$60:$C$89,MATCH($B3922,Setup!$A$60:$A$89,0)),"")))</f>
        <v/>
      </c>
      <c r="E3922" s="42"/>
      <c r="F3922" s="42"/>
    </row>
    <row r="3923" customFormat="false" ht="15" hidden="false" customHeight="true" outlineLevel="0" collapsed="false">
      <c r="A3923" s="42"/>
      <c r="B3923" s="42"/>
      <c r="C3923" s="42"/>
      <c r="D3923" s="28" t="str">
        <f aca="false">IF(OR($B3923="",$C3923=""),"",$C3923*IFERROR(INDEX(Setup!$C$47:$C$56,MATCH($B3923,Setup!$A$47:$A$56,0)),IFERROR(INDEX(Setup!$C$60:$C$89,MATCH($B3923,Setup!$A$60:$A$89,0)),"")))</f>
        <v/>
      </c>
      <c r="E3923" s="42"/>
      <c r="F3923" s="42"/>
    </row>
    <row r="3924" customFormat="false" ht="15" hidden="false" customHeight="true" outlineLevel="0" collapsed="false">
      <c r="A3924" s="42"/>
      <c r="B3924" s="42"/>
      <c r="C3924" s="42"/>
      <c r="D3924" s="28" t="str">
        <f aca="false">IF(OR($B3924="",$C3924=""),"",$C3924*IFERROR(INDEX(Setup!$C$47:$C$56,MATCH($B3924,Setup!$A$47:$A$56,0)),IFERROR(INDEX(Setup!$C$60:$C$89,MATCH($B3924,Setup!$A$60:$A$89,0)),"")))</f>
        <v/>
      </c>
      <c r="E3924" s="42"/>
      <c r="F3924" s="42"/>
    </row>
    <row r="3925" customFormat="false" ht="15" hidden="false" customHeight="true" outlineLevel="0" collapsed="false">
      <c r="A3925" s="42"/>
      <c r="B3925" s="42"/>
      <c r="C3925" s="42"/>
      <c r="D3925" s="28" t="str">
        <f aca="false">IF(OR($B3925="",$C3925=""),"",$C3925*IFERROR(INDEX(Setup!$C$47:$C$56,MATCH($B3925,Setup!$A$47:$A$56,0)),IFERROR(INDEX(Setup!$C$60:$C$89,MATCH($B3925,Setup!$A$60:$A$89,0)),"")))</f>
        <v/>
      </c>
      <c r="E3925" s="42"/>
      <c r="F3925" s="42"/>
    </row>
    <row r="3926" customFormat="false" ht="15" hidden="false" customHeight="true" outlineLevel="0" collapsed="false">
      <c r="A3926" s="42"/>
      <c r="B3926" s="42"/>
      <c r="C3926" s="42"/>
      <c r="D3926" s="28" t="str">
        <f aca="false">IF(OR($B3926="",$C3926=""),"",$C3926*IFERROR(INDEX(Setup!$C$47:$C$56,MATCH($B3926,Setup!$A$47:$A$56,0)),IFERROR(INDEX(Setup!$C$60:$C$89,MATCH($B3926,Setup!$A$60:$A$89,0)),"")))</f>
        <v/>
      </c>
      <c r="E3926" s="42"/>
      <c r="F3926" s="42"/>
    </row>
    <row r="3927" customFormat="false" ht="15" hidden="false" customHeight="true" outlineLevel="0" collapsed="false">
      <c r="A3927" s="42"/>
      <c r="B3927" s="42"/>
      <c r="C3927" s="42"/>
      <c r="D3927" s="28" t="str">
        <f aca="false">IF(OR($B3927="",$C3927=""),"",$C3927*IFERROR(INDEX(Setup!$C$47:$C$56,MATCH($B3927,Setup!$A$47:$A$56,0)),IFERROR(INDEX(Setup!$C$60:$C$89,MATCH($B3927,Setup!$A$60:$A$89,0)),"")))</f>
        <v/>
      </c>
      <c r="E3927" s="42"/>
      <c r="F3927" s="42"/>
    </row>
    <row r="3928" customFormat="false" ht="15" hidden="false" customHeight="true" outlineLevel="0" collapsed="false">
      <c r="A3928" s="42"/>
      <c r="B3928" s="42"/>
      <c r="C3928" s="42"/>
      <c r="D3928" s="28" t="str">
        <f aca="false">IF(OR($B3928="",$C3928=""),"",$C3928*IFERROR(INDEX(Setup!$C$47:$C$56,MATCH($B3928,Setup!$A$47:$A$56,0)),IFERROR(INDEX(Setup!$C$60:$C$89,MATCH($B3928,Setup!$A$60:$A$89,0)),"")))</f>
        <v/>
      </c>
      <c r="E3928" s="42"/>
      <c r="F3928" s="42"/>
    </row>
    <row r="3929" customFormat="false" ht="15" hidden="false" customHeight="true" outlineLevel="0" collapsed="false">
      <c r="A3929" s="42"/>
      <c r="B3929" s="42"/>
      <c r="C3929" s="42"/>
      <c r="D3929" s="28" t="str">
        <f aca="false">IF(OR($B3929="",$C3929=""),"",$C3929*IFERROR(INDEX(Setup!$C$47:$C$56,MATCH($B3929,Setup!$A$47:$A$56,0)),IFERROR(INDEX(Setup!$C$60:$C$89,MATCH($B3929,Setup!$A$60:$A$89,0)),"")))</f>
        <v/>
      </c>
      <c r="E3929" s="42"/>
      <c r="F3929" s="42"/>
    </row>
    <row r="3930" customFormat="false" ht="15" hidden="false" customHeight="true" outlineLevel="0" collapsed="false">
      <c r="A3930" s="42"/>
      <c r="B3930" s="42"/>
      <c r="C3930" s="42"/>
      <c r="D3930" s="28" t="str">
        <f aca="false">IF(OR($B3930="",$C3930=""),"",$C3930*IFERROR(INDEX(Setup!$C$47:$C$56,MATCH($B3930,Setup!$A$47:$A$56,0)),IFERROR(INDEX(Setup!$C$60:$C$89,MATCH($B3930,Setup!$A$60:$A$89,0)),"")))</f>
        <v/>
      </c>
      <c r="E3930" s="42"/>
      <c r="F3930" s="42"/>
    </row>
    <row r="3931" customFormat="false" ht="15" hidden="false" customHeight="true" outlineLevel="0" collapsed="false">
      <c r="A3931" s="42"/>
      <c r="B3931" s="42"/>
      <c r="C3931" s="42"/>
      <c r="D3931" s="28" t="str">
        <f aca="false">IF(OR($B3931="",$C3931=""),"",$C3931*IFERROR(INDEX(Setup!$C$47:$C$56,MATCH($B3931,Setup!$A$47:$A$56,0)),IFERROR(INDEX(Setup!$C$60:$C$89,MATCH($B3931,Setup!$A$60:$A$89,0)),"")))</f>
        <v/>
      </c>
      <c r="E3931" s="42"/>
      <c r="F3931" s="42"/>
    </row>
    <row r="3932" customFormat="false" ht="15" hidden="false" customHeight="true" outlineLevel="0" collapsed="false">
      <c r="A3932" s="42"/>
      <c r="B3932" s="42"/>
      <c r="C3932" s="42"/>
      <c r="D3932" s="28" t="str">
        <f aca="false">IF(OR($B3932="",$C3932=""),"",$C3932*IFERROR(INDEX(Setup!$C$47:$C$56,MATCH($B3932,Setup!$A$47:$A$56,0)),IFERROR(INDEX(Setup!$C$60:$C$89,MATCH($B3932,Setup!$A$60:$A$89,0)),"")))</f>
        <v/>
      </c>
      <c r="E3932" s="42"/>
      <c r="F3932" s="42"/>
    </row>
    <row r="3933" customFormat="false" ht="15" hidden="false" customHeight="true" outlineLevel="0" collapsed="false">
      <c r="A3933" s="42"/>
      <c r="B3933" s="42"/>
      <c r="C3933" s="42"/>
      <c r="D3933" s="28" t="str">
        <f aca="false">IF(OR($B3933="",$C3933=""),"",$C3933*IFERROR(INDEX(Setup!$C$47:$C$56,MATCH($B3933,Setup!$A$47:$A$56,0)),IFERROR(INDEX(Setup!$C$60:$C$89,MATCH($B3933,Setup!$A$60:$A$89,0)),"")))</f>
        <v/>
      </c>
      <c r="E3933" s="42"/>
      <c r="F3933" s="42"/>
    </row>
    <row r="3934" customFormat="false" ht="15" hidden="false" customHeight="true" outlineLevel="0" collapsed="false">
      <c r="A3934" s="42"/>
      <c r="B3934" s="42"/>
      <c r="C3934" s="42"/>
      <c r="D3934" s="28" t="str">
        <f aca="false">IF(OR($B3934="",$C3934=""),"",$C3934*IFERROR(INDEX(Setup!$C$47:$C$56,MATCH($B3934,Setup!$A$47:$A$56,0)),IFERROR(INDEX(Setup!$C$60:$C$89,MATCH($B3934,Setup!$A$60:$A$89,0)),"")))</f>
        <v/>
      </c>
      <c r="E3934" s="42"/>
      <c r="F3934" s="42"/>
    </row>
    <row r="3935" customFormat="false" ht="15" hidden="false" customHeight="true" outlineLevel="0" collapsed="false">
      <c r="A3935" s="42"/>
      <c r="B3935" s="42"/>
      <c r="C3935" s="42"/>
      <c r="D3935" s="28" t="str">
        <f aca="false">IF(OR($B3935="",$C3935=""),"",$C3935*IFERROR(INDEX(Setup!$C$47:$C$56,MATCH($B3935,Setup!$A$47:$A$56,0)),IFERROR(INDEX(Setup!$C$60:$C$89,MATCH($B3935,Setup!$A$60:$A$89,0)),"")))</f>
        <v/>
      </c>
      <c r="E3935" s="42"/>
      <c r="F3935" s="42"/>
    </row>
    <row r="3936" customFormat="false" ht="15" hidden="false" customHeight="true" outlineLevel="0" collapsed="false">
      <c r="A3936" s="42"/>
      <c r="B3936" s="42"/>
      <c r="C3936" s="42"/>
      <c r="D3936" s="28" t="str">
        <f aca="false">IF(OR($B3936="",$C3936=""),"",$C3936*IFERROR(INDEX(Setup!$C$47:$C$56,MATCH($B3936,Setup!$A$47:$A$56,0)),IFERROR(INDEX(Setup!$C$60:$C$89,MATCH($B3936,Setup!$A$60:$A$89,0)),"")))</f>
        <v/>
      </c>
      <c r="E3936" s="42"/>
      <c r="F3936" s="42"/>
    </row>
    <row r="3937" customFormat="false" ht="15" hidden="false" customHeight="true" outlineLevel="0" collapsed="false">
      <c r="A3937" s="42"/>
      <c r="B3937" s="42"/>
      <c r="C3937" s="42"/>
      <c r="D3937" s="28" t="str">
        <f aca="false">IF(OR($B3937="",$C3937=""),"",$C3937*IFERROR(INDEX(Setup!$C$47:$C$56,MATCH($B3937,Setup!$A$47:$A$56,0)),IFERROR(INDEX(Setup!$C$60:$C$89,MATCH($B3937,Setup!$A$60:$A$89,0)),"")))</f>
        <v/>
      </c>
      <c r="E3937" s="42"/>
      <c r="F3937" s="42"/>
    </row>
    <row r="3938" customFormat="false" ht="15" hidden="false" customHeight="true" outlineLevel="0" collapsed="false">
      <c r="A3938" s="42"/>
      <c r="B3938" s="42"/>
      <c r="C3938" s="42"/>
      <c r="D3938" s="28" t="str">
        <f aca="false">IF(OR($B3938="",$C3938=""),"",$C3938*IFERROR(INDEX(Setup!$C$47:$C$56,MATCH($B3938,Setup!$A$47:$A$56,0)),IFERROR(INDEX(Setup!$C$60:$C$89,MATCH($B3938,Setup!$A$60:$A$89,0)),"")))</f>
        <v/>
      </c>
      <c r="E3938" s="42"/>
      <c r="F3938" s="42"/>
    </row>
    <row r="3939" customFormat="false" ht="15" hidden="false" customHeight="true" outlineLevel="0" collapsed="false">
      <c r="A3939" s="42"/>
      <c r="B3939" s="42"/>
      <c r="C3939" s="42"/>
      <c r="D3939" s="28" t="str">
        <f aca="false">IF(OR($B3939="",$C3939=""),"",$C3939*IFERROR(INDEX(Setup!$C$47:$C$56,MATCH($B3939,Setup!$A$47:$A$56,0)),IFERROR(INDEX(Setup!$C$60:$C$89,MATCH($B3939,Setup!$A$60:$A$89,0)),"")))</f>
        <v/>
      </c>
      <c r="E3939" s="42"/>
      <c r="F3939" s="42"/>
    </row>
    <row r="3940" customFormat="false" ht="15" hidden="false" customHeight="true" outlineLevel="0" collapsed="false">
      <c r="A3940" s="42"/>
      <c r="B3940" s="42"/>
      <c r="C3940" s="42"/>
      <c r="D3940" s="28" t="str">
        <f aca="false">IF(OR($B3940="",$C3940=""),"",$C3940*IFERROR(INDEX(Setup!$C$47:$C$56,MATCH($B3940,Setup!$A$47:$A$56,0)),IFERROR(INDEX(Setup!$C$60:$C$89,MATCH($B3940,Setup!$A$60:$A$89,0)),"")))</f>
        <v/>
      </c>
      <c r="E3940" s="42"/>
      <c r="F3940" s="42"/>
    </row>
    <row r="3941" customFormat="false" ht="15" hidden="false" customHeight="true" outlineLevel="0" collapsed="false">
      <c r="A3941" s="42"/>
      <c r="B3941" s="42"/>
      <c r="C3941" s="42"/>
      <c r="D3941" s="28" t="str">
        <f aca="false">IF(OR($B3941="",$C3941=""),"",$C3941*IFERROR(INDEX(Setup!$C$47:$C$56,MATCH($B3941,Setup!$A$47:$A$56,0)),IFERROR(INDEX(Setup!$C$60:$C$89,MATCH($B3941,Setup!$A$60:$A$89,0)),"")))</f>
        <v/>
      </c>
      <c r="E3941" s="42"/>
      <c r="F3941" s="42"/>
    </row>
    <row r="3942" customFormat="false" ht="15" hidden="false" customHeight="true" outlineLevel="0" collapsed="false">
      <c r="A3942" s="42"/>
      <c r="B3942" s="42"/>
      <c r="C3942" s="42"/>
      <c r="D3942" s="28" t="str">
        <f aca="false">IF(OR($B3942="",$C3942=""),"",$C3942*IFERROR(INDEX(Setup!$C$47:$C$56,MATCH($B3942,Setup!$A$47:$A$56,0)),IFERROR(INDEX(Setup!$C$60:$C$89,MATCH($B3942,Setup!$A$60:$A$89,0)),"")))</f>
        <v/>
      </c>
      <c r="E3942" s="42"/>
      <c r="F3942" s="42"/>
    </row>
    <row r="3943" customFormat="false" ht="15" hidden="false" customHeight="true" outlineLevel="0" collapsed="false">
      <c r="A3943" s="42"/>
      <c r="B3943" s="42"/>
      <c r="C3943" s="42"/>
      <c r="D3943" s="28" t="str">
        <f aca="false">IF(OR($B3943="",$C3943=""),"",$C3943*IFERROR(INDEX(Setup!$C$47:$C$56,MATCH($B3943,Setup!$A$47:$A$56,0)),IFERROR(INDEX(Setup!$C$60:$C$89,MATCH($B3943,Setup!$A$60:$A$89,0)),"")))</f>
        <v/>
      </c>
      <c r="E3943" s="42"/>
      <c r="F3943" s="42"/>
    </row>
    <row r="3944" customFormat="false" ht="15" hidden="false" customHeight="true" outlineLevel="0" collapsed="false">
      <c r="A3944" s="42"/>
      <c r="B3944" s="42"/>
      <c r="C3944" s="42"/>
      <c r="D3944" s="28" t="str">
        <f aca="false">IF(OR($B3944="",$C3944=""),"",$C3944*IFERROR(INDEX(Setup!$C$47:$C$56,MATCH($B3944,Setup!$A$47:$A$56,0)),IFERROR(INDEX(Setup!$C$60:$C$89,MATCH($B3944,Setup!$A$60:$A$89,0)),"")))</f>
        <v/>
      </c>
      <c r="E3944" s="42"/>
      <c r="F3944" s="42"/>
    </row>
    <row r="3945" customFormat="false" ht="15" hidden="false" customHeight="true" outlineLevel="0" collapsed="false">
      <c r="A3945" s="42"/>
      <c r="B3945" s="42"/>
      <c r="C3945" s="42"/>
      <c r="D3945" s="28" t="str">
        <f aca="false">IF(OR($B3945="",$C3945=""),"",$C3945*IFERROR(INDEX(Setup!$C$47:$C$56,MATCH($B3945,Setup!$A$47:$A$56,0)),IFERROR(INDEX(Setup!$C$60:$C$89,MATCH($B3945,Setup!$A$60:$A$89,0)),"")))</f>
        <v/>
      </c>
      <c r="E3945" s="42"/>
      <c r="F3945" s="42"/>
    </row>
    <row r="3946" customFormat="false" ht="15" hidden="false" customHeight="true" outlineLevel="0" collapsed="false">
      <c r="A3946" s="42"/>
      <c r="B3946" s="42"/>
      <c r="C3946" s="42"/>
      <c r="D3946" s="28" t="str">
        <f aca="false">IF(OR($B3946="",$C3946=""),"",$C3946*IFERROR(INDEX(Setup!$C$47:$C$56,MATCH($B3946,Setup!$A$47:$A$56,0)),IFERROR(INDEX(Setup!$C$60:$C$89,MATCH($B3946,Setup!$A$60:$A$89,0)),"")))</f>
        <v/>
      </c>
      <c r="E3946" s="42"/>
      <c r="F3946" s="42"/>
    </row>
    <row r="3947" customFormat="false" ht="15" hidden="false" customHeight="true" outlineLevel="0" collapsed="false">
      <c r="A3947" s="42"/>
      <c r="B3947" s="42"/>
      <c r="C3947" s="42"/>
      <c r="D3947" s="28" t="str">
        <f aca="false">IF(OR($B3947="",$C3947=""),"",$C3947*IFERROR(INDEX(Setup!$C$47:$C$56,MATCH($B3947,Setup!$A$47:$A$56,0)),IFERROR(INDEX(Setup!$C$60:$C$89,MATCH($B3947,Setup!$A$60:$A$89,0)),"")))</f>
        <v/>
      </c>
      <c r="E3947" s="42"/>
      <c r="F3947" s="42"/>
    </row>
    <row r="3948" customFormat="false" ht="15" hidden="false" customHeight="true" outlineLevel="0" collapsed="false">
      <c r="A3948" s="42"/>
      <c r="B3948" s="42"/>
      <c r="C3948" s="42"/>
      <c r="D3948" s="28" t="str">
        <f aca="false">IF(OR($B3948="",$C3948=""),"",$C3948*IFERROR(INDEX(Setup!$C$47:$C$56,MATCH($B3948,Setup!$A$47:$A$56,0)),IFERROR(INDEX(Setup!$C$60:$C$89,MATCH($B3948,Setup!$A$60:$A$89,0)),"")))</f>
        <v/>
      </c>
      <c r="E3948" s="42"/>
      <c r="F3948" s="42"/>
    </row>
    <row r="3949" customFormat="false" ht="15" hidden="false" customHeight="true" outlineLevel="0" collapsed="false">
      <c r="A3949" s="42"/>
      <c r="B3949" s="42"/>
      <c r="C3949" s="42"/>
      <c r="D3949" s="28" t="str">
        <f aca="false">IF(OR($B3949="",$C3949=""),"",$C3949*IFERROR(INDEX(Setup!$C$47:$C$56,MATCH($B3949,Setup!$A$47:$A$56,0)),IFERROR(INDEX(Setup!$C$60:$C$89,MATCH($B3949,Setup!$A$60:$A$89,0)),"")))</f>
        <v/>
      </c>
      <c r="E3949" s="42"/>
      <c r="F3949" s="42"/>
    </row>
    <row r="3950" customFormat="false" ht="15" hidden="false" customHeight="true" outlineLevel="0" collapsed="false">
      <c r="A3950" s="42"/>
      <c r="B3950" s="42"/>
      <c r="C3950" s="42"/>
      <c r="D3950" s="28" t="str">
        <f aca="false">IF(OR($B3950="",$C3950=""),"",$C3950*IFERROR(INDEX(Setup!$C$47:$C$56,MATCH($B3950,Setup!$A$47:$A$56,0)),IFERROR(INDEX(Setup!$C$60:$C$89,MATCH($B3950,Setup!$A$60:$A$89,0)),"")))</f>
        <v/>
      </c>
      <c r="E3950" s="42"/>
      <c r="F3950" s="42"/>
    </row>
    <row r="3951" customFormat="false" ht="15" hidden="false" customHeight="true" outlineLevel="0" collapsed="false">
      <c r="A3951" s="42"/>
      <c r="B3951" s="42"/>
      <c r="C3951" s="42"/>
      <c r="D3951" s="28" t="str">
        <f aca="false">IF(OR($B3951="",$C3951=""),"",$C3951*IFERROR(INDEX(Setup!$C$47:$C$56,MATCH($B3951,Setup!$A$47:$A$56,0)),IFERROR(INDEX(Setup!$C$60:$C$89,MATCH($B3951,Setup!$A$60:$A$89,0)),"")))</f>
        <v/>
      </c>
      <c r="E3951" s="42"/>
      <c r="F3951" s="42"/>
    </row>
    <row r="3952" customFormat="false" ht="15" hidden="false" customHeight="true" outlineLevel="0" collapsed="false">
      <c r="A3952" s="42"/>
      <c r="B3952" s="42"/>
      <c r="C3952" s="42"/>
      <c r="D3952" s="28" t="str">
        <f aca="false">IF(OR($B3952="",$C3952=""),"",$C3952*IFERROR(INDEX(Setup!$C$47:$C$56,MATCH($B3952,Setup!$A$47:$A$56,0)),IFERROR(INDEX(Setup!$C$60:$C$89,MATCH($B3952,Setup!$A$60:$A$89,0)),"")))</f>
        <v/>
      </c>
      <c r="E3952" s="42"/>
      <c r="F3952" s="42"/>
    </row>
    <row r="3953" customFormat="false" ht="15" hidden="false" customHeight="true" outlineLevel="0" collapsed="false">
      <c r="A3953" s="42"/>
      <c r="B3953" s="42"/>
      <c r="C3953" s="42"/>
      <c r="D3953" s="28" t="str">
        <f aca="false">IF(OR($B3953="",$C3953=""),"",$C3953*IFERROR(INDEX(Setup!$C$47:$C$56,MATCH($B3953,Setup!$A$47:$A$56,0)),IFERROR(INDEX(Setup!$C$60:$C$89,MATCH($B3953,Setup!$A$60:$A$89,0)),"")))</f>
        <v/>
      </c>
      <c r="E3953" s="42"/>
      <c r="F3953" s="42"/>
    </row>
    <row r="3954" customFormat="false" ht="15" hidden="false" customHeight="true" outlineLevel="0" collapsed="false">
      <c r="A3954" s="42"/>
      <c r="B3954" s="42"/>
      <c r="C3954" s="42"/>
      <c r="D3954" s="28" t="str">
        <f aca="false">IF(OR($B3954="",$C3954=""),"",$C3954*IFERROR(INDEX(Setup!$C$47:$C$56,MATCH($B3954,Setup!$A$47:$A$56,0)),IFERROR(INDEX(Setup!$C$60:$C$89,MATCH($B3954,Setup!$A$60:$A$89,0)),"")))</f>
        <v/>
      </c>
      <c r="E3954" s="42"/>
      <c r="F3954" s="42"/>
    </row>
    <row r="3955" customFormat="false" ht="15" hidden="false" customHeight="true" outlineLevel="0" collapsed="false">
      <c r="A3955" s="42"/>
      <c r="B3955" s="42"/>
      <c r="C3955" s="42"/>
      <c r="D3955" s="28" t="str">
        <f aca="false">IF(OR($B3955="",$C3955=""),"",$C3955*IFERROR(INDEX(Setup!$C$47:$C$56,MATCH($B3955,Setup!$A$47:$A$56,0)),IFERROR(INDEX(Setup!$C$60:$C$89,MATCH($B3955,Setup!$A$60:$A$89,0)),"")))</f>
        <v/>
      </c>
      <c r="E3955" s="42"/>
      <c r="F3955" s="42"/>
    </row>
    <row r="3956" customFormat="false" ht="15" hidden="false" customHeight="true" outlineLevel="0" collapsed="false">
      <c r="A3956" s="42"/>
      <c r="B3956" s="42"/>
      <c r="C3956" s="42"/>
      <c r="D3956" s="28" t="str">
        <f aca="false">IF(OR($B3956="",$C3956=""),"",$C3956*IFERROR(INDEX(Setup!$C$47:$C$56,MATCH($B3956,Setup!$A$47:$A$56,0)),IFERROR(INDEX(Setup!$C$60:$C$89,MATCH($B3956,Setup!$A$60:$A$89,0)),"")))</f>
        <v/>
      </c>
      <c r="E3956" s="42"/>
      <c r="F3956" s="42"/>
    </row>
    <row r="3957" customFormat="false" ht="15" hidden="false" customHeight="true" outlineLevel="0" collapsed="false">
      <c r="A3957" s="42"/>
      <c r="B3957" s="42"/>
      <c r="C3957" s="42"/>
      <c r="D3957" s="28" t="str">
        <f aca="false">IF(OR($B3957="",$C3957=""),"",$C3957*IFERROR(INDEX(Setup!$C$47:$C$56,MATCH($B3957,Setup!$A$47:$A$56,0)),IFERROR(INDEX(Setup!$C$60:$C$89,MATCH($B3957,Setup!$A$60:$A$89,0)),"")))</f>
        <v/>
      </c>
      <c r="E3957" s="42"/>
      <c r="F3957" s="42"/>
    </row>
    <row r="3958" customFormat="false" ht="15" hidden="false" customHeight="true" outlineLevel="0" collapsed="false">
      <c r="A3958" s="42"/>
      <c r="B3958" s="42"/>
      <c r="C3958" s="42"/>
      <c r="D3958" s="28" t="str">
        <f aca="false">IF(OR($B3958="",$C3958=""),"",$C3958*IFERROR(INDEX(Setup!$C$47:$C$56,MATCH($B3958,Setup!$A$47:$A$56,0)),IFERROR(INDEX(Setup!$C$60:$C$89,MATCH($B3958,Setup!$A$60:$A$89,0)),"")))</f>
        <v/>
      </c>
      <c r="E3958" s="42"/>
      <c r="F3958" s="42"/>
    </row>
    <row r="3959" customFormat="false" ht="15" hidden="false" customHeight="true" outlineLevel="0" collapsed="false">
      <c r="A3959" s="42"/>
      <c r="B3959" s="42"/>
      <c r="C3959" s="42"/>
      <c r="D3959" s="28" t="str">
        <f aca="false">IF(OR($B3959="",$C3959=""),"",$C3959*IFERROR(INDEX(Setup!$C$47:$C$56,MATCH($B3959,Setup!$A$47:$A$56,0)),IFERROR(INDEX(Setup!$C$60:$C$89,MATCH($B3959,Setup!$A$60:$A$89,0)),"")))</f>
        <v/>
      </c>
      <c r="E3959" s="42"/>
      <c r="F3959" s="42"/>
    </row>
    <row r="3960" customFormat="false" ht="15" hidden="false" customHeight="true" outlineLevel="0" collapsed="false">
      <c r="A3960" s="42"/>
      <c r="B3960" s="42"/>
      <c r="C3960" s="42"/>
      <c r="D3960" s="28" t="str">
        <f aca="false">IF(OR($B3960="",$C3960=""),"",$C3960*IFERROR(INDEX(Setup!$C$47:$C$56,MATCH($B3960,Setup!$A$47:$A$56,0)),IFERROR(INDEX(Setup!$C$60:$C$89,MATCH($B3960,Setup!$A$60:$A$89,0)),"")))</f>
        <v/>
      </c>
      <c r="E3960" s="42"/>
      <c r="F3960" s="42"/>
    </row>
    <row r="3961" customFormat="false" ht="15" hidden="false" customHeight="true" outlineLevel="0" collapsed="false">
      <c r="A3961" s="42"/>
      <c r="B3961" s="42"/>
      <c r="C3961" s="42"/>
      <c r="D3961" s="28" t="str">
        <f aca="false">IF(OR($B3961="",$C3961=""),"",$C3961*IFERROR(INDEX(Setup!$C$47:$C$56,MATCH($B3961,Setup!$A$47:$A$56,0)),IFERROR(INDEX(Setup!$C$60:$C$89,MATCH($B3961,Setup!$A$60:$A$89,0)),"")))</f>
        <v/>
      </c>
      <c r="E3961" s="42"/>
      <c r="F3961" s="42"/>
    </row>
    <row r="3962" customFormat="false" ht="15" hidden="false" customHeight="true" outlineLevel="0" collapsed="false">
      <c r="A3962" s="42"/>
      <c r="B3962" s="42"/>
      <c r="C3962" s="42"/>
      <c r="D3962" s="28" t="str">
        <f aca="false">IF(OR($B3962="",$C3962=""),"",$C3962*IFERROR(INDEX(Setup!$C$47:$C$56,MATCH($B3962,Setup!$A$47:$A$56,0)),IFERROR(INDEX(Setup!$C$60:$C$89,MATCH($B3962,Setup!$A$60:$A$89,0)),"")))</f>
        <v/>
      </c>
      <c r="E3962" s="42"/>
      <c r="F3962" s="42"/>
    </row>
    <row r="3963" customFormat="false" ht="15" hidden="false" customHeight="true" outlineLevel="0" collapsed="false">
      <c r="A3963" s="42"/>
      <c r="B3963" s="42"/>
      <c r="C3963" s="42"/>
      <c r="D3963" s="28" t="str">
        <f aca="false">IF(OR($B3963="",$C3963=""),"",$C3963*IFERROR(INDEX(Setup!$C$47:$C$56,MATCH($B3963,Setup!$A$47:$A$56,0)),IFERROR(INDEX(Setup!$C$60:$C$89,MATCH($B3963,Setup!$A$60:$A$89,0)),"")))</f>
        <v/>
      </c>
      <c r="E3963" s="42"/>
      <c r="F3963" s="42"/>
    </row>
    <row r="3964" customFormat="false" ht="15" hidden="false" customHeight="true" outlineLevel="0" collapsed="false">
      <c r="A3964" s="42"/>
      <c r="B3964" s="42"/>
      <c r="C3964" s="42"/>
      <c r="D3964" s="28" t="str">
        <f aca="false">IF(OR($B3964="",$C3964=""),"",$C3964*IFERROR(INDEX(Setup!$C$47:$C$56,MATCH($B3964,Setup!$A$47:$A$56,0)),IFERROR(INDEX(Setup!$C$60:$C$89,MATCH($B3964,Setup!$A$60:$A$89,0)),"")))</f>
        <v/>
      </c>
      <c r="E3964" s="42"/>
      <c r="F3964" s="42"/>
    </row>
    <row r="3965" customFormat="false" ht="15" hidden="false" customHeight="true" outlineLevel="0" collapsed="false">
      <c r="A3965" s="42"/>
      <c r="B3965" s="42"/>
      <c r="C3965" s="42"/>
      <c r="D3965" s="28" t="str">
        <f aca="false">IF(OR($B3965="",$C3965=""),"",$C3965*IFERROR(INDEX(Setup!$C$47:$C$56,MATCH($B3965,Setup!$A$47:$A$56,0)),IFERROR(INDEX(Setup!$C$60:$C$89,MATCH($B3965,Setup!$A$60:$A$89,0)),"")))</f>
        <v/>
      </c>
      <c r="E3965" s="42"/>
      <c r="F3965" s="42"/>
    </row>
    <row r="3966" customFormat="false" ht="15" hidden="false" customHeight="true" outlineLevel="0" collapsed="false">
      <c r="A3966" s="42"/>
      <c r="B3966" s="42"/>
      <c r="C3966" s="42"/>
      <c r="D3966" s="28" t="str">
        <f aca="false">IF(OR($B3966="",$C3966=""),"",$C3966*IFERROR(INDEX(Setup!$C$47:$C$56,MATCH($B3966,Setup!$A$47:$A$56,0)),IFERROR(INDEX(Setup!$C$60:$C$89,MATCH($B3966,Setup!$A$60:$A$89,0)),"")))</f>
        <v/>
      </c>
      <c r="E3966" s="42"/>
      <c r="F3966" s="42"/>
    </row>
    <row r="3967" customFormat="false" ht="15" hidden="false" customHeight="true" outlineLevel="0" collapsed="false">
      <c r="A3967" s="42"/>
      <c r="B3967" s="42"/>
      <c r="C3967" s="42"/>
      <c r="D3967" s="28" t="str">
        <f aca="false">IF(OR($B3967="",$C3967=""),"",$C3967*IFERROR(INDEX(Setup!$C$47:$C$56,MATCH($B3967,Setup!$A$47:$A$56,0)),IFERROR(INDEX(Setup!$C$60:$C$89,MATCH($B3967,Setup!$A$60:$A$89,0)),"")))</f>
        <v/>
      </c>
      <c r="E3967" s="42"/>
      <c r="F3967" s="42"/>
    </row>
    <row r="3968" customFormat="false" ht="15" hidden="false" customHeight="true" outlineLevel="0" collapsed="false">
      <c r="A3968" s="42"/>
      <c r="B3968" s="42"/>
      <c r="C3968" s="42"/>
      <c r="D3968" s="28" t="str">
        <f aca="false">IF(OR($B3968="",$C3968=""),"",$C3968*IFERROR(INDEX(Setup!$C$47:$C$56,MATCH($B3968,Setup!$A$47:$A$56,0)),IFERROR(INDEX(Setup!$C$60:$C$89,MATCH($B3968,Setup!$A$60:$A$89,0)),"")))</f>
        <v/>
      </c>
      <c r="E3968" s="42"/>
      <c r="F3968" s="42"/>
    </row>
    <row r="3969" customFormat="false" ht="15" hidden="false" customHeight="true" outlineLevel="0" collapsed="false">
      <c r="A3969" s="42"/>
      <c r="B3969" s="42"/>
      <c r="C3969" s="42"/>
      <c r="D3969" s="28" t="str">
        <f aca="false">IF(OR($B3969="",$C3969=""),"",$C3969*IFERROR(INDEX(Setup!$C$47:$C$56,MATCH($B3969,Setup!$A$47:$A$56,0)),IFERROR(INDEX(Setup!$C$60:$C$89,MATCH($B3969,Setup!$A$60:$A$89,0)),"")))</f>
        <v/>
      </c>
      <c r="E3969" s="42"/>
      <c r="F3969" s="42"/>
    </row>
    <row r="3970" customFormat="false" ht="15" hidden="false" customHeight="true" outlineLevel="0" collapsed="false">
      <c r="A3970" s="42"/>
      <c r="B3970" s="42"/>
      <c r="C3970" s="42"/>
      <c r="D3970" s="28" t="str">
        <f aca="false">IF(OR($B3970="",$C3970=""),"",$C3970*IFERROR(INDEX(Setup!$C$47:$C$56,MATCH($B3970,Setup!$A$47:$A$56,0)),IFERROR(INDEX(Setup!$C$60:$C$89,MATCH($B3970,Setup!$A$60:$A$89,0)),"")))</f>
        <v/>
      </c>
      <c r="E3970" s="42"/>
      <c r="F3970" s="42"/>
    </row>
    <row r="3971" customFormat="false" ht="15" hidden="false" customHeight="true" outlineLevel="0" collapsed="false">
      <c r="A3971" s="42"/>
      <c r="B3971" s="42"/>
      <c r="C3971" s="42"/>
      <c r="D3971" s="28" t="str">
        <f aca="false">IF(OR($B3971="",$C3971=""),"",$C3971*IFERROR(INDEX(Setup!$C$47:$C$56,MATCH($B3971,Setup!$A$47:$A$56,0)),IFERROR(INDEX(Setup!$C$60:$C$89,MATCH($B3971,Setup!$A$60:$A$89,0)),"")))</f>
        <v/>
      </c>
      <c r="E3971" s="42"/>
      <c r="F3971" s="42"/>
    </row>
    <row r="3972" customFormat="false" ht="15" hidden="false" customHeight="true" outlineLevel="0" collapsed="false">
      <c r="A3972" s="42"/>
      <c r="B3972" s="42"/>
      <c r="C3972" s="42"/>
      <c r="D3972" s="28" t="str">
        <f aca="false">IF(OR($B3972="",$C3972=""),"",$C3972*IFERROR(INDEX(Setup!$C$47:$C$56,MATCH($B3972,Setup!$A$47:$A$56,0)),IFERROR(INDEX(Setup!$C$60:$C$89,MATCH($B3972,Setup!$A$60:$A$89,0)),"")))</f>
        <v/>
      </c>
      <c r="E3972" s="42"/>
      <c r="F3972" s="42"/>
    </row>
    <row r="3973" customFormat="false" ht="15" hidden="false" customHeight="true" outlineLevel="0" collapsed="false">
      <c r="A3973" s="42"/>
      <c r="B3973" s="42"/>
      <c r="C3973" s="42"/>
      <c r="D3973" s="28" t="str">
        <f aca="false">IF(OR($B3973="",$C3973=""),"",$C3973*IFERROR(INDEX(Setup!$C$47:$C$56,MATCH($B3973,Setup!$A$47:$A$56,0)),IFERROR(INDEX(Setup!$C$60:$C$89,MATCH($B3973,Setup!$A$60:$A$89,0)),"")))</f>
        <v/>
      </c>
      <c r="E3973" s="42"/>
      <c r="F3973" s="42"/>
    </row>
    <row r="3974" customFormat="false" ht="15" hidden="false" customHeight="true" outlineLevel="0" collapsed="false">
      <c r="A3974" s="42"/>
      <c r="B3974" s="42"/>
      <c r="C3974" s="42"/>
      <c r="D3974" s="28" t="str">
        <f aca="false">IF(OR($B3974="",$C3974=""),"",$C3974*IFERROR(INDEX(Setup!$C$47:$C$56,MATCH($B3974,Setup!$A$47:$A$56,0)),IFERROR(INDEX(Setup!$C$60:$C$89,MATCH($B3974,Setup!$A$60:$A$89,0)),"")))</f>
        <v/>
      </c>
      <c r="E3974" s="42"/>
      <c r="F3974" s="42"/>
    </row>
    <row r="3975" customFormat="false" ht="15" hidden="false" customHeight="true" outlineLevel="0" collapsed="false">
      <c r="A3975" s="42"/>
      <c r="B3975" s="42"/>
      <c r="C3975" s="42"/>
      <c r="D3975" s="28" t="str">
        <f aca="false">IF(OR($B3975="",$C3975=""),"",$C3975*IFERROR(INDEX(Setup!$C$47:$C$56,MATCH($B3975,Setup!$A$47:$A$56,0)),IFERROR(INDEX(Setup!$C$60:$C$89,MATCH($B3975,Setup!$A$60:$A$89,0)),"")))</f>
        <v/>
      </c>
      <c r="E3975" s="42"/>
      <c r="F3975" s="42"/>
    </row>
    <row r="3976" customFormat="false" ht="15" hidden="false" customHeight="true" outlineLevel="0" collapsed="false">
      <c r="A3976" s="42"/>
      <c r="B3976" s="42"/>
      <c r="C3976" s="42"/>
      <c r="D3976" s="28" t="str">
        <f aca="false">IF(OR($B3976="",$C3976=""),"",$C3976*IFERROR(INDEX(Setup!$C$47:$C$56,MATCH($B3976,Setup!$A$47:$A$56,0)),IFERROR(INDEX(Setup!$C$60:$C$89,MATCH($B3976,Setup!$A$60:$A$89,0)),"")))</f>
        <v/>
      </c>
      <c r="E3976" s="42"/>
      <c r="F3976" s="42"/>
    </row>
    <row r="3977" customFormat="false" ht="15" hidden="false" customHeight="true" outlineLevel="0" collapsed="false">
      <c r="A3977" s="42"/>
      <c r="B3977" s="42"/>
      <c r="C3977" s="42"/>
      <c r="D3977" s="28" t="str">
        <f aca="false">IF(OR($B3977="",$C3977=""),"",$C3977*IFERROR(INDEX(Setup!$C$47:$C$56,MATCH($B3977,Setup!$A$47:$A$56,0)),IFERROR(INDEX(Setup!$C$60:$C$89,MATCH($B3977,Setup!$A$60:$A$89,0)),"")))</f>
        <v/>
      </c>
      <c r="E3977" s="42"/>
      <c r="F3977" s="42"/>
    </row>
    <row r="3978" customFormat="false" ht="15" hidden="false" customHeight="true" outlineLevel="0" collapsed="false">
      <c r="A3978" s="42"/>
      <c r="B3978" s="42"/>
      <c r="C3978" s="42"/>
      <c r="D3978" s="28" t="str">
        <f aca="false">IF(OR($B3978="",$C3978=""),"",$C3978*IFERROR(INDEX(Setup!$C$47:$C$56,MATCH($B3978,Setup!$A$47:$A$56,0)),IFERROR(INDEX(Setup!$C$60:$C$89,MATCH($B3978,Setup!$A$60:$A$89,0)),"")))</f>
        <v/>
      </c>
      <c r="E3978" s="42"/>
      <c r="F3978" s="42"/>
    </row>
    <row r="3979" customFormat="false" ht="15" hidden="false" customHeight="true" outlineLevel="0" collapsed="false">
      <c r="A3979" s="42"/>
      <c r="B3979" s="42"/>
      <c r="C3979" s="42"/>
      <c r="D3979" s="28" t="str">
        <f aca="false">IF(OR($B3979="",$C3979=""),"",$C3979*IFERROR(INDEX(Setup!$C$47:$C$56,MATCH($B3979,Setup!$A$47:$A$56,0)),IFERROR(INDEX(Setup!$C$60:$C$89,MATCH($B3979,Setup!$A$60:$A$89,0)),"")))</f>
        <v/>
      </c>
      <c r="E3979" s="42"/>
      <c r="F3979" s="42"/>
    </row>
    <row r="3980" customFormat="false" ht="15" hidden="false" customHeight="true" outlineLevel="0" collapsed="false">
      <c r="A3980" s="42"/>
      <c r="B3980" s="42"/>
      <c r="C3980" s="42"/>
      <c r="D3980" s="28" t="str">
        <f aca="false">IF(OR($B3980="",$C3980=""),"",$C3980*IFERROR(INDEX(Setup!$C$47:$C$56,MATCH($B3980,Setup!$A$47:$A$56,0)),IFERROR(INDEX(Setup!$C$60:$C$89,MATCH($B3980,Setup!$A$60:$A$89,0)),"")))</f>
        <v/>
      </c>
      <c r="E3980" s="42"/>
      <c r="F3980" s="42"/>
    </row>
    <row r="3981" customFormat="false" ht="15" hidden="false" customHeight="true" outlineLevel="0" collapsed="false">
      <c r="A3981" s="42"/>
      <c r="B3981" s="42"/>
      <c r="C3981" s="42"/>
      <c r="D3981" s="28" t="str">
        <f aca="false">IF(OR($B3981="",$C3981=""),"",$C3981*IFERROR(INDEX(Setup!$C$47:$C$56,MATCH($B3981,Setup!$A$47:$A$56,0)),IFERROR(INDEX(Setup!$C$60:$C$89,MATCH($B3981,Setup!$A$60:$A$89,0)),"")))</f>
        <v/>
      </c>
      <c r="E3981" s="42"/>
      <c r="F3981" s="42"/>
    </row>
    <row r="3982" customFormat="false" ht="15" hidden="false" customHeight="true" outlineLevel="0" collapsed="false">
      <c r="A3982" s="42"/>
      <c r="B3982" s="42"/>
      <c r="C3982" s="42"/>
      <c r="D3982" s="28" t="str">
        <f aca="false">IF(OR($B3982="",$C3982=""),"",$C3982*IFERROR(INDEX(Setup!$C$47:$C$56,MATCH($B3982,Setup!$A$47:$A$56,0)),IFERROR(INDEX(Setup!$C$60:$C$89,MATCH($B3982,Setup!$A$60:$A$89,0)),"")))</f>
        <v/>
      </c>
      <c r="E3982" s="42"/>
      <c r="F3982" s="42"/>
    </row>
    <row r="3983" customFormat="false" ht="15" hidden="false" customHeight="true" outlineLevel="0" collapsed="false">
      <c r="A3983" s="42"/>
      <c r="B3983" s="42"/>
      <c r="C3983" s="42"/>
      <c r="D3983" s="28" t="str">
        <f aca="false">IF(OR($B3983="",$C3983=""),"",$C3983*IFERROR(INDEX(Setup!$C$47:$C$56,MATCH($B3983,Setup!$A$47:$A$56,0)),IFERROR(INDEX(Setup!$C$60:$C$89,MATCH($B3983,Setup!$A$60:$A$89,0)),"")))</f>
        <v/>
      </c>
      <c r="E3983" s="42"/>
      <c r="F3983" s="42"/>
    </row>
    <row r="3984" customFormat="false" ht="15" hidden="false" customHeight="true" outlineLevel="0" collapsed="false">
      <c r="A3984" s="42"/>
      <c r="B3984" s="42"/>
      <c r="C3984" s="42"/>
      <c r="D3984" s="28" t="str">
        <f aca="false">IF(OR($B3984="",$C3984=""),"",$C3984*IFERROR(INDEX(Setup!$C$47:$C$56,MATCH($B3984,Setup!$A$47:$A$56,0)),IFERROR(INDEX(Setup!$C$60:$C$89,MATCH($B3984,Setup!$A$60:$A$89,0)),"")))</f>
        <v/>
      </c>
      <c r="E3984" s="42"/>
      <c r="F3984" s="42"/>
    </row>
    <row r="3985" customFormat="false" ht="15" hidden="false" customHeight="true" outlineLevel="0" collapsed="false">
      <c r="A3985" s="42"/>
      <c r="B3985" s="42"/>
      <c r="C3985" s="42"/>
      <c r="D3985" s="28" t="str">
        <f aca="false">IF(OR($B3985="",$C3985=""),"",$C3985*IFERROR(INDEX(Setup!$C$47:$C$56,MATCH($B3985,Setup!$A$47:$A$56,0)),IFERROR(INDEX(Setup!$C$60:$C$89,MATCH($B3985,Setup!$A$60:$A$89,0)),"")))</f>
        <v/>
      </c>
      <c r="E3985" s="42"/>
      <c r="F3985" s="42"/>
    </row>
    <row r="3986" customFormat="false" ht="15" hidden="false" customHeight="true" outlineLevel="0" collapsed="false">
      <c r="A3986" s="42"/>
      <c r="B3986" s="42"/>
      <c r="C3986" s="42"/>
      <c r="D3986" s="28" t="str">
        <f aca="false">IF(OR($B3986="",$C3986=""),"",$C3986*IFERROR(INDEX(Setup!$C$47:$C$56,MATCH($B3986,Setup!$A$47:$A$56,0)),IFERROR(INDEX(Setup!$C$60:$C$89,MATCH($B3986,Setup!$A$60:$A$89,0)),"")))</f>
        <v/>
      </c>
      <c r="E3986" s="42"/>
      <c r="F3986" s="42"/>
    </row>
    <row r="3987" customFormat="false" ht="15" hidden="false" customHeight="true" outlineLevel="0" collapsed="false">
      <c r="A3987" s="42"/>
      <c r="B3987" s="42"/>
      <c r="C3987" s="42"/>
      <c r="D3987" s="28" t="str">
        <f aca="false">IF(OR($B3987="",$C3987=""),"",$C3987*IFERROR(INDEX(Setup!$C$47:$C$56,MATCH($B3987,Setup!$A$47:$A$56,0)),IFERROR(INDEX(Setup!$C$60:$C$89,MATCH($B3987,Setup!$A$60:$A$89,0)),"")))</f>
        <v/>
      </c>
      <c r="E3987" s="42"/>
      <c r="F3987" s="42"/>
    </row>
    <row r="3988" customFormat="false" ht="15" hidden="false" customHeight="true" outlineLevel="0" collapsed="false">
      <c r="A3988" s="42"/>
      <c r="B3988" s="42"/>
      <c r="C3988" s="42"/>
      <c r="D3988" s="28" t="str">
        <f aca="false">IF(OR($B3988="",$C3988=""),"",$C3988*IFERROR(INDEX(Setup!$C$47:$C$56,MATCH($B3988,Setup!$A$47:$A$56,0)),IFERROR(INDEX(Setup!$C$60:$C$89,MATCH($B3988,Setup!$A$60:$A$89,0)),"")))</f>
        <v/>
      </c>
      <c r="E3988" s="42"/>
      <c r="F3988" s="42"/>
    </row>
    <row r="3989" customFormat="false" ht="15" hidden="false" customHeight="true" outlineLevel="0" collapsed="false">
      <c r="A3989" s="42"/>
      <c r="B3989" s="42"/>
      <c r="C3989" s="42"/>
      <c r="D3989" s="28" t="str">
        <f aca="false">IF(OR($B3989="",$C3989=""),"",$C3989*IFERROR(INDEX(Setup!$C$47:$C$56,MATCH($B3989,Setup!$A$47:$A$56,0)),IFERROR(INDEX(Setup!$C$60:$C$89,MATCH($B3989,Setup!$A$60:$A$89,0)),"")))</f>
        <v/>
      </c>
      <c r="E3989" s="42"/>
      <c r="F3989" s="42"/>
    </row>
    <row r="3990" customFormat="false" ht="15" hidden="false" customHeight="true" outlineLevel="0" collapsed="false">
      <c r="A3990" s="42"/>
      <c r="B3990" s="42"/>
      <c r="C3990" s="42"/>
      <c r="D3990" s="28" t="str">
        <f aca="false">IF(OR($B3990="",$C3990=""),"",$C3990*IFERROR(INDEX(Setup!$C$47:$C$56,MATCH($B3990,Setup!$A$47:$A$56,0)),IFERROR(INDEX(Setup!$C$60:$C$89,MATCH($B3990,Setup!$A$60:$A$89,0)),"")))</f>
        <v/>
      </c>
      <c r="E3990" s="42"/>
      <c r="F3990" s="42"/>
    </row>
    <row r="3991" customFormat="false" ht="15" hidden="false" customHeight="true" outlineLevel="0" collapsed="false">
      <c r="A3991" s="42"/>
      <c r="B3991" s="42"/>
      <c r="C3991" s="42"/>
      <c r="D3991" s="28" t="str">
        <f aca="false">IF(OR($B3991="",$C3991=""),"",$C3991*IFERROR(INDEX(Setup!$C$47:$C$56,MATCH($B3991,Setup!$A$47:$A$56,0)),IFERROR(INDEX(Setup!$C$60:$C$89,MATCH($B3991,Setup!$A$60:$A$89,0)),"")))</f>
        <v/>
      </c>
      <c r="E3991" s="42"/>
      <c r="F3991" s="42"/>
    </row>
    <row r="3992" customFormat="false" ht="15" hidden="false" customHeight="true" outlineLevel="0" collapsed="false">
      <c r="A3992" s="42"/>
      <c r="B3992" s="42"/>
      <c r="C3992" s="42"/>
      <c r="D3992" s="28" t="str">
        <f aca="false">IF(OR($B3992="",$C3992=""),"",$C3992*IFERROR(INDEX(Setup!$C$47:$C$56,MATCH($B3992,Setup!$A$47:$A$56,0)),IFERROR(INDEX(Setup!$C$60:$C$89,MATCH($B3992,Setup!$A$60:$A$89,0)),"")))</f>
        <v/>
      </c>
      <c r="E3992" s="42"/>
      <c r="F3992" s="42"/>
    </row>
    <row r="3993" customFormat="false" ht="15" hidden="false" customHeight="true" outlineLevel="0" collapsed="false">
      <c r="A3993" s="42"/>
      <c r="B3993" s="42"/>
      <c r="C3993" s="42"/>
      <c r="D3993" s="28" t="str">
        <f aca="false">IF(OR($B3993="",$C3993=""),"",$C3993*IFERROR(INDEX(Setup!$C$47:$C$56,MATCH($B3993,Setup!$A$47:$A$56,0)),IFERROR(INDEX(Setup!$C$60:$C$89,MATCH($B3993,Setup!$A$60:$A$89,0)),"")))</f>
        <v/>
      </c>
      <c r="E3993" s="42"/>
      <c r="F3993" s="42"/>
    </row>
    <row r="3994" customFormat="false" ht="15" hidden="false" customHeight="true" outlineLevel="0" collapsed="false">
      <c r="A3994" s="42"/>
      <c r="B3994" s="42"/>
      <c r="C3994" s="42"/>
      <c r="D3994" s="28" t="str">
        <f aca="false">IF(OR($B3994="",$C3994=""),"",$C3994*IFERROR(INDEX(Setup!$C$47:$C$56,MATCH($B3994,Setup!$A$47:$A$56,0)),IFERROR(INDEX(Setup!$C$60:$C$89,MATCH($B3994,Setup!$A$60:$A$89,0)),"")))</f>
        <v/>
      </c>
      <c r="E3994" s="42"/>
      <c r="F3994" s="42"/>
    </row>
    <row r="3995" customFormat="false" ht="15" hidden="false" customHeight="true" outlineLevel="0" collapsed="false">
      <c r="A3995" s="42"/>
      <c r="B3995" s="42"/>
      <c r="C3995" s="42"/>
      <c r="D3995" s="28" t="str">
        <f aca="false">IF(OR($B3995="",$C3995=""),"",$C3995*IFERROR(INDEX(Setup!$C$47:$C$56,MATCH($B3995,Setup!$A$47:$A$56,0)),IFERROR(INDEX(Setup!$C$60:$C$89,MATCH($B3995,Setup!$A$60:$A$89,0)),"")))</f>
        <v/>
      </c>
      <c r="E3995" s="42"/>
      <c r="F3995" s="42"/>
    </row>
    <row r="3996" customFormat="false" ht="15" hidden="false" customHeight="true" outlineLevel="0" collapsed="false">
      <c r="A3996" s="42"/>
      <c r="B3996" s="42"/>
      <c r="C3996" s="42"/>
      <c r="D3996" s="28" t="str">
        <f aca="false">IF(OR($B3996="",$C3996=""),"",$C3996*IFERROR(INDEX(Setup!$C$47:$C$56,MATCH($B3996,Setup!$A$47:$A$56,0)),IFERROR(INDEX(Setup!$C$60:$C$89,MATCH($B3996,Setup!$A$60:$A$89,0)),"")))</f>
        <v/>
      </c>
      <c r="E3996" s="42"/>
      <c r="F3996" s="42"/>
    </row>
    <row r="3997" customFormat="false" ht="15" hidden="false" customHeight="true" outlineLevel="0" collapsed="false">
      <c r="A3997" s="42"/>
      <c r="B3997" s="42"/>
      <c r="C3997" s="42"/>
      <c r="D3997" s="28" t="str">
        <f aca="false">IF(OR($B3997="",$C3997=""),"",$C3997*IFERROR(INDEX(Setup!$C$47:$C$56,MATCH($B3997,Setup!$A$47:$A$56,0)),IFERROR(INDEX(Setup!$C$60:$C$89,MATCH($B3997,Setup!$A$60:$A$89,0)),"")))</f>
        <v/>
      </c>
      <c r="E3997" s="42"/>
      <c r="F3997" s="42"/>
    </row>
    <row r="3998" customFormat="false" ht="15" hidden="false" customHeight="true" outlineLevel="0" collapsed="false">
      <c r="A3998" s="42"/>
      <c r="B3998" s="42"/>
      <c r="C3998" s="42"/>
      <c r="D3998" s="28" t="str">
        <f aca="false">IF(OR($B3998="",$C3998=""),"",$C3998*IFERROR(INDEX(Setup!$C$47:$C$56,MATCH($B3998,Setup!$A$47:$A$56,0)),IFERROR(INDEX(Setup!$C$60:$C$89,MATCH($B3998,Setup!$A$60:$A$89,0)),"")))</f>
        <v/>
      </c>
      <c r="E3998" s="42"/>
      <c r="F3998" s="42"/>
    </row>
    <row r="3999" customFormat="false" ht="15" hidden="false" customHeight="true" outlineLevel="0" collapsed="false">
      <c r="A3999" s="42"/>
      <c r="B3999" s="42"/>
      <c r="C3999" s="42"/>
      <c r="D3999" s="28" t="str">
        <f aca="false">IF(OR($B3999="",$C3999=""),"",$C3999*IFERROR(INDEX(Setup!$C$47:$C$56,MATCH($B3999,Setup!$A$47:$A$56,0)),IFERROR(INDEX(Setup!$C$60:$C$89,MATCH($B3999,Setup!$A$60:$A$89,0)),"")))</f>
        <v/>
      </c>
      <c r="E3999" s="42"/>
      <c r="F3999" s="42"/>
    </row>
    <row r="4000" customFormat="false" ht="15" hidden="false" customHeight="true" outlineLevel="0" collapsed="false">
      <c r="A4000" s="42"/>
      <c r="B4000" s="42"/>
      <c r="C4000" s="42"/>
      <c r="D4000" s="28" t="str">
        <f aca="false">IF(OR($B4000="",$C4000=""),"",$C4000*IFERROR(INDEX(Setup!$C$47:$C$56,MATCH($B4000,Setup!$A$47:$A$56,0)),IFERROR(INDEX(Setup!$C$60:$C$89,MATCH($B4000,Setup!$A$60:$A$89,0)),"")))</f>
        <v/>
      </c>
      <c r="E4000" s="42"/>
      <c r="F4000" s="42"/>
    </row>
    <row r="4001" customFormat="false" ht="15" hidden="false" customHeight="true" outlineLevel="0" collapsed="false">
      <c r="A4001" s="42"/>
      <c r="B4001" s="42"/>
      <c r="C4001" s="42"/>
      <c r="D4001" s="28" t="str">
        <f aca="false">IF(OR($B4001="",$C4001=""),"",$C4001*IFERROR(INDEX(Setup!$C$47:$C$56,MATCH($B4001,Setup!$A$47:$A$56,0)),IFERROR(INDEX(Setup!$C$60:$C$89,MATCH($B4001,Setup!$A$60:$A$89,0)),"")))</f>
        <v/>
      </c>
      <c r="E4001" s="42"/>
      <c r="F4001" s="42"/>
    </row>
    <row r="4002" customFormat="false" ht="15" hidden="false" customHeight="true" outlineLevel="0" collapsed="false">
      <c r="A4002" s="42"/>
      <c r="B4002" s="42"/>
      <c r="C4002" s="42"/>
      <c r="D4002" s="28" t="str">
        <f aca="false">IF(OR($B4002="",$C4002=""),"",$C4002*IFERROR(INDEX(Setup!$C$47:$C$56,MATCH($B4002,Setup!$A$47:$A$56,0)),IFERROR(INDEX(Setup!$C$60:$C$89,MATCH($B4002,Setup!$A$60:$A$89,0)),"")))</f>
        <v/>
      </c>
      <c r="E4002" s="42"/>
      <c r="F4002" s="42"/>
    </row>
    <row r="4003" customFormat="false" ht="15" hidden="false" customHeight="true" outlineLevel="0" collapsed="false">
      <c r="A4003" s="42"/>
      <c r="B4003" s="42"/>
      <c r="C4003" s="42"/>
      <c r="D4003" s="28" t="str">
        <f aca="false">IF(OR($B4003="",$C4003=""),"",$C4003*IFERROR(INDEX(Setup!$C$47:$C$56,MATCH($B4003,Setup!$A$47:$A$56,0)),IFERROR(INDEX(Setup!$C$60:$C$89,MATCH($B4003,Setup!$A$60:$A$89,0)),"")))</f>
        <v/>
      </c>
      <c r="E4003" s="42"/>
      <c r="F4003" s="42"/>
    </row>
    <row r="4004" customFormat="false" ht="15" hidden="false" customHeight="true" outlineLevel="0" collapsed="false">
      <c r="A4004" s="42"/>
      <c r="B4004" s="42"/>
      <c r="C4004" s="42"/>
      <c r="D4004" s="28" t="str">
        <f aca="false">IF(OR($B4004="",$C4004=""),"",$C4004*IFERROR(INDEX(Setup!$C$47:$C$56,MATCH($B4004,Setup!$A$47:$A$56,0)),IFERROR(INDEX(Setup!$C$60:$C$89,MATCH($B4004,Setup!$A$60:$A$89,0)),"")))</f>
        <v/>
      </c>
      <c r="E4004" s="42"/>
      <c r="F4004" s="42"/>
    </row>
    <row r="4005" customFormat="false" ht="15" hidden="false" customHeight="true" outlineLevel="0" collapsed="false">
      <c r="A4005" s="42"/>
      <c r="B4005" s="42"/>
      <c r="C4005" s="42"/>
      <c r="D4005" s="28" t="str">
        <f aca="false">IF(OR($B4005="",$C4005=""),"",$C4005*IFERROR(INDEX(Setup!$C$47:$C$56,MATCH($B4005,Setup!$A$47:$A$56,0)),IFERROR(INDEX(Setup!$C$60:$C$89,MATCH($B4005,Setup!$A$60:$A$89,0)),"")))</f>
        <v/>
      </c>
      <c r="E4005" s="42"/>
      <c r="F4005" s="42"/>
    </row>
    <row r="4006" customFormat="false" ht="15" hidden="false" customHeight="true" outlineLevel="0" collapsed="false">
      <c r="A4006" s="42"/>
      <c r="B4006" s="42"/>
      <c r="C4006" s="42"/>
      <c r="D4006" s="28" t="str">
        <f aca="false">IF(OR($B4006="",$C4006=""),"",$C4006*IFERROR(INDEX(Setup!$C$47:$C$56,MATCH($B4006,Setup!$A$47:$A$56,0)),IFERROR(INDEX(Setup!$C$60:$C$89,MATCH($B4006,Setup!$A$60:$A$89,0)),"")))</f>
        <v/>
      </c>
      <c r="E4006" s="42"/>
      <c r="F4006" s="42"/>
    </row>
    <row r="4007" customFormat="false" ht="15" hidden="false" customHeight="true" outlineLevel="0" collapsed="false">
      <c r="A4007" s="42"/>
      <c r="B4007" s="42"/>
      <c r="C4007" s="42"/>
      <c r="D4007" s="28" t="str">
        <f aca="false">IF(OR($B4007="",$C4007=""),"",$C4007*IFERROR(INDEX(Setup!$C$47:$C$56,MATCH($B4007,Setup!$A$47:$A$56,0)),IFERROR(INDEX(Setup!$C$60:$C$89,MATCH($B4007,Setup!$A$60:$A$89,0)),"")))</f>
        <v/>
      </c>
      <c r="E4007" s="42"/>
      <c r="F4007" s="42"/>
    </row>
    <row r="4008" customFormat="false" ht="15" hidden="false" customHeight="true" outlineLevel="0" collapsed="false">
      <c r="A4008" s="42"/>
      <c r="B4008" s="42"/>
      <c r="C4008" s="42"/>
      <c r="D4008" s="28" t="str">
        <f aca="false">IF(OR($B4008="",$C4008=""),"",$C4008*IFERROR(INDEX(Setup!$C$47:$C$56,MATCH($B4008,Setup!$A$47:$A$56,0)),IFERROR(INDEX(Setup!$C$60:$C$89,MATCH($B4008,Setup!$A$60:$A$89,0)),"")))</f>
        <v/>
      </c>
      <c r="E4008" s="42"/>
      <c r="F4008" s="42"/>
    </row>
    <row r="4009" customFormat="false" ht="15" hidden="false" customHeight="true" outlineLevel="0" collapsed="false">
      <c r="A4009" s="42"/>
      <c r="B4009" s="42"/>
      <c r="C4009" s="42"/>
      <c r="D4009" s="28" t="str">
        <f aca="false">IF(OR($B4009="",$C4009=""),"",$C4009*IFERROR(INDEX(Setup!$C$47:$C$56,MATCH($B4009,Setup!$A$47:$A$56,0)),IFERROR(INDEX(Setup!$C$60:$C$89,MATCH($B4009,Setup!$A$60:$A$89,0)),"")))</f>
        <v/>
      </c>
      <c r="E4009" s="42"/>
      <c r="F4009" s="42"/>
    </row>
    <row r="4010" customFormat="false" ht="15" hidden="false" customHeight="true" outlineLevel="0" collapsed="false">
      <c r="A4010" s="42"/>
      <c r="B4010" s="42"/>
      <c r="C4010" s="42"/>
      <c r="D4010" s="28" t="str">
        <f aca="false">IF(OR($B4010="",$C4010=""),"",$C4010*IFERROR(INDEX(Setup!$C$47:$C$56,MATCH($B4010,Setup!$A$47:$A$56,0)),IFERROR(INDEX(Setup!$C$60:$C$89,MATCH($B4010,Setup!$A$60:$A$89,0)),"")))</f>
        <v/>
      </c>
      <c r="E4010" s="42"/>
      <c r="F4010" s="42"/>
    </row>
    <row r="4011" customFormat="false" ht="15" hidden="false" customHeight="true" outlineLevel="0" collapsed="false">
      <c r="A4011" s="42"/>
      <c r="B4011" s="42"/>
      <c r="C4011" s="42"/>
      <c r="D4011" s="28" t="str">
        <f aca="false">IF(OR($B4011="",$C4011=""),"",$C4011*IFERROR(INDEX(Setup!$C$47:$C$56,MATCH($B4011,Setup!$A$47:$A$56,0)),IFERROR(INDEX(Setup!$C$60:$C$89,MATCH($B4011,Setup!$A$60:$A$89,0)),"")))</f>
        <v/>
      </c>
      <c r="E4011" s="42"/>
      <c r="F4011" s="42"/>
    </row>
    <row r="4012" customFormat="false" ht="15" hidden="false" customHeight="true" outlineLevel="0" collapsed="false">
      <c r="A4012" s="42"/>
      <c r="B4012" s="42"/>
      <c r="C4012" s="42"/>
      <c r="D4012" s="28" t="str">
        <f aca="false">IF(OR($B4012="",$C4012=""),"",$C4012*IFERROR(INDEX(Setup!$C$47:$C$56,MATCH($B4012,Setup!$A$47:$A$56,0)),IFERROR(INDEX(Setup!$C$60:$C$89,MATCH($B4012,Setup!$A$60:$A$89,0)),"")))</f>
        <v/>
      </c>
      <c r="E4012" s="42"/>
      <c r="F4012" s="42"/>
    </row>
    <row r="4013" customFormat="false" ht="15" hidden="false" customHeight="true" outlineLevel="0" collapsed="false">
      <c r="A4013" s="42"/>
      <c r="B4013" s="42"/>
      <c r="C4013" s="42"/>
      <c r="D4013" s="28" t="str">
        <f aca="false">IF(OR($B4013="",$C4013=""),"",$C4013*IFERROR(INDEX(Setup!$C$47:$C$56,MATCH($B4013,Setup!$A$47:$A$56,0)),IFERROR(INDEX(Setup!$C$60:$C$89,MATCH($B4013,Setup!$A$60:$A$89,0)),"")))</f>
        <v/>
      </c>
      <c r="E4013" s="42"/>
      <c r="F4013" s="42"/>
    </row>
    <row r="4014" customFormat="false" ht="15" hidden="false" customHeight="true" outlineLevel="0" collapsed="false">
      <c r="A4014" s="42"/>
      <c r="B4014" s="42"/>
      <c r="C4014" s="42"/>
      <c r="D4014" s="28" t="str">
        <f aca="false">IF(OR($B4014="",$C4014=""),"",$C4014*IFERROR(INDEX(Setup!$C$47:$C$56,MATCH($B4014,Setup!$A$47:$A$56,0)),IFERROR(INDEX(Setup!$C$60:$C$89,MATCH($B4014,Setup!$A$60:$A$89,0)),"")))</f>
        <v/>
      </c>
      <c r="E4014" s="42"/>
      <c r="F4014" s="42"/>
    </row>
    <row r="4015" customFormat="false" ht="15" hidden="false" customHeight="true" outlineLevel="0" collapsed="false">
      <c r="A4015" s="42"/>
      <c r="B4015" s="42"/>
      <c r="C4015" s="42"/>
      <c r="D4015" s="28" t="str">
        <f aca="false">IF(OR($B4015="",$C4015=""),"",$C4015*IFERROR(INDEX(Setup!$C$47:$C$56,MATCH($B4015,Setup!$A$47:$A$56,0)),IFERROR(INDEX(Setup!$C$60:$C$89,MATCH($B4015,Setup!$A$60:$A$89,0)),"")))</f>
        <v/>
      </c>
      <c r="E4015" s="42"/>
      <c r="F4015" s="42"/>
    </row>
    <row r="4016" customFormat="false" ht="15" hidden="false" customHeight="true" outlineLevel="0" collapsed="false">
      <c r="A4016" s="42"/>
      <c r="B4016" s="42"/>
      <c r="C4016" s="42"/>
      <c r="D4016" s="28" t="str">
        <f aca="false">IF(OR($B4016="",$C4016=""),"",$C4016*IFERROR(INDEX(Setup!$C$47:$C$56,MATCH($B4016,Setup!$A$47:$A$56,0)),IFERROR(INDEX(Setup!$C$60:$C$89,MATCH($B4016,Setup!$A$60:$A$89,0)),"")))</f>
        <v/>
      </c>
      <c r="E4016" s="42"/>
      <c r="F4016" s="42"/>
    </row>
    <row r="4017" customFormat="false" ht="15" hidden="false" customHeight="true" outlineLevel="0" collapsed="false">
      <c r="A4017" s="42"/>
      <c r="B4017" s="42"/>
      <c r="C4017" s="42"/>
      <c r="D4017" s="28" t="str">
        <f aca="false">IF(OR($B4017="",$C4017=""),"",$C4017*IFERROR(INDEX(Setup!$C$47:$C$56,MATCH($B4017,Setup!$A$47:$A$56,0)),IFERROR(INDEX(Setup!$C$60:$C$89,MATCH($B4017,Setup!$A$60:$A$89,0)),"")))</f>
        <v/>
      </c>
      <c r="E4017" s="42"/>
      <c r="F4017" s="42"/>
    </row>
    <row r="4018" customFormat="false" ht="15" hidden="false" customHeight="true" outlineLevel="0" collapsed="false">
      <c r="A4018" s="42"/>
      <c r="B4018" s="42"/>
      <c r="C4018" s="42"/>
      <c r="D4018" s="28" t="str">
        <f aca="false">IF(OR($B4018="",$C4018=""),"",$C4018*IFERROR(INDEX(Setup!$C$47:$C$56,MATCH($B4018,Setup!$A$47:$A$56,0)),IFERROR(INDEX(Setup!$C$60:$C$89,MATCH($B4018,Setup!$A$60:$A$89,0)),"")))</f>
        <v/>
      </c>
      <c r="E4018" s="42"/>
      <c r="F4018" s="42"/>
    </row>
    <row r="4019" customFormat="false" ht="15" hidden="false" customHeight="true" outlineLevel="0" collapsed="false">
      <c r="A4019" s="42"/>
      <c r="B4019" s="42"/>
      <c r="C4019" s="42"/>
      <c r="D4019" s="28" t="str">
        <f aca="false">IF(OR($B4019="",$C4019=""),"",$C4019*IFERROR(INDEX(Setup!$C$47:$C$56,MATCH($B4019,Setup!$A$47:$A$56,0)),IFERROR(INDEX(Setup!$C$60:$C$89,MATCH($B4019,Setup!$A$60:$A$89,0)),"")))</f>
        <v/>
      </c>
      <c r="E4019" s="42"/>
      <c r="F4019" s="42"/>
    </row>
    <row r="4020" customFormat="false" ht="15" hidden="false" customHeight="true" outlineLevel="0" collapsed="false">
      <c r="A4020" s="42"/>
      <c r="B4020" s="42"/>
      <c r="C4020" s="42"/>
      <c r="D4020" s="28" t="str">
        <f aca="false">IF(OR($B4020="",$C4020=""),"",$C4020*IFERROR(INDEX(Setup!$C$47:$C$56,MATCH($B4020,Setup!$A$47:$A$56,0)),IFERROR(INDEX(Setup!$C$60:$C$89,MATCH($B4020,Setup!$A$60:$A$89,0)),"")))</f>
        <v/>
      </c>
      <c r="E4020" s="42"/>
      <c r="F4020" s="42"/>
    </row>
    <row r="4021" customFormat="false" ht="15" hidden="false" customHeight="true" outlineLevel="0" collapsed="false">
      <c r="A4021" s="42"/>
      <c r="B4021" s="42"/>
      <c r="C4021" s="42"/>
      <c r="D4021" s="28" t="str">
        <f aca="false">IF(OR($B4021="",$C4021=""),"",$C4021*IFERROR(INDEX(Setup!$C$47:$C$56,MATCH($B4021,Setup!$A$47:$A$56,0)),IFERROR(INDEX(Setup!$C$60:$C$89,MATCH($B4021,Setup!$A$60:$A$89,0)),"")))</f>
        <v/>
      </c>
      <c r="E4021" s="42"/>
      <c r="F4021" s="42"/>
    </row>
    <row r="4022" customFormat="false" ht="15" hidden="false" customHeight="true" outlineLevel="0" collapsed="false">
      <c r="A4022" s="42"/>
      <c r="B4022" s="42"/>
      <c r="C4022" s="42"/>
      <c r="D4022" s="28" t="str">
        <f aca="false">IF(OR($B4022="",$C4022=""),"",$C4022*IFERROR(INDEX(Setup!$C$47:$C$56,MATCH($B4022,Setup!$A$47:$A$56,0)),IFERROR(INDEX(Setup!$C$60:$C$89,MATCH($B4022,Setup!$A$60:$A$89,0)),"")))</f>
        <v/>
      </c>
      <c r="E4022" s="42"/>
      <c r="F4022" s="42"/>
    </row>
    <row r="4023" customFormat="false" ht="15" hidden="false" customHeight="true" outlineLevel="0" collapsed="false">
      <c r="A4023" s="42"/>
      <c r="B4023" s="42"/>
      <c r="C4023" s="42"/>
      <c r="D4023" s="28" t="str">
        <f aca="false">IF(OR($B4023="",$C4023=""),"",$C4023*IFERROR(INDEX(Setup!$C$47:$C$56,MATCH($B4023,Setup!$A$47:$A$56,0)),IFERROR(INDEX(Setup!$C$60:$C$89,MATCH($B4023,Setup!$A$60:$A$89,0)),"")))</f>
        <v/>
      </c>
      <c r="E4023" s="42"/>
      <c r="F4023" s="42"/>
    </row>
    <row r="4024" customFormat="false" ht="15" hidden="false" customHeight="true" outlineLevel="0" collapsed="false">
      <c r="A4024" s="42"/>
      <c r="B4024" s="42"/>
      <c r="C4024" s="42"/>
      <c r="D4024" s="28" t="str">
        <f aca="false">IF(OR($B4024="",$C4024=""),"",$C4024*IFERROR(INDEX(Setup!$C$47:$C$56,MATCH($B4024,Setup!$A$47:$A$56,0)),IFERROR(INDEX(Setup!$C$60:$C$89,MATCH($B4024,Setup!$A$60:$A$89,0)),"")))</f>
        <v/>
      </c>
      <c r="E4024" s="42"/>
      <c r="F4024" s="42"/>
    </row>
    <row r="4025" customFormat="false" ht="15" hidden="false" customHeight="true" outlineLevel="0" collapsed="false">
      <c r="A4025" s="42"/>
      <c r="B4025" s="42"/>
      <c r="C4025" s="42"/>
      <c r="D4025" s="28" t="str">
        <f aca="false">IF(OR($B4025="",$C4025=""),"",$C4025*IFERROR(INDEX(Setup!$C$47:$C$56,MATCH($B4025,Setup!$A$47:$A$56,0)),IFERROR(INDEX(Setup!$C$60:$C$89,MATCH($B4025,Setup!$A$60:$A$89,0)),"")))</f>
        <v/>
      </c>
      <c r="E4025" s="42"/>
      <c r="F4025" s="42"/>
    </row>
    <row r="4026" customFormat="false" ht="15" hidden="false" customHeight="true" outlineLevel="0" collapsed="false">
      <c r="A4026" s="42"/>
      <c r="B4026" s="42"/>
      <c r="C4026" s="42"/>
      <c r="D4026" s="28" t="str">
        <f aca="false">IF(OR($B4026="",$C4026=""),"",$C4026*IFERROR(INDEX(Setup!$C$47:$C$56,MATCH($B4026,Setup!$A$47:$A$56,0)),IFERROR(INDEX(Setup!$C$60:$C$89,MATCH($B4026,Setup!$A$60:$A$89,0)),"")))</f>
        <v/>
      </c>
      <c r="E4026" s="42"/>
      <c r="F4026" s="42"/>
    </row>
    <row r="4027" customFormat="false" ht="15" hidden="false" customHeight="true" outlineLevel="0" collapsed="false">
      <c r="A4027" s="42"/>
      <c r="B4027" s="42"/>
      <c r="C4027" s="42"/>
      <c r="D4027" s="28" t="str">
        <f aca="false">IF(OR($B4027="",$C4027=""),"",$C4027*IFERROR(INDEX(Setup!$C$47:$C$56,MATCH($B4027,Setup!$A$47:$A$56,0)),IFERROR(INDEX(Setup!$C$60:$C$89,MATCH($B4027,Setup!$A$60:$A$89,0)),"")))</f>
        <v/>
      </c>
      <c r="E4027" s="42"/>
      <c r="F4027" s="42"/>
    </row>
    <row r="4028" customFormat="false" ht="15" hidden="false" customHeight="true" outlineLevel="0" collapsed="false">
      <c r="A4028" s="42"/>
      <c r="B4028" s="42"/>
      <c r="C4028" s="42"/>
      <c r="D4028" s="28" t="str">
        <f aca="false">IF(OR($B4028="",$C4028=""),"",$C4028*IFERROR(INDEX(Setup!$C$47:$C$56,MATCH($B4028,Setup!$A$47:$A$56,0)),IFERROR(INDEX(Setup!$C$60:$C$89,MATCH($B4028,Setup!$A$60:$A$89,0)),"")))</f>
        <v/>
      </c>
      <c r="E4028" s="42"/>
      <c r="F4028" s="42"/>
    </row>
    <row r="4029" customFormat="false" ht="15" hidden="false" customHeight="true" outlineLevel="0" collapsed="false">
      <c r="A4029" s="42"/>
      <c r="B4029" s="42"/>
      <c r="C4029" s="42"/>
      <c r="D4029" s="28" t="str">
        <f aca="false">IF(OR($B4029="",$C4029=""),"",$C4029*IFERROR(INDEX(Setup!$C$47:$C$56,MATCH($B4029,Setup!$A$47:$A$56,0)),IFERROR(INDEX(Setup!$C$60:$C$89,MATCH($B4029,Setup!$A$60:$A$89,0)),"")))</f>
        <v/>
      </c>
      <c r="E4029" s="42"/>
      <c r="F4029" s="42"/>
    </row>
    <row r="4030" customFormat="false" ht="15" hidden="false" customHeight="true" outlineLevel="0" collapsed="false">
      <c r="A4030" s="42"/>
      <c r="B4030" s="42"/>
      <c r="C4030" s="42"/>
      <c r="D4030" s="28" t="str">
        <f aca="false">IF(OR($B4030="",$C4030=""),"",$C4030*IFERROR(INDEX(Setup!$C$47:$C$56,MATCH($B4030,Setup!$A$47:$A$56,0)),IFERROR(INDEX(Setup!$C$60:$C$89,MATCH($B4030,Setup!$A$60:$A$89,0)),"")))</f>
        <v/>
      </c>
      <c r="E4030" s="42"/>
      <c r="F4030" s="42"/>
    </row>
    <row r="4031" customFormat="false" ht="15" hidden="false" customHeight="true" outlineLevel="0" collapsed="false">
      <c r="A4031" s="42"/>
      <c r="B4031" s="42"/>
      <c r="C4031" s="42"/>
      <c r="D4031" s="28" t="str">
        <f aca="false">IF(OR($B4031="",$C4031=""),"",$C4031*IFERROR(INDEX(Setup!$C$47:$C$56,MATCH($B4031,Setup!$A$47:$A$56,0)),IFERROR(INDEX(Setup!$C$60:$C$89,MATCH($B4031,Setup!$A$60:$A$89,0)),"")))</f>
        <v/>
      </c>
      <c r="E4031" s="42"/>
      <c r="F4031" s="42"/>
    </row>
    <row r="4032" customFormat="false" ht="15" hidden="false" customHeight="true" outlineLevel="0" collapsed="false">
      <c r="A4032" s="42"/>
      <c r="B4032" s="42"/>
      <c r="C4032" s="42"/>
      <c r="D4032" s="28" t="str">
        <f aca="false">IF(OR($B4032="",$C4032=""),"",$C4032*IFERROR(INDEX(Setup!$C$47:$C$56,MATCH($B4032,Setup!$A$47:$A$56,0)),IFERROR(INDEX(Setup!$C$60:$C$89,MATCH($B4032,Setup!$A$60:$A$89,0)),"")))</f>
        <v/>
      </c>
      <c r="E4032" s="42"/>
      <c r="F4032" s="42"/>
    </row>
    <row r="4033" customFormat="false" ht="15" hidden="false" customHeight="true" outlineLevel="0" collapsed="false">
      <c r="A4033" s="42"/>
      <c r="B4033" s="42"/>
      <c r="C4033" s="42"/>
      <c r="D4033" s="28" t="str">
        <f aca="false">IF(OR($B4033="",$C4033=""),"",$C4033*IFERROR(INDEX(Setup!$C$47:$C$56,MATCH($B4033,Setup!$A$47:$A$56,0)),IFERROR(INDEX(Setup!$C$60:$C$89,MATCH($B4033,Setup!$A$60:$A$89,0)),"")))</f>
        <v/>
      </c>
      <c r="E4033" s="42"/>
      <c r="F4033" s="42"/>
    </row>
    <row r="4034" customFormat="false" ht="15" hidden="false" customHeight="true" outlineLevel="0" collapsed="false">
      <c r="A4034" s="42"/>
      <c r="B4034" s="42"/>
      <c r="C4034" s="42"/>
      <c r="D4034" s="28" t="str">
        <f aca="false">IF(OR($B4034="",$C4034=""),"",$C4034*IFERROR(INDEX(Setup!$C$47:$C$56,MATCH($B4034,Setup!$A$47:$A$56,0)),IFERROR(INDEX(Setup!$C$60:$C$89,MATCH($B4034,Setup!$A$60:$A$89,0)),"")))</f>
        <v/>
      </c>
      <c r="E4034" s="42"/>
      <c r="F4034" s="42"/>
    </row>
    <row r="4035" customFormat="false" ht="15" hidden="false" customHeight="true" outlineLevel="0" collapsed="false">
      <c r="A4035" s="42"/>
      <c r="B4035" s="42"/>
      <c r="C4035" s="42"/>
      <c r="D4035" s="28" t="str">
        <f aca="false">IF(OR($B4035="",$C4035=""),"",$C4035*IFERROR(INDEX(Setup!$C$47:$C$56,MATCH($B4035,Setup!$A$47:$A$56,0)),IFERROR(INDEX(Setup!$C$60:$C$89,MATCH($B4035,Setup!$A$60:$A$89,0)),"")))</f>
        <v/>
      </c>
      <c r="E4035" s="42"/>
      <c r="F4035" s="42"/>
    </row>
    <row r="4036" customFormat="false" ht="15" hidden="false" customHeight="true" outlineLevel="0" collapsed="false">
      <c r="A4036" s="42"/>
      <c r="B4036" s="42"/>
      <c r="C4036" s="42"/>
      <c r="D4036" s="28" t="str">
        <f aca="false">IF(OR($B4036="",$C4036=""),"",$C4036*IFERROR(INDEX(Setup!$C$47:$C$56,MATCH($B4036,Setup!$A$47:$A$56,0)),IFERROR(INDEX(Setup!$C$60:$C$89,MATCH($B4036,Setup!$A$60:$A$89,0)),"")))</f>
        <v/>
      </c>
      <c r="E4036" s="42"/>
      <c r="F4036" s="42"/>
    </row>
    <row r="4037" customFormat="false" ht="15" hidden="false" customHeight="true" outlineLevel="0" collapsed="false">
      <c r="A4037" s="42"/>
      <c r="B4037" s="42"/>
      <c r="C4037" s="42"/>
      <c r="D4037" s="28" t="str">
        <f aca="false">IF(OR($B4037="",$C4037=""),"",$C4037*IFERROR(INDEX(Setup!$C$47:$C$56,MATCH($B4037,Setup!$A$47:$A$56,0)),IFERROR(INDEX(Setup!$C$60:$C$89,MATCH($B4037,Setup!$A$60:$A$89,0)),"")))</f>
        <v/>
      </c>
      <c r="E4037" s="42"/>
      <c r="F4037" s="42"/>
    </row>
    <row r="4038" customFormat="false" ht="15" hidden="false" customHeight="true" outlineLevel="0" collapsed="false">
      <c r="A4038" s="42"/>
      <c r="B4038" s="42"/>
      <c r="C4038" s="42"/>
      <c r="D4038" s="28" t="str">
        <f aca="false">IF(OR($B4038="",$C4038=""),"",$C4038*IFERROR(INDEX(Setup!$C$47:$C$56,MATCH($B4038,Setup!$A$47:$A$56,0)),IFERROR(INDEX(Setup!$C$60:$C$89,MATCH($B4038,Setup!$A$60:$A$89,0)),"")))</f>
        <v/>
      </c>
      <c r="E4038" s="42"/>
      <c r="F4038" s="42"/>
    </row>
    <row r="4039" customFormat="false" ht="15" hidden="false" customHeight="true" outlineLevel="0" collapsed="false">
      <c r="A4039" s="42"/>
      <c r="B4039" s="42"/>
      <c r="C4039" s="42"/>
      <c r="D4039" s="28" t="str">
        <f aca="false">IF(OR($B4039="",$C4039=""),"",$C4039*IFERROR(INDEX(Setup!$C$47:$C$56,MATCH($B4039,Setup!$A$47:$A$56,0)),IFERROR(INDEX(Setup!$C$60:$C$89,MATCH($B4039,Setup!$A$60:$A$89,0)),"")))</f>
        <v/>
      </c>
      <c r="E4039" s="42"/>
      <c r="F4039" s="42"/>
    </row>
    <row r="4040" customFormat="false" ht="15" hidden="false" customHeight="true" outlineLevel="0" collapsed="false">
      <c r="A4040" s="42"/>
      <c r="B4040" s="42"/>
      <c r="C4040" s="42"/>
      <c r="D4040" s="28" t="str">
        <f aca="false">IF(OR($B4040="",$C4040=""),"",$C4040*IFERROR(INDEX(Setup!$C$47:$C$56,MATCH($B4040,Setup!$A$47:$A$56,0)),IFERROR(INDEX(Setup!$C$60:$C$89,MATCH($B4040,Setup!$A$60:$A$89,0)),"")))</f>
        <v/>
      </c>
      <c r="E4040" s="42"/>
      <c r="F4040" s="42"/>
    </row>
    <row r="4041" customFormat="false" ht="15" hidden="false" customHeight="true" outlineLevel="0" collapsed="false">
      <c r="A4041" s="42"/>
      <c r="B4041" s="42"/>
      <c r="C4041" s="42"/>
      <c r="D4041" s="28" t="str">
        <f aca="false">IF(OR($B4041="",$C4041=""),"",$C4041*IFERROR(INDEX(Setup!$C$47:$C$56,MATCH($B4041,Setup!$A$47:$A$56,0)),IFERROR(INDEX(Setup!$C$60:$C$89,MATCH($B4041,Setup!$A$60:$A$89,0)),"")))</f>
        <v/>
      </c>
      <c r="E4041" s="42"/>
      <c r="F4041" s="42"/>
    </row>
    <row r="4042" customFormat="false" ht="15" hidden="false" customHeight="true" outlineLevel="0" collapsed="false">
      <c r="A4042" s="42"/>
      <c r="B4042" s="42"/>
      <c r="C4042" s="42"/>
      <c r="D4042" s="28" t="str">
        <f aca="false">IF(OR($B4042="",$C4042=""),"",$C4042*IFERROR(INDEX(Setup!$C$47:$C$56,MATCH($B4042,Setup!$A$47:$A$56,0)),IFERROR(INDEX(Setup!$C$60:$C$89,MATCH($B4042,Setup!$A$60:$A$89,0)),"")))</f>
        <v/>
      </c>
      <c r="E4042" s="42"/>
      <c r="F4042" s="42"/>
    </row>
    <row r="4043" customFormat="false" ht="15" hidden="false" customHeight="true" outlineLevel="0" collapsed="false">
      <c r="A4043" s="42"/>
      <c r="B4043" s="42"/>
      <c r="C4043" s="42"/>
      <c r="D4043" s="28" t="str">
        <f aca="false">IF(OR($B4043="",$C4043=""),"",$C4043*IFERROR(INDEX(Setup!$C$47:$C$56,MATCH($B4043,Setup!$A$47:$A$56,0)),IFERROR(INDEX(Setup!$C$60:$C$89,MATCH($B4043,Setup!$A$60:$A$89,0)),"")))</f>
        <v/>
      </c>
      <c r="E4043" s="42"/>
      <c r="F4043" s="42"/>
    </row>
    <row r="4044" customFormat="false" ht="15" hidden="false" customHeight="true" outlineLevel="0" collapsed="false">
      <c r="A4044" s="42"/>
      <c r="B4044" s="42"/>
      <c r="C4044" s="42"/>
      <c r="D4044" s="28" t="str">
        <f aca="false">IF(OR($B4044="",$C4044=""),"",$C4044*IFERROR(INDEX(Setup!$C$47:$C$56,MATCH($B4044,Setup!$A$47:$A$56,0)),IFERROR(INDEX(Setup!$C$60:$C$89,MATCH($B4044,Setup!$A$60:$A$89,0)),"")))</f>
        <v/>
      </c>
      <c r="E4044" s="42"/>
      <c r="F4044" s="42"/>
    </row>
    <row r="4045" customFormat="false" ht="15" hidden="false" customHeight="true" outlineLevel="0" collapsed="false">
      <c r="A4045" s="42"/>
      <c r="B4045" s="42"/>
      <c r="C4045" s="42"/>
      <c r="D4045" s="28" t="str">
        <f aca="false">IF(OR($B4045="",$C4045=""),"",$C4045*IFERROR(INDEX(Setup!$C$47:$C$56,MATCH($B4045,Setup!$A$47:$A$56,0)),IFERROR(INDEX(Setup!$C$60:$C$89,MATCH($B4045,Setup!$A$60:$A$89,0)),"")))</f>
        <v/>
      </c>
      <c r="E4045" s="42"/>
      <c r="F4045" s="42"/>
    </row>
    <row r="4046" customFormat="false" ht="15" hidden="false" customHeight="true" outlineLevel="0" collapsed="false">
      <c r="A4046" s="42"/>
      <c r="B4046" s="42"/>
      <c r="C4046" s="42"/>
      <c r="D4046" s="28" t="str">
        <f aca="false">IF(OR($B4046="",$C4046=""),"",$C4046*IFERROR(INDEX(Setup!$C$47:$C$56,MATCH($B4046,Setup!$A$47:$A$56,0)),IFERROR(INDEX(Setup!$C$60:$C$89,MATCH($B4046,Setup!$A$60:$A$89,0)),"")))</f>
        <v/>
      </c>
      <c r="E4046" s="42"/>
      <c r="F4046" s="42"/>
    </row>
    <row r="4047" customFormat="false" ht="15" hidden="false" customHeight="true" outlineLevel="0" collapsed="false">
      <c r="A4047" s="42"/>
      <c r="B4047" s="42"/>
      <c r="C4047" s="42"/>
      <c r="D4047" s="28" t="str">
        <f aca="false">IF(OR($B4047="",$C4047=""),"",$C4047*IFERROR(INDEX(Setup!$C$47:$C$56,MATCH($B4047,Setup!$A$47:$A$56,0)),IFERROR(INDEX(Setup!$C$60:$C$89,MATCH($B4047,Setup!$A$60:$A$89,0)),"")))</f>
        <v/>
      </c>
      <c r="E4047" s="42"/>
      <c r="F4047" s="42"/>
    </row>
    <row r="4048" customFormat="false" ht="15" hidden="false" customHeight="true" outlineLevel="0" collapsed="false">
      <c r="A4048" s="42"/>
      <c r="B4048" s="42"/>
      <c r="C4048" s="42"/>
      <c r="D4048" s="28" t="str">
        <f aca="false">IF(OR($B4048="",$C4048=""),"",$C4048*IFERROR(INDEX(Setup!$C$47:$C$56,MATCH($B4048,Setup!$A$47:$A$56,0)),IFERROR(INDEX(Setup!$C$60:$C$89,MATCH($B4048,Setup!$A$60:$A$89,0)),"")))</f>
        <v/>
      </c>
      <c r="E4048" s="42"/>
      <c r="F4048" s="42"/>
    </row>
    <row r="4049" customFormat="false" ht="15" hidden="false" customHeight="true" outlineLevel="0" collapsed="false">
      <c r="A4049" s="42"/>
      <c r="B4049" s="42"/>
      <c r="C4049" s="42"/>
      <c r="D4049" s="28" t="str">
        <f aca="false">IF(OR($B4049="",$C4049=""),"",$C4049*IFERROR(INDEX(Setup!$C$47:$C$56,MATCH($B4049,Setup!$A$47:$A$56,0)),IFERROR(INDEX(Setup!$C$60:$C$89,MATCH($B4049,Setup!$A$60:$A$89,0)),"")))</f>
        <v/>
      </c>
      <c r="E4049" s="42"/>
      <c r="F4049" s="42"/>
    </row>
    <row r="4050" customFormat="false" ht="15" hidden="false" customHeight="true" outlineLevel="0" collapsed="false">
      <c r="A4050" s="42"/>
      <c r="B4050" s="42"/>
      <c r="C4050" s="42"/>
      <c r="D4050" s="28" t="str">
        <f aca="false">IF(OR($B4050="",$C4050=""),"",$C4050*IFERROR(INDEX(Setup!$C$47:$C$56,MATCH($B4050,Setup!$A$47:$A$56,0)),IFERROR(INDEX(Setup!$C$60:$C$89,MATCH($B4050,Setup!$A$60:$A$89,0)),"")))</f>
        <v/>
      </c>
      <c r="E4050" s="42"/>
      <c r="F4050" s="42"/>
    </row>
    <row r="4051" customFormat="false" ht="15" hidden="false" customHeight="true" outlineLevel="0" collapsed="false">
      <c r="A4051" s="42"/>
      <c r="B4051" s="42"/>
      <c r="C4051" s="42"/>
      <c r="D4051" s="28" t="str">
        <f aca="false">IF(OR($B4051="",$C4051=""),"",$C4051*IFERROR(INDEX(Setup!$C$47:$C$56,MATCH($B4051,Setup!$A$47:$A$56,0)),IFERROR(INDEX(Setup!$C$60:$C$89,MATCH($B4051,Setup!$A$60:$A$89,0)),"")))</f>
        <v/>
      </c>
      <c r="E4051" s="42"/>
      <c r="F4051" s="42"/>
    </row>
    <row r="4052" customFormat="false" ht="15" hidden="false" customHeight="true" outlineLevel="0" collapsed="false">
      <c r="A4052" s="42"/>
      <c r="B4052" s="42"/>
      <c r="C4052" s="42"/>
      <c r="D4052" s="28" t="str">
        <f aca="false">IF(OR($B4052="",$C4052=""),"",$C4052*IFERROR(INDEX(Setup!$C$47:$C$56,MATCH($B4052,Setup!$A$47:$A$56,0)),IFERROR(INDEX(Setup!$C$60:$C$89,MATCH($B4052,Setup!$A$60:$A$89,0)),"")))</f>
        <v/>
      </c>
      <c r="E4052" s="42"/>
      <c r="F4052" s="42"/>
    </row>
    <row r="4053" customFormat="false" ht="15" hidden="false" customHeight="true" outlineLevel="0" collapsed="false">
      <c r="A4053" s="42"/>
      <c r="B4053" s="42"/>
      <c r="C4053" s="42"/>
      <c r="D4053" s="28" t="str">
        <f aca="false">IF(OR($B4053="",$C4053=""),"",$C4053*IFERROR(INDEX(Setup!$C$47:$C$56,MATCH($B4053,Setup!$A$47:$A$56,0)),IFERROR(INDEX(Setup!$C$60:$C$89,MATCH($B4053,Setup!$A$60:$A$89,0)),"")))</f>
        <v/>
      </c>
      <c r="E4053" s="42"/>
      <c r="F4053" s="42"/>
    </row>
    <row r="4054" customFormat="false" ht="15" hidden="false" customHeight="true" outlineLevel="0" collapsed="false">
      <c r="A4054" s="42"/>
      <c r="B4054" s="42"/>
      <c r="C4054" s="42"/>
      <c r="D4054" s="28" t="str">
        <f aca="false">IF(OR($B4054="",$C4054=""),"",$C4054*IFERROR(INDEX(Setup!$C$47:$C$56,MATCH($B4054,Setup!$A$47:$A$56,0)),IFERROR(INDEX(Setup!$C$60:$C$89,MATCH($B4054,Setup!$A$60:$A$89,0)),"")))</f>
        <v/>
      </c>
      <c r="E4054" s="42"/>
      <c r="F4054" s="42"/>
    </row>
    <row r="4055" customFormat="false" ht="15" hidden="false" customHeight="true" outlineLevel="0" collapsed="false">
      <c r="A4055" s="42"/>
      <c r="B4055" s="42"/>
      <c r="C4055" s="42"/>
      <c r="D4055" s="28" t="str">
        <f aca="false">IF(OR($B4055="",$C4055=""),"",$C4055*IFERROR(INDEX(Setup!$C$47:$C$56,MATCH($B4055,Setup!$A$47:$A$56,0)),IFERROR(INDEX(Setup!$C$60:$C$89,MATCH($B4055,Setup!$A$60:$A$89,0)),"")))</f>
        <v/>
      </c>
      <c r="E4055" s="42"/>
      <c r="F4055" s="42"/>
    </row>
    <row r="4056" customFormat="false" ht="15" hidden="false" customHeight="true" outlineLevel="0" collapsed="false">
      <c r="A4056" s="42"/>
      <c r="B4056" s="42"/>
      <c r="C4056" s="42"/>
      <c r="D4056" s="28" t="str">
        <f aca="false">IF(OR($B4056="",$C4056=""),"",$C4056*IFERROR(INDEX(Setup!$C$47:$C$56,MATCH($B4056,Setup!$A$47:$A$56,0)),IFERROR(INDEX(Setup!$C$60:$C$89,MATCH($B4056,Setup!$A$60:$A$89,0)),"")))</f>
        <v/>
      </c>
      <c r="E4056" s="42"/>
      <c r="F4056" s="42"/>
    </row>
    <row r="4057" customFormat="false" ht="15" hidden="false" customHeight="true" outlineLevel="0" collapsed="false">
      <c r="A4057" s="42"/>
      <c r="B4057" s="42"/>
      <c r="C4057" s="42"/>
      <c r="D4057" s="28" t="str">
        <f aca="false">IF(OR($B4057="",$C4057=""),"",$C4057*IFERROR(INDEX(Setup!$C$47:$C$56,MATCH($B4057,Setup!$A$47:$A$56,0)),IFERROR(INDEX(Setup!$C$60:$C$89,MATCH($B4057,Setup!$A$60:$A$89,0)),"")))</f>
        <v/>
      </c>
      <c r="E4057" s="42"/>
      <c r="F4057" s="42"/>
    </row>
    <row r="4058" customFormat="false" ht="15" hidden="false" customHeight="true" outlineLevel="0" collapsed="false">
      <c r="A4058" s="42"/>
      <c r="B4058" s="42"/>
      <c r="C4058" s="42"/>
      <c r="D4058" s="28" t="str">
        <f aca="false">IF(OR($B4058="",$C4058=""),"",$C4058*IFERROR(INDEX(Setup!$C$47:$C$56,MATCH($B4058,Setup!$A$47:$A$56,0)),IFERROR(INDEX(Setup!$C$60:$C$89,MATCH($B4058,Setup!$A$60:$A$89,0)),"")))</f>
        <v/>
      </c>
      <c r="E4058" s="42"/>
      <c r="F4058" s="42"/>
    </row>
    <row r="4059" customFormat="false" ht="15" hidden="false" customHeight="true" outlineLevel="0" collapsed="false">
      <c r="A4059" s="42"/>
      <c r="B4059" s="42"/>
      <c r="C4059" s="42"/>
      <c r="D4059" s="28" t="str">
        <f aca="false">IF(OR($B4059="",$C4059=""),"",$C4059*IFERROR(INDEX(Setup!$C$47:$C$56,MATCH($B4059,Setup!$A$47:$A$56,0)),IFERROR(INDEX(Setup!$C$60:$C$89,MATCH($B4059,Setup!$A$60:$A$89,0)),"")))</f>
        <v/>
      </c>
      <c r="E4059" s="42"/>
      <c r="F4059" s="42"/>
    </row>
    <row r="4060" customFormat="false" ht="15" hidden="false" customHeight="true" outlineLevel="0" collapsed="false">
      <c r="A4060" s="42"/>
      <c r="B4060" s="42"/>
      <c r="C4060" s="42"/>
      <c r="D4060" s="28" t="str">
        <f aca="false">IF(OR($B4060="",$C4060=""),"",$C4060*IFERROR(INDEX(Setup!$C$47:$C$56,MATCH($B4060,Setup!$A$47:$A$56,0)),IFERROR(INDEX(Setup!$C$60:$C$89,MATCH($B4060,Setup!$A$60:$A$89,0)),"")))</f>
        <v/>
      </c>
      <c r="E4060" s="42"/>
      <c r="F4060" s="42"/>
    </row>
    <row r="4061" customFormat="false" ht="15" hidden="false" customHeight="true" outlineLevel="0" collapsed="false">
      <c r="A4061" s="42"/>
      <c r="B4061" s="42"/>
      <c r="C4061" s="42"/>
      <c r="D4061" s="28" t="str">
        <f aca="false">IF(OR($B4061="",$C4061=""),"",$C4061*IFERROR(INDEX(Setup!$C$47:$C$56,MATCH($B4061,Setup!$A$47:$A$56,0)),IFERROR(INDEX(Setup!$C$60:$C$89,MATCH($B4061,Setup!$A$60:$A$89,0)),"")))</f>
        <v/>
      </c>
      <c r="E4061" s="42"/>
      <c r="F4061" s="42"/>
    </row>
    <row r="4062" customFormat="false" ht="15" hidden="false" customHeight="true" outlineLevel="0" collapsed="false">
      <c r="A4062" s="42"/>
      <c r="B4062" s="42"/>
      <c r="C4062" s="42"/>
      <c r="D4062" s="28" t="str">
        <f aca="false">IF(OR($B4062="",$C4062=""),"",$C4062*IFERROR(INDEX(Setup!$C$47:$C$56,MATCH($B4062,Setup!$A$47:$A$56,0)),IFERROR(INDEX(Setup!$C$60:$C$89,MATCH($B4062,Setup!$A$60:$A$89,0)),"")))</f>
        <v/>
      </c>
      <c r="E4062" s="42"/>
      <c r="F4062" s="42"/>
    </row>
    <row r="4063" customFormat="false" ht="15" hidden="false" customHeight="true" outlineLevel="0" collapsed="false">
      <c r="A4063" s="42"/>
      <c r="B4063" s="42"/>
      <c r="C4063" s="42"/>
      <c r="D4063" s="28" t="str">
        <f aca="false">IF(OR($B4063="",$C4063=""),"",$C4063*IFERROR(INDEX(Setup!$C$47:$C$56,MATCH($B4063,Setup!$A$47:$A$56,0)),IFERROR(INDEX(Setup!$C$60:$C$89,MATCH($B4063,Setup!$A$60:$A$89,0)),"")))</f>
        <v/>
      </c>
      <c r="E4063" s="42"/>
      <c r="F4063" s="42"/>
    </row>
    <row r="4064" customFormat="false" ht="15" hidden="false" customHeight="true" outlineLevel="0" collapsed="false">
      <c r="A4064" s="42"/>
      <c r="B4064" s="42"/>
      <c r="C4064" s="42"/>
      <c r="D4064" s="28" t="str">
        <f aca="false">IF(OR($B4064="",$C4064=""),"",$C4064*IFERROR(INDEX(Setup!$C$47:$C$56,MATCH($B4064,Setup!$A$47:$A$56,0)),IFERROR(INDEX(Setup!$C$60:$C$89,MATCH($B4064,Setup!$A$60:$A$89,0)),"")))</f>
        <v/>
      </c>
      <c r="E4064" s="42"/>
      <c r="F4064" s="42"/>
    </row>
    <row r="4065" customFormat="false" ht="15" hidden="false" customHeight="true" outlineLevel="0" collapsed="false">
      <c r="A4065" s="42"/>
      <c r="B4065" s="42"/>
      <c r="C4065" s="42"/>
      <c r="D4065" s="28" t="str">
        <f aca="false">IF(OR($B4065="",$C4065=""),"",$C4065*IFERROR(INDEX(Setup!$C$47:$C$56,MATCH($B4065,Setup!$A$47:$A$56,0)),IFERROR(INDEX(Setup!$C$60:$C$89,MATCH($B4065,Setup!$A$60:$A$89,0)),"")))</f>
        <v/>
      </c>
      <c r="E4065" s="42"/>
      <c r="F4065" s="42"/>
    </row>
    <row r="4066" customFormat="false" ht="15" hidden="false" customHeight="true" outlineLevel="0" collapsed="false">
      <c r="A4066" s="42"/>
      <c r="B4066" s="42"/>
      <c r="C4066" s="42"/>
      <c r="D4066" s="28" t="str">
        <f aca="false">IF(OR($B4066="",$C4066=""),"",$C4066*IFERROR(INDEX(Setup!$C$47:$C$56,MATCH($B4066,Setup!$A$47:$A$56,0)),IFERROR(INDEX(Setup!$C$60:$C$89,MATCH($B4066,Setup!$A$60:$A$89,0)),"")))</f>
        <v/>
      </c>
      <c r="E4066" s="42"/>
      <c r="F4066" s="42"/>
    </row>
    <row r="4067" customFormat="false" ht="15" hidden="false" customHeight="true" outlineLevel="0" collapsed="false">
      <c r="A4067" s="42"/>
      <c r="B4067" s="42"/>
      <c r="C4067" s="42"/>
      <c r="D4067" s="28" t="str">
        <f aca="false">IF(OR($B4067="",$C4067=""),"",$C4067*IFERROR(INDEX(Setup!$C$47:$C$56,MATCH($B4067,Setup!$A$47:$A$56,0)),IFERROR(INDEX(Setup!$C$60:$C$89,MATCH($B4067,Setup!$A$60:$A$89,0)),"")))</f>
        <v/>
      </c>
      <c r="E4067" s="42"/>
      <c r="F4067" s="42"/>
    </row>
    <row r="4068" customFormat="false" ht="15" hidden="false" customHeight="true" outlineLevel="0" collapsed="false">
      <c r="A4068" s="42"/>
      <c r="B4068" s="42"/>
      <c r="C4068" s="42"/>
      <c r="D4068" s="28" t="str">
        <f aca="false">IF(OR($B4068="",$C4068=""),"",$C4068*IFERROR(INDEX(Setup!$C$47:$C$56,MATCH($B4068,Setup!$A$47:$A$56,0)),IFERROR(INDEX(Setup!$C$60:$C$89,MATCH($B4068,Setup!$A$60:$A$89,0)),"")))</f>
        <v/>
      </c>
      <c r="E4068" s="42"/>
      <c r="F4068" s="42"/>
    </row>
    <row r="4069" customFormat="false" ht="15" hidden="false" customHeight="true" outlineLevel="0" collapsed="false">
      <c r="A4069" s="42"/>
      <c r="B4069" s="42"/>
      <c r="C4069" s="42"/>
      <c r="D4069" s="28" t="str">
        <f aca="false">IF(OR($B4069="",$C4069=""),"",$C4069*IFERROR(INDEX(Setup!$C$47:$C$56,MATCH($B4069,Setup!$A$47:$A$56,0)),IFERROR(INDEX(Setup!$C$60:$C$89,MATCH($B4069,Setup!$A$60:$A$89,0)),"")))</f>
        <v/>
      </c>
      <c r="E4069" s="42"/>
      <c r="F4069" s="42"/>
    </row>
    <row r="4070" customFormat="false" ht="15" hidden="false" customHeight="true" outlineLevel="0" collapsed="false">
      <c r="A4070" s="42"/>
      <c r="B4070" s="42"/>
      <c r="C4070" s="42"/>
      <c r="D4070" s="28" t="str">
        <f aca="false">IF(OR($B4070="",$C4070=""),"",$C4070*IFERROR(INDEX(Setup!$C$47:$C$56,MATCH($B4070,Setup!$A$47:$A$56,0)),IFERROR(INDEX(Setup!$C$60:$C$89,MATCH($B4070,Setup!$A$60:$A$89,0)),"")))</f>
        <v/>
      </c>
      <c r="E4070" s="42"/>
      <c r="F4070" s="42"/>
    </row>
    <row r="4071" customFormat="false" ht="15" hidden="false" customHeight="true" outlineLevel="0" collapsed="false">
      <c r="A4071" s="42"/>
      <c r="B4071" s="42"/>
      <c r="C4071" s="42"/>
      <c r="D4071" s="28" t="str">
        <f aca="false">IF(OR($B4071="",$C4071=""),"",$C4071*IFERROR(INDEX(Setup!$C$47:$C$56,MATCH($B4071,Setup!$A$47:$A$56,0)),IFERROR(INDEX(Setup!$C$60:$C$89,MATCH($B4071,Setup!$A$60:$A$89,0)),"")))</f>
        <v/>
      </c>
      <c r="E4071" s="42"/>
      <c r="F4071" s="42"/>
    </row>
    <row r="4072" customFormat="false" ht="15" hidden="false" customHeight="true" outlineLevel="0" collapsed="false">
      <c r="A4072" s="42"/>
      <c r="B4072" s="42"/>
      <c r="C4072" s="42"/>
      <c r="D4072" s="28" t="str">
        <f aca="false">IF(OR($B4072="",$C4072=""),"",$C4072*IFERROR(INDEX(Setup!$C$47:$C$56,MATCH($B4072,Setup!$A$47:$A$56,0)),IFERROR(INDEX(Setup!$C$60:$C$89,MATCH($B4072,Setup!$A$60:$A$89,0)),"")))</f>
        <v/>
      </c>
      <c r="E4072" s="42"/>
      <c r="F4072" s="42"/>
    </row>
    <row r="4073" customFormat="false" ht="15" hidden="false" customHeight="true" outlineLevel="0" collapsed="false">
      <c r="A4073" s="42"/>
      <c r="B4073" s="42"/>
      <c r="C4073" s="42"/>
      <c r="D4073" s="28" t="str">
        <f aca="false">IF(OR($B4073="",$C4073=""),"",$C4073*IFERROR(INDEX(Setup!$C$47:$C$56,MATCH($B4073,Setup!$A$47:$A$56,0)),IFERROR(INDEX(Setup!$C$60:$C$89,MATCH($B4073,Setup!$A$60:$A$89,0)),"")))</f>
        <v/>
      </c>
      <c r="E4073" s="42"/>
      <c r="F4073" s="42"/>
    </row>
    <row r="4074" customFormat="false" ht="15" hidden="false" customHeight="true" outlineLevel="0" collapsed="false">
      <c r="A4074" s="42"/>
      <c r="B4074" s="42"/>
      <c r="C4074" s="42"/>
      <c r="D4074" s="28" t="str">
        <f aca="false">IF(OR($B4074="",$C4074=""),"",$C4074*IFERROR(INDEX(Setup!$C$47:$C$56,MATCH($B4074,Setup!$A$47:$A$56,0)),IFERROR(INDEX(Setup!$C$60:$C$89,MATCH($B4074,Setup!$A$60:$A$89,0)),"")))</f>
        <v/>
      </c>
      <c r="E4074" s="42"/>
      <c r="F4074" s="42"/>
    </row>
    <row r="4075" customFormat="false" ht="15" hidden="false" customHeight="true" outlineLevel="0" collapsed="false">
      <c r="A4075" s="42"/>
      <c r="B4075" s="42"/>
      <c r="C4075" s="42"/>
      <c r="D4075" s="28" t="str">
        <f aca="false">IF(OR($B4075="",$C4075=""),"",$C4075*IFERROR(INDEX(Setup!$C$47:$C$56,MATCH($B4075,Setup!$A$47:$A$56,0)),IFERROR(INDEX(Setup!$C$60:$C$89,MATCH($B4075,Setup!$A$60:$A$89,0)),"")))</f>
        <v/>
      </c>
      <c r="E4075" s="42"/>
      <c r="F4075" s="42"/>
    </row>
    <row r="4076" customFormat="false" ht="15" hidden="false" customHeight="true" outlineLevel="0" collapsed="false">
      <c r="A4076" s="42"/>
      <c r="B4076" s="42"/>
      <c r="C4076" s="42"/>
      <c r="D4076" s="28" t="str">
        <f aca="false">IF(OR($B4076="",$C4076=""),"",$C4076*IFERROR(INDEX(Setup!$C$47:$C$56,MATCH($B4076,Setup!$A$47:$A$56,0)),IFERROR(INDEX(Setup!$C$60:$C$89,MATCH($B4076,Setup!$A$60:$A$89,0)),"")))</f>
        <v/>
      </c>
      <c r="E4076" s="42"/>
      <c r="F4076" s="42"/>
    </row>
    <row r="4077" customFormat="false" ht="15" hidden="false" customHeight="true" outlineLevel="0" collapsed="false">
      <c r="A4077" s="42"/>
      <c r="B4077" s="42"/>
      <c r="C4077" s="42"/>
      <c r="D4077" s="28" t="str">
        <f aca="false">IF(OR($B4077="",$C4077=""),"",$C4077*IFERROR(INDEX(Setup!$C$47:$C$56,MATCH($B4077,Setup!$A$47:$A$56,0)),IFERROR(INDEX(Setup!$C$60:$C$89,MATCH($B4077,Setup!$A$60:$A$89,0)),"")))</f>
        <v/>
      </c>
      <c r="E4077" s="42"/>
      <c r="F4077" s="42"/>
    </row>
    <row r="4078" customFormat="false" ht="15" hidden="false" customHeight="true" outlineLevel="0" collapsed="false">
      <c r="A4078" s="42"/>
      <c r="B4078" s="42"/>
      <c r="C4078" s="42"/>
      <c r="D4078" s="28" t="str">
        <f aca="false">IF(OR($B4078="",$C4078=""),"",$C4078*IFERROR(INDEX(Setup!$C$47:$C$56,MATCH($B4078,Setup!$A$47:$A$56,0)),IFERROR(INDEX(Setup!$C$60:$C$89,MATCH($B4078,Setup!$A$60:$A$89,0)),"")))</f>
        <v/>
      </c>
      <c r="E4078" s="42"/>
      <c r="F4078" s="42"/>
    </row>
    <row r="4079" customFormat="false" ht="15" hidden="false" customHeight="true" outlineLevel="0" collapsed="false">
      <c r="A4079" s="42"/>
      <c r="B4079" s="42"/>
      <c r="C4079" s="42"/>
      <c r="D4079" s="28" t="str">
        <f aca="false">IF(OR($B4079="",$C4079=""),"",$C4079*IFERROR(INDEX(Setup!$C$47:$C$56,MATCH($B4079,Setup!$A$47:$A$56,0)),IFERROR(INDEX(Setup!$C$60:$C$89,MATCH($B4079,Setup!$A$60:$A$89,0)),"")))</f>
        <v/>
      </c>
      <c r="E4079" s="42"/>
      <c r="F4079" s="42"/>
    </row>
    <row r="4080" customFormat="false" ht="15" hidden="false" customHeight="true" outlineLevel="0" collapsed="false">
      <c r="A4080" s="42"/>
      <c r="B4080" s="42"/>
      <c r="C4080" s="42"/>
      <c r="D4080" s="28" t="str">
        <f aca="false">IF(OR($B4080="",$C4080=""),"",$C4080*IFERROR(INDEX(Setup!$C$47:$C$56,MATCH($B4080,Setup!$A$47:$A$56,0)),IFERROR(INDEX(Setup!$C$60:$C$89,MATCH($B4080,Setup!$A$60:$A$89,0)),"")))</f>
        <v/>
      </c>
      <c r="E4080" s="42"/>
      <c r="F4080" s="42"/>
    </row>
    <row r="4081" customFormat="false" ht="15" hidden="false" customHeight="true" outlineLevel="0" collapsed="false">
      <c r="A4081" s="42"/>
      <c r="B4081" s="42"/>
      <c r="C4081" s="42"/>
      <c r="D4081" s="28" t="str">
        <f aca="false">IF(OR($B4081="",$C4081=""),"",$C4081*IFERROR(INDEX(Setup!$C$47:$C$56,MATCH($B4081,Setup!$A$47:$A$56,0)),IFERROR(INDEX(Setup!$C$60:$C$89,MATCH($B4081,Setup!$A$60:$A$89,0)),"")))</f>
        <v/>
      </c>
      <c r="E4081" s="42"/>
      <c r="F4081" s="42"/>
    </row>
    <row r="4082" customFormat="false" ht="15" hidden="false" customHeight="true" outlineLevel="0" collapsed="false">
      <c r="A4082" s="42"/>
      <c r="B4082" s="42"/>
      <c r="C4082" s="42"/>
      <c r="D4082" s="28" t="str">
        <f aca="false">IF(OR($B4082="",$C4082=""),"",$C4082*IFERROR(INDEX(Setup!$C$47:$C$56,MATCH($B4082,Setup!$A$47:$A$56,0)),IFERROR(INDEX(Setup!$C$60:$C$89,MATCH($B4082,Setup!$A$60:$A$89,0)),"")))</f>
        <v/>
      </c>
      <c r="E4082" s="42"/>
      <c r="F4082" s="42"/>
    </row>
    <row r="4083" customFormat="false" ht="15" hidden="false" customHeight="true" outlineLevel="0" collapsed="false">
      <c r="A4083" s="42"/>
      <c r="B4083" s="42"/>
      <c r="C4083" s="42"/>
      <c r="D4083" s="28" t="str">
        <f aca="false">IF(OR($B4083="",$C4083=""),"",$C4083*IFERROR(INDEX(Setup!$C$47:$C$56,MATCH($B4083,Setup!$A$47:$A$56,0)),IFERROR(INDEX(Setup!$C$60:$C$89,MATCH($B4083,Setup!$A$60:$A$89,0)),"")))</f>
        <v/>
      </c>
      <c r="E4083" s="42"/>
      <c r="F4083" s="42"/>
    </row>
    <row r="4084" customFormat="false" ht="15" hidden="false" customHeight="true" outlineLevel="0" collapsed="false">
      <c r="A4084" s="42"/>
      <c r="B4084" s="42"/>
      <c r="C4084" s="42"/>
      <c r="D4084" s="28" t="str">
        <f aca="false">IF(OR($B4084="",$C4084=""),"",$C4084*IFERROR(INDEX(Setup!$C$47:$C$56,MATCH($B4084,Setup!$A$47:$A$56,0)),IFERROR(INDEX(Setup!$C$60:$C$89,MATCH($B4084,Setup!$A$60:$A$89,0)),"")))</f>
        <v/>
      </c>
      <c r="E4084" s="42"/>
      <c r="F4084" s="42"/>
    </row>
    <row r="4085" customFormat="false" ht="15" hidden="false" customHeight="true" outlineLevel="0" collapsed="false">
      <c r="A4085" s="42"/>
      <c r="B4085" s="42"/>
      <c r="C4085" s="42"/>
      <c r="D4085" s="28" t="str">
        <f aca="false">IF(OR($B4085="",$C4085=""),"",$C4085*IFERROR(INDEX(Setup!$C$47:$C$56,MATCH($B4085,Setup!$A$47:$A$56,0)),IFERROR(INDEX(Setup!$C$60:$C$89,MATCH($B4085,Setup!$A$60:$A$89,0)),"")))</f>
        <v/>
      </c>
      <c r="E4085" s="42"/>
      <c r="F4085" s="42"/>
    </row>
    <row r="4086" customFormat="false" ht="15" hidden="false" customHeight="true" outlineLevel="0" collapsed="false">
      <c r="A4086" s="42"/>
      <c r="B4086" s="42"/>
      <c r="C4086" s="42"/>
      <c r="D4086" s="28" t="str">
        <f aca="false">IF(OR($B4086="",$C4086=""),"",$C4086*IFERROR(INDEX(Setup!$C$47:$C$56,MATCH($B4086,Setup!$A$47:$A$56,0)),IFERROR(INDEX(Setup!$C$60:$C$89,MATCH($B4086,Setup!$A$60:$A$89,0)),"")))</f>
        <v/>
      </c>
      <c r="E4086" s="42"/>
      <c r="F4086" s="42"/>
    </row>
    <row r="4087" customFormat="false" ht="15" hidden="false" customHeight="true" outlineLevel="0" collapsed="false">
      <c r="A4087" s="42"/>
      <c r="B4087" s="42"/>
      <c r="C4087" s="42"/>
      <c r="D4087" s="28" t="str">
        <f aca="false">IF(OR($B4087="",$C4087=""),"",$C4087*IFERROR(INDEX(Setup!$C$47:$C$56,MATCH($B4087,Setup!$A$47:$A$56,0)),IFERROR(INDEX(Setup!$C$60:$C$89,MATCH($B4087,Setup!$A$60:$A$89,0)),"")))</f>
        <v/>
      </c>
      <c r="E4087" s="42"/>
      <c r="F4087" s="42"/>
    </row>
    <row r="4088" customFormat="false" ht="15" hidden="false" customHeight="true" outlineLevel="0" collapsed="false">
      <c r="A4088" s="42"/>
      <c r="B4088" s="42"/>
      <c r="C4088" s="42"/>
      <c r="D4088" s="28" t="str">
        <f aca="false">IF(OR($B4088="",$C4088=""),"",$C4088*IFERROR(INDEX(Setup!$C$47:$C$56,MATCH($B4088,Setup!$A$47:$A$56,0)),IFERROR(INDEX(Setup!$C$60:$C$89,MATCH($B4088,Setup!$A$60:$A$89,0)),"")))</f>
        <v/>
      </c>
      <c r="E4088" s="42"/>
      <c r="F4088" s="42"/>
    </row>
    <row r="4089" customFormat="false" ht="15" hidden="false" customHeight="true" outlineLevel="0" collapsed="false">
      <c r="A4089" s="42"/>
      <c r="B4089" s="42"/>
      <c r="C4089" s="42"/>
      <c r="D4089" s="28" t="str">
        <f aca="false">IF(OR($B4089="",$C4089=""),"",$C4089*IFERROR(INDEX(Setup!$C$47:$C$56,MATCH($B4089,Setup!$A$47:$A$56,0)),IFERROR(INDEX(Setup!$C$60:$C$89,MATCH($B4089,Setup!$A$60:$A$89,0)),"")))</f>
        <v/>
      </c>
      <c r="E4089" s="42"/>
      <c r="F4089" s="42"/>
    </row>
    <row r="4090" customFormat="false" ht="15" hidden="false" customHeight="true" outlineLevel="0" collapsed="false">
      <c r="A4090" s="42"/>
      <c r="B4090" s="42"/>
      <c r="C4090" s="42"/>
      <c r="D4090" s="28" t="str">
        <f aca="false">IF(OR($B4090="",$C4090=""),"",$C4090*IFERROR(INDEX(Setup!$C$47:$C$56,MATCH($B4090,Setup!$A$47:$A$56,0)),IFERROR(INDEX(Setup!$C$60:$C$89,MATCH($B4090,Setup!$A$60:$A$89,0)),"")))</f>
        <v/>
      </c>
      <c r="E4090" s="42"/>
      <c r="F4090" s="42"/>
    </row>
    <row r="4091" customFormat="false" ht="15" hidden="false" customHeight="true" outlineLevel="0" collapsed="false">
      <c r="A4091" s="42"/>
      <c r="B4091" s="42"/>
      <c r="C4091" s="42"/>
      <c r="D4091" s="28" t="str">
        <f aca="false">IF(OR($B4091="",$C4091=""),"",$C4091*IFERROR(INDEX(Setup!$C$47:$C$56,MATCH($B4091,Setup!$A$47:$A$56,0)),IFERROR(INDEX(Setup!$C$60:$C$89,MATCH($B4091,Setup!$A$60:$A$89,0)),"")))</f>
        <v/>
      </c>
      <c r="E4091" s="42"/>
      <c r="F4091" s="42"/>
    </row>
    <row r="4092" customFormat="false" ht="15" hidden="false" customHeight="true" outlineLevel="0" collapsed="false">
      <c r="A4092" s="42"/>
      <c r="B4092" s="42"/>
      <c r="C4092" s="42"/>
      <c r="D4092" s="28" t="str">
        <f aca="false">IF(OR($B4092="",$C4092=""),"",$C4092*IFERROR(INDEX(Setup!$C$47:$C$56,MATCH($B4092,Setup!$A$47:$A$56,0)),IFERROR(INDEX(Setup!$C$60:$C$89,MATCH($B4092,Setup!$A$60:$A$89,0)),"")))</f>
        <v/>
      </c>
      <c r="E4092" s="42"/>
      <c r="F4092" s="42"/>
    </row>
    <row r="4093" customFormat="false" ht="15" hidden="false" customHeight="true" outlineLevel="0" collapsed="false">
      <c r="A4093" s="42"/>
      <c r="B4093" s="42"/>
      <c r="C4093" s="42"/>
      <c r="D4093" s="28" t="str">
        <f aca="false">IF(OR($B4093="",$C4093=""),"",$C4093*IFERROR(INDEX(Setup!$C$47:$C$56,MATCH($B4093,Setup!$A$47:$A$56,0)),IFERROR(INDEX(Setup!$C$60:$C$89,MATCH($B4093,Setup!$A$60:$A$89,0)),"")))</f>
        <v/>
      </c>
      <c r="E4093" s="42"/>
      <c r="F4093" s="42"/>
    </row>
    <row r="4094" customFormat="false" ht="15" hidden="false" customHeight="true" outlineLevel="0" collapsed="false">
      <c r="A4094" s="42"/>
      <c r="B4094" s="42"/>
      <c r="C4094" s="42"/>
      <c r="D4094" s="28" t="str">
        <f aca="false">IF(OR($B4094="",$C4094=""),"",$C4094*IFERROR(INDEX(Setup!$C$47:$C$56,MATCH($B4094,Setup!$A$47:$A$56,0)),IFERROR(INDEX(Setup!$C$60:$C$89,MATCH($B4094,Setup!$A$60:$A$89,0)),"")))</f>
        <v/>
      </c>
      <c r="E4094" s="42"/>
      <c r="F4094" s="42"/>
    </row>
    <row r="4095" customFormat="false" ht="15" hidden="false" customHeight="true" outlineLevel="0" collapsed="false">
      <c r="A4095" s="42"/>
      <c r="B4095" s="42"/>
      <c r="C4095" s="42"/>
      <c r="D4095" s="28" t="str">
        <f aca="false">IF(OR($B4095="",$C4095=""),"",$C4095*IFERROR(INDEX(Setup!$C$47:$C$56,MATCH($B4095,Setup!$A$47:$A$56,0)),IFERROR(INDEX(Setup!$C$60:$C$89,MATCH($B4095,Setup!$A$60:$A$89,0)),"")))</f>
        <v/>
      </c>
      <c r="E4095" s="42"/>
      <c r="F4095" s="42"/>
    </row>
    <row r="4096" customFormat="false" ht="15" hidden="false" customHeight="true" outlineLevel="0" collapsed="false">
      <c r="A4096" s="42"/>
      <c r="B4096" s="42"/>
      <c r="C4096" s="42"/>
      <c r="D4096" s="28" t="str">
        <f aca="false">IF(OR($B4096="",$C4096=""),"",$C4096*IFERROR(INDEX(Setup!$C$47:$C$56,MATCH($B4096,Setup!$A$47:$A$56,0)),IFERROR(INDEX(Setup!$C$60:$C$89,MATCH($B4096,Setup!$A$60:$A$89,0)),"")))</f>
        <v/>
      </c>
      <c r="E4096" s="42"/>
      <c r="F4096" s="42"/>
    </row>
    <row r="4097" customFormat="false" ht="15" hidden="false" customHeight="true" outlineLevel="0" collapsed="false">
      <c r="A4097" s="42"/>
      <c r="B4097" s="42"/>
      <c r="C4097" s="42"/>
      <c r="D4097" s="28" t="str">
        <f aca="false">IF(OR($B4097="",$C4097=""),"",$C4097*IFERROR(INDEX(Setup!$C$47:$C$56,MATCH($B4097,Setup!$A$47:$A$56,0)),IFERROR(INDEX(Setup!$C$60:$C$89,MATCH($B4097,Setup!$A$60:$A$89,0)),"")))</f>
        <v/>
      </c>
      <c r="E4097" s="42"/>
      <c r="F4097" s="42"/>
    </row>
    <row r="4098" customFormat="false" ht="15" hidden="false" customHeight="true" outlineLevel="0" collapsed="false">
      <c r="A4098" s="42"/>
      <c r="B4098" s="42"/>
      <c r="C4098" s="42"/>
      <c r="D4098" s="28" t="str">
        <f aca="false">IF(OR($B4098="",$C4098=""),"",$C4098*IFERROR(INDEX(Setup!$C$47:$C$56,MATCH($B4098,Setup!$A$47:$A$56,0)),IFERROR(INDEX(Setup!$C$60:$C$89,MATCH($B4098,Setup!$A$60:$A$89,0)),"")))</f>
        <v/>
      </c>
      <c r="E4098" s="42"/>
      <c r="F4098" s="42"/>
    </row>
    <row r="4099" customFormat="false" ht="15" hidden="false" customHeight="true" outlineLevel="0" collapsed="false">
      <c r="A4099" s="42"/>
      <c r="B4099" s="42"/>
      <c r="C4099" s="42"/>
      <c r="D4099" s="28" t="str">
        <f aca="false">IF(OR($B4099="",$C4099=""),"",$C4099*IFERROR(INDEX(Setup!$C$47:$C$56,MATCH($B4099,Setup!$A$47:$A$56,0)),IFERROR(INDEX(Setup!$C$60:$C$89,MATCH($B4099,Setup!$A$60:$A$89,0)),"")))</f>
        <v/>
      </c>
      <c r="E4099" s="42"/>
      <c r="F4099" s="42"/>
    </row>
    <row r="4100" customFormat="false" ht="15" hidden="false" customHeight="true" outlineLevel="0" collapsed="false">
      <c r="A4100" s="42"/>
      <c r="B4100" s="42"/>
      <c r="C4100" s="42"/>
      <c r="D4100" s="28" t="str">
        <f aca="false">IF(OR($B4100="",$C4100=""),"",$C4100*IFERROR(INDEX(Setup!$C$47:$C$56,MATCH($B4100,Setup!$A$47:$A$56,0)),IFERROR(INDEX(Setup!$C$60:$C$89,MATCH($B4100,Setup!$A$60:$A$89,0)),"")))</f>
        <v/>
      </c>
      <c r="E4100" s="42"/>
      <c r="F4100" s="42"/>
    </row>
    <row r="4101" customFormat="false" ht="15" hidden="false" customHeight="true" outlineLevel="0" collapsed="false">
      <c r="A4101" s="42"/>
      <c r="B4101" s="42"/>
      <c r="C4101" s="42"/>
      <c r="D4101" s="28" t="str">
        <f aca="false">IF(OR($B4101="",$C4101=""),"",$C4101*IFERROR(INDEX(Setup!$C$47:$C$56,MATCH($B4101,Setup!$A$47:$A$56,0)),IFERROR(INDEX(Setup!$C$60:$C$89,MATCH($B4101,Setup!$A$60:$A$89,0)),"")))</f>
        <v/>
      </c>
      <c r="E4101" s="42"/>
      <c r="F4101" s="42"/>
    </row>
    <row r="4102" customFormat="false" ht="15" hidden="false" customHeight="true" outlineLevel="0" collapsed="false">
      <c r="A4102" s="42"/>
      <c r="B4102" s="42"/>
      <c r="C4102" s="42"/>
      <c r="D4102" s="28" t="str">
        <f aca="false">IF(OR($B4102="",$C4102=""),"",$C4102*IFERROR(INDEX(Setup!$C$47:$C$56,MATCH($B4102,Setup!$A$47:$A$56,0)),IFERROR(INDEX(Setup!$C$60:$C$89,MATCH($B4102,Setup!$A$60:$A$89,0)),"")))</f>
        <v/>
      </c>
      <c r="E4102" s="42"/>
      <c r="F4102" s="42"/>
    </row>
    <row r="4103" customFormat="false" ht="15" hidden="false" customHeight="true" outlineLevel="0" collapsed="false">
      <c r="A4103" s="42"/>
      <c r="B4103" s="42"/>
      <c r="C4103" s="42"/>
      <c r="D4103" s="28" t="str">
        <f aca="false">IF(OR($B4103="",$C4103=""),"",$C4103*IFERROR(INDEX(Setup!$C$47:$C$56,MATCH($B4103,Setup!$A$47:$A$56,0)),IFERROR(INDEX(Setup!$C$60:$C$89,MATCH($B4103,Setup!$A$60:$A$89,0)),"")))</f>
        <v/>
      </c>
      <c r="E4103" s="42"/>
      <c r="F4103" s="42"/>
    </row>
    <row r="4104" customFormat="false" ht="15" hidden="false" customHeight="true" outlineLevel="0" collapsed="false">
      <c r="A4104" s="42"/>
      <c r="B4104" s="42"/>
      <c r="C4104" s="42"/>
      <c r="D4104" s="28" t="str">
        <f aca="false">IF(OR($B4104="",$C4104=""),"",$C4104*IFERROR(INDEX(Setup!$C$47:$C$56,MATCH($B4104,Setup!$A$47:$A$56,0)),IFERROR(INDEX(Setup!$C$60:$C$89,MATCH($B4104,Setup!$A$60:$A$89,0)),"")))</f>
        <v/>
      </c>
      <c r="E4104" s="42"/>
      <c r="F4104" s="42"/>
    </row>
    <row r="4105" customFormat="false" ht="15" hidden="false" customHeight="true" outlineLevel="0" collapsed="false">
      <c r="A4105" s="42"/>
      <c r="B4105" s="42"/>
      <c r="C4105" s="42"/>
      <c r="D4105" s="28" t="str">
        <f aca="false">IF(OR($B4105="",$C4105=""),"",$C4105*IFERROR(INDEX(Setup!$C$47:$C$56,MATCH($B4105,Setup!$A$47:$A$56,0)),IFERROR(INDEX(Setup!$C$60:$C$89,MATCH($B4105,Setup!$A$60:$A$89,0)),"")))</f>
        <v/>
      </c>
      <c r="E4105" s="42"/>
      <c r="F4105" s="42"/>
    </row>
    <row r="4106" customFormat="false" ht="15" hidden="false" customHeight="true" outlineLevel="0" collapsed="false">
      <c r="A4106" s="42"/>
      <c r="B4106" s="42"/>
      <c r="C4106" s="42"/>
      <c r="D4106" s="28" t="str">
        <f aca="false">IF(OR($B4106="",$C4106=""),"",$C4106*IFERROR(INDEX(Setup!$C$47:$C$56,MATCH($B4106,Setup!$A$47:$A$56,0)),IFERROR(INDEX(Setup!$C$60:$C$89,MATCH($B4106,Setup!$A$60:$A$89,0)),"")))</f>
        <v/>
      </c>
      <c r="E4106" s="42"/>
      <c r="F4106" s="42"/>
    </row>
    <row r="4107" customFormat="false" ht="15" hidden="false" customHeight="true" outlineLevel="0" collapsed="false">
      <c r="A4107" s="42"/>
      <c r="B4107" s="42"/>
      <c r="C4107" s="42"/>
      <c r="D4107" s="28" t="str">
        <f aca="false">IF(OR($B4107="",$C4107=""),"",$C4107*IFERROR(INDEX(Setup!$C$47:$C$56,MATCH($B4107,Setup!$A$47:$A$56,0)),IFERROR(INDEX(Setup!$C$60:$C$89,MATCH($B4107,Setup!$A$60:$A$89,0)),"")))</f>
        <v/>
      </c>
      <c r="E4107" s="42"/>
      <c r="F4107" s="42"/>
    </row>
    <row r="4108" customFormat="false" ht="15" hidden="false" customHeight="true" outlineLevel="0" collapsed="false">
      <c r="A4108" s="42"/>
      <c r="B4108" s="42"/>
      <c r="C4108" s="42"/>
      <c r="D4108" s="28" t="str">
        <f aca="false">IF(OR($B4108="",$C4108=""),"",$C4108*IFERROR(INDEX(Setup!$C$47:$C$56,MATCH($B4108,Setup!$A$47:$A$56,0)),IFERROR(INDEX(Setup!$C$60:$C$89,MATCH($B4108,Setup!$A$60:$A$89,0)),"")))</f>
        <v/>
      </c>
      <c r="E4108" s="42"/>
      <c r="F4108" s="42"/>
    </row>
    <row r="4109" customFormat="false" ht="15" hidden="false" customHeight="true" outlineLevel="0" collapsed="false">
      <c r="A4109" s="42"/>
      <c r="B4109" s="42"/>
      <c r="C4109" s="42"/>
      <c r="D4109" s="28" t="str">
        <f aca="false">IF(OR($B4109="",$C4109=""),"",$C4109*IFERROR(INDEX(Setup!$C$47:$C$56,MATCH($B4109,Setup!$A$47:$A$56,0)),IFERROR(INDEX(Setup!$C$60:$C$89,MATCH($B4109,Setup!$A$60:$A$89,0)),"")))</f>
        <v/>
      </c>
      <c r="E4109" s="42"/>
      <c r="F4109" s="42"/>
    </row>
    <row r="4110" customFormat="false" ht="15" hidden="false" customHeight="true" outlineLevel="0" collapsed="false">
      <c r="A4110" s="42"/>
      <c r="B4110" s="42"/>
      <c r="C4110" s="42"/>
      <c r="D4110" s="28" t="str">
        <f aca="false">IF(OR($B4110="",$C4110=""),"",$C4110*IFERROR(INDEX(Setup!$C$47:$C$56,MATCH($B4110,Setup!$A$47:$A$56,0)),IFERROR(INDEX(Setup!$C$60:$C$89,MATCH($B4110,Setup!$A$60:$A$89,0)),"")))</f>
        <v/>
      </c>
      <c r="E4110" s="42"/>
      <c r="F4110" s="42"/>
    </row>
    <row r="4111" customFormat="false" ht="15" hidden="false" customHeight="true" outlineLevel="0" collapsed="false">
      <c r="A4111" s="42"/>
      <c r="B4111" s="42"/>
      <c r="C4111" s="42"/>
      <c r="D4111" s="28" t="str">
        <f aca="false">IF(OR($B4111="",$C4111=""),"",$C4111*IFERROR(INDEX(Setup!$C$47:$C$56,MATCH($B4111,Setup!$A$47:$A$56,0)),IFERROR(INDEX(Setup!$C$60:$C$89,MATCH($B4111,Setup!$A$60:$A$89,0)),"")))</f>
        <v/>
      </c>
      <c r="E4111" s="42"/>
      <c r="F4111" s="42"/>
    </row>
    <row r="4112" customFormat="false" ht="15" hidden="false" customHeight="true" outlineLevel="0" collapsed="false">
      <c r="A4112" s="42"/>
      <c r="B4112" s="42"/>
      <c r="C4112" s="42"/>
      <c r="D4112" s="28" t="str">
        <f aca="false">IF(OR($B4112="",$C4112=""),"",$C4112*IFERROR(INDEX(Setup!$C$47:$C$56,MATCH($B4112,Setup!$A$47:$A$56,0)),IFERROR(INDEX(Setup!$C$60:$C$89,MATCH($B4112,Setup!$A$60:$A$89,0)),"")))</f>
        <v/>
      </c>
      <c r="E4112" s="42"/>
      <c r="F4112" s="42"/>
    </row>
    <row r="4113" customFormat="false" ht="15" hidden="false" customHeight="true" outlineLevel="0" collapsed="false">
      <c r="A4113" s="42"/>
      <c r="B4113" s="42"/>
      <c r="C4113" s="42"/>
      <c r="D4113" s="28" t="str">
        <f aca="false">IF(OR($B4113="",$C4113=""),"",$C4113*IFERROR(INDEX(Setup!$C$47:$C$56,MATCH($B4113,Setup!$A$47:$A$56,0)),IFERROR(INDEX(Setup!$C$60:$C$89,MATCH($B4113,Setup!$A$60:$A$89,0)),"")))</f>
        <v/>
      </c>
      <c r="E4113" s="42"/>
      <c r="F4113" s="42"/>
    </row>
    <row r="4114" customFormat="false" ht="15" hidden="false" customHeight="true" outlineLevel="0" collapsed="false">
      <c r="A4114" s="42"/>
      <c r="B4114" s="42"/>
      <c r="C4114" s="42"/>
      <c r="D4114" s="28" t="str">
        <f aca="false">IF(OR($B4114="",$C4114=""),"",$C4114*IFERROR(INDEX(Setup!$C$47:$C$56,MATCH($B4114,Setup!$A$47:$A$56,0)),IFERROR(INDEX(Setup!$C$60:$C$89,MATCH($B4114,Setup!$A$60:$A$89,0)),"")))</f>
        <v/>
      </c>
      <c r="E4114" s="42"/>
      <c r="F4114" s="42"/>
    </row>
    <row r="4115" customFormat="false" ht="15" hidden="false" customHeight="true" outlineLevel="0" collapsed="false">
      <c r="A4115" s="42"/>
      <c r="B4115" s="42"/>
      <c r="C4115" s="42"/>
      <c r="D4115" s="28" t="str">
        <f aca="false">IF(OR($B4115="",$C4115=""),"",$C4115*IFERROR(INDEX(Setup!$C$47:$C$56,MATCH($B4115,Setup!$A$47:$A$56,0)),IFERROR(INDEX(Setup!$C$60:$C$89,MATCH($B4115,Setup!$A$60:$A$89,0)),"")))</f>
        <v/>
      </c>
      <c r="E4115" s="42"/>
      <c r="F4115" s="42"/>
    </row>
    <row r="4116" customFormat="false" ht="15" hidden="false" customHeight="true" outlineLevel="0" collapsed="false">
      <c r="A4116" s="42"/>
      <c r="B4116" s="42"/>
      <c r="C4116" s="42"/>
      <c r="D4116" s="28" t="str">
        <f aca="false">IF(OR($B4116="",$C4116=""),"",$C4116*IFERROR(INDEX(Setup!$C$47:$C$56,MATCH($B4116,Setup!$A$47:$A$56,0)),IFERROR(INDEX(Setup!$C$60:$C$89,MATCH($B4116,Setup!$A$60:$A$89,0)),"")))</f>
        <v/>
      </c>
      <c r="E4116" s="42"/>
      <c r="F4116" s="42"/>
    </row>
    <row r="4117" customFormat="false" ht="15" hidden="false" customHeight="true" outlineLevel="0" collapsed="false">
      <c r="A4117" s="42"/>
      <c r="B4117" s="42"/>
      <c r="C4117" s="42"/>
      <c r="D4117" s="28" t="str">
        <f aca="false">IF(OR($B4117="",$C4117=""),"",$C4117*IFERROR(INDEX(Setup!$C$47:$C$56,MATCH($B4117,Setup!$A$47:$A$56,0)),IFERROR(INDEX(Setup!$C$60:$C$89,MATCH($B4117,Setup!$A$60:$A$89,0)),"")))</f>
        <v/>
      </c>
      <c r="E4117" s="42"/>
      <c r="F4117" s="42"/>
    </row>
    <row r="4118" customFormat="false" ht="15" hidden="false" customHeight="true" outlineLevel="0" collapsed="false">
      <c r="A4118" s="42"/>
      <c r="B4118" s="42"/>
      <c r="C4118" s="42"/>
      <c r="D4118" s="28" t="str">
        <f aca="false">IF(OR($B4118="",$C4118=""),"",$C4118*IFERROR(INDEX(Setup!$C$47:$C$56,MATCH($B4118,Setup!$A$47:$A$56,0)),IFERROR(INDEX(Setup!$C$60:$C$89,MATCH($B4118,Setup!$A$60:$A$89,0)),"")))</f>
        <v/>
      </c>
      <c r="E4118" s="42"/>
      <c r="F4118" s="42"/>
    </row>
    <row r="4119" customFormat="false" ht="15" hidden="false" customHeight="true" outlineLevel="0" collapsed="false">
      <c r="A4119" s="42"/>
      <c r="B4119" s="42"/>
      <c r="C4119" s="42"/>
      <c r="D4119" s="28" t="str">
        <f aca="false">IF(OR($B4119="",$C4119=""),"",$C4119*IFERROR(INDEX(Setup!$C$47:$C$56,MATCH($B4119,Setup!$A$47:$A$56,0)),IFERROR(INDEX(Setup!$C$60:$C$89,MATCH($B4119,Setup!$A$60:$A$89,0)),"")))</f>
        <v/>
      </c>
      <c r="E4119" s="42"/>
      <c r="F4119" s="42"/>
    </row>
    <row r="4120" customFormat="false" ht="15" hidden="false" customHeight="true" outlineLevel="0" collapsed="false">
      <c r="A4120" s="42"/>
      <c r="B4120" s="42"/>
      <c r="C4120" s="42"/>
      <c r="D4120" s="28" t="str">
        <f aca="false">IF(OR($B4120="",$C4120=""),"",$C4120*IFERROR(INDEX(Setup!$C$47:$C$56,MATCH($B4120,Setup!$A$47:$A$56,0)),IFERROR(INDEX(Setup!$C$60:$C$89,MATCH($B4120,Setup!$A$60:$A$89,0)),"")))</f>
        <v/>
      </c>
      <c r="E4120" s="42"/>
      <c r="F4120" s="42"/>
    </row>
    <row r="4121" customFormat="false" ht="15" hidden="false" customHeight="true" outlineLevel="0" collapsed="false">
      <c r="A4121" s="42"/>
      <c r="B4121" s="42"/>
      <c r="C4121" s="42"/>
      <c r="D4121" s="28" t="str">
        <f aca="false">IF(OR($B4121="",$C4121=""),"",$C4121*IFERROR(INDEX(Setup!$C$47:$C$56,MATCH($B4121,Setup!$A$47:$A$56,0)),IFERROR(INDEX(Setup!$C$60:$C$89,MATCH($B4121,Setup!$A$60:$A$89,0)),"")))</f>
        <v/>
      </c>
      <c r="E4121" s="42"/>
      <c r="F4121" s="42"/>
    </row>
    <row r="4122" customFormat="false" ht="15" hidden="false" customHeight="true" outlineLevel="0" collapsed="false">
      <c r="A4122" s="42"/>
      <c r="B4122" s="42"/>
      <c r="C4122" s="42"/>
      <c r="D4122" s="28" t="str">
        <f aca="false">IF(OR($B4122="",$C4122=""),"",$C4122*IFERROR(INDEX(Setup!$C$47:$C$56,MATCH($B4122,Setup!$A$47:$A$56,0)),IFERROR(INDEX(Setup!$C$60:$C$89,MATCH($B4122,Setup!$A$60:$A$89,0)),"")))</f>
        <v/>
      </c>
      <c r="E4122" s="42"/>
      <c r="F4122" s="42"/>
    </row>
    <row r="4123" customFormat="false" ht="15" hidden="false" customHeight="true" outlineLevel="0" collapsed="false">
      <c r="A4123" s="42"/>
      <c r="B4123" s="42"/>
      <c r="C4123" s="42"/>
      <c r="D4123" s="28" t="str">
        <f aca="false">IF(OR($B4123="",$C4123=""),"",$C4123*IFERROR(INDEX(Setup!$C$47:$C$56,MATCH($B4123,Setup!$A$47:$A$56,0)),IFERROR(INDEX(Setup!$C$60:$C$89,MATCH($B4123,Setup!$A$60:$A$89,0)),"")))</f>
        <v/>
      </c>
      <c r="E4123" s="42"/>
      <c r="F4123" s="42"/>
    </row>
    <row r="4124" customFormat="false" ht="15" hidden="false" customHeight="true" outlineLevel="0" collapsed="false">
      <c r="A4124" s="42"/>
      <c r="B4124" s="42"/>
      <c r="C4124" s="42"/>
      <c r="D4124" s="28" t="str">
        <f aca="false">IF(OR($B4124="",$C4124=""),"",$C4124*IFERROR(INDEX(Setup!$C$47:$C$56,MATCH($B4124,Setup!$A$47:$A$56,0)),IFERROR(INDEX(Setup!$C$60:$C$89,MATCH($B4124,Setup!$A$60:$A$89,0)),"")))</f>
        <v/>
      </c>
      <c r="E4124" s="42"/>
      <c r="F4124" s="42"/>
    </row>
    <row r="4125" customFormat="false" ht="15" hidden="false" customHeight="true" outlineLevel="0" collapsed="false">
      <c r="A4125" s="42"/>
      <c r="B4125" s="42"/>
      <c r="C4125" s="42"/>
      <c r="D4125" s="28" t="str">
        <f aca="false">IF(OR($B4125="",$C4125=""),"",$C4125*IFERROR(INDEX(Setup!$C$47:$C$56,MATCH($B4125,Setup!$A$47:$A$56,0)),IFERROR(INDEX(Setup!$C$60:$C$89,MATCH($B4125,Setup!$A$60:$A$89,0)),"")))</f>
        <v/>
      </c>
      <c r="E4125" s="42"/>
      <c r="F4125" s="42"/>
    </row>
    <row r="4126" customFormat="false" ht="15" hidden="false" customHeight="true" outlineLevel="0" collapsed="false">
      <c r="A4126" s="42"/>
      <c r="B4126" s="42"/>
      <c r="C4126" s="42"/>
      <c r="D4126" s="28" t="str">
        <f aca="false">IF(OR($B4126="",$C4126=""),"",$C4126*IFERROR(INDEX(Setup!$C$47:$C$56,MATCH($B4126,Setup!$A$47:$A$56,0)),IFERROR(INDEX(Setup!$C$60:$C$89,MATCH($B4126,Setup!$A$60:$A$89,0)),"")))</f>
        <v/>
      </c>
      <c r="E4126" s="42"/>
      <c r="F4126" s="42"/>
    </row>
    <row r="4127" customFormat="false" ht="15" hidden="false" customHeight="true" outlineLevel="0" collapsed="false">
      <c r="A4127" s="42"/>
      <c r="B4127" s="42"/>
      <c r="C4127" s="42"/>
      <c r="D4127" s="28" t="str">
        <f aca="false">IF(OR($B4127="",$C4127=""),"",$C4127*IFERROR(INDEX(Setup!$C$47:$C$56,MATCH($B4127,Setup!$A$47:$A$56,0)),IFERROR(INDEX(Setup!$C$60:$C$89,MATCH($B4127,Setup!$A$60:$A$89,0)),"")))</f>
        <v/>
      </c>
      <c r="E4127" s="42"/>
      <c r="F4127" s="42"/>
    </row>
    <row r="4128" customFormat="false" ht="15" hidden="false" customHeight="true" outlineLevel="0" collapsed="false">
      <c r="A4128" s="42"/>
      <c r="B4128" s="42"/>
      <c r="C4128" s="42"/>
      <c r="D4128" s="28" t="str">
        <f aca="false">IF(OR($B4128="",$C4128=""),"",$C4128*IFERROR(INDEX(Setup!$C$47:$C$56,MATCH($B4128,Setup!$A$47:$A$56,0)),IFERROR(INDEX(Setup!$C$60:$C$89,MATCH($B4128,Setup!$A$60:$A$89,0)),"")))</f>
        <v/>
      </c>
      <c r="E4128" s="42"/>
      <c r="F4128" s="42"/>
    </row>
    <row r="4129" customFormat="false" ht="15" hidden="false" customHeight="true" outlineLevel="0" collapsed="false">
      <c r="A4129" s="42"/>
      <c r="B4129" s="42"/>
      <c r="C4129" s="42"/>
      <c r="D4129" s="28" t="str">
        <f aca="false">IF(OR($B4129="",$C4129=""),"",$C4129*IFERROR(INDEX(Setup!$C$47:$C$56,MATCH($B4129,Setup!$A$47:$A$56,0)),IFERROR(INDEX(Setup!$C$60:$C$89,MATCH($B4129,Setup!$A$60:$A$89,0)),"")))</f>
        <v/>
      </c>
      <c r="E4129" s="42"/>
      <c r="F4129" s="42"/>
    </row>
    <row r="4130" customFormat="false" ht="15" hidden="false" customHeight="true" outlineLevel="0" collapsed="false">
      <c r="A4130" s="42"/>
      <c r="B4130" s="42"/>
      <c r="C4130" s="42"/>
      <c r="D4130" s="28" t="str">
        <f aca="false">IF(OR($B4130="",$C4130=""),"",$C4130*IFERROR(INDEX(Setup!$C$47:$C$56,MATCH($B4130,Setup!$A$47:$A$56,0)),IFERROR(INDEX(Setup!$C$60:$C$89,MATCH($B4130,Setup!$A$60:$A$89,0)),"")))</f>
        <v/>
      </c>
      <c r="E4130" s="42"/>
      <c r="F4130" s="42"/>
    </row>
    <row r="4131" customFormat="false" ht="15" hidden="false" customHeight="true" outlineLevel="0" collapsed="false">
      <c r="A4131" s="42"/>
      <c r="B4131" s="42"/>
      <c r="C4131" s="42"/>
      <c r="D4131" s="28" t="str">
        <f aca="false">IF(OR($B4131="",$C4131=""),"",$C4131*IFERROR(INDEX(Setup!$C$47:$C$56,MATCH($B4131,Setup!$A$47:$A$56,0)),IFERROR(INDEX(Setup!$C$60:$C$89,MATCH($B4131,Setup!$A$60:$A$89,0)),"")))</f>
        <v/>
      </c>
      <c r="E4131" s="42"/>
      <c r="F4131" s="42"/>
    </row>
    <row r="4132" customFormat="false" ht="15" hidden="false" customHeight="true" outlineLevel="0" collapsed="false">
      <c r="A4132" s="42"/>
      <c r="B4132" s="42"/>
      <c r="C4132" s="42"/>
      <c r="D4132" s="28" t="str">
        <f aca="false">IF(OR($B4132="",$C4132=""),"",$C4132*IFERROR(INDEX(Setup!$C$47:$C$56,MATCH($B4132,Setup!$A$47:$A$56,0)),IFERROR(INDEX(Setup!$C$60:$C$89,MATCH($B4132,Setup!$A$60:$A$89,0)),"")))</f>
        <v/>
      </c>
      <c r="E4132" s="42"/>
      <c r="F4132" s="42"/>
    </row>
    <row r="4133" customFormat="false" ht="15" hidden="false" customHeight="true" outlineLevel="0" collapsed="false">
      <c r="A4133" s="42"/>
      <c r="B4133" s="42"/>
      <c r="C4133" s="42"/>
      <c r="D4133" s="28" t="str">
        <f aca="false">IF(OR($B4133="",$C4133=""),"",$C4133*IFERROR(INDEX(Setup!$C$47:$C$56,MATCH($B4133,Setup!$A$47:$A$56,0)),IFERROR(INDEX(Setup!$C$60:$C$89,MATCH($B4133,Setup!$A$60:$A$89,0)),"")))</f>
        <v/>
      </c>
      <c r="E4133" s="42"/>
      <c r="F4133" s="42"/>
    </row>
    <row r="4134" customFormat="false" ht="15" hidden="false" customHeight="true" outlineLevel="0" collapsed="false">
      <c r="A4134" s="42"/>
      <c r="B4134" s="42"/>
      <c r="C4134" s="42"/>
      <c r="D4134" s="28" t="str">
        <f aca="false">IF(OR($B4134="",$C4134=""),"",$C4134*IFERROR(INDEX(Setup!$C$47:$C$56,MATCH($B4134,Setup!$A$47:$A$56,0)),IFERROR(INDEX(Setup!$C$60:$C$89,MATCH($B4134,Setup!$A$60:$A$89,0)),"")))</f>
        <v/>
      </c>
      <c r="E4134" s="42"/>
      <c r="F4134" s="42"/>
    </row>
    <row r="4135" customFormat="false" ht="15" hidden="false" customHeight="true" outlineLevel="0" collapsed="false">
      <c r="A4135" s="42"/>
      <c r="B4135" s="42"/>
      <c r="C4135" s="42"/>
      <c r="D4135" s="28" t="str">
        <f aca="false">IF(OR($B4135="",$C4135=""),"",$C4135*IFERROR(INDEX(Setup!$C$47:$C$56,MATCH($B4135,Setup!$A$47:$A$56,0)),IFERROR(INDEX(Setup!$C$60:$C$89,MATCH($B4135,Setup!$A$60:$A$89,0)),"")))</f>
        <v/>
      </c>
      <c r="E4135" s="42"/>
      <c r="F4135" s="42"/>
    </row>
    <row r="4136" customFormat="false" ht="15" hidden="false" customHeight="true" outlineLevel="0" collapsed="false">
      <c r="A4136" s="42"/>
      <c r="B4136" s="42"/>
      <c r="C4136" s="42"/>
      <c r="D4136" s="28" t="str">
        <f aca="false">IF(OR($B4136="",$C4136=""),"",$C4136*IFERROR(INDEX(Setup!$C$47:$C$56,MATCH($B4136,Setup!$A$47:$A$56,0)),IFERROR(INDEX(Setup!$C$60:$C$89,MATCH($B4136,Setup!$A$60:$A$89,0)),"")))</f>
        <v/>
      </c>
      <c r="E4136" s="42"/>
      <c r="F4136" s="42"/>
    </row>
    <row r="4137" customFormat="false" ht="15" hidden="false" customHeight="true" outlineLevel="0" collapsed="false">
      <c r="A4137" s="42"/>
      <c r="B4137" s="42"/>
      <c r="C4137" s="42"/>
      <c r="D4137" s="28" t="str">
        <f aca="false">IF(OR($B4137="",$C4137=""),"",$C4137*IFERROR(INDEX(Setup!$C$47:$C$56,MATCH($B4137,Setup!$A$47:$A$56,0)),IFERROR(INDEX(Setup!$C$60:$C$89,MATCH($B4137,Setup!$A$60:$A$89,0)),"")))</f>
        <v/>
      </c>
      <c r="E4137" s="42"/>
      <c r="F4137" s="42"/>
    </row>
    <row r="4138" customFormat="false" ht="15" hidden="false" customHeight="true" outlineLevel="0" collapsed="false">
      <c r="A4138" s="42"/>
      <c r="B4138" s="42"/>
      <c r="C4138" s="42"/>
      <c r="D4138" s="28" t="str">
        <f aca="false">IF(OR($B4138="",$C4138=""),"",$C4138*IFERROR(INDEX(Setup!$C$47:$C$56,MATCH($B4138,Setup!$A$47:$A$56,0)),IFERROR(INDEX(Setup!$C$60:$C$89,MATCH($B4138,Setup!$A$60:$A$89,0)),"")))</f>
        <v/>
      </c>
      <c r="E4138" s="42"/>
      <c r="F4138" s="42"/>
    </row>
    <row r="4139" customFormat="false" ht="15" hidden="false" customHeight="true" outlineLevel="0" collapsed="false">
      <c r="A4139" s="42"/>
      <c r="B4139" s="42"/>
      <c r="C4139" s="42"/>
      <c r="D4139" s="28" t="str">
        <f aca="false">IF(OR($B4139="",$C4139=""),"",$C4139*IFERROR(INDEX(Setup!$C$47:$C$56,MATCH($B4139,Setup!$A$47:$A$56,0)),IFERROR(INDEX(Setup!$C$60:$C$89,MATCH($B4139,Setup!$A$60:$A$89,0)),"")))</f>
        <v/>
      </c>
      <c r="E4139" s="42"/>
      <c r="F4139" s="42"/>
    </row>
    <row r="4140" customFormat="false" ht="15" hidden="false" customHeight="true" outlineLevel="0" collapsed="false">
      <c r="A4140" s="42"/>
      <c r="B4140" s="42"/>
      <c r="C4140" s="42"/>
      <c r="D4140" s="28" t="str">
        <f aca="false">IF(OR($B4140="",$C4140=""),"",$C4140*IFERROR(INDEX(Setup!$C$47:$C$56,MATCH($B4140,Setup!$A$47:$A$56,0)),IFERROR(INDEX(Setup!$C$60:$C$89,MATCH($B4140,Setup!$A$60:$A$89,0)),"")))</f>
        <v/>
      </c>
      <c r="E4140" s="42"/>
      <c r="F4140" s="42"/>
    </row>
    <row r="4141" customFormat="false" ht="15" hidden="false" customHeight="true" outlineLevel="0" collapsed="false">
      <c r="A4141" s="42"/>
      <c r="B4141" s="42"/>
      <c r="C4141" s="42"/>
      <c r="D4141" s="28" t="str">
        <f aca="false">IF(OR($B4141="",$C4141=""),"",$C4141*IFERROR(INDEX(Setup!$C$47:$C$56,MATCH($B4141,Setup!$A$47:$A$56,0)),IFERROR(INDEX(Setup!$C$60:$C$89,MATCH($B4141,Setup!$A$60:$A$89,0)),"")))</f>
        <v/>
      </c>
      <c r="E4141" s="42"/>
      <c r="F4141" s="42"/>
    </row>
    <row r="4142" customFormat="false" ht="15" hidden="false" customHeight="true" outlineLevel="0" collapsed="false">
      <c r="A4142" s="42"/>
      <c r="B4142" s="42"/>
      <c r="C4142" s="42"/>
      <c r="D4142" s="28" t="str">
        <f aca="false">IF(OR($B4142="",$C4142=""),"",$C4142*IFERROR(INDEX(Setup!$C$47:$C$56,MATCH($B4142,Setup!$A$47:$A$56,0)),IFERROR(INDEX(Setup!$C$60:$C$89,MATCH($B4142,Setup!$A$60:$A$89,0)),"")))</f>
        <v/>
      </c>
      <c r="E4142" s="42"/>
      <c r="F4142" s="42"/>
    </row>
    <row r="4143" customFormat="false" ht="15" hidden="false" customHeight="true" outlineLevel="0" collapsed="false">
      <c r="A4143" s="42"/>
      <c r="B4143" s="42"/>
      <c r="C4143" s="42"/>
      <c r="D4143" s="28" t="str">
        <f aca="false">IF(OR($B4143="",$C4143=""),"",$C4143*IFERROR(INDEX(Setup!$C$47:$C$56,MATCH($B4143,Setup!$A$47:$A$56,0)),IFERROR(INDEX(Setup!$C$60:$C$89,MATCH($B4143,Setup!$A$60:$A$89,0)),"")))</f>
        <v/>
      </c>
      <c r="E4143" s="42"/>
      <c r="F4143" s="42"/>
    </row>
    <row r="4144" customFormat="false" ht="15" hidden="false" customHeight="true" outlineLevel="0" collapsed="false">
      <c r="A4144" s="42"/>
      <c r="B4144" s="42"/>
      <c r="C4144" s="42"/>
      <c r="D4144" s="28" t="str">
        <f aca="false">IF(OR($B4144="",$C4144=""),"",$C4144*IFERROR(INDEX(Setup!$C$47:$C$56,MATCH($B4144,Setup!$A$47:$A$56,0)),IFERROR(INDEX(Setup!$C$60:$C$89,MATCH($B4144,Setup!$A$60:$A$89,0)),"")))</f>
        <v/>
      </c>
      <c r="E4144" s="42"/>
      <c r="F4144" s="42"/>
    </row>
    <row r="4145" customFormat="false" ht="15" hidden="false" customHeight="true" outlineLevel="0" collapsed="false">
      <c r="A4145" s="42"/>
      <c r="B4145" s="42"/>
      <c r="C4145" s="42"/>
      <c r="D4145" s="28" t="str">
        <f aca="false">IF(OR($B4145="",$C4145=""),"",$C4145*IFERROR(INDEX(Setup!$C$47:$C$56,MATCH($B4145,Setup!$A$47:$A$56,0)),IFERROR(INDEX(Setup!$C$60:$C$89,MATCH($B4145,Setup!$A$60:$A$89,0)),"")))</f>
        <v/>
      </c>
      <c r="E4145" s="42"/>
      <c r="F4145" s="42"/>
    </row>
    <row r="4146" customFormat="false" ht="15" hidden="false" customHeight="true" outlineLevel="0" collapsed="false">
      <c r="A4146" s="42"/>
      <c r="B4146" s="42"/>
      <c r="C4146" s="42"/>
      <c r="D4146" s="28" t="str">
        <f aca="false">IF(OR($B4146="",$C4146=""),"",$C4146*IFERROR(INDEX(Setup!$C$47:$C$56,MATCH($B4146,Setup!$A$47:$A$56,0)),IFERROR(INDEX(Setup!$C$60:$C$89,MATCH($B4146,Setup!$A$60:$A$89,0)),"")))</f>
        <v/>
      </c>
      <c r="E4146" s="42"/>
      <c r="F4146" s="42"/>
    </row>
    <row r="4147" customFormat="false" ht="15" hidden="false" customHeight="true" outlineLevel="0" collapsed="false">
      <c r="A4147" s="42"/>
      <c r="B4147" s="42"/>
      <c r="C4147" s="42"/>
      <c r="D4147" s="28" t="str">
        <f aca="false">IF(OR($B4147="",$C4147=""),"",$C4147*IFERROR(INDEX(Setup!$C$47:$C$56,MATCH($B4147,Setup!$A$47:$A$56,0)),IFERROR(INDEX(Setup!$C$60:$C$89,MATCH($B4147,Setup!$A$60:$A$89,0)),"")))</f>
        <v/>
      </c>
      <c r="E4147" s="42"/>
      <c r="F4147" s="42"/>
    </row>
    <row r="4148" customFormat="false" ht="15" hidden="false" customHeight="true" outlineLevel="0" collapsed="false">
      <c r="A4148" s="42"/>
      <c r="B4148" s="42"/>
      <c r="C4148" s="42"/>
      <c r="D4148" s="28" t="str">
        <f aca="false">IF(OR($B4148="",$C4148=""),"",$C4148*IFERROR(INDEX(Setup!$C$47:$C$56,MATCH($B4148,Setup!$A$47:$A$56,0)),IFERROR(INDEX(Setup!$C$60:$C$89,MATCH($B4148,Setup!$A$60:$A$89,0)),"")))</f>
        <v/>
      </c>
      <c r="E4148" s="42"/>
      <c r="F4148" s="42"/>
    </row>
    <row r="4149" customFormat="false" ht="15" hidden="false" customHeight="true" outlineLevel="0" collapsed="false">
      <c r="A4149" s="42"/>
      <c r="B4149" s="42"/>
      <c r="C4149" s="42"/>
      <c r="D4149" s="28" t="str">
        <f aca="false">IF(OR($B4149="",$C4149=""),"",$C4149*IFERROR(INDEX(Setup!$C$47:$C$56,MATCH($B4149,Setup!$A$47:$A$56,0)),IFERROR(INDEX(Setup!$C$60:$C$89,MATCH($B4149,Setup!$A$60:$A$89,0)),"")))</f>
        <v/>
      </c>
      <c r="E4149" s="42"/>
      <c r="F4149" s="42"/>
    </row>
    <row r="4150" customFormat="false" ht="15" hidden="false" customHeight="true" outlineLevel="0" collapsed="false">
      <c r="A4150" s="42"/>
      <c r="B4150" s="42"/>
      <c r="C4150" s="42"/>
      <c r="D4150" s="28" t="str">
        <f aca="false">IF(OR($B4150="",$C4150=""),"",$C4150*IFERROR(INDEX(Setup!$C$47:$C$56,MATCH($B4150,Setup!$A$47:$A$56,0)),IFERROR(INDEX(Setup!$C$60:$C$89,MATCH($B4150,Setup!$A$60:$A$89,0)),"")))</f>
        <v/>
      </c>
      <c r="E4150" s="42"/>
      <c r="F4150" s="42"/>
    </row>
    <row r="4151" customFormat="false" ht="15" hidden="false" customHeight="true" outlineLevel="0" collapsed="false">
      <c r="A4151" s="42"/>
      <c r="B4151" s="42"/>
      <c r="C4151" s="42"/>
      <c r="D4151" s="28" t="str">
        <f aca="false">IF(OR($B4151="",$C4151=""),"",$C4151*IFERROR(INDEX(Setup!$C$47:$C$56,MATCH($B4151,Setup!$A$47:$A$56,0)),IFERROR(INDEX(Setup!$C$60:$C$89,MATCH($B4151,Setup!$A$60:$A$89,0)),"")))</f>
        <v/>
      </c>
      <c r="E4151" s="42"/>
      <c r="F4151" s="42"/>
    </row>
    <row r="4152" customFormat="false" ht="15" hidden="false" customHeight="true" outlineLevel="0" collapsed="false">
      <c r="A4152" s="42"/>
      <c r="B4152" s="42"/>
      <c r="C4152" s="42"/>
      <c r="D4152" s="28" t="str">
        <f aca="false">IF(OR($B4152="",$C4152=""),"",$C4152*IFERROR(INDEX(Setup!$C$47:$C$56,MATCH($B4152,Setup!$A$47:$A$56,0)),IFERROR(INDEX(Setup!$C$60:$C$89,MATCH($B4152,Setup!$A$60:$A$89,0)),"")))</f>
        <v/>
      </c>
      <c r="E4152" s="42"/>
      <c r="F4152" s="42"/>
    </row>
    <row r="4153" customFormat="false" ht="15" hidden="false" customHeight="true" outlineLevel="0" collapsed="false">
      <c r="A4153" s="42"/>
      <c r="B4153" s="42"/>
      <c r="C4153" s="42"/>
      <c r="D4153" s="28" t="str">
        <f aca="false">IF(OR($B4153="",$C4153=""),"",$C4153*IFERROR(INDEX(Setup!$C$47:$C$56,MATCH($B4153,Setup!$A$47:$A$56,0)),IFERROR(INDEX(Setup!$C$60:$C$89,MATCH($B4153,Setup!$A$60:$A$89,0)),"")))</f>
        <v/>
      </c>
      <c r="E4153" s="42"/>
      <c r="F4153" s="42"/>
    </row>
    <row r="4154" customFormat="false" ht="15" hidden="false" customHeight="true" outlineLevel="0" collapsed="false">
      <c r="A4154" s="42"/>
      <c r="B4154" s="42"/>
      <c r="C4154" s="42"/>
      <c r="D4154" s="28" t="str">
        <f aca="false">IF(OR($B4154="",$C4154=""),"",$C4154*IFERROR(INDEX(Setup!$C$47:$C$56,MATCH($B4154,Setup!$A$47:$A$56,0)),IFERROR(INDEX(Setup!$C$60:$C$89,MATCH($B4154,Setup!$A$60:$A$89,0)),"")))</f>
        <v/>
      </c>
      <c r="E4154" s="42"/>
      <c r="F4154" s="42"/>
    </row>
    <row r="4155" customFormat="false" ht="15" hidden="false" customHeight="true" outlineLevel="0" collapsed="false">
      <c r="A4155" s="42"/>
      <c r="B4155" s="42"/>
      <c r="C4155" s="42"/>
      <c r="D4155" s="28" t="str">
        <f aca="false">IF(OR($B4155="",$C4155=""),"",$C4155*IFERROR(INDEX(Setup!$C$47:$C$56,MATCH($B4155,Setup!$A$47:$A$56,0)),IFERROR(INDEX(Setup!$C$60:$C$89,MATCH($B4155,Setup!$A$60:$A$89,0)),"")))</f>
        <v/>
      </c>
      <c r="E4155" s="42"/>
      <c r="F4155" s="42"/>
    </row>
    <row r="4156" customFormat="false" ht="15" hidden="false" customHeight="true" outlineLevel="0" collapsed="false">
      <c r="A4156" s="42"/>
      <c r="B4156" s="42"/>
      <c r="C4156" s="42"/>
      <c r="D4156" s="28" t="str">
        <f aca="false">IF(OR($B4156="",$C4156=""),"",$C4156*IFERROR(INDEX(Setup!$C$47:$C$56,MATCH($B4156,Setup!$A$47:$A$56,0)),IFERROR(INDEX(Setup!$C$60:$C$89,MATCH($B4156,Setup!$A$60:$A$89,0)),"")))</f>
        <v/>
      </c>
      <c r="E4156" s="42"/>
      <c r="F4156" s="42"/>
    </row>
    <row r="4157" customFormat="false" ht="15" hidden="false" customHeight="true" outlineLevel="0" collapsed="false">
      <c r="A4157" s="42"/>
      <c r="B4157" s="42"/>
      <c r="C4157" s="42"/>
      <c r="D4157" s="28" t="str">
        <f aca="false">IF(OR($B4157="",$C4157=""),"",$C4157*IFERROR(INDEX(Setup!$C$47:$C$56,MATCH($B4157,Setup!$A$47:$A$56,0)),IFERROR(INDEX(Setup!$C$60:$C$89,MATCH($B4157,Setup!$A$60:$A$89,0)),"")))</f>
        <v/>
      </c>
      <c r="E4157" s="42"/>
      <c r="F4157" s="42"/>
    </row>
    <row r="4158" customFormat="false" ht="15" hidden="false" customHeight="true" outlineLevel="0" collapsed="false">
      <c r="A4158" s="42"/>
      <c r="B4158" s="42"/>
      <c r="C4158" s="42"/>
      <c r="D4158" s="28" t="str">
        <f aca="false">IF(OR($B4158="",$C4158=""),"",$C4158*IFERROR(INDEX(Setup!$C$47:$C$56,MATCH($B4158,Setup!$A$47:$A$56,0)),IFERROR(INDEX(Setup!$C$60:$C$89,MATCH($B4158,Setup!$A$60:$A$89,0)),"")))</f>
        <v/>
      </c>
      <c r="E4158" s="42"/>
      <c r="F4158" s="42"/>
    </row>
    <row r="4159" customFormat="false" ht="15" hidden="false" customHeight="true" outlineLevel="0" collapsed="false">
      <c r="A4159" s="42"/>
      <c r="B4159" s="42"/>
      <c r="C4159" s="42"/>
      <c r="D4159" s="28" t="str">
        <f aca="false">IF(OR($B4159="",$C4159=""),"",$C4159*IFERROR(INDEX(Setup!$C$47:$C$56,MATCH($B4159,Setup!$A$47:$A$56,0)),IFERROR(INDEX(Setup!$C$60:$C$89,MATCH($B4159,Setup!$A$60:$A$89,0)),"")))</f>
        <v/>
      </c>
      <c r="E4159" s="42"/>
      <c r="F4159" s="42"/>
    </row>
    <row r="4160" customFormat="false" ht="15" hidden="false" customHeight="true" outlineLevel="0" collapsed="false">
      <c r="A4160" s="42"/>
      <c r="B4160" s="42"/>
      <c r="C4160" s="42"/>
      <c r="D4160" s="28" t="str">
        <f aca="false">IF(OR($B4160="",$C4160=""),"",$C4160*IFERROR(INDEX(Setup!$C$47:$C$56,MATCH($B4160,Setup!$A$47:$A$56,0)),IFERROR(INDEX(Setup!$C$60:$C$89,MATCH($B4160,Setup!$A$60:$A$89,0)),"")))</f>
        <v/>
      </c>
      <c r="E4160" s="42"/>
      <c r="F4160" s="42"/>
    </row>
    <row r="4161" customFormat="false" ht="15" hidden="false" customHeight="true" outlineLevel="0" collapsed="false">
      <c r="A4161" s="42"/>
      <c r="B4161" s="42"/>
      <c r="C4161" s="42"/>
      <c r="D4161" s="28" t="str">
        <f aca="false">IF(OR($B4161="",$C4161=""),"",$C4161*IFERROR(INDEX(Setup!$C$47:$C$56,MATCH($B4161,Setup!$A$47:$A$56,0)),IFERROR(INDEX(Setup!$C$60:$C$89,MATCH($B4161,Setup!$A$60:$A$89,0)),"")))</f>
        <v/>
      </c>
      <c r="E4161" s="42"/>
      <c r="F4161" s="42"/>
    </row>
    <row r="4162" customFormat="false" ht="15" hidden="false" customHeight="true" outlineLevel="0" collapsed="false">
      <c r="A4162" s="42"/>
      <c r="B4162" s="42"/>
      <c r="C4162" s="42"/>
      <c r="D4162" s="28" t="str">
        <f aca="false">IF(OR($B4162="",$C4162=""),"",$C4162*IFERROR(INDEX(Setup!$C$47:$C$56,MATCH($B4162,Setup!$A$47:$A$56,0)),IFERROR(INDEX(Setup!$C$60:$C$89,MATCH($B4162,Setup!$A$60:$A$89,0)),"")))</f>
        <v/>
      </c>
      <c r="E4162" s="42"/>
      <c r="F4162" s="42"/>
    </row>
    <row r="4163" customFormat="false" ht="15" hidden="false" customHeight="true" outlineLevel="0" collapsed="false">
      <c r="A4163" s="42"/>
      <c r="B4163" s="42"/>
      <c r="C4163" s="42"/>
      <c r="D4163" s="28" t="str">
        <f aca="false">IF(OR($B4163="",$C4163=""),"",$C4163*IFERROR(INDEX(Setup!$C$47:$C$56,MATCH($B4163,Setup!$A$47:$A$56,0)),IFERROR(INDEX(Setup!$C$60:$C$89,MATCH($B4163,Setup!$A$60:$A$89,0)),"")))</f>
        <v/>
      </c>
      <c r="E4163" s="42"/>
      <c r="F4163" s="42"/>
    </row>
    <row r="4164" customFormat="false" ht="15" hidden="false" customHeight="true" outlineLevel="0" collapsed="false">
      <c r="A4164" s="42"/>
      <c r="B4164" s="42"/>
      <c r="C4164" s="42"/>
      <c r="D4164" s="28" t="str">
        <f aca="false">IF(OR($B4164="",$C4164=""),"",$C4164*IFERROR(INDEX(Setup!$C$47:$C$56,MATCH($B4164,Setup!$A$47:$A$56,0)),IFERROR(INDEX(Setup!$C$60:$C$89,MATCH($B4164,Setup!$A$60:$A$89,0)),"")))</f>
        <v/>
      </c>
      <c r="E4164" s="42"/>
      <c r="F4164" s="42"/>
    </row>
    <row r="4165" customFormat="false" ht="15" hidden="false" customHeight="true" outlineLevel="0" collapsed="false">
      <c r="A4165" s="42"/>
      <c r="B4165" s="42"/>
      <c r="C4165" s="42"/>
      <c r="D4165" s="28" t="str">
        <f aca="false">IF(OR($B4165="",$C4165=""),"",$C4165*IFERROR(INDEX(Setup!$C$47:$C$56,MATCH($B4165,Setup!$A$47:$A$56,0)),IFERROR(INDEX(Setup!$C$60:$C$89,MATCH($B4165,Setup!$A$60:$A$89,0)),"")))</f>
        <v/>
      </c>
      <c r="E4165" s="42"/>
      <c r="F4165" s="42"/>
    </row>
    <row r="4166" customFormat="false" ht="15" hidden="false" customHeight="true" outlineLevel="0" collapsed="false">
      <c r="A4166" s="42"/>
      <c r="B4166" s="42"/>
      <c r="C4166" s="42"/>
      <c r="D4166" s="28" t="str">
        <f aca="false">IF(OR($B4166="",$C4166=""),"",$C4166*IFERROR(INDEX(Setup!$C$47:$C$56,MATCH($B4166,Setup!$A$47:$A$56,0)),IFERROR(INDEX(Setup!$C$60:$C$89,MATCH($B4166,Setup!$A$60:$A$89,0)),"")))</f>
        <v/>
      </c>
      <c r="E4166" s="42"/>
      <c r="F4166" s="42"/>
    </row>
    <row r="4167" customFormat="false" ht="15" hidden="false" customHeight="true" outlineLevel="0" collapsed="false">
      <c r="A4167" s="42"/>
      <c r="B4167" s="42"/>
      <c r="C4167" s="42"/>
      <c r="D4167" s="28" t="str">
        <f aca="false">IF(OR($B4167="",$C4167=""),"",$C4167*IFERROR(INDEX(Setup!$C$47:$C$56,MATCH($B4167,Setup!$A$47:$A$56,0)),IFERROR(INDEX(Setup!$C$60:$C$89,MATCH($B4167,Setup!$A$60:$A$89,0)),"")))</f>
        <v/>
      </c>
      <c r="E4167" s="42"/>
      <c r="F4167" s="42"/>
    </row>
    <row r="4168" customFormat="false" ht="15" hidden="false" customHeight="true" outlineLevel="0" collapsed="false">
      <c r="A4168" s="42"/>
      <c r="B4168" s="42"/>
      <c r="C4168" s="42"/>
      <c r="D4168" s="28" t="str">
        <f aca="false">IF(OR($B4168="",$C4168=""),"",$C4168*IFERROR(INDEX(Setup!$C$47:$C$56,MATCH($B4168,Setup!$A$47:$A$56,0)),IFERROR(INDEX(Setup!$C$60:$C$89,MATCH($B4168,Setup!$A$60:$A$89,0)),"")))</f>
        <v/>
      </c>
      <c r="E4168" s="42"/>
      <c r="F4168" s="42"/>
    </row>
    <row r="4169" customFormat="false" ht="15" hidden="false" customHeight="true" outlineLevel="0" collapsed="false">
      <c r="A4169" s="42"/>
      <c r="B4169" s="42"/>
      <c r="C4169" s="42"/>
      <c r="D4169" s="28" t="str">
        <f aca="false">IF(OR($B4169="",$C4169=""),"",$C4169*IFERROR(INDEX(Setup!$C$47:$C$56,MATCH($B4169,Setup!$A$47:$A$56,0)),IFERROR(INDEX(Setup!$C$60:$C$89,MATCH($B4169,Setup!$A$60:$A$89,0)),"")))</f>
        <v/>
      </c>
      <c r="E4169" s="42"/>
      <c r="F4169" s="42"/>
    </row>
    <row r="4170" customFormat="false" ht="15" hidden="false" customHeight="true" outlineLevel="0" collapsed="false">
      <c r="A4170" s="42"/>
      <c r="B4170" s="42"/>
      <c r="C4170" s="42"/>
      <c r="D4170" s="28" t="str">
        <f aca="false">IF(OR($B4170="",$C4170=""),"",$C4170*IFERROR(INDEX(Setup!$C$47:$C$56,MATCH($B4170,Setup!$A$47:$A$56,0)),IFERROR(INDEX(Setup!$C$60:$C$89,MATCH($B4170,Setup!$A$60:$A$89,0)),"")))</f>
        <v/>
      </c>
      <c r="E4170" s="42"/>
      <c r="F4170" s="42"/>
    </row>
    <row r="4171" customFormat="false" ht="15" hidden="false" customHeight="true" outlineLevel="0" collapsed="false">
      <c r="A4171" s="42"/>
      <c r="B4171" s="42"/>
      <c r="C4171" s="42"/>
      <c r="D4171" s="28" t="str">
        <f aca="false">IF(OR($B4171="",$C4171=""),"",$C4171*IFERROR(INDEX(Setup!$C$47:$C$56,MATCH($B4171,Setup!$A$47:$A$56,0)),IFERROR(INDEX(Setup!$C$60:$C$89,MATCH($B4171,Setup!$A$60:$A$89,0)),"")))</f>
        <v/>
      </c>
      <c r="E4171" s="42"/>
      <c r="F4171" s="42"/>
    </row>
    <row r="4172" customFormat="false" ht="15" hidden="false" customHeight="true" outlineLevel="0" collapsed="false">
      <c r="A4172" s="42"/>
      <c r="B4172" s="42"/>
      <c r="C4172" s="42"/>
      <c r="D4172" s="28" t="str">
        <f aca="false">IF(OR($B4172="",$C4172=""),"",$C4172*IFERROR(INDEX(Setup!$C$47:$C$56,MATCH($B4172,Setup!$A$47:$A$56,0)),IFERROR(INDEX(Setup!$C$60:$C$89,MATCH($B4172,Setup!$A$60:$A$89,0)),"")))</f>
        <v/>
      </c>
      <c r="E4172" s="42"/>
      <c r="F4172" s="42"/>
    </row>
    <row r="4173" customFormat="false" ht="15" hidden="false" customHeight="true" outlineLevel="0" collapsed="false">
      <c r="A4173" s="42"/>
      <c r="B4173" s="42"/>
      <c r="C4173" s="42"/>
      <c r="D4173" s="28" t="str">
        <f aca="false">IF(OR($B4173="",$C4173=""),"",$C4173*IFERROR(INDEX(Setup!$C$47:$C$56,MATCH($B4173,Setup!$A$47:$A$56,0)),IFERROR(INDEX(Setup!$C$60:$C$89,MATCH($B4173,Setup!$A$60:$A$89,0)),"")))</f>
        <v/>
      </c>
      <c r="E4173" s="42"/>
      <c r="F4173" s="42"/>
    </row>
    <row r="4174" customFormat="false" ht="15" hidden="false" customHeight="true" outlineLevel="0" collapsed="false">
      <c r="A4174" s="42"/>
      <c r="B4174" s="42"/>
      <c r="C4174" s="42"/>
      <c r="D4174" s="28" t="str">
        <f aca="false">IF(OR($B4174="",$C4174=""),"",$C4174*IFERROR(INDEX(Setup!$C$47:$C$56,MATCH($B4174,Setup!$A$47:$A$56,0)),IFERROR(INDEX(Setup!$C$60:$C$89,MATCH($B4174,Setup!$A$60:$A$89,0)),"")))</f>
        <v/>
      </c>
      <c r="E4174" s="42"/>
      <c r="F4174" s="42"/>
    </row>
    <row r="4175" customFormat="false" ht="15" hidden="false" customHeight="true" outlineLevel="0" collapsed="false">
      <c r="A4175" s="42"/>
      <c r="B4175" s="42"/>
      <c r="C4175" s="42"/>
      <c r="D4175" s="28" t="str">
        <f aca="false">IF(OR($B4175="",$C4175=""),"",$C4175*IFERROR(INDEX(Setup!$C$47:$C$56,MATCH($B4175,Setup!$A$47:$A$56,0)),IFERROR(INDEX(Setup!$C$60:$C$89,MATCH($B4175,Setup!$A$60:$A$89,0)),"")))</f>
        <v/>
      </c>
      <c r="E4175" s="42"/>
      <c r="F4175" s="42"/>
    </row>
    <row r="4176" customFormat="false" ht="15" hidden="false" customHeight="true" outlineLevel="0" collapsed="false">
      <c r="A4176" s="42"/>
      <c r="B4176" s="42"/>
      <c r="C4176" s="42"/>
      <c r="D4176" s="28" t="str">
        <f aca="false">IF(OR($B4176="",$C4176=""),"",$C4176*IFERROR(INDEX(Setup!$C$47:$C$56,MATCH($B4176,Setup!$A$47:$A$56,0)),IFERROR(INDEX(Setup!$C$60:$C$89,MATCH($B4176,Setup!$A$60:$A$89,0)),"")))</f>
        <v/>
      </c>
      <c r="E4176" s="42"/>
      <c r="F4176" s="42"/>
    </row>
    <row r="4177" customFormat="false" ht="15" hidden="false" customHeight="true" outlineLevel="0" collapsed="false">
      <c r="A4177" s="42"/>
      <c r="B4177" s="42"/>
      <c r="C4177" s="42"/>
      <c r="D4177" s="28" t="str">
        <f aca="false">IF(OR($B4177="",$C4177=""),"",$C4177*IFERROR(INDEX(Setup!$C$47:$C$56,MATCH($B4177,Setup!$A$47:$A$56,0)),IFERROR(INDEX(Setup!$C$60:$C$89,MATCH($B4177,Setup!$A$60:$A$89,0)),"")))</f>
        <v/>
      </c>
      <c r="E4177" s="42"/>
      <c r="F4177" s="42"/>
    </row>
    <row r="4178" customFormat="false" ht="15" hidden="false" customHeight="true" outlineLevel="0" collapsed="false">
      <c r="A4178" s="42"/>
      <c r="B4178" s="42"/>
      <c r="C4178" s="42"/>
      <c r="D4178" s="28" t="str">
        <f aca="false">IF(OR($B4178="",$C4178=""),"",$C4178*IFERROR(INDEX(Setup!$C$47:$C$56,MATCH($B4178,Setup!$A$47:$A$56,0)),IFERROR(INDEX(Setup!$C$60:$C$89,MATCH($B4178,Setup!$A$60:$A$89,0)),"")))</f>
        <v/>
      </c>
      <c r="E4178" s="42"/>
      <c r="F4178" s="42"/>
    </row>
    <row r="4179" customFormat="false" ht="15" hidden="false" customHeight="true" outlineLevel="0" collapsed="false">
      <c r="A4179" s="42"/>
      <c r="B4179" s="42"/>
      <c r="C4179" s="42"/>
      <c r="D4179" s="28" t="str">
        <f aca="false">IF(OR($B4179="",$C4179=""),"",$C4179*IFERROR(INDEX(Setup!$C$47:$C$56,MATCH($B4179,Setup!$A$47:$A$56,0)),IFERROR(INDEX(Setup!$C$60:$C$89,MATCH($B4179,Setup!$A$60:$A$89,0)),"")))</f>
        <v/>
      </c>
      <c r="E4179" s="42"/>
      <c r="F4179" s="42"/>
    </row>
    <row r="4180" customFormat="false" ht="15" hidden="false" customHeight="true" outlineLevel="0" collapsed="false">
      <c r="A4180" s="42"/>
      <c r="B4180" s="42"/>
      <c r="C4180" s="42"/>
      <c r="D4180" s="28" t="str">
        <f aca="false">IF(OR($B4180="",$C4180=""),"",$C4180*IFERROR(INDEX(Setup!$C$47:$C$56,MATCH($B4180,Setup!$A$47:$A$56,0)),IFERROR(INDEX(Setup!$C$60:$C$89,MATCH($B4180,Setup!$A$60:$A$89,0)),"")))</f>
        <v/>
      </c>
      <c r="E4180" s="42"/>
      <c r="F4180" s="42"/>
    </row>
    <row r="4181" customFormat="false" ht="15" hidden="false" customHeight="true" outlineLevel="0" collapsed="false">
      <c r="A4181" s="42"/>
      <c r="B4181" s="42"/>
      <c r="C4181" s="42"/>
      <c r="D4181" s="28" t="str">
        <f aca="false">IF(OR($B4181="",$C4181=""),"",$C4181*IFERROR(INDEX(Setup!$C$47:$C$56,MATCH($B4181,Setup!$A$47:$A$56,0)),IFERROR(INDEX(Setup!$C$60:$C$89,MATCH($B4181,Setup!$A$60:$A$89,0)),"")))</f>
        <v/>
      </c>
      <c r="E4181" s="42"/>
      <c r="F4181" s="42"/>
    </row>
    <row r="4182" customFormat="false" ht="15" hidden="false" customHeight="true" outlineLevel="0" collapsed="false">
      <c r="A4182" s="42"/>
      <c r="B4182" s="42"/>
      <c r="C4182" s="42"/>
      <c r="D4182" s="28" t="str">
        <f aca="false">IF(OR($B4182="",$C4182=""),"",$C4182*IFERROR(INDEX(Setup!$C$47:$C$56,MATCH($B4182,Setup!$A$47:$A$56,0)),IFERROR(INDEX(Setup!$C$60:$C$89,MATCH($B4182,Setup!$A$60:$A$89,0)),"")))</f>
        <v/>
      </c>
      <c r="E4182" s="42"/>
      <c r="F4182" s="42"/>
    </row>
    <row r="4183" customFormat="false" ht="15" hidden="false" customHeight="true" outlineLevel="0" collapsed="false">
      <c r="A4183" s="42"/>
      <c r="B4183" s="42"/>
      <c r="C4183" s="42"/>
      <c r="D4183" s="28" t="str">
        <f aca="false">IF(OR($B4183="",$C4183=""),"",$C4183*IFERROR(INDEX(Setup!$C$47:$C$56,MATCH($B4183,Setup!$A$47:$A$56,0)),IFERROR(INDEX(Setup!$C$60:$C$89,MATCH($B4183,Setup!$A$60:$A$89,0)),"")))</f>
        <v/>
      </c>
      <c r="E4183" s="42"/>
      <c r="F4183" s="42"/>
    </row>
    <row r="4184" customFormat="false" ht="15" hidden="false" customHeight="true" outlineLevel="0" collapsed="false">
      <c r="A4184" s="42"/>
      <c r="B4184" s="42"/>
      <c r="C4184" s="42"/>
      <c r="D4184" s="28" t="str">
        <f aca="false">IF(OR($B4184="",$C4184=""),"",$C4184*IFERROR(INDEX(Setup!$C$47:$C$56,MATCH($B4184,Setup!$A$47:$A$56,0)),IFERROR(INDEX(Setup!$C$60:$C$89,MATCH($B4184,Setup!$A$60:$A$89,0)),"")))</f>
        <v/>
      </c>
      <c r="E4184" s="42"/>
      <c r="F4184" s="42"/>
    </row>
    <row r="4185" customFormat="false" ht="15" hidden="false" customHeight="true" outlineLevel="0" collapsed="false">
      <c r="A4185" s="42"/>
      <c r="B4185" s="42"/>
      <c r="C4185" s="42"/>
      <c r="D4185" s="28" t="str">
        <f aca="false">IF(OR($B4185="",$C4185=""),"",$C4185*IFERROR(INDEX(Setup!$C$47:$C$56,MATCH($B4185,Setup!$A$47:$A$56,0)),IFERROR(INDEX(Setup!$C$60:$C$89,MATCH($B4185,Setup!$A$60:$A$89,0)),"")))</f>
        <v/>
      </c>
      <c r="E4185" s="42"/>
      <c r="F4185" s="42"/>
    </row>
    <row r="4186" customFormat="false" ht="15" hidden="false" customHeight="true" outlineLevel="0" collapsed="false">
      <c r="A4186" s="42"/>
      <c r="B4186" s="42"/>
      <c r="C4186" s="42"/>
      <c r="D4186" s="28" t="str">
        <f aca="false">IF(OR($B4186="",$C4186=""),"",$C4186*IFERROR(INDEX(Setup!$C$47:$C$56,MATCH($B4186,Setup!$A$47:$A$56,0)),IFERROR(INDEX(Setup!$C$60:$C$89,MATCH($B4186,Setup!$A$60:$A$89,0)),"")))</f>
        <v/>
      </c>
      <c r="E4186" s="42"/>
      <c r="F4186" s="42"/>
    </row>
    <row r="4187" customFormat="false" ht="15" hidden="false" customHeight="true" outlineLevel="0" collapsed="false">
      <c r="A4187" s="42"/>
      <c r="B4187" s="42"/>
      <c r="C4187" s="42"/>
      <c r="D4187" s="28" t="str">
        <f aca="false">IF(OR($B4187="",$C4187=""),"",$C4187*IFERROR(INDEX(Setup!$C$47:$C$56,MATCH($B4187,Setup!$A$47:$A$56,0)),IFERROR(INDEX(Setup!$C$60:$C$89,MATCH($B4187,Setup!$A$60:$A$89,0)),"")))</f>
        <v/>
      </c>
      <c r="E4187" s="42"/>
      <c r="F4187" s="42"/>
    </row>
    <row r="4188" customFormat="false" ht="15" hidden="false" customHeight="true" outlineLevel="0" collapsed="false">
      <c r="A4188" s="42"/>
      <c r="B4188" s="42"/>
      <c r="C4188" s="42"/>
      <c r="D4188" s="28" t="str">
        <f aca="false">IF(OR($B4188="",$C4188=""),"",$C4188*IFERROR(INDEX(Setup!$C$47:$C$56,MATCH($B4188,Setup!$A$47:$A$56,0)),IFERROR(INDEX(Setup!$C$60:$C$89,MATCH($B4188,Setup!$A$60:$A$89,0)),"")))</f>
        <v/>
      </c>
      <c r="E4188" s="42"/>
      <c r="F4188" s="42"/>
    </row>
    <row r="4189" customFormat="false" ht="15" hidden="false" customHeight="true" outlineLevel="0" collapsed="false">
      <c r="A4189" s="42"/>
      <c r="B4189" s="42"/>
      <c r="C4189" s="42"/>
      <c r="D4189" s="28" t="str">
        <f aca="false">IF(OR($B4189="",$C4189=""),"",$C4189*IFERROR(INDEX(Setup!$C$47:$C$56,MATCH($B4189,Setup!$A$47:$A$56,0)),IFERROR(INDEX(Setup!$C$60:$C$89,MATCH($B4189,Setup!$A$60:$A$89,0)),"")))</f>
        <v/>
      </c>
      <c r="E4189" s="42"/>
      <c r="F4189" s="42"/>
    </row>
    <row r="4190" customFormat="false" ht="15" hidden="false" customHeight="true" outlineLevel="0" collapsed="false">
      <c r="A4190" s="42"/>
      <c r="B4190" s="42"/>
      <c r="C4190" s="42"/>
      <c r="D4190" s="28" t="str">
        <f aca="false">IF(OR($B4190="",$C4190=""),"",$C4190*IFERROR(INDEX(Setup!$C$47:$C$56,MATCH($B4190,Setup!$A$47:$A$56,0)),IFERROR(INDEX(Setup!$C$60:$C$89,MATCH($B4190,Setup!$A$60:$A$89,0)),"")))</f>
        <v/>
      </c>
      <c r="E4190" s="42"/>
      <c r="F4190" s="42"/>
    </row>
    <row r="4191" customFormat="false" ht="15" hidden="false" customHeight="true" outlineLevel="0" collapsed="false">
      <c r="A4191" s="42"/>
      <c r="B4191" s="42"/>
      <c r="C4191" s="42"/>
      <c r="D4191" s="28" t="str">
        <f aca="false">IF(OR($B4191="",$C4191=""),"",$C4191*IFERROR(INDEX(Setup!$C$47:$C$56,MATCH($B4191,Setup!$A$47:$A$56,0)),IFERROR(INDEX(Setup!$C$60:$C$89,MATCH($B4191,Setup!$A$60:$A$89,0)),"")))</f>
        <v/>
      </c>
      <c r="E4191" s="42"/>
      <c r="F4191" s="42"/>
    </row>
    <row r="4192" customFormat="false" ht="15" hidden="false" customHeight="true" outlineLevel="0" collapsed="false">
      <c r="A4192" s="42"/>
      <c r="B4192" s="42"/>
      <c r="C4192" s="42"/>
      <c r="D4192" s="28" t="str">
        <f aca="false">IF(OR($B4192="",$C4192=""),"",$C4192*IFERROR(INDEX(Setup!$C$47:$C$56,MATCH($B4192,Setup!$A$47:$A$56,0)),IFERROR(INDEX(Setup!$C$60:$C$89,MATCH($B4192,Setup!$A$60:$A$89,0)),"")))</f>
        <v/>
      </c>
      <c r="E4192" s="42"/>
      <c r="F4192" s="42"/>
    </row>
    <row r="4193" customFormat="false" ht="15" hidden="false" customHeight="true" outlineLevel="0" collapsed="false">
      <c r="A4193" s="42"/>
      <c r="B4193" s="42"/>
      <c r="C4193" s="42"/>
      <c r="D4193" s="28" t="str">
        <f aca="false">IF(OR($B4193="",$C4193=""),"",$C4193*IFERROR(INDEX(Setup!$C$47:$C$56,MATCH($B4193,Setup!$A$47:$A$56,0)),IFERROR(INDEX(Setup!$C$60:$C$89,MATCH($B4193,Setup!$A$60:$A$89,0)),"")))</f>
        <v/>
      </c>
      <c r="E4193" s="42"/>
      <c r="F4193" s="42"/>
    </row>
    <row r="4194" customFormat="false" ht="15" hidden="false" customHeight="true" outlineLevel="0" collapsed="false">
      <c r="A4194" s="42"/>
      <c r="B4194" s="42"/>
      <c r="C4194" s="42"/>
      <c r="D4194" s="28" t="str">
        <f aca="false">IF(OR($B4194="",$C4194=""),"",$C4194*IFERROR(INDEX(Setup!$C$47:$C$56,MATCH($B4194,Setup!$A$47:$A$56,0)),IFERROR(INDEX(Setup!$C$60:$C$89,MATCH($B4194,Setup!$A$60:$A$89,0)),"")))</f>
        <v/>
      </c>
      <c r="E4194" s="42"/>
      <c r="F4194" s="42"/>
    </row>
    <row r="4195" customFormat="false" ht="15" hidden="false" customHeight="true" outlineLevel="0" collapsed="false">
      <c r="A4195" s="42"/>
      <c r="B4195" s="42"/>
      <c r="C4195" s="42"/>
      <c r="D4195" s="28" t="str">
        <f aca="false">IF(OR($B4195="",$C4195=""),"",$C4195*IFERROR(INDEX(Setup!$C$47:$C$56,MATCH($B4195,Setup!$A$47:$A$56,0)),IFERROR(INDEX(Setup!$C$60:$C$89,MATCH($B4195,Setup!$A$60:$A$89,0)),"")))</f>
        <v/>
      </c>
      <c r="E4195" s="42"/>
      <c r="F4195" s="42"/>
    </row>
    <row r="4196" customFormat="false" ht="15" hidden="false" customHeight="true" outlineLevel="0" collapsed="false">
      <c r="A4196" s="42"/>
      <c r="B4196" s="42"/>
      <c r="C4196" s="42"/>
      <c r="D4196" s="28" t="str">
        <f aca="false">IF(OR($B4196="",$C4196=""),"",$C4196*IFERROR(INDEX(Setup!$C$47:$C$56,MATCH($B4196,Setup!$A$47:$A$56,0)),IFERROR(INDEX(Setup!$C$60:$C$89,MATCH($B4196,Setup!$A$60:$A$89,0)),"")))</f>
        <v/>
      </c>
      <c r="E4196" s="42"/>
      <c r="F4196" s="42"/>
    </row>
    <row r="4197" customFormat="false" ht="15" hidden="false" customHeight="true" outlineLevel="0" collapsed="false">
      <c r="A4197" s="42"/>
      <c r="B4197" s="42"/>
      <c r="C4197" s="42"/>
      <c r="D4197" s="28" t="str">
        <f aca="false">IF(OR($B4197="",$C4197=""),"",$C4197*IFERROR(INDEX(Setup!$C$47:$C$56,MATCH($B4197,Setup!$A$47:$A$56,0)),IFERROR(INDEX(Setup!$C$60:$C$89,MATCH($B4197,Setup!$A$60:$A$89,0)),"")))</f>
        <v/>
      </c>
      <c r="E4197" s="42"/>
      <c r="F4197" s="42"/>
    </row>
    <row r="4198" customFormat="false" ht="15" hidden="false" customHeight="true" outlineLevel="0" collapsed="false">
      <c r="A4198" s="42"/>
      <c r="B4198" s="42"/>
      <c r="C4198" s="42"/>
      <c r="D4198" s="28" t="str">
        <f aca="false">IF(OR($B4198="",$C4198=""),"",$C4198*IFERROR(INDEX(Setup!$C$47:$C$56,MATCH($B4198,Setup!$A$47:$A$56,0)),IFERROR(INDEX(Setup!$C$60:$C$89,MATCH($B4198,Setup!$A$60:$A$89,0)),"")))</f>
        <v/>
      </c>
      <c r="E4198" s="42"/>
      <c r="F4198" s="42"/>
    </row>
    <row r="4199" customFormat="false" ht="15" hidden="false" customHeight="true" outlineLevel="0" collapsed="false">
      <c r="A4199" s="42"/>
      <c r="B4199" s="42"/>
      <c r="C4199" s="42"/>
      <c r="D4199" s="28" t="str">
        <f aca="false">IF(OR($B4199="",$C4199=""),"",$C4199*IFERROR(INDEX(Setup!$C$47:$C$56,MATCH($B4199,Setup!$A$47:$A$56,0)),IFERROR(INDEX(Setup!$C$60:$C$89,MATCH($B4199,Setup!$A$60:$A$89,0)),"")))</f>
        <v/>
      </c>
      <c r="E4199" s="42"/>
      <c r="F4199" s="42"/>
    </row>
    <row r="4200" customFormat="false" ht="15" hidden="false" customHeight="true" outlineLevel="0" collapsed="false">
      <c r="A4200" s="42"/>
      <c r="B4200" s="42"/>
      <c r="C4200" s="42"/>
      <c r="D4200" s="28" t="str">
        <f aca="false">IF(OR($B4200="",$C4200=""),"",$C4200*IFERROR(INDEX(Setup!$C$47:$C$56,MATCH($B4200,Setup!$A$47:$A$56,0)),IFERROR(INDEX(Setup!$C$60:$C$89,MATCH($B4200,Setup!$A$60:$A$89,0)),"")))</f>
        <v/>
      </c>
      <c r="E4200" s="42"/>
      <c r="F4200" s="42"/>
    </row>
    <row r="4201" customFormat="false" ht="15" hidden="false" customHeight="true" outlineLevel="0" collapsed="false">
      <c r="A4201" s="42"/>
      <c r="B4201" s="42"/>
      <c r="C4201" s="42"/>
      <c r="D4201" s="28" t="str">
        <f aca="false">IF(OR($B4201="",$C4201=""),"",$C4201*IFERROR(INDEX(Setup!$C$47:$C$56,MATCH($B4201,Setup!$A$47:$A$56,0)),IFERROR(INDEX(Setup!$C$60:$C$89,MATCH($B4201,Setup!$A$60:$A$89,0)),"")))</f>
        <v/>
      </c>
      <c r="E4201" s="42"/>
      <c r="F4201" s="42"/>
    </row>
    <row r="4202" customFormat="false" ht="15" hidden="false" customHeight="true" outlineLevel="0" collapsed="false">
      <c r="A4202" s="42"/>
      <c r="B4202" s="42"/>
      <c r="C4202" s="42"/>
      <c r="D4202" s="28" t="str">
        <f aca="false">IF(OR($B4202="",$C4202=""),"",$C4202*IFERROR(INDEX(Setup!$C$47:$C$56,MATCH($B4202,Setup!$A$47:$A$56,0)),IFERROR(INDEX(Setup!$C$60:$C$89,MATCH($B4202,Setup!$A$60:$A$89,0)),"")))</f>
        <v/>
      </c>
      <c r="E4202" s="42"/>
      <c r="F4202" s="42"/>
    </row>
    <row r="4203" customFormat="false" ht="15" hidden="false" customHeight="true" outlineLevel="0" collapsed="false">
      <c r="A4203" s="42"/>
      <c r="B4203" s="42"/>
      <c r="C4203" s="42"/>
      <c r="D4203" s="28" t="str">
        <f aca="false">IF(OR($B4203="",$C4203=""),"",$C4203*IFERROR(INDEX(Setup!$C$47:$C$56,MATCH($B4203,Setup!$A$47:$A$56,0)),IFERROR(INDEX(Setup!$C$60:$C$89,MATCH($B4203,Setup!$A$60:$A$89,0)),"")))</f>
        <v/>
      </c>
      <c r="E4203" s="42"/>
      <c r="F4203" s="42"/>
    </row>
    <row r="4204" customFormat="false" ht="15" hidden="false" customHeight="true" outlineLevel="0" collapsed="false">
      <c r="A4204" s="42"/>
      <c r="B4204" s="42"/>
      <c r="C4204" s="42"/>
      <c r="D4204" s="28" t="str">
        <f aca="false">IF(OR($B4204="",$C4204=""),"",$C4204*IFERROR(INDEX(Setup!$C$47:$C$56,MATCH($B4204,Setup!$A$47:$A$56,0)),IFERROR(INDEX(Setup!$C$60:$C$89,MATCH($B4204,Setup!$A$60:$A$89,0)),"")))</f>
        <v/>
      </c>
      <c r="E4204" s="42"/>
      <c r="F4204" s="42"/>
    </row>
    <row r="4205" customFormat="false" ht="15" hidden="false" customHeight="true" outlineLevel="0" collapsed="false">
      <c r="A4205" s="42"/>
      <c r="B4205" s="42"/>
      <c r="C4205" s="42"/>
      <c r="D4205" s="28" t="str">
        <f aca="false">IF(OR($B4205="",$C4205=""),"",$C4205*IFERROR(INDEX(Setup!$C$47:$C$56,MATCH($B4205,Setup!$A$47:$A$56,0)),IFERROR(INDEX(Setup!$C$60:$C$89,MATCH($B4205,Setup!$A$60:$A$89,0)),"")))</f>
        <v/>
      </c>
      <c r="E4205" s="42"/>
      <c r="F4205" s="42"/>
    </row>
    <row r="4206" customFormat="false" ht="15" hidden="false" customHeight="true" outlineLevel="0" collapsed="false">
      <c r="A4206" s="42"/>
      <c r="B4206" s="42"/>
      <c r="C4206" s="42"/>
      <c r="D4206" s="28" t="str">
        <f aca="false">IF(OR($B4206="",$C4206=""),"",$C4206*IFERROR(INDEX(Setup!$C$47:$C$56,MATCH($B4206,Setup!$A$47:$A$56,0)),IFERROR(INDEX(Setup!$C$60:$C$89,MATCH($B4206,Setup!$A$60:$A$89,0)),"")))</f>
        <v/>
      </c>
      <c r="E4206" s="42"/>
      <c r="F4206" s="42"/>
    </row>
    <row r="4207" customFormat="false" ht="15" hidden="false" customHeight="true" outlineLevel="0" collapsed="false">
      <c r="A4207" s="42"/>
      <c r="B4207" s="42"/>
      <c r="C4207" s="42"/>
      <c r="D4207" s="28" t="str">
        <f aca="false">IF(OR($B4207="",$C4207=""),"",$C4207*IFERROR(INDEX(Setup!$C$47:$C$56,MATCH($B4207,Setup!$A$47:$A$56,0)),IFERROR(INDEX(Setup!$C$60:$C$89,MATCH($B4207,Setup!$A$60:$A$89,0)),"")))</f>
        <v/>
      </c>
      <c r="E4207" s="42"/>
      <c r="F4207" s="42"/>
    </row>
    <row r="4208" customFormat="false" ht="15" hidden="false" customHeight="true" outlineLevel="0" collapsed="false">
      <c r="A4208" s="42"/>
      <c r="B4208" s="42"/>
      <c r="C4208" s="42"/>
      <c r="D4208" s="28" t="str">
        <f aca="false">IF(OR($B4208="",$C4208=""),"",$C4208*IFERROR(INDEX(Setup!$C$47:$C$56,MATCH($B4208,Setup!$A$47:$A$56,0)),IFERROR(INDEX(Setup!$C$60:$C$89,MATCH($B4208,Setup!$A$60:$A$89,0)),"")))</f>
        <v/>
      </c>
      <c r="E4208" s="42"/>
      <c r="F4208" s="42"/>
    </row>
    <row r="4209" customFormat="false" ht="15" hidden="false" customHeight="true" outlineLevel="0" collapsed="false">
      <c r="A4209" s="42"/>
      <c r="B4209" s="42"/>
      <c r="C4209" s="42"/>
      <c r="D4209" s="28" t="str">
        <f aca="false">IF(OR($B4209="",$C4209=""),"",$C4209*IFERROR(INDEX(Setup!$C$47:$C$56,MATCH($B4209,Setup!$A$47:$A$56,0)),IFERROR(INDEX(Setup!$C$60:$C$89,MATCH($B4209,Setup!$A$60:$A$89,0)),"")))</f>
        <v/>
      </c>
      <c r="E4209" s="42"/>
      <c r="F4209" s="42"/>
    </row>
    <row r="4210" customFormat="false" ht="15" hidden="false" customHeight="true" outlineLevel="0" collapsed="false">
      <c r="A4210" s="42"/>
      <c r="B4210" s="42"/>
      <c r="C4210" s="42"/>
      <c r="D4210" s="28" t="str">
        <f aca="false">IF(OR($B4210="",$C4210=""),"",$C4210*IFERROR(INDEX(Setup!$C$47:$C$56,MATCH($B4210,Setup!$A$47:$A$56,0)),IFERROR(INDEX(Setup!$C$60:$C$89,MATCH($B4210,Setup!$A$60:$A$89,0)),"")))</f>
        <v/>
      </c>
      <c r="E4210" s="42"/>
      <c r="F4210" s="42"/>
    </row>
    <row r="4211" customFormat="false" ht="15" hidden="false" customHeight="true" outlineLevel="0" collapsed="false">
      <c r="A4211" s="42"/>
      <c r="B4211" s="42"/>
      <c r="C4211" s="42"/>
      <c r="D4211" s="28" t="str">
        <f aca="false">IF(OR($B4211="",$C4211=""),"",$C4211*IFERROR(INDEX(Setup!$C$47:$C$56,MATCH($B4211,Setup!$A$47:$A$56,0)),IFERROR(INDEX(Setup!$C$60:$C$89,MATCH($B4211,Setup!$A$60:$A$89,0)),"")))</f>
        <v/>
      </c>
      <c r="E4211" s="42"/>
      <c r="F4211" s="42"/>
    </row>
    <row r="4212" customFormat="false" ht="15" hidden="false" customHeight="true" outlineLevel="0" collapsed="false">
      <c r="A4212" s="42"/>
      <c r="B4212" s="42"/>
      <c r="C4212" s="42"/>
      <c r="D4212" s="28" t="str">
        <f aca="false">IF(OR($B4212="",$C4212=""),"",$C4212*IFERROR(INDEX(Setup!$C$47:$C$56,MATCH($B4212,Setup!$A$47:$A$56,0)),IFERROR(INDEX(Setup!$C$60:$C$89,MATCH($B4212,Setup!$A$60:$A$89,0)),"")))</f>
        <v/>
      </c>
      <c r="E4212" s="42"/>
      <c r="F4212" s="42"/>
    </row>
    <row r="4213" customFormat="false" ht="15" hidden="false" customHeight="true" outlineLevel="0" collapsed="false">
      <c r="A4213" s="42"/>
      <c r="B4213" s="42"/>
      <c r="C4213" s="42"/>
      <c r="D4213" s="28" t="str">
        <f aca="false">IF(OR($B4213="",$C4213=""),"",$C4213*IFERROR(INDEX(Setup!$C$47:$C$56,MATCH($B4213,Setup!$A$47:$A$56,0)),IFERROR(INDEX(Setup!$C$60:$C$89,MATCH($B4213,Setup!$A$60:$A$89,0)),"")))</f>
        <v/>
      </c>
      <c r="E4213" s="42"/>
      <c r="F4213" s="42"/>
    </row>
    <row r="4214" customFormat="false" ht="15" hidden="false" customHeight="true" outlineLevel="0" collapsed="false">
      <c r="A4214" s="42"/>
      <c r="B4214" s="42"/>
      <c r="C4214" s="42"/>
      <c r="D4214" s="28" t="str">
        <f aca="false">IF(OR($B4214="",$C4214=""),"",$C4214*IFERROR(INDEX(Setup!$C$47:$C$56,MATCH($B4214,Setup!$A$47:$A$56,0)),IFERROR(INDEX(Setup!$C$60:$C$89,MATCH($B4214,Setup!$A$60:$A$89,0)),"")))</f>
        <v/>
      </c>
      <c r="E4214" s="42"/>
      <c r="F4214" s="42"/>
    </row>
    <row r="4215" customFormat="false" ht="15" hidden="false" customHeight="true" outlineLevel="0" collapsed="false">
      <c r="A4215" s="42"/>
      <c r="B4215" s="42"/>
      <c r="C4215" s="42"/>
      <c r="D4215" s="28" t="str">
        <f aca="false">IF(OR($B4215="",$C4215=""),"",$C4215*IFERROR(INDEX(Setup!$C$47:$C$56,MATCH($B4215,Setup!$A$47:$A$56,0)),IFERROR(INDEX(Setup!$C$60:$C$89,MATCH($B4215,Setup!$A$60:$A$89,0)),"")))</f>
        <v/>
      </c>
      <c r="E4215" s="42"/>
      <c r="F4215" s="42"/>
    </row>
    <row r="4216" customFormat="false" ht="15" hidden="false" customHeight="true" outlineLevel="0" collapsed="false">
      <c r="A4216" s="42"/>
      <c r="B4216" s="42"/>
      <c r="C4216" s="42"/>
      <c r="D4216" s="28" t="str">
        <f aca="false">IF(OR($B4216="",$C4216=""),"",$C4216*IFERROR(INDEX(Setup!$C$47:$C$56,MATCH($B4216,Setup!$A$47:$A$56,0)),IFERROR(INDEX(Setup!$C$60:$C$89,MATCH($B4216,Setup!$A$60:$A$89,0)),"")))</f>
        <v/>
      </c>
      <c r="E4216" s="42"/>
      <c r="F4216" s="42"/>
    </row>
    <row r="4217" customFormat="false" ht="15" hidden="false" customHeight="true" outlineLevel="0" collapsed="false">
      <c r="A4217" s="42"/>
      <c r="B4217" s="42"/>
      <c r="C4217" s="42"/>
      <c r="D4217" s="28" t="str">
        <f aca="false">IF(OR($B4217="",$C4217=""),"",$C4217*IFERROR(INDEX(Setup!$C$47:$C$56,MATCH($B4217,Setup!$A$47:$A$56,0)),IFERROR(INDEX(Setup!$C$60:$C$89,MATCH($B4217,Setup!$A$60:$A$89,0)),"")))</f>
        <v/>
      </c>
      <c r="E4217" s="42"/>
      <c r="F4217" s="42"/>
    </row>
    <row r="4218" customFormat="false" ht="15" hidden="false" customHeight="true" outlineLevel="0" collapsed="false">
      <c r="A4218" s="42"/>
      <c r="B4218" s="42"/>
      <c r="C4218" s="42"/>
      <c r="D4218" s="28" t="str">
        <f aca="false">IF(OR($B4218="",$C4218=""),"",$C4218*IFERROR(INDEX(Setup!$C$47:$C$56,MATCH($B4218,Setup!$A$47:$A$56,0)),IFERROR(INDEX(Setup!$C$60:$C$89,MATCH($B4218,Setup!$A$60:$A$89,0)),"")))</f>
        <v/>
      </c>
      <c r="E4218" s="42"/>
      <c r="F4218" s="42"/>
    </row>
    <row r="4219" customFormat="false" ht="15" hidden="false" customHeight="true" outlineLevel="0" collapsed="false">
      <c r="A4219" s="42"/>
      <c r="B4219" s="42"/>
      <c r="C4219" s="42"/>
      <c r="D4219" s="28" t="str">
        <f aca="false">IF(OR($B4219="",$C4219=""),"",$C4219*IFERROR(INDEX(Setup!$C$47:$C$56,MATCH($B4219,Setup!$A$47:$A$56,0)),IFERROR(INDEX(Setup!$C$60:$C$89,MATCH($B4219,Setup!$A$60:$A$89,0)),"")))</f>
        <v/>
      </c>
      <c r="E4219" s="42"/>
      <c r="F4219" s="42"/>
    </row>
    <row r="4220" customFormat="false" ht="15" hidden="false" customHeight="true" outlineLevel="0" collapsed="false">
      <c r="A4220" s="42"/>
      <c r="B4220" s="42"/>
      <c r="C4220" s="42"/>
      <c r="D4220" s="28" t="str">
        <f aca="false">IF(OR($B4220="",$C4220=""),"",$C4220*IFERROR(INDEX(Setup!$C$47:$C$56,MATCH($B4220,Setup!$A$47:$A$56,0)),IFERROR(INDEX(Setup!$C$60:$C$89,MATCH($B4220,Setup!$A$60:$A$89,0)),"")))</f>
        <v/>
      </c>
      <c r="E4220" s="42"/>
      <c r="F4220" s="42"/>
    </row>
    <row r="4221" customFormat="false" ht="15" hidden="false" customHeight="true" outlineLevel="0" collapsed="false">
      <c r="A4221" s="42"/>
      <c r="B4221" s="42"/>
      <c r="C4221" s="42"/>
      <c r="D4221" s="28" t="str">
        <f aca="false">IF(OR($B4221="",$C4221=""),"",$C4221*IFERROR(INDEX(Setup!$C$47:$C$56,MATCH($B4221,Setup!$A$47:$A$56,0)),IFERROR(INDEX(Setup!$C$60:$C$89,MATCH($B4221,Setup!$A$60:$A$89,0)),"")))</f>
        <v/>
      </c>
      <c r="E4221" s="42"/>
      <c r="F4221" s="42"/>
    </row>
    <row r="4222" customFormat="false" ht="15" hidden="false" customHeight="true" outlineLevel="0" collapsed="false">
      <c r="A4222" s="42"/>
      <c r="B4222" s="42"/>
      <c r="C4222" s="42"/>
      <c r="D4222" s="28" t="str">
        <f aca="false">IF(OR($B4222="",$C4222=""),"",$C4222*IFERROR(INDEX(Setup!$C$47:$C$56,MATCH($B4222,Setup!$A$47:$A$56,0)),IFERROR(INDEX(Setup!$C$60:$C$89,MATCH($B4222,Setup!$A$60:$A$89,0)),"")))</f>
        <v/>
      </c>
      <c r="E4222" s="42"/>
      <c r="F4222" s="42"/>
    </row>
    <row r="4223" customFormat="false" ht="15" hidden="false" customHeight="true" outlineLevel="0" collapsed="false">
      <c r="A4223" s="42"/>
      <c r="B4223" s="42"/>
      <c r="C4223" s="42"/>
      <c r="D4223" s="28" t="str">
        <f aca="false">IF(OR($B4223="",$C4223=""),"",$C4223*IFERROR(INDEX(Setup!$C$47:$C$56,MATCH($B4223,Setup!$A$47:$A$56,0)),IFERROR(INDEX(Setup!$C$60:$C$89,MATCH($B4223,Setup!$A$60:$A$89,0)),"")))</f>
        <v/>
      </c>
      <c r="E4223" s="42"/>
      <c r="F4223" s="42"/>
    </row>
    <row r="4224" customFormat="false" ht="15" hidden="false" customHeight="true" outlineLevel="0" collapsed="false">
      <c r="A4224" s="42"/>
      <c r="B4224" s="42"/>
      <c r="C4224" s="42"/>
      <c r="D4224" s="28" t="str">
        <f aca="false">IF(OR($B4224="",$C4224=""),"",$C4224*IFERROR(INDEX(Setup!$C$47:$C$56,MATCH($B4224,Setup!$A$47:$A$56,0)),IFERROR(INDEX(Setup!$C$60:$C$89,MATCH($B4224,Setup!$A$60:$A$89,0)),"")))</f>
        <v/>
      </c>
      <c r="E4224" s="42"/>
      <c r="F4224" s="42"/>
    </row>
    <row r="4225" customFormat="false" ht="15" hidden="false" customHeight="true" outlineLevel="0" collapsed="false">
      <c r="A4225" s="42"/>
      <c r="B4225" s="42"/>
      <c r="C4225" s="42"/>
      <c r="D4225" s="28" t="str">
        <f aca="false">IF(OR($B4225="",$C4225=""),"",$C4225*IFERROR(INDEX(Setup!$C$47:$C$56,MATCH($B4225,Setup!$A$47:$A$56,0)),IFERROR(INDEX(Setup!$C$60:$C$89,MATCH($B4225,Setup!$A$60:$A$89,0)),"")))</f>
        <v/>
      </c>
      <c r="E4225" s="42"/>
      <c r="F4225" s="42"/>
    </row>
    <row r="4226" customFormat="false" ht="15" hidden="false" customHeight="true" outlineLevel="0" collapsed="false">
      <c r="A4226" s="42"/>
      <c r="B4226" s="42"/>
      <c r="C4226" s="42"/>
      <c r="D4226" s="28" t="str">
        <f aca="false">IF(OR($B4226="",$C4226=""),"",$C4226*IFERROR(INDEX(Setup!$C$47:$C$56,MATCH($B4226,Setup!$A$47:$A$56,0)),IFERROR(INDEX(Setup!$C$60:$C$89,MATCH($B4226,Setup!$A$60:$A$89,0)),"")))</f>
        <v/>
      </c>
      <c r="E4226" s="42"/>
      <c r="F4226" s="42"/>
    </row>
    <row r="4227" customFormat="false" ht="15" hidden="false" customHeight="true" outlineLevel="0" collapsed="false">
      <c r="A4227" s="42"/>
      <c r="B4227" s="42"/>
      <c r="C4227" s="42"/>
      <c r="D4227" s="28" t="str">
        <f aca="false">IF(OR($B4227="",$C4227=""),"",$C4227*IFERROR(INDEX(Setup!$C$47:$C$56,MATCH($B4227,Setup!$A$47:$A$56,0)),IFERROR(INDEX(Setup!$C$60:$C$89,MATCH($B4227,Setup!$A$60:$A$89,0)),"")))</f>
        <v/>
      </c>
      <c r="E4227" s="42"/>
      <c r="F4227" s="42"/>
    </row>
    <row r="4228" customFormat="false" ht="15" hidden="false" customHeight="true" outlineLevel="0" collapsed="false">
      <c r="A4228" s="42"/>
      <c r="B4228" s="42"/>
      <c r="C4228" s="42"/>
      <c r="D4228" s="28" t="str">
        <f aca="false">IF(OR($B4228="",$C4228=""),"",$C4228*IFERROR(INDEX(Setup!$C$47:$C$56,MATCH($B4228,Setup!$A$47:$A$56,0)),IFERROR(INDEX(Setup!$C$60:$C$89,MATCH($B4228,Setup!$A$60:$A$89,0)),"")))</f>
        <v/>
      </c>
      <c r="E4228" s="42"/>
      <c r="F4228" s="42"/>
    </row>
    <row r="4229" customFormat="false" ht="15" hidden="false" customHeight="true" outlineLevel="0" collapsed="false">
      <c r="A4229" s="42"/>
      <c r="B4229" s="42"/>
      <c r="C4229" s="42"/>
      <c r="D4229" s="28" t="str">
        <f aca="false">IF(OR($B4229="",$C4229=""),"",$C4229*IFERROR(INDEX(Setup!$C$47:$C$56,MATCH($B4229,Setup!$A$47:$A$56,0)),IFERROR(INDEX(Setup!$C$60:$C$89,MATCH($B4229,Setup!$A$60:$A$89,0)),"")))</f>
        <v/>
      </c>
      <c r="E4229" s="42"/>
      <c r="F4229" s="42"/>
    </row>
    <row r="4230" customFormat="false" ht="15" hidden="false" customHeight="true" outlineLevel="0" collapsed="false">
      <c r="A4230" s="42"/>
      <c r="B4230" s="42"/>
      <c r="C4230" s="42"/>
      <c r="D4230" s="28" t="str">
        <f aca="false">IF(OR($B4230="",$C4230=""),"",$C4230*IFERROR(INDEX(Setup!$C$47:$C$56,MATCH($B4230,Setup!$A$47:$A$56,0)),IFERROR(INDEX(Setup!$C$60:$C$89,MATCH($B4230,Setup!$A$60:$A$89,0)),"")))</f>
        <v/>
      </c>
      <c r="E4230" s="42"/>
      <c r="F4230" s="42"/>
    </row>
    <row r="4231" customFormat="false" ht="15" hidden="false" customHeight="true" outlineLevel="0" collapsed="false">
      <c r="A4231" s="42"/>
      <c r="B4231" s="42"/>
      <c r="C4231" s="42"/>
      <c r="D4231" s="28" t="str">
        <f aca="false">IF(OR($B4231="",$C4231=""),"",$C4231*IFERROR(INDEX(Setup!$C$47:$C$56,MATCH($B4231,Setup!$A$47:$A$56,0)),IFERROR(INDEX(Setup!$C$60:$C$89,MATCH($B4231,Setup!$A$60:$A$89,0)),"")))</f>
        <v/>
      </c>
      <c r="E4231" s="42"/>
      <c r="F4231" s="42"/>
    </row>
    <row r="4232" customFormat="false" ht="15" hidden="false" customHeight="true" outlineLevel="0" collapsed="false">
      <c r="A4232" s="42"/>
      <c r="B4232" s="42"/>
      <c r="C4232" s="42"/>
      <c r="D4232" s="28" t="str">
        <f aca="false">IF(OR($B4232="",$C4232=""),"",$C4232*IFERROR(INDEX(Setup!$C$47:$C$56,MATCH($B4232,Setup!$A$47:$A$56,0)),IFERROR(INDEX(Setup!$C$60:$C$89,MATCH($B4232,Setup!$A$60:$A$89,0)),"")))</f>
        <v/>
      </c>
      <c r="E4232" s="42"/>
      <c r="F4232" s="42"/>
    </row>
    <row r="4233" customFormat="false" ht="15" hidden="false" customHeight="true" outlineLevel="0" collapsed="false">
      <c r="A4233" s="42"/>
      <c r="B4233" s="42"/>
      <c r="C4233" s="42"/>
      <c r="D4233" s="28" t="str">
        <f aca="false">IF(OR($B4233="",$C4233=""),"",$C4233*IFERROR(INDEX(Setup!$C$47:$C$56,MATCH($B4233,Setup!$A$47:$A$56,0)),IFERROR(INDEX(Setup!$C$60:$C$89,MATCH($B4233,Setup!$A$60:$A$89,0)),"")))</f>
        <v/>
      </c>
      <c r="E4233" s="42"/>
      <c r="F4233" s="42"/>
    </row>
    <row r="4234" customFormat="false" ht="15" hidden="false" customHeight="true" outlineLevel="0" collapsed="false">
      <c r="A4234" s="42"/>
      <c r="B4234" s="42"/>
      <c r="C4234" s="42"/>
      <c r="D4234" s="28" t="str">
        <f aca="false">IF(OR($B4234="",$C4234=""),"",$C4234*IFERROR(INDEX(Setup!$C$47:$C$56,MATCH($B4234,Setup!$A$47:$A$56,0)),IFERROR(INDEX(Setup!$C$60:$C$89,MATCH($B4234,Setup!$A$60:$A$89,0)),"")))</f>
        <v/>
      </c>
      <c r="E4234" s="42"/>
      <c r="F4234" s="42"/>
    </row>
    <row r="4235" customFormat="false" ht="15" hidden="false" customHeight="true" outlineLevel="0" collapsed="false">
      <c r="A4235" s="42"/>
      <c r="B4235" s="42"/>
      <c r="C4235" s="42"/>
      <c r="D4235" s="28" t="str">
        <f aca="false">IF(OR($B4235="",$C4235=""),"",$C4235*IFERROR(INDEX(Setup!$C$47:$C$56,MATCH($B4235,Setup!$A$47:$A$56,0)),IFERROR(INDEX(Setup!$C$60:$C$89,MATCH($B4235,Setup!$A$60:$A$89,0)),"")))</f>
        <v/>
      </c>
      <c r="E4235" s="42"/>
      <c r="F4235" s="42"/>
    </row>
    <row r="4236" customFormat="false" ht="15" hidden="false" customHeight="true" outlineLevel="0" collapsed="false">
      <c r="A4236" s="42"/>
      <c r="B4236" s="42"/>
      <c r="C4236" s="42"/>
      <c r="D4236" s="28" t="str">
        <f aca="false">IF(OR($B4236="",$C4236=""),"",$C4236*IFERROR(INDEX(Setup!$C$47:$C$56,MATCH($B4236,Setup!$A$47:$A$56,0)),IFERROR(INDEX(Setup!$C$60:$C$89,MATCH($B4236,Setup!$A$60:$A$89,0)),"")))</f>
        <v/>
      </c>
      <c r="E4236" s="42"/>
      <c r="F4236" s="42"/>
    </row>
    <row r="4237" customFormat="false" ht="15" hidden="false" customHeight="true" outlineLevel="0" collapsed="false">
      <c r="A4237" s="42"/>
      <c r="B4237" s="42"/>
      <c r="C4237" s="42"/>
      <c r="D4237" s="28" t="str">
        <f aca="false">IF(OR($B4237="",$C4237=""),"",$C4237*IFERROR(INDEX(Setup!$C$47:$C$56,MATCH($B4237,Setup!$A$47:$A$56,0)),IFERROR(INDEX(Setup!$C$60:$C$89,MATCH($B4237,Setup!$A$60:$A$89,0)),"")))</f>
        <v/>
      </c>
      <c r="E4237" s="42"/>
      <c r="F4237" s="42"/>
    </row>
    <row r="4238" customFormat="false" ht="15" hidden="false" customHeight="true" outlineLevel="0" collapsed="false">
      <c r="A4238" s="42"/>
      <c r="B4238" s="42"/>
      <c r="C4238" s="42"/>
      <c r="D4238" s="28" t="str">
        <f aca="false">IF(OR($B4238="",$C4238=""),"",$C4238*IFERROR(INDEX(Setup!$C$47:$C$56,MATCH($B4238,Setup!$A$47:$A$56,0)),IFERROR(INDEX(Setup!$C$60:$C$89,MATCH($B4238,Setup!$A$60:$A$89,0)),"")))</f>
        <v/>
      </c>
      <c r="E4238" s="42"/>
      <c r="F4238" s="42"/>
    </row>
    <row r="4239" customFormat="false" ht="15" hidden="false" customHeight="true" outlineLevel="0" collapsed="false">
      <c r="A4239" s="42"/>
      <c r="B4239" s="42"/>
      <c r="C4239" s="42"/>
      <c r="D4239" s="28" t="str">
        <f aca="false">IF(OR($B4239="",$C4239=""),"",$C4239*IFERROR(INDEX(Setup!$C$47:$C$56,MATCH($B4239,Setup!$A$47:$A$56,0)),IFERROR(INDEX(Setup!$C$60:$C$89,MATCH($B4239,Setup!$A$60:$A$89,0)),"")))</f>
        <v/>
      </c>
      <c r="E4239" s="42"/>
      <c r="F4239" s="42"/>
    </row>
    <row r="4240" customFormat="false" ht="15" hidden="false" customHeight="true" outlineLevel="0" collapsed="false">
      <c r="A4240" s="42"/>
      <c r="B4240" s="42"/>
      <c r="C4240" s="42"/>
      <c r="D4240" s="28" t="str">
        <f aca="false">IF(OR($B4240="",$C4240=""),"",$C4240*IFERROR(INDEX(Setup!$C$47:$C$56,MATCH($B4240,Setup!$A$47:$A$56,0)),IFERROR(INDEX(Setup!$C$60:$C$89,MATCH($B4240,Setup!$A$60:$A$89,0)),"")))</f>
        <v/>
      </c>
      <c r="E4240" s="42"/>
      <c r="F4240" s="42"/>
    </row>
    <row r="4241" customFormat="false" ht="15" hidden="false" customHeight="true" outlineLevel="0" collapsed="false">
      <c r="A4241" s="42"/>
      <c r="B4241" s="42"/>
      <c r="C4241" s="42"/>
      <c r="D4241" s="28" t="str">
        <f aca="false">IF(OR($B4241="",$C4241=""),"",$C4241*IFERROR(INDEX(Setup!$C$47:$C$56,MATCH($B4241,Setup!$A$47:$A$56,0)),IFERROR(INDEX(Setup!$C$60:$C$89,MATCH($B4241,Setup!$A$60:$A$89,0)),"")))</f>
        <v/>
      </c>
      <c r="E4241" s="42"/>
      <c r="F4241" s="42"/>
    </row>
    <row r="4242" customFormat="false" ht="15" hidden="false" customHeight="true" outlineLevel="0" collapsed="false">
      <c r="A4242" s="42"/>
      <c r="B4242" s="42"/>
      <c r="C4242" s="42"/>
      <c r="D4242" s="28" t="str">
        <f aca="false">IF(OR($B4242="",$C4242=""),"",$C4242*IFERROR(INDEX(Setup!$C$47:$C$56,MATCH($B4242,Setup!$A$47:$A$56,0)),IFERROR(INDEX(Setup!$C$60:$C$89,MATCH($B4242,Setup!$A$60:$A$89,0)),"")))</f>
        <v/>
      </c>
      <c r="E4242" s="42"/>
      <c r="F4242" s="42"/>
    </row>
    <row r="4243" customFormat="false" ht="15" hidden="false" customHeight="true" outlineLevel="0" collapsed="false">
      <c r="A4243" s="42"/>
      <c r="B4243" s="42"/>
      <c r="C4243" s="42"/>
      <c r="D4243" s="28" t="str">
        <f aca="false">IF(OR($B4243="",$C4243=""),"",$C4243*IFERROR(INDEX(Setup!$C$47:$C$56,MATCH($B4243,Setup!$A$47:$A$56,0)),IFERROR(INDEX(Setup!$C$60:$C$89,MATCH($B4243,Setup!$A$60:$A$89,0)),"")))</f>
        <v/>
      </c>
      <c r="E4243" s="42"/>
      <c r="F4243" s="42"/>
    </row>
    <row r="4244" customFormat="false" ht="15" hidden="false" customHeight="true" outlineLevel="0" collapsed="false">
      <c r="A4244" s="42"/>
      <c r="B4244" s="42"/>
      <c r="C4244" s="42"/>
      <c r="D4244" s="28" t="str">
        <f aca="false">IF(OR($B4244="",$C4244=""),"",$C4244*IFERROR(INDEX(Setup!$C$47:$C$56,MATCH($B4244,Setup!$A$47:$A$56,0)),IFERROR(INDEX(Setup!$C$60:$C$89,MATCH($B4244,Setup!$A$60:$A$89,0)),"")))</f>
        <v/>
      </c>
      <c r="E4244" s="42"/>
      <c r="F4244" s="42"/>
    </row>
    <row r="4245" customFormat="false" ht="15" hidden="false" customHeight="true" outlineLevel="0" collapsed="false">
      <c r="A4245" s="42"/>
      <c r="B4245" s="42"/>
      <c r="C4245" s="42"/>
      <c r="D4245" s="28" t="str">
        <f aca="false">IF(OR($B4245="",$C4245=""),"",$C4245*IFERROR(INDEX(Setup!$C$47:$C$56,MATCH($B4245,Setup!$A$47:$A$56,0)),IFERROR(INDEX(Setup!$C$60:$C$89,MATCH($B4245,Setup!$A$60:$A$89,0)),"")))</f>
        <v/>
      </c>
      <c r="E4245" s="42"/>
      <c r="F4245" s="42"/>
    </row>
    <row r="4246" customFormat="false" ht="15" hidden="false" customHeight="true" outlineLevel="0" collapsed="false">
      <c r="A4246" s="42"/>
      <c r="B4246" s="42"/>
      <c r="C4246" s="42"/>
      <c r="D4246" s="28" t="str">
        <f aca="false">IF(OR($B4246="",$C4246=""),"",$C4246*IFERROR(INDEX(Setup!$C$47:$C$56,MATCH($B4246,Setup!$A$47:$A$56,0)),IFERROR(INDEX(Setup!$C$60:$C$89,MATCH($B4246,Setup!$A$60:$A$89,0)),"")))</f>
        <v/>
      </c>
      <c r="E4246" s="42"/>
      <c r="F4246" s="42"/>
    </row>
    <row r="4247" customFormat="false" ht="15" hidden="false" customHeight="true" outlineLevel="0" collapsed="false">
      <c r="A4247" s="42"/>
      <c r="B4247" s="42"/>
      <c r="C4247" s="42"/>
      <c r="D4247" s="28" t="str">
        <f aca="false">IF(OR($B4247="",$C4247=""),"",$C4247*IFERROR(INDEX(Setup!$C$47:$C$56,MATCH($B4247,Setup!$A$47:$A$56,0)),IFERROR(INDEX(Setup!$C$60:$C$89,MATCH($B4247,Setup!$A$60:$A$89,0)),"")))</f>
        <v/>
      </c>
      <c r="E4247" s="42"/>
      <c r="F4247" s="42"/>
    </row>
    <row r="4248" customFormat="false" ht="15" hidden="false" customHeight="true" outlineLevel="0" collapsed="false">
      <c r="A4248" s="42"/>
      <c r="B4248" s="42"/>
      <c r="C4248" s="42"/>
      <c r="D4248" s="28" t="str">
        <f aca="false">IF(OR($B4248="",$C4248=""),"",$C4248*IFERROR(INDEX(Setup!$C$47:$C$56,MATCH($B4248,Setup!$A$47:$A$56,0)),IFERROR(INDEX(Setup!$C$60:$C$89,MATCH($B4248,Setup!$A$60:$A$89,0)),"")))</f>
        <v/>
      </c>
      <c r="E4248" s="42"/>
      <c r="F4248" s="42"/>
    </row>
    <row r="4249" customFormat="false" ht="15" hidden="false" customHeight="true" outlineLevel="0" collapsed="false">
      <c r="A4249" s="42"/>
      <c r="B4249" s="42"/>
      <c r="C4249" s="42"/>
      <c r="D4249" s="28" t="str">
        <f aca="false">IF(OR($B4249="",$C4249=""),"",$C4249*IFERROR(INDEX(Setup!$C$47:$C$56,MATCH($B4249,Setup!$A$47:$A$56,0)),IFERROR(INDEX(Setup!$C$60:$C$89,MATCH($B4249,Setup!$A$60:$A$89,0)),"")))</f>
        <v/>
      </c>
      <c r="E4249" s="42"/>
      <c r="F4249" s="42"/>
    </row>
    <row r="4250" customFormat="false" ht="15" hidden="false" customHeight="true" outlineLevel="0" collapsed="false">
      <c r="A4250" s="42"/>
      <c r="B4250" s="42"/>
      <c r="C4250" s="42"/>
      <c r="D4250" s="28" t="str">
        <f aca="false">IF(OR($B4250="",$C4250=""),"",$C4250*IFERROR(INDEX(Setup!$C$47:$C$56,MATCH($B4250,Setup!$A$47:$A$56,0)),IFERROR(INDEX(Setup!$C$60:$C$89,MATCH($B4250,Setup!$A$60:$A$89,0)),"")))</f>
        <v/>
      </c>
      <c r="E4250" s="42"/>
      <c r="F4250" s="42"/>
    </row>
    <row r="4251" customFormat="false" ht="15" hidden="false" customHeight="true" outlineLevel="0" collapsed="false">
      <c r="A4251" s="42"/>
      <c r="B4251" s="42"/>
      <c r="C4251" s="42"/>
      <c r="D4251" s="28" t="str">
        <f aca="false">IF(OR($B4251="",$C4251=""),"",$C4251*IFERROR(INDEX(Setup!$C$47:$C$56,MATCH($B4251,Setup!$A$47:$A$56,0)),IFERROR(INDEX(Setup!$C$60:$C$89,MATCH($B4251,Setup!$A$60:$A$89,0)),"")))</f>
        <v/>
      </c>
      <c r="E4251" s="42"/>
      <c r="F4251" s="42"/>
    </row>
    <row r="4252" customFormat="false" ht="15" hidden="false" customHeight="true" outlineLevel="0" collapsed="false">
      <c r="A4252" s="42"/>
      <c r="B4252" s="42"/>
      <c r="C4252" s="42"/>
      <c r="D4252" s="28" t="str">
        <f aca="false">IF(OR($B4252="",$C4252=""),"",$C4252*IFERROR(INDEX(Setup!$C$47:$C$56,MATCH($B4252,Setup!$A$47:$A$56,0)),IFERROR(INDEX(Setup!$C$60:$C$89,MATCH($B4252,Setup!$A$60:$A$89,0)),"")))</f>
        <v/>
      </c>
      <c r="E4252" s="42"/>
      <c r="F4252" s="42"/>
    </row>
    <row r="4253" customFormat="false" ht="15" hidden="false" customHeight="true" outlineLevel="0" collapsed="false">
      <c r="A4253" s="42"/>
      <c r="B4253" s="42"/>
      <c r="C4253" s="42"/>
      <c r="D4253" s="28" t="str">
        <f aca="false">IF(OR($B4253="",$C4253=""),"",$C4253*IFERROR(INDEX(Setup!$C$47:$C$56,MATCH($B4253,Setup!$A$47:$A$56,0)),IFERROR(INDEX(Setup!$C$60:$C$89,MATCH($B4253,Setup!$A$60:$A$89,0)),"")))</f>
        <v/>
      </c>
      <c r="E4253" s="42"/>
      <c r="F4253" s="42"/>
    </row>
    <row r="4254" customFormat="false" ht="15" hidden="false" customHeight="true" outlineLevel="0" collapsed="false">
      <c r="A4254" s="42"/>
      <c r="B4254" s="42"/>
      <c r="C4254" s="42"/>
      <c r="D4254" s="28" t="str">
        <f aca="false">IF(OR($B4254="",$C4254=""),"",$C4254*IFERROR(INDEX(Setup!$C$47:$C$56,MATCH($B4254,Setup!$A$47:$A$56,0)),IFERROR(INDEX(Setup!$C$60:$C$89,MATCH($B4254,Setup!$A$60:$A$89,0)),"")))</f>
        <v/>
      </c>
      <c r="E4254" s="42"/>
      <c r="F4254" s="42"/>
    </row>
    <row r="4255" customFormat="false" ht="15" hidden="false" customHeight="true" outlineLevel="0" collapsed="false">
      <c r="A4255" s="42"/>
      <c r="B4255" s="42"/>
      <c r="C4255" s="42"/>
      <c r="D4255" s="28" t="str">
        <f aca="false">IF(OR($B4255="",$C4255=""),"",$C4255*IFERROR(INDEX(Setup!$C$47:$C$56,MATCH($B4255,Setup!$A$47:$A$56,0)),IFERROR(INDEX(Setup!$C$60:$C$89,MATCH($B4255,Setup!$A$60:$A$89,0)),"")))</f>
        <v/>
      </c>
      <c r="E4255" s="42"/>
      <c r="F4255" s="42"/>
    </row>
    <row r="4256" customFormat="false" ht="15" hidden="false" customHeight="true" outlineLevel="0" collapsed="false">
      <c r="A4256" s="42"/>
      <c r="B4256" s="42"/>
      <c r="C4256" s="42"/>
      <c r="D4256" s="28" t="str">
        <f aca="false">IF(OR($B4256="",$C4256=""),"",$C4256*IFERROR(INDEX(Setup!$C$47:$C$56,MATCH($B4256,Setup!$A$47:$A$56,0)),IFERROR(INDEX(Setup!$C$60:$C$89,MATCH($B4256,Setup!$A$60:$A$89,0)),"")))</f>
        <v/>
      </c>
      <c r="E4256" s="42"/>
      <c r="F4256" s="42"/>
    </row>
    <row r="4257" customFormat="false" ht="15" hidden="false" customHeight="true" outlineLevel="0" collapsed="false">
      <c r="A4257" s="42"/>
      <c r="B4257" s="42"/>
      <c r="C4257" s="42"/>
      <c r="D4257" s="28" t="str">
        <f aca="false">IF(OR($B4257="",$C4257=""),"",$C4257*IFERROR(INDEX(Setup!$C$47:$C$56,MATCH($B4257,Setup!$A$47:$A$56,0)),IFERROR(INDEX(Setup!$C$60:$C$89,MATCH($B4257,Setup!$A$60:$A$89,0)),"")))</f>
        <v/>
      </c>
      <c r="E4257" s="42"/>
      <c r="F4257" s="42"/>
    </row>
    <row r="4258" customFormat="false" ht="15" hidden="false" customHeight="true" outlineLevel="0" collapsed="false">
      <c r="A4258" s="42"/>
      <c r="B4258" s="42"/>
      <c r="C4258" s="42"/>
      <c r="D4258" s="28" t="str">
        <f aca="false">IF(OR($B4258="",$C4258=""),"",$C4258*IFERROR(INDEX(Setup!$C$47:$C$56,MATCH($B4258,Setup!$A$47:$A$56,0)),IFERROR(INDEX(Setup!$C$60:$C$89,MATCH($B4258,Setup!$A$60:$A$89,0)),"")))</f>
        <v/>
      </c>
      <c r="E4258" s="42"/>
      <c r="F4258" s="42"/>
    </row>
    <row r="4259" customFormat="false" ht="15" hidden="false" customHeight="true" outlineLevel="0" collapsed="false">
      <c r="A4259" s="42"/>
      <c r="B4259" s="42"/>
      <c r="C4259" s="42"/>
      <c r="D4259" s="28" t="str">
        <f aca="false">IF(OR($B4259="",$C4259=""),"",$C4259*IFERROR(INDEX(Setup!$C$47:$C$56,MATCH($B4259,Setup!$A$47:$A$56,0)),IFERROR(INDEX(Setup!$C$60:$C$89,MATCH($B4259,Setup!$A$60:$A$89,0)),"")))</f>
        <v/>
      </c>
      <c r="E4259" s="42"/>
      <c r="F4259" s="42"/>
    </row>
    <row r="4260" customFormat="false" ht="15" hidden="false" customHeight="true" outlineLevel="0" collapsed="false">
      <c r="A4260" s="42"/>
      <c r="B4260" s="42"/>
      <c r="C4260" s="42"/>
      <c r="D4260" s="28" t="str">
        <f aca="false">IF(OR($B4260="",$C4260=""),"",$C4260*IFERROR(INDEX(Setup!$C$47:$C$56,MATCH($B4260,Setup!$A$47:$A$56,0)),IFERROR(INDEX(Setup!$C$60:$C$89,MATCH($B4260,Setup!$A$60:$A$89,0)),"")))</f>
        <v/>
      </c>
      <c r="E4260" s="42"/>
      <c r="F4260" s="42"/>
    </row>
    <row r="4261" customFormat="false" ht="15" hidden="false" customHeight="true" outlineLevel="0" collapsed="false">
      <c r="A4261" s="42"/>
      <c r="B4261" s="42"/>
      <c r="C4261" s="42"/>
      <c r="D4261" s="28" t="str">
        <f aca="false">IF(OR($B4261="",$C4261=""),"",$C4261*IFERROR(INDEX(Setup!$C$47:$C$56,MATCH($B4261,Setup!$A$47:$A$56,0)),IFERROR(INDEX(Setup!$C$60:$C$89,MATCH($B4261,Setup!$A$60:$A$89,0)),"")))</f>
        <v/>
      </c>
      <c r="E4261" s="42"/>
      <c r="F4261" s="42"/>
    </row>
    <row r="4262" customFormat="false" ht="15" hidden="false" customHeight="true" outlineLevel="0" collapsed="false">
      <c r="A4262" s="42"/>
      <c r="B4262" s="42"/>
      <c r="C4262" s="42"/>
      <c r="D4262" s="28" t="str">
        <f aca="false">IF(OR($B4262="",$C4262=""),"",$C4262*IFERROR(INDEX(Setup!$C$47:$C$56,MATCH($B4262,Setup!$A$47:$A$56,0)),IFERROR(INDEX(Setup!$C$60:$C$89,MATCH($B4262,Setup!$A$60:$A$89,0)),"")))</f>
        <v/>
      </c>
      <c r="E4262" s="42"/>
      <c r="F4262" s="42"/>
    </row>
    <row r="4263" customFormat="false" ht="15" hidden="false" customHeight="true" outlineLevel="0" collapsed="false">
      <c r="A4263" s="42"/>
      <c r="B4263" s="42"/>
      <c r="C4263" s="42"/>
      <c r="D4263" s="28" t="str">
        <f aca="false">IF(OR($B4263="",$C4263=""),"",$C4263*IFERROR(INDEX(Setup!$C$47:$C$56,MATCH($B4263,Setup!$A$47:$A$56,0)),IFERROR(INDEX(Setup!$C$60:$C$89,MATCH($B4263,Setup!$A$60:$A$89,0)),"")))</f>
        <v/>
      </c>
      <c r="E4263" s="42"/>
      <c r="F4263" s="42"/>
    </row>
    <row r="4264" customFormat="false" ht="15" hidden="false" customHeight="true" outlineLevel="0" collapsed="false">
      <c r="A4264" s="42"/>
      <c r="B4264" s="42"/>
      <c r="C4264" s="42"/>
      <c r="D4264" s="28" t="str">
        <f aca="false">IF(OR($B4264="",$C4264=""),"",$C4264*IFERROR(INDEX(Setup!$C$47:$C$56,MATCH($B4264,Setup!$A$47:$A$56,0)),IFERROR(INDEX(Setup!$C$60:$C$89,MATCH($B4264,Setup!$A$60:$A$89,0)),"")))</f>
        <v/>
      </c>
      <c r="E4264" s="42"/>
      <c r="F4264" s="42"/>
    </row>
    <row r="4265" customFormat="false" ht="15" hidden="false" customHeight="true" outlineLevel="0" collapsed="false">
      <c r="A4265" s="42"/>
      <c r="B4265" s="42"/>
      <c r="C4265" s="42"/>
      <c r="D4265" s="28" t="str">
        <f aca="false">IF(OR($B4265="",$C4265=""),"",$C4265*IFERROR(INDEX(Setup!$C$47:$C$56,MATCH($B4265,Setup!$A$47:$A$56,0)),IFERROR(INDEX(Setup!$C$60:$C$89,MATCH($B4265,Setup!$A$60:$A$89,0)),"")))</f>
        <v/>
      </c>
      <c r="E4265" s="42"/>
      <c r="F4265" s="42"/>
    </row>
    <row r="4266" customFormat="false" ht="15" hidden="false" customHeight="true" outlineLevel="0" collapsed="false">
      <c r="A4266" s="42"/>
      <c r="B4266" s="42"/>
      <c r="C4266" s="42"/>
      <c r="D4266" s="28" t="str">
        <f aca="false">IF(OR($B4266="",$C4266=""),"",$C4266*IFERROR(INDEX(Setup!$C$47:$C$56,MATCH($B4266,Setup!$A$47:$A$56,0)),IFERROR(INDEX(Setup!$C$60:$C$89,MATCH($B4266,Setup!$A$60:$A$89,0)),"")))</f>
        <v/>
      </c>
      <c r="E4266" s="42"/>
      <c r="F4266" s="42"/>
    </row>
    <row r="4267" customFormat="false" ht="15" hidden="false" customHeight="true" outlineLevel="0" collapsed="false">
      <c r="A4267" s="42"/>
      <c r="B4267" s="42"/>
      <c r="C4267" s="42"/>
      <c r="D4267" s="28" t="str">
        <f aca="false">IF(OR($B4267="",$C4267=""),"",$C4267*IFERROR(INDEX(Setup!$C$47:$C$56,MATCH($B4267,Setup!$A$47:$A$56,0)),IFERROR(INDEX(Setup!$C$60:$C$89,MATCH($B4267,Setup!$A$60:$A$89,0)),"")))</f>
        <v/>
      </c>
      <c r="E4267" s="42"/>
      <c r="F4267" s="42"/>
    </row>
    <row r="4268" customFormat="false" ht="15" hidden="false" customHeight="true" outlineLevel="0" collapsed="false">
      <c r="A4268" s="42"/>
      <c r="B4268" s="42"/>
      <c r="C4268" s="42"/>
      <c r="D4268" s="28" t="str">
        <f aca="false">IF(OR($B4268="",$C4268=""),"",$C4268*IFERROR(INDEX(Setup!$C$47:$C$56,MATCH($B4268,Setup!$A$47:$A$56,0)),IFERROR(INDEX(Setup!$C$60:$C$89,MATCH($B4268,Setup!$A$60:$A$89,0)),"")))</f>
        <v/>
      </c>
      <c r="E4268" s="42"/>
      <c r="F4268" s="42"/>
    </row>
    <row r="4269" customFormat="false" ht="15" hidden="false" customHeight="true" outlineLevel="0" collapsed="false">
      <c r="A4269" s="42"/>
      <c r="B4269" s="42"/>
      <c r="C4269" s="42"/>
      <c r="D4269" s="28" t="str">
        <f aca="false">IF(OR($B4269="",$C4269=""),"",$C4269*IFERROR(INDEX(Setup!$C$47:$C$56,MATCH($B4269,Setup!$A$47:$A$56,0)),IFERROR(INDEX(Setup!$C$60:$C$89,MATCH($B4269,Setup!$A$60:$A$89,0)),"")))</f>
        <v/>
      </c>
      <c r="E4269" s="42"/>
      <c r="F4269" s="42"/>
    </row>
    <row r="4270" customFormat="false" ht="15" hidden="false" customHeight="true" outlineLevel="0" collapsed="false">
      <c r="A4270" s="42"/>
      <c r="B4270" s="42"/>
      <c r="C4270" s="42"/>
      <c r="D4270" s="28" t="str">
        <f aca="false">IF(OR($B4270="",$C4270=""),"",$C4270*IFERROR(INDEX(Setup!$C$47:$C$56,MATCH($B4270,Setup!$A$47:$A$56,0)),IFERROR(INDEX(Setup!$C$60:$C$89,MATCH($B4270,Setup!$A$60:$A$89,0)),"")))</f>
        <v/>
      </c>
      <c r="E4270" s="42"/>
      <c r="F4270" s="42"/>
    </row>
    <row r="4271" customFormat="false" ht="15" hidden="false" customHeight="true" outlineLevel="0" collapsed="false">
      <c r="A4271" s="42"/>
      <c r="B4271" s="42"/>
      <c r="C4271" s="42"/>
      <c r="D4271" s="28" t="str">
        <f aca="false">IF(OR($B4271="",$C4271=""),"",$C4271*IFERROR(INDEX(Setup!$C$47:$C$56,MATCH($B4271,Setup!$A$47:$A$56,0)),IFERROR(INDEX(Setup!$C$60:$C$89,MATCH($B4271,Setup!$A$60:$A$89,0)),"")))</f>
        <v/>
      </c>
      <c r="E4271" s="42"/>
      <c r="F4271" s="42"/>
    </row>
    <row r="4272" customFormat="false" ht="15" hidden="false" customHeight="true" outlineLevel="0" collapsed="false">
      <c r="A4272" s="42"/>
      <c r="B4272" s="42"/>
      <c r="C4272" s="42"/>
      <c r="D4272" s="28" t="str">
        <f aca="false">IF(OR($B4272="",$C4272=""),"",$C4272*IFERROR(INDEX(Setup!$C$47:$C$56,MATCH($B4272,Setup!$A$47:$A$56,0)),IFERROR(INDEX(Setup!$C$60:$C$89,MATCH($B4272,Setup!$A$60:$A$89,0)),"")))</f>
        <v/>
      </c>
      <c r="E4272" s="42"/>
      <c r="F4272" s="42"/>
    </row>
    <row r="4273" customFormat="false" ht="15" hidden="false" customHeight="true" outlineLevel="0" collapsed="false">
      <c r="A4273" s="42"/>
      <c r="B4273" s="42"/>
      <c r="C4273" s="42"/>
      <c r="D4273" s="28" t="str">
        <f aca="false">IF(OR($B4273="",$C4273=""),"",$C4273*IFERROR(INDEX(Setup!$C$47:$C$56,MATCH($B4273,Setup!$A$47:$A$56,0)),IFERROR(INDEX(Setup!$C$60:$C$89,MATCH($B4273,Setup!$A$60:$A$89,0)),"")))</f>
        <v/>
      </c>
      <c r="E4273" s="42"/>
      <c r="F4273" s="42"/>
    </row>
    <row r="4274" customFormat="false" ht="15" hidden="false" customHeight="true" outlineLevel="0" collapsed="false">
      <c r="A4274" s="42"/>
      <c r="B4274" s="42"/>
      <c r="C4274" s="42"/>
      <c r="D4274" s="28" t="str">
        <f aca="false">IF(OR($B4274="",$C4274=""),"",$C4274*IFERROR(INDEX(Setup!$C$47:$C$56,MATCH($B4274,Setup!$A$47:$A$56,0)),IFERROR(INDEX(Setup!$C$60:$C$89,MATCH($B4274,Setup!$A$60:$A$89,0)),"")))</f>
        <v/>
      </c>
      <c r="E4274" s="42"/>
      <c r="F4274" s="42"/>
    </row>
    <row r="4275" customFormat="false" ht="15" hidden="false" customHeight="true" outlineLevel="0" collapsed="false">
      <c r="A4275" s="42"/>
      <c r="B4275" s="42"/>
      <c r="C4275" s="42"/>
      <c r="D4275" s="28" t="str">
        <f aca="false">IF(OR($B4275="",$C4275=""),"",$C4275*IFERROR(INDEX(Setup!$C$47:$C$56,MATCH($B4275,Setup!$A$47:$A$56,0)),IFERROR(INDEX(Setup!$C$60:$C$89,MATCH($B4275,Setup!$A$60:$A$89,0)),"")))</f>
        <v/>
      </c>
      <c r="E4275" s="42"/>
      <c r="F4275" s="42"/>
    </row>
    <row r="4276" customFormat="false" ht="15" hidden="false" customHeight="true" outlineLevel="0" collapsed="false">
      <c r="A4276" s="42"/>
      <c r="B4276" s="42"/>
      <c r="C4276" s="42"/>
      <c r="D4276" s="28" t="str">
        <f aca="false">IF(OR($B4276="",$C4276=""),"",$C4276*IFERROR(INDEX(Setup!$C$47:$C$56,MATCH($B4276,Setup!$A$47:$A$56,0)),IFERROR(INDEX(Setup!$C$60:$C$89,MATCH($B4276,Setup!$A$60:$A$89,0)),"")))</f>
        <v/>
      </c>
      <c r="E4276" s="42"/>
      <c r="F4276" s="42"/>
    </row>
    <row r="4277" customFormat="false" ht="15" hidden="false" customHeight="true" outlineLevel="0" collapsed="false">
      <c r="A4277" s="42"/>
      <c r="B4277" s="42"/>
      <c r="C4277" s="42"/>
      <c r="D4277" s="28" t="str">
        <f aca="false">IF(OR($B4277="",$C4277=""),"",$C4277*IFERROR(INDEX(Setup!$C$47:$C$56,MATCH($B4277,Setup!$A$47:$A$56,0)),IFERROR(INDEX(Setup!$C$60:$C$89,MATCH($B4277,Setup!$A$60:$A$89,0)),"")))</f>
        <v/>
      </c>
      <c r="E4277" s="42"/>
      <c r="F4277" s="42"/>
    </row>
    <row r="4278" customFormat="false" ht="15" hidden="false" customHeight="true" outlineLevel="0" collapsed="false">
      <c r="A4278" s="42"/>
      <c r="B4278" s="42"/>
      <c r="C4278" s="42"/>
      <c r="D4278" s="28" t="str">
        <f aca="false">IF(OR($B4278="",$C4278=""),"",$C4278*IFERROR(INDEX(Setup!$C$47:$C$56,MATCH($B4278,Setup!$A$47:$A$56,0)),IFERROR(INDEX(Setup!$C$60:$C$89,MATCH($B4278,Setup!$A$60:$A$89,0)),"")))</f>
        <v/>
      </c>
      <c r="E4278" s="42"/>
      <c r="F4278" s="42"/>
    </row>
    <row r="4279" customFormat="false" ht="15" hidden="false" customHeight="true" outlineLevel="0" collapsed="false">
      <c r="A4279" s="42"/>
      <c r="B4279" s="42"/>
      <c r="C4279" s="42"/>
      <c r="D4279" s="28" t="str">
        <f aca="false">IF(OR($B4279="",$C4279=""),"",$C4279*IFERROR(INDEX(Setup!$C$47:$C$56,MATCH($B4279,Setup!$A$47:$A$56,0)),IFERROR(INDEX(Setup!$C$60:$C$89,MATCH($B4279,Setup!$A$60:$A$89,0)),"")))</f>
        <v/>
      </c>
      <c r="E4279" s="42"/>
      <c r="F4279" s="42"/>
    </row>
    <row r="4280" customFormat="false" ht="15" hidden="false" customHeight="true" outlineLevel="0" collapsed="false">
      <c r="A4280" s="42"/>
      <c r="B4280" s="42"/>
      <c r="C4280" s="42"/>
      <c r="D4280" s="28" t="str">
        <f aca="false">IF(OR($B4280="",$C4280=""),"",$C4280*IFERROR(INDEX(Setup!$C$47:$C$56,MATCH($B4280,Setup!$A$47:$A$56,0)),IFERROR(INDEX(Setup!$C$60:$C$89,MATCH($B4280,Setup!$A$60:$A$89,0)),"")))</f>
        <v/>
      </c>
      <c r="E4280" s="42"/>
      <c r="F4280" s="42"/>
    </row>
    <row r="4281" customFormat="false" ht="15" hidden="false" customHeight="true" outlineLevel="0" collapsed="false">
      <c r="A4281" s="42"/>
      <c r="B4281" s="42"/>
      <c r="C4281" s="42"/>
      <c r="D4281" s="28" t="str">
        <f aca="false">IF(OR($B4281="",$C4281=""),"",$C4281*IFERROR(INDEX(Setup!$C$47:$C$56,MATCH($B4281,Setup!$A$47:$A$56,0)),IFERROR(INDEX(Setup!$C$60:$C$89,MATCH($B4281,Setup!$A$60:$A$89,0)),"")))</f>
        <v/>
      </c>
      <c r="E4281" s="42"/>
      <c r="F4281" s="42"/>
    </row>
    <row r="4282" customFormat="false" ht="15" hidden="false" customHeight="true" outlineLevel="0" collapsed="false">
      <c r="A4282" s="42"/>
      <c r="B4282" s="42"/>
      <c r="C4282" s="42"/>
      <c r="D4282" s="28" t="str">
        <f aca="false">IF(OR($B4282="",$C4282=""),"",$C4282*IFERROR(INDEX(Setup!$C$47:$C$56,MATCH($B4282,Setup!$A$47:$A$56,0)),IFERROR(INDEX(Setup!$C$60:$C$89,MATCH($B4282,Setup!$A$60:$A$89,0)),"")))</f>
        <v/>
      </c>
      <c r="E4282" s="42"/>
      <c r="F4282" s="42"/>
    </row>
    <row r="4283" customFormat="false" ht="15" hidden="false" customHeight="true" outlineLevel="0" collapsed="false">
      <c r="A4283" s="42"/>
      <c r="B4283" s="42"/>
      <c r="C4283" s="42"/>
      <c r="D4283" s="28" t="str">
        <f aca="false">IF(OR($B4283="",$C4283=""),"",$C4283*IFERROR(INDEX(Setup!$C$47:$C$56,MATCH($B4283,Setup!$A$47:$A$56,0)),IFERROR(INDEX(Setup!$C$60:$C$89,MATCH($B4283,Setup!$A$60:$A$89,0)),"")))</f>
        <v/>
      </c>
      <c r="E4283" s="42"/>
      <c r="F4283" s="42"/>
    </row>
    <row r="4284" customFormat="false" ht="15" hidden="false" customHeight="true" outlineLevel="0" collapsed="false">
      <c r="A4284" s="42"/>
      <c r="B4284" s="42"/>
      <c r="C4284" s="42"/>
      <c r="D4284" s="28" t="str">
        <f aca="false">IF(OR($B4284="",$C4284=""),"",$C4284*IFERROR(INDEX(Setup!$C$47:$C$56,MATCH($B4284,Setup!$A$47:$A$56,0)),IFERROR(INDEX(Setup!$C$60:$C$89,MATCH($B4284,Setup!$A$60:$A$89,0)),"")))</f>
        <v/>
      </c>
      <c r="E4284" s="42"/>
      <c r="F4284" s="42"/>
    </row>
    <row r="4285" customFormat="false" ht="15" hidden="false" customHeight="true" outlineLevel="0" collapsed="false">
      <c r="A4285" s="42"/>
      <c r="B4285" s="42"/>
      <c r="C4285" s="42"/>
      <c r="D4285" s="28" t="str">
        <f aca="false">IF(OR($B4285="",$C4285=""),"",$C4285*IFERROR(INDEX(Setup!$C$47:$C$56,MATCH($B4285,Setup!$A$47:$A$56,0)),IFERROR(INDEX(Setup!$C$60:$C$89,MATCH($B4285,Setup!$A$60:$A$89,0)),"")))</f>
        <v/>
      </c>
      <c r="E4285" s="42"/>
      <c r="F4285" s="42"/>
    </row>
    <row r="4286" customFormat="false" ht="15" hidden="false" customHeight="true" outlineLevel="0" collapsed="false">
      <c r="A4286" s="42"/>
      <c r="B4286" s="42"/>
      <c r="C4286" s="42"/>
      <c r="D4286" s="28" t="str">
        <f aca="false">IF(OR($B4286="",$C4286=""),"",$C4286*IFERROR(INDEX(Setup!$C$47:$C$56,MATCH($B4286,Setup!$A$47:$A$56,0)),IFERROR(INDEX(Setup!$C$60:$C$89,MATCH($B4286,Setup!$A$60:$A$89,0)),"")))</f>
        <v/>
      </c>
      <c r="E4286" s="42"/>
      <c r="F4286" s="42"/>
    </row>
    <row r="4287" customFormat="false" ht="15" hidden="false" customHeight="true" outlineLevel="0" collapsed="false">
      <c r="A4287" s="42"/>
      <c r="B4287" s="42"/>
      <c r="C4287" s="42"/>
      <c r="D4287" s="28" t="str">
        <f aca="false">IF(OR($B4287="",$C4287=""),"",$C4287*IFERROR(INDEX(Setup!$C$47:$C$56,MATCH($B4287,Setup!$A$47:$A$56,0)),IFERROR(INDEX(Setup!$C$60:$C$89,MATCH($B4287,Setup!$A$60:$A$89,0)),"")))</f>
        <v/>
      </c>
      <c r="E4287" s="42"/>
      <c r="F4287" s="42"/>
    </row>
    <row r="4288" customFormat="false" ht="15" hidden="false" customHeight="true" outlineLevel="0" collapsed="false">
      <c r="A4288" s="42"/>
      <c r="B4288" s="42"/>
      <c r="C4288" s="42"/>
      <c r="D4288" s="28" t="str">
        <f aca="false">IF(OR($B4288="",$C4288=""),"",$C4288*IFERROR(INDEX(Setup!$C$47:$C$56,MATCH($B4288,Setup!$A$47:$A$56,0)),IFERROR(INDEX(Setup!$C$60:$C$89,MATCH($B4288,Setup!$A$60:$A$89,0)),"")))</f>
        <v/>
      </c>
      <c r="E4288" s="42"/>
      <c r="F4288" s="42"/>
    </row>
    <row r="4289" customFormat="false" ht="15" hidden="false" customHeight="true" outlineLevel="0" collapsed="false">
      <c r="A4289" s="42"/>
      <c r="B4289" s="42"/>
      <c r="C4289" s="42"/>
      <c r="D4289" s="28" t="str">
        <f aca="false">IF(OR($B4289="",$C4289=""),"",$C4289*IFERROR(INDEX(Setup!$C$47:$C$56,MATCH($B4289,Setup!$A$47:$A$56,0)),IFERROR(INDEX(Setup!$C$60:$C$89,MATCH($B4289,Setup!$A$60:$A$89,0)),"")))</f>
        <v/>
      </c>
      <c r="E4289" s="42"/>
      <c r="F4289" s="42"/>
    </row>
    <row r="4290" customFormat="false" ht="15" hidden="false" customHeight="true" outlineLevel="0" collapsed="false">
      <c r="A4290" s="42"/>
      <c r="B4290" s="42"/>
      <c r="C4290" s="42"/>
      <c r="D4290" s="28" t="str">
        <f aca="false">IF(OR($B4290="",$C4290=""),"",$C4290*IFERROR(INDEX(Setup!$C$47:$C$56,MATCH($B4290,Setup!$A$47:$A$56,0)),IFERROR(INDEX(Setup!$C$60:$C$89,MATCH($B4290,Setup!$A$60:$A$89,0)),"")))</f>
        <v/>
      </c>
      <c r="E4290" s="42"/>
      <c r="F4290" s="42"/>
    </row>
    <row r="4291" customFormat="false" ht="15" hidden="false" customHeight="true" outlineLevel="0" collapsed="false">
      <c r="A4291" s="42"/>
      <c r="B4291" s="42"/>
      <c r="C4291" s="42"/>
      <c r="D4291" s="28" t="str">
        <f aca="false">IF(OR($B4291="",$C4291=""),"",$C4291*IFERROR(INDEX(Setup!$C$47:$C$56,MATCH($B4291,Setup!$A$47:$A$56,0)),IFERROR(INDEX(Setup!$C$60:$C$89,MATCH($B4291,Setup!$A$60:$A$89,0)),"")))</f>
        <v/>
      </c>
      <c r="E4291" s="42"/>
      <c r="F4291" s="42"/>
    </row>
    <row r="4292" customFormat="false" ht="15" hidden="false" customHeight="true" outlineLevel="0" collapsed="false">
      <c r="A4292" s="42"/>
      <c r="B4292" s="42"/>
      <c r="C4292" s="42"/>
      <c r="D4292" s="28" t="str">
        <f aca="false">IF(OR($B4292="",$C4292=""),"",$C4292*IFERROR(INDEX(Setup!$C$47:$C$56,MATCH($B4292,Setup!$A$47:$A$56,0)),IFERROR(INDEX(Setup!$C$60:$C$89,MATCH($B4292,Setup!$A$60:$A$89,0)),"")))</f>
        <v/>
      </c>
      <c r="E4292" s="42"/>
      <c r="F4292" s="42"/>
    </row>
    <row r="4293" customFormat="false" ht="15" hidden="false" customHeight="true" outlineLevel="0" collapsed="false">
      <c r="A4293" s="42"/>
      <c r="B4293" s="42"/>
      <c r="C4293" s="42"/>
      <c r="D4293" s="28" t="str">
        <f aca="false">IF(OR($B4293="",$C4293=""),"",$C4293*IFERROR(INDEX(Setup!$C$47:$C$56,MATCH($B4293,Setup!$A$47:$A$56,0)),IFERROR(INDEX(Setup!$C$60:$C$89,MATCH($B4293,Setup!$A$60:$A$89,0)),"")))</f>
        <v/>
      </c>
      <c r="E4293" s="42"/>
      <c r="F4293" s="42"/>
    </row>
    <row r="4294" customFormat="false" ht="15" hidden="false" customHeight="true" outlineLevel="0" collapsed="false">
      <c r="A4294" s="42"/>
      <c r="B4294" s="42"/>
      <c r="C4294" s="42"/>
      <c r="D4294" s="28" t="str">
        <f aca="false">IF(OR($B4294="",$C4294=""),"",$C4294*IFERROR(INDEX(Setup!$C$47:$C$56,MATCH($B4294,Setup!$A$47:$A$56,0)),IFERROR(INDEX(Setup!$C$60:$C$89,MATCH($B4294,Setup!$A$60:$A$89,0)),"")))</f>
        <v/>
      </c>
      <c r="E4294" s="42"/>
      <c r="F4294" s="42"/>
    </row>
    <row r="4295" customFormat="false" ht="15" hidden="false" customHeight="true" outlineLevel="0" collapsed="false">
      <c r="A4295" s="42"/>
      <c r="B4295" s="42"/>
      <c r="C4295" s="42"/>
      <c r="D4295" s="28" t="str">
        <f aca="false">IF(OR($B4295="",$C4295=""),"",$C4295*IFERROR(INDEX(Setup!$C$47:$C$56,MATCH($B4295,Setup!$A$47:$A$56,0)),IFERROR(INDEX(Setup!$C$60:$C$89,MATCH($B4295,Setup!$A$60:$A$89,0)),"")))</f>
        <v/>
      </c>
      <c r="E4295" s="42"/>
      <c r="F4295" s="42"/>
    </row>
    <row r="4296" customFormat="false" ht="15" hidden="false" customHeight="true" outlineLevel="0" collapsed="false">
      <c r="A4296" s="42"/>
      <c r="B4296" s="42"/>
      <c r="C4296" s="42"/>
      <c r="D4296" s="28" t="str">
        <f aca="false">IF(OR($B4296="",$C4296=""),"",$C4296*IFERROR(INDEX(Setup!$C$47:$C$56,MATCH($B4296,Setup!$A$47:$A$56,0)),IFERROR(INDEX(Setup!$C$60:$C$89,MATCH($B4296,Setup!$A$60:$A$89,0)),"")))</f>
        <v/>
      </c>
      <c r="E4296" s="42"/>
      <c r="F4296" s="42"/>
    </row>
    <row r="4297" customFormat="false" ht="15" hidden="false" customHeight="true" outlineLevel="0" collapsed="false">
      <c r="A4297" s="42"/>
      <c r="B4297" s="42"/>
      <c r="C4297" s="42"/>
      <c r="D4297" s="28" t="str">
        <f aca="false">IF(OR($B4297="",$C4297=""),"",$C4297*IFERROR(INDEX(Setup!$C$47:$C$56,MATCH($B4297,Setup!$A$47:$A$56,0)),IFERROR(INDEX(Setup!$C$60:$C$89,MATCH($B4297,Setup!$A$60:$A$89,0)),"")))</f>
        <v/>
      </c>
      <c r="E4297" s="42"/>
      <c r="F4297" s="42"/>
    </row>
    <row r="4298" customFormat="false" ht="15" hidden="false" customHeight="true" outlineLevel="0" collapsed="false">
      <c r="A4298" s="42"/>
      <c r="B4298" s="42"/>
      <c r="C4298" s="42"/>
      <c r="D4298" s="28" t="str">
        <f aca="false">IF(OR($B4298="",$C4298=""),"",$C4298*IFERROR(INDEX(Setup!$C$47:$C$56,MATCH($B4298,Setup!$A$47:$A$56,0)),IFERROR(INDEX(Setup!$C$60:$C$89,MATCH($B4298,Setup!$A$60:$A$89,0)),"")))</f>
        <v/>
      </c>
      <c r="E4298" s="42"/>
      <c r="F4298" s="42"/>
    </row>
    <row r="4299" customFormat="false" ht="15" hidden="false" customHeight="true" outlineLevel="0" collapsed="false">
      <c r="A4299" s="42"/>
      <c r="B4299" s="42"/>
      <c r="C4299" s="42"/>
      <c r="D4299" s="28" t="str">
        <f aca="false">IF(OR($B4299="",$C4299=""),"",$C4299*IFERROR(INDEX(Setup!$C$47:$C$56,MATCH($B4299,Setup!$A$47:$A$56,0)),IFERROR(INDEX(Setup!$C$60:$C$89,MATCH($B4299,Setup!$A$60:$A$89,0)),"")))</f>
        <v/>
      </c>
      <c r="E4299" s="42"/>
      <c r="F4299" s="42"/>
    </row>
    <row r="4300" customFormat="false" ht="15" hidden="false" customHeight="true" outlineLevel="0" collapsed="false">
      <c r="A4300" s="42"/>
      <c r="B4300" s="42"/>
      <c r="C4300" s="42"/>
      <c r="D4300" s="28" t="str">
        <f aca="false">IF(OR($B4300="",$C4300=""),"",$C4300*IFERROR(INDEX(Setup!$C$47:$C$56,MATCH($B4300,Setup!$A$47:$A$56,0)),IFERROR(INDEX(Setup!$C$60:$C$89,MATCH($B4300,Setup!$A$60:$A$89,0)),"")))</f>
        <v/>
      </c>
      <c r="E4300" s="42"/>
      <c r="F4300" s="42"/>
    </row>
    <row r="4301" customFormat="false" ht="15" hidden="false" customHeight="true" outlineLevel="0" collapsed="false">
      <c r="A4301" s="42"/>
      <c r="B4301" s="42"/>
      <c r="C4301" s="42"/>
      <c r="D4301" s="28" t="str">
        <f aca="false">IF(OR($B4301="",$C4301=""),"",$C4301*IFERROR(INDEX(Setup!$C$47:$C$56,MATCH($B4301,Setup!$A$47:$A$56,0)),IFERROR(INDEX(Setup!$C$60:$C$89,MATCH($B4301,Setup!$A$60:$A$89,0)),"")))</f>
        <v/>
      </c>
      <c r="E4301" s="42"/>
      <c r="F4301" s="42"/>
    </row>
    <row r="4302" customFormat="false" ht="15" hidden="false" customHeight="true" outlineLevel="0" collapsed="false">
      <c r="A4302" s="42"/>
      <c r="B4302" s="42"/>
      <c r="C4302" s="42"/>
      <c r="D4302" s="28" t="str">
        <f aca="false">IF(OR($B4302="",$C4302=""),"",$C4302*IFERROR(INDEX(Setup!$C$47:$C$56,MATCH($B4302,Setup!$A$47:$A$56,0)),IFERROR(INDEX(Setup!$C$60:$C$89,MATCH($B4302,Setup!$A$60:$A$89,0)),"")))</f>
        <v/>
      </c>
      <c r="E4302" s="42"/>
      <c r="F4302" s="42"/>
    </row>
    <row r="4303" customFormat="false" ht="15" hidden="false" customHeight="true" outlineLevel="0" collapsed="false">
      <c r="A4303" s="42"/>
      <c r="B4303" s="42"/>
      <c r="C4303" s="42"/>
      <c r="D4303" s="28" t="str">
        <f aca="false">IF(OR($B4303="",$C4303=""),"",$C4303*IFERROR(INDEX(Setup!$C$47:$C$56,MATCH($B4303,Setup!$A$47:$A$56,0)),IFERROR(INDEX(Setup!$C$60:$C$89,MATCH($B4303,Setup!$A$60:$A$89,0)),"")))</f>
        <v/>
      </c>
      <c r="E4303" s="42"/>
      <c r="F4303" s="42"/>
    </row>
    <row r="4304" customFormat="false" ht="15" hidden="false" customHeight="true" outlineLevel="0" collapsed="false">
      <c r="A4304" s="42"/>
      <c r="B4304" s="42"/>
      <c r="C4304" s="42"/>
      <c r="D4304" s="28" t="str">
        <f aca="false">IF(OR($B4304="",$C4304=""),"",$C4304*IFERROR(INDEX(Setup!$C$47:$C$56,MATCH($B4304,Setup!$A$47:$A$56,0)),IFERROR(INDEX(Setup!$C$60:$C$89,MATCH($B4304,Setup!$A$60:$A$89,0)),"")))</f>
        <v/>
      </c>
      <c r="E4304" s="42"/>
      <c r="F4304" s="42"/>
    </row>
    <row r="4305" customFormat="false" ht="15" hidden="false" customHeight="true" outlineLevel="0" collapsed="false">
      <c r="A4305" s="42"/>
      <c r="B4305" s="42"/>
      <c r="C4305" s="42"/>
      <c r="D4305" s="28" t="str">
        <f aca="false">IF(OR($B4305="",$C4305=""),"",$C4305*IFERROR(INDEX(Setup!$C$47:$C$56,MATCH($B4305,Setup!$A$47:$A$56,0)),IFERROR(INDEX(Setup!$C$60:$C$89,MATCH($B4305,Setup!$A$60:$A$89,0)),"")))</f>
        <v/>
      </c>
      <c r="E4305" s="42"/>
      <c r="F4305" s="42"/>
    </row>
    <row r="4306" customFormat="false" ht="15" hidden="false" customHeight="true" outlineLevel="0" collapsed="false">
      <c r="A4306" s="42"/>
      <c r="B4306" s="42"/>
      <c r="C4306" s="42"/>
      <c r="D4306" s="28" t="str">
        <f aca="false">IF(OR($B4306="",$C4306=""),"",$C4306*IFERROR(INDEX(Setup!$C$47:$C$56,MATCH($B4306,Setup!$A$47:$A$56,0)),IFERROR(INDEX(Setup!$C$60:$C$89,MATCH($B4306,Setup!$A$60:$A$89,0)),"")))</f>
        <v/>
      </c>
      <c r="E4306" s="42"/>
      <c r="F4306" s="42"/>
    </row>
    <row r="4307" customFormat="false" ht="15" hidden="false" customHeight="true" outlineLevel="0" collapsed="false">
      <c r="A4307" s="42"/>
      <c r="B4307" s="42"/>
      <c r="C4307" s="42"/>
      <c r="D4307" s="28" t="str">
        <f aca="false">IF(OR($B4307="",$C4307=""),"",$C4307*IFERROR(INDEX(Setup!$C$47:$C$56,MATCH($B4307,Setup!$A$47:$A$56,0)),IFERROR(INDEX(Setup!$C$60:$C$89,MATCH($B4307,Setup!$A$60:$A$89,0)),"")))</f>
        <v/>
      </c>
      <c r="E4307" s="42"/>
      <c r="F4307" s="42"/>
    </row>
    <row r="4308" customFormat="false" ht="15" hidden="false" customHeight="true" outlineLevel="0" collapsed="false">
      <c r="A4308" s="42"/>
      <c r="B4308" s="42"/>
      <c r="C4308" s="42"/>
      <c r="D4308" s="28" t="str">
        <f aca="false">IF(OR($B4308="",$C4308=""),"",$C4308*IFERROR(INDEX(Setup!$C$47:$C$56,MATCH($B4308,Setup!$A$47:$A$56,0)),IFERROR(INDEX(Setup!$C$60:$C$89,MATCH($B4308,Setup!$A$60:$A$89,0)),"")))</f>
        <v/>
      </c>
      <c r="E4308" s="42"/>
      <c r="F4308" s="42"/>
    </row>
    <row r="4309" customFormat="false" ht="15" hidden="false" customHeight="true" outlineLevel="0" collapsed="false">
      <c r="A4309" s="42"/>
      <c r="B4309" s="42"/>
      <c r="C4309" s="42"/>
      <c r="D4309" s="28" t="str">
        <f aca="false">IF(OR($B4309="",$C4309=""),"",$C4309*IFERROR(INDEX(Setup!$C$47:$C$56,MATCH($B4309,Setup!$A$47:$A$56,0)),IFERROR(INDEX(Setup!$C$60:$C$89,MATCH($B4309,Setup!$A$60:$A$89,0)),"")))</f>
        <v/>
      </c>
      <c r="E4309" s="42"/>
      <c r="F4309" s="42"/>
    </row>
    <row r="4310" customFormat="false" ht="15" hidden="false" customHeight="true" outlineLevel="0" collapsed="false">
      <c r="A4310" s="42"/>
      <c r="B4310" s="42"/>
      <c r="C4310" s="42"/>
      <c r="D4310" s="28" t="str">
        <f aca="false">IF(OR($B4310="",$C4310=""),"",$C4310*IFERROR(INDEX(Setup!$C$47:$C$56,MATCH($B4310,Setup!$A$47:$A$56,0)),IFERROR(INDEX(Setup!$C$60:$C$89,MATCH($B4310,Setup!$A$60:$A$89,0)),"")))</f>
        <v/>
      </c>
      <c r="E4310" s="42"/>
      <c r="F4310" s="42"/>
    </row>
    <row r="4311" customFormat="false" ht="15" hidden="false" customHeight="true" outlineLevel="0" collapsed="false">
      <c r="A4311" s="42"/>
      <c r="B4311" s="42"/>
      <c r="C4311" s="42"/>
      <c r="D4311" s="28" t="str">
        <f aca="false">IF(OR($B4311="",$C4311=""),"",$C4311*IFERROR(INDEX(Setup!$C$47:$C$56,MATCH($B4311,Setup!$A$47:$A$56,0)),IFERROR(INDEX(Setup!$C$60:$C$89,MATCH($B4311,Setup!$A$60:$A$89,0)),"")))</f>
        <v/>
      </c>
      <c r="E4311" s="42"/>
      <c r="F4311" s="42"/>
    </row>
    <row r="4312" customFormat="false" ht="15" hidden="false" customHeight="true" outlineLevel="0" collapsed="false">
      <c r="A4312" s="42"/>
      <c r="B4312" s="42"/>
      <c r="C4312" s="42"/>
      <c r="D4312" s="28" t="str">
        <f aca="false">IF(OR($B4312="",$C4312=""),"",$C4312*IFERROR(INDEX(Setup!$C$47:$C$56,MATCH($B4312,Setup!$A$47:$A$56,0)),IFERROR(INDEX(Setup!$C$60:$C$89,MATCH($B4312,Setup!$A$60:$A$89,0)),"")))</f>
        <v/>
      </c>
      <c r="E4312" s="42"/>
      <c r="F4312" s="42"/>
    </row>
    <row r="4313" customFormat="false" ht="15" hidden="false" customHeight="true" outlineLevel="0" collapsed="false">
      <c r="A4313" s="42"/>
      <c r="B4313" s="42"/>
      <c r="C4313" s="42"/>
      <c r="D4313" s="28" t="str">
        <f aca="false">IF(OR($B4313="",$C4313=""),"",$C4313*IFERROR(INDEX(Setup!$C$47:$C$56,MATCH($B4313,Setup!$A$47:$A$56,0)),IFERROR(INDEX(Setup!$C$60:$C$89,MATCH($B4313,Setup!$A$60:$A$89,0)),"")))</f>
        <v/>
      </c>
      <c r="E4313" s="42"/>
      <c r="F4313" s="42"/>
    </row>
    <row r="4314" customFormat="false" ht="15" hidden="false" customHeight="true" outlineLevel="0" collapsed="false">
      <c r="A4314" s="42"/>
      <c r="B4314" s="42"/>
      <c r="C4314" s="42"/>
      <c r="D4314" s="28" t="str">
        <f aca="false">IF(OR($B4314="",$C4314=""),"",$C4314*IFERROR(INDEX(Setup!$C$47:$C$56,MATCH($B4314,Setup!$A$47:$A$56,0)),IFERROR(INDEX(Setup!$C$60:$C$89,MATCH($B4314,Setup!$A$60:$A$89,0)),"")))</f>
        <v/>
      </c>
      <c r="E4314" s="42"/>
      <c r="F4314" s="42"/>
    </row>
    <row r="4315" customFormat="false" ht="15" hidden="false" customHeight="true" outlineLevel="0" collapsed="false">
      <c r="A4315" s="42"/>
      <c r="B4315" s="42"/>
      <c r="C4315" s="42"/>
      <c r="D4315" s="28" t="str">
        <f aca="false">IF(OR($B4315="",$C4315=""),"",$C4315*IFERROR(INDEX(Setup!$C$47:$C$56,MATCH($B4315,Setup!$A$47:$A$56,0)),IFERROR(INDEX(Setup!$C$60:$C$89,MATCH($B4315,Setup!$A$60:$A$89,0)),"")))</f>
        <v/>
      </c>
      <c r="E4315" s="42"/>
      <c r="F4315" s="42"/>
    </row>
    <row r="4316" customFormat="false" ht="15" hidden="false" customHeight="true" outlineLevel="0" collapsed="false">
      <c r="A4316" s="42"/>
      <c r="B4316" s="42"/>
      <c r="C4316" s="42"/>
      <c r="D4316" s="28" t="str">
        <f aca="false">IF(OR($B4316="",$C4316=""),"",$C4316*IFERROR(INDEX(Setup!$C$47:$C$56,MATCH($B4316,Setup!$A$47:$A$56,0)),IFERROR(INDEX(Setup!$C$60:$C$89,MATCH($B4316,Setup!$A$60:$A$89,0)),"")))</f>
        <v/>
      </c>
      <c r="E4316" s="42"/>
      <c r="F4316" s="42"/>
    </row>
    <row r="4317" customFormat="false" ht="15" hidden="false" customHeight="true" outlineLevel="0" collapsed="false">
      <c r="A4317" s="42"/>
      <c r="B4317" s="42"/>
      <c r="C4317" s="42"/>
      <c r="D4317" s="28" t="str">
        <f aca="false">IF(OR($B4317="",$C4317=""),"",$C4317*IFERROR(INDEX(Setup!$C$47:$C$56,MATCH($B4317,Setup!$A$47:$A$56,0)),IFERROR(INDEX(Setup!$C$60:$C$89,MATCH($B4317,Setup!$A$60:$A$89,0)),"")))</f>
        <v/>
      </c>
      <c r="E4317" s="42"/>
      <c r="F4317" s="42"/>
    </row>
    <row r="4318" customFormat="false" ht="15" hidden="false" customHeight="true" outlineLevel="0" collapsed="false">
      <c r="A4318" s="42"/>
      <c r="B4318" s="42"/>
      <c r="C4318" s="42"/>
      <c r="D4318" s="28" t="str">
        <f aca="false">IF(OR($B4318="",$C4318=""),"",$C4318*IFERROR(INDEX(Setup!$C$47:$C$56,MATCH($B4318,Setup!$A$47:$A$56,0)),IFERROR(INDEX(Setup!$C$60:$C$89,MATCH($B4318,Setup!$A$60:$A$89,0)),"")))</f>
        <v/>
      </c>
      <c r="E4318" s="42"/>
      <c r="F4318" s="42"/>
    </row>
    <row r="4319" customFormat="false" ht="15" hidden="false" customHeight="true" outlineLevel="0" collapsed="false">
      <c r="A4319" s="42"/>
      <c r="B4319" s="42"/>
      <c r="C4319" s="42"/>
      <c r="D4319" s="28" t="str">
        <f aca="false">IF(OR($B4319="",$C4319=""),"",$C4319*IFERROR(INDEX(Setup!$C$47:$C$56,MATCH($B4319,Setup!$A$47:$A$56,0)),IFERROR(INDEX(Setup!$C$60:$C$89,MATCH($B4319,Setup!$A$60:$A$89,0)),"")))</f>
        <v/>
      </c>
      <c r="E4319" s="42"/>
      <c r="F4319" s="42"/>
    </row>
    <row r="4320" customFormat="false" ht="15" hidden="false" customHeight="true" outlineLevel="0" collapsed="false">
      <c r="A4320" s="42"/>
      <c r="B4320" s="42"/>
      <c r="C4320" s="42"/>
      <c r="D4320" s="28" t="str">
        <f aca="false">IF(OR($B4320="",$C4320=""),"",$C4320*IFERROR(INDEX(Setup!$C$47:$C$56,MATCH($B4320,Setup!$A$47:$A$56,0)),IFERROR(INDEX(Setup!$C$60:$C$89,MATCH($B4320,Setup!$A$60:$A$89,0)),"")))</f>
        <v/>
      </c>
      <c r="E4320" s="42"/>
      <c r="F4320" s="42"/>
    </row>
    <row r="4321" customFormat="false" ht="15" hidden="false" customHeight="true" outlineLevel="0" collapsed="false">
      <c r="A4321" s="42"/>
      <c r="B4321" s="42"/>
      <c r="C4321" s="42"/>
      <c r="D4321" s="28" t="str">
        <f aca="false">IF(OR($B4321="",$C4321=""),"",$C4321*IFERROR(INDEX(Setup!$C$47:$C$56,MATCH($B4321,Setup!$A$47:$A$56,0)),IFERROR(INDEX(Setup!$C$60:$C$89,MATCH($B4321,Setup!$A$60:$A$89,0)),"")))</f>
        <v/>
      </c>
      <c r="E4321" s="42"/>
      <c r="F4321" s="42"/>
    </row>
    <row r="4322" customFormat="false" ht="15" hidden="false" customHeight="true" outlineLevel="0" collapsed="false">
      <c r="A4322" s="42"/>
      <c r="B4322" s="42"/>
      <c r="C4322" s="42"/>
      <c r="D4322" s="28" t="str">
        <f aca="false">IF(OR($B4322="",$C4322=""),"",$C4322*IFERROR(INDEX(Setup!$C$47:$C$56,MATCH($B4322,Setup!$A$47:$A$56,0)),IFERROR(INDEX(Setup!$C$60:$C$89,MATCH($B4322,Setup!$A$60:$A$89,0)),"")))</f>
        <v/>
      </c>
      <c r="E4322" s="42"/>
      <c r="F4322" s="42"/>
    </row>
    <row r="4323" customFormat="false" ht="15" hidden="false" customHeight="true" outlineLevel="0" collapsed="false">
      <c r="A4323" s="42"/>
      <c r="B4323" s="42"/>
      <c r="C4323" s="42"/>
      <c r="D4323" s="28" t="str">
        <f aca="false">IF(OR($B4323="",$C4323=""),"",$C4323*IFERROR(INDEX(Setup!$C$47:$C$56,MATCH($B4323,Setup!$A$47:$A$56,0)),IFERROR(INDEX(Setup!$C$60:$C$89,MATCH($B4323,Setup!$A$60:$A$89,0)),"")))</f>
        <v/>
      </c>
      <c r="E4323" s="42"/>
      <c r="F4323" s="42"/>
    </row>
    <row r="4324" customFormat="false" ht="15" hidden="false" customHeight="true" outlineLevel="0" collapsed="false">
      <c r="A4324" s="42"/>
      <c r="B4324" s="42"/>
      <c r="C4324" s="42"/>
      <c r="D4324" s="28" t="str">
        <f aca="false">IF(OR($B4324="",$C4324=""),"",$C4324*IFERROR(INDEX(Setup!$C$47:$C$56,MATCH($B4324,Setup!$A$47:$A$56,0)),IFERROR(INDEX(Setup!$C$60:$C$89,MATCH($B4324,Setup!$A$60:$A$89,0)),"")))</f>
        <v/>
      </c>
      <c r="E4324" s="42"/>
      <c r="F4324" s="42"/>
    </row>
    <row r="4325" customFormat="false" ht="15" hidden="false" customHeight="true" outlineLevel="0" collapsed="false">
      <c r="A4325" s="42"/>
      <c r="B4325" s="42"/>
      <c r="C4325" s="42"/>
      <c r="D4325" s="28" t="str">
        <f aca="false">IF(OR($B4325="",$C4325=""),"",$C4325*IFERROR(INDEX(Setup!$C$47:$C$56,MATCH($B4325,Setup!$A$47:$A$56,0)),IFERROR(INDEX(Setup!$C$60:$C$89,MATCH($B4325,Setup!$A$60:$A$89,0)),"")))</f>
        <v/>
      </c>
      <c r="E4325" s="42"/>
      <c r="F4325" s="42"/>
    </row>
    <row r="4326" customFormat="false" ht="15" hidden="false" customHeight="true" outlineLevel="0" collapsed="false">
      <c r="A4326" s="42"/>
      <c r="B4326" s="42"/>
      <c r="C4326" s="42"/>
      <c r="D4326" s="28" t="str">
        <f aca="false">IF(OR($B4326="",$C4326=""),"",$C4326*IFERROR(INDEX(Setup!$C$47:$C$56,MATCH($B4326,Setup!$A$47:$A$56,0)),IFERROR(INDEX(Setup!$C$60:$C$89,MATCH($B4326,Setup!$A$60:$A$89,0)),"")))</f>
        <v/>
      </c>
      <c r="E4326" s="42"/>
      <c r="F4326" s="42"/>
    </row>
    <row r="4327" customFormat="false" ht="15" hidden="false" customHeight="true" outlineLevel="0" collapsed="false">
      <c r="A4327" s="42"/>
      <c r="B4327" s="42"/>
      <c r="C4327" s="42"/>
      <c r="D4327" s="28" t="str">
        <f aca="false">IF(OR($B4327="",$C4327=""),"",$C4327*IFERROR(INDEX(Setup!$C$47:$C$56,MATCH($B4327,Setup!$A$47:$A$56,0)),IFERROR(INDEX(Setup!$C$60:$C$89,MATCH($B4327,Setup!$A$60:$A$89,0)),"")))</f>
        <v/>
      </c>
      <c r="E4327" s="42"/>
      <c r="F4327" s="42"/>
    </row>
    <row r="4328" customFormat="false" ht="15" hidden="false" customHeight="true" outlineLevel="0" collapsed="false">
      <c r="A4328" s="42"/>
      <c r="B4328" s="42"/>
      <c r="C4328" s="42"/>
      <c r="D4328" s="28" t="str">
        <f aca="false">IF(OR($B4328="",$C4328=""),"",$C4328*IFERROR(INDEX(Setup!$C$47:$C$56,MATCH($B4328,Setup!$A$47:$A$56,0)),IFERROR(INDEX(Setup!$C$60:$C$89,MATCH($B4328,Setup!$A$60:$A$89,0)),"")))</f>
        <v/>
      </c>
      <c r="E4328" s="42"/>
      <c r="F4328" s="42"/>
    </row>
    <row r="4329" customFormat="false" ht="15" hidden="false" customHeight="true" outlineLevel="0" collapsed="false">
      <c r="A4329" s="42"/>
      <c r="B4329" s="42"/>
      <c r="C4329" s="42"/>
      <c r="D4329" s="28" t="str">
        <f aca="false">IF(OR($B4329="",$C4329=""),"",$C4329*IFERROR(INDEX(Setup!$C$47:$C$56,MATCH($B4329,Setup!$A$47:$A$56,0)),IFERROR(INDEX(Setup!$C$60:$C$89,MATCH($B4329,Setup!$A$60:$A$89,0)),"")))</f>
        <v/>
      </c>
      <c r="E4329" s="42"/>
      <c r="F4329" s="42"/>
    </row>
    <row r="4330" customFormat="false" ht="15" hidden="false" customHeight="true" outlineLevel="0" collapsed="false">
      <c r="A4330" s="42"/>
      <c r="B4330" s="42"/>
      <c r="C4330" s="42"/>
      <c r="D4330" s="28" t="str">
        <f aca="false">IF(OR($B4330="",$C4330=""),"",$C4330*IFERROR(INDEX(Setup!$C$47:$C$56,MATCH($B4330,Setup!$A$47:$A$56,0)),IFERROR(INDEX(Setup!$C$60:$C$89,MATCH($B4330,Setup!$A$60:$A$89,0)),"")))</f>
        <v/>
      </c>
      <c r="E4330" s="42"/>
      <c r="F4330" s="42"/>
    </row>
    <row r="4331" customFormat="false" ht="15" hidden="false" customHeight="true" outlineLevel="0" collapsed="false">
      <c r="A4331" s="42"/>
      <c r="B4331" s="42"/>
      <c r="C4331" s="42"/>
      <c r="D4331" s="28" t="str">
        <f aca="false">IF(OR($B4331="",$C4331=""),"",$C4331*IFERROR(INDEX(Setup!$C$47:$C$56,MATCH($B4331,Setup!$A$47:$A$56,0)),IFERROR(INDEX(Setup!$C$60:$C$89,MATCH($B4331,Setup!$A$60:$A$89,0)),"")))</f>
        <v/>
      </c>
      <c r="E4331" s="42"/>
      <c r="F4331" s="42"/>
    </row>
    <row r="4332" customFormat="false" ht="15" hidden="false" customHeight="true" outlineLevel="0" collapsed="false">
      <c r="A4332" s="42"/>
      <c r="B4332" s="42"/>
      <c r="C4332" s="42"/>
      <c r="D4332" s="28" t="str">
        <f aca="false">IF(OR($B4332="",$C4332=""),"",$C4332*IFERROR(INDEX(Setup!$C$47:$C$56,MATCH($B4332,Setup!$A$47:$A$56,0)),IFERROR(INDEX(Setup!$C$60:$C$89,MATCH($B4332,Setup!$A$60:$A$89,0)),"")))</f>
        <v/>
      </c>
      <c r="E4332" s="42"/>
      <c r="F4332" s="42"/>
    </row>
    <row r="4333" customFormat="false" ht="15" hidden="false" customHeight="true" outlineLevel="0" collapsed="false">
      <c r="A4333" s="42"/>
      <c r="B4333" s="42"/>
      <c r="C4333" s="42"/>
      <c r="D4333" s="28" t="str">
        <f aca="false">IF(OR($B4333="",$C4333=""),"",$C4333*IFERROR(INDEX(Setup!$C$47:$C$56,MATCH($B4333,Setup!$A$47:$A$56,0)),IFERROR(INDEX(Setup!$C$60:$C$89,MATCH($B4333,Setup!$A$60:$A$89,0)),"")))</f>
        <v/>
      </c>
      <c r="E4333" s="42"/>
      <c r="F4333" s="42"/>
    </row>
    <row r="4334" customFormat="false" ht="15" hidden="false" customHeight="true" outlineLevel="0" collapsed="false">
      <c r="A4334" s="42"/>
      <c r="B4334" s="42"/>
      <c r="C4334" s="42"/>
      <c r="D4334" s="28" t="str">
        <f aca="false">IF(OR($B4334="",$C4334=""),"",$C4334*IFERROR(INDEX(Setup!$C$47:$C$56,MATCH($B4334,Setup!$A$47:$A$56,0)),IFERROR(INDEX(Setup!$C$60:$C$89,MATCH($B4334,Setup!$A$60:$A$89,0)),"")))</f>
        <v/>
      </c>
      <c r="E4334" s="42"/>
      <c r="F4334" s="42"/>
    </row>
    <row r="4335" customFormat="false" ht="15" hidden="false" customHeight="true" outlineLevel="0" collapsed="false">
      <c r="A4335" s="42"/>
      <c r="B4335" s="42"/>
      <c r="C4335" s="42"/>
      <c r="D4335" s="28" t="str">
        <f aca="false">IF(OR($B4335="",$C4335=""),"",$C4335*IFERROR(INDEX(Setup!$C$47:$C$56,MATCH($B4335,Setup!$A$47:$A$56,0)),IFERROR(INDEX(Setup!$C$60:$C$89,MATCH($B4335,Setup!$A$60:$A$89,0)),"")))</f>
        <v/>
      </c>
      <c r="E4335" s="42"/>
      <c r="F4335" s="42"/>
    </row>
    <row r="4336" customFormat="false" ht="15" hidden="false" customHeight="true" outlineLevel="0" collapsed="false">
      <c r="A4336" s="42"/>
      <c r="B4336" s="42"/>
      <c r="C4336" s="42"/>
      <c r="D4336" s="28" t="str">
        <f aca="false">IF(OR($B4336="",$C4336=""),"",$C4336*IFERROR(INDEX(Setup!$C$47:$C$56,MATCH($B4336,Setup!$A$47:$A$56,0)),IFERROR(INDEX(Setup!$C$60:$C$89,MATCH($B4336,Setup!$A$60:$A$89,0)),"")))</f>
        <v/>
      </c>
      <c r="E4336" s="42"/>
      <c r="F4336" s="42"/>
    </row>
    <row r="4337" customFormat="false" ht="15" hidden="false" customHeight="true" outlineLevel="0" collapsed="false">
      <c r="A4337" s="42"/>
      <c r="B4337" s="42"/>
      <c r="C4337" s="42"/>
      <c r="D4337" s="28" t="str">
        <f aca="false">IF(OR($B4337="",$C4337=""),"",$C4337*IFERROR(INDEX(Setup!$C$47:$C$56,MATCH($B4337,Setup!$A$47:$A$56,0)),IFERROR(INDEX(Setup!$C$60:$C$89,MATCH($B4337,Setup!$A$60:$A$89,0)),"")))</f>
        <v/>
      </c>
      <c r="E4337" s="42"/>
      <c r="F4337" s="42"/>
    </row>
    <row r="4338" customFormat="false" ht="15" hidden="false" customHeight="true" outlineLevel="0" collapsed="false">
      <c r="A4338" s="42"/>
      <c r="B4338" s="42"/>
      <c r="C4338" s="42"/>
      <c r="D4338" s="28" t="str">
        <f aca="false">IF(OR($B4338="",$C4338=""),"",$C4338*IFERROR(INDEX(Setup!$C$47:$C$56,MATCH($B4338,Setup!$A$47:$A$56,0)),IFERROR(INDEX(Setup!$C$60:$C$89,MATCH($B4338,Setup!$A$60:$A$89,0)),"")))</f>
        <v/>
      </c>
      <c r="E4338" s="42"/>
      <c r="F4338" s="42"/>
    </row>
    <row r="4339" customFormat="false" ht="15" hidden="false" customHeight="true" outlineLevel="0" collapsed="false">
      <c r="A4339" s="42"/>
      <c r="B4339" s="42"/>
      <c r="C4339" s="42"/>
      <c r="D4339" s="28" t="str">
        <f aca="false">IF(OR($B4339="",$C4339=""),"",$C4339*IFERROR(INDEX(Setup!$C$47:$C$56,MATCH($B4339,Setup!$A$47:$A$56,0)),IFERROR(INDEX(Setup!$C$60:$C$89,MATCH($B4339,Setup!$A$60:$A$89,0)),"")))</f>
        <v/>
      </c>
      <c r="E4339" s="42"/>
      <c r="F4339" s="42"/>
    </row>
    <row r="4340" customFormat="false" ht="15" hidden="false" customHeight="true" outlineLevel="0" collapsed="false">
      <c r="A4340" s="42"/>
      <c r="B4340" s="42"/>
      <c r="C4340" s="42"/>
      <c r="D4340" s="28" t="str">
        <f aca="false">IF(OR($B4340="",$C4340=""),"",$C4340*IFERROR(INDEX(Setup!$C$47:$C$56,MATCH($B4340,Setup!$A$47:$A$56,0)),IFERROR(INDEX(Setup!$C$60:$C$89,MATCH($B4340,Setup!$A$60:$A$89,0)),"")))</f>
        <v/>
      </c>
      <c r="E4340" s="42"/>
      <c r="F4340" s="42"/>
    </row>
    <row r="4341" customFormat="false" ht="15" hidden="false" customHeight="true" outlineLevel="0" collapsed="false">
      <c r="A4341" s="42"/>
      <c r="B4341" s="42"/>
      <c r="C4341" s="42"/>
      <c r="D4341" s="28" t="str">
        <f aca="false">IF(OR($B4341="",$C4341=""),"",$C4341*IFERROR(INDEX(Setup!$C$47:$C$56,MATCH($B4341,Setup!$A$47:$A$56,0)),IFERROR(INDEX(Setup!$C$60:$C$89,MATCH($B4341,Setup!$A$60:$A$89,0)),"")))</f>
        <v/>
      </c>
      <c r="E4341" s="42"/>
      <c r="F4341" s="42"/>
    </row>
    <row r="4342" customFormat="false" ht="15" hidden="false" customHeight="true" outlineLevel="0" collapsed="false">
      <c r="A4342" s="42"/>
      <c r="B4342" s="42"/>
      <c r="C4342" s="42"/>
      <c r="D4342" s="28" t="str">
        <f aca="false">IF(OR($B4342="",$C4342=""),"",$C4342*IFERROR(INDEX(Setup!$C$47:$C$56,MATCH($B4342,Setup!$A$47:$A$56,0)),IFERROR(INDEX(Setup!$C$60:$C$89,MATCH($B4342,Setup!$A$60:$A$89,0)),"")))</f>
        <v/>
      </c>
      <c r="E4342" s="42"/>
      <c r="F4342" s="42"/>
    </row>
    <row r="4343" customFormat="false" ht="15" hidden="false" customHeight="true" outlineLevel="0" collapsed="false">
      <c r="A4343" s="42"/>
      <c r="B4343" s="42"/>
      <c r="C4343" s="42"/>
      <c r="D4343" s="28" t="str">
        <f aca="false">IF(OR($B4343="",$C4343=""),"",$C4343*IFERROR(INDEX(Setup!$C$47:$C$56,MATCH($B4343,Setup!$A$47:$A$56,0)),IFERROR(INDEX(Setup!$C$60:$C$89,MATCH($B4343,Setup!$A$60:$A$89,0)),"")))</f>
        <v/>
      </c>
      <c r="E4343" s="42"/>
      <c r="F4343" s="42"/>
    </row>
    <row r="4344" customFormat="false" ht="15" hidden="false" customHeight="true" outlineLevel="0" collapsed="false">
      <c r="A4344" s="42"/>
      <c r="B4344" s="42"/>
      <c r="C4344" s="42"/>
      <c r="D4344" s="28" t="str">
        <f aca="false">IF(OR($B4344="",$C4344=""),"",$C4344*IFERROR(INDEX(Setup!$C$47:$C$56,MATCH($B4344,Setup!$A$47:$A$56,0)),IFERROR(INDEX(Setup!$C$60:$C$89,MATCH($B4344,Setup!$A$60:$A$89,0)),"")))</f>
        <v/>
      </c>
      <c r="E4344" s="42"/>
      <c r="F4344" s="42"/>
    </row>
    <row r="4345" customFormat="false" ht="15" hidden="false" customHeight="true" outlineLevel="0" collapsed="false">
      <c r="A4345" s="42"/>
      <c r="B4345" s="42"/>
      <c r="C4345" s="42"/>
      <c r="D4345" s="28" t="str">
        <f aca="false">IF(OR($B4345="",$C4345=""),"",$C4345*IFERROR(INDEX(Setup!$C$47:$C$56,MATCH($B4345,Setup!$A$47:$A$56,0)),IFERROR(INDEX(Setup!$C$60:$C$89,MATCH($B4345,Setup!$A$60:$A$89,0)),"")))</f>
        <v/>
      </c>
      <c r="E4345" s="42"/>
      <c r="F4345" s="42"/>
    </row>
    <row r="4346" customFormat="false" ht="15" hidden="false" customHeight="true" outlineLevel="0" collapsed="false">
      <c r="A4346" s="42"/>
      <c r="B4346" s="42"/>
      <c r="C4346" s="42"/>
      <c r="D4346" s="28" t="str">
        <f aca="false">IF(OR($B4346="",$C4346=""),"",$C4346*IFERROR(INDEX(Setup!$C$47:$C$56,MATCH($B4346,Setup!$A$47:$A$56,0)),IFERROR(INDEX(Setup!$C$60:$C$89,MATCH($B4346,Setup!$A$60:$A$89,0)),"")))</f>
        <v/>
      </c>
      <c r="E4346" s="42"/>
      <c r="F4346" s="42"/>
    </row>
    <row r="4347" customFormat="false" ht="15" hidden="false" customHeight="true" outlineLevel="0" collapsed="false">
      <c r="A4347" s="42"/>
      <c r="B4347" s="42"/>
      <c r="C4347" s="42"/>
      <c r="D4347" s="28" t="str">
        <f aca="false">IF(OR($B4347="",$C4347=""),"",$C4347*IFERROR(INDEX(Setup!$C$47:$C$56,MATCH($B4347,Setup!$A$47:$A$56,0)),IFERROR(INDEX(Setup!$C$60:$C$89,MATCH($B4347,Setup!$A$60:$A$89,0)),"")))</f>
        <v/>
      </c>
      <c r="E4347" s="42"/>
      <c r="F4347" s="42"/>
    </row>
    <row r="4348" customFormat="false" ht="15" hidden="false" customHeight="true" outlineLevel="0" collapsed="false">
      <c r="A4348" s="42"/>
      <c r="B4348" s="42"/>
      <c r="C4348" s="42"/>
      <c r="D4348" s="28" t="str">
        <f aca="false">IF(OR($B4348="",$C4348=""),"",$C4348*IFERROR(INDEX(Setup!$C$47:$C$56,MATCH($B4348,Setup!$A$47:$A$56,0)),IFERROR(INDEX(Setup!$C$60:$C$89,MATCH($B4348,Setup!$A$60:$A$89,0)),"")))</f>
        <v/>
      </c>
      <c r="E4348" s="42"/>
      <c r="F4348" s="42"/>
    </row>
    <row r="4349" customFormat="false" ht="15" hidden="false" customHeight="true" outlineLevel="0" collapsed="false">
      <c r="A4349" s="42"/>
      <c r="B4349" s="42"/>
      <c r="C4349" s="42"/>
      <c r="D4349" s="28" t="str">
        <f aca="false">IF(OR($B4349="",$C4349=""),"",$C4349*IFERROR(INDEX(Setup!$C$47:$C$56,MATCH($B4349,Setup!$A$47:$A$56,0)),IFERROR(INDEX(Setup!$C$60:$C$89,MATCH($B4349,Setup!$A$60:$A$89,0)),"")))</f>
        <v/>
      </c>
      <c r="E4349" s="42"/>
      <c r="F4349" s="42"/>
    </row>
    <row r="4350" customFormat="false" ht="15" hidden="false" customHeight="true" outlineLevel="0" collapsed="false">
      <c r="A4350" s="42"/>
      <c r="B4350" s="42"/>
      <c r="C4350" s="42"/>
      <c r="D4350" s="28" t="str">
        <f aca="false">IF(OR($B4350="",$C4350=""),"",$C4350*IFERROR(INDEX(Setup!$C$47:$C$56,MATCH($B4350,Setup!$A$47:$A$56,0)),IFERROR(INDEX(Setup!$C$60:$C$89,MATCH($B4350,Setup!$A$60:$A$89,0)),"")))</f>
        <v/>
      </c>
      <c r="E4350" s="42"/>
      <c r="F4350" s="42"/>
    </row>
    <row r="4351" customFormat="false" ht="15" hidden="false" customHeight="true" outlineLevel="0" collapsed="false">
      <c r="A4351" s="42"/>
      <c r="B4351" s="42"/>
      <c r="C4351" s="42"/>
      <c r="D4351" s="28" t="str">
        <f aca="false">IF(OR($B4351="",$C4351=""),"",$C4351*IFERROR(INDEX(Setup!$C$47:$C$56,MATCH($B4351,Setup!$A$47:$A$56,0)),IFERROR(INDEX(Setup!$C$60:$C$89,MATCH($B4351,Setup!$A$60:$A$89,0)),"")))</f>
        <v/>
      </c>
      <c r="E4351" s="42"/>
      <c r="F4351" s="42"/>
    </row>
    <row r="4352" customFormat="false" ht="15" hidden="false" customHeight="true" outlineLevel="0" collapsed="false">
      <c r="A4352" s="42"/>
      <c r="B4352" s="42"/>
      <c r="C4352" s="42"/>
      <c r="D4352" s="28" t="str">
        <f aca="false">IF(OR($B4352="",$C4352=""),"",$C4352*IFERROR(INDEX(Setup!$C$47:$C$56,MATCH($B4352,Setup!$A$47:$A$56,0)),IFERROR(INDEX(Setup!$C$60:$C$89,MATCH($B4352,Setup!$A$60:$A$89,0)),"")))</f>
        <v/>
      </c>
      <c r="E4352" s="42"/>
      <c r="F4352" s="42"/>
    </row>
    <row r="4353" customFormat="false" ht="15" hidden="false" customHeight="true" outlineLevel="0" collapsed="false">
      <c r="A4353" s="42"/>
      <c r="B4353" s="42"/>
      <c r="C4353" s="42"/>
      <c r="D4353" s="28" t="str">
        <f aca="false">IF(OR($B4353="",$C4353=""),"",$C4353*IFERROR(INDEX(Setup!$C$47:$C$56,MATCH($B4353,Setup!$A$47:$A$56,0)),IFERROR(INDEX(Setup!$C$60:$C$89,MATCH($B4353,Setup!$A$60:$A$89,0)),"")))</f>
        <v/>
      </c>
      <c r="E4353" s="42"/>
      <c r="F4353" s="42"/>
    </row>
    <row r="4354" customFormat="false" ht="15" hidden="false" customHeight="true" outlineLevel="0" collapsed="false">
      <c r="A4354" s="42"/>
      <c r="B4354" s="42"/>
      <c r="C4354" s="42"/>
      <c r="D4354" s="28" t="str">
        <f aca="false">IF(OR($B4354="",$C4354=""),"",$C4354*IFERROR(INDEX(Setup!$C$47:$C$56,MATCH($B4354,Setup!$A$47:$A$56,0)),IFERROR(INDEX(Setup!$C$60:$C$89,MATCH($B4354,Setup!$A$60:$A$89,0)),"")))</f>
        <v/>
      </c>
      <c r="E4354" s="42"/>
      <c r="F4354" s="42"/>
    </row>
    <row r="4355" customFormat="false" ht="15" hidden="false" customHeight="true" outlineLevel="0" collapsed="false">
      <c r="A4355" s="42"/>
      <c r="B4355" s="42"/>
      <c r="C4355" s="42"/>
      <c r="D4355" s="28" t="str">
        <f aca="false">IF(OR($B4355="",$C4355=""),"",$C4355*IFERROR(INDEX(Setup!$C$47:$C$56,MATCH($B4355,Setup!$A$47:$A$56,0)),IFERROR(INDEX(Setup!$C$60:$C$89,MATCH($B4355,Setup!$A$60:$A$89,0)),"")))</f>
        <v/>
      </c>
      <c r="E4355" s="42"/>
      <c r="F4355" s="42"/>
    </row>
    <row r="4356" customFormat="false" ht="15" hidden="false" customHeight="true" outlineLevel="0" collapsed="false">
      <c r="A4356" s="42"/>
      <c r="B4356" s="42"/>
      <c r="C4356" s="42"/>
      <c r="D4356" s="28" t="str">
        <f aca="false">IF(OR($B4356="",$C4356=""),"",$C4356*IFERROR(INDEX(Setup!$C$47:$C$56,MATCH($B4356,Setup!$A$47:$A$56,0)),IFERROR(INDEX(Setup!$C$60:$C$89,MATCH($B4356,Setup!$A$60:$A$89,0)),"")))</f>
        <v/>
      </c>
      <c r="E4356" s="42"/>
      <c r="F4356" s="42"/>
    </row>
    <row r="4357" customFormat="false" ht="15" hidden="false" customHeight="true" outlineLevel="0" collapsed="false">
      <c r="A4357" s="42"/>
      <c r="B4357" s="42"/>
      <c r="C4357" s="42"/>
      <c r="D4357" s="28" t="str">
        <f aca="false">IF(OR($B4357="",$C4357=""),"",$C4357*IFERROR(INDEX(Setup!$C$47:$C$56,MATCH($B4357,Setup!$A$47:$A$56,0)),IFERROR(INDEX(Setup!$C$60:$C$89,MATCH($B4357,Setup!$A$60:$A$89,0)),"")))</f>
        <v/>
      </c>
      <c r="E4357" s="42"/>
      <c r="F4357" s="42"/>
    </row>
    <row r="4358" customFormat="false" ht="15" hidden="false" customHeight="true" outlineLevel="0" collapsed="false">
      <c r="A4358" s="42"/>
      <c r="B4358" s="42"/>
      <c r="C4358" s="42"/>
      <c r="D4358" s="28" t="str">
        <f aca="false">IF(OR($B4358="",$C4358=""),"",$C4358*IFERROR(INDEX(Setup!$C$47:$C$56,MATCH($B4358,Setup!$A$47:$A$56,0)),IFERROR(INDEX(Setup!$C$60:$C$89,MATCH($B4358,Setup!$A$60:$A$89,0)),"")))</f>
        <v/>
      </c>
      <c r="E4358" s="42"/>
      <c r="F4358" s="42"/>
    </row>
    <row r="4359" customFormat="false" ht="15" hidden="false" customHeight="true" outlineLevel="0" collapsed="false">
      <c r="A4359" s="42"/>
      <c r="B4359" s="42"/>
      <c r="C4359" s="42"/>
      <c r="D4359" s="28" t="str">
        <f aca="false">IF(OR($B4359="",$C4359=""),"",$C4359*IFERROR(INDEX(Setup!$C$47:$C$56,MATCH($B4359,Setup!$A$47:$A$56,0)),IFERROR(INDEX(Setup!$C$60:$C$89,MATCH($B4359,Setup!$A$60:$A$89,0)),"")))</f>
        <v/>
      </c>
      <c r="E4359" s="42"/>
      <c r="F4359" s="42"/>
    </row>
    <row r="4360" customFormat="false" ht="15" hidden="false" customHeight="true" outlineLevel="0" collapsed="false">
      <c r="A4360" s="42"/>
      <c r="B4360" s="42"/>
      <c r="C4360" s="42"/>
      <c r="D4360" s="28" t="str">
        <f aca="false">IF(OR($B4360="",$C4360=""),"",$C4360*IFERROR(INDEX(Setup!$C$47:$C$56,MATCH($B4360,Setup!$A$47:$A$56,0)),IFERROR(INDEX(Setup!$C$60:$C$89,MATCH($B4360,Setup!$A$60:$A$89,0)),"")))</f>
        <v/>
      </c>
      <c r="E4360" s="42"/>
      <c r="F4360" s="42"/>
    </row>
    <row r="4361" customFormat="false" ht="15" hidden="false" customHeight="true" outlineLevel="0" collapsed="false">
      <c r="A4361" s="42"/>
      <c r="B4361" s="42"/>
      <c r="C4361" s="42"/>
      <c r="D4361" s="28" t="str">
        <f aca="false">IF(OR($B4361="",$C4361=""),"",$C4361*IFERROR(INDEX(Setup!$C$47:$C$56,MATCH($B4361,Setup!$A$47:$A$56,0)),IFERROR(INDEX(Setup!$C$60:$C$89,MATCH($B4361,Setup!$A$60:$A$89,0)),"")))</f>
        <v/>
      </c>
      <c r="E4361" s="42"/>
      <c r="F4361" s="42"/>
    </row>
    <row r="4362" customFormat="false" ht="15" hidden="false" customHeight="true" outlineLevel="0" collapsed="false">
      <c r="A4362" s="42"/>
      <c r="B4362" s="42"/>
      <c r="C4362" s="42"/>
      <c r="D4362" s="28" t="str">
        <f aca="false">IF(OR($B4362="",$C4362=""),"",$C4362*IFERROR(INDEX(Setup!$C$47:$C$56,MATCH($B4362,Setup!$A$47:$A$56,0)),IFERROR(INDEX(Setup!$C$60:$C$89,MATCH($B4362,Setup!$A$60:$A$89,0)),"")))</f>
        <v/>
      </c>
      <c r="E4362" s="42"/>
      <c r="F4362" s="42"/>
    </row>
    <row r="4363" customFormat="false" ht="15" hidden="false" customHeight="true" outlineLevel="0" collapsed="false">
      <c r="A4363" s="42"/>
      <c r="B4363" s="42"/>
      <c r="C4363" s="42"/>
      <c r="D4363" s="28" t="str">
        <f aca="false">IF(OR($B4363="",$C4363=""),"",$C4363*IFERROR(INDEX(Setup!$C$47:$C$56,MATCH($B4363,Setup!$A$47:$A$56,0)),IFERROR(INDEX(Setup!$C$60:$C$89,MATCH($B4363,Setup!$A$60:$A$89,0)),"")))</f>
        <v/>
      </c>
      <c r="E4363" s="42"/>
      <c r="F4363" s="42"/>
    </row>
    <row r="4364" customFormat="false" ht="15" hidden="false" customHeight="true" outlineLevel="0" collapsed="false">
      <c r="A4364" s="42"/>
      <c r="B4364" s="42"/>
      <c r="C4364" s="42"/>
      <c r="D4364" s="28" t="str">
        <f aca="false">IF(OR($B4364="",$C4364=""),"",$C4364*IFERROR(INDEX(Setup!$C$47:$C$56,MATCH($B4364,Setup!$A$47:$A$56,0)),IFERROR(INDEX(Setup!$C$60:$C$89,MATCH($B4364,Setup!$A$60:$A$89,0)),"")))</f>
        <v/>
      </c>
      <c r="E4364" s="42"/>
      <c r="F4364" s="42"/>
    </row>
    <row r="4365" customFormat="false" ht="15" hidden="false" customHeight="true" outlineLevel="0" collapsed="false">
      <c r="A4365" s="42"/>
      <c r="B4365" s="42"/>
      <c r="C4365" s="42"/>
      <c r="D4365" s="28" t="str">
        <f aca="false">IF(OR($B4365="",$C4365=""),"",$C4365*IFERROR(INDEX(Setup!$C$47:$C$56,MATCH($B4365,Setup!$A$47:$A$56,0)),IFERROR(INDEX(Setup!$C$60:$C$89,MATCH($B4365,Setup!$A$60:$A$89,0)),"")))</f>
        <v/>
      </c>
      <c r="E4365" s="42"/>
      <c r="F4365" s="42"/>
    </row>
    <row r="4366" customFormat="false" ht="15" hidden="false" customHeight="true" outlineLevel="0" collapsed="false">
      <c r="A4366" s="42"/>
      <c r="B4366" s="42"/>
      <c r="C4366" s="42"/>
      <c r="D4366" s="28" t="str">
        <f aca="false">IF(OR($B4366="",$C4366=""),"",$C4366*IFERROR(INDEX(Setup!$C$47:$C$56,MATCH($B4366,Setup!$A$47:$A$56,0)),IFERROR(INDEX(Setup!$C$60:$C$89,MATCH($B4366,Setup!$A$60:$A$89,0)),"")))</f>
        <v/>
      </c>
      <c r="E4366" s="42"/>
      <c r="F4366" s="42"/>
    </row>
    <row r="4367" customFormat="false" ht="15" hidden="false" customHeight="true" outlineLevel="0" collapsed="false">
      <c r="A4367" s="42"/>
      <c r="B4367" s="42"/>
      <c r="C4367" s="42"/>
      <c r="D4367" s="28" t="str">
        <f aca="false">IF(OR($B4367="",$C4367=""),"",$C4367*IFERROR(INDEX(Setup!$C$47:$C$56,MATCH($B4367,Setup!$A$47:$A$56,0)),IFERROR(INDEX(Setup!$C$60:$C$89,MATCH($B4367,Setup!$A$60:$A$89,0)),"")))</f>
        <v/>
      </c>
      <c r="E4367" s="42"/>
      <c r="F4367" s="42"/>
    </row>
    <row r="4368" customFormat="false" ht="15" hidden="false" customHeight="true" outlineLevel="0" collapsed="false">
      <c r="A4368" s="42"/>
      <c r="B4368" s="42"/>
      <c r="C4368" s="42"/>
      <c r="D4368" s="28" t="str">
        <f aca="false">IF(OR($B4368="",$C4368=""),"",$C4368*IFERROR(INDEX(Setup!$C$47:$C$56,MATCH($B4368,Setup!$A$47:$A$56,0)),IFERROR(INDEX(Setup!$C$60:$C$89,MATCH($B4368,Setup!$A$60:$A$89,0)),"")))</f>
        <v/>
      </c>
      <c r="E4368" s="42"/>
      <c r="F4368" s="42"/>
    </row>
    <row r="4369" customFormat="false" ht="15" hidden="false" customHeight="true" outlineLevel="0" collapsed="false">
      <c r="A4369" s="42"/>
      <c r="B4369" s="42"/>
      <c r="C4369" s="42"/>
      <c r="D4369" s="28" t="str">
        <f aca="false">IF(OR($B4369="",$C4369=""),"",$C4369*IFERROR(INDEX(Setup!$C$47:$C$56,MATCH($B4369,Setup!$A$47:$A$56,0)),IFERROR(INDEX(Setup!$C$60:$C$89,MATCH($B4369,Setup!$A$60:$A$89,0)),"")))</f>
        <v/>
      </c>
      <c r="E4369" s="42"/>
      <c r="F4369" s="42"/>
    </row>
    <row r="4370" customFormat="false" ht="15" hidden="false" customHeight="true" outlineLevel="0" collapsed="false">
      <c r="A4370" s="42"/>
      <c r="B4370" s="42"/>
      <c r="C4370" s="42"/>
      <c r="D4370" s="28" t="str">
        <f aca="false">IF(OR($B4370="",$C4370=""),"",$C4370*IFERROR(INDEX(Setup!$C$47:$C$56,MATCH($B4370,Setup!$A$47:$A$56,0)),IFERROR(INDEX(Setup!$C$60:$C$89,MATCH($B4370,Setup!$A$60:$A$89,0)),"")))</f>
        <v/>
      </c>
      <c r="E4370" s="42"/>
      <c r="F4370" s="42"/>
    </row>
    <row r="4371" customFormat="false" ht="15" hidden="false" customHeight="true" outlineLevel="0" collapsed="false">
      <c r="A4371" s="42"/>
      <c r="B4371" s="42"/>
      <c r="C4371" s="42"/>
      <c r="D4371" s="28" t="str">
        <f aca="false">IF(OR($B4371="",$C4371=""),"",$C4371*IFERROR(INDEX(Setup!$C$47:$C$56,MATCH($B4371,Setup!$A$47:$A$56,0)),IFERROR(INDEX(Setup!$C$60:$C$89,MATCH($B4371,Setup!$A$60:$A$89,0)),"")))</f>
        <v/>
      </c>
      <c r="E4371" s="42"/>
      <c r="F4371" s="42"/>
    </row>
    <row r="4372" customFormat="false" ht="15" hidden="false" customHeight="true" outlineLevel="0" collapsed="false">
      <c r="A4372" s="42"/>
      <c r="B4372" s="42"/>
      <c r="C4372" s="42"/>
      <c r="D4372" s="28" t="str">
        <f aca="false">IF(OR($B4372="",$C4372=""),"",$C4372*IFERROR(INDEX(Setup!$C$47:$C$56,MATCH($B4372,Setup!$A$47:$A$56,0)),IFERROR(INDEX(Setup!$C$60:$C$89,MATCH($B4372,Setup!$A$60:$A$89,0)),"")))</f>
        <v/>
      </c>
      <c r="E4372" s="42"/>
      <c r="F4372" s="42"/>
    </row>
    <row r="4373" customFormat="false" ht="15" hidden="false" customHeight="true" outlineLevel="0" collapsed="false">
      <c r="A4373" s="42"/>
      <c r="B4373" s="42"/>
      <c r="C4373" s="42"/>
      <c r="D4373" s="28" t="str">
        <f aca="false">IF(OR($B4373="",$C4373=""),"",$C4373*IFERROR(INDEX(Setup!$C$47:$C$56,MATCH($B4373,Setup!$A$47:$A$56,0)),IFERROR(INDEX(Setup!$C$60:$C$89,MATCH($B4373,Setup!$A$60:$A$89,0)),"")))</f>
        <v/>
      </c>
      <c r="E4373" s="42"/>
      <c r="F4373" s="42"/>
    </row>
    <row r="4374" customFormat="false" ht="15" hidden="false" customHeight="true" outlineLevel="0" collapsed="false">
      <c r="A4374" s="42"/>
      <c r="B4374" s="42"/>
      <c r="C4374" s="42"/>
      <c r="D4374" s="28" t="str">
        <f aca="false">IF(OR($B4374="",$C4374=""),"",$C4374*IFERROR(INDEX(Setup!$C$47:$C$56,MATCH($B4374,Setup!$A$47:$A$56,0)),IFERROR(INDEX(Setup!$C$60:$C$89,MATCH($B4374,Setup!$A$60:$A$89,0)),"")))</f>
        <v/>
      </c>
      <c r="E4374" s="42"/>
      <c r="F4374" s="42"/>
    </row>
    <row r="4375" customFormat="false" ht="15" hidden="false" customHeight="true" outlineLevel="0" collapsed="false">
      <c r="A4375" s="42"/>
      <c r="B4375" s="42"/>
      <c r="C4375" s="42"/>
      <c r="D4375" s="28" t="str">
        <f aca="false">IF(OR($B4375="",$C4375=""),"",$C4375*IFERROR(INDEX(Setup!$C$47:$C$56,MATCH($B4375,Setup!$A$47:$A$56,0)),IFERROR(INDEX(Setup!$C$60:$C$89,MATCH($B4375,Setup!$A$60:$A$89,0)),"")))</f>
        <v/>
      </c>
      <c r="E4375" s="42"/>
      <c r="F4375" s="42"/>
    </row>
    <row r="4376" customFormat="false" ht="15" hidden="false" customHeight="true" outlineLevel="0" collapsed="false">
      <c r="A4376" s="42"/>
      <c r="B4376" s="42"/>
      <c r="C4376" s="42"/>
      <c r="D4376" s="28" t="str">
        <f aca="false">IF(OR($B4376="",$C4376=""),"",$C4376*IFERROR(INDEX(Setup!$C$47:$C$56,MATCH($B4376,Setup!$A$47:$A$56,0)),IFERROR(INDEX(Setup!$C$60:$C$89,MATCH($B4376,Setup!$A$60:$A$89,0)),"")))</f>
        <v/>
      </c>
      <c r="E4376" s="42"/>
      <c r="F4376" s="42"/>
    </row>
    <row r="4377" customFormat="false" ht="15" hidden="false" customHeight="true" outlineLevel="0" collapsed="false">
      <c r="A4377" s="42"/>
      <c r="B4377" s="42"/>
      <c r="C4377" s="42"/>
      <c r="D4377" s="28" t="str">
        <f aca="false">IF(OR($B4377="",$C4377=""),"",$C4377*IFERROR(INDEX(Setup!$C$47:$C$56,MATCH($B4377,Setup!$A$47:$A$56,0)),IFERROR(INDEX(Setup!$C$60:$C$89,MATCH($B4377,Setup!$A$60:$A$89,0)),"")))</f>
        <v/>
      </c>
      <c r="E4377" s="42"/>
      <c r="F4377" s="42"/>
    </row>
    <row r="4378" customFormat="false" ht="15" hidden="false" customHeight="true" outlineLevel="0" collapsed="false">
      <c r="A4378" s="42"/>
      <c r="B4378" s="42"/>
      <c r="C4378" s="42"/>
      <c r="D4378" s="28" t="str">
        <f aca="false">IF(OR($B4378="",$C4378=""),"",$C4378*IFERROR(INDEX(Setup!$C$47:$C$56,MATCH($B4378,Setup!$A$47:$A$56,0)),IFERROR(INDEX(Setup!$C$60:$C$89,MATCH($B4378,Setup!$A$60:$A$89,0)),"")))</f>
        <v/>
      </c>
      <c r="E4378" s="42"/>
      <c r="F4378" s="42"/>
    </row>
    <row r="4379" customFormat="false" ht="15" hidden="false" customHeight="true" outlineLevel="0" collapsed="false">
      <c r="A4379" s="42"/>
      <c r="B4379" s="42"/>
      <c r="C4379" s="42"/>
      <c r="D4379" s="28" t="str">
        <f aca="false">IF(OR($B4379="",$C4379=""),"",$C4379*IFERROR(INDEX(Setup!$C$47:$C$56,MATCH($B4379,Setup!$A$47:$A$56,0)),IFERROR(INDEX(Setup!$C$60:$C$89,MATCH($B4379,Setup!$A$60:$A$89,0)),"")))</f>
        <v/>
      </c>
      <c r="E4379" s="42"/>
      <c r="F4379" s="42"/>
    </row>
    <row r="4380" customFormat="false" ht="15" hidden="false" customHeight="true" outlineLevel="0" collapsed="false">
      <c r="A4380" s="42"/>
      <c r="B4380" s="42"/>
      <c r="C4380" s="42"/>
      <c r="D4380" s="28" t="str">
        <f aca="false">IF(OR($B4380="",$C4380=""),"",$C4380*IFERROR(INDEX(Setup!$C$47:$C$56,MATCH($B4380,Setup!$A$47:$A$56,0)),IFERROR(INDEX(Setup!$C$60:$C$89,MATCH($B4380,Setup!$A$60:$A$89,0)),"")))</f>
        <v/>
      </c>
      <c r="E4380" s="42"/>
      <c r="F4380" s="42"/>
    </row>
    <row r="4381" customFormat="false" ht="15" hidden="false" customHeight="true" outlineLevel="0" collapsed="false">
      <c r="A4381" s="42"/>
      <c r="B4381" s="42"/>
      <c r="C4381" s="42"/>
      <c r="D4381" s="28" t="str">
        <f aca="false">IF(OR($B4381="",$C4381=""),"",$C4381*IFERROR(INDEX(Setup!$C$47:$C$56,MATCH($B4381,Setup!$A$47:$A$56,0)),IFERROR(INDEX(Setup!$C$60:$C$89,MATCH($B4381,Setup!$A$60:$A$89,0)),"")))</f>
        <v/>
      </c>
      <c r="E4381" s="42"/>
      <c r="F4381" s="42"/>
    </row>
    <row r="4382" customFormat="false" ht="15" hidden="false" customHeight="true" outlineLevel="0" collapsed="false">
      <c r="A4382" s="42"/>
      <c r="B4382" s="42"/>
      <c r="C4382" s="42"/>
      <c r="D4382" s="28" t="str">
        <f aca="false">IF(OR($B4382="",$C4382=""),"",$C4382*IFERROR(INDEX(Setup!$C$47:$C$56,MATCH($B4382,Setup!$A$47:$A$56,0)),IFERROR(INDEX(Setup!$C$60:$C$89,MATCH($B4382,Setup!$A$60:$A$89,0)),"")))</f>
        <v/>
      </c>
      <c r="E4382" s="42"/>
      <c r="F4382" s="42"/>
    </row>
    <row r="4383" customFormat="false" ht="15" hidden="false" customHeight="true" outlineLevel="0" collapsed="false">
      <c r="A4383" s="42"/>
      <c r="B4383" s="42"/>
      <c r="C4383" s="42"/>
      <c r="D4383" s="28" t="str">
        <f aca="false">IF(OR($B4383="",$C4383=""),"",$C4383*IFERROR(INDEX(Setup!$C$47:$C$56,MATCH($B4383,Setup!$A$47:$A$56,0)),IFERROR(INDEX(Setup!$C$60:$C$89,MATCH($B4383,Setup!$A$60:$A$89,0)),"")))</f>
        <v/>
      </c>
      <c r="E4383" s="42"/>
      <c r="F4383" s="42"/>
    </row>
    <row r="4384" customFormat="false" ht="15" hidden="false" customHeight="true" outlineLevel="0" collapsed="false">
      <c r="A4384" s="42"/>
      <c r="B4384" s="42"/>
      <c r="C4384" s="42"/>
      <c r="D4384" s="28" t="str">
        <f aca="false">IF(OR($B4384="",$C4384=""),"",$C4384*IFERROR(INDEX(Setup!$C$47:$C$56,MATCH($B4384,Setup!$A$47:$A$56,0)),IFERROR(INDEX(Setup!$C$60:$C$89,MATCH($B4384,Setup!$A$60:$A$89,0)),"")))</f>
        <v/>
      </c>
      <c r="E4384" s="42"/>
      <c r="F4384" s="42"/>
    </row>
    <row r="4385" customFormat="false" ht="15" hidden="false" customHeight="true" outlineLevel="0" collapsed="false">
      <c r="A4385" s="42"/>
      <c r="B4385" s="42"/>
      <c r="C4385" s="42"/>
      <c r="D4385" s="28" t="str">
        <f aca="false">IF(OR($B4385="",$C4385=""),"",$C4385*IFERROR(INDEX(Setup!$C$47:$C$56,MATCH($B4385,Setup!$A$47:$A$56,0)),IFERROR(INDEX(Setup!$C$60:$C$89,MATCH($B4385,Setup!$A$60:$A$89,0)),"")))</f>
        <v/>
      </c>
      <c r="E4385" s="42"/>
      <c r="F4385" s="42"/>
    </row>
    <row r="4386" customFormat="false" ht="15" hidden="false" customHeight="true" outlineLevel="0" collapsed="false">
      <c r="A4386" s="42"/>
      <c r="B4386" s="42"/>
      <c r="C4386" s="42"/>
      <c r="D4386" s="28" t="str">
        <f aca="false">IF(OR($B4386="",$C4386=""),"",$C4386*IFERROR(INDEX(Setup!$C$47:$C$56,MATCH($B4386,Setup!$A$47:$A$56,0)),IFERROR(INDEX(Setup!$C$60:$C$89,MATCH($B4386,Setup!$A$60:$A$89,0)),"")))</f>
        <v/>
      </c>
      <c r="E4386" s="42"/>
      <c r="F4386" s="42"/>
    </row>
    <row r="4387" customFormat="false" ht="15" hidden="false" customHeight="true" outlineLevel="0" collapsed="false">
      <c r="A4387" s="42"/>
      <c r="B4387" s="42"/>
      <c r="C4387" s="42"/>
      <c r="D4387" s="28" t="str">
        <f aca="false">IF(OR($B4387="",$C4387=""),"",$C4387*IFERROR(INDEX(Setup!$C$47:$C$56,MATCH($B4387,Setup!$A$47:$A$56,0)),IFERROR(INDEX(Setup!$C$60:$C$89,MATCH($B4387,Setup!$A$60:$A$89,0)),"")))</f>
        <v/>
      </c>
      <c r="E4387" s="42"/>
      <c r="F4387" s="42"/>
    </row>
    <row r="4388" customFormat="false" ht="15" hidden="false" customHeight="true" outlineLevel="0" collapsed="false">
      <c r="A4388" s="42"/>
      <c r="B4388" s="42"/>
      <c r="C4388" s="42"/>
      <c r="D4388" s="28" t="str">
        <f aca="false">IF(OR($B4388="",$C4388=""),"",$C4388*IFERROR(INDEX(Setup!$C$47:$C$56,MATCH($B4388,Setup!$A$47:$A$56,0)),IFERROR(INDEX(Setup!$C$60:$C$89,MATCH($B4388,Setup!$A$60:$A$89,0)),"")))</f>
        <v/>
      </c>
      <c r="E4388" s="42"/>
      <c r="F4388" s="42"/>
    </row>
    <row r="4389" customFormat="false" ht="15" hidden="false" customHeight="true" outlineLevel="0" collapsed="false">
      <c r="A4389" s="42"/>
      <c r="B4389" s="42"/>
      <c r="C4389" s="42"/>
      <c r="D4389" s="28" t="str">
        <f aca="false">IF(OR($B4389="",$C4389=""),"",$C4389*IFERROR(INDEX(Setup!$C$47:$C$56,MATCH($B4389,Setup!$A$47:$A$56,0)),IFERROR(INDEX(Setup!$C$60:$C$89,MATCH($B4389,Setup!$A$60:$A$89,0)),"")))</f>
        <v/>
      </c>
      <c r="E4389" s="42"/>
      <c r="F4389" s="42"/>
    </row>
    <row r="4390" customFormat="false" ht="15" hidden="false" customHeight="true" outlineLevel="0" collapsed="false">
      <c r="A4390" s="42"/>
      <c r="B4390" s="42"/>
      <c r="C4390" s="42"/>
      <c r="D4390" s="28" t="str">
        <f aca="false">IF(OR($B4390="",$C4390=""),"",$C4390*IFERROR(INDEX(Setup!$C$47:$C$56,MATCH($B4390,Setup!$A$47:$A$56,0)),IFERROR(INDEX(Setup!$C$60:$C$89,MATCH($B4390,Setup!$A$60:$A$89,0)),"")))</f>
        <v/>
      </c>
      <c r="E4390" s="42"/>
      <c r="F4390" s="42"/>
    </row>
    <row r="4391" customFormat="false" ht="15" hidden="false" customHeight="true" outlineLevel="0" collapsed="false">
      <c r="A4391" s="42"/>
      <c r="B4391" s="42"/>
      <c r="C4391" s="42"/>
      <c r="D4391" s="28" t="str">
        <f aca="false">IF(OR($B4391="",$C4391=""),"",$C4391*IFERROR(INDEX(Setup!$C$47:$C$56,MATCH($B4391,Setup!$A$47:$A$56,0)),IFERROR(INDEX(Setup!$C$60:$C$89,MATCH($B4391,Setup!$A$60:$A$89,0)),"")))</f>
        <v/>
      </c>
      <c r="E4391" s="42"/>
      <c r="F4391" s="42"/>
    </row>
    <row r="4392" customFormat="false" ht="15" hidden="false" customHeight="true" outlineLevel="0" collapsed="false">
      <c r="A4392" s="42"/>
      <c r="B4392" s="42"/>
      <c r="C4392" s="42"/>
      <c r="D4392" s="28" t="str">
        <f aca="false">IF(OR($B4392="",$C4392=""),"",$C4392*IFERROR(INDEX(Setup!$C$47:$C$56,MATCH($B4392,Setup!$A$47:$A$56,0)),IFERROR(INDEX(Setup!$C$60:$C$89,MATCH($B4392,Setup!$A$60:$A$89,0)),"")))</f>
        <v/>
      </c>
      <c r="E4392" s="42"/>
      <c r="F4392" s="42"/>
    </row>
    <row r="4393" customFormat="false" ht="15" hidden="false" customHeight="true" outlineLevel="0" collapsed="false">
      <c r="A4393" s="42"/>
      <c r="B4393" s="42"/>
      <c r="C4393" s="42"/>
      <c r="D4393" s="28" t="str">
        <f aca="false">IF(OR($B4393="",$C4393=""),"",$C4393*IFERROR(INDEX(Setup!$C$47:$C$56,MATCH($B4393,Setup!$A$47:$A$56,0)),IFERROR(INDEX(Setup!$C$60:$C$89,MATCH($B4393,Setup!$A$60:$A$89,0)),"")))</f>
        <v/>
      </c>
      <c r="E4393" s="42"/>
      <c r="F4393" s="42"/>
    </row>
    <row r="4394" customFormat="false" ht="15" hidden="false" customHeight="true" outlineLevel="0" collapsed="false">
      <c r="A4394" s="42"/>
      <c r="B4394" s="42"/>
      <c r="C4394" s="42"/>
      <c r="D4394" s="28" t="str">
        <f aca="false">IF(OR($B4394="",$C4394=""),"",$C4394*IFERROR(INDEX(Setup!$C$47:$C$56,MATCH($B4394,Setup!$A$47:$A$56,0)),IFERROR(INDEX(Setup!$C$60:$C$89,MATCH($B4394,Setup!$A$60:$A$89,0)),"")))</f>
        <v/>
      </c>
      <c r="E4394" s="42"/>
      <c r="F4394" s="42"/>
    </row>
    <row r="4395" customFormat="false" ht="15" hidden="false" customHeight="true" outlineLevel="0" collapsed="false">
      <c r="A4395" s="42"/>
      <c r="B4395" s="42"/>
      <c r="C4395" s="42"/>
      <c r="D4395" s="28" t="str">
        <f aca="false">IF(OR($B4395="",$C4395=""),"",$C4395*IFERROR(INDEX(Setup!$C$47:$C$56,MATCH($B4395,Setup!$A$47:$A$56,0)),IFERROR(INDEX(Setup!$C$60:$C$89,MATCH($B4395,Setup!$A$60:$A$89,0)),"")))</f>
        <v/>
      </c>
      <c r="E4395" s="42"/>
      <c r="F4395" s="42"/>
    </row>
    <row r="4396" customFormat="false" ht="15" hidden="false" customHeight="true" outlineLevel="0" collapsed="false">
      <c r="A4396" s="42"/>
      <c r="B4396" s="42"/>
      <c r="C4396" s="42"/>
      <c r="D4396" s="28" t="str">
        <f aca="false">IF(OR($B4396="",$C4396=""),"",$C4396*IFERROR(INDEX(Setup!$C$47:$C$56,MATCH($B4396,Setup!$A$47:$A$56,0)),IFERROR(INDEX(Setup!$C$60:$C$89,MATCH($B4396,Setup!$A$60:$A$89,0)),"")))</f>
        <v/>
      </c>
      <c r="E4396" s="42"/>
      <c r="F4396" s="42"/>
    </row>
    <row r="4397" customFormat="false" ht="15" hidden="false" customHeight="true" outlineLevel="0" collapsed="false">
      <c r="A4397" s="42"/>
      <c r="B4397" s="42"/>
      <c r="C4397" s="42"/>
      <c r="D4397" s="28" t="str">
        <f aca="false">IF(OR($B4397="",$C4397=""),"",$C4397*IFERROR(INDEX(Setup!$C$47:$C$56,MATCH($B4397,Setup!$A$47:$A$56,0)),IFERROR(INDEX(Setup!$C$60:$C$89,MATCH($B4397,Setup!$A$60:$A$89,0)),"")))</f>
        <v/>
      </c>
      <c r="E4397" s="42"/>
      <c r="F4397" s="42"/>
    </row>
    <row r="4398" customFormat="false" ht="15" hidden="false" customHeight="true" outlineLevel="0" collapsed="false">
      <c r="A4398" s="42"/>
      <c r="B4398" s="42"/>
      <c r="C4398" s="42"/>
      <c r="D4398" s="28" t="str">
        <f aca="false">IF(OR($B4398="",$C4398=""),"",$C4398*IFERROR(INDEX(Setup!$C$47:$C$56,MATCH($B4398,Setup!$A$47:$A$56,0)),IFERROR(INDEX(Setup!$C$60:$C$89,MATCH($B4398,Setup!$A$60:$A$89,0)),"")))</f>
        <v/>
      </c>
      <c r="E4398" s="42"/>
      <c r="F4398" s="42"/>
    </row>
    <row r="4399" customFormat="false" ht="15" hidden="false" customHeight="true" outlineLevel="0" collapsed="false">
      <c r="A4399" s="42"/>
      <c r="B4399" s="42"/>
      <c r="C4399" s="42"/>
      <c r="D4399" s="28" t="str">
        <f aca="false">IF(OR($B4399="",$C4399=""),"",$C4399*IFERROR(INDEX(Setup!$C$47:$C$56,MATCH($B4399,Setup!$A$47:$A$56,0)),IFERROR(INDEX(Setup!$C$60:$C$89,MATCH($B4399,Setup!$A$60:$A$89,0)),"")))</f>
        <v/>
      </c>
      <c r="E4399" s="42"/>
      <c r="F4399" s="42"/>
    </row>
    <row r="4400" customFormat="false" ht="15" hidden="false" customHeight="true" outlineLevel="0" collapsed="false">
      <c r="A4400" s="42"/>
      <c r="B4400" s="42"/>
      <c r="C4400" s="42"/>
      <c r="D4400" s="28" t="str">
        <f aca="false">IF(OR($B4400="",$C4400=""),"",$C4400*IFERROR(INDEX(Setup!$C$47:$C$56,MATCH($B4400,Setup!$A$47:$A$56,0)),IFERROR(INDEX(Setup!$C$60:$C$89,MATCH($B4400,Setup!$A$60:$A$89,0)),"")))</f>
        <v/>
      </c>
      <c r="E4400" s="42"/>
      <c r="F4400" s="42"/>
    </row>
    <row r="4401" customFormat="false" ht="15" hidden="false" customHeight="true" outlineLevel="0" collapsed="false">
      <c r="A4401" s="42"/>
      <c r="B4401" s="42"/>
      <c r="C4401" s="42"/>
      <c r="D4401" s="28" t="str">
        <f aca="false">IF(OR($B4401="",$C4401=""),"",$C4401*IFERROR(INDEX(Setup!$C$47:$C$56,MATCH($B4401,Setup!$A$47:$A$56,0)),IFERROR(INDEX(Setup!$C$60:$C$89,MATCH($B4401,Setup!$A$60:$A$89,0)),"")))</f>
        <v/>
      </c>
      <c r="E4401" s="42"/>
      <c r="F4401" s="42"/>
    </row>
    <row r="4402" customFormat="false" ht="15" hidden="false" customHeight="true" outlineLevel="0" collapsed="false">
      <c r="A4402" s="42"/>
      <c r="B4402" s="42"/>
      <c r="C4402" s="42"/>
      <c r="D4402" s="28" t="str">
        <f aca="false">IF(OR($B4402="",$C4402=""),"",$C4402*IFERROR(INDEX(Setup!$C$47:$C$56,MATCH($B4402,Setup!$A$47:$A$56,0)),IFERROR(INDEX(Setup!$C$60:$C$89,MATCH($B4402,Setup!$A$60:$A$89,0)),"")))</f>
        <v/>
      </c>
      <c r="E4402" s="42"/>
      <c r="F4402" s="42"/>
    </row>
    <row r="4403" customFormat="false" ht="15" hidden="false" customHeight="true" outlineLevel="0" collapsed="false">
      <c r="A4403" s="42"/>
      <c r="B4403" s="42"/>
      <c r="C4403" s="42"/>
      <c r="D4403" s="28" t="str">
        <f aca="false">IF(OR($B4403="",$C4403=""),"",$C4403*IFERROR(INDEX(Setup!$C$47:$C$56,MATCH($B4403,Setup!$A$47:$A$56,0)),IFERROR(INDEX(Setup!$C$60:$C$89,MATCH($B4403,Setup!$A$60:$A$89,0)),"")))</f>
        <v/>
      </c>
      <c r="E4403" s="42"/>
      <c r="F4403" s="42"/>
    </row>
    <row r="4404" customFormat="false" ht="15" hidden="false" customHeight="true" outlineLevel="0" collapsed="false">
      <c r="A4404" s="42"/>
      <c r="B4404" s="42"/>
      <c r="C4404" s="42"/>
      <c r="D4404" s="28" t="str">
        <f aca="false">IF(OR($B4404="",$C4404=""),"",$C4404*IFERROR(INDEX(Setup!$C$47:$C$56,MATCH($B4404,Setup!$A$47:$A$56,0)),IFERROR(INDEX(Setup!$C$60:$C$89,MATCH($B4404,Setup!$A$60:$A$89,0)),"")))</f>
        <v/>
      </c>
      <c r="E4404" s="42"/>
      <c r="F4404" s="42"/>
    </row>
    <row r="4405" customFormat="false" ht="15" hidden="false" customHeight="true" outlineLevel="0" collapsed="false">
      <c r="A4405" s="42"/>
      <c r="B4405" s="42"/>
      <c r="C4405" s="42"/>
      <c r="D4405" s="28" t="str">
        <f aca="false">IF(OR($B4405="",$C4405=""),"",$C4405*IFERROR(INDEX(Setup!$C$47:$C$56,MATCH($B4405,Setup!$A$47:$A$56,0)),IFERROR(INDEX(Setup!$C$60:$C$89,MATCH($B4405,Setup!$A$60:$A$89,0)),"")))</f>
        <v/>
      </c>
      <c r="E4405" s="42"/>
      <c r="F4405" s="42"/>
    </row>
    <row r="4406" customFormat="false" ht="15" hidden="false" customHeight="true" outlineLevel="0" collapsed="false">
      <c r="A4406" s="42"/>
      <c r="B4406" s="42"/>
      <c r="C4406" s="42"/>
      <c r="D4406" s="28" t="str">
        <f aca="false">IF(OR($B4406="",$C4406=""),"",$C4406*IFERROR(INDEX(Setup!$C$47:$C$56,MATCH($B4406,Setup!$A$47:$A$56,0)),IFERROR(INDEX(Setup!$C$60:$C$89,MATCH($B4406,Setup!$A$60:$A$89,0)),"")))</f>
        <v/>
      </c>
      <c r="E4406" s="42"/>
      <c r="F4406" s="42"/>
    </row>
    <row r="4407" customFormat="false" ht="15" hidden="false" customHeight="true" outlineLevel="0" collapsed="false">
      <c r="A4407" s="42"/>
      <c r="B4407" s="42"/>
      <c r="C4407" s="42"/>
      <c r="D4407" s="28" t="str">
        <f aca="false">IF(OR($B4407="",$C4407=""),"",$C4407*IFERROR(INDEX(Setup!$C$47:$C$56,MATCH($B4407,Setup!$A$47:$A$56,0)),IFERROR(INDEX(Setup!$C$60:$C$89,MATCH($B4407,Setup!$A$60:$A$89,0)),"")))</f>
        <v/>
      </c>
      <c r="E4407" s="42"/>
      <c r="F4407" s="42"/>
    </row>
    <row r="4408" customFormat="false" ht="15" hidden="false" customHeight="true" outlineLevel="0" collapsed="false">
      <c r="A4408" s="42"/>
      <c r="B4408" s="42"/>
      <c r="C4408" s="42"/>
      <c r="D4408" s="28" t="str">
        <f aca="false">IF(OR($B4408="",$C4408=""),"",$C4408*IFERROR(INDEX(Setup!$C$47:$C$56,MATCH($B4408,Setup!$A$47:$A$56,0)),IFERROR(INDEX(Setup!$C$60:$C$89,MATCH($B4408,Setup!$A$60:$A$89,0)),"")))</f>
        <v/>
      </c>
      <c r="E4408" s="42"/>
      <c r="F4408" s="42"/>
    </row>
    <row r="4409" customFormat="false" ht="15" hidden="false" customHeight="true" outlineLevel="0" collapsed="false">
      <c r="A4409" s="42"/>
      <c r="B4409" s="42"/>
      <c r="C4409" s="42"/>
      <c r="D4409" s="28" t="str">
        <f aca="false">IF(OR($B4409="",$C4409=""),"",$C4409*IFERROR(INDEX(Setup!$C$47:$C$56,MATCH($B4409,Setup!$A$47:$A$56,0)),IFERROR(INDEX(Setup!$C$60:$C$89,MATCH($B4409,Setup!$A$60:$A$89,0)),"")))</f>
        <v/>
      </c>
      <c r="E4409" s="42"/>
      <c r="F4409" s="42"/>
    </row>
    <row r="4410" customFormat="false" ht="15" hidden="false" customHeight="true" outlineLevel="0" collapsed="false">
      <c r="A4410" s="42"/>
      <c r="B4410" s="42"/>
      <c r="C4410" s="42"/>
      <c r="D4410" s="28" t="str">
        <f aca="false">IF(OR($B4410="",$C4410=""),"",$C4410*IFERROR(INDEX(Setup!$C$47:$C$56,MATCH($B4410,Setup!$A$47:$A$56,0)),IFERROR(INDEX(Setup!$C$60:$C$89,MATCH($B4410,Setup!$A$60:$A$89,0)),"")))</f>
        <v/>
      </c>
      <c r="E4410" s="42"/>
      <c r="F4410" s="42"/>
    </row>
    <row r="4411" customFormat="false" ht="15" hidden="false" customHeight="true" outlineLevel="0" collapsed="false">
      <c r="A4411" s="42"/>
      <c r="B4411" s="42"/>
      <c r="C4411" s="42"/>
      <c r="D4411" s="28" t="str">
        <f aca="false">IF(OR($B4411="",$C4411=""),"",$C4411*IFERROR(INDEX(Setup!$C$47:$C$56,MATCH($B4411,Setup!$A$47:$A$56,0)),IFERROR(INDEX(Setup!$C$60:$C$89,MATCH($B4411,Setup!$A$60:$A$89,0)),"")))</f>
        <v/>
      </c>
      <c r="E4411" s="42"/>
      <c r="F4411" s="42"/>
    </row>
    <row r="4412" customFormat="false" ht="15" hidden="false" customHeight="true" outlineLevel="0" collapsed="false">
      <c r="A4412" s="42"/>
      <c r="B4412" s="42"/>
      <c r="C4412" s="42"/>
      <c r="D4412" s="28" t="str">
        <f aca="false">IF(OR($B4412="",$C4412=""),"",$C4412*IFERROR(INDEX(Setup!$C$47:$C$56,MATCH($B4412,Setup!$A$47:$A$56,0)),IFERROR(INDEX(Setup!$C$60:$C$89,MATCH($B4412,Setup!$A$60:$A$89,0)),"")))</f>
        <v/>
      </c>
      <c r="E4412" s="42"/>
      <c r="F4412" s="42"/>
    </row>
    <row r="4413" customFormat="false" ht="15" hidden="false" customHeight="true" outlineLevel="0" collapsed="false">
      <c r="A4413" s="42"/>
      <c r="B4413" s="42"/>
      <c r="C4413" s="42"/>
      <c r="D4413" s="28" t="str">
        <f aca="false">IF(OR($B4413="",$C4413=""),"",$C4413*IFERROR(INDEX(Setup!$C$47:$C$56,MATCH($B4413,Setup!$A$47:$A$56,0)),IFERROR(INDEX(Setup!$C$60:$C$89,MATCH($B4413,Setup!$A$60:$A$89,0)),"")))</f>
        <v/>
      </c>
      <c r="E4413" s="42"/>
      <c r="F4413" s="42"/>
    </row>
    <row r="4414" customFormat="false" ht="15" hidden="false" customHeight="true" outlineLevel="0" collapsed="false">
      <c r="A4414" s="42"/>
      <c r="B4414" s="42"/>
      <c r="C4414" s="42"/>
      <c r="D4414" s="28" t="str">
        <f aca="false">IF(OR($B4414="",$C4414=""),"",$C4414*IFERROR(INDEX(Setup!$C$47:$C$56,MATCH($B4414,Setup!$A$47:$A$56,0)),IFERROR(INDEX(Setup!$C$60:$C$89,MATCH($B4414,Setup!$A$60:$A$89,0)),"")))</f>
        <v/>
      </c>
      <c r="E4414" s="42"/>
      <c r="F4414" s="42"/>
    </row>
    <row r="4415" customFormat="false" ht="15" hidden="false" customHeight="true" outlineLevel="0" collapsed="false">
      <c r="A4415" s="42"/>
      <c r="B4415" s="42"/>
      <c r="C4415" s="42"/>
      <c r="D4415" s="28" t="str">
        <f aca="false">IF(OR($B4415="",$C4415=""),"",$C4415*IFERROR(INDEX(Setup!$C$47:$C$56,MATCH($B4415,Setup!$A$47:$A$56,0)),IFERROR(INDEX(Setup!$C$60:$C$89,MATCH($B4415,Setup!$A$60:$A$89,0)),"")))</f>
        <v/>
      </c>
      <c r="E4415" s="42"/>
      <c r="F4415" s="42"/>
    </row>
    <row r="4416" customFormat="false" ht="15" hidden="false" customHeight="true" outlineLevel="0" collapsed="false">
      <c r="A4416" s="42"/>
      <c r="B4416" s="42"/>
      <c r="C4416" s="42"/>
      <c r="D4416" s="28" t="str">
        <f aca="false">IF(OR($B4416="",$C4416=""),"",$C4416*IFERROR(INDEX(Setup!$C$47:$C$56,MATCH($B4416,Setup!$A$47:$A$56,0)),IFERROR(INDEX(Setup!$C$60:$C$89,MATCH($B4416,Setup!$A$60:$A$89,0)),"")))</f>
        <v/>
      </c>
      <c r="E4416" s="42"/>
      <c r="F4416" s="42"/>
    </row>
    <row r="4417" customFormat="false" ht="15" hidden="false" customHeight="true" outlineLevel="0" collapsed="false">
      <c r="A4417" s="42"/>
      <c r="B4417" s="42"/>
      <c r="C4417" s="42"/>
      <c r="D4417" s="28" t="str">
        <f aca="false">IF(OR($B4417="",$C4417=""),"",$C4417*IFERROR(INDEX(Setup!$C$47:$C$56,MATCH($B4417,Setup!$A$47:$A$56,0)),IFERROR(INDEX(Setup!$C$60:$C$89,MATCH($B4417,Setup!$A$60:$A$89,0)),"")))</f>
        <v/>
      </c>
      <c r="E4417" s="42"/>
      <c r="F4417" s="42"/>
    </row>
    <row r="4418" customFormat="false" ht="15" hidden="false" customHeight="true" outlineLevel="0" collapsed="false">
      <c r="A4418" s="42"/>
      <c r="B4418" s="42"/>
      <c r="C4418" s="42"/>
      <c r="D4418" s="28" t="str">
        <f aca="false">IF(OR($B4418="",$C4418=""),"",$C4418*IFERROR(INDEX(Setup!$C$47:$C$56,MATCH($B4418,Setup!$A$47:$A$56,0)),IFERROR(INDEX(Setup!$C$60:$C$89,MATCH($B4418,Setup!$A$60:$A$89,0)),"")))</f>
        <v/>
      </c>
      <c r="E4418" s="42"/>
      <c r="F4418" s="42"/>
    </row>
    <row r="4419" customFormat="false" ht="15" hidden="false" customHeight="true" outlineLevel="0" collapsed="false">
      <c r="A4419" s="42"/>
      <c r="B4419" s="42"/>
      <c r="C4419" s="42"/>
      <c r="D4419" s="28" t="str">
        <f aca="false">IF(OR($B4419="",$C4419=""),"",$C4419*IFERROR(INDEX(Setup!$C$47:$C$56,MATCH($B4419,Setup!$A$47:$A$56,0)),IFERROR(INDEX(Setup!$C$60:$C$89,MATCH($B4419,Setup!$A$60:$A$89,0)),"")))</f>
        <v/>
      </c>
      <c r="E4419" s="42"/>
      <c r="F4419" s="42"/>
    </row>
    <row r="4420" customFormat="false" ht="15" hidden="false" customHeight="true" outlineLevel="0" collapsed="false">
      <c r="A4420" s="42"/>
      <c r="B4420" s="42"/>
      <c r="C4420" s="42"/>
      <c r="D4420" s="28" t="str">
        <f aca="false">IF(OR($B4420="",$C4420=""),"",$C4420*IFERROR(INDEX(Setup!$C$47:$C$56,MATCH($B4420,Setup!$A$47:$A$56,0)),IFERROR(INDEX(Setup!$C$60:$C$89,MATCH($B4420,Setup!$A$60:$A$89,0)),"")))</f>
        <v/>
      </c>
      <c r="E4420" s="42"/>
      <c r="F4420" s="42"/>
    </row>
    <row r="4421" customFormat="false" ht="15" hidden="false" customHeight="true" outlineLevel="0" collapsed="false">
      <c r="A4421" s="42"/>
      <c r="B4421" s="42"/>
      <c r="C4421" s="42"/>
      <c r="D4421" s="28" t="str">
        <f aca="false">IF(OR($B4421="",$C4421=""),"",$C4421*IFERROR(INDEX(Setup!$C$47:$C$56,MATCH($B4421,Setup!$A$47:$A$56,0)),IFERROR(INDEX(Setup!$C$60:$C$89,MATCH($B4421,Setup!$A$60:$A$89,0)),"")))</f>
        <v/>
      </c>
      <c r="E4421" s="42"/>
      <c r="F4421" s="42"/>
    </row>
    <row r="4422" customFormat="false" ht="15" hidden="false" customHeight="true" outlineLevel="0" collapsed="false">
      <c r="A4422" s="42"/>
      <c r="B4422" s="42"/>
      <c r="C4422" s="42"/>
      <c r="D4422" s="28" t="str">
        <f aca="false">IF(OR($B4422="",$C4422=""),"",$C4422*IFERROR(INDEX(Setup!$C$47:$C$56,MATCH($B4422,Setup!$A$47:$A$56,0)),IFERROR(INDEX(Setup!$C$60:$C$89,MATCH($B4422,Setup!$A$60:$A$89,0)),"")))</f>
        <v/>
      </c>
      <c r="E4422" s="42"/>
      <c r="F4422" s="42"/>
    </row>
    <row r="4423" customFormat="false" ht="15" hidden="false" customHeight="true" outlineLevel="0" collapsed="false">
      <c r="A4423" s="42"/>
      <c r="B4423" s="42"/>
      <c r="C4423" s="42"/>
      <c r="D4423" s="28" t="str">
        <f aca="false">IF(OR($B4423="",$C4423=""),"",$C4423*IFERROR(INDEX(Setup!$C$47:$C$56,MATCH($B4423,Setup!$A$47:$A$56,0)),IFERROR(INDEX(Setup!$C$60:$C$89,MATCH($B4423,Setup!$A$60:$A$89,0)),"")))</f>
        <v/>
      </c>
      <c r="E4423" s="42"/>
      <c r="F4423" s="42"/>
    </row>
    <row r="4424" customFormat="false" ht="15" hidden="false" customHeight="true" outlineLevel="0" collapsed="false">
      <c r="A4424" s="42"/>
      <c r="B4424" s="42"/>
      <c r="C4424" s="42"/>
      <c r="D4424" s="28" t="str">
        <f aca="false">IF(OR($B4424="",$C4424=""),"",$C4424*IFERROR(INDEX(Setup!$C$47:$C$56,MATCH($B4424,Setup!$A$47:$A$56,0)),IFERROR(INDEX(Setup!$C$60:$C$89,MATCH($B4424,Setup!$A$60:$A$89,0)),"")))</f>
        <v/>
      </c>
      <c r="E4424" s="42"/>
      <c r="F4424" s="42"/>
    </row>
    <row r="4425" customFormat="false" ht="15" hidden="false" customHeight="true" outlineLevel="0" collapsed="false">
      <c r="A4425" s="42"/>
      <c r="B4425" s="42"/>
      <c r="C4425" s="42"/>
      <c r="D4425" s="28" t="str">
        <f aca="false">IF(OR($B4425="",$C4425=""),"",$C4425*IFERROR(INDEX(Setup!$C$47:$C$56,MATCH($B4425,Setup!$A$47:$A$56,0)),IFERROR(INDEX(Setup!$C$60:$C$89,MATCH($B4425,Setup!$A$60:$A$89,0)),"")))</f>
        <v/>
      </c>
      <c r="E4425" s="42"/>
      <c r="F4425" s="42"/>
    </row>
    <row r="4426" customFormat="false" ht="15" hidden="false" customHeight="true" outlineLevel="0" collapsed="false">
      <c r="A4426" s="42"/>
      <c r="B4426" s="42"/>
      <c r="C4426" s="42"/>
      <c r="D4426" s="28" t="str">
        <f aca="false">IF(OR($B4426="",$C4426=""),"",$C4426*IFERROR(INDEX(Setup!$C$47:$C$56,MATCH($B4426,Setup!$A$47:$A$56,0)),IFERROR(INDEX(Setup!$C$60:$C$89,MATCH($B4426,Setup!$A$60:$A$89,0)),"")))</f>
        <v/>
      </c>
      <c r="E4426" s="42"/>
      <c r="F4426" s="42"/>
    </row>
    <row r="4427" customFormat="false" ht="15" hidden="false" customHeight="true" outlineLevel="0" collapsed="false">
      <c r="A4427" s="42"/>
      <c r="B4427" s="42"/>
      <c r="C4427" s="42"/>
      <c r="D4427" s="28" t="str">
        <f aca="false">IF(OR($B4427="",$C4427=""),"",$C4427*IFERROR(INDEX(Setup!$C$47:$C$56,MATCH($B4427,Setup!$A$47:$A$56,0)),IFERROR(INDEX(Setup!$C$60:$C$89,MATCH($B4427,Setup!$A$60:$A$89,0)),"")))</f>
        <v/>
      </c>
      <c r="E4427" s="42"/>
      <c r="F4427" s="42"/>
    </row>
    <row r="4428" customFormat="false" ht="15" hidden="false" customHeight="true" outlineLevel="0" collapsed="false">
      <c r="A4428" s="42"/>
      <c r="B4428" s="42"/>
      <c r="C4428" s="42"/>
      <c r="D4428" s="28" t="str">
        <f aca="false">IF(OR($B4428="",$C4428=""),"",$C4428*IFERROR(INDEX(Setup!$C$47:$C$56,MATCH($B4428,Setup!$A$47:$A$56,0)),IFERROR(INDEX(Setup!$C$60:$C$89,MATCH($B4428,Setup!$A$60:$A$89,0)),"")))</f>
        <v/>
      </c>
      <c r="E4428" s="42"/>
      <c r="F4428" s="42"/>
    </row>
    <row r="4429" customFormat="false" ht="15" hidden="false" customHeight="true" outlineLevel="0" collapsed="false">
      <c r="A4429" s="42"/>
      <c r="B4429" s="42"/>
      <c r="C4429" s="42"/>
      <c r="D4429" s="28" t="str">
        <f aca="false">IF(OR($B4429="",$C4429=""),"",$C4429*IFERROR(INDEX(Setup!$C$47:$C$56,MATCH($B4429,Setup!$A$47:$A$56,0)),IFERROR(INDEX(Setup!$C$60:$C$89,MATCH($B4429,Setup!$A$60:$A$89,0)),"")))</f>
        <v/>
      </c>
      <c r="E4429" s="42"/>
      <c r="F4429" s="42"/>
    </row>
    <row r="4430" customFormat="false" ht="15" hidden="false" customHeight="true" outlineLevel="0" collapsed="false">
      <c r="A4430" s="42"/>
      <c r="B4430" s="42"/>
      <c r="C4430" s="42"/>
      <c r="D4430" s="28" t="str">
        <f aca="false">IF(OR($B4430="",$C4430=""),"",$C4430*IFERROR(INDEX(Setup!$C$47:$C$56,MATCH($B4430,Setup!$A$47:$A$56,0)),IFERROR(INDEX(Setup!$C$60:$C$89,MATCH($B4430,Setup!$A$60:$A$89,0)),"")))</f>
        <v/>
      </c>
      <c r="E4430" s="42"/>
      <c r="F4430" s="42"/>
    </row>
    <row r="4431" customFormat="false" ht="15" hidden="false" customHeight="true" outlineLevel="0" collapsed="false">
      <c r="A4431" s="42"/>
      <c r="B4431" s="42"/>
      <c r="C4431" s="42"/>
      <c r="D4431" s="28" t="str">
        <f aca="false">IF(OR($B4431="",$C4431=""),"",$C4431*IFERROR(INDEX(Setup!$C$47:$C$56,MATCH($B4431,Setup!$A$47:$A$56,0)),IFERROR(INDEX(Setup!$C$60:$C$89,MATCH($B4431,Setup!$A$60:$A$89,0)),"")))</f>
        <v/>
      </c>
      <c r="E4431" s="42"/>
      <c r="F4431" s="42"/>
    </row>
    <row r="4432" customFormat="false" ht="15" hidden="false" customHeight="true" outlineLevel="0" collapsed="false">
      <c r="A4432" s="42"/>
      <c r="B4432" s="42"/>
      <c r="C4432" s="42"/>
      <c r="D4432" s="28" t="str">
        <f aca="false">IF(OR($B4432="",$C4432=""),"",$C4432*IFERROR(INDEX(Setup!$C$47:$C$56,MATCH($B4432,Setup!$A$47:$A$56,0)),IFERROR(INDEX(Setup!$C$60:$C$89,MATCH($B4432,Setup!$A$60:$A$89,0)),"")))</f>
        <v/>
      </c>
      <c r="E4432" s="42"/>
      <c r="F4432" s="42"/>
    </row>
    <row r="4433" customFormat="false" ht="15" hidden="false" customHeight="true" outlineLevel="0" collapsed="false">
      <c r="A4433" s="42"/>
      <c r="B4433" s="42"/>
      <c r="C4433" s="42"/>
      <c r="D4433" s="28" t="str">
        <f aca="false">IF(OR($B4433="",$C4433=""),"",$C4433*IFERROR(INDEX(Setup!$C$47:$C$56,MATCH($B4433,Setup!$A$47:$A$56,0)),IFERROR(INDEX(Setup!$C$60:$C$89,MATCH($B4433,Setup!$A$60:$A$89,0)),"")))</f>
        <v/>
      </c>
      <c r="E4433" s="42"/>
      <c r="F4433" s="42"/>
    </row>
    <row r="4434" customFormat="false" ht="15" hidden="false" customHeight="true" outlineLevel="0" collapsed="false">
      <c r="A4434" s="42"/>
      <c r="B4434" s="42"/>
      <c r="C4434" s="42"/>
      <c r="D4434" s="28" t="str">
        <f aca="false">IF(OR($B4434="",$C4434=""),"",$C4434*IFERROR(INDEX(Setup!$C$47:$C$56,MATCH($B4434,Setup!$A$47:$A$56,0)),IFERROR(INDEX(Setup!$C$60:$C$89,MATCH($B4434,Setup!$A$60:$A$89,0)),"")))</f>
        <v/>
      </c>
      <c r="E4434" s="42"/>
      <c r="F4434" s="42"/>
    </row>
    <row r="4435" customFormat="false" ht="15" hidden="false" customHeight="true" outlineLevel="0" collapsed="false">
      <c r="A4435" s="42"/>
      <c r="B4435" s="42"/>
      <c r="C4435" s="42"/>
      <c r="D4435" s="28" t="str">
        <f aca="false">IF(OR($B4435="",$C4435=""),"",$C4435*IFERROR(INDEX(Setup!$C$47:$C$56,MATCH($B4435,Setup!$A$47:$A$56,0)),IFERROR(INDEX(Setup!$C$60:$C$89,MATCH($B4435,Setup!$A$60:$A$89,0)),"")))</f>
        <v/>
      </c>
      <c r="E4435" s="42"/>
      <c r="F4435" s="42"/>
    </row>
    <row r="4436" customFormat="false" ht="15" hidden="false" customHeight="true" outlineLevel="0" collapsed="false">
      <c r="A4436" s="42"/>
      <c r="B4436" s="42"/>
      <c r="C4436" s="42"/>
      <c r="D4436" s="28" t="str">
        <f aca="false">IF(OR($B4436="",$C4436=""),"",$C4436*IFERROR(INDEX(Setup!$C$47:$C$56,MATCH($B4436,Setup!$A$47:$A$56,0)),IFERROR(INDEX(Setup!$C$60:$C$89,MATCH($B4436,Setup!$A$60:$A$89,0)),"")))</f>
        <v/>
      </c>
      <c r="E4436" s="42"/>
      <c r="F4436" s="42"/>
    </row>
    <row r="4437" customFormat="false" ht="15" hidden="false" customHeight="true" outlineLevel="0" collapsed="false">
      <c r="A4437" s="42"/>
      <c r="B4437" s="42"/>
      <c r="C4437" s="42"/>
      <c r="D4437" s="28" t="str">
        <f aca="false">IF(OR($B4437="",$C4437=""),"",$C4437*IFERROR(INDEX(Setup!$C$47:$C$56,MATCH($B4437,Setup!$A$47:$A$56,0)),IFERROR(INDEX(Setup!$C$60:$C$89,MATCH($B4437,Setup!$A$60:$A$89,0)),"")))</f>
        <v/>
      </c>
      <c r="E4437" s="42"/>
      <c r="F4437" s="42"/>
    </row>
    <row r="4438" customFormat="false" ht="15" hidden="false" customHeight="true" outlineLevel="0" collapsed="false">
      <c r="A4438" s="42"/>
      <c r="B4438" s="42"/>
      <c r="C4438" s="42"/>
      <c r="D4438" s="28" t="str">
        <f aca="false">IF(OR($B4438="",$C4438=""),"",$C4438*IFERROR(INDEX(Setup!$C$47:$C$56,MATCH($B4438,Setup!$A$47:$A$56,0)),IFERROR(INDEX(Setup!$C$60:$C$89,MATCH($B4438,Setup!$A$60:$A$89,0)),"")))</f>
        <v/>
      </c>
      <c r="E4438" s="42"/>
      <c r="F4438" s="42"/>
    </row>
    <row r="4439" customFormat="false" ht="15" hidden="false" customHeight="true" outlineLevel="0" collapsed="false">
      <c r="A4439" s="42"/>
      <c r="B4439" s="42"/>
      <c r="C4439" s="42"/>
      <c r="D4439" s="28" t="str">
        <f aca="false">IF(OR($B4439="",$C4439=""),"",$C4439*IFERROR(INDEX(Setup!$C$47:$C$56,MATCH($B4439,Setup!$A$47:$A$56,0)),IFERROR(INDEX(Setup!$C$60:$C$89,MATCH($B4439,Setup!$A$60:$A$89,0)),"")))</f>
        <v/>
      </c>
      <c r="E4439" s="42"/>
      <c r="F4439" s="42"/>
    </row>
    <row r="4440" customFormat="false" ht="15" hidden="false" customHeight="true" outlineLevel="0" collapsed="false">
      <c r="A4440" s="42"/>
      <c r="B4440" s="42"/>
      <c r="C4440" s="42"/>
      <c r="D4440" s="28" t="str">
        <f aca="false">IF(OR($B4440="",$C4440=""),"",$C4440*IFERROR(INDEX(Setup!$C$47:$C$56,MATCH($B4440,Setup!$A$47:$A$56,0)),IFERROR(INDEX(Setup!$C$60:$C$89,MATCH($B4440,Setup!$A$60:$A$89,0)),"")))</f>
        <v/>
      </c>
      <c r="E4440" s="42"/>
      <c r="F4440" s="42"/>
    </row>
    <row r="4441" customFormat="false" ht="15" hidden="false" customHeight="true" outlineLevel="0" collapsed="false">
      <c r="A4441" s="42"/>
      <c r="B4441" s="42"/>
      <c r="C4441" s="42"/>
      <c r="D4441" s="28" t="str">
        <f aca="false">IF(OR($B4441="",$C4441=""),"",$C4441*IFERROR(INDEX(Setup!$C$47:$C$56,MATCH($B4441,Setup!$A$47:$A$56,0)),IFERROR(INDEX(Setup!$C$60:$C$89,MATCH($B4441,Setup!$A$60:$A$89,0)),"")))</f>
        <v/>
      </c>
      <c r="E4441" s="42"/>
      <c r="F4441" s="42"/>
    </row>
    <row r="4442" customFormat="false" ht="15" hidden="false" customHeight="true" outlineLevel="0" collapsed="false">
      <c r="A4442" s="42"/>
      <c r="B4442" s="42"/>
      <c r="C4442" s="42"/>
      <c r="D4442" s="28" t="str">
        <f aca="false">IF(OR($B4442="",$C4442=""),"",$C4442*IFERROR(INDEX(Setup!$C$47:$C$56,MATCH($B4442,Setup!$A$47:$A$56,0)),IFERROR(INDEX(Setup!$C$60:$C$89,MATCH($B4442,Setup!$A$60:$A$89,0)),"")))</f>
        <v/>
      </c>
      <c r="E4442" s="42"/>
      <c r="F4442" s="42"/>
    </row>
    <row r="4443" customFormat="false" ht="15" hidden="false" customHeight="true" outlineLevel="0" collapsed="false">
      <c r="A4443" s="42"/>
      <c r="B4443" s="42"/>
      <c r="C4443" s="42"/>
      <c r="D4443" s="28" t="str">
        <f aca="false">IF(OR($B4443="",$C4443=""),"",$C4443*IFERROR(INDEX(Setup!$C$47:$C$56,MATCH($B4443,Setup!$A$47:$A$56,0)),IFERROR(INDEX(Setup!$C$60:$C$89,MATCH($B4443,Setup!$A$60:$A$89,0)),"")))</f>
        <v/>
      </c>
      <c r="E4443" s="42"/>
      <c r="F4443" s="42"/>
    </row>
    <row r="4444" customFormat="false" ht="15" hidden="false" customHeight="true" outlineLevel="0" collapsed="false">
      <c r="A4444" s="42"/>
      <c r="B4444" s="42"/>
      <c r="C4444" s="42"/>
      <c r="D4444" s="28" t="str">
        <f aca="false">IF(OR($B4444="",$C4444=""),"",$C4444*IFERROR(INDEX(Setup!$C$47:$C$56,MATCH($B4444,Setup!$A$47:$A$56,0)),IFERROR(INDEX(Setup!$C$60:$C$89,MATCH($B4444,Setup!$A$60:$A$89,0)),"")))</f>
        <v/>
      </c>
      <c r="E4444" s="42"/>
      <c r="F4444" s="42"/>
    </row>
    <row r="4445" customFormat="false" ht="15" hidden="false" customHeight="true" outlineLevel="0" collapsed="false">
      <c r="A4445" s="42"/>
      <c r="B4445" s="42"/>
      <c r="C4445" s="42"/>
      <c r="D4445" s="28" t="str">
        <f aca="false">IF(OR($B4445="",$C4445=""),"",$C4445*IFERROR(INDEX(Setup!$C$47:$C$56,MATCH($B4445,Setup!$A$47:$A$56,0)),IFERROR(INDEX(Setup!$C$60:$C$89,MATCH($B4445,Setup!$A$60:$A$89,0)),"")))</f>
        <v/>
      </c>
      <c r="E4445" s="42"/>
      <c r="F4445" s="42"/>
    </row>
    <row r="4446" customFormat="false" ht="15" hidden="false" customHeight="true" outlineLevel="0" collapsed="false">
      <c r="A4446" s="42"/>
      <c r="B4446" s="42"/>
      <c r="C4446" s="42"/>
      <c r="D4446" s="28" t="str">
        <f aca="false">IF(OR($B4446="",$C4446=""),"",$C4446*IFERROR(INDEX(Setup!$C$47:$C$56,MATCH($B4446,Setup!$A$47:$A$56,0)),IFERROR(INDEX(Setup!$C$60:$C$89,MATCH($B4446,Setup!$A$60:$A$89,0)),"")))</f>
        <v/>
      </c>
      <c r="E4446" s="42"/>
      <c r="F4446" s="42"/>
    </row>
    <row r="4447" customFormat="false" ht="15" hidden="false" customHeight="true" outlineLevel="0" collapsed="false">
      <c r="A4447" s="42"/>
      <c r="B4447" s="42"/>
      <c r="C4447" s="42"/>
      <c r="D4447" s="28" t="str">
        <f aca="false">IF(OR($B4447="",$C4447=""),"",$C4447*IFERROR(INDEX(Setup!$C$47:$C$56,MATCH($B4447,Setup!$A$47:$A$56,0)),IFERROR(INDEX(Setup!$C$60:$C$89,MATCH($B4447,Setup!$A$60:$A$89,0)),"")))</f>
        <v/>
      </c>
      <c r="E4447" s="42"/>
      <c r="F4447" s="42"/>
    </row>
    <row r="4448" customFormat="false" ht="15" hidden="false" customHeight="true" outlineLevel="0" collapsed="false">
      <c r="A4448" s="42"/>
      <c r="B4448" s="42"/>
      <c r="C4448" s="42"/>
      <c r="D4448" s="28" t="str">
        <f aca="false">IF(OR($B4448="",$C4448=""),"",$C4448*IFERROR(INDEX(Setup!$C$47:$C$56,MATCH($B4448,Setup!$A$47:$A$56,0)),IFERROR(INDEX(Setup!$C$60:$C$89,MATCH($B4448,Setup!$A$60:$A$89,0)),"")))</f>
        <v/>
      </c>
      <c r="E4448" s="42"/>
      <c r="F4448" s="42"/>
    </row>
    <row r="4449" customFormat="false" ht="15" hidden="false" customHeight="true" outlineLevel="0" collapsed="false">
      <c r="A4449" s="42"/>
      <c r="B4449" s="42"/>
      <c r="C4449" s="42"/>
      <c r="D4449" s="28" t="str">
        <f aca="false">IF(OR($B4449="",$C4449=""),"",$C4449*IFERROR(INDEX(Setup!$C$47:$C$56,MATCH($B4449,Setup!$A$47:$A$56,0)),IFERROR(INDEX(Setup!$C$60:$C$89,MATCH($B4449,Setup!$A$60:$A$89,0)),"")))</f>
        <v/>
      </c>
      <c r="E4449" s="42"/>
      <c r="F4449" s="42"/>
    </row>
    <row r="4450" customFormat="false" ht="15" hidden="false" customHeight="true" outlineLevel="0" collapsed="false">
      <c r="A4450" s="42"/>
      <c r="B4450" s="42"/>
      <c r="C4450" s="42"/>
      <c r="D4450" s="28" t="str">
        <f aca="false">IF(OR($B4450="",$C4450=""),"",$C4450*IFERROR(INDEX(Setup!$C$47:$C$56,MATCH($B4450,Setup!$A$47:$A$56,0)),IFERROR(INDEX(Setup!$C$60:$C$89,MATCH($B4450,Setup!$A$60:$A$89,0)),"")))</f>
        <v/>
      </c>
      <c r="E4450" s="42"/>
      <c r="F4450" s="42"/>
    </row>
    <row r="4451" customFormat="false" ht="15" hidden="false" customHeight="true" outlineLevel="0" collapsed="false">
      <c r="A4451" s="42"/>
      <c r="B4451" s="42"/>
      <c r="C4451" s="42"/>
      <c r="D4451" s="28" t="str">
        <f aca="false">IF(OR($B4451="",$C4451=""),"",$C4451*IFERROR(INDEX(Setup!$C$47:$C$56,MATCH($B4451,Setup!$A$47:$A$56,0)),IFERROR(INDEX(Setup!$C$60:$C$89,MATCH($B4451,Setup!$A$60:$A$89,0)),"")))</f>
        <v/>
      </c>
      <c r="E4451" s="42"/>
      <c r="F4451" s="42"/>
    </row>
    <row r="4452" customFormat="false" ht="15" hidden="false" customHeight="true" outlineLevel="0" collapsed="false">
      <c r="A4452" s="42"/>
      <c r="B4452" s="42"/>
      <c r="C4452" s="42"/>
      <c r="D4452" s="28" t="str">
        <f aca="false">IF(OR($B4452="",$C4452=""),"",$C4452*IFERROR(INDEX(Setup!$C$47:$C$56,MATCH($B4452,Setup!$A$47:$A$56,0)),IFERROR(INDEX(Setup!$C$60:$C$89,MATCH($B4452,Setup!$A$60:$A$89,0)),"")))</f>
        <v/>
      </c>
      <c r="E4452" s="42"/>
      <c r="F4452" s="42"/>
    </row>
    <row r="4453" customFormat="false" ht="15" hidden="false" customHeight="true" outlineLevel="0" collapsed="false">
      <c r="A4453" s="42"/>
      <c r="B4453" s="42"/>
      <c r="C4453" s="42"/>
      <c r="D4453" s="28" t="str">
        <f aca="false">IF(OR($B4453="",$C4453=""),"",$C4453*IFERROR(INDEX(Setup!$C$47:$C$56,MATCH($B4453,Setup!$A$47:$A$56,0)),IFERROR(INDEX(Setup!$C$60:$C$89,MATCH($B4453,Setup!$A$60:$A$89,0)),"")))</f>
        <v/>
      </c>
      <c r="E4453" s="42"/>
      <c r="F4453" s="42"/>
    </row>
    <row r="4454" customFormat="false" ht="15" hidden="false" customHeight="true" outlineLevel="0" collapsed="false">
      <c r="A4454" s="42"/>
      <c r="B4454" s="42"/>
      <c r="C4454" s="42"/>
      <c r="D4454" s="28" t="str">
        <f aca="false">IF(OR($B4454="",$C4454=""),"",$C4454*IFERROR(INDEX(Setup!$C$47:$C$56,MATCH($B4454,Setup!$A$47:$A$56,0)),IFERROR(INDEX(Setup!$C$60:$C$89,MATCH($B4454,Setup!$A$60:$A$89,0)),"")))</f>
        <v/>
      </c>
      <c r="E4454" s="42"/>
      <c r="F4454" s="42"/>
    </row>
    <row r="4455" customFormat="false" ht="15" hidden="false" customHeight="true" outlineLevel="0" collapsed="false">
      <c r="A4455" s="42"/>
      <c r="B4455" s="42"/>
      <c r="C4455" s="42"/>
      <c r="D4455" s="28" t="str">
        <f aca="false">IF(OR($B4455="",$C4455=""),"",$C4455*IFERROR(INDEX(Setup!$C$47:$C$56,MATCH($B4455,Setup!$A$47:$A$56,0)),IFERROR(INDEX(Setup!$C$60:$C$89,MATCH($B4455,Setup!$A$60:$A$89,0)),"")))</f>
        <v/>
      </c>
      <c r="E4455" s="42"/>
      <c r="F4455" s="42"/>
    </row>
    <row r="4456" customFormat="false" ht="15" hidden="false" customHeight="true" outlineLevel="0" collapsed="false">
      <c r="A4456" s="42"/>
      <c r="B4456" s="42"/>
      <c r="C4456" s="42"/>
      <c r="D4456" s="28" t="str">
        <f aca="false">IF(OR($B4456="",$C4456=""),"",$C4456*IFERROR(INDEX(Setup!$C$47:$C$56,MATCH($B4456,Setup!$A$47:$A$56,0)),IFERROR(INDEX(Setup!$C$60:$C$89,MATCH($B4456,Setup!$A$60:$A$89,0)),"")))</f>
        <v/>
      </c>
      <c r="E4456" s="42"/>
      <c r="F4456" s="42"/>
    </row>
    <row r="4457" customFormat="false" ht="15" hidden="false" customHeight="true" outlineLevel="0" collapsed="false">
      <c r="A4457" s="42"/>
      <c r="B4457" s="42"/>
      <c r="C4457" s="42"/>
      <c r="D4457" s="28" t="str">
        <f aca="false">IF(OR($B4457="",$C4457=""),"",$C4457*IFERROR(INDEX(Setup!$C$47:$C$56,MATCH($B4457,Setup!$A$47:$A$56,0)),IFERROR(INDEX(Setup!$C$60:$C$89,MATCH($B4457,Setup!$A$60:$A$89,0)),"")))</f>
        <v/>
      </c>
      <c r="E4457" s="42"/>
      <c r="F4457" s="42"/>
    </row>
    <row r="4458" customFormat="false" ht="15" hidden="false" customHeight="true" outlineLevel="0" collapsed="false">
      <c r="A4458" s="42"/>
      <c r="B4458" s="42"/>
      <c r="C4458" s="42"/>
      <c r="D4458" s="28" t="str">
        <f aca="false">IF(OR($B4458="",$C4458=""),"",$C4458*IFERROR(INDEX(Setup!$C$47:$C$56,MATCH($B4458,Setup!$A$47:$A$56,0)),IFERROR(INDEX(Setup!$C$60:$C$89,MATCH($B4458,Setup!$A$60:$A$89,0)),"")))</f>
        <v/>
      </c>
      <c r="E4458" s="42"/>
      <c r="F4458" s="42"/>
    </row>
    <row r="4459" customFormat="false" ht="15" hidden="false" customHeight="true" outlineLevel="0" collapsed="false">
      <c r="A4459" s="42"/>
      <c r="B4459" s="42"/>
      <c r="C4459" s="42"/>
      <c r="D4459" s="28" t="str">
        <f aca="false">IF(OR($B4459="",$C4459=""),"",$C4459*IFERROR(INDEX(Setup!$C$47:$C$56,MATCH($B4459,Setup!$A$47:$A$56,0)),IFERROR(INDEX(Setup!$C$60:$C$89,MATCH($B4459,Setup!$A$60:$A$89,0)),"")))</f>
        <v/>
      </c>
      <c r="E4459" s="42"/>
      <c r="F4459" s="42"/>
    </row>
    <row r="4460" customFormat="false" ht="15" hidden="false" customHeight="true" outlineLevel="0" collapsed="false">
      <c r="A4460" s="42"/>
      <c r="B4460" s="42"/>
      <c r="C4460" s="42"/>
      <c r="D4460" s="28" t="str">
        <f aca="false">IF(OR($B4460="",$C4460=""),"",$C4460*IFERROR(INDEX(Setup!$C$47:$C$56,MATCH($B4460,Setup!$A$47:$A$56,0)),IFERROR(INDEX(Setup!$C$60:$C$89,MATCH($B4460,Setup!$A$60:$A$89,0)),"")))</f>
        <v/>
      </c>
      <c r="E4460" s="42"/>
      <c r="F4460" s="42"/>
    </row>
    <row r="4461" customFormat="false" ht="15" hidden="false" customHeight="true" outlineLevel="0" collapsed="false">
      <c r="A4461" s="42"/>
      <c r="B4461" s="42"/>
      <c r="C4461" s="42"/>
      <c r="D4461" s="28" t="str">
        <f aca="false">IF(OR($B4461="",$C4461=""),"",$C4461*IFERROR(INDEX(Setup!$C$47:$C$56,MATCH($B4461,Setup!$A$47:$A$56,0)),IFERROR(INDEX(Setup!$C$60:$C$89,MATCH($B4461,Setup!$A$60:$A$89,0)),"")))</f>
        <v/>
      </c>
      <c r="E4461" s="42"/>
      <c r="F4461" s="42"/>
    </row>
    <row r="4462" customFormat="false" ht="15" hidden="false" customHeight="true" outlineLevel="0" collapsed="false">
      <c r="A4462" s="42"/>
      <c r="B4462" s="42"/>
      <c r="C4462" s="42"/>
      <c r="D4462" s="28" t="str">
        <f aca="false">IF(OR($B4462="",$C4462=""),"",$C4462*IFERROR(INDEX(Setup!$C$47:$C$56,MATCH($B4462,Setup!$A$47:$A$56,0)),IFERROR(INDEX(Setup!$C$60:$C$89,MATCH($B4462,Setup!$A$60:$A$89,0)),"")))</f>
        <v/>
      </c>
      <c r="E4462" s="42"/>
      <c r="F4462" s="42"/>
    </row>
    <row r="4463" customFormat="false" ht="15" hidden="false" customHeight="true" outlineLevel="0" collapsed="false">
      <c r="A4463" s="42"/>
      <c r="B4463" s="42"/>
      <c r="C4463" s="42"/>
      <c r="D4463" s="28" t="str">
        <f aca="false">IF(OR($B4463="",$C4463=""),"",$C4463*IFERROR(INDEX(Setup!$C$47:$C$56,MATCH($B4463,Setup!$A$47:$A$56,0)),IFERROR(INDEX(Setup!$C$60:$C$89,MATCH($B4463,Setup!$A$60:$A$89,0)),"")))</f>
        <v/>
      </c>
      <c r="E4463" s="42"/>
      <c r="F4463" s="42"/>
    </row>
    <row r="4464" customFormat="false" ht="15" hidden="false" customHeight="true" outlineLevel="0" collapsed="false">
      <c r="A4464" s="42"/>
      <c r="B4464" s="42"/>
      <c r="C4464" s="42"/>
      <c r="D4464" s="28" t="str">
        <f aca="false">IF(OR($B4464="",$C4464=""),"",$C4464*IFERROR(INDEX(Setup!$C$47:$C$56,MATCH($B4464,Setup!$A$47:$A$56,0)),IFERROR(INDEX(Setup!$C$60:$C$89,MATCH($B4464,Setup!$A$60:$A$89,0)),"")))</f>
        <v/>
      </c>
      <c r="E4464" s="42"/>
      <c r="F4464" s="42"/>
    </row>
    <row r="4465" customFormat="false" ht="15" hidden="false" customHeight="true" outlineLevel="0" collapsed="false">
      <c r="A4465" s="42"/>
      <c r="B4465" s="42"/>
      <c r="C4465" s="42"/>
      <c r="D4465" s="28" t="str">
        <f aca="false">IF(OR($B4465="",$C4465=""),"",$C4465*IFERROR(INDEX(Setup!$C$47:$C$56,MATCH($B4465,Setup!$A$47:$A$56,0)),IFERROR(INDEX(Setup!$C$60:$C$89,MATCH($B4465,Setup!$A$60:$A$89,0)),"")))</f>
        <v/>
      </c>
      <c r="E4465" s="42"/>
      <c r="F4465" s="42"/>
    </row>
    <row r="4466" customFormat="false" ht="15" hidden="false" customHeight="true" outlineLevel="0" collapsed="false">
      <c r="A4466" s="42"/>
      <c r="B4466" s="42"/>
      <c r="C4466" s="42"/>
      <c r="D4466" s="28" t="str">
        <f aca="false">IF(OR($B4466="",$C4466=""),"",$C4466*IFERROR(INDEX(Setup!$C$47:$C$56,MATCH($B4466,Setup!$A$47:$A$56,0)),IFERROR(INDEX(Setup!$C$60:$C$89,MATCH($B4466,Setup!$A$60:$A$89,0)),"")))</f>
        <v/>
      </c>
      <c r="E4466" s="42"/>
      <c r="F4466" s="42"/>
    </row>
    <row r="4467" customFormat="false" ht="15" hidden="false" customHeight="true" outlineLevel="0" collapsed="false">
      <c r="A4467" s="42"/>
      <c r="B4467" s="42"/>
      <c r="C4467" s="42"/>
      <c r="D4467" s="28" t="str">
        <f aca="false">IF(OR($B4467="",$C4467=""),"",$C4467*IFERROR(INDEX(Setup!$C$47:$C$56,MATCH($B4467,Setup!$A$47:$A$56,0)),IFERROR(INDEX(Setup!$C$60:$C$89,MATCH($B4467,Setup!$A$60:$A$89,0)),"")))</f>
        <v/>
      </c>
      <c r="E4467" s="42"/>
      <c r="F4467" s="42"/>
    </row>
    <row r="4468" customFormat="false" ht="15" hidden="false" customHeight="true" outlineLevel="0" collapsed="false">
      <c r="A4468" s="42"/>
      <c r="B4468" s="42"/>
      <c r="C4468" s="42"/>
      <c r="D4468" s="28" t="str">
        <f aca="false">IF(OR($B4468="",$C4468=""),"",$C4468*IFERROR(INDEX(Setup!$C$47:$C$56,MATCH($B4468,Setup!$A$47:$A$56,0)),IFERROR(INDEX(Setup!$C$60:$C$89,MATCH($B4468,Setup!$A$60:$A$89,0)),"")))</f>
        <v/>
      </c>
      <c r="E4468" s="42"/>
      <c r="F4468" s="42"/>
    </row>
    <row r="4469" customFormat="false" ht="15" hidden="false" customHeight="true" outlineLevel="0" collapsed="false">
      <c r="A4469" s="42"/>
      <c r="B4469" s="42"/>
      <c r="C4469" s="42"/>
      <c r="D4469" s="28" t="str">
        <f aca="false">IF(OR($B4469="",$C4469=""),"",$C4469*IFERROR(INDEX(Setup!$C$47:$C$56,MATCH($B4469,Setup!$A$47:$A$56,0)),IFERROR(INDEX(Setup!$C$60:$C$89,MATCH($B4469,Setup!$A$60:$A$89,0)),"")))</f>
        <v/>
      </c>
      <c r="E4469" s="42"/>
      <c r="F4469" s="42"/>
    </row>
    <row r="4470" customFormat="false" ht="15" hidden="false" customHeight="true" outlineLevel="0" collapsed="false">
      <c r="A4470" s="42"/>
      <c r="B4470" s="42"/>
      <c r="C4470" s="42"/>
      <c r="D4470" s="28" t="str">
        <f aca="false">IF(OR($B4470="",$C4470=""),"",$C4470*IFERROR(INDEX(Setup!$C$47:$C$56,MATCH($B4470,Setup!$A$47:$A$56,0)),IFERROR(INDEX(Setup!$C$60:$C$89,MATCH($B4470,Setup!$A$60:$A$89,0)),"")))</f>
        <v/>
      </c>
      <c r="E4470" s="42"/>
      <c r="F4470" s="42"/>
    </row>
    <row r="4471" customFormat="false" ht="15" hidden="false" customHeight="true" outlineLevel="0" collapsed="false">
      <c r="A4471" s="42"/>
      <c r="B4471" s="42"/>
      <c r="C4471" s="42"/>
      <c r="D4471" s="28" t="str">
        <f aca="false">IF(OR($B4471="",$C4471=""),"",$C4471*IFERROR(INDEX(Setup!$C$47:$C$56,MATCH($B4471,Setup!$A$47:$A$56,0)),IFERROR(INDEX(Setup!$C$60:$C$89,MATCH($B4471,Setup!$A$60:$A$89,0)),"")))</f>
        <v/>
      </c>
      <c r="E4471" s="42"/>
      <c r="F4471" s="42"/>
    </row>
    <row r="4472" customFormat="false" ht="15" hidden="false" customHeight="true" outlineLevel="0" collapsed="false">
      <c r="A4472" s="42"/>
      <c r="B4472" s="42"/>
      <c r="C4472" s="42"/>
      <c r="D4472" s="28" t="str">
        <f aca="false">IF(OR($B4472="",$C4472=""),"",$C4472*IFERROR(INDEX(Setup!$C$47:$C$56,MATCH($B4472,Setup!$A$47:$A$56,0)),IFERROR(INDEX(Setup!$C$60:$C$89,MATCH($B4472,Setup!$A$60:$A$89,0)),"")))</f>
        <v/>
      </c>
      <c r="E4472" s="42"/>
      <c r="F4472" s="42"/>
    </row>
    <row r="4473" customFormat="false" ht="15" hidden="false" customHeight="true" outlineLevel="0" collapsed="false">
      <c r="A4473" s="42"/>
      <c r="B4473" s="42"/>
      <c r="C4473" s="42"/>
      <c r="D4473" s="28" t="str">
        <f aca="false">IF(OR($B4473="",$C4473=""),"",$C4473*IFERROR(INDEX(Setup!$C$47:$C$56,MATCH($B4473,Setup!$A$47:$A$56,0)),IFERROR(INDEX(Setup!$C$60:$C$89,MATCH($B4473,Setup!$A$60:$A$89,0)),"")))</f>
        <v/>
      </c>
      <c r="E4473" s="42"/>
      <c r="F4473" s="42"/>
    </row>
    <row r="4474" customFormat="false" ht="15" hidden="false" customHeight="true" outlineLevel="0" collapsed="false">
      <c r="A4474" s="42"/>
      <c r="B4474" s="42"/>
      <c r="C4474" s="42"/>
      <c r="D4474" s="28" t="str">
        <f aca="false">IF(OR($B4474="",$C4474=""),"",$C4474*IFERROR(INDEX(Setup!$C$47:$C$56,MATCH($B4474,Setup!$A$47:$A$56,0)),IFERROR(INDEX(Setup!$C$60:$C$89,MATCH($B4474,Setup!$A$60:$A$89,0)),"")))</f>
        <v/>
      </c>
      <c r="E4474" s="42"/>
      <c r="F4474" s="42"/>
    </row>
    <row r="4475" customFormat="false" ht="15" hidden="false" customHeight="true" outlineLevel="0" collapsed="false">
      <c r="A4475" s="42"/>
      <c r="B4475" s="42"/>
      <c r="C4475" s="42"/>
      <c r="D4475" s="28" t="str">
        <f aca="false">IF(OR($B4475="",$C4475=""),"",$C4475*IFERROR(INDEX(Setup!$C$47:$C$56,MATCH($B4475,Setup!$A$47:$A$56,0)),IFERROR(INDEX(Setup!$C$60:$C$89,MATCH($B4475,Setup!$A$60:$A$89,0)),"")))</f>
        <v/>
      </c>
      <c r="E4475" s="42"/>
      <c r="F4475" s="42"/>
    </row>
    <row r="4476" customFormat="false" ht="15" hidden="false" customHeight="true" outlineLevel="0" collapsed="false">
      <c r="A4476" s="42"/>
      <c r="B4476" s="42"/>
      <c r="C4476" s="42"/>
      <c r="D4476" s="28" t="str">
        <f aca="false">IF(OR($B4476="",$C4476=""),"",$C4476*IFERROR(INDEX(Setup!$C$47:$C$56,MATCH($B4476,Setup!$A$47:$A$56,0)),IFERROR(INDEX(Setup!$C$60:$C$89,MATCH($B4476,Setup!$A$60:$A$89,0)),"")))</f>
        <v/>
      </c>
      <c r="E4476" s="42"/>
      <c r="F4476" s="42"/>
    </row>
    <row r="4477" customFormat="false" ht="15" hidden="false" customHeight="true" outlineLevel="0" collapsed="false">
      <c r="A4477" s="42"/>
      <c r="B4477" s="42"/>
      <c r="C4477" s="42"/>
      <c r="D4477" s="28" t="str">
        <f aca="false">IF(OR($B4477="",$C4477=""),"",$C4477*IFERROR(INDEX(Setup!$C$47:$C$56,MATCH($B4477,Setup!$A$47:$A$56,0)),IFERROR(INDEX(Setup!$C$60:$C$89,MATCH($B4477,Setup!$A$60:$A$89,0)),"")))</f>
        <v/>
      </c>
      <c r="E4477" s="42"/>
      <c r="F4477" s="42"/>
    </row>
    <row r="4478" customFormat="false" ht="15" hidden="false" customHeight="true" outlineLevel="0" collapsed="false">
      <c r="A4478" s="42"/>
      <c r="B4478" s="42"/>
      <c r="C4478" s="42"/>
      <c r="D4478" s="28" t="str">
        <f aca="false">IF(OR($B4478="",$C4478=""),"",$C4478*IFERROR(INDEX(Setup!$C$47:$C$56,MATCH($B4478,Setup!$A$47:$A$56,0)),IFERROR(INDEX(Setup!$C$60:$C$89,MATCH($B4478,Setup!$A$60:$A$89,0)),"")))</f>
        <v/>
      </c>
      <c r="E4478" s="42"/>
      <c r="F4478" s="42"/>
    </row>
    <row r="4479" customFormat="false" ht="15" hidden="false" customHeight="true" outlineLevel="0" collapsed="false">
      <c r="A4479" s="42"/>
      <c r="B4479" s="42"/>
      <c r="C4479" s="42"/>
      <c r="D4479" s="28" t="str">
        <f aca="false">IF(OR($B4479="",$C4479=""),"",$C4479*IFERROR(INDEX(Setup!$C$47:$C$56,MATCH($B4479,Setup!$A$47:$A$56,0)),IFERROR(INDEX(Setup!$C$60:$C$89,MATCH($B4479,Setup!$A$60:$A$89,0)),"")))</f>
        <v/>
      </c>
      <c r="E4479" s="42"/>
      <c r="F4479" s="42"/>
    </row>
    <row r="4480" customFormat="false" ht="15" hidden="false" customHeight="true" outlineLevel="0" collapsed="false">
      <c r="A4480" s="42"/>
      <c r="B4480" s="42"/>
      <c r="C4480" s="42"/>
      <c r="D4480" s="28" t="str">
        <f aca="false">IF(OR($B4480="",$C4480=""),"",$C4480*IFERROR(INDEX(Setup!$C$47:$C$56,MATCH($B4480,Setup!$A$47:$A$56,0)),IFERROR(INDEX(Setup!$C$60:$C$89,MATCH($B4480,Setup!$A$60:$A$89,0)),"")))</f>
        <v/>
      </c>
      <c r="E4480" s="42"/>
      <c r="F4480" s="42"/>
    </row>
    <row r="4481" customFormat="false" ht="15" hidden="false" customHeight="true" outlineLevel="0" collapsed="false">
      <c r="A4481" s="42"/>
      <c r="B4481" s="42"/>
      <c r="C4481" s="42"/>
      <c r="D4481" s="28" t="str">
        <f aca="false">IF(OR($B4481="",$C4481=""),"",$C4481*IFERROR(INDEX(Setup!$C$47:$C$56,MATCH($B4481,Setup!$A$47:$A$56,0)),IFERROR(INDEX(Setup!$C$60:$C$89,MATCH($B4481,Setup!$A$60:$A$89,0)),"")))</f>
        <v/>
      </c>
      <c r="E4481" s="42"/>
      <c r="F4481" s="42"/>
    </row>
    <row r="4482" customFormat="false" ht="15" hidden="false" customHeight="true" outlineLevel="0" collapsed="false">
      <c r="A4482" s="42"/>
      <c r="B4482" s="42"/>
      <c r="C4482" s="42"/>
      <c r="D4482" s="28" t="str">
        <f aca="false">IF(OR($B4482="",$C4482=""),"",$C4482*IFERROR(INDEX(Setup!$C$47:$C$56,MATCH($B4482,Setup!$A$47:$A$56,0)),IFERROR(INDEX(Setup!$C$60:$C$89,MATCH($B4482,Setup!$A$60:$A$89,0)),"")))</f>
        <v/>
      </c>
      <c r="E4482" s="42"/>
      <c r="F4482" s="42"/>
    </row>
    <row r="4483" customFormat="false" ht="15" hidden="false" customHeight="true" outlineLevel="0" collapsed="false">
      <c r="A4483" s="42"/>
      <c r="B4483" s="42"/>
      <c r="C4483" s="42"/>
      <c r="D4483" s="28" t="str">
        <f aca="false">IF(OR($B4483="",$C4483=""),"",$C4483*IFERROR(INDEX(Setup!$C$47:$C$56,MATCH($B4483,Setup!$A$47:$A$56,0)),IFERROR(INDEX(Setup!$C$60:$C$89,MATCH($B4483,Setup!$A$60:$A$89,0)),"")))</f>
        <v/>
      </c>
      <c r="E4483" s="42"/>
      <c r="F4483" s="42"/>
    </row>
    <row r="4484" customFormat="false" ht="15" hidden="false" customHeight="true" outlineLevel="0" collapsed="false">
      <c r="A4484" s="42"/>
      <c r="B4484" s="42"/>
      <c r="C4484" s="42"/>
      <c r="D4484" s="28" t="str">
        <f aca="false">IF(OR($B4484="",$C4484=""),"",$C4484*IFERROR(INDEX(Setup!$C$47:$C$56,MATCH($B4484,Setup!$A$47:$A$56,0)),IFERROR(INDEX(Setup!$C$60:$C$89,MATCH($B4484,Setup!$A$60:$A$89,0)),"")))</f>
        <v/>
      </c>
      <c r="E4484" s="42"/>
      <c r="F4484" s="42"/>
    </row>
    <row r="4485" customFormat="false" ht="15" hidden="false" customHeight="true" outlineLevel="0" collapsed="false">
      <c r="A4485" s="42"/>
      <c r="B4485" s="42"/>
      <c r="C4485" s="42"/>
      <c r="D4485" s="28" t="str">
        <f aca="false">IF(OR($B4485="",$C4485=""),"",$C4485*IFERROR(INDEX(Setup!$C$47:$C$56,MATCH($B4485,Setup!$A$47:$A$56,0)),IFERROR(INDEX(Setup!$C$60:$C$89,MATCH($B4485,Setup!$A$60:$A$89,0)),"")))</f>
        <v/>
      </c>
      <c r="E4485" s="42"/>
      <c r="F4485" s="42"/>
    </row>
    <row r="4486" customFormat="false" ht="15" hidden="false" customHeight="true" outlineLevel="0" collapsed="false">
      <c r="A4486" s="42"/>
      <c r="B4486" s="42"/>
      <c r="C4486" s="42"/>
      <c r="D4486" s="28" t="str">
        <f aca="false">IF(OR($B4486="",$C4486=""),"",$C4486*IFERROR(INDEX(Setup!$C$47:$C$56,MATCH($B4486,Setup!$A$47:$A$56,0)),IFERROR(INDEX(Setup!$C$60:$C$89,MATCH($B4486,Setup!$A$60:$A$89,0)),"")))</f>
        <v/>
      </c>
      <c r="E4486" s="42"/>
      <c r="F4486" s="42"/>
    </row>
    <row r="4487" customFormat="false" ht="15" hidden="false" customHeight="true" outlineLevel="0" collapsed="false">
      <c r="A4487" s="42"/>
      <c r="B4487" s="42"/>
      <c r="C4487" s="42"/>
      <c r="D4487" s="28" t="str">
        <f aca="false">IF(OR($B4487="",$C4487=""),"",$C4487*IFERROR(INDEX(Setup!$C$47:$C$56,MATCH($B4487,Setup!$A$47:$A$56,0)),IFERROR(INDEX(Setup!$C$60:$C$89,MATCH($B4487,Setup!$A$60:$A$89,0)),"")))</f>
        <v/>
      </c>
      <c r="E4487" s="42"/>
      <c r="F4487" s="42"/>
    </row>
    <row r="4488" customFormat="false" ht="15" hidden="false" customHeight="true" outlineLevel="0" collapsed="false">
      <c r="A4488" s="42"/>
      <c r="B4488" s="42"/>
      <c r="C4488" s="42"/>
      <c r="D4488" s="28" t="str">
        <f aca="false">IF(OR($B4488="",$C4488=""),"",$C4488*IFERROR(INDEX(Setup!$C$47:$C$56,MATCH($B4488,Setup!$A$47:$A$56,0)),IFERROR(INDEX(Setup!$C$60:$C$89,MATCH($B4488,Setup!$A$60:$A$89,0)),"")))</f>
        <v/>
      </c>
      <c r="E4488" s="42"/>
      <c r="F4488" s="42"/>
    </row>
    <row r="4489" customFormat="false" ht="15" hidden="false" customHeight="true" outlineLevel="0" collapsed="false">
      <c r="A4489" s="42"/>
      <c r="B4489" s="42"/>
      <c r="C4489" s="42"/>
      <c r="D4489" s="28" t="str">
        <f aca="false">IF(OR($B4489="",$C4489=""),"",$C4489*IFERROR(INDEX(Setup!$C$47:$C$56,MATCH($B4489,Setup!$A$47:$A$56,0)),IFERROR(INDEX(Setup!$C$60:$C$89,MATCH($B4489,Setup!$A$60:$A$89,0)),"")))</f>
        <v/>
      </c>
      <c r="E4489" s="42"/>
      <c r="F4489" s="42"/>
    </row>
    <row r="4490" customFormat="false" ht="15" hidden="false" customHeight="true" outlineLevel="0" collapsed="false">
      <c r="A4490" s="42"/>
      <c r="B4490" s="42"/>
      <c r="C4490" s="42"/>
      <c r="D4490" s="28" t="str">
        <f aca="false">IF(OR($B4490="",$C4490=""),"",$C4490*IFERROR(INDEX(Setup!$C$47:$C$56,MATCH($B4490,Setup!$A$47:$A$56,0)),IFERROR(INDEX(Setup!$C$60:$C$89,MATCH($B4490,Setup!$A$60:$A$89,0)),"")))</f>
        <v/>
      </c>
      <c r="E4490" s="42"/>
      <c r="F4490" s="42"/>
    </row>
    <row r="4491" customFormat="false" ht="15" hidden="false" customHeight="true" outlineLevel="0" collapsed="false">
      <c r="A4491" s="42"/>
      <c r="B4491" s="42"/>
      <c r="C4491" s="42"/>
      <c r="D4491" s="28" t="str">
        <f aca="false">IF(OR($B4491="",$C4491=""),"",$C4491*IFERROR(INDEX(Setup!$C$47:$C$56,MATCH($B4491,Setup!$A$47:$A$56,0)),IFERROR(INDEX(Setup!$C$60:$C$89,MATCH($B4491,Setup!$A$60:$A$89,0)),"")))</f>
        <v/>
      </c>
      <c r="E4491" s="42"/>
      <c r="F4491" s="42"/>
    </row>
    <row r="4492" customFormat="false" ht="15" hidden="false" customHeight="true" outlineLevel="0" collapsed="false">
      <c r="A4492" s="42"/>
      <c r="B4492" s="42"/>
      <c r="C4492" s="42"/>
      <c r="D4492" s="28" t="str">
        <f aca="false">IF(OR($B4492="",$C4492=""),"",$C4492*IFERROR(INDEX(Setup!$C$47:$C$56,MATCH($B4492,Setup!$A$47:$A$56,0)),IFERROR(INDEX(Setup!$C$60:$C$89,MATCH($B4492,Setup!$A$60:$A$89,0)),"")))</f>
        <v/>
      </c>
      <c r="E4492" s="42"/>
      <c r="F4492" s="42"/>
    </row>
    <row r="4493" customFormat="false" ht="15" hidden="false" customHeight="true" outlineLevel="0" collapsed="false">
      <c r="A4493" s="42"/>
      <c r="B4493" s="42"/>
      <c r="C4493" s="42"/>
      <c r="D4493" s="28" t="str">
        <f aca="false">IF(OR($B4493="",$C4493=""),"",$C4493*IFERROR(INDEX(Setup!$C$47:$C$56,MATCH($B4493,Setup!$A$47:$A$56,0)),IFERROR(INDEX(Setup!$C$60:$C$89,MATCH($B4493,Setup!$A$60:$A$89,0)),"")))</f>
        <v/>
      </c>
      <c r="E4493" s="42"/>
      <c r="F4493" s="42"/>
    </row>
    <row r="4494" customFormat="false" ht="15" hidden="false" customHeight="true" outlineLevel="0" collapsed="false">
      <c r="A4494" s="42"/>
      <c r="B4494" s="42"/>
      <c r="C4494" s="42"/>
      <c r="D4494" s="28" t="str">
        <f aca="false">IF(OR($B4494="",$C4494=""),"",$C4494*IFERROR(INDEX(Setup!$C$47:$C$56,MATCH($B4494,Setup!$A$47:$A$56,0)),IFERROR(INDEX(Setup!$C$60:$C$89,MATCH($B4494,Setup!$A$60:$A$89,0)),"")))</f>
        <v/>
      </c>
      <c r="E4494" s="42"/>
      <c r="F4494" s="42"/>
    </row>
    <row r="4495" customFormat="false" ht="15" hidden="false" customHeight="true" outlineLevel="0" collapsed="false">
      <c r="A4495" s="42"/>
      <c r="B4495" s="42"/>
      <c r="C4495" s="42"/>
      <c r="D4495" s="28" t="str">
        <f aca="false">IF(OR($B4495="",$C4495=""),"",$C4495*IFERROR(INDEX(Setup!$C$47:$C$56,MATCH($B4495,Setup!$A$47:$A$56,0)),IFERROR(INDEX(Setup!$C$60:$C$89,MATCH($B4495,Setup!$A$60:$A$89,0)),"")))</f>
        <v/>
      </c>
      <c r="E4495" s="42"/>
      <c r="F4495" s="42"/>
    </row>
    <row r="4496" customFormat="false" ht="15" hidden="false" customHeight="true" outlineLevel="0" collapsed="false">
      <c r="A4496" s="42"/>
      <c r="B4496" s="42"/>
      <c r="C4496" s="42"/>
      <c r="D4496" s="28" t="str">
        <f aca="false">IF(OR($B4496="",$C4496=""),"",$C4496*IFERROR(INDEX(Setup!$C$47:$C$56,MATCH($B4496,Setup!$A$47:$A$56,0)),IFERROR(INDEX(Setup!$C$60:$C$89,MATCH($B4496,Setup!$A$60:$A$89,0)),"")))</f>
        <v/>
      </c>
      <c r="E4496" s="42"/>
      <c r="F4496" s="42"/>
    </row>
    <row r="4497" customFormat="false" ht="15" hidden="false" customHeight="true" outlineLevel="0" collapsed="false">
      <c r="A4497" s="42"/>
      <c r="B4497" s="42"/>
      <c r="C4497" s="42"/>
      <c r="D4497" s="28" t="str">
        <f aca="false">IF(OR($B4497="",$C4497=""),"",$C4497*IFERROR(INDEX(Setup!$C$47:$C$56,MATCH($B4497,Setup!$A$47:$A$56,0)),IFERROR(INDEX(Setup!$C$60:$C$89,MATCH($B4497,Setup!$A$60:$A$89,0)),"")))</f>
        <v/>
      </c>
      <c r="E4497" s="42"/>
      <c r="F4497" s="42"/>
    </row>
    <row r="4498" customFormat="false" ht="15" hidden="false" customHeight="true" outlineLevel="0" collapsed="false">
      <c r="A4498" s="42"/>
      <c r="B4498" s="42"/>
      <c r="C4498" s="42"/>
      <c r="D4498" s="28" t="str">
        <f aca="false">IF(OR($B4498="",$C4498=""),"",$C4498*IFERROR(INDEX(Setup!$C$47:$C$56,MATCH($B4498,Setup!$A$47:$A$56,0)),IFERROR(INDEX(Setup!$C$60:$C$89,MATCH($B4498,Setup!$A$60:$A$89,0)),"")))</f>
        <v/>
      </c>
      <c r="E4498" s="42"/>
      <c r="F4498" s="42"/>
    </row>
    <row r="4499" customFormat="false" ht="15" hidden="false" customHeight="true" outlineLevel="0" collapsed="false">
      <c r="A4499" s="42"/>
      <c r="B4499" s="42"/>
      <c r="C4499" s="42"/>
      <c r="D4499" s="28" t="str">
        <f aca="false">IF(OR($B4499="",$C4499=""),"",$C4499*IFERROR(INDEX(Setup!$C$47:$C$56,MATCH($B4499,Setup!$A$47:$A$56,0)),IFERROR(INDEX(Setup!$C$60:$C$89,MATCH($B4499,Setup!$A$60:$A$89,0)),"")))</f>
        <v/>
      </c>
      <c r="E4499" s="42"/>
      <c r="F4499" s="42"/>
    </row>
    <row r="4500" customFormat="false" ht="15" hidden="false" customHeight="true" outlineLevel="0" collapsed="false">
      <c r="A4500" s="42"/>
      <c r="B4500" s="42"/>
      <c r="C4500" s="42"/>
      <c r="D4500" s="28" t="str">
        <f aca="false">IF(OR($B4500="",$C4500=""),"",$C4500*IFERROR(INDEX(Setup!$C$47:$C$56,MATCH($B4500,Setup!$A$47:$A$56,0)),IFERROR(INDEX(Setup!$C$60:$C$89,MATCH($B4500,Setup!$A$60:$A$89,0)),"")))</f>
        <v/>
      </c>
      <c r="E4500" s="42"/>
      <c r="F4500" s="42"/>
    </row>
    <row r="4501" customFormat="false" ht="15" hidden="false" customHeight="true" outlineLevel="0" collapsed="false">
      <c r="A4501" s="42"/>
      <c r="B4501" s="42"/>
      <c r="C4501" s="42"/>
      <c r="D4501" s="28" t="str">
        <f aca="false">IF(OR($B4501="",$C4501=""),"",$C4501*IFERROR(INDEX(Setup!$C$47:$C$56,MATCH($B4501,Setup!$A$47:$A$56,0)),IFERROR(INDEX(Setup!$C$60:$C$89,MATCH($B4501,Setup!$A$60:$A$89,0)),"")))</f>
        <v/>
      </c>
      <c r="E4501" s="42"/>
      <c r="F4501" s="42"/>
    </row>
    <row r="4502" customFormat="false" ht="15" hidden="false" customHeight="true" outlineLevel="0" collapsed="false">
      <c r="A4502" s="42"/>
      <c r="B4502" s="42"/>
      <c r="C4502" s="42"/>
      <c r="D4502" s="28" t="str">
        <f aca="false">IF(OR($B4502="",$C4502=""),"",$C4502*IFERROR(INDEX(Setup!$C$47:$C$56,MATCH($B4502,Setup!$A$47:$A$56,0)),IFERROR(INDEX(Setup!$C$60:$C$89,MATCH($B4502,Setup!$A$60:$A$89,0)),"")))</f>
        <v/>
      </c>
      <c r="E4502" s="42"/>
      <c r="F4502" s="42"/>
    </row>
    <row r="4503" customFormat="false" ht="15" hidden="false" customHeight="true" outlineLevel="0" collapsed="false">
      <c r="A4503" s="42"/>
      <c r="B4503" s="42"/>
      <c r="C4503" s="42"/>
      <c r="D4503" s="28" t="str">
        <f aca="false">IF(OR($B4503="",$C4503=""),"",$C4503*IFERROR(INDEX(Setup!$C$47:$C$56,MATCH($B4503,Setup!$A$47:$A$56,0)),IFERROR(INDEX(Setup!$C$60:$C$89,MATCH($B4503,Setup!$A$60:$A$89,0)),"")))</f>
        <v/>
      </c>
      <c r="E4503" s="42"/>
      <c r="F4503" s="42"/>
    </row>
    <row r="4504" customFormat="false" ht="15" hidden="false" customHeight="true" outlineLevel="0" collapsed="false">
      <c r="A4504" s="42"/>
      <c r="B4504" s="42"/>
      <c r="C4504" s="42"/>
      <c r="D4504" s="28" t="str">
        <f aca="false">IF(OR($B4504="",$C4504=""),"",$C4504*IFERROR(INDEX(Setup!$C$47:$C$56,MATCH($B4504,Setup!$A$47:$A$56,0)),IFERROR(INDEX(Setup!$C$60:$C$89,MATCH($B4504,Setup!$A$60:$A$89,0)),"")))</f>
        <v/>
      </c>
      <c r="E4504" s="42"/>
      <c r="F4504" s="42"/>
    </row>
    <row r="4505" customFormat="false" ht="15" hidden="false" customHeight="true" outlineLevel="0" collapsed="false">
      <c r="A4505" s="42"/>
      <c r="B4505" s="42"/>
      <c r="C4505" s="42"/>
      <c r="D4505" s="28" t="str">
        <f aca="false">IF(OR($B4505="",$C4505=""),"",$C4505*IFERROR(INDEX(Setup!$C$47:$C$56,MATCH($B4505,Setup!$A$47:$A$56,0)),IFERROR(INDEX(Setup!$C$60:$C$89,MATCH($B4505,Setup!$A$60:$A$89,0)),"")))</f>
        <v/>
      </c>
      <c r="E4505" s="42"/>
      <c r="F4505" s="42"/>
    </row>
    <row r="4506" customFormat="false" ht="15" hidden="false" customHeight="true" outlineLevel="0" collapsed="false">
      <c r="A4506" s="42"/>
      <c r="B4506" s="42"/>
      <c r="C4506" s="42"/>
      <c r="D4506" s="28" t="str">
        <f aca="false">IF(OR($B4506="",$C4506=""),"",$C4506*IFERROR(INDEX(Setup!$C$47:$C$56,MATCH($B4506,Setup!$A$47:$A$56,0)),IFERROR(INDEX(Setup!$C$60:$C$89,MATCH($B4506,Setup!$A$60:$A$89,0)),"")))</f>
        <v/>
      </c>
      <c r="E4506" s="42"/>
      <c r="F4506" s="42"/>
    </row>
    <row r="4507" customFormat="false" ht="15" hidden="false" customHeight="true" outlineLevel="0" collapsed="false">
      <c r="A4507" s="42"/>
      <c r="B4507" s="42"/>
      <c r="C4507" s="42"/>
      <c r="D4507" s="28" t="str">
        <f aca="false">IF(OR($B4507="",$C4507=""),"",$C4507*IFERROR(INDEX(Setup!$C$47:$C$56,MATCH($B4507,Setup!$A$47:$A$56,0)),IFERROR(INDEX(Setup!$C$60:$C$89,MATCH($B4507,Setup!$A$60:$A$89,0)),"")))</f>
        <v/>
      </c>
      <c r="E4507" s="42"/>
      <c r="F4507" s="42"/>
    </row>
    <row r="4508" customFormat="false" ht="15" hidden="false" customHeight="true" outlineLevel="0" collapsed="false">
      <c r="A4508" s="42"/>
      <c r="B4508" s="42"/>
      <c r="C4508" s="42"/>
      <c r="D4508" s="28" t="str">
        <f aca="false">IF(OR($B4508="",$C4508=""),"",$C4508*IFERROR(INDEX(Setup!$C$47:$C$56,MATCH($B4508,Setup!$A$47:$A$56,0)),IFERROR(INDEX(Setup!$C$60:$C$89,MATCH($B4508,Setup!$A$60:$A$89,0)),"")))</f>
        <v/>
      </c>
      <c r="E4508" s="42"/>
      <c r="F4508" s="42"/>
    </row>
    <row r="4509" customFormat="false" ht="15" hidden="false" customHeight="true" outlineLevel="0" collapsed="false">
      <c r="A4509" s="42"/>
      <c r="B4509" s="42"/>
      <c r="C4509" s="42"/>
      <c r="D4509" s="28" t="str">
        <f aca="false">IF(OR($B4509="",$C4509=""),"",$C4509*IFERROR(INDEX(Setup!$C$47:$C$56,MATCH($B4509,Setup!$A$47:$A$56,0)),IFERROR(INDEX(Setup!$C$60:$C$89,MATCH($B4509,Setup!$A$60:$A$89,0)),"")))</f>
        <v/>
      </c>
      <c r="E4509" s="42"/>
      <c r="F4509" s="42"/>
    </row>
    <row r="4510" customFormat="false" ht="15" hidden="false" customHeight="true" outlineLevel="0" collapsed="false">
      <c r="A4510" s="42"/>
      <c r="B4510" s="42"/>
      <c r="C4510" s="42"/>
      <c r="D4510" s="28" t="str">
        <f aca="false">IF(OR($B4510="",$C4510=""),"",$C4510*IFERROR(INDEX(Setup!$C$47:$C$56,MATCH($B4510,Setup!$A$47:$A$56,0)),IFERROR(INDEX(Setup!$C$60:$C$89,MATCH($B4510,Setup!$A$60:$A$89,0)),"")))</f>
        <v/>
      </c>
      <c r="E4510" s="42"/>
      <c r="F4510" s="42"/>
    </row>
    <row r="4511" customFormat="false" ht="15" hidden="false" customHeight="true" outlineLevel="0" collapsed="false">
      <c r="A4511" s="42"/>
      <c r="B4511" s="42"/>
      <c r="C4511" s="42"/>
      <c r="D4511" s="28" t="str">
        <f aca="false">IF(OR($B4511="",$C4511=""),"",$C4511*IFERROR(INDEX(Setup!$C$47:$C$56,MATCH($B4511,Setup!$A$47:$A$56,0)),IFERROR(INDEX(Setup!$C$60:$C$89,MATCH($B4511,Setup!$A$60:$A$89,0)),"")))</f>
        <v/>
      </c>
      <c r="E4511" s="42"/>
      <c r="F4511" s="42"/>
    </row>
    <row r="4512" customFormat="false" ht="15" hidden="false" customHeight="true" outlineLevel="0" collapsed="false">
      <c r="A4512" s="42"/>
      <c r="B4512" s="42"/>
      <c r="C4512" s="42"/>
      <c r="D4512" s="28" t="str">
        <f aca="false">IF(OR($B4512="",$C4512=""),"",$C4512*IFERROR(INDEX(Setup!$C$47:$C$56,MATCH($B4512,Setup!$A$47:$A$56,0)),IFERROR(INDEX(Setup!$C$60:$C$89,MATCH($B4512,Setup!$A$60:$A$89,0)),"")))</f>
        <v/>
      </c>
      <c r="E4512" s="42"/>
      <c r="F4512" s="42"/>
    </row>
    <row r="4513" customFormat="false" ht="15" hidden="false" customHeight="true" outlineLevel="0" collapsed="false">
      <c r="A4513" s="42"/>
      <c r="B4513" s="42"/>
      <c r="C4513" s="42"/>
      <c r="D4513" s="28" t="str">
        <f aca="false">IF(OR($B4513="",$C4513=""),"",$C4513*IFERROR(INDEX(Setup!$C$47:$C$56,MATCH($B4513,Setup!$A$47:$A$56,0)),IFERROR(INDEX(Setup!$C$60:$C$89,MATCH($B4513,Setup!$A$60:$A$89,0)),"")))</f>
        <v/>
      </c>
      <c r="E4513" s="42"/>
      <c r="F4513" s="42"/>
    </row>
    <row r="4514" customFormat="false" ht="15" hidden="false" customHeight="true" outlineLevel="0" collapsed="false">
      <c r="A4514" s="42"/>
      <c r="B4514" s="42"/>
      <c r="C4514" s="42"/>
      <c r="D4514" s="28" t="str">
        <f aca="false">IF(OR($B4514="",$C4514=""),"",$C4514*IFERROR(INDEX(Setup!$C$47:$C$56,MATCH($B4514,Setup!$A$47:$A$56,0)),IFERROR(INDEX(Setup!$C$60:$C$89,MATCH($B4514,Setup!$A$60:$A$89,0)),"")))</f>
        <v/>
      </c>
      <c r="E4514" s="42"/>
      <c r="F4514" s="42"/>
    </row>
    <row r="4515" customFormat="false" ht="15" hidden="false" customHeight="true" outlineLevel="0" collapsed="false">
      <c r="A4515" s="42"/>
      <c r="B4515" s="42"/>
      <c r="C4515" s="42"/>
      <c r="D4515" s="28" t="str">
        <f aca="false">IF(OR($B4515="",$C4515=""),"",$C4515*IFERROR(INDEX(Setup!$C$47:$C$56,MATCH($B4515,Setup!$A$47:$A$56,0)),IFERROR(INDEX(Setup!$C$60:$C$89,MATCH($B4515,Setup!$A$60:$A$89,0)),"")))</f>
        <v/>
      </c>
      <c r="E4515" s="42"/>
      <c r="F4515" s="42"/>
    </row>
    <row r="4516" customFormat="false" ht="15" hidden="false" customHeight="true" outlineLevel="0" collapsed="false">
      <c r="A4516" s="42"/>
      <c r="B4516" s="42"/>
      <c r="C4516" s="42"/>
      <c r="D4516" s="28" t="str">
        <f aca="false">IF(OR($B4516="",$C4516=""),"",$C4516*IFERROR(INDEX(Setup!$C$47:$C$56,MATCH($B4516,Setup!$A$47:$A$56,0)),IFERROR(INDEX(Setup!$C$60:$C$89,MATCH($B4516,Setup!$A$60:$A$89,0)),"")))</f>
        <v/>
      </c>
      <c r="E4516" s="42"/>
      <c r="F4516" s="42"/>
    </row>
    <row r="4517" customFormat="false" ht="15" hidden="false" customHeight="true" outlineLevel="0" collapsed="false">
      <c r="A4517" s="42"/>
      <c r="B4517" s="42"/>
      <c r="C4517" s="42"/>
      <c r="D4517" s="28" t="str">
        <f aca="false">IF(OR($B4517="",$C4517=""),"",$C4517*IFERROR(INDEX(Setup!$C$47:$C$56,MATCH($B4517,Setup!$A$47:$A$56,0)),IFERROR(INDEX(Setup!$C$60:$C$89,MATCH($B4517,Setup!$A$60:$A$89,0)),"")))</f>
        <v/>
      </c>
      <c r="E4517" s="42"/>
      <c r="F4517" s="42"/>
    </row>
    <row r="4518" customFormat="false" ht="15" hidden="false" customHeight="true" outlineLevel="0" collapsed="false">
      <c r="A4518" s="42"/>
      <c r="B4518" s="42"/>
      <c r="C4518" s="42"/>
      <c r="D4518" s="28" t="str">
        <f aca="false">IF(OR($B4518="",$C4518=""),"",$C4518*IFERROR(INDEX(Setup!$C$47:$C$56,MATCH($B4518,Setup!$A$47:$A$56,0)),IFERROR(INDEX(Setup!$C$60:$C$89,MATCH($B4518,Setup!$A$60:$A$89,0)),"")))</f>
        <v/>
      </c>
      <c r="E4518" s="42"/>
      <c r="F4518" s="42"/>
    </row>
    <row r="4519" customFormat="false" ht="15" hidden="false" customHeight="true" outlineLevel="0" collapsed="false">
      <c r="A4519" s="42"/>
      <c r="B4519" s="42"/>
      <c r="C4519" s="42"/>
      <c r="D4519" s="28" t="str">
        <f aca="false">IF(OR($B4519="",$C4519=""),"",$C4519*IFERROR(INDEX(Setup!$C$47:$C$56,MATCH($B4519,Setup!$A$47:$A$56,0)),IFERROR(INDEX(Setup!$C$60:$C$89,MATCH($B4519,Setup!$A$60:$A$89,0)),"")))</f>
        <v/>
      </c>
      <c r="E4519" s="42"/>
      <c r="F4519" s="42"/>
    </row>
    <row r="4520" customFormat="false" ht="15" hidden="false" customHeight="true" outlineLevel="0" collapsed="false">
      <c r="A4520" s="42"/>
      <c r="B4520" s="42"/>
      <c r="C4520" s="42"/>
      <c r="D4520" s="28" t="str">
        <f aca="false">IF(OR($B4520="",$C4520=""),"",$C4520*IFERROR(INDEX(Setup!$C$47:$C$56,MATCH($B4520,Setup!$A$47:$A$56,0)),IFERROR(INDEX(Setup!$C$60:$C$89,MATCH($B4520,Setup!$A$60:$A$89,0)),"")))</f>
        <v/>
      </c>
      <c r="E4520" s="42"/>
      <c r="F4520" s="42"/>
    </row>
    <row r="4521" customFormat="false" ht="15" hidden="false" customHeight="true" outlineLevel="0" collapsed="false">
      <c r="A4521" s="42"/>
      <c r="B4521" s="42"/>
      <c r="C4521" s="42"/>
      <c r="D4521" s="28" t="str">
        <f aca="false">IF(OR($B4521="",$C4521=""),"",$C4521*IFERROR(INDEX(Setup!$C$47:$C$56,MATCH($B4521,Setup!$A$47:$A$56,0)),IFERROR(INDEX(Setup!$C$60:$C$89,MATCH($B4521,Setup!$A$60:$A$89,0)),"")))</f>
        <v/>
      </c>
      <c r="E4521" s="42"/>
      <c r="F4521" s="42"/>
    </row>
    <row r="4522" customFormat="false" ht="15" hidden="false" customHeight="true" outlineLevel="0" collapsed="false">
      <c r="A4522" s="42"/>
      <c r="B4522" s="42"/>
      <c r="C4522" s="42"/>
      <c r="D4522" s="28" t="str">
        <f aca="false">IF(OR($B4522="",$C4522=""),"",$C4522*IFERROR(INDEX(Setup!$C$47:$C$56,MATCH($B4522,Setup!$A$47:$A$56,0)),IFERROR(INDEX(Setup!$C$60:$C$89,MATCH($B4522,Setup!$A$60:$A$89,0)),"")))</f>
        <v/>
      </c>
      <c r="E4522" s="42"/>
      <c r="F4522" s="42"/>
    </row>
    <row r="4523" customFormat="false" ht="15" hidden="false" customHeight="true" outlineLevel="0" collapsed="false">
      <c r="A4523" s="42"/>
      <c r="B4523" s="42"/>
      <c r="C4523" s="42"/>
      <c r="D4523" s="28" t="str">
        <f aca="false">IF(OR($B4523="",$C4523=""),"",$C4523*IFERROR(INDEX(Setup!$C$47:$C$56,MATCH($B4523,Setup!$A$47:$A$56,0)),IFERROR(INDEX(Setup!$C$60:$C$89,MATCH($B4523,Setup!$A$60:$A$89,0)),"")))</f>
        <v/>
      </c>
      <c r="E4523" s="42"/>
      <c r="F4523" s="42"/>
    </row>
    <row r="4524" customFormat="false" ht="15" hidden="false" customHeight="true" outlineLevel="0" collapsed="false">
      <c r="A4524" s="42"/>
      <c r="B4524" s="42"/>
      <c r="C4524" s="42"/>
      <c r="D4524" s="28" t="str">
        <f aca="false">IF(OR($B4524="",$C4524=""),"",$C4524*IFERROR(INDEX(Setup!$C$47:$C$56,MATCH($B4524,Setup!$A$47:$A$56,0)),IFERROR(INDEX(Setup!$C$60:$C$89,MATCH($B4524,Setup!$A$60:$A$89,0)),"")))</f>
        <v/>
      </c>
      <c r="E4524" s="42"/>
      <c r="F4524" s="42"/>
    </row>
    <row r="4525" customFormat="false" ht="15" hidden="false" customHeight="true" outlineLevel="0" collapsed="false">
      <c r="A4525" s="42"/>
      <c r="B4525" s="42"/>
      <c r="C4525" s="42"/>
      <c r="D4525" s="28" t="str">
        <f aca="false">IF(OR($B4525="",$C4525=""),"",$C4525*IFERROR(INDEX(Setup!$C$47:$C$56,MATCH($B4525,Setup!$A$47:$A$56,0)),IFERROR(INDEX(Setup!$C$60:$C$89,MATCH($B4525,Setup!$A$60:$A$89,0)),"")))</f>
        <v/>
      </c>
      <c r="E4525" s="42"/>
      <c r="F4525" s="42"/>
    </row>
    <row r="4526" customFormat="false" ht="15" hidden="false" customHeight="true" outlineLevel="0" collapsed="false">
      <c r="A4526" s="42"/>
      <c r="B4526" s="42"/>
      <c r="C4526" s="42"/>
      <c r="D4526" s="28" t="str">
        <f aca="false">IF(OR($B4526="",$C4526=""),"",$C4526*IFERROR(INDEX(Setup!$C$47:$C$56,MATCH($B4526,Setup!$A$47:$A$56,0)),IFERROR(INDEX(Setup!$C$60:$C$89,MATCH($B4526,Setup!$A$60:$A$89,0)),"")))</f>
        <v/>
      </c>
      <c r="E4526" s="42"/>
      <c r="F4526" s="42"/>
    </row>
    <row r="4527" customFormat="false" ht="15" hidden="false" customHeight="true" outlineLevel="0" collapsed="false">
      <c r="A4527" s="42"/>
      <c r="B4527" s="42"/>
      <c r="C4527" s="42"/>
      <c r="D4527" s="28" t="str">
        <f aca="false">IF(OR($B4527="",$C4527=""),"",$C4527*IFERROR(INDEX(Setup!$C$47:$C$56,MATCH($B4527,Setup!$A$47:$A$56,0)),IFERROR(INDEX(Setup!$C$60:$C$89,MATCH($B4527,Setup!$A$60:$A$89,0)),"")))</f>
        <v/>
      </c>
      <c r="E4527" s="42"/>
      <c r="F4527" s="42"/>
    </row>
    <row r="4528" customFormat="false" ht="15" hidden="false" customHeight="true" outlineLevel="0" collapsed="false">
      <c r="A4528" s="42"/>
      <c r="B4528" s="42"/>
      <c r="C4528" s="42"/>
      <c r="D4528" s="28" t="str">
        <f aca="false">IF(OR($B4528="",$C4528=""),"",$C4528*IFERROR(INDEX(Setup!$C$47:$C$56,MATCH($B4528,Setup!$A$47:$A$56,0)),IFERROR(INDEX(Setup!$C$60:$C$89,MATCH($B4528,Setup!$A$60:$A$89,0)),"")))</f>
        <v/>
      </c>
      <c r="E4528" s="42"/>
      <c r="F4528" s="42"/>
    </row>
    <row r="4529" customFormat="false" ht="15" hidden="false" customHeight="true" outlineLevel="0" collapsed="false">
      <c r="A4529" s="42"/>
      <c r="B4529" s="42"/>
      <c r="C4529" s="42"/>
      <c r="D4529" s="28" t="str">
        <f aca="false">IF(OR($B4529="",$C4529=""),"",$C4529*IFERROR(INDEX(Setup!$C$47:$C$56,MATCH($B4529,Setup!$A$47:$A$56,0)),IFERROR(INDEX(Setup!$C$60:$C$89,MATCH($B4529,Setup!$A$60:$A$89,0)),"")))</f>
        <v/>
      </c>
      <c r="E4529" s="42"/>
      <c r="F4529" s="42"/>
    </row>
    <row r="4530" customFormat="false" ht="15" hidden="false" customHeight="true" outlineLevel="0" collapsed="false">
      <c r="A4530" s="42"/>
      <c r="B4530" s="42"/>
      <c r="C4530" s="42"/>
      <c r="D4530" s="28" t="str">
        <f aca="false">IF(OR($B4530="",$C4530=""),"",$C4530*IFERROR(INDEX(Setup!$C$47:$C$56,MATCH($B4530,Setup!$A$47:$A$56,0)),IFERROR(INDEX(Setup!$C$60:$C$89,MATCH($B4530,Setup!$A$60:$A$89,0)),"")))</f>
        <v/>
      </c>
      <c r="E4530" s="42"/>
      <c r="F4530" s="42"/>
    </row>
    <row r="4531" customFormat="false" ht="15" hidden="false" customHeight="true" outlineLevel="0" collapsed="false">
      <c r="A4531" s="42"/>
      <c r="B4531" s="42"/>
      <c r="C4531" s="42"/>
      <c r="D4531" s="28" t="str">
        <f aca="false">IF(OR($B4531="",$C4531=""),"",$C4531*IFERROR(INDEX(Setup!$C$47:$C$56,MATCH($B4531,Setup!$A$47:$A$56,0)),IFERROR(INDEX(Setup!$C$60:$C$89,MATCH($B4531,Setup!$A$60:$A$89,0)),"")))</f>
        <v/>
      </c>
      <c r="E4531" s="42"/>
      <c r="F4531" s="42"/>
    </row>
    <row r="4532" customFormat="false" ht="15" hidden="false" customHeight="true" outlineLevel="0" collapsed="false">
      <c r="A4532" s="42"/>
      <c r="B4532" s="42"/>
      <c r="C4532" s="42"/>
      <c r="D4532" s="28" t="str">
        <f aca="false">IF(OR($B4532="",$C4532=""),"",$C4532*IFERROR(INDEX(Setup!$C$47:$C$56,MATCH($B4532,Setup!$A$47:$A$56,0)),IFERROR(INDEX(Setup!$C$60:$C$89,MATCH($B4532,Setup!$A$60:$A$89,0)),"")))</f>
        <v/>
      </c>
      <c r="E4532" s="42"/>
      <c r="F4532" s="42"/>
    </row>
    <row r="4533" customFormat="false" ht="15" hidden="false" customHeight="true" outlineLevel="0" collapsed="false">
      <c r="A4533" s="42"/>
      <c r="B4533" s="42"/>
      <c r="C4533" s="42"/>
      <c r="D4533" s="28" t="str">
        <f aca="false">IF(OR($B4533="",$C4533=""),"",$C4533*IFERROR(INDEX(Setup!$C$47:$C$56,MATCH($B4533,Setup!$A$47:$A$56,0)),IFERROR(INDEX(Setup!$C$60:$C$89,MATCH($B4533,Setup!$A$60:$A$89,0)),"")))</f>
        <v/>
      </c>
      <c r="E4533" s="42"/>
      <c r="F4533" s="42"/>
    </row>
    <row r="4534" customFormat="false" ht="15" hidden="false" customHeight="true" outlineLevel="0" collapsed="false">
      <c r="A4534" s="42"/>
      <c r="B4534" s="42"/>
      <c r="C4534" s="42"/>
      <c r="D4534" s="28" t="str">
        <f aca="false">IF(OR($B4534="",$C4534=""),"",$C4534*IFERROR(INDEX(Setup!$C$47:$C$56,MATCH($B4534,Setup!$A$47:$A$56,0)),IFERROR(INDEX(Setup!$C$60:$C$89,MATCH($B4534,Setup!$A$60:$A$89,0)),"")))</f>
        <v/>
      </c>
      <c r="E4534" s="42"/>
      <c r="F4534" s="42"/>
    </row>
    <row r="4535" customFormat="false" ht="15" hidden="false" customHeight="true" outlineLevel="0" collapsed="false">
      <c r="A4535" s="42"/>
      <c r="B4535" s="42"/>
      <c r="C4535" s="42"/>
      <c r="D4535" s="28" t="str">
        <f aca="false">IF(OR($B4535="",$C4535=""),"",$C4535*IFERROR(INDEX(Setup!$C$47:$C$56,MATCH($B4535,Setup!$A$47:$A$56,0)),IFERROR(INDEX(Setup!$C$60:$C$89,MATCH($B4535,Setup!$A$60:$A$89,0)),"")))</f>
        <v/>
      </c>
      <c r="E4535" s="42"/>
      <c r="F4535" s="42"/>
    </row>
    <row r="4536" customFormat="false" ht="15" hidden="false" customHeight="true" outlineLevel="0" collapsed="false">
      <c r="A4536" s="42"/>
      <c r="B4536" s="42"/>
      <c r="C4536" s="42"/>
      <c r="D4536" s="28" t="str">
        <f aca="false">IF(OR($B4536="",$C4536=""),"",$C4536*IFERROR(INDEX(Setup!$C$47:$C$56,MATCH($B4536,Setup!$A$47:$A$56,0)),IFERROR(INDEX(Setup!$C$60:$C$89,MATCH($B4536,Setup!$A$60:$A$89,0)),"")))</f>
        <v/>
      </c>
      <c r="E4536" s="42"/>
      <c r="F4536" s="42"/>
    </row>
    <row r="4537" customFormat="false" ht="15" hidden="false" customHeight="true" outlineLevel="0" collapsed="false">
      <c r="A4537" s="42"/>
      <c r="B4537" s="42"/>
      <c r="C4537" s="42"/>
      <c r="D4537" s="28" t="str">
        <f aca="false">IF(OR($B4537="",$C4537=""),"",$C4537*IFERROR(INDEX(Setup!$C$47:$C$56,MATCH($B4537,Setup!$A$47:$A$56,0)),IFERROR(INDEX(Setup!$C$60:$C$89,MATCH($B4537,Setup!$A$60:$A$89,0)),"")))</f>
        <v/>
      </c>
      <c r="E4537" s="42"/>
      <c r="F4537" s="42"/>
    </row>
    <row r="4538" customFormat="false" ht="15" hidden="false" customHeight="true" outlineLevel="0" collapsed="false">
      <c r="A4538" s="42"/>
      <c r="B4538" s="42"/>
      <c r="C4538" s="42"/>
      <c r="D4538" s="28" t="str">
        <f aca="false">IF(OR($B4538="",$C4538=""),"",$C4538*IFERROR(INDEX(Setup!$C$47:$C$56,MATCH($B4538,Setup!$A$47:$A$56,0)),IFERROR(INDEX(Setup!$C$60:$C$89,MATCH($B4538,Setup!$A$60:$A$89,0)),"")))</f>
        <v/>
      </c>
      <c r="E4538" s="42"/>
      <c r="F4538" s="42"/>
    </row>
    <row r="4539" customFormat="false" ht="15" hidden="false" customHeight="true" outlineLevel="0" collapsed="false">
      <c r="A4539" s="42"/>
      <c r="B4539" s="42"/>
      <c r="C4539" s="42"/>
      <c r="D4539" s="28" t="str">
        <f aca="false">IF(OR($B4539="",$C4539=""),"",$C4539*IFERROR(INDEX(Setup!$C$47:$C$56,MATCH($B4539,Setup!$A$47:$A$56,0)),IFERROR(INDEX(Setup!$C$60:$C$89,MATCH($B4539,Setup!$A$60:$A$89,0)),"")))</f>
        <v/>
      </c>
      <c r="E4539" s="42"/>
      <c r="F4539" s="42"/>
    </row>
    <row r="4540" customFormat="false" ht="15" hidden="false" customHeight="true" outlineLevel="0" collapsed="false">
      <c r="A4540" s="42"/>
      <c r="B4540" s="42"/>
      <c r="C4540" s="42"/>
      <c r="D4540" s="28" t="str">
        <f aca="false">IF(OR($B4540="",$C4540=""),"",$C4540*IFERROR(INDEX(Setup!$C$47:$C$56,MATCH($B4540,Setup!$A$47:$A$56,0)),IFERROR(INDEX(Setup!$C$60:$C$89,MATCH($B4540,Setup!$A$60:$A$89,0)),"")))</f>
        <v/>
      </c>
      <c r="E4540" s="42"/>
      <c r="F4540" s="42"/>
    </row>
    <row r="4541" customFormat="false" ht="15" hidden="false" customHeight="true" outlineLevel="0" collapsed="false">
      <c r="A4541" s="42"/>
      <c r="B4541" s="42"/>
      <c r="C4541" s="42"/>
      <c r="D4541" s="28" t="str">
        <f aca="false">IF(OR($B4541="",$C4541=""),"",$C4541*IFERROR(INDEX(Setup!$C$47:$C$56,MATCH($B4541,Setup!$A$47:$A$56,0)),IFERROR(INDEX(Setup!$C$60:$C$89,MATCH($B4541,Setup!$A$60:$A$89,0)),"")))</f>
        <v/>
      </c>
      <c r="E4541" s="42"/>
      <c r="F4541" s="42"/>
    </row>
    <row r="4542" customFormat="false" ht="15" hidden="false" customHeight="true" outlineLevel="0" collapsed="false">
      <c r="A4542" s="42"/>
      <c r="B4542" s="42"/>
      <c r="C4542" s="42"/>
      <c r="D4542" s="28" t="str">
        <f aca="false">IF(OR($B4542="",$C4542=""),"",$C4542*IFERROR(INDEX(Setup!$C$47:$C$56,MATCH($B4542,Setup!$A$47:$A$56,0)),IFERROR(INDEX(Setup!$C$60:$C$89,MATCH($B4542,Setup!$A$60:$A$89,0)),"")))</f>
        <v/>
      </c>
      <c r="E4542" s="42"/>
      <c r="F4542" s="42"/>
    </row>
    <row r="4543" customFormat="false" ht="15" hidden="false" customHeight="true" outlineLevel="0" collapsed="false">
      <c r="A4543" s="42"/>
      <c r="B4543" s="42"/>
      <c r="C4543" s="42"/>
      <c r="D4543" s="28" t="str">
        <f aca="false">IF(OR($B4543="",$C4543=""),"",$C4543*IFERROR(INDEX(Setup!$C$47:$C$56,MATCH($B4543,Setup!$A$47:$A$56,0)),IFERROR(INDEX(Setup!$C$60:$C$89,MATCH($B4543,Setup!$A$60:$A$89,0)),"")))</f>
        <v/>
      </c>
      <c r="E4543" s="42"/>
      <c r="F4543" s="42"/>
    </row>
    <row r="4544" customFormat="false" ht="15" hidden="false" customHeight="true" outlineLevel="0" collapsed="false">
      <c r="A4544" s="42"/>
      <c r="B4544" s="42"/>
      <c r="C4544" s="42"/>
      <c r="D4544" s="28" t="str">
        <f aca="false">IF(OR($B4544="",$C4544=""),"",$C4544*IFERROR(INDEX(Setup!$C$47:$C$56,MATCH($B4544,Setup!$A$47:$A$56,0)),IFERROR(INDEX(Setup!$C$60:$C$89,MATCH($B4544,Setup!$A$60:$A$89,0)),"")))</f>
        <v/>
      </c>
      <c r="E4544" s="42"/>
      <c r="F4544" s="42"/>
    </row>
    <row r="4545" customFormat="false" ht="15" hidden="false" customHeight="true" outlineLevel="0" collapsed="false">
      <c r="A4545" s="42"/>
      <c r="B4545" s="42"/>
      <c r="C4545" s="42"/>
      <c r="D4545" s="28" t="str">
        <f aca="false">IF(OR($B4545="",$C4545=""),"",$C4545*IFERROR(INDEX(Setup!$C$47:$C$56,MATCH($B4545,Setup!$A$47:$A$56,0)),IFERROR(INDEX(Setup!$C$60:$C$89,MATCH($B4545,Setup!$A$60:$A$89,0)),"")))</f>
        <v/>
      </c>
      <c r="E4545" s="42"/>
      <c r="F4545" s="42"/>
    </row>
    <row r="4546" customFormat="false" ht="15" hidden="false" customHeight="true" outlineLevel="0" collapsed="false">
      <c r="A4546" s="42"/>
      <c r="B4546" s="42"/>
      <c r="C4546" s="42"/>
      <c r="D4546" s="28" t="str">
        <f aca="false">IF(OR($B4546="",$C4546=""),"",$C4546*IFERROR(INDEX(Setup!$C$47:$C$56,MATCH($B4546,Setup!$A$47:$A$56,0)),IFERROR(INDEX(Setup!$C$60:$C$89,MATCH($B4546,Setup!$A$60:$A$89,0)),"")))</f>
        <v/>
      </c>
      <c r="E4546" s="42"/>
      <c r="F4546" s="42"/>
    </row>
    <row r="4547" customFormat="false" ht="15" hidden="false" customHeight="true" outlineLevel="0" collapsed="false">
      <c r="A4547" s="42"/>
      <c r="B4547" s="42"/>
      <c r="C4547" s="42"/>
      <c r="D4547" s="28" t="str">
        <f aca="false">IF(OR($B4547="",$C4547=""),"",$C4547*IFERROR(INDEX(Setup!$C$47:$C$56,MATCH($B4547,Setup!$A$47:$A$56,0)),IFERROR(INDEX(Setup!$C$60:$C$89,MATCH($B4547,Setup!$A$60:$A$89,0)),"")))</f>
        <v/>
      </c>
      <c r="E4547" s="42"/>
      <c r="F4547" s="42"/>
    </row>
    <row r="4548" customFormat="false" ht="15" hidden="false" customHeight="true" outlineLevel="0" collapsed="false">
      <c r="A4548" s="42"/>
      <c r="B4548" s="42"/>
      <c r="C4548" s="42"/>
      <c r="D4548" s="28" t="str">
        <f aca="false">IF(OR($B4548="",$C4548=""),"",$C4548*IFERROR(INDEX(Setup!$C$47:$C$56,MATCH($B4548,Setup!$A$47:$A$56,0)),IFERROR(INDEX(Setup!$C$60:$C$89,MATCH($B4548,Setup!$A$60:$A$89,0)),"")))</f>
        <v/>
      </c>
      <c r="E4548" s="42"/>
      <c r="F4548" s="42"/>
    </row>
    <row r="4549" customFormat="false" ht="15" hidden="false" customHeight="true" outlineLevel="0" collapsed="false">
      <c r="A4549" s="42"/>
      <c r="B4549" s="42"/>
      <c r="C4549" s="42"/>
      <c r="D4549" s="28" t="str">
        <f aca="false">IF(OR($B4549="",$C4549=""),"",$C4549*IFERROR(INDEX(Setup!$C$47:$C$56,MATCH($B4549,Setup!$A$47:$A$56,0)),IFERROR(INDEX(Setup!$C$60:$C$89,MATCH($B4549,Setup!$A$60:$A$89,0)),"")))</f>
        <v/>
      </c>
      <c r="E4549" s="42"/>
      <c r="F4549" s="42"/>
    </row>
    <row r="4550" customFormat="false" ht="15" hidden="false" customHeight="true" outlineLevel="0" collapsed="false">
      <c r="A4550" s="42"/>
      <c r="B4550" s="42"/>
      <c r="C4550" s="42"/>
      <c r="D4550" s="28" t="str">
        <f aca="false">IF(OR($B4550="",$C4550=""),"",$C4550*IFERROR(INDEX(Setup!$C$47:$C$56,MATCH($B4550,Setup!$A$47:$A$56,0)),IFERROR(INDEX(Setup!$C$60:$C$89,MATCH($B4550,Setup!$A$60:$A$89,0)),"")))</f>
        <v/>
      </c>
      <c r="E4550" s="42"/>
      <c r="F4550" s="42"/>
    </row>
    <row r="4551" customFormat="false" ht="15" hidden="false" customHeight="true" outlineLevel="0" collapsed="false">
      <c r="A4551" s="42"/>
      <c r="B4551" s="42"/>
      <c r="C4551" s="42"/>
      <c r="D4551" s="28" t="str">
        <f aca="false">IF(OR($B4551="",$C4551=""),"",$C4551*IFERROR(INDEX(Setup!$C$47:$C$56,MATCH($B4551,Setup!$A$47:$A$56,0)),IFERROR(INDEX(Setup!$C$60:$C$89,MATCH($B4551,Setup!$A$60:$A$89,0)),"")))</f>
        <v/>
      </c>
      <c r="E4551" s="42"/>
      <c r="F4551" s="42"/>
    </row>
    <row r="4552" customFormat="false" ht="15" hidden="false" customHeight="true" outlineLevel="0" collapsed="false">
      <c r="A4552" s="42"/>
      <c r="B4552" s="42"/>
      <c r="C4552" s="42"/>
      <c r="D4552" s="28" t="str">
        <f aca="false">IF(OR($B4552="",$C4552=""),"",$C4552*IFERROR(INDEX(Setup!$C$47:$C$56,MATCH($B4552,Setup!$A$47:$A$56,0)),IFERROR(INDEX(Setup!$C$60:$C$89,MATCH($B4552,Setup!$A$60:$A$89,0)),"")))</f>
        <v/>
      </c>
      <c r="E4552" s="42"/>
      <c r="F4552" s="42"/>
    </row>
    <row r="4553" customFormat="false" ht="15" hidden="false" customHeight="true" outlineLevel="0" collapsed="false">
      <c r="A4553" s="42"/>
      <c r="B4553" s="42"/>
      <c r="C4553" s="42"/>
      <c r="D4553" s="28" t="str">
        <f aca="false">IF(OR($B4553="",$C4553=""),"",$C4553*IFERROR(INDEX(Setup!$C$47:$C$56,MATCH($B4553,Setup!$A$47:$A$56,0)),IFERROR(INDEX(Setup!$C$60:$C$89,MATCH($B4553,Setup!$A$60:$A$89,0)),"")))</f>
        <v/>
      </c>
      <c r="E4553" s="42"/>
      <c r="F4553" s="42"/>
    </row>
    <row r="4554" customFormat="false" ht="15" hidden="false" customHeight="true" outlineLevel="0" collapsed="false">
      <c r="A4554" s="42"/>
      <c r="B4554" s="42"/>
      <c r="C4554" s="42"/>
      <c r="D4554" s="28" t="str">
        <f aca="false">IF(OR($B4554="",$C4554=""),"",$C4554*IFERROR(INDEX(Setup!$C$47:$C$56,MATCH($B4554,Setup!$A$47:$A$56,0)),IFERROR(INDEX(Setup!$C$60:$C$89,MATCH($B4554,Setup!$A$60:$A$89,0)),"")))</f>
        <v/>
      </c>
      <c r="E4554" s="42"/>
      <c r="F4554" s="42"/>
    </row>
    <row r="4555" customFormat="false" ht="15" hidden="false" customHeight="true" outlineLevel="0" collapsed="false">
      <c r="A4555" s="42"/>
      <c r="B4555" s="42"/>
      <c r="C4555" s="42"/>
      <c r="D4555" s="28" t="str">
        <f aca="false">IF(OR($B4555="",$C4555=""),"",$C4555*IFERROR(INDEX(Setup!$C$47:$C$56,MATCH($B4555,Setup!$A$47:$A$56,0)),IFERROR(INDEX(Setup!$C$60:$C$89,MATCH($B4555,Setup!$A$60:$A$89,0)),"")))</f>
        <v/>
      </c>
      <c r="E4555" s="42"/>
      <c r="F4555" s="42"/>
    </row>
    <row r="4556" customFormat="false" ht="15" hidden="false" customHeight="true" outlineLevel="0" collapsed="false">
      <c r="A4556" s="42"/>
      <c r="B4556" s="42"/>
      <c r="C4556" s="42"/>
      <c r="D4556" s="28" t="str">
        <f aca="false">IF(OR($B4556="",$C4556=""),"",$C4556*IFERROR(INDEX(Setup!$C$47:$C$56,MATCH($B4556,Setup!$A$47:$A$56,0)),IFERROR(INDEX(Setup!$C$60:$C$89,MATCH($B4556,Setup!$A$60:$A$89,0)),"")))</f>
        <v/>
      </c>
      <c r="E4556" s="42"/>
      <c r="F4556" s="42"/>
    </row>
    <row r="4557" customFormat="false" ht="15" hidden="false" customHeight="true" outlineLevel="0" collapsed="false">
      <c r="A4557" s="42"/>
      <c r="B4557" s="42"/>
      <c r="C4557" s="42"/>
      <c r="D4557" s="28" t="str">
        <f aca="false">IF(OR($B4557="",$C4557=""),"",$C4557*IFERROR(INDEX(Setup!$C$47:$C$56,MATCH($B4557,Setup!$A$47:$A$56,0)),IFERROR(INDEX(Setup!$C$60:$C$89,MATCH($B4557,Setup!$A$60:$A$89,0)),"")))</f>
        <v/>
      </c>
      <c r="E4557" s="42"/>
      <c r="F4557" s="42"/>
    </row>
    <row r="4558" customFormat="false" ht="15" hidden="false" customHeight="true" outlineLevel="0" collapsed="false">
      <c r="A4558" s="42"/>
      <c r="B4558" s="42"/>
      <c r="C4558" s="42"/>
      <c r="D4558" s="28" t="str">
        <f aca="false">IF(OR($B4558="",$C4558=""),"",$C4558*IFERROR(INDEX(Setup!$C$47:$C$56,MATCH($B4558,Setup!$A$47:$A$56,0)),IFERROR(INDEX(Setup!$C$60:$C$89,MATCH($B4558,Setup!$A$60:$A$89,0)),"")))</f>
        <v/>
      </c>
      <c r="E4558" s="42"/>
      <c r="F4558" s="42"/>
    </row>
    <row r="4559" customFormat="false" ht="15" hidden="false" customHeight="true" outlineLevel="0" collapsed="false">
      <c r="A4559" s="42"/>
      <c r="B4559" s="42"/>
      <c r="C4559" s="42"/>
      <c r="D4559" s="28" t="str">
        <f aca="false">IF(OR($B4559="",$C4559=""),"",$C4559*IFERROR(INDEX(Setup!$C$47:$C$56,MATCH($B4559,Setup!$A$47:$A$56,0)),IFERROR(INDEX(Setup!$C$60:$C$89,MATCH($B4559,Setup!$A$60:$A$89,0)),"")))</f>
        <v/>
      </c>
      <c r="E4559" s="42"/>
      <c r="F4559" s="42"/>
    </row>
    <row r="4560" customFormat="false" ht="15" hidden="false" customHeight="true" outlineLevel="0" collapsed="false">
      <c r="A4560" s="42"/>
      <c r="B4560" s="42"/>
      <c r="C4560" s="42"/>
      <c r="D4560" s="28" t="str">
        <f aca="false">IF(OR($B4560="",$C4560=""),"",$C4560*IFERROR(INDEX(Setup!$C$47:$C$56,MATCH($B4560,Setup!$A$47:$A$56,0)),IFERROR(INDEX(Setup!$C$60:$C$89,MATCH($B4560,Setup!$A$60:$A$89,0)),"")))</f>
        <v/>
      </c>
      <c r="E4560" s="42"/>
      <c r="F4560" s="42"/>
    </row>
    <row r="4561" customFormat="false" ht="15" hidden="false" customHeight="true" outlineLevel="0" collapsed="false">
      <c r="A4561" s="42"/>
      <c r="B4561" s="42"/>
      <c r="C4561" s="42"/>
      <c r="D4561" s="28" t="str">
        <f aca="false">IF(OR($B4561="",$C4561=""),"",$C4561*IFERROR(INDEX(Setup!$C$47:$C$56,MATCH($B4561,Setup!$A$47:$A$56,0)),IFERROR(INDEX(Setup!$C$60:$C$89,MATCH($B4561,Setup!$A$60:$A$89,0)),"")))</f>
        <v/>
      </c>
      <c r="E4561" s="42"/>
      <c r="F4561" s="42"/>
    </row>
    <row r="4562" customFormat="false" ht="15" hidden="false" customHeight="true" outlineLevel="0" collapsed="false">
      <c r="A4562" s="42"/>
      <c r="B4562" s="42"/>
      <c r="C4562" s="42"/>
      <c r="D4562" s="28" t="str">
        <f aca="false">IF(OR($B4562="",$C4562=""),"",$C4562*IFERROR(INDEX(Setup!$C$47:$C$56,MATCH($B4562,Setup!$A$47:$A$56,0)),IFERROR(INDEX(Setup!$C$60:$C$89,MATCH($B4562,Setup!$A$60:$A$89,0)),"")))</f>
        <v/>
      </c>
      <c r="E4562" s="42"/>
      <c r="F4562" s="42"/>
    </row>
    <row r="4563" customFormat="false" ht="15" hidden="false" customHeight="true" outlineLevel="0" collapsed="false">
      <c r="A4563" s="42"/>
      <c r="B4563" s="42"/>
      <c r="C4563" s="42"/>
      <c r="D4563" s="28" t="str">
        <f aca="false">IF(OR($B4563="",$C4563=""),"",$C4563*IFERROR(INDEX(Setup!$C$47:$C$56,MATCH($B4563,Setup!$A$47:$A$56,0)),IFERROR(INDEX(Setup!$C$60:$C$89,MATCH($B4563,Setup!$A$60:$A$89,0)),"")))</f>
        <v/>
      </c>
      <c r="E4563" s="42"/>
      <c r="F4563" s="42"/>
    </row>
    <row r="4564" customFormat="false" ht="15" hidden="false" customHeight="true" outlineLevel="0" collapsed="false">
      <c r="A4564" s="42"/>
      <c r="B4564" s="42"/>
      <c r="C4564" s="42"/>
      <c r="D4564" s="28" t="str">
        <f aca="false">IF(OR($B4564="",$C4564=""),"",$C4564*IFERROR(INDEX(Setup!$C$47:$C$56,MATCH($B4564,Setup!$A$47:$A$56,0)),IFERROR(INDEX(Setup!$C$60:$C$89,MATCH($B4564,Setup!$A$60:$A$89,0)),"")))</f>
        <v/>
      </c>
      <c r="E4564" s="42"/>
      <c r="F4564" s="42"/>
    </row>
    <row r="4565" customFormat="false" ht="15" hidden="false" customHeight="true" outlineLevel="0" collapsed="false">
      <c r="A4565" s="42"/>
      <c r="B4565" s="42"/>
      <c r="C4565" s="42"/>
      <c r="D4565" s="28" t="str">
        <f aca="false">IF(OR($B4565="",$C4565=""),"",$C4565*IFERROR(INDEX(Setup!$C$47:$C$56,MATCH($B4565,Setup!$A$47:$A$56,0)),IFERROR(INDEX(Setup!$C$60:$C$89,MATCH($B4565,Setup!$A$60:$A$89,0)),"")))</f>
        <v/>
      </c>
      <c r="E4565" s="42"/>
      <c r="F4565" s="42"/>
    </row>
    <row r="4566" customFormat="false" ht="15" hidden="false" customHeight="true" outlineLevel="0" collapsed="false">
      <c r="A4566" s="42"/>
      <c r="B4566" s="42"/>
      <c r="C4566" s="42"/>
      <c r="D4566" s="28" t="str">
        <f aca="false">IF(OR($B4566="",$C4566=""),"",$C4566*IFERROR(INDEX(Setup!$C$47:$C$56,MATCH($B4566,Setup!$A$47:$A$56,0)),IFERROR(INDEX(Setup!$C$60:$C$89,MATCH($B4566,Setup!$A$60:$A$89,0)),"")))</f>
        <v/>
      </c>
      <c r="E4566" s="42"/>
      <c r="F4566" s="42"/>
    </row>
    <row r="4567" customFormat="false" ht="15" hidden="false" customHeight="true" outlineLevel="0" collapsed="false">
      <c r="A4567" s="42"/>
      <c r="B4567" s="42"/>
      <c r="C4567" s="42"/>
      <c r="D4567" s="28" t="str">
        <f aca="false">IF(OR($B4567="",$C4567=""),"",$C4567*IFERROR(INDEX(Setup!$C$47:$C$56,MATCH($B4567,Setup!$A$47:$A$56,0)),IFERROR(INDEX(Setup!$C$60:$C$89,MATCH($B4567,Setup!$A$60:$A$89,0)),"")))</f>
        <v/>
      </c>
      <c r="E4567" s="42"/>
      <c r="F4567" s="42"/>
    </row>
    <row r="4568" customFormat="false" ht="15" hidden="false" customHeight="true" outlineLevel="0" collapsed="false">
      <c r="A4568" s="42"/>
      <c r="B4568" s="42"/>
      <c r="C4568" s="42"/>
      <c r="D4568" s="28" t="str">
        <f aca="false">IF(OR($B4568="",$C4568=""),"",$C4568*IFERROR(INDEX(Setup!$C$47:$C$56,MATCH($B4568,Setup!$A$47:$A$56,0)),IFERROR(INDEX(Setup!$C$60:$C$89,MATCH($B4568,Setup!$A$60:$A$89,0)),"")))</f>
        <v/>
      </c>
      <c r="E4568" s="42"/>
      <c r="F4568" s="42"/>
    </row>
    <row r="4569" customFormat="false" ht="15" hidden="false" customHeight="true" outlineLevel="0" collapsed="false">
      <c r="A4569" s="42"/>
      <c r="B4569" s="42"/>
      <c r="C4569" s="42"/>
      <c r="D4569" s="28" t="str">
        <f aca="false">IF(OR($B4569="",$C4569=""),"",$C4569*IFERROR(INDEX(Setup!$C$47:$C$56,MATCH($B4569,Setup!$A$47:$A$56,0)),IFERROR(INDEX(Setup!$C$60:$C$89,MATCH($B4569,Setup!$A$60:$A$89,0)),"")))</f>
        <v/>
      </c>
      <c r="E4569" s="42"/>
      <c r="F4569" s="42"/>
    </row>
    <row r="4570" customFormat="false" ht="15" hidden="false" customHeight="true" outlineLevel="0" collapsed="false">
      <c r="A4570" s="42"/>
      <c r="B4570" s="42"/>
      <c r="C4570" s="42"/>
      <c r="D4570" s="28" t="str">
        <f aca="false">IF(OR($B4570="",$C4570=""),"",$C4570*IFERROR(INDEX(Setup!$C$47:$C$56,MATCH($B4570,Setup!$A$47:$A$56,0)),IFERROR(INDEX(Setup!$C$60:$C$89,MATCH($B4570,Setup!$A$60:$A$89,0)),"")))</f>
        <v/>
      </c>
      <c r="E4570" s="42"/>
      <c r="F4570" s="42"/>
    </row>
    <row r="4571" customFormat="false" ht="15" hidden="false" customHeight="true" outlineLevel="0" collapsed="false">
      <c r="A4571" s="42"/>
      <c r="B4571" s="42"/>
      <c r="C4571" s="42"/>
      <c r="D4571" s="28" t="str">
        <f aca="false">IF(OR($B4571="",$C4571=""),"",$C4571*IFERROR(INDEX(Setup!$C$47:$C$56,MATCH($B4571,Setup!$A$47:$A$56,0)),IFERROR(INDEX(Setup!$C$60:$C$89,MATCH($B4571,Setup!$A$60:$A$89,0)),"")))</f>
        <v/>
      </c>
      <c r="E4571" s="42"/>
      <c r="F4571" s="42"/>
    </row>
    <row r="4572" customFormat="false" ht="15" hidden="false" customHeight="true" outlineLevel="0" collapsed="false">
      <c r="A4572" s="42"/>
      <c r="B4572" s="42"/>
      <c r="C4572" s="42"/>
      <c r="D4572" s="28" t="str">
        <f aca="false">IF(OR($B4572="",$C4572=""),"",$C4572*IFERROR(INDEX(Setup!$C$47:$C$56,MATCH($B4572,Setup!$A$47:$A$56,0)),IFERROR(INDEX(Setup!$C$60:$C$89,MATCH($B4572,Setup!$A$60:$A$89,0)),"")))</f>
        <v/>
      </c>
      <c r="E4572" s="42"/>
      <c r="F4572" s="42"/>
    </row>
    <row r="4573" customFormat="false" ht="15" hidden="false" customHeight="true" outlineLevel="0" collapsed="false">
      <c r="A4573" s="42"/>
      <c r="B4573" s="42"/>
      <c r="C4573" s="42"/>
      <c r="D4573" s="28" t="str">
        <f aca="false">IF(OR($B4573="",$C4573=""),"",$C4573*IFERROR(INDEX(Setup!$C$47:$C$56,MATCH($B4573,Setup!$A$47:$A$56,0)),IFERROR(INDEX(Setup!$C$60:$C$89,MATCH($B4573,Setup!$A$60:$A$89,0)),"")))</f>
        <v/>
      </c>
      <c r="E4573" s="42"/>
      <c r="F4573" s="42"/>
    </row>
    <row r="4574" customFormat="false" ht="15" hidden="false" customHeight="true" outlineLevel="0" collapsed="false">
      <c r="A4574" s="42"/>
      <c r="B4574" s="42"/>
      <c r="C4574" s="42"/>
      <c r="D4574" s="28" t="str">
        <f aca="false">IF(OR($B4574="",$C4574=""),"",$C4574*IFERROR(INDEX(Setup!$C$47:$C$56,MATCH($B4574,Setup!$A$47:$A$56,0)),IFERROR(INDEX(Setup!$C$60:$C$89,MATCH($B4574,Setup!$A$60:$A$89,0)),"")))</f>
        <v/>
      </c>
      <c r="E4574" s="42"/>
      <c r="F4574" s="42"/>
    </row>
    <row r="4575" customFormat="false" ht="15" hidden="false" customHeight="true" outlineLevel="0" collapsed="false">
      <c r="A4575" s="42"/>
      <c r="B4575" s="42"/>
      <c r="C4575" s="42"/>
      <c r="D4575" s="28" t="str">
        <f aca="false">IF(OR($B4575="",$C4575=""),"",$C4575*IFERROR(INDEX(Setup!$C$47:$C$56,MATCH($B4575,Setup!$A$47:$A$56,0)),IFERROR(INDEX(Setup!$C$60:$C$89,MATCH($B4575,Setup!$A$60:$A$89,0)),"")))</f>
        <v/>
      </c>
      <c r="E4575" s="42"/>
      <c r="F4575" s="42"/>
    </row>
    <row r="4576" customFormat="false" ht="15" hidden="false" customHeight="true" outlineLevel="0" collapsed="false">
      <c r="A4576" s="42"/>
      <c r="B4576" s="42"/>
      <c r="C4576" s="42"/>
      <c r="D4576" s="28" t="str">
        <f aca="false">IF(OR($B4576="",$C4576=""),"",$C4576*IFERROR(INDEX(Setup!$C$47:$C$56,MATCH($B4576,Setup!$A$47:$A$56,0)),IFERROR(INDEX(Setup!$C$60:$C$89,MATCH($B4576,Setup!$A$60:$A$89,0)),"")))</f>
        <v/>
      </c>
      <c r="E4576" s="42"/>
      <c r="F4576" s="42"/>
    </row>
    <row r="4577" customFormat="false" ht="15" hidden="false" customHeight="true" outlineLevel="0" collapsed="false">
      <c r="A4577" s="42"/>
      <c r="B4577" s="42"/>
      <c r="C4577" s="42"/>
      <c r="D4577" s="28" t="str">
        <f aca="false">IF(OR($B4577="",$C4577=""),"",$C4577*IFERROR(INDEX(Setup!$C$47:$C$56,MATCH($B4577,Setup!$A$47:$A$56,0)),IFERROR(INDEX(Setup!$C$60:$C$89,MATCH($B4577,Setup!$A$60:$A$89,0)),"")))</f>
        <v/>
      </c>
      <c r="E4577" s="42"/>
      <c r="F4577" s="42"/>
    </row>
    <row r="4578" customFormat="false" ht="15" hidden="false" customHeight="true" outlineLevel="0" collapsed="false">
      <c r="A4578" s="42"/>
      <c r="B4578" s="42"/>
      <c r="C4578" s="42"/>
      <c r="D4578" s="28" t="str">
        <f aca="false">IF(OR($B4578="",$C4578=""),"",$C4578*IFERROR(INDEX(Setup!$C$47:$C$56,MATCH($B4578,Setup!$A$47:$A$56,0)),IFERROR(INDEX(Setup!$C$60:$C$89,MATCH($B4578,Setup!$A$60:$A$89,0)),"")))</f>
        <v/>
      </c>
      <c r="E4578" s="42"/>
      <c r="F4578" s="42"/>
    </row>
    <row r="4579" customFormat="false" ht="15" hidden="false" customHeight="true" outlineLevel="0" collapsed="false">
      <c r="A4579" s="42"/>
      <c r="B4579" s="42"/>
      <c r="C4579" s="42"/>
      <c r="D4579" s="28" t="str">
        <f aca="false">IF(OR($B4579="",$C4579=""),"",$C4579*IFERROR(INDEX(Setup!$C$47:$C$56,MATCH($B4579,Setup!$A$47:$A$56,0)),IFERROR(INDEX(Setup!$C$60:$C$89,MATCH($B4579,Setup!$A$60:$A$89,0)),"")))</f>
        <v/>
      </c>
      <c r="E4579" s="42"/>
      <c r="F4579" s="42"/>
    </row>
    <row r="4580" customFormat="false" ht="15" hidden="false" customHeight="true" outlineLevel="0" collapsed="false">
      <c r="A4580" s="42"/>
      <c r="B4580" s="42"/>
      <c r="C4580" s="42"/>
      <c r="D4580" s="28" t="str">
        <f aca="false">IF(OR($B4580="",$C4580=""),"",$C4580*IFERROR(INDEX(Setup!$C$47:$C$56,MATCH($B4580,Setup!$A$47:$A$56,0)),IFERROR(INDEX(Setup!$C$60:$C$89,MATCH($B4580,Setup!$A$60:$A$89,0)),"")))</f>
        <v/>
      </c>
      <c r="E4580" s="42"/>
      <c r="F4580" s="42"/>
    </row>
    <row r="4581" customFormat="false" ht="15" hidden="false" customHeight="true" outlineLevel="0" collapsed="false">
      <c r="A4581" s="42"/>
      <c r="B4581" s="42"/>
      <c r="C4581" s="42"/>
      <c r="D4581" s="28" t="str">
        <f aca="false">IF(OR($B4581="",$C4581=""),"",$C4581*IFERROR(INDEX(Setup!$C$47:$C$56,MATCH($B4581,Setup!$A$47:$A$56,0)),IFERROR(INDEX(Setup!$C$60:$C$89,MATCH($B4581,Setup!$A$60:$A$89,0)),"")))</f>
        <v/>
      </c>
      <c r="E4581" s="42"/>
      <c r="F4581" s="42"/>
    </row>
    <row r="4582" customFormat="false" ht="15" hidden="false" customHeight="true" outlineLevel="0" collapsed="false">
      <c r="A4582" s="42"/>
      <c r="B4582" s="42"/>
      <c r="C4582" s="42"/>
      <c r="D4582" s="28" t="str">
        <f aca="false">IF(OR($B4582="",$C4582=""),"",$C4582*IFERROR(INDEX(Setup!$C$47:$C$56,MATCH($B4582,Setup!$A$47:$A$56,0)),IFERROR(INDEX(Setup!$C$60:$C$89,MATCH($B4582,Setup!$A$60:$A$89,0)),"")))</f>
        <v/>
      </c>
      <c r="E4582" s="42"/>
      <c r="F4582" s="42"/>
    </row>
    <row r="4583" customFormat="false" ht="15" hidden="false" customHeight="true" outlineLevel="0" collapsed="false">
      <c r="A4583" s="42"/>
      <c r="B4583" s="42"/>
      <c r="C4583" s="42"/>
      <c r="D4583" s="28" t="str">
        <f aca="false">IF(OR($B4583="",$C4583=""),"",$C4583*IFERROR(INDEX(Setup!$C$47:$C$56,MATCH($B4583,Setup!$A$47:$A$56,0)),IFERROR(INDEX(Setup!$C$60:$C$89,MATCH($B4583,Setup!$A$60:$A$89,0)),"")))</f>
        <v/>
      </c>
      <c r="E4583" s="42"/>
      <c r="F4583" s="42"/>
    </row>
    <row r="4584" customFormat="false" ht="15" hidden="false" customHeight="true" outlineLevel="0" collapsed="false">
      <c r="A4584" s="42"/>
      <c r="B4584" s="42"/>
      <c r="C4584" s="42"/>
      <c r="D4584" s="28" t="str">
        <f aca="false">IF(OR($B4584="",$C4584=""),"",$C4584*IFERROR(INDEX(Setup!$C$47:$C$56,MATCH($B4584,Setup!$A$47:$A$56,0)),IFERROR(INDEX(Setup!$C$60:$C$89,MATCH($B4584,Setup!$A$60:$A$89,0)),"")))</f>
        <v/>
      </c>
      <c r="E4584" s="42"/>
      <c r="F4584" s="42"/>
    </row>
    <row r="4585" customFormat="false" ht="15" hidden="false" customHeight="true" outlineLevel="0" collapsed="false">
      <c r="A4585" s="42"/>
      <c r="B4585" s="42"/>
      <c r="C4585" s="42"/>
      <c r="D4585" s="28" t="str">
        <f aca="false">IF(OR($B4585="",$C4585=""),"",$C4585*IFERROR(INDEX(Setup!$C$47:$C$56,MATCH($B4585,Setup!$A$47:$A$56,0)),IFERROR(INDEX(Setup!$C$60:$C$89,MATCH($B4585,Setup!$A$60:$A$89,0)),"")))</f>
        <v/>
      </c>
      <c r="E4585" s="42"/>
      <c r="F4585" s="42"/>
    </row>
    <row r="4586" customFormat="false" ht="15" hidden="false" customHeight="true" outlineLevel="0" collapsed="false">
      <c r="A4586" s="42"/>
      <c r="B4586" s="42"/>
      <c r="C4586" s="42"/>
      <c r="D4586" s="28" t="str">
        <f aca="false">IF(OR($B4586="",$C4586=""),"",$C4586*IFERROR(INDEX(Setup!$C$47:$C$56,MATCH($B4586,Setup!$A$47:$A$56,0)),IFERROR(INDEX(Setup!$C$60:$C$89,MATCH($B4586,Setup!$A$60:$A$89,0)),"")))</f>
        <v/>
      </c>
      <c r="E4586" s="42"/>
      <c r="F4586" s="42"/>
    </row>
    <row r="4587" customFormat="false" ht="15" hidden="false" customHeight="true" outlineLevel="0" collapsed="false">
      <c r="A4587" s="42"/>
      <c r="B4587" s="42"/>
      <c r="C4587" s="42"/>
      <c r="D4587" s="28" t="str">
        <f aca="false">IF(OR($B4587="",$C4587=""),"",$C4587*IFERROR(INDEX(Setup!$C$47:$C$56,MATCH($B4587,Setup!$A$47:$A$56,0)),IFERROR(INDEX(Setup!$C$60:$C$89,MATCH($B4587,Setup!$A$60:$A$89,0)),"")))</f>
        <v/>
      </c>
      <c r="E4587" s="42"/>
      <c r="F4587" s="42"/>
    </row>
    <row r="4588" customFormat="false" ht="15" hidden="false" customHeight="true" outlineLevel="0" collapsed="false">
      <c r="A4588" s="42"/>
      <c r="B4588" s="42"/>
      <c r="C4588" s="42"/>
      <c r="D4588" s="28" t="str">
        <f aca="false">IF(OR($B4588="",$C4588=""),"",$C4588*IFERROR(INDEX(Setup!$C$47:$C$56,MATCH($B4588,Setup!$A$47:$A$56,0)),IFERROR(INDEX(Setup!$C$60:$C$89,MATCH($B4588,Setup!$A$60:$A$89,0)),"")))</f>
        <v/>
      </c>
      <c r="E4588" s="42"/>
      <c r="F4588" s="42"/>
    </row>
    <row r="4589" customFormat="false" ht="15" hidden="false" customHeight="true" outlineLevel="0" collapsed="false">
      <c r="A4589" s="42"/>
      <c r="B4589" s="42"/>
      <c r="C4589" s="42"/>
      <c r="D4589" s="28" t="str">
        <f aca="false">IF(OR($B4589="",$C4589=""),"",$C4589*IFERROR(INDEX(Setup!$C$47:$C$56,MATCH($B4589,Setup!$A$47:$A$56,0)),IFERROR(INDEX(Setup!$C$60:$C$89,MATCH($B4589,Setup!$A$60:$A$89,0)),"")))</f>
        <v/>
      </c>
      <c r="E4589" s="42"/>
      <c r="F4589" s="42"/>
    </row>
    <row r="4590" customFormat="false" ht="15" hidden="false" customHeight="true" outlineLevel="0" collapsed="false">
      <c r="A4590" s="42"/>
      <c r="B4590" s="42"/>
      <c r="C4590" s="42"/>
      <c r="D4590" s="28" t="str">
        <f aca="false">IF(OR($B4590="",$C4590=""),"",$C4590*IFERROR(INDEX(Setup!$C$47:$C$56,MATCH($B4590,Setup!$A$47:$A$56,0)),IFERROR(INDEX(Setup!$C$60:$C$89,MATCH($B4590,Setup!$A$60:$A$89,0)),"")))</f>
        <v/>
      </c>
      <c r="E4590" s="42"/>
      <c r="F4590" s="42"/>
    </row>
    <row r="4591" customFormat="false" ht="15" hidden="false" customHeight="true" outlineLevel="0" collapsed="false">
      <c r="A4591" s="42"/>
      <c r="B4591" s="42"/>
      <c r="C4591" s="42"/>
      <c r="D4591" s="28" t="str">
        <f aca="false">IF(OR($B4591="",$C4591=""),"",$C4591*IFERROR(INDEX(Setup!$C$47:$C$56,MATCH($B4591,Setup!$A$47:$A$56,0)),IFERROR(INDEX(Setup!$C$60:$C$89,MATCH($B4591,Setup!$A$60:$A$89,0)),"")))</f>
        <v/>
      </c>
      <c r="E4591" s="42"/>
      <c r="F4591" s="42"/>
    </row>
    <row r="4592" customFormat="false" ht="15" hidden="false" customHeight="true" outlineLevel="0" collapsed="false">
      <c r="A4592" s="42"/>
      <c r="B4592" s="42"/>
      <c r="C4592" s="42"/>
      <c r="D4592" s="28" t="str">
        <f aca="false">IF(OR($B4592="",$C4592=""),"",$C4592*IFERROR(INDEX(Setup!$C$47:$C$56,MATCH($B4592,Setup!$A$47:$A$56,0)),IFERROR(INDEX(Setup!$C$60:$C$89,MATCH($B4592,Setup!$A$60:$A$89,0)),"")))</f>
        <v/>
      </c>
      <c r="E4592" s="42"/>
      <c r="F4592" s="42"/>
    </row>
    <row r="4593" customFormat="false" ht="15" hidden="false" customHeight="true" outlineLevel="0" collapsed="false">
      <c r="A4593" s="42"/>
      <c r="B4593" s="42"/>
      <c r="C4593" s="42"/>
      <c r="D4593" s="28" t="str">
        <f aca="false">IF(OR($B4593="",$C4593=""),"",$C4593*IFERROR(INDEX(Setup!$C$47:$C$56,MATCH($B4593,Setup!$A$47:$A$56,0)),IFERROR(INDEX(Setup!$C$60:$C$89,MATCH($B4593,Setup!$A$60:$A$89,0)),"")))</f>
        <v/>
      </c>
      <c r="E4593" s="42"/>
      <c r="F4593" s="42"/>
    </row>
    <row r="4594" customFormat="false" ht="15" hidden="false" customHeight="true" outlineLevel="0" collapsed="false">
      <c r="A4594" s="42"/>
      <c r="B4594" s="42"/>
      <c r="C4594" s="42"/>
      <c r="D4594" s="28" t="str">
        <f aca="false">IF(OR($B4594="",$C4594=""),"",$C4594*IFERROR(INDEX(Setup!$C$47:$C$56,MATCH($B4594,Setup!$A$47:$A$56,0)),IFERROR(INDEX(Setup!$C$60:$C$89,MATCH($B4594,Setup!$A$60:$A$89,0)),"")))</f>
        <v/>
      </c>
      <c r="E4594" s="42"/>
      <c r="F4594" s="42"/>
    </row>
    <row r="4595" customFormat="false" ht="15" hidden="false" customHeight="true" outlineLevel="0" collapsed="false">
      <c r="A4595" s="42"/>
      <c r="B4595" s="42"/>
      <c r="C4595" s="42"/>
      <c r="D4595" s="28" t="str">
        <f aca="false">IF(OR($B4595="",$C4595=""),"",$C4595*IFERROR(INDEX(Setup!$C$47:$C$56,MATCH($B4595,Setup!$A$47:$A$56,0)),IFERROR(INDEX(Setup!$C$60:$C$89,MATCH($B4595,Setup!$A$60:$A$89,0)),"")))</f>
        <v/>
      </c>
      <c r="E4595" s="42"/>
      <c r="F4595" s="42"/>
    </row>
    <row r="4596" customFormat="false" ht="15" hidden="false" customHeight="true" outlineLevel="0" collapsed="false">
      <c r="A4596" s="42"/>
      <c r="B4596" s="42"/>
      <c r="C4596" s="42"/>
      <c r="D4596" s="28" t="str">
        <f aca="false">IF(OR($B4596="",$C4596=""),"",$C4596*IFERROR(INDEX(Setup!$C$47:$C$56,MATCH($B4596,Setup!$A$47:$A$56,0)),IFERROR(INDEX(Setup!$C$60:$C$89,MATCH($B4596,Setup!$A$60:$A$89,0)),"")))</f>
        <v/>
      </c>
      <c r="E4596" s="42"/>
      <c r="F4596" s="42"/>
    </row>
    <row r="4597" customFormat="false" ht="15" hidden="false" customHeight="true" outlineLevel="0" collapsed="false">
      <c r="A4597" s="42"/>
      <c r="B4597" s="42"/>
      <c r="C4597" s="42"/>
      <c r="D4597" s="28" t="str">
        <f aca="false">IF(OR($B4597="",$C4597=""),"",$C4597*IFERROR(INDEX(Setup!$C$47:$C$56,MATCH($B4597,Setup!$A$47:$A$56,0)),IFERROR(INDEX(Setup!$C$60:$C$89,MATCH($B4597,Setup!$A$60:$A$89,0)),"")))</f>
        <v/>
      </c>
      <c r="E4597" s="42"/>
      <c r="F4597" s="42"/>
    </row>
    <row r="4598" customFormat="false" ht="15" hidden="false" customHeight="true" outlineLevel="0" collapsed="false">
      <c r="A4598" s="42"/>
      <c r="B4598" s="42"/>
      <c r="C4598" s="42"/>
      <c r="D4598" s="28" t="str">
        <f aca="false">IF(OR($B4598="",$C4598=""),"",$C4598*IFERROR(INDEX(Setup!$C$47:$C$56,MATCH($B4598,Setup!$A$47:$A$56,0)),IFERROR(INDEX(Setup!$C$60:$C$89,MATCH($B4598,Setup!$A$60:$A$89,0)),"")))</f>
        <v/>
      </c>
      <c r="E4598" s="42"/>
      <c r="F4598" s="42"/>
    </row>
    <row r="4599" customFormat="false" ht="15" hidden="false" customHeight="true" outlineLevel="0" collapsed="false">
      <c r="A4599" s="42"/>
      <c r="B4599" s="42"/>
      <c r="C4599" s="42"/>
      <c r="D4599" s="28" t="str">
        <f aca="false">IF(OR($B4599="",$C4599=""),"",$C4599*IFERROR(INDEX(Setup!$C$47:$C$56,MATCH($B4599,Setup!$A$47:$A$56,0)),IFERROR(INDEX(Setup!$C$60:$C$89,MATCH($B4599,Setup!$A$60:$A$89,0)),"")))</f>
        <v/>
      </c>
      <c r="E4599" s="42"/>
      <c r="F4599" s="42"/>
    </row>
    <row r="4600" customFormat="false" ht="15" hidden="false" customHeight="true" outlineLevel="0" collapsed="false">
      <c r="A4600" s="42"/>
      <c r="B4600" s="42"/>
      <c r="C4600" s="42"/>
      <c r="D4600" s="28" t="str">
        <f aca="false">IF(OR($B4600="",$C4600=""),"",$C4600*IFERROR(INDEX(Setup!$C$47:$C$56,MATCH($B4600,Setup!$A$47:$A$56,0)),IFERROR(INDEX(Setup!$C$60:$C$89,MATCH($B4600,Setup!$A$60:$A$89,0)),"")))</f>
        <v/>
      </c>
      <c r="E4600" s="42"/>
      <c r="F4600" s="42"/>
    </row>
    <row r="4601" customFormat="false" ht="15" hidden="false" customHeight="true" outlineLevel="0" collapsed="false">
      <c r="A4601" s="42"/>
      <c r="B4601" s="42"/>
      <c r="C4601" s="42"/>
      <c r="D4601" s="28" t="str">
        <f aca="false">IF(OR($B4601="",$C4601=""),"",$C4601*IFERROR(INDEX(Setup!$C$47:$C$56,MATCH($B4601,Setup!$A$47:$A$56,0)),IFERROR(INDEX(Setup!$C$60:$C$89,MATCH($B4601,Setup!$A$60:$A$89,0)),"")))</f>
        <v/>
      </c>
      <c r="E4601" s="42"/>
      <c r="F4601" s="42"/>
    </row>
    <row r="4602" customFormat="false" ht="15" hidden="false" customHeight="true" outlineLevel="0" collapsed="false">
      <c r="A4602" s="42"/>
      <c r="B4602" s="42"/>
      <c r="C4602" s="42"/>
      <c r="D4602" s="28" t="str">
        <f aca="false">IF(OR($B4602="",$C4602=""),"",$C4602*IFERROR(INDEX(Setup!$C$47:$C$56,MATCH($B4602,Setup!$A$47:$A$56,0)),IFERROR(INDEX(Setup!$C$60:$C$89,MATCH($B4602,Setup!$A$60:$A$89,0)),"")))</f>
        <v/>
      </c>
      <c r="E4602" s="42"/>
      <c r="F4602" s="42"/>
    </row>
    <row r="4603" customFormat="false" ht="15" hidden="false" customHeight="true" outlineLevel="0" collapsed="false">
      <c r="A4603" s="42"/>
      <c r="B4603" s="42"/>
      <c r="C4603" s="42"/>
      <c r="D4603" s="28" t="str">
        <f aca="false">IF(OR($B4603="",$C4603=""),"",$C4603*IFERROR(INDEX(Setup!$C$47:$C$56,MATCH($B4603,Setup!$A$47:$A$56,0)),IFERROR(INDEX(Setup!$C$60:$C$89,MATCH($B4603,Setup!$A$60:$A$89,0)),"")))</f>
        <v/>
      </c>
      <c r="E4603" s="42"/>
      <c r="F4603" s="42"/>
    </row>
    <row r="4604" customFormat="false" ht="15" hidden="false" customHeight="true" outlineLevel="0" collapsed="false">
      <c r="A4604" s="42"/>
      <c r="B4604" s="42"/>
      <c r="C4604" s="42"/>
      <c r="D4604" s="28" t="str">
        <f aca="false">IF(OR($B4604="",$C4604=""),"",$C4604*IFERROR(INDEX(Setup!$C$47:$C$56,MATCH($B4604,Setup!$A$47:$A$56,0)),IFERROR(INDEX(Setup!$C$60:$C$89,MATCH($B4604,Setup!$A$60:$A$89,0)),"")))</f>
        <v/>
      </c>
      <c r="E4604" s="42"/>
      <c r="F4604" s="42"/>
    </row>
    <row r="4605" customFormat="false" ht="15" hidden="false" customHeight="true" outlineLevel="0" collapsed="false">
      <c r="A4605" s="42"/>
      <c r="B4605" s="42"/>
      <c r="C4605" s="42"/>
      <c r="D4605" s="28" t="str">
        <f aca="false">IF(OR($B4605="",$C4605=""),"",$C4605*IFERROR(INDEX(Setup!$C$47:$C$56,MATCH($B4605,Setup!$A$47:$A$56,0)),IFERROR(INDEX(Setup!$C$60:$C$89,MATCH($B4605,Setup!$A$60:$A$89,0)),"")))</f>
        <v/>
      </c>
      <c r="E4605" s="42"/>
      <c r="F4605" s="42"/>
    </row>
    <row r="4606" customFormat="false" ht="15" hidden="false" customHeight="true" outlineLevel="0" collapsed="false">
      <c r="A4606" s="42"/>
      <c r="B4606" s="42"/>
      <c r="C4606" s="42"/>
      <c r="D4606" s="28" t="str">
        <f aca="false">IF(OR($B4606="",$C4606=""),"",$C4606*IFERROR(INDEX(Setup!$C$47:$C$56,MATCH($B4606,Setup!$A$47:$A$56,0)),IFERROR(INDEX(Setup!$C$60:$C$89,MATCH($B4606,Setup!$A$60:$A$89,0)),"")))</f>
        <v/>
      </c>
      <c r="E4606" s="42"/>
      <c r="F4606" s="42"/>
    </row>
    <row r="4607" customFormat="false" ht="15" hidden="false" customHeight="true" outlineLevel="0" collapsed="false">
      <c r="A4607" s="42"/>
      <c r="B4607" s="42"/>
      <c r="C4607" s="42"/>
      <c r="D4607" s="28" t="str">
        <f aca="false">IF(OR($B4607="",$C4607=""),"",$C4607*IFERROR(INDEX(Setup!$C$47:$C$56,MATCH($B4607,Setup!$A$47:$A$56,0)),IFERROR(INDEX(Setup!$C$60:$C$89,MATCH($B4607,Setup!$A$60:$A$89,0)),"")))</f>
        <v/>
      </c>
      <c r="E4607" s="42"/>
      <c r="F4607" s="42"/>
    </row>
    <row r="4608" customFormat="false" ht="15" hidden="false" customHeight="true" outlineLevel="0" collapsed="false">
      <c r="A4608" s="42"/>
      <c r="B4608" s="42"/>
      <c r="C4608" s="42"/>
      <c r="D4608" s="28" t="str">
        <f aca="false">IF(OR($B4608="",$C4608=""),"",$C4608*IFERROR(INDEX(Setup!$C$47:$C$56,MATCH($B4608,Setup!$A$47:$A$56,0)),IFERROR(INDEX(Setup!$C$60:$C$89,MATCH($B4608,Setup!$A$60:$A$89,0)),"")))</f>
        <v/>
      </c>
      <c r="E4608" s="42"/>
      <c r="F4608" s="42"/>
    </row>
    <row r="4609" customFormat="false" ht="15" hidden="false" customHeight="true" outlineLevel="0" collapsed="false">
      <c r="A4609" s="42"/>
      <c r="B4609" s="42"/>
      <c r="C4609" s="42"/>
      <c r="D4609" s="28" t="str">
        <f aca="false">IF(OR($B4609="",$C4609=""),"",$C4609*IFERROR(INDEX(Setup!$C$47:$C$56,MATCH($B4609,Setup!$A$47:$A$56,0)),IFERROR(INDEX(Setup!$C$60:$C$89,MATCH($B4609,Setup!$A$60:$A$89,0)),"")))</f>
        <v/>
      </c>
      <c r="E4609" s="42"/>
      <c r="F4609" s="42"/>
    </row>
    <row r="4610" customFormat="false" ht="15" hidden="false" customHeight="true" outlineLevel="0" collapsed="false">
      <c r="A4610" s="42"/>
      <c r="B4610" s="42"/>
      <c r="C4610" s="42"/>
      <c r="D4610" s="28" t="str">
        <f aca="false">IF(OR($B4610="",$C4610=""),"",$C4610*IFERROR(INDEX(Setup!$C$47:$C$56,MATCH($B4610,Setup!$A$47:$A$56,0)),IFERROR(INDEX(Setup!$C$60:$C$89,MATCH($B4610,Setup!$A$60:$A$89,0)),"")))</f>
        <v/>
      </c>
      <c r="E4610" s="42"/>
      <c r="F4610" s="42"/>
    </row>
    <row r="4611" customFormat="false" ht="15" hidden="false" customHeight="true" outlineLevel="0" collapsed="false">
      <c r="A4611" s="42"/>
      <c r="B4611" s="42"/>
      <c r="C4611" s="42"/>
      <c r="D4611" s="28" t="str">
        <f aca="false">IF(OR($B4611="",$C4611=""),"",$C4611*IFERROR(INDEX(Setup!$C$47:$C$56,MATCH($B4611,Setup!$A$47:$A$56,0)),IFERROR(INDEX(Setup!$C$60:$C$89,MATCH($B4611,Setup!$A$60:$A$89,0)),"")))</f>
        <v/>
      </c>
      <c r="E4611" s="42"/>
      <c r="F4611" s="42"/>
    </row>
    <row r="4612" customFormat="false" ht="15" hidden="false" customHeight="true" outlineLevel="0" collapsed="false">
      <c r="A4612" s="42"/>
      <c r="B4612" s="42"/>
      <c r="C4612" s="42"/>
      <c r="D4612" s="28" t="str">
        <f aca="false">IF(OR($B4612="",$C4612=""),"",$C4612*IFERROR(INDEX(Setup!$C$47:$C$56,MATCH($B4612,Setup!$A$47:$A$56,0)),IFERROR(INDEX(Setup!$C$60:$C$89,MATCH($B4612,Setup!$A$60:$A$89,0)),"")))</f>
        <v/>
      </c>
      <c r="E4612" s="42"/>
      <c r="F4612" s="42"/>
    </row>
    <row r="4613" customFormat="false" ht="15" hidden="false" customHeight="true" outlineLevel="0" collapsed="false">
      <c r="A4613" s="42"/>
      <c r="B4613" s="42"/>
      <c r="C4613" s="42"/>
      <c r="D4613" s="28" t="str">
        <f aca="false">IF(OR($B4613="",$C4613=""),"",$C4613*IFERROR(INDEX(Setup!$C$47:$C$56,MATCH($B4613,Setup!$A$47:$A$56,0)),IFERROR(INDEX(Setup!$C$60:$C$89,MATCH($B4613,Setup!$A$60:$A$89,0)),"")))</f>
        <v/>
      </c>
      <c r="E4613" s="42"/>
      <c r="F4613" s="42"/>
    </row>
    <row r="4614" customFormat="false" ht="15" hidden="false" customHeight="true" outlineLevel="0" collapsed="false">
      <c r="A4614" s="42"/>
      <c r="B4614" s="42"/>
      <c r="C4614" s="42"/>
      <c r="D4614" s="28" t="str">
        <f aca="false">IF(OR($B4614="",$C4614=""),"",$C4614*IFERROR(INDEX(Setup!$C$47:$C$56,MATCH($B4614,Setup!$A$47:$A$56,0)),IFERROR(INDEX(Setup!$C$60:$C$89,MATCH($B4614,Setup!$A$60:$A$89,0)),"")))</f>
        <v/>
      </c>
      <c r="E4614" s="42"/>
      <c r="F4614" s="42"/>
    </row>
    <row r="4615" customFormat="false" ht="15" hidden="false" customHeight="true" outlineLevel="0" collapsed="false">
      <c r="A4615" s="42"/>
      <c r="B4615" s="42"/>
      <c r="C4615" s="42"/>
      <c r="D4615" s="28" t="str">
        <f aca="false">IF(OR($B4615="",$C4615=""),"",$C4615*IFERROR(INDEX(Setup!$C$47:$C$56,MATCH($B4615,Setup!$A$47:$A$56,0)),IFERROR(INDEX(Setup!$C$60:$C$89,MATCH($B4615,Setup!$A$60:$A$89,0)),"")))</f>
        <v/>
      </c>
      <c r="E4615" s="42"/>
      <c r="F4615" s="42"/>
    </row>
    <row r="4616" customFormat="false" ht="15" hidden="false" customHeight="true" outlineLevel="0" collapsed="false">
      <c r="A4616" s="42"/>
      <c r="B4616" s="42"/>
      <c r="C4616" s="42"/>
      <c r="D4616" s="28" t="str">
        <f aca="false">IF(OR($B4616="",$C4616=""),"",$C4616*IFERROR(INDEX(Setup!$C$47:$C$56,MATCH($B4616,Setup!$A$47:$A$56,0)),IFERROR(INDEX(Setup!$C$60:$C$89,MATCH($B4616,Setup!$A$60:$A$89,0)),"")))</f>
        <v/>
      </c>
      <c r="E4616" s="42"/>
      <c r="F4616" s="42"/>
    </row>
    <row r="4617" customFormat="false" ht="15" hidden="false" customHeight="true" outlineLevel="0" collapsed="false">
      <c r="A4617" s="42"/>
      <c r="B4617" s="42"/>
      <c r="C4617" s="42"/>
      <c r="D4617" s="28" t="str">
        <f aca="false">IF(OR($B4617="",$C4617=""),"",$C4617*IFERROR(INDEX(Setup!$C$47:$C$56,MATCH($B4617,Setup!$A$47:$A$56,0)),IFERROR(INDEX(Setup!$C$60:$C$89,MATCH($B4617,Setup!$A$60:$A$89,0)),"")))</f>
        <v/>
      </c>
      <c r="E4617" s="42"/>
      <c r="F4617" s="42"/>
    </row>
    <row r="4618" customFormat="false" ht="15" hidden="false" customHeight="true" outlineLevel="0" collapsed="false">
      <c r="A4618" s="42"/>
      <c r="B4618" s="42"/>
      <c r="C4618" s="42"/>
      <c r="D4618" s="28" t="str">
        <f aca="false">IF(OR($B4618="",$C4618=""),"",$C4618*IFERROR(INDEX(Setup!$C$47:$C$56,MATCH($B4618,Setup!$A$47:$A$56,0)),IFERROR(INDEX(Setup!$C$60:$C$89,MATCH($B4618,Setup!$A$60:$A$89,0)),"")))</f>
        <v/>
      </c>
      <c r="E4618" s="42"/>
      <c r="F4618" s="42"/>
    </row>
    <row r="4619" customFormat="false" ht="15" hidden="false" customHeight="true" outlineLevel="0" collapsed="false">
      <c r="A4619" s="42"/>
      <c r="B4619" s="42"/>
      <c r="C4619" s="42"/>
      <c r="D4619" s="28" t="str">
        <f aca="false">IF(OR($B4619="",$C4619=""),"",$C4619*IFERROR(INDEX(Setup!$C$47:$C$56,MATCH($B4619,Setup!$A$47:$A$56,0)),IFERROR(INDEX(Setup!$C$60:$C$89,MATCH($B4619,Setup!$A$60:$A$89,0)),"")))</f>
        <v/>
      </c>
      <c r="E4619" s="42"/>
      <c r="F4619" s="42"/>
    </row>
    <row r="4620" customFormat="false" ht="15" hidden="false" customHeight="true" outlineLevel="0" collapsed="false">
      <c r="A4620" s="42"/>
      <c r="B4620" s="42"/>
      <c r="C4620" s="42"/>
      <c r="D4620" s="28" t="str">
        <f aca="false">IF(OR($B4620="",$C4620=""),"",$C4620*IFERROR(INDEX(Setup!$C$47:$C$56,MATCH($B4620,Setup!$A$47:$A$56,0)),IFERROR(INDEX(Setup!$C$60:$C$89,MATCH($B4620,Setup!$A$60:$A$89,0)),"")))</f>
        <v/>
      </c>
      <c r="E4620" s="42"/>
      <c r="F4620" s="42"/>
    </row>
    <row r="4621" customFormat="false" ht="15" hidden="false" customHeight="true" outlineLevel="0" collapsed="false">
      <c r="A4621" s="42"/>
      <c r="B4621" s="42"/>
      <c r="C4621" s="42"/>
      <c r="D4621" s="28" t="str">
        <f aca="false">IF(OR($B4621="",$C4621=""),"",$C4621*IFERROR(INDEX(Setup!$C$47:$C$56,MATCH($B4621,Setup!$A$47:$A$56,0)),IFERROR(INDEX(Setup!$C$60:$C$89,MATCH($B4621,Setup!$A$60:$A$89,0)),"")))</f>
        <v/>
      </c>
      <c r="E4621" s="42"/>
      <c r="F4621" s="42"/>
    </row>
    <row r="4622" customFormat="false" ht="15" hidden="false" customHeight="true" outlineLevel="0" collapsed="false">
      <c r="A4622" s="42"/>
      <c r="B4622" s="42"/>
      <c r="C4622" s="42"/>
      <c r="D4622" s="28" t="str">
        <f aca="false">IF(OR($B4622="",$C4622=""),"",$C4622*IFERROR(INDEX(Setup!$C$47:$C$56,MATCH($B4622,Setup!$A$47:$A$56,0)),IFERROR(INDEX(Setup!$C$60:$C$89,MATCH($B4622,Setup!$A$60:$A$89,0)),"")))</f>
        <v/>
      </c>
      <c r="E4622" s="42"/>
      <c r="F4622" s="42"/>
    </row>
    <row r="4623" customFormat="false" ht="15" hidden="false" customHeight="true" outlineLevel="0" collapsed="false">
      <c r="A4623" s="42"/>
      <c r="B4623" s="42"/>
      <c r="C4623" s="42"/>
      <c r="D4623" s="28" t="str">
        <f aca="false">IF(OR($B4623="",$C4623=""),"",$C4623*IFERROR(INDEX(Setup!$C$47:$C$56,MATCH($B4623,Setup!$A$47:$A$56,0)),IFERROR(INDEX(Setup!$C$60:$C$89,MATCH($B4623,Setup!$A$60:$A$89,0)),"")))</f>
        <v/>
      </c>
      <c r="E4623" s="42"/>
      <c r="F4623" s="42"/>
    </row>
    <row r="4624" customFormat="false" ht="15" hidden="false" customHeight="true" outlineLevel="0" collapsed="false">
      <c r="A4624" s="42"/>
      <c r="B4624" s="42"/>
      <c r="C4624" s="42"/>
      <c r="D4624" s="28" t="str">
        <f aca="false">IF(OR($B4624="",$C4624=""),"",$C4624*IFERROR(INDEX(Setup!$C$47:$C$56,MATCH($B4624,Setup!$A$47:$A$56,0)),IFERROR(INDEX(Setup!$C$60:$C$89,MATCH($B4624,Setup!$A$60:$A$89,0)),"")))</f>
        <v/>
      </c>
      <c r="E4624" s="42"/>
      <c r="F4624" s="42"/>
    </row>
    <row r="4625" customFormat="false" ht="15" hidden="false" customHeight="true" outlineLevel="0" collapsed="false">
      <c r="A4625" s="42"/>
      <c r="B4625" s="42"/>
      <c r="C4625" s="42"/>
      <c r="D4625" s="28" t="str">
        <f aca="false">IF(OR($B4625="",$C4625=""),"",$C4625*IFERROR(INDEX(Setup!$C$47:$C$56,MATCH($B4625,Setup!$A$47:$A$56,0)),IFERROR(INDEX(Setup!$C$60:$C$89,MATCH($B4625,Setup!$A$60:$A$89,0)),"")))</f>
        <v/>
      </c>
      <c r="E4625" s="42"/>
      <c r="F4625" s="42"/>
    </row>
    <row r="4626" customFormat="false" ht="15" hidden="false" customHeight="true" outlineLevel="0" collapsed="false">
      <c r="A4626" s="42"/>
      <c r="B4626" s="42"/>
      <c r="C4626" s="42"/>
      <c r="D4626" s="28" t="str">
        <f aca="false">IF(OR($B4626="",$C4626=""),"",$C4626*IFERROR(INDEX(Setup!$C$47:$C$56,MATCH($B4626,Setup!$A$47:$A$56,0)),IFERROR(INDEX(Setup!$C$60:$C$89,MATCH($B4626,Setup!$A$60:$A$89,0)),"")))</f>
        <v/>
      </c>
      <c r="E4626" s="42"/>
      <c r="F4626" s="42"/>
    </row>
    <row r="4627" customFormat="false" ht="15" hidden="false" customHeight="true" outlineLevel="0" collapsed="false">
      <c r="A4627" s="42"/>
      <c r="B4627" s="42"/>
      <c r="C4627" s="42"/>
      <c r="D4627" s="28" t="str">
        <f aca="false">IF(OR($B4627="",$C4627=""),"",$C4627*IFERROR(INDEX(Setup!$C$47:$C$56,MATCH($B4627,Setup!$A$47:$A$56,0)),IFERROR(INDEX(Setup!$C$60:$C$89,MATCH($B4627,Setup!$A$60:$A$89,0)),"")))</f>
        <v/>
      </c>
      <c r="E4627" s="42"/>
      <c r="F4627" s="42"/>
    </row>
    <row r="4628" customFormat="false" ht="15" hidden="false" customHeight="true" outlineLevel="0" collapsed="false">
      <c r="A4628" s="42"/>
      <c r="B4628" s="42"/>
      <c r="C4628" s="42"/>
      <c r="D4628" s="28" t="str">
        <f aca="false">IF(OR($B4628="",$C4628=""),"",$C4628*IFERROR(INDEX(Setup!$C$47:$C$56,MATCH($B4628,Setup!$A$47:$A$56,0)),IFERROR(INDEX(Setup!$C$60:$C$89,MATCH($B4628,Setup!$A$60:$A$89,0)),"")))</f>
        <v/>
      </c>
      <c r="E4628" s="42"/>
      <c r="F4628" s="42"/>
    </row>
    <row r="4629" customFormat="false" ht="15" hidden="false" customHeight="true" outlineLevel="0" collapsed="false">
      <c r="A4629" s="42"/>
      <c r="B4629" s="42"/>
      <c r="C4629" s="42"/>
      <c r="D4629" s="28" t="str">
        <f aca="false">IF(OR($B4629="",$C4629=""),"",$C4629*IFERROR(INDEX(Setup!$C$47:$C$56,MATCH($B4629,Setup!$A$47:$A$56,0)),IFERROR(INDEX(Setup!$C$60:$C$89,MATCH($B4629,Setup!$A$60:$A$89,0)),"")))</f>
        <v/>
      </c>
      <c r="E4629" s="42"/>
      <c r="F4629" s="42"/>
    </row>
    <row r="4630" customFormat="false" ht="15" hidden="false" customHeight="true" outlineLevel="0" collapsed="false">
      <c r="A4630" s="42"/>
      <c r="B4630" s="42"/>
      <c r="C4630" s="42"/>
      <c r="D4630" s="28" t="str">
        <f aca="false">IF(OR($B4630="",$C4630=""),"",$C4630*IFERROR(INDEX(Setup!$C$47:$C$56,MATCH($B4630,Setup!$A$47:$A$56,0)),IFERROR(INDEX(Setup!$C$60:$C$89,MATCH($B4630,Setup!$A$60:$A$89,0)),"")))</f>
        <v/>
      </c>
      <c r="E4630" s="42"/>
      <c r="F4630" s="42"/>
    </row>
    <row r="4631" customFormat="false" ht="15" hidden="false" customHeight="true" outlineLevel="0" collapsed="false">
      <c r="A4631" s="42"/>
      <c r="B4631" s="42"/>
      <c r="C4631" s="42"/>
      <c r="D4631" s="28" t="str">
        <f aca="false">IF(OR($B4631="",$C4631=""),"",$C4631*IFERROR(INDEX(Setup!$C$47:$C$56,MATCH($B4631,Setup!$A$47:$A$56,0)),IFERROR(INDEX(Setup!$C$60:$C$89,MATCH($B4631,Setup!$A$60:$A$89,0)),"")))</f>
        <v/>
      </c>
      <c r="E4631" s="42"/>
      <c r="F4631" s="42"/>
    </row>
    <row r="4632" customFormat="false" ht="15" hidden="false" customHeight="true" outlineLevel="0" collapsed="false">
      <c r="A4632" s="42"/>
      <c r="B4632" s="42"/>
      <c r="C4632" s="42"/>
      <c r="D4632" s="28" t="str">
        <f aca="false">IF(OR($B4632="",$C4632=""),"",$C4632*IFERROR(INDEX(Setup!$C$47:$C$56,MATCH($B4632,Setup!$A$47:$A$56,0)),IFERROR(INDEX(Setup!$C$60:$C$89,MATCH($B4632,Setup!$A$60:$A$89,0)),"")))</f>
        <v/>
      </c>
      <c r="E4632" s="42"/>
      <c r="F4632" s="42"/>
    </row>
    <row r="4633" customFormat="false" ht="15" hidden="false" customHeight="true" outlineLevel="0" collapsed="false">
      <c r="A4633" s="42"/>
      <c r="B4633" s="42"/>
      <c r="C4633" s="42"/>
      <c r="D4633" s="28" t="str">
        <f aca="false">IF(OR($B4633="",$C4633=""),"",$C4633*IFERROR(INDEX(Setup!$C$47:$C$56,MATCH($B4633,Setup!$A$47:$A$56,0)),IFERROR(INDEX(Setup!$C$60:$C$89,MATCH($B4633,Setup!$A$60:$A$89,0)),"")))</f>
        <v/>
      </c>
      <c r="E4633" s="42"/>
      <c r="F4633" s="42"/>
    </row>
    <row r="4634" customFormat="false" ht="15" hidden="false" customHeight="true" outlineLevel="0" collapsed="false">
      <c r="A4634" s="42"/>
      <c r="B4634" s="42"/>
      <c r="C4634" s="42"/>
      <c r="D4634" s="28" t="str">
        <f aca="false">IF(OR($B4634="",$C4634=""),"",$C4634*IFERROR(INDEX(Setup!$C$47:$C$56,MATCH($B4634,Setup!$A$47:$A$56,0)),IFERROR(INDEX(Setup!$C$60:$C$89,MATCH($B4634,Setup!$A$60:$A$89,0)),"")))</f>
        <v/>
      </c>
      <c r="E4634" s="42"/>
      <c r="F4634" s="42"/>
    </row>
    <row r="4635" customFormat="false" ht="15" hidden="false" customHeight="true" outlineLevel="0" collapsed="false">
      <c r="A4635" s="42"/>
      <c r="B4635" s="42"/>
      <c r="C4635" s="42"/>
      <c r="D4635" s="28" t="str">
        <f aca="false">IF(OR($B4635="",$C4635=""),"",$C4635*IFERROR(INDEX(Setup!$C$47:$C$56,MATCH($B4635,Setup!$A$47:$A$56,0)),IFERROR(INDEX(Setup!$C$60:$C$89,MATCH($B4635,Setup!$A$60:$A$89,0)),"")))</f>
        <v/>
      </c>
      <c r="E4635" s="42"/>
      <c r="F4635" s="42"/>
    </row>
    <row r="4636" customFormat="false" ht="15" hidden="false" customHeight="true" outlineLevel="0" collapsed="false">
      <c r="A4636" s="42"/>
      <c r="B4636" s="42"/>
      <c r="C4636" s="42"/>
      <c r="D4636" s="28" t="str">
        <f aca="false">IF(OR($B4636="",$C4636=""),"",$C4636*IFERROR(INDEX(Setup!$C$47:$C$56,MATCH($B4636,Setup!$A$47:$A$56,0)),IFERROR(INDEX(Setup!$C$60:$C$89,MATCH($B4636,Setup!$A$60:$A$89,0)),"")))</f>
        <v/>
      </c>
      <c r="E4636" s="42"/>
      <c r="F4636" s="42"/>
    </row>
    <row r="4637" customFormat="false" ht="15" hidden="false" customHeight="true" outlineLevel="0" collapsed="false">
      <c r="A4637" s="42"/>
      <c r="B4637" s="42"/>
      <c r="C4637" s="42"/>
      <c r="D4637" s="28" t="str">
        <f aca="false">IF(OR($B4637="",$C4637=""),"",$C4637*IFERROR(INDEX(Setup!$C$47:$C$56,MATCH($B4637,Setup!$A$47:$A$56,0)),IFERROR(INDEX(Setup!$C$60:$C$89,MATCH($B4637,Setup!$A$60:$A$89,0)),"")))</f>
        <v/>
      </c>
      <c r="E4637" s="42"/>
      <c r="F4637" s="42"/>
    </row>
    <row r="4638" customFormat="false" ht="15" hidden="false" customHeight="true" outlineLevel="0" collapsed="false">
      <c r="A4638" s="42"/>
      <c r="B4638" s="42"/>
      <c r="C4638" s="42"/>
      <c r="D4638" s="28" t="str">
        <f aca="false">IF(OR($B4638="",$C4638=""),"",$C4638*IFERROR(INDEX(Setup!$C$47:$C$56,MATCH($B4638,Setup!$A$47:$A$56,0)),IFERROR(INDEX(Setup!$C$60:$C$89,MATCH($B4638,Setup!$A$60:$A$89,0)),"")))</f>
        <v/>
      </c>
      <c r="E4638" s="42"/>
      <c r="F4638" s="42"/>
    </row>
    <row r="4639" customFormat="false" ht="15" hidden="false" customHeight="true" outlineLevel="0" collapsed="false">
      <c r="A4639" s="42"/>
      <c r="B4639" s="42"/>
      <c r="C4639" s="42"/>
      <c r="D4639" s="28" t="str">
        <f aca="false">IF(OR($B4639="",$C4639=""),"",$C4639*IFERROR(INDEX(Setup!$C$47:$C$56,MATCH($B4639,Setup!$A$47:$A$56,0)),IFERROR(INDEX(Setup!$C$60:$C$89,MATCH($B4639,Setup!$A$60:$A$89,0)),"")))</f>
        <v/>
      </c>
      <c r="E4639" s="42"/>
      <c r="F4639" s="42"/>
    </row>
    <row r="4640" customFormat="false" ht="15" hidden="false" customHeight="true" outlineLevel="0" collapsed="false">
      <c r="A4640" s="42"/>
      <c r="B4640" s="42"/>
      <c r="C4640" s="42"/>
      <c r="D4640" s="28" t="str">
        <f aca="false">IF(OR($B4640="",$C4640=""),"",$C4640*IFERROR(INDEX(Setup!$C$47:$C$56,MATCH($B4640,Setup!$A$47:$A$56,0)),IFERROR(INDEX(Setup!$C$60:$C$89,MATCH($B4640,Setup!$A$60:$A$89,0)),"")))</f>
        <v/>
      </c>
      <c r="E4640" s="42"/>
      <c r="F4640" s="42"/>
    </row>
    <row r="4641" customFormat="false" ht="15" hidden="false" customHeight="true" outlineLevel="0" collapsed="false">
      <c r="A4641" s="42"/>
      <c r="B4641" s="42"/>
      <c r="C4641" s="42"/>
      <c r="D4641" s="28" t="str">
        <f aca="false">IF(OR($B4641="",$C4641=""),"",$C4641*IFERROR(INDEX(Setup!$C$47:$C$56,MATCH($B4641,Setup!$A$47:$A$56,0)),IFERROR(INDEX(Setup!$C$60:$C$89,MATCH($B4641,Setup!$A$60:$A$89,0)),"")))</f>
        <v/>
      </c>
      <c r="E4641" s="42"/>
      <c r="F4641" s="42"/>
    </row>
    <row r="4642" customFormat="false" ht="15" hidden="false" customHeight="true" outlineLevel="0" collapsed="false">
      <c r="A4642" s="42"/>
      <c r="B4642" s="42"/>
      <c r="C4642" s="42"/>
      <c r="D4642" s="28" t="str">
        <f aca="false">IF(OR($B4642="",$C4642=""),"",$C4642*IFERROR(INDEX(Setup!$C$47:$C$56,MATCH($B4642,Setup!$A$47:$A$56,0)),IFERROR(INDEX(Setup!$C$60:$C$89,MATCH($B4642,Setup!$A$60:$A$89,0)),"")))</f>
        <v/>
      </c>
      <c r="E4642" s="42"/>
      <c r="F4642" s="42"/>
    </row>
    <row r="4643" customFormat="false" ht="15" hidden="false" customHeight="true" outlineLevel="0" collapsed="false">
      <c r="A4643" s="42"/>
      <c r="B4643" s="42"/>
      <c r="C4643" s="42"/>
      <c r="D4643" s="28" t="str">
        <f aca="false">IF(OR($B4643="",$C4643=""),"",$C4643*IFERROR(INDEX(Setup!$C$47:$C$56,MATCH($B4643,Setup!$A$47:$A$56,0)),IFERROR(INDEX(Setup!$C$60:$C$89,MATCH($B4643,Setup!$A$60:$A$89,0)),"")))</f>
        <v/>
      </c>
      <c r="E4643" s="42"/>
      <c r="F4643" s="42"/>
    </row>
    <row r="4644" customFormat="false" ht="15" hidden="false" customHeight="true" outlineLevel="0" collapsed="false">
      <c r="A4644" s="42"/>
      <c r="B4644" s="42"/>
      <c r="C4644" s="42"/>
      <c r="D4644" s="28" t="str">
        <f aca="false">IF(OR($B4644="",$C4644=""),"",$C4644*IFERROR(INDEX(Setup!$C$47:$C$56,MATCH($B4644,Setup!$A$47:$A$56,0)),IFERROR(INDEX(Setup!$C$60:$C$89,MATCH($B4644,Setup!$A$60:$A$89,0)),"")))</f>
        <v/>
      </c>
      <c r="E4644" s="42"/>
      <c r="F4644" s="42"/>
    </row>
    <row r="4645" customFormat="false" ht="15" hidden="false" customHeight="true" outlineLevel="0" collapsed="false">
      <c r="A4645" s="42"/>
      <c r="B4645" s="42"/>
      <c r="C4645" s="42"/>
      <c r="D4645" s="28" t="str">
        <f aca="false">IF(OR($B4645="",$C4645=""),"",$C4645*IFERROR(INDEX(Setup!$C$47:$C$56,MATCH($B4645,Setup!$A$47:$A$56,0)),IFERROR(INDEX(Setup!$C$60:$C$89,MATCH($B4645,Setup!$A$60:$A$89,0)),"")))</f>
        <v/>
      </c>
      <c r="E4645" s="42"/>
      <c r="F4645" s="42"/>
    </row>
    <row r="4646" customFormat="false" ht="15" hidden="false" customHeight="true" outlineLevel="0" collapsed="false">
      <c r="A4646" s="42"/>
      <c r="B4646" s="42"/>
      <c r="C4646" s="42"/>
      <c r="D4646" s="28" t="str">
        <f aca="false">IF(OR($B4646="",$C4646=""),"",$C4646*IFERROR(INDEX(Setup!$C$47:$C$56,MATCH($B4646,Setup!$A$47:$A$56,0)),IFERROR(INDEX(Setup!$C$60:$C$89,MATCH($B4646,Setup!$A$60:$A$89,0)),"")))</f>
        <v/>
      </c>
      <c r="E4646" s="42"/>
      <c r="F4646" s="42"/>
    </row>
    <row r="4647" customFormat="false" ht="15" hidden="false" customHeight="true" outlineLevel="0" collapsed="false">
      <c r="A4647" s="42"/>
      <c r="B4647" s="42"/>
      <c r="C4647" s="42"/>
      <c r="D4647" s="28" t="str">
        <f aca="false">IF(OR($B4647="",$C4647=""),"",$C4647*IFERROR(INDEX(Setup!$C$47:$C$56,MATCH($B4647,Setup!$A$47:$A$56,0)),IFERROR(INDEX(Setup!$C$60:$C$89,MATCH($B4647,Setup!$A$60:$A$89,0)),"")))</f>
        <v/>
      </c>
      <c r="E4647" s="42"/>
      <c r="F4647" s="42"/>
    </row>
    <row r="4648" customFormat="false" ht="15" hidden="false" customHeight="true" outlineLevel="0" collapsed="false">
      <c r="A4648" s="42"/>
      <c r="B4648" s="42"/>
      <c r="C4648" s="42"/>
      <c r="D4648" s="28" t="str">
        <f aca="false">IF(OR($B4648="",$C4648=""),"",$C4648*IFERROR(INDEX(Setup!$C$47:$C$56,MATCH($B4648,Setup!$A$47:$A$56,0)),IFERROR(INDEX(Setup!$C$60:$C$89,MATCH($B4648,Setup!$A$60:$A$89,0)),"")))</f>
        <v/>
      </c>
      <c r="E4648" s="42"/>
      <c r="F4648" s="42"/>
    </row>
    <row r="4649" customFormat="false" ht="15" hidden="false" customHeight="true" outlineLevel="0" collapsed="false">
      <c r="A4649" s="42"/>
      <c r="B4649" s="42"/>
      <c r="C4649" s="42"/>
      <c r="D4649" s="28" t="str">
        <f aca="false">IF(OR($B4649="",$C4649=""),"",$C4649*IFERROR(INDEX(Setup!$C$47:$C$56,MATCH($B4649,Setup!$A$47:$A$56,0)),IFERROR(INDEX(Setup!$C$60:$C$89,MATCH($B4649,Setup!$A$60:$A$89,0)),"")))</f>
        <v/>
      </c>
      <c r="E4649" s="42"/>
      <c r="F4649" s="42"/>
    </row>
    <row r="4650" customFormat="false" ht="15" hidden="false" customHeight="true" outlineLevel="0" collapsed="false">
      <c r="A4650" s="42"/>
      <c r="B4650" s="42"/>
      <c r="C4650" s="42"/>
      <c r="D4650" s="28" t="str">
        <f aca="false">IF(OR($B4650="",$C4650=""),"",$C4650*IFERROR(INDEX(Setup!$C$47:$C$56,MATCH($B4650,Setup!$A$47:$A$56,0)),IFERROR(INDEX(Setup!$C$60:$C$89,MATCH($B4650,Setup!$A$60:$A$89,0)),"")))</f>
        <v/>
      </c>
      <c r="E4650" s="42"/>
      <c r="F4650" s="42"/>
    </row>
    <row r="4651" customFormat="false" ht="15" hidden="false" customHeight="true" outlineLevel="0" collapsed="false">
      <c r="A4651" s="42"/>
      <c r="B4651" s="42"/>
      <c r="C4651" s="42"/>
      <c r="D4651" s="28" t="str">
        <f aca="false">IF(OR($B4651="",$C4651=""),"",$C4651*IFERROR(INDEX(Setup!$C$47:$C$56,MATCH($B4651,Setup!$A$47:$A$56,0)),IFERROR(INDEX(Setup!$C$60:$C$89,MATCH($B4651,Setup!$A$60:$A$89,0)),"")))</f>
        <v/>
      </c>
      <c r="E4651" s="42"/>
      <c r="F4651" s="42"/>
    </row>
    <row r="4652" customFormat="false" ht="15" hidden="false" customHeight="true" outlineLevel="0" collapsed="false">
      <c r="A4652" s="42"/>
      <c r="B4652" s="42"/>
      <c r="C4652" s="42"/>
      <c r="D4652" s="28" t="str">
        <f aca="false">IF(OR($B4652="",$C4652=""),"",$C4652*IFERROR(INDEX(Setup!$C$47:$C$56,MATCH($B4652,Setup!$A$47:$A$56,0)),IFERROR(INDEX(Setup!$C$60:$C$89,MATCH($B4652,Setup!$A$60:$A$89,0)),"")))</f>
        <v/>
      </c>
      <c r="E4652" s="42"/>
      <c r="F4652" s="42"/>
    </row>
    <row r="4653" customFormat="false" ht="15" hidden="false" customHeight="true" outlineLevel="0" collapsed="false">
      <c r="A4653" s="42"/>
      <c r="B4653" s="42"/>
      <c r="C4653" s="42"/>
      <c r="D4653" s="28" t="str">
        <f aca="false">IF(OR($B4653="",$C4653=""),"",$C4653*IFERROR(INDEX(Setup!$C$47:$C$56,MATCH($B4653,Setup!$A$47:$A$56,0)),IFERROR(INDEX(Setup!$C$60:$C$89,MATCH($B4653,Setup!$A$60:$A$89,0)),"")))</f>
        <v/>
      </c>
      <c r="E4653" s="42"/>
      <c r="F4653" s="42"/>
    </row>
    <row r="4654" customFormat="false" ht="15" hidden="false" customHeight="true" outlineLevel="0" collapsed="false">
      <c r="A4654" s="42"/>
      <c r="B4654" s="42"/>
      <c r="C4654" s="42"/>
      <c r="D4654" s="28" t="str">
        <f aca="false">IF(OR($B4654="",$C4654=""),"",$C4654*IFERROR(INDEX(Setup!$C$47:$C$56,MATCH($B4654,Setup!$A$47:$A$56,0)),IFERROR(INDEX(Setup!$C$60:$C$89,MATCH($B4654,Setup!$A$60:$A$89,0)),"")))</f>
        <v/>
      </c>
      <c r="E4654" s="42"/>
      <c r="F4654" s="42"/>
    </row>
    <row r="4655" customFormat="false" ht="15" hidden="false" customHeight="true" outlineLevel="0" collapsed="false">
      <c r="A4655" s="42"/>
      <c r="B4655" s="42"/>
      <c r="C4655" s="42"/>
      <c r="D4655" s="28" t="str">
        <f aca="false">IF(OR($B4655="",$C4655=""),"",$C4655*IFERROR(INDEX(Setup!$C$47:$C$56,MATCH($B4655,Setup!$A$47:$A$56,0)),IFERROR(INDEX(Setup!$C$60:$C$89,MATCH($B4655,Setup!$A$60:$A$89,0)),"")))</f>
        <v/>
      </c>
      <c r="E4655" s="42"/>
      <c r="F4655" s="42"/>
    </row>
    <row r="4656" customFormat="false" ht="15" hidden="false" customHeight="true" outlineLevel="0" collapsed="false">
      <c r="A4656" s="42"/>
      <c r="B4656" s="42"/>
      <c r="C4656" s="42"/>
      <c r="D4656" s="28" t="str">
        <f aca="false">IF(OR($B4656="",$C4656=""),"",$C4656*IFERROR(INDEX(Setup!$C$47:$C$56,MATCH($B4656,Setup!$A$47:$A$56,0)),IFERROR(INDEX(Setup!$C$60:$C$89,MATCH($B4656,Setup!$A$60:$A$89,0)),"")))</f>
        <v/>
      </c>
      <c r="E4656" s="42"/>
      <c r="F4656" s="42"/>
    </row>
    <row r="4657" customFormat="false" ht="15" hidden="false" customHeight="true" outlineLevel="0" collapsed="false">
      <c r="A4657" s="42"/>
      <c r="B4657" s="42"/>
      <c r="C4657" s="42"/>
      <c r="D4657" s="28" t="str">
        <f aca="false">IF(OR($B4657="",$C4657=""),"",$C4657*IFERROR(INDEX(Setup!$C$47:$C$56,MATCH($B4657,Setup!$A$47:$A$56,0)),IFERROR(INDEX(Setup!$C$60:$C$89,MATCH($B4657,Setup!$A$60:$A$89,0)),"")))</f>
        <v/>
      </c>
      <c r="E4657" s="42"/>
      <c r="F4657" s="42"/>
    </row>
    <row r="4658" customFormat="false" ht="15" hidden="false" customHeight="true" outlineLevel="0" collapsed="false">
      <c r="A4658" s="42"/>
      <c r="B4658" s="42"/>
      <c r="C4658" s="42"/>
      <c r="D4658" s="28" t="str">
        <f aca="false">IF(OR($B4658="",$C4658=""),"",$C4658*IFERROR(INDEX(Setup!$C$47:$C$56,MATCH($B4658,Setup!$A$47:$A$56,0)),IFERROR(INDEX(Setup!$C$60:$C$89,MATCH($B4658,Setup!$A$60:$A$89,0)),"")))</f>
        <v/>
      </c>
      <c r="E4658" s="42"/>
      <c r="F4658" s="42"/>
    </row>
    <row r="4659" customFormat="false" ht="15" hidden="false" customHeight="true" outlineLevel="0" collapsed="false">
      <c r="A4659" s="42"/>
      <c r="B4659" s="42"/>
      <c r="C4659" s="42"/>
      <c r="D4659" s="28" t="str">
        <f aca="false">IF(OR($B4659="",$C4659=""),"",$C4659*IFERROR(INDEX(Setup!$C$47:$C$56,MATCH($B4659,Setup!$A$47:$A$56,0)),IFERROR(INDEX(Setup!$C$60:$C$89,MATCH($B4659,Setup!$A$60:$A$89,0)),"")))</f>
        <v/>
      </c>
      <c r="E4659" s="42"/>
      <c r="F4659" s="42"/>
    </row>
    <row r="4660" customFormat="false" ht="15" hidden="false" customHeight="true" outlineLevel="0" collapsed="false">
      <c r="A4660" s="42"/>
      <c r="B4660" s="42"/>
      <c r="C4660" s="42"/>
      <c r="D4660" s="28" t="str">
        <f aca="false">IF(OR($B4660="",$C4660=""),"",$C4660*IFERROR(INDEX(Setup!$C$47:$C$56,MATCH($B4660,Setup!$A$47:$A$56,0)),IFERROR(INDEX(Setup!$C$60:$C$89,MATCH($B4660,Setup!$A$60:$A$89,0)),"")))</f>
        <v/>
      </c>
      <c r="E4660" s="42"/>
      <c r="F4660" s="42"/>
    </row>
    <row r="4661" customFormat="false" ht="15" hidden="false" customHeight="true" outlineLevel="0" collapsed="false">
      <c r="A4661" s="42"/>
      <c r="B4661" s="42"/>
      <c r="C4661" s="42"/>
      <c r="D4661" s="28" t="str">
        <f aca="false">IF(OR($B4661="",$C4661=""),"",$C4661*IFERROR(INDEX(Setup!$C$47:$C$56,MATCH($B4661,Setup!$A$47:$A$56,0)),IFERROR(INDEX(Setup!$C$60:$C$89,MATCH($B4661,Setup!$A$60:$A$89,0)),"")))</f>
        <v/>
      </c>
      <c r="E4661" s="42"/>
      <c r="F4661" s="42"/>
    </row>
    <row r="4662" customFormat="false" ht="15" hidden="false" customHeight="true" outlineLevel="0" collapsed="false">
      <c r="A4662" s="42"/>
      <c r="B4662" s="42"/>
      <c r="C4662" s="42"/>
      <c r="D4662" s="28" t="str">
        <f aca="false">IF(OR($B4662="",$C4662=""),"",$C4662*IFERROR(INDEX(Setup!$C$47:$C$56,MATCH($B4662,Setup!$A$47:$A$56,0)),IFERROR(INDEX(Setup!$C$60:$C$89,MATCH($B4662,Setup!$A$60:$A$89,0)),"")))</f>
        <v/>
      </c>
      <c r="E4662" s="42"/>
      <c r="F4662" s="42"/>
    </row>
    <row r="4663" customFormat="false" ht="15" hidden="false" customHeight="true" outlineLevel="0" collapsed="false">
      <c r="A4663" s="42"/>
      <c r="B4663" s="42"/>
      <c r="C4663" s="42"/>
      <c r="D4663" s="28" t="str">
        <f aca="false">IF(OR($B4663="",$C4663=""),"",$C4663*IFERROR(INDEX(Setup!$C$47:$C$56,MATCH($B4663,Setup!$A$47:$A$56,0)),IFERROR(INDEX(Setup!$C$60:$C$89,MATCH($B4663,Setup!$A$60:$A$89,0)),"")))</f>
        <v/>
      </c>
      <c r="E4663" s="42"/>
      <c r="F4663" s="42"/>
    </row>
    <row r="4664" customFormat="false" ht="15" hidden="false" customHeight="true" outlineLevel="0" collapsed="false">
      <c r="A4664" s="42"/>
      <c r="B4664" s="42"/>
      <c r="C4664" s="42"/>
      <c r="D4664" s="28" t="str">
        <f aca="false">IF(OR($B4664="",$C4664=""),"",$C4664*IFERROR(INDEX(Setup!$C$47:$C$56,MATCH($B4664,Setup!$A$47:$A$56,0)),IFERROR(INDEX(Setup!$C$60:$C$89,MATCH($B4664,Setup!$A$60:$A$89,0)),"")))</f>
        <v/>
      </c>
      <c r="E4664" s="42"/>
      <c r="F4664" s="42"/>
    </row>
    <row r="4665" customFormat="false" ht="15" hidden="false" customHeight="true" outlineLevel="0" collapsed="false">
      <c r="A4665" s="42"/>
      <c r="B4665" s="42"/>
      <c r="C4665" s="42"/>
      <c r="D4665" s="28" t="str">
        <f aca="false">IF(OR($B4665="",$C4665=""),"",$C4665*IFERROR(INDEX(Setup!$C$47:$C$56,MATCH($B4665,Setup!$A$47:$A$56,0)),IFERROR(INDEX(Setup!$C$60:$C$89,MATCH($B4665,Setup!$A$60:$A$89,0)),"")))</f>
        <v/>
      </c>
      <c r="E4665" s="42"/>
      <c r="F4665" s="42"/>
    </row>
    <row r="4666" customFormat="false" ht="15" hidden="false" customHeight="true" outlineLevel="0" collapsed="false">
      <c r="A4666" s="42"/>
      <c r="B4666" s="42"/>
      <c r="C4666" s="42"/>
      <c r="D4666" s="28" t="str">
        <f aca="false">IF(OR($B4666="",$C4666=""),"",$C4666*IFERROR(INDEX(Setup!$C$47:$C$56,MATCH($B4666,Setup!$A$47:$A$56,0)),IFERROR(INDEX(Setup!$C$60:$C$89,MATCH($B4666,Setup!$A$60:$A$89,0)),"")))</f>
        <v/>
      </c>
      <c r="E4666" s="42"/>
      <c r="F4666" s="42"/>
    </row>
    <row r="4667" customFormat="false" ht="15" hidden="false" customHeight="true" outlineLevel="0" collapsed="false">
      <c r="A4667" s="42"/>
      <c r="B4667" s="42"/>
      <c r="C4667" s="42"/>
      <c r="D4667" s="28" t="str">
        <f aca="false">IF(OR($B4667="",$C4667=""),"",$C4667*IFERROR(INDEX(Setup!$C$47:$C$56,MATCH($B4667,Setup!$A$47:$A$56,0)),IFERROR(INDEX(Setup!$C$60:$C$89,MATCH($B4667,Setup!$A$60:$A$89,0)),"")))</f>
        <v/>
      </c>
      <c r="E4667" s="42"/>
      <c r="F4667" s="42"/>
    </row>
    <row r="4668" customFormat="false" ht="15" hidden="false" customHeight="true" outlineLevel="0" collapsed="false">
      <c r="A4668" s="42"/>
      <c r="B4668" s="42"/>
      <c r="C4668" s="42"/>
      <c r="D4668" s="28" t="str">
        <f aca="false">IF(OR($B4668="",$C4668=""),"",$C4668*IFERROR(INDEX(Setup!$C$47:$C$56,MATCH($B4668,Setup!$A$47:$A$56,0)),IFERROR(INDEX(Setup!$C$60:$C$89,MATCH($B4668,Setup!$A$60:$A$89,0)),"")))</f>
        <v/>
      </c>
      <c r="E4668" s="42"/>
      <c r="F4668" s="42"/>
    </row>
    <row r="4669" customFormat="false" ht="15" hidden="false" customHeight="true" outlineLevel="0" collapsed="false">
      <c r="A4669" s="42"/>
      <c r="B4669" s="42"/>
      <c r="C4669" s="42"/>
      <c r="D4669" s="28" t="str">
        <f aca="false">IF(OR($B4669="",$C4669=""),"",$C4669*IFERROR(INDEX(Setup!$C$47:$C$56,MATCH($B4669,Setup!$A$47:$A$56,0)),IFERROR(INDEX(Setup!$C$60:$C$89,MATCH($B4669,Setup!$A$60:$A$89,0)),"")))</f>
        <v/>
      </c>
      <c r="E4669" s="42"/>
      <c r="F4669" s="42"/>
    </row>
    <row r="4670" customFormat="false" ht="15" hidden="false" customHeight="true" outlineLevel="0" collapsed="false">
      <c r="A4670" s="42"/>
      <c r="B4670" s="42"/>
      <c r="C4670" s="42"/>
      <c r="D4670" s="28" t="str">
        <f aca="false">IF(OR($B4670="",$C4670=""),"",$C4670*IFERROR(INDEX(Setup!$C$47:$C$56,MATCH($B4670,Setup!$A$47:$A$56,0)),IFERROR(INDEX(Setup!$C$60:$C$89,MATCH($B4670,Setup!$A$60:$A$89,0)),"")))</f>
        <v/>
      </c>
      <c r="E4670" s="42"/>
      <c r="F4670" s="42"/>
    </row>
    <row r="4671" customFormat="false" ht="15" hidden="false" customHeight="true" outlineLevel="0" collapsed="false">
      <c r="A4671" s="42"/>
      <c r="B4671" s="42"/>
      <c r="C4671" s="42"/>
      <c r="D4671" s="28" t="str">
        <f aca="false">IF(OR($B4671="",$C4671=""),"",$C4671*IFERROR(INDEX(Setup!$C$47:$C$56,MATCH($B4671,Setup!$A$47:$A$56,0)),IFERROR(INDEX(Setup!$C$60:$C$89,MATCH($B4671,Setup!$A$60:$A$89,0)),"")))</f>
        <v/>
      </c>
      <c r="E4671" s="42"/>
      <c r="F4671" s="42"/>
    </row>
    <row r="4672" customFormat="false" ht="15" hidden="false" customHeight="true" outlineLevel="0" collapsed="false">
      <c r="A4672" s="42"/>
      <c r="B4672" s="42"/>
      <c r="C4672" s="42"/>
      <c r="D4672" s="28" t="str">
        <f aca="false">IF(OR($B4672="",$C4672=""),"",$C4672*IFERROR(INDEX(Setup!$C$47:$C$56,MATCH($B4672,Setup!$A$47:$A$56,0)),IFERROR(INDEX(Setup!$C$60:$C$89,MATCH($B4672,Setup!$A$60:$A$89,0)),"")))</f>
        <v/>
      </c>
      <c r="E4672" s="42"/>
      <c r="F4672" s="42"/>
    </row>
    <row r="4673" customFormat="false" ht="15" hidden="false" customHeight="true" outlineLevel="0" collapsed="false">
      <c r="A4673" s="42"/>
      <c r="B4673" s="42"/>
      <c r="C4673" s="42"/>
      <c r="D4673" s="28" t="str">
        <f aca="false">IF(OR($B4673="",$C4673=""),"",$C4673*IFERROR(INDEX(Setup!$C$47:$C$56,MATCH($B4673,Setup!$A$47:$A$56,0)),IFERROR(INDEX(Setup!$C$60:$C$89,MATCH($B4673,Setup!$A$60:$A$89,0)),"")))</f>
        <v/>
      </c>
      <c r="E4673" s="42"/>
      <c r="F4673" s="42"/>
    </row>
    <row r="4674" customFormat="false" ht="15" hidden="false" customHeight="true" outlineLevel="0" collapsed="false">
      <c r="A4674" s="42"/>
      <c r="B4674" s="42"/>
      <c r="C4674" s="42"/>
      <c r="D4674" s="28" t="str">
        <f aca="false">IF(OR($B4674="",$C4674=""),"",$C4674*IFERROR(INDEX(Setup!$C$47:$C$56,MATCH($B4674,Setup!$A$47:$A$56,0)),IFERROR(INDEX(Setup!$C$60:$C$89,MATCH($B4674,Setup!$A$60:$A$89,0)),"")))</f>
        <v/>
      </c>
      <c r="E4674" s="42"/>
      <c r="F4674" s="42"/>
    </row>
    <row r="4675" customFormat="false" ht="15" hidden="false" customHeight="true" outlineLevel="0" collapsed="false">
      <c r="A4675" s="42"/>
      <c r="B4675" s="42"/>
      <c r="C4675" s="42"/>
      <c r="D4675" s="28" t="str">
        <f aca="false">IF(OR($B4675="",$C4675=""),"",$C4675*IFERROR(INDEX(Setup!$C$47:$C$56,MATCH($B4675,Setup!$A$47:$A$56,0)),IFERROR(INDEX(Setup!$C$60:$C$89,MATCH($B4675,Setup!$A$60:$A$89,0)),"")))</f>
        <v/>
      </c>
      <c r="E4675" s="42"/>
      <c r="F4675" s="42"/>
    </row>
    <row r="4676" customFormat="false" ht="15" hidden="false" customHeight="true" outlineLevel="0" collapsed="false">
      <c r="A4676" s="42"/>
      <c r="B4676" s="42"/>
      <c r="C4676" s="42"/>
      <c r="D4676" s="28" t="str">
        <f aca="false">IF(OR($B4676="",$C4676=""),"",$C4676*IFERROR(INDEX(Setup!$C$47:$C$56,MATCH($B4676,Setup!$A$47:$A$56,0)),IFERROR(INDEX(Setup!$C$60:$C$89,MATCH($B4676,Setup!$A$60:$A$89,0)),"")))</f>
        <v/>
      </c>
      <c r="E4676" s="42"/>
      <c r="F4676" s="42"/>
    </row>
    <row r="4677" customFormat="false" ht="15" hidden="false" customHeight="true" outlineLevel="0" collapsed="false">
      <c r="A4677" s="42"/>
      <c r="B4677" s="42"/>
      <c r="C4677" s="42"/>
      <c r="D4677" s="28" t="str">
        <f aca="false">IF(OR($B4677="",$C4677=""),"",$C4677*IFERROR(INDEX(Setup!$C$47:$C$56,MATCH($B4677,Setup!$A$47:$A$56,0)),IFERROR(INDEX(Setup!$C$60:$C$89,MATCH($B4677,Setup!$A$60:$A$89,0)),"")))</f>
        <v/>
      </c>
      <c r="E4677" s="42"/>
      <c r="F4677" s="42"/>
    </row>
    <row r="4678" customFormat="false" ht="15" hidden="false" customHeight="true" outlineLevel="0" collapsed="false">
      <c r="A4678" s="42"/>
      <c r="B4678" s="42"/>
      <c r="C4678" s="42"/>
      <c r="D4678" s="28" t="str">
        <f aca="false">IF(OR($B4678="",$C4678=""),"",$C4678*IFERROR(INDEX(Setup!$C$47:$C$56,MATCH($B4678,Setup!$A$47:$A$56,0)),IFERROR(INDEX(Setup!$C$60:$C$89,MATCH($B4678,Setup!$A$60:$A$89,0)),"")))</f>
        <v/>
      </c>
      <c r="E4678" s="42"/>
      <c r="F4678" s="42"/>
    </row>
    <row r="4679" customFormat="false" ht="15" hidden="false" customHeight="true" outlineLevel="0" collapsed="false">
      <c r="A4679" s="42"/>
      <c r="B4679" s="42"/>
      <c r="C4679" s="42"/>
      <c r="D4679" s="28" t="str">
        <f aca="false">IF(OR($B4679="",$C4679=""),"",$C4679*IFERROR(INDEX(Setup!$C$47:$C$56,MATCH($B4679,Setup!$A$47:$A$56,0)),IFERROR(INDEX(Setup!$C$60:$C$89,MATCH($B4679,Setup!$A$60:$A$89,0)),"")))</f>
        <v/>
      </c>
      <c r="E4679" s="42"/>
      <c r="F4679" s="42"/>
    </row>
    <row r="4680" customFormat="false" ht="15" hidden="false" customHeight="true" outlineLevel="0" collapsed="false">
      <c r="A4680" s="42"/>
      <c r="B4680" s="42"/>
      <c r="C4680" s="42"/>
      <c r="D4680" s="28" t="str">
        <f aca="false">IF(OR($B4680="",$C4680=""),"",$C4680*IFERROR(INDEX(Setup!$C$47:$C$56,MATCH($B4680,Setup!$A$47:$A$56,0)),IFERROR(INDEX(Setup!$C$60:$C$89,MATCH($B4680,Setup!$A$60:$A$89,0)),"")))</f>
        <v/>
      </c>
      <c r="E4680" s="42"/>
      <c r="F4680" s="42"/>
    </row>
    <row r="4681" customFormat="false" ht="15" hidden="false" customHeight="true" outlineLevel="0" collapsed="false">
      <c r="A4681" s="42"/>
      <c r="B4681" s="42"/>
      <c r="C4681" s="42"/>
      <c r="D4681" s="28" t="str">
        <f aca="false">IF(OR($B4681="",$C4681=""),"",$C4681*IFERROR(INDEX(Setup!$C$47:$C$56,MATCH($B4681,Setup!$A$47:$A$56,0)),IFERROR(INDEX(Setup!$C$60:$C$89,MATCH($B4681,Setup!$A$60:$A$89,0)),"")))</f>
        <v/>
      </c>
      <c r="E4681" s="42"/>
      <c r="F4681" s="42"/>
    </row>
    <row r="4682" customFormat="false" ht="15" hidden="false" customHeight="true" outlineLevel="0" collapsed="false">
      <c r="A4682" s="42"/>
      <c r="B4682" s="42"/>
      <c r="C4682" s="42"/>
      <c r="D4682" s="28" t="str">
        <f aca="false">IF(OR($B4682="",$C4682=""),"",$C4682*IFERROR(INDEX(Setup!$C$47:$C$56,MATCH($B4682,Setup!$A$47:$A$56,0)),IFERROR(INDEX(Setup!$C$60:$C$89,MATCH($B4682,Setup!$A$60:$A$89,0)),"")))</f>
        <v/>
      </c>
      <c r="E4682" s="42"/>
      <c r="F4682" s="42"/>
    </row>
    <row r="4683" customFormat="false" ht="15" hidden="false" customHeight="true" outlineLevel="0" collapsed="false">
      <c r="A4683" s="42"/>
      <c r="B4683" s="42"/>
      <c r="C4683" s="42"/>
      <c r="D4683" s="28" t="str">
        <f aca="false">IF(OR($B4683="",$C4683=""),"",$C4683*IFERROR(INDEX(Setup!$C$47:$C$56,MATCH($B4683,Setup!$A$47:$A$56,0)),IFERROR(INDEX(Setup!$C$60:$C$89,MATCH($B4683,Setup!$A$60:$A$89,0)),"")))</f>
        <v/>
      </c>
      <c r="E4683" s="42"/>
      <c r="F4683" s="42"/>
    </row>
    <row r="4684" customFormat="false" ht="15" hidden="false" customHeight="true" outlineLevel="0" collapsed="false">
      <c r="A4684" s="42"/>
      <c r="B4684" s="42"/>
      <c r="C4684" s="42"/>
      <c r="D4684" s="28" t="str">
        <f aca="false">IF(OR($B4684="",$C4684=""),"",$C4684*IFERROR(INDEX(Setup!$C$47:$C$56,MATCH($B4684,Setup!$A$47:$A$56,0)),IFERROR(INDEX(Setup!$C$60:$C$89,MATCH($B4684,Setup!$A$60:$A$89,0)),"")))</f>
        <v/>
      </c>
      <c r="E4684" s="42"/>
      <c r="F4684" s="42"/>
    </row>
    <row r="4685" customFormat="false" ht="15" hidden="false" customHeight="true" outlineLevel="0" collapsed="false">
      <c r="A4685" s="42"/>
      <c r="B4685" s="42"/>
      <c r="C4685" s="42"/>
      <c r="D4685" s="28" t="str">
        <f aca="false">IF(OR($B4685="",$C4685=""),"",$C4685*IFERROR(INDEX(Setup!$C$47:$C$56,MATCH($B4685,Setup!$A$47:$A$56,0)),IFERROR(INDEX(Setup!$C$60:$C$89,MATCH($B4685,Setup!$A$60:$A$89,0)),"")))</f>
        <v/>
      </c>
      <c r="E4685" s="42"/>
      <c r="F4685" s="42"/>
    </row>
    <row r="4686" customFormat="false" ht="15" hidden="false" customHeight="true" outlineLevel="0" collapsed="false">
      <c r="A4686" s="42"/>
      <c r="B4686" s="42"/>
      <c r="C4686" s="42"/>
      <c r="D4686" s="28" t="str">
        <f aca="false">IF(OR($B4686="",$C4686=""),"",$C4686*IFERROR(INDEX(Setup!$C$47:$C$56,MATCH($B4686,Setup!$A$47:$A$56,0)),IFERROR(INDEX(Setup!$C$60:$C$89,MATCH($B4686,Setup!$A$60:$A$89,0)),"")))</f>
        <v/>
      </c>
      <c r="E4686" s="42"/>
      <c r="F4686" s="42"/>
    </row>
    <row r="4687" customFormat="false" ht="15" hidden="false" customHeight="true" outlineLevel="0" collapsed="false">
      <c r="A4687" s="42"/>
      <c r="B4687" s="42"/>
      <c r="C4687" s="42"/>
      <c r="D4687" s="28" t="str">
        <f aca="false">IF(OR($B4687="",$C4687=""),"",$C4687*IFERROR(INDEX(Setup!$C$47:$C$56,MATCH($B4687,Setup!$A$47:$A$56,0)),IFERROR(INDEX(Setup!$C$60:$C$89,MATCH($B4687,Setup!$A$60:$A$89,0)),"")))</f>
        <v/>
      </c>
      <c r="E4687" s="42"/>
      <c r="F4687" s="42"/>
    </row>
    <row r="4688" customFormat="false" ht="15" hidden="false" customHeight="true" outlineLevel="0" collapsed="false">
      <c r="A4688" s="42"/>
      <c r="B4688" s="42"/>
      <c r="C4688" s="42"/>
      <c r="D4688" s="28" t="str">
        <f aca="false">IF(OR($B4688="",$C4688=""),"",$C4688*IFERROR(INDEX(Setup!$C$47:$C$56,MATCH($B4688,Setup!$A$47:$A$56,0)),IFERROR(INDEX(Setup!$C$60:$C$89,MATCH($B4688,Setup!$A$60:$A$89,0)),"")))</f>
        <v/>
      </c>
      <c r="E4688" s="42"/>
      <c r="F4688" s="42"/>
    </row>
    <row r="4689" customFormat="false" ht="15" hidden="false" customHeight="true" outlineLevel="0" collapsed="false">
      <c r="A4689" s="42"/>
      <c r="B4689" s="42"/>
      <c r="C4689" s="42"/>
      <c r="D4689" s="28" t="str">
        <f aca="false">IF(OR($B4689="",$C4689=""),"",$C4689*IFERROR(INDEX(Setup!$C$47:$C$56,MATCH($B4689,Setup!$A$47:$A$56,0)),IFERROR(INDEX(Setup!$C$60:$C$89,MATCH($B4689,Setup!$A$60:$A$89,0)),"")))</f>
        <v/>
      </c>
      <c r="E4689" s="42"/>
      <c r="F4689" s="42"/>
    </row>
    <row r="4690" customFormat="false" ht="15" hidden="false" customHeight="true" outlineLevel="0" collapsed="false">
      <c r="A4690" s="42"/>
      <c r="B4690" s="42"/>
      <c r="C4690" s="42"/>
      <c r="D4690" s="28" t="str">
        <f aca="false">IF(OR($B4690="",$C4690=""),"",$C4690*IFERROR(INDEX(Setup!$C$47:$C$56,MATCH($B4690,Setup!$A$47:$A$56,0)),IFERROR(INDEX(Setup!$C$60:$C$89,MATCH($B4690,Setup!$A$60:$A$89,0)),"")))</f>
        <v/>
      </c>
      <c r="E4690" s="42"/>
      <c r="F4690" s="42"/>
    </row>
    <row r="4691" customFormat="false" ht="15" hidden="false" customHeight="true" outlineLevel="0" collapsed="false">
      <c r="A4691" s="42"/>
      <c r="B4691" s="42"/>
      <c r="C4691" s="42"/>
      <c r="D4691" s="28" t="str">
        <f aca="false">IF(OR($B4691="",$C4691=""),"",$C4691*IFERROR(INDEX(Setup!$C$47:$C$56,MATCH($B4691,Setup!$A$47:$A$56,0)),IFERROR(INDEX(Setup!$C$60:$C$89,MATCH($B4691,Setup!$A$60:$A$89,0)),"")))</f>
        <v/>
      </c>
      <c r="E4691" s="42"/>
      <c r="F4691" s="42"/>
    </row>
    <row r="4692" customFormat="false" ht="15" hidden="false" customHeight="true" outlineLevel="0" collapsed="false">
      <c r="A4692" s="42"/>
      <c r="B4692" s="42"/>
      <c r="C4692" s="42"/>
      <c r="D4692" s="28" t="str">
        <f aca="false">IF(OR($B4692="",$C4692=""),"",$C4692*IFERROR(INDEX(Setup!$C$47:$C$56,MATCH($B4692,Setup!$A$47:$A$56,0)),IFERROR(INDEX(Setup!$C$60:$C$89,MATCH($B4692,Setup!$A$60:$A$89,0)),"")))</f>
        <v/>
      </c>
      <c r="E4692" s="42"/>
      <c r="F4692" s="42"/>
    </row>
    <row r="4693" customFormat="false" ht="15" hidden="false" customHeight="true" outlineLevel="0" collapsed="false">
      <c r="A4693" s="42"/>
      <c r="B4693" s="42"/>
      <c r="C4693" s="42"/>
      <c r="D4693" s="28" t="str">
        <f aca="false">IF(OR($B4693="",$C4693=""),"",$C4693*IFERROR(INDEX(Setup!$C$47:$C$56,MATCH($B4693,Setup!$A$47:$A$56,0)),IFERROR(INDEX(Setup!$C$60:$C$89,MATCH($B4693,Setup!$A$60:$A$89,0)),"")))</f>
        <v/>
      </c>
      <c r="E4693" s="42"/>
      <c r="F4693" s="42"/>
    </row>
    <row r="4694" customFormat="false" ht="15" hidden="false" customHeight="true" outlineLevel="0" collapsed="false">
      <c r="A4694" s="42"/>
      <c r="B4694" s="42"/>
      <c r="C4694" s="42"/>
      <c r="D4694" s="28" t="str">
        <f aca="false">IF(OR($B4694="",$C4694=""),"",$C4694*IFERROR(INDEX(Setup!$C$47:$C$56,MATCH($B4694,Setup!$A$47:$A$56,0)),IFERROR(INDEX(Setup!$C$60:$C$89,MATCH($B4694,Setup!$A$60:$A$89,0)),"")))</f>
        <v/>
      </c>
      <c r="E4694" s="42"/>
      <c r="F4694" s="42"/>
    </row>
    <row r="4695" customFormat="false" ht="15" hidden="false" customHeight="true" outlineLevel="0" collapsed="false">
      <c r="A4695" s="42"/>
      <c r="B4695" s="42"/>
      <c r="C4695" s="42"/>
      <c r="D4695" s="28" t="str">
        <f aca="false">IF(OR($B4695="",$C4695=""),"",$C4695*IFERROR(INDEX(Setup!$C$47:$C$56,MATCH($B4695,Setup!$A$47:$A$56,0)),IFERROR(INDEX(Setup!$C$60:$C$89,MATCH($B4695,Setup!$A$60:$A$89,0)),"")))</f>
        <v/>
      </c>
      <c r="E4695" s="42"/>
      <c r="F4695" s="42"/>
    </row>
    <row r="4696" customFormat="false" ht="15" hidden="false" customHeight="true" outlineLevel="0" collapsed="false">
      <c r="A4696" s="42"/>
      <c r="B4696" s="42"/>
      <c r="C4696" s="42"/>
      <c r="D4696" s="28" t="str">
        <f aca="false">IF(OR($B4696="",$C4696=""),"",$C4696*IFERROR(INDEX(Setup!$C$47:$C$56,MATCH($B4696,Setup!$A$47:$A$56,0)),IFERROR(INDEX(Setup!$C$60:$C$89,MATCH($B4696,Setup!$A$60:$A$89,0)),"")))</f>
        <v/>
      </c>
      <c r="E4696" s="42"/>
      <c r="F4696" s="42"/>
    </row>
    <row r="4697" customFormat="false" ht="15" hidden="false" customHeight="true" outlineLevel="0" collapsed="false">
      <c r="A4697" s="42"/>
      <c r="B4697" s="42"/>
      <c r="C4697" s="42"/>
      <c r="D4697" s="28" t="str">
        <f aca="false">IF(OR($B4697="",$C4697=""),"",$C4697*IFERROR(INDEX(Setup!$C$47:$C$56,MATCH($B4697,Setup!$A$47:$A$56,0)),IFERROR(INDEX(Setup!$C$60:$C$89,MATCH($B4697,Setup!$A$60:$A$89,0)),"")))</f>
        <v/>
      </c>
      <c r="E4697" s="42"/>
      <c r="F4697" s="42"/>
    </row>
    <row r="4698" customFormat="false" ht="15" hidden="false" customHeight="true" outlineLevel="0" collapsed="false">
      <c r="A4698" s="42"/>
      <c r="B4698" s="42"/>
      <c r="C4698" s="42"/>
      <c r="D4698" s="28" t="str">
        <f aca="false">IF(OR($B4698="",$C4698=""),"",$C4698*IFERROR(INDEX(Setup!$C$47:$C$56,MATCH($B4698,Setup!$A$47:$A$56,0)),IFERROR(INDEX(Setup!$C$60:$C$89,MATCH($B4698,Setup!$A$60:$A$89,0)),"")))</f>
        <v/>
      </c>
      <c r="E4698" s="42"/>
      <c r="F4698" s="42"/>
    </row>
    <row r="4699" customFormat="false" ht="15" hidden="false" customHeight="true" outlineLevel="0" collapsed="false">
      <c r="A4699" s="42"/>
      <c r="B4699" s="42"/>
      <c r="C4699" s="42"/>
      <c r="D4699" s="28" t="str">
        <f aca="false">IF(OR($B4699="",$C4699=""),"",$C4699*IFERROR(INDEX(Setup!$C$47:$C$56,MATCH($B4699,Setup!$A$47:$A$56,0)),IFERROR(INDEX(Setup!$C$60:$C$89,MATCH($B4699,Setup!$A$60:$A$89,0)),"")))</f>
        <v/>
      </c>
      <c r="E4699" s="42"/>
      <c r="F4699" s="42"/>
    </row>
    <row r="4700" customFormat="false" ht="15" hidden="false" customHeight="true" outlineLevel="0" collapsed="false">
      <c r="A4700" s="42"/>
      <c r="B4700" s="42"/>
      <c r="C4700" s="42"/>
      <c r="D4700" s="28" t="str">
        <f aca="false">IF(OR($B4700="",$C4700=""),"",$C4700*IFERROR(INDEX(Setup!$C$47:$C$56,MATCH($B4700,Setup!$A$47:$A$56,0)),IFERROR(INDEX(Setup!$C$60:$C$89,MATCH($B4700,Setup!$A$60:$A$89,0)),"")))</f>
        <v/>
      </c>
      <c r="E4700" s="42"/>
      <c r="F4700" s="42"/>
    </row>
    <row r="4701" customFormat="false" ht="15" hidden="false" customHeight="true" outlineLevel="0" collapsed="false">
      <c r="A4701" s="42"/>
      <c r="B4701" s="42"/>
      <c r="C4701" s="42"/>
      <c r="D4701" s="28" t="str">
        <f aca="false">IF(OR($B4701="",$C4701=""),"",$C4701*IFERROR(INDEX(Setup!$C$47:$C$56,MATCH($B4701,Setup!$A$47:$A$56,0)),IFERROR(INDEX(Setup!$C$60:$C$89,MATCH($B4701,Setup!$A$60:$A$89,0)),"")))</f>
        <v/>
      </c>
      <c r="E4701" s="42"/>
      <c r="F4701" s="42"/>
    </row>
    <row r="4702" customFormat="false" ht="15" hidden="false" customHeight="true" outlineLevel="0" collapsed="false">
      <c r="A4702" s="42"/>
      <c r="B4702" s="42"/>
      <c r="C4702" s="42"/>
      <c r="D4702" s="28" t="str">
        <f aca="false">IF(OR($B4702="",$C4702=""),"",$C4702*IFERROR(INDEX(Setup!$C$47:$C$56,MATCH($B4702,Setup!$A$47:$A$56,0)),IFERROR(INDEX(Setup!$C$60:$C$89,MATCH($B4702,Setup!$A$60:$A$89,0)),"")))</f>
        <v/>
      </c>
      <c r="E4702" s="42"/>
      <c r="F4702" s="42"/>
    </row>
    <row r="4703" customFormat="false" ht="15" hidden="false" customHeight="true" outlineLevel="0" collapsed="false">
      <c r="A4703" s="42"/>
      <c r="B4703" s="42"/>
      <c r="C4703" s="42"/>
      <c r="D4703" s="28" t="str">
        <f aca="false">IF(OR($B4703="",$C4703=""),"",$C4703*IFERROR(INDEX(Setup!$C$47:$C$56,MATCH($B4703,Setup!$A$47:$A$56,0)),IFERROR(INDEX(Setup!$C$60:$C$89,MATCH($B4703,Setup!$A$60:$A$89,0)),"")))</f>
        <v/>
      </c>
      <c r="E4703" s="42"/>
      <c r="F4703" s="42"/>
    </row>
    <row r="4704" customFormat="false" ht="15" hidden="false" customHeight="true" outlineLevel="0" collapsed="false">
      <c r="A4704" s="42"/>
      <c r="B4704" s="42"/>
      <c r="C4704" s="42"/>
      <c r="D4704" s="28" t="str">
        <f aca="false">IF(OR($B4704="",$C4704=""),"",$C4704*IFERROR(INDEX(Setup!$C$47:$C$56,MATCH($B4704,Setup!$A$47:$A$56,0)),IFERROR(INDEX(Setup!$C$60:$C$89,MATCH($B4704,Setup!$A$60:$A$89,0)),"")))</f>
        <v/>
      </c>
      <c r="E4704" s="42"/>
      <c r="F4704" s="42"/>
    </row>
    <row r="4705" customFormat="false" ht="15" hidden="false" customHeight="true" outlineLevel="0" collapsed="false">
      <c r="A4705" s="42"/>
      <c r="B4705" s="42"/>
      <c r="C4705" s="42"/>
      <c r="D4705" s="28" t="str">
        <f aca="false">IF(OR($B4705="",$C4705=""),"",$C4705*IFERROR(INDEX(Setup!$C$47:$C$56,MATCH($B4705,Setup!$A$47:$A$56,0)),IFERROR(INDEX(Setup!$C$60:$C$89,MATCH($B4705,Setup!$A$60:$A$89,0)),"")))</f>
        <v/>
      </c>
      <c r="E4705" s="42"/>
      <c r="F4705" s="42"/>
    </row>
    <row r="4706" customFormat="false" ht="15" hidden="false" customHeight="true" outlineLevel="0" collapsed="false">
      <c r="A4706" s="42"/>
      <c r="B4706" s="42"/>
      <c r="C4706" s="42"/>
      <c r="D4706" s="28" t="str">
        <f aca="false">IF(OR($B4706="",$C4706=""),"",$C4706*IFERROR(INDEX(Setup!$C$47:$C$56,MATCH($B4706,Setup!$A$47:$A$56,0)),IFERROR(INDEX(Setup!$C$60:$C$89,MATCH($B4706,Setup!$A$60:$A$89,0)),"")))</f>
        <v/>
      </c>
      <c r="E4706" s="42"/>
      <c r="F4706" s="42"/>
    </row>
    <row r="4707" customFormat="false" ht="15" hidden="false" customHeight="true" outlineLevel="0" collapsed="false">
      <c r="A4707" s="42"/>
      <c r="B4707" s="42"/>
      <c r="C4707" s="42"/>
      <c r="D4707" s="28" t="str">
        <f aca="false">IF(OR($B4707="",$C4707=""),"",$C4707*IFERROR(INDEX(Setup!$C$47:$C$56,MATCH($B4707,Setup!$A$47:$A$56,0)),IFERROR(INDEX(Setup!$C$60:$C$89,MATCH($B4707,Setup!$A$60:$A$89,0)),"")))</f>
        <v/>
      </c>
      <c r="E4707" s="42"/>
      <c r="F4707" s="42"/>
    </row>
    <row r="4708" customFormat="false" ht="15" hidden="false" customHeight="true" outlineLevel="0" collapsed="false">
      <c r="A4708" s="42"/>
      <c r="B4708" s="42"/>
      <c r="C4708" s="42"/>
      <c r="D4708" s="28" t="str">
        <f aca="false">IF(OR($B4708="",$C4708=""),"",$C4708*IFERROR(INDEX(Setup!$C$47:$C$56,MATCH($B4708,Setup!$A$47:$A$56,0)),IFERROR(INDEX(Setup!$C$60:$C$89,MATCH($B4708,Setup!$A$60:$A$89,0)),"")))</f>
        <v/>
      </c>
      <c r="E4708" s="42"/>
      <c r="F4708" s="42"/>
    </row>
    <row r="4709" customFormat="false" ht="15" hidden="false" customHeight="true" outlineLevel="0" collapsed="false">
      <c r="A4709" s="42"/>
      <c r="B4709" s="42"/>
      <c r="C4709" s="42"/>
      <c r="D4709" s="28" t="str">
        <f aca="false">IF(OR($B4709="",$C4709=""),"",$C4709*IFERROR(INDEX(Setup!$C$47:$C$56,MATCH($B4709,Setup!$A$47:$A$56,0)),IFERROR(INDEX(Setup!$C$60:$C$89,MATCH($B4709,Setup!$A$60:$A$89,0)),"")))</f>
        <v/>
      </c>
      <c r="E4709" s="42"/>
      <c r="F4709" s="42"/>
    </row>
    <row r="4710" customFormat="false" ht="15" hidden="false" customHeight="true" outlineLevel="0" collapsed="false">
      <c r="A4710" s="42"/>
      <c r="B4710" s="42"/>
      <c r="C4710" s="42"/>
      <c r="D4710" s="28" t="str">
        <f aca="false">IF(OR($B4710="",$C4710=""),"",$C4710*IFERROR(INDEX(Setup!$C$47:$C$56,MATCH($B4710,Setup!$A$47:$A$56,0)),IFERROR(INDEX(Setup!$C$60:$C$89,MATCH($B4710,Setup!$A$60:$A$89,0)),"")))</f>
        <v/>
      </c>
      <c r="E4710" s="42"/>
      <c r="F4710" s="42"/>
    </row>
    <row r="4711" customFormat="false" ht="15" hidden="false" customHeight="true" outlineLevel="0" collapsed="false">
      <c r="A4711" s="42"/>
      <c r="B4711" s="42"/>
      <c r="C4711" s="42"/>
      <c r="D4711" s="28" t="str">
        <f aca="false">IF(OR($B4711="",$C4711=""),"",$C4711*IFERROR(INDEX(Setup!$C$47:$C$56,MATCH($B4711,Setup!$A$47:$A$56,0)),IFERROR(INDEX(Setup!$C$60:$C$89,MATCH($B4711,Setup!$A$60:$A$89,0)),"")))</f>
        <v/>
      </c>
      <c r="E4711" s="42"/>
      <c r="F4711" s="42"/>
    </row>
    <row r="4712" customFormat="false" ht="15" hidden="false" customHeight="true" outlineLevel="0" collapsed="false">
      <c r="A4712" s="42"/>
      <c r="B4712" s="42"/>
      <c r="C4712" s="42"/>
      <c r="D4712" s="28" t="str">
        <f aca="false">IF(OR($B4712="",$C4712=""),"",$C4712*IFERROR(INDEX(Setup!$C$47:$C$56,MATCH($B4712,Setup!$A$47:$A$56,0)),IFERROR(INDEX(Setup!$C$60:$C$89,MATCH($B4712,Setup!$A$60:$A$89,0)),"")))</f>
        <v/>
      </c>
      <c r="E4712" s="42"/>
      <c r="F4712" s="42"/>
    </row>
    <row r="4713" customFormat="false" ht="15" hidden="false" customHeight="true" outlineLevel="0" collapsed="false">
      <c r="A4713" s="42"/>
      <c r="B4713" s="42"/>
      <c r="C4713" s="42"/>
      <c r="D4713" s="28" t="str">
        <f aca="false">IF(OR($B4713="",$C4713=""),"",$C4713*IFERROR(INDEX(Setup!$C$47:$C$56,MATCH($B4713,Setup!$A$47:$A$56,0)),IFERROR(INDEX(Setup!$C$60:$C$89,MATCH($B4713,Setup!$A$60:$A$89,0)),"")))</f>
        <v/>
      </c>
      <c r="E4713" s="42"/>
      <c r="F4713" s="42"/>
    </row>
    <row r="4714" customFormat="false" ht="15" hidden="false" customHeight="true" outlineLevel="0" collapsed="false">
      <c r="A4714" s="42"/>
      <c r="B4714" s="42"/>
      <c r="C4714" s="42"/>
      <c r="D4714" s="28" t="str">
        <f aca="false">IF(OR($B4714="",$C4714=""),"",$C4714*IFERROR(INDEX(Setup!$C$47:$C$56,MATCH($B4714,Setup!$A$47:$A$56,0)),IFERROR(INDEX(Setup!$C$60:$C$89,MATCH($B4714,Setup!$A$60:$A$89,0)),"")))</f>
        <v/>
      </c>
      <c r="E4714" s="42"/>
      <c r="F4714" s="42"/>
    </row>
    <row r="4715" customFormat="false" ht="15" hidden="false" customHeight="true" outlineLevel="0" collapsed="false">
      <c r="A4715" s="42"/>
      <c r="B4715" s="42"/>
      <c r="C4715" s="42"/>
      <c r="D4715" s="28" t="str">
        <f aca="false">IF(OR($B4715="",$C4715=""),"",$C4715*IFERROR(INDEX(Setup!$C$47:$C$56,MATCH($B4715,Setup!$A$47:$A$56,0)),IFERROR(INDEX(Setup!$C$60:$C$89,MATCH($B4715,Setup!$A$60:$A$89,0)),"")))</f>
        <v/>
      </c>
      <c r="E4715" s="42"/>
      <c r="F4715" s="42"/>
    </row>
    <row r="4716" customFormat="false" ht="15" hidden="false" customHeight="true" outlineLevel="0" collapsed="false">
      <c r="A4716" s="42"/>
      <c r="B4716" s="42"/>
      <c r="C4716" s="42"/>
      <c r="D4716" s="28" t="str">
        <f aca="false">IF(OR($B4716="",$C4716=""),"",$C4716*IFERROR(INDEX(Setup!$C$47:$C$56,MATCH($B4716,Setup!$A$47:$A$56,0)),IFERROR(INDEX(Setup!$C$60:$C$89,MATCH($B4716,Setup!$A$60:$A$89,0)),"")))</f>
        <v/>
      </c>
      <c r="E4716" s="42"/>
      <c r="F4716" s="42"/>
    </row>
    <row r="4717" customFormat="false" ht="15" hidden="false" customHeight="true" outlineLevel="0" collapsed="false">
      <c r="A4717" s="42"/>
      <c r="B4717" s="42"/>
      <c r="C4717" s="42"/>
      <c r="D4717" s="28" t="str">
        <f aca="false">IF(OR($B4717="",$C4717=""),"",$C4717*IFERROR(INDEX(Setup!$C$47:$C$56,MATCH($B4717,Setup!$A$47:$A$56,0)),IFERROR(INDEX(Setup!$C$60:$C$89,MATCH($B4717,Setup!$A$60:$A$89,0)),"")))</f>
        <v/>
      </c>
      <c r="E4717" s="42"/>
      <c r="F4717" s="42"/>
    </row>
    <row r="4718" customFormat="false" ht="15" hidden="false" customHeight="true" outlineLevel="0" collapsed="false">
      <c r="A4718" s="42"/>
      <c r="B4718" s="42"/>
      <c r="C4718" s="42"/>
      <c r="D4718" s="28" t="str">
        <f aca="false">IF(OR($B4718="",$C4718=""),"",$C4718*IFERROR(INDEX(Setup!$C$47:$C$56,MATCH($B4718,Setup!$A$47:$A$56,0)),IFERROR(INDEX(Setup!$C$60:$C$89,MATCH($B4718,Setup!$A$60:$A$89,0)),"")))</f>
        <v/>
      </c>
      <c r="E4718" s="42"/>
      <c r="F4718" s="42"/>
    </row>
    <row r="4719" customFormat="false" ht="15" hidden="false" customHeight="true" outlineLevel="0" collapsed="false">
      <c r="A4719" s="42"/>
      <c r="B4719" s="42"/>
      <c r="C4719" s="42"/>
      <c r="D4719" s="28" t="str">
        <f aca="false">IF(OR($B4719="",$C4719=""),"",$C4719*IFERROR(INDEX(Setup!$C$47:$C$56,MATCH($B4719,Setup!$A$47:$A$56,0)),IFERROR(INDEX(Setup!$C$60:$C$89,MATCH($B4719,Setup!$A$60:$A$89,0)),"")))</f>
        <v/>
      </c>
      <c r="E4719" s="42"/>
      <c r="F4719" s="42"/>
    </row>
    <row r="4720" customFormat="false" ht="15" hidden="false" customHeight="true" outlineLevel="0" collapsed="false">
      <c r="A4720" s="42"/>
      <c r="B4720" s="42"/>
      <c r="C4720" s="42"/>
      <c r="D4720" s="28" t="str">
        <f aca="false">IF(OR($B4720="",$C4720=""),"",$C4720*IFERROR(INDEX(Setup!$C$47:$C$56,MATCH($B4720,Setup!$A$47:$A$56,0)),IFERROR(INDEX(Setup!$C$60:$C$89,MATCH($B4720,Setup!$A$60:$A$89,0)),"")))</f>
        <v/>
      </c>
      <c r="E4720" s="42"/>
      <c r="F4720" s="42"/>
    </row>
    <row r="4721" customFormat="false" ht="15" hidden="false" customHeight="true" outlineLevel="0" collapsed="false">
      <c r="A4721" s="42"/>
      <c r="B4721" s="42"/>
      <c r="C4721" s="42"/>
      <c r="D4721" s="28" t="str">
        <f aca="false">IF(OR($B4721="",$C4721=""),"",$C4721*IFERROR(INDEX(Setup!$C$47:$C$56,MATCH($B4721,Setup!$A$47:$A$56,0)),IFERROR(INDEX(Setup!$C$60:$C$89,MATCH($B4721,Setup!$A$60:$A$89,0)),"")))</f>
        <v/>
      </c>
      <c r="E4721" s="42"/>
      <c r="F4721" s="42"/>
    </row>
    <row r="4722" customFormat="false" ht="15" hidden="false" customHeight="true" outlineLevel="0" collapsed="false">
      <c r="A4722" s="42"/>
      <c r="B4722" s="42"/>
      <c r="C4722" s="42"/>
      <c r="D4722" s="28" t="str">
        <f aca="false">IF(OR($B4722="",$C4722=""),"",$C4722*IFERROR(INDEX(Setup!$C$47:$C$56,MATCH($B4722,Setup!$A$47:$A$56,0)),IFERROR(INDEX(Setup!$C$60:$C$89,MATCH($B4722,Setup!$A$60:$A$89,0)),"")))</f>
        <v/>
      </c>
      <c r="E4722" s="42"/>
      <c r="F4722" s="42"/>
    </row>
    <row r="4723" customFormat="false" ht="15" hidden="false" customHeight="true" outlineLevel="0" collapsed="false">
      <c r="A4723" s="42"/>
      <c r="B4723" s="42"/>
      <c r="C4723" s="42"/>
      <c r="D4723" s="28" t="str">
        <f aca="false">IF(OR($B4723="",$C4723=""),"",$C4723*IFERROR(INDEX(Setup!$C$47:$C$56,MATCH($B4723,Setup!$A$47:$A$56,0)),IFERROR(INDEX(Setup!$C$60:$C$89,MATCH($B4723,Setup!$A$60:$A$89,0)),"")))</f>
        <v/>
      </c>
      <c r="E4723" s="42"/>
      <c r="F4723" s="42"/>
    </row>
    <row r="4724" customFormat="false" ht="15" hidden="false" customHeight="true" outlineLevel="0" collapsed="false">
      <c r="A4724" s="42"/>
      <c r="B4724" s="42"/>
      <c r="C4724" s="42"/>
      <c r="D4724" s="28" t="str">
        <f aca="false">IF(OR($B4724="",$C4724=""),"",$C4724*IFERROR(INDEX(Setup!$C$47:$C$56,MATCH($B4724,Setup!$A$47:$A$56,0)),IFERROR(INDEX(Setup!$C$60:$C$89,MATCH($B4724,Setup!$A$60:$A$89,0)),"")))</f>
        <v/>
      </c>
      <c r="E4724" s="42"/>
      <c r="F4724" s="42"/>
    </row>
    <row r="4725" customFormat="false" ht="15" hidden="false" customHeight="true" outlineLevel="0" collapsed="false">
      <c r="A4725" s="42"/>
      <c r="B4725" s="42"/>
      <c r="C4725" s="42"/>
      <c r="D4725" s="28" t="str">
        <f aca="false">IF(OR($B4725="",$C4725=""),"",$C4725*IFERROR(INDEX(Setup!$C$47:$C$56,MATCH($B4725,Setup!$A$47:$A$56,0)),IFERROR(INDEX(Setup!$C$60:$C$89,MATCH($B4725,Setup!$A$60:$A$89,0)),"")))</f>
        <v/>
      </c>
      <c r="E4725" s="42"/>
      <c r="F4725" s="42"/>
    </row>
    <row r="4726" customFormat="false" ht="15" hidden="false" customHeight="true" outlineLevel="0" collapsed="false">
      <c r="A4726" s="42"/>
      <c r="B4726" s="42"/>
      <c r="C4726" s="42"/>
      <c r="D4726" s="28" t="str">
        <f aca="false">IF(OR($B4726="",$C4726=""),"",$C4726*IFERROR(INDEX(Setup!$C$47:$C$56,MATCH($B4726,Setup!$A$47:$A$56,0)),IFERROR(INDEX(Setup!$C$60:$C$89,MATCH($B4726,Setup!$A$60:$A$89,0)),"")))</f>
        <v/>
      </c>
      <c r="E4726" s="42"/>
      <c r="F4726" s="42"/>
    </row>
    <row r="4727" customFormat="false" ht="15" hidden="false" customHeight="true" outlineLevel="0" collapsed="false">
      <c r="A4727" s="42"/>
      <c r="B4727" s="42"/>
      <c r="C4727" s="42"/>
      <c r="D4727" s="28" t="str">
        <f aca="false">IF(OR($B4727="",$C4727=""),"",$C4727*IFERROR(INDEX(Setup!$C$47:$C$56,MATCH($B4727,Setup!$A$47:$A$56,0)),IFERROR(INDEX(Setup!$C$60:$C$89,MATCH($B4727,Setup!$A$60:$A$89,0)),"")))</f>
        <v/>
      </c>
      <c r="E4727" s="42"/>
      <c r="F4727" s="42"/>
    </row>
    <row r="4728" customFormat="false" ht="15" hidden="false" customHeight="true" outlineLevel="0" collapsed="false">
      <c r="A4728" s="42"/>
      <c r="B4728" s="42"/>
      <c r="C4728" s="42"/>
      <c r="D4728" s="28" t="str">
        <f aca="false">IF(OR($B4728="",$C4728=""),"",$C4728*IFERROR(INDEX(Setup!$C$47:$C$56,MATCH($B4728,Setup!$A$47:$A$56,0)),IFERROR(INDEX(Setup!$C$60:$C$89,MATCH($B4728,Setup!$A$60:$A$89,0)),"")))</f>
        <v/>
      </c>
      <c r="E4728" s="42"/>
      <c r="F4728" s="42"/>
    </row>
    <row r="4729" customFormat="false" ht="15" hidden="false" customHeight="true" outlineLevel="0" collapsed="false">
      <c r="A4729" s="42"/>
      <c r="B4729" s="42"/>
      <c r="C4729" s="42"/>
      <c r="D4729" s="28" t="str">
        <f aca="false">IF(OR($B4729="",$C4729=""),"",$C4729*IFERROR(INDEX(Setup!$C$47:$C$56,MATCH($B4729,Setup!$A$47:$A$56,0)),IFERROR(INDEX(Setup!$C$60:$C$89,MATCH($B4729,Setup!$A$60:$A$89,0)),"")))</f>
        <v/>
      </c>
      <c r="E4729" s="42"/>
      <c r="F4729" s="42"/>
    </row>
    <row r="4730" customFormat="false" ht="15" hidden="false" customHeight="true" outlineLevel="0" collapsed="false">
      <c r="A4730" s="42"/>
      <c r="B4730" s="42"/>
      <c r="C4730" s="42"/>
      <c r="D4730" s="28" t="str">
        <f aca="false">IF(OR($B4730="",$C4730=""),"",$C4730*IFERROR(INDEX(Setup!$C$47:$C$56,MATCH($B4730,Setup!$A$47:$A$56,0)),IFERROR(INDEX(Setup!$C$60:$C$89,MATCH($B4730,Setup!$A$60:$A$89,0)),"")))</f>
        <v/>
      </c>
      <c r="E4730" s="42"/>
      <c r="F4730" s="42"/>
    </row>
    <row r="4731" customFormat="false" ht="15" hidden="false" customHeight="true" outlineLevel="0" collapsed="false">
      <c r="A4731" s="42"/>
      <c r="B4731" s="42"/>
      <c r="C4731" s="42"/>
      <c r="D4731" s="28" t="str">
        <f aca="false">IF(OR($B4731="",$C4731=""),"",$C4731*IFERROR(INDEX(Setup!$C$47:$C$56,MATCH($B4731,Setup!$A$47:$A$56,0)),IFERROR(INDEX(Setup!$C$60:$C$89,MATCH($B4731,Setup!$A$60:$A$89,0)),"")))</f>
        <v/>
      </c>
      <c r="E4731" s="42"/>
      <c r="F4731" s="42"/>
    </row>
    <row r="4732" customFormat="false" ht="15" hidden="false" customHeight="true" outlineLevel="0" collapsed="false">
      <c r="A4732" s="42"/>
      <c r="B4732" s="42"/>
      <c r="C4732" s="42"/>
      <c r="D4732" s="28" t="str">
        <f aca="false">IF(OR($B4732="",$C4732=""),"",$C4732*IFERROR(INDEX(Setup!$C$47:$C$56,MATCH($B4732,Setup!$A$47:$A$56,0)),IFERROR(INDEX(Setup!$C$60:$C$89,MATCH($B4732,Setup!$A$60:$A$89,0)),"")))</f>
        <v/>
      </c>
      <c r="E4732" s="42"/>
      <c r="F4732" s="42"/>
    </row>
    <row r="4733" customFormat="false" ht="15" hidden="false" customHeight="true" outlineLevel="0" collapsed="false">
      <c r="A4733" s="42"/>
      <c r="B4733" s="42"/>
      <c r="C4733" s="42"/>
      <c r="D4733" s="28" t="str">
        <f aca="false">IF(OR($B4733="",$C4733=""),"",$C4733*IFERROR(INDEX(Setup!$C$47:$C$56,MATCH($B4733,Setup!$A$47:$A$56,0)),IFERROR(INDEX(Setup!$C$60:$C$89,MATCH($B4733,Setup!$A$60:$A$89,0)),"")))</f>
        <v/>
      </c>
      <c r="E4733" s="42"/>
      <c r="F4733" s="42"/>
    </row>
    <row r="4734" customFormat="false" ht="15" hidden="false" customHeight="true" outlineLevel="0" collapsed="false">
      <c r="A4734" s="42"/>
      <c r="B4734" s="42"/>
      <c r="C4734" s="42"/>
      <c r="D4734" s="28" t="str">
        <f aca="false">IF(OR($B4734="",$C4734=""),"",$C4734*IFERROR(INDEX(Setup!$C$47:$C$56,MATCH($B4734,Setup!$A$47:$A$56,0)),IFERROR(INDEX(Setup!$C$60:$C$89,MATCH($B4734,Setup!$A$60:$A$89,0)),"")))</f>
        <v/>
      </c>
      <c r="E4734" s="42"/>
      <c r="F4734" s="42"/>
    </row>
    <row r="4735" customFormat="false" ht="15" hidden="false" customHeight="true" outlineLevel="0" collapsed="false">
      <c r="A4735" s="42"/>
      <c r="B4735" s="42"/>
      <c r="C4735" s="42"/>
      <c r="D4735" s="28" t="str">
        <f aca="false">IF(OR($B4735="",$C4735=""),"",$C4735*IFERROR(INDEX(Setup!$C$47:$C$56,MATCH($B4735,Setup!$A$47:$A$56,0)),IFERROR(INDEX(Setup!$C$60:$C$89,MATCH($B4735,Setup!$A$60:$A$89,0)),"")))</f>
        <v/>
      </c>
      <c r="E4735" s="42"/>
      <c r="F4735" s="42"/>
    </row>
    <row r="4736" customFormat="false" ht="15" hidden="false" customHeight="true" outlineLevel="0" collapsed="false">
      <c r="A4736" s="42"/>
      <c r="B4736" s="42"/>
      <c r="C4736" s="42"/>
      <c r="D4736" s="28" t="str">
        <f aca="false">IF(OR($B4736="",$C4736=""),"",$C4736*IFERROR(INDEX(Setup!$C$47:$C$56,MATCH($B4736,Setup!$A$47:$A$56,0)),IFERROR(INDEX(Setup!$C$60:$C$89,MATCH($B4736,Setup!$A$60:$A$89,0)),"")))</f>
        <v/>
      </c>
      <c r="E4736" s="42"/>
      <c r="F4736" s="42"/>
    </row>
    <row r="4737" customFormat="false" ht="15" hidden="false" customHeight="true" outlineLevel="0" collapsed="false">
      <c r="A4737" s="42"/>
      <c r="B4737" s="42"/>
      <c r="C4737" s="42"/>
      <c r="D4737" s="28" t="str">
        <f aca="false">IF(OR($B4737="",$C4737=""),"",$C4737*IFERROR(INDEX(Setup!$C$47:$C$56,MATCH($B4737,Setup!$A$47:$A$56,0)),IFERROR(INDEX(Setup!$C$60:$C$89,MATCH($B4737,Setup!$A$60:$A$89,0)),"")))</f>
        <v/>
      </c>
      <c r="E4737" s="42"/>
      <c r="F4737" s="42"/>
    </row>
    <row r="4738" customFormat="false" ht="15" hidden="false" customHeight="true" outlineLevel="0" collapsed="false">
      <c r="A4738" s="42"/>
      <c r="B4738" s="42"/>
      <c r="C4738" s="42"/>
      <c r="D4738" s="28" t="str">
        <f aca="false">IF(OR($B4738="",$C4738=""),"",$C4738*IFERROR(INDEX(Setup!$C$47:$C$56,MATCH($B4738,Setup!$A$47:$A$56,0)),IFERROR(INDEX(Setup!$C$60:$C$89,MATCH($B4738,Setup!$A$60:$A$89,0)),"")))</f>
        <v/>
      </c>
      <c r="E4738" s="42"/>
      <c r="F4738" s="42"/>
    </row>
    <row r="4739" customFormat="false" ht="15" hidden="false" customHeight="true" outlineLevel="0" collapsed="false">
      <c r="A4739" s="42"/>
      <c r="B4739" s="42"/>
      <c r="C4739" s="42"/>
      <c r="D4739" s="28" t="str">
        <f aca="false">IF(OR($B4739="",$C4739=""),"",$C4739*IFERROR(INDEX(Setup!$C$47:$C$56,MATCH($B4739,Setup!$A$47:$A$56,0)),IFERROR(INDEX(Setup!$C$60:$C$89,MATCH($B4739,Setup!$A$60:$A$89,0)),"")))</f>
        <v/>
      </c>
      <c r="E4739" s="42"/>
      <c r="F4739" s="42"/>
    </row>
    <row r="4740" customFormat="false" ht="15" hidden="false" customHeight="true" outlineLevel="0" collapsed="false">
      <c r="A4740" s="42"/>
      <c r="B4740" s="42"/>
      <c r="C4740" s="42"/>
      <c r="D4740" s="28" t="str">
        <f aca="false">IF(OR($B4740="",$C4740=""),"",$C4740*IFERROR(INDEX(Setup!$C$47:$C$56,MATCH($B4740,Setup!$A$47:$A$56,0)),IFERROR(INDEX(Setup!$C$60:$C$89,MATCH($B4740,Setup!$A$60:$A$89,0)),"")))</f>
        <v/>
      </c>
      <c r="E4740" s="42"/>
      <c r="F4740" s="42"/>
    </row>
    <row r="4741" customFormat="false" ht="15" hidden="false" customHeight="true" outlineLevel="0" collapsed="false">
      <c r="A4741" s="42"/>
      <c r="B4741" s="42"/>
      <c r="C4741" s="42"/>
      <c r="D4741" s="28" t="str">
        <f aca="false">IF(OR($B4741="",$C4741=""),"",$C4741*IFERROR(INDEX(Setup!$C$47:$C$56,MATCH($B4741,Setup!$A$47:$A$56,0)),IFERROR(INDEX(Setup!$C$60:$C$89,MATCH($B4741,Setup!$A$60:$A$89,0)),"")))</f>
        <v/>
      </c>
      <c r="E4741" s="42"/>
      <c r="F4741" s="42"/>
    </row>
    <row r="4742" customFormat="false" ht="15" hidden="false" customHeight="true" outlineLevel="0" collapsed="false">
      <c r="A4742" s="42"/>
      <c r="B4742" s="42"/>
      <c r="C4742" s="42"/>
      <c r="D4742" s="28" t="str">
        <f aca="false">IF(OR($B4742="",$C4742=""),"",$C4742*IFERROR(INDEX(Setup!$C$47:$C$56,MATCH($B4742,Setup!$A$47:$A$56,0)),IFERROR(INDEX(Setup!$C$60:$C$89,MATCH($B4742,Setup!$A$60:$A$89,0)),"")))</f>
        <v/>
      </c>
      <c r="E4742" s="42"/>
      <c r="F4742" s="42"/>
    </row>
    <row r="4743" customFormat="false" ht="15" hidden="false" customHeight="true" outlineLevel="0" collapsed="false">
      <c r="A4743" s="42"/>
      <c r="B4743" s="42"/>
      <c r="C4743" s="42"/>
      <c r="D4743" s="28" t="str">
        <f aca="false">IF(OR($B4743="",$C4743=""),"",$C4743*IFERROR(INDEX(Setup!$C$47:$C$56,MATCH($B4743,Setup!$A$47:$A$56,0)),IFERROR(INDEX(Setup!$C$60:$C$89,MATCH($B4743,Setup!$A$60:$A$89,0)),"")))</f>
        <v/>
      </c>
      <c r="E4743" s="42"/>
      <c r="F4743" s="42"/>
    </row>
    <row r="4744" customFormat="false" ht="15" hidden="false" customHeight="true" outlineLevel="0" collapsed="false">
      <c r="A4744" s="42"/>
      <c r="B4744" s="42"/>
      <c r="C4744" s="42"/>
      <c r="D4744" s="28" t="str">
        <f aca="false">IF(OR($B4744="",$C4744=""),"",$C4744*IFERROR(INDEX(Setup!$C$47:$C$56,MATCH($B4744,Setup!$A$47:$A$56,0)),IFERROR(INDEX(Setup!$C$60:$C$89,MATCH($B4744,Setup!$A$60:$A$89,0)),"")))</f>
        <v/>
      </c>
      <c r="E4744" s="42"/>
      <c r="F4744" s="42"/>
    </row>
    <row r="4745" customFormat="false" ht="15" hidden="false" customHeight="true" outlineLevel="0" collapsed="false">
      <c r="A4745" s="42"/>
      <c r="B4745" s="42"/>
      <c r="C4745" s="42"/>
      <c r="D4745" s="28" t="str">
        <f aca="false">IF(OR($B4745="",$C4745=""),"",$C4745*IFERROR(INDEX(Setup!$C$47:$C$56,MATCH($B4745,Setup!$A$47:$A$56,0)),IFERROR(INDEX(Setup!$C$60:$C$89,MATCH($B4745,Setup!$A$60:$A$89,0)),"")))</f>
        <v/>
      </c>
      <c r="E4745" s="42"/>
      <c r="F4745" s="42"/>
    </row>
    <row r="4746" customFormat="false" ht="15" hidden="false" customHeight="true" outlineLevel="0" collapsed="false">
      <c r="A4746" s="42"/>
      <c r="B4746" s="42"/>
      <c r="C4746" s="42"/>
      <c r="D4746" s="28" t="str">
        <f aca="false">IF(OR($B4746="",$C4746=""),"",$C4746*IFERROR(INDEX(Setup!$C$47:$C$56,MATCH($B4746,Setup!$A$47:$A$56,0)),IFERROR(INDEX(Setup!$C$60:$C$89,MATCH($B4746,Setup!$A$60:$A$89,0)),"")))</f>
        <v/>
      </c>
      <c r="E4746" s="42"/>
      <c r="F4746" s="42"/>
    </row>
    <row r="4747" customFormat="false" ht="15" hidden="false" customHeight="true" outlineLevel="0" collapsed="false">
      <c r="A4747" s="42"/>
      <c r="B4747" s="42"/>
      <c r="C4747" s="42"/>
      <c r="D4747" s="28" t="str">
        <f aca="false">IF(OR($B4747="",$C4747=""),"",$C4747*IFERROR(INDEX(Setup!$C$47:$C$56,MATCH($B4747,Setup!$A$47:$A$56,0)),IFERROR(INDEX(Setup!$C$60:$C$89,MATCH($B4747,Setup!$A$60:$A$89,0)),"")))</f>
        <v/>
      </c>
      <c r="E4747" s="42"/>
      <c r="F4747" s="42"/>
    </row>
    <row r="4748" customFormat="false" ht="15" hidden="false" customHeight="true" outlineLevel="0" collapsed="false">
      <c r="A4748" s="42"/>
      <c r="B4748" s="42"/>
      <c r="C4748" s="42"/>
      <c r="D4748" s="28" t="str">
        <f aca="false">IF(OR($B4748="",$C4748=""),"",$C4748*IFERROR(INDEX(Setup!$C$47:$C$56,MATCH($B4748,Setup!$A$47:$A$56,0)),IFERROR(INDEX(Setup!$C$60:$C$89,MATCH($B4748,Setup!$A$60:$A$89,0)),"")))</f>
        <v/>
      </c>
      <c r="E4748" s="42"/>
      <c r="F4748" s="42"/>
    </row>
    <row r="4749" customFormat="false" ht="15" hidden="false" customHeight="true" outlineLevel="0" collapsed="false">
      <c r="A4749" s="42"/>
      <c r="B4749" s="42"/>
      <c r="C4749" s="42"/>
      <c r="D4749" s="28" t="str">
        <f aca="false">IF(OR($B4749="",$C4749=""),"",$C4749*IFERROR(INDEX(Setup!$C$47:$C$56,MATCH($B4749,Setup!$A$47:$A$56,0)),IFERROR(INDEX(Setup!$C$60:$C$89,MATCH($B4749,Setup!$A$60:$A$89,0)),"")))</f>
        <v/>
      </c>
      <c r="E4749" s="42"/>
      <c r="F4749" s="42"/>
    </row>
    <row r="4750" customFormat="false" ht="15" hidden="false" customHeight="true" outlineLevel="0" collapsed="false">
      <c r="A4750" s="42"/>
      <c r="B4750" s="42"/>
      <c r="C4750" s="42"/>
      <c r="D4750" s="28" t="str">
        <f aca="false">IF(OR($B4750="",$C4750=""),"",$C4750*IFERROR(INDEX(Setup!$C$47:$C$56,MATCH($B4750,Setup!$A$47:$A$56,0)),IFERROR(INDEX(Setup!$C$60:$C$89,MATCH($B4750,Setup!$A$60:$A$89,0)),"")))</f>
        <v/>
      </c>
      <c r="E4750" s="42"/>
      <c r="F4750" s="42"/>
    </row>
    <row r="4751" customFormat="false" ht="15" hidden="false" customHeight="true" outlineLevel="0" collapsed="false">
      <c r="A4751" s="42"/>
      <c r="B4751" s="42"/>
      <c r="C4751" s="42"/>
      <c r="D4751" s="28" t="str">
        <f aca="false">IF(OR($B4751="",$C4751=""),"",$C4751*IFERROR(INDEX(Setup!$C$47:$C$56,MATCH($B4751,Setup!$A$47:$A$56,0)),IFERROR(INDEX(Setup!$C$60:$C$89,MATCH($B4751,Setup!$A$60:$A$89,0)),"")))</f>
        <v/>
      </c>
      <c r="E4751" s="42"/>
      <c r="F4751" s="42"/>
    </row>
    <row r="4752" customFormat="false" ht="15" hidden="false" customHeight="true" outlineLevel="0" collapsed="false">
      <c r="A4752" s="42"/>
      <c r="B4752" s="42"/>
      <c r="C4752" s="42"/>
      <c r="D4752" s="28" t="str">
        <f aca="false">IF(OR($B4752="",$C4752=""),"",$C4752*IFERROR(INDEX(Setup!$C$47:$C$56,MATCH($B4752,Setup!$A$47:$A$56,0)),IFERROR(INDEX(Setup!$C$60:$C$89,MATCH($B4752,Setup!$A$60:$A$89,0)),"")))</f>
        <v/>
      </c>
      <c r="E4752" s="42"/>
      <c r="F4752" s="42"/>
    </row>
    <row r="4753" customFormat="false" ht="15" hidden="false" customHeight="true" outlineLevel="0" collapsed="false">
      <c r="A4753" s="42"/>
      <c r="B4753" s="42"/>
      <c r="C4753" s="42"/>
      <c r="D4753" s="28" t="str">
        <f aca="false">IF(OR($B4753="",$C4753=""),"",$C4753*IFERROR(INDEX(Setup!$C$47:$C$56,MATCH($B4753,Setup!$A$47:$A$56,0)),IFERROR(INDEX(Setup!$C$60:$C$89,MATCH($B4753,Setup!$A$60:$A$89,0)),"")))</f>
        <v/>
      </c>
      <c r="E4753" s="42"/>
      <c r="F4753" s="42"/>
    </row>
    <row r="4754" customFormat="false" ht="15" hidden="false" customHeight="true" outlineLevel="0" collapsed="false">
      <c r="A4754" s="42"/>
      <c r="B4754" s="42"/>
      <c r="C4754" s="42"/>
      <c r="D4754" s="28" t="str">
        <f aca="false">IF(OR($B4754="",$C4754=""),"",$C4754*IFERROR(INDEX(Setup!$C$47:$C$56,MATCH($B4754,Setup!$A$47:$A$56,0)),IFERROR(INDEX(Setup!$C$60:$C$89,MATCH($B4754,Setup!$A$60:$A$89,0)),"")))</f>
        <v/>
      </c>
      <c r="E4754" s="42"/>
      <c r="F4754" s="42"/>
    </row>
    <row r="4755" customFormat="false" ht="15" hidden="false" customHeight="true" outlineLevel="0" collapsed="false">
      <c r="A4755" s="42"/>
      <c r="B4755" s="42"/>
      <c r="C4755" s="42"/>
      <c r="D4755" s="28" t="str">
        <f aca="false">IF(OR($B4755="",$C4755=""),"",$C4755*IFERROR(INDEX(Setup!$C$47:$C$56,MATCH($B4755,Setup!$A$47:$A$56,0)),IFERROR(INDEX(Setup!$C$60:$C$89,MATCH($B4755,Setup!$A$60:$A$89,0)),"")))</f>
        <v/>
      </c>
      <c r="E4755" s="42"/>
      <c r="F4755" s="42"/>
    </row>
    <row r="4756" customFormat="false" ht="15" hidden="false" customHeight="true" outlineLevel="0" collapsed="false">
      <c r="A4756" s="42"/>
      <c r="B4756" s="42"/>
      <c r="C4756" s="42"/>
      <c r="D4756" s="28" t="str">
        <f aca="false">IF(OR($B4756="",$C4756=""),"",$C4756*IFERROR(INDEX(Setup!$C$47:$C$56,MATCH($B4756,Setup!$A$47:$A$56,0)),IFERROR(INDEX(Setup!$C$60:$C$89,MATCH($B4756,Setup!$A$60:$A$89,0)),"")))</f>
        <v/>
      </c>
      <c r="E4756" s="42"/>
      <c r="F4756" s="42"/>
    </row>
    <row r="4757" customFormat="false" ht="15" hidden="false" customHeight="true" outlineLevel="0" collapsed="false">
      <c r="A4757" s="42"/>
      <c r="B4757" s="42"/>
      <c r="C4757" s="42"/>
      <c r="D4757" s="28" t="str">
        <f aca="false">IF(OR($B4757="",$C4757=""),"",$C4757*IFERROR(INDEX(Setup!$C$47:$C$56,MATCH($B4757,Setup!$A$47:$A$56,0)),IFERROR(INDEX(Setup!$C$60:$C$89,MATCH($B4757,Setup!$A$60:$A$89,0)),"")))</f>
        <v/>
      </c>
      <c r="E4757" s="42"/>
      <c r="F4757" s="42"/>
    </row>
    <row r="4758" customFormat="false" ht="15" hidden="false" customHeight="true" outlineLevel="0" collapsed="false">
      <c r="A4758" s="42"/>
      <c r="B4758" s="42"/>
      <c r="C4758" s="42"/>
      <c r="D4758" s="28" t="str">
        <f aca="false">IF(OR($B4758="",$C4758=""),"",$C4758*IFERROR(INDEX(Setup!$C$47:$C$56,MATCH($B4758,Setup!$A$47:$A$56,0)),IFERROR(INDEX(Setup!$C$60:$C$89,MATCH($B4758,Setup!$A$60:$A$89,0)),"")))</f>
        <v/>
      </c>
      <c r="E4758" s="42"/>
      <c r="F4758" s="42"/>
    </row>
    <row r="4759" customFormat="false" ht="15" hidden="false" customHeight="true" outlineLevel="0" collapsed="false">
      <c r="A4759" s="42"/>
      <c r="B4759" s="42"/>
      <c r="C4759" s="42"/>
      <c r="D4759" s="28" t="str">
        <f aca="false">IF(OR($B4759="",$C4759=""),"",$C4759*IFERROR(INDEX(Setup!$C$47:$C$56,MATCH($B4759,Setup!$A$47:$A$56,0)),IFERROR(INDEX(Setup!$C$60:$C$89,MATCH($B4759,Setup!$A$60:$A$89,0)),"")))</f>
        <v/>
      </c>
      <c r="E4759" s="42"/>
      <c r="F4759" s="42"/>
    </row>
    <row r="4760" customFormat="false" ht="15" hidden="false" customHeight="true" outlineLevel="0" collapsed="false">
      <c r="A4760" s="42"/>
      <c r="B4760" s="42"/>
      <c r="C4760" s="42"/>
      <c r="D4760" s="28" t="str">
        <f aca="false">IF(OR($B4760="",$C4760=""),"",$C4760*IFERROR(INDEX(Setup!$C$47:$C$56,MATCH($B4760,Setup!$A$47:$A$56,0)),IFERROR(INDEX(Setup!$C$60:$C$89,MATCH($B4760,Setup!$A$60:$A$89,0)),"")))</f>
        <v/>
      </c>
      <c r="E4760" s="42"/>
      <c r="F4760" s="42"/>
    </row>
    <row r="4761" customFormat="false" ht="15" hidden="false" customHeight="true" outlineLevel="0" collapsed="false">
      <c r="A4761" s="42"/>
      <c r="B4761" s="42"/>
      <c r="C4761" s="42"/>
      <c r="D4761" s="28" t="str">
        <f aca="false">IF(OR($B4761="",$C4761=""),"",$C4761*IFERROR(INDEX(Setup!$C$47:$C$56,MATCH($B4761,Setup!$A$47:$A$56,0)),IFERROR(INDEX(Setup!$C$60:$C$89,MATCH($B4761,Setup!$A$60:$A$89,0)),"")))</f>
        <v/>
      </c>
      <c r="E4761" s="42"/>
      <c r="F4761" s="42"/>
    </row>
    <row r="4762" customFormat="false" ht="15" hidden="false" customHeight="true" outlineLevel="0" collapsed="false">
      <c r="A4762" s="42"/>
      <c r="B4762" s="42"/>
      <c r="C4762" s="42"/>
      <c r="D4762" s="28" t="str">
        <f aca="false">IF(OR($B4762="",$C4762=""),"",$C4762*IFERROR(INDEX(Setup!$C$47:$C$56,MATCH($B4762,Setup!$A$47:$A$56,0)),IFERROR(INDEX(Setup!$C$60:$C$89,MATCH($B4762,Setup!$A$60:$A$89,0)),"")))</f>
        <v/>
      </c>
      <c r="E4762" s="42"/>
      <c r="F4762" s="42"/>
    </row>
    <row r="4763" customFormat="false" ht="15" hidden="false" customHeight="true" outlineLevel="0" collapsed="false">
      <c r="A4763" s="42"/>
      <c r="B4763" s="42"/>
      <c r="C4763" s="42"/>
      <c r="D4763" s="28" t="str">
        <f aca="false">IF(OR($B4763="",$C4763=""),"",$C4763*IFERROR(INDEX(Setup!$C$47:$C$56,MATCH($B4763,Setup!$A$47:$A$56,0)),IFERROR(INDEX(Setup!$C$60:$C$89,MATCH($B4763,Setup!$A$60:$A$89,0)),"")))</f>
        <v/>
      </c>
      <c r="E4763" s="42"/>
      <c r="F4763" s="42"/>
    </row>
    <row r="4764" customFormat="false" ht="15" hidden="false" customHeight="true" outlineLevel="0" collapsed="false">
      <c r="A4764" s="42"/>
      <c r="B4764" s="42"/>
      <c r="C4764" s="42"/>
      <c r="D4764" s="28" t="str">
        <f aca="false">IF(OR($B4764="",$C4764=""),"",$C4764*IFERROR(INDEX(Setup!$C$47:$C$56,MATCH($B4764,Setup!$A$47:$A$56,0)),IFERROR(INDEX(Setup!$C$60:$C$89,MATCH($B4764,Setup!$A$60:$A$89,0)),"")))</f>
        <v/>
      </c>
      <c r="E4764" s="42"/>
      <c r="F4764" s="42"/>
    </row>
    <row r="4765" customFormat="false" ht="15" hidden="false" customHeight="true" outlineLevel="0" collapsed="false">
      <c r="A4765" s="42"/>
      <c r="B4765" s="42"/>
      <c r="C4765" s="42"/>
      <c r="D4765" s="28" t="str">
        <f aca="false">IF(OR($B4765="",$C4765=""),"",$C4765*IFERROR(INDEX(Setup!$C$47:$C$56,MATCH($B4765,Setup!$A$47:$A$56,0)),IFERROR(INDEX(Setup!$C$60:$C$89,MATCH($B4765,Setup!$A$60:$A$89,0)),"")))</f>
        <v/>
      </c>
      <c r="E4765" s="42"/>
      <c r="F4765" s="42"/>
    </row>
    <row r="4766" customFormat="false" ht="15" hidden="false" customHeight="true" outlineLevel="0" collapsed="false">
      <c r="A4766" s="42"/>
      <c r="B4766" s="42"/>
      <c r="C4766" s="42"/>
      <c r="D4766" s="28" t="str">
        <f aca="false">IF(OR($B4766="",$C4766=""),"",$C4766*IFERROR(INDEX(Setup!$C$47:$C$56,MATCH($B4766,Setup!$A$47:$A$56,0)),IFERROR(INDEX(Setup!$C$60:$C$89,MATCH($B4766,Setup!$A$60:$A$89,0)),"")))</f>
        <v/>
      </c>
      <c r="E4766" s="42"/>
      <c r="F4766" s="42"/>
    </row>
    <row r="4767" customFormat="false" ht="15" hidden="false" customHeight="true" outlineLevel="0" collapsed="false">
      <c r="A4767" s="42"/>
      <c r="B4767" s="42"/>
      <c r="C4767" s="42"/>
      <c r="D4767" s="28" t="str">
        <f aca="false">IF(OR($B4767="",$C4767=""),"",$C4767*IFERROR(INDEX(Setup!$C$47:$C$56,MATCH($B4767,Setup!$A$47:$A$56,0)),IFERROR(INDEX(Setup!$C$60:$C$89,MATCH($B4767,Setup!$A$60:$A$89,0)),"")))</f>
        <v/>
      </c>
      <c r="E4767" s="42"/>
      <c r="F4767" s="42"/>
    </row>
    <row r="4768" customFormat="false" ht="15" hidden="false" customHeight="true" outlineLevel="0" collapsed="false">
      <c r="A4768" s="42"/>
      <c r="B4768" s="42"/>
      <c r="C4768" s="42"/>
      <c r="D4768" s="28" t="str">
        <f aca="false">IF(OR($B4768="",$C4768=""),"",$C4768*IFERROR(INDEX(Setup!$C$47:$C$56,MATCH($B4768,Setup!$A$47:$A$56,0)),IFERROR(INDEX(Setup!$C$60:$C$89,MATCH($B4768,Setup!$A$60:$A$89,0)),"")))</f>
        <v/>
      </c>
      <c r="E4768" s="42"/>
      <c r="F4768" s="42"/>
    </row>
    <row r="4769" customFormat="false" ht="15" hidden="false" customHeight="true" outlineLevel="0" collapsed="false">
      <c r="A4769" s="42"/>
      <c r="B4769" s="42"/>
      <c r="C4769" s="42"/>
      <c r="D4769" s="28" t="str">
        <f aca="false">IF(OR($B4769="",$C4769=""),"",$C4769*IFERROR(INDEX(Setup!$C$47:$C$56,MATCH($B4769,Setup!$A$47:$A$56,0)),IFERROR(INDEX(Setup!$C$60:$C$89,MATCH($B4769,Setup!$A$60:$A$89,0)),"")))</f>
        <v/>
      </c>
      <c r="E4769" s="42"/>
      <c r="F4769" s="42"/>
    </row>
    <row r="4770" customFormat="false" ht="15" hidden="false" customHeight="true" outlineLevel="0" collapsed="false">
      <c r="A4770" s="42"/>
      <c r="B4770" s="42"/>
      <c r="C4770" s="42"/>
      <c r="D4770" s="28" t="str">
        <f aca="false">IF(OR($B4770="",$C4770=""),"",$C4770*IFERROR(INDEX(Setup!$C$47:$C$56,MATCH($B4770,Setup!$A$47:$A$56,0)),IFERROR(INDEX(Setup!$C$60:$C$89,MATCH($B4770,Setup!$A$60:$A$89,0)),"")))</f>
        <v/>
      </c>
      <c r="E4770" s="42"/>
      <c r="F4770" s="42"/>
    </row>
    <row r="4771" customFormat="false" ht="15" hidden="false" customHeight="true" outlineLevel="0" collapsed="false">
      <c r="A4771" s="42"/>
      <c r="B4771" s="42"/>
      <c r="C4771" s="42"/>
      <c r="D4771" s="28" t="str">
        <f aca="false">IF(OR($B4771="",$C4771=""),"",$C4771*IFERROR(INDEX(Setup!$C$47:$C$56,MATCH($B4771,Setup!$A$47:$A$56,0)),IFERROR(INDEX(Setup!$C$60:$C$89,MATCH($B4771,Setup!$A$60:$A$89,0)),"")))</f>
        <v/>
      </c>
      <c r="E4771" s="42"/>
      <c r="F4771" s="42"/>
    </row>
    <row r="4772" customFormat="false" ht="15" hidden="false" customHeight="true" outlineLevel="0" collapsed="false">
      <c r="A4772" s="42"/>
      <c r="B4772" s="42"/>
      <c r="C4772" s="42"/>
      <c r="D4772" s="28" t="str">
        <f aca="false">IF(OR($B4772="",$C4772=""),"",$C4772*IFERROR(INDEX(Setup!$C$47:$C$56,MATCH($B4772,Setup!$A$47:$A$56,0)),IFERROR(INDEX(Setup!$C$60:$C$89,MATCH($B4772,Setup!$A$60:$A$89,0)),"")))</f>
        <v/>
      </c>
      <c r="E4772" s="42"/>
      <c r="F4772" s="42"/>
    </row>
    <row r="4773" customFormat="false" ht="15" hidden="false" customHeight="true" outlineLevel="0" collapsed="false">
      <c r="A4773" s="42"/>
      <c r="B4773" s="42"/>
      <c r="C4773" s="42"/>
      <c r="D4773" s="28" t="str">
        <f aca="false">IF(OR($B4773="",$C4773=""),"",$C4773*IFERROR(INDEX(Setup!$C$47:$C$56,MATCH($B4773,Setup!$A$47:$A$56,0)),IFERROR(INDEX(Setup!$C$60:$C$89,MATCH($B4773,Setup!$A$60:$A$89,0)),"")))</f>
        <v/>
      </c>
      <c r="E4773" s="42"/>
      <c r="F4773" s="42"/>
    </row>
    <row r="4774" customFormat="false" ht="15" hidden="false" customHeight="true" outlineLevel="0" collapsed="false">
      <c r="A4774" s="42"/>
      <c r="B4774" s="42"/>
      <c r="C4774" s="42"/>
      <c r="D4774" s="28" t="str">
        <f aca="false">IF(OR($B4774="",$C4774=""),"",$C4774*IFERROR(INDEX(Setup!$C$47:$C$56,MATCH($B4774,Setup!$A$47:$A$56,0)),IFERROR(INDEX(Setup!$C$60:$C$89,MATCH($B4774,Setup!$A$60:$A$89,0)),"")))</f>
        <v/>
      </c>
      <c r="E4774" s="42"/>
      <c r="F4774" s="42"/>
    </row>
    <row r="4775" customFormat="false" ht="15" hidden="false" customHeight="true" outlineLevel="0" collapsed="false">
      <c r="A4775" s="42"/>
      <c r="B4775" s="42"/>
      <c r="C4775" s="42"/>
      <c r="D4775" s="28" t="str">
        <f aca="false">IF(OR($B4775="",$C4775=""),"",$C4775*IFERROR(INDEX(Setup!$C$47:$C$56,MATCH($B4775,Setup!$A$47:$A$56,0)),IFERROR(INDEX(Setup!$C$60:$C$89,MATCH($B4775,Setup!$A$60:$A$89,0)),"")))</f>
        <v/>
      </c>
      <c r="E4775" s="42"/>
      <c r="F4775" s="42"/>
    </row>
    <row r="4776" customFormat="false" ht="15" hidden="false" customHeight="true" outlineLevel="0" collapsed="false">
      <c r="A4776" s="42"/>
      <c r="B4776" s="42"/>
      <c r="C4776" s="42"/>
      <c r="D4776" s="28" t="str">
        <f aca="false">IF(OR($B4776="",$C4776=""),"",$C4776*IFERROR(INDEX(Setup!$C$47:$C$56,MATCH($B4776,Setup!$A$47:$A$56,0)),IFERROR(INDEX(Setup!$C$60:$C$89,MATCH($B4776,Setup!$A$60:$A$89,0)),"")))</f>
        <v/>
      </c>
      <c r="E4776" s="42"/>
      <c r="F4776" s="42"/>
    </row>
    <row r="4777" customFormat="false" ht="15" hidden="false" customHeight="true" outlineLevel="0" collapsed="false">
      <c r="A4777" s="42"/>
      <c r="B4777" s="42"/>
      <c r="C4777" s="42"/>
      <c r="D4777" s="28" t="str">
        <f aca="false">IF(OR($B4777="",$C4777=""),"",$C4777*IFERROR(INDEX(Setup!$C$47:$C$56,MATCH($B4777,Setup!$A$47:$A$56,0)),IFERROR(INDEX(Setup!$C$60:$C$89,MATCH($B4777,Setup!$A$60:$A$89,0)),"")))</f>
        <v/>
      </c>
      <c r="E4777" s="42"/>
      <c r="F4777" s="42"/>
    </row>
    <row r="4778" customFormat="false" ht="15" hidden="false" customHeight="true" outlineLevel="0" collapsed="false">
      <c r="A4778" s="42"/>
      <c r="B4778" s="42"/>
      <c r="C4778" s="42"/>
      <c r="D4778" s="28" t="str">
        <f aca="false">IF(OR($B4778="",$C4778=""),"",$C4778*IFERROR(INDEX(Setup!$C$47:$C$56,MATCH($B4778,Setup!$A$47:$A$56,0)),IFERROR(INDEX(Setup!$C$60:$C$89,MATCH($B4778,Setup!$A$60:$A$89,0)),"")))</f>
        <v/>
      </c>
      <c r="E4778" s="42"/>
      <c r="F4778" s="42"/>
    </row>
    <row r="4779" customFormat="false" ht="15" hidden="false" customHeight="true" outlineLevel="0" collapsed="false">
      <c r="A4779" s="42"/>
      <c r="B4779" s="42"/>
      <c r="C4779" s="42"/>
      <c r="D4779" s="28" t="str">
        <f aca="false">IF(OR($B4779="",$C4779=""),"",$C4779*IFERROR(INDEX(Setup!$C$47:$C$56,MATCH($B4779,Setup!$A$47:$A$56,0)),IFERROR(INDEX(Setup!$C$60:$C$89,MATCH($B4779,Setup!$A$60:$A$89,0)),"")))</f>
        <v/>
      </c>
      <c r="E4779" s="42"/>
      <c r="F4779" s="42"/>
    </row>
    <row r="4780" customFormat="false" ht="15" hidden="false" customHeight="true" outlineLevel="0" collapsed="false">
      <c r="A4780" s="42"/>
      <c r="B4780" s="42"/>
      <c r="C4780" s="42"/>
      <c r="D4780" s="28" t="str">
        <f aca="false">IF(OR($B4780="",$C4780=""),"",$C4780*IFERROR(INDEX(Setup!$C$47:$C$56,MATCH($B4780,Setup!$A$47:$A$56,0)),IFERROR(INDEX(Setup!$C$60:$C$89,MATCH($B4780,Setup!$A$60:$A$89,0)),"")))</f>
        <v/>
      </c>
      <c r="E4780" s="42"/>
      <c r="F4780" s="42"/>
    </row>
    <row r="4781" customFormat="false" ht="15" hidden="false" customHeight="true" outlineLevel="0" collapsed="false">
      <c r="A4781" s="42"/>
      <c r="B4781" s="42"/>
      <c r="C4781" s="42"/>
      <c r="D4781" s="28" t="str">
        <f aca="false">IF(OR($B4781="",$C4781=""),"",$C4781*IFERROR(INDEX(Setup!$C$47:$C$56,MATCH($B4781,Setup!$A$47:$A$56,0)),IFERROR(INDEX(Setup!$C$60:$C$89,MATCH($B4781,Setup!$A$60:$A$89,0)),"")))</f>
        <v/>
      </c>
      <c r="E4781" s="42"/>
      <c r="F4781" s="42"/>
    </row>
    <row r="4782" customFormat="false" ht="15" hidden="false" customHeight="true" outlineLevel="0" collapsed="false">
      <c r="A4782" s="42"/>
      <c r="B4782" s="42"/>
      <c r="C4782" s="42"/>
      <c r="D4782" s="28" t="str">
        <f aca="false">IF(OR($B4782="",$C4782=""),"",$C4782*IFERROR(INDEX(Setup!$C$47:$C$56,MATCH($B4782,Setup!$A$47:$A$56,0)),IFERROR(INDEX(Setup!$C$60:$C$89,MATCH($B4782,Setup!$A$60:$A$89,0)),"")))</f>
        <v/>
      </c>
      <c r="E4782" s="42"/>
      <c r="F4782" s="42"/>
    </row>
    <row r="4783" customFormat="false" ht="15" hidden="false" customHeight="true" outlineLevel="0" collapsed="false">
      <c r="A4783" s="42"/>
      <c r="B4783" s="42"/>
      <c r="C4783" s="42"/>
      <c r="D4783" s="28" t="str">
        <f aca="false">IF(OR($B4783="",$C4783=""),"",$C4783*IFERROR(INDEX(Setup!$C$47:$C$56,MATCH($B4783,Setup!$A$47:$A$56,0)),IFERROR(INDEX(Setup!$C$60:$C$89,MATCH($B4783,Setup!$A$60:$A$89,0)),"")))</f>
        <v/>
      </c>
      <c r="E4783" s="42"/>
      <c r="F4783" s="42"/>
    </row>
    <row r="4784" customFormat="false" ht="15" hidden="false" customHeight="true" outlineLevel="0" collapsed="false">
      <c r="A4784" s="42"/>
      <c r="B4784" s="42"/>
      <c r="C4784" s="42"/>
      <c r="D4784" s="28" t="str">
        <f aca="false">IF(OR($B4784="",$C4784=""),"",$C4784*IFERROR(INDEX(Setup!$C$47:$C$56,MATCH($B4784,Setup!$A$47:$A$56,0)),IFERROR(INDEX(Setup!$C$60:$C$89,MATCH($B4784,Setup!$A$60:$A$89,0)),"")))</f>
        <v/>
      </c>
      <c r="E4784" s="42"/>
      <c r="F4784" s="42"/>
    </row>
    <row r="4785" customFormat="false" ht="15" hidden="false" customHeight="true" outlineLevel="0" collapsed="false">
      <c r="A4785" s="42"/>
      <c r="B4785" s="42"/>
      <c r="C4785" s="42"/>
      <c r="D4785" s="28" t="str">
        <f aca="false">IF(OR($B4785="",$C4785=""),"",$C4785*IFERROR(INDEX(Setup!$C$47:$C$56,MATCH($B4785,Setup!$A$47:$A$56,0)),IFERROR(INDEX(Setup!$C$60:$C$89,MATCH($B4785,Setup!$A$60:$A$89,0)),"")))</f>
        <v/>
      </c>
      <c r="E4785" s="42"/>
      <c r="F4785" s="42"/>
    </row>
    <row r="4786" customFormat="false" ht="15" hidden="false" customHeight="true" outlineLevel="0" collapsed="false">
      <c r="A4786" s="42"/>
      <c r="B4786" s="42"/>
      <c r="C4786" s="42"/>
      <c r="D4786" s="28" t="str">
        <f aca="false">IF(OR($B4786="",$C4786=""),"",$C4786*IFERROR(INDEX(Setup!$C$47:$C$56,MATCH($B4786,Setup!$A$47:$A$56,0)),IFERROR(INDEX(Setup!$C$60:$C$89,MATCH($B4786,Setup!$A$60:$A$89,0)),"")))</f>
        <v/>
      </c>
      <c r="E4786" s="42"/>
      <c r="F4786" s="42"/>
    </row>
    <row r="4787" customFormat="false" ht="15" hidden="false" customHeight="true" outlineLevel="0" collapsed="false">
      <c r="A4787" s="42"/>
      <c r="B4787" s="42"/>
      <c r="C4787" s="42"/>
      <c r="D4787" s="28" t="str">
        <f aca="false">IF(OR($B4787="",$C4787=""),"",$C4787*IFERROR(INDEX(Setup!$C$47:$C$56,MATCH($B4787,Setup!$A$47:$A$56,0)),IFERROR(INDEX(Setup!$C$60:$C$89,MATCH($B4787,Setup!$A$60:$A$89,0)),"")))</f>
        <v/>
      </c>
      <c r="E4787" s="42"/>
      <c r="F4787" s="42"/>
    </row>
    <row r="4788" customFormat="false" ht="15" hidden="false" customHeight="true" outlineLevel="0" collapsed="false">
      <c r="A4788" s="42"/>
      <c r="B4788" s="42"/>
      <c r="C4788" s="42"/>
      <c r="D4788" s="28" t="str">
        <f aca="false">IF(OR($B4788="",$C4788=""),"",$C4788*IFERROR(INDEX(Setup!$C$47:$C$56,MATCH($B4788,Setup!$A$47:$A$56,0)),IFERROR(INDEX(Setup!$C$60:$C$89,MATCH($B4788,Setup!$A$60:$A$89,0)),"")))</f>
        <v/>
      </c>
      <c r="E4788" s="42"/>
      <c r="F4788" s="42"/>
    </row>
    <row r="4789" customFormat="false" ht="15" hidden="false" customHeight="true" outlineLevel="0" collapsed="false">
      <c r="A4789" s="42"/>
      <c r="B4789" s="42"/>
      <c r="C4789" s="42"/>
      <c r="D4789" s="28" t="str">
        <f aca="false">IF(OR($B4789="",$C4789=""),"",$C4789*IFERROR(INDEX(Setup!$C$47:$C$56,MATCH($B4789,Setup!$A$47:$A$56,0)),IFERROR(INDEX(Setup!$C$60:$C$89,MATCH($B4789,Setup!$A$60:$A$89,0)),"")))</f>
        <v/>
      </c>
      <c r="E4789" s="42"/>
      <c r="F4789" s="42"/>
    </row>
    <row r="4790" customFormat="false" ht="15" hidden="false" customHeight="true" outlineLevel="0" collapsed="false">
      <c r="A4790" s="42"/>
      <c r="B4790" s="42"/>
      <c r="C4790" s="42"/>
      <c r="D4790" s="28" t="str">
        <f aca="false">IF(OR($B4790="",$C4790=""),"",$C4790*IFERROR(INDEX(Setup!$C$47:$C$56,MATCH($B4790,Setup!$A$47:$A$56,0)),IFERROR(INDEX(Setup!$C$60:$C$89,MATCH($B4790,Setup!$A$60:$A$89,0)),"")))</f>
        <v/>
      </c>
      <c r="E4790" s="42"/>
      <c r="F4790" s="42"/>
    </row>
    <row r="4791" customFormat="false" ht="15" hidden="false" customHeight="true" outlineLevel="0" collapsed="false">
      <c r="A4791" s="42"/>
      <c r="B4791" s="42"/>
      <c r="C4791" s="42"/>
      <c r="D4791" s="28" t="str">
        <f aca="false">IF(OR($B4791="",$C4791=""),"",$C4791*IFERROR(INDEX(Setup!$C$47:$C$56,MATCH($B4791,Setup!$A$47:$A$56,0)),IFERROR(INDEX(Setup!$C$60:$C$89,MATCH($B4791,Setup!$A$60:$A$89,0)),"")))</f>
        <v/>
      </c>
      <c r="E4791" s="42"/>
      <c r="F4791" s="42"/>
    </row>
    <row r="4792" customFormat="false" ht="15" hidden="false" customHeight="true" outlineLevel="0" collapsed="false">
      <c r="A4792" s="42"/>
      <c r="B4792" s="42"/>
      <c r="C4792" s="42"/>
      <c r="D4792" s="28" t="str">
        <f aca="false">IF(OR($B4792="",$C4792=""),"",$C4792*IFERROR(INDEX(Setup!$C$47:$C$56,MATCH($B4792,Setup!$A$47:$A$56,0)),IFERROR(INDEX(Setup!$C$60:$C$89,MATCH($B4792,Setup!$A$60:$A$89,0)),"")))</f>
        <v/>
      </c>
      <c r="E4792" s="42"/>
      <c r="F4792" s="42"/>
    </row>
    <row r="4793" customFormat="false" ht="15" hidden="false" customHeight="true" outlineLevel="0" collapsed="false">
      <c r="A4793" s="42"/>
      <c r="B4793" s="42"/>
      <c r="C4793" s="42"/>
      <c r="D4793" s="28" t="str">
        <f aca="false">IF(OR($B4793="",$C4793=""),"",$C4793*IFERROR(INDEX(Setup!$C$47:$C$56,MATCH($B4793,Setup!$A$47:$A$56,0)),IFERROR(INDEX(Setup!$C$60:$C$89,MATCH($B4793,Setup!$A$60:$A$89,0)),"")))</f>
        <v/>
      </c>
      <c r="E4793" s="42"/>
      <c r="F4793" s="42"/>
    </row>
    <row r="4794" customFormat="false" ht="15" hidden="false" customHeight="true" outlineLevel="0" collapsed="false">
      <c r="A4794" s="42"/>
      <c r="B4794" s="42"/>
      <c r="C4794" s="42"/>
      <c r="D4794" s="28" t="str">
        <f aca="false">IF(OR($B4794="",$C4794=""),"",$C4794*IFERROR(INDEX(Setup!$C$47:$C$56,MATCH($B4794,Setup!$A$47:$A$56,0)),IFERROR(INDEX(Setup!$C$60:$C$89,MATCH($B4794,Setup!$A$60:$A$89,0)),"")))</f>
        <v/>
      </c>
      <c r="E4794" s="42"/>
      <c r="F4794" s="42"/>
    </row>
    <row r="4795" customFormat="false" ht="15" hidden="false" customHeight="true" outlineLevel="0" collapsed="false">
      <c r="A4795" s="42"/>
      <c r="B4795" s="42"/>
      <c r="C4795" s="42"/>
      <c r="D4795" s="28" t="str">
        <f aca="false">IF(OR($B4795="",$C4795=""),"",$C4795*IFERROR(INDEX(Setup!$C$47:$C$56,MATCH($B4795,Setup!$A$47:$A$56,0)),IFERROR(INDEX(Setup!$C$60:$C$89,MATCH($B4795,Setup!$A$60:$A$89,0)),"")))</f>
        <v/>
      </c>
      <c r="E4795" s="42"/>
      <c r="F4795" s="42"/>
    </row>
    <row r="4796" customFormat="false" ht="15" hidden="false" customHeight="true" outlineLevel="0" collapsed="false">
      <c r="A4796" s="42"/>
      <c r="B4796" s="42"/>
      <c r="C4796" s="42"/>
      <c r="D4796" s="28" t="str">
        <f aca="false">IF(OR($B4796="",$C4796=""),"",$C4796*IFERROR(INDEX(Setup!$C$47:$C$56,MATCH($B4796,Setup!$A$47:$A$56,0)),IFERROR(INDEX(Setup!$C$60:$C$89,MATCH($B4796,Setup!$A$60:$A$89,0)),"")))</f>
        <v/>
      </c>
      <c r="E4796" s="42"/>
      <c r="F4796" s="42"/>
    </row>
    <row r="4797" customFormat="false" ht="15" hidden="false" customHeight="true" outlineLevel="0" collapsed="false">
      <c r="A4797" s="42"/>
      <c r="B4797" s="42"/>
      <c r="C4797" s="42"/>
      <c r="D4797" s="28" t="str">
        <f aca="false">IF(OR($B4797="",$C4797=""),"",$C4797*IFERROR(INDEX(Setup!$C$47:$C$56,MATCH($B4797,Setup!$A$47:$A$56,0)),IFERROR(INDEX(Setup!$C$60:$C$89,MATCH($B4797,Setup!$A$60:$A$89,0)),"")))</f>
        <v/>
      </c>
      <c r="E4797" s="42"/>
      <c r="F4797" s="42"/>
    </row>
    <row r="4798" customFormat="false" ht="15" hidden="false" customHeight="true" outlineLevel="0" collapsed="false">
      <c r="A4798" s="42"/>
      <c r="B4798" s="42"/>
      <c r="C4798" s="42"/>
      <c r="D4798" s="28" t="str">
        <f aca="false">IF(OR($B4798="",$C4798=""),"",$C4798*IFERROR(INDEX(Setup!$C$47:$C$56,MATCH($B4798,Setup!$A$47:$A$56,0)),IFERROR(INDEX(Setup!$C$60:$C$89,MATCH($B4798,Setup!$A$60:$A$89,0)),"")))</f>
        <v/>
      </c>
      <c r="E4798" s="42"/>
      <c r="F4798" s="42"/>
    </row>
    <row r="4799" customFormat="false" ht="15" hidden="false" customHeight="true" outlineLevel="0" collapsed="false">
      <c r="A4799" s="42"/>
      <c r="B4799" s="42"/>
      <c r="C4799" s="42"/>
      <c r="D4799" s="28" t="str">
        <f aca="false">IF(OR($B4799="",$C4799=""),"",$C4799*IFERROR(INDEX(Setup!$C$47:$C$56,MATCH($B4799,Setup!$A$47:$A$56,0)),IFERROR(INDEX(Setup!$C$60:$C$89,MATCH($B4799,Setup!$A$60:$A$89,0)),"")))</f>
        <v/>
      </c>
      <c r="E4799" s="42"/>
      <c r="F4799" s="42"/>
    </row>
    <row r="4800" customFormat="false" ht="15" hidden="false" customHeight="true" outlineLevel="0" collapsed="false">
      <c r="A4800" s="42"/>
      <c r="B4800" s="42"/>
      <c r="C4800" s="42"/>
      <c r="D4800" s="28" t="str">
        <f aca="false">IF(OR($B4800="",$C4800=""),"",$C4800*IFERROR(INDEX(Setup!$C$47:$C$56,MATCH($B4800,Setup!$A$47:$A$56,0)),IFERROR(INDEX(Setup!$C$60:$C$89,MATCH($B4800,Setup!$A$60:$A$89,0)),"")))</f>
        <v/>
      </c>
      <c r="E4800" s="42"/>
      <c r="F4800" s="42"/>
    </row>
    <row r="4801" customFormat="false" ht="15" hidden="false" customHeight="true" outlineLevel="0" collapsed="false">
      <c r="A4801" s="42"/>
      <c r="B4801" s="42"/>
      <c r="C4801" s="42"/>
      <c r="D4801" s="28" t="str">
        <f aca="false">IF(OR($B4801="",$C4801=""),"",$C4801*IFERROR(INDEX(Setup!$C$47:$C$56,MATCH($B4801,Setup!$A$47:$A$56,0)),IFERROR(INDEX(Setup!$C$60:$C$89,MATCH($B4801,Setup!$A$60:$A$89,0)),"")))</f>
        <v/>
      </c>
      <c r="E4801" s="42"/>
      <c r="F4801" s="42"/>
    </row>
    <row r="4802" customFormat="false" ht="15" hidden="false" customHeight="true" outlineLevel="0" collapsed="false">
      <c r="A4802" s="42"/>
      <c r="B4802" s="42"/>
      <c r="C4802" s="42"/>
      <c r="D4802" s="28" t="str">
        <f aca="false">IF(OR($B4802="",$C4802=""),"",$C4802*IFERROR(INDEX(Setup!$C$47:$C$56,MATCH($B4802,Setup!$A$47:$A$56,0)),IFERROR(INDEX(Setup!$C$60:$C$89,MATCH($B4802,Setup!$A$60:$A$89,0)),"")))</f>
        <v/>
      </c>
      <c r="E4802" s="42"/>
      <c r="F4802" s="42"/>
    </row>
    <row r="4803" customFormat="false" ht="15" hidden="false" customHeight="true" outlineLevel="0" collapsed="false">
      <c r="A4803" s="42"/>
      <c r="B4803" s="42"/>
      <c r="C4803" s="42"/>
      <c r="D4803" s="28" t="str">
        <f aca="false">IF(OR($B4803="",$C4803=""),"",$C4803*IFERROR(INDEX(Setup!$C$47:$C$56,MATCH($B4803,Setup!$A$47:$A$56,0)),IFERROR(INDEX(Setup!$C$60:$C$89,MATCH($B4803,Setup!$A$60:$A$89,0)),"")))</f>
        <v/>
      </c>
      <c r="E4803" s="42"/>
      <c r="F4803" s="42"/>
    </row>
    <row r="4804" customFormat="false" ht="15" hidden="false" customHeight="true" outlineLevel="0" collapsed="false">
      <c r="A4804" s="42"/>
      <c r="B4804" s="42"/>
      <c r="C4804" s="42"/>
      <c r="D4804" s="28" t="str">
        <f aca="false">IF(OR($B4804="",$C4804=""),"",$C4804*IFERROR(INDEX(Setup!$C$47:$C$56,MATCH($B4804,Setup!$A$47:$A$56,0)),IFERROR(INDEX(Setup!$C$60:$C$89,MATCH($B4804,Setup!$A$60:$A$89,0)),"")))</f>
        <v/>
      </c>
      <c r="E4804" s="42"/>
      <c r="F4804" s="42"/>
    </row>
    <row r="4805" customFormat="false" ht="15" hidden="false" customHeight="true" outlineLevel="0" collapsed="false">
      <c r="A4805" s="42"/>
      <c r="B4805" s="42"/>
      <c r="C4805" s="42"/>
      <c r="D4805" s="28" t="str">
        <f aca="false">IF(OR($B4805="",$C4805=""),"",$C4805*IFERROR(INDEX(Setup!$C$47:$C$56,MATCH($B4805,Setup!$A$47:$A$56,0)),IFERROR(INDEX(Setup!$C$60:$C$89,MATCH($B4805,Setup!$A$60:$A$89,0)),"")))</f>
        <v/>
      </c>
      <c r="E4805" s="42"/>
      <c r="F4805" s="42"/>
    </row>
    <row r="4806" customFormat="false" ht="15" hidden="false" customHeight="true" outlineLevel="0" collapsed="false">
      <c r="A4806" s="42"/>
      <c r="B4806" s="42"/>
      <c r="C4806" s="42"/>
      <c r="D4806" s="28" t="str">
        <f aca="false">IF(OR($B4806="",$C4806=""),"",$C4806*IFERROR(INDEX(Setup!$C$47:$C$56,MATCH($B4806,Setup!$A$47:$A$56,0)),IFERROR(INDEX(Setup!$C$60:$C$89,MATCH($B4806,Setup!$A$60:$A$89,0)),"")))</f>
        <v/>
      </c>
      <c r="E4806" s="42"/>
      <c r="F4806" s="42"/>
    </row>
    <row r="4807" customFormat="false" ht="15" hidden="false" customHeight="true" outlineLevel="0" collapsed="false">
      <c r="A4807" s="42"/>
      <c r="B4807" s="42"/>
      <c r="C4807" s="42"/>
      <c r="D4807" s="28" t="str">
        <f aca="false">IF(OR($B4807="",$C4807=""),"",$C4807*IFERROR(INDEX(Setup!$C$47:$C$56,MATCH($B4807,Setup!$A$47:$A$56,0)),IFERROR(INDEX(Setup!$C$60:$C$89,MATCH($B4807,Setup!$A$60:$A$89,0)),"")))</f>
        <v/>
      </c>
      <c r="E4807" s="42"/>
      <c r="F4807" s="42"/>
    </row>
    <row r="4808" customFormat="false" ht="15" hidden="false" customHeight="true" outlineLevel="0" collapsed="false">
      <c r="A4808" s="42"/>
      <c r="B4808" s="42"/>
      <c r="C4808" s="42"/>
      <c r="D4808" s="28" t="str">
        <f aca="false">IF(OR($B4808="",$C4808=""),"",$C4808*IFERROR(INDEX(Setup!$C$47:$C$56,MATCH($B4808,Setup!$A$47:$A$56,0)),IFERROR(INDEX(Setup!$C$60:$C$89,MATCH($B4808,Setup!$A$60:$A$89,0)),"")))</f>
        <v/>
      </c>
      <c r="E4808" s="42"/>
      <c r="F4808" s="42"/>
    </row>
    <row r="4809" customFormat="false" ht="15" hidden="false" customHeight="true" outlineLevel="0" collapsed="false">
      <c r="A4809" s="42"/>
      <c r="B4809" s="42"/>
      <c r="C4809" s="42"/>
      <c r="D4809" s="28" t="str">
        <f aca="false">IF(OR($B4809="",$C4809=""),"",$C4809*IFERROR(INDEX(Setup!$C$47:$C$56,MATCH($B4809,Setup!$A$47:$A$56,0)),IFERROR(INDEX(Setup!$C$60:$C$89,MATCH($B4809,Setup!$A$60:$A$89,0)),"")))</f>
        <v/>
      </c>
      <c r="E4809" s="42"/>
      <c r="F4809" s="42"/>
    </row>
    <row r="4810" customFormat="false" ht="15" hidden="false" customHeight="true" outlineLevel="0" collapsed="false">
      <c r="A4810" s="42"/>
      <c r="B4810" s="42"/>
      <c r="C4810" s="42"/>
      <c r="D4810" s="28" t="str">
        <f aca="false">IF(OR($B4810="",$C4810=""),"",$C4810*IFERROR(INDEX(Setup!$C$47:$C$56,MATCH($B4810,Setup!$A$47:$A$56,0)),IFERROR(INDEX(Setup!$C$60:$C$89,MATCH($B4810,Setup!$A$60:$A$89,0)),"")))</f>
        <v/>
      </c>
      <c r="E4810" s="42"/>
      <c r="F4810" s="42"/>
    </row>
    <row r="4811" customFormat="false" ht="15" hidden="false" customHeight="true" outlineLevel="0" collapsed="false">
      <c r="A4811" s="42"/>
      <c r="B4811" s="42"/>
      <c r="C4811" s="42"/>
      <c r="D4811" s="28" t="str">
        <f aca="false">IF(OR($B4811="",$C4811=""),"",$C4811*IFERROR(INDEX(Setup!$C$47:$C$56,MATCH($B4811,Setup!$A$47:$A$56,0)),IFERROR(INDEX(Setup!$C$60:$C$89,MATCH($B4811,Setup!$A$60:$A$89,0)),"")))</f>
        <v/>
      </c>
      <c r="E4811" s="42"/>
      <c r="F4811" s="42"/>
    </row>
    <row r="4812" customFormat="false" ht="15" hidden="false" customHeight="true" outlineLevel="0" collapsed="false">
      <c r="A4812" s="42"/>
      <c r="B4812" s="42"/>
      <c r="C4812" s="42"/>
      <c r="D4812" s="28" t="str">
        <f aca="false">IF(OR($B4812="",$C4812=""),"",$C4812*IFERROR(INDEX(Setup!$C$47:$C$56,MATCH($B4812,Setup!$A$47:$A$56,0)),IFERROR(INDEX(Setup!$C$60:$C$89,MATCH($B4812,Setup!$A$60:$A$89,0)),"")))</f>
        <v/>
      </c>
      <c r="E4812" s="42"/>
      <c r="F4812" s="42"/>
    </row>
    <row r="4813" customFormat="false" ht="15" hidden="false" customHeight="true" outlineLevel="0" collapsed="false">
      <c r="A4813" s="42"/>
      <c r="B4813" s="42"/>
      <c r="C4813" s="42"/>
      <c r="D4813" s="28" t="str">
        <f aca="false">IF(OR($B4813="",$C4813=""),"",$C4813*IFERROR(INDEX(Setup!$C$47:$C$56,MATCH($B4813,Setup!$A$47:$A$56,0)),IFERROR(INDEX(Setup!$C$60:$C$89,MATCH($B4813,Setup!$A$60:$A$89,0)),"")))</f>
        <v/>
      </c>
      <c r="E4813" s="42"/>
      <c r="F4813" s="42"/>
    </row>
    <row r="4814" customFormat="false" ht="15" hidden="false" customHeight="true" outlineLevel="0" collapsed="false">
      <c r="A4814" s="42"/>
      <c r="B4814" s="42"/>
      <c r="C4814" s="42"/>
      <c r="D4814" s="28" t="str">
        <f aca="false">IF(OR($B4814="",$C4814=""),"",$C4814*IFERROR(INDEX(Setup!$C$47:$C$56,MATCH($B4814,Setup!$A$47:$A$56,0)),IFERROR(INDEX(Setup!$C$60:$C$89,MATCH($B4814,Setup!$A$60:$A$89,0)),"")))</f>
        <v/>
      </c>
      <c r="E4814" s="42"/>
      <c r="F4814" s="42"/>
    </row>
    <row r="4815" customFormat="false" ht="15" hidden="false" customHeight="true" outlineLevel="0" collapsed="false">
      <c r="A4815" s="42"/>
      <c r="B4815" s="42"/>
      <c r="C4815" s="42"/>
      <c r="D4815" s="28" t="str">
        <f aca="false">IF(OR($B4815="",$C4815=""),"",$C4815*IFERROR(INDEX(Setup!$C$47:$C$56,MATCH($B4815,Setup!$A$47:$A$56,0)),IFERROR(INDEX(Setup!$C$60:$C$89,MATCH($B4815,Setup!$A$60:$A$89,0)),"")))</f>
        <v/>
      </c>
      <c r="E4815" s="42"/>
      <c r="F4815" s="42"/>
    </row>
    <row r="4816" customFormat="false" ht="15" hidden="false" customHeight="true" outlineLevel="0" collapsed="false">
      <c r="A4816" s="42"/>
      <c r="B4816" s="42"/>
      <c r="C4816" s="42"/>
      <c r="D4816" s="28" t="str">
        <f aca="false">IF(OR($B4816="",$C4816=""),"",$C4816*IFERROR(INDEX(Setup!$C$47:$C$56,MATCH($B4816,Setup!$A$47:$A$56,0)),IFERROR(INDEX(Setup!$C$60:$C$89,MATCH($B4816,Setup!$A$60:$A$89,0)),"")))</f>
        <v/>
      </c>
      <c r="E4816" s="42"/>
      <c r="F4816" s="42"/>
    </row>
    <row r="4817" customFormat="false" ht="15" hidden="false" customHeight="true" outlineLevel="0" collapsed="false">
      <c r="A4817" s="42"/>
      <c r="B4817" s="42"/>
      <c r="C4817" s="42"/>
      <c r="D4817" s="28" t="str">
        <f aca="false">IF(OR($B4817="",$C4817=""),"",$C4817*IFERROR(INDEX(Setup!$C$47:$C$56,MATCH($B4817,Setup!$A$47:$A$56,0)),IFERROR(INDEX(Setup!$C$60:$C$89,MATCH($B4817,Setup!$A$60:$A$89,0)),"")))</f>
        <v/>
      </c>
      <c r="E4817" s="42"/>
      <c r="F4817" s="42"/>
    </row>
    <row r="4818" customFormat="false" ht="15" hidden="false" customHeight="true" outlineLevel="0" collapsed="false">
      <c r="A4818" s="42"/>
      <c r="B4818" s="42"/>
      <c r="C4818" s="42"/>
      <c r="D4818" s="28" t="str">
        <f aca="false">IF(OR($B4818="",$C4818=""),"",$C4818*IFERROR(INDEX(Setup!$C$47:$C$56,MATCH($B4818,Setup!$A$47:$A$56,0)),IFERROR(INDEX(Setup!$C$60:$C$89,MATCH($B4818,Setup!$A$60:$A$89,0)),"")))</f>
        <v/>
      </c>
      <c r="E4818" s="42"/>
      <c r="F4818" s="42"/>
    </row>
    <row r="4819" customFormat="false" ht="15" hidden="false" customHeight="true" outlineLevel="0" collapsed="false">
      <c r="A4819" s="42"/>
      <c r="B4819" s="42"/>
      <c r="C4819" s="42"/>
      <c r="D4819" s="28" t="str">
        <f aca="false">IF(OR($B4819="",$C4819=""),"",$C4819*IFERROR(INDEX(Setup!$C$47:$C$56,MATCH($B4819,Setup!$A$47:$A$56,0)),IFERROR(INDEX(Setup!$C$60:$C$89,MATCH($B4819,Setup!$A$60:$A$89,0)),"")))</f>
        <v/>
      </c>
      <c r="E4819" s="42"/>
      <c r="F4819" s="42"/>
    </row>
    <row r="4820" customFormat="false" ht="15" hidden="false" customHeight="true" outlineLevel="0" collapsed="false">
      <c r="A4820" s="42"/>
      <c r="B4820" s="42"/>
      <c r="C4820" s="42"/>
      <c r="D4820" s="28" t="str">
        <f aca="false">IF(OR($B4820="",$C4820=""),"",$C4820*IFERROR(INDEX(Setup!$C$47:$C$56,MATCH($B4820,Setup!$A$47:$A$56,0)),IFERROR(INDEX(Setup!$C$60:$C$89,MATCH($B4820,Setup!$A$60:$A$89,0)),"")))</f>
        <v/>
      </c>
      <c r="E4820" s="42"/>
      <c r="F4820" s="42"/>
    </row>
    <row r="4821" customFormat="false" ht="15" hidden="false" customHeight="true" outlineLevel="0" collapsed="false">
      <c r="A4821" s="42"/>
      <c r="B4821" s="42"/>
      <c r="C4821" s="42"/>
      <c r="D4821" s="28" t="str">
        <f aca="false">IF(OR($B4821="",$C4821=""),"",$C4821*IFERROR(INDEX(Setup!$C$47:$C$56,MATCH($B4821,Setup!$A$47:$A$56,0)),IFERROR(INDEX(Setup!$C$60:$C$89,MATCH($B4821,Setup!$A$60:$A$89,0)),"")))</f>
        <v/>
      </c>
      <c r="E4821" s="42"/>
      <c r="F4821" s="42"/>
    </row>
    <row r="4822" customFormat="false" ht="15" hidden="false" customHeight="true" outlineLevel="0" collapsed="false">
      <c r="A4822" s="42"/>
      <c r="B4822" s="42"/>
      <c r="C4822" s="42"/>
      <c r="D4822" s="28" t="str">
        <f aca="false">IF(OR($B4822="",$C4822=""),"",$C4822*IFERROR(INDEX(Setup!$C$47:$C$56,MATCH($B4822,Setup!$A$47:$A$56,0)),IFERROR(INDEX(Setup!$C$60:$C$89,MATCH($B4822,Setup!$A$60:$A$89,0)),"")))</f>
        <v/>
      </c>
      <c r="E4822" s="42"/>
      <c r="F4822" s="42"/>
    </row>
    <row r="4823" customFormat="false" ht="15" hidden="false" customHeight="true" outlineLevel="0" collapsed="false">
      <c r="A4823" s="42"/>
      <c r="B4823" s="42"/>
      <c r="C4823" s="42"/>
      <c r="D4823" s="28" t="str">
        <f aca="false">IF(OR($B4823="",$C4823=""),"",$C4823*IFERROR(INDEX(Setup!$C$47:$C$56,MATCH($B4823,Setup!$A$47:$A$56,0)),IFERROR(INDEX(Setup!$C$60:$C$89,MATCH($B4823,Setup!$A$60:$A$89,0)),"")))</f>
        <v/>
      </c>
      <c r="E4823" s="42"/>
      <c r="F4823" s="42"/>
    </row>
    <row r="4824" customFormat="false" ht="15" hidden="false" customHeight="true" outlineLevel="0" collapsed="false">
      <c r="A4824" s="42"/>
      <c r="B4824" s="42"/>
      <c r="C4824" s="42"/>
      <c r="D4824" s="28" t="str">
        <f aca="false">IF(OR($B4824="",$C4824=""),"",$C4824*IFERROR(INDEX(Setup!$C$47:$C$56,MATCH($B4824,Setup!$A$47:$A$56,0)),IFERROR(INDEX(Setup!$C$60:$C$89,MATCH($B4824,Setup!$A$60:$A$89,0)),"")))</f>
        <v/>
      </c>
      <c r="E4824" s="42"/>
      <c r="F4824" s="42"/>
    </row>
    <row r="4825" customFormat="false" ht="15" hidden="false" customHeight="true" outlineLevel="0" collapsed="false">
      <c r="A4825" s="42"/>
      <c r="B4825" s="42"/>
      <c r="C4825" s="42"/>
      <c r="D4825" s="28" t="str">
        <f aca="false">IF(OR($B4825="",$C4825=""),"",$C4825*IFERROR(INDEX(Setup!$C$47:$C$56,MATCH($B4825,Setup!$A$47:$A$56,0)),IFERROR(INDEX(Setup!$C$60:$C$89,MATCH($B4825,Setup!$A$60:$A$89,0)),"")))</f>
        <v/>
      </c>
      <c r="E4825" s="42"/>
      <c r="F4825" s="42"/>
    </row>
    <row r="4826" customFormat="false" ht="15" hidden="false" customHeight="true" outlineLevel="0" collapsed="false">
      <c r="A4826" s="42"/>
      <c r="B4826" s="42"/>
      <c r="C4826" s="42"/>
      <c r="D4826" s="28" t="str">
        <f aca="false">IF(OR($B4826="",$C4826=""),"",$C4826*IFERROR(INDEX(Setup!$C$47:$C$56,MATCH($B4826,Setup!$A$47:$A$56,0)),IFERROR(INDEX(Setup!$C$60:$C$89,MATCH($B4826,Setup!$A$60:$A$89,0)),"")))</f>
        <v/>
      </c>
      <c r="E4826" s="42"/>
      <c r="F4826" s="42"/>
    </row>
    <row r="4827" customFormat="false" ht="15" hidden="false" customHeight="true" outlineLevel="0" collapsed="false">
      <c r="A4827" s="42"/>
      <c r="B4827" s="42"/>
      <c r="C4827" s="42"/>
      <c r="D4827" s="28" t="str">
        <f aca="false">IF(OR($B4827="",$C4827=""),"",$C4827*IFERROR(INDEX(Setup!$C$47:$C$56,MATCH($B4827,Setup!$A$47:$A$56,0)),IFERROR(INDEX(Setup!$C$60:$C$89,MATCH($B4827,Setup!$A$60:$A$89,0)),"")))</f>
        <v/>
      </c>
      <c r="E4827" s="42"/>
      <c r="F4827" s="42"/>
    </row>
    <row r="4828" customFormat="false" ht="15" hidden="false" customHeight="true" outlineLevel="0" collapsed="false">
      <c r="A4828" s="42"/>
      <c r="B4828" s="42"/>
      <c r="C4828" s="42"/>
      <c r="D4828" s="28" t="str">
        <f aca="false">IF(OR($B4828="",$C4828=""),"",$C4828*IFERROR(INDEX(Setup!$C$47:$C$56,MATCH($B4828,Setup!$A$47:$A$56,0)),IFERROR(INDEX(Setup!$C$60:$C$89,MATCH($B4828,Setup!$A$60:$A$89,0)),"")))</f>
        <v/>
      </c>
      <c r="E4828" s="42"/>
      <c r="F4828" s="42"/>
    </row>
    <row r="4829" customFormat="false" ht="15" hidden="false" customHeight="true" outlineLevel="0" collapsed="false">
      <c r="A4829" s="42"/>
      <c r="B4829" s="42"/>
      <c r="C4829" s="42"/>
      <c r="D4829" s="28" t="str">
        <f aca="false">IF(OR($B4829="",$C4829=""),"",$C4829*IFERROR(INDEX(Setup!$C$47:$C$56,MATCH($B4829,Setup!$A$47:$A$56,0)),IFERROR(INDEX(Setup!$C$60:$C$89,MATCH($B4829,Setup!$A$60:$A$89,0)),"")))</f>
        <v/>
      </c>
      <c r="E4829" s="42"/>
      <c r="F4829" s="42"/>
    </row>
    <row r="4830" customFormat="false" ht="15" hidden="false" customHeight="true" outlineLevel="0" collapsed="false">
      <c r="A4830" s="42"/>
      <c r="B4830" s="42"/>
      <c r="C4830" s="42"/>
      <c r="D4830" s="28" t="str">
        <f aca="false">IF(OR($B4830="",$C4830=""),"",$C4830*IFERROR(INDEX(Setup!$C$47:$C$56,MATCH($B4830,Setup!$A$47:$A$56,0)),IFERROR(INDEX(Setup!$C$60:$C$89,MATCH($B4830,Setup!$A$60:$A$89,0)),"")))</f>
        <v/>
      </c>
      <c r="E4830" s="42"/>
      <c r="F4830" s="42"/>
    </row>
    <row r="4831" customFormat="false" ht="15" hidden="false" customHeight="true" outlineLevel="0" collapsed="false">
      <c r="A4831" s="42"/>
      <c r="B4831" s="42"/>
      <c r="C4831" s="42"/>
      <c r="D4831" s="28" t="str">
        <f aca="false">IF(OR($B4831="",$C4831=""),"",$C4831*IFERROR(INDEX(Setup!$C$47:$C$56,MATCH($B4831,Setup!$A$47:$A$56,0)),IFERROR(INDEX(Setup!$C$60:$C$89,MATCH($B4831,Setup!$A$60:$A$89,0)),"")))</f>
        <v/>
      </c>
      <c r="E4831" s="42"/>
      <c r="F4831" s="42"/>
    </row>
    <row r="4832" customFormat="false" ht="15" hidden="false" customHeight="true" outlineLevel="0" collapsed="false">
      <c r="A4832" s="42"/>
      <c r="B4832" s="42"/>
      <c r="C4832" s="42"/>
      <c r="D4832" s="28" t="str">
        <f aca="false">IF(OR($B4832="",$C4832=""),"",$C4832*IFERROR(INDEX(Setup!$C$47:$C$56,MATCH($B4832,Setup!$A$47:$A$56,0)),IFERROR(INDEX(Setup!$C$60:$C$89,MATCH($B4832,Setup!$A$60:$A$89,0)),"")))</f>
        <v/>
      </c>
      <c r="E4832" s="42"/>
      <c r="F4832" s="42"/>
    </row>
    <row r="4833" customFormat="false" ht="15" hidden="false" customHeight="true" outlineLevel="0" collapsed="false">
      <c r="A4833" s="42"/>
      <c r="B4833" s="42"/>
      <c r="C4833" s="42"/>
      <c r="D4833" s="28" t="str">
        <f aca="false">IF(OR($B4833="",$C4833=""),"",$C4833*IFERROR(INDEX(Setup!$C$47:$C$56,MATCH($B4833,Setup!$A$47:$A$56,0)),IFERROR(INDEX(Setup!$C$60:$C$89,MATCH($B4833,Setup!$A$60:$A$89,0)),"")))</f>
        <v/>
      </c>
      <c r="E4833" s="42"/>
      <c r="F4833" s="42"/>
    </row>
    <row r="4834" customFormat="false" ht="15" hidden="false" customHeight="true" outlineLevel="0" collapsed="false">
      <c r="A4834" s="42"/>
      <c r="B4834" s="42"/>
      <c r="C4834" s="42"/>
      <c r="D4834" s="28" t="str">
        <f aca="false">IF(OR($B4834="",$C4834=""),"",$C4834*IFERROR(INDEX(Setup!$C$47:$C$56,MATCH($B4834,Setup!$A$47:$A$56,0)),IFERROR(INDEX(Setup!$C$60:$C$89,MATCH($B4834,Setup!$A$60:$A$89,0)),"")))</f>
        <v/>
      </c>
      <c r="E4834" s="42"/>
      <c r="F4834" s="42"/>
    </row>
    <row r="4835" customFormat="false" ht="15" hidden="false" customHeight="true" outlineLevel="0" collapsed="false">
      <c r="A4835" s="42"/>
      <c r="B4835" s="42"/>
      <c r="C4835" s="42"/>
      <c r="D4835" s="28" t="str">
        <f aca="false">IF(OR($B4835="",$C4835=""),"",$C4835*IFERROR(INDEX(Setup!$C$47:$C$56,MATCH($B4835,Setup!$A$47:$A$56,0)),IFERROR(INDEX(Setup!$C$60:$C$89,MATCH($B4835,Setup!$A$60:$A$89,0)),"")))</f>
        <v/>
      </c>
      <c r="E4835" s="42"/>
      <c r="F4835" s="42"/>
    </row>
    <row r="4836" customFormat="false" ht="15" hidden="false" customHeight="true" outlineLevel="0" collapsed="false">
      <c r="A4836" s="42"/>
      <c r="B4836" s="42"/>
      <c r="C4836" s="42"/>
      <c r="D4836" s="28" t="str">
        <f aca="false">IF(OR($B4836="",$C4836=""),"",$C4836*IFERROR(INDEX(Setup!$C$47:$C$56,MATCH($B4836,Setup!$A$47:$A$56,0)),IFERROR(INDEX(Setup!$C$60:$C$89,MATCH($B4836,Setup!$A$60:$A$89,0)),"")))</f>
        <v/>
      </c>
      <c r="E4836" s="42"/>
      <c r="F4836" s="42"/>
    </row>
    <row r="4837" customFormat="false" ht="15" hidden="false" customHeight="true" outlineLevel="0" collapsed="false">
      <c r="A4837" s="42"/>
      <c r="B4837" s="42"/>
      <c r="C4837" s="42"/>
      <c r="D4837" s="28" t="str">
        <f aca="false">IF(OR($B4837="",$C4837=""),"",$C4837*IFERROR(INDEX(Setup!$C$47:$C$56,MATCH($B4837,Setup!$A$47:$A$56,0)),IFERROR(INDEX(Setup!$C$60:$C$89,MATCH($B4837,Setup!$A$60:$A$89,0)),"")))</f>
        <v/>
      </c>
      <c r="E4837" s="42"/>
      <c r="F4837" s="42"/>
    </row>
    <row r="4838" customFormat="false" ht="15" hidden="false" customHeight="true" outlineLevel="0" collapsed="false">
      <c r="A4838" s="42"/>
      <c r="B4838" s="42"/>
      <c r="C4838" s="42"/>
      <c r="D4838" s="28" t="str">
        <f aca="false">IF(OR($B4838="",$C4838=""),"",$C4838*IFERROR(INDEX(Setup!$C$47:$C$56,MATCH($B4838,Setup!$A$47:$A$56,0)),IFERROR(INDEX(Setup!$C$60:$C$89,MATCH($B4838,Setup!$A$60:$A$89,0)),"")))</f>
        <v/>
      </c>
      <c r="E4838" s="42"/>
      <c r="F4838" s="42"/>
    </row>
    <row r="4839" customFormat="false" ht="15" hidden="false" customHeight="true" outlineLevel="0" collapsed="false">
      <c r="A4839" s="42"/>
      <c r="B4839" s="42"/>
      <c r="C4839" s="42"/>
      <c r="D4839" s="28" t="str">
        <f aca="false">IF(OR($B4839="",$C4839=""),"",$C4839*IFERROR(INDEX(Setup!$C$47:$C$56,MATCH($B4839,Setup!$A$47:$A$56,0)),IFERROR(INDEX(Setup!$C$60:$C$89,MATCH($B4839,Setup!$A$60:$A$89,0)),"")))</f>
        <v/>
      </c>
      <c r="E4839" s="42"/>
      <c r="F4839" s="42"/>
    </row>
    <row r="4840" customFormat="false" ht="15" hidden="false" customHeight="true" outlineLevel="0" collapsed="false">
      <c r="A4840" s="42"/>
      <c r="B4840" s="42"/>
      <c r="C4840" s="42"/>
      <c r="D4840" s="28" t="str">
        <f aca="false">IF(OR($B4840="",$C4840=""),"",$C4840*IFERROR(INDEX(Setup!$C$47:$C$56,MATCH($B4840,Setup!$A$47:$A$56,0)),IFERROR(INDEX(Setup!$C$60:$C$89,MATCH($B4840,Setup!$A$60:$A$89,0)),"")))</f>
        <v/>
      </c>
      <c r="E4840" s="42"/>
      <c r="F4840" s="42"/>
    </row>
    <row r="4841" customFormat="false" ht="15" hidden="false" customHeight="true" outlineLevel="0" collapsed="false">
      <c r="A4841" s="42"/>
      <c r="B4841" s="42"/>
      <c r="C4841" s="42"/>
      <c r="D4841" s="28" t="str">
        <f aca="false">IF(OR($B4841="",$C4841=""),"",$C4841*IFERROR(INDEX(Setup!$C$47:$C$56,MATCH($B4841,Setup!$A$47:$A$56,0)),IFERROR(INDEX(Setup!$C$60:$C$89,MATCH($B4841,Setup!$A$60:$A$89,0)),"")))</f>
        <v/>
      </c>
      <c r="E4841" s="42"/>
      <c r="F4841" s="42"/>
    </row>
    <row r="4842" customFormat="false" ht="15" hidden="false" customHeight="true" outlineLevel="0" collapsed="false">
      <c r="A4842" s="42"/>
      <c r="B4842" s="42"/>
      <c r="C4842" s="42"/>
      <c r="D4842" s="28" t="str">
        <f aca="false">IF(OR($B4842="",$C4842=""),"",$C4842*IFERROR(INDEX(Setup!$C$47:$C$56,MATCH($B4842,Setup!$A$47:$A$56,0)),IFERROR(INDEX(Setup!$C$60:$C$89,MATCH($B4842,Setup!$A$60:$A$89,0)),"")))</f>
        <v/>
      </c>
      <c r="E4842" s="42"/>
      <c r="F4842" s="42"/>
    </row>
    <row r="4843" customFormat="false" ht="15" hidden="false" customHeight="true" outlineLevel="0" collapsed="false">
      <c r="A4843" s="42"/>
      <c r="B4843" s="42"/>
      <c r="C4843" s="42"/>
      <c r="D4843" s="28" t="str">
        <f aca="false">IF(OR($B4843="",$C4843=""),"",$C4843*IFERROR(INDEX(Setup!$C$47:$C$56,MATCH($B4843,Setup!$A$47:$A$56,0)),IFERROR(INDEX(Setup!$C$60:$C$89,MATCH($B4843,Setup!$A$60:$A$89,0)),"")))</f>
        <v/>
      </c>
      <c r="E4843" s="42"/>
      <c r="F4843" s="42"/>
    </row>
    <row r="4844" customFormat="false" ht="15" hidden="false" customHeight="true" outlineLevel="0" collapsed="false">
      <c r="A4844" s="42"/>
      <c r="B4844" s="42"/>
      <c r="C4844" s="42"/>
      <c r="D4844" s="28" t="str">
        <f aca="false">IF(OR($B4844="",$C4844=""),"",$C4844*IFERROR(INDEX(Setup!$C$47:$C$56,MATCH($B4844,Setup!$A$47:$A$56,0)),IFERROR(INDEX(Setup!$C$60:$C$89,MATCH($B4844,Setup!$A$60:$A$89,0)),"")))</f>
        <v/>
      </c>
      <c r="E4844" s="42"/>
      <c r="F4844" s="42"/>
    </row>
    <row r="4845" customFormat="false" ht="15" hidden="false" customHeight="true" outlineLevel="0" collapsed="false">
      <c r="A4845" s="42"/>
      <c r="B4845" s="42"/>
      <c r="C4845" s="42"/>
      <c r="D4845" s="28" t="str">
        <f aca="false">IF(OR($B4845="",$C4845=""),"",$C4845*IFERROR(INDEX(Setup!$C$47:$C$56,MATCH($B4845,Setup!$A$47:$A$56,0)),IFERROR(INDEX(Setup!$C$60:$C$89,MATCH($B4845,Setup!$A$60:$A$89,0)),"")))</f>
        <v/>
      </c>
      <c r="E4845" s="42"/>
      <c r="F4845" s="42"/>
    </row>
    <row r="4846" customFormat="false" ht="15" hidden="false" customHeight="true" outlineLevel="0" collapsed="false">
      <c r="A4846" s="42"/>
      <c r="B4846" s="42"/>
      <c r="C4846" s="42"/>
      <c r="D4846" s="28" t="str">
        <f aca="false">IF(OR($B4846="",$C4846=""),"",$C4846*IFERROR(INDEX(Setup!$C$47:$C$56,MATCH($B4846,Setup!$A$47:$A$56,0)),IFERROR(INDEX(Setup!$C$60:$C$89,MATCH($B4846,Setup!$A$60:$A$89,0)),"")))</f>
        <v/>
      </c>
      <c r="E4846" s="42"/>
      <c r="F4846" s="42"/>
    </row>
    <row r="4847" customFormat="false" ht="15" hidden="false" customHeight="true" outlineLevel="0" collapsed="false">
      <c r="A4847" s="42"/>
      <c r="B4847" s="42"/>
      <c r="C4847" s="42"/>
      <c r="D4847" s="28" t="str">
        <f aca="false">IF(OR($B4847="",$C4847=""),"",$C4847*IFERROR(INDEX(Setup!$C$47:$C$56,MATCH($B4847,Setup!$A$47:$A$56,0)),IFERROR(INDEX(Setup!$C$60:$C$89,MATCH($B4847,Setup!$A$60:$A$89,0)),"")))</f>
        <v/>
      </c>
      <c r="E4847" s="42"/>
      <c r="F4847" s="42"/>
    </row>
    <row r="4848" customFormat="false" ht="15" hidden="false" customHeight="true" outlineLevel="0" collapsed="false">
      <c r="A4848" s="42"/>
      <c r="B4848" s="42"/>
      <c r="C4848" s="42"/>
      <c r="D4848" s="28" t="str">
        <f aca="false">IF(OR($B4848="",$C4848=""),"",$C4848*IFERROR(INDEX(Setup!$C$47:$C$56,MATCH($B4848,Setup!$A$47:$A$56,0)),IFERROR(INDEX(Setup!$C$60:$C$89,MATCH($B4848,Setup!$A$60:$A$89,0)),"")))</f>
        <v/>
      </c>
      <c r="E4848" s="42"/>
      <c r="F4848" s="42"/>
    </row>
    <row r="4849" customFormat="false" ht="15" hidden="false" customHeight="true" outlineLevel="0" collapsed="false">
      <c r="A4849" s="42"/>
      <c r="B4849" s="42"/>
      <c r="C4849" s="42"/>
      <c r="D4849" s="28" t="str">
        <f aca="false">IF(OR($B4849="",$C4849=""),"",$C4849*IFERROR(INDEX(Setup!$C$47:$C$56,MATCH($B4849,Setup!$A$47:$A$56,0)),IFERROR(INDEX(Setup!$C$60:$C$89,MATCH($B4849,Setup!$A$60:$A$89,0)),"")))</f>
        <v/>
      </c>
      <c r="E4849" s="42"/>
      <c r="F4849" s="42"/>
    </row>
    <row r="4850" customFormat="false" ht="15" hidden="false" customHeight="true" outlineLevel="0" collapsed="false">
      <c r="A4850" s="42"/>
      <c r="B4850" s="42"/>
      <c r="C4850" s="42"/>
      <c r="D4850" s="28" t="str">
        <f aca="false">IF(OR($B4850="",$C4850=""),"",$C4850*IFERROR(INDEX(Setup!$C$47:$C$56,MATCH($B4850,Setup!$A$47:$A$56,0)),IFERROR(INDEX(Setup!$C$60:$C$89,MATCH($B4850,Setup!$A$60:$A$89,0)),"")))</f>
        <v/>
      </c>
      <c r="E4850" s="42"/>
      <c r="F4850" s="42"/>
    </row>
    <row r="4851" customFormat="false" ht="15" hidden="false" customHeight="true" outlineLevel="0" collapsed="false">
      <c r="A4851" s="42"/>
      <c r="B4851" s="42"/>
      <c r="C4851" s="42"/>
      <c r="D4851" s="28" t="str">
        <f aca="false">IF(OR($B4851="",$C4851=""),"",$C4851*IFERROR(INDEX(Setup!$C$47:$C$56,MATCH($B4851,Setup!$A$47:$A$56,0)),IFERROR(INDEX(Setup!$C$60:$C$89,MATCH($B4851,Setup!$A$60:$A$89,0)),"")))</f>
        <v/>
      </c>
      <c r="E4851" s="42"/>
      <c r="F4851" s="42"/>
    </row>
    <row r="4852" customFormat="false" ht="15" hidden="false" customHeight="true" outlineLevel="0" collapsed="false">
      <c r="A4852" s="42"/>
      <c r="B4852" s="42"/>
      <c r="C4852" s="42"/>
      <c r="D4852" s="28" t="str">
        <f aca="false">IF(OR($B4852="",$C4852=""),"",$C4852*IFERROR(INDEX(Setup!$C$47:$C$56,MATCH($B4852,Setup!$A$47:$A$56,0)),IFERROR(INDEX(Setup!$C$60:$C$89,MATCH($B4852,Setup!$A$60:$A$89,0)),"")))</f>
        <v/>
      </c>
      <c r="E4852" s="42"/>
      <c r="F4852" s="42"/>
    </row>
    <row r="4853" customFormat="false" ht="15" hidden="false" customHeight="true" outlineLevel="0" collapsed="false">
      <c r="A4853" s="42"/>
      <c r="B4853" s="42"/>
      <c r="C4853" s="42"/>
      <c r="D4853" s="28" t="str">
        <f aca="false">IF(OR($B4853="",$C4853=""),"",$C4853*IFERROR(INDEX(Setup!$C$47:$C$56,MATCH($B4853,Setup!$A$47:$A$56,0)),IFERROR(INDEX(Setup!$C$60:$C$89,MATCH($B4853,Setup!$A$60:$A$89,0)),"")))</f>
        <v/>
      </c>
      <c r="E4853" s="42"/>
      <c r="F4853" s="42"/>
    </row>
    <row r="4854" customFormat="false" ht="15" hidden="false" customHeight="true" outlineLevel="0" collapsed="false">
      <c r="A4854" s="42"/>
      <c r="B4854" s="42"/>
      <c r="C4854" s="42"/>
      <c r="D4854" s="28" t="str">
        <f aca="false">IF(OR($B4854="",$C4854=""),"",$C4854*IFERROR(INDEX(Setup!$C$47:$C$56,MATCH($B4854,Setup!$A$47:$A$56,0)),IFERROR(INDEX(Setup!$C$60:$C$89,MATCH($B4854,Setup!$A$60:$A$89,0)),"")))</f>
        <v/>
      </c>
      <c r="E4854" s="42"/>
      <c r="F4854" s="42"/>
    </row>
    <row r="4855" customFormat="false" ht="15" hidden="false" customHeight="true" outlineLevel="0" collapsed="false">
      <c r="A4855" s="42"/>
      <c r="B4855" s="42"/>
      <c r="C4855" s="42"/>
      <c r="D4855" s="28" t="str">
        <f aca="false">IF(OR($B4855="",$C4855=""),"",$C4855*IFERROR(INDEX(Setup!$C$47:$C$56,MATCH($B4855,Setup!$A$47:$A$56,0)),IFERROR(INDEX(Setup!$C$60:$C$89,MATCH($B4855,Setup!$A$60:$A$89,0)),"")))</f>
        <v/>
      </c>
      <c r="E4855" s="42"/>
      <c r="F4855" s="42"/>
    </row>
    <row r="4856" customFormat="false" ht="15" hidden="false" customHeight="true" outlineLevel="0" collapsed="false">
      <c r="A4856" s="42"/>
      <c r="B4856" s="42"/>
      <c r="C4856" s="42"/>
      <c r="D4856" s="28" t="str">
        <f aca="false">IF(OR($B4856="",$C4856=""),"",$C4856*IFERROR(INDEX(Setup!$C$47:$C$56,MATCH($B4856,Setup!$A$47:$A$56,0)),IFERROR(INDEX(Setup!$C$60:$C$89,MATCH($B4856,Setup!$A$60:$A$89,0)),"")))</f>
        <v/>
      </c>
      <c r="E4856" s="42"/>
      <c r="F4856" s="42"/>
    </row>
    <row r="4857" customFormat="false" ht="15" hidden="false" customHeight="true" outlineLevel="0" collapsed="false">
      <c r="A4857" s="42"/>
      <c r="B4857" s="42"/>
      <c r="C4857" s="42"/>
      <c r="D4857" s="28" t="str">
        <f aca="false">IF(OR($B4857="",$C4857=""),"",$C4857*IFERROR(INDEX(Setup!$C$47:$C$56,MATCH($B4857,Setup!$A$47:$A$56,0)),IFERROR(INDEX(Setup!$C$60:$C$89,MATCH($B4857,Setup!$A$60:$A$89,0)),"")))</f>
        <v/>
      </c>
      <c r="E4857" s="42"/>
      <c r="F4857" s="42"/>
    </row>
    <row r="4858" customFormat="false" ht="15" hidden="false" customHeight="true" outlineLevel="0" collapsed="false">
      <c r="A4858" s="42"/>
      <c r="B4858" s="42"/>
      <c r="C4858" s="42"/>
      <c r="D4858" s="28" t="str">
        <f aca="false">IF(OR($B4858="",$C4858=""),"",$C4858*IFERROR(INDEX(Setup!$C$47:$C$56,MATCH($B4858,Setup!$A$47:$A$56,0)),IFERROR(INDEX(Setup!$C$60:$C$89,MATCH($B4858,Setup!$A$60:$A$89,0)),"")))</f>
        <v/>
      </c>
      <c r="E4858" s="42"/>
      <c r="F4858" s="42"/>
    </row>
    <row r="4859" customFormat="false" ht="15" hidden="false" customHeight="true" outlineLevel="0" collapsed="false">
      <c r="A4859" s="42"/>
      <c r="B4859" s="42"/>
      <c r="C4859" s="42"/>
      <c r="D4859" s="28" t="str">
        <f aca="false">IF(OR($B4859="",$C4859=""),"",$C4859*IFERROR(INDEX(Setup!$C$47:$C$56,MATCH($B4859,Setup!$A$47:$A$56,0)),IFERROR(INDEX(Setup!$C$60:$C$89,MATCH($B4859,Setup!$A$60:$A$89,0)),"")))</f>
        <v/>
      </c>
      <c r="E4859" s="42"/>
      <c r="F4859" s="42"/>
    </row>
    <row r="4860" customFormat="false" ht="15" hidden="false" customHeight="true" outlineLevel="0" collapsed="false">
      <c r="A4860" s="42"/>
      <c r="B4860" s="42"/>
      <c r="C4860" s="42"/>
      <c r="D4860" s="28" t="str">
        <f aca="false">IF(OR($B4860="",$C4860=""),"",$C4860*IFERROR(INDEX(Setup!$C$47:$C$56,MATCH($B4860,Setup!$A$47:$A$56,0)),IFERROR(INDEX(Setup!$C$60:$C$89,MATCH($B4860,Setup!$A$60:$A$89,0)),"")))</f>
        <v/>
      </c>
      <c r="E4860" s="42"/>
      <c r="F4860" s="42"/>
    </row>
    <row r="4861" customFormat="false" ht="15" hidden="false" customHeight="true" outlineLevel="0" collapsed="false">
      <c r="A4861" s="42"/>
      <c r="B4861" s="42"/>
      <c r="C4861" s="42"/>
      <c r="D4861" s="28" t="str">
        <f aca="false">IF(OR($B4861="",$C4861=""),"",$C4861*IFERROR(INDEX(Setup!$C$47:$C$56,MATCH($B4861,Setup!$A$47:$A$56,0)),IFERROR(INDEX(Setup!$C$60:$C$89,MATCH($B4861,Setup!$A$60:$A$89,0)),"")))</f>
        <v/>
      </c>
      <c r="E4861" s="42"/>
      <c r="F4861" s="42"/>
    </row>
    <row r="4862" customFormat="false" ht="15" hidden="false" customHeight="true" outlineLevel="0" collapsed="false">
      <c r="A4862" s="42"/>
      <c r="B4862" s="42"/>
      <c r="C4862" s="42"/>
      <c r="D4862" s="28" t="str">
        <f aca="false">IF(OR($B4862="",$C4862=""),"",$C4862*IFERROR(INDEX(Setup!$C$47:$C$56,MATCH($B4862,Setup!$A$47:$A$56,0)),IFERROR(INDEX(Setup!$C$60:$C$89,MATCH($B4862,Setup!$A$60:$A$89,0)),"")))</f>
        <v/>
      </c>
      <c r="E4862" s="42"/>
      <c r="F4862" s="42"/>
    </row>
    <row r="4863" customFormat="false" ht="15" hidden="false" customHeight="true" outlineLevel="0" collapsed="false">
      <c r="A4863" s="42"/>
      <c r="B4863" s="42"/>
      <c r="C4863" s="42"/>
      <c r="D4863" s="28" t="str">
        <f aca="false">IF(OR($B4863="",$C4863=""),"",$C4863*IFERROR(INDEX(Setup!$C$47:$C$56,MATCH($B4863,Setup!$A$47:$A$56,0)),IFERROR(INDEX(Setup!$C$60:$C$89,MATCH($B4863,Setup!$A$60:$A$89,0)),"")))</f>
        <v/>
      </c>
      <c r="E4863" s="42"/>
      <c r="F4863" s="42"/>
    </row>
    <row r="4864" customFormat="false" ht="15" hidden="false" customHeight="true" outlineLevel="0" collapsed="false">
      <c r="A4864" s="42"/>
      <c r="B4864" s="42"/>
      <c r="C4864" s="42"/>
      <c r="D4864" s="28" t="str">
        <f aca="false">IF(OR($B4864="",$C4864=""),"",$C4864*IFERROR(INDEX(Setup!$C$47:$C$56,MATCH($B4864,Setup!$A$47:$A$56,0)),IFERROR(INDEX(Setup!$C$60:$C$89,MATCH($B4864,Setup!$A$60:$A$89,0)),"")))</f>
        <v/>
      </c>
      <c r="E4864" s="42"/>
      <c r="F4864" s="42"/>
    </row>
    <row r="4865" customFormat="false" ht="15" hidden="false" customHeight="true" outlineLevel="0" collapsed="false">
      <c r="A4865" s="42"/>
      <c r="B4865" s="42"/>
      <c r="C4865" s="42"/>
      <c r="D4865" s="28" t="str">
        <f aca="false">IF(OR($B4865="",$C4865=""),"",$C4865*IFERROR(INDEX(Setup!$C$47:$C$56,MATCH($B4865,Setup!$A$47:$A$56,0)),IFERROR(INDEX(Setup!$C$60:$C$89,MATCH($B4865,Setup!$A$60:$A$89,0)),"")))</f>
        <v/>
      </c>
      <c r="E4865" s="42"/>
      <c r="F4865" s="42"/>
    </row>
    <row r="4866" customFormat="false" ht="15" hidden="false" customHeight="true" outlineLevel="0" collapsed="false">
      <c r="A4866" s="42"/>
      <c r="B4866" s="42"/>
      <c r="C4866" s="42"/>
      <c r="D4866" s="28" t="str">
        <f aca="false">IF(OR($B4866="",$C4866=""),"",$C4866*IFERROR(INDEX(Setup!$C$47:$C$56,MATCH($B4866,Setup!$A$47:$A$56,0)),IFERROR(INDEX(Setup!$C$60:$C$89,MATCH($B4866,Setup!$A$60:$A$89,0)),"")))</f>
        <v/>
      </c>
      <c r="E4866" s="42"/>
      <c r="F4866" s="42"/>
    </row>
    <row r="4867" customFormat="false" ht="15" hidden="false" customHeight="true" outlineLevel="0" collapsed="false">
      <c r="A4867" s="42"/>
      <c r="B4867" s="42"/>
      <c r="C4867" s="42"/>
      <c r="D4867" s="28" t="str">
        <f aca="false">IF(OR($B4867="",$C4867=""),"",$C4867*IFERROR(INDEX(Setup!$C$47:$C$56,MATCH($B4867,Setup!$A$47:$A$56,0)),IFERROR(INDEX(Setup!$C$60:$C$89,MATCH($B4867,Setup!$A$60:$A$89,0)),"")))</f>
        <v/>
      </c>
      <c r="E4867" s="42"/>
      <c r="F4867" s="42"/>
    </row>
    <row r="4868" customFormat="false" ht="15" hidden="false" customHeight="true" outlineLevel="0" collapsed="false">
      <c r="A4868" s="42"/>
      <c r="B4868" s="42"/>
      <c r="C4868" s="42"/>
      <c r="D4868" s="28" t="str">
        <f aca="false">IF(OR($B4868="",$C4868=""),"",$C4868*IFERROR(INDEX(Setup!$C$47:$C$56,MATCH($B4868,Setup!$A$47:$A$56,0)),IFERROR(INDEX(Setup!$C$60:$C$89,MATCH($B4868,Setup!$A$60:$A$89,0)),"")))</f>
        <v/>
      </c>
      <c r="E4868" s="42"/>
      <c r="F4868" s="42"/>
    </row>
    <row r="4869" customFormat="false" ht="15" hidden="false" customHeight="true" outlineLevel="0" collapsed="false">
      <c r="A4869" s="42"/>
      <c r="B4869" s="42"/>
      <c r="C4869" s="42"/>
      <c r="D4869" s="28" t="str">
        <f aca="false">IF(OR($B4869="",$C4869=""),"",$C4869*IFERROR(INDEX(Setup!$C$47:$C$56,MATCH($B4869,Setup!$A$47:$A$56,0)),IFERROR(INDEX(Setup!$C$60:$C$89,MATCH($B4869,Setup!$A$60:$A$89,0)),"")))</f>
        <v/>
      </c>
      <c r="E4869" s="42"/>
      <c r="F4869" s="42"/>
    </row>
    <row r="4870" customFormat="false" ht="15" hidden="false" customHeight="true" outlineLevel="0" collapsed="false">
      <c r="A4870" s="42"/>
      <c r="B4870" s="42"/>
      <c r="C4870" s="42"/>
      <c r="D4870" s="28" t="str">
        <f aca="false">IF(OR($B4870="",$C4870=""),"",$C4870*IFERROR(INDEX(Setup!$C$47:$C$56,MATCH($B4870,Setup!$A$47:$A$56,0)),IFERROR(INDEX(Setup!$C$60:$C$89,MATCH($B4870,Setup!$A$60:$A$89,0)),"")))</f>
        <v/>
      </c>
      <c r="E4870" s="42"/>
      <c r="F4870" s="42"/>
    </row>
    <row r="4871" customFormat="false" ht="15" hidden="false" customHeight="true" outlineLevel="0" collapsed="false">
      <c r="A4871" s="42"/>
      <c r="B4871" s="42"/>
      <c r="C4871" s="42"/>
      <c r="D4871" s="28" t="str">
        <f aca="false">IF(OR($B4871="",$C4871=""),"",$C4871*IFERROR(INDEX(Setup!$C$47:$C$56,MATCH($B4871,Setup!$A$47:$A$56,0)),IFERROR(INDEX(Setup!$C$60:$C$89,MATCH($B4871,Setup!$A$60:$A$89,0)),"")))</f>
        <v/>
      </c>
      <c r="E4871" s="42"/>
      <c r="F4871" s="42"/>
    </row>
    <row r="4872" customFormat="false" ht="15" hidden="false" customHeight="true" outlineLevel="0" collapsed="false">
      <c r="A4872" s="42"/>
      <c r="B4872" s="42"/>
      <c r="C4872" s="42"/>
      <c r="D4872" s="28" t="str">
        <f aca="false">IF(OR($B4872="",$C4872=""),"",$C4872*IFERROR(INDEX(Setup!$C$47:$C$56,MATCH($B4872,Setup!$A$47:$A$56,0)),IFERROR(INDEX(Setup!$C$60:$C$89,MATCH($B4872,Setup!$A$60:$A$89,0)),"")))</f>
        <v/>
      </c>
      <c r="E4872" s="42"/>
      <c r="F4872" s="42"/>
    </row>
    <row r="4873" customFormat="false" ht="15" hidden="false" customHeight="true" outlineLevel="0" collapsed="false">
      <c r="A4873" s="42"/>
      <c r="B4873" s="42"/>
      <c r="C4873" s="42"/>
      <c r="D4873" s="28" t="str">
        <f aca="false">IF(OR($B4873="",$C4873=""),"",$C4873*IFERROR(INDEX(Setup!$C$47:$C$56,MATCH($B4873,Setup!$A$47:$A$56,0)),IFERROR(INDEX(Setup!$C$60:$C$89,MATCH($B4873,Setup!$A$60:$A$89,0)),"")))</f>
        <v/>
      </c>
      <c r="E4873" s="42"/>
      <c r="F4873" s="42"/>
    </row>
    <row r="4874" customFormat="false" ht="15" hidden="false" customHeight="true" outlineLevel="0" collapsed="false">
      <c r="A4874" s="42"/>
      <c r="B4874" s="42"/>
      <c r="C4874" s="42"/>
      <c r="D4874" s="28" t="str">
        <f aca="false">IF(OR($B4874="",$C4874=""),"",$C4874*IFERROR(INDEX(Setup!$C$47:$C$56,MATCH($B4874,Setup!$A$47:$A$56,0)),IFERROR(INDEX(Setup!$C$60:$C$89,MATCH($B4874,Setup!$A$60:$A$89,0)),"")))</f>
        <v/>
      </c>
      <c r="E4874" s="42"/>
      <c r="F4874" s="42"/>
    </row>
    <row r="4875" customFormat="false" ht="15" hidden="false" customHeight="true" outlineLevel="0" collapsed="false">
      <c r="A4875" s="42"/>
      <c r="B4875" s="42"/>
      <c r="C4875" s="42"/>
      <c r="D4875" s="28" t="str">
        <f aca="false">IF(OR($B4875="",$C4875=""),"",$C4875*IFERROR(INDEX(Setup!$C$47:$C$56,MATCH($B4875,Setup!$A$47:$A$56,0)),IFERROR(INDEX(Setup!$C$60:$C$89,MATCH($B4875,Setup!$A$60:$A$89,0)),"")))</f>
        <v/>
      </c>
      <c r="E4875" s="42"/>
      <c r="F4875" s="42"/>
    </row>
    <row r="4876" customFormat="false" ht="15" hidden="false" customHeight="true" outlineLevel="0" collapsed="false">
      <c r="A4876" s="42"/>
      <c r="B4876" s="42"/>
      <c r="C4876" s="42"/>
      <c r="D4876" s="28" t="str">
        <f aca="false">IF(OR($B4876="",$C4876=""),"",$C4876*IFERROR(INDEX(Setup!$C$47:$C$56,MATCH($B4876,Setup!$A$47:$A$56,0)),IFERROR(INDEX(Setup!$C$60:$C$89,MATCH($B4876,Setup!$A$60:$A$89,0)),"")))</f>
        <v/>
      </c>
      <c r="E4876" s="42"/>
      <c r="F4876" s="42"/>
    </row>
    <row r="4877" customFormat="false" ht="15" hidden="false" customHeight="true" outlineLevel="0" collapsed="false">
      <c r="A4877" s="42"/>
      <c r="B4877" s="42"/>
      <c r="C4877" s="42"/>
      <c r="D4877" s="28" t="str">
        <f aca="false">IF(OR($B4877="",$C4877=""),"",$C4877*IFERROR(INDEX(Setup!$C$47:$C$56,MATCH($B4877,Setup!$A$47:$A$56,0)),IFERROR(INDEX(Setup!$C$60:$C$89,MATCH($B4877,Setup!$A$60:$A$89,0)),"")))</f>
        <v/>
      </c>
      <c r="E4877" s="42"/>
      <c r="F4877" s="42"/>
    </row>
    <row r="4878" customFormat="false" ht="15" hidden="false" customHeight="true" outlineLevel="0" collapsed="false">
      <c r="A4878" s="42"/>
      <c r="B4878" s="42"/>
      <c r="C4878" s="42"/>
      <c r="D4878" s="28" t="str">
        <f aca="false">IF(OR($B4878="",$C4878=""),"",$C4878*IFERROR(INDEX(Setup!$C$47:$C$56,MATCH($B4878,Setup!$A$47:$A$56,0)),IFERROR(INDEX(Setup!$C$60:$C$89,MATCH($B4878,Setup!$A$60:$A$89,0)),"")))</f>
        <v/>
      </c>
      <c r="E4878" s="42"/>
      <c r="F4878" s="42"/>
    </row>
    <row r="4879" customFormat="false" ht="15" hidden="false" customHeight="true" outlineLevel="0" collapsed="false">
      <c r="A4879" s="42"/>
      <c r="B4879" s="42"/>
      <c r="C4879" s="42"/>
      <c r="D4879" s="28" t="str">
        <f aca="false">IF(OR($B4879="",$C4879=""),"",$C4879*IFERROR(INDEX(Setup!$C$47:$C$56,MATCH($B4879,Setup!$A$47:$A$56,0)),IFERROR(INDEX(Setup!$C$60:$C$89,MATCH($B4879,Setup!$A$60:$A$89,0)),"")))</f>
        <v/>
      </c>
      <c r="E4879" s="42"/>
      <c r="F4879" s="42"/>
    </row>
    <row r="4880" customFormat="false" ht="15" hidden="false" customHeight="true" outlineLevel="0" collapsed="false">
      <c r="A4880" s="42"/>
      <c r="B4880" s="42"/>
      <c r="C4880" s="42"/>
      <c r="D4880" s="28" t="str">
        <f aca="false">IF(OR($B4880="",$C4880=""),"",$C4880*IFERROR(INDEX(Setup!$C$47:$C$56,MATCH($B4880,Setup!$A$47:$A$56,0)),IFERROR(INDEX(Setup!$C$60:$C$89,MATCH($B4880,Setup!$A$60:$A$89,0)),"")))</f>
        <v/>
      </c>
      <c r="E4880" s="42"/>
      <c r="F4880" s="42"/>
    </row>
    <row r="4881" customFormat="false" ht="15" hidden="false" customHeight="true" outlineLevel="0" collapsed="false">
      <c r="A4881" s="42"/>
      <c r="B4881" s="42"/>
      <c r="C4881" s="42"/>
      <c r="D4881" s="28" t="str">
        <f aca="false">IF(OR($B4881="",$C4881=""),"",$C4881*IFERROR(INDEX(Setup!$C$47:$C$56,MATCH($B4881,Setup!$A$47:$A$56,0)),IFERROR(INDEX(Setup!$C$60:$C$89,MATCH($B4881,Setup!$A$60:$A$89,0)),"")))</f>
        <v/>
      </c>
      <c r="E4881" s="42"/>
      <c r="F4881" s="42"/>
    </row>
    <row r="4882" customFormat="false" ht="15" hidden="false" customHeight="true" outlineLevel="0" collapsed="false">
      <c r="A4882" s="42"/>
      <c r="B4882" s="42"/>
      <c r="C4882" s="42"/>
      <c r="D4882" s="28" t="str">
        <f aca="false">IF(OR($B4882="",$C4882=""),"",$C4882*IFERROR(INDEX(Setup!$C$47:$C$56,MATCH($B4882,Setup!$A$47:$A$56,0)),IFERROR(INDEX(Setup!$C$60:$C$89,MATCH($B4882,Setup!$A$60:$A$89,0)),"")))</f>
        <v/>
      </c>
      <c r="E4882" s="42"/>
      <c r="F4882" s="42"/>
    </row>
    <row r="4883" customFormat="false" ht="15" hidden="false" customHeight="true" outlineLevel="0" collapsed="false">
      <c r="A4883" s="42"/>
      <c r="B4883" s="42"/>
      <c r="C4883" s="42"/>
      <c r="D4883" s="28" t="str">
        <f aca="false">IF(OR($B4883="",$C4883=""),"",$C4883*IFERROR(INDEX(Setup!$C$47:$C$56,MATCH($B4883,Setup!$A$47:$A$56,0)),IFERROR(INDEX(Setup!$C$60:$C$89,MATCH($B4883,Setup!$A$60:$A$89,0)),"")))</f>
        <v/>
      </c>
      <c r="E4883" s="42"/>
      <c r="F4883" s="42"/>
    </row>
    <row r="4884" customFormat="false" ht="15" hidden="false" customHeight="true" outlineLevel="0" collapsed="false">
      <c r="A4884" s="42"/>
      <c r="B4884" s="42"/>
      <c r="C4884" s="42"/>
      <c r="D4884" s="28" t="str">
        <f aca="false">IF(OR($B4884="",$C4884=""),"",$C4884*IFERROR(INDEX(Setup!$C$47:$C$56,MATCH($B4884,Setup!$A$47:$A$56,0)),IFERROR(INDEX(Setup!$C$60:$C$89,MATCH($B4884,Setup!$A$60:$A$89,0)),"")))</f>
        <v/>
      </c>
      <c r="E4884" s="42"/>
      <c r="F4884" s="42"/>
    </row>
    <row r="4885" customFormat="false" ht="15" hidden="false" customHeight="true" outlineLevel="0" collapsed="false">
      <c r="A4885" s="42"/>
      <c r="B4885" s="42"/>
      <c r="C4885" s="42"/>
      <c r="D4885" s="28" t="str">
        <f aca="false">IF(OR($B4885="",$C4885=""),"",$C4885*IFERROR(INDEX(Setup!$C$47:$C$56,MATCH($B4885,Setup!$A$47:$A$56,0)),IFERROR(INDEX(Setup!$C$60:$C$89,MATCH($B4885,Setup!$A$60:$A$89,0)),"")))</f>
        <v/>
      </c>
      <c r="E4885" s="42"/>
      <c r="F4885" s="42"/>
    </row>
    <row r="4886" customFormat="false" ht="15" hidden="false" customHeight="true" outlineLevel="0" collapsed="false">
      <c r="A4886" s="42"/>
      <c r="B4886" s="42"/>
      <c r="C4886" s="42"/>
      <c r="D4886" s="28" t="str">
        <f aca="false">IF(OR($B4886="",$C4886=""),"",$C4886*IFERROR(INDEX(Setup!$C$47:$C$56,MATCH($B4886,Setup!$A$47:$A$56,0)),IFERROR(INDEX(Setup!$C$60:$C$89,MATCH($B4886,Setup!$A$60:$A$89,0)),"")))</f>
        <v/>
      </c>
      <c r="E4886" s="42"/>
      <c r="F4886" s="42"/>
    </row>
    <row r="4887" customFormat="false" ht="15" hidden="false" customHeight="true" outlineLevel="0" collapsed="false">
      <c r="A4887" s="42"/>
      <c r="B4887" s="42"/>
      <c r="C4887" s="42"/>
      <c r="D4887" s="28" t="str">
        <f aca="false">IF(OR($B4887="",$C4887=""),"",$C4887*IFERROR(INDEX(Setup!$C$47:$C$56,MATCH($B4887,Setup!$A$47:$A$56,0)),IFERROR(INDEX(Setup!$C$60:$C$89,MATCH($B4887,Setup!$A$60:$A$89,0)),"")))</f>
        <v/>
      </c>
      <c r="E4887" s="42"/>
      <c r="F4887" s="42"/>
    </row>
    <row r="4888" customFormat="false" ht="15" hidden="false" customHeight="true" outlineLevel="0" collapsed="false">
      <c r="A4888" s="42"/>
      <c r="B4888" s="42"/>
      <c r="C4888" s="42"/>
      <c r="D4888" s="28" t="str">
        <f aca="false">IF(OR($B4888="",$C4888=""),"",$C4888*IFERROR(INDEX(Setup!$C$47:$C$56,MATCH($B4888,Setup!$A$47:$A$56,0)),IFERROR(INDEX(Setup!$C$60:$C$89,MATCH($B4888,Setup!$A$60:$A$89,0)),"")))</f>
        <v/>
      </c>
      <c r="E4888" s="42"/>
      <c r="F4888" s="42"/>
    </row>
    <row r="4889" customFormat="false" ht="15" hidden="false" customHeight="true" outlineLevel="0" collapsed="false">
      <c r="A4889" s="42"/>
      <c r="B4889" s="42"/>
      <c r="C4889" s="42"/>
      <c r="D4889" s="28" t="str">
        <f aca="false">IF(OR($B4889="",$C4889=""),"",$C4889*IFERROR(INDEX(Setup!$C$47:$C$56,MATCH($B4889,Setup!$A$47:$A$56,0)),IFERROR(INDEX(Setup!$C$60:$C$89,MATCH($B4889,Setup!$A$60:$A$89,0)),"")))</f>
        <v/>
      </c>
      <c r="E4889" s="42"/>
      <c r="F4889" s="42"/>
    </row>
    <row r="4890" customFormat="false" ht="15" hidden="false" customHeight="true" outlineLevel="0" collapsed="false">
      <c r="A4890" s="42"/>
      <c r="B4890" s="42"/>
      <c r="C4890" s="42"/>
      <c r="D4890" s="28" t="str">
        <f aca="false">IF(OR($B4890="",$C4890=""),"",$C4890*IFERROR(INDEX(Setup!$C$47:$C$56,MATCH($B4890,Setup!$A$47:$A$56,0)),IFERROR(INDEX(Setup!$C$60:$C$89,MATCH($B4890,Setup!$A$60:$A$89,0)),"")))</f>
        <v/>
      </c>
      <c r="E4890" s="42"/>
      <c r="F4890" s="42"/>
    </row>
    <row r="4891" customFormat="false" ht="15" hidden="false" customHeight="true" outlineLevel="0" collapsed="false">
      <c r="A4891" s="42"/>
      <c r="B4891" s="42"/>
      <c r="C4891" s="42"/>
      <c r="D4891" s="28" t="str">
        <f aca="false">IF(OR($B4891="",$C4891=""),"",$C4891*IFERROR(INDEX(Setup!$C$47:$C$56,MATCH($B4891,Setup!$A$47:$A$56,0)),IFERROR(INDEX(Setup!$C$60:$C$89,MATCH($B4891,Setup!$A$60:$A$89,0)),"")))</f>
        <v/>
      </c>
      <c r="E4891" s="42"/>
      <c r="F4891" s="42"/>
    </row>
    <row r="4892" customFormat="false" ht="15" hidden="false" customHeight="true" outlineLevel="0" collapsed="false">
      <c r="A4892" s="42"/>
      <c r="B4892" s="42"/>
      <c r="C4892" s="42"/>
      <c r="D4892" s="28" t="str">
        <f aca="false">IF(OR($B4892="",$C4892=""),"",$C4892*IFERROR(INDEX(Setup!$C$47:$C$56,MATCH($B4892,Setup!$A$47:$A$56,0)),IFERROR(INDEX(Setup!$C$60:$C$89,MATCH($B4892,Setup!$A$60:$A$89,0)),"")))</f>
        <v/>
      </c>
      <c r="E4892" s="42"/>
      <c r="F4892" s="42"/>
    </row>
    <row r="4893" customFormat="false" ht="15" hidden="false" customHeight="true" outlineLevel="0" collapsed="false">
      <c r="A4893" s="42"/>
      <c r="B4893" s="42"/>
      <c r="C4893" s="42"/>
      <c r="D4893" s="28" t="str">
        <f aca="false">IF(OR($B4893="",$C4893=""),"",$C4893*IFERROR(INDEX(Setup!$C$47:$C$56,MATCH($B4893,Setup!$A$47:$A$56,0)),IFERROR(INDEX(Setup!$C$60:$C$89,MATCH($B4893,Setup!$A$60:$A$89,0)),"")))</f>
        <v/>
      </c>
      <c r="E4893" s="42"/>
      <c r="F4893" s="42"/>
    </row>
    <row r="4894" customFormat="false" ht="15" hidden="false" customHeight="true" outlineLevel="0" collapsed="false">
      <c r="A4894" s="42"/>
      <c r="B4894" s="42"/>
      <c r="C4894" s="42"/>
      <c r="D4894" s="28" t="str">
        <f aca="false">IF(OR($B4894="",$C4894=""),"",$C4894*IFERROR(INDEX(Setup!$C$47:$C$56,MATCH($B4894,Setup!$A$47:$A$56,0)),IFERROR(INDEX(Setup!$C$60:$C$89,MATCH($B4894,Setup!$A$60:$A$89,0)),"")))</f>
        <v/>
      </c>
      <c r="E4894" s="42"/>
      <c r="F4894" s="42"/>
    </row>
    <row r="4895" customFormat="false" ht="15" hidden="false" customHeight="true" outlineLevel="0" collapsed="false">
      <c r="A4895" s="42"/>
      <c r="B4895" s="42"/>
      <c r="C4895" s="42"/>
      <c r="D4895" s="28" t="str">
        <f aca="false">IF(OR($B4895="",$C4895=""),"",$C4895*IFERROR(INDEX(Setup!$C$47:$C$56,MATCH($B4895,Setup!$A$47:$A$56,0)),IFERROR(INDEX(Setup!$C$60:$C$89,MATCH($B4895,Setup!$A$60:$A$89,0)),"")))</f>
        <v/>
      </c>
      <c r="E4895" s="42"/>
      <c r="F4895" s="42"/>
    </row>
    <row r="4896" customFormat="false" ht="15" hidden="false" customHeight="true" outlineLevel="0" collapsed="false">
      <c r="A4896" s="42"/>
      <c r="B4896" s="42"/>
      <c r="C4896" s="42"/>
      <c r="D4896" s="28" t="str">
        <f aca="false">IF(OR($B4896="",$C4896=""),"",$C4896*IFERROR(INDEX(Setup!$C$47:$C$56,MATCH($B4896,Setup!$A$47:$A$56,0)),IFERROR(INDEX(Setup!$C$60:$C$89,MATCH($B4896,Setup!$A$60:$A$89,0)),"")))</f>
        <v/>
      </c>
      <c r="E4896" s="42"/>
      <c r="F4896" s="42"/>
    </row>
    <row r="4897" customFormat="false" ht="15" hidden="false" customHeight="true" outlineLevel="0" collapsed="false">
      <c r="A4897" s="42"/>
      <c r="B4897" s="42"/>
      <c r="C4897" s="42"/>
      <c r="D4897" s="28" t="str">
        <f aca="false">IF(OR($B4897="",$C4897=""),"",$C4897*IFERROR(INDEX(Setup!$C$47:$C$56,MATCH($B4897,Setup!$A$47:$A$56,0)),IFERROR(INDEX(Setup!$C$60:$C$89,MATCH($B4897,Setup!$A$60:$A$89,0)),"")))</f>
        <v/>
      </c>
      <c r="E4897" s="42"/>
      <c r="F4897" s="42"/>
    </row>
    <row r="4898" customFormat="false" ht="15" hidden="false" customHeight="true" outlineLevel="0" collapsed="false">
      <c r="A4898" s="42"/>
      <c r="B4898" s="42"/>
      <c r="C4898" s="42"/>
      <c r="D4898" s="28" t="str">
        <f aca="false">IF(OR($B4898="",$C4898=""),"",$C4898*IFERROR(INDEX(Setup!$C$47:$C$56,MATCH($B4898,Setup!$A$47:$A$56,0)),IFERROR(INDEX(Setup!$C$60:$C$89,MATCH($B4898,Setup!$A$60:$A$89,0)),"")))</f>
        <v/>
      </c>
      <c r="E4898" s="42"/>
      <c r="F4898" s="42"/>
    </row>
    <row r="4899" customFormat="false" ht="15" hidden="false" customHeight="true" outlineLevel="0" collapsed="false">
      <c r="A4899" s="42"/>
      <c r="B4899" s="42"/>
      <c r="C4899" s="42"/>
      <c r="D4899" s="28" t="str">
        <f aca="false">IF(OR($B4899="",$C4899=""),"",$C4899*IFERROR(INDEX(Setup!$C$47:$C$56,MATCH($B4899,Setup!$A$47:$A$56,0)),IFERROR(INDEX(Setup!$C$60:$C$89,MATCH($B4899,Setup!$A$60:$A$89,0)),"")))</f>
        <v/>
      </c>
      <c r="E4899" s="42"/>
      <c r="F4899" s="42"/>
    </row>
    <row r="4900" customFormat="false" ht="15" hidden="false" customHeight="true" outlineLevel="0" collapsed="false">
      <c r="A4900" s="42"/>
      <c r="B4900" s="42"/>
      <c r="C4900" s="42"/>
      <c r="D4900" s="28" t="str">
        <f aca="false">IF(OR($B4900="",$C4900=""),"",$C4900*IFERROR(INDEX(Setup!$C$47:$C$56,MATCH($B4900,Setup!$A$47:$A$56,0)),IFERROR(INDEX(Setup!$C$60:$C$89,MATCH($B4900,Setup!$A$60:$A$89,0)),"")))</f>
        <v/>
      </c>
      <c r="E4900" s="42"/>
      <c r="F4900" s="42"/>
    </row>
    <row r="4901" customFormat="false" ht="15" hidden="false" customHeight="true" outlineLevel="0" collapsed="false">
      <c r="A4901" s="42"/>
      <c r="B4901" s="42"/>
      <c r="C4901" s="42"/>
      <c r="D4901" s="28" t="str">
        <f aca="false">IF(OR($B4901="",$C4901=""),"",$C4901*IFERROR(INDEX(Setup!$C$47:$C$56,MATCH($B4901,Setup!$A$47:$A$56,0)),IFERROR(INDEX(Setup!$C$60:$C$89,MATCH($B4901,Setup!$A$60:$A$89,0)),"")))</f>
        <v/>
      </c>
      <c r="E4901" s="42"/>
      <c r="F4901" s="42"/>
    </row>
    <row r="4902" customFormat="false" ht="15" hidden="false" customHeight="true" outlineLevel="0" collapsed="false">
      <c r="A4902" s="42"/>
      <c r="B4902" s="42"/>
      <c r="C4902" s="42"/>
      <c r="D4902" s="28" t="str">
        <f aca="false">IF(OR($B4902="",$C4902=""),"",$C4902*IFERROR(INDEX(Setup!$C$47:$C$56,MATCH($B4902,Setup!$A$47:$A$56,0)),IFERROR(INDEX(Setup!$C$60:$C$89,MATCH($B4902,Setup!$A$60:$A$89,0)),"")))</f>
        <v/>
      </c>
      <c r="E4902" s="42"/>
      <c r="F4902" s="42"/>
    </row>
    <row r="4903" customFormat="false" ht="15" hidden="false" customHeight="true" outlineLevel="0" collapsed="false">
      <c r="A4903" s="42"/>
      <c r="B4903" s="42"/>
      <c r="C4903" s="42"/>
      <c r="D4903" s="28" t="str">
        <f aca="false">IF(OR($B4903="",$C4903=""),"",$C4903*IFERROR(INDEX(Setup!$C$47:$C$56,MATCH($B4903,Setup!$A$47:$A$56,0)),IFERROR(INDEX(Setup!$C$60:$C$89,MATCH($B4903,Setup!$A$60:$A$89,0)),"")))</f>
        <v/>
      </c>
      <c r="E4903" s="42"/>
      <c r="F4903" s="42"/>
    </row>
    <row r="4904" customFormat="false" ht="15" hidden="false" customHeight="true" outlineLevel="0" collapsed="false">
      <c r="A4904" s="42"/>
      <c r="B4904" s="42"/>
      <c r="C4904" s="42"/>
      <c r="D4904" s="28" t="str">
        <f aca="false">IF(OR($B4904="",$C4904=""),"",$C4904*IFERROR(INDEX(Setup!$C$47:$C$56,MATCH($B4904,Setup!$A$47:$A$56,0)),IFERROR(INDEX(Setup!$C$60:$C$89,MATCH($B4904,Setup!$A$60:$A$89,0)),"")))</f>
        <v/>
      </c>
      <c r="E4904" s="42"/>
      <c r="F4904" s="42"/>
    </row>
    <row r="4905" customFormat="false" ht="15" hidden="false" customHeight="true" outlineLevel="0" collapsed="false">
      <c r="A4905" s="42"/>
      <c r="B4905" s="42"/>
      <c r="C4905" s="42"/>
      <c r="D4905" s="28" t="str">
        <f aca="false">IF(OR($B4905="",$C4905=""),"",$C4905*IFERROR(INDEX(Setup!$C$47:$C$56,MATCH($B4905,Setup!$A$47:$A$56,0)),IFERROR(INDEX(Setup!$C$60:$C$89,MATCH($B4905,Setup!$A$60:$A$89,0)),"")))</f>
        <v/>
      </c>
      <c r="E4905" s="42"/>
      <c r="F4905" s="42"/>
    </row>
    <row r="4906" customFormat="false" ht="15" hidden="false" customHeight="true" outlineLevel="0" collapsed="false">
      <c r="A4906" s="42"/>
      <c r="B4906" s="42"/>
      <c r="C4906" s="42"/>
      <c r="D4906" s="28" t="str">
        <f aca="false">IF(OR($B4906="",$C4906=""),"",$C4906*IFERROR(INDEX(Setup!$C$47:$C$56,MATCH($B4906,Setup!$A$47:$A$56,0)),IFERROR(INDEX(Setup!$C$60:$C$89,MATCH($B4906,Setup!$A$60:$A$89,0)),"")))</f>
        <v/>
      </c>
      <c r="E4906" s="42"/>
      <c r="F4906" s="42"/>
    </row>
    <row r="4907" customFormat="false" ht="15" hidden="false" customHeight="true" outlineLevel="0" collapsed="false">
      <c r="A4907" s="42"/>
      <c r="B4907" s="42"/>
      <c r="C4907" s="42"/>
      <c r="D4907" s="28" t="str">
        <f aca="false">IF(OR($B4907="",$C4907=""),"",$C4907*IFERROR(INDEX(Setup!$C$47:$C$56,MATCH($B4907,Setup!$A$47:$A$56,0)),IFERROR(INDEX(Setup!$C$60:$C$89,MATCH($B4907,Setup!$A$60:$A$89,0)),"")))</f>
        <v/>
      </c>
      <c r="E4907" s="42"/>
      <c r="F4907" s="42"/>
    </row>
    <row r="4908" customFormat="false" ht="15" hidden="false" customHeight="true" outlineLevel="0" collapsed="false">
      <c r="A4908" s="42"/>
      <c r="B4908" s="42"/>
      <c r="C4908" s="42"/>
      <c r="D4908" s="28" t="str">
        <f aca="false">IF(OR($B4908="",$C4908=""),"",$C4908*IFERROR(INDEX(Setup!$C$47:$C$56,MATCH($B4908,Setup!$A$47:$A$56,0)),IFERROR(INDEX(Setup!$C$60:$C$89,MATCH($B4908,Setup!$A$60:$A$89,0)),"")))</f>
        <v/>
      </c>
      <c r="E4908" s="42"/>
      <c r="F4908" s="42"/>
    </row>
    <row r="4909" customFormat="false" ht="15" hidden="false" customHeight="true" outlineLevel="0" collapsed="false">
      <c r="A4909" s="42"/>
      <c r="B4909" s="42"/>
      <c r="C4909" s="42"/>
      <c r="D4909" s="28" t="str">
        <f aca="false">IF(OR($B4909="",$C4909=""),"",$C4909*IFERROR(INDEX(Setup!$C$47:$C$56,MATCH($B4909,Setup!$A$47:$A$56,0)),IFERROR(INDEX(Setup!$C$60:$C$89,MATCH($B4909,Setup!$A$60:$A$89,0)),"")))</f>
        <v/>
      </c>
      <c r="E4909" s="42"/>
      <c r="F4909" s="42"/>
    </row>
    <row r="4910" customFormat="false" ht="15" hidden="false" customHeight="true" outlineLevel="0" collapsed="false">
      <c r="A4910" s="42"/>
      <c r="B4910" s="42"/>
      <c r="C4910" s="42"/>
      <c r="D4910" s="28" t="str">
        <f aca="false">IF(OR($B4910="",$C4910=""),"",$C4910*IFERROR(INDEX(Setup!$C$47:$C$56,MATCH($B4910,Setup!$A$47:$A$56,0)),IFERROR(INDEX(Setup!$C$60:$C$89,MATCH($B4910,Setup!$A$60:$A$89,0)),"")))</f>
        <v/>
      </c>
      <c r="E4910" s="42"/>
      <c r="F4910" s="42"/>
    </row>
    <row r="4911" customFormat="false" ht="15" hidden="false" customHeight="true" outlineLevel="0" collapsed="false">
      <c r="A4911" s="42"/>
      <c r="B4911" s="42"/>
      <c r="C4911" s="42"/>
      <c r="D4911" s="28" t="str">
        <f aca="false">IF(OR($B4911="",$C4911=""),"",$C4911*IFERROR(INDEX(Setup!$C$47:$C$56,MATCH($B4911,Setup!$A$47:$A$56,0)),IFERROR(INDEX(Setup!$C$60:$C$89,MATCH($B4911,Setup!$A$60:$A$89,0)),"")))</f>
        <v/>
      </c>
      <c r="E4911" s="42"/>
      <c r="F4911" s="42"/>
    </row>
    <row r="4912" customFormat="false" ht="15" hidden="false" customHeight="true" outlineLevel="0" collapsed="false">
      <c r="A4912" s="42"/>
      <c r="B4912" s="42"/>
      <c r="C4912" s="42"/>
      <c r="D4912" s="28" t="str">
        <f aca="false">IF(OR($B4912="",$C4912=""),"",$C4912*IFERROR(INDEX(Setup!$C$47:$C$56,MATCH($B4912,Setup!$A$47:$A$56,0)),IFERROR(INDEX(Setup!$C$60:$C$89,MATCH($B4912,Setup!$A$60:$A$89,0)),"")))</f>
        <v/>
      </c>
      <c r="E4912" s="42"/>
      <c r="F4912" s="42"/>
    </row>
    <row r="4913" customFormat="false" ht="15" hidden="false" customHeight="true" outlineLevel="0" collapsed="false">
      <c r="A4913" s="42"/>
      <c r="B4913" s="42"/>
      <c r="C4913" s="42"/>
      <c r="D4913" s="28" t="str">
        <f aca="false">IF(OR($B4913="",$C4913=""),"",$C4913*IFERROR(INDEX(Setup!$C$47:$C$56,MATCH($B4913,Setup!$A$47:$A$56,0)),IFERROR(INDEX(Setup!$C$60:$C$89,MATCH($B4913,Setup!$A$60:$A$89,0)),"")))</f>
        <v/>
      </c>
      <c r="E4913" s="42"/>
      <c r="F4913" s="42"/>
    </row>
    <row r="4914" customFormat="false" ht="15" hidden="false" customHeight="true" outlineLevel="0" collapsed="false">
      <c r="A4914" s="42"/>
      <c r="B4914" s="42"/>
      <c r="C4914" s="42"/>
      <c r="D4914" s="28" t="str">
        <f aca="false">IF(OR($B4914="",$C4914=""),"",$C4914*IFERROR(INDEX(Setup!$C$47:$C$56,MATCH($B4914,Setup!$A$47:$A$56,0)),IFERROR(INDEX(Setup!$C$60:$C$89,MATCH($B4914,Setup!$A$60:$A$89,0)),"")))</f>
        <v/>
      </c>
      <c r="E4914" s="42"/>
      <c r="F4914" s="42"/>
    </row>
    <row r="4915" customFormat="false" ht="15" hidden="false" customHeight="true" outlineLevel="0" collapsed="false">
      <c r="A4915" s="42"/>
      <c r="B4915" s="42"/>
      <c r="C4915" s="42"/>
      <c r="D4915" s="28" t="str">
        <f aca="false">IF(OR($B4915="",$C4915=""),"",$C4915*IFERROR(INDEX(Setup!$C$47:$C$56,MATCH($B4915,Setup!$A$47:$A$56,0)),IFERROR(INDEX(Setup!$C$60:$C$89,MATCH($B4915,Setup!$A$60:$A$89,0)),"")))</f>
        <v/>
      </c>
      <c r="E4915" s="42"/>
      <c r="F4915" s="42"/>
    </row>
    <row r="4916" customFormat="false" ht="15" hidden="false" customHeight="true" outlineLevel="0" collapsed="false">
      <c r="A4916" s="42"/>
      <c r="B4916" s="42"/>
      <c r="C4916" s="42"/>
      <c r="D4916" s="28" t="str">
        <f aca="false">IF(OR($B4916="",$C4916=""),"",$C4916*IFERROR(INDEX(Setup!$C$47:$C$56,MATCH($B4916,Setup!$A$47:$A$56,0)),IFERROR(INDEX(Setup!$C$60:$C$89,MATCH($B4916,Setup!$A$60:$A$89,0)),"")))</f>
        <v/>
      </c>
      <c r="E4916" s="42"/>
      <c r="F4916" s="42"/>
    </row>
    <row r="4917" customFormat="false" ht="15" hidden="false" customHeight="true" outlineLevel="0" collapsed="false">
      <c r="A4917" s="42"/>
      <c r="B4917" s="42"/>
      <c r="C4917" s="42"/>
      <c r="D4917" s="28" t="str">
        <f aca="false">IF(OR($B4917="",$C4917=""),"",$C4917*IFERROR(INDEX(Setup!$C$47:$C$56,MATCH($B4917,Setup!$A$47:$A$56,0)),IFERROR(INDEX(Setup!$C$60:$C$89,MATCH($B4917,Setup!$A$60:$A$89,0)),"")))</f>
        <v/>
      </c>
      <c r="E4917" s="42"/>
      <c r="F4917" s="42"/>
    </row>
    <row r="4918" customFormat="false" ht="15" hidden="false" customHeight="true" outlineLevel="0" collapsed="false">
      <c r="A4918" s="42"/>
      <c r="B4918" s="42"/>
      <c r="C4918" s="42"/>
      <c r="D4918" s="28" t="str">
        <f aca="false">IF(OR($B4918="",$C4918=""),"",$C4918*IFERROR(INDEX(Setup!$C$47:$C$56,MATCH($B4918,Setup!$A$47:$A$56,0)),IFERROR(INDEX(Setup!$C$60:$C$89,MATCH($B4918,Setup!$A$60:$A$89,0)),"")))</f>
        <v/>
      </c>
      <c r="E4918" s="42"/>
      <c r="F4918" s="42"/>
    </row>
    <row r="4919" customFormat="false" ht="15" hidden="false" customHeight="true" outlineLevel="0" collapsed="false">
      <c r="A4919" s="42"/>
      <c r="B4919" s="42"/>
      <c r="C4919" s="42"/>
      <c r="D4919" s="28" t="str">
        <f aca="false">IF(OR($B4919="",$C4919=""),"",$C4919*IFERROR(INDEX(Setup!$C$47:$C$56,MATCH($B4919,Setup!$A$47:$A$56,0)),IFERROR(INDEX(Setup!$C$60:$C$89,MATCH($B4919,Setup!$A$60:$A$89,0)),"")))</f>
        <v/>
      </c>
      <c r="E4919" s="42"/>
      <c r="F4919" s="42"/>
    </row>
    <row r="4920" customFormat="false" ht="15" hidden="false" customHeight="true" outlineLevel="0" collapsed="false">
      <c r="A4920" s="42"/>
      <c r="B4920" s="42"/>
      <c r="C4920" s="42"/>
      <c r="D4920" s="28" t="str">
        <f aca="false">IF(OR($B4920="",$C4920=""),"",$C4920*IFERROR(INDEX(Setup!$C$47:$C$56,MATCH($B4920,Setup!$A$47:$A$56,0)),IFERROR(INDEX(Setup!$C$60:$C$89,MATCH($B4920,Setup!$A$60:$A$89,0)),"")))</f>
        <v/>
      </c>
      <c r="E4920" s="42"/>
      <c r="F4920" s="42"/>
    </row>
    <row r="4921" customFormat="false" ht="15" hidden="false" customHeight="true" outlineLevel="0" collapsed="false">
      <c r="A4921" s="42"/>
      <c r="B4921" s="42"/>
      <c r="C4921" s="42"/>
      <c r="D4921" s="28" t="str">
        <f aca="false">IF(OR($B4921="",$C4921=""),"",$C4921*IFERROR(INDEX(Setup!$C$47:$C$56,MATCH($B4921,Setup!$A$47:$A$56,0)),IFERROR(INDEX(Setup!$C$60:$C$89,MATCH($B4921,Setup!$A$60:$A$89,0)),"")))</f>
        <v/>
      </c>
      <c r="E4921" s="42"/>
      <c r="F4921" s="42"/>
    </row>
    <row r="4922" customFormat="false" ht="15" hidden="false" customHeight="true" outlineLevel="0" collapsed="false">
      <c r="A4922" s="42"/>
      <c r="B4922" s="42"/>
      <c r="C4922" s="42"/>
      <c r="D4922" s="28" t="str">
        <f aca="false">IF(OR($B4922="",$C4922=""),"",$C4922*IFERROR(INDEX(Setup!$C$47:$C$56,MATCH($B4922,Setup!$A$47:$A$56,0)),IFERROR(INDEX(Setup!$C$60:$C$89,MATCH($B4922,Setup!$A$60:$A$89,0)),"")))</f>
        <v/>
      </c>
      <c r="E4922" s="42"/>
      <c r="F4922" s="42"/>
    </row>
    <row r="4923" customFormat="false" ht="15" hidden="false" customHeight="true" outlineLevel="0" collapsed="false">
      <c r="A4923" s="42"/>
      <c r="B4923" s="42"/>
      <c r="C4923" s="42"/>
      <c r="D4923" s="28" t="str">
        <f aca="false">IF(OR($B4923="",$C4923=""),"",$C4923*IFERROR(INDEX(Setup!$C$47:$C$56,MATCH($B4923,Setup!$A$47:$A$56,0)),IFERROR(INDEX(Setup!$C$60:$C$89,MATCH($B4923,Setup!$A$60:$A$89,0)),"")))</f>
        <v/>
      </c>
      <c r="E4923" s="42"/>
      <c r="F4923" s="42"/>
    </row>
    <row r="4924" customFormat="false" ht="15" hidden="false" customHeight="true" outlineLevel="0" collapsed="false">
      <c r="A4924" s="42"/>
      <c r="B4924" s="42"/>
      <c r="C4924" s="42"/>
      <c r="D4924" s="28" t="str">
        <f aca="false">IF(OR($B4924="",$C4924=""),"",$C4924*IFERROR(INDEX(Setup!$C$47:$C$56,MATCH($B4924,Setup!$A$47:$A$56,0)),IFERROR(INDEX(Setup!$C$60:$C$89,MATCH($B4924,Setup!$A$60:$A$89,0)),"")))</f>
        <v/>
      </c>
      <c r="E4924" s="42"/>
      <c r="F4924" s="42"/>
    </row>
    <row r="4925" customFormat="false" ht="15" hidden="false" customHeight="true" outlineLevel="0" collapsed="false">
      <c r="A4925" s="42"/>
      <c r="B4925" s="42"/>
      <c r="C4925" s="42"/>
      <c r="D4925" s="28" t="str">
        <f aca="false">IF(OR($B4925="",$C4925=""),"",$C4925*IFERROR(INDEX(Setup!$C$47:$C$56,MATCH($B4925,Setup!$A$47:$A$56,0)),IFERROR(INDEX(Setup!$C$60:$C$89,MATCH($B4925,Setup!$A$60:$A$89,0)),"")))</f>
        <v/>
      </c>
      <c r="E4925" s="42"/>
      <c r="F4925" s="42"/>
    </row>
    <row r="4926" customFormat="false" ht="15" hidden="false" customHeight="true" outlineLevel="0" collapsed="false">
      <c r="A4926" s="42"/>
      <c r="B4926" s="42"/>
      <c r="C4926" s="42"/>
      <c r="D4926" s="28" t="str">
        <f aca="false">IF(OR($B4926="",$C4926=""),"",$C4926*IFERROR(INDEX(Setup!$C$47:$C$56,MATCH($B4926,Setup!$A$47:$A$56,0)),IFERROR(INDEX(Setup!$C$60:$C$89,MATCH($B4926,Setup!$A$60:$A$89,0)),"")))</f>
        <v/>
      </c>
      <c r="E4926" s="42"/>
      <c r="F4926" s="42"/>
    </row>
    <row r="4927" customFormat="false" ht="15" hidden="false" customHeight="true" outlineLevel="0" collapsed="false">
      <c r="A4927" s="42"/>
      <c r="B4927" s="42"/>
      <c r="C4927" s="42"/>
      <c r="D4927" s="28" t="str">
        <f aca="false">IF(OR($B4927="",$C4927=""),"",$C4927*IFERROR(INDEX(Setup!$C$47:$C$56,MATCH($B4927,Setup!$A$47:$A$56,0)),IFERROR(INDEX(Setup!$C$60:$C$89,MATCH($B4927,Setup!$A$60:$A$89,0)),"")))</f>
        <v/>
      </c>
      <c r="E4927" s="42"/>
      <c r="F4927" s="42"/>
    </row>
    <row r="4928" customFormat="false" ht="15" hidden="false" customHeight="true" outlineLevel="0" collapsed="false">
      <c r="A4928" s="42"/>
      <c r="B4928" s="42"/>
      <c r="C4928" s="42"/>
      <c r="D4928" s="28" t="str">
        <f aca="false">IF(OR($B4928="",$C4928=""),"",$C4928*IFERROR(INDEX(Setup!$C$47:$C$56,MATCH($B4928,Setup!$A$47:$A$56,0)),IFERROR(INDEX(Setup!$C$60:$C$89,MATCH($B4928,Setup!$A$60:$A$89,0)),"")))</f>
        <v/>
      </c>
      <c r="E4928" s="42"/>
      <c r="F4928" s="42"/>
    </row>
    <row r="4929" customFormat="false" ht="15" hidden="false" customHeight="true" outlineLevel="0" collapsed="false">
      <c r="A4929" s="42"/>
      <c r="B4929" s="42"/>
      <c r="C4929" s="42"/>
      <c r="D4929" s="28" t="str">
        <f aca="false">IF(OR($B4929="",$C4929=""),"",$C4929*IFERROR(INDEX(Setup!$C$47:$C$56,MATCH($B4929,Setup!$A$47:$A$56,0)),IFERROR(INDEX(Setup!$C$60:$C$89,MATCH($B4929,Setup!$A$60:$A$89,0)),"")))</f>
        <v/>
      </c>
      <c r="E4929" s="42"/>
      <c r="F4929" s="42"/>
    </row>
    <row r="4930" customFormat="false" ht="15" hidden="false" customHeight="true" outlineLevel="0" collapsed="false">
      <c r="A4930" s="42"/>
      <c r="B4930" s="42"/>
      <c r="C4930" s="42"/>
      <c r="D4930" s="28" t="str">
        <f aca="false">IF(OR($B4930="",$C4930=""),"",$C4930*IFERROR(INDEX(Setup!$C$47:$C$56,MATCH($B4930,Setup!$A$47:$A$56,0)),IFERROR(INDEX(Setup!$C$60:$C$89,MATCH($B4930,Setup!$A$60:$A$89,0)),"")))</f>
        <v/>
      </c>
      <c r="E4930" s="42"/>
      <c r="F4930" s="42"/>
    </row>
    <row r="4931" customFormat="false" ht="15" hidden="false" customHeight="true" outlineLevel="0" collapsed="false">
      <c r="A4931" s="42"/>
      <c r="B4931" s="42"/>
      <c r="C4931" s="42"/>
      <c r="D4931" s="28" t="str">
        <f aca="false">IF(OR($B4931="",$C4931=""),"",$C4931*IFERROR(INDEX(Setup!$C$47:$C$56,MATCH($B4931,Setup!$A$47:$A$56,0)),IFERROR(INDEX(Setup!$C$60:$C$89,MATCH($B4931,Setup!$A$60:$A$89,0)),"")))</f>
        <v/>
      </c>
      <c r="E4931" s="42"/>
      <c r="F4931" s="42"/>
    </row>
    <row r="4932" customFormat="false" ht="15" hidden="false" customHeight="true" outlineLevel="0" collapsed="false">
      <c r="A4932" s="42"/>
      <c r="B4932" s="42"/>
      <c r="C4932" s="42"/>
      <c r="D4932" s="28" t="str">
        <f aca="false">IF(OR($B4932="",$C4932=""),"",$C4932*IFERROR(INDEX(Setup!$C$47:$C$56,MATCH($B4932,Setup!$A$47:$A$56,0)),IFERROR(INDEX(Setup!$C$60:$C$89,MATCH($B4932,Setup!$A$60:$A$89,0)),"")))</f>
        <v/>
      </c>
      <c r="E4932" s="42"/>
      <c r="F4932" s="42"/>
    </row>
    <row r="4933" customFormat="false" ht="15" hidden="false" customHeight="true" outlineLevel="0" collapsed="false">
      <c r="A4933" s="42"/>
      <c r="B4933" s="42"/>
      <c r="C4933" s="42"/>
      <c r="D4933" s="28" t="str">
        <f aca="false">IF(OR($B4933="",$C4933=""),"",$C4933*IFERROR(INDEX(Setup!$C$47:$C$56,MATCH($B4933,Setup!$A$47:$A$56,0)),IFERROR(INDEX(Setup!$C$60:$C$89,MATCH($B4933,Setup!$A$60:$A$89,0)),"")))</f>
        <v/>
      </c>
      <c r="E4933" s="42"/>
      <c r="F4933" s="42"/>
    </row>
    <row r="4934" customFormat="false" ht="15" hidden="false" customHeight="true" outlineLevel="0" collapsed="false">
      <c r="A4934" s="42"/>
      <c r="B4934" s="42"/>
      <c r="C4934" s="42"/>
      <c r="D4934" s="28" t="str">
        <f aca="false">IF(OR($B4934="",$C4934=""),"",$C4934*IFERROR(INDEX(Setup!$C$47:$C$56,MATCH($B4934,Setup!$A$47:$A$56,0)),IFERROR(INDEX(Setup!$C$60:$C$89,MATCH($B4934,Setup!$A$60:$A$89,0)),"")))</f>
        <v/>
      </c>
      <c r="E4934" s="42"/>
      <c r="F4934" s="42"/>
    </row>
    <row r="4935" customFormat="false" ht="15" hidden="false" customHeight="true" outlineLevel="0" collapsed="false">
      <c r="A4935" s="42"/>
      <c r="B4935" s="42"/>
      <c r="C4935" s="42"/>
      <c r="D4935" s="28" t="str">
        <f aca="false">IF(OR($B4935="",$C4935=""),"",$C4935*IFERROR(INDEX(Setup!$C$47:$C$56,MATCH($B4935,Setup!$A$47:$A$56,0)),IFERROR(INDEX(Setup!$C$60:$C$89,MATCH($B4935,Setup!$A$60:$A$89,0)),"")))</f>
        <v/>
      </c>
      <c r="E4935" s="42"/>
      <c r="F4935" s="42"/>
    </row>
    <row r="4936" customFormat="false" ht="15" hidden="false" customHeight="true" outlineLevel="0" collapsed="false">
      <c r="A4936" s="42"/>
      <c r="B4936" s="42"/>
      <c r="C4936" s="42"/>
      <c r="D4936" s="28" t="str">
        <f aca="false">IF(OR($B4936="",$C4936=""),"",$C4936*IFERROR(INDEX(Setup!$C$47:$C$56,MATCH($B4936,Setup!$A$47:$A$56,0)),IFERROR(INDEX(Setup!$C$60:$C$89,MATCH($B4936,Setup!$A$60:$A$89,0)),"")))</f>
        <v/>
      </c>
      <c r="E4936" s="42"/>
      <c r="F4936" s="42"/>
    </row>
    <row r="4937" customFormat="false" ht="15" hidden="false" customHeight="true" outlineLevel="0" collapsed="false">
      <c r="A4937" s="42"/>
      <c r="B4937" s="42"/>
      <c r="C4937" s="42"/>
      <c r="D4937" s="28" t="str">
        <f aca="false">IF(OR($B4937="",$C4937=""),"",$C4937*IFERROR(INDEX(Setup!$C$47:$C$56,MATCH($B4937,Setup!$A$47:$A$56,0)),IFERROR(INDEX(Setup!$C$60:$C$89,MATCH($B4937,Setup!$A$60:$A$89,0)),"")))</f>
        <v/>
      </c>
      <c r="E4937" s="42"/>
      <c r="F4937" s="42"/>
    </row>
    <row r="4938" customFormat="false" ht="15" hidden="false" customHeight="true" outlineLevel="0" collapsed="false">
      <c r="A4938" s="42"/>
      <c r="B4938" s="42"/>
      <c r="C4938" s="42"/>
      <c r="D4938" s="28" t="str">
        <f aca="false">IF(OR($B4938="",$C4938=""),"",$C4938*IFERROR(INDEX(Setup!$C$47:$C$56,MATCH($B4938,Setup!$A$47:$A$56,0)),IFERROR(INDEX(Setup!$C$60:$C$89,MATCH($B4938,Setup!$A$60:$A$89,0)),"")))</f>
        <v/>
      </c>
      <c r="E4938" s="42"/>
      <c r="F4938" s="42"/>
    </row>
    <row r="4939" customFormat="false" ht="15" hidden="false" customHeight="true" outlineLevel="0" collapsed="false">
      <c r="A4939" s="42"/>
      <c r="B4939" s="42"/>
      <c r="C4939" s="42"/>
      <c r="D4939" s="28" t="str">
        <f aca="false">IF(OR($B4939="",$C4939=""),"",$C4939*IFERROR(INDEX(Setup!$C$47:$C$56,MATCH($B4939,Setup!$A$47:$A$56,0)),IFERROR(INDEX(Setup!$C$60:$C$89,MATCH($B4939,Setup!$A$60:$A$89,0)),"")))</f>
        <v/>
      </c>
      <c r="E4939" s="42"/>
      <c r="F4939" s="42"/>
    </row>
    <row r="4940" customFormat="false" ht="15" hidden="false" customHeight="true" outlineLevel="0" collapsed="false">
      <c r="A4940" s="42"/>
      <c r="B4940" s="42"/>
      <c r="C4940" s="42"/>
      <c r="D4940" s="28" t="str">
        <f aca="false">IF(OR($B4940="",$C4940=""),"",$C4940*IFERROR(INDEX(Setup!$C$47:$C$56,MATCH($B4940,Setup!$A$47:$A$56,0)),IFERROR(INDEX(Setup!$C$60:$C$89,MATCH($B4940,Setup!$A$60:$A$89,0)),"")))</f>
        <v/>
      </c>
      <c r="E4940" s="42"/>
      <c r="F4940" s="42"/>
    </row>
    <row r="4941" customFormat="false" ht="15" hidden="false" customHeight="true" outlineLevel="0" collapsed="false">
      <c r="A4941" s="42"/>
      <c r="B4941" s="42"/>
      <c r="C4941" s="42"/>
      <c r="D4941" s="28" t="str">
        <f aca="false">IF(OR($B4941="",$C4941=""),"",$C4941*IFERROR(INDEX(Setup!$C$47:$C$56,MATCH($B4941,Setup!$A$47:$A$56,0)),IFERROR(INDEX(Setup!$C$60:$C$89,MATCH($B4941,Setup!$A$60:$A$89,0)),"")))</f>
        <v/>
      </c>
      <c r="E4941" s="42"/>
      <c r="F4941" s="42"/>
    </row>
    <row r="4942" customFormat="false" ht="15" hidden="false" customHeight="true" outlineLevel="0" collapsed="false">
      <c r="A4942" s="42"/>
      <c r="B4942" s="42"/>
      <c r="C4942" s="42"/>
      <c r="D4942" s="28" t="str">
        <f aca="false">IF(OR($B4942="",$C4942=""),"",$C4942*IFERROR(INDEX(Setup!$C$47:$C$56,MATCH($B4942,Setup!$A$47:$A$56,0)),IFERROR(INDEX(Setup!$C$60:$C$89,MATCH($B4942,Setup!$A$60:$A$89,0)),"")))</f>
        <v/>
      </c>
      <c r="E4942" s="42"/>
      <c r="F4942" s="42"/>
    </row>
    <row r="4943" customFormat="false" ht="15" hidden="false" customHeight="true" outlineLevel="0" collapsed="false">
      <c r="A4943" s="42"/>
      <c r="B4943" s="42"/>
      <c r="C4943" s="42"/>
      <c r="D4943" s="28" t="str">
        <f aca="false">IF(OR($B4943="",$C4943=""),"",$C4943*IFERROR(INDEX(Setup!$C$47:$C$56,MATCH($B4943,Setup!$A$47:$A$56,0)),IFERROR(INDEX(Setup!$C$60:$C$89,MATCH($B4943,Setup!$A$60:$A$89,0)),"")))</f>
        <v/>
      </c>
      <c r="E4943" s="42"/>
      <c r="F4943" s="42"/>
    </row>
    <row r="4944" customFormat="false" ht="15" hidden="false" customHeight="true" outlineLevel="0" collapsed="false">
      <c r="A4944" s="42"/>
      <c r="B4944" s="42"/>
      <c r="C4944" s="42"/>
      <c r="D4944" s="28" t="str">
        <f aca="false">IF(OR($B4944="",$C4944=""),"",$C4944*IFERROR(INDEX(Setup!$C$47:$C$56,MATCH($B4944,Setup!$A$47:$A$56,0)),IFERROR(INDEX(Setup!$C$60:$C$89,MATCH($B4944,Setup!$A$60:$A$89,0)),"")))</f>
        <v/>
      </c>
      <c r="E4944" s="42"/>
      <c r="F4944" s="42"/>
    </row>
    <row r="4945" customFormat="false" ht="15" hidden="false" customHeight="true" outlineLevel="0" collapsed="false">
      <c r="A4945" s="42"/>
      <c r="B4945" s="42"/>
      <c r="C4945" s="42"/>
      <c r="D4945" s="28" t="str">
        <f aca="false">IF(OR($B4945="",$C4945=""),"",$C4945*IFERROR(INDEX(Setup!$C$47:$C$56,MATCH($B4945,Setup!$A$47:$A$56,0)),IFERROR(INDEX(Setup!$C$60:$C$89,MATCH($B4945,Setup!$A$60:$A$89,0)),"")))</f>
        <v/>
      </c>
      <c r="E4945" s="42"/>
      <c r="F4945" s="42"/>
    </row>
    <row r="4946" customFormat="false" ht="15" hidden="false" customHeight="true" outlineLevel="0" collapsed="false">
      <c r="A4946" s="42"/>
      <c r="B4946" s="42"/>
      <c r="C4946" s="42"/>
      <c r="D4946" s="28" t="str">
        <f aca="false">IF(OR($B4946="",$C4946=""),"",$C4946*IFERROR(INDEX(Setup!$C$47:$C$56,MATCH($B4946,Setup!$A$47:$A$56,0)),IFERROR(INDEX(Setup!$C$60:$C$89,MATCH($B4946,Setup!$A$60:$A$89,0)),"")))</f>
        <v/>
      </c>
      <c r="E4946" s="42"/>
      <c r="F4946" s="42"/>
    </row>
    <row r="4947" customFormat="false" ht="15" hidden="false" customHeight="true" outlineLevel="0" collapsed="false">
      <c r="A4947" s="42"/>
      <c r="B4947" s="42"/>
      <c r="C4947" s="42"/>
      <c r="D4947" s="28" t="str">
        <f aca="false">IF(OR($B4947="",$C4947=""),"",$C4947*IFERROR(INDEX(Setup!$C$47:$C$56,MATCH($B4947,Setup!$A$47:$A$56,0)),IFERROR(INDEX(Setup!$C$60:$C$89,MATCH($B4947,Setup!$A$60:$A$89,0)),"")))</f>
        <v/>
      </c>
      <c r="E4947" s="42"/>
      <c r="F4947" s="42"/>
    </row>
    <row r="4948" customFormat="false" ht="15" hidden="false" customHeight="true" outlineLevel="0" collapsed="false">
      <c r="A4948" s="42"/>
      <c r="B4948" s="42"/>
      <c r="C4948" s="42"/>
      <c r="D4948" s="28" t="str">
        <f aca="false">IF(OR($B4948="",$C4948=""),"",$C4948*IFERROR(INDEX(Setup!$C$47:$C$56,MATCH($B4948,Setup!$A$47:$A$56,0)),IFERROR(INDEX(Setup!$C$60:$C$89,MATCH($B4948,Setup!$A$60:$A$89,0)),"")))</f>
        <v/>
      </c>
      <c r="E4948" s="42"/>
      <c r="F4948" s="42"/>
    </row>
    <row r="4949" customFormat="false" ht="15" hidden="false" customHeight="true" outlineLevel="0" collapsed="false">
      <c r="A4949" s="42"/>
      <c r="B4949" s="42"/>
      <c r="C4949" s="42"/>
      <c r="D4949" s="28" t="str">
        <f aca="false">IF(OR($B4949="",$C4949=""),"",$C4949*IFERROR(INDEX(Setup!$C$47:$C$56,MATCH($B4949,Setup!$A$47:$A$56,0)),IFERROR(INDEX(Setup!$C$60:$C$89,MATCH($B4949,Setup!$A$60:$A$89,0)),"")))</f>
        <v/>
      </c>
      <c r="E4949" s="42"/>
      <c r="F4949" s="42"/>
    </row>
    <row r="4950" customFormat="false" ht="15" hidden="false" customHeight="true" outlineLevel="0" collapsed="false">
      <c r="A4950" s="42"/>
      <c r="B4950" s="42"/>
      <c r="C4950" s="42"/>
      <c r="D4950" s="28" t="str">
        <f aca="false">IF(OR($B4950="",$C4950=""),"",$C4950*IFERROR(INDEX(Setup!$C$47:$C$56,MATCH($B4950,Setup!$A$47:$A$56,0)),IFERROR(INDEX(Setup!$C$60:$C$89,MATCH($B4950,Setup!$A$60:$A$89,0)),"")))</f>
        <v/>
      </c>
      <c r="E4950" s="42"/>
      <c r="F4950" s="42"/>
    </row>
    <row r="4951" customFormat="false" ht="15" hidden="false" customHeight="true" outlineLevel="0" collapsed="false">
      <c r="A4951" s="42"/>
      <c r="B4951" s="42"/>
      <c r="C4951" s="42"/>
      <c r="D4951" s="28" t="str">
        <f aca="false">IF(OR($B4951="",$C4951=""),"",$C4951*IFERROR(INDEX(Setup!$C$47:$C$56,MATCH($B4951,Setup!$A$47:$A$56,0)),IFERROR(INDEX(Setup!$C$60:$C$89,MATCH($B4951,Setup!$A$60:$A$89,0)),"")))</f>
        <v/>
      </c>
      <c r="E4951" s="42"/>
      <c r="F4951" s="42"/>
    </row>
    <row r="4952" customFormat="false" ht="15" hidden="false" customHeight="true" outlineLevel="0" collapsed="false">
      <c r="A4952" s="42"/>
      <c r="B4952" s="42"/>
      <c r="C4952" s="42"/>
      <c r="D4952" s="28" t="str">
        <f aca="false">IF(OR($B4952="",$C4952=""),"",$C4952*IFERROR(INDEX(Setup!$C$47:$C$56,MATCH($B4952,Setup!$A$47:$A$56,0)),IFERROR(INDEX(Setup!$C$60:$C$89,MATCH($B4952,Setup!$A$60:$A$89,0)),"")))</f>
        <v/>
      </c>
      <c r="E4952" s="42"/>
      <c r="F4952" s="42"/>
    </row>
    <row r="4953" customFormat="false" ht="15" hidden="false" customHeight="true" outlineLevel="0" collapsed="false">
      <c r="A4953" s="42"/>
      <c r="B4953" s="42"/>
      <c r="C4953" s="42"/>
      <c r="D4953" s="28" t="str">
        <f aca="false">IF(OR($B4953="",$C4953=""),"",$C4953*IFERROR(INDEX(Setup!$C$47:$C$56,MATCH($B4953,Setup!$A$47:$A$56,0)),IFERROR(INDEX(Setup!$C$60:$C$89,MATCH($B4953,Setup!$A$60:$A$89,0)),"")))</f>
        <v/>
      </c>
      <c r="E4953" s="42"/>
      <c r="F4953" s="42"/>
    </row>
    <row r="4954" customFormat="false" ht="15" hidden="false" customHeight="true" outlineLevel="0" collapsed="false">
      <c r="A4954" s="42"/>
      <c r="B4954" s="42"/>
      <c r="C4954" s="42"/>
      <c r="D4954" s="28" t="str">
        <f aca="false">IF(OR($B4954="",$C4954=""),"",$C4954*IFERROR(INDEX(Setup!$C$47:$C$56,MATCH($B4954,Setup!$A$47:$A$56,0)),IFERROR(INDEX(Setup!$C$60:$C$89,MATCH($B4954,Setup!$A$60:$A$89,0)),"")))</f>
        <v/>
      </c>
      <c r="E4954" s="42"/>
      <c r="F4954" s="42"/>
    </row>
    <row r="4955" customFormat="false" ht="15" hidden="false" customHeight="true" outlineLevel="0" collapsed="false">
      <c r="A4955" s="42"/>
      <c r="B4955" s="42"/>
      <c r="C4955" s="42"/>
      <c r="D4955" s="28" t="str">
        <f aca="false">IF(OR($B4955="",$C4955=""),"",$C4955*IFERROR(INDEX(Setup!$C$47:$C$56,MATCH($B4955,Setup!$A$47:$A$56,0)),IFERROR(INDEX(Setup!$C$60:$C$89,MATCH($B4955,Setup!$A$60:$A$89,0)),"")))</f>
        <v/>
      </c>
      <c r="E4955" s="42"/>
      <c r="F4955" s="42"/>
    </row>
    <row r="4956" customFormat="false" ht="15" hidden="false" customHeight="true" outlineLevel="0" collapsed="false">
      <c r="A4956" s="42"/>
      <c r="B4956" s="42"/>
      <c r="C4956" s="42"/>
      <c r="D4956" s="28" t="str">
        <f aca="false">IF(OR($B4956="",$C4956=""),"",$C4956*IFERROR(INDEX(Setup!$C$47:$C$56,MATCH($B4956,Setup!$A$47:$A$56,0)),IFERROR(INDEX(Setup!$C$60:$C$89,MATCH($B4956,Setup!$A$60:$A$89,0)),"")))</f>
        <v/>
      </c>
      <c r="E4956" s="42"/>
      <c r="F4956" s="42"/>
    </row>
    <row r="4957" customFormat="false" ht="15" hidden="false" customHeight="true" outlineLevel="0" collapsed="false">
      <c r="A4957" s="42"/>
      <c r="B4957" s="42"/>
      <c r="C4957" s="42"/>
      <c r="D4957" s="28" t="str">
        <f aca="false">IF(OR($B4957="",$C4957=""),"",$C4957*IFERROR(INDEX(Setup!$C$47:$C$56,MATCH($B4957,Setup!$A$47:$A$56,0)),IFERROR(INDEX(Setup!$C$60:$C$89,MATCH($B4957,Setup!$A$60:$A$89,0)),"")))</f>
        <v/>
      </c>
      <c r="E4957" s="42"/>
      <c r="F4957" s="42"/>
    </row>
    <row r="4958" customFormat="false" ht="15" hidden="false" customHeight="true" outlineLevel="0" collapsed="false">
      <c r="A4958" s="42"/>
      <c r="B4958" s="42"/>
      <c r="C4958" s="42"/>
      <c r="D4958" s="28" t="str">
        <f aca="false">IF(OR($B4958="",$C4958=""),"",$C4958*IFERROR(INDEX(Setup!$C$47:$C$56,MATCH($B4958,Setup!$A$47:$A$56,0)),IFERROR(INDEX(Setup!$C$60:$C$89,MATCH($B4958,Setup!$A$60:$A$89,0)),"")))</f>
        <v/>
      </c>
      <c r="E4958" s="42"/>
      <c r="F4958" s="42"/>
    </row>
    <row r="4959" customFormat="false" ht="15" hidden="false" customHeight="true" outlineLevel="0" collapsed="false">
      <c r="A4959" s="42"/>
      <c r="B4959" s="42"/>
      <c r="C4959" s="42"/>
      <c r="D4959" s="28" t="str">
        <f aca="false">IF(OR($B4959="",$C4959=""),"",$C4959*IFERROR(INDEX(Setup!$C$47:$C$56,MATCH($B4959,Setup!$A$47:$A$56,0)),IFERROR(INDEX(Setup!$C$60:$C$89,MATCH($B4959,Setup!$A$60:$A$89,0)),"")))</f>
        <v/>
      </c>
      <c r="E4959" s="42"/>
      <c r="F4959" s="42"/>
    </row>
    <row r="4960" customFormat="false" ht="15" hidden="false" customHeight="true" outlineLevel="0" collapsed="false">
      <c r="A4960" s="42"/>
      <c r="B4960" s="42"/>
      <c r="C4960" s="42"/>
      <c r="D4960" s="28" t="str">
        <f aca="false">IF(OR($B4960="",$C4960=""),"",$C4960*IFERROR(INDEX(Setup!$C$47:$C$56,MATCH($B4960,Setup!$A$47:$A$56,0)),IFERROR(INDEX(Setup!$C$60:$C$89,MATCH($B4960,Setup!$A$60:$A$89,0)),"")))</f>
        <v/>
      </c>
      <c r="E4960" s="42"/>
      <c r="F4960" s="42"/>
    </row>
    <row r="4961" customFormat="false" ht="15" hidden="false" customHeight="true" outlineLevel="0" collapsed="false">
      <c r="A4961" s="42"/>
      <c r="B4961" s="42"/>
      <c r="C4961" s="42"/>
      <c r="D4961" s="28" t="str">
        <f aca="false">IF(OR($B4961="",$C4961=""),"",$C4961*IFERROR(INDEX(Setup!$C$47:$C$56,MATCH($B4961,Setup!$A$47:$A$56,0)),IFERROR(INDEX(Setup!$C$60:$C$89,MATCH($B4961,Setup!$A$60:$A$89,0)),"")))</f>
        <v/>
      </c>
      <c r="E4961" s="42"/>
      <c r="F4961" s="42"/>
    </row>
    <row r="4962" customFormat="false" ht="15" hidden="false" customHeight="true" outlineLevel="0" collapsed="false">
      <c r="A4962" s="42"/>
      <c r="B4962" s="42"/>
      <c r="C4962" s="42"/>
      <c r="D4962" s="28" t="str">
        <f aca="false">IF(OR($B4962="",$C4962=""),"",$C4962*IFERROR(INDEX(Setup!$C$47:$C$56,MATCH($B4962,Setup!$A$47:$A$56,0)),IFERROR(INDEX(Setup!$C$60:$C$89,MATCH($B4962,Setup!$A$60:$A$89,0)),"")))</f>
        <v/>
      </c>
      <c r="E4962" s="42"/>
      <c r="F4962" s="42"/>
    </row>
    <row r="4963" customFormat="false" ht="15" hidden="false" customHeight="true" outlineLevel="0" collapsed="false">
      <c r="A4963" s="42"/>
      <c r="B4963" s="42"/>
      <c r="C4963" s="42"/>
      <c r="D4963" s="28" t="str">
        <f aca="false">IF(OR($B4963="",$C4963=""),"",$C4963*IFERROR(INDEX(Setup!$C$47:$C$56,MATCH($B4963,Setup!$A$47:$A$56,0)),IFERROR(INDEX(Setup!$C$60:$C$89,MATCH($B4963,Setup!$A$60:$A$89,0)),"")))</f>
        <v/>
      </c>
      <c r="E4963" s="42"/>
      <c r="F4963" s="42"/>
    </row>
    <row r="4964" customFormat="false" ht="15" hidden="false" customHeight="true" outlineLevel="0" collapsed="false">
      <c r="A4964" s="42"/>
      <c r="B4964" s="42"/>
      <c r="C4964" s="42"/>
      <c r="D4964" s="28" t="str">
        <f aca="false">IF(OR($B4964="",$C4964=""),"",$C4964*IFERROR(INDEX(Setup!$C$47:$C$56,MATCH($B4964,Setup!$A$47:$A$56,0)),IFERROR(INDEX(Setup!$C$60:$C$89,MATCH($B4964,Setup!$A$60:$A$89,0)),"")))</f>
        <v/>
      </c>
      <c r="E4964" s="42"/>
      <c r="F4964" s="42"/>
    </row>
    <row r="4965" customFormat="false" ht="15" hidden="false" customHeight="true" outlineLevel="0" collapsed="false">
      <c r="A4965" s="42"/>
      <c r="B4965" s="42"/>
      <c r="C4965" s="42"/>
      <c r="D4965" s="28" t="str">
        <f aca="false">IF(OR($B4965="",$C4965=""),"",$C4965*IFERROR(INDEX(Setup!$C$47:$C$56,MATCH($B4965,Setup!$A$47:$A$56,0)),IFERROR(INDEX(Setup!$C$60:$C$89,MATCH($B4965,Setup!$A$60:$A$89,0)),"")))</f>
        <v/>
      </c>
      <c r="E4965" s="42"/>
      <c r="F4965" s="42"/>
    </row>
    <row r="4966" customFormat="false" ht="15" hidden="false" customHeight="true" outlineLevel="0" collapsed="false">
      <c r="A4966" s="42"/>
      <c r="B4966" s="42"/>
      <c r="C4966" s="42"/>
      <c r="D4966" s="28" t="str">
        <f aca="false">IF(OR($B4966="",$C4966=""),"",$C4966*IFERROR(INDEX(Setup!$C$47:$C$56,MATCH($B4966,Setup!$A$47:$A$56,0)),IFERROR(INDEX(Setup!$C$60:$C$89,MATCH($B4966,Setup!$A$60:$A$89,0)),"")))</f>
        <v/>
      </c>
      <c r="E4966" s="42"/>
      <c r="F4966" s="42"/>
    </row>
    <row r="4967" customFormat="false" ht="15" hidden="false" customHeight="true" outlineLevel="0" collapsed="false">
      <c r="A4967" s="42"/>
      <c r="B4967" s="42"/>
      <c r="C4967" s="42"/>
      <c r="D4967" s="28" t="str">
        <f aca="false">IF(OR($B4967="",$C4967=""),"",$C4967*IFERROR(INDEX(Setup!$C$47:$C$56,MATCH($B4967,Setup!$A$47:$A$56,0)),IFERROR(INDEX(Setup!$C$60:$C$89,MATCH($B4967,Setup!$A$60:$A$89,0)),"")))</f>
        <v/>
      </c>
      <c r="E4967" s="42"/>
      <c r="F4967" s="42"/>
    </row>
    <row r="4968" customFormat="false" ht="15" hidden="false" customHeight="true" outlineLevel="0" collapsed="false">
      <c r="A4968" s="42"/>
      <c r="B4968" s="42"/>
      <c r="C4968" s="42"/>
      <c r="D4968" s="28" t="str">
        <f aca="false">IF(OR($B4968="",$C4968=""),"",$C4968*IFERROR(INDEX(Setup!$C$47:$C$56,MATCH($B4968,Setup!$A$47:$A$56,0)),IFERROR(INDEX(Setup!$C$60:$C$89,MATCH($B4968,Setup!$A$60:$A$89,0)),"")))</f>
        <v/>
      </c>
      <c r="E4968" s="42"/>
      <c r="F4968" s="42"/>
    </row>
    <row r="4969" customFormat="false" ht="15" hidden="false" customHeight="true" outlineLevel="0" collapsed="false">
      <c r="A4969" s="42"/>
      <c r="B4969" s="42"/>
      <c r="C4969" s="42"/>
      <c r="D4969" s="28" t="str">
        <f aca="false">IF(OR($B4969="",$C4969=""),"",$C4969*IFERROR(INDEX(Setup!$C$47:$C$56,MATCH($B4969,Setup!$A$47:$A$56,0)),IFERROR(INDEX(Setup!$C$60:$C$89,MATCH($B4969,Setup!$A$60:$A$89,0)),"")))</f>
        <v/>
      </c>
      <c r="E4969" s="42"/>
      <c r="F4969" s="42"/>
    </row>
    <row r="4970" customFormat="false" ht="15" hidden="false" customHeight="true" outlineLevel="0" collapsed="false">
      <c r="A4970" s="42"/>
      <c r="B4970" s="42"/>
      <c r="C4970" s="42"/>
      <c r="D4970" s="28" t="str">
        <f aca="false">IF(OR($B4970="",$C4970=""),"",$C4970*IFERROR(INDEX(Setup!$C$47:$C$56,MATCH($B4970,Setup!$A$47:$A$56,0)),IFERROR(INDEX(Setup!$C$60:$C$89,MATCH($B4970,Setup!$A$60:$A$89,0)),"")))</f>
        <v/>
      </c>
      <c r="E4970" s="42"/>
      <c r="F4970" s="42"/>
    </row>
    <row r="4971" customFormat="false" ht="15" hidden="false" customHeight="true" outlineLevel="0" collapsed="false">
      <c r="A4971" s="42"/>
      <c r="B4971" s="42"/>
      <c r="C4971" s="42"/>
      <c r="D4971" s="28" t="str">
        <f aca="false">IF(OR($B4971="",$C4971=""),"",$C4971*IFERROR(INDEX(Setup!$C$47:$C$56,MATCH($B4971,Setup!$A$47:$A$56,0)),IFERROR(INDEX(Setup!$C$60:$C$89,MATCH($B4971,Setup!$A$60:$A$89,0)),"")))</f>
        <v/>
      </c>
      <c r="E4971" s="42"/>
      <c r="F4971" s="42"/>
    </row>
    <row r="4972" customFormat="false" ht="15" hidden="false" customHeight="true" outlineLevel="0" collapsed="false">
      <c r="A4972" s="42"/>
      <c r="B4972" s="42"/>
      <c r="C4972" s="42"/>
      <c r="D4972" s="28" t="str">
        <f aca="false">IF(OR($B4972="",$C4972=""),"",$C4972*IFERROR(INDEX(Setup!$C$47:$C$56,MATCH($B4972,Setup!$A$47:$A$56,0)),IFERROR(INDEX(Setup!$C$60:$C$89,MATCH($B4972,Setup!$A$60:$A$89,0)),"")))</f>
        <v/>
      </c>
      <c r="E4972" s="42"/>
      <c r="F4972" s="42"/>
    </row>
    <row r="4973" customFormat="false" ht="15" hidden="false" customHeight="true" outlineLevel="0" collapsed="false">
      <c r="A4973" s="42"/>
      <c r="B4973" s="42"/>
      <c r="C4973" s="42"/>
      <c r="D4973" s="28" t="str">
        <f aca="false">IF(OR($B4973="",$C4973=""),"",$C4973*IFERROR(INDEX(Setup!$C$47:$C$56,MATCH($B4973,Setup!$A$47:$A$56,0)),IFERROR(INDEX(Setup!$C$60:$C$89,MATCH($B4973,Setup!$A$60:$A$89,0)),"")))</f>
        <v/>
      </c>
      <c r="E4973" s="42"/>
      <c r="F4973" s="42"/>
    </row>
    <row r="4974" customFormat="false" ht="15" hidden="false" customHeight="true" outlineLevel="0" collapsed="false">
      <c r="A4974" s="42"/>
      <c r="B4974" s="42"/>
      <c r="C4974" s="42"/>
      <c r="D4974" s="28" t="str">
        <f aca="false">IF(OR($B4974="",$C4974=""),"",$C4974*IFERROR(INDEX(Setup!$C$47:$C$56,MATCH($B4974,Setup!$A$47:$A$56,0)),IFERROR(INDEX(Setup!$C$60:$C$89,MATCH($B4974,Setup!$A$60:$A$89,0)),"")))</f>
        <v/>
      </c>
      <c r="E4974" s="42"/>
      <c r="F4974" s="42"/>
    </row>
    <row r="4975" customFormat="false" ht="15" hidden="false" customHeight="true" outlineLevel="0" collapsed="false">
      <c r="A4975" s="42"/>
      <c r="B4975" s="42"/>
      <c r="C4975" s="42"/>
      <c r="D4975" s="28" t="str">
        <f aca="false">IF(OR($B4975="",$C4975=""),"",$C4975*IFERROR(INDEX(Setup!$C$47:$C$56,MATCH($B4975,Setup!$A$47:$A$56,0)),IFERROR(INDEX(Setup!$C$60:$C$89,MATCH($B4975,Setup!$A$60:$A$89,0)),"")))</f>
        <v/>
      </c>
      <c r="E4975" s="42"/>
      <c r="F4975" s="42"/>
    </row>
    <row r="4976" customFormat="false" ht="15" hidden="false" customHeight="true" outlineLevel="0" collapsed="false">
      <c r="A4976" s="42"/>
      <c r="B4976" s="42"/>
      <c r="C4976" s="42"/>
      <c r="D4976" s="28" t="str">
        <f aca="false">IF(OR($B4976="",$C4976=""),"",$C4976*IFERROR(INDEX(Setup!$C$47:$C$56,MATCH($B4976,Setup!$A$47:$A$56,0)),IFERROR(INDEX(Setup!$C$60:$C$89,MATCH($B4976,Setup!$A$60:$A$89,0)),"")))</f>
        <v/>
      </c>
      <c r="E4976" s="42"/>
      <c r="F4976" s="42"/>
    </row>
    <row r="4977" customFormat="false" ht="15" hidden="false" customHeight="true" outlineLevel="0" collapsed="false">
      <c r="A4977" s="42"/>
      <c r="B4977" s="42"/>
      <c r="C4977" s="42"/>
      <c r="D4977" s="28" t="str">
        <f aca="false">IF(OR($B4977="",$C4977=""),"",$C4977*IFERROR(INDEX(Setup!$C$47:$C$56,MATCH($B4977,Setup!$A$47:$A$56,0)),IFERROR(INDEX(Setup!$C$60:$C$89,MATCH($B4977,Setup!$A$60:$A$89,0)),"")))</f>
        <v/>
      </c>
      <c r="E4977" s="42"/>
      <c r="F4977" s="42"/>
    </row>
    <row r="4978" customFormat="false" ht="15" hidden="false" customHeight="true" outlineLevel="0" collapsed="false">
      <c r="A4978" s="42"/>
      <c r="B4978" s="42"/>
      <c r="C4978" s="42"/>
      <c r="D4978" s="28" t="str">
        <f aca="false">IF(OR($B4978="",$C4978=""),"",$C4978*IFERROR(INDEX(Setup!$C$47:$C$56,MATCH($B4978,Setup!$A$47:$A$56,0)),IFERROR(INDEX(Setup!$C$60:$C$89,MATCH($B4978,Setup!$A$60:$A$89,0)),"")))</f>
        <v/>
      </c>
      <c r="E4978" s="42"/>
      <c r="F4978" s="42"/>
    </row>
    <row r="4979" customFormat="false" ht="15" hidden="false" customHeight="true" outlineLevel="0" collapsed="false">
      <c r="A4979" s="42"/>
      <c r="B4979" s="42"/>
      <c r="C4979" s="42"/>
      <c r="D4979" s="28" t="str">
        <f aca="false">IF(OR($B4979="",$C4979=""),"",$C4979*IFERROR(INDEX(Setup!$C$47:$C$56,MATCH($B4979,Setup!$A$47:$A$56,0)),IFERROR(INDEX(Setup!$C$60:$C$89,MATCH($B4979,Setup!$A$60:$A$89,0)),"")))</f>
        <v/>
      </c>
      <c r="E4979" s="42"/>
      <c r="F4979" s="42"/>
    </row>
    <row r="4980" customFormat="false" ht="15" hidden="false" customHeight="true" outlineLevel="0" collapsed="false">
      <c r="A4980" s="42"/>
      <c r="B4980" s="42"/>
      <c r="C4980" s="42"/>
      <c r="D4980" s="28" t="str">
        <f aca="false">IF(OR($B4980="",$C4980=""),"",$C4980*IFERROR(INDEX(Setup!$C$47:$C$56,MATCH($B4980,Setup!$A$47:$A$56,0)),IFERROR(INDEX(Setup!$C$60:$C$89,MATCH($B4980,Setup!$A$60:$A$89,0)),"")))</f>
        <v/>
      </c>
      <c r="E4980" s="42"/>
      <c r="F4980" s="42"/>
    </row>
    <row r="4981" customFormat="false" ht="15" hidden="false" customHeight="true" outlineLevel="0" collapsed="false">
      <c r="A4981" s="42"/>
      <c r="B4981" s="42"/>
      <c r="C4981" s="42"/>
      <c r="D4981" s="28" t="str">
        <f aca="false">IF(OR($B4981="",$C4981=""),"",$C4981*IFERROR(INDEX(Setup!$C$47:$C$56,MATCH($B4981,Setup!$A$47:$A$56,0)),IFERROR(INDEX(Setup!$C$60:$C$89,MATCH($B4981,Setup!$A$60:$A$89,0)),"")))</f>
        <v/>
      </c>
      <c r="E4981" s="42"/>
      <c r="F4981" s="42"/>
    </row>
    <row r="4982" customFormat="false" ht="15" hidden="false" customHeight="true" outlineLevel="0" collapsed="false">
      <c r="A4982" s="42"/>
      <c r="B4982" s="42"/>
      <c r="C4982" s="42"/>
      <c r="D4982" s="28" t="str">
        <f aca="false">IF(OR($B4982="",$C4982=""),"",$C4982*IFERROR(INDEX(Setup!$C$47:$C$56,MATCH($B4982,Setup!$A$47:$A$56,0)),IFERROR(INDEX(Setup!$C$60:$C$89,MATCH($B4982,Setup!$A$60:$A$89,0)),"")))</f>
        <v/>
      </c>
      <c r="E4982" s="42"/>
      <c r="F4982" s="42"/>
    </row>
    <row r="4983" customFormat="false" ht="15" hidden="false" customHeight="true" outlineLevel="0" collapsed="false">
      <c r="A4983" s="42"/>
      <c r="B4983" s="42"/>
      <c r="C4983" s="42"/>
      <c r="D4983" s="28" t="str">
        <f aca="false">IF(OR($B4983="",$C4983=""),"",$C4983*IFERROR(INDEX(Setup!$C$47:$C$56,MATCH($B4983,Setup!$A$47:$A$56,0)),IFERROR(INDEX(Setup!$C$60:$C$89,MATCH($B4983,Setup!$A$60:$A$89,0)),"")))</f>
        <v/>
      </c>
      <c r="E4983" s="42"/>
      <c r="F4983" s="42"/>
    </row>
    <row r="4984" customFormat="false" ht="15" hidden="false" customHeight="true" outlineLevel="0" collapsed="false">
      <c r="A4984" s="42"/>
      <c r="B4984" s="42"/>
      <c r="C4984" s="42"/>
      <c r="D4984" s="28" t="str">
        <f aca="false">IF(OR($B4984="",$C4984=""),"",$C4984*IFERROR(INDEX(Setup!$C$47:$C$56,MATCH($B4984,Setup!$A$47:$A$56,0)),IFERROR(INDEX(Setup!$C$60:$C$89,MATCH($B4984,Setup!$A$60:$A$89,0)),"")))</f>
        <v/>
      </c>
      <c r="E4984" s="42"/>
      <c r="F4984" s="42"/>
    </row>
    <row r="4985" customFormat="false" ht="15" hidden="false" customHeight="true" outlineLevel="0" collapsed="false">
      <c r="A4985" s="42"/>
      <c r="B4985" s="42"/>
      <c r="C4985" s="42"/>
      <c r="D4985" s="28" t="str">
        <f aca="false">IF(OR($B4985="",$C4985=""),"",$C4985*IFERROR(INDEX(Setup!$C$47:$C$56,MATCH($B4985,Setup!$A$47:$A$56,0)),IFERROR(INDEX(Setup!$C$60:$C$89,MATCH($B4985,Setup!$A$60:$A$89,0)),"")))</f>
        <v/>
      </c>
      <c r="E4985" s="42"/>
      <c r="F4985" s="42"/>
    </row>
    <row r="4986" customFormat="false" ht="15" hidden="false" customHeight="true" outlineLevel="0" collapsed="false">
      <c r="A4986" s="42"/>
      <c r="B4986" s="42"/>
      <c r="C4986" s="42"/>
      <c r="D4986" s="28" t="str">
        <f aca="false">IF(OR($B4986="",$C4986=""),"",$C4986*IFERROR(INDEX(Setup!$C$47:$C$56,MATCH($B4986,Setup!$A$47:$A$56,0)),IFERROR(INDEX(Setup!$C$60:$C$89,MATCH($B4986,Setup!$A$60:$A$89,0)),"")))</f>
        <v/>
      </c>
      <c r="E4986" s="42"/>
      <c r="F4986" s="42"/>
    </row>
    <row r="4987" customFormat="false" ht="15" hidden="false" customHeight="true" outlineLevel="0" collapsed="false">
      <c r="A4987" s="42"/>
      <c r="B4987" s="42"/>
      <c r="C4987" s="42"/>
      <c r="D4987" s="28" t="str">
        <f aca="false">IF(OR($B4987="",$C4987=""),"",$C4987*IFERROR(INDEX(Setup!$C$47:$C$56,MATCH($B4987,Setup!$A$47:$A$56,0)),IFERROR(INDEX(Setup!$C$60:$C$89,MATCH($B4987,Setup!$A$60:$A$89,0)),"")))</f>
        <v/>
      </c>
      <c r="E4987" s="42"/>
      <c r="F4987" s="42"/>
    </row>
    <row r="4988" customFormat="false" ht="15" hidden="false" customHeight="true" outlineLevel="0" collapsed="false">
      <c r="A4988" s="42"/>
      <c r="B4988" s="42"/>
      <c r="C4988" s="42"/>
      <c r="D4988" s="28" t="str">
        <f aca="false">IF(OR($B4988="",$C4988=""),"",$C4988*IFERROR(INDEX(Setup!$C$47:$C$56,MATCH($B4988,Setup!$A$47:$A$56,0)),IFERROR(INDEX(Setup!$C$60:$C$89,MATCH($B4988,Setup!$A$60:$A$89,0)),"")))</f>
        <v/>
      </c>
      <c r="E4988" s="42"/>
      <c r="F4988" s="42"/>
    </row>
    <row r="4989" customFormat="false" ht="15" hidden="false" customHeight="true" outlineLevel="0" collapsed="false">
      <c r="A4989" s="42"/>
      <c r="B4989" s="42"/>
      <c r="C4989" s="42"/>
      <c r="D4989" s="28" t="str">
        <f aca="false">IF(OR($B4989="",$C4989=""),"",$C4989*IFERROR(INDEX(Setup!$C$47:$C$56,MATCH($B4989,Setup!$A$47:$A$56,0)),IFERROR(INDEX(Setup!$C$60:$C$89,MATCH($B4989,Setup!$A$60:$A$89,0)),"")))</f>
        <v/>
      </c>
      <c r="E4989" s="42"/>
      <c r="F4989" s="42"/>
    </row>
    <row r="4990" customFormat="false" ht="15" hidden="false" customHeight="true" outlineLevel="0" collapsed="false">
      <c r="A4990" s="42"/>
      <c r="B4990" s="42"/>
      <c r="C4990" s="42"/>
      <c r="D4990" s="28" t="str">
        <f aca="false">IF(OR($B4990="",$C4990=""),"",$C4990*IFERROR(INDEX(Setup!$C$47:$C$56,MATCH($B4990,Setup!$A$47:$A$56,0)),IFERROR(INDEX(Setup!$C$60:$C$89,MATCH($B4990,Setup!$A$60:$A$89,0)),"")))</f>
        <v/>
      </c>
      <c r="E4990" s="42"/>
      <c r="F4990" s="42"/>
    </row>
    <row r="4991" customFormat="false" ht="15" hidden="false" customHeight="true" outlineLevel="0" collapsed="false">
      <c r="A4991" s="42"/>
      <c r="B4991" s="42"/>
      <c r="C4991" s="42"/>
      <c r="D4991" s="28" t="str">
        <f aca="false">IF(OR($B4991="",$C4991=""),"",$C4991*IFERROR(INDEX(Setup!$C$47:$C$56,MATCH($B4991,Setup!$A$47:$A$56,0)),IFERROR(INDEX(Setup!$C$60:$C$89,MATCH($B4991,Setup!$A$60:$A$89,0)),"")))</f>
        <v/>
      </c>
      <c r="E4991" s="42"/>
      <c r="F4991" s="42"/>
    </row>
    <row r="4992" customFormat="false" ht="15" hidden="false" customHeight="true" outlineLevel="0" collapsed="false">
      <c r="A4992" s="42"/>
      <c r="B4992" s="42"/>
      <c r="C4992" s="42"/>
      <c r="D4992" s="28" t="str">
        <f aca="false">IF(OR($B4992="",$C4992=""),"",$C4992*IFERROR(INDEX(Setup!$C$47:$C$56,MATCH($B4992,Setup!$A$47:$A$56,0)),IFERROR(INDEX(Setup!$C$60:$C$89,MATCH($B4992,Setup!$A$60:$A$89,0)),"")))</f>
        <v/>
      </c>
      <c r="E4992" s="42"/>
      <c r="F4992" s="42"/>
    </row>
    <row r="4993" customFormat="false" ht="15" hidden="false" customHeight="true" outlineLevel="0" collapsed="false">
      <c r="A4993" s="42"/>
      <c r="B4993" s="42"/>
      <c r="C4993" s="42"/>
      <c r="D4993" s="28" t="str">
        <f aca="false">IF(OR($B4993="",$C4993=""),"",$C4993*IFERROR(INDEX(Setup!$C$47:$C$56,MATCH($B4993,Setup!$A$47:$A$56,0)),IFERROR(INDEX(Setup!$C$60:$C$89,MATCH($B4993,Setup!$A$60:$A$89,0)),"")))</f>
        <v/>
      </c>
      <c r="E4993" s="42"/>
      <c r="F4993" s="42"/>
    </row>
    <row r="4994" customFormat="false" ht="15" hidden="false" customHeight="true" outlineLevel="0" collapsed="false">
      <c r="A4994" s="42"/>
      <c r="B4994" s="42"/>
      <c r="C4994" s="42"/>
      <c r="D4994" s="28" t="str">
        <f aca="false">IF(OR($B4994="",$C4994=""),"",$C4994*IFERROR(INDEX(Setup!$C$47:$C$56,MATCH($B4994,Setup!$A$47:$A$56,0)),IFERROR(INDEX(Setup!$C$60:$C$89,MATCH($B4994,Setup!$A$60:$A$89,0)),"")))</f>
        <v/>
      </c>
      <c r="E4994" s="42"/>
      <c r="F4994" s="42"/>
    </row>
    <row r="4995" customFormat="false" ht="15" hidden="false" customHeight="true" outlineLevel="0" collapsed="false">
      <c r="A4995" s="42"/>
      <c r="B4995" s="42"/>
      <c r="C4995" s="42"/>
      <c r="D4995" s="28" t="str">
        <f aca="false">IF(OR($B4995="",$C4995=""),"",$C4995*IFERROR(INDEX(Setup!$C$47:$C$56,MATCH($B4995,Setup!$A$47:$A$56,0)),IFERROR(INDEX(Setup!$C$60:$C$89,MATCH($B4995,Setup!$A$60:$A$89,0)),"")))</f>
        <v/>
      </c>
      <c r="E4995" s="42"/>
      <c r="F4995" s="42"/>
    </row>
    <row r="4996" customFormat="false" ht="15" hidden="false" customHeight="true" outlineLevel="0" collapsed="false">
      <c r="A4996" s="42"/>
      <c r="B4996" s="42"/>
      <c r="C4996" s="42"/>
      <c r="D4996" s="28" t="str">
        <f aca="false">IF(OR($B4996="",$C4996=""),"",$C4996*IFERROR(INDEX(Setup!$C$47:$C$56,MATCH($B4996,Setup!$A$47:$A$56,0)),IFERROR(INDEX(Setup!$C$60:$C$89,MATCH($B4996,Setup!$A$60:$A$89,0)),"")))</f>
        <v/>
      </c>
      <c r="E4996" s="42"/>
      <c r="F4996" s="42"/>
    </row>
    <row r="4997" customFormat="false" ht="15" hidden="false" customHeight="true" outlineLevel="0" collapsed="false">
      <c r="A4997" s="42"/>
      <c r="B4997" s="42"/>
      <c r="C4997" s="42"/>
      <c r="D4997" s="28" t="str">
        <f aca="false">IF(OR($B4997="",$C4997=""),"",$C4997*IFERROR(INDEX(Setup!$C$47:$C$56,MATCH($B4997,Setup!$A$47:$A$56,0)),IFERROR(INDEX(Setup!$C$60:$C$89,MATCH($B4997,Setup!$A$60:$A$89,0)),"")))</f>
        <v/>
      </c>
      <c r="E4997" s="42"/>
      <c r="F4997" s="42"/>
    </row>
    <row r="4998" customFormat="false" ht="15" hidden="false" customHeight="true" outlineLevel="0" collapsed="false">
      <c r="A4998" s="42"/>
      <c r="B4998" s="42"/>
      <c r="C4998" s="42"/>
      <c r="D4998" s="28" t="str">
        <f aca="false">IF(OR($B4998="",$C4998=""),"",$C4998*IFERROR(INDEX(Setup!$C$47:$C$56,MATCH($B4998,Setup!$A$47:$A$56,0)),IFERROR(INDEX(Setup!$C$60:$C$89,MATCH($B4998,Setup!$A$60:$A$89,0)),"")))</f>
        <v/>
      </c>
      <c r="E4998" s="42"/>
      <c r="F4998" s="42"/>
    </row>
  </sheetData>
  <autoFilter ref="A1:F4998"/>
  <dataValidations count="1">
    <dataValidation allowBlank="true" errorStyle="stop" operator="between" showDropDown="false" showErrorMessage="false" showInputMessage="false" sqref="E2:E4998" type="list">
      <formula1>"Audit correction,Manual fill / top-up,Other"</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SLB-Private</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H5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4" activeCellId="0" sqref="A14"/>
    </sheetView>
  </sheetViews>
  <sheetFormatPr defaultColWidth="8.71484375" defaultRowHeight="15" zeroHeight="false" outlineLevelRow="0" outlineLevelCol="0"/>
  <cols>
    <col collapsed="false" customWidth="true" hidden="false" outlineLevel="0" max="1" min="1" style="1" width="50.71"/>
    <col collapsed="false" customWidth="true" hidden="false" outlineLevel="0" max="2" min="2" style="1" width="18.71"/>
    <col collapsed="false" customWidth="true" hidden="false" outlineLevel="0" max="3" min="3" style="1" width="9"/>
    <col collapsed="false" customWidth="true" hidden="false" outlineLevel="0" max="4" min="4" style="1" width="14.29"/>
    <col collapsed="false" customWidth="true" hidden="false" outlineLevel="0" max="5" min="5" style="1" width="25.29"/>
    <col collapsed="false" customWidth="true" hidden="false" outlineLevel="0" max="6" min="6" style="43" width="22.57"/>
    <col collapsed="false" customWidth="true" hidden="false" outlineLevel="0" max="7" min="7" style="1" width="21.43"/>
    <col collapsed="false" customWidth="true" hidden="true" outlineLevel="0" max="8" min="8" style="1" width="17"/>
  </cols>
  <sheetData>
    <row r="1" customFormat="false" ht="42" hidden="false" customHeight="true" outlineLevel="0" collapsed="false">
      <c r="A1" s="44" t="s">
        <v>92</v>
      </c>
      <c r="B1" s="45" t="n">
        <f aca="true">NOW()</f>
        <v>46279.5987656888</v>
      </c>
      <c r="C1" s="46"/>
      <c r="D1" s="46"/>
      <c r="E1" s="46"/>
      <c r="F1" s="46"/>
      <c r="G1" s="46"/>
      <c r="H1" s="46"/>
    </row>
    <row r="2" customFormat="false" ht="30" hidden="false" customHeight="true" outlineLevel="0" collapsed="false">
      <c r="A2" s="47" t="s">
        <v>93</v>
      </c>
      <c r="B2" s="47" t="s">
        <v>94</v>
      </c>
      <c r="C2" s="11" t="s">
        <v>95</v>
      </c>
      <c r="D2" s="11" t="s">
        <v>96</v>
      </c>
      <c r="E2" s="11" t="s">
        <v>97</v>
      </c>
      <c r="F2" s="11" t="s">
        <v>98</v>
      </c>
      <c r="G2" s="11" t="s">
        <v>16</v>
      </c>
      <c r="H2" s="11" t="s">
        <v>99</v>
      </c>
    </row>
    <row r="3" customFormat="false" ht="15" hidden="false" customHeight="true" outlineLevel="0" collapsed="false">
      <c r="A3" s="29" t="s">
        <v>50</v>
      </c>
      <c r="B3" s="26" t="n">
        <v>46278.3958333333</v>
      </c>
      <c r="C3" s="27" t="n">
        <v>5</v>
      </c>
      <c r="D3" s="27" t="n">
        <v>24</v>
      </c>
      <c r="E3" s="27" t="n">
        <v>1</v>
      </c>
      <c r="F3" s="48" t="n">
        <f aca="false">IF(OR(C3="",D3="",E3="",E3=0),0,C3*D3/E3)</f>
        <v>120</v>
      </c>
      <c r="G3" s="27" t="s">
        <v>100</v>
      </c>
      <c r="H3" s="49" t="n">
        <f aca="true">IF(OR($A3="",_xlfn.MINIFS($B$3:$B$5000,$A$3:$A$5000,$A3,$B$3:$B$5000,"&gt;"&amp;$B3)=0),NOW(),_xlfn.MINIFS($B$3:$B$5000,$A$3:$A$5000,$A3,$B$3:$B$5000,"&gt;"&amp;$B3))</f>
        <v>46279.5987642727</v>
      </c>
    </row>
    <row r="4" customFormat="false" ht="15" hidden="false" customHeight="true" outlineLevel="0" collapsed="false">
      <c r="A4" s="29" t="s">
        <v>51</v>
      </c>
      <c r="B4" s="26" t="n">
        <v>46278.3958333333</v>
      </c>
      <c r="C4" s="27" t="n">
        <v>0</v>
      </c>
      <c r="D4" s="27" t="n">
        <v>24</v>
      </c>
      <c r="E4" s="27" t="n">
        <v>1</v>
      </c>
      <c r="F4" s="48" t="n">
        <f aca="false">IF(OR(C4="",D4="",E4="",E4=0),0,C4*D4/E4)</f>
        <v>0</v>
      </c>
      <c r="G4" s="27" t="s">
        <v>100</v>
      </c>
      <c r="H4" s="49" t="n">
        <f aca="true">IF(OR($A4="",_xlfn.MINIFS($B$3:$B$5000,$A$3:$A$5000,$A4,$B$3:$B$5000,"&gt;"&amp;$B4)=0),NOW(),_xlfn.MINIFS($B$3:$B$5000,$A$3:$A$5000,$A4,$B$3:$B$5000,"&gt;"&amp;$B4))</f>
        <v>46279.5987642729</v>
      </c>
    </row>
    <row r="5" customFormat="false" ht="15" hidden="false" customHeight="true" outlineLevel="0" collapsed="false">
      <c r="A5" s="29" t="s">
        <v>52</v>
      </c>
      <c r="B5" s="26" t="n">
        <v>46278.3958333333</v>
      </c>
      <c r="C5" s="27" t="n">
        <v>1</v>
      </c>
      <c r="D5" s="27" t="n">
        <v>24</v>
      </c>
      <c r="E5" s="27" t="n">
        <v>1</v>
      </c>
      <c r="F5" s="48" t="n">
        <f aca="false">IF(OR(C5="",D5="",E5="",E5=0),0,C5*D5/E5)</f>
        <v>24</v>
      </c>
      <c r="G5" s="27" t="s">
        <v>100</v>
      </c>
      <c r="H5" s="49" t="n">
        <f aca="true">IF(OR($A5="",_xlfn.MINIFS($B$3:$B$5000,$A$3:$A$5000,$A5,$B$3:$B$5000,"&gt;"&amp;$B5)=0),NOW(),_xlfn.MINIFS($B$3:$B$5000,$A$3:$A$5000,$A5,$B$3:$B$5000,"&gt;"&amp;$B5))</f>
        <v>46279.5987642729</v>
      </c>
    </row>
    <row r="6" customFormat="false" ht="15" hidden="false" customHeight="true" outlineLevel="0" collapsed="false">
      <c r="A6" s="29" t="s">
        <v>53</v>
      </c>
      <c r="B6" s="26" t="n">
        <v>46278.3958333333</v>
      </c>
      <c r="C6" s="27" t="n">
        <v>0</v>
      </c>
      <c r="D6" s="27" t="n">
        <v>24</v>
      </c>
      <c r="E6" s="27" t="n">
        <v>1</v>
      </c>
      <c r="F6" s="48" t="n">
        <f aca="false">IF(OR(C6="",D6="",E6="",E6=0),0,C6*D6/E6)</f>
        <v>0</v>
      </c>
      <c r="G6" s="27" t="s">
        <v>100</v>
      </c>
      <c r="H6" s="49" t="n">
        <f aca="true">IF(OR($A6="",_xlfn.MINIFS($B$3:$B$5000,$A$3:$A$5000,$A6,$B$3:$B$5000,"&gt;"&amp;$B6)=0),NOW(),_xlfn.MINIFS($B$3:$B$5000,$A$3:$A$5000,$A6,$B$3:$B$5000,"&gt;"&amp;$B6))</f>
        <v>46279.598764273</v>
      </c>
    </row>
    <row r="7" customFormat="false" ht="15" hidden="false" customHeight="true" outlineLevel="0" collapsed="false">
      <c r="A7" s="29" t="s">
        <v>54</v>
      </c>
      <c r="B7" s="26" t="n">
        <v>46278.3958333333</v>
      </c>
      <c r="C7" s="27" t="n">
        <v>0.35</v>
      </c>
      <c r="D7" s="27" t="n">
        <v>24</v>
      </c>
      <c r="E7" s="27" t="n">
        <v>1</v>
      </c>
      <c r="F7" s="48" t="n">
        <f aca="false">IF(OR(C7="",D7="",E7="",E7=0),0,C7*D7/E7)</f>
        <v>8.4</v>
      </c>
      <c r="G7" s="27" t="s">
        <v>100</v>
      </c>
      <c r="H7" s="49" t="n">
        <f aca="true">IF(OR($A7="",_xlfn.MINIFS($B$3:$B$5000,$A$3:$A$5000,$A7,$B$3:$B$5000,"&gt;"&amp;$B7)=0),NOW(),_xlfn.MINIFS($B$3:$B$5000,$A$3:$A$5000,$A7,$B$3:$B$5000,"&gt;"&amp;$B7))</f>
        <v>46279.5987642731</v>
      </c>
    </row>
    <row r="8" customFormat="false" ht="15" hidden="false" customHeight="true" outlineLevel="0" collapsed="false">
      <c r="A8" s="29" t="s">
        <v>55</v>
      </c>
      <c r="B8" s="26" t="n">
        <v>46278.3958333333</v>
      </c>
      <c r="C8" s="27" t="n">
        <v>0.25</v>
      </c>
      <c r="D8" s="27" t="n">
        <v>24</v>
      </c>
      <c r="E8" s="27" t="n">
        <v>1</v>
      </c>
      <c r="F8" s="48" t="n">
        <f aca="false">IF(OR(C8="",D8="",E8="",E8=0),0,C8*D8/E8)</f>
        <v>6</v>
      </c>
      <c r="G8" s="27" t="s">
        <v>100</v>
      </c>
      <c r="H8" s="49" t="n">
        <f aca="true">IF(OR($A8="",_xlfn.MINIFS($B$3:$B$5000,$A$3:$A$5000,$A8,$B$3:$B$5000,"&gt;"&amp;$B8)=0),NOW(),_xlfn.MINIFS($B$3:$B$5000,$A$3:$A$5000,$A8,$B$3:$B$5000,"&gt;"&amp;$B8))</f>
        <v>46279.5987642732</v>
      </c>
    </row>
    <row r="9" customFormat="false" ht="15" hidden="false" customHeight="true" outlineLevel="0" collapsed="false">
      <c r="A9" s="42" t="s">
        <v>57</v>
      </c>
      <c r="B9" s="26" t="n">
        <v>46275.7083333333</v>
      </c>
      <c r="C9" s="27" t="n">
        <v>0.42</v>
      </c>
      <c r="D9" s="27" t="n">
        <v>24</v>
      </c>
      <c r="E9" s="27" t="n">
        <v>1</v>
      </c>
      <c r="F9" s="48" t="n">
        <f aca="false">IF(OR(C9="",D9="",E9="",E9=0),0,C9*D9/E9)</f>
        <v>10.08</v>
      </c>
      <c r="G9" s="27" t="s">
        <v>100</v>
      </c>
      <c r="H9" s="49" t="n">
        <f aca="true">IF(OR($A9="",_xlfn.MINIFS($B$3:$B$5000,$A$3:$A$5000,$A9,$B$3:$B$5000,"&gt;"&amp;$B9)=0),NOW(),_xlfn.MINIFS($B$3:$B$5000,$A$3:$A$5000,$A9,$B$3:$B$5000,"&gt;"&amp;$B9))</f>
        <v>46279.5987642733</v>
      </c>
    </row>
    <row r="10" customFormat="false" ht="15" hidden="false" customHeight="true" outlineLevel="0" collapsed="false">
      <c r="A10" s="42" t="s">
        <v>58</v>
      </c>
      <c r="B10" s="26" t="n">
        <v>46275.7083333333</v>
      </c>
      <c r="C10" s="27" t="n">
        <v>0.6</v>
      </c>
      <c r="D10" s="27" t="n">
        <v>5</v>
      </c>
      <c r="E10" s="27" t="n">
        <v>14</v>
      </c>
      <c r="F10" s="48" t="n">
        <f aca="false">IF(OR(C10="",D10="",E10="",E10=0),0,C10*D10/E10)</f>
        <v>0.214285714285714</v>
      </c>
      <c r="G10" s="27" t="s">
        <v>100</v>
      </c>
      <c r="H10" s="49" t="n">
        <f aca="true">IF(OR($A10="",_xlfn.MINIFS($B$3:$B$5000,$A$3:$A$5000,$A10,$B$3:$B$5000,"&gt;"&amp;$B10)=0),NOW(),_xlfn.MINIFS($B$3:$B$5000,$A$3:$A$5000,$A10,$B$3:$B$5000,"&gt;"&amp;$B10))</f>
        <v>46279.5987642734</v>
      </c>
    </row>
    <row r="11" customFormat="false" ht="15" hidden="false" customHeight="true" outlineLevel="0" collapsed="false">
      <c r="A11" s="42" t="s">
        <v>59</v>
      </c>
      <c r="B11" s="26" t="n">
        <v>46275.7083333333</v>
      </c>
      <c r="C11" s="27" t="n">
        <v>0.21</v>
      </c>
      <c r="D11" s="27" t="n">
        <v>24</v>
      </c>
      <c r="E11" s="27" t="n">
        <v>1</v>
      </c>
      <c r="F11" s="48" t="n">
        <f aca="false">IF(OR(C11="",D11="",E11="",E11=0),0,C11*D11/E11)</f>
        <v>5.04</v>
      </c>
      <c r="G11" s="27" t="s">
        <v>100</v>
      </c>
      <c r="H11" s="49" t="n">
        <f aca="true">IF(OR($A11="",_xlfn.MINIFS($B$3:$B$5000,$A$3:$A$5000,$A11,$B$3:$B$5000,"&gt;"&amp;$B11)=0),NOW(),_xlfn.MINIFS($B$3:$B$5000,$A$3:$A$5000,$A11,$B$3:$B$5000,"&gt;"&amp;$B11))</f>
        <v>46279.5987642735</v>
      </c>
    </row>
    <row r="12" customFormat="false" ht="15" hidden="false" customHeight="true" outlineLevel="0" collapsed="false">
      <c r="A12" s="42" t="s">
        <v>60</v>
      </c>
      <c r="B12" s="26" t="n">
        <v>46275.7083333333</v>
      </c>
      <c r="C12" s="27" t="n">
        <v>1.67</v>
      </c>
      <c r="D12" s="27" t="n">
        <v>24</v>
      </c>
      <c r="E12" s="27" t="n">
        <v>1</v>
      </c>
      <c r="F12" s="48" t="n">
        <f aca="false">IF(OR(C12="",D12="",E12="",E12=0),0,C12*D12/E12)</f>
        <v>40.08</v>
      </c>
      <c r="G12" s="27" t="s">
        <v>100</v>
      </c>
      <c r="H12" s="49" t="n">
        <f aca="true">IF(OR($A12="",_xlfn.MINIFS($B$3:$B$5000,$A$3:$A$5000,$A12,$B$3:$B$5000,"&gt;"&amp;$B12)=0),NOW(),_xlfn.MINIFS($B$3:$B$5000,$A$3:$A$5000,$A12,$B$3:$B$5000,"&gt;"&amp;$B12))</f>
        <v>46279.5987642736</v>
      </c>
    </row>
    <row r="13" customFormat="false" ht="15" hidden="false" customHeight="true" outlineLevel="0" collapsed="false">
      <c r="A13" s="42" t="s">
        <v>61</v>
      </c>
      <c r="B13" s="26" t="n">
        <v>46275.7083333333</v>
      </c>
      <c r="C13" s="27" t="n">
        <v>0.95</v>
      </c>
      <c r="D13" s="27" t="n">
        <v>24</v>
      </c>
      <c r="E13" s="27" t="n">
        <v>1</v>
      </c>
      <c r="F13" s="48" t="n">
        <f aca="false">IF(OR(C13="",D13="",E13="",E13=0),0,C13*D13/E13)</f>
        <v>22.8</v>
      </c>
      <c r="G13" s="27" t="s">
        <v>100</v>
      </c>
      <c r="H13" s="49" t="n">
        <f aca="true">IF(OR($A13="",_xlfn.MINIFS($B$3:$B$5000,$A$3:$A$5000,$A13,$B$3:$B$5000,"&gt;"&amp;$B13)=0),NOW(),_xlfn.MINIFS($B$3:$B$5000,$A$3:$A$5000,$A13,$B$3:$B$5000,"&gt;"&amp;$B13))</f>
        <v>46279.5987642737</v>
      </c>
    </row>
    <row r="14" customFormat="false" ht="15" hidden="false" customHeight="true" outlineLevel="0" collapsed="false">
      <c r="A14" s="42" t="s">
        <v>62</v>
      </c>
      <c r="B14" s="26" t="n">
        <v>46275.7083333333</v>
      </c>
      <c r="C14" s="27" t="n">
        <v>0.83333</v>
      </c>
      <c r="D14" s="27" t="n">
        <v>24</v>
      </c>
      <c r="E14" s="27" t="n">
        <v>1</v>
      </c>
      <c r="F14" s="48" t="n">
        <f aca="false">IF(OR(C14="",D14="",E14="",E14=0),0,C14*D14/E14)</f>
        <v>19.99992</v>
      </c>
      <c r="G14" s="27" t="s">
        <v>100</v>
      </c>
      <c r="H14" s="49" t="n">
        <f aca="true">IF(OR($A14="",_xlfn.MINIFS($B$3:$B$5000,$A$3:$A$5000,$A14,$B$3:$B$5000,"&gt;"&amp;$B14)=0),NOW(),_xlfn.MINIFS($B$3:$B$5000,$A$3:$A$5000,$A14,$B$3:$B$5000,"&gt;"&amp;$B14))</f>
        <v>46279.5987642738</v>
      </c>
    </row>
    <row r="15" customFormat="false" ht="15" hidden="false" customHeight="true" outlineLevel="0" collapsed="false">
      <c r="A15" s="42" t="s">
        <v>63</v>
      </c>
      <c r="B15" s="26" t="n">
        <v>46275.7083333333</v>
      </c>
      <c r="C15" s="27" t="n">
        <v>0.666667</v>
      </c>
      <c r="D15" s="27" t="n">
        <v>24</v>
      </c>
      <c r="E15" s="27" t="n">
        <v>1</v>
      </c>
      <c r="F15" s="48" t="n">
        <f aca="false">IF(OR(C15="",D15="",E15="",E15=0),0,C15*D15/E15)</f>
        <v>16.000008</v>
      </c>
      <c r="G15" s="27" t="s">
        <v>100</v>
      </c>
      <c r="H15" s="49" t="n">
        <f aca="true">IF(OR($A15="",_xlfn.MINIFS($B$3:$B$5000,$A$3:$A$5000,$A15,$B$3:$B$5000,"&gt;"&amp;$B15)=0),NOW(),_xlfn.MINIFS($B$3:$B$5000,$A$3:$A$5000,$A15,$B$3:$B$5000,"&gt;"&amp;$B15))</f>
        <v>46279.5987642739</v>
      </c>
    </row>
    <row r="16" customFormat="false" ht="15" hidden="false" customHeight="true" outlineLevel="0" collapsed="false">
      <c r="A16" s="42" t="s">
        <v>64</v>
      </c>
      <c r="B16" s="26" t="n">
        <v>46275.7083333333</v>
      </c>
      <c r="C16" s="27" t="n">
        <v>11.6</v>
      </c>
      <c r="D16" s="27" t="n">
        <v>5</v>
      </c>
      <c r="E16" s="27" t="n">
        <v>14</v>
      </c>
      <c r="F16" s="48" t="n">
        <f aca="false">IF(OR(C16="",D16="",E16="",E16=0),0,C16*D16/E16)</f>
        <v>4.14285714285714</v>
      </c>
      <c r="G16" s="27" t="s">
        <v>100</v>
      </c>
      <c r="H16" s="49" t="n">
        <f aca="true">IF(OR($A16="",_xlfn.MINIFS($B$3:$B$5000,$A$3:$A$5000,$A16,$B$3:$B$5000,"&gt;"&amp;$B16)=0),NOW(),_xlfn.MINIFS($B$3:$B$5000,$A$3:$A$5000,$A16,$B$3:$B$5000,"&gt;"&amp;$B16))</f>
        <v>46279.5987642739</v>
      </c>
    </row>
    <row r="17" customFormat="false" ht="15" hidden="false" customHeight="true" outlineLevel="0" collapsed="false">
      <c r="A17" s="42" t="s">
        <v>65</v>
      </c>
      <c r="B17" s="26" t="n">
        <v>46275.7083333333</v>
      </c>
      <c r="C17" s="27" t="n">
        <v>2.2</v>
      </c>
      <c r="D17" s="27" t="n">
        <v>5</v>
      </c>
      <c r="E17" s="27" t="n">
        <v>14</v>
      </c>
      <c r="F17" s="48" t="n">
        <f aca="false">IF(OR(C17="",D17="",E17="",E17=0),0,C17*D17/E17)</f>
        <v>0.785714285714286</v>
      </c>
      <c r="G17" s="27" t="s">
        <v>100</v>
      </c>
      <c r="H17" s="49" t="n">
        <f aca="true">IF(OR($A17="",_xlfn.MINIFS($B$3:$B$5000,$A$3:$A$5000,$A17,$B$3:$B$5000,"&gt;"&amp;$B17)=0),NOW(),_xlfn.MINIFS($B$3:$B$5000,$A$3:$A$5000,$A17,$B$3:$B$5000,"&gt;"&amp;$B17))</f>
        <v>46279.598764274</v>
      </c>
    </row>
    <row r="18" customFormat="false" ht="15" hidden="false" customHeight="true" outlineLevel="0" collapsed="false">
      <c r="A18" s="42" t="s">
        <v>66</v>
      </c>
      <c r="B18" s="26" t="n">
        <v>46275.7083333333</v>
      </c>
      <c r="C18" s="50" t="n">
        <v>1.6</v>
      </c>
      <c r="D18" s="27" t="n">
        <v>5</v>
      </c>
      <c r="E18" s="27" t="n">
        <v>14</v>
      </c>
      <c r="F18" s="48" t="n">
        <f aca="false">IF(OR(C18="",D18="",E18="",E18=0),0,C18*D18/E18)</f>
        <v>0.571428571428571</v>
      </c>
      <c r="G18" s="27" t="s">
        <v>100</v>
      </c>
      <c r="H18" s="49" t="n">
        <f aca="true">IF(OR($A18="",_xlfn.MINIFS($B$3:$B$5000,$A$3:$A$5000,$A18,$B$3:$B$5000,"&gt;"&amp;$B18)=0),NOW(),_xlfn.MINIFS($B$3:$B$5000,$A$3:$A$5000,$A18,$B$3:$B$5000,"&gt;"&amp;$B18))</f>
        <v>46279.5987642741</v>
      </c>
    </row>
    <row r="19" customFormat="false" ht="15" hidden="false" customHeight="true" outlineLevel="0" collapsed="false">
      <c r="A19" s="42" t="s">
        <v>67</v>
      </c>
      <c r="B19" s="26" t="n">
        <v>46275.7083333333</v>
      </c>
      <c r="C19" s="50" t="n">
        <v>6.2</v>
      </c>
      <c r="D19" s="27" t="n">
        <v>5</v>
      </c>
      <c r="E19" s="27" t="n">
        <v>14</v>
      </c>
      <c r="F19" s="48" t="n">
        <f aca="false">IF(OR(C19="",D19="",E19="",E19=0),0,C19*D19/E19)</f>
        <v>2.21428571428571</v>
      </c>
      <c r="G19" s="27" t="s">
        <v>100</v>
      </c>
      <c r="H19" s="49" t="n">
        <f aca="true">IF(OR($A19="",_xlfn.MINIFS($B$3:$B$5000,$A$3:$A$5000,$A19,$B$3:$B$5000,"&gt;"&amp;$B19)=0),NOW(),_xlfn.MINIFS($B$3:$B$5000,$A$3:$A$5000,$A19,$B$3:$B$5000,"&gt;"&amp;$B19))</f>
        <v>46279.5987642742</v>
      </c>
    </row>
    <row r="20" customFormat="false" ht="15" hidden="false" customHeight="true" outlineLevel="0" collapsed="false">
      <c r="A20" s="42"/>
      <c r="B20" s="42"/>
      <c r="C20" s="42"/>
      <c r="D20" s="42"/>
      <c r="E20" s="42"/>
      <c r="F20" s="48" t="n">
        <f aca="false">IF(OR(C20="",D20="",E20="",E20=0),0,C20*D20/E20)</f>
        <v>0</v>
      </c>
      <c r="G20" s="29"/>
      <c r="H20" s="49" t="n">
        <f aca="true">IF(OR($A20="",_xlfn.MINIFS($B$3:$B$5000,$A$3:$A$5000,$A20,$B$3:$B$5000,"&gt;"&amp;$B20)=0),NOW(),_xlfn.MINIFS($B$3:$B$5000,$A$3:$A$5000,$A20,$B$3:$B$5000,"&gt;"&amp;$B20))</f>
        <v>46279.5987642743</v>
      </c>
    </row>
    <row r="21" customFormat="false" ht="15" hidden="false" customHeight="true" outlineLevel="0" collapsed="false">
      <c r="A21" s="42"/>
      <c r="B21" s="42"/>
      <c r="C21" s="42"/>
      <c r="D21" s="42"/>
      <c r="E21" s="42"/>
      <c r="F21" s="48" t="n">
        <f aca="false">IF(OR(C21="",D21="",E21="",E21=0),0,C21*D21/E21)</f>
        <v>0</v>
      </c>
      <c r="G21" s="42"/>
      <c r="H21" s="49" t="n">
        <f aca="true">IF(OR($A21="",_xlfn.MINIFS($B$3:$B$5000,$A$3:$A$5000,$A21,$B$3:$B$5000,"&gt;"&amp;$B21)=0),NOW(),_xlfn.MINIFS($B$3:$B$5000,$A$3:$A$5000,$A21,$B$3:$B$5000,"&gt;"&amp;$B21))</f>
        <v>46279.5987642743</v>
      </c>
    </row>
    <row r="22" customFormat="false" ht="15" hidden="false" customHeight="true" outlineLevel="0" collapsed="false">
      <c r="A22" s="42"/>
      <c r="B22" s="42"/>
      <c r="C22" s="42"/>
      <c r="D22" s="42"/>
      <c r="E22" s="42"/>
      <c r="F22" s="48" t="n">
        <f aca="false">IF(OR(C22="",D22="",E22="",E22=0),0,C22*D22/E22)</f>
        <v>0</v>
      </c>
      <c r="G22" s="42"/>
      <c r="H22" s="49" t="n">
        <f aca="true">IF(OR($A22="",_xlfn.MINIFS($B$3:$B$5000,$A$3:$A$5000,$A22,$B$3:$B$5000,"&gt;"&amp;$B22)=0),NOW(),_xlfn.MINIFS($B$3:$B$5000,$A$3:$A$5000,$A22,$B$3:$B$5000,"&gt;"&amp;$B22))</f>
        <v>46279.5987642744</v>
      </c>
    </row>
    <row r="23" customFormat="false" ht="15" hidden="false" customHeight="true" outlineLevel="0" collapsed="false">
      <c r="A23" s="42"/>
      <c r="B23" s="42"/>
      <c r="C23" s="42"/>
      <c r="D23" s="42"/>
      <c r="E23" s="42"/>
      <c r="F23" s="48" t="n">
        <f aca="false">IF(OR(C23="",D23="",E23="",E23=0),0,C23*D23/E23)</f>
        <v>0</v>
      </c>
      <c r="G23" s="42"/>
      <c r="H23" s="49" t="n">
        <f aca="true">IF(OR($A23="",_xlfn.MINIFS($B$3:$B$5000,$A$3:$A$5000,$A23,$B$3:$B$5000,"&gt;"&amp;$B23)=0),NOW(),_xlfn.MINIFS($B$3:$B$5000,$A$3:$A$5000,$A23,$B$3:$B$5000,"&gt;"&amp;$B23))</f>
        <v>46279.5987642744</v>
      </c>
    </row>
    <row r="24" customFormat="false" ht="15" hidden="false" customHeight="true" outlineLevel="0" collapsed="false">
      <c r="A24" s="42"/>
      <c r="B24" s="42"/>
      <c r="C24" s="42"/>
      <c r="D24" s="42"/>
      <c r="E24" s="42"/>
      <c r="F24" s="48" t="n">
        <f aca="false">IF(OR(C24="",D24="",E24="",E24=0),0,C24*D24/E24)</f>
        <v>0</v>
      </c>
      <c r="G24" s="42"/>
      <c r="H24" s="49" t="n">
        <f aca="true">IF(OR($A24="",_xlfn.MINIFS($B$3:$B$5000,$A$3:$A$5000,$A24,$B$3:$B$5000,"&gt;"&amp;$B24)=0),NOW(),_xlfn.MINIFS($B$3:$B$5000,$A$3:$A$5000,$A24,$B$3:$B$5000,"&gt;"&amp;$B24))</f>
        <v>46279.5987642745</v>
      </c>
    </row>
    <row r="25" customFormat="false" ht="15" hidden="false" customHeight="true" outlineLevel="0" collapsed="false">
      <c r="A25" s="42"/>
      <c r="B25" s="42"/>
      <c r="C25" s="42"/>
      <c r="D25" s="42"/>
      <c r="E25" s="42"/>
      <c r="F25" s="48" t="n">
        <f aca="false">IF(OR(C25="",D25="",E25="",E25=0),0,C25*D25/E25)</f>
        <v>0</v>
      </c>
      <c r="G25" s="42"/>
      <c r="H25" s="49" t="n">
        <f aca="true">IF(OR($A25="",_xlfn.MINIFS($B$3:$B$5000,$A$3:$A$5000,$A25,$B$3:$B$5000,"&gt;"&amp;$B25)=0),NOW(),_xlfn.MINIFS($B$3:$B$5000,$A$3:$A$5000,$A25,$B$3:$B$5000,"&gt;"&amp;$B25))</f>
        <v>46279.5987642745</v>
      </c>
    </row>
    <row r="26" customFormat="false" ht="15" hidden="false" customHeight="true" outlineLevel="0" collapsed="false">
      <c r="A26" s="42"/>
      <c r="B26" s="42"/>
      <c r="C26" s="42"/>
      <c r="D26" s="42"/>
      <c r="E26" s="42"/>
      <c r="F26" s="48" t="n">
        <f aca="false">IF(OR(C26="",D26="",E26="",E26=0),0,C26*D26/E26)</f>
        <v>0</v>
      </c>
      <c r="G26" s="42"/>
      <c r="H26" s="49" t="n">
        <f aca="true">IF(OR($A26="",_xlfn.MINIFS($B$3:$B$5000,$A$3:$A$5000,$A26,$B$3:$B$5000,"&gt;"&amp;$B26)=0),NOW(),_xlfn.MINIFS($B$3:$B$5000,$A$3:$A$5000,$A26,$B$3:$B$5000,"&gt;"&amp;$B26))</f>
        <v>46279.5987642746</v>
      </c>
    </row>
    <row r="27" customFormat="false" ht="15" hidden="false" customHeight="true" outlineLevel="0" collapsed="false">
      <c r="A27" s="42"/>
      <c r="B27" s="42"/>
      <c r="C27" s="42"/>
      <c r="D27" s="42"/>
      <c r="E27" s="42"/>
      <c r="F27" s="48" t="n">
        <f aca="false">IF(OR(C27="",D27="",E27="",E27=0),0,C27*D27/E27)</f>
        <v>0</v>
      </c>
      <c r="G27" s="42"/>
      <c r="H27" s="49" t="n">
        <f aca="true">IF(OR($A27="",_xlfn.MINIFS($B$3:$B$5000,$A$3:$A$5000,$A27,$B$3:$B$5000,"&gt;"&amp;$B27)=0),NOW(),_xlfn.MINIFS($B$3:$B$5000,$A$3:$A$5000,$A27,$B$3:$B$5000,"&gt;"&amp;$B27))</f>
        <v>46279.5987642746</v>
      </c>
    </row>
    <row r="28" customFormat="false" ht="15" hidden="false" customHeight="true" outlineLevel="0" collapsed="false">
      <c r="A28" s="42"/>
      <c r="B28" s="42"/>
      <c r="C28" s="42"/>
      <c r="D28" s="42"/>
      <c r="E28" s="42"/>
      <c r="F28" s="48" t="n">
        <f aca="false">IF(OR(C28="",D28="",E28="",E28=0),0,C28*D28/E28)</f>
        <v>0</v>
      </c>
      <c r="G28" s="42"/>
      <c r="H28" s="49" t="n">
        <f aca="true">IF(OR($A28="",_xlfn.MINIFS($B$3:$B$5000,$A$3:$A$5000,$A28,$B$3:$B$5000,"&gt;"&amp;$B28)=0),NOW(),_xlfn.MINIFS($B$3:$B$5000,$A$3:$A$5000,$A28,$B$3:$B$5000,"&gt;"&amp;$B28))</f>
        <v>46279.5987642747</v>
      </c>
    </row>
    <row r="29" customFormat="false" ht="15" hidden="false" customHeight="true" outlineLevel="0" collapsed="false">
      <c r="A29" s="42"/>
      <c r="B29" s="42"/>
      <c r="C29" s="42"/>
      <c r="D29" s="42"/>
      <c r="E29" s="42"/>
      <c r="F29" s="48" t="n">
        <f aca="false">IF(OR(C29="",D29="",E29="",E29=0),0,C29*D29/E29)</f>
        <v>0</v>
      </c>
      <c r="G29" s="42"/>
      <c r="H29" s="49" t="n">
        <f aca="true">IF(OR($A29="",_xlfn.MINIFS($B$3:$B$5000,$A$3:$A$5000,$A29,$B$3:$B$5000,"&gt;"&amp;$B29)=0),NOW(),_xlfn.MINIFS($B$3:$B$5000,$A$3:$A$5000,$A29,$B$3:$B$5000,"&gt;"&amp;$B29))</f>
        <v>46279.5987642747</v>
      </c>
    </row>
    <row r="30" customFormat="false" ht="15" hidden="false" customHeight="true" outlineLevel="0" collapsed="false">
      <c r="A30" s="42"/>
      <c r="B30" s="42"/>
      <c r="C30" s="42"/>
      <c r="D30" s="42"/>
      <c r="E30" s="42"/>
      <c r="F30" s="48" t="n">
        <f aca="false">IF(OR(C30="",D30="",E30="",E30=0),0,C30*D30/E30)</f>
        <v>0</v>
      </c>
      <c r="G30" s="42"/>
      <c r="H30" s="49" t="n">
        <f aca="true">IF(OR($A30="",_xlfn.MINIFS($B$3:$B$5000,$A$3:$A$5000,$A30,$B$3:$B$5000,"&gt;"&amp;$B30)=0),NOW(),_xlfn.MINIFS($B$3:$B$5000,$A$3:$A$5000,$A30,$B$3:$B$5000,"&gt;"&amp;$B30))</f>
        <v>46279.5987642748</v>
      </c>
    </row>
    <row r="31" customFormat="false" ht="15" hidden="false" customHeight="true" outlineLevel="0" collapsed="false">
      <c r="A31" s="42"/>
      <c r="B31" s="42"/>
      <c r="C31" s="42"/>
      <c r="D31" s="42"/>
      <c r="E31" s="42"/>
      <c r="F31" s="51" t="n">
        <f aca="false">IF(OR(C31="",D31="",E31="",E31=0),0,C31*D31/E31)</f>
        <v>0</v>
      </c>
      <c r="G31" s="42"/>
      <c r="H31" s="49" t="n">
        <f aca="true">IF(OR($A31="",_xlfn.MINIFS($B$3:$B$5000,$A$3:$A$5000,$A31,$B$3:$B$5000,"&gt;"&amp;$B31)=0),NOW(),_xlfn.MINIFS($B$3:$B$5000,$A$3:$A$5000,$A31,$B$3:$B$5000,"&gt;"&amp;$B31))</f>
        <v>46279.5987642748</v>
      </c>
    </row>
    <row r="32" customFormat="false" ht="15" hidden="false" customHeight="true" outlineLevel="0" collapsed="false">
      <c r="A32" s="42"/>
      <c r="B32" s="42"/>
      <c r="C32" s="42"/>
      <c r="D32" s="42"/>
      <c r="E32" s="42"/>
      <c r="F32" s="51" t="n">
        <f aca="false">IF(OR(C32="",D32="",E32="",E32=0),0,C32*D32/E32)</f>
        <v>0</v>
      </c>
      <c r="G32" s="42"/>
      <c r="H32" s="49" t="n">
        <f aca="true">IF(OR($A32="",_xlfn.MINIFS($B$3:$B$5000,$A$3:$A$5000,$A32,$B$3:$B$5000,"&gt;"&amp;$B32)=0),NOW(),_xlfn.MINIFS($B$3:$B$5000,$A$3:$A$5000,$A32,$B$3:$B$5000,"&gt;"&amp;$B32))</f>
        <v>46279.5987642749</v>
      </c>
    </row>
    <row r="33" customFormat="false" ht="15" hidden="false" customHeight="true" outlineLevel="0" collapsed="false">
      <c r="A33" s="42"/>
      <c r="B33" s="42"/>
      <c r="C33" s="42"/>
      <c r="D33" s="42"/>
      <c r="E33" s="42"/>
      <c r="F33" s="51" t="n">
        <f aca="false">IF(OR(C33="",D33="",E33="",E33=0),0,C33*D33/E33)</f>
        <v>0</v>
      </c>
      <c r="G33" s="42"/>
      <c r="H33" s="49" t="n">
        <f aca="true">IF(OR($A33="",_xlfn.MINIFS($B$3:$B$5000,$A$3:$A$5000,$A33,$B$3:$B$5000,"&gt;"&amp;$B33)=0),NOW(),_xlfn.MINIFS($B$3:$B$5000,$A$3:$A$5000,$A33,$B$3:$B$5000,"&gt;"&amp;$B33))</f>
        <v>46279.5987642749</v>
      </c>
    </row>
    <row r="34" customFormat="false" ht="15" hidden="false" customHeight="true" outlineLevel="0" collapsed="false">
      <c r="A34" s="42"/>
      <c r="B34" s="42"/>
      <c r="C34" s="42"/>
      <c r="D34" s="42"/>
      <c r="E34" s="42"/>
      <c r="F34" s="51" t="n">
        <f aca="false">IF(OR(C34="",D34="",E34="",E34=0),0,C34*D34/E34)</f>
        <v>0</v>
      </c>
      <c r="G34" s="42"/>
      <c r="H34" s="49" t="n">
        <f aca="true">IF(OR($A34="",_xlfn.MINIFS($B$3:$B$5000,$A$3:$A$5000,$A34,$B$3:$B$5000,"&gt;"&amp;$B34)=0),NOW(),_xlfn.MINIFS($B$3:$B$5000,$A$3:$A$5000,$A34,$B$3:$B$5000,"&gt;"&amp;$B34))</f>
        <v>46279.598764275</v>
      </c>
    </row>
    <row r="35" customFormat="false" ht="15" hidden="false" customHeight="true" outlineLevel="0" collapsed="false">
      <c r="A35" s="42"/>
      <c r="B35" s="42"/>
      <c r="C35" s="42"/>
      <c r="D35" s="42"/>
      <c r="E35" s="42"/>
      <c r="F35" s="51" t="n">
        <f aca="false">IF(OR(C35="",D35="",E35="",E35=0),0,C35*D35/E35)</f>
        <v>0</v>
      </c>
      <c r="G35" s="42"/>
      <c r="H35" s="49" t="n">
        <f aca="true">IF(OR($A35="",_xlfn.MINIFS($B$3:$B$5000,$A$3:$A$5000,$A35,$B$3:$B$5000,"&gt;"&amp;$B35)=0),NOW(),_xlfn.MINIFS($B$3:$B$5000,$A$3:$A$5000,$A35,$B$3:$B$5000,"&gt;"&amp;$B35))</f>
        <v>46279.5987642751</v>
      </c>
    </row>
    <row r="36" customFormat="false" ht="15" hidden="false" customHeight="true" outlineLevel="0" collapsed="false">
      <c r="A36" s="42"/>
      <c r="B36" s="42"/>
      <c r="C36" s="42"/>
      <c r="D36" s="42"/>
      <c r="E36" s="42"/>
      <c r="F36" s="51" t="n">
        <f aca="false">IF(OR(C36="",D36="",E36="",E36=0),0,C36*D36/E36)</f>
        <v>0</v>
      </c>
      <c r="G36" s="42"/>
      <c r="H36" s="49" t="n">
        <f aca="true">IF(OR($A36="",_xlfn.MINIFS($B$3:$B$5000,$A$3:$A$5000,$A36,$B$3:$B$5000,"&gt;"&amp;$B36)=0),NOW(),_xlfn.MINIFS($B$3:$B$5000,$A$3:$A$5000,$A36,$B$3:$B$5000,"&gt;"&amp;$B36))</f>
        <v>46279.5987642751</v>
      </c>
    </row>
    <row r="37" customFormat="false" ht="15" hidden="false" customHeight="true" outlineLevel="0" collapsed="false">
      <c r="A37" s="42"/>
      <c r="B37" s="42"/>
      <c r="C37" s="42"/>
      <c r="D37" s="42"/>
      <c r="E37" s="42"/>
      <c r="F37" s="51" t="n">
        <f aca="false">IF(OR(C37="",D37="",E37="",E37=0),0,C37*D37/E37)</f>
        <v>0</v>
      </c>
      <c r="G37" s="42"/>
      <c r="H37" s="49" t="n">
        <f aca="true">IF(OR($A37="",_xlfn.MINIFS($B$3:$B$5000,$A$3:$A$5000,$A37,$B$3:$B$5000,"&gt;"&amp;$B37)=0),NOW(),_xlfn.MINIFS($B$3:$B$5000,$A$3:$A$5000,$A37,$B$3:$B$5000,"&gt;"&amp;$B37))</f>
        <v>46279.5987642752</v>
      </c>
    </row>
    <row r="38" customFormat="false" ht="15" hidden="false" customHeight="true" outlineLevel="0" collapsed="false">
      <c r="A38" s="42"/>
      <c r="B38" s="42"/>
      <c r="C38" s="42"/>
      <c r="D38" s="42"/>
      <c r="E38" s="42"/>
      <c r="F38" s="51" t="n">
        <f aca="false">IF(OR(C38="",D38="",E38="",E38=0),0,C38*D38/E38)</f>
        <v>0</v>
      </c>
      <c r="G38" s="42"/>
      <c r="H38" s="49" t="n">
        <f aca="true">IF(OR($A38="",_xlfn.MINIFS($B$3:$B$5000,$A$3:$A$5000,$A38,$B$3:$B$5000,"&gt;"&amp;$B38)=0),NOW(),_xlfn.MINIFS($B$3:$B$5000,$A$3:$A$5000,$A38,$B$3:$B$5000,"&gt;"&amp;$B38))</f>
        <v>46279.5987642752</v>
      </c>
    </row>
    <row r="39" customFormat="false" ht="15" hidden="false" customHeight="true" outlineLevel="0" collapsed="false">
      <c r="A39" s="42"/>
      <c r="B39" s="42"/>
      <c r="C39" s="42"/>
      <c r="D39" s="42"/>
      <c r="E39" s="42"/>
      <c r="F39" s="51" t="n">
        <f aca="false">IF(OR(C39="",D39="",E39="",E39=0),0,C39*D39/E39)</f>
        <v>0</v>
      </c>
      <c r="G39" s="42"/>
      <c r="H39" s="49" t="n">
        <f aca="true">IF(OR($A39="",_xlfn.MINIFS($B$3:$B$5000,$A$3:$A$5000,$A39,$B$3:$B$5000,"&gt;"&amp;$B39)=0),NOW(),_xlfn.MINIFS($B$3:$B$5000,$A$3:$A$5000,$A39,$B$3:$B$5000,"&gt;"&amp;$B39))</f>
        <v>46279.5987642753</v>
      </c>
    </row>
    <row r="40" customFormat="false" ht="15" hidden="false" customHeight="true" outlineLevel="0" collapsed="false">
      <c r="A40" s="42"/>
      <c r="B40" s="42"/>
      <c r="C40" s="42"/>
      <c r="D40" s="42"/>
      <c r="E40" s="42"/>
      <c r="F40" s="51" t="n">
        <f aca="false">IF(OR(C40="",D40="",E40="",E40=0),0,C40*D40/E40)</f>
        <v>0</v>
      </c>
      <c r="G40" s="42"/>
      <c r="H40" s="49" t="n">
        <f aca="true">IF(OR($A40="",_xlfn.MINIFS($B$3:$B$5000,$A$3:$A$5000,$A40,$B$3:$B$5000,"&gt;"&amp;$B40)=0),NOW(),_xlfn.MINIFS($B$3:$B$5000,$A$3:$A$5000,$A40,$B$3:$B$5000,"&gt;"&amp;$B40))</f>
        <v>46279.5987642753</v>
      </c>
    </row>
    <row r="41" customFormat="false" ht="15" hidden="false" customHeight="true" outlineLevel="0" collapsed="false">
      <c r="A41" s="42"/>
      <c r="B41" s="42"/>
      <c r="C41" s="42"/>
      <c r="D41" s="42"/>
      <c r="E41" s="42"/>
      <c r="F41" s="51" t="n">
        <f aca="false">IF(OR(C41="",D41="",E41="",E41=0),0,C41*D41/E41)</f>
        <v>0</v>
      </c>
      <c r="G41" s="42"/>
      <c r="H41" s="49" t="n">
        <f aca="true">IF(OR($A41="",_xlfn.MINIFS($B$3:$B$5000,$A$3:$A$5000,$A41,$B$3:$B$5000,"&gt;"&amp;$B41)=0),NOW(),_xlfn.MINIFS($B$3:$B$5000,$A$3:$A$5000,$A41,$B$3:$B$5000,"&gt;"&amp;$B41))</f>
        <v>46279.5987642754</v>
      </c>
    </row>
    <row r="42" customFormat="false" ht="15" hidden="false" customHeight="true" outlineLevel="0" collapsed="false">
      <c r="A42" s="42"/>
      <c r="B42" s="42"/>
      <c r="C42" s="42"/>
      <c r="D42" s="42"/>
      <c r="E42" s="42"/>
      <c r="F42" s="51" t="n">
        <f aca="false">IF(OR(C42="",D42="",E42="",E42=0),0,C42*D42/E42)</f>
        <v>0</v>
      </c>
      <c r="G42" s="42"/>
      <c r="H42" s="49" t="n">
        <f aca="true">IF(OR($A42="",_xlfn.MINIFS($B$3:$B$5000,$A$3:$A$5000,$A42,$B$3:$B$5000,"&gt;"&amp;$B42)=0),NOW(),_xlfn.MINIFS($B$3:$B$5000,$A$3:$A$5000,$A42,$B$3:$B$5000,"&gt;"&amp;$B42))</f>
        <v>46279.5987642754</v>
      </c>
    </row>
    <row r="43" customFormat="false" ht="15" hidden="false" customHeight="true" outlineLevel="0" collapsed="false">
      <c r="A43" s="42"/>
      <c r="B43" s="42"/>
      <c r="C43" s="42"/>
      <c r="D43" s="42"/>
      <c r="E43" s="42"/>
      <c r="F43" s="51" t="n">
        <f aca="false">IF(OR(C43="",D43="",E43="",E43=0),0,C43*D43/E43)</f>
        <v>0</v>
      </c>
      <c r="G43" s="42"/>
      <c r="H43" s="49" t="n">
        <f aca="true">IF(OR($A43="",_xlfn.MINIFS($B$3:$B$5000,$A$3:$A$5000,$A43,$B$3:$B$5000,"&gt;"&amp;$B43)=0),NOW(),_xlfn.MINIFS($B$3:$B$5000,$A$3:$A$5000,$A43,$B$3:$B$5000,"&gt;"&amp;$B43))</f>
        <v>46279.5987642755</v>
      </c>
    </row>
    <row r="44" customFormat="false" ht="15" hidden="false" customHeight="true" outlineLevel="0" collapsed="false">
      <c r="A44" s="42"/>
      <c r="B44" s="42"/>
      <c r="C44" s="42"/>
      <c r="D44" s="42"/>
      <c r="E44" s="42"/>
      <c r="F44" s="51" t="n">
        <f aca="false">IF(OR(C44="",D44="",E44="",E44=0),0,C44*D44/E44)</f>
        <v>0</v>
      </c>
      <c r="G44" s="42"/>
      <c r="H44" s="49" t="n">
        <f aca="true">IF(OR($A44="",_xlfn.MINIFS($B$3:$B$5000,$A$3:$A$5000,$A44,$B$3:$B$5000,"&gt;"&amp;$B44)=0),NOW(),_xlfn.MINIFS($B$3:$B$5000,$A$3:$A$5000,$A44,$B$3:$B$5000,"&gt;"&amp;$B44))</f>
        <v>46279.5987642755</v>
      </c>
    </row>
    <row r="45" customFormat="false" ht="15" hidden="false" customHeight="true" outlineLevel="0" collapsed="false">
      <c r="A45" s="42"/>
      <c r="B45" s="42"/>
      <c r="C45" s="42"/>
      <c r="D45" s="42"/>
      <c r="E45" s="42"/>
      <c r="F45" s="51" t="n">
        <f aca="false">IF(OR(C45="",D45="",E45="",E45=0),0,C45*D45/E45)</f>
        <v>0</v>
      </c>
      <c r="G45" s="42"/>
      <c r="H45" s="49" t="n">
        <f aca="true">IF(OR($A45="",_xlfn.MINIFS($B$3:$B$5000,$A$3:$A$5000,$A45,$B$3:$B$5000,"&gt;"&amp;$B45)=0),NOW(),_xlfn.MINIFS($B$3:$B$5000,$A$3:$A$5000,$A45,$B$3:$B$5000,"&gt;"&amp;$B45))</f>
        <v>46279.5987642756</v>
      </c>
    </row>
    <row r="46" customFormat="false" ht="15" hidden="false" customHeight="true" outlineLevel="0" collapsed="false">
      <c r="A46" s="42"/>
      <c r="B46" s="42"/>
      <c r="C46" s="42"/>
      <c r="D46" s="42"/>
      <c r="E46" s="42"/>
      <c r="F46" s="51" t="n">
        <f aca="false">IF(OR(C46="",D46="",E46="",E46=0),0,C46*D46/E46)</f>
        <v>0</v>
      </c>
      <c r="G46" s="42"/>
      <c r="H46" s="49" t="n">
        <f aca="true">IF(OR($A46="",_xlfn.MINIFS($B$3:$B$5000,$A$3:$A$5000,$A46,$B$3:$B$5000,"&gt;"&amp;$B46)=0),NOW(),_xlfn.MINIFS($B$3:$B$5000,$A$3:$A$5000,$A46,$B$3:$B$5000,"&gt;"&amp;$B46))</f>
        <v>46279.5987642756</v>
      </c>
    </row>
    <row r="47" customFormat="false" ht="15" hidden="false" customHeight="true" outlineLevel="0" collapsed="false">
      <c r="A47" s="42"/>
      <c r="B47" s="42"/>
      <c r="C47" s="42"/>
      <c r="D47" s="42"/>
      <c r="E47" s="42"/>
      <c r="F47" s="51" t="n">
        <f aca="false">IF(OR(C47="",D47="",E47="",E47=0),0,C47*D47/E47)</f>
        <v>0</v>
      </c>
      <c r="G47" s="42"/>
      <c r="H47" s="49" t="n">
        <f aca="true">IF(OR($A47="",_xlfn.MINIFS($B$3:$B$5000,$A$3:$A$5000,$A47,$B$3:$B$5000,"&gt;"&amp;$B47)=0),NOW(),_xlfn.MINIFS($B$3:$B$5000,$A$3:$A$5000,$A47,$B$3:$B$5000,"&gt;"&amp;$B47))</f>
        <v>46279.5987642757</v>
      </c>
    </row>
    <row r="48" customFormat="false" ht="15" hidden="false" customHeight="true" outlineLevel="0" collapsed="false">
      <c r="A48" s="42"/>
      <c r="B48" s="42"/>
      <c r="C48" s="42"/>
      <c r="D48" s="42"/>
      <c r="E48" s="42"/>
      <c r="F48" s="51" t="n">
        <f aca="false">IF(OR(C48="",D48="",E48="",E48=0),0,C48*D48/E48)</f>
        <v>0</v>
      </c>
      <c r="G48" s="42"/>
      <c r="H48" s="49" t="n">
        <f aca="true">IF(OR($A48="",_xlfn.MINIFS($B$3:$B$5000,$A$3:$A$5000,$A48,$B$3:$B$5000,"&gt;"&amp;$B48)=0),NOW(),_xlfn.MINIFS($B$3:$B$5000,$A$3:$A$5000,$A48,$B$3:$B$5000,"&gt;"&amp;$B48))</f>
        <v>46279.5987642757</v>
      </c>
    </row>
    <row r="49" customFormat="false" ht="15" hidden="false" customHeight="true" outlineLevel="0" collapsed="false">
      <c r="A49" s="42"/>
      <c r="B49" s="42"/>
      <c r="C49" s="42"/>
      <c r="D49" s="42"/>
      <c r="E49" s="42"/>
      <c r="F49" s="51" t="n">
        <f aca="false">IF(OR(C49="",D49="",E49="",E49=0),0,C49*D49/E49)</f>
        <v>0</v>
      </c>
      <c r="G49" s="42"/>
      <c r="H49" s="49" t="n">
        <f aca="true">IF(OR($A49="",_xlfn.MINIFS($B$3:$B$5000,$A$3:$A$5000,$A49,$B$3:$B$5000,"&gt;"&amp;$B49)=0),NOW(),_xlfn.MINIFS($B$3:$B$5000,$A$3:$A$5000,$A49,$B$3:$B$5000,"&gt;"&amp;$B49))</f>
        <v>46279.5987642758</v>
      </c>
    </row>
    <row r="50" customFormat="false" ht="15" hidden="false" customHeight="true" outlineLevel="0" collapsed="false">
      <c r="A50" s="42"/>
      <c r="B50" s="42"/>
      <c r="C50" s="42"/>
      <c r="D50" s="42"/>
      <c r="E50" s="42"/>
      <c r="F50" s="51" t="n">
        <f aca="false">IF(OR(C50="",D50="",E50="",E50=0),0,C50*D50/E50)</f>
        <v>0</v>
      </c>
      <c r="G50" s="42"/>
      <c r="H50" s="49" t="n">
        <f aca="true">IF(OR($A50="",_xlfn.MINIFS($B$3:$B$5000,$A$3:$A$5000,$A50,$B$3:$B$5000,"&gt;"&amp;$B50)=0),NOW(),_xlfn.MINIFS($B$3:$B$5000,$A$3:$A$5000,$A50,$B$3:$B$5000,"&gt;"&amp;$B50))</f>
        <v>46279.5987642758</v>
      </c>
    </row>
    <row r="51" customFormat="false" ht="15" hidden="false" customHeight="true" outlineLevel="0" collapsed="false">
      <c r="A51" s="42"/>
      <c r="B51" s="42"/>
      <c r="C51" s="42"/>
      <c r="D51" s="42"/>
      <c r="E51" s="42"/>
      <c r="F51" s="51" t="n">
        <f aca="false">IF(OR(C51="",D51="",E51="",E51=0),0,C51*D51/E51)</f>
        <v>0</v>
      </c>
      <c r="G51" s="42"/>
      <c r="H51" s="49" t="n">
        <f aca="true">IF(OR($A51="",_xlfn.MINIFS($B$3:$B$5000,$A$3:$A$5000,$A51,$B$3:$B$5000,"&gt;"&amp;$B51)=0),NOW(),_xlfn.MINIFS($B$3:$B$5000,$A$3:$A$5000,$A51,$B$3:$B$5000,"&gt;"&amp;$B51))</f>
        <v>46279.5987642759</v>
      </c>
    </row>
    <row r="52" customFormat="false" ht="15" hidden="false" customHeight="true" outlineLevel="0" collapsed="false">
      <c r="A52" s="42"/>
      <c r="B52" s="42"/>
      <c r="C52" s="42"/>
      <c r="D52" s="42"/>
      <c r="E52" s="42"/>
      <c r="F52" s="51" t="n">
        <f aca="false">IF(OR(C52="",D52="",E52="",E52=0),0,C52*D52/E52)</f>
        <v>0</v>
      </c>
      <c r="G52" s="42"/>
      <c r="H52" s="49" t="n">
        <f aca="true">IF(OR($A52="",_xlfn.MINIFS($B$3:$B$5000,$A$3:$A$5000,$A52,$B$3:$B$5000,"&gt;"&amp;$B52)=0),NOW(),_xlfn.MINIFS($B$3:$B$5000,$A$3:$A$5000,$A52,$B$3:$B$5000,"&gt;"&amp;$B52))</f>
        <v>46279.5987642759</v>
      </c>
    </row>
    <row r="53" customFormat="false" ht="15" hidden="false" customHeight="true" outlineLevel="0" collapsed="false">
      <c r="A53" s="42"/>
      <c r="B53" s="42"/>
      <c r="C53" s="42"/>
      <c r="D53" s="42"/>
      <c r="E53" s="42"/>
      <c r="F53" s="51" t="n">
        <f aca="false">IF(OR(C53="",D53="",E53="",E53=0),0,C53*D53/E53)</f>
        <v>0</v>
      </c>
      <c r="G53" s="42"/>
      <c r="H53" s="49" t="n">
        <f aca="true">IF(OR($A53="",_xlfn.MINIFS($B$3:$B$5000,$A$3:$A$5000,$A53,$B$3:$B$5000,"&gt;"&amp;$B53)=0),NOW(),_xlfn.MINIFS($B$3:$B$5000,$A$3:$A$5000,$A53,$B$3:$B$5000,"&gt;"&amp;$B53))</f>
        <v>46279.598764276</v>
      </c>
    </row>
    <row r="54" customFormat="false" ht="15" hidden="false" customHeight="true" outlineLevel="0" collapsed="false">
      <c r="A54" s="42"/>
      <c r="B54" s="42"/>
      <c r="C54" s="42"/>
      <c r="D54" s="42"/>
      <c r="E54" s="42"/>
      <c r="F54" s="51" t="n">
        <f aca="false">IF(OR(C54="",D54="",E54="",E54=0),0,C54*D54/E54)</f>
        <v>0</v>
      </c>
      <c r="G54" s="42"/>
      <c r="H54" s="49" t="n">
        <f aca="true">IF(OR($A54="",_xlfn.MINIFS($B$3:$B$5000,$A$3:$A$5000,$A54,$B$3:$B$5000,"&gt;"&amp;$B54)=0),NOW(),_xlfn.MINIFS($B$3:$B$5000,$A$3:$A$5000,$A54,$B$3:$B$5000,"&gt;"&amp;$B54))</f>
        <v>46279.598764276</v>
      </c>
    </row>
    <row r="55" customFormat="false" ht="15" hidden="false" customHeight="true" outlineLevel="0" collapsed="false">
      <c r="A55" s="42"/>
      <c r="B55" s="42"/>
      <c r="C55" s="42"/>
      <c r="D55" s="42"/>
      <c r="E55" s="42"/>
      <c r="F55" s="51" t="n">
        <f aca="false">IF(OR(C55="",D55="",E55="",E55=0),0,C55*D55/E55)</f>
        <v>0</v>
      </c>
      <c r="G55" s="42"/>
      <c r="H55" s="49" t="n">
        <f aca="true">IF(OR($A55="",_xlfn.MINIFS($B$3:$B$5000,$A$3:$A$5000,$A55,$B$3:$B$5000,"&gt;"&amp;$B55)=0),NOW(),_xlfn.MINIFS($B$3:$B$5000,$A$3:$A$5000,$A55,$B$3:$B$5000,"&gt;"&amp;$B55))</f>
        <v>46279.5987642761</v>
      </c>
    </row>
    <row r="56" customFormat="false" ht="15" hidden="false" customHeight="true" outlineLevel="0" collapsed="false">
      <c r="A56" s="42"/>
      <c r="B56" s="42"/>
      <c r="C56" s="42"/>
      <c r="D56" s="42"/>
      <c r="E56" s="42"/>
      <c r="F56" s="51" t="n">
        <f aca="false">IF(OR(C56="",D56="",E56="",E56=0),0,C56*D56/E56)</f>
        <v>0</v>
      </c>
      <c r="G56" s="42"/>
      <c r="H56" s="49" t="n">
        <f aca="true">IF(OR($A56="",_xlfn.MINIFS($B$3:$B$5000,$A$3:$A$5000,$A56,$B$3:$B$5000,"&gt;"&amp;$B56)=0),NOW(),_xlfn.MINIFS($B$3:$B$5000,$A$3:$A$5000,$A56,$B$3:$B$5000,"&gt;"&amp;$B56))</f>
        <v>46279.5987642761</v>
      </c>
    </row>
    <row r="57" customFormat="false" ht="15" hidden="false" customHeight="true" outlineLevel="0" collapsed="false">
      <c r="A57" s="42"/>
      <c r="B57" s="42"/>
      <c r="C57" s="42"/>
      <c r="D57" s="42"/>
      <c r="E57" s="42"/>
      <c r="F57" s="51" t="n">
        <f aca="false">IF(OR(C57="",D57="",E57="",E57=0),0,C57*D57/E57)</f>
        <v>0</v>
      </c>
      <c r="G57" s="42"/>
      <c r="H57" s="49" t="n">
        <f aca="true">IF(OR($A57="",_xlfn.MINIFS($B$3:$B$5000,$A$3:$A$5000,$A57,$B$3:$B$5000,"&gt;"&amp;$B57)=0),NOW(),_xlfn.MINIFS($B$3:$B$5000,$A$3:$A$5000,$A57,$B$3:$B$5000,"&gt;"&amp;$B57))</f>
        <v>46279.5987642762</v>
      </c>
    </row>
    <row r="58" customFormat="false" ht="15" hidden="false" customHeight="true" outlineLevel="0" collapsed="false">
      <c r="A58" s="42"/>
      <c r="B58" s="42"/>
      <c r="C58" s="42"/>
      <c r="D58" s="42"/>
      <c r="E58" s="42"/>
      <c r="F58" s="51" t="n">
        <f aca="false">IF(OR(C58="",D58="",E58="",E58=0),0,C58*D58/E58)</f>
        <v>0</v>
      </c>
      <c r="G58" s="42"/>
      <c r="H58" s="49" t="n">
        <f aca="true">IF(OR($A58="",_xlfn.MINIFS($B$3:$B$5000,$A$3:$A$5000,$A58,$B$3:$B$5000,"&gt;"&amp;$B58)=0),NOW(),_xlfn.MINIFS($B$3:$B$5000,$A$3:$A$5000,$A58,$B$3:$B$5000,"&gt;"&amp;$B58))</f>
        <v>46279.5987642762</v>
      </c>
    </row>
    <row r="59" customFormat="false" ht="15" hidden="false" customHeight="true" outlineLevel="0" collapsed="false">
      <c r="A59" s="42"/>
      <c r="B59" s="42"/>
      <c r="C59" s="42"/>
      <c r="D59" s="42"/>
      <c r="E59" s="42"/>
      <c r="F59" s="51" t="n">
        <f aca="false">IF(OR(C59="",D59="",E59="",E59=0),0,C59*D59/E59)</f>
        <v>0</v>
      </c>
      <c r="G59" s="42"/>
      <c r="H59" s="49" t="n">
        <f aca="true">IF(OR($A59="",_xlfn.MINIFS($B$3:$B$5000,$A$3:$A$5000,$A59,$B$3:$B$5000,"&gt;"&amp;$B59)=0),NOW(),_xlfn.MINIFS($B$3:$B$5000,$A$3:$A$5000,$A59,$B$3:$B$5000,"&gt;"&amp;$B59))</f>
        <v>46279.5987642763</v>
      </c>
    </row>
    <row r="60" customFormat="false" ht="15" hidden="false" customHeight="true" outlineLevel="0" collapsed="false">
      <c r="A60" s="42"/>
      <c r="B60" s="42"/>
      <c r="C60" s="42"/>
      <c r="D60" s="42"/>
      <c r="E60" s="42"/>
      <c r="F60" s="51" t="n">
        <f aca="false">IF(OR(C60="",D60="",E60="",E60=0),0,C60*D60/E60)</f>
        <v>0</v>
      </c>
      <c r="G60" s="42"/>
      <c r="H60" s="49" t="n">
        <f aca="true">IF(OR($A60="",_xlfn.MINIFS($B$3:$B$5000,$A$3:$A$5000,$A60,$B$3:$B$5000,"&gt;"&amp;$B60)=0),NOW(),_xlfn.MINIFS($B$3:$B$5000,$A$3:$A$5000,$A60,$B$3:$B$5000,"&gt;"&amp;$B60))</f>
        <v>46279.5987642763</v>
      </c>
    </row>
    <row r="61" customFormat="false" ht="15" hidden="false" customHeight="true" outlineLevel="0" collapsed="false">
      <c r="A61" s="42"/>
      <c r="B61" s="42"/>
      <c r="C61" s="42"/>
      <c r="D61" s="42"/>
      <c r="E61" s="42"/>
      <c r="F61" s="51" t="n">
        <f aca="false">IF(OR(C61="",D61="",E61="",E61=0),0,C61*D61/E61)</f>
        <v>0</v>
      </c>
      <c r="G61" s="42"/>
      <c r="H61" s="49" t="n">
        <f aca="true">IF(OR($A61="",_xlfn.MINIFS($B$3:$B$5000,$A$3:$A$5000,$A61,$B$3:$B$5000,"&gt;"&amp;$B61)=0),NOW(),_xlfn.MINIFS($B$3:$B$5000,$A$3:$A$5000,$A61,$B$3:$B$5000,"&gt;"&amp;$B61))</f>
        <v>46279.5987642764</v>
      </c>
    </row>
    <row r="62" customFormat="false" ht="15" hidden="false" customHeight="true" outlineLevel="0" collapsed="false">
      <c r="A62" s="42"/>
      <c r="B62" s="42"/>
      <c r="C62" s="42"/>
      <c r="D62" s="42"/>
      <c r="E62" s="42"/>
      <c r="F62" s="51" t="n">
        <f aca="false">IF(OR(C62="",D62="",E62="",E62=0),0,C62*D62/E62)</f>
        <v>0</v>
      </c>
      <c r="G62" s="42"/>
      <c r="H62" s="49" t="n">
        <f aca="true">IF(OR($A62="",_xlfn.MINIFS($B$3:$B$5000,$A$3:$A$5000,$A62,$B$3:$B$5000,"&gt;"&amp;$B62)=0),NOW(),_xlfn.MINIFS($B$3:$B$5000,$A$3:$A$5000,$A62,$B$3:$B$5000,"&gt;"&amp;$B62))</f>
        <v>46279.5987642764</v>
      </c>
    </row>
    <row r="63" customFormat="false" ht="15" hidden="false" customHeight="true" outlineLevel="0" collapsed="false">
      <c r="A63" s="42" t="s">
        <v>101</v>
      </c>
      <c r="B63" s="42"/>
      <c r="C63" s="42"/>
      <c r="D63" s="42"/>
      <c r="E63" s="42"/>
      <c r="F63" s="51" t="n">
        <f aca="false">IF(OR(C63="",D63="",E63="",E63=0),0,C63*D63/E63)</f>
        <v>0</v>
      </c>
      <c r="G63" s="42"/>
      <c r="H63" s="49" t="n">
        <f aca="true">IF(OR($A63="",_xlfn.MINIFS($B$3:$B$5000,$A$3:$A$5000,$A63,$B$3:$B$5000,"&gt;"&amp;$B63)=0),NOW(),_xlfn.MINIFS($B$3:$B$5000,$A$3:$A$5000,$A63,$B$3:$B$5000,"&gt;"&amp;$B63))</f>
        <v>46279.5987642765</v>
      </c>
    </row>
    <row r="64" customFormat="false" ht="15" hidden="false" customHeight="true" outlineLevel="0" collapsed="false">
      <c r="A64" s="18" t="s">
        <v>102</v>
      </c>
      <c r="B64" s="42"/>
      <c r="C64" s="42"/>
      <c r="D64" s="42"/>
      <c r="E64" s="42"/>
      <c r="F64" s="51" t="n">
        <f aca="false">IF(OR(C64="",D64="",E64="",E64=0),0,C64*D64/E64)</f>
        <v>0</v>
      </c>
      <c r="G64" s="42"/>
      <c r="H64" s="49" t="n">
        <f aca="true">IF(OR($A64="",_xlfn.MINIFS($B$3:$B$5000,$A$3:$A$5000,$A64,$B$3:$B$5000,"&gt;"&amp;$B64)=0),NOW(),_xlfn.MINIFS($B$3:$B$5000,$A$3:$A$5000,$A64,$B$3:$B$5000,"&gt;"&amp;$B64))</f>
        <v>46279.5987642766</v>
      </c>
    </row>
    <row r="65" customFormat="false" ht="15" hidden="false" customHeight="true" outlineLevel="0" collapsed="false">
      <c r="A65" s="42" t="s">
        <v>103</v>
      </c>
      <c r="B65" s="42"/>
      <c r="C65" s="42"/>
      <c r="D65" s="42"/>
      <c r="E65" s="42"/>
      <c r="F65" s="51" t="n">
        <f aca="false">IF(OR(C65="",D65="",E65="",E65=0),0,C65*D65/E65)</f>
        <v>0</v>
      </c>
      <c r="G65" s="42"/>
      <c r="H65" s="49" t="n">
        <f aca="true">IF(OR($A65="",_xlfn.MINIFS($B$3:$B$5000,$A$3:$A$5000,$A65,$B$3:$B$5000,"&gt;"&amp;$B65)=0),NOW(),_xlfn.MINIFS($B$3:$B$5000,$A$3:$A$5000,$A65,$B$3:$B$5000,"&gt;"&amp;$B65))</f>
        <v>46279.5987642766</v>
      </c>
    </row>
    <row r="66" customFormat="false" ht="15" hidden="false" customHeight="true" outlineLevel="0" collapsed="false">
      <c r="A66" s="42"/>
      <c r="B66" s="42"/>
      <c r="C66" s="42"/>
      <c r="D66" s="42"/>
      <c r="E66" s="42"/>
      <c r="F66" s="51" t="n">
        <f aca="false">IF(OR(C66="",D66="",E66="",E66=0),0,C66*D66/E66)</f>
        <v>0</v>
      </c>
      <c r="G66" s="42"/>
      <c r="H66" s="49" t="n">
        <f aca="true">IF(OR($A66="",_xlfn.MINIFS($B$3:$B$5000,$A$3:$A$5000,$A66,$B$3:$B$5000,"&gt;"&amp;$B66)=0),NOW(),_xlfn.MINIFS($B$3:$B$5000,$A$3:$A$5000,$A66,$B$3:$B$5000,"&gt;"&amp;$B66))</f>
        <v>46279.5987642767</v>
      </c>
    </row>
    <row r="67" customFormat="false" ht="15" hidden="false" customHeight="true" outlineLevel="0" collapsed="false">
      <c r="A67" s="42"/>
      <c r="B67" s="42"/>
      <c r="C67" s="42"/>
      <c r="D67" s="42"/>
      <c r="E67" s="42"/>
      <c r="F67" s="51" t="n">
        <f aca="false">IF(OR(C67="",D67="",E67="",E67=0),0,C67*D67/E67)</f>
        <v>0</v>
      </c>
      <c r="G67" s="42"/>
      <c r="H67" s="49" t="n">
        <f aca="true">IF(OR($A67="",_xlfn.MINIFS($B$3:$B$5000,$A$3:$A$5000,$A67,$B$3:$B$5000,"&gt;"&amp;$B67)=0),NOW(),_xlfn.MINIFS($B$3:$B$5000,$A$3:$A$5000,$A67,$B$3:$B$5000,"&gt;"&amp;$B67))</f>
        <v>46279.5987642767</v>
      </c>
    </row>
    <row r="68" customFormat="false" ht="15" hidden="false" customHeight="true" outlineLevel="0" collapsed="false">
      <c r="A68" s="42"/>
      <c r="B68" s="42"/>
      <c r="C68" s="42"/>
      <c r="D68" s="42"/>
      <c r="E68" s="42"/>
      <c r="F68" s="51" t="n">
        <f aca="false">IF(OR(C68="",D68="",E68="",E68=0),0,C68*D68/E68)</f>
        <v>0</v>
      </c>
      <c r="G68" s="42"/>
      <c r="H68" s="49" t="n">
        <f aca="true">IF(OR($A68="",_xlfn.MINIFS($B$3:$B$5000,$A$3:$A$5000,$A68,$B$3:$B$5000,"&gt;"&amp;$B68)=0),NOW(),_xlfn.MINIFS($B$3:$B$5000,$A$3:$A$5000,$A68,$B$3:$B$5000,"&gt;"&amp;$B68))</f>
        <v>46279.5987642768</v>
      </c>
    </row>
    <row r="69" customFormat="false" ht="15" hidden="false" customHeight="true" outlineLevel="0" collapsed="false">
      <c r="A69" s="42"/>
      <c r="B69" s="42"/>
      <c r="C69" s="42"/>
      <c r="D69" s="42"/>
      <c r="E69" s="42"/>
      <c r="F69" s="51" t="n">
        <f aca="false">IF(OR(C69="",D69="",E69="",E69=0),0,C69*D69/E69)</f>
        <v>0</v>
      </c>
      <c r="G69" s="42"/>
      <c r="H69" s="49" t="n">
        <f aca="true">IF(OR($A69="",_xlfn.MINIFS($B$3:$B$5000,$A$3:$A$5000,$A69,$B$3:$B$5000,"&gt;"&amp;$B69)=0),NOW(),_xlfn.MINIFS($B$3:$B$5000,$A$3:$A$5000,$A69,$B$3:$B$5000,"&gt;"&amp;$B69))</f>
        <v>46279.5987642768</v>
      </c>
    </row>
    <row r="70" customFormat="false" ht="15" hidden="false" customHeight="true" outlineLevel="0" collapsed="false">
      <c r="A70" s="42"/>
      <c r="B70" s="42"/>
      <c r="C70" s="42"/>
      <c r="D70" s="42"/>
      <c r="E70" s="42"/>
      <c r="F70" s="51" t="n">
        <f aca="false">IF(OR(C70="",D70="",E70="",E70=0),0,C70*D70/E70)</f>
        <v>0</v>
      </c>
      <c r="G70" s="42"/>
      <c r="H70" s="49" t="n">
        <f aca="true">IF(OR($A70="",_xlfn.MINIFS($B$3:$B$5000,$A$3:$A$5000,$A70,$B$3:$B$5000,"&gt;"&amp;$B70)=0),NOW(),_xlfn.MINIFS($B$3:$B$5000,$A$3:$A$5000,$A70,$B$3:$B$5000,"&gt;"&amp;$B70))</f>
        <v>46279.5987642769</v>
      </c>
    </row>
    <row r="71" customFormat="false" ht="15" hidden="false" customHeight="true" outlineLevel="0" collapsed="false">
      <c r="A71" s="42"/>
      <c r="B71" s="42"/>
      <c r="C71" s="42"/>
      <c r="D71" s="42"/>
      <c r="E71" s="42"/>
      <c r="F71" s="51" t="n">
        <f aca="false">IF(OR(C71="",D71="",E71="",E71=0),0,C71*D71/E71)</f>
        <v>0</v>
      </c>
      <c r="G71" s="42"/>
      <c r="H71" s="49" t="n">
        <f aca="true">IF(OR($A71="",_xlfn.MINIFS($B$3:$B$5000,$A$3:$A$5000,$A71,$B$3:$B$5000,"&gt;"&amp;$B71)=0),NOW(),_xlfn.MINIFS($B$3:$B$5000,$A$3:$A$5000,$A71,$B$3:$B$5000,"&gt;"&amp;$B71))</f>
        <v>46279.5987642769</v>
      </c>
    </row>
    <row r="72" customFormat="false" ht="15" hidden="false" customHeight="true" outlineLevel="0" collapsed="false">
      <c r="A72" s="42"/>
      <c r="B72" s="42"/>
      <c r="C72" s="42"/>
      <c r="D72" s="42"/>
      <c r="E72" s="42"/>
      <c r="F72" s="51" t="n">
        <f aca="false">IF(OR(C72="",D72="",E72="",E72=0),0,C72*D72/E72)</f>
        <v>0</v>
      </c>
      <c r="G72" s="42"/>
      <c r="H72" s="49" t="n">
        <f aca="true">IF(OR($A72="",_xlfn.MINIFS($B$3:$B$5000,$A$3:$A$5000,$A72,$B$3:$B$5000,"&gt;"&amp;$B72)=0),NOW(),_xlfn.MINIFS($B$3:$B$5000,$A$3:$A$5000,$A72,$B$3:$B$5000,"&gt;"&amp;$B72))</f>
        <v>46279.598764277</v>
      </c>
    </row>
    <row r="73" customFormat="false" ht="15" hidden="false" customHeight="true" outlineLevel="0" collapsed="false">
      <c r="A73" s="42"/>
      <c r="B73" s="42"/>
      <c r="C73" s="42"/>
      <c r="D73" s="42"/>
      <c r="E73" s="42"/>
      <c r="F73" s="51" t="n">
        <f aca="false">IF(OR(C73="",D73="",E73="",E73=0),0,C73*D73/E73)</f>
        <v>0</v>
      </c>
      <c r="G73" s="42"/>
      <c r="H73" s="49" t="n">
        <f aca="true">IF(OR($A73="",_xlfn.MINIFS($B$3:$B$5000,$A$3:$A$5000,$A73,$B$3:$B$5000,"&gt;"&amp;$B73)=0),NOW(),_xlfn.MINIFS($B$3:$B$5000,$A$3:$A$5000,$A73,$B$3:$B$5000,"&gt;"&amp;$B73))</f>
        <v>46279.598764277</v>
      </c>
    </row>
    <row r="74" customFormat="false" ht="15" hidden="false" customHeight="true" outlineLevel="0" collapsed="false">
      <c r="A74" s="42"/>
      <c r="B74" s="42"/>
      <c r="C74" s="42"/>
      <c r="D74" s="42"/>
      <c r="E74" s="42"/>
      <c r="F74" s="51" t="n">
        <f aca="false">IF(OR(C74="",D74="",E74="",E74=0),0,C74*D74/E74)</f>
        <v>0</v>
      </c>
      <c r="G74" s="42"/>
      <c r="H74" s="49" t="n">
        <f aca="true">IF(OR($A74="",_xlfn.MINIFS($B$3:$B$5000,$A$3:$A$5000,$A74,$B$3:$B$5000,"&gt;"&amp;$B74)=0),NOW(),_xlfn.MINIFS($B$3:$B$5000,$A$3:$A$5000,$A74,$B$3:$B$5000,"&gt;"&amp;$B74))</f>
        <v>46279.5987642771</v>
      </c>
    </row>
    <row r="75" customFormat="false" ht="15" hidden="false" customHeight="true" outlineLevel="0" collapsed="false">
      <c r="A75" s="42"/>
      <c r="B75" s="42"/>
      <c r="C75" s="42"/>
      <c r="D75" s="42"/>
      <c r="E75" s="42"/>
      <c r="F75" s="51" t="n">
        <f aca="false">IF(OR(C75="",D75="",E75="",E75=0),0,C75*D75/E75)</f>
        <v>0</v>
      </c>
      <c r="G75" s="42"/>
      <c r="H75" s="49" t="n">
        <f aca="true">IF(OR($A75="",_xlfn.MINIFS($B$3:$B$5000,$A$3:$A$5000,$A75,$B$3:$B$5000,"&gt;"&amp;$B75)=0),NOW(),_xlfn.MINIFS($B$3:$B$5000,$A$3:$A$5000,$A75,$B$3:$B$5000,"&gt;"&amp;$B75))</f>
        <v>46279.5987642771</v>
      </c>
    </row>
    <row r="76" customFormat="false" ht="15" hidden="false" customHeight="true" outlineLevel="0" collapsed="false">
      <c r="A76" s="42"/>
      <c r="B76" s="42"/>
      <c r="C76" s="42"/>
      <c r="D76" s="42"/>
      <c r="E76" s="42"/>
      <c r="F76" s="51" t="n">
        <f aca="false">IF(OR(C76="",D76="",E76="",E76=0),0,C76*D76/E76)</f>
        <v>0</v>
      </c>
      <c r="G76" s="42"/>
      <c r="H76" s="49" t="n">
        <f aca="true">IF(OR($A76="",_xlfn.MINIFS($B$3:$B$5000,$A$3:$A$5000,$A76,$B$3:$B$5000,"&gt;"&amp;$B76)=0),NOW(),_xlfn.MINIFS($B$3:$B$5000,$A$3:$A$5000,$A76,$B$3:$B$5000,"&gt;"&amp;$B76))</f>
        <v>46279.5987642772</v>
      </c>
    </row>
    <row r="77" customFormat="false" ht="15" hidden="false" customHeight="true" outlineLevel="0" collapsed="false">
      <c r="A77" s="42"/>
      <c r="B77" s="42"/>
      <c r="C77" s="42"/>
      <c r="D77" s="42"/>
      <c r="E77" s="42"/>
      <c r="F77" s="51" t="n">
        <f aca="false">IF(OR(C77="",D77="",E77="",E77=0),0,C77*D77/E77)</f>
        <v>0</v>
      </c>
      <c r="G77" s="42"/>
      <c r="H77" s="49" t="n">
        <f aca="true">IF(OR($A77="",_xlfn.MINIFS($B$3:$B$5000,$A$3:$A$5000,$A77,$B$3:$B$5000,"&gt;"&amp;$B77)=0),NOW(),_xlfn.MINIFS($B$3:$B$5000,$A$3:$A$5000,$A77,$B$3:$B$5000,"&gt;"&amp;$B77))</f>
        <v>46279.5987642772</v>
      </c>
    </row>
    <row r="78" customFormat="false" ht="15" hidden="false" customHeight="true" outlineLevel="0" collapsed="false">
      <c r="A78" s="42"/>
      <c r="B78" s="42"/>
      <c r="C78" s="42"/>
      <c r="D78" s="42"/>
      <c r="E78" s="42"/>
      <c r="F78" s="51" t="n">
        <f aca="false">IF(OR(C78="",D78="",E78="",E78=0),0,C78*D78/E78)</f>
        <v>0</v>
      </c>
      <c r="G78" s="42"/>
      <c r="H78" s="49" t="n">
        <f aca="true">IF(OR($A78="",_xlfn.MINIFS($B$3:$B$5000,$A$3:$A$5000,$A78,$B$3:$B$5000,"&gt;"&amp;$B78)=0),NOW(),_xlfn.MINIFS($B$3:$B$5000,$A$3:$A$5000,$A78,$B$3:$B$5000,"&gt;"&amp;$B78))</f>
        <v>46279.5987642773</v>
      </c>
    </row>
    <row r="79" customFormat="false" ht="15" hidden="false" customHeight="true" outlineLevel="0" collapsed="false">
      <c r="A79" s="42"/>
      <c r="B79" s="42"/>
      <c r="C79" s="42"/>
      <c r="D79" s="42"/>
      <c r="E79" s="42"/>
      <c r="F79" s="51" t="n">
        <f aca="false">IF(OR(C79="",D79="",E79="",E79=0),0,C79*D79/E79)</f>
        <v>0</v>
      </c>
      <c r="G79" s="42"/>
      <c r="H79" s="49" t="n">
        <f aca="true">IF(OR($A79="",_xlfn.MINIFS($B$3:$B$5000,$A$3:$A$5000,$A79,$B$3:$B$5000,"&gt;"&amp;$B79)=0),NOW(),_xlfn.MINIFS($B$3:$B$5000,$A$3:$A$5000,$A79,$B$3:$B$5000,"&gt;"&amp;$B79))</f>
        <v>46279.5987642774</v>
      </c>
    </row>
    <row r="80" customFormat="false" ht="15" hidden="false" customHeight="true" outlineLevel="0" collapsed="false">
      <c r="A80" s="42"/>
      <c r="B80" s="42"/>
      <c r="C80" s="42"/>
      <c r="D80" s="42"/>
      <c r="E80" s="42"/>
      <c r="F80" s="51" t="n">
        <f aca="false">IF(OR(C80="",D80="",E80="",E80=0),0,C80*D80/E80)</f>
        <v>0</v>
      </c>
      <c r="G80" s="42"/>
      <c r="H80" s="49" t="n">
        <f aca="true">IF(OR($A80="",_xlfn.MINIFS($B$3:$B$5000,$A$3:$A$5000,$A80,$B$3:$B$5000,"&gt;"&amp;$B80)=0),NOW(),_xlfn.MINIFS($B$3:$B$5000,$A$3:$A$5000,$A80,$B$3:$B$5000,"&gt;"&amp;$B80))</f>
        <v>46279.5987642774</v>
      </c>
    </row>
    <row r="81" customFormat="false" ht="15" hidden="false" customHeight="true" outlineLevel="0" collapsed="false">
      <c r="A81" s="42"/>
      <c r="B81" s="42"/>
      <c r="C81" s="42"/>
      <c r="D81" s="42"/>
      <c r="E81" s="42"/>
      <c r="F81" s="51" t="n">
        <f aca="false">IF(OR(C81="",D81="",E81="",E81=0),0,C81*D81/E81)</f>
        <v>0</v>
      </c>
      <c r="G81" s="42"/>
      <c r="H81" s="49" t="n">
        <f aca="true">IF(OR($A81="",_xlfn.MINIFS($B$3:$B$5000,$A$3:$A$5000,$A81,$B$3:$B$5000,"&gt;"&amp;$B81)=0),NOW(),_xlfn.MINIFS($B$3:$B$5000,$A$3:$A$5000,$A81,$B$3:$B$5000,"&gt;"&amp;$B81))</f>
        <v>46279.5987642774</v>
      </c>
    </row>
    <row r="82" customFormat="false" ht="15" hidden="false" customHeight="true" outlineLevel="0" collapsed="false">
      <c r="A82" s="42"/>
      <c r="B82" s="42"/>
      <c r="C82" s="42"/>
      <c r="D82" s="42"/>
      <c r="E82" s="42"/>
      <c r="F82" s="51" t="n">
        <f aca="false">IF(OR(C82="",D82="",E82="",E82=0),0,C82*D82/E82)</f>
        <v>0</v>
      </c>
      <c r="G82" s="42"/>
      <c r="H82" s="49" t="n">
        <f aca="true">IF(OR($A82="",_xlfn.MINIFS($B$3:$B$5000,$A$3:$A$5000,$A82,$B$3:$B$5000,"&gt;"&amp;$B82)=0),NOW(),_xlfn.MINIFS($B$3:$B$5000,$A$3:$A$5000,$A82,$B$3:$B$5000,"&gt;"&amp;$B82))</f>
        <v>46279.5987642775</v>
      </c>
    </row>
    <row r="83" customFormat="false" ht="15" hidden="false" customHeight="true" outlineLevel="0" collapsed="false">
      <c r="A83" s="42"/>
      <c r="B83" s="42"/>
      <c r="C83" s="42"/>
      <c r="D83" s="42"/>
      <c r="E83" s="42"/>
      <c r="F83" s="51" t="n">
        <f aca="false">IF(OR(C83="",D83="",E83="",E83=0),0,C83*D83/E83)</f>
        <v>0</v>
      </c>
      <c r="G83" s="42"/>
      <c r="H83" s="49" t="n">
        <f aca="true">IF(OR($A83="",_xlfn.MINIFS($B$3:$B$5000,$A$3:$A$5000,$A83,$B$3:$B$5000,"&gt;"&amp;$B83)=0),NOW(),_xlfn.MINIFS($B$3:$B$5000,$A$3:$A$5000,$A83,$B$3:$B$5000,"&gt;"&amp;$B83))</f>
        <v>46279.5987642775</v>
      </c>
    </row>
    <row r="84" customFormat="false" ht="15" hidden="false" customHeight="true" outlineLevel="0" collapsed="false">
      <c r="A84" s="42"/>
      <c r="B84" s="42"/>
      <c r="C84" s="42"/>
      <c r="D84" s="42"/>
      <c r="E84" s="42"/>
      <c r="F84" s="51" t="n">
        <f aca="false">IF(OR(C84="",D84="",E84="",E84=0),0,C84*D84/E84)</f>
        <v>0</v>
      </c>
      <c r="G84" s="42"/>
      <c r="H84" s="49" t="n">
        <f aca="true">IF(OR($A84="",_xlfn.MINIFS($B$3:$B$5000,$A$3:$A$5000,$A84,$B$3:$B$5000,"&gt;"&amp;$B84)=0),NOW(),_xlfn.MINIFS($B$3:$B$5000,$A$3:$A$5000,$A84,$B$3:$B$5000,"&gt;"&amp;$B84))</f>
        <v>46279.5987642776</v>
      </c>
    </row>
    <row r="85" customFormat="false" ht="15" hidden="false" customHeight="true" outlineLevel="0" collapsed="false">
      <c r="A85" s="42"/>
      <c r="B85" s="42"/>
      <c r="C85" s="42"/>
      <c r="D85" s="42"/>
      <c r="E85" s="42"/>
      <c r="F85" s="51" t="n">
        <f aca="false">IF(OR(C85="",D85="",E85="",E85=0),0,C85*D85/E85)</f>
        <v>0</v>
      </c>
      <c r="G85" s="42"/>
      <c r="H85" s="49" t="n">
        <f aca="true">IF(OR($A85="",_xlfn.MINIFS($B$3:$B$5000,$A$3:$A$5000,$A85,$B$3:$B$5000,"&gt;"&amp;$B85)=0),NOW(),_xlfn.MINIFS($B$3:$B$5000,$A$3:$A$5000,$A85,$B$3:$B$5000,"&gt;"&amp;$B85))</f>
        <v>46279.5987642776</v>
      </c>
    </row>
    <row r="86" customFormat="false" ht="15" hidden="false" customHeight="true" outlineLevel="0" collapsed="false">
      <c r="A86" s="42"/>
      <c r="B86" s="42"/>
      <c r="C86" s="42"/>
      <c r="D86" s="42"/>
      <c r="E86" s="42"/>
      <c r="F86" s="51" t="n">
        <f aca="false">IF(OR(C86="",D86="",E86="",E86=0),0,C86*D86/E86)</f>
        <v>0</v>
      </c>
      <c r="G86" s="42"/>
      <c r="H86" s="49" t="n">
        <f aca="true">IF(OR($A86="",_xlfn.MINIFS($B$3:$B$5000,$A$3:$A$5000,$A86,$B$3:$B$5000,"&gt;"&amp;$B86)=0),NOW(),_xlfn.MINIFS($B$3:$B$5000,$A$3:$A$5000,$A86,$B$3:$B$5000,"&gt;"&amp;$B86))</f>
        <v>46279.5987642777</v>
      </c>
    </row>
    <row r="87" customFormat="false" ht="15" hidden="false" customHeight="true" outlineLevel="0" collapsed="false">
      <c r="A87" s="42"/>
      <c r="B87" s="42"/>
      <c r="C87" s="42"/>
      <c r="D87" s="42"/>
      <c r="E87" s="42"/>
      <c r="F87" s="51" t="n">
        <f aca="false">IF(OR(C87="",D87="",E87="",E87=0),0,C87*D87/E87)</f>
        <v>0</v>
      </c>
      <c r="G87" s="42"/>
      <c r="H87" s="49" t="n">
        <f aca="true">IF(OR($A87="",_xlfn.MINIFS($B$3:$B$5000,$A$3:$A$5000,$A87,$B$3:$B$5000,"&gt;"&amp;$B87)=0),NOW(),_xlfn.MINIFS($B$3:$B$5000,$A$3:$A$5000,$A87,$B$3:$B$5000,"&gt;"&amp;$B87))</f>
        <v>46279.5987642778</v>
      </c>
    </row>
    <row r="88" customFormat="false" ht="15" hidden="false" customHeight="true" outlineLevel="0" collapsed="false">
      <c r="A88" s="42"/>
      <c r="B88" s="42"/>
      <c r="C88" s="42"/>
      <c r="D88" s="42"/>
      <c r="E88" s="42"/>
      <c r="F88" s="51" t="n">
        <f aca="false">IF(OR(C88="",D88="",E88="",E88=0),0,C88*D88/E88)</f>
        <v>0</v>
      </c>
      <c r="G88" s="42"/>
      <c r="H88" s="49" t="n">
        <f aca="true">IF(OR($A88="",_xlfn.MINIFS($B$3:$B$5000,$A$3:$A$5000,$A88,$B$3:$B$5000,"&gt;"&amp;$B88)=0),NOW(),_xlfn.MINIFS($B$3:$B$5000,$A$3:$A$5000,$A88,$B$3:$B$5000,"&gt;"&amp;$B88))</f>
        <v>46279.5987642778</v>
      </c>
    </row>
    <row r="89" customFormat="false" ht="15" hidden="false" customHeight="true" outlineLevel="0" collapsed="false">
      <c r="A89" s="42"/>
      <c r="B89" s="42"/>
      <c r="C89" s="42"/>
      <c r="D89" s="42"/>
      <c r="E89" s="42"/>
      <c r="F89" s="51" t="n">
        <f aca="false">IF(OR(C89="",D89="",E89="",E89=0),0,C89*D89/E89)</f>
        <v>0</v>
      </c>
      <c r="G89" s="42"/>
      <c r="H89" s="49" t="n">
        <f aca="true">IF(OR($A89="",_xlfn.MINIFS($B$3:$B$5000,$A$3:$A$5000,$A89,$B$3:$B$5000,"&gt;"&amp;$B89)=0),NOW(),_xlfn.MINIFS($B$3:$B$5000,$A$3:$A$5000,$A89,$B$3:$B$5000,"&gt;"&amp;$B89))</f>
        <v>46279.598764278</v>
      </c>
    </row>
    <row r="90" customFormat="false" ht="15" hidden="false" customHeight="true" outlineLevel="0" collapsed="false">
      <c r="A90" s="42"/>
      <c r="B90" s="42"/>
      <c r="C90" s="42"/>
      <c r="D90" s="42"/>
      <c r="E90" s="42"/>
      <c r="F90" s="51" t="n">
        <f aca="false">IF(OR(C90="",D90="",E90="",E90=0),0,C90*D90/E90)</f>
        <v>0</v>
      </c>
      <c r="G90" s="42"/>
      <c r="H90" s="49" t="n">
        <f aca="true">IF(OR($A90="",_xlfn.MINIFS($B$3:$B$5000,$A$3:$A$5000,$A90,$B$3:$B$5000,"&gt;"&amp;$B90)=0),NOW(),_xlfn.MINIFS($B$3:$B$5000,$A$3:$A$5000,$A90,$B$3:$B$5000,"&gt;"&amp;$B90))</f>
        <v>46279.598764278</v>
      </c>
    </row>
    <row r="91" customFormat="false" ht="15" hidden="false" customHeight="true" outlineLevel="0" collapsed="false">
      <c r="A91" s="42"/>
      <c r="B91" s="42"/>
      <c r="C91" s="42"/>
      <c r="D91" s="42"/>
      <c r="E91" s="42"/>
      <c r="F91" s="51" t="n">
        <f aca="false">IF(OR(C91="",D91="",E91="",E91=0),0,C91*D91/E91)</f>
        <v>0</v>
      </c>
      <c r="G91" s="42"/>
      <c r="H91" s="49" t="n">
        <f aca="true">IF(OR($A91="",_xlfn.MINIFS($B$3:$B$5000,$A$3:$A$5000,$A91,$B$3:$B$5000,"&gt;"&amp;$B91)=0),NOW(),_xlfn.MINIFS($B$3:$B$5000,$A$3:$A$5000,$A91,$B$3:$B$5000,"&gt;"&amp;$B91))</f>
        <v>46279.5987642781</v>
      </c>
    </row>
    <row r="92" customFormat="false" ht="15" hidden="false" customHeight="true" outlineLevel="0" collapsed="false">
      <c r="A92" s="42"/>
      <c r="B92" s="42"/>
      <c r="C92" s="42"/>
      <c r="D92" s="42"/>
      <c r="E92" s="42"/>
      <c r="F92" s="51" t="n">
        <f aca="false">IF(OR(C92="",D92="",E92="",E92=0),0,C92*D92/E92)</f>
        <v>0</v>
      </c>
      <c r="G92" s="42"/>
      <c r="H92" s="49" t="n">
        <f aca="true">IF(OR($A92="",_xlfn.MINIFS($B$3:$B$5000,$A$3:$A$5000,$A92,$B$3:$B$5000,"&gt;"&amp;$B92)=0),NOW(),_xlfn.MINIFS($B$3:$B$5000,$A$3:$A$5000,$A92,$B$3:$B$5000,"&gt;"&amp;$B92))</f>
        <v>46279.5987642781</v>
      </c>
    </row>
    <row r="93" customFormat="false" ht="15" hidden="false" customHeight="true" outlineLevel="0" collapsed="false">
      <c r="A93" s="42"/>
      <c r="B93" s="42"/>
      <c r="C93" s="42"/>
      <c r="D93" s="42"/>
      <c r="E93" s="42"/>
      <c r="F93" s="51" t="n">
        <f aca="false">IF(OR(C93="",D93="",E93="",E93=0),0,C93*D93/E93)</f>
        <v>0</v>
      </c>
      <c r="G93" s="42"/>
      <c r="H93" s="49" t="n">
        <f aca="true">IF(OR($A93="",_xlfn.MINIFS($B$3:$B$5000,$A$3:$A$5000,$A93,$B$3:$B$5000,"&gt;"&amp;$B93)=0),NOW(),_xlfn.MINIFS($B$3:$B$5000,$A$3:$A$5000,$A93,$B$3:$B$5000,"&gt;"&amp;$B93))</f>
        <v>46279.5987642782</v>
      </c>
    </row>
    <row r="94" customFormat="false" ht="15" hidden="false" customHeight="true" outlineLevel="0" collapsed="false">
      <c r="A94" s="42"/>
      <c r="B94" s="42"/>
      <c r="C94" s="42"/>
      <c r="D94" s="42"/>
      <c r="E94" s="42"/>
      <c r="F94" s="51" t="n">
        <f aca="false">IF(OR(C94="",D94="",E94="",E94=0),0,C94*D94/E94)</f>
        <v>0</v>
      </c>
      <c r="G94" s="42"/>
      <c r="H94" s="49" t="n">
        <f aca="true">IF(OR($A94="",_xlfn.MINIFS($B$3:$B$5000,$A$3:$A$5000,$A94,$B$3:$B$5000,"&gt;"&amp;$B94)=0),NOW(),_xlfn.MINIFS($B$3:$B$5000,$A$3:$A$5000,$A94,$B$3:$B$5000,"&gt;"&amp;$B94))</f>
        <v>46279.5987642782</v>
      </c>
    </row>
    <row r="95" customFormat="false" ht="15" hidden="false" customHeight="true" outlineLevel="0" collapsed="false">
      <c r="A95" s="42"/>
      <c r="B95" s="42"/>
      <c r="C95" s="42"/>
      <c r="D95" s="42"/>
      <c r="E95" s="42"/>
      <c r="F95" s="51" t="n">
        <f aca="false">IF(OR(C95="",D95="",E95="",E95=0),0,C95*D95/E95)</f>
        <v>0</v>
      </c>
      <c r="G95" s="42"/>
      <c r="H95" s="49" t="n">
        <f aca="true">IF(OR($A95="",_xlfn.MINIFS($B$3:$B$5000,$A$3:$A$5000,$A95,$B$3:$B$5000,"&gt;"&amp;$B95)=0),NOW(),_xlfn.MINIFS($B$3:$B$5000,$A$3:$A$5000,$A95,$B$3:$B$5000,"&gt;"&amp;$B95))</f>
        <v>46279.5987642783</v>
      </c>
    </row>
    <row r="96" customFormat="false" ht="15" hidden="false" customHeight="true" outlineLevel="0" collapsed="false">
      <c r="A96" s="42"/>
      <c r="B96" s="42"/>
      <c r="C96" s="42"/>
      <c r="D96" s="42"/>
      <c r="E96" s="42"/>
      <c r="F96" s="51" t="n">
        <f aca="false">IF(OR(C96="",D96="",E96="",E96=0),0,C96*D96/E96)</f>
        <v>0</v>
      </c>
      <c r="G96" s="42"/>
      <c r="H96" s="49" t="n">
        <f aca="true">IF(OR($A96="",_xlfn.MINIFS($B$3:$B$5000,$A$3:$A$5000,$A96,$B$3:$B$5000,"&gt;"&amp;$B96)=0),NOW(),_xlfn.MINIFS($B$3:$B$5000,$A$3:$A$5000,$A96,$B$3:$B$5000,"&gt;"&amp;$B96))</f>
        <v>46279.5987642783</v>
      </c>
    </row>
    <row r="97" customFormat="false" ht="15" hidden="false" customHeight="true" outlineLevel="0" collapsed="false">
      <c r="A97" s="42"/>
      <c r="B97" s="42"/>
      <c r="C97" s="42"/>
      <c r="D97" s="42"/>
      <c r="E97" s="42"/>
      <c r="F97" s="51" t="n">
        <f aca="false">IF(OR(C97="",D97="",E97="",E97=0),0,C97*D97/E97)</f>
        <v>0</v>
      </c>
      <c r="G97" s="42"/>
      <c r="H97" s="49" t="n">
        <f aca="true">IF(OR($A97="",_xlfn.MINIFS($B$3:$B$5000,$A$3:$A$5000,$A97,$B$3:$B$5000,"&gt;"&amp;$B97)=0),NOW(),_xlfn.MINIFS($B$3:$B$5000,$A$3:$A$5000,$A97,$B$3:$B$5000,"&gt;"&amp;$B97))</f>
        <v>46279.5987642784</v>
      </c>
    </row>
    <row r="98" customFormat="false" ht="15" hidden="false" customHeight="true" outlineLevel="0" collapsed="false">
      <c r="A98" s="42"/>
      <c r="B98" s="42"/>
      <c r="C98" s="42"/>
      <c r="D98" s="42"/>
      <c r="E98" s="42"/>
      <c r="F98" s="51" t="n">
        <f aca="false">IF(OR(C98="",D98="",E98="",E98=0),0,C98*D98/E98)</f>
        <v>0</v>
      </c>
      <c r="G98" s="42"/>
      <c r="H98" s="49" t="n">
        <f aca="true">IF(OR($A98="",_xlfn.MINIFS($B$3:$B$5000,$A$3:$A$5000,$A98,$B$3:$B$5000,"&gt;"&amp;$B98)=0),NOW(),_xlfn.MINIFS($B$3:$B$5000,$A$3:$A$5000,$A98,$B$3:$B$5000,"&gt;"&amp;$B98))</f>
        <v>46279.5987642784</v>
      </c>
    </row>
    <row r="99" customFormat="false" ht="15" hidden="false" customHeight="true" outlineLevel="0" collapsed="false">
      <c r="A99" s="42"/>
      <c r="B99" s="42"/>
      <c r="C99" s="42"/>
      <c r="D99" s="42"/>
      <c r="E99" s="42"/>
      <c r="F99" s="51" t="n">
        <f aca="false">IF(OR(C99="",D99="",E99="",E99=0),0,C99*D99/E99)</f>
        <v>0</v>
      </c>
      <c r="G99" s="42"/>
      <c r="H99" s="49" t="n">
        <f aca="true">IF(OR($A99="",_xlfn.MINIFS($B$3:$B$5000,$A$3:$A$5000,$A99,$B$3:$B$5000,"&gt;"&amp;$B99)=0),NOW(),_xlfn.MINIFS($B$3:$B$5000,$A$3:$A$5000,$A99,$B$3:$B$5000,"&gt;"&amp;$B99))</f>
        <v>46279.5987642785</v>
      </c>
    </row>
    <row r="100" customFormat="false" ht="15" hidden="false" customHeight="true" outlineLevel="0" collapsed="false">
      <c r="A100" s="42"/>
      <c r="B100" s="42"/>
      <c r="C100" s="42"/>
      <c r="D100" s="42"/>
      <c r="E100" s="42"/>
      <c r="F100" s="51" t="n">
        <f aca="false">IF(OR(C100="",D100="",E100="",E100=0),0,C100*D100/E100)</f>
        <v>0</v>
      </c>
      <c r="G100" s="42"/>
      <c r="H100" s="49" t="n">
        <f aca="true">IF(OR($A100="",_xlfn.MINIFS($B$3:$B$5000,$A$3:$A$5000,$A100,$B$3:$B$5000,"&gt;"&amp;$B100)=0),NOW(),_xlfn.MINIFS($B$3:$B$5000,$A$3:$A$5000,$A100,$B$3:$B$5000,"&gt;"&amp;$B100))</f>
        <v>46279.5987642785</v>
      </c>
    </row>
    <row r="101" customFormat="false" ht="15" hidden="false" customHeight="true" outlineLevel="0" collapsed="false">
      <c r="A101" s="42"/>
      <c r="B101" s="42"/>
      <c r="C101" s="42"/>
      <c r="D101" s="42"/>
      <c r="E101" s="42"/>
      <c r="F101" s="51" t="n">
        <f aca="false">IF(OR(C101="",D101="",E101="",E101=0),0,C101*D101/E101)</f>
        <v>0</v>
      </c>
      <c r="G101" s="42"/>
      <c r="H101" s="49" t="n">
        <f aca="true">IF(OR($A101="",_xlfn.MINIFS($B$3:$B$5000,$A$3:$A$5000,$A101,$B$3:$B$5000,"&gt;"&amp;$B101)=0),NOW(),_xlfn.MINIFS($B$3:$B$5000,$A$3:$A$5000,$A101,$B$3:$B$5000,"&gt;"&amp;$B101))</f>
        <v>46279.5987642786</v>
      </c>
    </row>
    <row r="102" customFormat="false" ht="15" hidden="false" customHeight="true" outlineLevel="0" collapsed="false">
      <c r="A102" s="42"/>
      <c r="B102" s="42"/>
      <c r="C102" s="42"/>
      <c r="D102" s="42"/>
      <c r="E102" s="42"/>
      <c r="F102" s="51" t="n">
        <f aca="false">IF(OR(C102="",D102="",E102="",E102=0),0,C102*D102/E102)</f>
        <v>0</v>
      </c>
      <c r="G102" s="42"/>
      <c r="H102" s="49" t="n">
        <f aca="true">IF(OR($A102="",_xlfn.MINIFS($B$3:$B$5000,$A$3:$A$5000,$A102,$B$3:$B$5000,"&gt;"&amp;$B102)=0),NOW(),_xlfn.MINIFS($B$3:$B$5000,$A$3:$A$5000,$A102,$B$3:$B$5000,"&gt;"&amp;$B102))</f>
        <v>46279.5987642786</v>
      </c>
    </row>
    <row r="103" customFormat="false" ht="15" hidden="false" customHeight="true" outlineLevel="0" collapsed="false">
      <c r="A103" s="42"/>
      <c r="B103" s="42"/>
      <c r="C103" s="42"/>
      <c r="D103" s="42"/>
      <c r="E103" s="42"/>
      <c r="F103" s="51" t="n">
        <f aca="false">IF(OR(C103="",D103="",E103="",E103=0),0,C103*D103/E103)</f>
        <v>0</v>
      </c>
      <c r="G103" s="42"/>
      <c r="H103" s="49" t="n">
        <f aca="true">IF(OR($A103="",_xlfn.MINIFS($B$3:$B$5000,$A$3:$A$5000,$A103,$B$3:$B$5000,"&gt;"&amp;$B103)=0),NOW(),_xlfn.MINIFS($B$3:$B$5000,$A$3:$A$5000,$A103,$B$3:$B$5000,"&gt;"&amp;$B103))</f>
        <v>46279.5987642787</v>
      </c>
    </row>
    <row r="104" customFormat="false" ht="15" hidden="false" customHeight="true" outlineLevel="0" collapsed="false">
      <c r="A104" s="42"/>
      <c r="B104" s="42"/>
      <c r="C104" s="42"/>
      <c r="D104" s="42"/>
      <c r="E104" s="42"/>
      <c r="F104" s="51" t="n">
        <f aca="false">IF(OR(C104="",D104="",E104="",E104=0),0,C104*D104/E104)</f>
        <v>0</v>
      </c>
      <c r="G104" s="42"/>
      <c r="H104" s="49" t="n">
        <f aca="true">IF(OR($A104="",_xlfn.MINIFS($B$3:$B$5000,$A$3:$A$5000,$A104,$B$3:$B$5000,"&gt;"&amp;$B104)=0),NOW(),_xlfn.MINIFS($B$3:$B$5000,$A$3:$A$5000,$A104,$B$3:$B$5000,"&gt;"&amp;$B104))</f>
        <v>46279.5987642787</v>
      </c>
    </row>
    <row r="105" customFormat="false" ht="15" hidden="false" customHeight="true" outlineLevel="0" collapsed="false">
      <c r="A105" s="42"/>
      <c r="B105" s="42"/>
      <c r="C105" s="42"/>
      <c r="D105" s="42"/>
      <c r="E105" s="42"/>
      <c r="F105" s="51" t="n">
        <f aca="false">IF(OR(C105="",D105="",E105="",E105=0),0,C105*D105/E105)</f>
        <v>0</v>
      </c>
      <c r="G105" s="42"/>
      <c r="H105" s="49" t="n">
        <f aca="true">IF(OR($A105="",_xlfn.MINIFS($B$3:$B$5000,$A$3:$A$5000,$A105,$B$3:$B$5000,"&gt;"&amp;$B105)=0),NOW(),_xlfn.MINIFS($B$3:$B$5000,$A$3:$A$5000,$A105,$B$3:$B$5000,"&gt;"&amp;$B105))</f>
        <v>46279.5987642788</v>
      </c>
    </row>
    <row r="106" customFormat="false" ht="15" hidden="false" customHeight="true" outlineLevel="0" collapsed="false">
      <c r="A106" s="42"/>
      <c r="B106" s="42"/>
      <c r="C106" s="42"/>
      <c r="D106" s="42"/>
      <c r="E106" s="42"/>
      <c r="F106" s="51" t="n">
        <f aca="false">IF(OR(C106="",D106="",E106="",E106=0),0,C106*D106/E106)</f>
        <v>0</v>
      </c>
      <c r="G106" s="42"/>
      <c r="H106" s="49" t="n">
        <f aca="true">IF(OR($A106="",_xlfn.MINIFS($B$3:$B$5000,$A$3:$A$5000,$A106,$B$3:$B$5000,"&gt;"&amp;$B106)=0),NOW(),_xlfn.MINIFS($B$3:$B$5000,$A$3:$A$5000,$A106,$B$3:$B$5000,"&gt;"&amp;$B106))</f>
        <v>46279.5987642788</v>
      </c>
    </row>
    <row r="107" customFormat="false" ht="15" hidden="false" customHeight="true" outlineLevel="0" collapsed="false">
      <c r="A107" s="42"/>
      <c r="B107" s="42"/>
      <c r="C107" s="42"/>
      <c r="D107" s="42"/>
      <c r="E107" s="42"/>
      <c r="F107" s="51" t="n">
        <f aca="false">IF(OR(C107="",D107="",E107="",E107=0),0,C107*D107/E107)</f>
        <v>0</v>
      </c>
      <c r="G107" s="42"/>
      <c r="H107" s="49" t="n">
        <f aca="true">IF(OR($A107="",_xlfn.MINIFS($B$3:$B$5000,$A$3:$A$5000,$A107,$B$3:$B$5000,"&gt;"&amp;$B107)=0),NOW(),_xlfn.MINIFS($B$3:$B$5000,$A$3:$A$5000,$A107,$B$3:$B$5000,"&gt;"&amp;$B107))</f>
        <v>46279.598764279</v>
      </c>
    </row>
    <row r="108" customFormat="false" ht="15" hidden="false" customHeight="true" outlineLevel="0" collapsed="false">
      <c r="A108" s="42"/>
      <c r="B108" s="42"/>
      <c r="C108" s="42"/>
      <c r="D108" s="42"/>
      <c r="E108" s="42"/>
      <c r="F108" s="51" t="n">
        <f aca="false">IF(OR(C108="",D108="",E108="",E108=0),0,C108*D108/E108)</f>
        <v>0</v>
      </c>
      <c r="G108" s="42"/>
      <c r="H108" s="49" t="n">
        <f aca="true">IF(OR($A108="",_xlfn.MINIFS($B$3:$B$5000,$A$3:$A$5000,$A108,$B$3:$B$5000,"&gt;"&amp;$B108)=0),NOW(),_xlfn.MINIFS($B$3:$B$5000,$A$3:$A$5000,$A108,$B$3:$B$5000,"&gt;"&amp;$B108))</f>
        <v>46279.598764279</v>
      </c>
    </row>
    <row r="109" customFormat="false" ht="15" hidden="false" customHeight="true" outlineLevel="0" collapsed="false">
      <c r="A109" s="42"/>
      <c r="B109" s="42"/>
      <c r="C109" s="42"/>
      <c r="D109" s="42"/>
      <c r="E109" s="42"/>
      <c r="F109" s="51" t="n">
        <f aca="false">IF(OR(C109="",D109="",E109="",E109=0),0,C109*D109/E109)</f>
        <v>0</v>
      </c>
      <c r="G109" s="42"/>
      <c r="H109" s="49" t="n">
        <f aca="true">IF(OR($A109="",_xlfn.MINIFS($B$3:$B$5000,$A$3:$A$5000,$A109,$B$3:$B$5000,"&gt;"&amp;$B109)=0),NOW(),_xlfn.MINIFS($B$3:$B$5000,$A$3:$A$5000,$A109,$B$3:$B$5000,"&gt;"&amp;$B109))</f>
        <v>46279.5987642791</v>
      </c>
    </row>
    <row r="110" customFormat="false" ht="15" hidden="false" customHeight="true" outlineLevel="0" collapsed="false">
      <c r="A110" s="42"/>
      <c r="B110" s="42"/>
      <c r="C110" s="42"/>
      <c r="D110" s="42"/>
      <c r="E110" s="42"/>
      <c r="F110" s="51" t="n">
        <f aca="false">IF(OR(C110="",D110="",E110="",E110=0),0,C110*D110/E110)</f>
        <v>0</v>
      </c>
      <c r="G110" s="42"/>
      <c r="H110" s="49" t="n">
        <f aca="true">IF(OR($A110="",_xlfn.MINIFS($B$3:$B$5000,$A$3:$A$5000,$A110,$B$3:$B$5000,"&gt;"&amp;$B110)=0),NOW(),_xlfn.MINIFS($B$3:$B$5000,$A$3:$A$5000,$A110,$B$3:$B$5000,"&gt;"&amp;$B110))</f>
        <v>46279.5987642791</v>
      </c>
    </row>
    <row r="111" customFormat="false" ht="15" hidden="false" customHeight="true" outlineLevel="0" collapsed="false">
      <c r="A111" s="42"/>
      <c r="B111" s="42"/>
      <c r="C111" s="42"/>
      <c r="D111" s="42"/>
      <c r="E111" s="42"/>
      <c r="F111" s="51" t="n">
        <f aca="false">IF(OR(C111="",D111="",E111="",E111=0),0,C111*D111/E111)</f>
        <v>0</v>
      </c>
      <c r="G111" s="42"/>
      <c r="H111" s="49" t="n">
        <f aca="true">IF(OR($A111="",_xlfn.MINIFS($B$3:$B$5000,$A$3:$A$5000,$A111,$B$3:$B$5000,"&gt;"&amp;$B111)=0),NOW(),_xlfn.MINIFS($B$3:$B$5000,$A$3:$A$5000,$A111,$B$3:$B$5000,"&gt;"&amp;$B111))</f>
        <v>46279.5987642792</v>
      </c>
    </row>
    <row r="112" customFormat="false" ht="15" hidden="false" customHeight="true" outlineLevel="0" collapsed="false">
      <c r="A112" s="42"/>
      <c r="B112" s="42"/>
      <c r="C112" s="42"/>
      <c r="D112" s="42"/>
      <c r="E112" s="42"/>
      <c r="F112" s="51" t="n">
        <f aca="false">IF(OR(C112="",D112="",E112="",E112=0),0,C112*D112/E112)</f>
        <v>0</v>
      </c>
      <c r="G112" s="42"/>
      <c r="H112" s="49" t="n">
        <f aca="true">IF(OR($A112="",_xlfn.MINIFS($B$3:$B$5000,$A$3:$A$5000,$A112,$B$3:$B$5000,"&gt;"&amp;$B112)=0),NOW(),_xlfn.MINIFS($B$3:$B$5000,$A$3:$A$5000,$A112,$B$3:$B$5000,"&gt;"&amp;$B112))</f>
        <v>46279.5987642792</v>
      </c>
    </row>
    <row r="113" customFormat="false" ht="15" hidden="false" customHeight="true" outlineLevel="0" collapsed="false">
      <c r="A113" s="42"/>
      <c r="B113" s="42"/>
      <c r="C113" s="42"/>
      <c r="D113" s="42"/>
      <c r="E113" s="42"/>
      <c r="F113" s="51" t="n">
        <f aca="false">IF(OR(C113="",D113="",E113="",E113=0),0,C113*D113/E113)</f>
        <v>0</v>
      </c>
      <c r="G113" s="42"/>
      <c r="H113" s="49" t="n">
        <f aca="true">IF(OR($A113="",_xlfn.MINIFS($B$3:$B$5000,$A$3:$A$5000,$A113,$B$3:$B$5000,"&gt;"&amp;$B113)=0),NOW(),_xlfn.MINIFS($B$3:$B$5000,$A$3:$A$5000,$A113,$B$3:$B$5000,"&gt;"&amp;$B113))</f>
        <v>46279.5987642793</v>
      </c>
    </row>
    <row r="114" customFormat="false" ht="15" hidden="false" customHeight="true" outlineLevel="0" collapsed="false">
      <c r="A114" s="42"/>
      <c r="B114" s="42"/>
      <c r="C114" s="42"/>
      <c r="D114" s="42"/>
      <c r="E114" s="42"/>
      <c r="F114" s="51" t="n">
        <f aca="false">IF(OR(C114="",D114="",E114="",E114=0),0,C114*D114/E114)</f>
        <v>0</v>
      </c>
      <c r="G114" s="42"/>
      <c r="H114" s="49" t="n">
        <f aca="true">IF(OR($A114="",_xlfn.MINIFS($B$3:$B$5000,$A$3:$A$5000,$A114,$B$3:$B$5000,"&gt;"&amp;$B114)=0),NOW(),_xlfn.MINIFS($B$3:$B$5000,$A$3:$A$5000,$A114,$B$3:$B$5000,"&gt;"&amp;$B114))</f>
        <v>46279.5987642793</v>
      </c>
    </row>
    <row r="115" customFormat="false" ht="15" hidden="false" customHeight="true" outlineLevel="0" collapsed="false">
      <c r="A115" s="42"/>
      <c r="B115" s="42"/>
      <c r="C115" s="42"/>
      <c r="D115" s="42"/>
      <c r="E115" s="42"/>
      <c r="F115" s="51" t="n">
        <f aca="false">IF(OR(C115="",D115="",E115="",E115=0),0,C115*D115/E115)</f>
        <v>0</v>
      </c>
      <c r="G115" s="42"/>
      <c r="H115" s="49" t="n">
        <f aca="true">IF(OR($A115="",_xlfn.MINIFS($B$3:$B$5000,$A$3:$A$5000,$A115,$B$3:$B$5000,"&gt;"&amp;$B115)=0),NOW(),_xlfn.MINIFS($B$3:$B$5000,$A$3:$A$5000,$A115,$B$3:$B$5000,"&gt;"&amp;$B115))</f>
        <v>46279.5987642794</v>
      </c>
    </row>
    <row r="116" customFormat="false" ht="15" hidden="false" customHeight="true" outlineLevel="0" collapsed="false">
      <c r="A116" s="42"/>
      <c r="B116" s="42"/>
      <c r="C116" s="42"/>
      <c r="D116" s="42"/>
      <c r="E116" s="42"/>
      <c r="F116" s="51" t="n">
        <f aca="false">IF(OR(C116="",D116="",E116="",E116=0),0,C116*D116/E116)</f>
        <v>0</v>
      </c>
      <c r="G116" s="42"/>
      <c r="H116" s="49" t="n">
        <f aca="true">IF(OR($A116="",_xlfn.MINIFS($B$3:$B$5000,$A$3:$A$5000,$A116,$B$3:$B$5000,"&gt;"&amp;$B116)=0),NOW(),_xlfn.MINIFS($B$3:$B$5000,$A$3:$A$5000,$A116,$B$3:$B$5000,"&gt;"&amp;$B116))</f>
        <v>46279.5987642794</v>
      </c>
    </row>
    <row r="117" customFormat="false" ht="15" hidden="false" customHeight="true" outlineLevel="0" collapsed="false">
      <c r="A117" s="42"/>
      <c r="B117" s="42"/>
      <c r="C117" s="42"/>
      <c r="D117" s="42"/>
      <c r="E117" s="42"/>
      <c r="F117" s="51" t="n">
        <f aca="false">IF(OR(C117="",D117="",E117="",E117=0),0,C117*D117/E117)</f>
        <v>0</v>
      </c>
      <c r="G117" s="42"/>
      <c r="H117" s="49" t="n">
        <f aca="true">IF(OR($A117="",_xlfn.MINIFS($B$3:$B$5000,$A$3:$A$5000,$A117,$B$3:$B$5000,"&gt;"&amp;$B117)=0),NOW(),_xlfn.MINIFS($B$3:$B$5000,$A$3:$A$5000,$A117,$B$3:$B$5000,"&gt;"&amp;$B117))</f>
        <v>46279.5987642795</v>
      </c>
    </row>
    <row r="118" customFormat="false" ht="15" hidden="false" customHeight="true" outlineLevel="0" collapsed="false">
      <c r="A118" s="42"/>
      <c r="B118" s="42"/>
      <c r="C118" s="42"/>
      <c r="D118" s="42"/>
      <c r="E118" s="42"/>
      <c r="F118" s="51" t="n">
        <f aca="false">IF(OR(C118="",D118="",E118="",E118=0),0,C118*D118/E118)</f>
        <v>0</v>
      </c>
      <c r="G118" s="42"/>
      <c r="H118" s="49" t="n">
        <f aca="true">IF(OR($A118="",_xlfn.MINIFS($B$3:$B$5000,$A$3:$A$5000,$A118,$B$3:$B$5000,"&gt;"&amp;$B118)=0),NOW(),_xlfn.MINIFS($B$3:$B$5000,$A$3:$A$5000,$A118,$B$3:$B$5000,"&gt;"&amp;$B118))</f>
        <v>46279.5987642795</v>
      </c>
    </row>
    <row r="119" customFormat="false" ht="15" hidden="false" customHeight="true" outlineLevel="0" collapsed="false">
      <c r="A119" s="42"/>
      <c r="B119" s="42"/>
      <c r="C119" s="42"/>
      <c r="D119" s="42"/>
      <c r="E119" s="42"/>
      <c r="F119" s="51" t="n">
        <f aca="false">IF(OR(C119="",D119="",E119="",E119=0),0,C119*D119/E119)</f>
        <v>0</v>
      </c>
      <c r="G119" s="42"/>
      <c r="H119" s="49" t="n">
        <f aca="true">IF(OR($A119="",_xlfn.MINIFS($B$3:$B$5000,$A$3:$A$5000,$A119,$B$3:$B$5000,"&gt;"&amp;$B119)=0),NOW(),_xlfn.MINIFS($B$3:$B$5000,$A$3:$A$5000,$A119,$B$3:$B$5000,"&gt;"&amp;$B119))</f>
        <v>46279.5987642796</v>
      </c>
    </row>
    <row r="120" customFormat="false" ht="15" hidden="false" customHeight="true" outlineLevel="0" collapsed="false">
      <c r="A120" s="42"/>
      <c r="B120" s="42"/>
      <c r="C120" s="42"/>
      <c r="D120" s="42"/>
      <c r="E120" s="42"/>
      <c r="F120" s="51" t="n">
        <f aca="false">IF(OR(C120="",D120="",E120="",E120=0),0,C120*D120/E120)</f>
        <v>0</v>
      </c>
      <c r="G120" s="42"/>
      <c r="H120" s="49" t="n">
        <f aca="true">IF(OR($A120="",_xlfn.MINIFS($B$3:$B$5000,$A$3:$A$5000,$A120,$B$3:$B$5000,"&gt;"&amp;$B120)=0),NOW(),_xlfn.MINIFS($B$3:$B$5000,$A$3:$A$5000,$A120,$B$3:$B$5000,"&gt;"&amp;$B120))</f>
        <v>46279.5987642796</v>
      </c>
    </row>
    <row r="121" customFormat="false" ht="15" hidden="false" customHeight="true" outlineLevel="0" collapsed="false">
      <c r="A121" s="42"/>
      <c r="B121" s="42"/>
      <c r="C121" s="42"/>
      <c r="D121" s="42"/>
      <c r="E121" s="42"/>
      <c r="F121" s="51" t="n">
        <f aca="false">IF(OR(C121="",D121="",E121="",E121=0),0,C121*D121/E121)</f>
        <v>0</v>
      </c>
      <c r="G121" s="42"/>
      <c r="H121" s="49" t="n">
        <f aca="true">IF(OR($A121="",_xlfn.MINIFS($B$3:$B$5000,$A$3:$A$5000,$A121,$B$3:$B$5000,"&gt;"&amp;$B121)=0),NOW(),_xlfn.MINIFS($B$3:$B$5000,$A$3:$A$5000,$A121,$B$3:$B$5000,"&gt;"&amp;$B121))</f>
        <v>46279.5987642797</v>
      </c>
    </row>
    <row r="122" customFormat="false" ht="15" hidden="false" customHeight="true" outlineLevel="0" collapsed="false">
      <c r="A122" s="42"/>
      <c r="B122" s="42"/>
      <c r="C122" s="42"/>
      <c r="D122" s="42"/>
      <c r="E122" s="42"/>
      <c r="F122" s="51" t="n">
        <f aca="false">IF(OR(C122="",D122="",E122="",E122=0),0,C122*D122/E122)</f>
        <v>0</v>
      </c>
      <c r="G122" s="42"/>
      <c r="H122" s="49" t="n">
        <f aca="true">IF(OR($A122="",_xlfn.MINIFS($B$3:$B$5000,$A$3:$A$5000,$A122,$B$3:$B$5000,"&gt;"&amp;$B122)=0),NOW(),_xlfn.MINIFS($B$3:$B$5000,$A$3:$A$5000,$A122,$B$3:$B$5000,"&gt;"&amp;$B122))</f>
        <v>46279.5987642797</v>
      </c>
    </row>
    <row r="123" customFormat="false" ht="15" hidden="false" customHeight="true" outlineLevel="0" collapsed="false">
      <c r="A123" s="42"/>
      <c r="B123" s="42"/>
      <c r="C123" s="42"/>
      <c r="D123" s="42"/>
      <c r="E123" s="42"/>
      <c r="F123" s="51" t="n">
        <f aca="false">IF(OR(C123="",D123="",E123="",E123=0),0,C123*D123/E123)</f>
        <v>0</v>
      </c>
      <c r="G123" s="42"/>
      <c r="H123" s="49" t="n">
        <f aca="true">IF(OR($A123="",_xlfn.MINIFS($B$3:$B$5000,$A$3:$A$5000,$A123,$B$3:$B$5000,"&gt;"&amp;$B123)=0),NOW(),_xlfn.MINIFS($B$3:$B$5000,$A$3:$A$5000,$A123,$B$3:$B$5000,"&gt;"&amp;$B123))</f>
        <v>46279.5987642798</v>
      </c>
    </row>
    <row r="124" customFormat="false" ht="15" hidden="false" customHeight="true" outlineLevel="0" collapsed="false">
      <c r="A124" s="42"/>
      <c r="B124" s="42"/>
      <c r="C124" s="42"/>
      <c r="D124" s="42"/>
      <c r="E124" s="42"/>
      <c r="F124" s="51" t="n">
        <f aca="false">IF(OR(C124="",D124="",E124="",E124=0),0,C124*D124/E124)</f>
        <v>0</v>
      </c>
      <c r="G124" s="42"/>
      <c r="H124" s="49" t="n">
        <f aca="true">IF(OR($A124="",_xlfn.MINIFS($B$3:$B$5000,$A$3:$A$5000,$A124,$B$3:$B$5000,"&gt;"&amp;$B124)=0),NOW(),_xlfn.MINIFS($B$3:$B$5000,$A$3:$A$5000,$A124,$B$3:$B$5000,"&gt;"&amp;$B124))</f>
        <v>46279.5987642798</v>
      </c>
    </row>
    <row r="125" customFormat="false" ht="15" hidden="false" customHeight="true" outlineLevel="0" collapsed="false">
      <c r="A125" s="42"/>
      <c r="B125" s="42"/>
      <c r="C125" s="42"/>
      <c r="D125" s="42"/>
      <c r="E125" s="42"/>
      <c r="F125" s="51" t="n">
        <f aca="false">IF(OR(C125="",D125="",E125="",E125=0),0,C125*D125/E125)</f>
        <v>0</v>
      </c>
      <c r="G125" s="42"/>
      <c r="H125" s="49" t="n">
        <f aca="true">IF(OR($A125="",_xlfn.MINIFS($B$3:$B$5000,$A$3:$A$5000,$A125,$B$3:$B$5000,"&gt;"&amp;$B125)=0),NOW(),_xlfn.MINIFS($B$3:$B$5000,$A$3:$A$5000,$A125,$B$3:$B$5000,"&gt;"&amp;$B125))</f>
        <v>46279.5987642799</v>
      </c>
    </row>
    <row r="126" customFormat="false" ht="15" hidden="false" customHeight="true" outlineLevel="0" collapsed="false">
      <c r="A126" s="42"/>
      <c r="B126" s="42"/>
      <c r="C126" s="42"/>
      <c r="D126" s="42"/>
      <c r="E126" s="42"/>
      <c r="F126" s="51" t="n">
        <f aca="false">IF(OR(C126="",D126="",E126="",E126=0),0,C126*D126/E126)</f>
        <v>0</v>
      </c>
      <c r="G126" s="42"/>
      <c r="H126" s="49" t="n">
        <f aca="true">IF(OR($A126="",_xlfn.MINIFS($B$3:$B$5000,$A$3:$A$5000,$A126,$B$3:$B$5000,"&gt;"&amp;$B126)=0),NOW(),_xlfn.MINIFS($B$3:$B$5000,$A$3:$A$5000,$A126,$B$3:$B$5000,"&gt;"&amp;$B126))</f>
        <v>46279.5987642799</v>
      </c>
    </row>
    <row r="127" customFormat="false" ht="15" hidden="false" customHeight="true" outlineLevel="0" collapsed="false">
      <c r="A127" s="42"/>
      <c r="B127" s="42"/>
      <c r="C127" s="42"/>
      <c r="D127" s="42"/>
      <c r="E127" s="42"/>
      <c r="F127" s="51" t="n">
        <f aca="false">IF(OR(C127="",D127="",E127="",E127=0),0,C127*D127/E127)</f>
        <v>0</v>
      </c>
      <c r="G127" s="42"/>
      <c r="H127" s="49" t="n">
        <f aca="true">IF(OR($A127="",_xlfn.MINIFS($B$3:$B$5000,$A$3:$A$5000,$A127,$B$3:$B$5000,"&gt;"&amp;$B127)=0),NOW(),_xlfn.MINIFS($B$3:$B$5000,$A$3:$A$5000,$A127,$B$3:$B$5000,"&gt;"&amp;$B127))</f>
        <v>46279.59876428</v>
      </c>
    </row>
    <row r="128" customFormat="false" ht="15" hidden="false" customHeight="true" outlineLevel="0" collapsed="false">
      <c r="A128" s="42"/>
      <c r="B128" s="42"/>
      <c r="C128" s="42"/>
      <c r="D128" s="42"/>
      <c r="E128" s="42"/>
      <c r="F128" s="51" t="n">
        <f aca="false">IF(OR(C128="",D128="",E128="",E128=0),0,C128*D128/E128)</f>
        <v>0</v>
      </c>
      <c r="G128" s="42"/>
      <c r="H128" s="49" t="n">
        <f aca="true">IF(OR($A128="",_xlfn.MINIFS($B$3:$B$5000,$A$3:$A$5000,$A128,$B$3:$B$5000,"&gt;"&amp;$B128)=0),NOW(),_xlfn.MINIFS($B$3:$B$5000,$A$3:$A$5000,$A128,$B$3:$B$5000,"&gt;"&amp;$B128))</f>
        <v>46279.59876428</v>
      </c>
    </row>
    <row r="129" customFormat="false" ht="15" hidden="false" customHeight="true" outlineLevel="0" collapsed="false">
      <c r="A129" s="42"/>
      <c r="B129" s="42"/>
      <c r="C129" s="42"/>
      <c r="D129" s="42"/>
      <c r="E129" s="42"/>
      <c r="F129" s="51" t="n">
        <f aca="false">IF(OR(C129="",D129="",E129="",E129=0),0,C129*D129/E129)</f>
        <v>0</v>
      </c>
      <c r="G129" s="42"/>
      <c r="H129" s="49" t="n">
        <f aca="true">IF(OR($A129="",_xlfn.MINIFS($B$3:$B$5000,$A$3:$A$5000,$A129,$B$3:$B$5000,"&gt;"&amp;$B129)=0),NOW(),_xlfn.MINIFS($B$3:$B$5000,$A$3:$A$5000,$A129,$B$3:$B$5000,"&gt;"&amp;$B129))</f>
        <v>46279.5987642801</v>
      </c>
    </row>
    <row r="130" customFormat="false" ht="15" hidden="false" customHeight="true" outlineLevel="0" collapsed="false">
      <c r="A130" s="42"/>
      <c r="B130" s="42"/>
      <c r="C130" s="42"/>
      <c r="D130" s="42"/>
      <c r="E130" s="42"/>
      <c r="F130" s="51" t="n">
        <f aca="false">IF(OR(C130="",D130="",E130="",E130=0),0,C130*D130/E130)</f>
        <v>0</v>
      </c>
      <c r="G130" s="42"/>
      <c r="H130" s="49" t="n">
        <f aca="true">IF(OR($A130="",_xlfn.MINIFS($B$3:$B$5000,$A$3:$A$5000,$A130,$B$3:$B$5000,"&gt;"&amp;$B130)=0),NOW(),_xlfn.MINIFS($B$3:$B$5000,$A$3:$A$5000,$A130,$B$3:$B$5000,"&gt;"&amp;$B130))</f>
        <v>46279.5987642801</v>
      </c>
    </row>
    <row r="131" customFormat="false" ht="15" hidden="false" customHeight="true" outlineLevel="0" collapsed="false">
      <c r="A131" s="42"/>
      <c r="B131" s="42"/>
      <c r="C131" s="42"/>
      <c r="D131" s="42"/>
      <c r="E131" s="42"/>
      <c r="F131" s="51" t="n">
        <f aca="false">IF(OR(C131="",D131="",E131="",E131=0),0,C131*D131/E131)</f>
        <v>0</v>
      </c>
      <c r="G131" s="42"/>
      <c r="H131" s="49" t="n">
        <f aca="true">IF(OR($A131="",_xlfn.MINIFS($B$3:$B$5000,$A$3:$A$5000,$A131,$B$3:$B$5000,"&gt;"&amp;$B131)=0),NOW(),_xlfn.MINIFS($B$3:$B$5000,$A$3:$A$5000,$A131,$B$3:$B$5000,"&gt;"&amp;$B131))</f>
        <v>46279.5987642802</v>
      </c>
    </row>
    <row r="132" customFormat="false" ht="15" hidden="false" customHeight="true" outlineLevel="0" collapsed="false">
      <c r="A132" s="42"/>
      <c r="B132" s="42"/>
      <c r="C132" s="42"/>
      <c r="D132" s="42"/>
      <c r="E132" s="42"/>
      <c r="F132" s="51" t="n">
        <f aca="false">IF(OR(C132="",D132="",E132="",E132=0),0,C132*D132/E132)</f>
        <v>0</v>
      </c>
      <c r="G132" s="42"/>
      <c r="H132" s="49" t="n">
        <f aca="true">IF(OR($A132="",_xlfn.MINIFS($B$3:$B$5000,$A$3:$A$5000,$A132,$B$3:$B$5000,"&gt;"&amp;$B132)=0),NOW(),_xlfn.MINIFS($B$3:$B$5000,$A$3:$A$5000,$A132,$B$3:$B$5000,"&gt;"&amp;$B132))</f>
        <v>46279.5987642802</v>
      </c>
    </row>
    <row r="133" customFormat="false" ht="15" hidden="false" customHeight="true" outlineLevel="0" collapsed="false">
      <c r="A133" s="42"/>
      <c r="B133" s="42"/>
      <c r="C133" s="42"/>
      <c r="D133" s="42"/>
      <c r="E133" s="42"/>
      <c r="F133" s="51" t="n">
        <f aca="false">IF(OR(C133="",D133="",E133="",E133=0),0,C133*D133/E133)</f>
        <v>0</v>
      </c>
      <c r="G133" s="42"/>
      <c r="H133" s="49" t="n">
        <f aca="true">IF(OR($A133="",_xlfn.MINIFS($B$3:$B$5000,$A$3:$A$5000,$A133,$B$3:$B$5000,"&gt;"&amp;$B133)=0),NOW(),_xlfn.MINIFS($B$3:$B$5000,$A$3:$A$5000,$A133,$B$3:$B$5000,"&gt;"&amp;$B133))</f>
        <v>46279.5987642803</v>
      </c>
    </row>
    <row r="134" customFormat="false" ht="15" hidden="false" customHeight="true" outlineLevel="0" collapsed="false">
      <c r="A134" s="42"/>
      <c r="B134" s="42"/>
      <c r="C134" s="42"/>
      <c r="D134" s="42"/>
      <c r="E134" s="42"/>
      <c r="F134" s="51" t="n">
        <f aca="false">IF(OR(C134="",D134="",E134="",E134=0),0,C134*D134/E134)</f>
        <v>0</v>
      </c>
      <c r="G134" s="42"/>
      <c r="H134" s="49" t="n">
        <f aca="true">IF(OR($A134="",_xlfn.MINIFS($B$3:$B$5000,$A$3:$A$5000,$A134,$B$3:$B$5000,"&gt;"&amp;$B134)=0),NOW(),_xlfn.MINIFS($B$3:$B$5000,$A$3:$A$5000,$A134,$B$3:$B$5000,"&gt;"&amp;$B134))</f>
        <v>46279.5987642803</v>
      </c>
    </row>
    <row r="135" customFormat="false" ht="15" hidden="false" customHeight="true" outlineLevel="0" collapsed="false">
      <c r="A135" s="42"/>
      <c r="B135" s="42"/>
      <c r="C135" s="42"/>
      <c r="D135" s="42"/>
      <c r="E135" s="42"/>
      <c r="F135" s="51" t="n">
        <f aca="false">IF(OR(C135="",D135="",E135="",E135=0),0,C135*D135/E135)</f>
        <v>0</v>
      </c>
      <c r="G135" s="42"/>
      <c r="H135" s="49" t="n">
        <f aca="true">IF(OR($A135="",_xlfn.MINIFS($B$3:$B$5000,$A$3:$A$5000,$A135,$B$3:$B$5000,"&gt;"&amp;$B135)=0),NOW(),_xlfn.MINIFS($B$3:$B$5000,$A$3:$A$5000,$A135,$B$3:$B$5000,"&gt;"&amp;$B135))</f>
        <v>46279.5987642804</v>
      </c>
    </row>
    <row r="136" customFormat="false" ht="15" hidden="false" customHeight="true" outlineLevel="0" collapsed="false">
      <c r="A136" s="42"/>
      <c r="B136" s="42"/>
      <c r="C136" s="42"/>
      <c r="D136" s="42"/>
      <c r="E136" s="42"/>
      <c r="F136" s="51" t="n">
        <f aca="false">IF(OR(C136="",D136="",E136="",E136=0),0,C136*D136/E136)</f>
        <v>0</v>
      </c>
      <c r="G136" s="42"/>
      <c r="H136" s="49" t="n">
        <f aca="true">IF(OR($A136="",_xlfn.MINIFS($B$3:$B$5000,$A$3:$A$5000,$A136,$B$3:$B$5000,"&gt;"&amp;$B136)=0),NOW(),_xlfn.MINIFS($B$3:$B$5000,$A$3:$A$5000,$A136,$B$3:$B$5000,"&gt;"&amp;$B136))</f>
        <v>46279.5987642804</v>
      </c>
    </row>
    <row r="137" customFormat="false" ht="15" hidden="false" customHeight="true" outlineLevel="0" collapsed="false">
      <c r="A137" s="42"/>
      <c r="B137" s="42"/>
      <c r="C137" s="42"/>
      <c r="D137" s="42"/>
      <c r="E137" s="42"/>
      <c r="F137" s="51" t="n">
        <f aca="false">IF(OR(C137="",D137="",E137="",E137=0),0,C137*D137/E137)</f>
        <v>0</v>
      </c>
      <c r="G137" s="42"/>
      <c r="H137" s="49" t="n">
        <f aca="true">IF(OR($A137="",_xlfn.MINIFS($B$3:$B$5000,$A$3:$A$5000,$A137,$B$3:$B$5000,"&gt;"&amp;$B137)=0),NOW(),_xlfn.MINIFS($B$3:$B$5000,$A$3:$A$5000,$A137,$B$3:$B$5000,"&gt;"&amp;$B137))</f>
        <v>46279.5987642807</v>
      </c>
    </row>
    <row r="138" customFormat="false" ht="15" hidden="false" customHeight="true" outlineLevel="0" collapsed="false">
      <c r="A138" s="42"/>
      <c r="B138" s="42"/>
      <c r="C138" s="42"/>
      <c r="D138" s="42"/>
      <c r="E138" s="42"/>
      <c r="F138" s="51" t="n">
        <f aca="false">IF(OR(C138="",D138="",E138="",E138=0),0,C138*D138/E138)</f>
        <v>0</v>
      </c>
      <c r="G138" s="42"/>
      <c r="H138" s="49" t="n">
        <f aca="true">IF(OR($A138="",_xlfn.MINIFS($B$3:$B$5000,$A$3:$A$5000,$A138,$B$3:$B$5000,"&gt;"&amp;$B138)=0),NOW(),_xlfn.MINIFS($B$3:$B$5000,$A$3:$A$5000,$A138,$B$3:$B$5000,"&gt;"&amp;$B138))</f>
        <v>46279.5987642808</v>
      </c>
    </row>
    <row r="139" customFormat="false" ht="15" hidden="false" customHeight="true" outlineLevel="0" collapsed="false">
      <c r="A139" s="42"/>
      <c r="B139" s="42"/>
      <c r="C139" s="42"/>
      <c r="D139" s="42"/>
      <c r="E139" s="42"/>
      <c r="F139" s="51" t="n">
        <f aca="false">IF(OR(C139="",D139="",E139="",E139=0),0,C139*D139/E139)</f>
        <v>0</v>
      </c>
      <c r="G139" s="42"/>
      <c r="H139" s="49" t="n">
        <f aca="true">IF(OR($A139="",_xlfn.MINIFS($B$3:$B$5000,$A$3:$A$5000,$A139,$B$3:$B$5000,"&gt;"&amp;$B139)=0),NOW(),_xlfn.MINIFS($B$3:$B$5000,$A$3:$A$5000,$A139,$B$3:$B$5000,"&gt;"&amp;$B139))</f>
        <v>46279.5987642809</v>
      </c>
    </row>
    <row r="140" customFormat="false" ht="15" hidden="false" customHeight="true" outlineLevel="0" collapsed="false">
      <c r="A140" s="42"/>
      <c r="B140" s="42"/>
      <c r="C140" s="42"/>
      <c r="D140" s="42"/>
      <c r="E140" s="42"/>
      <c r="F140" s="51" t="n">
        <f aca="false">IF(OR(C140="",D140="",E140="",E140=0),0,C140*D140/E140)</f>
        <v>0</v>
      </c>
      <c r="G140" s="42"/>
      <c r="H140" s="49" t="n">
        <f aca="true">IF(OR($A140="",_xlfn.MINIFS($B$3:$B$5000,$A$3:$A$5000,$A140,$B$3:$B$5000,"&gt;"&amp;$B140)=0),NOW(),_xlfn.MINIFS($B$3:$B$5000,$A$3:$A$5000,$A140,$B$3:$B$5000,"&gt;"&amp;$B140))</f>
        <v>46279.5987642809</v>
      </c>
    </row>
    <row r="141" customFormat="false" ht="15" hidden="false" customHeight="true" outlineLevel="0" collapsed="false">
      <c r="A141" s="42"/>
      <c r="B141" s="42"/>
      <c r="C141" s="42"/>
      <c r="D141" s="42"/>
      <c r="E141" s="42"/>
      <c r="F141" s="51" t="n">
        <f aca="false">IF(OR(C141="",D141="",E141="",E141=0),0,C141*D141/E141)</f>
        <v>0</v>
      </c>
      <c r="G141" s="42"/>
      <c r="H141" s="49" t="n">
        <f aca="true">IF(OR($A141="",_xlfn.MINIFS($B$3:$B$5000,$A$3:$A$5000,$A141,$B$3:$B$5000,"&gt;"&amp;$B141)=0),NOW(),_xlfn.MINIFS($B$3:$B$5000,$A$3:$A$5000,$A141,$B$3:$B$5000,"&gt;"&amp;$B141))</f>
        <v>46279.598764281</v>
      </c>
    </row>
    <row r="142" customFormat="false" ht="15" hidden="false" customHeight="true" outlineLevel="0" collapsed="false">
      <c r="A142" s="42"/>
      <c r="B142" s="42"/>
      <c r="C142" s="42"/>
      <c r="D142" s="42"/>
      <c r="E142" s="42"/>
      <c r="F142" s="51" t="n">
        <f aca="false">IF(OR(C142="",D142="",E142="",E142=0),0,C142*D142/E142)</f>
        <v>0</v>
      </c>
      <c r="G142" s="42"/>
      <c r="H142" s="49" t="n">
        <f aca="true">IF(OR($A142="",_xlfn.MINIFS($B$3:$B$5000,$A$3:$A$5000,$A142,$B$3:$B$5000,"&gt;"&amp;$B142)=0),NOW(),_xlfn.MINIFS($B$3:$B$5000,$A$3:$A$5000,$A142,$B$3:$B$5000,"&gt;"&amp;$B142))</f>
        <v>46279.598764281</v>
      </c>
    </row>
    <row r="143" customFormat="false" ht="15" hidden="false" customHeight="true" outlineLevel="0" collapsed="false">
      <c r="A143" s="42"/>
      <c r="B143" s="42"/>
      <c r="C143" s="42"/>
      <c r="D143" s="42"/>
      <c r="E143" s="42"/>
      <c r="F143" s="51" t="n">
        <f aca="false">IF(OR(C143="",D143="",E143="",E143=0),0,C143*D143/E143)</f>
        <v>0</v>
      </c>
      <c r="G143" s="42"/>
      <c r="H143" s="49" t="n">
        <f aca="true">IF(OR($A143="",_xlfn.MINIFS($B$3:$B$5000,$A$3:$A$5000,$A143,$B$3:$B$5000,"&gt;"&amp;$B143)=0),NOW(),_xlfn.MINIFS($B$3:$B$5000,$A$3:$A$5000,$A143,$B$3:$B$5000,"&gt;"&amp;$B143))</f>
        <v>46279.5987642811</v>
      </c>
    </row>
    <row r="144" customFormat="false" ht="15" hidden="false" customHeight="true" outlineLevel="0" collapsed="false">
      <c r="A144" s="42"/>
      <c r="B144" s="42"/>
      <c r="C144" s="42"/>
      <c r="D144" s="42"/>
      <c r="E144" s="42"/>
      <c r="F144" s="51" t="n">
        <f aca="false">IF(OR(C144="",D144="",E144="",E144=0),0,C144*D144/E144)</f>
        <v>0</v>
      </c>
      <c r="G144" s="42"/>
      <c r="H144" s="49" t="n">
        <f aca="true">IF(OR($A144="",_xlfn.MINIFS($B$3:$B$5000,$A$3:$A$5000,$A144,$B$3:$B$5000,"&gt;"&amp;$B144)=0),NOW(),_xlfn.MINIFS($B$3:$B$5000,$A$3:$A$5000,$A144,$B$3:$B$5000,"&gt;"&amp;$B144))</f>
        <v>46279.5987642811</v>
      </c>
    </row>
    <row r="145" customFormat="false" ht="15" hidden="false" customHeight="true" outlineLevel="0" collapsed="false">
      <c r="A145" s="42"/>
      <c r="B145" s="42"/>
      <c r="C145" s="42"/>
      <c r="D145" s="42"/>
      <c r="E145" s="42"/>
      <c r="F145" s="51" t="n">
        <f aca="false">IF(OR(C145="",D145="",E145="",E145=0),0,C145*D145/E145)</f>
        <v>0</v>
      </c>
      <c r="G145" s="42"/>
      <c r="H145" s="49" t="n">
        <f aca="true">IF(OR($A145="",_xlfn.MINIFS($B$3:$B$5000,$A$3:$A$5000,$A145,$B$3:$B$5000,"&gt;"&amp;$B145)=0),NOW(),_xlfn.MINIFS($B$3:$B$5000,$A$3:$A$5000,$A145,$B$3:$B$5000,"&gt;"&amp;$B145))</f>
        <v>46279.5987642812</v>
      </c>
    </row>
    <row r="146" customFormat="false" ht="15" hidden="false" customHeight="true" outlineLevel="0" collapsed="false">
      <c r="A146" s="42"/>
      <c r="B146" s="42"/>
      <c r="C146" s="42"/>
      <c r="D146" s="42"/>
      <c r="E146" s="42"/>
      <c r="F146" s="51" t="n">
        <f aca="false">IF(OR(C146="",D146="",E146="",E146=0),0,C146*D146/E146)</f>
        <v>0</v>
      </c>
      <c r="G146" s="42"/>
      <c r="H146" s="49" t="n">
        <f aca="true">IF(OR($A146="",_xlfn.MINIFS($B$3:$B$5000,$A$3:$A$5000,$A146,$B$3:$B$5000,"&gt;"&amp;$B146)=0),NOW(),_xlfn.MINIFS($B$3:$B$5000,$A$3:$A$5000,$A146,$B$3:$B$5000,"&gt;"&amp;$B146))</f>
        <v>46279.5987642812</v>
      </c>
    </row>
    <row r="147" customFormat="false" ht="15" hidden="false" customHeight="true" outlineLevel="0" collapsed="false">
      <c r="A147" s="42"/>
      <c r="B147" s="42"/>
      <c r="C147" s="42"/>
      <c r="D147" s="42"/>
      <c r="E147" s="42"/>
      <c r="F147" s="51" t="n">
        <f aca="false">IF(OR(C147="",D147="",E147="",E147=0),0,C147*D147/E147)</f>
        <v>0</v>
      </c>
      <c r="G147" s="42"/>
      <c r="H147" s="49" t="n">
        <f aca="true">IF(OR($A147="",_xlfn.MINIFS($B$3:$B$5000,$A$3:$A$5000,$A147,$B$3:$B$5000,"&gt;"&amp;$B147)=0),NOW(),_xlfn.MINIFS($B$3:$B$5000,$A$3:$A$5000,$A147,$B$3:$B$5000,"&gt;"&amp;$B147))</f>
        <v>46279.5987642813</v>
      </c>
    </row>
    <row r="148" customFormat="false" ht="15" hidden="false" customHeight="true" outlineLevel="0" collapsed="false">
      <c r="A148" s="42"/>
      <c r="B148" s="42"/>
      <c r="C148" s="42"/>
      <c r="D148" s="42"/>
      <c r="E148" s="42"/>
      <c r="F148" s="51" t="n">
        <f aca="false">IF(OR(C148="",D148="",E148="",E148=0),0,C148*D148/E148)</f>
        <v>0</v>
      </c>
      <c r="G148" s="42"/>
      <c r="H148" s="49" t="n">
        <f aca="true">IF(OR($A148="",_xlfn.MINIFS($B$3:$B$5000,$A$3:$A$5000,$A148,$B$3:$B$5000,"&gt;"&amp;$B148)=0),NOW(),_xlfn.MINIFS($B$3:$B$5000,$A$3:$A$5000,$A148,$B$3:$B$5000,"&gt;"&amp;$B148))</f>
        <v>46279.5987642813</v>
      </c>
    </row>
    <row r="149" customFormat="false" ht="15" hidden="false" customHeight="true" outlineLevel="0" collapsed="false">
      <c r="A149" s="42"/>
      <c r="B149" s="42"/>
      <c r="C149" s="42"/>
      <c r="D149" s="42"/>
      <c r="E149" s="42"/>
      <c r="F149" s="51" t="n">
        <f aca="false">IF(OR(C149="",D149="",E149="",E149=0),0,C149*D149/E149)</f>
        <v>0</v>
      </c>
      <c r="G149" s="42"/>
      <c r="H149" s="49" t="n">
        <f aca="true">IF(OR($A149="",_xlfn.MINIFS($B$3:$B$5000,$A$3:$A$5000,$A149,$B$3:$B$5000,"&gt;"&amp;$B149)=0),NOW(),_xlfn.MINIFS($B$3:$B$5000,$A$3:$A$5000,$A149,$B$3:$B$5000,"&gt;"&amp;$B149))</f>
        <v>46279.5987642814</v>
      </c>
    </row>
    <row r="150" customFormat="false" ht="15" hidden="false" customHeight="true" outlineLevel="0" collapsed="false">
      <c r="A150" s="42"/>
      <c r="B150" s="42"/>
      <c r="C150" s="42"/>
      <c r="D150" s="42"/>
      <c r="E150" s="42"/>
      <c r="F150" s="51" t="n">
        <f aca="false">IF(OR(C150="",D150="",E150="",E150=0),0,C150*D150/E150)</f>
        <v>0</v>
      </c>
      <c r="G150" s="42"/>
      <c r="H150" s="49" t="n">
        <f aca="true">IF(OR($A150="",_xlfn.MINIFS($B$3:$B$5000,$A$3:$A$5000,$A150,$B$3:$B$5000,"&gt;"&amp;$B150)=0),NOW(),_xlfn.MINIFS($B$3:$B$5000,$A$3:$A$5000,$A150,$B$3:$B$5000,"&gt;"&amp;$B150))</f>
        <v>46279.5987642814</v>
      </c>
    </row>
    <row r="151" customFormat="false" ht="15" hidden="false" customHeight="true" outlineLevel="0" collapsed="false">
      <c r="A151" s="42"/>
      <c r="B151" s="42"/>
      <c r="C151" s="42"/>
      <c r="D151" s="42"/>
      <c r="E151" s="42"/>
      <c r="F151" s="51" t="n">
        <f aca="false">IF(OR(C151="",D151="",E151="",E151=0),0,C151*D151/E151)</f>
        <v>0</v>
      </c>
      <c r="G151" s="42"/>
      <c r="H151" s="49" t="n">
        <f aca="true">IF(OR($A151="",_xlfn.MINIFS($B$3:$B$5000,$A$3:$A$5000,$A151,$B$3:$B$5000,"&gt;"&amp;$B151)=0),NOW(),_xlfn.MINIFS($B$3:$B$5000,$A$3:$A$5000,$A151,$B$3:$B$5000,"&gt;"&amp;$B151))</f>
        <v>46279.5987642815</v>
      </c>
    </row>
    <row r="152" customFormat="false" ht="15" hidden="false" customHeight="true" outlineLevel="0" collapsed="false">
      <c r="A152" s="42"/>
      <c r="B152" s="42"/>
      <c r="C152" s="42"/>
      <c r="D152" s="42"/>
      <c r="E152" s="42"/>
      <c r="F152" s="51" t="n">
        <f aca="false">IF(OR(C152="",D152="",E152="",E152=0),0,C152*D152/E152)</f>
        <v>0</v>
      </c>
      <c r="G152" s="42"/>
      <c r="H152" s="49" t="n">
        <f aca="true">IF(OR($A152="",_xlfn.MINIFS($B$3:$B$5000,$A$3:$A$5000,$A152,$B$3:$B$5000,"&gt;"&amp;$B152)=0),NOW(),_xlfn.MINIFS($B$3:$B$5000,$A$3:$A$5000,$A152,$B$3:$B$5000,"&gt;"&amp;$B152))</f>
        <v>46279.5987642815</v>
      </c>
    </row>
    <row r="153" customFormat="false" ht="15" hidden="false" customHeight="true" outlineLevel="0" collapsed="false">
      <c r="A153" s="42"/>
      <c r="B153" s="42"/>
      <c r="C153" s="42"/>
      <c r="D153" s="42"/>
      <c r="E153" s="42"/>
      <c r="F153" s="51" t="n">
        <f aca="false">IF(OR(C153="",D153="",E153="",E153=0),0,C153*D153/E153)</f>
        <v>0</v>
      </c>
      <c r="G153" s="42"/>
      <c r="H153" s="49" t="n">
        <f aca="true">IF(OR($A153="",_xlfn.MINIFS($B$3:$B$5000,$A$3:$A$5000,$A153,$B$3:$B$5000,"&gt;"&amp;$B153)=0),NOW(),_xlfn.MINIFS($B$3:$B$5000,$A$3:$A$5000,$A153,$B$3:$B$5000,"&gt;"&amp;$B153))</f>
        <v>46279.5987642816</v>
      </c>
    </row>
    <row r="154" customFormat="false" ht="15" hidden="false" customHeight="true" outlineLevel="0" collapsed="false">
      <c r="A154" s="42"/>
      <c r="B154" s="42"/>
      <c r="C154" s="42"/>
      <c r="D154" s="42"/>
      <c r="E154" s="42"/>
      <c r="F154" s="51" t="n">
        <f aca="false">IF(OR(C154="",D154="",E154="",E154=0),0,C154*D154/E154)</f>
        <v>0</v>
      </c>
      <c r="G154" s="42"/>
      <c r="H154" s="49" t="n">
        <f aca="true">IF(OR($A154="",_xlfn.MINIFS($B$3:$B$5000,$A$3:$A$5000,$A154,$B$3:$B$5000,"&gt;"&amp;$B154)=0),NOW(),_xlfn.MINIFS($B$3:$B$5000,$A$3:$A$5000,$A154,$B$3:$B$5000,"&gt;"&amp;$B154))</f>
        <v>46279.5987642816</v>
      </c>
    </row>
    <row r="155" customFormat="false" ht="15" hidden="false" customHeight="true" outlineLevel="0" collapsed="false">
      <c r="A155" s="42"/>
      <c r="B155" s="42"/>
      <c r="C155" s="42"/>
      <c r="D155" s="42"/>
      <c r="E155" s="42"/>
      <c r="F155" s="51" t="n">
        <f aca="false">IF(OR(C155="",D155="",E155="",E155=0),0,C155*D155/E155)</f>
        <v>0</v>
      </c>
      <c r="G155" s="42"/>
      <c r="H155" s="49" t="n">
        <f aca="true">IF(OR($A155="",_xlfn.MINIFS($B$3:$B$5000,$A$3:$A$5000,$A155,$B$3:$B$5000,"&gt;"&amp;$B155)=0),NOW(),_xlfn.MINIFS($B$3:$B$5000,$A$3:$A$5000,$A155,$B$3:$B$5000,"&gt;"&amp;$B155))</f>
        <v>46279.5987642817</v>
      </c>
    </row>
    <row r="156" customFormat="false" ht="15" hidden="false" customHeight="true" outlineLevel="0" collapsed="false">
      <c r="A156" s="42"/>
      <c r="B156" s="42"/>
      <c r="C156" s="42"/>
      <c r="D156" s="42"/>
      <c r="E156" s="42"/>
      <c r="F156" s="51" t="n">
        <f aca="false">IF(OR(C156="",D156="",E156="",E156=0),0,C156*D156/E156)</f>
        <v>0</v>
      </c>
      <c r="G156" s="42"/>
      <c r="H156" s="49" t="n">
        <f aca="true">IF(OR($A156="",_xlfn.MINIFS($B$3:$B$5000,$A$3:$A$5000,$A156,$B$3:$B$5000,"&gt;"&amp;$B156)=0),NOW(),_xlfn.MINIFS($B$3:$B$5000,$A$3:$A$5000,$A156,$B$3:$B$5000,"&gt;"&amp;$B156))</f>
        <v>46279.5987642817</v>
      </c>
    </row>
    <row r="157" customFormat="false" ht="15" hidden="false" customHeight="true" outlineLevel="0" collapsed="false">
      <c r="A157" s="42"/>
      <c r="B157" s="42"/>
      <c r="C157" s="42"/>
      <c r="D157" s="42"/>
      <c r="E157" s="42"/>
      <c r="F157" s="51" t="n">
        <f aca="false">IF(OR(C157="",D157="",E157="",E157=0),0,C157*D157/E157)</f>
        <v>0</v>
      </c>
      <c r="G157" s="42"/>
      <c r="H157" s="49" t="n">
        <f aca="true">IF(OR($A157="",_xlfn.MINIFS($B$3:$B$5000,$A$3:$A$5000,$A157,$B$3:$B$5000,"&gt;"&amp;$B157)=0),NOW(),_xlfn.MINIFS($B$3:$B$5000,$A$3:$A$5000,$A157,$B$3:$B$5000,"&gt;"&amp;$B157))</f>
        <v>46279.5987642818</v>
      </c>
    </row>
    <row r="158" customFormat="false" ht="15" hidden="false" customHeight="true" outlineLevel="0" collapsed="false">
      <c r="A158" s="42"/>
      <c r="B158" s="42"/>
      <c r="C158" s="42"/>
      <c r="D158" s="42"/>
      <c r="E158" s="42"/>
      <c r="F158" s="51" t="n">
        <f aca="false">IF(OR(C158="",D158="",E158="",E158=0),0,C158*D158/E158)</f>
        <v>0</v>
      </c>
      <c r="G158" s="42"/>
      <c r="H158" s="49" t="n">
        <f aca="true">IF(OR($A158="",_xlfn.MINIFS($B$3:$B$5000,$A$3:$A$5000,$A158,$B$3:$B$5000,"&gt;"&amp;$B158)=0),NOW(),_xlfn.MINIFS($B$3:$B$5000,$A$3:$A$5000,$A158,$B$3:$B$5000,"&gt;"&amp;$B158))</f>
        <v>46279.5987642818</v>
      </c>
    </row>
    <row r="159" customFormat="false" ht="15" hidden="false" customHeight="true" outlineLevel="0" collapsed="false">
      <c r="A159" s="42"/>
      <c r="B159" s="42"/>
      <c r="C159" s="42"/>
      <c r="D159" s="42"/>
      <c r="E159" s="42"/>
      <c r="F159" s="51" t="n">
        <f aca="false">IF(OR(C159="",D159="",E159="",E159=0),0,C159*D159/E159)</f>
        <v>0</v>
      </c>
      <c r="G159" s="42"/>
      <c r="H159" s="49" t="n">
        <f aca="true">IF(OR($A159="",_xlfn.MINIFS($B$3:$B$5000,$A$3:$A$5000,$A159,$B$3:$B$5000,"&gt;"&amp;$B159)=0),NOW(),_xlfn.MINIFS($B$3:$B$5000,$A$3:$A$5000,$A159,$B$3:$B$5000,"&gt;"&amp;$B159))</f>
        <v>46279.5987642819</v>
      </c>
    </row>
    <row r="160" customFormat="false" ht="15" hidden="false" customHeight="true" outlineLevel="0" collapsed="false">
      <c r="A160" s="42"/>
      <c r="B160" s="42"/>
      <c r="C160" s="42"/>
      <c r="D160" s="42"/>
      <c r="E160" s="42"/>
      <c r="F160" s="51" t="n">
        <f aca="false">IF(OR(C160="",D160="",E160="",E160=0),0,C160*D160/E160)</f>
        <v>0</v>
      </c>
      <c r="G160" s="42"/>
      <c r="H160" s="49" t="n">
        <f aca="true">IF(OR($A160="",_xlfn.MINIFS($B$3:$B$5000,$A$3:$A$5000,$A160,$B$3:$B$5000,"&gt;"&amp;$B160)=0),NOW(),_xlfn.MINIFS($B$3:$B$5000,$A$3:$A$5000,$A160,$B$3:$B$5000,"&gt;"&amp;$B160))</f>
        <v>46279.5987642819</v>
      </c>
    </row>
    <row r="161" customFormat="false" ht="15" hidden="false" customHeight="true" outlineLevel="0" collapsed="false">
      <c r="A161" s="42"/>
      <c r="B161" s="42"/>
      <c r="C161" s="42"/>
      <c r="D161" s="42"/>
      <c r="E161" s="42"/>
      <c r="F161" s="51" t="n">
        <f aca="false">IF(OR(C161="",D161="",E161="",E161=0),0,C161*D161/E161)</f>
        <v>0</v>
      </c>
      <c r="G161" s="42"/>
      <c r="H161" s="49" t="n">
        <f aca="true">IF(OR($A161="",_xlfn.MINIFS($B$3:$B$5000,$A$3:$A$5000,$A161,$B$3:$B$5000,"&gt;"&amp;$B161)=0),NOW(),_xlfn.MINIFS($B$3:$B$5000,$A$3:$A$5000,$A161,$B$3:$B$5000,"&gt;"&amp;$B161))</f>
        <v>46279.598764282</v>
      </c>
    </row>
    <row r="162" customFormat="false" ht="15" hidden="false" customHeight="true" outlineLevel="0" collapsed="false">
      <c r="A162" s="42"/>
      <c r="B162" s="42"/>
      <c r="C162" s="42"/>
      <c r="D162" s="42"/>
      <c r="E162" s="42"/>
      <c r="F162" s="51" t="n">
        <f aca="false">IF(OR(C162="",D162="",E162="",E162=0),0,C162*D162/E162)</f>
        <v>0</v>
      </c>
      <c r="G162" s="42"/>
      <c r="H162" s="49" t="n">
        <f aca="true">IF(OR($A162="",_xlfn.MINIFS($B$3:$B$5000,$A$3:$A$5000,$A162,$B$3:$B$5000,"&gt;"&amp;$B162)=0),NOW(),_xlfn.MINIFS($B$3:$B$5000,$A$3:$A$5000,$A162,$B$3:$B$5000,"&gt;"&amp;$B162))</f>
        <v>46279.598764282</v>
      </c>
    </row>
    <row r="163" customFormat="false" ht="15" hidden="false" customHeight="true" outlineLevel="0" collapsed="false">
      <c r="A163" s="42"/>
      <c r="B163" s="42"/>
      <c r="C163" s="42"/>
      <c r="D163" s="42"/>
      <c r="E163" s="42"/>
      <c r="F163" s="51" t="n">
        <f aca="false">IF(OR(C163="",D163="",E163="",E163=0),0,C163*D163/E163)</f>
        <v>0</v>
      </c>
      <c r="G163" s="42"/>
      <c r="H163" s="49" t="n">
        <f aca="true">IF(OR($A163="",_xlfn.MINIFS($B$3:$B$5000,$A$3:$A$5000,$A163,$B$3:$B$5000,"&gt;"&amp;$B163)=0),NOW(),_xlfn.MINIFS($B$3:$B$5000,$A$3:$A$5000,$A163,$B$3:$B$5000,"&gt;"&amp;$B163))</f>
        <v>46279.5987642821</v>
      </c>
    </row>
    <row r="164" customFormat="false" ht="15" hidden="false" customHeight="true" outlineLevel="0" collapsed="false">
      <c r="A164" s="42"/>
      <c r="B164" s="42"/>
      <c r="C164" s="42"/>
      <c r="D164" s="42"/>
      <c r="E164" s="42"/>
      <c r="F164" s="51" t="n">
        <f aca="false">IF(OR(C164="",D164="",E164="",E164=0),0,C164*D164/E164)</f>
        <v>0</v>
      </c>
      <c r="G164" s="42"/>
      <c r="H164" s="49" t="n">
        <f aca="true">IF(OR($A164="",_xlfn.MINIFS($B$3:$B$5000,$A$3:$A$5000,$A164,$B$3:$B$5000,"&gt;"&amp;$B164)=0),NOW(),_xlfn.MINIFS($B$3:$B$5000,$A$3:$A$5000,$A164,$B$3:$B$5000,"&gt;"&amp;$B164))</f>
        <v>46279.5987642821</v>
      </c>
    </row>
    <row r="165" customFormat="false" ht="15" hidden="false" customHeight="true" outlineLevel="0" collapsed="false">
      <c r="A165" s="42"/>
      <c r="B165" s="42"/>
      <c r="C165" s="42"/>
      <c r="D165" s="42"/>
      <c r="E165" s="42"/>
      <c r="F165" s="51" t="n">
        <f aca="false">IF(OR(C165="",D165="",E165="",E165=0),0,C165*D165/E165)</f>
        <v>0</v>
      </c>
      <c r="G165" s="42"/>
      <c r="H165" s="49" t="n">
        <f aca="true">IF(OR($A165="",_xlfn.MINIFS($B$3:$B$5000,$A$3:$A$5000,$A165,$B$3:$B$5000,"&gt;"&amp;$B165)=0),NOW(),_xlfn.MINIFS($B$3:$B$5000,$A$3:$A$5000,$A165,$B$3:$B$5000,"&gt;"&amp;$B165))</f>
        <v>46279.5987642822</v>
      </c>
    </row>
    <row r="166" customFormat="false" ht="15" hidden="false" customHeight="true" outlineLevel="0" collapsed="false">
      <c r="A166" s="42"/>
      <c r="B166" s="42"/>
      <c r="C166" s="42"/>
      <c r="D166" s="42"/>
      <c r="E166" s="42"/>
      <c r="F166" s="51" t="n">
        <f aca="false">IF(OR(C166="",D166="",E166="",E166=0),0,C166*D166/E166)</f>
        <v>0</v>
      </c>
      <c r="G166" s="42"/>
      <c r="H166" s="49" t="n">
        <f aca="true">IF(OR($A166="",_xlfn.MINIFS($B$3:$B$5000,$A$3:$A$5000,$A166,$B$3:$B$5000,"&gt;"&amp;$B166)=0),NOW(),_xlfn.MINIFS($B$3:$B$5000,$A$3:$A$5000,$A166,$B$3:$B$5000,"&gt;"&amp;$B166))</f>
        <v>46279.5987642822</v>
      </c>
    </row>
    <row r="167" customFormat="false" ht="15" hidden="false" customHeight="true" outlineLevel="0" collapsed="false">
      <c r="A167" s="42"/>
      <c r="B167" s="42"/>
      <c r="C167" s="42"/>
      <c r="D167" s="42"/>
      <c r="E167" s="42"/>
      <c r="F167" s="51" t="n">
        <f aca="false">IF(OR(C167="",D167="",E167="",E167=0),0,C167*D167/E167)</f>
        <v>0</v>
      </c>
      <c r="G167" s="42"/>
      <c r="H167" s="49" t="n">
        <f aca="true">IF(OR($A167="",_xlfn.MINIFS($B$3:$B$5000,$A$3:$A$5000,$A167,$B$3:$B$5000,"&gt;"&amp;$B167)=0),NOW(),_xlfn.MINIFS($B$3:$B$5000,$A$3:$A$5000,$A167,$B$3:$B$5000,"&gt;"&amp;$B167))</f>
        <v>46279.5987642823</v>
      </c>
    </row>
    <row r="168" customFormat="false" ht="15" hidden="false" customHeight="true" outlineLevel="0" collapsed="false">
      <c r="A168" s="42"/>
      <c r="B168" s="42"/>
      <c r="C168" s="42"/>
      <c r="D168" s="42"/>
      <c r="E168" s="42"/>
      <c r="F168" s="51" t="n">
        <f aca="false">IF(OR(C168="",D168="",E168="",E168=0),0,C168*D168/E168)</f>
        <v>0</v>
      </c>
      <c r="G168" s="42"/>
      <c r="H168" s="49" t="n">
        <f aca="true">IF(OR($A168="",_xlfn.MINIFS($B$3:$B$5000,$A$3:$A$5000,$A168,$B$3:$B$5000,"&gt;"&amp;$B168)=0),NOW(),_xlfn.MINIFS($B$3:$B$5000,$A$3:$A$5000,$A168,$B$3:$B$5000,"&gt;"&amp;$B168))</f>
        <v>46279.5987642823</v>
      </c>
    </row>
    <row r="169" customFormat="false" ht="15" hidden="false" customHeight="true" outlineLevel="0" collapsed="false">
      <c r="A169" s="42"/>
      <c r="B169" s="42"/>
      <c r="C169" s="42"/>
      <c r="D169" s="42"/>
      <c r="E169" s="42"/>
      <c r="F169" s="51" t="n">
        <f aca="false">IF(OR(C169="",D169="",E169="",E169=0),0,C169*D169/E169)</f>
        <v>0</v>
      </c>
      <c r="G169" s="42"/>
      <c r="H169" s="49" t="n">
        <f aca="true">IF(OR($A169="",_xlfn.MINIFS($B$3:$B$5000,$A$3:$A$5000,$A169,$B$3:$B$5000,"&gt;"&amp;$B169)=0),NOW(),_xlfn.MINIFS($B$3:$B$5000,$A$3:$A$5000,$A169,$B$3:$B$5000,"&gt;"&amp;$B169))</f>
        <v>46279.5987642824</v>
      </c>
    </row>
    <row r="170" customFormat="false" ht="15" hidden="false" customHeight="true" outlineLevel="0" collapsed="false">
      <c r="A170" s="42"/>
      <c r="B170" s="42"/>
      <c r="C170" s="42"/>
      <c r="D170" s="42"/>
      <c r="E170" s="42"/>
      <c r="F170" s="51" t="n">
        <f aca="false">IF(OR(C170="",D170="",E170="",E170=0),0,C170*D170/E170)</f>
        <v>0</v>
      </c>
      <c r="G170" s="42"/>
      <c r="H170" s="49" t="n">
        <f aca="true">IF(OR($A170="",_xlfn.MINIFS($B$3:$B$5000,$A$3:$A$5000,$A170,$B$3:$B$5000,"&gt;"&amp;$B170)=0),NOW(),_xlfn.MINIFS($B$3:$B$5000,$A$3:$A$5000,$A170,$B$3:$B$5000,"&gt;"&amp;$B170))</f>
        <v>46279.5987642824</v>
      </c>
    </row>
    <row r="171" customFormat="false" ht="15" hidden="false" customHeight="true" outlineLevel="0" collapsed="false">
      <c r="A171" s="42"/>
      <c r="B171" s="42"/>
      <c r="C171" s="42"/>
      <c r="D171" s="42"/>
      <c r="E171" s="42"/>
      <c r="F171" s="51" t="n">
        <f aca="false">IF(OR(C171="",D171="",E171="",E171=0),0,C171*D171/E171)</f>
        <v>0</v>
      </c>
      <c r="G171" s="42"/>
      <c r="H171" s="49" t="n">
        <f aca="true">IF(OR($A171="",_xlfn.MINIFS($B$3:$B$5000,$A$3:$A$5000,$A171,$B$3:$B$5000,"&gt;"&amp;$B171)=0),NOW(),_xlfn.MINIFS($B$3:$B$5000,$A$3:$A$5000,$A171,$B$3:$B$5000,"&gt;"&amp;$B171))</f>
        <v>46279.5987642825</v>
      </c>
    </row>
    <row r="172" customFormat="false" ht="15" hidden="false" customHeight="true" outlineLevel="0" collapsed="false">
      <c r="A172" s="42"/>
      <c r="B172" s="42"/>
      <c r="C172" s="42"/>
      <c r="D172" s="42"/>
      <c r="E172" s="42"/>
      <c r="F172" s="51" t="n">
        <f aca="false">IF(OR(C172="",D172="",E172="",E172=0),0,C172*D172/E172)</f>
        <v>0</v>
      </c>
      <c r="G172" s="42"/>
      <c r="H172" s="49" t="n">
        <f aca="true">IF(OR($A172="",_xlfn.MINIFS($B$3:$B$5000,$A$3:$A$5000,$A172,$B$3:$B$5000,"&gt;"&amp;$B172)=0),NOW(),_xlfn.MINIFS($B$3:$B$5000,$A$3:$A$5000,$A172,$B$3:$B$5000,"&gt;"&amp;$B172))</f>
        <v>46279.5987642825</v>
      </c>
    </row>
    <row r="173" customFormat="false" ht="15" hidden="false" customHeight="true" outlineLevel="0" collapsed="false">
      <c r="A173" s="42"/>
      <c r="B173" s="42"/>
      <c r="C173" s="42"/>
      <c r="D173" s="42"/>
      <c r="E173" s="42"/>
      <c r="F173" s="51" t="n">
        <f aca="false">IF(OR(C173="",D173="",E173="",E173=0),0,C173*D173/E173)</f>
        <v>0</v>
      </c>
      <c r="G173" s="42"/>
      <c r="H173" s="49" t="n">
        <f aca="true">IF(OR($A173="",_xlfn.MINIFS($B$3:$B$5000,$A$3:$A$5000,$A173,$B$3:$B$5000,"&gt;"&amp;$B173)=0),NOW(),_xlfn.MINIFS($B$3:$B$5000,$A$3:$A$5000,$A173,$B$3:$B$5000,"&gt;"&amp;$B173))</f>
        <v>46279.5987642826</v>
      </c>
    </row>
    <row r="174" customFormat="false" ht="15" hidden="false" customHeight="true" outlineLevel="0" collapsed="false">
      <c r="A174" s="42"/>
      <c r="B174" s="42"/>
      <c r="C174" s="42"/>
      <c r="D174" s="42"/>
      <c r="E174" s="42"/>
      <c r="F174" s="51" t="n">
        <f aca="false">IF(OR(C174="",D174="",E174="",E174=0),0,C174*D174/E174)</f>
        <v>0</v>
      </c>
      <c r="G174" s="42"/>
      <c r="H174" s="49" t="n">
        <f aca="true">IF(OR($A174="",_xlfn.MINIFS($B$3:$B$5000,$A$3:$A$5000,$A174,$B$3:$B$5000,"&gt;"&amp;$B174)=0),NOW(),_xlfn.MINIFS($B$3:$B$5000,$A$3:$A$5000,$A174,$B$3:$B$5000,"&gt;"&amp;$B174))</f>
        <v>46279.5987642826</v>
      </c>
    </row>
    <row r="175" customFormat="false" ht="15" hidden="false" customHeight="true" outlineLevel="0" collapsed="false">
      <c r="A175" s="42"/>
      <c r="B175" s="42"/>
      <c r="C175" s="42"/>
      <c r="D175" s="42"/>
      <c r="E175" s="42"/>
      <c r="F175" s="51" t="n">
        <f aca="false">IF(OR(C175="",D175="",E175="",E175=0),0,C175*D175/E175)</f>
        <v>0</v>
      </c>
      <c r="G175" s="42"/>
      <c r="H175" s="49" t="n">
        <f aca="true">IF(OR($A175="",_xlfn.MINIFS($B$3:$B$5000,$A$3:$A$5000,$A175,$B$3:$B$5000,"&gt;"&amp;$B175)=0),NOW(),_xlfn.MINIFS($B$3:$B$5000,$A$3:$A$5000,$A175,$B$3:$B$5000,"&gt;"&amp;$B175))</f>
        <v>46279.5987642827</v>
      </c>
    </row>
    <row r="176" customFormat="false" ht="15" hidden="false" customHeight="true" outlineLevel="0" collapsed="false">
      <c r="A176" s="42"/>
      <c r="B176" s="42"/>
      <c r="C176" s="42"/>
      <c r="D176" s="42"/>
      <c r="E176" s="42"/>
      <c r="F176" s="51" t="n">
        <f aca="false">IF(OR(C176="",D176="",E176="",E176=0),0,C176*D176/E176)</f>
        <v>0</v>
      </c>
      <c r="G176" s="42"/>
      <c r="H176" s="49" t="n">
        <f aca="true">IF(OR($A176="",_xlfn.MINIFS($B$3:$B$5000,$A$3:$A$5000,$A176,$B$3:$B$5000,"&gt;"&amp;$B176)=0),NOW(),_xlfn.MINIFS($B$3:$B$5000,$A$3:$A$5000,$A176,$B$3:$B$5000,"&gt;"&amp;$B176))</f>
        <v>46279.5987642827</v>
      </c>
    </row>
    <row r="177" customFormat="false" ht="15" hidden="false" customHeight="true" outlineLevel="0" collapsed="false">
      <c r="A177" s="42"/>
      <c r="B177" s="42"/>
      <c r="C177" s="42"/>
      <c r="D177" s="42"/>
      <c r="E177" s="42"/>
      <c r="F177" s="51" t="n">
        <f aca="false">IF(OR(C177="",D177="",E177="",E177=0),0,C177*D177/E177)</f>
        <v>0</v>
      </c>
      <c r="G177" s="42"/>
      <c r="H177" s="49" t="n">
        <f aca="true">IF(OR($A177="",_xlfn.MINIFS($B$3:$B$5000,$A$3:$A$5000,$A177,$B$3:$B$5000,"&gt;"&amp;$B177)=0),NOW(),_xlfn.MINIFS($B$3:$B$5000,$A$3:$A$5000,$A177,$B$3:$B$5000,"&gt;"&amp;$B177))</f>
        <v>46279.5987642828</v>
      </c>
    </row>
    <row r="178" customFormat="false" ht="15" hidden="false" customHeight="true" outlineLevel="0" collapsed="false">
      <c r="A178" s="42"/>
      <c r="B178" s="42"/>
      <c r="C178" s="42"/>
      <c r="D178" s="42"/>
      <c r="E178" s="42"/>
      <c r="F178" s="51" t="n">
        <f aca="false">IF(OR(C178="",D178="",E178="",E178=0),0,C178*D178/E178)</f>
        <v>0</v>
      </c>
      <c r="G178" s="42"/>
      <c r="H178" s="49" t="n">
        <f aca="true">IF(OR($A178="",_xlfn.MINIFS($B$3:$B$5000,$A$3:$A$5000,$A178,$B$3:$B$5000,"&gt;"&amp;$B178)=0),NOW(),_xlfn.MINIFS($B$3:$B$5000,$A$3:$A$5000,$A178,$B$3:$B$5000,"&gt;"&amp;$B178))</f>
        <v>46279.5987642828</v>
      </c>
    </row>
    <row r="179" customFormat="false" ht="15" hidden="false" customHeight="true" outlineLevel="0" collapsed="false">
      <c r="A179" s="42"/>
      <c r="B179" s="42"/>
      <c r="C179" s="42"/>
      <c r="D179" s="42"/>
      <c r="E179" s="42"/>
      <c r="F179" s="51" t="n">
        <f aca="false">IF(OR(C179="",D179="",E179="",E179=0),0,C179*D179/E179)</f>
        <v>0</v>
      </c>
      <c r="G179" s="42"/>
      <c r="H179" s="49" t="n">
        <f aca="true">IF(OR($A179="",_xlfn.MINIFS($B$3:$B$5000,$A$3:$A$5000,$A179,$B$3:$B$5000,"&gt;"&amp;$B179)=0),NOW(),_xlfn.MINIFS($B$3:$B$5000,$A$3:$A$5000,$A179,$B$3:$B$5000,"&gt;"&amp;$B179))</f>
        <v>46279.5987642829</v>
      </c>
    </row>
    <row r="180" customFormat="false" ht="15" hidden="false" customHeight="true" outlineLevel="0" collapsed="false">
      <c r="A180" s="42"/>
      <c r="B180" s="42"/>
      <c r="C180" s="42"/>
      <c r="D180" s="42"/>
      <c r="E180" s="42"/>
      <c r="F180" s="51" t="n">
        <f aca="false">IF(OR(C180="",D180="",E180="",E180=0),0,C180*D180/E180)</f>
        <v>0</v>
      </c>
      <c r="G180" s="42"/>
      <c r="H180" s="49" t="n">
        <f aca="true">IF(OR($A180="",_xlfn.MINIFS($B$3:$B$5000,$A$3:$A$5000,$A180,$B$3:$B$5000,"&gt;"&amp;$B180)=0),NOW(),_xlfn.MINIFS($B$3:$B$5000,$A$3:$A$5000,$A180,$B$3:$B$5000,"&gt;"&amp;$B180))</f>
        <v>46279.5987642829</v>
      </c>
    </row>
    <row r="181" customFormat="false" ht="15" hidden="false" customHeight="true" outlineLevel="0" collapsed="false">
      <c r="A181" s="42"/>
      <c r="B181" s="42"/>
      <c r="C181" s="42"/>
      <c r="D181" s="42"/>
      <c r="E181" s="42"/>
      <c r="F181" s="51" t="n">
        <f aca="false">IF(OR(C181="",D181="",E181="",E181=0),0,C181*D181/E181)</f>
        <v>0</v>
      </c>
      <c r="G181" s="42"/>
      <c r="H181" s="49" t="n">
        <f aca="true">IF(OR($A181="",_xlfn.MINIFS($B$3:$B$5000,$A$3:$A$5000,$A181,$B$3:$B$5000,"&gt;"&amp;$B181)=0),NOW(),_xlfn.MINIFS($B$3:$B$5000,$A$3:$A$5000,$A181,$B$3:$B$5000,"&gt;"&amp;$B181))</f>
        <v>46279.598764283</v>
      </c>
    </row>
    <row r="182" customFormat="false" ht="15" hidden="false" customHeight="true" outlineLevel="0" collapsed="false">
      <c r="A182" s="42"/>
      <c r="B182" s="42"/>
      <c r="C182" s="42"/>
      <c r="D182" s="42"/>
      <c r="E182" s="42"/>
      <c r="F182" s="51" t="n">
        <f aca="false">IF(OR(C182="",D182="",E182="",E182=0),0,C182*D182/E182)</f>
        <v>0</v>
      </c>
      <c r="G182" s="42"/>
      <c r="H182" s="49" t="n">
        <f aca="true">IF(OR($A182="",_xlfn.MINIFS($B$3:$B$5000,$A$3:$A$5000,$A182,$B$3:$B$5000,"&gt;"&amp;$B182)=0),NOW(),_xlfn.MINIFS($B$3:$B$5000,$A$3:$A$5000,$A182,$B$3:$B$5000,"&gt;"&amp;$B182))</f>
        <v>46279.598764283</v>
      </c>
    </row>
    <row r="183" customFormat="false" ht="15" hidden="false" customHeight="true" outlineLevel="0" collapsed="false">
      <c r="A183" s="42"/>
      <c r="B183" s="42"/>
      <c r="C183" s="42"/>
      <c r="D183" s="42"/>
      <c r="E183" s="42"/>
      <c r="F183" s="51" t="n">
        <f aca="false">IF(OR(C183="",D183="",E183="",E183=0),0,C183*D183/E183)</f>
        <v>0</v>
      </c>
      <c r="G183" s="42"/>
      <c r="H183" s="49" t="n">
        <f aca="true">IF(OR($A183="",_xlfn.MINIFS($B$3:$B$5000,$A$3:$A$5000,$A183,$B$3:$B$5000,"&gt;"&amp;$B183)=0),NOW(),_xlfn.MINIFS($B$3:$B$5000,$A$3:$A$5000,$A183,$B$3:$B$5000,"&gt;"&amp;$B183))</f>
        <v>46279.5987642831</v>
      </c>
    </row>
    <row r="184" customFormat="false" ht="15" hidden="false" customHeight="true" outlineLevel="0" collapsed="false">
      <c r="A184" s="42"/>
      <c r="B184" s="42"/>
      <c r="C184" s="42"/>
      <c r="D184" s="42"/>
      <c r="E184" s="42"/>
      <c r="F184" s="51" t="n">
        <f aca="false">IF(OR(C184="",D184="",E184="",E184=0),0,C184*D184/E184)</f>
        <v>0</v>
      </c>
      <c r="G184" s="42"/>
      <c r="H184" s="49" t="n">
        <f aca="true">IF(OR($A184="",_xlfn.MINIFS($B$3:$B$5000,$A$3:$A$5000,$A184,$B$3:$B$5000,"&gt;"&amp;$B184)=0),NOW(),_xlfn.MINIFS($B$3:$B$5000,$A$3:$A$5000,$A184,$B$3:$B$5000,"&gt;"&amp;$B184))</f>
        <v>46279.5987642831</v>
      </c>
    </row>
    <row r="185" customFormat="false" ht="15" hidden="false" customHeight="true" outlineLevel="0" collapsed="false">
      <c r="A185" s="42"/>
      <c r="B185" s="42"/>
      <c r="C185" s="42"/>
      <c r="D185" s="42"/>
      <c r="E185" s="42"/>
      <c r="F185" s="51" t="n">
        <f aca="false">IF(OR(C185="",D185="",E185="",E185=0),0,C185*D185/E185)</f>
        <v>0</v>
      </c>
      <c r="G185" s="42"/>
      <c r="H185" s="49" t="n">
        <f aca="true">IF(OR($A185="",_xlfn.MINIFS($B$3:$B$5000,$A$3:$A$5000,$A185,$B$3:$B$5000,"&gt;"&amp;$B185)=0),NOW(),_xlfn.MINIFS($B$3:$B$5000,$A$3:$A$5000,$A185,$B$3:$B$5000,"&gt;"&amp;$B185))</f>
        <v>46279.5987642832</v>
      </c>
    </row>
    <row r="186" customFormat="false" ht="15" hidden="false" customHeight="true" outlineLevel="0" collapsed="false">
      <c r="A186" s="42"/>
      <c r="B186" s="42"/>
      <c r="C186" s="42"/>
      <c r="D186" s="42"/>
      <c r="E186" s="42"/>
      <c r="F186" s="51" t="n">
        <f aca="false">IF(OR(C186="",D186="",E186="",E186=0),0,C186*D186/E186)</f>
        <v>0</v>
      </c>
      <c r="G186" s="42"/>
      <c r="H186" s="49" t="n">
        <f aca="true">IF(OR($A186="",_xlfn.MINIFS($B$3:$B$5000,$A$3:$A$5000,$A186,$B$3:$B$5000,"&gt;"&amp;$B186)=0),NOW(),_xlfn.MINIFS($B$3:$B$5000,$A$3:$A$5000,$A186,$B$3:$B$5000,"&gt;"&amp;$B186))</f>
        <v>46279.5987642832</v>
      </c>
    </row>
    <row r="187" customFormat="false" ht="15" hidden="false" customHeight="true" outlineLevel="0" collapsed="false">
      <c r="A187" s="42"/>
      <c r="B187" s="42"/>
      <c r="C187" s="42"/>
      <c r="D187" s="42"/>
      <c r="E187" s="42"/>
      <c r="F187" s="51" t="n">
        <f aca="false">IF(OR(C187="",D187="",E187="",E187=0),0,C187*D187/E187)</f>
        <v>0</v>
      </c>
      <c r="G187" s="42"/>
      <c r="H187" s="49" t="n">
        <f aca="true">IF(OR($A187="",_xlfn.MINIFS($B$3:$B$5000,$A$3:$A$5000,$A187,$B$3:$B$5000,"&gt;"&amp;$B187)=0),NOW(),_xlfn.MINIFS($B$3:$B$5000,$A$3:$A$5000,$A187,$B$3:$B$5000,"&gt;"&amp;$B187))</f>
        <v>46279.5987642833</v>
      </c>
    </row>
    <row r="188" customFormat="false" ht="15" hidden="false" customHeight="true" outlineLevel="0" collapsed="false">
      <c r="A188" s="42"/>
      <c r="B188" s="42"/>
      <c r="C188" s="42"/>
      <c r="D188" s="42"/>
      <c r="E188" s="42"/>
      <c r="F188" s="51" t="n">
        <f aca="false">IF(OR(C188="",D188="",E188="",E188=0),0,C188*D188/E188)</f>
        <v>0</v>
      </c>
      <c r="G188" s="42"/>
      <c r="H188" s="49" t="n">
        <f aca="true">IF(OR($A188="",_xlfn.MINIFS($B$3:$B$5000,$A$3:$A$5000,$A188,$B$3:$B$5000,"&gt;"&amp;$B188)=0),NOW(),_xlfn.MINIFS($B$3:$B$5000,$A$3:$A$5000,$A188,$B$3:$B$5000,"&gt;"&amp;$B188))</f>
        <v>46279.5987642833</v>
      </c>
    </row>
    <row r="189" customFormat="false" ht="15" hidden="false" customHeight="true" outlineLevel="0" collapsed="false">
      <c r="A189" s="42"/>
      <c r="B189" s="42"/>
      <c r="C189" s="42"/>
      <c r="D189" s="42"/>
      <c r="E189" s="42"/>
      <c r="F189" s="51" t="n">
        <f aca="false">IF(OR(C189="",D189="",E189="",E189=0),0,C189*D189/E189)</f>
        <v>0</v>
      </c>
      <c r="G189" s="42"/>
      <c r="H189" s="49" t="n">
        <f aca="true">IF(OR($A189="",_xlfn.MINIFS($B$3:$B$5000,$A$3:$A$5000,$A189,$B$3:$B$5000,"&gt;"&amp;$B189)=0),NOW(),_xlfn.MINIFS($B$3:$B$5000,$A$3:$A$5000,$A189,$B$3:$B$5000,"&gt;"&amp;$B189))</f>
        <v>46279.5987642834</v>
      </c>
    </row>
    <row r="190" customFormat="false" ht="15" hidden="false" customHeight="true" outlineLevel="0" collapsed="false">
      <c r="A190" s="42"/>
      <c r="B190" s="42"/>
      <c r="C190" s="42"/>
      <c r="D190" s="42"/>
      <c r="E190" s="42"/>
      <c r="F190" s="51" t="n">
        <f aca="false">IF(OR(C190="",D190="",E190="",E190=0),0,C190*D190/E190)</f>
        <v>0</v>
      </c>
      <c r="G190" s="42"/>
      <c r="H190" s="49" t="n">
        <f aca="true">IF(OR($A190="",_xlfn.MINIFS($B$3:$B$5000,$A$3:$A$5000,$A190,$B$3:$B$5000,"&gt;"&amp;$B190)=0),NOW(),_xlfn.MINIFS($B$3:$B$5000,$A$3:$A$5000,$A190,$B$3:$B$5000,"&gt;"&amp;$B190))</f>
        <v>46279.5987642834</v>
      </c>
    </row>
    <row r="191" customFormat="false" ht="15" hidden="false" customHeight="true" outlineLevel="0" collapsed="false">
      <c r="A191" s="42"/>
      <c r="B191" s="42"/>
      <c r="C191" s="42"/>
      <c r="D191" s="42"/>
      <c r="E191" s="42"/>
      <c r="F191" s="51" t="n">
        <f aca="false">IF(OR(C191="",D191="",E191="",E191=0),0,C191*D191/E191)</f>
        <v>0</v>
      </c>
      <c r="G191" s="42"/>
      <c r="H191" s="49" t="n">
        <f aca="true">IF(OR($A191="",_xlfn.MINIFS($B$3:$B$5000,$A$3:$A$5000,$A191,$B$3:$B$5000,"&gt;"&amp;$B191)=0),NOW(),_xlfn.MINIFS($B$3:$B$5000,$A$3:$A$5000,$A191,$B$3:$B$5000,"&gt;"&amp;$B191))</f>
        <v>46279.5987642835</v>
      </c>
    </row>
    <row r="192" customFormat="false" ht="15" hidden="false" customHeight="true" outlineLevel="0" collapsed="false">
      <c r="A192" s="42"/>
      <c r="B192" s="42"/>
      <c r="C192" s="42"/>
      <c r="D192" s="42"/>
      <c r="E192" s="42"/>
      <c r="F192" s="51" t="n">
        <f aca="false">IF(OR(C192="",D192="",E192="",E192=0),0,C192*D192/E192)</f>
        <v>0</v>
      </c>
      <c r="G192" s="42"/>
      <c r="H192" s="49" t="n">
        <f aca="true">IF(OR($A192="",_xlfn.MINIFS($B$3:$B$5000,$A$3:$A$5000,$A192,$B$3:$B$5000,"&gt;"&amp;$B192)=0),NOW(),_xlfn.MINIFS($B$3:$B$5000,$A$3:$A$5000,$A192,$B$3:$B$5000,"&gt;"&amp;$B192))</f>
        <v>46279.5987642835</v>
      </c>
    </row>
    <row r="193" customFormat="false" ht="15" hidden="false" customHeight="true" outlineLevel="0" collapsed="false">
      <c r="A193" s="42"/>
      <c r="B193" s="42"/>
      <c r="C193" s="42"/>
      <c r="D193" s="42"/>
      <c r="E193" s="42"/>
      <c r="F193" s="51" t="n">
        <f aca="false">IF(OR(C193="",D193="",E193="",E193=0),0,C193*D193/E193)</f>
        <v>0</v>
      </c>
      <c r="G193" s="42"/>
      <c r="H193" s="49" t="n">
        <f aca="true">IF(OR($A193="",_xlfn.MINIFS($B$3:$B$5000,$A$3:$A$5000,$A193,$B$3:$B$5000,"&gt;"&amp;$B193)=0),NOW(),_xlfn.MINIFS($B$3:$B$5000,$A$3:$A$5000,$A193,$B$3:$B$5000,"&gt;"&amp;$B193))</f>
        <v>46279.5987642836</v>
      </c>
    </row>
    <row r="194" customFormat="false" ht="15" hidden="false" customHeight="true" outlineLevel="0" collapsed="false">
      <c r="A194" s="42"/>
      <c r="B194" s="42"/>
      <c r="C194" s="42"/>
      <c r="D194" s="42"/>
      <c r="E194" s="42"/>
      <c r="F194" s="51" t="n">
        <f aca="false">IF(OR(C194="",D194="",E194="",E194=0),0,C194*D194/E194)</f>
        <v>0</v>
      </c>
      <c r="G194" s="42"/>
      <c r="H194" s="49" t="n">
        <f aca="true">IF(OR($A194="",_xlfn.MINIFS($B$3:$B$5000,$A$3:$A$5000,$A194,$B$3:$B$5000,"&gt;"&amp;$B194)=0),NOW(),_xlfn.MINIFS($B$3:$B$5000,$A$3:$A$5000,$A194,$B$3:$B$5000,"&gt;"&amp;$B194))</f>
        <v>46279.5987642836</v>
      </c>
    </row>
    <row r="195" customFormat="false" ht="15" hidden="false" customHeight="true" outlineLevel="0" collapsed="false">
      <c r="A195" s="42"/>
      <c r="B195" s="42"/>
      <c r="C195" s="42"/>
      <c r="D195" s="42"/>
      <c r="E195" s="42"/>
      <c r="F195" s="51" t="n">
        <f aca="false">IF(OR(C195="",D195="",E195="",E195=0),0,C195*D195/E195)</f>
        <v>0</v>
      </c>
      <c r="G195" s="42"/>
      <c r="H195" s="49" t="n">
        <f aca="true">IF(OR($A195="",_xlfn.MINIFS($B$3:$B$5000,$A$3:$A$5000,$A195,$B$3:$B$5000,"&gt;"&amp;$B195)=0),NOW(),_xlfn.MINIFS($B$3:$B$5000,$A$3:$A$5000,$A195,$B$3:$B$5000,"&gt;"&amp;$B195))</f>
        <v>46279.5987642837</v>
      </c>
    </row>
    <row r="196" customFormat="false" ht="15" hidden="false" customHeight="true" outlineLevel="0" collapsed="false">
      <c r="A196" s="42"/>
      <c r="B196" s="42"/>
      <c r="C196" s="42"/>
      <c r="D196" s="42"/>
      <c r="E196" s="42"/>
      <c r="F196" s="51" t="n">
        <f aca="false">IF(OR(C196="",D196="",E196="",E196=0),0,C196*D196/E196)</f>
        <v>0</v>
      </c>
      <c r="G196" s="42"/>
      <c r="H196" s="49" t="n">
        <f aca="true">IF(OR($A196="",_xlfn.MINIFS($B$3:$B$5000,$A$3:$A$5000,$A196,$B$3:$B$5000,"&gt;"&amp;$B196)=0),NOW(),_xlfn.MINIFS($B$3:$B$5000,$A$3:$A$5000,$A196,$B$3:$B$5000,"&gt;"&amp;$B196))</f>
        <v>46279.5987642837</v>
      </c>
    </row>
    <row r="197" customFormat="false" ht="15" hidden="false" customHeight="true" outlineLevel="0" collapsed="false">
      <c r="A197" s="42"/>
      <c r="B197" s="42"/>
      <c r="C197" s="42"/>
      <c r="D197" s="42"/>
      <c r="E197" s="42"/>
      <c r="F197" s="51" t="n">
        <f aca="false">IF(OR(C197="",D197="",E197="",E197=0),0,C197*D197/E197)</f>
        <v>0</v>
      </c>
      <c r="G197" s="42"/>
      <c r="H197" s="49" t="n">
        <f aca="true">IF(OR($A197="",_xlfn.MINIFS($B$3:$B$5000,$A$3:$A$5000,$A197,$B$3:$B$5000,"&gt;"&amp;$B197)=0),NOW(),_xlfn.MINIFS($B$3:$B$5000,$A$3:$A$5000,$A197,$B$3:$B$5000,"&gt;"&amp;$B197))</f>
        <v>46279.5987642838</v>
      </c>
    </row>
    <row r="198" customFormat="false" ht="15" hidden="false" customHeight="true" outlineLevel="0" collapsed="false">
      <c r="A198" s="42"/>
      <c r="B198" s="42"/>
      <c r="C198" s="42"/>
      <c r="D198" s="42"/>
      <c r="E198" s="42"/>
      <c r="F198" s="51" t="n">
        <f aca="false">IF(OR(C198="",D198="",E198="",E198=0),0,C198*D198/E198)</f>
        <v>0</v>
      </c>
      <c r="G198" s="42"/>
      <c r="H198" s="49" t="n">
        <f aca="true">IF(OR($A198="",_xlfn.MINIFS($B$3:$B$5000,$A$3:$A$5000,$A198,$B$3:$B$5000,"&gt;"&amp;$B198)=0),NOW(),_xlfn.MINIFS($B$3:$B$5000,$A$3:$A$5000,$A198,$B$3:$B$5000,"&gt;"&amp;$B198))</f>
        <v>46279.5987642838</v>
      </c>
    </row>
    <row r="199" customFormat="false" ht="15" hidden="false" customHeight="true" outlineLevel="0" collapsed="false">
      <c r="A199" s="42"/>
      <c r="B199" s="42"/>
      <c r="C199" s="42"/>
      <c r="D199" s="42"/>
      <c r="E199" s="42"/>
      <c r="F199" s="51" t="n">
        <f aca="false">IF(OR(C199="",D199="",E199="",E199=0),0,C199*D199/E199)</f>
        <v>0</v>
      </c>
      <c r="G199" s="42"/>
      <c r="H199" s="49" t="n">
        <f aca="true">IF(OR($A199="",_xlfn.MINIFS($B$3:$B$5000,$A$3:$A$5000,$A199,$B$3:$B$5000,"&gt;"&amp;$B199)=0),NOW(),_xlfn.MINIFS($B$3:$B$5000,$A$3:$A$5000,$A199,$B$3:$B$5000,"&gt;"&amp;$B199))</f>
        <v>46279.5987642839</v>
      </c>
    </row>
    <row r="200" customFormat="false" ht="15" hidden="false" customHeight="true" outlineLevel="0" collapsed="false">
      <c r="A200" s="42"/>
      <c r="B200" s="42"/>
      <c r="C200" s="42"/>
      <c r="D200" s="42"/>
      <c r="E200" s="42"/>
      <c r="F200" s="51" t="n">
        <f aca="false">IF(OR(C200="",D200="",E200="",E200=0),0,C200*D200/E200)</f>
        <v>0</v>
      </c>
      <c r="G200" s="42"/>
      <c r="H200" s="49" t="n">
        <f aca="true">IF(OR($A200="",_xlfn.MINIFS($B$3:$B$5000,$A$3:$A$5000,$A200,$B$3:$B$5000,"&gt;"&amp;$B200)=0),NOW(),_xlfn.MINIFS($B$3:$B$5000,$A$3:$A$5000,$A200,$B$3:$B$5000,"&gt;"&amp;$B200))</f>
        <v>46279.5987642839</v>
      </c>
    </row>
    <row r="201" customFormat="false" ht="15" hidden="false" customHeight="true" outlineLevel="0" collapsed="false">
      <c r="A201" s="42"/>
      <c r="B201" s="42"/>
      <c r="C201" s="42"/>
      <c r="D201" s="42"/>
      <c r="E201" s="42"/>
      <c r="F201" s="51" t="n">
        <f aca="false">IF(OR(C201="",D201="",E201="",E201=0),0,C201*D201/E201)</f>
        <v>0</v>
      </c>
      <c r="G201" s="42"/>
      <c r="H201" s="49" t="n">
        <f aca="true">IF(OR($A201="",_xlfn.MINIFS($B$3:$B$5000,$A$3:$A$5000,$A201,$B$3:$B$5000,"&gt;"&amp;$B201)=0),NOW(),_xlfn.MINIFS($B$3:$B$5000,$A$3:$A$5000,$A201,$B$3:$B$5000,"&gt;"&amp;$B201))</f>
        <v>46279.598764284</v>
      </c>
    </row>
    <row r="202" customFormat="false" ht="15" hidden="false" customHeight="true" outlineLevel="0" collapsed="false">
      <c r="A202" s="42"/>
      <c r="B202" s="42"/>
      <c r="C202" s="42"/>
      <c r="D202" s="42"/>
      <c r="E202" s="42"/>
      <c r="F202" s="51" t="n">
        <f aca="false">IF(OR(C202="",D202="",E202="",E202=0),0,C202*D202/E202)</f>
        <v>0</v>
      </c>
      <c r="G202" s="42"/>
      <c r="H202" s="49" t="n">
        <f aca="true">IF(OR($A202="",_xlfn.MINIFS($B$3:$B$5000,$A$3:$A$5000,$A202,$B$3:$B$5000,"&gt;"&amp;$B202)=0),NOW(),_xlfn.MINIFS($B$3:$B$5000,$A$3:$A$5000,$A202,$B$3:$B$5000,"&gt;"&amp;$B202))</f>
        <v>46279.598764284</v>
      </c>
    </row>
    <row r="203" customFormat="false" ht="15" hidden="false" customHeight="true" outlineLevel="0" collapsed="false">
      <c r="A203" s="42"/>
      <c r="B203" s="42"/>
      <c r="C203" s="42"/>
      <c r="D203" s="42"/>
      <c r="E203" s="42"/>
      <c r="F203" s="51" t="n">
        <f aca="false">IF(OR(C203="",D203="",E203="",E203=0),0,C203*D203/E203)</f>
        <v>0</v>
      </c>
      <c r="G203" s="42"/>
      <c r="H203" s="49" t="n">
        <f aca="true">IF(OR($A203="",_xlfn.MINIFS($B$3:$B$5000,$A$3:$A$5000,$A203,$B$3:$B$5000,"&gt;"&amp;$B203)=0),NOW(),_xlfn.MINIFS($B$3:$B$5000,$A$3:$A$5000,$A203,$B$3:$B$5000,"&gt;"&amp;$B203))</f>
        <v>46279.5987642841</v>
      </c>
    </row>
    <row r="204" customFormat="false" ht="15" hidden="false" customHeight="true" outlineLevel="0" collapsed="false">
      <c r="A204" s="42"/>
      <c r="B204" s="42"/>
      <c r="C204" s="42"/>
      <c r="D204" s="42"/>
      <c r="E204" s="42"/>
      <c r="F204" s="51" t="n">
        <f aca="false">IF(OR(C204="",D204="",E204="",E204=0),0,C204*D204/E204)</f>
        <v>0</v>
      </c>
      <c r="G204" s="42"/>
      <c r="H204" s="49" t="n">
        <f aca="true">IF(OR($A204="",_xlfn.MINIFS($B$3:$B$5000,$A$3:$A$5000,$A204,$B$3:$B$5000,"&gt;"&amp;$B204)=0),NOW(),_xlfn.MINIFS($B$3:$B$5000,$A$3:$A$5000,$A204,$B$3:$B$5000,"&gt;"&amp;$B204))</f>
        <v>46279.5987642841</v>
      </c>
    </row>
    <row r="205" customFormat="false" ht="15" hidden="false" customHeight="true" outlineLevel="0" collapsed="false">
      <c r="A205" s="42"/>
      <c r="B205" s="42"/>
      <c r="C205" s="42"/>
      <c r="D205" s="42"/>
      <c r="E205" s="42"/>
      <c r="F205" s="51" t="n">
        <f aca="false">IF(OR(C205="",D205="",E205="",E205=0),0,C205*D205/E205)</f>
        <v>0</v>
      </c>
      <c r="G205" s="42"/>
      <c r="H205" s="49" t="n">
        <f aca="true">IF(OR($A205="",_xlfn.MINIFS($B$3:$B$5000,$A$3:$A$5000,$A205,$B$3:$B$5000,"&gt;"&amp;$B205)=0),NOW(),_xlfn.MINIFS($B$3:$B$5000,$A$3:$A$5000,$A205,$B$3:$B$5000,"&gt;"&amp;$B205))</f>
        <v>46279.5987642842</v>
      </c>
    </row>
    <row r="206" customFormat="false" ht="15" hidden="false" customHeight="true" outlineLevel="0" collapsed="false">
      <c r="A206" s="42"/>
      <c r="B206" s="42"/>
      <c r="C206" s="42"/>
      <c r="D206" s="42"/>
      <c r="E206" s="42"/>
      <c r="F206" s="51" t="n">
        <f aca="false">IF(OR(C206="",D206="",E206="",E206=0),0,C206*D206/E206)</f>
        <v>0</v>
      </c>
      <c r="G206" s="42"/>
      <c r="H206" s="49" t="n">
        <f aca="true">IF(OR($A206="",_xlfn.MINIFS($B$3:$B$5000,$A$3:$A$5000,$A206,$B$3:$B$5000,"&gt;"&amp;$B206)=0),NOW(),_xlfn.MINIFS($B$3:$B$5000,$A$3:$A$5000,$A206,$B$3:$B$5000,"&gt;"&amp;$B206))</f>
        <v>46279.5987642842</v>
      </c>
    </row>
    <row r="207" customFormat="false" ht="15" hidden="false" customHeight="true" outlineLevel="0" collapsed="false">
      <c r="A207" s="42"/>
      <c r="B207" s="42"/>
      <c r="C207" s="42"/>
      <c r="D207" s="42"/>
      <c r="E207" s="42"/>
      <c r="F207" s="51" t="n">
        <f aca="false">IF(OR(C207="",D207="",E207="",E207=0),0,C207*D207/E207)</f>
        <v>0</v>
      </c>
      <c r="G207" s="42"/>
      <c r="H207" s="49" t="n">
        <f aca="true">IF(OR($A207="",_xlfn.MINIFS($B$3:$B$5000,$A$3:$A$5000,$A207,$B$3:$B$5000,"&gt;"&amp;$B207)=0),NOW(),_xlfn.MINIFS($B$3:$B$5000,$A$3:$A$5000,$A207,$B$3:$B$5000,"&gt;"&amp;$B207))</f>
        <v>46279.5987642843</v>
      </c>
    </row>
    <row r="208" customFormat="false" ht="15" hidden="false" customHeight="true" outlineLevel="0" collapsed="false">
      <c r="A208" s="42"/>
      <c r="B208" s="42"/>
      <c r="C208" s="42"/>
      <c r="D208" s="42"/>
      <c r="E208" s="42"/>
      <c r="F208" s="51" t="n">
        <f aca="false">IF(OR(C208="",D208="",E208="",E208=0),0,C208*D208/E208)</f>
        <v>0</v>
      </c>
      <c r="G208" s="42"/>
      <c r="H208" s="49" t="n">
        <f aca="true">IF(OR($A208="",_xlfn.MINIFS($B$3:$B$5000,$A$3:$A$5000,$A208,$B$3:$B$5000,"&gt;"&amp;$B208)=0),NOW(),_xlfn.MINIFS($B$3:$B$5000,$A$3:$A$5000,$A208,$B$3:$B$5000,"&gt;"&amp;$B208))</f>
        <v>46279.5987642843</v>
      </c>
    </row>
    <row r="209" customFormat="false" ht="15" hidden="false" customHeight="true" outlineLevel="0" collapsed="false">
      <c r="A209" s="42"/>
      <c r="B209" s="42"/>
      <c r="C209" s="42"/>
      <c r="D209" s="42"/>
      <c r="E209" s="42"/>
      <c r="F209" s="51" t="n">
        <f aca="false">IF(OR(C209="",D209="",E209="",E209=0),0,C209*D209/E209)</f>
        <v>0</v>
      </c>
      <c r="G209" s="42"/>
      <c r="H209" s="49" t="n">
        <f aca="true">IF(OR($A209="",_xlfn.MINIFS($B$3:$B$5000,$A$3:$A$5000,$A209,$B$3:$B$5000,"&gt;"&amp;$B209)=0),NOW(),_xlfn.MINIFS($B$3:$B$5000,$A$3:$A$5000,$A209,$B$3:$B$5000,"&gt;"&amp;$B209))</f>
        <v>46279.5987642844</v>
      </c>
    </row>
    <row r="210" customFormat="false" ht="15" hidden="false" customHeight="true" outlineLevel="0" collapsed="false">
      <c r="A210" s="42"/>
      <c r="B210" s="42"/>
      <c r="C210" s="42"/>
      <c r="D210" s="42"/>
      <c r="E210" s="42"/>
      <c r="F210" s="51" t="n">
        <f aca="false">IF(OR(C210="",D210="",E210="",E210=0),0,C210*D210/E210)</f>
        <v>0</v>
      </c>
      <c r="G210" s="42"/>
      <c r="H210" s="49" t="n">
        <f aca="true">IF(OR($A210="",_xlfn.MINIFS($B$3:$B$5000,$A$3:$A$5000,$A210,$B$3:$B$5000,"&gt;"&amp;$B210)=0),NOW(),_xlfn.MINIFS($B$3:$B$5000,$A$3:$A$5000,$A210,$B$3:$B$5000,"&gt;"&amp;$B210))</f>
        <v>46279.5987642844</v>
      </c>
    </row>
    <row r="211" customFormat="false" ht="15" hidden="false" customHeight="true" outlineLevel="0" collapsed="false">
      <c r="A211" s="42"/>
      <c r="B211" s="42"/>
      <c r="C211" s="42"/>
      <c r="D211" s="42"/>
      <c r="E211" s="42"/>
      <c r="F211" s="51" t="n">
        <f aca="false">IF(OR(C211="",D211="",E211="",E211=0),0,C211*D211/E211)</f>
        <v>0</v>
      </c>
      <c r="G211" s="42"/>
      <c r="H211" s="49" t="n">
        <f aca="true">IF(OR($A211="",_xlfn.MINIFS($B$3:$B$5000,$A$3:$A$5000,$A211,$B$3:$B$5000,"&gt;"&amp;$B211)=0),NOW(),_xlfn.MINIFS($B$3:$B$5000,$A$3:$A$5000,$A211,$B$3:$B$5000,"&gt;"&amp;$B211))</f>
        <v>46279.5987642845</v>
      </c>
    </row>
    <row r="212" customFormat="false" ht="15" hidden="false" customHeight="true" outlineLevel="0" collapsed="false">
      <c r="A212" s="42"/>
      <c r="B212" s="42"/>
      <c r="C212" s="42"/>
      <c r="D212" s="42"/>
      <c r="E212" s="42"/>
      <c r="F212" s="51" t="n">
        <f aca="false">IF(OR(C212="",D212="",E212="",E212=0),0,C212*D212/E212)</f>
        <v>0</v>
      </c>
      <c r="G212" s="42"/>
      <c r="H212" s="49" t="n">
        <f aca="true">IF(OR($A212="",_xlfn.MINIFS($B$3:$B$5000,$A$3:$A$5000,$A212,$B$3:$B$5000,"&gt;"&amp;$B212)=0),NOW(),_xlfn.MINIFS($B$3:$B$5000,$A$3:$A$5000,$A212,$B$3:$B$5000,"&gt;"&amp;$B212))</f>
        <v>46279.5987642845</v>
      </c>
    </row>
    <row r="213" customFormat="false" ht="15" hidden="false" customHeight="true" outlineLevel="0" collapsed="false">
      <c r="A213" s="42"/>
      <c r="B213" s="42"/>
      <c r="C213" s="42"/>
      <c r="D213" s="42"/>
      <c r="E213" s="42"/>
      <c r="F213" s="51" t="n">
        <f aca="false">IF(OR(C213="",D213="",E213="",E213=0),0,C213*D213/E213)</f>
        <v>0</v>
      </c>
      <c r="G213" s="42"/>
      <c r="H213" s="49" t="n">
        <f aca="true">IF(OR($A213="",_xlfn.MINIFS($B$3:$B$5000,$A$3:$A$5000,$A213,$B$3:$B$5000,"&gt;"&amp;$B213)=0),NOW(),_xlfn.MINIFS($B$3:$B$5000,$A$3:$A$5000,$A213,$B$3:$B$5000,"&gt;"&amp;$B213))</f>
        <v>46279.5987642846</v>
      </c>
    </row>
    <row r="214" customFormat="false" ht="15" hidden="false" customHeight="true" outlineLevel="0" collapsed="false">
      <c r="A214" s="42"/>
      <c r="B214" s="42"/>
      <c r="C214" s="42"/>
      <c r="D214" s="42"/>
      <c r="E214" s="42"/>
      <c r="F214" s="51" t="n">
        <f aca="false">IF(OR(C214="",D214="",E214="",E214=0),0,C214*D214/E214)</f>
        <v>0</v>
      </c>
      <c r="G214" s="42"/>
      <c r="H214" s="49" t="n">
        <f aca="true">IF(OR($A214="",_xlfn.MINIFS($B$3:$B$5000,$A$3:$A$5000,$A214,$B$3:$B$5000,"&gt;"&amp;$B214)=0),NOW(),_xlfn.MINIFS($B$3:$B$5000,$A$3:$A$5000,$A214,$B$3:$B$5000,"&gt;"&amp;$B214))</f>
        <v>46279.5987642846</v>
      </c>
    </row>
    <row r="215" customFormat="false" ht="15" hidden="false" customHeight="true" outlineLevel="0" collapsed="false">
      <c r="A215" s="42"/>
      <c r="B215" s="42"/>
      <c r="C215" s="42"/>
      <c r="D215" s="42"/>
      <c r="E215" s="42"/>
      <c r="F215" s="51" t="n">
        <f aca="false">IF(OR(C215="",D215="",E215="",E215=0),0,C215*D215/E215)</f>
        <v>0</v>
      </c>
      <c r="G215" s="42"/>
      <c r="H215" s="49" t="n">
        <f aca="true">IF(OR($A215="",_xlfn.MINIFS($B$3:$B$5000,$A$3:$A$5000,$A215,$B$3:$B$5000,"&gt;"&amp;$B215)=0),NOW(),_xlfn.MINIFS($B$3:$B$5000,$A$3:$A$5000,$A215,$B$3:$B$5000,"&gt;"&amp;$B215))</f>
        <v>46279.5987642847</v>
      </c>
    </row>
    <row r="216" customFormat="false" ht="15" hidden="false" customHeight="true" outlineLevel="0" collapsed="false">
      <c r="A216" s="42"/>
      <c r="B216" s="42"/>
      <c r="C216" s="42"/>
      <c r="D216" s="42"/>
      <c r="E216" s="42"/>
      <c r="F216" s="51" t="n">
        <f aca="false">IF(OR(C216="",D216="",E216="",E216=0),0,C216*D216/E216)</f>
        <v>0</v>
      </c>
      <c r="G216" s="42"/>
      <c r="H216" s="49" t="n">
        <f aca="true">IF(OR($A216="",_xlfn.MINIFS($B$3:$B$5000,$A$3:$A$5000,$A216,$B$3:$B$5000,"&gt;"&amp;$B216)=0),NOW(),_xlfn.MINIFS($B$3:$B$5000,$A$3:$A$5000,$A216,$B$3:$B$5000,"&gt;"&amp;$B216))</f>
        <v>46279.5987642847</v>
      </c>
    </row>
    <row r="217" customFormat="false" ht="15" hidden="false" customHeight="true" outlineLevel="0" collapsed="false">
      <c r="A217" s="42"/>
      <c r="B217" s="42"/>
      <c r="C217" s="42"/>
      <c r="D217" s="42"/>
      <c r="E217" s="42"/>
      <c r="F217" s="51" t="n">
        <f aca="false">IF(OR(C217="",D217="",E217="",E217=0),0,C217*D217/E217)</f>
        <v>0</v>
      </c>
      <c r="G217" s="42"/>
      <c r="H217" s="49" t="n">
        <f aca="true">IF(OR($A217="",_xlfn.MINIFS($B$3:$B$5000,$A$3:$A$5000,$A217,$B$3:$B$5000,"&gt;"&amp;$B217)=0),NOW(),_xlfn.MINIFS($B$3:$B$5000,$A$3:$A$5000,$A217,$B$3:$B$5000,"&gt;"&amp;$B217))</f>
        <v>46279.5987642848</v>
      </c>
    </row>
    <row r="218" customFormat="false" ht="15" hidden="false" customHeight="true" outlineLevel="0" collapsed="false">
      <c r="A218" s="42"/>
      <c r="B218" s="42"/>
      <c r="C218" s="42"/>
      <c r="D218" s="42"/>
      <c r="E218" s="42"/>
      <c r="F218" s="51" t="n">
        <f aca="false">IF(OR(C218="",D218="",E218="",E218=0),0,C218*D218/E218)</f>
        <v>0</v>
      </c>
      <c r="G218" s="42"/>
      <c r="H218" s="49" t="n">
        <f aca="true">IF(OR($A218="",_xlfn.MINIFS($B$3:$B$5000,$A$3:$A$5000,$A218,$B$3:$B$5000,"&gt;"&amp;$B218)=0),NOW(),_xlfn.MINIFS($B$3:$B$5000,$A$3:$A$5000,$A218,$B$3:$B$5000,"&gt;"&amp;$B218))</f>
        <v>46279.5987642848</v>
      </c>
    </row>
    <row r="219" customFormat="false" ht="15" hidden="false" customHeight="true" outlineLevel="0" collapsed="false">
      <c r="A219" s="42"/>
      <c r="B219" s="42"/>
      <c r="C219" s="42"/>
      <c r="D219" s="42"/>
      <c r="E219" s="42"/>
      <c r="F219" s="51" t="n">
        <f aca="false">IF(OR(C219="",D219="",E219="",E219=0),0,C219*D219/E219)</f>
        <v>0</v>
      </c>
      <c r="G219" s="42"/>
      <c r="H219" s="49" t="n">
        <f aca="true">IF(OR($A219="",_xlfn.MINIFS($B$3:$B$5000,$A$3:$A$5000,$A219,$B$3:$B$5000,"&gt;"&amp;$B219)=0),NOW(),_xlfn.MINIFS($B$3:$B$5000,$A$3:$A$5000,$A219,$B$3:$B$5000,"&gt;"&amp;$B219))</f>
        <v>46279.5987642849</v>
      </c>
    </row>
    <row r="220" customFormat="false" ht="15" hidden="false" customHeight="true" outlineLevel="0" collapsed="false">
      <c r="A220" s="42"/>
      <c r="B220" s="42"/>
      <c r="C220" s="42"/>
      <c r="D220" s="42"/>
      <c r="E220" s="42"/>
      <c r="F220" s="51" t="n">
        <f aca="false">IF(OR(C220="",D220="",E220="",E220=0),0,C220*D220/E220)</f>
        <v>0</v>
      </c>
      <c r="G220" s="42"/>
      <c r="H220" s="49" t="n">
        <f aca="true">IF(OR($A220="",_xlfn.MINIFS($B$3:$B$5000,$A$3:$A$5000,$A220,$B$3:$B$5000,"&gt;"&amp;$B220)=0),NOW(),_xlfn.MINIFS($B$3:$B$5000,$A$3:$A$5000,$A220,$B$3:$B$5000,"&gt;"&amp;$B220))</f>
        <v>46279.5987642849</v>
      </c>
    </row>
    <row r="221" customFormat="false" ht="15" hidden="false" customHeight="true" outlineLevel="0" collapsed="false">
      <c r="A221" s="42"/>
      <c r="B221" s="42"/>
      <c r="C221" s="42"/>
      <c r="D221" s="42"/>
      <c r="E221" s="42"/>
      <c r="F221" s="51" t="n">
        <f aca="false">IF(OR(C221="",D221="",E221="",E221=0),0,C221*D221/E221)</f>
        <v>0</v>
      </c>
      <c r="G221" s="42"/>
      <c r="H221" s="49" t="n">
        <f aca="true">IF(OR($A221="",_xlfn.MINIFS($B$3:$B$5000,$A$3:$A$5000,$A221,$B$3:$B$5000,"&gt;"&amp;$B221)=0),NOW(),_xlfn.MINIFS($B$3:$B$5000,$A$3:$A$5000,$A221,$B$3:$B$5000,"&gt;"&amp;$B221))</f>
        <v>46279.598764285</v>
      </c>
    </row>
    <row r="222" customFormat="false" ht="15" hidden="false" customHeight="true" outlineLevel="0" collapsed="false">
      <c r="A222" s="42"/>
      <c r="B222" s="42"/>
      <c r="C222" s="42"/>
      <c r="D222" s="42"/>
      <c r="E222" s="42"/>
      <c r="F222" s="51" t="n">
        <f aca="false">IF(OR(C222="",D222="",E222="",E222=0),0,C222*D222/E222)</f>
        <v>0</v>
      </c>
      <c r="G222" s="42"/>
      <c r="H222" s="49" t="n">
        <f aca="true">IF(OR($A222="",_xlfn.MINIFS($B$3:$B$5000,$A$3:$A$5000,$A222,$B$3:$B$5000,"&gt;"&amp;$B222)=0),NOW(),_xlfn.MINIFS($B$3:$B$5000,$A$3:$A$5000,$A222,$B$3:$B$5000,"&gt;"&amp;$B222))</f>
        <v>46279.598764285</v>
      </c>
    </row>
    <row r="223" customFormat="false" ht="15" hidden="false" customHeight="true" outlineLevel="0" collapsed="false">
      <c r="A223" s="42"/>
      <c r="B223" s="42"/>
      <c r="C223" s="42"/>
      <c r="D223" s="42"/>
      <c r="E223" s="42"/>
      <c r="F223" s="51" t="n">
        <f aca="false">IF(OR(C223="",D223="",E223="",E223=0),0,C223*D223/E223)</f>
        <v>0</v>
      </c>
      <c r="G223" s="42"/>
      <c r="H223" s="49" t="n">
        <f aca="true">IF(OR($A223="",_xlfn.MINIFS($B$3:$B$5000,$A$3:$A$5000,$A223,$B$3:$B$5000,"&gt;"&amp;$B223)=0),NOW(),_xlfn.MINIFS($B$3:$B$5000,$A$3:$A$5000,$A223,$B$3:$B$5000,"&gt;"&amp;$B223))</f>
        <v>46279.5987642851</v>
      </c>
    </row>
    <row r="224" customFormat="false" ht="15" hidden="false" customHeight="true" outlineLevel="0" collapsed="false">
      <c r="A224" s="42"/>
      <c r="B224" s="42"/>
      <c r="C224" s="42"/>
      <c r="D224" s="42"/>
      <c r="E224" s="42"/>
      <c r="F224" s="51" t="n">
        <f aca="false">IF(OR(C224="",D224="",E224="",E224=0),0,C224*D224/E224)</f>
        <v>0</v>
      </c>
      <c r="G224" s="42"/>
      <c r="H224" s="49" t="n">
        <f aca="true">IF(OR($A224="",_xlfn.MINIFS($B$3:$B$5000,$A$3:$A$5000,$A224,$B$3:$B$5000,"&gt;"&amp;$B224)=0),NOW(),_xlfn.MINIFS($B$3:$B$5000,$A$3:$A$5000,$A224,$B$3:$B$5000,"&gt;"&amp;$B224))</f>
        <v>46279.5987642851</v>
      </c>
    </row>
    <row r="225" customFormat="false" ht="15" hidden="false" customHeight="true" outlineLevel="0" collapsed="false">
      <c r="A225" s="42"/>
      <c r="B225" s="42"/>
      <c r="C225" s="42"/>
      <c r="D225" s="42"/>
      <c r="E225" s="42"/>
      <c r="F225" s="51" t="n">
        <f aca="false">IF(OR(C225="",D225="",E225="",E225=0),0,C225*D225/E225)</f>
        <v>0</v>
      </c>
      <c r="G225" s="42"/>
      <c r="H225" s="49" t="n">
        <f aca="true">IF(OR($A225="",_xlfn.MINIFS($B$3:$B$5000,$A$3:$A$5000,$A225,$B$3:$B$5000,"&gt;"&amp;$B225)=0),NOW(),_xlfn.MINIFS($B$3:$B$5000,$A$3:$A$5000,$A225,$B$3:$B$5000,"&gt;"&amp;$B225))</f>
        <v>46279.5987642852</v>
      </c>
    </row>
    <row r="226" customFormat="false" ht="15" hidden="false" customHeight="true" outlineLevel="0" collapsed="false">
      <c r="A226" s="42"/>
      <c r="B226" s="42"/>
      <c r="C226" s="42"/>
      <c r="D226" s="42"/>
      <c r="E226" s="42"/>
      <c r="F226" s="51" t="n">
        <f aca="false">IF(OR(C226="",D226="",E226="",E226=0),0,C226*D226/E226)</f>
        <v>0</v>
      </c>
      <c r="G226" s="42"/>
      <c r="H226" s="49" t="n">
        <f aca="true">IF(OR($A226="",_xlfn.MINIFS($B$3:$B$5000,$A$3:$A$5000,$A226,$B$3:$B$5000,"&gt;"&amp;$B226)=0),NOW(),_xlfn.MINIFS($B$3:$B$5000,$A$3:$A$5000,$A226,$B$3:$B$5000,"&gt;"&amp;$B226))</f>
        <v>46279.5987642852</v>
      </c>
    </row>
    <row r="227" customFormat="false" ht="15" hidden="false" customHeight="true" outlineLevel="0" collapsed="false">
      <c r="A227" s="42"/>
      <c r="B227" s="42"/>
      <c r="C227" s="42"/>
      <c r="D227" s="42"/>
      <c r="E227" s="42"/>
      <c r="F227" s="51" t="n">
        <f aca="false">IF(OR(C227="",D227="",E227="",E227=0),0,C227*D227/E227)</f>
        <v>0</v>
      </c>
      <c r="G227" s="42"/>
      <c r="H227" s="49" t="n">
        <f aca="true">IF(OR($A227="",_xlfn.MINIFS($B$3:$B$5000,$A$3:$A$5000,$A227,$B$3:$B$5000,"&gt;"&amp;$B227)=0),NOW(),_xlfn.MINIFS($B$3:$B$5000,$A$3:$A$5000,$A227,$B$3:$B$5000,"&gt;"&amp;$B227))</f>
        <v>46279.5987642853</v>
      </c>
    </row>
    <row r="228" customFormat="false" ht="15" hidden="false" customHeight="true" outlineLevel="0" collapsed="false">
      <c r="A228" s="42"/>
      <c r="B228" s="42"/>
      <c r="C228" s="42"/>
      <c r="D228" s="42"/>
      <c r="E228" s="42"/>
      <c r="F228" s="51" t="n">
        <f aca="false">IF(OR(C228="",D228="",E228="",E228=0),0,C228*D228/E228)</f>
        <v>0</v>
      </c>
      <c r="G228" s="42"/>
      <c r="H228" s="49" t="n">
        <f aca="true">IF(OR($A228="",_xlfn.MINIFS($B$3:$B$5000,$A$3:$A$5000,$A228,$B$3:$B$5000,"&gt;"&amp;$B228)=0),NOW(),_xlfn.MINIFS($B$3:$B$5000,$A$3:$A$5000,$A228,$B$3:$B$5000,"&gt;"&amp;$B228))</f>
        <v>46279.5987642853</v>
      </c>
    </row>
    <row r="229" customFormat="false" ht="15" hidden="false" customHeight="true" outlineLevel="0" collapsed="false">
      <c r="A229" s="42"/>
      <c r="B229" s="42"/>
      <c r="C229" s="42"/>
      <c r="D229" s="42"/>
      <c r="E229" s="42"/>
      <c r="F229" s="51" t="n">
        <f aca="false">IF(OR(C229="",D229="",E229="",E229=0),0,C229*D229/E229)</f>
        <v>0</v>
      </c>
      <c r="G229" s="42"/>
      <c r="H229" s="49" t="n">
        <f aca="true">IF(OR($A229="",_xlfn.MINIFS($B$3:$B$5000,$A$3:$A$5000,$A229,$B$3:$B$5000,"&gt;"&amp;$B229)=0),NOW(),_xlfn.MINIFS($B$3:$B$5000,$A$3:$A$5000,$A229,$B$3:$B$5000,"&gt;"&amp;$B229))</f>
        <v>46279.5987642854</v>
      </c>
    </row>
    <row r="230" customFormat="false" ht="15" hidden="false" customHeight="true" outlineLevel="0" collapsed="false">
      <c r="A230" s="42"/>
      <c r="B230" s="42"/>
      <c r="C230" s="42"/>
      <c r="D230" s="42"/>
      <c r="E230" s="42"/>
      <c r="F230" s="51" t="n">
        <f aca="false">IF(OR(C230="",D230="",E230="",E230=0),0,C230*D230/E230)</f>
        <v>0</v>
      </c>
      <c r="G230" s="42"/>
      <c r="H230" s="49" t="n">
        <f aca="true">IF(OR($A230="",_xlfn.MINIFS($B$3:$B$5000,$A$3:$A$5000,$A230,$B$3:$B$5000,"&gt;"&amp;$B230)=0),NOW(),_xlfn.MINIFS($B$3:$B$5000,$A$3:$A$5000,$A230,$B$3:$B$5000,"&gt;"&amp;$B230))</f>
        <v>46279.5987642854</v>
      </c>
    </row>
    <row r="231" customFormat="false" ht="15" hidden="false" customHeight="true" outlineLevel="0" collapsed="false">
      <c r="A231" s="42"/>
      <c r="B231" s="42"/>
      <c r="C231" s="42"/>
      <c r="D231" s="42"/>
      <c r="E231" s="42"/>
      <c r="F231" s="51" t="n">
        <f aca="false">IF(OR(C231="",D231="",E231="",E231=0),0,C231*D231/E231)</f>
        <v>0</v>
      </c>
      <c r="G231" s="42"/>
      <c r="H231" s="49" t="n">
        <f aca="true">IF(OR($A231="",_xlfn.MINIFS($B$3:$B$5000,$A$3:$A$5000,$A231,$B$3:$B$5000,"&gt;"&amp;$B231)=0),NOW(),_xlfn.MINIFS($B$3:$B$5000,$A$3:$A$5000,$A231,$B$3:$B$5000,"&gt;"&amp;$B231))</f>
        <v>46279.5987642855</v>
      </c>
    </row>
    <row r="232" customFormat="false" ht="15" hidden="false" customHeight="true" outlineLevel="0" collapsed="false">
      <c r="A232" s="42"/>
      <c r="B232" s="42"/>
      <c r="C232" s="42"/>
      <c r="D232" s="42"/>
      <c r="E232" s="42"/>
      <c r="F232" s="51" t="n">
        <f aca="false">IF(OR(C232="",D232="",E232="",E232=0),0,C232*D232/E232)</f>
        <v>0</v>
      </c>
      <c r="G232" s="42"/>
      <c r="H232" s="49" t="n">
        <f aca="true">IF(OR($A232="",_xlfn.MINIFS($B$3:$B$5000,$A$3:$A$5000,$A232,$B$3:$B$5000,"&gt;"&amp;$B232)=0),NOW(),_xlfn.MINIFS($B$3:$B$5000,$A$3:$A$5000,$A232,$B$3:$B$5000,"&gt;"&amp;$B232))</f>
        <v>46279.5987642855</v>
      </c>
    </row>
    <row r="233" customFormat="false" ht="15" hidden="false" customHeight="true" outlineLevel="0" collapsed="false">
      <c r="A233" s="42"/>
      <c r="B233" s="42"/>
      <c r="C233" s="42"/>
      <c r="D233" s="42"/>
      <c r="E233" s="42"/>
      <c r="F233" s="51" t="n">
        <f aca="false">IF(OR(C233="",D233="",E233="",E233=0),0,C233*D233/E233)</f>
        <v>0</v>
      </c>
      <c r="G233" s="42"/>
      <c r="H233" s="49" t="n">
        <f aca="true">IF(OR($A233="",_xlfn.MINIFS($B$3:$B$5000,$A$3:$A$5000,$A233,$B$3:$B$5000,"&gt;"&amp;$B233)=0),NOW(),_xlfn.MINIFS($B$3:$B$5000,$A$3:$A$5000,$A233,$B$3:$B$5000,"&gt;"&amp;$B233))</f>
        <v>46279.5987642856</v>
      </c>
    </row>
    <row r="234" customFormat="false" ht="15" hidden="false" customHeight="true" outlineLevel="0" collapsed="false">
      <c r="A234" s="42"/>
      <c r="B234" s="42"/>
      <c r="C234" s="42"/>
      <c r="D234" s="42"/>
      <c r="E234" s="42"/>
      <c r="F234" s="51" t="n">
        <f aca="false">IF(OR(C234="",D234="",E234="",E234=0),0,C234*D234/E234)</f>
        <v>0</v>
      </c>
      <c r="G234" s="42"/>
      <c r="H234" s="49" t="n">
        <f aca="true">IF(OR($A234="",_xlfn.MINIFS($B$3:$B$5000,$A$3:$A$5000,$A234,$B$3:$B$5000,"&gt;"&amp;$B234)=0),NOW(),_xlfn.MINIFS($B$3:$B$5000,$A$3:$A$5000,$A234,$B$3:$B$5000,"&gt;"&amp;$B234))</f>
        <v>46279.5987642856</v>
      </c>
    </row>
    <row r="235" customFormat="false" ht="15" hidden="false" customHeight="true" outlineLevel="0" collapsed="false">
      <c r="A235" s="42"/>
      <c r="B235" s="42"/>
      <c r="C235" s="42"/>
      <c r="D235" s="42"/>
      <c r="E235" s="42"/>
      <c r="F235" s="51" t="n">
        <f aca="false">IF(OR(C235="",D235="",E235="",E235=0),0,C235*D235/E235)</f>
        <v>0</v>
      </c>
      <c r="G235" s="42"/>
      <c r="H235" s="49" t="n">
        <f aca="true">IF(OR($A235="",_xlfn.MINIFS($B$3:$B$5000,$A$3:$A$5000,$A235,$B$3:$B$5000,"&gt;"&amp;$B235)=0),NOW(),_xlfn.MINIFS($B$3:$B$5000,$A$3:$A$5000,$A235,$B$3:$B$5000,"&gt;"&amp;$B235))</f>
        <v>46279.5987642857</v>
      </c>
    </row>
    <row r="236" customFormat="false" ht="15" hidden="false" customHeight="true" outlineLevel="0" collapsed="false">
      <c r="A236" s="42"/>
      <c r="B236" s="42"/>
      <c r="C236" s="42"/>
      <c r="D236" s="42"/>
      <c r="E236" s="42"/>
      <c r="F236" s="51" t="n">
        <f aca="false">IF(OR(C236="",D236="",E236="",E236=0),0,C236*D236/E236)</f>
        <v>0</v>
      </c>
      <c r="G236" s="42"/>
      <c r="H236" s="49" t="n">
        <f aca="true">IF(OR($A236="",_xlfn.MINIFS($B$3:$B$5000,$A$3:$A$5000,$A236,$B$3:$B$5000,"&gt;"&amp;$B236)=0),NOW(),_xlfn.MINIFS($B$3:$B$5000,$A$3:$A$5000,$A236,$B$3:$B$5000,"&gt;"&amp;$B236))</f>
        <v>46279.5987642857</v>
      </c>
    </row>
    <row r="237" customFormat="false" ht="15" hidden="false" customHeight="true" outlineLevel="0" collapsed="false">
      <c r="A237" s="42"/>
      <c r="B237" s="42"/>
      <c r="C237" s="42"/>
      <c r="D237" s="42"/>
      <c r="E237" s="42"/>
      <c r="F237" s="51" t="n">
        <f aca="false">IF(OR(C237="",D237="",E237="",E237=0),0,C237*D237/E237)</f>
        <v>0</v>
      </c>
      <c r="G237" s="42"/>
      <c r="H237" s="49" t="n">
        <f aca="true">IF(OR($A237="",_xlfn.MINIFS($B$3:$B$5000,$A$3:$A$5000,$A237,$B$3:$B$5000,"&gt;"&amp;$B237)=0),NOW(),_xlfn.MINIFS($B$3:$B$5000,$A$3:$A$5000,$A237,$B$3:$B$5000,"&gt;"&amp;$B237))</f>
        <v>46279.5987642858</v>
      </c>
    </row>
    <row r="238" customFormat="false" ht="15" hidden="false" customHeight="true" outlineLevel="0" collapsed="false">
      <c r="A238" s="42"/>
      <c r="B238" s="42"/>
      <c r="C238" s="42"/>
      <c r="D238" s="42"/>
      <c r="E238" s="42"/>
      <c r="F238" s="51" t="n">
        <f aca="false">IF(OR(C238="",D238="",E238="",E238=0),0,C238*D238/E238)</f>
        <v>0</v>
      </c>
      <c r="G238" s="42"/>
      <c r="H238" s="49" t="n">
        <f aca="true">IF(OR($A238="",_xlfn.MINIFS($B$3:$B$5000,$A$3:$A$5000,$A238,$B$3:$B$5000,"&gt;"&amp;$B238)=0),NOW(),_xlfn.MINIFS($B$3:$B$5000,$A$3:$A$5000,$A238,$B$3:$B$5000,"&gt;"&amp;$B238))</f>
        <v>46279.5987642858</v>
      </c>
    </row>
    <row r="239" customFormat="false" ht="15" hidden="false" customHeight="true" outlineLevel="0" collapsed="false">
      <c r="A239" s="42"/>
      <c r="B239" s="42"/>
      <c r="C239" s="42"/>
      <c r="D239" s="42"/>
      <c r="E239" s="42"/>
      <c r="F239" s="51" t="n">
        <f aca="false">IF(OR(C239="",D239="",E239="",E239=0),0,C239*D239/E239)</f>
        <v>0</v>
      </c>
      <c r="G239" s="42"/>
      <c r="H239" s="49" t="n">
        <f aca="true">IF(OR($A239="",_xlfn.MINIFS($B$3:$B$5000,$A$3:$A$5000,$A239,$B$3:$B$5000,"&gt;"&amp;$B239)=0),NOW(),_xlfn.MINIFS($B$3:$B$5000,$A$3:$A$5000,$A239,$B$3:$B$5000,"&gt;"&amp;$B239))</f>
        <v>46279.5987642859</v>
      </c>
    </row>
    <row r="240" customFormat="false" ht="15" hidden="false" customHeight="true" outlineLevel="0" collapsed="false">
      <c r="A240" s="42"/>
      <c r="B240" s="42"/>
      <c r="C240" s="42"/>
      <c r="D240" s="42"/>
      <c r="E240" s="42"/>
      <c r="F240" s="51" t="n">
        <f aca="false">IF(OR(C240="",D240="",E240="",E240=0),0,C240*D240/E240)</f>
        <v>0</v>
      </c>
      <c r="G240" s="42"/>
      <c r="H240" s="49" t="n">
        <f aca="true">IF(OR($A240="",_xlfn.MINIFS($B$3:$B$5000,$A$3:$A$5000,$A240,$B$3:$B$5000,"&gt;"&amp;$B240)=0),NOW(),_xlfn.MINIFS($B$3:$B$5000,$A$3:$A$5000,$A240,$B$3:$B$5000,"&gt;"&amp;$B240))</f>
        <v>46279.5987642859</v>
      </c>
    </row>
    <row r="241" customFormat="false" ht="15" hidden="false" customHeight="true" outlineLevel="0" collapsed="false">
      <c r="A241" s="42"/>
      <c r="B241" s="42"/>
      <c r="C241" s="42"/>
      <c r="D241" s="42"/>
      <c r="E241" s="42"/>
      <c r="F241" s="51" t="n">
        <f aca="false">IF(OR(C241="",D241="",E241="",E241=0),0,C241*D241/E241)</f>
        <v>0</v>
      </c>
      <c r="G241" s="42"/>
      <c r="H241" s="49" t="n">
        <f aca="true">IF(OR($A241="",_xlfn.MINIFS($B$3:$B$5000,$A$3:$A$5000,$A241,$B$3:$B$5000,"&gt;"&amp;$B241)=0),NOW(),_xlfn.MINIFS($B$3:$B$5000,$A$3:$A$5000,$A241,$B$3:$B$5000,"&gt;"&amp;$B241))</f>
        <v>46279.598764286</v>
      </c>
    </row>
    <row r="242" customFormat="false" ht="15" hidden="false" customHeight="true" outlineLevel="0" collapsed="false">
      <c r="A242" s="42"/>
      <c r="B242" s="42"/>
      <c r="C242" s="42"/>
      <c r="D242" s="42"/>
      <c r="E242" s="42"/>
      <c r="F242" s="51" t="n">
        <f aca="false">IF(OR(C242="",D242="",E242="",E242=0),0,C242*D242/E242)</f>
        <v>0</v>
      </c>
      <c r="G242" s="42"/>
      <c r="H242" s="49" t="n">
        <f aca="true">IF(OR($A242="",_xlfn.MINIFS($B$3:$B$5000,$A$3:$A$5000,$A242,$B$3:$B$5000,"&gt;"&amp;$B242)=0),NOW(),_xlfn.MINIFS($B$3:$B$5000,$A$3:$A$5000,$A242,$B$3:$B$5000,"&gt;"&amp;$B242))</f>
        <v>46279.598764286</v>
      </c>
    </row>
    <row r="243" customFormat="false" ht="15" hidden="false" customHeight="true" outlineLevel="0" collapsed="false">
      <c r="A243" s="42"/>
      <c r="B243" s="42"/>
      <c r="C243" s="42"/>
      <c r="D243" s="42"/>
      <c r="E243" s="42"/>
      <c r="F243" s="51" t="n">
        <f aca="false">IF(OR(C243="",D243="",E243="",E243=0),0,C243*D243/E243)</f>
        <v>0</v>
      </c>
      <c r="G243" s="42"/>
      <c r="H243" s="49" t="n">
        <f aca="true">IF(OR($A243="",_xlfn.MINIFS($B$3:$B$5000,$A$3:$A$5000,$A243,$B$3:$B$5000,"&gt;"&amp;$B243)=0),NOW(),_xlfn.MINIFS($B$3:$B$5000,$A$3:$A$5000,$A243,$B$3:$B$5000,"&gt;"&amp;$B243))</f>
        <v>46279.5987642861</v>
      </c>
    </row>
    <row r="244" customFormat="false" ht="15" hidden="false" customHeight="true" outlineLevel="0" collapsed="false">
      <c r="A244" s="42"/>
      <c r="B244" s="42"/>
      <c r="C244" s="42"/>
      <c r="D244" s="42"/>
      <c r="E244" s="42"/>
      <c r="F244" s="51" t="n">
        <f aca="false">IF(OR(C244="",D244="",E244="",E244=0),0,C244*D244/E244)</f>
        <v>0</v>
      </c>
      <c r="G244" s="42"/>
      <c r="H244" s="49" t="n">
        <f aca="true">IF(OR($A244="",_xlfn.MINIFS($B$3:$B$5000,$A$3:$A$5000,$A244,$B$3:$B$5000,"&gt;"&amp;$B244)=0),NOW(),_xlfn.MINIFS($B$3:$B$5000,$A$3:$A$5000,$A244,$B$3:$B$5000,"&gt;"&amp;$B244))</f>
        <v>46279.5987642861</v>
      </c>
    </row>
    <row r="245" customFormat="false" ht="15" hidden="false" customHeight="true" outlineLevel="0" collapsed="false">
      <c r="A245" s="42"/>
      <c r="B245" s="42"/>
      <c r="C245" s="42"/>
      <c r="D245" s="42"/>
      <c r="E245" s="42"/>
      <c r="F245" s="51" t="n">
        <f aca="false">IF(OR(C245="",D245="",E245="",E245=0),0,C245*D245/E245)</f>
        <v>0</v>
      </c>
      <c r="G245" s="42"/>
      <c r="H245" s="49" t="n">
        <f aca="true">IF(OR($A245="",_xlfn.MINIFS($B$3:$B$5000,$A$3:$A$5000,$A245,$B$3:$B$5000,"&gt;"&amp;$B245)=0),NOW(),_xlfn.MINIFS($B$3:$B$5000,$A$3:$A$5000,$A245,$B$3:$B$5000,"&gt;"&amp;$B245))</f>
        <v>46279.5987642862</v>
      </c>
    </row>
    <row r="246" customFormat="false" ht="15" hidden="false" customHeight="true" outlineLevel="0" collapsed="false">
      <c r="A246" s="42"/>
      <c r="B246" s="42"/>
      <c r="C246" s="42"/>
      <c r="D246" s="42"/>
      <c r="E246" s="42"/>
      <c r="F246" s="51" t="n">
        <f aca="false">IF(OR(C246="",D246="",E246="",E246=0),0,C246*D246/E246)</f>
        <v>0</v>
      </c>
      <c r="G246" s="42"/>
      <c r="H246" s="49" t="n">
        <f aca="true">IF(OR($A246="",_xlfn.MINIFS($B$3:$B$5000,$A$3:$A$5000,$A246,$B$3:$B$5000,"&gt;"&amp;$B246)=0),NOW(),_xlfn.MINIFS($B$3:$B$5000,$A$3:$A$5000,$A246,$B$3:$B$5000,"&gt;"&amp;$B246))</f>
        <v>46279.5987642862</v>
      </c>
    </row>
    <row r="247" customFormat="false" ht="15" hidden="false" customHeight="true" outlineLevel="0" collapsed="false">
      <c r="A247" s="42"/>
      <c r="B247" s="42"/>
      <c r="C247" s="42"/>
      <c r="D247" s="42"/>
      <c r="E247" s="42"/>
      <c r="F247" s="51" t="n">
        <f aca="false">IF(OR(C247="",D247="",E247="",E247=0),0,C247*D247/E247)</f>
        <v>0</v>
      </c>
      <c r="G247" s="42"/>
      <c r="H247" s="49" t="n">
        <f aca="true">IF(OR($A247="",_xlfn.MINIFS($B$3:$B$5000,$A$3:$A$5000,$A247,$B$3:$B$5000,"&gt;"&amp;$B247)=0),NOW(),_xlfn.MINIFS($B$3:$B$5000,$A$3:$A$5000,$A247,$B$3:$B$5000,"&gt;"&amp;$B247))</f>
        <v>46279.5987642863</v>
      </c>
    </row>
    <row r="248" customFormat="false" ht="15" hidden="false" customHeight="true" outlineLevel="0" collapsed="false">
      <c r="A248" s="42"/>
      <c r="B248" s="42"/>
      <c r="C248" s="42"/>
      <c r="D248" s="42"/>
      <c r="E248" s="42"/>
      <c r="F248" s="51" t="n">
        <f aca="false">IF(OR(C248="",D248="",E248="",E248=0),0,C248*D248/E248)</f>
        <v>0</v>
      </c>
      <c r="G248" s="42"/>
      <c r="H248" s="49" t="n">
        <f aca="true">IF(OR($A248="",_xlfn.MINIFS($B$3:$B$5000,$A$3:$A$5000,$A248,$B$3:$B$5000,"&gt;"&amp;$B248)=0),NOW(),_xlfn.MINIFS($B$3:$B$5000,$A$3:$A$5000,$A248,$B$3:$B$5000,"&gt;"&amp;$B248))</f>
        <v>46279.5987642863</v>
      </c>
    </row>
    <row r="249" customFormat="false" ht="15" hidden="false" customHeight="true" outlineLevel="0" collapsed="false">
      <c r="A249" s="42"/>
      <c r="B249" s="42"/>
      <c r="C249" s="42"/>
      <c r="D249" s="42"/>
      <c r="E249" s="42"/>
      <c r="F249" s="51" t="n">
        <f aca="false">IF(OR(C249="",D249="",E249="",E249=0),0,C249*D249/E249)</f>
        <v>0</v>
      </c>
      <c r="G249" s="42"/>
      <c r="H249" s="49" t="n">
        <f aca="true">IF(OR($A249="",_xlfn.MINIFS($B$3:$B$5000,$A$3:$A$5000,$A249,$B$3:$B$5000,"&gt;"&amp;$B249)=0),NOW(),_xlfn.MINIFS($B$3:$B$5000,$A$3:$A$5000,$A249,$B$3:$B$5000,"&gt;"&amp;$B249))</f>
        <v>46279.5987642864</v>
      </c>
    </row>
    <row r="250" customFormat="false" ht="15" hidden="false" customHeight="true" outlineLevel="0" collapsed="false">
      <c r="A250" s="42"/>
      <c r="B250" s="42"/>
      <c r="C250" s="42"/>
      <c r="D250" s="42"/>
      <c r="E250" s="42"/>
      <c r="F250" s="51" t="n">
        <f aca="false">IF(OR(C250="",D250="",E250="",E250=0),0,C250*D250/E250)</f>
        <v>0</v>
      </c>
      <c r="G250" s="42"/>
      <c r="H250" s="49" t="n">
        <f aca="true">IF(OR($A250="",_xlfn.MINIFS($B$3:$B$5000,$A$3:$A$5000,$A250,$B$3:$B$5000,"&gt;"&amp;$B250)=0),NOW(),_xlfn.MINIFS($B$3:$B$5000,$A$3:$A$5000,$A250,$B$3:$B$5000,"&gt;"&amp;$B250))</f>
        <v>46279.5987642864</v>
      </c>
    </row>
    <row r="251" customFormat="false" ht="15" hidden="false" customHeight="true" outlineLevel="0" collapsed="false">
      <c r="A251" s="42"/>
      <c r="B251" s="42"/>
      <c r="C251" s="42"/>
      <c r="D251" s="42"/>
      <c r="E251" s="42"/>
      <c r="F251" s="51" t="n">
        <f aca="false">IF(OR(C251="",D251="",E251="",E251=0),0,C251*D251/E251)</f>
        <v>0</v>
      </c>
      <c r="G251" s="42"/>
      <c r="H251" s="49" t="n">
        <f aca="true">IF(OR($A251="",_xlfn.MINIFS($B$3:$B$5000,$A$3:$A$5000,$A251,$B$3:$B$5000,"&gt;"&amp;$B251)=0),NOW(),_xlfn.MINIFS($B$3:$B$5000,$A$3:$A$5000,$A251,$B$3:$B$5000,"&gt;"&amp;$B251))</f>
        <v>46279.5987642865</v>
      </c>
    </row>
    <row r="252" customFormat="false" ht="15" hidden="false" customHeight="true" outlineLevel="0" collapsed="false">
      <c r="A252" s="42"/>
      <c r="B252" s="42"/>
      <c r="C252" s="42"/>
      <c r="D252" s="42"/>
      <c r="E252" s="42"/>
      <c r="F252" s="51" t="n">
        <f aca="false">IF(OR(C252="",D252="",E252="",E252=0),0,C252*D252/E252)</f>
        <v>0</v>
      </c>
      <c r="G252" s="42"/>
      <c r="H252" s="49" t="n">
        <f aca="true">IF(OR($A252="",_xlfn.MINIFS($B$3:$B$5000,$A$3:$A$5000,$A252,$B$3:$B$5000,"&gt;"&amp;$B252)=0),NOW(),_xlfn.MINIFS($B$3:$B$5000,$A$3:$A$5000,$A252,$B$3:$B$5000,"&gt;"&amp;$B252))</f>
        <v>46279.5987642865</v>
      </c>
    </row>
    <row r="253" customFormat="false" ht="15" hidden="false" customHeight="true" outlineLevel="0" collapsed="false">
      <c r="A253" s="42"/>
      <c r="B253" s="42"/>
      <c r="C253" s="42"/>
      <c r="D253" s="42"/>
      <c r="E253" s="42"/>
      <c r="F253" s="51" t="n">
        <f aca="false">IF(OR(C253="",D253="",E253="",E253=0),0,C253*D253/E253)</f>
        <v>0</v>
      </c>
      <c r="G253" s="42"/>
      <c r="H253" s="49" t="n">
        <f aca="true">IF(OR($A253="",_xlfn.MINIFS($B$3:$B$5000,$A$3:$A$5000,$A253,$B$3:$B$5000,"&gt;"&amp;$B253)=0),NOW(),_xlfn.MINIFS($B$3:$B$5000,$A$3:$A$5000,$A253,$B$3:$B$5000,"&gt;"&amp;$B253))</f>
        <v>46279.5987642866</v>
      </c>
    </row>
    <row r="254" customFormat="false" ht="15" hidden="false" customHeight="true" outlineLevel="0" collapsed="false">
      <c r="A254" s="42"/>
      <c r="B254" s="42"/>
      <c r="C254" s="42"/>
      <c r="D254" s="42"/>
      <c r="E254" s="42"/>
      <c r="F254" s="51" t="n">
        <f aca="false">IF(OR(C254="",D254="",E254="",E254=0),0,C254*D254/E254)</f>
        <v>0</v>
      </c>
      <c r="G254" s="42"/>
      <c r="H254" s="49" t="n">
        <f aca="true">IF(OR($A254="",_xlfn.MINIFS($B$3:$B$5000,$A$3:$A$5000,$A254,$B$3:$B$5000,"&gt;"&amp;$B254)=0),NOW(),_xlfn.MINIFS($B$3:$B$5000,$A$3:$A$5000,$A254,$B$3:$B$5000,"&gt;"&amp;$B254))</f>
        <v>46279.5987642866</v>
      </c>
    </row>
    <row r="255" customFormat="false" ht="15" hidden="false" customHeight="true" outlineLevel="0" collapsed="false">
      <c r="A255" s="42"/>
      <c r="B255" s="42"/>
      <c r="C255" s="42"/>
      <c r="D255" s="42"/>
      <c r="E255" s="42"/>
      <c r="F255" s="51" t="n">
        <f aca="false">IF(OR(C255="",D255="",E255="",E255=0),0,C255*D255/E255)</f>
        <v>0</v>
      </c>
      <c r="G255" s="42"/>
      <c r="H255" s="49" t="n">
        <f aca="true">IF(OR($A255="",_xlfn.MINIFS($B$3:$B$5000,$A$3:$A$5000,$A255,$B$3:$B$5000,"&gt;"&amp;$B255)=0),NOW(),_xlfn.MINIFS($B$3:$B$5000,$A$3:$A$5000,$A255,$B$3:$B$5000,"&gt;"&amp;$B255))</f>
        <v>46279.5987642867</v>
      </c>
    </row>
    <row r="256" customFormat="false" ht="15" hidden="false" customHeight="true" outlineLevel="0" collapsed="false">
      <c r="A256" s="42"/>
      <c r="B256" s="42"/>
      <c r="C256" s="42"/>
      <c r="D256" s="42"/>
      <c r="E256" s="42"/>
      <c r="F256" s="51" t="n">
        <f aca="false">IF(OR(C256="",D256="",E256="",E256=0),0,C256*D256/E256)</f>
        <v>0</v>
      </c>
      <c r="G256" s="42"/>
      <c r="H256" s="49" t="n">
        <f aca="true">IF(OR($A256="",_xlfn.MINIFS($B$3:$B$5000,$A$3:$A$5000,$A256,$B$3:$B$5000,"&gt;"&amp;$B256)=0),NOW(),_xlfn.MINIFS($B$3:$B$5000,$A$3:$A$5000,$A256,$B$3:$B$5000,"&gt;"&amp;$B256))</f>
        <v>46279.5987642867</v>
      </c>
    </row>
    <row r="257" customFormat="false" ht="15" hidden="false" customHeight="true" outlineLevel="0" collapsed="false">
      <c r="A257" s="42"/>
      <c r="B257" s="42"/>
      <c r="C257" s="42"/>
      <c r="D257" s="42"/>
      <c r="E257" s="42"/>
      <c r="F257" s="51" t="n">
        <f aca="false">IF(OR(C257="",D257="",E257="",E257=0),0,C257*D257/E257)</f>
        <v>0</v>
      </c>
      <c r="G257" s="42"/>
      <c r="H257" s="49" t="n">
        <f aca="true">IF(OR($A257="",_xlfn.MINIFS($B$3:$B$5000,$A$3:$A$5000,$A257,$B$3:$B$5000,"&gt;"&amp;$B257)=0),NOW(),_xlfn.MINIFS($B$3:$B$5000,$A$3:$A$5000,$A257,$B$3:$B$5000,"&gt;"&amp;$B257))</f>
        <v>46279.5987642868</v>
      </c>
    </row>
    <row r="258" customFormat="false" ht="15" hidden="false" customHeight="true" outlineLevel="0" collapsed="false">
      <c r="A258" s="42"/>
      <c r="B258" s="42"/>
      <c r="C258" s="42"/>
      <c r="D258" s="42"/>
      <c r="E258" s="42"/>
      <c r="F258" s="51" t="n">
        <f aca="false">IF(OR(C258="",D258="",E258="",E258=0),0,C258*D258/E258)</f>
        <v>0</v>
      </c>
      <c r="G258" s="42"/>
      <c r="H258" s="49" t="n">
        <f aca="true">IF(OR($A258="",_xlfn.MINIFS($B$3:$B$5000,$A$3:$A$5000,$A258,$B$3:$B$5000,"&gt;"&amp;$B258)=0),NOW(),_xlfn.MINIFS($B$3:$B$5000,$A$3:$A$5000,$A258,$B$3:$B$5000,"&gt;"&amp;$B258))</f>
        <v>46279.5987642868</v>
      </c>
    </row>
    <row r="259" customFormat="false" ht="15" hidden="false" customHeight="true" outlineLevel="0" collapsed="false">
      <c r="A259" s="42"/>
      <c r="B259" s="42"/>
      <c r="C259" s="42"/>
      <c r="D259" s="42"/>
      <c r="E259" s="42"/>
      <c r="F259" s="51" t="n">
        <f aca="false">IF(OR(C259="",D259="",E259="",E259=0),0,C259*D259/E259)</f>
        <v>0</v>
      </c>
      <c r="G259" s="42"/>
      <c r="H259" s="49" t="n">
        <f aca="true">IF(OR($A259="",_xlfn.MINIFS($B$3:$B$5000,$A$3:$A$5000,$A259,$B$3:$B$5000,"&gt;"&amp;$B259)=0),NOW(),_xlfn.MINIFS($B$3:$B$5000,$A$3:$A$5000,$A259,$B$3:$B$5000,"&gt;"&amp;$B259))</f>
        <v>46279.5987642869</v>
      </c>
    </row>
    <row r="260" customFormat="false" ht="15" hidden="false" customHeight="true" outlineLevel="0" collapsed="false">
      <c r="A260" s="42"/>
      <c r="B260" s="42"/>
      <c r="C260" s="42"/>
      <c r="D260" s="42"/>
      <c r="E260" s="42"/>
      <c r="F260" s="51" t="n">
        <f aca="false">IF(OR(C260="",D260="",E260="",E260=0),0,C260*D260/E260)</f>
        <v>0</v>
      </c>
      <c r="G260" s="42"/>
      <c r="H260" s="49" t="n">
        <f aca="true">IF(OR($A260="",_xlfn.MINIFS($B$3:$B$5000,$A$3:$A$5000,$A260,$B$3:$B$5000,"&gt;"&amp;$B260)=0),NOW(),_xlfn.MINIFS($B$3:$B$5000,$A$3:$A$5000,$A260,$B$3:$B$5000,"&gt;"&amp;$B260))</f>
        <v>46279.5987642869</v>
      </c>
    </row>
    <row r="261" customFormat="false" ht="15" hidden="false" customHeight="true" outlineLevel="0" collapsed="false">
      <c r="A261" s="42"/>
      <c r="B261" s="42"/>
      <c r="C261" s="42"/>
      <c r="D261" s="42"/>
      <c r="E261" s="42"/>
      <c r="F261" s="51" t="n">
        <f aca="false">IF(OR(C261="",D261="",E261="",E261=0),0,C261*D261/E261)</f>
        <v>0</v>
      </c>
      <c r="G261" s="42"/>
      <c r="H261" s="49" t="n">
        <f aca="true">IF(OR($A261="",_xlfn.MINIFS($B$3:$B$5000,$A$3:$A$5000,$A261,$B$3:$B$5000,"&gt;"&amp;$B261)=0),NOW(),_xlfn.MINIFS($B$3:$B$5000,$A$3:$A$5000,$A261,$B$3:$B$5000,"&gt;"&amp;$B261))</f>
        <v>46279.598764287</v>
      </c>
    </row>
    <row r="262" customFormat="false" ht="15" hidden="false" customHeight="true" outlineLevel="0" collapsed="false">
      <c r="A262" s="42"/>
      <c r="B262" s="42"/>
      <c r="C262" s="42"/>
      <c r="D262" s="42"/>
      <c r="E262" s="42"/>
      <c r="F262" s="51" t="n">
        <f aca="false">IF(OR(C262="",D262="",E262="",E262=0),0,C262*D262/E262)</f>
        <v>0</v>
      </c>
      <c r="G262" s="42"/>
      <c r="H262" s="49" t="n">
        <f aca="true">IF(OR($A262="",_xlfn.MINIFS($B$3:$B$5000,$A$3:$A$5000,$A262,$B$3:$B$5000,"&gt;"&amp;$B262)=0),NOW(),_xlfn.MINIFS($B$3:$B$5000,$A$3:$A$5000,$A262,$B$3:$B$5000,"&gt;"&amp;$B262))</f>
        <v>46279.598764287</v>
      </c>
    </row>
    <row r="263" customFormat="false" ht="15" hidden="false" customHeight="true" outlineLevel="0" collapsed="false">
      <c r="A263" s="42"/>
      <c r="B263" s="42"/>
      <c r="C263" s="42"/>
      <c r="D263" s="42"/>
      <c r="E263" s="42"/>
      <c r="F263" s="51" t="n">
        <f aca="false">IF(OR(C263="",D263="",E263="",E263=0),0,C263*D263/E263)</f>
        <v>0</v>
      </c>
      <c r="G263" s="42"/>
      <c r="H263" s="49" t="n">
        <f aca="true">IF(OR($A263="",_xlfn.MINIFS($B$3:$B$5000,$A$3:$A$5000,$A263,$B$3:$B$5000,"&gt;"&amp;$B263)=0),NOW(),_xlfn.MINIFS($B$3:$B$5000,$A$3:$A$5000,$A263,$B$3:$B$5000,"&gt;"&amp;$B263))</f>
        <v>46279.5987642871</v>
      </c>
    </row>
    <row r="264" customFormat="false" ht="15" hidden="false" customHeight="true" outlineLevel="0" collapsed="false">
      <c r="A264" s="42"/>
      <c r="B264" s="42"/>
      <c r="C264" s="42"/>
      <c r="D264" s="42"/>
      <c r="E264" s="42"/>
      <c r="F264" s="51" t="n">
        <f aca="false">IF(OR(C264="",D264="",E264="",E264=0),0,C264*D264/E264)</f>
        <v>0</v>
      </c>
      <c r="G264" s="42"/>
      <c r="H264" s="49" t="n">
        <f aca="true">IF(OR($A264="",_xlfn.MINIFS($B$3:$B$5000,$A$3:$A$5000,$A264,$B$3:$B$5000,"&gt;"&amp;$B264)=0),NOW(),_xlfn.MINIFS($B$3:$B$5000,$A$3:$A$5000,$A264,$B$3:$B$5000,"&gt;"&amp;$B264))</f>
        <v>46279.5987642872</v>
      </c>
    </row>
    <row r="265" customFormat="false" ht="15" hidden="false" customHeight="true" outlineLevel="0" collapsed="false">
      <c r="A265" s="42"/>
      <c r="B265" s="42"/>
      <c r="C265" s="42"/>
      <c r="D265" s="42"/>
      <c r="E265" s="42"/>
      <c r="F265" s="51" t="n">
        <f aca="false">IF(OR(C265="",D265="",E265="",E265=0),0,C265*D265/E265)</f>
        <v>0</v>
      </c>
      <c r="G265" s="42"/>
      <c r="H265" s="49" t="n">
        <f aca="true">IF(OR($A265="",_xlfn.MINIFS($B$3:$B$5000,$A$3:$A$5000,$A265,$B$3:$B$5000,"&gt;"&amp;$B265)=0),NOW(),_xlfn.MINIFS($B$3:$B$5000,$A$3:$A$5000,$A265,$B$3:$B$5000,"&gt;"&amp;$B265))</f>
        <v>46279.5987642872</v>
      </c>
    </row>
    <row r="266" customFormat="false" ht="15" hidden="false" customHeight="true" outlineLevel="0" collapsed="false">
      <c r="A266" s="42"/>
      <c r="B266" s="42"/>
      <c r="C266" s="42"/>
      <c r="D266" s="42"/>
      <c r="E266" s="42"/>
      <c r="F266" s="51" t="n">
        <f aca="false">IF(OR(C266="",D266="",E266="",E266=0),0,C266*D266/E266)</f>
        <v>0</v>
      </c>
      <c r="G266" s="42"/>
      <c r="H266" s="49" t="n">
        <f aca="true">IF(OR($A266="",_xlfn.MINIFS($B$3:$B$5000,$A$3:$A$5000,$A266,$B$3:$B$5000,"&gt;"&amp;$B266)=0),NOW(),_xlfn.MINIFS($B$3:$B$5000,$A$3:$A$5000,$A266,$B$3:$B$5000,"&gt;"&amp;$B266))</f>
        <v>46279.5987642873</v>
      </c>
    </row>
    <row r="267" customFormat="false" ht="15" hidden="false" customHeight="true" outlineLevel="0" collapsed="false">
      <c r="A267" s="42"/>
      <c r="B267" s="42"/>
      <c r="C267" s="42"/>
      <c r="D267" s="42"/>
      <c r="E267" s="42"/>
      <c r="F267" s="51" t="n">
        <f aca="false">IF(OR(C267="",D267="",E267="",E267=0),0,C267*D267/E267)</f>
        <v>0</v>
      </c>
      <c r="G267" s="42"/>
      <c r="H267" s="49" t="n">
        <f aca="true">IF(OR($A267="",_xlfn.MINIFS($B$3:$B$5000,$A$3:$A$5000,$A267,$B$3:$B$5000,"&gt;"&amp;$B267)=0),NOW(),_xlfn.MINIFS($B$3:$B$5000,$A$3:$A$5000,$A267,$B$3:$B$5000,"&gt;"&amp;$B267))</f>
        <v>46279.5987642873</v>
      </c>
    </row>
    <row r="268" customFormat="false" ht="15" hidden="false" customHeight="true" outlineLevel="0" collapsed="false">
      <c r="A268" s="42"/>
      <c r="B268" s="42"/>
      <c r="C268" s="42"/>
      <c r="D268" s="42"/>
      <c r="E268" s="42"/>
      <c r="F268" s="51" t="n">
        <f aca="false">IF(OR(C268="",D268="",E268="",E268=0),0,C268*D268/E268)</f>
        <v>0</v>
      </c>
      <c r="G268" s="42"/>
      <c r="H268" s="49" t="n">
        <f aca="true">IF(OR($A268="",_xlfn.MINIFS($B$3:$B$5000,$A$3:$A$5000,$A268,$B$3:$B$5000,"&gt;"&amp;$B268)=0),NOW(),_xlfn.MINIFS($B$3:$B$5000,$A$3:$A$5000,$A268,$B$3:$B$5000,"&gt;"&amp;$B268))</f>
        <v>46279.5987642874</v>
      </c>
    </row>
    <row r="269" customFormat="false" ht="15" hidden="false" customHeight="true" outlineLevel="0" collapsed="false">
      <c r="A269" s="42"/>
      <c r="B269" s="42"/>
      <c r="C269" s="42"/>
      <c r="D269" s="42"/>
      <c r="E269" s="42"/>
      <c r="F269" s="51" t="n">
        <f aca="false">IF(OR(C269="",D269="",E269="",E269=0),0,C269*D269/E269)</f>
        <v>0</v>
      </c>
      <c r="G269" s="42"/>
      <c r="H269" s="49" t="n">
        <f aca="true">IF(OR($A269="",_xlfn.MINIFS($B$3:$B$5000,$A$3:$A$5000,$A269,$B$3:$B$5000,"&gt;"&amp;$B269)=0),NOW(),_xlfn.MINIFS($B$3:$B$5000,$A$3:$A$5000,$A269,$B$3:$B$5000,"&gt;"&amp;$B269))</f>
        <v>46279.5987642874</v>
      </c>
    </row>
    <row r="270" customFormat="false" ht="15" hidden="false" customHeight="true" outlineLevel="0" collapsed="false">
      <c r="A270" s="42"/>
      <c r="B270" s="42"/>
      <c r="C270" s="42"/>
      <c r="D270" s="42"/>
      <c r="E270" s="42"/>
      <c r="F270" s="51" t="n">
        <f aca="false">IF(OR(C270="",D270="",E270="",E270=0),0,C270*D270/E270)</f>
        <v>0</v>
      </c>
      <c r="G270" s="42"/>
      <c r="H270" s="49" t="n">
        <f aca="true">IF(OR($A270="",_xlfn.MINIFS($B$3:$B$5000,$A$3:$A$5000,$A270,$B$3:$B$5000,"&gt;"&amp;$B270)=0),NOW(),_xlfn.MINIFS($B$3:$B$5000,$A$3:$A$5000,$A270,$B$3:$B$5000,"&gt;"&amp;$B270))</f>
        <v>46279.5987642875</v>
      </c>
    </row>
    <row r="271" customFormat="false" ht="15" hidden="false" customHeight="true" outlineLevel="0" collapsed="false">
      <c r="A271" s="42"/>
      <c r="B271" s="42"/>
      <c r="C271" s="42"/>
      <c r="D271" s="42"/>
      <c r="E271" s="42"/>
      <c r="F271" s="51" t="n">
        <f aca="false">IF(OR(C271="",D271="",E271="",E271=0),0,C271*D271/E271)</f>
        <v>0</v>
      </c>
      <c r="G271" s="42"/>
      <c r="H271" s="49" t="n">
        <f aca="true">IF(OR($A271="",_xlfn.MINIFS($B$3:$B$5000,$A$3:$A$5000,$A271,$B$3:$B$5000,"&gt;"&amp;$B271)=0),NOW(),_xlfn.MINIFS($B$3:$B$5000,$A$3:$A$5000,$A271,$B$3:$B$5000,"&gt;"&amp;$B271))</f>
        <v>46279.5987642875</v>
      </c>
    </row>
    <row r="272" customFormat="false" ht="15" hidden="false" customHeight="true" outlineLevel="0" collapsed="false">
      <c r="A272" s="42"/>
      <c r="B272" s="42"/>
      <c r="C272" s="42"/>
      <c r="D272" s="42"/>
      <c r="E272" s="42"/>
      <c r="F272" s="51" t="n">
        <f aca="false">IF(OR(C272="",D272="",E272="",E272=0),0,C272*D272/E272)</f>
        <v>0</v>
      </c>
      <c r="G272" s="42"/>
      <c r="H272" s="49" t="n">
        <f aca="true">IF(OR($A272="",_xlfn.MINIFS($B$3:$B$5000,$A$3:$A$5000,$A272,$B$3:$B$5000,"&gt;"&amp;$B272)=0),NOW(),_xlfn.MINIFS($B$3:$B$5000,$A$3:$A$5000,$A272,$B$3:$B$5000,"&gt;"&amp;$B272))</f>
        <v>46279.5987642876</v>
      </c>
    </row>
    <row r="273" customFormat="false" ht="15" hidden="false" customHeight="true" outlineLevel="0" collapsed="false">
      <c r="A273" s="42"/>
      <c r="B273" s="42"/>
      <c r="C273" s="42"/>
      <c r="D273" s="42"/>
      <c r="E273" s="42"/>
      <c r="F273" s="51" t="n">
        <f aca="false">IF(OR(C273="",D273="",E273="",E273=0),0,C273*D273/E273)</f>
        <v>0</v>
      </c>
      <c r="G273" s="42"/>
      <c r="H273" s="49" t="n">
        <f aca="true">IF(OR($A273="",_xlfn.MINIFS($B$3:$B$5000,$A$3:$A$5000,$A273,$B$3:$B$5000,"&gt;"&amp;$B273)=0),NOW(),_xlfn.MINIFS($B$3:$B$5000,$A$3:$A$5000,$A273,$B$3:$B$5000,"&gt;"&amp;$B273))</f>
        <v>46279.5987642876</v>
      </c>
    </row>
    <row r="274" customFormat="false" ht="15" hidden="false" customHeight="true" outlineLevel="0" collapsed="false">
      <c r="A274" s="42"/>
      <c r="B274" s="42"/>
      <c r="C274" s="42"/>
      <c r="D274" s="42"/>
      <c r="E274" s="42"/>
      <c r="F274" s="51" t="n">
        <f aca="false">IF(OR(C274="",D274="",E274="",E274=0),0,C274*D274/E274)</f>
        <v>0</v>
      </c>
      <c r="G274" s="42"/>
      <c r="H274" s="49" t="n">
        <f aca="true">IF(OR($A274="",_xlfn.MINIFS($B$3:$B$5000,$A$3:$A$5000,$A274,$B$3:$B$5000,"&gt;"&amp;$B274)=0),NOW(),_xlfn.MINIFS($B$3:$B$5000,$A$3:$A$5000,$A274,$B$3:$B$5000,"&gt;"&amp;$B274))</f>
        <v>46279.5987642877</v>
      </c>
    </row>
    <row r="275" customFormat="false" ht="15" hidden="false" customHeight="true" outlineLevel="0" collapsed="false">
      <c r="A275" s="42"/>
      <c r="B275" s="42"/>
      <c r="C275" s="42"/>
      <c r="D275" s="42"/>
      <c r="E275" s="42"/>
      <c r="F275" s="51" t="n">
        <f aca="false">IF(OR(C275="",D275="",E275="",E275=0),0,C275*D275/E275)</f>
        <v>0</v>
      </c>
      <c r="G275" s="42"/>
      <c r="H275" s="49" t="n">
        <f aca="true">IF(OR($A275="",_xlfn.MINIFS($B$3:$B$5000,$A$3:$A$5000,$A275,$B$3:$B$5000,"&gt;"&amp;$B275)=0),NOW(),_xlfn.MINIFS($B$3:$B$5000,$A$3:$A$5000,$A275,$B$3:$B$5000,"&gt;"&amp;$B275))</f>
        <v>46279.5987642877</v>
      </c>
    </row>
    <row r="276" customFormat="false" ht="15" hidden="false" customHeight="true" outlineLevel="0" collapsed="false">
      <c r="A276" s="42"/>
      <c r="B276" s="42"/>
      <c r="C276" s="42"/>
      <c r="D276" s="42"/>
      <c r="E276" s="42"/>
      <c r="F276" s="51" t="n">
        <f aca="false">IF(OR(C276="",D276="",E276="",E276=0),0,C276*D276/E276)</f>
        <v>0</v>
      </c>
      <c r="G276" s="42"/>
      <c r="H276" s="49" t="n">
        <f aca="true">IF(OR($A276="",_xlfn.MINIFS($B$3:$B$5000,$A$3:$A$5000,$A276,$B$3:$B$5000,"&gt;"&amp;$B276)=0),NOW(),_xlfn.MINIFS($B$3:$B$5000,$A$3:$A$5000,$A276,$B$3:$B$5000,"&gt;"&amp;$B276))</f>
        <v>46279.5987642878</v>
      </c>
    </row>
    <row r="277" customFormat="false" ht="15" hidden="false" customHeight="true" outlineLevel="0" collapsed="false">
      <c r="A277" s="42"/>
      <c r="B277" s="42"/>
      <c r="C277" s="42"/>
      <c r="D277" s="42"/>
      <c r="E277" s="42"/>
      <c r="F277" s="51" t="n">
        <f aca="false">IF(OR(C277="",D277="",E277="",E277=0),0,C277*D277/E277)</f>
        <v>0</v>
      </c>
      <c r="G277" s="42"/>
      <c r="H277" s="49" t="n">
        <f aca="true">IF(OR($A277="",_xlfn.MINIFS($B$3:$B$5000,$A$3:$A$5000,$A277,$B$3:$B$5000,"&gt;"&amp;$B277)=0),NOW(),_xlfn.MINIFS($B$3:$B$5000,$A$3:$A$5000,$A277,$B$3:$B$5000,"&gt;"&amp;$B277))</f>
        <v>46279.5987642878</v>
      </c>
    </row>
    <row r="278" customFormat="false" ht="15" hidden="false" customHeight="true" outlineLevel="0" collapsed="false">
      <c r="A278" s="42"/>
      <c r="B278" s="42"/>
      <c r="C278" s="42"/>
      <c r="D278" s="42"/>
      <c r="E278" s="42"/>
      <c r="F278" s="51" t="n">
        <f aca="false">IF(OR(C278="",D278="",E278="",E278=0),0,C278*D278/E278)</f>
        <v>0</v>
      </c>
      <c r="G278" s="42"/>
      <c r="H278" s="49" t="n">
        <f aca="true">IF(OR($A278="",_xlfn.MINIFS($B$3:$B$5000,$A$3:$A$5000,$A278,$B$3:$B$5000,"&gt;"&amp;$B278)=0),NOW(),_xlfn.MINIFS($B$3:$B$5000,$A$3:$A$5000,$A278,$B$3:$B$5000,"&gt;"&amp;$B278))</f>
        <v>46279.5987642879</v>
      </c>
    </row>
    <row r="279" customFormat="false" ht="15" hidden="false" customHeight="true" outlineLevel="0" collapsed="false">
      <c r="A279" s="42"/>
      <c r="B279" s="42"/>
      <c r="C279" s="42"/>
      <c r="D279" s="42"/>
      <c r="E279" s="42"/>
      <c r="F279" s="51" t="n">
        <f aca="false">IF(OR(C279="",D279="",E279="",E279=0),0,C279*D279/E279)</f>
        <v>0</v>
      </c>
      <c r="G279" s="42"/>
      <c r="H279" s="49" t="n">
        <f aca="true">IF(OR($A279="",_xlfn.MINIFS($B$3:$B$5000,$A$3:$A$5000,$A279,$B$3:$B$5000,"&gt;"&amp;$B279)=0),NOW(),_xlfn.MINIFS($B$3:$B$5000,$A$3:$A$5000,$A279,$B$3:$B$5000,"&gt;"&amp;$B279))</f>
        <v>46279.5987642879</v>
      </c>
    </row>
    <row r="280" customFormat="false" ht="15" hidden="false" customHeight="true" outlineLevel="0" collapsed="false">
      <c r="A280" s="42"/>
      <c r="B280" s="42"/>
      <c r="C280" s="42"/>
      <c r="D280" s="42"/>
      <c r="E280" s="42"/>
      <c r="F280" s="51" t="n">
        <f aca="false">IF(OR(C280="",D280="",E280="",E280=0),0,C280*D280/E280)</f>
        <v>0</v>
      </c>
      <c r="G280" s="42"/>
      <c r="H280" s="49" t="n">
        <f aca="true">IF(OR($A280="",_xlfn.MINIFS($B$3:$B$5000,$A$3:$A$5000,$A280,$B$3:$B$5000,"&gt;"&amp;$B280)=0),NOW(),_xlfn.MINIFS($B$3:$B$5000,$A$3:$A$5000,$A280,$B$3:$B$5000,"&gt;"&amp;$B280))</f>
        <v>46279.598764288</v>
      </c>
    </row>
    <row r="281" customFormat="false" ht="15" hidden="false" customHeight="true" outlineLevel="0" collapsed="false">
      <c r="A281" s="42"/>
      <c r="B281" s="42"/>
      <c r="C281" s="42"/>
      <c r="D281" s="42"/>
      <c r="E281" s="42"/>
      <c r="F281" s="51" t="n">
        <f aca="false">IF(OR(C281="",D281="",E281="",E281=0),0,C281*D281/E281)</f>
        <v>0</v>
      </c>
      <c r="G281" s="42"/>
      <c r="H281" s="49" t="n">
        <f aca="true">IF(OR($A281="",_xlfn.MINIFS($B$3:$B$5000,$A$3:$A$5000,$A281,$B$3:$B$5000,"&gt;"&amp;$B281)=0),NOW(),_xlfn.MINIFS($B$3:$B$5000,$A$3:$A$5000,$A281,$B$3:$B$5000,"&gt;"&amp;$B281))</f>
        <v>46279.598764288</v>
      </c>
    </row>
    <row r="282" customFormat="false" ht="15" hidden="false" customHeight="true" outlineLevel="0" collapsed="false">
      <c r="A282" s="42"/>
      <c r="B282" s="42"/>
      <c r="C282" s="42"/>
      <c r="D282" s="42"/>
      <c r="E282" s="42"/>
      <c r="F282" s="51" t="n">
        <f aca="false">IF(OR(C282="",D282="",E282="",E282=0),0,C282*D282/E282)</f>
        <v>0</v>
      </c>
      <c r="G282" s="42"/>
      <c r="H282" s="49" t="n">
        <f aca="true">IF(OR($A282="",_xlfn.MINIFS($B$3:$B$5000,$A$3:$A$5000,$A282,$B$3:$B$5000,"&gt;"&amp;$B282)=0),NOW(),_xlfn.MINIFS($B$3:$B$5000,$A$3:$A$5000,$A282,$B$3:$B$5000,"&gt;"&amp;$B282))</f>
        <v>46279.5987642881</v>
      </c>
    </row>
    <row r="283" customFormat="false" ht="15" hidden="false" customHeight="true" outlineLevel="0" collapsed="false">
      <c r="A283" s="42"/>
      <c r="B283" s="42"/>
      <c r="C283" s="42"/>
      <c r="D283" s="42"/>
      <c r="E283" s="42"/>
      <c r="F283" s="51" t="n">
        <f aca="false">IF(OR(C283="",D283="",E283="",E283=0),0,C283*D283/E283)</f>
        <v>0</v>
      </c>
      <c r="G283" s="42"/>
      <c r="H283" s="49" t="n">
        <f aca="true">IF(OR($A283="",_xlfn.MINIFS($B$3:$B$5000,$A$3:$A$5000,$A283,$B$3:$B$5000,"&gt;"&amp;$B283)=0),NOW(),_xlfn.MINIFS($B$3:$B$5000,$A$3:$A$5000,$A283,$B$3:$B$5000,"&gt;"&amp;$B283))</f>
        <v>46279.5987642881</v>
      </c>
    </row>
    <row r="284" customFormat="false" ht="15" hidden="false" customHeight="true" outlineLevel="0" collapsed="false">
      <c r="A284" s="42"/>
      <c r="B284" s="42"/>
      <c r="C284" s="42"/>
      <c r="D284" s="42"/>
      <c r="E284" s="42"/>
      <c r="F284" s="51" t="n">
        <f aca="false">IF(OR(C284="",D284="",E284="",E284=0),0,C284*D284/E284)</f>
        <v>0</v>
      </c>
      <c r="G284" s="42"/>
      <c r="H284" s="49" t="n">
        <f aca="true">IF(OR($A284="",_xlfn.MINIFS($B$3:$B$5000,$A$3:$A$5000,$A284,$B$3:$B$5000,"&gt;"&amp;$B284)=0),NOW(),_xlfn.MINIFS($B$3:$B$5000,$A$3:$A$5000,$A284,$B$3:$B$5000,"&gt;"&amp;$B284))</f>
        <v>46279.5987642882</v>
      </c>
    </row>
    <row r="285" customFormat="false" ht="15" hidden="false" customHeight="true" outlineLevel="0" collapsed="false">
      <c r="A285" s="42"/>
      <c r="B285" s="42"/>
      <c r="C285" s="42"/>
      <c r="D285" s="42"/>
      <c r="E285" s="42"/>
      <c r="F285" s="51" t="n">
        <f aca="false">IF(OR(C285="",D285="",E285="",E285=0),0,C285*D285/E285)</f>
        <v>0</v>
      </c>
      <c r="G285" s="42"/>
      <c r="H285" s="49" t="n">
        <f aca="true">IF(OR($A285="",_xlfn.MINIFS($B$3:$B$5000,$A$3:$A$5000,$A285,$B$3:$B$5000,"&gt;"&amp;$B285)=0),NOW(),_xlfn.MINIFS($B$3:$B$5000,$A$3:$A$5000,$A285,$B$3:$B$5000,"&gt;"&amp;$B285))</f>
        <v>46279.5987642882</v>
      </c>
    </row>
    <row r="286" customFormat="false" ht="15" hidden="false" customHeight="true" outlineLevel="0" collapsed="false">
      <c r="A286" s="42"/>
      <c r="B286" s="42"/>
      <c r="C286" s="42"/>
      <c r="D286" s="42"/>
      <c r="E286" s="42"/>
      <c r="F286" s="51" t="n">
        <f aca="false">IF(OR(C286="",D286="",E286="",E286=0),0,C286*D286/E286)</f>
        <v>0</v>
      </c>
      <c r="G286" s="42"/>
      <c r="H286" s="49" t="n">
        <f aca="true">IF(OR($A286="",_xlfn.MINIFS($B$3:$B$5000,$A$3:$A$5000,$A286,$B$3:$B$5000,"&gt;"&amp;$B286)=0),NOW(),_xlfn.MINIFS($B$3:$B$5000,$A$3:$A$5000,$A286,$B$3:$B$5000,"&gt;"&amp;$B286))</f>
        <v>46279.5987642883</v>
      </c>
    </row>
    <row r="287" customFormat="false" ht="15" hidden="false" customHeight="true" outlineLevel="0" collapsed="false">
      <c r="A287" s="42"/>
      <c r="B287" s="42"/>
      <c r="C287" s="42"/>
      <c r="D287" s="42"/>
      <c r="E287" s="42"/>
      <c r="F287" s="51" t="n">
        <f aca="false">IF(OR(C287="",D287="",E287="",E287=0),0,C287*D287/E287)</f>
        <v>0</v>
      </c>
      <c r="G287" s="42"/>
      <c r="H287" s="49" t="n">
        <f aca="true">IF(OR($A287="",_xlfn.MINIFS($B$3:$B$5000,$A$3:$A$5000,$A287,$B$3:$B$5000,"&gt;"&amp;$B287)=0),NOW(),_xlfn.MINIFS($B$3:$B$5000,$A$3:$A$5000,$A287,$B$3:$B$5000,"&gt;"&amp;$B287))</f>
        <v>46279.5987642883</v>
      </c>
    </row>
    <row r="288" customFormat="false" ht="15" hidden="false" customHeight="true" outlineLevel="0" collapsed="false">
      <c r="A288" s="42"/>
      <c r="B288" s="42"/>
      <c r="C288" s="42"/>
      <c r="D288" s="42"/>
      <c r="E288" s="42"/>
      <c r="F288" s="51" t="n">
        <f aca="false">IF(OR(C288="",D288="",E288="",E288=0),0,C288*D288/E288)</f>
        <v>0</v>
      </c>
      <c r="G288" s="42"/>
      <c r="H288" s="49" t="n">
        <f aca="true">IF(OR($A288="",_xlfn.MINIFS($B$3:$B$5000,$A$3:$A$5000,$A288,$B$3:$B$5000,"&gt;"&amp;$B288)=0),NOW(),_xlfn.MINIFS($B$3:$B$5000,$A$3:$A$5000,$A288,$B$3:$B$5000,"&gt;"&amp;$B288))</f>
        <v>46279.5987642884</v>
      </c>
    </row>
    <row r="289" customFormat="false" ht="15" hidden="false" customHeight="true" outlineLevel="0" collapsed="false">
      <c r="A289" s="42"/>
      <c r="B289" s="42"/>
      <c r="C289" s="42"/>
      <c r="D289" s="42"/>
      <c r="E289" s="42"/>
      <c r="F289" s="51" t="n">
        <f aca="false">IF(OR(C289="",D289="",E289="",E289=0),0,C289*D289/E289)</f>
        <v>0</v>
      </c>
      <c r="G289" s="42"/>
      <c r="H289" s="49" t="n">
        <f aca="true">IF(OR($A289="",_xlfn.MINIFS($B$3:$B$5000,$A$3:$A$5000,$A289,$B$3:$B$5000,"&gt;"&amp;$B289)=0),NOW(),_xlfn.MINIFS($B$3:$B$5000,$A$3:$A$5000,$A289,$B$3:$B$5000,"&gt;"&amp;$B289))</f>
        <v>46279.5987642884</v>
      </c>
    </row>
    <row r="290" customFormat="false" ht="15" hidden="false" customHeight="true" outlineLevel="0" collapsed="false">
      <c r="A290" s="42"/>
      <c r="B290" s="42"/>
      <c r="C290" s="42"/>
      <c r="D290" s="42"/>
      <c r="E290" s="42"/>
      <c r="F290" s="51" t="n">
        <f aca="false">IF(OR(C290="",D290="",E290="",E290=0),0,C290*D290/E290)</f>
        <v>0</v>
      </c>
      <c r="G290" s="42"/>
      <c r="H290" s="49" t="n">
        <f aca="true">IF(OR($A290="",_xlfn.MINIFS($B$3:$B$5000,$A$3:$A$5000,$A290,$B$3:$B$5000,"&gt;"&amp;$B290)=0),NOW(),_xlfn.MINIFS($B$3:$B$5000,$A$3:$A$5000,$A290,$B$3:$B$5000,"&gt;"&amp;$B290))</f>
        <v>46279.5987642885</v>
      </c>
    </row>
    <row r="291" customFormat="false" ht="15" hidden="false" customHeight="true" outlineLevel="0" collapsed="false">
      <c r="A291" s="42"/>
      <c r="B291" s="42"/>
      <c r="C291" s="42"/>
      <c r="D291" s="42"/>
      <c r="E291" s="42"/>
      <c r="F291" s="51" t="n">
        <f aca="false">IF(OR(C291="",D291="",E291="",E291=0),0,C291*D291/E291)</f>
        <v>0</v>
      </c>
      <c r="G291" s="42"/>
      <c r="H291" s="49" t="n">
        <f aca="true">IF(OR($A291="",_xlfn.MINIFS($B$3:$B$5000,$A$3:$A$5000,$A291,$B$3:$B$5000,"&gt;"&amp;$B291)=0),NOW(),_xlfn.MINIFS($B$3:$B$5000,$A$3:$A$5000,$A291,$B$3:$B$5000,"&gt;"&amp;$B291))</f>
        <v>46279.5987642885</v>
      </c>
    </row>
    <row r="292" customFormat="false" ht="15" hidden="false" customHeight="true" outlineLevel="0" collapsed="false">
      <c r="A292" s="42"/>
      <c r="B292" s="42"/>
      <c r="C292" s="42"/>
      <c r="D292" s="42"/>
      <c r="E292" s="42"/>
      <c r="F292" s="51" t="n">
        <f aca="false">IF(OR(C292="",D292="",E292="",E292=0),0,C292*D292/E292)</f>
        <v>0</v>
      </c>
      <c r="G292" s="42"/>
      <c r="H292" s="49" t="n">
        <f aca="true">IF(OR($A292="",_xlfn.MINIFS($B$3:$B$5000,$A$3:$A$5000,$A292,$B$3:$B$5000,"&gt;"&amp;$B292)=0),NOW(),_xlfn.MINIFS($B$3:$B$5000,$A$3:$A$5000,$A292,$B$3:$B$5000,"&gt;"&amp;$B292))</f>
        <v>46279.5987642886</v>
      </c>
    </row>
    <row r="293" customFormat="false" ht="15" hidden="false" customHeight="true" outlineLevel="0" collapsed="false">
      <c r="A293" s="42"/>
      <c r="B293" s="42"/>
      <c r="C293" s="42"/>
      <c r="D293" s="42"/>
      <c r="E293" s="42"/>
      <c r="F293" s="51" t="n">
        <f aca="false">IF(OR(C293="",D293="",E293="",E293=0),0,C293*D293/E293)</f>
        <v>0</v>
      </c>
      <c r="G293" s="42"/>
      <c r="H293" s="49" t="n">
        <f aca="true">IF(OR($A293="",_xlfn.MINIFS($B$3:$B$5000,$A$3:$A$5000,$A293,$B$3:$B$5000,"&gt;"&amp;$B293)=0),NOW(),_xlfn.MINIFS($B$3:$B$5000,$A$3:$A$5000,$A293,$B$3:$B$5000,"&gt;"&amp;$B293))</f>
        <v>46279.5987642886</v>
      </c>
    </row>
    <row r="294" customFormat="false" ht="15" hidden="false" customHeight="true" outlineLevel="0" collapsed="false">
      <c r="A294" s="42"/>
      <c r="B294" s="42"/>
      <c r="C294" s="42"/>
      <c r="D294" s="42"/>
      <c r="E294" s="42"/>
      <c r="F294" s="51" t="n">
        <f aca="false">IF(OR(C294="",D294="",E294="",E294=0),0,C294*D294/E294)</f>
        <v>0</v>
      </c>
      <c r="G294" s="42"/>
      <c r="H294" s="49" t="n">
        <f aca="true">IF(OR($A294="",_xlfn.MINIFS($B$3:$B$5000,$A$3:$A$5000,$A294,$B$3:$B$5000,"&gt;"&amp;$B294)=0),NOW(),_xlfn.MINIFS($B$3:$B$5000,$A$3:$A$5000,$A294,$B$3:$B$5000,"&gt;"&amp;$B294))</f>
        <v>46279.5987642887</v>
      </c>
    </row>
    <row r="295" customFormat="false" ht="15" hidden="false" customHeight="true" outlineLevel="0" collapsed="false">
      <c r="A295" s="42"/>
      <c r="B295" s="42"/>
      <c r="C295" s="42"/>
      <c r="D295" s="42"/>
      <c r="E295" s="42"/>
      <c r="F295" s="51" t="n">
        <f aca="false">IF(OR(C295="",D295="",E295="",E295=0),0,C295*D295/E295)</f>
        <v>0</v>
      </c>
      <c r="G295" s="42"/>
      <c r="H295" s="49" t="n">
        <f aca="true">IF(OR($A295="",_xlfn.MINIFS($B$3:$B$5000,$A$3:$A$5000,$A295,$B$3:$B$5000,"&gt;"&amp;$B295)=0),NOW(),_xlfn.MINIFS($B$3:$B$5000,$A$3:$A$5000,$A295,$B$3:$B$5000,"&gt;"&amp;$B295))</f>
        <v>46279.5987642887</v>
      </c>
    </row>
    <row r="296" customFormat="false" ht="15" hidden="false" customHeight="true" outlineLevel="0" collapsed="false">
      <c r="A296" s="42"/>
      <c r="B296" s="42"/>
      <c r="C296" s="42"/>
      <c r="D296" s="42"/>
      <c r="E296" s="42"/>
      <c r="F296" s="51" t="n">
        <f aca="false">IF(OR(C296="",D296="",E296="",E296=0),0,C296*D296/E296)</f>
        <v>0</v>
      </c>
      <c r="G296" s="42"/>
      <c r="H296" s="49" t="n">
        <f aca="true">IF(OR($A296="",_xlfn.MINIFS($B$3:$B$5000,$A$3:$A$5000,$A296,$B$3:$B$5000,"&gt;"&amp;$B296)=0),NOW(),_xlfn.MINIFS($B$3:$B$5000,$A$3:$A$5000,$A296,$B$3:$B$5000,"&gt;"&amp;$B296))</f>
        <v>46279.5987642888</v>
      </c>
    </row>
    <row r="297" customFormat="false" ht="15" hidden="false" customHeight="true" outlineLevel="0" collapsed="false">
      <c r="A297" s="42"/>
      <c r="B297" s="42"/>
      <c r="C297" s="42"/>
      <c r="D297" s="42"/>
      <c r="E297" s="42"/>
      <c r="F297" s="51" t="n">
        <f aca="false">IF(OR(C297="",D297="",E297="",E297=0),0,C297*D297/E297)</f>
        <v>0</v>
      </c>
      <c r="G297" s="42"/>
      <c r="H297" s="49" t="n">
        <f aca="true">IF(OR($A297="",_xlfn.MINIFS($B$3:$B$5000,$A$3:$A$5000,$A297,$B$3:$B$5000,"&gt;"&amp;$B297)=0),NOW(),_xlfn.MINIFS($B$3:$B$5000,$A$3:$A$5000,$A297,$B$3:$B$5000,"&gt;"&amp;$B297))</f>
        <v>46279.5987642888</v>
      </c>
    </row>
    <row r="298" customFormat="false" ht="15" hidden="false" customHeight="true" outlineLevel="0" collapsed="false">
      <c r="A298" s="42"/>
      <c r="B298" s="42"/>
      <c r="C298" s="42"/>
      <c r="D298" s="42"/>
      <c r="E298" s="42"/>
      <c r="F298" s="51" t="n">
        <f aca="false">IF(OR(C298="",D298="",E298="",E298=0),0,C298*D298/E298)</f>
        <v>0</v>
      </c>
      <c r="G298" s="42"/>
      <c r="H298" s="49" t="n">
        <f aca="true">IF(OR($A298="",_xlfn.MINIFS($B$3:$B$5000,$A$3:$A$5000,$A298,$B$3:$B$5000,"&gt;"&amp;$B298)=0),NOW(),_xlfn.MINIFS($B$3:$B$5000,$A$3:$A$5000,$A298,$B$3:$B$5000,"&gt;"&amp;$B298))</f>
        <v>46279.5987642889</v>
      </c>
    </row>
    <row r="299" customFormat="false" ht="15" hidden="false" customHeight="true" outlineLevel="0" collapsed="false">
      <c r="A299" s="42"/>
      <c r="B299" s="42"/>
      <c r="C299" s="42"/>
      <c r="D299" s="42"/>
      <c r="E299" s="42"/>
      <c r="F299" s="51" t="n">
        <f aca="false">IF(OR(C299="",D299="",E299="",E299=0),0,C299*D299/E299)</f>
        <v>0</v>
      </c>
      <c r="G299" s="42"/>
      <c r="H299" s="49" t="n">
        <f aca="true">IF(OR($A299="",_xlfn.MINIFS($B$3:$B$5000,$A$3:$A$5000,$A299,$B$3:$B$5000,"&gt;"&amp;$B299)=0),NOW(),_xlfn.MINIFS($B$3:$B$5000,$A$3:$A$5000,$A299,$B$3:$B$5000,"&gt;"&amp;$B299))</f>
        <v>46279.5987642889</v>
      </c>
    </row>
    <row r="300" customFormat="false" ht="15" hidden="false" customHeight="true" outlineLevel="0" collapsed="false">
      <c r="A300" s="42"/>
      <c r="B300" s="42"/>
      <c r="C300" s="42"/>
      <c r="D300" s="42"/>
      <c r="E300" s="42"/>
      <c r="F300" s="51" t="n">
        <f aca="false">IF(OR(C300="",D300="",E300="",E300=0),0,C300*D300/E300)</f>
        <v>0</v>
      </c>
      <c r="G300" s="42"/>
      <c r="H300" s="49" t="n">
        <f aca="true">IF(OR($A300="",_xlfn.MINIFS($B$3:$B$5000,$A$3:$A$5000,$A300,$B$3:$B$5000,"&gt;"&amp;$B300)=0),NOW(),_xlfn.MINIFS($B$3:$B$5000,$A$3:$A$5000,$A300,$B$3:$B$5000,"&gt;"&amp;$B300))</f>
        <v>46279.598764289</v>
      </c>
    </row>
    <row r="301" customFormat="false" ht="15" hidden="false" customHeight="true" outlineLevel="0" collapsed="false">
      <c r="A301" s="42"/>
      <c r="B301" s="42"/>
      <c r="C301" s="42"/>
      <c r="D301" s="42"/>
      <c r="E301" s="42"/>
      <c r="F301" s="51" t="n">
        <f aca="false">IF(OR(C301="",D301="",E301="",E301=0),0,C301*D301/E301)</f>
        <v>0</v>
      </c>
      <c r="G301" s="42"/>
      <c r="H301" s="49" t="n">
        <f aca="true">IF(OR($A301="",_xlfn.MINIFS($B$3:$B$5000,$A$3:$A$5000,$A301,$B$3:$B$5000,"&gt;"&amp;$B301)=0),NOW(),_xlfn.MINIFS($B$3:$B$5000,$A$3:$A$5000,$A301,$B$3:$B$5000,"&gt;"&amp;$B301))</f>
        <v>46279.598764289</v>
      </c>
    </row>
    <row r="302" customFormat="false" ht="15" hidden="false" customHeight="true" outlineLevel="0" collapsed="false">
      <c r="A302" s="42"/>
      <c r="B302" s="42"/>
      <c r="C302" s="42"/>
      <c r="D302" s="42"/>
      <c r="E302" s="42"/>
      <c r="F302" s="51" t="n">
        <f aca="false">IF(OR(C302="",D302="",E302="",E302=0),0,C302*D302/E302)</f>
        <v>0</v>
      </c>
      <c r="G302" s="42"/>
      <c r="H302" s="49" t="n">
        <f aca="true">IF(OR($A302="",_xlfn.MINIFS($B$3:$B$5000,$A$3:$A$5000,$A302,$B$3:$B$5000,"&gt;"&amp;$B302)=0),NOW(),_xlfn.MINIFS($B$3:$B$5000,$A$3:$A$5000,$A302,$B$3:$B$5000,"&gt;"&amp;$B302))</f>
        <v>46279.5987642891</v>
      </c>
    </row>
    <row r="303" customFormat="false" ht="15" hidden="false" customHeight="true" outlineLevel="0" collapsed="false">
      <c r="A303" s="42"/>
      <c r="B303" s="42"/>
      <c r="C303" s="42"/>
      <c r="D303" s="42"/>
      <c r="E303" s="42"/>
      <c r="F303" s="51" t="n">
        <f aca="false">IF(OR(C303="",D303="",E303="",E303=0),0,C303*D303/E303)</f>
        <v>0</v>
      </c>
      <c r="G303" s="42"/>
      <c r="H303" s="49" t="n">
        <f aca="true">IF(OR($A303="",_xlfn.MINIFS($B$3:$B$5000,$A$3:$A$5000,$A303,$B$3:$B$5000,"&gt;"&amp;$B303)=0),NOW(),_xlfn.MINIFS($B$3:$B$5000,$A$3:$A$5000,$A303,$B$3:$B$5000,"&gt;"&amp;$B303))</f>
        <v>46279.5987642891</v>
      </c>
    </row>
    <row r="304" customFormat="false" ht="15" hidden="false" customHeight="true" outlineLevel="0" collapsed="false">
      <c r="A304" s="42"/>
      <c r="B304" s="42"/>
      <c r="C304" s="42"/>
      <c r="D304" s="42"/>
      <c r="E304" s="42"/>
      <c r="F304" s="51" t="n">
        <f aca="false">IF(OR(C304="",D304="",E304="",E304=0),0,C304*D304/E304)</f>
        <v>0</v>
      </c>
      <c r="G304" s="42"/>
      <c r="H304" s="49" t="n">
        <f aca="true">IF(OR($A304="",_xlfn.MINIFS($B$3:$B$5000,$A$3:$A$5000,$A304,$B$3:$B$5000,"&gt;"&amp;$B304)=0),NOW(),_xlfn.MINIFS($B$3:$B$5000,$A$3:$A$5000,$A304,$B$3:$B$5000,"&gt;"&amp;$B304))</f>
        <v>46279.5987642892</v>
      </c>
    </row>
    <row r="305" customFormat="false" ht="15" hidden="false" customHeight="true" outlineLevel="0" collapsed="false">
      <c r="A305" s="42"/>
      <c r="B305" s="42"/>
      <c r="C305" s="42"/>
      <c r="D305" s="42"/>
      <c r="E305" s="42"/>
      <c r="F305" s="51" t="n">
        <f aca="false">IF(OR(C305="",D305="",E305="",E305=0),0,C305*D305/E305)</f>
        <v>0</v>
      </c>
      <c r="G305" s="42"/>
      <c r="H305" s="49" t="n">
        <f aca="true">IF(OR($A305="",_xlfn.MINIFS($B$3:$B$5000,$A$3:$A$5000,$A305,$B$3:$B$5000,"&gt;"&amp;$B305)=0),NOW(),_xlfn.MINIFS($B$3:$B$5000,$A$3:$A$5000,$A305,$B$3:$B$5000,"&gt;"&amp;$B305))</f>
        <v>46279.5987642892</v>
      </c>
    </row>
    <row r="306" customFormat="false" ht="15" hidden="false" customHeight="true" outlineLevel="0" collapsed="false">
      <c r="A306" s="42"/>
      <c r="B306" s="42"/>
      <c r="C306" s="42"/>
      <c r="D306" s="42"/>
      <c r="E306" s="42"/>
      <c r="F306" s="51" t="n">
        <f aca="false">IF(OR(C306="",D306="",E306="",E306=0),0,C306*D306/E306)</f>
        <v>0</v>
      </c>
      <c r="G306" s="42"/>
      <c r="H306" s="49" t="n">
        <f aca="true">IF(OR($A306="",_xlfn.MINIFS($B$3:$B$5000,$A$3:$A$5000,$A306,$B$3:$B$5000,"&gt;"&amp;$B306)=0),NOW(),_xlfn.MINIFS($B$3:$B$5000,$A$3:$A$5000,$A306,$B$3:$B$5000,"&gt;"&amp;$B306))</f>
        <v>46279.5987642893</v>
      </c>
    </row>
    <row r="307" customFormat="false" ht="15" hidden="false" customHeight="true" outlineLevel="0" collapsed="false">
      <c r="A307" s="42"/>
      <c r="B307" s="42"/>
      <c r="C307" s="42"/>
      <c r="D307" s="42"/>
      <c r="E307" s="42"/>
      <c r="F307" s="51" t="n">
        <f aca="false">IF(OR(C307="",D307="",E307="",E307=0),0,C307*D307/E307)</f>
        <v>0</v>
      </c>
      <c r="G307" s="42"/>
      <c r="H307" s="49" t="n">
        <f aca="true">IF(OR($A307="",_xlfn.MINIFS($B$3:$B$5000,$A$3:$A$5000,$A307,$B$3:$B$5000,"&gt;"&amp;$B307)=0),NOW(),_xlfn.MINIFS($B$3:$B$5000,$A$3:$A$5000,$A307,$B$3:$B$5000,"&gt;"&amp;$B307))</f>
        <v>46279.5987642893</v>
      </c>
    </row>
    <row r="308" customFormat="false" ht="15" hidden="false" customHeight="true" outlineLevel="0" collapsed="false">
      <c r="A308" s="42"/>
      <c r="B308" s="42"/>
      <c r="C308" s="42"/>
      <c r="D308" s="42"/>
      <c r="E308" s="42"/>
      <c r="F308" s="51" t="n">
        <f aca="false">IF(OR(C308="",D308="",E308="",E308=0),0,C308*D308/E308)</f>
        <v>0</v>
      </c>
      <c r="G308" s="42"/>
      <c r="H308" s="49" t="n">
        <f aca="true">IF(OR($A308="",_xlfn.MINIFS($B$3:$B$5000,$A$3:$A$5000,$A308,$B$3:$B$5000,"&gt;"&amp;$B308)=0),NOW(),_xlfn.MINIFS($B$3:$B$5000,$A$3:$A$5000,$A308,$B$3:$B$5000,"&gt;"&amp;$B308))</f>
        <v>46279.5987642894</v>
      </c>
    </row>
    <row r="309" customFormat="false" ht="15" hidden="false" customHeight="true" outlineLevel="0" collapsed="false">
      <c r="A309" s="42"/>
      <c r="B309" s="42"/>
      <c r="C309" s="42"/>
      <c r="D309" s="42"/>
      <c r="E309" s="42"/>
      <c r="F309" s="51" t="n">
        <f aca="false">IF(OR(C309="",D309="",E309="",E309=0),0,C309*D309/E309)</f>
        <v>0</v>
      </c>
      <c r="G309" s="42"/>
      <c r="H309" s="49" t="n">
        <f aca="true">IF(OR($A309="",_xlfn.MINIFS($B$3:$B$5000,$A$3:$A$5000,$A309,$B$3:$B$5000,"&gt;"&amp;$B309)=0),NOW(),_xlfn.MINIFS($B$3:$B$5000,$A$3:$A$5000,$A309,$B$3:$B$5000,"&gt;"&amp;$B309))</f>
        <v>46279.5987642894</v>
      </c>
    </row>
    <row r="310" customFormat="false" ht="15" hidden="false" customHeight="true" outlineLevel="0" collapsed="false">
      <c r="A310" s="42"/>
      <c r="B310" s="42"/>
      <c r="C310" s="42"/>
      <c r="D310" s="42"/>
      <c r="E310" s="42"/>
      <c r="F310" s="51" t="n">
        <f aca="false">IF(OR(C310="",D310="",E310="",E310=0),0,C310*D310/E310)</f>
        <v>0</v>
      </c>
      <c r="G310" s="42"/>
      <c r="H310" s="49" t="n">
        <f aca="true">IF(OR($A310="",_xlfn.MINIFS($B$3:$B$5000,$A$3:$A$5000,$A310,$B$3:$B$5000,"&gt;"&amp;$B310)=0),NOW(),_xlfn.MINIFS($B$3:$B$5000,$A$3:$A$5000,$A310,$B$3:$B$5000,"&gt;"&amp;$B310))</f>
        <v>46279.5987642895</v>
      </c>
    </row>
    <row r="311" customFormat="false" ht="15" hidden="false" customHeight="true" outlineLevel="0" collapsed="false">
      <c r="A311" s="42"/>
      <c r="B311" s="42"/>
      <c r="C311" s="42"/>
      <c r="D311" s="42"/>
      <c r="E311" s="42"/>
      <c r="F311" s="51" t="n">
        <f aca="false">IF(OR(C311="",D311="",E311="",E311=0),0,C311*D311/E311)</f>
        <v>0</v>
      </c>
      <c r="G311" s="42"/>
      <c r="H311" s="49" t="n">
        <f aca="true">IF(OR($A311="",_xlfn.MINIFS($B$3:$B$5000,$A$3:$A$5000,$A311,$B$3:$B$5000,"&gt;"&amp;$B311)=0),NOW(),_xlfn.MINIFS($B$3:$B$5000,$A$3:$A$5000,$A311,$B$3:$B$5000,"&gt;"&amp;$B311))</f>
        <v>46279.5987642895</v>
      </c>
    </row>
    <row r="312" customFormat="false" ht="15" hidden="false" customHeight="true" outlineLevel="0" collapsed="false">
      <c r="A312" s="42"/>
      <c r="B312" s="42"/>
      <c r="C312" s="42"/>
      <c r="D312" s="42"/>
      <c r="E312" s="42"/>
      <c r="F312" s="51" t="n">
        <f aca="false">IF(OR(C312="",D312="",E312="",E312=0),0,C312*D312/E312)</f>
        <v>0</v>
      </c>
      <c r="G312" s="42"/>
      <c r="H312" s="49" t="n">
        <f aca="true">IF(OR($A312="",_xlfn.MINIFS($B$3:$B$5000,$A$3:$A$5000,$A312,$B$3:$B$5000,"&gt;"&amp;$B312)=0),NOW(),_xlfn.MINIFS($B$3:$B$5000,$A$3:$A$5000,$A312,$B$3:$B$5000,"&gt;"&amp;$B312))</f>
        <v>46279.5987642896</v>
      </c>
    </row>
    <row r="313" customFormat="false" ht="15" hidden="false" customHeight="true" outlineLevel="0" collapsed="false">
      <c r="A313" s="42"/>
      <c r="B313" s="42"/>
      <c r="C313" s="42"/>
      <c r="D313" s="42"/>
      <c r="E313" s="42"/>
      <c r="F313" s="51" t="n">
        <f aca="false">IF(OR(C313="",D313="",E313="",E313=0),0,C313*D313/E313)</f>
        <v>0</v>
      </c>
      <c r="G313" s="42"/>
      <c r="H313" s="49" t="n">
        <f aca="true">IF(OR($A313="",_xlfn.MINIFS($B$3:$B$5000,$A$3:$A$5000,$A313,$B$3:$B$5000,"&gt;"&amp;$B313)=0),NOW(),_xlfn.MINIFS($B$3:$B$5000,$A$3:$A$5000,$A313,$B$3:$B$5000,"&gt;"&amp;$B313))</f>
        <v>46279.5987642896</v>
      </c>
    </row>
    <row r="314" customFormat="false" ht="15" hidden="false" customHeight="true" outlineLevel="0" collapsed="false">
      <c r="A314" s="42"/>
      <c r="B314" s="42"/>
      <c r="C314" s="42"/>
      <c r="D314" s="42"/>
      <c r="E314" s="42"/>
      <c r="F314" s="51" t="n">
        <f aca="false">IF(OR(C314="",D314="",E314="",E314=0),0,C314*D314/E314)</f>
        <v>0</v>
      </c>
      <c r="G314" s="42"/>
      <c r="H314" s="49" t="n">
        <f aca="true">IF(OR($A314="",_xlfn.MINIFS($B$3:$B$5000,$A$3:$A$5000,$A314,$B$3:$B$5000,"&gt;"&amp;$B314)=0),NOW(),_xlfn.MINIFS($B$3:$B$5000,$A$3:$A$5000,$A314,$B$3:$B$5000,"&gt;"&amp;$B314))</f>
        <v>46279.5987642897</v>
      </c>
    </row>
    <row r="315" customFormat="false" ht="15" hidden="false" customHeight="true" outlineLevel="0" collapsed="false">
      <c r="A315" s="42"/>
      <c r="B315" s="42"/>
      <c r="C315" s="42"/>
      <c r="D315" s="42"/>
      <c r="E315" s="42"/>
      <c r="F315" s="51" t="n">
        <f aca="false">IF(OR(C315="",D315="",E315="",E315=0),0,C315*D315/E315)</f>
        <v>0</v>
      </c>
      <c r="G315" s="42"/>
      <c r="H315" s="49" t="n">
        <f aca="true">IF(OR($A315="",_xlfn.MINIFS($B$3:$B$5000,$A$3:$A$5000,$A315,$B$3:$B$5000,"&gt;"&amp;$B315)=0),NOW(),_xlfn.MINIFS($B$3:$B$5000,$A$3:$A$5000,$A315,$B$3:$B$5000,"&gt;"&amp;$B315))</f>
        <v>46279.5987642897</v>
      </c>
    </row>
    <row r="316" customFormat="false" ht="15" hidden="false" customHeight="true" outlineLevel="0" collapsed="false">
      <c r="A316" s="42"/>
      <c r="B316" s="42"/>
      <c r="C316" s="42"/>
      <c r="D316" s="42"/>
      <c r="E316" s="42"/>
      <c r="F316" s="51" t="n">
        <f aca="false">IF(OR(C316="",D316="",E316="",E316=0),0,C316*D316/E316)</f>
        <v>0</v>
      </c>
      <c r="G316" s="42"/>
      <c r="H316" s="49" t="n">
        <f aca="true">IF(OR($A316="",_xlfn.MINIFS($B$3:$B$5000,$A$3:$A$5000,$A316,$B$3:$B$5000,"&gt;"&amp;$B316)=0),NOW(),_xlfn.MINIFS($B$3:$B$5000,$A$3:$A$5000,$A316,$B$3:$B$5000,"&gt;"&amp;$B316))</f>
        <v>46279.5987642898</v>
      </c>
    </row>
    <row r="317" customFormat="false" ht="15" hidden="false" customHeight="true" outlineLevel="0" collapsed="false">
      <c r="A317" s="42"/>
      <c r="B317" s="42"/>
      <c r="C317" s="42"/>
      <c r="D317" s="42"/>
      <c r="E317" s="42"/>
      <c r="F317" s="51" t="n">
        <f aca="false">IF(OR(C317="",D317="",E317="",E317=0),0,C317*D317/E317)</f>
        <v>0</v>
      </c>
      <c r="G317" s="42"/>
      <c r="H317" s="49" t="n">
        <f aca="true">IF(OR($A317="",_xlfn.MINIFS($B$3:$B$5000,$A$3:$A$5000,$A317,$B$3:$B$5000,"&gt;"&amp;$B317)=0),NOW(),_xlfn.MINIFS($B$3:$B$5000,$A$3:$A$5000,$A317,$B$3:$B$5000,"&gt;"&amp;$B317))</f>
        <v>46279.5987642898</v>
      </c>
    </row>
    <row r="318" customFormat="false" ht="15" hidden="false" customHeight="true" outlineLevel="0" collapsed="false">
      <c r="A318" s="42"/>
      <c r="B318" s="42"/>
      <c r="C318" s="42"/>
      <c r="D318" s="42"/>
      <c r="E318" s="42"/>
      <c r="F318" s="51" t="n">
        <f aca="false">IF(OR(C318="",D318="",E318="",E318=0),0,C318*D318/E318)</f>
        <v>0</v>
      </c>
      <c r="G318" s="42"/>
      <c r="H318" s="49" t="n">
        <f aca="true">IF(OR($A318="",_xlfn.MINIFS($B$3:$B$5000,$A$3:$A$5000,$A318,$B$3:$B$5000,"&gt;"&amp;$B318)=0),NOW(),_xlfn.MINIFS($B$3:$B$5000,$A$3:$A$5000,$A318,$B$3:$B$5000,"&gt;"&amp;$B318))</f>
        <v>46279.5987642899</v>
      </c>
    </row>
    <row r="319" customFormat="false" ht="15" hidden="false" customHeight="true" outlineLevel="0" collapsed="false">
      <c r="A319" s="42"/>
      <c r="B319" s="42"/>
      <c r="C319" s="42"/>
      <c r="D319" s="42"/>
      <c r="E319" s="42"/>
      <c r="F319" s="51" t="n">
        <f aca="false">IF(OR(C319="",D319="",E319="",E319=0),0,C319*D319/E319)</f>
        <v>0</v>
      </c>
      <c r="G319" s="42"/>
      <c r="H319" s="49" t="n">
        <f aca="true">IF(OR($A319="",_xlfn.MINIFS($B$3:$B$5000,$A$3:$A$5000,$A319,$B$3:$B$5000,"&gt;"&amp;$B319)=0),NOW(),_xlfn.MINIFS($B$3:$B$5000,$A$3:$A$5000,$A319,$B$3:$B$5000,"&gt;"&amp;$B319))</f>
        <v>46279.5987642899</v>
      </c>
    </row>
    <row r="320" customFormat="false" ht="15" hidden="false" customHeight="true" outlineLevel="0" collapsed="false">
      <c r="A320" s="42"/>
      <c r="B320" s="42"/>
      <c r="C320" s="42"/>
      <c r="D320" s="42"/>
      <c r="E320" s="42"/>
      <c r="F320" s="51" t="n">
        <f aca="false">IF(OR(C320="",D320="",E320="",E320=0),0,C320*D320/E320)</f>
        <v>0</v>
      </c>
      <c r="G320" s="42"/>
      <c r="H320" s="49" t="n">
        <f aca="true">IF(OR($A320="",_xlfn.MINIFS($B$3:$B$5000,$A$3:$A$5000,$A320,$B$3:$B$5000,"&gt;"&amp;$B320)=0),NOW(),_xlfn.MINIFS($B$3:$B$5000,$A$3:$A$5000,$A320,$B$3:$B$5000,"&gt;"&amp;$B320))</f>
        <v>46279.59876429</v>
      </c>
    </row>
    <row r="321" customFormat="false" ht="15" hidden="false" customHeight="true" outlineLevel="0" collapsed="false">
      <c r="A321" s="42"/>
      <c r="B321" s="42"/>
      <c r="C321" s="42"/>
      <c r="D321" s="42"/>
      <c r="E321" s="42"/>
      <c r="F321" s="51" t="n">
        <f aca="false">IF(OR(C321="",D321="",E321="",E321=0),0,C321*D321/E321)</f>
        <v>0</v>
      </c>
      <c r="G321" s="42"/>
      <c r="H321" s="49" t="n">
        <f aca="true">IF(OR($A321="",_xlfn.MINIFS($B$3:$B$5000,$A$3:$A$5000,$A321,$B$3:$B$5000,"&gt;"&amp;$B321)=0),NOW(),_xlfn.MINIFS($B$3:$B$5000,$A$3:$A$5000,$A321,$B$3:$B$5000,"&gt;"&amp;$B321))</f>
        <v>46279.59876429</v>
      </c>
    </row>
    <row r="322" customFormat="false" ht="15" hidden="false" customHeight="true" outlineLevel="0" collapsed="false">
      <c r="A322" s="42"/>
      <c r="B322" s="42"/>
      <c r="C322" s="42"/>
      <c r="D322" s="42"/>
      <c r="E322" s="42"/>
      <c r="F322" s="51" t="n">
        <f aca="false">IF(OR(C322="",D322="",E322="",E322=0),0,C322*D322/E322)</f>
        <v>0</v>
      </c>
      <c r="G322" s="42"/>
      <c r="H322" s="49" t="n">
        <f aca="true">IF(OR($A322="",_xlfn.MINIFS($B$3:$B$5000,$A$3:$A$5000,$A322,$B$3:$B$5000,"&gt;"&amp;$B322)=0),NOW(),_xlfn.MINIFS($B$3:$B$5000,$A$3:$A$5000,$A322,$B$3:$B$5000,"&gt;"&amp;$B322))</f>
        <v>46279.5987642901</v>
      </c>
    </row>
    <row r="323" customFormat="false" ht="15" hidden="false" customHeight="true" outlineLevel="0" collapsed="false">
      <c r="A323" s="42"/>
      <c r="B323" s="42"/>
      <c r="C323" s="42"/>
      <c r="D323" s="42"/>
      <c r="E323" s="42"/>
      <c r="F323" s="51" t="n">
        <f aca="false">IF(OR(C323="",D323="",E323="",E323=0),0,C323*D323/E323)</f>
        <v>0</v>
      </c>
      <c r="G323" s="42"/>
      <c r="H323" s="49" t="n">
        <f aca="true">IF(OR($A323="",_xlfn.MINIFS($B$3:$B$5000,$A$3:$A$5000,$A323,$B$3:$B$5000,"&gt;"&amp;$B323)=0),NOW(),_xlfn.MINIFS($B$3:$B$5000,$A$3:$A$5000,$A323,$B$3:$B$5000,"&gt;"&amp;$B323))</f>
        <v>46279.5987642901</v>
      </c>
    </row>
    <row r="324" customFormat="false" ht="15" hidden="false" customHeight="true" outlineLevel="0" collapsed="false">
      <c r="A324" s="42"/>
      <c r="B324" s="42"/>
      <c r="C324" s="42"/>
      <c r="D324" s="42"/>
      <c r="E324" s="42"/>
      <c r="F324" s="51" t="n">
        <f aca="false">IF(OR(C324="",D324="",E324="",E324=0),0,C324*D324/E324)</f>
        <v>0</v>
      </c>
      <c r="G324" s="42"/>
      <c r="H324" s="49" t="n">
        <f aca="true">IF(OR($A324="",_xlfn.MINIFS($B$3:$B$5000,$A$3:$A$5000,$A324,$B$3:$B$5000,"&gt;"&amp;$B324)=0),NOW(),_xlfn.MINIFS($B$3:$B$5000,$A$3:$A$5000,$A324,$B$3:$B$5000,"&gt;"&amp;$B324))</f>
        <v>46279.5987642902</v>
      </c>
    </row>
    <row r="325" customFormat="false" ht="15" hidden="false" customHeight="true" outlineLevel="0" collapsed="false">
      <c r="A325" s="42"/>
      <c r="B325" s="42"/>
      <c r="C325" s="42"/>
      <c r="D325" s="42"/>
      <c r="E325" s="42"/>
      <c r="F325" s="51" t="n">
        <f aca="false">IF(OR(C325="",D325="",E325="",E325=0),0,C325*D325/E325)</f>
        <v>0</v>
      </c>
      <c r="G325" s="42"/>
      <c r="H325" s="49" t="n">
        <f aca="true">IF(OR($A325="",_xlfn.MINIFS($B$3:$B$5000,$A$3:$A$5000,$A325,$B$3:$B$5000,"&gt;"&amp;$B325)=0),NOW(),_xlfn.MINIFS($B$3:$B$5000,$A$3:$A$5000,$A325,$B$3:$B$5000,"&gt;"&amp;$B325))</f>
        <v>46279.5987642903</v>
      </c>
    </row>
    <row r="326" customFormat="false" ht="15" hidden="false" customHeight="true" outlineLevel="0" collapsed="false">
      <c r="A326" s="42"/>
      <c r="B326" s="42"/>
      <c r="C326" s="42"/>
      <c r="D326" s="42"/>
      <c r="E326" s="42"/>
      <c r="F326" s="51" t="n">
        <f aca="false">IF(OR(C326="",D326="",E326="",E326=0),0,C326*D326/E326)</f>
        <v>0</v>
      </c>
      <c r="G326" s="42"/>
      <c r="H326" s="49" t="n">
        <f aca="true">IF(OR($A326="",_xlfn.MINIFS($B$3:$B$5000,$A$3:$A$5000,$A326,$B$3:$B$5000,"&gt;"&amp;$B326)=0),NOW(),_xlfn.MINIFS($B$3:$B$5000,$A$3:$A$5000,$A326,$B$3:$B$5000,"&gt;"&amp;$B326))</f>
        <v>46279.5987642903</v>
      </c>
    </row>
    <row r="327" customFormat="false" ht="15" hidden="false" customHeight="true" outlineLevel="0" collapsed="false">
      <c r="A327" s="42"/>
      <c r="B327" s="42"/>
      <c r="C327" s="42"/>
      <c r="D327" s="42"/>
      <c r="E327" s="42"/>
      <c r="F327" s="51" t="n">
        <f aca="false">IF(OR(C327="",D327="",E327="",E327=0),0,C327*D327/E327)</f>
        <v>0</v>
      </c>
      <c r="G327" s="42"/>
      <c r="H327" s="49" t="n">
        <f aca="true">IF(OR($A327="",_xlfn.MINIFS($B$3:$B$5000,$A$3:$A$5000,$A327,$B$3:$B$5000,"&gt;"&amp;$B327)=0),NOW(),_xlfn.MINIFS($B$3:$B$5000,$A$3:$A$5000,$A327,$B$3:$B$5000,"&gt;"&amp;$B327))</f>
        <v>46279.5987642904</v>
      </c>
    </row>
    <row r="328" customFormat="false" ht="15" hidden="false" customHeight="true" outlineLevel="0" collapsed="false">
      <c r="A328" s="42"/>
      <c r="B328" s="42"/>
      <c r="C328" s="42"/>
      <c r="D328" s="42"/>
      <c r="E328" s="42"/>
      <c r="F328" s="51" t="n">
        <f aca="false">IF(OR(C328="",D328="",E328="",E328=0),0,C328*D328/E328)</f>
        <v>0</v>
      </c>
      <c r="G328" s="42"/>
      <c r="H328" s="49" t="n">
        <f aca="true">IF(OR($A328="",_xlfn.MINIFS($B$3:$B$5000,$A$3:$A$5000,$A328,$B$3:$B$5000,"&gt;"&amp;$B328)=0),NOW(),_xlfn.MINIFS($B$3:$B$5000,$A$3:$A$5000,$A328,$B$3:$B$5000,"&gt;"&amp;$B328))</f>
        <v>46279.5987642904</v>
      </c>
    </row>
    <row r="329" customFormat="false" ht="15" hidden="false" customHeight="true" outlineLevel="0" collapsed="false">
      <c r="A329" s="42"/>
      <c r="B329" s="42"/>
      <c r="C329" s="42"/>
      <c r="D329" s="42"/>
      <c r="E329" s="42"/>
      <c r="F329" s="51" t="n">
        <f aca="false">IF(OR(C329="",D329="",E329="",E329=0),0,C329*D329/E329)</f>
        <v>0</v>
      </c>
      <c r="G329" s="42"/>
      <c r="H329" s="49" t="n">
        <f aca="true">IF(OR($A329="",_xlfn.MINIFS($B$3:$B$5000,$A$3:$A$5000,$A329,$B$3:$B$5000,"&gt;"&amp;$B329)=0),NOW(),_xlfn.MINIFS($B$3:$B$5000,$A$3:$A$5000,$A329,$B$3:$B$5000,"&gt;"&amp;$B329))</f>
        <v>46279.5987642905</v>
      </c>
    </row>
    <row r="330" customFormat="false" ht="15" hidden="false" customHeight="true" outlineLevel="0" collapsed="false">
      <c r="A330" s="42"/>
      <c r="B330" s="42"/>
      <c r="C330" s="42"/>
      <c r="D330" s="42"/>
      <c r="E330" s="42"/>
      <c r="F330" s="51" t="n">
        <f aca="false">IF(OR(C330="",D330="",E330="",E330=0),0,C330*D330/E330)</f>
        <v>0</v>
      </c>
      <c r="G330" s="42"/>
      <c r="H330" s="49" t="n">
        <f aca="true">IF(OR($A330="",_xlfn.MINIFS($B$3:$B$5000,$A$3:$A$5000,$A330,$B$3:$B$5000,"&gt;"&amp;$B330)=0),NOW(),_xlfn.MINIFS($B$3:$B$5000,$A$3:$A$5000,$A330,$B$3:$B$5000,"&gt;"&amp;$B330))</f>
        <v>46279.5987642906</v>
      </c>
    </row>
    <row r="331" customFormat="false" ht="15" hidden="false" customHeight="true" outlineLevel="0" collapsed="false">
      <c r="A331" s="42"/>
      <c r="B331" s="42"/>
      <c r="C331" s="42"/>
      <c r="D331" s="42"/>
      <c r="E331" s="42"/>
      <c r="F331" s="51" t="n">
        <f aca="false">IF(OR(C331="",D331="",E331="",E331=0),0,C331*D331/E331)</f>
        <v>0</v>
      </c>
      <c r="G331" s="42"/>
      <c r="H331" s="49" t="n">
        <f aca="true">IF(OR($A331="",_xlfn.MINIFS($B$3:$B$5000,$A$3:$A$5000,$A331,$B$3:$B$5000,"&gt;"&amp;$B331)=0),NOW(),_xlfn.MINIFS($B$3:$B$5000,$A$3:$A$5000,$A331,$B$3:$B$5000,"&gt;"&amp;$B331))</f>
        <v>46279.5987642906</v>
      </c>
    </row>
    <row r="332" customFormat="false" ht="15" hidden="false" customHeight="true" outlineLevel="0" collapsed="false">
      <c r="A332" s="42"/>
      <c r="B332" s="42"/>
      <c r="C332" s="42"/>
      <c r="D332" s="42"/>
      <c r="E332" s="42"/>
      <c r="F332" s="51" t="n">
        <f aca="false">IF(OR(C332="",D332="",E332="",E332=0),0,C332*D332/E332)</f>
        <v>0</v>
      </c>
      <c r="G332" s="42"/>
      <c r="H332" s="49" t="n">
        <f aca="true">IF(OR($A332="",_xlfn.MINIFS($B$3:$B$5000,$A$3:$A$5000,$A332,$B$3:$B$5000,"&gt;"&amp;$B332)=0),NOW(),_xlfn.MINIFS($B$3:$B$5000,$A$3:$A$5000,$A332,$B$3:$B$5000,"&gt;"&amp;$B332))</f>
        <v>46279.5987642907</v>
      </c>
    </row>
    <row r="333" customFormat="false" ht="15" hidden="false" customHeight="true" outlineLevel="0" collapsed="false">
      <c r="A333" s="42"/>
      <c r="B333" s="42"/>
      <c r="C333" s="42"/>
      <c r="D333" s="42"/>
      <c r="E333" s="42"/>
      <c r="F333" s="51" t="n">
        <f aca="false">IF(OR(C333="",D333="",E333="",E333=0),0,C333*D333/E333)</f>
        <v>0</v>
      </c>
      <c r="G333" s="42"/>
      <c r="H333" s="49" t="n">
        <f aca="true">IF(OR($A333="",_xlfn.MINIFS($B$3:$B$5000,$A$3:$A$5000,$A333,$B$3:$B$5000,"&gt;"&amp;$B333)=0),NOW(),_xlfn.MINIFS($B$3:$B$5000,$A$3:$A$5000,$A333,$B$3:$B$5000,"&gt;"&amp;$B333))</f>
        <v>46279.5987642907</v>
      </c>
    </row>
    <row r="334" customFormat="false" ht="15" hidden="false" customHeight="true" outlineLevel="0" collapsed="false">
      <c r="A334" s="42"/>
      <c r="B334" s="42"/>
      <c r="C334" s="42"/>
      <c r="D334" s="42"/>
      <c r="E334" s="42"/>
      <c r="F334" s="51" t="n">
        <f aca="false">IF(OR(C334="",D334="",E334="",E334=0),0,C334*D334/E334)</f>
        <v>0</v>
      </c>
      <c r="G334" s="42"/>
      <c r="H334" s="49" t="n">
        <f aca="true">IF(OR($A334="",_xlfn.MINIFS($B$3:$B$5000,$A$3:$A$5000,$A334,$B$3:$B$5000,"&gt;"&amp;$B334)=0),NOW(),_xlfn.MINIFS($B$3:$B$5000,$A$3:$A$5000,$A334,$B$3:$B$5000,"&gt;"&amp;$B334))</f>
        <v>46279.5987642908</v>
      </c>
    </row>
    <row r="335" customFormat="false" ht="15" hidden="false" customHeight="true" outlineLevel="0" collapsed="false">
      <c r="A335" s="42"/>
      <c r="B335" s="42"/>
      <c r="C335" s="42"/>
      <c r="D335" s="42"/>
      <c r="E335" s="42"/>
      <c r="F335" s="51" t="n">
        <f aca="false">IF(OR(C335="",D335="",E335="",E335=0),0,C335*D335/E335)</f>
        <v>0</v>
      </c>
      <c r="G335" s="42"/>
      <c r="H335" s="49" t="n">
        <f aca="true">IF(OR($A335="",_xlfn.MINIFS($B$3:$B$5000,$A$3:$A$5000,$A335,$B$3:$B$5000,"&gt;"&amp;$B335)=0),NOW(),_xlfn.MINIFS($B$3:$B$5000,$A$3:$A$5000,$A335,$B$3:$B$5000,"&gt;"&amp;$B335))</f>
        <v>46279.5987642908</v>
      </c>
    </row>
    <row r="336" customFormat="false" ht="15" hidden="false" customHeight="true" outlineLevel="0" collapsed="false">
      <c r="A336" s="42"/>
      <c r="B336" s="42"/>
      <c r="C336" s="42"/>
      <c r="D336" s="42"/>
      <c r="E336" s="42"/>
      <c r="F336" s="51" t="n">
        <f aca="false">IF(OR(C336="",D336="",E336="",E336=0),0,C336*D336/E336)</f>
        <v>0</v>
      </c>
      <c r="G336" s="42"/>
      <c r="H336" s="49" t="n">
        <f aca="true">IF(OR($A336="",_xlfn.MINIFS($B$3:$B$5000,$A$3:$A$5000,$A336,$B$3:$B$5000,"&gt;"&amp;$B336)=0),NOW(),_xlfn.MINIFS($B$3:$B$5000,$A$3:$A$5000,$A336,$B$3:$B$5000,"&gt;"&amp;$B336))</f>
        <v>46279.5987642909</v>
      </c>
    </row>
    <row r="337" customFormat="false" ht="15" hidden="false" customHeight="true" outlineLevel="0" collapsed="false">
      <c r="A337" s="42"/>
      <c r="B337" s="42"/>
      <c r="C337" s="42"/>
      <c r="D337" s="42"/>
      <c r="E337" s="42"/>
      <c r="F337" s="51" t="n">
        <f aca="false">IF(OR(C337="",D337="",E337="",E337=0),0,C337*D337/E337)</f>
        <v>0</v>
      </c>
      <c r="G337" s="42"/>
      <c r="H337" s="49" t="n">
        <f aca="true">IF(OR($A337="",_xlfn.MINIFS($B$3:$B$5000,$A$3:$A$5000,$A337,$B$3:$B$5000,"&gt;"&amp;$B337)=0),NOW(),_xlfn.MINIFS($B$3:$B$5000,$A$3:$A$5000,$A337,$B$3:$B$5000,"&gt;"&amp;$B337))</f>
        <v>46279.5987642909</v>
      </c>
    </row>
    <row r="338" customFormat="false" ht="15" hidden="false" customHeight="true" outlineLevel="0" collapsed="false">
      <c r="A338" s="42"/>
      <c r="B338" s="42"/>
      <c r="C338" s="42"/>
      <c r="D338" s="42"/>
      <c r="E338" s="42"/>
      <c r="F338" s="51" t="n">
        <f aca="false">IF(OR(C338="",D338="",E338="",E338=0),0,C338*D338/E338)</f>
        <v>0</v>
      </c>
      <c r="G338" s="42"/>
      <c r="H338" s="49" t="n">
        <f aca="true">IF(OR($A338="",_xlfn.MINIFS($B$3:$B$5000,$A$3:$A$5000,$A338,$B$3:$B$5000,"&gt;"&amp;$B338)=0),NOW(),_xlfn.MINIFS($B$3:$B$5000,$A$3:$A$5000,$A338,$B$3:$B$5000,"&gt;"&amp;$B338))</f>
        <v>46279.598764291</v>
      </c>
    </row>
    <row r="339" customFormat="false" ht="15" hidden="false" customHeight="true" outlineLevel="0" collapsed="false">
      <c r="A339" s="42"/>
      <c r="B339" s="42"/>
      <c r="C339" s="42"/>
      <c r="D339" s="42"/>
      <c r="E339" s="42"/>
      <c r="F339" s="51" t="n">
        <f aca="false">IF(OR(C339="",D339="",E339="",E339=0),0,C339*D339/E339)</f>
        <v>0</v>
      </c>
      <c r="G339" s="42"/>
      <c r="H339" s="49" t="n">
        <f aca="true">IF(OR($A339="",_xlfn.MINIFS($B$3:$B$5000,$A$3:$A$5000,$A339,$B$3:$B$5000,"&gt;"&amp;$B339)=0),NOW(),_xlfn.MINIFS($B$3:$B$5000,$A$3:$A$5000,$A339,$B$3:$B$5000,"&gt;"&amp;$B339))</f>
        <v>46279.598764291</v>
      </c>
    </row>
    <row r="340" customFormat="false" ht="15" hidden="false" customHeight="true" outlineLevel="0" collapsed="false">
      <c r="A340" s="42"/>
      <c r="B340" s="42"/>
      <c r="C340" s="42"/>
      <c r="D340" s="42"/>
      <c r="E340" s="42"/>
      <c r="F340" s="51" t="n">
        <f aca="false">IF(OR(C340="",D340="",E340="",E340=0),0,C340*D340/E340)</f>
        <v>0</v>
      </c>
      <c r="G340" s="42"/>
      <c r="H340" s="49" t="n">
        <f aca="true">IF(OR($A340="",_xlfn.MINIFS($B$3:$B$5000,$A$3:$A$5000,$A340,$B$3:$B$5000,"&gt;"&amp;$B340)=0),NOW(),_xlfn.MINIFS($B$3:$B$5000,$A$3:$A$5000,$A340,$B$3:$B$5000,"&gt;"&amp;$B340))</f>
        <v>46279.5987642911</v>
      </c>
    </row>
    <row r="341" customFormat="false" ht="15" hidden="false" customHeight="true" outlineLevel="0" collapsed="false">
      <c r="A341" s="42"/>
      <c r="B341" s="42"/>
      <c r="C341" s="42"/>
      <c r="D341" s="42"/>
      <c r="E341" s="42"/>
      <c r="F341" s="51" t="n">
        <f aca="false">IF(OR(C341="",D341="",E341="",E341=0),0,C341*D341/E341)</f>
        <v>0</v>
      </c>
      <c r="G341" s="42"/>
      <c r="H341" s="49" t="n">
        <f aca="true">IF(OR($A341="",_xlfn.MINIFS($B$3:$B$5000,$A$3:$A$5000,$A341,$B$3:$B$5000,"&gt;"&amp;$B341)=0),NOW(),_xlfn.MINIFS($B$3:$B$5000,$A$3:$A$5000,$A341,$B$3:$B$5000,"&gt;"&amp;$B341))</f>
        <v>46279.5987642911</v>
      </c>
    </row>
    <row r="342" customFormat="false" ht="15" hidden="false" customHeight="true" outlineLevel="0" collapsed="false">
      <c r="A342" s="42"/>
      <c r="B342" s="42"/>
      <c r="C342" s="42"/>
      <c r="D342" s="42"/>
      <c r="E342" s="42"/>
      <c r="F342" s="51" t="n">
        <f aca="false">IF(OR(C342="",D342="",E342="",E342=0),0,C342*D342/E342)</f>
        <v>0</v>
      </c>
      <c r="G342" s="42"/>
      <c r="H342" s="49" t="n">
        <f aca="true">IF(OR($A342="",_xlfn.MINIFS($B$3:$B$5000,$A$3:$A$5000,$A342,$B$3:$B$5000,"&gt;"&amp;$B342)=0),NOW(),_xlfn.MINIFS($B$3:$B$5000,$A$3:$A$5000,$A342,$B$3:$B$5000,"&gt;"&amp;$B342))</f>
        <v>46279.5987642912</v>
      </c>
    </row>
    <row r="343" customFormat="false" ht="15" hidden="false" customHeight="true" outlineLevel="0" collapsed="false">
      <c r="A343" s="42"/>
      <c r="B343" s="42"/>
      <c r="C343" s="42"/>
      <c r="D343" s="42"/>
      <c r="E343" s="42"/>
      <c r="F343" s="51" t="n">
        <f aca="false">IF(OR(C343="",D343="",E343="",E343=0),0,C343*D343/E343)</f>
        <v>0</v>
      </c>
      <c r="G343" s="42"/>
      <c r="H343" s="49" t="n">
        <f aca="true">IF(OR($A343="",_xlfn.MINIFS($B$3:$B$5000,$A$3:$A$5000,$A343,$B$3:$B$5000,"&gt;"&amp;$B343)=0),NOW(),_xlfn.MINIFS($B$3:$B$5000,$A$3:$A$5000,$A343,$B$3:$B$5000,"&gt;"&amp;$B343))</f>
        <v>46279.5987642912</v>
      </c>
    </row>
    <row r="344" customFormat="false" ht="15" hidden="false" customHeight="true" outlineLevel="0" collapsed="false">
      <c r="A344" s="42"/>
      <c r="B344" s="42"/>
      <c r="C344" s="42"/>
      <c r="D344" s="42"/>
      <c r="E344" s="42"/>
      <c r="F344" s="51" t="n">
        <f aca="false">IF(OR(C344="",D344="",E344="",E344=0),0,C344*D344/E344)</f>
        <v>0</v>
      </c>
      <c r="G344" s="42"/>
      <c r="H344" s="49" t="n">
        <f aca="true">IF(OR($A344="",_xlfn.MINIFS($B$3:$B$5000,$A$3:$A$5000,$A344,$B$3:$B$5000,"&gt;"&amp;$B344)=0),NOW(),_xlfn.MINIFS($B$3:$B$5000,$A$3:$A$5000,$A344,$B$3:$B$5000,"&gt;"&amp;$B344))</f>
        <v>46279.5987642913</v>
      </c>
    </row>
    <row r="345" customFormat="false" ht="15" hidden="false" customHeight="true" outlineLevel="0" collapsed="false">
      <c r="A345" s="42"/>
      <c r="B345" s="42"/>
      <c r="C345" s="42"/>
      <c r="D345" s="42"/>
      <c r="E345" s="42"/>
      <c r="F345" s="51" t="n">
        <f aca="false">IF(OR(C345="",D345="",E345="",E345=0),0,C345*D345/E345)</f>
        <v>0</v>
      </c>
      <c r="G345" s="42"/>
      <c r="H345" s="49" t="n">
        <f aca="true">IF(OR($A345="",_xlfn.MINIFS($B$3:$B$5000,$A$3:$A$5000,$A345,$B$3:$B$5000,"&gt;"&amp;$B345)=0),NOW(),_xlfn.MINIFS($B$3:$B$5000,$A$3:$A$5000,$A345,$B$3:$B$5000,"&gt;"&amp;$B345))</f>
        <v>46279.5987642913</v>
      </c>
    </row>
    <row r="346" customFormat="false" ht="15" hidden="false" customHeight="true" outlineLevel="0" collapsed="false">
      <c r="A346" s="42"/>
      <c r="B346" s="42"/>
      <c r="C346" s="42"/>
      <c r="D346" s="42"/>
      <c r="E346" s="42"/>
      <c r="F346" s="51" t="n">
        <f aca="false">IF(OR(C346="",D346="",E346="",E346=0),0,C346*D346/E346)</f>
        <v>0</v>
      </c>
      <c r="G346" s="42"/>
      <c r="H346" s="49" t="n">
        <f aca="true">IF(OR($A346="",_xlfn.MINIFS($B$3:$B$5000,$A$3:$A$5000,$A346,$B$3:$B$5000,"&gt;"&amp;$B346)=0),NOW(),_xlfn.MINIFS($B$3:$B$5000,$A$3:$A$5000,$A346,$B$3:$B$5000,"&gt;"&amp;$B346))</f>
        <v>46279.5987642914</v>
      </c>
    </row>
    <row r="347" customFormat="false" ht="15" hidden="false" customHeight="true" outlineLevel="0" collapsed="false">
      <c r="A347" s="42"/>
      <c r="B347" s="42"/>
      <c r="C347" s="42"/>
      <c r="D347" s="42"/>
      <c r="E347" s="42"/>
      <c r="F347" s="51" t="n">
        <f aca="false">IF(OR(C347="",D347="",E347="",E347=0),0,C347*D347/E347)</f>
        <v>0</v>
      </c>
      <c r="G347" s="42"/>
      <c r="H347" s="49" t="n">
        <f aca="true">IF(OR($A347="",_xlfn.MINIFS($B$3:$B$5000,$A$3:$A$5000,$A347,$B$3:$B$5000,"&gt;"&amp;$B347)=0),NOW(),_xlfn.MINIFS($B$3:$B$5000,$A$3:$A$5000,$A347,$B$3:$B$5000,"&gt;"&amp;$B347))</f>
        <v>46279.5987642914</v>
      </c>
    </row>
    <row r="348" customFormat="false" ht="15" hidden="false" customHeight="true" outlineLevel="0" collapsed="false">
      <c r="A348" s="42"/>
      <c r="B348" s="42"/>
      <c r="C348" s="42"/>
      <c r="D348" s="42"/>
      <c r="E348" s="42"/>
      <c r="F348" s="51" t="n">
        <f aca="false">IF(OR(C348="",D348="",E348="",E348=0),0,C348*D348/E348)</f>
        <v>0</v>
      </c>
      <c r="G348" s="42"/>
      <c r="H348" s="49" t="n">
        <f aca="true">IF(OR($A348="",_xlfn.MINIFS($B$3:$B$5000,$A$3:$A$5000,$A348,$B$3:$B$5000,"&gt;"&amp;$B348)=0),NOW(),_xlfn.MINIFS($B$3:$B$5000,$A$3:$A$5000,$A348,$B$3:$B$5000,"&gt;"&amp;$B348))</f>
        <v>46279.5987642915</v>
      </c>
    </row>
    <row r="349" customFormat="false" ht="15" hidden="false" customHeight="true" outlineLevel="0" collapsed="false">
      <c r="A349" s="42"/>
      <c r="B349" s="42"/>
      <c r="C349" s="42"/>
      <c r="D349" s="42"/>
      <c r="E349" s="42"/>
      <c r="F349" s="51" t="n">
        <f aca="false">IF(OR(C349="",D349="",E349="",E349=0),0,C349*D349/E349)</f>
        <v>0</v>
      </c>
      <c r="G349" s="42"/>
      <c r="H349" s="49" t="n">
        <f aca="true">IF(OR($A349="",_xlfn.MINIFS($B$3:$B$5000,$A$3:$A$5000,$A349,$B$3:$B$5000,"&gt;"&amp;$B349)=0),NOW(),_xlfn.MINIFS($B$3:$B$5000,$A$3:$A$5000,$A349,$B$3:$B$5000,"&gt;"&amp;$B349))</f>
        <v>46279.5987642915</v>
      </c>
    </row>
    <row r="350" customFormat="false" ht="15" hidden="false" customHeight="true" outlineLevel="0" collapsed="false">
      <c r="A350" s="42"/>
      <c r="B350" s="42"/>
      <c r="C350" s="42"/>
      <c r="D350" s="42"/>
      <c r="E350" s="42"/>
      <c r="F350" s="51" t="n">
        <f aca="false">IF(OR(C350="",D350="",E350="",E350=0),0,C350*D350/E350)</f>
        <v>0</v>
      </c>
      <c r="G350" s="42"/>
      <c r="H350" s="49" t="n">
        <f aca="true">IF(OR($A350="",_xlfn.MINIFS($B$3:$B$5000,$A$3:$A$5000,$A350,$B$3:$B$5000,"&gt;"&amp;$B350)=0),NOW(),_xlfn.MINIFS($B$3:$B$5000,$A$3:$A$5000,$A350,$B$3:$B$5000,"&gt;"&amp;$B350))</f>
        <v>46279.5987642916</v>
      </c>
    </row>
    <row r="351" customFormat="false" ht="15" hidden="false" customHeight="true" outlineLevel="0" collapsed="false">
      <c r="A351" s="42"/>
      <c r="B351" s="42"/>
      <c r="C351" s="42"/>
      <c r="D351" s="42"/>
      <c r="E351" s="42"/>
      <c r="F351" s="51" t="n">
        <f aca="false">IF(OR(C351="",D351="",E351="",E351=0),0,C351*D351/E351)</f>
        <v>0</v>
      </c>
      <c r="G351" s="42"/>
      <c r="H351" s="49" t="n">
        <f aca="true">IF(OR($A351="",_xlfn.MINIFS($B$3:$B$5000,$A$3:$A$5000,$A351,$B$3:$B$5000,"&gt;"&amp;$B351)=0),NOW(),_xlfn.MINIFS($B$3:$B$5000,$A$3:$A$5000,$A351,$B$3:$B$5000,"&gt;"&amp;$B351))</f>
        <v>46279.5987642916</v>
      </c>
    </row>
    <row r="352" customFormat="false" ht="15" hidden="false" customHeight="true" outlineLevel="0" collapsed="false">
      <c r="A352" s="42"/>
      <c r="B352" s="42"/>
      <c r="C352" s="42"/>
      <c r="D352" s="42"/>
      <c r="E352" s="42"/>
      <c r="F352" s="51" t="n">
        <f aca="false">IF(OR(C352="",D352="",E352="",E352=0),0,C352*D352/E352)</f>
        <v>0</v>
      </c>
      <c r="G352" s="42"/>
      <c r="H352" s="49" t="n">
        <f aca="true">IF(OR($A352="",_xlfn.MINIFS($B$3:$B$5000,$A$3:$A$5000,$A352,$B$3:$B$5000,"&gt;"&amp;$B352)=0),NOW(),_xlfn.MINIFS($B$3:$B$5000,$A$3:$A$5000,$A352,$B$3:$B$5000,"&gt;"&amp;$B352))</f>
        <v>46279.5987642917</v>
      </c>
    </row>
    <row r="353" customFormat="false" ht="15" hidden="false" customHeight="true" outlineLevel="0" collapsed="false">
      <c r="A353" s="42"/>
      <c r="B353" s="42"/>
      <c r="C353" s="42"/>
      <c r="D353" s="42"/>
      <c r="E353" s="42"/>
      <c r="F353" s="51" t="n">
        <f aca="false">IF(OR(C353="",D353="",E353="",E353=0),0,C353*D353/E353)</f>
        <v>0</v>
      </c>
      <c r="G353" s="42"/>
      <c r="H353" s="49" t="n">
        <f aca="true">IF(OR($A353="",_xlfn.MINIFS($B$3:$B$5000,$A$3:$A$5000,$A353,$B$3:$B$5000,"&gt;"&amp;$B353)=0),NOW(),_xlfn.MINIFS($B$3:$B$5000,$A$3:$A$5000,$A353,$B$3:$B$5000,"&gt;"&amp;$B353))</f>
        <v>46279.5987642917</v>
      </c>
    </row>
    <row r="354" customFormat="false" ht="15" hidden="false" customHeight="true" outlineLevel="0" collapsed="false">
      <c r="A354" s="42"/>
      <c r="B354" s="42"/>
      <c r="C354" s="42"/>
      <c r="D354" s="42"/>
      <c r="E354" s="42"/>
      <c r="F354" s="51" t="n">
        <f aca="false">IF(OR(C354="",D354="",E354="",E354=0),0,C354*D354/E354)</f>
        <v>0</v>
      </c>
      <c r="G354" s="42"/>
      <c r="H354" s="49" t="n">
        <f aca="true">IF(OR($A354="",_xlfn.MINIFS($B$3:$B$5000,$A$3:$A$5000,$A354,$B$3:$B$5000,"&gt;"&amp;$B354)=0),NOW(),_xlfn.MINIFS($B$3:$B$5000,$A$3:$A$5000,$A354,$B$3:$B$5000,"&gt;"&amp;$B354))</f>
        <v>46279.5987642918</v>
      </c>
    </row>
    <row r="355" customFormat="false" ht="15" hidden="false" customHeight="true" outlineLevel="0" collapsed="false">
      <c r="A355" s="42"/>
      <c r="B355" s="42"/>
      <c r="C355" s="42"/>
      <c r="D355" s="42"/>
      <c r="E355" s="42"/>
      <c r="F355" s="51" t="n">
        <f aca="false">IF(OR(C355="",D355="",E355="",E355=0),0,C355*D355/E355)</f>
        <v>0</v>
      </c>
      <c r="G355" s="42"/>
      <c r="H355" s="49" t="n">
        <f aca="true">IF(OR($A355="",_xlfn.MINIFS($B$3:$B$5000,$A$3:$A$5000,$A355,$B$3:$B$5000,"&gt;"&amp;$B355)=0),NOW(),_xlfn.MINIFS($B$3:$B$5000,$A$3:$A$5000,$A355,$B$3:$B$5000,"&gt;"&amp;$B355))</f>
        <v>46279.5987642918</v>
      </c>
    </row>
    <row r="356" customFormat="false" ht="15" hidden="false" customHeight="true" outlineLevel="0" collapsed="false">
      <c r="A356" s="42"/>
      <c r="B356" s="42"/>
      <c r="C356" s="42"/>
      <c r="D356" s="42"/>
      <c r="E356" s="42"/>
      <c r="F356" s="51" t="n">
        <f aca="false">IF(OR(C356="",D356="",E356="",E356=0),0,C356*D356/E356)</f>
        <v>0</v>
      </c>
      <c r="G356" s="42"/>
      <c r="H356" s="49" t="n">
        <f aca="true">IF(OR($A356="",_xlfn.MINIFS($B$3:$B$5000,$A$3:$A$5000,$A356,$B$3:$B$5000,"&gt;"&amp;$B356)=0),NOW(),_xlfn.MINIFS($B$3:$B$5000,$A$3:$A$5000,$A356,$B$3:$B$5000,"&gt;"&amp;$B356))</f>
        <v>46279.5987642919</v>
      </c>
    </row>
    <row r="357" customFormat="false" ht="15" hidden="false" customHeight="true" outlineLevel="0" collapsed="false">
      <c r="A357" s="42"/>
      <c r="B357" s="42"/>
      <c r="C357" s="42"/>
      <c r="D357" s="42"/>
      <c r="E357" s="42"/>
      <c r="F357" s="51" t="n">
        <f aca="false">IF(OR(C357="",D357="",E357="",E357=0),0,C357*D357/E357)</f>
        <v>0</v>
      </c>
      <c r="G357" s="42"/>
      <c r="H357" s="49" t="n">
        <f aca="true">IF(OR($A357="",_xlfn.MINIFS($B$3:$B$5000,$A$3:$A$5000,$A357,$B$3:$B$5000,"&gt;"&amp;$B357)=0),NOW(),_xlfn.MINIFS($B$3:$B$5000,$A$3:$A$5000,$A357,$B$3:$B$5000,"&gt;"&amp;$B357))</f>
        <v>46279.5987642919</v>
      </c>
    </row>
    <row r="358" customFormat="false" ht="15" hidden="false" customHeight="true" outlineLevel="0" collapsed="false">
      <c r="A358" s="42"/>
      <c r="B358" s="42"/>
      <c r="C358" s="42"/>
      <c r="D358" s="42"/>
      <c r="E358" s="42"/>
      <c r="F358" s="51" t="n">
        <f aca="false">IF(OR(C358="",D358="",E358="",E358=0),0,C358*D358/E358)</f>
        <v>0</v>
      </c>
      <c r="G358" s="42"/>
      <c r="H358" s="49" t="n">
        <f aca="true">IF(OR($A358="",_xlfn.MINIFS($B$3:$B$5000,$A$3:$A$5000,$A358,$B$3:$B$5000,"&gt;"&amp;$B358)=0),NOW(),_xlfn.MINIFS($B$3:$B$5000,$A$3:$A$5000,$A358,$B$3:$B$5000,"&gt;"&amp;$B358))</f>
        <v>46279.598764292</v>
      </c>
    </row>
    <row r="359" customFormat="false" ht="15" hidden="false" customHeight="true" outlineLevel="0" collapsed="false">
      <c r="A359" s="42"/>
      <c r="B359" s="42"/>
      <c r="C359" s="42"/>
      <c r="D359" s="42"/>
      <c r="E359" s="42"/>
      <c r="F359" s="51" t="n">
        <f aca="false">IF(OR(C359="",D359="",E359="",E359=0),0,C359*D359/E359)</f>
        <v>0</v>
      </c>
      <c r="G359" s="42"/>
      <c r="H359" s="49" t="n">
        <f aca="true">IF(OR($A359="",_xlfn.MINIFS($B$3:$B$5000,$A$3:$A$5000,$A359,$B$3:$B$5000,"&gt;"&amp;$B359)=0),NOW(),_xlfn.MINIFS($B$3:$B$5000,$A$3:$A$5000,$A359,$B$3:$B$5000,"&gt;"&amp;$B359))</f>
        <v>46279.5987642922</v>
      </c>
    </row>
    <row r="360" customFormat="false" ht="15" hidden="false" customHeight="true" outlineLevel="0" collapsed="false">
      <c r="A360" s="42"/>
      <c r="B360" s="42"/>
      <c r="C360" s="42"/>
      <c r="D360" s="42"/>
      <c r="E360" s="42"/>
      <c r="F360" s="51" t="n">
        <f aca="false">IF(OR(C360="",D360="",E360="",E360=0),0,C360*D360/E360)</f>
        <v>0</v>
      </c>
      <c r="G360" s="42"/>
      <c r="H360" s="49" t="n">
        <f aca="true">IF(OR($A360="",_xlfn.MINIFS($B$3:$B$5000,$A$3:$A$5000,$A360,$B$3:$B$5000,"&gt;"&amp;$B360)=0),NOW(),_xlfn.MINIFS($B$3:$B$5000,$A$3:$A$5000,$A360,$B$3:$B$5000,"&gt;"&amp;$B360))</f>
        <v>46279.5987642923</v>
      </c>
    </row>
    <row r="361" customFormat="false" ht="15" hidden="false" customHeight="true" outlineLevel="0" collapsed="false">
      <c r="A361" s="42"/>
      <c r="B361" s="42"/>
      <c r="C361" s="42"/>
      <c r="D361" s="42"/>
      <c r="E361" s="42"/>
      <c r="F361" s="51" t="n">
        <f aca="false">IF(OR(C361="",D361="",E361="",E361=0),0,C361*D361/E361)</f>
        <v>0</v>
      </c>
      <c r="G361" s="42"/>
      <c r="H361" s="49" t="n">
        <f aca="true">IF(OR($A361="",_xlfn.MINIFS($B$3:$B$5000,$A$3:$A$5000,$A361,$B$3:$B$5000,"&gt;"&amp;$B361)=0),NOW(),_xlfn.MINIFS($B$3:$B$5000,$A$3:$A$5000,$A361,$B$3:$B$5000,"&gt;"&amp;$B361))</f>
        <v>46279.5987642924</v>
      </c>
    </row>
    <row r="362" customFormat="false" ht="15" hidden="false" customHeight="true" outlineLevel="0" collapsed="false">
      <c r="A362" s="42"/>
      <c r="B362" s="42"/>
      <c r="C362" s="42"/>
      <c r="D362" s="42"/>
      <c r="E362" s="42"/>
      <c r="F362" s="51" t="n">
        <f aca="false">IF(OR(C362="",D362="",E362="",E362=0),0,C362*D362/E362)</f>
        <v>0</v>
      </c>
      <c r="G362" s="42"/>
      <c r="H362" s="49" t="n">
        <f aca="true">IF(OR($A362="",_xlfn.MINIFS($B$3:$B$5000,$A$3:$A$5000,$A362,$B$3:$B$5000,"&gt;"&amp;$B362)=0),NOW(),_xlfn.MINIFS($B$3:$B$5000,$A$3:$A$5000,$A362,$B$3:$B$5000,"&gt;"&amp;$B362))</f>
        <v>46279.5987642924</v>
      </c>
    </row>
    <row r="363" customFormat="false" ht="15" hidden="false" customHeight="true" outlineLevel="0" collapsed="false">
      <c r="A363" s="42"/>
      <c r="B363" s="42"/>
      <c r="C363" s="42"/>
      <c r="D363" s="42"/>
      <c r="E363" s="42"/>
      <c r="F363" s="51" t="n">
        <f aca="false">IF(OR(C363="",D363="",E363="",E363=0),0,C363*D363/E363)</f>
        <v>0</v>
      </c>
      <c r="G363" s="42"/>
      <c r="H363" s="49" t="n">
        <f aca="true">IF(OR($A363="",_xlfn.MINIFS($B$3:$B$5000,$A$3:$A$5000,$A363,$B$3:$B$5000,"&gt;"&amp;$B363)=0),NOW(),_xlfn.MINIFS($B$3:$B$5000,$A$3:$A$5000,$A363,$B$3:$B$5000,"&gt;"&amp;$B363))</f>
        <v>46279.5987642925</v>
      </c>
    </row>
    <row r="364" customFormat="false" ht="15" hidden="false" customHeight="true" outlineLevel="0" collapsed="false">
      <c r="A364" s="42"/>
      <c r="B364" s="42"/>
      <c r="C364" s="42"/>
      <c r="D364" s="42"/>
      <c r="E364" s="42"/>
      <c r="F364" s="51" t="n">
        <f aca="false">IF(OR(C364="",D364="",E364="",E364=0),0,C364*D364/E364)</f>
        <v>0</v>
      </c>
      <c r="G364" s="42"/>
      <c r="H364" s="49" t="n">
        <f aca="true">IF(OR($A364="",_xlfn.MINIFS($B$3:$B$5000,$A$3:$A$5000,$A364,$B$3:$B$5000,"&gt;"&amp;$B364)=0),NOW(),_xlfn.MINIFS($B$3:$B$5000,$A$3:$A$5000,$A364,$B$3:$B$5000,"&gt;"&amp;$B364))</f>
        <v>46279.5987642925</v>
      </c>
    </row>
    <row r="365" customFormat="false" ht="15" hidden="false" customHeight="true" outlineLevel="0" collapsed="false">
      <c r="A365" s="42"/>
      <c r="B365" s="42"/>
      <c r="C365" s="42"/>
      <c r="D365" s="42"/>
      <c r="E365" s="42"/>
      <c r="F365" s="51" t="n">
        <f aca="false">IF(OR(C365="",D365="",E365="",E365=0),0,C365*D365/E365)</f>
        <v>0</v>
      </c>
      <c r="G365" s="42"/>
      <c r="H365" s="49" t="n">
        <f aca="true">IF(OR($A365="",_xlfn.MINIFS($B$3:$B$5000,$A$3:$A$5000,$A365,$B$3:$B$5000,"&gt;"&amp;$B365)=0),NOW(),_xlfn.MINIFS($B$3:$B$5000,$A$3:$A$5000,$A365,$B$3:$B$5000,"&gt;"&amp;$B365))</f>
        <v>46279.5987642926</v>
      </c>
    </row>
    <row r="366" customFormat="false" ht="15" hidden="false" customHeight="true" outlineLevel="0" collapsed="false">
      <c r="A366" s="42"/>
      <c r="B366" s="42"/>
      <c r="C366" s="42"/>
      <c r="D366" s="42"/>
      <c r="E366" s="42"/>
      <c r="F366" s="51" t="n">
        <f aca="false">IF(OR(C366="",D366="",E366="",E366=0),0,C366*D366/E366)</f>
        <v>0</v>
      </c>
      <c r="G366" s="42"/>
      <c r="H366" s="49" t="n">
        <f aca="true">IF(OR($A366="",_xlfn.MINIFS($B$3:$B$5000,$A$3:$A$5000,$A366,$B$3:$B$5000,"&gt;"&amp;$B366)=0),NOW(),_xlfn.MINIFS($B$3:$B$5000,$A$3:$A$5000,$A366,$B$3:$B$5000,"&gt;"&amp;$B366))</f>
        <v>46279.5987642926</v>
      </c>
    </row>
    <row r="367" customFormat="false" ht="15" hidden="false" customHeight="true" outlineLevel="0" collapsed="false">
      <c r="A367" s="42"/>
      <c r="B367" s="42"/>
      <c r="C367" s="42"/>
      <c r="D367" s="42"/>
      <c r="E367" s="42"/>
      <c r="F367" s="51" t="n">
        <f aca="false">IF(OR(C367="",D367="",E367="",E367=0),0,C367*D367/E367)</f>
        <v>0</v>
      </c>
      <c r="G367" s="42"/>
      <c r="H367" s="49" t="n">
        <f aca="true">IF(OR($A367="",_xlfn.MINIFS($B$3:$B$5000,$A$3:$A$5000,$A367,$B$3:$B$5000,"&gt;"&amp;$B367)=0),NOW(),_xlfn.MINIFS($B$3:$B$5000,$A$3:$A$5000,$A367,$B$3:$B$5000,"&gt;"&amp;$B367))</f>
        <v>46279.5987642927</v>
      </c>
    </row>
    <row r="368" customFormat="false" ht="15" hidden="false" customHeight="true" outlineLevel="0" collapsed="false">
      <c r="A368" s="42"/>
      <c r="B368" s="42"/>
      <c r="C368" s="42"/>
      <c r="D368" s="42"/>
      <c r="E368" s="42"/>
      <c r="F368" s="51" t="n">
        <f aca="false">IF(OR(C368="",D368="",E368="",E368=0),0,C368*D368/E368)</f>
        <v>0</v>
      </c>
      <c r="G368" s="42"/>
      <c r="H368" s="49" t="n">
        <f aca="true">IF(OR($A368="",_xlfn.MINIFS($B$3:$B$5000,$A$3:$A$5000,$A368,$B$3:$B$5000,"&gt;"&amp;$B368)=0),NOW(),_xlfn.MINIFS($B$3:$B$5000,$A$3:$A$5000,$A368,$B$3:$B$5000,"&gt;"&amp;$B368))</f>
        <v>46279.5987642927</v>
      </c>
    </row>
    <row r="369" customFormat="false" ht="15" hidden="false" customHeight="true" outlineLevel="0" collapsed="false">
      <c r="A369" s="42"/>
      <c r="B369" s="42"/>
      <c r="C369" s="42"/>
      <c r="D369" s="42"/>
      <c r="E369" s="42"/>
      <c r="F369" s="51" t="n">
        <f aca="false">IF(OR(C369="",D369="",E369="",E369=0),0,C369*D369/E369)</f>
        <v>0</v>
      </c>
      <c r="G369" s="42"/>
      <c r="H369" s="49" t="n">
        <f aca="true">IF(OR($A369="",_xlfn.MINIFS($B$3:$B$5000,$A$3:$A$5000,$A369,$B$3:$B$5000,"&gt;"&amp;$B369)=0),NOW(),_xlfn.MINIFS($B$3:$B$5000,$A$3:$A$5000,$A369,$B$3:$B$5000,"&gt;"&amp;$B369))</f>
        <v>46279.5987642928</v>
      </c>
    </row>
    <row r="370" customFormat="false" ht="15" hidden="false" customHeight="true" outlineLevel="0" collapsed="false">
      <c r="A370" s="42"/>
      <c r="B370" s="42"/>
      <c r="C370" s="42"/>
      <c r="D370" s="42"/>
      <c r="E370" s="42"/>
      <c r="F370" s="51" t="n">
        <f aca="false">IF(OR(C370="",D370="",E370="",E370=0),0,C370*D370/E370)</f>
        <v>0</v>
      </c>
      <c r="G370" s="42"/>
      <c r="H370" s="49" t="n">
        <f aca="true">IF(OR($A370="",_xlfn.MINIFS($B$3:$B$5000,$A$3:$A$5000,$A370,$B$3:$B$5000,"&gt;"&amp;$B370)=0),NOW(),_xlfn.MINIFS($B$3:$B$5000,$A$3:$A$5000,$A370,$B$3:$B$5000,"&gt;"&amp;$B370))</f>
        <v>46279.5987642928</v>
      </c>
    </row>
    <row r="371" customFormat="false" ht="15" hidden="false" customHeight="true" outlineLevel="0" collapsed="false">
      <c r="A371" s="42"/>
      <c r="B371" s="42"/>
      <c r="C371" s="42"/>
      <c r="D371" s="42"/>
      <c r="E371" s="42"/>
      <c r="F371" s="51" t="n">
        <f aca="false">IF(OR(C371="",D371="",E371="",E371=0),0,C371*D371/E371)</f>
        <v>0</v>
      </c>
      <c r="G371" s="42"/>
      <c r="H371" s="49" t="n">
        <f aca="true">IF(OR($A371="",_xlfn.MINIFS($B$3:$B$5000,$A$3:$A$5000,$A371,$B$3:$B$5000,"&gt;"&amp;$B371)=0),NOW(),_xlfn.MINIFS($B$3:$B$5000,$A$3:$A$5000,$A371,$B$3:$B$5000,"&gt;"&amp;$B371))</f>
        <v>46279.5987642929</v>
      </c>
    </row>
    <row r="372" customFormat="false" ht="15" hidden="false" customHeight="true" outlineLevel="0" collapsed="false">
      <c r="A372" s="42"/>
      <c r="B372" s="42"/>
      <c r="C372" s="42"/>
      <c r="D372" s="42"/>
      <c r="E372" s="42"/>
      <c r="F372" s="51" t="n">
        <f aca="false">IF(OR(C372="",D372="",E372="",E372=0),0,C372*D372/E372)</f>
        <v>0</v>
      </c>
      <c r="G372" s="42"/>
      <c r="H372" s="49" t="n">
        <f aca="true">IF(OR($A372="",_xlfn.MINIFS($B$3:$B$5000,$A$3:$A$5000,$A372,$B$3:$B$5000,"&gt;"&amp;$B372)=0),NOW(),_xlfn.MINIFS($B$3:$B$5000,$A$3:$A$5000,$A372,$B$3:$B$5000,"&gt;"&amp;$B372))</f>
        <v>46279.5987642929</v>
      </c>
    </row>
    <row r="373" customFormat="false" ht="15" hidden="false" customHeight="true" outlineLevel="0" collapsed="false">
      <c r="A373" s="42"/>
      <c r="B373" s="42"/>
      <c r="C373" s="42"/>
      <c r="D373" s="42"/>
      <c r="E373" s="42"/>
      <c r="F373" s="51" t="n">
        <f aca="false">IF(OR(C373="",D373="",E373="",E373=0),0,C373*D373/E373)</f>
        <v>0</v>
      </c>
      <c r="G373" s="42"/>
      <c r="H373" s="49" t="n">
        <f aca="true">IF(OR($A373="",_xlfn.MINIFS($B$3:$B$5000,$A$3:$A$5000,$A373,$B$3:$B$5000,"&gt;"&amp;$B373)=0),NOW(),_xlfn.MINIFS($B$3:$B$5000,$A$3:$A$5000,$A373,$B$3:$B$5000,"&gt;"&amp;$B373))</f>
        <v>46279.598764293</v>
      </c>
    </row>
    <row r="374" customFormat="false" ht="15" hidden="false" customHeight="true" outlineLevel="0" collapsed="false">
      <c r="A374" s="42"/>
      <c r="B374" s="42"/>
      <c r="C374" s="42"/>
      <c r="D374" s="42"/>
      <c r="E374" s="42"/>
      <c r="F374" s="51" t="n">
        <f aca="false">IF(OR(C374="",D374="",E374="",E374=0),0,C374*D374/E374)</f>
        <v>0</v>
      </c>
      <c r="G374" s="42"/>
      <c r="H374" s="49" t="n">
        <f aca="true">IF(OR($A374="",_xlfn.MINIFS($B$3:$B$5000,$A$3:$A$5000,$A374,$B$3:$B$5000,"&gt;"&amp;$B374)=0),NOW(),_xlfn.MINIFS($B$3:$B$5000,$A$3:$A$5000,$A374,$B$3:$B$5000,"&gt;"&amp;$B374))</f>
        <v>46279.598764293</v>
      </c>
    </row>
    <row r="375" customFormat="false" ht="15" hidden="false" customHeight="true" outlineLevel="0" collapsed="false">
      <c r="A375" s="42"/>
      <c r="B375" s="42"/>
      <c r="C375" s="42"/>
      <c r="D375" s="42"/>
      <c r="E375" s="42"/>
      <c r="F375" s="51" t="n">
        <f aca="false">IF(OR(C375="",D375="",E375="",E375=0),0,C375*D375/E375)</f>
        <v>0</v>
      </c>
      <c r="G375" s="42"/>
      <c r="H375" s="49" t="n">
        <f aca="true">IF(OR($A375="",_xlfn.MINIFS($B$3:$B$5000,$A$3:$A$5000,$A375,$B$3:$B$5000,"&gt;"&amp;$B375)=0),NOW(),_xlfn.MINIFS($B$3:$B$5000,$A$3:$A$5000,$A375,$B$3:$B$5000,"&gt;"&amp;$B375))</f>
        <v>46279.5987642931</v>
      </c>
    </row>
    <row r="376" customFormat="false" ht="15" hidden="false" customHeight="true" outlineLevel="0" collapsed="false">
      <c r="A376" s="42"/>
      <c r="B376" s="42"/>
      <c r="C376" s="42"/>
      <c r="D376" s="42"/>
      <c r="E376" s="42"/>
      <c r="F376" s="51" t="n">
        <f aca="false">IF(OR(C376="",D376="",E376="",E376=0),0,C376*D376/E376)</f>
        <v>0</v>
      </c>
      <c r="G376" s="42"/>
      <c r="H376" s="49" t="n">
        <f aca="true">IF(OR($A376="",_xlfn.MINIFS($B$3:$B$5000,$A$3:$A$5000,$A376,$B$3:$B$5000,"&gt;"&amp;$B376)=0),NOW(),_xlfn.MINIFS($B$3:$B$5000,$A$3:$A$5000,$A376,$B$3:$B$5000,"&gt;"&amp;$B376))</f>
        <v>46279.5987642932</v>
      </c>
    </row>
    <row r="377" customFormat="false" ht="15" hidden="false" customHeight="true" outlineLevel="0" collapsed="false">
      <c r="A377" s="42"/>
      <c r="B377" s="42"/>
      <c r="C377" s="42"/>
      <c r="D377" s="42"/>
      <c r="E377" s="42"/>
      <c r="F377" s="51" t="n">
        <f aca="false">IF(OR(C377="",D377="",E377="",E377=0),0,C377*D377/E377)</f>
        <v>0</v>
      </c>
      <c r="G377" s="42"/>
      <c r="H377" s="49" t="n">
        <f aca="true">IF(OR($A377="",_xlfn.MINIFS($B$3:$B$5000,$A$3:$A$5000,$A377,$B$3:$B$5000,"&gt;"&amp;$B377)=0),NOW(),_xlfn.MINIFS($B$3:$B$5000,$A$3:$A$5000,$A377,$B$3:$B$5000,"&gt;"&amp;$B377))</f>
        <v>46279.5987642933</v>
      </c>
    </row>
    <row r="378" customFormat="false" ht="15" hidden="false" customHeight="true" outlineLevel="0" collapsed="false">
      <c r="A378" s="42"/>
      <c r="B378" s="42"/>
      <c r="C378" s="42"/>
      <c r="D378" s="42"/>
      <c r="E378" s="42"/>
      <c r="F378" s="51" t="n">
        <f aca="false">IF(OR(C378="",D378="",E378="",E378=0),0,C378*D378/E378)</f>
        <v>0</v>
      </c>
      <c r="G378" s="42"/>
      <c r="H378" s="49" t="n">
        <f aca="true">IF(OR($A378="",_xlfn.MINIFS($B$3:$B$5000,$A$3:$A$5000,$A378,$B$3:$B$5000,"&gt;"&amp;$B378)=0),NOW(),_xlfn.MINIFS($B$3:$B$5000,$A$3:$A$5000,$A378,$B$3:$B$5000,"&gt;"&amp;$B378))</f>
        <v>46279.5987642934</v>
      </c>
    </row>
    <row r="379" customFormat="false" ht="15" hidden="false" customHeight="true" outlineLevel="0" collapsed="false">
      <c r="A379" s="42"/>
      <c r="B379" s="42"/>
      <c r="C379" s="42"/>
      <c r="D379" s="42"/>
      <c r="E379" s="42"/>
      <c r="F379" s="51" t="n">
        <f aca="false">IF(OR(C379="",D379="",E379="",E379=0),0,C379*D379/E379)</f>
        <v>0</v>
      </c>
      <c r="G379" s="42"/>
      <c r="H379" s="49" t="n">
        <f aca="true">IF(OR($A379="",_xlfn.MINIFS($B$3:$B$5000,$A$3:$A$5000,$A379,$B$3:$B$5000,"&gt;"&amp;$B379)=0),NOW(),_xlfn.MINIFS($B$3:$B$5000,$A$3:$A$5000,$A379,$B$3:$B$5000,"&gt;"&amp;$B379))</f>
        <v>46279.5987642934</v>
      </c>
    </row>
    <row r="380" customFormat="false" ht="15" hidden="false" customHeight="true" outlineLevel="0" collapsed="false">
      <c r="A380" s="42"/>
      <c r="B380" s="42"/>
      <c r="C380" s="42"/>
      <c r="D380" s="42"/>
      <c r="E380" s="42"/>
      <c r="F380" s="51" t="n">
        <f aca="false">IF(OR(C380="",D380="",E380="",E380=0),0,C380*D380/E380)</f>
        <v>0</v>
      </c>
      <c r="G380" s="42"/>
      <c r="H380" s="49" t="n">
        <f aca="true">IF(OR($A380="",_xlfn.MINIFS($B$3:$B$5000,$A$3:$A$5000,$A380,$B$3:$B$5000,"&gt;"&amp;$B380)=0),NOW(),_xlfn.MINIFS($B$3:$B$5000,$A$3:$A$5000,$A380,$B$3:$B$5000,"&gt;"&amp;$B380))</f>
        <v>46279.5987642935</v>
      </c>
    </row>
    <row r="381" customFormat="false" ht="15" hidden="false" customHeight="true" outlineLevel="0" collapsed="false">
      <c r="A381" s="42"/>
      <c r="B381" s="42"/>
      <c r="C381" s="42"/>
      <c r="D381" s="42"/>
      <c r="E381" s="42"/>
      <c r="F381" s="51" t="n">
        <f aca="false">IF(OR(C381="",D381="",E381="",E381=0),0,C381*D381/E381)</f>
        <v>0</v>
      </c>
      <c r="G381" s="42"/>
      <c r="H381" s="49" t="n">
        <f aca="true">IF(OR($A381="",_xlfn.MINIFS($B$3:$B$5000,$A$3:$A$5000,$A381,$B$3:$B$5000,"&gt;"&amp;$B381)=0),NOW(),_xlfn.MINIFS($B$3:$B$5000,$A$3:$A$5000,$A381,$B$3:$B$5000,"&gt;"&amp;$B381))</f>
        <v>46279.5987642935</v>
      </c>
    </row>
    <row r="382" customFormat="false" ht="15" hidden="false" customHeight="true" outlineLevel="0" collapsed="false">
      <c r="A382" s="42"/>
      <c r="B382" s="42"/>
      <c r="C382" s="42"/>
      <c r="D382" s="42"/>
      <c r="E382" s="42"/>
      <c r="F382" s="51" t="n">
        <f aca="false">IF(OR(C382="",D382="",E382="",E382=0),0,C382*D382/E382)</f>
        <v>0</v>
      </c>
      <c r="G382" s="42"/>
      <c r="H382" s="49" t="n">
        <f aca="true">IF(OR($A382="",_xlfn.MINIFS($B$3:$B$5000,$A$3:$A$5000,$A382,$B$3:$B$5000,"&gt;"&amp;$B382)=0),NOW(),_xlfn.MINIFS($B$3:$B$5000,$A$3:$A$5000,$A382,$B$3:$B$5000,"&gt;"&amp;$B382))</f>
        <v>46279.5987642936</v>
      </c>
    </row>
    <row r="383" customFormat="false" ht="15" hidden="false" customHeight="true" outlineLevel="0" collapsed="false">
      <c r="A383" s="42"/>
      <c r="B383" s="42"/>
      <c r="C383" s="42"/>
      <c r="D383" s="42"/>
      <c r="E383" s="42"/>
      <c r="F383" s="51" t="n">
        <f aca="false">IF(OR(C383="",D383="",E383="",E383=0),0,C383*D383/E383)</f>
        <v>0</v>
      </c>
      <c r="G383" s="42"/>
      <c r="H383" s="49" t="n">
        <f aca="true">IF(OR($A383="",_xlfn.MINIFS($B$3:$B$5000,$A$3:$A$5000,$A383,$B$3:$B$5000,"&gt;"&amp;$B383)=0),NOW(),_xlfn.MINIFS($B$3:$B$5000,$A$3:$A$5000,$A383,$B$3:$B$5000,"&gt;"&amp;$B383))</f>
        <v>46279.5987642936</v>
      </c>
    </row>
    <row r="384" customFormat="false" ht="15" hidden="false" customHeight="true" outlineLevel="0" collapsed="false">
      <c r="A384" s="42"/>
      <c r="B384" s="42"/>
      <c r="C384" s="42"/>
      <c r="D384" s="42"/>
      <c r="E384" s="42"/>
      <c r="F384" s="51" t="n">
        <f aca="false">IF(OR(C384="",D384="",E384="",E384=0),0,C384*D384/E384)</f>
        <v>0</v>
      </c>
      <c r="G384" s="42"/>
      <c r="H384" s="49" t="n">
        <f aca="true">IF(OR($A384="",_xlfn.MINIFS($B$3:$B$5000,$A$3:$A$5000,$A384,$B$3:$B$5000,"&gt;"&amp;$B384)=0),NOW(),_xlfn.MINIFS($B$3:$B$5000,$A$3:$A$5000,$A384,$B$3:$B$5000,"&gt;"&amp;$B384))</f>
        <v>46279.5987642937</v>
      </c>
    </row>
    <row r="385" customFormat="false" ht="15" hidden="false" customHeight="true" outlineLevel="0" collapsed="false">
      <c r="A385" s="42"/>
      <c r="B385" s="42"/>
      <c r="C385" s="42"/>
      <c r="D385" s="42"/>
      <c r="E385" s="42"/>
      <c r="F385" s="51" t="n">
        <f aca="false">IF(OR(C385="",D385="",E385="",E385=0),0,C385*D385/E385)</f>
        <v>0</v>
      </c>
      <c r="G385" s="42"/>
      <c r="H385" s="49" t="n">
        <f aca="true">IF(OR($A385="",_xlfn.MINIFS($B$3:$B$5000,$A$3:$A$5000,$A385,$B$3:$B$5000,"&gt;"&amp;$B385)=0),NOW(),_xlfn.MINIFS($B$3:$B$5000,$A$3:$A$5000,$A385,$B$3:$B$5000,"&gt;"&amp;$B385))</f>
        <v>46279.5987642938</v>
      </c>
    </row>
    <row r="386" customFormat="false" ht="15" hidden="false" customHeight="true" outlineLevel="0" collapsed="false">
      <c r="A386" s="42"/>
      <c r="B386" s="42"/>
      <c r="C386" s="42"/>
      <c r="D386" s="42"/>
      <c r="E386" s="42"/>
      <c r="F386" s="51" t="n">
        <f aca="false">IF(OR(C386="",D386="",E386="",E386=0),0,C386*D386/E386)</f>
        <v>0</v>
      </c>
      <c r="G386" s="42"/>
      <c r="H386" s="49" t="n">
        <f aca="true">IF(OR($A386="",_xlfn.MINIFS($B$3:$B$5000,$A$3:$A$5000,$A386,$B$3:$B$5000,"&gt;"&amp;$B386)=0),NOW(),_xlfn.MINIFS($B$3:$B$5000,$A$3:$A$5000,$A386,$B$3:$B$5000,"&gt;"&amp;$B386))</f>
        <v>46279.5987642938</v>
      </c>
    </row>
    <row r="387" customFormat="false" ht="15" hidden="false" customHeight="true" outlineLevel="0" collapsed="false">
      <c r="A387" s="42"/>
      <c r="B387" s="42"/>
      <c r="C387" s="42"/>
      <c r="D387" s="42"/>
      <c r="E387" s="42"/>
      <c r="F387" s="51" t="n">
        <f aca="false">IF(OR(C387="",D387="",E387="",E387=0),0,C387*D387/E387)</f>
        <v>0</v>
      </c>
      <c r="G387" s="42"/>
      <c r="H387" s="49" t="n">
        <f aca="true">IF(OR($A387="",_xlfn.MINIFS($B$3:$B$5000,$A$3:$A$5000,$A387,$B$3:$B$5000,"&gt;"&amp;$B387)=0),NOW(),_xlfn.MINIFS($B$3:$B$5000,$A$3:$A$5000,$A387,$B$3:$B$5000,"&gt;"&amp;$B387))</f>
        <v>46279.5987642938</v>
      </c>
    </row>
    <row r="388" customFormat="false" ht="15" hidden="false" customHeight="true" outlineLevel="0" collapsed="false">
      <c r="A388" s="42"/>
      <c r="B388" s="42"/>
      <c r="C388" s="42"/>
      <c r="D388" s="42"/>
      <c r="E388" s="42"/>
      <c r="F388" s="51" t="n">
        <f aca="false">IF(OR(C388="",D388="",E388="",E388=0),0,C388*D388/E388)</f>
        <v>0</v>
      </c>
      <c r="G388" s="42"/>
      <c r="H388" s="49" t="n">
        <f aca="true">IF(OR($A388="",_xlfn.MINIFS($B$3:$B$5000,$A$3:$A$5000,$A388,$B$3:$B$5000,"&gt;"&amp;$B388)=0),NOW(),_xlfn.MINIFS($B$3:$B$5000,$A$3:$A$5000,$A388,$B$3:$B$5000,"&gt;"&amp;$B388))</f>
        <v>46279.5987642939</v>
      </c>
    </row>
    <row r="389" customFormat="false" ht="15" hidden="false" customHeight="true" outlineLevel="0" collapsed="false">
      <c r="A389" s="42"/>
      <c r="B389" s="42"/>
      <c r="C389" s="42"/>
      <c r="D389" s="42"/>
      <c r="E389" s="42"/>
      <c r="F389" s="51" t="n">
        <f aca="false">IF(OR(C389="",D389="",E389="",E389=0),0,C389*D389/E389)</f>
        <v>0</v>
      </c>
      <c r="G389" s="42"/>
      <c r="H389" s="49" t="n">
        <f aca="true">IF(OR($A389="",_xlfn.MINIFS($B$3:$B$5000,$A$3:$A$5000,$A389,$B$3:$B$5000,"&gt;"&amp;$B389)=0),NOW(),_xlfn.MINIFS($B$3:$B$5000,$A$3:$A$5000,$A389,$B$3:$B$5000,"&gt;"&amp;$B389))</f>
        <v>46279.5987642939</v>
      </c>
    </row>
    <row r="390" customFormat="false" ht="15" hidden="false" customHeight="true" outlineLevel="0" collapsed="false">
      <c r="A390" s="42"/>
      <c r="B390" s="42"/>
      <c r="C390" s="42"/>
      <c r="D390" s="42"/>
      <c r="E390" s="42"/>
      <c r="F390" s="51" t="n">
        <f aca="false">IF(OR(C390="",D390="",E390="",E390=0),0,C390*D390/E390)</f>
        <v>0</v>
      </c>
      <c r="G390" s="42"/>
      <c r="H390" s="49" t="n">
        <f aca="true">IF(OR($A390="",_xlfn.MINIFS($B$3:$B$5000,$A$3:$A$5000,$A390,$B$3:$B$5000,"&gt;"&amp;$B390)=0),NOW(),_xlfn.MINIFS($B$3:$B$5000,$A$3:$A$5000,$A390,$B$3:$B$5000,"&gt;"&amp;$B390))</f>
        <v>46279.598764294</v>
      </c>
    </row>
    <row r="391" customFormat="false" ht="15" hidden="false" customHeight="true" outlineLevel="0" collapsed="false">
      <c r="A391" s="42"/>
      <c r="B391" s="42"/>
      <c r="C391" s="42"/>
      <c r="D391" s="42"/>
      <c r="E391" s="42"/>
      <c r="F391" s="51" t="n">
        <f aca="false">IF(OR(C391="",D391="",E391="",E391=0),0,C391*D391/E391)</f>
        <v>0</v>
      </c>
      <c r="G391" s="42"/>
      <c r="H391" s="49" t="n">
        <f aca="true">IF(OR($A391="",_xlfn.MINIFS($B$3:$B$5000,$A$3:$A$5000,$A391,$B$3:$B$5000,"&gt;"&amp;$B391)=0),NOW(),_xlfn.MINIFS($B$3:$B$5000,$A$3:$A$5000,$A391,$B$3:$B$5000,"&gt;"&amp;$B391))</f>
        <v>46279.598764294</v>
      </c>
    </row>
    <row r="392" customFormat="false" ht="15" hidden="false" customHeight="true" outlineLevel="0" collapsed="false">
      <c r="A392" s="42"/>
      <c r="B392" s="42"/>
      <c r="C392" s="42"/>
      <c r="D392" s="42"/>
      <c r="E392" s="42"/>
      <c r="F392" s="51" t="n">
        <f aca="false">IF(OR(C392="",D392="",E392="",E392=0),0,C392*D392/E392)</f>
        <v>0</v>
      </c>
      <c r="G392" s="42"/>
      <c r="H392" s="49" t="n">
        <f aca="true">IF(OR($A392="",_xlfn.MINIFS($B$3:$B$5000,$A$3:$A$5000,$A392,$B$3:$B$5000,"&gt;"&amp;$B392)=0),NOW(),_xlfn.MINIFS($B$3:$B$5000,$A$3:$A$5000,$A392,$B$3:$B$5000,"&gt;"&amp;$B392))</f>
        <v>46279.5987642941</v>
      </c>
    </row>
    <row r="393" customFormat="false" ht="15" hidden="false" customHeight="true" outlineLevel="0" collapsed="false">
      <c r="A393" s="42"/>
      <c r="B393" s="42"/>
      <c r="C393" s="42"/>
      <c r="D393" s="42"/>
      <c r="E393" s="42"/>
      <c r="F393" s="51" t="n">
        <f aca="false">IF(OR(C393="",D393="",E393="",E393=0),0,C393*D393/E393)</f>
        <v>0</v>
      </c>
      <c r="G393" s="42"/>
      <c r="H393" s="49" t="n">
        <f aca="true">IF(OR($A393="",_xlfn.MINIFS($B$3:$B$5000,$A$3:$A$5000,$A393,$B$3:$B$5000,"&gt;"&amp;$B393)=0),NOW(),_xlfn.MINIFS($B$3:$B$5000,$A$3:$A$5000,$A393,$B$3:$B$5000,"&gt;"&amp;$B393))</f>
        <v>46279.5987642942</v>
      </c>
    </row>
    <row r="394" customFormat="false" ht="15" hidden="false" customHeight="true" outlineLevel="0" collapsed="false">
      <c r="A394" s="42"/>
      <c r="B394" s="42"/>
      <c r="C394" s="42"/>
      <c r="D394" s="42"/>
      <c r="E394" s="42"/>
      <c r="F394" s="51" t="n">
        <f aca="false">IF(OR(C394="",D394="",E394="",E394=0),0,C394*D394/E394)</f>
        <v>0</v>
      </c>
      <c r="G394" s="42"/>
      <c r="H394" s="49" t="n">
        <f aca="true">IF(OR($A394="",_xlfn.MINIFS($B$3:$B$5000,$A$3:$A$5000,$A394,$B$3:$B$5000,"&gt;"&amp;$B394)=0),NOW(),_xlfn.MINIFS($B$3:$B$5000,$A$3:$A$5000,$A394,$B$3:$B$5000,"&gt;"&amp;$B394))</f>
        <v>46279.5987642942</v>
      </c>
    </row>
    <row r="395" customFormat="false" ht="15" hidden="false" customHeight="true" outlineLevel="0" collapsed="false">
      <c r="A395" s="42"/>
      <c r="B395" s="42"/>
      <c r="C395" s="42"/>
      <c r="D395" s="42"/>
      <c r="E395" s="42"/>
      <c r="F395" s="51" t="n">
        <f aca="false">IF(OR(C395="",D395="",E395="",E395=0),0,C395*D395/E395)</f>
        <v>0</v>
      </c>
      <c r="G395" s="42"/>
      <c r="H395" s="49" t="n">
        <f aca="true">IF(OR($A395="",_xlfn.MINIFS($B$3:$B$5000,$A$3:$A$5000,$A395,$B$3:$B$5000,"&gt;"&amp;$B395)=0),NOW(),_xlfn.MINIFS($B$3:$B$5000,$A$3:$A$5000,$A395,$B$3:$B$5000,"&gt;"&amp;$B395))</f>
        <v>46279.5987642943</v>
      </c>
    </row>
    <row r="396" customFormat="false" ht="15" hidden="false" customHeight="true" outlineLevel="0" collapsed="false">
      <c r="A396" s="42"/>
      <c r="B396" s="42"/>
      <c r="C396" s="42"/>
      <c r="D396" s="42"/>
      <c r="E396" s="42"/>
      <c r="F396" s="51" t="n">
        <f aca="false">IF(OR(C396="",D396="",E396="",E396=0),0,C396*D396/E396)</f>
        <v>0</v>
      </c>
      <c r="G396" s="42"/>
      <c r="H396" s="49" t="n">
        <f aca="true">IF(OR($A396="",_xlfn.MINIFS($B$3:$B$5000,$A$3:$A$5000,$A396,$B$3:$B$5000,"&gt;"&amp;$B396)=0),NOW(),_xlfn.MINIFS($B$3:$B$5000,$A$3:$A$5000,$A396,$B$3:$B$5000,"&gt;"&amp;$B396))</f>
        <v>46279.5987642943</v>
      </c>
    </row>
    <row r="397" customFormat="false" ht="15" hidden="false" customHeight="true" outlineLevel="0" collapsed="false">
      <c r="A397" s="42"/>
      <c r="B397" s="42"/>
      <c r="C397" s="42"/>
      <c r="D397" s="42"/>
      <c r="E397" s="42"/>
      <c r="F397" s="51" t="n">
        <f aca="false">IF(OR(C397="",D397="",E397="",E397=0),0,C397*D397/E397)</f>
        <v>0</v>
      </c>
      <c r="G397" s="42"/>
      <c r="H397" s="49" t="n">
        <f aca="true">IF(OR($A397="",_xlfn.MINIFS($B$3:$B$5000,$A$3:$A$5000,$A397,$B$3:$B$5000,"&gt;"&amp;$B397)=0),NOW(),_xlfn.MINIFS($B$3:$B$5000,$A$3:$A$5000,$A397,$B$3:$B$5000,"&gt;"&amp;$B397))</f>
        <v>46279.5987642944</v>
      </c>
    </row>
    <row r="398" customFormat="false" ht="15" hidden="false" customHeight="true" outlineLevel="0" collapsed="false">
      <c r="A398" s="42"/>
      <c r="B398" s="42"/>
      <c r="C398" s="42"/>
      <c r="D398" s="42"/>
      <c r="E398" s="42"/>
      <c r="F398" s="51" t="n">
        <f aca="false">IF(OR(C398="",D398="",E398="",E398=0),0,C398*D398/E398)</f>
        <v>0</v>
      </c>
      <c r="G398" s="42"/>
      <c r="H398" s="49" t="n">
        <f aca="true">IF(OR($A398="",_xlfn.MINIFS($B$3:$B$5000,$A$3:$A$5000,$A398,$B$3:$B$5000,"&gt;"&amp;$B398)=0),NOW(),_xlfn.MINIFS($B$3:$B$5000,$A$3:$A$5000,$A398,$B$3:$B$5000,"&gt;"&amp;$B398))</f>
        <v>46279.5987642944</v>
      </c>
    </row>
    <row r="399" customFormat="false" ht="15" hidden="false" customHeight="true" outlineLevel="0" collapsed="false">
      <c r="A399" s="42"/>
      <c r="B399" s="42"/>
      <c r="C399" s="42"/>
      <c r="D399" s="42"/>
      <c r="E399" s="42"/>
      <c r="F399" s="51" t="n">
        <f aca="false">IF(OR(C399="",D399="",E399="",E399=0),0,C399*D399/E399)</f>
        <v>0</v>
      </c>
      <c r="G399" s="42"/>
      <c r="H399" s="49" t="n">
        <f aca="true">IF(OR($A399="",_xlfn.MINIFS($B$3:$B$5000,$A$3:$A$5000,$A399,$B$3:$B$5000,"&gt;"&amp;$B399)=0),NOW(),_xlfn.MINIFS($B$3:$B$5000,$A$3:$A$5000,$A399,$B$3:$B$5000,"&gt;"&amp;$B399))</f>
        <v>46279.5987642945</v>
      </c>
    </row>
    <row r="400" customFormat="false" ht="15" hidden="false" customHeight="true" outlineLevel="0" collapsed="false">
      <c r="A400" s="42"/>
      <c r="B400" s="42"/>
      <c r="C400" s="42"/>
      <c r="D400" s="42"/>
      <c r="E400" s="42"/>
      <c r="F400" s="51" t="n">
        <f aca="false">IF(OR(C400="",D400="",E400="",E400=0),0,C400*D400/E400)</f>
        <v>0</v>
      </c>
      <c r="G400" s="42"/>
      <c r="H400" s="49" t="n">
        <f aca="true">IF(OR($A400="",_xlfn.MINIFS($B$3:$B$5000,$A$3:$A$5000,$A400,$B$3:$B$5000,"&gt;"&amp;$B400)=0),NOW(),_xlfn.MINIFS($B$3:$B$5000,$A$3:$A$5000,$A400,$B$3:$B$5000,"&gt;"&amp;$B400))</f>
        <v>46279.5987642945</v>
      </c>
    </row>
    <row r="401" customFormat="false" ht="15" hidden="false" customHeight="true" outlineLevel="0" collapsed="false">
      <c r="A401" s="42"/>
      <c r="B401" s="42"/>
      <c r="C401" s="42"/>
      <c r="D401" s="42"/>
      <c r="E401" s="42"/>
      <c r="F401" s="51" t="n">
        <f aca="false">IF(OR(C401="",D401="",E401="",E401=0),0,C401*D401/E401)</f>
        <v>0</v>
      </c>
      <c r="G401" s="42"/>
      <c r="H401" s="49" t="n">
        <f aca="true">IF(OR($A401="",_xlfn.MINIFS($B$3:$B$5000,$A$3:$A$5000,$A401,$B$3:$B$5000,"&gt;"&amp;$B401)=0),NOW(),_xlfn.MINIFS($B$3:$B$5000,$A$3:$A$5000,$A401,$B$3:$B$5000,"&gt;"&amp;$B401))</f>
        <v>46279.5987642946</v>
      </c>
    </row>
    <row r="402" customFormat="false" ht="15" hidden="false" customHeight="true" outlineLevel="0" collapsed="false">
      <c r="A402" s="42"/>
      <c r="B402" s="42"/>
      <c r="C402" s="42"/>
      <c r="D402" s="42"/>
      <c r="E402" s="42"/>
      <c r="F402" s="51" t="n">
        <f aca="false">IF(OR(C402="",D402="",E402="",E402=0),0,C402*D402/E402)</f>
        <v>0</v>
      </c>
      <c r="G402" s="42"/>
      <c r="H402" s="49" t="n">
        <f aca="true">IF(OR($A402="",_xlfn.MINIFS($B$3:$B$5000,$A$3:$A$5000,$A402,$B$3:$B$5000,"&gt;"&amp;$B402)=0),NOW(),_xlfn.MINIFS($B$3:$B$5000,$A$3:$A$5000,$A402,$B$3:$B$5000,"&gt;"&amp;$B402))</f>
        <v>46279.5987642946</v>
      </c>
    </row>
    <row r="403" customFormat="false" ht="15" hidden="false" customHeight="true" outlineLevel="0" collapsed="false">
      <c r="A403" s="42"/>
      <c r="B403" s="42"/>
      <c r="C403" s="42"/>
      <c r="D403" s="42"/>
      <c r="E403" s="42"/>
      <c r="F403" s="51" t="n">
        <f aca="false">IF(OR(C403="",D403="",E403="",E403=0),0,C403*D403/E403)</f>
        <v>0</v>
      </c>
      <c r="G403" s="42"/>
      <c r="H403" s="49" t="n">
        <f aca="true">IF(OR($A403="",_xlfn.MINIFS($B$3:$B$5000,$A$3:$A$5000,$A403,$B$3:$B$5000,"&gt;"&amp;$B403)=0),NOW(),_xlfn.MINIFS($B$3:$B$5000,$A$3:$A$5000,$A403,$B$3:$B$5000,"&gt;"&amp;$B403))</f>
        <v>46279.5987642947</v>
      </c>
    </row>
    <row r="404" customFormat="false" ht="15" hidden="false" customHeight="true" outlineLevel="0" collapsed="false">
      <c r="A404" s="42"/>
      <c r="B404" s="42"/>
      <c r="C404" s="42"/>
      <c r="D404" s="42"/>
      <c r="E404" s="42"/>
      <c r="F404" s="51" t="n">
        <f aca="false">IF(OR(C404="",D404="",E404="",E404=0),0,C404*D404/E404)</f>
        <v>0</v>
      </c>
      <c r="G404" s="42"/>
      <c r="H404" s="49" t="n">
        <f aca="true">IF(OR($A404="",_xlfn.MINIFS($B$3:$B$5000,$A$3:$A$5000,$A404,$B$3:$B$5000,"&gt;"&amp;$B404)=0),NOW(),_xlfn.MINIFS($B$3:$B$5000,$A$3:$A$5000,$A404,$B$3:$B$5000,"&gt;"&amp;$B404))</f>
        <v>46279.5987642947</v>
      </c>
    </row>
    <row r="405" customFormat="false" ht="15" hidden="false" customHeight="true" outlineLevel="0" collapsed="false">
      <c r="A405" s="42"/>
      <c r="B405" s="42"/>
      <c r="C405" s="42"/>
      <c r="D405" s="42"/>
      <c r="E405" s="42"/>
      <c r="F405" s="51" t="n">
        <f aca="false">IF(OR(C405="",D405="",E405="",E405=0),0,C405*D405/E405)</f>
        <v>0</v>
      </c>
      <c r="G405" s="42"/>
      <c r="H405" s="49" t="n">
        <f aca="true">IF(OR($A405="",_xlfn.MINIFS($B$3:$B$5000,$A$3:$A$5000,$A405,$B$3:$B$5000,"&gt;"&amp;$B405)=0),NOW(),_xlfn.MINIFS($B$3:$B$5000,$A$3:$A$5000,$A405,$B$3:$B$5000,"&gt;"&amp;$B405))</f>
        <v>46279.5987642948</v>
      </c>
    </row>
    <row r="406" customFormat="false" ht="15" hidden="false" customHeight="true" outlineLevel="0" collapsed="false">
      <c r="A406" s="42"/>
      <c r="B406" s="42"/>
      <c r="C406" s="42"/>
      <c r="D406" s="42"/>
      <c r="E406" s="42"/>
      <c r="F406" s="51" t="n">
        <f aca="false">IF(OR(C406="",D406="",E406="",E406=0),0,C406*D406/E406)</f>
        <v>0</v>
      </c>
      <c r="G406" s="42"/>
      <c r="H406" s="49" t="n">
        <f aca="true">IF(OR($A406="",_xlfn.MINIFS($B$3:$B$5000,$A$3:$A$5000,$A406,$B$3:$B$5000,"&gt;"&amp;$B406)=0),NOW(),_xlfn.MINIFS($B$3:$B$5000,$A$3:$A$5000,$A406,$B$3:$B$5000,"&gt;"&amp;$B406))</f>
        <v>46279.5987642948</v>
      </c>
    </row>
    <row r="407" customFormat="false" ht="15" hidden="false" customHeight="true" outlineLevel="0" collapsed="false">
      <c r="A407" s="42"/>
      <c r="B407" s="42"/>
      <c r="C407" s="42"/>
      <c r="D407" s="42"/>
      <c r="E407" s="42"/>
      <c r="F407" s="51" t="n">
        <f aca="false">IF(OR(C407="",D407="",E407="",E407=0),0,C407*D407/E407)</f>
        <v>0</v>
      </c>
      <c r="G407" s="42"/>
      <c r="H407" s="49" t="n">
        <f aca="true">IF(OR($A407="",_xlfn.MINIFS($B$3:$B$5000,$A$3:$A$5000,$A407,$B$3:$B$5000,"&gt;"&amp;$B407)=0),NOW(),_xlfn.MINIFS($B$3:$B$5000,$A$3:$A$5000,$A407,$B$3:$B$5000,"&gt;"&amp;$B407))</f>
        <v>46279.5987642949</v>
      </c>
    </row>
    <row r="408" customFormat="false" ht="15" hidden="false" customHeight="true" outlineLevel="0" collapsed="false">
      <c r="A408" s="42"/>
      <c r="B408" s="42"/>
      <c r="C408" s="42"/>
      <c r="D408" s="42"/>
      <c r="E408" s="42"/>
      <c r="F408" s="51" t="n">
        <f aca="false">IF(OR(C408="",D408="",E408="",E408=0),0,C408*D408/E408)</f>
        <v>0</v>
      </c>
      <c r="G408" s="42"/>
      <c r="H408" s="49" t="n">
        <f aca="true">IF(OR($A408="",_xlfn.MINIFS($B$3:$B$5000,$A$3:$A$5000,$A408,$B$3:$B$5000,"&gt;"&amp;$B408)=0),NOW(),_xlfn.MINIFS($B$3:$B$5000,$A$3:$A$5000,$A408,$B$3:$B$5000,"&gt;"&amp;$B408))</f>
        <v>46279.5987642949</v>
      </c>
    </row>
    <row r="409" customFormat="false" ht="15" hidden="false" customHeight="true" outlineLevel="0" collapsed="false">
      <c r="A409" s="42"/>
      <c r="B409" s="42"/>
      <c r="C409" s="42"/>
      <c r="D409" s="42"/>
      <c r="E409" s="42"/>
      <c r="F409" s="51" t="n">
        <f aca="false">IF(OR(C409="",D409="",E409="",E409=0),0,C409*D409/E409)</f>
        <v>0</v>
      </c>
      <c r="G409" s="42"/>
      <c r="H409" s="49" t="n">
        <f aca="true">IF(OR($A409="",_xlfn.MINIFS($B$3:$B$5000,$A$3:$A$5000,$A409,$B$3:$B$5000,"&gt;"&amp;$B409)=0),NOW(),_xlfn.MINIFS($B$3:$B$5000,$A$3:$A$5000,$A409,$B$3:$B$5000,"&gt;"&amp;$B409))</f>
        <v>46279.598764295</v>
      </c>
    </row>
    <row r="410" customFormat="false" ht="15" hidden="false" customHeight="true" outlineLevel="0" collapsed="false">
      <c r="A410" s="42"/>
      <c r="B410" s="42"/>
      <c r="C410" s="42"/>
      <c r="D410" s="42"/>
      <c r="E410" s="42"/>
      <c r="F410" s="51" t="n">
        <f aca="false">IF(OR(C410="",D410="",E410="",E410=0),0,C410*D410/E410)</f>
        <v>0</v>
      </c>
      <c r="G410" s="42"/>
      <c r="H410" s="49" t="n">
        <f aca="true">IF(OR($A410="",_xlfn.MINIFS($B$3:$B$5000,$A$3:$A$5000,$A410,$B$3:$B$5000,"&gt;"&amp;$B410)=0),NOW(),_xlfn.MINIFS($B$3:$B$5000,$A$3:$A$5000,$A410,$B$3:$B$5000,"&gt;"&amp;$B410))</f>
        <v>46279.598764295</v>
      </c>
    </row>
    <row r="411" customFormat="false" ht="15" hidden="false" customHeight="true" outlineLevel="0" collapsed="false">
      <c r="A411" s="42"/>
      <c r="B411" s="42"/>
      <c r="C411" s="42"/>
      <c r="D411" s="42"/>
      <c r="E411" s="42"/>
      <c r="F411" s="51" t="n">
        <f aca="false">IF(OR(C411="",D411="",E411="",E411=0),0,C411*D411/E411)</f>
        <v>0</v>
      </c>
      <c r="G411" s="42"/>
      <c r="H411" s="49" t="n">
        <f aca="true">IF(OR($A411="",_xlfn.MINIFS($B$3:$B$5000,$A$3:$A$5000,$A411,$B$3:$B$5000,"&gt;"&amp;$B411)=0),NOW(),_xlfn.MINIFS($B$3:$B$5000,$A$3:$A$5000,$A411,$B$3:$B$5000,"&gt;"&amp;$B411))</f>
        <v>46279.5987642951</v>
      </c>
    </row>
    <row r="412" customFormat="false" ht="15" hidden="false" customHeight="true" outlineLevel="0" collapsed="false">
      <c r="A412" s="42"/>
      <c r="B412" s="42"/>
      <c r="C412" s="42"/>
      <c r="D412" s="42"/>
      <c r="E412" s="42"/>
      <c r="F412" s="51" t="n">
        <f aca="false">IF(OR(C412="",D412="",E412="",E412=0),0,C412*D412/E412)</f>
        <v>0</v>
      </c>
      <c r="G412" s="42"/>
      <c r="H412" s="49" t="n">
        <f aca="true">IF(OR($A412="",_xlfn.MINIFS($B$3:$B$5000,$A$3:$A$5000,$A412,$B$3:$B$5000,"&gt;"&amp;$B412)=0),NOW(),_xlfn.MINIFS($B$3:$B$5000,$A$3:$A$5000,$A412,$B$3:$B$5000,"&gt;"&amp;$B412))</f>
        <v>46279.5987642951</v>
      </c>
    </row>
    <row r="413" customFormat="false" ht="15" hidden="false" customHeight="true" outlineLevel="0" collapsed="false">
      <c r="A413" s="42"/>
      <c r="B413" s="42"/>
      <c r="C413" s="42"/>
      <c r="D413" s="42"/>
      <c r="E413" s="42"/>
      <c r="F413" s="51" t="n">
        <f aca="false">IF(OR(C413="",D413="",E413="",E413=0),0,C413*D413/E413)</f>
        <v>0</v>
      </c>
      <c r="G413" s="42"/>
      <c r="H413" s="49" t="n">
        <f aca="true">IF(OR($A413="",_xlfn.MINIFS($B$3:$B$5000,$A$3:$A$5000,$A413,$B$3:$B$5000,"&gt;"&amp;$B413)=0),NOW(),_xlfn.MINIFS($B$3:$B$5000,$A$3:$A$5000,$A413,$B$3:$B$5000,"&gt;"&amp;$B413))</f>
        <v>46279.5987642952</v>
      </c>
    </row>
    <row r="414" customFormat="false" ht="15" hidden="false" customHeight="true" outlineLevel="0" collapsed="false">
      <c r="A414" s="42"/>
      <c r="B414" s="42"/>
      <c r="C414" s="42"/>
      <c r="D414" s="42"/>
      <c r="E414" s="42"/>
      <c r="F414" s="51" t="n">
        <f aca="false">IF(OR(C414="",D414="",E414="",E414=0),0,C414*D414/E414)</f>
        <v>0</v>
      </c>
      <c r="G414" s="42"/>
      <c r="H414" s="49" t="n">
        <f aca="true">IF(OR($A414="",_xlfn.MINIFS($B$3:$B$5000,$A$3:$A$5000,$A414,$B$3:$B$5000,"&gt;"&amp;$B414)=0),NOW(),_xlfn.MINIFS($B$3:$B$5000,$A$3:$A$5000,$A414,$B$3:$B$5000,"&gt;"&amp;$B414))</f>
        <v>46279.5987642952</v>
      </c>
    </row>
    <row r="415" customFormat="false" ht="15" hidden="false" customHeight="true" outlineLevel="0" collapsed="false">
      <c r="A415" s="42"/>
      <c r="B415" s="42"/>
      <c r="C415" s="42"/>
      <c r="D415" s="42"/>
      <c r="E415" s="42"/>
      <c r="F415" s="51" t="n">
        <f aca="false">IF(OR(C415="",D415="",E415="",E415=0),0,C415*D415/E415)</f>
        <v>0</v>
      </c>
      <c r="G415" s="42"/>
      <c r="H415" s="49" t="n">
        <f aca="true">IF(OR($A415="",_xlfn.MINIFS($B$3:$B$5000,$A$3:$A$5000,$A415,$B$3:$B$5000,"&gt;"&amp;$B415)=0),NOW(),_xlfn.MINIFS($B$3:$B$5000,$A$3:$A$5000,$A415,$B$3:$B$5000,"&gt;"&amp;$B415))</f>
        <v>46279.5987642953</v>
      </c>
    </row>
    <row r="416" customFormat="false" ht="15" hidden="false" customHeight="true" outlineLevel="0" collapsed="false">
      <c r="A416" s="42"/>
      <c r="B416" s="42"/>
      <c r="C416" s="42"/>
      <c r="D416" s="42"/>
      <c r="E416" s="42"/>
      <c r="F416" s="51" t="n">
        <f aca="false">IF(OR(C416="",D416="",E416="",E416=0),0,C416*D416/E416)</f>
        <v>0</v>
      </c>
      <c r="G416" s="42"/>
      <c r="H416" s="49" t="n">
        <f aca="true">IF(OR($A416="",_xlfn.MINIFS($B$3:$B$5000,$A$3:$A$5000,$A416,$B$3:$B$5000,"&gt;"&amp;$B416)=0),NOW(),_xlfn.MINIFS($B$3:$B$5000,$A$3:$A$5000,$A416,$B$3:$B$5000,"&gt;"&amp;$B416))</f>
        <v>46279.5987642953</v>
      </c>
    </row>
    <row r="417" customFormat="false" ht="15" hidden="false" customHeight="true" outlineLevel="0" collapsed="false">
      <c r="A417" s="42"/>
      <c r="B417" s="42"/>
      <c r="C417" s="42"/>
      <c r="D417" s="42"/>
      <c r="E417" s="42"/>
      <c r="F417" s="51" t="n">
        <f aca="false">IF(OR(C417="",D417="",E417="",E417=0),0,C417*D417/E417)</f>
        <v>0</v>
      </c>
      <c r="G417" s="42"/>
      <c r="H417" s="49" t="n">
        <f aca="true">IF(OR($A417="",_xlfn.MINIFS($B$3:$B$5000,$A$3:$A$5000,$A417,$B$3:$B$5000,"&gt;"&amp;$B417)=0),NOW(),_xlfn.MINIFS($B$3:$B$5000,$A$3:$A$5000,$A417,$B$3:$B$5000,"&gt;"&amp;$B417))</f>
        <v>46279.5987642954</v>
      </c>
    </row>
    <row r="418" customFormat="false" ht="15" hidden="false" customHeight="true" outlineLevel="0" collapsed="false">
      <c r="A418" s="42"/>
      <c r="B418" s="42"/>
      <c r="C418" s="42"/>
      <c r="D418" s="42"/>
      <c r="E418" s="42"/>
      <c r="F418" s="51" t="n">
        <f aca="false">IF(OR(C418="",D418="",E418="",E418=0),0,C418*D418/E418)</f>
        <v>0</v>
      </c>
      <c r="G418" s="42"/>
      <c r="H418" s="49" t="n">
        <f aca="true">IF(OR($A418="",_xlfn.MINIFS($B$3:$B$5000,$A$3:$A$5000,$A418,$B$3:$B$5000,"&gt;"&amp;$B418)=0),NOW(),_xlfn.MINIFS($B$3:$B$5000,$A$3:$A$5000,$A418,$B$3:$B$5000,"&gt;"&amp;$B418))</f>
        <v>46279.5987642954</v>
      </c>
    </row>
    <row r="419" customFormat="false" ht="15" hidden="false" customHeight="true" outlineLevel="0" collapsed="false">
      <c r="A419" s="42"/>
      <c r="B419" s="42"/>
      <c r="C419" s="42"/>
      <c r="D419" s="42"/>
      <c r="E419" s="42"/>
      <c r="F419" s="51" t="n">
        <f aca="false">IF(OR(C419="",D419="",E419="",E419=0),0,C419*D419/E419)</f>
        <v>0</v>
      </c>
      <c r="G419" s="42"/>
      <c r="H419" s="49" t="n">
        <f aca="true">IF(OR($A419="",_xlfn.MINIFS($B$3:$B$5000,$A$3:$A$5000,$A419,$B$3:$B$5000,"&gt;"&amp;$B419)=0),NOW(),_xlfn.MINIFS($B$3:$B$5000,$A$3:$A$5000,$A419,$B$3:$B$5000,"&gt;"&amp;$B419))</f>
        <v>46279.5987642955</v>
      </c>
    </row>
    <row r="420" customFormat="false" ht="15" hidden="false" customHeight="true" outlineLevel="0" collapsed="false">
      <c r="A420" s="42"/>
      <c r="B420" s="42"/>
      <c r="C420" s="42"/>
      <c r="D420" s="42"/>
      <c r="E420" s="42"/>
      <c r="F420" s="51" t="n">
        <f aca="false">IF(OR(C420="",D420="",E420="",E420=0),0,C420*D420/E420)</f>
        <v>0</v>
      </c>
      <c r="G420" s="42"/>
      <c r="H420" s="49" t="n">
        <f aca="true">IF(OR($A420="",_xlfn.MINIFS($B$3:$B$5000,$A$3:$A$5000,$A420,$B$3:$B$5000,"&gt;"&amp;$B420)=0),NOW(),_xlfn.MINIFS($B$3:$B$5000,$A$3:$A$5000,$A420,$B$3:$B$5000,"&gt;"&amp;$B420))</f>
        <v>46279.5987642955</v>
      </c>
    </row>
    <row r="421" customFormat="false" ht="15" hidden="false" customHeight="true" outlineLevel="0" collapsed="false">
      <c r="A421" s="42"/>
      <c r="B421" s="42"/>
      <c r="C421" s="42"/>
      <c r="D421" s="42"/>
      <c r="E421" s="42"/>
      <c r="F421" s="51" t="n">
        <f aca="false">IF(OR(C421="",D421="",E421="",E421=0),0,C421*D421/E421)</f>
        <v>0</v>
      </c>
      <c r="G421" s="42"/>
      <c r="H421" s="49" t="n">
        <f aca="true">IF(OR($A421="",_xlfn.MINIFS($B$3:$B$5000,$A$3:$A$5000,$A421,$B$3:$B$5000,"&gt;"&amp;$B421)=0),NOW(),_xlfn.MINIFS($B$3:$B$5000,$A$3:$A$5000,$A421,$B$3:$B$5000,"&gt;"&amp;$B421))</f>
        <v>46279.5987642956</v>
      </c>
    </row>
    <row r="422" customFormat="false" ht="15" hidden="false" customHeight="true" outlineLevel="0" collapsed="false">
      <c r="A422" s="42"/>
      <c r="B422" s="42"/>
      <c r="C422" s="42"/>
      <c r="D422" s="42"/>
      <c r="E422" s="42"/>
      <c r="F422" s="51" t="n">
        <f aca="false">IF(OR(C422="",D422="",E422="",E422=0),0,C422*D422/E422)</f>
        <v>0</v>
      </c>
      <c r="G422" s="42"/>
      <c r="H422" s="49" t="n">
        <f aca="true">IF(OR($A422="",_xlfn.MINIFS($B$3:$B$5000,$A$3:$A$5000,$A422,$B$3:$B$5000,"&gt;"&amp;$B422)=0),NOW(),_xlfn.MINIFS($B$3:$B$5000,$A$3:$A$5000,$A422,$B$3:$B$5000,"&gt;"&amp;$B422))</f>
        <v>46279.5987642956</v>
      </c>
    </row>
    <row r="423" customFormat="false" ht="15" hidden="false" customHeight="true" outlineLevel="0" collapsed="false">
      <c r="A423" s="42"/>
      <c r="B423" s="42"/>
      <c r="C423" s="42"/>
      <c r="D423" s="42"/>
      <c r="E423" s="42"/>
      <c r="F423" s="51" t="n">
        <f aca="false">IF(OR(C423="",D423="",E423="",E423=0),0,C423*D423/E423)</f>
        <v>0</v>
      </c>
      <c r="G423" s="42"/>
      <c r="H423" s="49" t="n">
        <f aca="true">IF(OR($A423="",_xlfn.MINIFS($B$3:$B$5000,$A$3:$A$5000,$A423,$B$3:$B$5000,"&gt;"&amp;$B423)=0),NOW(),_xlfn.MINIFS($B$3:$B$5000,$A$3:$A$5000,$A423,$B$3:$B$5000,"&gt;"&amp;$B423))</f>
        <v>46279.5987642957</v>
      </c>
    </row>
    <row r="424" customFormat="false" ht="15" hidden="false" customHeight="true" outlineLevel="0" collapsed="false">
      <c r="A424" s="42"/>
      <c r="B424" s="42"/>
      <c r="C424" s="42"/>
      <c r="D424" s="42"/>
      <c r="E424" s="42"/>
      <c r="F424" s="51" t="n">
        <f aca="false">IF(OR(C424="",D424="",E424="",E424=0),0,C424*D424/E424)</f>
        <v>0</v>
      </c>
      <c r="G424" s="42"/>
      <c r="H424" s="49" t="n">
        <f aca="true">IF(OR($A424="",_xlfn.MINIFS($B$3:$B$5000,$A$3:$A$5000,$A424,$B$3:$B$5000,"&gt;"&amp;$B424)=0),NOW(),_xlfn.MINIFS($B$3:$B$5000,$A$3:$A$5000,$A424,$B$3:$B$5000,"&gt;"&amp;$B424))</f>
        <v>46279.5987642957</v>
      </c>
    </row>
    <row r="425" customFormat="false" ht="15" hidden="false" customHeight="true" outlineLevel="0" collapsed="false">
      <c r="A425" s="42"/>
      <c r="B425" s="42"/>
      <c r="C425" s="42"/>
      <c r="D425" s="42"/>
      <c r="E425" s="42"/>
      <c r="F425" s="51" t="n">
        <f aca="false">IF(OR(C425="",D425="",E425="",E425=0),0,C425*D425/E425)</f>
        <v>0</v>
      </c>
      <c r="G425" s="42"/>
      <c r="H425" s="49" t="n">
        <f aca="true">IF(OR($A425="",_xlfn.MINIFS($B$3:$B$5000,$A$3:$A$5000,$A425,$B$3:$B$5000,"&gt;"&amp;$B425)=0),NOW(),_xlfn.MINIFS($B$3:$B$5000,$A$3:$A$5000,$A425,$B$3:$B$5000,"&gt;"&amp;$B425))</f>
        <v>46279.5987642958</v>
      </c>
    </row>
    <row r="426" customFormat="false" ht="15" hidden="false" customHeight="true" outlineLevel="0" collapsed="false">
      <c r="A426" s="42"/>
      <c r="B426" s="42"/>
      <c r="C426" s="42"/>
      <c r="D426" s="42"/>
      <c r="E426" s="42"/>
      <c r="F426" s="51" t="n">
        <f aca="false">IF(OR(C426="",D426="",E426="",E426=0),0,C426*D426/E426)</f>
        <v>0</v>
      </c>
      <c r="G426" s="42"/>
      <c r="H426" s="49" t="n">
        <f aca="true">IF(OR($A426="",_xlfn.MINIFS($B$3:$B$5000,$A$3:$A$5000,$A426,$B$3:$B$5000,"&gt;"&amp;$B426)=0),NOW(),_xlfn.MINIFS($B$3:$B$5000,$A$3:$A$5000,$A426,$B$3:$B$5000,"&gt;"&amp;$B426))</f>
        <v>46279.5987642958</v>
      </c>
    </row>
    <row r="427" customFormat="false" ht="15" hidden="false" customHeight="true" outlineLevel="0" collapsed="false">
      <c r="A427" s="42"/>
      <c r="B427" s="42"/>
      <c r="C427" s="42"/>
      <c r="D427" s="42"/>
      <c r="E427" s="42"/>
      <c r="F427" s="51" t="n">
        <f aca="false">IF(OR(C427="",D427="",E427="",E427=0),0,C427*D427/E427)</f>
        <v>0</v>
      </c>
      <c r="G427" s="42"/>
      <c r="H427" s="49" t="n">
        <f aca="true">IF(OR($A427="",_xlfn.MINIFS($B$3:$B$5000,$A$3:$A$5000,$A427,$B$3:$B$5000,"&gt;"&amp;$B427)=0),NOW(),_xlfn.MINIFS($B$3:$B$5000,$A$3:$A$5000,$A427,$B$3:$B$5000,"&gt;"&amp;$B427))</f>
        <v>46279.5987642959</v>
      </c>
    </row>
    <row r="428" customFormat="false" ht="15" hidden="false" customHeight="true" outlineLevel="0" collapsed="false">
      <c r="A428" s="42"/>
      <c r="B428" s="42"/>
      <c r="C428" s="42"/>
      <c r="D428" s="42"/>
      <c r="E428" s="42"/>
      <c r="F428" s="51" t="n">
        <f aca="false">IF(OR(C428="",D428="",E428="",E428=0),0,C428*D428/E428)</f>
        <v>0</v>
      </c>
      <c r="G428" s="42"/>
      <c r="H428" s="49" t="n">
        <f aca="true">IF(OR($A428="",_xlfn.MINIFS($B$3:$B$5000,$A$3:$A$5000,$A428,$B$3:$B$5000,"&gt;"&amp;$B428)=0),NOW(),_xlfn.MINIFS($B$3:$B$5000,$A$3:$A$5000,$A428,$B$3:$B$5000,"&gt;"&amp;$B428))</f>
        <v>46279.5987642959</v>
      </c>
    </row>
    <row r="429" customFormat="false" ht="15" hidden="false" customHeight="true" outlineLevel="0" collapsed="false">
      <c r="A429" s="42"/>
      <c r="B429" s="42"/>
      <c r="C429" s="42"/>
      <c r="D429" s="42"/>
      <c r="E429" s="42"/>
      <c r="F429" s="51" t="n">
        <f aca="false">IF(OR(C429="",D429="",E429="",E429=0),0,C429*D429/E429)</f>
        <v>0</v>
      </c>
      <c r="G429" s="42"/>
      <c r="H429" s="49" t="n">
        <f aca="true">IF(OR($A429="",_xlfn.MINIFS($B$3:$B$5000,$A$3:$A$5000,$A429,$B$3:$B$5000,"&gt;"&amp;$B429)=0),NOW(),_xlfn.MINIFS($B$3:$B$5000,$A$3:$A$5000,$A429,$B$3:$B$5000,"&gt;"&amp;$B429))</f>
        <v>46279.598764296</v>
      </c>
    </row>
    <row r="430" customFormat="false" ht="15" hidden="false" customHeight="true" outlineLevel="0" collapsed="false">
      <c r="A430" s="42"/>
      <c r="B430" s="42"/>
      <c r="C430" s="42"/>
      <c r="D430" s="42"/>
      <c r="E430" s="42"/>
      <c r="F430" s="51" t="n">
        <f aca="false">IF(OR(C430="",D430="",E430="",E430=0),0,C430*D430/E430)</f>
        <v>0</v>
      </c>
      <c r="G430" s="42"/>
      <c r="H430" s="49" t="n">
        <f aca="true">IF(OR($A430="",_xlfn.MINIFS($B$3:$B$5000,$A$3:$A$5000,$A430,$B$3:$B$5000,"&gt;"&amp;$B430)=0),NOW(),_xlfn.MINIFS($B$3:$B$5000,$A$3:$A$5000,$A430,$B$3:$B$5000,"&gt;"&amp;$B430))</f>
        <v>46279.598764296</v>
      </c>
    </row>
    <row r="431" customFormat="false" ht="15" hidden="false" customHeight="true" outlineLevel="0" collapsed="false">
      <c r="A431" s="42"/>
      <c r="B431" s="42"/>
      <c r="C431" s="42"/>
      <c r="D431" s="42"/>
      <c r="E431" s="42"/>
      <c r="F431" s="51" t="n">
        <f aca="false">IF(OR(C431="",D431="",E431="",E431=0),0,C431*D431/E431)</f>
        <v>0</v>
      </c>
      <c r="G431" s="42"/>
      <c r="H431" s="49" t="n">
        <f aca="true">IF(OR($A431="",_xlfn.MINIFS($B$3:$B$5000,$A$3:$A$5000,$A431,$B$3:$B$5000,"&gt;"&amp;$B431)=0),NOW(),_xlfn.MINIFS($B$3:$B$5000,$A$3:$A$5000,$A431,$B$3:$B$5000,"&gt;"&amp;$B431))</f>
        <v>46279.5987642961</v>
      </c>
    </row>
    <row r="432" customFormat="false" ht="15" hidden="false" customHeight="true" outlineLevel="0" collapsed="false">
      <c r="A432" s="42"/>
      <c r="B432" s="42"/>
      <c r="C432" s="42"/>
      <c r="D432" s="42"/>
      <c r="E432" s="42"/>
      <c r="F432" s="51" t="n">
        <f aca="false">IF(OR(C432="",D432="",E432="",E432=0),0,C432*D432/E432)</f>
        <v>0</v>
      </c>
      <c r="G432" s="42"/>
      <c r="H432" s="49" t="n">
        <f aca="true">IF(OR($A432="",_xlfn.MINIFS($B$3:$B$5000,$A$3:$A$5000,$A432,$B$3:$B$5000,"&gt;"&amp;$B432)=0),NOW(),_xlfn.MINIFS($B$3:$B$5000,$A$3:$A$5000,$A432,$B$3:$B$5000,"&gt;"&amp;$B432))</f>
        <v>46279.5987642961</v>
      </c>
    </row>
    <row r="433" customFormat="false" ht="15" hidden="false" customHeight="true" outlineLevel="0" collapsed="false">
      <c r="A433" s="42"/>
      <c r="B433" s="42"/>
      <c r="C433" s="42"/>
      <c r="D433" s="42"/>
      <c r="E433" s="42"/>
      <c r="F433" s="51" t="n">
        <f aca="false">IF(OR(C433="",D433="",E433="",E433=0),0,C433*D433/E433)</f>
        <v>0</v>
      </c>
      <c r="G433" s="42"/>
      <c r="H433" s="49" t="n">
        <f aca="true">IF(OR($A433="",_xlfn.MINIFS($B$3:$B$5000,$A$3:$A$5000,$A433,$B$3:$B$5000,"&gt;"&amp;$B433)=0),NOW(),_xlfn.MINIFS($B$3:$B$5000,$A$3:$A$5000,$A433,$B$3:$B$5000,"&gt;"&amp;$B433))</f>
        <v>46279.5987642962</v>
      </c>
    </row>
    <row r="434" customFormat="false" ht="15" hidden="false" customHeight="true" outlineLevel="0" collapsed="false">
      <c r="A434" s="42"/>
      <c r="B434" s="42"/>
      <c r="C434" s="42"/>
      <c r="D434" s="42"/>
      <c r="E434" s="42"/>
      <c r="F434" s="51" t="n">
        <f aca="false">IF(OR(C434="",D434="",E434="",E434=0),0,C434*D434/E434)</f>
        <v>0</v>
      </c>
      <c r="G434" s="42"/>
      <c r="H434" s="49" t="n">
        <f aca="true">IF(OR($A434="",_xlfn.MINIFS($B$3:$B$5000,$A$3:$A$5000,$A434,$B$3:$B$5000,"&gt;"&amp;$B434)=0),NOW(),_xlfn.MINIFS($B$3:$B$5000,$A$3:$A$5000,$A434,$B$3:$B$5000,"&gt;"&amp;$B434))</f>
        <v>46279.5987642963</v>
      </c>
    </row>
    <row r="435" customFormat="false" ht="15" hidden="false" customHeight="true" outlineLevel="0" collapsed="false">
      <c r="A435" s="42"/>
      <c r="B435" s="42"/>
      <c r="C435" s="42"/>
      <c r="D435" s="42"/>
      <c r="E435" s="42"/>
      <c r="F435" s="51" t="n">
        <f aca="false">IF(OR(C435="",D435="",E435="",E435=0),0,C435*D435/E435)</f>
        <v>0</v>
      </c>
      <c r="G435" s="42"/>
      <c r="H435" s="49" t="n">
        <f aca="true">IF(OR($A435="",_xlfn.MINIFS($B$3:$B$5000,$A$3:$A$5000,$A435,$B$3:$B$5000,"&gt;"&amp;$B435)=0),NOW(),_xlfn.MINIFS($B$3:$B$5000,$A$3:$A$5000,$A435,$B$3:$B$5000,"&gt;"&amp;$B435))</f>
        <v>46279.5987642963</v>
      </c>
    </row>
    <row r="436" customFormat="false" ht="15" hidden="false" customHeight="true" outlineLevel="0" collapsed="false">
      <c r="A436" s="42"/>
      <c r="B436" s="42"/>
      <c r="C436" s="42"/>
      <c r="D436" s="42"/>
      <c r="E436" s="42"/>
      <c r="F436" s="51" t="n">
        <f aca="false">IF(OR(C436="",D436="",E436="",E436=0),0,C436*D436/E436)</f>
        <v>0</v>
      </c>
      <c r="G436" s="42"/>
      <c r="H436" s="49" t="n">
        <f aca="true">IF(OR($A436="",_xlfn.MINIFS($B$3:$B$5000,$A$3:$A$5000,$A436,$B$3:$B$5000,"&gt;"&amp;$B436)=0),NOW(),_xlfn.MINIFS($B$3:$B$5000,$A$3:$A$5000,$A436,$B$3:$B$5000,"&gt;"&amp;$B436))</f>
        <v>46279.5987642964</v>
      </c>
    </row>
    <row r="437" customFormat="false" ht="15" hidden="false" customHeight="true" outlineLevel="0" collapsed="false">
      <c r="A437" s="42"/>
      <c r="B437" s="42"/>
      <c r="C437" s="42"/>
      <c r="D437" s="42"/>
      <c r="E437" s="42"/>
      <c r="F437" s="51" t="n">
        <f aca="false">IF(OR(C437="",D437="",E437="",E437=0),0,C437*D437/E437)</f>
        <v>0</v>
      </c>
      <c r="G437" s="42"/>
      <c r="H437" s="49" t="n">
        <f aca="true">IF(OR($A437="",_xlfn.MINIFS($B$3:$B$5000,$A$3:$A$5000,$A437,$B$3:$B$5000,"&gt;"&amp;$B437)=0),NOW(),_xlfn.MINIFS($B$3:$B$5000,$A$3:$A$5000,$A437,$B$3:$B$5000,"&gt;"&amp;$B437))</f>
        <v>46279.5987642964</v>
      </c>
    </row>
    <row r="438" customFormat="false" ht="15" hidden="false" customHeight="true" outlineLevel="0" collapsed="false">
      <c r="A438" s="42"/>
      <c r="B438" s="42"/>
      <c r="C438" s="42"/>
      <c r="D438" s="42"/>
      <c r="E438" s="42"/>
      <c r="F438" s="51" t="n">
        <f aca="false">IF(OR(C438="",D438="",E438="",E438=0),0,C438*D438/E438)</f>
        <v>0</v>
      </c>
      <c r="G438" s="42"/>
      <c r="H438" s="49" t="n">
        <f aca="true">IF(OR($A438="",_xlfn.MINIFS($B$3:$B$5000,$A$3:$A$5000,$A438,$B$3:$B$5000,"&gt;"&amp;$B438)=0),NOW(),_xlfn.MINIFS($B$3:$B$5000,$A$3:$A$5000,$A438,$B$3:$B$5000,"&gt;"&amp;$B438))</f>
        <v>46279.5987642965</v>
      </c>
    </row>
    <row r="439" customFormat="false" ht="15" hidden="false" customHeight="true" outlineLevel="0" collapsed="false">
      <c r="A439" s="42"/>
      <c r="B439" s="42"/>
      <c r="C439" s="42"/>
      <c r="D439" s="42"/>
      <c r="E439" s="42"/>
      <c r="F439" s="51" t="n">
        <f aca="false">IF(OR(C439="",D439="",E439="",E439=0),0,C439*D439/E439)</f>
        <v>0</v>
      </c>
      <c r="G439" s="42"/>
      <c r="H439" s="49" t="n">
        <f aca="true">IF(OR($A439="",_xlfn.MINIFS($B$3:$B$5000,$A$3:$A$5000,$A439,$B$3:$B$5000,"&gt;"&amp;$B439)=0),NOW(),_xlfn.MINIFS($B$3:$B$5000,$A$3:$A$5000,$A439,$B$3:$B$5000,"&gt;"&amp;$B439))</f>
        <v>46279.5987642965</v>
      </c>
    </row>
    <row r="440" customFormat="false" ht="15" hidden="false" customHeight="true" outlineLevel="0" collapsed="false">
      <c r="A440" s="42"/>
      <c r="B440" s="42"/>
      <c r="C440" s="42"/>
      <c r="D440" s="42"/>
      <c r="E440" s="42"/>
      <c r="F440" s="51" t="n">
        <f aca="false">IF(OR(C440="",D440="",E440="",E440=0),0,C440*D440/E440)</f>
        <v>0</v>
      </c>
      <c r="G440" s="42"/>
      <c r="H440" s="49" t="n">
        <f aca="true">IF(OR($A440="",_xlfn.MINIFS($B$3:$B$5000,$A$3:$A$5000,$A440,$B$3:$B$5000,"&gt;"&amp;$B440)=0),NOW(),_xlfn.MINIFS($B$3:$B$5000,$A$3:$A$5000,$A440,$B$3:$B$5000,"&gt;"&amp;$B440))</f>
        <v>46279.5987642966</v>
      </c>
    </row>
    <row r="441" customFormat="false" ht="15" hidden="false" customHeight="true" outlineLevel="0" collapsed="false">
      <c r="A441" s="42"/>
      <c r="B441" s="42"/>
      <c r="C441" s="42"/>
      <c r="D441" s="42"/>
      <c r="E441" s="42"/>
      <c r="F441" s="51" t="n">
        <f aca="false">IF(OR(C441="",D441="",E441="",E441=0),0,C441*D441/E441)</f>
        <v>0</v>
      </c>
      <c r="G441" s="42"/>
      <c r="H441" s="49" t="n">
        <f aca="true">IF(OR($A441="",_xlfn.MINIFS($B$3:$B$5000,$A$3:$A$5000,$A441,$B$3:$B$5000,"&gt;"&amp;$B441)=0),NOW(),_xlfn.MINIFS($B$3:$B$5000,$A$3:$A$5000,$A441,$B$3:$B$5000,"&gt;"&amp;$B441))</f>
        <v>46279.5987642966</v>
      </c>
    </row>
    <row r="442" customFormat="false" ht="15" hidden="false" customHeight="true" outlineLevel="0" collapsed="false">
      <c r="A442" s="42"/>
      <c r="B442" s="42"/>
      <c r="C442" s="42"/>
      <c r="D442" s="42"/>
      <c r="E442" s="42"/>
      <c r="F442" s="51" t="n">
        <f aca="false">IF(OR(C442="",D442="",E442="",E442=0),0,C442*D442/E442)</f>
        <v>0</v>
      </c>
      <c r="G442" s="42"/>
      <c r="H442" s="49" t="n">
        <f aca="true">IF(OR($A442="",_xlfn.MINIFS($B$3:$B$5000,$A$3:$A$5000,$A442,$B$3:$B$5000,"&gt;"&amp;$B442)=0),NOW(),_xlfn.MINIFS($B$3:$B$5000,$A$3:$A$5000,$A442,$B$3:$B$5000,"&gt;"&amp;$B442))</f>
        <v>46279.5987642967</v>
      </c>
    </row>
    <row r="443" customFormat="false" ht="15" hidden="false" customHeight="true" outlineLevel="0" collapsed="false">
      <c r="A443" s="42"/>
      <c r="B443" s="42"/>
      <c r="C443" s="42"/>
      <c r="D443" s="42"/>
      <c r="E443" s="42"/>
      <c r="F443" s="51" t="n">
        <f aca="false">IF(OR(C443="",D443="",E443="",E443=0),0,C443*D443/E443)</f>
        <v>0</v>
      </c>
      <c r="G443" s="42"/>
      <c r="H443" s="49" t="n">
        <f aca="true">IF(OR($A443="",_xlfn.MINIFS($B$3:$B$5000,$A$3:$A$5000,$A443,$B$3:$B$5000,"&gt;"&amp;$B443)=0),NOW(),_xlfn.MINIFS($B$3:$B$5000,$A$3:$A$5000,$A443,$B$3:$B$5000,"&gt;"&amp;$B443))</f>
        <v>46279.5987642967</v>
      </c>
    </row>
    <row r="444" customFormat="false" ht="15" hidden="false" customHeight="true" outlineLevel="0" collapsed="false">
      <c r="A444" s="42"/>
      <c r="B444" s="42"/>
      <c r="C444" s="42"/>
      <c r="D444" s="42"/>
      <c r="E444" s="42"/>
      <c r="F444" s="51" t="n">
        <f aca="false">IF(OR(C444="",D444="",E444="",E444=0),0,C444*D444/E444)</f>
        <v>0</v>
      </c>
      <c r="G444" s="42"/>
      <c r="H444" s="49" t="n">
        <f aca="true">IF(OR($A444="",_xlfn.MINIFS($B$3:$B$5000,$A$3:$A$5000,$A444,$B$3:$B$5000,"&gt;"&amp;$B444)=0),NOW(),_xlfn.MINIFS($B$3:$B$5000,$A$3:$A$5000,$A444,$B$3:$B$5000,"&gt;"&amp;$B444))</f>
        <v>46279.5987642968</v>
      </c>
    </row>
    <row r="445" customFormat="false" ht="15" hidden="false" customHeight="true" outlineLevel="0" collapsed="false">
      <c r="A445" s="42"/>
      <c r="B445" s="42"/>
      <c r="C445" s="42"/>
      <c r="D445" s="42"/>
      <c r="E445" s="42"/>
      <c r="F445" s="51" t="n">
        <f aca="false">IF(OR(C445="",D445="",E445="",E445=0),0,C445*D445/E445)</f>
        <v>0</v>
      </c>
      <c r="G445" s="42"/>
      <c r="H445" s="49" t="n">
        <f aca="true">IF(OR($A445="",_xlfn.MINIFS($B$3:$B$5000,$A$3:$A$5000,$A445,$B$3:$B$5000,"&gt;"&amp;$B445)=0),NOW(),_xlfn.MINIFS($B$3:$B$5000,$A$3:$A$5000,$A445,$B$3:$B$5000,"&gt;"&amp;$B445))</f>
        <v>46279.5987642968</v>
      </c>
    </row>
    <row r="446" customFormat="false" ht="15" hidden="false" customHeight="true" outlineLevel="0" collapsed="false">
      <c r="A446" s="42"/>
      <c r="B446" s="42"/>
      <c r="C446" s="42"/>
      <c r="D446" s="42"/>
      <c r="E446" s="42"/>
      <c r="F446" s="51" t="n">
        <f aca="false">IF(OR(C446="",D446="",E446="",E446=0),0,C446*D446/E446)</f>
        <v>0</v>
      </c>
      <c r="G446" s="42"/>
      <c r="H446" s="49" t="n">
        <f aca="true">IF(OR($A446="",_xlfn.MINIFS($B$3:$B$5000,$A$3:$A$5000,$A446,$B$3:$B$5000,"&gt;"&amp;$B446)=0),NOW(),_xlfn.MINIFS($B$3:$B$5000,$A$3:$A$5000,$A446,$B$3:$B$5000,"&gt;"&amp;$B446))</f>
        <v>46279.5987642969</v>
      </c>
    </row>
    <row r="447" customFormat="false" ht="15" hidden="false" customHeight="true" outlineLevel="0" collapsed="false">
      <c r="A447" s="42"/>
      <c r="B447" s="42"/>
      <c r="C447" s="42"/>
      <c r="D447" s="42"/>
      <c r="E447" s="42"/>
      <c r="F447" s="51" t="n">
        <f aca="false">IF(OR(C447="",D447="",E447="",E447=0),0,C447*D447/E447)</f>
        <v>0</v>
      </c>
      <c r="G447" s="42"/>
      <c r="H447" s="49" t="n">
        <f aca="true">IF(OR($A447="",_xlfn.MINIFS($B$3:$B$5000,$A$3:$A$5000,$A447,$B$3:$B$5000,"&gt;"&amp;$B447)=0),NOW(),_xlfn.MINIFS($B$3:$B$5000,$A$3:$A$5000,$A447,$B$3:$B$5000,"&gt;"&amp;$B447))</f>
        <v>46279.5987642969</v>
      </c>
    </row>
    <row r="448" customFormat="false" ht="15" hidden="false" customHeight="true" outlineLevel="0" collapsed="false">
      <c r="A448" s="42"/>
      <c r="B448" s="42"/>
      <c r="C448" s="42"/>
      <c r="D448" s="42"/>
      <c r="E448" s="42"/>
      <c r="F448" s="51" t="n">
        <f aca="false">IF(OR(C448="",D448="",E448="",E448=0),0,C448*D448/E448)</f>
        <v>0</v>
      </c>
      <c r="G448" s="42"/>
      <c r="H448" s="49" t="n">
        <f aca="true">IF(OR($A448="",_xlfn.MINIFS($B$3:$B$5000,$A$3:$A$5000,$A448,$B$3:$B$5000,"&gt;"&amp;$B448)=0),NOW(),_xlfn.MINIFS($B$3:$B$5000,$A$3:$A$5000,$A448,$B$3:$B$5000,"&gt;"&amp;$B448))</f>
        <v>46279.598764297</v>
      </c>
    </row>
    <row r="449" customFormat="false" ht="15" hidden="false" customHeight="true" outlineLevel="0" collapsed="false">
      <c r="A449" s="42"/>
      <c r="B449" s="42"/>
      <c r="C449" s="42"/>
      <c r="D449" s="42"/>
      <c r="E449" s="42"/>
      <c r="F449" s="51" t="n">
        <f aca="false">IF(OR(C449="",D449="",E449="",E449=0),0,C449*D449/E449)</f>
        <v>0</v>
      </c>
      <c r="G449" s="42"/>
      <c r="H449" s="49" t="n">
        <f aca="true">IF(OR($A449="",_xlfn.MINIFS($B$3:$B$5000,$A$3:$A$5000,$A449,$B$3:$B$5000,"&gt;"&amp;$B449)=0),NOW(),_xlfn.MINIFS($B$3:$B$5000,$A$3:$A$5000,$A449,$B$3:$B$5000,"&gt;"&amp;$B449))</f>
        <v>46279.598764297</v>
      </c>
    </row>
    <row r="450" customFormat="false" ht="15" hidden="false" customHeight="true" outlineLevel="0" collapsed="false">
      <c r="A450" s="42"/>
      <c r="B450" s="42"/>
      <c r="C450" s="42"/>
      <c r="D450" s="42"/>
      <c r="E450" s="42"/>
      <c r="F450" s="51" t="n">
        <f aca="false">IF(OR(C450="",D450="",E450="",E450=0),0,C450*D450/E450)</f>
        <v>0</v>
      </c>
      <c r="G450" s="42"/>
      <c r="H450" s="49" t="n">
        <f aca="true">IF(OR($A450="",_xlfn.MINIFS($B$3:$B$5000,$A$3:$A$5000,$A450,$B$3:$B$5000,"&gt;"&amp;$B450)=0),NOW(),_xlfn.MINIFS($B$3:$B$5000,$A$3:$A$5000,$A450,$B$3:$B$5000,"&gt;"&amp;$B450))</f>
        <v>46279.5987642971</v>
      </c>
    </row>
    <row r="451" customFormat="false" ht="15" hidden="false" customHeight="true" outlineLevel="0" collapsed="false">
      <c r="A451" s="42"/>
      <c r="B451" s="42"/>
      <c r="C451" s="42"/>
      <c r="D451" s="42"/>
      <c r="E451" s="42"/>
      <c r="F451" s="51" t="n">
        <f aca="false">IF(OR(C451="",D451="",E451="",E451=0),0,C451*D451/E451)</f>
        <v>0</v>
      </c>
      <c r="G451" s="42"/>
      <c r="H451" s="49" t="n">
        <f aca="true">IF(OR($A451="",_xlfn.MINIFS($B$3:$B$5000,$A$3:$A$5000,$A451,$B$3:$B$5000,"&gt;"&amp;$B451)=0),NOW(),_xlfn.MINIFS($B$3:$B$5000,$A$3:$A$5000,$A451,$B$3:$B$5000,"&gt;"&amp;$B451))</f>
        <v>46279.5987642971</v>
      </c>
    </row>
    <row r="452" customFormat="false" ht="15" hidden="false" customHeight="true" outlineLevel="0" collapsed="false">
      <c r="A452" s="42"/>
      <c r="B452" s="42"/>
      <c r="C452" s="42"/>
      <c r="D452" s="42"/>
      <c r="E452" s="42"/>
      <c r="F452" s="51" t="n">
        <f aca="false">IF(OR(C452="",D452="",E452="",E452=0),0,C452*D452/E452)</f>
        <v>0</v>
      </c>
      <c r="G452" s="42"/>
      <c r="H452" s="49" t="n">
        <f aca="true">IF(OR($A452="",_xlfn.MINIFS($B$3:$B$5000,$A$3:$A$5000,$A452,$B$3:$B$5000,"&gt;"&amp;$B452)=0),NOW(),_xlfn.MINIFS($B$3:$B$5000,$A$3:$A$5000,$A452,$B$3:$B$5000,"&gt;"&amp;$B452))</f>
        <v>46279.5987642972</v>
      </c>
    </row>
    <row r="453" customFormat="false" ht="15" hidden="false" customHeight="true" outlineLevel="0" collapsed="false">
      <c r="A453" s="42"/>
      <c r="B453" s="42"/>
      <c r="C453" s="42"/>
      <c r="D453" s="42"/>
      <c r="E453" s="42"/>
      <c r="F453" s="51" t="n">
        <f aca="false">IF(OR(C453="",D453="",E453="",E453=0),0,C453*D453/E453)</f>
        <v>0</v>
      </c>
      <c r="G453" s="42"/>
      <c r="H453" s="49" t="n">
        <f aca="true">IF(OR($A453="",_xlfn.MINIFS($B$3:$B$5000,$A$3:$A$5000,$A453,$B$3:$B$5000,"&gt;"&amp;$B453)=0),NOW(),_xlfn.MINIFS($B$3:$B$5000,$A$3:$A$5000,$A453,$B$3:$B$5000,"&gt;"&amp;$B453))</f>
        <v>46279.5987642972</v>
      </c>
    </row>
    <row r="454" customFormat="false" ht="15" hidden="false" customHeight="true" outlineLevel="0" collapsed="false">
      <c r="A454" s="42"/>
      <c r="B454" s="42"/>
      <c r="C454" s="42"/>
      <c r="D454" s="42"/>
      <c r="E454" s="42"/>
      <c r="F454" s="51" t="n">
        <f aca="false">IF(OR(C454="",D454="",E454="",E454=0),0,C454*D454/E454)</f>
        <v>0</v>
      </c>
      <c r="G454" s="42"/>
      <c r="H454" s="49" t="n">
        <f aca="true">IF(OR($A454="",_xlfn.MINIFS($B$3:$B$5000,$A$3:$A$5000,$A454,$B$3:$B$5000,"&gt;"&amp;$B454)=0),NOW(),_xlfn.MINIFS($B$3:$B$5000,$A$3:$A$5000,$A454,$B$3:$B$5000,"&gt;"&amp;$B454))</f>
        <v>46279.5987642973</v>
      </c>
    </row>
    <row r="455" customFormat="false" ht="15" hidden="false" customHeight="true" outlineLevel="0" collapsed="false">
      <c r="A455" s="42"/>
      <c r="B455" s="42"/>
      <c r="C455" s="42"/>
      <c r="D455" s="42"/>
      <c r="E455" s="42"/>
      <c r="F455" s="51" t="n">
        <f aca="false">IF(OR(C455="",D455="",E455="",E455=0),0,C455*D455/E455)</f>
        <v>0</v>
      </c>
      <c r="G455" s="42"/>
      <c r="H455" s="49" t="n">
        <f aca="true">IF(OR($A455="",_xlfn.MINIFS($B$3:$B$5000,$A$3:$A$5000,$A455,$B$3:$B$5000,"&gt;"&amp;$B455)=0),NOW(),_xlfn.MINIFS($B$3:$B$5000,$A$3:$A$5000,$A455,$B$3:$B$5000,"&gt;"&amp;$B455))</f>
        <v>46279.5987642973</v>
      </c>
    </row>
    <row r="456" customFormat="false" ht="15" hidden="false" customHeight="true" outlineLevel="0" collapsed="false">
      <c r="A456" s="42"/>
      <c r="B456" s="42"/>
      <c r="C456" s="42"/>
      <c r="D456" s="42"/>
      <c r="E456" s="42"/>
      <c r="F456" s="51" t="n">
        <f aca="false">IF(OR(C456="",D456="",E456="",E456=0),0,C456*D456/E456)</f>
        <v>0</v>
      </c>
      <c r="G456" s="42"/>
      <c r="H456" s="49" t="n">
        <f aca="true">IF(OR($A456="",_xlfn.MINIFS($B$3:$B$5000,$A$3:$A$5000,$A456,$B$3:$B$5000,"&gt;"&amp;$B456)=0),NOW(),_xlfn.MINIFS($B$3:$B$5000,$A$3:$A$5000,$A456,$B$3:$B$5000,"&gt;"&amp;$B456))</f>
        <v>46279.5987642974</v>
      </c>
    </row>
    <row r="457" customFormat="false" ht="15" hidden="false" customHeight="true" outlineLevel="0" collapsed="false">
      <c r="A457" s="42"/>
      <c r="B457" s="42"/>
      <c r="C457" s="42"/>
      <c r="D457" s="42"/>
      <c r="E457" s="42"/>
      <c r="F457" s="51" t="n">
        <f aca="false">IF(OR(C457="",D457="",E457="",E457=0),0,C457*D457/E457)</f>
        <v>0</v>
      </c>
      <c r="G457" s="42"/>
      <c r="H457" s="49" t="n">
        <f aca="true">IF(OR($A457="",_xlfn.MINIFS($B$3:$B$5000,$A$3:$A$5000,$A457,$B$3:$B$5000,"&gt;"&amp;$B457)=0),NOW(),_xlfn.MINIFS($B$3:$B$5000,$A$3:$A$5000,$A457,$B$3:$B$5000,"&gt;"&amp;$B457))</f>
        <v>46279.5987642974</v>
      </c>
    </row>
    <row r="458" customFormat="false" ht="15" hidden="false" customHeight="true" outlineLevel="0" collapsed="false">
      <c r="A458" s="42"/>
      <c r="B458" s="42"/>
      <c r="C458" s="42"/>
      <c r="D458" s="42"/>
      <c r="E458" s="42"/>
      <c r="F458" s="51" t="n">
        <f aca="false">IF(OR(C458="",D458="",E458="",E458=0),0,C458*D458/E458)</f>
        <v>0</v>
      </c>
      <c r="G458" s="42"/>
      <c r="H458" s="49" t="n">
        <f aca="true">IF(OR($A458="",_xlfn.MINIFS($B$3:$B$5000,$A$3:$A$5000,$A458,$B$3:$B$5000,"&gt;"&amp;$B458)=0),NOW(),_xlfn.MINIFS($B$3:$B$5000,$A$3:$A$5000,$A458,$B$3:$B$5000,"&gt;"&amp;$B458))</f>
        <v>46279.5987642975</v>
      </c>
    </row>
    <row r="459" customFormat="false" ht="15" hidden="false" customHeight="true" outlineLevel="0" collapsed="false">
      <c r="A459" s="42"/>
      <c r="B459" s="42"/>
      <c r="C459" s="42"/>
      <c r="D459" s="42"/>
      <c r="E459" s="42"/>
      <c r="F459" s="51" t="n">
        <f aca="false">IF(OR(C459="",D459="",E459="",E459=0),0,C459*D459/E459)</f>
        <v>0</v>
      </c>
      <c r="G459" s="42"/>
      <c r="H459" s="49" t="n">
        <f aca="true">IF(OR($A459="",_xlfn.MINIFS($B$3:$B$5000,$A$3:$A$5000,$A459,$B$3:$B$5000,"&gt;"&amp;$B459)=0),NOW(),_xlfn.MINIFS($B$3:$B$5000,$A$3:$A$5000,$A459,$B$3:$B$5000,"&gt;"&amp;$B459))</f>
        <v>46279.5987642975</v>
      </c>
    </row>
    <row r="460" customFormat="false" ht="15" hidden="false" customHeight="true" outlineLevel="0" collapsed="false">
      <c r="A460" s="42"/>
      <c r="B460" s="42"/>
      <c r="C460" s="42"/>
      <c r="D460" s="42"/>
      <c r="E460" s="42"/>
      <c r="F460" s="51" t="n">
        <f aca="false">IF(OR(C460="",D460="",E460="",E460=0),0,C460*D460/E460)</f>
        <v>0</v>
      </c>
      <c r="G460" s="42"/>
      <c r="H460" s="49" t="n">
        <f aca="true">IF(OR($A460="",_xlfn.MINIFS($B$3:$B$5000,$A$3:$A$5000,$A460,$B$3:$B$5000,"&gt;"&amp;$B460)=0),NOW(),_xlfn.MINIFS($B$3:$B$5000,$A$3:$A$5000,$A460,$B$3:$B$5000,"&gt;"&amp;$B460))</f>
        <v>46279.5987642976</v>
      </c>
    </row>
    <row r="461" customFormat="false" ht="15" hidden="false" customHeight="true" outlineLevel="0" collapsed="false">
      <c r="A461" s="42"/>
      <c r="B461" s="42"/>
      <c r="C461" s="42"/>
      <c r="D461" s="42"/>
      <c r="E461" s="42"/>
      <c r="F461" s="51" t="n">
        <f aca="false">IF(OR(C461="",D461="",E461="",E461=0),0,C461*D461/E461)</f>
        <v>0</v>
      </c>
      <c r="G461" s="42"/>
      <c r="H461" s="49" t="n">
        <f aca="true">IF(OR($A461="",_xlfn.MINIFS($B$3:$B$5000,$A$3:$A$5000,$A461,$B$3:$B$5000,"&gt;"&amp;$B461)=0),NOW(),_xlfn.MINIFS($B$3:$B$5000,$A$3:$A$5000,$A461,$B$3:$B$5000,"&gt;"&amp;$B461))</f>
        <v>46279.5987642976</v>
      </c>
    </row>
    <row r="462" customFormat="false" ht="15" hidden="false" customHeight="true" outlineLevel="0" collapsed="false">
      <c r="A462" s="42"/>
      <c r="B462" s="42"/>
      <c r="C462" s="42"/>
      <c r="D462" s="42"/>
      <c r="E462" s="42"/>
      <c r="F462" s="51" t="n">
        <f aca="false">IF(OR(C462="",D462="",E462="",E462=0),0,C462*D462/E462)</f>
        <v>0</v>
      </c>
      <c r="G462" s="42"/>
      <c r="H462" s="49" t="n">
        <f aca="true">IF(OR($A462="",_xlfn.MINIFS($B$3:$B$5000,$A$3:$A$5000,$A462,$B$3:$B$5000,"&gt;"&amp;$B462)=0),NOW(),_xlfn.MINIFS($B$3:$B$5000,$A$3:$A$5000,$A462,$B$3:$B$5000,"&gt;"&amp;$B462))</f>
        <v>46279.5987642977</v>
      </c>
    </row>
    <row r="463" customFormat="false" ht="15" hidden="false" customHeight="true" outlineLevel="0" collapsed="false">
      <c r="A463" s="42"/>
      <c r="B463" s="42"/>
      <c r="C463" s="42"/>
      <c r="D463" s="42"/>
      <c r="E463" s="42"/>
      <c r="F463" s="51" t="n">
        <f aca="false">IF(OR(C463="",D463="",E463="",E463=0),0,C463*D463/E463)</f>
        <v>0</v>
      </c>
      <c r="G463" s="42"/>
      <c r="H463" s="49" t="n">
        <f aca="true">IF(OR($A463="",_xlfn.MINIFS($B$3:$B$5000,$A$3:$A$5000,$A463,$B$3:$B$5000,"&gt;"&amp;$B463)=0),NOW(),_xlfn.MINIFS($B$3:$B$5000,$A$3:$A$5000,$A463,$B$3:$B$5000,"&gt;"&amp;$B463))</f>
        <v>46279.5987642977</v>
      </c>
    </row>
    <row r="464" customFormat="false" ht="15" hidden="false" customHeight="true" outlineLevel="0" collapsed="false">
      <c r="A464" s="42"/>
      <c r="B464" s="42"/>
      <c r="C464" s="42"/>
      <c r="D464" s="42"/>
      <c r="E464" s="42"/>
      <c r="F464" s="51" t="n">
        <f aca="false">IF(OR(C464="",D464="",E464="",E464=0),0,C464*D464/E464)</f>
        <v>0</v>
      </c>
      <c r="G464" s="42"/>
      <c r="H464" s="49" t="n">
        <f aca="true">IF(OR($A464="",_xlfn.MINIFS($B$3:$B$5000,$A$3:$A$5000,$A464,$B$3:$B$5000,"&gt;"&amp;$B464)=0),NOW(),_xlfn.MINIFS($B$3:$B$5000,$A$3:$A$5000,$A464,$B$3:$B$5000,"&gt;"&amp;$B464))</f>
        <v>46279.5987642978</v>
      </c>
    </row>
    <row r="465" customFormat="false" ht="15" hidden="false" customHeight="true" outlineLevel="0" collapsed="false">
      <c r="A465" s="42"/>
      <c r="B465" s="42"/>
      <c r="C465" s="42"/>
      <c r="D465" s="42"/>
      <c r="E465" s="42"/>
      <c r="F465" s="51" t="n">
        <f aca="false">IF(OR(C465="",D465="",E465="",E465=0),0,C465*D465/E465)</f>
        <v>0</v>
      </c>
      <c r="G465" s="42"/>
      <c r="H465" s="49" t="n">
        <f aca="true">IF(OR($A465="",_xlfn.MINIFS($B$3:$B$5000,$A$3:$A$5000,$A465,$B$3:$B$5000,"&gt;"&amp;$B465)=0),NOW(),_xlfn.MINIFS($B$3:$B$5000,$A$3:$A$5000,$A465,$B$3:$B$5000,"&gt;"&amp;$B465))</f>
        <v>46279.5987642978</v>
      </c>
    </row>
    <row r="466" customFormat="false" ht="15" hidden="false" customHeight="true" outlineLevel="0" collapsed="false">
      <c r="A466" s="42"/>
      <c r="B466" s="42"/>
      <c r="C466" s="42"/>
      <c r="D466" s="42"/>
      <c r="E466" s="42"/>
      <c r="F466" s="51" t="n">
        <f aca="false">IF(OR(C466="",D466="",E466="",E466=0),0,C466*D466/E466)</f>
        <v>0</v>
      </c>
      <c r="G466" s="42"/>
      <c r="H466" s="49" t="n">
        <f aca="true">IF(OR($A466="",_xlfn.MINIFS($B$3:$B$5000,$A$3:$A$5000,$A466,$B$3:$B$5000,"&gt;"&amp;$B466)=0),NOW(),_xlfn.MINIFS($B$3:$B$5000,$A$3:$A$5000,$A466,$B$3:$B$5000,"&gt;"&amp;$B466))</f>
        <v>46279.5987642979</v>
      </c>
    </row>
    <row r="467" customFormat="false" ht="15" hidden="false" customHeight="true" outlineLevel="0" collapsed="false">
      <c r="A467" s="42"/>
      <c r="B467" s="42"/>
      <c r="C467" s="42"/>
      <c r="D467" s="42"/>
      <c r="E467" s="42"/>
      <c r="F467" s="51" t="n">
        <f aca="false">IF(OR(C467="",D467="",E467="",E467=0),0,C467*D467/E467)</f>
        <v>0</v>
      </c>
      <c r="G467" s="42"/>
      <c r="H467" s="49" t="n">
        <f aca="true">IF(OR($A467="",_xlfn.MINIFS($B$3:$B$5000,$A$3:$A$5000,$A467,$B$3:$B$5000,"&gt;"&amp;$B467)=0),NOW(),_xlfn.MINIFS($B$3:$B$5000,$A$3:$A$5000,$A467,$B$3:$B$5000,"&gt;"&amp;$B467))</f>
        <v>46279.5987642979</v>
      </c>
    </row>
    <row r="468" customFormat="false" ht="15" hidden="false" customHeight="true" outlineLevel="0" collapsed="false">
      <c r="A468" s="42"/>
      <c r="B468" s="42"/>
      <c r="C468" s="42"/>
      <c r="D468" s="42"/>
      <c r="E468" s="42"/>
      <c r="F468" s="51" t="n">
        <f aca="false">IF(OR(C468="",D468="",E468="",E468=0),0,C468*D468/E468)</f>
        <v>0</v>
      </c>
      <c r="G468" s="42"/>
      <c r="H468" s="49" t="n">
        <f aca="true">IF(OR($A468="",_xlfn.MINIFS($B$3:$B$5000,$A$3:$A$5000,$A468,$B$3:$B$5000,"&gt;"&amp;$B468)=0),NOW(),_xlfn.MINIFS($B$3:$B$5000,$A$3:$A$5000,$A468,$B$3:$B$5000,"&gt;"&amp;$B468))</f>
        <v>46279.598764298</v>
      </c>
    </row>
    <row r="469" customFormat="false" ht="15" hidden="false" customHeight="true" outlineLevel="0" collapsed="false">
      <c r="A469" s="42"/>
      <c r="B469" s="42"/>
      <c r="C469" s="42"/>
      <c r="D469" s="42"/>
      <c r="E469" s="42"/>
      <c r="F469" s="51" t="n">
        <f aca="false">IF(OR(C469="",D469="",E469="",E469=0),0,C469*D469/E469)</f>
        <v>0</v>
      </c>
      <c r="G469" s="42"/>
      <c r="H469" s="49" t="n">
        <f aca="true">IF(OR($A469="",_xlfn.MINIFS($B$3:$B$5000,$A$3:$A$5000,$A469,$B$3:$B$5000,"&gt;"&amp;$B469)=0),NOW(),_xlfn.MINIFS($B$3:$B$5000,$A$3:$A$5000,$A469,$B$3:$B$5000,"&gt;"&amp;$B469))</f>
        <v>46279.5987642981</v>
      </c>
    </row>
    <row r="470" customFormat="false" ht="15" hidden="false" customHeight="true" outlineLevel="0" collapsed="false">
      <c r="A470" s="42"/>
      <c r="B470" s="42"/>
      <c r="C470" s="42"/>
      <c r="D470" s="42"/>
      <c r="E470" s="42"/>
      <c r="F470" s="51" t="n">
        <f aca="false">IF(OR(C470="",D470="",E470="",E470=0),0,C470*D470/E470)</f>
        <v>0</v>
      </c>
      <c r="G470" s="42"/>
      <c r="H470" s="49" t="n">
        <f aca="true">IF(OR($A470="",_xlfn.MINIFS($B$3:$B$5000,$A$3:$A$5000,$A470,$B$3:$B$5000,"&gt;"&amp;$B470)=0),NOW(),_xlfn.MINIFS($B$3:$B$5000,$A$3:$A$5000,$A470,$B$3:$B$5000,"&gt;"&amp;$B470))</f>
        <v>46279.5987642981</v>
      </c>
    </row>
    <row r="471" customFormat="false" ht="15" hidden="false" customHeight="true" outlineLevel="0" collapsed="false">
      <c r="A471" s="42"/>
      <c r="B471" s="42"/>
      <c r="C471" s="42"/>
      <c r="D471" s="42"/>
      <c r="E471" s="42"/>
      <c r="F471" s="51" t="n">
        <f aca="false">IF(OR(C471="",D471="",E471="",E471=0),0,C471*D471/E471)</f>
        <v>0</v>
      </c>
      <c r="G471" s="42"/>
      <c r="H471" s="49" t="n">
        <f aca="true">IF(OR($A471="",_xlfn.MINIFS($B$3:$B$5000,$A$3:$A$5000,$A471,$B$3:$B$5000,"&gt;"&amp;$B471)=0),NOW(),_xlfn.MINIFS($B$3:$B$5000,$A$3:$A$5000,$A471,$B$3:$B$5000,"&gt;"&amp;$B471))</f>
        <v>46279.5987642982</v>
      </c>
    </row>
    <row r="472" customFormat="false" ht="15" hidden="false" customHeight="true" outlineLevel="0" collapsed="false">
      <c r="A472" s="42"/>
      <c r="B472" s="42"/>
      <c r="C472" s="42"/>
      <c r="D472" s="42"/>
      <c r="E472" s="42"/>
      <c r="F472" s="51" t="n">
        <f aca="false">IF(OR(C472="",D472="",E472="",E472=0),0,C472*D472/E472)</f>
        <v>0</v>
      </c>
      <c r="G472" s="42"/>
      <c r="H472" s="49" t="n">
        <f aca="true">IF(OR($A472="",_xlfn.MINIFS($B$3:$B$5000,$A$3:$A$5000,$A472,$B$3:$B$5000,"&gt;"&amp;$B472)=0),NOW(),_xlfn.MINIFS($B$3:$B$5000,$A$3:$A$5000,$A472,$B$3:$B$5000,"&gt;"&amp;$B472))</f>
        <v>46279.5987642982</v>
      </c>
    </row>
    <row r="473" customFormat="false" ht="15" hidden="false" customHeight="true" outlineLevel="0" collapsed="false">
      <c r="A473" s="42"/>
      <c r="B473" s="42"/>
      <c r="C473" s="42"/>
      <c r="D473" s="42"/>
      <c r="E473" s="42"/>
      <c r="F473" s="51" t="n">
        <f aca="false">IF(OR(C473="",D473="",E473="",E473=0),0,C473*D473/E473)</f>
        <v>0</v>
      </c>
      <c r="G473" s="42"/>
      <c r="H473" s="49" t="n">
        <f aca="true">IF(OR($A473="",_xlfn.MINIFS($B$3:$B$5000,$A$3:$A$5000,$A473,$B$3:$B$5000,"&gt;"&amp;$B473)=0),NOW(),_xlfn.MINIFS($B$3:$B$5000,$A$3:$A$5000,$A473,$B$3:$B$5000,"&gt;"&amp;$B473))</f>
        <v>46279.5987642982</v>
      </c>
    </row>
    <row r="474" customFormat="false" ht="15" hidden="false" customHeight="true" outlineLevel="0" collapsed="false">
      <c r="A474" s="42"/>
      <c r="B474" s="42"/>
      <c r="C474" s="42"/>
      <c r="D474" s="42"/>
      <c r="E474" s="42"/>
      <c r="F474" s="51" t="n">
        <f aca="false">IF(OR(C474="",D474="",E474="",E474=0),0,C474*D474/E474)</f>
        <v>0</v>
      </c>
      <c r="G474" s="42"/>
      <c r="H474" s="49" t="n">
        <f aca="true">IF(OR($A474="",_xlfn.MINIFS($B$3:$B$5000,$A$3:$A$5000,$A474,$B$3:$B$5000,"&gt;"&amp;$B474)=0),NOW(),_xlfn.MINIFS($B$3:$B$5000,$A$3:$A$5000,$A474,$B$3:$B$5000,"&gt;"&amp;$B474))</f>
        <v>46279.5987642983</v>
      </c>
    </row>
    <row r="475" customFormat="false" ht="15" hidden="false" customHeight="true" outlineLevel="0" collapsed="false">
      <c r="A475" s="42"/>
      <c r="B475" s="42"/>
      <c r="C475" s="42"/>
      <c r="D475" s="42"/>
      <c r="E475" s="42"/>
      <c r="F475" s="51" t="n">
        <f aca="false">IF(OR(C475="",D475="",E475="",E475=0),0,C475*D475/E475)</f>
        <v>0</v>
      </c>
      <c r="G475" s="42"/>
      <c r="H475" s="49" t="n">
        <f aca="true">IF(OR($A475="",_xlfn.MINIFS($B$3:$B$5000,$A$3:$A$5000,$A475,$B$3:$B$5000,"&gt;"&amp;$B475)=0),NOW(),_xlfn.MINIFS($B$3:$B$5000,$A$3:$A$5000,$A475,$B$3:$B$5000,"&gt;"&amp;$B475))</f>
        <v>46279.5987642983</v>
      </c>
    </row>
    <row r="476" customFormat="false" ht="15" hidden="false" customHeight="true" outlineLevel="0" collapsed="false">
      <c r="A476" s="42"/>
      <c r="B476" s="42"/>
      <c r="C476" s="42"/>
      <c r="D476" s="42"/>
      <c r="E476" s="42"/>
      <c r="F476" s="51" t="n">
        <f aca="false">IF(OR(C476="",D476="",E476="",E476=0),0,C476*D476/E476)</f>
        <v>0</v>
      </c>
      <c r="G476" s="42"/>
      <c r="H476" s="49" t="n">
        <f aca="true">IF(OR($A476="",_xlfn.MINIFS($B$3:$B$5000,$A$3:$A$5000,$A476,$B$3:$B$5000,"&gt;"&amp;$B476)=0),NOW(),_xlfn.MINIFS($B$3:$B$5000,$A$3:$A$5000,$A476,$B$3:$B$5000,"&gt;"&amp;$B476))</f>
        <v>46279.5987642984</v>
      </c>
    </row>
    <row r="477" customFormat="false" ht="15" hidden="false" customHeight="true" outlineLevel="0" collapsed="false">
      <c r="A477" s="42"/>
      <c r="B477" s="42"/>
      <c r="C477" s="42"/>
      <c r="D477" s="42"/>
      <c r="E477" s="42"/>
      <c r="F477" s="51" t="n">
        <f aca="false">IF(OR(C477="",D477="",E477="",E477=0),0,C477*D477/E477)</f>
        <v>0</v>
      </c>
      <c r="G477" s="42"/>
      <c r="H477" s="49" t="n">
        <f aca="true">IF(OR($A477="",_xlfn.MINIFS($B$3:$B$5000,$A$3:$A$5000,$A477,$B$3:$B$5000,"&gt;"&amp;$B477)=0),NOW(),_xlfn.MINIFS($B$3:$B$5000,$A$3:$A$5000,$A477,$B$3:$B$5000,"&gt;"&amp;$B477))</f>
        <v>46279.5987642985</v>
      </c>
    </row>
    <row r="478" customFormat="false" ht="15" hidden="false" customHeight="true" outlineLevel="0" collapsed="false">
      <c r="A478" s="42"/>
      <c r="B478" s="42"/>
      <c r="C478" s="42"/>
      <c r="D478" s="42"/>
      <c r="E478" s="42"/>
      <c r="F478" s="51" t="n">
        <f aca="false">IF(OR(C478="",D478="",E478="",E478=0),0,C478*D478/E478)</f>
        <v>0</v>
      </c>
      <c r="G478" s="42"/>
      <c r="H478" s="49" t="n">
        <f aca="true">IF(OR($A478="",_xlfn.MINIFS($B$3:$B$5000,$A$3:$A$5000,$A478,$B$3:$B$5000,"&gt;"&amp;$B478)=0),NOW(),_xlfn.MINIFS($B$3:$B$5000,$A$3:$A$5000,$A478,$B$3:$B$5000,"&gt;"&amp;$B478))</f>
        <v>46279.5987642985</v>
      </c>
    </row>
    <row r="479" customFormat="false" ht="15" hidden="false" customHeight="true" outlineLevel="0" collapsed="false">
      <c r="A479" s="42"/>
      <c r="B479" s="42"/>
      <c r="C479" s="42"/>
      <c r="D479" s="42"/>
      <c r="E479" s="42"/>
      <c r="F479" s="51" t="n">
        <f aca="false">IF(OR(C479="",D479="",E479="",E479=0),0,C479*D479/E479)</f>
        <v>0</v>
      </c>
      <c r="G479" s="42"/>
      <c r="H479" s="49" t="n">
        <f aca="true">IF(OR($A479="",_xlfn.MINIFS($B$3:$B$5000,$A$3:$A$5000,$A479,$B$3:$B$5000,"&gt;"&amp;$B479)=0),NOW(),_xlfn.MINIFS($B$3:$B$5000,$A$3:$A$5000,$A479,$B$3:$B$5000,"&gt;"&amp;$B479))</f>
        <v>46279.5987642986</v>
      </c>
    </row>
    <row r="480" customFormat="false" ht="15" hidden="false" customHeight="true" outlineLevel="0" collapsed="false">
      <c r="A480" s="42"/>
      <c r="B480" s="42"/>
      <c r="C480" s="42"/>
      <c r="D480" s="42"/>
      <c r="E480" s="42"/>
      <c r="F480" s="51" t="n">
        <f aca="false">IF(OR(C480="",D480="",E480="",E480=0),0,C480*D480/E480)</f>
        <v>0</v>
      </c>
      <c r="G480" s="42"/>
      <c r="H480" s="49" t="n">
        <f aca="true">IF(OR($A480="",_xlfn.MINIFS($B$3:$B$5000,$A$3:$A$5000,$A480,$B$3:$B$5000,"&gt;"&amp;$B480)=0),NOW(),_xlfn.MINIFS($B$3:$B$5000,$A$3:$A$5000,$A480,$B$3:$B$5000,"&gt;"&amp;$B480))</f>
        <v>46279.5987642986</v>
      </c>
    </row>
    <row r="481" customFormat="false" ht="15" hidden="false" customHeight="true" outlineLevel="0" collapsed="false">
      <c r="A481" s="42"/>
      <c r="B481" s="42"/>
      <c r="C481" s="42"/>
      <c r="D481" s="42"/>
      <c r="E481" s="42"/>
      <c r="F481" s="51" t="n">
        <f aca="false">IF(OR(C481="",D481="",E481="",E481=0),0,C481*D481/E481)</f>
        <v>0</v>
      </c>
      <c r="G481" s="42"/>
      <c r="H481" s="49" t="n">
        <f aca="true">IF(OR($A481="",_xlfn.MINIFS($B$3:$B$5000,$A$3:$A$5000,$A481,$B$3:$B$5000,"&gt;"&amp;$B481)=0),NOW(),_xlfn.MINIFS($B$3:$B$5000,$A$3:$A$5000,$A481,$B$3:$B$5000,"&gt;"&amp;$B481))</f>
        <v>46279.5987642987</v>
      </c>
    </row>
    <row r="482" customFormat="false" ht="15" hidden="false" customHeight="true" outlineLevel="0" collapsed="false">
      <c r="A482" s="42"/>
      <c r="B482" s="42"/>
      <c r="C482" s="42"/>
      <c r="D482" s="42"/>
      <c r="E482" s="42"/>
      <c r="F482" s="51" t="n">
        <f aca="false">IF(OR(C482="",D482="",E482="",E482=0),0,C482*D482/E482)</f>
        <v>0</v>
      </c>
      <c r="G482" s="42"/>
      <c r="H482" s="49" t="n">
        <f aca="true">IF(OR($A482="",_xlfn.MINIFS($B$3:$B$5000,$A$3:$A$5000,$A482,$B$3:$B$5000,"&gt;"&amp;$B482)=0),NOW(),_xlfn.MINIFS($B$3:$B$5000,$A$3:$A$5000,$A482,$B$3:$B$5000,"&gt;"&amp;$B482))</f>
        <v>46279.5987642987</v>
      </c>
    </row>
    <row r="483" customFormat="false" ht="15" hidden="false" customHeight="true" outlineLevel="0" collapsed="false">
      <c r="A483" s="42"/>
      <c r="B483" s="42"/>
      <c r="C483" s="42"/>
      <c r="D483" s="42"/>
      <c r="E483" s="42"/>
      <c r="F483" s="51" t="n">
        <f aca="false">IF(OR(C483="",D483="",E483="",E483=0),0,C483*D483/E483)</f>
        <v>0</v>
      </c>
      <c r="G483" s="42"/>
      <c r="H483" s="49" t="n">
        <f aca="true">IF(OR($A483="",_xlfn.MINIFS($B$3:$B$5000,$A$3:$A$5000,$A483,$B$3:$B$5000,"&gt;"&amp;$B483)=0),NOW(),_xlfn.MINIFS($B$3:$B$5000,$A$3:$A$5000,$A483,$B$3:$B$5000,"&gt;"&amp;$B483))</f>
        <v>46279.5987642988</v>
      </c>
    </row>
    <row r="484" customFormat="false" ht="15" hidden="false" customHeight="true" outlineLevel="0" collapsed="false">
      <c r="A484" s="42"/>
      <c r="B484" s="42"/>
      <c r="C484" s="42"/>
      <c r="D484" s="42"/>
      <c r="E484" s="42"/>
      <c r="F484" s="51" t="n">
        <f aca="false">IF(OR(C484="",D484="",E484="",E484=0),0,C484*D484/E484)</f>
        <v>0</v>
      </c>
      <c r="G484" s="42"/>
      <c r="H484" s="49" t="n">
        <f aca="true">IF(OR($A484="",_xlfn.MINIFS($B$3:$B$5000,$A$3:$A$5000,$A484,$B$3:$B$5000,"&gt;"&amp;$B484)=0),NOW(),_xlfn.MINIFS($B$3:$B$5000,$A$3:$A$5000,$A484,$B$3:$B$5000,"&gt;"&amp;$B484))</f>
        <v>46279.5987642988</v>
      </c>
    </row>
    <row r="485" customFormat="false" ht="15" hidden="false" customHeight="true" outlineLevel="0" collapsed="false">
      <c r="A485" s="42"/>
      <c r="B485" s="42"/>
      <c r="C485" s="42"/>
      <c r="D485" s="42"/>
      <c r="E485" s="42"/>
      <c r="F485" s="51" t="n">
        <f aca="false">IF(OR(C485="",D485="",E485="",E485=0),0,C485*D485/E485)</f>
        <v>0</v>
      </c>
      <c r="G485" s="42"/>
      <c r="H485" s="49" t="n">
        <f aca="true">IF(OR($A485="",_xlfn.MINIFS($B$3:$B$5000,$A$3:$A$5000,$A485,$B$3:$B$5000,"&gt;"&amp;$B485)=0),NOW(),_xlfn.MINIFS($B$3:$B$5000,$A$3:$A$5000,$A485,$B$3:$B$5000,"&gt;"&amp;$B485))</f>
        <v>46279.5987642989</v>
      </c>
    </row>
    <row r="486" customFormat="false" ht="15" hidden="false" customHeight="true" outlineLevel="0" collapsed="false">
      <c r="A486" s="42"/>
      <c r="B486" s="42"/>
      <c r="C486" s="42"/>
      <c r="D486" s="42"/>
      <c r="E486" s="42"/>
      <c r="F486" s="51" t="n">
        <f aca="false">IF(OR(C486="",D486="",E486="",E486=0),0,C486*D486/E486)</f>
        <v>0</v>
      </c>
      <c r="G486" s="42"/>
      <c r="H486" s="49" t="n">
        <f aca="true">IF(OR($A486="",_xlfn.MINIFS($B$3:$B$5000,$A$3:$A$5000,$A486,$B$3:$B$5000,"&gt;"&amp;$B486)=0),NOW(),_xlfn.MINIFS($B$3:$B$5000,$A$3:$A$5000,$A486,$B$3:$B$5000,"&gt;"&amp;$B486))</f>
        <v>46279.5987642989</v>
      </c>
    </row>
    <row r="487" customFormat="false" ht="15" hidden="false" customHeight="true" outlineLevel="0" collapsed="false">
      <c r="A487" s="42"/>
      <c r="B487" s="42"/>
      <c r="C487" s="42"/>
      <c r="D487" s="42"/>
      <c r="E487" s="42"/>
      <c r="F487" s="51" t="n">
        <f aca="false">IF(OR(C487="",D487="",E487="",E487=0),0,C487*D487/E487)</f>
        <v>0</v>
      </c>
      <c r="G487" s="42"/>
      <c r="H487" s="49" t="n">
        <f aca="true">IF(OR($A487="",_xlfn.MINIFS($B$3:$B$5000,$A$3:$A$5000,$A487,$B$3:$B$5000,"&gt;"&amp;$B487)=0),NOW(),_xlfn.MINIFS($B$3:$B$5000,$A$3:$A$5000,$A487,$B$3:$B$5000,"&gt;"&amp;$B487))</f>
        <v>46279.598764299</v>
      </c>
    </row>
    <row r="488" customFormat="false" ht="15" hidden="false" customHeight="true" outlineLevel="0" collapsed="false">
      <c r="A488" s="42"/>
      <c r="B488" s="42"/>
      <c r="C488" s="42"/>
      <c r="D488" s="42"/>
      <c r="E488" s="42"/>
      <c r="F488" s="51" t="n">
        <f aca="false">IF(OR(C488="",D488="",E488="",E488=0),0,C488*D488/E488)</f>
        <v>0</v>
      </c>
      <c r="G488" s="42"/>
      <c r="H488" s="49" t="n">
        <f aca="true">IF(OR($A488="",_xlfn.MINIFS($B$3:$B$5000,$A$3:$A$5000,$A488,$B$3:$B$5000,"&gt;"&amp;$B488)=0),NOW(),_xlfn.MINIFS($B$3:$B$5000,$A$3:$A$5000,$A488,$B$3:$B$5000,"&gt;"&amp;$B488))</f>
        <v>46279.598764299</v>
      </c>
    </row>
    <row r="489" customFormat="false" ht="15" hidden="false" customHeight="true" outlineLevel="0" collapsed="false">
      <c r="A489" s="42"/>
      <c r="B489" s="42"/>
      <c r="C489" s="42"/>
      <c r="D489" s="42"/>
      <c r="E489" s="42"/>
      <c r="F489" s="51" t="n">
        <f aca="false">IF(OR(C489="",D489="",E489="",E489=0),0,C489*D489/E489)</f>
        <v>0</v>
      </c>
      <c r="G489" s="42"/>
      <c r="H489" s="49" t="n">
        <f aca="true">IF(OR($A489="",_xlfn.MINIFS($B$3:$B$5000,$A$3:$A$5000,$A489,$B$3:$B$5000,"&gt;"&amp;$B489)=0),NOW(),_xlfn.MINIFS($B$3:$B$5000,$A$3:$A$5000,$A489,$B$3:$B$5000,"&gt;"&amp;$B489))</f>
        <v>46279.5987642991</v>
      </c>
    </row>
    <row r="490" customFormat="false" ht="15" hidden="false" customHeight="true" outlineLevel="0" collapsed="false">
      <c r="A490" s="42"/>
      <c r="B490" s="42"/>
      <c r="C490" s="42"/>
      <c r="D490" s="42"/>
      <c r="E490" s="42"/>
      <c r="F490" s="51" t="n">
        <f aca="false">IF(OR(C490="",D490="",E490="",E490=0),0,C490*D490/E490)</f>
        <v>0</v>
      </c>
      <c r="G490" s="42"/>
      <c r="H490" s="49" t="n">
        <f aca="true">IF(OR($A490="",_xlfn.MINIFS($B$3:$B$5000,$A$3:$A$5000,$A490,$B$3:$B$5000,"&gt;"&amp;$B490)=0),NOW(),_xlfn.MINIFS($B$3:$B$5000,$A$3:$A$5000,$A490,$B$3:$B$5000,"&gt;"&amp;$B490))</f>
        <v>46279.5987642991</v>
      </c>
    </row>
    <row r="491" customFormat="false" ht="15" hidden="false" customHeight="true" outlineLevel="0" collapsed="false">
      <c r="A491" s="42"/>
      <c r="B491" s="42"/>
      <c r="C491" s="42"/>
      <c r="D491" s="42"/>
      <c r="E491" s="42"/>
      <c r="F491" s="51" t="n">
        <f aca="false">IF(OR(C491="",D491="",E491="",E491=0),0,C491*D491/E491)</f>
        <v>0</v>
      </c>
      <c r="G491" s="42"/>
      <c r="H491" s="49" t="n">
        <f aca="true">IF(OR($A491="",_xlfn.MINIFS($B$3:$B$5000,$A$3:$A$5000,$A491,$B$3:$B$5000,"&gt;"&amp;$B491)=0),NOW(),_xlfn.MINIFS($B$3:$B$5000,$A$3:$A$5000,$A491,$B$3:$B$5000,"&gt;"&amp;$B491))</f>
        <v>46279.5987642992</v>
      </c>
    </row>
    <row r="492" customFormat="false" ht="15" hidden="false" customHeight="true" outlineLevel="0" collapsed="false">
      <c r="A492" s="42"/>
      <c r="B492" s="42"/>
      <c r="C492" s="42"/>
      <c r="D492" s="42"/>
      <c r="E492" s="42"/>
      <c r="F492" s="51" t="n">
        <f aca="false">IF(OR(C492="",D492="",E492="",E492=0),0,C492*D492/E492)</f>
        <v>0</v>
      </c>
      <c r="G492" s="42"/>
      <c r="H492" s="49" t="n">
        <f aca="true">IF(OR($A492="",_xlfn.MINIFS($B$3:$B$5000,$A$3:$A$5000,$A492,$B$3:$B$5000,"&gt;"&amp;$B492)=0),NOW(),_xlfn.MINIFS($B$3:$B$5000,$A$3:$A$5000,$A492,$B$3:$B$5000,"&gt;"&amp;$B492))</f>
        <v>46279.5987642992</v>
      </c>
    </row>
    <row r="493" customFormat="false" ht="15" hidden="false" customHeight="true" outlineLevel="0" collapsed="false">
      <c r="A493" s="42"/>
      <c r="B493" s="42"/>
      <c r="C493" s="42"/>
      <c r="D493" s="42"/>
      <c r="E493" s="42"/>
      <c r="F493" s="51" t="n">
        <f aca="false">IF(OR(C493="",D493="",E493="",E493=0),0,C493*D493/E493)</f>
        <v>0</v>
      </c>
      <c r="G493" s="42"/>
      <c r="H493" s="49" t="n">
        <f aca="true">IF(OR($A493="",_xlfn.MINIFS($B$3:$B$5000,$A$3:$A$5000,$A493,$B$3:$B$5000,"&gt;"&amp;$B493)=0),NOW(),_xlfn.MINIFS($B$3:$B$5000,$A$3:$A$5000,$A493,$B$3:$B$5000,"&gt;"&amp;$B493))</f>
        <v>46279.5987642993</v>
      </c>
    </row>
    <row r="494" customFormat="false" ht="15" hidden="false" customHeight="true" outlineLevel="0" collapsed="false">
      <c r="A494" s="42"/>
      <c r="B494" s="42"/>
      <c r="C494" s="42"/>
      <c r="D494" s="42"/>
      <c r="E494" s="42"/>
      <c r="F494" s="51" t="n">
        <f aca="false">IF(OR(C494="",D494="",E494="",E494=0),0,C494*D494/E494)</f>
        <v>0</v>
      </c>
      <c r="G494" s="42"/>
      <c r="H494" s="49" t="n">
        <f aca="true">IF(OR($A494="",_xlfn.MINIFS($B$3:$B$5000,$A$3:$A$5000,$A494,$B$3:$B$5000,"&gt;"&amp;$B494)=0),NOW(),_xlfn.MINIFS($B$3:$B$5000,$A$3:$A$5000,$A494,$B$3:$B$5000,"&gt;"&amp;$B494))</f>
        <v>46279.5987642993</v>
      </c>
    </row>
    <row r="495" customFormat="false" ht="15" hidden="false" customHeight="true" outlineLevel="0" collapsed="false">
      <c r="A495" s="42"/>
      <c r="B495" s="42"/>
      <c r="C495" s="42"/>
      <c r="D495" s="42"/>
      <c r="E495" s="42"/>
      <c r="F495" s="51" t="n">
        <f aca="false">IF(OR(C495="",D495="",E495="",E495=0),0,C495*D495/E495)</f>
        <v>0</v>
      </c>
      <c r="G495" s="42"/>
      <c r="H495" s="49" t="n">
        <f aca="true">IF(OR($A495="",_xlfn.MINIFS($B$3:$B$5000,$A$3:$A$5000,$A495,$B$3:$B$5000,"&gt;"&amp;$B495)=0),NOW(),_xlfn.MINIFS($B$3:$B$5000,$A$3:$A$5000,$A495,$B$3:$B$5000,"&gt;"&amp;$B495))</f>
        <v>46279.5987642994</v>
      </c>
    </row>
    <row r="496" customFormat="false" ht="15" hidden="false" customHeight="true" outlineLevel="0" collapsed="false">
      <c r="A496" s="42"/>
      <c r="B496" s="42"/>
      <c r="C496" s="42"/>
      <c r="D496" s="42"/>
      <c r="E496" s="42"/>
      <c r="F496" s="51" t="n">
        <f aca="false">IF(OR(C496="",D496="",E496="",E496=0),0,C496*D496/E496)</f>
        <v>0</v>
      </c>
      <c r="G496" s="42"/>
      <c r="H496" s="49" t="n">
        <f aca="true">IF(OR($A496="",_xlfn.MINIFS($B$3:$B$5000,$A$3:$A$5000,$A496,$B$3:$B$5000,"&gt;"&amp;$B496)=0),NOW(),_xlfn.MINIFS($B$3:$B$5000,$A$3:$A$5000,$A496,$B$3:$B$5000,"&gt;"&amp;$B496))</f>
        <v>46279.5987642994</v>
      </c>
    </row>
    <row r="497" customFormat="false" ht="15" hidden="false" customHeight="true" outlineLevel="0" collapsed="false">
      <c r="A497" s="42"/>
      <c r="B497" s="42"/>
      <c r="C497" s="42"/>
      <c r="D497" s="42"/>
      <c r="E497" s="42"/>
      <c r="F497" s="51" t="n">
        <f aca="false">IF(OR(C497="",D497="",E497="",E497=0),0,C497*D497/E497)</f>
        <v>0</v>
      </c>
      <c r="G497" s="42"/>
      <c r="H497" s="49" t="n">
        <f aca="true">IF(OR($A497="",_xlfn.MINIFS($B$3:$B$5000,$A$3:$A$5000,$A497,$B$3:$B$5000,"&gt;"&amp;$B497)=0),NOW(),_xlfn.MINIFS($B$3:$B$5000,$A$3:$A$5000,$A497,$B$3:$B$5000,"&gt;"&amp;$B497))</f>
        <v>46279.5987642995</v>
      </c>
    </row>
    <row r="498" customFormat="false" ht="15" hidden="false" customHeight="true" outlineLevel="0" collapsed="false">
      <c r="A498" s="42"/>
      <c r="B498" s="42"/>
      <c r="C498" s="42"/>
      <c r="D498" s="42"/>
      <c r="E498" s="42"/>
      <c r="F498" s="51" t="n">
        <f aca="false">IF(OR(C498="",D498="",E498="",E498=0),0,C498*D498/E498)</f>
        <v>0</v>
      </c>
      <c r="G498" s="42"/>
      <c r="H498" s="49" t="n">
        <f aca="true">IF(OR($A498="",_xlfn.MINIFS($B$3:$B$5000,$A$3:$A$5000,$A498,$B$3:$B$5000,"&gt;"&amp;$B498)=0),NOW(),_xlfn.MINIFS($B$3:$B$5000,$A$3:$A$5000,$A498,$B$3:$B$5000,"&gt;"&amp;$B498))</f>
        <v>46279.5987642995</v>
      </c>
    </row>
    <row r="499" customFormat="false" ht="15" hidden="false" customHeight="true" outlineLevel="0" collapsed="false">
      <c r="A499" s="42"/>
      <c r="B499" s="42"/>
      <c r="C499" s="42"/>
      <c r="D499" s="42"/>
      <c r="E499" s="42"/>
      <c r="F499" s="51" t="n">
        <f aca="false">IF(OR(C499="",D499="",E499="",E499=0),0,C499*D499/E499)</f>
        <v>0</v>
      </c>
      <c r="G499" s="42"/>
      <c r="H499" s="49" t="n">
        <f aca="true">IF(OR($A499="",_xlfn.MINIFS($B$3:$B$5000,$A$3:$A$5000,$A499,$B$3:$B$5000,"&gt;"&amp;$B499)=0),NOW(),_xlfn.MINIFS($B$3:$B$5000,$A$3:$A$5000,$A499,$B$3:$B$5000,"&gt;"&amp;$B499))</f>
        <v>46279.5987642996</v>
      </c>
    </row>
    <row r="500" customFormat="false" ht="15" hidden="false" customHeight="true" outlineLevel="0" collapsed="false">
      <c r="A500" s="42"/>
      <c r="B500" s="42"/>
      <c r="C500" s="42"/>
      <c r="D500" s="42"/>
      <c r="E500" s="42"/>
      <c r="F500" s="51" t="n">
        <f aca="false">IF(OR(C500="",D500="",E500="",E500=0),0,C500*D500/E500)</f>
        <v>0</v>
      </c>
      <c r="G500" s="42"/>
      <c r="H500" s="49" t="n">
        <f aca="true">IF(OR($A500="",_xlfn.MINIFS($B$3:$B$5000,$A$3:$A$5000,$A500,$B$3:$B$5000,"&gt;"&amp;$B500)=0),NOW(),_xlfn.MINIFS($B$3:$B$5000,$A$3:$A$5000,$A500,$B$3:$B$5000,"&gt;"&amp;$B500))</f>
        <v>46279.5987642996</v>
      </c>
    </row>
    <row r="501" customFormat="false" ht="15" hidden="false" customHeight="true" outlineLevel="0" collapsed="false">
      <c r="A501" s="42"/>
      <c r="B501" s="42"/>
      <c r="C501" s="42"/>
      <c r="D501" s="42"/>
      <c r="E501" s="42"/>
      <c r="F501" s="51" t="n">
        <f aca="false">IF(OR(C501="",D501="",E501="",E501=0),0,C501*D501/E501)</f>
        <v>0</v>
      </c>
      <c r="G501" s="42"/>
      <c r="H501" s="49" t="n">
        <f aca="true">IF(OR($A501="",_xlfn.MINIFS($B$3:$B$5000,$A$3:$A$5000,$A501,$B$3:$B$5000,"&gt;"&amp;$B501)=0),NOW(),_xlfn.MINIFS($B$3:$B$5000,$A$3:$A$5000,$A501,$B$3:$B$5000,"&gt;"&amp;$B501))</f>
        <v>46279.5987642997</v>
      </c>
    </row>
    <row r="502" customFormat="false" ht="15" hidden="false" customHeight="true" outlineLevel="0" collapsed="false">
      <c r="A502" s="42"/>
      <c r="B502" s="42"/>
      <c r="C502" s="42"/>
      <c r="D502" s="42"/>
      <c r="E502" s="42"/>
      <c r="F502" s="51" t="n">
        <f aca="false">IF(OR(C502="",D502="",E502="",E502=0),0,C502*D502/E502)</f>
        <v>0</v>
      </c>
      <c r="G502" s="42"/>
      <c r="H502" s="49" t="n">
        <f aca="true">IF(OR($A502="",_xlfn.MINIFS($B$3:$B$5000,$A$3:$A$5000,$A502,$B$3:$B$5000,"&gt;"&amp;$B502)=0),NOW(),_xlfn.MINIFS($B$3:$B$5000,$A$3:$A$5000,$A502,$B$3:$B$5000,"&gt;"&amp;$B502))</f>
        <v>46279.5987642997</v>
      </c>
    </row>
    <row r="503" customFormat="false" ht="15" hidden="false" customHeight="true" outlineLevel="0" collapsed="false">
      <c r="A503" s="42"/>
      <c r="B503" s="42"/>
      <c r="C503" s="42"/>
      <c r="D503" s="42"/>
      <c r="E503" s="42"/>
      <c r="F503" s="51" t="n">
        <f aca="false">IF(OR(C503="",D503="",E503="",E503=0),0,C503*D503/E503)</f>
        <v>0</v>
      </c>
      <c r="G503" s="42"/>
      <c r="H503" s="49" t="n">
        <f aca="true">IF(OR($A503="",_xlfn.MINIFS($B$3:$B$5000,$A$3:$A$5000,$A503,$B$3:$B$5000,"&gt;"&amp;$B503)=0),NOW(),_xlfn.MINIFS($B$3:$B$5000,$A$3:$A$5000,$A503,$B$3:$B$5000,"&gt;"&amp;$B503))</f>
        <v>46279.5987642998</v>
      </c>
    </row>
    <row r="504" customFormat="false" ht="15" hidden="false" customHeight="true" outlineLevel="0" collapsed="false">
      <c r="A504" s="42"/>
      <c r="B504" s="42"/>
      <c r="C504" s="42"/>
      <c r="D504" s="42"/>
      <c r="E504" s="42"/>
      <c r="F504" s="51" t="n">
        <f aca="false">IF(OR(C504="",D504="",E504="",E504=0),0,C504*D504/E504)</f>
        <v>0</v>
      </c>
      <c r="G504" s="42"/>
      <c r="H504" s="49" t="n">
        <f aca="true">IF(OR($A504="",_xlfn.MINIFS($B$3:$B$5000,$A$3:$A$5000,$A504,$B$3:$B$5000,"&gt;"&amp;$B504)=0),NOW(),_xlfn.MINIFS($B$3:$B$5000,$A$3:$A$5000,$A504,$B$3:$B$5000,"&gt;"&amp;$B504))</f>
        <v>46279.5987642998</v>
      </c>
    </row>
    <row r="505" customFormat="false" ht="15" hidden="false" customHeight="true" outlineLevel="0" collapsed="false">
      <c r="A505" s="42"/>
      <c r="B505" s="42"/>
      <c r="C505" s="42"/>
      <c r="D505" s="42"/>
      <c r="E505" s="42"/>
      <c r="F505" s="51" t="n">
        <f aca="false">IF(OR(C505="",D505="",E505="",E505=0),0,C505*D505/E505)</f>
        <v>0</v>
      </c>
      <c r="G505" s="42"/>
      <c r="H505" s="49" t="n">
        <f aca="true">IF(OR($A505="",_xlfn.MINIFS($B$3:$B$5000,$A$3:$A$5000,$A505,$B$3:$B$5000,"&gt;"&amp;$B505)=0),NOW(),_xlfn.MINIFS($B$3:$B$5000,$A$3:$A$5000,$A505,$B$3:$B$5000,"&gt;"&amp;$B505))</f>
        <v>46279.5987642999</v>
      </c>
    </row>
    <row r="506" customFormat="false" ht="15" hidden="false" customHeight="true" outlineLevel="0" collapsed="false">
      <c r="A506" s="42"/>
      <c r="B506" s="42"/>
      <c r="C506" s="42"/>
      <c r="D506" s="42"/>
      <c r="E506" s="42"/>
      <c r="F506" s="51" t="n">
        <f aca="false">IF(OR(C506="",D506="",E506="",E506=0),0,C506*D506/E506)</f>
        <v>0</v>
      </c>
      <c r="G506" s="42"/>
      <c r="H506" s="49" t="n">
        <f aca="true">IF(OR($A506="",_xlfn.MINIFS($B$3:$B$5000,$A$3:$A$5000,$A506,$B$3:$B$5000,"&gt;"&amp;$B506)=0),NOW(),_xlfn.MINIFS($B$3:$B$5000,$A$3:$A$5000,$A506,$B$3:$B$5000,"&gt;"&amp;$B506))</f>
        <v>46279.5987642999</v>
      </c>
    </row>
    <row r="507" customFormat="false" ht="15" hidden="false" customHeight="true" outlineLevel="0" collapsed="false">
      <c r="A507" s="42"/>
      <c r="B507" s="42"/>
      <c r="C507" s="42"/>
      <c r="D507" s="42"/>
      <c r="E507" s="42"/>
      <c r="F507" s="51" t="n">
        <f aca="false">IF(OR(C507="",D507="",E507="",E507=0),0,C507*D507/E507)</f>
        <v>0</v>
      </c>
      <c r="G507" s="42"/>
      <c r="H507" s="49" t="n">
        <f aca="true">IF(OR($A507="",_xlfn.MINIFS($B$3:$B$5000,$A$3:$A$5000,$A507,$B$3:$B$5000,"&gt;"&amp;$B507)=0),NOW(),_xlfn.MINIFS($B$3:$B$5000,$A$3:$A$5000,$A507,$B$3:$B$5000,"&gt;"&amp;$B507))</f>
        <v>46279.5987643</v>
      </c>
    </row>
    <row r="508" customFormat="false" ht="15" hidden="false" customHeight="true" outlineLevel="0" collapsed="false">
      <c r="A508" s="42"/>
      <c r="B508" s="42"/>
      <c r="C508" s="42"/>
      <c r="D508" s="42"/>
      <c r="E508" s="42"/>
      <c r="F508" s="51" t="n">
        <f aca="false">IF(OR(C508="",D508="",E508="",E508=0),0,C508*D508/E508)</f>
        <v>0</v>
      </c>
      <c r="G508" s="42"/>
      <c r="H508" s="49" t="n">
        <f aca="true">IF(OR($A508="",_xlfn.MINIFS($B$3:$B$5000,$A$3:$A$5000,$A508,$B$3:$B$5000,"&gt;"&amp;$B508)=0),NOW(),_xlfn.MINIFS($B$3:$B$5000,$A$3:$A$5000,$A508,$B$3:$B$5000,"&gt;"&amp;$B508))</f>
        <v>46279.5987643</v>
      </c>
    </row>
    <row r="509" customFormat="false" ht="15" hidden="false" customHeight="true" outlineLevel="0" collapsed="false">
      <c r="A509" s="42"/>
      <c r="B509" s="42"/>
      <c r="C509" s="42"/>
      <c r="D509" s="42"/>
      <c r="E509" s="42"/>
      <c r="F509" s="51" t="n">
        <f aca="false">IF(OR(C509="",D509="",E509="",E509=0),0,C509*D509/E509)</f>
        <v>0</v>
      </c>
      <c r="G509" s="42"/>
      <c r="H509" s="49" t="n">
        <f aca="true">IF(OR($A509="",_xlfn.MINIFS($B$3:$B$5000,$A$3:$A$5000,$A509,$B$3:$B$5000,"&gt;"&amp;$B509)=0),NOW(),_xlfn.MINIFS($B$3:$B$5000,$A$3:$A$5000,$A509,$B$3:$B$5000,"&gt;"&amp;$B509))</f>
        <v>46279.5987643001</v>
      </c>
    </row>
    <row r="510" customFormat="false" ht="15" hidden="false" customHeight="true" outlineLevel="0" collapsed="false">
      <c r="A510" s="42"/>
      <c r="B510" s="42"/>
      <c r="C510" s="42"/>
      <c r="D510" s="42"/>
      <c r="E510" s="42"/>
      <c r="F510" s="51" t="n">
        <f aca="false">IF(OR(C510="",D510="",E510="",E510=0),0,C510*D510/E510)</f>
        <v>0</v>
      </c>
      <c r="G510" s="42"/>
      <c r="H510" s="49" t="n">
        <f aca="true">IF(OR($A510="",_xlfn.MINIFS($B$3:$B$5000,$A$3:$A$5000,$A510,$B$3:$B$5000,"&gt;"&amp;$B510)=0),NOW(),_xlfn.MINIFS($B$3:$B$5000,$A$3:$A$5000,$A510,$B$3:$B$5000,"&gt;"&amp;$B510))</f>
        <v>46279.5987643001</v>
      </c>
    </row>
    <row r="511" customFormat="false" ht="15" hidden="false" customHeight="true" outlineLevel="0" collapsed="false">
      <c r="A511" s="42"/>
      <c r="B511" s="42"/>
      <c r="C511" s="42"/>
      <c r="D511" s="42"/>
      <c r="E511" s="42"/>
      <c r="F511" s="51" t="n">
        <f aca="false">IF(OR(C511="",D511="",E511="",E511=0),0,C511*D511/E511)</f>
        <v>0</v>
      </c>
      <c r="G511" s="42"/>
      <c r="H511" s="49" t="n">
        <f aca="true">IF(OR($A511="",_xlfn.MINIFS($B$3:$B$5000,$A$3:$A$5000,$A511,$B$3:$B$5000,"&gt;"&amp;$B511)=0),NOW(),_xlfn.MINIFS($B$3:$B$5000,$A$3:$A$5000,$A511,$B$3:$B$5000,"&gt;"&amp;$B511))</f>
        <v>46279.5987643002</v>
      </c>
    </row>
    <row r="512" customFormat="false" ht="15" hidden="false" customHeight="true" outlineLevel="0" collapsed="false">
      <c r="A512" s="42"/>
      <c r="B512" s="42"/>
      <c r="C512" s="42"/>
      <c r="D512" s="42"/>
      <c r="E512" s="42"/>
      <c r="F512" s="51" t="n">
        <f aca="false">IF(OR(C512="",D512="",E512="",E512=0),0,C512*D512/E512)</f>
        <v>0</v>
      </c>
      <c r="G512" s="42"/>
      <c r="H512" s="49" t="n">
        <f aca="true">IF(OR($A512="",_xlfn.MINIFS($B$3:$B$5000,$A$3:$A$5000,$A512,$B$3:$B$5000,"&gt;"&amp;$B512)=0),NOW(),_xlfn.MINIFS($B$3:$B$5000,$A$3:$A$5000,$A512,$B$3:$B$5000,"&gt;"&amp;$B512))</f>
        <v>46279.5987643002</v>
      </c>
    </row>
    <row r="513" customFormat="false" ht="15" hidden="false" customHeight="true" outlineLevel="0" collapsed="false">
      <c r="A513" s="42"/>
      <c r="B513" s="42"/>
      <c r="C513" s="42"/>
      <c r="D513" s="42"/>
      <c r="E513" s="42"/>
      <c r="F513" s="51" t="n">
        <f aca="false">IF(OR(C513="",D513="",E513="",E513=0),0,C513*D513/E513)</f>
        <v>0</v>
      </c>
      <c r="G513" s="42"/>
      <c r="H513" s="49" t="n">
        <f aca="true">IF(OR($A513="",_xlfn.MINIFS($B$3:$B$5000,$A$3:$A$5000,$A513,$B$3:$B$5000,"&gt;"&amp;$B513)=0),NOW(),_xlfn.MINIFS($B$3:$B$5000,$A$3:$A$5000,$A513,$B$3:$B$5000,"&gt;"&amp;$B513))</f>
        <v>46279.5987643003</v>
      </c>
    </row>
    <row r="514" customFormat="false" ht="15" hidden="false" customHeight="true" outlineLevel="0" collapsed="false">
      <c r="A514" s="42"/>
      <c r="B514" s="42"/>
      <c r="C514" s="42"/>
      <c r="D514" s="42"/>
      <c r="E514" s="42"/>
      <c r="F514" s="51" t="n">
        <f aca="false">IF(OR(C514="",D514="",E514="",E514=0),0,C514*D514/E514)</f>
        <v>0</v>
      </c>
      <c r="G514" s="42"/>
      <c r="H514" s="49" t="n">
        <f aca="true">IF(OR($A514="",_xlfn.MINIFS($B$3:$B$5000,$A$3:$A$5000,$A514,$B$3:$B$5000,"&gt;"&amp;$B514)=0),NOW(),_xlfn.MINIFS($B$3:$B$5000,$A$3:$A$5000,$A514,$B$3:$B$5000,"&gt;"&amp;$B514))</f>
        <v>46279.5987643003</v>
      </c>
    </row>
    <row r="515" customFormat="false" ht="15" hidden="false" customHeight="true" outlineLevel="0" collapsed="false">
      <c r="A515" s="42"/>
      <c r="B515" s="42"/>
      <c r="C515" s="42"/>
      <c r="D515" s="42"/>
      <c r="E515" s="42"/>
      <c r="F515" s="51" t="n">
        <f aca="false">IF(OR(C515="",D515="",E515="",E515=0),0,C515*D515/E515)</f>
        <v>0</v>
      </c>
      <c r="G515" s="42"/>
      <c r="H515" s="49" t="n">
        <f aca="true">IF(OR($A515="",_xlfn.MINIFS($B$3:$B$5000,$A$3:$A$5000,$A515,$B$3:$B$5000,"&gt;"&amp;$B515)=0),NOW(),_xlfn.MINIFS($B$3:$B$5000,$A$3:$A$5000,$A515,$B$3:$B$5000,"&gt;"&amp;$B515))</f>
        <v>46279.5987643004</v>
      </c>
    </row>
    <row r="516" customFormat="false" ht="15" hidden="false" customHeight="true" outlineLevel="0" collapsed="false">
      <c r="A516" s="42"/>
      <c r="B516" s="42"/>
      <c r="C516" s="42"/>
      <c r="D516" s="42"/>
      <c r="E516" s="42"/>
      <c r="F516" s="51" t="n">
        <f aca="false">IF(OR(C516="",D516="",E516="",E516=0),0,C516*D516/E516)</f>
        <v>0</v>
      </c>
      <c r="G516" s="42"/>
      <c r="H516" s="49" t="n">
        <f aca="true">IF(OR($A516="",_xlfn.MINIFS($B$3:$B$5000,$A$3:$A$5000,$A516,$B$3:$B$5000,"&gt;"&amp;$B516)=0),NOW(),_xlfn.MINIFS($B$3:$B$5000,$A$3:$A$5000,$A516,$B$3:$B$5000,"&gt;"&amp;$B516))</f>
        <v>46279.5987643004</v>
      </c>
    </row>
    <row r="517" customFormat="false" ht="15" hidden="false" customHeight="true" outlineLevel="0" collapsed="false">
      <c r="A517" s="42"/>
      <c r="B517" s="42"/>
      <c r="C517" s="42"/>
      <c r="D517" s="42"/>
      <c r="E517" s="42"/>
      <c r="F517" s="51" t="n">
        <f aca="false">IF(OR(C517="",D517="",E517="",E517=0),0,C517*D517/E517)</f>
        <v>0</v>
      </c>
      <c r="G517" s="42"/>
      <c r="H517" s="49" t="n">
        <f aca="true">IF(OR($A517="",_xlfn.MINIFS($B$3:$B$5000,$A$3:$A$5000,$A517,$B$3:$B$5000,"&gt;"&amp;$B517)=0),NOW(),_xlfn.MINIFS($B$3:$B$5000,$A$3:$A$5000,$A517,$B$3:$B$5000,"&gt;"&amp;$B517))</f>
        <v>46279.5987643005</v>
      </c>
    </row>
    <row r="518" customFormat="false" ht="15" hidden="false" customHeight="true" outlineLevel="0" collapsed="false">
      <c r="A518" s="42"/>
      <c r="B518" s="42"/>
      <c r="C518" s="42"/>
      <c r="D518" s="42"/>
      <c r="E518" s="42"/>
      <c r="F518" s="51" t="n">
        <f aca="false">IF(OR(C518="",D518="",E518="",E518=0),0,C518*D518/E518)</f>
        <v>0</v>
      </c>
      <c r="G518" s="42"/>
      <c r="H518" s="49" t="n">
        <f aca="true">IF(OR($A518="",_xlfn.MINIFS($B$3:$B$5000,$A$3:$A$5000,$A518,$B$3:$B$5000,"&gt;"&amp;$B518)=0),NOW(),_xlfn.MINIFS($B$3:$B$5000,$A$3:$A$5000,$A518,$B$3:$B$5000,"&gt;"&amp;$B518))</f>
        <v>46279.5987643005</v>
      </c>
    </row>
    <row r="519" customFormat="false" ht="15" hidden="false" customHeight="true" outlineLevel="0" collapsed="false">
      <c r="A519" s="42"/>
      <c r="B519" s="42"/>
      <c r="C519" s="42"/>
      <c r="D519" s="42"/>
      <c r="E519" s="42"/>
      <c r="F519" s="51" t="n">
        <f aca="false">IF(OR(C519="",D519="",E519="",E519=0),0,C519*D519/E519)</f>
        <v>0</v>
      </c>
      <c r="G519" s="42"/>
      <c r="H519" s="49" t="n">
        <f aca="true">IF(OR($A519="",_xlfn.MINIFS($B$3:$B$5000,$A$3:$A$5000,$A519,$B$3:$B$5000,"&gt;"&amp;$B519)=0),NOW(),_xlfn.MINIFS($B$3:$B$5000,$A$3:$A$5000,$A519,$B$3:$B$5000,"&gt;"&amp;$B519))</f>
        <v>46279.5987643006</v>
      </c>
    </row>
    <row r="520" customFormat="false" ht="15" hidden="false" customHeight="true" outlineLevel="0" collapsed="false">
      <c r="A520" s="42"/>
      <c r="B520" s="42"/>
      <c r="C520" s="42"/>
      <c r="D520" s="42"/>
      <c r="E520" s="42"/>
      <c r="F520" s="51" t="n">
        <f aca="false">IF(OR(C520="",D520="",E520="",E520=0),0,C520*D520/E520)</f>
        <v>0</v>
      </c>
      <c r="G520" s="42"/>
      <c r="H520" s="49" t="n">
        <f aca="true">IF(OR($A520="",_xlfn.MINIFS($B$3:$B$5000,$A$3:$A$5000,$A520,$B$3:$B$5000,"&gt;"&amp;$B520)=0),NOW(),_xlfn.MINIFS($B$3:$B$5000,$A$3:$A$5000,$A520,$B$3:$B$5000,"&gt;"&amp;$B520))</f>
        <v>46279.5987643006</v>
      </c>
    </row>
    <row r="521" customFormat="false" ht="15" hidden="false" customHeight="true" outlineLevel="0" collapsed="false">
      <c r="A521" s="42"/>
      <c r="B521" s="42"/>
      <c r="C521" s="42"/>
      <c r="D521" s="42"/>
      <c r="E521" s="42"/>
      <c r="F521" s="51" t="n">
        <f aca="false">IF(OR(C521="",D521="",E521="",E521=0),0,C521*D521/E521)</f>
        <v>0</v>
      </c>
      <c r="G521" s="42"/>
      <c r="H521" s="49" t="n">
        <f aca="true">IF(OR($A521="",_xlfn.MINIFS($B$3:$B$5000,$A$3:$A$5000,$A521,$B$3:$B$5000,"&gt;"&amp;$B521)=0),NOW(),_xlfn.MINIFS($B$3:$B$5000,$A$3:$A$5000,$A521,$B$3:$B$5000,"&gt;"&amp;$B521))</f>
        <v>46279.5987643007</v>
      </c>
    </row>
    <row r="522" customFormat="false" ht="15" hidden="false" customHeight="true" outlineLevel="0" collapsed="false">
      <c r="A522" s="42"/>
      <c r="B522" s="42"/>
      <c r="C522" s="42"/>
      <c r="D522" s="42"/>
      <c r="E522" s="42"/>
      <c r="F522" s="51" t="n">
        <f aca="false">IF(OR(C522="",D522="",E522="",E522=0),0,C522*D522/E522)</f>
        <v>0</v>
      </c>
      <c r="G522" s="42"/>
      <c r="H522" s="49" t="n">
        <f aca="true">IF(OR($A522="",_xlfn.MINIFS($B$3:$B$5000,$A$3:$A$5000,$A522,$B$3:$B$5000,"&gt;"&amp;$B522)=0),NOW(),_xlfn.MINIFS($B$3:$B$5000,$A$3:$A$5000,$A522,$B$3:$B$5000,"&gt;"&amp;$B522))</f>
        <v>46279.5987643007</v>
      </c>
    </row>
    <row r="523" customFormat="false" ht="15" hidden="false" customHeight="true" outlineLevel="0" collapsed="false">
      <c r="A523" s="42"/>
      <c r="B523" s="42"/>
      <c r="C523" s="42"/>
      <c r="D523" s="42"/>
      <c r="E523" s="42"/>
      <c r="F523" s="51" t="n">
        <f aca="false">IF(OR(C523="",D523="",E523="",E523=0),0,C523*D523/E523)</f>
        <v>0</v>
      </c>
      <c r="G523" s="42"/>
      <c r="H523" s="49" t="n">
        <f aca="true">IF(OR($A523="",_xlfn.MINIFS($B$3:$B$5000,$A$3:$A$5000,$A523,$B$3:$B$5000,"&gt;"&amp;$B523)=0),NOW(),_xlfn.MINIFS($B$3:$B$5000,$A$3:$A$5000,$A523,$B$3:$B$5000,"&gt;"&amp;$B523))</f>
        <v>46279.5987643008</v>
      </c>
    </row>
    <row r="524" customFormat="false" ht="15" hidden="false" customHeight="true" outlineLevel="0" collapsed="false">
      <c r="A524" s="42"/>
      <c r="B524" s="42"/>
      <c r="C524" s="42"/>
      <c r="D524" s="42"/>
      <c r="E524" s="42"/>
      <c r="F524" s="51" t="n">
        <f aca="false">IF(OR(C524="",D524="",E524="",E524=0),0,C524*D524/E524)</f>
        <v>0</v>
      </c>
      <c r="G524" s="42"/>
      <c r="H524" s="49" t="n">
        <f aca="true">IF(OR($A524="",_xlfn.MINIFS($B$3:$B$5000,$A$3:$A$5000,$A524,$B$3:$B$5000,"&gt;"&amp;$B524)=0),NOW(),_xlfn.MINIFS($B$3:$B$5000,$A$3:$A$5000,$A524,$B$3:$B$5000,"&gt;"&amp;$B524))</f>
        <v>46279.5987643008</v>
      </c>
    </row>
    <row r="525" customFormat="false" ht="15" hidden="false" customHeight="true" outlineLevel="0" collapsed="false">
      <c r="A525" s="42"/>
      <c r="B525" s="42"/>
      <c r="C525" s="42"/>
      <c r="D525" s="42"/>
      <c r="E525" s="42"/>
      <c r="F525" s="51" t="n">
        <f aca="false">IF(OR(C525="",D525="",E525="",E525=0),0,C525*D525/E525)</f>
        <v>0</v>
      </c>
      <c r="G525" s="42"/>
      <c r="H525" s="49" t="n">
        <f aca="true">IF(OR($A525="",_xlfn.MINIFS($B$3:$B$5000,$A$3:$A$5000,$A525,$B$3:$B$5000,"&gt;"&amp;$B525)=0),NOW(),_xlfn.MINIFS($B$3:$B$5000,$A$3:$A$5000,$A525,$B$3:$B$5000,"&gt;"&amp;$B525))</f>
        <v>46279.5987643009</v>
      </c>
    </row>
    <row r="526" customFormat="false" ht="15" hidden="false" customHeight="true" outlineLevel="0" collapsed="false">
      <c r="A526" s="42"/>
      <c r="B526" s="42"/>
      <c r="C526" s="42"/>
      <c r="D526" s="42"/>
      <c r="E526" s="42"/>
      <c r="F526" s="51" t="n">
        <f aca="false">IF(OR(C526="",D526="",E526="",E526=0),0,C526*D526/E526)</f>
        <v>0</v>
      </c>
      <c r="G526" s="42"/>
      <c r="H526" s="49" t="n">
        <f aca="true">IF(OR($A526="",_xlfn.MINIFS($B$3:$B$5000,$A$3:$A$5000,$A526,$B$3:$B$5000,"&gt;"&amp;$B526)=0),NOW(),_xlfn.MINIFS($B$3:$B$5000,$A$3:$A$5000,$A526,$B$3:$B$5000,"&gt;"&amp;$B526))</f>
        <v>46279.5987643009</v>
      </c>
    </row>
    <row r="527" customFormat="false" ht="15" hidden="false" customHeight="true" outlineLevel="0" collapsed="false">
      <c r="A527" s="42"/>
      <c r="B527" s="42"/>
      <c r="C527" s="42"/>
      <c r="D527" s="42"/>
      <c r="E527" s="42"/>
      <c r="F527" s="51" t="n">
        <f aca="false">IF(OR(C527="",D527="",E527="",E527=0),0,C527*D527/E527)</f>
        <v>0</v>
      </c>
      <c r="G527" s="42"/>
      <c r="H527" s="49" t="n">
        <f aca="true">IF(OR($A527="",_xlfn.MINIFS($B$3:$B$5000,$A$3:$A$5000,$A527,$B$3:$B$5000,"&gt;"&amp;$B527)=0),NOW(),_xlfn.MINIFS($B$3:$B$5000,$A$3:$A$5000,$A527,$B$3:$B$5000,"&gt;"&amp;$B527))</f>
        <v>46279.598764301</v>
      </c>
    </row>
    <row r="528" customFormat="false" ht="15" hidden="false" customHeight="true" outlineLevel="0" collapsed="false">
      <c r="A528" s="42"/>
      <c r="B528" s="42"/>
      <c r="C528" s="42"/>
      <c r="D528" s="42"/>
      <c r="E528" s="42"/>
      <c r="F528" s="51" t="n">
        <f aca="false">IF(OR(C528="",D528="",E528="",E528=0),0,C528*D528/E528)</f>
        <v>0</v>
      </c>
      <c r="G528" s="42"/>
      <c r="H528" s="49" t="n">
        <f aca="true">IF(OR($A528="",_xlfn.MINIFS($B$3:$B$5000,$A$3:$A$5000,$A528,$B$3:$B$5000,"&gt;"&amp;$B528)=0),NOW(),_xlfn.MINIFS($B$3:$B$5000,$A$3:$A$5000,$A528,$B$3:$B$5000,"&gt;"&amp;$B528))</f>
        <v>46279.598764301</v>
      </c>
    </row>
    <row r="529" customFormat="false" ht="15" hidden="false" customHeight="true" outlineLevel="0" collapsed="false">
      <c r="A529" s="42"/>
      <c r="B529" s="42"/>
      <c r="C529" s="42"/>
      <c r="D529" s="42"/>
      <c r="E529" s="42"/>
      <c r="F529" s="51" t="n">
        <f aca="false">IF(OR(C529="",D529="",E529="",E529=0),0,C529*D529/E529)</f>
        <v>0</v>
      </c>
      <c r="G529" s="42"/>
      <c r="H529" s="49" t="n">
        <f aca="true">IF(OR($A529="",_xlfn.MINIFS($B$3:$B$5000,$A$3:$A$5000,$A529,$B$3:$B$5000,"&gt;"&amp;$B529)=0),NOW(),_xlfn.MINIFS($B$3:$B$5000,$A$3:$A$5000,$A529,$B$3:$B$5000,"&gt;"&amp;$B529))</f>
        <v>46279.5987643011</v>
      </c>
    </row>
    <row r="530" customFormat="false" ht="15" hidden="false" customHeight="true" outlineLevel="0" collapsed="false">
      <c r="A530" s="42"/>
      <c r="B530" s="42"/>
      <c r="C530" s="42"/>
      <c r="D530" s="42"/>
      <c r="E530" s="42"/>
      <c r="F530" s="51" t="n">
        <f aca="false">IF(OR(C530="",D530="",E530="",E530=0),0,C530*D530/E530)</f>
        <v>0</v>
      </c>
      <c r="G530" s="42"/>
      <c r="H530" s="49" t="n">
        <f aca="true">IF(OR($A530="",_xlfn.MINIFS($B$3:$B$5000,$A$3:$A$5000,$A530,$B$3:$B$5000,"&gt;"&amp;$B530)=0),NOW(),_xlfn.MINIFS($B$3:$B$5000,$A$3:$A$5000,$A530,$B$3:$B$5000,"&gt;"&amp;$B530))</f>
        <v>46279.5987643012</v>
      </c>
    </row>
    <row r="531" customFormat="false" ht="15" hidden="false" customHeight="true" outlineLevel="0" collapsed="false">
      <c r="A531" s="42"/>
      <c r="B531" s="42"/>
      <c r="C531" s="42"/>
      <c r="D531" s="42"/>
      <c r="E531" s="42"/>
      <c r="F531" s="51" t="n">
        <f aca="false">IF(OR(C531="",D531="",E531="",E531=0),0,C531*D531/E531)</f>
        <v>0</v>
      </c>
      <c r="G531" s="42"/>
      <c r="H531" s="49" t="n">
        <f aca="true">IF(OR($A531="",_xlfn.MINIFS($B$3:$B$5000,$A$3:$A$5000,$A531,$B$3:$B$5000,"&gt;"&amp;$B531)=0),NOW(),_xlfn.MINIFS($B$3:$B$5000,$A$3:$A$5000,$A531,$B$3:$B$5000,"&gt;"&amp;$B531))</f>
        <v>46279.5987643012</v>
      </c>
    </row>
    <row r="532" customFormat="false" ht="15" hidden="false" customHeight="true" outlineLevel="0" collapsed="false">
      <c r="A532" s="42"/>
      <c r="B532" s="42"/>
      <c r="C532" s="42"/>
      <c r="D532" s="42"/>
      <c r="E532" s="42"/>
      <c r="F532" s="51" t="n">
        <f aca="false">IF(OR(C532="",D532="",E532="",E532=0),0,C532*D532/E532)</f>
        <v>0</v>
      </c>
      <c r="G532" s="42"/>
      <c r="H532" s="49" t="n">
        <f aca="true">IF(OR($A532="",_xlfn.MINIFS($B$3:$B$5000,$A$3:$A$5000,$A532,$B$3:$B$5000,"&gt;"&amp;$B532)=0),NOW(),_xlfn.MINIFS($B$3:$B$5000,$A$3:$A$5000,$A532,$B$3:$B$5000,"&gt;"&amp;$B532))</f>
        <v>46279.5987643013</v>
      </c>
    </row>
    <row r="533" customFormat="false" ht="15" hidden="false" customHeight="true" outlineLevel="0" collapsed="false">
      <c r="A533" s="42"/>
      <c r="B533" s="42"/>
      <c r="C533" s="42"/>
      <c r="D533" s="42"/>
      <c r="E533" s="42"/>
      <c r="F533" s="51" t="n">
        <f aca="false">IF(OR(C533="",D533="",E533="",E533=0),0,C533*D533/E533)</f>
        <v>0</v>
      </c>
      <c r="G533" s="42"/>
      <c r="H533" s="49" t="n">
        <f aca="true">IF(OR($A533="",_xlfn.MINIFS($B$3:$B$5000,$A$3:$A$5000,$A533,$B$3:$B$5000,"&gt;"&amp;$B533)=0),NOW(),_xlfn.MINIFS($B$3:$B$5000,$A$3:$A$5000,$A533,$B$3:$B$5000,"&gt;"&amp;$B533))</f>
        <v>46279.5987643013</v>
      </c>
    </row>
    <row r="534" customFormat="false" ht="15" hidden="false" customHeight="true" outlineLevel="0" collapsed="false">
      <c r="A534" s="42"/>
      <c r="B534" s="42"/>
      <c r="C534" s="42"/>
      <c r="D534" s="42"/>
      <c r="E534" s="42"/>
      <c r="F534" s="51" t="n">
        <f aca="false">IF(OR(C534="",D534="",E534="",E534=0),0,C534*D534/E534)</f>
        <v>0</v>
      </c>
      <c r="G534" s="42"/>
      <c r="H534" s="49" t="n">
        <f aca="true">IF(OR($A534="",_xlfn.MINIFS($B$3:$B$5000,$A$3:$A$5000,$A534,$B$3:$B$5000,"&gt;"&amp;$B534)=0),NOW(),_xlfn.MINIFS($B$3:$B$5000,$A$3:$A$5000,$A534,$B$3:$B$5000,"&gt;"&amp;$B534))</f>
        <v>46279.5987643013</v>
      </c>
    </row>
    <row r="535" customFormat="false" ht="15" hidden="false" customHeight="true" outlineLevel="0" collapsed="false">
      <c r="A535" s="42"/>
      <c r="B535" s="42"/>
      <c r="C535" s="42"/>
      <c r="D535" s="42"/>
      <c r="E535" s="42"/>
      <c r="F535" s="51" t="n">
        <f aca="false">IF(OR(C535="",D535="",E535="",E535=0),0,C535*D535/E535)</f>
        <v>0</v>
      </c>
      <c r="G535" s="42"/>
      <c r="H535" s="49" t="n">
        <f aca="true">IF(OR($A535="",_xlfn.MINIFS($B$3:$B$5000,$A$3:$A$5000,$A535,$B$3:$B$5000,"&gt;"&amp;$B535)=0),NOW(),_xlfn.MINIFS($B$3:$B$5000,$A$3:$A$5000,$A535,$B$3:$B$5000,"&gt;"&amp;$B535))</f>
        <v>46279.5987643014</v>
      </c>
    </row>
    <row r="536" customFormat="false" ht="15" hidden="false" customHeight="true" outlineLevel="0" collapsed="false">
      <c r="A536" s="42"/>
      <c r="B536" s="42"/>
      <c r="C536" s="42"/>
      <c r="D536" s="42"/>
      <c r="E536" s="42"/>
      <c r="F536" s="51" t="n">
        <f aca="false">IF(OR(C536="",D536="",E536="",E536=0),0,C536*D536/E536)</f>
        <v>0</v>
      </c>
      <c r="G536" s="42"/>
      <c r="H536" s="49" t="n">
        <f aca="true">IF(OR($A536="",_xlfn.MINIFS($B$3:$B$5000,$A$3:$A$5000,$A536,$B$3:$B$5000,"&gt;"&amp;$B536)=0),NOW(),_xlfn.MINIFS($B$3:$B$5000,$A$3:$A$5000,$A536,$B$3:$B$5000,"&gt;"&amp;$B536))</f>
        <v>46279.5987643015</v>
      </c>
    </row>
    <row r="537" customFormat="false" ht="15" hidden="false" customHeight="true" outlineLevel="0" collapsed="false">
      <c r="A537" s="42"/>
      <c r="B537" s="42"/>
      <c r="C537" s="42"/>
      <c r="D537" s="42"/>
      <c r="E537" s="42"/>
      <c r="F537" s="51" t="n">
        <f aca="false">IF(OR(C537="",D537="",E537="",E537=0),0,C537*D537/E537)</f>
        <v>0</v>
      </c>
      <c r="G537" s="42"/>
      <c r="H537" s="49" t="n">
        <f aca="true">IF(OR($A537="",_xlfn.MINIFS($B$3:$B$5000,$A$3:$A$5000,$A537,$B$3:$B$5000,"&gt;"&amp;$B537)=0),NOW(),_xlfn.MINIFS($B$3:$B$5000,$A$3:$A$5000,$A537,$B$3:$B$5000,"&gt;"&amp;$B537))</f>
        <v>46279.5987643015</v>
      </c>
    </row>
    <row r="538" customFormat="false" ht="15" hidden="false" customHeight="true" outlineLevel="0" collapsed="false">
      <c r="A538" s="42"/>
      <c r="B538" s="42"/>
      <c r="C538" s="42"/>
      <c r="D538" s="42"/>
      <c r="E538" s="42"/>
      <c r="F538" s="51" t="n">
        <f aca="false">IF(OR(C538="",D538="",E538="",E538=0),0,C538*D538/E538)</f>
        <v>0</v>
      </c>
      <c r="G538" s="42"/>
      <c r="H538" s="49" t="n">
        <f aca="true">IF(OR($A538="",_xlfn.MINIFS($B$3:$B$5000,$A$3:$A$5000,$A538,$B$3:$B$5000,"&gt;"&amp;$B538)=0),NOW(),_xlfn.MINIFS($B$3:$B$5000,$A$3:$A$5000,$A538,$B$3:$B$5000,"&gt;"&amp;$B538))</f>
        <v>46279.5987643016</v>
      </c>
    </row>
    <row r="539" customFormat="false" ht="15" hidden="false" customHeight="true" outlineLevel="0" collapsed="false">
      <c r="A539" s="42"/>
      <c r="B539" s="42"/>
      <c r="C539" s="42"/>
      <c r="D539" s="42"/>
      <c r="E539" s="42"/>
      <c r="F539" s="51" t="n">
        <f aca="false">IF(OR(C539="",D539="",E539="",E539=0),0,C539*D539/E539)</f>
        <v>0</v>
      </c>
      <c r="G539" s="42"/>
      <c r="H539" s="49" t="n">
        <f aca="true">IF(OR($A539="",_xlfn.MINIFS($B$3:$B$5000,$A$3:$A$5000,$A539,$B$3:$B$5000,"&gt;"&amp;$B539)=0),NOW(),_xlfn.MINIFS($B$3:$B$5000,$A$3:$A$5000,$A539,$B$3:$B$5000,"&gt;"&amp;$B539))</f>
        <v>46279.5987643016</v>
      </c>
    </row>
    <row r="540" customFormat="false" ht="15" hidden="false" customHeight="true" outlineLevel="0" collapsed="false">
      <c r="A540" s="42"/>
      <c r="B540" s="42"/>
      <c r="C540" s="42"/>
      <c r="D540" s="42"/>
      <c r="E540" s="42"/>
      <c r="F540" s="51" t="n">
        <f aca="false">IF(OR(C540="",D540="",E540="",E540=0),0,C540*D540/E540)</f>
        <v>0</v>
      </c>
      <c r="G540" s="42"/>
      <c r="H540" s="49" t="n">
        <f aca="true">IF(OR($A540="",_xlfn.MINIFS($B$3:$B$5000,$A$3:$A$5000,$A540,$B$3:$B$5000,"&gt;"&amp;$B540)=0),NOW(),_xlfn.MINIFS($B$3:$B$5000,$A$3:$A$5000,$A540,$B$3:$B$5000,"&gt;"&amp;$B540))</f>
        <v>46279.5987643017</v>
      </c>
    </row>
    <row r="541" customFormat="false" ht="15" hidden="false" customHeight="true" outlineLevel="0" collapsed="false">
      <c r="A541" s="42"/>
      <c r="B541" s="42"/>
      <c r="C541" s="42"/>
      <c r="D541" s="42"/>
      <c r="E541" s="42"/>
      <c r="F541" s="51" t="n">
        <f aca="false">IF(OR(C541="",D541="",E541="",E541=0),0,C541*D541/E541)</f>
        <v>0</v>
      </c>
      <c r="G541" s="42"/>
      <c r="H541" s="49" t="n">
        <f aca="true">IF(OR($A541="",_xlfn.MINIFS($B$3:$B$5000,$A$3:$A$5000,$A541,$B$3:$B$5000,"&gt;"&amp;$B541)=0),NOW(),_xlfn.MINIFS($B$3:$B$5000,$A$3:$A$5000,$A541,$B$3:$B$5000,"&gt;"&amp;$B541))</f>
        <v>46279.5987643017</v>
      </c>
    </row>
    <row r="542" customFormat="false" ht="15" hidden="false" customHeight="true" outlineLevel="0" collapsed="false">
      <c r="A542" s="42"/>
      <c r="B542" s="42"/>
      <c r="C542" s="42"/>
      <c r="D542" s="42"/>
      <c r="E542" s="42"/>
      <c r="F542" s="51" t="n">
        <f aca="false">IF(OR(C542="",D542="",E542="",E542=0),0,C542*D542/E542)</f>
        <v>0</v>
      </c>
      <c r="G542" s="42"/>
      <c r="H542" s="49" t="n">
        <f aca="true">IF(OR($A542="",_xlfn.MINIFS($B$3:$B$5000,$A$3:$A$5000,$A542,$B$3:$B$5000,"&gt;"&amp;$B542)=0),NOW(),_xlfn.MINIFS($B$3:$B$5000,$A$3:$A$5000,$A542,$B$3:$B$5000,"&gt;"&amp;$B542))</f>
        <v>46279.5987643018</v>
      </c>
    </row>
    <row r="543" customFormat="false" ht="15" hidden="false" customHeight="true" outlineLevel="0" collapsed="false">
      <c r="A543" s="42"/>
      <c r="B543" s="42"/>
      <c r="C543" s="42"/>
      <c r="D543" s="42"/>
      <c r="E543" s="42"/>
      <c r="F543" s="51" t="n">
        <f aca="false">IF(OR(C543="",D543="",E543="",E543=0),0,C543*D543/E543)</f>
        <v>0</v>
      </c>
      <c r="G543" s="42"/>
      <c r="H543" s="49" t="n">
        <f aca="true">IF(OR($A543="",_xlfn.MINIFS($B$3:$B$5000,$A$3:$A$5000,$A543,$B$3:$B$5000,"&gt;"&amp;$B543)=0),NOW(),_xlfn.MINIFS($B$3:$B$5000,$A$3:$A$5000,$A543,$B$3:$B$5000,"&gt;"&amp;$B543))</f>
        <v>46279.5987643018</v>
      </c>
    </row>
    <row r="544" customFormat="false" ht="15" hidden="false" customHeight="true" outlineLevel="0" collapsed="false">
      <c r="A544" s="42"/>
      <c r="B544" s="42"/>
      <c r="C544" s="42"/>
      <c r="D544" s="42"/>
      <c r="E544" s="42"/>
      <c r="F544" s="51" t="n">
        <f aca="false">IF(OR(C544="",D544="",E544="",E544=0),0,C544*D544/E544)</f>
        <v>0</v>
      </c>
      <c r="G544" s="42"/>
      <c r="H544" s="49" t="n">
        <f aca="true">IF(OR($A544="",_xlfn.MINIFS($B$3:$B$5000,$A$3:$A$5000,$A544,$B$3:$B$5000,"&gt;"&amp;$B544)=0),NOW(),_xlfn.MINIFS($B$3:$B$5000,$A$3:$A$5000,$A544,$B$3:$B$5000,"&gt;"&amp;$B544))</f>
        <v>46279.5987643019</v>
      </c>
    </row>
    <row r="545" customFormat="false" ht="15" hidden="false" customHeight="true" outlineLevel="0" collapsed="false">
      <c r="A545" s="42"/>
      <c r="B545" s="42"/>
      <c r="C545" s="42"/>
      <c r="D545" s="42"/>
      <c r="E545" s="42"/>
      <c r="F545" s="51" t="n">
        <f aca="false">IF(OR(C545="",D545="",E545="",E545=0),0,C545*D545/E545)</f>
        <v>0</v>
      </c>
      <c r="G545" s="42"/>
      <c r="H545" s="49" t="n">
        <f aca="true">IF(OR($A545="",_xlfn.MINIFS($B$3:$B$5000,$A$3:$A$5000,$A545,$B$3:$B$5000,"&gt;"&amp;$B545)=0),NOW(),_xlfn.MINIFS($B$3:$B$5000,$A$3:$A$5000,$A545,$B$3:$B$5000,"&gt;"&amp;$B545))</f>
        <v>46279.5987643019</v>
      </c>
    </row>
    <row r="546" customFormat="false" ht="15" hidden="false" customHeight="true" outlineLevel="0" collapsed="false">
      <c r="A546" s="42"/>
      <c r="B546" s="42"/>
      <c r="C546" s="42"/>
      <c r="D546" s="42"/>
      <c r="E546" s="42"/>
      <c r="F546" s="51" t="n">
        <f aca="false">IF(OR(C546="",D546="",E546="",E546=0),0,C546*D546/E546)</f>
        <v>0</v>
      </c>
      <c r="G546" s="42"/>
      <c r="H546" s="49" t="n">
        <f aca="true">IF(OR($A546="",_xlfn.MINIFS($B$3:$B$5000,$A$3:$A$5000,$A546,$B$3:$B$5000,"&gt;"&amp;$B546)=0),NOW(),_xlfn.MINIFS($B$3:$B$5000,$A$3:$A$5000,$A546,$B$3:$B$5000,"&gt;"&amp;$B546))</f>
        <v>46279.598764302</v>
      </c>
    </row>
    <row r="547" customFormat="false" ht="15" hidden="false" customHeight="true" outlineLevel="0" collapsed="false">
      <c r="A547" s="42"/>
      <c r="B547" s="42"/>
      <c r="C547" s="42"/>
      <c r="D547" s="42"/>
      <c r="E547" s="42"/>
      <c r="F547" s="51" t="n">
        <f aca="false">IF(OR(C547="",D547="",E547="",E547=0),0,C547*D547/E547)</f>
        <v>0</v>
      </c>
      <c r="G547" s="42"/>
      <c r="H547" s="49" t="n">
        <f aca="true">IF(OR($A547="",_xlfn.MINIFS($B$3:$B$5000,$A$3:$A$5000,$A547,$B$3:$B$5000,"&gt;"&amp;$B547)=0),NOW(),_xlfn.MINIFS($B$3:$B$5000,$A$3:$A$5000,$A547,$B$3:$B$5000,"&gt;"&amp;$B547))</f>
        <v>46279.5987643021</v>
      </c>
    </row>
    <row r="548" customFormat="false" ht="15" hidden="false" customHeight="true" outlineLevel="0" collapsed="false">
      <c r="A548" s="42"/>
      <c r="B548" s="42"/>
      <c r="C548" s="42"/>
      <c r="D548" s="42"/>
      <c r="E548" s="42"/>
      <c r="F548" s="51" t="n">
        <f aca="false">IF(OR(C548="",D548="",E548="",E548=0),0,C548*D548/E548)</f>
        <v>0</v>
      </c>
      <c r="G548" s="42"/>
      <c r="H548" s="49" t="n">
        <f aca="true">IF(OR($A548="",_xlfn.MINIFS($B$3:$B$5000,$A$3:$A$5000,$A548,$B$3:$B$5000,"&gt;"&amp;$B548)=0),NOW(),_xlfn.MINIFS($B$3:$B$5000,$A$3:$A$5000,$A548,$B$3:$B$5000,"&gt;"&amp;$B548))</f>
        <v>46279.5987643021</v>
      </c>
    </row>
    <row r="549" customFormat="false" ht="15" hidden="false" customHeight="true" outlineLevel="0" collapsed="false">
      <c r="A549" s="42"/>
      <c r="B549" s="42"/>
      <c r="C549" s="42"/>
      <c r="D549" s="42"/>
      <c r="E549" s="42"/>
      <c r="F549" s="51" t="n">
        <f aca="false">IF(OR(C549="",D549="",E549="",E549=0),0,C549*D549/E549)</f>
        <v>0</v>
      </c>
      <c r="G549" s="42"/>
      <c r="H549" s="49" t="n">
        <f aca="true">IF(OR($A549="",_xlfn.MINIFS($B$3:$B$5000,$A$3:$A$5000,$A549,$B$3:$B$5000,"&gt;"&amp;$B549)=0),NOW(),_xlfn.MINIFS($B$3:$B$5000,$A$3:$A$5000,$A549,$B$3:$B$5000,"&gt;"&amp;$B549))</f>
        <v>46279.5987643022</v>
      </c>
    </row>
    <row r="550" customFormat="false" ht="15" hidden="false" customHeight="true" outlineLevel="0" collapsed="false">
      <c r="A550" s="42"/>
      <c r="B550" s="42"/>
      <c r="C550" s="42"/>
      <c r="D550" s="42"/>
      <c r="E550" s="42"/>
      <c r="F550" s="51" t="n">
        <f aca="false">IF(OR(C550="",D550="",E550="",E550=0),0,C550*D550/E550)</f>
        <v>0</v>
      </c>
      <c r="G550" s="42"/>
      <c r="H550" s="49" t="n">
        <f aca="true">IF(OR($A550="",_xlfn.MINIFS($B$3:$B$5000,$A$3:$A$5000,$A550,$B$3:$B$5000,"&gt;"&amp;$B550)=0),NOW(),_xlfn.MINIFS($B$3:$B$5000,$A$3:$A$5000,$A550,$B$3:$B$5000,"&gt;"&amp;$B550))</f>
        <v>46279.5987643022</v>
      </c>
    </row>
    <row r="551" customFormat="false" ht="15" hidden="false" customHeight="true" outlineLevel="0" collapsed="false">
      <c r="A551" s="42"/>
      <c r="B551" s="42"/>
      <c r="C551" s="42"/>
      <c r="D551" s="42"/>
      <c r="E551" s="42"/>
      <c r="F551" s="51" t="n">
        <f aca="false">IF(OR(C551="",D551="",E551="",E551=0),0,C551*D551/E551)</f>
        <v>0</v>
      </c>
      <c r="G551" s="42"/>
      <c r="H551" s="49" t="n">
        <f aca="true">IF(OR($A551="",_xlfn.MINIFS($B$3:$B$5000,$A$3:$A$5000,$A551,$B$3:$B$5000,"&gt;"&amp;$B551)=0),NOW(),_xlfn.MINIFS($B$3:$B$5000,$A$3:$A$5000,$A551,$B$3:$B$5000,"&gt;"&amp;$B551))</f>
        <v>46279.5987643023</v>
      </c>
    </row>
    <row r="552" customFormat="false" ht="15" hidden="false" customHeight="true" outlineLevel="0" collapsed="false">
      <c r="A552" s="42"/>
      <c r="B552" s="42"/>
      <c r="C552" s="42"/>
      <c r="D552" s="42"/>
      <c r="E552" s="42"/>
      <c r="F552" s="51" t="n">
        <f aca="false">IF(OR(C552="",D552="",E552="",E552=0),0,C552*D552/E552)</f>
        <v>0</v>
      </c>
      <c r="G552" s="42"/>
      <c r="H552" s="49" t="n">
        <f aca="true">IF(OR($A552="",_xlfn.MINIFS($B$3:$B$5000,$A$3:$A$5000,$A552,$B$3:$B$5000,"&gt;"&amp;$B552)=0),NOW(),_xlfn.MINIFS($B$3:$B$5000,$A$3:$A$5000,$A552,$B$3:$B$5000,"&gt;"&amp;$B552))</f>
        <v>46279.5987643024</v>
      </c>
    </row>
    <row r="553" customFormat="false" ht="15" hidden="false" customHeight="true" outlineLevel="0" collapsed="false">
      <c r="A553" s="42"/>
      <c r="B553" s="42"/>
      <c r="C553" s="42"/>
      <c r="D553" s="42"/>
      <c r="E553" s="42"/>
      <c r="F553" s="51" t="n">
        <f aca="false">IF(OR(C553="",D553="",E553="",E553=0),0,C553*D553/E553)</f>
        <v>0</v>
      </c>
      <c r="G553" s="42"/>
      <c r="H553" s="49" t="n">
        <f aca="true">IF(OR($A553="",_xlfn.MINIFS($B$3:$B$5000,$A$3:$A$5000,$A553,$B$3:$B$5000,"&gt;"&amp;$B553)=0),NOW(),_xlfn.MINIFS($B$3:$B$5000,$A$3:$A$5000,$A553,$B$3:$B$5000,"&gt;"&amp;$B553))</f>
        <v>46279.5987643024</v>
      </c>
    </row>
    <row r="554" customFormat="false" ht="15" hidden="false" customHeight="true" outlineLevel="0" collapsed="false">
      <c r="A554" s="42"/>
      <c r="B554" s="42"/>
      <c r="C554" s="42"/>
      <c r="D554" s="42"/>
      <c r="E554" s="42"/>
      <c r="F554" s="51" t="n">
        <f aca="false">IF(OR(C554="",D554="",E554="",E554=0),0,C554*D554/E554)</f>
        <v>0</v>
      </c>
      <c r="G554" s="42"/>
      <c r="H554" s="49" t="n">
        <f aca="true">IF(OR($A554="",_xlfn.MINIFS($B$3:$B$5000,$A$3:$A$5000,$A554,$B$3:$B$5000,"&gt;"&amp;$B554)=0),NOW(),_xlfn.MINIFS($B$3:$B$5000,$A$3:$A$5000,$A554,$B$3:$B$5000,"&gt;"&amp;$B554))</f>
        <v>46279.5987643025</v>
      </c>
    </row>
    <row r="555" customFormat="false" ht="15" hidden="false" customHeight="true" outlineLevel="0" collapsed="false">
      <c r="A555" s="42"/>
      <c r="B555" s="42"/>
      <c r="C555" s="42"/>
      <c r="D555" s="42"/>
      <c r="E555" s="42"/>
      <c r="F555" s="51" t="n">
        <f aca="false">IF(OR(C555="",D555="",E555="",E555=0),0,C555*D555/E555)</f>
        <v>0</v>
      </c>
      <c r="G555" s="42"/>
      <c r="H555" s="49" t="n">
        <f aca="true">IF(OR($A555="",_xlfn.MINIFS($B$3:$B$5000,$A$3:$A$5000,$A555,$B$3:$B$5000,"&gt;"&amp;$B555)=0),NOW(),_xlfn.MINIFS($B$3:$B$5000,$A$3:$A$5000,$A555,$B$3:$B$5000,"&gt;"&amp;$B555))</f>
        <v>46279.5987643025</v>
      </c>
    </row>
    <row r="556" customFormat="false" ht="15" hidden="false" customHeight="true" outlineLevel="0" collapsed="false">
      <c r="A556" s="42"/>
      <c r="B556" s="42"/>
      <c r="C556" s="42"/>
      <c r="D556" s="42"/>
      <c r="E556" s="42"/>
      <c r="F556" s="51" t="n">
        <f aca="false">IF(OR(C556="",D556="",E556="",E556=0),0,C556*D556/E556)</f>
        <v>0</v>
      </c>
      <c r="G556" s="42"/>
      <c r="H556" s="49" t="n">
        <f aca="true">IF(OR($A556="",_xlfn.MINIFS($B$3:$B$5000,$A$3:$A$5000,$A556,$B$3:$B$5000,"&gt;"&amp;$B556)=0),NOW(),_xlfn.MINIFS($B$3:$B$5000,$A$3:$A$5000,$A556,$B$3:$B$5000,"&gt;"&amp;$B556))</f>
        <v>46279.5987643026</v>
      </c>
    </row>
    <row r="557" customFormat="false" ht="15" hidden="false" customHeight="true" outlineLevel="0" collapsed="false">
      <c r="A557" s="42"/>
      <c r="B557" s="42"/>
      <c r="C557" s="42"/>
      <c r="D557" s="42"/>
      <c r="E557" s="42"/>
      <c r="F557" s="51" t="n">
        <f aca="false">IF(OR(C557="",D557="",E557="",E557=0),0,C557*D557/E557)</f>
        <v>0</v>
      </c>
      <c r="G557" s="42"/>
      <c r="H557" s="49" t="n">
        <f aca="true">IF(OR($A557="",_xlfn.MINIFS($B$3:$B$5000,$A$3:$A$5000,$A557,$B$3:$B$5000,"&gt;"&amp;$B557)=0),NOW(),_xlfn.MINIFS($B$3:$B$5000,$A$3:$A$5000,$A557,$B$3:$B$5000,"&gt;"&amp;$B557))</f>
        <v>46279.5987643026</v>
      </c>
    </row>
    <row r="558" customFormat="false" ht="15" hidden="false" customHeight="true" outlineLevel="0" collapsed="false">
      <c r="A558" s="42"/>
      <c r="B558" s="42"/>
      <c r="C558" s="42"/>
      <c r="D558" s="42"/>
      <c r="E558" s="42"/>
      <c r="F558" s="51" t="n">
        <f aca="false">IF(OR(C558="",D558="",E558="",E558=0),0,C558*D558/E558)</f>
        <v>0</v>
      </c>
      <c r="G558" s="42"/>
      <c r="H558" s="49" t="n">
        <f aca="true">IF(OR($A558="",_xlfn.MINIFS($B$3:$B$5000,$A$3:$A$5000,$A558,$B$3:$B$5000,"&gt;"&amp;$B558)=0),NOW(),_xlfn.MINIFS($B$3:$B$5000,$A$3:$A$5000,$A558,$B$3:$B$5000,"&gt;"&amp;$B558))</f>
        <v>46279.5987643027</v>
      </c>
    </row>
    <row r="559" customFormat="false" ht="15" hidden="false" customHeight="true" outlineLevel="0" collapsed="false">
      <c r="A559" s="42"/>
      <c r="B559" s="42"/>
      <c r="C559" s="42"/>
      <c r="D559" s="42"/>
      <c r="E559" s="42"/>
      <c r="F559" s="51" t="n">
        <f aca="false">IF(OR(C559="",D559="",E559="",E559=0),0,C559*D559/E559)</f>
        <v>0</v>
      </c>
      <c r="G559" s="42"/>
      <c r="H559" s="49" t="n">
        <f aca="true">IF(OR($A559="",_xlfn.MINIFS($B$3:$B$5000,$A$3:$A$5000,$A559,$B$3:$B$5000,"&gt;"&amp;$B559)=0),NOW(),_xlfn.MINIFS($B$3:$B$5000,$A$3:$A$5000,$A559,$B$3:$B$5000,"&gt;"&amp;$B559))</f>
        <v>46279.5987643027</v>
      </c>
    </row>
    <row r="560" customFormat="false" ht="15" hidden="false" customHeight="true" outlineLevel="0" collapsed="false">
      <c r="A560" s="42"/>
      <c r="B560" s="42"/>
      <c r="C560" s="42"/>
      <c r="D560" s="42"/>
      <c r="E560" s="42"/>
      <c r="F560" s="51" t="n">
        <f aca="false">IF(OR(C560="",D560="",E560="",E560=0),0,C560*D560/E560)</f>
        <v>0</v>
      </c>
      <c r="G560" s="42"/>
      <c r="H560" s="49" t="n">
        <f aca="true">IF(OR($A560="",_xlfn.MINIFS($B$3:$B$5000,$A$3:$A$5000,$A560,$B$3:$B$5000,"&gt;"&amp;$B560)=0),NOW(),_xlfn.MINIFS($B$3:$B$5000,$A$3:$A$5000,$A560,$B$3:$B$5000,"&gt;"&amp;$B560))</f>
        <v>46279.5987643028</v>
      </c>
    </row>
    <row r="561" customFormat="false" ht="15" hidden="false" customHeight="true" outlineLevel="0" collapsed="false">
      <c r="A561" s="42"/>
      <c r="B561" s="42"/>
      <c r="C561" s="42"/>
      <c r="D561" s="42"/>
      <c r="E561" s="42"/>
      <c r="F561" s="51" t="n">
        <f aca="false">IF(OR(C561="",D561="",E561="",E561=0),0,C561*D561/E561)</f>
        <v>0</v>
      </c>
      <c r="G561" s="42"/>
      <c r="H561" s="49" t="n">
        <f aca="true">IF(OR($A561="",_xlfn.MINIFS($B$3:$B$5000,$A$3:$A$5000,$A561,$B$3:$B$5000,"&gt;"&amp;$B561)=0),NOW(),_xlfn.MINIFS($B$3:$B$5000,$A$3:$A$5000,$A561,$B$3:$B$5000,"&gt;"&amp;$B561))</f>
        <v>46279.5987643028</v>
      </c>
    </row>
    <row r="562" customFormat="false" ht="15" hidden="false" customHeight="true" outlineLevel="0" collapsed="false">
      <c r="A562" s="42"/>
      <c r="B562" s="42"/>
      <c r="C562" s="42"/>
      <c r="D562" s="42"/>
      <c r="E562" s="42"/>
      <c r="F562" s="51" t="n">
        <f aca="false">IF(OR(C562="",D562="",E562="",E562=0),0,C562*D562/E562)</f>
        <v>0</v>
      </c>
      <c r="G562" s="42"/>
      <c r="H562" s="49" t="n">
        <f aca="true">IF(OR($A562="",_xlfn.MINIFS($B$3:$B$5000,$A$3:$A$5000,$A562,$B$3:$B$5000,"&gt;"&amp;$B562)=0),NOW(),_xlfn.MINIFS($B$3:$B$5000,$A$3:$A$5000,$A562,$B$3:$B$5000,"&gt;"&amp;$B562))</f>
        <v>46279.5987643029</v>
      </c>
    </row>
    <row r="563" customFormat="false" ht="15" hidden="false" customHeight="true" outlineLevel="0" collapsed="false">
      <c r="A563" s="42"/>
      <c r="B563" s="42"/>
      <c r="C563" s="42"/>
      <c r="D563" s="42"/>
      <c r="E563" s="42"/>
      <c r="F563" s="51" t="n">
        <f aca="false">IF(OR(C563="",D563="",E563="",E563=0),0,C563*D563/E563)</f>
        <v>0</v>
      </c>
      <c r="G563" s="42"/>
      <c r="H563" s="49" t="n">
        <f aca="true">IF(OR($A563="",_xlfn.MINIFS($B$3:$B$5000,$A$3:$A$5000,$A563,$B$3:$B$5000,"&gt;"&amp;$B563)=0),NOW(),_xlfn.MINIFS($B$3:$B$5000,$A$3:$A$5000,$A563,$B$3:$B$5000,"&gt;"&amp;$B563))</f>
        <v>46279.5987643029</v>
      </c>
    </row>
    <row r="564" customFormat="false" ht="15" hidden="false" customHeight="true" outlineLevel="0" collapsed="false">
      <c r="A564" s="42"/>
      <c r="B564" s="42"/>
      <c r="C564" s="42"/>
      <c r="D564" s="42"/>
      <c r="E564" s="42"/>
      <c r="F564" s="51" t="n">
        <f aca="false">IF(OR(C564="",D564="",E564="",E564=0),0,C564*D564/E564)</f>
        <v>0</v>
      </c>
      <c r="G564" s="42"/>
      <c r="H564" s="49" t="n">
        <f aca="true">IF(OR($A564="",_xlfn.MINIFS($B$3:$B$5000,$A$3:$A$5000,$A564,$B$3:$B$5000,"&gt;"&amp;$B564)=0),NOW(),_xlfn.MINIFS($B$3:$B$5000,$A$3:$A$5000,$A564,$B$3:$B$5000,"&gt;"&amp;$B564))</f>
        <v>46279.598764303</v>
      </c>
    </row>
    <row r="565" customFormat="false" ht="15" hidden="false" customHeight="true" outlineLevel="0" collapsed="false">
      <c r="A565" s="42"/>
      <c r="B565" s="42"/>
      <c r="C565" s="42"/>
      <c r="D565" s="42"/>
      <c r="E565" s="42"/>
      <c r="F565" s="51" t="n">
        <f aca="false">IF(OR(C565="",D565="",E565="",E565=0),0,C565*D565/E565)</f>
        <v>0</v>
      </c>
      <c r="G565" s="42"/>
      <c r="H565" s="49" t="n">
        <f aca="true">IF(OR($A565="",_xlfn.MINIFS($B$3:$B$5000,$A$3:$A$5000,$A565,$B$3:$B$5000,"&gt;"&amp;$B565)=0),NOW(),_xlfn.MINIFS($B$3:$B$5000,$A$3:$A$5000,$A565,$B$3:$B$5000,"&gt;"&amp;$B565))</f>
        <v>46279.598764303</v>
      </c>
    </row>
    <row r="566" customFormat="false" ht="15" hidden="false" customHeight="true" outlineLevel="0" collapsed="false">
      <c r="A566" s="42"/>
      <c r="B566" s="42"/>
      <c r="C566" s="42"/>
      <c r="D566" s="42"/>
      <c r="E566" s="42"/>
      <c r="F566" s="51" t="n">
        <f aca="false">IF(OR(C566="",D566="",E566="",E566=0),0,C566*D566/E566)</f>
        <v>0</v>
      </c>
      <c r="G566" s="42"/>
      <c r="H566" s="49" t="n">
        <f aca="true">IF(OR($A566="",_xlfn.MINIFS($B$3:$B$5000,$A$3:$A$5000,$A566,$B$3:$B$5000,"&gt;"&amp;$B566)=0),NOW(),_xlfn.MINIFS($B$3:$B$5000,$A$3:$A$5000,$A566,$B$3:$B$5000,"&gt;"&amp;$B566))</f>
        <v>46279.5987643031</v>
      </c>
    </row>
    <row r="567" customFormat="false" ht="15" hidden="false" customHeight="true" outlineLevel="0" collapsed="false">
      <c r="A567" s="42"/>
      <c r="B567" s="42"/>
      <c r="C567" s="42"/>
      <c r="D567" s="42"/>
      <c r="E567" s="42"/>
      <c r="F567" s="51" t="n">
        <f aca="false">IF(OR(C567="",D567="",E567="",E567=0),0,C567*D567/E567)</f>
        <v>0</v>
      </c>
      <c r="G567" s="42"/>
      <c r="H567" s="49" t="n">
        <f aca="true">IF(OR($A567="",_xlfn.MINIFS($B$3:$B$5000,$A$3:$A$5000,$A567,$B$3:$B$5000,"&gt;"&amp;$B567)=0),NOW(),_xlfn.MINIFS($B$3:$B$5000,$A$3:$A$5000,$A567,$B$3:$B$5000,"&gt;"&amp;$B567))</f>
        <v>46279.5987643031</v>
      </c>
    </row>
    <row r="568" customFormat="false" ht="15" hidden="false" customHeight="true" outlineLevel="0" collapsed="false">
      <c r="A568" s="42"/>
      <c r="B568" s="42"/>
      <c r="C568" s="42"/>
      <c r="D568" s="42"/>
      <c r="E568" s="42"/>
      <c r="F568" s="51" t="n">
        <f aca="false">IF(OR(C568="",D568="",E568="",E568=0),0,C568*D568/E568)</f>
        <v>0</v>
      </c>
      <c r="G568" s="42"/>
      <c r="H568" s="49" t="n">
        <f aca="true">IF(OR($A568="",_xlfn.MINIFS($B$3:$B$5000,$A$3:$A$5000,$A568,$B$3:$B$5000,"&gt;"&amp;$B568)=0),NOW(),_xlfn.MINIFS($B$3:$B$5000,$A$3:$A$5000,$A568,$B$3:$B$5000,"&gt;"&amp;$B568))</f>
        <v>46279.5987643032</v>
      </c>
    </row>
    <row r="569" customFormat="false" ht="15" hidden="false" customHeight="true" outlineLevel="0" collapsed="false">
      <c r="A569" s="42"/>
      <c r="B569" s="42"/>
      <c r="C569" s="42"/>
      <c r="D569" s="42"/>
      <c r="E569" s="42"/>
      <c r="F569" s="51" t="n">
        <f aca="false">IF(OR(C569="",D569="",E569="",E569=0),0,C569*D569/E569)</f>
        <v>0</v>
      </c>
      <c r="G569" s="42"/>
      <c r="H569" s="49" t="n">
        <f aca="true">IF(OR($A569="",_xlfn.MINIFS($B$3:$B$5000,$A$3:$A$5000,$A569,$B$3:$B$5000,"&gt;"&amp;$B569)=0),NOW(),_xlfn.MINIFS($B$3:$B$5000,$A$3:$A$5000,$A569,$B$3:$B$5000,"&gt;"&amp;$B569))</f>
        <v>46279.5987643032</v>
      </c>
    </row>
    <row r="570" customFormat="false" ht="15" hidden="false" customHeight="true" outlineLevel="0" collapsed="false">
      <c r="A570" s="42"/>
      <c r="B570" s="42"/>
      <c r="C570" s="42"/>
      <c r="D570" s="42"/>
      <c r="E570" s="42"/>
      <c r="F570" s="51" t="n">
        <f aca="false">IF(OR(C570="",D570="",E570="",E570=0),0,C570*D570/E570)</f>
        <v>0</v>
      </c>
      <c r="G570" s="42"/>
      <c r="H570" s="49" t="n">
        <f aca="true">IF(OR($A570="",_xlfn.MINIFS($B$3:$B$5000,$A$3:$A$5000,$A570,$B$3:$B$5000,"&gt;"&amp;$B570)=0),NOW(),_xlfn.MINIFS($B$3:$B$5000,$A$3:$A$5000,$A570,$B$3:$B$5000,"&gt;"&amp;$B570))</f>
        <v>46279.5987643033</v>
      </c>
    </row>
    <row r="571" customFormat="false" ht="15" hidden="false" customHeight="true" outlineLevel="0" collapsed="false">
      <c r="A571" s="42"/>
      <c r="B571" s="42"/>
      <c r="C571" s="42"/>
      <c r="D571" s="42"/>
      <c r="E571" s="42"/>
      <c r="F571" s="51" t="n">
        <f aca="false">IF(OR(C571="",D571="",E571="",E571=0),0,C571*D571/E571)</f>
        <v>0</v>
      </c>
      <c r="G571" s="42"/>
      <c r="H571" s="49" t="n">
        <f aca="true">IF(OR($A571="",_xlfn.MINIFS($B$3:$B$5000,$A$3:$A$5000,$A571,$B$3:$B$5000,"&gt;"&amp;$B571)=0),NOW(),_xlfn.MINIFS($B$3:$B$5000,$A$3:$A$5000,$A571,$B$3:$B$5000,"&gt;"&amp;$B571))</f>
        <v>46279.5987643033</v>
      </c>
    </row>
    <row r="572" customFormat="false" ht="15" hidden="false" customHeight="true" outlineLevel="0" collapsed="false">
      <c r="A572" s="42"/>
      <c r="B572" s="42"/>
      <c r="C572" s="42"/>
      <c r="D572" s="42"/>
      <c r="E572" s="42"/>
      <c r="F572" s="51" t="n">
        <f aca="false">IF(OR(C572="",D572="",E572="",E572=0),0,C572*D572/E572)</f>
        <v>0</v>
      </c>
      <c r="G572" s="42"/>
      <c r="H572" s="49" t="n">
        <f aca="true">IF(OR($A572="",_xlfn.MINIFS($B$3:$B$5000,$A$3:$A$5000,$A572,$B$3:$B$5000,"&gt;"&amp;$B572)=0),NOW(),_xlfn.MINIFS($B$3:$B$5000,$A$3:$A$5000,$A572,$B$3:$B$5000,"&gt;"&amp;$B572))</f>
        <v>46279.5987643034</v>
      </c>
    </row>
    <row r="573" customFormat="false" ht="15" hidden="false" customHeight="true" outlineLevel="0" collapsed="false">
      <c r="A573" s="42"/>
      <c r="B573" s="42"/>
      <c r="C573" s="42"/>
      <c r="D573" s="42"/>
      <c r="E573" s="42"/>
      <c r="F573" s="51" t="n">
        <f aca="false">IF(OR(C573="",D573="",E573="",E573=0),0,C573*D573/E573)</f>
        <v>0</v>
      </c>
      <c r="G573" s="42"/>
      <c r="H573" s="49" t="n">
        <f aca="true">IF(OR($A573="",_xlfn.MINIFS($B$3:$B$5000,$A$3:$A$5000,$A573,$B$3:$B$5000,"&gt;"&amp;$B573)=0),NOW(),_xlfn.MINIFS($B$3:$B$5000,$A$3:$A$5000,$A573,$B$3:$B$5000,"&gt;"&amp;$B573))</f>
        <v>46279.5987643034</v>
      </c>
    </row>
    <row r="574" customFormat="false" ht="15" hidden="false" customHeight="true" outlineLevel="0" collapsed="false">
      <c r="A574" s="42"/>
      <c r="B574" s="42"/>
      <c r="C574" s="42"/>
      <c r="D574" s="42"/>
      <c r="E574" s="42"/>
      <c r="F574" s="51" t="n">
        <f aca="false">IF(OR(C574="",D574="",E574="",E574=0),0,C574*D574/E574)</f>
        <v>0</v>
      </c>
      <c r="G574" s="42"/>
      <c r="H574" s="49" t="n">
        <f aca="true">IF(OR($A574="",_xlfn.MINIFS($B$3:$B$5000,$A$3:$A$5000,$A574,$B$3:$B$5000,"&gt;"&amp;$B574)=0),NOW(),_xlfn.MINIFS($B$3:$B$5000,$A$3:$A$5000,$A574,$B$3:$B$5000,"&gt;"&amp;$B574))</f>
        <v>46279.5987643035</v>
      </c>
    </row>
    <row r="575" customFormat="false" ht="15" hidden="false" customHeight="true" outlineLevel="0" collapsed="false">
      <c r="A575" s="42"/>
      <c r="B575" s="42"/>
      <c r="C575" s="42"/>
      <c r="D575" s="42"/>
      <c r="E575" s="42"/>
      <c r="F575" s="51" t="n">
        <f aca="false">IF(OR(C575="",D575="",E575="",E575=0),0,C575*D575/E575)</f>
        <v>0</v>
      </c>
      <c r="G575" s="42"/>
      <c r="H575" s="49" t="n">
        <f aca="true">IF(OR($A575="",_xlfn.MINIFS($B$3:$B$5000,$A$3:$A$5000,$A575,$B$3:$B$5000,"&gt;"&amp;$B575)=0),NOW(),_xlfn.MINIFS($B$3:$B$5000,$A$3:$A$5000,$A575,$B$3:$B$5000,"&gt;"&amp;$B575))</f>
        <v>46279.5987643035</v>
      </c>
    </row>
    <row r="576" customFormat="false" ht="15" hidden="false" customHeight="true" outlineLevel="0" collapsed="false">
      <c r="A576" s="42"/>
      <c r="B576" s="42"/>
      <c r="C576" s="42"/>
      <c r="D576" s="42"/>
      <c r="E576" s="42"/>
      <c r="F576" s="51" t="n">
        <f aca="false">IF(OR(C576="",D576="",E576="",E576=0),0,C576*D576/E576)</f>
        <v>0</v>
      </c>
      <c r="G576" s="42"/>
      <c r="H576" s="49" t="n">
        <f aca="true">IF(OR($A576="",_xlfn.MINIFS($B$3:$B$5000,$A$3:$A$5000,$A576,$B$3:$B$5000,"&gt;"&amp;$B576)=0),NOW(),_xlfn.MINIFS($B$3:$B$5000,$A$3:$A$5000,$A576,$B$3:$B$5000,"&gt;"&amp;$B576))</f>
        <v>46279.5987643036</v>
      </c>
    </row>
    <row r="577" customFormat="false" ht="15" hidden="false" customHeight="true" outlineLevel="0" collapsed="false">
      <c r="A577" s="42"/>
      <c r="B577" s="42"/>
      <c r="C577" s="42"/>
      <c r="D577" s="42"/>
      <c r="E577" s="42"/>
      <c r="F577" s="51" t="n">
        <f aca="false">IF(OR(C577="",D577="",E577="",E577=0),0,C577*D577/E577)</f>
        <v>0</v>
      </c>
      <c r="G577" s="42"/>
      <c r="H577" s="49" t="n">
        <f aca="true">IF(OR($A577="",_xlfn.MINIFS($B$3:$B$5000,$A$3:$A$5000,$A577,$B$3:$B$5000,"&gt;"&amp;$B577)=0),NOW(),_xlfn.MINIFS($B$3:$B$5000,$A$3:$A$5000,$A577,$B$3:$B$5000,"&gt;"&amp;$B577))</f>
        <v>46279.5987643042</v>
      </c>
    </row>
    <row r="578" customFormat="false" ht="15" hidden="false" customHeight="true" outlineLevel="0" collapsed="false">
      <c r="A578" s="42"/>
      <c r="B578" s="42"/>
      <c r="C578" s="42"/>
      <c r="D578" s="42"/>
      <c r="E578" s="42"/>
      <c r="F578" s="51" t="n">
        <f aca="false">IF(OR(C578="",D578="",E578="",E578=0),0,C578*D578/E578)</f>
        <v>0</v>
      </c>
      <c r="G578" s="42"/>
      <c r="H578" s="49" t="n">
        <f aca="true">IF(OR($A578="",_xlfn.MINIFS($B$3:$B$5000,$A$3:$A$5000,$A578,$B$3:$B$5000,"&gt;"&amp;$B578)=0),NOW(),_xlfn.MINIFS($B$3:$B$5000,$A$3:$A$5000,$A578,$B$3:$B$5000,"&gt;"&amp;$B578))</f>
        <v>46279.5987643042</v>
      </c>
    </row>
    <row r="579" customFormat="false" ht="15" hidden="false" customHeight="true" outlineLevel="0" collapsed="false">
      <c r="A579" s="42"/>
      <c r="B579" s="42"/>
      <c r="C579" s="42"/>
      <c r="D579" s="42"/>
      <c r="E579" s="42"/>
      <c r="F579" s="51" t="n">
        <f aca="false">IF(OR(C579="",D579="",E579="",E579=0),0,C579*D579/E579)</f>
        <v>0</v>
      </c>
      <c r="G579" s="42"/>
      <c r="H579" s="49" t="n">
        <f aca="true">IF(OR($A579="",_xlfn.MINIFS($B$3:$B$5000,$A$3:$A$5000,$A579,$B$3:$B$5000,"&gt;"&amp;$B579)=0),NOW(),_xlfn.MINIFS($B$3:$B$5000,$A$3:$A$5000,$A579,$B$3:$B$5000,"&gt;"&amp;$B579))</f>
        <v>46279.5987643043</v>
      </c>
    </row>
    <row r="580" customFormat="false" ht="15" hidden="false" customHeight="true" outlineLevel="0" collapsed="false">
      <c r="A580" s="42"/>
      <c r="B580" s="42"/>
      <c r="C580" s="42"/>
      <c r="D580" s="42"/>
      <c r="E580" s="42"/>
      <c r="F580" s="51" t="n">
        <f aca="false">IF(OR(C580="",D580="",E580="",E580=0),0,C580*D580/E580)</f>
        <v>0</v>
      </c>
      <c r="G580" s="42"/>
      <c r="H580" s="49" t="n">
        <f aca="true">IF(OR($A580="",_xlfn.MINIFS($B$3:$B$5000,$A$3:$A$5000,$A580,$B$3:$B$5000,"&gt;"&amp;$B580)=0),NOW(),_xlfn.MINIFS($B$3:$B$5000,$A$3:$A$5000,$A580,$B$3:$B$5000,"&gt;"&amp;$B580))</f>
        <v>46279.5987643044</v>
      </c>
    </row>
    <row r="581" customFormat="false" ht="15" hidden="false" customHeight="true" outlineLevel="0" collapsed="false">
      <c r="A581" s="42"/>
      <c r="B581" s="42"/>
      <c r="C581" s="42"/>
      <c r="D581" s="42"/>
      <c r="E581" s="42"/>
      <c r="F581" s="51" t="n">
        <f aca="false">IF(OR(C581="",D581="",E581="",E581=0),0,C581*D581/E581)</f>
        <v>0</v>
      </c>
      <c r="G581" s="42"/>
      <c r="H581" s="49" t="n">
        <f aca="true">IF(OR($A581="",_xlfn.MINIFS($B$3:$B$5000,$A$3:$A$5000,$A581,$B$3:$B$5000,"&gt;"&amp;$B581)=0),NOW(),_xlfn.MINIFS($B$3:$B$5000,$A$3:$A$5000,$A581,$B$3:$B$5000,"&gt;"&amp;$B581))</f>
        <v>46279.5987643044</v>
      </c>
    </row>
    <row r="582" customFormat="false" ht="15" hidden="false" customHeight="true" outlineLevel="0" collapsed="false">
      <c r="A582" s="42"/>
      <c r="B582" s="42"/>
      <c r="C582" s="42"/>
      <c r="D582" s="42"/>
      <c r="E582" s="42"/>
      <c r="F582" s="51" t="n">
        <f aca="false">IF(OR(C582="",D582="",E582="",E582=0),0,C582*D582/E582)</f>
        <v>0</v>
      </c>
      <c r="G582" s="42"/>
      <c r="H582" s="49" t="n">
        <f aca="true">IF(OR($A582="",_xlfn.MINIFS($B$3:$B$5000,$A$3:$A$5000,$A582,$B$3:$B$5000,"&gt;"&amp;$B582)=0),NOW(),_xlfn.MINIFS($B$3:$B$5000,$A$3:$A$5000,$A582,$B$3:$B$5000,"&gt;"&amp;$B582))</f>
        <v>46279.5987643045</v>
      </c>
    </row>
    <row r="583" customFormat="false" ht="15" hidden="false" customHeight="true" outlineLevel="0" collapsed="false">
      <c r="A583" s="42"/>
      <c r="B583" s="42"/>
      <c r="C583" s="42"/>
      <c r="D583" s="42"/>
      <c r="E583" s="42"/>
      <c r="F583" s="51" t="n">
        <f aca="false">IF(OR(C583="",D583="",E583="",E583=0),0,C583*D583/E583)</f>
        <v>0</v>
      </c>
      <c r="G583" s="42"/>
      <c r="H583" s="49" t="n">
        <f aca="true">IF(OR($A583="",_xlfn.MINIFS($B$3:$B$5000,$A$3:$A$5000,$A583,$B$3:$B$5000,"&gt;"&amp;$B583)=0),NOW(),_xlfn.MINIFS($B$3:$B$5000,$A$3:$A$5000,$A583,$B$3:$B$5000,"&gt;"&amp;$B583))</f>
        <v>46279.5987643045</v>
      </c>
    </row>
    <row r="584" customFormat="false" ht="15" hidden="false" customHeight="true" outlineLevel="0" collapsed="false">
      <c r="A584" s="42"/>
      <c r="B584" s="42"/>
      <c r="C584" s="42"/>
      <c r="D584" s="42"/>
      <c r="E584" s="42"/>
      <c r="F584" s="51" t="n">
        <f aca="false">IF(OR(C584="",D584="",E584="",E584=0),0,C584*D584/E584)</f>
        <v>0</v>
      </c>
      <c r="G584" s="42"/>
      <c r="H584" s="49" t="n">
        <f aca="true">IF(OR($A584="",_xlfn.MINIFS($B$3:$B$5000,$A$3:$A$5000,$A584,$B$3:$B$5000,"&gt;"&amp;$B584)=0),NOW(),_xlfn.MINIFS($B$3:$B$5000,$A$3:$A$5000,$A584,$B$3:$B$5000,"&gt;"&amp;$B584))</f>
        <v>46279.5987643046</v>
      </c>
    </row>
    <row r="585" customFormat="false" ht="15" hidden="false" customHeight="true" outlineLevel="0" collapsed="false">
      <c r="A585" s="42"/>
      <c r="B585" s="42"/>
      <c r="C585" s="42"/>
      <c r="D585" s="42"/>
      <c r="E585" s="42"/>
      <c r="F585" s="51" t="n">
        <f aca="false">IF(OR(C585="",D585="",E585="",E585=0),0,C585*D585/E585)</f>
        <v>0</v>
      </c>
      <c r="G585" s="42"/>
      <c r="H585" s="49" t="n">
        <f aca="true">IF(OR($A585="",_xlfn.MINIFS($B$3:$B$5000,$A$3:$A$5000,$A585,$B$3:$B$5000,"&gt;"&amp;$B585)=0),NOW(),_xlfn.MINIFS($B$3:$B$5000,$A$3:$A$5000,$A585,$B$3:$B$5000,"&gt;"&amp;$B585))</f>
        <v>46279.5987643046</v>
      </c>
    </row>
    <row r="586" customFormat="false" ht="15" hidden="false" customHeight="true" outlineLevel="0" collapsed="false">
      <c r="A586" s="42"/>
      <c r="B586" s="42"/>
      <c r="C586" s="42"/>
      <c r="D586" s="42"/>
      <c r="E586" s="42"/>
      <c r="F586" s="51" t="n">
        <f aca="false">IF(OR(C586="",D586="",E586="",E586=0),0,C586*D586/E586)</f>
        <v>0</v>
      </c>
      <c r="G586" s="42"/>
      <c r="H586" s="49" t="n">
        <f aca="true">IF(OR($A586="",_xlfn.MINIFS($B$3:$B$5000,$A$3:$A$5000,$A586,$B$3:$B$5000,"&gt;"&amp;$B586)=0),NOW(),_xlfn.MINIFS($B$3:$B$5000,$A$3:$A$5000,$A586,$B$3:$B$5000,"&gt;"&amp;$B586))</f>
        <v>46279.5987643047</v>
      </c>
    </row>
    <row r="587" customFormat="false" ht="15" hidden="false" customHeight="true" outlineLevel="0" collapsed="false">
      <c r="A587" s="42"/>
      <c r="B587" s="42"/>
      <c r="C587" s="42"/>
      <c r="D587" s="42"/>
      <c r="E587" s="42"/>
      <c r="F587" s="51" t="n">
        <f aca="false">IF(OR(C587="",D587="",E587="",E587=0),0,C587*D587/E587)</f>
        <v>0</v>
      </c>
      <c r="G587" s="42"/>
      <c r="H587" s="49" t="n">
        <f aca="true">IF(OR($A587="",_xlfn.MINIFS($B$3:$B$5000,$A$3:$A$5000,$A587,$B$3:$B$5000,"&gt;"&amp;$B587)=0),NOW(),_xlfn.MINIFS($B$3:$B$5000,$A$3:$A$5000,$A587,$B$3:$B$5000,"&gt;"&amp;$B587))</f>
        <v>46279.5987643047</v>
      </c>
    </row>
    <row r="588" customFormat="false" ht="15" hidden="false" customHeight="true" outlineLevel="0" collapsed="false">
      <c r="A588" s="42"/>
      <c r="B588" s="42"/>
      <c r="C588" s="42"/>
      <c r="D588" s="42"/>
      <c r="E588" s="42"/>
      <c r="F588" s="51" t="n">
        <f aca="false">IF(OR(C588="",D588="",E588="",E588=0),0,C588*D588/E588)</f>
        <v>0</v>
      </c>
      <c r="G588" s="42"/>
      <c r="H588" s="49" t="n">
        <f aca="true">IF(OR($A588="",_xlfn.MINIFS($B$3:$B$5000,$A$3:$A$5000,$A588,$B$3:$B$5000,"&gt;"&amp;$B588)=0),NOW(),_xlfn.MINIFS($B$3:$B$5000,$A$3:$A$5000,$A588,$B$3:$B$5000,"&gt;"&amp;$B588))</f>
        <v>46279.5987643048</v>
      </c>
    </row>
    <row r="589" customFormat="false" ht="15" hidden="false" customHeight="true" outlineLevel="0" collapsed="false">
      <c r="A589" s="42"/>
      <c r="B589" s="42"/>
      <c r="C589" s="42"/>
      <c r="D589" s="42"/>
      <c r="E589" s="42"/>
      <c r="F589" s="51" t="n">
        <f aca="false">IF(OR(C589="",D589="",E589="",E589=0),0,C589*D589/E589)</f>
        <v>0</v>
      </c>
      <c r="G589" s="42"/>
      <c r="H589" s="49" t="n">
        <f aca="true">IF(OR($A589="",_xlfn.MINIFS($B$3:$B$5000,$A$3:$A$5000,$A589,$B$3:$B$5000,"&gt;"&amp;$B589)=0),NOW(),_xlfn.MINIFS($B$3:$B$5000,$A$3:$A$5000,$A589,$B$3:$B$5000,"&gt;"&amp;$B589))</f>
        <v>46279.5987643048</v>
      </c>
    </row>
    <row r="590" customFormat="false" ht="15" hidden="false" customHeight="true" outlineLevel="0" collapsed="false">
      <c r="A590" s="42"/>
      <c r="B590" s="42"/>
      <c r="C590" s="42"/>
      <c r="D590" s="42"/>
      <c r="E590" s="42"/>
      <c r="F590" s="51" t="n">
        <f aca="false">IF(OR(C590="",D590="",E590="",E590=0),0,C590*D590/E590)</f>
        <v>0</v>
      </c>
      <c r="G590" s="42"/>
      <c r="H590" s="49" t="n">
        <f aca="true">IF(OR($A590="",_xlfn.MINIFS($B$3:$B$5000,$A$3:$A$5000,$A590,$B$3:$B$5000,"&gt;"&amp;$B590)=0),NOW(),_xlfn.MINIFS($B$3:$B$5000,$A$3:$A$5000,$A590,$B$3:$B$5000,"&gt;"&amp;$B590))</f>
        <v>46279.5987643049</v>
      </c>
    </row>
    <row r="591" customFormat="false" ht="15" hidden="false" customHeight="true" outlineLevel="0" collapsed="false">
      <c r="A591" s="42"/>
      <c r="B591" s="42"/>
      <c r="C591" s="42"/>
      <c r="D591" s="42"/>
      <c r="E591" s="42"/>
      <c r="F591" s="51" t="n">
        <f aca="false">IF(OR(C591="",D591="",E591="",E591=0),0,C591*D591/E591)</f>
        <v>0</v>
      </c>
      <c r="G591" s="42"/>
      <c r="H591" s="49" t="n">
        <f aca="true">IF(OR($A591="",_xlfn.MINIFS($B$3:$B$5000,$A$3:$A$5000,$A591,$B$3:$B$5000,"&gt;"&amp;$B591)=0),NOW(),_xlfn.MINIFS($B$3:$B$5000,$A$3:$A$5000,$A591,$B$3:$B$5000,"&gt;"&amp;$B591))</f>
        <v>46279.5987643049</v>
      </c>
    </row>
    <row r="592" customFormat="false" ht="15" hidden="false" customHeight="true" outlineLevel="0" collapsed="false">
      <c r="A592" s="42"/>
      <c r="B592" s="42"/>
      <c r="C592" s="42"/>
      <c r="D592" s="42"/>
      <c r="E592" s="42"/>
      <c r="F592" s="51" t="n">
        <f aca="false">IF(OR(C592="",D592="",E592="",E592=0),0,C592*D592/E592)</f>
        <v>0</v>
      </c>
      <c r="G592" s="42"/>
      <c r="H592" s="49" t="n">
        <f aca="true">IF(OR($A592="",_xlfn.MINIFS($B$3:$B$5000,$A$3:$A$5000,$A592,$B$3:$B$5000,"&gt;"&amp;$B592)=0),NOW(),_xlfn.MINIFS($B$3:$B$5000,$A$3:$A$5000,$A592,$B$3:$B$5000,"&gt;"&amp;$B592))</f>
        <v>46279.598764305</v>
      </c>
    </row>
    <row r="593" customFormat="false" ht="15" hidden="false" customHeight="true" outlineLevel="0" collapsed="false">
      <c r="A593" s="42"/>
      <c r="B593" s="42"/>
      <c r="C593" s="42"/>
      <c r="D593" s="42"/>
      <c r="E593" s="42"/>
      <c r="F593" s="51" t="n">
        <f aca="false">IF(OR(C593="",D593="",E593="",E593=0),0,C593*D593/E593)</f>
        <v>0</v>
      </c>
      <c r="G593" s="42"/>
      <c r="H593" s="49" t="n">
        <f aca="true">IF(OR($A593="",_xlfn.MINIFS($B$3:$B$5000,$A$3:$A$5000,$A593,$B$3:$B$5000,"&gt;"&amp;$B593)=0),NOW(),_xlfn.MINIFS($B$3:$B$5000,$A$3:$A$5000,$A593,$B$3:$B$5000,"&gt;"&amp;$B593))</f>
        <v>46279.598764305</v>
      </c>
    </row>
    <row r="594" customFormat="false" ht="15" hidden="false" customHeight="true" outlineLevel="0" collapsed="false">
      <c r="A594" s="42"/>
      <c r="B594" s="42"/>
      <c r="C594" s="42"/>
      <c r="D594" s="42"/>
      <c r="E594" s="42"/>
      <c r="F594" s="51" t="n">
        <f aca="false">IF(OR(C594="",D594="",E594="",E594=0),0,C594*D594/E594)</f>
        <v>0</v>
      </c>
      <c r="G594" s="42"/>
      <c r="H594" s="49" t="n">
        <f aca="true">IF(OR($A594="",_xlfn.MINIFS($B$3:$B$5000,$A$3:$A$5000,$A594,$B$3:$B$5000,"&gt;"&amp;$B594)=0),NOW(),_xlfn.MINIFS($B$3:$B$5000,$A$3:$A$5000,$A594,$B$3:$B$5000,"&gt;"&amp;$B594))</f>
        <v>46279.5987643051</v>
      </c>
    </row>
    <row r="595" customFormat="false" ht="15" hidden="false" customHeight="true" outlineLevel="0" collapsed="false">
      <c r="A595" s="42"/>
      <c r="B595" s="42"/>
      <c r="C595" s="42"/>
      <c r="D595" s="42"/>
      <c r="E595" s="42"/>
      <c r="F595" s="51" t="n">
        <f aca="false">IF(OR(C595="",D595="",E595="",E595=0),0,C595*D595/E595)</f>
        <v>0</v>
      </c>
      <c r="G595" s="42"/>
      <c r="H595" s="49" t="n">
        <f aca="true">IF(OR($A595="",_xlfn.MINIFS($B$3:$B$5000,$A$3:$A$5000,$A595,$B$3:$B$5000,"&gt;"&amp;$B595)=0),NOW(),_xlfn.MINIFS($B$3:$B$5000,$A$3:$A$5000,$A595,$B$3:$B$5000,"&gt;"&amp;$B595))</f>
        <v>46279.5987643051</v>
      </c>
    </row>
    <row r="596" customFormat="false" ht="15" hidden="false" customHeight="true" outlineLevel="0" collapsed="false">
      <c r="A596" s="42"/>
      <c r="B596" s="42"/>
      <c r="C596" s="42"/>
      <c r="D596" s="42"/>
      <c r="E596" s="42"/>
      <c r="F596" s="51" t="n">
        <f aca="false">IF(OR(C596="",D596="",E596="",E596=0),0,C596*D596/E596)</f>
        <v>0</v>
      </c>
      <c r="G596" s="42"/>
      <c r="H596" s="49" t="n">
        <f aca="true">IF(OR($A596="",_xlfn.MINIFS($B$3:$B$5000,$A$3:$A$5000,$A596,$B$3:$B$5000,"&gt;"&amp;$B596)=0),NOW(),_xlfn.MINIFS($B$3:$B$5000,$A$3:$A$5000,$A596,$B$3:$B$5000,"&gt;"&amp;$B596))</f>
        <v>46279.5987643052</v>
      </c>
    </row>
    <row r="597" customFormat="false" ht="15" hidden="false" customHeight="true" outlineLevel="0" collapsed="false">
      <c r="A597" s="42"/>
      <c r="B597" s="42"/>
      <c r="C597" s="42"/>
      <c r="D597" s="42"/>
      <c r="E597" s="42"/>
      <c r="F597" s="51" t="n">
        <f aca="false">IF(OR(C597="",D597="",E597="",E597=0),0,C597*D597/E597)</f>
        <v>0</v>
      </c>
      <c r="G597" s="42"/>
      <c r="H597" s="49" t="n">
        <f aca="true">IF(OR($A597="",_xlfn.MINIFS($B$3:$B$5000,$A$3:$A$5000,$A597,$B$3:$B$5000,"&gt;"&amp;$B597)=0),NOW(),_xlfn.MINIFS($B$3:$B$5000,$A$3:$A$5000,$A597,$B$3:$B$5000,"&gt;"&amp;$B597))</f>
        <v>46279.5987643052</v>
      </c>
    </row>
    <row r="598" customFormat="false" ht="15" hidden="false" customHeight="true" outlineLevel="0" collapsed="false">
      <c r="A598" s="42"/>
      <c r="B598" s="42"/>
      <c r="C598" s="42"/>
      <c r="D598" s="42"/>
      <c r="E598" s="42"/>
      <c r="F598" s="51" t="n">
        <f aca="false">IF(OR(C598="",D598="",E598="",E598=0),0,C598*D598/E598)</f>
        <v>0</v>
      </c>
      <c r="G598" s="42"/>
      <c r="H598" s="49" t="n">
        <f aca="true">IF(OR($A598="",_xlfn.MINIFS($B$3:$B$5000,$A$3:$A$5000,$A598,$B$3:$B$5000,"&gt;"&amp;$B598)=0),NOW(),_xlfn.MINIFS($B$3:$B$5000,$A$3:$A$5000,$A598,$B$3:$B$5000,"&gt;"&amp;$B598))</f>
        <v>46279.5987643053</v>
      </c>
    </row>
    <row r="599" customFormat="false" ht="15" hidden="false" customHeight="true" outlineLevel="0" collapsed="false">
      <c r="A599" s="42"/>
      <c r="B599" s="42"/>
      <c r="C599" s="42"/>
      <c r="D599" s="42"/>
      <c r="E599" s="42"/>
      <c r="F599" s="51" t="n">
        <f aca="false">IF(OR(C599="",D599="",E599="",E599=0),0,C599*D599/E599)</f>
        <v>0</v>
      </c>
      <c r="G599" s="42"/>
      <c r="H599" s="49" t="n">
        <f aca="true">IF(OR($A599="",_xlfn.MINIFS($B$3:$B$5000,$A$3:$A$5000,$A599,$B$3:$B$5000,"&gt;"&amp;$B599)=0),NOW(),_xlfn.MINIFS($B$3:$B$5000,$A$3:$A$5000,$A599,$B$3:$B$5000,"&gt;"&amp;$B599))</f>
        <v>46279.5987643053</v>
      </c>
    </row>
    <row r="600" customFormat="false" ht="15" hidden="false" customHeight="true" outlineLevel="0" collapsed="false">
      <c r="A600" s="42"/>
      <c r="B600" s="42"/>
      <c r="C600" s="42"/>
      <c r="D600" s="42"/>
      <c r="E600" s="42"/>
      <c r="F600" s="51" t="n">
        <f aca="false">IF(OR(C600="",D600="",E600="",E600=0),0,C600*D600/E600)</f>
        <v>0</v>
      </c>
      <c r="G600" s="42"/>
      <c r="H600" s="49" t="n">
        <f aca="true">IF(OR($A600="",_xlfn.MINIFS($B$3:$B$5000,$A$3:$A$5000,$A600,$B$3:$B$5000,"&gt;"&amp;$B600)=0),NOW(),_xlfn.MINIFS($B$3:$B$5000,$A$3:$A$5000,$A600,$B$3:$B$5000,"&gt;"&amp;$B600))</f>
        <v>46279.5987643054</v>
      </c>
    </row>
    <row r="601" customFormat="false" ht="15" hidden="false" customHeight="true" outlineLevel="0" collapsed="false">
      <c r="A601" s="42"/>
      <c r="B601" s="42"/>
      <c r="C601" s="42"/>
      <c r="D601" s="42"/>
      <c r="E601" s="42"/>
      <c r="F601" s="51" t="n">
        <f aca="false">IF(OR(C601="",D601="",E601="",E601=0),0,C601*D601/E601)</f>
        <v>0</v>
      </c>
      <c r="G601" s="42"/>
      <c r="H601" s="49" t="n">
        <f aca="true">IF(OR($A601="",_xlfn.MINIFS($B$3:$B$5000,$A$3:$A$5000,$A601,$B$3:$B$5000,"&gt;"&amp;$B601)=0),NOW(),_xlfn.MINIFS($B$3:$B$5000,$A$3:$A$5000,$A601,$B$3:$B$5000,"&gt;"&amp;$B601))</f>
        <v>46279.5987643054</v>
      </c>
    </row>
    <row r="602" customFormat="false" ht="15" hidden="false" customHeight="true" outlineLevel="0" collapsed="false">
      <c r="A602" s="42"/>
      <c r="B602" s="42"/>
      <c r="C602" s="42"/>
      <c r="D602" s="42"/>
      <c r="E602" s="42"/>
      <c r="F602" s="51" t="n">
        <f aca="false">IF(OR(C602="",D602="",E602="",E602=0),0,C602*D602/E602)</f>
        <v>0</v>
      </c>
      <c r="G602" s="42"/>
      <c r="H602" s="49" t="n">
        <f aca="true">IF(OR($A602="",_xlfn.MINIFS($B$3:$B$5000,$A$3:$A$5000,$A602,$B$3:$B$5000,"&gt;"&amp;$B602)=0),NOW(),_xlfn.MINIFS($B$3:$B$5000,$A$3:$A$5000,$A602,$B$3:$B$5000,"&gt;"&amp;$B602))</f>
        <v>46279.5987643055</v>
      </c>
    </row>
    <row r="603" customFormat="false" ht="15" hidden="false" customHeight="true" outlineLevel="0" collapsed="false">
      <c r="A603" s="42"/>
      <c r="B603" s="42"/>
      <c r="C603" s="42"/>
      <c r="D603" s="42"/>
      <c r="E603" s="42"/>
      <c r="F603" s="51" t="n">
        <f aca="false">IF(OR(C603="",D603="",E603="",E603=0),0,C603*D603/E603)</f>
        <v>0</v>
      </c>
      <c r="G603" s="42"/>
      <c r="H603" s="49" t="n">
        <f aca="true">IF(OR($A603="",_xlfn.MINIFS($B$3:$B$5000,$A$3:$A$5000,$A603,$B$3:$B$5000,"&gt;"&amp;$B603)=0),NOW(),_xlfn.MINIFS($B$3:$B$5000,$A$3:$A$5000,$A603,$B$3:$B$5000,"&gt;"&amp;$B603))</f>
        <v>46279.5987643055</v>
      </c>
    </row>
    <row r="604" customFormat="false" ht="15" hidden="false" customHeight="true" outlineLevel="0" collapsed="false">
      <c r="A604" s="42"/>
      <c r="B604" s="42"/>
      <c r="C604" s="42"/>
      <c r="D604" s="42"/>
      <c r="E604" s="42"/>
      <c r="F604" s="51" t="n">
        <f aca="false">IF(OR(C604="",D604="",E604="",E604=0),0,C604*D604/E604)</f>
        <v>0</v>
      </c>
      <c r="G604" s="42"/>
      <c r="H604" s="49" t="n">
        <f aca="true">IF(OR($A604="",_xlfn.MINIFS($B$3:$B$5000,$A$3:$A$5000,$A604,$B$3:$B$5000,"&gt;"&amp;$B604)=0),NOW(),_xlfn.MINIFS($B$3:$B$5000,$A$3:$A$5000,$A604,$B$3:$B$5000,"&gt;"&amp;$B604))</f>
        <v>46279.5987643056</v>
      </c>
    </row>
    <row r="605" customFormat="false" ht="15" hidden="false" customHeight="true" outlineLevel="0" collapsed="false">
      <c r="A605" s="42"/>
      <c r="B605" s="42"/>
      <c r="C605" s="42"/>
      <c r="D605" s="42"/>
      <c r="E605" s="42"/>
      <c r="F605" s="51" t="n">
        <f aca="false">IF(OR(C605="",D605="",E605="",E605=0),0,C605*D605/E605)</f>
        <v>0</v>
      </c>
      <c r="G605" s="42"/>
      <c r="H605" s="49" t="n">
        <f aca="true">IF(OR($A605="",_xlfn.MINIFS($B$3:$B$5000,$A$3:$A$5000,$A605,$B$3:$B$5000,"&gt;"&amp;$B605)=0),NOW(),_xlfn.MINIFS($B$3:$B$5000,$A$3:$A$5000,$A605,$B$3:$B$5000,"&gt;"&amp;$B605))</f>
        <v>46279.5987643056</v>
      </c>
    </row>
    <row r="606" customFormat="false" ht="15" hidden="false" customHeight="true" outlineLevel="0" collapsed="false">
      <c r="A606" s="42"/>
      <c r="B606" s="42"/>
      <c r="C606" s="42"/>
      <c r="D606" s="42"/>
      <c r="E606" s="42"/>
      <c r="F606" s="51" t="n">
        <f aca="false">IF(OR(C606="",D606="",E606="",E606=0),0,C606*D606/E606)</f>
        <v>0</v>
      </c>
      <c r="G606" s="42"/>
      <c r="H606" s="49" t="n">
        <f aca="true">IF(OR($A606="",_xlfn.MINIFS($B$3:$B$5000,$A$3:$A$5000,$A606,$B$3:$B$5000,"&gt;"&amp;$B606)=0),NOW(),_xlfn.MINIFS($B$3:$B$5000,$A$3:$A$5000,$A606,$B$3:$B$5000,"&gt;"&amp;$B606))</f>
        <v>46279.5987643057</v>
      </c>
    </row>
    <row r="607" customFormat="false" ht="15" hidden="false" customHeight="true" outlineLevel="0" collapsed="false">
      <c r="A607" s="42"/>
      <c r="B607" s="42"/>
      <c r="C607" s="42"/>
      <c r="D607" s="42"/>
      <c r="E607" s="42"/>
      <c r="F607" s="51" t="n">
        <f aca="false">IF(OR(C607="",D607="",E607="",E607=0),0,C607*D607/E607)</f>
        <v>0</v>
      </c>
      <c r="G607" s="42"/>
      <c r="H607" s="49" t="n">
        <f aca="true">IF(OR($A607="",_xlfn.MINIFS($B$3:$B$5000,$A$3:$A$5000,$A607,$B$3:$B$5000,"&gt;"&amp;$B607)=0),NOW(),_xlfn.MINIFS($B$3:$B$5000,$A$3:$A$5000,$A607,$B$3:$B$5000,"&gt;"&amp;$B607))</f>
        <v>46279.5987643057</v>
      </c>
    </row>
    <row r="608" customFormat="false" ht="15" hidden="false" customHeight="true" outlineLevel="0" collapsed="false">
      <c r="A608" s="42"/>
      <c r="B608" s="42"/>
      <c r="C608" s="42"/>
      <c r="D608" s="42"/>
      <c r="E608" s="42"/>
      <c r="F608" s="51" t="n">
        <f aca="false">IF(OR(C608="",D608="",E608="",E608=0),0,C608*D608/E608)</f>
        <v>0</v>
      </c>
      <c r="G608" s="42"/>
      <c r="H608" s="49" t="n">
        <f aca="true">IF(OR($A608="",_xlfn.MINIFS($B$3:$B$5000,$A$3:$A$5000,$A608,$B$3:$B$5000,"&gt;"&amp;$B608)=0),NOW(),_xlfn.MINIFS($B$3:$B$5000,$A$3:$A$5000,$A608,$B$3:$B$5000,"&gt;"&amp;$B608))</f>
        <v>46279.5987643058</v>
      </c>
    </row>
    <row r="609" customFormat="false" ht="15" hidden="false" customHeight="true" outlineLevel="0" collapsed="false">
      <c r="A609" s="42"/>
      <c r="B609" s="42"/>
      <c r="C609" s="42"/>
      <c r="D609" s="42"/>
      <c r="E609" s="42"/>
      <c r="F609" s="51" t="n">
        <f aca="false">IF(OR(C609="",D609="",E609="",E609=0),0,C609*D609/E609)</f>
        <v>0</v>
      </c>
      <c r="G609" s="42"/>
      <c r="H609" s="49" t="n">
        <f aca="true">IF(OR($A609="",_xlfn.MINIFS($B$3:$B$5000,$A$3:$A$5000,$A609,$B$3:$B$5000,"&gt;"&amp;$B609)=0),NOW(),_xlfn.MINIFS($B$3:$B$5000,$A$3:$A$5000,$A609,$B$3:$B$5000,"&gt;"&amp;$B609))</f>
        <v>46279.5987643058</v>
      </c>
    </row>
    <row r="610" customFormat="false" ht="15" hidden="false" customHeight="true" outlineLevel="0" collapsed="false">
      <c r="A610" s="42"/>
      <c r="B610" s="42"/>
      <c r="C610" s="42"/>
      <c r="D610" s="42"/>
      <c r="E610" s="42"/>
      <c r="F610" s="51" t="n">
        <f aca="false">IF(OR(C610="",D610="",E610="",E610=0),0,C610*D610/E610)</f>
        <v>0</v>
      </c>
      <c r="G610" s="42"/>
      <c r="H610" s="49" t="n">
        <f aca="true">IF(OR($A610="",_xlfn.MINIFS($B$3:$B$5000,$A$3:$A$5000,$A610,$B$3:$B$5000,"&gt;"&amp;$B610)=0),NOW(),_xlfn.MINIFS($B$3:$B$5000,$A$3:$A$5000,$A610,$B$3:$B$5000,"&gt;"&amp;$B610))</f>
        <v>46279.5987643059</v>
      </c>
    </row>
    <row r="611" customFormat="false" ht="15" hidden="false" customHeight="true" outlineLevel="0" collapsed="false">
      <c r="A611" s="42"/>
      <c r="B611" s="42"/>
      <c r="C611" s="42"/>
      <c r="D611" s="42"/>
      <c r="E611" s="42"/>
      <c r="F611" s="51" t="n">
        <f aca="false">IF(OR(C611="",D611="",E611="",E611=0),0,C611*D611/E611)</f>
        <v>0</v>
      </c>
      <c r="G611" s="42"/>
      <c r="H611" s="49" t="n">
        <f aca="true">IF(OR($A611="",_xlfn.MINIFS($B$3:$B$5000,$A$3:$A$5000,$A611,$B$3:$B$5000,"&gt;"&amp;$B611)=0),NOW(),_xlfn.MINIFS($B$3:$B$5000,$A$3:$A$5000,$A611,$B$3:$B$5000,"&gt;"&amp;$B611))</f>
        <v>46279.5987643059</v>
      </c>
    </row>
    <row r="612" customFormat="false" ht="15" hidden="false" customHeight="true" outlineLevel="0" collapsed="false">
      <c r="A612" s="42"/>
      <c r="B612" s="42"/>
      <c r="C612" s="42"/>
      <c r="D612" s="42"/>
      <c r="E612" s="42"/>
      <c r="F612" s="51" t="n">
        <f aca="false">IF(OR(C612="",D612="",E612="",E612=0),0,C612*D612/E612)</f>
        <v>0</v>
      </c>
      <c r="G612" s="42"/>
      <c r="H612" s="49" t="n">
        <f aca="true">IF(OR($A612="",_xlfn.MINIFS($B$3:$B$5000,$A$3:$A$5000,$A612,$B$3:$B$5000,"&gt;"&amp;$B612)=0),NOW(),_xlfn.MINIFS($B$3:$B$5000,$A$3:$A$5000,$A612,$B$3:$B$5000,"&gt;"&amp;$B612))</f>
        <v>46279.598764306</v>
      </c>
    </row>
    <row r="613" customFormat="false" ht="15" hidden="false" customHeight="true" outlineLevel="0" collapsed="false">
      <c r="A613" s="42"/>
      <c r="B613" s="42"/>
      <c r="C613" s="42"/>
      <c r="D613" s="42"/>
      <c r="E613" s="42"/>
      <c r="F613" s="51" t="n">
        <f aca="false">IF(OR(C613="",D613="",E613="",E613=0),0,C613*D613/E613)</f>
        <v>0</v>
      </c>
      <c r="G613" s="42"/>
      <c r="H613" s="49" t="n">
        <f aca="true">IF(OR($A613="",_xlfn.MINIFS($B$3:$B$5000,$A$3:$A$5000,$A613,$B$3:$B$5000,"&gt;"&amp;$B613)=0),NOW(),_xlfn.MINIFS($B$3:$B$5000,$A$3:$A$5000,$A613,$B$3:$B$5000,"&gt;"&amp;$B613))</f>
        <v>46279.598764306</v>
      </c>
    </row>
    <row r="614" customFormat="false" ht="15" hidden="false" customHeight="true" outlineLevel="0" collapsed="false">
      <c r="A614" s="42"/>
      <c r="B614" s="42"/>
      <c r="C614" s="42"/>
      <c r="D614" s="42"/>
      <c r="E614" s="42"/>
      <c r="F614" s="51" t="n">
        <f aca="false">IF(OR(C614="",D614="",E614="",E614=0),0,C614*D614/E614)</f>
        <v>0</v>
      </c>
      <c r="G614" s="42"/>
      <c r="H614" s="49" t="n">
        <f aca="true">IF(OR($A614="",_xlfn.MINIFS($B$3:$B$5000,$A$3:$A$5000,$A614,$B$3:$B$5000,"&gt;"&amp;$B614)=0),NOW(),_xlfn.MINIFS($B$3:$B$5000,$A$3:$A$5000,$A614,$B$3:$B$5000,"&gt;"&amp;$B614))</f>
        <v>46279.5987643061</v>
      </c>
    </row>
    <row r="615" customFormat="false" ht="15" hidden="false" customHeight="true" outlineLevel="0" collapsed="false">
      <c r="A615" s="42"/>
      <c r="B615" s="42"/>
      <c r="C615" s="42"/>
      <c r="D615" s="42"/>
      <c r="E615" s="42"/>
      <c r="F615" s="51" t="n">
        <f aca="false">IF(OR(C615="",D615="",E615="",E615=0),0,C615*D615/E615)</f>
        <v>0</v>
      </c>
      <c r="G615" s="42"/>
      <c r="H615" s="49" t="n">
        <f aca="true">IF(OR($A615="",_xlfn.MINIFS($B$3:$B$5000,$A$3:$A$5000,$A615,$B$3:$B$5000,"&gt;"&amp;$B615)=0),NOW(),_xlfn.MINIFS($B$3:$B$5000,$A$3:$A$5000,$A615,$B$3:$B$5000,"&gt;"&amp;$B615))</f>
        <v>46279.5987643061</v>
      </c>
    </row>
    <row r="616" customFormat="false" ht="15" hidden="false" customHeight="true" outlineLevel="0" collapsed="false">
      <c r="A616" s="42"/>
      <c r="B616" s="42"/>
      <c r="C616" s="42"/>
      <c r="D616" s="42"/>
      <c r="E616" s="42"/>
      <c r="F616" s="51" t="n">
        <f aca="false">IF(OR(C616="",D616="",E616="",E616=0),0,C616*D616/E616)</f>
        <v>0</v>
      </c>
      <c r="G616" s="42"/>
      <c r="H616" s="49" t="n">
        <f aca="true">IF(OR($A616="",_xlfn.MINIFS($B$3:$B$5000,$A$3:$A$5000,$A616,$B$3:$B$5000,"&gt;"&amp;$B616)=0),NOW(),_xlfn.MINIFS($B$3:$B$5000,$A$3:$A$5000,$A616,$B$3:$B$5000,"&gt;"&amp;$B616))</f>
        <v>46279.5987643062</v>
      </c>
    </row>
    <row r="617" customFormat="false" ht="15" hidden="false" customHeight="true" outlineLevel="0" collapsed="false">
      <c r="A617" s="42"/>
      <c r="B617" s="42"/>
      <c r="C617" s="42"/>
      <c r="D617" s="42"/>
      <c r="E617" s="42"/>
      <c r="F617" s="51" t="n">
        <f aca="false">IF(OR(C617="",D617="",E617="",E617=0),0,C617*D617/E617)</f>
        <v>0</v>
      </c>
      <c r="G617" s="42"/>
      <c r="H617" s="49" t="n">
        <f aca="true">IF(OR($A617="",_xlfn.MINIFS($B$3:$B$5000,$A$3:$A$5000,$A617,$B$3:$B$5000,"&gt;"&amp;$B617)=0),NOW(),_xlfn.MINIFS($B$3:$B$5000,$A$3:$A$5000,$A617,$B$3:$B$5000,"&gt;"&amp;$B617))</f>
        <v>46279.5987643062</v>
      </c>
    </row>
    <row r="618" customFormat="false" ht="15" hidden="false" customHeight="true" outlineLevel="0" collapsed="false">
      <c r="A618" s="42"/>
      <c r="B618" s="42"/>
      <c r="C618" s="42"/>
      <c r="D618" s="42"/>
      <c r="E618" s="42"/>
      <c r="F618" s="51" t="n">
        <f aca="false">IF(OR(C618="",D618="",E618="",E618=0),0,C618*D618/E618)</f>
        <v>0</v>
      </c>
      <c r="G618" s="42"/>
      <c r="H618" s="49" t="n">
        <f aca="true">IF(OR($A618="",_xlfn.MINIFS($B$3:$B$5000,$A$3:$A$5000,$A618,$B$3:$B$5000,"&gt;"&amp;$B618)=0),NOW(),_xlfn.MINIFS($B$3:$B$5000,$A$3:$A$5000,$A618,$B$3:$B$5000,"&gt;"&amp;$B618))</f>
        <v>46279.5987643063</v>
      </c>
    </row>
    <row r="619" customFormat="false" ht="15" hidden="false" customHeight="true" outlineLevel="0" collapsed="false">
      <c r="A619" s="42"/>
      <c r="B619" s="42"/>
      <c r="C619" s="42"/>
      <c r="D619" s="42"/>
      <c r="E619" s="42"/>
      <c r="F619" s="51" t="n">
        <f aca="false">IF(OR(C619="",D619="",E619="",E619=0),0,C619*D619/E619)</f>
        <v>0</v>
      </c>
      <c r="G619" s="42"/>
      <c r="H619" s="49" t="n">
        <f aca="true">IF(OR($A619="",_xlfn.MINIFS($B$3:$B$5000,$A$3:$A$5000,$A619,$B$3:$B$5000,"&gt;"&amp;$B619)=0),NOW(),_xlfn.MINIFS($B$3:$B$5000,$A$3:$A$5000,$A619,$B$3:$B$5000,"&gt;"&amp;$B619))</f>
        <v>46279.5987643063</v>
      </c>
    </row>
    <row r="620" customFormat="false" ht="15" hidden="false" customHeight="true" outlineLevel="0" collapsed="false">
      <c r="A620" s="42"/>
      <c r="B620" s="42"/>
      <c r="C620" s="42"/>
      <c r="D620" s="42"/>
      <c r="E620" s="42"/>
      <c r="F620" s="51" t="n">
        <f aca="false">IF(OR(C620="",D620="",E620="",E620=0),0,C620*D620/E620)</f>
        <v>0</v>
      </c>
      <c r="G620" s="42"/>
      <c r="H620" s="49" t="n">
        <f aca="true">IF(OR($A620="",_xlfn.MINIFS($B$3:$B$5000,$A$3:$A$5000,$A620,$B$3:$B$5000,"&gt;"&amp;$B620)=0),NOW(),_xlfn.MINIFS($B$3:$B$5000,$A$3:$A$5000,$A620,$B$3:$B$5000,"&gt;"&amp;$B620))</f>
        <v>46279.5987643064</v>
      </c>
    </row>
    <row r="621" customFormat="false" ht="15" hidden="false" customHeight="true" outlineLevel="0" collapsed="false">
      <c r="A621" s="42"/>
      <c r="B621" s="42"/>
      <c r="C621" s="42"/>
      <c r="D621" s="42"/>
      <c r="E621" s="42"/>
      <c r="F621" s="51" t="n">
        <f aca="false">IF(OR(C621="",D621="",E621="",E621=0),0,C621*D621/E621)</f>
        <v>0</v>
      </c>
      <c r="G621" s="42"/>
      <c r="H621" s="49" t="n">
        <f aca="true">IF(OR($A621="",_xlfn.MINIFS($B$3:$B$5000,$A$3:$A$5000,$A621,$B$3:$B$5000,"&gt;"&amp;$B621)=0),NOW(),_xlfn.MINIFS($B$3:$B$5000,$A$3:$A$5000,$A621,$B$3:$B$5000,"&gt;"&amp;$B621))</f>
        <v>46279.5987643064</v>
      </c>
    </row>
    <row r="622" customFormat="false" ht="15" hidden="false" customHeight="true" outlineLevel="0" collapsed="false">
      <c r="A622" s="42"/>
      <c r="B622" s="42"/>
      <c r="C622" s="42"/>
      <c r="D622" s="42"/>
      <c r="E622" s="42"/>
      <c r="F622" s="51" t="n">
        <f aca="false">IF(OR(C622="",D622="",E622="",E622=0),0,C622*D622/E622)</f>
        <v>0</v>
      </c>
      <c r="G622" s="42"/>
      <c r="H622" s="49" t="n">
        <f aca="true">IF(OR($A622="",_xlfn.MINIFS($B$3:$B$5000,$A$3:$A$5000,$A622,$B$3:$B$5000,"&gt;"&amp;$B622)=0),NOW(),_xlfn.MINIFS($B$3:$B$5000,$A$3:$A$5000,$A622,$B$3:$B$5000,"&gt;"&amp;$B622))</f>
        <v>46279.5987643065</v>
      </c>
    </row>
    <row r="623" customFormat="false" ht="15" hidden="false" customHeight="true" outlineLevel="0" collapsed="false">
      <c r="A623" s="42"/>
      <c r="B623" s="42"/>
      <c r="C623" s="42"/>
      <c r="D623" s="42"/>
      <c r="E623" s="42"/>
      <c r="F623" s="51" t="n">
        <f aca="false">IF(OR(C623="",D623="",E623="",E623=0),0,C623*D623/E623)</f>
        <v>0</v>
      </c>
      <c r="G623" s="42"/>
      <c r="H623" s="49" t="n">
        <f aca="true">IF(OR($A623="",_xlfn.MINIFS($B$3:$B$5000,$A$3:$A$5000,$A623,$B$3:$B$5000,"&gt;"&amp;$B623)=0),NOW(),_xlfn.MINIFS($B$3:$B$5000,$A$3:$A$5000,$A623,$B$3:$B$5000,"&gt;"&amp;$B623))</f>
        <v>46279.5987643065</v>
      </c>
    </row>
    <row r="624" customFormat="false" ht="15" hidden="false" customHeight="true" outlineLevel="0" collapsed="false">
      <c r="A624" s="42"/>
      <c r="B624" s="42"/>
      <c r="C624" s="42"/>
      <c r="D624" s="42"/>
      <c r="E624" s="42"/>
      <c r="F624" s="51" t="n">
        <f aca="false">IF(OR(C624="",D624="",E624="",E624=0),0,C624*D624/E624)</f>
        <v>0</v>
      </c>
      <c r="G624" s="42"/>
      <c r="H624" s="49" t="n">
        <f aca="true">IF(OR($A624="",_xlfn.MINIFS($B$3:$B$5000,$A$3:$A$5000,$A624,$B$3:$B$5000,"&gt;"&amp;$B624)=0),NOW(),_xlfn.MINIFS($B$3:$B$5000,$A$3:$A$5000,$A624,$B$3:$B$5000,"&gt;"&amp;$B624))</f>
        <v>46279.5987643066</v>
      </c>
    </row>
    <row r="625" customFormat="false" ht="15" hidden="false" customHeight="true" outlineLevel="0" collapsed="false">
      <c r="A625" s="42"/>
      <c r="B625" s="42"/>
      <c r="C625" s="42"/>
      <c r="D625" s="42"/>
      <c r="E625" s="42"/>
      <c r="F625" s="51" t="n">
        <f aca="false">IF(OR(C625="",D625="",E625="",E625=0),0,C625*D625/E625)</f>
        <v>0</v>
      </c>
      <c r="G625" s="42"/>
      <c r="H625" s="49" t="n">
        <f aca="true">IF(OR($A625="",_xlfn.MINIFS($B$3:$B$5000,$A$3:$A$5000,$A625,$B$3:$B$5000,"&gt;"&amp;$B625)=0),NOW(),_xlfn.MINIFS($B$3:$B$5000,$A$3:$A$5000,$A625,$B$3:$B$5000,"&gt;"&amp;$B625))</f>
        <v>46279.5987643066</v>
      </c>
    </row>
    <row r="626" customFormat="false" ht="15" hidden="false" customHeight="true" outlineLevel="0" collapsed="false">
      <c r="A626" s="42"/>
      <c r="B626" s="42"/>
      <c r="C626" s="42"/>
      <c r="D626" s="42"/>
      <c r="E626" s="42"/>
      <c r="F626" s="51" t="n">
        <f aca="false">IF(OR(C626="",D626="",E626="",E626=0),0,C626*D626/E626)</f>
        <v>0</v>
      </c>
      <c r="G626" s="42"/>
      <c r="H626" s="49" t="n">
        <f aca="true">IF(OR($A626="",_xlfn.MINIFS($B$3:$B$5000,$A$3:$A$5000,$A626,$B$3:$B$5000,"&gt;"&amp;$B626)=0),NOW(),_xlfn.MINIFS($B$3:$B$5000,$A$3:$A$5000,$A626,$B$3:$B$5000,"&gt;"&amp;$B626))</f>
        <v>46279.5987643067</v>
      </c>
    </row>
    <row r="627" customFormat="false" ht="15" hidden="false" customHeight="true" outlineLevel="0" collapsed="false">
      <c r="A627" s="42"/>
      <c r="B627" s="42"/>
      <c r="C627" s="42"/>
      <c r="D627" s="42"/>
      <c r="E627" s="42"/>
      <c r="F627" s="51" t="n">
        <f aca="false">IF(OR(C627="",D627="",E627="",E627=0),0,C627*D627/E627)</f>
        <v>0</v>
      </c>
      <c r="G627" s="42"/>
      <c r="H627" s="49" t="n">
        <f aca="true">IF(OR($A627="",_xlfn.MINIFS($B$3:$B$5000,$A$3:$A$5000,$A627,$B$3:$B$5000,"&gt;"&amp;$B627)=0),NOW(),_xlfn.MINIFS($B$3:$B$5000,$A$3:$A$5000,$A627,$B$3:$B$5000,"&gt;"&amp;$B627))</f>
        <v>46279.5987643067</v>
      </c>
    </row>
    <row r="628" customFormat="false" ht="15" hidden="false" customHeight="true" outlineLevel="0" collapsed="false">
      <c r="A628" s="42"/>
      <c r="B628" s="42"/>
      <c r="C628" s="42"/>
      <c r="D628" s="42"/>
      <c r="E628" s="42"/>
      <c r="F628" s="51" t="n">
        <f aca="false">IF(OR(C628="",D628="",E628="",E628=0),0,C628*D628/E628)</f>
        <v>0</v>
      </c>
      <c r="G628" s="42"/>
      <c r="H628" s="49" t="n">
        <f aca="true">IF(OR($A628="",_xlfn.MINIFS($B$3:$B$5000,$A$3:$A$5000,$A628,$B$3:$B$5000,"&gt;"&amp;$B628)=0),NOW(),_xlfn.MINIFS($B$3:$B$5000,$A$3:$A$5000,$A628,$B$3:$B$5000,"&gt;"&amp;$B628))</f>
        <v>46279.5987643068</v>
      </c>
    </row>
    <row r="629" customFormat="false" ht="15" hidden="false" customHeight="true" outlineLevel="0" collapsed="false">
      <c r="A629" s="42"/>
      <c r="B629" s="42"/>
      <c r="C629" s="42"/>
      <c r="D629" s="42"/>
      <c r="E629" s="42"/>
      <c r="F629" s="51" t="n">
        <f aca="false">IF(OR(C629="",D629="",E629="",E629=0),0,C629*D629/E629)</f>
        <v>0</v>
      </c>
      <c r="G629" s="42"/>
      <c r="H629" s="49" t="n">
        <f aca="true">IF(OR($A629="",_xlfn.MINIFS($B$3:$B$5000,$A$3:$A$5000,$A629,$B$3:$B$5000,"&gt;"&amp;$B629)=0),NOW(),_xlfn.MINIFS($B$3:$B$5000,$A$3:$A$5000,$A629,$B$3:$B$5000,"&gt;"&amp;$B629))</f>
        <v>46279.5987643068</v>
      </c>
    </row>
    <row r="630" customFormat="false" ht="15" hidden="false" customHeight="true" outlineLevel="0" collapsed="false">
      <c r="A630" s="42"/>
      <c r="B630" s="42"/>
      <c r="C630" s="42"/>
      <c r="D630" s="42"/>
      <c r="E630" s="42"/>
      <c r="F630" s="51" t="n">
        <f aca="false">IF(OR(C630="",D630="",E630="",E630=0),0,C630*D630/E630)</f>
        <v>0</v>
      </c>
      <c r="G630" s="42"/>
      <c r="H630" s="49" t="n">
        <f aca="true">IF(OR($A630="",_xlfn.MINIFS($B$3:$B$5000,$A$3:$A$5000,$A630,$B$3:$B$5000,"&gt;"&amp;$B630)=0),NOW(),_xlfn.MINIFS($B$3:$B$5000,$A$3:$A$5000,$A630,$B$3:$B$5000,"&gt;"&amp;$B630))</f>
        <v>46279.5987643069</v>
      </c>
    </row>
    <row r="631" customFormat="false" ht="15" hidden="false" customHeight="true" outlineLevel="0" collapsed="false">
      <c r="A631" s="42"/>
      <c r="B631" s="42"/>
      <c r="C631" s="42"/>
      <c r="D631" s="42"/>
      <c r="E631" s="42"/>
      <c r="F631" s="51" t="n">
        <f aca="false">IF(OR(C631="",D631="",E631="",E631=0),0,C631*D631/E631)</f>
        <v>0</v>
      </c>
      <c r="G631" s="42"/>
      <c r="H631" s="49" t="n">
        <f aca="true">IF(OR($A631="",_xlfn.MINIFS($B$3:$B$5000,$A$3:$A$5000,$A631,$B$3:$B$5000,"&gt;"&amp;$B631)=0),NOW(),_xlfn.MINIFS($B$3:$B$5000,$A$3:$A$5000,$A631,$B$3:$B$5000,"&gt;"&amp;$B631))</f>
        <v>46279.5987643069</v>
      </c>
    </row>
    <row r="632" customFormat="false" ht="15" hidden="false" customHeight="true" outlineLevel="0" collapsed="false">
      <c r="A632" s="42"/>
      <c r="B632" s="42"/>
      <c r="C632" s="42"/>
      <c r="D632" s="42"/>
      <c r="E632" s="42"/>
      <c r="F632" s="51" t="n">
        <f aca="false">IF(OR(C632="",D632="",E632="",E632=0),0,C632*D632/E632)</f>
        <v>0</v>
      </c>
      <c r="G632" s="42"/>
      <c r="H632" s="49" t="n">
        <f aca="true">IF(OR($A632="",_xlfn.MINIFS($B$3:$B$5000,$A$3:$A$5000,$A632,$B$3:$B$5000,"&gt;"&amp;$B632)=0),NOW(),_xlfn.MINIFS($B$3:$B$5000,$A$3:$A$5000,$A632,$B$3:$B$5000,"&gt;"&amp;$B632))</f>
        <v>46279.598764307</v>
      </c>
    </row>
    <row r="633" customFormat="false" ht="15" hidden="false" customHeight="true" outlineLevel="0" collapsed="false">
      <c r="A633" s="42"/>
      <c r="B633" s="42"/>
      <c r="C633" s="42"/>
      <c r="D633" s="42"/>
      <c r="E633" s="42"/>
      <c r="F633" s="51" t="n">
        <f aca="false">IF(OR(C633="",D633="",E633="",E633=0),0,C633*D633/E633)</f>
        <v>0</v>
      </c>
      <c r="G633" s="42"/>
      <c r="H633" s="49" t="n">
        <f aca="true">IF(OR($A633="",_xlfn.MINIFS($B$3:$B$5000,$A$3:$A$5000,$A633,$B$3:$B$5000,"&gt;"&amp;$B633)=0),NOW(),_xlfn.MINIFS($B$3:$B$5000,$A$3:$A$5000,$A633,$B$3:$B$5000,"&gt;"&amp;$B633))</f>
        <v>46279.598764307</v>
      </c>
    </row>
    <row r="634" customFormat="false" ht="15" hidden="false" customHeight="true" outlineLevel="0" collapsed="false">
      <c r="A634" s="42"/>
      <c r="B634" s="42"/>
      <c r="C634" s="42"/>
      <c r="D634" s="42"/>
      <c r="E634" s="42"/>
      <c r="F634" s="51" t="n">
        <f aca="false">IF(OR(C634="",D634="",E634="",E634=0),0,C634*D634/E634)</f>
        <v>0</v>
      </c>
      <c r="G634" s="42"/>
      <c r="H634" s="49" t="n">
        <f aca="true">IF(OR($A634="",_xlfn.MINIFS($B$3:$B$5000,$A$3:$A$5000,$A634,$B$3:$B$5000,"&gt;"&amp;$B634)=0),NOW(),_xlfn.MINIFS($B$3:$B$5000,$A$3:$A$5000,$A634,$B$3:$B$5000,"&gt;"&amp;$B634))</f>
        <v>46279.5987643071</v>
      </c>
    </row>
    <row r="635" customFormat="false" ht="15" hidden="false" customHeight="true" outlineLevel="0" collapsed="false">
      <c r="A635" s="42"/>
      <c r="B635" s="42"/>
      <c r="C635" s="42"/>
      <c r="D635" s="42"/>
      <c r="E635" s="42"/>
      <c r="F635" s="51" t="n">
        <f aca="false">IF(OR(C635="",D635="",E635="",E635=0),0,C635*D635/E635)</f>
        <v>0</v>
      </c>
      <c r="G635" s="42"/>
      <c r="H635" s="49" t="n">
        <f aca="true">IF(OR($A635="",_xlfn.MINIFS($B$3:$B$5000,$A$3:$A$5000,$A635,$B$3:$B$5000,"&gt;"&amp;$B635)=0),NOW(),_xlfn.MINIFS($B$3:$B$5000,$A$3:$A$5000,$A635,$B$3:$B$5000,"&gt;"&amp;$B635))</f>
        <v>46279.5987643071</v>
      </c>
    </row>
    <row r="636" customFormat="false" ht="15" hidden="false" customHeight="true" outlineLevel="0" collapsed="false">
      <c r="A636" s="42"/>
      <c r="B636" s="42"/>
      <c r="C636" s="42"/>
      <c r="D636" s="42"/>
      <c r="E636" s="42"/>
      <c r="F636" s="51" t="n">
        <f aca="false">IF(OR(C636="",D636="",E636="",E636=0),0,C636*D636/E636)</f>
        <v>0</v>
      </c>
      <c r="G636" s="42"/>
      <c r="H636" s="49" t="n">
        <f aca="true">IF(OR($A636="",_xlfn.MINIFS($B$3:$B$5000,$A$3:$A$5000,$A636,$B$3:$B$5000,"&gt;"&amp;$B636)=0),NOW(),_xlfn.MINIFS($B$3:$B$5000,$A$3:$A$5000,$A636,$B$3:$B$5000,"&gt;"&amp;$B636))</f>
        <v>46279.5987643072</v>
      </c>
    </row>
    <row r="637" customFormat="false" ht="15" hidden="false" customHeight="true" outlineLevel="0" collapsed="false">
      <c r="A637" s="42"/>
      <c r="B637" s="42"/>
      <c r="C637" s="42"/>
      <c r="D637" s="42"/>
      <c r="E637" s="42"/>
      <c r="F637" s="51" t="n">
        <f aca="false">IF(OR(C637="",D637="",E637="",E637=0),0,C637*D637/E637)</f>
        <v>0</v>
      </c>
      <c r="G637" s="42"/>
      <c r="H637" s="49" t="n">
        <f aca="true">IF(OR($A637="",_xlfn.MINIFS($B$3:$B$5000,$A$3:$A$5000,$A637,$B$3:$B$5000,"&gt;"&amp;$B637)=0),NOW(),_xlfn.MINIFS($B$3:$B$5000,$A$3:$A$5000,$A637,$B$3:$B$5000,"&gt;"&amp;$B637))</f>
        <v>46279.5987643072</v>
      </c>
    </row>
    <row r="638" customFormat="false" ht="15" hidden="false" customHeight="true" outlineLevel="0" collapsed="false">
      <c r="A638" s="42"/>
      <c r="B638" s="42"/>
      <c r="C638" s="42"/>
      <c r="D638" s="42"/>
      <c r="E638" s="42"/>
      <c r="F638" s="51" t="n">
        <f aca="false">IF(OR(C638="",D638="",E638="",E638=0),0,C638*D638/E638)</f>
        <v>0</v>
      </c>
      <c r="G638" s="42"/>
      <c r="H638" s="49" t="n">
        <f aca="true">IF(OR($A638="",_xlfn.MINIFS($B$3:$B$5000,$A$3:$A$5000,$A638,$B$3:$B$5000,"&gt;"&amp;$B638)=0),NOW(),_xlfn.MINIFS($B$3:$B$5000,$A$3:$A$5000,$A638,$B$3:$B$5000,"&gt;"&amp;$B638))</f>
        <v>46279.5987643073</v>
      </c>
    </row>
    <row r="639" customFormat="false" ht="15" hidden="false" customHeight="true" outlineLevel="0" collapsed="false">
      <c r="A639" s="42"/>
      <c r="B639" s="42"/>
      <c r="C639" s="42"/>
      <c r="D639" s="42"/>
      <c r="E639" s="42"/>
      <c r="F639" s="51" t="n">
        <f aca="false">IF(OR(C639="",D639="",E639="",E639=0),0,C639*D639/E639)</f>
        <v>0</v>
      </c>
      <c r="G639" s="42"/>
      <c r="H639" s="49" t="n">
        <f aca="true">IF(OR($A639="",_xlfn.MINIFS($B$3:$B$5000,$A$3:$A$5000,$A639,$B$3:$B$5000,"&gt;"&amp;$B639)=0),NOW(),_xlfn.MINIFS($B$3:$B$5000,$A$3:$A$5000,$A639,$B$3:$B$5000,"&gt;"&amp;$B639))</f>
        <v>46279.5987643073</v>
      </c>
    </row>
    <row r="640" customFormat="false" ht="15" hidden="false" customHeight="true" outlineLevel="0" collapsed="false">
      <c r="A640" s="42"/>
      <c r="B640" s="42"/>
      <c r="C640" s="42"/>
      <c r="D640" s="42"/>
      <c r="E640" s="42"/>
      <c r="F640" s="51" t="n">
        <f aca="false">IF(OR(C640="",D640="",E640="",E640=0),0,C640*D640/E640)</f>
        <v>0</v>
      </c>
      <c r="G640" s="42"/>
      <c r="H640" s="49" t="n">
        <f aca="true">IF(OR($A640="",_xlfn.MINIFS($B$3:$B$5000,$A$3:$A$5000,$A640,$B$3:$B$5000,"&gt;"&amp;$B640)=0),NOW(),_xlfn.MINIFS($B$3:$B$5000,$A$3:$A$5000,$A640,$B$3:$B$5000,"&gt;"&amp;$B640))</f>
        <v>46279.5987643074</v>
      </c>
    </row>
    <row r="641" customFormat="false" ht="15" hidden="false" customHeight="true" outlineLevel="0" collapsed="false">
      <c r="A641" s="42"/>
      <c r="B641" s="42"/>
      <c r="C641" s="42"/>
      <c r="D641" s="42"/>
      <c r="E641" s="42"/>
      <c r="F641" s="51" t="n">
        <f aca="false">IF(OR(C641="",D641="",E641="",E641=0),0,C641*D641/E641)</f>
        <v>0</v>
      </c>
      <c r="G641" s="42"/>
      <c r="H641" s="49" t="n">
        <f aca="true">IF(OR($A641="",_xlfn.MINIFS($B$3:$B$5000,$A$3:$A$5000,$A641,$B$3:$B$5000,"&gt;"&amp;$B641)=0),NOW(),_xlfn.MINIFS($B$3:$B$5000,$A$3:$A$5000,$A641,$B$3:$B$5000,"&gt;"&amp;$B641))</f>
        <v>46279.5987643074</v>
      </c>
    </row>
    <row r="642" customFormat="false" ht="15" hidden="false" customHeight="true" outlineLevel="0" collapsed="false">
      <c r="A642" s="42"/>
      <c r="B642" s="42"/>
      <c r="C642" s="42"/>
      <c r="D642" s="42"/>
      <c r="E642" s="42"/>
      <c r="F642" s="51" t="n">
        <f aca="false">IF(OR(C642="",D642="",E642="",E642=0),0,C642*D642/E642)</f>
        <v>0</v>
      </c>
      <c r="G642" s="42"/>
      <c r="H642" s="49" t="n">
        <f aca="true">IF(OR($A642="",_xlfn.MINIFS($B$3:$B$5000,$A$3:$A$5000,$A642,$B$3:$B$5000,"&gt;"&amp;$B642)=0),NOW(),_xlfn.MINIFS($B$3:$B$5000,$A$3:$A$5000,$A642,$B$3:$B$5000,"&gt;"&amp;$B642))</f>
        <v>46279.5987643075</v>
      </c>
    </row>
    <row r="643" customFormat="false" ht="15" hidden="false" customHeight="true" outlineLevel="0" collapsed="false">
      <c r="A643" s="42"/>
      <c r="B643" s="42"/>
      <c r="C643" s="42"/>
      <c r="D643" s="42"/>
      <c r="E643" s="42"/>
      <c r="F643" s="51" t="n">
        <f aca="false">IF(OR(C643="",D643="",E643="",E643=0),0,C643*D643/E643)</f>
        <v>0</v>
      </c>
      <c r="G643" s="42"/>
      <c r="H643" s="49" t="n">
        <f aca="true">IF(OR($A643="",_xlfn.MINIFS($B$3:$B$5000,$A$3:$A$5000,$A643,$B$3:$B$5000,"&gt;"&amp;$B643)=0),NOW(),_xlfn.MINIFS($B$3:$B$5000,$A$3:$A$5000,$A643,$B$3:$B$5000,"&gt;"&amp;$B643))</f>
        <v>46279.5987643075</v>
      </c>
    </row>
    <row r="644" customFormat="false" ht="15" hidden="false" customHeight="true" outlineLevel="0" collapsed="false">
      <c r="A644" s="42"/>
      <c r="B644" s="42"/>
      <c r="C644" s="42"/>
      <c r="D644" s="42"/>
      <c r="E644" s="42"/>
      <c r="F644" s="51" t="n">
        <f aca="false">IF(OR(C644="",D644="",E644="",E644=0),0,C644*D644/E644)</f>
        <v>0</v>
      </c>
      <c r="G644" s="42"/>
      <c r="H644" s="49" t="n">
        <f aca="true">IF(OR($A644="",_xlfn.MINIFS($B$3:$B$5000,$A$3:$A$5000,$A644,$B$3:$B$5000,"&gt;"&amp;$B644)=0),NOW(),_xlfn.MINIFS($B$3:$B$5000,$A$3:$A$5000,$A644,$B$3:$B$5000,"&gt;"&amp;$B644))</f>
        <v>46279.5987643076</v>
      </c>
    </row>
    <row r="645" customFormat="false" ht="15" hidden="false" customHeight="true" outlineLevel="0" collapsed="false">
      <c r="A645" s="42"/>
      <c r="B645" s="42"/>
      <c r="C645" s="42"/>
      <c r="D645" s="42"/>
      <c r="E645" s="42"/>
      <c r="F645" s="51" t="n">
        <f aca="false">IF(OR(C645="",D645="",E645="",E645=0),0,C645*D645/E645)</f>
        <v>0</v>
      </c>
      <c r="G645" s="42"/>
      <c r="H645" s="49" t="n">
        <f aca="true">IF(OR($A645="",_xlfn.MINIFS($B$3:$B$5000,$A$3:$A$5000,$A645,$B$3:$B$5000,"&gt;"&amp;$B645)=0),NOW(),_xlfn.MINIFS($B$3:$B$5000,$A$3:$A$5000,$A645,$B$3:$B$5000,"&gt;"&amp;$B645))</f>
        <v>46279.5987643076</v>
      </c>
    </row>
    <row r="646" customFormat="false" ht="15" hidden="false" customHeight="true" outlineLevel="0" collapsed="false">
      <c r="A646" s="42"/>
      <c r="B646" s="42"/>
      <c r="C646" s="42"/>
      <c r="D646" s="42"/>
      <c r="E646" s="42"/>
      <c r="F646" s="51" t="n">
        <f aca="false">IF(OR(C646="",D646="",E646="",E646=0),0,C646*D646/E646)</f>
        <v>0</v>
      </c>
      <c r="G646" s="42"/>
      <c r="H646" s="49" t="n">
        <f aca="true">IF(OR($A646="",_xlfn.MINIFS($B$3:$B$5000,$A$3:$A$5000,$A646,$B$3:$B$5000,"&gt;"&amp;$B646)=0),NOW(),_xlfn.MINIFS($B$3:$B$5000,$A$3:$A$5000,$A646,$B$3:$B$5000,"&gt;"&amp;$B646))</f>
        <v>46279.5987643077</v>
      </c>
    </row>
    <row r="647" customFormat="false" ht="15" hidden="false" customHeight="true" outlineLevel="0" collapsed="false">
      <c r="A647" s="42"/>
      <c r="B647" s="42"/>
      <c r="C647" s="42"/>
      <c r="D647" s="42"/>
      <c r="E647" s="42"/>
      <c r="F647" s="51" t="n">
        <f aca="false">IF(OR(C647="",D647="",E647="",E647=0),0,C647*D647/E647)</f>
        <v>0</v>
      </c>
      <c r="G647" s="42"/>
      <c r="H647" s="49" t="n">
        <f aca="true">IF(OR($A647="",_xlfn.MINIFS($B$3:$B$5000,$A$3:$A$5000,$A647,$B$3:$B$5000,"&gt;"&amp;$B647)=0),NOW(),_xlfn.MINIFS($B$3:$B$5000,$A$3:$A$5000,$A647,$B$3:$B$5000,"&gt;"&amp;$B647))</f>
        <v>46279.5987643077</v>
      </c>
    </row>
    <row r="648" customFormat="false" ht="15" hidden="false" customHeight="true" outlineLevel="0" collapsed="false">
      <c r="A648" s="42"/>
      <c r="B648" s="42"/>
      <c r="C648" s="42"/>
      <c r="D648" s="42"/>
      <c r="E648" s="42"/>
      <c r="F648" s="51" t="n">
        <f aca="false">IF(OR(C648="",D648="",E648="",E648=0),0,C648*D648/E648)</f>
        <v>0</v>
      </c>
      <c r="G648" s="42"/>
      <c r="H648" s="49" t="n">
        <f aca="true">IF(OR($A648="",_xlfn.MINIFS($B$3:$B$5000,$A$3:$A$5000,$A648,$B$3:$B$5000,"&gt;"&amp;$B648)=0),NOW(),_xlfn.MINIFS($B$3:$B$5000,$A$3:$A$5000,$A648,$B$3:$B$5000,"&gt;"&amp;$B648))</f>
        <v>46279.5987643078</v>
      </c>
    </row>
    <row r="649" customFormat="false" ht="15" hidden="false" customHeight="true" outlineLevel="0" collapsed="false">
      <c r="A649" s="42"/>
      <c r="B649" s="42"/>
      <c r="C649" s="42"/>
      <c r="D649" s="42"/>
      <c r="E649" s="42"/>
      <c r="F649" s="51" t="n">
        <f aca="false">IF(OR(C649="",D649="",E649="",E649=0),0,C649*D649/E649)</f>
        <v>0</v>
      </c>
      <c r="G649" s="42"/>
      <c r="H649" s="49" t="n">
        <f aca="true">IF(OR($A649="",_xlfn.MINIFS($B$3:$B$5000,$A$3:$A$5000,$A649,$B$3:$B$5000,"&gt;"&amp;$B649)=0),NOW(),_xlfn.MINIFS($B$3:$B$5000,$A$3:$A$5000,$A649,$B$3:$B$5000,"&gt;"&amp;$B649))</f>
        <v>46279.5987643078</v>
      </c>
    </row>
    <row r="650" customFormat="false" ht="15" hidden="false" customHeight="true" outlineLevel="0" collapsed="false">
      <c r="A650" s="42"/>
      <c r="B650" s="42"/>
      <c r="C650" s="42"/>
      <c r="D650" s="42"/>
      <c r="E650" s="42"/>
      <c r="F650" s="51" t="n">
        <f aca="false">IF(OR(C650="",D650="",E650="",E650=0),0,C650*D650/E650)</f>
        <v>0</v>
      </c>
      <c r="G650" s="42"/>
      <c r="H650" s="49" t="n">
        <f aca="true">IF(OR($A650="",_xlfn.MINIFS($B$3:$B$5000,$A$3:$A$5000,$A650,$B$3:$B$5000,"&gt;"&amp;$B650)=0),NOW(),_xlfn.MINIFS($B$3:$B$5000,$A$3:$A$5000,$A650,$B$3:$B$5000,"&gt;"&amp;$B650))</f>
        <v>46279.5987643079</v>
      </c>
    </row>
    <row r="651" customFormat="false" ht="15" hidden="false" customHeight="true" outlineLevel="0" collapsed="false">
      <c r="A651" s="42"/>
      <c r="B651" s="42"/>
      <c r="C651" s="42"/>
      <c r="D651" s="42"/>
      <c r="E651" s="42"/>
      <c r="F651" s="51" t="n">
        <f aca="false">IF(OR(C651="",D651="",E651="",E651=0),0,C651*D651/E651)</f>
        <v>0</v>
      </c>
      <c r="G651" s="42"/>
      <c r="H651" s="49" t="n">
        <f aca="true">IF(OR($A651="",_xlfn.MINIFS($B$3:$B$5000,$A$3:$A$5000,$A651,$B$3:$B$5000,"&gt;"&amp;$B651)=0),NOW(),_xlfn.MINIFS($B$3:$B$5000,$A$3:$A$5000,$A651,$B$3:$B$5000,"&gt;"&amp;$B651))</f>
        <v>46279.5987643079</v>
      </c>
    </row>
    <row r="652" customFormat="false" ht="15" hidden="false" customHeight="true" outlineLevel="0" collapsed="false">
      <c r="A652" s="42"/>
      <c r="B652" s="42"/>
      <c r="C652" s="42"/>
      <c r="D652" s="42"/>
      <c r="E652" s="42"/>
      <c r="F652" s="51" t="n">
        <f aca="false">IF(OR(C652="",D652="",E652="",E652=0),0,C652*D652/E652)</f>
        <v>0</v>
      </c>
      <c r="G652" s="42"/>
      <c r="H652" s="49" t="n">
        <f aca="true">IF(OR($A652="",_xlfn.MINIFS($B$3:$B$5000,$A$3:$A$5000,$A652,$B$3:$B$5000,"&gt;"&amp;$B652)=0),NOW(),_xlfn.MINIFS($B$3:$B$5000,$A$3:$A$5000,$A652,$B$3:$B$5000,"&gt;"&amp;$B652))</f>
        <v>46279.598764308</v>
      </c>
    </row>
    <row r="653" customFormat="false" ht="15" hidden="false" customHeight="true" outlineLevel="0" collapsed="false">
      <c r="A653" s="42"/>
      <c r="B653" s="42"/>
      <c r="C653" s="42"/>
      <c r="D653" s="42"/>
      <c r="E653" s="42"/>
      <c r="F653" s="51" t="n">
        <f aca="false">IF(OR(C653="",D653="",E653="",E653=0),0,C653*D653/E653)</f>
        <v>0</v>
      </c>
      <c r="G653" s="42"/>
      <c r="H653" s="49" t="n">
        <f aca="true">IF(OR($A653="",_xlfn.MINIFS($B$3:$B$5000,$A$3:$A$5000,$A653,$B$3:$B$5000,"&gt;"&amp;$B653)=0),NOW(),_xlfn.MINIFS($B$3:$B$5000,$A$3:$A$5000,$A653,$B$3:$B$5000,"&gt;"&amp;$B653))</f>
        <v>46279.598764308</v>
      </c>
    </row>
    <row r="654" customFormat="false" ht="15" hidden="false" customHeight="true" outlineLevel="0" collapsed="false">
      <c r="A654" s="42"/>
      <c r="B654" s="42"/>
      <c r="C654" s="42"/>
      <c r="D654" s="42"/>
      <c r="E654" s="42"/>
      <c r="F654" s="51" t="n">
        <f aca="false">IF(OR(C654="",D654="",E654="",E654=0),0,C654*D654/E654)</f>
        <v>0</v>
      </c>
      <c r="G654" s="42"/>
      <c r="H654" s="49" t="n">
        <f aca="true">IF(OR($A654="",_xlfn.MINIFS($B$3:$B$5000,$A$3:$A$5000,$A654,$B$3:$B$5000,"&gt;"&amp;$B654)=0),NOW(),_xlfn.MINIFS($B$3:$B$5000,$A$3:$A$5000,$A654,$B$3:$B$5000,"&gt;"&amp;$B654))</f>
        <v>46279.5987643081</v>
      </c>
    </row>
    <row r="655" customFormat="false" ht="15" hidden="false" customHeight="true" outlineLevel="0" collapsed="false">
      <c r="A655" s="42"/>
      <c r="B655" s="42"/>
      <c r="C655" s="42"/>
      <c r="D655" s="42"/>
      <c r="E655" s="42"/>
      <c r="F655" s="51" t="n">
        <f aca="false">IF(OR(C655="",D655="",E655="",E655=0),0,C655*D655/E655)</f>
        <v>0</v>
      </c>
      <c r="G655" s="42"/>
      <c r="H655" s="49" t="n">
        <f aca="true">IF(OR($A655="",_xlfn.MINIFS($B$3:$B$5000,$A$3:$A$5000,$A655,$B$3:$B$5000,"&gt;"&amp;$B655)=0),NOW(),_xlfn.MINIFS($B$3:$B$5000,$A$3:$A$5000,$A655,$B$3:$B$5000,"&gt;"&amp;$B655))</f>
        <v>46279.5987643081</v>
      </c>
    </row>
    <row r="656" customFormat="false" ht="15" hidden="false" customHeight="true" outlineLevel="0" collapsed="false">
      <c r="A656" s="42"/>
      <c r="B656" s="42"/>
      <c r="C656" s="42"/>
      <c r="D656" s="42"/>
      <c r="E656" s="42"/>
      <c r="F656" s="51" t="n">
        <f aca="false">IF(OR(C656="",D656="",E656="",E656=0),0,C656*D656/E656)</f>
        <v>0</v>
      </c>
      <c r="G656" s="42"/>
      <c r="H656" s="49" t="n">
        <f aca="true">IF(OR($A656="",_xlfn.MINIFS($B$3:$B$5000,$A$3:$A$5000,$A656,$B$3:$B$5000,"&gt;"&amp;$B656)=0),NOW(),_xlfn.MINIFS($B$3:$B$5000,$A$3:$A$5000,$A656,$B$3:$B$5000,"&gt;"&amp;$B656))</f>
        <v>46279.5987643082</v>
      </c>
    </row>
    <row r="657" customFormat="false" ht="15" hidden="false" customHeight="true" outlineLevel="0" collapsed="false">
      <c r="A657" s="42"/>
      <c r="B657" s="42"/>
      <c r="C657" s="42"/>
      <c r="D657" s="42"/>
      <c r="E657" s="42"/>
      <c r="F657" s="51" t="n">
        <f aca="false">IF(OR(C657="",D657="",E657="",E657=0),0,C657*D657/E657)</f>
        <v>0</v>
      </c>
      <c r="G657" s="42"/>
      <c r="H657" s="49" t="n">
        <f aca="true">IF(OR($A657="",_xlfn.MINIFS($B$3:$B$5000,$A$3:$A$5000,$A657,$B$3:$B$5000,"&gt;"&amp;$B657)=0),NOW(),_xlfn.MINIFS($B$3:$B$5000,$A$3:$A$5000,$A657,$B$3:$B$5000,"&gt;"&amp;$B657))</f>
        <v>46279.5987643083</v>
      </c>
    </row>
    <row r="658" customFormat="false" ht="15" hidden="false" customHeight="true" outlineLevel="0" collapsed="false">
      <c r="A658" s="42"/>
      <c r="B658" s="42"/>
      <c r="C658" s="42"/>
      <c r="D658" s="42"/>
      <c r="E658" s="42"/>
      <c r="F658" s="51" t="n">
        <f aca="false">IF(OR(C658="",D658="",E658="",E658=0),0,C658*D658/E658)</f>
        <v>0</v>
      </c>
      <c r="G658" s="42"/>
      <c r="H658" s="49" t="n">
        <f aca="true">IF(OR($A658="",_xlfn.MINIFS($B$3:$B$5000,$A$3:$A$5000,$A658,$B$3:$B$5000,"&gt;"&amp;$B658)=0),NOW(),_xlfn.MINIFS($B$3:$B$5000,$A$3:$A$5000,$A658,$B$3:$B$5000,"&gt;"&amp;$B658))</f>
        <v>46279.5987643083</v>
      </c>
    </row>
    <row r="659" customFormat="false" ht="15" hidden="false" customHeight="true" outlineLevel="0" collapsed="false">
      <c r="A659" s="42"/>
      <c r="B659" s="42"/>
      <c r="C659" s="42"/>
      <c r="D659" s="42"/>
      <c r="E659" s="42"/>
      <c r="F659" s="51" t="n">
        <f aca="false">IF(OR(C659="",D659="",E659="",E659=0),0,C659*D659/E659)</f>
        <v>0</v>
      </c>
      <c r="G659" s="42"/>
      <c r="H659" s="49" t="n">
        <f aca="true">IF(OR($A659="",_xlfn.MINIFS($B$3:$B$5000,$A$3:$A$5000,$A659,$B$3:$B$5000,"&gt;"&amp;$B659)=0),NOW(),_xlfn.MINIFS($B$3:$B$5000,$A$3:$A$5000,$A659,$B$3:$B$5000,"&gt;"&amp;$B659))</f>
        <v>46279.5987643084</v>
      </c>
    </row>
    <row r="660" customFormat="false" ht="15" hidden="false" customHeight="true" outlineLevel="0" collapsed="false">
      <c r="A660" s="42"/>
      <c r="B660" s="42"/>
      <c r="C660" s="42"/>
      <c r="D660" s="42"/>
      <c r="E660" s="42"/>
      <c r="F660" s="51" t="n">
        <f aca="false">IF(OR(C660="",D660="",E660="",E660=0),0,C660*D660/E660)</f>
        <v>0</v>
      </c>
      <c r="G660" s="42"/>
      <c r="H660" s="49" t="n">
        <f aca="true">IF(OR($A660="",_xlfn.MINIFS($B$3:$B$5000,$A$3:$A$5000,$A660,$B$3:$B$5000,"&gt;"&amp;$B660)=0),NOW(),_xlfn.MINIFS($B$3:$B$5000,$A$3:$A$5000,$A660,$B$3:$B$5000,"&gt;"&amp;$B660))</f>
        <v>46279.5987643084</v>
      </c>
    </row>
    <row r="661" customFormat="false" ht="15" hidden="false" customHeight="true" outlineLevel="0" collapsed="false">
      <c r="A661" s="42"/>
      <c r="B661" s="42"/>
      <c r="C661" s="42"/>
      <c r="D661" s="42"/>
      <c r="E661" s="42"/>
      <c r="F661" s="51" t="n">
        <f aca="false">IF(OR(C661="",D661="",E661="",E661=0),0,C661*D661/E661)</f>
        <v>0</v>
      </c>
      <c r="G661" s="42"/>
      <c r="H661" s="49" t="n">
        <f aca="true">IF(OR($A661="",_xlfn.MINIFS($B$3:$B$5000,$A$3:$A$5000,$A661,$B$3:$B$5000,"&gt;"&amp;$B661)=0),NOW(),_xlfn.MINIFS($B$3:$B$5000,$A$3:$A$5000,$A661,$B$3:$B$5000,"&gt;"&amp;$B661))</f>
        <v>46279.5987643085</v>
      </c>
    </row>
    <row r="662" customFormat="false" ht="15" hidden="false" customHeight="true" outlineLevel="0" collapsed="false">
      <c r="A662" s="42"/>
      <c r="B662" s="42"/>
      <c r="C662" s="42"/>
      <c r="D662" s="42"/>
      <c r="E662" s="42"/>
      <c r="F662" s="51" t="n">
        <f aca="false">IF(OR(C662="",D662="",E662="",E662=0),0,C662*D662/E662)</f>
        <v>0</v>
      </c>
      <c r="G662" s="42"/>
      <c r="H662" s="49" t="n">
        <f aca="true">IF(OR($A662="",_xlfn.MINIFS($B$3:$B$5000,$A$3:$A$5000,$A662,$B$3:$B$5000,"&gt;"&amp;$B662)=0),NOW(),_xlfn.MINIFS($B$3:$B$5000,$A$3:$A$5000,$A662,$B$3:$B$5000,"&gt;"&amp;$B662))</f>
        <v>46279.5987643085</v>
      </c>
    </row>
    <row r="663" customFormat="false" ht="15" hidden="false" customHeight="true" outlineLevel="0" collapsed="false">
      <c r="A663" s="42"/>
      <c r="B663" s="42"/>
      <c r="C663" s="42"/>
      <c r="D663" s="42"/>
      <c r="E663" s="42"/>
      <c r="F663" s="51" t="n">
        <f aca="false">IF(OR(C663="",D663="",E663="",E663=0),0,C663*D663/E663)</f>
        <v>0</v>
      </c>
      <c r="G663" s="42"/>
      <c r="H663" s="49" t="n">
        <f aca="true">IF(OR($A663="",_xlfn.MINIFS($B$3:$B$5000,$A$3:$A$5000,$A663,$B$3:$B$5000,"&gt;"&amp;$B663)=0),NOW(),_xlfn.MINIFS($B$3:$B$5000,$A$3:$A$5000,$A663,$B$3:$B$5000,"&gt;"&amp;$B663))</f>
        <v>46279.5987643086</v>
      </c>
    </row>
    <row r="664" customFormat="false" ht="15" hidden="false" customHeight="true" outlineLevel="0" collapsed="false">
      <c r="A664" s="42"/>
      <c r="B664" s="42"/>
      <c r="C664" s="42"/>
      <c r="D664" s="42"/>
      <c r="E664" s="42"/>
      <c r="F664" s="51" t="n">
        <f aca="false">IF(OR(C664="",D664="",E664="",E664=0),0,C664*D664/E664)</f>
        <v>0</v>
      </c>
      <c r="G664" s="42"/>
      <c r="H664" s="49" t="n">
        <f aca="true">IF(OR($A664="",_xlfn.MINIFS($B$3:$B$5000,$A$3:$A$5000,$A664,$B$3:$B$5000,"&gt;"&amp;$B664)=0),NOW(),_xlfn.MINIFS($B$3:$B$5000,$A$3:$A$5000,$A664,$B$3:$B$5000,"&gt;"&amp;$B664))</f>
        <v>46279.5987643086</v>
      </c>
    </row>
    <row r="665" customFormat="false" ht="15" hidden="false" customHeight="true" outlineLevel="0" collapsed="false">
      <c r="A665" s="42"/>
      <c r="B665" s="42"/>
      <c r="C665" s="42"/>
      <c r="D665" s="42"/>
      <c r="E665" s="42"/>
      <c r="F665" s="51" t="n">
        <f aca="false">IF(OR(C665="",D665="",E665="",E665=0),0,C665*D665/E665)</f>
        <v>0</v>
      </c>
      <c r="G665" s="42"/>
      <c r="H665" s="49" t="n">
        <f aca="true">IF(OR($A665="",_xlfn.MINIFS($B$3:$B$5000,$A$3:$A$5000,$A665,$B$3:$B$5000,"&gt;"&amp;$B665)=0),NOW(),_xlfn.MINIFS($B$3:$B$5000,$A$3:$A$5000,$A665,$B$3:$B$5000,"&gt;"&amp;$B665))</f>
        <v>46279.5987643087</v>
      </c>
    </row>
    <row r="666" customFormat="false" ht="15" hidden="false" customHeight="true" outlineLevel="0" collapsed="false">
      <c r="A666" s="42"/>
      <c r="B666" s="42"/>
      <c r="C666" s="42"/>
      <c r="D666" s="42"/>
      <c r="E666" s="42"/>
      <c r="F666" s="51" t="n">
        <f aca="false">IF(OR(C666="",D666="",E666="",E666=0),0,C666*D666/E666)</f>
        <v>0</v>
      </c>
      <c r="G666" s="42"/>
      <c r="H666" s="49" t="n">
        <f aca="true">IF(OR($A666="",_xlfn.MINIFS($B$3:$B$5000,$A$3:$A$5000,$A666,$B$3:$B$5000,"&gt;"&amp;$B666)=0),NOW(),_xlfn.MINIFS($B$3:$B$5000,$A$3:$A$5000,$A666,$B$3:$B$5000,"&gt;"&amp;$B666))</f>
        <v>46279.5987643087</v>
      </c>
    </row>
    <row r="667" customFormat="false" ht="15" hidden="false" customHeight="true" outlineLevel="0" collapsed="false">
      <c r="A667" s="42"/>
      <c r="B667" s="42"/>
      <c r="C667" s="42"/>
      <c r="D667" s="42"/>
      <c r="E667" s="42"/>
      <c r="F667" s="51" t="n">
        <f aca="false">IF(OR(C667="",D667="",E667="",E667=0),0,C667*D667/E667)</f>
        <v>0</v>
      </c>
      <c r="G667" s="42"/>
      <c r="H667" s="49" t="n">
        <f aca="true">IF(OR($A667="",_xlfn.MINIFS($B$3:$B$5000,$A$3:$A$5000,$A667,$B$3:$B$5000,"&gt;"&amp;$B667)=0),NOW(),_xlfn.MINIFS($B$3:$B$5000,$A$3:$A$5000,$A667,$B$3:$B$5000,"&gt;"&amp;$B667))</f>
        <v>46279.5987643088</v>
      </c>
    </row>
    <row r="668" customFormat="false" ht="15" hidden="false" customHeight="true" outlineLevel="0" collapsed="false">
      <c r="A668" s="42"/>
      <c r="B668" s="42"/>
      <c r="C668" s="42"/>
      <c r="D668" s="42"/>
      <c r="E668" s="42"/>
      <c r="F668" s="51" t="n">
        <f aca="false">IF(OR(C668="",D668="",E668="",E668=0),0,C668*D668/E668)</f>
        <v>0</v>
      </c>
      <c r="G668" s="42"/>
      <c r="H668" s="49" t="n">
        <f aca="true">IF(OR($A668="",_xlfn.MINIFS($B$3:$B$5000,$A$3:$A$5000,$A668,$B$3:$B$5000,"&gt;"&amp;$B668)=0),NOW(),_xlfn.MINIFS($B$3:$B$5000,$A$3:$A$5000,$A668,$B$3:$B$5000,"&gt;"&amp;$B668))</f>
        <v>46279.5987643088</v>
      </c>
    </row>
    <row r="669" customFormat="false" ht="15" hidden="false" customHeight="true" outlineLevel="0" collapsed="false">
      <c r="A669" s="42"/>
      <c r="B669" s="42"/>
      <c r="C669" s="42"/>
      <c r="D669" s="42"/>
      <c r="E669" s="42"/>
      <c r="F669" s="51" t="n">
        <f aca="false">IF(OR(C669="",D669="",E669="",E669=0),0,C669*D669/E669)</f>
        <v>0</v>
      </c>
      <c r="G669" s="42"/>
      <c r="H669" s="49" t="n">
        <f aca="true">IF(OR($A669="",_xlfn.MINIFS($B$3:$B$5000,$A$3:$A$5000,$A669,$B$3:$B$5000,"&gt;"&amp;$B669)=0),NOW(),_xlfn.MINIFS($B$3:$B$5000,$A$3:$A$5000,$A669,$B$3:$B$5000,"&gt;"&amp;$B669))</f>
        <v>46279.5987643089</v>
      </c>
    </row>
    <row r="670" customFormat="false" ht="15" hidden="false" customHeight="true" outlineLevel="0" collapsed="false">
      <c r="A670" s="42"/>
      <c r="B670" s="42"/>
      <c r="C670" s="42"/>
      <c r="D670" s="42"/>
      <c r="E670" s="42"/>
      <c r="F670" s="51" t="n">
        <f aca="false">IF(OR(C670="",D670="",E670="",E670=0),0,C670*D670/E670)</f>
        <v>0</v>
      </c>
      <c r="G670" s="42"/>
      <c r="H670" s="49" t="n">
        <f aca="true">IF(OR($A670="",_xlfn.MINIFS($B$3:$B$5000,$A$3:$A$5000,$A670,$B$3:$B$5000,"&gt;"&amp;$B670)=0),NOW(),_xlfn.MINIFS($B$3:$B$5000,$A$3:$A$5000,$A670,$B$3:$B$5000,"&gt;"&amp;$B670))</f>
        <v>46279.5987643089</v>
      </c>
    </row>
    <row r="671" customFormat="false" ht="15" hidden="false" customHeight="true" outlineLevel="0" collapsed="false">
      <c r="A671" s="42"/>
      <c r="B671" s="42"/>
      <c r="C671" s="42"/>
      <c r="D671" s="42"/>
      <c r="E671" s="42"/>
      <c r="F671" s="51" t="n">
        <f aca="false">IF(OR(C671="",D671="",E671="",E671=0),0,C671*D671/E671)</f>
        <v>0</v>
      </c>
      <c r="G671" s="42"/>
      <c r="H671" s="49" t="n">
        <f aca="true">IF(OR($A671="",_xlfn.MINIFS($B$3:$B$5000,$A$3:$A$5000,$A671,$B$3:$B$5000,"&gt;"&amp;$B671)=0),NOW(),_xlfn.MINIFS($B$3:$B$5000,$A$3:$A$5000,$A671,$B$3:$B$5000,"&gt;"&amp;$B671))</f>
        <v>46279.598764309</v>
      </c>
    </row>
    <row r="672" customFormat="false" ht="15" hidden="false" customHeight="true" outlineLevel="0" collapsed="false">
      <c r="A672" s="42"/>
      <c r="B672" s="42"/>
      <c r="C672" s="42"/>
      <c r="D672" s="42"/>
      <c r="E672" s="42"/>
      <c r="F672" s="51" t="n">
        <f aca="false">IF(OR(C672="",D672="",E672="",E672=0),0,C672*D672/E672)</f>
        <v>0</v>
      </c>
      <c r="G672" s="42"/>
      <c r="H672" s="49" t="n">
        <f aca="true">IF(OR($A672="",_xlfn.MINIFS($B$3:$B$5000,$A$3:$A$5000,$A672,$B$3:$B$5000,"&gt;"&amp;$B672)=0),NOW(),_xlfn.MINIFS($B$3:$B$5000,$A$3:$A$5000,$A672,$B$3:$B$5000,"&gt;"&amp;$B672))</f>
        <v>46279.598764309</v>
      </c>
    </row>
    <row r="673" customFormat="false" ht="15" hidden="false" customHeight="true" outlineLevel="0" collapsed="false">
      <c r="A673" s="42"/>
      <c r="B673" s="42"/>
      <c r="C673" s="42"/>
      <c r="D673" s="42"/>
      <c r="E673" s="42"/>
      <c r="F673" s="51" t="n">
        <f aca="false">IF(OR(C673="",D673="",E673="",E673=0),0,C673*D673/E673)</f>
        <v>0</v>
      </c>
      <c r="G673" s="42"/>
      <c r="H673" s="49" t="n">
        <f aca="true">IF(OR($A673="",_xlfn.MINIFS($B$3:$B$5000,$A$3:$A$5000,$A673,$B$3:$B$5000,"&gt;"&amp;$B673)=0),NOW(),_xlfn.MINIFS($B$3:$B$5000,$A$3:$A$5000,$A673,$B$3:$B$5000,"&gt;"&amp;$B673))</f>
        <v>46279.5987643091</v>
      </c>
    </row>
    <row r="674" customFormat="false" ht="15" hidden="false" customHeight="true" outlineLevel="0" collapsed="false">
      <c r="A674" s="42"/>
      <c r="B674" s="42"/>
      <c r="C674" s="42"/>
      <c r="D674" s="42"/>
      <c r="E674" s="42"/>
      <c r="F674" s="51" t="n">
        <f aca="false">IF(OR(C674="",D674="",E674="",E674=0),0,C674*D674/E674)</f>
        <v>0</v>
      </c>
      <c r="G674" s="42"/>
      <c r="H674" s="49" t="n">
        <f aca="true">IF(OR($A674="",_xlfn.MINIFS($B$3:$B$5000,$A$3:$A$5000,$A674,$B$3:$B$5000,"&gt;"&amp;$B674)=0),NOW(),_xlfn.MINIFS($B$3:$B$5000,$A$3:$A$5000,$A674,$B$3:$B$5000,"&gt;"&amp;$B674))</f>
        <v>46279.5987643091</v>
      </c>
    </row>
    <row r="675" customFormat="false" ht="15" hidden="false" customHeight="true" outlineLevel="0" collapsed="false">
      <c r="A675" s="42"/>
      <c r="B675" s="42"/>
      <c r="C675" s="42"/>
      <c r="D675" s="42"/>
      <c r="E675" s="42"/>
      <c r="F675" s="51" t="n">
        <f aca="false">IF(OR(C675="",D675="",E675="",E675=0),0,C675*D675/E675)</f>
        <v>0</v>
      </c>
      <c r="G675" s="42"/>
      <c r="H675" s="49" t="n">
        <f aca="true">IF(OR($A675="",_xlfn.MINIFS($B$3:$B$5000,$A$3:$A$5000,$A675,$B$3:$B$5000,"&gt;"&amp;$B675)=0),NOW(),_xlfn.MINIFS($B$3:$B$5000,$A$3:$A$5000,$A675,$B$3:$B$5000,"&gt;"&amp;$B675))</f>
        <v>46279.5987643092</v>
      </c>
    </row>
    <row r="676" customFormat="false" ht="15" hidden="false" customHeight="true" outlineLevel="0" collapsed="false">
      <c r="A676" s="42"/>
      <c r="B676" s="42"/>
      <c r="C676" s="42"/>
      <c r="D676" s="42"/>
      <c r="E676" s="42"/>
      <c r="F676" s="51" t="n">
        <f aca="false">IF(OR(C676="",D676="",E676="",E676=0),0,C676*D676/E676)</f>
        <v>0</v>
      </c>
      <c r="G676" s="42"/>
      <c r="H676" s="49" t="n">
        <f aca="true">IF(OR($A676="",_xlfn.MINIFS($B$3:$B$5000,$A$3:$A$5000,$A676,$B$3:$B$5000,"&gt;"&amp;$B676)=0),NOW(),_xlfn.MINIFS($B$3:$B$5000,$A$3:$A$5000,$A676,$B$3:$B$5000,"&gt;"&amp;$B676))</f>
        <v>46279.5987643092</v>
      </c>
    </row>
    <row r="677" customFormat="false" ht="15" hidden="false" customHeight="true" outlineLevel="0" collapsed="false">
      <c r="A677" s="42"/>
      <c r="B677" s="42"/>
      <c r="C677" s="42"/>
      <c r="D677" s="42"/>
      <c r="E677" s="42"/>
      <c r="F677" s="51" t="n">
        <f aca="false">IF(OR(C677="",D677="",E677="",E677=0),0,C677*D677/E677)</f>
        <v>0</v>
      </c>
      <c r="G677" s="42"/>
      <c r="H677" s="49" t="n">
        <f aca="true">IF(OR($A677="",_xlfn.MINIFS($B$3:$B$5000,$A$3:$A$5000,$A677,$B$3:$B$5000,"&gt;"&amp;$B677)=0),NOW(),_xlfn.MINIFS($B$3:$B$5000,$A$3:$A$5000,$A677,$B$3:$B$5000,"&gt;"&amp;$B677))</f>
        <v>46279.5987643093</v>
      </c>
    </row>
    <row r="678" customFormat="false" ht="15" hidden="false" customHeight="true" outlineLevel="0" collapsed="false">
      <c r="A678" s="42"/>
      <c r="B678" s="42"/>
      <c r="C678" s="42"/>
      <c r="D678" s="42"/>
      <c r="E678" s="42"/>
      <c r="F678" s="51" t="n">
        <f aca="false">IF(OR(C678="",D678="",E678="",E678=0),0,C678*D678/E678)</f>
        <v>0</v>
      </c>
      <c r="G678" s="42"/>
      <c r="H678" s="49" t="n">
        <f aca="true">IF(OR($A678="",_xlfn.MINIFS($B$3:$B$5000,$A$3:$A$5000,$A678,$B$3:$B$5000,"&gt;"&amp;$B678)=0),NOW(),_xlfn.MINIFS($B$3:$B$5000,$A$3:$A$5000,$A678,$B$3:$B$5000,"&gt;"&amp;$B678))</f>
        <v>46279.5987643093</v>
      </c>
    </row>
    <row r="679" customFormat="false" ht="15" hidden="false" customHeight="true" outlineLevel="0" collapsed="false">
      <c r="A679" s="42"/>
      <c r="B679" s="42"/>
      <c r="C679" s="42"/>
      <c r="D679" s="42"/>
      <c r="E679" s="42"/>
      <c r="F679" s="51" t="n">
        <f aca="false">IF(OR(C679="",D679="",E679="",E679=0),0,C679*D679/E679)</f>
        <v>0</v>
      </c>
      <c r="G679" s="42"/>
      <c r="H679" s="49" t="n">
        <f aca="true">IF(OR($A679="",_xlfn.MINIFS($B$3:$B$5000,$A$3:$A$5000,$A679,$B$3:$B$5000,"&gt;"&amp;$B679)=0),NOW(),_xlfn.MINIFS($B$3:$B$5000,$A$3:$A$5000,$A679,$B$3:$B$5000,"&gt;"&amp;$B679))</f>
        <v>46279.5987643094</v>
      </c>
    </row>
    <row r="680" customFormat="false" ht="15" hidden="false" customHeight="true" outlineLevel="0" collapsed="false">
      <c r="A680" s="42"/>
      <c r="B680" s="42"/>
      <c r="C680" s="42"/>
      <c r="D680" s="42"/>
      <c r="E680" s="42"/>
      <c r="F680" s="51" t="n">
        <f aca="false">IF(OR(C680="",D680="",E680="",E680=0),0,C680*D680/E680)</f>
        <v>0</v>
      </c>
      <c r="G680" s="42"/>
      <c r="H680" s="49" t="n">
        <f aca="true">IF(OR($A680="",_xlfn.MINIFS($B$3:$B$5000,$A$3:$A$5000,$A680,$B$3:$B$5000,"&gt;"&amp;$B680)=0),NOW(),_xlfn.MINIFS($B$3:$B$5000,$A$3:$A$5000,$A680,$B$3:$B$5000,"&gt;"&amp;$B680))</f>
        <v>46279.5987643094</v>
      </c>
    </row>
    <row r="681" customFormat="false" ht="15" hidden="false" customHeight="true" outlineLevel="0" collapsed="false">
      <c r="A681" s="42"/>
      <c r="B681" s="42"/>
      <c r="C681" s="42"/>
      <c r="D681" s="42"/>
      <c r="E681" s="42"/>
      <c r="F681" s="51" t="n">
        <f aca="false">IF(OR(C681="",D681="",E681="",E681=0),0,C681*D681/E681)</f>
        <v>0</v>
      </c>
      <c r="G681" s="42"/>
      <c r="H681" s="49" t="n">
        <f aca="true">IF(OR($A681="",_xlfn.MINIFS($B$3:$B$5000,$A$3:$A$5000,$A681,$B$3:$B$5000,"&gt;"&amp;$B681)=0),NOW(),_xlfn.MINIFS($B$3:$B$5000,$A$3:$A$5000,$A681,$B$3:$B$5000,"&gt;"&amp;$B681))</f>
        <v>46279.5987643095</v>
      </c>
    </row>
    <row r="682" customFormat="false" ht="15" hidden="false" customHeight="true" outlineLevel="0" collapsed="false">
      <c r="A682" s="42"/>
      <c r="B682" s="42"/>
      <c r="C682" s="42"/>
      <c r="D682" s="42"/>
      <c r="E682" s="42"/>
      <c r="F682" s="51" t="n">
        <f aca="false">IF(OR(C682="",D682="",E682="",E682=0),0,C682*D682/E682)</f>
        <v>0</v>
      </c>
      <c r="G682" s="42"/>
      <c r="H682" s="49" t="n">
        <f aca="true">IF(OR($A682="",_xlfn.MINIFS($B$3:$B$5000,$A$3:$A$5000,$A682,$B$3:$B$5000,"&gt;"&amp;$B682)=0),NOW(),_xlfn.MINIFS($B$3:$B$5000,$A$3:$A$5000,$A682,$B$3:$B$5000,"&gt;"&amp;$B682))</f>
        <v>46279.5987643095</v>
      </c>
    </row>
    <row r="683" customFormat="false" ht="15" hidden="false" customHeight="true" outlineLevel="0" collapsed="false">
      <c r="A683" s="42"/>
      <c r="B683" s="42"/>
      <c r="C683" s="42"/>
      <c r="D683" s="42"/>
      <c r="E683" s="42"/>
      <c r="F683" s="51" t="n">
        <f aca="false">IF(OR(C683="",D683="",E683="",E683=0),0,C683*D683/E683)</f>
        <v>0</v>
      </c>
      <c r="G683" s="42"/>
      <c r="H683" s="49" t="n">
        <f aca="true">IF(OR($A683="",_xlfn.MINIFS($B$3:$B$5000,$A$3:$A$5000,$A683,$B$3:$B$5000,"&gt;"&amp;$B683)=0),NOW(),_xlfn.MINIFS($B$3:$B$5000,$A$3:$A$5000,$A683,$B$3:$B$5000,"&gt;"&amp;$B683))</f>
        <v>46279.5987643096</v>
      </c>
    </row>
    <row r="684" customFormat="false" ht="15" hidden="false" customHeight="true" outlineLevel="0" collapsed="false">
      <c r="A684" s="42"/>
      <c r="B684" s="42"/>
      <c r="C684" s="42"/>
      <c r="D684" s="42"/>
      <c r="E684" s="42"/>
      <c r="F684" s="51" t="n">
        <f aca="false">IF(OR(C684="",D684="",E684="",E684=0),0,C684*D684/E684)</f>
        <v>0</v>
      </c>
      <c r="G684" s="42"/>
      <c r="H684" s="49" t="n">
        <f aca="true">IF(OR($A684="",_xlfn.MINIFS($B$3:$B$5000,$A$3:$A$5000,$A684,$B$3:$B$5000,"&gt;"&amp;$B684)=0),NOW(),_xlfn.MINIFS($B$3:$B$5000,$A$3:$A$5000,$A684,$B$3:$B$5000,"&gt;"&amp;$B684))</f>
        <v>46279.5987643096</v>
      </c>
    </row>
    <row r="685" customFormat="false" ht="15" hidden="false" customHeight="true" outlineLevel="0" collapsed="false">
      <c r="A685" s="42"/>
      <c r="B685" s="42"/>
      <c r="C685" s="42"/>
      <c r="D685" s="42"/>
      <c r="E685" s="42"/>
      <c r="F685" s="51" t="n">
        <f aca="false">IF(OR(C685="",D685="",E685="",E685=0),0,C685*D685/E685)</f>
        <v>0</v>
      </c>
      <c r="G685" s="42"/>
      <c r="H685" s="49" t="n">
        <f aca="true">IF(OR($A685="",_xlfn.MINIFS($B$3:$B$5000,$A$3:$A$5000,$A685,$B$3:$B$5000,"&gt;"&amp;$B685)=0),NOW(),_xlfn.MINIFS($B$3:$B$5000,$A$3:$A$5000,$A685,$B$3:$B$5000,"&gt;"&amp;$B685))</f>
        <v>46279.5987643097</v>
      </c>
    </row>
    <row r="686" customFormat="false" ht="15" hidden="false" customHeight="true" outlineLevel="0" collapsed="false">
      <c r="A686" s="42"/>
      <c r="B686" s="42"/>
      <c r="C686" s="42"/>
      <c r="D686" s="42"/>
      <c r="E686" s="42"/>
      <c r="F686" s="51" t="n">
        <f aca="false">IF(OR(C686="",D686="",E686="",E686=0),0,C686*D686/E686)</f>
        <v>0</v>
      </c>
      <c r="G686" s="42"/>
      <c r="H686" s="49" t="n">
        <f aca="true">IF(OR($A686="",_xlfn.MINIFS($B$3:$B$5000,$A$3:$A$5000,$A686,$B$3:$B$5000,"&gt;"&amp;$B686)=0),NOW(),_xlfn.MINIFS($B$3:$B$5000,$A$3:$A$5000,$A686,$B$3:$B$5000,"&gt;"&amp;$B686))</f>
        <v>46279.5987643097</v>
      </c>
    </row>
    <row r="687" customFormat="false" ht="15" hidden="false" customHeight="true" outlineLevel="0" collapsed="false">
      <c r="A687" s="42"/>
      <c r="B687" s="42"/>
      <c r="C687" s="42"/>
      <c r="D687" s="42"/>
      <c r="E687" s="42"/>
      <c r="F687" s="51" t="n">
        <f aca="false">IF(OR(C687="",D687="",E687="",E687=0),0,C687*D687/E687)</f>
        <v>0</v>
      </c>
      <c r="G687" s="42"/>
      <c r="H687" s="49" t="n">
        <f aca="true">IF(OR($A687="",_xlfn.MINIFS($B$3:$B$5000,$A$3:$A$5000,$A687,$B$3:$B$5000,"&gt;"&amp;$B687)=0),NOW(),_xlfn.MINIFS($B$3:$B$5000,$A$3:$A$5000,$A687,$B$3:$B$5000,"&gt;"&amp;$B687))</f>
        <v>46279.5987643098</v>
      </c>
    </row>
    <row r="688" customFormat="false" ht="15" hidden="false" customHeight="true" outlineLevel="0" collapsed="false">
      <c r="A688" s="42"/>
      <c r="B688" s="42"/>
      <c r="C688" s="42"/>
      <c r="D688" s="42"/>
      <c r="E688" s="42"/>
      <c r="F688" s="51" t="n">
        <f aca="false">IF(OR(C688="",D688="",E688="",E688=0),0,C688*D688/E688)</f>
        <v>0</v>
      </c>
      <c r="G688" s="42"/>
      <c r="H688" s="49" t="n">
        <f aca="true">IF(OR($A688="",_xlfn.MINIFS($B$3:$B$5000,$A$3:$A$5000,$A688,$B$3:$B$5000,"&gt;"&amp;$B688)=0),NOW(),_xlfn.MINIFS($B$3:$B$5000,$A$3:$A$5000,$A688,$B$3:$B$5000,"&gt;"&amp;$B688))</f>
        <v>46279.5987643098</v>
      </c>
    </row>
    <row r="689" customFormat="false" ht="15" hidden="false" customHeight="true" outlineLevel="0" collapsed="false">
      <c r="A689" s="42"/>
      <c r="B689" s="42"/>
      <c r="C689" s="42"/>
      <c r="D689" s="42"/>
      <c r="E689" s="42"/>
      <c r="F689" s="51" t="n">
        <f aca="false">IF(OR(C689="",D689="",E689="",E689=0),0,C689*D689/E689)</f>
        <v>0</v>
      </c>
      <c r="G689" s="42"/>
      <c r="H689" s="49" t="n">
        <f aca="true">IF(OR($A689="",_xlfn.MINIFS($B$3:$B$5000,$A$3:$A$5000,$A689,$B$3:$B$5000,"&gt;"&amp;$B689)=0),NOW(),_xlfn.MINIFS($B$3:$B$5000,$A$3:$A$5000,$A689,$B$3:$B$5000,"&gt;"&amp;$B689))</f>
        <v>46279.5987643099</v>
      </c>
    </row>
    <row r="690" customFormat="false" ht="15" hidden="false" customHeight="true" outlineLevel="0" collapsed="false">
      <c r="A690" s="42"/>
      <c r="B690" s="42"/>
      <c r="C690" s="42"/>
      <c r="D690" s="42"/>
      <c r="E690" s="42"/>
      <c r="F690" s="51" t="n">
        <f aca="false">IF(OR(C690="",D690="",E690="",E690=0),0,C690*D690/E690)</f>
        <v>0</v>
      </c>
      <c r="G690" s="42"/>
      <c r="H690" s="49" t="n">
        <f aca="true">IF(OR($A690="",_xlfn.MINIFS($B$3:$B$5000,$A$3:$A$5000,$A690,$B$3:$B$5000,"&gt;"&amp;$B690)=0),NOW(),_xlfn.MINIFS($B$3:$B$5000,$A$3:$A$5000,$A690,$B$3:$B$5000,"&gt;"&amp;$B690))</f>
        <v>46279.5987643099</v>
      </c>
    </row>
    <row r="691" customFormat="false" ht="15" hidden="false" customHeight="true" outlineLevel="0" collapsed="false">
      <c r="A691" s="42"/>
      <c r="B691" s="42"/>
      <c r="C691" s="42"/>
      <c r="D691" s="42"/>
      <c r="E691" s="42"/>
      <c r="F691" s="51" t="n">
        <f aca="false">IF(OR(C691="",D691="",E691="",E691=0),0,C691*D691/E691)</f>
        <v>0</v>
      </c>
      <c r="G691" s="42"/>
      <c r="H691" s="49" t="n">
        <f aca="true">IF(OR($A691="",_xlfn.MINIFS($B$3:$B$5000,$A$3:$A$5000,$A691,$B$3:$B$5000,"&gt;"&amp;$B691)=0),NOW(),_xlfn.MINIFS($B$3:$B$5000,$A$3:$A$5000,$A691,$B$3:$B$5000,"&gt;"&amp;$B691))</f>
        <v>46279.59876431</v>
      </c>
    </row>
    <row r="692" customFormat="false" ht="15" hidden="false" customHeight="true" outlineLevel="0" collapsed="false">
      <c r="A692" s="42"/>
      <c r="B692" s="42"/>
      <c r="C692" s="42"/>
      <c r="D692" s="42"/>
      <c r="E692" s="42"/>
      <c r="F692" s="51" t="n">
        <f aca="false">IF(OR(C692="",D692="",E692="",E692=0),0,C692*D692/E692)</f>
        <v>0</v>
      </c>
      <c r="G692" s="42"/>
      <c r="H692" s="49" t="n">
        <f aca="true">IF(OR($A692="",_xlfn.MINIFS($B$3:$B$5000,$A$3:$A$5000,$A692,$B$3:$B$5000,"&gt;"&amp;$B692)=0),NOW(),_xlfn.MINIFS($B$3:$B$5000,$A$3:$A$5000,$A692,$B$3:$B$5000,"&gt;"&amp;$B692))</f>
        <v>46279.59876431</v>
      </c>
    </row>
    <row r="693" customFormat="false" ht="15" hidden="false" customHeight="true" outlineLevel="0" collapsed="false">
      <c r="A693" s="42"/>
      <c r="B693" s="42"/>
      <c r="C693" s="42"/>
      <c r="D693" s="42"/>
      <c r="E693" s="42"/>
      <c r="F693" s="51" t="n">
        <f aca="false">IF(OR(C693="",D693="",E693="",E693=0),0,C693*D693/E693)</f>
        <v>0</v>
      </c>
      <c r="G693" s="42"/>
      <c r="H693" s="49" t="n">
        <f aca="true">IF(OR($A693="",_xlfn.MINIFS($B$3:$B$5000,$A$3:$A$5000,$A693,$B$3:$B$5000,"&gt;"&amp;$B693)=0),NOW(),_xlfn.MINIFS($B$3:$B$5000,$A$3:$A$5000,$A693,$B$3:$B$5000,"&gt;"&amp;$B693))</f>
        <v>46279.5987643101</v>
      </c>
    </row>
    <row r="694" customFormat="false" ht="15" hidden="false" customHeight="true" outlineLevel="0" collapsed="false">
      <c r="A694" s="42"/>
      <c r="B694" s="42"/>
      <c r="C694" s="42"/>
      <c r="D694" s="42"/>
      <c r="E694" s="42"/>
      <c r="F694" s="51" t="n">
        <f aca="false">IF(OR(C694="",D694="",E694="",E694=0),0,C694*D694/E694)</f>
        <v>0</v>
      </c>
      <c r="G694" s="42"/>
      <c r="H694" s="49" t="n">
        <f aca="true">IF(OR($A694="",_xlfn.MINIFS($B$3:$B$5000,$A$3:$A$5000,$A694,$B$3:$B$5000,"&gt;"&amp;$B694)=0),NOW(),_xlfn.MINIFS($B$3:$B$5000,$A$3:$A$5000,$A694,$B$3:$B$5000,"&gt;"&amp;$B694))</f>
        <v>46279.5987643101</v>
      </c>
    </row>
    <row r="695" customFormat="false" ht="15" hidden="false" customHeight="true" outlineLevel="0" collapsed="false">
      <c r="A695" s="42"/>
      <c r="B695" s="42"/>
      <c r="C695" s="42"/>
      <c r="D695" s="42"/>
      <c r="E695" s="42"/>
      <c r="F695" s="51" t="n">
        <f aca="false">IF(OR(C695="",D695="",E695="",E695=0),0,C695*D695/E695)</f>
        <v>0</v>
      </c>
      <c r="G695" s="42"/>
      <c r="H695" s="49" t="n">
        <f aca="true">IF(OR($A695="",_xlfn.MINIFS($B$3:$B$5000,$A$3:$A$5000,$A695,$B$3:$B$5000,"&gt;"&amp;$B695)=0),NOW(),_xlfn.MINIFS($B$3:$B$5000,$A$3:$A$5000,$A695,$B$3:$B$5000,"&gt;"&amp;$B695))</f>
        <v>46279.5987643102</v>
      </c>
    </row>
    <row r="696" customFormat="false" ht="15" hidden="false" customHeight="true" outlineLevel="0" collapsed="false">
      <c r="A696" s="42"/>
      <c r="B696" s="42"/>
      <c r="C696" s="42"/>
      <c r="D696" s="42"/>
      <c r="E696" s="42"/>
      <c r="F696" s="51" t="n">
        <f aca="false">IF(OR(C696="",D696="",E696="",E696=0),0,C696*D696/E696)</f>
        <v>0</v>
      </c>
      <c r="G696" s="42"/>
      <c r="H696" s="49" t="n">
        <f aca="true">IF(OR($A696="",_xlfn.MINIFS($B$3:$B$5000,$A$3:$A$5000,$A696,$B$3:$B$5000,"&gt;"&amp;$B696)=0),NOW(),_xlfn.MINIFS($B$3:$B$5000,$A$3:$A$5000,$A696,$B$3:$B$5000,"&gt;"&amp;$B696))</f>
        <v>46279.5987643102</v>
      </c>
    </row>
    <row r="697" customFormat="false" ht="15" hidden="false" customHeight="true" outlineLevel="0" collapsed="false">
      <c r="A697" s="42"/>
      <c r="B697" s="42"/>
      <c r="C697" s="42"/>
      <c r="D697" s="42"/>
      <c r="E697" s="42"/>
      <c r="F697" s="51" t="n">
        <f aca="false">IF(OR(C697="",D697="",E697="",E697=0),0,C697*D697/E697)</f>
        <v>0</v>
      </c>
      <c r="G697" s="42"/>
      <c r="H697" s="49" t="n">
        <f aca="true">IF(OR($A697="",_xlfn.MINIFS($B$3:$B$5000,$A$3:$A$5000,$A697,$B$3:$B$5000,"&gt;"&amp;$B697)=0),NOW(),_xlfn.MINIFS($B$3:$B$5000,$A$3:$A$5000,$A697,$B$3:$B$5000,"&gt;"&amp;$B697))</f>
        <v>46279.5987643103</v>
      </c>
    </row>
    <row r="698" customFormat="false" ht="15" hidden="false" customHeight="true" outlineLevel="0" collapsed="false">
      <c r="A698" s="42"/>
      <c r="B698" s="42"/>
      <c r="C698" s="42"/>
      <c r="D698" s="42"/>
      <c r="E698" s="42"/>
      <c r="F698" s="51" t="n">
        <f aca="false">IF(OR(C698="",D698="",E698="",E698=0),0,C698*D698/E698)</f>
        <v>0</v>
      </c>
      <c r="G698" s="42"/>
      <c r="H698" s="49" t="n">
        <f aca="true">IF(OR($A698="",_xlfn.MINIFS($B$3:$B$5000,$A$3:$A$5000,$A698,$B$3:$B$5000,"&gt;"&amp;$B698)=0),NOW(),_xlfn.MINIFS($B$3:$B$5000,$A$3:$A$5000,$A698,$B$3:$B$5000,"&gt;"&amp;$B698))</f>
        <v>46279.5987643103</v>
      </c>
    </row>
    <row r="699" customFormat="false" ht="15" hidden="false" customHeight="true" outlineLevel="0" collapsed="false">
      <c r="A699" s="42"/>
      <c r="B699" s="42"/>
      <c r="C699" s="42"/>
      <c r="D699" s="42"/>
      <c r="E699" s="42"/>
      <c r="F699" s="51" t="n">
        <f aca="false">IF(OR(C699="",D699="",E699="",E699=0),0,C699*D699/E699)</f>
        <v>0</v>
      </c>
      <c r="G699" s="42"/>
      <c r="H699" s="49" t="n">
        <f aca="true">IF(OR($A699="",_xlfn.MINIFS($B$3:$B$5000,$A$3:$A$5000,$A699,$B$3:$B$5000,"&gt;"&amp;$B699)=0),NOW(),_xlfn.MINIFS($B$3:$B$5000,$A$3:$A$5000,$A699,$B$3:$B$5000,"&gt;"&amp;$B699))</f>
        <v>46279.5987643104</v>
      </c>
    </row>
    <row r="700" customFormat="false" ht="15" hidden="false" customHeight="true" outlineLevel="0" collapsed="false">
      <c r="A700" s="42"/>
      <c r="B700" s="42"/>
      <c r="C700" s="42"/>
      <c r="D700" s="42"/>
      <c r="E700" s="42"/>
      <c r="F700" s="51" t="n">
        <f aca="false">IF(OR(C700="",D700="",E700="",E700=0),0,C700*D700/E700)</f>
        <v>0</v>
      </c>
      <c r="G700" s="42"/>
      <c r="H700" s="49" t="n">
        <f aca="true">IF(OR($A700="",_xlfn.MINIFS($B$3:$B$5000,$A$3:$A$5000,$A700,$B$3:$B$5000,"&gt;"&amp;$B700)=0),NOW(),_xlfn.MINIFS($B$3:$B$5000,$A$3:$A$5000,$A700,$B$3:$B$5000,"&gt;"&amp;$B700))</f>
        <v>46279.5987643104</v>
      </c>
    </row>
    <row r="701" customFormat="false" ht="15" hidden="false" customHeight="true" outlineLevel="0" collapsed="false">
      <c r="A701" s="42"/>
      <c r="B701" s="42"/>
      <c r="C701" s="42"/>
      <c r="D701" s="42"/>
      <c r="E701" s="42"/>
      <c r="F701" s="51" t="n">
        <f aca="false">IF(OR(C701="",D701="",E701="",E701=0),0,C701*D701/E701)</f>
        <v>0</v>
      </c>
      <c r="G701" s="42"/>
      <c r="H701" s="49" t="n">
        <f aca="true">IF(OR($A701="",_xlfn.MINIFS($B$3:$B$5000,$A$3:$A$5000,$A701,$B$3:$B$5000,"&gt;"&amp;$B701)=0),NOW(),_xlfn.MINIFS($B$3:$B$5000,$A$3:$A$5000,$A701,$B$3:$B$5000,"&gt;"&amp;$B701))</f>
        <v>46279.5987643105</v>
      </c>
    </row>
    <row r="702" customFormat="false" ht="15" hidden="false" customHeight="true" outlineLevel="0" collapsed="false">
      <c r="A702" s="42"/>
      <c r="B702" s="42"/>
      <c r="C702" s="42"/>
      <c r="D702" s="42"/>
      <c r="E702" s="42"/>
      <c r="F702" s="51" t="n">
        <f aca="false">IF(OR(C702="",D702="",E702="",E702=0),0,C702*D702/E702)</f>
        <v>0</v>
      </c>
      <c r="G702" s="42"/>
      <c r="H702" s="49" t="n">
        <f aca="true">IF(OR($A702="",_xlfn.MINIFS($B$3:$B$5000,$A$3:$A$5000,$A702,$B$3:$B$5000,"&gt;"&amp;$B702)=0),NOW(),_xlfn.MINIFS($B$3:$B$5000,$A$3:$A$5000,$A702,$B$3:$B$5000,"&gt;"&amp;$B702))</f>
        <v>46279.5987643105</v>
      </c>
    </row>
    <row r="703" customFormat="false" ht="15" hidden="false" customHeight="true" outlineLevel="0" collapsed="false">
      <c r="A703" s="42"/>
      <c r="B703" s="42"/>
      <c r="C703" s="42"/>
      <c r="D703" s="42"/>
      <c r="E703" s="42"/>
      <c r="F703" s="51" t="n">
        <f aca="false">IF(OR(C703="",D703="",E703="",E703=0),0,C703*D703/E703)</f>
        <v>0</v>
      </c>
      <c r="G703" s="42"/>
      <c r="H703" s="49" t="n">
        <f aca="true">IF(OR($A703="",_xlfn.MINIFS($B$3:$B$5000,$A$3:$A$5000,$A703,$B$3:$B$5000,"&gt;"&amp;$B703)=0),NOW(),_xlfn.MINIFS($B$3:$B$5000,$A$3:$A$5000,$A703,$B$3:$B$5000,"&gt;"&amp;$B703))</f>
        <v>46279.5987643106</v>
      </c>
    </row>
    <row r="704" customFormat="false" ht="15" hidden="false" customHeight="true" outlineLevel="0" collapsed="false">
      <c r="A704" s="42"/>
      <c r="B704" s="42"/>
      <c r="C704" s="42"/>
      <c r="D704" s="42"/>
      <c r="E704" s="42"/>
      <c r="F704" s="51" t="n">
        <f aca="false">IF(OR(C704="",D704="",E704="",E704=0),0,C704*D704/E704)</f>
        <v>0</v>
      </c>
      <c r="G704" s="42"/>
      <c r="H704" s="49" t="n">
        <f aca="true">IF(OR($A704="",_xlfn.MINIFS($B$3:$B$5000,$A$3:$A$5000,$A704,$B$3:$B$5000,"&gt;"&amp;$B704)=0),NOW(),_xlfn.MINIFS($B$3:$B$5000,$A$3:$A$5000,$A704,$B$3:$B$5000,"&gt;"&amp;$B704))</f>
        <v>46279.5987643106</v>
      </c>
    </row>
    <row r="705" customFormat="false" ht="15" hidden="false" customHeight="true" outlineLevel="0" collapsed="false">
      <c r="A705" s="42"/>
      <c r="B705" s="42"/>
      <c r="C705" s="42"/>
      <c r="D705" s="42"/>
      <c r="E705" s="42"/>
      <c r="F705" s="51" t="n">
        <f aca="false">IF(OR(C705="",D705="",E705="",E705=0),0,C705*D705/E705)</f>
        <v>0</v>
      </c>
      <c r="G705" s="42"/>
      <c r="H705" s="49" t="n">
        <f aca="true">IF(OR($A705="",_xlfn.MINIFS($B$3:$B$5000,$A$3:$A$5000,$A705,$B$3:$B$5000,"&gt;"&amp;$B705)=0),NOW(),_xlfn.MINIFS($B$3:$B$5000,$A$3:$A$5000,$A705,$B$3:$B$5000,"&gt;"&amp;$B705))</f>
        <v>46279.5987643107</v>
      </c>
    </row>
    <row r="706" customFormat="false" ht="15" hidden="false" customHeight="true" outlineLevel="0" collapsed="false">
      <c r="A706" s="42"/>
      <c r="B706" s="42"/>
      <c r="C706" s="42"/>
      <c r="D706" s="42"/>
      <c r="E706" s="42"/>
      <c r="F706" s="51" t="n">
        <f aca="false">IF(OR(C706="",D706="",E706="",E706=0),0,C706*D706/E706)</f>
        <v>0</v>
      </c>
      <c r="G706" s="42"/>
      <c r="H706" s="49" t="n">
        <f aca="true">IF(OR($A706="",_xlfn.MINIFS($B$3:$B$5000,$A$3:$A$5000,$A706,$B$3:$B$5000,"&gt;"&amp;$B706)=0),NOW(),_xlfn.MINIFS($B$3:$B$5000,$A$3:$A$5000,$A706,$B$3:$B$5000,"&gt;"&amp;$B706))</f>
        <v>46279.5987643107</v>
      </c>
    </row>
    <row r="707" customFormat="false" ht="15" hidden="false" customHeight="true" outlineLevel="0" collapsed="false">
      <c r="A707" s="42"/>
      <c r="B707" s="42"/>
      <c r="C707" s="42"/>
      <c r="D707" s="42"/>
      <c r="E707" s="42"/>
      <c r="F707" s="51" t="n">
        <f aca="false">IF(OR(C707="",D707="",E707="",E707=0),0,C707*D707/E707)</f>
        <v>0</v>
      </c>
      <c r="G707" s="42"/>
      <c r="H707" s="49" t="n">
        <f aca="true">IF(OR($A707="",_xlfn.MINIFS($B$3:$B$5000,$A$3:$A$5000,$A707,$B$3:$B$5000,"&gt;"&amp;$B707)=0),NOW(),_xlfn.MINIFS($B$3:$B$5000,$A$3:$A$5000,$A707,$B$3:$B$5000,"&gt;"&amp;$B707))</f>
        <v>46279.5987643108</v>
      </c>
    </row>
    <row r="708" customFormat="false" ht="15" hidden="false" customHeight="true" outlineLevel="0" collapsed="false">
      <c r="A708" s="42"/>
      <c r="B708" s="42"/>
      <c r="C708" s="42"/>
      <c r="D708" s="42"/>
      <c r="E708" s="42"/>
      <c r="F708" s="51" t="n">
        <f aca="false">IF(OR(C708="",D708="",E708="",E708=0),0,C708*D708/E708)</f>
        <v>0</v>
      </c>
      <c r="G708" s="42"/>
      <c r="H708" s="49" t="n">
        <f aca="true">IF(OR($A708="",_xlfn.MINIFS($B$3:$B$5000,$A$3:$A$5000,$A708,$B$3:$B$5000,"&gt;"&amp;$B708)=0),NOW(),_xlfn.MINIFS($B$3:$B$5000,$A$3:$A$5000,$A708,$B$3:$B$5000,"&gt;"&amp;$B708))</f>
        <v>46279.5987643108</v>
      </c>
    </row>
    <row r="709" customFormat="false" ht="15" hidden="false" customHeight="true" outlineLevel="0" collapsed="false">
      <c r="A709" s="42"/>
      <c r="B709" s="42"/>
      <c r="C709" s="42"/>
      <c r="D709" s="42"/>
      <c r="E709" s="42"/>
      <c r="F709" s="51" t="n">
        <f aca="false">IF(OR(C709="",D709="",E709="",E709=0),0,C709*D709/E709)</f>
        <v>0</v>
      </c>
      <c r="G709" s="42"/>
      <c r="H709" s="49" t="n">
        <f aca="true">IF(OR($A709="",_xlfn.MINIFS($B$3:$B$5000,$A$3:$A$5000,$A709,$B$3:$B$5000,"&gt;"&amp;$B709)=0),NOW(),_xlfn.MINIFS($B$3:$B$5000,$A$3:$A$5000,$A709,$B$3:$B$5000,"&gt;"&amp;$B709))</f>
        <v>46279.5987643109</v>
      </c>
    </row>
    <row r="710" customFormat="false" ht="15" hidden="false" customHeight="true" outlineLevel="0" collapsed="false">
      <c r="A710" s="42"/>
      <c r="B710" s="42"/>
      <c r="C710" s="42"/>
      <c r="D710" s="42"/>
      <c r="E710" s="42"/>
      <c r="F710" s="51" t="n">
        <f aca="false">IF(OR(C710="",D710="",E710="",E710=0),0,C710*D710/E710)</f>
        <v>0</v>
      </c>
      <c r="G710" s="42"/>
      <c r="H710" s="49" t="n">
        <f aca="true">IF(OR($A710="",_xlfn.MINIFS($B$3:$B$5000,$A$3:$A$5000,$A710,$B$3:$B$5000,"&gt;"&amp;$B710)=0),NOW(),_xlfn.MINIFS($B$3:$B$5000,$A$3:$A$5000,$A710,$B$3:$B$5000,"&gt;"&amp;$B710))</f>
        <v>46279.5987643109</v>
      </c>
    </row>
    <row r="711" customFormat="false" ht="15" hidden="false" customHeight="true" outlineLevel="0" collapsed="false">
      <c r="A711" s="42"/>
      <c r="B711" s="42"/>
      <c r="C711" s="42"/>
      <c r="D711" s="42"/>
      <c r="E711" s="42"/>
      <c r="F711" s="51" t="n">
        <f aca="false">IF(OR(C711="",D711="",E711="",E711=0),0,C711*D711/E711)</f>
        <v>0</v>
      </c>
      <c r="G711" s="42"/>
      <c r="H711" s="49" t="n">
        <f aca="true">IF(OR($A711="",_xlfn.MINIFS($B$3:$B$5000,$A$3:$A$5000,$A711,$B$3:$B$5000,"&gt;"&amp;$B711)=0),NOW(),_xlfn.MINIFS($B$3:$B$5000,$A$3:$A$5000,$A711,$B$3:$B$5000,"&gt;"&amp;$B711))</f>
        <v>46279.598764311</v>
      </c>
    </row>
    <row r="712" customFormat="false" ht="15" hidden="false" customHeight="true" outlineLevel="0" collapsed="false">
      <c r="A712" s="42"/>
      <c r="B712" s="42"/>
      <c r="C712" s="42"/>
      <c r="D712" s="42"/>
      <c r="E712" s="42"/>
      <c r="F712" s="51" t="n">
        <f aca="false">IF(OR(C712="",D712="",E712="",E712=0),0,C712*D712/E712)</f>
        <v>0</v>
      </c>
      <c r="G712" s="42"/>
      <c r="H712" s="49" t="n">
        <f aca="true">IF(OR($A712="",_xlfn.MINIFS($B$3:$B$5000,$A$3:$A$5000,$A712,$B$3:$B$5000,"&gt;"&amp;$B712)=0),NOW(),_xlfn.MINIFS($B$3:$B$5000,$A$3:$A$5000,$A712,$B$3:$B$5000,"&gt;"&amp;$B712))</f>
        <v>46279.598764311</v>
      </c>
    </row>
    <row r="713" customFormat="false" ht="15" hidden="false" customHeight="true" outlineLevel="0" collapsed="false">
      <c r="A713" s="42"/>
      <c r="B713" s="42"/>
      <c r="C713" s="42"/>
      <c r="D713" s="42"/>
      <c r="E713" s="42"/>
      <c r="F713" s="51" t="n">
        <f aca="false">IF(OR(C713="",D713="",E713="",E713=0),0,C713*D713/E713)</f>
        <v>0</v>
      </c>
      <c r="G713" s="42"/>
      <c r="H713" s="49" t="n">
        <f aca="true">IF(OR($A713="",_xlfn.MINIFS($B$3:$B$5000,$A$3:$A$5000,$A713,$B$3:$B$5000,"&gt;"&amp;$B713)=0),NOW(),_xlfn.MINIFS($B$3:$B$5000,$A$3:$A$5000,$A713,$B$3:$B$5000,"&gt;"&amp;$B713))</f>
        <v>46279.5987643111</v>
      </c>
    </row>
    <row r="714" customFormat="false" ht="15" hidden="false" customHeight="true" outlineLevel="0" collapsed="false">
      <c r="A714" s="42"/>
      <c r="B714" s="42"/>
      <c r="C714" s="42"/>
      <c r="D714" s="42"/>
      <c r="E714" s="42"/>
      <c r="F714" s="51" t="n">
        <f aca="false">IF(OR(C714="",D714="",E714="",E714=0),0,C714*D714/E714)</f>
        <v>0</v>
      </c>
      <c r="G714" s="42"/>
      <c r="H714" s="49" t="n">
        <f aca="true">IF(OR($A714="",_xlfn.MINIFS($B$3:$B$5000,$A$3:$A$5000,$A714,$B$3:$B$5000,"&gt;"&amp;$B714)=0),NOW(),_xlfn.MINIFS($B$3:$B$5000,$A$3:$A$5000,$A714,$B$3:$B$5000,"&gt;"&amp;$B714))</f>
        <v>46279.5987643111</v>
      </c>
    </row>
    <row r="715" customFormat="false" ht="15" hidden="false" customHeight="true" outlineLevel="0" collapsed="false">
      <c r="A715" s="42"/>
      <c r="B715" s="42"/>
      <c r="C715" s="42"/>
      <c r="D715" s="42"/>
      <c r="E715" s="42"/>
      <c r="F715" s="51" t="n">
        <f aca="false">IF(OR(C715="",D715="",E715="",E715=0),0,C715*D715/E715)</f>
        <v>0</v>
      </c>
      <c r="G715" s="42"/>
      <c r="H715" s="49" t="n">
        <f aca="true">IF(OR($A715="",_xlfn.MINIFS($B$3:$B$5000,$A$3:$A$5000,$A715,$B$3:$B$5000,"&gt;"&amp;$B715)=0),NOW(),_xlfn.MINIFS($B$3:$B$5000,$A$3:$A$5000,$A715,$B$3:$B$5000,"&gt;"&amp;$B715))</f>
        <v>46279.5987643111</v>
      </c>
    </row>
    <row r="716" customFormat="false" ht="15" hidden="false" customHeight="true" outlineLevel="0" collapsed="false">
      <c r="A716" s="42"/>
      <c r="B716" s="42"/>
      <c r="C716" s="42"/>
      <c r="D716" s="42"/>
      <c r="E716" s="42"/>
      <c r="F716" s="51" t="n">
        <f aca="false">IF(OR(C716="",D716="",E716="",E716=0),0,C716*D716/E716)</f>
        <v>0</v>
      </c>
      <c r="G716" s="42"/>
      <c r="H716" s="49" t="n">
        <f aca="true">IF(OR($A716="",_xlfn.MINIFS($B$3:$B$5000,$A$3:$A$5000,$A716,$B$3:$B$5000,"&gt;"&amp;$B716)=0),NOW(),_xlfn.MINIFS($B$3:$B$5000,$A$3:$A$5000,$A716,$B$3:$B$5000,"&gt;"&amp;$B716))</f>
        <v>46279.5987643112</v>
      </c>
    </row>
    <row r="717" customFormat="false" ht="15" hidden="false" customHeight="true" outlineLevel="0" collapsed="false">
      <c r="A717" s="42"/>
      <c r="B717" s="42"/>
      <c r="C717" s="42"/>
      <c r="D717" s="42"/>
      <c r="E717" s="42"/>
      <c r="F717" s="51" t="n">
        <f aca="false">IF(OR(C717="",D717="",E717="",E717=0),0,C717*D717/E717)</f>
        <v>0</v>
      </c>
      <c r="G717" s="42"/>
      <c r="H717" s="49" t="n">
        <f aca="true">IF(OR($A717="",_xlfn.MINIFS($B$3:$B$5000,$A$3:$A$5000,$A717,$B$3:$B$5000,"&gt;"&amp;$B717)=0),NOW(),_xlfn.MINIFS($B$3:$B$5000,$A$3:$A$5000,$A717,$B$3:$B$5000,"&gt;"&amp;$B717))</f>
        <v>46279.5987643112</v>
      </c>
    </row>
    <row r="718" customFormat="false" ht="15" hidden="false" customHeight="true" outlineLevel="0" collapsed="false">
      <c r="A718" s="42"/>
      <c r="B718" s="42"/>
      <c r="C718" s="42"/>
      <c r="D718" s="42"/>
      <c r="E718" s="42"/>
      <c r="F718" s="51" t="n">
        <f aca="false">IF(OR(C718="",D718="",E718="",E718=0),0,C718*D718/E718)</f>
        <v>0</v>
      </c>
      <c r="G718" s="42"/>
      <c r="H718" s="49" t="n">
        <f aca="true">IF(OR($A718="",_xlfn.MINIFS($B$3:$B$5000,$A$3:$A$5000,$A718,$B$3:$B$5000,"&gt;"&amp;$B718)=0),NOW(),_xlfn.MINIFS($B$3:$B$5000,$A$3:$A$5000,$A718,$B$3:$B$5000,"&gt;"&amp;$B718))</f>
        <v>46279.5987643113</v>
      </c>
    </row>
    <row r="719" customFormat="false" ht="15" hidden="false" customHeight="true" outlineLevel="0" collapsed="false">
      <c r="A719" s="42"/>
      <c r="B719" s="42"/>
      <c r="C719" s="42"/>
      <c r="D719" s="42"/>
      <c r="E719" s="42"/>
      <c r="F719" s="51" t="n">
        <f aca="false">IF(OR(C719="",D719="",E719="",E719=0),0,C719*D719/E719)</f>
        <v>0</v>
      </c>
      <c r="G719" s="42"/>
      <c r="H719" s="49" t="n">
        <f aca="true">IF(OR($A719="",_xlfn.MINIFS($B$3:$B$5000,$A$3:$A$5000,$A719,$B$3:$B$5000,"&gt;"&amp;$B719)=0),NOW(),_xlfn.MINIFS($B$3:$B$5000,$A$3:$A$5000,$A719,$B$3:$B$5000,"&gt;"&amp;$B719))</f>
        <v>46279.5987643113</v>
      </c>
    </row>
    <row r="720" customFormat="false" ht="15" hidden="false" customHeight="true" outlineLevel="0" collapsed="false">
      <c r="A720" s="42"/>
      <c r="B720" s="42"/>
      <c r="C720" s="42"/>
      <c r="D720" s="42"/>
      <c r="E720" s="42"/>
      <c r="F720" s="51" t="n">
        <f aca="false">IF(OR(C720="",D720="",E720="",E720=0),0,C720*D720/E720)</f>
        <v>0</v>
      </c>
      <c r="G720" s="42"/>
      <c r="H720" s="49" t="n">
        <f aca="true">IF(OR($A720="",_xlfn.MINIFS($B$3:$B$5000,$A$3:$A$5000,$A720,$B$3:$B$5000,"&gt;"&amp;$B720)=0),NOW(),_xlfn.MINIFS($B$3:$B$5000,$A$3:$A$5000,$A720,$B$3:$B$5000,"&gt;"&amp;$B720))</f>
        <v>46279.5987643114</v>
      </c>
    </row>
    <row r="721" customFormat="false" ht="15" hidden="false" customHeight="true" outlineLevel="0" collapsed="false">
      <c r="A721" s="42"/>
      <c r="B721" s="42"/>
      <c r="C721" s="42"/>
      <c r="D721" s="42"/>
      <c r="E721" s="42"/>
      <c r="F721" s="51" t="n">
        <f aca="false">IF(OR(C721="",D721="",E721="",E721=0),0,C721*D721/E721)</f>
        <v>0</v>
      </c>
      <c r="G721" s="42"/>
      <c r="H721" s="49" t="n">
        <f aca="true">IF(OR($A721="",_xlfn.MINIFS($B$3:$B$5000,$A$3:$A$5000,$A721,$B$3:$B$5000,"&gt;"&amp;$B721)=0),NOW(),_xlfn.MINIFS($B$3:$B$5000,$A$3:$A$5000,$A721,$B$3:$B$5000,"&gt;"&amp;$B721))</f>
        <v>46279.5987643114</v>
      </c>
    </row>
    <row r="722" customFormat="false" ht="15" hidden="false" customHeight="true" outlineLevel="0" collapsed="false">
      <c r="A722" s="42"/>
      <c r="B722" s="42"/>
      <c r="C722" s="42"/>
      <c r="D722" s="42"/>
      <c r="E722" s="42"/>
      <c r="F722" s="51" t="n">
        <f aca="false">IF(OR(C722="",D722="",E722="",E722=0),0,C722*D722/E722)</f>
        <v>0</v>
      </c>
      <c r="G722" s="42"/>
      <c r="H722" s="49" t="n">
        <f aca="true">IF(OR($A722="",_xlfn.MINIFS($B$3:$B$5000,$A$3:$A$5000,$A722,$B$3:$B$5000,"&gt;"&amp;$B722)=0),NOW(),_xlfn.MINIFS($B$3:$B$5000,$A$3:$A$5000,$A722,$B$3:$B$5000,"&gt;"&amp;$B722))</f>
        <v>46279.5987643115</v>
      </c>
    </row>
    <row r="723" customFormat="false" ht="15" hidden="false" customHeight="true" outlineLevel="0" collapsed="false">
      <c r="A723" s="42"/>
      <c r="B723" s="42"/>
      <c r="C723" s="42"/>
      <c r="D723" s="42"/>
      <c r="E723" s="42"/>
      <c r="F723" s="51" t="n">
        <f aca="false">IF(OR(C723="",D723="",E723="",E723=0),0,C723*D723/E723)</f>
        <v>0</v>
      </c>
      <c r="G723" s="42"/>
      <c r="H723" s="49" t="n">
        <f aca="true">IF(OR($A723="",_xlfn.MINIFS($B$3:$B$5000,$A$3:$A$5000,$A723,$B$3:$B$5000,"&gt;"&amp;$B723)=0),NOW(),_xlfn.MINIFS($B$3:$B$5000,$A$3:$A$5000,$A723,$B$3:$B$5000,"&gt;"&amp;$B723))</f>
        <v>46279.5987643115</v>
      </c>
    </row>
    <row r="724" customFormat="false" ht="15" hidden="false" customHeight="true" outlineLevel="0" collapsed="false">
      <c r="A724" s="42"/>
      <c r="B724" s="42"/>
      <c r="C724" s="42"/>
      <c r="D724" s="42"/>
      <c r="E724" s="42"/>
      <c r="F724" s="51" t="n">
        <f aca="false">IF(OR(C724="",D724="",E724="",E724=0),0,C724*D724/E724)</f>
        <v>0</v>
      </c>
      <c r="G724" s="42"/>
      <c r="H724" s="49" t="n">
        <f aca="true">IF(OR($A724="",_xlfn.MINIFS($B$3:$B$5000,$A$3:$A$5000,$A724,$B$3:$B$5000,"&gt;"&amp;$B724)=0),NOW(),_xlfn.MINIFS($B$3:$B$5000,$A$3:$A$5000,$A724,$B$3:$B$5000,"&gt;"&amp;$B724))</f>
        <v>46279.5987643116</v>
      </c>
    </row>
    <row r="725" customFormat="false" ht="15" hidden="false" customHeight="true" outlineLevel="0" collapsed="false">
      <c r="A725" s="42"/>
      <c r="B725" s="42"/>
      <c r="C725" s="42"/>
      <c r="D725" s="42"/>
      <c r="E725" s="42"/>
      <c r="F725" s="51" t="n">
        <f aca="false">IF(OR(C725="",D725="",E725="",E725=0),0,C725*D725/E725)</f>
        <v>0</v>
      </c>
      <c r="G725" s="42"/>
      <c r="H725" s="49" t="n">
        <f aca="true">IF(OR($A725="",_xlfn.MINIFS($B$3:$B$5000,$A$3:$A$5000,$A725,$B$3:$B$5000,"&gt;"&amp;$B725)=0),NOW(),_xlfn.MINIFS($B$3:$B$5000,$A$3:$A$5000,$A725,$B$3:$B$5000,"&gt;"&amp;$B725))</f>
        <v>46279.5987643116</v>
      </c>
    </row>
    <row r="726" customFormat="false" ht="15" hidden="false" customHeight="true" outlineLevel="0" collapsed="false">
      <c r="A726" s="42"/>
      <c r="B726" s="42"/>
      <c r="C726" s="42"/>
      <c r="D726" s="42"/>
      <c r="E726" s="42"/>
      <c r="F726" s="51" t="n">
        <f aca="false">IF(OR(C726="",D726="",E726="",E726=0),0,C726*D726/E726)</f>
        <v>0</v>
      </c>
      <c r="G726" s="42"/>
      <c r="H726" s="49" t="n">
        <f aca="true">IF(OR($A726="",_xlfn.MINIFS($B$3:$B$5000,$A$3:$A$5000,$A726,$B$3:$B$5000,"&gt;"&amp;$B726)=0),NOW(),_xlfn.MINIFS($B$3:$B$5000,$A$3:$A$5000,$A726,$B$3:$B$5000,"&gt;"&amp;$B726))</f>
        <v>46279.5987643117</v>
      </c>
    </row>
    <row r="727" customFormat="false" ht="15" hidden="false" customHeight="true" outlineLevel="0" collapsed="false">
      <c r="A727" s="42"/>
      <c r="B727" s="42"/>
      <c r="C727" s="42"/>
      <c r="D727" s="42"/>
      <c r="E727" s="42"/>
      <c r="F727" s="51" t="n">
        <f aca="false">IF(OR(C727="",D727="",E727="",E727=0),0,C727*D727/E727)</f>
        <v>0</v>
      </c>
      <c r="G727" s="42"/>
      <c r="H727" s="49" t="n">
        <f aca="true">IF(OR($A727="",_xlfn.MINIFS($B$3:$B$5000,$A$3:$A$5000,$A727,$B$3:$B$5000,"&gt;"&amp;$B727)=0),NOW(),_xlfn.MINIFS($B$3:$B$5000,$A$3:$A$5000,$A727,$B$3:$B$5000,"&gt;"&amp;$B727))</f>
        <v>46279.5987643117</v>
      </c>
    </row>
    <row r="728" customFormat="false" ht="15" hidden="false" customHeight="true" outlineLevel="0" collapsed="false">
      <c r="A728" s="42"/>
      <c r="B728" s="42"/>
      <c r="C728" s="42"/>
      <c r="D728" s="42"/>
      <c r="E728" s="42"/>
      <c r="F728" s="51" t="n">
        <f aca="false">IF(OR(C728="",D728="",E728="",E728=0),0,C728*D728/E728)</f>
        <v>0</v>
      </c>
      <c r="G728" s="42"/>
      <c r="H728" s="49" t="n">
        <f aca="true">IF(OR($A728="",_xlfn.MINIFS($B$3:$B$5000,$A$3:$A$5000,$A728,$B$3:$B$5000,"&gt;"&amp;$B728)=0),NOW(),_xlfn.MINIFS($B$3:$B$5000,$A$3:$A$5000,$A728,$B$3:$B$5000,"&gt;"&amp;$B728))</f>
        <v>46279.5987643118</v>
      </c>
    </row>
    <row r="729" customFormat="false" ht="15" hidden="false" customHeight="true" outlineLevel="0" collapsed="false">
      <c r="A729" s="42"/>
      <c r="B729" s="42"/>
      <c r="C729" s="42"/>
      <c r="D729" s="42"/>
      <c r="E729" s="42"/>
      <c r="F729" s="51" t="n">
        <f aca="false">IF(OR(C729="",D729="",E729="",E729=0),0,C729*D729/E729)</f>
        <v>0</v>
      </c>
      <c r="G729" s="42"/>
      <c r="H729" s="49" t="n">
        <f aca="true">IF(OR($A729="",_xlfn.MINIFS($B$3:$B$5000,$A$3:$A$5000,$A729,$B$3:$B$5000,"&gt;"&amp;$B729)=0),NOW(),_xlfn.MINIFS($B$3:$B$5000,$A$3:$A$5000,$A729,$B$3:$B$5000,"&gt;"&amp;$B729))</f>
        <v>46279.5987643118</v>
      </c>
    </row>
    <row r="730" customFormat="false" ht="15" hidden="false" customHeight="true" outlineLevel="0" collapsed="false">
      <c r="A730" s="42"/>
      <c r="B730" s="42"/>
      <c r="C730" s="42"/>
      <c r="D730" s="42"/>
      <c r="E730" s="42"/>
      <c r="F730" s="51" t="n">
        <f aca="false">IF(OR(C730="",D730="",E730="",E730=0),0,C730*D730/E730)</f>
        <v>0</v>
      </c>
      <c r="G730" s="42"/>
      <c r="H730" s="49" t="n">
        <f aca="true">IF(OR($A730="",_xlfn.MINIFS($B$3:$B$5000,$A$3:$A$5000,$A730,$B$3:$B$5000,"&gt;"&amp;$B730)=0),NOW(),_xlfn.MINIFS($B$3:$B$5000,$A$3:$A$5000,$A730,$B$3:$B$5000,"&gt;"&amp;$B730))</f>
        <v>46279.5987643119</v>
      </c>
    </row>
    <row r="731" customFormat="false" ht="15" hidden="false" customHeight="true" outlineLevel="0" collapsed="false">
      <c r="A731" s="42"/>
      <c r="B731" s="42"/>
      <c r="C731" s="42"/>
      <c r="D731" s="42"/>
      <c r="E731" s="42"/>
      <c r="F731" s="51" t="n">
        <f aca="false">IF(OR(C731="",D731="",E731="",E731=0),0,C731*D731/E731)</f>
        <v>0</v>
      </c>
      <c r="G731" s="42"/>
      <c r="H731" s="49" t="n">
        <f aca="true">IF(OR($A731="",_xlfn.MINIFS($B$3:$B$5000,$A$3:$A$5000,$A731,$B$3:$B$5000,"&gt;"&amp;$B731)=0),NOW(),_xlfn.MINIFS($B$3:$B$5000,$A$3:$A$5000,$A731,$B$3:$B$5000,"&gt;"&amp;$B731))</f>
        <v>46279.5987643119</v>
      </c>
    </row>
    <row r="732" customFormat="false" ht="15" hidden="false" customHeight="true" outlineLevel="0" collapsed="false">
      <c r="A732" s="42"/>
      <c r="B732" s="42"/>
      <c r="C732" s="42"/>
      <c r="D732" s="42"/>
      <c r="E732" s="42"/>
      <c r="F732" s="51" t="n">
        <f aca="false">IF(OR(C732="",D732="",E732="",E732=0),0,C732*D732/E732)</f>
        <v>0</v>
      </c>
      <c r="G732" s="42"/>
      <c r="H732" s="49" t="n">
        <f aca="true">IF(OR($A732="",_xlfn.MINIFS($B$3:$B$5000,$A$3:$A$5000,$A732,$B$3:$B$5000,"&gt;"&amp;$B732)=0),NOW(),_xlfn.MINIFS($B$3:$B$5000,$A$3:$A$5000,$A732,$B$3:$B$5000,"&gt;"&amp;$B732))</f>
        <v>46279.598764312</v>
      </c>
    </row>
    <row r="733" customFormat="false" ht="15" hidden="false" customHeight="true" outlineLevel="0" collapsed="false">
      <c r="A733" s="42"/>
      <c r="B733" s="42"/>
      <c r="C733" s="42"/>
      <c r="D733" s="42"/>
      <c r="E733" s="42"/>
      <c r="F733" s="51" t="n">
        <f aca="false">IF(OR(C733="",D733="",E733="",E733=0),0,C733*D733/E733)</f>
        <v>0</v>
      </c>
      <c r="G733" s="42"/>
      <c r="H733" s="49" t="n">
        <f aca="true">IF(OR($A733="",_xlfn.MINIFS($B$3:$B$5000,$A$3:$A$5000,$A733,$B$3:$B$5000,"&gt;"&amp;$B733)=0),NOW(),_xlfn.MINIFS($B$3:$B$5000,$A$3:$A$5000,$A733,$B$3:$B$5000,"&gt;"&amp;$B733))</f>
        <v>46279.598764312</v>
      </c>
    </row>
    <row r="734" customFormat="false" ht="15" hidden="false" customHeight="true" outlineLevel="0" collapsed="false">
      <c r="A734" s="42"/>
      <c r="B734" s="42"/>
      <c r="C734" s="42"/>
      <c r="D734" s="42"/>
      <c r="E734" s="42"/>
      <c r="F734" s="51" t="n">
        <f aca="false">IF(OR(C734="",D734="",E734="",E734=0),0,C734*D734/E734)</f>
        <v>0</v>
      </c>
      <c r="G734" s="42"/>
      <c r="H734" s="49" t="n">
        <f aca="true">IF(OR($A734="",_xlfn.MINIFS($B$3:$B$5000,$A$3:$A$5000,$A734,$B$3:$B$5000,"&gt;"&amp;$B734)=0),NOW(),_xlfn.MINIFS($B$3:$B$5000,$A$3:$A$5000,$A734,$B$3:$B$5000,"&gt;"&amp;$B734))</f>
        <v>46279.5987643121</v>
      </c>
    </row>
    <row r="735" customFormat="false" ht="15" hidden="false" customHeight="true" outlineLevel="0" collapsed="false">
      <c r="A735" s="42"/>
      <c r="B735" s="42"/>
      <c r="C735" s="42"/>
      <c r="D735" s="42"/>
      <c r="E735" s="42"/>
      <c r="F735" s="51" t="n">
        <f aca="false">IF(OR(C735="",D735="",E735="",E735=0),0,C735*D735/E735)</f>
        <v>0</v>
      </c>
      <c r="G735" s="42"/>
      <c r="H735" s="49" t="n">
        <f aca="true">IF(OR($A735="",_xlfn.MINIFS($B$3:$B$5000,$A$3:$A$5000,$A735,$B$3:$B$5000,"&gt;"&amp;$B735)=0),NOW(),_xlfn.MINIFS($B$3:$B$5000,$A$3:$A$5000,$A735,$B$3:$B$5000,"&gt;"&amp;$B735))</f>
        <v>46279.5987643121</v>
      </c>
    </row>
    <row r="736" customFormat="false" ht="15" hidden="false" customHeight="true" outlineLevel="0" collapsed="false">
      <c r="A736" s="42"/>
      <c r="B736" s="42"/>
      <c r="C736" s="42"/>
      <c r="D736" s="42"/>
      <c r="E736" s="42"/>
      <c r="F736" s="51" t="n">
        <f aca="false">IF(OR(C736="",D736="",E736="",E736=0),0,C736*D736/E736)</f>
        <v>0</v>
      </c>
      <c r="G736" s="42"/>
      <c r="H736" s="49" t="n">
        <f aca="true">IF(OR($A736="",_xlfn.MINIFS($B$3:$B$5000,$A$3:$A$5000,$A736,$B$3:$B$5000,"&gt;"&amp;$B736)=0),NOW(),_xlfn.MINIFS($B$3:$B$5000,$A$3:$A$5000,$A736,$B$3:$B$5000,"&gt;"&amp;$B736))</f>
        <v>46279.5987643122</v>
      </c>
    </row>
    <row r="737" customFormat="false" ht="15" hidden="false" customHeight="true" outlineLevel="0" collapsed="false">
      <c r="A737" s="42"/>
      <c r="B737" s="42"/>
      <c r="C737" s="42"/>
      <c r="D737" s="42"/>
      <c r="E737" s="42"/>
      <c r="F737" s="51" t="n">
        <f aca="false">IF(OR(C737="",D737="",E737="",E737=0),0,C737*D737/E737)</f>
        <v>0</v>
      </c>
      <c r="G737" s="42"/>
      <c r="H737" s="49" t="n">
        <f aca="true">IF(OR($A737="",_xlfn.MINIFS($B$3:$B$5000,$A$3:$A$5000,$A737,$B$3:$B$5000,"&gt;"&amp;$B737)=0),NOW(),_xlfn.MINIFS($B$3:$B$5000,$A$3:$A$5000,$A737,$B$3:$B$5000,"&gt;"&amp;$B737))</f>
        <v>46279.5987643122</v>
      </c>
    </row>
    <row r="738" customFormat="false" ht="15" hidden="false" customHeight="true" outlineLevel="0" collapsed="false">
      <c r="A738" s="42"/>
      <c r="B738" s="42"/>
      <c r="C738" s="42"/>
      <c r="D738" s="42"/>
      <c r="E738" s="42"/>
      <c r="F738" s="51" t="n">
        <f aca="false">IF(OR(C738="",D738="",E738="",E738=0),0,C738*D738/E738)</f>
        <v>0</v>
      </c>
      <c r="G738" s="42"/>
      <c r="H738" s="49" t="n">
        <f aca="true">IF(OR($A738="",_xlfn.MINIFS($B$3:$B$5000,$A$3:$A$5000,$A738,$B$3:$B$5000,"&gt;"&amp;$B738)=0),NOW(),_xlfn.MINIFS($B$3:$B$5000,$A$3:$A$5000,$A738,$B$3:$B$5000,"&gt;"&amp;$B738))</f>
        <v>46279.5987643123</v>
      </c>
    </row>
    <row r="739" customFormat="false" ht="15" hidden="false" customHeight="true" outlineLevel="0" collapsed="false">
      <c r="A739" s="42"/>
      <c r="B739" s="42"/>
      <c r="C739" s="42"/>
      <c r="D739" s="42"/>
      <c r="E739" s="42"/>
      <c r="F739" s="51" t="n">
        <f aca="false">IF(OR(C739="",D739="",E739="",E739=0),0,C739*D739/E739)</f>
        <v>0</v>
      </c>
      <c r="G739" s="42"/>
      <c r="H739" s="49" t="n">
        <f aca="true">IF(OR($A739="",_xlfn.MINIFS($B$3:$B$5000,$A$3:$A$5000,$A739,$B$3:$B$5000,"&gt;"&amp;$B739)=0),NOW(),_xlfn.MINIFS($B$3:$B$5000,$A$3:$A$5000,$A739,$B$3:$B$5000,"&gt;"&amp;$B739))</f>
        <v>46279.5987643123</v>
      </c>
    </row>
    <row r="740" customFormat="false" ht="15" hidden="false" customHeight="true" outlineLevel="0" collapsed="false">
      <c r="A740" s="42"/>
      <c r="B740" s="42"/>
      <c r="C740" s="42"/>
      <c r="D740" s="42"/>
      <c r="E740" s="42"/>
      <c r="F740" s="51" t="n">
        <f aca="false">IF(OR(C740="",D740="",E740="",E740=0),0,C740*D740/E740)</f>
        <v>0</v>
      </c>
      <c r="G740" s="42"/>
      <c r="H740" s="49" t="n">
        <f aca="true">IF(OR($A740="",_xlfn.MINIFS($B$3:$B$5000,$A$3:$A$5000,$A740,$B$3:$B$5000,"&gt;"&amp;$B740)=0),NOW(),_xlfn.MINIFS($B$3:$B$5000,$A$3:$A$5000,$A740,$B$3:$B$5000,"&gt;"&amp;$B740))</f>
        <v>46279.5987643124</v>
      </c>
    </row>
    <row r="741" customFormat="false" ht="15" hidden="false" customHeight="true" outlineLevel="0" collapsed="false">
      <c r="A741" s="42"/>
      <c r="B741" s="42"/>
      <c r="C741" s="42"/>
      <c r="D741" s="42"/>
      <c r="E741" s="42"/>
      <c r="F741" s="51" t="n">
        <f aca="false">IF(OR(C741="",D741="",E741="",E741=0),0,C741*D741/E741)</f>
        <v>0</v>
      </c>
      <c r="G741" s="42"/>
      <c r="H741" s="49" t="n">
        <f aca="true">IF(OR($A741="",_xlfn.MINIFS($B$3:$B$5000,$A$3:$A$5000,$A741,$B$3:$B$5000,"&gt;"&amp;$B741)=0),NOW(),_xlfn.MINIFS($B$3:$B$5000,$A$3:$A$5000,$A741,$B$3:$B$5000,"&gt;"&amp;$B741))</f>
        <v>46279.5987643124</v>
      </c>
    </row>
    <row r="742" customFormat="false" ht="15" hidden="false" customHeight="true" outlineLevel="0" collapsed="false">
      <c r="A742" s="42"/>
      <c r="B742" s="42"/>
      <c r="C742" s="42"/>
      <c r="D742" s="42"/>
      <c r="E742" s="42"/>
      <c r="F742" s="51" t="n">
        <f aca="false">IF(OR(C742="",D742="",E742="",E742=0),0,C742*D742/E742)</f>
        <v>0</v>
      </c>
      <c r="G742" s="42"/>
      <c r="H742" s="49" t="n">
        <f aca="true">IF(OR($A742="",_xlfn.MINIFS($B$3:$B$5000,$A$3:$A$5000,$A742,$B$3:$B$5000,"&gt;"&amp;$B742)=0),NOW(),_xlfn.MINIFS($B$3:$B$5000,$A$3:$A$5000,$A742,$B$3:$B$5000,"&gt;"&amp;$B742))</f>
        <v>46279.5987643125</v>
      </c>
    </row>
    <row r="743" customFormat="false" ht="15" hidden="false" customHeight="true" outlineLevel="0" collapsed="false">
      <c r="A743" s="42"/>
      <c r="B743" s="42"/>
      <c r="C743" s="42"/>
      <c r="D743" s="42"/>
      <c r="E743" s="42"/>
      <c r="F743" s="51" t="n">
        <f aca="false">IF(OR(C743="",D743="",E743="",E743=0),0,C743*D743/E743)</f>
        <v>0</v>
      </c>
      <c r="G743" s="42"/>
      <c r="H743" s="49" t="n">
        <f aca="true">IF(OR($A743="",_xlfn.MINIFS($B$3:$B$5000,$A$3:$A$5000,$A743,$B$3:$B$5000,"&gt;"&amp;$B743)=0),NOW(),_xlfn.MINIFS($B$3:$B$5000,$A$3:$A$5000,$A743,$B$3:$B$5000,"&gt;"&amp;$B743))</f>
        <v>46279.5987643125</v>
      </c>
    </row>
    <row r="744" customFormat="false" ht="15" hidden="false" customHeight="true" outlineLevel="0" collapsed="false">
      <c r="A744" s="42"/>
      <c r="B744" s="42"/>
      <c r="C744" s="42"/>
      <c r="D744" s="42"/>
      <c r="E744" s="42"/>
      <c r="F744" s="51" t="n">
        <f aca="false">IF(OR(C744="",D744="",E744="",E744=0),0,C744*D744/E744)</f>
        <v>0</v>
      </c>
      <c r="G744" s="42"/>
      <c r="H744" s="49" t="n">
        <f aca="true">IF(OR($A744="",_xlfn.MINIFS($B$3:$B$5000,$A$3:$A$5000,$A744,$B$3:$B$5000,"&gt;"&amp;$B744)=0),NOW(),_xlfn.MINIFS($B$3:$B$5000,$A$3:$A$5000,$A744,$B$3:$B$5000,"&gt;"&amp;$B744))</f>
        <v>46279.5987643126</v>
      </c>
    </row>
    <row r="745" customFormat="false" ht="15" hidden="false" customHeight="true" outlineLevel="0" collapsed="false">
      <c r="A745" s="42"/>
      <c r="B745" s="42"/>
      <c r="C745" s="42"/>
      <c r="D745" s="42"/>
      <c r="E745" s="42"/>
      <c r="F745" s="51" t="n">
        <f aca="false">IF(OR(C745="",D745="",E745="",E745=0),0,C745*D745/E745)</f>
        <v>0</v>
      </c>
      <c r="G745" s="42"/>
      <c r="H745" s="49" t="n">
        <f aca="true">IF(OR($A745="",_xlfn.MINIFS($B$3:$B$5000,$A$3:$A$5000,$A745,$B$3:$B$5000,"&gt;"&amp;$B745)=0),NOW(),_xlfn.MINIFS($B$3:$B$5000,$A$3:$A$5000,$A745,$B$3:$B$5000,"&gt;"&amp;$B745))</f>
        <v>46279.5987643126</v>
      </c>
    </row>
    <row r="746" customFormat="false" ht="15" hidden="false" customHeight="true" outlineLevel="0" collapsed="false">
      <c r="A746" s="42"/>
      <c r="B746" s="42"/>
      <c r="C746" s="42"/>
      <c r="D746" s="42"/>
      <c r="E746" s="42"/>
      <c r="F746" s="51" t="n">
        <f aca="false">IF(OR(C746="",D746="",E746="",E746=0),0,C746*D746/E746)</f>
        <v>0</v>
      </c>
      <c r="G746" s="42"/>
      <c r="H746" s="49" t="n">
        <f aca="true">IF(OR($A746="",_xlfn.MINIFS($B$3:$B$5000,$A$3:$A$5000,$A746,$B$3:$B$5000,"&gt;"&amp;$B746)=0),NOW(),_xlfn.MINIFS($B$3:$B$5000,$A$3:$A$5000,$A746,$B$3:$B$5000,"&gt;"&amp;$B746))</f>
        <v>46279.5987643127</v>
      </c>
    </row>
    <row r="747" customFormat="false" ht="15" hidden="false" customHeight="true" outlineLevel="0" collapsed="false">
      <c r="A747" s="42"/>
      <c r="B747" s="42"/>
      <c r="C747" s="42"/>
      <c r="D747" s="42"/>
      <c r="E747" s="42"/>
      <c r="F747" s="51" t="n">
        <f aca="false">IF(OR(C747="",D747="",E747="",E747=0),0,C747*D747/E747)</f>
        <v>0</v>
      </c>
      <c r="G747" s="42"/>
      <c r="H747" s="49" t="n">
        <f aca="true">IF(OR($A747="",_xlfn.MINIFS($B$3:$B$5000,$A$3:$A$5000,$A747,$B$3:$B$5000,"&gt;"&amp;$B747)=0),NOW(),_xlfn.MINIFS($B$3:$B$5000,$A$3:$A$5000,$A747,$B$3:$B$5000,"&gt;"&amp;$B747))</f>
        <v>46279.5987643127</v>
      </c>
    </row>
    <row r="748" customFormat="false" ht="15" hidden="false" customHeight="true" outlineLevel="0" collapsed="false">
      <c r="A748" s="42"/>
      <c r="B748" s="42"/>
      <c r="C748" s="42"/>
      <c r="D748" s="42"/>
      <c r="E748" s="42"/>
      <c r="F748" s="51" t="n">
        <f aca="false">IF(OR(C748="",D748="",E748="",E748=0),0,C748*D748/E748)</f>
        <v>0</v>
      </c>
      <c r="G748" s="42"/>
      <c r="H748" s="49" t="n">
        <f aca="true">IF(OR($A748="",_xlfn.MINIFS($B$3:$B$5000,$A$3:$A$5000,$A748,$B$3:$B$5000,"&gt;"&amp;$B748)=0),NOW(),_xlfn.MINIFS($B$3:$B$5000,$A$3:$A$5000,$A748,$B$3:$B$5000,"&gt;"&amp;$B748))</f>
        <v>46279.5987643128</v>
      </c>
    </row>
    <row r="749" customFormat="false" ht="15" hidden="false" customHeight="true" outlineLevel="0" collapsed="false">
      <c r="A749" s="42"/>
      <c r="B749" s="42"/>
      <c r="C749" s="42"/>
      <c r="D749" s="42"/>
      <c r="E749" s="42"/>
      <c r="F749" s="51" t="n">
        <f aca="false">IF(OR(C749="",D749="",E749="",E749=0),0,C749*D749/E749)</f>
        <v>0</v>
      </c>
      <c r="G749" s="42"/>
      <c r="H749" s="49" t="n">
        <f aca="true">IF(OR($A749="",_xlfn.MINIFS($B$3:$B$5000,$A$3:$A$5000,$A749,$B$3:$B$5000,"&gt;"&amp;$B749)=0),NOW(),_xlfn.MINIFS($B$3:$B$5000,$A$3:$A$5000,$A749,$B$3:$B$5000,"&gt;"&amp;$B749))</f>
        <v>46279.5987643128</v>
      </c>
    </row>
    <row r="750" customFormat="false" ht="15" hidden="false" customHeight="true" outlineLevel="0" collapsed="false">
      <c r="A750" s="42"/>
      <c r="B750" s="42"/>
      <c r="C750" s="42"/>
      <c r="D750" s="42"/>
      <c r="E750" s="42"/>
      <c r="F750" s="51" t="n">
        <f aca="false">IF(OR(C750="",D750="",E750="",E750=0),0,C750*D750/E750)</f>
        <v>0</v>
      </c>
      <c r="G750" s="42"/>
      <c r="H750" s="49" t="n">
        <f aca="true">IF(OR($A750="",_xlfn.MINIFS($B$3:$B$5000,$A$3:$A$5000,$A750,$B$3:$B$5000,"&gt;"&amp;$B750)=0),NOW(),_xlfn.MINIFS($B$3:$B$5000,$A$3:$A$5000,$A750,$B$3:$B$5000,"&gt;"&amp;$B750))</f>
        <v>46279.5987643129</v>
      </c>
    </row>
    <row r="751" customFormat="false" ht="15" hidden="false" customHeight="true" outlineLevel="0" collapsed="false">
      <c r="A751" s="42"/>
      <c r="B751" s="42"/>
      <c r="C751" s="42"/>
      <c r="D751" s="42"/>
      <c r="E751" s="42"/>
      <c r="F751" s="51" t="n">
        <f aca="false">IF(OR(C751="",D751="",E751="",E751=0),0,C751*D751/E751)</f>
        <v>0</v>
      </c>
      <c r="G751" s="42"/>
      <c r="H751" s="49" t="n">
        <f aca="true">IF(OR($A751="",_xlfn.MINIFS($B$3:$B$5000,$A$3:$A$5000,$A751,$B$3:$B$5000,"&gt;"&amp;$B751)=0),NOW(),_xlfn.MINIFS($B$3:$B$5000,$A$3:$A$5000,$A751,$B$3:$B$5000,"&gt;"&amp;$B751))</f>
        <v>46279.5987643129</v>
      </c>
    </row>
    <row r="752" customFormat="false" ht="15" hidden="false" customHeight="true" outlineLevel="0" collapsed="false">
      <c r="A752" s="42"/>
      <c r="B752" s="42"/>
      <c r="C752" s="42"/>
      <c r="D752" s="42"/>
      <c r="E752" s="42"/>
      <c r="F752" s="51" t="n">
        <f aca="false">IF(OR(C752="",D752="",E752="",E752=0),0,C752*D752/E752)</f>
        <v>0</v>
      </c>
      <c r="G752" s="42"/>
      <c r="H752" s="49" t="n">
        <f aca="true">IF(OR($A752="",_xlfn.MINIFS($B$3:$B$5000,$A$3:$A$5000,$A752,$B$3:$B$5000,"&gt;"&amp;$B752)=0),NOW(),_xlfn.MINIFS($B$3:$B$5000,$A$3:$A$5000,$A752,$B$3:$B$5000,"&gt;"&amp;$B752))</f>
        <v>46279.598764313</v>
      </c>
    </row>
    <row r="753" customFormat="false" ht="15" hidden="false" customHeight="true" outlineLevel="0" collapsed="false">
      <c r="A753" s="42"/>
      <c r="B753" s="42"/>
      <c r="C753" s="42"/>
      <c r="D753" s="42"/>
      <c r="E753" s="42"/>
      <c r="F753" s="51" t="n">
        <f aca="false">IF(OR(C753="",D753="",E753="",E753=0),0,C753*D753/E753)</f>
        <v>0</v>
      </c>
      <c r="G753" s="42"/>
      <c r="H753" s="49" t="n">
        <f aca="true">IF(OR($A753="",_xlfn.MINIFS($B$3:$B$5000,$A$3:$A$5000,$A753,$B$3:$B$5000,"&gt;"&amp;$B753)=0),NOW(),_xlfn.MINIFS($B$3:$B$5000,$A$3:$A$5000,$A753,$B$3:$B$5000,"&gt;"&amp;$B753))</f>
        <v>46279.5987643131</v>
      </c>
    </row>
    <row r="754" customFormat="false" ht="15" hidden="false" customHeight="true" outlineLevel="0" collapsed="false">
      <c r="A754" s="42"/>
      <c r="B754" s="42"/>
      <c r="C754" s="42"/>
      <c r="D754" s="42"/>
      <c r="E754" s="42"/>
      <c r="F754" s="51" t="n">
        <f aca="false">IF(OR(C754="",D754="",E754="",E754=0),0,C754*D754/E754)</f>
        <v>0</v>
      </c>
      <c r="G754" s="42"/>
      <c r="H754" s="49" t="n">
        <f aca="true">IF(OR($A754="",_xlfn.MINIFS($B$3:$B$5000,$A$3:$A$5000,$A754,$B$3:$B$5000,"&gt;"&amp;$B754)=0),NOW(),_xlfn.MINIFS($B$3:$B$5000,$A$3:$A$5000,$A754,$B$3:$B$5000,"&gt;"&amp;$B754))</f>
        <v>46279.5987643131</v>
      </c>
    </row>
    <row r="755" customFormat="false" ht="15" hidden="false" customHeight="true" outlineLevel="0" collapsed="false">
      <c r="A755" s="42"/>
      <c r="B755" s="42"/>
      <c r="C755" s="42"/>
      <c r="D755" s="42"/>
      <c r="E755" s="42"/>
      <c r="F755" s="51" t="n">
        <f aca="false">IF(OR(C755="",D755="",E755="",E755=0),0,C755*D755/E755)</f>
        <v>0</v>
      </c>
      <c r="G755" s="42"/>
      <c r="H755" s="49" t="n">
        <f aca="true">IF(OR($A755="",_xlfn.MINIFS($B$3:$B$5000,$A$3:$A$5000,$A755,$B$3:$B$5000,"&gt;"&amp;$B755)=0),NOW(),_xlfn.MINIFS($B$3:$B$5000,$A$3:$A$5000,$A755,$B$3:$B$5000,"&gt;"&amp;$B755))</f>
        <v>46279.5987643132</v>
      </c>
    </row>
    <row r="756" customFormat="false" ht="15" hidden="false" customHeight="true" outlineLevel="0" collapsed="false">
      <c r="A756" s="42"/>
      <c r="B756" s="42"/>
      <c r="C756" s="42"/>
      <c r="D756" s="42"/>
      <c r="E756" s="42"/>
      <c r="F756" s="51" t="n">
        <f aca="false">IF(OR(C756="",D756="",E756="",E756=0),0,C756*D756/E756)</f>
        <v>0</v>
      </c>
      <c r="G756" s="42"/>
      <c r="H756" s="49" t="n">
        <f aca="true">IF(OR($A756="",_xlfn.MINIFS($B$3:$B$5000,$A$3:$A$5000,$A756,$B$3:$B$5000,"&gt;"&amp;$B756)=0),NOW(),_xlfn.MINIFS($B$3:$B$5000,$A$3:$A$5000,$A756,$B$3:$B$5000,"&gt;"&amp;$B756))</f>
        <v>46279.5987643132</v>
      </c>
    </row>
    <row r="757" customFormat="false" ht="15" hidden="false" customHeight="true" outlineLevel="0" collapsed="false">
      <c r="A757" s="42"/>
      <c r="B757" s="42"/>
      <c r="C757" s="42"/>
      <c r="D757" s="42"/>
      <c r="E757" s="42"/>
      <c r="F757" s="51" t="n">
        <f aca="false">IF(OR(C757="",D757="",E757="",E757=0),0,C757*D757/E757)</f>
        <v>0</v>
      </c>
      <c r="G757" s="42"/>
      <c r="H757" s="49" t="n">
        <f aca="true">IF(OR($A757="",_xlfn.MINIFS($B$3:$B$5000,$A$3:$A$5000,$A757,$B$3:$B$5000,"&gt;"&amp;$B757)=0),NOW(),_xlfn.MINIFS($B$3:$B$5000,$A$3:$A$5000,$A757,$B$3:$B$5000,"&gt;"&amp;$B757))</f>
        <v>46279.5987643133</v>
      </c>
    </row>
    <row r="758" customFormat="false" ht="15" hidden="false" customHeight="true" outlineLevel="0" collapsed="false">
      <c r="A758" s="42"/>
      <c r="B758" s="42"/>
      <c r="C758" s="42"/>
      <c r="D758" s="42"/>
      <c r="E758" s="42"/>
      <c r="F758" s="51" t="n">
        <f aca="false">IF(OR(C758="",D758="",E758="",E758=0),0,C758*D758/E758)</f>
        <v>0</v>
      </c>
      <c r="G758" s="42"/>
      <c r="H758" s="49" t="n">
        <f aca="true">IF(OR($A758="",_xlfn.MINIFS($B$3:$B$5000,$A$3:$A$5000,$A758,$B$3:$B$5000,"&gt;"&amp;$B758)=0),NOW(),_xlfn.MINIFS($B$3:$B$5000,$A$3:$A$5000,$A758,$B$3:$B$5000,"&gt;"&amp;$B758))</f>
        <v>46279.5987643133</v>
      </c>
    </row>
    <row r="759" customFormat="false" ht="15" hidden="false" customHeight="true" outlineLevel="0" collapsed="false">
      <c r="A759" s="42"/>
      <c r="B759" s="42"/>
      <c r="C759" s="42"/>
      <c r="D759" s="42"/>
      <c r="E759" s="42"/>
      <c r="F759" s="51" t="n">
        <f aca="false">IF(OR(C759="",D759="",E759="",E759=0),0,C759*D759/E759)</f>
        <v>0</v>
      </c>
      <c r="G759" s="42"/>
      <c r="H759" s="49" t="n">
        <f aca="true">IF(OR($A759="",_xlfn.MINIFS($B$3:$B$5000,$A$3:$A$5000,$A759,$B$3:$B$5000,"&gt;"&amp;$B759)=0),NOW(),_xlfn.MINIFS($B$3:$B$5000,$A$3:$A$5000,$A759,$B$3:$B$5000,"&gt;"&amp;$B759))</f>
        <v>46279.5987643134</v>
      </c>
    </row>
    <row r="760" customFormat="false" ht="15" hidden="false" customHeight="true" outlineLevel="0" collapsed="false">
      <c r="A760" s="42"/>
      <c r="B760" s="42"/>
      <c r="C760" s="42"/>
      <c r="D760" s="42"/>
      <c r="E760" s="42"/>
      <c r="F760" s="51" t="n">
        <f aca="false">IF(OR(C760="",D760="",E760="",E760=0),0,C760*D760/E760)</f>
        <v>0</v>
      </c>
      <c r="G760" s="42"/>
      <c r="H760" s="49" t="n">
        <f aca="true">IF(OR($A760="",_xlfn.MINIFS($B$3:$B$5000,$A$3:$A$5000,$A760,$B$3:$B$5000,"&gt;"&amp;$B760)=0),NOW(),_xlfn.MINIFS($B$3:$B$5000,$A$3:$A$5000,$A760,$B$3:$B$5000,"&gt;"&amp;$B760))</f>
        <v>46279.5987643134</v>
      </c>
    </row>
    <row r="761" customFormat="false" ht="15" hidden="false" customHeight="true" outlineLevel="0" collapsed="false">
      <c r="A761" s="42"/>
      <c r="B761" s="42"/>
      <c r="C761" s="42"/>
      <c r="D761" s="42"/>
      <c r="E761" s="42"/>
      <c r="F761" s="51" t="n">
        <f aca="false">IF(OR(C761="",D761="",E761="",E761=0),0,C761*D761/E761)</f>
        <v>0</v>
      </c>
      <c r="G761" s="42"/>
      <c r="H761" s="49" t="n">
        <f aca="true">IF(OR($A761="",_xlfn.MINIFS($B$3:$B$5000,$A$3:$A$5000,$A761,$B$3:$B$5000,"&gt;"&amp;$B761)=0),NOW(),_xlfn.MINIFS($B$3:$B$5000,$A$3:$A$5000,$A761,$B$3:$B$5000,"&gt;"&amp;$B761))</f>
        <v>46279.5987643135</v>
      </c>
    </row>
    <row r="762" customFormat="false" ht="15" hidden="false" customHeight="true" outlineLevel="0" collapsed="false">
      <c r="A762" s="42"/>
      <c r="B762" s="42"/>
      <c r="C762" s="42"/>
      <c r="D762" s="42"/>
      <c r="E762" s="42"/>
      <c r="F762" s="51" t="n">
        <f aca="false">IF(OR(C762="",D762="",E762="",E762=0),0,C762*D762/E762)</f>
        <v>0</v>
      </c>
      <c r="G762" s="42"/>
      <c r="H762" s="49" t="n">
        <f aca="true">IF(OR($A762="",_xlfn.MINIFS($B$3:$B$5000,$A$3:$A$5000,$A762,$B$3:$B$5000,"&gt;"&amp;$B762)=0),NOW(),_xlfn.MINIFS($B$3:$B$5000,$A$3:$A$5000,$A762,$B$3:$B$5000,"&gt;"&amp;$B762))</f>
        <v>46279.5987643135</v>
      </c>
    </row>
    <row r="763" customFormat="false" ht="15" hidden="false" customHeight="true" outlineLevel="0" collapsed="false">
      <c r="A763" s="42"/>
      <c r="B763" s="42"/>
      <c r="C763" s="42"/>
      <c r="D763" s="42"/>
      <c r="E763" s="42"/>
      <c r="F763" s="51" t="n">
        <f aca="false">IF(OR(C763="",D763="",E763="",E763=0),0,C763*D763/E763)</f>
        <v>0</v>
      </c>
      <c r="G763" s="42"/>
      <c r="H763" s="49" t="n">
        <f aca="true">IF(OR($A763="",_xlfn.MINIFS($B$3:$B$5000,$A$3:$A$5000,$A763,$B$3:$B$5000,"&gt;"&amp;$B763)=0),NOW(),_xlfn.MINIFS($B$3:$B$5000,$A$3:$A$5000,$A763,$B$3:$B$5000,"&gt;"&amp;$B763))</f>
        <v>46279.5987643136</v>
      </c>
    </row>
    <row r="764" customFormat="false" ht="15" hidden="false" customHeight="true" outlineLevel="0" collapsed="false">
      <c r="A764" s="42"/>
      <c r="B764" s="42"/>
      <c r="C764" s="42"/>
      <c r="D764" s="42"/>
      <c r="E764" s="42"/>
      <c r="F764" s="51" t="n">
        <f aca="false">IF(OR(C764="",D764="",E764="",E764=0),0,C764*D764/E764)</f>
        <v>0</v>
      </c>
      <c r="G764" s="42"/>
      <c r="H764" s="49" t="n">
        <f aca="true">IF(OR($A764="",_xlfn.MINIFS($B$3:$B$5000,$A$3:$A$5000,$A764,$B$3:$B$5000,"&gt;"&amp;$B764)=0),NOW(),_xlfn.MINIFS($B$3:$B$5000,$A$3:$A$5000,$A764,$B$3:$B$5000,"&gt;"&amp;$B764))</f>
        <v>46279.5987643137</v>
      </c>
    </row>
    <row r="765" customFormat="false" ht="15" hidden="false" customHeight="true" outlineLevel="0" collapsed="false">
      <c r="A765" s="42"/>
      <c r="B765" s="42"/>
      <c r="C765" s="42"/>
      <c r="D765" s="42"/>
      <c r="E765" s="42"/>
      <c r="F765" s="51" t="n">
        <f aca="false">IF(OR(C765="",D765="",E765="",E765=0),0,C765*D765/E765)</f>
        <v>0</v>
      </c>
      <c r="G765" s="42"/>
      <c r="H765" s="49" t="n">
        <f aca="true">IF(OR($A765="",_xlfn.MINIFS($B$3:$B$5000,$A$3:$A$5000,$A765,$B$3:$B$5000,"&gt;"&amp;$B765)=0),NOW(),_xlfn.MINIFS($B$3:$B$5000,$A$3:$A$5000,$A765,$B$3:$B$5000,"&gt;"&amp;$B765))</f>
        <v>46279.5987643138</v>
      </c>
    </row>
    <row r="766" customFormat="false" ht="15" hidden="false" customHeight="true" outlineLevel="0" collapsed="false">
      <c r="A766" s="42"/>
      <c r="B766" s="42"/>
      <c r="C766" s="42"/>
      <c r="D766" s="42"/>
      <c r="E766" s="42"/>
      <c r="F766" s="51" t="n">
        <f aca="false">IF(OR(C766="",D766="",E766="",E766=0),0,C766*D766/E766)</f>
        <v>0</v>
      </c>
      <c r="G766" s="42"/>
      <c r="H766" s="49" t="n">
        <f aca="true">IF(OR($A766="",_xlfn.MINIFS($B$3:$B$5000,$A$3:$A$5000,$A766,$B$3:$B$5000,"&gt;"&amp;$B766)=0),NOW(),_xlfn.MINIFS($B$3:$B$5000,$A$3:$A$5000,$A766,$B$3:$B$5000,"&gt;"&amp;$B766))</f>
        <v>46279.5987643138</v>
      </c>
    </row>
    <row r="767" customFormat="false" ht="15" hidden="false" customHeight="true" outlineLevel="0" collapsed="false">
      <c r="A767" s="42"/>
      <c r="B767" s="42"/>
      <c r="C767" s="42"/>
      <c r="D767" s="42"/>
      <c r="E767" s="42"/>
      <c r="F767" s="51" t="n">
        <f aca="false">IF(OR(C767="",D767="",E767="",E767=0),0,C767*D767/E767)</f>
        <v>0</v>
      </c>
      <c r="G767" s="42"/>
      <c r="H767" s="49" t="n">
        <f aca="true">IF(OR($A767="",_xlfn.MINIFS($B$3:$B$5000,$A$3:$A$5000,$A767,$B$3:$B$5000,"&gt;"&amp;$B767)=0),NOW(),_xlfn.MINIFS($B$3:$B$5000,$A$3:$A$5000,$A767,$B$3:$B$5000,"&gt;"&amp;$B767))</f>
        <v>46279.5987643139</v>
      </c>
    </row>
    <row r="768" customFormat="false" ht="15" hidden="false" customHeight="true" outlineLevel="0" collapsed="false">
      <c r="A768" s="42"/>
      <c r="B768" s="42"/>
      <c r="C768" s="42"/>
      <c r="D768" s="42"/>
      <c r="E768" s="42"/>
      <c r="F768" s="51" t="n">
        <f aca="false">IF(OR(C768="",D768="",E768="",E768=0),0,C768*D768/E768)</f>
        <v>0</v>
      </c>
      <c r="G768" s="42"/>
      <c r="H768" s="49" t="n">
        <f aca="true">IF(OR($A768="",_xlfn.MINIFS($B$3:$B$5000,$A$3:$A$5000,$A768,$B$3:$B$5000,"&gt;"&amp;$B768)=0),NOW(),_xlfn.MINIFS($B$3:$B$5000,$A$3:$A$5000,$A768,$B$3:$B$5000,"&gt;"&amp;$B768))</f>
        <v>46279.5987643139</v>
      </c>
    </row>
    <row r="769" customFormat="false" ht="15" hidden="false" customHeight="true" outlineLevel="0" collapsed="false">
      <c r="A769" s="42"/>
      <c r="B769" s="42"/>
      <c r="C769" s="42"/>
      <c r="D769" s="42"/>
      <c r="E769" s="42"/>
      <c r="F769" s="51" t="n">
        <f aca="false">IF(OR(C769="",D769="",E769="",E769=0),0,C769*D769/E769)</f>
        <v>0</v>
      </c>
      <c r="G769" s="42"/>
      <c r="H769" s="49" t="n">
        <f aca="true">IF(OR($A769="",_xlfn.MINIFS($B$3:$B$5000,$A$3:$A$5000,$A769,$B$3:$B$5000,"&gt;"&amp;$B769)=0),NOW(),_xlfn.MINIFS($B$3:$B$5000,$A$3:$A$5000,$A769,$B$3:$B$5000,"&gt;"&amp;$B769))</f>
        <v>46279.598764314</v>
      </c>
    </row>
    <row r="770" customFormat="false" ht="15" hidden="false" customHeight="true" outlineLevel="0" collapsed="false">
      <c r="A770" s="42"/>
      <c r="B770" s="42"/>
      <c r="C770" s="42"/>
      <c r="D770" s="42"/>
      <c r="E770" s="42"/>
      <c r="F770" s="51" t="n">
        <f aca="false">IF(OR(C770="",D770="",E770="",E770=0),0,C770*D770/E770)</f>
        <v>0</v>
      </c>
      <c r="G770" s="42"/>
      <c r="H770" s="49" t="n">
        <f aca="true">IF(OR($A770="",_xlfn.MINIFS($B$3:$B$5000,$A$3:$A$5000,$A770,$B$3:$B$5000,"&gt;"&amp;$B770)=0),NOW(),_xlfn.MINIFS($B$3:$B$5000,$A$3:$A$5000,$A770,$B$3:$B$5000,"&gt;"&amp;$B770))</f>
        <v>46279.598764314</v>
      </c>
    </row>
    <row r="771" customFormat="false" ht="15" hidden="false" customHeight="true" outlineLevel="0" collapsed="false">
      <c r="A771" s="42"/>
      <c r="B771" s="42"/>
      <c r="C771" s="42"/>
      <c r="D771" s="42"/>
      <c r="E771" s="42"/>
      <c r="F771" s="51" t="n">
        <f aca="false">IF(OR(C771="",D771="",E771="",E771=0),0,C771*D771/E771)</f>
        <v>0</v>
      </c>
      <c r="G771" s="42"/>
      <c r="H771" s="49" t="n">
        <f aca="true">IF(OR($A771="",_xlfn.MINIFS($B$3:$B$5000,$A$3:$A$5000,$A771,$B$3:$B$5000,"&gt;"&amp;$B771)=0),NOW(),_xlfn.MINIFS($B$3:$B$5000,$A$3:$A$5000,$A771,$B$3:$B$5000,"&gt;"&amp;$B771))</f>
        <v>46279.5987643141</v>
      </c>
    </row>
    <row r="772" customFormat="false" ht="15" hidden="false" customHeight="true" outlineLevel="0" collapsed="false">
      <c r="A772" s="42"/>
      <c r="B772" s="42"/>
      <c r="C772" s="42"/>
      <c r="D772" s="42"/>
      <c r="E772" s="42"/>
      <c r="F772" s="51" t="n">
        <f aca="false">IF(OR(C772="",D772="",E772="",E772=0),0,C772*D772/E772)</f>
        <v>0</v>
      </c>
      <c r="G772" s="42"/>
      <c r="H772" s="49" t="n">
        <f aca="true">IF(OR($A772="",_xlfn.MINIFS($B$3:$B$5000,$A$3:$A$5000,$A772,$B$3:$B$5000,"&gt;"&amp;$B772)=0),NOW(),_xlfn.MINIFS($B$3:$B$5000,$A$3:$A$5000,$A772,$B$3:$B$5000,"&gt;"&amp;$B772))</f>
        <v>46279.5987643141</v>
      </c>
    </row>
    <row r="773" customFormat="false" ht="15" hidden="false" customHeight="true" outlineLevel="0" collapsed="false">
      <c r="A773" s="42"/>
      <c r="B773" s="42"/>
      <c r="C773" s="42"/>
      <c r="D773" s="42"/>
      <c r="E773" s="42"/>
      <c r="F773" s="51" t="n">
        <f aca="false">IF(OR(C773="",D773="",E773="",E773=0),0,C773*D773/E773)</f>
        <v>0</v>
      </c>
      <c r="G773" s="42"/>
      <c r="H773" s="49" t="n">
        <f aca="true">IF(OR($A773="",_xlfn.MINIFS($B$3:$B$5000,$A$3:$A$5000,$A773,$B$3:$B$5000,"&gt;"&amp;$B773)=0),NOW(),_xlfn.MINIFS($B$3:$B$5000,$A$3:$A$5000,$A773,$B$3:$B$5000,"&gt;"&amp;$B773))</f>
        <v>46279.5987643142</v>
      </c>
    </row>
    <row r="774" customFormat="false" ht="15" hidden="false" customHeight="true" outlineLevel="0" collapsed="false">
      <c r="A774" s="42"/>
      <c r="B774" s="42"/>
      <c r="C774" s="42"/>
      <c r="D774" s="42"/>
      <c r="E774" s="42"/>
      <c r="F774" s="51" t="n">
        <f aca="false">IF(OR(C774="",D774="",E774="",E774=0),0,C774*D774/E774)</f>
        <v>0</v>
      </c>
      <c r="G774" s="42"/>
      <c r="H774" s="49" t="n">
        <f aca="true">IF(OR($A774="",_xlfn.MINIFS($B$3:$B$5000,$A$3:$A$5000,$A774,$B$3:$B$5000,"&gt;"&amp;$B774)=0),NOW(),_xlfn.MINIFS($B$3:$B$5000,$A$3:$A$5000,$A774,$B$3:$B$5000,"&gt;"&amp;$B774))</f>
        <v>46279.5987643142</v>
      </c>
    </row>
    <row r="775" customFormat="false" ht="15" hidden="false" customHeight="true" outlineLevel="0" collapsed="false">
      <c r="A775" s="42"/>
      <c r="B775" s="42"/>
      <c r="C775" s="42"/>
      <c r="D775" s="42"/>
      <c r="E775" s="42"/>
      <c r="F775" s="51" t="n">
        <f aca="false">IF(OR(C775="",D775="",E775="",E775=0),0,C775*D775/E775)</f>
        <v>0</v>
      </c>
      <c r="G775" s="42"/>
      <c r="H775" s="49" t="n">
        <f aca="true">IF(OR($A775="",_xlfn.MINIFS($B$3:$B$5000,$A$3:$A$5000,$A775,$B$3:$B$5000,"&gt;"&amp;$B775)=0),NOW(),_xlfn.MINIFS($B$3:$B$5000,$A$3:$A$5000,$A775,$B$3:$B$5000,"&gt;"&amp;$B775))</f>
        <v>46279.5987643143</v>
      </c>
    </row>
    <row r="776" customFormat="false" ht="15" hidden="false" customHeight="true" outlineLevel="0" collapsed="false">
      <c r="A776" s="42"/>
      <c r="B776" s="42"/>
      <c r="C776" s="42"/>
      <c r="D776" s="42"/>
      <c r="E776" s="42"/>
      <c r="F776" s="51" t="n">
        <f aca="false">IF(OR(C776="",D776="",E776="",E776=0),0,C776*D776/E776)</f>
        <v>0</v>
      </c>
      <c r="G776" s="42"/>
      <c r="H776" s="49" t="n">
        <f aca="true">IF(OR($A776="",_xlfn.MINIFS($B$3:$B$5000,$A$3:$A$5000,$A776,$B$3:$B$5000,"&gt;"&amp;$B776)=0),NOW(),_xlfn.MINIFS($B$3:$B$5000,$A$3:$A$5000,$A776,$B$3:$B$5000,"&gt;"&amp;$B776))</f>
        <v>46279.5987643143</v>
      </c>
    </row>
    <row r="777" customFormat="false" ht="15" hidden="false" customHeight="true" outlineLevel="0" collapsed="false">
      <c r="A777" s="42"/>
      <c r="B777" s="42"/>
      <c r="C777" s="42"/>
      <c r="D777" s="42"/>
      <c r="E777" s="42"/>
      <c r="F777" s="51" t="n">
        <f aca="false">IF(OR(C777="",D777="",E777="",E777=0),0,C777*D777/E777)</f>
        <v>0</v>
      </c>
      <c r="G777" s="42"/>
      <c r="H777" s="49" t="n">
        <f aca="true">IF(OR($A777="",_xlfn.MINIFS($B$3:$B$5000,$A$3:$A$5000,$A777,$B$3:$B$5000,"&gt;"&amp;$B777)=0),NOW(),_xlfn.MINIFS($B$3:$B$5000,$A$3:$A$5000,$A777,$B$3:$B$5000,"&gt;"&amp;$B777))</f>
        <v>46279.5987643144</v>
      </c>
    </row>
    <row r="778" customFormat="false" ht="15" hidden="false" customHeight="true" outlineLevel="0" collapsed="false">
      <c r="A778" s="42"/>
      <c r="B778" s="42"/>
      <c r="C778" s="42"/>
      <c r="D778" s="42"/>
      <c r="E778" s="42"/>
      <c r="F778" s="51" t="n">
        <f aca="false">IF(OR(C778="",D778="",E778="",E778=0),0,C778*D778/E778)</f>
        <v>0</v>
      </c>
      <c r="G778" s="42"/>
      <c r="H778" s="49" t="n">
        <f aca="true">IF(OR($A778="",_xlfn.MINIFS($B$3:$B$5000,$A$3:$A$5000,$A778,$B$3:$B$5000,"&gt;"&amp;$B778)=0),NOW(),_xlfn.MINIFS($B$3:$B$5000,$A$3:$A$5000,$A778,$B$3:$B$5000,"&gt;"&amp;$B778))</f>
        <v>46279.5987643144</v>
      </c>
    </row>
    <row r="779" customFormat="false" ht="15" hidden="false" customHeight="true" outlineLevel="0" collapsed="false">
      <c r="A779" s="42"/>
      <c r="B779" s="42"/>
      <c r="C779" s="42"/>
      <c r="D779" s="42"/>
      <c r="E779" s="42"/>
      <c r="F779" s="51" t="n">
        <f aca="false">IF(OR(C779="",D779="",E779="",E779=0),0,C779*D779/E779)</f>
        <v>0</v>
      </c>
      <c r="G779" s="42"/>
      <c r="H779" s="49" t="n">
        <f aca="true">IF(OR($A779="",_xlfn.MINIFS($B$3:$B$5000,$A$3:$A$5000,$A779,$B$3:$B$5000,"&gt;"&amp;$B779)=0),NOW(),_xlfn.MINIFS($B$3:$B$5000,$A$3:$A$5000,$A779,$B$3:$B$5000,"&gt;"&amp;$B779))</f>
        <v>46279.5987643145</v>
      </c>
    </row>
    <row r="780" customFormat="false" ht="15" hidden="false" customHeight="true" outlineLevel="0" collapsed="false">
      <c r="A780" s="42"/>
      <c r="B780" s="42"/>
      <c r="C780" s="42"/>
      <c r="D780" s="42"/>
      <c r="E780" s="42"/>
      <c r="F780" s="51" t="n">
        <f aca="false">IF(OR(C780="",D780="",E780="",E780=0),0,C780*D780/E780)</f>
        <v>0</v>
      </c>
      <c r="G780" s="42"/>
      <c r="H780" s="49" t="n">
        <f aca="true">IF(OR($A780="",_xlfn.MINIFS($B$3:$B$5000,$A$3:$A$5000,$A780,$B$3:$B$5000,"&gt;"&amp;$B780)=0),NOW(),_xlfn.MINIFS($B$3:$B$5000,$A$3:$A$5000,$A780,$B$3:$B$5000,"&gt;"&amp;$B780))</f>
        <v>46279.5987643145</v>
      </c>
    </row>
    <row r="781" customFormat="false" ht="15" hidden="false" customHeight="true" outlineLevel="0" collapsed="false">
      <c r="A781" s="42"/>
      <c r="B781" s="42"/>
      <c r="C781" s="42"/>
      <c r="D781" s="42"/>
      <c r="E781" s="42"/>
      <c r="F781" s="51" t="n">
        <f aca="false">IF(OR(C781="",D781="",E781="",E781=0),0,C781*D781/E781)</f>
        <v>0</v>
      </c>
      <c r="G781" s="42"/>
      <c r="H781" s="49" t="n">
        <f aca="true">IF(OR($A781="",_xlfn.MINIFS($B$3:$B$5000,$A$3:$A$5000,$A781,$B$3:$B$5000,"&gt;"&amp;$B781)=0),NOW(),_xlfn.MINIFS($B$3:$B$5000,$A$3:$A$5000,$A781,$B$3:$B$5000,"&gt;"&amp;$B781))</f>
        <v>46279.5987643146</v>
      </c>
    </row>
    <row r="782" customFormat="false" ht="15" hidden="false" customHeight="true" outlineLevel="0" collapsed="false">
      <c r="A782" s="42"/>
      <c r="B782" s="42"/>
      <c r="C782" s="42"/>
      <c r="D782" s="42"/>
      <c r="E782" s="42"/>
      <c r="F782" s="51" t="n">
        <f aca="false">IF(OR(C782="",D782="",E782="",E782=0),0,C782*D782/E782)</f>
        <v>0</v>
      </c>
      <c r="G782" s="42"/>
      <c r="H782" s="49" t="n">
        <f aca="true">IF(OR($A782="",_xlfn.MINIFS($B$3:$B$5000,$A$3:$A$5000,$A782,$B$3:$B$5000,"&gt;"&amp;$B782)=0),NOW(),_xlfn.MINIFS($B$3:$B$5000,$A$3:$A$5000,$A782,$B$3:$B$5000,"&gt;"&amp;$B782))</f>
        <v>46279.5987643146</v>
      </c>
    </row>
    <row r="783" customFormat="false" ht="15" hidden="false" customHeight="true" outlineLevel="0" collapsed="false">
      <c r="A783" s="42"/>
      <c r="B783" s="42"/>
      <c r="C783" s="42"/>
      <c r="D783" s="42"/>
      <c r="E783" s="42"/>
      <c r="F783" s="51" t="n">
        <f aca="false">IF(OR(C783="",D783="",E783="",E783=0),0,C783*D783/E783)</f>
        <v>0</v>
      </c>
      <c r="G783" s="42"/>
      <c r="H783" s="49" t="n">
        <f aca="true">IF(OR($A783="",_xlfn.MINIFS($B$3:$B$5000,$A$3:$A$5000,$A783,$B$3:$B$5000,"&gt;"&amp;$B783)=0),NOW(),_xlfn.MINIFS($B$3:$B$5000,$A$3:$A$5000,$A783,$B$3:$B$5000,"&gt;"&amp;$B783))</f>
        <v>46279.5987643147</v>
      </c>
    </row>
    <row r="784" customFormat="false" ht="15" hidden="false" customHeight="true" outlineLevel="0" collapsed="false">
      <c r="A784" s="42"/>
      <c r="B784" s="42"/>
      <c r="C784" s="42"/>
      <c r="D784" s="42"/>
      <c r="E784" s="42"/>
      <c r="F784" s="51" t="n">
        <f aca="false">IF(OR(C784="",D784="",E784="",E784=0),0,C784*D784/E784)</f>
        <v>0</v>
      </c>
      <c r="G784" s="42"/>
      <c r="H784" s="49" t="n">
        <f aca="true">IF(OR($A784="",_xlfn.MINIFS($B$3:$B$5000,$A$3:$A$5000,$A784,$B$3:$B$5000,"&gt;"&amp;$B784)=0),NOW(),_xlfn.MINIFS($B$3:$B$5000,$A$3:$A$5000,$A784,$B$3:$B$5000,"&gt;"&amp;$B784))</f>
        <v>46279.5987643147</v>
      </c>
    </row>
    <row r="785" customFormat="false" ht="15" hidden="false" customHeight="true" outlineLevel="0" collapsed="false">
      <c r="A785" s="42"/>
      <c r="B785" s="42"/>
      <c r="C785" s="42"/>
      <c r="D785" s="42"/>
      <c r="E785" s="42"/>
      <c r="F785" s="51" t="n">
        <f aca="false">IF(OR(C785="",D785="",E785="",E785=0),0,C785*D785/E785)</f>
        <v>0</v>
      </c>
      <c r="G785" s="42"/>
      <c r="H785" s="49" t="n">
        <f aca="true">IF(OR($A785="",_xlfn.MINIFS($B$3:$B$5000,$A$3:$A$5000,$A785,$B$3:$B$5000,"&gt;"&amp;$B785)=0),NOW(),_xlfn.MINIFS($B$3:$B$5000,$A$3:$A$5000,$A785,$B$3:$B$5000,"&gt;"&amp;$B785))</f>
        <v>46279.5987643148</v>
      </c>
    </row>
    <row r="786" customFormat="false" ht="15" hidden="false" customHeight="true" outlineLevel="0" collapsed="false">
      <c r="A786" s="42"/>
      <c r="B786" s="42"/>
      <c r="C786" s="42"/>
      <c r="D786" s="42"/>
      <c r="E786" s="42"/>
      <c r="F786" s="51" t="n">
        <f aca="false">IF(OR(C786="",D786="",E786="",E786=0),0,C786*D786/E786)</f>
        <v>0</v>
      </c>
      <c r="G786" s="42"/>
      <c r="H786" s="49" t="n">
        <f aca="true">IF(OR($A786="",_xlfn.MINIFS($B$3:$B$5000,$A$3:$A$5000,$A786,$B$3:$B$5000,"&gt;"&amp;$B786)=0),NOW(),_xlfn.MINIFS($B$3:$B$5000,$A$3:$A$5000,$A786,$B$3:$B$5000,"&gt;"&amp;$B786))</f>
        <v>46279.5987643148</v>
      </c>
    </row>
    <row r="787" customFormat="false" ht="15" hidden="false" customHeight="true" outlineLevel="0" collapsed="false">
      <c r="A787" s="42"/>
      <c r="B787" s="42"/>
      <c r="C787" s="42"/>
      <c r="D787" s="42"/>
      <c r="E787" s="42"/>
      <c r="F787" s="51" t="n">
        <f aca="false">IF(OR(C787="",D787="",E787="",E787=0),0,C787*D787/E787)</f>
        <v>0</v>
      </c>
      <c r="G787" s="42"/>
      <c r="H787" s="49" t="n">
        <f aca="true">IF(OR($A787="",_xlfn.MINIFS($B$3:$B$5000,$A$3:$A$5000,$A787,$B$3:$B$5000,"&gt;"&amp;$B787)=0),NOW(),_xlfn.MINIFS($B$3:$B$5000,$A$3:$A$5000,$A787,$B$3:$B$5000,"&gt;"&amp;$B787))</f>
        <v>46279.5987643149</v>
      </c>
    </row>
    <row r="788" customFormat="false" ht="15" hidden="false" customHeight="true" outlineLevel="0" collapsed="false">
      <c r="A788" s="42"/>
      <c r="B788" s="42"/>
      <c r="C788" s="42"/>
      <c r="D788" s="42"/>
      <c r="E788" s="42"/>
      <c r="F788" s="51" t="n">
        <f aca="false">IF(OR(C788="",D788="",E788="",E788=0),0,C788*D788/E788)</f>
        <v>0</v>
      </c>
      <c r="G788" s="42"/>
      <c r="H788" s="49" t="n">
        <f aca="true">IF(OR($A788="",_xlfn.MINIFS($B$3:$B$5000,$A$3:$A$5000,$A788,$B$3:$B$5000,"&gt;"&amp;$B788)=0),NOW(),_xlfn.MINIFS($B$3:$B$5000,$A$3:$A$5000,$A788,$B$3:$B$5000,"&gt;"&amp;$B788))</f>
        <v>46279.5987643149</v>
      </c>
    </row>
    <row r="789" customFormat="false" ht="15" hidden="false" customHeight="true" outlineLevel="0" collapsed="false">
      <c r="A789" s="42"/>
      <c r="B789" s="42"/>
      <c r="C789" s="42"/>
      <c r="D789" s="42"/>
      <c r="E789" s="42"/>
      <c r="F789" s="51" t="n">
        <f aca="false">IF(OR(C789="",D789="",E789="",E789=0),0,C789*D789/E789)</f>
        <v>0</v>
      </c>
      <c r="G789" s="42"/>
      <c r="H789" s="49" t="n">
        <f aca="true">IF(OR($A789="",_xlfn.MINIFS($B$3:$B$5000,$A$3:$A$5000,$A789,$B$3:$B$5000,"&gt;"&amp;$B789)=0),NOW(),_xlfn.MINIFS($B$3:$B$5000,$A$3:$A$5000,$A789,$B$3:$B$5000,"&gt;"&amp;$B789))</f>
        <v>46279.598764315</v>
      </c>
    </row>
    <row r="790" customFormat="false" ht="15" hidden="false" customHeight="true" outlineLevel="0" collapsed="false">
      <c r="A790" s="42"/>
      <c r="B790" s="42"/>
      <c r="C790" s="42"/>
      <c r="D790" s="42"/>
      <c r="E790" s="42"/>
      <c r="F790" s="51" t="n">
        <f aca="false">IF(OR(C790="",D790="",E790="",E790=0),0,C790*D790/E790)</f>
        <v>0</v>
      </c>
      <c r="G790" s="42"/>
      <c r="H790" s="49" t="n">
        <f aca="true">IF(OR($A790="",_xlfn.MINIFS($B$3:$B$5000,$A$3:$A$5000,$A790,$B$3:$B$5000,"&gt;"&amp;$B790)=0),NOW(),_xlfn.MINIFS($B$3:$B$5000,$A$3:$A$5000,$A790,$B$3:$B$5000,"&gt;"&amp;$B790))</f>
        <v>46279.598764315</v>
      </c>
    </row>
    <row r="791" customFormat="false" ht="15" hidden="false" customHeight="true" outlineLevel="0" collapsed="false">
      <c r="A791" s="42"/>
      <c r="B791" s="42"/>
      <c r="C791" s="42"/>
      <c r="D791" s="42"/>
      <c r="E791" s="42"/>
      <c r="F791" s="51" t="n">
        <f aca="false">IF(OR(C791="",D791="",E791="",E791=0),0,C791*D791/E791)</f>
        <v>0</v>
      </c>
      <c r="G791" s="42"/>
      <c r="H791" s="49" t="n">
        <f aca="true">IF(OR($A791="",_xlfn.MINIFS($B$3:$B$5000,$A$3:$A$5000,$A791,$B$3:$B$5000,"&gt;"&amp;$B791)=0),NOW(),_xlfn.MINIFS($B$3:$B$5000,$A$3:$A$5000,$A791,$B$3:$B$5000,"&gt;"&amp;$B791))</f>
        <v>46279.5987643151</v>
      </c>
    </row>
    <row r="792" customFormat="false" ht="15" hidden="false" customHeight="true" outlineLevel="0" collapsed="false">
      <c r="A792" s="42"/>
      <c r="B792" s="42"/>
      <c r="C792" s="42"/>
      <c r="D792" s="42"/>
      <c r="E792" s="42"/>
      <c r="F792" s="51" t="n">
        <f aca="false">IF(OR(C792="",D792="",E792="",E792=0),0,C792*D792/E792)</f>
        <v>0</v>
      </c>
      <c r="G792" s="42"/>
      <c r="H792" s="49" t="n">
        <f aca="true">IF(OR($A792="",_xlfn.MINIFS($B$3:$B$5000,$A$3:$A$5000,$A792,$B$3:$B$5000,"&gt;"&amp;$B792)=0),NOW(),_xlfn.MINIFS($B$3:$B$5000,$A$3:$A$5000,$A792,$B$3:$B$5000,"&gt;"&amp;$B792))</f>
        <v>46279.5987643151</v>
      </c>
    </row>
    <row r="793" customFormat="false" ht="15" hidden="false" customHeight="true" outlineLevel="0" collapsed="false">
      <c r="A793" s="42"/>
      <c r="B793" s="42"/>
      <c r="C793" s="42"/>
      <c r="D793" s="42"/>
      <c r="E793" s="42"/>
      <c r="F793" s="51" t="n">
        <f aca="false">IF(OR(C793="",D793="",E793="",E793=0),0,C793*D793/E793)</f>
        <v>0</v>
      </c>
      <c r="G793" s="42"/>
      <c r="H793" s="49" t="n">
        <f aca="true">IF(OR($A793="",_xlfn.MINIFS($B$3:$B$5000,$A$3:$A$5000,$A793,$B$3:$B$5000,"&gt;"&amp;$B793)=0),NOW(),_xlfn.MINIFS($B$3:$B$5000,$A$3:$A$5000,$A793,$B$3:$B$5000,"&gt;"&amp;$B793))</f>
        <v>46279.5987643151</v>
      </c>
    </row>
    <row r="794" customFormat="false" ht="15" hidden="false" customHeight="true" outlineLevel="0" collapsed="false">
      <c r="A794" s="42"/>
      <c r="B794" s="42"/>
      <c r="C794" s="42"/>
      <c r="D794" s="42"/>
      <c r="E794" s="42"/>
      <c r="F794" s="51" t="n">
        <f aca="false">IF(OR(C794="",D794="",E794="",E794=0),0,C794*D794/E794)</f>
        <v>0</v>
      </c>
      <c r="G794" s="42"/>
      <c r="H794" s="49" t="n">
        <f aca="true">IF(OR($A794="",_xlfn.MINIFS($B$3:$B$5000,$A$3:$A$5000,$A794,$B$3:$B$5000,"&gt;"&amp;$B794)=0),NOW(),_xlfn.MINIFS($B$3:$B$5000,$A$3:$A$5000,$A794,$B$3:$B$5000,"&gt;"&amp;$B794))</f>
        <v>46279.5987643154</v>
      </c>
    </row>
    <row r="795" customFormat="false" ht="15" hidden="false" customHeight="true" outlineLevel="0" collapsed="false">
      <c r="A795" s="42"/>
      <c r="B795" s="42"/>
      <c r="C795" s="42"/>
      <c r="D795" s="42"/>
      <c r="E795" s="42"/>
      <c r="F795" s="51" t="n">
        <f aca="false">IF(OR(C795="",D795="",E795="",E795=0),0,C795*D795/E795)</f>
        <v>0</v>
      </c>
      <c r="G795" s="42"/>
      <c r="H795" s="49" t="n">
        <f aca="true">IF(OR($A795="",_xlfn.MINIFS($B$3:$B$5000,$A$3:$A$5000,$A795,$B$3:$B$5000,"&gt;"&amp;$B795)=0),NOW(),_xlfn.MINIFS($B$3:$B$5000,$A$3:$A$5000,$A795,$B$3:$B$5000,"&gt;"&amp;$B795))</f>
        <v>46279.5987643155</v>
      </c>
    </row>
    <row r="796" customFormat="false" ht="15" hidden="false" customHeight="true" outlineLevel="0" collapsed="false">
      <c r="A796" s="42"/>
      <c r="B796" s="42"/>
      <c r="C796" s="42"/>
      <c r="D796" s="42"/>
      <c r="E796" s="42"/>
      <c r="F796" s="51" t="n">
        <f aca="false">IF(OR(C796="",D796="",E796="",E796=0),0,C796*D796/E796)</f>
        <v>0</v>
      </c>
      <c r="G796" s="42"/>
      <c r="H796" s="49" t="n">
        <f aca="true">IF(OR($A796="",_xlfn.MINIFS($B$3:$B$5000,$A$3:$A$5000,$A796,$B$3:$B$5000,"&gt;"&amp;$B796)=0),NOW(),_xlfn.MINIFS($B$3:$B$5000,$A$3:$A$5000,$A796,$B$3:$B$5000,"&gt;"&amp;$B796))</f>
        <v>46279.5987643155</v>
      </c>
    </row>
    <row r="797" customFormat="false" ht="15" hidden="false" customHeight="true" outlineLevel="0" collapsed="false">
      <c r="A797" s="42"/>
      <c r="B797" s="42"/>
      <c r="C797" s="42"/>
      <c r="D797" s="42"/>
      <c r="E797" s="42"/>
      <c r="F797" s="51" t="n">
        <f aca="false">IF(OR(C797="",D797="",E797="",E797=0),0,C797*D797/E797)</f>
        <v>0</v>
      </c>
      <c r="G797" s="42"/>
      <c r="H797" s="49" t="n">
        <f aca="true">IF(OR($A797="",_xlfn.MINIFS($B$3:$B$5000,$A$3:$A$5000,$A797,$B$3:$B$5000,"&gt;"&amp;$B797)=0),NOW(),_xlfn.MINIFS($B$3:$B$5000,$A$3:$A$5000,$A797,$B$3:$B$5000,"&gt;"&amp;$B797))</f>
        <v>46279.5987643156</v>
      </c>
    </row>
    <row r="798" customFormat="false" ht="15" hidden="false" customHeight="true" outlineLevel="0" collapsed="false">
      <c r="A798" s="42"/>
      <c r="B798" s="42"/>
      <c r="C798" s="42"/>
      <c r="D798" s="42"/>
      <c r="E798" s="42"/>
      <c r="F798" s="51" t="n">
        <f aca="false">IF(OR(C798="",D798="",E798="",E798=0),0,C798*D798/E798)</f>
        <v>0</v>
      </c>
      <c r="G798" s="42"/>
      <c r="H798" s="49" t="n">
        <f aca="true">IF(OR($A798="",_xlfn.MINIFS($B$3:$B$5000,$A$3:$A$5000,$A798,$B$3:$B$5000,"&gt;"&amp;$B798)=0),NOW(),_xlfn.MINIFS($B$3:$B$5000,$A$3:$A$5000,$A798,$B$3:$B$5000,"&gt;"&amp;$B798))</f>
        <v>46279.5987643157</v>
      </c>
    </row>
    <row r="799" customFormat="false" ht="15" hidden="false" customHeight="true" outlineLevel="0" collapsed="false">
      <c r="A799" s="42"/>
      <c r="B799" s="42"/>
      <c r="C799" s="42"/>
      <c r="D799" s="42"/>
      <c r="E799" s="42"/>
      <c r="F799" s="51" t="n">
        <f aca="false">IF(OR(C799="",D799="",E799="",E799=0),0,C799*D799/E799)</f>
        <v>0</v>
      </c>
      <c r="G799" s="42"/>
      <c r="H799" s="49" t="n">
        <f aca="true">IF(OR($A799="",_xlfn.MINIFS($B$3:$B$5000,$A$3:$A$5000,$A799,$B$3:$B$5000,"&gt;"&amp;$B799)=0),NOW(),_xlfn.MINIFS($B$3:$B$5000,$A$3:$A$5000,$A799,$B$3:$B$5000,"&gt;"&amp;$B799))</f>
        <v>46279.5987643157</v>
      </c>
    </row>
    <row r="800" customFormat="false" ht="15" hidden="false" customHeight="true" outlineLevel="0" collapsed="false">
      <c r="A800" s="42"/>
      <c r="B800" s="42"/>
      <c r="C800" s="42"/>
      <c r="D800" s="42"/>
      <c r="E800" s="42"/>
      <c r="F800" s="51" t="n">
        <f aca="false">IF(OR(C800="",D800="",E800="",E800=0),0,C800*D800/E800)</f>
        <v>0</v>
      </c>
      <c r="G800" s="42"/>
      <c r="H800" s="49" t="n">
        <f aca="true">IF(OR($A800="",_xlfn.MINIFS($B$3:$B$5000,$A$3:$A$5000,$A800,$B$3:$B$5000,"&gt;"&amp;$B800)=0),NOW(),_xlfn.MINIFS($B$3:$B$5000,$A$3:$A$5000,$A800,$B$3:$B$5000,"&gt;"&amp;$B800))</f>
        <v>46279.5987643158</v>
      </c>
    </row>
    <row r="801" customFormat="false" ht="15" hidden="false" customHeight="true" outlineLevel="0" collapsed="false">
      <c r="A801" s="42"/>
      <c r="B801" s="42"/>
      <c r="C801" s="42"/>
      <c r="D801" s="42"/>
      <c r="E801" s="42"/>
      <c r="F801" s="51" t="n">
        <f aca="false">IF(OR(C801="",D801="",E801="",E801=0),0,C801*D801/E801)</f>
        <v>0</v>
      </c>
      <c r="G801" s="42"/>
      <c r="H801" s="49" t="n">
        <f aca="true">IF(OR($A801="",_xlfn.MINIFS($B$3:$B$5000,$A$3:$A$5000,$A801,$B$3:$B$5000,"&gt;"&amp;$B801)=0),NOW(),_xlfn.MINIFS($B$3:$B$5000,$A$3:$A$5000,$A801,$B$3:$B$5000,"&gt;"&amp;$B801))</f>
        <v>46279.5987643158</v>
      </c>
    </row>
    <row r="802" customFormat="false" ht="15" hidden="false" customHeight="true" outlineLevel="0" collapsed="false">
      <c r="A802" s="42"/>
      <c r="B802" s="42"/>
      <c r="C802" s="42"/>
      <c r="D802" s="42"/>
      <c r="E802" s="42"/>
      <c r="F802" s="51" t="n">
        <f aca="false">IF(OR(C802="",D802="",E802="",E802=0),0,C802*D802/E802)</f>
        <v>0</v>
      </c>
      <c r="G802" s="42"/>
      <c r="H802" s="49" t="n">
        <f aca="true">IF(OR($A802="",_xlfn.MINIFS($B$3:$B$5000,$A$3:$A$5000,$A802,$B$3:$B$5000,"&gt;"&amp;$B802)=0),NOW(),_xlfn.MINIFS($B$3:$B$5000,$A$3:$A$5000,$A802,$B$3:$B$5000,"&gt;"&amp;$B802))</f>
        <v>46279.5987643159</v>
      </c>
    </row>
    <row r="803" customFormat="false" ht="15" hidden="false" customHeight="true" outlineLevel="0" collapsed="false">
      <c r="A803" s="42"/>
      <c r="B803" s="42"/>
      <c r="C803" s="42"/>
      <c r="D803" s="42"/>
      <c r="E803" s="42"/>
      <c r="F803" s="51" t="n">
        <f aca="false">IF(OR(C803="",D803="",E803="",E803=0),0,C803*D803/E803)</f>
        <v>0</v>
      </c>
      <c r="G803" s="42"/>
      <c r="H803" s="49" t="n">
        <f aca="true">IF(OR($A803="",_xlfn.MINIFS($B$3:$B$5000,$A$3:$A$5000,$A803,$B$3:$B$5000,"&gt;"&amp;$B803)=0),NOW(),_xlfn.MINIFS($B$3:$B$5000,$A$3:$A$5000,$A803,$B$3:$B$5000,"&gt;"&amp;$B803))</f>
        <v>46279.5987643159</v>
      </c>
    </row>
    <row r="804" customFormat="false" ht="15" hidden="false" customHeight="true" outlineLevel="0" collapsed="false">
      <c r="A804" s="42"/>
      <c r="B804" s="42"/>
      <c r="C804" s="42"/>
      <c r="D804" s="42"/>
      <c r="E804" s="42"/>
      <c r="F804" s="51" t="n">
        <f aca="false">IF(OR(C804="",D804="",E804="",E804=0),0,C804*D804/E804)</f>
        <v>0</v>
      </c>
      <c r="G804" s="42"/>
      <c r="H804" s="49" t="n">
        <f aca="true">IF(OR($A804="",_xlfn.MINIFS($B$3:$B$5000,$A$3:$A$5000,$A804,$B$3:$B$5000,"&gt;"&amp;$B804)=0),NOW(),_xlfn.MINIFS($B$3:$B$5000,$A$3:$A$5000,$A804,$B$3:$B$5000,"&gt;"&amp;$B804))</f>
        <v>46279.598764316</v>
      </c>
    </row>
    <row r="805" customFormat="false" ht="15" hidden="false" customHeight="true" outlineLevel="0" collapsed="false">
      <c r="A805" s="42"/>
      <c r="B805" s="42"/>
      <c r="C805" s="42"/>
      <c r="D805" s="42"/>
      <c r="E805" s="42"/>
      <c r="F805" s="51" t="n">
        <f aca="false">IF(OR(C805="",D805="",E805="",E805=0),0,C805*D805/E805)</f>
        <v>0</v>
      </c>
      <c r="G805" s="42"/>
      <c r="H805" s="49" t="n">
        <f aca="true">IF(OR($A805="",_xlfn.MINIFS($B$3:$B$5000,$A$3:$A$5000,$A805,$B$3:$B$5000,"&gt;"&amp;$B805)=0),NOW(),_xlfn.MINIFS($B$3:$B$5000,$A$3:$A$5000,$A805,$B$3:$B$5000,"&gt;"&amp;$B805))</f>
        <v>46279.598764316</v>
      </c>
    </row>
    <row r="806" customFormat="false" ht="15" hidden="false" customHeight="true" outlineLevel="0" collapsed="false">
      <c r="A806" s="42"/>
      <c r="B806" s="42"/>
      <c r="C806" s="42"/>
      <c r="D806" s="42"/>
      <c r="E806" s="42"/>
      <c r="F806" s="51" t="n">
        <f aca="false">IF(OR(C806="",D806="",E806="",E806=0),0,C806*D806/E806)</f>
        <v>0</v>
      </c>
      <c r="G806" s="42"/>
      <c r="H806" s="49" t="n">
        <f aca="true">IF(OR($A806="",_xlfn.MINIFS($B$3:$B$5000,$A$3:$A$5000,$A806,$B$3:$B$5000,"&gt;"&amp;$B806)=0),NOW(),_xlfn.MINIFS($B$3:$B$5000,$A$3:$A$5000,$A806,$B$3:$B$5000,"&gt;"&amp;$B806))</f>
        <v>46279.5987643161</v>
      </c>
    </row>
    <row r="807" customFormat="false" ht="15" hidden="false" customHeight="true" outlineLevel="0" collapsed="false">
      <c r="A807" s="42"/>
      <c r="B807" s="42"/>
      <c r="C807" s="42"/>
      <c r="D807" s="42"/>
      <c r="E807" s="42"/>
      <c r="F807" s="51" t="n">
        <f aca="false">IF(OR(C807="",D807="",E807="",E807=0),0,C807*D807/E807)</f>
        <v>0</v>
      </c>
      <c r="G807" s="42"/>
      <c r="H807" s="49" t="n">
        <f aca="true">IF(OR($A807="",_xlfn.MINIFS($B$3:$B$5000,$A$3:$A$5000,$A807,$B$3:$B$5000,"&gt;"&amp;$B807)=0),NOW(),_xlfn.MINIFS($B$3:$B$5000,$A$3:$A$5000,$A807,$B$3:$B$5000,"&gt;"&amp;$B807))</f>
        <v>46279.5987643161</v>
      </c>
    </row>
    <row r="808" customFormat="false" ht="15" hidden="false" customHeight="true" outlineLevel="0" collapsed="false">
      <c r="A808" s="42"/>
      <c r="B808" s="42"/>
      <c r="C808" s="42"/>
      <c r="D808" s="42"/>
      <c r="E808" s="42"/>
      <c r="F808" s="51" t="n">
        <f aca="false">IF(OR(C808="",D808="",E808="",E808=0),0,C808*D808/E808)</f>
        <v>0</v>
      </c>
      <c r="G808" s="42"/>
      <c r="H808" s="49" t="n">
        <f aca="true">IF(OR($A808="",_xlfn.MINIFS($B$3:$B$5000,$A$3:$A$5000,$A808,$B$3:$B$5000,"&gt;"&amp;$B808)=0),NOW(),_xlfn.MINIFS($B$3:$B$5000,$A$3:$A$5000,$A808,$B$3:$B$5000,"&gt;"&amp;$B808))</f>
        <v>46279.5987643162</v>
      </c>
    </row>
    <row r="809" customFormat="false" ht="15" hidden="false" customHeight="true" outlineLevel="0" collapsed="false">
      <c r="A809" s="42"/>
      <c r="B809" s="42"/>
      <c r="C809" s="42"/>
      <c r="D809" s="42"/>
      <c r="E809" s="42"/>
      <c r="F809" s="51" t="n">
        <f aca="false">IF(OR(C809="",D809="",E809="",E809=0),0,C809*D809/E809)</f>
        <v>0</v>
      </c>
      <c r="G809" s="42"/>
      <c r="H809" s="49" t="n">
        <f aca="true">IF(OR($A809="",_xlfn.MINIFS($B$3:$B$5000,$A$3:$A$5000,$A809,$B$3:$B$5000,"&gt;"&amp;$B809)=0),NOW(),_xlfn.MINIFS($B$3:$B$5000,$A$3:$A$5000,$A809,$B$3:$B$5000,"&gt;"&amp;$B809))</f>
        <v>46279.5987643162</v>
      </c>
    </row>
    <row r="810" customFormat="false" ht="15" hidden="false" customHeight="true" outlineLevel="0" collapsed="false">
      <c r="A810" s="42"/>
      <c r="B810" s="42"/>
      <c r="C810" s="42"/>
      <c r="D810" s="42"/>
      <c r="E810" s="42"/>
      <c r="F810" s="51" t="n">
        <f aca="false">IF(OR(C810="",D810="",E810="",E810=0),0,C810*D810/E810)</f>
        <v>0</v>
      </c>
      <c r="G810" s="42"/>
      <c r="H810" s="49" t="n">
        <f aca="true">IF(OR($A810="",_xlfn.MINIFS($B$3:$B$5000,$A$3:$A$5000,$A810,$B$3:$B$5000,"&gt;"&amp;$B810)=0),NOW(),_xlfn.MINIFS($B$3:$B$5000,$A$3:$A$5000,$A810,$B$3:$B$5000,"&gt;"&amp;$B810))</f>
        <v>46279.5987643163</v>
      </c>
    </row>
    <row r="811" customFormat="false" ht="15" hidden="false" customHeight="true" outlineLevel="0" collapsed="false">
      <c r="A811" s="42"/>
      <c r="B811" s="42"/>
      <c r="C811" s="42"/>
      <c r="D811" s="42"/>
      <c r="E811" s="42"/>
      <c r="F811" s="51" t="n">
        <f aca="false">IF(OR(C811="",D811="",E811="",E811=0),0,C811*D811/E811)</f>
        <v>0</v>
      </c>
      <c r="G811" s="42"/>
      <c r="H811" s="49" t="n">
        <f aca="true">IF(OR($A811="",_xlfn.MINIFS($B$3:$B$5000,$A$3:$A$5000,$A811,$B$3:$B$5000,"&gt;"&amp;$B811)=0),NOW(),_xlfn.MINIFS($B$3:$B$5000,$A$3:$A$5000,$A811,$B$3:$B$5000,"&gt;"&amp;$B811))</f>
        <v>46279.5987643163</v>
      </c>
    </row>
    <row r="812" customFormat="false" ht="15" hidden="false" customHeight="true" outlineLevel="0" collapsed="false">
      <c r="A812" s="42"/>
      <c r="B812" s="42"/>
      <c r="C812" s="42"/>
      <c r="D812" s="42"/>
      <c r="E812" s="42"/>
      <c r="F812" s="51" t="n">
        <f aca="false">IF(OR(C812="",D812="",E812="",E812=0),0,C812*D812/E812)</f>
        <v>0</v>
      </c>
      <c r="G812" s="42"/>
      <c r="H812" s="49" t="n">
        <f aca="true">IF(OR($A812="",_xlfn.MINIFS($B$3:$B$5000,$A$3:$A$5000,$A812,$B$3:$B$5000,"&gt;"&amp;$B812)=0),NOW(),_xlfn.MINIFS($B$3:$B$5000,$A$3:$A$5000,$A812,$B$3:$B$5000,"&gt;"&amp;$B812))</f>
        <v>46279.5987643164</v>
      </c>
    </row>
    <row r="813" customFormat="false" ht="15" hidden="false" customHeight="true" outlineLevel="0" collapsed="false">
      <c r="A813" s="42"/>
      <c r="B813" s="42"/>
      <c r="C813" s="42"/>
      <c r="D813" s="42"/>
      <c r="E813" s="42"/>
      <c r="F813" s="51" t="n">
        <f aca="false">IF(OR(C813="",D813="",E813="",E813=0),0,C813*D813/E813)</f>
        <v>0</v>
      </c>
      <c r="G813" s="42"/>
      <c r="H813" s="49" t="n">
        <f aca="true">IF(OR($A813="",_xlfn.MINIFS($B$3:$B$5000,$A$3:$A$5000,$A813,$B$3:$B$5000,"&gt;"&amp;$B813)=0),NOW(),_xlfn.MINIFS($B$3:$B$5000,$A$3:$A$5000,$A813,$B$3:$B$5000,"&gt;"&amp;$B813))</f>
        <v>46279.5987643164</v>
      </c>
    </row>
    <row r="814" customFormat="false" ht="15" hidden="false" customHeight="true" outlineLevel="0" collapsed="false">
      <c r="A814" s="42"/>
      <c r="B814" s="42"/>
      <c r="C814" s="42"/>
      <c r="D814" s="42"/>
      <c r="E814" s="42"/>
      <c r="F814" s="51" t="n">
        <f aca="false">IF(OR(C814="",D814="",E814="",E814=0),0,C814*D814/E814)</f>
        <v>0</v>
      </c>
      <c r="G814" s="42"/>
      <c r="H814" s="49" t="n">
        <f aca="true">IF(OR($A814="",_xlfn.MINIFS($B$3:$B$5000,$A$3:$A$5000,$A814,$B$3:$B$5000,"&gt;"&amp;$B814)=0),NOW(),_xlfn.MINIFS($B$3:$B$5000,$A$3:$A$5000,$A814,$B$3:$B$5000,"&gt;"&amp;$B814))</f>
        <v>46279.5987643165</v>
      </c>
    </row>
    <row r="815" customFormat="false" ht="15" hidden="false" customHeight="true" outlineLevel="0" collapsed="false">
      <c r="A815" s="42"/>
      <c r="B815" s="42"/>
      <c r="C815" s="42"/>
      <c r="D815" s="42"/>
      <c r="E815" s="42"/>
      <c r="F815" s="51" t="n">
        <f aca="false">IF(OR(C815="",D815="",E815="",E815=0),0,C815*D815/E815)</f>
        <v>0</v>
      </c>
      <c r="G815" s="42"/>
      <c r="H815" s="49" t="n">
        <f aca="true">IF(OR($A815="",_xlfn.MINIFS($B$3:$B$5000,$A$3:$A$5000,$A815,$B$3:$B$5000,"&gt;"&amp;$B815)=0),NOW(),_xlfn.MINIFS($B$3:$B$5000,$A$3:$A$5000,$A815,$B$3:$B$5000,"&gt;"&amp;$B815))</f>
        <v>46279.5987643165</v>
      </c>
    </row>
    <row r="816" customFormat="false" ht="15" hidden="false" customHeight="true" outlineLevel="0" collapsed="false">
      <c r="A816" s="42"/>
      <c r="B816" s="42"/>
      <c r="C816" s="42"/>
      <c r="D816" s="42"/>
      <c r="E816" s="42"/>
      <c r="F816" s="51" t="n">
        <f aca="false">IF(OR(C816="",D816="",E816="",E816=0),0,C816*D816/E816)</f>
        <v>0</v>
      </c>
      <c r="G816" s="42"/>
      <c r="H816" s="49" t="n">
        <f aca="true">IF(OR($A816="",_xlfn.MINIFS($B$3:$B$5000,$A$3:$A$5000,$A816,$B$3:$B$5000,"&gt;"&amp;$B816)=0),NOW(),_xlfn.MINIFS($B$3:$B$5000,$A$3:$A$5000,$A816,$B$3:$B$5000,"&gt;"&amp;$B816))</f>
        <v>46279.5987643166</v>
      </c>
    </row>
    <row r="817" customFormat="false" ht="15" hidden="false" customHeight="true" outlineLevel="0" collapsed="false">
      <c r="A817" s="42"/>
      <c r="B817" s="42"/>
      <c r="C817" s="42"/>
      <c r="D817" s="42"/>
      <c r="E817" s="42"/>
      <c r="F817" s="51" t="n">
        <f aca="false">IF(OR(C817="",D817="",E817="",E817=0),0,C817*D817/E817)</f>
        <v>0</v>
      </c>
      <c r="G817" s="42"/>
      <c r="H817" s="49" t="n">
        <f aca="true">IF(OR($A817="",_xlfn.MINIFS($B$3:$B$5000,$A$3:$A$5000,$A817,$B$3:$B$5000,"&gt;"&amp;$B817)=0),NOW(),_xlfn.MINIFS($B$3:$B$5000,$A$3:$A$5000,$A817,$B$3:$B$5000,"&gt;"&amp;$B817))</f>
        <v>46279.5987643166</v>
      </c>
    </row>
    <row r="818" customFormat="false" ht="15" hidden="false" customHeight="true" outlineLevel="0" collapsed="false">
      <c r="A818" s="42"/>
      <c r="B818" s="42"/>
      <c r="C818" s="42"/>
      <c r="D818" s="42"/>
      <c r="E818" s="42"/>
      <c r="F818" s="51" t="n">
        <f aca="false">IF(OR(C818="",D818="",E818="",E818=0),0,C818*D818/E818)</f>
        <v>0</v>
      </c>
      <c r="G818" s="42"/>
      <c r="H818" s="49" t="n">
        <f aca="true">IF(OR($A818="",_xlfn.MINIFS($B$3:$B$5000,$A$3:$A$5000,$A818,$B$3:$B$5000,"&gt;"&amp;$B818)=0),NOW(),_xlfn.MINIFS($B$3:$B$5000,$A$3:$A$5000,$A818,$B$3:$B$5000,"&gt;"&amp;$B818))</f>
        <v>46279.5987643167</v>
      </c>
    </row>
    <row r="819" customFormat="false" ht="15" hidden="false" customHeight="true" outlineLevel="0" collapsed="false">
      <c r="A819" s="42"/>
      <c r="B819" s="42"/>
      <c r="C819" s="42"/>
      <c r="D819" s="42"/>
      <c r="E819" s="42"/>
      <c r="F819" s="51" t="n">
        <f aca="false">IF(OR(C819="",D819="",E819="",E819=0),0,C819*D819/E819)</f>
        <v>0</v>
      </c>
      <c r="G819" s="42"/>
      <c r="H819" s="49" t="n">
        <f aca="true">IF(OR($A819="",_xlfn.MINIFS($B$3:$B$5000,$A$3:$A$5000,$A819,$B$3:$B$5000,"&gt;"&amp;$B819)=0),NOW(),_xlfn.MINIFS($B$3:$B$5000,$A$3:$A$5000,$A819,$B$3:$B$5000,"&gt;"&amp;$B819))</f>
        <v>46279.5987643167</v>
      </c>
    </row>
    <row r="820" customFormat="false" ht="15" hidden="false" customHeight="true" outlineLevel="0" collapsed="false">
      <c r="A820" s="42"/>
      <c r="B820" s="42"/>
      <c r="C820" s="42"/>
      <c r="D820" s="42"/>
      <c r="E820" s="42"/>
      <c r="F820" s="51" t="n">
        <f aca="false">IF(OR(C820="",D820="",E820="",E820=0),0,C820*D820/E820)</f>
        <v>0</v>
      </c>
      <c r="G820" s="42"/>
      <c r="H820" s="49" t="n">
        <f aca="true">IF(OR($A820="",_xlfn.MINIFS($B$3:$B$5000,$A$3:$A$5000,$A820,$B$3:$B$5000,"&gt;"&amp;$B820)=0),NOW(),_xlfn.MINIFS($B$3:$B$5000,$A$3:$A$5000,$A820,$B$3:$B$5000,"&gt;"&amp;$B820))</f>
        <v>46279.5987643168</v>
      </c>
    </row>
    <row r="821" customFormat="false" ht="15" hidden="false" customHeight="true" outlineLevel="0" collapsed="false">
      <c r="A821" s="42"/>
      <c r="B821" s="42"/>
      <c r="C821" s="42"/>
      <c r="D821" s="42"/>
      <c r="E821" s="42"/>
      <c r="F821" s="51" t="n">
        <f aca="false">IF(OR(C821="",D821="",E821="",E821=0),0,C821*D821/E821)</f>
        <v>0</v>
      </c>
      <c r="G821" s="42"/>
      <c r="H821" s="49" t="n">
        <f aca="true">IF(OR($A821="",_xlfn.MINIFS($B$3:$B$5000,$A$3:$A$5000,$A821,$B$3:$B$5000,"&gt;"&amp;$B821)=0),NOW(),_xlfn.MINIFS($B$3:$B$5000,$A$3:$A$5000,$A821,$B$3:$B$5000,"&gt;"&amp;$B821))</f>
        <v>46279.5987643168</v>
      </c>
    </row>
    <row r="822" customFormat="false" ht="15" hidden="false" customHeight="true" outlineLevel="0" collapsed="false">
      <c r="A822" s="42"/>
      <c r="B822" s="42"/>
      <c r="C822" s="42"/>
      <c r="D822" s="42"/>
      <c r="E822" s="42"/>
      <c r="F822" s="51" t="n">
        <f aca="false">IF(OR(C822="",D822="",E822="",E822=0),0,C822*D822/E822)</f>
        <v>0</v>
      </c>
      <c r="G822" s="42"/>
      <c r="H822" s="49" t="n">
        <f aca="true">IF(OR($A822="",_xlfn.MINIFS($B$3:$B$5000,$A$3:$A$5000,$A822,$B$3:$B$5000,"&gt;"&amp;$B822)=0),NOW(),_xlfn.MINIFS($B$3:$B$5000,$A$3:$A$5000,$A822,$B$3:$B$5000,"&gt;"&amp;$B822))</f>
        <v>46279.5987643169</v>
      </c>
    </row>
    <row r="823" customFormat="false" ht="15" hidden="false" customHeight="true" outlineLevel="0" collapsed="false">
      <c r="A823" s="42"/>
      <c r="B823" s="42"/>
      <c r="C823" s="42"/>
      <c r="D823" s="42"/>
      <c r="E823" s="42"/>
      <c r="F823" s="51" t="n">
        <f aca="false">IF(OR(C823="",D823="",E823="",E823=0),0,C823*D823/E823)</f>
        <v>0</v>
      </c>
      <c r="G823" s="42"/>
      <c r="H823" s="49" t="n">
        <f aca="true">IF(OR($A823="",_xlfn.MINIFS($B$3:$B$5000,$A$3:$A$5000,$A823,$B$3:$B$5000,"&gt;"&amp;$B823)=0),NOW(),_xlfn.MINIFS($B$3:$B$5000,$A$3:$A$5000,$A823,$B$3:$B$5000,"&gt;"&amp;$B823))</f>
        <v>46279.5987643169</v>
      </c>
    </row>
    <row r="824" customFormat="false" ht="15" hidden="false" customHeight="true" outlineLevel="0" collapsed="false">
      <c r="A824" s="42"/>
      <c r="B824" s="42"/>
      <c r="C824" s="42"/>
      <c r="D824" s="42"/>
      <c r="E824" s="42"/>
      <c r="F824" s="51" t="n">
        <f aca="false">IF(OR(C824="",D824="",E824="",E824=0),0,C824*D824/E824)</f>
        <v>0</v>
      </c>
      <c r="G824" s="42"/>
      <c r="H824" s="49" t="n">
        <f aca="true">IF(OR($A824="",_xlfn.MINIFS($B$3:$B$5000,$A$3:$A$5000,$A824,$B$3:$B$5000,"&gt;"&amp;$B824)=0),NOW(),_xlfn.MINIFS($B$3:$B$5000,$A$3:$A$5000,$A824,$B$3:$B$5000,"&gt;"&amp;$B824))</f>
        <v>46279.598764317</v>
      </c>
    </row>
    <row r="825" customFormat="false" ht="15" hidden="false" customHeight="true" outlineLevel="0" collapsed="false">
      <c r="A825" s="42"/>
      <c r="B825" s="42"/>
      <c r="C825" s="42"/>
      <c r="D825" s="42"/>
      <c r="E825" s="42"/>
      <c r="F825" s="51" t="n">
        <f aca="false">IF(OR(C825="",D825="",E825="",E825=0),0,C825*D825/E825)</f>
        <v>0</v>
      </c>
      <c r="G825" s="42"/>
      <c r="H825" s="49" t="n">
        <f aca="true">IF(OR($A825="",_xlfn.MINIFS($B$3:$B$5000,$A$3:$A$5000,$A825,$B$3:$B$5000,"&gt;"&amp;$B825)=0),NOW(),_xlfn.MINIFS($B$3:$B$5000,$A$3:$A$5000,$A825,$B$3:$B$5000,"&gt;"&amp;$B825))</f>
        <v>46279.598764317</v>
      </c>
    </row>
    <row r="826" customFormat="false" ht="15" hidden="false" customHeight="true" outlineLevel="0" collapsed="false">
      <c r="A826" s="42"/>
      <c r="B826" s="42"/>
      <c r="C826" s="42"/>
      <c r="D826" s="42"/>
      <c r="E826" s="42"/>
      <c r="F826" s="51" t="n">
        <f aca="false">IF(OR(C826="",D826="",E826="",E826=0),0,C826*D826/E826)</f>
        <v>0</v>
      </c>
      <c r="G826" s="42"/>
      <c r="H826" s="49" t="n">
        <f aca="true">IF(OR($A826="",_xlfn.MINIFS($B$3:$B$5000,$A$3:$A$5000,$A826,$B$3:$B$5000,"&gt;"&amp;$B826)=0),NOW(),_xlfn.MINIFS($B$3:$B$5000,$A$3:$A$5000,$A826,$B$3:$B$5000,"&gt;"&amp;$B826))</f>
        <v>46279.5987643171</v>
      </c>
    </row>
    <row r="827" customFormat="false" ht="15" hidden="false" customHeight="true" outlineLevel="0" collapsed="false">
      <c r="A827" s="42"/>
      <c r="B827" s="42"/>
      <c r="C827" s="42"/>
      <c r="D827" s="42"/>
      <c r="E827" s="42"/>
      <c r="F827" s="51" t="n">
        <f aca="false">IF(OR(C827="",D827="",E827="",E827=0),0,C827*D827/E827)</f>
        <v>0</v>
      </c>
      <c r="G827" s="42"/>
      <c r="H827" s="49" t="n">
        <f aca="true">IF(OR($A827="",_xlfn.MINIFS($B$3:$B$5000,$A$3:$A$5000,$A827,$B$3:$B$5000,"&gt;"&amp;$B827)=0),NOW(),_xlfn.MINIFS($B$3:$B$5000,$A$3:$A$5000,$A827,$B$3:$B$5000,"&gt;"&amp;$B827))</f>
        <v>46279.5987643171</v>
      </c>
    </row>
    <row r="828" customFormat="false" ht="15" hidden="false" customHeight="true" outlineLevel="0" collapsed="false">
      <c r="A828" s="42"/>
      <c r="B828" s="42"/>
      <c r="C828" s="42"/>
      <c r="D828" s="42"/>
      <c r="E828" s="42"/>
      <c r="F828" s="51" t="n">
        <f aca="false">IF(OR(C828="",D828="",E828="",E828=0),0,C828*D828/E828)</f>
        <v>0</v>
      </c>
      <c r="G828" s="42"/>
      <c r="H828" s="49" t="n">
        <f aca="true">IF(OR($A828="",_xlfn.MINIFS($B$3:$B$5000,$A$3:$A$5000,$A828,$B$3:$B$5000,"&gt;"&amp;$B828)=0),NOW(),_xlfn.MINIFS($B$3:$B$5000,$A$3:$A$5000,$A828,$B$3:$B$5000,"&gt;"&amp;$B828))</f>
        <v>46279.5987643172</v>
      </c>
    </row>
    <row r="829" customFormat="false" ht="15" hidden="false" customHeight="true" outlineLevel="0" collapsed="false">
      <c r="A829" s="42"/>
      <c r="B829" s="42"/>
      <c r="C829" s="42"/>
      <c r="D829" s="42"/>
      <c r="E829" s="42"/>
      <c r="F829" s="51" t="n">
        <f aca="false">IF(OR(C829="",D829="",E829="",E829=0),0,C829*D829/E829)</f>
        <v>0</v>
      </c>
      <c r="G829" s="42"/>
      <c r="H829" s="49" t="n">
        <f aca="true">IF(OR($A829="",_xlfn.MINIFS($B$3:$B$5000,$A$3:$A$5000,$A829,$B$3:$B$5000,"&gt;"&amp;$B829)=0),NOW(),_xlfn.MINIFS($B$3:$B$5000,$A$3:$A$5000,$A829,$B$3:$B$5000,"&gt;"&amp;$B829))</f>
        <v>46279.5987643172</v>
      </c>
    </row>
    <row r="830" customFormat="false" ht="15" hidden="false" customHeight="true" outlineLevel="0" collapsed="false">
      <c r="A830" s="42"/>
      <c r="B830" s="42"/>
      <c r="C830" s="42"/>
      <c r="D830" s="42"/>
      <c r="E830" s="42"/>
      <c r="F830" s="51" t="n">
        <f aca="false">IF(OR(C830="",D830="",E830="",E830=0),0,C830*D830/E830)</f>
        <v>0</v>
      </c>
      <c r="G830" s="42"/>
      <c r="H830" s="49" t="n">
        <f aca="true">IF(OR($A830="",_xlfn.MINIFS($B$3:$B$5000,$A$3:$A$5000,$A830,$B$3:$B$5000,"&gt;"&amp;$B830)=0),NOW(),_xlfn.MINIFS($B$3:$B$5000,$A$3:$A$5000,$A830,$B$3:$B$5000,"&gt;"&amp;$B830))</f>
        <v>46279.5987643173</v>
      </c>
    </row>
    <row r="831" customFormat="false" ht="15" hidden="false" customHeight="true" outlineLevel="0" collapsed="false">
      <c r="A831" s="42"/>
      <c r="B831" s="42"/>
      <c r="C831" s="42"/>
      <c r="D831" s="42"/>
      <c r="E831" s="42"/>
      <c r="F831" s="51" t="n">
        <f aca="false">IF(OR(C831="",D831="",E831="",E831=0),0,C831*D831/E831)</f>
        <v>0</v>
      </c>
      <c r="G831" s="42"/>
      <c r="H831" s="49" t="n">
        <f aca="true">IF(OR($A831="",_xlfn.MINIFS($B$3:$B$5000,$A$3:$A$5000,$A831,$B$3:$B$5000,"&gt;"&amp;$B831)=0),NOW(),_xlfn.MINIFS($B$3:$B$5000,$A$3:$A$5000,$A831,$B$3:$B$5000,"&gt;"&amp;$B831))</f>
        <v>46279.5987643173</v>
      </c>
    </row>
    <row r="832" customFormat="false" ht="15" hidden="false" customHeight="true" outlineLevel="0" collapsed="false">
      <c r="A832" s="42"/>
      <c r="B832" s="42"/>
      <c r="C832" s="42"/>
      <c r="D832" s="42"/>
      <c r="E832" s="42"/>
      <c r="F832" s="51" t="n">
        <f aca="false">IF(OR(C832="",D832="",E832="",E832=0),0,C832*D832/E832)</f>
        <v>0</v>
      </c>
      <c r="G832" s="42"/>
      <c r="H832" s="49" t="n">
        <f aca="true">IF(OR($A832="",_xlfn.MINIFS($B$3:$B$5000,$A$3:$A$5000,$A832,$B$3:$B$5000,"&gt;"&amp;$B832)=0),NOW(),_xlfn.MINIFS($B$3:$B$5000,$A$3:$A$5000,$A832,$B$3:$B$5000,"&gt;"&amp;$B832))</f>
        <v>46279.5987643174</v>
      </c>
    </row>
    <row r="833" customFormat="false" ht="15" hidden="false" customHeight="true" outlineLevel="0" collapsed="false">
      <c r="A833" s="42"/>
      <c r="B833" s="42"/>
      <c r="C833" s="42"/>
      <c r="D833" s="42"/>
      <c r="E833" s="42"/>
      <c r="F833" s="51" t="n">
        <f aca="false">IF(OR(C833="",D833="",E833="",E833=0),0,C833*D833/E833)</f>
        <v>0</v>
      </c>
      <c r="G833" s="42"/>
      <c r="H833" s="49" t="n">
        <f aca="true">IF(OR($A833="",_xlfn.MINIFS($B$3:$B$5000,$A$3:$A$5000,$A833,$B$3:$B$5000,"&gt;"&amp;$B833)=0),NOW(),_xlfn.MINIFS($B$3:$B$5000,$A$3:$A$5000,$A833,$B$3:$B$5000,"&gt;"&amp;$B833))</f>
        <v>46279.5987643174</v>
      </c>
    </row>
    <row r="834" customFormat="false" ht="15" hidden="false" customHeight="true" outlineLevel="0" collapsed="false">
      <c r="A834" s="42"/>
      <c r="B834" s="42"/>
      <c r="C834" s="42"/>
      <c r="D834" s="42"/>
      <c r="E834" s="42"/>
      <c r="F834" s="51" t="n">
        <f aca="false">IF(OR(C834="",D834="",E834="",E834=0),0,C834*D834/E834)</f>
        <v>0</v>
      </c>
      <c r="G834" s="42"/>
      <c r="H834" s="49" t="n">
        <f aca="true">IF(OR($A834="",_xlfn.MINIFS($B$3:$B$5000,$A$3:$A$5000,$A834,$B$3:$B$5000,"&gt;"&amp;$B834)=0),NOW(),_xlfn.MINIFS($B$3:$B$5000,$A$3:$A$5000,$A834,$B$3:$B$5000,"&gt;"&amp;$B834))</f>
        <v>46279.5987643175</v>
      </c>
    </row>
    <row r="835" customFormat="false" ht="15" hidden="false" customHeight="true" outlineLevel="0" collapsed="false">
      <c r="A835" s="42"/>
      <c r="B835" s="42"/>
      <c r="C835" s="42"/>
      <c r="D835" s="42"/>
      <c r="E835" s="42"/>
      <c r="F835" s="51" t="n">
        <f aca="false">IF(OR(C835="",D835="",E835="",E835=0),0,C835*D835/E835)</f>
        <v>0</v>
      </c>
      <c r="G835" s="42"/>
      <c r="H835" s="49" t="n">
        <f aca="true">IF(OR($A835="",_xlfn.MINIFS($B$3:$B$5000,$A$3:$A$5000,$A835,$B$3:$B$5000,"&gt;"&amp;$B835)=0),NOW(),_xlfn.MINIFS($B$3:$B$5000,$A$3:$A$5000,$A835,$B$3:$B$5000,"&gt;"&amp;$B835))</f>
        <v>46279.5987643175</v>
      </c>
    </row>
    <row r="836" customFormat="false" ht="15" hidden="false" customHeight="true" outlineLevel="0" collapsed="false">
      <c r="A836" s="42"/>
      <c r="B836" s="42"/>
      <c r="C836" s="42"/>
      <c r="D836" s="42"/>
      <c r="E836" s="42"/>
      <c r="F836" s="51" t="n">
        <f aca="false">IF(OR(C836="",D836="",E836="",E836=0),0,C836*D836/E836)</f>
        <v>0</v>
      </c>
      <c r="G836" s="42"/>
      <c r="H836" s="49" t="n">
        <f aca="true">IF(OR($A836="",_xlfn.MINIFS($B$3:$B$5000,$A$3:$A$5000,$A836,$B$3:$B$5000,"&gt;"&amp;$B836)=0),NOW(),_xlfn.MINIFS($B$3:$B$5000,$A$3:$A$5000,$A836,$B$3:$B$5000,"&gt;"&amp;$B836))</f>
        <v>46279.5987643176</v>
      </c>
    </row>
    <row r="837" customFormat="false" ht="15" hidden="false" customHeight="true" outlineLevel="0" collapsed="false">
      <c r="A837" s="42"/>
      <c r="B837" s="42"/>
      <c r="C837" s="42"/>
      <c r="D837" s="42"/>
      <c r="E837" s="42"/>
      <c r="F837" s="51" t="n">
        <f aca="false">IF(OR(C837="",D837="",E837="",E837=0),0,C837*D837/E837)</f>
        <v>0</v>
      </c>
      <c r="G837" s="42"/>
      <c r="H837" s="49" t="n">
        <f aca="true">IF(OR($A837="",_xlfn.MINIFS($B$3:$B$5000,$A$3:$A$5000,$A837,$B$3:$B$5000,"&gt;"&amp;$B837)=0),NOW(),_xlfn.MINIFS($B$3:$B$5000,$A$3:$A$5000,$A837,$B$3:$B$5000,"&gt;"&amp;$B837))</f>
        <v>46279.5987643176</v>
      </c>
    </row>
    <row r="838" customFormat="false" ht="15" hidden="false" customHeight="true" outlineLevel="0" collapsed="false">
      <c r="A838" s="42"/>
      <c r="B838" s="42"/>
      <c r="C838" s="42"/>
      <c r="D838" s="42"/>
      <c r="E838" s="42"/>
      <c r="F838" s="51" t="n">
        <f aca="false">IF(OR(C838="",D838="",E838="",E838=0),0,C838*D838/E838)</f>
        <v>0</v>
      </c>
      <c r="G838" s="42"/>
      <c r="H838" s="49" t="n">
        <f aca="true">IF(OR($A838="",_xlfn.MINIFS($B$3:$B$5000,$A$3:$A$5000,$A838,$B$3:$B$5000,"&gt;"&amp;$B838)=0),NOW(),_xlfn.MINIFS($B$3:$B$5000,$A$3:$A$5000,$A838,$B$3:$B$5000,"&gt;"&amp;$B838))</f>
        <v>46279.5987643177</v>
      </c>
    </row>
    <row r="839" customFormat="false" ht="15" hidden="false" customHeight="true" outlineLevel="0" collapsed="false">
      <c r="A839" s="42"/>
      <c r="B839" s="42"/>
      <c r="C839" s="42"/>
      <c r="D839" s="42"/>
      <c r="E839" s="42"/>
      <c r="F839" s="51" t="n">
        <f aca="false">IF(OR(C839="",D839="",E839="",E839=0),0,C839*D839/E839)</f>
        <v>0</v>
      </c>
      <c r="G839" s="42"/>
      <c r="H839" s="49" t="n">
        <f aca="true">IF(OR($A839="",_xlfn.MINIFS($B$3:$B$5000,$A$3:$A$5000,$A839,$B$3:$B$5000,"&gt;"&amp;$B839)=0),NOW(),_xlfn.MINIFS($B$3:$B$5000,$A$3:$A$5000,$A839,$B$3:$B$5000,"&gt;"&amp;$B839))</f>
        <v>46279.5987643177</v>
      </c>
    </row>
    <row r="840" customFormat="false" ht="15" hidden="false" customHeight="true" outlineLevel="0" collapsed="false">
      <c r="A840" s="42"/>
      <c r="B840" s="42"/>
      <c r="C840" s="42"/>
      <c r="D840" s="42"/>
      <c r="E840" s="42"/>
      <c r="F840" s="51" t="n">
        <f aca="false">IF(OR(C840="",D840="",E840="",E840=0),0,C840*D840/E840)</f>
        <v>0</v>
      </c>
      <c r="G840" s="42"/>
      <c r="H840" s="49" t="n">
        <f aca="true">IF(OR($A840="",_xlfn.MINIFS($B$3:$B$5000,$A$3:$A$5000,$A840,$B$3:$B$5000,"&gt;"&amp;$B840)=0),NOW(),_xlfn.MINIFS($B$3:$B$5000,$A$3:$A$5000,$A840,$B$3:$B$5000,"&gt;"&amp;$B840))</f>
        <v>46279.5987643178</v>
      </c>
    </row>
    <row r="841" customFormat="false" ht="15" hidden="false" customHeight="true" outlineLevel="0" collapsed="false">
      <c r="A841" s="42"/>
      <c r="B841" s="42"/>
      <c r="C841" s="42"/>
      <c r="D841" s="42"/>
      <c r="E841" s="42"/>
      <c r="F841" s="51" t="n">
        <f aca="false">IF(OR(C841="",D841="",E841="",E841=0),0,C841*D841/E841)</f>
        <v>0</v>
      </c>
      <c r="G841" s="42"/>
      <c r="H841" s="49" t="n">
        <f aca="true">IF(OR($A841="",_xlfn.MINIFS($B$3:$B$5000,$A$3:$A$5000,$A841,$B$3:$B$5000,"&gt;"&amp;$B841)=0),NOW(),_xlfn.MINIFS($B$3:$B$5000,$A$3:$A$5000,$A841,$B$3:$B$5000,"&gt;"&amp;$B841))</f>
        <v>46279.5987643178</v>
      </c>
    </row>
    <row r="842" customFormat="false" ht="15" hidden="false" customHeight="true" outlineLevel="0" collapsed="false">
      <c r="A842" s="42"/>
      <c r="B842" s="42"/>
      <c r="C842" s="42"/>
      <c r="D842" s="42"/>
      <c r="E842" s="42"/>
      <c r="F842" s="51" t="n">
        <f aca="false">IF(OR(C842="",D842="",E842="",E842=0),0,C842*D842/E842)</f>
        <v>0</v>
      </c>
      <c r="G842" s="42"/>
      <c r="H842" s="49" t="n">
        <f aca="true">IF(OR($A842="",_xlfn.MINIFS($B$3:$B$5000,$A$3:$A$5000,$A842,$B$3:$B$5000,"&gt;"&amp;$B842)=0),NOW(),_xlfn.MINIFS($B$3:$B$5000,$A$3:$A$5000,$A842,$B$3:$B$5000,"&gt;"&amp;$B842))</f>
        <v>46279.5987643179</v>
      </c>
    </row>
    <row r="843" customFormat="false" ht="15" hidden="false" customHeight="true" outlineLevel="0" collapsed="false">
      <c r="A843" s="42"/>
      <c r="B843" s="42"/>
      <c r="C843" s="42"/>
      <c r="D843" s="42"/>
      <c r="E843" s="42"/>
      <c r="F843" s="51" t="n">
        <f aca="false">IF(OR(C843="",D843="",E843="",E843=0),0,C843*D843/E843)</f>
        <v>0</v>
      </c>
      <c r="G843" s="42"/>
      <c r="H843" s="49" t="n">
        <f aca="true">IF(OR($A843="",_xlfn.MINIFS($B$3:$B$5000,$A$3:$A$5000,$A843,$B$3:$B$5000,"&gt;"&amp;$B843)=0),NOW(),_xlfn.MINIFS($B$3:$B$5000,$A$3:$A$5000,$A843,$B$3:$B$5000,"&gt;"&amp;$B843))</f>
        <v>46279.5987643179</v>
      </c>
    </row>
    <row r="844" customFormat="false" ht="15" hidden="false" customHeight="true" outlineLevel="0" collapsed="false">
      <c r="A844" s="42"/>
      <c r="B844" s="42"/>
      <c r="C844" s="42"/>
      <c r="D844" s="42"/>
      <c r="E844" s="42"/>
      <c r="F844" s="51" t="n">
        <f aca="false">IF(OR(C844="",D844="",E844="",E844=0),0,C844*D844/E844)</f>
        <v>0</v>
      </c>
      <c r="G844" s="42"/>
      <c r="H844" s="49" t="n">
        <f aca="true">IF(OR($A844="",_xlfn.MINIFS($B$3:$B$5000,$A$3:$A$5000,$A844,$B$3:$B$5000,"&gt;"&amp;$B844)=0),NOW(),_xlfn.MINIFS($B$3:$B$5000,$A$3:$A$5000,$A844,$B$3:$B$5000,"&gt;"&amp;$B844))</f>
        <v>46279.598764318</v>
      </c>
    </row>
    <row r="845" customFormat="false" ht="15" hidden="false" customHeight="true" outlineLevel="0" collapsed="false">
      <c r="A845" s="42"/>
      <c r="B845" s="42"/>
      <c r="C845" s="42"/>
      <c r="D845" s="42"/>
      <c r="E845" s="42"/>
      <c r="F845" s="51" t="n">
        <f aca="false">IF(OR(C845="",D845="",E845="",E845=0),0,C845*D845/E845)</f>
        <v>0</v>
      </c>
      <c r="G845" s="42"/>
      <c r="H845" s="49" t="n">
        <f aca="true">IF(OR($A845="",_xlfn.MINIFS($B$3:$B$5000,$A$3:$A$5000,$A845,$B$3:$B$5000,"&gt;"&amp;$B845)=0),NOW(),_xlfn.MINIFS($B$3:$B$5000,$A$3:$A$5000,$A845,$B$3:$B$5000,"&gt;"&amp;$B845))</f>
        <v>46279.598764318</v>
      </c>
    </row>
    <row r="846" customFormat="false" ht="15" hidden="false" customHeight="true" outlineLevel="0" collapsed="false">
      <c r="A846" s="42"/>
      <c r="B846" s="42"/>
      <c r="C846" s="42"/>
      <c r="D846" s="42"/>
      <c r="E846" s="42"/>
      <c r="F846" s="51" t="n">
        <f aca="false">IF(OR(C846="",D846="",E846="",E846=0),0,C846*D846/E846)</f>
        <v>0</v>
      </c>
      <c r="G846" s="42"/>
      <c r="H846" s="49" t="n">
        <f aca="true">IF(OR($A846="",_xlfn.MINIFS($B$3:$B$5000,$A$3:$A$5000,$A846,$B$3:$B$5000,"&gt;"&amp;$B846)=0),NOW(),_xlfn.MINIFS($B$3:$B$5000,$A$3:$A$5000,$A846,$B$3:$B$5000,"&gt;"&amp;$B846))</f>
        <v>46279.5987643181</v>
      </c>
    </row>
    <row r="847" customFormat="false" ht="15" hidden="false" customHeight="true" outlineLevel="0" collapsed="false">
      <c r="A847" s="42"/>
      <c r="B847" s="42"/>
      <c r="C847" s="42"/>
      <c r="D847" s="42"/>
      <c r="E847" s="42"/>
      <c r="F847" s="51" t="n">
        <f aca="false">IF(OR(C847="",D847="",E847="",E847=0),0,C847*D847/E847)</f>
        <v>0</v>
      </c>
      <c r="G847" s="42"/>
      <c r="H847" s="49" t="n">
        <f aca="true">IF(OR($A847="",_xlfn.MINIFS($B$3:$B$5000,$A$3:$A$5000,$A847,$B$3:$B$5000,"&gt;"&amp;$B847)=0),NOW(),_xlfn.MINIFS($B$3:$B$5000,$A$3:$A$5000,$A847,$B$3:$B$5000,"&gt;"&amp;$B847))</f>
        <v>46279.5987643181</v>
      </c>
    </row>
    <row r="848" customFormat="false" ht="15" hidden="false" customHeight="true" outlineLevel="0" collapsed="false">
      <c r="A848" s="42"/>
      <c r="B848" s="42"/>
      <c r="C848" s="42"/>
      <c r="D848" s="42"/>
      <c r="E848" s="42"/>
      <c r="F848" s="51" t="n">
        <f aca="false">IF(OR(C848="",D848="",E848="",E848=0),0,C848*D848/E848)</f>
        <v>0</v>
      </c>
      <c r="G848" s="42"/>
      <c r="H848" s="49" t="n">
        <f aca="true">IF(OR($A848="",_xlfn.MINIFS($B$3:$B$5000,$A$3:$A$5000,$A848,$B$3:$B$5000,"&gt;"&amp;$B848)=0),NOW(),_xlfn.MINIFS($B$3:$B$5000,$A$3:$A$5000,$A848,$B$3:$B$5000,"&gt;"&amp;$B848))</f>
        <v>46279.5987643182</v>
      </c>
    </row>
    <row r="849" customFormat="false" ht="15" hidden="false" customHeight="true" outlineLevel="0" collapsed="false">
      <c r="A849" s="42"/>
      <c r="B849" s="42"/>
      <c r="C849" s="42"/>
      <c r="D849" s="42"/>
      <c r="E849" s="42"/>
      <c r="F849" s="51" t="n">
        <f aca="false">IF(OR(C849="",D849="",E849="",E849=0),0,C849*D849/E849)</f>
        <v>0</v>
      </c>
      <c r="G849" s="42"/>
      <c r="H849" s="49" t="n">
        <f aca="true">IF(OR($A849="",_xlfn.MINIFS($B$3:$B$5000,$A$3:$A$5000,$A849,$B$3:$B$5000,"&gt;"&amp;$B849)=0),NOW(),_xlfn.MINIFS($B$3:$B$5000,$A$3:$A$5000,$A849,$B$3:$B$5000,"&gt;"&amp;$B849))</f>
        <v>46279.5987643182</v>
      </c>
    </row>
    <row r="850" customFormat="false" ht="15" hidden="false" customHeight="true" outlineLevel="0" collapsed="false">
      <c r="A850" s="42"/>
      <c r="B850" s="42"/>
      <c r="C850" s="42"/>
      <c r="D850" s="42"/>
      <c r="E850" s="42"/>
      <c r="F850" s="51" t="n">
        <f aca="false">IF(OR(C850="",D850="",E850="",E850=0),0,C850*D850/E850)</f>
        <v>0</v>
      </c>
      <c r="G850" s="42"/>
      <c r="H850" s="49" t="n">
        <f aca="true">IF(OR($A850="",_xlfn.MINIFS($B$3:$B$5000,$A$3:$A$5000,$A850,$B$3:$B$5000,"&gt;"&amp;$B850)=0),NOW(),_xlfn.MINIFS($B$3:$B$5000,$A$3:$A$5000,$A850,$B$3:$B$5000,"&gt;"&amp;$B850))</f>
        <v>46279.5987643183</v>
      </c>
    </row>
    <row r="851" customFormat="false" ht="15" hidden="false" customHeight="true" outlineLevel="0" collapsed="false">
      <c r="A851" s="42"/>
      <c r="B851" s="42"/>
      <c r="C851" s="42"/>
      <c r="D851" s="42"/>
      <c r="E851" s="42"/>
      <c r="F851" s="51" t="n">
        <f aca="false">IF(OR(C851="",D851="",E851="",E851=0),0,C851*D851/E851)</f>
        <v>0</v>
      </c>
      <c r="G851" s="42"/>
      <c r="H851" s="49" t="n">
        <f aca="true">IF(OR($A851="",_xlfn.MINIFS($B$3:$B$5000,$A$3:$A$5000,$A851,$B$3:$B$5000,"&gt;"&amp;$B851)=0),NOW(),_xlfn.MINIFS($B$3:$B$5000,$A$3:$A$5000,$A851,$B$3:$B$5000,"&gt;"&amp;$B851))</f>
        <v>46279.5987643183</v>
      </c>
    </row>
    <row r="852" customFormat="false" ht="15" hidden="false" customHeight="true" outlineLevel="0" collapsed="false">
      <c r="A852" s="42"/>
      <c r="B852" s="42"/>
      <c r="C852" s="42"/>
      <c r="D852" s="42"/>
      <c r="E852" s="42"/>
      <c r="F852" s="51" t="n">
        <f aca="false">IF(OR(C852="",D852="",E852="",E852=0),0,C852*D852/E852)</f>
        <v>0</v>
      </c>
      <c r="G852" s="42"/>
      <c r="H852" s="49" t="n">
        <f aca="true">IF(OR($A852="",_xlfn.MINIFS($B$3:$B$5000,$A$3:$A$5000,$A852,$B$3:$B$5000,"&gt;"&amp;$B852)=0),NOW(),_xlfn.MINIFS($B$3:$B$5000,$A$3:$A$5000,$A852,$B$3:$B$5000,"&gt;"&amp;$B852))</f>
        <v>46279.5987643184</v>
      </c>
    </row>
    <row r="853" customFormat="false" ht="15" hidden="false" customHeight="true" outlineLevel="0" collapsed="false">
      <c r="A853" s="42"/>
      <c r="B853" s="42"/>
      <c r="C853" s="42"/>
      <c r="D853" s="42"/>
      <c r="E853" s="42"/>
      <c r="F853" s="51" t="n">
        <f aca="false">IF(OR(C853="",D853="",E853="",E853=0),0,C853*D853/E853)</f>
        <v>0</v>
      </c>
      <c r="G853" s="42"/>
      <c r="H853" s="49" t="n">
        <f aca="true">IF(OR($A853="",_xlfn.MINIFS($B$3:$B$5000,$A$3:$A$5000,$A853,$B$3:$B$5000,"&gt;"&amp;$B853)=0),NOW(),_xlfn.MINIFS($B$3:$B$5000,$A$3:$A$5000,$A853,$B$3:$B$5000,"&gt;"&amp;$B853))</f>
        <v>46279.5987643184</v>
      </c>
    </row>
    <row r="854" customFormat="false" ht="15" hidden="false" customHeight="true" outlineLevel="0" collapsed="false">
      <c r="A854" s="42"/>
      <c r="B854" s="42"/>
      <c r="C854" s="42"/>
      <c r="D854" s="42"/>
      <c r="E854" s="42"/>
      <c r="F854" s="51" t="n">
        <f aca="false">IF(OR(C854="",D854="",E854="",E854=0),0,C854*D854/E854)</f>
        <v>0</v>
      </c>
      <c r="G854" s="42"/>
      <c r="H854" s="49" t="n">
        <f aca="true">IF(OR($A854="",_xlfn.MINIFS($B$3:$B$5000,$A$3:$A$5000,$A854,$B$3:$B$5000,"&gt;"&amp;$B854)=0),NOW(),_xlfn.MINIFS($B$3:$B$5000,$A$3:$A$5000,$A854,$B$3:$B$5000,"&gt;"&amp;$B854))</f>
        <v>46279.5987643185</v>
      </c>
    </row>
    <row r="855" customFormat="false" ht="15" hidden="false" customHeight="true" outlineLevel="0" collapsed="false">
      <c r="A855" s="42"/>
      <c r="B855" s="42"/>
      <c r="C855" s="42"/>
      <c r="D855" s="42"/>
      <c r="E855" s="42"/>
      <c r="F855" s="51" t="n">
        <f aca="false">IF(OR(C855="",D855="",E855="",E855=0),0,C855*D855/E855)</f>
        <v>0</v>
      </c>
      <c r="G855" s="42"/>
      <c r="H855" s="49" t="n">
        <f aca="true">IF(OR($A855="",_xlfn.MINIFS($B$3:$B$5000,$A$3:$A$5000,$A855,$B$3:$B$5000,"&gt;"&amp;$B855)=0),NOW(),_xlfn.MINIFS($B$3:$B$5000,$A$3:$A$5000,$A855,$B$3:$B$5000,"&gt;"&amp;$B855))</f>
        <v>46279.5987643185</v>
      </c>
    </row>
    <row r="856" customFormat="false" ht="15" hidden="false" customHeight="true" outlineLevel="0" collapsed="false">
      <c r="A856" s="42"/>
      <c r="B856" s="42"/>
      <c r="C856" s="42"/>
      <c r="D856" s="42"/>
      <c r="E856" s="42"/>
      <c r="F856" s="51" t="n">
        <f aca="false">IF(OR(C856="",D856="",E856="",E856=0),0,C856*D856/E856)</f>
        <v>0</v>
      </c>
      <c r="G856" s="42"/>
      <c r="H856" s="49" t="n">
        <f aca="true">IF(OR($A856="",_xlfn.MINIFS($B$3:$B$5000,$A$3:$A$5000,$A856,$B$3:$B$5000,"&gt;"&amp;$B856)=0),NOW(),_xlfn.MINIFS($B$3:$B$5000,$A$3:$A$5000,$A856,$B$3:$B$5000,"&gt;"&amp;$B856))</f>
        <v>46279.5987643186</v>
      </c>
    </row>
    <row r="857" customFormat="false" ht="15" hidden="false" customHeight="true" outlineLevel="0" collapsed="false">
      <c r="A857" s="42"/>
      <c r="B857" s="42"/>
      <c r="C857" s="42"/>
      <c r="D857" s="42"/>
      <c r="E857" s="42"/>
      <c r="F857" s="51" t="n">
        <f aca="false">IF(OR(C857="",D857="",E857="",E857=0),0,C857*D857/E857)</f>
        <v>0</v>
      </c>
      <c r="G857" s="42"/>
      <c r="H857" s="49" t="n">
        <f aca="true">IF(OR($A857="",_xlfn.MINIFS($B$3:$B$5000,$A$3:$A$5000,$A857,$B$3:$B$5000,"&gt;"&amp;$B857)=0),NOW(),_xlfn.MINIFS($B$3:$B$5000,$A$3:$A$5000,$A857,$B$3:$B$5000,"&gt;"&amp;$B857))</f>
        <v>46279.5987643186</v>
      </c>
    </row>
    <row r="858" customFormat="false" ht="15" hidden="false" customHeight="true" outlineLevel="0" collapsed="false">
      <c r="A858" s="42"/>
      <c r="B858" s="42"/>
      <c r="C858" s="42"/>
      <c r="D858" s="42"/>
      <c r="E858" s="42"/>
      <c r="F858" s="51" t="n">
        <f aca="false">IF(OR(C858="",D858="",E858="",E858=0),0,C858*D858/E858)</f>
        <v>0</v>
      </c>
      <c r="G858" s="42"/>
      <c r="H858" s="49" t="n">
        <f aca="true">IF(OR($A858="",_xlfn.MINIFS($B$3:$B$5000,$A$3:$A$5000,$A858,$B$3:$B$5000,"&gt;"&amp;$B858)=0),NOW(),_xlfn.MINIFS($B$3:$B$5000,$A$3:$A$5000,$A858,$B$3:$B$5000,"&gt;"&amp;$B858))</f>
        <v>46279.5987643187</v>
      </c>
    </row>
    <row r="859" customFormat="false" ht="15" hidden="false" customHeight="true" outlineLevel="0" collapsed="false">
      <c r="A859" s="42"/>
      <c r="B859" s="42"/>
      <c r="C859" s="42"/>
      <c r="D859" s="42"/>
      <c r="E859" s="42"/>
      <c r="F859" s="51" t="n">
        <f aca="false">IF(OR(C859="",D859="",E859="",E859=0),0,C859*D859/E859)</f>
        <v>0</v>
      </c>
      <c r="G859" s="42"/>
      <c r="H859" s="49" t="n">
        <f aca="true">IF(OR($A859="",_xlfn.MINIFS($B$3:$B$5000,$A$3:$A$5000,$A859,$B$3:$B$5000,"&gt;"&amp;$B859)=0),NOW(),_xlfn.MINIFS($B$3:$B$5000,$A$3:$A$5000,$A859,$B$3:$B$5000,"&gt;"&amp;$B859))</f>
        <v>46279.5987643187</v>
      </c>
    </row>
    <row r="860" customFormat="false" ht="15" hidden="false" customHeight="true" outlineLevel="0" collapsed="false">
      <c r="A860" s="42"/>
      <c r="B860" s="42"/>
      <c r="C860" s="42"/>
      <c r="D860" s="42"/>
      <c r="E860" s="42"/>
      <c r="F860" s="51" t="n">
        <f aca="false">IF(OR(C860="",D860="",E860="",E860=0),0,C860*D860/E860)</f>
        <v>0</v>
      </c>
      <c r="G860" s="42"/>
      <c r="H860" s="49" t="n">
        <f aca="true">IF(OR($A860="",_xlfn.MINIFS($B$3:$B$5000,$A$3:$A$5000,$A860,$B$3:$B$5000,"&gt;"&amp;$B860)=0),NOW(),_xlfn.MINIFS($B$3:$B$5000,$A$3:$A$5000,$A860,$B$3:$B$5000,"&gt;"&amp;$B860))</f>
        <v>46279.5987643188</v>
      </c>
    </row>
    <row r="861" customFormat="false" ht="15" hidden="false" customHeight="true" outlineLevel="0" collapsed="false">
      <c r="A861" s="42"/>
      <c r="B861" s="42"/>
      <c r="C861" s="42"/>
      <c r="D861" s="42"/>
      <c r="E861" s="42"/>
      <c r="F861" s="51" t="n">
        <f aca="false">IF(OR(C861="",D861="",E861="",E861=0),0,C861*D861/E861)</f>
        <v>0</v>
      </c>
      <c r="G861" s="42"/>
      <c r="H861" s="49" t="n">
        <f aca="true">IF(OR($A861="",_xlfn.MINIFS($B$3:$B$5000,$A$3:$A$5000,$A861,$B$3:$B$5000,"&gt;"&amp;$B861)=0),NOW(),_xlfn.MINIFS($B$3:$B$5000,$A$3:$A$5000,$A861,$B$3:$B$5000,"&gt;"&amp;$B861))</f>
        <v>46279.5987643188</v>
      </c>
    </row>
    <row r="862" customFormat="false" ht="15" hidden="false" customHeight="true" outlineLevel="0" collapsed="false">
      <c r="A862" s="42"/>
      <c r="B862" s="42"/>
      <c r="C862" s="42"/>
      <c r="D862" s="42"/>
      <c r="E862" s="42"/>
      <c r="F862" s="51" t="n">
        <f aca="false">IF(OR(C862="",D862="",E862="",E862=0),0,C862*D862/E862)</f>
        <v>0</v>
      </c>
      <c r="G862" s="42"/>
      <c r="H862" s="49" t="n">
        <f aca="true">IF(OR($A862="",_xlfn.MINIFS($B$3:$B$5000,$A$3:$A$5000,$A862,$B$3:$B$5000,"&gt;"&amp;$B862)=0),NOW(),_xlfn.MINIFS($B$3:$B$5000,$A$3:$A$5000,$A862,$B$3:$B$5000,"&gt;"&amp;$B862))</f>
        <v>46279.5987643189</v>
      </c>
    </row>
    <row r="863" customFormat="false" ht="15" hidden="false" customHeight="true" outlineLevel="0" collapsed="false">
      <c r="A863" s="42"/>
      <c r="B863" s="42"/>
      <c r="C863" s="42"/>
      <c r="D863" s="42"/>
      <c r="E863" s="42"/>
      <c r="F863" s="51" t="n">
        <f aca="false">IF(OR(C863="",D863="",E863="",E863=0),0,C863*D863/E863)</f>
        <v>0</v>
      </c>
      <c r="G863" s="42"/>
      <c r="H863" s="49" t="n">
        <f aca="true">IF(OR($A863="",_xlfn.MINIFS($B$3:$B$5000,$A$3:$A$5000,$A863,$B$3:$B$5000,"&gt;"&amp;$B863)=0),NOW(),_xlfn.MINIFS($B$3:$B$5000,$A$3:$A$5000,$A863,$B$3:$B$5000,"&gt;"&amp;$B863))</f>
        <v>46279.5987643189</v>
      </c>
    </row>
    <row r="864" customFormat="false" ht="15" hidden="false" customHeight="true" outlineLevel="0" collapsed="false">
      <c r="A864" s="42"/>
      <c r="B864" s="42"/>
      <c r="C864" s="42"/>
      <c r="D864" s="42"/>
      <c r="E864" s="42"/>
      <c r="F864" s="51" t="n">
        <f aca="false">IF(OR(C864="",D864="",E864="",E864=0),0,C864*D864/E864)</f>
        <v>0</v>
      </c>
      <c r="G864" s="42"/>
      <c r="H864" s="49" t="n">
        <f aca="true">IF(OR($A864="",_xlfn.MINIFS($B$3:$B$5000,$A$3:$A$5000,$A864,$B$3:$B$5000,"&gt;"&amp;$B864)=0),NOW(),_xlfn.MINIFS($B$3:$B$5000,$A$3:$A$5000,$A864,$B$3:$B$5000,"&gt;"&amp;$B864))</f>
        <v>46279.598764319</v>
      </c>
    </row>
    <row r="865" customFormat="false" ht="15" hidden="false" customHeight="true" outlineLevel="0" collapsed="false">
      <c r="A865" s="42"/>
      <c r="B865" s="42"/>
      <c r="C865" s="42"/>
      <c r="D865" s="42"/>
      <c r="E865" s="42"/>
      <c r="F865" s="51" t="n">
        <f aca="false">IF(OR(C865="",D865="",E865="",E865=0),0,C865*D865/E865)</f>
        <v>0</v>
      </c>
      <c r="G865" s="42"/>
      <c r="H865" s="49" t="n">
        <f aca="true">IF(OR($A865="",_xlfn.MINIFS($B$3:$B$5000,$A$3:$A$5000,$A865,$B$3:$B$5000,"&gt;"&amp;$B865)=0),NOW(),_xlfn.MINIFS($B$3:$B$5000,$A$3:$A$5000,$A865,$B$3:$B$5000,"&gt;"&amp;$B865))</f>
        <v>46279.598764319</v>
      </c>
    </row>
    <row r="866" customFormat="false" ht="15" hidden="false" customHeight="true" outlineLevel="0" collapsed="false">
      <c r="A866" s="42"/>
      <c r="B866" s="42"/>
      <c r="C866" s="42"/>
      <c r="D866" s="42"/>
      <c r="E866" s="42"/>
      <c r="F866" s="51" t="n">
        <f aca="false">IF(OR(C866="",D866="",E866="",E866=0),0,C866*D866/E866)</f>
        <v>0</v>
      </c>
      <c r="G866" s="42"/>
      <c r="H866" s="49" t="n">
        <f aca="true">IF(OR($A866="",_xlfn.MINIFS($B$3:$B$5000,$A$3:$A$5000,$A866,$B$3:$B$5000,"&gt;"&amp;$B866)=0),NOW(),_xlfn.MINIFS($B$3:$B$5000,$A$3:$A$5000,$A866,$B$3:$B$5000,"&gt;"&amp;$B866))</f>
        <v>46279.5987643191</v>
      </c>
    </row>
    <row r="867" customFormat="false" ht="15" hidden="false" customHeight="true" outlineLevel="0" collapsed="false">
      <c r="A867" s="42"/>
      <c r="B867" s="42"/>
      <c r="C867" s="42"/>
      <c r="D867" s="42"/>
      <c r="E867" s="42"/>
      <c r="F867" s="51" t="n">
        <f aca="false">IF(OR(C867="",D867="",E867="",E867=0),0,C867*D867/E867)</f>
        <v>0</v>
      </c>
      <c r="G867" s="42"/>
      <c r="H867" s="49" t="n">
        <f aca="true">IF(OR($A867="",_xlfn.MINIFS($B$3:$B$5000,$A$3:$A$5000,$A867,$B$3:$B$5000,"&gt;"&amp;$B867)=0),NOW(),_xlfn.MINIFS($B$3:$B$5000,$A$3:$A$5000,$A867,$B$3:$B$5000,"&gt;"&amp;$B867))</f>
        <v>46279.5987643191</v>
      </c>
    </row>
    <row r="868" customFormat="false" ht="15" hidden="false" customHeight="true" outlineLevel="0" collapsed="false">
      <c r="A868" s="42"/>
      <c r="B868" s="42"/>
      <c r="C868" s="42"/>
      <c r="D868" s="42"/>
      <c r="E868" s="42"/>
      <c r="F868" s="51" t="n">
        <f aca="false">IF(OR(C868="",D868="",E868="",E868=0),0,C868*D868/E868)</f>
        <v>0</v>
      </c>
      <c r="G868" s="42"/>
      <c r="H868" s="49" t="n">
        <f aca="true">IF(OR($A868="",_xlfn.MINIFS($B$3:$B$5000,$A$3:$A$5000,$A868,$B$3:$B$5000,"&gt;"&amp;$B868)=0),NOW(),_xlfn.MINIFS($B$3:$B$5000,$A$3:$A$5000,$A868,$B$3:$B$5000,"&gt;"&amp;$B868))</f>
        <v>46279.5987643192</v>
      </c>
    </row>
    <row r="869" customFormat="false" ht="15" hidden="false" customHeight="true" outlineLevel="0" collapsed="false">
      <c r="A869" s="42"/>
      <c r="B869" s="42"/>
      <c r="C869" s="42"/>
      <c r="D869" s="42"/>
      <c r="E869" s="42"/>
      <c r="F869" s="51" t="n">
        <f aca="false">IF(OR(C869="",D869="",E869="",E869=0),0,C869*D869/E869)</f>
        <v>0</v>
      </c>
      <c r="G869" s="42"/>
      <c r="H869" s="49" t="n">
        <f aca="true">IF(OR($A869="",_xlfn.MINIFS($B$3:$B$5000,$A$3:$A$5000,$A869,$B$3:$B$5000,"&gt;"&amp;$B869)=0),NOW(),_xlfn.MINIFS($B$3:$B$5000,$A$3:$A$5000,$A869,$B$3:$B$5000,"&gt;"&amp;$B869))</f>
        <v>46279.5987643192</v>
      </c>
    </row>
    <row r="870" customFormat="false" ht="15" hidden="false" customHeight="true" outlineLevel="0" collapsed="false">
      <c r="A870" s="42"/>
      <c r="B870" s="42"/>
      <c r="C870" s="42"/>
      <c r="D870" s="42"/>
      <c r="E870" s="42"/>
      <c r="F870" s="51" t="n">
        <f aca="false">IF(OR(C870="",D870="",E870="",E870=0),0,C870*D870/E870)</f>
        <v>0</v>
      </c>
      <c r="G870" s="42"/>
      <c r="H870" s="49" t="n">
        <f aca="true">IF(OR($A870="",_xlfn.MINIFS($B$3:$B$5000,$A$3:$A$5000,$A870,$B$3:$B$5000,"&gt;"&amp;$B870)=0),NOW(),_xlfn.MINIFS($B$3:$B$5000,$A$3:$A$5000,$A870,$B$3:$B$5000,"&gt;"&amp;$B870))</f>
        <v>46279.5987643193</v>
      </c>
    </row>
    <row r="871" customFormat="false" ht="15" hidden="false" customHeight="true" outlineLevel="0" collapsed="false">
      <c r="A871" s="42"/>
      <c r="B871" s="42"/>
      <c r="C871" s="42"/>
      <c r="D871" s="42"/>
      <c r="E871" s="42"/>
      <c r="F871" s="51" t="n">
        <f aca="false">IF(OR(C871="",D871="",E871="",E871=0),0,C871*D871/E871)</f>
        <v>0</v>
      </c>
      <c r="G871" s="42"/>
      <c r="H871" s="49" t="n">
        <f aca="true">IF(OR($A871="",_xlfn.MINIFS($B$3:$B$5000,$A$3:$A$5000,$A871,$B$3:$B$5000,"&gt;"&amp;$B871)=0),NOW(),_xlfn.MINIFS($B$3:$B$5000,$A$3:$A$5000,$A871,$B$3:$B$5000,"&gt;"&amp;$B871))</f>
        <v>46279.5987643193</v>
      </c>
    </row>
    <row r="872" customFormat="false" ht="15" hidden="false" customHeight="true" outlineLevel="0" collapsed="false">
      <c r="A872" s="42"/>
      <c r="B872" s="42"/>
      <c r="C872" s="42"/>
      <c r="D872" s="42"/>
      <c r="E872" s="42"/>
      <c r="F872" s="51" t="n">
        <f aca="false">IF(OR(C872="",D872="",E872="",E872=0),0,C872*D872/E872)</f>
        <v>0</v>
      </c>
      <c r="G872" s="42"/>
      <c r="H872" s="49" t="n">
        <f aca="true">IF(OR($A872="",_xlfn.MINIFS($B$3:$B$5000,$A$3:$A$5000,$A872,$B$3:$B$5000,"&gt;"&amp;$B872)=0),NOW(),_xlfn.MINIFS($B$3:$B$5000,$A$3:$A$5000,$A872,$B$3:$B$5000,"&gt;"&amp;$B872))</f>
        <v>46279.5987643194</v>
      </c>
    </row>
    <row r="873" customFormat="false" ht="15" hidden="false" customHeight="true" outlineLevel="0" collapsed="false">
      <c r="A873" s="42"/>
      <c r="B873" s="42"/>
      <c r="C873" s="42"/>
      <c r="D873" s="42"/>
      <c r="E873" s="42"/>
      <c r="F873" s="51" t="n">
        <f aca="false">IF(OR(C873="",D873="",E873="",E873=0),0,C873*D873/E873)</f>
        <v>0</v>
      </c>
      <c r="G873" s="42"/>
      <c r="H873" s="49" t="n">
        <f aca="true">IF(OR($A873="",_xlfn.MINIFS($B$3:$B$5000,$A$3:$A$5000,$A873,$B$3:$B$5000,"&gt;"&amp;$B873)=0),NOW(),_xlfn.MINIFS($B$3:$B$5000,$A$3:$A$5000,$A873,$B$3:$B$5000,"&gt;"&amp;$B873))</f>
        <v>46279.5987643194</v>
      </c>
    </row>
    <row r="874" customFormat="false" ht="15" hidden="false" customHeight="true" outlineLevel="0" collapsed="false">
      <c r="A874" s="42"/>
      <c r="B874" s="42"/>
      <c r="C874" s="42"/>
      <c r="D874" s="42"/>
      <c r="E874" s="42"/>
      <c r="F874" s="51" t="n">
        <f aca="false">IF(OR(C874="",D874="",E874="",E874=0),0,C874*D874/E874)</f>
        <v>0</v>
      </c>
      <c r="G874" s="42"/>
      <c r="H874" s="49" t="n">
        <f aca="true">IF(OR($A874="",_xlfn.MINIFS($B$3:$B$5000,$A$3:$A$5000,$A874,$B$3:$B$5000,"&gt;"&amp;$B874)=0),NOW(),_xlfn.MINIFS($B$3:$B$5000,$A$3:$A$5000,$A874,$B$3:$B$5000,"&gt;"&amp;$B874))</f>
        <v>46279.5987643195</v>
      </c>
    </row>
    <row r="875" customFormat="false" ht="15" hidden="false" customHeight="true" outlineLevel="0" collapsed="false">
      <c r="A875" s="42"/>
      <c r="B875" s="42"/>
      <c r="C875" s="42"/>
      <c r="D875" s="42"/>
      <c r="E875" s="42"/>
      <c r="F875" s="51" t="n">
        <f aca="false">IF(OR(C875="",D875="",E875="",E875=0),0,C875*D875/E875)</f>
        <v>0</v>
      </c>
      <c r="G875" s="42"/>
      <c r="H875" s="49" t="n">
        <f aca="true">IF(OR($A875="",_xlfn.MINIFS($B$3:$B$5000,$A$3:$A$5000,$A875,$B$3:$B$5000,"&gt;"&amp;$B875)=0),NOW(),_xlfn.MINIFS($B$3:$B$5000,$A$3:$A$5000,$A875,$B$3:$B$5000,"&gt;"&amp;$B875))</f>
        <v>46279.5987643195</v>
      </c>
    </row>
    <row r="876" customFormat="false" ht="15" hidden="false" customHeight="true" outlineLevel="0" collapsed="false">
      <c r="A876" s="42"/>
      <c r="B876" s="42"/>
      <c r="C876" s="42"/>
      <c r="D876" s="42"/>
      <c r="E876" s="42"/>
      <c r="F876" s="51" t="n">
        <f aca="false">IF(OR(C876="",D876="",E876="",E876=0),0,C876*D876/E876)</f>
        <v>0</v>
      </c>
      <c r="G876" s="42"/>
      <c r="H876" s="49" t="n">
        <f aca="true">IF(OR($A876="",_xlfn.MINIFS($B$3:$B$5000,$A$3:$A$5000,$A876,$B$3:$B$5000,"&gt;"&amp;$B876)=0),NOW(),_xlfn.MINIFS($B$3:$B$5000,$A$3:$A$5000,$A876,$B$3:$B$5000,"&gt;"&amp;$B876))</f>
        <v>46279.5987643196</v>
      </c>
    </row>
    <row r="877" customFormat="false" ht="15" hidden="false" customHeight="true" outlineLevel="0" collapsed="false">
      <c r="A877" s="42"/>
      <c r="B877" s="42"/>
      <c r="C877" s="42"/>
      <c r="D877" s="42"/>
      <c r="E877" s="42"/>
      <c r="F877" s="51" t="n">
        <f aca="false">IF(OR(C877="",D877="",E877="",E877=0),0,C877*D877/E877)</f>
        <v>0</v>
      </c>
      <c r="G877" s="42"/>
      <c r="H877" s="49" t="n">
        <f aca="true">IF(OR($A877="",_xlfn.MINIFS($B$3:$B$5000,$A$3:$A$5000,$A877,$B$3:$B$5000,"&gt;"&amp;$B877)=0),NOW(),_xlfn.MINIFS($B$3:$B$5000,$A$3:$A$5000,$A877,$B$3:$B$5000,"&gt;"&amp;$B877))</f>
        <v>46279.5987643196</v>
      </c>
    </row>
    <row r="878" customFormat="false" ht="15" hidden="false" customHeight="true" outlineLevel="0" collapsed="false">
      <c r="A878" s="42"/>
      <c r="B878" s="42"/>
      <c r="C878" s="42"/>
      <c r="D878" s="42"/>
      <c r="E878" s="42"/>
      <c r="F878" s="51" t="n">
        <f aca="false">IF(OR(C878="",D878="",E878="",E878=0),0,C878*D878/E878)</f>
        <v>0</v>
      </c>
      <c r="G878" s="42"/>
      <c r="H878" s="49" t="n">
        <f aca="true">IF(OR($A878="",_xlfn.MINIFS($B$3:$B$5000,$A$3:$A$5000,$A878,$B$3:$B$5000,"&gt;"&amp;$B878)=0),NOW(),_xlfn.MINIFS($B$3:$B$5000,$A$3:$A$5000,$A878,$B$3:$B$5000,"&gt;"&amp;$B878))</f>
        <v>46279.5987643197</v>
      </c>
    </row>
    <row r="879" customFormat="false" ht="15" hidden="false" customHeight="true" outlineLevel="0" collapsed="false">
      <c r="A879" s="42"/>
      <c r="B879" s="42"/>
      <c r="C879" s="42"/>
      <c r="D879" s="42"/>
      <c r="E879" s="42"/>
      <c r="F879" s="51" t="n">
        <f aca="false">IF(OR(C879="",D879="",E879="",E879=0),0,C879*D879/E879)</f>
        <v>0</v>
      </c>
      <c r="G879" s="42"/>
      <c r="H879" s="49" t="n">
        <f aca="true">IF(OR($A879="",_xlfn.MINIFS($B$3:$B$5000,$A$3:$A$5000,$A879,$B$3:$B$5000,"&gt;"&amp;$B879)=0),NOW(),_xlfn.MINIFS($B$3:$B$5000,$A$3:$A$5000,$A879,$B$3:$B$5000,"&gt;"&amp;$B879))</f>
        <v>46279.5987643197</v>
      </c>
    </row>
    <row r="880" customFormat="false" ht="15" hidden="false" customHeight="true" outlineLevel="0" collapsed="false">
      <c r="A880" s="42"/>
      <c r="B880" s="42"/>
      <c r="C880" s="42"/>
      <c r="D880" s="42"/>
      <c r="E880" s="42"/>
      <c r="F880" s="51" t="n">
        <f aca="false">IF(OR(C880="",D880="",E880="",E880=0),0,C880*D880/E880)</f>
        <v>0</v>
      </c>
      <c r="G880" s="42"/>
      <c r="H880" s="49" t="n">
        <f aca="true">IF(OR($A880="",_xlfn.MINIFS($B$3:$B$5000,$A$3:$A$5000,$A880,$B$3:$B$5000,"&gt;"&amp;$B880)=0),NOW(),_xlfn.MINIFS($B$3:$B$5000,$A$3:$A$5000,$A880,$B$3:$B$5000,"&gt;"&amp;$B880))</f>
        <v>46279.5987643198</v>
      </c>
    </row>
    <row r="881" customFormat="false" ht="15" hidden="false" customHeight="true" outlineLevel="0" collapsed="false">
      <c r="A881" s="42"/>
      <c r="B881" s="42"/>
      <c r="C881" s="42"/>
      <c r="D881" s="42"/>
      <c r="E881" s="42"/>
      <c r="F881" s="51" t="n">
        <f aca="false">IF(OR(C881="",D881="",E881="",E881=0),0,C881*D881/E881)</f>
        <v>0</v>
      </c>
      <c r="G881" s="42"/>
      <c r="H881" s="49" t="n">
        <f aca="true">IF(OR($A881="",_xlfn.MINIFS($B$3:$B$5000,$A$3:$A$5000,$A881,$B$3:$B$5000,"&gt;"&amp;$B881)=0),NOW(),_xlfn.MINIFS($B$3:$B$5000,$A$3:$A$5000,$A881,$B$3:$B$5000,"&gt;"&amp;$B881))</f>
        <v>46279.5987643198</v>
      </c>
    </row>
    <row r="882" customFormat="false" ht="15" hidden="false" customHeight="true" outlineLevel="0" collapsed="false">
      <c r="A882" s="42"/>
      <c r="B882" s="42"/>
      <c r="C882" s="42"/>
      <c r="D882" s="42"/>
      <c r="E882" s="42"/>
      <c r="F882" s="51" t="n">
        <f aca="false">IF(OR(C882="",D882="",E882="",E882=0),0,C882*D882/E882)</f>
        <v>0</v>
      </c>
      <c r="G882" s="42"/>
      <c r="H882" s="49" t="n">
        <f aca="true">IF(OR($A882="",_xlfn.MINIFS($B$3:$B$5000,$A$3:$A$5000,$A882,$B$3:$B$5000,"&gt;"&amp;$B882)=0),NOW(),_xlfn.MINIFS($B$3:$B$5000,$A$3:$A$5000,$A882,$B$3:$B$5000,"&gt;"&amp;$B882))</f>
        <v>46279.5987643199</v>
      </c>
    </row>
    <row r="883" customFormat="false" ht="15" hidden="false" customHeight="true" outlineLevel="0" collapsed="false">
      <c r="A883" s="42"/>
      <c r="B883" s="42"/>
      <c r="C883" s="42"/>
      <c r="D883" s="42"/>
      <c r="E883" s="42"/>
      <c r="F883" s="51" t="n">
        <f aca="false">IF(OR(C883="",D883="",E883="",E883=0),0,C883*D883/E883)</f>
        <v>0</v>
      </c>
      <c r="G883" s="42"/>
      <c r="H883" s="49" t="n">
        <f aca="true">IF(OR($A883="",_xlfn.MINIFS($B$3:$B$5000,$A$3:$A$5000,$A883,$B$3:$B$5000,"&gt;"&amp;$B883)=0),NOW(),_xlfn.MINIFS($B$3:$B$5000,$A$3:$A$5000,$A883,$B$3:$B$5000,"&gt;"&amp;$B883))</f>
        <v>46279.5987643199</v>
      </c>
    </row>
    <row r="884" customFormat="false" ht="15" hidden="false" customHeight="true" outlineLevel="0" collapsed="false">
      <c r="A884" s="42"/>
      <c r="B884" s="42"/>
      <c r="C884" s="42"/>
      <c r="D884" s="42"/>
      <c r="E884" s="42"/>
      <c r="F884" s="51" t="n">
        <f aca="false">IF(OR(C884="",D884="",E884="",E884=0),0,C884*D884/E884)</f>
        <v>0</v>
      </c>
      <c r="G884" s="42"/>
      <c r="H884" s="49" t="n">
        <f aca="true">IF(OR($A884="",_xlfn.MINIFS($B$3:$B$5000,$A$3:$A$5000,$A884,$B$3:$B$5000,"&gt;"&amp;$B884)=0),NOW(),_xlfn.MINIFS($B$3:$B$5000,$A$3:$A$5000,$A884,$B$3:$B$5000,"&gt;"&amp;$B884))</f>
        <v>46279.59876432</v>
      </c>
    </row>
    <row r="885" customFormat="false" ht="15" hidden="false" customHeight="true" outlineLevel="0" collapsed="false">
      <c r="A885" s="42"/>
      <c r="B885" s="42"/>
      <c r="C885" s="42"/>
      <c r="D885" s="42"/>
      <c r="E885" s="42"/>
      <c r="F885" s="51" t="n">
        <f aca="false">IF(OR(C885="",D885="",E885="",E885=0),0,C885*D885/E885)</f>
        <v>0</v>
      </c>
      <c r="G885" s="42"/>
      <c r="H885" s="49" t="n">
        <f aca="true">IF(OR($A885="",_xlfn.MINIFS($B$3:$B$5000,$A$3:$A$5000,$A885,$B$3:$B$5000,"&gt;"&amp;$B885)=0),NOW(),_xlfn.MINIFS($B$3:$B$5000,$A$3:$A$5000,$A885,$B$3:$B$5000,"&gt;"&amp;$B885))</f>
        <v>46279.59876432</v>
      </c>
    </row>
    <row r="886" customFormat="false" ht="15" hidden="false" customHeight="true" outlineLevel="0" collapsed="false">
      <c r="A886" s="42"/>
      <c r="B886" s="42"/>
      <c r="C886" s="42"/>
      <c r="D886" s="42"/>
      <c r="E886" s="42"/>
      <c r="F886" s="51" t="n">
        <f aca="false">IF(OR(C886="",D886="",E886="",E886=0),0,C886*D886/E886)</f>
        <v>0</v>
      </c>
      <c r="G886" s="42"/>
      <c r="H886" s="49" t="n">
        <f aca="true">IF(OR($A886="",_xlfn.MINIFS($B$3:$B$5000,$A$3:$A$5000,$A886,$B$3:$B$5000,"&gt;"&amp;$B886)=0),NOW(),_xlfn.MINIFS($B$3:$B$5000,$A$3:$A$5000,$A886,$B$3:$B$5000,"&gt;"&amp;$B886))</f>
        <v>46279.5987643201</v>
      </c>
    </row>
    <row r="887" customFormat="false" ht="15" hidden="false" customHeight="true" outlineLevel="0" collapsed="false">
      <c r="A887" s="42"/>
      <c r="B887" s="42"/>
      <c r="C887" s="42"/>
      <c r="D887" s="42"/>
      <c r="E887" s="42"/>
      <c r="F887" s="51" t="n">
        <f aca="false">IF(OR(C887="",D887="",E887="",E887=0),0,C887*D887/E887)</f>
        <v>0</v>
      </c>
      <c r="G887" s="42"/>
      <c r="H887" s="49" t="n">
        <f aca="true">IF(OR($A887="",_xlfn.MINIFS($B$3:$B$5000,$A$3:$A$5000,$A887,$B$3:$B$5000,"&gt;"&amp;$B887)=0),NOW(),_xlfn.MINIFS($B$3:$B$5000,$A$3:$A$5000,$A887,$B$3:$B$5000,"&gt;"&amp;$B887))</f>
        <v>46279.5987643201</v>
      </c>
    </row>
    <row r="888" customFormat="false" ht="15" hidden="false" customHeight="true" outlineLevel="0" collapsed="false">
      <c r="A888" s="42"/>
      <c r="B888" s="42"/>
      <c r="C888" s="42"/>
      <c r="D888" s="42"/>
      <c r="E888" s="42"/>
      <c r="F888" s="51" t="n">
        <f aca="false">IF(OR(C888="",D888="",E888="",E888=0),0,C888*D888/E888)</f>
        <v>0</v>
      </c>
      <c r="G888" s="42"/>
      <c r="H888" s="49" t="n">
        <f aca="true">IF(OR($A888="",_xlfn.MINIFS($B$3:$B$5000,$A$3:$A$5000,$A888,$B$3:$B$5000,"&gt;"&amp;$B888)=0),NOW(),_xlfn.MINIFS($B$3:$B$5000,$A$3:$A$5000,$A888,$B$3:$B$5000,"&gt;"&amp;$B888))</f>
        <v>46279.5987643202</v>
      </c>
    </row>
    <row r="889" customFormat="false" ht="15" hidden="false" customHeight="true" outlineLevel="0" collapsed="false">
      <c r="A889" s="42"/>
      <c r="B889" s="42"/>
      <c r="C889" s="42"/>
      <c r="D889" s="42"/>
      <c r="E889" s="42"/>
      <c r="F889" s="51" t="n">
        <f aca="false">IF(OR(C889="",D889="",E889="",E889=0),0,C889*D889/E889)</f>
        <v>0</v>
      </c>
      <c r="G889" s="42"/>
      <c r="H889" s="49" t="n">
        <f aca="true">IF(OR($A889="",_xlfn.MINIFS($B$3:$B$5000,$A$3:$A$5000,$A889,$B$3:$B$5000,"&gt;"&amp;$B889)=0),NOW(),_xlfn.MINIFS($B$3:$B$5000,$A$3:$A$5000,$A889,$B$3:$B$5000,"&gt;"&amp;$B889))</f>
        <v>46279.5987643202</v>
      </c>
    </row>
    <row r="890" customFormat="false" ht="15" hidden="false" customHeight="true" outlineLevel="0" collapsed="false">
      <c r="A890" s="42"/>
      <c r="B890" s="42"/>
      <c r="C890" s="42"/>
      <c r="D890" s="42"/>
      <c r="E890" s="42"/>
      <c r="F890" s="51" t="n">
        <f aca="false">IF(OR(C890="",D890="",E890="",E890=0),0,C890*D890/E890)</f>
        <v>0</v>
      </c>
      <c r="G890" s="42"/>
      <c r="H890" s="49" t="n">
        <f aca="true">IF(OR($A890="",_xlfn.MINIFS($B$3:$B$5000,$A$3:$A$5000,$A890,$B$3:$B$5000,"&gt;"&amp;$B890)=0),NOW(),_xlfn.MINIFS($B$3:$B$5000,$A$3:$A$5000,$A890,$B$3:$B$5000,"&gt;"&amp;$B890))</f>
        <v>46279.5987643203</v>
      </c>
    </row>
    <row r="891" customFormat="false" ht="15" hidden="false" customHeight="true" outlineLevel="0" collapsed="false">
      <c r="A891" s="42"/>
      <c r="B891" s="42"/>
      <c r="C891" s="42"/>
      <c r="D891" s="42"/>
      <c r="E891" s="42"/>
      <c r="F891" s="51" t="n">
        <f aca="false">IF(OR(C891="",D891="",E891="",E891=0),0,C891*D891/E891)</f>
        <v>0</v>
      </c>
      <c r="G891" s="42"/>
      <c r="H891" s="49" t="n">
        <f aca="true">IF(OR($A891="",_xlfn.MINIFS($B$3:$B$5000,$A$3:$A$5000,$A891,$B$3:$B$5000,"&gt;"&amp;$B891)=0),NOW(),_xlfn.MINIFS($B$3:$B$5000,$A$3:$A$5000,$A891,$B$3:$B$5000,"&gt;"&amp;$B891))</f>
        <v>46279.5987643203</v>
      </c>
    </row>
    <row r="892" customFormat="false" ht="15" hidden="false" customHeight="true" outlineLevel="0" collapsed="false">
      <c r="A892" s="42"/>
      <c r="B892" s="42"/>
      <c r="C892" s="42"/>
      <c r="D892" s="42"/>
      <c r="E892" s="42"/>
      <c r="F892" s="51" t="n">
        <f aca="false">IF(OR(C892="",D892="",E892="",E892=0),0,C892*D892/E892)</f>
        <v>0</v>
      </c>
      <c r="G892" s="42"/>
      <c r="H892" s="49" t="n">
        <f aca="true">IF(OR($A892="",_xlfn.MINIFS($B$3:$B$5000,$A$3:$A$5000,$A892,$B$3:$B$5000,"&gt;"&amp;$B892)=0),NOW(),_xlfn.MINIFS($B$3:$B$5000,$A$3:$A$5000,$A892,$B$3:$B$5000,"&gt;"&amp;$B892))</f>
        <v>46279.5987643204</v>
      </c>
    </row>
    <row r="893" customFormat="false" ht="15" hidden="false" customHeight="true" outlineLevel="0" collapsed="false">
      <c r="A893" s="42"/>
      <c r="B893" s="42"/>
      <c r="C893" s="42"/>
      <c r="D893" s="42"/>
      <c r="E893" s="42"/>
      <c r="F893" s="51" t="n">
        <f aca="false">IF(OR(C893="",D893="",E893="",E893=0),0,C893*D893/E893)</f>
        <v>0</v>
      </c>
      <c r="G893" s="42"/>
      <c r="H893" s="49" t="n">
        <f aca="true">IF(OR($A893="",_xlfn.MINIFS($B$3:$B$5000,$A$3:$A$5000,$A893,$B$3:$B$5000,"&gt;"&amp;$B893)=0),NOW(),_xlfn.MINIFS($B$3:$B$5000,$A$3:$A$5000,$A893,$B$3:$B$5000,"&gt;"&amp;$B893))</f>
        <v>46279.5987643204</v>
      </c>
    </row>
    <row r="894" customFormat="false" ht="15" hidden="false" customHeight="true" outlineLevel="0" collapsed="false">
      <c r="A894" s="42"/>
      <c r="B894" s="42"/>
      <c r="C894" s="42"/>
      <c r="D894" s="42"/>
      <c r="E894" s="42"/>
      <c r="F894" s="51" t="n">
        <f aca="false">IF(OR(C894="",D894="",E894="",E894=0),0,C894*D894/E894)</f>
        <v>0</v>
      </c>
      <c r="G894" s="42"/>
      <c r="H894" s="49" t="n">
        <f aca="true">IF(OR($A894="",_xlfn.MINIFS($B$3:$B$5000,$A$3:$A$5000,$A894,$B$3:$B$5000,"&gt;"&amp;$B894)=0),NOW(),_xlfn.MINIFS($B$3:$B$5000,$A$3:$A$5000,$A894,$B$3:$B$5000,"&gt;"&amp;$B894))</f>
        <v>46279.5987643205</v>
      </c>
    </row>
    <row r="895" customFormat="false" ht="15" hidden="false" customHeight="true" outlineLevel="0" collapsed="false">
      <c r="A895" s="42"/>
      <c r="B895" s="42"/>
      <c r="C895" s="42"/>
      <c r="D895" s="42"/>
      <c r="E895" s="42"/>
      <c r="F895" s="51" t="n">
        <f aca="false">IF(OR(C895="",D895="",E895="",E895=0),0,C895*D895/E895)</f>
        <v>0</v>
      </c>
      <c r="G895" s="42"/>
      <c r="H895" s="49" t="n">
        <f aca="true">IF(OR($A895="",_xlfn.MINIFS($B$3:$B$5000,$A$3:$A$5000,$A895,$B$3:$B$5000,"&gt;"&amp;$B895)=0),NOW(),_xlfn.MINIFS($B$3:$B$5000,$A$3:$A$5000,$A895,$B$3:$B$5000,"&gt;"&amp;$B895))</f>
        <v>46279.5987643205</v>
      </c>
    </row>
    <row r="896" customFormat="false" ht="15" hidden="false" customHeight="true" outlineLevel="0" collapsed="false">
      <c r="A896" s="42"/>
      <c r="B896" s="42"/>
      <c r="C896" s="42"/>
      <c r="D896" s="42"/>
      <c r="E896" s="42"/>
      <c r="F896" s="51" t="n">
        <f aca="false">IF(OR(C896="",D896="",E896="",E896=0),0,C896*D896/E896)</f>
        <v>0</v>
      </c>
      <c r="G896" s="42"/>
      <c r="H896" s="49" t="n">
        <f aca="true">IF(OR($A896="",_xlfn.MINIFS($B$3:$B$5000,$A$3:$A$5000,$A896,$B$3:$B$5000,"&gt;"&amp;$B896)=0),NOW(),_xlfn.MINIFS($B$3:$B$5000,$A$3:$A$5000,$A896,$B$3:$B$5000,"&gt;"&amp;$B896))</f>
        <v>46279.5987643206</v>
      </c>
    </row>
    <row r="897" customFormat="false" ht="15" hidden="false" customHeight="true" outlineLevel="0" collapsed="false">
      <c r="A897" s="42"/>
      <c r="B897" s="42"/>
      <c r="C897" s="42"/>
      <c r="D897" s="42"/>
      <c r="E897" s="42"/>
      <c r="F897" s="51" t="n">
        <f aca="false">IF(OR(C897="",D897="",E897="",E897=0),0,C897*D897/E897)</f>
        <v>0</v>
      </c>
      <c r="G897" s="42"/>
      <c r="H897" s="49" t="n">
        <f aca="true">IF(OR($A897="",_xlfn.MINIFS($B$3:$B$5000,$A$3:$A$5000,$A897,$B$3:$B$5000,"&gt;"&amp;$B897)=0),NOW(),_xlfn.MINIFS($B$3:$B$5000,$A$3:$A$5000,$A897,$B$3:$B$5000,"&gt;"&amp;$B897))</f>
        <v>46279.5987643206</v>
      </c>
    </row>
    <row r="898" customFormat="false" ht="15" hidden="false" customHeight="true" outlineLevel="0" collapsed="false">
      <c r="A898" s="42"/>
      <c r="B898" s="42"/>
      <c r="C898" s="42"/>
      <c r="D898" s="42"/>
      <c r="E898" s="42"/>
      <c r="F898" s="51" t="n">
        <f aca="false">IF(OR(C898="",D898="",E898="",E898=0),0,C898*D898/E898)</f>
        <v>0</v>
      </c>
      <c r="G898" s="42"/>
      <c r="H898" s="49" t="n">
        <f aca="true">IF(OR($A898="",_xlfn.MINIFS($B$3:$B$5000,$A$3:$A$5000,$A898,$B$3:$B$5000,"&gt;"&amp;$B898)=0),NOW(),_xlfn.MINIFS($B$3:$B$5000,$A$3:$A$5000,$A898,$B$3:$B$5000,"&gt;"&amp;$B898))</f>
        <v>46279.5987643207</v>
      </c>
    </row>
    <row r="899" customFormat="false" ht="15" hidden="false" customHeight="true" outlineLevel="0" collapsed="false">
      <c r="A899" s="42"/>
      <c r="B899" s="42"/>
      <c r="C899" s="42"/>
      <c r="D899" s="42"/>
      <c r="E899" s="42"/>
      <c r="F899" s="51" t="n">
        <f aca="false">IF(OR(C899="",D899="",E899="",E899=0),0,C899*D899/E899)</f>
        <v>0</v>
      </c>
      <c r="G899" s="42"/>
      <c r="H899" s="49" t="n">
        <f aca="true">IF(OR($A899="",_xlfn.MINIFS($B$3:$B$5000,$A$3:$A$5000,$A899,$B$3:$B$5000,"&gt;"&amp;$B899)=0),NOW(),_xlfn.MINIFS($B$3:$B$5000,$A$3:$A$5000,$A899,$B$3:$B$5000,"&gt;"&amp;$B899))</f>
        <v>46279.5987643207</v>
      </c>
    </row>
    <row r="900" customFormat="false" ht="15" hidden="false" customHeight="true" outlineLevel="0" collapsed="false">
      <c r="A900" s="42"/>
      <c r="B900" s="42"/>
      <c r="C900" s="42"/>
      <c r="D900" s="42"/>
      <c r="E900" s="42"/>
      <c r="F900" s="51" t="n">
        <f aca="false">IF(OR(C900="",D900="",E900="",E900=0),0,C900*D900/E900)</f>
        <v>0</v>
      </c>
      <c r="G900" s="42"/>
      <c r="H900" s="49" t="n">
        <f aca="true">IF(OR($A900="",_xlfn.MINIFS($B$3:$B$5000,$A$3:$A$5000,$A900,$B$3:$B$5000,"&gt;"&amp;$B900)=0),NOW(),_xlfn.MINIFS($B$3:$B$5000,$A$3:$A$5000,$A900,$B$3:$B$5000,"&gt;"&amp;$B900))</f>
        <v>46279.5987643208</v>
      </c>
    </row>
    <row r="901" customFormat="false" ht="15" hidden="false" customHeight="true" outlineLevel="0" collapsed="false">
      <c r="A901" s="42"/>
      <c r="B901" s="42"/>
      <c r="C901" s="42"/>
      <c r="D901" s="42"/>
      <c r="E901" s="42"/>
      <c r="F901" s="51" t="n">
        <f aca="false">IF(OR(C901="",D901="",E901="",E901=0),0,C901*D901/E901)</f>
        <v>0</v>
      </c>
      <c r="G901" s="42"/>
      <c r="H901" s="49" t="n">
        <f aca="true">IF(OR($A901="",_xlfn.MINIFS($B$3:$B$5000,$A$3:$A$5000,$A901,$B$3:$B$5000,"&gt;"&amp;$B901)=0),NOW(),_xlfn.MINIFS($B$3:$B$5000,$A$3:$A$5000,$A901,$B$3:$B$5000,"&gt;"&amp;$B901))</f>
        <v>46279.5987643208</v>
      </c>
    </row>
    <row r="902" customFormat="false" ht="15" hidden="false" customHeight="true" outlineLevel="0" collapsed="false">
      <c r="A902" s="42"/>
      <c r="B902" s="42"/>
      <c r="C902" s="42"/>
      <c r="D902" s="42"/>
      <c r="E902" s="42"/>
      <c r="F902" s="51" t="n">
        <f aca="false">IF(OR(C902="",D902="",E902="",E902=0),0,C902*D902/E902)</f>
        <v>0</v>
      </c>
      <c r="G902" s="42"/>
      <c r="H902" s="49" t="n">
        <f aca="true">IF(OR($A902="",_xlfn.MINIFS($B$3:$B$5000,$A$3:$A$5000,$A902,$B$3:$B$5000,"&gt;"&amp;$B902)=0),NOW(),_xlfn.MINIFS($B$3:$B$5000,$A$3:$A$5000,$A902,$B$3:$B$5000,"&gt;"&amp;$B902))</f>
        <v>46279.5987643209</v>
      </c>
    </row>
    <row r="903" customFormat="false" ht="15" hidden="false" customHeight="true" outlineLevel="0" collapsed="false">
      <c r="A903" s="42"/>
      <c r="B903" s="42"/>
      <c r="C903" s="42"/>
      <c r="D903" s="42"/>
      <c r="E903" s="42"/>
      <c r="F903" s="51" t="n">
        <f aca="false">IF(OR(C903="",D903="",E903="",E903=0),0,C903*D903/E903)</f>
        <v>0</v>
      </c>
      <c r="G903" s="42"/>
      <c r="H903" s="49" t="n">
        <f aca="true">IF(OR($A903="",_xlfn.MINIFS($B$3:$B$5000,$A$3:$A$5000,$A903,$B$3:$B$5000,"&gt;"&amp;$B903)=0),NOW(),_xlfn.MINIFS($B$3:$B$5000,$A$3:$A$5000,$A903,$B$3:$B$5000,"&gt;"&amp;$B903))</f>
        <v>46279.5987643209</v>
      </c>
    </row>
    <row r="904" customFormat="false" ht="15" hidden="false" customHeight="true" outlineLevel="0" collapsed="false">
      <c r="A904" s="42"/>
      <c r="B904" s="42"/>
      <c r="C904" s="42"/>
      <c r="D904" s="42"/>
      <c r="E904" s="42"/>
      <c r="F904" s="51" t="n">
        <f aca="false">IF(OR(C904="",D904="",E904="",E904=0),0,C904*D904/E904)</f>
        <v>0</v>
      </c>
      <c r="G904" s="42"/>
      <c r="H904" s="49" t="n">
        <f aca="true">IF(OR($A904="",_xlfn.MINIFS($B$3:$B$5000,$A$3:$A$5000,$A904,$B$3:$B$5000,"&gt;"&amp;$B904)=0),NOW(),_xlfn.MINIFS($B$3:$B$5000,$A$3:$A$5000,$A904,$B$3:$B$5000,"&gt;"&amp;$B904))</f>
        <v>46279.598764321</v>
      </c>
    </row>
    <row r="905" customFormat="false" ht="15" hidden="false" customHeight="true" outlineLevel="0" collapsed="false">
      <c r="A905" s="42"/>
      <c r="B905" s="42"/>
      <c r="C905" s="42"/>
      <c r="D905" s="42"/>
      <c r="E905" s="42"/>
      <c r="F905" s="51" t="n">
        <f aca="false">IF(OR(C905="",D905="",E905="",E905=0),0,C905*D905/E905)</f>
        <v>0</v>
      </c>
      <c r="G905" s="42"/>
      <c r="H905" s="49" t="n">
        <f aca="true">IF(OR($A905="",_xlfn.MINIFS($B$3:$B$5000,$A$3:$A$5000,$A905,$B$3:$B$5000,"&gt;"&amp;$B905)=0),NOW(),_xlfn.MINIFS($B$3:$B$5000,$A$3:$A$5000,$A905,$B$3:$B$5000,"&gt;"&amp;$B905))</f>
        <v>46279.598764321</v>
      </c>
    </row>
    <row r="906" customFormat="false" ht="15" hidden="false" customHeight="true" outlineLevel="0" collapsed="false">
      <c r="A906" s="42"/>
      <c r="B906" s="42"/>
      <c r="C906" s="42"/>
      <c r="D906" s="42"/>
      <c r="E906" s="42"/>
      <c r="F906" s="51" t="n">
        <f aca="false">IF(OR(C906="",D906="",E906="",E906=0),0,C906*D906/E906)</f>
        <v>0</v>
      </c>
      <c r="G906" s="42"/>
      <c r="H906" s="49" t="n">
        <f aca="true">IF(OR($A906="",_xlfn.MINIFS($B$3:$B$5000,$A$3:$A$5000,$A906,$B$3:$B$5000,"&gt;"&amp;$B906)=0),NOW(),_xlfn.MINIFS($B$3:$B$5000,$A$3:$A$5000,$A906,$B$3:$B$5000,"&gt;"&amp;$B906))</f>
        <v>46279.5987643211</v>
      </c>
    </row>
    <row r="907" customFormat="false" ht="15" hidden="false" customHeight="true" outlineLevel="0" collapsed="false">
      <c r="A907" s="42"/>
      <c r="B907" s="42"/>
      <c r="C907" s="42"/>
      <c r="D907" s="42"/>
      <c r="E907" s="42"/>
      <c r="F907" s="51" t="n">
        <f aca="false">IF(OR(C907="",D907="",E907="",E907=0),0,C907*D907/E907)</f>
        <v>0</v>
      </c>
      <c r="G907" s="42"/>
      <c r="H907" s="49" t="n">
        <f aca="true">IF(OR($A907="",_xlfn.MINIFS($B$3:$B$5000,$A$3:$A$5000,$A907,$B$3:$B$5000,"&gt;"&amp;$B907)=0),NOW(),_xlfn.MINIFS($B$3:$B$5000,$A$3:$A$5000,$A907,$B$3:$B$5000,"&gt;"&amp;$B907))</f>
        <v>46279.5987643211</v>
      </c>
    </row>
    <row r="908" customFormat="false" ht="15" hidden="false" customHeight="true" outlineLevel="0" collapsed="false">
      <c r="A908" s="42"/>
      <c r="B908" s="42"/>
      <c r="C908" s="42"/>
      <c r="D908" s="42"/>
      <c r="E908" s="42"/>
      <c r="F908" s="51" t="n">
        <f aca="false">IF(OR(C908="",D908="",E908="",E908=0),0,C908*D908/E908)</f>
        <v>0</v>
      </c>
      <c r="G908" s="42"/>
      <c r="H908" s="49" t="n">
        <f aca="true">IF(OR($A908="",_xlfn.MINIFS($B$3:$B$5000,$A$3:$A$5000,$A908,$B$3:$B$5000,"&gt;"&amp;$B908)=0),NOW(),_xlfn.MINIFS($B$3:$B$5000,$A$3:$A$5000,$A908,$B$3:$B$5000,"&gt;"&amp;$B908))</f>
        <v>46279.5987643212</v>
      </c>
    </row>
    <row r="909" customFormat="false" ht="15" hidden="false" customHeight="true" outlineLevel="0" collapsed="false">
      <c r="A909" s="42"/>
      <c r="B909" s="42"/>
      <c r="C909" s="42"/>
      <c r="D909" s="42"/>
      <c r="E909" s="42"/>
      <c r="F909" s="51" t="n">
        <f aca="false">IF(OR(C909="",D909="",E909="",E909=0),0,C909*D909/E909)</f>
        <v>0</v>
      </c>
      <c r="G909" s="42"/>
      <c r="H909" s="49" t="n">
        <f aca="true">IF(OR($A909="",_xlfn.MINIFS($B$3:$B$5000,$A$3:$A$5000,$A909,$B$3:$B$5000,"&gt;"&amp;$B909)=0),NOW(),_xlfn.MINIFS($B$3:$B$5000,$A$3:$A$5000,$A909,$B$3:$B$5000,"&gt;"&amp;$B909))</f>
        <v>46279.5987643212</v>
      </c>
    </row>
    <row r="910" customFormat="false" ht="15" hidden="false" customHeight="true" outlineLevel="0" collapsed="false">
      <c r="A910" s="42"/>
      <c r="B910" s="42"/>
      <c r="C910" s="42"/>
      <c r="D910" s="42"/>
      <c r="E910" s="42"/>
      <c r="F910" s="51" t="n">
        <f aca="false">IF(OR(C910="",D910="",E910="",E910=0),0,C910*D910/E910)</f>
        <v>0</v>
      </c>
      <c r="G910" s="42"/>
      <c r="H910" s="49" t="n">
        <f aca="true">IF(OR($A910="",_xlfn.MINIFS($B$3:$B$5000,$A$3:$A$5000,$A910,$B$3:$B$5000,"&gt;"&amp;$B910)=0),NOW(),_xlfn.MINIFS($B$3:$B$5000,$A$3:$A$5000,$A910,$B$3:$B$5000,"&gt;"&amp;$B910))</f>
        <v>46279.5987643213</v>
      </c>
    </row>
    <row r="911" customFormat="false" ht="15" hidden="false" customHeight="true" outlineLevel="0" collapsed="false">
      <c r="A911" s="42"/>
      <c r="B911" s="42"/>
      <c r="C911" s="42"/>
      <c r="D911" s="42"/>
      <c r="E911" s="42"/>
      <c r="F911" s="51" t="n">
        <f aca="false">IF(OR(C911="",D911="",E911="",E911=0),0,C911*D911/E911)</f>
        <v>0</v>
      </c>
      <c r="G911" s="42"/>
      <c r="H911" s="49" t="n">
        <f aca="true">IF(OR($A911="",_xlfn.MINIFS($B$3:$B$5000,$A$3:$A$5000,$A911,$B$3:$B$5000,"&gt;"&amp;$B911)=0),NOW(),_xlfn.MINIFS($B$3:$B$5000,$A$3:$A$5000,$A911,$B$3:$B$5000,"&gt;"&amp;$B911))</f>
        <v>46279.5987643213</v>
      </c>
    </row>
    <row r="912" customFormat="false" ht="15" hidden="false" customHeight="true" outlineLevel="0" collapsed="false">
      <c r="A912" s="42"/>
      <c r="B912" s="42"/>
      <c r="C912" s="42"/>
      <c r="D912" s="42"/>
      <c r="E912" s="42"/>
      <c r="F912" s="51" t="n">
        <f aca="false">IF(OR(C912="",D912="",E912="",E912=0),0,C912*D912/E912)</f>
        <v>0</v>
      </c>
      <c r="G912" s="42"/>
      <c r="H912" s="49" t="n">
        <f aca="true">IF(OR($A912="",_xlfn.MINIFS($B$3:$B$5000,$A$3:$A$5000,$A912,$B$3:$B$5000,"&gt;"&amp;$B912)=0),NOW(),_xlfn.MINIFS($B$3:$B$5000,$A$3:$A$5000,$A912,$B$3:$B$5000,"&gt;"&amp;$B912))</f>
        <v>46279.5987643214</v>
      </c>
    </row>
    <row r="913" customFormat="false" ht="15" hidden="false" customHeight="true" outlineLevel="0" collapsed="false">
      <c r="A913" s="42"/>
      <c r="B913" s="42"/>
      <c r="C913" s="42"/>
      <c r="D913" s="42"/>
      <c r="E913" s="42"/>
      <c r="F913" s="51" t="n">
        <f aca="false">IF(OR(C913="",D913="",E913="",E913=0),0,C913*D913/E913)</f>
        <v>0</v>
      </c>
      <c r="G913" s="42"/>
      <c r="H913" s="49" t="n">
        <f aca="true">IF(OR($A913="",_xlfn.MINIFS($B$3:$B$5000,$A$3:$A$5000,$A913,$B$3:$B$5000,"&gt;"&amp;$B913)=0),NOW(),_xlfn.MINIFS($B$3:$B$5000,$A$3:$A$5000,$A913,$B$3:$B$5000,"&gt;"&amp;$B913))</f>
        <v>46279.5987643214</v>
      </c>
    </row>
    <row r="914" customFormat="false" ht="15" hidden="false" customHeight="true" outlineLevel="0" collapsed="false">
      <c r="A914" s="42"/>
      <c r="B914" s="42"/>
      <c r="C914" s="42"/>
      <c r="D914" s="42"/>
      <c r="E914" s="42"/>
      <c r="F914" s="51" t="n">
        <f aca="false">IF(OR(C914="",D914="",E914="",E914=0),0,C914*D914/E914)</f>
        <v>0</v>
      </c>
      <c r="G914" s="42"/>
      <c r="H914" s="49" t="n">
        <f aca="true">IF(OR($A914="",_xlfn.MINIFS($B$3:$B$5000,$A$3:$A$5000,$A914,$B$3:$B$5000,"&gt;"&amp;$B914)=0),NOW(),_xlfn.MINIFS($B$3:$B$5000,$A$3:$A$5000,$A914,$B$3:$B$5000,"&gt;"&amp;$B914))</f>
        <v>46279.5987643215</v>
      </c>
    </row>
    <row r="915" customFormat="false" ht="15" hidden="false" customHeight="true" outlineLevel="0" collapsed="false">
      <c r="A915" s="42"/>
      <c r="B915" s="42"/>
      <c r="C915" s="42"/>
      <c r="D915" s="42"/>
      <c r="E915" s="42"/>
      <c r="F915" s="51" t="n">
        <f aca="false">IF(OR(C915="",D915="",E915="",E915=0),0,C915*D915/E915)</f>
        <v>0</v>
      </c>
      <c r="G915" s="42"/>
      <c r="H915" s="49" t="n">
        <f aca="true">IF(OR($A915="",_xlfn.MINIFS($B$3:$B$5000,$A$3:$A$5000,$A915,$B$3:$B$5000,"&gt;"&amp;$B915)=0),NOW(),_xlfn.MINIFS($B$3:$B$5000,$A$3:$A$5000,$A915,$B$3:$B$5000,"&gt;"&amp;$B915))</f>
        <v>46279.5987643215</v>
      </c>
    </row>
    <row r="916" customFormat="false" ht="15" hidden="false" customHeight="true" outlineLevel="0" collapsed="false">
      <c r="A916" s="42"/>
      <c r="B916" s="42"/>
      <c r="C916" s="42"/>
      <c r="D916" s="42"/>
      <c r="E916" s="42"/>
      <c r="F916" s="51" t="n">
        <f aca="false">IF(OR(C916="",D916="",E916="",E916=0),0,C916*D916/E916)</f>
        <v>0</v>
      </c>
      <c r="G916" s="42"/>
      <c r="H916" s="49" t="n">
        <f aca="true">IF(OR($A916="",_xlfn.MINIFS($B$3:$B$5000,$A$3:$A$5000,$A916,$B$3:$B$5000,"&gt;"&amp;$B916)=0),NOW(),_xlfn.MINIFS($B$3:$B$5000,$A$3:$A$5000,$A916,$B$3:$B$5000,"&gt;"&amp;$B916))</f>
        <v>46279.5987643216</v>
      </c>
    </row>
    <row r="917" customFormat="false" ht="15" hidden="false" customHeight="true" outlineLevel="0" collapsed="false">
      <c r="A917" s="42"/>
      <c r="B917" s="42"/>
      <c r="C917" s="42"/>
      <c r="D917" s="42"/>
      <c r="E917" s="42"/>
      <c r="F917" s="51" t="n">
        <f aca="false">IF(OR(C917="",D917="",E917="",E917=0),0,C917*D917/E917)</f>
        <v>0</v>
      </c>
      <c r="G917" s="42"/>
      <c r="H917" s="49" t="n">
        <f aca="true">IF(OR($A917="",_xlfn.MINIFS($B$3:$B$5000,$A$3:$A$5000,$A917,$B$3:$B$5000,"&gt;"&amp;$B917)=0),NOW(),_xlfn.MINIFS($B$3:$B$5000,$A$3:$A$5000,$A917,$B$3:$B$5000,"&gt;"&amp;$B917))</f>
        <v>46279.5987643216</v>
      </c>
    </row>
    <row r="918" customFormat="false" ht="15" hidden="false" customHeight="true" outlineLevel="0" collapsed="false">
      <c r="A918" s="42"/>
      <c r="B918" s="42"/>
      <c r="C918" s="42"/>
      <c r="D918" s="42"/>
      <c r="E918" s="42"/>
      <c r="F918" s="51" t="n">
        <f aca="false">IF(OR(C918="",D918="",E918="",E918=0),0,C918*D918/E918)</f>
        <v>0</v>
      </c>
      <c r="G918" s="42"/>
      <c r="H918" s="49" t="n">
        <f aca="true">IF(OR($A918="",_xlfn.MINIFS($B$3:$B$5000,$A$3:$A$5000,$A918,$B$3:$B$5000,"&gt;"&amp;$B918)=0),NOW(),_xlfn.MINIFS($B$3:$B$5000,$A$3:$A$5000,$A918,$B$3:$B$5000,"&gt;"&amp;$B918))</f>
        <v>46279.5987643217</v>
      </c>
    </row>
    <row r="919" customFormat="false" ht="15" hidden="false" customHeight="true" outlineLevel="0" collapsed="false">
      <c r="A919" s="42"/>
      <c r="B919" s="42"/>
      <c r="C919" s="42"/>
      <c r="D919" s="42"/>
      <c r="E919" s="42"/>
      <c r="F919" s="51" t="n">
        <f aca="false">IF(OR(C919="",D919="",E919="",E919=0),0,C919*D919/E919)</f>
        <v>0</v>
      </c>
      <c r="G919" s="42"/>
      <c r="H919" s="49" t="n">
        <f aca="true">IF(OR($A919="",_xlfn.MINIFS($B$3:$B$5000,$A$3:$A$5000,$A919,$B$3:$B$5000,"&gt;"&amp;$B919)=0),NOW(),_xlfn.MINIFS($B$3:$B$5000,$A$3:$A$5000,$A919,$B$3:$B$5000,"&gt;"&amp;$B919))</f>
        <v>46279.5987643217</v>
      </c>
    </row>
    <row r="920" customFormat="false" ht="15" hidden="false" customHeight="true" outlineLevel="0" collapsed="false">
      <c r="A920" s="42"/>
      <c r="B920" s="42"/>
      <c r="C920" s="42"/>
      <c r="D920" s="42"/>
      <c r="E920" s="42"/>
      <c r="F920" s="51" t="n">
        <f aca="false">IF(OR(C920="",D920="",E920="",E920=0),0,C920*D920/E920)</f>
        <v>0</v>
      </c>
      <c r="G920" s="42"/>
      <c r="H920" s="49" t="n">
        <f aca="true">IF(OR($A920="",_xlfn.MINIFS($B$3:$B$5000,$A$3:$A$5000,$A920,$B$3:$B$5000,"&gt;"&amp;$B920)=0),NOW(),_xlfn.MINIFS($B$3:$B$5000,$A$3:$A$5000,$A920,$B$3:$B$5000,"&gt;"&amp;$B920))</f>
        <v>46279.5987643218</v>
      </c>
    </row>
    <row r="921" customFormat="false" ht="15" hidden="false" customHeight="true" outlineLevel="0" collapsed="false">
      <c r="A921" s="42"/>
      <c r="B921" s="42"/>
      <c r="C921" s="42"/>
      <c r="D921" s="42"/>
      <c r="E921" s="42"/>
      <c r="F921" s="51" t="n">
        <f aca="false">IF(OR(C921="",D921="",E921="",E921=0),0,C921*D921/E921)</f>
        <v>0</v>
      </c>
      <c r="G921" s="42"/>
      <c r="H921" s="49" t="n">
        <f aca="true">IF(OR($A921="",_xlfn.MINIFS($B$3:$B$5000,$A$3:$A$5000,$A921,$B$3:$B$5000,"&gt;"&amp;$B921)=0),NOW(),_xlfn.MINIFS($B$3:$B$5000,$A$3:$A$5000,$A921,$B$3:$B$5000,"&gt;"&amp;$B921))</f>
        <v>46279.5987643218</v>
      </c>
    </row>
    <row r="922" customFormat="false" ht="15" hidden="false" customHeight="true" outlineLevel="0" collapsed="false">
      <c r="A922" s="42"/>
      <c r="B922" s="42"/>
      <c r="C922" s="42"/>
      <c r="D922" s="42"/>
      <c r="E922" s="42"/>
      <c r="F922" s="51" t="n">
        <f aca="false">IF(OR(C922="",D922="",E922="",E922=0),0,C922*D922/E922)</f>
        <v>0</v>
      </c>
      <c r="G922" s="42"/>
      <c r="H922" s="49" t="n">
        <f aca="true">IF(OR($A922="",_xlfn.MINIFS($B$3:$B$5000,$A$3:$A$5000,$A922,$B$3:$B$5000,"&gt;"&amp;$B922)=0),NOW(),_xlfn.MINIFS($B$3:$B$5000,$A$3:$A$5000,$A922,$B$3:$B$5000,"&gt;"&amp;$B922))</f>
        <v>46279.5987643219</v>
      </c>
    </row>
    <row r="923" customFormat="false" ht="15" hidden="false" customHeight="true" outlineLevel="0" collapsed="false">
      <c r="A923" s="42"/>
      <c r="B923" s="42"/>
      <c r="C923" s="42"/>
      <c r="D923" s="42"/>
      <c r="E923" s="42"/>
      <c r="F923" s="51" t="n">
        <f aca="false">IF(OR(C923="",D923="",E923="",E923=0),0,C923*D923/E923)</f>
        <v>0</v>
      </c>
      <c r="G923" s="42"/>
      <c r="H923" s="49" t="n">
        <f aca="true">IF(OR($A923="",_xlfn.MINIFS($B$3:$B$5000,$A$3:$A$5000,$A923,$B$3:$B$5000,"&gt;"&amp;$B923)=0),NOW(),_xlfn.MINIFS($B$3:$B$5000,$A$3:$A$5000,$A923,$B$3:$B$5000,"&gt;"&amp;$B923))</f>
        <v>46279.5987643219</v>
      </c>
    </row>
    <row r="924" customFormat="false" ht="15" hidden="false" customHeight="true" outlineLevel="0" collapsed="false">
      <c r="A924" s="42"/>
      <c r="B924" s="42"/>
      <c r="C924" s="42"/>
      <c r="D924" s="42"/>
      <c r="E924" s="42"/>
      <c r="F924" s="51" t="n">
        <f aca="false">IF(OR(C924="",D924="",E924="",E924=0),0,C924*D924/E924)</f>
        <v>0</v>
      </c>
      <c r="G924" s="42"/>
      <c r="H924" s="49" t="n">
        <f aca="true">IF(OR($A924="",_xlfn.MINIFS($B$3:$B$5000,$A$3:$A$5000,$A924,$B$3:$B$5000,"&gt;"&amp;$B924)=0),NOW(),_xlfn.MINIFS($B$3:$B$5000,$A$3:$A$5000,$A924,$B$3:$B$5000,"&gt;"&amp;$B924))</f>
        <v>46279.598764322</v>
      </c>
    </row>
    <row r="925" customFormat="false" ht="15" hidden="false" customHeight="true" outlineLevel="0" collapsed="false">
      <c r="A925" s="42"/>
      <c r="B925" s="42"/>
      <c r="C925" s="42"/>
      <c r="D925" s="42"/>
      <c r="E925" s="42"/>
      <c r="F925" s="51" t="n">
        <f aca="false">IF(OR(C925="",D925="",E925="",E925=0),0,C925*D925/E925)</f>
        <v>0</v>
      </c>
      <c r="G925" s="42"/>
      <c r="H925" s="49" t="n">
        <f aca="true">IF(OR($A925="",_xlfn.MINIFS($B$3:$B$5000,$A$3:$A$5000,$A925,$B$3:$B$5000,"&gt;"&amp;$B925)=0),NOW(),_xlfn.MINIFS($B$3:$B$5000,$A$3:$A$5000,$A925,$B$3:$B$5000,"&gt;"&amp;$B925))</f>
        <v>46279.598764322</v>
      </c>
    </row>
    <row r="926" customFormat="false" ht="15" hidden="false" customHeight="true" outlineLevel="0" collapsed="false">
      <c r="A926" s="42"/>
      <c r="B926" s="42"/>
      <c r="C926" s="42"/>
      <c r="D926" s="42"/>
      <c r="E926" s="42"/>
      <c r="F926" s="51" t="n">
        <f aca="false">IF(OR(C926="",D926="",E926="",E926=0),0,C926*D926/E926)</f>
        <v>0</v>
      </c>
      <c r="G926" s="42"/>
      <c r="H926" s="49" t="n">
        <f aca="true">IF(OR($A926="",_xlfn.MINIFS($B$3:$B$5000,$A$3:$A$5000,$A926,$B$3:$B$5000,"&gt;"&amp;$B926)=0),NOW(),_xlfn.MINIFS($B$3:$B$5000,$A$3:$A$5000,$A926,$B$3:$B$5000,"&gt;"&amp;$B926))</f>
        <v>46279.5987643221</v>
      </c>
    </row>
    <row r="927" customFormat="false" ht="15" hidden="false" customHeight="true" outlineLevel="0" collapsed="false">
      <c r="A927" s="42"/>
      <c r="B927" s="42"/>
      <c r="C927" s="42"/>
      <c r="D927" s="42"/>
      <c r="E927" s="42"/>
      <c r="F927" s="51" t="n">
        <f aca="false">IF(OR(C927="",D927="",E927="",E927=0),0,C927*D927/E927)</f>
        <v>0</v>
      </c>
      <c r="G927" s="42"/>
      <c r="H927" s="49" t="n">
        <f aca="true">IF(OR($A927="",_xlfn.MINIFS($B$3:$B$5000,$A$3:$A$5000,$A927,$B$3:$B$5000,"&gt;"&amp;$B927)=0),NOW(),_xlfn.MINIFS($B$3:$B$5000,$A$3:$A$5000,$A927,$B$3:$B$5000,"&gt;"&amp;$B927))</f>
        <v>46279.5987643221</v>
      </c>
    </row>
    <row r="928" customFormat="false" ht="15" hidden="false" customHeight="true" outlineLevel="0" collapsed="false">
      <c r="A928" s="42"/>
      <c r="B928" s="42"/>
      <c r="C928" s="42"/>
      <c r="D928" s="42"/>
      <c r="E928" s="42"/>
      <c r="F928" s="51" t="n">
        <f aca="false">IF(OR(C928="",D928="",E928="",E928=0),0,C928*D928/E928)</f>
        <v>0</v>
      </c>
      <c r="G928" s="42"/>
      <c r="H928" s="49" t="n">
        <f aca="true">IF(OR($A928="",_xlfn.MINIFS($B$3:$B$5000,$A$3:$A$5000,$A928,$B$3:$B$5000,"&gt;"&amp;$B928)=0),NOW(),_xlfn.MINIFS($B$3:$B$5000,$A$3:$A$5000,$A928,$B$3:$B$5000,"&gt;"&amp;$B928))</f>
        <v>46279.5987643222</v>
      </c>
    </row>
    <row r="929" customFormat="false" ht="15" hidden="false" customHeight="true" outlineLevel="0" collapsed="false">
      <c r="A929" s="42"/>
      <c r="B929" s="42"/>
      <c r="C929" s="42"/>
      <c r="D929" s="42"/>
      <c r="E929" s="42"/>
      <c r="F929" s="51" t="n">
        <f aca="false">IF(OR(C929="",D929="",E929="",E929=0),0,C929*D929/E929)</f>
        <v>0</v>
      </c>
      <c r="G929" s="42"/>
      <c r="H929" s="49" t="n">
        <f aca="true">IF(OR($A929="",_xlfn.MINIFS($B$3:$B$5000,$A$3:$A$5000,$A929,$B$3:$B$5000,"&gt;"&amp;$B929)=0),NOW(),_xlfn.MINIFS($B$3:$B$5000,$A$3:$A$5000,$A929,$B$3:$B$5000,"&gt;"&amp;$B929))</f>
        <v>46279.5987643222</v>
      </c>
    </row>
    <row r="930" customFormat="false" ht="15" hidden="false" customHeight="true" outlineLevel="0" collapsed="false">
      <c r="A930" s="42"/>
      <c r="B930" s="42"/>
      <c r="C930" s="42"/>
      <c r="D930" s="42"/>
      <c r="E930" s="42"/>
      <c r="F930" s="51" t="n">
        <f aca="false">IF(OR(C930="",D930="",E930="",E930=0),0,C930*D930/E930)</f>
        <v>0</v>
      </c>
      <c r="G930" s="42"/>
      <c r="H930" s="49" t="n">
        <f aca="true">IF(OR($A930="",_xlfn.MINIFS($B$3:$B$5000,$A$3:$A$5000,$A930,$B$3:$B$5000,"&gt;"&amp;$B930)=0),NOW(),_xlfn.MINIFS($B$3:$B$5000,$A$3:$A$5000,$A930,$B$3:$B$5000,"&gt;"&amp;$B930))</f>
        <v>46279.5987643223</v>
      </c>
    </row>
    <row r="931" customFormat="false" ht="15" hidden="false" customHeight="true" outlineLevel="0" collapsed="false">
      <c r="A931" s="42"/>
      <c r="B931" s="42"/>
      <c r="C931" s="42"/>
      <c r="D931" s="42"/>
      <c r="E931" s="42"/>
      <c r="F931" s="51" t="n">
        <f aca="false">IF(OR(C931="",D931="",E931="",E931=0),0,C931*D931/E931)</f>
        <v>0</v>
      </c>
      <c r="G931" s="42"/>
      <c r="H931" s="49" t="n">
        <f aca="true">IF(OR($A931="",_xlfn.MINIFS($B$3:$B$5000,$A$3:$A$5000,$A931,$B$3:$B$5000,"&gt;"&amp;$B931)=0),NOW(),_xlfn.MINIFS($B$3:$B$5000,$A$3:$A$5000,$A931,$B$3:$B$5000,"&gt;"&amp;$B931))</f>
        <v>46279.5987643223</v>
      </c>
    </row>
    <row r="932" customFormat="false" ht="15" hidden="false" customHeight="true" outlineLevel="0" collapsed="false">
      <c r="A932" s="42"/>
      <c r="B932" s="42"/>
      <c r="C932" s="42"/>
      <c r="D932" s="42"/>
      <c r="E932" s="42"/>
      <c r="F932" s="51" t="n">
        <f aca="false">IF(OR(C932="",D932="",E932="",E932=0),0,C932*D932/E932)</f>
        <v>0</v>
      </c>
      <c r="G932" s="42"/>
      <c r="H932" s="49" t="n">
        <f aca="true">IF(OR($A932="",_xlfn.MINIFS($B$3:$B$5000,$A$3:$A$5000,$A932,$B$3:$B$5000,"&gt;"&amp;$B932)=0),NOW(),_xlfn.MINIFS($B$3:$B$5000,$A$3:$A$5000,$A932,$B$3:$B$5000,"&gt;"&amp;$B932))</f>
        <v>46279.5987643224</v>
      </c>
    </row>
    <row r="933" customFormat="false" ht="15" hidden="false" customHeight="true" outlineLevel="0" collapsed="false">
      <c r="A933" s="42"/>
      <c r="B933" s="42"/>
      <c r="C933" s="42"/>
      <c r="D933" s="42"/>
      <c r="E933" s="42"/>
      <c r="F933" s="51" t="n">
        <f aca="false">IF(OR(C933="",D933="",E933="",E933=0),0,C933*D933/E933)</f>
        <v>0</v>
      </c>
      <c r="G933" s="42"/>
      <c r="H933" s="49" t="n">
        <f aca="true">IF(OR($A933="",_xlfn.MINIFS($B$3:$B$5000,$A$3:$A$5000,$A933,$B$3:$B$5000,"&gt;"&amp;$B933)=0),NOW(),_xlfn.MINIFS($B$3:$B$5000,$A$3:$A$5000,$A933,$B$3:$B$5000,"&gt;"&amp;$B933))</f>
        <v>46279.5987643224</v>
      </c>
    </row>
    <row r="934" customFormat="false" ht="15" hidden="false" customHeight="true" outlineLevel="0" collapsed="false">
      <c r="A934" s="42"/>
      <c r="B934" s="42"/>
      <c r="C934" s="42"/>
      <c r="D934" s="42"/>
      <c r="E934" s="42"/>
      <c r="F934" s="51" t="n">
        <f aca="false">IF(OR(C934="",D934="",E934="",E934=0),0,C934*D934/E934)</f>
        <v>0</v>
      </c>
      <c r="G934" s="42"/>
      <c r="H934" s="49" t="n">
        <f aca="true">IF(OR($A934="",_xlfn.MINIFS($B$3:$B$5000,$A$3:$A$5000,$A934,$B$3:$B$5000,"&gt;"&amp;$B934)=0),NOW(),_xlfn.MINIFS($B$3:$B$5000,$A$3:$A$5000,$A934,$B$3:$B$5000,"&gt;"&amp;$B934))</f>
        <v>46279.5987643225</v>
      </c>
    </row>
    <row r="935" customFormat="false" ht="15" hidden="false" customHeight="true" outlineLevel="0" collapsed="false">
      <c r="A935" s="42"/>
      <c r="B935" s="42"/>
      <c r="C935" s="42"/>
      <c r="D935" s="42"/>
      <c r="E935" s="42"/>
      <c r="F935" s="51" t="n">
        <f aca="false">IF(OR(C935="",D935="",E935="",E935=0),0,C935*D935/E935)</f>
        <v>0</v>
      </c>
      <c r="G935" s="42"/>
      <c r="H935" s="49" t="n">
        <f aca="true">IF(OR($A935="",_xlfn.MINIFS($B$3:$B$5000,$A$3:$A$5000,$A935,$B$3:$B$5000,"&gt;"&amp;$B935)=0),NOW(),_xlfn.MINIFS($B$3:$B$5000,$A$3:$A$5000,$A935,$B$3:$B$5000,"&gt;"&amp;$B935))</f>
        <v>46279.5987643225</v>
      </c>
    </row>
    <row r="936" customFormat="false" ht="15" hidden="false" customHeight="true" outlineLevel="0" collapsed="false">
      <c r="A936" s="42"/>
      <c r="B936" s="42"/>
      <c r="C936" s="42"/>
      <c r="D936" s="42"/>
      <c r="E936" s="42"/>
      <c r="F936" s="51" t="n">
        <f aca="false">IF(OR(C936="",D936="",E936="",E936=0),0,C936*D936/E936)</f>
        <v>0</v>
      </c>
      <c r="G936" s="42"/>
      <c r="H936" s="49" t="n">
        <f aca="true">IF(OR($A936="",_xlfn.MINIFS($B$3:$B$5000,$A$3:$A$5000,$A936,$B$3:$B$5000,"&gt;"&amp;$B936)=0),NOW(),_xlfn.MINIFS($B$3:$B$5000,$A$3:$A$5000,$A936,$B$3:$B$5000,"&gt;"&amp;$B936))</f>
        <v>46279.5987643225</v>
      </c>
    </row>
    <row r="937" customFormat="false" ht="15" hidden="false" customHeight="true" outlineLevel="0" collapsed="false">
      <c r="A937" s="42"/>
      <c r="B937" s="42"/>
      <c r="C937" s="42"/>
      <c r="D937" s="42"/>
      <c r="E937" s="42"/>
      <c r="F937" s="51" t="n">
        <f aca="false">IF(OR(C937="",D937="",E937="",E937=0),0,C937*D937/E937)</f>
        <v>0</v>
      </c>
      <c r="G937" s="42"/>
      <c r="H937" s="49" t="n">
        <f aca="true">IF(OR($A937="",_xlfn.MINIFS($B$3:$B$5000,$A$3:$A$5000,$A937,$B$3:$B$5000,"&gt;"&amp;$B937)=0),NOW(),_xlfn.MINIFS($B$3:$B$5000,$A$3:$A$5000,$A937,$B$3:$B$5000,"&gt;"&amp;$B937))</f>
        <v>46279.5987643226</v>
      </c>
    </row>
    <row r="938" customFormat="false" ht="15" hidden="false" customHeight="true" outlineLevel="0" collapsed="false">
      <c r="A938" s="42"/>
      <c r="B938" s="42"/>
      <c r="C938" s="42"/>
      <c r="D938" s="42"/>
      <c r="E938" s="42"/>
      <c r="F938" s="51" t="n">
        <f aca="false">IF(OR(C938="",D938="",E938="",E938=0),0,C938*D938/E938)</f>
        <v>0</v>
      </c>
      <c r="G938" s="42"/>
      <c r="H938" s="49" t="n">
        <f aca="true">IF(OR($A938="",_xlfn.MINIFS($B$3:$B$5000,$A$3:$A$5000,$A938,$B$3:$B$5000,"&gt;"&amp;$B938)=0),NOW(),_xlfn.MINIFS($B$3:$B$5000,$A$3:$A$5000,$A938,$B$3:$B$5000,"&gt;"&amp;$B938))</f>
        <v>46279.5987643227</v>
      </c>
    </row>
    <row r="939" customFormat="false" ht="15" hidden="false" customHeight="true" outlineLevel="0" collapsed="false">
      <c r="A939" s="42"/>
      <c r="B939" s="42"/>
      <c r="C939" s="42"/>
      <c r="D939" s="42"/>
      <c r="E939" s="42"/>
      <c r="F939" s="51" t="n">
        <f aca="false">IF(OR(C939="",D939="",E939="",E939=0),0,C939*D939/E939)</f>
        <v>0</v>
      </c>
      <c r="G939" s="42"/>
      <c r="H939" s="49" t="n">
        <f aca="true">IF(OR($A939="",_xlfn.MINIFS($B$3:$B$5000,$A$3:$A$5000,$A939,$B$3:$B$5000,"&gt;"&amp;$B939)=0),NOW(),_xlfn.MINIFS($B$3:$B$5000,$A$3:$A$5000,$A939,$B$3:$B$5000,"&gt;"&amp;$B939))</f>
        <v>46279.5987643227</v>
      </c>
    </row>
    <row r="940" customFormat="false" ht="15" hidden="false" customHeight="true" outlineLevel="0" collapsed="false">
      <c r="A940" s="42"/>
      <c r="B940" s="42"/>
      <c r="C940" s="42"/>
      <c r="D940" s="42"/>
      <c r="E940" s="42"/>
      <c r="F940" s="51" t="n">
        <f aca="false">IF(OR(C940="",D940="",E940="",E940=0),0,C940*D940/E940)</f>
        <v>0</v>
      </c>
      <c r="G940" s="42"/>
      <c r="H940" s="49" t="n">
        <f aca="true">IF(OR($A940="",_xlfn.MINIFS($B$3:$B$5000,$A$3:$A$5000,$A940,$B$3:$B$5000,"&gt;"&amp;$B940)=0),NOW(),_xlfn.MINIFS($B$3:$B$5000,$A$3:$A$5000,$A940,$B$3:$B$5000,"&gt;"&amp;$B940))</f>
        <v>46279.5987643228</v>
      </c>
    </row>
    <row r="941" customFormat="false" ht="15" hidden="false" customHeight="true" outlineLevel="0" collapsed="false">
      <c r="A941" s="42"/>
      <c r="B941" s="42"/>
      <c r="C941" s="42"/>
      <c r="D941" s="42"/>
      <c r="E941" s="42"/>
      <c r="F941" s="51" t="n">
        <f aca="false">IF(OR(C941="",D941="",E941="",E941=0),0,C941*D941/E941)</f>
        <v>0</v>
      </c>
      <c r="G941" s="42"/>
      <c r="H941" s="49" t="n">
        <f aca="true">IF(OR($A941="",_xlfn.MINIFS($B$3:$B$5000,$A$3:$A$5000,$A941,$B$3:$B$5000,"&gt;"&amp;$B941)=0),NOW(),_xlfn.MINIFS($B$3:$B$5000,$A$3:$A$5000,$A941,$B$3:$B$5000,"&gt;"&amp;$B941))</f>
        <v>46279.5987643228</v>
      </c>
    </row>
    <row r="942" customFormat="false" ht="15" hidden="false" customHeight="true" outlineLevel="0" collapsed="false">
      <c r="A942" s="42"/>
      <c r="B942" s="42"/>
      <c r="C942" s="42"/>
      <c r="D942" s="42"/>
      <c r="E942" s="42"/>
      <c r="F942" s="51" t="n">
        <f aca="false">IF(OR(C942="",D942="",E942="",E942=0),0,C942*D942/E942)</f>
        <v>0</v>
      </c>
      <c r="G942" s="42"/>
      <c r="H942" s="49" t="n">
        <f aca="true">IF(OR($A942="",_xlfn.MINIFS($B$3:$B$5000,$A$3:$A$5000,$A942,$B$3:$B$5000,"&gt;"&amp;$B942)=0),NOW(),_xlfn.MINIFS($B$3:$B$5000,$A$3:$A$5000,$A942,$B$3:$B$5000,"&gt;"&amp;$B942))</f>
        <v>46279.5987643229</v>
      </c>
    </row>
    <row r="943" customFormat="false" ht="15" hidden="false" customHeight="true" outlineLevel="0" collapsed="false">
      <c r="A943" s="42"/>
      <c r="B943" s="42"/>
      <c r="C943" s="42"/>
      <c r="D943" s="42"/>
      <c r="E943" s="42"/>
      <c r="F943" s="51" t="n">
        <f aca="false">IF(OR(C943="",D943="",E943="",E943=0),0,C943*D943/E943)</f>
        <v>0</v>
      </c>
      <c r="G943" s="42"/>
      <c r="H943" s="49" t="n">
        <f aca="true">IF(OR($A943="",_xlfn.MINIFS($B$3:$B$5000,$A$3:$A$5000,$A943,$B$3:$B$5000,"&gt;"&amp;$B943)=0),NOW(),_xlfn.MINIFS($B$3:$B$5000,$A$3:$A$5000,$A943,$B$3:$B$5000,"&gt;"&amp;$B943))</f>
        <v>46279.5987643229</v>
      </c>
    </row>
    <row r="944" customFormat="false" ht="15" hidden="false" customHeight="true" outlineLevel="0" collapsed="false">
      <c r="A944" s="42"/>
      <c r="B944" s="42"/>
      <c r="C944" s="42"/>
      <c r="D944" s="42"/>
      <c r="E944" s="42"/>
      <c r="F944" s="51" t="n">
        <f aca="false">IF(OR(C944="",D944="",E944="",E944=0),0,C944*D944/E944)</f>
        <v>0</v>
      </c>
      <c r="G944" s="42"/>
      <c r="H944" s="49" t="n">
        <f aca="true">IF(OR($A944="",_xlfn.MINIFS($B$3:$B$5000,$A$3:$A$5000,$A944,$B$3:$B$5000,"&gt;"&amp;$B944)=0),NOW(),_xlfn.MINIFS($B$3:$B$5000,$A$3:$A$5000,$A944,$B$3:$B$5000,"&gt;"&amp;$B944))</f>
        <v>46279.5987643229</v>
      </c>
    </row>
    <row r="945" customFormat="false" ht="15" hidden="false" customHeight="true" outlineLevel="0" collapsed="false">
      <c r="A945" s="42"/>
      <c r="B945" s="42"/>
      <c r="C945" s="42"/>
      <c r="D945" s="42"/>
      <c r="E945" s="42"/>
      <c r="F945" s="51" t="n">
        <f aca="false">IF(OR(C945="",D945="",E945="",E945=0),0,C945*D945/E945)</f>
        <v>0</v>
      </c>
      <c r="G945" s="42"/>
      <c r="H945" s="49" t="n">
        <f aca="true">IF(OR($A945="",_xlfn.MINIFS($B$3:$B$5000,$A$3:$A$5000,$A945,$B$3:$B$5000,"&gt;"&amp;$B945)=0),NOW(),_xlfn.MINIFS($B$3:$B$5000,$A$3:$A$5000,$A945,$B$3:$B$5000,"&gt;"&amp;$B945))</f>
        <v>46279.598764323</v>
      </c>
    </row>
    <row r="946" customFormat="false" ht="15" hidden="false" customHeight="true" outlineLevel="0" collapsed="false">
      <c r="A946" s="42"/>
      <c r="B946" s="42"/>
      <c r="C946" s="42"/>
      <c r="D946" s="42"/>
      <c r="E946" s="42"/>
      <c r="F946" s="51" t="n">
        <f aca="false">IF(OR(C946="",D946="",E946="",E946=0),0,C946*D946/E946)</f>
        <v>0</v>
      </c>
      <c r="G946" s="42"/>
      <c r="H946" s="49" t="n">
        <f aca="true">IF(OR($A946="",_xlfn.MINIFS($B$3:$B$5000,$A$3:$A$5000,$A946,$B$3:$B$5000,"&gt;"&amp;$B946)=0),NOW(),_xlfn.MINIFS($B$3:$B$5000,$A$3:$A$5000,$A946,$B$3:$B$5000,"&gt;"&amp;$B946))</f>
        <v>46279.5987643231</v>
      </c>
    </row>
    <row r="947" customFormat="false" ht="15" hidden="false" customHeight="true" outlineLevel="0" collapsed="false">
      <c r="A947" s="42"/>
      <c r="B947" s="42"/>
      <c r="C947" s="42"/>
      <c r="D947" s="42"/>
      <c r="E947" s="42"/>
      <c r="F947" s="51" t="n">
        <f aca="false">IF(OR(C947="",D947="",E947="",E947=0),0,C947*D947/E947)</f>
        <v>0</v>
      </c>
      <c r="G947" s="42"/>
      <c r="H947" s="49" t="n">
        <f aca="true">IF(OR($A947="",_xlfn.MINIFS($B$3:$B$5000,$A$3:$A$5000,$A947,$B$3:$B$5000,"&gt;"&amp;$B947)=0),NOW(),_xlfn.MINIFS($B$3:$B$5000,$A$3:$A$5000,$A947,$B$3:$B$5000,"&gt;"&amp;$B947))</f>
        <v>46279.5987643231</v>
      </c>
    </row>
    <row r="948" customFormat="false" ht="15" hidden="false" customHeight="true" outlineLevel="0" collapsed="false">
      <c r="A948" s="42"/>
      <c r="B948" s="42"/>
      <c r="C948" s="42"/>
      <c r="D948" s="42"/>
      <c r="E948" s="42"/>
      <c r="F948" s="51" t="n">
        <f aca="false">IF(OR(C948="",D948="",E948="",E948=0),0,C948*D948/E948)</f>
        <v>0</v>
      </c>
      <c r="G948" s="42"/>
      <c r="H948" s="49" t="n">
        <f aca="true">IF(OR($A948="",_xlfn.MINIFS($B$3:$B$5000,$A$3:$A$5000,$A948,$B$3:$B$5000,"&gt;"&amp;$B948)=0),NOW(),_xlfn.MINIFS($B$3:$B$5000,$A$3:$A$5000,$A948,$B$3:$B$5000,"&gt;"&amp;$B948))</f>
        <v>46279.5987643232</v>
      </c>
    </row>
    <row r="949" customFormat="false" ht="15" hidden="false" customHeight="true" outlineLevel="0" collapsed="false">
      <c r="A949" s="42"/>
      <c r="B949" s="42"/>
      <c r="C949" s="42"/>
      <c r="D949" s="42"/>
      <c r="E949" s="42"/>
      <c r="F949" s="51" t="n">
        <f aca="false">IF(OR(C949="",D949="",E949="",E949=0),0,C949*D949/E949)</f>
        <v>0</v>
      </c>
      <c r="G949" s="42"/>
      <c r="H949" s="49" t="n">
        <f aca="true">IF(OR($A949="",_xlfn.MINIFS($B$3:$B$5000,$A$3:$A$5000,$A949,$B$3:$B$5000,"&gt;"&amp;$B949)=0),NOW(),_xlfn.MINIFS($B$3:$B$5000,$A$3:$A$5000,$A949,$B$3:$B$5000,"&gt;"&amp;$B949))</f>
        <v>46279.5987643232</v>
      </c>
    </row>
    <row r="950" customFormat="false" ht="15" hidden="false" customHeight="true" outlineLevel="0" collapsed="false">
      <c r="A950" s="42"/>
      <c r="B950" s="42"/>
      <c r="C950" s="42"/>
      <c r="D950" s="42"/>
      <c r="E950" s="42"/>
      <c r="F950" s="51" t="n">
        <f aca="false">IF(OR(C950="",D950="",E950="",E950=0),0,C950*D950/E950)</f>
        <v>0</v>
      </c>
      <c r="G950" s="42"/>
      <c r="H950" s="49" t="n">
        <f aca="true">IF(OR($A950="",_xlfn.MINIFS($B$3:$B$5000,$A$3:$A$5000,$A950,$B$3:$B$5000,"&gt;"&amp;$B950)=0),NOW(),_xlfn.MINIFS($B$3:$B$5000,$A$3:$A$5000,$A950,$B$3:$B$5000,"&gt;"&amp;$B950))</f>
        <v>46279.5987643232</v>
      </c>
    </row>
    <row r="951" customFormat="false" ht="15" hidden="false" customHeight="true" outlineLevel="0" collapsed="false">
      <c r="A951" s="42"/>
      <c r="B951" s="42"/>
      <c r="C951" s="42"/>
      <c r="D951" s="42"/>
      <c r="E951" s="42"/>
      <c r="F951" s="51" t="n">
        <f aca="false">IF(OR(C951="",D951="",E951="",E951=0),0,C951*D951/E951)</f>
        <v>0</v>
      </c>
      <c r="G951" s="42"/>
      <c r="H951" s="49" t="n">
        <f aca="true">IF(OR($A951="",_xlfn.MINIFS($B$3:$B$5000,$A$3:$A$5000,$A951,$B$3:$B$5000,"&gt;"&amp;$B951)=0),NOW(),_xlfn.MINIFS($B$3:$B$5000,$A$3:$A$5000,$A951,$B$3:$B$5000,"&gt;"&amp;$B951))</f>
        <v>46279.5987643233</v>
      </c>
    </row>
    <row r="952" customFormat="false" ht="15" hidden="false" customHeight="true" outlineLevel="0" collapsed="false">
      <c r="A952" s="42"/>
      <c r="B952" s="42"/>
      <c r="C952" s="42"/>
      <c r="D952" s="42"/>
      <c r="E952" s="42"/>
      <c r="F952" s="51" t="n">
        <f aca="false">IF(OR(C952="",D952="",E952="",E952=0),0,C952*D952/E952)</f>
        <v>0</v>
      </c>
      <c r="G952" s="42"/>
      <c r="H952" s="49" t="n">
        <f aca="true">IF(OR($A952="",_xlfn.MINIFS($B$3:$B$5000,$A$3:$A$5000,$A952,$B$3:$B$5000,"&gt;"&amp;$B952)=0),NOW(),_xlfn.MINIFS($B$3:$B$5000,$A$3:$A$5000,$A952,$B$3:$B$5000,"&gt;"&amp;$B952))</f>
        <v>46279.5987643233</v>
      </c>
    </row>
    <row r="953" customFormat="false" ht="15" hidden="false" customHeight="true" outlineLevel="0" collapsed="false">
      <c r="A953" s="42"/>
      <c r="B953" s="42"/>
      <c r="C953" s="42"/>
      <c r="D953" s="42"/>
      <c r="E953" s="42"/>
      <c r="F953" s="51" t="n">
        <f aca="false">IF(OR(C953="",D953="",E953="",E953=0),0,C953*D953/E953)</f>
        <v>0</v>
      </c>
      <c r="G953" s="42"/>
      <c r="H953" s="49" t="n">
        <f aca="true">IF(OR($A953="",_xlfn.MINIFS($B$3:$B$5000,$A$3:$A$5000,$A953,$B$3:$B$5000,"&gt;"&amp;$B953)=0),NOW(),_xlfn.MINIFS($B$3:$B$5000,$A$3:$A$5000,$A953,$B$3:$B$5000,"&gt;"&amp;$B953))</f>
        <v>46279.5987643234</v>
      </c>
    </row>
    <row r="954" customFormat="false" ht="15" hidden="false" customHeight="true" outlineLevel="0" collapsed="false">
      <c r="A954" s="42"/>
      <c r="B954" s="42"/>
      <c r="C954" s="42"/>
      <c r="D954" s="42"/>
      <c r="E954" s="42"/>
      <c r="F954" s="51" t="n">
        <f aca="false">IF(OR(C954="",D954="",E954="",E954=0),0,C954*D954/E954)</f>
        <v>0</v>
      </c>
      <c r="G954" s="42"/>
      <c r="H954" s="49" t="n">
        <f aca="true">IF(OR($A954="",_xlfn.MINIFS($B$3:$B$5000,$A$3:$A$5000,$A954,$B$3:$B$5000,"&gt;"&amp;$B954)=0),NOW(),_xlfn.MINIFS($B$3:$B$5000,$A$3:$A$5000,$A954,$B$3:$B$5000,"&gt;"&amp;$B954))</f>
        <v>46279.5987643235</v>
      </c>
    </row>
    <row r="955" customFormat="false" ht="15" hidden="false" customHeight="true" outlineLevel="0" collapsed="false">
      <c r="A955" s="42"/>
      <c r="B955" s="42"/>
      <c r="C955" s="42"/>
      <c r="D955" s="42"/>
      <c r="E955" s="42"/>
      <c r="F955" s="51" t="n">
        <f aca="false">IF(OR(C955="",D955="",E955="",E955=0),0,C955*D955/E955)</f>
        <v>0</v>
      </c>
      <c r="G955" s="42"/>
      <c r="H955" s="49" t="n">
        <f aca="true">IF(OR($A955="",_xlfn.MINIFS($B$3:$B$5000,$A$3:$A$5000,$A955,$B$3:$B$5000,"&gt;"&amp;$B955)=0),NOW(),_xlfn.MINIFS($B$3:$B$5000,$A$3:$A$5000,$A955,$B$3:$B$5000,"&gt;"&amp;$B955))</f>
        <v>46279.5987643235</v>
      </c>
    </row>
    <row r="956" customFormat="false" ht="15" hidden="false" customHeight="true" outlineLevel="0" collapsed="false">
      <c r="A956" s="42"/>
      <c r="B956" s="42"/>
      <c r="C956" s="42"/>
      <c r="D956" s="42"/>
      <c r="E956" s="42"/>
      <c r="F956" s="51" t="n">
        <f aca="false">IF(OR(C956="",D956="",E956="",E956=0),0,C956*D956/E956)</f>
        <v>0</v>
      </c>
      <c r="G956" s="42"/>
      <c r="H956" s="49" t="n">
        <f aca="true">IF(OR($A956="",_xlfn.MINIFS($B$3:$B$5000,$A$3:$A$5000,$A956,$B$3:$B$5000,"&gt;"&amp;$B956)=0),NOW(),_xlfn.MINIFS($B$3:$B$5000,$A$3:$A$5000,$A956,$B$3:$B$5000,"&gt;"&amp;$B956))</f>
        <v>46279.5987643236</v>
      </c>
    </row>
    <row r="957" customFormat="false" ht="15" hidden="false" customHeight="true" outlineLevel="0" collapsed="false">
      <c r="A957" s="42"/>
      <c r="B957" s="42"/>
      <c r="C957" s="42"/>
      <c r="D957" s="42"/>
      <c r="E957" s="42"/>
      <c r="F957" s="51" t="n">
        <f aca="false">IF(OR(C957="",D957="",E957="",E957=0),0,C957*D957/E957)</f>
        <v>0</v>
      </c>
      <c r="G957" s="42"/>
      <c r="H957" s="49" t="n">
        <f aca="true">IF(OR($A957="",_xlfn.MINIFS($B$3:$B$5000,$A$3:$A$5000,$A957,$B$3:$B$5000,"&gt;"&amp;$B957)=0),NOW(),_xlfn.MINIFS($B$3:$B$5000,$A$3:$A$5000,$A957,$B$3:$B$5000,"&gt;"&amp;$B957))</f>
        <v>46279.5987643236</v>
      </c>
    </row>
    <row r="958" customFormat="false" ht="15" hidden="false" customHeight="true" outlineLevel="0" collapsed="false">
      <c r="A958" s="42"/>
      <c r="B958" s="42"/>
      <c r="C958" s="42"/>
      <c r="D958" s="42"/>
      <c r="E958" s="42"/>
      <c r="F958" s="51" t="n">
        <f aca="false">IF(OR(C958="",D958="",E958="",E958=0),0,C958*D958/E958)</f>
        <v>0</v>
      </c>
      <c r="G958" s="42"/>
      <c r="H958" s="49" t="n">
        <f aca="true">IF(OR($A958="",_xlfn.MINIFS($B$3:$B$5000,$A$3:$A$5000,$A958,$B$3:$B$5000,"&gt;"&amp;$B958)=0),NOW(),_xlfn.MINIFS($B$3:$B$5000,$A$3:$A$5000,$A958,$B$3:$B$5000,"&gt;"&amp;$B958))</f>
        <v>46279.5987643237</v>
      </c>
    </row>
    <row r="959" customFormat="false" ht="15" hidden="false" customHeight="true" outlineLevel="0" collapsed="false">
      <c r="A959" s="42"/>
      <c r="B959" s="42"/>
      <c r="C959" s="42"/>
      <c r="D959" s="42"/>
      <c r="E959" s="42"/>
      <c r="F959" s="51" t="n">
        <f aca="false">IF(OR(C959="",D959="",E959="",E959=0),0,C959*D959/E959)</f>
        <v>0</v>
      </c>
      <c r="G959" s="42"/>
      <c r="H959" s="49" t="n">
        <f aca="true">IF(OR($A959="",_xlfn.MINIFS($B$3:$B$5000,$A$3:$A$5000,$A959,$B$3:$B$5000,"&gt;"&amp;$B959)=0),NOW(),_xlfn.MINIFS($B$3:$B$5000,$A$3:$A$5000,$A959,$B$3:$B$5000,"&gt;"&amp;$B959))</f>
        <v>46279.5987643237</v>
      </c>
    </row>
    <row r="960" customFormat="false" ht="15" hidden="false" customHeight="true" outlineLevel="0" collapsed="false">
      <c r="A960" s="42"/>
      <c r="B960" s="42"/>
      <c r="C960" s="42"/>
      <c r="D960" s="42"/>
      <c r="E960" s="42"/>
      <c r="F960" s="51" t="n">
        <f aca="false">IF(OR(C960="",D960="",E960="",E960=0),0,C960*D960/E960)</f>
        <v>0</v>
      </c>
      <c r="G960" s="42"/>
      <c r="H960" s="49" t="n">
        <f aca="true">IF(OR($A960="",_xlfn.MINIFS($B$3:$B$5000,$A$3:$A$5000,$A960,$B$3:$B$5000,"&gt;"&amp;$B960)=0),NOW(),_xlfn.MINIFS($B$3:$B$5000,$A$3:$A$5000,$A960,$B$3:$B$5000,"&gt;"&amp;$B960))</f>
        <v>46279.5987643238</v>
      </c>
    </row>
    <row r="961" customFormat="false" ht="15" hidden="false" customHeight="true" outlineLevel="0" collapsed="false">
      <c r="A961" s="42"/>
      <c r="B961" s="42"/>
      <c r="C961" s="42"/>
      <c r="D961" s="42"/>
      <c r="E961" s="42"/>
      <c r="F961" s="51" t="n">
        <f aca="false">IF(OR(C961="",D961="",E961="",E961=0),0,C961*D961/E961)</f>
        <v>0</v>
      </c>
      <c r="G961" s="42"/>
      <c r="H961" s="49" t="n">
        <f aca="true">IF(OR($A961="",_xlfn.MINIFS($B$3:$B$5000,$A$3:$A$5000,$A961,$B$3:$B$5000,"&gt;"&amp;$B961)=0),NOW(),_xlfn.MINIFS($B$3:$B$5000,$A$3:$A$5000,$A961,$B$3:$B$5000,"&gt;"&amp;$B961))</f>
        <v>46279.5987643238</v>
      </c>
    </row>
    <row r="962" customFormat="false" ht="15" hidden="false" customHeight="true" outlineLevel="0" collapsed="false">
      <c r="A962" s="42"/>
      <c r="B962" s="42"/>
      <c r="C962" s="42"/>
      <c r="D962" s="42"/>
      <c r="E962" s="42"/>
      <c r="F962" s="51" t="n">
        <f aca="false">IF(OR(C962="",D962="",E962="",E962=0),0,C962*D962/E962)</f>
        <v>0</v>
      </c>
      <c r="G962" s="42"/>
      <c r="H962" s="49" t="n">
        <f aca="true">IF(OR($A962="",_xlfn.MINIFS($B$3:$B$5000,$A$3:$A$5000,$A962,$B$3:$B$5000,"&gt;"&amp;$B962)=0),NOW(),_xlfn.MINIFS($B$3:$B$5000,$A$3:$A$5000,$A962,$B$3:$B$5000,"&gt;"&amp;$B962))</f>
        <v>46279.5987643239</v>
      </c>
    </row>
    <row r="963" customFormat="false" ht="15" hidden="false" customHeight="true" outlineLevel="0" collapsed="false">
      <c r="A963" s="42"/>
      <c r="B963" s="42"/>
      <c r="C963" s="42"/>
      <c r="D963" s="42"/>
      <c r="E963" s="42"/>
      <c r="F963" s="51" t="n">
        <f aca="false">IF(OR(C963="",D963="",E963="",E963=0),0,C963*D963/E963)</f>
        <v>0</v>
      </c>
      <c r="G963" s="42"/>
      <c r="H963" s="49" t="n">
        <f aca="true">IF(OR($A963="",_xlfn.MINIFS($B$3:$B$5000,$A$3:$A$5000,$A963,$B$3:$B$5000,"&gt;"&amp;$B963)=0),NOW(),_xlfn.MINIFS($B$3:$B$5000,$A$3:$A$5000,$A963,$B$3:$B$5000,"&gt;"&amp;$B963))</f>
        <v>46279.5987643239</v>
      </c>
    </row>
    <row r="964" customFormat="false" ht="15" hidden="false" customHeight="true" outlineLevel="0" collapsed="false">
      <c r="A964" s="42"/>
      <c r="B964" s="42"/>
      <c r="C964" s="42"/>
      <c r="D964" s="42"/>
      <c r="E964" s="42"/>
      <c r="F964" s="51" t="n">
        <f aca="false">IF(OR(C964="",D964="",E964="",E964=0),0,C964*D964/E964)</f>
        <v>0</v>
      </c>
      <c r="G964" s="42"/>
      <c r="H964" s="49" t="n">
        <f aca="true">IF(OR($A964="",_xlfn.MINIFS($B$3:$B$5000,$A$3:$A$5000,$A964,$B$3:$B$5000,"&gt;"&amp;$B964)=0),NOW(),_xlfn.MINIFS($B$3:$B$5000,$A$3:$A$5000,$A964,$B$3:$B$5000,"&gt;"&amp;$B964))</f>
        <v>46279.598764324</v>
      </c>
    </row>
    <row r="965" customFormat="false" ht="15" hidden="false" customHeight="true" outlineLevel="0" collapsed="false">
      <c r="A965" s="42"/>
      <c r="B965" s="42"/>
      <c r="C965" s="42"/>
      <c r="D965" s="42"/>
      <c r="E965" s="42"/>
      <c r="F965" s="51" t="n">
        <f aca="false">IF(OR(C965="",D965="",E965="",E965=0),0,C965*D965/E965)</f>
        <v>0</v>
      </c>
      <c r="G965" s="42"/>
      <c r="H965" s="49" t="n">
        <f aca="true">IF(OR($A965="",_xlfn.MINIFS($B$3:$B$5000,$A$3:$A$5000,$A965,$B$3:$B$5000,"&gt;"&amp;$B965)=0),NOW(),_xlfn.MINIFS($B$3:$B$5000,$A$3:$A$5000,$A965,$B$3:$B$5000,"&gt;"&amp;$B965))</f>
        <v>46279.598764324</v>
      </c>
    </row>
    <row r="966" customFormat="false" ht="15" hidden="false" customHeight="true" outlineLevel="0" collapsed="false">
      <c r="A966" s="42"/>
      <c r="B966" s="42"/>
      <c r="C966" s="42"/>
      <c r="D966" s="42"/>
      <c r="E966" s="42"/>
      <c r="F966" s="51" t="n">
        <f aca="false">IF(OR(C966="",D966="",E966="",E966=0),0,C966*D966/E966)</f>
        <v>0</v>
      </c>
      <c r="G966" s="42"/>
      <c r="H966" s="49" t="n">
        <f aca="true">IF(OR($A966="",_xlfn.MINIFS($B$3:$B$5000,$A$3:$A$5000,$A966,$B$3:$B$5000,"&gt;"&amp;$B966)=0),NOW(),_xlfn.MINIFS($B$3:$B$5000,$A$3:$A$5000,$A966,$B$3:$B$5000,"&gt;"&amp;$B966))</f>
        <v>46279.5987643241</v>
      </c>
    </row>
    <row r="967" customFormat="false" ht="15" hidden="false" customHeight="true" outlineLevel="0" collapsed="false">
      <c r="A967" s="42"/>
      <c r="B967" s="42"/>
      <c r="C967" s="42"/>
      <c r="D967" s="42"/>
      <c r="E967" s="42"/>
      <c r="F967" s="51" t="n">
        <f aca="false">IF(OR(C967="",D967="",E967="",E967=0),0,C967*D967/E967)</f>
        <v>0</v>
      </c>
      <c r="G967" s="42"/>
      <c r="H967" s="49" t="n">
        <f aca="true">IF(OR($A967="",_xlfn.MINIFS($B$3:$B$5000,$A$3:$A$5000,$A967,$B$3:$B$5000,"&gt;"&amp;$B967)=0),NOW(),_xlfn.MINIFS($B$3:$B$5000,$A$3:$A$5000,$A967,$B$3:$B$5000,"&gt;"&amp;$B967))</f>
        <v>46279.5987643241</v>
      </c>
    </row>
    <row r="968" customFormat="false" ht="15" hidden="false" customHeight="true" outlineLevel="0" collapsed="false">
      <c r="A968" s="42"/>
      <c r="B968" s="42"/>
      <c r="C968" s="42"/>
      <c r="D968" s="42"/>
      <c r="E968" s="42"/>
      <c r="F968" s="51" t="n">
        <f aca="false">IF(OR(C968="",D968="",E968="",E968=0),0,C968*D968/E968)</f>
        <v>0</v>
      </c>
      <c r="G968" s="42"/>
      <c r="H968" s="49" t="n">
        <f aca="true">IF(OR($A968="",_xlfn.MINIFS($B$3:$B$5000,$A$3:$A$5000,$A968,$B$3:$B$5000,"&gt;"&amp;$B968)=0),NOW(),_xlfn.MINIFS($B$3:$B$5000,$A$3:$A$5000,$A968,$B$3:$B$5000,"&gt;"&amp;$B968))</f>
        <v>46279.5987643242</v>
      </c>
    </row>
    <row r="969" customFormat="false" ht="15" hidden="false" customHeight="true" outlineLevel="0" collapsed="false">
      <c r="A969" s="42"/>
      <c r="B969" s="42"/>
      <c r="C969" s="42"/>
      <c r="D969" s="42"/>
      <c r="E969" s="42"/>
      <c r="F969" s="51" t="n">
        <f aca="false">IF(OR(C969="",D969="",E969="",E969=0),0,C969*D969/E969)</f>
        <v>0</v>
      </c>
      <c r="G969" s="42"/>
      <c r="H969" s="49" t="n">
        <f aca="true">IF(OR($A969="",_xlfn.MINIFS($B$3:$B$5000,$A$3:$A$5000,$A969,$B$3:$B$5000,"&gt;"&amp;$B969)=0),NOW(),_xlfn.MINIFS($B$3:$B$5000,$A$3:$A$5000,$A969,$B$3:$B$5000,"&gt;"&amp;$B969))</f>
        <v>46279.5987643242</v>
      </c>
    </row>
    <row r="970" customFormat="false" ht="15" hidden="false" customHeight="true" outlineLevel="0" collapsed="false">
      <c r="A970" s="42"/>
      <c r="B970" s="42"/>
      <c r="C970" s="42"/>
      <c r="D970" s="42"/>
      <c r="E970" s="42"/>
      <c r="F970" s="51" t="n">
        <f aca="false">IF(OR(C970="",D970="",E970="",E970=0),0,C970*D970/E970)</f>
        <v>0</v>
      </c>
      <c r="G970" s="42"/>
      <c r="H970" s="49" t="n">
        <f aca="true">IF(OR($A970="",_xlfn.MINIFS($B$3:$B$5000,$A$3:$A$5000,$A970,$B$3:$B$5000,"&gt;"&amp;$B970)=0),NOW(),_xlfn.MINIFS($B$3:$B$5000,$A$3:$A$5000,$A970,$B$3:$B$5000,"&gt;"&amp;$B970))</f>
        <v>46279.5987643243</v>
      </c>
    </row>
    <row r="971" customFormat="false" ht="15" hidden="false" customHeight="true" outlineLevel="0" collapsed="false">
      <c r="A971" s="42"/>
      <c r="B971" s="42"/>
      <c r="C971" s="42"/>
      <c r="D971" s="42"/>
      <c r="E971" s="42"/>
      <c r="F971" s="51" t="n">
        <f aca="false">IF(OR(C971="",D971="",E971="",E971=0),0,C971*D971/E971)</f>
        <v>0</v>
      </c>
      <c r="G971" s="42"/>
      <c r="H971" s="49" t="n">
        <f aca="true">IF(OR($A971="",_xlfn.MINIFS($B$3:$B$5000,$A$3:$A$5000,$A971,$B$3:$B$5000,"&gt;"&amp;$B971)=0),NOW(),_xlfn.MINIFS($B$3:$B$5000,$A$3:$A$5000,$A971,$B$3:$B$5000,"&gt;"&amp;$B971))</f>
        <v>46279.5987643243</v>
      </c>
    </row>
    <row r="972" customFormat="false" ht="15" hidden="false" customHeight="true" outlineLevel="0" collapsed="false">
      <c r="A972" s="42"/>
      <c r="B972" s="42"/>
      <c r="C972" s="42"/>
      <c r="D972" s="42"/>
      <c r="E972" s="42"/>
      <c r="F972" s="51" t="n">
        <f aca="false">IF(OR(C972="",D972="",E972="",E972=0),0,C972*D972/E972)</f>
        <v>0</v>
      </c>
      <c r="G972" s="42"/>
      <c r="H972" s="49" t="n">
        <f aca="true">IF(OR($A972="",_xlfn.MINIFS($B$3:$B$5000,$A$3:$A$5000,$A972,$B$3:$B$5000,"&gt;"&amp;$B972)=0),NOW(),_xlfn.MINIFS($B$3:$B$5000,$A$3:$A$5000,$A972,$B$3:$B$5000,"&gt;"&amp;$B972))</f>
        <v>46279.5987643244</v>
      </c>
    </row>
    <row r="973" customFormat="false" ht="15" hidden="false" customHeight="true" outlineLevel="0" collapsed="false">
      <c r="A973" s="42"/>
      <c r="B973" s="42"/>
      <c r="C973" s="42"/>
      <c r="D973" s="42"/>
      <c r="E973" s="42"/>
      <c r="F973" s="51" t="n">
        <f aca="false">IF(OR(C973="",D973="",E973="",E973=0),0,C973*D973/E973)</f>
        <v>0</v>
      </c>
      <c r="G973" s="42"/>
      <c r="H973" s="49" t="n">
        <f aca="true">IF(OR($A973="",_xlfn.MINIFS($B$3:$B$5000,$A$3:$A$5000,$A973,$B$3:$B$5000,"&gt;"&amp;$B973)=0),NOW(),_xlfn.MINIFS($B$3:$B$5000,$A$3:$A$5000,$A973,$B$3:$B$5000,"&gt;"&amp;$B973))</f>
        <v>46279.5987643244</v>
      </c>
    </row>
    <row r="974" customFormat="false" ht="15" hidden="false" customHeight="true" outlineLevel="0" collapsed="false">
      <c r="A974" s="42"/>
      <c r="B974" s="42"/>
      <c r="C974" s="42"/>
      <c r="D974" s="42"/>
      <c r="E974" s="42"/>
      <c r="F974" s="51" t="n">
        <f aca="false">IF(OR(C974="",D974="",E974="",E974=0),0,C974*D974/E974)</f>
        <v>0</v>
      </c>
      <c r="G974" s="42"/>
      <c r="H974" s="49" t="n">
        <f aca="true">IF(OR($A974="",_xlfn.MINIFS($B$3:$B$5000,$A$3:$A$5000,$A974,$B$3:$B$5000,"&gt;"&amp;$B974)=0),NOW(),_xlfn.MINIFS($B$3:$B$5000,$A$3:$A$5000,$A974,$B$3:$B$5000,"&gt;"&amp;$B974))</f>
        <v>46279.5987643245</v>
      </c>
    </row>
    <row r="975" customFormat="false" ht="15" hidden="false" customHeight="true" outlineLevel="0" collapsed="false">
      <c r="A975" s="42"/>
      <c r="B975" s="42"/>
      <c r="C975" s="42"/>
      <c r="D975" s="42"/>
      <c r="E975" s="42"/>
      <c r="F975" s="51" t="n">
        <f aca="false">IF(OR(C975="",D975="",E975="",E975=0),0,C975*D975/E975)</f>
        <v>0</v>
      </c>
      <c r="G975" s="42"/>
      <c r="H975" s="49" t="n">
        <f aca="true">IF(OR($A975="",_xlfn.MINIFS($B$3:$B$5000,$A$3:$A$5000,$A975,$B$3:$B$5000,"&gt;"&amp;$B975)=0),NOW(),_xlfn.MINIFS($B$3:$B$5000,$A$3:$A$5000,$A975,$B$3:$B$5000,"&gt;"&amp;$B975))</f>
        <v>46279.5987643245</v>
      </c>
    </row>
    <row r="976" customFormat="false" ht="15" hidden="false" customHeight="true" outlineLevel="0" collapsed="false">
      <c r="A976" s="42"/>
      <c r="B976" s="42"/>
      <c r="C976" s="42"/>
      <c r="D976" s="42"/>
      <c r="E976" s="42"/>
      <c r="F976" s="51" t="n">
        <f aca="false">IF(OR(C976="",D976="",E976="",E976=0),0,C976*D976/E976)</f>
        <v>0</v>
      </c>
      <c r="G976" s="42"/>
      <c r="H976" s="49" t="n">
        <f aca="true">IF(OR($A976="",_xlfn.MINIFS($B$3:$B$5000,$A$3:$A$5000,$A976,$B$3:$B$5000,"&gt;"&amp;$B976)=0),NOW(),_xlfn.MINIFS($B$3:$B$5000,$A$3:$A$5000,$A976,$B$3:$B$5000,"&gt;"&amp;$B976))</f>
        <v>46279.5987643246</v>
      </c>
    </row>
    <row r="977" customFormat="false" ht="15" hidden="false" customHeight="true" outlineLevel="0" collapsed="false">
      <c r="A977" s="42"/>
      <c r="B977" s="42"/>
      <c r="C977" s="42"/>
      <c r="D977" s="42"/>
      <c r="E977" s="42"/>
      <c r="F977" s="51" t="n">
        <f aca="false">IF(OR(C977="",D977="",E977="",E977=0),0,C977*D977/E977)</f>
        <v>0</v>
      </c>
      <c r="G977" s="42"/>
      <c r="H977" s="49" t="n">
        <f aca="true">IF(OR($A977="",_xlfn.MINIFS($B$3:$B$5000,$A$3:$A$5000,$A977,$B$3:$B$5000,"&gt;"&amp;$B977)=0),NOW(),_xlfn.MINIFS($B$3:$B$5000,$A$3:$A$5000,$A977,$B$3:$B$5000,"&gt;"&amp;$B977))</f>
        <v>46279.5987643246</v>
      </c>
    </row>
    <row r="978" customFormat="false" ht="15" hidden="false" customHeight="true" outlineLevel="0" collapsed="false">
      <c r="A978" s="42"/>
      <c r="B978" s="42"/>
      <c r="C978" s="42"/>
      <c r="D978" s="42"/>
      <c r="E978" s="42"/>
      <c r="F978" s="51" t="n">
        <f aca="false">IF(OR(C978="",D978="",E978="",E978=0),0,C978*D978/E978)</f>
        <v>0</v>
      </c>
      <c r="G978" s="42"/>
      <c r="H978" s="49" t="n">
        <f aca="true">IF(OR($A978="",_xlfn.MINIFS($B$3:$B$5000,$A$3:$A$5000,$A978,$B$3:$B$5000,"&gt;"&amp;$B978)=0),NOW(),_xlfn.MINIFS($B$3:$B$5000,$A$3:$A$5000,$A978,$B$3:$B$5000,"&gt;"&amp;$B978))</f>
        <v>46279.5987643247</v>
      </c>
    </row>
    <row r="979" customFormat="false" ht="15" hidden="false" customHeight="true" outlineLevel="0" collapsed="false">
      <c r="A979" s="42"/>
      <c r="B979" s="42"/>
      <c r="C979" s="42"/>
      <c r="D979" s="42"/>
      <c r="E979" s="42"/>
      <c r="F979" s="51" t="n">
        <f aca="false">IF(OR(C979="",D979="",E979="",E979=0),0,C979*D979/E979)</f>
        <v>0</v>
      </c>
      <c r="G979" s="42"/>
      <c r="H979" s="49" t="n">
        <f aca="true">IF(OR($A979="",_xlfn.MINIFS($B$3:$B$5000,$A$3:$A$5000,$A979,$B$3:$B$5000,"&gt;"&amp;$B979)=0),NOW(),_xlfn.MINIFS($B$3:$B$5000,$A$3:$A$5000,$A979,$B$3:$B$5000,"&gt;"&amp;$B979))</f>
        <v>46279.5987643247</v>
      </c>
    </row>
    <row r="980" customFormat="false" ht="15" hidden="false" customHeight="true" outlineLevel="0" collapsed="false">
      <c r="A980" s="42"/>
      <c r="B980" s="42"/>
      <c r="C980" s="42"/>
      <c r="D980" s="42"/>
      <c r="E980" s="42"/>
      <c r="F980" s="51" t="n">
        <f aca="false">IF(OR(C980="",D980="",E980="",E980=0),0,C980*D980/E980)</f>
        <v>0</v>
      </c>
      <c r="G980" s="42"/>
      <c r="H980" s="49" t="n">
        <f aca="true">IF(OR($A980="",_xlfn.MINIFS($B$3:$B$5000,$A$3:$A$5000,$A980,$B$3:$B$5000,"&gt;"&amp;$B980)=0),NOW(),_xlfn.MINIFS($B$3:$B$5000,$A$3:$A$5000,$A980,$B$3:$B$5000,"&gt;"&amp;$B980))</f>
        <v>46279.5987643248</v>
      </c>
    </row>
    <row r="981" customFormat="false" ht="15" hidden="false" customHeight="true" outlineLevel="0" collapsed="false">
      <c r="A981" s="42"/>
      <c r="B981" s="42"/>
      <c r="C981" s="42"/>
      <c r="D981" s="42"/>
      <c r="E981" s="42"/>
      <c r="F981" s="51" t="n">
        <f aca="false">IF(OR(C981="",D981="",E981="",E981=0),0,C981*D981/E981)</f>
        <v>0</v>
      </c>
      <c r="G981" s="42"/>
      <c r="H981" s="49" t="n">
        <f aca="true">IF(OR($A981="",_xlfn.MINIFS($B$3:$B$5000,$A$3:$A$5000,$A981,$B$3:$B$5000,"&gt;"&amp;$B981)=0),NOW(),_xlfn.MINIFS($B$3:$B$5000,$A$3:$A$5000,$A981,$B$3:$B$5000,"&gt;"&amp;$B981))</f>
        <v>46279.5987643248</v>
      </c>
    </row>
    <row r="982" customFormat="false" ht="15" hidden="false" customHeight="true" outlineLevel="0" collapsed="false">
      <c r="A982" s="42"/>
      <c r="B982" s="42"/>
      <c r="C982" s="42"/>
      <c r="D982" s="42"/>
      <c r="E982" s="42"/>
      <c r="F982" s="51" t="n">
        <f aca="false">IF(OR(C982="",D982="",E982="",E982=0),0,C982*D982/E982)</f>
        <v>0</v>
      </c>
      <c r="G982" s="42"/>
      <c r="H982" s="49" t="n">
        <f aca="true">IF(OR($A982="",_xlfn.MINIFS($B$3:$B$5000,$A$3:$A$5000,$A982,$B$3:$B$5000,"&gt;"&amp;$B982)=0),NOW(),_xlfn.MINIFS($B$3:$B$5000,$A$3:$A$5000,$A982,$B$3:$B$5000,"&gt;"&amp;$B982))</f>
        <v>46279.5987643249</v>
      </c>
    </row>
    <row r="983" customFormat="false" ht="15" hidden="false" customHeight="true" outlineLevel="0" collapsed="false">
      <c r="A983" s="42"/>
      <c r="B983" s="42"/>
      <c r="C983" s="42"/>
      <c r="D983" s="42"/>
      <c r="E983" s="42"/>
      <c r="F983" s="51" t="n">
        <f aca="false">IF(OR(C983="",D983="",E983="",E983=0),0,C983*D983/E983)</f>
        <v>0</v>
      </c>
      <c r="G983" s="42"/>
      <c r="H983" s="49" t="n">
        <f aca="true">IF(OR($A983="",_xlfn.MINIFS($B$3:$B$5000,$A$3:$A$5000,$A983,$B$3:$B$5000,"&gt;"&amp;$B983)=0),NOW(),_xlfn.MINIFS($B$3:$B$5000,$A$3:$A$5000,$A983,$B$3:$B$5000,"&gt;"&amp;$B983))</f>
        <v>46279.5987643249</v>
      </c>
    </row>
    <row r="984" customFormat="false" ht="15" hidden="false" customHeight="true" outlineLevel="0" collapsed="false">
      <c r="A984" s="42"/>
      <c r="B984" s="42"/>
      <c r="C984" s="42"/>
      <c r="D984" s="42"/>
      <c r="E984" s="42"/>
      <c r="F984" s="51" t="n">
        <f aca="false">IF(OR(C984="",D984="",E984="",E984=0),0,C984*D984/E984)</f>
        <v>0</v>
      </c>
      <c r="G984" s="42"/>
      <c r="H984" s="49" t="n">
        <f aca="true">IF(OR($A984="",_xlfn.MINIFS($B$3:$B$5000,$A$3:$A$5000,$A984,$B$3:$B$5000,"&gt;"&amp;$B984)=0),NOW(),_xlfn.MINIFS($B$3:$B$5000,$A$3:$A$5000,$A984,$B$3:$B$5000,"&gt;"&amp;$B984))</f>
        <v>46279.598764325</v>
      </c>
    </row>
    <row r="985" customFormat="false" ht="15" hidden="false" customHeight="true" outlineLevel="0" collapsed="false">
      <c r="A985" s="42"/>
      <c r="B985" s="42"/>
      <c r="C985" s="42"/>
      <c r="D985" s="42"/>
      <c r="E985" s="42"/>
      <c r="F985" s="51" t="n">
        <f aca="false">IF(OR(C985="",D985="",E985="",E985=0),0,C985*D985/E985)</f>
        <v>0</v>
      </c>
      <c r="G985" s="42"/>
      <c r="H985" s="49" t="n">
        <f aca="true">IF(OR($A985="",_xlfn.MINIFS($B$3:$B$5000,$A$3:$A$5000,$A985,$B$3:$B$5000,"&gt;"&amp;$B985)=0),NOW(),_xlfn.MINIFS($B$3:$B$5000,$A$3:$A$5000,$A985,$B$3:$B$5000,"&gt;"&amp;$B985))</f>
        <v>46279.598764325</v>
      </c>
    </row>
    <row r="986" customFormat="false" ht="15" hidden="false" customHeight="true" outlineLevel="0" collapsed="false">
      <c r="A986" s="42"/>
      <c r="B986" s="42"/>
      <c r="C986" s="42"/>
      <c r="D986" s="42"/>
      <c r="E986" s="42"/>
      <c r="F986" s="51" t="n">
        <f aca="false">IF(OR(C986="",D986="",E986="",E986=0),0,C986*D986/E986)</f>
        <v>0</v>
      </c>
      <c r="G986" s="42"/>
      <c r="H986" s="49" t="n">
        <f aca="true">IF(OR($A986="",_xlfn.MINIFS($B$3:$B$5000,$A$3:$A$5000,$A986,$B$3:$B$5000,"&gt;"&amp;$B986)=0),NOW(),_xlfn.MINIFS($B$3:$B$5000,$A$3:$A$5000,$A986,$B$3:$B$5000,"&gt;"&amp;$B986))</f>
        <v>46279.5987643251</v>
      </c>
    </row>
    <row r="987" customFormat="false" ht="15" hidden="false" customHeight="true" outlineLevel="0" collapsed="false">
      <c r="A987" s="42"/>
      <c r="B987" s="42"/>
      <c r="C987" s="42"/>
      <c r="D987" s="42"/>
      <c r="E987" s="42"/>
      <c r="F987" s="51" t="n">
        <f aca="false">IF(OR(C987="",D987="",E987="",E987=0),0,C987*D987/E987)</f>
        <v>0</v>
      </c>
      <c r="G987" s="42"/>
      <c r="H987" s="49" t="n">
        <f aca="true">IF(OR($A987="",_xlfn.MINIFS($B$3:$B$5000,$A$3:$A$5000,$A987,$B$3:$B$5000,"&gt;"&amp;$B987)=0),NOW(),_xlfn.MINIFS($B$3:$B$5000,$A$3:$A$5000,$A987,$B$3:$B$5000,"&gt;"&amp;$B987))</f>
        <v>46279.5987643251</v>
      </c>
    </row>
    <row r="988" customFormat="false" ht="15" hidden="false" customHeight="true" outlineLevel="0" collapsed="false">
      <c r="A988" s="42"/>
      <c r="B988" s="42"/>
      <c r="C988" s="42"/>
      <c r="D988" s="42"/>
      <c r="E988" s="42"/>
      <c r="F988" s="51" t="n">
        <f aca="false">IF(OR(C988="",D988="",E988="",E988=0),0,C988*D988/E988)</f>
        <v>0</v>
      </c>
      <c r="G988" s="42"/>
      <c r="H988" s="49" t="n">
        <f aca="true">IF(OR($A988="",_xlfn.MINIFS($B$3:$B$5000,$A$3:$A$5000,$A988,$B$3:$B$5000,"&gt;"&amp;$B988)=0),NOW(),_xlfn.MINIFS($B$3:$B$5000,$A$3:$A$5000,$A988,$B$3:$B$5000,"&gt;"&amp;$B988))</f>
        <v>46279.5987643252</v>
      </c>
    </row>
    <row r="989" customFormat="false" ht="15" hidden="false" customHeight="true" outlineLevel="0" collapsed="false">
      <c r="A989" s="42"/>
      <c r="B989" s="42"/>
      <c r="C989" s="42"/>
      <c r="D989" s="42"/>
      <c r="E989" s="42"/>
      <c r="F989" s="51" t="n">
        <f aca="false">IF(OR(C989="",D989="",E989="",E989=0),0,C989*D989/E989)</f>
        <v>0</v>
      </c>
      <c r="G989" s="42"/>
      <c r="H989" s="49" t="n">
        <f aca="true">IF(OR($A989="",_xlfn.MINIFS($B$3:$B$5000,$A$3:$A$5000,$A989,$B$3:$B$5000,"&gt;"&amp;$B989)=0),NOW(),_xlfn.MINIFS($B$3:$B$5000,$A$3:$A$5000,$A989,$B$3:$B$5000,"&gt;"&amp;$B989))</f>
        <v>46279.5987643253</v>
      </c>
    </row>
    <row r="990" customFormat="false" ht="15" hidden="false" customHeight="true" outlineLevel="0" collapsed="false">
      <c r="A990" s="42"/>
      <c r="B990" s="42"/>
      <c r="C990" s="42"/>
      <c r="D990" s="42"/>
      <c r="E990" s="42"/>
      <c r="F990" s="51" t="n">
        <f aca="false">IF(OR(C990="",D990="",E990="",E990=0),0,C990*D990/E990)</f>
        <v>0</v>
      </c>
      <c r="G990" s="42"/>
      <c r="H990" s="49" t="n">
        <f aca="true">IF(OR($A990="",_xlfn.MINIFS($B$3:$B$5000,$A$3:$A$5000,$A990,$B$3:$B$5000,"&gt;"&amp;$B990)=0),NOW(),_xlfn.MINIFS($B$3:$B$5000,$A$3:$A$5000,$A990,$B$3:$B$5000,"&gt;"&amp;$B990))</f>
        <v>46279.5987643253</v>
      </c>
    </row>
    <row r="991" customFormat="false" ht="15" hidden="false" customHeight="true" outlineLevel="0" collapsed="false">
      <c r="A991" s="42"/>
      <c r="B991" s="42"/>
      <c r="C991" s="42"/>
      <c r="D991" s="42"/>
      <c r="E991" s="42"/>
      <c r="F991" s="51" t="n">
        <f aca="false">IF(OR(C991="",D991="",E991="",E991=0),0,C991*D991/E991)</f>
        <v>0</v>
      </c>
      <c r="G991" s="42"/>
      <c r="H991" s="49" t="n">
        <f aca="true">IF(OR($A991="",_xlfn.MINIFS($B$3:$B$5000,$A$3:$A$5000,$A991,$B$3:$B$5000,"&gt;"&amp;$B991)=0),NOW(),_xlfn.MINIFS($B$3:$B$5000,$A$3:$A$5000,$A991,$B$3:$B$5000,"&gt;"&amp;$B991))</f>
        <v>46279.5987643254</v>
      </c>
    </row>
    <row r="992" customFormat="false" ht="15" hidden="false" customHeight="true" outlineLevel="0" collapsed="false">
      <c r="A992" s="42"/>
      <c r="B992" s="42"/>
      <c r="C992" s="42"/>
      <c r="D992" s="42"/>
      <c r="E992" s="42"/>
      <c r="F992" s="51" t="n">
        <f aca="false">IF(OR(C992="",D992="",E992="",E992=0),0,C992*D992/E992)</f>
        <v>0</v>
      </c>
      <c r="G992" s="42"/>
      <c r="H992" s="49" t="n">
        <f aca="true">IF(OR($A992="",_xlfn.MINIFS($B$3:$B$5000,$A$3:$A$5000,$A992,$B$3:$B$5000,"&gt;"&amp;$B992)=0),NOW(),_xlfn.MINIFS($B$3:$B$5000,$A$3:$A$5000,$A992,$B$3:$B$5000,"&gt;"&amp;$B992))</f>
        <v>46279.5987643254</v>
      </c>
    </row>
    <row r="993" customFormat="false" ht="15" hidden="false" customHeight="true" outlineLevel="0" collapsed="false">
      <c r="A993" s="42"/>
      <c r="B993" s="42"/>
      <c r="C993" s="42"/>
      <c r="D993" s="42"/>
      <c r="E993" s="42"/>
      <c r="F993" s="51" t="n">
        <f aca="false">IF(OR(C993="",D993="",E993="",E993=0),0,C993*D993/E993)</f>
        <v>0</v>
      </c>
      <c r="G993" s="42"/>
      <c r="H993" s="49" t="n">
        <f aca="true">IF(OR($A993="",_xlfn.MINIFS($B$3:$B$5000,$A$3:$A$5000,$A993,$B$3:$B$5000,"&gt;"&amp;$B993)=0),NOW(),_xlfn.MINIFS($B$3:$B$5000,$A$3:$A$5000,$A993,$B$3:$B$5000,"&gt;"&amp;$B993))</f>
        <v>46279.5987643255</v>
      </c>
    </row>
    <row r="994" customFormat="false" ht="15" hidden="false" customHeight="true" outlineLevel="0" collapsed="false">
      <c r="A994" s="42"/>
      <c r="B994" s="42"/>
      <c r="C994" s="42"/>
      <c r="D994" s="42"/>
      <c r="E994" s="42"/>
      <c r="F994" s="51" t="n">
        <f aca="false">IF(OR(C994="",D994="",E994="",E994=0),0,C994*D994/E994)</f>
        <v>0</v>
      </c>
      <c r="G994" s="42"/>
      <c r="H994" s="49" t="n">
        <f aca="true">IF(OR($A994="",_xlfn.MINIFS($B$3:$B$5000,$A$3:$A$5000,$A994,$B$3:$B$5000,"&gt;"&amp;$B994)=0),NOW(),_xlfn.MINIFS($B$3:$B$5000,$A$3:$A$5000,$A994,$B$3:$B$5000,"&gt;"&amp;$B994))</f>
        <v>46279.5987643255</v>
      </c>
    </row>
    <row r="995" customFormat="false" ht="15" hidden="false" customHeight="true" outlineLevel="0" collapsed="false">
      <c r="A995" s="42"/>
      <c r="B995" s="42"/>
      <c r="C995" s="42"/>
      <c r="D995" s="42"/>
      <c r="E995" s="42"/>
      <c r="F995" s="51" t="n">
        <f aca="false">IF(OR(C995="",D995="",E995="",E995=0),0,C995*D995/E995)</f>
        <v>0</v>
      </c>
      <c r="G995" s="42"/>
      <c r="H995" s="49" t="n">
        <f aca="true">IF(OR($A995="",_xlfn.MINIFS($B$3:$B$5000,$A$3:$A$5000,$A995,$B$3:$B$5000,"&gt;"&amp;$B995)=0),NOW(),_xlfn.MINIFS($B$3:$B$5000,$A$3:$A$5000,$A995,$B$3:$B$5000,"&gt;"&amp;$B995))</f>
        <v>46279.5987643256</v>
      </c>
    </row>
    <row r="996" customFormat="false" ht="15" hidden="false" customHeight="true" outlineLevel="0" collapsed="false">
      <c r="A996" s="42"/>
      <c r="B996" s="42"/>
      <c r="C996" s="42"/>
      <c r="D996" s="42"/>
      <c r="E996" s="42"/>
      <c r="F996" s="51" t="n">
        <f aca="false">IF(OR(C996="",D996="",E996="",E996=0),0,C996*D996/E996)</f>
        <v>0</v>
      </c>
      <c r="G996" s="42"/>
      <c r="H996" s="49" t="n">
        <f aca="true">IF(OR($A996="",_xlfn.MINIFS($B$3:$B$5000,$A$3:$A$5000,$A996,$B$3:$B$5000,"&gt;"&amp;$B996)=0),NOW(),_xlfn.MINIFS($B$3:$B$5000,$A$3:$A$5000,$A996,$B$3:$B$5000,"&gt;"&amp;$B996))</f>
        <v>46279.5987643256</v>
      </c>
    </row>
    <row r="997" customFormat="false" ht="15" hidden="false" customHeight="true" outlineLevel="0" collapsed="false">
      <c r="A997" s="42"/>
      <c r="B997" s="42"/>
      <c r="C997" s="42"/>
      <c r="D997" s="42"/>
      <c r="E997" s="42"/>
      <c r="F997" s="51" t="n">
        <f aca="false">IF(OR(C997="",D997="",E997="",E997=0),0,C997*D997/E997)</f>
        <v>0</v>
      </c>
      <c r="G997" s="42"/>
      <c r="H997" s="49" t="n">
        <f aca="true">IF(OR($A997="",_xlfn.MINIFS($B$3:$B$5000,$A$3:$A$5000,$A997,$B$3:$B$5000,"&gt;"&amp;$B997)=0),NOW(),_xlfn.MINIFS($B$3:$B$5000,$A$3:$A$5000,$A997,$B$3:$B$5000,"&gt;"&amp;$B997))</f>
        <v>46279.5987643257</v>
      </c>
    </row>
    <row r="998" customFormat="false" ht="15" hidden="false" customHeight="true" outlineLevel="0" collapsed="false">
      <c r="A998" s="42"/>
      <c r="B998" s="42"/>
      <c r="C998" s="42"/>
      <c r="D998" s="42"/>
      <c r="E998" s="42"/>
      <c r="F998" s="51" t="n">
        <f aca="false">IF(OR(C998="",D998="",E998="",E998=0),0,C998*D998/E998)</f>
        <v>0</v>
      </c>
      <c r="G998" s="42"/>
      <c r="H998" s="49" t="n">
        <f aca="true">IF(OR($A998="",_xlfn.MINIFS($B$3:$B$5000,$A$3:$A$5000,$A998,$B$3:$B$5000,"&gt;"&amp;$B998)=0),NOW(),_xlfn.MINIFS($B$3:$B$5000,$A$3:$A$5000,$A998,$B$3:$B$5000,"&gt;"&amp;$B998))</f>
        <v>46279.5987643257</v>
      </c>
    </row>
    <row r="999" customFormat="false" ht="15" hidden="false" customHeight="true" outlineLevel="0" collapsed="false">
      <c r="A999" s="42"/>
      <c r="B999" s="42"/>
      <c r="C999" s="42"/>
      <c r="D999" s="42"/>
      <c r="E999" s="42"/>
      <c r="F999" s="51" t="n">
        <f aca="false">IF(OR(C999="",D999="",E999="",E999=0),0,C999*D999/E999)</f>
        <v>0</v>
      </c>
      <c r="G999" s="42"/>
      <c r="H999" s="49" t="n">
        <f aca="true">IF(OR($A999="",_xlfn.MINIFS($B$3:$B$5000,$A$3:$A$5000,$A999,$B$3:$B$5000,"&gt;"&amp;$B999)=0),NOW(),_xlfn.MINIFS($B$3:$B$5000,$A$3:$A$5000,$A999,$B$3:$B$5000,"&gt;"&amp;$B999))</f>
        <v>46279.5987643258</v>
      </c>
    </row>
    <row r="1000" customFormat="false" ht="15" hidden="false" customHeight="true" outlineLevel="0" collapsed="false">
      <c r="A1000" s="42"/>
      <c r="B1000" s="42"/>
      <c r="C1000" s="42"/>
      <c r="D1000" s="42"/>
      <c r="E1000" s="42"/>
      <c r="F1000" s="51" t="n">
        <f aca="false">IF(OR(C1000="",D1000="",E1000="",E1000=0),0,C1000*D1000/E1000)</f>
        <v>0</v>
      </c>
      <c r="G1000" s="42"/>
      <c r="H1000" s="49" t="n">
        <f aca="true">IF(OR($A1000="",_xlfn.MINIFS($B$3:$B$5000,$A$3:$A$5000,$A1000,$B$3:$B$5000,"&gt;"&amp;$B1000)=0),NOW(),_xlfn.MINIFS($B$3:$B$5000,$A$3:$A$5000,$A1000,$B$3:$B$5000,"&gt;"&amp;$B1000))</f>
        <v>46279.5987643258</v>
      </c>
    </row>
    <row r="1001" customFormat="false" ht="15" hidden="false" customHeight="true" outlineLevel="0" collapsed="false">
      <c r="A1001" s="42"/>
      <c r="B1001" s="42"/>
      <c r="C1001" s="42"/>
      <c r="D1001" s="42"/>
      <c r="E1001" s="42"/>
      <c r="F1001" s="51" t="n">
        <f aca="false">IF(OR(C1001="",D1001="",E1001="",E1001=0),0,C1001*D1001/E1001)</f>
        <v>0</v>
      </c>
      <c r="G1001" s="42"/>
      <c r="H1001" s="49" t="n">
        <f aca="true">IF(OR($A1001="",_xlfn.MINIFS($B$3:$B$5000,$A$3:$A$5000,$A1001,$B$3:$B$5000,"&gt;"&amp;$B1001)=0),NOW(),_xlfn.MINIFS($B$3:$B$5000,$A$3:$A$5000,$A1001,$B$3:$B$5000,"&gt;"&amp;$B1001))</f>
        <v>46279.5987643259</v>
      </c>
    </row>
    <row r="1002" customFormat="false" ht="15" hidden="false" customHeight="true" outlineLevel="0" collapsed="false">
      <c r="A1002" s="42"/>
      <c r="B1002" s="42"/>
      <c r="C1002" s="42"/>
      <c r="D1002" s="42"/>
      <c r="E1002" s="42"/>
      <c r="F1002" s="51" t="n">
        <f aca="false">IF(OR(C1002="",D1002="",E1002="",E1002=0),0,C1002*D1002/E1002)</f>
        <v>0</v>
      </c>
      <c r="G1002" s="42"/>
      <c r="H1002" s="49" t="n">
        <f aca="true">IF(OR($A1002="",_xlfn.MINIFS($B$3:$B$5000,$A$3:$A$5000,$A1002,$B$3:$B$5000,"&gt;"&amp;$B1002)=0),NOW(),_xlfn.MINIFS($B$3:$B$5000,$A$3:$A$5000,$A1002,$B$3:$B$5000,"&gt;"&amp;$B1002))</f>
        <v>46279.5987643259</v>
      </c>
    </row>
    <row r="1003" customFormat="false" ht="15" hidden="false" customHeight="true" outlineLevel="0" collapsed="false">
      <c r="A1003" s="42"/>
      <c r="B1003" s="42"/>
      <c r="C1003" s="42"/>
      <c r="D1003" s="42"/>
      <c r="E1003" s="42"/>
      <c r="F1003" s="51" t="n">
        <f aca="false">IF(OR(C1003="",D1003="",E1003="",E1003=0),0,C1003*D1003/E1003)</f>
        <v>0</v>
      </c>
      <c r="G1003" s="42"/>
      <c r="H1003" s="49" t="n">
        <f aca="true">IF(OR($A1003="",_xlfn.MINIFS($B$3:$B$5000,$A$3:$A$5000,$A1003,$B$3:$B$5000,"&gt;"&amp;$B1003)=0),NOW(),_xlfn.MINIFS($B$3:$B$5000,$A$3:$A$5000,$A1003,$B$3:$B$5000,"&gt;"&amp;$B1003))</f>
        <v>46279.598764326</v>
      </c>
    </row>
    <row r="1004" customFormat="false" ht="15" hidden="false" customHeight="true" outlineLevel="0" collapsed="false">
      <c r="A1004" s="42"/>
      <c r="B1004" s="42"/>
      <c r="C1004" s="42"/>
      <c r="D1004" s="42"/>
      <c r="E1004" s="42"/>
      <c r="F1004" s="51" t="n">
        <f aca="false">IF(OR(C1004="",D1004="",E1004="",E1004=0),0,C1004*D1004/E1004)</f>
        <v>0</v>
      </c>
      <c r="G1004" s="42"/>
      <c r="H1004" s="49" t="n">
        <f aca="true">IF(OR($A1004="",_xlfn.MINIFS($B$3:$B$5000,$A$3:$A$5000,$A1004,$B$3:$B$5000,"&gt;"&amp;$B1004)=0),NOW(),_xlfn.MINIFS($B$3:$B$5000,$A$3:$A$5000,$A1004,$B$3:$B$5000,"&gt;"&amp;$B1004))</f>
        <v>46279.598764326</v>
      </c>
    </row>
    <row r="1005" customFormat="false" ht="15" hidden="false" customHeight="true" outlineLevel="0" collapsed="false">
      <c r="A1005" s="42"/>
      <c r="B1005" s="42"/>
      <c r="C1005" s="42"/>
      <c r="D1005" s="42"/>
      <c r="E1005" s="42"/>
      <c r="F1005" s="51" t="n">
        <f aca="false">IF(OR(C1005="",D1005="",E1005="",E1005=0),0,C1005*D1005/E1005)</f>
        <v>0</v>
      </c>
      <c r="G1005" s="42"/>
      <c r="H1005" s="49" t="n">
        <f aca="true">IF(OR($A1005="",_xlfn.MINIFS($B$3:$B$5000,$A$3:$A$5000,$A1005,$B$3:$B$5000,"&gt;"&amp;$B1005)=0),NOW(),_xlfn.MINIFS($B$3:$B$5000,$A$3:$A$5000,$A1005,$B$3:$B$5000,"&gt;"&amp;$B1005))</f>
        <v>46279.5987643261</v>
      </c>
    </row>
    <row r="1006" customFormat="false" ht="15" hidden="false" customHeight="true" outlineLevel="0" collapsed="false">
      <c r="A1006" s="42"/>
      <c r="B1006" s="42"/>
      <c r="C1006" s="42"/>
      <c r="D1006" s="42"/>
      <c r="E1006" s="42"/>
      <c r="F1006" s="51" t="n">
        <f aca="false">IF(OR(C1006="",D1006="",E1006="",E1006=0),0,C1006*D1006/E1006)</f>
        <v>0</v>
      </c>
      <c r="G1006" s="42"/>
      <c r="H1006" s="49" t="n">
        <f aca="true">IF(OR($A1006="",_xlfn.MINIFS($B$3:$B$5000,$A$3:$A$5000,$A1006,$B$3:$B$5000,"&gt;"&amp;$B1006)=0),NOW(),_xlfn.MINIFS($B$3:$B$5000,$A$3:$A$5000,$A1006,$B$3:$B$5000,"&gt;"&amp;$B1006))</f>
        <v>46279.5987643261</v>
      </c>
    </row>
    <row r="1007" customFormat="false" ht="15" hidden="false" customHeight="true" outlineLevel="0" collapsed="false">
      <c r="A1007" s="42"/>
      <c r="B1007" s="42"/>
      <c r="C1007" s="42"/>
      <c r="D1007" s="42"/>
      <c r="E1007" s="42"/>
      <c r="F1007" s="51" t="n">
        <f aca="false">IF(OR(C1007="",D1007="",E1007="",E1007=0),0,C1007*D1007/E1007)</f>
        <v>0</v>
      </c>
      <c r="G1007" s="42"/>
      <c r="H1007" s="49" t="n">
        <f aca="true">IF(OR($A1007="",_xlfn.MINIFS($B$3:$B$5000,$A$3:$A$5000,$A1007,$B$3:$B$5000,"&gt;"&amp;$B1007)=0),NOW(),_xlfn.MINIFS($B$3:$B$5000,$A$3:$A$5000,$A1007,$B$3:$B$5000,"&gt;"&amp;$B1007))</f>
        <v>46279.5987643262</v>
      </c>
    </row>
    <row r="1008" customFormat="false" ht="15" hidden="false" customHeight="true" outlineLevel="0" collapsed="false">
      <c r="A1008" s="42"/>
      <c r="B1008" s="42"/>
      <c r="C1008" s="42"/>
      <c r="D1008" s="42"/>
      <c r="E1008" s="42"/>
      <c r="F1008" s="51" t="n">
        <f aca="false">IF(OR(C1008="",D1008="",E1008="",E1008=0),0,C1008*D1008/E1008)</f>
        <v>0</v>
      </c>
      <c r="G1008" s="42"/>
      <c r="H1008" s="49" t="n">
        <f aca="true">IF(OR($A1008="",_xlfn.MINIFS($B$3:$B$5000,$A$3:$A$5000,$A1008,$B$3:$B$5000,"&gt;"&amp;$B1008)=0),NOW(),_xlfn.MINIFS($B$3:$B$5000,$A$3:$A$5000,$A1008,$B$3:$B$5000,"&gt;"&amp;$B1008))</f>
        <v>46279.5987643262</v>
      </c>
    </row>
    <row r="1009" customFormat="false" ht="15" hidden="false" customHeight="true" outlineLevel="0" collapsed="false">
      <c r="A1009" s="42"/>
      <c r="B1009" s="42"/>
      <c r="C1009" s="42"/>
      <c r="D1009" s="42"/>
      <c r="E1009" s="42"/>
      <c r="F1009" s="51" t="n">
        <f aca="false">IF(OR(C1009="",D1009="",E1009="",E1009=0),0,C1009*D1009/E1009)</f>
        <v>0</v>
      </c>
      <c r="G1009" s="42"/>
      <c r="H1009" s="49" t="n">
        <f aca="true">IF(OR($A1009="",_xlfn.MINIFS($B$3:$B$5000,$A$3:$A$5000,$A1009,$B$3:$B$5000,"&gt;"&amp;$B1009)=0),NOW(),_xlfn.MINIFS($B$3:$B$5000,$A$3:$A$5000,$A1009,$B$3:$B$5000,"&gt;"&amp;$B1009))</f>
        <v>46279.5987643263</v>
      </c>
    </row>
    <row r="1010" customFormat="false" ht="15" hidden="false" customHeight="true" outlineLevel="0" collapsed="false">
      <c r="A1010" s="42"/>
      <c r="B1010" s="42"/>
      <c r="C1010" s="42"/>
      <c r="D1010" s="42"/>
      <c r="E1010" s="42"/>
      <c r="F1010" s="51" t="n">
        <f aca="false">IF(OR(C1010="",D1010="",E1010="",E1010=0),0,C1010*D1010/E1010)</f>
        <v>0</v>
      </c>
      <c r="G1010" s="42"/>
      <c r="H1010" s="49" t="n">
        <f aca="true">IF(OR($A1010="",_xlfn.MINIFS($B$3:$B$5000,$A$3:$A$5000,$A1010,$B$3:$B$5000,"&gt;"&amp;$B1010)=0),NOW(),_xlfn.MINIFS($B$3:$B$5000,$A$3:$A$5000,$A1010,$B$3:$B$5000,"&gt;"&amp;$B1010))</f>
        <v>46279.5987643263</v>
      </c>
    </row>
    <row r="1011" customFormat="false" ht="15" hidden="false" customHeight="true" outlineLevel="0" collapsed="false">
      <c r="A1011" s="42"/>
      <c r="B1011" s="42"/>
      <c r="C1011" s="42"/>
      <c r="D1011" s="42"/>
      <c r="E1011" s="42"/>
      <c r="F1011" s="51" t="n">
        <f aca="false">IF(OR(C1011="",D1011="",E1011="",E1011=0),0,C1011*D1011/E1011)</f>
        <v>0</v>
      </c>
      <c r="G1011" s="42"/>
      <c r="H1011" s="49" t="n">
        <f aca="true">IF(OR($A1011="",_xlfn.MINIFS($B$3:$B$5000,$A$3:$A$5000,$A1011,$B$3:$B$5000,"&gt;"&amp;$B1011)=0),NOW(),_xlfn.MINIFS($B$3:$B$5000,$A$3:$A$5000,$A1011,$B$3:$B$5000,"&gt;"&amp;$B1011))</f>
        <v>46279.5987643264</v>
      </c>
    </row>
    <row r="1012" customFormat="false" ht="15" hidden="false" customHeight="true" outlineLevel="0" collapsed="false">
      <c r="A1012" s="42"/>
      <c r="B1012" s="42"/>
      <c r="C1012" s="42"/>
      <c r="D1012" s="42"/>
      <c r="E1012" s="42"/>
      <c r="F1012" s="51" t="n">
        <f aca="false">IF(OR(C1012="",D1012="",E1012="",E1012=0),0,C1012*D1012/E1012)</f>
        <v>0</v>
      </c>
      <c r="G1012" s="42"/>
      <c r="H1012" s="49" t="n">
        <f aca="true">IF(OR($A1012="",_xlfn.MINIFS($B$3:$B$5000,$A$3:$A$5000,$A1012,$B$3:$B$5000,"&gt;"&amp;$B1012)=0),NOW(),_xlfn.MINIFS($B$3:$B$5000,$A$3:$A$5000,$A1012,$B$3:$B$5000,"&gt;"&amp;$B1012))</f>
        <v>46279.5987643264</v>
      </c>
    </row>
    <row r="1013" customFormat="false" ht="15" hidden="false" customHeight="true" outlineLevel="0" collapsed="false">
      <c r="A1013" s="42"/>
      <c r="B1013" s="42"/>
      <c r="C1013" s="42"/>
      <c r="D1013" s="42"/>
      <c r="E1013" s="42"/>
      <c r="F1013" s="51" t="n">
        <f aca="false">IF(OR(C1013="",D1013="",E1013="",E1013=0),0,C1013*D1013/E1013)</f>
        <v>0</v>
      </c>
      <c r="G1013" s="42"/>
      <c r="H1013" s="49" t="n">
        <f aca="true">IF(OR($A1013="",_xlfn.MINIFS($B$3:$B$5000,$A$3:$A$5000,$A1013,$B$3:$B$5000,"&gt;"&amp;$B1013)=0),NOW(),_xlfn.MINIFS($B$3:$B$5000,$A$3:$A$5000,$A1013,$B$3:$B$5000,"&gt;"&amp;$B1013))</f>
        <v>46279.5987643265</v>
      </c>
    </row>
    <row r="1014" customFormat="false" ht="15" hidden="false" customHeight="true" outlineLevel="0" collapsed="false">
      <c r="A1014" s="42"/>
      <c r="B1014" s="42"/>
      <c r="C1014" s="42"/>
      <c r="D1014" s="42"/>
      <c r="E1014" s="42"/>
      <c r="F1014" s="51" t="n">
        <f aca="false">IF(OR(C1014="",D1014="",E1014="",E1014=0),0,C1014*D1014/E1014)</f>
        <v>0</v>
      </c>
      <c r="G1014" s="42"/>
      <c r="H1014" s="49" t="n">
        <f aca="true">IF(OR($A1014="",_xlfn.MINIFS($B$3:$B$5000,$A$3:$A$5000,$A1014,$B$3:$B$5000,"&gt;"&amp;$B1014)=0),NOW(),_xlfn.MINIFS($B$3:$B$5000,$A$3:$A$5000,$A1014,$B$3:$B$5000,"&gt;"&amp;$B1014))</f>
        <v>46279.5987643265</v>
      </c>
    </row>
    <row r="1015" customFormat="false" ht="15" hidden="false" customHeight="true" outlineLevel="0" collapsed="false">
      <c r="A1015" s="42"/>
      <c r="B1015" s="42"/>
      <c r="C1015" s="42"/>
      <c r="D1015" s="42"/>
      <c r="E1015" s="42"/>
      <c r="F1015" s="51" t="n">
        <f aca="false">IF(OR(C1015="",D1015="",E1015="",E1015=0),0,C1015*D1015/E1015)</f>
        <v>0</v>
      </c>
      <c r="G1015" s="42"/>
      <c r="H1015" s="49" t="n">
        <f aca="true">IF(OR($A1015="",_xlfn.MINIFS($B$3:$B$5000,$A$3:$A$5000,$A1015,$B$3:$B$5000,"&gt;"&amp;$B1015)=0),NOW(),_xlfn.MINIFS($B$3:$B$5000,$A$3:$A$5000,$A1015,$B$3:$B$5000,"&gt;"&amp;$B1015))</f>
        <v>46279.5987643266</v>
      </c>
    </row>
    <row r="1016" customFormat="false" ht="15" hidden="false" customHeight="true" outlineLevel="0" collapsed="false">
      <c r="A1016" s="42"/>
      <c r="B1016" s="42"/>
      <c r="C1016" s="42"/>
      <c r="D1016" s="42"/>
      <c r="E1016" s="42"/>
      <c r="F1016" s="51" t="n">
        <f aca="false">IF(OR(C1016="",D1016="",E1016="",E1016=0),0,C1016*D1016/E1016)</f>
        <v>0</v>
      </c>
      <c r="G1016" s="42"/>
      <c r="H1016" s="49" t="n">
        <f aca="true">IF(OR($A1016="",_xlfn.MINIFS($B$3:$B$5000,$A$3:$A$5000,$A1016,$B$3:$B$5000,"&gt;"&amp;$B1016)=0),NOW(),_xlfn.MINIFS($B$3:$B$5000,$A$3:$A$5000,$A1016,$B$3:$B$5000,"&gt;"&amp;$B1016))</f>
        <v>46279.5987643266</v>
      </c>
    </row>
    <row r="1017" customFormat="false" ht="15" hidden="false" customHeight="true" outlineLevel="0" collapsed="false">
      <c r="A1017" s="42"/>
      <c r="B1017" s="42"/>
      <c r="C1017" s="42"/>
      <c r="D1017" s="42"/>
      <c r="E1017" s="42"/>
      <c r="F1017" s="51" t="n">
        <f aca="false">IF(OR(C1017="",D1017="",E1017="",E1017=0),0,C1017*D1017/E1017)</f>
        <v>0</v>
      </c>
      <c r="G1017" s="42"/>
      <c r="H1017" s="49" t="n">
        <f aca="true">IF(OR($A1017="",_xlfn.MINIFS($B$3:$B$5000,$A$3:$A$5000,$A1017,$B$3:$B$5000,"&gt;"&amp;$B1017)=0),NOW(),_xlfn.MINIFS($B$3:$B$5000,$A$3:$A$5000,$A1017,$B$3:$B$5000,"&gt;"&amp;$B1017))</f>
        <v>46279.5987643267</v>
      </c>
    </row>
    <row r="1018" customFormat="false" ht="15" hidden="false" customHeight="true" outlineLevel="0" collapsed="false">
      <c r="A1018" s="42"/>
      <c r="B1018" s="42"/>
      <c r="C1018" s="42"/>
      <c r="D1018" s="42"/>
      <c r="E1018" s="42"/>
      <c r="F1018" s="51" t="n">
        <f aca="false">IF(OR(C1018="",D1018="",E1018="",E1018=0),0,C1018*D1018/E1018)</f>
        <v>0</v>
      </c>
      <c r="G1018" s="42"/>
      <c r="H1018" s="49" t="n">
        <f aca="true">IF(OR($A1018="",_xlfn.MINIFS($B$3:$B$5000,$A$3:$A$5000,$A1018,$B$3:$B$5000,"&gt;"&amp;$B1018)=0),NOW(),_xlfn.MINIFS($B$3:$B$5000,$A$3:$A$5000,$A1018,$B$3:$B$5000,"&gt;"&amp;$B1018))</f>
        <v>46279.5987643267</v>
      </c>
    </row>
    <row r="1019" customFormat="false" ht="15" hidden="false" customHeight="true" outlineLevel="0" collapsed="false">
      <c r="A1019" s="42"/>
      <c r="B1019" s="42"/>
      <c r="C1019" s="42"/>
      <c r="D1019" s="42"/>
      <c r="E1019" s="42"/>
      <c r="F1019" s="51" t="n">
        <f aca="false">IF(OR(C1019="",D1019="",E1019="",E1019=0),0,C1019*D1019/E1019)</f>
        <v>0</v>
      </c>
      <c r="G1019" s="42"/>
      <c r="H1019" s="49" t="n">
        <f aca="true">IF(OR($A1019="",_xlfn.MINIFS($B$3:$B$5000,$A$3:$A$5000,$A1019,$B$3:$B$5000,"&gt;"&amp;$B1019)=0),NOW(),_xlfn.MINIFS($B$3:$B$5000,$A$3:$A$5000,$A1019,$B$3:$B$5000,"&gt;"&amp;$B1019))</f>
        <v>46279.598764327</v>
      </c>
    </row>
    <row r="1020" customFormat="false" ht="15" hidden="false" customHeight="true" outlineLevel="0" collapsed="false">
      <c r="A1020" s="42"/>
      <c r="B1020" s="42"/>
      <c r="C1020" s="42"/>
      <c r="D1020" s="42"/>
      <c r="E1020" s="42"/>
      <c r="F1020" s="51" t="n">
        <f aca="false">IF(OR(C1020="",D1020="",E1020="",E1020=0),0,C1020*D1020/E1020)</f>
        <v>0</v>
      </c>
      <c r="G1020" s="42"/>
      <c r="H1020" s="49" t="n">
        <f aca="true">IF(OR($A1020="",_xlfn.MINIFS($B$3:$B$5000,$A$3:$A$5000,$A1020,$B$3:$B$5000,"&gt;"&amp;$B1020)=0),NOW(),_xlfn.MINIFS($B$3:$B$5000,$A$3:$A$5000,$A1020,$B$3:$B$5000,"&gt;"&amp;$B1020))</f>
        <v>46279.5987643271</v>
      </c>
    </row>
    <row r="1021" customFormat="false" ht="15" hidden="false" customHeight="true" outlineLevel="0" collapsed="false">
      <c r="A1021" s="42"/>
      <c r="B1021" s="42"/>
      <c r="C1021" s="42"/>
      <c r="D1021" s="42"/>
      <c r="E1021" s="42"/>
      <c r="F1021" s="51" t="n">
        <f aca="false">IF(OR(C1021="",D1021="",E1021="",E1021=0),0,C1021*D1021/E1021)</f>
        <v>0</v>
      </c>
      <c r="G1021" s="42"/>
      <c r="H1021" s="49" t="n">
        <f aca="true">IF(OR($A1021="",_xlfn.MINIFS($B$3:$B$5000,$A$3:$A$5000,$A1021,$B$3:$B$5000,"&gt;"&amp;$B1021)=0),NOW(),_xlfn.MINIFS($B$3:$B$5000,$A$3:$A$5000,$A1021,$B$3:$B$5000,"&gt;"&amp;$B1021))</f>
        <v>46279.5987643271</v>
      </c>
    </row>
    <row r="1022" customFormat="false" ht="15" hidden="false" customHeight="true" outlineLevel="0" collapsed="false">
      <c r="A1022" s="42"/>
      <c r="B1022" s="42"/>
      <c r="C1022" s="42"/>
      <c r="D1022" s="42"/>
      <c r="E1022" s="42"/>
      <c r="F1022" s="51" t="n">
        <f aca="false">IF(OR(C1022="",D1022="",E1022="",E1022=0),0,C1022*D1022/E1022)</f>
        <v>0</v>
      </c>
      <c r="G1022" s="42"/>
      <c r="H1022" s="49" t="n">
        <f aca="true">IF(OR($A1022="",_xlfn.MINIFS($B$3:$B$5000,$A$3:$A$5000,$A1022,$B$3:$B$5000,"&gt;"&amp;$B1022)=0),NOW(),_xlfn.MINIFS($B$3:$B$5000,$A$3:$A$5000,$A1022,$B$3:$B$5000,"&gt;"&amp;$B1022))</f>
        <v>46279.5987643272</v>
      </c>
    </row>
    <row r="1023" customFormat="false" ht="15" hidden="false" customHeight="true" outlineLevel="0" collapsed="false">
      <c r="A1023" s="42"/>
      <c r="B1023" s="42"/>
      <c r="C1023" s="42"/>
      <c r="D1023" s="42"/>
      <c r="E1023" s="42"/>
      <c r="F1023" s="51" t="n">
        <f aca="false">IF(OR(C1023="",D1023="",E1023="",E1023=0),0,C1023*D1023/E1023)</f>
        <v>0</v>
      </c>
      <c r="G1023" s="42"/>
      <c r="H1023" s="49" t="n">
        <f aca="true">IF(OR($A1023="",_xlfn.MINIFS($B$3:$B$5000,$A$3:$A$5000,$A1023,$B$3:$B$5000,"&gt;"&amp;$B1023)=0),NOW(),_xlfn.MINIFS($B$3:$B$5000,$A$3:$A$5000,$A1023,$B$3:$B$5000,"&gt;"&amp;$B1023))</f>
        <v>46279.5987643272</v>
      </c>
    </row>
    <row r="1024" customFormat="false" ht="15" hidden="false" customHeight="true" outlineLevel="0" collapsed="false">
      <c r="A1024" s="42"/>
      <c r="B1024" s="42"/>
      <c r="C1024" s="42"/>
      <c r="D1024" s="42"/>
      <c r="E1024" s="42"/>
      <c r="F1024" s="51" t="n">
        <f aca="false">IF(OR(C1024="",D1024="",E1024="",E1024=0),0,C1024*D1024/E1024)</f>
        <v>0</v>
      </c>
      <c r="G1024" s="42"/>
      <c r="H1024" s="49" t="n">
        <f aca="true">IF(OR($A1024="",_xlfn.MINIFS($B$3:$B$5000,$A$3:$A$5000,$A1024,$B$3:$B$5000,"&gt;"&amp;$B1024)=0),NOW(),_xlfn.MINIFS($B$3:$B$5000,$A$3:$A$5000,$A1024,$B$3:$B$5000,"&gt;"&amp;$B1024))</f>
        <v>46279.5987643273</v>
      </c>
    </row>
    <row r="1025" customFormat="false" ht="15" hidden="false" customHeight="true" outlineLevel="0" collapsed="false">
      <c r="A1025" s="42"/>
      <c r="B1025" s="42"/>
      <c r="C1025" s="42"/>
      <c r="D1025" s="42"/>
      <c r="E1025" s="42"/>
      <c r="F1025" s="51" t="n">
        <f aca="false">IF(OR(C1025="",D1025="",E1025="",E1025=0),0,C1025*D1025/E1025)</f>
        <v>0</v>
      </c>
      <c r="G1025" s="42"/>
      <c r="H1025" s="49" t="n">
        <f aca="true">IF(OR($A1025="",_xlfn.MINIFS($B$3:$B$5000,$A$3:$A$5000,$A1025,$B$3:$B$5000,"&gt;"&amp;$B1025)=0),NOW(),_xlfn.MINIFS($B$3:$B$5000,$A$3:$A$5000,$A1025,$B$3:$B$5000,"&gt;"&amp;$B1025))</f>
        <v>46279.5987643273</v>
      </c>
    </row>
    <row r="1026" customFormat="false" ht="15" hidden="false" customHeight="true" outlineLevel="0" collapsed="false">
      <c r="A1026" s="42"/>
      <c r="B1026" s="42"/>
      <c r="C1026" s="42"/>
      <c r="D1026" s="42"/>
      <c r="E1026" s="42"/>
      <c r="F1026" s="51" t="n">
        <f aca="false">IF(OR(C1026="",D1026="",E1026="",E1026=0),0,C1026*D1026/E1026)</f>
        <v>0</v>
      </c>
      <c r="G1026" s="42"/>
      <c r="H1026" s="49" t="n">
        <f aca="true">IF(OR($A1026="",_xlfn.MINIFS($B$3:$B$5000,$A$3:$A$5000,$A1026,$B$3:$B$5000,"&gt;"&amp;$B1026)=0),NOW(),_xlfn.MINIFS($B$3:$B$5000,$A$3:$A$5000,$A1026,$B$3:$B$5000,"&gt;"&amp;$B1026))</f>
        <v>46279.5987643274</v>
      </c>
    </row>
    <row r="1027" customFormat="false" ht="15" hidden="false" customHeight="true" outlineLevel="0" collapsed="false">
      <c r="A1027" s="42"/>
      <c r="B1027" s="42"/>
      <c r="C1027" s="42"/>
      <c r="D1027" s="42"/>
      <c r="E1027" s="42"/>
      <c r="F1027" s="51" t="n">
        <f aca="false">IF(OR(C1027="",D1027="",E1027="",E1027=0),0,C1027*D1027/E1027)</f>
        <v>0</v>
      </c>
      <c r="G1027" s="42"/>
      <c r="H1027" s="49" t="n">
        <f aca="true">IF(OR($A1027="",_xlfn.MINIFS($B$3:$B$5000,$A$3:$A$5000,$A1027,$B$3:$B$5000,"&gt;"&amp;$B1027)=0),NOW(),_xlfn.MINIFS($B$3:$B$5000,$A$3:$A$5000,$A1027,$B$3:$B$5000,"&gt;"&amp;$B1027))</f>
        <v>46279.5987643274</v>
      </c>
    </row>
    <row r="1028" customFormat="false" ht="15" hidden="false" customHeight="true" outlineLevel="0" collapsed="false">
      <c r="A1028" s="42"/>
      <c r="B1028" s="42"/>
      <c r="C1028" s="42"/>
      <c r="D1028" s="42"/>
      <c r="E1028" s="42"/>
      <c r="F1028" s="51" t="n">
        <f aca="false">IF(OR(C1028="",D1028="",E1028="",E1028=0),0,C1028*D1028/E1028)</f>
        <v>0</v>
      </c>
      <c r="G1028" s="42"/>
      <c r="H1028" s="49" t="n">
        <f aca="true">IF(OR($A1028="",_xlfn.MINIFS($B$3:$B$5000,$A$3:$A$5000,$A1028,$B$3:$B$5000,"&gt;"&amp;$B1028)=0),NOW(),_xlfn.MINIFS($B$3:$B$5000,$A$3:$A$5000,$A1028,$B$3:$B$5000,"&gt;"&amp;$B1028))</f>
        <v>46279.5987643275</v>
      </c>
    </row>
    <row r="1029" customFormat="false" ht="15" hidden="false" customHeight="true" outlineLevel="0" collapsed="false">
      <c r="A1029" s="42"/>
      <c r="B1029" s="42"/>
      <c r="C1029" s="42"/>
      <c r="D1029" s="42"/>
      <c r="E1029" s="42"/>
      <c r="F1029" s="51" t="n">
        <f aca="false">IF(OR(C1029="",D1029="",E1029="",E1029=0),0,C1029*D1029/E1029)</f>
        <v>0</v>
      </c>
      <c r="G1029" s="42"/>
      <c r="H1029" s="49" t="n">
        <f aca="true">IF(OR($A1029="",_xlfn.MINIFS($B$3:$B$5000,$A$3:$A$5000,$A1029,$B$3:$B$5000,"&gt;"&amp;$B1029)=0),NOW(),_xlfn.MINIFS($B$3:$B$5000,$A$3:$A$5000,$A1029,$B$3:$B$5000,"&gt;"&amp;$B1029))</f>
        <v>46279.5987643275</v>
      </c>
    </row>
    <row r="1030" customFormat="false" ht="15" hidden="false" customHeight="true" outlineLevel="0" collapsed="false">
      <c r="A1030" s="42"/>
      <c r="B1030" s="42"/>
      <c r="C1030" s="42"/>
      <c r="D1030" s="42"/>
      <c r="E1030" s="42"/>
      <c r="F1030" s="51" t="n">
        <f aca="false">IF(OR(C1030="",D1030="",E1030="",E1030=0),0,C1030*D1030/E1030)</f>
        <v>0</v>
      </c>
      <c r="G1030" s="42"/>
      <c r="H1030" s="49" t="n">
        <f aca="true">IF(OR($A1030="",_xlfn.MINIFS($B$3:$B$5000,$A$3:$A$5000,$A1030,$B$3:$B$5000,"&gt;"&amp;$B1030)=0),NOW(),_xlfn.MINIFS($B$3:$B$5000,$A$3:$A$5000,$A1030,$B$3:$B$5000,"&gt;"&amp;$B1030))</f>
        <v>46279.5987643276</v>
      </c>
    </row>
    <row r="1031" customFormat="false" ht="15" hidden="false" customHeight="true" outlineLevel="0" collapsed="false">
      <c r="A1031" s="42"/>
      <c r="B1031" s="42"/>
      <c r="C1031" s="42"/>
      <c r="D1031" s="42"/>
      <c r="E1031" s="42"/>
      <c r="F1031" s="51" t="n">
        <f aca="false">IF(OR(C1031="",D1031="",E1031="",E1031=0),0,C1031*D1031/E1031)</f>
        <v>0</v>
      </c>
      <c r="G1031" s="42"/>
      <c r="H1031" s="49" t="n">
        <f aca="true">IF(OR($A1031="",_xlfn.MINIFS($B$3:$B$5000,$A$3:$A$5000,$A1031,$B$3:$B$5000,"&gt;"&amp;$B1031)=0),NOW(),_xlfn.MINIFS($B$3:$B$5000,$A$3:$A$5000,$A1031,$B$3:$B$5000,"&gt;"&amp;$B1031))</f>
        <v>46279.5987643276</v>
      </c>
    </row>
    <row r="1032" customFormat="false" ht="15" hidden="false" customHeight="true" outlineLevel="0" collapsed="false">
      <c r="A1032" s="42"/>
      <c r="B1032" s="42"/>
      <c r="C1032" s="42"/>
      <c r="D1032" s="42"/>
      <c r="E1032" s="42"/>
      <c r="F1032" s="51" t="n">
        <f aca="false">IF(OR(C1032="",D1032="",E1032="",E1032=0),0,C1032*D1032/E1032)</f>
        <v>0</v>
      </c>
      <c r="G1032" s="42"/>
      <c r="H1032" s="49" t="n">
        <f aca="true">IF(OR($A1032="",_xlfn.MINIFS($B$3:$B$5000,$A$3:$A$5000,$A1032,$B$3:$B$5000,"&gt;"&amp;$B1032)=0),NOW(),_xlfn.MINIFS($B$3:$B$5000,$A$3:$A$5000,$A1032,$B$3:$B$5000,"&gt;"&amp;$B1032))</f>
        <v>46279.5987643277</v>
      </c>
    </row>
    <row r="1033" customFormat="false" ht="15" hidden="false" customHeight="true" outlineLevel="0" collapsed="false">
      <c r="A1033" s="42"/>
      <c r="B1033" s="42"/>
      <c r="C1033" s="42"/>
      <c r="D1033" s="42"/>
      <c r="E1033" s="42"/>
      <c r="F1033" s="51" t="n">
        <f aca="false">IF(OR(C1033="",D1033="",E1033="",E1033=0),0,C1033*D1033/E1033)</f>
        <v>0</v>
      </c>
      <c r="G1033" s="42"/>
      <c r="H1033" s="49" t="n">
        <f aca="true">IF(OR($A1033="",_xlfn.MINIFS($B$3:$B$5000,$A$3:$A$5000,$A1033,$B$3:$B$5000,"&gt;"&amp;$B1033)=0),NOW(),_xlfn.MINIFS($B$3:$B$5000,$A$3:$A$5000,$A1033,$B$3:$B$5000,"&gt;"&amp;$B1033))</f>
        <v>46279.5987643277</v>
      </c>
    </row>
    <row r="1034" customFormat="false" ht="15" hidden="false" customHeight="true" outlineLevel="0" collapsed="false">
      <c r="A1034" s="42"/>
      <c r="B1034" s="42"/>
      <c r="C1034" s="42"/>
      <c r="D1034" s="42"/>
      <c r="E1034" s="42"/>
      <c r="F1034" s="51" t="n">
        <f aca="false">IF(OR(C1034="",D1034="",E1034="",E1034=0),0,C1034*D1034/E1034)</f>
        <v>0</v>
      </c>
      <c r="G1034" s="42"/>
      <c r="H1034" s="49" t="n">
        <f aca="true">IF(OR($A1034="",_xlfn.MINIFS($B$3:$B$5000,$A$3:$A$5000,$A1034,$B$3:$B$5000,"&gt;"&amp;$B1034)=0),NOW(),_xlfn.MINIFS($B$3:$B$5000,$A$3:$A$5000,$A1034,$B$3:$B$5000,"&gt;"&amp;$B1034))</f>
        <v>46279.5987643278</v>
      </c>
    </row>
    <row r="1035" customFormat="false" ht="15" hidden="false" customHeight="true" outlineLevel="0" collapsed="false">
      <c r="A1035" s="42"/>
      <c r="B1035" s="42"/>
      <c r="C1035" s="42"/>
      <c r="D1035" s="42"/>
      <c r="E1035" s="42"/>
      <c r="F1035" s="51" t="n">
        <f aca="false">IF(OR(C1035="",D1035="",E1035="",E1035=0),0,C1035*D1035/E1035)</f>
        <v>0</v>
      </c>
      <c r="G1035" s="42"/>
      <c r="H1035" s="49" t="n">
        <f aca="true">IF(OR($A1035="",_xlfn.MINIFS($B$3:$B$5000,$A$3:$A$5000,$A1035,$B$3:$B$5000,"&gt;"&amp;$B1035)=0),NOW(),_xlfn.MINIFS($B$3:$B$5000,$A$3:$A$5000,$A1035,$B$3:$B$5000,"&gt;"&amp;$B1035))</f>
        <v>46279.5987643278</v>
      </c>
    </row>
    <row r="1036" customFormat="false" ht="15" hidden="false" customHeight="true" outlineLevel="0" collapsed="false">
      <c r="A1036" s="42"/>
      <c r="B1036" s="42"/>
      <c r="C1036" s="42"/>
      <c r="D1036" s="42"/>
      <c r="E1036" s="42"/>
      <c r="F1036" s="51" t="n">
        <f aca="false">IF(OR(C1036="",D1036="",E1036="",E1036=0),0,C1036*D1036/E1036)</f>
        <v>0</v>
      </c>
      <c r="G1036" s="42"/>
      <c r="H1036" s="49" t="n">
        <f aca="true">IF(OR($A1036="",_xlfn.MINIFS($B$3:$B$5000,$A$3:$A$5000,$A1036,$B$3:$B$5000,"&gt;"&amp;$B1036)=0),NOW(),_xlfn.MINIFS($B$3:$B$5000,$A$3:$A$5000,$A1036,$B$3:$B$5000,"&gt;"&amp;$B1036))</f>
        <v>46279.5987643279</v>
      </c>
    </row>
    <row r="1037" customFormat="false" ht="15" hidden="false" customHeight="true" outlineLevel="0" collapsed="false">
      <c r="A1037" s="42"/>
      <c r="B1037" s="42"/>
      <c r="C1037" s="42"/>
      <c r="D1037" s="42"/>
      <c r="E1037" s="42"/>
      <c r="F1037" s="51" t="n">
        <f aca="false">IF(OR(C1037="",D1037="",E1037="",E1037=0),0,C1037*D1037/E1037)</f>
        <v>0</v>
      </c>
      <c r="G1037" s="42"/>
      <c r="H1037" s="49" t="n">
        <f aca="true">IF(OR($A1037="",_xlfn.MINIFS($B$3:$B$5000,$A$3:$A$5000,$A1037,$B$3:$B$5000,"&gt;"&amp;$B1037)=0),NOW(),_xlfn.MINIFS($B$3:$B$5000,$A$3:$A$5000,$A1037,$B$3:$B$5000,"&gt;"&amp;$B1037))</f>
        <v>46279.5987643279</v>
      </c>
    </row>
    <row r="1038" customFormat="false" ht="15" hidden="false" customHeight="true" outlineLevel="0" collapsed="false">
      <c r="A1038" s="42"/>
      <c r="B1038" s="42"/>
      <c r="C1038" s="42"/>
      <c r="D1038" s="42"/>
      <c r="E1038" s="42"/>
      <c r="F1038" s="51" t="n">
        <f aca="false">IF(OR(C1038="",D1038="",E1038="",E1038=0),0,C1038*D1038/E1038)</f>
        <v>0</v>
      </c>
      <c r="G1038" s="42"/>
      <c r="H1038" s="49" t="n">
        <f aca="true">IF(OR($A1038="",_xlfn.MINIFS($B$3:$B$5000,$A$3:$A$5000,$A1038,$B$3:$B$5000,"&gt;"&amp;$B1038)=0),NOW(),_xlfn.MINIFS($B$3:$B$5000,$A$3:$A$5000,$A1038,$B$3:$B$5000,"&gt;"&amp;$B1038))</f>
        <v>46279.598764328</v>
      </c>
    </row>
    <row r="1039" customFormat="false" ht="15" hidden="false" customHeight="true" outlineLevel="0" collapsed="false">
      <c r="A1039" s="42"/>
      <c r="B1039" s="42"/>
      <c r="C1039" s="42"/>
      <c r="D1039" s="42"/>
      <c r="E1039" s="42"/>
      <c r="F1039" s="51" t="n">
        <f aca="false">IF(OR(C1039="",D1039="",E1039="",E1039=0),0,C1039*D1039/E1039)</f>
        <v>0</v>
      </c>
      <c r="G1039" s="42"/>
      <c r="H1039" s="49" t="n">
        <f aca="true">IF(OR($A1039="",_xlfn.MINIFS($B$3:$B$5000,$A$3:$A$5000,$A1039,$B$3:$B$5000,"&gt;"&amp;$B1039)=0),NOW(),_xlfn.MINIFS($B$3:$B$5000,$A$3:$A$5000,$A1039,$B$3:$B$5000,"&gt;"&amp;$B1039))</f>
        <v>46279.598764328</v>
      </c>
    </row>
    <row r="1040" customFormat="false" ht="15" hidden="false" customHeight="true" outlineLevel="0" collapsed="false">
      <c r="A1040" s="42"/>
      <c r="B1040" s="42"/>
      <c r="C1040" s="42"/>
      <c r="D1040" s="42"/>
      <c r="E1040" s="42"/>
      <c r="F1040" s="51" t="n">
        <f aca="false">IF(OR(C1040="",D1040="",E1040="",E1040=0),0,C1040*D1040/E1040)</f>
        <v>0</v>
      </c>
      <c r="G1040" s="42"/>
      <c r="H1040" s="49" t="n">
        <f aca="true">IF(OR($A1040="",_xlfn.MINIFS($B$3:$B$5000,$A$3:$A$5000,$A1040,$B$3:$B$5000,"&gt;"&amp;$B1040)=0),NOW(),_xlfn.MINIFS($B$3:$B$5000,$A$3:$A$5000,$A1040,$B$3:$B$5000,"&gt;"&amp;$B1040))</f>
        <v>46279.5987643281</v>
      </c>
    </row>
    <row r="1041" customFormat="false" ht="15" hidden="false" customHeight="true" outlineLevel="0" collapsed="false">
      <c r="A1041" s="42"/>
      <c r="B1041" s="42"/>
      <c r="C1041" s="42"/>
      <c r="D1041" s="42"/>
      <c r="E1041" s="42"/>
      <c r="F1041" s="51" t="n">
        <f aca="false">IF(OR(C1041="",D1041="",E1041="",E1041=0),0,C1041*D1041/E1041)</f>
        <v>0</v>
      </c>
      <c r="G1041" s="42"/>
      <c r="H1041" s="49" t="n">
        <f aca="true">IF(OR($A1041="",_xlfn.MINIFS($B$3:$B$5000,$A$3:$A$5000,$A1041,$B$3:$B$5000,"&gt;"&amp;$B1041)=0),NOW(),_xlfn.MINIFS($B$3:$B$5000,$A$3:$A$5000,$A1041,$B$3:$B$5000,"&gt;"&amp;$B1041))</f>
        <v>46279.5987643281</v>
      </c>
    </row>
    <row r="1042" customFormat="false" ht="15" hidden="false" customHeight="true" outlineLevel="0" collapsed="false">
      <c r="A1042" s="42"/>
      <c r="B1042" s="42"/>
      <c r="C1042" s="42"/>
      <c r="D1042" s="42"/>
      <c r="E1042" s="42"/>
      <c r="F1042" s="51" t="n">
        <f aca="false">IF(OR(C1042="",D1042="",E1042="",E1042=0),0,C1042*D1042/E1042)</f>
        <v>0</v>
      </c>
      <c r="G1042" s="42"/>
      <c r="H1042" s="49" t="n">
        <f aca="true">IF(OR($A1042="",_xlfn.MINIFS($B$3:$B$5000,$A$3:$A$5000,$A1042,$B$3:$B$5000,"&gt;"&amp;$B1042)=0),NOW(),_xlfn.MINIFS($B$3:$B$5000,$A$3:$A$5000,$A1042,$B$3:$B$5000,"&gt;"&amp;$B1042))</f>
        <v>46279.5987643282</v>
      </c>
    </row>
    <row r="1043" customFormat="false" ht="15" hidden="false" customHeight="true" outlineLevel="0" collapsed="false">
      <c r="A1043" s="42"/>
      <c r="B1043" s="42"/>
      <c r="C1043" s="42"/>
      <c r="D1043" s="42"/>
      <c r="E1043" s="42"/>
      <c r="F1043" s="51" t="n">
        <f aca="false">IF(OR(C1043="",D1043="",E1043="",E1043=0),0,C1043*D1043/E1043)</f>
        <v>0</v>
      </c>
      <c r="G1043" s="42"/>
      <c r="H1043" s="49" t="n">
        <f aca="true">IF(OR($A1043="",_xlfn.MINIFS($B$3:$B$5000,$A$3:$A$5000,$A1043,$B$3:$B$5000,"&gt;"&amp;$B1043)=0),NOW(),_xlfn.MINIFS($B$3:$B$5000,$A$3:$A$5000,$A1043,$B$3:$B$5000,"&gt;"&amp;$B1043))</f>
        <v>46279.5987643282</v>
      </c>
    </row>
    <row r="1044" customFormat="false" ht="15" hidden="false" customHeight="true" outlineLevel="0" collapsed="false">
      <c r="A1044" s="42"/>
      <c r="B1044" s="42"/>
      <c r="C1044" s="42"/>
      <c r="D1044" s="42"/>
      <c r="E1044" s="42"/>
      <c r="F1044" s="51" t="n">
        <f aca="false">IF(OR(C1044="",D1044="",E1044="",E1044=0),0,C1044*D1044/E1044)</f>
        <v>0</v>
      </c>
      <c r="G1044" s="42"/>
      <c r="H1044" s="49" t="n">
        <f aca="true">IF(OR($A1044="",_xlfn.MINIFS($B$3:$B$5000,$A$3:$A$5000,$A1044,$B$3:$B$5000,"&gt;"&amp;$B1044)=0),NOW(),_xlfn.MINIFS($B$3:$B$5000,$A$3:$A$5000,$A1044,$B$3:$B$5000,"&gt;"&amp;$B1044))</f>
        <v>46279.5987643283</v>
      </c>
    </row>
    <row r="1045" customFormat="false" ht="15" hidden="false" customHeight="true" outlineLevel="0" collapsed="false">
      <c r="A1045" s="42"/>
      <c r="B1045" s="42"/>
      <c r="C1045" s="42"/>
      <c r="D1045" s="42"/>
      <c r="E1045" s="42"/>
      <c r="F1045" s="51" t="n">
        <f aca="false">IF(OR(C1045="",D1045="",E1045="",E1045=0),0,C1045*D1045/E1045)</f>
        <v>0</v>
      </c>
      <c r="G1045" s="42"/>
      <c r="H1045" s="49" t="n">
        <f aca="true">IF(OR($A1045="",_xlfn.MINIFS($B$3:$B$5000,$A$3:$A$5000,$A1045,$B$3:$B$5000,"&gt;"&amp;$B1045)=0),NOW(),_xlfn.MINIFS($B$3:$B$5000,$A$3:$A$5000,$A1045,$B$3:$B$5000,"&gt;"&amp;$B1045))</f>
        <v>46279.5987643283</v>
      </c>
    </row>
    <row r="1046" customFormat="false" ht="15" hidden="false" customHeight="true" outlineLevel="0" collapsed="false">
      <c r="A1046" s="42"/>
      <c r="B1046" s="42"/>
      <c r="C1046" s="42"/>
      <c r="D1046" s="42"/>
      <c r="E1046" s="42"/>
      <c r="F1046" s="51" t="n">
        <f aca="false">IF(OR(C1046="",D1046="",E1046="",E1046=0),0,C1046*D1046/E1046)</f>
        <v>0</v>
      </c>
      <c r="G1046" s="42"/>
      <c r="H1046" s="49" t="n">
        <f aca="true">IF(OR($A1046="",_xlfn.MINIFS($B$3:$B$5000,$A$3:$A$5000,$A1046,$B$3:$B$5000,"&gt;"&amp;$B1046)=0),NOW(),_xlfn.MINIFS($B$3:$B$5000,$A$3:$A$5000,$A1046,$B$3:$B$5000,"&gt;"&amp;$B1046))</f>
        <v>46279.5987643284</v>
      </c>
    </row>
    <row r="1047" customFormat="false" ht="15" hidden="false" customHeight="true" outlineLevel="0" collapsed="false">
      <c r="A1047" s="42"/>
      <c r="B1047" s="42"/>
      <c r="C1047" s="42"/>
      <c r="D1047" s="42"/>
      <c r="E1047" s="42"/>
      <c r="F1047" s="51" t="n">
        <f aca="false">IF(OR(C1047="",D1047="",E1047="",E1047=0),0,C1047*D1047/E1047)</f>
        <v>0</v>
      </c>
      <c r="G1047" s="42"/>
      <c r="H1047" s="49" t="n">
        <f aca="true">IF(OR($A1047="",_xlfn.MINIFS($B$3:$B$5000,$A$3:$A$5000,$A1047,$B$3:$B$5000,"&gt;"&amp;$B1047)=0),NOW(),_xlfn.MINIFS($B$3:$B$5000,$A$3:$A$5000,$A1047,$B$3:$B$5000,"&gt;"&amp;$B1047))</f>
        <v>46279.5987643284</v>
      </c>
    </row>
    <row r="1048" customFormat="false" ht="15" hidden="false" customHeight="true" outlineLevel="0" collapsed="false">
      <c r="A1048" s="42"/>
      <c r="B1048" s="42"/>
      <c r="C1048" s="42"/>
      <c r="D1048" s="42"/>
      <c r="E1048" s="42"/>
      <c r="F1048" s="51" t="n">
        <f aca="false">IF(OR(C1048="",D1048="",E1048="",E1048=0),0,C1048*D1048/E1048)</f>
        <v>0</v>
      </c>
      <c r="G1048" s="42"/>
      <c r="H1048" s="49" t="n">
        <f aca="true">IF(OR($A1048="",_xlfn.MINIFS($B$3:$B$5000,$A$3:$A$5000,$A1048,$B$3:$B$5000,"&gt;"&amp;$B1048)=0),NOW(),_xlfn.MINIFS($B$3:$B$5000,$A$3:$A$5000,$A1048,$B$3:$B$5000,"&gt;"&amp;$B1048))</f>
        <v>46279.5987643285</v>
      </c>
    </row>
    <row r="1049" customFormat="false" ht="15" hidden="false" customHeight="true" outlineLevel="0" collapsed="false">
      <c r="A1049" s="42"/>
      <c r="B1049" s="42"/>
      <c r="C1049" s="42"/>
      <c r="D1049" s="42"/>
      <c r="E1049" s="42"/>
      <c r="F1049" s="51" t="n">
        <f aca="false">IF(OR(C1049="",D1049="",E1049="",E1049=0),0,C1049*D1049/E1049)</f>
        <v>0</v>
      </c>
      <c r="G1049" s="42"/>
      <c r="H1049" s="49" t="n">
        <f aca="true">IF(OR($A1049="",_xlfn.MINIFS($B$3:$B$5000,$A$3:$A$5000,$A1049,$B$3:$B$5000,"&gt;"&amp;$B1049)=0),NOW(),_xlfn.MINIFS($B$3:$B$5000,$A$3:$A$5000,$A1049,$B$3:$B$5000,"&gt;"&amp;$B1049))</f>
        <v>46279.5987643285</v>
      </c>
    </row>
    <row r="1050" customFormat="false" ht="15" hidden="false" customHeight="true" outlineLevel="0" collapsed="false">
      <c r="A1050" s="42"/>
      <c r="B1050" s="42"/>
      <c r="C1050" s="42"/>
      <c r="D1050" s="42"/>
      <c r="E1050" s="42"/>
      <c r="F1050" s="51" t="n">
        <f aca="false">IF(OR(C1050="",D1050="",E1050="",E1050=0),0,C1050*D1050/E1050)</f>
        <v>0</v>
      </c>
      <c r="G1050" s="42"/>
      <c r="H1050" s="49" t="n">
        <f aca="true">IF(OR($A1050="",_xlfn.MINIFS($B$3:$B$5000,$A$3:$A$5000,$A1050,$B$3:$B$5000,"&gt;"&amp;$B1050)=0),NOW(),_xlfn.MINIFS($B$3:$B$5000,$A$3:$A$5000,$A1050,$B$3:$B$5000,"&gt;"&amp;$B1050))</f>
        <v>46279.5987643286</v>
      </c>
    </row>
    <row r="1051" customFormat="false" ht="15" hidden="false" customHeight="true" outlineLevel="0" collapsed="false">
      <c r="A1051" s="42"/>
      <c r="B1051" s="42"/>
      <c r="C1051" s="42"/>
      <c r="D1051" s="42"/>
      <c r="E1051" s="42"/>
      <c r="F1051" s="51" t="n">
        <f aca="false">IF(OR(C1051="",D1051="",E1051="",E1051=0),0,C1051*D1051/E1051)</f>
        <v>0</v>
      </c>
      <c r="G1051" s="42"/>
      <c r="H1051" s="49" t="n">
        <f aca="true">IF(OR($A1051="",_xlfn.MINIFS($B$3:$B$5000,$A$3:$A$5000,$A1051,$B$3:$B$5000,"&gt;"&amp;$B1051)=0),NOW(),_xlfn.MINIFS($B$3:$B$5000,$A$3:$A$5000,$A1051,$B$3:$B$5000,"&gt;"&amp;$B1051))</f>
        <v>46279.5987643286</v>
      </c>
    </row>
    <row r="1052" customFormat="false" ht="15" hidden="false" customHeight="true" outlineLevel="0" collapsed="false">
      <c r="A1052" s="42"/>
      <c r="B1052" s="42"/>
      <c r="C1052" s="42"/>
      <c r="D1052" s="42"/>
      <c r="E1052" s="42"/>
      <c r="F1052" s="51" t="n">
        <f aca="false">IF(OR(C1052="",D1052="",E1052="",E1052=0),0,C1052*D1052/E1052)</f>
        <v>0</v>
      </c>
      <c r="G1052" s="42"/>
      <c r="H1052" s="49" t="n">
        <f aca="true">IF(OR($A1052="",_xlfn.MINIFS($B$3:$B$5000,$A$3:$A$5000,$A1052,$B$3:$B$5000,"&gt;"&amp;$B1052)=0),NOW(),_xlfn.MINIFS($B$3:$B$5000,$A$3:$A$5000,$A1052,$B$3:$B$5000,"&gt;"&amp;$B1052))</f>
        <v>46279.5987643287</v>
      </c>
    </row>
    <row r="1053" customFormat="false" ht="15" hidden="false" customHeight="true" outlineLevel="0" collapsed="false">
      <c r="A1053" s="42"/>
      <c r="B1053" s="42"/>
      <c r="C1053" s="42"/>
      <c r="D1053" s="42"/>
      <c r="E1053" s="42"/>
      <c r="F1053" s="51" t="n">
        <f aca="false">IF(OR(C1053="",D1053="",E1053="",E1053=0),0,C1053*D1053/E1053)</f>
        <v>0</v>
      </c>
      <c r="G1053" s="42"/>
      <c r="H1053" s="49" t="n">
        <f aca="true">IF(OR($A1053="",_xlfn.MINIFS($B$3:$B$5000,$A$3:$A$5000,$A1053,$B$3:$B$5000,"&gt;"&amp;$B1053)=0),NOW(),_xlfn.MINIFS($B$3:$B$5000,$A$3:$A$5000,$A1053,$B$3:$B$5000,"&gt;"&amp;$B1053))</f>
        <v>46279.5987643287</v>
      </c>
    </row>
    <row r="1054" customFormat="false" ht="15" hidden="false" customHeight="true" outlineLevel="0" collapsed="false">
      <c r="A1054" s="42"/>
      <c r="B1054" s="42"/>
      <c r="C1054" s="42"/>
      <c r="D1054" s="42"/>
      <c r="E1054" s="42"/>
      <c r="F1054" s="51" t="n">
        <f aca="false">IF(OR(C1054="",D1054="",E1054="",E1054=0),0,C1054*D1054/E1054)</f>
        <v>0</v>
      </c>
      <c r="G1054" s="42"/>
      <c r="H1054" s="49" t="n">
        <f aca="true">IF(OR($A1054="",_xlfn.MINIFS($B$3:$B$5000,$A$3:$A$5000,$A1054,$B$3:$B$5000,"&gt;"&amp;$B1054)=0),NOW(),_xlfn.MINIFS($B$3:$B$5000,$A$3:$A$5000,$A1054,$B$3:$B$5000,"&gt;"&amp;$B1054))</f>
        <v>46279.5987643288</v>
      </c>
    </row>
    <row r="1055" customFormat="false" ht="15" hidden="false" customHeight="true" outlineLevel="0" collapsed="false">
      <c r="A1055" s="42"/>
      <c r="B1055" s="42"/>
      <c r="C1055" s="42"/>
      <c r="D1055" s="42"/>
      <c r="E1055" s="42"/>
      <c r="F1055" s="51" t="n">
        <f aca="false">IF(OR(C1055="",D1055="",E1055="",E1055=0),0,C1055*D1055/E1055)</f>
        <v>0</v>
      </c>
      <c r="G1055" s="42"/>
      <c r="H1055" s="49" t="n">
        <f aca="true">IF(OR($A1055="",_xlfn.MINIFS($B$3:$B$5000,$A$3:$A$5000,$A1055,$B$3:$B$5000,"&gt;"&amp;$B1055)=0),NOW(),_xlfn.MINIFS($B$3:$B$5000,$A$3:$A$5000,$A1055,$B$3:$B$5000,"&gt;"&amp;$B1055))</f>
        <v>46279.5987643288</v>
      </c>
    </row>
    <row r="1056" customFormat="false" ht="15" hidden="false" customHeight="true" outlineLevel="0" collapsed="false">
      <c r="A1056" s="42"/>
      <c r="B1056" s="42"/>
      <c r="C1056" s="42"/>
      <c r="D1056" s="42"/>
      <c r="E1056" s="42"/>
      <c r="F1056" s="51" t="n">
        <f aca="false">IF(OR(C1056="",D1056="",E1056="",E1056=0),0,C1056*D1056/E1056)</f>
        <v>0</v>
      </c>
      <c r="G1056" s="42"/>
      <c r="H1056" s="49" t="n">
        <f aca="true">IF(OR($A1056="",_xlfn.MINIFS($B$3:$B$5000,$A$3:$A$5000,$A1056,$B$3:$B$5000,"&gt;"&amp;$B1056)=0),NOW(),_xlfn.MINIFS($B$3:$B$5000,$A$3:$A$5000,$A1056,$B$3:$B$5000,"&gt;"&amp;$B1056))</f>
        <v>46279.5987643289</v>
      </c>
    </row>
    <row r="1057" customFormat="false" ht="15" hidden="false" customHeight="true" outlineLevel="0" collapsed="false">
      <c r="A1057" s="42"/>
      <c r="B1057" s="42"/>
      <c r="C1057" s="42"/>
      <c r="D1057" s="42"/>
      <c r="E1057" s="42"/>
      <c r="F1057" s="51" t="n">
        <f aca="false">IF(OR(C1057="",D1057="",E1057="",E1057=0),0,C1057*D1057/E1057)</f>
        <v>0</v>
      </c>
      <c r="G1057" s="42"/>
      <c r="H1057" s="49" t="n">
        <f aca="true">IF(OR($A1057="",_xlfn.MINIFS($B$3:$B$5000,$A$3:$A$5000,$A1057,$B$3:$B$5000,"&gt;"&amp;$B1057)=0),NOW(),_xlfn.MINIFS($B$3:$B$5000,$A$3:$A$5000,$A1057,$B$3:$B$5000,"&gt;"&amp;$B1057))</f>
        <v>46279.5987643289</v>
      </c>
    </row>
    <row r="1058" customFormat="false" ht="15" hidden="false" customHeight="true" outlineLevel="0" collapsed="false">
      <c r="A1058" s="42"/>
      <c r="B1058" s="42"/>
      <c r="C1058" s="42"/>
      <c r="D1058" s="42"/>
      <c r="E1058" s="42"/>
      <c r="F1058" s="51" t="n">
        <f aca="false">IF(OR(C1058="",D1058="",E1058="",E1058=0),0,C1058*D1058/E1058)</f>
        <v>0</v>
      </c>
      <c r="G1058" s="42"/>
      <c r="H1058" s="49" t="n">
        <f aca="true">IF(OR($A1058="",_xlfn.MINIFS($B$3:$B$5000,$A$3:$A$5000,$A1058,$B$3:$B$5000,"&gt;"&amp;$B1058)=0),NOW(),_xlfn.MINIFS($B$3:$B$5000,$A$3:$A$5000,$A1058,$B$3:$B$5000,"&gt;"&amp;$B1058))</f>
        <v>46279.598764329</v>
      </c>
    </row>
    <row r="1059" customFormat="false" ht="15" hidden="false" customHeight="true" outlineLevel="0" collapsed="false">
      <c r="A1059" s="42"/>
      <c r="B1059" s="42"/>
      <c r="C1059" s="42"/>
      <c r="D1059" s="42"/>
      <c r="E1059" s="42"/>
      <c r="F1059" s="51" t="n">
        <f aca="false">IF(OR(C1059="",D1059="",E1059="",E1059=0),0,C1059*D1059/E1059)</f>
        <v>0</v>
      </c>
      <c r="G1059" s="42"/>
      <c r="H1059" s="49" t="n">
        <f aca="true">IF(OR($A1059="",_xlfn.MINIFS($B$3:$B$5000,$A$3:$A$5000,$A1059,$B$3:$B$5000,"&gt;"&amp;$B1059)=0),NOW(),_xlfn.MINIFS($B$3:$B$5000,$A$3:$A$5000,$A1059,$B$3:$B$5000,"&gt;"&amp;$B1059))</f>
        <v>46279.598764329</v>
      </c>
    </row>
    <row r="1060" customFormat="false" ht="15" hidden="false" customHeight="true" outlineLevel="0" collapsed="false">
      <c r="A1060" s="42"/>
      <c r="B1060" s="42"/>
      <c r="C1060" s="42"/>
      <c r="D1060" s="42"/>
      <c r="E1060" s="42"/>
      <c r="F1060" s="51" t="n">
        <f aca="false">IF(OR(C1060="",D1060="",E1060="",E1060=0),0,C1060*D1060/E1060)</f>
        <v>0</v>
      </c>
      <c r="G1060" s="42"/>
      <c r="H1060" s="49" t="n">
        <f aca="true">IF(OR($A1060="",_xlfn.MINIFS($B$3:$B$5000,$A$3:$A$5000,$A1060,$B$3:$B$5000,"&gt;"&amp;$B1060)=0),NOW(),_xlfn.MINIFS($B$3:$B$5000,$A$3:$A$5000,$A1060,$B$3:$B$5000,"&gt;"&amp;$B1060))</f>
        <v>46279.5987643291</v>
      </c>
    </row>
    <row r="1061" customFormat="false" ht="15" hidden="false" customHeight="true" outlineLevel="0" collapsed="false">
      <c r="A1061" s="42"/>
      <c r="B1061" s="42"/>
      <c r="C1061" s="42"/>
      <c r="D1061" s="42"/>
      <c r="E1061" s="42"/>
      <c r="F1061" s="51" t="n">
        <f aca="false">IF(OR(C1061="",D1061="",E1061="",E1061=0),0,C1061*D1061/E1061)</f>
        <v>0</v>
      </c>
      <c r="G1061" s="42"/>
      <c r="H1061" s="49" t="n">
        <f aca="true">IF(OR($A1061="",_xlfn.MINIFS($B$3:$B$5000,$A$3:$A$5000,$A1061,$B$3:$B$5000,"&gt;"&amp;$B1061)=0),NOW(),_xlfn.MINIFS($B$3:$B$5000,$A$3:$A$5000,$A1061,$B$3:$B$5000,"&gt;"&amp;$B1061))</f>
        <v>46279.5987643291</v>
      </c>
    </row>
    <row r="1062" customFormat="false" ht="15" hidden="false" customHeight="true" outlineLevel="0" collapsed="false">
      <c r="A1062" s="42"/>
      <c r="B1062" s="42"/>
      <c r="C1062" s="42"/>
      <c r="D1062" s="42"/>
      <c r="E1062" s="42"/>
      <c r="F1062" s="51" t="n">
        <f aca="false">IF(OR(C1062="",D1062="",E1062="",E1062=0),0,C1062*D1062/E1062)</f>
        <v>0</v>
      </c>
      <c r="G1062" s="42"/>
      <c r="H1062" s="49" t="n">
        <f aca="true">IF(OR($A1062="",_xlfn.MINIFS($B$3:$B$5000,$A$3:$A$5000,$A1062,$B$3:$B$5000,"&gt;"&amp;$B1062)=0),NOW(),_xlfn.MINIFS($B$3:$B$5000,$A$3:$A$5000,$A1062,$B$3:$B$5000,"&gt;"&amp;$B1062))</f>
        <v>46279.5987643292</v>
      </c>
    </row>
    <row r="1063" customFormat="false" ht="15" hidden="false" customHeight="true" outlineLevel="0" collapsed="false">
      <c r="A1063" s="42"/>
      <c r="B1063" s="42"/>
      <c r="C1063" s="42"/>
      <c r="D1063" s="42"/>
      <c r="E1063" s="42"/>
      <c r="F1063" s="51" t="n">
        <f aca="false">IF(OR(C1063="",D1063="",E1063="",E1063=0),0,C1063*D1063/E1063)</f>
        <v>0</v>
      </c>
      <c r="G1063" s="42"/>
      <c r="H1063" s="49" t="n">
        <f aca="true">IF(OR($A1063="",_xlfn.MINIFS($B$3:$B$5000,$A$3:$A$5000,$A1063,$B$3:$B$5000,"&gt;"&amp;$B1063)=0),NOW(),_xlfn.MINIFS($B$3:$B$5000,$A$3:$A$5000,$A1063,$B$3:$B$5000,"&gt;"&amp;$B1063))</f>
        <v>46279.5987643292</v>
      </c>
    </row>
    <row r="1064" customFormat="false" ht="15" hidden="false" customHeight="true" outlineLevel="0" collapsed="false">
      <c r="A1064" s="42"/>
      <c r="B1064" s="42"/>
      <c r="C1064" s="42"/>
      <c r="D1064" s="42"/>
      <c r="E1064" s="42"/>
      <c r="F1064" s="51" t="n">
        <f aca="false">IF(OR(C1064="",D1064="",E1064="",E1064=0),0,C1064*D1064/E1064)</f>
        <v>0</v>
      </c>
      <c r="G1064" s="42"/>
      <c r="H1064" s="49" t="n">
        <f aca="true">IF(OR($A1064="",_xlfn.MINIFS($B$3:$B$5000,$A$3:$A$5000,$A1064,$B$3:$B$5000,"&gt;"&amp;$B1064)=0),NOW(),_xlfn.MINIFS($B$3:$B$5000,$A$3:$A$5000,$A1064,$B$3:$B$5000,"&gt;"&amp;$B1064))</f>
        <v>46279.5987643293</v>
      </c>
    </row>
    <row r="1065" customFormat="false" ht="15" hidden="false" customHeight="true" outlineLevel="0" collapsed="false">
      <c r="A1065" s="42"/>
      <c r="B1065" s="42"/>
      <c r="C1065" s="42"/>
      <c r="D1065" s="42"/>
      <c r="E1065" s="42"/>
      <c r="F1065" s="51" t="n">
        <f aca="false">IF(OR(C1065="",D1065="",E1065="",E1065=0),0,C1065*D1065/E1065)</f>
        <v>0</v>
      </c>
      <c r="G1065" s="42"/>
      <c r="H1065" s="49" t="n">
        <f aca="true">IF(OR($A1065="",_xlfn.MINIFS($B$3:$B$5000,$A$3:$A$5000,$A1065,$B$3:$B$5000,"&gt;"&amp;$B1065)=0),NOW(),_xlfn.MINIFS($B$3:$B$5000,$A$3:$A$5000,$A1065,$B$3:$B$5000,"&gt;"&amp;$B1065))</f>
        <v>46279.5987643293</v>
      </c>
    </row>
    <row r="1066" customFormat="false" ht="15" hidden="false" customHeight="true" outlineLevel="0" collapsed="false">
      <c r="A1066" s="42"/>
      <c r="B1066" s="42"/>
      <c r="C1066" s="42"/>
      <c r="D1066" s="42"/>
      <c r="E1066" s="42"/>
      <c r="F1066" s="51" t="n">
        <f aca="false">IF(OR(C1066="",D1066="",E1066="",E1066=0),0,C1066*D1066/E1066)</f>
        <v>0</v>
      </c>
      <c r="G1066" s="42"/>
      <c r="H1066" s="49" t="n">
        <f aca="true">IF(OR($A1066="",_xlfn.MINIFS($B$3:$B$5000,$A$3:$A$5000,$A1066,$B$3:$B$5000,"&gt;"&amp;$B1066)=0),NOW(),_xlfn.MINIFS($B$3:$B$5000,$A$3:$A$5000,$A1066,$B$3:$B$5000,"&gt;"&amp;$B1066))</f>
        <v>46279.5987643294</v>
      </c>
    </row>
    <row r="1067" customFormat="false" ht="15" hidden="false" customHeight="true" outlineLevel="0" collapsed="false">
      <c r="A1067" s="42"/>
      <c r="B1067" s="42"/>
      <c r="C1067" s="42"/>
      <c r="D1067" s="42"/>
      <c r="E1067" s="42"/>
      <c r="F1067" s="51" t="n">
        <f aca="false">IF(OR(C1067="",D1067="",E1067="",E1067=0),0,C1067*D1067/E1067)</f>
        <v>0</v>
      </c>
      <c r="G1067" s="42"/>
      <c r="H1067" s="49" t="n">
        <f aca="true">IF(OR($A1067="",_xlfn.MINIFS($B$3:$B$5000,$A$3:$A$5000,$A1067,$B$3:$B$5000,"&gt;"&amp;$B1067)=0),NOW(),_xlfn.MINIFS($B$3:$B$5000,$A$3:$A$5000,$A1067,$B$3:$B$5000,"&gt;"&amp;$B1067))</f>
        <v>46279.5987643294</v>
      </c>
    </row>
    <row r="1068" customFormat="false" ht="15" hidden="false" customHeight="true" outlineLevel="0" collapsed="false">
      <c r="A1068" s="42"/>
      <c r="B1068" s="42"/>
      <c r="C1068" s="42"/>
      <c r="D1068" s="42"/>
      <c r="E1068" s="42"/>
      <c r="F1068" s="51" t="n">
        <f aca="false">IF(OR(C1068="",D1068="",E1068="",E1068=0),0,C1068*D1068/E1068)</f>
        <v>0</v>
      </c>
      <c r="G1068" s="42"/>
      <c r="H1068" s="49" t="n">
        <f aca="true">IF(OR($A1068="",_xlfn.MINIFS($B$3:$B$5000,$A$3:$A$5000,$A1068,$B$3:$B$5000,"&gt;"&amp;$B1068)=0),NOW(),_xlfn.MINIFS($B$3:$B$5000,$A$3:$A$5000,$A1068,$B$3:$B$5000,"&gt;"&amp;$B1068))</f>
        <v>46279.5987643295</v>
      </c>
    </row>
    <row r="1069" customFormat="false" ht="15" hidden="false" customHeight="true" outlineLevel="0" collapsed="false">
      <c r="A1069" s="42"/>
      <c r="B1069" s="42"/>
      <c r="C1069" s="42"/>
      <c r="D1069" s="42"/>
      <c r="E1069" s="42"/>
      <c r="F1069" s="51" t="n">
        <f aca="false">IF(OR(C1069="",D1069="",E1069="",E1069=0),0,C1069*D1069/E1069)</f>
        <v>0</v>
      </c>
      <c r="G1069" s="42"/>
      <c r="H1069" s="49" t="n">
        <f aca="true">IF(OR($A1069="",_xlfn.MINIFS($B$3:$B$5000,$A$3:$A$5000,$A1069,$B$3:$B$5000,"&gt;"&amp;$B1069)=0),NOW(),_xlfn.MINIFS($B$3:$B$5000,$A$3:$A$5000,$A1069,$B$3:$B$5000,"&gt;"&amp;$B1069))</f>
        <v>46279.5987643295</v>
      </c>
    </row>
    <row r="1070" customFormat="false" ht="15" hidden="false" customHeight="true" outlineLevel="0" collapsed="false">
      <c r="A1070" s="42"/>
      <c r="B1070" s="42"/>
      <c r="C1070" s="42"/>
      <c r="D1070" s="42"/>
      <c r="E1070" s="42"/>
      <c r="F1070" s="51" t="n">
        <f aca="false">IF(OR(C1070="",D1070="",E1070="",E1070=0),0,C1070*D1070/E1070)</f>
        <v>0</v>
      </c>
      <c r="G1070" s="42"/>
      <c r="H1070" s="49" t="n">
        <f aca="true">IF(OR($A1070="",_xlfn.MINIFS($B$3:$B$5000,$A$3:$A$5000,$A1070,$B$3:$B$5000,"&gt;"&amp;$B1070)=0),NOW(),_xlfn.MINIFS($B$3:$B$5000,$A$3:$A$5000,$A1070,$B$3:$B$5000,"&gt;"&amp;$B1070))</f>
        <v>46279.5987643296</v>
      </c>
    </row>
    <row r="1071" customFormat="false" ht="15" hidden="false" customHeight="true" outlineLevel="0" collapsed="false">
      <c r="A1071" s="42"/>
      <c r="B1071" s="42"/>
      <c r="C1071" s="42"/>
      <c r="D1071" s="42"/>
      <c r="E1071" s="42"/>
      <c r="F1071" s="51" t="n">
        <f aca="false">IF(OR(C1071="",D1071="",E1071="",E1071=0),0,C1071*D1071/E1071)</f>
        <v>0</v>
      </c>
      <c r="G1071" s="42"/>
      <c r="H1071" s="49" t="n">
        <f aca="true">IF(OR($A1071="",_xlfn.MINIFS($B$3:$B$5000,$A$3:$A$5000,$A1071,$B$3:$B$5000,"&gt;"&amp;$B1071)=0),NOW(),_xlfn.MINIFS($B$3:$B$5000,$A$3:$A$5000,$A1071,$B$3:$B$5000,"&gt;"&amp;$B1071))</f>
        <v>46279.5987643296</v>
      </c>
    </row>
    <row r="1072" customFormat="false" ht="15" hidden="false" customHeight="true" outlineLevel="0" collapsed="false">
      <c r="A1072" s="42"/>
      <c r="B1072" s="42"/>
      <c r="C1072" s="42"/>
      <c r="D1072" s="42"/>
      <c r="E1072" s="42"/>
      <c r="F1072" s="51" t="n">
        <f aca="false">IF(OR(C1072="",D1072="",E1072="",E1072=0),0,C1072*D1072/E1072)</f>
        <v>0</v>
      </c>
      <c r="G1072" s="42"/>
      <c r="H1072" s="49" t="n">
        <f aca="true">IF(OR($A1072="",_xlfn.MINIFS($B$3:$B$5000,$A$3:$A$5000,$A1072,$B$3:$B$5000,"&gt;"&amp;$B1072)=0),NOW(),_xlfn.MINIFS($B$3:$B$5000,$A$3:$A$5000,$A1072,$B$3:$B$5000,"&gt;"&amp;$B1072))</f>
        <v>46279.5987643297</v>
      </c>
    </row>
    <row r="1073" customFormat="false" ht="15" hidden="false" customHeight="true" outlineLevel="0" collapsed="false">
      <c r="A1073" s="42"/>
      <c r="B1073" s="42"/>
      <c r="C1073" s="42"/>
      <c r="D1073" s="42"/>
      <c r="E1073" s="42"/>
      <c r="F1073" s="51" t="n">
        <f aca="false">IF(OR(C1073="",D1073="",E1073="",E1073=0),0,C1073*D1073/E1073)</f>
        <v>0</v>
      </c>
      <c r="G1073" s="42"/>
      <c r="H1073" s="49" t="n">
        <f aca="true">IF(OR($A1073="",_xlfn.MINIFS($B$3:$B$5000,$A$3:$A$5000,$A1073,$B$3:$B$5000,"&gt;"&amp;$B1073)=0),NOW(),_xlfn.MINIFS($B$3:$B$5000,$A$3:$A$5000,$A1073,$B$3:$B$5000,"&gt;"&amp;$B1073))</f>
        <v>46279.5987643297</v>
      </c>
    </row>
    <row r="1074" customFormat="false" ht="15" hidden="false" customHeight="true" outlineLevel="0" collapsed="false">
      <c r="A1074" s="42"/>
      <c r="B1074" s="42"/>
      <c r="C1074" s="42"/>
      <c r="D1074" s="42"/>
      <c r="E1074" s="42"/>
      <c r="F1074" s="51" t="n">
        <f aca="false">IF(OR(C1074="",D1074="",E1074="",E1074=0),0,C1074*D1074/E1074)</f>
        <v>0</v>
      </c>
      <c r="G1074" s="42"/>
      <c r="H1074" s="49" t="n">
        <f aca="true">IF(OR($A1074="",_xlfn.MINIFS($B$3:$B$5000,$A$3:$A$5000,$A1074,$B$3:$B$5000,"&gt;"&amp;$B1074)=0),NOW(),_xlfn.MINIFS($B$3:$B$5000,$A$3:$A$5000,$A1074,$B$3:$B$5000,"&gt;"&amp;$B1074))</f>
        <v>46279.5987643298</v>
      </c>
    </row>
    <row r="1075" customFormat="false" ht="15" hidden="false" customHeight="true" outlineLevel="0" collapsed="false">
      <c r="A1075" s="42"/>
      <c r="B1075" s="42"/>
      <c r="C1075" s="42"/>
      <c r="D1075" s="42"/>
      <c r="E1075" s="42"/>
      <c r="F1075" s="51" t="n">
        <f aca="false">IF(OR(C1075="",D1075="",E1075="",E1075=0),0,C1075*D1075/E1075)</f>
        <v>0</v>
      </c>
      <c r="G1075" s="42"/>
      <c r="H1075" s="49" t="n">
        <f aca="true">IF(OR($A1075="",_xlfn.MINIFS($B$3:$B$5000,$A$3:$A$5000,$A1075,$B$3:$B$5000,"&gt;"&amp;$B1075)=0),NOW(),_xlfn.MINIFS($B$3:$B$5000,$A$3:$A$5000,$A1075,$B$3:$B$5000,"&gt;"&amp;$B1075))</f>
        <v>46279.5987643298</v>
      </c>
    </row>
    <row r="1076" customFormat="false" ht="15" hidden="false" customHeight="true" outlineLevel="0" collapsed="false">
      <c r="A1076" s="42"/>
      <c r="B1076" s="42"/>
      <c r="C1076" s="42"/>
      <c r="D1076" s="42"/>
      <c r="E1076" s="42"/>
      <c r="F1076" s="51" t="n">
        <f aca="false">IF(OR(C1076="",D1076="",E1076="",E1076=0),0,C1076*D1076/E1076)</f>
        <v>0</v>
      </c>
      <c r="G1076" s="42"/>
      <c r="H1076" s="49" t="n">
        <f aca="true">IF(OR($A1076="",_xlfn.MINIFS($B$3:$B$5000,$A$3:$A$5000,$A1076,$B$3:$B$5000,"&gt;"&amp;$B1076)=0),NOW(),_xlfn.MINIFS($B$3:$B$5000,$A$3:$A$5000,$A1076,$B$3:$B$5000,"&gt;"&amp;$B1076))</f>
        <v>46279.5987643299</v>
      </c>
    </row>
    <row r="1077" customFormat="false" ht="15" hidden="false" customHeight="true" outlineLevel="0" collapsed="false">
      <c r="A1077" s="42"/>
      <c r="B1077" s="42"/>
      <c r="C1077" s="42"/>
      <c r="D1077" s="42"/>
      <c r="E1077" s="42"/>
      <c r="F1077" s="51" t="n">
        <f aca="false">IF(OR(C1077="",D1077="",E1077="",E1077=0),0,C1077*D1077/E1077)</f>
        <v>0</v>
      </c>
      <c r="G1077" s="42"/>
      <c r="H1077" s="49" t="n">
        <f aca="true">IF(OR($A1077="",_xlfn.MINIFS($B$3:$B$5000,$A$3:$A$5000,$A1077,$B$3:$B$5000,"&gt;"&amp;$B1077)=0),NOW(),_xlfn.MINIFS($B$3:$B$5000,$A$3:$A$5000,$A1077,$B$3:$B$5000,"&gt;"&amp;$B1077))</f>
        <v>46279.5987643299</v>
      </c>
    </row>
    <row r="1078" customFormat="false" ht="15" hidden="false" customHeight="true" outlineLevel="0" collapsed="false">
      <c r="A1078" s="42"/>
      <c r="B1078" s="42"/>
      <c r="C1078" s="42"/>
      <c r="D1078" s="42"/>
      <c r="E1078" s="42"/>
      <c r="F1078" s="51" t="n">
        <f aca="false">IF(OR(C1078="",D1078="",E1078="",E1078=0),0,C1078*D1078/E1078)</f>
        <v>0</v>
      </c>
      <c r="G1078" s="42"/>
      <c r="H1078" s="49" t="n">
        <f aca="true">IF(OR($A1078="",_xlfn.MINIFS($B$3:$B$5000,$A$3:$A$5000,$A1078,$B$3:$B$5000,"&gt;"&amp;$B1078)=0),NOW(),_xlfn.MINIFS($B$3:$B$5000,$A$3:$A$5000,$A1078,$B$3:$B$5000,"&gt;"&amp;$B1078))</f>
        <v>46279.5987643299</v>
      </c>
    </row>
    <row r="1079" customFormat="false" ht="15" hidden="false" customHeight="true" outlineLevel="0" collapsed="false">
      <c r="A1079" s="42"/>
      <c r="B1079" s="42"/>
      <c r="C1079" s="42"/>
      <c r="D1079" s="42"/>
      <c r="E1079" s="42"/>
      <c r="F1079" s="51" t="n">
        <f aca="false">IF(OR(C1079="",D1079="",E1079="",E1079=0),0,C1079*D1079/E1079)</f>
        <v>0</v>
      </c>
      <c r="G1079" s="42"/>
      <c r="H1079" s="49" t="n">
        <f aca="true">IF(OR($A1079="",_xlfn.MINIFS($B$3:$B$5000,$A$3:$A$5000,$A1079,$B$3:$B$5000,"&gt;"&amp;$B1079)=0),NOW(),_xlfn.MINIFS($B$3:$B$5000,$A$3:$A$5000,$A1079,$B$3:$B$5000,"&gt;"&amp;$B1079))</f>
        <v>46279.59876433</v>
      </c>
    </row>
    <row r="1080" customFormat="false" ht="15" hidden="false" customHeight="true" outlineLevel="0" collapsed="false">
      <c r="A1080" s="42"/>
      <c r="B1080" s="42"/>
      <c r="C1080" s="42"/>
      <c r="D1080" s="42"/>
      <c r="E1080" s="42"/>
      <c r="F1080" s="51" t="n">
        <f aca="false">IF(OR(C1080="",D1080="",E1080="",E1080=0),0,C1080*D1080/E1080)</f>
        <v>0</v>
      </c>
      <c r="G1080" s="42"/>
      <c r="H1080" s="49" t="n">
        <f aca="true">IF(OR($A1080="",_xlfn.MINIFS($B$3:$B$5000,$A$3:$A$5000,$A1080,$B$3:$B$5000,"&gt;"&amp;$B1080)=0),NOW(),_xlfn.MINIFS($B$3:$B$5000,$A$3:$A$5000,$A1080,$B$3:$B$5000,"&gt;"&amp;$B1080))</f>
        <v>46279.5987643301</v>
      </c>
    </row>
    <row r="1081" customFormat="false" ht="15" hidden="false" customHeight="true" outlineLevel="0" collapsed="false">
      <c r="A1081" s="42"/>
      <c r="B1081" s="42"/>
      <c r="C1081" s="42"/>
      <c r="D1081" s="42"/>
      <c r="E1081" s="42"/>
      <c r="F1081" s="51" t="n">
        <f aca="false">IF(OR(C1081="",D1081="",E1081="",E1081=0),0,C1081*D1081/E1081)</f>
        <v>0</v>
      </c>
      <c r="G1081" s="42"/>
      <c r="H1081" s="49" t="n">
        <f aca="true">IF(OR($A1081="",_xlfn.MINIFS($B$3:$B$5000,$A$3:$A$5000,$A1081,$B$3:$B$5000,"&gt;"&amp;$B1081)=0),NOW(),_xlfn.MINIFS($B$3:$B$5000,$A$3:$A$5000,$A1081,$B$3:$B$5000,"&gt;"&amp;$B1081))</f>
        <v>46279.5987643301</v>
      </c>
    </row>
    <row r="1082" customFormat="false" ht="15" hidden="false" customHeight="true" outlineLevel="0" collapsed="false">
      <c r="A1082" s="42"/>
      <c r="B1082" s="42"/>
      <c r="C1082" s="42"/>
      <c r="D1082" s="42"/>
      <c r="E1082" s="42"/>
      <c r="F1082" s="51" t="n">
        <f aca="false">IF(OR(C1082="",D1082="",E1082="",E1082=0),0,C1082*D1082/E1082)</f>
        <v>0</v>
      </c>
      <c r="G1082" s="42"/>
      <c r="H1082" s="49" t="n">
        <f aca="true">IF(OR($A1082="",_xlfn.MINIFS($B$3:$B$5000,$A$3:$A$5000,$A1082,$B$3:$B$5000,"&gt;"&amp;$B1082)=0),NOW(),_xlfn.MINIFS($B$3:$B$5000,$A$3:$A$5000,$A1082,$B$3:$B$5000,"&gt;"&amp;$B1082))</f>
        <v>46279.5987643301</v>
      </c>
    </row>
    <row r="1083" customFormat="false" ht="15" hidden="false" customHeight="true" outlineLevel="0" collapsed="false">
      <c r="A1083" s="42"/>
      <c r="B1083" s="42"/>
      <c r="C1083" s="42"/>
      <c r="D1083" s="42"/>
      <c r="E1083" s="42"/>
      <c r="F1083" s="51" t="n">
        <f aca="false">IF(OR(C1083="",D1083="",E1083="",E1083=0),0,C1083*D1083/E1083)</f>
        <v>0</v>
      </c>
      <c r="G1083" s="42"/>
      <c r="H1083" s="49" t="n">
        <f aca="true">IF(OR($A1083="",_xlfn.MINIFS($B$3:$B$5000,$A$3:$A$5000,$A1083,$B$3:$B$5000,"&gt;"&amp;$B1083)=0),NOW(),_xlfn.MINIFS($B$3:$B$5000,$A$3:$A$5000,$A1083,$B$3:$B$5000,"&gt;"&amp;$B1083))</f>
        <v>46279.5987643302</v>
      </c>
    </row>
    <row r="1084" customFormat="false" ht="15" hidden="false" customHeight="true" outlineLevel="0" collapsed="false">
      <c r="A1084" s="42"/>
      <c r="B1084" s="42"/>
      <c r="C1084" s="42"/>
      <c r="D1084" s="42"/>
      <c r="E1084" s="42"/>
      <c r="F1084" s="51" t="n">
        <f aca="false">IF(OR(C1084="",D1084="",E1084="",E1084=0),0,C1084*D1084/E1084)</f>
        <v>0</v>
      </c>
      <c r="G1084" s="42"/>
      <c r="H1084" s="49" t="n">
        <f aca="true">IF(OR($A1084="",_xlfn.MINIFS($B$3:$B$5000,$A$3:$A$5000,$A1084,$B$3:$B$5000,"&gt;"&amp;$B1084)=0),NOW(),_xlfn.MINIFS($B$3:$B$5000,$A$3:$A$5000,$A1084,$B$3:$B$5000,"&gt;"&amp;$B1084))</f>
        <v>46279.5987643302</v>
      </c>
    </row>
    <row r="1085" customFormat="false" ht="15" hidden="false" customHeight="true" outlineLevel="0" collapsed="false">
      <c r="A1085" s="42"/>
      <c r="B1085" s="42"/>
      <c r="C1085" s="42"/>
      <c r="D1085" s="42"/>
      <c r="E1085" s="42"/>
      <c r="F1085" s="51" t="n">
        <f aca="false">IF(OR(C1085="",D1085="",E1085="",E1085=0),0,C1085*D1085/E1085)</f>
        <v>0</v>
      </c>
      <c r="G1085" s="42"/>
      <c r="H1085" s="49" t="n">
        <f aca="true">IF(OR($A1085="",_xlfn.MINIFS($B$3:$B$5000,$A$3:$A$5000,$A1085,$B$3:$B$5000,"&gt;"&amp;$B1085)=0),NOW(),_xlfn.MINIFS($B$3:$B$5000,$A$3:$A$5000,$A1085,$B$3:$B$5000,"&gt;"&amp;$B1085))</f>
        <v>46279.5987643303</v>
      </c>
    </row>
    <row r="1086" customFormat="false" ht="15" hidden="false" customHeight="true" outlineLevel="0" collapsed="false">
      <c r="A1086" s="42"/>
      <c r="B1086" s="42"/>
      <c r="C1086" s="42"/>
      <c r="D1086" s="42"/>
      <c r="E1086" s="42"/>
      <c r="F1086" s="51" t="n">
        <f aca="false">IF(OR(C1086="",D1086="",E1086="",E1086=0),0,C1086*D1086/E1086)</f>
        <v>0</v>
      </c>
      <c r="G1086" s="42"/>
      <c r="H1086" s="49" t="n">
        <f aca="true">IF(OR($A1086="",_xlfn.MINIFS($B$3:$B$5000,$A$3:$A$5000,$A1086,$B$3:$B$5000,"&gt;"&amp;$B1086)=0),NOW(),_xlfn.MINIFS($B$3:$B$5000,$A$3:$A$5000,$A1086,$B$3:$B$5000,"&gt;"&amp;$B1086))</f>
        <v>46279.5987643303</v>
      </c>
    </row>
    <row r="1087" customFormat="false" ht="15" hidden="false" customHeight="true" outlineLevel="0" collapsed="false">
      <c r="A1087" s="42"/>
      <c r="B1087" s="42"/>
      <c r="C1087" s="42"/>
      <c r="D1087" s="42"/>
      <c r="E1087" s="42"/>
      <c r="F1087" s="51" t="n">
        <f aca="false">IF(OR(C1087="",D1087="",E1087="",E1087=0),0,C1087*D1087/E1087)</f>
        <v>0</v>
      </c>
      <c r="G1087" s="42"/>
      <c r="H1087" s="49" t="n">
        <f aca="true">IF(OR($A1087="",_xlfn.MINIFS($B$3:$B$5000,$A$3:$A$5000,$A1087,$B$3:$B$5000,"&gt;"&amp;$B1087)=0),NOW(),_xlfn.MINIFS($B$3:$B$5000,$A$3:$A$5000,$A1087,$B$3:$B$5000,"&gt;"&amp;$B1087))</f>
        <v>46279.5987643304</v>
      </c>
    </row>
    <row r="1088" customFormat="false" ht="15" hidden="false" customHeight="true" outlineLevel="0" collapsed="false">
      <c r="A1088" s="42"/>
      <c r="B1088" s="42"/>
      <c r="C1088" s="42"/>
      <c r="D1088" s="42"/>
      <c r="E1088" s="42"/>
      <c r="F1088" s="51" t="n">
        <f aca="false">IF(OR(C1088="",D1088="",E1088="",E1088=0),0,C1088*D1088/E1088)</f>
        <v>0</v>
      </c>
      <c r="G1088" s="42"/>
      <c r="H1088" s="49" t="n">
        <f aca="true">IF(OR($A1088="",_xlfn.MINIFS($B$3:$B$5000,$A$3:$A$5000,$A1088,$B$3:$B$5000,"&gt;"&amp;$B1088)=0),NOW(),_xlfn.MINIFS($B$3:$B$5000,$A$3:$A$5000,$A1088,$B$3:$B$5000,"&gt;"&amp;$B1088))</f>
        <v>46279.5987643304</v>
      </c>
    </row>
    <row r="1089" customFormat="false" ht="15" hidden="false" customHeight="true" outlineLevel="0" collapsed="false">
      <c r="A1089" s="42"/>
      <c r="B1089" s="42"/>
      <c r="C1089" s="42"/>
      <c r="D1089" s="42"/>
      <c r="E1089" s="42"/>
      <c r="F1089" s="51" t="n">
        <f aca="false">IF(OR(C1089="",D1089="",E1089="",E1089=0),0,C1089*D1089/E1089)</f>
        <v>0</v>
      </c>
      <c r="G1089" s="42"/>
      <c r="H1089" s="49" t="n">
        <f aca="true">IF(OR($A1089="",_xlfn.MINIFS($B$3:$B$5000,$A$3:$A$5000,$A1089,$B$3:$B$5000,"&gt;"&amp;$B1089)=0),NOW(),_xlfn.MINIFS($B$3:$B$5000,$A$3:$A$5000,$A1089,$B$3:$B$5000,"&gt;"&amp;$B1089))</f>
        <v>46279.5987643305</v>
      </c>
    </row>
    <row r="1090" customFormat="false" ht="15" hidden="false" customHeight="true" outlineLevel="0" collapsed="false">
      <c r="A1090" s="42"/>
      <c r="B1090" s="42"/>
      <c r="C1090" s="42"/>
      <c r="D1090" s="42"/>
      <c r="E1090" s="42"/>
      <c r="F1090" s="51" t="n">
        <f aca="false">IF(OR(C1090="",D1090="",E1090="",E1090=0),0,C1090*D1090/E1090)</f>
        <v>0</v>
      </c>
      <c r="G1090" s="42"/>
      <c r="H1090" s="49" t="n">
        <f aca="true">IF(OR($A1090="",_xlfn.MINIFS($B$3:$B$5000,$A$3:$A$5000,$A1090,$B$3:$B$5000,"&gt;"&amp;$B1090)=0),NOW(),_xlfn.MINIFS($B$3:$B$5000,$A$3:$A$5000,$A1090,$B$3:$B$5000,"&gt;"&amp;$B1090))</f>
        <v>46279.5987643305</v>
      </c>
    </row>
    <row r="1091" customFormat="false" ht="15" hidden="false" customHeight="true" outlineLevel="0" collapsed="false">
      <c r="A1091" s="42"/>
      <c r="B1091" s="42"/>
      <c r="C1091" s="42"/>
      <c r="D1091" s="42"/>
      <c r="E1091" s="42"/>
      <c r="F1091" s="51" t="n">
        <f aca="false">IF(OR(C1091="",D1091="",E1091="",E1091=0),0,C1091*D1091/E1091)</f>
        <v>0</v>
      </c>
      <c r="G1091" s="42"/>
      <c r="H1091" s="49" t="n">
        <f aca="true">IF(OR($A1091="",_xlfn.MINIFS($B$3:$B$5000,$A$3:$A$5000,$A1091,$B$3:$B$5000,"&gt;"&amp;$B1091)=0),NOW(),_xlfn.MINIFS($B$3:$B$5000,$A$3:$A$5000,$A1091,$B$3:$B$5000,"&gt;"&amp;$B1091))</f>
        <v>46279.5987643306</v>
      </c>
    </row>
    <row r="1092" customFormat="false" ht="15" hidden="false" customHeight="true" outlineLevel="0" collapsed="false">
      <c r="A1092" s="42"/>
      <c r="B1092" s="42"/>
      <c r="C1092" s="42"/>
      <c r="D1092" s="42"/>
      <c r="E1092" s="42"/>
      <c r="F1092" s="51" t="n">
        <f aca="false">IF(OR(C1092="",D1092="",E1092="",E1092=0),0,C1092*D1092/E1092)</f>
        <v>0</v>
      </c>
      <c r="G1092" s="42"/>
      <c r="H1092" s="49" t="n">
        <f aca="true">IF(OR($A1092="",_xlfn.MINIFS($B$3:$B$5000,$A$3:$A$5000,$A1092,$B$3:$B$5000,"&gt;"&amp;$B1092)=0),NOW(),_xlfn.MINIFS($B$3:$B$5000,$A$3:$A$5000,$A1092,$B$3:$B$5000,"&gt;"&amp;$B1092))</f>
        <v>46279.5987643306</v>
      </c>
    </row>
    <row r="1093" customFormat="false" ht="15" hidden="false" customHeight="true" outlineLevel="0" collapsed="false">
      <c r="A1093" s="42"/>
      <c r="B1093" s="42"/>
      <c r="C1093" s="42"/>
      <c r="D1093" s="42"/>
      <c r="E1093" s="42"/>
      <c r="F1093" s="51" t="n">
        <f aca="false">IF(OR(C1093="",D1093="",E1093="",E1093=0),0,C1093*D1093/E1093)</f>
        <v>0</v>
      </c>
      <c r="G1093" s="42"/>
      <c r="H1093" s="49" t="n">
        <f aca="true">IF(OR($A1093="",_xlfn.MINIFS($B$3:$B$5000,$A$3:$A$5000,$A1093,$B$3:$B$5000,"&gt;"&amp;$B1093)=0),NOW(),_xlfn.MINIFS($B$3:$B$5000,$A$3:$A$5000,$A1093,$B$3:$B$5000,"&gt;"&amp;$B1093))</f>
        <v>46279.5987643307</v>
      </c>
    </row>
    <row r="1094" customFormat="false" ht="15" hidden="false" customHeight="true" outlineLevel="0" collapsed="false">
      <c r="A1094" s="42"/>
      <c r="B1094" s="42"/>
      <c r="C1094" s="42"/>
      <c r="D1094" s="42"/>
      <c r="E1094" s="42"/>
      <c r="F1094" s="51" t="n">
        <f aca="false">IF(OR(C1094="",D1094="",E1094="",E1094=0),0,C1094*D1094/E1094)</f>
        <v>0</v>
      </c>
      <c r="G1094" s="42"/>
      <c r="H1094" s="49" t="n">
        <f aca="true">IF(OR($A1094="",_xlfn.MINIFS($B$3:$B$5000,$A$3:$A$5000,$A1094,$B$3:$B$5000,"&gt;"&amp;$B1094)=0),NOW(),_xlfn.MINIFS($B$3:$B$5000,$A$3:$A$5000,$A1094,$B$3:$B$5000,"&gt;"&amp;$B1094))</f>
        <v>46279.5987643307</v>
      </c>
    </row>
    <row r="1095" customFormat="false" ht="15" hidden="false" customHeight="true" outlineLevel="0" collapsed="false">
      <c r="A1095" s="42"/>
      <c r="B1095" s="42"/>
      <c r="C1095" s="42"/>
      <c r="D1095" s="42"/>
      <c r="E1095" s="42"/>
      <c r="F1095" s="51" t="n">
        <f aca="false">IF(OR(C1095="",D1095="",E1095="",E1095=0),0,C1095*D1095/E1095)</f>
        <v>0</v>
      </c>
      <c r="G1095" s="42"/>
      <c r="H1095" s="49" t="n">
        <f aca="true">IF(OR($A1095="",_xlfn.MINIFS($B$3:$B$5000,$A$3:$A$5000,$A1095,$B$3:$B$5000,"&gt;"&amp;$B1095)=0),NOW(),_xlfn.MINIFS($B$3:$B$5000,$A$3:$A$5000,$A1095,$B$3:$B$5000,"&gt;"&amp;$B1095))</f>
        <v>46279.5987643308</v>
      </c>
    </row>
    <row r="1096" customFormat="false" ht="15" hidden="false" customHeight="true" outlineLevel="0" collapsed="false">
      <c r="A1096" s="42"/>
      <c r="B1096" s="42"/>
      <c r="C1096" s="42"/>
      <c r="D1096" s="42"/>
      <c r="E1096" s="42"/>
      <c r="F1096" s="51" t="n">
        <f aca="false">IF(OR(C1096="",D1096="",E1096="",E1096=0),0,C1096*D1096/E1096)</f>
        <v>0</v>
      </c>
      <c r="G1096" s="42"/>
      <c r="H1096" s="49" t="n">
        <f aca="true">IF(OR($A1096="",_xlfn.MINIFS($B$3:$B$5000,$A$3:$A$5000,$A1096,$B$3:$B$5000,"&gt;"&amp;$B1096)=0),NOW(),_xlfn.MINIFS($B$3:$B$5000,$A$3:$A$5000,$A1096,$B$3:$B$5000,"&gt;"&amp;$B1096))</f>
        <v>46279.5987643308</v>
      </c>
    </row>
    <row r="1097" customFormat="false" ht="15" hidden="false" customHeight="true" outlineLevel="0" collapsed="false">
      <c r="A1097" s="42"/>
      <c r="B1097" s="42"/>
      <c r="C1097" s="42"/>
      <c r="D1097" s="42"/>
      <c r="E1097" s="42"/>
      <c r="F1097" s="51" t="n">
        <f aca="false">IF(OR(C1097="",D1097="",E1097="",E1097=0),0,C1097*D1097/E1097)</f>
        <v>0</v>
      </c>
      <c r="G1097" s="42"/>
      <c r="H1097" s="49" t="n">
        <f aca="true">IF(OR($A1097="",_xlfn.MINIFS($B$3:$B$5000,$A$3:$A$5000,$A1097,$B$3:$B$5000,"&gt;"&amp;$B1097)=0),NOW(),_xlfn.MINIFS($B$3:$B$5000,$A$3:$A$5000,$A1097,$B$3:$B$5000,"&gt;"&amp;$B1097))</f>
        <v>46279.5987643309</v>
      </c>
    </row>
    <row r="1098" customFormat="false" ht="15" hidden="false" customHeight="true" outlineLevel="0" collapsed="false">
      <c r="A1098" s="42"/>
      <c r="B1098" s="42"/>
      <c r="C1098" s="42"/>
      <c r="D1098" s="42"/>
      <c r="E1098" s="42"/>
      <c r="F1098" s="51" t="n">
        <f aca="false">IF(OR(C1098="",D1098="",E1098="",E1098=0),0,C1098*D1098/E1098)</f>
        <v>0</v>
      </c>
      <c r="G1098" s="42"/>
      <c r="H1098" s="49" t="n">
        <f aca="true">IF(OR($A1098="",_xlfn.MINIFS($B$3:$B$5000,$A$3:$A$5000,$A1098,$B$3:$B$5000,"&gt;"&amp;$B1098)=0),NOW(),_xlfn.MINIFS($B$3:$B$5000,$A$3:$A$5000,$A1098,$B$3:$B$5000,"&gt;"&amp;$B1098))</f>
        <v>46279.5987643309</v>
      </c>
    </row>
    <row r="1099" customFormat="false" ht="15" hidden="false" customHeight="true" outlineLevel="0" collapsed="false">
      <c r="A1099" s="42"/>
      <c r="B1099" s="42"/>
      <c r="C1099" s="42"/>
      <c r="D1099" s="42"/>
      <c r="E1099" s="42"/>
      <c r="F1099" s="51" t="n">
        <f aca="false">IF(OR(C1099="",D1099="",E1099="",E1099=0),0,C1099*D1099/E1099)</f>
        <v>0</v>
      </c>
      <c r="G1099" s="42"/>
      <c r="H1099" s="49" t="n">
        <f aca="true">IF(OR($A1099="",_xlfn.MINIFS($B$3:$B$5000,$A$3:$A$5000,$A1099,$B$3:$B$5000,"&gt;"&amp;$B1099)=0),NOW(),_xlfn.MINIFS($B$3:$B$5000,$A$3:$A$5000,$A1099,$B$3:$B$5000,"&gt;"&amp;$B1099))</f>
        <v>46279.598764331</v>
      </c>
    </row>
    <row r="1100" customFormat="false" ht="15" hidden="false" customHeight="true" outlineLevel="0" collapsed="false">
      <c r="A1100" s="42"/>
      <c r="B1100" s="42"/>
      <c r="C1100" s="42"/>
      <c r="D1100" s="42"/>
      <c r="E1100" s="42"/>
      <c r="F1100" s="51" t="n">
        <f aca="false">IF(OR(C1100="",D1100="",E1100="",E1100=0),0,C1100*D1100/E1100)</f>
        <v>0</v>
      </c>
      <c r="G1100" s="42"/>
      <c r="H1100" s="49" t="n">
        <f aca="true">IF(OR($A1100="",_xlfn.MINIFS($B$3:$B$5000,$A$3:$A$5000,$A1100,$B$3:$B$5000,"&gt;"&amp;$B1100)=0),NOW(),_xlfn.MINIFS($B$3:$B$5000,$A$3:$A$5000,$A1100,$B$3:$B$5000,"&gt;"&amp;$B1100))</f>
        <v>46279.598764331</v>
      </c>
    </row>
    <row r="1101" customFormat="false" ht="15" hidden="false" customHeight="true" outlineLevel="0" collapsed="false">
      <c r="A1101" s="42"/>
      <c r="B1101" s="42"/>
      <c r="C1101" s="42"/>
      <c r="D1101" s="42"/>
      <c r="E1101" s="42"/>
      <c r="F1101" s="51" t="n">
        <f aca="false">IF(OR(C1101="",D1101="",E1101="",E1101=0),0,C1101*D1101/E1101)</f>
        <v>0</v>
      </c>
      <c r="G1101" s="42"/>
      <c r="H1101" s="49" t="n">
        <f aca="true">IF(OR($A1101="",_xlfn.MINIFS($B$3:$B$5000,$A$3:$A$5000,$A1101,$B$3:$B$5000,"&gt;"&amp;$B1101)=0),NOW(),_xlfn.MINIFS($B$3:$B$5000,$A$3:$A$5000,$A1101,$B$3:$B$5000,"&gt;"&amp;$B1101))</f>
        <v>46279.5987643311</v>
      </c>
    </row>
    <row r="1102" customFormat="false" ht="15" hidden="false" customHeight="true" outlineLevel="0" collapsed="false">
      <c r="A1102" s="42"/>
      <c r="B1102" s="42"/>
      <c r="C1102" s="42"/>
      <c r="D1102" s="42"/>
      <c r="E1102" s="42"/>
      <c r="F1102" s="51" t="n">
        <f aca="false">IF(OR(C1102="",D1102="",E1102="",E1102=0),0,C1102*D1102/E1102)</f>
        <v>0</v>
      </c>
      <c r="G1102" s="42"/>
      <c r="H1102" s="49" t="n">
        <f aca="true">IF(OR($A1102="",_xlfn.MINIFS($B$3:$B$5000,$A$3:$A$5000,$A1102,$B$3:$B$5000,"&gt;"&amp;$B1102)=0),NOW(),_xlfn.MINIFS($B$3:$B$5000,$A$3:$A$5000,$A1102,$B$3:$B$5000,"&gt;"&amp;$B1102))</f>
        <v>46279.5987643311</v>
      </c>
    </row>
    <row r="1103" customFormat="false" ht="15" hidden="false" customHeight="true" outlineLevel="0" collapsed="false">
      <c r="A1103" s="42"/>
      <c r="B1103" s="42"/>
      <c r="C1103" s="42"/>
      <c r="D1103" s="42"/>
      <c r="E1103" s="42"/>
      <c r="F1103" s="51" t="n">
        <f aca="false">IF(OR(C1103="",D1103="",E1103="",E1103=0),0,C1103*D1103/E1103)</f>
        <v>0</v>
      </c>
      <c r="G1103" s="42"/>
      <c r="H1103" s="49" t="n">
        <f aca="true">IF(OR($A1103="",_xlfn.MINIFS($B$3:$B$5000,$A$3:$A$5000,$A1103,$B$3:$B$5000,"&gt;"&amp;$B1103)=0),NOW(),_xlfn.MINIFS($B$3:$B$5000,$A$3:$A$5000,$A1103,$B$3:$B$5000,"&gt;"&amp;$B1103))</f>
        <v>46279.5987643312</v>
      </c>
    </row>
    <row r="1104" customFormat="false" ht="15" hidden="false" customHeight="true" outlineLevel="0" collapsed="false">
      <c r="A1104" s="42"/>
      <c r="B1104" s="42"/>
      <c r="C1104" s="42"/>
      <c r="D1104" s="42"/>
      <c r="E1104" s="42"/>
      <c r="F1104" s="51" t="n">
        <f aca="false">IF(OR(C1104="",D1104="",E1104="",E1104=0),0,C1104*D1104/E1104)</f>
        <v>0</v>
      </c>
      <c r="G1104" s="42"/>
      <c r="H1104" s="49" t="n">
        <f aca="true">IF(OR($A1104="",_xlfn.MINIFS($B$3:$B$5000,$A$3:$A$5000,$A1104,$B$3:$B$5000,"&gt;"&amp;$B1104)=0),NOW(),_xlfn.MINIFS($B$3:$B$5000,$A$3:$A$5000,$A1104,$B$3:$B$5000,"&gt;"&amp;$B1104))</f>
        <v>46279.5987643312</v>
      </c>
    </row>
    <row r="1105" customFormat="false" ht="15" hidden="false" customHeight="true" outlineLevel="0" collapsed="false">
      <c r="A1105" s="42"/>
      <c r="B1105" s="42"/>
      <c r="C1105" s="42"/>
      <c r="D1105" s="42"/>
      <c r="E1105" s="42"/>
      <c r="F1105" s="51" t="n">
        <f aca="false">IF(OR(C1105="",D1105="",E1105="",E1105=0),0,C1105*D1105/E1105)</f>
        <v>0</v>
      </c>
      <c r="G1105" s="42"/>
      <c r="H1105" s="49" t="n">
        <f aca="true">IF(OR($A1105="",_xlfn.MINIFS($B$3:$B$5000,$A$3:$A$5000,$A1105,$B$3:$B$5000,"&gt;"&amp;$B1105)=0),NOW(),_xlfn.MINIFS($B$3:$B$5000,$A$3:$A$5000,$A1105,$B$3:$B$5000,"&gt;"&amp;$B1105))</f>
        <v>46279.5987643313</v>
      </c>
    </row>
    <row r="1106" customFormat="false" ht="15" hidden="false" customHeight="true" outlineLevel="0" collapsed="false">
      <c r="A1106" s="42"/>
      <c r="B1106" s="42"/>
      <c r="C1106" s="42"/>
      <c r="D1106" s="42"/>
      <c r="E1106" s="42"/>
      <c r="F1106" s="51" t="n">
        <f aca="false">IF(OR(C1106="",D1106="",E1106="",E1106=0),0,C1106*D1106/E1106)</f>
        <v>0</v>
      </c>
      <c r="G1106" s="42"/>
      <c r="H1106" s="49" t="n">
        <f aca="true">IF(OR($A1106="",_xlfn.MINIFS($B$3:$B$5000,$A$3:$A$5000,$A1106,$B$3:$B$5000,"&gt;"&amp;$B1106)=0),NOW(),_xlfn.MINIFS($B$3:$B$5000,$A$3:$A$5000,$A1106,$B$3:$B$5000,"&gt;"&amp;$B1106))</f>
        <v>46279.5987643313</v>
      </c>
    </row>
    <row r="1107" customFormat="false" ht="15" hidden="false" customHeight="true" outlineLevel="0" collapsed="false">
      <c r="A1107" s="42"/>
      <c r="B1107" s="42"/>
      <c r="C1107" s="42"/>
      <c r="D1107" s="42"/>
      <c r="E1107" s="42"/>
      <c r="F1107" s="51" t="n">
        <f aca="false">IF(OR(C1107="",D1107="",E1107="",E1107=0),0,C1107*D1107/E1107)</f>
        <v>0</v>
      </c>
      <c r="G1107" s="42"/>
      <c r="H1107" s="49" t="n">
        <f aca="true">IF(OR($A1107="",_xlfn.MINIFS($B$3:$B$5000,$A$3:$A$5000,$A1107,$B$3:$B$5000,"&gt;"&amp;$B1107)=0),NOW(),_xlfn.MINIFS($B$3:$B$5000,$A$3:$A$5000,$A1107,$B$3:$B$5000,"&gt;"&amp;$B1107))</f>
        <v>46279.5987643314</v>
      </c>
    </row>
    <row r="1108" customFormat="false" ht="15" hidden="false" customHeight="true" outlineLevel="0" collapsed="false">
      <c r="A1108" s="42"/>
      <c r="B1108" s="42"/>
      <c r="C1108" s="42"/>
      <c r="D1108" s="42"/>
      <c r="E1108" s="42"/>
      <c r="F1108" s="51" t="n">
        <f aca="false">IF(OR(C1108="",D1108="",E1108="",E1108=0),0,C1108*D1108/E1108)</f>
        <v>0</v>
      </c>
      <c r="G1108" s="42"/>
      <c r="H1108" s="49" t="n">
        <f aca="true">IF(OR($A1108="",_xlfn.MINIFS($B$3:$B$5000,$A$3:$A$5000,$A1108,$B$3:$B$5000,"&gt;"&amp;$B1108)=0),NOW(),_xlfn.MINIFS($B$3:$B$5000,$A$3:$A$5000,$A1108,$B$3:$B$5000,"&gt;"&amp;$B1108))</f>
        <v>46279.5987643314</v>
      </c>
    </row>
    <row r="1109" customFormat="false" ht="15" hidden="false" customHeight="true" outlineLevel="0" collapsed="false">
      <c r="A1109" s="42"/>
      <c r="B1109" s="42"/>
      <c r="C1109" s="42"/>
      <c r="D1109" s="42"/>
      <c r="E1109" s="42"/>
      <c r="F1109" s="51" t="n">
        <f aca="false">IF(OR(C1109="",D1109="",E1109="",E1109=0),0,C1109*D1109/E1109)</f>
        <v>0</v>
      </c>
      <c r="G1109" s="42"/>
      <c r="H1109" s="49" t="n">
        <f aca="true">IF(OR($A1109="",_xlfn.MINIFS($B$3:$B$5000,$A$3:$A$5000,$A1109,$B$3:$B$5000,"&gt;"&amp;$B1109)=0),NOW(),_xlfn.MINIFS($B$3:$B$5000,$A$3:$A$5000,$A1109,$B$3:$B$5000,"&gt;"&amp;$B1109))</f>
        <v>46279.5987643315</v>
      </c>
    </row>
    <row r="1110" customFormat="false" ht="15" hidden="false" customHeight="true" outlineLevel="0" collapsed="false">
      <c r="A1110" s="42"/>
      <c r="B1110" s="42"/>
      <c r="C1110" s="42"/>
      <c r="D1110" s="42"/>
      <c r="E1110" s="42"/>
      <c r="F1110" s="51" t="n">
        <f aca="false">IF(OR(C1110="",D1110="",E1110="",E1110=0),0,C1110*D1110/E1110)</f>
        <v>0</v>
      </c>
      <c r="G1110" s="42"/>
      <c r="H1110" s="49" t="n">
        <f aca="true">IF(OR($A1110="",_xlfn.MINIFS($B$3:$B$5000,$A$3:$A$5000,$A1110,$B$3:$B$5000,"&gt;"&amp;$B1110)=0),NOW(),_xlfn.MINIFS($B$3:$B$5000,$A$3:$A$5000,$A1110,$B$3:$B$5000,"&gt;"&amp;$B1110))</f>
        <v>46279.5987643315</v>
      </c>
    </row>
    <row r="1111" customFormat="false" ht="15" hidden="false" customHeight="true" outlineLevel="0" collapsed="false">
      <c r="A1111" s="42"/>
      <c r="B1111" s="42"/>
      <c r="C1111" s="42"/>
      <c r="D1111" s="42"/>
      <c r="E1111" s="42"/>
      <c r="F1111" s="51" t="n">
        <f aca="false">IF(OR(C1111="",D1111="",E1111="",E1111=0),0,C1111*D1111/E1111)</f>
        <v>0</v>
      </c>
      <c r="G1111" s="42"/>
      <c r="H1111" s="49" t="n">
        <f aca="true">IF(OR($A1111="",_xlfn.MINIFS($B$3:$B$5000,$A$3:$A$5000,$A1111,$B$3:$B$5000,"&gt;"&amp;$B1111)=0),NOW(),_xlfn.MINIFS($B$3:$B$5000,$A$3:$A$5000,$A1111,$B$3:$B$5000,"&gt;"&amp;$B1111))</f>
        <v>46279.5987643316</v>
      </c>
    </row>
    <row r="1112" customFormat="false" ht="15" hidden="false" customHeight="true" outlineLevel="0" collapsed="false">
      <c r="A1112" s="42"/>
      <c r="B1112" s="42"/>
      <c r="C1112" s="42"/>
      <c r="D1112" s="42"/>
      <c r="E1112" s="42"/>
      <c r="F1112" s="51" t="n">
        <f aca="false">IF(OR(C1112="",D1112="",E1112="",E1112=0),0,C1112*D1112/E1112)</f>
        <v>0</v>
      </c>
      <c r="G1112" s="42"/>
      <c r="H1112" s="49" t="n">
        <f aca="true">IF(OR($A1112="",_xlfn.MINIFS($B$3:$B$5000,$A$3:$A$5000,$A1112,$B$3:$B$5000,"&gt;"&amp;$B1112)=0),NOW(),_xlfn.MINIFS($B$3:$B$5000,$A$3:$A$5000,$A1112,$B$3:$B$5000,"&gt;"&amp;$B1112))</f>
        <v>46279.5987643316</v>
      </c>
    </row>
    <row r="1113" customFormat="false" ht="15" hidden="false" customHeight="true" outlineLevel="0" collapsed="false">
      <c r="A1113" s="42"/>
      <c r="B1113" s="42"/>
      <c r="C1113" s="42"/>
      <c r="D1113" s="42"/>
      <c r="E1113" s="42"/>
      <c r="F1113" s="51" t="n">
        <f aca="false">IF(OR(C1113="",D1113="",E1113="",E1113=0),0,C1113*D1113/E1113)</f>
        <v>0</v>
      </c>
      <c r="G1113" s="42"/>
      <c r="H1113" s="49" t="n">
        <f aca="true">IF(OR($A1113="",_xlfn.MINIFS($B$3:$B$5000,$A$3:$A$5000,$A1113,$B$3:$B$5000,"&gt;"&amp;$B1113)=0),NOW(),_xlfn.MINIFS($B$3:$B$5000,$A$3:$A$5000,$A1113,$B$3:$B$5000,"&gt;"&amp;$B1113))</f>
        <v>46279.5987643317</v>
      </c>
    </row>
    <row r="1114" customFormat="false" ht="15" hidden="false" customHeight="true" outlineLevel="0" collapsed="false">
      <c r="A1114" s="42"/>
      <c r="B1114" s="42"/>
      <c r="C1114" s="42"/>
      <c r="D1114" s="42"/>
      <c r="E1114" s="42"/>
      <c r="F1114" s="51" t="n">
        <f aca="false">IF(OR(C1114="",D1114="",E1114="",E1114=0),0,C1114*D1114/E1114)</f>
        <v>0</v>
      </c>
      <c r="G1114" s="42"/>
      <c r="H1114" s="49" t="n">
        <f aca="true">IF(OR($A1114="",_xlfn.MINIFS($B$3:$B$5000,$A$3:$A$5000,$A1114,$B$3:$B$5000,"&gt;"&amp;$B1114)=0),NOW(),_xlfn.MINIFS($B$3:$B$5000,$A$3:$A$5000,$A1114,$B$3:$B$5000,"&gt;"&amp;$B1114))</f>
        <v>46279.5987643317</v>
      </c>
    </row>
    <row r="1115" customFormat="false" ht="15" hidden="false" customHeight="true" outlineLevel="0" collapsed="false">
      <c r="A1115" s="42"/>
      <c r="B1115" s="42"/>
      <c r="C1115" s="42"/>
      <c r="D1115" s="42"/>
      <c r="E1115" s="42"/>
      <c r="F1115" s="51" t="n">
        <f aca="false">IF(OR(C1115="",D1115="",E1115="",E1115=0),0,C1115*D1115/E1115)</f>
        <v>0</v>
      </c>
      <c r="G1115" s="42"/>
      <c r="H1115" s="49" t="n">
        <f aca="true">IF(OR($A1115="",_xlfn.MINIFS($B$3:$B$5000,$A$3:$A$5000,$A1115,$B$3:$B$5000,"&gt;"&amp;$B1115)=0),NOW(),_xlfn.MINIFS($B$3:$B$5000,$A$3:$A$5000,$A1115,$B$3:$B$5000,"&gt;"&amp;$B1115))</f>
        <v>46279.5987643318</v>
      </c>
    </row>
    <row r="1116" customFormat="false" ht="15" hidden="false" customHeight="true" outlineLevel="0" collapsed="false">
      <c r="A1116" s="42"/>
      <c r="B1116" s="42"/>
      <c r="C1116" s="42"/>
      <c r="D1116" s="42"/>
      <c r="E1116" s="42"/>
      <c r="F1116" s="51" t="n">
        <f aca="false">IF(OR(C1116="",D1116="",E1116="",E1116=0),0,C1116*D1116/E1116)</f>
        <v>0</v>
      </c>
      <c r="G1116" s="42"/>
      <c r="H1116" s="49" t="n">
        <f aca="true">IF(OR($A1116="",_xlfn.MINIFS($B$3:$B$5000,$A$3:$A$5000,$A1116,$B$3:$B$5000,"&gt;"&amp;$B1116)=0),NOW(),_xlfn.MINIFS($B$3:$B$5000,$A$3:$A$5000,$A1116,$B$3:$B$5000,"&gt;"&amp;$B1116))</f>
        <v>46279.5987643318</v>
      </c>
    </row>
    <row r="1117" customFormat="false" ht="15" hidden="false" customHeight="true" outlineLevel="0" collapsed="false">
      <c r="A1117" s="42"/>
      <c r="B1117" s="42"/>
      <c r="C1117" s="42"/>
      <c r="D1117" s="42"/>
      <c r="E1117" s="42"/>
      <c r="F1117" s="51" t="n">
        <f aca="false">IF(OR(C1117="",D1117="",E1117="",E1117=0),0,C1117*D1117/E1117)</f>
        <v>0</v>
      </c>
      <c r="G1117" s="42"/>
      <c r="H1117" s="49" t="n">
        <f aca="true">IF(OR($A1117="",_xlfn.MINIFS($B$3:$B$5000,$A$3:$A$5000,$A1117,$B$3:$B$5000,"&gt;"&amp;$B1117)=0),NOW(),_xlfn.MINIFS($B$3:$B$5000,$A$3:$A$5000,$A1117,$B$3:$B$5000,"&gt;"&amp;$B1117))</f>
        <v>46279.5987643319</v>
      </c>
    </row>
    <row r="1118" customFormat="false" ht="15" hidden="false" customHeight="true" outlineLevel="0" collapsed="false">
      <c r="A1118" s="42"/>
      <c r="B1118" s="42"/>
      <c r="C1118" s="42"/>
      <c r="D1118" s="42"/>
      <c r="E1118" s="42"/>
      <c r="F1118" s="51" t="n">
        <f aca="false">IF(OR(C1118="",D1118="",E1118="",E1118=0),0,C1118*D1118/E1118)</f>
        <v>0</v>
      </c>
      <c r="G1118" s="42"/>
      <c r="H1118" s="49" t="n">
        <f aca="true">IF(OR($A1118="",_xlfn.MINIFS($B$3:$B$5000,$A$3:$A$5000,$A1118,$B$3:$B$5000,"&gt;"&amp;$B1118)=0),NOW(),_xlfn.MINIFS($B$3:$B$5000,$A$3:$A$5000,$A1118,$B$3:$B$5000,"&gt;"&amp;$B1118))</f>
        <v>46279.5987643319</v>
      </c>
    </row>
    <row r="1119" customFormat="false" ht="15" hidden="false" customHeight="true" outlineLevel="0" collapsed="false">
      <c r="A1119" s="42"/>
      <c r="B1119" s="42"/>
      <c r="C1119" s="42"/>
      <c r="D1119" s="42"/>
      <c r="E1119" s="42"/>
      <c r="F1119" s="51" t="n">
        <f aca="false">IF(OR(C1119="",D1119="",E1119="",E1119=0),0,C1119*D1119/E1119)</f>
        <v>0</v>
      </c>
      <c r="G1119" s="42"/>
      <c r="H1119" s="49" t="n">
        <f aca="true">IF(OR($A1119="",_xlfn.MINIFS($B$3:$B$5000,$A$3:$A$5000,$A1119,$B$3:$B$5000,"&gt;"&amp;$B1119)=0),NOW(),_xlfn.MINIFS($B$3:$B$5000,$A$3:$A$5000,$A1119,$B$3:$B$5000,"&gt;"&amp;$B1119))</f>
        <v>46279.598764332</v>
      </c>
    </row>
    <row r="1120" customFormat="false" ht="15" hidden="false" customHeight="true" outlineLevel="0" collapsed="false">
      <c r="A1120" s="42"/>
      <c r="B1120" s="42"/>
      <c r="C1120" s="42"/>
      <c r="D1120" s="42"/>
      <c r="E1120" s="42"/>
      <c r="F1120" s="51" t="n">
        <f aca="false">IF(OR(C1120="",D1120="",E1120="",E1120=0),0,C1120*D1120/E1120)</f>
        <v>0</v>
      </c>
      <c r="G1120" s="42"/>
      <c r="H1120" s="49" t="n">
        <f aca="true">IF(OR($A1120="",_xlfn.MINIFS($B$3:$B$5000,$A$3:$A$5000,$A1120,$B$3:$B$5000,"&gt;"&amp;$B1120)=0),NOW(),_xlfn.MINIFS($B$3:$B$5000,$A$3:$A$5000,$A1120,$B$3:$B$5000,"&gt;"&amp;$B1120))</f>
        <v>46279.598764332</v>
      </c>
    </row>
    <row r="1121" customFormat="false" ht="15" hidden="false" customHeight="true" outlineLevel="0" collapsed="false">
      <c r="A1121" s="42"/>
      <c r="B1121" s="42"/>
      <c r="C1121" s="42"/>
      <c r="D1121" s="42"/>
      <c r="E1121" s="42"/>
      <c r="F1121" s="51" t="n">
        <f aca="false">IF(OR(C1121="",D1121="",E1121="",E1121=0),0,C1121*D1121/E1121)</f>
        <v>0</v>
      </c>
      <c r="G1121" s="42"/>
      <c r="H1121" s="49" t="n">
        <f aca="true">IF(OR($A1121="",_xlfn.MINIFS($B$3:$B$5000,$A$3:$A$5000,$A1121,$B$3:$B$5000,"&gt;"&amp;$B1121)=0),NOW(),_xlfn.MINIFS($B$3:$B$5000,$A$3:$A$5000,$A1121,$B$3:$B$5000,"&gt;"&amp;$B1121))</f>
        <v>46279.5987643321</v>
      </c>
    </row>
    <row r="1122" customFormat="false" ht="15" hidden="false" customHeight="true" outlineLevel="0" collapsed="false">
      <c r="A1122" s="42"/>
      <c r="B1122" s="42"/>
      <c r="C1122" s="42"/>
      <c r="D1122" s="42"/>
      <c r="E1122" s="42"/>
      <c r="F1122" s="51" t="n">
        <f aca="false">IF(OR(C1122="",D1122="",E1122="",E1122=0),0,C1122*D1122/E1122)</f>
        <v>0</v>
      </c>
      <c r="G1122" s="42"/>
      <c r="H1122" s="49" t="n">
        <f aca="true">IF(OR($A1122="",_xlfn.MINIFS($B$3:$B$5000,$A$3:$A$5000,$A1122,$B$3:$B$5000,"&gt;"&amp;$B1122)=0),NOW(),_xlfn.MINIFS($B$3:$B$5000,$A$3:$A$5000,$A1122,$B$3:$B$5000,"&gt;"&amp;$B1122))</f>
        <v>46279.5987643321</v>
      </c>
    </row>
    <row r="1123" customFormat="false" ht="15" hidden="false" customHeight="true" outlineLevel="0" collapsed="false">
      <c r="A1123" s="42"/>
      <c r="B1123" s="42"/>
      <c r="C1123" s="42"/>
      <c r="D1123" s="42"/>
      <c r="E1123" s="42"/>
      <c r="F1123" s="51" t="n">
        <f aca="false">IF(OR(C1123="",D1123="",E1123="",E1123=0),0,C1123*D1123/E1123)</f>
        <v>0</v>
      </c>
      <c r="G1123" s="42"/>
      <c r="H1123" s="49" t="n">
        <f aca="true">IF(OR($A1123="",_xlfn.MINIFS($B$3:$B$5000,$A$3:$A$5000,$A1123,$B$3:$B$5000,"&gt;"&amp;$B1123)=0),NOW(),_xlfn.MINIFS($B$3:$B$5000,$A$3:$A$5000,$A1123,$B$3:$B$5000,"&gt;"&amp;$B1123))</f>
        <v>46279.5987643322</v>
      </c>
    </row>
    <row r="1124" customFormat="false" ht="15" hidden="false" customHeight="true" outlineLevel="0" collapsed="false">
      <c r="A1124" s="42"/>
      <c r="B1124" s="42"/>
      <c r="C1124" s="42"/>
      <c r="D1124" s="42"/>
      <c r="E1124" s="42"/>
      <c r="F1124" s="51" t="n">
        <f aca="false">IF(OR(C1124="",D1124="",E1124="",E1124=0),0,C1124*D1124/E1124)</f>
        <v>0</v>
      </c>
      <c r="G1124" s="42"/>
      <c r="H1124" s="49" t="n">
        <f aca="true">IF(OR($A1124="",_xlfn.MINIFS($B$3:$B$5000,$A$3:$A$5000,$A1124,$B$3:$B$5000,"&gt;"&amp;$B1124)=0),NOW(),_xlfn.MINIFS($B$3:$B$5000,$A$3:$A$5000,$A1124,$B$3:$B$5000,"&gt;"&amp;$B1124))</f>
        <v>46279.5987643322</v>
      </c>
    </row>
    <row r="1125" customFormat="false" ht="15" hidden="false" customHeight="true" outlineLevel="0" collapsed="false">
      <c r="A1125" s="42"/>
      <c r="B1125" s="42"/>
      <c r="C1125" s="42"/>
      <c r="D1125" s="42"/>
      <c r="E1125" s="42"/>
      <c r="F1125" s="51" t="n">
        <f aca="false">IF(OR(C1125="",D1125="",E1125="",E1125=0),0,C1125*D1125/E1125)</f>
        <v>0</v>
      </c>
      <c r="G1125" s="42"/>
      <c r="H1125" s="49" t="n">
        <f aca="true">IF(OR($A1125="",_xlfn.MINIFS($B$3:$B$5000,$A$3:$A$5000,$A1125,$B$3:$B$5000,"&gt;"&amp;$B1125)=0),NOW(),_xlfn.MINIFS($B$3:$B$5000,$A$3:$A$5000,$A1125,$B$3:$B$5000,"&gt;"&amp;$B1125))</f>
        <v>46279.5987643323</v>
      </c>
    </row>
    <row r="1126" customFormat="false" ht="15" hidden="false" customHeight="true" outlineLevel="0" collapsed="false">
      <c r="A1126" s="42"/>
      <c r="B1126" s="42"/>
      <c r="C1126" s="42"/>
      <c r="D1126" s="42"/>
      <c r="E1126" s="42"/>
      <c r="F1126" s="51" t="n">
        <f aca="false">IF(OR(C1126="",D1126="",E1126="",E1126=0),0,C1126*D1126/E1126)</f>
        <v>0</v>
      </c>
      <c r="G1126" s="42"/>
      <c r="H1126" s="49" t="n">
        <f aca="true">IF(OR($A1126="",_xlfn.MINIFS($B$3:$B$5000,$A$3:$A$5000,$A1126,$B$3:$B$5000,"&gt;"&amp;$B1126)=0),NOW(),_xlfn.MINIFS($B$3:$B$5000,$A$3:$A$5000,$A1126,$B$3:$B$5000,"&gt;"&amp;$B1126))</f>
        <v>46279.5987643323</v>
      </c>
    </row>
    <row r="1127" customFormat="false" ht="15" hidden="false" customHeight="true" outlineLevel="0" collapsed="false">
      <c r="A1127" s="42"/>
      <c r="B1127" s="42"/>
      <c r="C1127" s="42"/>
      <c r="D1127" s="42"/>
      <c r="E1127" s="42"/>
      <c r="F1127" s="51" t="n">
        <f aca="false">IF(OR(C1127="",D1127="",E1127="",E1127=0),0,C1127*D1127/E1127)</f>
        <v>0</v>
      </c>
      <c r="G1127" s="42"/>
      <c r="H1127" s="49" t="n">
        <f aca="true">IF(OR($A1127="",_xlfn.MINIFS($B$3:$B$5000,$A$3:$A$5000,$A1127,$B$3:$B$5000,"&gt;"&amp;$B1127)=0),NOW(),_xlfn.MINIFS($B$3:$B$5000,$A$3:$A$5000,$A1127,$B$3:$B$5000,"&gt;"&amp;$B1127))</f>
        <v>46279.5987643324</v>
      </c>
    </row>
    <row r="1128" customFormat="false" ht="15" hidden="false" customHeight="true" outlineLevel="0" collapsed="false">
      <c r="A1128" s="42"/>
      <c r="B1128" s="42"/>
      <c r="C1128" s="42"/>
      <c r="D1128" s="42"/>
      <c r="E1128" s="42"/>
      <c r="F1128" s="51" t="n">
        <f aca="false">IF(OR(C1128="",D1128="",E1128="",E1128=0),0,C1128*D1128/E1128)</f>
        <v>0</v>
      </c>
      <c r="G1128" s="42"/>
      <c r="H1128" s="49" t="n">
        <f aca="true">IF(OR($A1128="",_xlfn.MINIFS($B$3:$B$5000,$A$3:$A$5000,$A1128,$B$3:$B$5000,"&gt;"&amp;$B1128)=0),NOW(),_xlfn.MINIFS($B$3:$B$5000,$A$3:$A$5000,$A1128,$B$3:$B$5000,"&gt;"&amp;$B1128))</f>
        <v>46279.5987643324</v>
      </c>
    </row>
    <row r="1129" customFormat="false" ht="15" hidden="false" customHeight="true" outlineLevel="0" collapsed="false">
      <c r="A1129" s="42"/>
      <c r="B1129" s="42"/>
      <c r="C1129" s="42"/>
      <c r="D1129" s="42"/>
      <c r="E1129" s="42"/>
      <c r="F1129" s="51" t="n">
        <f aca="false">IF(OR(C1129="",D1129="",E1129="",E1129=0),0,C1129*D1129/E1129)</f>
        <v>0</v>
      </c>
      <c r="G1129" s="42"/>
      <c r="H1129" s="49" t="n">
        <f aca="true">IF(OR($A1129="",_xlfn.MINIFS($B$3:$B$5000,$A$3:$A$5000,$A1129,$B$3:$B$5000,"&gt;"&amp;$B1129)=0),NOW(),_xlfn.MINIFS($B$3:$B$5000,$A$3:$A$5000,$A1129,$B$3:$B$5000,"&gt;"&amp;$B1129))</f>
        <v>46279.5987643325</v>
      </c>
    </row>
    <row r="1130" customFormat="false" ht="15" hidden="false" customHeight="true" outlineLevel="0" collapsed="false">
      <c r="A1130" s="42"/>
      <c r="B1130" s="42"/>
      <c r="C1130" s="42"/>
      <c r="D1130" s="42"/>
      <c r="E1130" s="42"/>
      <c r="F1130" s="51" t="n">
        <f aca="false">IF(OR(C1130="",D1130="",E1130="",E1130=0),0,C1130*D1130/E1130)</f>
        <v>0</v>
      </c>
      <c r="G1130" s="42"/>
      <c r="H1130" s="49" t="n">
        <f aca="true">IF(OR($A1130="",_xlfn.MINIFS($B$3:$B$5000,$A$3:$A$5000,$A1130,$B$3:$B$5000,"&gt;"&amp;$B1130)=0),NOW(),_xlfn.MINIFS($B$3:$B$5000,$A$3:$A$5000,$A1130,$B$3:$B$5000,"&gt;"&amp;$B1130))</f>
        <v>46279.5987643325</v>
      </c>
    </row>
    <row r="1131" customFormat="false" ht="15" hidden="false" customHeight="true" outlineLevel="0" collapsed="false">
      <c r="A1131" s="42"/>
      <c r="B1131" s="42"/>
      <c r="C1131" s="42"/>
      <c r="D1131" s="42"/>
      <c r="E1131" s="42"/>
      <c r="F1131" s="51" t="n">
        <f aca="false">IF(OR(C1131="",D1131="",E1131="",E1131=0),0,C1131*D1131/E1131)</f>
        <v>0</v>
      </c>
      <c r="G1131" s="42"/>
      <c r="H1131" s="49" t="n">
        <f aca="true">IF(OR($A1131="",_xlfn.MINIFS($B$3:$B$5000,$A$3:$A$5000,$A1131,$B$3:$B$5000,"&gt;"&amp;$B1131)=0),NOW(),_xlfn.MINIFS($B$3:$B$5000,$A$3:$A$5000,$A1131,$B$3:$B$5000,"&gt;"&amp;$B1131))</f>
        <v>46279.5987643326</v>
      </c>
    </row>
    <row r="1132" customFormat="false" ht="15" hidden="false" customHeight="true" outlineLevel="0" collapsed="false">
      <c r="A1132" s="42"/>
      <c r="B1132" s="42"/>
      <c r="C1132" s="42"/>
      <c r="D1132" s="42"/>
      <c r="E1132" s="42"/>
      <c r="F1132" s="51" t="n">
        <f aca="false">IF(OR(C1132="",D1132="",E1132="",E1132=0),0,C1132*D1132/E1132)</f>
        <v>0</v>
      </c>
      <c r="G1132" s="42"/>
      <c r="H1132" s="49" t="n">
        <f aca="true">IF(OR($A1132="",_xlfn.MINIFS($B$3:$B$5000,$A$3:$A$5000,$A1132,$B$3:$B$5000,"&gt;"&amp;$B1132)=0),NOW(),_xlfn.MINIFS($B$3:$B$5000,$A$3:$A$5000,$A1132,$B$3:$B$5000,"&gt;"&amp;$B1132))</f>
        <v>46279.5987643326</v>
      </c>
    </row>
    <row r="1133" customFormat="false" ht="15" hidden="false" customHeight="true" outlineLevel="0" collapsed="false">
      <c r="A1133" s="42"/>
      <c r="B1133" s="42"/>
      <c r="C1133" s="42"/>
      <c r="D1133" s="42"/>
      <c r="E1133" s="42"/>
      <c r="F1133" s="51" t="n">
        <f aca="false">IF(OR(C1133="",D1133="",E1133="",E1133=0),0,C1133*D1133/E1133)</f>
        <v>0</v>
      </c>
      <c r="G1133" s="42"/>
      <c r="H1133" s="49" t="n">
        <f aca="true">IF(OR($A1133="",_xlfn.MINIFS($B$3:$B$5000,$A$3:$A$5000,$A1133,$B$3:$B$5000,"&gt;"&amp;$B1133)=0),NOW(),_xlfn.MINIFS($B$3:$B$5000,$A$3:$A$5000,$A1133,$B$3:$B$5000,"&gt;"&amp;$B1133))</f>
        <v>46279.5987643327</v>
      </c>
    </row>
    <row r="1134" customFormat="false" ht="15" hidden="false" customHeight="true" outlineLevel="0" collapsed="false">
      <c r="A1134" s="42"/>
      <c r="B1134" s="42"/>
      <c r="C1134" s="42"/>
      <c r="D1134" s="42"/>
      <c r="E1134" s="42"/>
      <c r="F1134" s="51" t="n">
        <f aca="false">IF(OR(C1134="",D1134="",E1134="",E1134=0),0,C1134*D1134/E1134)</f>
        <v>0</v>
      </c>
      <c r="G1134" s="42"/>
      <c r="H1134" s="49" t="n">
        <f aca="true">IF(OR($A1134="",_xlfn.MINIFS($B$3:$B$5000,$A$3:$A$5000,$A1134,$B$3:$B$5000,"&gt;"&amp;$B1134)=0),NOW(),_xlfn.MINIFS($B$3:$B$5000,$A$3:$A$5000,$A1134,$B$3:$B$5000,"&gt;"&amp;$B1134))</f>
        <v>46279.5987643327</v>
      </c>
    </row>
    <row r="1135" customFormat="false" ht="15" hidden="false" customHeight="true" outlineLevel="0" collapsed="false">
      <c r="A1135" s="42"/>
      <c r="B1135" s="42"/>
      <c r="C1135" s="42"/>
      <c r="D1135" s="42"/>
      <c r="E1135" s="42"/>
      <c r="F1135" s="51" t="n">
        <f aca="false">IF(OR(C1135="",D1135="",E1135="",E1135=0),0,C1135*D1135/E1135)</f>
        <v>0</v>
      </c>
      <c r="G1135" s="42"/>
      <c r="H1135" s="49" t="n">
        <f aca="true">IF(OR($A1135="",_xlfn.MINIFS($B$3:$B$5000,$A$3:$A$5000,$A1135,$B$3:$B$5000,"&gt;"&amp;$B1135)=0),NOW(),_xlfn.MINIFS($B$3:$B$5000,$A$3:$A$5000,$A1135,$B$3:$B$5000,"&gt;"&amp;$B1135))</f>
        <v>46279.5987643328</v>
      </c>
    </row>
    <row r="1136" customFormat="false" ht="15" hidden="false" customHeight="true" outlineLevel="0" collapsed="false">
      <c r="A1136" s="42"/>
      <c r="B1136" s="42"/>
      <c r="C1136" s="42"/>
      <c r="D1136" s="42"/>
      <c r="E1136" s="42"/>
      <c r="F1136" s="51" t="n">
        <f aca="false">IF(OR(C1136="",D1136="",E1136="",E1136=0),0,C1136*D1136/E1136)</f>
        <v>0</v>
      </c>
      <c r="G1136" s="42"/>
      <c r="H1136" s="49" t="n">
        <f aca="true">IF(OR($A1136="",_xlfn.MINIFS($B$3:$B$5000,$A$3:$A$5000,$A1136,$B$3:$B$5000,"&gt;"&amp;$B1136)=0),NOW(),_xlfn.MINIFS($B$3:$B$5000,$A$3:$A$5000,$A1136,$B$3:$B$5000,"&gt;"&amp;$B1136))</f>
        <v>46279.5987643328</v>
      </c>
    </row>
    <row r="1137" customFormat="false" ht="15" hidden="false" customHeight="true" outlineLevel="0" collapsed="false">
      <c r="A1137" s="42"/>
      <c r="B1137" s="42"/>
      <c r="C1137" s="42"/>
      <c r="D1137" s="42"/>
      <c r="E1137" s="42"/>
      <c r="F1137" s="51" t="n">
        <f aca="false">IF(OR(C1137="",D1137="",E1137="",E1137=0),0,C1137*D1137/E1137)</f>
        <v>0</v>
      </c>
      <c r="G1137" s="42"/>
      <c r="H1137" s="49" t="n">
        <f aca="true">IF(OR($A1137="",_xlfn.MINIFS($B$3:$B$5000,$A$3:$A$5000,$A1137,$B$3:$B$5000,"&gt;"&amp;$B1137)=0),NOW(),_xlfn.MINIFS($B$3:$B$5000,$A$3:$A$5000,$A1137,$B$3:$B$5000,"&gt;"&amp;$B1137))</f>
        <v>46279.5987643329</v>
      </c>
    </row>
    <row r="1138" customFormat="false" ht="15" hidden="false" customHeight="true" outlineLevel="0" collapsed="false">
      <c r="A1138" s="42"/>
      <c r="B1138" s="42"/>
      <c r="C1138" s="42"/>
      <c r="D1138" s="42"/>
      <c r="E1138" s="42"/>
      <c r="F1138" s="51" t="n">
        <f aca="false">IF(OR(C1138="",D1138="",E1138="",E1138=0),0,C1138*D1138/E1138)</f>
        <v>0</v>
      </c>
      <c r="G1138" s="42"/>
      <c r="H1138" s="49" t="n">
        <f aca="true">IF(OR($A1138="",_xlfn.MINIFS($B$3:$B$5000,$A$3:$A$5000,$A1138,$B$3:$B$5000,"&gt;"&amp;$B1138)=0),NOW(),_xlfn.MINIFS($B$3:$B$5000,$A$3:$A$5000,$A1138,$B$3:$B$5000,"&gt;"&amp;$B1138))</f>
        <v>46279.5987643329</v>
      </c>
    </row>
    <row r="1139" customFormat="false" ht="15" hidden="false" customHeight="true" outlineLevel="0" collapsed="false">
      <c r="A1139" s="42"/>
      <c r="B1139" s="42"/>
      <c r="C1139" s="42"/>
      <c r="D1139" s="42"/>
      <c r="E1139" s="42"/>
      <c r="F1139" s="51" t="n">
        <f aca="false">IF(OR(C1139="",D1139="",E1139="",E1139=0),0,C1139*D1139/E1139)</f>
        <v>0</v>
      </c>
      <c r="G1139" s="42"/>
      <c r="H1139" s="49" t="n">
        <f aca="true">IF(OR($A1139="",_xlfn.MINIFS($B$3:$B$5000,$A$3:$A$5000,$A1139,$B$3:$B$5000,"&gt;"&amp;$B1139)=0),NOW(),_xlfn.MINIFS($B$3:$B$5000,$A$3:$A$5000,$A1139,$B$3:$B$5000,"&gt;"&amp;$B1139))</f>
        <v>46279.598764333</v>
      </c>
    </row>
    <row r="1140" customFormat="false" ht="15" hidden="false" customHeight="true" outlineLevel="0" collapsed="false">
      <c r="A1140" s="42"/>
      <c r="B1140" s="42"/>
      <c r="C1140" s="42"/>
      <c r="D1140" s="42"/>
      <c r="E1140" s="42"/>
      <c r="F1140" s="51" t="n">
        <f aca="false">IF(OR(C1140="",D1140="",E1140="",E1140=0),0,C1140*D1140/E1140)</f>
        <v>0</v>
      </c>
      <c r="G1140" s="42"/>
      <c r="H1140" s="49" t="n">
        <f aca="true">IF(OR($A1140="",_xlfn.MINIFS($B$3:$B$5000,$A$3:$A$5000,$A1140,$B$3:$B$5000,"&gt;"&amp;$B1140)=0),NOW(),_xlfn.MINIFS($B$3:$B$5000,$A$3:$A$5000,$A1140,$B$3:$B$5000,"&gt;"&amp;$B1140))</f>
        <v>46279.598764333</v>
      </c>
    </row>
    <row r="1141" customFormat="false" ht="15" hidden="false" customHeight="true" outlineLevel="0" collapsed="false">
      <c r="A1141" s="42"/>
      <c r="B1141" s="42"/>
      <c r="C1141" s="42"/>
      <c r="D1141" s="42"/>
      <c r="E1141" s="42"/>
      <c r="F1141" s="51" t="n">
        <f aca="false">IF(OR(C1141="",D1141="",E1141="",E1141=0),0,C1141*D1141/E1141)</f>
        <v>0</v>
      </c>
      <c r="G1141" s="42"/>
      <c r="H1141" s="49" t="n">
        <f aca="true">IF(OR($A1141="",_xlfn.MINIFS($B$3:$B$5000,$A$3:$A$5000,$A1141,$B$3:$B$5000,"&gt;"&amp;$B1141)=0),NOW(),_xlfn.MINIFS($B$3:$B$5000,$A$3:$A$5000,$A1141,$B$3:$B$5000,"&gt;"&amp;$B1141))</f>
        <v>46279.5987643331</v>
      </c>
    </row>
    <row r="1142" customFormat="false" ht="15" hidden="false" customHeight="true" outlineLevel="0" collapsed="false">
      <c r="A1142" s="42"/>
      <c r="B1142" s="42"/>
      <c r="C1142" s="42"/>
      <c r="D1142" s="42"/>
      <c r="E1142" s="42"/>
      <c r="F1142" s="51" t="n">
        <f aca="false">IF(OR(C1142="",D1142="",E1142="",E1142=0),0,C1142*D1142/E1142)</f>
        <v>0</v>
      </c>
      <c r="G1142" s="42"/>
      <c r="H1142" s="49" t="n">
        <f aca="true">IF(OR($A1142="",_xlfn.MINIFS($B$3:$B$5000,$A$3:$A$5000,$A1142,$B$3:$B$5000,"&gt;"&amp;$B1142)=0),NOW(),_xlfn.MINIFS($B$3:$B$5000,$A$3:$A$5000,$A1142,$B$3:$B$5000,"&gt;"&amp;$B1142))</f>
        <v>46279.5987643331</v>
      </c>
    </row>
    <row r="1143" customFormat="false" ht="15" hidden="false" customHeight="true" outlineLevel="0" collapsed="false">
      <c r="A1143" s="42"/>
      <c r="B1143" s="42"/>
      <c r="C1143" s="42"/>
      <c r="D1143" s="42"/>
      <c r="E1143" s="42"/>
      <c r="F1143" s="51" t="n">
        <f aca="false">IF(OR(C1143="",D1143="",E1143="",E1143=0),0,C1143*D1143/E1143)</f>
        <v>0</v>
      </c>
      <c r="G1143" s="42"/>
      <c r="H1143" s="49" t="n">
        <f aca="true">IF(OR($A1143="",_xlfn.MINIFS($B$3:$B$5000,$A$3:$A$5000,$A1143,$B$3:$B$5000,"&gt;"&amp;$B1143)=0),NOW(),_xlfn.MINIFS($B$3:$B$5000,$A$3:$A$5000,$A1143,$B$3:$B$5000,"&gt;"&amp;$B1143))</f>
        <v>46279.5987643332</v>
      </c>
    </row>
    <row r="1144" customFormat="false" ht="15" hidden="false" customHeight="true" outlineLevel="0" collapsed="false">
      <c r="A1144" s="42"/>
      <c r="B1144" s="42"/>
      <c r="C1144" s="42"/>
      <c r="D1144" s="42"/>
      <c r="E1144" s="42"/>
      <c r="F1144" s="51" t="n">
        <f aca="false">IF(OR(C1144="",D1144="",E1144="",E1144=0),0,C1144*D1144/E1144)</f>
        <v>0</v>
      </c>
      <c r="G1144" s="42"/>
      <c r="H1144" s="49" t="n">
        <f aca="true">IF(OR($A1144="",_xlfn.MINIFS($B$3:$B$5000,$A$3:$A$5000,$A1144,$B$3:$B$5000,"&gt;"&amp;$B1144)=0),NOW(),_xlfn.MINIFS($B$3:$B$5000,$A$3:$A$5000,$A1144,$B$3:$B$5000,"&gt;"&amp;$B1144))</f>
        <v>46279.5987643332</v>
      </c>
    </row>
    <row r="1145" customFormat="false" ht="15" hidden="false" customHeight="true" outlineLevel="0" collapsed="false">
      <c r="A1145" s="42"/>
      <c r="B1145" s="42"/>
      <c r="C1145" s="42"/>
      <c r="D1145" s="42"/>
      <c r="E1145" s="42"/>
      <c r="F1145" s="51" t="n">
        <f aca="false">IF(OR(C1145="",D1145="",E1145="",E1145=0),0,C1145*D1145/E1145)</f>
        <v>0</v>
      </c>
      <c r="G1145" s="42"/>
      <c r="H1145" s="49" t="n">
        <f aca="true">IF(OR($A1145="",_xlfn.MINIFS($B$3:$B$5000,$A$3:$A$5000,$A1145,$B$3:$B$5000,"&gt;"&amp;$B1145)=0),NOW(),_xlfn.MINIFS($B$3:$B$5000,$A$3:$A$5000,$A1145,$B$3:$B$5000,"&gt;"&amp;$B1145))</f>
        <v>46279.5987643333</v>
      </c>
    </row>
    <row r="1146" customFormat="false" ht="15" hidden="false" customHeight="true" outlineLevel="0" collapsed="false">
      <c r="A1146" s="42"/>
      <c r="B1146" s="42"/>
      <c r="C1146" s="42"/>
      <c r="D1146" s="42"/>
      <c r="E1146" s="42"/>
      <c r="F1146" s="51" t="n">
        <f aca="false">IF(OR(C1146="",D1146="",E1146="",E1146=0),0,C1146*D1146/E1146)</f>
        <v>0</v>
      </c>
      <c r="G1146" s="42"/>
      <c r="H1146" s="49" t="n">
        <f aca="true">IF(OR($A1146="",_xlfn.MINIFS($B$3:$B$5000,$A$3:$A$5000,$A1146,$B$3:$B$5000,"&gt;"&amp;$B1146)=0),NOW(),_xlfn.MINIFS($B$3:$B$5000,$A$3:$A$5000,$A1146,$B$3:$B$5000,"&gt;"&amp;$B1146))</f>
        <v>46279.5987643333</v>
      </c>
    </row>
    <row r="1147" customFormat="false" ht="15" hidden="false" customHeight="true" outlineLevel="0" collapsed="false">
      <c r="A1147" s="42"/>
      <c r="B1147" s="42"/>
      <c r="C1147" s="42"/>
      <c r="D1147" s="42"/>
      <c r="E1147" s="42"/>
      <c r="F1147" s="51" t="n">
        <f aca="false">IF(OR(C1147="",D1147="",E1147="",E1147=0),0,C1147*D1147/E1147)</f>
        <v>0</v>
      </c>
      <c r="G1147" s="42"/>
      <c r="H1147" s="49" t="n">
        <f aca="true">IF(OR($A1147="",_xlfn.MINIFS($B$3:$B$5000,$A$3:$A$5000,$A1147,$B$3:$B$5000,"&gt;"&amp;$B1147)=0),NOW(),_xlfn.MINIFS($B$3:$B$5000,$A$3:$A$5000,$A1147,$B$3:$B$5000,"&gt;"&amp;$B1147))</f>
        <v>46279.5987643334</v>
      </c>
    </row>
    <row r="1148" customFormat="false" ht="15" hidden="false" customHeight="true" outlineLevel="0" collapsed="false">
      <c r="A1148" s="42"/>
      <c r="B1148" s="42"/>
      <c r="C1148" s="42"/>
      <c r="D1148" s="42"/>
      <c r="E1148" s="42"/>
      <c r="F1148" s="51" t="n">
        <f aca="false">IF(OR(C1148="",D1148="",E1148="",E1148=0),0,C1148*D1148/E1148)</f>
        <v>0</v>
      </c>
      <c r="G1148" s="42"/>
      <c r="H1148" s="49" t="n">
        <f aca="true">IF(OR($A1148="",_xlfn.MINIFS($B$3:$B$5000,$A$3:$A$5000,$A1148,$B$3:$B$5000,"&gt;"&amp;$B1148)=0),NOW(),_xlfn.MINIFS($B$3:$B$5000,$A$3:$A$5000,$A1148,$B$3:$B$5000,"&gt;"&amp;$B1148))</f>
        <v>46279.5987643334</v>
      </c>
    </row>
    <row r="1149" customFormat="false" ht="15" hidden="false" customHeight="true" outlineLevel="0" collapsed="false">
      <c r="A1149" s="42"/>
      <c r="B1149" s="42"/>
      <c r="C1149" s="42"/>
      <c r="D1149" s="42"/>
      <c r="E1149" s="42"/>
      <c r="F1149" s="51" t="n">
        <f aca="false">IF(OR(C1149="",D1149="",E1149="",E1149=0),0,C1149*D1149/E1149)</f>
        <v>0</v>
      </c>
      <c r="G1149" s="42"/>
      <c r="H1149" s="49" t="n">
        <f aca="true">IF(OR($A1149="",_xlfn.MINIFS($B$3:$B$5000,$A$3:$A$5000,$A1149,$B$3:$B$5000,"&gt;"&amp;$B1149)=0),NOW(),_xlfn.MINIFS($B$3:$B$5000,$A$3:$A$5000,$A1149,$B$3:$B$5000,"&gt;"&amp;$B1149))</f>
        <v>46279.5987643335</v>
      </c>
    </row>
    <row r="1150" customFormat="false" ht="15" hidden="false" customHeight="true" outlineLevel="0" collapsed="false">
      <c r="A1150" s="42"/>
      <c r="B1150" s="42"/>
      <c r="C1150" s="42"/>
      <c r="D1150" s="42"/>
      <c r="E1150" s="42"/>
      <c r="F1150" s="51" t="n">
        <f aca="false">IF(OR(C1150="",D1150="",E1150="",E1150=0),0,C1150*D1150/E1150)</f>
        <v>0</v>
      </c>
      <c r="G1150" s="42"/>
      <c r="H1150" s="49" t="n">
        <f aca="true">IF(OR($A1150="",_xlfn.MINIFS($B$3:$B$5000,$A$3:$A$5000,$A1150,$B$3:$B$5000,"&gt;"&amp;$B1150)=0),NOW(),_xlfn.MINIFS($B$3:$B$5000,$A$3:$A$5000,$A1150,$B$3:$B$5000,"&gt;"&amp;$B1150))</f>
        <v>46279.5987643335</v>
      </c>
    </row>
    <row r="1151" customFormat="false" ht="15" hidden="false" customHeight="true" outlineLevel="0" collapsed="false">
      <c r="A1151" s="42"/>
      <c r="B1151" s="42"/>
      <c r="C1151" s="42"/>
      <c r="D1151" s="42"/>
      <c r="E1151" s="42"/>
      <c r="F1151" s="51" t="n">
        <f aca="false">IF(OR(C1151="",D1151="",E1151="",E1151=0),0,C1151*D1151/E1151)</f>
        <v>0</v>
      </c>
      <c r="G1151" s="42"/>
      <c r="H1151" s="49" t="n">
        <f aca="true">IF(OR($A1151="",_xlfn.MINIFS($B$3:$B$5000,$A$3:$A$5000,$A1151,$B$3:$B$5000,"&gt;"&amp;$B1151)=0),NOW(),_xlfn.MINIFS($B$3:$B$5000,$A$3:$A$5000,$A1151,$B$3:$B$5000,"&gt;"&amp;$B1151))</f>
        <v>46279.5987643336</v>
      </c>
    </row>
    <row r="1152" customFormat="false" ht="15" hidden="false" customHeight="true" outlineLevel="0" collapsed="false">
      <c r="A1152" s="42"/>
      <c r="B1152" s="42"/>
      <c r="C1152" s="42"/>
      <c r="D1152" s="42"/>
      <c r="E1152" s="42"/>
      <c r="F1152" s="51" t="n">
        <f aca="false">IF(OR(C1152="",D1152="",E1152="",E1152=0),0,C1152*D1152/E1152)</f>
        <v>0</v>
      </c>
      <c r="G1152" s="42"/>
      <c r="H1152" s="49" t="n">
        <f aca="true">IF(OR($A1152="",_xlfn.MINIFS($B$3:$B$5000,$A$3:$A$5000,$A1152,$B$3:$B$5000,"&gt;"&amp;$B1152)=0),NOW(),_xlfn.MINIFS($B$3:$B$5000,$A$3:$A$5000,$A1152,$B$3:$B$5000,"&gt;"&amp;$B1152))</f>
        <v>46279.5987643336</v>
      </c>
    </row>
    <row r="1153" customFormat="false" ht="15" hidden="false" customHeight="true" outlineLevel="0" collapsed="false">
      <c r="A1153" s="42"/>
      <c r="B1153" s="42"/>
      <c r="C1153" s="42"/>
      <c r="D1153" s="42"/>
      <c r="E1153" s="42"/>
      <c r="F1153" s="51" t="n">
        <f aca="false">IF(OR(C1153="",D1153="",E1153="",E1153=0),0,C1153*D1153/E1153)</f>
        <v>0</v>
      </c>
      <c r="G1153" s="42"/>
      <c r="H1153" s="49" t="n">
        <f aca="true">IF(OR($A1153="",_xlfn.MINIFS($B$3:$B$5000,$A$3:$A$5000,$A1153,$B$3:$B$5000,"&gt;"&amp;$B1153)=0),NOW(),_xlfn.MINIFS($B$3:$B$5000,$A$3:$A$5000,$A1153,$B$3:$B$5000,"&gt;"&amp;$B1153))</f>
        <v>46279.5987643337</v>
      </c>
    </row>
    <row r="1154" customFormat="false" ht="15" hidden="false" customHeight="true" outlineLevel="0" collapsed="false">
      <c r="A1154" s="42"/>
      <c r="B1154" s="42"/>
      <c r="C1154" s="42"/>
      <c r="D1154" s="42"/>
      <c r="E1154" s="42"/>
      <c r="F1154" s="51" t="n">
        <f aca="false">IF(OR(C1154="",D1154="",E1154="",E1154=0),0,C1154*D1154/E1154)</f>
        <v>0</v>
      </c>
      <c r="G1154" s="42"/>
      <c r="H1154" s="49" t="n">
        <f aca="true">IF(OR($A1154="",_xlfn.MINIFS($B$3:$B$5000,$A$3:$A$5000,$A1154,$B$3:$B$5000,"&gt;"&amp;$B1154)=0),NOW(),_xlfn.MINIFS($B$3:$B$5000,$A$3:$A$5000,$A1154,$B$3:$B$5000,"&gt;"&amp;$B1154))</f>
        <v>46279.5987643337</v>
      </c>
    </row>
    <row r="1155" customFormat="false" ht="15" hidden="false" customHeight="true" outlineLevel="0" collapsed="false">
      <c r="A1155" s="42"/>
      <c r="B1155" s="42"/>
      <c r="C1155" s="42"/>
      <c r="D1155" s="42"/>
      <c r="E1155" s="42"/>
      <c r="F1155" s="51" t="n">
        <f aca="false">IF(OR(C1155="",D1155="",E1155="",E1155=0),0,C1155*D1155/E1155)</f>
        <v>0</v>
      </c>
      <c r="G1155" s="42"/>
      <c r="H1155" s="49" t="n">
        <f aca="true">IF(OR($A1155="",_xlfn.MINIFS($B$3:$B$5000,$A$3:$A$5000,$A1155,$B$3:$B$5000,"&gt;"&amp;$B1155)=0),NOW(),_xlfn.MINIFS($B$3:$B$5000,$A$3:$A$5000,$A1155,$B$3:$B$5000,"&gt;"&amp;$B1155))</f>
        <v>46279.5987643338</v>
      </c>
    </row>
    <row r="1156" customFormat="false" ht="15" hidden="false" customHeight="true" outlineLevel="0" collapsed="false">
      <c r="A1156" s="42"/>
      <c r="B1156" s="42"/>
      <c r="C1156" s="42"/>
      <c r="D1156" s="42"/>
      <c r="E1156" s="42"/>
      <c r="F1156" s="51" t="n">
        <f aca="false">IF(OR(C1156="",D1156="",E1156="",E1156=0),0,C1156*D1156/E1156)</f>
        <v>0</v>
      </c>
      <c r="G1156" s="42"/>
      <c r="H1156" s="49" t="n">
        <f aca="true">IF(OR($A1156="",_xlfn.MINIFS($B$3:$B$5000,$A$3:$A$5000,$A1156,$B$3:$B$5000,"&gt;"&amp;$B1156)=0),NOW(),_xlfn.MINIFS($B$3:$B$5000,$A$3:$A$5000,$A1156,$B$3:$B$5000,"&gt;"&amp;$B1156))</f>
        <v>46279.5987643338</v>
      </c>
    </row>
    <row r="1157" customFormat="false" ht="15" hidden="false" customHeight="true" outlineLevel="0" collapsed="false">
      <c r="A1157" s="42"/>
      <c r="B1157" s="42"/>
      <c r="C1157" s="42"/>
      <c r="D1157" s="42"/>
      <c r="E1157" s="42"/>
      <c r="F1157" s="51" t="n">
        <f aca="false">IF(OR(C1157="",D1157="",E1157="",E1157=0),0,C1157*D1157/E1157)</f>
        <v>0</v>
      </c>
      <c r="G1157" s="42"/>
      <c r="H1157" s="49" t="n">
        <f aca="true">IF(OR($A1157="",_xlfn.MINIFS($B$3:$B$5000,$A$3:$A$5000,$A1157,$B$3:$B$5000,"&gt;"&amp;$B1157)=0),NOW(),_xlfn.MINIFS($B$3:$B$5000,$A$3:$A$5000,$A1157,$B$3:$B$5000,"&gt;"&amp;$B1157))</f>
        <v>46279.5987643339</v>
      </c>
    </row>
    <row r="1158" customFormat="false" ht="15" hidden="false" customHeight="true" outlineLevel="0" collapsed="false">
      <c r="A1158" s="42"/>
      <c r="B1158" s="42"/>
      <c r="C1158" s="42"/>
      <c r="D1158" s="42"/>
      <c r="E1158" s="42"/>
      <c r="F1158" s="51" t="n">
        <f aca="false">IF(OR(C1158="",D1158="",E1158="",E1158=0),0,C1158*D1158/E1158)</f>
        <v>0</v>
      </c>
      <c r="G1158" s="42"/>
      <c r="H1158" s="49" t="n">
        <f aca="true">IF(OR($A1158="",_xlfn.MINIFS($B$3:$B$5000,$A$3:$A$5000,$A1158,$B$3:$B$5000,"&gt;"&amp;$B1158)=0),NOW(),_xlfn.MINIFS($B$3:$B$5000,$A$3:$A$5000,$A1158,$B$3:$B$5000,"&gt;"&amp;$B1158))</f>
        <v>46279.5987643339</v>
      </c>
    </row>
    <row r="1159" customFormat="false" ht="15" hidden="false" customHeight="true" outlineLevel="0" collapsed="false">
      <c r="A1159" s="42"/>
      <c r="B1159" s="42"/>
      <c r="C1159" s="42"/>
      <c r="D1159" s="42"/>
      <c r="E1159" s="42"/>
      <c r="F1159" s="51" t="n">
        <f aca="false">IF(OR(C1159="",D1159="",E1159="",E1159=0),0,C1159*D1159/E1159)</f>
        <v>0</v>
      </c>
      <c r="G1159" s="42"/>
      <c r="H1159" s="49" t="n">
        <f aca="true">IF(OR($A1159="",_xlfn.MINIFS($B$3:$B$5000,$A$3:$A$5000,$A1159,$B$3:$B$5000,"&gt;"&amp;$B1159)=0),NOW(),_xlfn.MINIFS($B$3:$B$5000,$A$3:$A$5000,$A1159,$B$3:$B$5000,"&gt;"&amp;$B1159))</f>
        <v>46279.598764334</v>
      </c>
    </row>
    <row r="1160" customFormat="false" ht="15" hidden="false" customHeight="true" outlineLevel="0" collapsed="false">
      <c r="A1160" s="42"/>
      <c r="B1160" s="42"/>
      <c r="C1160" s="42"/>
      <c r="D1160" s="42"/>
      <c r="E1160" s="42"/>
      <c r="F1160" s="51" t="n">
        <f aca="false">IF(OR(C1160="",D1160="",E1160="",E1160=0),0,C1160*D1160/E1160)</f>
        <v>0</v>
      </c>
      <c r="G1160" s="42"/>
      <c r="H1160" s="49" t="n">
        <f aca="true">IF(OR($A1160="",_xlfn.MINIFS($B$3:$B$5000,$A$3:$A$5000,$A1160,$B$3:$B$5000,"&gt;"&amp;$B1160)=0),NOW(),_xlfn.MINIFS($B$3:$B$5000,$A$3:$A$5000,$A1160,$B$3:$B$5000,"&gt;"&amp;$B1160))</f>
        <v>46279.598764334</v>
      </c>
    </row>
    <row r="1161" customFormat="false" ht="15" hidden="false" customHeight="true" outlineLevel="0" collapsed="false">
      <c r="A1161" s="42"/>
      <c r="B1161" s="42"/>
      <c r="C1161" s="42"/>
      <c r="D1161" s="42"/>
      <c r="E1161" s="42"/>
      <c r="F1161" s="51" t="n">
        <f aca="false">IF(OR(C1161="",D1161="",E1161="",E1161=0),0,C1161*D1161/E1161)</f>
        <v>0</v>
      </c>
      <c r="G1161" s="42"/>
      <c r="H1161" s="49" t="n">
        <f aca="true">IF(OR($A1161="",_xlfn.MINIFS($B$3:$B$5000,$A$3:$A$5000,$A1161,$B$3:$B$5000,"&gt;"&amp;$B1161)=0),NOW(),_xlfn.MINIFS($B$3:$B$5000,$A$3:$A$5000,$A1161,$B$3:$B$5000,"&gt;"&amp;$B1161))</f>
        <v>46279.5987643341</v>
      </c>
    </row>
    <row r="1162" customFormat="false" ht="15" hidden="false" customHeight="true" outlineLevel="0" collapsed="false">
      <c r="A1162" s="42"/>
      <c r="B1162" s="42"/>
      <c r="C1162" s="42"/>
      <c r="D1162" s="42"/>
      <c r="E1162" s="42"/>
      <c r="F1162" s="51" t="n">
        <f aca="false">IF(OR(C1162="",D1162="",E1162="",E1162=0),0,C1162*D1162/E1162)</f>
        <v>0</v>
      </c>
      <c r="G1162" s="42"/>
      <c r="H1162" s="49" t="n">
        <f aca="true">IF(OR($A1162="",_xlfn.MINIFS($B$3:$B$5000,$A$3:$A$5000,$A1162,$B$3:$B$5000,"&gt;"&amp;$B1162)=0),NOW(),_xlfn.MINIFS($B$3:$B$5000,$A$3:$A$5000,$A1162,$B$3:$B$5000,"&gt;"&amp;$B1162))</f>
        <v>46279.5987643341</v>
      </c>
    </row>
    <row r="1163" customFormat="false" ht="15" hidden="false" customHeight="true" outlineLevel="0" collapsed="false">
      <c r="A1163" s="42"/>
      <c r="B1163" s="42"/>
      <c r="C1163" s="42"/>
      <c r="D1163" s="42"/>
      <c r="E1163" s="42"/>
      <c r="F1163" s="51" t="n">
        <f aca="false">IF(OR(C1163="",D1163="",E1163="",E1163=0),0,C1163*D1163/E1163)</f>
        <v>0</v>
      </c>
      <c r="G1163" s="42"/>
      <c r="H1163" s="49" t="n">
        <f aca="true">IF(OR($A1163="",_xlfn.MINIFS($B$3:$B$5000,$A$3:$A$5000,$A1163,$B$3:$B$5000,"&gt;"&amp;$B1163)=0),NOW(),_xlfn.MINIFS($B$3:$B$5000,$A$3:$A$5000,$A1163,$B$3:$B$5000,"&gt;"&amp;$B1163))</f>
        <v>46279.5987643342</v>
      </c>
    </row>
    <row r="1164" customFormat="false" ht="15" hidden="false" customHeight="true" outlineLevel="0" collapsed="false">
      <c r="A1164" s="42"/>
      <c r="B1164" s="42"/>
      <c r="C1164" s="42"/>
      <c r="D1164" s="42"/>
      <c r="E1164" s="42"/>
      <c r="F1164" s="51" t="n">
        <f aca="false">IF(OR(C1164="",D1164="",E1164="",E1164=0),0,C1164*D1164/E1164)</f>
        <v>0</v>
      </c>
      <c r="G1164" s="42"/>
      <c r="H1164" s="49" t="n">
        <f aca="true">IF(OR($A1164="",_xlfn.MINIFS($B$3:$B$5000,$A$3:$A$5000,$A1164,$B$3:$B$5000,"&gt;"&amp;$B1164)=0),NOW(),_xlfn.MINIFS($B$3:$B$5000,$A$3:$A$5000,$A1164,$B$3:$B$5000,"&gt;"&amp;$B1164))</f>
        <v>46279.5987643342</v>
      </c>
    </row>
    <row r="1165" customFormat="false" ht="15" hidden="false" customHeight="true" outlineLevel="0" collapsed="false">
      <c r="A1165" s="42"/>
      <c r="B1165" s="42"/>
      <c r="C1165" s="42"/>
      <c r="D1165" s="42"/>
      <c r="E1165" s="42"/>
      <c r="F1165" s="51" t="n">
        <f aca="false">IF(OR(C1165="",D1165="",E1165="",E1165=0),0,C1165*D1165/E1165)</f>
        <v>0</v>
      </c>
      <c r="G1165" s="42"/>
      <c r="H1165" s="49" t="n">
        <f aca="true">IF(OR($A1165="",_xlfn.MINIFS($B$3:$B$5000,$A$3:$A$5000,$A1165,$B$3:$B$5000,"&gt;"&amp;$B1165)=0),NOW(),_xlfn.MINIFS($B$3:$B$5000,$A$3:$A$5000,$A1165,$B$3:$B$5000,"&gt;"&amp;$B1165))</f>
        <v>46279.5987643343</v>
      </c>
    </row>
    <row r="1166" customFormat="false" ht="15" hidden="false" customHeight="true" outlineLevel="0" collapsed="false">
      <c r="A1166" s="42"/>
      <c r="B1166" s="42"/>
      <c r="C1166" s="42"/>
      <c r="D1166" s="42"/>
      <c r="E1166" s="42"/>
      <c r="F1166" s="51" t="n">
        <f aca="false">IF(OR(C1166="",D1166="",E1166="",E1166=0),0,C1166*D1166/E1166)</f>
        <v>0</v>
      </c>
      <c r="G1166" s="42"/>
      <c r="H1166" s="49" t="n">
        <f aca="true">IF(OR($A1166="",_xlfn.MINIFS($B$3:$B$5000,$A$3:$A$5000,$A1166,$B$3:$B$5000,"&gt;"&amp;$B1166)=0),NOW(),_xlfn.MINIFS($B$3:$B$5000,$A$3:$A$5000,$A1166,$B$3:$B$5000,"&gt;"&amp;$B1166))</f>
        <v>46279.5987643343</v>
      </c>
    </row>
    <row r="1167" customFormat="false" ht="15" hidden="false" customHeight="true" outlineLevel="0" collapsed="false">
      <c r="A1167" s="42"/>
      <c r="B1167" s="42"/>
      <c r="C1167" s="42"/>
      <c r="D1167" s="42"/>
      <c r="E1167" s="42"/>
      <c r="F1167" s="51" t="n">
        <f aca="false">IF(OR(C1167="",D1167="",E1167="",E1167=0),0,C1167*D1167/E1167)</f>
        <v>0</v>
      </c>
      <c r="G1167" s="42"/>
      <c r="H1167" s="49" t="n">
        <f aca="true">IF(OR($A1167="",_xlfn.MINIFS($B$3:$B$5000,$A$3:$A$5000,$A1167,$B$3:$B$5000,"&gt;"&amp;$B1167)=0),NOW(),_xlfn.MINIFS($B$3:$B$5000,$A$3:$A$5000,$A1167,$B$3:$B$5000,"&gt;"&amp;$B1167))</f>
        <v>46279.5987643344</v>
      </c>
    </row>
    <row r="1168" customFormat="false" ht="15" hidden="false" customHeight="true" outlineLevel="0" collapsed="false">
      <c r="A1168" s="42"/>
      <c r="B1168" s="42"/>
      <c r="C1168" s="42"/>
      <c r="D1168" s="42"/>
      <c r="E1168" s="42"/>
      <c r="F1168" s="51" t="n">
        <f aca="false">IF(OR(C1168="",D1168="",E1168="",E1168=0),0,C1168*D1168/E1168)</f>
        <v>0</v>
      </c>
      <c r="G1168" s="42"/>
      <c r="H1168" s="49" t="n">
        <f aca="true">IF(OR($A1168="",_xlfn.MINIFS($B$3:$B$5000,$A$3:$A$5000,$A1168,$B$3:$B$5000,"&gt;"&amp;$B1168)=0),NOW(),_xlfn.MINIFS($B$3:$B$5000,$A$3:$A$5000,$A1168,$B$3:$B$5000,"&gt;"&amp;$B1168))</f>
        <v>46279.5987643344</v>
      </c>
    </row>
    <row r="1169" customFormat="false" ht="15" hidden="false" customHeight="true" outlineLevel="0" collapsed="false">
      <c r="A1169" s="42"/>
      <c r="B1169" s="42"/>
      <c r="C1169" s="42"/>
      <c r="D1169" s="42"/>
      <c r="E1169" s="42"/>
      <c r="F1169" s="51" t="n">
        <f aca="false">IF(OR(C1169="",D1169="",E1169="",E1169=0),0,C1169*D1169/E1169)</f>
        <v>0</v>
      </c>
      <c r="G1169" s="42"/>
      <c r="H1169" s="49" t="n">
        <f aca="true">IF(OR($A1169="",_xlfn.MINIFS($B$3:$B$5000,$A$3:$A$5000,$A1169,$B$3:$B$5000,"&gt;"&amp;$B1169)=0),NOW(),_xlfn.MINIFS($B$3:$B$5000,$A$3:$A$5000,$A1169,$B$3:$B$5000,"&gt;"&amp;$B1169))</f>
        <v>46279.5987643345</v>
      </c>
    </row>
    <row r="1170" customFormat="false" ht="15" hidden="false" customHeight="true" outlineLevel="0" collapsed="false">
      <c r="A1170" s="42"/>
      <c r="B1170" s="42"/>
      <c r="C1170" s="42"/>
      <c r="D1170" s="42"/>
      <c r="E1170" s="42"/>
      <c r="F1170" s="51" t="n">
        <f aca="false">IF(OR(C1170="",D1170="",E1170="",E1170=0),0,C1170*D1170/E1170)</f>
        <v>0</v>
      </c>
      <c r="G1170" s="42"/>
      <c r="H1170" s="49" t="n">
        <f aca="true">IF(OR($A1170="",_xlfn.MINIFS($B$3:$B$5000,$A$3:$A$5000,$A1170,$B$3:$B$5000,"&gt;"&amp;$B1170)=0),NOW(),_xlfn.MINIFS($B$3:$B$5000,$A$3:$A$5000,$A1170,$B$3:$B$5000,"&gt;"&amp;$B1170))</f>
        <v>46279.5987643345</v>
      </c>
    </row>
    <row r="1171" customFormat="false" ht="15" hidden="false" customHeight="true" outlineLevel="0" collapsed="false">
      <c r="A1171" s="42"/>
      <c r="B1171" s="42"/>
      <c r="C1171" s="42"/>
      <c r="D1171" s="42"/>
      <c r="E1171" s="42"/>
      <c r="F1171" s="51" t="n">
        <f aca="false">IF(OR(C1171="",D1171="",E1171="",E1171=0),0,C1171*D1171/E1171)</f>
        <v>0</v>
      </c>
      <c r="G1171" s="42"/>
      <c r="H1171" s="49" t="n">
        <f aca="true">IF(OR($A1171="",_xlfn.MINIFS($B$3:$B$5000,$A$3:$A$5000,$A1171,$B$3:$B$5000,"&gt;"&amp;$B1171)=0),NOW(),_xlfn.MINIFS($B$3:$B$5000,$A$3:$A$5000,$A1171,$B$3:$B$5000,"&gt;"&amp;$B1171))</f>
        <v>46279.5987643346</v>
      </c>
    </row>
    <row r="1172" customFormat="false" ht="15" hidden="false" customHeight="true" outlineLevel="0" collapsed="false">
      <c r="A1172" s="42"/>
      <c r="B1172" s="42"/>
      <c r="C1172" s="42"/>
      <c r="D1172" s="42"/>
      <c r="E1172" s="42"/>
      <c r="F1172" s="51" t="n">
        <f aca="false">IF(OR(C1172="",D1172="",E1172="",E1172=0),0,C1172*D1172/E1172)</f>
        <v>0</v>
      </c>
      <c r="G1172" s="42"/>
      <c r="H1172" s="49" t="n">
        <f aca="true">IF(OR($A1172="",_xlfn.MINIFS($B$3:$B$5000,$A$3:$A$5000,$A1172,$B$3:$B$5000,"&gt;"&amp;$B1172)=0),NOW(),_xlfn.MINIFS($B$3:$B$5000,$A$3:$A$5000,$A1172,$B$3:$B$5000,"&gt;"&amp;$B1172))</f>
        <v>46279.5987643346</v>
      </c>
    </row>
    <row r="1173" customFormat="false" ht="15" hidden="false" customHeight="true" outlineLevel="0" collapsed="false">
      <c r="A1173" s="42"/>
      <c r="B1173" s="42"/>
      <c r="C1173" s="42"/>
      <c r="D1173" s="42"/>
      <c r="E1173" s="42"/>
      <c r="F1173" s="51" t="n">
        <f aca="false">IF(OR(C1173="",D1173="",E1173="",E1173=0),0,C1173*D1173/E1173)</f>
        <v>0</v>
      </c>
      <c r="G1173" s="42"/>
      <c r="H1173" s="49" t="n">
        <f aca="true">IF(OR($A1173="",_xlfn.MINIFS($B$3:$B$5000,$A$3:$A$5000,$A1173,$B$3:$B$5000,"&gt;"&amp;$B1173)=0),NOW(),_xlfn.MINIFS($B$3:$B$5000,$A$3:$A$5000,$A1173,$B$3:$B$5000,"&gt;"&amp;$B1173))</f>
        <v>46279.5987643347</v>
      </c>
    </row>
    <row r="1174" customFormat="false" ht="15" hidden="false" customHeight="true" outlineLevel="0" collapsed="false">
      <c r="A1174" s="42"/>
      <c r="B1174" s="42"/>
      <c r="C1174" s="42"/>
      <c r="D1174" s="42"/>
      <c r="E1174" s="42"/>
      <c r="F1174" s="51" t="n">
        <f aca="false">IF(OR(C1174="",D1174="",E1174="",E1174=0),0,C1174*D1174/E1174)</f>
        <v>0</v>
      </c>
      <c r="G1174" s="42"/>
      <c r="H1174" s="49" t="n">
        <f aca="true">IF(OR($A1174="",_xlfn.MINIFS($B$3:$B$5000,$A$3:$A$5000,$A1174,$B$3:$B$5000,"&gt;"&amp;$B1174)=0),NOW(),_xlfn.MINIFS($B$3:$B$5000,$A$3:$A$5000,$A1174,$B$3:$B$5000,"&gt;"&amp;$B1174))</f>
        <v>46279.5987643347</v>
      </c>
    </row>
    <row r="1175" customFormat="false" ht="15" hidden="false" customHeight="true" outlineLevel="0" collapsed="false">
      <c r="A1175" s="42"/>
      <c r="B1175" s="42"/>
      <c r="C1175" s="42"/>
      <c r="D1175" s="42"/>
      <c r="E1175" s="42"/>
      <c r="F1175" s="51" t="n">
        <f aca="false">IF(OR(C1175="",D1175="",E1175="",E1175=0),0,C1175*D1175/E1175)</f>
        <v>0</v>
      </c>
      <c r="G1175" s="42"/>
      <c r="H1175" s="49" t="n">
        <f aca="true">IF(OR($A1175="",_xlfn.MINIFS($B$3:$B$5000,$A$3:$A$5000,$A1175,$B$3:$B$5000,"&gt;"&amp;$B1175)=0),NOW(),_xlfn.MINIFS($B$3:$B$5000,$A$3:$A$5000,$A1175,$B$3:$B$5000,"&gt;"&amp;$B1175))</f>
        <v>46279.5987643348</v>
      </c>
    </row>
    <row r="1176" customFormat="false" ht="15" hidden="false" customHeight="true" outlineLevel="0" collapsed="false">
      <c r="A1176" s="42"/>
      <c r="B1176" s="42"/>
      <c r="C1176" s="42"/>
      <c r="D1176" s="42"/>
      <c r="E1176" s="42"/>
      <c r="F1176" s="51" t="n">
        <f aca="false">IF(OR(C1176="",D1176="",E1176="",E1176=0),0,C1176*D1176/E1176)</f>
        <v>0</v>
      </c>
      <c r="G1176" s="42"/>
      <c r="H1176" s="49" t="n">
        <f aca="true">IF(OR($A1176="",_xlfn.MINIFS($B$3:$B$5000,$A$3:$A$5000,$A1176,$B$3:$B$5000,"&gt;"&amp;$B1176)=0),NOW(),_xlfn.MINIFS($B$3:$B$5000,$A$3:$A$5000,$A1176,$B$3:$B$5000,"&gt;"&amp;$B1176))</f>
        <v>46279.5987643348</v>
      </c>
    </row>
    <row r="1177" customFormat="false" ht="15" hidden="false" customHeight="true" outlineLevel="0" collapsed="false">
      <c r="A1177" s="42"/>
      <c r="B1177" s="42"/>
      <c r="C1177" s="42"/>
      <c r="D1177" s="42"/>
      <c r="E1177" s="42"/>
      <c r="F1177" s="51" t="n">
        <f aca="false">IF(OR(C1177="",D1177="",E1177="",E1177=0),0,C1177*D1177/E1177)</f>
        <v>0</v>
      </c>
      <c r="G1177" s="42"/>
      <c r="H1177" s="49" t="n">
        <f aca="true">IF(OR($A1177="",_xlfn.MINIFS($B$3:$B$5000,$A$3:$A$5000,$A1177,$B$3:$B$5000,"&gt;"&amp;$B1177)=0),NOW(),_xlfn.MINIFS($B$3:$B$5000,$A$3:$A$5000,$A1177,$B$3:$B$5000,"&gt;"&amp;$B1177))</f>
        <v>46279.5987643349</v>
      </c>
    </row>
    <row r="1178" customFormat="false" ht="15" hidden="false" customHeight="true" outlineLevel="0" collapsed="false">
      <c r="A1178" s="42"/>
      <c r="B1178" s="42"/>
      <c r="C1178" s="42"/>
      <c r="D1178" s="42"/>
      <c r="E1178" s="42"/>
      <c r="F1178" s="51" t="n">
        <f aca="false">IF(OR(C1178="",D1178="",E1178="",E1178=0),0,C1178*D1178/E1178)</f>
        <v>0</v>
      </c>
      <c r="G1178" s="42"/>
      <c r="H1178" s="49" t="n">
        <f aca="true">IF(OR($A1178="",_xlfn.MINIFS($B$3:$B$5000,$A$3:$A$5000,$A1178,$B$3:$B$5000,"&gt;"&amp;$B1178)=0),NOW(),_xlfn.MINIFS($B$3:$B$5000,$A$3:$A$5000,$A1178,$B$3:$B$5000,"&gt;"&amp;$B1178))</f>
        <v>46279.5987643349</v>
      </c>
    </row>
    <row r="1179" customFormat="false" ht="15" hidden="false" customHeight="true" outlineLevel="0" collapsed="false">
      <c r="A1179" s="42"/>
      <c r="B1179" s="42"/>
      <c r="C1179" s="42"/>
      <c r="D1179" s="42"/>
      <c r="E1179" s="42"/>
      <c r="F1179" s="51" t="n">
        <f aca="false">IF(OR(C1179="",D1179="",E1179="",E1179=0),0,C1179*D1179/E1179)</f>
        <v>0</v>
      </c>
      <c r="G1179" s="42"/>
      <c r="H1179" s="49" t="n">
        <f aca="true">IF(OR($A1179="",_xlfn.MINIFS($B$3:$B$5000,$A$3:$A$5000,$A1179,$B$3:$B$5000,"&gt;"&amp;$B1179)=0),NOW(),_xlfn.MINIFS($B$3:$B$5000,$A$3:$A$5000,$A1179,$B$3:$B$5000,"&gt;"&amp;$B1179))</f>
        <v>46279.598764335</v>
      </c>
    </row>
    <row r="1180" customFormat="false" ht="15" hidden="false" customHeight="true" outlineLevel="0" collapsed="false">
      <c r="A1180" s="42"/>
      <c r="B1180" s="42"/>
      <c r="C1180" s="42"/>
      <c r="D1180" s="42"/>
      <c r="E1180" s="42"/>
      <c r="F1180" s="51" t="n">
        <f aca="false">IF(OR(C1180="",D1180="",E1180="",E1180=0),0,C1180*D1180/E1180)</f>
        <v>0</v>
      </c>
      <c r="G1180" s="42"/>
      <c r="H1180" s="49" t="n">
        <f aca="true">IF(OR($A1180="",_xlfn.MINIFS($B$3:$B$5000,$A$3:$A$5000,$A1180,$B$3:$B$5000,"&gt;"&amp;$B1180)=0),NOW(),_xlfn.MINIFS($B$3:$B$5000,$A$3:$A$5000,$A1180,$B$3:$B$5000,"&gt;"&amp;$B1180))</f>
        <v>46279.598764335</v>
      </c>
    </row>
    <row r="1181" customFormat="false" ht="15" hidden="false" customHeight="true" outlineLevel="0" collapsed="false">
      <c r="A1181" s="42"/>
      <c r="B1181" s="42"/>
      <c r="C1181" s="42"/>
      <c r="D1181" s="42"/>
      <c r="E1181" s="42"/>
      <c r="F1181" s="51" t="n">
        <f aca="false">IF(OR(C1181="",D1181="",E1181="",E1181=0),0,C1181*D1181/E1181)</f>
        <v>0</v>
      </c>
      <c r="G1181" s="42"/>
      <c r="H1181" s="49" t="n">
        <f aca="true">IF(OR($A1181="",_xlfn.MINIFS($B$3:$B$5000,$A$3:$A$5000,$A1181,$B$3:$B$5000,"&gt;"&amp;$B1181)=0),NOW(),_xlfn.MINIFS($B$3:$B$5000,$A$3:$A$5000,$A1181,$B$3:$B$5000,"&gt;"&amp;$B1181))</f>
        <v>46279.5987643351</v>
      </c>
    </row>
    <row r="1182" customFormat="false" ht="15" hidden="false" customHeight="true" outlineLevel="0" collapsed="false">
      <c r="A1182" s="42"/>
      <c r="B1182" s="42"/>
      <c r="C1182" s="42"/>
      <c r="D1182" s="42"/>
      <c r="E1182" s="42"/>
      <c r="F1182" s="51" t="n">
        <f aca="false">IF(OR(C1182="",D1182="",E1182="",E1182=0),0,C1182*D1182/E1182)</f>
        <v>0</v>
      </c>
      <c r="G1182" s="42"/>
      <c r="H1182" s="49" t="n">
        <f aca="true">IF(OR($A1182="",_xlfn.MINIFS($B$3:$B$5000,$A$3:$A$5000,$A1182,$B$3:$B$5000,"&gt;"&amp;$B1182)=0),NOW(),_xlfn.MINIFS($B$3:$B$5000,$A$3:$A$5000,$A1182,$B$3:$B$5000,"&gt;"&amp;$B1182))</f>
        <v>46279.5987643351</v>
      </c>
    </row>
    <row r="1183" customFormat="false" ht="15" hidden="false" customHeight="true" outlineLevel="0" collapsed="false">
      <c r="A1183" s="42"/>
      <c r="B1183" s="42"/>
      <c r="C1183" s="42"/>
      <c r="D1183" s="42"/>
      <c r="E1183" s="42"/>
      <c r="F1183" s="51" t="n">
        <f aca="false">IF(OR(C1183="",D1183="",E1183="",E1183=0),0,C1183*D1183/E1183)</f>
        <v>0</v>
      </c>
      <c r="G1183" s="42"/>
      <c r="H1183" s="49" t="n">
        <f aca="true">IF(OR($A1183="",_xlfn.MINIFS($B$3:$B$5000,$A$3:$A$5000,$A1183,$B$3:$B$5000,"&gt;"&amp;$B1183)=0),NOW(),_xlfn.MINIFS($B$3:$B$5000,$A$3:$A$5000,$A1183,$B$3:$B$5000,"&gt;"&amp;$B1183))</f>
        <v>46279.5987643352</v>
      </c>
    </row>
    <row r="1184" customFormat="false" ht="15" hidden="false" customHeight="true" outlineLevel="0" collapsed="false">
      <c r="A1184" s="42"/>
      <c r="B1184" s="42"/>
      <c r="C1184" s="42"/>
      <c r="D1184" s="42"/>
      <c r="E1184" s="42"/>
      <c r="F1184" s="51" t="n">
        <f aca="false">IF(OR(C1184="",D1184="",E1184="",E1184=0),0,C1184*D1184/E1184)</f>
        <v>0</v>
      </c>
      <c r="G1184" s="42"/>
      <c r="H1184" s="49" t="n">
        <f aca="true">IF(OR($A1184="",_xlfn.MINIFS($B$3:$B$5000,$A$3:$A$5000,$A1184,$B$3:$B$5000,"&gt;"&amp;$B1184)=0),NOW(),_xlfn.MINIFS($B$3:$B$5000,$A$3:$A$5000,$A1184,$B$3:$B$5000,"&gt;"&amp;$B1184))</f>
        <v>46279.5987643352</v>
      </c>
    </row>
    <row r="1185" customFormat="false" ht="15" hidden="false" customHeight="true" outlineLevel="0" collapsed="false">
      <c r="A1185" s="42"/>
      <c r="B1185" s="42"/>
      <c r="C1185" s="42"/>
      <c r="D1185" s="42"/>
      <c r="E1185" s="42"/>
      <c r="F1185" s="51" t="n">
        <f aca="false">IF(OR(C1185="",D1185="",E1185="",E1185=0),0,C1185*D1185/E1185)</f>
        <v>0</v>
      </c>
      <c r="G1185" s="42"/>
      <c r="H1185" s="49" t="n">
        <f aca="true">IF(OR($A1185="",_xlfn.MINIFS($B$3:$B$5000,$A$3:$A$5000,$A1185,$B$3:$B$5000,"&gt;"&amp;$B1185)=0),NOW(),_xlfn.MINIFS($B$3:$B$5000,$A$3:$A$5000,$A1185,$B$3:$B$5000,"&gt;"&amp;$B1185))</f>
        <v>46279.5987643353</v>
      </c>
    </row>
    <row r="1186" customFormat="false" ht="15" hidden="false" customHeight="true" outlineLevel="0" collapsed="false">
      <c r="A1186" s="42"/>
      <c r="B1186" s="42"/>
      <c r="C1186" s="42"/>
      <c r="D1186" s="42"/>
      <c r="E1186" s="42"/>
      <c r="F1186" s="51" t="n">
        <f aca="false">IF(OR(C1186="",D1186="",E1186="",E1186=0),0,C1186*D1186/E1186)</f>
        <v>0</v>
      </c>
      <c r="G1186" s="42"/>
      <c r="H1186" s="49" t="n">
        <f aca="true">IF(OR($A1186="",_xlfn.MINIFS($B$3:$B$5000,$A$3:$A$5000,$A1186,$B$3:$B$5000,"&gt;"&amp;$B1186)=0),NOW(),_xlfn.MINIFS($B$3:$B$5000,$A$3:$A$5000,$A1186,$B$3:$B$5000,"&gt;"&amp;$B1186))</f>
        <v>46279.5987643353</v>
      </c>
    </row>
    <row r="1187" customFormat="false" ht="15" hidden="false" customHeight="true" outlineLevel="0" collapsed="false">
      <c r="A1187" s="42"/>
      <c r="B1187" s="42"/>
      <c r="C1187" s="42"/>
      <c r="D1187" s="42"/>
      <c r="E1187" s="42"/>
      <c r="F1187" s="51" t="n">
        <f aca="false">IF(OR(C1187="",D1187="",E1187="",E1187=0),0,C1187*D1187/E1187)</f>
        <v>0</v>
      </c>
      <c r="G1187" s="42"/>
      <c r="H1187" s="49" t="n">
        <f aca="true">IF(OR($A1187="",_xlfn.MINIFS($B$3:$B$5000,$A$3:$A$5000,$A1187,$B$3:$B$5000,"&gt;"&amp;$B1187)=0),NOW(),_xlfn.MINIFS($B$3:$B$5000,$A$3:$A$5000,$A1187,$B$3:$B$5000,"&gt;"&amp;$B1187))</f>
        <v>46279.5987643354</v>
      </c>
    </row>
    <row r="1188" customFormat="false" ht="15" hidden="false" customHeight="true" outlineLevel="0" collapsed="false">
      <c r="A1188" s="42"/>
      <c r="B1188" s="42"/>
      <c r="C1188" s="42"/>
      <c r="D1188" s="42"/>
      <c r="E1188" s="42"/>
      <c r="F1188" s="51" t="n">
        <f aca="false">IF(OR(C1188="",D1188="",E1188="",E1188=0),0,C1188*D1188/E1188)</f>
        <v>0</v>
      </c>
      <c r="G1188" s="42"/>
      <c r="H1188" s="49" t="n">
        <f aca="true">IF(OR($A1188="",_xlfn.MINIFS($B$3:$B$5000,$A$3:$A$5000,$A1188,$B$3:$B$5000,"&gt;"&amp;$B1188)=0),NOW(),_xlfn.MINIFS($B$3:$B$5000,$A$3:$A$5000,$A1188,$B$3:$B$5000,"&gt;"&amp;$B1188))</f>
        <v>46279.5987643354</v>
      </c>
    </row>
    <row r="1189" customFormat="false" ht="15" hidden="false" customHeight="true" outlineLevel="0" collapsed="false">
      <c r="A1189" s="42"/>
      <c r="B1189" s="42"/>
      <c r="C1189" s="42"/>
      <c r="D1189" s="42"/>
      <c r="E1189" s="42"/>
      <c r="F1189" s="51" t="n">
        <f aca="false">IF(OR(C1189="",D1189="",E1189="",E1189=0),0,C1189*D1189/E1189)</f>
        <v>0</v>
      </c>
      <c r="G1189" s="42"/>
      <c r="H1189" s="49" t="n">
        <f aca="true">IF(OR($A1189="",_xlfn.MINIFS($B$3:$B$5000,$A$3:$A$5000,$A1189,$B$3:$B$5000,"&gt;"&amp;$B1189)=0),NOW(),_xlfn.MINIFS($B$3:$B$5000,$A$3:$A$5000,$A1189,$B$3:$B$5000,"&gt;"&amp;$B1189))</f>
        <v>46279.5987643355</v>
      </c>
    </row>
    <row r="1190" customFormat="false" ht="15" hidden="false" customHeight="true" outlineLevel="0" collapsed="false">
      <c r="A1190" s="42"/>
      <c r="B1190" s="42"/>
      <c r="C1190" s="42"/>
      <c r="D1190" s="42"/>
      <c r="E1190" s="42"/>
      <c r="F1190" s="51" t="n">
        <f aca="false">IF(OR(C1190="",D1190="",E1190="",E1190=0),0,C1190*D1190/E1190)</f>
        <v>0</v>
      </c>
      <c r="G1190" s="42"/>
      <c r="H1190" s="49" t="n">
        <f aca="true">IF(OR($A1190="",_xlfn.MINIFS($B$3:$B$5000,$A$3:$A$5000,$A1190,$B$3:$B$5000,"&gt;"&amp;$B1190)=0),NOW(),_xlfn.MINIFS($B$3:$B$5000,$A$3:$A$5000,$A1190,$B$3:$B$5000,"&gt;"&amp;$B1190))</f>
        <v>46279.5987643355</v>
      </c>
    </row>
    <row r="1191" customFormat="false" ht="15" hidden="false" customHeight="true" outlineLevel="0" collapsed="false">
      <c r="A1191" s="42"/>
      <c r="B1191" s="42"/>
      <c r="C1191" s="42"/>
      <c r="D1191" s="42"/>
      <c r="E1191" s="42"/>
      <c r="F1191" s="51" t="n">
        <f aca="false">IF(OR(C1191="",D1191="",E1191="",E1191=0),0,C1191*D1191/E1191)</f>
        <v>0</v>
      </c>
      <c r="G1191" s="42"/>
      <c r="H1191" s="49" t="n">
        <f aca="true">IF(OR($A1191="",_xlfn.MINIFS($B$3:$B$5000,$A$3:$A$5000,$A1191,$B$3:$B$5000,"&gt;"&amp;$B1191)=0),NOW(),_xlfn.MINIFS($B$3:$B$5000,$A$3:$A$5000,$A1191,$B$3:$B$5000,"&gt;"&amp;$B1191))</f>
        <v>46279.5987643356</v>
      </c>
    </row>
    <row r="1192" customFormat="false" ht="15" hidden="false" customHeight="true" outlineLevel="0" collapsed="false">
      <c r="A1192" s="42"/>
      <c r="B1192" s="42"/>
      <c r="C1192" s="42"/>
      <c r="D1192" s="42"/>
      <c r="E1192" s="42"/>
      <c r="F1192" s="51" t="n">
        <f aca="false">IF(OR(C1192="",D1192="",E1192="",E1192=0),0,C1192*D1192/E1192)</f>
        <v>0</v>
      </c>
      <c r="G1192" s="42"/>
      <c r="H1192" s="49" t="n">
        <f aca="true">IF(OR($A1192="",_xlfn.MINIFS($B$3:$B$5000,$A$3:$A$5000,$A1192,$B$3:$B$5000,"&gt;"&amp;$B1192)=0),NOW(),_xlfn.MINIFS($B$3:$B$5000,$A$3:$A$5000,$A1192,$B$3:$B$5000,"&gt;"&amp;$B1192))</f>
        <v>46279.5987643356</v>
      </c>
    </row>
    <row r="1193" customFormat="false" ht="15" hidden="false" customHeight="true" outlineLevel="0" collapsed="false">
      <c r="A1193" s="42"/>
      <c r="B1193" s="42"/>
      <c r="C1193" s="42"/>
      <c r="D1193" s="42"/>
      <c r="E1193" s="42"/>
      <c r="F1193" s="51" t="n">
        <f aca="false">IF(OR(C1193="",D1193="",E1193="",E1193=0),0,C1193*D1193/E1193)</f>
        <v>0</v>
      </c>
      <c r="G1193" s="42"/>
      <c r="H1193" s="49" t="n">
        <f aca="true">IF(OR($A1193="",_xlfn.MINIFS($B$3:$B$5000,$A$3:$A$5000,$A1193,$B$3:$B$5000,"&gt;"&amp;$B1193)=0),NOW(),_xlfn.MINIFS($B$3:$B$5000,$A$3:$A$5000,$A1193,$B$3:$B$5000,"&gt;"&amp;$B1193))</f>
        <v>46279.5987643357</v>
      </c>
    </row>
    <row r="1194" customFormat="false" ht="15" hidden="false" customHeight="true" outlineLevel="0" collapsed="false">
      <c r="A1194" s="42"/>
      <c r="B1194" s="42"/>
      <c r="C1194" s="42"/>
      <c r="D1194" s="42"/>
      <c r="E1194" s="42"/>
      <c r="F1194" s="51" t="n">
        <f aca="false">IF(OR(C1194="",D1194="",E1194="",E1194=0),0,C1194*D1194/E1194)</f>
        <v>0</v>
      </c>
      <c r="G1194" s="42"/>
      <c r="H1194" s="49" t="n">
        <f aca="true">IF(OR($A1194="",_xlfn.MINIFS($B$3:$B$5000,$A$3:$A$5000,$A1194,$B$3:$B$5000,"&gt;"&amp;$B1194)=0),NOW(),_xlfn.MINIFS($B$3:$B$5000,$A$3:$A$5000,$A1194,$B$3:$B$5000,"&gt;"&amp;$B1194))</f>
        <v>46279.5987643357</v>
      </c>
    </row>
    <row r="1195" customFormat="false" ht="15" hidden="false" customHeight="true" outlineLevel="0" collapsed="false">
      <c r="A1195" s="42"/>
      <c r="B1195" s="42"/>
      <c r="C1195" s="42"/>
      <c r="D1195" s="42"/>
      <c r="E1195" s="42"/>
      <c r="F1195" s="51" t="n">
        <f aca="false">IF(OR(C1195="",D1195="",E1195="",E1195=0),0,C1195*D1195/E1195)</f>
        <v>0</v>
      </c>
      <c r="G1195" s="42"/>
      <c r="H1195" s="49" t="n">
        <f aca="true">IF(OR($A1195="",_xlfn.MINIFS($B$3:$B$5000,$A$3:$A$5000,$A1195,$B$3:$B$5000,"&gt;"&amp;$B1195)=0),NOW(),_xlfn.MINIFS($B$3:$B$5000,$A$3:$A$5000,$A1195,$B$3:$B$5000,"&gt;"&amp;$B1195))</f>
        <v>46279.5987643358</v>
      </c>
    </row>
    <row r="1196" customFormat="false" ht="15" hidden="false" customHeight="true" outlineLevel="0" collapsed="false">
      <c r="A1196" s="42"/>
      <c r="B1196" s="42"/>
      <c r="C1196" s="42"/>
      <c r="D1196" s="42"/>
      <c r="E1196" s="42"/>
      <c r="F1196" s="51" t="n">
        <f aca="false">IF(OR(C1196="",D1196="",E1196="",E1196=0),0,C1196*D1196/E1196)</f>
        <v>0</v>
      </c>
      <c r="G1196" s="42"/>
      <c r="H1196" s="49" t="n">
        <f aca="true">IF(OR($A1196="",_xlfn.MINIFS($B$3:$B$5000,$A$3:$A$5000,$A1196,$B$3:$B$5000,"&gt;"&amp;$B1196)=0),NOW(),_xlfn.MINIFS($B$3:$B$5000,$A$3:$A$5000,$A1196,$B$3:$B$5000,"&gt;"&amp;$B1196))</f>
        <v>46279.5987643358</v>
      </c>
    </row>
    <row r="1197" customFormat="false" ht="15" hidden="false" customHeight="true" outlineLevel="0" collapsed="false">
      <c r="A1197" s="42"/>
      <c r="B1197" s="42"/>
      <c r="C1197" s="42"/>
      <c r="D1197" s="42"/>
      <c r="E1197" s="42"/>
      <c r="F1197" s="51" t="n">
        <f aca="false">IF(OR(C1197="",D1197="",E1197="",E1197=0),0,C1197*D1197/E1197)</f>
        <v>0</v>
      </c>
      <c r="G1197" s="42"/>
      <c r="H1197" s="49" t="n">
        <f aca="true">IF(OR($A1197="",_xlfn.MINIFS($B$3:$B$5000,$A$3:$A$5000,$A1197,$B$3:$B$5000,"&gt;"&amp;$B1197)=0),NOW(),_xlfn.MINIFS($B$3:$B$5000,$A$3:$A$5000,$A1197,$B$3:$B$5000,"&gt;"&amp;$B1197))</f>
        <v>46279.5987643359</v>
      </c>
    </row>
    <row r="1198" customFormat="false" ht="15" hidden="false" customHeight="true" outlineLevel="0" collapsed="false">
      <c r="A1198" s="42"/>
      <c r="B1198" s="42"/>
      <c r="C1198" s="42"/>
      <c r="D1198" s="42"/>
      <c r="E1198" s="42"/>
      <c r="F1198" s="51" t="n">
        <f aca="false">IF(OR(C1198="",D1198="",E1198="",E1198=0),0,C1198*D1198/E1198)</f>
        <v>0</v>
      </c>
      <c r="G1198" s="42"/>
      <c r="H1198" s="49" t="n">
        <f aca="true">IF(OR($A1198="",_xlfn.MINIFS($B$3:$B$5000,$A$3:$A$5000,$A1198,$B$3:$B$5000,"&gt;"&amp;$B1198)=0),NOW(),_xlfn.MINIFS($B$3:$B$5000,$A$3:$A$5000,$A1198,$B$3:$B$5000,"&gt;"&amp;$B1198))</f>
        <v>46279.5987643359</v>
      </c>
    </row>
    <row r="1199" customFormat="false" ht="15" hidden="false" customHeight="true" outlineLevel="0" collapsed="false">
      <c r="A1199" s="42"/>
      <c r="B1199" s="42"/>
      <c r="C1199" s="42"/>
      <c r="D1199" s="42"/>
      <c r="E1199" s="42"/>
      <c r="F1199" s="51" t="n">
        <f aca="false">IF(OR(C1199="",D1199="",E1199="",E1199=0),0,C1199*D1199/E1199)</f>
        <v>0</v>
      </c>
      <c r="G1199" s="42"/>
      <c r="H1199" s="49" t="n">
        <f aca="true">IF(OR($A1199="",_xlfn.MINIFS($B$3:$B$5000,$A$3:$A$5000,$A1199,$B$3:$B$5000,"&gt;"&amp;$B1199)=0),NOW(),_xlfn.MINIFS($B$3:$B$5000,$A$3:$A$5000,$A1199,$B$3:$B$5000,"&gt;"&amp;$B1199))</f>
        <v>46279.598764336</v>
      </c>
    </row>
    <row r="1200" customFormat="false" ht="15" hidden="false" customHeight="true" outlineLevel="0" collapsed="false">
      <c r="A1200" s="42"/>
      <c r="B1200" s="42"/>
      <c r="C1200" s="42"/>
      <c r="D1200" s="42"/>
      <c r="E1200" s="42"/>
      <c r="F1200" s="51" t="n">
        <f aca="false">IF(OR(C1200="",D1200="",E1200="",E1200=0),0,C1200*D1200/E1200)</f>
        <v>0</v>
      </c>
      <c r="G1200" s="42"/>
      <c r="H1200" s="49" t="n">
        <f aca="true">IF(OR($A1200="",_xlfn.MINIFS($B$3:$B$5000,$A$3:$A$5000,$A1200,$B$3:$B$5000,"&gt;"&amp;$B1200)=0),NOW(),_xlfn.MINIFS($B$3:$B$5000,$A$3:$A$5000,$A1200,$B$3:$B$5000,"&gt;"&amp;$B1200))</f>
        <v>46279.598764336</v>
      </c>
    </row>
    <row r="1201" customFormat="false" ht="15" hidden="false" customHeight="true" outlineLevel="0" collapsed="false">
      <c r="A1201" s="42"/>
      <c r="B1201" s="42"/>
      <c r="C1201" s="42"/>
      <c r="D1201" s="42"/>
      <c r="E1201" s="42"/>
      <c r="F1201" s="51" t="n">
        <f aca="false">IF(OR(C1201="",D1201="",E1201="",E1201=0),0,C1201*D1201/E1201)</f>
        <v>0</v>
      </c>
      <c r="G1201" s="42"/>
      <c r="H1201" s="49" t="n">
        <f aca="true">IF(OR($A1201="",_xlfn.MINIFS($B$3:$B$5000,$A$3:$A$5000,$A1201,$B$3:$B$5000,"&gt;"&amp;$B1201)=0),NOW(),_xlfn.MINIFS($B$3:$B$5000,$A$3:$A$5000,$A1201,$B$3:$B$5000,"&gt;"&amp;$B1201))</f>
        <v>46279.5987643361</v>
      </c>
    </row>
    <row r="1202" customFormat="false" ht="15" hidden="false" customHeight="true" outlineLevel="0" collapsed="false">
      <c r="A1202" s="42"/>
      <c r="B1202" s="42"/>
      <c r="C1202" s="42"/>
      <c r="D1202" s="42"/>
      <c r="E1202" s="42"/>
      <c r="F1202" s="51" t="n">
        <f aca="false">IF(OR(C1202="",D1202="",E1202="",E1202=0),0,C1202*D1202/E1202)</f>
        <v>0</v>
      </c>
      <c r="G1202" s="42"/>
      <c r="H1202" s="49" t="n">
        <f aca="true">IF(OR($A1202="",_xlfn.MINIFS($B$3:$B$5000,$A$3:$A$5000,$A1202,$B$3:$B$5000,"&gt;"&amp;$B1202)=0),NOW(),_xlfn.MINIFS($B$3:$B$5000,$A$3:$A$5000,$A1202,$B$3:$B$5000,"&gt;"&amp;$B1202))</f>
        <v>46279.5987643361</v>
      </c>
    </row>
    <row r="1203" customFormat="false" ht="15" hidden="false" customHeight="true" outlineLevel="0" collapsed="false">
      <c r="A1203" s="42"/>
      <c r="B1203" s="42"/>
      <c r="C1203" s="42"/>
      <c r="D1203" s="42"/>
      <c r="E1203" s="42"/>
      <c r="F1203" s="51" t="n">
        <f aca="false">IF(OR(C1203="",D1203="",E1203="",E1203=0),0,C1203*D1203/E1203)</f>
        <v>0</v>
      </c>
      <c r="G1203" s="42"/>
      <c r="H1203" s="49" t="n">
        <f aca="true">IF(OR($A1203="",_xlfn.MINIFS($B$3:$B$5000,$A$3:$A$5000,$A1203,$B$3:$B$5000,"&gt;"&amp;$B1203)=0),NOW(),_xlfn.MINIFS($B$3:$B$5000,$A$3:$A$5000,$A1203,$B$3:$B$5000,"&gt;"&amp;$B1203))</f>
        <v>46279.5987643362</v>
      </c>
    </row>
    <row r="1204" customFormat="false" ht="15" hidden="false" customHeight="true" outlineLevel="0" collapsed="false">
      <c r="A1204" s="42"/>
      <c r="B1204" s="42"/>
      <c r="C1204" s="42"/>
      <c r="D1204" s="42"/>
      <c r="E1204" s="42"/>
      <c r="F1204" s="51" t="n">
        <f aca="false">IF(OR(C1204="",D1204="",E1204="",E1204=0),0,C1204*D1204/E1204)</f>
        <v>0</v>
      </c>
      <c r="G1204" s="42"/>
      <c r="H1204" s="49" t="n">
        <f aca="true">IF(OR($A1204="",_xlfn.MINIFS($B$3:$B$5000,$A$3:$A$5000,$A1204,$B$3:$B$5000,"&gt;"&amp;$B1204)=0),NOW(),_xlfn.MINIFS($B$3:$B$5000,$A$3:$A$5000,$A1204,$B$3:$B$5000,"&gt;"&amp;$B1204))</f>
        <v>46279.5987643362</v>
      </c>
    </row>
    <row r="1205" customFormat="false" ht="15" hidden="false" customHeight="true" outlineLevel="0" collapsed="false">
      <c r="A1205" s="42"/>
      <c r="B1205" s="42"/>
      <c r="C1205" s="42"/>
      <c r="D1205" s="42"/>
      <c r="E1205" s="42"/>
      <c r="F1205" s="51" t="n">
        <f aca="false">IF(OR(C1205="",D1205="",E1205="",E1205=0),0,C1205*D1205/E1205)</f>
        <v>0</v>
      </c>
      <c r="G1205" s="42"/>
      <c r="H1205" s="49" t="n">
        <f aca="true">IF(OR($A1205="",_xlfn.MINIFS($B$3:$B$5000,$A$3:$A$5000,$A1205,$B$3:$B$5000,"&gt;"&amp;$B1205)=0),NOW(),_xlfn.MINIFS($B$3:$B$5000,$A$3:$A$5000,$A1205,$B$3:$B$5000,"&gt;"&amp;$B1205))</f>
        <v>46279.5987643363</v>
      </c>
    </row>
    <row r="1206" customFormat="false" ht="15" hidden="false" customHeight="true" outlineLevel="0" collapsed="false">
      <c r="A1206" s="42"/>
      <c r="B1206" s="42"/>
      <c r="C1206" s="42"/>
      <c r="D1206" s="42"/>
      <c r="E1206" s="42"/>
      <c r="F1206" s="51" t="n">
        <f aca="false">IF(OR(C1206="",D1206="",E1206="",E1206=0),0,C1206*D1206/E1206)</f>
        <v>0</v>
      </c>
      <c r="G1206" s="42"/>
      <c r="H1206" s="49" t="n">
        <f aca="true">IF(OR($A1206="",_xlfn.MINIFS($B$3:$B$5000,$A$3:$A$5000,$A1206,$B$3:$B$5000,"&gt;"&amp;$B1206)=0),NOW(),_xlfn.MINIFS($B$3:$B$5000,$A$3:$A$5000,$A1206,$B$3:$B$5000,"&gt;"&amp;$B1206))</f>
        <v>46279.5987643363</v>
      </c>
    </row>
    <row r="1207" customFormat="false" ht="15" hidden="false" customHeight="true" outlineLevel="0" collapsed="false">
      <c r="A1207" s="42"/>
      <c r="B1207" s="42"/>
      <c r="C1207" s="42"/>
      <c r="D1207" s="42"/>
      <c r="E1207" s="42"/>
      <c r="F1207" s="51" t="n">
        <f aca="false">IF(OR(C1207="",D1207="",E1207="",E1207=0),0,C1207*D1207/E1207)</f>
        <v>0</v>
      </c>
      <c r="G1207" s="42"/>
      <c r="H1207" s="49" t="n">
        <f aca="true">IF(OR($A1207="",_xlfn.MINIFS($B$3:$B$5000,$A$3:$A$5000,$A1207,$B$3:$B$5000,"&gt;"&amp;$B1207)=0),NOW(),_xlfn.MINIFS($B$3:$B$5000,$A$3:$A$5000,$A1207,$B$3:$B$5000,"&gt;"&amp;$B1207))</f>
        <v>46279.5987643364</v>
      </c>
    </row>
    <row r="1208" customFormat="false" ht="15" hidden="false" customHeight="true" outlineLevel="0" collapsed="false">
      <c r="A1208" s="42"/>
      <c r="B1208" s="42"/>
      <c r="C1208" s="42"/>
      <c r="D1208" s="42"/>
      <c r="E1208" s="42"/>
      <c r="F1208" s="51" t="n">
        <f aca="false">IF(OR(C1208="",D1208="",E1208="",E1208=0),0,C1208*D1208/E1208)</f>
        <v>0</v>
      </c>
      <c r="G1208" s="42"/>
      <c r="H1208" s="49" t="n">
        <f aca="true">IF(OR($A1208="",_xlfn.MINIFS($B$3:$B$5000,$A$3:$A$5000,$A1208,$B$3:$B$5000,"&gt;"&amp;$B1208)=0),NOW(),_xlfn.MINIFS($B$3:$B$5000,$A$3:$A$5000,$A1208,$B$3:$B$5000,"&gt;"&amp;$B1208))</f>
        <v>46279.5987643364</v>
      </c>
    </row>
    <row r="1209" customFormat="false" ht="15" hidden="false" customHeight="true" outlineLevel="0" collapsed="false">
      <c r="A1209" s="42"/>
      <c r="B1209" s="42"/>
      <c r="C1209" s="42"/>
      <c r="D1209" s="42"/>
      <c r="E1209" s="42"/>
      <c r="F1209" s="51" t="n">
        <f aca="false">IF(OR(C1209="",D1209="",E1209="",E1209=0),0,C1209*D1209/E1209)</f>
        <v>0</v>
      </c>
      <c r="G1209" s="42"/>
      <c r="H1209" s="49" t="n">
        <f aca="true">IF(OR($A1209="",_xlfn.MINIFS($B$3:$B$5000,$A$3:$A$5000,$A1209,$B$3:$B$5000,"&gt;"&amp;$B1209)=0),NOW(),_xlfn.MINIFS($B$3:$B$5000,$A$3:$A$5000,$A1209,$B$3:$B$5000,"&gt;"&amp;$B1209))</f>
        <v>46279.5987643365</v>
      </c>
    </row>
    <row r="1210" customFormat="false" ht="15" hidden="false" customHeight="true" outlineLevel="0" collapsed="false">
      <c r="A1210" s="42"/>
      <c r="B1210" s="42"/>
      <c r="C1210" s="42"/>
      <c r="D1210" s="42"/>
      <c r="E1210" s="42"/>
      <c r="F1210" s="51" t="n">
        <f aca="false">IF(OR(C1210="",D1210="",E1210="",E1210=0),0,C1210*D1210/E1210)</f>
        <v>0</v>
      </c>
      <c r="G1210" s="42"/>
      <c r="H1210" s="49" t="n">
        <f aca="true">IF(OR($A1210="",_xlfn.MINIFS($B$3:$B$5000,$A$3:$A$5000,$A1210,$B$3:$B$5000,"&gt;"&amp;$B1210)=0),NOW(),_xlfn.MINIFS($B$3:$B$5000,$A$3:$A$5000,$A1210,$B$3:$B$5000,"&gt;"&amp;$B1210))</f>
        <v>46279.5987643365</v>
      </c>
    </row>
    <row r="1211" customFormat="false" ht="15" hidden="false" customHeight="true" outlineLevel="0" collapsed="false">
      <c r="A1211" s="42"/>
      <c r="B1211" s="42"/>
      <c r="C1211" s="42"/>
      <c r="D1211" s="42"/>
      <c r="E1211" s="42"/>
      <c r="F1211" s="51" t="n">
        <f aca="false">IF(OR(C1211="",D1211="",E1211="",E1211=0),0,C1211*D1211/E1211)</f>
        <v>0</v>
      </c>
      <c r="G1211" s="42"/>
      <c r="H1211" s="49" t="n">
        <f aca="true">IF(OR($A1211="",_xlfn.MINIFS($B$3:$B$5000,$A$3:$A$5000,$A1211,$B$3:$B$5000,"&gt;"&amp;$B1211)=0),NOW(),_xlfn.MINIFS($B$3:$B$5000,$A$3:$A$5000,$A1211,$B$3:$B$5000,"&gt;"&amp;$B1211))</f>
        <v>46279.5987643366</v>
      </c>
    </row>
    <row r="1212" customFormat="false" ht="15" hidden="false" customHeight="true" outlineLevel="0" collapsed="false">
      <c r="A1212" s="42"/>
      <c r="B1212" s="42"/>
      <c r="C1212" s="42"/>
      <c r="D1212" s="42"/>
      <c r="E1212" s="42"/>
      <c r="F1212" s="51" t="n">
        <f aca="false">IF(OR(C1212="",D1212="",E1212="",E1212=0),0,C1212*D1212/E1212)</f>
        <v>0</v>
      </c>
      <c r="G1212" s="42"/>
      <c r="H1212" s="49" t="n">
        <f aca="true">IF(OR($A1212="",_xlfn.MINIFS($B$3:$B$5000,$A$3:$A$5000,$A1212,$B$3:$B$5000,"&gt;"&amp;$B1212)=0),NOW(),_xlfn.MINIFS($B$3:$B$5000,$A$3:$A$5000,$A1212,$B$3:$B$5000,"&gt;"&amp;$B1212))</f>
        <v>46279.5987643366</v>
      </c>
    </row>
    <row r="1213" customFormat="false" ht="15" hidden="false" customHeight="true" outlineLevel="0" collapsed="false">
      <c r="A1213" s="42"/>
      <c r="B1213" s="42"/>
      <c r="C1213" s="42"/>
      <c r="D1213" s="42"/>
      <c r="E1213" s="42"/>
      <c r="F1213" s="51" t="n">
        <f aca="false">IF(OR(C1213="",D1213="",E1213="",E1213=0),0,C1213*D1213/E1213)</f>
        <v>0</v>
      </c>
      <c r="G1213" s="42"/>
      <c r="H1213" s="49" t="n">
        <f aca="true">IF(OR($A1213="",_xlfn.MINIFS($B$3:$B$5000,$A$3:$A$5000,$A1213,$B$3:$B$5000,"&gt;"&amp;$B1213)=0),NOW(),_xlfn.MINIFS($B$3:$B$5000,$A$3:$A$5000,$A1213,$B$3:$B$5000,"&gt;"&amp;$B1213))</f>
        <v>46279.5987643367</v>
      </c>
    </row>
    <row r="1214" customFormat="false" ht="15" hidden="false" customHeight="true" outlineLevel="0" collapsed="false">
      <c r="A1214" s="42"/>
      <c r="B1214" s="42"/>
      <c r="C1214" s="42"/>
      <c r="D1214" s="42"/>
      <c r="E1214" s="42"/>
      <c r="F1214" s="51" t="n">
        <f aca="false">IF(OR(C1214="",D1214="",E1214="",E1214=0),0,C1214*D1214/E1214)</f>
        <v>0</v>
      </c>
      <c r="G1214" s="42"/>
      <c r="H1214" s="49" t="n">
        <f aca="true">IF(OR($A1214="",_xlfn.MINIFS($B$3:$B$5000,$A$3:$A$5000,$A1214,$B$3:$B$5000,"&gt;"&amp;$B1214)=0),NOW(),_xlfn.MINIFS($B$3:$B$5000,$A$3:$A$5000,$A1214,$B$3:$B$5000,"&gt;"&amp;$B1214))</f>
        <v>46279.5987643367</v>
      </c>
    </row>
    <row r="1215" customFormat="false" ht="15" hidden="false" customHeight="true" outlineLevel="0" collapsed="false">
      <c r="A1215" s="42"/>
      <c r="B1215" s="42"/>
      <c r="C1215" s="42"/>
      <c r="D1215" s="42"/>
      <c r="E1215" s="42"/>
      <c r="F1215" s="51" t="n">
        <f aca="false">IF(OR(C1215="",D1215="",E1215="",E1215=0),0,C1215*D1215/E1215)</f>
        <v>0</v>
      </c>
      <c r="G1215" s="42"/>
      <c r="H1215" s="49" t="n">
        <f aca="true">IF(OR($A1215="",_xlfn.MINIFS($B$3:$B$5000,$A$3:$A$5000,$A1215,$B$3:$B$5000,"&gt;"&amp;$B1215)=0),NOW(),_xlfn.MINIFS($B$3:$B$5000,$A$3:$A$5000,$A1215,$B$3:$B$5000,"&gt;"&amp;$B1215))</f>
        <v>46279.5987643368</v>
      </c>
    </row>
    <row r="1216" customFormat="false" ht="15" hidden="false" customHeight="true" outlineLevel="0" collapsed="false">
      <c r="A1216" s="42"/>
      <c r="B1216" s="42"/>
      <c r="C1216" s="42"/>
      <c r="D1216" s="42"/>
      <c r="E1216" s="42"/>
      <c r="F1216" s="51" t="n">
        <f aca="false">IF(OR(C1216="",D1216="",E1216="",E1216=0),0,C1216*D1216/E1216)</f>
        <v>0</v>
      </c>
      <c r="G1216" s="42"/>
      <c r="H1216" s="49" t="n">
        <f aca="true">IF(OR($A1216="",_xlfn.MINIFS($B$3:$B$5000,$A$3:$A$5000,$A1216,$B$3:$B$5000,"&gt;"&amp;$B1216)=0),NOW(),_xlfn.MINIFS($B$3:$B$5000,$A$3:$A$5000,$A1216,$B$3:$B$5000,"&gt;"&amp;$B1216))</f>
        <v>46279.5987643369</v>
      </c>
    </row>
    <row r="1217" customFormat="false" ht="15" hidden="false" customHeight="true" outlineLevel="0" collapsed="false">
      <c r="A1217" s="42"/>
      <c r="B1217" s="42"/>
      <c r="C1217" s="42"/>
      <c r="D1217" s="42"/>
      <c r="E1217" s="42"/>
      <c r="F1217" s="51" t="n">
        <f aca="false">IF(OR(C1217="",D1217="",E1217="",E1217=0),0,C1217*D1217/E1217)</f>
        <v>0</v>
      </c>
      <c r="G1217" s="42"/>
      <c r="H1217" s="49" t="n">
        <f aca="true">IF(OR($A1217="",_xlfn.MINIFS($B$3:$B$5000,$A$3:$A$5000,$A1217,$B$3:$B$5000,"&gt;"&amp;$B1217)=0),NOW(),_xlfn.MINIFS($B$3:$B$5000,$A$3:$A$5000,$A1217,$B$3:$B$5000,"&gt;"&amp;$B1217))</f>
        <v>46279.5987643369</v>
      </c>
    </row>
    <row r="1218" customFormat="false" ht="15" hidden="false" customHeight="true" outlineLevel="0" collapsed="false">
      <c r="A1218" s="42"/>
      <c r="B1218" s="42"/>
      <c r="C1218" s="42"/>
      <c r="D1218" s="42"/>
      <c r="E1218" s="42"/>
      <c r="F1218" s="51" t="n">
        <f aca="false">IF(OR(C1218="",D1218="",E1218="",E1218=0),0,C1218*D1218/E1218)</f>
        <v>0</v>
      </c>
      <c r="G1218" s="42"/>
      <c r="H1218" s="49" t="n">
        <f aca="true">IF(OR($A1218="",_xlfn.MINIFS($B$3:$B$5000,$A$3:$A$5000,$A1218,$B$3:$B$5000,"&gt;"&amp;$B1218)=0),NOW(),_xlfn.MINIFS($B$3:$B$5000,$A$3:$A$5000,$A1218,$B$3:$B$5000,"&gt;"&amp;$B1218))</f>
        <v>46279.598764337</v>
      </c>
    </row>
    <row r="1219" customFormat="false" ht="15" hidden="false" customHeight="true" outlineLevel="0" collapsed="false">
      <c r="A1219" s="42"/>
      <c r="B1219" s="42"/>
      <c r="C1219" s="42"/>
      <c r="D1219" s="42"/>
      <c r="E1219" s="42"/>
      <c r="F1219" s="51" t="n">
        <f aca="false">IF(OR(C1219="",D1219="",E1219="",E1219=0),0,C1219*D1219/E1219)</f>
        <v>0</v>
      </c>
      <c r="G1219" s="42"/>
      <c r="H1219" s="49" t="n">
        <f aca="true">IF(OR($A1219="",_xlfn.MINIFS($B$3:$B$5000,$A$3:$A$5000,$A1219,$B$3:$B$5000,"&gt;"&amp;$B1219)=0),NOW(),_xlfn.MINIFS($B$3:$B$5000,$A$3:$A$5000,$A1219,$B$3:$B$5000,"&gt;"&amp;$B1219))</f>
        <v>46279.598764337</v>
      </c>
    </row>
    <row r="1220" customFormat="false" ht="15" hidden="false" customHeight="true" outlineLevel="0" collapsed="false">
      <c r="A1220" s="42"/>
      <c r="B1220" s="42"/>
      <c r="C1220" s="42"/>
      <c r="D1220" s="42"/>
      <c r="E1220" s="42"/>
      <c r="F1220" s="51" t="n">
        <f aca="false">IF(OR(C1220="",D1220="",E1220="",E1220=0),0,C1220*D1220/E1220)</f>
        <v>0</v>
      </c>
      <c r="G1220" s="42"/>
      <c r="H1220" s="49" t="n">
        <f aca="true">IF(OR($A1220="",_xlfn.MINIFS($B$3:$B$5000,$A$3:$A$5000,$A1220,$B$3:$B$5000,"&gt;"&amp;$B1220)=0),NOW(),_xlfn.MINIFS($B$3:$B$5000,$A$3:$A$5000,$A1220,$B$3:$B$5000,"&gt;"&amp;$B1220))</f>
        <v>46279.5987643371</v>
      </c>
    </row>
    <row r="1221" customFormat="false" ht="15" hidden="false" customHeight="true" outlineLevel="0" collapsed="false">
      <c r="A1221" s="42"/>
      <c r="B1221" s="42"/>
      <c r="C1221" s="42"/>
      <c r="D1221" s="42"/>
      <c r="E1221" s="42"/>
      <c r="F1221" s="51" t="n">
        <f aca="false">IF(OR(C1221="",D1221="",E1221="",E1221=0),0,C1221*D1221/E1221)</f>
        <v>0</v>
      </c>
      <c r="G1221" s="42"/>
      <c r="H1221" s="49" t="n">
        <f aca="true">IF(OR($A1221="",_xlfn.MINIFS($B$3:$B$5000,$A$3:$A$5000,$A1221,$B$3:$B$5000,"&gt;"&amp;$B1221)=0),NOW(),_xlfn.MINIFS($B$3:$B$5000,$A$3:$A$5000,$A1221,$B$3:$B$5000,"&gt;"&amp;$B1221))</f>
        <v>46279.5987643371</v>
      </c>
    </row>
    <row r="1222" customFormat="false" ht="15" hidden="false" customHeight="true" outlineLevel="0" collapsed="false">
      <c r="A1222" s="42"/>
      <c r="B1222" s="42"/>
      <c r="C1222" s="42"/>
      <c r="D1222" s="42"/>
      <c r="E1222" s="42"/>
      <c r="F1222" s="51" t="n">
        <f aca="false">IF(OR(C1222="",D1222="",E1222="",E1222=0),0,C1222*D1222/E1222)</f>
        <v>0</v>
      </c>
      <c r="G1222" s="42"/>
      <c r="H1222" s="49" t="n">
        <f aca="true">IF(OR($A1222="",_xlfn.MINIFS($B$3:$B$5000,$A$3:$A$5000,$A1222,$B$3:$B$5000,"&gt;"&amp;$B1222)=0),NOW(),_xlfn.MINIFS($B$3:$B$5000,$A$3:$A$5000,$A1222,$B$3:$B$5000,"&gt;"&amp;$B1222))</f>
        <v>46279.5987643372</v>
      </c>
    </row>
    <row r="1223" customFormat="false" ht="15" hidden="false" customHeight="true" outlineLevel="0" collapsed="false">
      <c r="A1223" s="42"/>
      <c r="B1223" s="42"/>
      <c r="C1223" s="42"/>
      <c r="D1223" s="42"/>
      <c r="E1223" s="42"/>
      <c r="F1223" s="51" t="n">
        <f aca="false">IF(OR(C1223="",D1223="",E1223="",E1223=0),0,C1223*D1223/E1223)</f>
        <v>0</v>
      </c>
      <c r="G1223" s="42"/>
      <c r="H1223" s="49" t="n">
        <f aca="true">IF(OR($A1223="",_xlfn.MINIFS($B$3:$B$5000,$A$3:$A$5000,$A1223,$B$3:$B$5000,"&gt;"&amp;$B1223)=0),NOW(),_xlfn.MINIFS($B$3:$B$5000,$A$3:$A$5000,$A1223,$B$3:$B$5000,"&gt;"&amp;$B1223))</f>
        <v>46279.5987643372</v>
      </c>
    </row>
    <row r="1224" customFormat="false" ht="15" hidden="false" customHeight="true" outlineLevel="0" collapsed="false">
      <c r="A1224" s="42"/>
      <c r="B1224" s="42"/>
      <c r="C1224" s="42"/>
      <c r="D1224" s="42"/>
      <c r="E1224" s="42"/>
      <c r="F1224" s="51" t="n">
        <f aca="false">IF(OR(C1224="",D1224="",E1224="",E1224=0),0,C1224*D1224/E1224)</f>
        <v>0</v>
      </c>
      <c r="G1224" s="42"/>
      <c r="H1224" s="49" t="n">
        <f aca="true">IF(OR($A1224="",_xlfn.MINIFS($B$3:$B$5000,$A$3:$A$5000,$A1224,$B$3:$B$5000,"&gt;"&amp;$B1224)=0),NOW(),_xlfn.MINIFS($B$3:$B$5000,$A$3:$A$5000,$A1224,$B$3:$B$5000,"&gt;"&amp;$B1224))</f>
        <v>46279.5987643373</v>
      </c>
    </row>
    <row r="1225" customFormat="false" ht="15" hidden="false" customHeight="true" outlineLevel="0" collapsed="false">
      <c r="A1225" s="42"/>
      <c r="B1225" s="42"/>
      <c r="C1225" s="42"/>
      <c r="D1225" s="42"/>
      <c r="E1225" s="42"/>
      <c r="F1225" s="51" t="n">
        <f aca="false">IF(OR(C1225="",D1225="",E1225="",E1225=0),0,C1225*D1225/E1225)</f>
        <v>0</v>
      </c>
      <c r="G1225" s="42"/>
      <c r="H1225" s="49" t="n">
        <f aca="true">IF(OR($A1225="",_xlfn.MINIFS($B$3:$B$5000,$A$3:$A$5000,$A1225,$B$3:$B$5000,"&gt;"&amp;$B1225)=0),NOW(),_xlfn.MINIFS($B$3:$B$5000,$A$3:$A$5000,$A1225,$B$3:$B$5000,"&gt;"&amp;$B1225))</f>
        <v>46279.5987643373</v>
      </c>
    </row>
    <row r="1226" customFormat="false" ht="15" hidden="false" customHeight="true" outlineLevel="0" collapsed="false">
      <c r="A1226" s="42"/>
      <c r="B1226" s="42"/>
      <c r="C1226" s="42"/>
      <c r="D1226" s="42"/>
      <c r="E1226" s="42"/>
      <c r="F1226" s="51" t="n">
        <f aca="false">IF(OR(C1226="",D1226="",E1226="",E1226=0),0,C1226*D1226/E1226)</f>
        <v>0</v>
      </c>
      <c r="G1226" s="42"/>
      <c r="H1226" s="49" t="n">
        <f aca="true">IF(OR($A1226="",_xlfn.MINIFS($B$3:$B$5000,$A$3:$A$5000,$A1226,$B$3:$B$5000,"&gt;"&amp;$B1226)=0),NOW(),_xlfn.MINIFS($B$3:$B$5000,$A$3:$A$5000,$A1226,$B$3:$B$5000,"&gt;"&amp;$B1226))</f>
        <v>46279.5987643374</v>
      </c>
    </row>
    <row r="1227" customFormat="false" ht="15" hidden="false" customHeight="true" outlineLevel="0" collapsed="false">
      <c r="A1227" s="42"/>
      <c r="B1227" s="42"/>
      <c r="C1227" s="42"/>
      <c r="D1227" s="42"/>
      <c r="E1227" s="42"/>
      <c r="F1227" s="51" t="n">
        <f aca="false">IF(OR(C1227="",D1227="",E1227="",E1227=0),0,C1227*D1227/E1227)</f>
        <v>0</v>
      </c>
      <c r="G1227" s="42"/>
      <c r="H1227" s="49" t="n">
        <f aca="true">IF(OR($A1227="",_xlfn.MINIFS($B$3:$B$5000,$A$3:$A$5000,$A1227,$B$3:$B$5000,"&gt;"&amp;$B1227)=0),NOW(),_xlfn.MINIFS($B$3:$B$5000,$A$3:$A$5000,$A1227,$B$3:$B$5000,"&gt;"&amp;$B1227))</f>
        <v>46279.5987643374</v>
      </c>
    </row>
    <row r="1228" customFormat="false" ht="15" hidden="false" customHeight="true" outlineLevel="0" collapsed="false">
      <c r="A1228" s="42"/>
      <c r="B1228" s="42"/>
      <c r="C1228" s="42"/>
      <c r="D1228" s="42"/>
      <c r="E1228" s="42"/>
      <c r="F1228" s="51" t="n">
        <f aca="false">IF(OR(C1228="",D1228="",E1228="",E1228=0),0,C1228*D1228/E1228)</f>
        <v>0</v>
      </c>
      <c r="G1228" s="42"/>
      <c r="H1228" s="49" t="n">
        <f aca="true">IF(OR($A1228="",_xlfn.MINIFS($B$3:$B$5000,$A$3:$A$5000,$A1228,$B$3:$B$5000,"&gt;"&amp;$B1228)=0),NOW(),_xlfn.MINIFS($B$3:$B$5000,$A$3:$A$5000,$A1228,$B$3:$B$5000,"&gt;"&amp;$B1228))</f>
        <v>46279.5987643375</v>
      </c>
    </row>
    <row r="1229" customFormat="false" ht="15" hidden="false" customHeight="true" outlineLevel="0" collapsed="false">
      <c r="A1229" s="42"/>
      <c r="B1229" s="42"/>
      <c r="C1229" s="42"/>
      <c r="D1229" s="42"/>
      <c r="E1229" s="42"/>
      <c r="F1229" s="51" t="n">
        <f aca="false">IF(OR(C1229="",D1229="",E1229="",E1229=0),0,C1229*D1229/E1229)</f>
        <v>0</v>
      </c>
      <c r="G1229" s="42"/>
      <c r="H1229" s="49" t="n">
        <f aca="true">IF(OR($A1229="",_xlfn.MINIFS($B$3:$B$5000,$A$3:$A$5000,$A1229,$B$3:$B$5000,"&gt;"&amp;$B1229)=0),NOW(),_xlfn.MINIFS($B$3:$B$5000,$A$3:$A$5000,$A1229,$B$3:$B$5000,"&gt;"&amp;$B1229))</f>
        <v>46279.5987643375</v>
      </c>
    </row>
    <row r="1230" customFormat="false" ht="15" hidden="false" customHeight="true" outlineLevel="0" collapsed="false">
      <c r="A1230" s="42"/>
      <c r="B1230" s="42"/>
      <c r="C1230" s="42"/>
      <c r="D1230" s="42"/>
      <c r="E1230" s="42"/>
      <c r="F1230" s="51" t="n">
        <f aca="false">IF(OR(C1230="",D1230="",E1230="",E1230=0),0,C1230*D1230/E1230)</f>
        <v>0</v>
      </c>
      <c r="G1230" s="42"/>
      <c r="H1230" s="49" t="n">
        <f aca="true">IF(OR($A1230="",_xlfn.MINIFS($B$3:$B$5000,$A$3:$A$5000,$A1230,$B$3:$B$5000,"&gt;"&amp;$B1230)=0),NOW(),_xlfn.MINIFS($B$3:$B$5000,$A$3:$A$5000,$A1230,$B$3:$B$5000,"&gt;"&amp;$B1230))</f>
        <v>46279.5987643376</v>
      </c>
    </row>
    <row r="1231" customFormat="false" ht="15" hidden="false" customHeight="true" outlineLevel="0" collapsed="false">
      <c r="A1231" s="42"/>
      <c r="B1231" s="42"/>
      <c r="C1231" s="42"/>
      <c r="D1231" s="42"/>
      <c r="E1231" s="42"/>
      <c r="F1231" s="51" t="n">
        <f aca="false">IF(OR(C1231="",D1231="",E1231="",E1231=0),0,C1231*D1231/E1231)</f>
        <v>0</v>
      </c>
      <c r="G1231" s="42"/>
      <c r="H1231" s="49" t="n">
        <f aca="true">IF(OR($A1231="",_xlfn.MINIFS($B$3:$B$5000,$A$3:$A$5000,$A1231,$B$3:$B$5000,"&gt;"&amp;$B1231)=0),NOW(),_xlfn.MINIFS($B$3:$B$5000,$A$3:$A$5000,$A1231,$B$3:$B$5000,"&gt;"&amp;$B1231))</f>
        <v>46279.5987643376</v>
      </c>
    </row>
    <row r="1232" customFormat="false" ht="15" hidden="false" customHeight="true" outlineLevel="0" collapsed="false">
      <c r="A1232" s="42"/>
      <c r="B1232" s="42"/>
      <c r="C1232" s="42"/>
      <c r="D1232" s="42"/>
      <c r="E1232" s="42"/>
      <c r="F1232" s="51" t="n">
        <f aca="false">IF(OR(C1232="",D1232="",E1232="",E1232=0),0,C1232*D1232/E1232)</f>
        <v>0</v>
      </c>
      <c r="G1232" s="42"/>
      <c r="H1232" s="49" t="n">
        <f aca="true">IF(OR($A1232="",_xlfn.MINIFS($B$3:$B$5000,$A$3:$A$5000,$A1232,$B$3:$B$5000,"&gt;"&amp;$B1232)=0),NOW(),_xlfn.MINIFS($B$3:$B$5000,$A$3:$A$5000,$A1232,$B$3:$B$5000,"&gt;"&amp;$B1232))</f>
        <v>46279.5987643377</v>
      </c>
    </row>
    <row r="1233" customFormat="false" ht="15" hidden="false" customHeight="true" outlineLevel="0" collapsed="false">
      <c r="A1233" s="42"/>
      <c r="B1233" s="42"/>
      <c r="C1233" s="42"/>
      <c r="D1233" s="42"/>
      <c r="E1233" s="42"/>
      <c r="F1233" s="51" t="n">
        <f aca="false">IF(OR(C1233="",D1233="",E1233="",E1233=0),0,C1233*D1233/E1233)</f>
        <v>0</v>
      </c>
      <c r="G1233" s="42"/>
      <c r="H1233" s="49" t="n">
        <f aca="true">IF(OR($A1233="",_xlfn.MINIFS($B$3:$B$5000,$A$3:$A$5000,$A1233,$B$3:$B$5000,"&gt;"&amp;$B1233)=0),NOW(),_xlfn.MINIFS($B$3:$B$5000,$A$3:$A$5000,$A1233,$B$3:$B$5000,"&gt;"&amp;$B1233))</f>
        <v>46279.5987643377</v>
      </c>
    </row>
    <row r="1234" customFormat="false" ht="15" hidden="false" customHeight="true" outlineLevel="0" collapsed="false">
      <c r="A1234" s="42"/>
      <c r="B1234" s="42"/>
      <c r="C1234" s="42"/>
      <c r="D1234" s="42"/>
      <c r="E1234" s="42"/>
      <c r="F1234" s="51" t="n">
        <f aca="false">IF(OR(C1234="",D1234="",E1234="",E1234=0),0,C1234*D1234/E1234)</f>
        <v>0</v>
      </c>
      <c r="G1234" s="42"/>
      <c r="H1234" s="49" t="n">
        <f aca="true">IF(OR($A1234="",_xlfn.MINIFS($B$3:$B$5000,$A$3:$A$5000,$A1234,$B$3:$B$5000,"&gt;"&amp;$B1234)=0),NOW(),_xlfn.MINIFS($B$3:$B$5000,$A$3:$A$5000,$A1234,$B$3:$B$5000,"&gt;"&amp;$B1234))</f>
        <v>46279.5987643378</v>
      </c>
    </row>
    <row r="1235" customFormat="false" ht="15" hidden="false" customHeight="true" outlineLevel="0" collapsed="false">
      <c r="A1235" s="42"/>
      <c r="B1235" s="42"/>
      <c r="C1235" s="42"/>
      <c r="D1235" s="42"/>
      <c r="E1235" s="42"/>
      <c r="F1235" s="51" t="n">
        <f aca="false">IF(OR(C1235="",D1235="",E1235="",E1235=0),0,C1235*D1235/E1235)</f>
        <v>0</v>
      </c>
      <c r="G1235" s="42"/>
      <c r="H1235" s="49" t="n">
        <f aca="true">IF(OR($A1235="",_xlfn.MINIFS($B$3:$B$5000,$A$3:$A$5000,$A1235,$B$3:$B$5000,"&gt;"&amp;$B1235)=0),NOW(),_xlfn.MINIFS($B$3:$B$5000,$A$3:$A$5000,$A1235,$B$3:$B$5000,"&gt;"&amp;$B1235))</f>
        <v>46279.5987643378</v>
      </c>
    </row>
    <row r="1236" customFormat="false" ht="15" hidden="false" customHeight="true" outlineLevel="0" collapsed="false">
      <c r="A1236" s="42"/>
      <c r="B1236" s="42"/>
      <c r="C1236" s="42"/>
      <c r="D1236" s="42"/>
      <c r="E1236" s="42"/>
      <c r="F1236" s="51" t="n">
        <f aca="false">IF(OR(C1236="",D1236="",E1236="",E1236=0),0,C1236*D1236/E1236)</f>
        <v>0</v>
      </c>
      <c r="G1236" s="42"/>
      <c r="H1236" s="49" t="n">
        <f aca="true">IF(OR($A1236="",_xlfn.MINIFS($B$3:$B$5000,$A$3:$A$5000,$A1236,$B$3:$B$5000,"&gt;"&amp;$B1236)=0),NOW(),_xlfn.MINIFS($B$3:$B$5000,$A$3:$A$5000,$A1236,$B$3:$B$5000,"&gt;"&amp;$B1236))</f>
        <v>46279.5987643379</v>
      </c>
    </row>
    <row r="1237" customFormat="false" ht="15" hidden="false" customHeight="true" outlineLevel="0" collapsed="false">
      <c r="A1237" s="42"/>
      <c r="B1237" s="42"/>
      <c r="C1237" s="42"/>
      <c r="D1237" s="42"/>
      <c r="E1237" s="42"/>
      <c r="F1237" s="51" t="n">
        <f aca="false">IF(OR(C1237="",D1237="",E1237="",E1237=0),0,C1237*D1237/E1237)</f>
        <v>0</v>
      </c>
      <c r="G1237" s="42"/>
      <c r="H1237" s="49" t="n">
        <f aca="true">IF(OR($A1237="",_xlfn.MINIFS($B$3:$B$5000,$A$3:$A$5000,$A1237,$B$3:$B$5000,"&gt;"&amp;$B1237)=0),NOW(),_xlfn.MINIFS($B$3:$B$5000,$A$3:$A$5000,$A1237,$B$3:$B$5000,"&gt;"&amp;$B1237))</f>
        <v>46279.5987643379</v>
      </c>
    </row>
    <row r="1238" customFormat="false" ht="15" hidden="false" customHeight="true" outlineLevel="0" collapsed="false">
      <c r="A1238" s="42"/>
      <c r="B1238" s="42"/>
      <c r="C1238" s="42"/>
      <c r="D1238" s="42"/>
      <c r="E1238" s="42"/>
      <c r="F1238" s="51" t="n">
        <f aca="false">IF(OR(C1238="",D1238="",E1238="",E1238=0),0,C1238*D1238/E1238)</f>
        <v>0</v>
      </c>
      <c r="G1238" s="42"/>
      <c r="H1238" s="49" t="n">
        <f aca="true">IF(OR($A1238="",_xlfn.MINIFS($B$3:$B$5000,$A$3:$A$5000,$A1238,$B$3:$B$5000,"&gt;"&amp;$B1238)=0),NOW(),_xlfn.MINIFS($B$3:$B$5000,$A$3:$A$5000,$A1238,$B$3:$B$5000,"&gt;"&amp;$B1238))</f>
        <v>46279.598764338</v>
      </c>
    </row>
    <row r="1239" customFormat="false" ht="15" hidden="false" customHeight="true" outlineLevel="0" collapsed="false">
      <c r="A1239" s="42"/>
      <c r="B1239" s="42"/>
      <c r="C1239" s="42"/>
      <c r="D1239" s="42"/>
      <c r="E1239" s="42"/>
      <c r="F1239" s="51" t="n">
        <f aca="false">IF(OR(C1239="",D1239="",E1239="",E1239=0),0,C1239*D1239/E1239)</f>
        <v>0</v>
      </c>
      <c r="G1239" s="42"/>
      <c r="H1239" s="49" t="n">
        <f aca="true">IF(OR($A1239="",_xlfn.MINIFS($B$3:$B$5000,$A$3:$A$5000,$A1239,$B$3:$B$5000,"&gt;"&amp;$B1239)=0),NOW(),_xlfn.MINIFS($B$3:$B$5000,$A$3:$A$5000,$A1239,$B$3:$B$5000,"&gt;"&amp;$B1239))</f>
        <v>46279.598764338</v>
      </c>
    </row>
    <row r="1240" customFormat="false" ht="15" hidden="false" customHeight="true" outlineLevel="0" collapsed="false">
      <c r="A1240" s="42"/>
      <c r="B1240" s="42"/>
      <c r="C1240" s="42"/>
      <c r="D1240" s="42"/>
      <c r="E1240" s="42"/>
      <c r="F1240" s="51" t="n">
        <f aca="false">IF(OR(C1240="",D1240="",E1240="",E1240=0),0,C1240*D1240/E1240)</f>
        <v>0</v>
      </c>
      <c r="G1240" s="42"/>
      <c r="H1240" s="49" t="n">
        <f aca="true">IF(OR($A1240="",_xlfn.MINIFS($B$3:$B$5000,$A$3:$A$5000,$A1240,$B$3:$B$5000,"&gt;"&amp;$B1240)=0),NOW(),_xlfn.MINIFS($B$3:$B$5000,$A$3:$A$5000,$A1240,$B$3:$B$5000,"&gt;"&amp;$B1240))</f>
        <v>46279.5987643381</v>
      </c>
    </row>
    <row r="1241" customFormat="false" ht="15" hidden="false" customHeight="true" outlineLevel="0" collapsed="false">
      <c r="A1241" s="42"/>
      <c r="B1241" s="42"/>
      <c r="C1241" s="42"/>
      <c r="D1241" s="42"/>
      <c r="E1241" s="42"/>
      <c r="F1241" s="51" t="n">
        <f aca="false">IF(OR(C1241="",D1241="",E1241="",E1241=0),0,C1241*D1241/E1241)</f>
        <v>0</v>
      </c>
      <c r="G1241" s="42"/>
      <c r="H1241" s="49" t="n">
        <f aca="true">IF(OR($A1241="",_xlfn.MINIFS($B$3:$B$5000,$A$3:$A$5000,$A1241,$B$3:$B$5000,"&gt;"&amp;$B1241)=0),NOW(),_xlfn.MINIFS($B$3:$B$5000,$A$3:$A$5000,$A1241,$B$3:$B$5000,"&gt;"&amp;$B1241))</f>
        <v>46279.5987643381</v>
      </c>
    </row>
    <row r="1242" customFormat="false" ht="15" hidden="false" customHeight="true" outlineLevel="0" collapsed="false">
      <c r="A1242" s="42"/>
      <c r="B1242" s="42"/>
      <c r="C1242" s="42"/>
      <c r="D1242" s="42"/>
      <c r="E1242" s="42"/>
      <c r="F1242" s="51" t="n">
        <f aca="false">IF(OR(C1242="",D1242="",E1242="",E1242=0),0,C1242*D1242/E1242)</f>
        <v>0</v>
      </c>
      <c r="G1242" s="42"/>
      <c r="H1242" s="49" t="n">
        <f aca="true">IF(OR($A1242="",_xlfn.MINIFS($B$3:$B$5000,$A$3:$A$5000,$A1242,$B$3:$B$5000,"&gt;"&amp;$B1242)=0),NOW(),_xlfn.MINIFS($B$3:$B$5000,$A$3:$A$5000,$A1242,$B$3:$B$5000,"&gt;"&amp;$B1242))</f>
        <v>46279.5987643382</v>
      </c>
    </row>
    <row r="1243" customFormat="false" ht="15" hidden="false" customHeight="true" outlineLevel="0" collapsed="false">
      <c r="A1243" s="42"/>
      <c r="B1243" s="42"/>
      <c r="C1243" s="42"/>
      <c r="D1243" s="42"/>
      <c r="E1243" s="42"/>
      <c r="F1243" s="51" t="n">
        <f aca="false">IF(OR(C1243="",D1243="",E1243="",E1243=0),0,C1243*D1243/E1243)</f>
        <v>0</v>
      </c>
      <c r="G1243" s="42"/>
      <c r="H1243" s="49" t="n">
        <f aca="true">IF(OR($A1243="",_xlfn.MINIFS($B$3:$B$5000,$A$3:$A$5000,$A1243,$B$3:$B$5000,"&gt;"&amp;$B1243)=0),NOW(),_xlfn.MINIFS($B$3:$B$5000,$A$3:$A$5000,$A1243,$B$3:$B$5000,"&gt;"&amp;$B1243))</f>
        <v>46279.5987643382</v>
      </c>
    </row>
    <row r="1244" customFormat="false" ht="15" hidden="false" customHeight="true" outlineLevel="0" collapsed="false">
      <c r="A1244" s="42"/>
      <c r="B1244" s="42"/>
      <c r="C1244" s="42"/>
      <c r="D1244" s="42"/>
      <c r="E1244" s="42"/>
      <c r="F1244" s="51" t="n">
        <f aca="false">IF(OR(C1244="",D1244="",E1244="",E1244=0),0,C1244*D1244/E1244)</f>
        <v>0</v>
      </c>
      <c r="G1244" s="42"/>
      <c r="H1244" s="49" t="n">
        <f aca="true">IF(OR($A1244="",_xlfn.MINIFS($B$3:$B$5000,$A$3:$A$5000,$A1244,$B$3:$B$5000,"&gt;"&amp;$B1244)=0),NOW(),_xlfn.MINIFS($B$3:$B$5000,$A$3:$A$5000,$A1244,$B$3:$B$5000,"&gt;"&amp;$B1244))</f>
        <v>46279.5987643383</v>
      </c>
    </row>
    <row r="1245" customFormat="false" ht="15" hidden="false" customHeight="true" outlineLevel="0" collapsed="false">
      <c r="A1245" s="42"/>
      <c r="B1245" s="42"/>
      <c r="C1245" s="42"/>
      <c r="D1245" s="42"/>
      <c r="E1245" s="42"/>
      <c r="F1245" s="51" t="n">
        <f aca="false">IF(OR(C1245="",D1245="",E1245="",E1245=0),0,C1245*D1245/E1245)</f>
        <v>0</v>
      </c>
      <c r="G1245" s="42"/>
      <c r="H1245" s="49" t="n">
        <f aca="true">IF(OR($A1245="",_xlfn.MINIFS($B$3:$B$5000,$A$3:$A$5000,$A1245,$B$3:$B$5000,"&gt;"&amp;$B1245)=0),NOW(),_xlfn.MINIFS($B$3:$B$5000,$A$3:$A$5000,$A1245,$B$3:$B$5000,"&gt;"&amp;$B1245))</f>
        <v>46279.5987643385</v>
      </c>
    </row>
    <row r="1246" customFormat="false" ht="15" hidden="false" customHeight="true" outlineLevel="0" collapsed="false">
      <c r="A1246" s="42"/>
      <c r="B1246" s="42"/>
      <c r="C1246" s="42"/>
      <c r="D1246" s="42"/>
      <c r="E1246" s="42"/>
      <c r="F1246" s="51" t="n">
        <f aca="false">IF(OR(C1246="",D1246="",E1246="",E1246=0),0,C1246*D1246/E1246)</f>
        <v>0</v>
      </c>
      <c r="G1246" s="42"/>
      <c r="H1246" s="49" t="n">
        <f aca="true">IF(OR($A1246="",_xlfn.MINIFS($B$3:$B$5000,$A$3:$A$5000,$A1246,$B$3:$B$5000,"&gt;"&amp;$B1246)=0),NOW(),_xlfn.MINIFS($B$3:$B$5000,$A$3:$A$5000,$A1246,$B$3:$B$5000,"&gt;"&amp;$B1246))</f>
        <v>46279.5987643386</v>
      </c>
    </row>
    <row r="1247" customFormat="false" ht="15" hidden="false" customHeight="true" outlineLevel="0" collapsed="false">
      <c r="A1247" s="42"/>
      <c r="B1247" s="42"/>
      <c r="C1247" s="42"/>
      <c r="D1247" s="42"/>
      <c r="E1247" s="42"/>
      <c r="F1247" s="51" t="n">
        <f aca="false">IF(OR(C1247="",D1247="",E1247="",E1247=0),0,C1247*D1247/E1247)</f>
        <v>0</v>
      </c>
      <c r="G1247" s="42"/>
      <c r="H1247" s="49" t="n">
        <f aca="true">IF(OR($A1247="",_xlfn.MINIFS($B$3:$B$5000,$A$3:$A$5000,$A1247,$B$3:$B$5000,"&gt;"&amp;$B1247)=0),NOW(),_xlfn.MINIFS($B$3:$B$5000,$A$3:$A$5000,$A1247,$B$3:$B$5000,"&gt;"&amp;$B1247))</f>
        <v>46279.5987643387</v>
      </c>
    </row>
    <row r="1248" customFormat="false" ht="15" hidden="false" customHeight="true" outlineLevel="0" collapsed="false">
      <c r="A1248" s="42"/>
      <c r="B1248" s="42"/>
      <c r="C1248" s="42"/>
      <c r="D1248" s="42"/>
      <c r="E1248" s="42"/>
      <c r="F1248" s="51" t="n">
        <f aca="false">IF(OR(C1248="",D1248="",E1248="",E1248=0),0,C1248*D1248/E1248)</f>
        <v>0</v>
      </c>
      <c r="G1248" s="42"/>
      <c r="H1248" s="49" t="n">
        <f aca="true">IF(OR($A1248="",_xlfn.MINIFS($B$3:$B$5000,$A$3:$A$5000,$A1248,$B$3:$B$5000,"&gt;"&amp;$B1248)=0),NOW(),_xlfn.MINIFS($B$3:$B$5000,$A$3:$A$5000,$A1248,$B$3:$B$5000,"&gt;"&amp;$B1248))</f>
        <v>46279.5987643387</v>
      </c>
    </row>
    <row r="1249" customFormat="false" ht="15" hidden="false" customHeight="true" outlineLevel="0" collapsed="false">
      <c r="A1249" s="42"/>
      <c r="B1249" s="42"/>
      <c r="C1249" s="42"/>
      <c r="D1249" s="42"/>
      <c r="E1249" s="42"/>
      <c r="F1249" s="51" t="n">
        <f aca="false">IF(OR(C1249="",D1249="",E1249="",E1249=0),0,C1249*D1249/E1249)</f>
        <v>0</v>
      </c>
      <c r="G1249" s="42"/>
      <c r="H1249" s="49" t="n">
        <f aca="true">IF(OR($A1249="",_xlfn.MINIFS($B$3:$B$5000,$A$3:$A$5000,$A1249,$B$3:$B$5000,"&gt;"&amp;$B1249)=0),NOW(),_xlfn.MINIFS($B$3:$B$5000,$A$3:$A$5000,$A1249,$B$3:$B$5000,"&gt;"&amp;$B1249))</f>
        <v>46279.5987643388</v>
      </c>
    </row>
    <row r="1250" customFormat="false" ht="15" hidden="false" customHeight="true" outlineLevel="0" collapsed="false">
      <c r="A1250" s="42"/>
      <c r="B1250" s="42"/>
      <c r="C1250" s="42"/>
      <c r="D1250" s="42"/>
      <c r="E1250" s="42"/>
      <c r="F1250" s="51" t="n">
        <f aca="false">IF(OR(C1250="",D1250="",E1250="",E1250=0),0,C1250*D1250/E1250)</f>
        <v>0</v>
      </c>
      <c r="G1250" s="42"/>
      <c r="H1250" s="49" t="n">
        <f aca="true">IF(OR($A1250="",_xlfn.MINIFS($B$3:$B$5000,$A$3:$A$5000,$A1250,$B$3:$B$5000,"&gt;"&amp;$B1250)=0),NOW(),_xlfn.MINIFS($B$3:$B$5000,$A$3:$A$5000,$A1250,$B$3:$B$5000,"&gt;"&amp;$B1250))</f>
        <v>46279.5987643388</v>
      </c>
    </row>
    <row r="1251" customFormat="false" ht="15" hidden="false" customHeight="true" outlineLevel="0" collapsed="false">
      <c r="A1251" s="42"/>
      <c r="B1251" s="42"/>
      <c r="C1251" s="42"/>
      <c r="D1251" s="42"/>
      <c r="E1251" s="42"/>
      <c r="F1251" s="51" t="n">
        <f aca="false">IF(OR(C1251="",D1251="",E1251="",E1251=0),0,C1251*D1251/E1251)</f>
        <v>0</v>
      </c>
      <c r="G1251" s="42"/>
      <c r="H1251" s="49" t="n">
        <f aca="true">IF(OR($A1251="",_xlfn.MINIFS($B$3:$B$5000,$A$3:$A$5000,$A1251,$B$3:$B$5000,"&gt;"&amp;$B1251)=0),NOW(),_xlfn.MINIFS($B$3:$B$5000,$A$3:$A$5000,$A1251,$B$3:$B$5000,"&gt;"&amp;$B1251))</f>
        <v>46279.5987643389</v>
      </c>
    </row>
    <row r="1252" customFormat="false" ht="15" hidden="false" customHeight="true" outlineLevel="0" collapsed="false">
      <c r="A1252" s="42"/>
      <c r="B1252" s="42"/>
      <c r="C1252" s="42"/>
      <c r="D1252" s="42"/>
      <c r="E1252" s="42"/>
      <c r="F1252" s="51" t="n">
        <f aca="false">IF(OR(C1252="",D1252="",E1252="",E1252=0),0,C1252*D1252/E1252)</f>
        <v>0</v>
      </c>
      <c r="G1252" s="42"/>
      <c r="H1252" s="49" t="n">
        <f aca="true">IF(OR($A1252="",_xlfn.MINIFS($B$3:$B$5000,$A$3:$A$5000,$A1252,$B$3:$B$5000,"&gt;"&amp;$B1252)=0),NOW(),_xlfn.MINIFS($B$3:$B$5000,$A$3:$A$5000,$A1252,$B$3:$B$5000,"&gt;"&amp;$B1252))</f>
        <v>46279.5987643389</v>
      </c>
    </row>
    <row r="1253" customFormat="false" ht="15" hidden="false" customHeight="true" outlineLevel="0" collapsed="false">
      <c r="A1253" s="42"/>
      <c r="B1253" s="42"/>
      <c r="C1253" s="42"/>
      <c r="D1253" s="42"/>
      <c r="E1253" s="42"/>
      <c r="F1253" s="51" t="n">
        <f aca="false">IF(OR(C1253="",D1253="",E1253="",E1253=0),0,C1253*D1253/E1253)</f>
        <v>0</v>
      </c>
      <c r="G1253" s="42"/>
      <c r="H1253" s="49" t="n">
        <f aca="true">IF(OR($A1253="",_xlfn.MINIFS($B$3:$B$5000,$A$3:$A$5000,$A1253,$B$3:$B$5000,"&gt;"&amp;$B1253)=0),NOW(),_xlfn.MINIFS($B$3:$B$5000,$A$3:$A$5000,$A1253,$B$3:$B$5000,"&gt;"&amp;$B1253))</f>
        <v>46279.598764339</v>
      </c>
    </row>
    <row r="1254" customFormat="false" ht="15" hidden="false" customHeight="true" outlineLevel="0" collapsed="false">
      <c r="A1254" s="42"/>
      <c r="B1254" s="42"/>
      <c r="C1254" s="42"/>
      <c r="D1254" s="42"/>
      <c r="E1254" s="42"/>
      <c r="F1254" s="51" t="n">
        <f aca="false">IF(OR(C1254="",D1254="",E1254="",E1254=0),0,C1254*D1254/E1254)</f>
        <v>0</v>
      </c>
      <c r="G1254" s="42"/>
      <c r="H1254" s="49" t="n">
        <f aca="true">IF(OR($A1254="",_xlfn.MINIFS($B$3:$B$5000,$A$3:$A$5000,$A1254,$B$3:$B$5000,"&gt;"&amp;$B1254)=0),NOW(),_xlfn.MINIFS($B$3:$B$5000,$A$3:$A$5000,$A1254,$B$3:$B$5000,"&gt;"&amp;$B1254))</f>
        <v>46279.598764339</v>
      </c>
    </row>
    <row r="1255" customFormat="false" ht="15" hidden="false" customHeight="true" outlineLevel="0" collapsed="false">
      <c r="A1255" s="42"/>
      <c r="B1255" s="42"/>
      <c r="C1255" s="42"/>
      <c r="D1255" s="42"/>
      <c r="E1255" s="42"/>
      <c r="F1255" s="51" t="n">
        <f aca="false">IF(OR(C1255="",D1255="",E1255="",E1255=0),0,C1255*D1255/E1255)</f>
        <v>0</v>
      </c>
      <c r="G1255" s="42"/>
      <c r="H1255" s="49" t="n">
        <f aca="true">IF(OR($A1255="",_xlfn.MINIFS($B$3:$B$5000,$A$3:$A$5000,$A1255,$B$3:$B$5000,"&gt;"&amp;$B1255)=0),NOW(),_xlfn.MINIFS($B$3:$B$5000,$A$3:$A$5000,$A1255,$B$3:$B$5000,"&gt;"&amp;$B1255))</f>
        <v>46279.5987643391</v>
      </c>
    </row>
    <row r="1256" customFormat="false" ht="15" hidden="false" customHeight="true" outlineLevel="0" collapsed="false">
      <c r="A1256" s="42"/>
      <c r="B1256" s="42"/>
      <c r="C1256" s="42"/>
      <c r="D1256" s="42"/>
      <c r="E1256" s="42"/>
      <c r="F1256" s="51" t="n">
        <f aca="false">IF(OR(C1256="",D1256="",E1256="",E1256=0),0,C1256*D1256/E1256)</f>
        <v>0</v>
      </c>
      <c r="G1256" s="42"/>
      <c r="H1256" s="49" t="n">
        <f aca="true">IF(OR($A1256="",_xlfn.MINIFS($B$3:$B$5000,$A$3:$A$5000,$A1256,$B$3:$B$5000,"&gt;"&amp;$B1256)=0),NOW(),_xlfn.MINIFS($B$3:$B$5000,$A$3:$A$5000,$A1256,$B$3:$B$5000,"&gt;"&amp;$B1256))</f>
        <v>46279.5987643391</v>
      </c>
    </row>
    <row r="1257" customFormat="false" ht="15" hidden="false" customHeight="true" outlineLevel="0" collapsed="false">
      <c r="A1257" s="42"/>
      <c r="B1257" s="42"/>
      <c r="C1257" s="42"/>
      <c r="D1257" s="42"/>
      <c r="E1257" s="42"/>
      <c r="F1257" s="51" t="n">
        <f aca="false">IF(OR(C1257="",D1257="",E1257="",E1257=0),0,C1257*D1257/E1257)</f>
        <v>0</v>
      </c>
      <c r="G1257" s="42"/>
      <c r="H1257" s="49" t="n">
        <f aca="true">IF(OR($A1257="",_xlfn.MINIFS($B$3:$B$5000,$A$3:$A$5000,$A1257,$B$3:$B$5000,"&gt;"&amp;$B1257)=0),NOW(),_xlfn.MINIFS($B$3:$B$5000,$A$3:$A$5000,$A1257,$B$3:$B$5000,"&gt;"&amp;$B1257))</f>
        <v>46279.5987643392</v>
      </c>
    </row>
    <row r="1258" customFormat="false" ht="15" hidden="false" customHeight="true" outlineLevel="0" collapsed="false">
      <c r="A1258" s="42"/>
      <c r="B1258" s="42"/>
      <c r="C1258" s="42"/>
      <c r="D1258" s="42"/>
      <c r="E1258" s="42"/>
      <c r="F1258" s="51" t="n">
        <f aca="false">IF(OR(C1258="",D1258="",E1258="",E1258=0),0,C1258*D1258/E1258)</f>
        <v>0</v>
      </c>
      <c r="G1258" s="42"/>
      <c r="H1258" s="49" t="n">
        <f aca="true">IF(OR($A1258="",_xlfn.MINIFS($B$3:$B$5000,$A$3:$A$5000,$A1258,$B$3:$B$5000,"&gt;"&amp;$B1258)=0),NOW(),_xlfn.MINIFS($B$3:$B$5000,$A$3:$A$5000,$A1258,$B$3:$B$5000,"&gt;"&amp;$B1258))</f>
        <v>46279.5987643392</v>
      </c>
    </row>
    <row r="1259" customFormat="false" ht="15" hidden="false" customHeight="true" outlineLevel="0" collapsed="false">
      <c r="A1259" s="42"/>
      <c r="B1259" s="42"/>
      <c r="C1259" s="42"/>
      <c r="D1259" s="42"/>
      <c r="E1259" s="42"/>
      <c r="F1259" s="51" t="n">
        <f aca="false">IF(OR(C1259="",D1259="",E1259="",E1259=0),0,C1259*D1259/E1259)</f>
        <v>0</v>
      </c>
      <c r="G1259" s="42"/>
      <c r="H1259" s="49" t="n">
        <f aca="true">IF(OR($A1259="",_xlfn.MINIFS($B$3:$B$5000,$A$3:$A$5000,$A1259,$B$3:$B$5000,"&gt;"&amp;$B1259)=0),NOW(),_xlfn.MINIFS($B$3:$B$5000,$A$3:$A$5000,$A1259,$B$3:$B$5000,"&gt;"&amp;$B1259))</f>
        <v>46279.5987643393</v>
      </c>
    </row>
    <row r="1260" customFormat="false" ht="15" hidden="false" customHeight="true" outlineLevel="0" collapsed="false">
      <c r="A1260" s="42"/>
      <c r="B1260" s="42"/>
      <c r="C1260" s="42"/>
      <c r="D1260" s="42"/>
      <c r="E1260" s="42"/>
      <c r="F1260" s="51" t="n">
        <f aca="false">IF(OR(C1260="",D1260="",E1260="",E1260=0),0,C1260*D1260/E1260)</f>
        <v>0</v>
      </c>
      <c r="G1260" s="42"/>
      <c r="H1260" s="49" t="n">
        <f aca="true">IF(OR($A1260="",_xlfn.MINIFS($B$3:$B$5000,$A$3:$A$5000,$A1260,$B$3:$B$5000,"&gt;"&amp;$B1260)=0),NOW(),_xlfn.MINIFS($B$3:$B$5000,$A$3:$A$5000,$A1260,$B$3:$B$5000,"&gt;"&amp;$B1260))</f>
        <v>46279.5987643393</v>
      </c>
    </row>
    <row r="1261" customFormat="false" ht="15" hidden="false" customHeight="true" outlineLevel="0" collapsed="false">
      <c r="A1261" s="42"/>
      <c r="B1261" s="42"/>
      <c r="C1261" s="42"/>
      <c r="D1261" s="42"/>
      <c r="E1261" s="42"/>
      <c r="F1261" s="51" t="n">
        <f aca="false">IF(OR(C1261="",D1261="",E1261="",E1261=0),0,C1261*D1261/E1261)</f>
        <v>0</v>
      </c>
      <c r="G1261" s="42"/>
      <c r="H1261" s="49" t="n">
        <f aca="true">IF(OR($A1261="",_xlfn.MINIFS($B$3:$B$5000,$A$3:$A$5000,$A1261,$B$3:$B$5000,"&gt;"&amp;$B1261)=0),NOW(),_xlfn.MINIFS($B$3:$B$5000,$A$3:$A$5000,$A1261,$B$3:$B$5000,"&gt;"&amp;$B1261))</f>
        <v>46279.5987643394</v>
      </c>
    </row>
    <row r="1262" customFormat="false" ht="15" hidden="false" customHeight="true" outlineLevel="0" collapsed="false">
      <c r="A1262" s="42"/>
      <c r="B1262" s="42"/>
      <c r="C1262" s="42"/>
      <c r="D1262" s="42"/>
      <c r="E1262" s="42"/>
      <c r="F1262" s="51" t="n">
        <f aca="false">IF(OR(C1262="",D1262="",E1262="",E1262=0),0,C1262*D1262/E1262)</f>
        <v>0</v>
      </c>
      <c r="G1262" s="42"/>
      <c r="H1262" s="49" t="n">
        <f aca="true">IF(OR($A1262="",_xlfn.MINIFS($B$3:$B$5000,$A$3:$A$5000,$A1262,$B$3:$B$5000,"&gt;"&amp;$B1262)=0),NOW(),_xlfn.MINIFS($B$3:$B$5000,$A$3:$A$5000,$A1262,$B$3:$B$5000,"&gt;"&amp;$B1262))</f>
        <v>46279.5987643394</v>
      </c>
    </row>
    <row r="1263" customFormat="false" ht="15" hidden="false" customHeight="true" outlineLevel="0" collapsed="false">
      <c r="A1263" s="42"/>
      <c r="B1263" s="42"/>
      <c r="C1263" s="42"/>
      <c r="D1263" s="42"/>
      <c r="E1263" s="42"/>
      <c r="F1263" s="51" t="n">
        <f aca="false">IF(OR(C1263="",D1263="",E1263="",E1263=0),0,C1263*D1263/E1263)</f>
        <v>0</v>
      </c>
      <c r="G1263" s="42"/>
      <c r="H1263" s="49" t="n">
        <f aca="true">IF(OR($A1263="",_xlfn.MINIFS($B$3:$B$5000,$A$3:$A$5000,$A1263,$B$3:$B$5000,"&gt;"&amp;$B1263)=0),NOW(),_xlfn.MINIFS($B$3:$B$5000,$A$3:$A$5000,$A1263,$B$3:$B$5000,"&gt;"&amp;$B1263))</f>
        <v>46279.5987643395</v>
      </c>
    </row>
    <row r="1264" customFormat="false" ht="15" hidden="false" customHeight="true" outlineLevel="0" collapsed="false">
      <c r="A1264" s="42"/>
      <c r="B1264" s="42"/>
      <c r="C1264" s="42"/>
      <c r="D1264" s="42"/>
      <c r="E1264" s="42"/>
      <c r="F1264" s="51" t="n">
        <f aca="false">IF(OR(C1264="",D1264="",E1264="",E1264=0),0,C1264*D1264/E1264)</f>
        <v>0</v>
      </c>
      <c r="G1264" s="42"/>
      <c r="H1264" s="49" t="n">
        <f aca="true">IF(OR($A1264="",_xlfn.MINIFS($B$3:$B$5000,$A$3:$A$5000,$A1264,$B$3:$B$5000,"&gt;"&amp;$B1264)=0),NOW(),_xlfn.MINIFS($B$3:$B$5000,$A$3:$A$5000,$A1264,$B$3:$B$5000,"&gt;"&amp;$B1264))</f>
        <v>46279.5987643395</v>
      </c>
    </row>
    <row r="1265" customFormat="false" ht="15" hidden="false" customHeight="true" outlineLevel="0" collapsed="false">
      <c r="A1265" s="42"/>
      <c r="B1265" s="42"/>
      <c r="C1265" s="42"/>
      <c r="D1265" s="42"/>
      <c r="E1265" s="42"/>
      <c r="F1265" s="51" t="n">
        <f aca="false">IF(OR(C1265="",D1265="",E1265="",E1265=0),0,C1265*D1265/E1265)</f>
        <v>0</v>
      </c>
      <c r="G1265" s="42"/>
      <c r="H1265" s="49" t="n">
        <f aca="true">IF(OR($A1265="",_xlfn.MINIFS($B$3:$B$5000,$A$3:$A$5000,$A1265,$B$3:$B$5000,"&gt;"&amp;$B1265)=0),NOW(),_xlfn.MINIFS($B$3:$B$5000,$A$3:$A$5000,$A1265,$B$3:$B$5000,"&gt;"&amp;$B1265))</f>
        <v>46279.5987643396</v>
      </c>
    </row>
    <row r="1266" customFormat="false" ht="15" hidden="false" customHeight="true" outlineLevel="0" collapsed="false">
      <c r="A1266" s="42"/>
      <c r="B1266" s="42"/>
      <c r="C1266" s="42"/>
      <c r="D1266" s="42"/>
      <c r="E1266" s="42"/>
      <c r="F1266" s="51" t="n">
        <f aca="false">IF(OR(C1266="",D1266="",E1266="",E1266=0),0,C1266*D1266/E1266)</f>
        <v>0</v>
      </c>
      <c r="G1266" s="42"/>
      <c r="H1266" s="49" t="n">
        <f aca="true">IF(OR($A1266="",_xlfn.MINIFS($B$3:$B$5000,$A$3:$A$5000,$A1266,$B$3:$B$5000,"&gt;"&amp;$B1266)=0),NOW(),_xlfn.MINIFS($B$3:$B$5000,$A$3:$A$5000,$A1266,$B$3:$B$5000,"&gt;"&amp;$B1266))</f>
        <v>46279.5987643396</v>
      </c>
    </row>
    <row r="1267" customFormat="false" ht="15" hidden="false" customHeight="true" outlineLevel="0" collapsed="false">
      <c r="A1267" s="42"/>
      <c r="B1267" s="42"/>
      <c r="C1267" s="42"/>
      <c r="D1267" s="42"/>
      <c r="E1267" s="42"/>
      <c r="F1267" s="51" t="n">
        <f aca="false">IF(OR(C1267="",D1267="",E1267="",E1267=0),0,C1267*D1267/E1267)</f>
        <v>0</v>
      </c>
      <c r="G1267" s="42"/>
      <c r="H1267" s="49" t="n">
        <f aca="true">IF(OR($A1267="",_xlfn.MINIFS($B$3:$B$5000,$A$3:$A$5000,$A1267,$B$3:$B$5000,"&gt;"&amp;$B1267)=0),NOW(),_xlfn.MINIFS($B$3:$B$5000,$A$3:$A$5000,$A1267,$B$3:$B$5000,"&gt;"&amp;$B1267))</f>
        <v>46279.5987643397</v>
      </c>
    </row>
    <row r="1268" customFormat="false" ht="15" hidden="false" customHeight="true" outlineLevel="0" collapsed="false">
      <c r="A1268" s="42"/>
      <c r="B1268" s="42"/>
      <c r="C1268" s="42"/>
      <c r="D1268" s="42"/>
      <c r="E1268" s="42"/>
      <c r="F1268" s="51" t="n">
        <f aca="false">IF(OR(C1268="",D1268="",E1268="",E1268=0),0,C1268*D1268/E1268)</f>
        <v>0</v>
      </c>
      <c r="G1268" s="42"/>
      <c r="H1268" s="49" t="n">
        <f aca="true">IF(OR($A1268="",_xlfn.MINIFS($B$3:$B$5000,$A$3:$A$5000,$A1268,$B$3:$B$5000,"&gt;"&amp;$B1268)=0),NOW(),_xlfn.MINIFS($B$3:$B$5000,$A$3:$A$5000,$A1268,$B$3:$B$5000,"&gt;"&amp;$B1268))</f>
        <v>46279.5987643397</v>
      </c>
    </row>
    <row r="1269" customFormat="false" ht="15" hidden="false" customHeight="true" outlineLevel="0" collapsed="false">
      <c r="A1269" s="42"/>
      <c r="B1269" s="42"/>
      <c r="C1269" s="42"/>
      <c r="D1269" s="42"/>
      <c r="E1269" s="42"/>
      <c r="F1269" s="51" t="n">
        <f aca="false">IF(OR(C1269="",D1269="",E1269="",E1269=0),0,C1269*D1269/E1269)</f>
        <v>0</v>
      </c>
      <c r="G1269" s="42"/>
      <c r="H1269" s="49" t="n">
        <f aca="true">IF(OR($A1269="",_xlfn.MINIFS($B$3:$B$5000,$A$3:$A$5000,$A1269,$B$3:$B$5000,"&gt;"&amp;$B1269)=0),NOW(),_xlfn.MINIFS($B$3:$B$5000,$A$3:$A$5000,$A1269,$B$3:$B$5000,"&gt;"&amp;$B1269))</f>
        <v>46279.5987643398</v>
      </c>
    </row>
    <row r="1270" customFormat="false" ht="15" hidden="false" customHeight="true" outlineLevel="0" collapsed="false">
      <c r="A1270" s="42"/>
      <c r="B1270" s="42"/>
      <c r="C1270" s="42"/>
      <c r="D1270" s="42"/>
      <c r="E1270" s="42"/>
      <c r="F1270" s="51" t="n">
        <f aca="false">IF(OR(C1270="",D1270="",E1270="",E1270=0),0,C1270*D1270/E1270)</f>
        <v>0</v>
      </c>
      <c r="G1270" s="42"/>
      <c r="H1270" s="49" t="n">
        <f aca="true">IF(OR($A1270="",_xlfn.MINIFS($B$3:$B$5000,$A$3:$A$5000,$A1270,$B$3:$B$5000,"&gt;"&amp;$B1270)=0),NOW(),_xlfn.MINIFS($B$3:$B$5000,$A$3:$A$5000,$A1270,$B$3:$B$5000,"&gt;"&amp;$B1270))</f>
        <v>46279.5987643398</v>
      </c>
    </row>
    <row r="1271" customFormat="false" ht="15" hidden="false" customHeight="true" outlineLevel="0" collapsed="false">
      <c r="A1271" s="42"/>
      <c r="B1271" s="42"/>
      <c r="C1271" s="42"/>
      <c r="D1271" s="42"/>
      <c r="E1271" s="42"/>
      <c r="F1271" s="51" t="n">
        <f aca="false">IF(OR(C1271="",D1271="",E1271="",E1271=0),0,C1271*D1271/E1271)</f>
        <v>0</v>
      </c>
      <c r="G1271" s="42"/>
      <c r="H1271" s="49" t="n">
        <f aca="true">IF(OR($A1271="",_xlfn.MINIFS($B$3:$B$5000,$A$3:$A$5000,$A1271,$B$3:$B$5000,"&gt;"&amp;$B1271)=0),NOW(),_xlfn.MINIFS($B$3:$B$5000,$A$3:$A$5000,$A1271,$B$3:$B$5000,"&gt;"&amp;$B1271))</f>
        <v>46279.5987643399</v>
      </c>
    </row>
    <row r="1272" customFormat="false" ht="15" hidden="false" customHeight="true" outlineLevel="0" collapsed="false">
      <c r="A1272" s="42"/>
      <c r="B1272" s="42"/>
      <c r="C1272" s="42"/>
      <c r="D1272" s="42"/>
      <c r="E1272" s="42"/>
      <c r="F1272" s="51" t="n">
        <f aca="false">IF(OR(C1272="",D1272="",E1272="",E1272=0),0,C1272*D1272/E1272)</f>
        <v>0</v>
      </c>
      <c r="G1272" s="42"/>
      <c r="H1272" s="49" t="n">
        <f aca="true">IF(OR($A1272="",_xlfn.MINIFS($B$3:$B$5000,$A$3:$A$5000,$A1272,$B$3:$B$5000,"&gt;"&amp;$B1272)=0),NOW(),_xlfn.MINIFS($B$3:$B$5000,$A$3:$A$5000,$A1272,$B$3:$B$5000,"&gt;"&amp;$B1272))</f>
        <v>46279.5987643399</v>
      </c>
    </row>
    <row r="1273" customFormat="false" ht="15" hidden="false" customHeight="true" outlineLevel="0" collapsed="false">
      <c r="A1273" s="42"/>
      <c r="B1273" s="42"/>
      <c r="C1273" s="42"/>
      <c r="D1273" s="42"/>
      <c r="E1273" s="42"/>
      <c r="F1273" s="51" t="n">
        <f aca="false">IF(OR(C1273="",D1273="",E1273="",E1273=0),0,C1273*D1273/E1273)</f>
        <v>0</v>
      </c>
      <c r="G1273" s="42"/>
      <c r="H1273" s="49" t="n">
        <f aca="true">IF(OR($A1273="",_xlfn.MINIFS($B$3:$B$5000,$A$3:$A$5000,$A1273,$B$3:$B$5000,"&gt;"&amp;$B1273)=0),NOW(),_xlfn.MINIFS($B$3:$B$5000,$A$3:$A$5000,$A1273,$B$3:$B$5000,"&gt;"&amp;$B1273))</f>
        <v>46279.59876434</v>
      </c>
    </row>
    <row r="1274" customFormat="false" ht="15" hidden="false" customHeight="true" outlineLevel="0" collapsed="false">
      <c r="A1274" s="42"/>
      <c r="B1274" s="42"/>
      <c r="C1274" s="42"/>
      <c r="D1274" s="42"/>
      <c r="E1274" s="42"/>
      <c r="F1274" s="51" t="n">
        <f aca="false">IF(OR(C1274="",D1274="",E1274="",E1274=0),0,C1274*D1274/E1274)</f>
        <v>0</v>
      </c>
      <c r="G1274" s="42"/>
      <c r="H1274" s="49" t="n">
        <f aca="true">IF(OR($A1274="",_xlfn.MINIFS($B$3:$B$5000,$A$3:$A$5000,$A1274,$B$3:$B$5000,"&gt;"&amp;$B1274)=0),NOW(),_xlfn.MINIFS($B$3:$B$5000,$A$3:$A$5000,$A1274,$B$3:$B$5000,"&gt;"&amp;$B1274))</f>
        <v>46279.59876434</v>
      </c>
    </row>
    <row r="1275" customFormat="false" ht="15" hidden="false" customHeight="true" outlineLevel="0" collapsed="false">
      <c r="A1275" s="42"/>
      <c r="B1275" s="42"/>
      <c r="C1275" s="42"/>
      <c r="D1275" s="42"/>
      <c r="E1275" s="42"/>
      <c r="F1275" s="51" t="n">
        <f aca="false">IF(OR(C1275="",D1275="",E1275="",E1275=0),0,C1275*D1275/E1275)</f>
        <v>0</v>
      </c>
      <c r="G1275" s="42"/>
      <c r="H1275" s="49" t="n">
        <f aca="true">IF(OR($A1275="",_xlfn.MINIFS($B$3:$B$5000,$A$3:$A$5000,$A1275,$B$3:$B$5000,"&gt;"&amp;$B1275)=0),NOW(),_xlfn.MINIFS($B$3:$B$5000,$A$3:$A$5000,$A1275,$B$3:$B$5000,"&gt;"&amp;$B1275))</f>
        <v>46279.5987643401</v>
      </c>
    </row>
    <row r="1276" customFormat="false" ht="15" hidden="false" customHeight="true" outlineLevel="0" collapsed="false">
      <c r="A1276" s="42"/>
      <c r="B1276" s="42"/>
      <c r="C1276" s="42"/>
      <c r="D1276" s="42"/>
      <c r="E1276" s="42"/>
      <c r="F1276" s="51" t="n">
        <f aca="false">IF(OR(C1276="",D1276="",E1276="",E1276=0),0,C1276*D1276/E1276)</f>
        <v>0</v>
      </c>
      <c r="G1276" s="42"/>
      <c r="H1276" s="49" t="n">
        <f aca="true">IF(OR($A1276="",_xlfn.MINIFS($B$3:$B$5000,$A$3:$A$5000,$A1276,$B$3:$B$5000,"&gt;"&amp;$B1276)=0),NOW(),_xlfn.MINIFS($B$3:$B$5000,$A$3:$A$5000,$A1276,$B$3:$B$5000,"&gt;"&amp;$B1276))</f>
        <v>46279.5987643401</v>
      </c>
    </row>
    <row r="1277" customFormat="false" ht="15" hidden="false" customHeight="true" outlineLevel="0" collapsed="false">
      <c r="A1277" s="42"/>
      <c r="B1277" s="42"/>
      <c r="C1277" s="42"/>
      <c r="D1277" s="42"/>
      <c r="E1277" s="42"/>
      <c r="F1277" s="51" t="n">
        <f aca="false">IF(OR(C1277="",D1277="",E1277="",E1277=0),0,C1277*D1277/E1277)</f>
        <v>0</v>
      </c>
      <c r="G1277" s="42"/>
      <c r="H1277" s="49" t="n">
        <f aca="true">IF(OR($A1277="",_xlfn.MINIFS($B$3:$B$5000,$A$3:$A$5000,$A1277,$B$3:$B$5000,"&gt;"&amp;$B1277)=0),NOW(),_xlfn.MINIFS($B$3:$B$5000,$A$3:$A$5000,$A1277,$B$3:$B$5000,"&gt;"&amp;$B1277))</f>
        <v>46279.5987643402</v>
      </c>
    </row>
    <row r="1278" customFormat="false" ht="15" hidden="false" customHeight="true" outlineLevel="0" collapsed="false">
      <c r="A1278" s="42"/>
      <c r="B1278" s="42"/>
      <c r="C1278" s="42"/>
      <c r="D1278" s="42"/>
      <c r="E1278" s="42"/>
      <c r="F1278" s="51" t="n">
        <f aca="false">IF(OR(C1278="",D1278="",E1278="",E1278=0),0,C1278*D1278/E1278)</f>
        <v>0</v>
      </c>
      <c r="G1278" s="42"/>
      <c r="H1278" s="49" t="n">
        <f aca="true">IF(OR($A1278="",_xlfn.MINIFS($B$3:$B$5000,$A$3:$A$5000,$A1278,$B$3:$B$5000,"&gt;"&amp;$B1278)=0),NOW(),_xlfn.MINIFS($B$3:$B$5000,$A$3:$A$5000,$A1278,$B$3:$B$5000,"&gt;"&amp;$B1278))</f>
        <v>46279.5987643402</v>
      </c>
    </row>
    <row r="1279" customFormat="false" ht="15" hidden="false" customHeight="true" outlineLevel="0" collapsed="false">
      <c r="A1279" s="42"/>
      <c r="B1279" s="42"/>
      <c r="C1279" s="42"/>
      <c r="D1279" s="42"/>
      <c r="E1279" s="42"/>
      <c r="F1279" s="51" t="n">
        <f aca="false">IF(OR(C1279="",D1279="",E1279="",E1279=0),0,C1279*D1279/E1279)</f>
        <v>0</v>
      </c>
      <c r="G1279" s="42"/>
      <c r="H1279" s="49" t="n">
        <f aca="true">IF(OR($A1279="",_xlfn.MINIFS($B$3:$B$5000,$A$3:$A$5000,$A1279,$B$3:$B$5000,"&gt;"&amp;$B1279)=0),NOW(),_xlfn.MINIFS($B$3:$B$5000,$A$3:$A$5000,$A1279,$B$3:$B$5000,"&gt;"&amp;$B1279))</f>
        <v>46279.5987643403</v>
      </c>
    </row>
    <row r="1280" customFormat="false" ht="15" hidden="false" customHeight="true" outlineLevel="0" collapsed="false">
      <c r="A1280" s="42"/>
      <c r="B1280" s="42"/>
      <c r="C1280" s="42"/>
      <c r="D1280" s="42"/>
      <c r="E1280" s="42"/>
      <c r="F1280" s="51" t="n">
        <f aca="false">IF(OR(C1280="",D1280="",E1280="",E1280=0),0,C1280*D1280/E1280)</f>
        <v>0</v>
      </c>
      <c r="G1280" s="42"/>
      <c r="H1280" s="49" t="n">
        <f aca="true">IF(OR($A1280="",_xlfn.MINIFS($B$3:$B$5000,$A$3:$A$5000,$A1280,$B$3:$B$5000,"&gt;"&amp;$B1280)=0),NOW(),_xlfn.MINIFS($B$3:$B$5000,$A$3:$A$5000,$A1280,$B$3:$B$5000,"&gt;"&amp;$B1280))</f>
        <v>46279.5987643403</v>
      </c>
    </row>
    <row r="1281" customFormat="false" ht="15" hidden="false" customHeight="true" outlineLevel="0" collapsed="false">
      <c r="A1281" s="42"/>
      <c r="B1281" s="42"/>
      <c r="C1281" s="42"/>
      <c r="D1281" s="42"/>
      <c r="E1281" s="42"/>
      <c r="F1281" s="51" t="n">
        <f aca="false">IF(OR(C1281="",D1281="",E1281="",E1281=0),0,C1281*D1281/E1281)</f>
        <v>0</v>
      </c>
      <c r="G1281" s="42"/>
      <c r="H1281" s="49" t="n">
        <f aca="true">IF(OR($A1281="",_xlfn.MINIFS($B$3:$B$5000,$A$3:$A$5000,$A1281,$B$3:$B$5000,"&gt;"&amp;$B1281)=0),NOW(),_xlfn.MINIFS($B$3:$B$5000,$A$3:$A$5000,$A1281,$B$3:$B$5000,"&gt;"&amp;$B1281))</f>
        <v>46279.5987643404</v>
      </c>
    </row>
    <row r="1282" customFormat="false" ht="15" hidden="false" customHeight="true" outlineLevel="0" collapsed="false">
      <c r="A1282" s="42"/>
      <c r="B1282" s="42"/>
      <c r="C1282" s="42"/>
      <c r="D1282" s="42"/>
      <c r="E1282" s="42"/>
      <c r="F1282" s="51" t="n">
        <f aca="false">IF(OR(C1282="",D1282="",E1282="",E1282=0),0,C1282*D1282/E1282)</f>
        <v>0</v>
      </c>
      <c r="G1282" s="42"/>
      <c r="H1282" s="49" t="n">
        <f aca="true">IF(OR($A1282="",_xlfn.MINIFS($B$3:$B$5000,$A$3:$A$5000,$A1282,$B$3:$B$5000,"&gt;"&amp;$B1282)=0),NOW(),_xlfn.MINIFS($B$3:$B$5000,$A$3:$A$5000,$A1282,$B$3:$B$5000,"&gt;"&amp;$B1282))</f>
        <v>46279.5987643404</v>
      </c>
    </row>
    <row r="1283" customFormat="false" ht="15" hidden="false" customHeight="true" outlineLevel="0" collapsed="false">
      <c r="A1283" s="42"/>
      <c r="B1283" s="42"/>
      <c r="C1283" s="42"/>
      <c r="D1283" s="42"/>
      <c r="E1283" s="42"/>
      <c r="F1283" s="51" t="n">
        <f aca="false">IF(OR(C1283="",D1283="",E1283="",E1283=0),0,C1283*D1283/E1283)</f>
        <v>0</v>
      </c>
      <c r="G1283" s="42"/>
      <c r="H1283" s="49" t="n">
        <f aca="true">IF(OR($A1283="",_xlfn.MINIFS($B$3:$B$5000,$A$3:$A$5000,$A1283,$B$3:$B$5000,"&gt;"&amp;$B1283)=0),NOW(),_xlfn.MINIFS($B$3:$B$5000,$A$3:$A$5000,$A1283,$B$3:$B$5000,"&gt;"&amp;$B1283))</f>
        <v>46279.5987643405</v>
      </c>
    </row>
    <row r="1284" customFormat="false" ht="15" hidden="false" customHeight="true" outlineLevel="0" collapsed="false">
      <c r="A1284" s="42"/>
      <c r="B1284" s="42"/>
      <c r="C1284" s="42"/>
      <c r="D1284" s="42"/>
      <c r="E1284" s="42"/>
      <c r="F1284" s="51" t="n">
        <f aca="false">IF(OR(C1284="",D1284="",E1284="",E1284=0),0,C1284*D1284/E1284)</f>
        <v>0</v>
      </c>
      <c r="G1284" s="42"/>
      <c r="H1284" s="49" t="n">
        <f aca="true">IF(OR($A1284="",_xlfn.MINIFS($B$3:$B$5000,$A$3:$A$5000,$A1284,$B$3:$B$5000,"&gt;"&amp;$B1284)=0),NOW(),_xlfn.MINIFS($B$3:$B$5000,$A$3:$A$5000,$A1284,$B$3:$B$5000,"&gt;"&amp;$B1284))</f>
        <v>46279.5987643405</v>
      </c>
    </row>
    <row r="1285" customFormat="false" ht="15" hidden="false" customHeight="true" outlineLevel="0" collapsed="false">
      <c r="A1285" s="42"/>
      <c r="B1285" s="42"/>
      <c r="C1285" s="42"/>
      <c r="D1285" s="42"/>
      <c r="E1285" s="42"/>
      <c r="F1285" s="51" t="n">
        <f aca="false">IF(OR(C1285="",D1285="",E1285="",E1285=0),0,C1285*D1285/E1285)</f>
        <v>0</v>
      </c>
      <c r="G1285" s="42"/>
      <c r="H1285" s="49" t="n">
        <f aca="true">IF(OR($A1285="",_xlfn.MINIFS($B$3:$B$5000,$A$3:$A$5000,$A1285,$B$3:$B$5000,"&gt;"&amp;$B1285)=0),NOW(),_xlfn.MINIFS($B$3:$B$5000,$A$3:$A$5000,$A1285,$B$3:$B$5000,"&gt;"&amp;$B1285))</f>
        <v>46279.5987643405</v>
      </c>
    </row>
    <row r="1286" customFormat="false" ht="15" hidden="false" customHeight="true" outlineLevel="0" collapsed="false">
      <c r="A1286" s="42"/>
      <c r="B1286" s="42"/>
      <c r="C1286" s="42"/>
      <c r="D1286" s="42"/>
      <c r="E1286" s="42"/>
      <c r="F1286" s="51" t="n">
        <f aca="false">IF(OR(C1286="",D1286="",E1286="",E1286=0),0,C1286*D1286/E1286)</f>
        <v>0</v>
      </c>
      <c r="G1286" s="42"/>
      <c r="H1286" s="49" t="n">
        <f aca="true">IF(OR($A1286="",_xlfn.MINIFS($B$3:$B$5000,$A$3:$A$5000,$A1286,$B$3:$B$5000,"&gt;"&amp;$B1286)=0),NOW(),_xlfn.MINIFS($B$3:$B$5000,$A$3:$A$5000,$A1286,$B$3:$B$5000,"&gt;"&amp;$B1286))</f>
        <v>46279.5987643406</v>
      </c>
    </row>
    <row r="1287" customFormat="false" ht="15" hidden="false" customHeight="true" outlineLevel="0" collapsed="false">
      <c r="A1287" s="42"/>
      <c r="B1287" s="42"/>
      <c r="C1287" s="42"/>
      <c r="D1287" s="42"/>
      <c r="E1287" s="42"/>
      <c r="F1287" s="51" t="n">
        <f aca="false">IF(OR(C1287="",D1287="",E1287="",E1287=0),0,C1287*D1287/E1287)</f>
        <v>0</v>
      </c>
      <c r="G1287" s="42"/>
      <c r="H1287" s="49" t="n">
        <f aca="true">IF(OR($A1287="",_xlfn.MINIFS($B$3:$B$5000,$A$3:$A$5000,$A1287,$B$3:$B$5000,"&gt;"&amp;$B1287)=0),NOW(),_xlfn.MINIFS($B$3:$B$5000,$A$3:$A$5000,$A1287,$B$3:$B$5000,"&gt;"&amp;$B1287))</f>
        <v>46279.5987643407</v>
      </c>
    </row>
    <row r="1288" customFormat="false" ht="15" hidden="false" customHeight="true" outlineLevel="0" collapsed="false">
      <c r="A1288" s="42"/>
      <c r="B1288" s="42"/>
      <c r="C1288" s="42"/>
      <c r="D1288" s="42"/>
      <c r="E1288" s="42"/>
      <c r="F1288" s="51" t="n">
        <f aca="false">IF(OR(C1288="",D1288="",E1288="",E1288=0),0,C1288*D1288/E1288)</f>
        <v>0</v>
      </c>
      <c r="G1288" s="42"/>
      <c r="H1288" s="49" t="n">
        <f aca="true">IF(OR($A1288="",_xlfn.MINIFS($B$3:$B$5000,$A$3:$A$5000,$A1288,$B$3:$B$5000,"&gt;"&amp;$B1288)=0),NOW(),_xlfn.MINIFS($B$3:$B$5000,$A$3:$A$5000,$A1288,$B$3:$B$5000,"&gt;"&amp;$B1288))</f>
        <v>46279.5987643407</v>
      </c>
    </row>
    <row r="1289" customFormat="false" ht="15" hidden="false" customHeight="true" outlineLevel="0" collapsed="false">
      <c r="A1289" s="42"/>
      <c r="B1289" s="42"/>
      <c r="C1289" s="42"/>
      <c r="D1289" s="42"/>
      <c r="E1289" s="42"/>
      <c r="F1289" s="51" t="n">
        <f aca="false">IF(OR(C1289="",D1289="",E1289="",E1289=0),0,C1289*D1289/E1289)</f>
        <v>0</v>
      </c>
      <c r="G1289" s="42"/>
      <c r="H1289" s="49" t="n">
        <f aca="true">IF(OR($A1289="",_xlfn.MINIFS($B$3:$B$5000,$A$3:$A$5000,$A1289,$B$3:$B$5000,"&gt;"&amp;$B1289)=0),NOW(),_xlfn.MINIFS($B$3:$B$5000,$A$3:$A$5000,$A1289,$B$3:$B$5000,"&gt;"&amp;$B1289))</f>
        <v>46279.5987643407</v>
      </c>
    </row>
    <row r="1290" customFormat="false" ht="15" hidden="false" customHeight="true" outlineLevel="0" collapsed="false">
      <c r="A1290" s="42"/>
      <c r="B1290" s="42"/>
      <c r="C1290" s="42"/>
      <c r="D1290" s="42"/>
      <c r="E1290" s="42"/>
      <c r="F1290" s="51" t="n">
        <f aca="false">IF(OR(C1290="",D1290="",E1290="",E1290=0),0,C1290*D1290/E1290)</f>
        <v>0</v>
      </c>
      <c r="G1290" s="42"/>
      <c r="H1290" s="49" t="n">
        <f aca="true">IF(OR($A1290="",_xlfn.MINIFS($B$3:$B$5000,$A$3:$A$5000,$A1290,$B$3:$B$5000,"&gt;"&amp;$B1290)=0),NOW(),_xlfn.MINIFS($B$3:$B$5000,$A$3:$A$5000,$A1290,$B$3:$B$5000,"&gt;"&amp;$B1290))</f>
        <v>46279.5987643408</v>
      </c>
    </row>
    <row r="1291" customFormat="false" ht="15" hidden="false" customHeight="true" outlineLevel="0" collapsed="false">
      <c r="A1291" s="42"/>
      <c r="B1291" s="42"/>
      <c r="C1291" s="42"/>
      <c r="D1291" s="42"/>
      <c r="E1291" s="42"/>
      <c r="F1291" s="51" t="n">
        <f aca="false">IF(OR(C1291="",D1291="",E1291="",E1291=0),0,C1291*D1291/E1291)</f>
        <v>0</v>
      </c>
      <c r="G1291" s="42"/>
      <c r="H1291" s="49" t="n">
        <f aca="true">IF(OR($A1291="",_xlfn.MINIFS($B$3:$B$5000,$A$3:$A$5000,$A1291,$B$3:$B$5000,"&gt;"&amp;$B1291)=0),NOW(),_xlfn.MINIFS($B$3:$B$5000,$A$3:$A$5000,$A1291,$B$3:$B$5000,"&gt;"&amp;$B1291))</f>
        <v>46279.5987643408</v>
      </c>
    </row>
    <row r="1292" customFormat="false" ht="15" hidden="false" customHeight="true" outlineLevel="0" collapsed="false">
      <c r="A1292" s="42"/>
      <c r="B1292" s="42"/>
      <c r="C1292" s="42"/>
      <c r="D1292" s="42"/>
      <c r="E1292" s="42"/>
      <c r="F1292" s="51" t="n">
        <f aca="false">IF(OR(C1292="",D1292="",E1292="",E1292=0),0,C1292*D1292/E1292)</f>
        <v>0</v>
      </c>
      <c r="G1292" s="42"/>
      <c r="H1292" s="49" t="n">
        <f aca="true">IF(OR($A1292="",_xlfn.MINIFS($B$3:$B$5000,$A$3:$A$5000,$A1292,$B$3:$B$5000,"&gt;"&amp;$B1292)=0),NOW(),_xlfn.MINIFS($B$3:$B$5000,$A$3:$A$5000,$A1292,$B$3:$B$5000,"&gt;"&amp;$B1292))</f>
        <v>46279.5987643409</v>
      </c>
    </row>
    <row r="1293" customFormat="false" ht="15" hidden="false" customHeight="true" outlineLevel="0" collapsed="false">
      <c r="A1293" s="42"/>
      <c r="B1293" s="42"/>
      <c r="C1293" s="42"/>
      <c r="D1293" s="42"/>
      <c r="E1293" s="42"/>
      <c r="F1293" s="51" t="n">
        <f aca="false">IF(OR(C1293="",D1293="",E1293="",E1293=0),0,C1293*D1293/E1293)</f>
        <v>0</v>
      </c>
      <c r="G1293" s="42"/>
      <c r="H1293" s="49" t="n">
        <f aca="true">IF(OR($A1293="",_xlfn.MINIFS($B$3:$B$5000,$A$3:$A$5000,$A1293,$B$3:$B$5000,"&gt;"&amp;$B1293)=0),NOW(),_xlfn.MINIFS($B$3:$B$5000,$A$3:$A$5000,$A1293,$B$3:$B$5000,"&gt;"&amp;$B1293))</f>
        <v>46279.5987643409</v>
      </c>
    </row>
    <row r="1294" customFormat="false" ht="15" hidden="false" customHeight="true" outlineLevel="0" collapsed="false">
      <c r="A1294" s="42"/>
      <c r="B1294" s="42"/>
      <c r="C1294" s="42"/>
      <c r="D1294" s="42"/>
      <c r="E1294" s="42"/>
      <c r="F1294" s="51" t="n">
        <f aca="false">IF(OR(C1294="",D1294="",E1294="",E1294=0),0,C1294*D1294/E1294)</f>
        <v>0</v>
      </c>
      <c r="G1294" s="42"/>
      <c r="H1294" s="49" t="n">
        <f aca="true">IF(OR($A1294="",_xlfn.MINIFS($B$3:$B$5000,$A$3:$A$5000,$A1294,$B$3:$B$5000,"&gt;"&amp;$B1294)=0),NOW(),_xlfn.MINIFS($B$3:$B$5000,$A$3:$A$5000,$A1294,$B$3:$B$5000,"&gt;"&amp;$B1294))</f>
        <v>46279.598764341</v>
      </c>
    </row>
    <row r="1295" customFormat="false" ht="15" hidden="false" customHeight="true" outlineLevel="0" collapsed="false">
      <c r="A1295" s="42"/>
      <c r="B1295" s="42"/>
      <c r="C1295" s="42"/>
      <c r="D1295" s="42"/>
      <c r="E1295" s="42"/>
      <c r="F1295" s="51" t="n">
        <f aca="false">IF(OR(C1295="",D1295="",E1295="",E1295=0),0,C1295*D1295/E1295)</f>
        <v>0</v>
      </c>
      <c r="G1295" s="42"/>
      <c r="H1295" s="49" t="n">
        <f aca="true">IF(OR($A1295="",_xlfn.MINIFS($B$3:$B$5000,$A$3:$A$5000,$A1295,$B$3:$B$5000,"&gt;"&amp;$B1295)=0),NOW(),_xlfn.MINIFS($B$3:$B$5000,$A$3:$A$5000,$A1295,$B$3:$B$5000,"&gt;"&amp;$B1295))</f>
        <v>46279.598764341</v>
      </c>
    </row>
    <row r="1296" customFormat="false" ht="15" hidden="false" customHeight="true" outlineLevel="0" collapsed="false">
      <c r="A1296" s="42"/>
      <c r="B1296" s="42"/>
      <c r="C1296" s="42"/>
      <c r="D1296" s="42"/>
      <c r="E1296" s="42"/>
      <c r="F1296" s="51" t="n">
        <f aca="false">IF(OR(C1296="",D1296="",E1296="",E1296=0),0,C1296*D1296/E1296)</f>
        <v>0</v>
      </c>
      <c r="G1296" s="42"/>
      <c r="H1296" s="49" t="n">
        <f aca="true">IF(OR($A1296="",_xlfn.MINIFS($B$3:$B$5000,$A$3:$A$5000,$A1296,$B$3:$B$5000,"&gt;"&amp;$B1296)=0),NOW(),_xlfn.MINIFS($B$3:$B$5000,$A$3:$A$5000,$A1296,$B$3:$B$5000,"&gt;"&amp;$B1296))</f>
        <v>46279.5987643411</v>
      </c>
    </row>
    <row r="1297" customFormat="false" ht="15" hidden="false" customHeight="true" outlineLevel="0" collapsed="false">
      <c r="A1297" s="42"/>
      <c r="B1297" s="42"/>
      <c r="C1297" s="42"/>
      <c r="D1297" s="42"/>
      <c r="E1297" s="42"/>
      <c r="F1297" s="51" t="n">
        <f aca="false">IF(OR(C1297="",D1297="",E1297="",E1297=0),0,C1297*D1297/E1297)</f>
        <v>0</v>
      </c>
      <c r="G1297" s="42"/>
      <c r="H1297" s="49" t="n">
        <f aca="true">IF(OR($A1297="",_xlfn.MINIFS($B$3:$B$5000,$A$3:$A$5000,$A1297,$B$3:$B$5000,"&gt;"&amp;$B1297)=0),NOW(),_xlfn.MINIFS($B$3:$B$5000,$A$3:$A$5000,$A1297,$B$3:$B$5000,"&gt;"&amp;$B1297))</f>
        <v>46279.5987643411</v>
      </c>
    </row>
    <row r="1298" customFormat="false" ht="15" hidden="false" customHeight="true" outlineLevel="0" collapsed="false">
      <c r="A1298" s="42"/>
      <c r="B1298" s="42"/>
      <c r="C1298" s="42"/>
      <c r="D1298" s="42"/>
      <c r="E1298" s="42"/>
      <c r="F1298" s="51" t="n">
        <f aca="false">IF(OR(C1298="",D1298="",E1298="",E1298=0),0,C1298*D1298/E1298)</f>
        <v>0</v>
      </c>
      <c r="G1298" s="42"/>
      <c r="H1298" s="49" t="n">
        <f aca="true">IF(OR($A1298="",_xlfn.MINIFS($B$3:$B$5000,$A$3:$A$5000,$A1298,$B$3:$B$5000,"&gt;"&amp;$B1298)=0),NOW(),_xlfn.MINIFS($B$3:$B$5000,$A$3:$A$5000,$A1298,$B$3:$B$5000,"&gt;"&amp;$B1298))</f>
        <v>46279.5987643412</v>
      </c>
    </row>
    <row r="1299" customFormat="false" ht="15" hidden="false" customHeight="true" outlineLevel="0" collapsed="false">
      <c r="A1299" s="42"/>
      <c r="B1299" s="42"/>
      <c r="C1299" s="42"/>
      <c r="D1299" s="42"/>
      <c r="E1299" s="42"/>
      <c r="F1299" s="51" t="n">
        <f aca="false">IF(OR(C1299="",D1299="",E1299="",E1299=0),0,C1299*D1299/E1299)</f>
        <v>0</v>
      </c>
      <c r="G1299" s="42"/>
      <c r="H1299" s="49" t="n">
        <f aca="true">IF(OR($A1299="",_xlfn.MINIFS($B$3:$B$5000,$A$3:$A$5000,$A1299,$B$3:$B$5000,"&gt;"&amp;$B1299)=0),NOW(),_xlfn.MINIFS($B$3:$B$5000,$A$3:$A$5000,$A1299,$B$3:$B$5000,"&gt;"&amp;$B1299))</f>
        <v>46279.5987643412</v>
      </c>
    </row>
    <row r="1300" customFormat="false" ht="15" hidden="false" customHeight="true" outlineLevel="0" collapsed="false">
      <c r="A1300" s="42"/>
      <c r="B1300" s="42"/>
      <c r="C1300" s="42"/>
      <c r="D1300" s="42"/>
      <c r="E1300" s="42"/>
      <c r="F1300" s="51" t="n">
        <f aca="false">IF(OR(C1300="",D1300="",E1300="",E1300=0),0,C1300*D1300/E1300)</f>
        <v>0</v>
      </c>
      <c r="G1300" s="42"/>
      <c r="H1300" s="49" t="n">
        <f aca="true">IF(OR($A1300="",_xlfn.MINIFS($B$3:$B$5000,$A$3:$A$5000,$A1300,$B$3:$B$5000,"&gt;"&amp;$B1300)=0),NOW(),_xlfn.MINIFS($B$3:$B$5000,$A$3:$A$5000,$A1300,$B$3:$B$5000,"&gt;"&amp;$B1300))</f>
        <v>46279.5987643413</v>
      </c>
    </row>
    <row r="1301" customFormat="false" ht="15" hidden="false" customHeight="true" outlineLevel="0" collapsed="false">
      <c r="A1301" s="42"/>
      <c r="B1301" s="42"/>
      <c r="C1301" s="42"/>
      <c r="D1301" s="42"/>
      <c r="E1301" s="42"/>
      <c r="F1301" s="51" t="n">
        <f aca="false">IF(OR(C1301="",D1301="",E1301="",E1301=0),0,C1301*D1301/E1301)</f>
        <v>0</v>
      </c>
      <c r="G1301" s="42"/>
      <c r="H1301" s="49" t="n">
        <f aca="true">IF(OR($A1301="",_xlfn.MINIFS($B$3:$B$5000,$A$3:$A$5000,$A1301,$B$3:$B$5000,"&gt;"&amp;$B1301)=0),NOW(),_xlfn.MINIFS($B$3:$B$5000,$A$3:$A$5000,$A1301,$B$3:$B$5000,"&gt;"&amp;$B1301))</f>
        <v>46279.5987643413</v>
      </c>
    </row>
    <row r="1302" customFormat="false" ht="15" hidden="false" customHeight="true" outlineLevel="0" collapsed="false">
      <c r="A1302" s="42"/>
      <c r="B1302" s="42"/>
      <c r="C1302" s="42"/>
      <c r="D1302" s="42"/>
      <c r="E1302" s="42"/>
      <c r="F1302" s="51" t="n">
        <f aca="false">IF(OR(C1302="",D1302="",E1302="",E1302=0),0,C1302*D1302/E1302)</f>
        <v>0</v>
      </c>
      <c r="G1302" s="42"/>
      <c r="H1302" s="49" t="n">
        <f aca="true">IF(OR($A1302="",_xlfn.MINIFS($B$3:$B$5000,$A$3:$A$5000,$A1302,$B$3:$B$5000,"&gt;"&amp;$B1302)=0),NOW(),_xlfn.MINIFS($B$3:$B$5000,$A$3:$A$5000,$A1302,$B$3:$B$5000,"&gt;"&amp;$B1302))</f>
        <v>46279.5987643414</v>
      </c>
    </row>
    <row r="1303" customFormat="false" ht="15" hidden="false" customHeight="true" outlineLevel="0" collapsed="false">
      <c r="A1303" s="42"/>
      <c r="B1303" s="42"/>
      <c r="C1303" s="42"/>
      <c r="D1303" s="42"/>
      <c r="E1303" s="42"/>
      <c r="F1303" s="51" t="n">
        <f aca="false">IF(OR(C1303="",D1303="",E1303="",E1303=0),0,C1303*D1303/E1303)</f>
        <v>0</v>
      </c>
      <c r="G1303" s="42"/>
      <c r="H1303" s="49" t="n">
        <f aca="true">IF(OR($A1303="",_xlfn.MINIFS($B$3:$B$5000,$A$3:$A$5000,$A1303,$B$3:$B$5000,"&gt;"&amp;$B1303)=0),NOW(),_xlfn.MINIFS($B$3:$B$5000,$A$3:$A$5000,$A1303,$B$3:$B$5000,"&gt;"&amp;$B1303))</f>
        <v>46279.5987643414</v>
      </c>
    </row>
    <row r="1304" customFormat="false" ht="15" hidden="false" customHeight="true" outlineLevel="0" collapsed="false">
      <c r="A1304" s="42"/>
      <c r="B1304" s="42"/>
      <c r="C1304" s="42"/>
      <c r="D1304" s="42"/>
      <c r="E1304" s="42"/>
      <c r="F1304" s="51" t="n">
        <f aca="false">IF(OR(C1304="",D1304="",E1304="",E1304=0),0,C1304*D1304/E1304)</f>
        <v>0</v>
      </c>
      <c r="G1304" s="42"/>
      <c r="H1304" s="49" t="n">
        <f aca="true">IF(OR($A1304="",_xlfn.MINIFS($B$3:$B$5000,$A$3:$A$5000,$A1304,$B$3:$B$5000,"&gt;"&amp;$B1304)=0),NOW(),_xlfn.MINIFS($B$3:$B$5000,$A$3:$A$5000,$A1304,$B$3:$B$5000,"&gt;"&amp;$B1304))</f>
        <v>46279.5987643415</v>
      </c>
    </row>
    <row r="1305" customFormat="false" ht="15" hidden="false" customHeight="true" outlineLevel="0" collapsed="false">
      <c r="A1305" s="42"/>
      <c r="B1305" s="42"/>
      <c r="C1305" s="42"/>
      <c r="D1305" s="42"/>
      <c r="E1305" s="42"/>
      <c r="F1305" s="51" t="n">
        <f aca="false">IF(OR(C1305="",D1305="",E1305="",E1305=0),0,C1305*D1305/E1305)</f>
        <v>0</v>
      </c>
      <c r="G1305" s="42"/>
      <c r="H1305" s="49" t="n">
        <f aca="true">IF(OR($A1305="",_xlfn.MINIFS($B$3:$B$5000,$A$3:$A$5000,$A1305,$B$3:$B$5000,"&gt;"&amp;$B1305)=0),NOW(),_xlfn.MINIFS($B$3:$B$5000,$A$3:$A$5000,$A1305,$B$3:$B$5000,"&gt;"&amp;$B1305))</f>
        <v>46279.5987643415</v>
      </c>
    </row>
    <row r="1306" customFormat="false" ht="15" hidden="false" customHeight="true" outlineLevel="0" collapsed="false">
      <c r="A1306" s="42"/>
      <c r="B1306" s="42"/>
      <c r="C1306" s="42"/>
      <c r="D1306" s="42"/>
      <c r="E1306" s="42"/>
      <c r="F1306" s="51" t="n">
        <f aca="false">IF(OR(C1306="",D1306="",E1306="",E1306=0),0,C1306*D1306/E1306)</f>
        <v>0</v>
      </c>
      <c r="G1306" s="42"/>
      <c r="H1306" s="49" t="n">
        <f aca="true">IF(OR($A1306="",_xlfn.MINIFS($B$3:$B$5000,$A$3:$A$5000,$A1306,$B$3:$B$5000,"&gt;"&amp;$B1306)=0),NOW(),_xlfn.MINIFS($B$3:$B$5000,$A$3:$A$5000,$A1306,$B$3:$B$5000,"&gt;"&amp;$B1306))</f>
        <v>46279.5987643416</v>
      </c>
    </row>
    <row r="1307" customFormat="false" ht="15" hidden="false" customHeight="true" outlineLevel="0" collapsed="false">
      <c r="A1307" s="42"/>
      <c r="B1307" s="42"/>
      <c r="C1307" s="42"/>
      <c r="D1307" s="42"/>
      <c r="E1307" s="42"/>
      <c r="F1307" s="51" t="n">
        <f aca="false">IF(OR(C1307="",D1307="",E1307="",E1307=0),0,C1307*D1307/E1307)</f>
        <v>0</v>
      </c>
      <c r="G1307" s="42"/>
      <c r="H1307" s="49" t="n">
        <f aca="true">IF(OR($A1307="",_xlfn.MINIFS($B$3:$B$5000,$A$3:$A$5000,$A1307,$B$3:$B$5000,"&gt;"&amp;$B1307)=0),NOW(),_xlfn.MINIFS($B$3:$B$5000,$A$3:$A$5000,$A1307,$B$3:$B$5000,"&gt;"&amp;$B1307))</f>
        <v>46279.5987643416</v>
      </c>
    </row>
    <row r="1308" customFormat="false" ht="15" hidden="false" customHeight="true" outlineLevel="0" collapsed="false">
      <c r="A1308" s="42"/>
      <c r="B1308" s="42"/>
      <c r="C1308" s="42"/>
      <c r="D1308" s="42"/>
      <c r="E1308" s="42"/>
      <c r="F1308" s="51" t="n">
        <f aca="false">IF(OR(C1308="",D1308="",E1308="",E1308=0),0,C1308*D1308/E1308)</f>
        <v>0</v>
      </c>
      <c r="G1308" s="42"/>
      <c r="H1308" s="49" t="n">
        <f aca="true">IF(OR($A1308="",_xlfn.MINIFS($B$3:$B$5000,$A$3:$A$5000,$A1308,$B$3:$B$5000,"&gt;"&amp;$B1308)=0),NOW(),_xlfn.MINIFS($B$3:$B$5000,$A$3:$A$5000,$A1308,$B$3:$B$5000,"&gt;"&amp;$B1308))</f>
        <v>46279.5987643417</v>
      </c>
    </row>
    <row r="1309" customFormat="false" ht="15" hidden="false" customHeight="true" outlineLevel="0" collapsed="false">
      <c r="A1309" s="42"/>
      <c r="B1309" s="42"/>
      <c r="C1309" s="42"/>
      <c r="D1309" s="42"/>
      <c r="E1309" s="42"/>
      <c r="F1309" s="51" t="n">
        <f aca="false">IF(OR(C1309="",D1309="",E1309="",E1309=0),0,C1309*D1309/E1309)</f>
        <v>0</v>
      </c>
      <c r="G1309" s="42"/>
      <c r="H1309" s="49" t="n">
        <f aca="true">IF(OR($A1309="",_xlfn.MINIFS($B$3:$B$5000,$A$3:$A$5000,$A1309,$B$3:$B$5000,"&gt;"&amp;$B1309)=0),NOW(),_xlfn.MINIFS($B$3:$B$5000,$A$3:$A$5000,$A1309,$B$3:$B$5000,"&gt;"&amp;$B1309))</f>
        <v>46279.5987643417</v>
      </c>
    </row>
    <row r="1310" customFormat="false" ht="15" hidden="false" customHeight="true" outlineLevel="0" collapsed="false">
      <c r="A1310" s="42"/>
      <c r="B1310" s="42"/>
      <c r="C1310" s="42"/>
      <c r="D1310" s="42"/>
      <c r="E1310" s="42"/>
      <c r="F1310" s="51" t="n">
        <f aca="false">IF(OR(C1310="",D1310="",E1310="",E1310=0),0,C1310*D1310/E1310)</f>
        <v>0</v>
      </c>
      <c r="G1310" s="42"/>
      <c r="H1310" s="49" t="n">
        <f aca="true">IF(OR($A1310="",_xlfn.MINIFS($B$3:$B$5000,$A$3:$A$5000,$A1310,$B$3:$B$5000,"&gt;"&amp;$B1310)=0),NOW(),_xlfn.MINIFS($B$3:$B$5000,$A$3:$A$5000,$A1310,$B$3:$B$5000,"&gt;"&amp;$B1310))</f>
        <v>46279.5987643418</v>
      </c>
    </row>
    <row r="1311" customFormat="false" ht="15" hidden="false" customHeight="true" outlineLevel="0" collapsed="false">
      <c r="A1311" s="42"/>
      <c r="B1311" s="42"/>
      <c r="C1311" s="42"/>
      <c r="D1311" s="42"/>
      <c r="E1311" s="42"/>
      <c r="F1311" s="51" t="n">
        <f aca="false">IF(OR(C1311="",D1311="",E1311="",E1311=0),0,C1311*D1311/E1311)</f>
        <v>0</v>
      </c>
      <c r="G1311" s="42"/>
      <c r="H1311" s="49" t="n">
        <f aca="true">IF(OR($A1311="",_xlfn.MINIFS($B$3:$B$5000,$A$3:$A$5000,$A1311,$B$3:$B$5000,"&gt;"&amp;$B1311)=0),NOW(),_xlfn.MINIFS($B$3:$B$5000,$A$3:$A$5000,$A1311,$B$3:$B$5000,"&gt;"&amp;$B1311))</f>
        <v>46279.5987643418</v>
      </c>
    </row>
    <row r="1312" customFormat="false" ht="15" hidden="false" customHeight="true" outlineLevel="0" collapsed="false">
      <c r="A1312" s="42"/>
      <c r="B1312" s="42"/>
      <c r="C1312" s="42"/>
      <c r="D1312" s="42"/>
      <c r="E1312" s="42"/>
      <c r="F1312" s="51" t="n">
        <f aca="false">IF(OR(C1312="",D1312="",E1312="",E1312=0),0,C1312*D1312/E1312)</f>
        <v>0</v>
      </c>
      <c r="G1312" s="42"/>
      <c r="H1312" s="49" t="n">
        <f aca="true">IF(OR($A1312="",_xlfn.MINIFS($B$3:$B$5000,$A$3:$A$5000,$A1312,$B$3:$B$5000,"&gt;"&amp;$B1312)=0),NOW(),_xlfn.MINIFS($B$3:$B$5000,$A$3:$A$5000,$A1312,$B$3:$B$5000,"&gt;"&amp;$B1312))</f>
        <v>46279.5987643419</v>
      </c>
    </row>
    <row r="1313" customFormat="false" ht="15" hidden="false" customHeight="true" outlineLevel="0" collapsed="false">
      <c r="A1313" s="42"/>
      <c r="B1313" s="42"/>
      <c r="C1313" s="42"/>
      <c r="D1313" s="42"/>
      <c r="E1313" s="42"/>
      <c r="F1313" s="51" t="n">
        <f aca="false">IF(OR(C1313="",D1313="",E1313="",E1313=0),0,C1313*D1313/E1313)</f>
        <v>0</v>
      </c>
      <c r="G1313" s="42"/>
      <c r="H1313" s="49" t="n">
        <f aca="true">IF(OR($A1313="",_xlfn.MINIFS($B$3:$B$5000,$A$3:$A$5000,$A1313,$B$3:$B$5000,"&gt;"&amp;$B1313)=0),NOW(),_xlfn.MINIFS($B$3:$B$5000,$A$3:$A$5000,$A1313,$B$3:$B$5000,"&gt;"&amp;$B1313))</f>
        <v>46279.5987643419</v>
      </c>
    </row>
    <row r="1314" customFormat="false" ht="15" hidden="false" customHeight="true" outlineLevel="0" collapsed="false">
      <c r="A1314" s="42"/>
      <c r="B1314" s="42"/>
      <c r="C1314" s="42"/>
      <c r="D1314" s="42"/>
      <c r="E1314" s="42"/>
      <c r="F1314" s="51" t="n">
        <f aca="false">IF(OR(C1314="",D1314="",E1314="",E1314=0),0,C1314*D1314/E1314)</f>
        <v>0</v>
      </c>
      <c r="G1314" s="42"/>
      <c r="H1314" s="49" t="n">
        <f aca="true">IF(OR($A1314="",_xlfn.MINIFS($B$3:$B$5000,$A$3:$A$5000,$A1314,$B$3:$B$5000,"&gt;"&amp;$B1314)=0),NOW(),_xlfn.MINIFS($B$3:$B$5000,$A$3:$A$5000,$A1314,$B$3:$B$5000,"&gt;"&amp;$B1314))</f>
        <v>46279.598764342</v>
      </c>
    </row>
    <row r="1315" customFormat="false" ht="15" hidden="false" customHeight="true" outlineLevel="0" collapsed="false">
      <c r="A1315" s="42"/>
      <c r="B1315" s="42"/>
      <c r="C1315" s="42"/>
      <c r="D1315" s="42"/>
      <c r="E1315" s="42"/>
      <c r="F1315" s="51" t="n">
        <f aca="false">IF(OR(C1315="",D1315="",E1315="",E1315=0),0,C1315*D1315/E1315)</f>
        <v>0</v>
      </c>
      <c r="G1315" s="42"/>
      <c r="H1315" s="49" t="n">
        <f aca="true">IF(OR($A1315="",_xlfn.MINIFS($B$3:$B$5000,$A$3:$A$5000,$A1315,$B$3:$B$5000,"&gt;"&amp;$B1315)=0),NOW(),_xlfn.MINIFS($B$3:$B$5000,$A$3:$A$5000,$A1315,$B$3:$B$5000,"&gt;"&amp;$B1315))</f>
        <v>46279.598764342</v>
      </c>
    </row>
    <row r="1316" customFormat="false" ht="15" hidden="false" customHeight="true" outlineLevel="0" collapsed="false">
      <c r="A1316" s="42"/>
      <c r="B1316" s="42"/>
      <c r="C1316" s="42"/>
      <c r="D1316" s="42"/>
      <c r="E1316" s="42"/>
      <c r="F1316" s="51" t="n">
        <f aca="false">IF(OR(C1316="",D1316="",E1316="",E1316=0),0,C1316*D1316/E1316)</f>
        <v>0</v>
      </c>
      <c r="G1316" s="42"/>
      <c r="H1316" s="49" t="n">
        <f aca="true">IF(OR($A1316="",_xlfn.MINIFS($B$3:$B$5000,$A$3:$A$5000,$A1316,$B$3:$B$5000,"&gt;"&amp;$B1316)=0),NOW(),_xlfn.MINIFS($B$3:$B$5000,$A$3:$A$5000,$A1316,$B$3:$B$5000,"&gt;"&amp;$B1316))</f>
        <v>46279.5987643421</v>
      </c>
    </row>
    <row r="1317" customFormat="false" ht="15" hidden="false" customHeight="true" outlineLevel="0" collapsed="false">
      <c r="A1317" s="42"/>
      <c r="B1317" s="42"/>
      <c r="C1317" s="42"/>
      <c r="D1317" s="42"/>
      <c r="E1317" s="42"/>
      <c r="F1317" s="51" t="n">
        <f aca="false">IF(OR(C1317="",D1317="",E1317="",E1317=0),0,C1317*D1317/E1317)</f>
        <v>0</v>
      </c>
      <c r="G1317" s="42"/>
      <c r="H1317" s="49" t="n">
        <f aca="true">IF(OR($A1317="",_xlfn.MINIFS($B$3:$B$5000,$A$3:$A$5000,$A1317,$B$3:$B$5000,"&gt;"&amp;$B1317)=0),NOW(),_xlfn.MINIFS($B$3:$B$5000,$A$3:$A$5000,$A1317,$B$3:$B$5000,"&gt;"&amp;$B1317))</f>
        <v>46279.5987643421</v>
      </c>
    </row>
    <row r="1318" customFormat="false" ht="15" hidden="false" customHeight="true" outlineLevel="0" collapsed="false">
      <c r="A1318" s="42"/>
      <c r="B1318" s="42"/>
      <c r="C1318" s="42"/>
      <c r="D1318" s="42"/>
      <c r="E1318" s="42"/>
      <c r="F1318" s="51" t="n">
        <f aca="false">IF(OR(C1318="",D1318="",E1318="",E1318=0),0,C1318*D1318/E1318)</f>
        <v>0</v>
      </c>
      <c r="G1318" s="42"/>
      <c r="H1318" s="49" t="n">
        <f aca="true">IF(OR($A1318="",_xlfn.MINIFS($B$3:$B$5000,$A$3:$A$5000,$A1318,$B$3:$B$5000,"&gt;"&amp;$B1318)=0),NOW(),_xlfn.MINIFS($B$3:$B$5000,$A$3:$A$5000,$A1318,$B$3:$B$5000,"&gt;"&amp;$B1318))</f>
        <v>46279.5987643422</v>
      </c>
    </row>
    <row r="1319" customFormat="false" ht="15" hidden="false" customHeight="true" outlineLevel="0" collapsed="false">
      <c r="A1319" s="42"/>
      <c r="B1319" s="42"/>
      <c r="C1319" s="42"/>
      <c r="D1319" s="42"/>
      <c r="E1319" s="42"/>
      <c r="F1319" s="51" t="n">
        <f aca="false">IF(OR(C1319="",D1319="",E1319="",E1319=0),0,C1319*D1319/E1319)</f>
        <v>0</v>
      </c>
      <c r="G1319" s="42"/>
      <c r="H1319" s="49" t="n">
        <f aca="true">IF(OR($A1319="",_xlfn.MINIFS($B$3:$B$5000,$A$3:$A$5000,$A1319,$B$3:$B$5000,"&gt;"&amp;$B1319)=0),NOW(),_xlfn.MINIFS($B$3:$B$5000,$A$3:$A$5000,$A1319,$B$3:$B$5000,"&gt;"&amp;$B1319))</f>
        <v>46279.5987643422</v>
      </c>
    </row>
    <row r="1320" customFormat="false" ht="15" hidden="false" customHeight="true" outlineLevel="0" collapsed="false">
      <c r="A1320" s="42"/>
      <c r="B1320" s="42"/>
      <c r="C1320" s="42"/>
      <c r="D1320" s="42"/>
      <c r="E1320" s="42"/>
      <c r="F1320" s="51" t="n">
        <f aca="false">IF(OR(C1320="",D1320="",E1320="",E1320=0),0,C1320*D1320/E1320)</f>
        <v>0</v>
      </c>
      <c r="G1320" s="42"/>
      <c r="H1320" s="49" t="n">
        <f aca="true">IF(OR($A1320="",_xlfn.MINIFS($B$3:$B$5000,$A$3:$A$5000,$A1320,$B$3:$B$5000,"&gt;"&amp;$B1320)=0),NOW(),_xlfn.MINIFS($B$3:$B$5000,$A$3:$A$5000,$A1320,$B$3:$B$5000,"&gt;"&amp;$B1320))</f>
        <v>46279.5987643423</v>
      </c>
    </row>
    <row r="1321" customFormat="false" ht="15" hidden="false" customHeight="true" outlineLevel="0" collapsed="false">
      <c r="A1321" s="42"/>
      <c r="B1321" s="42"/>
      <c r="C1321" s="42"/>
      <c r="D1321" s="42"/>
      <c r="E1321" s="42"/>
      <c r="F1321" s="51" t="n">
        <f aca="false">IF(OR(C1321="",D1321="",E1321="",E1321=0),0,C1321*D1321/E1321)</f>
        <v>0</v>
      </c>
      <c r="G1321" s="42"/>
      <c r="H1321" s="49" t="n">
        <f aca="true">IF(OR($A1321="",_xlfn.MINIFS($B$3:$B$5000,$A$3:$A$5000,$A1321,$B$3:$B$5000,"&gt;"&amp;$B1321)=0),NOW(),_xlfn.MINIFS($B$3:$B$5000,$A$3:$A$5000,$A1321,$B$3:$B$5000,"&gt;"&amp;$B1321))</f>
        <v>46279.5987643423</v>
      </c>
    </row>
    <row r="1322" customFormat="false" ht="15" hidden="false" customHeight="true" outlineLevel="0" collapsed="false">
      <c r="A1322" s="42"/>
      <c r="B1322" s="42"/>
      <c r="C1322" s="42"/>
      <c r="D1322" s="42"/>
      <c r="E1322" s="42"/>
      <c r="F1322" s="51" t="n">
        <f aca="false">IF(OR(C1322="",D1322="",E1322="",E1322=0),0,C1322*D1322/E1322)</f>
        <v>0</v>
      </c>
      <c r="G1322" s="42"/>
      <c r="H1322" s="49" t="n">
        <f aca="true">IF(OR($A1322="",_xlfn.MINIFS($B$3:$B$5000,$A$3:$A$5000,$A1322,$B$3:$B$5000,"&gt;"&amp;$B1322)=0),NOW(),_xlfn.MINIFS($B$3:$B$5000,$A$3:$A$5000,$A1322,$B$3:$B$5000,"&gt;"&amp;$B1322))</f>
        <v>46279.5987643424</v>
      </c>
    </row>
    <row r="1323" customFormat="false" ht="15" hidden="false" customHeight="true" outlineLevel="0" collapsed="false">
      <c r="A1323" s="42"/>
      <c r="B1323" s="42"/>
      <c r="C1323" s="42"/>
      <c r="D1323" s="42"/>
      <c r="E1323" s="42"/>
      <c r="F1323" s="51" t="n">
        <f aca="false">IF(OR(C1323="",D1323="",E1323="",E1323=0),0,C1323*D1323/E1323)</f>
        <v>0</v>
      </c>
      <c r="G1323" s="42"/>
      <c r="H1323" s="49" t="n">
        <f aca="true">IF(OR($A1323="",_xlfn.MINIFS($B$3:$B$5000,$A$3:$A$5000,$A1323,$B$3:$B$5000,"&gt;"&amp;$B1323)=0),NOW(),_xlfn.MINIFS($B$3:$B$5000,$A$3:$A$5000,$A1323,$B$3:$B$5000,"&gt;"&amp;$B1323))</f>
        <v>46279.5987643424</v>
      </c>
    </row>
    <row r="1324" customFormat="false" ht="15" hidden="false" customHeight="true" outlineLevel="0" collapsed="false">
      <c r="A1324" s="42"/>
      <c r="B1324" s="42"/>
      <c r="C1324" s="42"/>
      <c r="D1324" s="42"/>
      <c r="E1324" s="42"/>
      <c r="F1324" s="51" t="n">
        <f aca="false">IF(OR(C1324="",D1324="",E1324="",E1324=0),0,C1324*D1324/E1324)</f>
        <v>0</v>
      </c>
      <c r="G1324" s="42"/>
      <c r="H1324" s="49" t="n">
        <f aca="true">IF(OR($A1324="",_xlfn.MINIFS($B$3:$B$5000,$A$3:$A$5000,$A1324,$B$3:$B$5000,"&gt;"&amp;$B1324)=0),NOW(),_xlfn.MINIFS($B$3:$B$5000,$A$3:$A$5000,$A1324,$B$3:$B$5000,"&gt;"&amp;$B1324))</f>
        <v>46279.5987643425</v>
      </c>
    </row>
    <row r="1325" customFormat="false" ht="15" hidden="false" customHeight="true" outlineLevel="0" collapsed="false">
      <c r="A1325" s="42"/>
      <c r="B1325" s="42"/>
      <c r="C1325" s="42"/>
      <c r="D1325" s="42"/>
      <c r="E1325" s="42"/>
      <c r="F1325" s="51" t="n">
        <f aca="false">IF(OR(C1325="",D1325="",E1325="",E1325=0),0,C1325*D1325/E1325)</f>
        <v>0</v>
      </c>
      <c r="G1325" s="42"/>
      <c r="H1325" s="49" t="n">
        <f aca="true">IF(OR($A1325="",_xlfn.MINIFS($B$3:$B$5000,$A$3:$A$5000,$A1325,$B$3:$B$5000,"&gt;"&amp;$B1325)=0),NOW(),_xlfn.MINIFS($B$3:$B$5000,$A$3:$A$5000,$A1325,$B$3:$B$5000,"&gt;"&amp;$B1325))</f>
        <v>46279.5987643425</v>
      </c>
    </row>
    <row r="1326" customFormat="false" ht="15" hidden="false" customHeight="true" outlineLevel="0" collapsed="false">
      <c r="A1326" s="42"/>
      <c r="B1326" s="42"/>
      <c r="C1326" s="42"/>
      <c r="D1326" s="42"/>
      <c r="E1326" s="42"/>
      <c r="F1326" s="51" t="n">
        <f aca="false">IF(OR(C1326="",D1326="",E1326="",E1326=0),0,C1326*D1326/E1326)</f>
        <v>0</v>
      </c>
      <c r="G1326" s="42"/>
      <c r="H1326" s="49" t="n">
        <f aca="true">IF(OR($A1326="",_xlfn.MINIFS($B$3:$B$5000,$A$3:$A$5000,$A1326,$B$3:$B$5000,"&gt;"&amp;$B1326)=0),NOW(),_xlfn.MINIFS($B$3:$B$5000,$A$3:$A$5000,$A1326,$B$3:$B$5000,"&gt;"&amp;$B1326))</f>
        <v>46279.5987643426</v>
      </c>
    </row>
    <row r="1327" customFormat="false" ht="15" hidden="false" customHeight="true" outlineLevel="0" collapsed="false">
      <c r="A1327" s="42"/>
      <c r="B1327" s="42"/>
      <c r="C1327" s="42"/>
      <c r="D1327" s="42"/>
      <c r="E1327" s="42"/>
      <c r="F1327" s="51" t="n">
        <f aca="false">IF(OR(C1327="",D1327="",E1327="",E1327=0),0,C1327*D1327/E1327)</f>
        <v>0</v>
      </c>
      <c r="G1327" s="42"/>
      <c r="H1327" s="49" t="n">
        <f aca="true">IF(OR($A1327="",_xlfn.MINIFS($B$3:$B$5000,$A$3:$A$5000,$A1327,$B$3:$B$5000,"&gt;"&amp;$B1327)=0),NOW(),_xlfn.MINIFS($B$3:$B$5000,$A$3:$A$5000,$A1327,$B$3:$B$5000,"&gt;"&amp;$B1327))</f>
        <v>46279.5987643426</v>
      </c>
    </row>
    <row r="1328" customFormat="false" ht="15" hidden="false" customHeight="true" outlineLevel="0" collapsed="false">
      <c r="A1328" s="42"/>
      <c r="B1328" s="42"/>
      <c r="C1328" s="42"/>
      <c r="D1328" s="42"/>
      <c r="E1328" s="42"/>
      <c r="F1328" s="51" t="n">
        <f aca="false">IF(OR(C1328="",D1328="",E1328="",E1328=0),0,C1328*D1328/E1328)</f>
        <v>0</v>
      </c>
      <c r="G1328" s="42"/>
      <c r="H1328" s="49" t="n">
        <f aca="true">IF(OR($A1328="",_xlfn.MINIFS($B$3:$B$5000,$A$3:$A$5000,$A1328,$B$3:$B$5000,"&gt;"&amp;$B1328)=0),NOW(),_xlfn.MINIFS($B$3:$B$5000,$A$3:$A$5000,$A1328,$B$3:$B$5000,"&gt;"&amp;$B1328))</f>
        <v>46279.5987643427</v>
      </c>
    </row>
    <row r="1329" customFormat="false" ht="15" hidden="false" customHeight="true" outlineLevel="0" collapsed="false">
      <c r="A1329" s="42"/>
      <c r="B1329" s="42"/>
      <c r="C1329" s="42"/>
      <c r="D1329" s="42"/>
      <c r="E1329" s="42"/>
      <c r="F1329" s="51" t="n">
        <f aca="false">IF(OR(C1329="",D1329="",E1329="",E1329=0),0,C1329*D1329/E1329)</f>
        <v>0</v>
      </c>
      <c r="G1329" s="42"/>
      <c r="H1329" s="49" t="n">
        <f aca="true">IF(OR($A1329="",_xlfn.MINIFS($B$3:$B$5000,$A$3:$A$5000,$A1329,$B$3:$B$5000,"&gt;"&amp;$B1329)=0),NOW(),_xlfn.MINIFS($B$3:$B$5000,$A$3:$A$5000,$A1329,$B$3:$B$5000,"&gt;"&amp;$B1329))</f>
        <v>46279.5987643427</v>
      </c>
    </row>
    <row r="1330" customFormat="false" ht="15" hidden="false" customHeight="true" outlineLevel="0" collapsed="false">
      <c r="A1330" s="42"/>
      <c r="B1330" s="42"/>
      <c r="C1330" s="42"/>
      <c r="D1330" s="42"/>
      <c r="E1330" s="42"/>
      <c r="F1330" s="51" t="n">
        <f aca="false">IF(OR(C1330="",D1330="",E1330="",E1330=0),0,C1330*D1330/E1330)</f>
        <v>0</v>
      </c>
      <c r="G1330" s="42"/>
      <c r="H1330" s="49" t="n">
        <f aca="true">IF(OR($A1330="",_xlfn.MINIFS($B$3:$B$5000,$A$3:$A$5000,$A1330,$B$3:$B$5000,"&gt;"&amp;$B1330)=0),NOW(),_xlfn.MINIFS($B$3:$B$5000,$A$3:$A$5000,$A1330,$B$3:$B$5000,"&gt;"&amp;$B1330))</f>
        <v>46279.5987643428</v>
      </c>
    </row>
    <row r="1331" customFormat="false" ht="15" hidden="false" customHeight="true" outlineLevel="0" collapsed="false">
      <c r="A1331" s="42"/>
      <c r="B1331" s="42"/>
      <c r="C1331" s="42"/>
      <c r="D1331" s="42"/>
      <c r="E1331" s="42"/>
      <c r="F1331" s="51" t="n">
        <f aca="false">IF(OR(C1331="",D1331="",E1331="",E1331=0),0,C1331*D1331/E1331)</f>
        <v>0</v>
      </c>
      <c r="G1331" s="42"/>
      <c r="H1331" s="49" t="n">
        <f aca="true">IF(OR($A1331="",_xlfn.MINIFS($B$3:$B$5000,$A$3:$A$5000,$A1331,$B$3:$B$5000,"&gt;"&amp;$B1331)=0),NOW(),_xlfn.MINIFS($B$3:$B$5000,$A$3:$A$5000,$A1331,$B$3:$B$5000,"&gt;"&amp;$B1331))</f>
        <v>46279.5987643428</v>
      </c>
    </row>
    <row r="1332" customFormat="false" ht="15" hidden="false" customHeight="true" outlineLevel="0" collapsed="false">
      <c r="A1332" s="42"/>
      <c r="B1332" s="42"/>
      <c r="C1332" s="42"/>
      <c r="D1332" s="42"/>
      <c r="E1332" s="42"/>
      <c r="F1332" s="51" t="n">
        <f aca="false">IF(OR(C1332="",D1332="",E1332="",E1332=0),0,C1332*D1332/E1332)</f>
        <v>0</v>
      </c>
      <c r="G1332" s="42"/>
      <c r="H1332" s="49" t="n">
        <f aca="true">IF(OR($A1332="",_xlfn.MINIFS($B$3:$B$5000,$A$3:$A$5000,$A1332,$B$3:$B$5000,"&gt;"&amp;$B1332)=0),NOW(),_xlfn.MINIFS($B$3:$B$5000,$A$3:$A$5000,$A1332,$B$3:$B$5000,"&gt;"&amp;$B1332))</f>
        <v>46279.5987643429</v>
      </c>
    </row>
    <row r="1333" customFormat="false" ht="15" hidden="false" customHeight="true" outlineLevel="0" collapsed="false">
      <c r="A1333" s="42"/>
      <c r="B1333" s="42"/>
      <c r="C1333" s="42"/>
      <c r="D1333" s="42"/>
      <c r="E1333" s="42"/>
      <c r="F1333" s="51" t="n">
        <f aca="false">IF(OR(C1333="",D1333="",E1333="",E1333=0),0,C1333*D1333/E1333)</f>
        <v>0</v>
      </c>
      <c r="G1333" s="42"/>
      <c r="H1333" s="49" t="n">
        <f aca="true">IF(OR($A1333="",_xlfn.MINIFS($B$3:$B$5000,$A$3:$A$5000,$A1333,$B$3:$B$5000,"&gt;"&amp;$B1333)=0),NOW(),_xlfn.MINIFS($B$3:$B$5000,$A$3:$A$5000,$A1333,$B$3:$B$5000,"&gt;"&amp;$B1333))</f>
        <v>46279.5987643429</v>
      </c>
    </row>
    <row r="1334" customFormat="false" ht="15" hidden="false" customHeight="true" outlineLevel="0" collapsed="false">
      <c r="A1334" s="42"/>
      <c r="B1334" s="42"/>
      <c r="C1334" s="42"/>
      <c r="D1334" s="42"/>
      <c r="E1334" s="42"/>
      <c r="F1334" s="51" t="n">
        <f aca="false">IF(OR(C1334="",D1334="",E1334="",E1334=0),0,C1334*D1334/E1334)</f>
        <v>0</v>
      </c>
      <c r="G1334" s="42"/>
      <c r="H1334" s="49" t="n">
        <f aca="true">IF(OR($A1334="",_xlfn.MINIFS($B$3:$B$5000,$A$3:$A$5000,$A1334,$B$3:$B$5000,"&gt;"&amp;$B1334)=0),NOW(),_xlfn.MINIFS($B$3:$B$5000,$A$3:$A$5000,$A1334,$B$3:$B$5000,"&gt;"&amp;$B1334))</f>
        <v>46279.598764343</v>
      </c>
    </row>
    <row r="1335" customFormat="false" ht="15" hidden="false" customHeight="true" outlineLevel="0" collapsed="false">
      <c r="A1335" s="42"/>
      <c r="B1335" s="42"/>
      <c r="C1335" s="42"/>
      <c r="D1335" s="42"/>
      <c r="E1335" s="42"/>
      <c r="F1335" s="51" t="n">
        <f aca="false">IF(OR(C1335="",D1335="",E1335="",E1335=0),0,C1335*D1335/E1335)</f>
        <v>0</v>
      </c>
      <c r="G1335" s="42"/>
      <c r="H1335" s="49" t="n">
        <f aca="true">IF(OR($A1335="",_xlfn.MINIFS($B$3:$B$5000,$A$3:$A$5000,$A1335,$B$3:$B$5000,"&gt;"&amp;$B1335)=0),NOW(),_xlfn.MINIFS($B$3:$B$5000,$A$3:$A$5000,$A1335,$B$3:$B$5000,"&gt;"&amp;$B1335))</f>
        <v>46279.598764343</v>
      </c>
    </row>
    <row r="1336" customFormat="false" ht="15" hidden="false" customHeight="true" outlineLevel="0" collapsed="false">
      <c r="A1336" s="42"/>
      <c r="B1336" s="42"/>
      <c r="C1336" s="42"/>
      <c r="D1336" s="42"/>
      <c r="E1336" s="42"/>
      <c r="F1336" s="51" t="n">
        <f aca="false">IF(OR(C1336="",D1336="",E1336="",E1336=0),0,C1336*D1336/E1336)</f>
        <v>0</v>
      </c>
      <c r="G1336" s="42"/>
      <c r="H1336" s="49" t="n">
        <f aca="true">IF(OR($A1336="",_xlfn.MINIFS($B$3:$B$5000,$A$3:$A$5000,$A1336,$B$3:$B$5000,"&gt;"&amp;$B1336)=0),NOW(),_xlfn.MINIFS($B$3:$B$5000,$A$3:$A$5000,$A1336,$B$3:$B$5000,"&gt;"&amp;$B1336))</f>
        <v>46279.5987643431</v>
      </c>
    </row>
    <row r="1337" customFormat="false" ht="15" hidden="false" customHeight="true" outlineLevel="0" collapsed="false">
      <c r="A1337" s="42"/>
      <c r="B1337" s="42"/>
      <c r="C1337" s="42"/>
      <c r="D1337" s="42"/>
      <c r="E1337" s="42"/>
      <c r="F1337" s="51" t="n">
        <f aca="false">IF(OR(C1337="",D1337="",E1337="",E1337=0),0,C1337*D1337/E1337)</f>
        <v>0</v>
      </c>
      <c r="G1337" s="42"/>
      <c r="H1337" s="49" t="n">
        <f aca="true">IF(OR($A1337="",_xlfn.MINIFS($B$3:$B$5000,$A$3:$A$5000,$A1337,$B$3:$B$5000,"&gt;"&amp;$B1337)=0),NOW(),_xlfn.MINIFS($B$3:$B$5000,$A$3:$A$5000,$A1337,$B$3:$B$5000,"&gt;"&amp;$B1337))</f>
        <v>46279.5987643431</v>
      </c>
    </row>
    <row r="1338" customFormat="false" ht="15" hidden="false" customHeight="true" outlineLevel="0" collapsed="false">
      <c r="A1338" s="42"/>
      <c r="B1338" s="42"/>
      <c r="C1338" s="42"/>
      <c r="D1338" s="42"/>
      <c r="E1338" s="42"/>
      <c r="F1338" s="51" t="n">
        <f aca="false">IF(OR(C1338="",D1338="",E1338="",E1338=0),0,C1338*D1338/E1338)</f>
        <v>0</v>
      </c>
      <c r="G1338" s="42"/>
      <c r="H1338" s="49" t="n">
        <f aca="true">IF(OR($A1338="",_xlfn.MINIFS($B$3:$B$5000,$A$3:$A$5000,$A1338,$B$3:$B$5000,"&gt;"&amp;$B1338)=0),NOW(),_xlfn.MINIFS($B$3:$B$5000,$A$3:$A$5000,$A1338,$B$3:$B$5000,"&gt;"&amp;$B1338))</f>
        <v>46279.5987643432</v>
      </c>
    </row>
    <row r="1339" customFormat="false" ht="15" hidden="false" customHeight="true" outlineLevel="0" collapsed="false">
      <c r="A1339" s="42"/>
      <c r="B1339" s="42"/>
      <c r="C1339" s="42"/>
      <c r="D1339" s="42"/>
      <c r="E1339" s="42"/>
      <c r="F1339" s="51" t="n">
        <f aca="false">IF(OR(C1339="",D1339="",E1339="",E1339=0),0,C1339*D1339/E1339)</f>
        <v>0</v>
      </c>
      <c r="G1339" s="42"/>
      <c r="H1339" s="49" t="n">
        <f aca="true">IF(OR($A1339="",_xlfn.MINIFS($B$3:$B$5000,$A$3:$A$5000,$A1339,$B$3:$B$5000,"&gt;"&amp;$B1339)=0),NOW(),_xlfn.MINIFS($B$3:$B$5000,$A$3:$A$5000,$A1339,$B$3:$B$5000,"&gt;"&amp;$B1339))</f>
        <v>46279.5987643432</v>
      </c>
    </row>
    <row r="1340" customFormat="false" ht="15" hidden="false" customHeight="true" outlineLevel="0" collapsed="false">
      <c r="A1340" s="42"/>
      <c r="B1340" s="42"/>
      <c r="C1340" s="42"/>
      <c r="D1340" s="42"/>
      <c r="E1340" s="42"/>
      <c r="F1340" s="51" t="n">
        <f aca="false">IF(OR(C1340="",D1340="",E1340="",E1340=0),0,C1340*D1340/E1340)</f>
        <v>0</v>
      </c>
      <c r="G1340" s="42"/>
      <c r="H1340" s="49" t="n">
        <f aca="true">IF(OR($A1340="",_xlfn.MINIFS($B$3:$B$5000,$A$3:$A$5000,$A1340,$B$3:$B$5000,"&gt;"&amp;$B1340)=0),NOW(),_xlfn.MINIFS($B$3:$B$5000,$A$3:$A$5000,$A1340,$B$3:$B$5000,"&gt;"&amp;$B1340))</f>
        <v>46279.5987643433</v>
      </c>
    </row>
    <row r="1341" customFormat="false" ht="15" hidden="false" customHeight="true" outlineLevel="0" collapsed="false">
      <c r="A1341" s="42"/>
      <c r="B1341" s="42"/>
      <c r="C1341" s="42"/>
      <c r="D1341" s="42"/>
      <c r="E1341" s="42"/>
      <c r="F1341" s="51" t="n">
        <f aca="false">IF(OR(C1341="",D1341="",E1341="",E1341=0),0,C1341*D1341/E1341)</f>
        <v>0</v>
      </c>
      <c r="G1341" s="42"/>
      <c r="H1341" s="49" t="n">
        <f aca="true">IF(OR($A1341="",_xlfn.MINIFS($B$3:$B$5000,$A$3:$A$5000,$A1341,$B$3:$B$5000,"&gt;"&amp;$B1341)=0),NOW(),_xlfn.MINIFS($B$3:$B$5000,$A$3:$A$5000,$A1341,$B$3:$B$5000,"&gt;"&amp;$B1341))</f>
        <v>46279.5987643433</v>
      </c>
    </row>
    <row r="1342" customFormat="false" ht="15" hidden="false" customHeight="true" outlineLevel="0" collapsed="false">
      <c r="A1342" s="42"/>
      <c r="B1342" s="42"/>
      <c r="C1342" s="42"/>
      <c r="D1342" s="42"/>
      <c r="E1342" s="42"/>
      <c r="F1342" s="51" t="n">
        <f aca="false">IF(OR(C1342="",D1342="",E1342="",E1342=0),0,C1342*D1342/E1342)</f>
        <v>0</v>
      </c>
      <c r="G1342" s="42"/>
      <c r="H1342" s="49" t="n">
        <f aca="true">IF(OR($A1342="",_xlfn.MINIFS($B$3:$B$5000,$A$3:$A$5000,$A1342,$B$3:$B$5000,"&gt;"&amp;$B1342)=0),NOW(),_xlfn.MINIFS($B$3:$B$5000,$A$3:$A$5000,$A1342,$B$3:$B$5000,"&gt;"&amp;$B1342))</f>
        <v>46279.5987643434</v>
      </c>
    </row>
    <row r="1343" customFormat="false" ht="15" hidden="false" customHeight="true" outlineLevel="0" collapsed="false">
      <c r="A1343" s="42"/>
      <c r="B1343" s="42"/>
      <c r="C1343" s="42"/>
      <c r="D1343" s="42"/>
      <c r="E1343" s="42"/>
      <c r="F1343" s="51" t="n">
        <f aca="false">IF(OR(C1343="",D1343="",E1343="",E1343=0),0,C1343*D1343/E1343)</f>
        <v>0</v>
      </c>
      <c r="G1343" s="42"/>
      <c r="H1343" s="49" t="n">
        <f aca="true">IF(OR($A1343="",_xlfn.MINIFS($B$3:$B$5000,$A$3:$A$5000,$A1343,$B$3:$B$5000,"&gt;"&amp;$B1343)=0),NOW(),_xlfn.MINIFS($B$3:$B$5000,$A$3:$A$5000,$A1343,$B$3:$B$5000,"&gt;"&amp;$B1343))</f>
        <v>46279.5987643434</v>
      </c>
    </row>
    <row r="1344" customFormat="false" ht="15" hidden="false" customHeight="true" outlineLevel="0" collapsed="false">
      <c r="A1344" s="42"/>
      <c r="B1344" s="42"/>
      <c r="C1344" s="42"/>
      <c r="D1344" s="42"/>
      <c r="E1344" s="42"/>
      <c r="F1344" s="51" t="n">
        <f aca="false">IF(OR(C1344="",D1344="",E1344="",E1344=0),0,C1344*D1344/E1344)</f>
        <v>0</v>
      </c>
      <c r="G1344" s="42"/>
      <c r="H1344" s="49" t="n">
        <f aca="true">IF(OR($A1344="",_xlfn.MINIFS($B$3:$B$5000,$A$3:$A$5000,$A1344,$B$3:$B$5000,"&gt;"&amp;$B1344)=0),NOW(),_xlfn.MINIFS($B$3:$B$5000,$A$3:$A$5000,$A1344,$B$3:$B$5000,"&gt;"&amp;$B1344))</f>
        <v>46279.5987643435</v>
      </c>
    </row>
    <row r="1345" customFormat="false" ht="15" hidden="false" customHeight="true" outlineLevel="0" collapsed="false">
      <c r="A1345" s="42"/>
      <c r="B1345" s="42"/>
      <c r="C1345" s="42"/>
      <c r="D1345" s="42"/>
      <c r="E1345" s="42"/>
      <c r="F1345" s="51" t="n">
        <f aca="false">IF(OR(C1345="",D1345="",E1345="",E1345=0),0,C1345*D1345/E1345)</f>
        <v>0</v>
      </c>
      <c r="G1345" s="42"/>
      <c r="H1345" s="49" t="n">
        <f aca="true">IF(OR($A1345="",_xlfn.MINIFS($B$3:$B$5000,$A$3:$A$5000,$A1345,$B$3:$B$5000,"&gt;"&amp;$B1345)=0),NOW(),_xlfn.MINIFS($B$3:$B$5000,$A$3:$A$5000,$A1345,$B$3:$B$5000,"&gt;"&amp;$B1345))</f>
        <v>46279.5987643435</v>
      </c>
    </row>
    <row r="1346" customFormat="false" ht="15" hidden="false" customHeight="true" outlineLevel="0" collapsed="false">
      <c r="A1346" s="42"/>
      <c r="B1346" s="42"/>
      <c r="C1346" s="42"/>
      <c r="D1346" s="42"/>
      <c r="E1346" s="42"/>
      <c r="F1346" s="51" t="n">
        <f aca="false">IF(OR(C1346="",D1346="",E1346="",E1346=0),0,C1346*D1346/E1346)</f>
        <v>0</v>
      </c>
      <c r="G1346" s="42"/>
      <c r="H1346" s="49" t="n">
        <f aca="true">IF(OR($A1346="",_xlfn.MINIFS($B$3:$B$5000,$A$3:$A$5000,$A1346,$B$3:$B$5000,"&gt;"&amp;$B1346)=0),NOW(),_xlfn.MINIFS($B$3:$B$5000,$A$3:$A$5000,$A1346,$B$3:$B$5000,"&gt;"&amp;$B1346))</f>
        <v>46279.5987643436</v>
      </c>
    </row>
    <row r="1347" customFormat="false" ht="15" hidden="false" customHeight="true" outlineLevel="0" collapsed="false">
      <c r="A1347" s="42"/>
      <c r="B1347" s="42"/>
      <c r="C1347" s="42"/>
      <c r="D1347" s="42"/>
      <c r="E1347" s="42"/>
      <c r="F1347" s="51" t="n">
        <f aca="false">IF(OR(C1347="",D1347="",E1347="",E1347=0),0,C1347*D1347/E1347)</f>
        <v>0</v>
      </c>
      <c r="G1347" s="42"/>
      <c r="H1347" s="49" t="n">
        <f aca="true">IF(OR($A1347="",_xlfn.MINIFS($B$3:$B$5000,$A$3:$A$5000,$A1347,$B$3:$B$5000,"&gt;"&amp;$B1347)=0),NOW(),_xlfn.MINIFS($B$3:$B$5000,$A$3:$A$5000,$A1347,$B$3:$B$5000,"&gt;"&amp;$B1347))</f>
        <v>46279.5987643436</v>
      </c>
    </row>
    <row r="1348" customFormat="false" ht="15" hidden="false" customHeight="true" outlineLevel="0" collapsed="false">
      <c r="A1348" s="42"/>
      <c r="B1348" s="42"/>
      <c r="C1348" s="42"/>
      <c r="D1348" s="42"/>
      <c r="E1348" s="42"/>
      <c r="F1348" s="51" t="n">
        <f aca="false">IF(OR(C1348="",D1348="",E1348="",E1348=0),0,C1348*D1348/E1348)</f>
        <v>0</v>
      </c>
      <c r="G1348" s="42"/>
      <c r="H1348" s="49" t="n">
        <f aca="true">IF(OR($A1348="",_xlfn.MINIFS($B$3:$B$5000,$A$3:$A$5000,$A1348,$B$3:$B$5000,"&gt;"&amp;$B1348)=0),NOW(),_xlfn.MINIFS($B$3:$B$5000,$A$3:$A$5000,$A1348,$B$3:$B$5000,"&gt;"&amp;$B1348))</f>
        <v>46279.5987643437</v>
      </c>
    </row>
    <row r="1349" customFormat="false" ht="15" hidden="false" customHeight="true" outlineLevel="0" collapsed="false">
      <c r="A1349" s="42"/>
      <c r="B1349" s="42"/>
      <c r="C1349" s="42"/>
      <c r="D1349" s="42"/>
      <c r="E1349" s="42"/>
      <c r="F1349" s="51" t="n">
        <f aca="false">IF(OR(C1349="",D1349="",E1349="",E1349=0),0,C1349*D1349/E1349)</f>
        <v>0</v>
      </c>
      <c r="G1349" s="42"/>
      <c r="H1349" s="49" t="n">
        <f aca="true">IF(OR($A1349="",_xlfn.MINIFS($B$3:$B$5000,$A$3:$A$5000,$A1349,$B$3:$B$5000,"&gt;"&amp;$B1349)=0),NOW(),_xlfn.MINIFS($B$3:$B$5000,$A$3:$A$5000,$A1349,$B$3:$B$5000,"&gt;"&amp;$B1349))</f>
        <v>46279.5987643437</v>
      </c>
    </row>
    <row r="1350" customFormat="false" ht="15" hidden="false" customHeight="true" outlineLevel="0" collapsed="false">
      <c r="A1350" s="42"/>
      <c r="B1350" s="42"/>
      <c r="C1350" s="42"/>
      <c r="D1350" s="42"/>
      <c r="E1350" s="42"/>
      <c r="F1350" s="51" t="n">
        <f aca="false">IF(OR(C1350="",D1350="",E1350="",E1350=0),0,C1350*D1350/E1350)</f>
        <v>0</v>
      </c>
      <c r="G1350" s="42"/>
      <c r="H1350" s="49" t="n">
        <f aca="true">IF(OR($A1350="",_xlfn.MINIFS($B$3:$B$5000,$A$3:$A$5000,$A1350,$B$3:$B$5000,"&gt;"&amp;$B1350)=0),NOW(),_xlfn.MINIFS($B$3:$B$5000,$A$3:$A$5000,$A1350,$B$3:$B$5000,"&gt;"&amp;$B1350))</f>
        <v>46279.5987643438</v>
      </c>
    </row>
    <row r="1351" customFormat="false" ht="15" hidden="false" customHeight="true" outlineLevel="0" collapsed="false">
      <c r="A1351" s="42"/>
      <c r="B1351" s="42"/>
      <c r="C1351" s="42"/>
      <c r="D1351" s="42"/>
      <c r="E1351" s="42"/>
      <c r="F1351" s="51" t="n">
        <f aca="false">IF(OR(C1351="",D1351="",E1351="",E1351=0),0,C1351*D1351/E1351)</f>
        <v>0</v>
      </c>
      <c r="G1351" s="42"/>
      <c r="H1351" s="49" t="n">
        <f aca="true">IF(OR($A1351="",_xlfn.MINIFS($B$3:$B$5000,$A$3:$A$5000,$A1351,$B$3:$B$5000,"&gt;"&amp;$B1351)=0),NOW(),_xlfn.MINIFS($B$3:$B$5000,$A$3:$A$5000,$A1351,$B$3:$B$5000,"&gt;"&amp;$B1351))</f>
        <v>46279.5987643438</v>
      </c>
    </row>
    <row r="1352" customFormat="false" ht="15" hidden="false" customHeight="true" outlineLevel="0" collapsed="false">
      <c r="A1352" s="42"/>
      <c r="B1352" s="42"/>
      <c r="C1352" s="42"/>
      <c r="D1352" s="42"/>
      <c r="E1352" s="42"/>
      <c r="F1352" s="51" t="n">
        <f aca="false">IF(OR(C1352="",D1352="",E1352="",E1352=0),0,C1352*D1352/E1352)</f>
        <v>0</v>
      </c>
      <c r="G1352" s="42"/>
      <c r="H1352" s="49" t="n">
        <f aca="true">IF(OR($A1352="",_xlfn.MINIFS($B$3:$B$5000,$A$3:$A$5000,$A1352,$B$3:$B$5000,"&gt;"&amp;$B1352)=0),NOW(),_xlfn.MINIFS($B$3:$B$5000,$A$3:$A$5000,$A1352,$B$3:$B$5000,"&gt;"&amp;$B1352))</f>
        <v>46279.5987643439</v>
      </c>
    </row>
    <row r="1353" customFormat="false" ht="15" hidden="false" customHeight="true" outlineLevel="0" collapsed="false">
      <c r="A1353" s="42"/>
      <c r="B1353" s="42"/>
      <c r="C1353" s="42"/>
      <c r="D1353" s="42"/>
      <c r="E1353" s="42"/>
      <c r="F1353" s="51" t="n">
        <f aca="false">IF(OR(C1353="",D1353="",E1353="",E1353=0),0,C1353*D1353/E1353)</f>
        <v>0</v>
      </c>
      <c r="G1353" s="42"/>
      <c r="H1353" s="49" t="n">
        <f aca="true">IF(OR($A1353="",_xlfn.MINIFS($B$3:$B$5000,$A$3:$A$5000,$A1353,$B$3:$B$5000,"&gt;"&amp;$B1353)=0),NOW(),_xlfn.MINIFS($B$3:$B$5000,$A$3:$A$5000,$A1353,$B$3:$B$5000,"&gt;"&amp;$B1353))</f>
        <v>46279.5987643439</v>
      </c>
    </row>
    <row r="1354" customFormat="false" ht="15" hidden="false" customHeight="true" outlineLevel="0" collapsed="false">
      <c r="A1354" s="42"/>
      <c r="B1354" s="42"/>
      <c r="C1354" s="42"/>
      <c r="D1354" s="42"/>
      <c r="E1354" s="42"/>
      <c r="F1354" s="51" t="n">
        <f aca="false">IF(OR(C1354="",D1354="",E1354="",E1354=0),0,C1354*D1354/E1354)</f>
        <v>0</v>
      </c>
      <c r="G1354" s="42"/>
      <c r="H1354" s="49" t="n">
        <f aca="true">IF(OR($A1354="",_xlfn.MINIFS($B$3:$B$5000,$A$3:$A$5000,$A1354,$B$3:$B$5000,"&gt;"&amp;$B1354)=0),NOW(),_xlfn.MINIFS($B$3:$B$5000,$A$3:$A$5000,$A1354,$B$3:$B$5000,"&gt;"&amp;$B1354))</f>
        <v>46279.598764344</v>
      </c>
    </row>
    <row r="1355" customFormat="false" ht="15" hidden="false" customHeight="true" outlineLevel="0" collapsed="false">
      <c r="A1355" s="42"/>
      <c r="B1355" s="42"/>
      <c r="C1355" s="42"/>
      <c r="D1355" s="42"/>
      <c r="E1355" s="42"/>
      <c r="F1355" s="51" t="n">
        <f aca="false">IF(OR(C1355="",D1355="",E1355="",E1355=0),0,C1355*D1355/E1355)</f>
        <v>0</v>
      </c>
      <c r="G1355" s="42"/>
      <c r="H1355" s="49" t="n">
        <f aca="true">IF(OR($A1355="",_xlfn.MINIFS($B$3:$B$5000,$A$3:$A$5000,$A1355,$B$3:$B$5000,"&gt;"&amp;$B1355)=0),NOW(),_xlfn.MINIFS($B$3:$B$5000,$A$3:$A$5000,$A1355,$B$3:$B$5000,"&gt;"&amp;$B1355))</f>
        <v>46279.598764344</v>
      </c>
    </row>
    <row r="1356" customFormat="false" ht="15" hidden="false" customHeight="true" outlineLevel="0" collapsed="false">
      <c r="A1356" s="42"/>
      <c r="B1356" s="42"/>
      <c r="C1356" s="42"/>
      <c r="D1356" s="42"/>
      <c r="E1356" s="42"/>
      <c r="F1356" s="51" t="n">
        <f aca="false">IF(OR(C1356="",D1356="",E1356="",E1356=0),0,C1356*D1356/E1356)</f>
        <v>0</v>
      </c>
      <c r="G1356" s="42"/>
      <c r="H1356" s="49" t="n">
        <f aca="true">IF(OR($A1356="",_xlfn.MINIFS($B$3:$B$5000,$A$3:$A$5000,$A1356,$B$3:$B$5000,"&gt;"&amp;$B1356)=0),NOW(),_xlfn.MINIFS($B$3:$B$5000,$A$3:$A$5000,$A1356,$B$3:$B$5000,"&gt;"&amp;$B1356))</f>
        <v>46279.5987643441</v>
      </c>
    </row>
    <row r="1357" customFormat="false" ht="15" hidden="false" customHeight="true" outlineLevel="0" collapsed="false">
      <c r="A1357" s="42"/>
      <c r="B1357" s="42"/>
      <c r="C1357" s="42"/>
      <c r="D1357" s="42"/>
      <c r="E1357" s="42"/>
      <c r="F1357" s="51" t="n">
        <f aca="false">IF(OR(C1357="",D1357="",E1357="",E1357=0),0,C1357*D1357/E1357)</f>
        <v>0</v>
      </c>
      <c r="G1357" s="42"/>
      <c r="H1357" s="49" t="n">
        <f aca="true">IF(OR($A1357="",_xlfn.MINIFS($B$3:$B$5000,$A$3:$A$5000,$A1357,$B$3:$B$5000,"&gt;"&amp;$B1357)=0),NOW(),_xlfn.MINIFS($B$3:$B$5000,$A$3:$A$5000,$A1357,$B$3:$B$5000,"&gt;"&amp;$B1357))</f>
        <v>46279.5987643441</v>
      </c>
    </row>
    <row r="1358" customFormat="false" ht="15" hidden="false" customHeight="true" outlineLevel="0" collapsed="false">
      <c r="A1358" s="42"/>
      <c r="B1358" s="42"/>
      <c r="C1358" s="42"/>
      <c r="D1358" s="42"/>
      <c r="E1358" s="42"/>
      <c r="F1358" s="51" t="n">
        <f aca="false">IF(OR(C1358="",D1358="",E1358="",E1358=0),0,C1358*D1358/E1358)</f>
        <v>0</v>
      </c>
      <c r="G1358" s="42"/>
      <c r="H1358" s="49" t="n">
        <f aca="true">IF(OR($A1358="",_xlfn.MINIFS($B$3:$B$5000,$A$3:$A$5000,$A1358,$B$3:$B$5000,"&gt;"&amp;$B1358)=0),NOW(),_xlfn.MINIFS($B$3:$B$5000,$A$3:$A$5000,$A1358,$B$3:$B$5000,"&gt;"&amp;$B1358))</f>
        <v>46279.5987643442</v>
      </c>
    </row>
    <row r="1359" customFormat="false" ht="15" hidden="false" customHeight="true" outlineLevel="0" collapsed="false">
      <c r="A1359" s="42"/>
      <c r="B1359" s="42"/>
      <c r="C1359" s="42"/>
      <c r="D1359" s="42"/>
      <c r="E1359" s="42"/>
      <c r="F1359" s="51" t="n">
        <f aca="false">IF(OR(C1359="",D1359="",E1359="",E1359=0),0,C1359*D1359/E1359)</f>
        <v>0</v>
      </c>
      <c r="G1359" s="42"/>
      <c r="H1359" s="49" t="n">
        <f aca="true">IF(OR($A1359="",_xlfn.MINIFS($B$3:$B$5000,$A$3:$A$5000,$A1359,$B$3:$B$5000,"&gt;"&amp;$B1359)=0),NOW(),_xlfn.MINIFS($B$3:$B$5000,$A$3:$A$5000,$A1359,$B$3:$B$5000,"&gt;"&amp;$B1359))</f>
        <v>46279.5987643442</v>
      </c>
    </row>
    <row r="1360" customFormat="false" ht="15" hidden="false" customHeight="true" outlineLevel="0" collapsed="false">
      <c r="A1360" s="42"/>
      <c r="B1360" s="42"/>
      <c r="C1360" s="42"/>
      <c r="D1360" s="42"/>
      <c r="E1360" s="42"/>
      <c r="F1360" s="51" t="n">
        <f aca="false">IF(OR(C1360="",D1360="",E1360="",E1360=0),0,C1360*D1360/E1360)</f>
        <v>0</v>
      </c>
      <c r="G1360" s="42"/>
      <c r="H1360" s="49" t="n">
        <f aca="true">IF(OR($A1360="",_xlfn.MINIFS($B$3:$B$5000,$A$3:$A$5000,$A1360,$B$3:$B$5000,"&gt;"&amp;$B1360)=0),NOW(),_xlfn.MINIFS($B$3:$B$5000,$A$3:$A$5000,$A1360,$B$3:$B$5000,"&gt;"&amp;$B1360))</f>
        <v>46279.5987643443</v>
      </c>
    </row>
    <row r="1361" customFormat="false" ht="15" hidden="false" customHeight="true" outlineLevel="0" collapsed="false">
      <c r="A1361" s="42"/>
      <c r="B1361" s="42"/>
      <c r="C1361" s="42"/>
      <c r="D1361" s="42"/>
      <c r="E1361" s="42"/>
      <c r="F1361" s="51" t="n">
        <f aca="false">IF(OR(C1361="",D1361="",E1361="",E1361=0),0,C1361*D1361/E1361)</f>
        <v>0</v>
      </c>
      <c r="G1361" s="42"/>
      <c r="H1361" s="49" t="n">
        <f aca="true">IF(OR($A1361="",_xlfn.MINIFS($B$3:$B$5000,$A$3:$A$5000,$A1361,$B$3:$B$5000,"&gt;"&amp;$B1361)=0),NOW(),_xlfn.MINIFS($B$3:$B$5000,$A$3:$A$5000,$A1361,$B$3:$B$5000,"&gt;"&amp;$B1361))</f>
        <v>46279.5987643443</v>
      </c>
    </row>
    <row r="1362" customFormat="false" ht="15" hidden="false" customHeight="true" outlineLevel="0" collapsed="false">
      <c r="A1362" s="42"/>
      <c r="B1362" s="42"/>
      <c r="C1362" s="42"/>
      <c r="D1362" s="42"/>
      <c r="E1362" s="42"/>
      <c r="F1362" s="51" t="n">
        <f aca="false">IF(OR(C1362="",D1362="",E1362="",E1362=0),0,C1362*D1362/E1362)</f>
        <v>0</v>
      </c>
      <c r="G1362" s="42"/>
      <c r="H1362" s="49" t="n">
        <f aca="true">IF(OR($A1362="",_xlfn.MINIFS($B$3:$B$5000,$A$3:$A$5000,$A1362,$B$3:$B$5000,"&gt;"&amp;$B1362)=0),NOW(),_xlfn.MINIFS($B$3:$B$5000,$A$3:$A$5000,$A1362,$B$3:$B$5000,"&gt;"&amp;$B1362))</f>
        <v>46279.5987643444</v>
      </c>
    </row>
    <row r="1363" customFormat="false" ht="15" hidden="false" customHeight="true" outlineLevel="0" collapsed="false">
      <c r="A1363" s="42"/>
      <c r="B1363" s="42"/>
      <c r="C1363" s="42"/>
      <c r="D1363" s="42"/>
      <c r="E1363" s="42"/>
      <c r="F1363" s="51" t="n">
        <f aca="false">IF(OR(C1363="",D1363="",E1363="",E1363=0),0,C1363*D1363/E1363)</f>
        <v>0</v>
      </c>
      <c r="G1363" s="42"/>
      <c r="H1363" s="49" t="n">
        <f aca="true">IF(OR($A1363="",_xlfn.MINIFS($B$3:$B$5000,$A$3:$A$5000,$A1363,$B$3:$B$5000,"&gt;"&amp;$B1363)=0),NOW(),_xlfn.MINIFS($B$3:$B$5000,$A$3:$A$5000,$A1363,$B$3:$B$5000,"&gt;"&amp;$B1363))</f>
        <v>46279.5987643444</v>
      </c>
    </row>
    <row r="1364" customFormat="false" ht="15" hidden="false" customHeight="true" outlineLevel="0" collapsed="false">
      <c r="A1364" s="42"/>
      <c r="B1364" s="42"/>
      <c r="C1364" s="42"/>
      <c r="D1364" s="42"/>
      <c r="E1364" s="42"/>
      <c r="F1364" s="51" t="n">
        <f aca="false">IF(OR(C1364="",D1364="",E1364="",E1364=0),0,C1364*D1364/E1364)</f>
        <v>0</v>
      </c>
      <c r="G1364" s="42"/>
      <c r="H1364" s="49" t="n">
        <f aca="true">IF(OR($A1364="",_xlfn.MINIFS($B$3:$B$5000,$A$3:$A$5000,$A1364,$B$3:$B$5000,"&gt;"&amp;$B1364)=0),NOW(),_xlfn.MINIFS($B$3:$B$5000,$A$3:$A$5000,$A1364,$B$3:$B$5000,"&gt;"&amp;$B1364))</f>
        <v>46279.5987643445</v>
      </c>
    </row>
    <row r="1365" customFormat="false" ht="15" hidden="false" customHeight="true" outlineLevel="0" collapsed="false">
      <c r="A1365" s="42"/>
      <c r="B1365" s="42"/>
      <c r="C1365" s="42"/>
      <c r="D1365" s="42"/>
      <c r="E1365" s="42"/>
      <c r="F1365" s="51" t="n">
        <f aca="false">IF(OR(C1365="",D1365="",E1365="",E1365=0),0,C1365*D1365/E1365)</f>
        <v>0</v>
      </c>
      <c r="G1365" s="42"/>
      <c r="H1365" s="49" t="n">
        <f aca="true">IF(OR($A1365="",_xlfn.MINIFS($B$3:$B$5000,$A$3:$A$5000,$A1365,$B$3:$B$5000,"&gt;"&amp;$B1365)=0),NOW(),_xlfn.MINIFS($B$3:$B$5000,$A$3:$A$5000,$A1365,$B$3:$B$5000,"&gt;"&amp;$B1365))</f>
        <v>46279.5987643445</v>
      </c>
    </row>
    <row r="1366" customFormat="false" ht="15" hidden="false" customHeight="true" outlineLevel="0" collapsed="false">
      <c r="A1366" s="42"/>
      <c r="B1366" s="42"/>
      <c r="C1366" s="42"/>
      <c r="D1366" s="42"/>
      <c r="E1366" s="42"/>
      <c r="F1366" s="51" t="n">
        <f aca="false">IF(OR(C1366="",D1366="",E1366="",E1366=0),0,C1366*D1366/E1366)</f>
        <v>0</v>
      </c>
      <c r="G1366" s="42"/>
      <c r="H1366" s="49" t="n">
        <f aca="true">IF(OR($A1366="",_xlfn.MINIFS($B$3:$B$5000,$A$3:$A$5000,$A1366,$B$3:$B$5000,"&gt;"&amp;$B1366)=0),NOW(),_xlfn.MINIFS($B$3:$B$5000,$A$3:$A$5000,$A1366,$B$3:$B$5000,"&gt;"&amp;$B1366))</f>
        <v>46279.5987643446</v>
      </c>
    </row>
    <row r="1367" customFormat="false" ht="15" hidden="false" customHeight="true" outlineLevel="0" collapsed="false">
      <c r="A1367" s="42"/>
      <c r="B1367" s="42"/>
      <c r="C1367" s="42"/>
      <c r="D1367" s="42"/>
      <c r="E1367" s="42"/>
      <c r="F1367" s="51" t="n">
        <f aca="false">IF(OR(C1367="",D1367="",E1367="",E1367=0),0,C1367*D1367/E1367)</f>
        <v>0</v>
      </c>
      <c r="G1367" s="42"/>
      <c r="H1367" s="49" t="n">
        <f aca="true">IF(OR($A1367="",_xlfn.MINIFS($B$3:$B$5000,$A$3:$A$5000,$A1367,$B$3:$B$5000,"&gt;"&amp;$B1367)=0),NOW(),_xlfn.MINIFS($B$3:$B$5000,$A$3:$A$5000,$A1367,$B$3:$B$5000,"&gt;"&amp;$B1367))</f>
        <v>46279.5987643446</v>
      </c>
    </row>
    <row r="1368" customFormat="false" ht="15" hidden="false" customHeight="true" outlineLevel="0" collapsed="false">
      <c r="A1368" s="42"/>
      <c r="B1368" s="42"/>
      <c r="C1368" s="42"/>
      <c r="D1368" s="42"/>
      <c r="E1368" s="42"/>
      <c r="F1368" s="51" t="n">
        <f aca="false">IF(OR(C1368="",D1368="",E1368="",E1368=0),0,C1368*D1368/E1368)</f>
        <v>0</v>
      </c>
      <c r="G1368" s="42"/>
      <c r="H1368" s="49" t="n">
        <f aca="true">IF(OR($A1368="",_xlfn.MINIFS($B$3:$B$5000,$A$3:$A$5000,$A1368,$B$3:$B$5000,"&gt;"&amp;$B1368)=0),NOW(),_xlfn.MINIFS($B$3:$B$5000,$A$3:$A$5000,$A1368,$B$3:$B$5000,"&gt;"&amp;$B1368))</f>
        <v>46279.5987643447</v>
      </c>
    </row>
    <row r="1369" customFormat="false" ht="15" hidden="false" customHeight="true" outlineLevel="0" collapsed="false">
      <c r="A1369" s="42"/>
      <c r="B1369" s="42"/>
      <c r="C1369" s="42"/>
      <c r="D1369" s="42"/>
      <c r="E1369" s="42"/>
      <c r="F1369" s="51" t="n">
        <f aca="false">IF(OR(C1369="",D1369="",E1369="",E1369=0),0,C1369*D1369/E1369)</f>
        <v>0</v>
      </c>
      <c r="G1369" s="42"/>
      <c r="H1369" s="49" t="n">
        <f aca="true">IF(OR($A1369="",_xlfn.MINIFS($B$3:$B$5000,$A$3:$A$5000,$A1369,$B$3:$B$5000,"&gt;"&amp;$B1369)=0),NOW(),_xlfn.MINIFS($B$3:$B$5000,$A$3:$A$5000,$A1369,$B$3:$B$5000,"&gt;"&amp;$B1369))</f>
        <v>46279.5987643447</v>
      </c>
    </row>
    <row r="1370" customFormat="false" ht="15" hidden="false" customHeight="true" outlineLevel="0" collapsed="false">
      <c r="A1370" s="42"/>
      <c r="B1370" s="42"/>
      <c r="C1370" s="42"/>
      <c r="D1370" s="42"/>
      <c r="E1370" s="42"/>
      <c r="F1370" s="51" t="n">
        <f aca="false">IF(OR(C1370="",D1370="",E1370="",E1370=0),0,C1370*D1370/E1370)</f>
        <v>0</v>
      </c>
      <c r="G1370" s="42"/>
      <c r="H1370" s="49" t="n">
        <f aca="true">IF(OR($A1370="",_xlfn.MINIFS($B$3:$B$5000,$A$3:$A$5000,$A1370,$B$3:$B$5000,"&gt;"&amp;$B1370)=0),NOW(),_xlfn.MINIFS($B$3:$B$5000,$A$3:$A$5000,$A1370,$B$3:$B$5000,"&gt;"&amp;$B1370))</f>
        <v>46279.5987643448</v>
      </c>
    </row>
    <row r="1371" customFormat="false" ht="15" hidden="false" customHeight="true" outlineLevel="0" collapsed="false">
      <c r="A1371" s="42"/>
      <c r="B1371" s="42"/>
      <c r="C1371" s="42"/>
      <c r="D1371" s="42"/>
      <c r="E1371" s="42"/>
      <c r="F1371" s="51" t="n">
        <f aca="false">IF(OR(C1371="",D1371="",E1371="",E1371=0),0,C1371*D1371/E1371)</f>
        <v>0</v>
      </c>
      <c r="G1371" s="42"/>
      <c r="H1371" s="49" t="n">
        <f aca="true">IF(OR($A1371="",_xlfn.MINIFS($B$3:$B$5000,$A$3:$A$5000,$A1371,$B$3:$B$5000,"&gt;"&amp;$B1371)=0),NOW(),_xlfn.MINIFS($B$3:$B$5000,$A$3:$A$5000,$A1371,$B$3:$B$5000,"&gt;"&amp;$B1371))</f>
        <v>46279.5987643448</v>
      </c>
    </row>
    <row r="1372" customFormat="false" ht="15" hidden="false" customHeight="true" outlineLevel="0" collapsed="false">
      <c r="A1372" s="42"/>
      <c r="B1372" s="42"/>
      <c r="C1372" s="42"/>
      <c r="D1372" s="42"/>
      <c r="E1372" s="42"/>
      <c r="F1372" s="51" t="n">
        <f aca="false">IF(OR(C1372="",D1372="",E1372="",E1372=0),0,C1372*D1372/E1372)</f>
        <v>0</v>
      </c>
      <c r="G1372" s="42"/>
      <c r="H1372" s="49" t="n">
        <f aca="true">IF(OR($A1372="",_xlfn.MINIFS($B$3:$B$5000,$A$3:$A$5000,$A1372,$B$3:$B$5000,"&gt;"&amp;$B1372)=0),NOW(),_xlfn.MINIFS($B$3:$B$5000,$A$3:$A$5000,$A1372,$B$3:$B$5000,"&gt;"&amp;$B1372))</f>
        <v>46279.5987643449</v>
      </c>
    </row>
    <row r="1373" customFormat="false" ht="15" hidden="false" customHeight="true" outlineLevel="0" collapsed="false">
      <c r="A1373" s="42"/>
      <c r="B1373" s="42"/>
      <c r="C1373" s="42"/>
      <c r="D1373" s="42"/>
      <c r="E1373" s="42"/>
      <c r="F1373" s="51" t="n">
        <f aca="false">IF(OR(C1373="",D1373="",E1373="",E1373=0),0,C1373*D1373/E1373)</f>
        <v>0</v>
      </c>
      <c r="G1373" s="42"/>
      <c r="H1373" s="49" t="n">
        <f aca="true">IF(OR($A1373="",_xlfn.MINIFS($B$3:$B$5000,$A$3:$A$5000,$A1373,$B$3:$B$5000,"&gt;"&amp;$B1373)=0),NOW(),_xlfn.MINIFS($B$3:$B$5000,$A$3:$A$5000,$A1373,$B$3:$B$5000,"&gt;"&amp;$B1373))</f>
        <v>46279.5987643449</v>
      </c>
    </row>
    <row r="1374" customFormat="false" ht="15" hidden="false" customHeight="true" outlineLevel="0" collapsed="false">
      <c r="A1374" s="42"/>
      <c r="B1374" s="42"/>
      <c r="C1374" s="42"/>
      <c r="D1374" s="42"/>
      <c r="E1374" s="42"/>
      <c r="F1374" s="51" t="n">
        <f aca="false">IF(OR(C1374="",D1374="",E1374="",E1374=0),0,C1374*D1374/E1374)</f>
        <v>0</v>
      </c>
      <c r="G1374" s="42"/>
      <c r="H1374" s="49" t="n">
        <f aca="true">IF(OR($A1374="",_xlfn.MINIFS($B$3:$B$5000,$A$3:$A$5000,$A1374,$B$3:$B$5000,"&gt;"&amp;$B1374)=0),NOW(),_xlfn.MINIFS($B$3:$B$5000,$A$3:$A$5000,$A1374,$B$3:$B$5000,"&gt;"&amp;$B1374))</f>
        <v>46279.598764345</v>
      </c>
    </row>
    <row r="1375" customFormat="false" ht="15" hidden="false" customHeight="true" outlineLevel="0" collapsed="false">
      <c r="A1375" s="42"/>
      <c r="B1375" s="42"/>
      <c r="C1375" s="42"/>
      <c r="D1375" s="42"/>
      <c r="E1375" s="42"/>
      <c r="F1375" s="51" t="n">
        <f aca="false">IF(OR(C1375="",D1375="",E1375="",E1375=0),0,C1375*D1375/E1375)</f>
        <v>0</v>
      </c>
      <c r="G1375" s="42"/>
      <c r="H1375" s="49" t="n">
        <f aca="true">IF(OR($A1375="",_xlfn.MINIFS($B$3:$B$5000,$A$3:$A$5000,$A1375,$B$3:$B$5000,"&gt;"&amp;$B1375)=0),NOW(),_xlfn.MINIFS($B$3:$B$5000,$A$3:$A$5000,$A1375,$B$3:$B$5000,"&gt;"&amp;$B1375))</f>
        <v>46279.598764345</v>
      </c>
    </row>
    <row r="1376" customFormat="false" ht="15" hidden="false" customHeight="true" outlineLevel="0" collapsed="false">
      <c r="A1376" s="42"/>
      <c r="B1376" s="42"/>
      <c r="C1376" s="42"/>
      <c r="D1376" s="42"/>
      <c r="E1376" s="42"/>
      <c r="F1376" s="51" t="n">
        <f aca="false">IF(OR(C1376="",D1376="",E1376="",E1376=0),0,C1376*D1376/E1376)</f>
        <v>0</v>
      </c>
      <c r="G1376" s="42"/>
      <c r="H1376" s="49" t="n">
        <f aca="true">IF(OR($A1376="",_xlfn.MINIFS($B$3:$B$5000,$A$3:$A$5000,$A1376,$B$3:$B$5000,"&gt;"&amp;$B1376)=0),NOW(),_xlfn.MINIFS($B$3:$B$5000,$A$3:$A$5000,$A1376,$B$3:$B$5000,"&gt;"&amp;$B1376))</f>
        <v>46279.5987643451</v>
      </c>
    </row>
    <row r="1377" customFormat="false" ht="15" hidden="false" customHeight="true" outlineLevel="0" collapsed="false">
      <c r="A1377" s="42"/>
      <c r="B1377" s="42"/>
      <c r="C1377" s="42"/>
      <c r="D1377" s="42"/>
      <c r="E1377" s="42"/>
      <c r="F1377" s="51" t="n">
        <f aca="false">IF(OR(C1377="",D1377="",E1377="",E1377=0),0,C1377*D1377/E1377)</f>
        <v>0</v>
      </c>
      <c r="G1377" s="42"/>
      <c r="H1377" s="49" t="n">
        <f aca="true">IF(OR($A1377="",_xlfn.MINIFS($B$3:$B$5000,$A$3:$A$5000,$A1377,$B$3:$B$5000,"&gt;"&amp;$B1377)=0),NOW(),_xlfn.MINIFS($B$3:$B$5000,$A$3:$A$5000,$A1377,$B$3:$B$5000,"&gt;"&amp;$B1377))</f>
        <v>46279.5987643451</v>
      </c>
    </row>
    <row r="1378" customFormat="false" ht="15" hidden="false" customHeight="true" outlineLevel="0" collapsed="false">
      <c r="A1378" s="42"/>
      <c r="B1378" s="42"/>
      <c r="C1378" s="42"/>
      <c r="D1378" s="42"/>
      <c r="E1378" s="42"/>
      <c r="F1378" s="51" t="n">
        <f aca="false">IF(OR(C1378="",D1378="",E1378="",E1378=0),0,C1378*D1378/E1378)</f>
        <v>0</v>
      </c>
      <c r="G1378" s="42"/>
      <c r="H1378" s="49" t="n">
        <f aca="true">IF(OR($A1378="",_xlfn.MINIFS($B$3:$B$5000,$A$3:$A$5000,$A1378,$B$3:$B$5000,"&gt;"&amp;$B1378)=0),NOW(),_xlfn.MINIFS($B$3:$B$5000,$A$3:$A$5000,$A1378,$B$3:$B$5000,"&gt;"&amp;$B1378))</f>
        <v>46279.5987643452</v>
      </c>
    </row>
    <row r="1379" customFormat="false" ht="15" hidden="false" customHeight="true" outlineLevel="0" collapsed="false">
      <c r="A1379" s="42"/>
      <c r="B1379" s="42"/>
      <c r="C1379" s="42"/>
      <c r="D1379" s="42"/>
      <c r="E1379" s="42"/>
      <c r="F1379" s="51" t="n">
        <f aca="false">IF(OR(C1379="",D1379="",E1379="",E1379=0),0,C1379*D1379/E1379)</f>
        <v>0</v>
      </c>
      <c r="G1379" s="42"/>
      <c r="H1379" s="49" t="n">
        <f aca="true">IF(OR($A1379="",_xlfn.MINIFS($B$3:$B$5000,$A$3:$A$5000,$A1379,$B$3:$B$5000,"&gt;"&amp;$B1379)=0),NOW(),_xlfn.MINIFS($B$3:$B$5000,$A$3:$A$5000,$A1379,$B$3:$B$5000,"&gt;"&amp;$B1379))</f>
        <v>46279.5987643452</v>
      </c>
    </row>
    <row r="1380" customFormat="false" ht="15" hidden="false" customHeight="true" outlineLevel="0" collapsed="false">
      <c r="A1380" s="42"/>
      <c r="B1380" s="42"/>
      <c r="C1380" s="42"/>
      <c r="D1380" s="42"/>
      <c r="E1380" s="42"/>
      <c r="F1380" s="51" t="n">
        <f aca="false">IF(OR(C1380="",D1380="",E1380="",E1380=0),0,C1380*D1380/E1380)</f>
        <v>0</v>
      </c>
      <c r="G1380" s="42"/>
      <c r="H1380" s="49" t="n">
        <f aca="true">IF(OR($A1380="",_xlfn.MINIFS($B$3:$B$5000,$A$3:$A$5000,$A1380,$B$3:$B$5000,"&gt;"&amp;$B1380)=0),NOW(),_xlfn.MINIFS($B$3:$B$5000,$A$3:$A$5000,$A1380,$B$3:$B$5000,"&gt;"&amp;$B1380))</f>
        <v>46279.5987643453</v>
      </c>
    </row>
    <row r="1381" customFormat="false" ht="15" hidden="false" customHeight="true" outlineLevel="0" collapsed="false">
      <c r="A1381" s="42"/>
      <c r="B1381" s="42"/>
      <c r="C1381" s="42"/>
      <c r="D1381" s="42"/>
      <c r="E1381" s="42"/>
      <c r="F1381" s="51" t="n">
        <f aca="false">IF(OR(C1381="",D1381="",E1381="",E1381=0),0,C1381*D1381/E1381)</f>
        <v>0</v>
      </c>
      <c r="G1381" s="42"/>
      <c r="H1381" s="49" t="n">
        <f aca="true">IF(OR($A1381="",_xlfn.MINIFS($B$3:$B$5000,$A$3:$A$5000,$A1381,$B$3:$B$5000,"&gt;"&amp;$B1381)=0),NOW(),_xlfn.MINIFS($B$3:$B$5000,$A$3:$A$5000,$A1381,$B$3:$B$5000,"&gt;"&amp;$B1381))</f>
        <v>46279.5987643453</v>
      </c>
    </row>
    <row r="1382" customFormat="false" ht="15" hidden="false" customHeight="true" outlineLevel="0" collapsed="false">
      <c r="A1382" s="42"/>
      <c r="B1382" s="42"/>
      <c r="C1382" s="42"/>
      <c r="D1382" s="42"/>
      <c r="E1382" s="42"/>
      <c r="F1382" s="51" t="n">
        <f aca="false">IF(OR(C1382="",D1382="",E1382="",E1382=0),0,C1382*D1382/E1382)</f>
        <v>0</v>
      </c>
      <c r="G1382" s="42"/>
      <c r="H1382" s="49" t="n">
        <f aca="true">IF(OR($A1382="",_xlfn.MINIFS($B$3:$B$5000,$A$3:$A$5000,$A1382,$B$3:$B$5000,"&gt;"&amp;$B1382)=0),NOW(),_xlfn.MINIFS($B$3:$B$5000,$A$3:$A$5000,$A1382,$B$3:$B$5000,"&gt;"&amp;$B1382))</f>
        <v>46279.5987643454</v>
      </c>
    </row>
    <row r="1383" customFormat="false" ht="15" hidden="false" customHeight="true" outlineLevel="0" collapsed="false">
      <c r="A1383" s="42"/>
      <c r="B1383" s="42"/>
      <c r="C1383" s="42"/>
      <c r="D1383" s="42"/>
      <c r="E1383" s="42"/>
      <c r="F1383" s="51" t="n">
        <f aca="false">IF(OR(C1383="",D1383="",E1383="",E1383=0),0,C1383*D1383/E1383)</f>
        <v>0</v>
      </c>
      <c r="G1383" s="42"/>
      <c r="H1383" s="49" t="n">
        <f aca="true">IF(OR($A1383="",_xlfn.MINIFS($B$3:$B$5000,$A$3:$A$5000,$A1383,$B$3:$B$5000,"&gt;"&amp;$B1383)=0),NOW(),_xlfn.MINIFS($B$3:$B$5000,$A$3:$A$5000,$A1383,$B$3:$B$5000,"&gt;"&amp;$B1383))</f>
        <v>46279.5987643454</v>
      </c>
    </row>
    <row r="1384" customFormat="false" ht="15" hidden="false" customHeight="true" outlineLevel="0" collapsed="false">
      <c r="A1384" s="42"/>
      <c r="B1384" s="42"/>
      <c r="C1384" s="42"/>
      <c r="D1384" s="42"/>
      <c r="E1384" s="42"/>
      <c r="F1384" s="51" t="n">
        <f aca="false">IF(OR(C1384="",D1384="",E1384="",E1384=0),0,C1384*D1384/E1384)</f>
        <v>0</v>
      </c>
      <c r="G1384" s="42"/>
      <c r="H1384" s="49" t="n">
        <f aca="true">IF(OR($A1384="",_xlfn.MINIFS($B$3:$B$5000,$A$3:$A$5000,$A1384,$B$3:$B$5000,"&gt;"&amp;$B1384)=0),NOW(),_xlfn.MINIFS($B$3:$B$5000,$A$3:$A$5000,$A1384,$B$3:$B$5000,"&gt;"&amp;$B1384))</f>
        <v>46279.5987643455</v>
      </c>
    </row>
    <row r="1385" customFormat="false" ht="15" hidden="false" customHeight="true" outlineLevel="0" collapsed="false">
      <c r="A1385" s="42"/>
      <c r="B1385" s="42"/>
      <c r="C1385" s="42"/>
      <c r="D1385" s="42"/>
      <c r="E1385" s="42"/>
      <c r="F1385" s="51" t="n">
        <f aca="false">IF(OR(C1385="",D1385="",E1385="",E1385=0),0,C1385*D1385/E1385)</f>
        <v>0</v>
      </c>
      <c r="G1385" s="42"/>
      <c r="H1385" s="49" t="n">
        <f aca="true">IF(OR($A1385="",_xlfn.MINIFS($B$3:$B$5000,$A$3:$A$5000,$A1385,$B$3:$B$5000,"&gt;"&amp;$B1385)=0),NOW(),_xlfn.MINIFS($B$3:$B$5000,$A$3:$A$5000,$A1385,$B$3:$B$5000,"&gt;"&amp;$B1385))</f>
        <v>46279.5987643455</v>
      </c>
    </row>
    <row r="1386" customFormat="false" ht="15" hidden="false" customHeight="true" outlineLevel="0" collapsed="false">
      <c r="A1386" s="42"/>
      <c r="B1386" s="42"/>
      <c r="C1386" s="42"/>
      <c r="D1386" s="42"/>
      <c r="E1386" s="42"/>
      <c r="F1386" s="51" t="n">
        <f aca="false">IF(OR(C1386="",D1386="",E1386="",E1386=0),0,C1386*D1386/E1386)</f>
        <v>0</v>
      </c>
      <c r="G1386" s="42"/>
      <c r="H1386" s="49" t="n">
        <f aca="true">IF(OR($A1386="",_xlfn.MINIFS($B$3:$B$5000,$A$3:$A$5000,$A1386,$B$3:$B$5000,"&gt;"&amp;$B1386)=0),NOW(),_xlfn.MINIFS($B$3:$B$5000,$A$3:$A$5000,$A1386,$B$3:$B$5000,"&gt;"&amp;$B1386))</f>
        <v>46279.5987643456</v>
      </c>
    </row>
    <row r="1387" customFormat="false" ht="15" hidden="false" customHeight="true" outlineLevel="0" collapsed="false">
      <c r="A1387" s="42"/>
      <c r="B1387" s="42"/>
      <c r="C1387" s="42"/>
      <c r="D1387" s="42"/>
      <c r="E1387" s="42"/>
      <c r="F1387" s="51" t="n">
        <f aca="false">IF(OR(C1387="",D1387="",E1387="",E1387=0),0,C1387*D1387/E1387)</f>
        <v>0</v>
      </c>
      <c r="G1387" s="42"/>
      <c r="H1387" s="49" t="n">
        <f aca="true">IF(OR($A1387="",_xlfn.MINIFS($B$3:$B$5000,$A$3:$A$5000,$A1387,$B$3:$B$5000,"&gt;"&amp;$B1387)=0),NOW(),_xlfn.MINIFS($B$3:$B$5000,$A$3:$A$5000,$A1387,$B$3:$B$5000,"&gt;"&amp;$B1387))</f>
        <v>46279.5987643456</v>
      </c>
    </row>
    <row r="1388" customFormat="false" ht="15" hidden="false" customHeight="true" outlineLevel="0" collapsed="false">
      <c r="A1388" s="42"/>
      <c r="B1388" s="42"/>
      <c r="C1388" s="42"/>
      <c r="D1388" s="42"/>
      <c r="E1388" s="42"/>
      <c r="F1388" s="51" t="n">
        <f aca="false">IF(OR(C1388="",D1388="",E1388="",E1388=0),0,C1388*D1388/E1388)</f>
        <v>0</v>
      </c>
      <c r="G1388" s="42"/>
      <c r="H1388" s="49" t="n">
        <f aca="true">IF(OR($A1388="",_xlfn.MINIFS($B$3:$B$5000,$A$3:$A$5000,$A1388,$B$3:$B$5000,"&gt;"&amp;$B1388)=0),NOW(),_xlfn.MINIFS($B$3:$B$5000,$A$3:$A$5000,$A1388,$B$3:$B$5000,"&gt;"&amp;$B1388))</f>
        <v>46279.5987643457</v>
      </c>
    </row>
    <row r="1389" customFormat="false" ht="15" hidden="false" customHeight="true" outlineLevel="0" collapsed="false">
      <c r="A1389" s="42"/>
      <c r="B1389" s="42"/>
      <c r="C1389" s="42"/>
      <c r="D1389" s="42"/>
      <c r="E1389" s="42"/>
      <c r="F1389" s="51" t="n">
        <f aca="false">IF(OR(C1389="",D1389="",E1389="",E1389=0),0,C1389*D1389/E1389)</f>
        <v>0</v>
      </c>
      <c r="G1389" s="42"/>
      <c r="H1389" s="49" t="n">
        <f aca="true">IF(OR($A1389="",_xlfn.MINIFS($B$3:$B$5000,$A$3:$A$5000,$A1389,$B$3:$B$5000,"&gt;"&amp;$B1389)=0),NOW(),_xlfn.MINIFS($B$3:$B$5000,$A$3:$A$5000,$A1389,$B$3:$B$5000,"&gt;"&amp;$B1389))</f>
        <v>46279.5987643457</v>
      </c>
    </row>
    <row r="1390" customFormat="false" ht="15" hidden="false" customHeight="true" outlineLevel="0" collapsed="false">
      <c r="A1390" s="42"/>
      <c r="B1390" s="42"/>
      <c r="C1390" s="42"/>
      <c r="D1390" s="42"/>
      <c r="E1390" s="42"/>
      <c r="F1390" s="51" t="n">
        <f aca="false">IF(OR(C1390="",D1390="",E1390="",E1390=0),0,C1390*D1390/E1390)</f>
        <v>0</v>
      </c>
      <c r="G1390" s="42"/>
      <c r="H1390" s="49" t="n">
        <f aca="true">IF(OR($A1390="",_xlfn.MINIFS($B$3:$B$5000,$A$3:$A$5000,$A1390,$B$3:$B$5000,"&gt;"&amp;$B1390)=0),NOW(),_xlfn.MINIFS($B$3:$B$5000,$A$3:$A$5000,$A1390,$B$3:$B$5000,"&gt;"&amp;$B1390))</f>
        <v>46279.5987643458</v>
      </c>
    </row>
    <row r="1391" customFormat="false" ht="15" hidden="false" customHeight="true" outlineLevel="0" collapsed="false">
      <c r="A1391" s="42"/>
      <c r="B1391" s="42"/>
      <c r="C1391" s="42"/>
      <c r="D1391" s="42"/>
      <c r="E1391" s="42"/>
      <c r="F1391" s="51" t="n">
        <f aca="false">IF(OR(C1391="",D1391="",E1391="",E1391=0),0,C1391*D1391/E1391)</f>
        <v>0</v>
      </c>
      <c r="G1391" s="42"/>
      <c r="H1391" s="49" t="n">
        <f aca="true">IF(OR($A1391="",_xlfn.MINIFS($B$3:$B$5000,$A$3:$A$5000,$A1391,$B$3:$B$5000,"&gt;"&amp;$B1391)=0),NOW(),_xlfn.MINIFS($B$3:$B$5000,$A$3:$A$5000,$A1391,$B$3:$B$5000,"&gt;"&amp;$B1391))</f>
        <v>46279.5987643458</v>
      </c>
    </row>
    <row r="1392" customFormat="false" ht="15" hidden="false" customHeight="true" outlineLevel="0" collapsed="false">
      <c r="A1392" s="42"/>
      <c r="B1392" s="42"/>
      <c r="C1392" s="42"/>
      <c r="D1392" s="42"/>
      <c r="E1392" s="42"/>
      <c r="F1392" s="51" t="n">
        <f aca="false">IF(OR(C1392="",D1392="",E1392="",E1392=0),0,C1392*D1392/E1392)</f>
        <v>0</v>
      </c>
      <c r="G1392" s="42"/>
      <c r="H1392" s="49" t="n">
        <f aca="true">IF(OR($A1392="",_xlfn.MINIFS($B$3:$B$5000,$A$3:$A$5000,$A1392,$B$3:$B$5000,"&gt;"&amp;$B1392)=0),NOW(),_xlfn.MINIFS($B$3:$B$5000,$A$3:$A$5000,$A1392,$B$3:$B$5000,"&gt;"&amp;$B1392))</f>
        <v>46279.5987643459</v>
      </c>
    </row>
    <row r="1393" customFormat="false" ht="15" hidden="false" customHeight="true" outlineLevel="0" collapsed="false">
      <c r="A1393" s="42"/>
      <c r="B1393" s="42"/>
      <c r="C1393" s="42"/>
      <c r="D1393" s="42"/>
      <c r="E1393" s="42"/>
      <c r="F1393" s="51" t="n">
        <f aca="false">IF(OR(C1393="",D1393="",E1393="",E1393=0),0,C1393*D1393/E1393)</f>
        <v>0</v>
      </c>
      <c r="G1393" s="42"/>
      <c r="H1393" s="49" t="n">
        <f aca="true">IF(OR($A1393="",_xlfn.MINIFS($B$3:$B$5000,$A$3:$A$5000,$A1393,$B$3:$B$5000,"&gt;"&amp;$B1393)=0),NOW(),_xlfn.MINIFS($B$3:$B$5000,$A$3:$A$5000,$A1393,$B$3:$B$5000,"&gt;"&amp;$B1393))</f>
        <v>46279.5987643459</v>
      </c>
    </row>
    <row r="1394" customFormat="false" ht="15" hidden="false" customHeight="true" outlineLevel="0" collapsed="false">
      <c r="A1394" s="42"/>
      <c r="B1394" s="42"/>
      <c r="C1394" s="42"/>
      <c r="D1394" s="42"/>
      <c r="E1394" s="42"/>
      <c r="F1394" s="51" t="n">
        <f aca="false">IF(OR(C1394="",D1394="",E1394="",E1394=0),0,C1394*D1394/E1394)</f>
        <v>0</v>
      </c>
      <c r="G1394" s="42"/>
      <c r="H1394" s="49" t="n">
        <f aca="true">IF(OR($A1394="",_xlfn.MINIFS($B$3:$B$5000,$A$3:$A$5000,$A1394,$B$3:$B$5000,"&gt;"&amp;$B1394)=0),NOW(),_xlfn.MINIFS($B$3:$B$5000,$A$3:$A$5000,$A1394,$B$3:$B$5000,"&gt;"&amp;$B1394))</f>
        <v>46279.598764346</v>
      </c>
    </row>
    <row r="1395" customFormat="false" ht="15" hidden="false" customHeight="true" outlineLevel="0" collapsed="false">
      <c r="A1395" s="42"/>
      <c r="B1395" s="42"/>
      <c r="C1395" s="42"/>
      <c r="D1395" s="42"/>
      <c r="E1395" s="42"/>
      <c r="F1395" s="51" t="n">
        <f aca="false">IF(OR(C1395="",D1395="",E1395="",E1395=0),0,C1395*D1395/E1395)</f>
        <v>0</v>
      </c>
      <c r="G1395" s="42"/>
      <c r="H1395" s="49" t="n">
        <f aca="true">IF(OR($A1395="",_xlfn.MINIFS($B$3:$B$5000,$A$3:$A$5000,$A1395,$B$3:$B$5000,"&gt;"&amp;$B1395)=0),NOW(),_xlfn.MINIFS($B$3:$B$5000,$A$3:$A$5000,$A1395,$B$3:$B$5000,"&gt;"&amp;$B1395))</f>
        <v>46279.598764346</v>
      </c>
    </row>
    <row r="1396" customFormat="false" ht="15" hidden="false" customHeight="true" outlineLevel="0" collapsed="false">
      <c r="A1396" s="42"/>
      <c r="B1396" s="42"/>
      <c r="C1396" s="42"/>
      <c r="D1396" s="42"/>
      <c r="E1396" s="42"/>
      <c r="F1396" s="51" t="n">
        <f aca="false">IF(OR(C1396="",D1396="",E1396="",E1396=0),0,C1396*D1396/E1396)</f>
        <v>0</v>
      </c>
      <c r="G1396" s="42"/>
      <c r="H1396" s="49" t="n">
        <f aca="true">IF(OR($A1396="",_xlfn.MINIFS($B$3:$B$5000,$A$3:$A$5000,$A1396,$B$3:$B$5000,"&gt;"&amp;$B1396)=0),NOW(),_xlfn.MINIFS($B$3:$B$5000,$A$3:$A$5000,$A1396,$B$3:$B$5000,"&gt;"&amp;$B1396))</f>
        <v>46279.5987643461</v>
      </c>
    </row>
    <row r="1397" customFormat="false" ht="15" hidden="false" customHeight="true" outlineLevel="0" collapsed="false">
      <c r="A1397" s="42"/>
      <c r="B1397" s="42"/>
      <c r="C1397" s="42"/>
      <c r="D1397" s="42"/>
      <c r="E1397" s="42"/>
      <c r="F1397" s="51" t="n">
        <f aca="false">IF(OR(C1397="",D1397="",E1397="",E1397=0),0,C1397*D1397/E1397)</f>
        <v>0</v>
      </c>
      <c r="G1397" s="42"/>
      <c r="H1397" s="49" t="n">
        <f aca="true">IF(OR($A1397="",_xlfn.MINIFS($B$3:$B$5000,$A$3:$A$5000,$A1397,$B$3:$B$5000,"&gt;"&amp;$B1397)=0),NOW(),_xlfn.MINIFS($B$3:$B$5000,$A$3:$A$5000,$A1397,$B$3:$B$5000,"&gt;"&amp;$B1397))</f>
        <v>46279.5987643461</v>
      </c>
    </row>
    <row r="1398" customFormat="false" ht="15" hidden="false" customHeight="true" outlineLevel="0" collapsed="false">
      <c r="A1398" s="42"/>
      <c r="B1398" s="42"/>
      <c r="C1398" s="42"/>
      <c r="D1398" s="42"/>
      <c r="E1398" s="42"/>
      <c r="F1398" s="51" t="n">
        <f aca="false">IF(OR(C1398="",D1398="",E1398="",E1398=0),0,C1398*D1398/E1398)</f>
        <v>0</v>
      </c>
      <c r="G1398" s="42"/>
      <c r="H1398" s="49" t="n">
        <f aca="true">IF(OR($A1398="",_xlfn.MINIFS($B$3:$B$5000,$A$3:$A$5000,$A1398,$B$3:$B$5000,"&gt;"&amp;$B1398)=0),NOW(),_xlfn.MINIFS($B$3:$B$5000,$A$3:$A$5000,$A1398,$B$3:$B$5000,"&gt;"&amp;$B1398))</f>
        <v>46279.5987643462</v>
      </c>
    </row>
    <row r="1399" customFormat="false" ht="15" hidden="false" customHeight="true" outlineLevel="0" collapsed="false">
      <c r="A1399" s="42"/>
      <c r="B1399" s="42"/>
      <c r="C1399" s="42"/>
      <c r="D1399" s="42"/>
      <c r="E1399" s="42"/>
      <c r="F1399" s="51" t="n">
        <f aca="false">IF(OR(C1399="",D1399="",E1399="",E1399=0),0,C1399*D1399/E1399)</f>
        <v>0</v>
      </c>
      <c r="G1399" s="42"/>
      <c r="H1399" s="49" t="n">
        <f aca="true">IF(OR($A1399="",_xlfn.MINIFS($B$3:$B$5000,$A$3:$A$5000,$A1399,$B$3:$B$5000,"&gt;"&amp;$B1399)=0),NOW(),_xlfn.MINIFS($B$3:$B$5000,$A$3:$A$5000,$A1399,$B$3:$B$5000,"&gt;"&amp;$B1399))</f>
        <v>46279.5987643462</v>
      </c>
    </row>
    <row r="1400" customFormat="false" ht="15" hidden="false" customHeight="true" outlineLevel="0" collapsed="false">
      <c r="A1400" s="42"/>
      <c r="B1400" s="42"/>
      <c r="C1400" s="42"/>
      <c r="D1400" s="42"/>
      <c r="E1400" s="42"/>
      <c r="F1400" s="51" t="n">
        <f aca="false">IF(OR(C1400="",D1400="",E1400="",E1400=0),0,C1400*D1400/E1400)</f>
        <v>0</v>
      </c>
      <c r="G1400" s="42"/>
      <c r="H1400" s="49" t="n">
        <f aca="true">IF(OR($A1400="",_xlfn.MINIFS($B$3:$B$5000,$A$3:$A$5000,$A1400,$B$3:$B$5000,"&gt;"&amp;$B1400)=0),NOW(),_xlfn.MINIFS($B$3:$B$5000,$A$3:$A$5000,$A1400,$B$3:$B$5000,"&gt;"&amp;$B1400))</f>
        <v>46279.5987643463</v>
      </c>
    </row>
    <row r="1401" customFormat="false" ht="15" hidden="false" customHeight="true" outlineLevel="0" collapsed="false">
      <c r="A1401" s="42"/>
      <c r="B1401" s="42"/>
      <c r="C1401" s="42"/>
      <c r="D1401" s="42"/>
      <c r="E1401" s="42"/>
      <c r="F1401" s="51" t="n">
        <f aca="false">IF(OR(C1401="",D1401="",E1401="",E1401=0),0,C1401*D1401/E1401)</f>
        <v>0</v>
      </c>
      <c r="G1401" s="42"/>
      <c r="H1401" s="49" t="n">
        <f aca="true">IF(OR($A1401="",_xlfn.MINIFS($B$3:$B$5000,$A$3:$A$5000,$A1401,$B$3:$B$5000,"&gt;"&amp;$B1401)=0),NOW(),_xlfn.MINIFS($B$3:$B$5000,$A$3:$A$5000,$A1401,$B$3:$B$5000,"&gt;"&amp;$B1401))</f>
        <v>46279.5987643463</v>
      </c>
    </row>
    <row r="1402" customFormat="false" ht="15" hidden="false" customHeight="true" outlineLevel="0" collapsed="false">
      <c r="A1402" s="42"/>
      <c r="B1402" s="42"/>
      <c r="C1402" s="42"/>
      <c r="D1402" s="42"/>
      <c r="E1402" s="42"/>
      <c r="F1402" s="51" t="n">
        <f aca="false">IF(OR(C1402="",D1402="",E1402="",E1402=0),0,C1402*D1402/E1402)</f>
        <v>0</v>
      </c>
      <c r="G1402" s="42"/>
      <c r="H1402" s="49" t="n">
        <f aca="true">IF(OR($A1402="",_xlfn.MINIFS($B$3:$B$5000,$A$3:$A$5000,$A1402,$B$3:$B$5000,"&gt;"&amp;$B1402)=0),NOW(),_xlfn.MINIFS($B$3:$B$5000,$A$3:$A$5000,$A1402,$B$3:$B$5000,"&gt;"&amp;$B1402))</f>
        <v>46279.5987643464</v>
      </c>
    </row>
    <row r="1403" customFormat="false" ht="15" hidden="false" customHeight="true" outlineLevel="0" collapsed="false">
      <c r="A1403" s="42"/>
      <c r="B1403" s="42"/>
      <c r="C1403" s="42"/>
      <c r="D1403" s="42"/>
      <c r="E1403" s="42"/>
      <c r="F1403" s="51" t="n">
        <f aca="false">IF(OR(C1403="",D1403="",E1403="",E1403=0),0,C1403*D1403/E1403)</f>
        <v>0</v>
      </c>
      <c r="G1403" s="42"/>
      <c r="H1403" s="49" t="n">
        <f aca="true">IF(OR($A1403="",_xlfn.MINIFS($B$3:$B$5000,$A$3:$A$5000,$A1403,$B$3:$B$5000,"&gt;"&amp;$B1403)=0),NOW(),_xlfn.MINIFS($B$3:$B$5000,$A$3:$A$5000,$A1403,$B$3:$B$5000,"&gt;"&amp;$B1403))</f>
        <v>46279.5987643464</v>
      </c>
    </row>
    <row r="1404" customFormat="false" ht="15" hidden="false" customHeight="true" outlineLevel="0" collapsed="false">
      <c r="A1404" s="42"/>
      <c r="B1404" s="42"/>
      <c r="C1404" s="42"/>
      <c r="D1404" s="42"/>
      <c r="E1404" s="42"/>
      <c r="F1404" s="51" t="n">
        <f aca="false">IF(OR(C1404="",D1404="",E1404="",E1404=0),0,C1404*D1404/E1404)</f>
        <v>0</v>
      </c>
      <c r="G1404" s="42"/>
      <c r="H1404" s="49" t="n">
        <f aca="true">IF(OR($A1404="",_xlfn.MINIFS($B$3:$B$5000,$A$3:$A$5000,$A1404,$B$3:$B$5000,"&gt;"&amp;$B1404)=0),NOW(),_xlfn.MINIFS($B$3:$B$5000,$A$3:$A$5000,$A1404,$B$3:$B$5000,"&gt;"&amp;$B1404))</f>
        <v>46279.5987643465</v>
      </c>
    </row>
    <row r="1405" customFormat="false" ht="15" hidden="false" customHeight="true" outlineLevel="0" collapsed="false">
      <c r="A1405" s="42"/>
      <c r="B1405" s="42"/>
      <c r="C1405" s="42"/>
      <c r="D1405" s="42"/>
      <c r="E1405" s="42"/>
      <c r="F1405" s="51" t="n">
        <f aca="false">IF(OR(C1405="",D1405="",E1405="",E1405=0),0,C1405*D1405/E1405)</f>
        <v>0</v>
      </c>
      <c r="G1405" s="42"/>
      <c r="H1405" s="49" t="n">
        <f aca="true">IF(OR($A1405="",_xlfn.MINIFS($B$3:$B$5000,$A$3:$A$5000,$A1405,$B$3:$B$5000,"&gt;"&amp;$B1405)=0),NOW(),_xlfn.MINIFS($B$3:$B$5000,$A$3:$A$5000,$A1405,$B$3:$B$5000,"&gt;"&amp;$B1405))</f>
        <v>46279.5987643465</v>
      </c>
    </row>
    <row r="1406" customFormat="false" ht="15" hidden="false" customHeight="true" outlineLevel="0" collapsed="false">
      <c r="A1406" s="42"/>
      <c r="B1406" s="42"/>
      <c r="C1406" s="42"/>
      <c r="D1406" s="42"/>
      <c r="E1406" s="42"/>
      <c r="F1406" s="51" t="n">
        <f aca="false">IF(OR(C1406="",D1406="",E1406="",E1406=0),0,C1406*D1406/E1406)</f>
        <v>0</v>
      </c>
      <c r="G1406" s="42"/>
      <c r="H1406" s="49" t="n">
        <f aca="true">IF(OR($A1406="",_xlfn.MINIFS($B$3:$B$5000,$A$3:$A$5000,$A1406,$B$3:$B$5000,"&gt;"&amp;$B1406)=0),NOW(),_xlfn.MINIFS($B$3:$B$5000,$A$3:$A$5000,$A1406,$B$3:$B$5000,"&gt;"&amp;$B1406))</f>
        <v>46279.5987643466</v>
      </c>
    </row>
    <row r="1407" customFormat="false" ht="15" hidden="false" customHeight="true" outlineLevel="0" collapsed="false">
      <c r="A1407" s="42"/>
      <c r="B1407" s="42"/>
      <c r="C1407" s="42"/>
      <c r="D1407" s="42"/>
      <c r="E1407" s="42"/>
      <c r="F1407" s="51" t="n">
        <f aca="false">IF(OR(C1407="",D1407="",E1407="",E1407=0),0,C1407*D1407/E1407)</f>
        <v>0</v>
      </c>
      <c r="G1407" s="42"/>
      <c r="H1407" s="49" t="n">
        <f aca="true">IF(OR($A1407="",_xlfn.MINIFS($B$3:$B$5000,$A$3:$A$5000,$A1407,$B$3:$B$5000,"&gt;"&amp;$B1407)=0),NOW(),_xlfn.MINIFS($B$3:$B$5000,$A$3:$A$5000,$A1407,$B$3:$B$5000,"&gt;"&amp;$B1407))</f>
        <v>46279.5987643466</v>
      </c>
    </row>
    <row r="1408" customFormat="false" ht="15" hidden="false" customHeight="true" outlineLevel="0" collapsed="false">
      <c r="A1408" s="42"/>
      <c r="B1408" s="42"/>
      <c r="C1408" s="42"/>
      <c r="D1408" s="42"/>
      <c r="E1408" s="42"/>
      <c r="F1408" s="51" t="n">
        <f aca="false">IF(OR(C1408="",D1408="",E1408="",E1408=0),0,C1408*D1408/E1408)</f>
        <v>0</v>
      </c>
      <c r="G1408" s="42"/>
      <c r="H1408" s="49" t="n">
        <f aca="true">IF(OR($A1408="",_xlfn.MINIFS($B$3:$B$5000,$A$3:$A$5000,$A1408,$B$3:$B$5000,"&gt;"&amp;$B1408)=0),NOW(),_xlfn.MINIFS($B$3:$B$5000,$A$3:$A$5000,$A1408,$B$3:$B$5000,"&gt;"&amp;$B1408))</f>
        <v>46279.5987643467</v>
      </c>
    </row>
    <row r="1409" customFormat="false" ht="15" hidden="false" customHeight="true" outlineLevel="0" collapsed="false">
      <c r="A1409" s="42"/>
      <c r="B1409" s="42"/>
      <c r="C1409" s="42"/>
      <c r="D1409" s="42"/>
      <c r="E1409" s="42"/>
      <c r="F1409" s="51" t="n">
        <f aca="false">IF(OR(C1409="",D1409="",E1409="",E1409=0),0,C1409*D1409/E1409)</f>
        <v>0</v>
      </c>
      <c r="G1409" s="42"/>
      <c r="H1409" s="49" t="n">
        <f aca="true">IF(OR($A1409="",_xlfn.MINIFS($B$3:$B$5000,$A$3:$A$5000,$A1409,$B$3:$B$5000,"&gt;"&amp;$B1409)=0),NOW(),_xlfn.MINIFS($B$3:$B$5000,$A$3:$A$5000,$A1409,$B$3:$B$5000,"&gt;"&amp;$B1409))</f>
        <v>46279.5987643467</v>
      </c>
    </row>
    <row r="1410" customFormat="false" ht="15" hidden="false" customHeight="true" outlineLevel="0" collapsed="false">
      <c r="A1410" s="42"/>
      <c r="B1410" s="42"/>
      <c r="C1410" s="42"/>
      <c r="D1410" s="42"/>
      <c r="E1410" s="42"/>
      <c r="F1410" s="51" t="n">
        <f aca="false">IF(OR(C1410="",D1410="",E1410="",E1410=0),0,C1410*D1410/E1410)</f>
        <v>0</v>
      </c>
      <c r="G1410" s="42"/>
      <c r="H1410" s="49" t="n">
        <f aca="true">IF(OR($A1410="",_xlfn.MINIFS($B$3:$B$5000,$A$3:$A$5000,$A1410,$B$3:$B$5000,"&gt;"&amp;$B1410)=0),NOW(),_xlfn.MINIFS($B$3:$B$5000,$A$3:$A$5000,$A1410,$B$3:$B$5000,"&gt;"&amp;$B1410))</f>
        <v>46279.5987643468</v>
      </c>
    </row>
    <row r="1411" customFormat="false" ht="15" hidden="false" customHeight="true" outlineLevel="0" collapsed="false">
      <c r="A1411" s="42"/>
      <c r="B1411" s="42"/>
      <c r="C1411" s="42"/>
      <c r="D1411" s="42"/>
      <c r="E1411" s="42"/>
      <c r="F1411" s="51" t="n">
        <f aca="false">IF(OR(C1411="",D1411="",E1411="",E1411=0),0,C1411*D1411/E1411)</f>
        <v>0</v>
      </c>
      <c r="G1411" s="42"/>
      <c r="H1411" s="49" t="n">
        <f aca="true">IF(OR($A1411="",_xlfn.MINIFS($B$3:$B$5000,$A$3:$A$5000,$A1411,$B$3:$B$5000,"&gt;"&amp;$B1411)=0),NOW(),_xlfn.MINIFS($B$3:$B$5000,$A$3:$A$5000,$A1411,$B$3:$B$5000,"&gt;"&amp;$B1411))</f>
        <v>46279.5987643468</v>
      </c>
    </row>
    <row r="1412" customFormat="false" ht="15" hidden="false" customHeight="true" outlineLevel="0" collapsed="false">
      <c r="A1412" s="42"/>
      <c r="B1412" s="42"/>
      <c r="C1412" s="42"/>
      <c r="D1412" s="42"/>
      <c r="E1412" s="42"/>
      <c r="F1412" s="51" t="n">
        <f aca="false">IF(OR(C1412="",D1412="",E1412="",E1412=0),0,C1412*D1412/E1412)</f>
        <v>0</v>
      </c>
      <c r="G1412" s="42"/>
      <c r="H1412" s="49" t="n">
        <f aca="true">IF(OR($A1412="",_xlfn.MINIFS($B$3:$B$5000,$A$3:$A$5000,$A1412,$B$3:$B$5000,"&gt;"&amp;$B1412)=0),NOW(),_xlfn.MINIFS($B$3:$B$5000,$A$3:$A$5000,$A1412,$B$3:$B$5000,"&gt;"&amp;$B1412))</f>
        <v>46279.5987643469</v>
      </c>
    </row>
    <row r="1413" customFormat="false" ht="15" hidden="false" customHeight="true" outlineLevel="0" collapsed="false">
      <c r="A1413" s="42"/>
      <c r="B1413" s="42"/>
      <c r="C1413" s="42"/>
      <c r="D1413" s="42"/>
      <c r="E1413" s="42"/>
      <c r="F1413" s="51" t="n">
        <f aca="false">IF(OR(C1413="",D1413="",E1413="",E1413=0),0,C1413*D1413/E1413)</f>
        <v>0</v>
      </c>
      <c r="G1413" s="42"/>
      <c r="H1413" s="49" t="n">
        <f aca="true">IF(OR($A1413="",_xlfn.MINIFS($B$3:$B$5000,$A$3:$A$5000,$A1413,$B$3:$B$5000,"&gt;"&amp;$B1413)=0),NOW(),_xlfn.MINIFS($B$3:$B$5000,$A$3:$A$5000,$A1413,$B$3:$B$5000,"&gt;"&amp;$B1413))</f>
        <v>46279.5987643469</v>
      </c>
    </row>
    <row r="1414" customFormat="false" ht="15" hidden="false" customHeight="true" outlineLevel="0" collapsed="false">
      <c r="A1414" s="42"/>
      <c r="B1414" s="42"/>
      <c r="C1414" s="42"/>
      <c r="D1414" s="42"/>
      <c r="E1414" s="42"/>
      <c r="F1414" s="51" t="n">
        <f aca="false">IF(OR(C1414="",D1414="",E1414="",E1414=0),0,C1414*D1414/E1414)</f>
        <v>0</v>
      </c>
      <c r="G1414" s="42"/>
      <c r="H1414" s="49" t="n">
        <f aca="true">IF(OR($A1414="",_xlfn.MINIFS($B$3:$B$5000,$A$3:$A$5000,$A1414,$B$3:$B$5000,"&gt;"&amp;$B1414)=0),NOW(),_xlfn.MINIFS($B$3:$B$5000,$A$3:$A$5000,$A1414,$B$3:$B$5000,"&gt;"&amp;$B1414))</f>
        <v>46279.598764347</v>
      </c>
    </row>
    <row r="1415" customFormat="false" ht="15" hidden="false" customHeight="true" outlineLevel="0" collapsed="false">
      <c r="A1415" s="42"/>
      <c r="B1415" s="42"/>
      <c r="C1415" s="42"/>
      <c r="D1415" s="42"/>
      <c r="E1415" s="42"/>
      <c r="F1415" s="51" t="n">
        <f aca="false">IF(OR(C1415="",D1415="",E1415="",E1415=0),0,C1415*D1415/E1415)</f>
        <v>0</v>
      </c>
      <c r="G1415" s="42"/>
      <c r="H1415" s="49" t="n">
        <f aca="true">IF(OR($A1415="",_xlfn.MINIFS($B$3:$B$5000,$A$3:$A$5000,$A1415,$B$3:$B$5000,"&gt;"&amp;$B1415)=0),NOW(),_xlfn.MINIFS($B$3:$B$5000,$A$3:$A$5000,$A1415,$B$3:$B$5000,"&gt;"&amp;$B1415))</f>
        <v>46279.598764347</v>
      </c>
    </row>
    <row r="1416" customFormat="false" ht="15" hidden="false" customHeight="true" outlineLevel="0" collapsed="false">
      <c r="A1416" s="42"/>
      <c r="B1416" s="42"/>
      <c r="C1416" s="42"/>
      <c r="D1416" s="42"/>
      <c r="E1416" s="42"/>
      <c r="F1416" s="51" t="n">
        <f aca="false">IF(OR(C1416="",D1416="",E1416="",E1416=0),0,C1416*D1416/E1416)</f>
        <v>0</v>
      </c>
      <c r="G1416" s="42"/>
      <c r="H1416" s="49" t="n">
        <f aca="true">IF(OR($A1416="",_xlfn.MINIFS($B$3:$B$5000,$A$3:$A$5000,$A1416,$B$3:$B$5000,"&gt;"&amp;$B1416)=0),NOW(),_xlfn.MINIFS($B$3:$B$5000,$A$3:$A$5000,$A1416,$B$3:$B$5000,"&gt;"&amp;$B1416))</f>
        <v>46279.5987643471</v>
      </c>
    </row>
    <row r="1417" customFormat="false" ht="15" hidden="false" customHeight="true" outlineLevel="0" collapsed="false">
      <c r="A1417" s="42"/>
      <c r="B1417" s="42"/>
      <c r="C1417" s="42"/>
      <c r="D1417" s="42"/>
      <c r="E1417" s="42"/>
      <c r="F1417" s="51" t="n">
        <f aca="false">IF(OR(C1417="",D1417="",E1417="",E1417=0),0,C1417*D1417/E1417)</f>
        <v>0</v>
      </c>
      <c r="G1417" s="42"/>
      <c r="H1417" s="49" t="n">
        <f aca="true">IF(OR($A1417="",_xlfn.MINIFS($B$3:$B$5000,$A$3:$A$5000,$A1417,$B$3:$B$5000,"&gt;"&amp;$B1417)=0),NOW(),_xlfn.MINIFS($B$3:$B$5000,$A$3:$A$5000,$A1417,$B$3:$B$5000,"&gt;"&amp;$B1417))</f>
        <v>46279.5987643471</v>
      </c>
    </row>
    <row r="1418" customFormat="false" ht="15" hidden="false" customHeight="true" outlineLevel="0" collapsed="false">
      <c r="A1418" s="42"/>
      <c r="B1418" s="42"/>
      <c r="C1418" s="42"/>
      <c r="D1418" s="42"/>
      <c r="E1418" s="42"/>
      <c r="F1418" s="51" t="n">
        <f aca="false">IF(OR(C1418="",D1418="",E1418="",E1418=0),0,C1418*D1418/E1418)</f>
        <v>0</v>
      </c>
      <c r="G1418" s="42"/>
      <c r="H1418" s="49" t="n">
        <f aca="true">IF(OR($A1418="",_xlfn.MINIFS($B$3:$B$5000,$A$3:$A$5000,$A1418,$B$3:$B$5000,"&gt;"&amp;$B1418)=0),NOW(),_xlfn.MINIFS($B$3:$B$5000,$A$3:$A$5000,$A1418,$B$3:$B$5000,"&gt;"&amp;$B1418))</f>
        <v>46279.5987643472</v>
      </c>
    </row>
    <row r="1419" customFormat="false" ht="15" hidden="false" customHeight="true" outlineLevel="0" collapsed="false">
      <c r="A1419" s="42"/>
      <c r="B1419" s="42"/>
      <c r="C1419" s="42"/>
      <c r="D1419" s="42"/>
      <c r="E1419" s="42"/>
      <c r="F1419" s="51" t="n">
        <f aca="false">IF(OR(C1419="",D1419="",E1419="",E1419=0),0,C1419*D1419/E1419)</f>
        <v>0</v>
      </c>
      <c r="G1419" s="42"/>
      <c r="H1419" s="49" t="n">
        <f aca="true">IF(OR($A1419="",_xlfn.MINIFS($B$3:$B$5000,$A$3:$A$5000,$A1419,$B$3:$B$5000,"&gt;"&amp;$B1419)=0),NOW(),_xlfn.MINIFS($B$3:$B$5000,$A$3:$A$5000,$A1419,$B$3:$B$5000,"&gt;"&amp;$B1419))</f>
        <v>46279.5987643472</v>
      </c>
    </row>
    <row r="1420" customFormat="false" ht="15" hidden="false" customHeight="true" outlineLevel="0" collapsed="false">
      <c r="A1420" s="42"/>
      <c r="B1420" s="42"/>
      <c r="C1420" s="42"/>
      <c r="D1420" s="42"/>
      <c r="E1420" s="42"/>
      <c r="F1420" s="51" t="n">
        <f aca="false">IF(OR(C1420="",D1420="",E1420="",E1420=0),0,C1420*D1420/E1420)</f>
        <v>0</v>
      </c>
      <c r="G1420" s="42"/>
      <c r="H1420" s="49" t="n">
        <f aca="true">IF(OR($A1420="",_xlfn.MINIFS($B$3:$B$5000,$A$3:$A$5000,$A1420,$B$3:$B$5000,"&gt;"&amp;$B1420)=0),NOW(),_xlfn.MINIFS($B$3:$B$5000,$A$3:$A$5000,$A1420,$B$3:$B$5000,"&gt;"&amp;$B1420))</f>
        <v>46279.5987643473</v>
      </c>
    </row>
    <row r="1421" customFormat="false" ht="15" hidden="false" customHeight="true" outlineLevel="0" collapsed="false">
      <c r="A1421" s="42"/>
      <c r="B1421" s="42"/>
      <c r="C1421" s="42"/>
      <c r="D1421" s="42"/>
      <c r="E1421" s="42"/>
      <c r="F1421" s="51" t="n">
        <f aca="false">IF(OR(C1421="",D1421="",E1421="",E1421=0),0,C1421*D1421/E1421)</f>
        <v>0</v>
      </c>
      <c r="G1421" s="42"/>
      <c r="H1421" s="49" t="n">
        <f aca="true">IF(OR($A1421="",_xlfn.MINIFS($B$3:$B$5000,$A$3:$A$5000,$A1421,$B$3:$B$5000,"&gt;"&amp;$B1421)=0),NOW(),_xlfn.MINIFS($B$3:$B$5000,$A$3:$A$5000,$A1421,$B$3:$B$5000,"&gt;"&amp;$B1421))</f>
        <v>46279.5987643473</v>
      </c>
    </row>
    <row r="1422" customFormat="false" ht="15" hidden="false" customHeight="true" outlineLevel="0" collapsed="false">
      <c r="A1422" s="42"/>
      <c r="B1422" s="42"/>
      <c r="C1422" s="42"/>
      <c r="D1422" s="42"/>
      <c r="E1422" s="42"/>
      <c r="F1422" s="51" t="n">
        <f aca="false">IF(OR(C1422="",D1422="",E1422="",E1422=0),0,C1422*D1422/E1422)</f>
        <v>0</v>
      </c>
      <c r="G1422" s="42"/>
      <c r="H1422" s="49" t="n">
        <f aca="true">IF(OR($A1422="",_xlfn.MINIFS($B$3:$B$5000,$A$3:$A$5000,$A1422,$B$3:$B$5000,"&gt;"&amp;$B1422)=0),NOW(),_xlfn.MINIFS($B$3:$B$5000,$A$3:$A$5000,$A1422,$B$3:$B$5000,"&gt;"&amp;$B1422))</f>
        <v>46279.5987643474</v>
      </c>
    </row>
    <row r="1423" customFormat="false" ht="15" hidden="false" customHeight="true" outlineLevel="0" collapsed="false">
      <c r="A1423" s="42"/>
      <c r="B1423" s="42"/>
      <c r="C1423" s="42"/>
      <c r="D1423" s="42"/>
      <c r="E1423" s="42"/>
      <c r="F1423" s="51" t="n">
        <f aca="false">IF(OR(C1423="",D1423="",E1423="",E1423=0),0,C1423*D1423/E1423)</f>
        <v>0</v>
      </c>
      <c r="G1423" s="42"/>
      <c r="H1423" s="49" t="n">
        <f aca="true">IF(OR($A1423="",_xlfn.MINIFS($B$3:$B$5000,$A$3:$A$5000,$A1423,$B$3:$B$5000,"&gt;"&amp;$B1423)=0),NOW(),_xlfn.MINIFS($B$3:$B$5000,$A$3:$A$5000,$A1423,$B$3:$B$5000,"&gt;"&amp;$B1423))</f>
        <v>46279.5987643474</v>
      </c>
    </row>
    <row r="1424" customFormat="false" ht="15" hidden="false" customHeight="true" outlineLevel="0" collapsed="false">
      <c r="A1424" s="42"/>
      <c r="B1424" s="42"/>
      <c r="C1424" s="42"/>
      <c r="D1424" s="42"/>
      <c r="E1424" s="42"/>
      <c r="F1424" s="51" t="n">
        <f aca="false">IF(OR(C1424="",D1424="",E1424="",E1424=0),0,C1424*D1424/E1424)</f>
        <v>0</v>
      </c>
      <c r="G1424" s="42"/>
      <c r="H1424" s="49" t="n">
        <f aca="true">IF(OR($A1424="",_xlfn.MINIFS($B$3:$B$5000,$A$3:$A$5000,$A1424,$B$3:$B$5000,"&gt;"&amp;$B1424)=0),NOW(),_xlfn.MINIFS($B$3:$B$5000,$A$3:$A$5000,$A1424,$B$3:$B$5000,"&gt;"&amp;$B1424))</f>
        <v>46279.5987643475</v>
      </c>
    </row>
    <row r="1425" customFormat="false" ht="15" hidden="false" customHeight="true" outlineLevel="0" collapsed="false">
      <c r="A1425" s="42"/>
      <c r="B1425" s="42"/>
      <c r="C1425" s="42"/>
      <c r="D1425" s="42"/>
      <c r="E1425" s="42"/>
      <c r="F1425" s="51" t="n">
        <f aca="false">IF(OR(C1425="",D1425="",E1425="",E1425=0),0,C1425*D1425/E1425)</f>
        <v>0</v>
      </c>
      <c r="G1425" s="42"/>
      <c r="H1425" s="49" t="n">
        <f aca="true">IF(OR($A1425="",_xlfn.MINIFS($B$3:$B$5000,$A$3:$A$5000,$A1425,$B$3:$B$5000,"&gt;"&amp;$B1425)=0),NOW(),_xlfn.MINIFS($B$3:$B$5000,$A$3:$A$5000,$A1425,$B$3:$B$5000,"&gt;"&amp;$B1425))</f>
        <v>46279.5987643475</v>
      </c>
    </row>
    <row r="1426" customFormat="false" ht="15" hidden="false" customHeight="true" outlineLevel="0" collapsed="false">
      <c r="A1426" s="42"/>
      <c r="B1426" s="42"/>
      <c r="C1426" s="42"/>
      <c r="D1426" s="42"/>
      <c r="E1426" s="42"/>
      <c r="F1426" s="51" t="n">
        <f aca="false">IF(OR(C1426="",D1426="",E1426="",E1426=0),0,C1426*D1426/E1426)</f>
        <v>0</v>
      </c>
      <c r="G1426" s="42"/>
      <c r="H1426" s="49" t="n">
        <f aca="true">IF(OR($A1426="",_xlfn.MINIFS($B$3:$B$5000,$A$3:$A$5000,$A1426,$B$3:$B$5000,"&gt;"&amp;$B1426)=0),NOW(),_xlfn.MINIFS($B$3:$B$5000,$A$3:$A$5000,$A1426,$B$3:$B$5000,"&gt;"&amp;$B1426))</f>
        <v>46279.5987643476</v>
      </c>
    </row>
    <row r="1427" customFormat="false" ht="15" hidden="false" customHeight="true" outlineLevel="0" collapsed="false">
      <c r="A1427" s="42"/>
      <c r="B1427" s="42"/>
      <c r="C1427" s="42"/>
      <c r="D1427" s="42"/>
      <c r="E1427" s="42"/>
      <c r="F1427" s="51" t="n">
        <f aca="false">IF(OR(C1427="",D1427="",E1427="",E1427=0),0,C1427*D1427/E1427)</f>
        <v>0</v>
      </c>
      <c r="G1427" s="42"/>
      <c r="H1427" s="49" t="n">
        <f aca="true">IF(OR($A1427="",_xlfn.MINIFS($B$3:$B$5000,$A$3:$A$5000,$A1427,$B$3:$B$5000,"&gt;"&amp;$B1427)=0),NOW(),_xlfn.MINIFS($B$3:$B$5000,$A$3:$A$5000,$A1427,$B$3:$B$5000,"&gt;"&amp;$B1427))</f>
        <v>46279.5987643476</v>
      </c>
    </row>
    <row r="1428" customFormat="false" ht="15" hidden="false" customHeight="true" outlineLevel="0" collapsed="false">
      <c r="A1428" s="42"/>
      <c r="B1428" s="42"/>
      <c r="C1428" s="42"/>
      <c r="D1428" s="42"/>
      <c r="E1428" s="42"/>
      <c r="F1428" s="51" t="n">
        <f aca="false">IF(OR(C1428="",D1428="",E1428="",E1428=0),0,C1428*D1428/E1428)</f>
        <v>0</v>
      </c>
      <c r="G1428" s="42"/>
      <c r="H1428" s="49" t="n">
        <f aca="true">IF(OR($A1428="",_xlfn.MINIFS($B$3:$B$5000,$A$3:$A$5000,$A1428,$B$3:$B$5000,"&gt;"&amp;$B1428)=0),NOW(),_xlfn.MINIFS($B$3:$B$5000,$A$3:$A$5000,$A1428,$B$3:$B$5000,"&gt;"&amp;$B1428))</f>
        <v>46279.5987643477</v>
      </c>
    </row>
    <row r="1429" customFormat="false" ht="15" hidden="false" customHeight="true" outlineLevel="0" collapsed="false">
      <c r="A1429" s="42"/>
      <c r="B1429" s="42"/>
      <c r="C1429" s="42"/>
      <c r="D1429" s="42"/>
      <c r="E1429" s="42"/>
      <c r="F1429" s="51" t="n">
        <f aca="false">IF(OR(C1429="",D1429="",E1429="",E1429=0),0,C1429*D1429/E1429)</f>
        <v>0</v>
      </c>
      <c r="G1429" s="42"/>
      <c r="H1429" s="49" t="n">
        <f aca="true">IF(OR($A1429="",_xlfn.MINIFS($B$3:$B$5000,$A$3:$A$5000,$A1429,$B$3:$B$5000,"&gt;"&amp;$B1429)=0),NOW(),_xlfn.MINIFS($B$3:$B$5000,$A$3:$A$5000,$A1429,$B$3:$B$5000,"&gt;"&amp;$B1429))</f>
        <v>46279.5987643477</v>
      </c>
    </row>
    <row r="1430" customFormat="false" ht="15" hidden="false" customHeight="true" outlineLevel="0" collapsed="false">
      <c r="A1430" s="42"/>
      <c r="B1430" s="42"/>
      <c r="C1430" s="42"/>
      <c r="D1430" s="42"/>
      <c r="E1430" s="42"/>
      <c r="F1430" s="51" t="n">
        <f aca="false">IF(OR(C1430="",D1430="",E1430="",E1430=0),0,C1430*D1430/E1430)</f>
        <v>0</v>
      </c>
      <c r="G1430" s="42"/>
      <c r="H1430" s="49" t="n">
        <f aca="true">IF(OR($A1430="",_xlfn.MINIFS($B$3:$B$5000,$A$3:$A$5000,$A1430,$B$3:$B$5000,"&gt;"&amp;$B1430)=0),NOW(),_xlfn.MINIFS($B$3:$B$5000,$A$3:$A$5000,$A1430,$B$3:$B$5000,"&gt;"&amp;$B1430))</f>
        <v>46279.5987643478</v>
      </c>
    </row>
    <row r="1431" customFormat="false" ht="15" hidden="false" customHeight="true" outlineLevel="0" collapsed="false">
      <c r="A1431" s="42"/>
      <c r="B1431" s="42"/>
      <c r="C1431" s="42"/>
      <c r="D1431" s="42"/>
      <c r="E1431" s="42"/>
      <c r="F1431" s="51" t="n">
        <f aca="false">IF(OR(C1431="",D1431="",E1431="",E1431=0),0,C1431*D1431/E1431)</f>
        <v>0</v>
      </c>
      <c r="G1431" s="42"/>
      <c r="H1431" s="49" t="n">
        <f aca="true">IF(OR($A1431="",_xlfn.MINIFS($B$3:$B$5000,$A$3:$A$5000,$A1431,$B$3:$B$5000,"&gt;"&amp;$B1431)=0),NOW(),_xlfn.MINIFS($B$3:$B$5000,$A$3:$A$5000,$A1431,$B$3:$B$5000,"&gt;"&amp;$B1431))</f>
        <v>46279.5987643478</v>
      </c>
    </row>
    <row r="1432" customFormat="false" ht="15" hidden="false" customHeight="true" outlineLevel="0" collapsed="false">
      <c r="A1432" s="42"/>
      <c r="B1432" s="42"/>
      <c r="C1432" s="42"/>
      <c r="D1432" s="42"/>
      <c r="E1432" s="42"/>
      <c r="F1432" s="51" t="n">
        <f aca="false">IF(OR(C1432="",D1432="",E1432="",E1432=0),0,C1432*D1432/E1432)</f>
        <v>0</v>
      </c>
      <c r="G1432" s="42"/>
      <c r="H1432" s="49" t="n">
        <f aca="true">IF(OR($A1432="",_xlfn.MINIFS($B$3:$B$5000,$A$3:$A$5000,$A1432,$B$3:$B$5000,"&gt;"&amp;$B1432)=0),NOW(),_xlfn.MINIFS($B$3:$B$5000,$A$3:$A$5000,$A1432,$B$3:$B$5000,"&gt;"&amp;$B1432))</f>
        <v>46279.5987643479</v>
      </c>
    </row>
    <row r="1433" customFormat="false" ht="15" hidden="false" customHeight="true" outlineLevel="0" collapsed="false">
      <c r="A1433" s="42"/>
      <c r="B1433" s="42"/>
      <c r="C1433" s="42"/>
      <c r="D1433" s="42"/>
      <c r="E1433" s="42"/>
      <c r="F1433" s="51" t="n">
        <f aca="false">IF(OR(C1433="",D1433="",E1433="",E1433=0),0,C1433*D1433/E1433)</f>
        <v>0</v>
      </c>
      <c r="G1433" s="42"/>
      <c r="H1433" s="49" t="n">
        <f aca="true">IF(OR($A1433="",_xlfn.MINIFS($B$3:$B$5000,$A$3:$A$5000,$A1433,$B$3:$B$5000,"&gt;"&amp;$B1433)=0),NOW(),_xlfn.MINIFS($B$3:$B$5000,$A$3:$A$5000,$A1433,$B$3:$B$5000,"&gt;"&amp;$B1433))</f>
        <v>46279.5987643479</v>
      </c>
    </row>
    <row r="1434" customFormat="false" ht="15" hidden="false" customHeight="true" outlineLevel="0" collapsed="false">
      <c r="A1434" s="42"/>
      <c r="B1434" s="42"/>
      <c r="C1434" s="42"/>
      <c r="D1434" s="42"/>
      <c r="E1434" s="42"/>
      <c r="F1434" s="51" t="n">
        <f aca="false">IF(OR(C1434="",D1434="",E1434="",E1434=0),0,C1434*D1434/E1434)</f>
        <v>0</v>
      </c>
      <c r="G1434" s="42"/>
      <c r="H1434" s="49" t="n">
        <f aca="true">IF(OR($A1434="",_xlfn.MINIFS($B$3:$B$5000,$A$3:$A$5000,$A1434,$B$3:$B$5000,"&gt;"&amp;$B1434)=0),NOW(),_xlfn.MINIFS($B$3:$B$5000,$A$3:$A$5000,$A1434,$B$3:$B$5000,"&gt;"&amp;$B1434))</f>
        <v>46279.598764348</v>
      </c>
    </row>
    <row r="1435" customFormat="false" ht="15" hidden="false" customHeight="true" outlineLevel="0" collapsed="false">
      <c r="A1435" s="42"/>
      <c r="B1435" s="42"/>
      <c r="C1435" s="42"/>
      <c r="D1435" s="42"/>
      <c r="E1435" s="42"/>
      <c r="F1435" s="51" t="n">
        <f aca="false">IF(OR(C1435="",D1435="",E1435="",E1435=0),0,C1435*D1435/E1435)</f>
        <v>0</v>
      </c>
      <c r="G1435" s="42"/>
      <c r="H1435" s="49" t="n">
        <f aca="true">IF(OR($A1435="",_xlfn.MINIFS($B$3:$B$5000,$A$3:$A$5000,$A1435,$B$3:$B$5000,"&gt;"&amp;$B1435)=0),NOW(),_xlfn.MINIFS($B$3:$B$5000,$A$3:$A$5000,$A1435,$B$3:$B$5000,"&gt;"&amp;$B1435))</f>
        <v>46279.598764348</v>
      </c>
    </row>
    <row r="1436" customFormat="false" ht="15" hidden="false" customHeight="true" outlineLevel="0" collapsed="false">
      <c r="A1436" s="42"/>
      <c r="B1436" s="42"/>
      <c r="C1436" s="42"/>
      <c r="D1436" s="42"/>
      <c r="E1436" s="42"/>
      <c r="F1436" s="51" t="n">
        <f aca="false">IF(OR(C1436="",D1436="",E1436="",E1436=0),0,C1436*D1436/E1436)</f>
        <v>0</v>
      </c>
      <c r="G1436" s="42"/>
      <c r="H1436" s="49" t="n">
        <f aca="true">IF(OR($A1436="",_xlfn.MINIFS($B$3:$B$5000,$A$3:$A$5000,$A1436,$B$3:$B$5000,"&gt;"&amp;$B1436)=0),NOW(),_xlfn.MINIFS($B$3:$B$5000,$A$3:$A$5000,$A1436,$B$3:$B$5000,"&gt;"&amp;$B1436))</f>
        <v>46279.5987643481</v>
      </c>
    </row>
    <row r="1437" customFormat="false" ht="15" hidden="false" customHeight="true" outlineLevel="0" collapsed="false">
      <c r="A1437" s="42"/>
      <c r="B1437" s="42"/>
      <c r="C1437" s="42"/>
      <c r="D1437" s="42"/>
      <c r="E1437" s="42"/>
      <c r="F1437" s="51" t="n">
        <f aca="false">IF(OR(C1437="",D1437="",E1437="",E1437=0),0,C1437*D1437/E1437)</f>
        <v>0</v>
      </c>
      <c r="G1437" s="42"/>
      <c r="H1437" s="49" t="n">
        <f aca="true">IF(OR($A1437="",_xlfn.MINIFS($B$3:$B$5000,$A$3:$A$5000,$A1437,$B$3:$B$5000,"&gt;"&amp;$B1437)=0),NOW(),_xlfn.MINIFS($B$3:$B$5000,$A$3:$A$5000,$A1437,$B$3:$B$5000,"&gt;"&amp;$B1437))</f>
        <v>46279.5987643481</v>
      </c>
    </row>
    <row r="1438" customFormat="false" ht="15" hidden="false" customHeight="true" outlineLevel="0" collapsed="false">
      <c r="A1438" s="42"/>
      <c r="B1438" s="42"/>
      <c r="C1438" s="42"/>
      <c r="D1438" s="42"/>
      <c r="E1438" s="42"/>
      <c r="F1438" s="51" t="n">
        <f aca="false">IF(OR(C1438="",D1438="",E1438="",E1438=0),0,C1438*D1438/E1438)</f>
        <v>0</v>
      </c>
      <c r="G1438" s="42"/>
      <c r="H1438" s="49" t="n">
        <f aca="true">IF(OR($A1438="",_xlfn.MINIFS($B$3:$B$5000,$A$3:$A$5000,$A1438,$B$3:$B$5000,"&gt;"&amp;$B1438)=0),NOW(),_xlfn.MINIFS($B$3:$B$5000,$A$3:$A$5000,$A1438,$B$3:$B$5000,"&gt;"&amp;$B1438))</f>
        <v>46279.5987643482</v>
      </c>
    </row>
    <row r="1439" customFormat="false" ht="15" hidden="false" customHeight="true" outlineLevel="0" collapsed="false">
      <c r="A1439" s="42"/>
      <c r="B1439" s="42"/>
      <c r="C1439" s="42"/>
      <c r="D1439" s="42"/>
      <c r="E1439" s="42"/>
      <c r="F1439" s="51" t="n">
        <f aca="false">IF(OR(C1439="",D1439="",E1439="",E1439=0),0,C1439*D1439/E1439)</f>
        <v>0</v>
      </c>
      <c r="G1439" s="42"/>
      <c r="H1439" s="49" t="n">
        <f aca="true">IF(OR($A1439="",_xlfn.MINIFS($B$3:$B$5000,$A$3:$A$5000,$A1439,$B$3:$B$5000,"&gt;"&amp;$B1439)=0),NOW(),_xlfn.MINIFS($B$3:$B$5000,$A$3:$A$5000,$A1439,$B$3:$B$5000,"&gt;"&amp;$B1439))</f>
        <v>46279.5987643482</v>
      </c>
    </row>
    <row r="1440" customFormat="false" ht="15" hidden="false" customHeight="true" outlineLevel="0" collapsed="false">
      <c r="A1440" s="42"/>
      <c r="B1440" s="42"/>
      <c r="C1440" s="42"/>
      <c r="D1440" s="42"/>
      <c r="E1440" s="42"/>
      <c r="F1440" s="51" t="n">
        <f aca="false">IF(OR(C1440="",D1440="",E1440="",E1440=0),0,C1440*D1440/E1440)</f>
        <v>0</v>
      </c>
      <c r="G1440" s="42"/>
      <c r="H1440" s="49" t="n">
        <f aca="true">IF(OR($A1440="",_xlfn.MINIFS($B$3:$B$5000,$A$3:$A$5000,$A1440,$B$3:$B$5000,"&gt;"&amp;$B1440)=0),NOW(),_xlfn.MINIFS($B$3:$B$5000,$A$3:$A$5000,$A1440,$B$3:$B$5000,"&gt;"&amp;$B1440))</f>
        <v>46279.5987643483</v>
      </c>
    </row>
    <row r="1441" customFormat="false" ht="15" hidden="false" customHeight="true" outlineLevel="0" collapsed="false">
      <c r="A1441" s="42"/>
      <c r="B1441" s="42"/>
      <c r="C1441" s="42"/>
      <c r="D1441" s="42"/>
      <c r="E1441" s="42"/>
      <c r="F1441" s="51" t="n">
        <f aca="false">IF(OR(C1441="",D1441="",E1441="",E1441=0),0,C1441*D1441/E1441)</f>
        <v>0</v>
      </c>
      <c r="G1441" s="42"/>
      <c r="H1441" s="49" t="n">
        <f aca="true">IF(OR($A1441="",_xlfn.MINIFS($B$3:$B$5000,$A$3:$A$5000,$A1441,$B$3:$B$5000,"&gt;"&amp;$B1441)=0),NOW(),_xlfn.MINIFS($B$3:$B$5000,$A$3:$A$5000,$A1441,$B$3:$B$5000,"&gt;"&amp;$B1441))</f>
        <v>46279.5987643484</v>
      </c>
    </row>
    <row r="1442" customFormat="false" ht="15" hidden="false" customHeight="true" outlineLevel="0" collapsed="false">
      <c r="A1442" s="42"/>
      <c r="B1442" s="42"/>
      <c r="C1442" s="42"/>
      <c r="D1442" s="42"/>
      <c r="E1442" s="42"/>
      <c r="F1442" s="51" t="n">
        <f aca="false">IF(OR(C1442="",D1442="",E1442="",E1442=0),0,C1442*D1442/E1442)</f>
        <v>0</v>
      </c>
      <c r="G1442" s="42"/>
      <c r="H1442" s="49" t="n">
        <f aca="true">IF(OR($A1442="",_xlfn.MINIFS($B$3:$B$5000,$A$3:$A$5000,$A1442,$B$3:$B$5000,"&gt;"&amp;$B1442)=0),NOW(),_xlfn.MINIFS($B$3:$B$5000,$A$3:$A$5000,$A1442,$B$3:$B$5000,"&gt;"&amp;$B1442))</f>
        <v>46279.5987643484</v>
      </c>
    </row>
    <row r="1443" customFormat="false" ht="15" hidden="false" customHeight="true" outlineLevel="0" collapsed="false">
      <c r="A1443" s="42"/>
      <c r="B1443" s="42"/>
      <c r="C1443" s="42"/>
      <c r="D1443" s="42"/>
      <c r="E1443" s="42"/>
      <c r="F1443" s="51" t="n">
        <f aca="false">IF(OR(C1443="",D1443="",E1443="",E1443=0),0,C1443*D1443/E1443)</f>
        <v>0</v>
      </c>
      <c r="G1443" s="42"/>
      <c r="H1443" s="49" t="n">
        <f aca="true">IF(OR($A1443="",_xlfn.MINIFS($B$3:$B$5000,$A$3:$A$5000,$A1443,$B$3:$B$5000,"&gt;"&amp;$B1443)=0),NOW(),_xlfn.MINIFS($B$3:$B$5000,$A$3:$A$5000,$A1443,$B$3:$B$5000,"&gt;"&amp;$B1443))</f>
        <v>46279.5987643485</v>
      </c>
    </row>
    <row r="1444" customFormat="false" ht="15" hidden="false" customHeight="true" outlineLevel="0" collapsed="false">
      <c r="A1444" s="42"/>
      <c r="B1444" s="42"/>
      <c r="C1444" s="42"/>
      <c r="D1444" s="42"/>
      <c r="E1444" s="42"/>
      <c r="F1444" s="51" t="n">
        <f aca="false">IF(OR(C1444="",D1444="",E1444="",E1444=0),0,C1444*D1444/E1444)</f>
        <v>0</v>
      </c>
      <c r="G1444" s="42"/>
      <c r="H1444" s="49" t="n">
        <f aca="true">IF(OR($A1444="",_xlfn.MINIFS($B$3:$B$5000,$A$3:$A$5000,$A1444,$B$3:$B$5000,"&gt;"&amp;$B1444)=0),NOW(),_xlfn.MINIFS($B$3:$B$5000,$A$3:$A$5000,$A1444,$B$3:$B$5000,"&gt;"&amp;$B1444))</f>
        <v>46279.5987643485</v>
      </c>
    </row>
    <row r="1445" customFormat="false" ht="15" hidden="false" customHeight="true" outlineLevel="0" collapsed="false">
      <c r="A1445" s="42"/>
      <c r="B1445" s="42"/>
      <c r="C1445" s="42"/>
      <c r="D1445" s="42"/>
      <c r="E1445" s="42"/>
      <c r="F1445" s="51" t="n">
        <f aca="false">IF(OR(C1445="",D1445="",E1445="",E1445=0),0,C1445*D1445/E1445)</f>
        <v>0</v>
      </c>
      <c r="G1445" s="42"/>
      <c r="H1445" s="49" t="n">
        <f aca="true">IF(OR($A1445="",_xlfn.MINIFS($B$3:$B$5000,$A$3:$A$5000,$A1445,$B$3:$B$5000,"&gt;"&amp;$B1445)=0),NOW(),_xlfn.MINIFS($B$3:$B$5000,$A$3:$A$5000,$A1445,$B$3:$B$5000,"&gt;"&amp;$B1445))</f>
        <v>46279.5987643486</v>
      </c>
    </row>
    <row r="1446" customFormat="false" ht="15" hidden="false" customHeight="true" outlineLevel="0" collapsed="false">
      <c r="A1446" s="42"/>
      <c r="B1446" s="42"/>
      <c r="C1446" s="42"/>
      <c r="D1446" s="42"/>
      <c r="E1446" s="42"/>
      <c r="F1446" s="51" t="n">
        <f aca="false">IF(OR(C1446="",D1446="",E1446="",E1446=0),0,C1446*D1446/E1446)</f>
        <v>0</v>
      </c>
      <c r="G1446" s="42"/>
      <c r="H1446" s="49" t="n">
        <f aca="true">IF(OR($A1446="",_xlfn.MINIFS($B$3:$B$5000,$A$3:$A$5000,$A1446,$B$3:$B$5000,"&gt;"&amp;$B1446)=0),NOW(),_xlfn.MINIFS($B$3:$B$5000,$A$3:$A$5000,$A1446,$B$3:$B$5000,"&gt;"&amp;$B1446))</f>
        <v>46279.5987643486</v>
      </c>
    </row>
    <row r="1447" customFormat="false" ht="15" hidden="false" customHeight="true" outlineLevel="0" collapsed="false">
      <c r="A1447" s="42"/>
      <c r="B1447" s="42"/>
      <c r="C1447" s="42"/>
      <c r="D1447" s="42"/>
      <c r="E1447" s="42"/>
      <c r="F1447" s="51" t="n">
        <f aca="false">IF(OR(C1447="",D1447="",E1447="",E1447=0),0,C1447*D1447/E1447)</f>
        <v>0</v>
      </c>
      <c r="G1447" s="42"/>
      <c r="H1447" s="49" t="n">
        <f aca="true">IF(OR($A1447="",_xlfn.MINIFS($B$3:$B$5000,$A$3:$A$5000,$A1447,$B$3:$B$5000,"&gt;"&amp;$B1447)=0),NOW(),_xlfn.MINIFS($B$3:$B$5000,$A$3:$A$5000,$A1447,$B$3:$B$5000,"&gt;"&amp;$B1447))</f>
        <v>46279.5987643487</v>
      </c>
    </row>
    <row r="1448" customFormat="false" ht="15" hidden="false" customHeight="true" outlineLevel="0" collapsed="false">
      <c r="A1448" s="42"/>
      <c r="B1448" s="42"/>
      <c r="C1448" s="42"/>
      <c r="D1448" s="42"/>
      <c r="E1448" s="42"/>
      <c r="F1448" s="51" t="n">
        <f aca="false">IF(OR(C1448="",D1448="",E1448="",E1448=0),0,C1448*D1448/E1448)</f>
        <v>0</v>
      </c>
      <c r="G1448" s="42"/>
      <c r="H1448" s="49" t="n">
        <f aca="true">IF(OR($A1448="",_xlfn.MINIFS($B$3:$B$5000,$A$3:$A$5000,$A1448,$B$3:$B$5000,"&gt;"&amp;$B1448)=0),NOW(),_xlfn.MINIFS($B$3:$B$5000,$A$3:$A$5000,$A1448,$B$3:$B$5000,"&gt;"&amp;$B1448))</f>
        <v>46279.5987643487</v>
      </c>
    </row>
    <row r="1449" customFormat="false" ht="15" hidden="false" customHeight="true" outlineLevel="0" collapsed="false">
      <c r="A1449" s="42"/>
      <c r="B1449" s="42"/>
      <c r="C1449" s="42"/>
      <c r="D1449" s="42"/>
      <c r="E1449" s="42"/>
      <c r="F1449" s="51" t="n">
        <f aca="false">IF(OR(C1449="",D1449="",E1449="",E1449=0),0,C1449*D1449/E1449)</f>
        <v>0</v>
      </c>
      <c r="G1449" s="42"/>
      <c r="H1449" s="49" t="n">
        <f aca="true">IF(OR($A1449="",_xlfn.MINIFS($B$3:$B$5000,$A$3:$A$5000,$A1449,$B$3:$B$5000,"&gt;"&amp;$B1449)=0),NOW(),_xlfn.MINIFS($B$3:$B$5000,$A$3:$A$5000,$A1449,$B$3:$B$5000,"&gt;"&amp;$B1449))</f>
        <v>46279.5987643488</v>
      </c>
    </row>
    <row r="1450" customFormat="false" ht="15" hidden="false" customHeight="true" outlineLevel="0" collapsed="false">
      <c r="A1450" s="42"/>
      <c r="B1450" s="42"/>
      <c r="C1450" s="42"/>
      <c r="D1450" s="42"/>
      <c r="E1450" s="42"/>
      <c r="F1450" s="51" t="n">
        <f aca="false">IF(OR(C1450="",D1450="",E1450="",E1450=0),0,C1450*D1450/E1450)</f>
        <v>0</v>
      </c>
      <c r="G1450" s="42"/>
      <c r="H1450" s="49" t="n">
        <f aca="true">IF(OR($A1450="",_xlfn.MINIFS($B$3:$B$5000,$A$3:$A$5000,$A1450,$B$3:$B$5000,"&gt;"&amp;$B1450)=0),NOW(),_xlfn.MINIFS($B$3:$B$5000,$A$3:$A$5000,$A1450,$B$3:$B$5000,"&gt;"&amp;$B1450))</f>
        <v>46279.5987643488</v>
      </c>
    </row>
    <row r="1451" customFormat="false" ht="15" hidden="false" customHeight="true" outlineLevel="0" collapsed="false">
      <c r="A1451" s="42"/>
      <c r="B1451" s="42"/>
      <c r="C1451" s="42"/>
      <c r="D1451" s="42"/>
      <c r="E1451" s="42"/>
      <c r="F1451" s="51" t="n">
        <f aca="false">IF(OR(C1451="",D1451="",E1451="",E1451=0),0,C1451*D1451/E1451)</f>
        <v>0</v>
      </c>
      <c r="G1451" s="42"/>
      <c r="H1451" s="49" t="n">
        <f aca="true">IF(OR($A1451="",_xlfn.MINIFS($B$3:$B$5000,$A$3:$A$5000,$A1451,$B$3:$B$5000,"&gt;"&amp;$B1451)=0),NOW(),_xlfn.MINIFS($B$3:$B$5000,$A$3:$A$5000,$A1451,$B$3:$B$5000,"&gt;"&amp;$B1451))</f>
        <v>46279.5987643489</v>
      </c>
    </row>
    <row r="1452" customFormat="false" ht="15" hidden="false" customHeight="true" outlineLevel="0" collapsed="false">
      <c r="A1452" s="42"/>
      <c r="B1452" s="42"/>
      <c r="C1452" s="42"/>
      <c r="D1452" s="42"/>
      <c r="E1452" s="42"/>
      <c r="F1452" s="51" t="n">
        <f aca="false">IF(OR(C1452="",D1452="",E1452="",E1452=0),0,C1452*D1452/E1452)</f>
        <v>0</v>
      </c>
      <c r="G1452" s="42"/>
      <c r="H1452" s="49" t="n">
        <f aca="true">IF(OR($A1452="",_xlfn.MINIFS($B$3:$B$5000,$A$3:$A$5000,$A1452,$B$3:$B$5000,"&gt;"&amp;$B1452)=0),NOW(),_xlfn.MINIFS($B$3:$B$5000,$A$3:$A$5000,$A1452,$B$3:$B$5000,"&gt;"&amp;$B1452))</f>
        <v>46279.5987643489</v>
      </c>
    </row>
    <row r="1453" customFormat="false" ht="15" hidden="false" customHeight="true" outlineLevel="0" collapsed="false">
      <c r="A1453" s="42"/>
      <c r="B1453" s="42"/>
      <c r="C1453" s="42"/>
      <c r="D1453" s="42"/>
      <c r="E1453" s="42"/>
      <c r="F1453" s="51" t="n">
        <f aca="false">IF(OR(C1453="",D1453="",E1453="",E1453=0),0,C1453*D1453/E1453)</f>
        <v>0</v>
      </c>
      <c r="G1453" s="42"/>
      <c r="H1453" s="49" t="n">
        <f aca="true">IF(OR($A1453="",_xlfn.MINIFS($B$3:$B$5000,$A$3:$A$5000,$A1453,$B$3:$B$5000,"&gt;"&amp;$B1453)=0),NOW(),_xlfn.MINIFS($B$3:$B$5000,$A$3:$A$5000,$A1453,$B$3:$B$5000,"&gt;"&amp;$B1453))</f>
        <v>46279.598764349</v>
      </c>
    </row>
    <row r="1454" customFormat="false" ht="15" hidden="false" customHeight="true" outlineLevel="0" collapsed="false">
      <c r="A1454" s="42"/>
      <c r="B1454" s="42"/>
      <c r="C1454" s="42"/>
      <c r="D1454" s="42"/>
      <c r="E1454" s="42"/>
      <c r="F1454" s="51" t="n">
        <f aca="false">IF(OR(C1454="",D1454="",E1454="",E1454=0),0,C1454*D1454/E1454)</f>
        <v>0</v>
      </c>
      <c r="G1454" s="42"/>
      <c r="H1454" s="49" t="n">
        <f aca="true">IF(OR($A1454="",_xlfn.MINIFS($B$3:$B$5000,$A$3:$A$5000,$A1454,$B$3:$B$5000,"&gt;"&amp;$B1454)=0),NOW(),_xlfn.MINIFS($B$3:$B$5000,$A$3:$A$5000,$A1454,$B$3:$B$5000,"&gt;"&amp;$B1454))</f>
        <v>46279.598764349</v>
      </c>
    </row>
    <row r="1455" customFormat="false" ht="15" hidden="false" customHeight="true" outlineLevel="0" collapsed="false">
      <c r="A1455" s="42"/>
      <c r="B1455" s="42"/>
      <c r="C1455" s="42"/>
      <c r="D1455" s="42"/>
      <c r="E1455" s="42"/>
      <c r="F1455" s="51" t="n">
        <f aca="false">IF(OR(C1455="",D1455="",E1455="",E1455=0),0,C1455*D1455/E1455)</f>
        <v>0</v>
      </c>
      <c r="G1455" s="42"/>
      <c r="H1455" s="49" t="n">
        <f aca="true">IF(OR($A1455="",_xlfn.MINIFS($B$3:$B$5000,$A$3:$A$5000,$A1455,$B$3:$B$5000,"&gt;"&amp;$B1455)=0),NOW(),_xlfn.MINIFS($B$3:$B$5000,$A$3:$A$5000,$A1455,$B$3:$B$5000,"&gt;"&amp;$B1455))</f>
        <v>46279.5987643491</v>
      </c>
    </row>
    <row r="1456" customFormat="false" ht="15" hidden="false" customHeight="true" outlineLevel="0" collapsed="false">
      <c r="A1456" s="42"/>
      <c r="B1456" s="42"/>
      <c r="C1456" s="42"/>
      <c r="D1456" s="42"/>
      <c r="E1456" s="42"/>
      <c r="F1456" s="51" t="n">
        <f aca="false">IF(OR(C1456="",D1456="",E1456="",E1456=0),0,C1456*D1456/E1456)</f>
        <v>0</v>
      </c>
      <c r="G1456" s="42"/>
      <c r="H1456" s="49" t="n">
        <f aca="true">IF(OR($A1456="",_xlfn.MINIFS($B$3:$B$5000,$A$3:$A$5000,$A1456,$B$3:$B$5000,"&gt;"&amp;$B1456)=0),NOW(),_xlfn.MINIFS($B$3:$B$5000,$A$3:$A$5000,$A1456,$B$3:$B$5000,"&gt;"&amp;$B1456))</f>
        <v>46279.5987643491</v>
      </c>
    </row>
    <row r="1457" customFormat="false" ht="15" hidden="false" customHeight="true" outlineLevel="0" collapsed="false">
      <c r="A1457" s="42"/>
      <c r="B1457" s="42"/>
      <c r="C1457" s="42"/>
      <c r="D1457" s="42"/>
      <c r="E1457" s="42"/>
      <c r="F1457" s="51" t="n">
        <f aca="false">IF(OR(C1457="",D1457="",E1457="",E1457=0),0,C1457*D1457/E1457)</f>
        <v>0</v>
      </c>
      <c r="G1457" s="42"/>
      <c r="H1457" s="49" t="n">
        <f aca="true">IF(OR($A1457="",_xlfn.MINIFS($B$3:$B$5000,$A$3:$A$5000,$A1457,$B$3:$B$5000,"&gt;"&amp;$B1457)=0),NOW(),_xlfn.MINIFS($B$3:$B$5000,$A$3:$A$5000,$A1457,$B$3:$B$5000,"&gt;"&amp;$B1457))</f>
        <v>46279.5987643492</v>
      </c>
    </row>
    <row r="1458" customFormat="false" ht="15" hidden="false" customHeight="true" outlineLevel="0" collapsed="false">
      <c r="A1458" s="42"/>
      <c r="B1458" s="42"/>
      <c r="C1458" s="42"/>
      <c r="D1458" s="42"/>
      <c r="E1458" s="42"/>
      <c r="F1458" s="51" t="n">
        <f aca="false">IF(OR(C1458="",D1458="",E1458="",E1458=0),0,C1458*D1458/E1458)</f>
        <v>0</v>
      </c>
      <c r="G1458" s="42"/>
      <c r="H1458" s="49" t="n">
        <f aca="true">IF(OR($A1458="",_xlfn.MINIFS($B$3:$B$5000,$A$3:$A$5000,$A1458,$B$3:$B$5000,"&gt;"&amp;$B1458)=0),NOW(),_xlfn.MINIFS($B$3:$B$5000,$A$3:$A$5000,$A1458,$B$3:$B$5000,"&gt;"&amp;$B1458))</f>
        <v>46279.5987643493</v>
      </c>
    </row>
    <row r="1459" customFormat="false" ht="15" hidden="false" customHeight="true" outlineLevel="0" collapsed="false">
      <c r="A1459" s="42"/>
      <c r="B1459" s="42"/>
      <c r="C1459" s="42"/>
      <c r="D1459" s="42"/>
      <c r="E1459" s="42"/>
      <c r="F1459" s="51" t="n">
        <f aca="false">IF(OR(C1459="",D1459="",E1459="",E1459=0),0,C1459*D1459/E1459)</f>
        <v>0</v>
      </c>
      <c r="G1459" s="42"/>
      <c r="H1459" s="49" t="n">
        <f aca="true">IF(OR($A1459="",_xlfn.MINIFS($B$3:$B$5000,$A$3:$A$5000,$A1459,$B$3:$B$5000,"&gt;"&amp;$B1459)=0),NOW(),_xlfn.MINIFS($B$3:$B$5000,$A$3:$A$5000,$A1459,$B$3:$B$5000,"&gt;"&amp;$B1459))</f>
        <v>46279.5987643493</v>
      </c>
    </row>
    <row r="1460" customFormat="false" ht="15" hidden="false" customHeight="true" outlineLevel="0" collapsed="false">
      <c r="A1460" s="42"/>
      <c r="B1460" s="42"/>
      <c r="C1460" s="42"/>
      <c r="D1460" s="42"/>
      <c r="E1460" s="42"/>
      <c r="F1460" s="51" t="n">
        <f aca="false">IF(OR(C1460="",D1460="",E1460="",E1460=0),0,C1460*D1460/E1460)</f>
        <v>0</v>
      </c>
      <c r="G1460" s="42"/>
      <c r="H1460" s="49" t="n">
        <f aca="true">IF(OR($A1460="",_xlfn.MINIFS($B$3:$B$5000,$A$3:$A$5000,$A1460,$B$3:$B$5000,"&gt;"&amp;$B1460)=0),NOW(),_xlfn.MINIFS($B$3:$B$5000,$A$3:$A$5000,$A1460,$B$3:$B$5000,"&gt;"&amp;$B1460))</f>
        <v>46279.5987643494</v>
      </c>
    </row>
    <row r="1461" customFormat="false" ht="15" hidden="false" customHeight="true" outlineLevel="0" collapsed="false">
      <c r="A1461" s="42"/>
      <c r="B1461" s="42"/>
      <c r="C1461" s="42"/>
      <c r="D1461" s="42"/>
      <c r="E1461" s="42"/>
      <c r="F1461" s="51" t="n">
        <f aca="false">IF(OR(C1461="",D1461="",E1461="",E1461=0),0,C1461*D1461/E1461)</f>
        <v>0</v>
      </c>
      <c r="G1461" s="42"/>
      <c r="H1461" s="49" t="n">
        <f aca="true">IF(OR($A1461="",_xlfn.MINIFS($B$3:$B$5000,$A$3:$A$5000,$A1461,$B$3:$B$5000,"&gt;"&amp;$B1461)=0),NOW(),_xlfn.MINIFS($B$3:$B$5000,$A$3:$A$5000,$A1461,$B$3:$B$5000,"&gt;"&amp;$B1461))</f>
        <v>46279.5987643494</v>
      </c>
    </row>
    <row r="1462" customFormat="false" ht="15" hidden="false" customHeight="true" outlineLevel="0" collapsed="false">
      <c r="A1462" s="42"/>
      <c r="B1462" s="42"/>
      <c r="C1462" s="42"/>
      <c r="D1462" s="42"/>
      <c r="E1462" s="42"/>
      <c r="F1462" s="51" t="n">
        <f aca="false">IF(OR(C1462="",D1462="",E1462="",E1462=0),0,C1462*D1462/E1462)</f>
        <v>0</v>
      </c>
      <c r="G1462" s="42"/>
      <c r="H1462" s="49" t="n">
        <f aca="true">IF(OR($A1462="",_xlfn.MINIFS($B$3:$B$5000,$A$3:$A$5000,$A1462,$B$3:$B$5000,"&gt;"&amp;$B1462)=0),NOW(),_xlfn.MINIFS($B$3:$B$5000,$A$3:$A$5000,$A1462,$B$3:$B$5000,"&gt;"&amp;$B1462))</f>
        <v>46279.5987643495</v>
      </c>
    </row>
    <row r="1463" customFormat="false" ht="15" hidden="false" customHeight="true" outlineLevel="0" collapsed="false">
      <c r="A1463" s="42"/>
      <c r="B1463" s="42"/>
      <c r="C1463" s="42"/>
      <c r="D1463" s="42"/>
      <c r="E1463" s="42"/>
      <c r="F1463" s="51" t="n">
        <f aca="false">IF(OR(C1463="",D1463="",E1463="",E1463=0),0,C1463*D1463/E1463)</f>
        <v>0</v>
      </c>
      <c r="G1463" s="42"/>
      <c r="H1463" s="49" t="n">
        <f aca="true">IF(OR($A1463="",_xlfn.MINIFS($B$3:$B$5000,$A$3:$A$5000,$A1463,$B$3:$B$5000,"&gt;"&amp;$B1463)=0),NOW(),_xlfn.MINIFS($B$3:$B$5000,$A$3:$A$5000,$A1463,$B$3:$B$5000,"&gt;"&amp;$B1463))</f>
        <v>46279.5987643495</v>
      </c>
    </row>
    <row r="1464" customFormat="false" ht="15" hidden="false" customHeight="true" outlineLevel="0" collapsed="false">
      <c r="A1464" s="42"/>
      <c r="B1464" s="42"/>
      <c r="C1464" s="42"/>
      <c r="D1464" s="42"/>
      <c r="E1464" s="42"/>
      <c r="F1464" s="51" t="n">
        <f aca="false">IF(OR(C1464="",D1464="",E1464="",E1464=0),0,C1464*D1464/E1464)</f>
        <v>0</v>
      </c>
      <c r="G1464" s="42"/>
      <c r="H1464" s="49" t="n">
        <f aca="true">IF(OR($A1464="",_xlfn.MINIFS($B$3:$B$5000,$A$3:$A$5000,$A1464,$B$3:$B$5000,"&gt;"&amp;$B1464)=0),NOW(),_xlfn.MINIFS($B$3:$B$5000,$A$3:$A$5000,$A1464,$B$3:$B$5000,"&gt;"&amp;$B1464))</f>
        <v>46279.5987643496</v>
      </c>
    </row>
    <row r="1465" customFormat="false" ht="15" hidden="false" customHeight="true" outlineLevel="0" collapsed="false">
      <c r="A1465" s="42"/>
      <c r="B1465" s="42"/>
      <c r="C1465" s="42"/>
      <c r="D1465" s="42"/>
      <c r="E1465" s="42"/>
      <c r="F1465" s="51" t="n">
        <f aca="false">IF(OR(C1465="",D1465="",E1465="",E1465=0),0,C1465*D1465/E1465)</f>
        <v>0</v>
      </c>
      <c r="G1465" s="42"/>
      <c r="H1465" s="49" t="n">
        <f aca="true">IF(OR($A1465="",_xlfn.MINIFS($B$3:$B$5000,$A$3:$A$5000,$A1465,$B$3:$B$5000,"&gt;"&amp;$B1465)=0),NOW(),_xlfn.MINIFS($B$3:$B$5000,$A$3:$A$5000,$A1465,$B$3:$B$5000,"&gt;"&amp;$B1465))</f>
        <v>46279.5987643496</v>
      </c>
    </row>
    <row r="1466" customFormat="false" ht="15" hidden="false" customHeight="true" outlineLevel="0" collapsed="false">
      <c r="A1466" s="42"/>
      <c r="B1466" s="42"/>
      <c r="C1466" s="42"/>
      <c r="D1466" s="42"/>
      <c r="E1466" s="42"/>
      <c r="F1466" s="51" t="n">
        <f aca="false">IF(OR(C1466="",D1466="",E1466="",E1466=0),0,C1466*D1466/E1466)</f>
        <v>0</v>
      </c>
      <c r="G1466" s="42"/>
      <c r="H1466" s="49" t="n">
        <f aca="true">IF(OR($A1466="",_xlfn.MINIFS($B$3:$B$5000,$A$3:$A$5000,$A1466,$B$3:$B$5000,"&gt;"&amp;$B1466)=0),NOW(),_xlfn.MINIFS($B$3:$B$5000,$A$3:$A$5000,$A1466,$B$3:$B$5000,"&gt;"&amp;$B1466))</f>
        <v>46279.5987643497</v>
      </c>
    </row>
    <row r="1467" customFormat="false" ht="15" hidden="false" customHeight="true" outlineLevel="0" collapsed="false">
      <c r="A1467" s="42"/>
      <c r="B1467" s="42"/>
      <c r="C1467" s="42"/>
      <c r="D1467" s="42"/>
      <c r="E1467" s="42"/>
      <c r="F1467" s="51" t="n">
        <f aca="false">IF(OR(C1467="",D1467="",E1467="",E1467=0),0,C1467*D1467/E1467)</f>
        <v>0</v>
      </c>
      <c r="G1467" s="42"/>
      <c r="H1467" s="49" t="n">
        <f aca="true">IF(OR($A1467="",_xlfn.MINIFS($B$3:$B$5000,$A$3:$A$5000,$A1467,$B$3:$B$5000,"&gt;"&amp;$B1467)=0),NOW(),_xlfn.MINIFS($B$3:$B$5000,$A$3:$A$5000,$A1467,$B$3:$B$5000,"&gt;"&amp;$B1467))</f>
        <v>46279.5987643497</v>
      </c>
    </row>
    <row r="1468" customFormat="false" ht="15" hidden="false" customHeight="true" outlineLevel="0" collapsed="false">
      <c r="A1468" s="42"/>
      <c r="B1468" s="42"/>
      <c r="C1468" s="42"/>
      <c r="D1468" s="42"/>
      <c r="E1468" s="42"/>
      <c r="F1468" s="51" t="n">
        <f aca="false">IF(OR(C1468="",D1468="",E1468="",E1468=0),0,C1468*D1468/E1468)</f>
        <v>0</v>
      </c>
      <c r="G1468" s="42"/>
      <c r="H1468" s="49" t="n">
        <f aca="true">IF(OR($A1468="",_xlfn.MINIFS($B$3:$B$5000,$A$3:$A$5000,$A1468,$B$3:$B$5000,"&gt;"&amp;$B1468)=0),NOW(),_xlfn.MINIFS($B$3:$B$5000,$A$3:$A$5000,$A1468,$B$3:$B$5000,"&gt;"&amp;$B1468))</f>
        <v>46279.5987643498</v>
      </c>
    </row>
    <row r="1469" customFormat="false" ht="15" hidden="false" customHeight="true" outlineLevel="0" collapsed="false">
      <c r="A1469" s="42"/>
      <c r="B1469" s="42"/>
      <c r="C1469" s="42"/>
      <c r="D1469" s="42"/>
      <c r="E1469" s="42"/>
      <c r="F1469" s="51" t="n">
        <f aca="false">IF(OR(C1469="",D1469="",E1469="",E1469=0),0,C1469*D1469/E1469)</f>
        <v>0</v>
      </c>
      <c r="G1469" s="42"/>
      <c r="H1469" s="49" t="n">
        <f aca="true">IF(OR($A1469="",_xlfn.MINIFS($B$3:$B$5000,$A$3:$A$5000,$A1469,$B$3:$B$5000,"&gt;"&amp;$B1469)=0),NOW(),_xlfn.MINIFS($B$3:$B$5000,$A$3:$A$5000,$A1469,$B$3:$B$5000,"&gt;"&amp;$B1469))</f>
        <v>46279.5987643498</v>
      </c>
    </row>
    <row r="1470" customFormat="false" ht="15" hidden="false" customHeight="true" outlineLevel="0" collapsed="false">
      <c r="A1470" s="42"/>
      <c r="B1470" s="42"/>
      <c r="C1470" s="42"/>
      <c r="D1470" s="42"/>
      <c r="E1470" s="42"/>
      <c r="F1470" s="51" t="n">
        <f aca="false">IF(OR(C1470="",D1470="",E1470="",E1470=0),0,C1470*D1470/E1470)</f>
        <v>0</v>
      </c>
      <c r="G1470" s="42"/>
      <c r="H1470" s="49" t="n">
        <f aca="true">IF(OR($A1470="",_xlfn.MINIFS($B$3:$B$5000,$A$3:$A$5000,$A1470,$B$3:$B$5000,"&gt;"&amp;$B1470)=0),NOW(),_xlfn.MINIFS($B$3:$B$5000,$A$3:$A$5000,$A1470,$B$3:$B$5000,"&gt;"&amp;$B1470))</f>
        <v>46279.5987643499</v>
      </c>
    </row>
    <row r="1471" customFormat="false" ht="15" hidden="false" customHeight="true" outlineLevel="0" collapsed="false">
      <c r="A1471" s="42"/>
      <c r="B1471" s="42"/>
      <c r="C1471" s="42"/>
      <c r="D1471" s="42"/>
      <c r="E1471" s="42"/>
      <c r="F1471" s="51" t="n">
        <f aca="false">IF(OR(C1471="",D1471="",E1471="",E1471=0),0,C1471*D1471/E1471)</f>
        <v>0</v>
      </c>
      <c r="G1471" s="42"/>
      <c r="H1471" s="49" t="n">
        <f aca="true">IF(OR($A1471="",_xlfn.MINIFS($B$3:$B$5000,$A$3:$A$5000,$A1471,$B$3:$B$5000,"&gt;"&amp;$B1471)=0),NOW(),_xlfn.MINIFS($B$3:$B$5000,$A$3:$A$5000,$A1471,$B$3:$B$5000,"&gt;"&amp;$B1471))</f>
        <v>46279.5987643503</v>
      </c>
    </row>
    <row r="1472" customFormat="false" ht="15" hidden="false" customHeight="true" outlineLevel="0" collapsed="false">
      <c r="A1472" s="42"/>
      <c r="B1472" s="42"/>
      <c r="C1472" s="42"/>
      <c r="D1472" s="42"/>
      <c r="E1472" s="42"/>
      <c r="F1472" s="51" t="n">
        <f aca="false">IF(OR(C1472="",D1472="",E1472="",E1472=0),0,C1472*D1472/E1472)</f>
        <v>0</v>
      </c>
      <c r="G1472" s="42"/>
      <c r="H1472" s="49" t="n">
        <f aca="true">IF(OR($A1472="",_xlfn.MINIFS($B$3:$B$5000,$A$3:$A$5000,$A1472,$B$3:$B$5000,"&gt;"&amp;$B1472)=0),NOW(),_xlfn.MINIFS($B$3:$B$5000,$A$3:$A$5000,$A1472,$B$3:$B$5000,"&gt;"&amp;$B1472))</f>
        <v>46279.5987643504</v>
      </c>
    </row>
    <row r="1473" customFormat="false" ht="15" hidden="false" customHeight="true" outlineLevel="0" collapsed="false">
      <c r="A1473" s="42"/>
      <c r="B1473" s="42"/>
      <c r="C1473" s="42"/>
      <c r="D1473" s="42"/>
      <c r="E1473" s="42"/>
      <c r="F1473" s="51" t="n">
        <f aca="false">IF(OR(C1473="",D1473="",E1473="",E1473=0),0,C1473*D1473/E1473)</f>
        <v>0</v>
      </c>
      <c r="G1473" s="42"/>
      <c r="H1473" s="49" t="n">
        <f aca="true">IF(OR($A1473="",_xlfn.MINIFS($B$3:$B$5000,$A$3:$A$5000,$A1473,$B$3:$B$5000,"&gt;"&amp;$B1473)=0),NOW(),_xlfn.MINIFS($B$3:$B$5000,$A$3:$A$5000,$A1473,$B$3:$B$5000,"&gt;"&amp;$B1473))</f>
        <v>46279.5987643504</v>
      </c>
    </row>
    <row r="1474" customFormat="false" ht="15" hidden="false" customHeight="true" outlineLevel="0" collapsed="false">
      <c r="A1474" s="42"/>
      <c r="B1474" s="42"/>
      <c r="C1474" s="42"/>
      <c r="D1474" s="42"/>
      <c r="E1474" s="42"/>
      <c r="F1474" s="51" t="n">
        <f aca="false">IF(OR(C1474="",D1474="",E1474="",E1474=0),0,C1474*D1474/E1474)</f>
        <v>0</v>
      </c>
      <c r="G1474" s="42"/>
      <c r="H1474" s="49" t="n">
        <f aca="true">IF(OR($A1474="",_xlfn.MINIFS($B$3:$B$5000,$A$3:$A$5000,$A1474,$B$3:$B$5000,"&gt;"&amp;$B1474)=0),NOW(),_xlfn.MINIFS($B$3:$B$5000,$A$3:$A$5000,$A1474,$B$3:$B$5000,"&gt;"&amp;$B1474))</f>
        <v>46279.5987643505</v>
      </c>
    </row>
    <row r="1475" customFormat="false" ht="15" hidden="false" customHeight="true" outlineLevel="0" collapsed="false">
      <c r="A1475" s="42"/>
      <c r="B1475" s="42"/>
      <c r="C1475" s="42"/>
      <c r="D1475" s="42"/>
      <c r="E1475" s="42"/>
      <c r="F1475" s="51" t="n">
        <f aca="false">IF(OR(C1475="",D1475="",E1475="",E1475=0),0,C1475*D1475/E1475)</f>
        <v>0</v>
      </c>
      <c r="G1475" s="42"/>
      <c r="H1475" s="49" t="n">
        <f aca="true">IF(OR($A1475="",_xlfn.MINIFS($B$3:$B$5000,$A$3:$A$5000,$A1475,$B$3:$B$5000,"&gt;"&amp;$B1475)=0),NOW(),_xlfn.MINIFS($B$3:$B$5000,$A$3:$A$5000,$A1475,$B$3:$B$5000,"&gt;"&amp;$B1475))</f>
        <v>46279.5987643505</v>
      </c>
    </row>
    <row r="1476" customFormat="false" ht="15" hidden="false" customHeight="true" outlineLevel="0" collapsed="false">
      <c r="A1476" s="42"/>
      <c r="B1476" s="42"/>
      <c r="C1476" s="42"/>
      <c r="D1476" s="42"/>
      <c r="E1476" s="42"/>
      <c r="F1476" s="51" t="n">
        <f aca="false">IF(OR(C1476="",D1476="",E1476="",E1476=0),0,C1476*D1476/E1476)</f>
        <v>0</v>
      </c>
      <c r="G1476" s="42"/>
      <c r="H1476" s="49" t="n">
        <f aca="true">IF(OR($A1476="",_xlfn.MINIFS($B$3:$B$5000,$A$3:$A$5000,$A1476,$B$3:$B$5000,"&gt;"&amp;$B1476)=0),NOW(),_xlfn.MINIFS($B$3:$B$5000,$A$3:$A$5000,$A1476,$B$3:$B$5000,"&gt;"&amp;$B1476))</f>
        <v>46279.5987643506</v>
      </c>
    </row>
    <row r="1477" customFormat="false" ht="15" hidden="false" customHeight="true" outlineLevel="0" collapsed="false">
      <c r="A1477" s="42"/>
      <c r="B1477" s="42"/>
      <c r="C1477" s="42"/>
      <c r="D1477" s="42"/>
      <c r="E1477" s="42"/>
      <c r="F1477" s="51" t="n">
        <f aca="false">IF(OR(C1477="",D1477="",E1477="",E1477=0),0,C1477*D1477/E1477)</f>
        <v>0</v>
      </c>
      <c r="G1477" s="42"/>
      <c r="H1477" s="49" t="n">
        <f aca="true">IF(OR($A1477="",_xlfn.MINIFS($B$3:$B$5000,$A$3:$A$5000,$A1477,$B$3:$B$5000,"&gt;"&amp;$B1477)=0),NOW(),_xlfn.MINIFS($B$3:$B$5000,$A$3:$A$5000,$A1477,$B$3:$B$5000,"&gt;"&amp;$B1477))</f>
        <v>46279.5987643506</v>
      </c>
    </row>
    <row r="1478" customFormat="false" ht="15" hidden="false" customHeight="true" outlineLevel="0" collapsed="false">
      <c r="A1478" s="42"/>
      <c r="B1478" s="42"/>
      <c r="C1478" s="42"/>
      <c r="D1478" s="42"/>
      <c r="E1478" s="42"/>
      <c r="F1478" s="51" t="n">
        <f aca="false">IF(OR(C1478="",D1478="",E1478="",E1478=0),0,C1478*D1478/E1478)</f>
        <v>0</v>
      </c>
      <c r="G1478" s="42"/>
      <c r="H1478" s="49" t="n">
        <f aca="true">IF(OR($A1478="",_xlfn.MINIFS($B$3:$B$5000,$A$3:$A$5000,$A1478,$B$3:$B$5000,"&gt;"&amp;$B1478)=0),NOW(),_xlfn.MINIFS($B$3:$B$5000,$A$3:$A$5000,$A1478,$B$3:$B$5000,"&gt;"&amp;$B1478))</f>
        <v>46279.5987643507</v>
      </c>
    </row>
    <row r="1479" customFormat="false" ht="15" hidden="false" customHeight="true" outlineLevel="0" collapsed="false">
      <c r="A1479" s="42"/>
      <c r="B1479" s="42"/>
      <c r="C1479" s="42"/>
      <c r="D1479" s="42"/>
      <c r="E1479" s="42"/>
      <c r="F1479" s="51" t="n">
        <f aca="false">IF(OR(C1479="",D1479="",E1479="",E1479=0),0,C1479*D1479/E1479)</f>
        <v>0</v>
      </c>
      <c r="G1479" s="42"/>
      <c r="H1479" s="49" t="n">
        <f aca="true">IF(OR($A1479="",_xlfn.MINIFS($B$3:$B$5000,$A$3:$A$5000,$A1479,$B$3:$B$5000,"&gt;"&amp;$B1479)=0),NOW(),_xlfn.MINIFS($B$3:$B$5000,$A$3:$A$5000,$A1479,$B$3:$B$5000,"&gt;"&amp;$B1479))</f>
        <v>46279.5987643507</v>
      </c>
    </row>
    <row r="1480" customFormat="false" ht="15" hidden="false" customHeight="true" outlineLevel="0" collapsed="false">
      <c r="A1480" s="42"/>
      <c r="B1480" s="42"/>
      <c r="C1480" s="42"/>
      <c r="D1480" s="42"/>
      <c r="E1480" s="42"/>
      <c r="F1480" s="51" t="n">
        <f aca="false">IF(OR(C1480="",D1480="",E1480="",E1480=0),0,C1480*D1480/E1480)</f>
        <v>0</v>
      </c>
      <c r="G1480" s="42"/>
      <c r="H1480" s="49" t="n">
        <f aca="true">IF(OR($A1480="",_xlfn.MINIFS($B$3:$B$5000,$A$3:$A$5000,$A1480,$B$3:$B$5000,"&gt;"&amp;$B1480)=0),NOW(),_xlfn.MINIFS($B$3:$B$5000,$A$3:$A$5000,$A1480,$B$3:$B$5000,"&gt;"&amp;$B1480))</f>
        <v>46279.5987643508</v>
      </c>
    </row>
    <row r="1481" customFormat="false" ht="15" hidden="false" customHeight="true" outlineLevel="0" collapsed="false">
      <c r="A1481" s="42"/>
      <c r="B1481" s="42"/>
      <c r="C1481" s="42"/>
      <c r="D1481" s="42"/>
      <c r="E1481" s="42"/>
      <c r="F1481" s="51" t="n">
        <f aca="false">IF(OR(C1481="",D1481="",E1481="",E1481=0),0,C1481*D1481/E1481)</f>
        <v>0</v>
      </c>
      <c r="G1481" s="42"/>
      <c r="H1481" s="49" t="n">
        <f aca="true">IF(OR($A1481="",_xlfn.MINIFS($B$3:$B$5000,$A$3:$A$5000,$A1481,$B$3:$B$5000,"&gt;"&amp;$B1481)=0),NOW(),_xlfn.MINIFS($B$3:$B$5000,$A$3:$A$5000,$A1481,$B$3:$B$5000,"&gt;"&amp;$B1481))</f>
        <v>46279.5987643508</v>
      </c>
    </row>
    <row r="1482" customFormat="false" ht="15" hidden="false" customHeight="true" outlineLevel="0" collapsed="false">
      <c r="A1482" s="42"/>
      <c r="B1482" s="42"/>
      <c r="C1482" s="42"/>
      <c r="D1482" s="42"/>
      <c r="E1482" s="42"/>
      <c r="F1482" s="51" t="n">
        <f aca="false">IF(OR(C1482="",D1482="",E1482="",E1482=0),0,C1482*D1482/E1482)</f>
        <v>0</v>
      </c>
      <c r="G1482" s="42"/>
      <c r="H1482" s="49" t="n">
        <f aca="true">IF(OR($A1482="",_xlfn.MINIFS($B$3:$B$5000,$A$3:$A$5000,$A1482,$B$3:$B$5000,"&gt;"&amp;$B1482)=0),NOW(),_xlfn.MINIFS($B$3:$B$5000,$A$3:$A$5000,$A1482,$B$3:$B$5000,"&gt;"&amp;$B1482))</f>
        <v>46279.5987643509</v>
      </c>
    </row>
    <row r="1483" customFormat="false" ht="15" hidden="false" customHeight="true" outlineLevel="0" collapsed="false">
      <c r="A1483" s="42"/>
      <c r="B1483" s="42"/>
      <c r="C1483" s="42"/>
      <c r="D1483" s="42"/>
      <c r="E1483" s="42"/>
      <c r="F1483" s="51" t="n">
        <f aca="false">IF(OR(C1483="",D1483="",E1483="",E1483=0),0,C1483*D1483/E1483)</f>
        <v>0</v>
      </c>
      <c r="G1483" s="42"/>
      <c r="H1483" s="49" t="n">
        <f aca="true">IF(OR($A1483="",_xlfn.MINIFS($B$3:$B$5000,$A$3:$A$5000,$A1483,$B$3:$B$5000,"&gt;"&amp;$B1483)=0),NOW(),_xlfn.MINIFS($B$3:$B$5000,$A$3:$A$5000,$A1483,$B$3:$B$5000,"&gt;"&amp;$B1483))</f>
        <v>46279.5987643509</v>
      </c>
    </row>
    <row r="1484" customFormat="false" ht="15" hidden="false" customHeight="true" outlineLevel="0" collapsed="false">
      <c r="A1484" s="42"/>
      <c r="B1484" s="42"/>
      <c r="C1484" s="42"/>
      <c r="D1484" s="42"/>
      <c r="E1484" s="42"/>
      <c r="F1484" s="51" t="n">
        <f aca="false">IF(OR(C1484="",D1484="",E1484="",E1484=0),0,C1484*D1484/E1484)</f>
        <v>0</v>
      </c>
      <c r="G1484" s="42"/>
      <c r="H1484" s="49" t="n">
        <f aca="true">IF(OR($A1484="",_xlfn.MINIFS($B$3:$B$5000,$A$3:$A$5000,$A1484,$B$3:$B$5000,"&gt;"&amp;$B1484)=0),NOW(),_xlfn.MINIFS($B$3:$B$5000,$A$3:$A$5000,$A1484,$B$3:$B$5000,"&gt;"&amp;$B1484))</f>
        <v>46279.598764351</v>
      </c>
    </row>
    <row r="1485" customFormat="false" ht="15" hidden="false" customHeight="true" outlineLevel="0" collapsed="false">
      <c r="A1485" s="42"/>
      <c r="B1485" s="42"/>
      <c r="C1485" s="42"/>
      <c r="D1485" s="42"/>
      <c r="E1485" s="42"/>
      <c r="F1485" s="51" t="n">
        <f aca="false">IF(OR(C1485="",D1485="",E1485="",E1485=0),0,C1485*D1485/E1485)</f>
        <v>0</v>
      </c>
      <c r="G1485" s="42"/>
      <c r="H1485" s="49" t="n">
        <f aca="true">IF(OR($A1485="",_xlfn.MINIFS($B$3:$B$5000,$A$3:$A$5000,$A1485,$B$3:$B$5000,"&gt;"&amp;$B1485)=0),NOW(),_xlfn.MINIFS($B$3:$B$5000,$A$3:$A$5000,$A1485,$B$3:$B$5000,"&gt;"&amp;$B1485))</f>
        <v>46279.598764351</v>
      </c>
    </row>
    <row r="1486" customFormat="false" ht="15" hidden="false" customHeight="true" outlineLevel="0" collapsed="false">
      <c r="A1486" s="42"/>
      <c r="B1486" s="42"/>
      <c r="C1486" s="42"/>
      <c r="D1486" s="42"/>
      <c r="E1486" s="42"/>
      <c r="F1486" s="51" t="n">
        <f aca="false">IF(OR(C1486="",D1486="",E1486="",E1486=0),0,C1486*D1486/E1486)</f>
        <v>0</v>
      </c>
      <c r="G1486" s="42"/>
      <c r="H1486" s="49" t="n">
        <f aca="true">IF(OR($A1486="",_xlfn.MINIFS($B$3:$B$5000,$A$3:$A$5000,$A1486,$B$3:$B$5000,"&gt;"&amp;$B1486)=0),NOW(),_xlfn.MINIFS($B$3:$B$5000,$A$3:$A$5000,$A1486,$B$3:$B$5000,"&gt;"&amp;$B1486))</f>
        <v>46279.5987643511</v>
      </c>
    </row>
    <row r="1487" customFormat="false" ht="15" hidden="false" customHeight="true" outlineLevel="0" collapsed="false">
      <c r="A1487" s="42"/>
      <c r="B1487" s="42"/>
      <c r="C1487" s="42"/>
      <c r="D1487" s="42"/>
      <c r="E1487" s="42"/>
      <c r="F1487" s="51" t="n">
        <f aca="false">IF(OR(C1487="",D1487="",E1487="",E1487=0),0,C1487*D1487/E1487)</f>
        <v>0</v>
      </c>
      <c r="G1487" s="42"/>
      <c r="H1487" s="49" t="n">
        <f aca="true">IF(OR($A1487="",_xlfn.MINIFS($B$3:$B$5000,$A$3:$A$5000,$A1487,$B$3:$B$5000,"&gt;"&amp;$B1487)=0),NOW(),_xlfn.MINIFS($B$3:$B$5000,$A$3:$A$5000,$A1487,$B$3:$B$5000,"&gt;"&amp;$B1487))</f>
        <v>46279.5987643511</v>
      </c>
    </row>
    <row r="1488" customFormat="false" ht="15" hidden="false" customHeight="true" outlineLevel="0" collapsed="false">
      <c r="A1488" s="42"/>
      <c r="B1488" s="42"/>
      <c r="C1488" s="42"/>
      <c r="D1488" s="42"/>
      <c r="E1488" s="42"/>
      <c r="F1488" s="51" t="n">
        <f aca="false">IF(OR(C1488="",D1488="",E1488="",E1488=0),0,C1488*D1488/E1488)</f>
        <v>0</v>
      </c>
      <c r="G1488" s="42"/>
      <c r="H1488" s="49" t="n">
        <f aca="true">IF(OR($A1488="",_xlfn.MINIFS($B$3:$B$5000,$A$3:$A$5000,$A1488,$B$3:$B$5000,"&gt;"&amp;$B1488)=0),NOW(),_xlfn.MINIFS($B$3:$B$5000,$A$3:$A$5000,$A1488,$B$3:$B$5000,"&gt;"&amp;$B1488))</f>
        <v>46279.5987643512</v>
      </c>
    </row>
    <row r="1489" customFormat="false" ht="15" hidden="false" customHeight="true" outlineLevel="0" collapsed="false">
      <c r="A1489" s="42"/>
      <c r="B1489" s="42"/>
      <c r="C1489" s="42"/>
      <c r="D1489" s="42"/>
      <c r="E1489" s="42"/>
      <c r="F1489" s="51" t="n">
        <f aca="false">IF(OR(C1489="",D1489="",E1489="",E1489=0),0,C1489*D1489/E1489)</f>
        <v>0</v>
      </c>
      <c r="G1489" s="42"/>
      <c r="H1489" s="49" t="n">
        <f aca="true">IF(OR($A1489="",_xlfn.MINIFS($B$3:$B$5000,$A$3:$A$5000,$A1489,$B$3:$B$5000,"&gt;"&amp;$B1489)=0),NOW(),_xlfn.MINIFS($B$3:$B$5000,$A$3:$A$5000,$A1489,$B$3:$B$5000,"&gt;"&amp;$B1489))</f>
        <v>46279.5987643512</v>
      </c>
    </row>
    <row r="1490" customFormat="false" ht="15" hidden="false" customHeight="true" outlineLevel="0" collapsed="false">
      <c r="A1490" s="42"/>
      <c r="B1490" s="42"/>
      <c r="C1490" s="42"/>
      <c r="D1490" s="42"/>
      <c r="E1490" s="42"/>
      <c r="F1490" s="51" t="n">
        <f aca="false">IF(OR(C1490="",D1490="",E1490="",E1490=0),0,C1490*D1490/E1490)</f>
        <v>0</v>
      </c>
      <c r="G1490" s="42"/>
      <c r="H1490" s="49" t="n">
        <f aca="true">IF(OR($A1490="",_xlfn.MINIFS($B$3:$B$5000,$A$3:$A$5000,$A1490,$B$3:$B$5000,"&gt;"&amp;$B1490)=0),NOW(),_xlfn.MINIFS($B$3:$B$5000,$A$3:$A$5000,$A1490,$B$3:$B$5000,"&gt;"&amp;$B1490))</f>
        <v>46279.5987643513</v>
      </c>
    </row>
    <row r="1491" customFormat="false" ht="15" hidden="false" customHeight="true" outlineLevel="0" collapsed="false">
      <c r="A1491" s="42"/>
      <c r="B1491" s="42"/>
      <c r="C1491" s="42"/>
      <c r="D1491" s="42"/>
      <c r="E1491" s="42"/>
      <c r="F1491" s="51" t="n">
        <f aca="false">IF(OR(C1491="",D1491="",E1491="",E1491=0),0,C1491*D1491/E1491)</f>
        <v>0</v>
      </c>
      <c r="G1491" s="42"/>
      <c r="H1491" s="49" t="n">
        <f aca="true">IF(OR($A1491="",_xlfn.MINIFS($B$3:$B$5000,$A$3:$A$5000,$A1491,$B$3:$B$5000,"&gt;"&amp;$B1491)=0),NOW(),_xlfn.MINIFS($B$3:$B$5000,$A$3:$A$5000,$A1491,$B$3:$B$5000,"&gt;"&amp;$B1491))</f>
        <v>46279.5987643513</v>
      </c>
    </row>
    <row r="1492" customFormat="false" ht="15" hidden="false" customHeight="true" outlineLevel="0" collapsed="false">
      <c r="A1492" s="42"/>
      <c r="B1492" s="42"/>
      <c r="C1492" s="42"/>
      <c r="D1492" s="42"/>
      <c r="E1492" s="42"/>
      <c r="F1492" s="51" t="n">
        <f aca="false">IF(OR(C1492="",D1492="",E1492="",E1492=0),0,C1492*D1492/E1492)</f>
        <v>0</v>
      </c>
      <c r="G1492" s="42"/>
      <c r="H1492" s="49" t="n">
        <f aca="true">IF(OR($A1492="",_xlfn.MINIFS($B$3:$B$5000,$A$3:$A$5000,$A1492,$B$3:$B$5000,"&gt;"&amp;$B1492)=0),NOW(),_xlfn.MINIFS($B$3:$B$5000,$A$3:$A$5000,$A1492,$B$3:$B$5000,"&gt;"&amp;$B1492))</f>
        <v>46279.5987643514</v>
      </c>
    </row>
    <row r="1493" customFormat="false" ht="15" hidden="false" customHeight="true" outlineLevel="0" collapsed="false">
      <c r="A1493" s="42"/>
      <c r="B1493" s="42"/>
      <c r="C1493" s="42"/>
      <c r="D1493" s="42"/>
      <c r="E1493" s="42"/>
      <c r="F1493" s="51" t="n">
        <f aca="false">IF(OR(C1493="",D1493="",E1493="",E1493=0),0,C1493*D1493/E1493)</f>
        <v>0</v>
      </c>
      <c r="G1493" s="42"/>
      <c r="H1493" s="49" t="n">
        <f aca="true">IF(OR($A1493="",_xlfn.MINIFS($B$3:$B$5000,$A$3:$A$5000,$A1493,$B$3:$B$5000,"&gt;"&amp;$B1493)=0),NOW(),_xlfn.MINIFS($B$3:$B$5000,$A$3:$A$5000,$A1493,$B$3:$B$5000,"&gt;"&amp;$B1493))</f>
        <v>46279.5987643514</v>
      </c>
    </row>
    <row r="1494" customFormat="false" ht="15" hidden="false" customHeight="true" outlineLevel="0" collapsed="false">
      <c r="A1494" s="42"/>
      <c r="B1494" s="42"/>
      <c r="C1494" s="42"/>
      <c r="D1494" s="42"/>
      <c r="E1494" s="42"/>
      <c r="F1494" s="51" t="n">
        <f aca="false">IF(OR(C1494="",D1494="",E1494="",E1494=0),0,C1494*D1494/E1494)</f>
        <v>0</v>
      </c>
      <c r="G1494" s="42"/>
      <c r="H1494" s="49" t="n">
        <f aca="true">IF(OR($A1494="",_xlfn.MINIFS($B$3:$B$5000,$A$3:$A$5000,$A1494,$B$3:$B$5000,"&gt;"&amp;$B1494)=0),NOW(),_xlfn.MINIFS($B$3:$B$5000,$A$3:$A$5000,$A1494,$B$3:$B$5000,"&gt;"&amp;$B1494))</f>
        <v>46279.5987643515</v>
      </c>
    </row>
    <row r="1495" customFormat="false" ht="15" hidden="false" customHeight="true" outlineLevel="0" collapsed="false">
      <c r="A1495" s="42"/>
      <c r="B1495" s="42"/>
      <c r="C1495" s="42"/>
      <c r="D1495" s="42"/>
      <c r="E1495" s="42"/>
      <c r="F1495" s="51" t="n">
        <f aca="false">IF(OR(C1495="",D1495="",E1495="",E1495=0),0,C1495*D1495/E1495)</f>
        <v>0</v>
      </c>
      <c r="G1495" s="42"/>
      <c r="H1495" s="49" t="n">
        <f aca="true">IF(OR($A1495="",_xlfn.MINIFS($B$3:$B$5000,$A$3:$A$5000,$A1495,$B$3:$B$5000,"&gt;"&amp;$B1495)=0),NOW(),_xlfn.MINIFS($B$3:$B$5000,$A$3:$A$5000,$A1495,$B$3:$B$5000,"&gt;"&amp;$B1495))</f>
        <v>46279.5987643515</v>
      </c>
    </row>
    <row r="1496" customFormat="false" ht="15" hidden="false" customHeight="true" outlineLevel="0" collapsed="false">
      <c r="A1496" s="42"/>
      <c r="B1496" s="42"/>
      <c r="C1496" s="42"/>
      <c r="D1496" s="42"/>
      <c r="E1496" s="42"/>
      <c r="F1496" s="51" t="n">
        <f aca="false">IF(OR(C1496="",D1496="",E1496="",E1496=0),0,C1496*D1496/E1496)</f>
        <v>0</v>
      </c>
      <c r="G1496" s="42"/>
      <c r="H1496" s="49" t="n">
        <f aca="true">IF(OR($A1496="",_xlfn.MINIFS($B$3:$B$5000,$A$3:$A$5000,$A1496,$B$3:$B$5000,"&gt;"&amp;$B1496)=0),NOW(),_xlfn.MINIFS($B$3:$B$5000,$A$3:$A$5000,$A1496,$B$3:$B$5000,"&gt;"&amp;$B1496))</f>
        <v>46279.5987643516</v>
      </c>
    </row>
    <row r="1497" customFormat="false" ht="15" hidden="false" customHeight="true" outlineLevel="0" collapsed="false">
      <c r="A1497" s="42"/>
      <c r="B1497" s="42"/>
      <c r="C1497" s="42"/>
      <c r="D1497" s="42"/>
      <c r="E1497" s="42"/>
      <c r="F1497" s="51" t="n">
        <f aca="false">IF(OR(C1497="",D1497="",E1497="",E1497=0),0,C1497*D1497/E1497)</f>
        <v>0</v>
      </c>
      <c r="G1497" s="42"/>
      <c r="H1497" s="49" t="n">
        <f aca="true">IF(OR($A1497="",_xlfn.MINIFS($B$3:$B$5000,$A$3:$A$5000,$A1497,$B$3:$B$5000,"&gt;"&amp;$B1497)=0),NOW(),_xlfn.MINIFS($B$3:$B$5000,$A$3:$A$5000,$A1497,$B$3:$B$5000,"&gt;"&amp;$B1497))</f>
        <v>46279.5987643516</v>
      </c>
    </row>
    <row r="1498" customFormat="false" ht="15" hidden="false" customHeight="true" outlineLevel="0" collapsed="false">
      <c r="A1498" s="42"/>
      <c r="B1498" s="42"/>
      <c r="C1498" s="42"/>
      <c r="D1498" s="42"/>
      <c r="E1498" s="42"/>
      <c r="F1498" s="51" t="n">
        <f aca="false">IF(OR(C1498="",D1498="",E1498="",E1498=0),0,C1498*D1498/E1498)</f>
        <v>0</v>
      </c>
      <c r="G1498" s="42"/>
      <c r="H1498" s="49" t="n">
        <f aca="true">IF(OR($A1498="",_xlfn.MINIFS($B$3:$B$5000,$A$3:$A$5000,$A1498,$B$3:$B$5000,"&gt;"&amp;$B1498)=0),NOW(),_xlfn.MINIFS($B$3:$B$5000,$A$3:$A$5000,$A1498,$B$3:$B$5000,"&gt;"&amp;$B1498))</f>
        <v>46279.5987643517</v>
      </c>
    </row>
    <row r="1499" customFormat="false" ht="15" hidden="false" customHeight="true" outlineLevel="0" collapsed="false">
      <c r="A1499" s="42"/>
      <c r="B1499" s="42"/>
      <c r="C1499" s="42"/>
      <c r="D1499" s="42"/>
      <c r="E1499" s="42"/>
      <c r="F1499" s="51" t="n">
        <f aca="false">IF(OR(C1499="",D1499="",E1499="",E1499=0),0,C1499*D1499/E1499)</f>
        <v>0</v>
      </c>
      <c r="G1499" s="42"/>
      <c r="H1499" s="49" t="n">
        <f aca="true">IF(OR($A1499="",_xlfn.MINIFS($B$3:$B$5000,$A$3:$A$5000,$A1499,$B$3:$B$5000,"&gt;"&amp;$B1499)=0),NOW(),_xlfn.MINIFS($B$3:$B$5000,$A$3:$A$5000,$A1499,$B$3:$B$5000,"&gt;"&amp;$B1499))</f>
        <v>46279.5987643517</v>
      </c>
    </row>
    <row r="1500" customFormat="false" ht="15" hidden="false" customHeight="true" outlineLevel="0" collapsed="false">
      <c r="A1500" s="42"/>
      <c r="B1500" s="42"/>
      <c r="C1500" s="42"/>
      <c r="D1500" s="42"/>
      <c r="E1500" s="42"/>
      <c r="F1500" s="51" t="n">
        <f aca="false">IF(OR(C1500="",D1500="",E1500="",E1500=0),0,C1500*D1500/E1500)</f>
        <v>0</v>
      </c>
      <c r="G1500" s="42"/>
      <c r="H1500" s="49" t="n">
        <f aca="true">IF(OR($A1500="",_xlfn.MINIFS($B$3:$B$5000,$A$3:$A$5000,$A1500,$B$3:$B$5000,"&gt;"&amp;$B1500)=0),NOW(),_xlfn.MINIFS($B$3:$B$5000,$A$3:$A$5000,$A1500,$B$3:$B$5000,"&gt;"&amp;$B1500))</f>
        <v>46279.5987643518</v>
      </c>
    </row>
    <row r="1501" customFormat="false" ht="15" hidden="false" customHeight="true" outlineLevel="0" collapsed="false">
      <c r="A1501" s="42"/>
      <c r="B1501" s="42"/>
      <c r="C1501" s="42"/>
      <c r="D1501" s="42"/>
      <c r="E1501" s="42"/>
      <c r="F1501" s="51" t="n">
        <f aca="false">IF(OR(C1501="",D1501="",E1501="",E1501=0),0,C1501*D1501/E1501)</f>
        <v>0</v>
      </c>
      <c r="G1501" s="42"/>
      <c r="H1501" s="49" t="n">
        <f aca="true">IF(OR($A1501="",_xlfn.MINIFS($B$3:$B$5000,$A$3:$A$5000,$A1501,$B$3:$B$5000,"&gt;"&amp;$B1501)=0),NOW(),_xlfn.MINIFS($B$3:$B$5000,$A$3:$A$5000,$A1501,$B$3:$B$5000,"&gt;"&amp;$B1501))</f>
        <v>46279.5987643518</v>
      </c>
    </row>
    <row r="1502" customFormat="false" ht="15" hidden="false" customHeight="true" outlineLevel="0" collapsed="false">
      <c r="A1502" s="42"/>
      <c r="B1502" s="42"/>
      <c r="C1502" s="42"/>
      <c r="D1502" s="42"/>
      <c r="E1502" s="42"/>
      <c r="F1502" s="51" t="n">
        <f aca="false">IF(OR(C1502="",D1502="",E1502="",E1502=0),0,C1502*D1502/E1502)</f>
        <v>0</v>
      </c>
      <c r="G1502" s="42"/>
      <c r="H1502" s="49" t="n">
        <f aca="true">IF(OR($A1502="",_xlfn.MINIFS($B$3:$B$5000,$A$3:$A$5000,$A1502,$B$3:$B$5000,"&gt;"&amp;$B1502)=0),NOW(),_xlfn.MINIFS($B$3:$B$5000,$A$3:$A$5000,$A1502,$B$3:$B$5000,"&gt;"&amp;$B1502))</f>
        <v>46279.5987643519</v>
      </c>
    </row>
    <row r="1503" customFormat="false" ht="15" hidden="false" customHeight="true" outlineLevel="0" collapsed="false">
      <c r="A1503" s="42"/>
      <c r="B1503" s="42"/>
      <c r="C1503" s="42"/>
      <c r="D1503" s="42"/>
      <c r="E1503" s="42"/>
      <c r="F1503" s="51" t="n">
        <f aca="false">IF(OR(C1503="",D1503="",E1503="",E1503=0),0,C1503*D1503/E1503)</f>
        <v>0</v>
      </c>
      <c r="G1503" s="42"/>
      <c r="H1503" s="49" t="n">
        <f aca="true">IF(OR($A1503="",_xlfn.MINIFS($B$3:$B$5000,$A$3:$A$5000,$A1503,$B$3:$B$5000,"&gt;"&amp;$B1503)=0),NOW(),_xlfn.MINIFS($B$3:$B$5000,$A$3:$A$5000,$A1503,$B$3:$B$5000,"&gt;"&amp;$B1503))</f>
        <v>46279.5987643519</v>
      </c>
    </row>
    <row r="1504" customFormat="false" ht="15" hidden="false" customHeight="true" outlineLevel="0" collapsed="false">
      <c r="A1504" s="42"/>
      <c r="B1504" s="42"/>
      <c r="C1504" s="42"/>
      <c r="D1504" s="42"/>
      <c r="E1504" s="42"/>
      <c r="F1504" s="51" t="n">
        <f aca="false">IF(OR(C1504="",D1504="",E1504="",E1504=0),0,C1504*D1504/E1504)</f>
        <v>0</v>
      </c>
      <c r="G1504" s="42"/>
      <c r="H1504" s="49" t="n">
        <f aca="true">IF(OR($A1504="",_xlfn.MINIFS($B$3:$B$5000,$A$3:$A$5000,$A1504,$B$3:$B$5000,"&gt;"&amp;$B1504)=0),NOW(),_xlfn.MINIFS($B$3:$B$5000,$A$3:$A$5000,$A1504,$B$3:$B$5000,"&gt;"&amp;$B1504))</f>
        <v>46279.598764352</v>
      </c>
    </row>
    <row r="1505" customFormat="false" ht="15" hidden="false" customHeight="true" outlineLevel="0" collapsed="false">
      <c r="A1505" s="42"/>
      <c r="B1505" s="42"/>
      <c r="C1505" s="42"/>
      <c r="D1505" s="42"/>
      <c r="E1505" s="42"/>
      <c r="F1505" s="51" t="n">
        <f aca="false">IF(OR(C1505="",D1505="",E1505="",E1505=0),0,C1505*D1505/E1505)</f>
        <v>0</v>
      </c>
      <c r="G1505" s="42"/>
      <c r="H1505" s="49" t="n">
        <f aca="true">IF(OR($A1505="",_xlfn.MINIFS($B$3:$B$5000,$A$3:$A$5000,$A1505,$B$3:$B$5000,"&gt;"&amp;$B1505)=0),NOW(),_xlfn.MINIFS($B$3:$B$5000,$A$3:$A$5000,$A1505,$B$3:$B$5000,"&gt;"&amp;$B1505))</f>
        <v>46279.598764352</v>
      </c>
    </row>
    <row r="1506" customFormat="false" ht="15" hidden="false" customHeight="true" outlineLevel="0" collapsed="false">
      <c r="A1506" s="42"/>
      <c r="B1506" s="42"/>
      <c r="C1506" s="42"/>
      <c r="D1506" s="42"/>
      <c r="E1506" s="42"/>
      <c r="F1506" s="51" t="n">
        <f aca="false">IF(OR(C1506="",D1506="",E1506="",E1506=0),0,C1506*D1506/E1506)</f>
        <v>0</v>
      </c>
      <c r="G1506" s="42"/>
      <c r="H1506" s="49" t="n">
        <f aca="true">IF(OR($A1506="",_xlfn.MINIFS($B$3:$B$5000,$A$3:$A$5000,$A1506,$B$3:$B$5000,"&gt;"&amp;$B1506)=0),NOW(),_xlfn.MINIFS($B$3:$B$5000,$A$3:$A$5000,$A1506,$B$3:$B$5000,"&gt;"&amp;$B1506))</f>
        <v>46279.5987643521</v>
      </c>
    </row>
    <row r="1507" customFormat="false" ht="15" hidden="false" customHeight="true" outlineLevel="0" collapsed="false">
      <c r="A1507" s="42"/>
      <c r="B1507" s="42"/>
      <c r="C1507" s="42"/>
      <c r="D1507" s="42"/>
      <c r="E1507" s="42"/>
      <c r="F1507" s="51" t="n">
        <f aca="false">IF(OR(C1507="",D1507="",E1507="",E1507=0),0,C1507*D1507/E1507)</f>
        <v>0</v>
      </c>
      <c r="G1507" s="42"/>
      <c r="H1507" s="49" t="n">
        <f aca="true">IF(OR($A1507="",_xlfn.MINIFS($B$3:$B$5000,$A$3:$A$5000,$A1507,$B$3:$B$5000,"&gt;"&amp;$B1507)=0),NOW(),_xlfn.MINIFS($B$3:$B$5000,$A$3:$A$5000,$A1507,$B$3:$B$5000,"&gt;"&amp;$B1507))</f>
        <v>46279.5987643521</v>
      </c>
    </row>
    <row r="1508" customFormat="false" ht="15" hidden="false" customHeight="true" outlineLevel="0" collapsed="false">
      <c r="A1508" s="42"/>
      <c r="B1508" s="42"/>
      <c r="C1508" s="42"/>
      <c r="D1508" s="42"/>
      <c r="E1508" s="42"/>
      <c r="F1508" s="51" t="n">
        <f aca="false">IF(OR(C1508="",D1508="",E1508="",E1508=0),0,C1508*D1508/E1508)</f>
        <v>0</v>
      </c>
      <c r="G1508" s="42"/>
      <c r="H1508" s="49" t="n">
        <f aca="true">IF(OR($A1508="",_xlfn.MINIFS($B$3:$B$5000,$A$3:$A$5000,$A1508,$B$3:$B$5000,"&gt;"&amp;$B1508)=0),NOW(),_xlfn.MINIFS($B$3:$B$5000,$A$3:$A$5000,$A1508,$B$3:$B$5000,"&gt;"&amp;$B1508))</f>
        <v>46279.5987643521</v>
      </c>
    </row>
    <row r="1509" customFormat="false" ht="15" hidden="false" customHeight="true" outlineLevel="0" collapsed="false">
      <c r="A1509" s="42"/>
      <c r="B1509" s="42"/>
      <c r="C1509" s="42"/>
      <c r="D1509" s="42"/>
      <c r="E1509" s="42"/>
      <c r="F1509" s="51" t="n">
        <f aca="false">IF(OR(C1509="",D1509="",E1509="",E1509=0),0,C1509*D1509/E1509)</f>
        <v>0</v>
      </c>
      <c r="G1509" s="42"/>
      <c r="H1509" s="49" t="n">
        <f aca="true">IF(OR($A1509="",_xlfn.MINIFS($B$3:$B$5000,$A$3:$A$5000,$A1509,$B$3:$B$5000,"&gt;"&amp;$B1509)=0),NOW(),_xlfn.MINIFS($B$3:$B$5000,$A$3:$A$5000,$A1509,$B$3:$B$5000,"&gt;"&amp;$B1509))</f>
        <v>46279.5987643522</v>
      </c>
    </row>
    <row r="1510" customFormat="false" ht="15" hidden="false" customHeight="true" outlineLevel="0" collapsed="false">
      <c r="A1510" s="42"/>
      <c r="B1510" s="42"/>
      <c r="C1510" s="42"/>
      <c r="D1510" s="42"/>
      <c r="E1510" s="42"/>
      <c r="F1510" s="51" t="n">
        <f aca="false">IF(OR(C1510="",D1510="",E1510="",E1510=0),0,C1510*D1510/E1510)</f>
        <v>0</v>
      </c>
      <c r="G1510" s="42"/>
      <c r="H1510" s="49" t="n">
        <f aca="true">IF(OR($A1510="",_xlfn.MINIFS($B$3:$B$5000,$A$3:$A$5000,$A1510,$B$3:$B$5000,"&gt;"&amp;$B1510)=0),NOW(),_xlfn.MINIFS($B$3:$B$5000,$A$3:$A$5000,$A1510,$B$3:$B$5000,"&gt;"&amp;$B1510))</f>
        <v>46279.5987643522</v>
      </c>
    </row>
    <row r="1511" customFormat="false" ht="15" hidden="false" customHeight="true" outlineLevel="0" collapsed="false">
      <c r="A1511" s="42"/>
      <c r="B1511" s="42"/>
      <c r="C1511" s="42"/>
      <c r="D1511" s="42"/>
      <c r="E1511" s="42"/>
      <c r="F1511" s="51" t="n">
        <f aca="false">IF(OR(C1511="",D1511="",E1511="",E1511=0),0,C1511*D1511/E1511)</f>
        <v>0</v>
      </c>
      <c r="G1511" s="42"/>
      <c r="H1511" s="49" t="n">
        <f aca="true">IF(OR($A1511="",_xlfn.MINIFS($B$3:$B$5000,$A$3:$A$5000,$A1511,$B$3:$B$5000,"&gt;"&amp;$B1511)=0),NOW(),_xlfn.MINIFS($B$3:$B$5000,$A$3:$A$5000,$A1511,$B$3:$B$5000,"&gt;"&amp;$B1511))</f>
        <v>46279.5987643523</v>
      </c>
    </row>
    <row r="1512" customFormat="false" ht="15" hidden="false" customHeight="true" outlineLevel="0" collapsed="false">
      <c r="A1512" s="42"/>
      <c r="B1512" s="42"/>
      <c r="C1512" s="42"/>
      <c r="D1512" s="42"/>
      <c r="E1512" s="42"/>
      <c r="F1512" s="51" t="n">
        <f aca="false">IF(OR(C1512="",D1512="",E1512="",E1512=0),0,C1512*D1512/E1512)</f>
        <v>0</v>
      </c>
      <c r="G1512" s="42"/>
      <c r="H1512" s="49" t="n">
        <f aca="true">IF(OR($A1512="",_xlfn.MINIFS($B$3:$B$5000,$A$3:$A$5000,$A1512,$B$3:$B$5000,"&gt;"&amp;$B1512)=0),NOW(),_xlfn.MINIFS($B$3:$B$5000,$A$3:$A$5000,$A1512,$B$3:$B$5000,"&gt;"&amp;$B1512))</f>
        <v>46279.5987643523</v>
      </c>
    </row>
    <row r="1513" customFormat="false" ht="15" hidden="false" customHeight="true" outlineLevel="0" collapsed="false">
      <c r="A1513" s="42"/>
      <c r="B1513" s="42"/>
      <c r="C1513" s="42"/>
      <c r="D1513" s="42"/>
      <c r="E1513" s="42"/>
      <c r="F1513" s="51" t="n">
        <f aca="false">IF(OR(C1513="",D1513="",E1513="",E1513=0),0,C1513*D1513/E1513)</f>
        <v>0</v>
      </c>
      <c r="G1513" s="42"/>
      <c r="H1513" s="49" t="n">
        <f aca="true">IF(OR($A1513="",_xlfn.MINIFS($B$3:$B$5000,$A$3:$A$5000,$A1513,$B$3:$B$5000,"&gt;"&amp;$B1513)=0),NOW(),_xlfn.MINIFS($B$3:$B$5000,$A$3:$A$5000,$A1513,$B$3:$B$5000,"&gt;"&amp;$B1513))</f>
        <v>46279.5987643524</v>
      </c>
    </row>
    <row r="1514" customFormat="false" ht="15" hidden="false" customHeight="true" outlineLevel="0" collapsed="false">
      <c r="A1514" s="42"/>
      <c r="B1514" s="42"/>
      <c r="C1514" s="42"/>
      <c r="D1514" s="42"/>
      <c r="E1514" s="42"/>
      <c r="F1514" s="51" t="n">
        <f aca="false">IF(OR(C1514="",D1514="",E1514="",E1514=0),0,C1514*D1514/E1514)</f>
        <v>0</v>
      </c>
      <c r="G1514" s="42"/>
      <c r="H1514" s="49" t="n">
        <f aca="true">IF(OR($A1514="",_xlfn.MINIFS($B$3:$B$5000,$A$3:$A$5000,$A1514,$B$3:$B$5000,"&gt;"&amp;$B1514)=0),NOW(),_xlfn.MINIFS($B$3:$B$5000,$A$3:$A$5000,$A1514,$B$3:$B$5000,"&gt;"&amp;$B1514))</f>
        <v>46279.5987643524</v>
      </c>
    </row>
    <row r="1515" customFormat="false" ht="15" hidden="false" customHeight="true" outlineLevel="0" collapsed="false">
      <c r="A1515" s="42"/>
      <c r="B1515" s="42"/>
      <c r="C1515" s="42"/>
      <c r="D1515" s="42"/>
      <c r="E1515" s="42"/>
      <c r="F1515" s="51" t="n">
        <f aca="false">IF(OR(C1515="",D1515="",E1515="",E1515=0),0,C1515*D1515/E1515)</f>
        <v>0</v>
      </c>
      <c r="G1515" s="42"/>
      <c r="H1515" s="49" t="n">
        <f aca="true">IF(OR($A1515="",_xlfn.MINIFS($B$3:$B$5000,$A$3:$A$5000,$A1515,$B$3:$B$5000,"&gt;"&amp;$B1515)=0),NOW(),_xlfn.MINIFS($B$3:$B$5000,$A$3:$A$5000,$A1515,$B$3:$B$5000,"&gt;"&amp;$B1515))</f>
        <v>46279.5987643525</v>
      </c>
    </row>
    <row r="1516" customFormat="false" ht="15" hidden="false" customHeight="true" outlineLevel="0" collapsed="false">
      <c r="A1516" s="42"/>
      <c r="B1516" s="42"/>
      <c r="C1516" s="42"/>
      <c r="D1516" s="42"/>
      <c r="E1516" s="42"/>
      <c r="F1516" s="51" t="n">
        <f aca="false">IF(OR(C1516="",D1516="",E1516="",E1516=0),0,C1516*D1516/E1516)</f>
        <v>0</v>
      </c>
      <c r="G1516" s="42"/>
      <c r="H1516" s="49" t="n">
        <f aca="true">IF(OR($A1516="",_xlfn.MINIFS($B$3:$B$5000,$A$3:$A$5000,$A1516,$B$3:$B$5000,"&gt;"&amp;$B1516)=0),NOW(),_xlfn.MINIFS($B$3:$B$5000,$A$3:$A$5000,$A1516,$B$3:$B$5000,"&gt;"&amp;$B1516))</f>
        <v>46279.5987643525</v>
      </c>
    </row>
    <row r="1517" customFormat="false" ht="15" hidden="false" customHeight="true" outlineLevel="0" collapsed="false">
      <c r="A1517" s="42"/>
      <c r="B1517" s="42"/>
      <c r="C1517" s="42"/>
      <c r="D1517" s="42"/>
      <c r="E1517" s="42"/>
      <c r="F1517" s="51" t="n">
        <f aca="false">IF(OR(C1517="",D1517="",E1517="",E1517=0),0,C1517*D1517/E1517)</f>
        <v>0</v>
      </c>
      <c r="G1517" s="42"/>
      <c r="H1517" s="49" t="n">
        <f aca="true">IF(OR($A1517="",_xlfn.MINIFS($B$3:$B$5000,$A$3:$A$5000,$A1517,$B$3:$B$5000,"&gt;"&amp;$B1517)=0),NOW(),_xlfn.MINIFS($B$3:$B$5000,$A$3:$A$5000,$A1517,$B$3:$B$5000,"&gt;"&amp;$B1517))</f>
        <v>46279.5987643526</v>
      </c>
    </row>
    <row r="1518" customFormat="false" ht="15" hidden="false" customHeight="true" outlineLevel="0" collapsed="false">
      <c r="A1518" s="42"/>
      <c r="B1518" s="42"/>
      <c r="C1518" s="42"/>
      <c r="D1518" s="42"/>
      <c r="E1518" s="42"/>
      <c r="F1518" s="51" t="n">
        <f aca="false">IF(OR(C1518="",D1518="",E1518="",E1518=0),0,C1518*D1518/E1518)</f>
        <v>0</v>
      </c>
      <c r="G1518" s="42"/>
      <c r="H1518" s="49" t="n">
        <f aca="true">IF(OR($A1518="",_xlfn.MINIFS($B$3:$B$5000,$A$3:$A$5000,$A1518,$B$3:$B$5000,"&gt;"&amp;$B1518)=0),NOW(),_xlfn.MINIFS($B$3:$B$5000,$A$3:$A$5000,$A1518,$B$3:$B$5000,"&gt;"&amp;$B1518))</f>
        <v>46279.5987643526</v>
      </c>
    </row>
    <row r="1519" customFormat="false" ht="15" hidden="false" customHeight="true" outlineLevel="0" collapsed="false">
      <c r="A1519" s="42"/>
      <c r="B1519" s="42"/>
      <c r="C1519" s="42"/>
      <c r="D1519" s="42"/>
      <c r="E1519" s="42"/>
      <c r="F1519" s="51" t="n">
        <f aca="false">IF(OR(C1519="",D1519="",E1519="",E1519=0),0,C1519*D1519/E1519)</f>
        <v>0</v>
      </c>
      <c r="G1519" s="42"/>
      <c r="H1519" s="49" t="n">
        <f aca="true">IF(OR($A1519="",_xlfn.MINIFS($B$3:$B$5000,$A$3:$A$5000,$A1519,$B$3:$B$5000,"&gt;"&amp;$B1519)=0),NOW(),_xlfn.MINIFS($B$3:$B$5000,$A$3:$A$5000,$A1519,$B$3:$B$5000,"&gt;"&amp;$B1519))</f>
        <v>46279.5987643527</v>
      </c>
    </row>
    <row r="1520" customFormat="false" ht="15" hidden="false" customHeight="true" outlineLevel="0" collapsed="false">
      <c r="A1520" s="42"/>
      <c r="B1520" s="42"/>
      <c r="C1520" s="42"/>
      <c r="D1520" s="42"/>
      <c r="E1520" s="42"/>
      <c r="F1520" s="51" t="n">
        <f aca="false">IF(OR(C1520="",D1520="",E1520="",E1520=0),0,C1520*D1520/E1520)</f>
        <v>0</v>
      </c>
      <c r="G1520" s="42"/>
      <c r="H1520" s="49" t="n">
        <f aca="true">IF(OR($A1520="",_xlfn.MINIFS($B$3:$B$5000,$A$3:$A$5000,$A1520,$B$3:$B$5000,"&gt;"&amp;$B1520)=0),NOW(),_xlfn.MINIFS($B$3:$B$5000,$A$3:$A$5000,$A1520,$B$3:$B$5000,"&gt;"&amp;$B1520))</f>
        <v>46279.5987643527</v>
      </c>
    </row>
    <row r="1521" customFormat="false" ht="15" hidden="false" customHeight="true" outlineLevel="0" collapsed="false">
      <c r="A1521" s="42"/>
      <c r="B1521" s="42"/>
      <c r="C1521" s="42"/>
      <c r="D1521" s="42"/>
      <c r="E1521" s="42"/>
      <c r="F1521" s="51" t="n">
        <f aca="false">IF(OR(C1521="",D1521="",E1521="",E1521=0),0,C1521*D1521/E1521)</f>
        <v>0</v>
      </c>
      <c r="G1521" s="42"/>
      <c r="H1521" s="49" t="n">
        <f aca="true">IF(OR($A1521="",_xlfn.MINIFS($B$3:$B$5000,$A$3:$A$5000,$A1521,$B$3:$B$5000,"&gt;"&amp;$B1521)=0),NOW(),_xlfn.MINIFS($B$3:$B$5000,$A$3:$A$5000,$A1521,$B$3:$B$5000,"&gt;"&amp;$B1521))</f>
        <v>46279.5987643528</v>
      </c>
    </row>
    <row r="1522" customFormat="false" ht="15" hidden="false" customHeight="true" outlineLevel="0" collapsed="false">
      <c r="A1522" s="42"/>
      <c r="B1522" s="42"/>
      <c r="C1522" s="42"/>
      <c r="D1522" s="42"/>
      <c r="E1522" s="42"/>
      <c r="F1522" s="51" t="n">
        <f aca="false">IF(OR(C1522="",D1522="",E1522="",E1522=0),0,C1522*D1522/E1522)</f>
        <v>0</v>
      </c>
      <c r="G1522" s="42"/>
      <c r="H1522" s="49" t="n">
        <f aca="true">IF(OR($A1522="",_xlfn.MINIFS($B$3:$B$5000,$A$3:$A$5000,$A1522,$B$3:$B$5000,"&gt;"&amp;$B1522)=0),NOW(),_xlfn.MINIFS($B$3:$B$5000,$A$3:$A$5000,$A1522,$B$3:$B$5000,"&gt;"&amp;$B1522))</f>
        <v>46279.5987643528</v>
      </c>
    </row>
    <row r="1523" customFormat="false" ht="15" hidden="false" customHeight="true" outlineLevel="0" collapsed="false">
      <c r="A1523" s="42"/>
      <c r="B1523" s="42"/>
      <c r="C1523" s="42"/>
      <c r="D1523" s="42"/>
      <c r="E1523" s="42"/>
      <c r="F1523" s="51" t="n">
        <f aca="false">IF(OR(C1523="",D1523="",E1523="",E1523=0),0,C1523*D1523/E1523)</f>
        <v>0</v>
      </c>
      <c r="G1523" s="42"/>
      <c r="H1523" s="49" t="n">
        <f aca="true">IF(OR($A1523="",_xlfn.MINIFS($B$3:$B$5000,$A$3:$A$5000,$A1523,$B$3:$B$5000,"&gt;"&amp;$B1523)=0),NOW(),_xlfn.MINIFS($B$3:$B$5000,$A$3:$A$5000,$A1523,$B$3:$B$5000,"&gt;"&amp;$B1523))</f>
        <v>46279.5987643529</v>
      </c>
    </row>
    <row r="1524" customFormat="false" ht="15" hidden="false" customHeight="true" outlineLevel="0" collapsed="false">
      <c r="A1524" s="42"/>
      <c r="B1524" s="42"/>
      <c r="C1524" s="42"/>
      <c r="D1524" s="42"/>
      <c r="E1524" s="42"/>
      <c r="F1524" s="51" t="n">
        <f aca="false">IF(OR(C1524="",D1524="",E1524="",E1524=0),0,C1524*D1524/E1524)</f>
        <v>0</v>
      </c>
      <c r="G1524" s="42"/>
      <c r="H1524" s="49" t="n">
        <f aca="true">IF(OR($A1524="",_xlfn.MINIFS($B$3:$B$5000,$A$3:$A$5000,$A1524,$B$3:$B$5000,"&gt;"&amp;$B1524)=0),NOW(),_xlfn.MINIFS($B$3:$B$5000,$A$3:$A$5000,$A1524,$B$3:$B$5000,"&gt;"&amp;$B1524))</f>
        <v>46279.5987643529</v>
      </c>
    </row>
    <row r="1525" customFormat="false" ht="15" hidden="false" customHeight="true" outlineLevel="0" collapsed="false">
      <c r="A1525" s="42"/>
      <c r="B1525" s="42"/>
      <c r="C1525" s="42"/>
      <c r="D1525" s="42"/>
      <c r="E1525" s="42"/>
      <c r="F1525" s="51" t="n">
        <f aca="false">IF(OR(C1525="",D1525="",E1525="",E1525=0),0,C1525*D1525/E1525)</f>
        <v>0</v>
      </c>
      <c r="G1525" s="42"/>
      <c r="H1525" s="49" t="n">
        <f aca="true">IF(OR($A1525="",_xlfn.MINIFS($B$3:$B$5000,$A$3:$A$5000,$A1525,$B$3:$B$5000,"&gt;"&amp;$B1525)=0),NOW(),_xlfn.MINIFS($B$3:$B$5000,$A$3:$A$5000,$A1525,$B$3:$B$5000,"&gt;"&amp;$B1525))</f>
        <v>46279.598764353</v>
      </c>
    </row>
    <row r="1526" customFormat="false" ht="15" hidden="false" customHeight="true" outlineLevel="0" collapsed="false">
      <c r="A1526" s="42"/>
      <c r="B1526" s="42"/>
      <c r="C1526" s="42"/>
      <c r="D1526" s="42"/>
      <c r="E1526" s="42"/>
      <c r="F1526" s="51" t="n">
        <f aca="false">IF(OR(C1526="",D1526="",E1526="",E1526=0),0,C1526*D1526/E1526)</f>
        <v>0</v>
      </c>
      <c r="G1526" s="42"/>
      <c r="H1526" s="49" t="n">
        <f aca="true">IF(OR($A1526="",_xlfn.MINIFS($B$3:$B$5000,$A$3:$A$5000,$A1526,$B$3:$B$5000,"&gt;"&amp;$B1526)=0),NOW(),_xlfn.MINIFS($B$3:$B$5000,$A$3:$A$5000,$A1526,$B$3:$B$5000,"&gt;"&amp;$B1526))</f>
        <v>46279.598764353</v>
      </c>
    </row>
    <row r="1527" customFormat="false" ht="15" hidden="false" customHeight="true" outlineLevel="0" collapsed="false">
      <c r="A1527" s="42"/>
      <c r="B1527" s="42"/>
      <c r="C1527" s="42"/>
      <c r="D1527" s="42"/>
      <c r="E1527" s="42"/>
      <c r="F1527" s="51" t="n">
        <f aca="false">IF(OR(C1527="",D1527="",E1527="",E1527=0),0,C1527*D1527/E1527)</f>
        <v>0</v>
      </c>
      <c r="G1527" s="42"/>
      <c r="H1527" s="49" t="n">
        <f aca="true">IF(OR($A1527="",_xlfn.MINIFS($B$3:$B$5000,$A$3:$A$5000,$A1527,$B$3:$B$5000,"&gt;"&amp;$B1527)=0),NOW(),_xlfn.MINIFS($B$3:$B$5000,$A$3:$A$5000,$A1527,$B$3:$B$5000,"&gt;"&amp;$B1527))</f>
        <v>46279.5987643531</v>
      </c>
    </row>
    <row r="1528" customFormat="false" ht="15" hidden="false" customHeight="true" outlineLevel="0" collapsed="false">
      <c r="A1528" s="42"/>
      <c r="B1528" s="42"/>
      <c r="C1528" s="42"/>
      <c r="D1528" s="42"/>
      <c r="E1528" s="42"/>
      <c r="F1528" s="51" t="n">
        <f aca="false">IF(OR(C1528="",D1528="",E1528="",E1528=0),0,C1528*D1528/E1528)</f>
        <v>0</v>
      </c>
      <c r="G1528" s="42"/>
      <c r="H1528" s="49" t="n">
        <f aca="true">IF(OR($A1528="",_xlfn.MINIFS($B$3:$B$5000,$A$3:$A$5000,$A1528,$B$3:$B$5000,"&gt;"&amp;$B1528)=0),NOW(),_xlfn.MINIFS($B$3:$B$5000,$A$3:$A$5000,$A1528,$B$3:$B$5000,"&gt;"&amp;$B1528))</f>
        <v>46279.5987643531</v>
      </c>
    </row>
    <row r="1529" customFormat="false" ht="15" hidden="false" customHeight="true" outlineLevel="0" collapsed="false">
      <c r="A1529" s="42"/>
      <c r="B1529" s="42"/>
      <c r="C1529" s="42"/>
      <c r="D1529" s="42"/>
      <c r="E1529" s="42"/>
      <c r="F1529" s="51" t="n">
        <f aca="false">IF(OR(C1529="",D1529="",E1529="",E1529=0),0,C1529*D1529/E1529)</f>
        <v>0</v>
      </c>
      <c r="G1529" s="42"/>
      <c r="H1529" s="49" t="n">
        <f aca="true">IF(OR($A1529="",_xlfn.MINIFS($B$3:$B$5000,$A$3:$A$5000,$A1529,$B$3:$B$5000,"&gt;"&amp;$B1529)=0),NOW(),_xlfn.MINIFS($B$3:$B$5000,$A$3:$A$5000,$A1529,$B$3:$B$5000,"&gt;"&amp;$B1529))</f>
        <v>46279.5987643532</v>
      </c>
    </row>
    <row r="1530" customFormat="false" ht="15" hidden="false" customHeight="true" outlineLevel="0" collapsed="false">
      <c r="A1530" s="42"/>
      <c r="B1530" s="42"/>
      <c r="C1530" s="42"/>
      <c r="D1530" s="42"/>
      <c r="E1530" s="42"/>
      <c r="F1530" s="51" t="n">
        <f aca="false">IF(OR(C1530="",D1530="",E1530="",E1530=0),0,C1530*D1530/E1530)</f>
        <v>0</v>
      </c>
      <c r="G1530" s="42"/>
      <c r="H1530" s="49" t="n">
        <f aca="true">IF(OR($A1530="",_xlfn.MINIFS($B$3:$B$5000,$A$3:$A$5000,$A1530,$B$3:$B$5000,"&gt;"&amp;$B1530)=0),NOW(),_xlfn.MINIFS($B$3:$B$5000,$A$3:$A$5000,$A1530,$B$3:$B$5000,"&gt;"&amp;$B1530))</f>
        <v>46279.5987643532</v>
      </c>
    </row>
    <row r="1531" customFormat="false" ht="15" hidden="false" customHeight="true" outlineLevel="0" collapsed="false">
      <c r="A1531" s="42"/>
      <c r="B1531" s="42"/>
      <c r="C1531" s="42"/>
      <c r="D1531" s="42"/>
      <c r="E1531" s="42"/>
      <c r="F1531" s="51" t="n">
        <f aca="false">IF(OR(C1531="",D1531="",E1531="",E1531=0),0,C1531*D1531/E1531)</f>
        <v>0</v>
      </c>
      <c r="G1531" s="42"/>
      <c r="H1531" s="49" t="n">
        <f aca="true">IF(OR($A1531="",_xlfn.MINIFS($B$3:$B$5000,$A$3:$A$5000,$A1531,$B$3:$B$5000,"&gt;"&amp;$B1531)=0),NOW(),_xlfn.MINIFS($B$3:$B$5000,$A$3:$A$5000,$A1531,$B$3:$B$5000,"&gt;"&amp;$B1531))</f>
        <v>46279.5987643533</v>
      </c>
    </row>
    <row r="1532" customFormat="false" ht="15" hidden="false" customHeight="true" outlineLevel="0" collapsed="false">
      <c r="A1532" s="42"/>
      <c r="B1532" s="42"/>
      <c r="C1532" s="42"/>
      <c r="D1532" s="42"/>
      <c r="E1532" s="42"/>
      <c r="F1532" s="51" t="n">
        <f aca="false">IF(OR(C1532="",D1532="",E1532="",E1532=0),0,C1532*D1532/E1532)</f>
        <v>0</v>
      </c>
      <c r="G1532" s="42"/>
      <c r="H1532" s="49" t="n">
        <f aca="true">IF(OR($A1532="",_xlfn.MINIFS($B$3:$B$5000,$A$3:$A$5000,$A1532,$B$3:$B$5000,"&gt;"&amp;$B1532)=0),NOW(),_xlfn.MINIFS($B$3:$B$5000,$A$3:$A$5000,$A1532,$B$3:$B$5000,"&gt;"&amp;$B1532))</f>
        <v>46279.5987643533</v>
      </c>
    </row>
    <row r="1533" customFormat="false" ht="15" hidden="false" customHeight="true" outlineLevel="0" collapsed="false">
      <c r="A1533" s="42"/>
      <c r="B1533" s="42"/>
      <c r="C1533" s="42"/>
      <c r="D1533" s="42"/>
      <c r="E1533" s="42"/>
      <c r="F1533" s="51" t="n">
        <f aca="false">IF(OR(C1533="",D1533="",E1533="",E1533=0),0,C1533*D1533/E1533)</f>
        <v>0</v>
      </c>
      <c r="G1533" s="42"/>
      <c r="H1533" s="49" t="n">
        <f aca="true">IF(OR($A1533="",_xlfn.MINIFS($B$3:$B$5000,$A$3:$A$5000,$A1533,$B$3:$B$5000,"&gt;"&amp;$B1533)=0),NOW(),_xlfn.MINIFS($B$3:$B$5000,$A$3:$A$5000,$A1533,$B$3:$B$5000,"&gt;"&amp;$B1533))</f>
        <v>46279.5987643534</v>
      </c>
    </row>
    <row r="1534" customFormat="false" ht="15" hidden="false" customHeight="true" outlineLevel="0" collapsed="false">
      <c r="A1534" s="42"/>
      <c r="B1534" s="42"/>
      <c r="C1534" s="42"/>
      <c r="D1534" s="42"/>
      <c r="E1534" s="42"/>
      <c r="F1534" s="51" t="n">
        <f aca="false">IF(OR(C1534="",D1534="",E1534="",E1534=0),0,C1534*D1534/E1534)</f>
        <v>0</v>
      </c>
      <c r="G1534" s="42"/>
      <c r="H1534" s="49" t="n">
        <f aca="true">IF(OR($A1534="",_xlfn.MINIFS($B$3:$B$5000,$A$3:$A$5000,$A1534,$B$3:$B$5000,"&gt;"&amp;$B1534)=0),NOW(),_xlfn.MINIFS($B$3:$B$5000,$A$3:$A$5000,$A1534,$B$3:$B$5000,"&gt;"&amp;$B1534))</f>
        <v>46279.5987643534</v>
      </c>
    </row>
    <row r="1535" customFormat="false" ht="15" hidden="false" customHeight="true" outlineLevel="0" collapsed="false">
      <c r="A1535" s="42"/>
      <c r="B1535" s="42"/>
      <c r="C1535" s="42"/>
      <c r="D1535" s="42"/>
      <c r="E1535" s="42"/>
      <c r="F1535" s="51" t="n">
        <f aca="false">IF(OR(C1535="",D1535="",E1535="",E1535=0),0,C1535*D1535/E1535)</f>
        <v>0</v>
      </c>
      <c r="G1535" s="42"/>
      <c r="H1535" s="49" t="n">
        <f aca="true">IF(OR($A1535="",_xlfn.MINIFS($B$3:$B$5000,$A$3:$A$5000,$A1535,$B$3:$B$5000,"&gt;"&amp;$B1535)=0),NOW(),_xlfn.MINIFS($B$3:$B$5000,$A$3:$A$5000,$A1535,$B$3:$B$5000,"&gt;"&amp;$B1535))</f>
        <v>46279.5987643535</v>
      </c>
    </row>
    <row r="1536" customFormat="false" ht="15" hidden="false" customHeight="true" outlineLevel="0" collapsed="false">
      <c r="A1536" s="42"/>
      <c r="B1536" s="42"/>
      <c r="C1536" s="42"/>
      <c r="D1536" s="42"/>
      <c r="E1536" s="42"/>
      <c r="F1536" s="51" t="n">
        <f aca="false">IF(OR(C1536="",D1536="",E1536="",E1536=0),0,C1536*D1536/E1536)</f>
        <v>0</v>
      </c>
      <c r="G1536" s="42"/>
      <c r="H1536" s="49" t="n">
        <f aca="true">IF(OR($A1536="",_xlfn.MINIFS($B$3:$B$5000,$A$3:$A$5000,$A1536,$B$3:$B$5000,"&gt;"&amp;$B1536)=0),NOW(),_xlfn.MINIFS($B$3:$B$5000,$A$3:$A$5000,$A1536,$B$3:$B$5000,"&gt;"&amp;$B1536))</f>
        <v>46279.5987643535</v>
      </c>
    </row>
    <row r="1537" customFormat="false" ht="15" hidden="false" customHeight="true" outlineLevel="0" collapsed="false">
      <c r="A1537" s="42"/>
      <c r="B1537" s="42"/>
      <c r="C1537" s="42"/>
      <c r="D1537" s="42"/>
      <c r="E1537" s="42"/>
      <c r="F1537" s="51" t="n">
        <f aca="false">IF(OR(C1537="",D1537="",E1537="",E1537=0),0,C1537*D1537/E1537)</f>
        <v>0</v>
      </c>
      <c r="G1537" s="42"/>
      <c r="H1537" s="49" t="n">
        <f aca="true">IF(OR($A1537="",_xlfn.MINIFS($B$3:$B$5000,$A$3:$A$5000,$A1537,$B$3:$B$5000,"&gt;"&amp;$B1537)=0),NOW(),_xlfn.MINIFS($B$3:$B$5000,$A$3:$A$5000,$A1537,$B$3:$B$5000,"&gt;"&amp;$B1537))</f>
        <v>46279.5987643536</v>
      </c>
    </row>
    <row r="1538" customFormat="false" ht="15" hidden="false" customHeight="true" outlineLevel="0" collapsed="false">
      <c r="A1538" s="42"/>
      <c r="B1538" s="42"/>
      <c r="C1538" s="42"/>
      <c r="D1538" s="42"/>
      <c r="E1538" s="42"/>
      <c r="F1538" s="51" t="n">
        <f aca="false">IF(OR(C1538="",D1538="",E1538="",E1538=0),0,C1538*D1538/E1538)</f>
        <v>0</v>
      </c>
      <c r="G1538" s="42"/>
      <c r="H1538" s="49" t="n">
        <f aca="true">IF(OR($A1538="",_xlfn.MINIFS($B$3:$B$5000,$A$3:$A$5000,$A1538,$B$3:$B$5000,"&gt;"&amp;$B1538)=0),NOW(),_xlfn.MINIFS($B$3:$B$5000,$A$3:$A$5000,$A1538,$B$3:$B$5000,"&gt;"&amp;$B1538))</f>
        <v>46279.5987643536</v>
      </c>
    </row>
    <row r="1539" customFormat="false" ht="15" hidden="false" customHeight="true" outlineLevel="0" collapsed="false">
      <c r="A1539" s="42"/>
      <c r="B1539" s="42"/>
      <c r="C1539" s="42"/>
      <c r="D1539" s="42"/>
      <c r="E1539" s="42"/>
      <c r="F1539" s="51" t="n">
        <f aca="false">IF(OR(C1539="",D1539="",E1539="",E1539=0),0,C1539*D1539/E1539)</f>
        <v>0</v>
      </c>
      <c r="G1539" s="42"/>
      <c r="H1539" s="49" t="n">
        <f aca="true">IF(OR($A1539="",_xlfn.MINIFS($B$3:$B$5000,$A$3:$A$5000,$A1539,$B$3:$B$5000,"&gt;"&amp;$B1539)=0),NOW(),_xlfn.MINIFS($B$3:$B$5000,$A$3:$A$5000,$A1539,$B$3:$B$5000,"&gt;"&amp;$B1539))</f>
        <v>46279.5987643537</v>
      </c>
    </row>
    <row r="1540" customFormat="false" ht="15" hidden="false" customHeight="true" outlineLevel="0" collapsed="false">
      <c r="A1540" s="42"/>
      <c r="B1540" s="42"/>
      <c r="C1540" s="42"/>
      <c r="D1540" s="42"/>
      <c r="E1540" s="42"/>
      <c r="F1540" s="51" t="n">
        <f aca="false">IF(OR(C1540="",D1540="",E1540="",E1540=0),0,C1540*D1540/E1540)</f>
        <v>0</v>
      </c>
      <c r="G1540" s="42"/>
      <c r="H1540" s="49" t="n">
        <f aca="true">IF(OR($A1540="",_xlfn.MINIFS($B$3:$B$5000,$A$3:$A$5000,$A1540,$B$3:$B$5000,"&gt;"&amp;$B1540)=0),NOW(),_xlfn.MINIFS($B$3:$B$5000,$A$3:$A$5000,$A1540,$B$3:$B$5000,"&gt;"&amp;$B1540))</f>
        <v>46279.5987643537</v>
      </c>
    </row>
    <row r="1541" customFormat="false" ht="15" hidden="false" customHeight="true" outlineLevel="0" collapsed="false">
      <c r="A1541" s="42"/>
      <c r="B1541" s="42"/>
      <c r="C1541" s="42"/>
      <c r="D1541" s="42"/>
      <c r="E1541" s="42"/>
      <c r="F1541" s="51" t="n">
        <f aca="false">IF(OR(C1541="",D1541="",E1541="",E1541=0),0,C1541*D1541/E1541)</f>
        <v>0</v>
      </c>
      <c r="G1541" s="42"/>
      <c r="H1541" s="49" t="n">
        <f aca="true">IF(OR($A1541="",_xlfn.MINIFS($B$3:$B$5000,$A$3:$A$5000,$A1541,$B$3:$B$5000,"&gt;"&amp;$B1541)=0),NOW(),_xlfn.MINIFS($B$3:$B$5000,$A$3:$A$5000,$A1541,$B$3:$B$5000,"&gt;"&amp;$B1541))</f>
        <v>46279.5987643538</v>
      </c>
    </row>
    <row r="1542" customFormat="false" ht="15" hidden="false" customHeight="true" outlineLevel="0" collapsed="false">
      <c r="A1542" s="42"/>
      <c r="B1542" s="42"/>
      <c r="C1542" s="42"/>
      <c r="D1542" s="42"/>
      <c r="E1542" s="42"/>
      <c r="F1542" s="51" t="n">
        <f aca="false">IF(OR(C1542="",D1542="",E1542="",E1542=0),0,C1542*D1542/E1542)</f>
        <v>0</v>
      </c>
      <c r="G1542" s="42"/>
      <c r="H1542" s="49" t="n">
        <f aca="true">IF(OR($A1542="",_xlfn.MINIFS($B$3:$B$5000,$A$3:$A$5000,$A1542,$B$3:$B$5000,"&gt;"&amp;$B1542)=0),NOW(),_xlfn.MINIFS($B$3:$B$5000,$A$3:$A$5000,$A1542,$B$3:$B$5000,"&gt;"&amp;$B1542))</f>
        <v>46279.5987643538</v>
      </c>
    </row>
    <row r="1543" customFormat="false" ht="15" hidden="false" customHeight="true" outlineLevel="0" collapsed="false">
      <c r="A1543" s="42"/>
      <c r="B1543" s="42"/>
      <c r="C1543" s="42"/>
      <c r="D1543" s="42"/>
      <c r="E1543" s="42"/>
      <c r="F1543" s="51" t="n">
        <f aca="false">IF(OR(C1543="",D1543="",E1543="",E1543=0),0,C1543*D1543/E1543)</f>
        <v>0</v>
      </c>
      <c r="G1543" s="42"/>
      <c r="H1543" s="49" t="n">
        <f aca="true">IF(OR($A1543="",_xlfn.MINIFS($B$3:$B$5000,$A$3:$A$5000,$A1543,$B$3:$B$5000,"&gt;"&amp;$B1543)=0),NOW(),_xlfn.MINIFS($B$3:$B$5000,$A$3:$A$5000,$A1543,$B$3:$B$5000,"&gt;"&amp;$B1543))</f>
        <v>46279.5987643539</v>
      </c>
    </row>
    <row r="1544" customFormat="false" ht="15" hidden="false" customHeight="true" outlineLevel="0" collapsed="false">
      <c r="A1544" s="42"/>
      <c r="B1544" s="42"/>
      <c r="C1544" s="42"/>
      <c r="D1544" s="42"/>
      <c r="E1544" s="42"/>
      <c r="F1544" s="51" t="n">
        <f aca="false">IF(OR(C1544="",D1544="",E1544="",E1544=0),0,C1544*D1544/E1544)</f>
        <v>0</v>
      </c>
      <c r="G1544" s="42"/>
      <c r="H1544" s="49" t="n">
        <f aca="true">IF(OR($A1544="",_xlfn.MINIFS($B$3:$B$5000,$A$3:$A$5000,$A1544,$B$3:$B$5000,"&gt;"&amp;$B1544)=0),NOW(),_xlfn.MINIFS($B$3:$B$5000,$A$3:$A$5000,$A1544,$B$3:$B$5000,"&gt;"&amp;$B1544))</f>
        <v>46279.5987643539</v>
      </c>
    </row>
    <row r="1545" customFormat="false" ht="15" hidden="false" customHeight="true" outlineLevel="0" collapsed="false">
      <c r="A1545" s="42"/>
      <c r="B1545" s="42"/>
      <c r="C1545" s="42"/>
      <c r="D1545" s="42"/>
      <c r="E1545" s="42"/>
      <c r="F1545" s="51" t="n">
        <f aca="false">IF(OR(C1545="",D1545="",E1545="",E1545=0),0,C1545*D1545/E1545)</f>
        <v>0</v>
      </c>
      <c r="G1545" s="42"/>
      <c r="H1545" s="49" t="n">
        <f aca="true">IF(OR($A1545="",_xlfn.MINIFS($B$3:$B$5000,$A$3:$A$5000,$A1545,$B$3:$B$5000,"&gt;"&amp;$B1545)=0),NOW(),_xlfn.MINIFS($B$3:$B$5000,$A$3:$A$5000,$A1545,$B$3:$B$5000,"&gt;"&amp;$B1545))</f>
        <v>46279.598764354</v>
      </c>
    </row>
    <row r="1546" customFormat="false" ht="15" hidden="false" customHeight="true" outlineLevel="0" collapsed="false">
      <c r="A1546" s="42"/>
      <c r="B1546" s="42"/>
      <c r="C1546" s="42"/>
      <c r="D1546" s="42"/>
      <c r="E1546" s="42"/>
      <c r="F1546" s="51" t="n">
        <f aca="false">IF(OR(C1546="",D1546="",E1546="",E1546=0),0,C1546*D1546/E1546)</f>
        <v>0</v>
      </c>
      <c r="G1546" s="42"/>
      <c r="H1546" s="49" t="n">
        <f aca="true">IF(OR($A1546="",_xlfn.MINIFS($B$3:$B$5000,$A$3:$A$5000,$A1546,$B$3:$B$5000,"&gt;"&amp;$B1546)=0),NOW(),_xlfn.MINIFS($B$3:$B$5000,$A$3:$A$5000,$A1546,$B$3:$B$5000,"&gt;"&amp;$B1546))</f>
        <v>46279.598764354</v>
      </c>
    </row>
    <row r="1547" customFormat="false" ht="15" hidden="false" customHeight="true" outlineLevel="0" collapsed="false">
      <c r="A1547" s="42"/>
      <c r="B1547" s="42"/>
      <c r="C1547" s="42"/>
      <c r="D1547" s="42"/>
      <c r="E1547" s="42"/>
      <c r="F1547" s="51" t="n">
        <f aca="false">IF(OR(C1547="",D1547="",E1547="",E1547=0),0,C1547*D1547/E1547)</f>
        <v>0</v>
      </c>
      <c r="G1547" s="42"/>
      <c r="H1547" s="49" t="n">
        <f aca="true">IF(OR($A1547="",_xlfn.MINIFS($B$3:$B$5000,$A$3:$A$5000,$A1547,$B$3:$B$5000,"&gt;"&amp;$B1547)=0),NOW(),_xlfn.MINIFS($B$3:$B$5000,$A$3:$A$5000,$A1547,$B$3:$B$5000,"&gt;"&amp;$B1547))</f>
        <v>46279.5987643541</v>
      </c>
    </row>
    <row r="1548" customFormat="false" ht="15" hidden="false" customHeight="true" outlineLevel="0" collapsed="false">
      <c r="A1548" s="42"/>
      <c r="B1548" s="42"/>
      <c r="C1548" s="42"/>
      <c r="D1548" s="42"/>
      <c r="E1548" s="42"/>
      <c r="F1548" s="51" t="n">
        <f aca="false">IF(OR(C1548="",D1548="",E1548="",E1548=0),0,C1548*D1548/E1548)</f>
        <v>0</v>
      </c>
      <c r="G1548" s="42"/>
      <c r="H1548" s="49" t="n">
        <f aca="true">IF(OR($A1548="",_xlfn.MINIFS($B$3:$B$5000,$A$3:$A$5000,$A1548,$B$3:$B$5000,"&gt;"&amp;$B1548)=0),NOW(),_xlfn.MINIFS($B$3:$B$5000,$A$3:$A$5000,$A1548,$B$3:$B$5000,"&gt;"&amp;$B1548))</f>
        <v>46279.5987643541</v>
      </c>
    </row>
    <row r="1549" customFormat="false" ht="15" hidden="false" customHeight="true" outlineLevel="0" collapsed="false">
      <c r="A1549" s="42"/>
      <c r="B1549" s="42"/>
      <c r="C1549" s="42"/>
      <c r="D1549" s="42"/>
      <c r="E1549" s="42"/>
      <c r="F1549" s="51" t="n">
        <f aca="false">IF(OR(C1549="",D1549="",E1549="",E1549=0),0,C1549*D1549/E1549)</f>
        <v>0</v>
      </c>
      <c r="G1549" s="42"/>
      <c r="H1549" s="49" t="n">
        <f aca="true">IF(OR($A1549="",_xlfn.MINIFS($B$3:$B$5000,$A$3:$A$5000,$A1549,$B$3:$B$5000,"&gt;"&amp;$B1549)=0),NOW(),_xlfn.MINIFS($B$3:$B$5000,$A$3:$A$5000,$A1549,$B$3:$B$5000,"&gt;"&amp;$B1549))</f>
        <v>46279.5987643542</v>
      </c>
    </row>
    <row r="1550" customFormat="false" ht="15" hidden="false" customHeight="true" outlineLevel="0" collapsed="false">
      <c r="A1550" s="42"/>
      <c r="B1550" s="42"/>
      <c r="C1550" s="42"/>
      <c r="D1550" s="42"/>
      <c r="E1550" s="42"/>
      <c r="F1550" s="51" t="n">
        <f aca="false">IF(OR(C1550="",D1550="",E1550="",E1550=0),0,C1550*D1550/E1550)</f>
        <v>0</v>
      </c>
      <c r="G1550" s="42"/>
      <c r="H1550" s="49" t="n">
        <f aca="true">IF(OR($A1550="",_xlfn.MINIFS($B$3:$B$5000,$A$3:$A$5000,$A1550,$B$3:$B$5000,"&gt;"&amp;$B1550)=0),NOW(),_xlfn.MINIFS($B$3:$B$5000,$A$3:$A$5000,$A1550,$B$3:$B$5000,"&gt;"&amp;$B1550))</f>
        <v>46279.5987643542</v>
      </c>
    </row>
    <row r="1551" customFormat="false" ht="15" hidden="false" customHeight="true" outlineLevel="0" collapsed="false">
      <c r="A1551" s="42"/>
      <c r="B1551" s="42"/>
      <c r="C1551" s="42"/>
      <c r="D1551" s="42"/>
      <c r="E1551" s="42"/>
      <c r="F1551" s="51" t="n">
        <f aca="false">IF(OR(C1551="",D1551="",E1551="",E1551=0),0,C1551*D1551/E1551)</f>
        <v>0</v>
      </c>
      <c r="G1551" s="42"/>
      <c r="H1551" s="49" t="n">
        <f aca="true">IF(OR($A1551="",_xlfn.MINIFS($B$3:$B$5000,$A$3:$A$5000,$A1551,$B$3:$B$5000,"&gt;"&amp;$B1551)=0),NOW(),_xlfn.MINIFS($B$3:$B$5000,$A$3:$A$5000,$A1551,$B$3:$B$5000,"&gt;"&amp;$B1551))</f>
        <v>46279.5987643543</v>
      </c>
    </row>
    <row r="1552" customFormat="false" ht="15" hidden="false" customHeight="true" outlineLevel="0" collapsed="false">
      <c r="A1552" s="42"/>
      <c r="B1552" s="42"/>
      <c r="C1552" s="42"/>
      <c r="D1552" s="42"/>
      <c r="E1552" s="42"/>
      <c r="F1552" s="51" t="n">
        <f aca="false">IF(OR(C1552="",D1552="",E1552="",E1552=0),0,C1552*D1552/E1552)</f>
        <v>0</v>
      </c>
      <c r="G1552" s="42"/>
      <c r="H1552" s="49" t="n">
        <f aca="true">IF(OR($A1552="",_xlfn.MINIFS($B$3:$B$5000,$A$3:$A$5000,$A1552,$B$3:$B$5000,"&gt;"&amp;$B1552)=0),NOW(),_xlfn.MINIFS($B$3:$B$5000,$A$3:$A$5000,$A1552,$B$3:$B$5000,"&gt;"&amp;$B1552))</f>
        <v>46279.5987643543</v>
      </c>
    </row>
    <row r="1553" customFormat="false" ht="15" hidden="false" customHeight="true" outlineLevel="0" collapsed="false">
      <c r="A1553" s="42"/>
      <c r="B1553" s="42"/>
      <c r="C1553" s="42"/>
      <c r="D1553" s="42"/>
      <c r="E1553" s="42"/>
      <c r="F1553" s="51" t="n">
        <f aca="false">IF(OR(C1553="",D1553="",E1553="",E1553=0),0,C1553*D1553/E1553)</f>
        <v>0</v>
      </c>
      <c r="G1553" s="42"/>
      <c r="H1553" s="49" t="n">
        <f aca="true">IF(OR($A1553="",_xlfn.MINIFS($B$3:$B$5000,$A$3:$A$5000,$A1553,$B$3:$B$5000,"&gt;"&amp;$B1553)=0),NOW(),_xlfn.MINIFS($B$3:$B$5000,$A$3:$A$5000,$A1553,$B$3:$B$5000,"&gt;"&amp;$B1553))</f>
        <v>46279.5987643544</v>
      </c>
    </row>
    <row r="1554" customFormat="false" ht="15" hidden="false" customHeight="true" outlineLevel="0" collapsed="false">
      <c r="A1554" s="42"/>
      <c r="B1554" s="42"/>
      <c r="C1554" s="42"/>
      <c r="D1554" s="42"/>
      <c r="E1554" s="42"/>
      <c r="F1554" s="51" t="n">
        <f aca="false">IF(OR(C1554="",D1554="",E1554="",E1554=0),0,C1554*D1554/E1554)</f>
        <v>0</v>
      </c>
      <c r="G1554" s="42"/>
      <c r="H1554" s="49" t="n">
        <f aca="true">IF(OR($A1554="",_xlfn.MINIFS($B$3:$B$5000,$A$3:$A$5000,$A1554,$B$3:$B$5000,"&gt;"&amp;$B1554)=0),NOW(),_xlfn.MINIFS($B$3:$B$5000,$A$3:$A$5000,$A1554,$B$3:$B$5000,"&gt;"&amp;$B1554))</f>
        <v>46279.5987643544</v>
      </c>
    </row>
    <row r="1555" customFormat="false" ht="15" hidden="false" customHeight="true" outlineLevel="0" collapsed="false">
      <c r="A1555" s="42"/>
      <c r="B1555" s="42"/>
      <c r="C1555" s="42"/>
      <c r="D1555" s="42"/>
      <c r="E1555" s="42"/>
      <c r="F1555" s="51" t="n">
        <f aca="false">IF(OR(C1555="",D1555="",E1555="",E1555=0),0,C1555*D1555/E1555)</f>
        <v>0</v>
      </c>
      <c r="G1555" s="42"/>
      <c r="H1555" s="49" t="n">
        <f aca="true">IF(OR($A1555="",_xlfn.MINIFS($B$3:$B$5000,$A$3:$A$5000,$A1555,$B$3:$B$5000,"&gt;"&amp;$B1555)=0),NOW(),_xlfn.MINIFS($B$3:$B$5000,$A$3:$A$5000,$A1555,$B$3:$B$5000,"&gt;"&amp;$B1555))</f>
        <v>46279.5987643545</v>
      </c>
    </row>
    <row r="1556" customFormat="false" ht="15" hidden="false" customHeight="true" outlineLevel="0" collapsed="false">
      <c r="A1556" s="42"/>
      <c r="B1556" s="42"/>
      <c r="C1556" s="42"/>
      <c r="D1556" s="42"/>
      <c r="E1556" s="42"/>
      <c r="F1556" s="51" t="n">
        <f aca="false">IF(OR(C1556="",D1556="",E1556="",E1556=0),0,C1556*D1556/E1556)</f>
        <v>0</v>
      </c>
      <c r="G1556" s="42"/>
      <c r="H1556" s="49" t="n">
        <f aca="true">IF(OR($A1556="",_xlfn.MINIFS($B$3:$B$5000,$A$3:$A$5000,$A1556,$B$3:$B$5000,"&gt;"&amp;$B1556)=0),NOW(),_xlfn.MINIFS($B$3:$B$5000,$A$3:$A$5000,$A1556,$B$3:$B$5000,"&gt;"&amp;$B1556))</f>
        <v>46279.5987643545</v>
      </c>
    </row>
    <row r="1557" customFormat="false" ht="15" hidden="false" customHeight="true" outlineLevel="0" collapsed="false">
      <c r="A1557" s="42"/>
      <c r="B1557" s="42"/>
      <c r="C1557" s="42"/>
      <c r="D1557" s="42"/>
      <c r="E1557" s="42"/>
      <c r="F1557" s="51" t="n">
        <f aca="false">IF(OR(C1557="",D1557="",E1557="",E1557=0),0,C1557*D1557/E1557)</f>
        <v>0</v>
      </c>
      <c r="G1557" s="42"/>
      <c r="H1557" s="49" t="n">
        <f aca="true">IF(OR($A1557="",_xlfn.MINIFS($B$3:$B$5000,$A$3:$A$5000,$A1557,$B$3:$B$5000,"&gt;"&amp;$B1557)=0),NOW(),_xlfn.MINIFS($B$3:$B$5000,$A$3:$A$5000,$A1557,$B$3:$B$5000,"&gt;"&amp;$B1557))</f>
        <v>46279.5987643546</v>
      </c>
    </row>
    <row r="1558" customFormat="false" ht="15" hidden="false" customHeight="true" outlineLevel="0" collapsed="false">
      <c r="A1558" s="42"/>
      <c r="B1558" s="42"/>
      <c r="C1558" s="42"/>
      <c r="D1558" s="42"/>
      <c r="E1558" s="42"/>
      <c r="F1558" s="51" t="n">
        <f aca="false">IF(OR(C1558="",D1558="",E1558="",E1558=0),0,C1558*D1558/E1558)</f>
        <v>0</v>
      </c>
      <c r="G1558" s="42"/>
      <c r="H1558" s="49" t="n">
        <f aca="true">IF(OR($A1558="",_xlfn.MINIFS($B$3:$B$5000,$A$3:$A$5000,$A1558,$B$3:$B$5000,"&gt;"&amp;$B1558)=0),NOW(),_xlfn.MINIFS($B$3:$B$5000,$A$3:$A$5000,$A1558,$B$3:$B$5000,"&gt;"&amp;$B1558))</f>
        <v>46279.5987643546</v>
      </c>
    </row>
    <row r="1559" customFormat="false" ht="15" hidden="false" customHeight="true" outlineLevel="0" collapsed="false">
      <c r="A1559" s="42"/>
      <c r="B1559" s="42"/>
      <c r="C1559" s="42"/>
      <c r="D1559" s="42"/>
      <c r="E1559" s="42"/>
      <c r="F1559" s="51" t="n">
        <f aca="false">IF(OR(C1559="",D1559="",E1559="",E1559=0),0,C1559*D1559/E1559)</f>
        <v>0</v>
      </c>
      <c r="G1559" s="42"/>
      <c r="H1559" s="49" t="n">
        <f aca="true">IF(OR($A1559="",_xlfn.MINIFS($B$3:$B$5000,$A$3:$A$5000,$A1559,$B$3:$B$5000,"&gt;"&amp;$B1559)=0),NOW(),_xlfn.MINIFS($B$3:$B$5000,$A$3:$A$5000,$A1559,$B$3:$B$5000,"&gt;"&amp;$B1559))</f>
        <v>46279.5987643547</v>
      </c>
    </row>
    <row r="1560" customFormat="false" ht="15" hidden="false" customHeight="true" outlineLevel="0" collapsed="false">
      <c r="A1560" s="42"/>
      <c r="B1560" s="42"/>
      <c r="C1560" s="42"/>
      <c r="D1560" s="42"/>
      <c r="E1560" s="42"/>
      <c r="F1560" s="51" t="n">
        <f aca="false">IF(OR(C1560="",D1560="",E1560="",E1560=0),0,C1560*D1560/E1560)</f>
        <v>0</v>
      </c>
      <c r="G1560" s="42"/>
      <c r="H1560" s="49" t="n">
        <f aca="true">IF(OR($A1560="",_xlfn.MINIFS($B$3:$B$5000,$A$3:$A$5000,$A1560,$B$3:$B$5000,"&gt;"&amp;$B1560)=0),NOW(),_xlfn.MINIFS($B$3:$B$5000,$A$3:$A$5000,$A1560,$B$3:$B$5000,"&gt;"&amp;$B1560))</f>
        <v>46279.5987643547</v>
      </c>
    </row>
    <row r="1561" customFormat="false" ht="15" hidden="false" customHeight="true" outlineLevel="0" collapsed="false">
      <c r="A1561" s="42"/>
      <c r="B1561" s="42"/>
      <c r="C1561" s="42"/>
      <c r="D1561" s="42"/>
      <c r="E1561" s="42"/>
      <c r="F1561" s="51" t="n">
        <f aca="false">IF(OR(C1561="",D1561="",E1561="",E1561=0),0,C1561*D1561/E1561)</f>
        <v>0</v>
      </c>
      <c r="G1561" s="42"/>
      <c r="H1561" s="49" t="n">
        <f aca="true">IF(OR($A1561="",_xlfn.MINIFS($B$3:$B$5000,$A$3:$A$5000,$A1561,$B$3:$B$5000,"&gt;"&amp;$B1561)=0),NOW(),_xlfn.MINIFS($B$3:$B$5000,$A$3:$A$5000,$A1561,$B$3:$B$5000,"&gt;"&amp;$B1561))</f>
        <v>46279.5987643548</v>
      </c>
    </row>
    <row r="1562" customFormat="false" ht="15" hidden="false" customHeight="true" outlineLevel="0" collapsed="false">
      <c r="A1562" s="42"/>
      <c r="B1562" s="42"/>
      <c r="C1562" s="42"/>
      <c r="D1562" s="42"/>
      <c r="E1562" s="42"/>
      <c r="F1562" s="51" t="n">
        <f aca="false">IF(OR(C1562="",D1562="",E1562="",E1562=0),0,C1562*D1562/E1562)</f>
        <v>0</v>
      </c>
      <c r="G1562" s="42"/>
      <c r="H1562" s="49" t="n">
        <f aca="true">IF(OR($A1562="",_xlfn.MINIFS($B$3:$B$5000,$A$3:$A$5000,$A1562,$B$3:$B$5000,"&gt;"&amp;$B1562)=0),NOW(),_xlfn.MINIFS($B$3:$B$5000,$A$3:$A$5000,$A1562,$B$3:$B$5000,"&gt;"&amp;$B1562))</f>
        <v>46279.5987643548</v>
      </c>
    </row>
    <row r="1563" customFormat="false" ht="15" hidden="false" customHeight="true" outlineLevel="0" collapsed="false">
      <c r="A1563" s="42"/>
      <c r="B1563" s="42"/>
      <c r="C1563" s="42"/>
      <c r="D1563" s="42"/>
      <c r="E1563" s="42"/>
      <c r="F1563" s="51" t="n">
        <f aca="false">IF(OR(C1563="",D1563="",E1563="",E1563=0),0,C1563*D1563/E1563)</f>
        <v>0</v>
      </c>
      <c r="G1563" s="42"/>
      <c r="H1563" s="49" t="n">
        <f aca="true">IF(OR($A1563="",_xlfn.MINIFS($B$3:$B$5000,$A$3:$A$5000,$A1563,$B$3:$B$5000,"&gt;"&amp;$B1563)=0),NOW(),_xlfn.MINIFS($B$3:$B$5000,$A$3:$A$5000,$A1563,$B$3:$B$5000,"&gt;"&amp;$B1563))</f>
        <v>46279.5987643549</v>
      </c>
    </row>
    <row r="1564" customFormat="false" ht="15" hidden="false" customHeight="true" outlineLevel="0" collapsed="false">
      <c r="A1564" s="42"/>
      <c r="B1564" s="42"/>
      <c r="C1564" s="42"/>
      <c r="D1564" s="42"/>
      <c r="E1564" s="42"/>
      <c r="F1564" s="51" t="n">
        <f aca="false">IF(OR(C1564="",D1564="",E1564="",E1564=0),0,C1564*D1564/E1564)</f>
        <v>0</v>
      </c>
      <c r="G1564" s="42"/>
      <c r="H1564" s="49" t="n">
        <f aca="true">IF(OR($A1564="",_xlfn.MINIFS($B$3:$B$5000,$A$3:$A$5000,$A1564,$B$3:$B$5000,"&gt;"&amp;$B1564)=0),NOW(),_xlfn.MINIFS($B$3:$B$5000,$A$3:$A$5000,$A1564,$B$3:$B$5000,"&gt;"&amp;$B1564))</f>
        <v>46279.5987643549</v>
      </c>
    </row>
    <row r="1565" customFormat="false" ht="15" hidden="false" customHeight="true" outlineLevel="0" collapsed="false">
      <c r="A1565" s="42"/>
      <c r="B1565" s="42"/>
      <c r="C1565" s="42"/>
      <c r="D1565" s="42"/>
      <c r="E1565" s="42"/>
      <c r="F1565" s="51" t="n">
        <f aca="false">IF(OR(C1565="",D1565="",E1565="",E1565=0),0,C1565*D1565/E1565)</f>
        <v>0</v>
      </c>
      <c r="G1565" s="42"/>
      <c r="H1565" s="49" t="n">
        <f aca="true">IF(OR($A1565="",_xlfn.MINIFS($B$3:$B$5000,$A$3:$A$5000,$A1565,$B$3:$B$5000,"&gt;"&amp;$B1565)=0),NOW(),_xlfn.MINIFS($B$3:$B$5000,$A$3:$A$5000,$A1565,$B$3:$B$5000,"&gt;"&amp;$B1565))</f>
        <v>46279.598764355</v>
      </c>
    </row>
    <row r="1566" customFormat="false" ht="15" hidden="false" customHeight="true" outlineLevel="0" collapsed="false">
      <c r="A1566" s="42"/>
      <c r="B1566" s="42"/>
      <c r="C1566" s="42"/>
      <c r="D1566" s="42"/>
      <c r="E1566" s="42"/>
      <c r="F1566" s="51" t="n">
        <f aca="false">IF(OR(C1566="",D1566="",E1566="",E1566=0),0,C1566*D1566/E1566)</f>
        <v>0</v>
      </c>
      <c r="G1566" s="42"/>
      <c r="H1566" s="49" t="n">
        <f aca="true">IF(OR($A1566="",_xlfn.MINIFS($B$3:$B$5000,$A$3:$A$5000,$A1566,$B$3:$B$5000,"&gt;"&amp;$B1566)=0),NOW(),_xlfn.MINIFS($B$3:$B$5000,$A$3:$A$5000,$A1566,$B$3:$B$5000,"&gt;"&amp;$B1566))</f>
        <v>46279.598764355</v>
      </c>
    </row>
    <row r="1567" customFormat="false" ht="15" hidden="false" customHeight="true" outlineLevel="0" collapsed="false">
      <c r="A1567" s="42"/>
      <c r="B1567" s="42"/>
      <c r="C1567" s="42"/>
      <c r="D1567" s="42"/>
      <c r="E1567" s="42"/>
      <c r="F1567" s="51" t="n">
        <f aca="false">IF(OR(C1567="",D1567="",E1567="",E1567=0),0,C1567*D1567/E1567)</f>
        <v>0</v>
      </c>
      <c r="G1567" s="42"/>
      <c r="H1567" s="49" t="n">
        <f aca="true">IF(OR($A1567="",_xlfn.MINIFS($B$3:$B$5000,$A$3:$A$5000,$A1567,$B$3:$B$5000,"&gt;"&amp;$B1567)=0),NOW(),_xlfn.MINIFS($B$3:$B$5000,$A$3:$A$5000,$A1567,$B$3:$B$5000,"&gt;"&amp;$B1567))</f>
        <v>46279.5987643551</v>
      </c>
    </row>
    <row r="1568" customFormat="false" ht="15" hidden="false" customHeight="true" outlineLevel="0" collapsed="false">
      <c r="A1568" s="42"/>
      <c r="B1568" s="42"/>
      <c r="C1568" s="42"/>
      <c r="D1568" s="42"/>
      <c r="E1568" s="42"/>
      <c r="F1568" s="51" t="n">
        <f aca="false">IF(OR(C1568="",D1568="",E1568="",E1568=0),0,C1568*D1568/E1568)</f>
        <v>0</v>
      </c>
      <c r="G1568" s="42"/>
      <c r="H1568" s="49" t="n">
        <f aca="true">IF(OR($A1568="",_xlfn.MINIFS($B$3:$B$5000,$A$3:$A$5000,$A1568,$B$3:$B$5000,"&gt;"&amp;$B1568)=0),NOW(),_xlfn.MINIFS($B$3:$B$5000,$A$3:$A$5000,$A1568,$B$3:$B$5000,"&gt;"&amp;$B1568))</f>
        <v>46279.5987643551</v>
      </c>
    </row>
    <row r="1569" customFormat="false" ht="15" hidden="false" customHeight="true" outlineLevel="0" collapsed="false">
      <c r="A1569" s="42"/>
      <c r="B1569" s="42"/>
      <c r="C1569" s="42"/>
      <c r="D1569" s="42"/>
      <c r="E1569" s="42"/>
      <c r="F1569" s="51" t="n">
        <f aca="false">IF(OR(C1569="",D1569="",E1569="",E1569=0),0,C1569*D1569/E1569)</f>
        <v>0</v>
      </c>
      <c r="G1569" s="42"/>
      <c r="H1569" s="49" t="n">
        <f aca="true">IF(OR($A1569="",_xlfn.MINIFS($B$3:$B$5000,$A$3:$A$5000,$A1569,$B$3:$B$5000,"&gt;"&amp;$B1569)=0),NOW(),_xlfn.MINIFS($B$3:$B$5000,$A$3:$A$5000,$A1569,$B$3:$B$5000,"&gt;"&amp;$B1569))</f>
        <v>46279.5987643552</v>
      </c>
    </row>
    <row r="1570" customFormat="false" ht="15" hidden="false" customHeight="true" outlineLevel="0" collapsed="false">
      <c r="A1570" s="42"/>
      <c r="B1570" s="42"/>
      <c r="C1570" s="42"/>
      <c r="D1570" s="42"/>
      <c r="E1570" s="42"/>
      <c r="F1570" s="51" t="n">
        <f aca="false">IF(OR(C1570="",D1570="",E1570="",E1570=0),0,C1570*D1570/E1570)</f>
        <v>0</v>
      </c>
      <c r="G1570" s="42"/>
      <c r="H1570" s="49" t="n">
        <f aca="true">IF(OR($A1570="",_xlfn.MINIFS($B$3:$B$5000,$A$3:$A$5000,$A1570,$B$3:$B$5000,"&gt;"&amp;$B1570)=0),NOW(),_xlfn.MINIFS($B$3:$B$5000,$A$3:$A$5000,$A1570,$B$3:$B$5000,"&gt;"&amp;$B1570))</f>
        <v>46279.5987643552</v>
      </c>
    </row>
    <row r="1571" customFormat="false" ht="15" hidden="false" customHeight="true" outlineLevel="0" collapsed="false">
      <c r="A1571" s="42"/>
      <c r="B1571" s="42"/>
      <c r="C1571" s="42"/>
      <c r="D1571" s="42"/>
      <c r="E1571" s="42"/>
      <c r="F1571" s="51" t="n">
        <f aca="false">IF(OR(C1571="",D1571="",E1571="",E1571=0),0,C1571*D1571/E1571)</f>
        <v>0</v>
      </c>
      <c r="G1571" s="42"/>
      <c r="H1571" s="49" t="n">
        <f aca="true">IF(OR($A1571="",_xlfn.MINIFS($B$3:$B$5000,$A$3:$A$5000,$A1571,$B$3:$B$5000,"&gt;"&amp;$B1571)=0),NOW(),_xlfn.MINIFS($B$3:$B$5000,$A$3:$A$5000,$A1571,$B$3:$B$5000,"&gt;"&amp;$B1571))</f>
        <v>46279.5987643553</v>
      </c>
    </row>
    <row r="1572" customFormat="false" ht="15" hidden="false" customHeight="true" outlineLevel="0" collapsed="false">
      <c r="A1572" s="42"/>
      <c r="B1572" s="42"/>
      <c r="C1572" s="42"/>
      <c r="D1572" s="42"/>
      <c r="E1572" s="42"/>
      <c r="F1572" s="51" t="n">
        <f aca="false">IF(OR(C1572="",D1572="",E1572="",E1572=0),0,C1572*D1572/E1572)</f>
        <v>0</v>
      </c>
      <c r="G1572" s="42"/>
      <c r="H1572" s="49" t="n">
        <f aca="true">IF(OR($A1572="",_xlfn.MINIFS($B$3:$B$5000,$A$3:$A$5000,$A1572,$B$3:$B$5000,"&gt;"&amp;$B1572)=0),NOW(),_xlfn.MINIFS($B$3:$B$5000,$A$3:$A$5000,$A1572,$B$3:$B$5000,"&gt;"&amp;$B1572))</f>
        <v>46279.5987643553</v>
      </c>
    </row>
    <row r="1573" customFormat="false" ht="15" hidden="false" customHeight="true" outlineLevel="0" collapsed="false">
      <c r="A1573" s="42"/>
      <c r="B1573" s="42"/>
      <c r="C1573" s="42"/>
      <c r="D1573" s="42"/>
      <c r="E1573" s="42"/>
      <c r="F1573" s="51" t="n">
        <f aca="false">IF(OR(C1573="",D1573="",E1573="",E1573=0),0,C1573*D1573/E1573)</f>
        <v>0</v>
      </c>
      <c r="G1573" s="42"/>
      <c r="H1573" s="49" t="n">
        <f aca="true">IF(OR($A1573="",_xlfn.MINIFS($B$3:$B$5000,$A$3:$A$5000,$A1573,$B$3:$B$5000,"&gt;"&amp;$B1573)=0),NOW(),_xlfn.MINIFS($B$3:$B$5000,$A$3:$A$5000,$A1573,$B$3:$B$5000,"&gt;"&amp;$B1573))</f>
        <v>46279.5987643554</v>
      </c>
    </row>
    <row r="1574" customFormat="false" ht="15" hidden="false" customHeight="true" outlineLevel="0" collapsed="false">
      <c r="A1574" s="42"/>
      <c r="B1574" s="42"/>
      <c r="C1574" s="42"/>
      <c r="D1574" s="42"/>
      <c r="E1574" s="42"/>
      <c r="F1574" s="51" t="n">
        <f aca="false">IF(OR(C1574="",D1574="",E1574="",E1574=0),0,C1574*D1574/E1574)</f>
        <v>0</v>
      </c>
      <c r="G1574" s="42"/>
      <c r="H1574" s="49" t="n">
        <f aca="true">IF(OR($A1574="",_xlfn.MINIFS($B$3:$B$5000,$A$3:$A$5000,$A1574,$B$3:$B$5000,"&gt;"&amp;$B1574)=0),NOW(),_xlfn.MINIFS($B$3:$B$5000,$A$3:$A$5000,$A1574,$B$3:$B$5000,"&gt;"&amp;$B1574))</f>
        <v>46279.5987643554</v>
      </c>
    </row>
    <row r="1575" customFormat="false" ht="15" hidden="false" customHeight="true" outlineLevel="0" collapsed="false">
      <c r="A1575" s="42"/>
      <c r="B1575" s="42"/>
      <c r="C1575" s="42"/>
      <c r="D1575" s="42"/>
      <c r="E1575" s="42"/>
      <c r="F1575" s="51" t="n">
        <f aca="false">IF(OR(C1575="",D1575="",E1575="",E1575=0),0,C1575*D1575/E1575)</f>
        <v>0</v>
      </c>
      <c r="G1575" s="42"/>
      <c r="H1575" s="49" t="n">
        <f aca="true">IF(OR($A1575="",_xlfn.MINIFS($B$3:$B$5000,$A$3:$A$5000,$A1575,$B$3:$B$5000,"&gt;"&amp;$B1575)=0),NOW(),_xlfn.MINIFS($B$3:$B$5000,$A$3:$A$5000,$A1575,$B$3:$B$5000,"&gt;"&amp;$B1575))</f>
        <v>46279.5987643555</v>
      </c>
    </row>
    <row r="1576" customFormat="false" ht="15" hidden="false" customHeight="true" outlineLevel="0" collapsed="false">
      <c r="A1576" s="42"/>
      <c r="B1576" s="42"/>
      <c r="C1576" s="42"/>
      <c r="D1576" s="42"/>
      <c r="E1576" s="42"/>
      <c r="F1576" s="51" t="n">
        <f aca="false">IF(OR(C1576="",D1576="",E1576="",E1576=0),0,C1576*D1576/E1576)</f>
        <v>0</v>
      </c>
      <c r="G1576" s="42"/>
      <c r="H1576" s="49" t="n">
        <f aca="true">IF(OR($A1576="",_xlfn.MINIFS($B$3:$B$5000,$A$3:$A$5000,$A1576,$B$3:$B$5000,"&gt;"&amp;$B1576)=0),NOW(),_xlfn.MINIFS($B$3:$B$5000,$A$3:$A$5000,$A1576,$B$3:$B$5000,"&gt;"&amp;$B1576))</f>
        <v>46279.5987643555</v>
      </c>
    </row>
    <row r="1577" customFormat="false" ht="15" hidden="false" customHeight="true" outlineLevel="0" collapsed="false">
      <c r="A1577" s="42"/>
      <c r="B1577" s="42"/>
      <c r="C1577" s="42"/>
      <c r="D1577" s="42"/>
      <c r="E1577" s="42"/>
      <c r="F1577" s="51" t="n">
        <f aca="false">IF(OR(C1577="",D1577="",E1577="",E1577=0),0,C1577*D1577/E1577)</f>
        <v>0</v>
      </c>
      <c r="G1577" s="42"/>
      <c r="H1577" s="49" t="n">
        <f aca="true">IF(OR($A1577="",_xlfn.MINIFS($B$3:$B$5000,$A$3:$A$5000,$A1577,$B$3:$B$5000,"&gt;"&amp;$B1577)=0),NOW(),_xlfn.MINIFS($B$3:$B$5000,$A$3:$A$5000,$A1577,$B$3:$B$5000,"&gt;"&amp;$B1577))</f>
        <v>46279.5987643556</v>
      </c>
    </row>
    <row r="1578" customFormat="false" ht="15" hidden="false" customHeight="true" outlineLevel="0" collapsed="false">
      <c r="A1578" s="42"/>
      <c r="B1578" s="42"/>
      <c r="C1578" s="42"/>
      <c r="D1578" s="42"/>
      <c r="E1578" s="42"/>
      <c r="F1578" s="51" t="n">
        <f aca="false">IF(OR(C1578="",D1578="",E1578="",E1578=0),0,C1578*D1578/E1578)</f>
        <v>0</v>
      </c>
      <c r="G1578" s="42"/>
      <c r="H1578" s="49" t="n">
        <f aca="true">IF(OR($A1578="",_xlfn.MINIFS($B$3:$B$5000,$A$3:$A$5000,$A1578,$B$3:$B$5000,"&gt;"&amp;$B1578)=0),NOW(),_xlfn.MINIFS($B$3:$B$5000,$A$3:$A$5000,$A1578,$B$3:$B$5000,"&gt;"&amp;$B1578))</f>
        <v>46279.5987643556</v>
      </c>
    </row>
    <row r="1579" customFormat="false" ht="15" hidden="false" customHeight="true" outlineLevel="0" collapsed="false">
      <c r="A1579" s="42"/>
      <c r="B1579" s="42"/>
      <c r="C1579" s="42"/>
      <c r="D1579" s="42"/>
      <c r="E1579" s="42"/>
      <c r="F1579" s="51" t="n">
        <f aca="false">IF(OR(C1579="",D1579="",E1579="",E1579=0),0,C1579*D1579/E1579)</f>
        <v>0</v>
      </c>
      <c r="G1579" s="42"/>
      <c r="H1579" s="49" t="n">
        <f aca="true">IF(OR($A1579="",_xlfn.MINIFS($B$3:$B$5000,$A$3:$A$5000,$A1579,$B$3:$B$5000,"&gt;"&amp;$B1579)=0),NOW(),_xlfn.MINIFS($B$3:$B$5000,$A$3:$A$5000,$A1579,$B$3:$B$5000,"&gt;"&amp;$B1579))</f>
        <v>46279.5987643557</v>
      </c>
    </row>
    <row r="1580" customFormat="false" ht="15" hidden="false" customHeight="true" outlineLevel="0" collapsed="false">
      <c r="A1580" s="42"/>
      <c r="B1580" s="42"/>
      <c r="C1580" s="42"/>
      <c r="D1580" s="42"/>
      <c r="E1580" s="42"/>
      <c r="F1580" s="51" t="n">
        <f aca="false">IF(OR(C1580="",D1580="",E1580="",E1580=0),0,C1580*D1580/E1580)</f>
        <v>0</v>
      </c>
      <c r="G1580" s="42"/>
      <c r="H1580" s="49" t="n">
        <f aca="true">IF(OR($A1580="",_xlfn.MINIFS($B$3:$B$5000,$A$3:$A$5000,$A1580,$B$3:$B$5000,"&gt;"&amp;$B1580)=0),NOW(),_xlfn.MINIFS($B$3:$B$5000,$A$3:$A$5000,$A1580,$B$3:$B$5000,"&gt;"&amp;$B1580))</f>
        <v>46279.5987643557</v>
      </c>
    </row>
    <row r="1581" customFormat="false" ht="15" hidden="false" customHeight="true" outlineLevel="0" collapsed="false">
      <c r="A1581" s="42"/>
      <c r="B1581" s="42"/>
      <c r="C1581" s="42"/>
      <c r="D1581" s="42"/>
      <c r="E1581" s="42"/>
      <c r="F1581" s="51" t="n">
        <f aca="false">IF(OR(C1581="",D1581="",E1581="",E1581=0),0,C1581*D1581/E1581)</f>
        <v>0</v>
      </c>
      <c r="G1581" s="42"/>
      <c r="H1581" s="49" t="n">
        <f aca="true">IF(OR($A1581="",_xlfn.MINIFS($B$3:$B$5000,$A$3:$A$5000,$A1581,$B$3:$B$5000,"&gt;"&amp;$B1581)=0),NOW(),_xlfn.MINIFS($B$3:$B$5000,$A$3:$A$5000,$A1581,$B$3:$B$5000,"&gt;"&amp;$B1581))</f>
        <v>46279.5987643558</v>
      </c>
    </row>
    <row r="1582" customFormat="false" ht="15" hidden="false" customHeight="true" outlineLevel="0" collapsed="false">
      <c r="A1582" s="42"/>
      <c r="B1582" s="42"/>
      <c r="C1582" s="42"/>
      <c r="D1582" s="42"/>
      <c r="E1582" s="42"/>
      <c r="F1582" s="51" t="n">
        <f aca="false">IF(OR(C1582="",D1582="",E1582="",E1582=0),0,C1582*D1582/E1582)</f>
        <v>0</v>
      </c>
      <c r="G1582" s="42"/>
      <c r="H1582" s="49" t="n">
        <f aca="true">IF(OR($A1582="",_xlfn.MINIFS($B$3:$B$5000,$A$3:$A$5000,$A1582,$B$3:$B$5000,"&gt;"&amp;$B1582)=0),NOW(),_xlfn.MINIFS($B$3:$B$5000,$A$3:$A$5000,$A1582,$B$3:$B$5000,"&gt;"&amp;$B1582))</f>
        <v>46279.5987643558</v>
      </c>
    </row>
    <row r="1583" customFormat="false" ht="15" hidden="false" customHeight="true" outlineLevel="0" collapsed="false">
      <c r="A1583" s="42"/>
      <c r="B1583" s="42"/>
      <c r="C1583" s="42"/>
      <c r="D1583" s="42"/>
      <c r="E1583" s="42"/>
      <c r="F1583" s="51" t="n">
        <f aca="false">IF(OR(C1583="",D1583="",E1583="",E1583=0),0,C1583*D1583/E1583)</f>
        <v>0</v>
      </c>
      <c r="G1583" s="42"/>
      <c r="H1583" s="49" t="n">
        <f aca="true">IF(OR($A1583="",_xlfn.MINIFS($B$3:$B$5000,$A$3:$A$5000,$A1583,$B$3:$B$5000,"&gt;"&amp;$B1583)=0),NOW(),_xlfn.MINIFS($B$3:$B$5000,$A$3:$A$5000,$A1583,$B$3:$B$5000,"&gt;"&amp;$B1583))</f>
        <v>46279.5987643559</v>
      </c>
    </row>
    <row r="1584" customFormat="false" ht="15" hidden="false" customHeight="true" outlineLevel="0" collapsed="false">
      <c r="A1584" s="42"/>
      <c r="B1584" s="42"/>
      <c r="C1584" s="42"/>
      <c r="D1584" s="42"/>
      <c r="E1584" s="42"/>
      <c r="F1584" s="51" t="n">
        <f aca="false">IF(OR(C1584="",D1584="",E1584="",E1584=0),0,C1584*D1584/E1584)</f>
        <v>0</v>
      </c>
      <c r="G1584" s="42"/>
      <c r="H1584" s="49" t="n">
        <f aca="true">IF(OR($A1584="",_xlfn.MINIFS($B$3:$B$5000,$A$3:$A$5000,$A1584,$B$3:$B$5000,"&gt;"&amp;$B1584)=0),NOW(),_xlfn.MINIFS($B$3:$B$5000,$A$3:$A$5000,$A1584,$B$3:$B$5000,"&gt;"&amp;$B1584))</f>
        <v>46279.5987643559</v>
      </c>
    </row>
    <row r="1585" customFormat="false" ht="15" hidden="false" customHeight="true" outlineLevel="0" collapsed="false">
      <c r="A1585" s="42"/>
      <c r="B1585" s="42"/>
      <c r="C1585" s="42"/>
      <c r="D1585" s="42"/>
      <c r="E1585" s="42"/>
      <c r="F1585" s="51" t="n">
        <f aca="false">IF(OR(C1585="",D1585="",E1585="",E1585=0),0,C1585*D1585/E1585)</f>
        <v>0</v>
      </c>
      <c r="G1585" s="42"/>
      <c r="H1585" s="49" t="n">
        <f aca="true">IF(OR($A1585="",_xlfn.MINIFS($B$3:$B$5000,$A$3:$A$5000,$A1585,$B$3:$B$5000,"&gt;"&amp;$B1585)=0),NOW(),_xlfn.MINIFS($B$3:$B$5000,$A$3:$A$5000,$A1585,$B$3:$B$5000,"&gt;"&amp;$B1585))</f>
        <v>46279.598764356</v>
      </c>
    </row>
    <row r="1586" customFormat="false" ht="15" hidden="false" customHeight="true" outlineLevel="0" collapsed="false">
      <c r="A1586" s="42"/>
      <c r="B1586" s="42"/>
      <c r="C1586" s="42"/>
      <c r="D1586" s="42"/>
      <c r="E1586" s="42"/>
      <c r="F1586" s="51" t="n">
        <f aca="false">IF(OR(C1586="",D1586="",E1586="",E1586=0),0,C1586*D1586/E1586)</f>
        <v>0</v>
      </c>
      <c r="G1586" s="42"/>
      <c r="H1586" s="49" t="n">
        <f aca="true">IF(OR($A1586="",_xlfn.MINIFS($B$3:$B$5000,$A$3:$A$5000,$A1586,$B$3:$B$5000,"&gt;"&amp;$B1586)=0),NOW(),_xlfn.MINIFS($B$3:$B$5000,$A$3:$A$5000,$A1586,$B$3:$B$5000,"&gt;"&amp;$B1586))</f>
        <v>46279.598764356</v>
      </c>
    </row>
    <row r="1587" customFormat="false" ht="15" hidden="false" customHeight="true" outlineLevel="0" collapsed="false">
      <c r="A1587" s="42"/>
      <c r="B1587" s="42"/>
      <c r="C1587" s="42"/>
      <c r="D1587" s="42"/>
      <c r="E1587" s="42"/>
      <c r="F1587" s="51" t="n">
        <f aca="false">IF(OR(C1587="",D1587="",E1587="",E1587=0),0,C1587*D1587/E1587)</f>
        <v>0</v>
      </c>
      <c r="G1587" s="42"/>
      <c r="H1587" s="49" t="n">
        <f aca="true">IF(OR($A1587="",_xlfn.MINIFS($B$3:$B$5000,$A$3:$A$5000,$A1587,$B$3:$B$5000,"&gt;"&amp;$B1587)=0),NOW(),_xlfn.MINIFS($B$3:$B$5000,$A$3:$A$5000,$A1587,$B$3:$B$5000,"&gt;"&amp;$B1587))</f>
        <v>46279.5987643561</v>
      </c>
    </row>
    <row r="1588" customFormat="false" ht="15" hidden="false" customHeight="true" outlineLevel="0" collapsed="false">
      <c r="A1588" s="42"/>
      <c r="B1588" s="42"/>
      <c r="C1588" s="42"/>
      <c r="D1588" s="42"/>
      <c r="E1588" s="42"/>
      <c r="F1588" s="51" t="n">
        <f aca="false">IF(OR(C1588="",D1588="",E1588="",E1588=0),0,C1588*D1588/E1588)</f>
        <v>0</v>
      </c>
      <c r="G1588" s="42"/>
      <c r="H1588" s="49" t="n">
        <f aca="true">IF(OR($A1588="",_xlfn.MINIFS($B$3:$B$5000,$A$3:$A$5000,$A1588,$B$3:$B$5000,"&gt;"&amp;$B1588)=0),NOW(),_xlfn.MINIFS($B$3:$B$5000,$A$3:$A$5000,$A1588,$B$3:$B$5000,"&gt;"&amp;$B1588))</f>
        <v>46279.5987643561</v>
      </c>
    </row>
    <row r="1589" customFormat="false" ht="15" hidden="false" customHeight="true" outlineLevel="0" collapsed="false">
      <c r="A1589" s="42"/>
      <c r="B1589" s="42"/>
      <c r="C1589" s="42"/>
      <c r="D1589" s="42"/>
      <c r="E1589" s="42"/>
      <c r="F1589" s="51" t="n">
        <f aca="false">IF(OR(C1589="",D1589="",E1589="",E1589=0),0,C1589*D1589/E1589)</f>
        <v>0</v>
      </c>
      <c r="G1589" s="42"/>
      <c r="H1589" s="49" t="n">
        <f aca="true">IF(OR($A1589="",_xlfn.MINIFS($B$3:$B$5000,$A$3:$A$5000,$A1589,$B$3:$B$5000,"&gt;"&amp;$B1589)=0),NOW(),_xlfn.MINIFS($B$3:$B$5000,$A$3:$A$5000,$A1589,$B$3:$B$5000,"&gt;"&amp;$B1589))</f>
        <v>46279.5987643562</v>
      </c>
    </row>
    <row r="1590" customFormat="false" ht="15" hidden="false" customHeight="true" outlineLevel="0" collapsed="false">
      <c r="A1590" s="42"/>
      <c r="B1590" s="42"/>
      <c r="C1590" s="42"/>
      <c r="D1590" s="42"/>
      <c r="E1590" s="42"/>
      <c r="F1590" s="51" t="n">
        <f aca="false">IF(OR(C1590="",D1590="",E1590="",E1590=0),0,C1590*D1590/E1590)</f>
        <v>0</v>
      </c>
      <c r="G1590" s="42"/>
      <c r="H1590" s="49" t="n">
        <f aca="true">IF(OR($A1590="",_xlfn.MINIFS($B$3:$B$5000,$A$3:$A$5000,$A1590,$B$3:$B$5000,"&gt;"&amp;$B1590)=0),NOW(),_xlfn.MINIFS($B$3:$B$5000,$A$3:$A$5000,$A1590,$B$3:$B$5000,"&gt;"&amp;$B1590))</f>
        <v>46279.5987643562</v>
      </c>
    </row>
    <row r="1591" customFormat="false" ht="15" hidden="false" customHeight="true" outlineLevel="0" collapsed="false">
      <c r="A1591" s="42"/>
      <c r="B1591" s="42"/>
      <c r="C1591" s="42"/>
      <c r="D1591" s="42"/>
      <c r="E1591" s="42"/>
      <c r="F1591" s="51" t="n">
        <f aca="false">IF(OR(C1591="",D1591="",E1591="",E1591=0),0,C1591*D1591/E1591)</f>
        <v>0</v>
      </c>
      <c r="G1591" s="42"/>
      <c r="H1591" s="49" t="n">
        <f aca="true">IF(OR($A1591="",_xlfn.MINIFS($B$3:$B$5000,$A$3:$A$5000,$A1591,$B$3:$B$5000,"&gt;"&amp;$B1591)=0),NOW(),_xlfn.MINIFS($B$3:$B$5000,$A$3:$A$5000,$A1591,$B$3:$B$5000,"&gt;"&amp;$B1591))</f>
        <v>46279.5987643563</v>
      </c>
    </row>
    <row r="1592" customFormat="false" ht="15" hidden="false" customHeight="true" outlineLevel="0" collapsed="false">
      <c r="A1592" s="42"/>
      <c r="B1592" s="42"/>
      <c r="C1592" s="42"/>
      <c r="D1592" s="42"/>
      <c r="E1592" s="42"/>
      <c r="F1592" s="51" t="n">
        <f aca="false">IF(OR(C1592="",D1592="",E1592="",E1592=0),0,C1592*D1592/E1592)</f>
        <v>0</v>
      </c>
      <c r="G1592" s="42"/>
      <c r="H1592" s="49" t="n">
        <f aca="true">IF(OR($A1592="",_xlfn.MINIFS($B$3:$B$5000,$A$3:$A$5000,$A1592,$B$3:$B$5000,"&gt;"&amp;$B1592)=0),NOW(),_xlfn.MINIFS($B$3:$B$5000,$A$3:$A$5000,$A1592,$B$3:$B$5000,"&gt;"&amp;$B1592))</f>
        <v>46279.5987643563</v>
      </c>
    </row>
    <row r="1593" customFormat="false" ht="15" hidden="false" customHeight="true" outlineLevel="0" collapsed="false">
      <c r="A1593" s="42"/>
      <c r="B1593" s="42"/>
      <c r="C1593" s="42"/>
      <c r="D1593" s="42"/>
      <c r="E1593" s="42"/>
      <c r="F1593" s="51" t="n">
        <f aca="false">IF(OR(C1593="",D1593="",E1593="",E1593=0),0,C1593*D1593/E1593)</f>
        <v>0</v>
      </c>
      <c r="G1593" s="42"/>
      <c r="H1593" s="49" t="n">
        <f aca="true">IF(OR($A1593="",_xlfn.MINIFS($B$3:$B$5000,$A$3:$A$5000,$A1593,$B$3:$B$5000,"&gt;"&amp;$B1593)=0),NOW(),_xlfn.MINIFS($B$3:$B$5000,$A$3:$A$5000,$A1593,$B$3:$B$5000,"&gt;"&amp;$B1593))</f>
        <v>46279.5987643564</v>
      </c>
    </row>
    <row r="1594" customFormat="false" ht="15" hidden="false" customHeight="true" outlineLevel="0" collapsed="false">
      <c r="A1594" s="42"/>
      <c r="B1594" s="42"/>
      <c r="C1594" s="42"/>
      <c r="D1594" s="42"/>
      <c r="E1594" s="42"/>
      <c r="F1594" s="51" t="n">
        <f aca="false">IF(OR(C1594="",D1594="",E1594="",E1594=0),0,C1594*D1594/E1594)</f>
        <v>0</v>
      </c>
      <c r="G1594" s="42"/>
      <c r="H1594" s="49" t="n">
        <f aca="true">IF(OR($A1594="",_xlfn.MINIFS($B$3:$B$5000,$A$3:$A$5000,$A1594,$B$3:$B$5000,"&gt;"&amp;$B1594)=0),NOW(),_xlfn.MINIFS($B$3:$B$5000,$A$3:$A$5000,$A1594,$B$3:$B$5000,"&gt;"&amp;$B1594))</f>
        <v>46279.5987643564</v>
      </c>
    </row>
    <row r="1595" customFormat="false" ht="15" hidden="false" customHeight="true" outlineLevel="0" collapsed="false">
      <c r="A1595" s="42"/>
      <c r="B1595" s="42"/>
      <c r="C1595" s="42"/>
      <c r="D1595" s="42"/>
      <c r="E1595" s="42"/>
      <c r="F1595" s="51" t="n">
        <f aca="false">IF(OR(C1595="",D1595="",E1595="",E1595=0),0,C1595*D1595/E1595)</f>
        <v>0</v>
      </c>
      <c r="G1595" s="42"/>
      <c r="H1595" s="49" t="n">
        <f aca="true">IF(OR($A1595="",_xlfn.MINIFS($B$3:$B$5000,$A$3:$A$5000,$A1595,$B$3:$B$5000,"&gt;"&amp;$B1595)=0),NOW(),_xlfn.MINIFS($B$3:$B$5000,$A$3:$A$5000,$A1595,$B$3:$B$5000,"&gt;"&amp;$B1595))</f>
        <v>46279.5987643565</v>
      </c>
    </row>
    <row r="1596" customFormat="false" ht="15" hidden="false" customHeight="true" outlineLevel="0" collapsed="false">
      <c r="A1596" s="42"/>
      <c r="B1596" s="42"/>
      <c r="C1596" s="42"/>
      <c r="D1596" s="42"/>
      <c r="E1596" s="42"/>
      <c r="F1596" s="51" t="n">
        <f aca="false">IF(OR(C1596="",D1596="",E1596="",E1596=0),0,C1596*D1596/E1596)</f>
        <v>0</v>
      </c>
      <c r="G1596" s="42"/>
      <c r="H1596" s="49" t="n">
        <f aca="true">IF(OR($A1596="",_xlfn.MINIFS($B$3:$B$5000,$A$3:$A$5000,$A1596,$B$3:$B$5000,"&gt;"&amp;$B1596)=0),NOW(),_xlfn.MINIFS($B$3:$B$5000,$A$3:$A$5000,$A1596,$B$3:$B$5000,"&gt;"&amp;$B1596))</f>
        <v>46279.5987643565</v>
      </c>
    </row>
    <row r="1597" customFormat="false" ht="15" hidden="false" customHeight="true" outlineLevel="0" collapsed="false">
      <c r="A1597" s="42"/>
      <c r="B1597" s="42"/>
      <c r="C1597" s="42"/>
      <c r="D1597" s="42"/>
      <c r="E1597" s="42"/>
      <c r="F1597" s="51" t="n">
        <f aca="false">IF(OR(C1597="",D1597="",E1597="",E1597=0),0,C1597*D1597/E1597)</f>
        <v>0</v>
      </c>
      <c r="G1597" s="42"/>
      <c r="H1597" s="49" t="n">
        <f aca="true">IF(OR($A1597="",_xlfn.MINIFS($B$3:$B$5000,$A$3:$A$5000,$A1597,$B$3:$B$5000,"&gt;"&amp;$B1597)=0),NOW(),_xlfn.MINIFS($B$3:$B$5000,$A$3:$A$5000,$A1597,$B$3:$B$5000,"&gt;"&amp;$B1597))</f>
        <v>46279.5987643566</v>
      </c>
    </row>
    <row r="1598" customFormat="false" ht="15" hidden="false" customHeight="true" outlineLevel="0" collapsed="false">
      <c r="A1598" s="42"/>
      <c r="B1598" s="42"/>
      <c r="C1598" s="42"/>
      <c r="D1598" s="42"/>
      <c r="E1598" s="42"/>
      <c r="F1598" s="51" t="n">
        <f aca="false">IF(OR(C1598="",D1598="",E1598="",E1598=0),0,C1598*D1598/E1598)</f>
        <v>0</v>
      </c>
      <c r="G1598" s="42"/>
      <c r="H1598" s="49" t="n">
        <f aca="true">IF(OR($A1598="",_xlfn.MINIFS($B$3:$B$5000,$A$3:$A$5000,$A1598,$B$3:$B$5000,"&gt;"&amp;$B1598)=0),NOW(),_xlfn.MINIFS($B$3:$B$5000,$A$3:$A$5000,$A1598,$B$3:$B$5000,"&gt;"&amp;$B1598))</f>
        <v>46279.5987643566</v>
      </c>
    </row>
    <row r="1599" customFormat="false" ht="15" hidden="false" customHeight="true" outlineLevel="0" collapsed="false">
      <c r="A1599" s="42"/>
      <c r="B1599" s="42"/>
      <c r="C1599" s="42"/>
      <c r="D1599" s="42"/>
      <c r="E1599" s="42"/>
      <c r="F1599" s="51" t="n">
        <f aca="false">IF(OR(C1599="",D1599="",E1599="",E1599=0),0,C1599*D1599/E1599)</f>
        <v>0</v>
      </c>
      <c r="G1599" s="42"/>
      <c r="H1599" s="49" t="n">
        <f aca="true">IF(OR($A1599="",_xlfn.MINIFS($B$3:$B$5000,$A$3:$A$5000,$A1599,$B$3:$B$5000,"&gt;"&amp;$B1599)=0),NOW(),_xlfn.MINIFS($B$3:$B$5000,$A$3:$A$5000,$A1599,$B$3:$B$5000,"&gt;"&amp;$B1599))</f>
        <v>46279.5987643567</v>
      </c>
    </row>
    <row r="1600" customFormat="false" ht="15" hidden="false" customHeight="true" outlineLevel="0" collapsed="false">
      <c r="A1600" s="42"/>
      <c r="B1600" s="42"/>
      <c r="C1600" s="42"/>
      <c r="D1600" s="42"/>
      <c r="E1600" s="42"/>
      <c r="F1600" s="51" t="n">
        <f aca="false">IF(OR(C1600="",D1600="",E1600="",E1600=0),0,C1600*D1600/E1600)</f>
        <v>0</v>
      </c>
      <c r="G1600" s="42"/>
      <c r="H1600" s="49" t="n">
        <f aca="true">IF(OR($A1600="",_xlfn.MINIFS($B$3:$B$5000,$A$3:$A$5000,$A1600,$B$3:$B$5000,"&gt;"&amp;$B1600)=0),NOW(),_xlfn.MINIFS($B$3:$B$5000,$A$3:$A$5000,$A1600,$B$3:$B$5000,"&gt;"&amp;$B1600))</f>
        <v>46279.5987643567</v>
      </c>
    </row>
    <row r="1601" customFormat="false" ht="15" hidden="false" customHeight="true" outlineLevel="0" collapsed="false">
      <c r="A1601" s="42"/>
      <c r="B1601" s="42"/>
      <c r="C1601" s="42"/>
      <c r="D1601" s="42"/>
      <c r="E1601" s="42"/>
      <c r="F1601" s="51" t="n">
        <f aca="false">IF(OR(C1601="",D1601="",E1601="",E1601=0),0,C1601*D1601/E1601)</f>
        <v>0</v>
      </c>
      <c r="G1601" s="42"/>
      <c r="H1601" s="49" t="n">
        <f aca="true">IF(OR($A1601="",_xlfn.MINIFS($B$3:$B$5000,$A$3:$A$5000,$A1601,$B$3:$B$5000,"&gt;"&amp;$B1601)=0),NOW(),_xlfn.MINIFS($B$3:$B$5000,$A$3:$A$5000,$A1601,$B$3:$B$5000,"&gt;"&amp;$B1601))</f>
        <v>46279.5987643568</v>
      </c>
    </row>
    <row r="1602" customFormat="false" ht="15" hidden="false" customHeight="true" outlineLevel="0" collapsed="false">
      <c r="A1602" s="42"/>
      <c r="B1602" s="42"/>
      <c r="C1602" s="42"/>
      <c r="D1602" s="42"/>
      <c r="E1602" s="42"/>
      <c r="F1602" s="51" t="n">
        <f aca="false">IF(OR(C1602="",D1602="",E1602="",E1602=0),0,C1602*D1602/E1602)</f>
        <v>0</v>
      </c>
      <c r="G1602" s="42"/>
      <c r="H1602" s="49" t="n">
        <f aca="true">IF(OR($A1602="",_xlfn.MINIFS($B$3:$B$5000,$A$3:$A$5000,$A1602,$B$3:$B$5000,"&gt;"&amp;$B1602)=0),NOW(),_xlfn.MINIFS($B$3:$B$5000,$A$3:$A$5000,$A1602,$B$3:$B$5000,"&gt;"&amp;$B1602))</f>
        <v>46279.5987643568</v>
      </c>
    </row>
    <row r="1603" customFormat="false" ht="15" hidden="false" customHeight="true" outlineLevel="0" collapsed="false">
      <c r="A1603" s="42"/>
      <c r="B1603" s="42"/>
      <c r="C1603" s="42"/>
      <c r="D1603" s="42"/>
      <c r="E1603" s="42"/>
      <c r="F1603" s="51" t="n">
        <f aca="false">IF(OR(C1603="",D1603="",E1603="",E1603=0),0,C1603*D1603/E1603)</f>
        <v>0</v>
      </c>
      <c r="G1603" s="42"/>
      <c r="H1603" s="49" t="n">
        <f aca="true">IF(OR($A1603="",_xlfn.MINIFS($B$3:$B$5000,$A$3:$A$5000,$A1603,$B$3:$B$5000,"&gt;"&amp;$B1603)=0),NOW(),_xlfn.MINIFS($B$3:$B$5000,$A$3:$A$5000,$A1603,$B$3:$B$5000,"&gt;"&amp;$B1603))</f>
        <v>46279.5987643569</v>
      </c>
    </row>
    <row r="1604" customFormat="false" ht="15" hidden="false" customHeight="true" outlineLevel="0" collapsed="false">
      <c r="A1604" s="42"/>
      <c r="B1604" s="42"/>
      <c r="C1604" s="42"/>
      <c r="D1604" s="42"/>
      <c r="E1604" s="42"/>
      <c r="F1604" s="51" t="n">
        <f aca="false">IF(OR(C1604="",D1604="",E1604="",E1604=0),0,C1604*D1604/E1604)</f>
        <v>0</v>
      </c>
      <c r="G1604" s="42"/>
      <c r="H1604" s="49" t="n">
        <f aca="true">IF(OR($A1604="",_xlfn.MINIFS($B$3:$B$5000,$A$3:$A$5000,$A1604,$B$3:$B$5000,"&gt;"&amp;$B1604)=0),NOW(),_xlfn.MINIFS($B$3:$B$5000,$A$3:$A$5000,$A1604,$B$3:$B$5000,"&gt;"&amp;$B1604))</f>
        <v>46279.5987643569</v>
      </c>
    </row>
    <row r="1605" customFormat="false" ht="15" hidden="false" customHeight="true" outlineLevel="0" collapsed="false">
      <c r="A1605" s="42"/>
      <c r="B1605" s="42"/>
      <c r="C1605" s="42"/>
      <c r="D1605" s="42"/>
      <c r="E1605" s="42"/>
      <c r="F1605" s="51" t="n">
        <f aca="false">IF(OR(C1605="",D1605="",E1605="",E1605=0),0,C1605*D1605/E1605)</f>
        <v>0</v>
      </c>
      <c r="G1605" s="42"/>
      <c r="H1605" s="49" t="n">
        <f aca="true">IF(OR($A1605="",_xlfn.MINIFS($B$3:$B$5000,$A$3:$A$5000,$A1605,$B$3:$B$5000,"&gt;"&amp;$B1605)=0),NOW(),_xlfn.MINIFS($B$3:$B$5000,$A$3:$A$5000,$A1605,$B$3:$B$5000,"&gt;"&amp;$B1605))</f>
        <v>46279.598764357</v>
      </c>
    </row>
    <row r="1606" customFormat="false" ht="15" hidden="false" customHeight="true" outlineLevel="0" collapsed="false">
      <c r="A1606" s="42"/>
      <c r="B1606" s="42"/>
      <c r="C1606" s="42"/>
      <c r="D1606" s="42"/>
      <c r="E1606" s="42"/>
      <c r="F1606" s="51" t="n">
        <f aca="false">IF(OR(C1606="",D1606="",E1606="",E1606=0),0,C1606*D1606/E1606)</f>
        <v>0</v>
      </c>
      <c r="G1606" s="42"/>
      <c r="H1606" s="49" t="n">
        <f aca="true">IF(OR($A1606="",_xlfn.MINIFS($B$3:$B$5000,$A$3:$A$5000,$A1606,$B$3:$B$5000,"&gt;"&amp;$B1606)=0),NOW(),_xlfn.MINIFS($B$3:$B$5000,$A$3:$A$5000,$A1606,$B$3:$B$5000,"&gt;"&amp;$B1606))</f>
        <v>46279.598764357</v>
      </c>
    </row>
    <row r="1607" customFormat="false" ht="15" hidden="false" customHeight="true" outlineLevel="0" collapsed="false">
      <c r="A1607" s="42"/>
      <c r="B1607" s="42"/>
      <c r="C1607" s="42"/>
      <c r="D1607" s="42"/>
      <c r="E1607" s="42"/>
      <c r="F1607" s="51" t="n">
        <f aca="false">IF(OR(C1607="",D1607="",E1607="",E1607=0),0,C1607*D1607/E1607)</f>
        <v>0</v>
      </c>
      <c r="G1607" s="42"/>
      <c r="H1607" s="49" t="n">
        <f aca="true">IF(OR($A1607="",_xlfn.MINIFS($B$3:$B$5000,$A$3:$A$5000,$A1607,$B$3:$B$5000,"&gt;"&amp;$B1607)=0),NOW(),_xlfn.MINIFS($B$3:$B$5000,$A$3:$A$5000,$A1607,$B$3:$B$5000,"&gt;"&amp;$B1607))</f>
        <v>46279.5987643571</v>
      </c>
    </row>
    <row r="1608" customFormat="false" ht="15" hidden="false" customHeight="true" outlineLevel="0" collapsed="false">
      <c r="A1608" s="42"/>
      <c r="B1608" s="42"/>
      <c r="C1608" s="42"/>
      <c r="D1608" s="42"/>
      <c r="E1608" s="42"/>
      <c r="F1608" s="51" t="n">
        <f aca="false">IF(OR(C1608="",D1608="",E1608="",E1608=0),0,C1608*D1608/E1608)</f>
        <v>0</v>
      </c>
      <c r="G1608" s="42"/>
      <c r="H1608" s="49" t="n">
        <f aca="true">IF(OR($A1608="",_xlfn.MINIFS($B$3:$B$5000,$A$3:$A$5000,$A1608,$B$3:$B$5000,"&gt;"&amp;$B1608)=0),NOW(),_xlfn.MINIFS($B$3:$B$5000,$A$3:$A$5000,$A1608,$B$3:$B$5000,"&gt;"&amp;$B1608))</f>
        <v>46279.5987643571</v>
      </c>
    </row>
    <row r="1609" customFormat="false" ht="15" hidden="false" customHeight="true" outlineLevel="0" collapsed="false">
      <c r="A1609" s="42"/>
      <c r="B1609" s="42"/>
      <c r="C1609" s="42"/>
      <c r="D1609" s="42"/>
      <c r="E1609" s="42"/>
      <c r="F1609" s="51" t="n">
        <f aca="false">IF(OR(C1609="",D1609="",E1609="",E1609=0),0,C1609*D1609/E1609)</f>
        <v>0</v>
      </c>
      <c r="G1609" s="42"/>
      <c r="H1609" s="49" t="n">
        <f aca="true">IF(OR($A1609="",_xlfn.MINIFS($B$3:$B$5000,$A$3:$A$5000,$A1609,$B$3:$B$5000,"&gt;"&amp;$B1609)=0),NOW(),_xlfn.MINIFS($B$3:$B$5000,$A$3:$A$5000,$A1609,$B$3:$B$5000,"&gt;"&amp;$B1609))</f>
        <v>46279.5987643572</v>
      </c>
    </row>
    <row r="1610" customFormat="false" ht="15" hidden="false" customHeight="true" outlineLevel="0" collapsed="false">
      <c r="A1610" s="42"/>
      <c r="B1610" s="42"/>
      <c r="C1610" s="42"/>
      <c r="D1610" s="42"/>
      <c r="E1610" s="42"/>
      <c r="F1610" s="51" t="n">
        <f aca="false">IF(OR(C1610="",D1610="",E1610="",E1610=0),0,C1610*D1610/E1610)</f>
        <v>0</v>
      </c>
      <c r="G1610" s="42"/>
      <c r="H1610" s="49" t="n">
        <f aca="true">IF(OR($A1610="",_xlfn.MINIFS($B$3:$B$5000,$A$3:$A$5000,$A1610,$B$3:$B$5000,"&gt;"&amp;$B1610)=0),NOW(),_xlfn.MINIFS($B$3:$B$5000,$A$3:$A$5000,$A1610,$B$3:$B$5000,"&gt;"&amp;$B1610))</f>
        <v>46279.5987643572</v>
      </c>
    </row>
    <row r="1611" customFormat="false" ht="15" hidden="false" customHeight="true" outlineLevel="0" collapsed="false">
      <c r="A1611" s="42"/>
      <c r="B1611" s="42"/>
      <c r="C1611" s="42"/>
      <c r="D1611" s="42"/>
      <c r="E1611" s="42"/>
      <c r="F1611" s="51" t="n">
        <f aca="false">IF(OR(C1611="",D1611="",E1611="",E1611=0),0,C1611*D1611/E1611)</f>
        <v>0</v>
      </c>
      <c r="G1611" s="42"/>
      <c r="H1611" s="49" t="n">
        <f aca="true">IF(OR($A1611="",_xlfn.MINIFS($B$3:$B$5000,$A$3:$A$5000,$A1611,$B$3:$B$5000,"&gt;"&amp;$B1611)=0),NOW(),_xlfn.MINIFS($B$3:$B$5000,$A$3:$A$5000,$A1611,$B$3:$B$5000,"&gt;"&amp;$B1611))</f>
        <v>46279.5987643572</v>
      </c>
    </row>
    <row r="1612" customFormat="false" ht="15" hidden="false" customHeight="true" outlineLevel="0" collapsed="false">
      <c r="A1612" s="42"/>
      <c r="B1612" s="42"/>
      <c r="C1612" s="42"/>
      <c r="D1612" s="42"/>
      <c r="E1612" s="42"/>
      <c r="F1612" s="51" t="n">
        <f aca="false">IF(OR(C1612="",D1612="",E1612="",E1612=0),0,C1612*D1612/E1612)</f>
        <v>0</v>
      </c>
      <c r="G1612" s="42"/>
      <c r="H1612" s="49" t="n">
        <f aca="true">IF(OR($A1612="",_xlfn.MINIFS($B$3:$B$5000,$A$3:$A$5000,$A1612,$B$3:$B$5000,"&gt;"&amp;$B1612)=0),NOW(),_xlfn.MINIFS($B$3:$B$5000,$A$3:$A$5000,$A1612,$B$3:$B$5000,"&gt;"&amp;$B1612))</f>
        <v>46279.5987643573</v>
      </c>
    </row>
    <row r="1613" customFormat="false" ht="15" hidden="false" customHeight="true" outlineLevel="0" collapsed="false">
      <c r="A1613" s="42"/>
      <c r="B1613" s="42"/>
      <c r="C1613" s="42"/>
      <c r="D1613" s="42"/>
      <c r="E1613" s="42"/>
      <c r="F1613" s="51" t="n">
        <f aca="false">IF(OR(C1613="",D1613="",E1613="",E1613=0),0,C1613*D1613/E1613)</f>
        <v>0</v>
      </c>
      <c r="G1613" s="42"/>
      <c r="H1613" s="49" t="n">
        <f aca="true">IF(OR($A1613="",_xlfn.MINIFS($B$3:$B$5000,$A$3:$A$5000,$A1613,$B$3:$B$5000,"&gt;"&amp;$B1613)=0),NOW(),_xlfn.MINIFS($B$3:$B$5000,$A$3:$A$5000,$A1613,$B$3:$B$5000,"&gt;"&amp;$B1613))</f>
        <v>46279.5987643573</v>
      </c>
    </row>
    <row r="1614" customFormat="false" ht="15" hidden="false" customHeight="true" outlineLevel="0" collapsed="false">
      <c r="A1614" s="42"/>
      <c r="B1614" s="42"/>
      <c r="C1614" s="42"/>
      <c r="D1614" s="42"/>
      <c r="E1614" s="42"/>
      <c r="F1614" s="51" t="n">
        <f aca="false">IF(OR(C1614="",D1614="",E1614="",E1614=0),0,C1614*D1614/E1614)</f>
        <v>0</v>
      </c>
      <c r="G1614" s="42"/>
      <c r="H1614" s="49" t="n">
        <f aca="true">IF(OR($A1614="",_xlfn.MINIFS($B$3:$B$5000,$A$3:$A$5000,$A1614,$B$3:$B$5000,"&gt;"&amp;$B1614)=0),NOW(),_xlfn.MINIFS($B$3:$B$5000,$A$3:$A$5000,$A1614,$B$3:$B$5000,"&gt;"&amp;$B1614))</f>
        <v>46279.5987643574</v>
      </c>
    </row>
    <row r="1615" customFormat="false" ht="15" hidden="false" customHeight="true" outlineLevel="0" collapsed="false">
      <c r="A1615" s="42"/>
      <c r="B1615" s="42"/>
      <c r="C1615" s="42"/>
      <c r="D1615" s="42"/>
      <c r="E1615" s="42"/>
      <c r="F1615" s="51" t="n">
        <f aca="false">IF(OR(C1615="",D1615="",E1615="",E1615=0),0,C1615*D1615/E1615)</f>
        <v>0</v>
      </c>
      <c r="G1615" s="42"/>
      <c r="H1615" s="49" t="n">
        <f aca="true">IF(OR($A1615="",_xlfn.MINIFS($B$3:$B$5000,$A$3:$A$5000,$A1615,$B$3:$B$5000,"&gt;"&amp;$B1615)=0),NOW(),_xlfn.MINIFS($B$3:$B$5000,$A$3:$A$5000,$A1615,$B$3:$B$5000,"&gt;"&amp;$B1615))</f>
        <v>46279.5987643575</v>
      </c>
    </row>
    <row r="1616" customFormat="false" ht="15" hidden="false" customHeight="true" outlineLevel="0" collapsed="false">
      <c r="A1616" s="42"/>
      <c r="B1616" s="42"/>
      <c r="C1616" s="42"/>
      <c r="D1616" s="42"/>
      <c r="E1616" s="42"/>
      <c r="F1616" s="51" t="n">
        <f aca="false">IF(OR(C1616="",D1616="",E1616="",E1616=0),0,C1616*D1616/E1616)</f>
        <v>0</v>
      </c>
      <c r="G1616" s="42"/>
      <c r="H1616" s="49" t="n">
        <f aca="true">IF(OR($A1616="",_xlfn.MINIFS($B$3:$B$5000,$A$3:$A$5000,$A1616,$B$3:$B$5000,"&gt;"&amp;$B1616)=0),NOW(),_xlfn.MINIFS($B$3:$B$5000,$A$3:$A$5000,$A1616,$B$3:$B$5000,"&gt;"&amp;$B1616))</f>
        <v>46279.5987643575</v>
      </c>
    </row>
    <row r="1617" customFormat="false" ht="15" hidden="false" customHeight="true" outlineLevel="0" collapsed="false">
      <c r="A1617" s="42"/>
      <c r="B1617" s="42"/>
      <c r="C1617" s="42"/>
      <c r="D1617" s="42"/>
      <c r="E1617" s="42"/>
      <c r="F1617" s="51" t="n">
        <f aca="false">IF(OR(C1617="",D1617="",E1617="",E1617=0),0,C1617*D1617/E1617)</f>
        <v>0</v>
      </c>
      <c r="G1617" s="42"/>
      <c r="H1617" s="49" t="n">
        <f aca="true">IF(OR($A1617="",_xlfn.MINIFS($B$3:$B$5000,$A$3:$A$5000,$A1617,$B$3:$B$5000,"&gt;"&amp;$B1617)=0),NOW(),_xlfn.MINIFS($B$3:$B$5000,$A$3:$A$5000,$A1617,$B$3:$B$5000,"&gt;"&amp;$B1617))</f>
        <v>46279.5987643575</v>
      </c>
    </row>
    <row r="1618" customFormat="false" ht="15" hidden="false" customHeight="true" outlineLevel="0" collapsed="false">
      <c r="A1618" s="42"/>
      <c r="B1618" s="42"/>
      <c r="C1618" s="42"/>
      <c r="D1618" s="42"/>
      <c r="E1618" s="42"/>
      <c r="F1618" s="51" t="n">
        <f aca="false">IF(OR(C1618="",D1618="",E1618="",E1618=0),0,C1618*D1618/E1618)</f>
        <v>0</v>
      </c>
      <c r="G1618" s="42"/>
      <c r="H1618" s="49" t="n">
        <f aca="true">IF(OR($A1618="",_xlfn.MINIFS($B$3:$B$5000,$A$3:$A$5000,$A1618,$B$3:$B$5000,"&gt;"&amp;$B1618)=0),NOW(),_xlfn.MINIFS($B$3:$B$5000,$A$3:$A$5000,$A1618,$B$3:$B$5000,"&gt;"&amp;$B1618))</f>
        <v>46279.5987643576</v>
      </c>
    </row>
    <row r="1619" customFormat="false" ht="15" hidden="false" customHeight="true" outlineLevel="0" collapsed="false">
      <c r="A1619" s="42"/>
      <c r="B1619" s="42"/>
      <c r="C1619" s="42"/>
      <c r="D1619" s="42"/>
      <c r="E1619" s="42"/>
      <c r="F1619" s="51" t="n">
        <f aca="false">IF(OR(C1619="",D1619="",E1619="",E1619=0),0,C1619*D1619/E1619)</f>
        <v>0</v>
      </c>
      <c r="G1619" s="42"/>
      <c r="H1619" s="49" t="n">
        <f aca="true">IF(OR($A1619="",_xlfn.MINIFS($B$3:$B$5000,$A$3:$A$5000,$A1619,$B$3:$B$5000,"&gt;"&amp;$B1619)=0),NOW(),_xlfn.MINIFS($B$3:$B$5000,$A$3:$A$5000,$A1619,$B$3:$B$5000,"&gt;"&amp;$B1619))</f>
        <v>46279.5987643576</v>
      </c>
    </row>
    <row r="1620" customFormat="false" ht="15" hidden="false" customHeight="true" outlineLevel="0" collapsed="false">
      <c r="A1620" s="42"/>
      <c r="B1620" s="42"/>
      <c r="C1620" s="42"/>
      <c r="D1620" s="42"/>
      <c r="E1620" s="42"/>
      <c r="F1620" s="51" t="n">
        <f aca="false">IF(OR(C1620="",D1620="",E1620="",E1620=0),0,C1620*D1620/E1620)</f>
        <v>0</v>
      </c>
      <c r="G1620" s="42"/>
      <c r="H1620" s="49" t="n">
        <f aca="true">IF(OR($A1620="",_xlfn.MINIFS($B$3:$B$5000,$A$3:$A$5000,$A1620,$B$3:$B$5000,"&gt;"&amp;$B1620)=0),NOW(),_xlfn.MINIFS($B$3:$B$5000,$A$3:$A$5000,$A1620,$B$3:$B$5000,"&gt;"&amp;$B1620))</f>
        <v>46279.5987643577</v>
      </c>
    </row>
    <row r="1621" customFormat="false" ht="15" hidden="false" customHeight="true" outlineLevel="0" collapsed="false">
      <c r="A1621" s="42"/>
      <c r="B1621" s="42"/>
      <c r="C1621" s="42"/>
      <c r="D1621" s="42"/>
      <c r="E1621" s="42"/>
      <c r="F1621" s="51" t="n">
        <f aca="false">IF(OR(C1621="",D1621="",E1621="",E1621=0),0,C1621*D1621/E1621)</f>
        <v>0</v>
      </c>
      <c r="G1621" s="42"/>
      <c r="H1621" s="49" t="n">
        <f aca="true">IF(OR($A1621="",_xlfn.MINIFS($B$3:$B$5000,$A$3:$A$5000,$A1621,$B$3:$B$5000,"&gt;"&amp;$B1621)=0),NOW(),_xlfn.MINIFS($B$3:$B$5000,$A$3:$A$5000,$A1621,$B$3:$B$5000,"&gt;"&amp;$B1621))</f>
        <v>46279.5987643577</v>
      </c>
    </row>
    <row r="1622" customFormat="false" ht="15" hidden="false" customHeight="true" outlineLevel="0" collapsed="false">
      <c r="A1622" s="42"/>
      <c r="B1622" s="42"/>
      <c r="C1622" s="42"/>
      <c r="D1622" s="42"/>
      <c r="E1622" s="42"/>
      <c r="F1622" s="51" t="n">
        <f aca="false">IF(OR(C1622="",D1622="",E1622="",E1622=0),0,C1622*D1622/E1622)</f>
        <v>0</v>
      </c>
      <c r="G1622" s="42"/>
      <c r="H1622" s="49" t="n">
        <f aca="true">IF(OR($A1622="",_xlfn.MINIFS($B$3:$B$5000,$A$3:$A$5000,$A1622,$B$3:$B$5000,"&gt;"&amp;$B1622)=0),NOW(),_xlfn.MINIFS($B$3:$B$5000,$A$3:$A$5000,$A1622,$B$3:$B$5000,"&gt;"&amp;$B1622))</f>
        <v>46279.5987643578</v>
      </c>
    </row>
    <row r="1623" customFormat="false" ht="15" hidden="false" customHeight="true" outlineLevel="0" collapsed="false">
      <c r="A1623" s="42"/>
      <c r="B1623" s="42"/>
      <c r="C1623" s="42"/>
      <c r="D1623" s="42"/>
      <c r="E1623" s="42"/>
      <c r="F1623" s="51" t="n">
        <f aca="false">IF(OR(C1623="",D1623="",E1623="",E1623=0),0,C1623*D1623/E1623)</f>
        <v>0</v>
      </c>
      <c r="G1623" s="42"/>
      <c r="H1623" s="49" t="n">
        <f aca="true">IF(OR($A1623="",_xlfn.MINIFS($B$3:$B$5000,$A$3:$A$5000,$A1623,$B$3:$B$5000,"&gt;"&amp;$B1623)=0),NOW(),_xlfn.MINIFS($B$3:$B$5000,$A$3:$A$5000,$A1623,$B$3:$B$5000,"&gt;"&amp;$B1623))</f>
        <v>46279.5987643578</v>
      </c>
    </row>
    <row r="1624" customFormat="false" ht="15" hidden="false" customHeight="true" outlineLevel="0" collapsed="false">
      <c r="A1624" s="42"/>
      <c r="B1624" s="42"/>
      <c r="C1624" s="42"/>
      <c r="D1624" s="42"/>
      <c r="E1624" s="42"/>
      <c r="F1624" s="51" t="n">
        <f aca="false">IF(OR(C1624="",D1624="",E1624="",E1624=0),0,C1624*D1624/E1624)</f>
        <v>0</v>
      </c>
      <c r="G1624" s="42"/>
      <c r="H1624" s="49" t="n">
        <f aca="true">IF(OR($A1624="",_xlfn.MINIFS($B$3:$B$5000,$A$3:$A$5000,$A1624,$B$3:$B$5000,"&gt;"&amp;$B1624)=0),NOW(),_xlfn.MINIFS($B$3:$B$5000,$A$3:$A$5000,$A1624,$B$3:$B$5000,"&gt;"&amp;$B1624))</f>
        <v>46279.5987643579</v>
      </c>
    </row>
    <row r="1625" customFormat="false" ht="15" hidden="false" customHeight="true" outlineLevel="0" collapsed="false">
      <c r="A1625" s="42"/>
      <c r="B1625" s="42"/>
      <c r="C1625" s="42"/>
      <c r="D1625" s="42"/>
      <c r="E1625" s="42"/>
      <c r="F1625" s="51" t="n">
        <f aca="false">IF(OR(C1625="",D1625="",E1625="",E1625=0),0,C1625*D1625/E1625)</f>
        <v>0</v>
      </c>
      <c r="G1625" s="42"/>
      <c r="H1625" s="49" t="n">
        <f aca="true">IF(OR($A1625="",_xlfn.MINIFS($B$3:$B$5000,$A$3:$A$5000,$A1625,$B$3:$B$5000,"&gt;"&amp;$B1625)=0),NOW(),_xlfn.MINIFS($B$3:$B$5000,$A$3:$A$5000,$A1625,$B$3:$B$5000,"&gt;"&amp;$B1625))</f>
        <v>46279.5987643579</v>
      </c>
    </row>
    <row r="1626" customFormat="false" ht="15" hidden="false" customHeight="true" outlineLevel="0" collapsed="false">
      <c r="A1626" s="42"/>
      <c r="B1626" s="42"/>
      <c r="C1626" s="42"/>
      <c r="D1626" s="42"/>
      <c r="E1626" s="42"/>
      <c r="F1626" s="51" t="n">
        <f aca="false">IF(OR(C1626="",D1626="",E1626="",E1626=0),0,C1626*D1626/E1626)</f>
        <v>0</v>
      </c>
      <c r="G1626" s="42"/>
      <c r="H1626" s="49" t="n">
        <f aca="true">IF(OR($A1626="",_xlfn.MINIFS($B$3:$B$5000,$A$3:$A$5000,$A1626,$B$3:$B$5000,"&gt;"&amp;$B1626)=0),NOW(),_xlfn.MINIFS($B$3:$B$5000,$A$3:$A$5000,$A1626,$B$3:$B$5000,"&gt;"&amp;$B1626))</f>
        <v>46279.598764358</v>
      </c>
    </row>
    <row r="1627" customFormat="false" ht="15" hidden="false" customHeight="true" outlineLevel="0" collapsed="false">
      <c r="A1627" s="42"/>
      <c r="B1627" s="42"/>
      <c r="C1627" s="42"/>
      <c r="D1627" s="42"/>
      <c r="E1627" s="42"/>
      <c r="F1627" s="51" t="n">
        <f aca="false">IF(OR(C1627="",D1627="",E1627="",E1627=0),0,C1627*D1627/E1627)</f>
        <v>0</v>
      </c>
      <c r="G1627" s="42"/>
      <c r="H1627" s="49" t="n">
        <f aca="true">IF(OR($A1627="",_xlfn.MINIFS($B$3:$B$5000,$A$3:$A$5000,$A1627,$B$3:$B$5000,"&gt;"&amp;$B1627)=0),NOW(),_xlfn.MINIFS($B$3:$B$5000,$A$3:$A$5000,$A1627,$B$3:$B$5000,"&gt;"&amp;$B1627))</f>
        <v>46279.598764358</v>
      </c>
    </row>
    <row r="1628" customFormat="false" ht="15" hidden="false" customHeight="true" outlineLevel="0" collapsed="false">
      <c r="A1628" s="42"/>
      <c r="B1628" s="42"/>
      <c r="C1628" s="42"/>
      <c r="D1628" s="42"/>
      <c r="E1628" s="42"/>
      <c r="F1628" s="51" t="n">
        <f aca="false">IF(OR(C1628="",D1628="",E1628="",E1628=0),0,C1628*D1628/E1628)</f>
        <v>0</v>
      </c>
      <c r="G1628" s="42"/>
      <c r="H1628" s="49" t="n">
        <f aca="true">IF(OR($A1628="",_xlfn.MINIFS($B$3:$B$5000,$A$3:$A$5000,$A1628,$B$3:$B$5000,"&gt;"&amp;$B1628)=0),NOW(),_xlfn.MINIFS($B$3:$B$5000,$A$3:$A$5000,$A1628,$B$3:$B$5000,"&gt;"&amp;$B1628))</f>
        <v>46279.5987643581</v>
      </c>
    </row>
    <row r="1629" customFormat="false" ht="15" hidden="false" customHeight="true" outlineLevel="0" collapsed="false">
      <c r="A1629" s="42"/>
      <c r="B1629" s="42"/>
      <c r="C1629" s="42"/>
      <c r="D1629" s="42"/>
      <c r="E1629" s="42"/>
      <c r="F1629" s="51" t="n">
        <f aca="false">IF(OR(C1629="",D1629="",E1629="",E1629=0),0,C1629*D1629/E1629)</f>
        <v>0</v>
      </c>
      <c r="G1629" s="42"/>
      <c r="H1629" s="49" t="n">
        <f aca="true">IF(OR($A1629="",_xlfn.MINIFS($B$3:$B$5000,$A$3:$A$5000,$A1629,$B$3:$B$5000,"&gt;"&amp;$B1629)=0),NOW(),_xlfn.MINIFS($B$3:$B$5000,$A$3:$A$5000,$A1629,$B$3:$B$5000,"&gt;"&amp;$B1629))</f>
        <v>46279.5987643581</v>
      </c>
    </row>
    <row r="1630" customFormat="false" ht="15" hidden="false" customHeight="true" outlineLevel="0" collapsed="false">
      <c r="A1630" s="42"/>
      <c r="B1630" s="42"/>
      <c r="C1630" s="42"/>
      <c r="D1630" s="42"/>
      <c r="E1630" s="42"/>
      <c r="F1630" s="51" t="n">
        <f aca="false">IF(OR(C1630="",D1630="",E1630="",E1630=0),0,C1630*D1630/E1630)</f>
        <v>0</v>
      </c>
      <c r="G1630" s="42"/>
      <c r="H1630" s="49" t="n">
        <f aca="true">IF(OR($A1630="",_xlfn.MINIFS($B$3:$B$5000,$A$3:$A$5000,$A1630,$B$3:$B$5000,"&gt;"&amp;$B1630)=0),NOW(),_xlfn.MINIFS($B$3:$B$5000,$A$3:$A$5000,$A1630,$B$3:$B$5000,"&gt;"&amp;$B1630))</f>
        <v>46279.5987643582</v>
      </c>
    </row>
    <row r="1631" customFormat="false" ht="15" hidden="false" customHeight="true" outlineLevel="0" collapsed="false">
      <c r="A1631" s="42"/>
      <c r="B1631" s="42"/>
      <c r="C1631" s="42"/>
      <c r="D1631" s="42"/>
      <c r="E1631" s="42"/>
      <c r="F1631" s="51" t="n">
        <f aca="false">IF(OR(C1631="",D1631="",E1631="",E1631=0),0,C1631*D1631/E1631)</f>
        <v>0</v>
      </c>
      <c r="G1631" s="42"/>
      <c r="H1631" s="49" t="n">
        <f aca="true">IF(OR($A1631="",_xlfn.MINIFS($B$3:$B$5000,$A$3:$A$5000,$A1631,$B$3:$B$5000,"&gt;"&amp;$B1631)=0),NOW(),_xlfn.MINIFS($B$3:$B$5000,$A$3:$A$5000,$A1631,$B$3:$B$5000,"&gt;"&amp;$B1631))</f>
        <v>46279.5987643582</v>
      </c>
    </row>
    <row r="1632" customFormat="false" ht="15" hidden="false" customHeight="true" outlineLevel="0" collapsed="false">
      <c r="A1632" s="42"/>
      <c r="B1632" s="42"/>
      <c r="C1632" s="42"/>
      <c r="D1632" s="42"/>
      <c r="E1632" s="42"/>
      <c r="F1632" s="51" t="n">
        <f aca="false">IF(OR(C1632="",D1632="",E1632="",E1632=0),0,C1632*D1632/E1632)</f>
        <v>0</v>
      </c>
      <c r="G1632" s="42"/>
      <c r="H1632" s="49" t="n">
        <f aca="true">IF(OR($A1632="",_xlfn.MINIFS($B$3:$B$5000,$A$3:$A$5000,$A1632,$B$3:$B$5000,"&gt;"&amp;$B1632)=0),NOW(),_xlfn.MINIFS($B$3:$B$5000,$A$3:$A$5000,$A1632,$B$3:$B$5000,"&gt;"&amp;$B1632))</f>
        <v>46279.5987643583</v>
      </c>
    </row>
    <row r="1633" customFormat="false" ht="15" hidden="false" customHeight="true" outlineLevel="0" collapsed="false">
      <c r="A1633" s="42"/>
      <c r="B1633" s="42"/>
      <c r="C1633" s="42"/>
      <c r="D1633" s="42"/>
      <c r="E1633" s="42"/>
      <c r="F1633" s="51" t="n">
        <f aca="false">IF(OR(C1633="",D1633="",E1633="",E1633=0),0,C1633*D1633/E1633)</f>
        <v>0</v>
      </c>
      <c r="G1633" s="42"/>
      <c r="H1633" s="49" t="n">
        <f aca="true">IF(OR($A1633="",_xlfn.MINIFS($B$3:$B$5000,$A$3:$A$5000,$A1633,$B$3:$B$5000,"&gt;"&amp;$B1633)=0),NOW(),_xlfn.MINIFS($B$3:$B$5000,$A$3:$A$5000,$A1633,$B$3:$B$5000,"&gt;"&amp;$B1633))</f>
        <v>46279.5987643583</v>
      </c>
    </row>
    <row r="1634" customFormat="false" ht="15" hidden="false" customHeight="true" outlineLevel="0" collapsed="false">
      <c r="A1634" s="42"/>
      <c r="B1634" s="42"/>
      <c r="C1634" s="42"/>
      <c r="D1634" s="42"/>
      <c r="E1634" s="42"/>
      <c r="F1634" s="51" t="n">
        <f aca="false">IF(OR(C1634="",D1634="",E1634="",E1634=0),0,C1634*D1634/E1634)</f>
        <v>0</v>
      </c>
      <c r="G1634" s="42"/>
      <c r="H1634" s="49" t="n">
        <f aca="true">IF(OR($A1634="",_xlfn.MINIFS($B$3:$B$5000,$A$3:$A$5000,$A1634,$B$3:$B$5000,"&gt;"&amp;$B1634)=0),NOW(),_xlfn.MINIFS($B$3:$B$5000,$A$3:$A$5000,$A1634,$B$3:$B$5000,"&gt;"&amp;$B1634))</f>
        <v>46279.5987643584</v>
      </c>
    </row>
    <row r="1635" customFormat="false" ht="15" hidden="false" customHeight="true" outlineLevel="0" collapsed="false">
      <c r="A1635" s="42"/>
      <c r="B1635" s="42"/>
      <c r="C1635" s="42"/>
      <c r="D1635" s="42"/>
      <c r="E1635" s="42"/>
      <c r="F1635" s="51" t="n">
        <f aca="false">IF(OR(C1635="",D1635="",E1635="",E1635=0),0,C1635*D1635/E1635)</f>
        <v>0</v>
      </c>
      <c r="G1635" s="42"/>
      <c r="H1635" s="49" t="n">
        <f aca="true">IF(OR($A1635="",_xlfn.MINIFS($B$3:$B$5000,$A$3:$A$5000,$A1635,$B$3:$B$5000,"&gt;"&amp;$B1635)=0),NOW(),_xlfn.MINIFS($B$3:$B$5000,$A$3:$A$5000,$A1635,$B$3:$B$5000,"&gt;"&amp;$B1635))</f>
        <v>46279.5987643584</v>
      </c>
    </row>
    <row r="1636" customFormat="false" ht="15" hidden="false" customHeight="true" outlineLevel="0" collapsed="false">
      <c r="A1636" s="42"/>
      <c r="B1636" s="42"/>
      <c r="C1636" s="42"/>
      <c r="D1636" s="42"/>
      <c r="E1636" s="42"/>
      <c r="F1636" s="51" t="n">
        <f aca="false">IF(OR(C1636="",D1636="",E1636="",E1636=0),0,C1636*D1636/E1636)</f>
        <v>0</v>
      </c>
      <c r="G1636" s="42"/>
      <c r="H1636" s="49" t="n">
        <f aca="true">IF(OR($A1636="",_xlfn.MINIFS($B$3:$B$5000,$A$3:$A$5000,$A1636,$B$3:$B$5000,"&gt;"&amp;$B1636)=0),NOW(),_xlfn.MINIFS($B$3:$B$5000,$A$3:$A$5000,$A1636,$B$3:$B$5000,"&gt;"&amp;$B1636))</f>
        <v>46279.5987643585</v>
      </c>
    </row>
    <row r="1637" customFormat="false" ht="15" hidden="false" customHeight="true" outlineLevel="0" collapsed="false">
      <c r="A1637" s="42"/>
      <c r="B1637" s="42"/>
      <c r="C1637" s="42"/>
      <c r="D1637" s="42"/>
      <c r="E1637" s="42"/>
      <c r="F1637" s="51" t="n">
        <f aca="false">IF(OR(C1637="",D1637="",E1637="",E1637=0),0,C1637*D1637/E1637)</f>
        <v>0</v>
      </c>
      <c r="G1637" s="42"/>
      <c r="H1637" s="49" t="n">
        <f aca="true">IF(OR($A1637="",_xlfn.MINIFS($B$3:$B$5000,$A$3:$A$5000,$A1637,$B$3:$B$5000,"&gt;"&amp;$B1637)=0),NOW(),_xlfn.MINIFS($B$3:$B$5000,$A$3:$A$5000,$A1637,$B$3:$B$5000,"&gt;"&amp;$B1637))</f>
        <v>46279.5987643585</v>
      </c>
    </row>
    <row r="1638" customFormat="false" ht="15" hidden="false" customHeight="true" outlineLevel="0" collapsed="false">
      <c r="A1638" s="42"/>
      <c r="B1638" s="42"/>
      <c r="C1638" s="42"/>
      <c r="D1638" s="42"/>
      <c r="E1638" s="42"/>
      <c r="F1638" s="51" t="n">
        <f aca="false">IF(OR(C1638="",D1638="",E1638="",E1638=0),0,C1638*D1638/E1638)</f>
        <v>0</v>
      </c>
      <c r="G1638" s="42"/>
      <c r="H1638" s="49" t="n">
        <f aca="true">IF(OR($A1638="",_xlfn.MINIFS($B$3:$B$5000,$A$3:$A$5000,$A1638,$B$3:$B$5000,"&gt;"&amp;$B1638)=0),NOW(),_xlfn.MINIFS($B$3:$B$5000,$A$3:$A$5000,$A1638,$B$3:$B$5000,"&gt;"&amp;$B1638))</f>
        <v>46279.5987643586</v>
      </c>
    </row>
    <row r="1639" customFormat="false" ht="15" hidden="false" customHeight="true" outlineLevel="0" collapsed="false">
      <c r="A1639" s="42"/>
      <c r="B1639" s="42"/>
      <c r="C1639" s="42"/>
      <c r="D1639" s="42"/>
      <c r="E1639" s="42"/>
      <c r="F1639" s="51" t="n">
        <f aca="false">IF(OR(C1639="",D1639="",E1639="",E1639=0),0,C1639*D1639/E1639)</f>
        <v>0</v>
      </c>
      <c r="G1639" s="42"/>
      <c r="H1639" s="49" t="n">
        <f aca="true">IF(OR($A1639="",_xlfn.MINIFS($B$3:$B$5000,$A$3:$A$5000,$A1639,$B$3:$B$5000,"&gt;"&amp;$B1639)=0),NOW(),_xlfn.MINIFS($B$3:$B$5000,$A$3:$A$5000,$A1639,$B$3:$B$5000,"&gt;"&amp;$B1639))</f>
        <v>46279.5987643586</v>
      </c>
    </row>
    <row r="1640" customFormat="false" ht="15" hidden="false" customHeight="true" outlineLevel="0" collapsed="false">
      <c r="A1640" s="42"/>
      <c r="B1640" s="42"/>
      <c r="C1640" s="42"/>
      <c r="D1640" s="42"/>
      <c r="E1640" s="42"/>
      <c r="F1640" s="51" t="n">
        <f aca="false">IF(OR(C1640="",D1640="",E1640="",E1640=0),0,C1640*D1640/E1640)</f>
        <v>0</v>
      </c>
      <c r="G1640" s="42"/>
      <c r="H1640" s="49" t="n">
        <f aca="true">IF(OR($A1640="",_xlfn.MINIFS($B$3:$B$5000,$A$3:$A$5000,$A1640,$B$3:$B$5000,"&gt;"&amp;$B1640)=0),NOW(),_xlfn.MINIFS($B$3:$B$5000,$A$3:$A$5000,$A1640,$B$3:$B$5000,"&gt;"&amp;$B1640))</f>
        <v>46279.5987643587</v>
      </c>
    </row>
    <row r="1641" customFormat="false" ht="15" hidden="false" customHeight="true" outlineLevel="0" collapsed="false">
      <c r="A1641" s="42"/>
      <c r="B1641" s="42"/>
      <c r="C1641" s="42"/>
      <c r="D1641" s="42"/>
      <c r="E1641" s="42"/>
      <c r="F1641" s="51" t="n">
        <f aca="false">IF(OR(C1641="",D1641="",E1641="",E1641=0),0,C1641*D1641/E1641)</f>
        <v>0</v>
      </c>
      <c r="G1641" s="42"/>
      <c r="H1641" s="49" t="n">
        <f aca="true">IF(OR($A1641="",_xlfn.MINIFS($B$3:$B$5000,$A$3:$A$5000,$A1641,$B$3:$B$5000,"&gt;"&amp;$B1641)=0),NOW(),_xlfn.MINIFS($B$3:$B$5000,$A$3:$A$5000,$A1641,$B$3:$B$5000,"&gt;"&amp;$B1641))</f>
        <v>46279.5987643587</v>
      </c>
    </row>
    <row r="1642" customFormat="false" ht="15" hidden="false" customHeight="true" outlineLevel="0" collapsed="false">
      <c r="A1642" s="42"/>
      <c r="B1642" s="42"/>
      <c r="C1642" s="42"/>
      <c r="D1642" s="42"/>
      <c r="E1642" s="42"/>
      <c r="F1642" s="51" t="n">
        <f aca="false">IF(OR(C1642="",D1642="",E1642="",E1642=0),0,C1642*D1642/E1642)</f>
        <v>0</v>
      </c>
      <c r="G1642" s="42"/>
      <c r="H1642" s="49" t="n">
        <f aca="true">IF(OR($A1642="",_xlfn.MINIFS($B$3:$B$5000,$A$3:$A$5000,$A1642,$B$3:$B$5000,"&gt;"&amp;$B1642)=0),NOW(),_xlfn.MINIFS($B$3:$B$5000,$A$3:$A$5000,$A1642,$B$3:$B$5000,"&gt;"&amp;$B1642))</f>
        <v>46279.5987643588</v>
      </c>
    </row>
    <row r="1643" customFormat="false" ht="15" hidden="false" customHeight="true" outlineLevel="0" collapsed="false">
      <c r="A1643" s="42"/>
      <c r="B1643" s="42"/>
      <c r="C1643" s="42"/>
      <c r="D1643" s="42"/>
      <c r="E1643" s="42"/>
      <c r="F1643" s="51" t="n">
        <f aca="false">IF(OR(C1643="",D1643="",E1643="",E1643=0),0,C1643*D1643/E1643)</f>
        <v>0</v>
      </c>
      <c r="G1643" s="42"/>
      <c r="H1643" s="49" t="n">
        <f aca="true">IF(OR($A1643="",_xlfn.MINIFS($B$3:$B$5000,$A$3:$A$5000,$A1643,$B$3:$B$5000,"&gt;"&amp;$B1643)=0),NOW(),_xlfn.MINIFS($B$3:$B$5000,$A$3:$A$5000,$A1643,$B$3:$B$5000,"&gt;"&amp;$B1643))</f>
        <v>46279.5987643588</v>
      </c>
    </row>
    <row r="1644" customFormat="false" ht="15" hidden="false" customHeight="true" outlineLevel="0" collapsed="false">
      <c r="A1644" s="42"/>
      <c r="B1644" s="42"/>
      <c r="C1644" s="42"/>
      <c r="D1644" s="42"/>
      <c r="E1644" s="42"/>
      <c r="F1644" s="51" t="n">
        <f aca="false">IF(OR(C1644="",D1644="",E1644="",E1644=0),0,C1644*D1644/E1644)</f>
        <v>0</v>
      </c>
      <c r="G1644" s="42"/>
      <c r="H1644" s="49" t="n">
        <f aca="true">IF(OR($A1644="",_xlfn.MINIFS($B$3:$B$5000,$A$3:$A$5000,$A1644,$B$3:$B$5000,"&gt;"&amp;$B1644)=0),NOW(),_xlfn.MINIFS($B$3:$B$5000,$A$3:$A$5000,$A1644,$B$3:$B$5000,"&gt;"&amp;$B1644))</f>
        <v>46279.5987643589</v>
      </c>
    </row>
    <row r="1645" customFormat="false" ht="15" hidden="false" customHeight="true" outlineLevel="0" collapsed="false">
      <c r="A1645" s="42"/>
      <c r="B1645" s="42"/>
      <c r="C1645" s="42"/>
      <c r="D1645" s="42"/>
      <c r="E1645" s="42"/>
      <c r="F1645" s="51" t="n">
        <f aca="false">IF(OR(C1645="",D1645="",E1645="",E1645=0),0,C1645*D1645/E1645)</f>
        <v>0</v>
      </c>
      <c r="G1645" s="42"/>
      <c r="H1645" s="49" t="n">
        <f aca="true">IF(OR($A1645="",_xlfn.MINIFS($B$3:$B$5000,$A$3:$A$5000,$A1645,$B$3:$B$5000,"&gt;"&amp;$B1645)=0),NOW(),_xlfn.MINIFS($B$3:$B$5000,$A$3:$A$5000,$A1645,$B$3:$B$5000,"&gt;"&amp;$B1645))</f>
        <v>46279.5987643589</v>
      </c>
    </row>
    <row r="1646" customFormat="false" ht="15" hidden="false" customHeight="true" outlineLevel="0" collapsed="false">
      <c r="A1646" s="42"/>
      <c r="B1646" s="42"/>
      <c r="C1646" s="42"/>
      <c r="D1646" s="42"/>
      <c r="E1646" s="42"/>
      <c r="F1646" s="51" t="n">
        <f aca="false">IF(OR(C1646="",D1646="",E1646="",E1646=0),0,C1646*D1646/E1646)</f>
        <v>0</v>
      </c>
      <c r="G1646" s="42"/>
      <c r="H1646" s="49" t="n">
        <f aca="true">IF(OR($A1646="",_xlfn.MINIFS($B$3:$B$5000,$A$3:$A$5000,$A1646,$B$3:$B$5000,"&gt;"&amp;$B1646)=0),NOW(),_xlfn.MINIFS($B$3:$B$5000,$A$3:$A$5000,$A1646,$B$3:$B$5000,"&gt;"&amp;$B1646))</f>
        <v>46279.598764359</v>
      </c>
    </row>
    <row r="1647" customFormat="false" ht="15" hidden="false" customHeight="true" outlineLevel="0" collapsed="false">
      <c r="A1647" s="42"/>
      <c r="B1647" s="42"/>
      <c r="C1647" s="42"/>
      <c r="D1647" s="42"/>
      <c r="E1647" s="42"/>
      <c r="F1647" s="51" t="n">
        <f aca="false">IF(OR(C1647="",D1647="",E1647="",E1647=0),0,C1647*D1647/E1647)</f>
        <v>0</v>
      </c>
      <c r="G1647" s="42"/>
      <c r="H1647" s="49" t="n">
        <f aca="true">IF(OR($A1647="",_xlfn.MINIFS($B$3:$B$5000,$A$3:$A$5000,$A1647,$B$3:$B$5000,"&gt;"&amp;$B1647)=0),NOW(),_xlfn.MINIFS($B$3:$B$5000,$A$3:$A$5000,$A1647,$B$3:$B$5000,"&gt;"&amp;$B1647))</f>
        <v>46279.598764359</v>
      </c>
    </row>
    <row r="1648" customFormat="false" ht="15" hidden="false" customHeight="true" outlineLevel="0" collapsed="false">
      <c r="A1648" s="42"/>
      <c r="B1648" s="42"/>
      <c r="C1648" s="42"/>
      <c r="D1648" s="42"/>
      <c r="E1648" s="42"/>
      <c r="F1648" s="51" t="n">
        <f aca="false">IF(OR(C1648="",D1648="",E1648="",E1648=0),0,C1648*D1648/E1648)</f>
        <v>0</v>
      </c>
      <c r="G1648" s="42"/>
      <c r="H1648" s="49" t="n">
        <f aca="true">IF(OR($A1648="",_xlfn.MINIFS($B$3:$B$5000,$A$3:$A$5000,$A1648,$B$3:$B$5000,"&gt;"&amp;$B1648)=0),NOW(),_xlfn.MINIFS($B$3:$B$5000,$A$3:$A$5000,$A1648,$B$3:$B$5000,"&gt;"&amp;$B1648))</f>
        <v>46279.5987643591</v>
      </c>
    </row>
    <row r="1649" customFormat="false" ht="15" hidden="false" customHeight="true" outlineLevel="0" collapsed="false">
      <c r="A1649" s="42"/>
      <c r="B1649" s="42"/>
      <c r="C1649" s="42"/>
      <c r="D1649" s="42"/>
      <c r="E1649" s="42"/>
      <c r="F1649" s="51" t="n">
        <f aca="false">IF(OR(C1649="",D1649="",E1649="",E1649=0),0,C1649*D1649/E1649)</f>
        <v>0</v>
      </c>
      <c r="G1649" s="42"/>
      <c r="H1649" s="49" t="n">
        <f aca="true">IF(OR($A1649="",_xlfn.MINIFS($B$3:$B$5000,$A$3:$A$5000,$A1649,$B$3:$B$5000,"&gt;"&amp;$B1649)=0),NOW(),_xlfn.MINIFS($B$3:$B$5000,$A$3:$A$5000,$A1649,$B$3:$B$5000,"&gt;"&amp;$B1649))</f>
        <v>46279.5987643591</v>
      </c>
    </row>
    <row r="1650" customFormat="false" ht="15" hidden="false" customHeight="true" outlineLevel="0" collapsed="false">
      <c r="A1650" s="42"/>
      <c r="B1650" s="42"/>
      <c r="C1650" s="42"/>
      <c r="D1650" s="42"/>
      <c r="E1650" s="42"/>
      <c r="F1650" s="51" t="n">
        <f aca="false">IF(OR(C1650="",D1650="",E1650="",E1650=0),0,C1650*D1650/E1650)</f>
        <v>0</v>
      </c>
      <c r="G1650" s="42"/>
      <c r="H1650" s="49" t="n">
        <f aca="true">IF(OR($A1650="",_xlfn.MINIFS($B$3:$B$5000,$A$3:$A$5000,$A1650,$B$3:$B$5000,"&gt;"&amp;$B1650)=0),NOW(),_xlfn.MINIFS($B$3:$B$5000,$A$3:$A$5000,$A1650,$B$3:$B$5000,"&gt;"&amp;$B1650))</f>
        <v>46279.5987643592</v>
      </c>
    </row>
    <row r="1651" customFormat="false" ht="15" hidden="false" customHeight="true" outlineLevel="0" collapsed="false">
      <c r="A1651" s="42"/>
      <c r="B1651" s="42"/>
      <c r="C1651" s="42"/>
      <c r="D1651" s="42"/>
      <c r="E1651" s="42"/>
      <c r="F1651" s="51" t="n">
        <f aca="false">IF(OR(C1651="",D1651="",E1651="",E1651=0),0,C1651*D1651/E1651)</f>
        <v>0</v>
      </c>
      <c r="G1651" s="42"/>
      <c r="H1651" s="49" t="n">
        <f aca="true">IF(OR($A1651="",_xlfn.MINIFS($B$3:$B$5000,$A$3:$A$5000,$A1651,$B$3:$B$5000,"&gt;"&amp;$B1651)=0),NOW(),_xlfn.MINIFS($B$3:$B$5000,$A$3:$A$5000,$A1651,$B$3:$B$5000,"&gt;"&amp;$B1651))</f>
        <v>46279.5987643592</v>
      </c>
    </row>
    <row r="1652" customFormat="false" ht="15" hidden="false" customHeight="true" outlineLevel="0" collapsed="false">
      <c r="A1652" s="42"/>
      <c r="B1652" s="42"/>
      <c r="C1652" s="42"/>
      <c r="D1652" s="42"/>
      <c r="E1652" s="42"/>
      <c r="F1652" s="51" t="n">
        <f aca="false">IF(OR(C1652="",D1652="",E1652="",E1652=0),0,C1652*D1652/E1652)</f>
        <v>0</v>
      </c>
      <c r="G1652" s="42"/>
      <c r="H1652" s="49" t="n">
        <f aca="true">IF(OR($A1652="",_xlfn.MINIFS($B$3:$B$5000,$A$3:$A$5000,$A1652,$B$3:$B$5000,"&gt;"&amp;$B1652)=0),NOW(),_xlfn.MINIFS($B$3:$B$5000,$A$3:$A$5000,$A1652,$B$3:$B$5000,"&gt;"&amp;$B1652))</f>
        <v>46279.5987643593</v>
      </c>
    </row>
    <row r="1653" customFormat="false" ht="15" hidden="false" customHeight="true" outlineLevel="0" collapsed="false">
      <c r="A1653" s="42"/>
      <c r="B1653" s="42"/>
      <c r="C1653" s="42"/>
      <c r="D1653" s="42"/>
      <c r="E1653" s="42"/>
      <c r="F1653" s="51" t="n">
        <f aca="false">IF(OR(C1653="",D1653="",E1653="",E1653=0),0,C1653*D1653/E1653)</f>
        <v>0</v>
      </c>
      <c r="G1653" s="42"/>
      <c r="H1653" s="49" t="n">
        <f aca="true">IF(OR($A1653="",_xlfn.MINIFS($B$3:$B$5000,$A$3:$A$5000,$A1653,$B$3:$B$5000,"&gt;"&amp;$B1653)=0),NOW(),_xlfn.MINIFS($B$3:$B$5000,$A$3:$A$5000,$A1653,$B$3:$B$5000,"&gt;"&amp;$B1653))</f>
        <v>46279.5987643593</v>
      </c>
    </row>
    <row r="1654" customFormat="false" ht="15" hidden="false" customHeight="true" outlineLevel="0" collapsed="false">
      <c r="A1654" s="42"/>
      <c r="B1654" s="42"/>
      <c r="C1654" s="42"/>
      <c r="D1654" s="42"/>
      <c r="E1654" s="42"/>
      <c r="F1654" s="51" t="n">
        <f aca="false">IF(OR(C1654="",D1654="",E1654="",E1654=0),0,C1654*D1654/E1654)</f>
        <v>0</v>
      </c>
      <c r="G1654" s="42"/>
      <c r="H1654" s="49" t="n">
        <f aca="true">IF(OR($A1654="",_xlfn.MINIFS($B$3:$B$5000,$A$3:$A$5000,$A1654,$B$3:$B$5000,"&gt;"&amp;$B1654)=0),NOW(),_xlfn.MINIFS($B$3:$B$5000,$A$3:$A$5000,$A1654,$B$3:$B$5000,"&gt;"&amp;$B1654))</f>
        <v>46279.5987643594</v>
      </c>
    </row>
    <row r="1655" customFormat="false" ht="15" hidden="false" customHeight="true" outlineLevel="0" collapsed="false">
      <c r="A1655" s="42"/>
      <c r="B1655" s="42"/>
      <c r="C1655" s="42"/>
      <c r="D1655" s="42"/>
      <c r="E1655" s="42"/>
      <c r="F1655" s="51" t="n">
        <f aca="false">IF(OR(C1655="",D1655="",E1655="",E1655=0),0,C1655*D1655/E1655)</f>
        <v>0</v>
      </c>
      <c r="G1655" s="42"/>
      <c r="H1655" s="49" t="n">
        <f aca="true">IF(OR($A1655="",_xlfn.MINIFS($B$3:$B$5000,$A$3:$A$5000,$A1655,$B$3:$B$5000,"&gt;"&amp;$B1655)=0),NOW(),_xlfn.MINIFS($B$3:$B$5000,$A$3:$A$5000,$A1655,$B$3:$B$5000,"&gt;"&amp;$B1655))</f>
        <v>46279.5987643594</v>
      </c>
    </row>
    <row r="1656" customFormat="false" ht="15" hidden="false" customHeight="true" outlineLevel="0" collapsed="false">
      <c r="A1656" s="42"/>
      <c r="B1656" s="42"/>
      <c r="C1656" s="42"/>
      <c r="D1656" s="42"/>
      <c r="E1656" s="42"/>
      <c r="F1656" s="51" t="n">
        <f aca="false">IF(OR(C1656="",D1656="",E1656="",E1656=0),0,C1656*D1656/E1656)</f>
        <v>0</v>
      </c>
      <c r="G1656" s="42"/>
      <c r="H1656" s="49" t="n">
        <f aca="true">IF(OR($A1656="",_xlfn.MINIFS($B$3:$B$5000,$A$3:$A$5000,$A1656,$B$3:$B$5000,"&gt;"&amp;$B1656)=0),NOW(),_xlfn.MINIFS($B$3:$B$5000,$A$3:$A$5000,$A1656,$B$3:$B$5000,"&gt;"&amp;$B1656))</f>
        <v>46279.5987643595</v>
      </c>
    </row>
    <row r="1657" customFormat="false" ht="15" hidden="false" customHeight="true" outlineLevel="0" collapsed="false">
      <c r="A1657" s="42"/>
      <c r="B1657" s="42"/>
      <c r="C1657" s="42"/>
      <c r="D1657" s="42"/>
      <c r="E1657" s="42"/>
      <c r="F1657" s="51" t="n">
        <f aca="false">IF(OR(C1657="",D1657="",E1657="",E1657=0),0,C1657*D1657/E1657)</f>
        <v>0</v>
      </c>
      <c r="G1657" s="42"/>
      <c r="H1657" s="49" t="n">
        <f aca="true">IF(OR($A1657="",_xlfn.MINIFS($B$3:$B$5000,$A$3:$A$5000,$A1657,$B$3:$B$5000,"&gt;"&amp;$B1657)=0),NOW(),_xlfn.MINIFS($B$3:$B$5000,$A$3:$A$5000,$A1657,$B$3:$B$5000,"&gt;"&amp;$B1657))</f>
        <v>46279.5987643595</v>
      </c>
    </row>
    <row r="1658" customFormat="false" ht="15" hidden="false" customHeight="true" outlineLevel="0" collapsed="false">
      <c r="A1658" s="42"/>
      <c r="B1658" s="42"/>
      <c r="C1658" s="42"/>
      <c r="D1658" s="42"/>
      <c r="E1658" s="42"/>
      <c r="F1658" s="51" t="n">
        <f aca="false">IF(OR(C1658="",D1658="",E1658="",E1658=0),0,C1658*D1658/E1658)</f>
        <v>0</v>
      </c>
      <c r="G1658" s="42"/>
      <c r="H1658" s="49" t="n">
        <f aca="true">IF(OR($A1658="",_xlfn.MINIFS($B$3:$B$5000,$A$3:$A$5000,$A1658,$B$3:$B$5000,"&gt;"&amp;$B1658)=0),NOW(),_xlfn.MINIFS($B$3:$B$5000,$A$3:$A$5000,$A1658,$B$3:$B$5000,"&gt;"&amp;$B1658))</f>
        <v>46279.5987643596</v>
      </c>
    </row>
    <row r="1659" customFormat="false" ht="15" hidden="false" customHeight="true" outlineLevel="0" collapsed="false">
      <c r="A1659" s="42"/>
      <c r="B1659" s="42"/>
      <c r="C1659" s="42"/>
      <c r="D1659" s="42"/>
      <c r="E1659" s="42"/>
      <c r="F1659" s="51" t="n">
        <f aca="false">IF(OR(C1659="",D1659="",E1659="",E1659=0),0,C1659*D1659/E1659)</f>
        <v>0</v>
      </c>
      <c r="G1659" s="42"/>
      <c r="H1659" s="49" t="n">
        <f aca="true">IF(OR($A1659="",_xlfn.MINIFS($B$3:$B$5000,$A$3:$A$5000,$A1659,$B$3:$B$5000,"&gt;"&amp;$B1659)=0),NOW(),_xlfn.MINIFS($B$3:$B$5000,$A$3:$A$5000,$A1659,$B$3:$B$5000,"&gt;"&amp;$B1659))</f>
        <v>46279.5987643596</v>
      </c>
    </row>
    <row r="1660" customFormat="false" ht="15" hidden="false" customHeight="true" outlineLevel="0" collapsed="false">
      <c r="A1660" s="42"/>
      <c r="B1660" s="42"/>
      <c r="C1660" s="42"/>
      <c r="D1660" s="42"/>
      <c r="E1660" s="42"/>
      <c r="F1660" s="51" t="n">
        <f aca="false">IF(OR(C1660="",D1660="",E1660="",E1660=0),0,C1660*D1660/E1660)</f>
        <v>0</v>
      </c>
      <c r="G1660" s="42"/>
      <c r="H1660" s="49" t="n">
        <f aca="true">IF(OR($A1660="",_xlfn.MINIFS($B$3:$B$5000,$A$3:$A$5000,$A1660,$B$3:$B$5000,"&gt;"&amp;$B1660)=0),NOW(),_xlfn.MINIFS($B$3:$B$5000,$A$3:$A$5000,$A1660,$B$3:$B$5000,"&gt;"&amp;$B1660))</f>
        <v>46279.5987643597</v>
      </c>
    </row>
    <row r="1661" customFormat="false" ht="15" hidden="false" customHeight="true" outlineLevel="0" collapsed="false">
      <c r="A1661" s="42"/>
      <c r="B1661" s="42"/>
      <c r="C1661" s="42"/>
      <c r="D1661" s="42"/>
      <c r="E1661" s="42"/>
      <c r="F1661" s="51" t="n">
        <f aca="false">IF(OR(C1661="",D1661="",E1661="",E1661=0),0,C1661*D1661/E1661)</f>
        <v>0</v>
      </c>
      <c r="G1661" s="42"/>
      <c r="H1661" s="49" t="n">
        <f aca="true">IF(OR($A1661="",_xlfn.MINIFS($B$3:$B$5000,$A$3:$A$5000,$A1661,$B$3:$B$5000,"&gt;"&amp;$B1661)=0),NOW(),_xlfn.MINIFS($B$3:$B$5000,$A$3:$A$5000,$A1661,$B$3:$B$5000,"&gt;"&amp;$B1661))</f>
        <v>46279.5987643597</v>
      </c>
    </row>
    <row r="1662" customFormat="false" ht="15" hidden="false" customHeight="true" outlineLevel="0" collapsed="false">
      <c r="A1662" s="42"/>
      <c r="B1662" s="42"/>
      <c r="C1662" s="42"/>
      <c r="D1662" s="42"/>
      <c r="E1662" s="42"/>
      <c r="F1662" s="51" t="n">
        <f aca="false">IF(OR(C1662="",D1662="",E1662="",E1662=0),0,C1662*D1662/E1662)</f>
        <v>0</v>
      </c>
      <c r="G1662" s="42"/>
      <c r="H1662" s="49" t="n">
        <f aca="true">IF(OR($A1662="",_xlfn.MINIFS($B$3:$B$5000,$A$3:$A$5000,$A1662,$B$3:$B$5000,"&gt;"&amp;$B1662)=0),NOW(),_xlfn.MINIFS($B$3:$B$5000,$A$3:$A$5000,$A1662,$B$3:$B$5000,"&gt;"&amp;$B1662))</f>
        <v>46279.5987643598</v>
      </c>
    </row>
    <row r="1663" customFormat="false" ht="15" hidden="false" customHeight="true" outlineLevel="0" collapsed="false">
      <c r="A1663" s="42"/>
      <c r="B1663" s="42"/>
      <c r="C1663" s="42"/>
      <c r="D1663" s="42"/>
      <c r="E1663" s="42"/>
      <c r="F1663" s="51" t="n">
        <f aca="false">IF(OR(C1663="",D1663="",E1663="",E1663=0),0,C1663*D1663/E1663)</f>
        <v>0</v>
      </c>
      <c r="G1663" s="42"/>
      <c r="H1663" s="49" t="n">
        <f aca="true">IF(OR($A1663="",_xlfn.MINIFS($B$3:$B$5000,$A$3:$A$5000,$A1663,$B$3:$B$5000,"&gt;"&amp;$B1663)=0),NOW(),_xlfn.MINIFS($B$3:$B$5000,$A$3:$A$5000,$A1663,$B$3:$B$5000,"&gt;"&amp;$B1663))</f>
        <v>46279.5987643598</v>
      </c>
    </row>
    <row r="1664" customFormat="false" ht="15" hidden="false" customHeight="true" outlineLevel="0" collapsed="false">
      <c r="A1664" s="42"/>
      <c r="B1664" s="42"/>
      <c r="C1664" s="42"/>
      <c r="D1664" s="42"/>
      <c r="E1664" s="42"/>
      <c r="F1664" s="51" t="n">
        <f aca="false">IF(OR(C1664="",D1664="",E1664="",E1664=0),0,C1664*D1664/E1664)</f>
        <v>0</v>
      </c>
      <c r="G1664" s="42"/>
      <c r="H1664" s="49" t="n">
        <f aca="true">IF(OR($A1664="",_xlfn.MINIFS($B$3:$B$5000,$A$3:$A$5000,$A1664,$B$3:$B$5000,"&gt;"&amp;$B1664)=0),NOW(),_xlfn.MINIFS($B$3:$B$5000,$A$3:$A$5000,$A1664,$B$3:$B$5000,"&gt;"&amp;$B1664))</f>
        <v>46279.5987643599</v>
      </c>
    </row>
    <row r="1665" customFormat="false" ht="15" hidden="false" customHeight="true" outlineLevel="0" collapsed="false">
      <c r="A1665" s="42"/>
      <c r="B1665" s="42"/>
      <c r="C1665" s="42"/>
      <c r="D1665" s="42"/>
      <c r="E1665" s="42"/>
      <c r="F1665" s="51" t="n">
        <f aca="false">IF(OR(C1665="",D1665="",E1665="",E1665=0),0,C1665*D1665/E1665)</f>
        <v>0</v>
      </c>
      <c r="G1665" s="42"/>
      <c r="H1665" s="49" t="n">
        <f aca="true">IF(OR($A1665="",_xlfn.MINIFS($B$3:$B$5000,$A$3:$A$5000,$A1665,$B$3:$B$5000,"&gt;"&amp;$B1665)=0),NOW(),_xlfn.MINIFS($B$3:$B$5000,$A$3:$A$5000,$A1665,$B$3:$B$5000,"&gt;"&amp;$B1665))</f>
        <v>46279.59876436</v>
      </c>
    </row>
    <row r="1666" customFormat="false" ht="15" hidden="false" customHeight="true" outlineLevel="0" collapsed="false">
      <c r="A1666" s="42"/>
      <c r="B1666" s="42"/>
      <c r="C1666" s="42"/>
      <c r="D1666" s="42"/>
      <c r="E1666" s="42"/>
      <c r="F1666" s="51" t="n">
        <f aca="false">IF(OR(C1666="",D1666="",E1666="",E1666=0),0,C1666*D1666/E1666)</f>
        <v>0</v>
      </c>
      <c r="G1666" s="42"/>
      <c r="H1666" s="49" t="n">
        <f aca="true">IF(OR($A1666="",_xlfn.MINIFS($B$3:$B$5000,$A$3:$A$5000,$A1666,$B$3:$B$5000,"&gt;"&amp;$B1666)=0),NOW(),_xlfn.MINIFS($B$3:$B$5000,$A$3:$A$5000,$A1666,$B$3:$B$5000,"&gt;"&amp;$B1666))</f>
        <v>46279.59876436</v>
      </c>
    </row>
    <row r="1667" customFormat="false" ht="15" hidden="false" customHeight="true" outlineLevel="0" collapsed="false">
      <c r="A1667" s="42"/>
      <c r="B1667" s="42"/>
      <c r="C1667" s="42"/>
      <c r="D1667" s="42"/>
      <c r="E1667" s="42"/>
      <c r="F1667" s="51" t="n">
        <f aca="false">IF(OR(C1667="",D1667="",E1667="",E1667=0),0,C1667*D1667/E1667)</f>
        <v>0</v>
      </c>
      <c r="G1667" s="42"/>
      <c r="H1667" s="49" t="n">
        <f aca="true">IF(OR($A1667="",_xlfn.MINIFS($B$3:$B$5000,$A$3:$A$5000,$A1667,$B$3:$B$5000,"&gt;"&amp;$B1667)=0),NOW(),_xlfn.MINIFS($B$3:$B$5000,$A$3:$A$5000,$A1667,$B$3:$B$5000,"&gt;"&amp;$B1667))</f>
        <v>46279.5987643601</v>
      </c>
    </row>
    <row r="1668" customFormat="false" ht="15" hidden="false" customHeight="true" outlineLevel="0" collapsed="false">
      <c r="A1668" s="42"/>
      <c r="B1668" s="42"/>
      <c r="C1668" s="42"/>
      <c r="D1668" s="42"/>
      <c r="E1668" s="42"/>
      <c r="F1668" s="51" t="n">
        <f aca="false">IF(OR(C1668="",D1668="",E1668="",E1668=0),0,C1668*D1668/E1668)</f>
        <v>0</v>
      </c>
      <c r="G1668" s="42"/>
      <c r="H1668" s="49" t="n">
        <f aca="true">IF(OR($A1668="",_xlfn.MINIFS($B$3:$B$5000,$A$3:$A$5000,$A1668,$B$3:$B$5000,"&gt;"&amp;$B1668)=0),NOW(),_xlfn.MINIFS($B$3:$B$5000,$A$3:$A$5000,$A1668,$B$3:$B$5000,"&gt;"&amp;$B1668))</f>
        <v>46279.5987643602</v>
      </c>
    </row>
    <row r="1669" customFormat="false" ht="15" hidden="false" customHeight="true" outlineLevel="0" collapsed="false">
      <c r="A1669" s="42"/>
      <c r="B1669" s="42"/>
      <c r="C1669" s="42"/>
      <c r="D1669" s="42"/>
      <c r="E1669" s="42"/>
      <c r="F1669" s="51" t="n">
        <f aca="false">IF(OR(C1669="",D1669="",E1669="",E1669=0),0,C1669*D1669/E1669)</f>
        <v>0</v>
      </c>
      <c r="G1669" s="42"/>
      <c r="H1669" s="49" t="n">
        <f aca="true">IF(OR($A1669="",_xlfn.MINIFS($B$3:$B$5000,$A$3:$A$5000,$A1669,$B$3:$B$5000,"&gt;"&amp;$B1669)=0),NOW(),_xlfn.MINIFS($B$3:$B$5000,$A$3:$A$5000,$A1669,$B$3:$B$5000,"&gt;"&amp;$B1669))</f>
        <v>46279.5987643602</v>
      </c>
    </row>
    <row r="1670" customFormat="false" ht="15" hidden="false" customHeight="true" outlineLevel="0" collapsed="false">
      <c r="A1670" s="42"/>
      <c r="B1670" s="42"/>
      <c r="C1670" s="42"/>
      <c r="D1670" s="42"/>
      <c r="E1670" s="42"/>
      <c r="F1670" s="51" t="n">
        <f aca="false">IF(OR(C1670="",D1670="",E1670="",E1670=0),0,C1670*D1670/E1670)</f>
        <v>0</v>
      </c>
      <c r="G1670" s="42"/>
      <c r="H1670" s="49" t="n">
        <f aca="true">IF(OR($A1670="",_xlfn.MINIFS($B$3:$B$5000,$A$3:$A$5000,$A1670,$B$3:$B$5000,"&gt;"&amp;$B1670)=0),NOW(),_xlfn.MINIFS($B$3:$B$5000,$A$3:$A$5000,$A1670,$B$3:$B$5000,"&gt;"&amp;$B1670))</f>
        <v>46279.5987643603</v>
      </c>
    </row>
    <row r="1671" customFormat="false" ht="15" hidden="false" customHeight="true" outlineLevel="0" collapsed="false">
      <c r="A1671" s="42"/>
      <c r="B1671" s="42"/>
      <c r="C1671" s="42"/>
      <c r="D1671" s="42"/>
      <c r="E1671" s="42"/>
      <c r="F1671" s="51" t="n">
        <f aca="false">IF(OR(C1671="",D1671="",E1671="",E1671=0),0,C1671*D1671/E1671)</f>
        <v>0</v>
      </c>
      <c r="G1671" s="42"/>
      <c r="H1671" s="49" t="n">
        <f aca="true">IF(OR($A1671="",_xlfn.MINIFS($B$3:$B$5000,$A$3:$A$5000,$A1671,$B$3:$B$5000,"&gt;"&amp;$B1671)=0),NOW(),_xlfn.MINIFS($B$3:$B$5000,$A$3:$A$5000,$A1671,$B$3:$B$5000,"&gt;"&amp;$B1671))</f>
        <v>46279.5987643603</v>
      </c>
    </row>
    <row r="1672" customFormat="false" ht="15" hidden="false" customHeight="true" outlineLevel="0" collapsed="false">
      <c r="A1672" s="42"/>
      <c r="B1672" s="42"/>
      <c r="C1672" s="42"/>
      <c r="D1672" s="42"/>
      <c r="E1672" s="42"/>
      <c r="F1672" s="51" t="n">
        <f aca="false">IF(OR(C1672="",D1672="",E1672="",E1672=0),0,C1672*D1672/E1672)</f>
        <v>0</v>
      </c>
      <c r="G1672" s="42"/>
      <c r="H1672" s="49" t="n">
        <f aca="true">IF(OR($A1672="",_xlfn.MINIFS($B$3:$B$5000,$A$3:$A$5000,$A1672,$B$3:$B$5000,"&gt;"&amp;$B1672)=0),NOW(),_xlfn.MINIFS($B$3:$B$5000,$A$3:$A$5000,$A1672,$B$3:$B$5000,"&gt;"&amp;$B1672))</f>
        <v>46279.5987643604</v>
      </c>
    </row>
    <row r="1673" customFormat="false" ht="15" hidden="false" customHeight="true" outlineLevel="0" collapsed="false">
      <c r="A1673" s="42"/>
      <c r="B1673" s="42"/>
      <c r="C1673" s="42"/>
      <c r="D1673" s="42"/>
      <c r="E1673" s="42"/>
      <c r="F1673" s="51" t="n">
        <f aca="false">IF(OR(C1673="",D1673="",E1673="",E1673=0),0,C1673*D1673/E1673)</f>
        <v>0</v>
      </c>
      <c r="G1673" s="42"/>
      <c r="H1673" s="49" t="n">
        <f aca="true">IF(OR($A1673="",_xlfn.MINIFS($B$3:$B$5000,$A$3:$A$5000,$A1673,$B$3:$B$5000,"&gt;"&amp;$B1673)=0),NOW(),_xlfn.MINIFS($B$3:$B$5000,$A$3:$A$5000,$A1673,$B$3:$B$5000,"&gt;"&amp;$B1673))</f>
        <v>46279.5987643604</v>
      </c>
    </row>
    <row r="1674" customFormat="false" ht="15" hidden="false" customHeight="true" outlineLevel="0" collapsed="false">
      <c r="A1674" s="42"/>
      <c r="B1674" s="42"/>
      <c r="C1674" s="42"/>
      <c r="D1674" s="42"/>
      <c r="E1674" s="42"/>
      <c r="F1674" s="51" t="n">
        <f aca="false">IF(OR(C1674="",D1674="",E1674="",E1674=0),0,C1674*D1674/E1674)</f>
        <v>0</v>
      </c>
      <c r="G1674" s="42"/>
      <c r="H1674" s="49" t="n">
        <f aca="true">IF(OR($A1674="",_xlfn.MINIFS($B$3:$B$5000,$A$3:$A$5000,$A1674,$B$3:$B$5000,"&gt;"&amp;$B1674)=0),NOW(),_xlfn.MINIFS($B$3:$B$5000,$A$3:$A$5000,$A1674,$B$3:$B$5000,"&gt;"&amp;$B1674))</f>
        <v>46279.5987643605</v>
      </c>
    </row>
    <row r="1675" customFormat="false" ht="15" hidden="false" customHeight="true" outlineLevel="0" collapsed="false">
      <c r="A1675" s="42"/>
      <c r="B1675" s="42"/>
      <c r="C1675" s="42"/>
      <c r="D1675" s="42"/>
      <c r="E1675" s="42"/>
      <c r="F1675" s="51" t="n">
        <f aca="false">IF(OR(C1675="",D1675="",E1675="",E1675=0),0,C1675*D1675/E1675)</f>
        <v>0</v>
      </c>
      <c r="G1675" s="42"/>
      <c r="H1675" s="49" t="n">
        <f aca="true">IF(OR($A1675="",_xlfn.MINIFS($B$3:$B$5000,$A$3:$A$5000,$A1675,$B$3:$B$5000,"&gt;"&amp;$B1675)=0),NOW(),_xlfn.MINIFS($B$3:$B$5000,$A$3:$A$5000,$A1675,$B$3:$B$5000,"&gt;"&amp;$B1675))</f>
        <v>46279.5987643605</v>
      </c>
    </row>
    <row r="1676" customFormat="false" ht="15" hidden="false" customHeight="true" outlineLevel="0" collapsed="false">
      <c r="A1676" s="42"/>
      <c r="B1676" s="42"/>
      <c r="C1676" s="42"/>
      <c r="D1676" s="42"/>
      <c r="E1676" s="42"/>
      <c r="F1676" s="51" t="n">
        <f aca="false">IF(OR(C1676="",D1676="",E1676="",E1676=0),0,C1676*D1676/E1676)</f>
        <v>0</v>
      </c>
      <c r="G1676" s="42"/>
      <c r="H1676" s="49" t="n">
        <f aca="true">IF(OR($A1676="",_xlfn.MINIFS($B$3:$B$5000,$A$3:$A$5000,$A1676,$B$3:$B$5000,"&gt;"&amp;$B1676)=0),NOW(),_xlfn.MINIFS($B$3:$B$5000,$A$3:$A$5000,$A1676,$B$3:$B$5000,"&gt;"&amp;$B1676))</f>
        <v>46279.5987643606</v>
      </c>
    </row>
    <row r="1677" customFormat="false" ht="15" hidden="false" customHeight="true" outlineLevel="0" collapsed="false">
      <c r="A1677" s="42"/>
      <c r="B1677" s="42"/>
      <c r="C1677" s="42"/>
      <c r="D1677" s="42"/>
      <c r="E1677" s="42"/>
      <c r="F1677" s="51" t="n">
        <f aca="false">IF(OR(C1677="",D1677="",E1677="",E1677=0),0,C1677*D1677/E1677)</f>
        <v>0</v>
      </c>
      <c r="G1677" s="42"/>
      <c r="H1677" s="49" t="n">
        <f aca="true">IF(OR($A1677="",_xlfn.MINIFS($B$3:$B$5000,$A$3:$A$5000,$A1677,$B$3:$B$5000,"&gt;"&amp;$B1677)=0),NOW(),_xlfn.MINIFS($B$3:$B$5000,$A$3:$A$5000,$A1677,$B$3:$B$5000,"&gt;"&amp;$B1677))</f>
        <v>46279.5987643606</v>
      </c>
    </row>
    <row r="1678" customFormat="false" ht="15" hidden="false" customHeight="true" outlineLevel="0" collapsed="false">
      <c r="A1678" s="42"/>
      <c r="B1678" s="42"/>
      <c r="C1678" s="42"/>
      <c r="D1678" s="42"/>
      <c r="E1678" s="42"/>
      <c r="F1678" s="51" t="n">
        <f aca="false">IF(OR(C1678="",D1678="",E1678="",E1678=0),0,C1678*D1678/E1678)</f>
        <v>0</v>
      </c>
      <c r="G1678" s="42"/>
      <c r="H1678" s="49" t="n">
        <f aca="true">IF(OR($A1678="",_xlfn.MINIFS($B$3:$B$5000,$A$3:$A$5000,$A1678,$B$3:$B$5000,"&gt;"&amp;$B1678)=0),NOW(),_xlfn.MINIFS($B$3:$B$5000,$A$3:$A$5000,$A1678,$B$3:$B$5000,"&gt;"&amp;$B1678))</f>
        <v>46279.5987643607</v>
      </c>
    </row>
    <row r="1679" customFormat="false" ht="15" hidden="false" customHeight="true" outlineLevel="0" collapsed="false">
      <c r="A1679" s="42"/>
      <c r="B1679" s="42"/>
      <c r="C1679" s="42"/>
      <c r="D1679" s="42"/>
      <c r="E1679" s="42"/>
      <c r="F1679" s="51" t="n">
        <f aca="false">IF(OR(C1679="",D1679="",E1679="",E1679=0),0,C1679*D1679/E1679)</f>
        <v>0</v>
      </c>
      <c r="G1679" s="42"/>
      <c r="H1679" s="49" t="n">
        <f aca="true">IF(OR($A1679="",_xlfn.MINIFS($B$3:$B$5000,$A$3:$A$5000,$A1679,$B$3:$B$5000,"&gt;"&amp;$B1679)=0),NOW(),_xlfn.MINIFS($B$3:$B$5000,$A$3:$A$5000,$A1679,$B$3:$B$5000,"&gt;"&amp;$B1679))</f>
        <v>46279.5987643607</v>
      </c>
    </row>
    <row r="1680" customFormat="false" ht="15" hidden="false" customHeight="true" outlineLevel="0" collapsed="false">
      <c r="A1680" s="42"/>
      <c r="B1680" s="42"/>
      <c r="C1680" s="42"/>
      <c r="D1680" s="42"/>
      <c r="E1680" s="42"/>
      <c r="F1680" s="51" t="n">
        <f aca="false">IF(OR(C1680="",D1680="",E1680="",E1680=0),0,C1680*D1680/E1680)</f>
        <v>0</v>
      </c>
      <c r="G1680" s="42"/>
      <c r="H1680" s="49" t="n">
        <f aca="true">IF(OR($A1680="",_xlfn.MINIFS($B$3:$B$5000,$A$3:$A$5000,$A1680,$B$3:$B$5000,"&gt;"&amp;$B1680)=0),NOW(),_xlfn.MINIFS($B$3:$B$5000,$A$3:$A$5000,$A1680,$B$3:$B$5000,"&gt;"&amp;$B1680))</f>
        <v>46279.5987643608</v>
      </c>
    </row>
    <row r="1681" customFormat="false" ht="15" hidden="false" customHeight="true" outlineLevel="0" collapsed="false">
      <c r="A1681" s="42"/>
      <c r="B1681" s="42"/>
      <c r="C1681" s="42"/>
      <c r="D1681" s="42"/>
      <c r="E1681" s="42"/>
      <c r="F1681" s="51" t="n">
        <f aca="false">IF(OR(C1681="",D1681="",E1681="",E1681=0),0,C1681*D1681/E1681)</f>
        <v>0</v>
      </c>
      <c r="G1681" s="42"/>
      <c r="H1681" s="49" t="n">
        <f aca="true">IF(OR($A1681="",_xlfn.MINIFS($B$3:$B$5000,$A$3:$A$5000,$A1681,$B$3:$B$5000,"&gt;"&amp;$B1681)=0),NOW(),_xlfn.MINIFS($B$3:$B$5000,$A$3:$A$5000,$A1681,$B$3:$B$5000,"&gt;"&amp;$B1681))</f>
        <v>46279.5987643608</v>
      </c>
    </row>
    <row r="1682" customFormat="false" ht="15" hidden="false" customHeight="true" outlineLevel="0" collapsed="false">
      <c r="A1682" s="42"/>
      <c r="B1682" s="42"/>
      <c r="C1682" s="42"/>
      <c r="D1682" s="42"/>
      <c r="E1682" s="42"/>
      <c r="F1682" s="51" t="n">
        <f aca="false">IF(OR(C1682="",D1682="",E1682="",E1682=0),0,C1682*D1682/E1682)</f>
        <v>0</v>
      </c>
      <c r="G1682" s="42"/>
      <c r="H1682" s="49" t="n">
        <f aca="true">IF(OR($A1682="",_xlfn.MINIFS($B$3:$B$5000,$A$3:$A$5000,$A1682,$B$3:$B$5000,"&gt;"&amp;$B1682)=0),NOW(),_xlfn.MINIFS($B$3:$B$5000,$A$3:$A$5000,$A1682,$B$3:$B$5000,"&gt;"&amp;$B1682))</f>
        <v>46279.5987643609</v>
      </c>
    </row>
    <row r="1683" customFormat="false" ht="15" hidden="false" customHeight="true" outlineLevel="0" collapsed="false">
      <c r="A1683" s="42"/>
      <c r="B1683" s="42"/>
      <c r="C1683" s="42"/>
      <c r="D1683" s="42"/>
      <c r="E1683" s="42"/>
      <c r="F1683" s="51" t="n">
        <f aca="false">IF(OR(C1683="",D1683="",E1683="",E1683=0),0,C1683*D1683/E1683)</f>
        <v>0</v>
      </c>
      <c r="G1683" s="42"/>
      <c r="H1683" s="49" t="n">
        <f aca="true">IF(OR($A1683="",_xlfn.MINIFS($B$3:$B$5000,$A$3:$A$5000,$A1683,$B$3:$B$5000,"&gt;"&amp;$B1683)=0),NOW(),_xlfn.MINIFS($B$3:$B$5000,$A$3:$A$5000,$A1683,$B$3:$B$5000,"&gt;"&amp;$B1683))</f>
        <v>46279.5987643609</v>
      </c>
    </row>
    <row r="1684" customFormat="false" ht="15" hidden="false" customHeight="true" outlineLevel="0" collapsed="false">
      <c r="A1684" s="42"/>
      <c r="B1684" s="42"/>
      <c r="C1684" s="42"/>
      <c r="D1684" s="42"/>
      <c r="E1684" s="42"/>
      <c r="F1684" s="51" t="n">
        <f aca="false">IF(OR(C1684="",D1684="",E1684="",E1684=0),0,C1684*D1684/E1684)</f>
        <v>0</v>
      </c>
      <c r="G1684" s="42"/>
      <c r="H1684" s="49" t="n">
        <f aca="true">IF(OR($A1684="",_xlfn.MINIFS($B$3:$B$5000,$A$3:$A$5000,$A1684,$B$3:$B$5000,"&gt;"&amp;$B1684)=0),NOW(),_xlfn.MINIFS($B$3:$B$5000,$A$3:$A$5000,$A1684,$B$3:$B$5000,"&gt;"&amp;$B1684))</f>
        <v>46279.598764361</v>
      </c>
    </row>
    <row r="1685" customFormat="false" ht="15" hidden="false" customHeight="true" outlineLevel="0" collapsed="false">
      <c r="A1685" s="42"/>
      <c r="B1685" s="42"/>
      <c r="C1685" s="42"/>
      <c r="D1685" s="42"/>
      <c r="E1685" s="42"/>
      <c r="F1685" s="51" t="n">
        <f aca="false">IF(OR(C1685="",D1685="",E1685="",E1685=0),0,C1685*D1685/E1685)</f>
        <v>0</v>
      </c>
      <c r="G1685" s="42"/>
      <c r="H1685" s="49" t="n">
        <f aca="true">IF(OR($A1685="",_xlfn.MINIFS($B$3:$B$5000,$A$3:$A$5000,$A1685,$B$3:$B$5000,"&gt;"&amp;$B1685)=0),NOW(),_xlfn.MINIFS($B$3:$B$5000,$A$3:$A$5000,$A1685,$B$3:$B$5000,"&gt;"&amp;$B1685))</f>
        <v>46279.598764361</v>
      </c>
    </row>
    <row r="1686" customFormat="false" ht="15" hidden="false" customHeight="true" outlineLevel="0" collapsed="false">
      <c r="A1686" s="42"/>
      <c r="B1686" s="42"/>
      <c r="C1686" s="42"/>
      <c r="D1686" s="42"/>
      <c r="E1686" s="42"/>
      <c r="F1686" s="51" t="n">
        <f aca="false">IF(OR(C1686="",D1686="",E1686="",E1686=0),0,C1686*D1686/E1686)</f>
        <v>0</v>
      </c>
      <c r="G1686" s="42"/>
      <c r="H1686" s="49" t="n">
        <f aca="true">IF(OR($A1686="",_xlfn.MINIFS($B$3:$B$5000,$A$3:$A$5000,$A1686,$B$3:$B$5000,"&gt;"&amp;$B1686)=0),NOW(),_xlfn.MINIFS($B$3:$B$5000,$A$3:$A$5000,$A1686,$B$3:$B$5000,"&gt;"&amp;$B1686))</f>
        <v>46279.5987643611</v>
      </c>
    </row>
    <row r="1687" customFormat="false" ht="15" hidden="false" customHeight="true" outlineLevel="0" collapsed="false">
      <c r="A1687" s="42"/>
      <c r="B1687" s="42"/>
      <c r="C1687" s="42"/>
      <c r="D1687" s="42"/>
      <c r="E1687" s="42"/>
      <c r="F1687" s="51" t="n">
        <f aca="false">IF(OR(C1687="",D1687="",E1687="",E1687=0),0,C1687*D1687/E1687)</f>
        <v>0</v>
      </c>
      <c r="G1687" s="42"/>
      <c r="H1687" s="49" t="n">
        <f aca="true">IF(OR($A1687="",_xlfn.MINIFS($B$3:$B$5000,$A$3:$A$5000,$A1687,$B$3:$B$5000,"&gt;"&amp;$B1687)=0),NOW(),_xlfn.MINIFS($B$3:$B$5000,$A$3:$A$5000,$A1687,$B$3:$B$5000,"&gt;"&amp;$B1687))</f>
        <v>46279.5987643611</v>
      </c>
    </row>
    <row r="1688" customFormat="false" ht="15" hidden="false" customHeight="true" outlineLevel="0" collapsed="false">
      <c r="A1688" s="42"/>
      <c r="B1688" s="42"/>
      <c r="C1688" s="42"/>
      <c r="D1688" s="42"/>
      <c r="E1688" s="42"/>
      <c r="F1688" s="51" t="n">
        <f aca="false">IF(OR(C1688="",D1688="",E1688="",E1688=0),0,C1688*D1688/E1688)</f>
        <v>0</v>
      </c>
      <c r="G1688" s="42"/>
      <c r="H1688" s="49" t="n">
        <f aca="true">IF(OR($A1688="",_xlfn.MINIFS($B$3:$B$5000,$A$3:$A$5000,$A1688,$B$3:$B$5000,"&gt;"&amp;$B1688)=0),NOW(),_xlfn.MINIFS($B$3:$B$5000,$A$3:$A$5000,$A1688,$B$3:$B$5000,"&gt;"&amp;$B1688))</f>
        <v>46279.5987643612</v>
      </c>
    </row>
    <row r="1689" customFormat="false" ht="15" hidden="false" customHeight="true" outlineLevel="0" collapsed="false">
      <c r="A1689" s="42"/>
      <c r="B1689" s="42"/>
      <c r="C1689" s="42"/>
      <c r="D1689" s="42"/>
      <c r="E1689" s="42"/>
      <c r="F1689" s="51" t="n">
        <f aca="false">IF(OR(C1689="",D1689="",E1689="",E1689=0),0,C1689*D1689/E1689)</f>
        <v>0</v>
      </c>
      <c r="G1689" s="42"/>
      <c r="H1689" s="49" t="n">
        <f aca="true">IF(OR($A1689="",_xlfn.MINIFS($B$3:$B$5000,$A$3:$A$5000,$A1689,$B$3:$B$5000,"&gt;"&amp;$B1689)=0),NOW(),_xlfn.MINIFS($B$3:$B$5000,$A$3:$A$5000,$A1689,$B$3:$B$5000,"&gt;"&amp;$B1689))</f>
        <v>46279.5987643612</v>
      </c>
    </row>
    <row r="1690" customFormat="false" ht="15" hidden="false" customHeight="true" outlineLevel="0" collapsed="false">
      <c r="A1690" s="42"/>
      <c r="B1690" s="42"/>
      <c r="C1690" s="42"/>
      <c r="D1690" s="42"/>
      <c r="E1690" s="42"/>
      <c r="F1690" s="51" t="n">
        <f aca="false">IF(OR(C1690="",D1690="",E1690="",E1690=0),0,C1690*D1690/E1690)</f>
        <v>0</v>
      </c>
      <c r="G1690" s="42"/>
      <c r="H1690" s="49" t="n">
        <f aca="true">IF(OR($A1690="",_xlfn.MINIFS($B$3:$B$5000,$A$3:$A$5000,$A1690,$B$3:$B$5000,"&gt;"&amp;$B1690)=0),NOW(),_xlfn.MINIFS($B$3:$B$5000,$A$3:$A$5000,$A1690,$B$3:$B$5000,"&gt;"&amp;$B1690))</f>
        <v>46279.5987643613</v>
      </c>
    </row>
    <row r="1691" customFormat="false" ht="15" hidden="false" customHeight="true" outlineLevel="0" collapsed="false">
      <c r="A1691" s="42"/>
      <c r="B1691" s="42"/>
      <c r="C1691" s="42"/>
      <c r="D1691" s="42"/>
      <c r="E1691" s="42"/>
      <c r="F1691" s="51" t="n">
        <f aca="false">IF(OR(C1691="",D1691="",E1691="",E1691=0),0,C1691*D1691/E1691)</f>
        <v>0</v>
      </c>
      <c r="G1691" s="42"/>
      <c r="H1691" s="49" t="n">
        <f aca="true">IF(OR($A1691="",_xlfn.MINIFS($B$3:$B$5000,$A$3:$A$5000,$A1691,$B$3:$B$5000,"&gt;"&amp;$B1691)=0),NOW(),_xlfn.MINIFS($B$3:$B$5000,$A$3:$A$5000,$A1691,$B$3:$B$5000,"&gt;"&amp;$B1691))</f>
        <v>46279.5987643613</v>
      </c>
    </row>
    <row r="1692" customFormat="false" ht="15" hidden="false" customHeight="true" outlineLevel="0" collapsed="false">
      <c r="A1692" s="42"/>
      <c r="B1692" s="42"/>
      <c r="C1692" s="42"/>
      <c r="D1692" s="42"/>
      <c r="E1692" s="42"/>
      <c r="F1692" s="51" t="n">
        <f aca="false">IF(OR(C1692="",D1692="",E1692="",E1692=0),0,C1692*D1692/E1692)</f>
        <v>0</v>
      </c>
      <c r="G1692" s="42"/>
      <c r="H1692" s="49" t="n">
        <f aca="true">IF(OR($A1692="",_xlfn.MINIFS($B$3:$B$5000,$A$3:$A$5000,$A1692,$B$3:$B$5000,"&gt;"&amp;$B1692)=0),NOW(),_xlfn.MINIFS($B$3:$B$5000,$A$3:$A$5000,$A1692,$B$3:$B$5000,"&gt;"&amp;$B1692))</f>
        <v>46279.5987643614</v>
      </c>
    </row>
    <row r="1693" customFormat="false" ht="15" hidden="false" customHeight="true" outlineLevel="0" collapsed="false">
      <c r="A1693" s="42"/>
      <c r="B1693" s="42"/>
      <c r="C1693" s="42"/>
      <c r="D1693" s="42"/>
      <c r="E1693" s="42"/>
      <c r="F1693" s="51" t="n">
        <f aca="false">IF(OR(C1693="",D1693="",E1693="",E1693=0),0,C1693*D1693/E1693)</f>
        <v>0</v>
      </c>
      <c r="G1693" s="42"/>
      <c r="H1693" s="49" t="n">
        <f aca="true">IF(OR($A1693="",_xlfn.MINIFS($B$3:$B$5000,$A$3:$A$5000,$A1693,$B$3:$B$5000,"&gt;"&amp;$B1693)=0),NOW(),_xlfn.MINIFS($B$3:$B$5000,$A$3:$A$5000,$A1693,$B$3:$B$5000,"&gt;"&amp;$B1693))</f>
        <v>46279.5987643614</v>
      </c>
    </row>
    <row r="1694" customFormat="false" ht="15" hidden="false" customHeight="true" outlineLevel="0" collapsed="false">
      <c r="A1694" s="42"/>
      <c r="B1694" s="42"/>
      <c r="C1694" s="42"/>
      <c r="D1694" s="42"/>
      <c r="E1694" s="42"/>
      <c r="F1694" s="51" t="n">
        <f aca="false">IF(OR(C1694="",D1694="",E1694="",E1694=0),0,C1694*D1694/E1694)</f>
        <v>0</v>
      </c>
      <c r="G1694" s="42"/>
      <c r="H1694" s="49" t="n">
        <f aca="true">IF(OR($A1694="",_xlfn.MINIFS($B$3:$B$5000,$A$3:$A$5000,$A1694,$B$3:$B$5000,"&gt;"&amp;$B1694)=0),NOW(),_xlfn.MINIFS($B$3:$B$5000,$A$3:$A$5000,$A1694,$B$3:$B$5000,"&gt;"&amp;$B1694))</f>
        <v>46279.5987643615</v>
      </c>
    </row>
    <row r="1695" customFormat="false" ht="15" hidden="false" customHeight="true" outlineLevel="0" collapsed="false">
      <c r="A1695" s="42"/>
      <c r="B1695" s="42"/>
      <c r="C1695" s="42"/>
      <c r="D1695" s="42"/>
      <c r="E1695" s="42"/>
      <c r="F1695" s="51" t="n">
        <f aca="false">IF(OR(C1695="",D1695="",E1695="",E1695=0),0,C1695*D1695/E1695)</f>
        <v>0</v>
      </c>
      <c r="G1695" s="42"/>
      <c r="H1695" s="49" t="n">
        <f aca="true">IF(OR($A1695="",_xlfn.MINIFS($B$3:$B$5000,$A$3:$A$5000,$A1695,$B$3:$B$5000,"&gt;"&amp;$B1695)=0),NOW(),_xlfn.MINIFS($B$3:$B$5000,$A$3:$A$5000,$A1695,$B$3:$B$5000,"&gt;"&amp;$B1695))</f>
        <v>46279.5987643617</v>
      </c>
    </row>
    <row r="1696" customFormat="false" ht="15" hidden="false" customHeight="true" outlineLevel="0" collapsed="false">
      <c r="A1696" s="42"/>
      <c r="B1696" s="42"/>
      <c r="C1696" s="42"/>
      <c r="D1696" s="42"/>
      <c r="E1696" s="42"/>
      <c r="F1696" s="51" t="n">
        <f aca="false">IF(OR(C1696="",D1696="",E1696="",E1696=0),0,C1696*D1696/E1696)</f>
        <v>0</v>
      </c>
      <c r="G1696" s="42"/>
      <c r="H1696" s="49" t="n">
        <f aca="true">IF(OR($A1696="",_xlfn.MINIFS($B$3:$B$5000,$A$3:$A$5000,$A1696,$B$3:$B$5000,"&gt;"&amp;$B1696)=0),NOW(),_xlfn.MINIFS($B$3:$B$5000,$A$3:$A$5000,$A1696,$B$3:$B$5000,"&gt;"&amp;$B1696))</f>
        <v>46279.5987643618</v>
      </c>
    </row>
    <row r="1697" customFormat="false" ht="15" hidden="false" customHeight="true" outlineLevel="0" collapsed="false">
      <c r="A1697" s="42"/>
      <c r="B1697" s="42"/>
      <c r="C1697" s="42"/>
      <c r="D1697" s="42"/>
      <c r="E1697" s="42"/>
      <c r="F1697" s="51" t="n">
        <f aca="false">IF(OR(C1697="",D1697="",E1697="",E1697=0),0,C1697*D1697/E1697)</f>
        <v>0</v>
      </c>
      <c r="G1697" s="42"/>
      <c r="H1697" s="49" t="n">
        <f aca="true">IF(OR($A1697="",_xlfn.MINIFS($B$3:$B$5000,$A$3:$A$5000,$A1697,$B$3:$B$5000,"&gt;"&amp;$B1697)=0),NOW(),_xlfn.MINIFS($B$3:$B$5000,$A$3:$A$5000,$A1697,$B$3:$B$5000,"&gt;"&amp;$B1697))</f>
        <v>46279.5987643618</v>
      </c>
    </row>
    <row r="1698" customFormat="false" ht="15" hidden="false" customHeight="true" outlineLevel="0" collapsed="false">
      <c r="A1698" s="42"/>
      <c r="B1698" s="42"/>
      <c r="C1698" s="42"/>
      <c r="D1698" s="42"/>
      <c r="E1698" s="42"/>
      <c r="F1698" s="51" t="n">
        <f aca="false">IF(OR(C1698="",D1698="",E1698="",E1698=0),0,C1698*D1698/E1698)</f>
        <v>0</v>
      </c>
      <c r="G1698" s="42"/>
      <c r="H1698" s="49" t="n">
        <f aca="true">IF(OR($A1698="",_xlfn.MINIFS($B$3:$B$5000,$A$3:$A$5000,$A1698,$B$3:$B$5000,"&gt;"&amp;$B1698)=0),NOW(),_xlfn.MINIFS($B$3:$B$5000,$A$3:$A$5000,$A1698,$B$3:$B$5000,"&gt;"&amp;$B1698))</f>
        <v>46279.5987643619</v>
      </c>
    </row>
    <row r="1699" customFormat="false" ht="15" hidden="false" customHeight="true" outlineLevel="0" collapsed="false">
      <c r="A1699" s="42"/>
      <c r="B1699" s="42"/>
      <c r="C1699" s="42"/>
      <c r="D1699" s="42"/>
      <c r="E1699" s="42"/>
      <c r="F1699" s="51" t="n">
        <f aca="false">IF(OR(C1699="",D1699="",E1699="",E1699=0),0,C1699*D1699/E1699)</f>
        <v>0</v>
      </c>
      <c r="G1699" s="42"/>
      <c r="H1699" s="49" t="n">
        <f aca="true">IF(OR($A1699="",_xlfn.MINIFS($B$3:$B$5000,$A$3:$A$5000,$A1699,$B$3:$B$5000,"&gt;"&amp;$B1699)=0),NOW(),_xlfn.MINIFS($B$3:$B$5000,$A$3:$A$5000,$A1699,$B$3:$B$5000,"&gt;"&amp;$B1699))</f>
        <v>46279.5987643619</v>
      </c>
    </row>
    <row r="1700" customFormat="false" ht="15" hidden="false" customHeight="true" outlineLevel="0" collapsed="false">
      <c r="A1700" s="42"/>
      <c r="B1700" s="42"/>
      <c r="C1700" s="42"/>
      <c r="D1700" s="42"/>
      <c r="E1700" s="42"/>
      <c r="F1700" s="51" t="n">
        <f aca="false">IF(OR(C1700="",D1700="",E1700="",E1700=0),0,C1700*D1700/E1700)</f>
        <v>0</v>
      </c>
      <c r="G1700" s="42"/>
      <c r="H1700" s="49" t="n">
        <f aca="true">IF(OR($A1700="",_xlfn.MINIFS($B$3:$B$5000,$A$3:$A$5000,$A1700,$B$3:$B$5000,"&gt;"&amp;$B1700)=0),NOW(),_xlfn.MINIFS($B$3:$B$5000,$A$3:$A$5000,$A1700,$B$3:$B$5000,"&gt;"&amp;$B1700))</f>
        <v>46279.598764362</v>
      </c>
    </row>
    <row r="1701" customFormat="false" ht="15" hidden="false" customHeight="true" outlineLevel="0" collapsed="false">
      <c r="A1701" s="42"/>
      <c r="B1701" s="42"/>
      <c r="C1701" s="42"/>
      <c r="D1701" s="42"/>
      <c r="E1701" s="42"/>
      <c r="F1701" s="51" t="n">
        <f aca="false">IF(OR(C1701="",D1701="",E1701="",E1701=0),0,C1701*D1701/E1701)</f>
        <v>0</v>
      </c>
      <c r="G1701" s="42"/>
      <c r="H1701" s="49" t="n">
        <f aca="true">IF(OR($A1701="",_xlfn.MINIFS($B$3:$B$5000,$A$3:$A$5000,$A1701,$B$3:$B$5000,"&gt;"&amp;$B1701)=0),NOW(),_xlfn.MINIFS($B$3:$B$5000,$A$3:$A$5000,$A1701,$B$3:$B$5000,"&gt;"&amp;$B1701))</f>
        <v>46279.598764362</v>
      </c>
    </row>
    <row r="1702" customFormat="false" ht="15" hidden="false" customHeight="true" outlineLevel="0" collapsed="false">
      <c r="A1702" s="42"/>
      <c r="B1702" s="42"/>
      <c r="C1702" s="42"/>
      <c r="D1702" s="42"/>
      <c r="E1702" s="42"/>
      <c r="F1702" s="51" t="n">
        <f aca="false">IF(OR(C1702="",D1702="",E1702="",E1702=0),0,C1702*D1702/E1702)</f>
        <v>0</v>
      </c>
      <c r="G1702" s="42"/>
      <c r="H1702" s="49" t="n">
        <f aca="true">IF(OR($A1702="",_xlfn.MINIFS($B$3:$B$5000,$A$3:$A$5000,$A1702,$B$3:$B$5000,"&gt;"&amp;$B1702)=0),NOW(),_xlfn.MINIFS($B$3:$B$5000,$A$3:$A$5000,$A1702,$B$3:$B$5000,"&gt;"&amp;$B1702))</f>
        <v>46279.5987643621</v>
      </c>
    </row>
    <row r="1703" customFormat="false" ht="15" hidden="false" customHeight="true" outlineLevel="0" collapsed="false">
      <c r="A1703" s="42"/>
      <c r="B1703" s="42"/>
      <c r="C1703" s="42"/>
      <c r="D1703" s="42"/>
      <c r="E1703" s="42"/>
      <c r="F1703" s="51" t="n">
        <f aca="false">IF(OR(C1703="",D1703="",E1703="",E1703=0),0,C1703*D1703/E1703)</f>
        <v>0</v>
      </c>
      <c r="G1703" s="42"/>
      <c r="H1703" s="49" t="n">
        <f aca="true">IF(OR($A1703="",_xlfn.MINIFS($B$3:$B$5000,$A$3:$A$5000,$A1703,$B$3:$B$5000,"&gt;"&amp;$B1703)=0),NOW(),_xlfn.MINIFS($B$3:$B$5000,$A$3:$A$5000,$A1703,$B$3:$B$5000,"&gt;"&amp;$B1703))</f>
        <v>46279.5987643621</v>
      </c>
    </row>
    <row r="1704" customFormat="false" ht="15" hidden="false" customHeight="true" outlineLevel="0" collapsed="false">
      <c r="A1704" s="42"/>
      <c r="B1704" s="42"/>
      <c r="C1704" s="42"/>
      <c r="D1704" s="42"/>
      <c r="E1704" s="42"/>
      <c r="F1704" s="51" t="n">
        <f aca="false">IF(OR(C1704="",D1704="",E1704="",E1704=0),0,C1704*D1704/E1704)</f>
        <v>0</v>
      </c>
      <c r="G1704" s="42"/>
      <c r="H1704" s="49" t="n">
        <f aca="true">IF(OR($A1704="",_xlfn.MINIFS($B$3:$B$5000,$A$3:$A$5000,$A1704,$B$3:$B$5000,"&gt;"&amp;$B1704)=0),NOW(),_xlfn.MINIFS($B$3:$B$5000,$A$3:$A$5000,$A1704,$B$3:$B$5000,"&gt;"&amp;$B1704))</f>
        <v>46279.5987643622</v>
      </c>
    </row>
    <row r="1705" customFormat="false" ht="15" hidden="false" customHeight="true" outlineLevel="0" collapsed="false">
      <c r="A1705" s="42"/>
      <c r="B1705" s="42"/>
      <c r="C1705" s="42"/>
      <c r="D1705" s="42"/>
      <c r="E1705" s="42"/>
      <c r="F1705" s="51" t="n">
        <f aca="false">IF(OR(C1705="",D1705="",E1705="",E1705=0),0,C1705*D1705/E1705)</f>
        <v>0</v>
      </c>
      <c r="G1705" s="42"/>
      <c r="H1705" s="49" t="n">
        <f aca="true">IF(OR($A1705="",_xlfn.MINIFS($B$3:$B$5000,$A$3:$A$5000,$A1705,$B$3:$B$5000,"&gt;"&amp;$B1705)=0),NOW(),_xlfn.MINIFS($B$3:$B$5000,$A$3:$A$5000,$A1705,$B$3:$B$5000,"&gt;"&amp;$B1705))</f>
        <v>46279.5987643622</v>
      </c>
    </row>
    <row r="1706" customFormat="false" ht="15" hidden="false" customHeight="true" outlineLevel="0" collapsed="false">
      <c r="A1706" s="42"/>
      <c r="B1706" s="42"/>
      <c r="C1706" s="42"/>
      <c r="D1706" s="42"/>
      <c r="E1706" s="42"/>
      <c r="F1706" s="51" t="n">
        <f aca="false">IF(OR(C1706="",D1706="",E1706="",E1706=0),0,C1706*D1706/E1706)</f>
        <v>0</v>
      </c>
      <c r="G1706" s="42"/>
      <c r="H1706" s="49" t="n">
        <f aca="true">IF(OR($A1706="",_xlfn.MINIFS($B$3:$B$5000,$A$3:$A$5000,$A1706,$B$3:$B$5000,"&gt;"&amp;$B1706)=0),NOW(),_xlfn.MINIFS($B$3:$B$5000,$A$3:$A$5000,$A1706,$B$3:$B$5000,"&gt;"&amp;$B1706))</f>
        <v>46279.5987643623</v>
      </c>
    </row>
    <row r="1707" customFormat="false" ht="15" hidden="false" customHeight="true" outlineLevel="0" collapsed="false">
      <c r="A1707" s="42"/>
      <c r="B1707" s="42"/>
      <c r="C1707" s="42"/>
      <c r="D1707" s="42"/>
      <c r="E1707" s="42"/>
      <c r="F1707" s="51" t="n">
        <f aca="false">IF(OR(C1707="",D1707="",E1707="",E1707=0),0,C1707*D1707/E1707)</f>
        <v>0</v>
      </c>
      <c r="G1707" s="42"/>
      <c r="H1707" s="49" t="n">
        <f aca="true">IF(OR($A1707="",_xlfn.MINIFS($B$3:$B$5000,$A$3:$A$5000,$A1707,$B$3:$B$5000,"&gt;"&amp;$B1707)=0),NOW(),_xlfn.MINIFS($B$3:$B$5000,$A$3:$A$5000,$A1707,$B$3:$B$5000,"&gt;"&amp;$B1707))</f>
        <v>46279.5987643623</v>
      </c>
    </row>
    <row r="1708" customFormat="false" ht="15" hidden="false" customHeight="true" outlineLevel="0" collapsed="false">
      <c r="A1708" s="42"/>
      <c r="B1708" s="42"/>
      <c r="C1708" s="42"/>
      <c r="D1708" s="42"/>
      <c r="E1708" s="42"/>
      <c r="F1708" s="51" t="n">
        <f aca="false">IF(OR(C1708="",D1708="",E1708="",E1708=0),0,C1708*D1708/E1708)</f>
        <v>0</v>
      </c>
      <c r="G1708" s="42"/>
      <c r="H1708" s="49" t="n">
        <f aca="true">IF(OR($A1708="",_xlfn.MINIFS($B$3:$B$5000,$A$3:$A$5000,$A1708,$B$3:$B$5000,"&gt;"&amp;$B1708)=0),NOW(),_xlfn.MINIFS($B$3:$B$5000,$A$3:$A$5000,$A1708,$B$3:$B$5000,"&gt;"&amp;$B1708))</f>
        <v>46279.5987643624</v>
      </c>
    </row>
    <row r="1709" customFormat="false" ht="15" hidden="false" customHeight="true" outlineLevel="0" collapsed="false">
      <c r="A1709" s="42"/>
      <c r="B1709" s="42"/>
      <c r="C1709" s="42"/>
      <c r="D1709" s="42"/>
      <c r="E1709" s="42"/>
      <c r="F1709" s="51" t="n">
        <f aca="false">IF(OR(C1709="",D1709="",E1709="",E1709=0),0,C1709*D1709/E1709)</f>
        <v>0</v>
      </c>
      <c r="G1709" s="42"/>
      <c r="H1709" s="49" t="n">
        <f aca="true">IF(OR($A1709="",_xlfn.MINIFS($B$3:$B$5000,$A$3:$A$5000,$A1709,$B$3:$B$5000,"&gt;"&amp;$B1709)=0),NOW(),_xlfn.MINIFS($B$3:$B$5000,$A$3:$A$5000,$A1709,$B$3:$B$5000,"&gt;"&amp;$B1709))</f>
        <v>46279.5987643624</v>
      </c>
    </row>
    <row r="1710" customFormat="false" ht="15" hidden="false" customHeight="true" outlineLevel="0" collapsed="false">
      <c r="A1710" s="42"/>
      <c r="B1710" s="42"/>
      <c r="C1710" s="42"/>
      <c r="D1710" s="42"/>
      <c r="E1710" s="42"/>
      <c r="F1710" s="51" t="n">
        <f aca="false">IF(OR(C1710="",D1710="",E1710="",E1710=0),0,C1710*D1710/E1710)</f>
        <v>0</v>
      </c>
      <c r="G1710" s="42"/>
      <c r="H1710" s="49" t="n">
        <f aca="true">IF(OR($A1710="",_xlfn.MINIFS($B$3:$B$5000,$A$3:$A$5000,$A1710,$B$3:$B$5000,"&gt;"&amp;$B1710)=0),NOW(),_xlfn.MINIFS($B$3:$B$5000,$A$3:$A$5000,$A1710,$B$3:$B$5000,"&gt;"&amp;$B1710))</f>
        <v>46279.5987643625</v>
      </c>
    </row>
    <row r="1711" customFormat="false" ht="15" hidden="false" customHeight="true" outlineLevel="0" collapsed="false">
      <c r="A1711" s="42"/>
      <c r="B1711" s="42"/>
      <c r="C1711" s="42"/>
      <c r="D1711" s="42"/>
      <c r="E1711" s="42"/>
      <c r="F1711" s="51" t="n">
        <f aca="false">IF(OR(C1711="",D1711="",E1711="",E1711=0),0,C1711*D1711/E1711)</f>
        <v>0</v>
      </c>
      <c r="G1711" s="42"/>
      <c r="H1711" s="49" t="n">
        <f aca="true">IF(OR($A1711="",_xlfn.MINIFS($B$3:$B$5000,$A$3:$A$5000,$A1711,$B$3:$B$5000,"&gt;"&amp;$B1711)=0),NOW(),_xlfn.MINIFS($B$3:$B$5000,$A$3:$A$5000,$A1711,$B$3:$B$5000,"&gt;"&amp;$B1711))</f>
        <v>46279.5987643625</v>
      </c>
    </row>
    <row r="1712" customFormat="false" ht="15" hidden="false" customHeight="true" outlineLevel="0" collapsed="false">
      <c r="A1712" s="42"/>
      <c r="B1712" s="42"/>
      <c r="C1712" s="42"/>
      <c r="D1712" s="42"/>
      <c r="E1712" s="42"/>
      <c r="F1712" s="51" t="n">
        <f aca="false">IF(OR(C1712="",D1712="",E1712="",E1712=0),0,C1712*D1712/E1712)</f>
        <v>0</v>
      </c>
      <c r="G1712" s="42"/>
      <c r="H1712" s="49" t="n">
        <f aca="true">IF(OR($A1712="",_xlfn.MINIFS($B$3:$B$5000,$A$3:$A$5000,$A1712,$B$3:$B$5000,"&gt;"&amp;$B1712)=0),NOW(),_xlfn.MINIFS($B$3:$B$5000,$A$3:$A$5000,$A1712,$B$3:$B$5000,"&gt;"&amp;$B1712))</f>
        <v>46279.5987643626</v>
      </c>
    </row>
    <row r="1713" customFormat="false" ht="15" hidden="false" customHeight="true" outlineLevel="0" collapsed="false">
      <c r="A1713" s="42"/>
      <c r="B1713" s="42"/>
      <c r="C1713" s="42"/>
      <c r="D1713" s="42"/>
      <c r="E1713" s="42"/>
      <c r="F1713" s="51" t="n">
        <f aca="false">IF(OR(C1713="",D1713="",E1713="",E1713=0),0,C1713*D1713/E1713)</f>
        <v>0</v>
      </c>
      <c r="G1713" s="42"/>
      <c r="H1713" s="49" t="n">
        <f aca="true">IF(OR($A1713="",_xlfn.MINIFS($B$3:$B$5000,$A$3:$A$5000,$A1713,$B$3:$B$5000,"&gt;"&amp;$B1713)=0),NOW(),_xlfn.MINIFS($B$3:$B$5000,$A$3:$A$5000,$A1713,$B$3:$B$5000,"&gt;"&amp;$B1713))</f>
        <v>46279.5987643626</v>
      </c>
    </row>
    <row r="1714" customFormat="false" ht="15" hidden="false" customHeight="true" outlineLevel="0" collapsed="false">
      <c r="A1714" s="42"/>
      <c r="B1714" s="42"/>
      <c r="C1714" s="42"/>
      <c r="D1714" s="42"/>
      <c r="E1714" s="42"/>
      <c r="F1714" s="51" t="n">
        <f aca="false">IF(OR(C1714="",D1714="",E1714="",E1714=0),0,C1714*D1714/E1714)</f>
        <v>0</v>
      </c>
      <c r="G1714" s="42"/>
      <c r="H1714" s="49" t="n">
        <f aca="true">IF(OR($A1714="",_xlfn.MINIFS($B$3:$B$5000,$A$3:$A$5000,$A1714,$B$3:$B$5000,"&gt;"&amp;$B1714)=0),NOW(),_xlfn.MINIFS($B$3:$B$5000,$A$3:$A$5000,$A1714,$B$3:$B$5000,"&gt;"&amp;$B1714))</f>
        <v>46279.5987643627</v>
      </c>
    </row>
    <row r="1715" customFormat="false" ht="15" hidden="false" customHeight="true" outlineLevel="0" collapsed="false">
      <c r="A1715" s="42"/>
      <c r="B1715" s="42"/>
      <c r="C1715" s="42"/>
      <c r="D1715" s="42"/>
      <c r="E1715" s="42"/>
      <c r="F1715" s="51" t="n">
        <f aca="false">IF(OR(C1715="",D1715="",E1715="",E1715=0),0,C1715*D1715/E1715)</f>
        <v>0</v>
      </c>
      <c r="G1715" s="42"/>
      <c r="H1715" s="49" t="n">
        <f aca="true">IF(OR($A1715="",_xlfn.MINIFS($B$3:$B$5000,$A$3:$A$5000,$A1715,$B$3:$B$5000,"&gt;"&amp;$B1715)=0),NOW(),_xlfn.MINIFS($B$3:$B$5000,$A$3:$A$5000,$A1715,$B$3:$B$5000,"&gt;"&amp;$B1715))</f>
        <v>46279.5987643627</v>
      </c>
    </row>
    <row r="1716" customFormat="false" ht="15" hidden="false" customHeight="true" outlineLevel="0" collapsed="false">
      <c r="A1716" s="42"/>
      <c r="B1716" s="42"/>
      <c r="C1716" s="42"/>
      <c r="D1716" s="42"/>
      <c r="E1716" s="42"/>
      <c r="F1716" s="51" t="n">
        <f aca="false">IF(OR(C1716="",D1716="",E1716="",E1716=0),0,C1716*D1716/E1716)</f>
        <v>0</v>
      </c>
      <c r="G1716" s="42"/>
      <c r="H1716" s="49" t="n">
        <f aca="true">IF(OR($A1716="",_xlfn.MINIFS($B$3:$B$5000,$A$3:$A$5000,$A1716,$B$3:$B$5000,"&gt;"&amp;$B1716)=0),NOW(),_xlfn.MINIFS($B$3:$B$5000,$A$3:$A$5000,$A1716,$B$3:$B$5000,"&gt;"&amp;$B1716))</f>
        <v>46279.5987643628</v>
      </c>
    </row>
    <row r="1717" customFormat="false" ht="15" hidden="false" customHeight="true" outlineLevel="0" collapsed="false">
      <c r="A1717" s="42"/>
      <c r="B1717" s="42"/>
      <c r="C1717" s="42"/>
      <c r="D1717" s="42"/>
      <c r="E1717" s="42"/>
      <c r="F1717" s="51" t="n">
        <f aca="false">IF(OR(C1717="",D1717="",E1717="",E1717=0),0,C1717*D1717/E1717)</f>
        <v>0</v>
      </c>
      <c r="G1717" s="42"/>
      <c r="H1717" s="49" t="n">
        <f aca="true">IF(OR($A1717="",_xlfn.MINIFS($B$3:$B$5000,$A$3:$A$5000,$A1717,$B$3:$B$5000,"&gt;"&amp;$B1717)=0),NOW(),_xlfn.MINIFS($B$3:$B$5000,$A$3:$A$5000,$A1717,$B$3:$B$5000,"&gt;"&amp;$B1717))</f>
        <v>46279.5987643628</v>
      </c>
    </row>
    <row r="1718" customFormat="false" ht="15" hidden="false" customHeight="true" outlineLevel="0" collapsed="false">
      <c r="A1718" s="42"/>
      <c r="B1718" s="42"/>
      <c r="C1718" s="42"/>
      <c r="D1718" s="42"/>
      <c r="E1718" s="42"/>
      <c r="F1718" s="51" t="n">
        <f aca="false">IF(OR(C1718="",D1718="",E1718="",E1718=0),0,C1718*D1718/E1718)</f>
        <v>0</v>
      </c>
      <c r="G1718" s="42"/>
      <c r="H1718" s="49" t="n">
        <f aca="true">IF(OR($A1718="",_xlfn.MINIFS($B$3:$B$5000,$A$3:$A$5000,$A1718,$B$3:$B$5000,"&gt;"&amp;$B1718)=0),NOW(),_xlfn.MINIFS($B$3:$B$5000,$A$3:$A$5000,$A1718,$B$3:$B$5000,"&gt;"&amp;$B1718))</f>
        <v>46279.5987643629</v>
      </c>
    </row>
    <row r="1719" customFormat="false" ht="15" hidden="false" customHeight="true" outlineLevel="0" collapsed="false">
      <c r="A1719" s="42"/>
      <c r="B1719" s="42"/>
      <c r="C1719" s="42"/>
      <c r="D1719" s="42"/>
      <c r="E1719" s="42"/>
      <c r="F1719" s="51" t="n">
        <f aca="false">IF(OR(C1719="",D1719="",E1719="",E1719=0),0,C1719*D1719/E1719)</f>
        <v>0</v>
      </c>
      <c r="G1719" s="42"/>
      <c r="H1719" s="49" t="n">
        <f aca="true">IF(OR($A1719="",_xlfn.MINIFS($B$3:$B$5000,$A$3:$A$5000,$A1719,$B$3:$B$5000,"&gt;"&amp;$B1719)=0),NOW(),_xlfn.MINIFS($B$3:$B$5000,$A$3:$A$5000,$A1719,$B$3:$B$5000,"&gt;"&amp;$B1719))</f>
        <v>46279.5987643629</v>
      </c>
    </row>
    <row r="1720" customFormat="false" ht="15" hidden="false" customHeight="true" outlineLevel="0" collapsed="false">
      <c r="A1720" s="42"/>
      <c r="B1720" s="42"/>
      <c r="C1720" s="42"/>
      <c r="D1720" s="42"/>
      <c r="E1720" s="42"/>
      <c r="F1720" s="51" t="n">
        <f aca="false">IF(OR(C1720="",D1720="",E1720="",E1720=0),0,C1720*D1720/E1720)</f>
        <v>0</v>
      </c>
      <c r="G1720" s="42"/>
      <c r="H1720" s="49" t="n">
        <f aca="true">IF(OR($A1720="",_xlfn.MINIFS($B$3:$B$5000,$A$3:$A$5000,$A1720,$B$3:$B$5000,"&gt;"&amp;$B1720)=0),NOW(),_xlfn.MINIFS($B$3:$B$5000,$A$3:$A$5000,$A1720,$B$3:$B$5000,"&gt;"&amp;$B1720))</f>
        <v>46279.598764363</v>
      </c>
    </row>
    <row r="1721" customFormat="false" ht="15" hidden="false" customHeight="true" outlineLevel="0" collapsed="false">
      <c r="A1721" s="42"/>
      <c r="B1721" s="42"/>
      <c r="C1721" s="42"/>
      <c r="D1721" s="42"/>
      <c r="E1721" s="42"/>
      <c r="F1721" s="51" t="n">
        <f aca="false">IF(OR(C1721="",D1721="",E1721="",E1721=0),0,C1721*D1721/E1721)</f>
        <v>0</v>
      </c>
      <c r="G1721" s="42"/>
      <c r="H1721" s="49" t="n">
        <f aca="true">IF(OR($A1721="",_xlfn.MINIFS($B$3:$B$5000,$A$3:$A$5000,$A1721,$B$3:$B$5000,"&gt;"&amp;$B1721)=0),NOW(),_xlfn.MINIFS($B$3:$B$5000,$A$3:$A$5000,$A1721,$B$3:$B$5000,"&gt;"&amp;$B1721))</f>
        <v>46279.598764363</v>
      </c>
    </row>
    <row r="1722" customFormat="false" ht="15" hidden="false" customHeight="true" outlineLevel="0" collapsed="false">
      <c r="A1722" s="42"/>
      <c r="B1722" s="42"/>
      <c r="C1722" s="42"/>
      <c r="D1722" s="42"/>
      <c r="E1722" s="42"/>
      <c r="F1722" s="51" t="n">
        <f aca="false">IF(OR(C1722="",D1722="",E1722="",E1722=0),0,C1722*D1722/E1722)</f>
        <v>0</v>
      </c>
      <c r="G1722" s="42"/>
      <c r="H1722" s="49" t="n">
        <f aca="true">IF(OR($A1722="",_xlfn.MINIFS($B$3:$B$5000,$A$3:$A$5000,$A1722,$B$3:$B$5000,"&gt;"&amp;$B1722)=0),NOW(),_xlfn.MINIFS($B$3:$B$5000,$A$3:$A$5000,$A1722,$B$3:$B$5000,"&gt;"&amp;$B1722))</f>
        <v>46279.5987643631</v>
      </c>
    </row>
    <row r="1723" customFormat="false" ht="15" hidden="false" customHeight="true" outlineLevel="0" collapsed="false">
      <c r="A1723" s="42"/>
      <c r="B1723" s="42"/>
      <c r="C1723" s="42"/>
      <c r="D1723" s="42"/>
      <c r="E1723" s="42"/>
      <c r="F1723" s="51" t="n">
        <f aca="false">IF(OR(C1723="",D1723="",E1723="",E1723=0),0,C1723*D1723/E1723)</f>
        <v>0</v>
      </c>
      <c r="G1723" s="42"/>
      <c r="H1723" s="49" t="n">
        <f aca="true">IF(OR($A1723="",_xlfn.MINIFS($B$3:$B$5000,$A$3:$A$5000,$A1723,$B$3:$B$5000,"&gt;"&amp;$B1723)=0),NOW(),_xlfn.MINIFS($B$3:$B$5000,$A$3:$A$5000,$A1723,$B$3:$B$5000,"&gt;"&amp;$B1723))</f>
        <v>46279.5987643631</v>
      </c>
    </row>
    <row r="1724" customFormat="false" ht="15" hidden="false" customHeight="true" outlineLevel="0" collapsed="false">
      <c r="A1724" s="42"/>
      <c r="B1724" s="42"/>
      <c r="C1724" s="42"/>
      <c r="D1724" s="42"/>
      <c r="E1724" s="42"/>
      <c r="F1724" s="51" t="n">
        <f aca="false">IF(OR(C1724="",D1724="",E1724="",E1724=0),0,C1724*D1724/E1724)</f>
        <v>0</v>
      </c>
      <c r="G1724" s="42"/>
      <c r="H1724" s="49" t="n">
        <f aca="true">IF(OR($A1724="",_xlfn.MINIFS($B$3:$B$5000,$A$3:$A$5000,$A1724,$B$3:$B$5000,"&gt;"&amp;$B1724)=0),NOW(),_xlfn.MINIFS($B$3:$B$5000,$A$3:$A$5000,$A1724,$B$3:$B$5000,"&gt;"&amp;$B1724))</f>
        <v>46279.5987643632</v>
      </c>
    </row>
    <row r="1725" customFormat="false" ht="15" hidden="false" customHeight="true" outlineLevel="0" collapsed="false">
      <c r="A1725" s="42"/>
      <c r="B1725" s="42"/>
      <c r="C1725" s="42"/>
      <c r="D1725" s="42"/>
      <c r="E1725" s="42"/>
      <c r="F1725" s="51" t="n">
        <f aca="false">IF(OR(C1725="",D1725="",E1725="",E1725=0),0,C1725*D1725/E1725)</f>
        <v>0</v>
      </c>
      <c r="G1725" s="42"/>
      <c r="H1725" s="49" t="n">
        <f aca="true">IF(OR($A1725="",_xlfn.MINIFS($B$3:$B$5000,$A$3:$A$5000,$A1725,$B$3:$B$5000,"&gt;"&amp;$B1725)=0),NOW(),_xlfn.MINIFS($B$3:$B$5000,$A$3:$A$5000,$A1725,$B$3:$B$5000,"&gt;"&amp;$B1725))</f>
        <v>46279.5987643633</v>
      </c>
    </row>
    <row r="1726" customFormat="false" ht="15" hidden="false" customHeight="true" outlineLevel="0" collapsed="false">
      <c r="A1726" s="42"/>
      <c r="B1726" s="42"/>
      <c r="C1726" s="42"/>
      <c r="D1726" s="42"/>
      <c r="E1726" s="42"/>
      <c r="F1726" s="51" t="n">
        <f aca="false">IF(OR(C1726="",D1726="",E1726="",E1726=0),0,C1726*D1726/E1726)</f>
        <v>0</v>
      </c>
      <c r="G1726" s="42"/>
      <c r="H1726" s="49" t="n">
        <f aca="true">IF(OR($A1726="",_xlfn.MINIFS($B$3:$B$5000,$A$3:$A$5000,$A1726,$B$3:$B$5000,"&gt;"&amp;$B1726)=0),NOW(),_xlfn.MINIFS($B$3:$B$5000,$A$3:$A$5000,$A1726,$B$3:$B$5000,"&gt;"&amp;$B1726))</f>
        <v>46279.5987643633</v>
      </c>
    </row>
    <row r="1727" customFormat="false" ht="15" hidden="false" customHeight="true" outlineLevel="0" collapsed="false">
      <c r="A1727" s="42"/>
      <c r="B1727" s="42"/>
      <c r="C1727" s="42"/>
      <c r="D1727" s="42"/>
      <c r="E1727" s="42"/>
      <c r="F1727" s="51" t="n">
        <f aca="false">IF(OR(C1727="",D1727="",E1727="",E1727=0),0,C1727*D1727/E1727)</f>
        <v>0</v>
      </c>
      <c r="G1727" s="42"/>
      <c r="H1727" s="49" t="n">
        <f aca="true">IF(OR($A1727="",_xlfn.MINIFS($B$3:$B$5000,$A$3:$A$5000,$A1727,$B$3:$B$5000,"&gt;"&amp;$B1727)=0),NOW(),_xlfn.MINIFS($B$3:$B$5000,$A$3:$A$5000,$A1727,$B$3:$B$5000,"&gt;"&amp;$B1727))</f>
        <v>46279.5987643634</v>
      </c>
    </row>
    <row r="1728" customFormat="false" ht="15" hidden="false" customHeight="true" outlineLevel="0" collapsed="false">
      <c r="A1728" s="42"/>
      <c r="B1728" s="42"/>
      <c r="C1728" s="42"/>
      <c r="D1728" s="42"/>
      <c r="E1728" s="42"/>
      <c r="F1728" s="51" t="n">
        <f aca="false">IF(OR(C1728="",D1728="",E1728="",E1728=0),0,C1728*D1728/E1728)</f>
        <v>0</v>
      </c>
      <c r="G1728" s="42"/>
      <c r="H1728" s="49" t="n">
        <f aca="true">IF(OR($A1728="",_xlfn.MINIFS($B$3:$B$5000,$A$3:$A$5000,$A1728,$B$3:$B$5000,"&gt;"&amp;$B1728)=0),NOW(),_xlfn.MINIFS($B$3:$B$5000,$A$3:$A$5000,$A1728,$B$3:$B$5000,"&gt;"&amp;$B1728))</f>
        <v>46279.5987643634</v>
      </c>
    </row>
    <row r="1729" customFormat="false" ht="15" hidden="false" customHeight="true" outlineLevel="0" collapsed="false">
      <c r="A1729" s="42"/>
      <c r="B1729" s="42"/>
      <c r="C1729" s="42"/>
      <c r="D1729" s="42"/>
      <c r="E1729" s="42"/>
      <c r="F1729" s="51" t="n">
        <f aca="false">IF(OR(C1729="",D1729="",E1729="",E1729=0),0,C1729*D1729/E1729)</f>
        <v>0</v>
      </c>
      <c r="G1729" s="42"/>
      <c r="H1729" s="49" t="n">
        <f aca="true">IF(OR($A1729="",_xlfn.MINIFS($B$3:$B$5000,$A$3:$A$5000,$A1729,$B$3:$B$5000,"&gt;"&amp;$B1729)=0),NOW(),_xlfn.MINIFS($B$3:$B$5000,$A$3:$A$5000,$A1729,$B$3:$B$5000,"&gt;"&amp;$B1729))</f>
        <v>46279.5987643635</v>
      </c>
    </row>
    <row r="1730" customFormat="false" ht="15" hidden="false" customHeight="true" outlineLevel="0" collapsed="false">
      <c r="A1730" s="42"/>
      <c r="B1730" s="42"/>
      <c r="C1730" s="42"/>
      <c r="D1730" s="42"/>
      <c r="E1730" s="42"/>
      <c r="F1730" s="51" t="n">
        <f aca="false">IF(OR(C1730="",D1730="",E1730="",E1730=0),0,C1730*D1730/E1730)</f>
        <v>0</v>
      </c>
      <c r="G1730" s="42"/>
      <c r="H1730" s="49" t="n">
        <f aca="true">IF(OR($A1730="",_xlfn.MINIFS($B$3:$B$5000,$A$3:$A$5000,$A1730,$B$3:$B$5000,"&gt;"&amp;$B1730)=0),NOW(),_xlfn.MINIFS($B$3:$B$5000,$A$3:$A$5000,$A1730,$B$3:$B$5000,"&gt;"&amp;$B1730))</f>
        <v>46279.5987643635</v>
      </c>
    </row>
    <row r="1731" customFormat="false" ht="15" hidden="false" customHeight="true" outlineLevel="0" collapsed="false">
      <c r="A1731" s="42"/>
      <c r="B1731" s="42"/>
      <c r="C1731" s="42"/>
      <c r="D1731" s="42"/>
      <c r="E1731" s="42"/>
      <c r="F1731" s="51" t="n">
        <f aca="false">IF(OR(C1731="",D1731="",E1731="",E1731=0),0,C1731*D1731/E1731)</f>
        <v>0</v>
      </c>
      <c r="G1731" s="42"/>
      <c r="H1731" s="49" t="n">
        <f aca="true">IF(OR($A1731="",_xlfn.MINIFS($B$3:$B$5000,$A$3:$A$5000,$A1731,$B$3:$B$5000,"&gt;"&amp;$B1731)=0),NOW(),_xlfn.MINIFS($B$3:$B$5000,$A$3:$A$5000,$A1731,$B$3:$B$5000,"&gt;"&amp;$B1731))</f>
        <v>46279.5987643636</v>
      </c>
    </row>
    <row r="1732" customFormat="false" ht="15" hidden="false" customHeight="true" outlineLevel="0" collapsed="false">
      <c r="A1732" s="42"/>
      <c r="B1732" s="42"/>
      <c r="C1732" s="42"/>
      <c r="D1732" s="42"/>
      <c r="E1732" s="42"/>
      <c r="F1732" s="51" t="n">
        <f aca="false">IF(OR(C1732="",D1732="",E1732="",E1732=0),0,C1732*D1732/E1732)</f>
        <v>0</v>
      </c>
      <c r="G1732" s="42"/>
      <c r="H1732" s="49" t="n">
        <f aca="true">IF(OR($A1732="",_xlfn.MINIFS($B$3:$B$5000,$A$3:$A$5000,$A1732,$B$3:$B$5000,"&gt;"&amp;$B1732)=0),NOW(),_xlfn.MINIFS($B$3:$B$5000,$A$3:$A$5000,$A1732,$B$3:$B$5000,"&gt;"&amp;$B1732))</f>
        <v>46279.5987643636</v>
      </c>
    </row>
    <row r="1733" customFormat="false" ht="15" hidden="false" customHeight="true" outlineLevel="0" collapsed="false">
      <c r="A1733" s="42"/>
      <c r="B1733" s="42"/>
      <c r="C1733" s="42"/>
      <c r="D1733" s="42"/>
      <c r="E1733" s="42"/>
      <c r="F1733" s="51" t="n">
        <f aca="false">IF(OR(C1733="",D1733="",E1733="",E1733=0),0,C1733*D1733/E1733)</f>
        <v>0</v>
      </c>
      <c r="G1733" s="42"/>
      <c r="H1733" s="49" t="n">
        <f aca="true">IF(OR($A1733="",_xlfn.MINIFS($B$3:$B$5000,$A$3:$A$5000,$A1733,$B$3:$B$5000,"&gt;"&amp;$B1733)=0),NOW(),_xlfn.MINIFS($B$3:$B$5000,$A$3:$A$5000,$A1733,$B$3:$B$5000,"&gt;"&amp;$B1733))</f>
        <v>46279.5987643637</v>
      </c>
    </row>
    <row r="1734" customFormat="false" ht="15" hidden="false" customHeight="true" outlineLevel="0" collapsed="false">
      <c r="A1734" s="42"/>
      <c r="B1734" s="42"/>
      <c r="C1734" s="42"/>
      <c r="D1734" s="42"/>
      <c r="E1734" s="42"/>
      <c r="F1734" s="51" t="n">
        <f aca="false">IF(OR(C1734="",D1734="",E1734="",E1734=0),0,C1734*D1734/E1734)</f>
        <v>0</v>
      </c>
      <c r="G1734" s="42"/>
      <c r="H1734" s="49" t="n">
        <f aca="true">IF(OR($A1734="",_xlfn.MINIFS($B$3:$B$5000,$A$3:$A$5000,$A1734,$B$3:$B$5000,"&gt;"&amp;$B1734)=0),NOW(),_xlfn.MINIFS($B$3:$B$5000,$A$3:$A$5000,$A1734,$B$3:$B$5000,"&gt;"&amp;$B1734))</f>
        <v>46279.5987643637</v>
      </c>
    </row>
    <row r="1735" customFormat="false" ht="15" hidden="false" customHeight="true" outlineLevel="0" collapsed="false">
      <c r="A1735" s="42"/>
      <c r="B1735" s="42"/>
      <c r="C1735" s="42"/>
      <c r="D1735" s="42"/>
      <c r="E1735" s="42"/>
      <c r="F1735" s="51" t="n">
        <f aca="false">IF(OR(C1735="",D1735="",E1735="",E1735=0),0,C1735*D1735/E1735)</f>
        <v>0</v>
      </c>
      <c r="G1735" s="42"/>
      <c r="H1735" s="49" t="n">
        <f aca="true">IF(OR($A1735="",_xlfn.MINIFS($B$3:$B$5000,$A$3:$A$5000,$A1735,$B$3:$B$5000,"&gt;"&amp;$B1735)=0),NOW(),_xlfn.MINIFS($B$3:$B$5000,$A$3:$A$5000,$A1735,$B$3:$B$5000,"&gt;"&amp;$B1735))</f>
        <v>46279.5987643638</v>
      </c>
    </row>
    <row r="1736" customFormat="false" ht="15" hidden="false" customHeight="true" outlineLevel="0" collapsed="false">
      <c r="A1736" s="42"/>
      <c r="B1736" s="42"/>
      <c r="C1736" s="42"/>
      <c r="D1736" s="42"/>
      <c r="E1736" s="42"/>
      <c r="F1736" s="51" t="n">
        <f aca="false">IF(OR(C1736="",D1736="",E1736="",E1736=0),0,C1736*D1736/E1736)</f>
        <v>0</v>
      </c>
      <c r="G1736" s="42"/>
      <c r="H1736" s="49" t="n">
        <f aca="true">IF(OR($A1736="",_xlfn.MINIFS($B$3:$B$5000,$A$3:$A$5000,$A1736,$B$3:$B$5000,"&gt;"&amp;$B1736)=0),NOW(),_xlfn.MINIFS($B$3:$B$5000,$A$3:$A$5000,$A1736,$B$3:$B$5000,"&gt;"&amp;$B1736))</f>
        <v>46279.5987643638</v>
      </c>
    </row>
    <row r="1737" customFormat="false" ht="15" hidden="false" customHeight="true" outlineLevel="0" collapsed="false">
      <c r="A1737" s="42"/>
      <c r="B1737" s="42"/>
      <c r="C1737" s="42"/>
      <c r="D1737" s="42"/>
      <c r="E1737" s="42"/>
      <c r="F1737" s="51" t="n">
        <f aca="false">IF(OR(C1737="",D1737="",E1737="",E1737=0),0,C1737*D1737/E1737)</f>
        <v>0</v>
      </c>
      <c r="G1737" s="42"/>
      <c r="H1737" s="49" t="n">
        <f aca="true">IF(OR($A1737="",_xlfn.MINIFS($B$3:$B$5000,$A$3:$A$5000,$A1737,$B$3:$B$5000,"&gt;"&amp;$B1737)=0),NOW(),_xlfn.MINIFS($B$3:$B$5000,$A$3:$A$5000,$A1737,$B$3:$B$5000,"&gt;"&amp;$B1737))</f>
        <v>46279.5987643639</v>
      </c>
    </row>
    <row r="1738" customFormat="false" ht="15" hidden="false" customHeight="true" outlineLevel="0" collapsed="false">
      <c r="A1738" s="42"/>
      <c r="B1738" s="42"/>
      <c r="C1738" s="42"/>
      <c r="D1738" s="42"/>
      <c r="E1738" s="42"/>
      <c r="F1738" s="51" t="n">
        <f aca="false">IF(OR(C1738="",D1738="",E1738="",E1738=0),0,C1738*D1738/E1738)</f>
        <v>0</v>
      </c>
      <c r="G1738" s="42"/>
      <c r="H1738" s="49" t="n">
        <f aca="true">IF(OR($A1738="",_xlfn.MINIFS($B$3:$B$5000,$A$3:$A$5000,$A1738,$B$3:$B$5000,"&gt;"&amp;$B1738)=0),NOW(),_xlfn.MINIFS($B$3:$B$5000,$A$3:$A$5000,$A1738,$B$3:$B$5000,"&gt;"&amp;$B1738))</f>
        <v>46279.5987643639</v>
      </c>
    </row>
    <row r="1739" customFormat="false" ht="15" hidden="false" customHeight="true" outlineLevel="0" collapsed="false">
      <c r="A1739" s="42"/>
      <c r="B1739" s="42"/>
      <c r="C1739" s="42"/>
      <c r="D1739" s="42"/>
      <c r="E1739" s="42"/>
      <c r="F1739" s="51" t="n">
        <f aca="false">IF(OR(C1739="",D1739="",E1739="",E1739=0),0,C1739*D1739/E1739)</f>
        <v>0</v>
      </c>
      <c r="G1739" s="42"/>
      <c r="H1739" s="49" t="n">
        <f aca="true">IF(OR($A1739="",_xlfn.MINIFS($B$3:$B$5000,$A$3:$A$5000,$A1739,$B$3:$B$5000,"&gt;"&amp;$B1739)=0),NOW(),_xlfn.MINIFS($B$3:$B$5000,$A$3:$A$5000,$A1739,$B$3:$B$5000,"&gt;"&amp;$B1739))</f>
        <v>46279.598764364</v>
      </c>
    </row>
    <row r="1740" customFormat="false" ht="15" hidden="false" customHeight="true" outlineLevel="0" collapsed="false">
      <c r="A1740" s="42"/>
      <c r="B1740" s="42"/>
      <c r="C1740" s="42"/>
      <c r="D1740" s="42"/>
      <c r="E1740" s="42"/>
      <c r="F1740" s="51" t="n">
        <f aca="false">IF(OR(C1740="",D1740="",E1740="",E1740=0),0,C1740*D1740/E1740)</f>
        <v>0</v>
      </c>
      <c r="G1740" s="42"/>
      <c r="H1740" s="49" t="n">
        <f aca="true">IF(OR($A1740="",_xlfn.MINIFS($B$3:$B$5000,$A$3:$A$5000,$A1740,$B$3:$B$5000,"&gt;"&amp;$B1740)=0),NOW(),_xlfn.MINIFS($B$3:$B$5000,$A$3:$A$5000,$A1740,$B$3:$B$5000,"&gt;"&amp;$B1740))</f>
        <v>46279.598764364</v>
      </c>
    </row>
    <row r="1741" customFormat="false" ht="15" hidden="false" customHeight="true" outlineLevel="0" collapsed="false">
      <c r="A1741" s="42"/>
      <c r="B1741" s="42"/>
      <c r="C1741" s="42"/>
      <c r="D1741" s="42"/>
      <c r="E1741" s="42"/>
      <c r="F1741" s="51" t="n">
        <f aca="false">IF(OR(C1741="",D1741="",E1741="",E1741=0),0,C1741*D1741/E1741)</f>
        <v>0</v>
      </c>
      <c r="G1741" s="42"/>
      <c r="H1741" s="49" t="n">
        <f aca="true">IF(OR($A1741="",_xlfn.MINIFS($B$3:$B$5000,$A$3:$A$5000,$A1741,$B$3:$B$5000,"&gt;"&amp;$B1741)=0),NOW(),_xlfn.MINIFS($B$3:$B$5000,$A$3:$A$5000,$A1741,$B$3:$B$5000,"&gt;"&amp;$B1741))</f>
        <v>46279.5987643641</v>
      </c>
    </row>
    <row r="1742" customFormat="false" ht="15" hidden="false" customHeight="true" outlineLevel="0" collapsed="false">
      <c r="A1742" s="42"/>
      <c r="B1742" s="42"/>
      <c r="C1742" s="42"/>
      <c r="D1742" s="42"/>
      <c r="E1742" s="42"/>
      <c r="F1742" s="51" t="n">
        <f aca="false">IF(OR(C1742="",D1742="",E1742="",E1742=0),0,C1742*D1742/E1742)</f>
        <v>0</v>
      </c>
      <c r="G1742" s="42"/>
      <c r="H1742" s="49" t="n">
        <f aca="true">IF(OR($A1742="",_xlfn.MINIFS($B$3:$B$5000,$A$3:$A$5000,$A1742,$B$3:$B$5000,"&gt;"&amp;$B1742)=0),NOW(),_xlfn.MINIFS($B$3:$B$5000,$A$3:$A$5000,$A1742,$B$3:$B$5000,"&gt;"&amp;$B1742))</f>
        <v>46279.5987643641</v>
      </c>
    </row>
    <row r="1743" customFormat="false" ht="15" hidden="false" customHeight="true" outlineLevel="0" collapsed="false">
      <c r="A1743" s="42"/>
      <c r="B1743" s="42"/>
      <c r="C1743" s="42"/>
      <c r="D1743" s="42"/>
      <c r="E1743" s="42"/>
      <c r="F1743" s="51" t="n">
        <f aca="false">IF(OR(C1743="",D1743="",E1743="",E1743=0),0,C1743*D1743/E1743)</f>
        <v>0</v>
      </c>
      <c r="G1743" s="42"/>
      <c r="H1743" s="49" t="n">
        <f aca="true">IF(OR($A1743="",_xlfn.MINIFS($B$3:$B$5000,$A$3:$A$5000,$A1743,$B$3:$B$5000,"&gt;"&amp;$B1743)=0),NOW(),_xlfn.MINIFS($B$3:$B$5000,$A$3:$A$5000,$A1743,$B$3:$B$5000,"&gt;"&amp;$B1743))</f>
        <v>46279.5987643642</v>
      </c>
    </row>
    <row r="1744" customFormat="false" ht="15" hidden="false" customHeight="true" outlineLevel="0" collapsed="false">
      <c r="A1744" s="42"/>
      <c r="B1744" s="42"/>
      <c r="C1744" s="42"/>
      <c r="D1744" s="42"/>
      <c r="E1744" s="42"/>
      <c r="F1744" s="51" t="n">
        <f aca="false">IF(OR(C1744="",D1744="",E1744="",E1744=0),0,C1744*D1744/E1744)</f>
        <v>0</v>
      </c>
      <c r="G1744" s="42"/>
      <c r="H1744" s="49" t="n">
        <f aca="true">IF(OR($A1744="",_xlfn.MINIFS($B$3:$B$5000,$A$3:$A$5000,$A1744,$B$3:$B$5000,"&gt;"&amp;$B1744)=0),NOW(),_xlfn.MINIFS($B$3:$B$5000,$A$3:$A$5000,$A1744,$B$3:$B$5000,"&gt;"&amp;$B1744))</f>
        <v>46279.5987643642</v>
      </c>
    </row>
    <row r="1745" customFormat="false" ht="15" hidden="false" customHeight="true" outlineLevel="0" collapsed="false">
      <c r="A1745" s="42"/>
      <c r="B1745" s="42"/>
      <c r="C1745" s="42"/>
      <c r="D1745" s="42"/>
      <c r="E1745" s="42"/>
      <c r="F1745" s="51" t="n">
        <f aca="false">IF(OR(C1745="",D1745="",E1745="",E1745=0),0,C1745*D1745/E1745)</f>
        <v>0</v>
      </c>
      <c r="G1745" s="42"/>
      <c r="H1745" s="49" t="n">
        <f aca="true">IF(OR($A1745="",_xlfn.MINIFS($B$3:$B$5000,$A$3:$A$5000,$A1745,$B$3:$B$5000,"&gt;"&amp;$B1745)=0),NOW(),_xlfn.MINIFS($B$3:$B$5000,$A$3:$A$5000,$A1745,$B$3:$B$5000,"&gt;"&amp;$B1745))</f>
        <v>46279.5987643643</v>
      </c>
    </row>
    <row r="1746" customFormat="false" ht="15" hidden="false" customHeight="true" outlineLevel="0" collapsed="false">
      <c r="A1746" s="42"/>
      <c r="B1746" s="42"/>
      <c r="C1746" s="42"/>
      <c r="D1746" s="42"/>
      <c r="E1746" s="42"/>
      <c r="F1746" s="51" t="n">
        <f aca="false">IF(OR(C1746="",D1746="",E1746="",E1746=0),0,C1746*D1746/E1746)</f>
        <v>0</v>
      </c>
      <c r="G1746" s="42"/>
      <c r="H1746" s="49" t="n">
        <f aca="true">IF(OR($A1746="",_xlfn.MINIFS($B$3:$B$5000,$A$3:$A$5000,$A1746,$B$3:$B$5000,"&gt;"&amp;$B1746)=0),NOW(),_xlfn.MINIFS($B$3:$B$5000,$A$3:$A$5000,$A1746,$B$3:$B$5000,"&gt;"&amp;$B1746))</f>
        <v>46279.5987643643</v>
      </c>
    </row>
    <row r="1747" customFormat="false" ht="15" hidden="false" customHeight="true" outlineLevel="0" collapsed="false">
      <c r="A1747" s="42"/>
      <c r="B1747" s="42"/>
      <c r="C1747" s="42"/>
      <c r="D1747" s="42"/>
      <c r="E1747" s="42"/>
      <c r="F1747" s="51" t="n">
        <f aca="false">IF(OR(C1747="",D1747="",E1747="",E1747=0),0,C1747*D1747/E1747)</f>
        <v>0</v>
      </c>
      <c r="G1747" s="42"/>
      <c r="H1747" s="49" t="n">
        <f aca="true">IF(OR($A1747="",_xlfn.MINIFS($B$3:$B$5000,$A$3:$A$5000,$A1747,$B$3:$B$5000,"&gt;"&amp;$B1747)=0),NOW(),_xlfn.MINIFS($B$3:$B$5000,$A$3:$A$5000,$A1747,$B$3:$B$5000,"&gt;"&amp;$B1747))</f>
        <v>46279.5987643644</v>
      </c>
    </row>
    <row r="1748" customFormat="false" ht="15" hidden="false" customHeight="true" outlineLevel="0" collapsed="false">
      <c r="A1748" s="42"/>
      <c r="B1748" s="42"/>
      <c r="C1748" s="42"/>
      <c r="D1748" s="42"/>
      <c r="E1748" s="42"/>
      <c r="F1748" s="51" t="n">
        <f aca="false">IF(OR(C1748="",D1748="",E1748="",E1748=0),0,C1748*D1748/E1748)</f>
        <v>0</v>
      </c>
      <c r="G1748" s="42"/>
      <c r="H1748" s="49" t="n">
        <f aca="true">IF(OR($A1748="",_xlfn.MINIFS($B$3:$B$5000,$A$3:$A$5000,$A1748,$B$3:$B$5000,"&gt;"&amp;$B1748)=0),NOW(),_xlfn.MINIFS($B$3:$B$5000,$A$3:$A$5000,$A1748,$B$3:$B$5000,"&gt;"&amp;$B1748))</f>
        <v>46279.5987643644</v>
      </c>
    </row>
    <row r="1749" customFormat="false" ht="15" hidden="false" customHeight="true" outlineLevel="0" collapsed="false">
      <c r="A1749" s="42"/>
      <c r="B1749" s="42"/>
      <c r="C1749" s="42"/>
      <c r="D1749" s="42"/>
      <c r="E1749" s="42"/>
      <c r="F1749" s="51" t="n">
        <f aca="false">IF(OR(C1749="",D1749="",E1749="",E1749=0),0,C1749*D1749/E1749)</f>
        <v>0</v>
      </c>
      <c r="G1749" s="42"/>
      <c r="H1749" s="49" t="n">
        <f aca="true">IF(OR($A1749="",_xlfn.MINIFS($B$3:$B$5000,$A$3:$A$5000,$A1749,$B$3:$B$5000,"&gt;"&amp;$B1749)=0),NOW(),_xlfn.MINIFS($B$3:$B$5000,$A$3:$A$5000,$A1749,$B$3:$B$5000,"&gt;"&amp;$B1749))</f>
        <v>46279.5987643645</v>
      </c>
    </row>
    <row r="1750" customFormat="false" ht="15" hidden="false" customHeight="true" outlineLevel="0" collapsed="false">
      <c r="A1750" s="42"/>
      <c r="B1750" s="42"/>
      <c r="C1750" s="42"/>
      <c r="D1750" s="42"/>
      <c r="E1750" s="42"/>
      <c r="F1750" s="51" t="n">
        <f aca="false">IF(OR(C1750="",D1750="",E1750="",E1750=0),0,C1750*D1750/E1750)</f>
        <v>0</v>
      </c>
      <c r="G1750" s="42"/>
      <c r="H1750" s="49" t="n">
        <f aca="true">IF(OR($A1750="",_xlfn.MINIFS($B$3:$B$5000,$A$3:$A$5000,$A1750,$B$3:$B$5000,"&gt;"&amp;$B1750)=0),NOW(),_xlfn.MINIFS($B$3:$B$5000,$A$3:$A$5000,$A1750,$B$3:$B$5000,"&gt;"&amp;$B1750))</f>
        <v>46279.5987643645</v>
      </c>
    </row>
    <row r="1751" customFormat="false" ht="15" hidden="false" customHeight="true" outlineLevel="0" collapsed="false">
      <c r="A1751" s="42"/>
      <c r="B1751" s="42"/>
      <c r="C1751" s="42"/>
      <c r="D1751" s="42"/>
      <c r="E1751" s="42"/>
      <c r="F1751" s="51" t="n">
        <f aca="false">IF(OR(C1751="",D1751="",E1751="",E1751=0),0,C1751*D1751/E1751)</f>
        <v>0</v>
      </c>
      <c r="G1751" s="42"/>
      <c r="H1751" s="49" t="n">
        <f aca="true">IF(OR($A1751="",_xlfn.MINIFS($B$3:$B$5000,$A$3:$A$5000,$A1751,$B$3:$B$5000,"&gt;"&amp;$B1751)=0),NOW(),_xlfn.MINIFS($B$3:$B$5000,$A$3:$A$5000,$A1751,$B$3:$B$5000,"&gt;"&amp;$B1751))</f>
        <v>46279.5987643646</v>
      </c>
    </row>
    <row r="1752" customFormat="false" ht="15" hidden="false" customHeight="true" outlineLevel="0" collapsed="false">
      <c r="A1752" s="42"/>
      <c r="B1752" s="42"/>
      <c r="C1752" s="42"/>
      <c r="D1752" s="42"/>
      <c r="E1752" s="42"/>
      <c r="F1752" s="51" t="n">
        <f aca="false">IF(OR(C1752="",D1752="",E1752="",E1752=0),0,C1752*D1752/E1752)</f>
        <v>0</v>
      </c>
      <c r="G1752" s="42"/>
      <c r="H1752" s="49" t="n">
        <f aca="true">IF(OR($A1752="",_xlfn.MINIFS($B$3:$B$5000,$A$3:$A$5000,$A1752,$B$3:$B$5000,"&gt;"&amp;$B1752)=0),NOW(),_xlfn.MINIFS($B$3:$B$5000,$A$3:$A$5000,$A1752,$B$3:$B$5000,"&gt;"&amp;$B1752))</f>
        <v>46279.5987643646</v>
      </c>
    </row>
    <row r="1753" customFormat="false" ht="15" hidden="false" customHeight="true" outlineLevel="0" collapsed="false">
      <c r="A1753" s="42"/>
      <c r="B1753" s="42"/>
      <c r="C1753" s="42"/>
      <c r="D1753" s="42"/>
      <c r="E1753" s="42"/>
      <c r="F1753" s="51" t="n">
        <f aca="false">IF(OR(C1753="",D1753="",E1753="",E1753=0),0,C1753*D1753/E1753)</f>
        <v>0</v>
      </c>
      <c r="G1753" s="42"/>
      <c r="H1753" s="49" t="n">
        <f aca="true">IF(OR($A1753="",_xlfn.MINIFS($B$3:$B$5000,$A$3:$A$5000,$A1753,$B$3:$B$5000,"&gt;"&amp;$B1753)=0),NOW(),_xlfn.MINIFS($B$3:$B$5000,$A$3:$A$5000,$A1753,$B$3:$B$5000,"&gt;"&amp;$B1753))</f>
        <v>46279.5987643647</v>
      </c>
    </row>
    <row r="1754" customFormat="false" ht="15" hidden="false" customHeight="true" outlineLevel="0" collapsed="false">
      <c r="A1754" s="42"/>
      <c r="B1754" s="42"/>
      <c r="C1754" s="42"/>
      <c r="D1754" s="42"/>
      <c r="E1754" s="42"/>
      <c r="F1754" s="51" t="n">
        <f aca="false">IF(OR(C1754="",D1754="",E1754="",E1754=0),0,C1754*D1754/E1754)</f>
        <v>0</v>
      </c>
      <c r="G1754" s="42"/>
      <c r="H1754" s="49" t="n">
        <f aca="true">IF(OR($A1754="",_xlfn.MINIFS($B$3:$B$5000,$A$3:$A$5000,$A1754,$B$3:$B$5000,"&gt;"&amp;$B1754)=0),NOW(),_xlfn.MINIFS($B$3:$B$5000,$A$3:$A$5000,$A1754,$B$3:$B$5000,"&gt;"&amp;$B1754))</f>
        <v>46279.5987643647</v>
      </c>
    </row>
    <row r="1755" customFormat="false" ht="15" hidden="false" customHeight="true" outlineLevel="0" collapsed="false">
      <c r="A1755" s="42"/>
      <c r="B1755" s="42"/>
      <c r="C1755" s="42"/>
      <c r="D1755" s="42"/>
      <c r="E1755" s="42"/>
      <c r="F1755" s="51" t="n">
        <f aca="false">IF(OR(C1755="",D1755="",E1755="",E1755=0),0,C1755*D1755/E1755)</f>
        <v>0</v>
      </c>
      <c r="G1755" s="42"/>
      <c r="H1755" s="49" t="n">
        <f aca="true">IF(OR($A1755="",_xlfn.MINIFS($B$3:$B$5000,$A$3:$A$5000,$A1755,$B$3:$B$5000,"&gt;"&amp;$B1755)=0),NOW(),_xlfn.MINIFS($B$3:$B$5000,$A$3:$A$5000,$A1755,$B$3:$B$5000,"&gt;"&amp;$B1755))</f>
        <v>46279.5987643648</v>
      </c>
    </row>
    <row r="1756" customFormat="false" ht="15" hidden="false" customHeight="true" outlineLevel="0" collapsed="false">
      <c r="A1756" s="42"/>
      <c r="B1756" s="42"/>
      <c r="C1756" s="42"/>
      <c r="D1756" s="42"/>
      <c r="E1756" s="42"/>
      <c r="F1756" s="51" t="n">
        <f aca="false">IF(OR(C1756="",D1756="",E1756="",E1756=0),0,C1756*D1756/E1756)</f>
        <v>0</v>
      </c>
      <c r="G1756" s="42"/>
      <c r="H1756" s="49" t="n">
        <f aca="true">IF(OR($A1756="",_xlfn.MINIFS($B$3:$B$5000,$A$3:$A$5000,$A1756,$B$3:$B$5000,"&gt;"&amp;$B1756)=0),NOW(),_xlfn.MINIFS($B$3:$B$5000,$A$3:$A$5000,$A1756,$B$3:$B$5000,"&gt;"&amp;$B1756))</f>
        <v>46279.5987643648</v>
      </c>
    </row>
    <row r="1757" customFormat="false" ht="15" hidden="false" customHeight="true" outlineLevel="0" collapsed="false">
      <c r="A1757" s="42"/>
      <c r="B1757" s="42"/>
      <c r="C1757" s="42"/>
      <c r="D1757" s="42"/>
      <c r="E1757" s="42"/>
      <c r="F1757" s="51" t="n">
        <f aca="false">IF(OR(C1757="",D1757="",E1757="",E1757=0),0,C1757*D1757/E1757)</f>
        <v>0</v>
      </c>
      <c r="G1757" s="42"/>
      <c r="H1757" s="49" t="n">
        <f aca="true">IF(OR($A1757="",_xlfn.MINIFS($B$3:$B$5000,$A$3:$A$5000,$A1757,$B$3:$B$5000,"&gt;"&amp;$B1757)=0),NOW(),_xlfn.MINIFS($B$3:$B$5000,$A$3:$A$5000,$A1757,$B$3:$B$5000,"&gt;"&amp;$B1757))</f>
        <v>46279.5987643649</v>
      </c>
    </row>
    <row r="1758" customFormat="false" ht="15" hidden="false" customHeight="true" outlineLevel="0" collapsed="false">
      <c r="A1758" s="42"/>
      <c r="B1758" s="42"/>
      <c r="C1758" s="42"/>
      <c r="D1758" s="42"/>
      <c r="E1758" s="42"/>
      <c r="F1758" s="51" t="n">
        <f aca="false">IF(OR(C1758="",D1758="",E1758="",E1758=0),0,C1758*D1758/E1758)</f>
        <v>0</v>
      </c>
      <c r="G1758" s="42"/>
      <c r="H1758" s="49" t="n">
        <f aca="true">IF(OR($A1758="",_xlfn.MINIFS($B$3:$B$5000,$A$3:$A$5000,$A1758,$B$3:$B$5000,"&gt;"&amp;$B1758)=0),NOW(),_xlfn.MINIFS($B$3:$B$5000,$A$3:$A$5000,$A1758,$B$3:$B$5000,"&gt;"&amp;$B1758))</f>
        <v>46279.5987643649</v>
      </c>
    </row>
    <row r="1759" customFormat="false" ht="15" hidden="false" customHeight="true" outlineLevel="0" collapsed="false">
      <c r="A1759" s="42"/>
      <c r="B1759" s="42"/>
      <c r="C1759" s="42"/>
      <c r="D1759" s="42"/>
      <c r="E1759" s="42"/>
      <c r="F1759" s="51" t="n">
        <f aca="false">IF(OR(C1759="",D1759="",E1759="",E1759=0),0,C1759*D1759/E1759)</f>
        <v>0</v>
      </c>
      <c r="G1759" s="42"/>
      <c r="H1759" s="49" t="n">
        <f aca="true">IF(OR($A1759="",_xlfn.MINIFS($B$3:$B$5000,$A$3:$A$5000,$A1759,$B$3:$B$5000,"&gt;"&amp;$B1759)=0),NOW(),_xlfn.MINIFS($B$3:$B$5000,$A$3:$A$5000,$A1759,$B$3:$B$5000,"&gt;"&amp;$B1759))</f>
        <v>46279.598764365</v>
      </c>
    </row>
    <row r="1760" customFormat="false" ht="15" hidden="false" customHeight="true" outlineLevel="0" collapsed="false">
      <c r="A1760" s="42"/>
      <c r="B1760" s="42"/>
      <c r="C1760" s="42"/>
      <c r="D1760" s="42"/>
      <c r="E1760" s="42"/>
      <c r="F1760" s="51" t="n">
        <f aca="false">IF(OR(C1760="",D1760="",E1760="",E1760=0),0,C1760*D1760/E1760)</f>
        <v>0</v>
      </c>
      <c r="G1760" s="42"/>
      <c r="H1760" s="49" t="n">
        <f aca="true">IF(OR($A1760="",_xlfn.MINIFS($B$3:$B$5000,$A$3:$A$5000,$A1760,$B$3:$B$5000,"&gt;"&amp;$B1760)=0),NOW(),_xlfn.MINIFS($B$3:$B$5000,$A$3:$A$5000,$A1760,$B$3:$B$5000,"&gt;"&amp;$B1760))</f>
        <v>46279.598764365</v>
      </c>
    </row>
    <row r="1761" customFormat="false" ht="15" hidden="false" customHeight="true" outlineLevel="0" collapsed="false">
      <c r="A1761" s="42"/>
      <c r="B1761" s="42"/>
      <c r="C1761" s="42"/>
      <c r="D1761" s="42"/>
      <c r="E1761" s="42"/>
      <c r="F1761" s="51" t="n">
        <f aca="false">IF(OR(C1761="",D1761="",E1761="",E1761=0),0,C1761*D1761/E1761)</f>
        <v>0</v>
      </c>
      <c r="G1761" s="42"/>
      <c r="H1761" s="49" t="n">
        <f aca="true">IF(OR($A1761="",_xlfn.MINIFS($B$3:$B$5000,$A$3:$A$5000,$A1761,$B$3:$B$5000,"&gt;"&amp;$B1761)=0),NOW(),_xlfn.MINIFS($B$3:$B$5000,$A$3:$A$5000,$A1761,$B$3:$B$5000,"&gt;"&amp;$B1761))</f>
        <v>46279.5987643651</v>
      </c>
    </row>
    <row r="1762" customFormat="false" ht="15" hidden="false" customHeight="true" outlineLevel="0" collapsed="false">
      <c r="A1762" s="42"/>
      <c r="B1762" s="42"/>
      <c r="C1762" s="42"/>
      <c r="D1762" s="42"/>
      <c r="E1762" s="42"/>
      <c r="F1762" s="51" t="n">
        <f aca="false">IF(OR(C1762="",D1762="",E1762="",E1762=0),0,C1762*D1762/E1762)</f>
        <v>0</v>
      </c>
      <c r="G1762" s="42"/>
      <c r="H1762" s="49" t="n">
        <f aca="true">IF(OR($A1762="",_xlfn.MINIFS($B$3:$B$5000,$A$3:$A$5000,$A1762,$B$3:$B$5000,"&gt;"&amp;$B1762)=0),NOW(),_xlfn.MINIFS($B$3:$B$5000,$A$3:$A$5000,$A1762,$B$3:$B$5000,"&gt;"&amp;$B1762))</f>
        <v>46279.5987643651</v>
      </c>
    </row>
    <row r="1763" customFormat="false" ht="15" hidden="false" customHeight="true" outlineLevel="0" collapsed="false">
      <c r="A1763" s="42"/>
      <c r="B1763" s="42"/>
      <c r="C1763" s="42"/>
      <c r="D1763" s="42"/>
      <c r="E1763" s="42"/>
      <c r="F1763" s="51" t="n">
        <f aca="false">IF(OR(C1763="",D1763="",E1763="",E1763=0),0,C1763*D1763/E1763)</f>
        <v>0</v>
      </c>
      <c r="G1763" s="42"/>
      <c r="H1763" s="49" t="n">
        <f aca="true">IF(OR($A1763="",_xlfn.MINIFS($B$3:$B$5000,$A$3:$A$5000,$A1763,$B$3:$B$5000,"&gt;"&amp;$B1763)=0),NOW(),_xlfn.MINIFS($B$3:$B$5000,$A$3:$A$5000,$A1763,$B$3:$B$5000,"&gt;"&amp;$B1763))</f>
        <v>46279.5987643652</v>
      </c>
    </row>
    <row r="1764" customFormat="false" ht="15" hidden="false" customHeight="true" outlineLevel="0" collapsed="false">
      <c r="A1764" s="42"/>
      <c r="B1764" s="42"/>
      <c r="C1764" s="42"/>
      <c r="D1764" s="42"/>
      <c r="E1764" s="42"/>
      <c r="F1764" s="51" t="n">
        <f aca="false">IF(OR(C1764="",D1764="",E1764="",E1764=0),0,C1764*D1764/E1764)</f>
        <v>0</v>
      </c>
      <c r="G1764" s="42"/>
      <c r="H1764" s="49" t="n">
        <f aca="true">IF(OR($A1764="",_xlfn.MINIFS($B$3:$B$5000,$A$3:$A$5000,$A1764,$B$3:$B$5000,"&gt;"&amp;$B1764)=0),NOW(),_xlfn.MINIFS($B$3:$B$5000,$A$3:$A$5000,$A1764,$B$3:$B$5000,"&gt;"&amp;$B1764))</f>
        <v>46279.5987643652</v>
      </c>
    </row>
    <row r="1765" customFormat="false" ht="15" hidden="false" customHeight="true" outlineLevel="0" collapsed="false">
      <c r="A1765" s="42"/>
      <c r="B1765" s="42"/>
      <c r="C1765" s="42"/>
      <c r="D1765" s="42"/>
      <c r="E1765" s="42"/>
      <c r="F1765" s="51" t="n">
        <f aca="false">IF(OR(C1765="",D1765="",E1765="",E1765=0),0,C1765*D1765/E1765)</f>
        <v>0</v>
      </c>
      <c r="G1765" s="42"/>
      <c r="H1765" s="49" t="n">
        <f aca="true">IF(OR($A1765="",_xlfn.MINIFS($B$3:$B$5000,$A$3:$A$5000,$A1765,$B$3:$B$5000,"&gt;"&amp;$B1765)=0),NOW(),_xlfn.MINIFS($B$3:$B$5000,$A$3:$A$5000,$A1765,$B$3:$B$5000,"&gt;"&amp;$B1765))</f>
        <v>46279.5987643653</v>
      </c>
    </row>
    <row r="1766" customFormat="false" ht="15" hidden="false" customHeight="true" outlineLevel="0" collapsed="false">
      <c r="A1766" s="42"/>
      <c r="B1766" s="42"/>
      <c r="C1766" s="42"/>
      <c r="D1766" s="42"/>
      <c r="E1766" s="42"/>
      <c r="F1766" s="51" t="n">
        <f aca="false">IF(OR(C1766="",D1766="",E1766="",E1766=0),0,C1766*D1766/E1766)</f>
        <v>0</v>
      </c>
      <c r="G1766" s="42"/>
      <c r="H1766" s="49" t="n">
        <f aca="true">IF(OR($A1766="",_xlfn.MINIFS($B$3:$B$5000,$A$3:$A$5000,$A1766,$B$3:$B$5000,"&gt;"&amp;$B1766)=0),NOW(),_xlfn.MINIFS($B$3:$B$5000,$A$3:$A$5000,$A1766,$B$3:$B$5000,"&gt;"&amp;$B1766))</f>
        <v>46279.5987643653</v>
      </c>
    </row>
    <row r="1767" customFormat="false" ht="15" hidden="false" customHeight="true" outlineLevel="0" collapsed="false">
      <c r="A1767" s="42"/>
      <c r="B1767" s="42"/>
      <c r="C1767" s="42"/>
      <c r="D1767" s="42"/>
      <c r="E1767" s="42"/>
      <c r="F1767" s="51" t="n">
        <f aca="false">IF(OR(C1767="",D1767="",E1767="",E1767=0),0,C1767*D1767/E1767)</f>
        <v>0</v>
      </c>
      <c r="G1767" s="42"/>
      <c r="H1767" s="49" t="n">
        <f aca="true">IF(OR($A1767="",_xlfn.MINIFS($B$3:$B$5000,$A$3:$A$5000,$A1767,$B$3:$B$5000,"&gt;"&amp;$B1767)=0),NOW(),_xlfn.MINIFS($B$3:$B$5000,$A$3:$A$5000,$A1767,$B$3:$B$5000,"&gt;"&amp;$B1767))</f>
        <v>46279.5987643654</v>
      </c>
    </row>
    <row r="1768" customFormat="false" ht="15" hidden="false" customHeight="true" outlineLevel="0" collapsed="false">
      <c r="A1768" s="42"/>
      <c r="B1768" s="42"/>
      <c r="C1768" s="42"/>
      <c r="D1768" s="42"/>
      <c r="E1768" s="42"/>
      <c r="F1768" s="51" t="n">
        <f aca="false">IF(OR(C1768="",D1768="",E1768="",E1768=0),0,C1768*D1768/E1768)</f>
        <v>0</v>
      </c>
      <c r="G1768" s="42"/>
      <c r="H1768" s="49" t="n">
        <f aca="true">IF(OR($A1768="",_xlfn.MINIFS($B$3:$B$5000,$A$3:$A$5000,$A1768,$B$3:$B$5000,"&gt;"&amp;$B1768)=0),NOW(),_xlfn.MINIFS($B$3:$B$5000,$A$3:$A$5000,$A1768,$B$3:$B$5000,"&gt;"&amp;$B1768))</f>
        <v>46279.5987643654</v>
      </c>
    </row>
    <row r="1769" customFormat="false" ht="15" hidden="false" customHeight="true" outlineLevel="0" collapsed="false">
      <c r="A1769" s="42"/>
      <c r="B1769" s="42"/>
      <c r="C1769" s="42"/>
      <c r="D1769" s="42"/>
      <c r="E1769" s="42"/>
      <c r="F1769" s="51" t="n">
        <f aca="false">IF(OR(C1769="",D1769="",E1769="",E1769=0),0,C1769*D1769/E1769)</f>
        <v>0</v>
      </c>
      <c r="G1769" s="42"/>
      <c r="H1769" s="49" t="n">
        <f aca="true">IF(OR($A1769="",_xlfn.MINIFS($B$3:$B$5000,$A$3:$A$5000,$A1769,$B$3:$B$5000,"&gt;"&amp;$B1769)=0),NOW(),_xlfn.MINIFS($B$3:$B$5000,$A$3:$A$5000,$A1769,$B$3:$B$5000,"&gt;"&amp;$B1769))</f>
        <v>46279.5987643655</v>
      </c>
    </row>
    <row r="1770" customFormat="false" ht="15" hidden="false" customHeight="true" outlineLevel="0" collapsed="false">
      <c r="A1770" s="42"/>
      <c r="B1770" s="42"/>
      <c r="C1770" s="42"/>
      <c r="D1770" s="42"/>
      <c r="E1770" s="42"/>
      <c r="F1770" s="51" t="n">
        <f aca="false">IF(OR(C1770="",D1770="",E1770="",E1770=0),0,C1770*D1770/E1770)</f>
        <v>0</v>
      </c>
      <c r="G1770" s="42"/>
      <c r="H1770" s="49" t="n">
        <f aca="true">IF(OR($A1770="",_xlfn.MINIFS($B$3:$B$5000,$A$3:$A$5000,$A1770,$B$3:$B$5000,"&gt;"&amp;$B1770)=0),NOW(),_xlfn.MINIFS($B$3:$B$5000,$A$3:$A$5000,$A1770,$B$3:$B$5000,"&gt;"&amp;$B1770))</f>
        <v>46279.5987643655</v>
      </c>
    </row>
    <row r="1771" customFormat="false" ht="15" hidden="false" customHeight="true" outlineLevel="0" collapsed="false">
      <c r="A1771" s="42"/>
      <c r="B1771" s="42"/>
      <c r="C1771" s="42"/>
      <c r="D1771" s="42"/>
      <c r="E1771" s="42"/>
      <c r="F1771" s="51" t="n">
        <f aca="false">IF(OR(C1771="",D1771="",E1771="",E1771=0),0,C1771*D1771/E1771)</f>
        <v>0</v>
      </c>
      <c r="G1771" s="42"/>
      <c r="H1771" s="49" t="n">
        <f aca="true">IF(OR($A1771="",_xlfn.MINIFS($B$3:$B$5000,$A$3:$A$5000,$A1771,$B$3:$B$5000,"&gt;"&amp;$B1771)=0),NOW(),_xlfn.MINIFS($B$3:$B$5000,$A$3:$A$5000,$A1771,$B$3:$B$5000,"&gt;"&amp;$B1771))</f>
        <v>46279.5987643656</v>
      </c>
    </row>
    <row r="1772" customFormat="false" ht="15" hidden="false" customHeight="true" outlineLevel="0" collapsed="false">
      <c r="A1772" s="42"/>
      <c r="B1772" s="42"/>
      <c r="C1772" s="42"/>
      <c r="D1772" s="42"/>
      <c r="E1772" s="42"/>
      <c r="F1772" s="51" t="n">
        <f aca="false">IF(OR(C1772="",D1772="",E1772="",E1772=0),0,C1772*D1772/E1772)</f>
        <v>0</v>
      </c>
      <c r="G1772" s="42"/>
      <c r="H1772" s="49" t="n">
        <f aca="true">IF(OR($A1772="",_xlfn.MINIFS($B$3:$B$5000,$A$3:$A$5000,$A1772,$B$3:$B$5000,"&gt;"&amp;$B1772)=0),NOW(),_xlfn.MINIFS($B$3:$B$5000,$A$3:$A$5000,$A1772,$B$3:$B$5000,"&gt;"&amp;$B1772))</f>
        <v>46279.5987643656</v>
      </c>
    </row>
    <row r="1773" customFormat="false" ht="15" hidden="false" customHeight="true" outlineLevel="0" collapsed="false">
      <c r="A1773" s="42"/>
      <c r="B1773" s="42"/>
      <c r="C1773" s="42"/>
      <c r="D1773" s="42"/>
      <c r="E1773" s="42"/>
      <c r="F1773" s="51" t="n">
        <f aca="false">IF(OR(C1773="",D1773="",E1773="",E1773=0),0,C1773*D1773/E1773)</f>
        <v>0</v>
      </c>
      <c r="G1773" s="42"/>
      <c r="H1773" s="49" t="n">
        <f aca="true">IF(OR($A1773="",_xlfn.MINIFS($B$3:$B$5000,$A$3:$A$5000,$A1773,$B$3:$B$5000,"&gt;"&amp;$B1773)=0),NOW(),_xlfn.MINIFS($B$3:$B$5000,$A$3:$A$5000,$A1773,$B$3:$B$5000,"&gt;"&amp;$B1773))</f>
        <v>46279.5987643657</v>
      </c>
    </row>
    <row r="1774" customFormat="false" ht="15" hidden="false" customHeight="true" outlineLevel="0" collapsed="false">
      <c r="A1774" s="42"/>
      <c r="B1774" s="42"/>
      <c r="C1774" s="42"/>
      <c r="D1774" s="42"/>
      <c r="E1774" s="42"/>
      <c r="F1774" s="51" t="n">
        <f aca="false">IF(OR(C1774="",D1774="",E1774="",E1774=0),0,C1774*D1774/E1774)</f>
        <v>0</v>
      </c>
      <c r="G1774" s="42"/>
      <c r="H1774" s="49" t="n">
        <f aca="true">IF(OR($A1774="",_xlfn.MINIFS($B$3:$B$5000,$A$3:$A$5000,$A1774,$B$3:$B$5000,"&gt;"&amp;$B1774)=0),NOW(),_xlfn.MINIFS($B$3:$B$5000,$A$3:$A$5000,$A1774,$B$3:$B$5000,"&gt;"&amp;$B1774))</f>
        <v>46279.5987643657</v>
      </c>
    </row>
    <row r="1775" customFormat="false" ht="15" hidden="false" customHeight="true" outlineLevel="0" collapsed="false">
      <c r="A1775" s="42"/>
      <c r="B1775" s="42"/>
      <c r="C1775" s="42"/>
      <c r="D1775" s="42"/>
      <c r="E1775" s="42"/>
      <c r="F1775" s="51" t="n">
        <f aca="false">IF(OR(C1775="",D1775="",E1775="",E1775=0),0,C1775*D1775/E1775)</f>
        <v>0</v>
      </c>
      <c r="G1775" s="42"/>
      <c r="H1775" s="49" t="n">
        <f aca="true">IF(OR($A1775="",_xlfn.MINIFS($B$3:$B$5000,$A$3:$A$5000,$A1775,$B$3:$B$5000,"&gt;"&amp;$B1775)=0),NOW(),_xlfn.MINIFS($B$3:$B$5000,$A$3:$A$5000,$A1775,$B$3:$B$5000,"&gt;"&amp;$B1775))</f>
        <v>46279.5987643658</v>
      </c>
    </row>
    <row r="1776" customFormat="false" ht="15" hidden="false" customHeight="true" outlineLevel="0" collapsed="false">
      <c r="A1776" s="42"/>
      <c r="B1776" s="42"/>
      <c r="C1776" s="42"/>
      <c r="D1776" s="42"/>
      <c r="E1776" s="42"/>
      <c r="F1776" s="51" t="n">
        <f aca="false">IF(OR(C1776="",D1776="",E1776="",E1776=0),0,C1776*D1776/E1776)</f>
        <v>0</v>
      </c>
      <c r="G1776" s="42"/>
      <c r="H1776" s="49" t="n">
        <f aca="true">IF(OR($A1776="",_xlfn.MINIFS($B$3:$B$5000,$A$3:$A$5000,$A1776,$B$3:$B$5000,"&gt;"&amp;$B1776)=0),NOW(),_xlfn.MINIFS($B$3:$B$5000,$A$3:$A$5000,$A1776,$B$3:$B$5000,"&gt;"&amp;$B1776))</f>
        <v>46279.5987643658</v>
      </c>
    </row>
    <row r="1777" customFormat="false" ht="15" hidden="false" customHeight="true" outlineLevel="0" collapsed="false">
      <c r="A1777" s="42"/>
      <c r="B1777" s="42"/>
      <c r="C1777" s="42"/>
      <c r="D1777" s="42"/>
      <c r="E1777" s="42"/>
      <c r="F1777" s="51" t="n">
        <f aca="false">IF(OR(C1777="",D1777="",E1777="",E1777=0),0,C1777*D1777/E1777)</f>
        <v>0</v>
      </c>
      <c r="G1777" s="42"/>
      <c r="H1777" s="49" t="n">
        <f aca="true">IF(OR($A1777="",_xlfn.MINIFS($B$3:$B$5000,$A$3:$A$5000,$A1777,$B$3:$B$5000,"&gt;"&amp;$B1777)=0),NOW(),_xlfn.MINIFS($B$3:$B$5000,$A$3:$A$5000,$A1777,$B$3:$B$5000,"&gt;"&amp;$B1777))</f>
        <v>46279.5987643659</v>
      </c>
    </row>
    <row r="1778" customFormat="false" ht="15" hidden="false" customHeight="true" outlineLevel="0" collapsed="false">
      <c r="A1778" s="42"/>
      <c r="B1778" s="42"/>
      <c r="C1778" s="42"/>
      <c r="D1778" s="42"/>
      <c r="E1778" s="42"/>
      <c r="F1778" s="51" t="n">
        <f aca="false">IF(OR(C1778="",D1778="",E1778="",E1778=0),0,C1778*D1778/E1778)</f>
        <v>0</v>
      </c>
      <c r="G1778" s="42"/>
      <c r="H1778" s="49" t="n">
        <f aca="true">IF(OR($A1778="",_xlfn.MINIFS($B$3:$B$5000,$A$3:$A$5000,$A1778,$B$3:$B$5000,"&gt;"&amp;$B1778)=0),NOW(),_xlfn.MINIFS($B$3:$B$5000,$A$3:$A$5000,$A1778,$B$3:$B$5000,"&gt;"&amp;$B1778))</f>
        <v>46279.5987643659</v>
      </c>
    </row>
    <row r="1779" customFormat="false" ht="15" hidden="false" customHeight="true" outlineLevel="0" collapsed="false">
      <c r="A1779" s="42"/>
      <c r="B1779" s="42"/>
      <c r="C1779" s="42"/>
      <c r="D1779" s="42"/>
      <c r="E1779" s="42"/>
      <c r="F1779" s="51" t="n">
        <f aca="false">IF(OR(C1779="",D1779="",E1779="",E1779=0),0,C1779*D1779/E1779)</f>
        <v>0</v>
      </c>
      <c r="G1779" s="42"/>
      <c r="H1779" s="49" t="n">
        <f aca="true">IF(OR($A1779="",_xlfn.MINIFS($B$3:$B$5000,$A$3:$A$5000,$A1779,$B$3:$B$5000,"&gt;"&amp;$B1779)=0),NOW(),_xlfn.MINIFS($B$3:$B$5000,$A$3:$A$5000,$A1779,$B$3:$B$5000,"&gt;"&amp;$B1779))</f>
        <v>46279.598764366</v>
      </c>
    </row>
    <row r="1780" customFormat="false" ht="15" hidden="false" customHeight="true" outlineLevel="0" collapsed="false">
      <c r="A1780" s="42"/>
      <c r="B1780" s="42"/>
      <c r="C1780" s="42"/>
      <c r="D1780" s="42"/>
      <c r="E1780" s="42"/>
      <c r="F1780" s="51" t="n">
        <f aca="false">IF(OR(C1780="",D1780="",E1780="",E1780=0),0,C1780*D1780/E1780)</f>
        <v>0</v>
      </c>
      <c r="G1780" s="42"/>
      <c r="H1780" s="49" t="n">
        <f aca="true">IF(OR($A1780="",_xlfn.MINIFS($B$3:$B$5000,$A$3:$A$5000,$A1780,$B$3:$B$5000,"&gt;"&amp;$B1780)=0),NOW(),_xlfn.MINIFS($B$3:$B$5000,$A$3:$A$5000,$A1780,$B$3:$B$5000,"&gt;"&amp;$B1780))</f>
        <v>46279.5987643661</v>
      </c>
    </row>
    <row r="1781" customFormat="false" ht="15" hidden="false" customHeight="true" outlineLevel="0" collapsed="false">
      <c r="A1781" s="42"/>
      <c r="B1781" s="42"/>
      <c r="C1781" s="42"/>
      <c r="D1781" s="42"/>
      <c r="E1781" s="42"/>
      <c r="F1781" s="51" t="n">
        <f aca="false">IF(OR(C1781="",D1781="",E1781="",E1781=0),0,C1781*D1781/E1781)</f>
        <v>0</v>
      </c>
      <c r="G1781" s="42"/>
      <c r="H1781" s="49" t="n">
        <f aca="true">IF(OR($A1781="",_xlfn.MINIFS($B$3:$B$5000,$A$3:$A$5000,$A1781,$B$3:$B$5000,"&gt;"&amp;$B1781)=0),NOW(),_xlfn.MINIFS($B$3:$B$5000,$A$3:$A$5000,$A1781,$B$3:$B$5000,"&gt;"&amp;$B1781))</f>
        <v>46279.5987643661</v>
      </c>
    </row>
    <row r="1782" customFormat="false" ht="15" hidden="false" customHeight="true" outlineLevel="0" collapsed="false">
      <c r="A1782" s="42"/>
      <c r="B1782" s="42"/>
      <c r="C1782" s="42"/>
      <c r="D1782" s="42"/>
      <c r="E1782" s="42"/>
      <c r="F1782" s="51" t="n">
        <f aca="false">IF(OR(C1782="",D1782="",E1782="",E1782=0),0,C1782*D1782/E1782)</f>
        <v>0</v>
      </c>
      <c r="G1782" s="42"/>
      <c r="H1782" s="49" t="n">
        <f aca="true">IF(OR($A1782="",_xlfn.MINIFS($B$3:$B$5000,$A$3:$A$5000,$A1782,$B$3:$B$5000,"&gt;"&amp;$B1782)=0),NOW(),_xlfn.MINIFS($B$3:$B$5000,$A$3:$A$5000,$A1782,$B$3:$B$5000,"&gt;"&amp;$B1782))</f>
        <v>46279.5987643662</v>
      </c>
    </row>
    <row r="1783" customFormat="false" ht="15" hidden="false" customHeight="true" outlineLevel="0" collapsed="false">
      <c r="A1783" s="42"/>
      <c r="B1783" s="42"/>
      <c r="C1783" s="42"/>
      <c r="D1783" s="42"/>
      <c r="E1783" s="42"/>
      <c r="F1783" s="51" t="n">
        <f aca="false">IF(OR(C1783="",D1783="",E1783="",E1783=0),0,C1783*D1783/E1783)</f>
        <v>0</v>
      </c>
      <c r="G1783" s="42"/>
      <c r="H1783" s="49" t="n">
        <f aca="true">IF(OR($A1783="",_xlfn.MINIFS($B$3:$B$5000,$A$3:$A$5000,$A1783,$B$3:$B$5000,"&gt;"&amp;$B1783)=0),NOW(),_xlfn.MINIFS($B$3:$B$5000,$A$3:$A$5000,$A1783,$B$3:$B$5000,"&gt;"&amp;$B1783))</f>
        <v>46279.5987643662</v>
      </c>
    </row>
    <row r="1784" customFormat="false" ht="15" hidden="false" customHeight="true" outlineLevel="0" collapsed="false">
      <c r="A1784" s="42"/>
      <c r="B1784" s="42"/>
      <c r="C1784" s="42"/>
      <c r="D1784" s="42"/>
      <c r="E1784" s="42"/>
      <c r="F1784" s="51" t="n">
        <f aca="false">IF(OR(C1784="",D1784="",E1784="",E1784=0),0,C1784*D1784/E1784)</f>
        <v>0</v>
      </c>
      <c r="G1784" s="42"/>
      <c r="H1784" s="49" t="n">
        <f aca="true">IF(OR($A1784="",_xlfn.MINIFS($B$3:$B$5000,$A$3:$A$5000,$A1784,$B$3:$B$5000,"&gt;"&amp;$B1784)=0),NOW(),_xlfn.MINIFS($B$3:$B$5000,$A$3:$A$5000,$A1784,$B$3:$B$5000,"&gt;"&amp;$B1784))</f>
        <v>46279.5987643663</v>
      </c>
    </row>
    <row r="1785" customFormat="false" ht="15" hidden="false" customHeight="true" outlineLevel="0" collapsed="false">
      <c r="A1785" s="42"/>
      <c r="B1785" s="42"/>
      <c r="C1785" s="42"/>
      <c r="D1785" s="42"/>
      <c r="E1785" s="42"/>
      <c r="F1785" s="51" t="n">
        <f aca="false">IF(OR(C1785="",D1785="",E1785="",E1785=0),0,C1785*D1785/E1785)</f>
        <v>0</v>
      </c>
      <c r="G1785" s="42"/>
      <c r="H1785" s="49" t="n">
        <f aca="true">IF(OR($A1785="",_xlfn.MINIFS($B$3:$B$5000,$A$3:$A$5000,$A1785,$B$3:$B$5000,"&gt;"&amp;$B1785)=0),NOW(),_xlfn.MINIFS($B$3:$B$5000,$A$3:$A$5000,$A1785,$B$3:$B$5000,"&gt;"&amp;$B1785))</f>
        <v>46279.5987643663</v>
      </c>
    </row>
    <row r="1786" customFormat="false" ht="15" hidden="false" customHeight="true" outlineLevel="0" collapsed="false">
      <c r="A1786" s="42"/>
      <c r="B1786" s="42"/>
      <c r="C1786" s="42"/>
      <c r="D1786" s="42"/>
      <c r="E1786" s="42"/>
      <c r="F1786" s="51" t="n">
        <f aca="false">IF(OR(C1786="",D1786="",E1786="",E1786=0),0,C1786*D1786/E1786)</f>
        <v>0</v>
      </c>
      <c r="G1786" s="42"/>
      <c r="H1786" s="49" t="n">
        <f aca="true">IF(OR($A1786="",_xlfn.MINIFS($B$3:$B$5000,$A$3:$A$5000,$A1786,$B$3:$B$5000,"&gt;"&amp;$B1786)=0),NOW(),_xlfn.MINIFS($B$3:$B$5000,$A$3:$A$5000,$A1786,$B$3:$B$5000,"&gt;"&amp;$B1786))</f>
        <v>46279.5987643664</v>
      </c>
    </row>
    <row r="1787" customFormat="false" ht="15" hidden="false" customHeight="true" outlineLevel="0" collapsed="false">
      <c r="A1787" s="42"/>
      <c r="B1787" s="42"/>
      <c r="C1787" s="42"/>
      <c r="D1787" s="42"/>
      <c r="E1787" s="42"/>
      <c r="F1787" s="51" t="n">
        <f aca="false">IF(OR(C1787="",D1787="",E1787="",E1787=0),0,C1787*D1787/E1787)</f>
        <v>0</v>
      </c>
      <c r="G1787" s="42"/>
      <c r="H1787" s="49" t="n">
        <f aca="true">IF(OR($A1787="",_xlfn.MINIFS($B$3:$B$5000,$A$3:$A$5000,$A1787,$B$3:$B$5000,"&gt;"&amp;$B1787)=0),NOW(),_xlfn.MINIFS($B$3:$B$5000,$A$3:$A$5000,$A1787,$B$3:$B$5000,"&gt;"&amp;$B1787))</f>
        <v>46279.5987643664</v>
      </c>
    </row>
    <row r="1788" customFormat="false" ht="15" hidden="false" customHeight="true" outlineLevel="0" collapsed="false">
      <c r="A1788" s="42"/>
      <c r="B1788" s="42"/>
      <c r="C1788" s="42"/>
      <c r="D1788" s="42"/>
      <c r="E1788" s="42"/>
      <c r="F1788" s="51" t="n">
        <f aca="false">IF(OR(C1788="",D1788="",E1788="",E1788=0),0,C1788*D1788/E1788)</f>
        <v>0</v>
      </c>
      <c r="G1788" s="42"/>
      <c r="H1788" s="49" t="n">
        <f aca="true">IF(OR($A1788="",_xlfn.MINIFS($B$3:$B$5000,$A$3:$A$5000,$A1788,$B$3:$B$5000,"&gt;"&amp;$B1788)=0),NOW(),_xlfn.MINIFS($B$3:$B$5000,$A$3:$A$5000,$A1788,$B$3:$B$5000,"&gt;"&amp;$B1788))</f>
        <v>46279.5987643665</v>
      </c>
    </row>
    <row r="1789" customFormat="false" ht="15" hidden="false" customHeight="true" outlineLevel="0" collapsed="false">
      <c r="A1789" s="42"/>
      <c r="B1789" s="42"/>
      <c r="C1789" s="42"/>
      <c r="D1789" s="42"/>
      <c r="E1789" s="42"/>
      <c r="F1789" s="51" t="n">
        <f aca="false">IF(OR(C1789="",D1789="",E1789="",E1789=0),0,C1789*D1789/E1789)</f>
        <v>0</v>
      </c>
      <c r="G1789" s="42"/>
      <c r="H1789" s="49" t="n">
        <f aca="true">IF(OR($A1789="",_xlfn.MINIFS($B$3:$B$5000,$A$3:$A$5000,$A1789,$B$3:$B$5000,"&gt;"&amp;$B1789)=0),NOW(),_xlfn.MINIFS($B$3:$B$5000,$A$3:$A$5000,$A1789,$B$3:$B$5000,"&gt;"&amp;$B1789))</f>
        <v>46279.5987643665</v>
      </c>
    </row>
    <row r="1790" customFormat="false" ht="15" hidden="false" customHeight="true" outlineLevel="0" collapsed="false">
      <c r="A1790" s="42"/>
      <c r="B1790" s="42"/>
      <c r="C1790" s="42"/>
      <c r="D1790" s="42"/>
      <c r="E1790" s="42"/>
      <c r="F1790" s="51" t="n">
        <f aca="false">IF(OR(C1790="",D1790="",E1790="",E1790=0),0,C1790*D1790/E1790)</f>
        <v>0</v>
      </c>
      <c r="G1790" s="42"/>
      <c r="H1790" s="49" t="n">
        <f aca="true">IF(OR($A1790="",_xlfn.MINIFS($B$3:$B$5000,$A$3:$A$5000,$A1790,$B$3:$B$5000,"&gt;"&amp;$B1790)=0),NOW(),_xlfn.MINIFS($B$3:$B$5000,$A$3:$A$5000,$A1790,$B$3:$B$5000,"&gt;"&amp;$B1790))</f>
        <v>46279.5987643666</v>
      </c>
    </row>
    <row r="1791" customFormat="false" ht="15" hidden="false" customHeight="true" outlineLevel="0" collapsed="false">
      <c r="A1791" s="42"/>
      <c r="B1791" s="42"/>
      <c r="C1791" s="42"/>
      <c r="D1791" s="42"/>
      <c r="E1791" s="42"/>
      <c r="F1791" s="51" t="n">
        <f aca="false">IF(OR(C1791="",D1791="",E1791="",E1791=0),0,C1791*D1791/E1791)</f>
        <v>0</v>
      </c>
      <c r="G1791" s="42"/>
      <c r="H1791" s="49" t="n">
        <f aca="true">IF(OR($A1791="",_xlfn.MINIFS($B$3:$B$5000,$A$3:$A$5000,$A1791,$B$3:$B$5000,"&gt;"&amp;$B1791)=0),NOW(),_xlfn.MINIFS($B$3:$B$5000,$A$3:$A$5000,$A1791,$B$3:$B$5000,"&gt;"&amp;$B1791))</f>
        <v>46279.5987643666</v>
      </c>
    </row>
    <row r="1792" customFormat="false" ht="15" hidden="false" customHeight="true" outlineLevel="0" collapsed="false">
      <c r="A1792" s="42"/>
      <c r="B1792" s="42"/>
      <c r="C1792" s="42"/>
      <c r="D1792" s="42"/>
      <c r="E1792" s="42"/>
      <c r="F1792" s="51" t="n">
        <f aca="false">IF(OR(C1792="",D1792="",E1792="",E1792=0),0,C1792*D1792/E1792)</f>
        <v>0</v>
      </c>
      <c r="G1792" s="42"/>
      <c r="H1792" s="49" t="n">
        <f aca="true">IF(OR($A1792="",_xlfn.MINIFS($B$3:$B$5000,$A$3:$A$5000,$A1792,$B$3:$B$5000,"&gt;"&amp;$B1792)=0),NOW(),_xlfn.MINIFS($B$3:$B$5000,$A$3:$A$5000,$A1792,$B$3:$B$5000,"&gt;"&amp;$B1792))</f>
        <v>46279.5987643667</v>
      </c>
    </row>
    <row r="1793" customFormat="false" ht="15" hidden="false" customHeight="true" outlineLevel="0" collapsed="false">
      <c r="A1793" s="42"/>
      <c r="B1793" s="42"/>
      <c r="C1793" s="42"/>
      <c r="D1793" s="42"/>
      <c r="E1793" s="42"/>
      <c r="F1793" s="51" t="n">
        <f aca="false">IF(OR(C1793="",D1793="",E1793="",E1793=0),0,C1793*D1793/E1793)</f>
        <v>0</v>
      </c>
      <c r="G1793" s="42"/>
      <c r="H1793" s="49" t="n">
        <f aca="true">IF(OR($A1793="",_xlfn.MINIFS($B$3:$B$5000,$A$3:$A$5000,$A1793,$B$3:$B$5000,"&gt;"&amp;$B1793)=0),NOW(),_xlfn.MINIFS($B$3:$B$5000,$A$3:$A$5000,$A1793,$B$3:$B$5000,"&gt;"&amp;$B1793))</f>
        <v>46279.5987643667</v>
      </c>
    </row>
    <row r="1794" customFormat="false" ht="15" hidden="false" customHeight="true" outlineLevel="0" collapsed="false">
      <c r="A1794" s="42"/>
      <c r="B1794" s="42"/>
      <c r="C1794" s="42"/>
      <c r="D1794" s="42"/>
      <c r="E1794" s="42"/>
      <c r="F1794" s="51" t="n">
        <f aca="false">IF(OR(C1794="",D1794="",E1794="",E1794=0),0,C1794*D1794/E1794)</f>
        <v>0</v>
      </c>
      <c r="G1794" s="42"/>
      <c r="H1794" s="49" t="n">
        <f aca="true">IF(OR($A1794="",_xlfn.MINIFS($B$3:$B$5000,$A$3:$A$5000,$A1794,$B$3:$B$5000,"&gt;"&amp;$B1794)=0),NOW(),_xlfn.MINIFS($B$3:$B$5000,$A$3:$A$5000,$A1794,$B$3:$B$5000,"&gt;"&amp;$B1794))</f>
        <v>46279.5987643668</v>
      </c>
    </row>
    <row r="1795" customFormat="false" ht="15" hidden="false" customHeight="true" outlineLevel="0" collapsed="false">
      <c r="A1795" s="42"/>
      <c r="B1795" s="42"/>
      <c r="C1795" s="42"/>
      <c r="D1795" s="42"/>
      <c r="E1795" s="42"/>
      <c r="F1795" s="51" t="n">
        <f aca="false">IF(OR(C1795="",D1795="",E1795="",E1795=0),0,C1795*D1795/E1795)</f>
        <v>0</v>
      </c>
      <c r="G1795" s="42"/>
      <c r="H1795" s="49" t="n">
        <f aca="true">IF(OR($A1795="",_xlfn.MINIFS($B$3:$B$5000,$A$3:$A$5000,$A1795,$B$3:$B$5000,"&gt;"&amp;$B1795)=0),NOW(),_xlfn.MINIFS($B$3:$B$5000,$A$3:$A$5000,$A1795,$B$3:$B$5000,"&gt;"&amp;$B1795))</f>
        <v>46279.5987643668</v>
      </c>
    </row>
    <row r="1796" customFormat="false" ht="15" hidden="false" customHeight="true" outlineLevel="0" collapsed="false">
      <c r="A1796" s="42"/>
      <c r="B1796" s="42"/>
      <c r="C1796" s="42"/>
      <c r="D1796" s="42"/>
      <c r="E1796" s="42"/>
      <c r="F1796" s="51" t="n">
        <f aca="false">IF(OR(C1796="",D1796="",E1796="",E1796=0),0,C1796*D1796/E1796)</f>
        <v>0</v>
      </c>
      <c r="G1796" s="42"/>
      <c r="H1796" s="49" t="n">
        <f aca="true">IF(OR($A1796="",_xlfn.MINIFS($B$3:$B$5000,$A$3:$A$5000,$A1796,$B$3:$B$5000,"&gt;"&amp;$B1796)=0),NOW(),_xlfn.MINIFS($B$3:$B$5000,$A$3:$A$5000,$A1796,$B$3:$B$5000,"&gt;"&amp;$B1796))</f>
        <v>46279.5987643669</v>
      </c>
    </row>
    <row r="1797" customFormat="false" ht="15" hidden="false" customHeight="true" outlineLevel="0" collapsed="false">
      <c r="A1797" s="42"/>
      <c r="B1797" s="42"/>
      <c r="C1797" s="42"/>
      <c r="D1797" s="42"/>
      <c r="E1797" s="42"/>
      <c r="F1797" s="51" t="n">
        <f aca="false">IF(OR(C1797="",D1797="",E1797="",E1797=0),0,C1797*D1797/E1797)</f>
        <v>0</v>
      </c>
      <c r="G1797" s="42"/>
      <c r="H1797" s="49" t="n">
        <f aca="true">IF(OR($A1797="",_xlfn.MINIFS($B$3:$B$5000,$A$3:$A$5000,$A1797,$B$3:$B$5000,"&gt;"&amp;$B1797)=0),NOW(),_xlfn.MINIFS($B$3:$B$5000,$A$3:$A$5000,$A1797,$B$3:$B$5000,"&gt;"&amp;$B1797))</f>
        <v>46279.5987643669</v>
      </c>
    </row>
    <row r="1798" customFormat="false" ht="15" hidden="false" customHeight="true" outlineLevel="0" collapsed="false">
      <c r="A1798" s="42"/>
      <c r="B1798" s="42"/>
      <c r="C1798" s="42"/>
      <c r="D1798" s="42"/>
      <c r="E1798" s="42"/>
      <c r="F1798" s="51" t="n">
        <f aca="false">IF(OR(C1798="",D1798="",E1798="",E1798=0),0,C1798*D1798/E1798)</f>
        <v>0</v>
      </c>
      <c r="G1798" s="42"/>
      <c r="H1798" s="49" t="n">
        <f aca="true">IF(OR($A1798="",_xlfn.MINIFS($B$3:$B$5000,$A$3:$A$5000,$A1798,$B$3:$B$5000,"&gt;"&amp;$B1798)=0),NOW(),_xlfn.MINIFS($B$3:$B$5000,$A$3:$A$5000,$A1798,$B$3:$B$5000,"&gt;"&amp;$B1798))</f>
        <v>46279.598764367</v>
      </c>
    </row>
    <row r="1799" customFormat="false" ht="15" hidden="false" customHeight="true" outlineLevel="0" collapsed="false">
      <c r="A1799" s="42"/>
      <c r="B1799" s="42"/>
      <c r="C1799" s="42"/>
      <c r="D1799" s="42"/>
      <c r="E1799" s="42"/>
      <c r="F1799" s="51" t="n">
        <f aca="false">IF(OR(C1799="",D1799="",E1799="",E1799=0),0,C1799*D1799/E1799)</f>
        <v>0</v>
      </c>
      <c r="G1799" s="42"/>
      <c r="H1799" s="49" t="n">
        <f aca="true">IF(OR($A1799="",_xlfn.MINIFS($B$3:$B$5000,$A$3:$A$5000,$A1799,$B$3:$B$5000,"&gt;"&amp;$B1799)=0),NOW(),_xlfn.MINIFS($B$3:$B$5000,$A$3:$A$5000,$A1799,$B$3:$B$5000,"&gt;"&amp;$B1799))</f>
        <v>46279.598764367</v>
      </c>
    </row>
    <row r="1800" customFormat="false" ht="15" hidden="false" customHeight="true" outlineLevel="0" collapsed="false">
      <c r="A1800" s="42"/>
      <c r="B1800" s="42"/>
      <c r="C1800" s="42"/>
      <c r="D1800" s="42"/>
      <c r="E1800" s="42"/>
      <c r="F1800" s="51" t="n">
        <f aca="false">IF(OR(C1800="",D1800="",E1800="",E1800=0),0,C1800*D1800/E1800)</f>
        <v>0</v>
      </c>
      <c r="G1800" s="42"/>
      <c r="H1800" s="49" t="n">
        <f aca="true">IF(OR($A1800="",_xlfn.MINIFS($B$3:$B$5000,$A$3:$A$5000,$A1800,$B$3:$B$5000,"&gt;"&amp;$B1800)=0),NOW(),_xlfn.MINIFS($B$3:$B$5000,$A$3:$A$5000,$A1800,$B$3:$B$5000,"&gt;"&amp;$B1800))</f>
        <v>46279.5987643671</v>
      </c>
    </row>
    <row r="1801" customFormat="false" ht="15" hidden="false" customHeight="true" outlineLevel="0" collapsed="false">
      <c r="A1801" s="42"/>
      <c r="B1801" s="42"/>
      <c r="C1801" s="42"/>
      <c r="D1801" s="42"/>
      <c r="E1801" s="42"/>
      <c r="F1801" s="51" t="n">
        <f aca="false">IF(OR(C1801="",D1801="",E1801="",E1801=0),0,C1801*D1801/E1801)</f>
        <v>0</v>
      </c>
      <c r="G1801" s="42"/>
      <c r="H1801" s="49" t="n">
        <f aca="true">IF(OR($A1801="",_xlfn.MINIFS($B$3:$B$5000,$A$3:$A$5000,$A1801,$B$3:$B$5000,"&gt;"&amp;$B1801)=0),NOW(),_xlfn.MINIFS($B$3:$B$5000,$A$3:$A$5000,$A1801,$B$3:$B$5000,"&gt;"&amp;$B1801))</f>
        <v>46279.5987643671</v>
      </c>
    </row>
    <row r="1802" customFormat="false" ht="15" hidden="false" customHeight="true" outlineLevel="0" collapsed="false">
      <c r="A1802" s="42"/>
      <c r="B1802" s="42"/>
      <c r="C1802" s="42"/>
      <c r="D1802" s="42"/>
      <c r="E1802" s="42"/>
      <c r="F1802" s="51" t="n">
        <f aca="false">IF(OR(C1802="",D1802="",E1802="",E1802=0),0,C1802*D1802/E1802)</f>
        <v>0</v>
      </c>
      <c r="G1802" s="42"/>
      <c r="H1802" s="49" t="n">
        <f aca="true">IF(OR($A1802="",_xlfn.MINIFS($B$3:$B$5000,$A$3:$A$5000,$A1802,$B$3:$B$5000,"&gt;"&amp;$B1802)=0),NOW(),_xlfn.MINIFS($B$3:$B$5000,$A$3:$A$5000,$A1802,$B$3:$B$5000,"&gt;"&amp;$B1802))</f>
        <v>46279.5987643672</v>
      </c>
    </row>
    <row r="1803" customFormat="false" ht="15" hidden="false" customHeight="true" outlineLevel="0" collapsed="false">
      <c r="A1803" s="42"/>
      <c r="B1803" s="42"/>
      <c r="C1803" s="42"/>
      <c r="D1803" s="42"/>
      <c r="E1803" s="42"/>
      <c r="F1803" s="51" t="n">
        <f aca="false">IF(OR(C1803="",D1803="",E1803="",E1803=0),0,C1803*D1803/E1803)</f>
        <v>0</v>
      </c>
      <c r="G1803" s="42"/>
      <c r="H1803" s="49" t="n">
        <f aca="true">IF(OR($A1803="",_xlfn.MINIFS($B$3:$B$5000,$A$3:$A$5000,$A1803,$B$3:$B$5000,"&gt;"&amp;$B1803)=0),NOW(),_xlfn.MINIFS($B$3:$B$5000,$A$3:$A$5000,$A1803,$B$3:$B$5000,"&gt;"&amp;$B1803))</f>
        <v>46279.5987643672</v>
      </c>
    </row>
    <row r="1804" customFormat="false" ht="15" hidden="false" customHeight="true" outlineLevel="0" collapsed="false">
      <c r="A1804" s="42"/>
      <c r="B1804" s="42"/>
      <c r="C1804" s="42"/>
      <c r="D1804" s="42"/>
      <c r="E1804" s="42"/>
      <c r="F1804" s="51" t="n">
        <f aca="false">IF(OR(C1804="",D1804="",E1804="",E1804=0),0,C1804*D1804/E1804)</f>
        <v>0</v>
      </c>
      <c r="G1804" s="42"/>
      <c r="H1804" s="49" t="n">
        <f aca="true">IF(OR($A1804="",_xlfn.MINIFS($B$3:$B$5000,$A$3:$A$5000,$A1804,$B$3:$B$5000,"&gt;"&amp;$B1804)=0),NOW(),_xlfn.MINIFS($B$3:$B$5000,$A$3:$A$5000,$A1804,$B$3:$B$5000,"&gt;"&amp;$B1804))</f>
        <v>46279.5987643673</v>
      </c>
    </row>
    <row r="1805" customFormat="false" ht="15" hidden="false" customHeight="true" outlineLevel="0" collapsed="false">
      <c r="A1805" s="42"/>
      <c r="B1805" s="42"/>
      <c r="C1805" s="42"/>
      <c r="D1805" s="42"/>
      <c r="E1805" s="42"/>
      <c r="F1805" s="51" t="n">
        <f aca="false">IF(OR(C1805="",D1805="",E1805="",E1805=0),0,C1805*D1805/E1805)</f>
        <v>0</v>
      </c>
      <c r="G1805" s="42"/>
      <c r="H1805" s="49" t="n">
        <f aca="true">IF(OR($A1805="",_xlfn.MINIFS($B$3:$B$5000,$A$3:$A$5000,$A1805,$B$3:$B$5000,"&gt;"&amp;$B1805)=0),NOW(),_xlfn.MINIFS($B$3:$B$5000,$A$3:$A$5000,$A1805,$B$3:$B$5000,"&gt;"&amp;$B1805))</f>
        <v>46279.5987643673</v>
      </c>
    </row>
    <row r="1806" customFormat="false" ht="15" hidden="false" customHeight="true" outlineLevel="0" collapsed="false">
      <c r="A1806" s="42"/>
      <c r="B1806" s="42"/>
      <c r="C1806" s="42"/>
      <c r="D1806" s="42"/>
      <c r="E1806" s="42"/>
      <c r="F1806" s="51" t="n">
        <f aca="false">IF(OR(C1806="",D1806="",E1806="",E1806=0),0,C1806*D1806/E1806)</f>
        <v>0</v>
      </c>
      <c r="G1806" s="42"/>
      <c r="H1806" s="49" t="n">
        <f aca="true">IF(OR($A1806="",_xlfn.MINIFS($B$3:$B$5000,$A$3:$A$5000,$A1806,$B$3:$B$5000,"&gt;"&amp;$B1806)=0),NOW(),_xlfn.MINIFS($B$3:$B$5000,$A$3:$A$5000,$A1806,$B$3:$B$5000,"&gt;"&amp;$B1806))</f>
        <v>46279.5987643674</v>
      </c>
    </row>
    <row r="1807" customFormat="false" ht="15" hidden="false" customHeight="true" outlineLevel="0" collapsed="false">
      <c r="A1807" s="42"/>
      <c r="B1807" s="42"/>
      <c r="C1807" s="42"/>
      <c r="D1807" s="42"/>
      <c r="E1807" s="42"/>
      <c r="F1807" s="51" t="n">
        <f aca="false">IF(OR(C1807="",D1807="",E1807="",E1807=0),0,C1807*D1807/E1807)</f>
        <v>0</v>
      </c>
      <c r="G1807" s="42"/>
      <c r="H1807" s="49" t="n">
        <f aca="true">IF(OR($A1807="",_xlfn.MINIFS($B$3:$B$5000,$A$3:$A$5000,$A1807,$B$3:$B$5000,"&gt;"&amp;$B1807)=0),NOW(),_xlfn.MINIFS($B$3:$B$5000,$A$3:$A$5000,$A1807,$B$3:$B$5000,"&gt;"&amp;$B1807))</f>
        <v>46279.5987643674</v>
      </c>
    </row>
    <row r="1808" customFormat="false" ht="15" hidden="false" customHeight="true" outlineLevel="0" collapsed="false">
      <c r="A1808" s="42"/>
      <c r="B1808" s="42"/>
      <c r="C1808" s="42"/>
      <c r="D1808" s="42"/>
      <c r="E1808" s="42"/>
      <c r="F1808" s="51" t="n">
        <f aca="false">IF(OR(C1808="",D1808="",E1808="",E1808=0),0,C1808*D1808/E1808)</f>
        <v>0</v>
      </c>
      <c r="G1808" s="42"/>
      <c r="H1808" s="49" t="n">
        <f aca="true">IF(OR($A1808="",_xlfn.MINIFS($B$3:$B$5000,$A$3:$A$5000,$A1808,$B$3:$B$5000,"&gt;"&amp;$B1808)=0),NOW(),_xlfn.MINIFS($B$3:$B$5000,$A$3:$A$5000,$A1808,$B$3:$B$5000,"&gt;"&amp;$B1808))</f>
        <v>46279.5987643675</v>
      </c>
    </row>
    <row r="1809" customFormat="false" ht="15" hidden="false" customHeight="true" outlineLevel="0" collapsed="false">
      <c r="A1809" s="42"/>
      <c r="B1809" s="42"/>
      <c r="C1809" s="42"/>
      <c r="D1809" s="42"/>
      <c r="E1809" s="42"/>
      <c r="F1809" s="51" t="n">
        <f aca="false">IF(OR(C1809="",D1809="",E1809="",E1809=0),0,C1809*D1809/E1809)</f>
        <v>0</v>
      </c>
      <c r="G1809" s="42"/>
      <c r="H1809" s="49" t="n">
        <f aca="true">IF(OR($A1809="",_xlfn.MINIFS($B$3:$B$5000,$A$3:$A$5000,$A1809,$B$3:$B$5000,"&gt;"&amp;$B1809)=0),NOW(),_xlfn.MINIFS($B$3:$B$5000,$A$3:$A$5000,$A1809,$B$3:$B$5000,"&gt;"&amp;$B1809))</f>
        <v>46279.5987643675</v>
      </c>
    </row>
    <row r="1810" customFormat="false" ht="15" hidden="false" customHeight="true" outlineLevel="0" collapsed="false">
      <c r="A1810" s="42"/>
      <c r="B1810" s="42"/>
      <c r="C1810" s="42"/>
      <c r="D1810" s="42"/>
      <c r="E1810" s="42"/>
      <c r="F1810" s="51" t="n">
        <f aca="false">IF(OR(C1810="",D1810="",E1810="",E1810=0),0,C1810*D1810/E1810)</f>
        <v>0</v>
      </c>
      <c r="G1810" s="42"/>
      <c r="H1810" s="49" t="n">
        <f aca="true">IF(OR($A1810="",_xlfn.MINIFS($B$3:$B$5000,$A$3:$A$5000,$A1810,$B$3:$B$5000,"&gt;"&amp;$B1810)=0),NOW(),_xlfn.MINIFS($B$3:$B$5000,$A$3:$A$5000,$A1810,$B$3:$B$5000,"&gt;"&amp;$B1810))</f>
        <v>46279.5987643676</v>
      </c>
    </row>
    <row r="1811" customFormat="false" ht="15" hidden="false" customHeight="true" outlineLevel="0" collapsed="false">
      <c r="A1811" s="42"/>
      <c r="B1811" s="42"/>
      <c r="C1811" s="42"/>
      <c r="D1811" s="42"/>
      <c r="E1811" s="42"/>
      <c r="F1811" s="51" t="n">
        <f aca="false">IF(OR(C1811="",D1811="",E1811="",E1811=0),0,C1811*D1811/E1811)</f>
        <v>0</v>
      </c>
      <c r="G1811" s="42"/>
      <c r="H1811" s="49" t="n">
        <f aca="true">IF(OR($A1811="",_xlfn.MINIFS($B$3:$B$5000,$A$3:$A$5000,$A1811,$B$3:$B$5000,"&gt;"&amp;$B1811)=0),NOW(),_xlfn.MINIFS($B$3:$B$5000,$A$3:$A$5000,$A1811,$B$3:$B$5000,"&gt;"&amp;$B1811))</f>
        <v>46279.5987643676</v>
      </c>
    </row>
    <row r="1812" customFormat="false" ht="15" hidden="false" customHeight="true" outlineLevel="0" collapsed="false">
      <c r="A1812" s="42"/>
      <c r="B1812" s="42"/>
      <c r="C1812" s="42"/>
      <c r="D1812" s="42"/>
      <c r="E1812" s="42"/>
      <c r="F1812" s="51" t="n">
        <f aca="false">IF(OR(C1812="",D1812="",E1812="",E1812=0),0,C1812*D1812/E1812)</f>
        <v>0</v>
      </c>
      <c r="G1812" s="42"/>
      <c r="H1812" s="49" t="n">
        <f aca="true">IF(OR($A1812="",_xlfn.MINIFS($B$3:$B$5000,$A$3:$A$5000,$A1812,$B$3:$B$5000,"&gt;"&amp;$B1812)=0),NOW(),_xlfn.MINIFS($B$3:$B$5000,$A$3:$A$5000,$A1812,$B$3:$B$5000,"&gt;"&amp;$B1812))</f>
        <v>46279.5987643677</v>
      </c>
    </row>
    <row r="1813" customFormat="false" ht="15" hidden="false" customHeight="true" outlineLevel="0" collapsed="false">
      <c r="A1813" s="42"/>
      <c r="B1813" s="42"/>
      <c r="C1813" s="42"/>
      <c r="D1813" s="42"/>
      <c r="E1813" s="42"/>
      <c r="F1813" s="51" t="n">
        <f aca="false">IF(OR(C1813="",D1813="",E1813="",E1813=0),0,C1813*D1813/E1813)</f>
        <v>0</v>
      </c>
      <c r="G1813" s="42"/>
      <c r="H1813" s="49" t="n">
        <f aca="true">IF(OR($A1813="",_xlfn.MINIFS($B$3:$B$5000,$A$3:$A$5000,$A1813,$B$3:$B$5000,"&gt;"&amp;$B1813)=0),NOW(),_xlfn.MINIFS($B$3:$B$5000,$A$3:$A$5000,$A1813,$B$3:$B$5000,"&gt;"&amp;$B1813))</f>
        <v>46279.5987643677</v>
      </c>
    </row>
    <row r="1814" customFormat="false" ht="15" hidden="false" customHeight="true" outlineLevel="0" collapsed="false">
      <c r="A1814" s="42"/>
      <c r="B1814" s="42"/>
      <c r="C1814" s="42"/>
      <c r="D1814" s="42"/>
      <c r="E1814" s="42"/>
      <c r="F1814" s="51" t="n">
        <f aca="false">IF(OR(C1814="",D1814="",E1814="",E1814=0),0,C1814*D1814/E1814)</f>
        <v>0</v>
      </c>
      <c r="G1814" s="42"/>
      <c r="H1814" s="49" t="n">
        <f aca="true">IF(OR($A1814="",_xlfn.MINIFS($B$3:$B$5000,$A$3:$A$5000,$A1814,$B$3:$B$5000,"&gt;"&amp;$B1814)=0),NOW(),_xlfn.MINIFS($B$3:$B$5000,$A$3:$A$5000,$A1814,$B$3:$B$5000,"&gt;"&amp;$B1814))</f>
        <v>46279.5987643678</v>
      </c>
    </row>
    <row r="1815" customFormat="false" ht="15" hidden="false" customHeight="true" outlineLevel="0" collapsed="false">
      <c r="A1815" s="42"/>
      <c r="B1815" s="42"/>
      <c r="C1815" s="42"/>
      <c r="D1815" s="42"/>
      <c r="E1815" s="42"/>
      <c r="F1815" s="51" t="n">
        <f aca="false">IF(OR(C1815="",D1815="",E1815="",E1815=0),0,C1815*D1815/E1815)</f>
        <v>0</v>
      </c>
      <c r="G1815" s="42"/>
      <c r="H1815" s="49" t="n">
        <f aca="true">IF(OR($A1815="",_xlfn.MINIFS($B$3:$B$5000,$A$3:$A$5000,$A1815,$B$3:$B$5000,"&gt;"&amp;$B1815)=0),NOW(),_xlfn.MINIFS($B$3:$B$5000,$A$3:$A$5000,$A1815,$B$3:$B$5000,"&gt;"&amp;$B1815))</f>
        <v>46279.5987643678</v>
      </c>
    </row>
    <row r="1816" customFormat="false" ht="15" hidden="false" customHeight="true" outlineLevel="0" collapsed="false">
      <c r="A1816" s="42"/>
      <c r="B1816" s="42"/>
      <c r="C1816" s="42"/>
      <c r="D1816" s="42"/>
      <c r="E1816" s="42"/>
      <c r="F1816" s="51" t="n">
        <f aca="false">IF(OR(C1816="",D1816="",E1816="",E1816=0),0,C1816*D1816/E1816)</f>
        <v>0</v>
      </c>
      <c r="G1816" s="42"/>
      <c r="H1816" s="49" t="n">
        <f aca="true">IF(OR($A1816="",_xlfn.MINIFS($B$3:$B$5000,$A$3:$A$5000,$A1816,$B$3:$B$5000,"&gt;"&amp;$B1816)=0),NOW(),_xlfn.MINIFS($B$3:$B$5000,$A$3:$A$5000,$A1816,$B$3:$B$5000,"&gt;"&amp;$B1816))</f>
        <v>46279.5987643679</v>
      </c>
    </row>
    <row r="1817" customFormat="false" ht="15" hidden="false" customHeight="true" outlineLevel="0" collapsed="false">
      <c r="A1817" s="42"/>
      <c r="B1817" s="42"/>
      <c r="C1817" s="42"/>
      <c r="D1817" s="42"/>
      <c r="E1817" s="42"/>
      <c r="F1817" s="51" t="n">
        <f aca="false">IF(OR(C1817="",D1817="",E1817="",E1817=0),0,C1817*D1817/E1817)</f>
        <v>0</v>
      </c>
      <c r="G1817" s="42"/>
      <c r="H1817" s="49" t="n">
        <f aca="true">IF(OR($A1817="",_xlfn.MINIFS($B$3:$B$5000,$A$3:$A$5000,$A1817,$B$3:$B$5000,"&gt;"&amp;$B1817)=0),NOW(),_xlfn.MINIFS($B$3:$B$5000,$A$3:$A$5000,$A1817,$B$3:$B$5000,"&gt;"&amp;$B1817))</f>
        <v>46279.5987643679</v>
      </c>
    </row>
    <row r="1818" customFormat="false" ht="15" hidden="false" customHeight="true" outlineLevel="0" collapsed="false">
      <c r="A1818" s="42"/>
      <c r="B1818" s="42"/>
      <c r="C1818" s="42"/>
      <c r="D1818" s="42"/>
      <c r="E1818" s="42"/>
      <c r="F1818" s="51" t="n">
        <f aca="false">IF(OR(C1818="",D1818="",E1818="",E1818=0),0,C1818*D1818/E1818)</f>
        <v>0</v>
      </c>
      <c r="G1818" s="42"/>
      <c r="H1818" s="49" t="n">
        <f aca="true">IF(OR($A1818="",_xlfn.MINIFS($B$3:$B$5000,$A$3:$A$5000,$A1818,$B$3:$B$5000,"&gt;"&amp;$B1818)=0),NOW(),_xlfn.MINIFS($B$3:$B$5000,$A$3:$A$5000,$A1818,$B$3:$B$5000,"&gt;"&amp;$B1818))</f>
        <v>46279.598764368</v>
      </c>
    </row>
    <row r="1819" customFormat="false" ht="15" hidden="false" customHeight="true" outlineLevel="0" collapsed="false">
      <c r="A1819" s="42"/>
      <c r="B1819" s="42"/>
      <c r="C1819" s="42"/>
      <c r="D1819" s="42"/>
      <c r="E1819" s="42"/>
      <c r="F1819" s="51" t="n">
        <f aca="false">IF(OR(C1819="",D1819="",E1819="",E1819=0),0,C1819*D1819/E1819)</f>
        <v>0</v>
      </c>
      <c r="G1819" s="42"/>
      <c r="H1819" s="49" t="n">
        <f aca="true">IF(OR($A1819="",_xlfn.MINIFS($B$3:$B$5000,$A$3:$A$5000,$A1819,$B$3:$B$5000,"&gt;"&amp;$B1819)=0),NOW(),_xlfn.MINIFS($B$3:$B$5000,$A$3:$A$5000,$A1819,$B$3:$B$5000,"&gt;"&amp;$B1819))</f>
        <v>46279.598764368</v>
      </c>
    </row>
    <row r="1820" customFormat="false" ht="15" hidden="false" customHeight="true" outlineLevel="0" collapsed="false">
      <c r="A1820" s="42"/>
      <c r="B1820" s="42"/>
      <c r="C1820" s="42"/>
      <c r="D1820" s="42"/>
      <c r="E1820" s="42"/>
      <c r="F1820" s="51" t="n">
        <f aca="false">IF(OR(C1820="",D1820="",E1820="",E1820=0),0,C1820*D1820/E1820)</f>
        <v>0</v>
      </c>
      <c r="G1820" s="42"/>
      <c r="H1820" s="49" t="n">
        <f aca="true">IF(OR($A1820="",_xlfn.MINIFS($B$3:$B$5000,$A$3:$A$5000,$A1820,$B$3:$B$5000,"&gt;"&amp;$B1820)=0),NOW(),_xlfn.MINIFS($B$3:$B$5000,$A$3:$A$5000,$A1820,$B$3:$B$5000,"&gt;"&amp;$B1820))</f>
        <v>46279.5987643681</v>
      </c>
    </row>
    <row r="1821" customFormat="false" ht="15" hidden="false" customHeight="true" outlineLevel="0" collapsed="false">
      <c r="A1821" s="42"/>
      <c r="B1821" s="42"/>
      <c r="C1821" s="42"/>
      <c r="D1821" s="42"/>
      <c r="E1821" s="42"/>
      <c r="F1821" s="51" t="n">
        <f aca="false">IF(OR(C1821="",D1821="",E1821="",E1821=0),0,C1821*D1821/E1821)</f>
        <v>0</v>
      </c>
      <c r="G1821" s="42"/>
      <c r="H1821" s="49" t="n">
        <f aca="true">IF(OR($A1821="",_xlfn.MINIFS($B$3:$B$5000,$A$3:$A$5000,$A1821,$B$3:$B$5000,"&gt;"&amp;$B1821)=0),NOW(),_xlfn.MINIFS($B$3:$B$5000,$A$3:$A$5000,$A1821,$B$3:$B$5000,"&gt;"&amp;$B1821))</f>
        <v>46279.5987643681</v>
      </c>
    </row>
    <row r="1822" customFormat="false" ht="15" hidden="false" customHeight="true" outlineLevel="0" collapsed="false">
      <c r="A1822" s="42"/>
      <c r="B1822" s="42"/>
      <c r="C1822" s="42"/>
      <c r="D1822" s="42"/>
      <c r="E1822" s="42"/>
      <c r="F1822" s="51" t="n">
        <f aca="false">IF(OR(C1822="",D1822="",E1822="",E1822=0),0,C1822*D1822/E1822)</f>
        <v>0</v>
      </c>
      <c r="G1822" s="42"/>
      <c r="H1822" s="49" t="n">
        <f aca="true">IF(OR($A1822="",_xlfn.MINIFS($B$3:$B$5000,$A$3:$A$5000,$A1822,$B$3:$B$5000,"&gt;"&amp;$B1822)=0),NOW(),_xlfn.MINIFS($B$3:$B$5000,$A$3:$A$5000,$A1822,$B$3:$B$5000,"&gt;"&amp;$B1822))</f>
        <v>46279.5987643682</v>
      </c>
    </row>
    <row r="1823" customFormat="false" ht="15" hidden="false" customHeight="true" outlineLevel="0" collapsed="false">
      <c r="A1823" s="42"/>
      <c r="B1823" s="42"/>
      <c r="C1823" s="42"/>
      <c r="D1823" s="42"/>
      <c r="E1823" s="42"/>
      <c r="F1823" s="51" t="n">
        <f aca="false">IF(OR(C1823="",D1823="",E1823="",E1823=0),0,C1823*D1823/E1823)</f>
        <v>0</v>
      </c>
      <c r="G1823" s="42"/>
      <c r="H1823" s="49" t="n">
        <f aca="true">IF(OR($A1823="",_xlfn.MINIFS($B$3:$B$5000,$A$3:$A$5000,$A1823,$B$3:$B$5000,"&gt;"&amp;$B1823)=0),NOW(),_xlfn.MINIFS($B$3:$B$5000,$A$3:$A$5000,$A1823,$B$3:$B$5000,"&gt;"&amp;$B1823))</f>
        <v>46279.5987643682</v>
      </c>
    </row>
    <row r="1824" customFormat="false" ht="15" hidden="false" customHeight="true" outlineLevel="0" collapsed="false">
      <c r="A1824" s="42"/>
      <c r="B1824" s="42"/>
      <c r="C1824" s="42"/>
      <c r="D1824" s="42"/>
      <c r="E1824" s="42"/>
      <c r="F1824" s="51" t="n">
        <f aca="false">IF(OR(C1824="",D1824="",E1824="",E1824=0),0,C1824*D1824/E1824)</f>
        <v>0</v>
      </c>
      <c r="G1824" s="42"/>
      <c r="H1824" s="49" t="n">
        <f aca="true">IF(OR($A1824="",_xlfn.MINIFS($B$3:$B$5000,$A$3:$A$5000,$A1824,$B$3:$B$5000,"&gt;"&amp;$B1824)=0),NOW(),_xlfn.MINIFS($B$3:$B$5000,$A$3:$A$5000,$A1824,$B$3:$B$5000,"&gt;"&amp;$B1824))</f>
        <v>46279.5987643683</v>
      </c>
    </row>
    <row r="1825" customFormat="false" ht="15" hidden="false" customHeight="true" outlineLevel="0" collapsed="false">
      <c r="A1825" s="42"/>
      <c r="B1825" s="42"/>
      <c r="C1825" s="42"/>
      <c r="D1825" s="42"/>
      <c r="E1825" s="42"/>
      <c r="F1825" s="51" t="n">
        <f aca="false">IF(OR(C1825="",D1825="",E1825="",E1825=0),0,C1825*D1825/E1825)</f>
        <v>0</v>
      </c>
      <c r="G1825" s="42"/>
      <c r="H1825" s="49" t="n">
        <f aca="true">IF(OR($A1825="",_xlfn.MINIFS($B$3:$B$5000,$A$3:$A$5000,$A1825,$B$3:$B$5000,"&gt;"&amp;$B1825)=0),NOW(),_xlfn.MINIFS($B$3:$B$5000,$A$3:$A$5000,$A1825,$B$3:$B$5000,"&gt;"&amp;$B1825))</f>
        <v>46279.5987643683</v>
      </c>
    </row>
    <row r="1826" customFormat="false" ht="15" hidden="false" customHeight="true" outlineLevel="0" collapsed="false">
      <c r="A1826" s="42"/>
      <c r="B1826" s="42"/>
      <c r="C1826" s="42"/>
      <c r="D1826" s="42"/>
      <c r="E1826" s="42"/>
      <c r="F1826" s="51" t="n">
        <f aca="false">IF(OR(C1826="",D1826="",E1826="",E1826=0),0,C1826*D1826/E1826)</f>
        <v>0</v>
      </c>
      <c r="G1826" s="42"/>
      <c r="H1826" s="49" t="n">
        <f aca="true">IF(OR($A1826="",_xlfn.MINIFS($B$3:$B$5000,$A$3:$A$5000,$A1826,$B$3:$B$5000,"&gt;"&amp;$B1826)=0),NOW(),_xlfn.MINIFS($B$3:$B$5000,$A$3:$A$5000,$A1826,$B$3:$B$5000,"&gt;"&amp;$B1826))</f>
        <v>46279.5987643684</v>
      </c>
    </row>
    <row r="1827" customFormat="false" ht="15" hidden="false" customHeight="true" outlineLevel="0" collapsed="false">
      <c r="A1827" s="42"/>
      <c r="B1827" s="42"/>
      <c r="C1827" s="42"/>
      <c r="D1827" s="42"/>
      <c r="E1827" s="42"/>
      <c r="F1827" s="51" t="n">
        <f aca="false">IF(OR(C1827="",D1827="",E1827="",E1827=0),0,C1827*D1827/E1827)</f>
        <v>0</v>
      </c>
      <c r="G1827" s="42"/>
      <c r="H1827" s="49" t="n">
        <f aca="true">IF(OR($A1827="",_xlfn.MINIFS($B$3:$B$5000,$A$3:$A$5000,$A1827,$B$3:$B$5000,"&gt;"&amp;$B1827)=0),NOW(),_xlfn.MINIFS($B$3:$B$5000,$A$3:$A$5000,$A1827,$B$3:$B$5000,"&gt;"&amp;$B1827))</f>
        <v>46279.5987643684</v>
      </c>
    </row>
    <row r="1828" customFormat="false" ht="15" hidden="false" customHeight="true" outlineLevel="0" collapsed="false">
      <c r="A1828" s="42"/>
      <c r="B1828" s="42"/>
      <c r="C1828" s="42"/>
      <c r="D1828" s="42"/>
      <c r="E1828" s="42"/>
      <c r="F1828" s="51" t="n">
        <f aca="false">IF(OR(C1828="",D1828="",E1828="",E1828=0),0,C1828*D1828/E1828)</f>
        <v>0</v>
      </c>
      <c r="G1828" s="42"/>
      <c r="H1828" s="49" t="n">
        <f aca="true">IF(OR($A1828="",_xlfn.MINIFS($B$3:$B$5000,$A$3:$A$5000,$A1828,$B$3:$B$5000,"&gt;"&amp;$B1828)=0),NOW(),_xlfn.MINIFS($B$3:$B$5000,$A$3:$A$5000,$A1828,$B$3:$B$5000,"&gt;"&amp;$B1828))</f>
        <v>46279.5987643685</v>
      </c>
    </row>
    <row r="1829" customFormat="false" ht="15" hidden="false" customHeight="true" outlineLevel="0" collapsed="false">
      <c r="A1829" s="42"/>
      <c r="B1829" s="42"/>
      <c r="C1829" s="42"/>
      <c r="D1829" s="42"/>
      <c r="E1829" s="42"/>
      <c r="F1829" s="51" t="n">
        <f aca="false">IF(OR(C1829="",D1829="",E1829="",E1829=0),0,C1829*D1829/E1829)</f>
        <v>0</v>
      </c>
      <c r="G1829" s="42"/>
      <c r="H1829" s="49" t="n">
        <f aca="true">IF(OR($A1829="",_xlfn.MINIFS($B$3:$B$5000,$A$3:$A$5000,$A1829,$B$3:$B$5000,"&gt;"&amp;$B1829)=0),NOW(),_xlfn.MINIFS($B$3:$B$5000,$A$3:$A$5000,$A1829,$B$3:$B$5000,"&gt;"&amp;$B1829))</f>
        <v>46279.5987643685</v>
      </c>
    </row>
    <row r="1830" customFormat="false" ht="15" hidden="false" customHeight="true" outlineLevel="0" collapsed="false">
      <c r="A1830" s="42"/>
      <c r="B1830" s="42"/>
      <c r="C1830" s="42"/>
      <c r="D1830" s="42"/>
      <c r="E1830" s="42"/>
      <c r="F1830" s="51" t="n">
        <f aca="false">IF(OR(C1830="",D1830="",E1830="",E1830=0),0,C1830*D1830/E1830)</f>
        <v>0</v>
      </c>
      <c r="G1830" s="42"/>
      <c r="H1830" s="49" t="n">
        <f aca="true">IF(OR($A1830="",_xlfn.MINIFS($B$3:$B$5000,$A$3:$A$5000,$A1830,$B$3:$B$5000,"&gt;"&amp;$B1830)=0),NOW(),_xlfn.MINIFS($B$3:$B$5000,$A$3:$A$5000,$A1830,$B$3:$B$5000,"&gt;"&amp;$B1830))</f>
        <v>46279.5987643686</v>
      </c>
    </row>
    <row r="1831" customFormat="false" ht="15" hidden="false" customHeight="true" outlineLevel="0" collapsed="false">
      <c r="A1831" s="42"/>
      <c r="B1831" s="42"/>
      <c r="C1831" s="42"/>
      <c r="D1831" s="42"/>
      <c r="E1831" s="42"/>
      <c r="F1831" s="51" t="n">
        <f aca="false">IF(OR(C1831="",D1831="",E1831="",E1831=0),0,C1831*D1831/E1831)</f>
        <v>0</v>
      </c>
      <c r="G1831" s="42"/>
      <c r="H1831" s="49" t="n">
        <f aca="true">IF(OR($A1831="",_xlfn.MINIFS($B$3:$B$5000,$A$3:$A$5000,$A1831,$B$3:$B$5000,"&gt;"&amp;$B1831)=0),NOW(),_xlfn.MINIFS($B$3:$B$5000,$A$3:$A$5000,$A1831,$B$3:$B$5000,"&gt;"&amp;$B1831))</f>
        <v>46279.5987643686</v>
      </c>
    </row>
    <row r="1832" customFormat="false" ht="15" hidden="false" customHeight="true" outlineLevel="0" collapsed="false">
      <c r="A1832" s="42"/>
      <c r="B1832" s="42"/>
      <c r="C1832" s="42"/>
      <c r="D1832" s="42"/>
      <c r="E1832" s="42"/>
      <c r="F1832" s="51" t="n">
        <f aca="false">IF(OR(C1832="",D1832="",E1832="",E1832=0),0,C1832*D1832/E1832)</f>
        <v>0</v>
      </c>
      <c r="G1832" s="42"/>
      <c r="H1832" s="49" t="n">
        <f aca="true">IF(OR($A1832="",_xlfn.MINIFS($B$3:$B$5000,$A$3:$A$5000,$A1832,$B$3:$B$5000,"&gt;"&amp;$B1832)=0),NOW(),_xlfn.MINIFS($B$3:$B$5000,$A$3:$A$5000,$A1832,$B$3:$B$5000,"&gt;"&amp;$B1832))</f>
        <v>46279.5987643687</v>
      </c>
    </row>
    <row r="1833" customFormat="false" ht="15" hidden="false" customHeight="true" outlineLevel="0" collapsed="false">
      <c r="A1833" s="42"/>
      <c r="B1833" s="42"/>
      <c r="C1833" s="42"/>
      <c r="D1833" s="42"/>
      <c r="E1833" s="42"/>
      <c r="F1833" s="51" t="n">
        <f aca="false">IF(OR(C1833="",D1833="",E1833="",E1833=0),0,C1833*D1833/E1833)</f>
        <v>0</v>
      </c>
      <c r="G1833" s="42"/>
      <c r="H1833" s="49" t="n">
        <f aca="true">IF(OR($A1833="",_xlfn.MINIFS($B$3:$B$5000,$A$3:$A$5000,$A1833,$B$3:$B$5000,"&gt;"&amp;$B1833)=0),NOW(),_xlfn.MINIFS($B$3:$B$5000,$A$3:$A$5000,$A1833,$B$3:$B$5000,"&gt;"&amp;$B1833))</f>
        <v>46279.5987643687</v>
      </c>
    </row>
    <row r="1834" customFormat="false" ht="15" hidden="false" customHeight="true" outlineLevel="0" collapsed="false">
      <c r="A1834" s="42"/>
      <c r="B1834" s="42"/>
      <c r="C1834" s="42"/>
      <c r="D1834" s="42"/>
      <c r="E1834" s="42"/>
      <c r="F1834" s="51" t="n">
        <f aca="false">IF(OR(C1834="",D1834="",E1834="",E1834=0),0,C1834*D1834/E1834)</f>
        <v>0</v>
      </c>
      <c r="G1834" s="42"/>
      <c r="H1834" s="49" t="n">
        <f aca="true">IF(OR($A1834="",_xlfn.MINIFS($B$3:$B$5000,$A$3:$A$5000,$A1834,$B$3:$B$5000,"&gt;"&amp;$B1834)=0),NOW(),_xlfn.MINIFS($B$3:$B$5000,$A$3:$A$5000,$A1834,$B$3:$B$5000,"&gt;"&amp;$B1834))</f>
        <v>46279.5987643688</v>
      </c>
    </row>
    <row r="1835" customFormat="false" ht="15" hidden="false" customHeight="true" outlineLevel="0" collapsed="false">
      <c r="A1835" s="42"/>
      <c r="B1835" s="42"/>
      <c r="C1835" s="42"/>
      <c r="D1835" s="42"/>
      <c r="E1835" s="42"/>
      <c r="F1835" s="51" t="n">
        <f aca="false">IF(OR(C1835="",D1835="",E1835="",E1835=0),0,C1835*D1835/E1835)</f>
        <v>0</v>
      </c>
      <c r="G1835" s="42"/>
      <c r="H1835" s="49" t="n">
        <f aca="true">IF(OR($A1835="",_xlfn.MINIFS($B$3:$B$5000,$A$3:$A$5000,$A1835,$B$3:$B$5000,"&gt;"&amp;$B1835)=0),NOW(),_xlfn.MINIFS($B$3:$B$5000,$A$3:$A$5000,$A1835,$B$3:$B$5000,"&gt;"&amp;$B1835))</f>
        <v>46279.5987643688</v>
      </c>
    </row>
    <row r="1836" customFormat="false" ht="15" hidden="false" customHeight="true" outlineLevel="0" collapsed="false">
      <c r="A1836" s="42"/>
      <c r="B1836" s="42"/>
      <c r="C1836" s="42"/>
      <c r="D1836" s="42"/>
      <c r="E1836" s="42"/>
      <c r="F1836" s="51" t="n">
        <f aca="false">IF(OR(C1836="",D1836="",E1836="",E1836=0),0,C1836*D1836/E1836)</f>
        <v>0</v>
      </c>
      <c r="G1836" s="42"/>
      <c r="H1836" s="49" t="n">
        <f aca="true">IF(OR($A1836="",_xlfn.MINIFS($B$3:$B$5000,$A$3:$A$5000,$A1836,$B$3:$B$5000,"&gt;"&amp;$B1836)=0),NOW(),_xlfn.MINIFS($B$3:$B$5000,$A$3:$A$5000,$A1836,$B$3:$B$5000,"&gt;"&amp;$B1836))</f>
        <v>46279.5987643689</v>
      </c>
    </row>
    <row r="1837" customFormat="false" ht="15" hidden="false" customHeight="true" outlineLevel="0" collapsed="false">
      <c r="A1837" s="42"/>
      <c r="B1837" s="42"/>
      <c r="C1837" s="42"/>
      <c r="D1837" s="42"/>
      <c r="E1837" s="42"/>
      <c r="F1837" s="51" t="n">
        <f aca="false">IF(OR(C1837="",D1837="",E1837="",E1837=0),0,C1837*D1837/E1837)</f>
        <v>0</v>
      </c>
      <c r="G1837" s="42"/>
      <c r="H1837" s="49" t="n">
        <f aca="true">IF(OR($A1837="",_xlfn.MINIFS($B$3:$B$5000,$A$3:$A$5000,$A1837,$B$3:$B$5000,"&gt;"&amp;$B1837)=0),NOW(),_xlfn.MINIFS($B$3:$B$5000,$A$3:$A$5000,$A1837,$B$3:$B$5000,"&gt;"&amp;$B1837))</f>
        <v>46279.5987643689</v>
      </c>
    </row>
    <row r="1838" customFormat="false" ht="15" hidden="false" customHeight="true" outlineLevel="0" collapsed="false">
      <c r="A1838" s="42"/>
      <c r="B1838" s="42"/>
      <c r="C1838" s="42"/>
      <c r="D1838" s="42"/>
      <c r="E1838" s="42"/>
      <c r="F1838" s="51" t="n">
        <f aca="false">IF(OR(C1838="",D1838="",E1838="",E1838=0),0,C1838*D1838/E1838)</f>
        <v>0</v>
      </c>
      <c r="G1838" s="42"/>
      <c r="H1838" s="49" t="n">
        <f aca="true">IF(OR($A1838="",_xlfn.MINIFS($B$3:$B$5000,$A$3:$A$5000,$A1838,$B$3:$B$5000,"&gt;"&amp;$B1838)=0),NOW(),_xlfn.MINIFS($B$3:$B$5000,$A$3:$A$5000,$A1838,$B$3:$B$5000,"&gt;"&amp;$B1838))</f>
        <v>46279.598764369</v>
      </c>
    </row>
    <row r="1839" customFormat="false" ht="15" hidden="false" customHeight="true" outlineLevel="0" collapsed="false">
      <c r="A1839" s="42"/>
      <c r="B1839" s="42"/>
      <c r="C1839" s="42"/>
      <c r="D1839" s="42"/>
      <c r="E1839" s="42"/>
      <c r="F1839" s="51" t="n">
        <f aca="false">IF(OR(C1839="",D1839="",E1839="",E1839=0),0,C1839*D1839/E1839)</f>
        <v>0</v>
      </c>
      <c r="G1839" s="42"/>
      <c r="H1839" s="49" t="n">
        <f aca="true">IF(OR($A1839="",_xlfn.MINIFS($B$3:$B$5000,$A$3:$A$5000,$A1839,$B$3:$B$5000,"&gt;"&amp;$B1839)=0),NOW(),_xlfn.MINIFS($B$3:$B$5000,$A$3:$A$5000,$A1839,$B$3:$B$5000,"&gt;"&amp;$B1839))</f>
        <v>46279.598764369</v>
      </c>
    </row>
    <row r="1840" customFormat="false" ht="15" hidden="false" customHeight="true" outlineLevel="0" collapsed="false">
      <c r="A1840" s="42"/>
      <c r="B1840" s="42"/>
      <c r="C1840" s="42"/>
      <c r="D1840" s="42"/>
      <c r="E1840" s="42"/>
      <c r="F1840" s="51" t="n">
        <f aca="false">IF(OR(C1840="",D1840="",E1840="",E1840=0),0,C1840*D1840/E1840)</f>
        <v>0</v>
      </c>
      <c r="G1840" s="42"/>
      <c r="H1840" s="49" t="n">
        <f aca="true">IF(OR($A1840="",_xlfn.MINIFS($B$3:$B$5000,$A$3:$A$5000,$A1840,$B$3:$B$5000,"&gt;"&amp;$B1840)=0),NOW(),_xlfn.MINIFS($B$3:$B$5000,$A$3:$A$5000,$A1840,$B$3:$B$5000,"&gt;"&amp;$B1840))</f>
        <v>46279.5987643691</v>
      </c>
    </row>
    <row r="1841" customFormat="false" ht="15" hidden="false" customHeight="true" outlineLevel="0" collapsed="false">
      <c r="A1841" s="42"/>
      <c r="B1841" s="42"/>
      <c r="C1841" s="42"/>
      <c r="D1841" s="42"/>
      <c r="E1841" s="42"/>
      <c r="F1841" s="51" t="n">
        <f aca="false">IF(OR(C1841="",D1841="",E1841="",E1841=0),0,C1841*D1841/E1841)</f>
        <v>0</v>
      </c>
      <c r="G1841" s="42"/>
      <c r="H1841" s="49" t="n">
        <f aca="true">IF(OR($A1841="",_xlfn.MINIFS($B$3:$B$5000,$A$3:$A$5000,$A1841,$B$3:$B$5000,"&gt;"&amp;$B1841)=0),NOW(),_xlfn.MINIFS($B$3:$B$5000,$A$3:$A$5000,$A1841,$B$3:$B$5000,"&gt;"&amp;$B1841))</f>
        <v>46279.5987643691</v>
      </c>
    </row>
    <row r="1842" customFormat="false" ht="15" hidden="false" customHeight="true" outlineLevel="0" collapsed="false">
      <c r="A1842" s="42"/>
      <c r="B1842" s="42"/>
      <c r="C1842" s="42"/>
      <c r="D1842" s="42"/>
      <c r="E1842" s="42"/>
      <c r="F1842" s="51" t="n">
        <f aca="false">IF(OR(C1842="",D1842="",E1842="",E1842=0),0,C1842*D1842/E1842)</f>
        <v>0</v>
      </c>
      <c r="G1842" s="42"/>
      <c r="H1842" s="49" t="n">
        <f aca="true">IF(OR($A1842="",_xlfn.MINIFS($B$3:$B$5000,$A$3:$A$5000,$A1842,$B$3:$B$5000,"&gt;"&amp;$B1842)=0),NOW(),_xlfn.MINIFS($B$3:$B$5000,$A$3:$A$5000,$A1842,$B$3:$B$5000,"&gt;"&amp;$B1842))</f>
        <v>46279.5987643692</v>
      </c>
    </row>
    <row r="1843" customFormat="false" ht="15" hidden="false" customHeight="true" outlineLevel="0" collapsed="false">
      <c r="A1843" s="42"/>
      <c r="B1843" s="42"/>
      <c r="C1843" s="42"/>
      <c r="D1843" s="42"/>
      <c r="E1843" s="42"/>
      <c r="F1843" s="51" t="n">
        <f aca="false">IF(OR(C1843="",D1843="",E1843="",E1843=0),0,C1843*D1843/E1843)</f>
        <v>0</v>
      </c>
      <c r="G1843" s="42"/>
      <c r="H1843" s="49" t="n">
        <f aca="true">IF(OR($A1843="",_xlfn.MINIFS($B$3:$B$5000,$A$3:$A$5000,$A1843,$B$3:$B$5000,"&gt;"&amp;$B1843)=0),NOW(),_xlfn.MINIFS($B$3:$B$5000,$A$3:$A$5000,$A1843,$B$3:$B$5000,"&gt;"&amp;$B1843))</f>
        <v>46279.5987643692</v>
      </c>
    </row>
    <row r="1844" customFormat="false" ht="15" hidden="false" customHeight="true" outlineLevel="0" collapsed="false">
      <c r="A1844" s="42"/>
      <c r="B1844" s="42"/>
      <c r="C1844" s="42"/>
      <c r="D1844" s="42"/>
      <c r="E1844" s="42"/>
      <c r="F1844" s="51" t="n">
        <f aca="false">IF(OR(C1844="",D1844="",E1844="",E1844=0),0,C1844*D1844/E1844)</f>
        <v>0</v>
      </c>
      <c r="G1844" s="42"/>
      <c r="H1844" s="49" t="n">
        <f aca="true">IF(OR($A1844="",_xlfn.MINIFS($B$3:$B$5000,$A$3:$A$5000,$A1844,$B$3:$B$5000,"&gt;"&amp;$B1844)=0),NOW(),_xlfn.MINIFS($B$3:$B$5000,$A$3:$A$5000,$A1844,$B$3:$B$5000,"&gt;"&amp;$B1844))</f>
        <v>46279.5987643693</v>
      </c>
    </row>
    <row r="1845" customFormat="false" ht="15" hidden="false" customHeight="true" outlineLevel="0" collapsed="false">
      <c r="A1845" s="42"/>
      <c r="B1845" s="42"/>
      <c r="C1845" s="42"/>
      <c r="D1845" s="42"/>
      <c r="E1845" s="42"/>
      <c r="F1845" s="51" t="n">
        <f aca="false">IF(OR(C1845="",D1845="",E1845="",E1845=0),0,C1845*D1845/E1845)</f>
        <v>0</v>
      </c>
      <c r="G1845" s="42"/>
      <c r="H1845" s="49" t="n">
        <f aca="true">IF(OR($A1845="",_xlfn.MINIFS($B$3:$B$5000,$A$3:$A$5000,$A1845,$B$3:$B$5000,"&gt;"&amp;$B1845)=0),NOW(),_xlfn.MINIFS($B$3:$B$5000,$A$3:$A$5000,$A1845,$B$3:$B$5000,"&gt;"&amp;$B1845))</f>
        <v>46279.5987643693</v>
      </c>
    </row>
    <row r="1846" customFormat="false" ht="15" hidden="false" customHeight="true" outlineLevel="0" collapsed="false">
      <c r="A1846" s="42"/>
      <c r="B1846" s="42"/>
      <c r="C1846" s="42"/>
      <c r="D1846" s="42"/>
      <c r="E1846" s="42"/>
      <c r="F1846" s="51" t="n">
        <f aca="false">IF(OR(C1846="",D1846="",E1846="",E1846=0),0,C1846*D1846/E1846)</f>
        <v>0</v>
      </c>
      <c r="G1846" s="42"/>
      <c r="H1846" s="49" t="n">
        <f aca="true">IF(OR($A1846="",_xlfn.MINIFS($B$3:$B$5000,$A$3:$A$5000,$A1846,$B$3:$B$5000,"&gt;"&amp;$B1846)=0),NOW(),_xlfn.MINIFS($B$3:$B$5000,$A$3:$A$5000,$A1846,$B$3:$B$5000,"&gt;"&amp;$B1846))</f>
        <v>46279.5987643694</v>
      </c>
    </row>
    <row r="1847" customFormat="false" ht="15" hidden="false" customHeight="true" outlineLevel="0" collapsed="false">
      <c r="A1847" s="42"/>
      <c r="B1847" s="42"/>
      <c r="C1847" s="42"/>
      <c r="D1847" s="42"/>
      <c r="E1847" s="42"/>
      <c r="F1847" s="51" t="n">
        <f aca="false">IF(OR(C1847="",D1847="",E1847="",E1847=0),0,C1847*D1847/E1847)</f>
        <v>0</v>
      </c>
      <c r="G1847" s="42"/>
      <c r="H1847" s="49" t="n">
        <f aca="true">IF(OR($A1847="",_xlfn.MINIFS($B$3:$B$5000,$A$3:$A$5000,$A1847,$B$3:$B$5000,"&gt;"&amp;$B1847)=0),NOW(),_xlfn.MINIFS($B$3:$B$5000,$A$3:$A$5000,$A1847,$B$3:$B$5000,"&gt;"&amp;$B1847))</f>
        <v>46279.5987643694</v>
      </c>
    </row>
    <row r="1848" customFormat="false" ht="15" hidden="false" customHeight="true" outlineLevel="0" collapsed="false">
      <c r="A1848" s="42"/>
      <c r="B1848" s="42"/>
      <c r="C1848" s="42"/>
      <c r="D1848" s="42"/>
      <c r="E1848" s="42"/>
      <c r="F1848" s="51" t="n">
        <f aca="false">IF(OR(C1848="",D1848="",E1848="",E1848=0),0,C1848*D1848/E1848)</f>
        <v>0</v>
      </c>
      <c r="G1848" s="42"/>
      <c r="H1848" s="49" t="n">
        <f aca="true">IF(OR($A1848="",_xlfn.MINIFS($B$3:$B$5000,$A$3:$A$5000,$A1848,$B$3:$B$5000,"&gt;"&amp;$B1848)=0),NOW(),_xlfn.MINIFS($B$3:$B$5000,$A$3:$A$5000,$A1848,$B$3:$B$5000,"&gt;"&amp;$B1848))</f>
        <v>46279.5987643695</v>
      </c>
    </row>
    <row r="1849" customFormat="false" ht="15" hidden="false" customHeight="true" outlineLevel="0" collapsed="false">
      <c r="A1849" s="42"/>
      <c r="B1849" s="42"/>
      <c r="C1849" s="42"/>
      <c r="D1849" s="42"/>
      <c r="E1849" s="42"/>
      <c r="F1849" s="51" t="n">
        <f aca="false">IF(OR(C1849="",D1849="",E1849="",E1849=0),0,C1849*D1849/E1849)</f>
        <v>0</v>
      </c>
      <c r="G1849" s="42"/>
      <c r="H1849" s="49" t="n">
        <f aca="true">IF(OR($A1849="",_xlfn.MINIFS($B$3:$B$5000,$A$3:$A$5000,$A1849,$B$3:$B$5000,"&gt;"&amp;$B1849)=0),NOW(),_xlfn.MINIFS($B$3:$B$5000,$A$3:$A$5000,$A1849,$B$3:$B$5000,"&gt;"&amp;$B1849))</f>
        <v>46279.5987643695</v>
      </c>
    </row>
    <row r="1850" customFormat="false" ht="15" hidden="false" customHeight="true" outlineLevel="0" collapsed="false">
      <c r="A1850" s="42"/>
      <c r="B1850" s="42"/>
      <c r="C1850" s="42"/>
      <c r="D1850" s="42"/>
      <c r="E1850" s="42"/>
      <c r="F1850" s="51" t="n">
        <f aca="false">IF(OR(C1850="",D1850="",E1850="",E1850=0),0,C1850*D1850/E1850)</f>
        <v>0</v>
      </c>
      <c r="G1850" s="42"/>
      <c r="H1850" s="49" t="n">
        <f aca="true">IF(OR($A1850="",_xlfn.MINIFS($B$3:$B$5000,$A$3:$A$5000,$A1850,$B$3:$B$5000,"&gt;"&amp;$B1850)=0),NOW(),_xlfn.MINIFS($B$3:$B$5000,$A$3:$A$5000,$A1850,$B$3:$B$5000,"&gt;"&amp;$B1850))</f>
        <v>46279.5987643696</v>
      </c>
    </row>
    <row r="1851" customFormat="false" ht="15" hidden="false" customHeight="true" outlineLevel="0" collapsed="false">
      <c r="A1851" s="42"/>
      <c r="B1851" s="42"/>
      <c r="C1851" s="42"/>
      <c r="D1851" s="42"/>
      <c r="E1851" s="42"/>
      <c r="F1851" s="51" t="n">
        <f aca="false">IF(OR(C1851="",D1851="",E1851="",E1851=0),0,C1851*D1851/E1851)</f>
        <v>0</v>
      </c>
      <c r="G1851" s="42"/>
      <c r="H1851" s="49" t="n">
        <f aca="true">IF(OR($A1851="",_xlfn.MINIFS($B$3:$B$5000,$A$3:$A$5000,$A1851,$B$3:$B$5000,"&gt;"&amp;$B1851)=0),NOW(),_xlfn.MINIFS($B$3:$B$5000,$A$3:$A$5000,$A1851,$B$3:$B$5000,"&gt;"&amp;$B1851))</f>
        <v>46279.5987643696</v>
      </c>
    </row>
    <row r="1852" customFormat="false" ht="15" hidden="false" customHeight="true" outlineLevel="0" collapsed="false">
      <c r="A1852" s="42"/>
      <c r="B1852" s="42"/>
      <c r="C1852" s="42"/>
      <c r="D1852" s="42"/>
      <c r="E1852" s="42"/>
      <c r="F1852" s="51" t="n">
        <f aca="false">IF(OR(C1852="",D1852="",E1852="",E1852=0),0,C1852*D1852/E1852)</f>
        <v>0</v>
      </c>
      <c r="G1852" s="42"/>
      <c r="H1852" s="49" t="n">
        <f aca="true">IF(OR($A1852="",_xlfn.MINIFS($B$3:$B$5000,$A$3:$A$5000,$A1852,$B$3:$B$5000,"&gt;"&amp;$B1852)=0),NOW(),_xlfn.MINIFS($B$3:$B$5000,$A$3:$A$5000,$A1852,$B$3:$B$5000,"&gt;"&amp;$B1852))</f>
        <v>46279.5987643697</v>
      </c>
    </row>
    <row r="1853" customFormat="false" ht="15" hidden="false" customHeight="true" outlineLevel="0" collapsed="false">
      <c r="A1853" s="42"/>
      <c r="B1853" s="42"/>
      <c r="C1853" s="42"/>
      <c r="D1853" s="42"/>
      <c r="E1853" s="42"/>
      <c r="F1853" s="51" t="n">
        <f aca="false">IF(OR(C1853="",D1853="",E1853="",E1853=0),0,C1853*D1853/E1853)</f>
        <v>0</v>
      </c>
      <c r="G1853" s="42"/>
      <c r="H1853" s="49" t="n">
        <f aca="true">IF(OR($A1853="",_xlfn.MINIFS($B$3:$B$5000,$A$3:$A$5000,$A1853,$B$3:$B$5000,"&gt;"&amp;$B1853)=0),NOW(),_xlfn.MINIFS($B$3:$B$5000,$A$3:$A$5000,$A1853,$B$3:$B$5000,"&gt;"&amp;$B1853))</f>
        <v>46279.5987643698</v>
      </c>
    </row>
    <row r="1854" customFormat="false" ht="15" hidden="false" customHeight="true" outlineLevel="0" collapsed="false">
      <c r="A1854" s="42"/>
      <c r="B1854" s="42"/>
      <c r="C1854" s="42"/>
      <c r="D1854" s="42"/>
      <c r="E1854" s="42"/>
      <c r="F1854" s="51" t="n">
        <f aca="false">IF(OR(C1854="",D1854="",E1854="",E1854=0),0,C1854*D1854/E1854)</f>
        <v>0</v>
      </c>
      <c r="G1854" s="42"/>
      <c r="H1854" s="49" t="n">
        <f aca="true">IF(OR($A1854="",_xlfn.MINIFS($B$3:$B$5000,$A$3:$A$5000,$A1854,$B$3:$B$5000,"&gt;"&amp;$B1854)=0),NOW(),_xlfn.MINIFS($B$3:$B$5000,$A$3:$A$5000,$A1854,$B$3:$B$5000,"&gt;"&amp;$B1854))</f>
        <v>46279.5987643698</v>
      </c>
    </row>
    <row r="1855" customFormat="false" ht="15" hidden="false" customHeight="true" outlineLevel="0" collapsed="false">
      <c r="A1855" s="42"/>
      <c r="B1855" s="42"/>
      <c r="C1855" s="42"/>
      <c r="D1855" s="42"/>
      <c r="E1855" s="42"/>
      <c r="F1855" s="51" t="n">
        <f aca="false">IF(OR(C1855="",D1855="",E1855="",E1855=0),0,C1855*D1855/E1855)</f>
        <v>0</v>
      </c>
      <c r="G1855" s="42"/>
      <c r="H1855" s="49" t="n">
        <f aca="true">IF(OR($A1855="",_xlfn.MINIFS($B$3:$B$5000,$A$3:$A$5000,$A1855,$B$3:$B$5000,"&gt;"&amp;$B1855)=0),NOW(),_xlfn.MINIFS($B$3:$B$5000,$A$3:$A$5000,$A1855,$B$3:$B$5000,"&gt;"&amp;$B1855))</f>
        <v>46279.5987643698</v>
      </c>
    </row>
    <row r="1856" customFormat="false" ht="15" hidden="false" customHeight="true" outlineLevel="0" collapsed="false">
      <c r="A1856" s="42"/>
      <c r="B1856" s="42"/>
      <c r="C1856" s="42"/>
      <c r="D1856" s="42"/>
      <c r="E1856" s="42"/>
      <c r="F1856" s="51" t="n">
        <f aca="false">IF(OR(C1856="",D1856="",E1856="",E1856=0),0,C1856*D1856/E1856)</f>
        <v>0</v>
      </c>
      <c r="G1856" s="42"/>
      <c r="H1856" s="49" t="n">
        <f aca="true">IF(OR($A1856="",_xlfn.MINIFS($B$3:$B$5000,$A$3:$A$5000,$A1856,$B$3:$B$5000,"&gt;"&amp;$B1856)=0),NOW(),_xlfn.MINIFS($B$3:$B$5000,$A$3:$A$5000,$A1856,$B$3:$B$5000,"&gt;"&amp;$B1856))</f>
        <v>46279.5987643699</v>
      </c>
    </row>
    <row r="1857" customFormat="false" ht="15" hidden="false" customHeight="true" outlineLevel="0" collapsed="false">
      <c r="A1857" s="42"/>
      <c r="B1857" s="42"/>
      <c r="C1857" s="42"/>
      <c r="D1857" s="42"/>
      <c r="E1857" s="42"/>
      <c r="F1857" s="51" t="n">
        <f aca="false">IF(OR(C1857="",D1857="",E1857="",E1857=0),0,C1857*D1857/E1857)</f>
        <v>0</v>
      </c>
      <c r="G1857" s="42"/>
      <c r="H1857" s="49" t="n">
        <f aca="true">IF(OR($A1857="",_xlfn.MINIFS($B$3:$B$5000,$A$3:$A$5000,$A1857,$B$3:$B$5000,"&gt;"&amp;$B1857)=0),NOW(),_xlfn.MINIFS($B$3:$B$5000,$A$3:$A$5000,$A1857,$B$3:$B$5000,"&gt;"&amp;$B1857))</f>
        <v>46279.59876437</v>
      </c>
    </row>
    <row r="1858" customFormat="false" ht="15" hidden="false" customHeight="true" outlineLevel="0" collapsed="false">
      <c r="A1858" s="42"/>
      <c r="B1858" s="42"/>
      <c r="C1858" s="42"/>
      <c r="D1858" s="42"/>
      <c r="E1858" s="42"/>
      <c r="F1858" s="51" t="n">
        <f aca="false">IF(OR(C1858="",D1858="",E1858="",E1858=0),0,C1858*D1858/E1858)</f>
        <v>0</v>
      </c>
      <c r="G1858" s="42"/>
      <c r="H1858" s="49" t="n">
        <f aca="true">IF(OR($A1858="",_xlfn.MINIFS($B$3:$B$5000,$A$3:$A$5000,$A1858,$B$3:$B$5000,"&gt;"&amp;$B1858)=0),NOW(),_xlfn.MINIFS($B$3:$B$5000,$A$3:$A$5000,$A1858,$B$3:$B$5000,"&gt;"&amp;$B1858))</f>
        <v>46279.59876437</v>
      </c>
    </row>
    <row r="1859" customFormat="false" ht="15" hidden="false" customHeight="true" outlineLevel="0" collapsed="false">
      <c r="A1859" s="42"/>
      <c r="B1859" s="42"/>
      <c r="C1859" s="42"/>
      <c r="D1859" s="42"/>
      <c r="E1859" s="42"/>
      <c r="F1859" s="51" t="n">
        <f aca="false">IF(OR(C1859="",D1859="",E1859="",E1859=0),0,C1859*D1859/E1859)</f>
        <v>0</v>
      </c>
      <c r="G1859" s="42"/>
      <c r="H1859" s="49" t="n">
        <f aca="true">IF(OR($A1859="",_xlfn.MINIFS($B$3:$B$5000,$A$3:$A$5000,$A1859,$B$3:$B$5000,"&gt;"&amp;$B1859)=0),NOW(),_xlfn.MINIFS($B$3:$B$5000,$A$3:$A$5000,$A1859,$B$3:$B$5000,"&gt;"&amp;$B1859))</f>
        <v>46279.5987643701</v>
      </c>
    </row>
    <row r="1860" customFormat="false" ht="15" hidden="false" customHeight="true" outlineLevel="0" collapsed="false">
      <c r="A1860" s="42"/>
      <c r="B1860" s="42"/>
      <c r="C1860" s="42"/>
      <c r="D1860" s="42"/>
      <c r="E1860" s="42"/>
      <c r="F1860" s="51" t="n">
        <f aca="false">IF(OR(C1860="",D1860="",E1860="",E1860=0),0,C1860*D1860/E1860)</f>
        <v>0</v>
      </c>
      <c r="G1860" s="42"/>
      <c r="H1860" s="49" t="n">
        <f aca="true">IF(OR($A1860="",_xlfn.MINIFS($B$3:$B$5000,$A$3:$A$5000,$A1860,$B$3:$B$5000,"&gt;"&amp;$B1860)=0),NOW(),_xlfn.MINIFS($B$3:$B$5000,$A$3:$A$5000,$A1860,$B$3:$B$5000,"&gt;"&amp;$B1860))</f>
        <v>46279.5987643701</v>
      </c>
    </row>
    <row r="1861" customFormat="false" ht="15" hidden="false" customHeight="true" outlineLevel="0" collapsed="false">
      <c r="A1861" s="42"/>
      <c r="B1861" s="42"/>
      <c r="C1861" s="42"/>
      <c r="D1861" s="42"/>
      <c r="E1861" s="42"/>
      <c r="F1861" s="51" t="n">
        <f aca="false">IF(OR(C1861="",D1861="",E1861="",E1861=0),0,C1861*D1861/E1861)</f>
        <v>0</v>
      </c>
      <c r="G1861" s="42"/>
      <c r="H1861" s="49" t="n">
        <f aca="true">IF(OR($A1861="",_xlfn.MINIFS($B$3:$B$5000,$A$3:$A$5000,$A1861,$B$3:$B$5000,"&gt;"&amp;$B1861)=0),NOW(),_xlfn.MINIFS($B$3:$B$5000,$A$3:$A$5000,$A1861,$B$3:$B$5000,"&gt;"&amp;$B1861))</f>
        <v>46279.5987643702</v>
      </c>
    </row>
    <row r="1862" customFormat="false" ht="15" hidden="false" customHeight="true" outlineLevel="0" collapsed="false">
      <c r="A1862" s="42"/>
      <c r="B1862" s="42"/>
      <c r="C1862" s="42"/>
      <c r="D1862" s="42"/>
      <c r="E1862" s="42"/>
      <c r="F1862" s="51" t="n">
        <f aca="false">IF(OR(C1862="",D1862="",E1862="",E1862=0),0,C1862*D1862/E1862)</f>
        <v>0</v>
      </c>
      <c r="G1862" s="42"/>
      <c r="H1862" s="49" t="n">
        <f aca="true">IF(OR($A1862="",_xlfn.MINIFS($B$3:$B$5000,$A$3:$A$5000,$A1862,$B$3:$B$5000,"&gt;"&amp;$B1862)=0),NOW(),_xlfn.MINIFS($B$3:$B$5000,$A$3:$A$5000,$A1862,$B$3:$B$5000,"&gt;"&amp;$B1862))</f>
        <v>46279.5987643702</v>
      </c>
    </row>
    <row r="1863" customFormat="false" ht="15" hidden="false" customHeight="true" outlineLevel="0" collapsed="false">
      <c r="A1863" s="42"/>
      <c r="B1863" s="42"/>
      <c r="C1863" s="42"/>
      <c r="D1863" s="42"/>
      <c r="E1863" s="42"/>
      <c r="F1863" s="51" t="n">
        <f aca="false">IF(OR(C1863="",D1863="",E1863="",E1863=0),0,C1863*D1863/E1863)</f>
        <v>0</v>
      </c>
      <c r="G1863" s="42"/>
      <c r="H1863" s="49" t="n">
        <f aca="true">IF(OR($A1863="",_xlfn.MINIFS($B$3:$B$5000,$A$3:$A$5000,$A1863,$B$3:$B$5000,"&gt;"&amp;$B1863)=0),NOW(),_xlfn.MINIFS($B$3:$B$5000,$A$3:$A$5000,$A1863,$B$3:$B$5000,"&gt;"&amp;$B1863))</f>
        <v>46279.5987643703</v>
      </c>
    </row>
    <row r="1864" customFormat="false" ht="15" hidden="false" customHeight="true" outlineLevel="0" collapsed="false">
      <c r="A1864" s="42"/>
      <c r="B1864" s="42"/>
      <c r="C1864" s="42"/>
      <c r="D1864" s="42"/>
      <c r="E1864" s="42"/>
      <c r="F1864" s="51" t="n">
        <f aca="false">IF(OR(C1864="",D1864="",E1864="",E1864=0),0,C1864*D1864/E1864)</f>
        <v>0</v>
      </c>
      <c r="G1864" s="42"/>
      <c r="H1864" s="49" t="n">
        <f aca="true">IF(OR($A1864="",_xlfn.MINIFS($B$3:$B$5000,$A$3:$A$5000,$A1864,$B$3:$B$5000,"&gt;"&amp;$B1864)=0),NOW(),_xlfn.MINIFS($B$3:$B$5000,$A$3:$A$5000,$A1864,$B$3:$B$5000,"&gt;"&amp;$B1864))</f>
        <v>46279.5987643703</v>
      </c>
    </row>
    <row r="1865" customFormat="false" ht="15" hidden="false" customHeight="true" outlineLevel="0" collapsed="false">
      <c r="A1865" s="42"/>
      <c r="B1865" s="42"/>
      <c r="C1865" s="42"/>
      <c r="D1865" s="42"/>
      <c r="E1865" s="42"/>
      <c r="F1865" s="51" t="n">
        <f aca="false">IF(OR(C1865="",D1865="",E1865="",E1865=0),0,C1865*D1865/E1865)</f>
        <v>0</v>
      </c>
      <c r="G1865" s="42"/>
      <c r="H1865" s="49" t="n">
        <f aca="true">IF(OR($A1865="",_xlfn.MINIFS($B$3:$B$5000,$A$3:$A$5000,$A1865,$B$3:$B$5000,"&gt;"&amp;$B1865)=0),NOW(),_xlfn.MINIFS($B$3:$B$5000,$A$3:$A$5000,$A1865,$B$3:$B$5000,"&gt;"&amp;$B1865))</f>
        <v>46279.5987643704</v>
      </c>
    </row>
    <row r="1866" customFormat="false" ht="15" hidden="false" customHeight="true" outlineLevel="0" collapsed="false">
      <c r="A1866" s="42"/>
      <c r="B1866" s="42"/>
      <c r="C1866" s="42"/>
      <c r="D1866" s="42"/>
      <c r="E1866" s="42"/>
      <c r="F1866" s="51" t="n">
        <f aca="false">IF(OR(C1866="",D1866="",E1866="",E1866=0),0,C1866*D1866/E1866)</f>
        <v>0</v>
      </c>
      <c r="G1866" s="42"/>
      <c r="H1866" s="49" t="n">
        <f aca="true">IF(OR($A1866="",_xlfn.MINIFS($B$3:$B$5000,$A$3:$A$5000,$A1866,$B$3:$B$5000,"&gt;"&amp;$B1866)=0),NOW(),_xlfn.MINIFS($B$3:$B$5000,$A$3:$A$5000,$A1866,$B$3:$B$5000,"&gt;"&amp;$B1866))</f>
        <v>46279.5987643704</v>
      </c>
    </row>
    <row r="1867" customFormat="false" ht="15" hidden="false" customHeight="true" outlineLevel="0" collapsed="false">
      <c r="A1867" s="42"/>
      <c r="B1867" s="42"/>
      <c r="C1867" s="42"/>
      <c r="D1867" s="42"/>
      <c r="E1867" s="42"/>
      <c r="F1867" s="51" t="n">
        <f aca="false">IF(OR(C1867="",D1867="",E1867="",E1867=0),0,C1867*D1867/E1867)</f>
        <v>0</v>
      </c>
      <c r="G1867" s="42"/>
      <c r="H1867" s="49" t="n">
        <f aca="true">IF(OR($A1867="",_xlfn.MINIFS($B$3:$B$5000,$A$3:$A$5000,$A1867,$B$3:$B$5000,"&gt;"&amp;$B1867)=0),NOW(),_xlfn.MINIFS($B$3:$B$5000,$A$3:$A$5000,$A1867,$B$3:$B$5000,"&gt;"&amp;$B1867))</f>
        <v>46279.5987643705</v>
      </c>
    </row>
    <row r="1868" customFormat="false" ht="15" hidden="false" customHeight="true" outlineLevel="0" collapsed="false">
      <c r="A1868" s="42"/>
      <c r="B1868" s="42"/>
      <c r="C1868" s="42"/>
      <c r="D1868" s="42"/>
      <c r="E1868" s="42"/>
      <c r="F1868" s="51" t="n">
        <f aca="false">IF(OR(C1868="",D1868="",E1868="",E1868=0),0,C1868*D1868/E1868)</f>
        <v>0</v>
      </c>
      <c r="G1868" s="42"/>
      <c r="H1868" s="49" t="n">
        <f aca="true">IF(OR($A1868="",_xlfn.MINIFS($B$3:$B$5000,$A$3:$A$5000,$A1868,$B$3:$B$5000,"&gt;"&amp;$B1868)=0),NOW(),_xlfn.MINIFS($B$3:$B$5000,$A$3:$A$5000,$A1868,$B$3:$B$5000,"&gt;"&amp;$B1868))</f>
        <v>46279.5987643705</v>
      </c>
    </row>
    <row r="1869" customFormat="false" ht="15" hidden="false" customHeight="true" outlineLevel="0" collapsed="false">
      <c r="A1869" s="42"/>
      <c r="B1869" s="42"/>
      <c r="C1869" s="42"/>
      <c r="D1869" s="42"/>
      <c r="E1869" s="42"/>
      <c r="F1869" s="51" t="n">
        <f aca="false">IF(OR(C1869="",D1869="",E1869="",E1869=0),0,C1869*D1869/E1869)</f>
        <v>0</v>
      </c>
      <c r="G1869" s="42"/>
      <c r="H1869" s="49" t="n">
        <f aca="true">IF(OR($A1869="",_xlfn.MINIFS($B$3:$B$5000,$A$3:$A$5000,$A1869,$B$3:$B$5000,"&gt;"&amp;$B1869)=0),NOW(),_xlfn.MINIFS($B$3:$B$5000,$A$3:$A$5000,$A1869,$B$3:$B$5000,"&gt;"&amp;$B1869))</f>
        <v>46279.5987643706</v>
      </c>
    </row>
    <row r="1870" customFormat="false" ht="15" hidden="false" customHeight="true" outlineLevel="0" collapsed="false">
      <c r="A1870" s="42"/>
      <c r="B1870" s="42"/>
      <c r="C1870" s="42"/>
      <c r="D1870" s="42"/>
      <c r="E1870" s="42"/>
      <c r="F1870" s="51" t="n">
        <f aca="false">IF(OR(C1870="",D1870="",E1870="",E1870=0),0,C1870*D1870/E1870)</f>
        <v>0</v>
      </c>
      <c r="G1870" s="42"/>
      <c r="H1870" s="49" t="n">
        <f aca="true">IF(OR($A1870="",_xlfn.MINIFS($B$3:$B$5000,$A$3:$A$5000,$A1870,$B$3:$B$5000,"&gt;"&amp;$B1870)=0),NOW(),_xlfn.MINIFS($B$3:$B$5000,$A$3:$A$5000,$A1870,$B$3:$B$5000,"&gt;"&amp;$B1870))</f>
        <v>46279.5987643706</v>
      </c>
    </row>
    <row r="1871" customFormat="false" ht="15" hidden="false" customHeight="true" outlineLevel="0" collapsed="false">
      <c r="A1871" s="42"/>
      <c r="B1871" s="42"/>
      <c r="C1871" s="42"/>
      <c r="D1871" s="42"/>
      <c r="E1871" s="42"/>
      <c r="F1871" s="51" t="n">
        <f aca="false">IF(OR(C1871="",D1871="",E1871="",E1871=0),0,C1871*D1871/E1871)</f>
        <v>0</v>
      </c>
      <c r="G1871" s="42"/>
      <c r="H1871" s="49" t="n">
        <f aca="true">IF(OR($A1871="",_xlfn.MINIFS($B$3:$B$5000,$A$3:$A$5000,$A1871,$B$3:$B$5000,"&gt;"&amp;$B1871)=0),NOW(),_xlfn.MINIFS($B$3:$B$5000,$A$3:$A$5000,$A1871,$B$3:$B$5000,"&gt;"&amp;$B1871))</f>
        <v>46279.5987643707</v>
      </c>
    </row>
    <row r="1872" customFormat="false" ht="15" hidden="false" customHeight="true" outlineLevel="0" collapsed="false">
      <c r="A1872" s="42"/>
      <c r="B1872" s="42"/>
      <c r="C1872" s="42"/>
      <c r="D1872" s="42"/>
      <c r="E1872" s="42"/>
      <c r="F1872" s="51" t="n">
        <f aca="false">IF(OR(C1872="",D1872="",E1872="",E1872=0),0,C1872*D1872/E1872)</f>
        <v>0</v>
      </c>
      <c r="G1872" s="42"/>
      <c r="H1872" s="49" t="n">
        <f aca="true">IF(OR($A1872="",_xlfn.MINIFS($B$3:$B$5000,$A$3:$A$5000,$A1872,$B$3:$B$5000,"&gt;"&amp;$B1872)=0),NOW(),_xlfn.MINIFS($B$3:$B$5000,$A$3:$A$5000,$A1872,$B$3:$B$5000,"&gt;"&amp;$B1872))</f>
        <v>46279.5987643707</v>
      </c>
    </row>
    <row r="1873" customFormat="false" ht="15" hidden="false" customHeight="true" outlineLevel="0" collapsed="false">
      <c r="A1873" s="42"/>
      <c r="B1873" s="42"/>
      <c r="C1873" s="42"/>
      <c r="D1873" s="42"/>
      <c r="E1873" s="42"/>
      <c r="F1873" s="51" t="n">
        <f aca="false">IF(OR(C1873="",D1873="",E1873="",E1873=0),0,C1873*D1873/E1873)</f>
        <v>0</v>
      </c>
      <c r="G1873" s="42"/>
      <c r="H1873" s="49" t="n">
        <f aca="true">IF(OR($A1873="",_xlfn.MINIFS($B$3:$B$5000,$A$3:$A$5000,$A1873,$B$3:$B$5000,"&gt;"&amp;$B1873)=0),NOW(),_xlfn.MINIFS($B$3:$B$5000,$A$3:$A$5000,$A1873,$B$3:$B$5000,"&gt;"&amp;$B1873))</f>
        <v>46279.5987643708</v>
      </c>
    </row>
    <row r="1874" customFormat="false" ht="15" hidden="false" customHeight="true" outlineLevel="0" collapsed="false">
      <c r="A1874" s="42"/>
      <c r="B1874" s="42"/>
      <c r="C1874" s="42"/>
      <c r="D1874" s="42"/>
      <c r="E1874" s="42"/>
      <c r="F1874" s="51" t="n">
        <f aca="false">IF(OR(C1874="",D1874="",E1874="",E1874=0),0,C1874*D1874/E1874)</f>
        <v>0</v>
      </c>
      <c r="G1874" s="42"/>
      <c r="H1874" s="49" t="n">
        <f aca="true">IF(OR($A1874="",_xlfn.MINIFS($B$3:$B$5000,$A$3:$A$5000,$A1874,$B$3:$B$5000,"&gt;"&amp;$B1874)=0),NOW(),_xlfn.MINIFS($B$3:$B$5000,$A$3:$A$5000,$A1874,$B$3:$B$5000,"&gt;"&amp;$B1874))</f>
        <v>46279.5987643708</v>
      </c>
    </row>
    <row r="1875" customFormat="false" ht="15" hidden="false" customHeight="true" outlineLevel="0" collapsed="false">
      <c r="A1875" s="42"/>
      <c r="B1875" s="42"/>
      <c r="C1875" s="42"/>
      <c r="D1875" s="42"/>
      <c r="E1875" s="42"/>
      <c r="F1875" s="51" t="n">
        <f aca="false">IF(OR(C1875="",D1875="",E1875="",E1875=0),0,C1875*D1875/E1875)</f>
        <v>0</v>
      </c>
      <c r="G1875" s="42"/>
      <c r="H1875" s="49" t="n">
        <f aca="true">IF(OR($A1875="",_xlfn.MINIFS($B$3:$B$5000,$A$3:$A$5000,$A1875,$B$3:$B$5000,"&gt;"&amp;$B1875)=0),NOW(),_xlfn.MINIFS($B$3:$B$5000,$A$3:$A$5000,$A1875,$B$3:$B$5000,"&gt;"&amp;$B1875))</f>
        <v>46279.5987643709</v>
      </c>
    </row>
    <row r="1876" customFormat="false" ht="15" hidden="false" customHeight="true" outlineLevel="0" collapsed="false">
      <c r="A1876" s="42"/>
      <c r="B1876" s="42"/>
      <c r="C1876" s="42"/>
      <c r="D1876" s="42"/>
      <c r="E1876" s="42"/>
      <c r="F1876" s="51" t="n">
        <f aca="false">IF(OR(C1876="",D1876="",E1876="",E1876=0),0,C1876*D1876/E1876)</f>
        <v>0</v>
      </c>
      <c r="G1876" s="42"/>
      <c r="H1876" s="49" t="n">
        <f aca="true">IF(OR($A1876="",_xlfn.MINIFS($B$3:$B$5000,$A$3:$A$5000,$A1876,$B$3:$B$5000,"&gt;"&amp;$B1876)=0),NOW(),_xlfn.MINIFS($B$3:$B$5000,$A$3:$A$5000,$A1876,$B$3:$B$5000,"&gt;"&amp;$B1876))</f>
        <v>46279.5987643709</v>
      </c>
    </row>
    <row r="1877" customFormat="false" ht="15" hidden="false" customHeight="true" outlineLevel="0" collapsed="false">
      <c r="A1877" s="42"/>
      <c r="B1877" s="42"/>
      <c r="C1877" s="42"/>
      <c r="D1877" s="42"/>
      <c r="E1877" s="42"/>
      <c r="F1877" s="51" t="n">
        <f aca="false">IF(OR(C1877="",D1877="",E1877="",E1877=0),0,C1877*D1877/E1877)</f>
        <v>0</v>
      </c>
      <c r="G1877" s="42"/>
      <c r="H1877" s="49" t="n">
        <f aca="true">IF(OR($A1877="",_xlfn.MINIFS($B$3:$B$5000,$A$3:$A$5000,$A1877,$B$3:$B$5000,"&gt;"&amp;$B1877)=0),NOW(),_xlfn.MINIFS($B$3:$B$5000,$A$3:$A$5000,$A1877,$B$3:$B$5000,"&gt;"&amp;$B1877))</f>
        <v>46279.598764371</v>
      </c>
    </row>
    <row r="1878" customFormat="false" ht="15" hidden="false" customHeight="true" outlineLevel="0" collapsed="false">
      <c r="A1878" s="42"/>
      <c r="B1878" s="42"/>
      <c r="C1878" s="42"/>
      <c r="D1878" s="42"/>
      <c r="E1878" s="42"/>
      <c r="F1878" s="51" t="n">
        <f aca="false">IF(OR(C1878="",D1878="",E1878="",E1878=0),0,C1878*D1878/E1878)</f>
        <v>0</v>
      </c>
      <c r="G1878" s="42"/>
      <c r="H1878" s="49" t="n">
        <f aca="true">IF(OR($A1878="",_xlfn.MINIFS($B$3:$B$5000,$A$3:$A$5000,$A1878,$B$3:$B$5000,"&gt;"&amp;$B1878)=0),NOW(),_xlfn.MINIFS($B$3:$B$5000,$A$3:$A$5000,$A1878,$B$3:$B$5000,"&gt;"&amp;$B1878))</f>
        <v>46279.598764371</v>
      </c>
    </row>
    <row r="1879" customFormat="false" ht="15" hidden="false" customHeight="true" outlineLevel="0" collapsed="false">
      <c r="A1879" s="42"/>
      <c r="B1879" s="42"/>
      <c r="C1879" s="42"/>
      <c r="D1879" s="42"/>
      <c r="E1879" s="42"/>
      <c r="F1879" s="51" t="n">
        <f aca="false">IF(OR(C1879="",D1879="",E1879="",E1879=0),0,C1879*D1879/E1879)</f>
        <v>0</v>
      </c>
      <c r="G1879" s="42"/>
      <c r="H1879" s="49" t="n">
        <f aca="true">IF(OR($A1879="",_xlfn.MINIFS($B$3:$B$5000,$A$3:$A$5000,$A1879,$B$3:$B$5000,"&gt;"&amp;$B1879)=0),NOW(),_xlfn.MINIFS($B$3:$B$5000,$A$3:$A$5000,$A1879,$B$3:$B$5000,"&gt;"&amp;$B1879))</f>
        <v>46279.5987643711</v>
      </c>
    </row>
    <row r="1880" customFormat="false" ht="15" hidden="false" customHeight="true" outlineLevel="0" collapsed="false">
      <c r="A1880" s="42"/>
      <c r="B1880" s="42"/>
      <c r="C1880" s="42"/>
      <c r="D1880" s="42"/>
      <c r="E1880" s="42"/>
      <c r="F1880" s="51" t="n">
        <f aca="false">IF(OR(C1880="",D1880="",E1880="",E1880=0),0,C1880*D1880/E1880)</f>
        <v>0</v>
      </c>
      <c r="G1880" s="42"/>
      <c r="H1880" s="49" t="n">
        <f aca="true">IF(OR($A1880="",_xlfn.MINIFS($B$3:$B$5000,$A$3:$A$5000,$A1880,$B$3:$B$5000,"&gt;"&amp;$B1880)=0),NOW(),_xlfn.MINIFS($B$3:$B$5000,$A$3:$A$5000,$A1880,$B$3:$B$5000,"&gt;"&amp;$B1880))</f>
        <v>46279.5987643711</v>
      </c>
    </row>
    <row r="1881" customFormat="false" ht="15" hidden="false" customHeight="true" outlineLevel="0" collapsed="false">
      <c r="A1881" s="42"/>
      <c r="B1881" s="42"/>
      <c r="C1881" s="42"/>
      <c r="D1881" s="42"/>
      <c r="E1881" s="42"/>
      <c r="F1881" s="51" t="n">
        <f aca="false">IF(OR(C1881="",D1881="",E1881="",E1881=0),0,C1881*D1881/E1881)</f>
        <v>0</v>
      </c>
      <c r="G1881" s="42"/>
      <c r="H1881" s="49" t="n">
        <f aca="true">IF(OR($A1881="",_xlfn.MINIFS($B$3:$B$5000,$A$3:$A$5000,$A1881,$B$3:$B$5000,"&gt;"&amp;$B1881)=0),NOW(),_xlfn.MINIFS($B$3:$B$5000,$A$3:$A$5000,$A1881,$B$3:$B$5000,"&gt;"&amp;$B1881))</f>
        <v>46279.5987643712</v>
      </c>
    </row>
    <row r="1882" customFormat="false" ht="15" hidden="false" customHeight="true" outlineLevel="0" collapsed="false">
      <c r="A1882" s="42"/>
      <c r="B1882" s="42"/>
      <c r="C1882" s="42"/>
      <c r="D1882" s="42"/>
      <c r="E1882" s="42"/>
      <c r="F1882" s="51" t="n">
        <f aca="false">IF(OR(C1882="",D1882="",E1882="",E1882=0),0,C1882*D1882/E1882)</f>
        <v>0</v>
      </c>
      <c r="G1882" s="42"/>
      <c r="H1882" s="49" t="n">
        <f aca="true">IF(OR($A1882="",_xlfn.MINIFS($B$3:$B$5000,$A$3:$A$5000,$A1882,$B$3:$B$5000,"&gt;"&amp;$B1882)=0),NOW(),_xlfn.MINIFS($B$3:$B$5000,$A$3:$A$5000,$A1882,$B$3:$B$5000,"&gt;"&amp;$B1882))</f>
        <v>46279.5987643712</v>
      </c>
    </row>
    <row r="1883" customFormat="false" ht="15" hidden="false" customHeight="true" outlineLevel="0" collapsed="false">
      <c r="A1883" s="42"/>
      <c r="B1883" s="42"/>
      <c r="C1883" s="42"/>
      <c r="D1883" s="42"/>
      <c r="E1883" s="42"/>
      <c r="F1883" s="51" t="n">
        <f aca="false">IF(OR(C1883="",D1883="",E1883="",E1883=0),0,C1883*D1883/E1883)</f>
        <v>0</v>
      </c>
      <c r="G1883" s="42"/>
      <c r="H1883" s="49" t="n">
        <f aca="true">IF(OR($A1883="",_xlfn.MINIFS($B$3:$B$5000,$A$3:$A$5000,$A1883,$B$3:$B$5000,"&gt;"&amp;$B1883)=0),NOW(),_xlfn.MINIFS($B$3:$B$5000,$A$3:$A$5000,$A1883,$B$3:$B$5000,"&gt;"&amp;$B1883))</f>
        <v>46279.5987643713</v>
      </c>
    </row>
    <row r="1884" customFormat="false" ht="15" hidden="false" customHeight="true" outlineLevel="0" collapsed="false">
      <c r="A1884" s="42"/>
      <c r="B1884" s="42"/>
      <c r="C1884" s="42"/>
      <c r="D1884" s="42"/>
      <c r="E1884" s="42"/>
      <c r="F1884" s="51" t="n">
        <f aca="false">IF(OR(C1884="",D1884="",E1884="",E1884=0),0,C1884*D1884/E1884)</f>
        <v>0</v>
      </c>
      <c r="G1884" s="42"/>
      <c r="H1884" s="49" t="n">
        <f aca="true">IF(OR($A1884="",_xlfn.MINIFS($B$3:$B$5000,$A$3:$A$5000,$A1884,$B$3:$B$5000,"&gt;"&amp;$B1884)=0),NOW(),_xlfn.MINIFS($B$3:$B$5000,$A$3:$A$5000,$A1884,$B$3:$B$5000,"&gt;"&amp;$B1884))</f>
        <v>46279.5987643713</v>
      </c>
    </row>
    <row r="1885" customFormat="false" ht="15" hidden="false" customHeight="true" outlineLevel="0" collapsed="false">
      <c r="A1885" s="42"/>
      <c r="B1885" s="42"/>
      <c r="C1885" s="42"/>
      <c r="D1885" s="42"/>
      <c r="E1885" s="42"/>
      <c r="F1885" s="51" t="n">
        <f aca="false">IF(OR(C1885="",D1885="",E1885="",E1885=0),0,C1885*D1885/E1885)</f>
        <v>0</v>
      </c>
      <c r="G1885" s="42"/>
      <c r="H1885" s="49" t="n">
        <f aca="true">IF(OR($A1885="",_xlfn.MINIFS($B$3:$B$5000,$A$3:$A$5000,$A1885,$B$3:$B$5000,"&gt;"&amp;$B1885)=0),NOW(),_xlfn.MINIFS($B$3:$B$5000,$A$3:$A$5000,$A1885,$B$3:$B$5000,"&gt;"&amp;$B1885))</f>
        <v>46279.5987643714</v>
      </c>
    </row>
    <row r="1886" customFormat="false" ht="15" hidden="false" customHeight="true" outlineLevel="0" collapsed="false">
      <c r="A1886" s="42"/>
      <c r="B1886" s="42"/>
      <c r="C1886" s="42"/>
      <c r="D1886" s="42"/>
      <c r="E1886" s="42"/>
      <c r="F1886" s="51" t="n">
        <f aca="false">IF(OR(C1886="",D1886="",E1886="",E1886=0),0,C1886*D1886/E1886)</f>
        <v>0</v>
      </c>
      <c r="G1886" s="42"/>
      <c r="H1886" s="49" t="n">
        <f aca="true">IF(OR($A1886="",_xlfn.MINIFS($B$3:$B$5000,$A$3:$A$5000,$A1886,$B$3:$B$5000,"&gt;"&amp;$B1886)=0),NOW(),_xlfn.MINIFS($B$3:$B$5000,$A$3:$A$5000,$A1886,$B$3:$B$5000,"&gt;"&amp;$B1886))</f>
        <v>46279.5987643714</v>
      </c>
    </row>
    <row r="1887" customFormat="false" ht="15" hidden="false" customHeight="true" outlineLevel="0" collapsed="false">
      <c r="A1887" s="42"/>
      <c r="B1887" s="42"/>
      <c r="C1887" s="42"/>
      <c r="D1887" s="42"/>
      <c r="E1887" s="42"/>
      <c r="F1887" s="51" t="n">
        <f aca="false">IF(OR(C1887="",D1887="",E1887="",E1887=0),0,C1887*D1887/E1887)</f>
        <v>0</v>
      </c>
      <c r="G1887" s="42"/>
      <c r="H1887" s="49" t="n">
        <f aca="true">IF(OR($A1887="",_xlfn.MINIFS($B$3:$B$5000,$A$3:$A$5000,$A1887,$B$3:$B$5000,"&gt;"&amp;$B1887)=0),NOW(),_xlfn.MINIFS($B$3:$B$5000,$A$3:$A$5000,$A1887,$B$3:$B$5000,"&gt;"&amp;$B1887))</f>
        <v>46279.5987643715</v>
      </c>
    </row>
    <row r="1888" customFormat="false" ht="15" hidden="false" customHeight="true" outlineLevel="0" collapsed="false">
      <c r="A1888" s="42"/>
      <c r="B1888" s="42"/>
      <c r="C1888" s="42"/>
      <c r="D1888" s="42"/>
      <c r="E1888" s="42"/>
      <c r="F1888" s="51" t="n">
        <f aca="false">IF(OR(C1888="",D1888="",E1888="",E1888=0),0,C1888*D1888/E1888)</f>
        <v>0</v>
      </c>
      <c r="G1888" s="42"/>
      <c r="H1888" s="49" t="n">
        <f aca="true">IF(OR($A1888="",_xlfn.MINIFS($B$3:$B$5000,$A$3:$A$5000,$A1888,$B$3:$B$5000,"&gt;"&amp;$B1888)=0),NOW(),_xlfn.MINIFS($B$3:$B$5000,$A$3:$A$5000,$A1888,$B$3:$B$5000,"&gt;"&amp;$B1888))</f>
        <v>46279.5987643716</v>
      </c>
    </row>
    <row r="1889" customFormat="false" ht="15" hidden="false" customHeight="true" outlineLevel="0" collapsed="false">
      <c r="A1889" s="42"/>
      <c r="B1889" s="42"/>
      <c r="C1889" s="42"/>
      <c r="D1889" s="42"/>
      <c r="E1889" s="42"/>
      <c r="F1889" s="51" t="n">
        <f aca="false">IF(OR(C1889="",D1889="",E1889="",E1889=0),0,C1889*D1889/E1889)</f>
        <v>0</v>
      </c>
      <c r="G1889" s="42"/>
      <c r="H1889" s="49" t="n">
        <f aca="true">IF(OR($A1889="",_xlfn.MINIFS($B$3:$B$5000,$A$3:$A$5000,$A1889,$B$3:$B$5000,"&gt;"&amp;$B1889)=0),NOW(),_xlfn.MINIFS($B$3:$B$5000,$A$3:$A$5000,$A1889,$B$3:$B$5000,"&gt;"&amp;$B1889))</f>
        <v>46279.5987643716</v>
      </c>
    </row>
    <row r="1890" customFormat="false" ht="15" hidden="false" customHeight="true" outlineLevel="0" collapsed="false">
      <c r="A1890" s="42"/>
      <c r="B1890" s="42"/>
      <c r="C1890" s="42"/>
      <c r="D1890" s="42"/>
      <c r="E1890" s="42"/>
      <c r="F1890" s="51" t="n">
        <f aca="false">IF(OR(C1890="",D1890="",E1890="",E1890=0),0,C1890*D1890/E1890)</f>
        <v>0</v>
      </c>
      <c r="G1890" s="42"/>
      <c r="H1890" s="49" t="n">
        <f aca="true">IF(OR($A1890="",_xlfn.MINIFS($B$3:$B$5000,$A$3:$A$5000,$A1890,$B$3:$B$5000,"&gt;"&amp;$B1890)=0),NOW(),_xlfn.MINIFS($B$3:$B$5000,$A$3:$A$5000,$A1890,$B$3:$B$5000,"&gt;"&amp;$B1890))</f>
        <v>46279.5987643717</v>
      </c>
    </row>
    <row r="1891" customFormat="false" ht="15" hidden="false" customHeight="true" outlineLevel="0" collapsed="false">
      <c r="A1891" s="42"/>
      <c r="B1891" s="42"/>
      <c r="C1891" s="42"/>
      <c r="D1891" s="42"/>
      <c r="E1891" s="42"/>
      <c r="F1891" s="51" t="n">
        <f aca="false">IF(OR(C1891="",D1891="",E1891="",E1891=0),0,C1891*D1891/E1891)</f>
        <v>0</v>
      </c>
      <c r="G1891" s="42"/>
      <c r="H1891" s="49" t="n">
        <f aca="true">IF(OR($A1891="",_xlfn.MINIFS($B$3:$B$5000,$A$3:$A$5000,$A1891,$B$3:$B$5000,"&gt;"&amp;$B1891)=0),NOW(),_xlfn.MINIFS($B$3:$B$5000,$A$3:$A$5000,$A1891,$B$3:$B$5000,"&gt;"&amp;$B1891))</f>
        <v>46279.5987643718</v>
      </c>
    </row>
    <row r="1892" customFormat="false" ht="15" hidden="false" customHeight="true" outlineLevel="0" collapsed="false">
      <c r="A1892" s="42"/>
      <c r="B1892" s="42"/>
      <c r="C1892" s="42"/>
      <c r="D1892" s="42"/>
      <c r="E1892" s="42"/>
      <c r="F1892" s="51" t="n">
        <f aca="false">IF(OR(C1892="",D1892="",E1892="",E1892=0),0,C1892*D1892/E1892)</f>
        <v>0</v>
      </c>
      <c r="G1892" s="42"/>
      <c r="H1892" s="49" t="n">
        <f aca="true">IF(OR($A1892="",_xlfn.MINIFS($B$3:$B$5000,$A$3:$A$5000,$A1892,$B$3:$B$5000,"&gt;"&amp;$B1892)=0),NOW(),_xlfn.MINIFS($B$3:$B$5000,$A$3:$A$5000,$A1892,$B$3:$B$5000,"&gt;"&amp;$B1892))</f>
        <v>46279.5987643718</v>
      </c>
    </row>
    <row r="1893" customFormat="false" ht="15" hidden="false" customHeight="true" outlineLevel="0" collapsed="false">
      <c r="A1893" s="42"/>
      <c r="B1893" s="42"/>
      <c r="C1893" s="42"/>
      <c r="D1893" s="42"/>
      <c r="E1893" s="42"/>
      <c r="F1893" s="51" t="n">
        <f aca="false">IF(OR(C1893="",D1893="",E1893="",E1893=0),0,C1893*D1893/E1893)</f>
        <v>0</v>
      </c>
      <c r="G1893" s="42"/>
      <c r="H1893" s="49" t="n">
        <f aca="true">IF(OR($A1893="",_xlfn.MINIFS($B$3:$B$5000,$A$3:$A$5000,$A1893,$B$3:$B$5000,"&gt;"&amp;$B1893)=0),NOW(),_xlfn.MINIFS($B$3:$B$5000,$A$3:$A$5000,$A1893,$B$3:$B$5000,"&gt;"&amp;$B1893))</f>
        <v>46279.5987643719</v>
      </c>
    </row>
    <row r="1894" customFormat="false" ht="15" hidden="false" customHeight="true" outlineLevel="0" collapsed="false">
      <c r="A1894" s="42"/>
      <c r="B1894" s="42"/>
      <c r="C1894" s="42"/>
      <c r="D1894" s="42"/>
      <c r="E1894" s="42"/>
      <c r="F1894" s="51" t="n">
        <f aca="false">IF(OR(C1894="",D1894="",E1894="",E1894=0),0,C1894*D1894/E1894)</f>
        <v>0</v>
      </c>
      <c r="G1894" s="42"/>
      <c r="H1894" s="49" t="n">
        <f aca="true">IF(OR($A1894="",_xlfn.MINIFS($B$3:$B$5000,$A$3:$A$5000,$A1894,$B$3:$B$5000,"&gt;"&amp;$B1894)=0),NOW(),_xlfn.MINIFS($B$3:$B$5000,$A$3:$A$5000,$A1894,$B$3:$B$5000,"&gt;"&amp;$B1894))</f>
        <v>46279.5987643719</v>
      </c>
    </row>
    <row r="1895" customFormat="false" ht="15" hidden="false" customHeight="true" outlineLevel="0" collapsed="false">
      <c r="A1895" s="42"/>
      <c r="B1895" s="42"/>
      <c r="C1895" s="42"/>
      <c r="D1895" s="42"/>
      <c r="E1895" s="42"/>
      <c r="F1895" s="51" t="n">
        <f aca="false">IF(OR(C1895="",D1895="",E1895="",E1895=0),0,C1895*D1895/E1895)</f>
        <v>0</v>
      </c>
      <c r="G1895" s="42"/>
      <c r="H1895" s="49" t="n">
        <f aca="true">IF(OR($A1895="",_xlfn.MINIFS($B$3:$B$5000,$A$3:$A$5000,$A1895,$B$3:$B$5000,"&gt;"&amp;$B1895)=0),NOW(),_xlfn.MINIFS($B$3:$B$5000,$A$3:$A$5000,$A1895,$B$3:$B$5000,"&gt;"&amp;$B1895))</f>
        <v>46279.598764372</v>
      </c>
    </row>
    <row r="1896" customFormat="false" ht="15" hidden="false" customHeight="true" outlineLevel="0" collapsed="false">
      <c r="A1896" s="42"/>
      <c r="B1896" s="42"/>
      <c r="C1896" s="42"/>
      <c r="D1896" s="42"/>
      <c r="E1896" s="42"/>
      <c r="F1896" s="51" t="n">
        <f aca="false">IF(OR(C1896="",D1896="",E1896="",E1896=0),0,C1896*D1896/E1896)</f>
        <v>0</v>
      </c>
      <c r="G1896" s="42"/>
      <c r="H1896" s="49" t="n">
        <f aca="true">IF(OR($A1896="",_xlfn.MINIFS($B$3:$B$5000,$A$3:$A$5000,$A1896,$B$3:$B$5000,"&gt;"&amp;$B1896)=0),NOW(),_xlfn.MINIFS($B$3:$B$5000,$A$3:$A$5000,$A1896,$B$3:$B$5000,"&gt;"&amp;$B1896))</f>
        <v>46279.598764372</v>
      </c>
    </row>
    <row r="1897" customFormat="false" ht="15" hidden="false" customHeight="true" outlineLevel="0" collapsed="false">
      <c r="A1897" s="42"/>
      <c r="B1897" s="42"/>
      <c r="C1897" s="42"/>
      <c r="D1897" s="42"/>
      <c r="E1897" s="42"/>
      <c r="F1897" s="51" t="n">
        <f aca="false">IF(OR(C1897="",D1897="",E1897="",E1897=0),0,C1897*D1897/E1897)</f>
        <v>0</v>
      </c>
      <c r="G1897" s="42"/>
      <c r="H1897" s="49" t="n">
        <f aca="true">IF(OR($A1897="",_xlfn.MINIFS($B$3:$B$5000,$A$3:$A$5000,$A1897,$B$3:$B$5000,"&gt;"&amp;$B1897)=0),NOW(),_xlfn.MINIFS($B$3:$B$5000,$A$3:$A$5000,$A1897,$B$3:$B$5000,"&gt;"&amp;$B1897))</f>
        <v>46279.5987643721</v>
      </c>
    </row>
    <row r="1898" customFormat="false" ht="15" hidden="false" customHeight="true" outlineLevel="0" collapsed="false">
      <c r="A1898" s="42"/>
      <c r="B1898" s="42"/>
      <c r="C1898" s="42"/>
      <c r="D1898" s="42"/>
      <c r="E1898" s="42"/>
      <c r="F1898" s="51" t="n">
        <f aca="false">IF(OR(C1898="",D1898="",E1898="",E1898=0),0,C1898*D1898/E1898)</f>
        <v>0</v>
      </c>
      <c r="G1898" s="42"/>
      <c r="H1898" s="49" t="n">
        <f aca="true">IF(OR($A1898="",_xlfn.MINIFS($B$3:$B$5000,$A$3:$A$5000,$A1898,$B$3:$B$5000,"&gt;"&amp;$B1898)=0),NOW(),_xlfn.MINIFS($B$3:$B$5000,$A$3:$A$5000,$A1898,$B$3:$B$5000,"&gt;"&amp;$B1898))</f>
        <v>46279.5987643721</v>
      </c>
    </row>
    <row r="1899" customFormat="false" ht="15" hidden="false" customHeight="true" outlineLevel="0" collapsed="false">
      <c r="A1899" s="42"/>
      <c r="B1899" s="42"/>
      <c r="C1899" s="42"/>
      <c r="D1899" s="42"/>
      <c r="E1899" s="42"/>
      <c r="F1899" s="51" t="n">
        <f aca="false">IF(OR(C1899="",D1899="",E1899="",E1899=0),0,C1899*D1899/E1899)</f>
        <v>0</v>
      </c>
      <c r="G1899" s="42"/>
      <c r="H1899" s="49" t="n">
        <f aca="true">IF(OR($A1899="",_xlfn.MINIFS($B$3:$B$5000,$A$3:$A$5000,$A1899,$B$3:$B$5000,"&gt;"&amp;$B1899)=0),NOW(),_xlfn.MINIFS($B$3:$B$5000,$A$3:$A$5000,$A1899,$B$3:$B$5000,"&gt;"&amp;$B1899))</f>
        <v>46279.5987643722</v>
      </c>
    </row>
    <row r="1900" customFormat="false" ht="15" hidden="false" customHeight="true" outlineLevel="0" collapsed="false">
      <c r="A1900" s="42"/>
      <c r="B1900" s="42"/>
      <c r="C1900" s="42"/>
      <c r="D1900" s="42"/>
      <c r="E1900" s="42"/>
      <c r="F1900" s="51" t="n">
        <f aca="false">IF(OR(C1900="",D1900="",E1900="",E1900=0),0,C1900*D1900/E1900)</f>
        <v>0</v>
      </c>
      <c r="G1900" s="42"/>
      <c r="H1900" s="49" t="n">
        <f aca="true">IF(OR($A1900="",_xlfn.MINIFS($B$3:$B$5000,$A$3:$A$5000,$A1900,$B$3:$B$5000,"&gt;"&amp;$B1900)=0),NOW(),_xlfn.MINIFS($B$3:$B$5000,$A$3:$A$5000,$A1900,$B$3:$B$5000,"&gt;"&amp;$B1900))</f>
        <v>46279.5987643722</v>
      </c>
    </row>
    <row r="1901" customFormat="false" ht="15" hidden="false" customHeight="true" outlineLevel="0" collapsed="false">
      <c r="A1901" s="42"/>
      <c r="B1901" s="42"/>
      <c r="C1901" s="42"/>
      <c r="D1901" s="42"/>
      <c r="E1901" s="42"/>
      <c r="F1901" s="51" t="n">
        <f aca="false">IF(OR(C1901="",D1901="",E1901="",E1901=0),0,C1901*D1901/E1901)</f>
        <v>0</v>
      </c>
      <c r="G1901" s="42"/>
      <c r="H1901" s="49" t="n">
        <f aca="true">IF(OR($A1901="",_xlfn.MINIFS($B$3:$B$5000,$A$3:$A$5000,$A1901,$B$3:$B$5000,"&gt;"&amp;$B1901)=0),NOW(),_xlfn.MINIFS($B$3:$B$5000,$A$3:$A$5000,$A1901,$B$3:$B$5000,"&gt;"&amp;$B1901))</f>
        <v>46279.5987643723</v>
      </c>
    </row>
    <row r="1902" customFormat="false" ht="15" hidden="false" customHeight="true" outlineLevel="0" collapsed="false">
      <c r="A1902" s="42"/>
      <c r="B1902" s="42"/>
      <c r="C1902" s="42"/>
      <c r="D1902" s="42"/>
      <c r="E1902" s="42"/>
      <c r="F1902" s="51" t="n">
        <f aca="false">IF(OR(C1902="",D1902="",E1902="",E1902=0),0,C1902*D1902/E1902)</f>
        <v>0</v>
      </c>
      <c r="G1902" s="42"/>
      <c r="H1902" s="49" t="n">
        <f aca="true">IF(OR($A1902="",_xlfn.MINIFS($B$3:$B$5000,$A$3:$A$5000,$A1902,$B$3:$B$5000,"&gt;"&amp;$B1902)=0),NOW(),_xlfn.MINIFS($B$3:$B$5000,$A$3:$A$5000,$A1902,$B$3:$B$5000,"&gt;"&amp;$B1902))</f>
        <v>46279.5987643723</v>
      </c>
    </row>
    <row r="1903" customFormat="false" ht="15" hidden="false" customHeight="true" outlineLevel="0" collapsed="false">
      <c r="A1903" s="42"/>
      <c r="B1903" s="42"/>
      <c r="C1903" s="42"/>
      <c r="D1903" s="42"/>
      <c r="E1903" s="42"/>
      <c r="F1903" s="51" t="n">
        <f aca="false">IF(OR(C1903="",D1903="",E1903="",E1903=0),0,C1903*D1903/E1903)</f>
        <v>0</v>
      </c>
      <c r="G1903" s="42"/>
      <c r="H1903" s="49" t="n">
        <f aca="true">IF(OR($A1903="",_xlfn.MINIFS($B$3:$B$5000,$A$3:$A$5000,$A1903,$B$3:$B$5000,"&gt;"&amp;$B1903)=0),NOW(),_xlfn.MINIFS($B$3:$B$5000,$A$3:$A$5000,$A1903,$B$3:$B$5000,"&gt;"&amp;$B1903))</f>
        <v>46279.5987643724</v>
      </c>
    </row>
    <row r="1904" customFormat="false" ht="15" hidden="false" customHeight="true" outlineLevel="0" collapsed="false">
      <c r="A1904" s="42"/>
      <c r="B1904" s="42"/>
      <c r="C1904" s="42"/>
      <c r="D1904" s="42"/>
      <c r="E1904" s="42"/>
      <c r="F1904" s="51" t="n">
        <f aca="false">IF(OR(C1904="",D1904="",E1904="",E1904=0),0,C1904*D1904/E1904)</f>
        <v>0</v>
      </c>
      <c r="G1904" s="42"/>
      <c r="H1904" s="49" t="n">
        <f aca="true">IF(OR($A1904="",_xlfn.MINIFS($B$3:$B$5000,$A$3:$A$5000,$A1904,$B$3:$B$5000,"&gt;"&amp;$B1904)=0),NOW(),_xlfn.MINIFS($B$3:$B$5000,$A$3:$A$5000,$A1904,$B$3:$B$5000,"&gt;"&amp;$B1904))</f>
        <v>46279.5987643724</v>
      </c>
    </row>
    <row r="1905" customFormat="false" ht="15" hidden="false" customHeight="true" outlineLevel="0" collapsed="false">
      <c r="A1905" s="42"/>
      <c r="B1905" s="42"/>
      <c r="C1905" s="42"/>
      <c r="D1905" s="42"/>
      <c r="E1905" s="42"/>
      <c r="F1905" s="51" t="n">
        <f aca="false">IF(OR(C1905="",D1905="",E1905="",E1905=0),0,C1905*D1905/E1905)</f>
        <v>0</v>
      </c>
      <c r="G1905" s="42"/>
      <c r="H1905" s="49" t="n">
        <f aca="true">IF(OR($A1905="",_xlfn.MINIFS($B$3:$B$5000,$A$3:$A$5000,$A1905,$B$3:$B$5000,"&gt;"&amp;$B1905)=0),NOW(),_xlfn.MINIFS($B$3:$B$5000,$A$3:$A$5000,$A1905,$B$3:$B$5000,"&gt;"&amp;$B1905))</f>
        <v>46279.5987643725</v>
      </c>
    </row>
    <row r="1906" customFormat="false" ht="15" hidden="false" customHeight="true" outlineLevel="0" collapsed="false">
      <c r="A1906" s="42"/>
      <c r="B1906" s="42"/>
      <c r="C1906" s="42"/>
      <c r="D1906" s="42"/>
      <c r="E1906" s="42"/>
      <c r="F1906" s="51" t="n">
        <f aca="false">IF(OR(C1906="",D1906="",E1906="",E1906=0),0,C1906*D1906/E1906)</f>
        <v>0</v>
      </c>
      <c r="G1906" s="42"/>
      <c r="H1906" s="49" t="n">
        <f aca="true">IF(OR($A1906="",_xlfn.MINIFS($B$3:$B$5000,$A$3:$A$5000,$A1906,$B$3:$B$5000,"&gt;"&amp;$B1906)=0),NOW(),_xlfn.MINIFS($B$3:$B$5000,$A$3:$A$5000,$A1906,$B$3:$B$5000,"&gt;"&amp;$B1906))</f>
        <v>46279.5987643725</v>
      </c>
    </row>
    <row r="1907" customFormat="false" ht="15" hidden="false" customHeight="true" outlineLevel="0" collapsed="false">
      <c r="A1907" s="42"/>
      <c r="B1907" s="42"/>
      <c r="C1907" s="42"/>
      <c r="D1907" s="42"/>
      <c r="E1907" s="42"/>
      <c r="F1907" s="51" t="n">
        <f aca="false">IF(OR(C1907="",D1907="",E1907="",E1907=0),0,C1907*D1907/E1907)</f>
        <v>0</v>
      </c>
      <c r="G1907" s="42"/>
      <c r="H1907" s="49" t="n">
        <f aca="true">IF(OR($A1907="",_xlfn.MINIFS($B$3:$B$5000,$A$3:$A$5000,$A1907,$B$3:$B$5000,"&gt;"&amp;$B1907)=0),NOW(),_xlfn.MINIFS($B$3:$B$5000,$A$3:$A$5000,$A1907,$B$3:$B$5000,"&gt;"&amp;$B1907))</f>
        <v>46279.5987643726</v>
      </c>
    </row>
    <row r="1908" customFormat="false" ht="15" hidden="false" customHeight="true" outlineLevel="0" collapsed="false">
      <c r="A1908" s="42"/>
      <c r="B1908" s="42"/>
      <c r="C1908" s="42"/>
      <c r="D1908" s="42"/>
      <c r="E1908" s="42"/>
      <c r="F1908" s="51" t="n">
        <f aca="false">IF(OR(C1908="",D1908="",E1908="",E1908=0),0,C1908*D1908/E1908)</f>
        <v>0</v>
      </c>
      <c r="G1908" s="42"/>
      <c r="H1908" s="49" t="n">
        <f aca="true">IF(OR($A1908="",_xlfn.MINIFS($B$3:$B$5000,$A$3:$A$5000,$A1908,$B$3:$B$5000,"&gt;"&amp;$B1908)=0),NOW(),_xlfn.MINIFS($B$3:$B$5000,$A$3:$A$5000,$A1908,$B$3:$B$5000,"&gt;"&amp;$B1908))</f>
        <v>46279.5987643726</v>
      </c>
    </row>
    <row r="1909" customFormat="false" ht="15" hidden="false" customHeight="true" outlineLevel="0" collapsed="false">
      <c r="A1909" s="42"/>
      <c r="B1909" s="42"/>
      <c r="C1909" s="42"/>
      <c r="D1909" s="42"/>
      <c r="E1909" s="42"/>
      <c r="F1909" s="51" t="n">
        <f aca="false">IF(OR(C1909="",D1909="",E1909="",E1909=0),0,C1909*D1909/E1909)</f>
        <v>0</v>
      </c>
      <c r="G1909" s="42"/>
      <c r="H1909" s="49" t="n">
        <f aca="true">IF(OR($A1909="",_xlfn.MINIFS($B$3:$B$5000,$A$3:$A$5000,$A1909,$B$3:$B$5000,"&gt;"&amp;$B1909)=0),NOW(),_xlfn.MINIFS($B$3:$B$5000,$A$3:$A$5000,$A1909,$B$3:$B$5000,"&gt;"&amp;$B1909))</f>
        <v>46279.5987643727</v>
      </c>
    </row>
    <row r="1910" customFormat="false" ht="15" hidden="false" customHeight="true" outlineLevel="0" collapsed="false">
      <c r="A1910" s="42"/>
      <c r="B1910" s="42"/>
      <c r="C1910" s="42"/>
      <c r="D1910" s="42"/>
      <c r="E1910" s="42"/>
      <c r="F1910" s="51" t="n">
        <f aca="false">IF(OR(C1910="",D1910="",E1910="",E1910=0),0,C1910*D1910/E1910)</f>
        <v>0</v>
      </c>
      <c r="G1910" s="42"/>
      <c r="H1910" s="49" t="n">
        <f aca="true">IF(OR($A1910="",_xlfn.MINIFS($B$3:$B$5000,$A$3:$A$5000,$A1910,$B$3:$B$5000,"&gt;"&amp;$B1910)=0),NOW(),_xlfn.MINIFS($B$3:$B$5000,$A$3:$A$5000,$A1910,$B$3:$B$5000,"&gt;"&amp;$B1910))</f>
        <v>46279.5987643727</v>
      </c>
    </row>
    <row r="1911" customFormat="false" ht="15" hidden="false" customHeight="true" outlineLevel="0" collapsed="false">
      <c r="A1911" s="42"/>
      <c r="B1911" s="42"/>
      <c r="C1911" s="42"/>
      <c r="D1911" s="42"/>
      <c r="E1911" s="42"/>
      <c r="F1911" s="51" t="n">
        <f aca="false">IF(OR(C1911="",D1911="",E1911="",E1911=0),0,C1911*D1911/E1911)</f>
        <v>0</v>
      </c>
      <c r="G1911" s="42"/>
      <c r="H1911" s="49" t="n">
        <f aca="true">IF(OR($A1911="",_xlfn.MINIFS($B$3:$B$5000,$A$3:$A$5000,$A1911,$B$3:$B$5000,"&gt;"&amp;$B1911)=0),NOW(),_xlfn.MINIFS($B$3:$B$5000,$A$3:$A$5000,$A1911,$B$3:$B$5000,"&gt;"&amp;$B1911))</f>
        <v>46279.5987643728</v>
      </c>
    </row>
    <row r="1912" customFormat="false" ht="15" hidden="false" customHeight="true" outlineLevel="0" collapsed="false">
      <c r="A1912" s="42"/>
      <c r="B1912" s="42"/>
      <c r="C1912" s="42"/>
      <c r="D1912" s="42"/>
      <c r="E1912" s="42"/>
      <c r="F1912" s="51" t="n">
        <f aca="false">IF(OR(C1912="",D1912="",E1912="",E1912=0),0,C1912*D1912/E1912)</f>
        <v>0</v>
      </c>
      <c r="G1912" s="42"/>
      <c r="H1912" s="49" t="n">
        <f aca="true">IF(OR($A1912="",_xlfn.MINIFS($B$3:$B$5000,$A$3:$A$5000,$A1912,$B$3:$B$5000,"&gt;"&amp;$B1912)=0),NOW(),_xlfn.MINIFS($B$3:$B$5000,$A$3:$A$5000,$A1912,$B$3:$B$5000,"&gt;"&amp;$B1912))</f>
        <v>46279.5987643728</v>
      </c>
    </row>
    <row r="1913" customFormat="false" ht="15" hidden="false" customHeight="true" outlineLevel="0" collapsed="false">
      <c r="A1913" s="42"/>
      <c r="B1913" s="42"/>
      <c r="C1913" s="42"/>
      <c r="D1913" s="42"/>
      <c r="E1913" s="42"/>
      <c r="F1913" s="51" t="n">
        <f aca="false">IF(OR(C1913="",D1913="",E1913="",E1913=0),0,C1913*D1913/E1913)</f>
        <v>0</v>
      </c>
      <c r="G1913" s="42"/>
      <c r="H1913" s="49" t="n">
        <f aca="true">IF(OR($A1913="",_xlfn.MINIFS($B$3:$B$5000,$A$3:$A$5000,$A1913,$B$3:$B$5000,"&gt;"&amp;$B1913)=0),NOW(),_xlfn.MINIFS($B$3:$B$5000,$A$3:$A$5000,$A1913,$B$3:$B$5000,"&gt;"&amp;$B1913))</f>
        <v>46279.5987643729</v>
      </c>
    </row>
    <row r="1914" customFormat="false" ht="15" hidden="false" customHeight="true" outlineLevel="0" collapsed="false">
      <c r="A1914" s="42"/>
      <c r="B1914" s="42"/>
      <c r="C1914" s="42"/>
      <c r="D1914" s="42"/>
      <c r="E1914" s="42"/>
      <c r="F1914" s="51" t="n">
        <f aca="false">IF(OR(C1914="",D1914="",E1914="",E1914=0),0,C1914*D1914/E1914)</f>
        <v>0</v>
      </c>
      <c r="G1914" s="42"/>
      <c r="H1914" s="49" t="n">
        <f aca="true">IF(OR($A1914="",_xlfn.MINIFS($B$3:$B$5000,$A$3:$A$5000,$A1914,$B$3:$B$5000,"&gt;"&amp;$B1914)=0),NOW(),_xlfn.MINIFS($B$3:$B$5000,$A$3:$A$5000,$A1914,$B$3:$B$5000,"&gt;"&amp;$B1914))</f>
        <v>46279.5987643729</v>
      </c>
    </row>
    <row r="1915" customFormat="false" ht="15" hidden="false" customHeight="true" outlineLevel="0" collapsed="false">
      <c r="A1915" s="42"/>
      <c r="B1915" s="42"/>
      <c r="C1915" s="42"/>
      <c r="D1915" s="42"/>
      <c r="E1915" s="42"/>
      <c r="F1915" s="51" t="n">
        <f aca="false">IF(OR(C1915="",D1915="",E1915="",E1915=0),0,C1915*D1915/E1915)</f>
        <v>0</v>
      </c>
      <c r="G1915" s="42"/>
      <c r="H1915" s="49" t="n">
        <f aca="true">IF(OR($A1915="",_xlfn.MINIFS($B$3:$B$5000,$A$3:$A$5000,$A1915,$B$3:$B$5000,"&gt;"&amp;$B1915)=0),NOW(),_xlfn.MINIFS($B$3:$B$5000,$A$3:$A$5000,$A1915,$B$3:$B$5000,"&gt;"&amp;$B1915))</f>
        <v>46279.598764373</v>
      </c>
    </row>
    <row r="1916" customFormat="false" ht="15" hidden="false" customHeight="true" outlineLevel="0" collapsed="false">
      <c r="A1916" s="42"/>
      <c r="B1916" s="42"/>
      <c r="C1916" s="42"/>
      <c r="D1916" s="42"/>
      <c r="E1916" s="42"/>
      <c r="F1916" s="51" t="n">
        <f aca="false">IF(OR(C1916="",D1916="",E1916="",E1916=0),0,C1916*D1916/E1916)</f>
        <v>0</v>
      </c>
      <c r="G1916" s="42"/>
      <c r="H1916" s="49" t="n">
        <f aca="true">IF(OR($A1916="",_xlfn.MINIFS($B$3:$B$5000,$A$3:$A$5000,$A1916,$B$3:$B$5000,"&gt;"&amp;$B1916)=0),NOW(),_xlfn.MINIFS($B$3:$B$5000,$A$3:$A$5000,$A1916,$B$3:$B$5000,"&gt;"&amp;$B1916))</f>
        <v>46279.598764373</v>
      </c>
    </row>
    <row r="1917" customFormat="false" ht="15" hidden="false" customHeight="true" outlineLevel="0" collapsed="false">
      <c r="A1917" s="42"/>
      <c r="B1917" s="42"/>
      <c r="C1917" s="42"/>
      <c r="D1917" s="42"/>
      <c r="E1917" s="42"/>
      <c r="F1917" s="51" t="n">
        <f aca="false">IF(OR(C1917="",D1917="",E1917="",E1917=0),0,C1917*D1917/E1917)</f>
        <v>0</v>
      </c>
      <c r="G1917" s="42"/>
      <c r="H1917" s="49" t="n">
        <f aca="true">IF(OR($A1917="",_xlfn.MINIFS($B$3:$B$5000,$A$3:$A$5000,$A1917,$B$3:$B$5000,"&gt;"&amp;$B1917)=0),NOW(),_xlfn.MINIFS($B$3:$B$5000,$A$3:$A$5000,$A1917,$B$3:$B$5000,"&gt;"&amp;$B1917))</f>
        <v>46279.5987643733</v>
      </c>
    </row>
    <row r="1918" customFormat="false" ht="15" hidden="false" customHeight="true" outlineLevel="0" collapsed="false">
      <c r="A1918" s="42"/>
      <c r="B1918" s="42"/>
      <c r="C1918" s="42"/>
      <c r="D1918" s="42"/>
      <c r="E1918" s="42"/>
      <c r="F1918" s="51" t="n">
        <f aca="false">IF(OR(C1918="",D1918="",E1918="",E1918=0),0,C1918*D1918/E1918)</f>
        <v>0</v>
      </c>
      <c r="G1918" s="42"/>
      <c r="H1918" s="49" t="n">
        <f aca="true">IF(OR($A1918="",_xlfn.MINIFS($B$3:$B$5000,$A$3:$A$5000,$A1918,$B$3:$B$5000,"&gt;"&amp;$B1918)=0),NOW(),_xlfn.MINIFS($B$3:$B$5000,$A$3:$A$5000,$A1918,$B$3:$B$5000,"&gt;"&amp;$B1918))</f>
        <v>46279.5987643733</v>
      </c>
    </row>
    <row r="1919" customFormat="false" ht="15" hidden="false" customHeight="true" outlineLevel="0" collapsed="false">
      <c r="A1919" s="42"/>
      <c r="B1919" s="42"/>
      <c r="C1919" s="42"/>
      <c r="D1919" s="42"/>
      <c r="E1919" s="42"/>
      <c r="F1919" s="51" t="n">
        <f aca="false">IF(OR(C1919="",D1919="",E1919="",E1919=0),0,C1919*D1919/E1919)</f>
        <v>0</v>
      </c>
      <c r="G1919" s="42"/>
      <c r="H1919" s="49" t="n">
        <f aca="true">IF(OR($A1919="",_xlfn.MINIFS($B$3:$B$5000,$A$3:$A$5000,$A1919,$B$3:$B$5000,"&gt;"&amp;$B1919)=0),NOW(),_xlfn.MINIFS($B$3:$B$5000,$A$3:$A$5000,$A1919,$B$3:$B$5000,"&gt;"&amp;$B1919))</f>
        <v>46279.5987643734</v>
      </c>
    </row>
    <row r="1920" customFormat="false" ht="15" hidden="false" customHeight="true" outlineLevel="0" collapsed="false">
      <c r="A1920" s="42"/>
      <c r="B1920" s="42"/>
      <c r="C1920" s="42"/>
      <c r="D1920" s="42"/>
      <c r="E1920" s="42"/>
      <c r="F1920" s="51" t="n">
        <f aca="false">IF(OR(C1920="",D1920="",E1920="",E1920=0),0,C1920*D1920/E1920)</f>
        <v>0</v>
      </c>
      <c r="G1920" s="42"/>
      <c r="H1920" s="49" t="n">
        <f aca="true">IF(OR($A1920="",_xlfn.MINIFS($B$3:$B$5000,$A$3:$A$5000,$A1920,$B$3:$B$5000,"&gt;"&amp;$B1920)=0),NOW(),_xlfn.MINIFS($B$3:$B$5000,$A$3:$A$5000,$A1920,$B$3:$B$5000,"&gt;"&amp;$B1920))</f>
        <v>46279.5987643735</v>
      </c>
    </row>
    <row r="1921" customFormat="false" ht="15" hidden="false" customHeight="true" outlineLevel="0" collapsed="false">
      <c r="A1921" s="42"/>
      <c r="B1921" s="42"/>
      <c r="C1921" s="42"/>
      <c r="D1921" s="42"/>
      <c r="E1921" s="42"/>
      <c r="F1921" s="51" t="n">
        <f aca="false">IF(OR(C1921="",D1921="",E1921="",E1921=0),0,C1921*D1921/E1921)</f>
        <v>0</v>
      </c>
      <c r="G1921" s="42"/>
      <c r="H1921" s="49" t="n">
        <f aca="true">IF(OR($A1921="",_xlfn.MINIFS($B$3:$B$5000,$A$3:$A$5000,$A1921,$B$3:$B$5000,"&gt;"&amp;$B1921)=0),NOW(),_xlfn.MINIFS($B$3:$B$5000,$A$3:$A$5000,$A1921,$B$3:$B$5000,"&gt;"&amp;$B1921))</f>
        <v>46279.5987643735</v>
      </c>
    </row>
    <row r="1922" customFormat="false" ht="15" hidden="false" customHeight="true" outlineLevel="0" collapsed="false">
      <c r="A1922" s="42"/>
      <c r="B1922" s="42"/>
      <c r="C1922" s="42"/>
      <c r="D1922" s="42"/>
      <c r="E1922" s="42"/>
      <c r="F1922" s="51" t="n">
        <f aca="false">IF(OR(C1922="",D1922="",E1922="",E1922=0),0,C1922*D1922/E1922)</f>
        <v>0</v>
      </c>
      <c r="G1922" s="42"/>
      <c r="H1922" s="49" t="n">
        <f aca="true">IF(OR($A1922="",_xlfn.MINIFS($B$3:$B$5000,$A$3:$A$5000,$A1922,$B$3:$B$5000,"&gt;"&amp;$B1922)=0),NOW(),_xlfn.MINIFS($B$3:$B$5000,$A$3:$A$5000,$A1922,$B$3:$B$5000,"&gt;"&amp;$B1922))</f>
        <v>46279.5987643736</v>
      </c>
    </row>
    <row r="1923" customFormat="false" ht="15" hidden="false" customHeight="true" outlineLevel="0" collapsed="false">
      <c r="A1923" s="42"/>
      <c r="B1923" s="42"/>
      <c r="C1923" s="42"/>
      <c r="D1923" s="42"/>
      <c r="E1923" s="42"/>
      <c r="F1923" s="51" t="n">
        <f aca="false">IF(OR(C1923="",D1923="",E1923="",E1923=0),0,C1923*D1923/E1923)</f>
        <v>0</v>
      </c>
      <c r="G1923" s="42"/>
      <c r="H1923" s="49" t="n">
        <f aca="true">IF(OR($A1923="",_xlfn.MINIFS($B$3:$B$5000,$A$3:$A$5000,$A1923,$B$3:$B$5000,"&gt;"&amp;$B1923)=0),NOW(),_xlfn.MINIFS($B$3:$B$5000,$A$3:$A$5000,$A1923,$B$3:$B$5000,"&gt;"&amp;$B1923))</f>
        <v>46279.5987643736</v>
      </c>
    </row>
    <row r="1924" customFormat="false" ht="15" hidden="false" customHeight="true" outlineLevel="0" collapsed="false">
      <c r="A1924" s="42"/>
      <c r="B1924" s="42"/>
      <c r="C1924" s="42"/>
      <c r="D1924" s="42"/>
      <c r="E1924" s="42"/>
      <c r="F1924" s="51" t="n">
        <f aca="false">IF(OR(C1924="",D1924="",E1924="",E1924=0),0,C1924*D1924/E1924)</f>
        <v>0</v>
      </c>
      <c r="G1924" s="42"/>
      <c r="H1924" s="49" t="n">
        <f aca="true">IF(OR($A1924="",_xlfn.MINIFS($B$3:$B$5000,$A$3:$A$5000,$A1924,$B$3:$B$5000,"&gt;"&amp;$B1924)=0),NOW(),_xlfn.MINIFS($B$3:$B$5000,$A$3:$A$5000,$A1924,$B$3:$B$5000,"&gt;"&amp;$B1924))</f>
        <v>46279.5987643737</v>
      </c>
    </row>
    <row r="1925" customFormat="false" ht="15" hidden="false" customHeight="true" outlineLevel="0" collapsed="false">
      <c r="A1925" s="42"/>
      <c r="B1925" s="42"/>
      <c r="C1925" s="42"/>
      <c r="D1925" s="42"/>
      <c r="E1925" s="42"/>
      <c r="F1925" s="51" t="n">
        <f aca="false">IF(OR(C1925="",D1925="",E1925="",E1925=0),0,C1925*D1925/E1925)</f>
        <v>0</v>
      </c>
      <c r="G1925" s="42"/>
      <c r="H1925" s="49" t="n">
        <f aca="true">IF(OR($A1925="",_xlfn.MINIFS($B$3:$B$5000,$A$3:$A$5000,$A1925,$B$3:$B$5000,"&gt;"&amp;$B1925)=0),NOW(),_xlfn.MINIFS($B$3:$B$5000,$A$3:$A$5000,$A1925,$B$3:$B$5000,"&gt;"&amp;$B1925))</f>
        <v>46279.5987643737</v>
      </c>
    </row>
    <row r="1926" customFormat="false" ht="15" hidden="false" customHeight="true" outlineLevel="0" collapsed="false">
      <c r="A1926" s="42"/>
      <c r="B1926" s="42"/>
      <c r="C1926" s="42"/>
      <c r="D1926" s="42"/>
      <c r="E1926" s="42"/>
      <c r="F1926" s="51" t="n">
        <f aca="false">IF(OR(C1926="",D1926="",E1926="",E1926=0),0,C1926*D1926/E1926)</f>
        <v>0</v>
      </c>
      <c r="G1926" s="42"/>
      <c r="H1926" s="49" t="n">
        <f aca="true">IF(OR($A1926="",_xlfn.MINIFS($B$3:$B$5000,$A$3:$A$5000,$A1926,$B$3:$B$5000,"&gt;"&amp;$B1926)=0),NOW(),_xlfn.MINIFS($B$3:$B$5000,$A$3:$A$5000,$A1926,$B$3:$B$5000,"&gt;"&amp;$B1926))</f>
        <v>46279.5987643738</v>
      </c>
    </row>
    <row r="1927" customFormat="false" ht="15" hidden="false" customHeight="true" outlineLevel="0" collapsed="false">
      <c r="A1927" s="42"/>
      <c r="B1927" s="42"/>
      <c r="C1927" s="42"/>
      <c r="D1927" s="42"/>
      <c r="E1927" s="42"/>
      <c r="F1927" s="51" t="n">
        <f aca="false">IF(OR(C1927="",D1927="",E1927="",E1927=0),0,C1927*D1927/E1927)</f>
        <v>0</v>
      </c>
      <c r="G1927" s="42"/>
      <c r="H1927" s="49" t="n">
        <f aca="true">IF(OR($A1927="",_xlfn.MINIFS($B$3:$B$5000,$A$3:$A$5000,$A1927,$B$3:$B$5000,"&gt;"&amp;$B1927)=0),NOW(),_xlfn.MINIFS($B$3:$B$5000,$A$3:$A$5000,$A1927,$B$3:$B$5000,"&gt;"&amp;$B1927))</f>
        <v>46279.5987643738</v>
      </c>
    </row>
    <row r="1928" customFormat="false" ht="15" hidden="false" customHeight="true" outlineLevel="0" collapsed="false">
      <c r="A1928" s="42"/>
      <c r="B1928" s="42"/>
      <c r="C1928" s="42"/>
      <c r="D1928" s="42"/>
      <c r="E1928" s="42"/>
      <c r="F1928" s="51" t="n">
        <f aca="false">IF(OR(C1928="",D1928="",E1928="",E1928=0),0,C1928*D1928/E1928)</f>
        <v>0</v>
      </c>
      <c r="G1928" s="42"/>
      <c r="H1928" s="49" t="n">
        <f aca="true">IF(OR($A1928="",_xlfn.MINIFS($B$3:$B$5000,$A$3:$A$5000,$A1928,$B$3:$B$5000,"&gt;"&amp;$B1928)=0),NOW(),_xlfn.MINIFS($B$3:$B$5000,$A$3:$A$5000,$A1928,$B$3:$B$5000,"&gt;"&amp;$B1928))</f>
        <v>46279.5987643739</v>
      </c>
    </row>
    <row r="1929" customFormat="false" ht="15" hidden="false" customHeight="true" outlineLevel="0" collapsed="false">
      <c r="A1929" s="42"/>
      <c r="B1929" s="42"/>
      <c r="C1929" s="42"/>
      <c r="D1929" s="42"/>
      <c r="E1929" s="42"/>
      <c r="F1929" s="51" t="n">
        <f aca="false">IF(OR(C1929="",D1929="",E1929="",E1929=0),0,C1929*D1929/E1929)</f>
        <v>0</v>
      </c>
      <c r="G1929" s="42"/>
      <c r="H1929" s="49" t="n">
        <f aca="true">IF(OR($A1929="",_xlfn.MINIFS($B$3:$B$5000,$A$3:$A$5000,$A1929,$B$3:$B$5000,"&gt;"&amp;$B1929)=0),NOW(),_xlfn.MINIFS($B$3:$B$5000,$A$3:$A$5000,$A1929,$B$3:$B$5000,"&gt;"&amp;$B1929))</f>
        <v>46279.5987643739</v>
      </c>
    </row>
    <row r="1930" customFormat="false" ht="15" hidden="false" customHeight="true" outlineLevel="0" collapsed="false">
      <c r="A1930" s="42"/>
      <c r="B1930" s="42"/>
      <c r="C1930" s="42"/>
      <c r="D1930" s="42"/>
      <c r="E1930" s="42"/>
      <c r="F1930" s="51" t="n">
        <f aca="false">IF(OR(C1930="",D1930="",E1930="",E1930=0),0,C1930*D1930/E1930)</f>
        <v>0</v>
      </c>
      <c r="G1930" s="42"/>
      <c r="H1930" s="49" t="n">
        <f aca="true">IF(OR($A1930="",_xlfn.MINIFS($B$3:$B$5000,$A$3:$A$5000,$A1930,$B$3:$B$5000,"&gt;"&amp;$B1930)=0),NOW(),_xlfn.MINIFS($B$3:$B$5000,$A$3:$A$5000,$A1930,$B$3:$B$5000,"&gt;"&amp;$B1930))</f>
        <v>46279.598764374</v>
      </c>
    </row>
    <row r="1931" customFormat="false" ht="15" hidden="false" customHeight="true" outlineLevel="0" collapsed="false">
      <c r="A1931" s="42"/>
      <c r="B1931" s="42"/>
      <c r="C1931" s="42"/>
      <c r="D1931" s="42"/>
      <c r="E1931" s="42"/>
      <c r="F1931" s="51" t="n">
        <f aca="false">IF(OR(C1931="",D1931="",E1931="",E1931=0),0,C1931*D1931/E1931)</f>
        <v>0</v>
      </c>
      <c r="G1931" s="42"/>
      <c r="H1931" s="49" t="n">
        <f aca="true">IF(OR($A1931="",_xlfn.MINIFS($B$3:$B$5000,$A$3:$A$5000,$A1931,$B$3:$B$5000,"&gt;"&amp;$B1931)=0),NOW(),_xlfn.MINIFS($B$3:$B$5000,$A$3:$A$5000,$A1931,$B$3:$B$5000,"&gt;"&amp;$B1931))</f>
        <v>46279.598764374</v>
      </c>
    </row>
    <row r="1932" customFormat="false" ht="15" hidden="false" customHeight="true" outlineLevel="0" collapsed="false">
      <c r="A1932" s="42"/>
      <c r="B1932" s="42"/>
      <c r="C1932" s="42"/>
      <c r="D1932" s="42"/>
      <c r="E1932" s="42"/>
      <c r="F1932" s="51" t="n">
        <f aca="false">IF(OR(C1932="",D1932="",E1932="",E1932=0),0,C1932*D1932/E1932)</f>
        <v>0</v>
      </c>
      <c r="G1932" s="42"/>
      <c r="H1932" s="49" t="n">
        <f aca="true">IF(OR($A1932="",_xlfn.MINIFS($B$3:$B$5000,$A$3:$A$5000,$A1932,$B$3:$B$5000,"&gt;"&amp;$B1932)=0),NOW(),_xlfn.MINIFS($B$3:$B$5000,$A$3:$A$5000,$A1932,$B$3:$B$5000,"&gt;"&amp;$B1932))</f>
        <v>46279.5987643741</v>
      </c>
    </row>
    <row r="1933" customFormat="false" ht="15" hidden="false" customHeight="true" outlineLevel="0" collapsed="false">
      <c r="A1933" s="42"/>
      <c r="B1933" s="42"/>
      <c r="C1933" s="42"/>
      <c r="D1933" s="42"/>
      <c r="E1933" s="42"/>
      <c r="F1933" s="51" t="n">
        <f aca="false">IF(OR(C1933="",D1933="",E1933="",E1933=0),0,C1933*D1933/E1933)</f>
        <v>0</v>
      </c>
      <c r="G1933" s="42"/>
      <c r="H1933" s="49" t="n">
        <f aca="true">IF(OR($A1933="",_xlfn.MINIFS($B$3:$B$5000,$A$3:$A$5000,$A1933,$B$3:$B$5000,"&gt;"&amp;$B1933)=0),NOW(),_xlfn.MINIFS($B$3:$B$5000,$A$3:$A$5000,$A1933,$B$3:$B$5000,"&gt;"&amp;$B1933))</f>
        <v>46279.5987643741</v>
      </c>
    </row>
    <row r="1934" customFormat="false" ht="15" hidden="false" customHeight="true" outlineLevel="0" collapsed="false">
      <c r="A1934" s="42"/>
      <c r="B1934" s="42"/>
      <c r="C1934" s="42"/>
      <c r="D1934" s="42"/>
      <c r="E1934" s="42"/>
      <c r="F1934" s="51" t="n">
        <f aca="false">IF(OR(C1934="",D1934="",E1934="",E1934=0),0,C1934*D1934/E1934)</f>
        <v>0</v>
      </c>
      <c r="G1934" s="42"/>
      <c r="H1934" s="49" t="n">
        <f aca="true">IF(OR($A1934="",_xlfn.MINIFS($B$3:$B$5000,$A$3:$A$5000,$A1934,$B$3:$B$5000,"&gt;"&amp;$B1934)=0),NOW(),_xlfn.MINIFS($B$3:$B$5000,$A$3:$A$5000,$A1934,$B$3:$B$5000,"&gt;"&amp;$B1934))</f>
        <v>46279.5987643742</v>
      </c>
    </row>
    <row r="1935" customFormat="false" ht="15" hidden="false" customHeight="true" outlineLevel="0" collapsed="false">
      <c r="A1935" s="42"/>
      <c r="B1935" s="42"/>
      <c r="C1935" s="42"/>
      <c r="D1935" s="42"/>
      <c r="E1935" s="42"/>
      <c r="F1935" s="51" t="n">
        <f aca="false">IF(OR(C1935="",D1935="",E1935="",E1935=0),0,C1935*D1935/E1935)</f>
        <v>0</v>
      </c>
      <c r="G1935" s="42"/>
      <c r="H1935" s="49" t="n">
        <f aca="true">IF(OR($A1935="",_xlfn.MINIFS($B$3:$B$5000,$A$3:$A$5000,$A1935,$B$3:$B$5000,"&gt;"&amp;$B1935)=0),NOW(),_xlfn.MINIFS($B$3:$B$5000,$A$3:$A$5000,$A1935,$B$3:$B$5000,"&gt;"&amp;$B1935))</f>
        <v>46279.5987643742</v>
      </c>
    </row>
    <row r="1936" customFormat="false" ht="15" hidden="false" customHeight="true" outlineLevel="0" collapsed="false">
      <c r="A1936" s="42"/>
      <c r="B1936" s="42"/>
      <c r="C1936" s="42"/>
      <c r="D1936" s="42"/>
      <c r="E1936" s="42"/>
      <c r="F1936" s="51" t="n">
        <f aca="false">IF(OR(C1936="",D1936="",E1936="",E1936=0),0,C1936*D1936/E1936)</f>
        <v>0</v>
      </c>
      <c r="G1936" s="42"/>
      <c r="H1936" s="49" t="n">
        <f aca="true">IF(OR($A1936="",_xlfn.MINIFS($B$3:$B$5000,$A$3:$A$5000,$A1936,$B$3:$B$5000,"&gt;"&amp;$B1936)=0),NOW(),_xlfn.MINIFS($B$3:$B$5000,$A$3:$A$5000,$A1936,$B$3:$B$5000,"&gt;"&amp;$B1936))</f>
        <v>46279.5987643743</v>
      </c>
    </row>
    <row r="1937" customFormat="false" ht="15" hidden="false" customHeight="true" outlineLevel="0" collapsed="false">
      <c r="A1937" s="42"/>
      <c r="B1937" s="42"/>
      <c r="C1937" s="42"/>
      <c r="D1937" s="42"/>
      <c r="E1937" s="42"/>
      <c r="F1937" s="51" t="n">
        <f aca="false">IF(OR(C1937="",D1937="",E1937="",E1937=0),0,C1937*D1937/E1937)</f>
        <v>0</v>
      </c>
      <c r="G1937" s="42"/>
      <c r="H1937" s="49" t="n">
        <f aca="true">IF(OR($A1937="",_xlfn.MINIFS($B$3:$B$5000,$A$3:$A$5000,$A1937,$B$3:$B$5000,"&gt;"&amp;$B1937)=0),NOW(),_xlfn.MINIFS($B$3:$B$5000,$A$3:$A$5000,$A1937,$B$3:$B$5000,"&gt;"&amp;$B1937))</f>
        <v>46279.5987643743</v>
      </c>
    </row>
    <row r="1938" customFormat="false" ht="15" hidden="false" customHeight="true" outlineLevel="0" collapsed="false">
      <c r="A1938" s="42"/>
      <c r="B1938" s="42"/>
      <c r="C1938" s="42"/>
      <c r="D1938" s="42"/>
      <c r="E1938" s="42"/>
      <c r="F1938" s="51" t="n">
        <f aca="false">IF(OR(C1938="",D1938="",E1938="",E1938=0),0,C1938*D1938/E1938)</f>
        <v>0</v>
      </c>
      <c r="G1938" s="42"/>
      <c r="H1938" s="49" t="n">
        <f aca="true">IF(OR($A1938="",_xlfn.MINIFS($B$3:$B$5000,$A$3:$A$5000,$A1938,$B$3:$B$5000,"&gt;"&amp;$B1938)=0),NOW(),_xlfn.MINIFS($B$3:$B$5000,$A$3:$A$5000,$A1938,$B$3:$B$5000,"&gt;"&amp;$B1938))</f>
        <v>46279.5987643744</v>
      </c>
    </row>
    <row r="1939" customFormat="false" ht="15" hidden="false" customHeight="true" outlineLevel="0" collapsed="false">
      <c r="A1939" s="42"/>
      <c r="B1939" s="42"/>
      <c r="C1939" s="42"/>
      <c r="D1939" s="42"/>
      <c r="E1939" s="42"/>
      <c r="F1939" s="51" t="n">
        <f aca="false">IF(OR(C1939="",D1939="",E1939="",E1939=0),0,C1939*D1939/E1939)</f>
        <v>0</v>
      </c>
      <c r="G1939" s="42"/>
      <c r="H1939" s="49" t="n">
        <f aca="true">IF(OR($A1939="",_xlfn.MINIFS($B$3:$B$5000,$A$3:$A$5000,$A1939,$B$3:$B$5000,"&gt;"&amp;$B1939)=0),NOW(),_xlfn.MINIFS($B$3:$B$5000,$A$3:$A$5000,$A1939,$B$3:$B$5000,"&gt;"&amp;$B1939))</f>
        <v>46279.5987643744</v>
      </c>
    </row>
    <row r="1940" customFormat="false" ht="15" hidden="false" customHeight="true" outlineLevel="0" collapsed="false">
      <c r="A1940" s="42"/>
      <c r="B1940" s="42"/>
      <c r="C1940" s="42"/>
      <c r="D1940" s="42"/>
      <c r="E1940" s="42"/>
      <c r="F1940" s="51" t="n">
        <f aca="false">IF(OR(C1940="",D1940="",E1940="",E1940=0),0,C1940*D1940/E1940)</f>
        <v>0</v>
      </c>
      <c r="G1940" s="42"/>
      <c r="H1940" s="49" t="n">
        <f aca="true">IF(OR($A1940="",_xlfn.MINIFS($B$3:$B$5000,$A$3:$A$5000,$A1940,$B$3:$B$5000,"&gt;"&amp;$B1940)=0),NOW(),_xlfn.MINIFS($B$3:$B$5000,$A$3:$A$5000,$A1940,$B$3:$B$5000,"&gt;"&amp;$B1940))</f>
        <v>46279.5987643745</v>
      </c>
    </row>
    <row r="1941" customFormat="false" ht="15" hidden="false" customHeight="true" outlineLevel="0" collapsed="false">
      <c r="A1941" s="42"/>
      <c r="B1941" s="42"/>
      <c r="C1941" s="42"/>
      <c r="D1941" s="42"/>
      <c r="E1941" s="42"/>
      <c r="F1941" s="51" t="n">
        <f aca="false">IF(OR(C1941="",D1941="",E1941="",E1941=0),0,C1941*D1941/E1941)</f>
        <v>0</v>
      </c>
      <c r="G1941" s="42"/>
      <c r="H1941" s="49" t="n">
        <f aca="true">IF(OR($A1941="",_xlfn.MINIFS($B$3:$B$5000,$A$3:$A$5000,$A1941,$B$3:$B$5000,"&gt;"&amp;$B1941)=0),NOW(),_xlfn.MINIFS($B$3:$B$5000,$A$3:$A$5000,$A1941,$B$3:$B$5000,"&gt;"&amp;$B1941))</f>
        <v>46279.5987643745</v>
      </c>
    </row>
    <row r="1942" customFormat="false" ht="15" hidden="false" customHeight="true" outlineLevel="0" collapsed="false">
      <c r="A1942" s="42"/>
      <c r="B1942" s="42"/>
      <c r="C1942" s="42"/>
      <c r="D1942" s="42"/>
      <c r="E1942" s="42"/>
      <c r="F1942" s="51" t="n">
        <f aca="false">IF(OR(C1942="",D1942="",E1942="",E1942=0),0,C1942*D1942/E1942)</f>
        <v>0</v>
      </c>
      <c r="G1942" s="42"/>
      <c r="H1942" s="49" t="n">
        <f aca="true">IF(OR($A1942="",_xlfn.MINIFS($B$3:$B$5000,$A$3:$A$5000,$A1942,$B$3:$B$5000,"&gt;"&amp;$B1942)=0),NOW(),_xlfn.MINIFS($B$3:$B$5000,$A$3:$A$5000,$A1942,$B$3:$B$5000,"&gt;"&amp;$B1942))</f>
        <v>46279.5987643746</v>
      </c>
    </row>
    <row r="1943" customFormat="false" ht="15" hidden="false" customHeight="true" outlineLevel="0" collapsed="false">
      <c r="A1943" s="42"/>
      <c r="B1943" s="42"/>
      <c r="C1943" s="42"/>
      <c r="D1943" s="42"/>
      <c r="E1943" s="42"/>
      <c r="F1943" s="51" t="n">
        <f aca="false">IF(OR(C1943="",D1943="",E1943="",E1943=0),0,C1943*D1943/E1943)</f>
        <v>0</v>
      </c>
      <c r="G1943" s="42"/>
      <c r="H1943" s="49" t="n">
        <f aca="true">IF(OR($A1943="",_xlfn.MINIFS($B$3:$B$5000,$A$3:$A$5000,$A1943,$B$3:$B$5000,"&gt;"&amp;$B1943)=0),NOW(),_xlfn.MINIFS($B$3:$B$5000,$A$3:$A$5000,$A1943,$B$3:$B$5000,"&gt;"&amp;$B1943))</f>
        <v>46279.5987643746</v>
      </c>
    </row>
    <row r="1944" customFormat="false" ht="15" hidden="false" customHeight="true" outlineLevel="0" collapsed="false">
      <c r="A1944" s="42"/>
      <c r="B1944" s="42"/>
      <c r="C1944" s="42"/>
      <c r="D1944" s="42"/>
      <c r="E1944" s="42"/>
      <c r="F1944" s="51" t="n">
        <f aca="false">IF(OR(C1944="",D1944="",E1944="",E1944=0),0,C1944*D1944/E1944)</f>
        <v>0</v>
      </c>
      <c r="G1944" s="42"/>
      <c r="H1944" s="49" t="n">
        <f aca="true">IF(OR($A1944="",_xlfn.MINIFS($B$3:$B$5000,$A$3:$A$5000,$A1944,$B$3:$B$5000,"&gt;"&amp;$B1944)=0),NOW(),_xlfn.MINIFS($B$3:$B$5000,$A$3:$A$5000,$A1944,$B$3:$B$5000,"&gt;"&amp;$B1944))</f>
        <v>46279.5987643747</v>
      </c>
    </row>
    <row r="1945" customFormat="false" ht="15" hidden="false" customHeight="true" outlineLevel="0" collapsed="false">
      <c r="A1945" s="42"/>
      <c r="B1945" s="42"/>
      <c r="C1945" s="42"/>
      <c r="D1945" s="42"/>
      <c r="E1945" s="42"/>
      <c r="F1945" s="51" t="n">
        <f aca="false">IF(OR(C1945="",D1945="",E1945="",E1945=0),0,C1945*D1945/E1945)</f>
        <v>0</v>
      </c>
      <c r="G1945" s="42"/>
      <c r="H1945" s="49" t="n">
        <f aca="true">IF(OR($A1945="",_xlfn.MINIFS($B$3:$B$5000,$A$3:$A$5000,$A1945,$B$3:$B$5000,"&gt;"&amp;$B1945)=0),NOW(),_xlfn.MINIFS($B$3:$B$5000,$A$3:$A$5000,$A1945,$B$3:$B$5000,"&gt;"&amp;$B1945))</f>
        <v>46279.5987643747</v>
      </c>
    </row>
    <row r="1946" customFormat="false" ht="15" hidden="false" customHeight="true" outlineLevel="0" collapsed="false">
      <c r="A1946" s="42"/>
      <c r="B1946" s="42"/>
      <c r="C1946" s="42"/>
      <c r="D1946" s="42"/>
      <c r="E1946" s="42"/>
      <c r="F1946" s="51" t="n">
        <f aca="false">IF(OR(C1946="",D1946="",E1946="",E1946=0),0,C1946*D1946/E1946)</f>
        <v>0</v>
      </c>
      <c r="G1946" s="42"/>
      <c r="H1946" s="49" t="n">
        <f aca="true">IF(OR($A1946="",_xlfn.MINIFS($B$3:$B$5000,$A$3:$A$5000,$A1946,$B$3:$B$5000,"&gt;"&amp;$B1946)=0),NOW(),_xlfn.MINIFS($B$3:$B$5000,$A$3:$A$5000,$A1946,$B$3:$B$5000,"&gt;"&amp;$B1946))</f>
        <v>46279.5987643748</v>
      </c>
    </row>
    <row r="1947" customFormat="false" ht="15" hidden="false" customHeight="true" outlineLevel="0" collapsed="false">
      <c r="A1947" s="42"/>
      <c r="B1947" s="42"/>
      <c r="C1947" s="42"/>
      <c r="D1947" s="42"/>
      <c r="E1947" s="42"/>
      <c r="F1947" s="51" t="n">
        <f aca="false">IF(OR(C1947="",D1947="",E1947="",E1947=0),0,C1947*D1947/E1947)</f>
        <v>0</v>
      </c>
      <c r="G1947" s="42"/>
      <c r="H1947" s="49" t="n">
        <f aca="true">IF(OR($A1947="",_xlfn.MINIFS($B$3:$B$5000,$A$3:$A$5000,$A1947,$B$3:$B$5000,"&gt;"&amp;$B1947)=0),NOW(),_xlfn.MINIFS($B$3:$B$5000,$A$3:$A$5000,$A1947,$B$3:$B$5000,"&gt;"&amp;$B1947))</f>
        <v>46279.5987643748</v>
      </c>
    </row>
    <row r="1948" customFormat="false" ht="15" hidden="false" customHeight="true" outlineLevel="0" collapsed="false">
      <c r="A1948" s="42"/>
      <c r="B1948" s="42"/>
      <c r="C1948" s="42"/>
      <c r="D1948" s="42"/>
      <c r="E1948" s="42"/>
      <c r="F1948" s="51" t="n">
        <f aca="false">IF(OR(C1948="",D1948="",E1948="",E1948=0),0,C1948*D1948/E1948)</f>
        <v>0</v>
      </c>
      <c r="G1948" s="42"/>
      <c r="H1948" s="49" t="n">
        <f aca="true">IF(OR($A1948="",_xlfn.MINIFS($B$3:$B$5000,$A$3:$A$5000,$A1948,$B$3:$B$5000,"&gt;"&amp;$B1948)=0),NOW(),_xlfn.MINIFS($B$3:$B$5000,$A$3:$A$5000,$A1948,$B$3:$B$5000,"&gt;"&amp;$B1948))</f>
        <v>46279.5987643749</v>
      </c>
    </row>
    <row r="1949" customFormat="false" ht="15" hidden="false" customHeight="true" outlineLevel="0" collapsed="false">
      <c r="A1949" s="42"/>
      <c r="B1949" s="42"/>
      <c r="C1949" s="42"/>
      <c r="D1949" s="42"/>
      <c r="E1949" s="42"/>
      <c r="F1949" s="51" t="n">
        <f aca="false">IF(OR(C1949="",D1949="",E1949="",E1949=0),0,C1949*D1949/E1949)</f>
        <v>0</v>
      </c>
      <c r="G1949" s="42"/>
      <c r="H1949" s="49" t="n">
        <f aca="true">IF(OR($A1949="",_xlfn.MINIFS($B$3:$B$5000,$A$3:$A$5000,$A1949,$B$3:$B$5000,"&gt;"&amp;$B1949)=0),NOW(),_xlfn.MINIFS($B$3:$B$5000,$A$3:$A$5000,$A1949,$B$3:$B$5000,"&gt;"&amp;$B1949))</f>
        <v>46279.5987643749</v>
      </c>
    </row>
    <row r="1950" customFormat="false" ht="15" hidden="false" customHeight="true" outlineLevel="0" collapsed="false">
      <c r="A1950" s="42"/>
      <c r="B1950" s="42"/>
      <c r="C1950" s="42"/>
      <c r="D1950" s="42"/>
      <c r="E1950" s="42"/>
      <c r="F1950" s="51" t="n">
        <f aca="false">IF(OR(C1950="",D1950="",E1950="",E1950=0),0,C1950*D1950/E1950)</f>
        <v>0</v>
      </c>
      <c r="G1950" s="42"/>
      <c r="H1950" s="49" t="n">
        <f aca="true">IF(OR($A1950="",_xlfn.MINIFS($B$3:$B$5000,$A$3:$A$5000,$A1950,$B$3:$B$5000,"&gt;"&amp;$B1950)=0),NOW(),_xlfn.MINIFS($B$3:$B$5000,$A$3:$A$5000,$A1950,$B$3:$B$5000,"&gt;"&amp;$B1950))</f>
        <v>46279.598764375</v>
      </c>
    </row>
    <row r="1951" customFormat="false" ht="15" hidden="false" customHeight="true" outlineLevel="0" collapsed="false">
      <c r="A1951" s="42"/>
      <c r="B1951" s="42"/>
      <c r="C1951" s="42"/>
      <c r="D1951" s="42"/>
      <c r="E1951" s="42"/>
      <c r="F1951" s="51" t="n">
        <f aca="false">IF(OR(C1951="",D1951="",E1951="",E1951=0),0,C1951*D1951/E1951)</f>
        <v>0</v>
      </c>
      <c r="G1951" s="42"/>
      <c r="H1951" s="49" t="n">
        <f aca="true">IF(OR($A1951="",_xlfn.MINIFS($B$3:$B$5000,$A$3:$A$5000,$A1951,$B$3:$B$5000,"&gt;"&amp;$B1951)=0),NOW(),_xlfn.MINIFS($B$3:$B$5000,$A$3:$A$5000,$A1951,$B$3:$B$5000,"&gt;"&amp;$B1951))</f>
        <v>46279.598764375</v>
      </c>
    </row>
    <row r="1952" customFormat="false" ht="15" hidden="false" customHeight="true" outlineLevel="0" collapsed="false">
      <c r="A1952" s="42"/>
      <c r="B1952" s="42"/>
      <c r="C1952" s="42"/>
      <c r="D1952" s="42"/>
      <c r="E1952" s="42"/>
      <c r="F1952" s="51" t="n">
        <f aca="false">IF(OR(C1952="",D1952="",E1952="",E1952=0),0,C1952*D1952/E1952)</f>
        <v>0</v>
      </c>
      <c r="G1952" s="42"/>
      <c r="H1952" s="49" t="n">
        <f aca="true">IF(OR($A1952="",_xlfn.MINIFS($B$3:$B$5000,$A$3:$A$5000,$A1952,$B$3:$B$5000,"&gt;"&amp;$B1952)=0),NOW(),_xlfn.MINIFS($B$3:$B$5000,$A$3:$A$5000,$A1952,$B$3:$B$5000,"&gt;"&amp;$B1952))</f>
        <v>46279.5987643751</v>
      </c>
    </row>
    <row r="1953" customFormat="false" ht="15" hidden="false" customHeight="true" outlineLevel="0" collapsed="false">
      <c r="A1953" s="42"/>
      <c r="B1953" s="42"/>
      <c r="C1953" s="42"/>
      <c r="D1953" s="42"/>
      <c r="E1953" s="42"/>
      <c r="F1953" s="51" t="n">
        <f aca="false">IF(OR(C1953="",D1953="",E1953="",E1953=0),0,C1953*D1953/E1953)</f>
        <v>0</v>
      </c>
      <c r="G1953" s="42"/>
      <c r="H1953" s="49" t="n">
        <f aca="true">IF(OR($A1953="",_xlfn.MINIFS($B$3:$B$5000,$A$3:$A$5000,$A1953,$B$3:$B$5000,"&gt;"&amp;$B1953)=0),NOW(),_xlfn.MINIFS($B$3:$B$5000,$A$3:$A$5000,$A1953,$B$3:$B$5000,"&gt;"&amp;$B1953))</f>
        <v>46279.5987643751</v>
      </c>
    </row>
    <row r="1954" customFormat="false" ht="15" hidden="false" customHeight="true" outlineLevel="0" collapsed="false">
      <c r="A1954" s="42"/>
      <c r="B1954" s="42"/>
      <c r="C1954" s="42"/>
      <c r="D1954" s="42"/>
      <c r="E1954" s="42"/>
      <c r="F1954" s="51" t="n">
        <f aca="false">IF(OR(C1954="",D1954="",E1954="",E1954=0),0,C1954*D1954/E1954)</f>
        <v>0</v>
      </c>
      <c r="G1954" s="42"/>
      <c r="H1954" s="49" t="n">
        <f aca="true">IF(OR($A1954="",_xlfn.MINIFS($B$3:$B$5000,$A$3:$A$5000,$A1954,$B$3:$B$5000,"&gt;"&amp;$B1954)=0),NOW(),_xlfn.MINIFS($B$3:$B$5000,$A$3:$A$5000,$A1954,$B$3:$B$5000,"&gt;"&amp;$B1954))</f>
        <v>46279.5987643752</v>
      </c>
    </row>
    <row r="1955" customFormat="false" ht="15" hidden="false" customHeight="true" outlineLevel="0" collapsed="false">
      <c r="A1955" s="42"/>
      <c r="B1955" s="42"/>
      <c r="C1955" s="42"/>
      <c r="D1955" s="42"/>
      <c r="E1955" s="42"/>
      <c r="F1955" s="51" t="n">
        <f aca="false">IF(OR(C1955="",D1955="",E1955="",E1955=0),0,C1955*D1955/E1955)</f>
        <v>0</v>
      </c>
      <c r="G1955" s="42"/>
      <c r="H1955" s="49" t="n">
        <f aca="true">IF(OR($A1955="",_xlfn.MINIFS($B$3:$B$5000,$A$3:$A$5000,$A1955,$B$3:$B$5000,"&gt;"&amp;$B1955)=0),NOW(),_xlfn.MINIFS($B$3:$B$5000,$A$3:$A$5000,$A1955,$B$3:$B$5000,"&gt;"&amp;$B1955))</f>
        <v>46279.5987643752</v>
      </c>
    </row>
    <row r="1956" customFormat="false" ht="15" hidden="false" customHeight="true" outlineLevel="0" collapsed="false">
      <c r="A1956" s="42"/>
      <c r="B1956" s="42"/>
      <c r="C1956" s="42"/>
      <c r="D1956" s="42"/>
      <c r="E1956" s="42"/>
      <c r="F1956" s="51" t="n">
        <f aca="false">IF(OR(C1956="",D1956="",E1956="",E1956=0),0,C1956*D1956/E1956)</f>
        <v>0</v>
      </c>
      <c r="G1956" s="42"/>
      <c r="H1956" s="49" t="n">
        <f aca="true">IF(OR($A1956="",_xlfn.MINIFS($B$3:$B$5000,$A$3:$A$5000,$A1956,$B$3:$B$5000,"&gt;"&amp;$B1956)=0),NOW(),_xlfn.MINIFS($B$3:$B$5000,$A$3:$A$5000,$A1956,$B$3:$B$5000,"&gt;"&amp;$B1956))</f>
        <v>46279.5987643753</v>
      </c>
    </row>
    <row r="1957" customFormat="false" ht="15" hidden="false" customHeight="true" outlineLevel="0" collapsed="false">
      <c r="A1957" s="42"/>
      <c r="B1957" s="42"/>
      <c r="C1957" s="42"/>
      <c r="D1957" s="42"/>
      <c r="E1957" s="42"/>
      <c r="F1957" s="51" t="n">
        <f aca="false">IF(OR(C1957="",D1957="",E1957="",E1957=0),0,C1957*D1957/E1957)</f>
        <v>0</v>
      </c>
      <c r="G1957" s="42"/>
      <c r="H1957" s="49" t="n">
        <f aca="true">IF(OR($A1957="",_xlfn.MINIFS($B$3:$B$5000,$A$3:$A$5000,$A1957,$B$3:$B$5000,"&gt;"&amp;$B1957)=0),NOW(),_xlfn.MINIFS($B$3:$B$5000,$A$3:$A$5000,$A1957,$B$3:$B$5000,"&gt;"&amp;$B1957))</f>
        <v>46279.5987643753</v>
      </c>
    </row>
    <row r="1958" customFormat="false" ht="15" hidden="false" customHeight="true" outlineLevel="0" collapsed="false">
      <c r="A1958" s="42"/>
      <c r="B1958" s="42"/>
      <c r="C1958" s="42"/>
      <c r="D1958" s="42"/>
      <c r="E1958" s="42"/>
      <c r="F1958" s="51" t="n">
        <f aca="false">IF(OR(C1958="",D1958="",E1958="",E1958=0),0,C1958*D1958/E1958)</f>
        <v>0</v>
      </c>
      <c r="G1958" s="42"/>
      <c r="H1958" s="49" t="n">
        <f aca="true">IF(OR($A1958="",_xlfn.MINIFS($B$3:$B$5000,$A$3:$A$5000,$A1958,$B$3:$B$5000,"&gt;"&amp;$B1958)=0),NOW(),_xlfn.MINIFS($B$3:$B$5000,$A$3:$A$5000,$A1958,$B$3:$B$5000,"&gt;"&amp;$B1958))</f>
        <v>46279.5987643754</v>
      </c>
    </row>
    <row r="1959" customFormat="false" ht="15" hidden="false" customHeight="true" outlineLevel="0" collapsed="false">
      <c r="A1959" s="42"/>
      <c r="B1959" s="42"/>
      <c r="C1959" s="42"/>
      <c r="D1959" s="42"/>
      <c r="E1959" s="42"/>
      <c r="F1959" s="51" t="n">
        <f aca="false">IF(OR(C1959="",D1959="",E1959="",E1959=0),0,C1959*D1959/E1959)</f>
        <v>0</v>
      </c>
      <c r="G1959" s="42"/>
      <c r="H1959" s="49" t="n">
        <f aca="true">IF(OR($A1959="",_xlfn.MINIFS($B$3:$B$5000,$A$3:$A$5000,$A1959,$B$3:$B$5000,"&gt;"&amp;$B1959)=0),NOW(),_xlfn.MINIFS($B$3:$B$5000,$A$3:$A$5000,$A1959,$B$3:$B$5000,"&gt;"&amp;$B1959))</f>
        <v>46279.5987643754</v>
      </c>
    </row>
    <row r="1960" customFormat="false" ht="15" hidden="false" customHeight="true" outlineLevel="0" collapsed="false">
      <c r="A1960" s="42"/>
      <c r="B1960" s="42"/>
      <c r="C1960" s="42"/>
      <c r="D1960" s="42"/>
      <c r="E1960" s="42"/>
      <c r="F1960" s="51" t="n">
        <f aca="false">IF(OR(C1960="",D1960="",E1960="",E1960=0),0,C1960*D1960/E1960)</f>
        <v>0</v>
      </c>
      <c r="G1960" s="42"/>
      <c r="H1960" s="49" t="n">
        <f aca="true">IF(OR($A1960="",_xlfn.MINIFS($B$3:$B$5000,$A$3:$A$5000,$A1960,$B$3:$B$5000,"&gt;"&amp;$B1960)=0),NOW(),_xlfn.MINIFS($B$3:$B$5000,$A$3:$A$5000,$A1960,$B$3:$B$5000,"&gt;"&amp;$B1960))</f>
        <v>46279.5987643755</v>
      </c>
    </row>
    <row r="1961" customFormat="false" ht="15" hidden="false" customHeight="true" outlineLevel="0" collapsed="false">
      <c r="A1961" s="42"/>
      <c r="B1961" s="42"/>
      <c r="C1961" s="42"/>
      <c r="D1961" s="42"/>
      <c r="E1961" s="42"/>
      <c r="F1961" s="51" t="n">
        <f aca="false">IF(OR(C1961="",D1961="",E1961="",E1961=0),0,C1961*D1961/E1961)</f>
        <v>0</v>
      </c>
      <c r="G1961" s="42"/>
      <c r="H1961" s="49" t="n">
        <f aca="true">IF(OR($A1961="",_xlfn.MINIFS($B$3:$B$5000,$A$3:$A$5000,$A1961,$B$3:$B$5000,"&gt;"&amp;$B1961)=0),NOW(),_xlfn.MINIFS($B$3:$B$5000,$A$3:$A$5000,$A1961,$B$3:$B$5000,"&gt;"&amp;$B1961))</f>
        <v>46279.5987643755</v>
      </c>
    </row>
    <row r="1962" customFormat="false" ht="15" hidden="false" customHeight="true" outlineLevel="0" collapsed="false">
      <c r="A1962" s="42"/>
      <c r="B1962" s="42"/>
      <c r="C1962" s="42"/>
      <c r="D1962" s="42"/>
      <c r="E1962" s="42"/>
      <c r="F1962" s="51" t="n">
        <f aca="false">IF(OR(C1962="",D1962="",E1962="",E1962=0),0,C1962*D1962/E1962)</f>
        <v>0</v>
      </c>
      <c r="G1962" s="42"/>
      <c r="H1962" s="49" t="n">
        <f aca="true">IF(OR($A1962="",_xlfn.MINIFS($B$3:$B$5000,$A$3:$A$5000,$A1962,$B$3:$B$5000,"&gt;"&amp;$B1962)=0),NOW(),_xlfn.MINIFS($B$3:$B$5000,$A$3:$A$5000,$A1962,$B$3:$B$5000,"&gt;"&amp;$B1962))</f>
        <v>46279.5987643756</v>
      </c>
    </row>
    <row r="1963" customFormat="false" ht="15" hidden="false" customHeight="true" outlineLevel="0" collapsed="false">
      <c r="A1963" s="42"/>
      <c r="B1963" s="42"/>
      <c r="C1963" s="42"/>
      <c r="D1963" s="42"/>
      <c r="E1963" s="42"/>
      <c r="F1963" s="51" t="n">
        <f aca="false">IF(OR(C1963="",D1963="",E1963="",E1963=0),0,C1963*D1963/E1963)</f>
        <v>0</v>
      </c>
      <c r="G1963" s="42"/>
      <c r="H1963" s="49" t="n">
        <f aca="true">IF(OR($A1963="",_xlfn.MINIFS($B$3:$B$5000,$A$3:$A$5000,$A1963,$B$3:$B$5000,"&gt;"&amp;$B1963)=0),NOW(),_xlfn.MINIFS($B$3:$B$5000,$A$3:$A$5000,$A1963,$B$3:$B$5000,"&gt;"&amp;$B1963))</f>
        <v>46279.5987643756</v>
      </c>
    </row>
    <row r="1964" customFormat="false" ht="15" hidden="false" customHeight="true" outlineLevel="0" collapsed="false">
      <c r="A1964" s="42"/>
      <c r="B1964" s="42"/>
      <c r="C1964" s="42"/>
      <c r="D1964" s="42"/>
      <c r="E1964" s="42"/>
      <c r="F1964" s="51" t="n">
        <f aca="false">IF(OR(C1964="",D1964="",E1964="",E1964=0),0,C1964*D1964/E1964)</f>
        <v>0</v>
      </c>
      <c r="G1964" s="42"/>
      <c r="H1964" s="49" t="n">
        <f aca="true">IF(OR($A1964="",_xlfn.MINIFS($B$3:$B$5000,$A$3:$A$5000,$A1964,$B$3:$B$5000,"&gt;"&amp;$B1964)=0),NOW(),_xlfn.MINIFS($B$3:$B$5000,$A$3:$A$5000,$A1964,$B$3:$B$5000,"&gt;"&amp;$B1964))</f>
        <v>46279.5987643757</v>
      </c>
    </row>
    <row r="1965" customFormat="false" ht="15" hidden="false" customHeight="true" outlineLevel="0" collapsed="false">
      <c r="A1965" s="42"/>
      <c r="B1965" s="42"/>
      <c r="C1965" s="42"/>
      <c r="D1965" s="42"/>
      <c r="E1965" s="42"/>
      <c r="F1965" s="51" t="n">
        <f aca="false">IF(OR(C1965="",D1965="",E1965="",E1965=0),0,C1965*D1965/E1965)</f>
        <v>0</v>
      </c>
      <c r="G1965" s="42"/>
      <c r="H1965" s="49" t="n">
        <f aca="true">IF(OR($A1965="",_xlfn.MINIFS($B$3:$B$5000,$A$3:$A$5000,$A1965,$B$3:$B$5000,"&gt;"&amp;$B1965)=0),NOW(),_xlfn.MINIFS($B$3:$B$5000,$A$3:$A$5000,$A1965,$B$3:$B$5000,"&gt;"&amp;$B1965))</f>
        <v>46279.5987643757</v>
      </c>
    </row>
    <row r="1966" customFormat="false" ht="15" hidden="false" customHeight="true" outlineLevel="0" collapsed="false">
      <c r="A1966" s="42"/>
      <c r="B1966" s="42"/>
      <c r="C1966" s="42"/>
      <c r="D1966" s="42"/>
      <c r="E1966" s="42"/>
      <c r="F1966" s="51" t="n">
        <f aca="false">IF(OR(C1966="",D1966="",E1966="",E1966=0),0,C1966*D1966/E1966)</f>
        <v>0</v>
      </c>
      <c r="G1966" s="42"/>
      <c r="H1966" s="49" t="n">
        <f aca="true">IF(OR($A1966="",_xlfn.MINIFS($B$3:$B$5000,$A$3:$A$5000,$A1966,$B$3:$B$5000,"&gt;"&amp;$B1966)=0),NOW(),_xlfn.MINIFS($B$3:$B$5000,$A$3:$A$5000,$A1966,$B$3:$B$5000,"&gt;"&amp;$B1966))</f>
        <v>46279.5987643758</v>
      </c>
    </row>
    <row r="1967" customFormat="false" ht="15" hidden="false" customHeight="true" outlineLevel="0" collapsed="false">
      <c r="A1967" s="42"/>
      <c r="B1967" s="42"/>
      <c r="C1967" s="42"/>
      <c r="D1967" s="42"/>
      <c r="E1967" s="42"/>
      <c r="F1967" s="51" t="n">
        <f aca="false">IF(OR(C1967="",D1967="",E1967="",E1967=0),0,C1967*D1967/E1967)</f>
        <v>0</v>
      </c>
      <c r="G1967" s="42"/>
      <c r="H1967" s="49" t="n">
        <f aca="true">IF(OR($A1967="",_xlfn.MINIFS($B$3:$B$5000,$A$3:$A$5000,$A1967,$B$3:$B$5000,"&gt;"&amp;$B1967)=0),NOW(),_xlfn.MINIFS($B$3:$B$5000,$A$3:$A$5000,$A1967,$B$3:$B$5000,"&gt;"&amp;$B1967))</f>
        <v>46279.5987643758</v>
      </c>
    </row>
    <row r="1968" customFormat="false" ht="15" hidden="false" customHeight="true" outlineLevel="0" collapsed="false">
      <c r="A1968" s="42"/>
      <c r="B1968" s="42"/>
      <c r="C1968" s="42"/>
      <c r="D1968" s="42"/>
      <c r="E1968" s="42"/>
      <c r="F1968" s="51" t="n">
        <f aca="false">IF(OR(C1968="",D1968="",E1968="",E1968=0),0,C1968*D1968/E1968)</f>
        <v>0</v>
      </c>
      <c r="G1968" s="42"/>
      <c r="H1968" s="49" t="n">
        <f aca="true">IF(OR($A1968="",_xlfn.MINIFS($B$3:$B$5000,$A$3:$A$5000,$A1968,$B$3:$B$5000,"&gt;"&amp;$B1968)=0),NOW(),_xlfn.MINIFS($B$3:$B$5000,$A$3:$A$5000,$A1968,$B$3:$B$5000,"&gt;"&amp;$B1968))</f>
        <v>46279.5987643759</v>
      </c>
    </row>
    <row r="1969" customFormat="false" ht="15" hidden="false" customHeight="true" outlineLevel="0" collapsed="false">
      <c r="A1969" s="42"/>
      <c r="B1969" s="42"/>
      <c r="C1969" s="42"/>
      <c r="D1969" s="42"/>
      <c r="E1969" s="42"/>
      <c r="F1969" s="51" t="n">
        <f aca="false">IF(OR(C1969="",D1969="",E1969="",E1969=0),0,C1969*D1969/E1969)</f>
        <v>0</v>
      </c>
      <c r="G1969" s="42"/>
      <c r="H1969" s="49" t="n">
        <f aca="true">IF(OR($A1969="",_xlfn.MINIFS($B$3:$B$5000,$A$3:$A$5000,$A1969,$B$3:$B$5000,"&gt;"&amp;$B1969)=0),NOW(),_xlfn.MINIFS($B$3:$B$5000,$A$3:$A$5000,$A1969,$B$3:$B$5000,"&gt;"&amp;$B1969))</f>
        <v>46279.5987643759</v>
      </c>
    </row>
    <row r="1970" customFormat="false" ht="15" hidden="false" customHeight="true" outlineLevel="0" collapsed="false">
      <c r="A1970" s="42"/>
      <c r="B1970" s="42"/>
      <c r="C1970" s="42"/>
      <c r="D1970" s="42"/>
      <c r="E1970" s="42"/>
      <c r="F1970" s="51" t="n">
        <f aca="false">IF(OR(C1970="",D1970="",E1970="",E1970=0),0,C1970*D1970/E1970)</f>
        <v>0</v>
      </c>
      <c r="G1970" s="42"/>
      <c r="H1970" s="49" t="n">
        <f aca="true">IF(OR($A1970="",_xlfn.MINIFS($B$3:$B$5000,$A$3:$A$5000,$A1970,$B$3:$B$5000,"&gt;"&amp;$B1970)=0),NOW(),_xlfn.MINIFS($B$3:$B$5000,$A$3:$A$5000,$A1970,$B$3:$B$5000,"&gt;"&amp;$B1970))</f>
        <v>46279.598764376</v>
      </c>
    </row>
    <row r="1971" customFormat="false" ht="15" hidden="false" customHeight="true" outlineLevel="0" collapsed="false">
      <c r="A1971" s="42"/>
      <c r="B1971" s="42"/>
      <c r="C1971" s="42"/>
      <c r="D1971" s="42"/>
      <c r="E1971" s="42"/>
      <c r="F1971" s="51" t="n">
        <f aca="false">IF(OR(C1971="",D1971="",E1971="",E1971=0),0,C1971*D1971/E1971)</f>
        <v>0</v>
      </c>
      <c r="G1971" s="42"/>
      <c r="H1971" s="49" t="n">
        <f aca="true">IF(OR($A1971="",_xlfn.MINIFS($B$3:$B$5000,$A$3:$A$5000,$A1971,$B$3:$B$5000,"&gt;"&amp;$B1971)=0),NOW(),_xlfn.MINIFS($B$3:$B$5000,$A$3:$A$5000,$A1971,$B$3:$B$5000,"&gt;"&amp;$B1971))</f>
        <v>46279.598764376</v>
      </c>
    </row>
    <row r="1972" customFormat="false" ht="15" hidden="false" customHeight="true" outlineLevel="0" collapsed="false">
      <c r="A1972" s="42"/>
      <c r="B1972" s="42"/>
      <c r="C1972" s="42"/>
      <c r="D1972" s="42"/>
      <c r="E1972" s="42"/>
      <c r="F1972" s="51" t="n">
        <f aca="false">IF(OR(C1972="",D1972="",E1972="",E1972=0),0,C1972*D1972/E1972)</f>
        <v>0</v>
      </c>
      <c r="G1972" s="42"/>
      <c r="H1972" s="49" t="n">
        <f aca="true">IF(OR($A1972="",_xlfn.MINIFS($B$3:$B$5000,$A$3:$A$5000,$A1972,$B$3:$B$5000,"&gt;"&amp;$B1972)=0),NOW(),_xlfn.MINIFS($B$3:$B$5000,$A$3:$A$5000,$A1972,$B$3:$B$5000,"&gt;"&amp;$B1972))</f>
        <v>46279.5987643761</v>
      </c>
    </row>
    <row r="1973" customFormat="false" ht="15" hidden="false" customHeight="true" outlineLevel="0" collapsed="false">
      <c r="A1973" s="42"/>
      <c r="B1973" s="42"/>
      <c r="C1973" s="42"/>
      <c r="D1973" s="42"/>
      <c r="E1973" s="42"/>
      <c r="F1973" s="51" t="n">
        <f aca="false">IF(OR(C1973="",D1973="",E1973="",E1973=0),0,C1973*D1973/E1973)</f>
        <v>0</v>
      </c>
      <c r="G1973" s="42"/>
      <c r="H1973" s="49" t="n">
        <f aca="true">IF(OR($A1973="",_xlfn.MINIFS($B$3:$B$5000,$A$3:$A$5000,$A1973,$B$3:$B$5000,"&gt;"&amp;$B1973)=0),NOW(),_xlfn.MINIFS($B$3:$B$5000,$A$3:$A$5000,$A1973,$B$3:$B$5000,"&gt;"&amp;$B1973))</f>
        <v>46279.5987643761</v>
      </c>
    </row>
    <row r="1974" customFormat="false" ht="15" hidden="false" customHeight="true" outlineLevel="0" collapsed="false">
      <c r="A1974" s="42"/>
      <c r="B1974" s="42"/>
      <c r="C1974" s="42"/>
      <c r="D1974" s="42"/>
      <c r="E1974" s="42"/>
      <c r="F1974" s="51" t="n">
        <f aca="false">IF(OR(C1974="",D1974="",E1974="",E1974=0),0,C1974*D1974/E1974)</f>
        <v>0</v>
      </c>
      <c r="G1974" s="42"/>
      <c r="H1974" s="49" t="n">
        <f aca="true">IF(OR($A1974="",_xlfn.MINIFS($B$3:$B$5000,$A$3:$A$5000,$A1974,$B$3:$B$5000,"&gt;"&amp;$B1974)=0),NOW(),_xlfn.MINIFS($B$3:$B$5000,$A$3:$A$5000,$A1974,$B$3:$B$5000,"&gt;"&amp;$B1974))</f>
        <v>46279.5987643762</v>
      </c>
    </row>
    <row r="1975" customFormat="false" ht="15" hidden="false" customHeight="true" outlineLevel="0" collapsed="false">
      <c r="A1975" s="42"/>
      <c r="B1975" s="42"/>
      <c r="C1975" s="42"/>
      <c r="D1975" s="42"/>
      <c r="E1975" s="42"/>
      <c r="F1975" s="51" t="n">
        <f aca="false">IF(OR(C1975="",D1975="",E1975="",E1975=0),0,C1975*D1975/E1975)</f>
        <v>0</v>
      </c>
      <c r="G1975" s="42"/>
      <c r="H1975" s="49" t="n">
        <f aca="true">IF(OR($A1975="",_xlfn.MINIFS($B$3:$B$5000,$A$3:$A$5000,$A1975,$B$3:$B$5000,"&gt;"&amp;$B1975)=0),NOW(),_xlfn.MINIFS($B$3:$B$5000,$A$3:$A$5000,$A1975,$B$3:$B$5000,"&gt;"&amp;$B1975))</f>
        <v>46279.5987643762</v>
      </c>
    </row>
    <row r="1976" customFormat="false" ht="15" hidden="false" customHeight="true" outlineLevel="0" collapsed="false">
      <c r="A1976" s="42"/>
      <c r="B1976" s="42"/>
      <c r="C1976" s="42"/>
      <c r="D1976" s="42"/>
      <c r="E1976" s="42"/>
      <c r="F1976" s="51" t="n">
        <f aca="false">IF(OR(C1976="",D1976="",E1976="",E1976=0),0,C1976*D1976/E1976)</f>
        <v>0</v>
      </c>
      <c r="G1976" s="42"/>
      <c r="H1976" s="49" t="n">
        <f aca="true">IF(OR($A1976="",_xlfn.MINIFS($B$3:$B$5000,$A$3:$A$5000,$A1976,$B$3:$B$5000,"&gt;"&amp;$B1976)=0),NOW(),_xlfn.MINIFS($B$3:$B$5000,$A$3:$A$5000,$A1976,$B$3:$B$5000,"&gt;"&amp;$B1976))</f>
        <v>46279.5987643763</v>
      </c>
    </row>
    <row r="1977" customFormat="false" ht="15" hidden="false" customHeight="true" outlineLevel="0" collapsed="false">
      <c r="A1977" s="42"/>
      <c r="B1977" s="42"/>
      <c r="C1977" s="42"/>
      <c r="D1977" s="42"/>
      <c r="E1977" s="42"/>
      <c r="F1977" s="51" t="n">
        <f aca="false">IF(OR(C1977="",D1977="",E1977="",E1977=0),0,C1977*D1977/E1977)</f>
        <v>0</v>
      </c>
      <c r="G1977" s="42"/>
      <c r="H1977" s="49" t="n">
        <f aca="true">IF(OR($A1977="",_xlfn.MINIFS($B$3:$B$5000,$A$3:$A$5000,$A1977,$B$3:$B$5000,"&gt;"&amp;$B1977)=0),NOW(),_xlfn.MINIFS($B$3:$B$5000,$A$3:$A$5000,$A1977,$B$3:$B$5000,"&gt;"&amp;$B1977))</f>
        <v>46279.5987643763</v>
      </c>
    </row>
    <row r="1978" customFormat="false" ht="15" hidden="false" customHeight="true" outlineLevel="0" collapsed="false">
      <c r="A1978" s="42"/>
      <c r="B1978" s="42"/>
      <c r="C1978" s="42"/>
      <c r="D1978" s="42"/>
      <c r="E1978" s="42"/>
      <c r="F1978" s="51" t="n">
        <f aca="false">IF(OR(C1978="",D1978="",E1978="",E1978=0),0,C1978*D1978/E1978)</f>
        <v>0</v>
      </c>
      <c r="G1978" s="42"/>
      <c r="H1978" s="49" t="n">
        <f aca="true">IF(OR($A1978="",_xlfn.MINIFS($B$3:$B$5000,$A$3:$A$5000,$A1978,$B$3:$B$5000,"&gt;"&amp;$B1978)=0),NOW(),_xlfn.MINIFS($B$3:$B$5000,$A$3:$A$5000,$A1978,$B$3:$B$5000,"&gt;"&amp;$B1978))</f>
        <v>46279.5987643764</v>
      </c>
    </row>
    <row r="1979" customFormat="false" ht="15" hidden="false" customHeight="true" outlineLevel="0" collapsed="false">
      <c r="A1979" s="42"/>
      <c r="B1979" s="42"/>
      <c r="C1979" s="42"/>
      <c r="D1979" s="42"/>
      <c r="E1979" s="42"/>
      <c r="F1979" s="51" t="n">
        <f aca="false">IF(OR(C1979="",D1979="",E1979="",E1979=0),0,C1979*D1979/E1979)</f>
        <v>0</v>
      </c>
      <c r="G1979" s="42"/>
      <c r="H1979" s="49" t="n">
        <f aca="true">IF(OR($A1979="",_xlfn.MINIFS($B$3:$B$5000,$A$3:$A$5000,$A1979,$B$3:$B$5000,"&gt;"&amp;$B1979)=0),NOW(),_xlfn.MINIFS($B$3:$B$5000,$A$3:$A$5000,$A1979,$B$3:$B$5000,"&gt;"&amp;$B1979))</f>
        <v>46279.5987643764</v>
      </c>
    </row>
    <row r="1980" customFormat="false" ht="15" hidden="false" customHeight="true" outlineLevel="0" collapsed="false">
      <c r="A1980" s="42"/>
      <c r="B1980" s="42"/>
      <c r="C1980" s="42"/>
      <c r="D1980" s="42"/>
      <c r="E1980" s="42"/>
      <c r="F1980" s="51" t="n">
        <f aca="false">IF(OR(C1980="",D1980="",E1980="",E1980=0),0,C1980*D1980/E1980)</f>
        <v>0</v>
      </c>
      <c r="G1980" s="42"/>
      <c r="H1980" s="49" t="n">
        <f aca="true">IF(OR($A1980="",_xlfn.MINIFS($B$3:$B$5000,$A$3:$A$5000,$A1980,$B$3:$B$5000,"&gt;"&amp;$B1980)=0),NOW(),_xlfn.MINIFS($B$3:$B$5000,$A$3:$A$5000,$A1980,$B$3:$B$5000,"&gt;"&amp;$B1980))</f>
        <v>46279.5987643765</v>
      </c>
    </row>
    <row r="1981" customFormat="false" ht="15" hidden="false" customHeight="true" outlineLevel="0" collapsed="false">
      <c r="A1981" s="42"/>
      <c r="B1981" s="42"/>
      <c r="C1981" s="42"/>
      <c r="D1981" s="42"/>
      <c r="E1981" s="42"/>
      <c r="F1981" s="51" t="n">
        <f aca="false">IF(OR(C1981="",D1981="",E1981="",E1981=0),0,C1981*D1981/E1981)</f>
        <v>0</v>
      </c>
      <c r="G1981" s="42"/>
      <c r="H1981" s="49" t="n">
        <f aca="true">IF(OR($A1981="",_xlfn.MINIFS($B$3:$B$5000,$A$3:$A$5000,$A1981,$B$3:$B$5000,"&gt;"&amp;$B1981)=0),NOW(),_xlfn.MINIFS($B$3:$B$5000,$A$3:$A$5000,$A1981,$B$3:$B$5000,"&gt;"&amp;$B1981))</f>
        <v>46279.5987643765</v>
      </c>
    </row>
    <row r="1982" customFormat="false" ht="15" hidden="false" customHeight="true" outlineLevel="0" collapsed="false">
      <c r="A1982" s="42"/>
      <c r="B1982" s="42"/>
      <c r="C1982" s="42"/>
      <c r="D1982" s="42"/>
      <c r="E1982" s="42"/>
      <c r="F1982" s="51" t="n">
        <f aca="false">IF(OR(C1982="",D1982="",E1982="",E1982=0),0,C1982*D1982/E1982)</f>
        <v>0</v>
      </c>
      <c r="G1982" s="42"/>
      <c r="H1982" s="49" t="n">
        <f aca="true">IF(OR($A1982="",_xlfn.MINIFS($B$3:$B$5000,$A$3:$A$5000,$A1982,$B$3:$B$5000,"&gt;"&amp;$B1982)=0),NOW(),_xlfn.MINIFS($B$3:$B$5000,$A$3:$A$5000,$A1982,$B$3:$B$5000,"&gt;"&amp;$B1982))</f>
        <v>46279.5987643766</v>
      </c>
    </row>
    <row r="1983" customFormat="false" ht="15" hidden="false" customHeight="true" outlineLevel="0" collapsed="false">
      <c r="A1983" s="42"/>
      <c r="B1983" s="42"/>
      <c r="C1983" s="42"/>
      <c r="D1983" s="42"/>
      <c r="E1983" s="42"/>
      <c r="F1983" s="51" t="n">
        <f aca="false">IF(OR(C1983="",D1983="",E1983="",E1983=0),0,C1983*D1983/E1983)</f>
        <v>0</v>
      </c>
      <c r="G1983" s="42"/>
      <c r="H1983" s="49" t="n">
        <f aca="true">IF(OR($A1983="",_xlfn.MINIFS($B$3:$B$5000,$A$3:$A$5000,$A1983,$B$3:$B$5000,"&gt;"&amp;$B1983)=0),NOW(),_xlfn.MINIFS($B$3:$B$5000,$A$3:$A$5000,$A1983,$B$3:$B$5000,"&gt;"&amp;$B1983))</f>
        <v>46279.5987643766</v>
      </c>
    </row>
    <row r="1984" customFormat="false" ht="15" hidden="false" customHeight="true" outlineLevel="0" collapsed="false">
      <c r="A1984" s="42"/>
      <c r="B1984" s="42"/>
      <c r="C1984" s="42"/>
      <c r="D1984" s="42"/>
      <c r="E1984" s="42"/>
      <c r="F1984" s="51" t="n">
        <f aca="false">IF(OR(C1984="",D1984="",E1984="",E1984=0),0,C1984*D1984/E1984)</f>
        <v>0</v>
      </c>
      <c r="G1984" s="42"/>
      <c r="H1984" s="49" t="n">
        <f aca="true">IF(OR($A1984="",_xlfn.MINIFS($B$3:$B$5000,$A$3:$A$5000,$A1984,$B$3:$B$5000,"&gt;"&amp;$B1984)=0),NOW(),_xlfn.MINIFS($B$3:$B$5000,$A$3:$A$5000,$A1984,$B$3:$B$5000,"&gt;"&amp;$B1984))</f>
        <v>46279.5987643767</v>
      </c>
    </row>
    <row r="1985" customFormat="false" ht="15" hidden="false" customHeight="true" outlineLevel="0" collapsed="false">
      <c r="A1985" s="42"/>
      <c r="B1985" s="42"/>
      <c r="C1985" s="42"/>
      <c r="D1985" s="42"/>
      <c r="E1985" s="42"/>
      <c r="F1985" s="51" t="n">
        <f aca="false">IF(OR(C1985="",D1985="",E1985="",E1985=0),0,C1985*D1985/E1985)</f>
        <v>0</v>
      </c>
      <c r="G1985" s="42"/>
      <c r="H1985" s="49" t="n">
        <f aca="true">IF(OR($A1985="",_xlfn.MINIFS($B$3:$B$5000,$A$3:$A$5000,$A1985,$B$3:$B$5000,"&gt;"&amp;$B1985)=0),NOW(),_xlfn.MINIFS($B$3:$B$5000,$A$3:$A$5000,$A1985,$B$3:$B$5000,"&gt;"&amp;$B1985))</f>
        <v>46279.5987643767</v>
      </c>
    </row>
    <row r="1986" customFormat="false" ht="15" hidden="false" customHeight="true" outlineLevel="0" collapsed="false">
      <c r="A1986" s="42"/>
      <c r="B1986" s="42"/>
      <c r="C1986" s="42"/>
      <c r="D1986" s="42"/>
      <c r="E1986" s="42"/>
      <c r="F1986" s="51" t="n">
        <f aca="false">IF(OR(C1986="",D1986="",E1986="",E1986=0),0,C1986*D1986/E1986)</f>
        <v>0</v>
      </c>
      <c r="G1986" s="42"/>
      <c r="H1986" s="49" t="n">
        <f aca="true">IF(OR($A1986="",_xlfn.MINIFS($B$3:$B$5000,$A$3:$A$5000,$A1986,$B$3:$B$5000,"&gt;"&amp;$B1986)=0),NOW(),_xlfn.MINIFS($B$3:$B$5000,$A$3:$A$5000,$A1986,$B$3:$B$5000,"&gt;"&amp;$B1986))</f>
        <v>46279.5987643768</v>
      </c>
    </row>
    <row r="1987" customFormat="false" ht="15" hidden="false" customHeight="true" outlineLevel="0" collapsed="false">
      <c r="A1987" s="42"/>
      <c r="B1987" s="42"/>
      <c r="C1987" s="42"/>
      <c r="D1987" s="42"/>
      <c r="E1987" s="42"/>
      <c r="F1987" s="51" t="n">
        <f aca="false">IF(OR(C1987="",D1987="",E1987="",E1987=0),0,C1987*D1987/E1987)</f>
        <v>0</v>
      </c>
      <c r="G1987" s="42"/>
      <c r="H1987" s="49" t="n">
        <f aca="true">IF(OR($A1987="",_xlfn.MINIFS($B$3:$B$5000,$A$3:$A$5000,$A1987,$B$3:$B$5000,"&gt;"&amp;$B1987)=0),NOW(),_xlfn.MINIFS($B$3:$B$5000,$A$3:$A$5000,$A1987,$B$3:$B$5000,"&gt;"&amp;$B1987))</f>
        <v>46279.5987643768</v>
      </c>
    </row>
    <row r="1988" customFormat="false" ht="15" hidden="false" customHeight="true" outlineLevel="0" collapsed="false">
      <c r="A1988" s="42"/>
      <c r="B1988" s="42"/>
      <c r="C1988" s="42"/>
      <c r="D1988" s="42"/>
      <c r="E1988" s="42"/>
      <c r="F1988" s="51" t="n">
        <f aca="false">IF(OR(C1988="",D1988="",E1988="",E1988=0),0,C1988*D1988/E1988)</f>
        <v>0</v>
      </c>
      <c r="G1988" s="42"/>
      <c r="H1988" s="49" t="n">
        <f aca="true">IF(OR($A1988="",_xlfn.MINIFS($B$3:$B$5000,$A$3:$A$5000,$A1988,$B$3:$B$5000,"&gt;"&amp;$B1988)=0),NOW(),_xlfn.MINIFS($B$3:$B$5000,$A$3:$A$5000,$A1988,$B$3:$B$5000,"&gt;"&amp;$B1988))</f>
        <v>46279.5987643768</v>
      </c>
    </row>
    <row r="1989" customFormat="false" ht="15" hidden="false" customHeight="true" outlineLevel="0" collapsed="false">
      <c r="A1989" s="42"/>
      <c r="B1989" s="42"/>
      <c r="C1989" s="42"/>
      <c r="D1989" s="42"/>
      <c r="E1989" s="42"/>
      <c r="F1989" s="51" t="n">
        <f aca="false">IF(OR(C1989="",D1989="",E1989="",E1989=0),0,C1989*D1989/E1989)</f>
        <v>0</v>
      </c>
      <c r="G1989" s="42"/>
      <c r="H1989" s="49" t="n">
        <f aca="true">IF(OR($A1989="",_xlfn.MINIFS($B$3:$B$5000,$A$3:$A$5000,$A1989,$B$3:$B$5000,"&gt;"&amp;$B1989)=0),NOW(),_xlfn.MINIFS($B$3:$B$5000,$A$3:$A$5000,$A1989,$B$3:$B$5000,"&gt;"&amp;$B1989))</f>
        <v>46279.5987643769</v>
      </c>
    </row>
    <row r="1990" customFormat="false" ht="15" hidden="false" customHeight="true" outlineLevel="0" collapsed="false">
      <c r="A1990" s="42"/>
      <c r="B1990" s="42"/>
      <c r="C1990" s="42"/>
      <c r="D1990" s="42"/>
      <c r="E1990" s="42"/>
      <c r="F1990" s="51" t="n">
        <f aca="false">IF(OR(C1990="",D1990="",E1990="",E1990=0),0,C1990*D1990/E1990)</f>
        <v>0</v>
      </c>
      <c r="G1990" s="42"/>
      <c r="H1990" s="49" t="n">
        <f aca="true">IF(OR($A1990="",_xlfn.MINIFS($B$3:$B$5000,$A$3:$A$5000,$A1990,$B$3:$B$5000,"&gt;"&amp;$B1990)=0),NOW(),_xlfn.MINIFS($B$3:$B$5000,$A$3:$A$5000,$A1990,$B$3:$B$5000,"&gt;"&amp;$B1990))</f>
        <v>46279.598764377</v>
      </c>
    </row>
    <row r="1991" customFormat="false" ht="15" hidden="false" customHeight="true" outlineLevel="0" collapsed="false">
      <c r="A1991" s="42"/>
      <c r="B1991" s="42"/>
      <c r="C1991" s="42"/>
      <c r="D1991" s="42"/>
      <c r="E1991" s="42"/>
      <c r="F1991" s="51" t="n">
        <f aca="false">IF(OR(C1991="",D1991="",E1991="",E1991=0),0,C1991*D1991/E1991)</f>
        <v>0</v>
      </c>
      <c r="G1991" s="42"/>
      <c r="H1991" s="49" t="n">
        <f aca="true">IF(OR($A1991="",_xlfn.MINIFS($B$3:$B$5000,$A$3:$A$5000,$A1991,$B$3:$B$5000,"&gt;"&amp;$B1991)=0),NOW(),_xlfn.MINIFS($B$3:$B$5000,$A$3:$A$5000,$A1991,$B$3:$B$5000,"&gt;"&amp;$B1991))</f>
        <v>46279.598764377</v>
      </c>
    </row>
    <row r="1992" customFormat="false" ht="15" hidden="false" customHeight="true" outlineLevel="0" collapsed="false">
      <c r="A1992" s="42"/>
      <c r="B1992" s="42"/>
      <c r="C1992" s="42"/>
      <c r="D1992" s="42"/>
      <c r="E1992" s="42"/>
      <c r="F1992" s="51" t="n">
        <f aca="false">IF(OR(C1992="",D1992="",E1992="",E1992=0),0,C1992*D1992/E1992)</f>
        <v>0</v>
      </c>
      <c r="G1992" s="42"/>
      <c r="H1992" s="49" t="n">
        <f aca="true">IF(OR($A1992="",_xlfn.MINIFS($B$3:$B$5000,$A$3:$A$5000,$A1992,$B$3:$B$5000,"&gt;"&amp;$B1992)=0),NOW(),_xlfn.MINIFS($B$3:$B$5000,$A$3:$A$5000,$A1992,$B$3:$B$5000,"&gt;"&amp;$B1992))</f>
        <v>46279.5987643771</v>
      </c>
    </row>
    <row r="1993" customFormat="false" ht="15" hidden="false" customHeight="true" outlineLevel="0" collapsed="false">
      <c r="A1993" s="42"/>
      <c r="B1993" s="42"/>
      <c r="C1993" s="42"/>
      <c r="D1993" s="42"/>
      <c r="E1993" s="42"/>
      <c r="F1993" s="51" t="n">
        <f aca="false">IF(OR(C1993="",D1993="",E1993="",E1993=0),0,C1993*D1993/E1993)</f>
        <v>0</v>
      </c>
      <c r="G1993" s="42"/>
      <c r="H1993" s="49" t="n">
        <f aca="true">IF(OR($A1993="",_xlfn.MINIFS($B$3:$B$5000,$A$3:$A$5000,$A1993,$B$3:$B$5000,"&gt;"&amp;$B1993)=0),NOW(),_xlfn.MINIFS($B$3:$B$5000,$A$3:$A$5000,$A1993,$B$3:$B$5000,"&gt;"&amp;$B1993))</f>
        <v>46279.5987643771</v>
      </c>
    </row>
    <row r="1994" customFormat="false" ht="15" hidden="false" customHeight="true" outlineLevel="0" collapsed="false">
      <c r="A1994" s="42"/>
      <c r="B1994" s="42"/>
      <c r="C1994" s="42"/>
      <c r="D1994" s="42"/>
      <c r="E1994" s="42"/>
      <c r="F1994" s="51" t="n">
        <f aca="false">IF(OR(C1994="",D1994="",E1994="",E1994=0),0,C1994*D1994/E1994)</f>
        <v>0</v>
      </c>
      <c r="G1994" s="42"/>
      <c r="H1994" s="49" t="n">
        <f aca="true">IF(OR($A1994="",_xlfn.MINIFS($B$3:$B$5000,$A$3:$A$5000,$A1994,$B$3:$B$5000,"&gt;"&amp;$B1994)=0),NOW(),_xlfn.MINIFS($B$3:$B$5000,$A$3:$A$5000,$A1994,$B$3:$B$5000,"&gt;"&amp;$B1994))</f>
        <v>46279.5987643772</v>
      </c>
    </row>
    <row r="1995" customFormat="false" ht="15" hidden="false" customHeight="true" outlineLevel="0" collapsed="false">
      <c r="A1995" s="42"/>
      <c r="B1995" s="42"/>
      <c r="C1995" s="42"/>
      <c r="D1995" s="42"/>
      <c r="E1995" s="42"/>
      <c r="F1995" s="51" t="n">
        <f aca="false">IF(OR(C1995="",D1995="",E1995="",E1995=0),0,C1995*D1995/E1995)</f>
        <v>0</v>
      </c>
      <c r="G1995" s="42"/>
      <c r="H1995" s="49" t="n">
        <f aca="true">IF(OR($A1995="",_xlfn.MINIFS($B$3:$B$5000,$A$3:$A$5000,$A1995,$B$3:$B$5000,"&gt;"&amp;$B1995)=0),NOW(),_xlfn.MINIFS($B$3:$B$5000,$A$3:$A$5000,$A1995,$B$3:$B$5000,"&gt;"&amp;$B1995))</f>
        <v>46279.5987643772</v>
      </c>
    </row>
    <row r="1996" customFormat="false" ht="15" hidden="false" customHeight="true" outlineLevel="0" collapsed="false">
      <c r="A1996" s="42"/>
      <c r="B1996" s="42"/>
      <c r="C1996" s="42"/>
      <c r="D1996" s="42"/>
      <c r="E1996" s="42"/>
      <c r="F1996" s="51" t="n">
        <f aca="false">IF(OR(C1996="",D1996="",E1996="",E1996=0),0,C1996*D1996/E1996)</f>
        <v>0</v>
      </c>
      <c r="G1996" s="42"/>
      <c r="H1996" s="49" t="n">
        <f aca="true">IF(OR($A1996="",_xlfn.MINIFS($B$3:$B$5000,$A$3:$A$5000,$A1996,$B$3:$B$5000,"&gt;"&amp;$B1996)=0),NOW(),_xlfn.MINIFS($B$3:$B$5000,$A$3:$A$5000,$A1996,$B$3:$B$5000,"&gt;"&amp;$B1996))</f>
        <v>46279.5987643772</v>
      </c>
    </row>
    <row r="1997" customFormat="false" ht="15" hidden="false" customHeight="true" outlineLevel="0" collapsed="false">
      <c r="A1997" s="42"/>
      <c r="B1997" s="42"/>
      <c r="C1997" s="42"/>
      <c r="D1997" s="42"/>
      <c r="E1997" s="42"/>
      <c r="F1997" s="51" t="n">
        <f aca="false">IF(OR(C1997="",D1997="",E1997="",E1997=0),0,C1997*D1997/E1997)</f>
        <v>0</v>
      </c>
      <c r="G1997" s="42"/>
      <c r="H1997" s="49" t="n">
        <f aca="true">IF(OR($A1997="",_xlfn.MINIFS($B$3:$B$5000,$A$3:$A$5000,$A1997,$B$3:$B$5000,"&gt;"&amp;$B1997)=0),NOW(),_xlfn.MINIFS($B$3:$B$5000,$A$3:$A$5000,$A1997,$B$3:$B$5000,"&gt;"&amp;$B1997))</f>
        <v>46279.5987643773</v>
      </c>
    </row>
    <row r="1998" customFormat="false" ht="15" hidden="false" customHeight="true" outlineLevel="0" collapsed="false">
      <c r="A1998" s="42"/>
      <c r="B1998" s="42"/>
      <c r="C1998" s="42"/>
      <c r="D1998" s="42"/>
      <c r="E1998" s="42"/>
      <c r="F1998" s="51" t="n">
        <f aca="false">IF(OR(C1998="",D1998="",E1998="",E1998=0),0,C1998*D1998/E1998)</f>
        <v>0</v>
      </c>
      <c r="G1998" s="42"/>
      <c r="H1998" s="49" t="n">
        <f aca="true">IF(OR($A1998="",_xlfn.MINIFS($B$3:$B$5000,$A$3:$A$5000,$A1998,$B$3:$B$5000,"&gt;"&amp;$B1998)=0),NOW(),_xlfn.MINIFS($B$3:$B$5000,$A$3:$A$5000,$A1998,$B$3:$B$5000,"&gt;"&amp;$B1998))</f>
        <v>46279.5987643774</v>
      </c>
    </row>
    <row r="1999" customFormat="false" ht="15" hidden="false" customHeight="true" outlineLevel="0" collapsed="false">
      <c r="A1999" s="42"/>
      <c r="B1999" s="42"/>
      <c r="C1999" s="42"/>
      <c r="D1999" s="42"/>
      <c r="E1999" s="42"/>
      <c r="F1999" s="51" t="n">
        <f aca="false">IF(OR(C1999="",D1999="",E1999="",E1999=0),0,C1999*D1999/E1999)</f>
        <v>0</v>
      </c>
      <c r="G1999" s="42"/>
      <c r="H1999" s="49" t="n">
        <f aca="true">IF(OR($A1999="",_xlfn.MINIFS($B$3:$B$5000,$A$3:$A$5000,$A1999,$B$3:$B$5000,"&gt;"&amp;$B1999)=0),NOW(),_xlfn.MINIFS($B$3:$B$5000,$A$3:$A$5000,$A1999,$B$3:$B$5000,"&gt;"&amp;$B1999))</f>
        <v>46279.5987643774</v>
      </c>
    </row>
    <row r="2000" customFormat="false" ht="15" hidden="false" customHeight="true" outlineLevel="0" collapsed="false">
      <c r="A2000" s="42"/>
      <c r="B2000" s="42"/>
      <c r="C2000" s="42"/>
      <c r="D2000" s="42"/>
      <c r="E2000" s="42"/>
      <c r="F2000" s="51" t="n">
        <f aca="false">IF(OR(C2000="",D2000="",E2000="",E2000=0),0,C2000*D2000/E2000)</f>
        <v>0</v>
      </c>
      <c r="G2000" s="42"/>
      <c r="H2000" s="49" t="n">
        <f aca="true">IF(OR($A2000="",_xlfn.MINIFS($B$3:$B$5000,$A$3:$A$5000,$A2000,$B$3:$B$5000,"&gt;"&amp;$B2000)=0),NOW(),_xlfn.MINIFS($B$3:$B$5000,$A$3:$A$5000,$A2000,$B$3:$B$5000,"&gt;"&amp;$B2000))</f>
        <v>46279.5987643775</v>
      </c>
    </row>
    <row r="2001" customFormat="false" ht="15" hidden="false" customHeight="true" outlineLevel="0" collapsed="false">
      <c r="A2001" s="42"/>
      <c r="B2001" s="42"/>
      <c r="C2001" s="42"/>
      <c r="D2001" s="42"/>
      <c r="E2001" s="42"/>
      <c r="F2001" s="51" t="n">
        <f aca="false">IF(OR(C2001="",D2001="",E2001="",E2001=0),0,C2001*D2001/E2001)</f>
        <v>0</v>
      </c>
      <c r="G2001" s="42"/>
      <c r="H2001" s="49" t="n">
        <f aca="true">IF(OR($A2001="",_xlfn.MINIFS($B$3:$B$5000,$A$3:$A$5000,$A2001,$B$3:$B$5000,"&gt;"&amp;$B2001)=0),NOW(),_xlfn.MINIFS($B$3:$B$5000,$A$3:$A$5000,$A2001,$B$3:$B$5000,"&gt;"&amp;$B2001))</f>
        <v>46279.5987643775</v>
      </c>
    </row>
    <row r="2002" customFormat="false" ht="15" hidden="false" customHeight="true" outlineLevel="0" collapsed="false">
      <c r="A2002" s="42"/>
      <c r="B2002" s="42"/>
      <c r="C2002" s="42"/>
      <c r="D2002" s="42"/>
      <c r="E2002" s="42"/>
      <c r="F2002" s="51" t="n">
        <f aca="false">IF(OR(C2002="",D2002="",E2002="",E2002=0),0,C2002*D2002/E2002)</f>
        <v>0</v>
      </c>
      <c r="G2002" s="42"/>
      <c r="H2002" s="49" t="n">
        <f aca="true">IF(OR($A2002="",_xlfn.MINIFS($B$3:$B$5000,$A$3:$A$5000,$A2002,$B$3:$B$5000,"&gt;"&amp;$B2002)=0),NOW(),_xlfn.MINIFS($B$3:$B$5000,$A$3:$A$5000,$A2002,$B$3:$B$5000,"&gt;"&amp;$B2002))</f>
        <v>46279.5987643776</v>
      </c>
    </row>
    <row r="2003" customFormat="false" ht="15" hidden="false" customHeight="true" outlineLevel="0" collapsed="false">
      <c r="A2003" s="42"/>
      <c r="B2003" s="42"/>
      <c r="C2003" s="42"/>
      <c r="D2003" s="42"/>
      <c r="E2003" s="42"/>
      <c r="F2003" s="51" t="n">
        <f aca="false">IF(OR(C2003="",D2003="",E2003="",E2003=0),0,C2003*D2003/E2003)</f>
        <v>0</v>
      </c>
      <c r="G2003" s="42"/>
      <c r="H2003" s="49" t="n">
        <f aca="true">IF(OR($A2003="",_xlfn.MINIFS($B$3:$B$5000,$A$3:$A$5000,$A2003,$B$3:$B$5000,"&gt;"&amp;$B2003)=0),NOW(),_xlfn.MINIFS($B$3:$B$5000,$A$3:$A$5000,$A2003,$B$3:$B$5000,"&gt;"&amp;$B2003))</f>
        <v>46279.5987643776</v>
      </c>
    </row>
    <row r="2004" customFormat="false" ht="15" hidden="false" customHeight="true" outlineLevel="0" collapsed="false">
      <c r="A2004" s="42"/>
      <c r="B2004" s="42"/>
      <c r="C2004" s="42"/>
      <c r="D2004" s="42"/>
      <c r="E2004" s="42"/>
      <c r="F2004" s="51" t="n">
        <f aca="false">IF(OR(C2004="",D2004="",E2004="",E2004=0),0,C2004*D2004/E2004)</f>
        <v>0</v>
      </c>
      <c r="G2004" s="42"/>
      <c r="H2004" s="49" t="n">
        <f aca="true">IF(OR($A2004="",_xlfn.MINIFS($B$3:$B$5000,$A$3:$A$5000,$A2004,$B$3:$B$5000,"&gt;"&amp;$B2004)=0),NOW(),_xlfn.MINIFS($B$3:$B$5000,$A$3:$A$5000,$A2004,$B$3:$B$5000,"&gt;"&amp;$B2004))</f>
        <v>46279.5987643776</v>
      </c>
    </row>
    <row r="2005" customFormat="false" ht="15" hidden="false" customHeight="true" outlineLevel="0" collapsed="false">
      <c r="A2005" s="42"/>
      <c r="B2005" s="42"/>
      <c r="C2005" s="42"/>
      <c r="D2005" s="42"/>
      <c r="E2005" s="42"/>
      <c r="F2005" s="51" t="n">
        <f aca="false">IF(OR(C2005="",D2005="",E2005="",E2005=0),0,C2005*D2005/E2005)</f>
        <v>0</v>
      </c>
      <c r="G2005" s="42"/>
      <c r="H2005" s="49" t="n">
        <f aca="true">IF(OR($A2005="",_xlfn.MINIFS($B$3:$B$5000,$A$3:$A$5000,$A2005,$B$3:$B$5000,"&gt;"&amp;$B2005)=0),NOW(),_xlfn.MINIFS($B$3:$B$5000,$A$3:$A$5000,$A2005,$B$3:$B$5000,"&gt;"&amp;$B2005))</f>
        <v>46279.5987643777</v>
      </c>
    </row>
    <row r="2006" customFormat="false" ht="15" hidden="false" customHeight="true" outlineLevel="0" collapsed="false">
      <c r="A2006" s="42"/>
      <c r="B2006" s="42"/>
      <c r="C2006" s="42"/>
      <c r="D2006" s="42"/>
      <c r="E2006" s="42"/>
      <c r="F2006" s="51" t="n">
        <f aca="false">IF(OR(C2006="",D2006="",E2006="",E2006=0),0,C2006*D2006/E2006)</f>
        <v>0</v>
      </c>
      <c r="G2006" s="42"/>
      <c r="H2006" s="49" t="n">
        <f aca="true">IF(OR($A2006="",_xlfn.MINIFS($B$3:$B$5000,$A$3:$A$5000,$A2006,$B$3:$B$5000,"&gt;"&amp;$B2006)=0),NOW(),_xlfn.MINIFS($B$3:$B$5000,$A$3:$A$5000,$A2006,$B$3:$B$5000,"&gt;"&amp;$B2006))</f>
        <v>46279.5987643778</v>
      </c>
    </row>
    <row r="2007" customFormat="false" ht="15" hidden="false" customHeight="true" outlineLevel="0" collapsed="false">
      <c r="A2007" s="42"/>
      <c r="B2007" s="42"/>
      <c r="C2007" s="42"/>
      <c r="D2007" s="42"/>
      <c r="E2007" s="42"/>
      <c r="F2007" s="51" t="n">
        <f aca="false">IF(OR(C2007="",D2007="",E2007="",E2007=0),0,C2007*D2007/E2007)</f>
        <v>0</v>
      </c>
      <c r="G2007" s="42"/>
      <c r="H2007" s="49" t="n">
        <f aca="true">IF(OR($A2007="",_xlfn.MINIFS($B$3:$B$5000,$A$3:$A$5000,$A2007,$B$3:$B$5000,"&gt;"&amp;$B2007)=0),NOW(),_xlfn.MINIFS($B$3:$B$5000,$A$3:$A$5000,$A2007,$B$3:$B$5000,"&gt;"&amp;$B2007))</f>
        <v>46279.5987643778</v>
      </c>
    </row>
    <row r="2008" customFormat="false" ht="15" hidden="false" customHeight="true" outlineLevel="0" collapsed="false">
      <c r="A2008" s="42"/>
      <c r="B2008" s="42"/>
      <c r="C2008" s="42"/>
      <c r="D2008" s="42"/>
      <c r="E2008" s="42"/>
      <c r="F2008" s="51" t="n">
        <f aca="false">IF(OR(C2008="",D2008="",E2008="",E2008=0),0,C2008*D2008/E2008)</f>
        <v>0</v>
      </c>
      <c r="G2008" s="42"/>
      <c r="H2008" s="49" t="n">
        <f aca="true">IF(OR($A2008="",_xlfn.MINIFS($B$3:$B$5000,$A$3:$A$5000,$A2008,$B$3:$B$5000,"&gt;"&amp;$B2008)=0),NOW(),_xlfn.MINIFS($B$3:$B$5000,$A$3:$A$5000,$A2008,$B$3:$B$5000,"&gt;"&amp;$B2008))</f>
        <v>46279.5987643779</v>
      </c>
    </row>
    <row r="2009" customFormat="false" ht="15" hidden="false" customHeight="true" outlineLevel="0" collapsed="false">
      <c r="A2009" s="42"/>
      <c r="B2009" s="42"/>
      <c r="C2009" s="42"/>
      <c r="D2009" s="42"/>
      <c r="E2009" s="42"/>
      <c r="F2009" s="51" t="n">
        <f aca="false">IF(OR(C2009="",D2009="",E2009="",E2009=0),0,C2009*D2009/E2009)</f>
        <v>0</v>
      </c>
      <c r="G2009" s="42"/>
      <c r="H2009" s="49" t="n">
        <f aca="true">IF(OR($A2009="",_xlfn.MINIFS($B$3:$B$5000,$A$3:$A$5000,$A2009,$B$3:$B$5000,"&gt;"&amp;$B2009)=0),NOW(),_xlfn.MINIFS($B$3:$B$5000,$A$3:$A$5000,$A2009,$B$3:$B$5000,"&gt;"&amp;$B2009))</f>
        <v>46279.5987643779</v>
      </c>
    </row>
    <row r="2010" customFormat="false" ht="15" hidden="false" customHeight="true" outlineLevel="0" collapsed="false">
      <c r="A2010" s="42"/>
      <c r="B2010" s="42"/>
      <c r="C2010" s="42"/>
      <c r="D2010" s="42"/>
      <c r="E2010" s="42"/>
      <c r="F2010" s="51" t="n">
        <f aca="false">IF(OR(C2010="",D2010="",E2010="",E2010=0),0,C2010*D2010/E2010)</f>
        <v>0</v>
      </c>
      <c r="G2010" s="42"/>
      <c r="H2010" s="49" t="n">
        <f aca="true">IF(OR($A2010="",_xlfn.MINIFS($B$3:$B$5000,$A$3:$A$5000,$A2010,$B$3:$B$5000,"&gt;"&amp;$B2010)=0),NOW(),_xlfn.MINIFS($B$3:$B$5000,$A$3:$A$5000,$A2010,$B$3:$B$5000,"&gt;"&amp;$B2010))</f>
        <v>46279.5987643779</v>
      </c>
    </row>
    <row r="2011" customFormat="false" ht="15" hidden="false" customHeight="true" outlineLevel="0" collapsed="false">
      <c r="A2011" s="42"/>
      <c r="B2011" s="42"/>
      <c r="C2011" s="42"/>
      <c r="D2011" s="42"/>
      <c r="E2011" s="42"/>
      <c r="F2011" s="51" t="n">
        <f aca="false">IF(OR(C2011="",D2011="",E2011="",E2011=0),0,C2011*D2011/E2011)</f>
        <v>0</v>
      </c>
      <c r="G2011" s="42"/>
      <c r="H2011" s="49" t="n">
        <f aca="true">IF(OR($A2011="",_xlfn.MINIFS($B$3:$B$5000,$A$3:$A$5000,$A2011,$B$3:$B$5000,"&gt;"&amp;$B2011)=0),NOW(),_xlfn.MINIFS($B$3:$B$5000,$A$3:$A$5000,$A2011,$B$3:$B$5000,"&gt;"&amp;$B2011))</f>
        <v>46279.598764378</v>
      </c>
    </row>
    <row r="2012" customFormat="false" ht="15" hidden="false" customHeight="true" outlineLevel="0" collapsed="false">
      <c r="A2012" s="42"/>
      <c r="B2012" s="42"/>
      <c r="C2012" s="42"/>
      <c r="D2012" s="42"/>
      <c r="E2012" s="42"/>
      <c r="F2012" s="51" t="n">
        <f aca="false">IF(OR(C2012="",D2012="",E2012="",E2012=0),0,C2012*D2012/E2012)</f>
        <v>0</v>
      </c>
      <c r="G2012" s="42"/>
      <c r="H2012" s="49" t="n">
        <f aca="true">IF(OR($A2012="",_xlfn.MINIFS($B$3:$B$5000,$A$3:$A$5000,$A2012,$B$3:$B$5000,"&gt;"&amp;$B2012)=0),NOW(),_xlfn.MINIFS($B$3:$B$5000,$A$3:$A$5000,$A2012,$B$3:$B$5000,"&gt;"&amp;$B2012))</f>
        <v>46279.598764378</v>
      </c>
    </row>
    <row r="2013" customFormat="false" ht="15" hidden="false" customHeight="true" outlineLevel="0" collapsed="false">
      <c r="A2013" s="42"/>
      <c r="B2013" s="42"/>
      <c r="C2013" s="42"/>
      <c r="D2013" s="42"/>
      <c r="E2013" s="42"/>
      <c r="F2013" s="51" t="n">
        <f aca="false">IF(OR(C2013="",D2013="",E2013="",E2013=0),0,C2013*D2013/E2013)</f>
        <v>0</v>
      </c>
      <c r="G2013" s="42"/>
      <c r="H2013" s="49" t="n">
        <f aca="true">IF(OR($A2013="",_xlfn.MINIFS($B$3:$B$5000,$A$3:$A$5000,$A2013,$B$3:$B$5000,"&gt;"&amp;$B2013)=0),NOW(),_xlfn.MINIFS($B$3:$B$5000,$A$3:$A$5000,$A2013,$B$3:$B$5000,"&gt;"&amp;$B2013))</f>
        <v>46279.5987643781</v>
      </c>
    </row>
    <row r="2014" customFormat="false" ht="15" hidden="false" customHeight="true" outlineLevel="0" collapsed="false">
      <c r="A2014" s="42"/>
      <c r="B2014" s="42"/>
      <c r="C2014" s="42"/>
      <c r="D2014" s="42"/>
      <c r="E2014" s="42"/>
      <c r="F2014" s="51" t="n">
        <f aca="false">IF(OR(C2014="",D2014="",E2014="",E2014=0),0,C2014*D2014/E2014)</f>
        <v>0</v>
      </c>
      <c r="G2014" s="42"/>
      <c r="H2014" s="49" t="n">
        <f aca="true">IF(OR($A2014="",_xlfn.MINIFS($B$3:$B$5000,$A$3:$A$5000,$A2014,$B$3:$B$5000,"&gt;"&amp;$B2014)=0),NOW(),_xlfn.MINIFS($B$3:$B$5000,$A$3:$A$5000,$A2014,$B$3:$B$5000,"&gt;"&amp;$B2014))</f>
        <v>46279.5987643782</v>
      </c>
    </row>
    <row r="2015" customFormat="false" ht="15" hidden="false" customHeight="true" outlineLevel="0" collapsed="false">
      <c r="A2015" s="42"/>
      <c r="B2015" s="42"/>
      <c r="C2015" s="42"/>
      <c r="D2015" s="42"/>
      <c r="E2015" s="42"/>
      <c r="F2015" s="51" t="n">
        <f aca="false">IF(OR(C2015="",D2015="",E2015="",E2015=0),0,C2015*D2015/E2015)</f>
        <v>0</v>
      </c>
      <c r="G2015" s="42"/>
      <c r="H2015" s="49" t="n">
        <f aca="true">IF(OR($A2015="",_xlfn.MINIFS($B$3:$B$5000,$A$3:$A$5000,$A2015,$B$3:$B$5000,"&gt;"&amp;$B2015)=0),NOW(),_xlfn.MINIFS($B$3:$B$5000,$A$3:$A$5000,$A2015,$B$3:$B$5000,"&gt;"&amp;$B2015))</f>
        <v>46279.5987643782</v>
      </c>
    </row>
    <row r="2016" customFormat="false" ht="15" hidden="false" customHeight="true" outlineLevel="0" collapsed="false">
      <c r="A2016" s="42"/>
      <c r="B2016" s="42"/>
      <c r="C2016" s="42"/>
      <c r="D2016" s="42"/>
      <c r="E2016" s="42"/>
      <c r="F2016" s="51" t="n">
        <f aca="false">IF(OR(C2016="",D2016="",E2016="",E2016=0),0,C2016*D2016/E2016)</f>
        <v>0</v>
      </c>
      <c r="G2016" s="42"/>
      <c r="H2016" s="49" t="n">
        <f aca="true">IF(OR($A2016="",_xlfn.MINIFS($B$3:$B$5000,$A$3:$A$5000,$A2016,$B$3:$B$5000,"&gt;"&amp;$B2016)=0),NOW(),_xlfn.MINIFS($B$3:$B$5000,$A$3:$A$5000,$A2016,$B$3:$B$5000,"&gt;"&amp;$B2016))</f>
        <v>46279.5987643782</v>
      </c>
    </row>
    <row r="2017" customFormat="false" ht="15" hidden="false" customHeight="true" outlineLevel="0" collapsed="false">
      <c r="A2017" s="42"/>
      <c r="B2017" s="42"/>
      <c r="C2017" s="42"/>
      <c r="D2017" s="42"/>
      <c r="E2017" s="42"/>
      <c r="F2017" s="51" t="n">
        <f aca="false">IF(OR(C2017="",D2017="",E2017="",E2017=0),0,C2017*D2017/E2017)</f>
        <v>0</v>
      </c>
      <c r="G2017" s="42"/>
      <c r="H2017" s="49" t="n">
        <f aca="true">IF(OR($A2017="",_xlfn.MINIFS($B$3:$B$5000,$A$3:$A$5000,$A2017,$B$3:$B$5000,"&gt;"&amp;$B2017)=0),NOW(),_xlfn.MINIFS($B$3:$B$5000,$A$3:$A$5000,$A2017,$B$3:$B$5000,"&gt;"&amp;$B2017))</f>
        <v>46279.5987643783</v>
      </c>
    </row>
    <row r="2018" customFormat="false" ht="15" hidden="false" customHeight="true" outlineLevel="0" collapsed="false">
      <c r="A2018" s="42"/>
      <c r="B2018" s="42"/>
      <c r="C2018" s="42"/>
      <c r="D2018" s="42"/>
      <c r="E2018" s="42"/>
      <c r="F2018" s="51" t="n">
        <f aca="false">IF(OR(C2018="",D2018="",E2018="",E2018=0),0,C2018*D2018/E2018)</f>
        <v>0</v>
      </c>
      <c r="G2018" s="42"/>
      <c r="H2018" s="49" t="n">
        <f aca="true">IF(OR($A2018="",_xlfn.MINIFS($B$3:$B$5000,$A$3:$A$5000,$A2018,$B$3:$B$5000,"&gt;"&amp;$B2018)=0),NOW(),_xlfn.MINIFS($B$3:$B$5000,$A$3:$A$5000,$A2018,$B$3:$B$5000,"&gt;"&amp;$B2018))</f>
        <v>46279.5987643783</v>
      </c>
    </row>
    <row r="2019" customFormat="false" ht="15" hidden="false" customHeight="true" outlineLevel="0" collapsed="false">
      <c r="A2019" s="42"/>
      <c r="B2019" s="42"/>
      <c r="C2019" s="42"/>
      <c r="D2019" s="42"/>
      <c r="E2019" s="42"/>
      <c r="F2019" s="51" t="n">
        <f aca="false">IF(OR(C2019="",D2019="",E2019="",E2019=0),0,C2019*D2019/E2019)</f>
        <v>0</v>
      </c>
      <c r="G2019" s="42"/>
      <c r="H2019" s="49" t="n">
        <f aca="true">IF(OR($A2019="",_xlfn.MINIFS($B$3:$B$5000,$A$3:$A$5000,$A2019,$B$3:$B$5000,"&gt;"&amp;$B2019)=0),NOW(),_xlfn.MINIFS($B$3:$B$5000,$A$3:$A$5000,$A2019,$B$3:$B$5000,"&gt;"&amp;$B2019))</f>
        <v>46279.5987643784</v>
      </c>
    </row>
    <row r="2020" customFormat="false" ht="15" hidden="false" customHeight="true" outlineLevel="0" collapsed="false">
      <c r="A2020" s="42"/>
      <c r="B2020" s="42"/>
      <c r="C2020" s="42"/>
      <c r="D2020" s="42"/>
      <c r="E2020" s="42"/>
      <c r="F2020" s="51" t="n">
        <f aca="false">IF(OR(C2020="",D2020="",E2020="",E2020=0),0,C2020*D2020/E2020)</f>
        <v>0</v>
      </c>
      <c r="G2020" s="42"/>
      <c r="H2020" s="49" t="n">
        <f aca="true">IF(OR($A2020="",_xlfn.MINIFS($B$3:$B$5000,$A$3:$A$5000,$A2020,$B$3:$B$5000,"&gt;"&amp;$B2020)=0),NOW(),_xlfn.MINIFS($B$3:$B$5000,$A$3:$A$5000,$A2020,$B$3:$B$5000,"&gt;"&amp;$B2020))</f>
        <v>46279.5987643784</v>
      </c>
    </row>
    <row r="2021" customFormat="false" ht="15" hidden="false" customHeight="true" outlineLevel="0" collapsed="false">
      <c r="A2021" s="42"/>
      <c r="B2021" s="42"/>
      <c r="C2021" s="42"/>
      <c r="D2021" s="42"/>
      <c r="E2021" s="42"/>
      <c r="F2021" s="51" t="n">
        <f aca="false">IF(OR(C2021="",D2021="",E2021="",E2021=0),0,C2021*D2021/E2021)</f>
        <v>0</v>
      </c>
      <c r="G2021" s="42"/>
      <c r="H2021" s="49" t="n">
        <f aca="true">IF(OR($A2021="",_xlfn.MINIFS($B$3:$B$5000,$A$3:$A$5000,$A2021,$B$3:$B$5000,"&gt;"&amp;$B2021)=0),NOW(),_xlfn.MINIFS($B$3:$B$5000,$A$3:$A$5000,$A2021,$B$3:$B$5000,"&gt;"&amp;$B2021))</f>
        <v>46279.5987643785</v>
      </c>
    </row>
    <row r="2022" customFormat="false" ht="15" hidden="false" customHeight="true" outlineLevel="0" collapsed="false">
      <c r="A2022" s="42"/>
      <c r="B2022" s="42"/>
      <c r="C2022" s="42"/>
      <c r="D2022" s="42"/>
      <c r="E2022" s="42"/>
      <c r="F2022" s="51" t="n">
        <f aca="false">IF(OR(C2022="",D2022="",E2022="",E2022=0),0,C2022*D2022/E2022)</f>
        <v>0</v>
      </c>
      <c r="G2022" s="42"/>
      <c r="H2022" s="49" t="n">
        <f aca="true">IF(OR($A2022="",_xlfn.MINIFS($B$3:$B$5000,$A$3:$A$5000,$A2022,$B$3:$B$5000,"&gt;"&amp;$B2022)=0),NOW(),_xlfn.MINIFS($B$3:$B$5000,$A$3:$A$5000,$A2022,$B$3:$B$5000,"&gt;"&amp;$B2022))</f>
        <v>46279.5987643785</v>
      </c>
    </row>
    <row r="2023" customFormat="false" ht="15" hidden="false" customHeight="true" outlineLevel="0" collapsed="false">
      <c r="A2023" s="42"/>
      <c r="B2023" s="42"/>
      <c r="C2023" s="42"/>
      <c r="D2023" s="42"/>
      <c r="E2023" s="42"/>
      <c r="F2023" s="51" t="n">
        <f aca="false">IF(OR(C2023="",D2023="",E2023="",E2023=0),0,C2023*D2023/E2023)</f>
        <v>0</v>
      </c>
      <c r="G2023" s="42"/>
      <c r="H2023" s="49" t="n">
        <f aca="true">IF(OR($A2023="",_xlfn.MINIFS($B$3:$B$5000,$A$3:$A$5000,$A2023,$B$3:$B$5000,"&gt;"&amp;$B2023)=0),NOW(),_xlfn.MINIFS($B$3:$B$5000,$A$3:$A$5000,$A2023,$B$3:$B$5000,"&gt;"&amp;$B2023))</f>
        <v>46279.5987643786</v>
      </c>
    </row>
    <row r="2024" customFormat="false" ht="15" hidden="false" customHeight="true" outlineLevel="0" collapsed="false">
      <c r="A2024" s="42"/>
      <c r="B2024" s="42"/>
      <c r="C2024" s="42"/>
      <c r="D2024" s="42"/>
      <c r="E2024" s="42"/>
      <c r="F2024" s="51" t="n">
        <f aca="false">IF(OR(C2024="",D2024="",E2024="",E2024=0),0,C2024*D2024/E2024)</f>
        <v>0</v>
      </c>
      <c r="G2024" s="42"/>
      <c r="H2024" s="49" t="n">
        <f aca="true">IF(OR($A2024="",_xlfn.MINIFS($B$3:$B$5000,$A$3:$A$5000,$A2024,$B$3:$B$5000,"&gt;"&amp;$B2024)=0),NOW(),_xlfn.MINIFS($B$3:$B$5000,$A$3:$A$5000,$A2024,$B$3:$B$5000,"&gt;"&amp;$B2024))</f>
        <v>46279.5987643786</v>
      </c>
    </row>
    <row r="2025" customFormat="false" ht="15" hidden="false" customHeight="true" outlineLevel="0" collapsed="false">
      <c r="A2025" s="42"/>
      <c r="B2025" s="42"/>
      <c r="C2025" s="42"/>
      <c r="D2025" s="42"/>
      <c r="E2025" s="42"/>
      <c r="F2025" s="51" t="n">
        <f aca="false">IF(OR(C2025="",D2025="",E2025="",E2025=0),0,C2025*D2025/E2025)</f>
        <v>0</v>
      </c>
      <c r="G2025" s="42"/>
      <c r="H2025" s="49" t="n">
        <f aca="true">IF(OR($A2025="",_xlfn.MINIFS($B$3:$B$5000,$A$3:$A$5000,$A2025,$B$3:$B$5000,"&gt;"&amp;$B2025)=0),NOW(),_xlfn.MINIFS($B$3:$B$5000,$A$3:$A$5000,$A2025,$B$3:$B$5000,"&gt;"&amp;$B2025))</f>
        <v>46279.5987643787</v>
      </c>
    </row>
    <row r="2026" customFormat="false" ht="15" hidden="false" customHeight="true" outlineLevel="0" collapsed="false">
      <c r="A2026" s="42"/>
      <c r="B2026" s="42"/>
      <c r="C2026" s="42"/>
      <c r="D2026" s="42"/>
      <c r="E2026" s="42"/>
      <c r="F2026" s="51" t="n">
        <f aca="false">IF(OR(C2026="",D2026="",E2026="",E2026=0),0,C2026*D2026/E2026)</f>
        <v>0</v>
      </c>
      <c r="G2026" s="42"/>
      <c r="H2026" s="49" t="n">
        <f aca="true">IF(OR($A2026="",_xlfn.MINIFS($B$3:$B$5000,$A$3:$A$5000,$A2026,$B$3:$B$5000,"&gt;"&amp;$B2026)=0),NOW(),_xlfn.MINIFS($B$3:$B$5000,$A$3:$A$5000,$A2026,$B$3:$B$5000,"&gt;"&amp;$B2026))</f>
        <v>46279.5987643787</v>
      </c>
    </row>
    <row r="2027" customFormat="false" ht="15" hidden="false" customHeight="true" outlineLevel="0" collapsed="false">
      <c r="A2027" s="42"/>
      <c r="B2027" s="42"/>
      <c r="C2027" s="42"/>
      <c r="D2027" s="42"/>
      <c r="E2027" s="42"/>
      <c r="F2027" s="51" t="n">
        <f aca="false">IF(OR(C2027="",D2027="",E2027="",E2027=0),0,C2027*D2027/E2027)</f>
        <v>0</v>
      </c>
      <c r="G2027" s="42"/>
      <c r="H2027" s="49" t="n">
        <f aca="true">IF(OR($A2027="",_xlfn.MINIFS($B$3:$B$5000,$A$3:$A$5000,$A2027,$B$3:$B$5000,"&gt;"&amp;$B2027)=0),NOW(),_xlfn.MINIFS($B$3:$B$5000,$A$3:$A$5000,$A2027,$B$3:$B$5000,"&gt;"&amp;$B2027))</f>
        <v>46279.5987643788</v>
      </c>
    </row>
    <row r="2028" customFormat="false" ht="15" hidden="false" customHeight="true" outlineLevel="0" collapsed="false">
      <c r="A2028" s="42"/>
      <c r="B2028" s="42"/>
      <c r="C2028" s="42"/>
      <c r="D2028" s="42"/>
      <c r="E2028" s="42"/>
      <c r="F2028" s="51" t="n">
        <f aca="false">IF(OR(C2028="",D2028="",E2028="",E2028=0),0,C2028*D2028/E2028)</f>
        <v>0</v>
      </c>
      <c r="G2028" s="42"/>
      <c r="H2028" s="49" t="n">
        <f aca="true">IF(OR($A2028="",_xlfn.MINIFS($B$3:$B$5000,$A$3:$A$5000,$A2028,$B$3:$B$5000,"&gt;"&amp;$B2028)=0),NOW(),_xlfn.MINIFS($B$3:$B$5000,$A$3:$A$5000,$A2028,$B$3:$B$5000,"&gt;"&amp;$B2028))</f>
        <v>46279.5987643788</v>
      </c>
    </row>
    <row r="2029" customFormat="false" ht="15" hidden="false" customHeight="true" outlineLevel="0" collapsed="false">
      <c r="A2029" s="42"/>
      <c r="B2029" s="42"/>
      <c r="C2029" s="42"/>
      <c r="D2029" s="42"/>
      <c r="E2029" s="42"/>
      <c r="F2029" s="51" t="n">
        <f aca="false">IF(OR(C2029="",D2029="",E2029="",E2029=0),0,C2029*D2029/E2029)</f>
        <v>0</v>
      </c>
      <c r="G2029" s="42"/>
      <c r="H2029" s="49" t="n">
        <f aca="true">IF(OR($A2029="",_xlfn.MINIFS($B$3:$B$5000,$A$3:$A$5000,$A2029,$B$3:$B$5000,"&gt;"&amp;$B2029)=0),NOW(),_xlfn.MINIFS($B$3:$B$5000,$A$3:$A$5000,$A2029,$B$3:$B$5000,"&gt;"&amp;$B2029))</f>
        <v>46279.5987643789</v>
      </c>
    </row>
    <row r="2030" customFormat="false" ht="15" hidden="false" customHeight="true" outlineLevel="0" collapsed="false">
      <c r="A2030" s="42"/>
      <c r="B2030" s="42"/>
      <c r="C2030" s="42"/>
      <c r="D2030" s="42"/>
      <c r="E2030" s="42"/>
      <c r="F2030" s="51" t="n">
        <f aca="false">IF(OR(C2030="",D2030="",E2030="",E2030=0),0,C2030*D2030/E2030)</f>
        <v>0</v>
      </c>
      <c r="G2030" s="42"/>
      <c r="H2030" s="49" t="n">
        <f aca="true">IF(OR($A2030="",_xlfn.MINIFS($B$3:$B$5000,$A$3:$A$5000,$A2030,$B$3:$B$5000,"&gt;"&amp;$B2030)=0),NOW(),_xlfn.MINIFS($B$3:$B$5000,$A$3:$A$5000,$A2030,$B$3:$B$5000,"&gt;"&amp;$B2030))</f>
        <v>46279.5987643789</v>
      </c>
    </row>
    <row r="2031" customFormat="false" ht="15" hidden="false" customHeight="true" outlineLevel="0" collapsed="false">
      <c r="A2031" s="42"/>
      <c r="B2031" s="42"/>
      <c r="C2031" s="42"/>
      <c r="D2031" s="42"/>
      <c r="E2031" s="42"/>
      <c r="F2031" s="51" t="n">
        <f aca="false">IF(OR(C2031="",D2031="",E2031="",E2031=0),0,C2031*D2031/E2031)</f>
        <v>0</v>
      </c>
      <c r="G2031" s="42"/>
      <c r="H2031" s="49" t="n">
        <f aca="true">IF(OR($A2031="",_xlfn.MINIFS($B$3:$B$5000,$A$3:$A$5000,$A2031,$B$3:$B$5000,"&gt;"&amp;$B2031)=0),NOW(),_xlfn.MINIFS($B$3:$B$5000,$A$3:$A$5000,$A2031,$B$3:$B$5000,"&gt;"&amp;$B2031))</f>
        <v>46279.598764379</v>
      </c>
    </row>
    <row r="2032" customFormat="false" ht="15" hidden="false" customHeight="true" outlineLevel="0" collapsed="false">
      <c r="A2032" s="42"/>
      <c r="B2032" s="42"/>
      <c r="C2032" s="42"/>
      <c r="D2032" s="42"/>
      <c r="E2032" s="42"/>
      <c r="F2032" s="51" t="n">
        <f aca="false">IF(OR(C2032="",D2032="",E2032="",E2032=0),0,C2032*D2032/E2032)</f>
        <v>0</v>
      </c>
      <c r="G2032" s="42"/>
      <c r="H2032" s="49" t="n">
        <f aca="true">IF(OR($A2032="",_xlfn.MINIFS($B$3:$B$5000,$A$3:$A$5000,$A2032,$B$3:$B$5000,"&gt;"&amp;$B2032)=0),NOW(),_xlfn.MINIFS($B$3:$B$5000,$A$3:$A$5000,$A2032,$B$3:$B$5000,"&gt;"&amp;$B2032))</f>
        <v>46279.598764379</v>
      </c>
    </row>
    <row r="2033" customFormat="false" ht="15" hidden="false" customHeight="true" outlineLevel="0" collapsed="false">
      <c r="A2033" s="42"/>
      <c r="B2033" s="42"/>
      <c r="C2033" s="42"/>
      <c r="D2033" s="42"/>
      <c r="E2033" s="42"/>
      <c r="F2033" s="51" t="n">
        <f aca="false">IF(OR(C2033="",D2033="",E2033="",E2033=0),0,C2033*D2033/E2033)</f>
        <v>0</v>
      </c>
      <c r="G2033" s="42"/>
      <c r="H2033" s="49" t="n">
        <f aca="true">IF(OR($A2033="",_xlfn.MINIFS($B$3:$B$5000,$A$3:$A$5000,$A2033,$B$3:$B$5000,"&gt;"&amp;$B2033)=0),NOW(),_xlfn.MINIFS($B$3:$B$5000,$A$3:$A$5000,$A2033,$B$3:$B$5000,"&gt;"&amp;$B2033))</f>
        <v>46279.5987643791</v>
      </c>
    </row>
    <row r="2034" customFormat="false" ht="15" hidden="false" customHeight="true" outlineLevel="0" collapsed="false">
      <c r="A2034" s="42"/>
      <c r="B2034" s="42"/>
      <c r="C2034" s="42"/>
      <c r="D2034" s="42"/>
      <c r="E2034" s="42"/>
      <c r="F2034" s="51" t="n">
        <f aca="false">IF(OR(C2034="",D2034="",E2034="",E2034=0),0,C2034*D2034/E2034)</f>
        <v>0</v>
      </c>
      <c r="G2034" s="42"/>
      <c r="H2034" s="49" t="n">
        <f aca="true">IF(OR($A2034="",_xlfn.MINIFS($B$3:$B$5000,$A$3:$A$5000,$A2034,$B$3:$B$5000,"&gt;"&amp;$B2034)=0),NOW(),_xlfn.MINIFS($B$3:$B$5000,$A$3:$A$5000,$A2034,$B$3:$B$5000,"&gt;"&amp;$B2034))</f>
        <v>46279.5987643791</v>
      </c>
    </row>
    <row r="2035" customFormat="false" ht="15" hidden="false" customHeight="true" outlineLevel="0" collapsed="false">
      <c r="A2035" s="42"/>
      <c r="B2035" s="42"/>
      <c r="C2035" s="42"/>
      <c r="D2035" s="42"/>
      <c r="E2035" s="42"/>
      <c r="F2035" s="51" t="n">
        <f aca="false">IF(OR(C2035="",D2035="",E2035="",E2035=0),0,C2035*D2035/E2035)</f>
        <v>0</v>
      </c>
      <c r="G2035" s="42"/>
      <c r="H2035" s="49" t="n">
        <f aca="true">IF(OR($A2035="",_xlfn.MINIFS($B$3:$B$5000,$A$3:$A$5000,$A2035,$B$3:$B$5000,"&gt;"&amp;$B2035)=0),NOW(),_xlfn.MINIFS($B$3:$B$5000,$A$3:$A$5000,$A2035,$B$3:$B$5000,"&gt;"&amp;$B2035))</f>
        <v>46279.5987643792</v>
      </c>
    </row>
    <row r="2036" customFormat="false" ht="15" hidden="false" customHeight="true" outlineLevel="0" collapsed="false">
      <c r="A2036" s="42"/>
      <c r="B2036" s="42"/>
      <c r="C2036" s="42"/>
      <c r="D2036" s="42"/>
      <c r="E2036" s="42"/>
      <c r="F2036" s="51" t="n">
        <f aca="false">IF(OR(C2036="",D2036="",E2036="",E2036=0),0,C2036*D2036/E2036)</f>
        <v>0</v>
      </c>
      <c r="G2036" s="42"/>
      <c r="H2036" s="49" t="n">
        <f aca="true">IF(OR($A2036="",_xlfn.MINIFS($B$3:$B$5000,$A$3:$A$5000,$A2036,$B$3:$B$5000,"&gt;"&amp;$B2036)=0),NOW(),_xlfn.MINIFS($B$3:$B$5000,$A$3:$A$5000,$A2036,$B$3:$B$5000,"&gt;"&amp;$B2036))</f>
        <v>46279.5987643792</v>
      </c>
    </row>
    <row r="2037" customFormat="false" ht="15" hidden="false" customHeight="true" outlineLevel="0" collapsed="false">
      <c r="A2037" s="42"/>
      <c r="B2037" s="42"/>
      <c r="C2037" s="42"/>
      <c r="D2037" s="42"/>
      <c r="E2037" s="42"/>
      <c r="F2037" s="51" t="n">
        <f aca="false">IF(OR(C2037="",D2037="",E2037="",E2037=0),0,C2037*D2037/E2037)</f>
        <v>0</v>
      </c>
      <c r="G2037" s="42"/>
      <c r="H2037" s="49" t="n">
        <f aca="true">IF(OR($A2037="",_xlfn.MINIFS($B$3:$B$5000,$A$3:$A$5000,$A2037,$B$3:$B$5000,"&gt;"&amp;$B2037)=0),NOW(),_xlfn.MINIFS($B$3:$B$5000,$A$3:$A$5000,$A2037,$B$3:$B$5000,"&gt;"&amp;$B2037))</f>
        <v>46279.5987643793</v>
      </c>
    </row>
    <row r="2038" customFormat="false" ht="15" hidden="false" customHeight="true" outlineLevel="0" collapsed="false">
      <c r="A2038" s="42"/>
      <c r="B2038" s="42"/>
      <c r="C2038" s="42"/>
      <c r="D2038" s="42"/>
      <c r="E2038" s="42"/>
      <c r="F2038" s="51" t="n">
        <f aca="false">IF(OR(C2038="",D2038="",E2038="",E2038=0),0,C2038*D2038/E2038)</f>
        <v>0</v>
      </c>
      <c r="G2038" s="42"/>
      <c r="H2038" s="49" t="n">
        <f aca="true">IF(OR($A2038="",_xlfn.MINIFS($B$3:$B$5000,$A$3:$A$5000,$A2038,$B$3:$B$5000,"&gt;"&amp;$B2038)=0),NOW(),_xlfn.MINIFS($B$3:$B$5000,$A$3:$A$5000,$A2038,$B$3:$B$5000,"&gt;"&amp;$B2038))</f>
        <v>46279.5987643794</v>
      </c>
    </row>
    <row r="2039" customFormat="false" ht="15" hidden="false" customHeight="true" outlineLevel="0" collapsed="false">
      <c r="A2039" s="42"/>
      <c r="B2039" s="42"/>
      <c r="C2039" s="42"/>
      <c r="D2039" s="42"/>
      <c r="E2039" s="42"/>
      <c r="F2039" s="51" t="n">
        <f aca="false">IF(OR(C2039="",D2039="",E2039="",E2039=0),0,C2039*D2039/E2039)</f>
        <v>0</v>
      </c>
      <c r="G2039" s="42"/>
      <c r="H2039" s="49" t="n">
        <f aca="true">IF(OR($A2039="",_xlfn.MINIFS($B$3:$B$5000,$A$3:$A$5000,$A2039,$B$3:$B$5000,"&gt;"&amp;$B2039)=0),NOW(),_xlfn.MINIFS($B$3:$B$5000,$A$3:$A$5000,$A2039,$B$3:$B$5000,"&gt;"&amp;$B2039))</f>
        <v>46279.5987643794</v>
      </c>
    </row>
    <row r="2040" customFormat="false" ht="15" hidden="false" customHeight="true" outlineLevel="0" collapsed="false">
      <c r="A2040" s="42"/>
      <c r="B2040" s="42"/>
      <c r="C2040" s="42"/>
      <c r="D2040" s="42"/>
      <c r="E2040" s="42"/>
      <c r="F2040" s="51" t="n">
        <f aca="false">IF(OR(C2040="",D2040="",E2040="",E2040=0),0,C2040*D2040/E2040)</f>
        <v>0</v>
      </c>
      <c r="G2040" s="42"/>
      <c r="H2040" s="49" t="n">
        <f aca="true">IF(OR($A2040="",_xlfn.MINIFS($B$3:$B$5000,$A$3:$A$5000,$A2040,$B$3:$B$5000,"&gt;"&amp;$B2040)=0),NOW(),_xlfn.MINIFS($B$3:$B$5000,$A$3:$A$5000,$A2040,$B$3:$B$5000,"&gt;"&amp;$B2040))</f>
        <v>46279.5987643794</v>
      </c>
    </row>
    <row r="2041" customFormat="false" ht="15" hidden="false" customHeight="true" outlineLevel="0" collapsed="false">
      <c r="A2041" s="42"/>
      <c r="B2041" s="42"/>
      <c r="C2041" s="42"/>
      <c r="D2041" s="42"/>
      <c r="E2041" s="42"/>
      <c r="F2041" s="51" t="n">
        <f aca="false">IF(OR(C2041="",D2041="",E2041="",E2041=0),0,C2041*D2041/E2041)</f>
        <v>0</v>
      </c>
      <c r="G2041" s="42"/>
      <c r="H2041" s="49" t="n">
        <f aca="true">IF(OR($A2041="",_xlfn.MINIFS($B$3:$B$5000,$A$3:$A$5000,$A2041,$B$3:$B$5000,"&gt;"&amp;$B2041)=0),NOW(),_xlfn.MINIFS($B$3:$B$5000,$A$3:$A$5000,$A2041,$B$3:$B$5000,"&gt;"&amp;$B2041))</f>
        <v>46279.5987643795</v>
      </c>
    </row>
    <row r="2042" customFormat="false" ht="15" hidden="false" customHeight="true" outlineLevel="0" collapsed="false">
      <c r="A2042" s="42"/>
      <c r="B2042" s="42"/>
      <c r="C2042" s="42"/>
      <c r="D2042" s="42"/>
      <c r="E2042" s="42"/>
      <c r="F2042" s="51" t="n">
        <f aca="false">IF(OR(C2042="",D2042="",E2042="",E2042=0),0,C2042*D2042/E2042)</f>
        <v>0</v>
      </c>
      <c r="G2042" s="42"/>
      <c r="H2042" s="49" t="n">
        <f aca="true">IF(OR($A2042="",_xlfn.MINIFS($B$3:$B$5000,$A$3:$A$5000,$A2042,$B$3:$B$5000,"&gt;"&amp;$B2042)=0),NOW(),_xlfn.MINIFS($B$3:$B$5000,$A$3:$A$5000,$A2042,$B$3:$B$5000,"&gt;"&amp;$B2042))</f>
        <v>46279.5987643795</v>
      </c>
    </row>
    <row r="2043" customFormat="false" ht="15" hidden="false" customHeight="true" outlineLevel="0" collapsed="false">
      <c r="A2043" s="42"/>
      <c r="B2043" s="42"/>
      <c r="C2043" s="42"/>
      <c r="D2043" s="42"/>
      <c r="E2043" s="42"/>
      <c r="F2043" s="51" t="n">
        <f aca="false">IF(OR(C2043="",D2043="",E2043="",E2043=0),0,C2043*D2043/E2043)</f>
        <v>0</v>
      </c>
      <c r="G2043" s="42"/>
      <c r="H2043" s="49" t="n">
        <f aca="true">IF(OR($A2043="",_xlfn.MINIFS($B$3:$B$5000,$A$3:$A$5000,$A2043,$B$3:$B$5000,"&gt;"&amp;$B2043)=0),NOW(),_xlfn.MINIFS($B$3:$B$5000,$A$3:$A$5000,$A2043,$B$3:$B$5000,"&gt;"&amp;$B2043))</f>
        <v>46279.5987643796</v>
      </c>
    </row>
    <row r="2044" customFormat="false" ht="15" hidden="false" customHeight="true" outlineLevel="0" collapsed="false">
      <c r="A2044" s="42"/>
      <c r="B2044" s="42"/>
      <c r="C2044" s="42"/>
      <c r="D2044" s="42"/>
      <c r="E2044" s="42"/>
      <c r="F2044" s="51" t="n">
        <f aca="false">IF(OR(C2044="",D2044="",E2044="",E2044=0),0,C2044*D2044/E2044)</f>
        <v>0</v>
      </c>
      <c r="G2044" s="42"/>
      <c r="H2044" s="49" t="n">
        <f aca="true">IF(OR($A2044="",_xlfn.MINIFS($B$3:$B$5000,$A$3:$A$5000,$A2044,$B$3:$B$5000,"&gt;"&amp;$B2044)=0),NOW(),_xlfn.MINIFS($B$3:$B$5000,$A$3:$A$5000,$A2044,$B$3:$B$5000,"&gt;"&amp;$B2044))</f>
        <v>46279.5987643797</v>
      </c>
    </row>
    <row r="2045" customFormat="false" ht="15" hidden="false" customHeight="true" outlineLevel="0" collapsed="false">
      <c r="A2045" s="42"/>
      <c r="B2045" s="42"/>
      <c r="C2045" s="42"/>
      <c r="D2045" s="42"/>
      <c r="E2045" s="42"/>
      <c r="F2045" s="51" t="n">
        <f aca="false">IF(OR(C2045="",D2045="",E2045="",E2045=0),0,C2045*D2045/E2045)</f>
        <v>0</v>
      </c>
      <c r="G2045" s="42"/>
      <c r="H2045" s="49" t="n">
        <f aca="true">IF(OR($A2045="",_xlfn.MINIFS($B$3:$B$5000,$A$3:$A$5000,$A2045,$B$3:$B$5000,"&gt;"&amp;$B2045)=0),NOW(),_xlfn.MINIFS($B$3:$B$5000,$A$3:$A$5000,$A2045,$B$3:$B$5000,"&gt;"&amp;$B2045))</f>
        <v>46279.5987643797</v>
      </c>
    </row>
    <row r="2046" customFormat="false" ht="15" hidden="false" customHeight="true" outlineLevel="0" collapsed="false">
      <c r="A2046" s="42"/>
      <c r="B2046" s="42"/>
      <c r="C2046" s="42"/>
      <c r="D2046" s="42"/>
      <c r="E2046" s="42"/>
      <c r="F2046" s="51" t="n">
        <f aca="false">IF(OR(C2046="",D2046="",E2046="",E2046=0),0,C2046*D2046/E2046)</f>
        <v>0</v>
      </c>
      <c r="G2046" s="42"/>
      <c r="H2046" s="49" t="n">
        <f aca="true">IF(OR($A2046="",_xlfn.MINIFS($B$3:$B$5000,$A$3:$A$5000,$A2046,$B$3:$B$5000,"&gt;"&amp;$B2046)=0),NOW(),_xlfn.MINIFS($B$3:$B$5000,$A$3:$A$5000,$A2046,$B$3:$B$5000,"&gt;"&amp;$B2046))</f>
        <v>46279.5987643797</v>
      </c>
    </row>
    <row r="2047" customFormat="false" ht="15" hidden="false" customHeight="true" outlineLevel="0" collapsed="false">
      <c r="A2047" s="42"/>
      <c r="B2047" s="42"/>
      <c r="C2047" s="42"/>
      <c r="D2047" s="42"/>
      <c r="E2047" s="42"/>
      <c r="F2047" s="51" t="n">
        <f aca="false">IF(OR(C2047="",D2047="",E2047="",E2047=0),0,C2047*D2047/E2047)</f>
        <v>0</v>
      </c>
      <c r="G2047" s="42"/>
      <c r="H2047" s="49" t="n">
        <f aca="true">IF(OR($A2047="",_xlfn.MINIFS($B$3:$B$5000,$A$3:$A$5000,$A2047,$B$3:$B$5000,"&gt;"&amp;$B2047)=0),NOW(),_xlfn.MINIFS($B$3:$B$5000,$A$3:$A$5000,$A2047,$B$3:$B$5000,"&gt;"&amp;$B2047))</f>
        <v>46279.5987643798</v>
      </c>
    </row>
    <row r="2048" customFormat="false" ht="15" hidden="false" customHeight="true" outlineLevel="0" collapsed="false">
      <c r="A2048" s="42"/>
      <c r="B2048" s="42"/>
      <c r="C2048" s="42"/>
      <c r="D2048" s="42"/>
      <c r="E2048" s="42"/>
      <c r="F2048" s="51" t="n">
        <f aca="false">IF(OR(C2048="",D2048="",E2048="",E2048=0),0,C2048*D2048/E2048)</f>
        <v>0</v>
      </c>
      <c r="G2048" s="42"/>
      <c r="H2048" s="49" t="n">
        <f aca="true">IF(OR($A2048="",_xlfn.MINIFS($B$3:$B$5000,$A$3:$A$5000,$A2048,$B$3:$B$5000,"&gt;"&amp;$B2048)=0),NOW(),_xlfn.MINIFS($B$3:$B$5000,$A$3:$A$5000,$A2048,$B$3:$B$5000,"&gt;"&amp;$B2048))</f>
        <v>46279.5987643798</v>
      </c>
    </row>
    <row r="2049" customFormat="false" ht="15" hidden="false" customHeight="true" outlineLevel="0" collapsed="false">
      <c r="A2049" s="42"/>
      <c r="B2049" s="42"/>
      <c r="C2049" s="42"/>
      <c r="D2049" s="42"/>
      <c r="E2049" s="42"/>
      <c r="F2049" s="51" t="n">
        <f aca="false">IF(OR(C2049="",D2049="",E2049="",E2049=0),0,C2049*D2049/E2049)</f>
        <v>0</v>
      </c>
      <c r="G2049" s="42"/>
      <c r="H2049" s="49" t="n">
        <f aca="true">IF(OR($A2049="",_xlfn.MINIFS($B$3:$B$5000,$A$3:$A$5000,$A2049,$B$3:$B$5000,"&gt;"&amp;$B2049)=0),NOW(),_xlfn.MINIFS($B$3:$B$5000,$A$3:$A$5000,$A2049,$B$3:$B$5000,"&gt;"&amp;$B2049))</f>
        <v>46279.5987643799</v>
      </c>
    </row>
    <row r="2050" customFormat="false" ht="15" hidden="false" customHeight="true" outlineLevel="0" collapsed="false">
      <c r="A2050" s="42"/>
      <c r="B2050" s="42"/>
      <c r="C2050" s="42"/>
      <c r="D2050" s="42"/>
      <c r="E2050" s="42"/>
      <c r="F2050" s="51" t="n">
        <f aca="false">IF(OR(C2050="",D2050="",E2050="",E2050=0),0,C2050*D2050/E2050)</f>
        <v>0</v>
      </c>
      <c r="G2050" s="42"/>
      <c r="H2050" s="49" t="n">
        <f aca="true">IF(OR($A2050="",_xlfn.MINIFS($B$3:$B$5000,$A$3:$A$5000,$A2050,$B$3:$B$5000,"&gt;"&amp;$B2050)=0),NOW(),_xlfn.MINIFS($B$3:$B$5000,$A$3:$A$5000,$A2050,$B$3:$B$5000,"&gt;"&amp;$B2050))</f>
        <v>46279.5987643799</v>
      </c>
    </row>
    <row r="2051" customFormat="false" ht="15" hidden="false" customHeight="true" outlineLevel="0" collapsed="false">
      <c r="A2051" s="42"/>
      <c r="B2051" s="42"/>
      <c r="C2051" s="42"/>
      <c r="D2051" s="42"/>
      <c r="E2051" s="42"/>
      <c r="F2051" s="51" t="n">
        <f aca="false">IF(OR(C2051="",D2051="",E2051="",E2051=0),0,C2051*D2051/E2051)</f>
        <v>0</v>
      </c>
      <c r="G2051" s="42"/>
      <c r="H2051" s="49" t="n">
        <f aca="true">IF(OR($A2051="",_xlfn.MINIFS($B$3:$B$5000,$A$3:$A$5000,$A2051,$B$3:$B$5000,"&gt;"&amp;$B2051)=0),NOW(),_xlfn.MINIFS($B$3:$B$5000,$A$3:$A$5000,$A2051,$B$3:$B$5000,"&gt;"&amp;$B2051))</f>
        <v>46279.59876438</v>
      </c>
    </row>
    <row r="2052" customFormat="false" ht="15" hidden="false" customHeight="true" outlineLevel="0" collapsed="false">
      <c r="A2052" s="42"/>
      <c r="B2052" s="42"/>
      <c r="C2052" s="42"/>
      <c r="D2052" s="42"/>
      <c r="E2052" s="42"/>
      <c r="F2052" s="51" t="n">
        <f aca="false">IF(OR(C2052="",D2052="",E2052="",E2052=0),0,C2052*D2052/E2052)</f>
        <v>0</v>
      </c>
      <c r="G2052" s="42"/>
      <c r="H2052" s="49" t="n">
        <f aca="true">IF(OR($A2052="",_xlfn.MINIFS($B$3:$B$5000,$A$3:$A$5000,$A2052,$B$3:$B$5000,"&gt;"&amp;$B2052)=0),NOW(),_xlfn.MINIFS($B$3:$B$5000,$A$3:$A$5000,$A2052,$B$3:$B$5000,"&gt;"&amp;$B2052))</f>
        <v>46279.5987643802</v>
      </c>
    </row>
    <row r="2053" customFormat="false" ht="15" hidden="false" customHeight="true" outlineLevel="0" collapsed="false">
      <c r="A2053" s="42"/>
      <c r="B2053" s="42"/>
      <c r="C2053" s="42"/>
      <c r="D2053" s="42"/>
      <c r="E2053" s="42"/>
      <c r="F2053" s="51" t="n">
        <f aca="false">IF(OR(C2053="",D2053="",E2053="",E2053=0),0,C2053*D2053/E2053)</f>
        <v>0</v>
      </c>
      <c r="G2053" s="42"/>
      <c r="H2053" s="49" t="n">
        <f aca="true">IF(OR($A2053="",_xlfn.MINIFS($B$3:$B$5000,$A$3:$A$5000,$A2053,$B$3:$B$5000,"&gt;"&amp;$B2053)=0),NOW(),_xlfn.MINIFS($B$3:$B$5000,$A$3:$A$5000,$A2053,$B$3:$B$5000,"&gt;"&amp;$B2053))</f>
        <v>46279.5987643802</v>
      </c>
    </row>
    <row r="2054" customFormat="false" ht="15" hidden="false" customHeight="true" outlineLevel="0" collapsed="false">
      <c r="A2054" s="42"/>
      <c r="B2054" s="42"/>
      <c r="C2054" s="42"/>
      <c r="D2054" s="42"/>
      <c r="E2054" s="42"/>
      <c r="F2054" s="51" t="n">
        <f aca="false">IF(OR(C2054="",D2054="",E2054="",E2054=0),0,C2054*D2054/E2054)</f>
        <v>0</v>
      </c>
      <c r="G2054" s="42"/>
      <c r="H2054" s="49" t="n">
        <f aca="true">IF(OR($A2054="",_xlfn.MINIFS($B$3:$B$5000,$A$3:$A$5000,$A2054,$B$3:$B$5000,"&gt;"&amp;$B2054)=0),NOW(),_xlfn.MINIFS($B$3:$B$5000,$A$3:$A$5000,$A2054,$B$3:$B$5000,"&gt;"&amp;$B2054))</f>
        <v>46279.5987643803</v>
      </c>
    </row>
    <row r="2055" customFormat="false" ht="15" hidden="false" customHeight="true" outlineLevel="0" collapsed="false">
      <c r="A2055" s="42"/>
      <c r="B2055" s="42"/>
      <c r="C2055" s="42"/>
      <c r="D2055" s="42"/>
      <c r="E2055" s="42"/>
      <c r="F2055" s="51" t="n">
        <f aca="false">IF(OR(C2055="",D2055="",E2055="",E2055=0),0,C2055*D2055/E2055)</f>
        <v>0</v>
      </c>
      <c r="G2055" s="42"/>
      <c r="H2055" s="49" t="n">
        <f aca="true">IF(OR($A2055="",_xlfn.MINIFS($B$3:$B$5000,$A$3:$A$5000,$A2055,$B$3:$B$5000,"&gt;"&amp;$B2055)=0),NOW(),_xlfn.MINIFS($B$3:$B$5000,$A$3:$A$5000,$A2055,$B$3:$B$5000,"&gt;"&amp;$B2055))</f>
        <v>46279.5987643803</v>
      </c>
    </row>
    <row r="2056" customFormat="false" ht="15" hidden="false" customHeight="true" outlineLevel="0" collapsed="false">
      <c r="A2056" s="42"/>
      <c r="B2056" s="42"/>
      <c r="C2056" s="42"/>
      <c r="D2056" s="42"/>
      <c r="E2056" s="42"/>
      <c r="F2056" s="51" t="n">
        <f aca="false">IF(OR(C2056="",D2056="",E2056="",E2056=0),0,C2056*D2056/E2056)</f>
        <v>0</v>
      </c>
      <c r="G2056" s="42"/>
      <c r="H2056" s="49" t="n">
        <f aca="true">IF(OR($A2056="",_xlfn.MINIFS($B$3:$B$5000,$A$3:$A$5000,$A2056,$B$3:$B$5000,"&gt;"&amp;$B2056)=0),NOW(),_xlfn.MINIFS($B$3:$B$5000,$A$3:$A$5000,$A2056,$B$3:$B$5000,"&gt;"&amp;$B2056))</f>
        <v>46279.5987643804</v>
      </c>
    </row>
    <row r="2057" customFormat="false" ht="15" hidden="false" customHeight="true" outlineLevel="0" collapsed="false">
      <c r="A2057" s="42"/>
      <c r="B2057" s="42"/>
      <c r="C2057" s="42"/>
      <c r="D2057" s="42"/>
      <c r="E2057" s="42"/>
      <c r="F2057" s="51" t="n">
        <f aca="false">IF(OR(C2057="",D2057="",E2057="",E2057=0),0,C2057*D2057/E2057)</f>
        <v>0</v>
      </c>
      <c r="G2057" s="42"/>
      <c r="H2057" s="49" t="n">
        <f aca="true">IF(OR($A2057="",_xlfn.MINIFS($B$3:$B$5000,$A$3:$A$5000,$A2057,$B$3:$B$5000,"&gt;"&amp;$B2057)=0),NOW(),_xlfn.MINIFS($B$3:$B$5000,$A$3:$A$5000,$A2057,$B$3:$B$5000,"&gt;"&amp;$B2057))</f>
        <v>46279.5987643805</v>
      </c>
    </row>
    <row r="2058" customFormat="false" ht="15" hidden="false" customHeight="true" outlineLevel="0" collapsed="false">
      <c r="A2058" s="42"/>
      <c r="B2058" s="42"/>
      <c r="C2058" s="42"/>
      <c r="D2058" s="42"/>
      <c r="E2058" s="42"/>
      <c r="F2058" s="51" t="n">
        <f aca="false">IF(OR(C2058="",D2058="",E2058="",E2058=0),0,C2058*D2058/E2058)</f>
        <v>0</v>
      </c>
      <c r="G2058" s="42"/>
      <c r="H2058" s="49" t="n">
        <f aca="true">IF(OR($A2058="",_xlfn.MINIFS($B$3:$B$5000,$A$3:$A$5000,$A2058,$B$3:$B$5000,"&gt;"&amp;$B2058)=0),NOW(),_xlfn.MINIFS($B$3:$B$5000,$A$3:$A$5000,$A2058,$B$3:$B$5000,"&gt;"&amp;$B2058))</f>
        <v>46279.5987643805</v>
      </c>
    </row>
    <row r="2059" customFormat="false" ht="15" hidden="false" customHeight="true" outlineLevel="0" collapsed="false">
      <c r="A2059" s="42"/>
      <c r="B2059" s="42"/>
      <c r="C2059" s="42"/>
      <c r="D2059" s="42"/>
      <c r="E2059" s="42"/>
      <c r="F2059" s="51" t="n">
        <f aca="false">IF(OR(C2059="",D2059="",E2059="",E2059=0),0,C2059*D2059/E2059)</f>
        <v>0</v>
      </c>
      <c r="G2059" s="42"/>
      <c r="H2059" s="49" t="n">
        <f aca="true">IF(OR($A2059="",_xlfn.MINIFS($B$3:$B$5000,$A$3:$A$5000,$A2059,$B$3:$B$5000,"&gt;"&amp;$B2059)=0),NOW(),_xlfn.MINIFS($B$3:$B$5000,$A$3:$A$5000,$A2059,$B$3:$B$5000,"&gt;"&amp;$B2059))</f>
        <v>46279.5987643806</v>
      </c>
    </row>
    <row r="2060" customFormat="false" ht="15" hidden="false" customHeight="true" outlineLevel="0" collapsed="false">
      <c r="A2060" s="42"/>
      <c r="B2060" s="42"/>
      <c r="C2060" s="42"/>
      <c r="D2060" s="42"/>
      <c r="E2060" s="42"/>
      <c r="F2060" s="51" t="n">
        <f aca="false">IF(OR(C2060="",D2060="",E2060="",E2060=0),0,C2060*D2060/E2060)</f>
        <v>0</v>
      </c>
      <c r="G2060" s="42"/>
      <c r="H2060" s="49" t="n">
        <f aca="true">IF(OR($A2060="",_xlfn.MINIFS($B$3:$B$5000,$A$3:$A$5000,$A2060,$B$3:$B$5000,"&gt;"&amp;$B2060)=0),NOW(),_xlfn.MINIFS($B$3:$B$5000,$A$3:$A$5000,$A2060,$B$3:$B$5000,"&gt;"&amp;$B2060))</f>
        <v>46279.5987643806</v>
      </c>
    </row>
    <row r="2061" customFormat="false" ht="15" hidden="false" customHeight="true" outlineLevel="0" collapsed="false">
      <c r="A2061" s="42"/>
      <c r="B2061" s="42"/>
      <c r="C2061" s="42"/>
      <c r="D2061" s="42"/>
      <c r="E2061" s="42"/>
      <c r="F2061" s="51" t="n">
        <f aca="false">IF(OR(C2061="",D2061="",E2061="",E2061=0),0,C2061*D2061/E2061)</f>
        <v>0</v>
      </c>
      <c r="G2061" s="42"/>
      <c r="H2061" s="49" t="n">
        <f aca="true">IF(OR($A2061="",_xlfn.MINIFS($B$3:$B$5000,$A$3:$A$5000,$A2061,$B$3:$B$5000,"&gt;"&amp;$B2061)=0),NOW(),_xlfn.MINIFS($B$3:$B$5000,$A$3:$A$5000,$A2061,$B$3:$B$5000,"&gt;"&amp;$B2061))</f>
        <v>46279.5987643807</v>
      </c>
    </row>
    <row r="2062" customFormat="false" ht="15" hidden="false" customHeight="true" outlineLevel="0" collapsed="false">
      <c r="A2062" s="42"/>
      <c r="B2062" s="42"/>
      <c r="C2062" s="42"/>
      <c r="D2062" s="42"/>
      <c r="E2062" s="42"/>
      <c r="F2062" s="51" t="n">
        <f aca="false">IF(OR(C2062="",D2062="",E2062="",E2062=0),0,C2062*D2062/E2062)</f>
        <v>0</v>
      </c>
      <c r="G2062" s="42"/>
      <c r="H2062" s="49" t="n">
        <f aca="true">IF(OR($A2062="",_xlfn.MINIFS($B$3:$B$5000,$A$3:$A$5000,$A2062,$B$3:$B$5000,"&gt;"&amp;$B2062)=0),NOW(),_xlfn.MINIFS($B$3:$B$5000,$A$3:$A$5000,$A2062,$B$3:$B$5000,"&gt;"&amp;$B2062))</f>
        <v>46279.5987643807</v>
      </c>
    </row>
    <row r="2063" customFormat="false" ht="15" hidden="false" customHeight="true" outlineLevel="0" collapsed="false">
      <c r="A2063" s="42"/>
      <c r="B2063" s="42"/>
      <c r="C2063" s="42"/>
      <c r="D2063" s="42"/>
      <c r="E2063" s="42"/>
      <c r="F2063" s="51" t="n">
        <f aca="false">IF(OR(C2063="",D2063="",E2063="",E2063=0),0,C2063*D2063/E2063)</f>
        <v>0</v>
      </c>
      <c r="G2063" s="42"/>
      <c r="H2063" s="49" t="n">
        <f aca="true">IF(OR($A2063="",_xlfn.MINIFS($B$3:$B$5000,$A$3:$A$5000,$A2063,$B$3:$B$5000,"&gt;"&amp;$B2063)=0),NOW(),_xlfn.MINIFS($B$3:$B$5000,$A$3:$A$5000,$A2063,$B$3:$B$5000,"&gt;"&amp;$B2063))</f>
        <v>46279.5987643808</v>
      </c>
    </row>
    <row r="2064" customFormat="false" ht="15" hidden="false" customHeight="true" outlineLevel="0" collapsed="false">
      <c r="A2064" s="42"/>
      <c r="B2064" s="42"/>
      <c r="C2064" s="42"/>
      <c r="D2064" s="42"/>
      <c r="E2064" s="42"/>
      <c r="F2064" s="51" t="n">
        <f aca="false">IF(OR(C2064="",D2064="",E2064="",E2064=0),0,C2064*D2064/E2064)</f>
        <v>0</v>
      </c>
      <c r="G2064" s="42"/>
      <c r="H2064" s="49" t="n">
        <f aca="true">IF(OR($A2064="",_xlfn.MINIFS($B$3:$B$5000,$A$3:$A$5000,$A2064,$B$3:$B$5000,"&gt;"&amp;$B2064)=0),NOW(),_xlfn.MINIFS($B$3:$B$5000,$A$3:$A$5000,$A2064,$B$3:$B$5000,"&gt;"&amp;$B2064))</f>
        <v>46279.5987643808</v>
      </c>
    </row>
    <row r="2065" customFormat="false" ht="15" hidden="false" customHeight="true" outlineLevel="0" collapsed="false">
      <c r="A2065" s="42"/>
      <c r="B2065" s="42"/>
      <c r="C2065" s="42"/>
      <c r="D2065" s="42"/>
      <c r="E2065" s="42"/>
      <c r="F2065" s="51" t="n">
        <f aca="false">IF(OR(C2065="",D2065="",E2065="",E2065=0),0,C2065*D2065/E2065)</f>
        <v>0</v>
      </c>
      <c r="G2065" s="42"/>
      <c r="H2065" s="49" t="n">
        <f aca="true">IF(OR($A2065="",_xlfn.MINIFS($B$3:$B$5000,$A$3:$A$5000,$A2065,$B$3:$B$5000,"&gt;"&amp;$B2065)=0),NOW(),_xlfn.MINIFS($B$3:$B$5000,$A$3:$A$5000,$A2065,$B$3:$B$5000,"&gt;"&amp;$B2065))</f>
        <v>46279.5987643809</v>
      </c>
    </row>
    <row r="2066" customFormat="false" ht="15" hidden="false" customHeight="true" outlineLevel="0" collapsed="false">
      <c r="A2066" s="42"/>
      <c r="B2066" s="42"/>
      <c r="C2066" s="42"/>
      <c r="D2066" s="42"/>
      <c r="E2066" s="42"/>
      <c r="F2066" s="51" t="n">
        <f aca="false">IF(OR(C2066="",D2066="",E2066="",E2066=0),0,C2066*D2066/E2066)</f>
        <v>0</v>
      </c>
      <c r="G2066" s="42"/>
      <c r="H2066" s="49" t="n">
        <f aca="true">IF(OR($A2066="",_xlfn.MINIFS($B$3:$B$5000,$A$3:$A$5000,$A2066,$B$3:$B$5000,"&gt;"&amp;$B2066)=0),NOW(),_xlfn.MINIFS($B$3:$B$5000,$A$3:$A$5000,$A2066,$B$3:$B$5000,"&gt;"&amp;$B2066))</f>
        <v>46279.5987643809</v>
      </c>
    </row>
    <row r="2067" customFormat="false" ht="15" hidden="false" customHeight="true" outlineLevel="0" collapsed="false">
      <c r="A2067" s="42"/>
      <c r="B2067" s="42"/>
      <c r="C2067" s="42"/>
      <c r="D2067" s="42"/>
      <c r="E2067" s="42"/>
      <c r="F2067" s="51" t="n">
        <f aca="false">IF(OR(C2067="",D2067="",E2067="",E2067=0),0,C2067*D2067/E2067)</f>
        <v>0</v>
      </c>
      <c r="G2067" s="42"/>
      <c r="H2067" s="49" t="n">
        <f aca="true">IF(OR($A2067="",_xlfn.MINIFS($B$3:$B$5000,$A$3:$A$5000,$A2067,$B$3:$B$5000,"&gt;"&amp;$B2067)=0),NOW(),_xlfn.MINIFS($B$3:$B$5000,$A$3:$A$5000,$A2067,$B$3:$B$5000,"&gt;"&amp;$B2067))</f>
        <v>46279.598764381</v>
      </c>
    </row>
    <row r="2068" customFormat="false" ht="15" hidden="false" customHeight="true" outlineLevel="0" collapsed="false">
      <c r="A2068" s="42"/>
      <c r="B2068" s="42"/>
      <c r="C2068" s="42"/>
      <c r="D2068" s="42"/>
      <c r="E2068" s="42"/>
      <c r="F2068" s="51" t="n">
        <f aca="false">IF(OR(C2068="",D2068="",E2068="",E2068=0),0,C2068*D2068/E2068)</f>
        <v>0</v>
      </c>
      <c r="G2068" s="42"/>
      <c r="H2068" s="49" t="n">
        <f aca="true">IF(OR($A2068="",_xlfn.MINIFS($B$3:$B$5000,$A$3:$A$5000,$A2068,$B$3:$B$5000,"&gt;"&amp;$B2068)=0),NOW(),_xlfn.MINIFS($B$3:$B$5000,$A$3:$A$5000,$A2068,$B$3:$B$5000,"&gt;"&amp;$B2068))</f>
        <v>46279.598764381</v>
      </c>
    </row>
    <row r="2069" customFormat="false" ht="15" hidden="false" customHeight="true" outlineLevel="0" collapsed="false">
      <c r="A2069" s="42"/>
      <c r="B2069" s="42"/>
      <c r="C2069" s="42"/>
      <c r="D2069" s="42"/>
      <c r="E2069" s="42"/>
      <c r="F2069" s="51" t="n">
        <f aca="false">IF(OR(C2069="",D2069="",E2069="",E2069=0),0,C2069*D2069/E2069)</f>
        <v>0</v>
      </c>
      <c r="G2069" s="42"/>
      <c r="H2069" s="49" t="n">
        <f aca="true">IF(OR($A2069="",_xlfn.MINIFS($B$3:$B$5000,$A$3:$A$5000,$A2069,$B$3:$B$5000,"&gt;"&amp;$B2069)=0),NOW(),_xlfn.MINIFS($B$3:$B$5000,$A$3:$A$5000,$A2069,$B$3:$B$5000,"&gt;"&amp;$B2069))</f>
        <v>46279.5987643811</v>
      </c>
    </row>
    <row r="2070" customFormat="false" ht="15" hidden="false" customHeight="true" outlineLevel="0" collapsed="false">
      <c r="A2070" s="42"/>
      <c r="B2070" s="42"/>
      <c r="C2070" s="42"/>
      <c r="D2070" s="42"/>
      <c r="E2070" s="42"/>
      <c r="F2070" s="51" t="n">
        <f aca="false">IF(OR(C2070="",D2070="",E2070="",E2070=0),0,C2070*D2070/E2070)</f>
        <v>0</v>
      </c>
      <c r="G2070" s="42"/>
      <c r="H2070" s="49" t="n">
        <f aca="true">IF(OR($A2070="",_xlfn.MINIFS($B$3:$B$5000,$A$3:$A$5000,$A2070,$B$3:$B$5000,"&gt;"&amp;$B2070)=0),NOW(),_xlfn.MINIFS($B$3:$B$5000,$A$3:$A$5000,$A2070,$B$3:$B$5000,"&gt;"&amp;$B2070))</f>
        <v>46279.5987643811</v>
      </c>
    </row>
    <row r="2071" customFormat="false" ht="15" hidden="false" customHeight="true" outlineLevel="0" collapsed="false">
      <c r="A2071" s="42"/>
      <c r="B2071" s="42"/>
      <c r="C2071" s="42"/>
      <c r="D2071" s="42"/>
      <c r="E2071" s="42"/>
      <c r="F2071" s="51" t="n">
        <f aca="false">IF(OR(C2071="",D2071="",E2071="",E2071=0),0,C2071*D2071/E2071)</f>
        <v>0</v>
      </c>
      <c r="G2071" s="42"/>
      <c r="H2071" s="49" t="n">
        <f aca="true">IF(OR($A2071="",_xlfn.MINIFS($B$3:$B$5000,$A$3:$A$5000,$A2071,$B$3:$B$5000,"&gt;"&amp;$B2071)=0),NOW(),_xlfn.MINIFS($B$3:$B$5000,$A$3:$A$5000,$A2071,$B$3:$B$5000,"&gt;"&amp;$B2071))</f>
        <v>46279.5987643812</v>
      </c>
    </row>
    <row r="2072" customFormat="false" ht="15" hidden="false" customHeight="true" outlineLevel="0" collapsed="false">
      <c r="A2072" s="42"/>
      <c r="B2072" s="42"/>
      <c r="C2072" s="42"/>
      <c r="D2072" s="42"/>
      <c r="E2072" s="42"/>
      <c r="F2072" s="51" t="n">
        <f aca="false">IF(OR(C2072="",D2072="",E2072="",E2072=0),0,C2072*D2072/E2072)</f>
        <v>0</v>
      </c>
      <c r="G2072" s="42"/>
      <c r="H2072" s="49" t="n">
        <f aca="true">IF(OR($A2072="",_xlfn.MINIFS($B$3:$B$5000,$A$3:$A$5000,$A2072,$B$3:$B$5000,"&gt;"&amp;$B2072)=0),NOW(),_xlfn.MINIFS($B$3:$B$5000,$A$3:$A$5000,$A2072,$B$3:$B$5000,"&gt;"&amp;$B2072))</f>
        <v>46279.5987643812</v>
      </c>
    </row>
    <row r="2073" customFormat="false" ht="15" hidden="false" customHeight="true" outlineLevel="0" collapsed="false">
      <c r="A2073" s="42"/>
      <c r="B2073" s="42"/>
      <c r="C2073" s="42"/>
      <c r="D2073" s="42"/>
      <c r="E2073" s="42"/>
      <c r="F2073" s="51" t="n">
        <f aca="false">IF(OR(C2073="",D2073="",E2073="",E2073=0),0,C2073*D2073/E2073)</f>
        <v>0</v>
      </c>
      <c r="G2073" s="42"/>
      <c r="H2073" s="49" t="n">
        <f aca="true">IF(OR($A2073="",_xlfn.MINIFS($B$3:$B$5000,$A$3:$A$5000,$A2073,$B$3:$B$5000,"&gt;"&amp;$B2073)=0),NOW(),_xlfn.MINIFS($B$3:$B$5000,$A$3:$A$5000,$A2073,$B$3:$B$5000,"&gt;"&amp;$B2073))</f>
        <v>46279.5987643813</v>
      </c>
    </row>
    <row r="2074" customFormat="false" ht="15" hidden="false" customHeight="true" outlineLevel="0" collapsed="false">
      <c r="A2074" s="42"/>
      <c r="B2074" s="42"/>
      <c r="C2074" s="42"/>
      <c r="D2074" s="42"/>
      <c r="E2074" s="42"/>
      <c r="F2074" s="51" t="n">
        <f aca="false">IF(OR(C2074="",D2074="",E2074="",E2074=0),0,C2074*D2074/E2074)</f>
        <v>0</v>
      </c>
      <c r="G2074" s="42"/>
      <c r="H2074" s="49" t="n">
        <f aca="true">IF(OR($A2074="",_xlfn.MINIFS($B$3:$B$5000,$A$3:$A$5000,$A2074,$B$3:$B$5000,"&gt;"&amp;$B2074)=0),NOW(),_xlfn.MINIFS($B$3:$B$5000,$A$3:$A$5000,$A2074,$B$3:$B$5000,"&gt;"&amp;$B2074))</f>
        <v>46279.5987643813</v>
      </c>
    </row>
    <row r="2075" customFormat="false" ht="15" hidden="false" customHeight="true" outlineLevel="0" collapsed="false">
      <c r="A2075" s="42"/>
      <c r="B2075" s="42"/>
      <c r="C2075" s="42"/>
      <c r="D2075" s="42"/>
      <c r="E2075" s="42"/>
      <c r="F2075" s="51" t="n">
        <f aca="false">IF(OR(C2075="",D2075="",E2075="",E2075=0),0,C2075*D2075/E2075)</f>
        <v>0</v>
      </c>
      <c r="G2075" s="42"/>
      <c r="H2075" s="49" t="n">
        <f aca="true">IF(OR($A2075="",_xlfn.MINIFS($B$3:$B$5000,$A$3:$A$5000,$A2075,$B$3:$B$5000,"&gt;"&amp;$B2075)=0),NOW(),_xlfn.MINIFS($B$3:$B$5000,$A$3:$A$5000,$A2075,$B$3:$B$5000,"&gt;"&amp;$B2075))</f>
        <v>46279.5987643814</v>
      </c>
    </row>
    <row r="2076" customFormat="false" ht="15" hidden="false" customHeight="true" outlineLevel="0" collapsed="false">
      <c r="A2076" s="42"/>
      <c r="B2076" s="42"/>
      <c r="C2076" s="42"/>
      <c r="D2076" s="42"/>
      <c r="E2076" s="42"/>
      <c r="F2076" s="51" t="n">
        <f aca="false">IF(OR(C2076="",D2076="",E2076="",E2076=0),0,C2076*D2076/E2076)</f>
        <v>0</v>
      </c>
      <c r="G2076" s="42"/>
      <c r="H2076" s="49" t="n">
        <f aca="true">IF(OR($A2076="",_xlfn.MINIFS($B$3:$B$5000,$A$3:$A$5000,$A2076,$B$3:$B$5000,"&gt;"&amp;$B2076)=0),NOW(),_xlfn.MINIFS($B$3:$B$5000,$A$3:$A$5000,$A2076,$B$3:$B$5000,"&gt;"&amp;$B2076))</f>
        <v>46279.5987643814</v>
      </c>
    </row>
    <row r="2077" customFormat="false" ht="15" hidden="false" customHeight="true" outlineLevel="0" collapsed="false">
      <c r="A2077" s="42"/>
      <c r="B2077" s="42"/>
      <c r="C2077" s="42"/>
      <c r="D2077" s="42"/>
      <c r="E2077" s="42"/>
      <c r="F2077" s="51" t="n">
        <f aca="false">IF(OR(C2077="",D2077="",E2077="",E2077=0),0,C2077*D2077/E2077)</f>
        <v>0</v>
      </c>
      <c r="G2077" s="42"/>
      <c r="H2077" s="49" t="n">
        <f aca="true">IF(OR($A2077="",_xlfn.MINIFS($B$3:$B$5000,$A$3:$A$5000,$A2077,$B$3:$B$5000,"&gt;"&amp;$B2077)=0),NOW(),_xlfn.MINIFS($B$3:$B$5000,$A$3:$A$5000,$A2077,$B$3:$B$5000,"&gt;"&amp;$B2077))</f>
        <v>46279.5987643815</v>
      </c>
    </row>
    <row r="2078" customFormat="false" ht="15" hidden="false" customHeight="true" outlineLevel="0" collapsed="false">
      <c r="A2078" s="42"/>
      <c r="B2078" s="42"/>
      <c r="C2078" s="42"/>
      <c r="D2078" s="42"/>
      <c r="E2078" s="42"/>
      <c r="F2078" s="51" t="n">
        <f aca="false">IF(OR(C2078="",D2078="",E2078="",E2078=0),0,C2078*D2078/E2078)</f>
        <v>0</v>
      </c>
      <c r="G2078" s="42"/>
      <c r="H2078" s="49" t="n">
        <f aca="true">IF(OR($A2078="",_xlfn.MINIFS($B$3:$B$5000,$A$3:$A$5000,$A2078,$B$3:$B$5000,"&gt;"&amp;$B2078)=0),NOW(),_xlfn.MINIFS($B$3:$B$5000,$A$3:$A$5000,$A2078,$B$3:$B$5000,"&gt;"&amp;$B2078))</f>
        <v>46279.5987643815</v>
      </c>
    </row>
    <row r="2079" customFormat="false" ht="15" hidden="false" customHeight="true" outlineLevel="0" collapsed="false">
      <c r="A2079" s="42"/>
      <c r="B2079" s="42"/>
      <c r="C2079" s="42"/>
      <c r="D2079" s="42"/>
      <c r="E2079" s="42"/>
      <c r="F2079" s="51" t="n">
        <f aca="false">IF(OR(C2079="",D2079="",E2079="",E2079=0),0,C2079*D2079/E2079)</f>
        <v>0</v>
      </c>
      <c r="G2079" s="42"/>
      <c r="H2079" s="49" t="n">
        <f aca="true">IF(OR($A2079="",_xlfn.MINIFS($B$3:$B$5000,$A$3:$A$5000,$A2079,$B$3:$B$5000,"&gt;"&amp;$B2079)=0),NOW(),_xlfn.MINIFS($B$3:$B$5000,$A$3:$A$5000,$A2079,$B$3:$B$5000,"&gt;"&amp;$B2079))</f>
        <v>46279.5987643815</v>
      </c>
    </row>
    <row r="2080" customFormat="false" ht="15" hidden="false" customHeight="true" outlineLevel="0" collapsed="false">
      <c r="A2080" s="42"/>
      <c r="B2080" s="42"/>
      <c r="C2080" s="42"/>
      <c r="D2080" s="42"/>
      <c r="E2080" s="42"/>
      <c r="F2080" s="51" t="n">
        <f aca="false">IF(OR(C2080="",D2080="",E2080="",E2080=0),0,C2080*D2080/E2080)</f>
        <v>0</v>
      </c>
      <c r="G2080" s="42"/>
      <c r="H2080" s="49" t="n">
        <f aca="true">IF(OR($A2080="",_xlfn.MINIFS($B$3:$B$5000,$A$3:$A$5000,$A2080,$B$3:$B$5000,"&gt;"&amp;$B2080)=0),NOW(),_xlfn.MINIFS($B$3:$B$5000,$A$3:$A$5000,$A2080,$B$3:$B$5000,"&gt;"&amp;$B2080))</f>
        <v>46279.5987643816</v>
      </c>
    </row>
    <row r="2081" customFormat="false" ht="15" hidden="false" customHeight="true" outlineLevel="0" collapsed="false">
      <c r="A2081" s="42"/>
      <c r="B2081" s="42"/>
      <c r="C2081" s="42"/>
      <c r="D2081" s="42"/>
      <c r="E2081" s="42"/>
      <c r="F2081" s="51" t="n">
        <f aca="false">IF(OR(C2081="",D2081="",E2081="",E2081=0),0,C2081*D2081/E2081)</f>
        <v>0</v>
      </c>
      <c r="G2081" s="42"/>
      <c r="H2081" s="49" t="n">
        <f aca="true">IF(OR($A2081="",_xlfn.MINIFS($B$3:$B$5000,$A$3:$A$5000,$A2081,$B$3:$B$5000,"&gt;"&amp;$B2081)=0),NOW(),_xlfn.MINIFS($B$3:$B$5000,$A$3:$A$5000,$A2081,$B$3:$B$5000,"&gt;"&amp;$B2081))</f>
        <v>46279.5987643817</v>
      </c>
    </row>
    <row r="2082" customFormat="false" ht="15" hidden="false" customHeight="true" outlineLevel="0" collapsed="false">
      <c r="A2082" s="42"/>
      <c r="B2082" s="42"/>
      <c r="C2082" s="42"/>
      <c r="D2082" s="42"/>
      <c r="E2082" s="42"/>
      <c r="F2082" s="51" t="n">
        <f aca="false">IF(OR(C2082="",D2082="",E2082="",E2082=0),0,C2082*D2082/E2082)</f>
        <v>0</v>
      </c>
      <c r="G2082" s="42"/>
      <c r="H2082" s="49" t="n">
        <f aca="true">IF(OR($A2082="",_xlfn.MINIFS($B$3:$B$5000,$A$3:$A$5000,$A2082,$B$3:$B$5000,"&gt;"&amp;$B2082)=0),NOW(),_xlfn.MINIFS($B$3:$B$5000,$A$3:$A$5000,$A2082,$B$3:$B$5000,"&gt;"&amp;$B2082))</f>
        <v>46279.5987643817</v>
      </c>
    </row>
    <row r="2083" customFormat="false" ht="15" hidden="false" customHeight="true" outlineLevel="0" collapsed="false">
      <c r="A2083" s="42"/>
      <c r="B2083" s="42"/>
      <c r="C2083" s="42"/>
      <c r="D2083" s="42"/>
      <c r="E2083" s="42"/>
      <c r="F2083" s="51" t="n">
        <f aca="false">IF(OR(C2083="",D2083="",E2083="",E2083=0),0,C2083*D2083/E2083)</f>
        <v>0</v>
      </c>
      <c r="G2083" s="42"/>
      <c r="H2083" s="49" t="n">
        <f aca="true">IF(OR($A2083="",_xlfn.MINIFS($B$3:$B$5000,$A$3:$A$5000,$A2083,$B$3:$B$5000,"&gt;"&amp;$B2083)=0),NOW(),_xlfn.MINIFS($B$3:$B$5000,$A$3:$A$5000,$A2083,$B$3:$B$5000,"&gt;"&amp;$B2083))</f>
        <v>46279.5987643818</v>
      </c>
    </row>
    <row r="2084" customFormat="false" ht="15" hidden="false" customHeight="true" outlineLevel="0" collapsed="false">
      <c r="A2084" s="42"/>
      <c r="B2084" s="42"/>
      <c r="C2084" s="42"/>
      <c r="D2084" s="42"/>
      <c r="E2084" s="42"/>
      <c r="F2084" s="51" t="n">
        <f aca="false">IF(OR(C2084="",D2084="",E2084="",E2084=0),0,C2084*D2084/E2084)</f>
        <v>0</v>
      </c>
      <c r="G2084" s="42"/>
      <c r="H2084" s="49" t="n">
        <f aca="true">IF(OR($A2084="",_xlfn.MINIFS($B$3:$B$5000,$A$3:$A$5000,$A2084,$B$3:$B$5000,"&gt;"&amp;$B2084)=0),NOW(),_xlfn.MINIFS($B$3:$B$5000,$A$3:$A$5000,$A2084,$B$3:$B$5000,"&gt;"&amp;$B2084))</f>
        <v>46279.5987643818</v>
      </c>
    </row>
    <row r="2085" customFormat="false" ht="15" hidden="false" customHeight="true" outlineLevel="0" collapsed="false">
      <c r="A2085" s="42"/>
      <c r="B2085" s="42"/>
      <c r="C2085" s="42"/>
      <c r="D2085" s="42"/>
      <c r="E2085" s="42"/>
      <c r="F2085" s="51" t="n">
        <f aca="false">IF(OR(C2085="",D2085="",E2085="",E2085=0),0,C2085*D2085/E2085)</f>
        <v>0</v>
      </c>
      <c r="G2085" s="42"/>
      <c r="H2085" s="49" t="n">
        <f aca="true">IF(OR($A2085="",_xlfn.MINIFS($B$3:$B$5000,$A$3:$A$5000,$A2085,$B$3:$B$5000,"&gt;"&amp;$B2085)=0),NOW(),_xlfn.MINIFS($B$3:$B$5000,$A$3:$A$5000,$A2085,$B$3:$B$5000,"&gt;"&amp;$B2085))</f>
        <v>46279.5987643819</v>
      </c>
    </row>
    <row r="2086" customFormat="false" ht="15" hidden="false" customHeight="true" outlineLevel="0" collapsed="false">
      <c r="A2086" s="42"/>
      <c r="B2086" s="42"/>
      <c r="C2086" s="42"/>
      <c r="D2086" s="42"/>
      <c r="E2086" s="42"/>
      <c r="F2086" s="51" t="n">
        <f aca="false">IF(OR(C2086="",D2086="",E2086="",E2086=0),0,C2086*D2086/E2086)</f>
        <v>0</v>
      </c>
      <c r="G2086" s="42"/>
      <c r="H2086" s="49" t="n">
        <f aca="true">IF(OR($A2086="",_xlfn.MINIFS($B$3:$B$5000,$A$3:$A$5000,$A2086,$B$3:$B$5000,"&gt;"&amp;$B2086)=0),NOW(),_xlfn.MINIFS($B$3:$B$5000,$A$3:$A$5000,$A2086,$B$3:$B$5000,"&gt;"&amp;$B2086))</f>
        <v>46279.5987643819</v>
      </c>
    </row>
    <row r="2087" customFormat="false" ht="15" hidden="false" customHeight="true" outlineLevel="0" collapsed="false">
      <c r="A2087" s="42"/>
      <c r="B2087" s="42"/>
      <c r="C2087" s="42"/>
      <c r="D2087" s="42"/>
      <c r="E2087" s="42"/>
      <c r="F2087" s="51" t="n">
        <f aca="false">IF(OR(C2087="",D2087="",E2087="",E2087=0),0,C2087*D2087/E2087)</f>
        <v>0</v>
      </c>
      <c r="G2087" s="42"/>
      <c r="H2087" s="49" t="n">
        <f aca="true">IF(OR($A2087="",_xlfn.MINIFS($B$3:$B$5000,$A$3:$A$5000,$A2087,$B$3:$B$5000,"&gt;"&amp;$B2087)=0),NOW(),_xlfn.MINIFS($B$3:$B$5000,$A$3:$A$5000,$A2087,$B$3:$B$5000,"&gt;"&amp;$B2087))</f>
        <v>46279.598764382</v>
      </c>
    </row>
    <row r="2088" customFormat="false" ht="15" hidden="false" customHeight="true" outlineLevel="0" collapsed="false">
      <c r="A2088" s="42"/>
      <c r="B2088" s="42"/>
      <c r="C2088" s="42"/>
      <c r="D2088" s="42"/>
      <c r="E2088" s="42"/>
      <c r="F2088" s="51" t="n">
        <f aca="false">IF(OR(C2088="",D2088="",E2088="",E2088=0),0,C2088*D2088/E2088)</f>
        <v>0</v>
      </c>
      <c r="G2088" s="42"/>
      <c r="H2088" s="49" t="n">
        <f aca="true">IF(OR($A2088="",_xlfn.MINIFS($B$3:$B$5000,$A$3:$A$5000,$A2088,$B$3:$B$5000,"&gt;"&amp;$B2088)=0),NOW(),_xlfn.MINIFS($B$3:$B$5000,$A$3:$A$5000,$A2088,$B$3:$B$5000,"&gt;"&amp;$B2088))</f>
        <v>46279.598764382</v>
      </c>
    </row>
    <row r="2089" customFormat="false" ht="15" hidden="false" customHeight="true" outlineLevel="0" collapsed="false">
      <c r="A2089" s="42"/>
      <c r="B2089" s="42"/>
      <c r="C2089" s="42"/>
      <c r="D2089" s="42"/>
      <c r="E2089" s="42"/>
      <c r="F2089" s="51" t="n">
        <f aca="false">IF(OR(C2089="",D2089="",E2089="",E2089=0),0,C2089*D2089/E2089)</f>
        <v>0</v>
      </c>
      <c r="G2089" s="42"/>
      <c r="H2089" s="49" t="n">
        <f aca="true">IF(OR($A2089="",_xlfn.MINIFS($B$3:$B$5000,$A$3:$A$5000,$A2089,$B$3:$B$5000,"&gt;"&amp;$B2089)=0),NOW(),_xlfn.MINIFS($B$3:$B$5000,$A$3:$A$5000,$A2089,$B$3:$B$5000,"&gt;"&amp;$B2089))</f>
        <v>46279.5987643821</v>
      </c>
    </row>
    <row r="2090" customFormat="false" ht="15" hidden="false" customHeight="true" outlineLevel="0" collapsed="false">
      <c r="A2090" s="42"/>
      <c r="B2090" s="42"/>
      <c r="C2090" s="42"/>
      <c r="D2090" s="42"/>
      <c r="E2090" s="42"/>
      <c r="F2090" s="51" t="n">
        <f aca="false">IF(OR(C2090="",D2090="",E2090="",E2090=0),0,C2090*D2090/E2090)</f>
        <v>0</v>
      </c>
      <c r="G2090" s="42"/>
      <c r="H2090" s="49" t="n">
        <f aca="true">IF(OR($A2090="",_xlfn.MINIFS($B$3:$B$5000,$A$3:$A$5000,$A2090,$B$3:$B$5000,"&gt;"&amp;$B2090)=0),NOW(),_xlfn.MINIFS($B$3:$B$5000,$A$3:$A$5000,$A2090,$B$3:$B$5000,"&gt;"&amp;$B2090))</f>
        <v>46279.5987643821</v>
      </c>
    </row>
    <row r="2091" customFormat="false" ht="15" hidden="false" customHeight="true" outlineLevel="0" collapsed="false">
      <c r="A2091" s="42"/>
      <c r="B2091" s="42"/>
      <c r="C2091" s="42"/>
      <c r="D2091" s="42"/>
      <c r="E2091" s="42"/>
      <c r="F2091" s="51" t="n">
        <f aca="false">IF(OR(C2091="",D2091="",E2091="",E2091=0),0,C2091*D2091/E2091)</f>
        <v>0</v>
      </c>
      <c r="G2091" s="42"/>
      <c r="H2091" s="49" t="n">
        <f aca="true">IF(OR($A2091="",_xlfn.MINIFS($B$3:$B$5000,$A$3:$A$5000,$A2091,$B$3:$B$5000,"&gt;"&amp;$B2091)=0),NOW(),_xlfn.MINIFS($B$3:$B$5000,$A$3:$A$5000,$A2091,$B$3:$B$5000,"&gt;"&amp;$B2091))</f>
        <v>46279.5987643822</v>
      </c>
    </row>
    <row r="2092" customFormat="false" ht="15" hidden="false" customHeight="true" outlineLevel="0" collapsed="false">
      <c r="A2092" s="42"/>
      <c r="B2092" s="42"/>
      <c r="C2092" s="42"/>
      <c r="D2092" s="42"/>
      <c r="E2092" s="42"/>
      <c r="F2092" s="51" t="n">
        <f aca="false">IF(OR(C2092="",D2092="",E2092="",E2092=0),0,C2092*D2092/E2092)</f>
        <v>0</v>
      </c>
      <c r="G2092" s="42"/>
      <c r="H2092" s="49" t="n">
        <f aca="true">IF(OR($A2092="",_xlfn.MINIFS($B$3:$B$5000,$A$3:$A$5000,$A2092,$B$3:$B$5000,"&gt;"&amp;$B2092)=0),NOW(),_xlfn.MINIFS($B$3:$B$5000,$A$3:$A$5000,$A2092,$B$3:$B$5000,"&gt;"&amp;$B2092))</f>
        <v>46279.5987643822</v>
      </c>
    </row>
    <row r="2093" customFormat="false" ht="15" hidden="false" customHeight="true" outlineLevel="0" collapsed="false">
      <c r="A2093" s="42"/>
      <c r="B2093" s="42"/>
      <c r="C2093" s="42"/>
      <c r="D2093" s="42"/>
      <c r="E2093" s="42"/>
      <c r="F2093" s="51" t="n">
        <f aca="false">IF(OR(C2093="",D2093="",E2093="",E2093=0),0,C2093*D2093/E2093)</f>
        <v>0</v>
      </c>
      <c r="G2093" s="42"/>
      <c r="H2093" s="49" t="n">
        <f aca="true">IF(OR($A2093="",_xlfn.MINIFS($B$3:$B$5000,$A$3:$A$5000,$A2093,$B$3:$B$5000,"&gt;"&amp;$B2093)=0),NOW(),_xlfn.MINIFS($B$3:$B$5000,$A$3:$A$5000,$A2093,$B$3:$B$5000,"&gt;"&amp;$B2093))</f>
        <v>46279.5987643823</v>
      </c>
    </row>
    <row r="2094" customFormat="false" ht="15" hidden="false" customHeight="true" outlineLevel="0" collapsed="false">
      <c r="A2094" s="42"/>
      <c r="B2094" s="42"/>
      <c r="C2094" s="42"/>
      <c r="D2094" s="42"/>
      <c r="E2094" s="42"/>
      <c r="F2094" s="51" t="n">
        <f aca="false">IF(OR(C2094="",D2094="",E2094="",E2094=0),0,C2094*D2094/E2094)</f>
        <v>0</v>
      </c>
      <c r="G2094" s="42"/>
      <c r="H2094" s="49" t="n">
        <f aca="true">IF(OR($A2094="",_xlfn.MINIFS($B$3:$B$5000,$A$3:$A$5000,$A2094,$B$3:$B$5000,"&gt;"&amp;$B2094)=0),NOW(),_xlfn.MINIFS($B$3:$B$5000,$A$3:$A$5000,$A2094,$B$3:$B$5000,"&gt;"&amp;$B2094))</f>
        <v>46279.5987643824</v>
      </c>
    </row>
    <row r="2095" customFormat="false" ht="15" hidden="false" customHeight="true" outlineLevel="0" collapsed="false">
      <c r="A2095" s="42"/>
      <c r="B2095" s="42"/>
      <c r="C2095" s="42"/>
      <c r="D2095" s="42"/>
      <c r="E2095" s="42"/>
      <c r="F2095" s="51" t="n">
        <f aca="false">IF(OR(C2095="",D2095="",E2095="",E2095=0),0,C2095*D2095/E2095)</f>
        <v>0</v>
      </c>
      <c r="G2095" s="42"/>
      <c r="H2095" s="49" t="n">
        <f aca="true">IF(OR($A2095="",_xlfn.MINIFS($B$3:$B$5000,$A$3:$A$5000,$A2095,$B$3:$B$5000,"&gt;"&amp;$B2095)=0),NOW(),_xlfn.MINIFS($B$3:$B$5000,$A$3:$A$5000,$A2095,$B$3:$B$5000,"&gt;"&amp;$B2095))</f>
        <v>46279.5987643825</v>
      </c>
    </row>
    <row r="2096" customFormat="false" ht="15" hidden="false" customHeight="true" outlineLevel="0" collapsed="false">
      <c r="A2096" s="42"/>
      <c r="B2096" s="42"/>
      <c r="C2096" s="42"/>
      <c r="D2096" s="42"/>
      <c r="E2096" s="42"/>
      <c r="F2096" s="51" t="n">
        <f aca="false">IF(OR(C2096="",D2096="",E2096="",E2096=0),0,C2096*D2096/E2096)</f>
        <v>0</v>
      </c>
      <c r="G2096" s="42"/>
      <c r="H2096" s="49" t="n">
        <f aca="true">IF(OR($A2096="",_xlfn.MINIFS($B$3:$B$5000,$A$3:$A$5000,$A2096,$B$3:$B$5000,"&gt;"&amp;$B2096)=0),NOW(),_xlfn.MINIFS($B$3:$B$5000,$A$3:$A$5000,$A2096,$B$3:$B$5000,"&gt;"&amp;$B2096))</f>
        <v>46279.5987643825</v>
      </c>
    </row>
    <row r="2097" customFormat="false" ht="15" hidden="false" customHeight="true" outlineLevel="0" collapsed="false">
      <c r="A2097" s="42"/>
      <c r="B2097" s="42"/>
      <c r="C2097" s="42"/>
      <c r="D2097" s="42"/>
      <c r="E2097" s="42"/>
      <c r="F2097" s="51" t="n">
        <f aca="false">IF(OR(C2097="",D2097="",E2097="",E2097=0),0,C2097*D2097/E2097)</f>
        <v>0</v>
      </c>
      <c r="G2097" s="42"/>
      <c r="H2097" s="49" t="n">
        <f aca="true">IF(OR($A2097="",_xlfn.MINIFS($B$3:$B$5000,$A$3:$A$5000,$A2097,$B$3:$B$5000,"&gt;"&amp;$B2097)=0),NOW(),_xlfn.MINIFS($B$3:$B$5000,$A$3:$A$5000,$A2097,$B$3:$B$5000,"&gt;"&amp;$B2097))</f>
        <v>46279.5987643826</v>
      </c>
    </row>
    <row r="2098" customFormat="false" ht="15" hidden="false" customHeight="true" outlineLevel="0" collapsed="false">
      <c r="A2098" s="42"/>
      <c r="B2098" s="42"/>
      <c r="C2098" s="42"/>
      <c r="D2098" s="42"/>
      <c r="E2098" s="42"/>
      <c r="F2098" s="51" t="n">
        <f aca="false">IF(OR(C2098="",D2098="",E2098="",E2098=0),0,C2098*D2098/E2098)</f>
        <v>0</v>
      </c>
      <c r="G2098" s="42"/>
      <c r="H2098" s="49" t="n">
        <f aca="true">IF(OR($A2098="",_xlfn.MINIFS($B$3:$B$5000,$A$3:$A$5000,$A2098,$B$3:$B$5000,"&gt;"&amp;$B2098)=0),NOW(),_xlfn.MINIFS($B$3:$B$5000,$A$3:$A$5000,$A2098,$B$3:$B$5000,"&gt;"&amp;$B2098))</f>
        <v>46279.5987643826</v>
      </c>
    </row>
    <row r="2099" customFormat="false" ht="15" hidden="false" customHeight="true" outlineLevel="0" collapsed="false">
      <c r="A2099" s="42"/>
      <c r="B2099" s="42"/>
      <c r="C2099" s="42"/>
      <c r="D2099" s="42"/>
      <c r="E2099" s="42"/>
      <c r="F2099" s="51" t="n">
        <f aca="false">IF(OR(C2099="",D2099="",E2099="",E2099=0),0,C2099*D2099/E2099)</f>
        <v>0</v>
      </c>
      <c r="G2099" s="42"/>
      <c r="H2099" s="49" t="n">
        <f aca="true">IF(OR($A2099="",_xlfn.MINIFS($B$3:$B$5000,$A$3:$A$5000,$A2099,$B$3:$B$5000,"&gt;"&amp;$B2099)=0),NOW(),_xlfn.MINIFS($B$3:$B$5000,$A$3:$A$5000,$A2099,$B$3:$B$5000,"&gt;"&amp;$B2099))</f>
        <v>46279.5987643827</v>
      </c>
    </row>
    <row r="2100" customFormat="false" ht="15" hidden="false" customHeight="true" outlineLevel="0" collapsed="false">
      <c r="A2100" s="42"/>
      <c r="B2100" s="42"/>
      <c r="C2100" s="42"/>
      <c r="D2100" s="42"/>
      <c r="E2100" s="42"/>
      <c r="F2100" s="51" t="n">
        <f aca="false">IF(OR(C2100="",D2100="",E2100="",E2100=0),0,C2100*D2100/E2100)</f>
        <v>0</v>
      </c>
      <c r="G2100" s="42"/>
      <c r="H2100" s="49" t="n">
        <f aca="true">IF(OR($A2100="",_xlfn.MINIFS($B$3:$B$5000,$A$3:$A$5000,$A2100,$B$3:$B$5000,"&gt;"&amp;$B2100)=0),NOW(),_xlfn.MINIFS($B$3:$B$5000,$A$3:$A$5000,$A2100,$B$3:$B$5000,"&gt;"&amp;$B2100))</f>
        <v>46279.5987643827</v>
      </c>
    </row>
    <row r="2101" customFormat="false" ht="15" hidden="false" customHeight="true" outlineLevel="0" collapsed="false">
      <c r="A2101" s="42"/>
      <c r="B2101" s="42"/>
      <c r="C2101" s="42"/>
      <c r="D2101" s="42"/>
      <c r="E2101" s="42"/>
      <c r="F2101" s="51" t="n">
        <f aca="false">IF(OR(C2101="",D2101="",E2101="",E2101=0),0,C2101*D2101/E2101)</f>
        <v>0</v>
      </c>
      <c r="G2101" s="42"/>
      <c r="H2101" s="49" t="n">
        <f aca="true">IF(OR($A2101="",_xlfn.MINIFS($B$3:$B$5000,$A$3:$A$5000,$A2101,$B$3:$B$5000,"&gt;"&amp;$B2101)=0),NOW(),_xlfn.MINIFS($B$3:$B$5000,$A$3:$A$5000,$A2101,$B$3:$B$5000,"&gt;"&amp;$B2101))</f>
        <v>46279.5987643828</v>
      </c>
    </row>
    <row r="2102" customFormat="false" ht="15" hidden="false" customHeight="true" outlineLevel="0" collapsed="false">
      <c r="A2102" s="42"/>
      <c r="B2102" s="42"/>
      <c r="C2102" s="42"/>
      <c r="D2102" s="42"/>
      <c r="E2102" s="42"/>
      <c r="F2102" s="51" t="n">
        <f aca="false">IF(OR(C2102="",D2102="",E2102="",E2102=0),0,C2102*D2102/E2102)</f>
        <v>0</v>
      </c>
      <c r="G2102" s="42"/>
      <c r="H2102" s="49" t="n">
        <f aca="true">IF(OR($A2102="",_xlfn.MINIFS($B$3:$B$5000,$A$3:$A$5000,$A2102,$B$3:$B$5000,"&gt;"&amp;$B2102)=0),NOW(),_xlfn.MINIFS($B$3:$B$5000,$A$3:$A$5000,$A2102,$B$3:$B$5000,"&gt;"&amp;$B2102))</f>
        <v>46279.5987643828</v>
      </c>
    </row>
    <row r="2103" customFormat="false" ht="15" hidden="false" customHeight="true" outlineLevel="0" collapsed="false">
      <c r="A2103" s="42"/>
      <c r="B2103" s="42"/>
      <c r="C2103" s="42"/>
      <c r="D2103" s="42"/>
      <c r="E2103" s="42"/>
      <c r="F2103" s="51" t="n">
        <f aca="false">IF(OR(C2103="",D2103="",E2103="",E2103=0),0,C2103*D2103/E2103)</f>
        <v>0</v>
      </c>
      <c r="G2103" s="42"/>
      <c r="H2103" s="49" t="n">
        <f aca="true">IF(OR($A2103="",_xlfn.MINIFS($B$3:$B$5000,$A$3:$A$5000,$A2103,$B$3:$B$5000,"&gt;"&amp;$B2103)=0),NOW(),_xlfn.MINIFS($B$3:$B$5000,$A$3:$A$5000,$A2103,$B$3:$B$5000,"&gt;"&amp;$B2103))</f>
        <v>46279.5987643829</v>
      </c>
    </row>
    <row r="2104" customFormat="false" ht="15" hidden="false" customHeight="true" outlineLevel="0" collapsed="false">
      <c r="A2104" s="42"/>
      <c r="B2104" s="42"/>
      <c r="C2104" s="42"/>
      <c r="D2104" s="42"/>
      <c r="E2104" s="42"/>
      <c r="F2104" s="51" t="n">
        <f aca="false">IF(OR(C2104="",D2104="",E2104="",E2104=0),0,C2104*D2104/E2104)</f>
        <v>0</v>
      </c>
      <c r="G2104" s="42"/>
      <c r="H2104" s="49" t="n">
        <f aca="true">IF(OR($A2104="",_xlfn.MINIFS($B$3:$B$5000,$A$3:$A$5000,$A2104,$B$3:$B$5000,"&gt;"&amp;$B2104)=0),NOW(),_xlfn.MINIFS($B$3:$B$5000,$A$3:$A$5000,$A2104,$B$3:$B$5000,"&gt;"&amp;$B2104))</f>
        <v>46279.5987643829</v>
      </c>
    </row>
    <row r="2105" customFormat="false" ht="15" hidden="false" customHeight="true" outlineLevel="0" collapsed="false">
      <c r="A2105" s="42"/>
      <c r="B2105" s="42"/>
      <c r="C2105" s="42"/>
      <c r="D2105" s="42"/>
      <c r="E2105" s="42"/>
      <c r="F2105" s="51" t="n">
        <f aca="false">IF(OR(C2105="",D2105="",E2105="",E2105=0),0,C2105*D2105/E2105)</f>
        <v>0</v>
      </c>
      <c r="G2105" s="42"/>
      <c r="H2105" s="49" t="n">
        <f aca="true">IF(OR($A2105="",_xlfn.MINIFS($B$3:$B$5000,$A$3:$A$5000,$A2105,$B$3:$B$5000,"&gt;"&amp;$B2105)=0),NOW(),_xlfn.MINIFS($B$3:$B$5000,$A$3:$A$5000,$A2105,$B$3:$B$5000,"&gt;"&amp;$B2105))</f>
        <v>46279.598764383</v>
      </c>
    </row>
    <row r="2106" customFormat="false" ht="15" hidden="false" customHeight="true" outlineLevel="0" collapsed="false">
      <c r="A2106" s="42"/>
      <c r="B2106" s="42"/>
      <c r="C2106" s="42"/>
      <c r="D2106" s="42"/>
      <c r="E2106" s="42"/>
      <c r="F2106" s="51" t="n">
        <f aca="false">IF(OR(C2106="",D2106="",E2106="",E2106=0),0,C2106*D2106/E2106)</f>
        <v>0</v>
      </c>
      <c r="G2106" s="42"/>
      <c r="H2106" s="49" t="n">
        <f aca="true">IF(OR($A2106="",_xlfn.MINIFS($B$3:$B$5000,$A$3:$A$5000,$A2106,$B$3:$B$5000,"&gt;"&amp;$B2106)=0),NOW(),_xlfn.MINIFS($B$3:$B$5000,$A$3:$A$5000,$A2106,$B$3:$B$5000,"&gt;"&amp;$B2106))</f>
        <v>46279.5987643831</v>
      </c>
    </row>
    <row r="2107" customFormat="false" ht="15" hidden="false" customHeight="true" outlineLevel="0" collapsed="false">
      <c r="A2107" s="42"/>
      <c r="B2107" s="42"/>
      <c r="C2107" s="42"/>
      <c r="D2107" s="42"/>
      <c r="E2107" s="42"/>
      <c r="F2107" s="51" t="n">
        <f aca="false">IF(OR(C2107="",D2107="",E2107="",E2107=0),0,C2107*D2107/E2107)</f>
        <v>0</v>
      </c>
      <c r="G2107" s="42"/>
      <c r="H2107" s="49" t="n">
        <f aca="true">IF(OR($A2107="",_xlfn.MINIFS($B$3:$B$5000,$A$3:$A$5000,$A2107,$B$3:$B$5000,"&gt;"&amp;$B2107)=0),NOW(),_xlfn.MINIFS($B$3:$B$5000,$A$3:$A$5000,$A2107,$B$3:$B$5000,"&gt;"&amp;$B2107))</f>
        <v>46279.5987643832</v>
      </c>
    </row>
    <row r="2108" customFormat="false" ht="15" hidden="false" customHeight="true" outlineLevel="0" collapsed="false">
      <c r="A2108" s="42"/>
      <c r="B2108" s="42"/>
      <c r="C2108" s="42"/>
      <c r="D2108" s="42"/>
      <c r="E2108" s="42"/>
      <c r="F2108" s="51" t="n">
        <f aca="false">IF(OR(C2108="",D2108="",E2108="",E2108=0),0,C2108*D2108/E2108)</f>
        <v>0</v>
      </c>
      <c r="G2108" s="42"/>
      <c r="H2108" s="49" t="n">
        <f aca="true">IF(OR($A2108="",_xlfn.MINIFS($B$3:$B$5000,$A$3:$A$5000,$A2108,$B$3:$B$5000,"&gt;"&amp;$B2108)=0),NOW(),_xlfn.MINIFS($B$3:$B$5000,$A$3:$A$5000,$A2108,$B$3:$B$5000,"&gt;"&amp;$B2108))</f>
        <v>46279.5987643832</v>
      </c>
    </row>
    <row r="2109" customFormat="false" ht="15" hidden="false" customHeight="true" outlineLevel="0" collapsed="false">
      <c r="A2109" s="42"/>
      <c r="B2109" s="42"/>
      <c r="C2109" s="42"/>
      <c r="D2109" s="42"/>
      <c r="E2109" s="42"/>
      <c r="F2109" s="51" t="n">
        <f aca="false">IF(OR(C2109="",D2109="",E2109="",E2109=0),0,C2109*D2109/E2109)</f>
        <v>0</v>
      </c>
      <c r="G2109" s="42"/>
      <c r="H2109" s="49" t="n">
        <f aca="true">IF(OR($A2109="",_xlfn.MINIFS($B$3:$B$5000,$A$3:$A$5000,$A2109,$B$3:$B$5000,"&gt;"&amp;$B2109)=0),NOW(),_xlfn.MINIFS($B$3:$B$5000,$A$3:$A$5000,$A2109,$B$3:$B$5000,"&gt;"&amp;$B2109))</f>
        <v>46279.5987643833</v>
      </c>
    </row>
    <row r="2110" customFormat="false" ht="15" hidden="false" customHeight="true" outlineLevel="0" collapsed="false">
      <c r="A2110" s="42"/>
      <c r="B2110" s="42"/>
      <c r="C2110" s="42"/>
      <c r="D2110" s="42"/>
      <c r="E2110" s="42"/>
      <c r="F2110" s="51" t="n">
        <f aca="false">IF(OR(C2110="",D2110="",E2110="",E2110=0),0,C2110*D2110/E2110)</f>
        <v>0</v>
      </c>
      <c r="G2110" s="42"/>
      <c r="H2110" s="49" t="n">
        <f aca="true">IF(OR($A2110="",_xlfn.MINIFS($B$3:$B$5000,$A$3:$A$5000,$A2110,$B$3:$B$5000,"&gt;"&amp;$B2110)=0),NOW(),_xlfn.MINIFS($B$3:$B$5000,$A$3:$A$5000,$A2110,$B$3:$B$5000,"&gt;"&amp;$B2110))</f>
        <v>46279.5987643833</v>
      </c>
    </row>
    <row r="2111" customFormat="false" ht="15" hidden="false" customHeight="true" outlineLevel="0" collapsed="false">
      <c r="A2111" s="42"/>
      <c r="B2111" s="42"/>
      <c r="C2111" s="42"/>
      <c r="D2111" s="42"/>
      <c r="E2111" s="42"/>
      <c r="F2111" s="51" t="n">
        <f aca="false">IF(OR(C2111="",D2111="",E2111="",E2111=0),0,C2111*D2111/E2111)</f>
        <v>0</v>
      </c>
      <c r="G2111" s="42"/>
      <c r="H2111" s="49" t="n">
        <f aca="true">IF(OR($A2111="",_xlfn.MINIFS($B$3:$B$5000,$A$3:$A$5000,$A2111,$B$3:$B$5000,"&gt;"&amp;$B2111)=0),NOW(),_xlfn.MINIFS($B$3:$B$5000,$A$3:$A$5000,$A2111,$B$3:$B$5000,"&gt;"&amp;$B2111))</f>
        <v>46279.5987643834</v>
      </c>
    </row>
    <row r="2112" customFormat="false" ht="15" hidden="false" customHeight="true" outlineLevel="0" collapsed="false">
      <c r="A2112" s="42"/>
      <c r="B2112" s="42"/>
      <c r="C2112" s="42"/>
      <c r="D2112" s="42"/>
      <c r="E2112" s="42"/>
      <c r="F2112" s="51" t="n">
        <f aca="false">IF(OR(C2112="",D2112="",E2112="",E2112=0),0,C2112*D2112/E2112)</f>
        <v>0</v>
      </c>
      <c r="G2112" s="42"/>
      <c r="H2112" s="49" t="n">
        <f aca="true">IF(OR($A2112="",_xlfn.MINIFS($B$3:$B$5000,$A$3:$A$5000,$A2112,$B$3:$B$5000,"&gt;"&amp;$B2112)=0),NOW(),_xlfn.MINIFS($B$3:$B$5000,$A$3:$A$5000,$A2112,$B$3:$B$5000,"&gt;"&amp;$B2112))</f>
        <v>46279.5987643834</v>
      </c>
    </row>
    <row r="2113" customFormat="false" ht="15" hidden="false" customHeight="true" outlineLevel="0" collapsed="false">
      <c r="A2113" s="42"/>
      <c r="B2113" s="42"/>
      <c r="C2113" s="42"/>
      <c r="D2113" s="42"/>
      <c r="E2113" s="42"/>
      <c r="F2113" s="51" t="n">
        <f aca="false">IF(OR(C2113="",D2113="",E2113="",E2113=0),0,C2113*D2113/E2113)</f>
        <v>0</v>
      </c>
      <c r="G2113" s="42"/>
      <c r="H2113" s="49" t="n">
        <f aca="true">IF(OR($A2113="",_xlfn.MINIFS($B$3:$B$5000,$A$3:$A$5000,$A2113,$B$3:$B$5000,"&gt;"&amp;$B2113)=0),NOW(),_xlfn.MINIFS($B$3:$B$5000,$A$3:$A$5000,$A2113,$B$3:$B$5000,"&gt;"&amp;$B2113))</f>
        <v>46279.5987643835</v>
      </c>
    </row>
    <row r="2114" customFormat="false" ht="15" hidden="false" customHeight="true" outlineLevel="0" collapsed="false">
      <c r="A2114" s="42"/>
      <c r="B2114" s="42"/>
      <c r="C2114" s="42"/>
      <c r="D2114" s="42"/>
      <c r="E2114" s="42"/>
      <c r="F2114" s="51" t="n">
        <f aca="false">IF(OR(C2114="",D2114="",E2114="",E2114=0),0,C2114*D2114/E2114)</f>
        <v>0</v>
      </c>
      <c r="G2114" s="42"/>
      <c r="H2114" s="49" t="n">
        <f aca="true">IF(OR($A2114="",_xlfn.MINIFS($B$3:$B$5000,$A$3:$A$5000,$A2114,$B$3:$B$5000,"&gt;"&amp;$B2114)=0),NOW(),_xlfn.MINIFS($B$3:$B$5000,$A$3:$A$5000,$A2114,$B$3:$B$5000,"&gt;"&amp;$B2114))</f>
        <v>46279.5987643835</v>
      </c>
    </row>
    <row r="2115" customFormat="false" ht="15" hidden="false" customHeight="true" outlineLevel="0" collapsed="false">
      <c r="A2115" s="42"/>
      <c r="B2115" s="42"/>
      <c r="C2115" s="42"/>
      <c r="D2115" s="42"/>
      <c r="E2115" s="42"/>
      <c r="F2115" s="51" t="n">
        <f aca="false">IF(OR(C2115="",D2115="",E2115="",E2115=0),0,C2115*D2115/E2115)</f>
        <v>0</v>
      </c>
      <c r="G2115" s="42"/>
      <c r="H2115" s="49" t="n">
        <f aca="true">IF(OR($A2115="",_xlfn.MINIFS($B$3:$B$5000,$A$3:$A$5000,$A2115,$B$3:$B$5000,"&gt;"&amp;$B2115)=0),NOW(),_xlfn.MINIFS($B$3:$B$5000,$A$3:$A$5000,$A2115,$B$3:$B$5000,"&gt;"&amp;$B2115))</f>
        <v>46279.5987643836</v>
      </c>
    </row>
    <row r="2116" customFormat="false" ht="15" hidden="false" customHeight="true" outlineLevel="0" collapsed="false">
      <c r="A2116" s="42"/>
      <c r="B2116" s="42"/>
      <c r="C2116" s="42"/>
      <c r="D2116" s="42"/>
      <c r="E2116" s="42"/>
      <c r="F2116" s="51" t="n">
        <f aca="false">IF(OR(C2116="",D2116="",E2116="",E2116=0),0,C2116*D2116/E2116)</f>
        <v>0</v>
      </c>
      <c r="G2116" s="42"/>
      <c r="H2116" s="49" t="n">
        <f aca="true">IF(OR($A2116="",_xlfn.MINIFS($B$3:$B$5000,$A$3:$A$5000,$A2116,$B$3:$B$5000,"&gt;"&amp;$B2116)=0),NOW(),_xlfn.MINIFS($B$3:$B$5000,$A$3:$A$5000,$A2116,$B$3:$B$5000,"&gt;"&amp;$B2116))</f>
        <v>46279.5987643836</v>
      </c>
    </row>
    <row r="2117" customFormat="false" ht="15" hidden="false" customHeight="true" outlineLevel="0" collapsed="false">
      <c r="A2117" s="42"/>
      <c r="B2117" s="42"/>
      <c r="C2117" s="42"/>
      <c r="D2117" s="42"/>
      <c r="E2117" s="42"/>
      <c r="F2117" s="51" t="n">
        <f aca="false">IF(OR(C2117="",D2117="",E2117="",E2117=0),0,C2117*D2117/E2117)</f>
        <v>0</v>
      </c>
      <c r="G2117" s="42"/>
      <c r="H2117" s="49" t="n">
        <f aca="true">IF(OR($A2117="",_xlfn.MINIFS($B$3:$B$5000,$A$3:$A$5000,$A2117,$B$3:$B$5000,"&gt;"&amp;$B2117)=0),NOW(),_xlfn.MINIFS($B$3:$B$5000,$A$3:$A$5000,$A2117,$B$3:$B$5000,"&gt;"&amp;$B2117))</f>
        <v>46279.5987643837</v>
      </c>
    </row>
    <row r="2118" customFormat="false" ht="15" hidden="false" customHeight="true" outlineLevel="0" collapsed="false">
      <c r="A2118" s="42"/>
      <c r="B2118" s="42"/>
      <c r="C2118" s="42"/>
      <c r="D2118" s="42"/>
      <c r="E2118" s="42"/>
      <c r="F2118" s="51" t="n">
        <f aca="false">IF(OR(C2118="",D2118="",E2118="",E2118=0),0,C2118*D2118/E2118)</f>
        <v>0</v>
      </c>
      <c r="G2118" s="42"/>
      <c r="H2118" s="49" t="n">
        <f aca="true">IF(OR($A2118="",_xlfn.MINIFS($B$3:$B$5000,$A$3:$A$5000,$A2118,$B$3:$B$5000,"&gt;"&amp;$B2118)=0),NOW(),_xlfn.MINIFS($B$3:$B$5000,$A$3:$A$5000,$A2118,$B$3:$B$5000,"&gt;"&amp;$B2118))</f>
        <v>46279.5987643837</v>
      </c>
    </row>
    <row r="2119" customFormat="false" ht="15" hidden="false" customHeight="true" outlineLevel="0" collapsed="false">
      <c r="A2119" s="42"/>
      <c r="B2119" s="42"/>
      <c r="C2119" s="42"/>
      <c r="D2119" s="42"/>
      <c r="E2119" s="42"/>
      <c r="F2119" s="51" t="n">
        <f aca="false">IF(OR(C2119="",D2119="",E2119="",E2119=0),0,C2119*D2119/E2119)</f>
        <v>0</v>
      </c>
      <c r="G2119" s="42"/>
      <c r="H2119" s="49" t="n">
        <f aca="true">IF(OR($A2119="",_xlfn.MINIFS($B$3:$B$5000,$A$3:$A$5000,$A2119,$B$3:$B$5000,"&gt;"&amp;$B2119)=0),NOW(),_xlfn.MINIFS($B$3:$B$5000,$A$3:$A$5000,$A2119,$B$3:$B$5000,"&gt;"&amp;$B2119))</f>
        <v>46279.5987643838</v>
      </c>
    </row>
    <row r="2120" customFormat="false" ht="15" hidden="false" customHeight="true" outlineLevel="0" collapsed="false">
      <c r="A2120" s="42"/>
      <c r="B2120" s="42"/>
      <c r="C2120" s="42"/>
      <c r="D2120" s="42"/>
      <c r="E2120" s="42"/>
      <c r="F2120" s="51" t="n">
        <f aca="false">IF(OR(C2120="",D2120="",E2120="",E2120=0),0,C2120*D2120/E2120)</f>
        <v>0</v>
      </c>
      <c r="G2120" s="42"/>
      <c r="H2120" s="49" t="n">
        <f aca="true">IF(OR($A2120="",_xlfn.MINIFS($B$3:$B$5000,$A$3:$A$5000,$A2120,$B$3:$B$5000,"&gt;"&amp;$B2120)=0),NOW(),_xlfn.MINIFS($B$3:$B$5000,$A$3:$A$5000,$A2120,$B$3:$B$5000,"&gt;"&amp;$B2120))</f>
        <v>46279.5987643838</v>
      </c>
    </row>
    <row r="2121" customFormat="false" ht="15" hidden="false" customHeight="true" outlineLevel="0" collapsed="false">
      <c r="A2121" s="42"/>
      <c r="B2121" s="42"/>
      <c r="C2121" s="42"/>
      <c r="D2121" s="42"/>
      <c r="E2121" s="42"/>
      <c r="F2121" s="51" t="n">
        <f aca="false">IF(OR(C2121="",D2121="",E2121="",E2121=0),0,C2121*D2121/E2121)</f>
        <v>0</v>
      </c>
      <c r="G2121" s="42"/>
      <c r="H2121" s="49" t="n">
        <f aca="true">IF(OR($A2121="",_xlfn.MINIFS($B$3:$B$5000,$A$3:$A$5000,$A2121,$B$3:$B$5000,"&gt;"&amp;$B2121)=0),NOW(),_xlfn.MINIFS($B$3:$B$5000,$A$3:$A$5000,$A2121,$B$3:$B$5000,"&gt;"&amp;$B2121))</f>
        <v>46279.5987643839</v>
      </c>
    </row>
    <row r="2122" customFormat="false" ht="15" hidden="false" customHeight="true" outlineLevel="0" collapsed="false">
      <c r="A2122" s="42"/>
      <c r="B2122" s="42"/>
      <c r="C2122" s="42"/>
      <c r="D2122" s="42"/>
      <c r="E2122" s="42"/>
      <c r="F2122" s="51" t="n">
        <f aca="false">IF(OR(C2122="",D2122="",E2122="",E2122=0),0,C2122*D2122/E2122)</f>
        <v>0</v>
      </c>
      <c r="G2122" s="42"/>
      <c r="H2122" s="49" t="n">
        <f aca="true">IF(OR($A2122="",_xlfn.MINIFS($B$3:$B$5000,$A$3:$A$5000,$A2122,$B$3:$B$5000,"&gt;"&amp;$B2122)=0),NOW(),_xlfn.MINIFS($B$3:$B$5000,$A$3:$A$5000,$A2122,$B$3:$B$5000,"&gt;"&amp;$B2122))</f>
        <v>46279.5987643839</v>
      </c>
    </row>
    <row r="2123" customFormat="false" ht="15" hidden="false" customHeight="true" outlineLevel="0" collapsed="false">
      <c r="A2123" s="42"/>
      <c r="B2123" s="42"/>
      <c r="C2123" s="42"/>
      <c r="D2123" s="42"/>
      <c r="E2123" s="42"/>
      <c r="F2123" s="51" t="n">
        <f aca="false">IF(OR(C2123="",D2123="",E2123="",E2123=0),0,C2123*D2123/E2123)</f>
        <v>0</v>
      </c>
      <c r="G2123" s="42"/>
      <c r="H2123" s="49" t="n">
        <f aca="true">IF(OR($A2123="",_xlfn.MINIFS($B$3:$B$5000,$A$3:$A$5000,$A2123,$B$3:$B$5000,"&gt;"&amp;$B2123)=0),NOW(),_xlfn.MINIFS($B$3:$B$5000,$A$3:$A$5000,$A2123,$B$3:$B$5000,"&gt;"&amp;$B2123))</f>
        <v>46279.598764384</v>
      </c>
    </row>
    <row r="2124" customFormat="false" ht="15" hidden="false" customHeight="true" outlineLevel="0" collapsed="false">
      <c r="A2124" s="42"/>
      <c r="B2124" s="42"/>
      <c r="C2124" s="42"/>
      <c r="D2124" s="42"/>
      <c r="E2124" s="42"/>
      <c r="F2124" s="51" t="n">
        <f aca="false">IF(OR(C2124="",D2124="",E2124="",E2124=0),0,C2124*D2124/E2124)</f>
        <v>0</v>
      </c>
      <c r="G2124" s="42"/>
      <c r="H2124" s="49" t="n">
        <f aca="true">IF(OR($A2124="",_xlfn.MINIFS($B$3:$B$5000,$A$3:$A$5000,$A2124,$B$3:$B$5000,"&gt;"&amp;$B2124)=0),NOW(),_xlfn.MINIFS($B$3:$B$5000,$A$3:$A$5000,$A2124,$B$3:$B$5000,"&gt;"&amp;$B2124))</f>
        <v>46279.598764384</v>
      </c>
    </row>
    <row r="2125" customFormat="false" ht="15" hidden="false" customHeight="true" outlineLevel="0" collapsed="false">
      <c r="A2125" s="42"/>
      <c r="B2125" s="42"/>
      <c r="C2125" s="42"/>
      <c r="D2125" s="42"/>
      <c r="E2125" s="42"/>
      <c r="F2125" s="51" t="n">
        <f aca="false">IF(OR(C2125="",D2125="",E2125="",E2125=0),0,C2125*D2125/E2125)</f>
        <v>0</v>
      </c>
      <c r="G2125" s="42"/>
      <c r="H2125" s="49" t="n">
        <f aca="true">IF(OR($A2125="",_xlfn.MINIFS($B$3:$B$5000,$A$3:$A$5000,$A2125,$B$3:$B$5000,"&gt;"&amp;$B2125)=0),NOW(),_xlfn.MINIFS($B$3:$B$5000,$A$3:$A$5000,$A2125,$B$3:$B$5000,"&gt;"&amp;$B2125))</f>
        <v>46279.5987643841</v>
      </c>
    </row>
    <row r="2126" customFormat="false" ht="15" hidden="false" customHeight="true" outlineLevel="0" collapsed="false">
      <c r="A2126" s="42"/>
      <c r="B2126" s="42"/>
      <c r="C2126" s="42"/>
      <c r="D2126" s="42"/>
      <c r="E2126" s="42"/>
      <c r="F2126" s="51" t="n">
        <f aca="false">IF(OR(C2126="",D2126="",E2126="",E2126=0),0,C2126*D2126/E2126)</f>
        <v>0</v>
      </c>
      <c r="G2126" s="42"/>
      <c r="H2126" s="49" t="n">
        <f aca="true">IF(OR($A2126="",_xlfn.MINIFS($B$3:$B$5000,$A$3:$A$5000,$A2126,$B$3:$B$5000,"&gt;"&amp;$B2126)=0),NOW(),_xlfn.MINIFS($B$3:$B$5000,$A$3:$A$5000,$A2126,$B$3:$B$5000,"&gt;"&amp;$B2126))</f>
        <v>46279.5987643842</v>
      </c>
    </row>
    <row r="2127" customFormat="false" ht="15" hidden="false" customHeight="true" outlineLevel="0" collapsed="false">
      <c r="A2127" s="42"/>
      <c r="B2127" s="42"/>
      <c r="C2127" s="42"/>
      <c r="D2127" s="42"/>
      <c r="E2127" s="42"/>
      <c r="F2127" s="51" t="n">
        <f aca="false">IF(OR(C2127="",D2127="",E2127="",E2127=0),0,C2127*D2127/E2127)</f>
        <v>0</v>
      </c>
      <c r="G2127" s="42"/>
      <c r="H2127" s="49" t="n">
        <f aca="true">IF(OR($A2127="",_xlfn.MINIFS($B$3:$B$5000,$A$3:$A$5000,$A2127,$B$3:$B$5000,"&gt;"&amp;$B2127)=0),NOW(),_xlfn.MINIFS($B$3:$B$5000,$A$3:$A$5000,$A2127,$B$3:$B$5000,"&gt;"&amp;$B2127))</f>
        <v>46279.5987643843</v>
      </c>
    </row>
    <row r="2128" customFormat="false" ht="15" hidden="false" customHeight="true" outlineLevel="0" collapsed="false">
      <c r="A2128" s="42"/>
      <c r="B2128" s="42"/>
      <c r="C2128" s="42"/>
      <c r="D2128" s="42"/>
      <c r="E2128" s="42"/>
      <c r="F2128" s="51" t="n">
        <f aca="false">IF(OR(C2128="",D2128="",E2128="",E2128=0),0,C2128*D2128/E2128)</f>
        <v>0</v>
      </c>
      <c r="G2128" s="42"/>
      <c r="H2128" s="49" t="n">
        <f aca="true">IF(OR($A2128="",_xlfn.MINIFS($B$3:$B$5000,$A$3:$A$5000,$A2128,$B$3:$B$5000,"&gt;"&amp;$B2128)=0),NOW(),_xlfn.MINIFS($B$3:$B$5000,$A$3:$A$5000,$A2128,$B$3:$B$5000,"&gt;"&amp;$B2128))</f>
        <v>46279.5987643843</v>
      </c>
    </row>
    <row r="2129" customFormat="false" ht="15" hidden="false" customHeight="true" outlineLevel="0" collapsed="false">
      <c r="A2129" s="42"/>
      <c r="B2129" s="42"/>
      <c r="C2129" s="42"/>
      <c r="D2129" s="42"/>
      <c r="E2129" s="42"/>
      <c r="F2129" s="51" t="n">
        <f aca="false">IF(OR(C2129="",D2129="",E2129="",E2129=0),0,C2129*D2129/E2129)</f>
        <v>0</v>
      </c>
      <c r="G2129" s="42"/>
      <c r="H2129" s="49" t="n">
        <f aca="true">IF(OR($A2129="",_xlfn.MINIFS($B$3:$B$5000,$A$3:$A$5000,$A2129,$B$3:$B$5000,"&gt;"&amp;$B2129)=0),NOW(),_xlfn.MINIFS($B$3:$B$5000,$A$3:$A$5000,$A2129,$B$3:$B$5000,"&gt;"&amp;$B2129))</f>
        <v>46279.5987643844</v>
      </c>
    </row>
    <row r="2130" customFormat="false" ht="15" hidden="false" customHeight="true" outlineLevel="0" collapsed="false">
      <c r="A2130" s="42"/>
      <c r="B2130" s="42"/>
      <c r="C2130" s="42"/>
      <c r="D2130" s="42"/>
      <c r="E2130" s="42"/>
      <c r="F2130" s="51" t="n">
        <f aca="false">IF(OR(C2130="",D2130="",E2130="",E2130=0),0,C2130*D2130/E2130)</f>
        <v>0</v>
      </c>
      <c r="G2130" s="42"/>
      <c r="H2130" s="49" t="n">
        <f aca="true">IF(OR($A2130="",_xlfn.MINIFS($B$3:$B$5000,$A$3:$A$5000,$A2130,$B$3:$B$5000,"&gt;"&amp;$B2130)=0),NOW(),_xlfn.MINIFS($B$3:$B$5000,$A$3:$A$5000,$A2130,$B$3:$B$5000,"&gt;"&amp;$B2130))</f>
        <v>46279.5987643844</v>
      </c>
    </row>
    <row r="2131" customFormat="false" ht="15" hidden="false" customHeight="true" outlineLevel="0" collapsed="false">
      <c r="A2131" s="42"/>
      <c r="B2131" s="42"/>
      <c r="C2131" s="42"/>
      <c r="D2131" s="42"/>
      <c r="E2131" s="42"/>
      <c r="F2131" s="51" t="n">
        <f aca="false">IF(OR(C2131="",D2131="",E2131="",E2131=0),0,C2131*D2131/E2131)</f>
        <v>0</v>
      </c>
      <c r="G2131" s="42"/>
      <c r="H2131" s="49" t="n">
        <f aca="true">IF(OR($A2131="",_xlfn.MINIFS($B$3:$B$5000,$A$3:$A$5000,$A2131,$B$3:$B$5000,"&gt;"&amp;$B2131)=0),NOW(),_xlfn.MINIFS($B$3:$B$5000,$A$3:$A$5000,$A2131,$B$3:$B$5000,"&gt;"&amp;$B2131))</f>
        <v>46279.5987643845</v>
      </c>
    </row>
    <row r="2132" customFormat="false" ht="15" hidden="false" customHeight="true" outlineLevel="0" collapsed="false">
      <c r="A2132" s="42"/>
      <c r="B2132" s="42"/>
      <c r="C2132" s="42"/>
      <c r="D2132" s="42"/>
      <c r="E2132" s="42"/>
      <c r="F2132" s="51" t="n">
        <f aca="false">IF(OR(C2132="",D2132="",E2132="",E2132=0),0,C2132*D2132/E2132)</f>
        <v>0</v>
      </c>
      <c r="G2132" s="42"/>
      <c r="H2132" s="49" t="n">
        <f aca="true">IF(OR($A2132="",_xlfn.MINIFS($B$3:$B$5000,$A$3:$A$5000,$A2132,$B$3:$B$5000,"&gt;"&amp;$B2132)=0),NOW(),_xlfn.MINIFS($B$3:$B$5000,$A$3:$A$5000,$A2132,$B$3:$B$5000,"&gt;"&amp;$B2132))</f>
        <v>46279.5987643845</v>
      </c>
    </row>
    <row r="2133" customFormat="false" ht="15" hidden="false" customHeight="true" outlineLevel="0" collapsed="false">
      <c r="A2133" s="42"/>
      <c r="B2133" s="42"/>
      <c r="C2133" s="42"/>
      <c r="D2133" s="42"/>
      <c r="E2133" s="42"/>
      <c r="F2133" s="51" t="n">
        <f aca="false">IF(OR(C2133="",D2133="",E2133="",E2133=0),0,C2133*D2133/E2133)</f>
        <v>0</v>
      </c>
      <c r="G2133" s="42"/>
      <c r="H2133" s="49" t="n">
        <f aca="true">IF(OR($A2133="",_xlfn.MINIFS($B$3:$B$5000,$A$3:$A$5000,$A2133,$B$3:$B$5000,"&gt;"&amp;$B2133)=0),NOW(),_xlfn.MINIFS($B$3:$B$5000,$A$3:$A$5000,$A2133,$B$3:$B$5000,"&gt;"&amp;$B2133))</f>
        <v>46279.5987643846</v>
      </c>
    </row>
    <row r="2134" customFormat="false" ht="15" hidden="false" customHeight="true" outlineLevel="0" collapsed="false">
      <c r="A2134" s="42"/>
      <c r="B2134" s="42"/>
      <c r="C2134" s="42"/>
      <c r="D2134" s="42"/>
      <c r="E2134" s="42"/>
      <c r="F2134" s="51" t="n">
        <f aca="false">IF(OR(C2134="",D2134="",E2134="",E2134=0),0,C2134*D2134/E2134)</f>
        <v>0</v>
      </c>
      <c r="G2134" s="42"/>
      <c r="H2134" s="49" t="n">
        <f aca="true">IF(OR($A2134="",_xlfn.MINIFS($B$3:$B$5000,$A$3:$A$5000,$A2134,$B$3:$B$5000,"&gt;"&amp;$B2134)=0),NOW(),_xlfn.MINIFS($B$3:$B$5000,$A$3:$A$5000,$A2134,$B$3:$B$5000,"&gt;"&amp;$B2134))</f>
        <v>46279.5987643849</v>
      </c>
    </row>
    <row r="2135" customFormat="false" ht="15" hidden="false" customHeight="true" outlineLevel="0" collapsed="false">
      <c r="A2135" s="42"/>
      <c r="B2135" s="42"/>
      <c r="C2135" s="42"/>
      <c r="D2135" s="42"/>
      <c r="E2135" s="42"/>
      <c r="F2135" s="51" t="n">
        <f aca="false">IF(OR(C2135="",D2135="",E2135="",E2135=0),0,C2135*D2135/E2135)</f>
        <v>0</v>
      </c>
      <c r="G2135" s="42"/>
      <c r="H2135" s="49" t="n">
        <f aca="true">IF(OR($A2135="",_xlfn.MINIFS($B$3:$B$5000,$A$3:$A$5000,$A2135,$B$3:$B$5000,"&gt;"&amp;$B2135)=0),NOW(),_xlfn.MINIFS($B$3:$B$5000,$A$3:$A$5000,$A2135,$B$3:$B$5000,"&gt;"&amp;$B2135))</f>
        <v>46279.598764385</v>
      </c>
    </row>
    <row r="2136" customFormat="false" ht="15" hidden="false" customHeight="true" outlineLevel="0" collapsed="false">
      <c r="A2136" s="42"/>
      <c r="B2136" s="42"/>
      <c r="C2136" s="42"/>
      <c r="D2136" s="42"/>
      <c r="E2136" s="42"/>
      <c r="F2136" s="51" t="n">
        <f aca="false">IF(OR(C2136="",D2136="",E2136="",E2136=0),0,C2136*D2136/E2136)</f>
        <v>0</v>
      </c>
      <c r="G2136" s="42"/>
      <c r="H2136" s="49" t="n">
        <f aca="true">IF(OR($A2136="",_xlfn.MINIFS($B$3:$B$5000,$A$3:$A$5000,$A2136,$B$3:$B$5000,"&gt;"&amp;$B2136)=0),NOW(),_xlfn.MINIFS($B$3:$B$5000,$A$3:$A$5000,$A2136,$B$3:$B$5000,"&gt;"&amp;$B2136))</f>
        <v>46279.598764385</v>
      </c>
    </row>
    <row r="2137" customFormat="false" ht="15" hidden="false" customHeight="true" outlineLevel="0" collapsed="false">
      <c r="A2137" s="42"/>
      <c r="B2137" s="42"/>
      <c r="C2137" s="42"/>
      <c r="D2137" s="42"/>
      <c r="E2137" s="42"/>
      <c r="F2137" s="51" t="n">
        <f aca="false">IF(OR(C2137="",D2137="",E2137="",E2137=0),0,C2137*D2137/E2137)</f>
        <v>0</v>
      </c>
      <c r="G2137" s="42"/>
      <c r="H2137" s="49" t="n">
        <f aca="true">IF(OR($A2137="",_xlfn.MINIFS($B$3:$B$5000,$A$3:$A$5000,$A2137,$B$3:$B$5000,"&gt;"&amp;$B2137)=0),NOW(),_xlfn.MINIFS($B$3:$B$5000,$A$3:$A$5000,$A2137,$B$3:$B$5000,"&gt;"&amp;$B2137))</f>
        <v>46279.5987643851</v>
      </c>
    </row>
    <row r="2138" customFormat="false" ht="15" hidden="false" customHeight="true" outlineLevel="0" collapsed="false">
      <c r="A2138" s="42"/>
      <c r="B2138" s="42"/>
      <c r="C2138" s="42"/>
      <c r="D2138" s="42"/>
      <c r="E2138" s="42"/>
      <c r="F2138" s="51" t="n">
        <f aca="false">IF(OR(C2138="",D2138="",E2138="",E2138=0),0,C2138*D2138/E2138)</f>
        <v>0</v>
      </c>
      <c r="G2138" s="42"/>
      <c r="H2138" s="49" t="n">
        <f aca="true">IF(OR($A2138="",_xlfn.MINIFS($B$3:$B$5000,$A$3:$A$5000,$A2138,$B$3:$B$5000,"&gt;"&amp;$B2138)=0),NOW(),_xlfn.MINIFS($B$3:$B$5000,$A$3:$A$5000,$A2138,$B$3:$B$5000,"&gt;"&amp;$B2138))</f>
        <v>46279.5987643851</v>
      </c>
    </row>
    <row r="2139" customFormat="false" ht="15" hidden="false" customHeight="true" outlineLevel="0" collapsed="false">
      <c r="A2139" s="42"/>
      <c r="B2139" s="42"/>
      <c r="C2139" s="42"/>
      <c r="D2139" s="42"/>
      <c r="E2139" s="42"/>
      <c r="F2139" s="51" t="n">
        <f aca="false">IF(OR(C2139="",D2139="",E2139="",E2139=0),0,C2139*D2139/E2139)</f>
        <v>0</v>
      </c>
      <c r="G2139" s="42"/>
      <c r="H2139" s="49" t="n">
        <f aca="true">IF(OR($A2139="",_xlfn.MINIFS($B$3:$B$5000,$A$3:$A$5000,$A2139,$B$3:$B$5000,"&gt;"&amp;$B2139)=0),NOW(),_xlfn.MINIFS($B$3:$B$5000,$A$3:$A$5000,$A2139,$B$3:$B$5000,"&gt;"&amp;$B2139))</f>
        <v>46279.5987643852</v>
      </c>
    </row>
    <row r="2140" customFormat="false" ht="15" hidden="false" customHeight="true" outlineLevel="0" collapsed="false">
      <c r="A2140" s="42"/>
      <c r="B2140" s="42"/>
      <c r="C2140" s="42"/>
      <c r="D2140" s="42"/>
      <c r="E2140" s="42"/>
      <c r="F2140" s="51" t="n">
        <f aca="false">IF(OR(C2140="",D2140="",E2140="",E2140=0),0,C2140*D2140/E2140)</f>
        <v>0</v>
      </c>
      <c r="G2140" s="42"/>
      <c r="H2140" s="49" t="n">
        <f aca="true">IF(OR($A2140="",_xlfn.MINIFS($B$3:$B$5000,$A$3:$A$5000,$A2140,$B$3:$B$5000,"&gt;"&amp;$B2140)=0),NOW(),_xlfn.MINIFS($B$3:$B$5000,$A$3:$A$5000,$A2140,$B$3:$B$5000,"&gt;"&amp;$B2140))</f>
        <v>46279.5987643852</v>
      </c>
    </row>
    <row r="2141" customFormat="false" ht="15" hidden="false" customHeight="true" outlineLevel="0" collapsed="false">
      <c r="A2141" s="42"/>
      <c r="B2141" s="42"/>
      <c r="C2141" s="42"/>
      <c r="D2141" s="42"/>
      <c r="E2141" s="42"/>
      <c r="F2141" s="51" t="n">
        <f aca="false">IF(OR(C2141="",D2141="",E2141="",E2141=0),0,C2141*D2141/E2141)</f>
        <v>0</v>
      </c>
      <c r="G2141" s="42"/>
      <c r="H2141" s="49" t="n">
        <f aca="true">IF(OR($A2141="",_xlfn.MINIFS($B$3:$B$5000,$A$3:$A$5000,$A2141,$B$3:$B$5000,"&gt;"&amp;$B2141)=0),NOW(),_xlfn.MINIFS($B$3:$B$5000,$A$3:$A$5000,$A2141,$B$3:$B$5000,"&gt;"&amp;$B2141))</f>
        <v>46279.5987643853</v>
      </c>
    </row>
    <row r="2142" customFormat="false" ht="15" hidden="false" customHeight="true" outlineLevel="0" collapsed="false">
      <c r="A2142" s="42"/>
      <c r="B2142" s="42"/>
      <c r="C2142" s="42"/>
      <c r="D2142" s="42"/>
      <c r="E2142" s="42"/>
      <c r="F2142" s="51" t="n">
        <f aca="false">IF(OR(C2142="",D2142="",E2142="",E2142=0),0,C2142*D2142/E2142)</f>
        <v>0</v>
      </c>
      <c r="G2142" s="42"/>
      <c r="H2142" s="49" t="n">
        <f aca="true">IF(OR($A2142="",_xlfn.MINIFS($B$3:$B$5000,$A$3:$A$5000,$A2142,$B$3:$B$5000,"&gt;"&amp;$B2142)=0),NOW(),_xlfn.MINIFS($B$3:$B$5000,$A$3:$A$5000,$A2142,$B$3:$B$5000,"&gt;"&amp;$B2142))</f>
        <v>46279.5987643853</v>
      </c>
    </row>
    <row r="2143" customFormat="false" ht="15" hidden="false" customHeight="true" outlineLevel="0" collapsed="false">
      <c r="A2143" s="42"/>
      <c r="B2143" s="42"/>
      <c r="C2143" s="42"/>
      <c r="D2143" s="42"/>
      <c r="E2143" s="42"/>
      <c r="F2143" s="51" t="n">
        <f aca="false">IF(OR(C2143="",D2143="",E2143="",E2143=0),0,C2143*D2143/E2143)</f>
        <v>0</v>
      </c>
      <c r="G2143" s="42"/>
      <c r="H2143" s="49" t="n">
        <f aca="true">IF(OR($A2143="",_xlfn.MINIFS($B$3:$B$5000,$A$3:$A$5000,$A2143,$B$3:$B$5000,"&gt;"&amp;$B2143)=0),NOW(),_xlfn.MINIFS($B$3:$B$5000,$A$3:$A$5000,$A2143,$B$3:$B$5000,"&gt;"&amp;$B2143))</f>
        <v>46279.5987643854</v>
      </c>
    </row>
    <row r="2144" customFormat="false" ht="15" hidden="false" customHeight="true" outlineLevel="0" collapsed="false">
      <c r="A2144" s="42"/>
      <c r="B2144" s="42"/>
      <c r="C2144" s="42"/>
      <c r="D2144" s="42"/>
      <c r="E2144" s="42"/>
      <c r="F2144" s="51" t="n">
        <f aca="false">IF(OR(C2144="",D2144="",E2144="",E2144=0),0,C2144*D2144/E2144)</f>
        <v>0</v>
      </c>
      <c r="G2144" s="42"/>
      <c r="H2144" s="49" t="n">
        <f aca="true">IF(OR($A2144="",_xlfn.MINIFS($B$3:$B$5000,$A$3:$A$5000,$A2144,$B$3:$B$5000,"&gt;"&amp;$B2144)=0),NOW(),_xlfn.MINIFS($B$3:$B$5000,$A$3:$A$5000,$A2144,$B$3:$B$5000,"&gt;"&amp;$B2144))</f>
        <v>46279.5987643854</v>
      </c>
    </row>
    <row r="2145" customFormat="false" ht="15" hidden="false" customHeight="true" outlineLevel="0" collapsed="false">
      <c r="A2145" s="42"/>
      <c r="B2145" s="42"/>
      <c r="C2145" s="42"/>
      <c r="D2145" s="42"/>
      <c r="E2145" s="42"/>
      <c r="F2145" s="51" t="n">
        <f aca="false">IF(OR(C2145="",D2145="",E2145="",E2145=0),0,C2145*D2145/E2145)</f>
        <v>0</v>
      </c>
      <c r="G2145" s="42"/>
      <c r="H2145" s="49" t="n">
        <f aca="true">IF(OR($A2145="",_xlfn.MINIFS($B$3:$B$5000,$A$3:$A$5000,$A2145,$B$3:$B$5000,"&gt;"&amp;$B2145)=0),NOW(),_xlfn.MINIFS($B$3:$B$5000,$A$3:$A$5000,$A2145,$B$3:$B$5000,"&gt;"&amp;$B2145))</f>
        <v>46279.5987643855</v>
      </c>
    </row>
    <row r="2146" customFormat="false" ht="15" hidden="false" customHeight="true" outlineLevel="0" collapsed="false">
      <c r="A2146" s="42"/>
      <c r="B2146" s="42"/>
      <c r="C2146" s="42"/>
      <c r="D2146" s="42"/>
      <c r="E2146" s="42"/>
      <c r="F2146" s="51" t="n">
        <f aca="false">IF(OR(C2146="",D2146="",E2146="",E2146=0),0,C2146*D2146/E2146)</f>
        <v>0</v>
      </c>
      <c r="G2146" s="42"/>
      <c r="H2146" s="49" t="n">
        <f aca="true">IF(OR($A2146="",_xlfn.MINIFS($B$3:$B$5000,$A$3:$A$5000,$A2146,$B$3:$B$5000,"&gt;"&amp;$B2146)=0),NOW(),_xlfn.MINIFS($B$3:$B$5000,$A$3:$A$5000,$A2146,$B$3:$B$5000,"&gt;"&amp;$B2146))</f>
        <v>46279.5987643855</v>
      </c>
    </row>
    <row r="2147" customFormat="false" ht="15" hidden="false" customHeight="true" outlineLevel="0" collapsed="false">
      <c r="A2147" s="42"/>
      <c r="B2147" s="42"/>
      <c r="C2147" s="42"/>
      <c r="D2147" s="42"/>
      <c r="E2147" s="42"/>
      <c r="F2147" s="51" t="n">
        <f aca="false">IF(OR(C2147="",D2147="",E2147="",E2147=0),0,C2147*D2147/E2147)</f>
        <v>0</v>
      </c>
      <c r="G2147" s="42"/>
      <c r="H2147" s="49" t="n">
        <f aca="true">IF(OR($A2147="",_xlfn.MINIFS($B$3:$B$5000,$A$3:$A$5000,$A2147,$B$3:$B$5000,"&gt;"&amp;$B2147)=0),NOW(),_xlfn.MINIFS($B$3:$B$5000,$A$3:$A$5000,$A2147,$B$3:$B$5000,"&gt;"&amp;$B2147))</f>
        <v>46279.5987643856</v>
      </c>
    </row>
    <row r="2148" customFormat="false" ht="15" hidden="false" customHeight="true" outlineLevel="0" collapsed="false">
      <c r="A2148" s="42"/>
      <c r="B2148" s="42"/>
      <c r="C2148" s="42"/>
      <c r="D2148" s="42"/>
      <c r="E2148" s="42"/>
      <c r="F2148" s="51" t="n">
        <f aca="false">IF(OR(C2148="",D2148="",E2148="",E2148=0),0,C2148*D2148/E2148)</f>
        <v>0</v>
      </c>
      <c r="G2148" s="42"/>
      <c r="H2148" s="49" t="n">
        <f aca="true">IF(OR($A2148="",_xlfn.MINIFS($B$3:$B$5000,$A$3:$A$5000,$A2148,$B$3:$B$5000,"&gt;"&amp;$B2148)=0),NOW(),_xlfn.MINIFS($B$3:$B$5000,$A$3:$A$5000,$A2148,$B$3:$B$5000,"&gt;"&amp;$B2148))</f>
        <v>46279.5987643856</v>
      </c>
    </row>
    <row r="2149" customFormat="false" ht="15" hidden="false" customHeight="true" outlineLevel="0" collapsed="false">
      <c r="A2149" s="42"/>
      <c r="B2149" s="42"/>
      <c r="C2149" s="42"/>
      <c r="D2149" s="42"/>
      <c r="E2149" s="42"/>
      <c r="F2149" s="51" t="n">
        <f aca="false">IF(OR(C2149="",D2149="",E2149="",E2149=0),0,C2149*D2149/E2149)</f>
        <v>0</v>
      </c>
      <c r="G2149" s="42"/>
      <c r="H2149" s="49" t="n">
        <f aca="true">IF(OR($A2149="",_xlfn.MINIFS($B$3:$B$5000,$A$3:$A$5000,$A2149,$B$3:$B$5000,"&gt;"&amp;$B2149)=0),NOW(),_xlfn.MINIFS($B$3:$B$5000,$A$3:$A$5000,$A2149,$B$3:$B$5000,"&gt;"&amp;$B2149))</f>
        <v>46279.5987643857</v>
      </c>
    </row>
    <row r="2150" customFormat="false" ht="15" hidden="false" customHeight="true" outlineLevel="0" collapsed="false">
      <c r="A2150" s="42"/>
      <c r="B2150" s="42"/>
      <c r="C2150" s="42"/>
      <c r="D2150" s="42"/>
      <c r="E2150" s="42"/>
      <c r="F2150" s="51" t="n">
        <f aca="false">IF(OR(C2150="",D2150="",E2150="",E2150=0),0,C2150*D2150/E2150)</f>
        <v>0</v>
      </c>
      <c r="G2150" s="42"/>
      <c r="H2150" s="49" t="n">
        <f aca="true">IF(OR($A2150="",_xlfn.MINIFS($B$3:$B$5000,$A$3:$A$5000,$A2150,$B$3:$B$5000,"&gt;"&amp;$B2150)=0),NOW(),_xlfn.MINIFS($B$3:$B$5000,$A$3:$A$5000,$A2150,$B$3:$B$5000,"&gt;"&amp;$B2150))</f>
        <v>46279.5987643857</v>
      </c>
    </row>
    <row r="2151" customFormat="false" ht="15" hidden="false" customHeight="true" outlineLevel="0" collapsed="false">
      <c r="A2151" s="42"/>
      <c r="B2151" s="42"/>
      <c r="C2151" s="42"/>
      <c r="D2151" s="42"/>
      <c r="E2151" s="42"/>
      <c r="F2151" s="51" t="n">
        <f aca="false">IF(OR(C2151="",D2151="",E2151="",E2151=0),0,C2151*D2151/E2151)</f>
        <v>0</v>
      </c>
      <c r="G2151" s="42"/>
      <c r="H2151" s="49" t="n">
        <f aca="true">IF(OR($A2151="",_xlfn.MINIFS($B$3:$B$5000,$A$3:$A$5000,$A2151,$B$3:$B$5000,"&gt;"&amp;$B2151)=0),NOW(),_xlfn.MINIFS($B$3:$B$5000,$A$3:$A$5000,$A2151,$B$3:$B$5000,"&gt;"&amp;$B2151))</f>
        <v>46279.5987643858</v>
      </c>
    </row>
    <row r="2152" customFormat="false" ht="15" hidden="false" customHeight="true" outlineLevel="0" collapsed="false">
      <c r="A2152" s="42"/>
      <c r="B2152" s="42"/>
      <c r="C2152" s="42"/>
      <c r="D2152" s="42"/>
      <c r="E2152" s="42"/>
      <c r="F2152" s="51" t="n">
        <f aca="false">IF(OR(C2152="",D2152="",E2152="",E2152=0),0,C2152*D2152/E2152)</f>
        <v>0</v>
      </c>
      <c r="G2152" s="42"/>
      <c r="H2152" s="49" t="n">
        <f aca="true">IF(OR($A2152="",_xlfn.MINIFS($B$3:$B$5000,$A$3:$A$5000,$A2152,$B$3:$B$5000,"&gt;"&amp;$B2152)=0),NOW(),_xlfn.MINIFS($B$3:$B$5000,$A$3:$A$5000,$A2152,$B$3:$B$5000,"&gt;"&amp;$B2152))</f>
        <v>46279.5987643858</v>
      </c>
    </row>
    <row r="2153" customFormat="false" ht="15" hidden="false" customHeight="true" outlineLevel="0" collapsed="false">
      <c r="A2153" s="42"/>
      <c r="B2153" s="42"/>
      <c r="C2153" s="42"/>
      <c r="D2153" s="42"/>
      <c r="E2153" s="42"/>
      <c r="F2153" s="51" t="n">
        <f aca="false">IF(OR(C2153="",D2153="",E2153="",E2153=0),0,C2153*D2153/E2153)</f>
        <v>0</v>
      </c>
      <c r="G2153" s="42"/>
      <c r="H2153" s="49" t="n">
        <f aca="true">IF(OR($A2153="",_xlfn.MINIFS($B$3:$B$5000,$A$3:$A$5000,$A2153,$B$3:$B$5000,"&gt;"&amp;$B2153)=0),NOW(),_xlfn.MINIFS($B$3:$B$5000,$A$3:$A$5000,$A2153,$B$3:$B$5000,"&gt;"&amp;$B2153))</f>
        <v>46279.5987643859</v>
      </c>
    </row>
    <row r="2154" customFormat="false" ht="15" hidden="false" customHeight="true" outlineLevel="0" collapsed="false">
      <c r="A2154" s="42"/>
      <c r="B2154" s="42"/>
      <c r="C2154" s="42"/>
      <c r="D2154" s="42"/>
      <c r="E2154" s="42"/>
      <c r="F2154" s="51" t="n">
        <f aca="false">IF(OR(C2154="",D2154="",E2154="",E2154=0),0,C2154*D2154/E2154)</f>
        <v>0</v>
      </c>
      <c r="G2154" s="42"/>
      <c r="H2154" s="49" t="n">
        <f aca="true">IF(OR($A2154="",_xlfn.MINIFS($B$3:$B$5000,$A$3:$A$5000,$A2154,$B$3:$B$5000,"&gt;"&amp;$B2154)=0),NOW(),_xlfn.MINIFS($B$3:$B$5000,$A$3:$A$5000,$A2154,$B$3:$B$5000,"&gt;"&amp;$B2154))</f>
        <v>46279.5987643859</v>
      </c>
    </row>
    <row r="2155" customFormat="false" ht="15" hidden="false" customHeight="true" outlineLevel="0" collapsed="false">
      <c r="A2155" s="42"/>
      <c r="B2155" s="42"/>
      <c r="C2155" s="42"/>
      <c r="D2155" s="42"/>
      <c r="E2155" s="42"/>
      <c r="F2155" s="51" t="n">
        <f aca="false">IF(OR(C2155="",D2155="",E2155="",E2155=0),0,C2155*D2155/E2155)</f>
        <v>0</v>
      </c>
      <c r="G2155" s="42"/>
      <c r="H2155" s="49" t="n">
        <f aca="true">IF(OR($A2155="",_xlfn.MINIFS($B$3:$B$5000,$A$3:$A$5000,$A2155,$B$3:$B$5000,"&gt;"&amp;$B2155)=0),NOW(),_xlfn.MINIFS($B$3:$B$5000,$A$3:$A$5000,$A2155,$B$3:$B$5000,"&gt;"&amp;$B2155))</f>
        <v>46279.598764386</v>
      </c>
    </row>
    <row r="2156" customFormat="false" ht="15" hidden="false" customHeight="true" outlineLevel="0" collapsed="false">
      <c r="A2156" s="42"/>
      <c r="B2156" s="42"/>
      <c r="C2156" s="42"/>
      <c r="D2156" s="42"/>
      <c r="E2156" s="42"/>
      <c r="F2156" s="51" t="n">
        <f aca="false">IF(OR(C2156="",D2156="",E2156="",E2156=0),0,C2156*D2156/E2156)</f>
        <v>0</v>
      </c>
      <c r="G2156" s="42"/>
      <c r="H2156" s="49" t="n">
        <f aca="true">IF(OR($A2156="",_xlfn.MINIFS($B$3:$B$5000,$A$3:$A$5000,$A2156,$B$3:$B$5000,"&gt;"&amp;$B2156)=0),NOW(),_xlfn.MINIFS($B$3:$B$5000,$A$3:$A$5000,$A2156,$B$3:$B$5000,"&gt;"&amp;$B2156))</f>
        <v>46279.598764386</v>
      </c>
    </row>
    <row r="2157" customFormat="false" ht="15" hidden="false" customHeight="true" outlineLevel="0" collapsed="false">
      <c r="A2157" s="42"/>
      <c r="B2157" s="42"/>
      <c r="C2157" s="42"/>
      <c r="D2157" s="42"/>
      <c r="E2157" s="42"/>
      <c r="F2157" s="51" t="n">
        <f aca="false">IF(OR(C2157="",D2157="",E2157="",E2157=0),0,C2157*D2157/E2157)</f>
        <v>0</v>
      </c>
      <c r="G2157" s="42"/>
      <c r="H2157" s="49" t="n">
        <f aca="true">IF(OR($A2157="",_xlfn.MINIFS($B$3:$B$5000,$A$3:$A$5000,$A2157,$B$3:$B$5000,"&gt;"&amp;$B2157)=0),NOW(),_xlfn.MINIFS($B$3:$B$5000,$A$3:$A$5000,$A2157,$B$3:$B$5000,"&gt;"&amp;$B2157))</f>
        <v>46279.5987643861</v>
      </c>
    </row>
    <row r="2158" customFormat="false" ht="15" hidden="false" customHeight="true" outlineLevel="0" collapsed="false">
      <c r="A2158" s="42"/>
      <c r="B2158" s="42"/>
      <c r="C2158" s="42"/>
      <c r="D2158" s="42"/>
      <c r="E2158" s="42"/>
      <c r="F2158" s="51" t="n">
        <f aca="false">IF(OR(C2158="",D2158="",E2158="",E2158=0),0,C2158*D2158/E2158)</f>
        <v>0</v>
      </c>
      <c r="G2158" s="42"/>
      <c r="H2158" s="49" t="n">
        <f aca="true">IF(OR($A2158="",_xlfn.MINIFS($B$3:$B$5000,$A$3:$A$5000,$A2158,$B$3:$B$5000,"&gt;"&amp;$B2158)=0),NOW(),_xlfn.MINIFS($B$3:$B$5000,$A$3:$A$5000,$A2158,$B$3:$B$5000,"&gt;"&amp;$B2158))</f>
        <v>46279.5987643861</v>
      </c>
    </row>
    <row r="2159" customFormat="false" ht="15" hidden="false" customHeight="true" outlineLevel="0" collapsed="false">
      <c r="A2159" s="42"/>
      <c r="B2159" s="42"/>
      <c r="C2159" s="42"/>
      <c r="D2159" s="42"/>
      <c r="E2159" s="42"/>
      <c r="F2159" s="51" t="n">
        <f aca="false">IF(OR(C2159="",D2159="",E2159="",E2159=0),0,C2159*D2159/E2159)</f>
        <v>0</v>
      </c>
      <c r="G2159" s="42"/>
      <c r="H2159" s="49" t="n">
        <f aca="true">IF(OR($A2159="",_xlfn.MINIFS($B$3:$B$5000,$A$3:$A$5000,$A2159,$B$3:$B$5000,"&gt;"&amp;$B2159)=0),NOW(),_xlfn.MINIFS($B$3:$B$5000,$A$3:$A$5000,$A2159,$B$3:$B$5000,"&gt;"&amp;$B2159))</f>
        <v>46279.5987643862</v>
      </c>
    </row>
    <row r="2160" customFormat="false" ht="15" hidden="false" customHeight="true" outlineLevel="0" collapsed="false">
      <c r="A2160" s="42"/>
      <c r="B2160" s="42"/>
      <c r="C2160" s="42"/>
      <c r="D2160" s="42"/>
      <c r="E2160" s="42"/>
      <c r="F2160" s="51" t="n">
        <f aca="false">IF(OR(C2160="",D2160="",E2160="",E2160=0),0,C2160*D2160/E2160)</f>
        <v>0</v>
      </c>
      <c r="G2160" s="42"/>
      <c r="H2160" s="49" t="n">
        <f aca="true">IF(OR($A2160="",_xlfn.MINIFS($B$3:$B$5000,$A$3:$A$5000,$A2160,$B$3:$B$5000,"&gt;"&amp;$B2160)=0),NOW(),_xlfn.MINIFS($B$3:$B$5000,$A$3:$A$5000,$A2160,$B$3:$B$5000,"&gt;"&amp;$B2160))</f>
        <v>46279.5987643862</v>
      </c>
    </row>
    <row r="2161" customFormat="false" ht="15" hidden="false" customHeight="true" outlineLevel="0" collapsed="false">
      <c r="A2161" s="42"/>
      <c r="B2161" s="42"/>
      <c r="C2161" s="42"/>
      <c r="D2161" s="42"/>
      <c r="E2161" s="42"/>
      <c r="F2161" s="51" t="n">
        <f aca="false">IF(OR(C2161="",D2161="",E2161="",E2161=0),0,C2161*D2161/E2161)</f>
        <v>0</v>
      </c>
      <c r="G2161" s="42"/>
      <c r="H2161" s="49" t="n">
        <f aca="true">IF(OR($A2161="",_xlfn.MINIFS($B$3:$B$5000,$A$3:$A$5000,$A2161,$B$3:$B$5000,"&gt;"&amp;$B2161)=0),NOW(),_xlfn.MINIFS($B$3:$B$5000,$A$3:$A$5000,$A2161,$B$3:$B$5000,"&gt;"&amp;$B2161))</f>
        <v>46279.5987643863</v>
      </c>
    </row>
    <row r="2162" customFormat="false" ht="15" hidden="false" customHeight="true" outlineLevel="0" collapsed="false">
      <c r="A2162" s="42"/>
      <c r="B2162" s="42"/>
      <c r="C2162" s="42"/>
      <c r="D2162" s="42"/>
      <c r="E2162" s="42"/>
      <c r="F2162" s="51" t="n">
        <f aca="false">IF(OR(C2162="",D2162="",E2162="",E2162=0),0,C2162*D2162/E2162)</f>
        <v>0</v>
      </c>
      <c r="G2162" s="42"/>
      <c r="H2162" s="49" t="n">
        <f aca="true">IF(OR($A2162="",_xlfn.MINIFS($B$3:$B$5000,$A$3:$A$5000,$A2162,$B$3:$B$5000,"&gt;"&amp;$B2162)=0),NOW(),_xlfn.MINIFS($B$3:$B$5000,$A$3:$A$5000,$A2162,$B$3:$B$5000,"&gt;"&amp;$B2162))</f>
        <v>46279.5987643863</v>
      </c>
    </row>
    <row r="2163" customFormat="false" ht="15" hidden="false" customHeight="true" outlineLevel="0" collapsed="false">
      <c r="A2163" s="42"/>
      <c r="B2163" s="42"/>
      <c r="C2163" s="42"/>
      <c r="D2163" s="42"/>
      <c r="E2163" s="42"/>
      <c r="F2163" s="51" t="n">
        <f aca="false">IF(OR(C2163="",D2163="",E2163="",E2163=0),0,C2163*D2163/E2163)</f>
        <v>0</v>
      </c>
      <c r="G2163" s="42"/>
      <c r="H2163" s="49" t="n">
        <f aca="true">IF(OR($A2163="",_xlfn.MINIFS($B$3:$B$5000,$A$3:$A$5000,$A2163,$B$3:$B$5000,"&gt;"&amp;$B2163)=0),NOW(),_xlfn.MINIFS($B$3:$B$5000,$A$3:$A$5000,$A2163,$B$3:$B$5000,"&gt;"&amp;$B2163))</f>
        <v>46279.5987643864</v>
      </c>
    </row>
    <row r="2164" customFormat="false" ht="15" hidden="false" customHeight="true" outlineLevel="0" collapsed="false">
      <c r="A2164" s="42"/>
      <c r="B2164" s="42"/>
      <c r="C2164" s="42"/>
      <c r="D2164" s="42"/>
      <c r="E2164" s="42"/>
      <c r="F2164" s="51" t="n">
        <f aca="false">IF(OR(C2164="",D2164="",E2164="",E2164=0),0,C2164*D2164/E2164)</f>
        <v>0</v>
      </c>
      <c r="G2164" s="42"/>
      <c r="H2164" s="49" t="n">
        <f aca="true">IF(OR($A2164="",_xlfn.MINIFS($B$3:$B$5000,$A$3:$A$5000,$A2164,$B$3:$B$5000,"&gt;"&amp;$B2164)=0),NOW(),_xlfn.MINIFS($B$3:$B$5000,$A$3:$A$5000,$A2164,$B$3:$B$5000,"&gt;"&amp;$B2164))</f>
        <v>46279.5987643864</v>
      </c>
    </row>
    <row r="2165" customFormat="false" ht="15" hidden="false" customHeight="true" outlineLevel="0" collapsed="false">
      <c r="A2165" s="42"/>
      <c r="B2165" s="42"/>
      <c r="C2165" s="42"/>
      <c r="D2165" s="42"/>
      <c r="E2165" s="42"/>
      <c r="F2165" s="51" t="n">
        <f aca="false">IF(OR(C2165="",D2165="",E2165="",E2165=0),0,C2165*D2165/E2165)</f>
        <v>0</v>
      </c>
      <c r="G2165" s="42"/>
      <c r="H2165" s="49" t="n">
        <f aca="true">IF(OR($A2165="",_xlfn.MINIFS($B$3:$B$5000,$A$3:$A$5000,$A2165,$B$3:$B$5000,"&gt;"&amp;$B2165)=0),NOW(),_xlfn.MINIFS($B$3:$B$5000,$A$3:$A$5000,$A2165,$B$3:$B$5000,"&gt;"&amp;$B2165))</f>
        <v>46279.5987643865</v>
      </c>
    </row>
    <row r="2166" customFormat="false" ht="15" hidden="false" customHeight="true" outlineLevel="0" collapsed="false">
      <c r="A2166" s="42"/>
      <c r="B2166" s="42"/>
      <c r="C2166" s="42"/>
      <c r="D2166" s="42"/>
      <c r="E2166" s="42"/>
      <c r="F2166" s="51" t="n">
        <f aca="false">IF(OR(C2166="",D2166="",E2166="",E2166=0),0,C2166*D2166/E2166)</f>
        <v>0</v>
      </c>
      <c r="G2166" s="42"/>
      <c r="H2166" s="49" t="n">
        <f aca="true">IF(OR($A2166="",_xlfn.MINIFS($B$3:$B$5000,$A$3:$A$5000,$A2166,$B$3:$B$5000,"&gt;"&amp;$B2166)=0),NOW(),_xlfn.MINIFS($B$3:$B$5000,$A$3:$A$5000,$A2166,$B$3:$B$5000,"&gt;"&amp;$B2166))</f>
        <v>46279.5987643865</v>
      </c>
    </row>
    <row r="2167" customFormat="false" ht="15" hidden="false" customHeight="true" outlineLevel="0" collapsed="false">
      <c r="A2167" s="42"/>
      <c r="B2167" s="42"/>
      <c r="C2167" s="42"/>
      <c r="D2167" s="42"/>
      <c r="E2167" s="42"/>
      <c r="F2167" s="51" t="n">
        <f aca="false">IF(OR(C2167="",D2167="",E2167="",E2167=0),0,C2167*D2167/E2167)</f>
        <v>0</v>
      </c>
      <c r="G2167" s="42"/>
      <c r="H2167" s="49" t="n">
        <f aca="true">IF(OR($A2167="",_xlfn.MINIFS($B$3:$B$5000,$A$3:$A$5000,$A2167,$B$3:$B$5000,"&gt;"&amp;$B2167)=0),NOW(),_xlfn.MINIFS($B$3:$B$5000,$A$3:$A$5000,$A2167,$B$3:$B$5000,"&gt;"&amp;$B2167))</f>
        <v>46279.5987643866</v>
      </c>
    </row>
    <row r="2168" customFormat="false" ht="15" hidden="false" customHeight="true" outlineLevel="0" collapsed="false">
      <c r="A2168" s="42"/>
      <c r="B2168" s="42"/>
      <c r="C2168" s="42"/>
      <c r="D2168" s="42"/>
      <c r="E2168" s="42"/>
      <c r="F2168" s="51" t="n">
        <f aca="false">IF(OR(C2168="",D2168="",E2168="",E2168=0),0,C2168*D2168/E2168)</f>
        <v>0</v>
      </c>
      <c r="G2168" s="42"/>
      <c r="H2168" s="49" t="n">
        <f aca="true">IF(OR($A2168="",_xlfn.MINIFS($B$3:$B$5000,$A$3:$A$5000,$A2168,$B$3:$B$5000,"&gt;"&amp;$B2168)=0),NOW(),_xlfn.MINIFS($B$3:$B$5000,$A$3:$A$5000,$A2168,$B$3:$B$5000,"&gt;"&amp;$B2168))</f>
        <v>46279.5987643866</v>
      </c>
    </row>
    <row r="2169" customFormat="false" ht="15" hidden="false" customHeight="true" outlineLevel="0" collapsed="false">
      <c r="A2169" s="42"/>
      <c r="B2169" s="42"/>
      <c r="C2169" s="42"/>
      <c r="D2169" s="42"/>
      <c r="E2169" s="42"/>
      <c r="F2169" s="51" t="n">
        <f aca="false">IF(OR(C2169="",D2169="",E2169="",E2169=0),0,C2169*D2169/E2169)</f>
        <v>0</v>
      </c>
      <c r="G2169" s="42"/>
      <c r="H2169" s="49" t="n">
        <f aca="true">IF(OR($A2169="",_xlfn.MINIFS($B$3:$B$5000,$A$3:$A$5000,$A2169,$B$3:$B$5000,"&gt;"&amp;$B2169)=0),NOW(),_xlfn.MINIFS($B$3:$B$5000,$A$3:$A$5000,$A2169,$B$3:$B$5000,"&gt;"&amp;$B2169))</f>
        <v>46279.5987643867</v>
      </c>
    </row>
    <row r="2170" customFormat="false" ht="15" hidden="false" customHeight="true" outlineLevel="0" collapsed="false">
      <c r="A2170" s="42"/>
      <c r="B2170" s="42"/>
      <c r="C2170" s="42"/>
      <c r="D2170" s="42"/>
      <c r="E2170" s="42"/>
      <c r="F2170" s="51" t="n">
        <f aca="false">IF(OR(C2170="",D2170="",E2170="",E2170=0),0,C2170*D2170/E2170)</f>
        <v>0</v>
      </c>
      <c r="G2170" s="42"/>
      <c r="H2170" s="49" t="n">
        <f aca="true">IF(OR($A2170="",_xlfn.MINIFS($B$3:$B$5000,$A$3:$A$5000,$A2170,$B$3:$B$5000,"&gt;"&amp;$B2170)=0),NOW(),_xlfn.MINIFS($B$3:$B$5000,$A$3:$A$5000,$A2170,$B$3:$B$5000,"&gt;"&amp;$B2170))</f>
        <v>46279.5987643867</v>
      </c>
    </row>
    <row r="2171" customFormat="false" ht="15" hidden="false" customHeight="true" outlineLevel="0" collapsed="false">
      <c r="A2171" s="42"/>
      <c r="B2171" s="42"/>
      <c r="C2171" s="42"/>
      <c r="D2171" s="42"/>
      <c r="E2171" s="42"/>
      <c r="F2171" s="51" t="n">
        <f aca="false">IF(OR(C2171="",D2171="",E2171="",E2171=0),0,C2171*D2171/E2171)</f>
        <v>0</v>
      </c>
      <c r="G2171" s="42"/>
      <c r="H2171" s="49" t="n">
        <f aca="true">IF(OR($A2171="",_xlfn.MINIFS($B$3:$B$5000,$A$3:$A$5000,$A2171,$B$3:$B$5000,"&gt;"&amp;$B2171)=0),NOW(),_xlfn.MINIFS($B$3:$B$5000,$A$3:$A$5000,$A2171,$B$3:$B$5000,"&gt;"&amp;$B2171))</f>
        <v>46279.5987643868</v>
      </c>
    </row>
    <row r="2172" customFormat="false" ht="15" hidden="false" customHeight="true" outlineLevel="0" collapsed="false">
      <c r="A2172" s="42"/>
      <c r="B2172" s="42"/>
      <c r="C2172" s="42"/>
      <c r="D2172" s="42"/>
      <c r="E2172" s="42"/>
      <c r="F2172" s="51" t="n">
        <f aca="false">IF(OR(C2172="",D2172="",E2172="",E2172=0),0,C2172*D2172/E2172)</f>
        <v>0</v>
      </c>
      <c r="G2172" s="42"/>
      <c r="H2172" s="49" t="n">
        <f aca="true">IF(OR($A2172="",_xlfn.MINIFS($B$3:$B$5000,$A$3:$A$5000,$A2172,$B$3:$B$5000,"&gt;"&amp;$B2172)=0),NOW(),_xlfn.MINIFS($B$3:$B$5000,$A$3:$A$5000,$A2172,$B$3:$B$5000,"&gt;"&amp;$B2172))</f>
        <v>46279.5987643868</v>
      </c>
    </row>
    <row r="2173" customFormat="false" ht="15" hidden="false" customHeight="true" outlineLevel="0" collapsed="false">
      <c r="A2173" s="42"/>
      <c r="B2173" s="42"/>
      <c r="C2173" s="42"/>
      <c r="D2173" s="42"/>
      <c r="E2173" s="42"/>
      <c r="F2173" s="51" t="n">
        <f aca="false">IF(OR(C2173="",D2173="",E2173="",E2173=0),0,C2173*D2173/E2173)</f>
        <v>0</v>
      </c>
      <c r="G2173" s="42"/>
      <c r="H2173" s="49" t="n">
        <f aca="true">IF(OR($A2173="",_xlfn.MINIFS($B$3:$B$5000,$A$3:$A$5000,$A2173,$B$3:$B$5000,"&gt;"&amp;$B2173)=0),NOW(),_xlfn.MINIFS($B$3:$B$5000,$A$3:$A$5000,$A2173,$B$3:$B$5000,"&gt;"&amp;$B2173))</f>
        <v>46279.5987643869</v>
      </c>
    </row>
    <row r="2174" customFormat="false" ht="15" hidden="false" customHeight="true" outlineLevel="0" collapsed="false">
      <c r="A2174" s="42"/>
      <c r="B2174" s="42"/>
      <c r="C2174" s="42"/>
      <c r="D2174" s="42"/>
      <c r="E2174" s="42"/>
      <c r="F2174" s="51" t="n">
        <f aca="false">IF(OR(C2174="",D2174="",E2174="",E2174=0),0,C2174*D2174/E2174)</f>
        <v>0</v>
      </c>
      <c r="G2174" s="42"/>
      <c r="H2174" s="49" t="n">
        <f aca="true">IF(OR($A2174="",_xlfn.MINIFS($B$3:$B$5000,$A$3:$A$5000,$A2174,$B$3:$B$5000,"&gt;"&amp;$B2174)=0),NOW(),_xlfn.MINIFS($B$3:$B$5000,$A$3:$A$5000,$A2174,$B$3:$B$5000,"&gt;"&amp;$B2174))</f>
        <v>46279.5987643869</v>
      </c>
    </row>
    <row r="2175" customFormat="false" ht="15" hidden="false" customHeight="true" outlineLevel="0" collapsed="false">
      <c r="A2175" s="42"/>
      <c r="B2175" s="42"/>
      <c r="C2175" s="42"/>
      <c r="D2175" s="42"/>
      <c r="E2175" s="42"/>
      <c r="F2175" s="51" t="n">
        <f aca="false">IF(OR(C2175="",D2175="",E2175="",E2175=0),0,C2175*D2175/E2175)</f>
        <v>0</v>
      </c>
      <c r="G2175" s="42"/>
      <c r="H2175" s="49" t="n">
        <f aca="true">IF(OR($A2175="",_xlfn.MINIFS($B$3:$B$5000,$A$3:$A$5000,$A2175,$B$3:$B$5000,"&gt;"&amp;$B2175)=0),NOW(),_xlfn.MINIFS($B$3:$B$5000,$A$3:$A$5000,$A2175,$B$3:$B$5000,"&gt;"&amp;$B2175))</f>
        <v>46279.598764387</v>
      </c>
    </row>
    <row r="2176" customFormat="false" ht="15" hidden="false" customHeight="true" outlineLevel="0" collapsed="false">
      <c r="A2176" s="42"/>
      <c r="B2176" s="42"/>
      <c r="C2176" s="42"/>
      <c r="D2176" s="42"/>
      <c r="E2176" s="42"/>
      <c r="F2176" s="51" t="n">
        <f aca="false">IF(OR(C2176="",D2176="",E2176="",E2176=0),0,C2176*D2176/E2176)</f>
        <v>0</v>
      </c>
      <c r="G2176" s="42"/>
      <c r="H2176" s="49" t="n">
        <f aca="true">IF(OR($A2176="",_xlfn.MINIFS($B$3:$B$5000,$A$3:$A$5000,$A2176,$B$3:$B$5000,"&gt;"&amp;$B2176)=0),NOW(),_xlfn.MINIFS($B$3:$B$5000,$A$3:$A$5000,$A2176,$B$3:$B$5000,"&gt;"&amp;$B2176))</f>
        <v>46279.598764387</v>
      </c>
    </row>
    <row r="2177" customFormat="false" ht="15" hidden="false" customHeight="true" outlineLevel="0" collapsed="false">
      <c r="A2177" s="42"/>
      <c r="B2177" s="42"/>
      <c r="C2177" s="42"/>
      <c r="D2177" s="42"/>
      <c r="E2177" s="42"/>
      <c r="F2177" s="51" t="n">
        <f aca="false">IF(OR(C2177="",D2177="",E2177="",E2177=0),0,C2177*D2177/E2177)</f>
        <v>0</v>
      </c>
      <c r="G2177" s="42"/>
      <c r="H2177" s="49" t="n">
        <f aca="true">IF(OR($A2177="",_xlfn.MINIFS($B$3:$B$5000,$A$3:$A$5000,$A2177,$B$3:$B$5000,"&gt;"&amp;$B2177)=0),NOW(),_xlfn.MINIFS($B$3:$B$5000,$A$3:$A$5000,$A2177,$B$3:$B$5000,"&gt;"&amp;$B2177))</f>
        <v>46279.5987643871</v>
      </c>
    </row>
    <row r="2178" customFormat="false" ht="15" hidden="false" customHeight="true" outlineLevel="0" collapsed="false">
      <c r="A2178" s="42"/>
      <c r="B2178" s="42"/>
      <c r="C2178" s="42"/>
      <c r="D2178" s="42"/>
      <c r="E2178" s="42"/>
      <c r="F2178" s="51" t="n">
        <f aca="false">IF(OR(C2178="",D2178="",E2178="",E2178=0),0,C2178*D2178/E2178)</f>
        <v>0</v>
      </c>
      <c r="G2178" s="42"/>
      <c r="H2178" s="49" t="n">
        <f aca="true">IF(OR($A2178="",_xlfn.MINIFS($B$3:$B$5000,$A$3:$A$5000,$A2178,$B$3:$B$5000,"&gt;"&amp;$B2178)=0),NOW(),_xlfn.MINIFS($B$3:$B$5000,$A$3:$A$5000,$A2178,$B$3:$B$5000,"&gt;"&amp;$B2178))</f>
        <v>46279.5987643871</v>
      </c>
    </row>
    <row r="2179" customFormat="false" ht="15" hidden="false" customHeight="true" outlineLevel="0" collapsed="false">
      <c r="A2179" s="42"/>
      <c r="B2179" s="42"/>
      <c r="C2179" s="42"/>
      <c r="D2179" s="42"/>
      <c r="E2179" s="42"/>
      <c r="F2179" s="51" t="n">
        <f aca="false">IF(OR(C2179="",D2179="",E2179="",E2179=0),0,C2179*D2179/E2179)</f>
        <v>0</v>
      </c>
      <c r="G2179" s="42"/>
      <c r="H2179" s="49" t="n">
        <f aca="true">IF(OR($A2179="",_xlfn.MINIFS($B$3:$B$5000,$A$3:$A$5000,$A2179,$B$3:$B$5000,"&gt;"&amp;$B2179)=0),NOW(),_xlfn.MINIFS($B$3:$B$5000,$A$3:$A$5000,$A2179,$B$3:$B$5000,"&gt;"&amp;$B2179))</f>
        <v>46279.5987643872</v>
      </c>
    </row>
    <row r="2180" customFormat="false" ht="15" hidden="false" customHeight="true" outlineLevel="0" collapsed="false">
      <c r="A2180" s="42"/>
      <c r="B2180" s="42"/>
      <c r="C2180" s="42"/>
      <c r="D2180" s="42"/>
      <c r="E2180" s="42"/>
      <c r="F2180" s="51" t="n">
        <f aca="false">IF(OR(C2180="",D2180="",E2180="",E2180=0),0,C2180*D2180/E2180)</f>
        <v>0</v>
      </c>
      <c r="G2180" s="42"/>
      <c r="H2180" s="49" t="n">
        <f aca="true">IF(OR($A2180="",_xlfn.MINIFS($B$3:$B$5000,$A$3:$A$5000,$A2180,$B$3:$B$5000,"&gt;"&amp;$B2180)=0),NOW(),_xlfn.MINIFS($B$3:$B$5000,$A$3:$A$5000,$A2180,$B$3:$B$5000,"&gt;"&amp;$B2180))</f>
        <v>46279.5987643872</v>
      </c>
    </row>
    <row r="2181" customFormat="false" ht="15" hidden="false" customHeight="true" outlineLevel="0" collapsed="false">
      <c r="A2181" s="42"/>
      <c r="B2181" s="42"/>
      <c r="C2181" s="42"/>
      <c r="D2181" s="42"/>
      <c r="E2181" s="42"/>
      <c r="F2181" s="51" t="n">
        <f aca="false">IF(OR(C2181="",D2181="",E2181="",E2181=0),0,C2181*D2181/E2181)</f>
        <v>0</v>
      </c>
      <c r="G2181" s="42"/>
      <c r="H2181" s="49" t="n">
        <f aca="true">IF(OR($A2181="",_xlfn.MINIFS($B$3:$B$5000,$A$3:$A$5000,$A2181,$B$3:$B$5000,"&gt;"&amp;$B2181)=0),NOW(),_xlfn.MINIFS($B$3:$B$5000,$A$3:$A$5000,$A2181,$B$3:$B$5000,"&gt;"&amp;$B2181))</f>
        <v>46279.5987643873</v>
      </c>
    </row>
    <row r="2182" customFormat="false" ht="15" hidden="false" customHeight="true" outlineLevel="0" collapsed="false">
      <c r="A2182" s="42"/>
      <c r="B2182" s="42"/>
      <c r="C2182" s="42"/>
      <c r="D2182" s="42"/>
      <c r="E2182" s="42"/>
      <c r="F2182" s="51" t="n">
        <f aca="false">IF(OR(C2182="",D2182="",E2182="",E2182=0),0,C2182*D2182/E2182)</f>
        <v>0</v>
      </c>
      <c r="G2182" s="42"/>
      <c r="H2182" s="49" t="n">
        <f aca="true">IF(OR($A2182="",_xlfn.MINIFS($B$3:$B$5000,$A$3:$A$5000,$A2182,$B$3:$B$5000,"&gt;"&amp;$B2182)=0),NOW(),_xlfn.MINIFS($B$3:$B$5000,$A$3:$A$5000,$A2182,$B$3:$B$5000,"&gt;"&amp;$B2182))</f>
        <v>46279.5987643873</v>
      </c>
    </row>
    <row r="2183" customFormat="false" ht="15" hidden="false" customHeight="true" outlineLevel="0" collapsed="false">
      <c r="A2183" s="42"/>
      <c r="B2183" s="42"/>
      <c r="C2183" s="42"/>
      <c r="D2183" s="42"/>
      <c r="E2183" s="42"/>
      <c r="F2183" s="51" t="n">
        <f aca="false">IF(OR(C2183="",D2183="",E2183="",E2183=0),0,C2183*D2183/E2183)</f>
        <v>0</v>
      </c>
      <c r="G2183" s="42"/>
      <c r="H2183" s="49" t="n">
        <f aca="true">IF(OR($A2183="",_xlfn.MINIFS($B$3:$B$5000,$A$3:$A$5000,$A2183,$B$3:$B$5000,"&gt;"&amp;$B2183)=0),NOW(),_xlfn.MINIFS($B$3:$B$5000,$A$3:$A$5000,$A2183,$B$3:$B$5000,"&gt;"&amp;$B2183))</f>
        <v>46279.5987643874</v>
      </c>
    </row>
    <row r="2184" customFormat="false" ht="15" hidden="false" customHeight="true" outlineLevel="0" collapsed="false">
      <c r="A2184" s="42"/>
      <c r="B2184" s="42"/>
      <c r="C2184" s="42"/>
      <c r="D2184" s="42"/>
      <c r="E2184" s="42"/>
      <c r="F2184" s="51" t="n">
        <f aca="false">IF(OR(C2184="",D2184="",E2184="",E2184=0),0,C2184*D2184/E2184)</f>
        <v>0</v>
      </c>
      <c r="G2184" s="42"/>
      <c r="H2184" s="49" t="n">
        <f aca="true">IF(OR($A2184="",_xlfn.MINIFS($B$3:$B$5000,$A$3:$A$5000,$A2184,$B$3:$B$5000,"&gt;"&amp;$B2184)=0),NOW(),_xlfn.MINIFS($B$3:$B$5000,$A$3:$A$5000,$A2184,$B$3:$B$5000,"&gt;"&amp;$B2184))</f>
        <v>46279.5987643875</v>
      </c>
    </row>
    <row r="2185" customFormat="false" ht="15" hidden="false" customHeight="true" outlineLevel="0" collapsed="false">
      <c r="A2185" s="42"/>
      <c r="B2185" s="42"/>
      <c r="C2185" s="42"/>
      <c r="D2185" s="42"/>
      <c r="E2185" s="42"/>
      <c r="F2185" s="51" t="n">
        <f aca="false">IF(OR(C2185="",D2185="",E2185="",E2185=0),0,C2185*D2185/E2185)</f>
        <v>0</v>
      </c>
      <c r="G2185" s="42"/>
      <c r="H2185" s="49" t="n">
        <f aca="true">IF(OR($A2185="",_xlfn.MINIFS($B$3:$B$5000,$A$3:$A$5000,$A2185,$B$3:$B$5000,"&gt;"&amp;$B2185)=0),NOW(),_xlfn.MINIFS($B$3:$B$5000,$A$3:$A$5000,$A2185,$B$3:$B$5000,"&gt;"&amp;$B2185))</f>
        <v>46279.5987643875</v>
      </c>
    </row>
    <row r="2186" customFormat="false" ht="15" hidden="false" customHeight="true" outlineLevel="0" collapsed="false">
      <c r="A2186" s="42"/>
      <c r="B2186" s="42"/>
      <c r="C2186" s="42"/>
      <c r="D2186" s="42"/>
      <c r="E2186" s="42"/>
      <c r="F2186" s="51" t="n">
        <f aca="false">IF(OR(C2186="",D2186="",E2186="",E2186=0),0,C2186*D2186/E2186)</f>
        <v>0</v>
      </c>
      <c r="G2186" s="42"/>
      <c r="H2186" s="49" t="n">
        <f aca="true">IF(OR($A2186="",_xlfn.MINIFS($B$3:$B$5000,$A$3:$A$5000,$A2186,$B$3:$B$5000,"&gt;"&amp;$B2186)=0),NOW(),_xlfn.MINIFS($B$3:$B$5000,$A$3:$A$5000,$A2186,$B$3:$B$5000,"&gt;"&amp;$B2186))</f>
        <v>46279.5987643876</v>
      </c>
    </row>
    <row r="2187" customFormat="false" ht="15" hidden="false" customHeight="true" outlineLevel="0" collapsed="false">
      <c r="A2187" s="42"/>
      <c r="B2187" s="42"/>
      <c r="C2187" s="42"/>
      <c r="D2187" s="42"/>
      <c r="E2187" s="42"/>
      <c r="F2187" s="51" t="n">
        <f aca="false">IF(OR(C2187="",D2187="",E2187="",E2187=0),0,C2187*D2187/E2187)</f>
        <v>0</v>
      </c>
      <c r="G2187" s="42"/>
      <c r="H2187" s="49" t="n">
        <f aca="true">IF(OR($A2187="",_xlfn.MINIFS($B$3:$B$5000,$A$3:$A$5000,$A2187,$B$3:$B$5000,"&gt;"&amp;$B2187)=0),NOW(),_xlfn.MINIFS($B$3:$B$5000,$A$3:$A$5000,$A2187,$B$3:$B$5000,"&gt;"&amp;$B2187))</f>
        <v>46279.5987643876</v>
      </c>
    </row>
    <row r="2188" customFormat="false" ht="15" hidden="false" customHeight="true" outlineLevel="0" collapsed="false">
      <c r="A2188" s="42"/>
      <c r="B2188" s="42"/>
      <c r="C2188" s="42"/>
      <c r="D2188" s="42"/>
      <c r="E2188" s="42"/>
      <c r="F2188" s="51" t="n">
        <f aca="false">IF(OR(C2188="",D2188="",E2188="",E2188=0),0,C2188*D2188/E2188)</f>
        <v>0</v>
      </c>
      <c r="G2188" s="42"/>
      <c r="H2188" s="49" t="n">
        <f aca="true">IF(OR($A2188="",_xlfn.MINIFS($B$3:$B$5000,$A$3:$A$5000,$A2188,$B$3:$B$5000,"&gt;"&amp;$B2188)=0),NOW(),_xlfn.MINIFS($B$3:$B$5000,$A$3:$A$5000,$A2188,$B$3:$B$5000,"&gt;"&amp;$B2188))</f>
        <v>46279.5987643877</v>
      </c>
    </row>
    <row r="2189" customFormat="false" ht="15" hidden="false" customHeight="true" outlineLevel="0" collapsed="false">
      <c r="A2189" s="42"/>
      <c r="B2189" s="42"/>
      <c r="C2189" s="42"/>
      <c r="D2189" s="42"/>
      <c r="E2189" s="42"/>
      <c r="F2189" s="51" t="n">
        <f aca="false">IF(OR(C2189="",D2189="",E2189="",E2189=0),0,C2189*D2189/E2189)</f>
        <v>0</v>
      </c>
      <c r="G2189" s="42"/>
      <c r="H2189" s="49" t="n">
        <f aca="true">IF(OR($A2189="",_xlfn.MINIFS($B$3:$B$5000,$A$3:$A$5000,$A2189,$B$3:$B$5000,"&gt;"&amp;$B2189)=0),NOW(),_xlfn.MINIFS($B$3:$B$5000,$A$3:$A$5000,$A2189,$B$3:$B$5000,"&gt;"&amp;$B2189))</f>
        <v>46279.5987643877</v>
      </c>
    </row>
    <row r="2190" customFormat="false" ht="15" hidden="false" customHeight="true" outlineLevel="0" collapsed="false">
      <c r="A2190" s="42"/>
      <c r="B2190" s="42"/>
      <c r="C2190" s="42"/>
      <c r="D2190" s="42"/>
      <c r="E2190" s="42"/>
      <c r="F2190" s="51" t="n">
        <f aca="false">IF(OR(C2190="",D2190="",E2190="",E2190=0),0,C2190*D2190/E2190)</f>
        <v>0</v>
      </c>
      <c r="G2190" s="42"/>
      <c r="H2190" s="49" t="n">
        <f aca="true">IF(OR($A2190="",_xlfn.MINIFS($B$3:$B$5000,$A$3:$A$5000,$A2190,$B$3:$B$5000,"&gt;"&amp;$B2190)=0),NOW(),_xlfn.MINIFS($B$3:$B$5000,$A$3:$A$5000,$A2190,$B$3:$B$5000,"&gt;"&amp;$B2190))</f>
        <v>46279.5987643878</v>
      </c>
    </row>
    <row r="2191" customFormat="false" ht="15" hidden="false" customHeight="true" outlineLevel="0" collapsed="false">
      <c r="A2191" s="42"/>
      <c r="B2191" s="42"/>
      <c r="C2191" s="42"/>
      <c r="D2191" s="42"/>
      <c r="E2191" s="42"/>
      <c r="F2191" s="51" t="n">
        <f aca="false">IF(OR(C2191="",D2191="",E2191="",E2191=0),0,C2191*D2191/E2191)</f>
        <v>0</v>
      </c>
      <c r="G2191" s="42"/>
      <c r="H2191" s="49" t="n">
        <f aca="true">IF(OR($A2191="",_xlfn.MINIFS($B$3:$B$5000,$A$3:$A$5000,$A2191,$B$3:$B$5000,"&gt;"&amp;$B2191)=0),NOW(),_xlfn.MINIFS($B$3:$B$5000,$A$3:$A$5000,$A2191,$B$3:$B$5000,"&gt;"&amp;$B2191))</f>
        <v>46279.5987643878</v>
      </c>
    </row>
    <row r="2192" customFormat="false" ht="15" hidden="false" customHeight="true" outlineLevel="0" collapsed="false">
      <c r="A2192" s="42"/>
      <c r="B2192" s="42"/>
      <c r="C2192" s="42"/>
      <c r="D2192" s="42"/>
      <c r="E2192" s="42"/>
      <c r="F2192" s="51" t="n">
        <f aca="false">IF(OR(C2192="",D2192="",E2192="",E2192=0),0,C2192*D2192/E2192)</f>
        <v>0</v>
      </c>
      <c r="G2192" s="42"/>
      <c r="H2192" s="49" t="n">
        <f aca="true">IF(OR($A2192="",_xlfn.MINIFS($B$3:$B$5000,$A$3:$A$5000,$A2192,$B$3:$B$5000,"&gt;"&amp;$B2192)=0),NOW(),_xlfn.MINIFS($B$3:$B$5000,$A$3:$A$5000,$A2192,$B$3:$B$5000,"&gt;"&amp;$B2192))</f>
        <v>46279.5987643879</v>
      </c>
    </row>
    <row r="2193" customFormat="false" ht="15" hidden="false" customHeight="true" outlineLevel="0" collapsed="false">
      <c r="A2193" s="42"/>
      <c r="B2193" s="42"/>
      <c r="C2193" s="42"/>
      <c r="D2193" s="42"/>
      <c r="E2193" s="42"/>
      <c r="F2193" s="51" t="n">
        <f aca="false">IF(OR(C2193="",D2193="",E2193="",E2193=0),0,C2193*D2193/E2193)</f>
        <v>0</v>
      </c>
      <c r="G2193" s="42"/>
      <c r="H2193" s="49" t="n">
        <f aca="true">IF(OR($A2193="",_xlfn.MINIFS($B$3:$B$5000,$A$3:$A$5000,$A2193,$B$3:$B$5000,"&gt;"&amp;$B2193)=0),NOW(),_xlfn.MINIFS($B$3:$B$5000,$A$3:$A$5000,$A2193,$B$3:$B$5000,"&gt;"&amp;$B2193))</f>
        <v>46279.5987643879</v>
      </c>
    </row>
    <row r="2194" customFormat="false" ht="15" hidden="false" customHeight="true" outlineLevel="0" collapsed="false">
      <c r="A2194" s="42"/>
      <c r="B2194" s="42"/>
      <c r="C2194" s="42"/>
      <c r="D2194" s="42"/>
      <c r="E2194" s="42"/>
      <c r="F2194" s="51" t="n">
        <f aca="false">IF(OR(C2194="",D2194="",E2194="",E2194=0),0,C2194*D2194/E2194)</f>
        <v>0</v>
      </c>
      <c r="G2194" s="42"/>
      <c r="H2194" s="49" t="n">
        <f aca="true">IF(OR($A2194="",_xlfn.MINIFS($B$3:$B$5000,$A$3:$A$5000,$A2194,$B$3:$B$5000,"&gt;"&amp;$B2194)=0),NOW(),_xlfn.MINIFS($B$3:$B$5000,$A$3:$A$5000,$A2194,$B$3:$B$5000,"&gt;"&amp;$B2194))</f>
        <v>46279.598764388</v>
      </c>
    </row>
    <row r="2195" customFormat="false" ht="15" hidden="false" customHeight="true" outlineLevel="0" collapsed="false">
      <c r="A2195" s="42"/>
      <c r="B2195" s="42"/>
      <c r="C2195" s="42"/>
      <c r="D2195" s="42"/>
      <c r="E2195" s="42"/>
      <c r="F2195" s="51" t="n">
        <f aca="false">IF(OR(C2195="",D2195="",E2195="",E2195=0),0,C2195*D2195/E2195)</f>
        <v>0</v>
      </c>
      <c r="G2195" s="42"/>
      <c r="H2195" s="49" t="n">
        <f aca="true">IF(OR($A2195="",_xlfn.MINIFS($B$3:$B$5000,$A$3:$A$5000,$A2195,$B$3:$B$5000,"&gt;"&amp;$B2195)=0),NOW(),_xlfn.MINIFS($B$3:$B$5000,$A$3:$A$5000,$A2195,$B$3:$B$5000,"&gt;"&amp;$B2195))</f>
        <v>46279.598764388</v>
      </c>
    </row>
    <row r="2196" customFormat="false" ht="15" hidden="false" customHeight="true" outlineLevel="0" collapsed="false">
      <c r="A2196" s="42"/>
      <c r="B2196" s="42"/>
      <c r="C2196" s="42"/>
      <c r="D2196" s="42"/>
      <c r="E2196" s="42"/>
      <c r="F2196" s="51" t="n">
        <f aca="false">IF(OR(C2196="",D2196="",E2196="",E2196=0),0,C2196*D2196/E2196)</f>
        <v>0</v>
      </c>
      <c r="G2196" s="42"/>
      <c r="H2196" s="49" t="n">
        <f aca="true">IF(OR($A2196="",_xlfn.MINIFS($B$3:$B$5000,$A$3:$A$5000,$A2196,$B$3:$B$5000,"&gt;"&amp;$B2196)=0),NOW(),_xlfn.MINIFS($B$3:$B$5000,$A$3:$A$5000,$A2196,$B$3:$B$5000,"&gt;"&amp;$B2196))</f>
        <v>46279.5987643881</v>
      </c>
    </row>
    <row r="2197" customFormat="false" ht="15" hidden="false" customHeight="true" outlineLevel="0" collapsed="false">
      <c r="A2197" s="42"/>
      <c r="B2197" s="42"/>
      <c r="C2197" s="42"/>
      <c r="D2197" s="42"/>
      <c r="E2197" s="42"/>
      <c r="F2197" s="51" t="n">
        <f aca="false">IF(OR(C2197="",D2197="",E2197="",E2197=0),0,C2197*D2197/E2197)</f>
        <v>0</v>
      </c>
      <c r="G2197" s="42"/>
      <c r="H2197" s="49" t="n">
        <f aca="true">IF(OR($A2197="",_xlfn.MINIFS($B$3:$B$5000,$A$3:$A$5000,$A2197,$B$3:$B$5000,"&gt;"&amp;$B2197)=0),NOW(),_xlfn.MINIFS($B$3:$B$5000,$A$3:$A$5000,$A2197,$B$3:$B$5000,"&gt;"&amp;$B2197))</f>
        <v>46279.5987643881</v>
      </c>
    </row>
    <row r="2198" customFormat="false" ht="15" hidden="false" customHeight="true" outlineLevel="0" collapsed="false">
      <c r="A2198" s="42"/>
      <c r="B2198" s="42"/>
      <c r="C2198" s="42"/>
      <c r="D2198" s="42"/>
      <c r="E2198" s="42"/>
      <c r="F2198" s="51" t="n">
        <f aca="false">IF(OR(C2198="",D2198="",E2198="",E2198=0),0,C2198*D2198/E2198)</f>
        <v>0</v>
      </c>
      <c r="G2198" s="42"/>
      <c r="H2198" s="49" t="n">
        <f aca="true">IF(OR($A2198="",_xlfn.MINIFS($B$3:$B$5000,$A$3:$A$5000,$A2198,$B$3:$B$5000,"&gt;"&amp;$B2198)=0),NOW(),_xlfn.MINIFS($B$3:$B$5000,$A$3:$A$5000,$A2198,$B$3:$B$5000,"&gt;"&amp;$B2198))</f>
        <v>46279.5987643882</v>
      </c>
    </row>
    <row r="2199" customFormat="false" ht="15" hidden="false" customHeight="true" outlineLevel="0" collapsed="false">
      <c r="A2199" s="42"/>
      <c r="B2199" s="42"/>
      <c r="C2199" s="42"/>
      <c r="D2199" s="42"/>
      <c r="E2199" s="42"/>
      <c r="F2199" s="51" t="n">
        <f aca="false">IF(OR(C2199="",D2199="",E2199="",E2199=0),0,C2199*D2199/E2199)</f>
        <v>0</v>
      </c>
      <c r="G2199" s="42"/>
      <c r="H2199" s="49" t="n">
        <f aca="true">IF(OR($A2199="",_xlfn.MINIFS($B$3:$B$5000,$A$3:$A$5000,$A2199,$B$3:$B$5000,"&gt;"&amp;$B2199)=0),NOW(),_xlfn.MINIFS($B$3:$B$5000,$A$3:$A$5000,$A2199,$B$3:$B$5000,"&gt;"&amp;$B2199))</f>
        <v>46279.5987643882</v>
      </c>
    </row>
    <row r="2200" customFormat="false" ht="15" hidden="false" customHeight="true" outlineLevel="0" collapsed="false">
      <c r="A2200" s="42"/>
      <c r="B2200" s="42"/>
      <c r="C2200" s="42"/>
      <c r="D2200" s="42"/>
      <c r="E2200" s="42"/>
      <c r="F2200" s="51" t="n">
        <f aca="false">IF(OR(C2200="",D2200="",E2200="",E2200=0),0,C2200*D2200/E2200)</f>
        <v>0</v>
      </c>
      <c r="G2200" s="42"/>
      <c r="H2200" s="49" t="n">
        <f aca="true">IF(OR($A2200="",_xlfn.MINIFS($B$3:$B$5000,$A$3:$A$5000,$A2200,$B$3:$B$5000,"&gt;"&amp;$B2200)=0),NOW(),_xlfn.MINIFS($B$3:$B$5000,$A$3:$A$5000,$A2200,$B$3:$B$5000,"&gt;"&amp;$B2200))</f>
        <v>46279.5987643883</v>
      </c>
    </row>
    <row r="2201" customFormat="false" ht="15" hidden="false" customHeight="true" outlineLevel="0" collapsed="false">
      <c r="A2201" s="42"/>
      <c r="B2201" s="42"/>
      <c r="C2201" s="42"/>
      <c r="D2201" s="42"/>
      <c r="E2201" s="42"/>
      <c r="F2201" s="51" t="n">
        <f aca="false">IF(OR(C2201="",D2201="",E2201="",E2201=0),0,C2201*D2201/E2201)</f>
        <v>0</v>
      </c>
      <c r="G2201" s="42"/>
      <c r="H2201" s="49" t="n">
        <f aca="true">IF(OR($A2201="",_xlfn.MINIFS($B$3:$B$5000,$A$3:$A$5000,$A2201,$B$3:$B$5000,"&gt;"&amp;$B2201)=0),NOW(),_xlfn.MINIFS($B$3:$B$5000,$A$3:$A$5000,$A2201,$B$3:$B$5000,"&gt;"&amp;$B2201))</f>
        <v>46279.5987643883</v>
      </c>
    </row>
    <row r="2202" customFormat="false" ht="15" hidden="false" customHeight="true" outlineLevel="0" collapsed="false">
      <c r="A2202" s="42"/>
      <c r="B2202" s="42"/>
      <c r="C2202" s="42"/>
      <c r="D2202" s="42"/>
      <c r="E2202" s="42"/>
      <c r="F2202" s="51" t="n">
        <f aca="false">IF(OR(C2202="",D2202="",E2202="",E2202=0),0,C2202*D2202/E2202)</f>
        <v>0</v>
      </c>
      <c r="G2202" s="42"/>
      <c r="H2202" s="49" t="n">
        <f aca="true">IF(OR($A2202="",_xlfn.MINIFS($B$3:$B$5000,$A$3:$A$5000,$A2202,$B$3:$B$5000,"&gt;"&amp;$B2202)=0),NOW(),_xlfn.MINIFS($B$3:$B$5000,$A$3:$A$5000,$A2202,$B$3:$B$5000,"&gt;"&amp;$B2202))</f>
        <v>46279.5987643884</v>
      </c>
    </row>
    <row r="2203" customFormat="false" ht="15" hidden="false" customHeight="true" outlineLevel="0" collapsed="false">
      <c r="A2203" s="42"/>
      <c r="B2203" s="42"/>
      <c r="C2203" s="42"/>
      <c r="D2203" s="42"/>
      <c r="E2203" s="42"/>
      <c r="F2203" s="51" t="n">
        <f aca="false">IF(OR(C2203="",D2203="",E2203="",E2203=0),0,C2203*D2203/E2203)</f>
        <v>0</v>
      </c>
      <c r="G2203" s="42"/>
      <c r="H2203" s="49" t="n">
        <f aca="true">IF(OR($A2203="",_xlfn.MINIFS($B$3:$B$5000,$A$3:$A$5000,$A2203,$B$3:$B$5000,"&gt;"&amp;$B2203)=0),NOW(),_xlfn.MINIFS($B$3:$B$5000,$A$3:$A$5000,$A2203,$B$3:$B$5000,"&gt;"&amp;$B2203))</f>
        <v>46279.5987643884</v>
      </c>
    </row>
    <row r="2204" customFormat="false" ht="15" hidden="false" customHeight="true" outlineLevel="0" collapsed="false">
      <c r="A2204" s="42"/>
      <c r="B2204" s="42"/>
      <c r="C2204" s="42"/>
      <c r="D2204" s="42"/>
      <c r="E2204" s="42"/>
      <c r="F2204" s="51" t="n">
        <f aca="false">IF(OR(C2204="",D2204="",E2204="",E2204=0),0,C2204*D2204/E2204)</f>
        <v>0</v>
      </c>
      <c r="G2204" s="42"/>
      <c r="H2204" s="49" t="n">
        <f aca="true">IF(OR($A2204="",_xlfn.MINIFS($B$3:$B$5000,$A$3:$A$5000,$A2204,$B$3:$B$5000,"&gt;"&amp;$B2204)=0),NOW(),_xlfn.MINIFS($B$3:$B$5000,$A$3:$A$5000,$A2204,$B$3:$B$5000,"&gt;"&amp;$B2204))</f>
        <v>46279.5987643885</v>
      </c>
    </row>
    <row r="2205" customFormat="false" ht="15" hidden="false" customHeight="true" outlineLevel="0" collapsed="false">
      <c r="A2205" s="42"/>
      <c r="B2205" s="42"/>
      <c r="C2205" s="42"/>
      <c r="D2205" s="42"/>
      <c r="E2205" s="42"/>
      <c r="F2205" s="51" t="n">
        <f aca="false">IF(OR(C2205="",D2205="",E2205="",E2205=0),0,C2205*D2205/E2205)</f>
        <v>0</v>
      </c>
      <c r="G2205" s="42"/>
      <c r="H2205" s="49" t="n">
        <f aca="true">IF(OR($A2205="",_xlfn.MINIFS($B$3:$B$5000,$A$3:$A$5000,$A2205,$B$3:$B$5000,"&gt;"&amp;$B2205)=0),NOW(),_xlfn.MINIFS($B$3:$B$5000,$A$3:$A$5000,$A2205,$B$3:$B$5000,"&gt;"&amp;$B2205))</f>
        <v>46279.5987643885</v>
      </c>
    </row>
    <row r="2206" customFormat="false" ht="15" hidden="false" customHeight="true" outlineLevel="0" collapsed="false">
      <c r="A2206" s="42"/>
      <c r="B2206" s="42"/>
      <c r="C2206" s="42"/>
      <c r="D2206" s="42"/>
      <c r="E2206" s="42"/>
      <c r="F2206" s="51" t="n">
        <f aca="false">IF(OR(C2206="",D2206="",E2206="",E2206=0),0,C2206*D2206/E2206)</f>
        <v>0</v>
      </c>
      <c r="G2206" s="42"/>
      <c r="H2206" s="49" t="n">
        <f aca="true">IF(OR($A2206="",_xlfn.MINIFS($B$3:$B$5000,$A$3:$A$5000,$A2206,$B$3:$B$5000,"&gt;"&amp;$B2206)=0),NOW(),_xlfn.MINIFS($B$3:$B$5000,$A$3:$A$5000,$A2206,$B$3:$B$5000,"&gt;"&amp;$B2206))</f>
        <v>46279.5987643886</v>
      </c>
    </row>
    <row r="2207" customFormat="false" ht="15" hidden="false" customHeight="true" outlineLevel="0" collapsed="false">
      <c r="A2207" s="42"/>
      <c r="B2207" s="42"/>
      <c r="C2207" s="42"/>
      <c r="D2207" s="42"/>
      <c r="E2207" s="42"/>
      <c r="F2207" s="51" t="n">
        <f aca="false">IF(OR(C2207="",D2207="",E2207="",E2207=0),0,C2207*D2207/E2207)</f>
        <v>0</v>
      </c>
      <c r="G2207" s="42"/>
      <c r="H2207" s="49" t="n">
        <f aca="true">IF(OR($A2207="",_xlfn.MINIFS($B$3:$B$5000,$A$3:$A$5000,$A2207,$B$3:$B$5000,"&gt;"&amp;$B2207)=0),NOW(),_xlfn.MINIFS($B$3:$B$5000,$A$3:$A$5000,$A2207,$B$3:$B$5000,"&gt;"&amp;$B2207))</f>
        <v>46279.5987643886</v>
      </c>
    </row>
    <row r="2208" customFormat="false" ht="15" hidden="false" customHeight="true" outlineLevel="0" collapsed="false">
      <c r="A2208" s="42"/>
      <c r="B2208" s="42"/>
      <c r="C2208" s="42"/>
      <c r="D2208" s="42"/>
      <c r="E2208" s="42"/>
      <c r="F2208" s="51" t="n">
        <f aca="false">IF(OR(C2208="",D2208="",E2208="",E2208=0),0,C2208*D2208/E2208)</f>
        <v>0</v>
      </c>
      <c r="G2208" s="42"/>
      <c r="H2208" s="49" t="n">
        <f aca="true">IF(OR($A2208="",_xlfn.MINIFS($B$3:$B$5000,$A$3:$A$5000,$A2208,$B$3:$B$5000,"&gt;"&amp;$B2208)=0),NOW(),_xlfn.MINIFS($B$3:$B$5000,$A$3:$A$5000,$A2208,$B$3:$B$5000,"&gt;"&amp;$B2208))</f>
        <v>46279.5987643887</v>
      </c>
    </row>
    <row r="2209" customFormat="false" ht="15" hidden="false" customHeight="true" outlineLevel="0" collapsed="false">
      <c r="A2209" s="42"/>
      <c r="B2209" s="42"/>
      <c r="C2209" s="42"/>
      <c r="D2209" s="42"/>
      <c r="E2209" s="42"/>
      <c r="F2209" s="51" t="n">
        <f aca="false">IF(OR(C2209="",D2209="",E2209="",E2209=0),0,C2209*D2209/E2209)</f>
        <v>0</v>
      </c>
      <c r="G2209" s="42"/>
      <c r="H2209" s="49" t="n">
        <f aca="true">IF(OR($A2209="",_xlfn.MINIFS($B$3:$B$5000,$A$3:$A$5000,$A2209,$B$3:$B$5000,"&gt;"&amp;$B2209)=0),NOW(),_xlfn.MINIFS($B$3:$B$5000,$A$3:$A$5000,$A2209,$B$3:$B$5000,"&gt;"&amp;$B2209))</f>
        <v>46279.5987643887</v>
      </c>
    </row>
    <row r="2210" customFormat="false" ht="15" hidden="false" customHeight="true" outlineLevel="0" collapsed="false">
      <c r="A2210" s="42"/>
      <c r="B2210" s="42"/>
      <c r="C2210" s="42"/>
      <c r="D2210" s="42"/>
      <c r="E2210" s="42"/>
      <c r="F2210" s="51" t="n">
        <f aca="false">IF(OR(C2210="",D2210="",E2210="",E2210=0),0,C2210*D2210/E2210)</f>
        <v>0</v>
      </c>
      <c r="G2210" s="42"/>
      <c r="H2210" s="49" t="n">
        <f aca="true">IF(OR($A2210="",_xlfn.MINIFS($B$3:$B$5000,$A$3:$A$5000,$A2210,$B$3:$B$5000,"&gt;"&amp;$B2210)=0),NOW(),_xlfn.MINIFS($B$3:$B$5000,$A$3:$A$5000,$A2210,$B$3:$B$5000,"&gt;"&amp;$B2210))</f>
        <v>46279.5987643888</v>
      </c>
    </row>
    <row r="2211" customFormat="false" ht="15" hidden="false" customHeight="true" outlineLevel="0" collapsed="false">
      <c r="A2211" s="42"/>
      <c r="B2211" s="42"/>
      <c r="C2211" s="42"/>
      <c r="D2211" s="42"/>
      <c r="E2211" s="42"/>
      <c r="F2211" s="51" t="n">
        <f aca="false">IF(OR(C2211="",D2211="",E2211="",E2211=0),0,C2211*D2211/E2211)</f>
        <v>0</v>
      </c>
      <c r="G2211" s="42"/>
      <c r="H2211" s="49" t="n">
        <f aca="true">IF(OR($A2211="",_xlfn.MINIFS($B$3:$B$5000,$A$3:$A$5000,$A2211,$B$3:$B$5000,"&gt;"&amp;$B2211)=0),NOW(),_xlfn.MINIFS($B$3:$B$5000,$A$3:$A$5000,$A2211,$B$3:$B$5000,"&gt;"&amp;$B2211))</f>
        <v>46279.5987643888</v>
      </c>
    </row>
    <row r="2212" customFormat="false" ht="15" hidden="false" customHeight="true" outlineLevel="0" collapsed="false">
      <c r="A2212" s="42"/>
      <c r="B2212" s="42"/>
      <c r="C2212" s="42"/>
      <c r="D2212" s="42"/>
      <c r="E2212" s="42"/>
      <c r="F2212" s="51" t="n">
        <f aca="false">IF(OR(C2212="",D2212="",E2212="",E2212=0),0,C2212*D2212/E2212)</f>
        <v>0</v>
      </c>
      <c r="G2212" s="42"/>
      <c r="H2212" s="49" t="n">
        <f aca="true">IF(OR($A2212="",_xlfn.MINIFS($B$3:$B$5000,$A$3:$A$5000,$A2212,$B$3:$B$5000,"&gt;"&amp;$B2212)=0),NOW(),_xlfn.MINIFS($B$3:$B$5000,$A$3:$A$5000,$A2212,$B$3:$B$5000,"&gt;"&amp;$B2212))</f>
        <v>46279.5987643889</v>
      </c>
    </row>
    <row r="2213" customFormat="false" ht="15" hidden="false" customHeight="true" outlineLevel="0" collapsed="false">
      <c r="A2213" s="42"/>
      <c r="B2213" s="42"/>
      <c r="C2213" s="42"/>
      <c r="D2213" s="42"/>
      <c r="E2213" s="42"/>
      <c r="F2213" s="51" t="n">
        <f aca="false">IF(OR(C2213="",D2213="",E2213="",E2213=0),0,C2213*D2213/E2213)</f>
        <v>0</v>
      </c>
      <c r="G2213" s="42"/>
      <c r="H2213" s="49" t="n">
        <f aca="true">IF(OR($A2213="",_xlfn.MINIFS($B$3:$B$5000,$A$3:$A$5000,$A2213,$B$3:$B$5000,"&gt;"&amp;$B2213)=0),NOW(),_xlfn.MINIFS($B$3:$B$5000,$A$3:$A$5000,$A2213,$B$3:$B$5000,"&gt;"&amp;$B2213))</f>
        <v>46279.5987643889</v>
      </c>
    </row>
    <row r="2214" customFormat="false" ht="15" hidden="false" customHeight="true" outlineLevel="0" collapsed="false">
      <c r="A2214" s="42"/>
      <c r="B2214" s="42"/>
      <c r="C2214" s="42"/>
      <c r="D2214" s="42"/>
      <c r="E2214" s="42"/>
      <c r="F2214" s="51" t="n">
        <f aca="false">IF(OR(C2214="",D2214="",E2214="",E2214=0),0,C2214*D2214/E2214)</f>
        <v>0</v>
      </c>
      <c r="G2214" s="42"/>
      <c r="H2214" s="49" t="n">
        <f aca="true">IF(OR($A2214="",_xlfn.MINIFS($B$3:$B$5000,$A$3:$A$5000,$A2214,$B$3:$B$5000,"&gt;"&amp;$B2214)=0),NOW(),_xlfn.MINIFS($B$3:$B$5000,$A$3:$A$5000,$A2214,$B$3:$B$5000,"&gt;"&amp;$B2214))</f>
        <v>46279.598764389</v>
      </c>
    </row>
    <row r="2215" customFormat="false" ht="15" hidden="false" customHeight="true" outlineLevel="0" collapsed="false">
      <c r="A2215" s="42"/>
      <c r="B2215" s="42"/>
      <c r="C2215" s="42"/>
      <c r="D2215" s="42"/>
      <c r="E2215" s="42"/>
      <c r="F2215" s="51" t="n">
        <f aca="false">IF(OR(C2215="",D2215="",E2215="",E2215=0),0,C2215*D2215/E2215)</f>
        <v>0</v>
      </c>
      <c r="G2215" s="42"/>
      <c r="H2215" s="49" t="n">
        <f aca="true">IF(OR($A2215="",_xlfn.MINIFS($B$3:$B$5000,$A$3:$A$5000,$A2215,$B$3:$B$5000,"&gt;"&amp;$B2215)=0),NOW(),_xlfn.MINIFS($B$3:$B$5000,$A$3:$A$5000,$A2215,$B$3:$B$5000,"&gt;"&amp;$B2215))</f>
        <v>46279.598764389</v>
      </c>
    </row>
    <row r="2216" customFormat="false" ht="15" hidden="false" customHeight="true" outlineLevel="0" collapsed="false">
      <c r="A2216" s="42"/>
      <c r="B2216" s="42"/>
      <c r="C2216" s="42"/>
      <c r="D2216" s="42"/>
      <c r="E2216" s="42"/>
      <c r="F2216" s="51" t="n">
        <f aca="false">IF(OR(C2216="",D2216="",E2216="",E2216=0),0,C2216*D2216/E2216)</f>
        <v>0</v>
      </c>
      <c r="G2216" s="42"/>
      <c r="H2216" s="49" t="n">
        <f aca="true">IF(OR($A2216="",_xlfn.MINIFS($B$3:$B$5000,$A$3:$A$5000,$A2216,$B$3:$B$5000,"&gt;"&amp;$B2216)=0),NOW(),_xlfn.MINIFS($B$3:$B$5000,$A$3:$A$5000,$A2216,$B$3:$B$5000,"&gt;"&amp;$B2216))</f>
        <v>46279.5987643891</v>
      </c>
    </row>
    <row r="2217" customFormat="false" ht="15" hidden="false" customHeight="true" outlineLevel="0" collapsed="false">
      <c r="A2217" s="42"/>
      <c r="B2217" s="42"/>
      <c r="C2217" s="42"/>
      <c r="D2217" s="42"/>
      <c r="E2217" s="42"/>
      <c r="F2217" s="51" t="n">
        <f aca="false">IF(OR(C2217="",D2217="",E2217="",E2217=0),0,C2217*D2217/E2217)</f>
        <v>0</v>
      </c>
      <c r="G2217" s="42"/>
      <c r="H2217" s="49" t="n">
        <f aca="true">IF(OR($A2217="",_xlfn.MINIFS($B$3:$B$5000,$A$3:$A$5000,$A2217,$B$3:$B$5000,"&gt;"&amp;$B2217)=0),NOW(),_xlfn.MINIFS($B$3:$B$5000,$A$3:$A$5000,$A2217,$B$3:$B$5000,"&gt;"&amp;$B2217))</f>
        <v>46279.5987643891</v>
      </c>
    </row>
    <row r="2218" customFormat="false" ht="15" hidden="false" customHeight="true" outlineLevel="0" collapsed="false">
      <c r="A2218" s="42"/>
      <c r="B2218" s="42"/>
      <c r="C2218" s="42"/>
      <c r="D2218" s="42"/>
      <c r="E2218" s="42"/>
      <c r="F2218" s="51" t="n">
        <f aca="false">IF(OR(C2218="",D2218="",E2218="",E2218=0),0,C2218*D2218/E2218)</f>
        <v>0</v>
      </c>
      <c r="G2218" s="42"/>
      <c r="H2218" s="49" t="n">
        <f aca="true">IF(OR($A2218="",_xlfn.MINIFS($B$3:$B$5000,$A$3:$A$5000,$A2218,$B$3:$B$5000,"&gt;"&amp;$B2218)=0),NOW(),_xlfn.MINIFS($B$3:$B$5000,$A$3:$A$5000,$A2218,$B$3:$B$5000,"&gt;"&amp;$B2218))</f>
        <v>46279.5987643892</v>
      </c>
    </row>
    <row r="2219" customFormat="false" ht="15" hidden="false" customHeight="true" outlineLevel="0" collapsed="false">
      <c r="A2219" s="42"/>
      <c r="B2219" s="42"/>
      <c r="C2219" s="42"/>
      <c r="D2219" s="42"/>
      <c r="E2219" s="42"/>
      <c r="F2219" s="51" t="n">
        <f aca="false">IF(OR(C2219="",D2219="",E2219="",E2219=0),0,C2219*D2219/E2219)</f>
        <v>0</v>
      </c>
      <c r="G2219" s="42"/>
      <c r="H2219" s="49" t="n">
        <f aca="true">IF(OR($A2219="",_xlfn.MINIFS($B$3:$B$5000,$A$3:$A$5000,$A2219,$B$3:$B$5000,"&gt;"&amp;$B2219)=0),NOW(),_xlfn.MINIFS($B$3:$B$5000,$A$3:$A$5000,$A2219,$B$3:$B$5000,"&gt;"&amp;$B2219))</f>
        <v>46279.5987643892</v>
      </c>
    </row>
    <row r="2220" customFormat="false" ht="15" hidden="false" customHeight="true" outlineLevel="0" collapsed="false">
      <c r="A2220" s="42"/>
      <c r="B2220" s="42"/>
      <c r="C2220" s="42"/>
      <c r="D2220" s="42"/>
      <c r="E2220" s="42"/>
      <c r="F2220" s="51" t="n">
        <f aca="false">IF(OR(C2220="",D2220="",E2220="",E2220=0),0,C2220*D2220/E2220)</f>
        <v>0</v>
      </c>
      <c r="G2220" s="42"/>
      <c r="H2220" s="49" t="n">
        <f aca="true">IF(OR($A2220="",_xlfn.MINIFS($B$3:$B$5000,$A$3:$A$5000,$A2220,$B$3:$B$5000,"&gt;"&amp;$B2220)=0),NOW(),_xlfn.MINIFS($B$3:$B$5000,$A$3:$A$5000,$A2220,$B$3:$B$5000,"&gt;"&amp;$B2220))</f>
        <v>46279.5987643893</v>
      </c>
    </row>
    <row r="2221" customFormat="false" ht="15" hidden="false" customHeight="true" outlineLevel="0" collapsed="false">
      <c r="A2221" s="42"/>
      <c r="B2221" s="42"/>
      <c r="C2221" s="42"/>
      <c r="D2221" s="42"/>
      <c r="E2221" s="42"/>
      <c r="F2221" s="51" t="n">
        <f aca="false">IF(OR(C2221="",D2221="",E2221="",E2221=0),0,C2221*D2221/E2221)</f>
        <v>0</v>
      </c>
      <c r="G2221" s="42"/>
      <c r="H2221" s="49" t="n">
        <f aca="true">IF(OR($A2221="",_xlfn.MINIFS($B$3:$B$5000,$A$3:$A$5000,$A2221,$B$3:$B$5000,"&gt;"&amp;$B2221)=0),NOW(),_xlfn.MINIFS($B$3:$B$5000,$A$3:$A$5000,$A2221,$B$3:$B$5000,"&gt;"&amp;$B2221))</f>
        <v>46279.5987643893</v>
      </c>
    </row>
    <row r="2222" customFormat="false" ht="15" hidden="false" customHeight="true" outlineLevel="0" collapsed="false">
      <c r="A2222" s="42"/>
      <c r="B2222" s="42"/>
      <c r="C2222" s="42"/>
      <c r="D2222" s="42"/>
      <c r="E2222" s="42"/>
      <c r="F2222" s="51" t="n">
        <f aca="false">IF(OR(C2222="",D2222="",E2222="",E2222=0),0,C2222*D2222/E2222)</f>
        <v>0</v>
      </c>
      <c r="G2222" s="42"/>
      <c r="H2222" s="49" t="n">
        <f aca="true">IF(OR($A2222="",_xlfn.MINIFS($B$3:$B$5000,$A$3:$A$5000,$A2222,$B$3:$B$5000,"&gt;"&amp;$B2222)=0),NOW(),_xlfn.MINIFS($B$3:$B$5000,$A$3:$A$5000,$A2222,$B$3:$B$5000,"&gt;"&amp;$B2222))</f>
        <v>46279.5987643894</v>
      </c>
    </row>
    <row r="2223" customFormat="false" ht="15" hidden="false" customHeight="true" outlineLevel="0" collapsed="false">
      <c r="A2223" s="42"/>
      <c r="B2223" s="42"/>
      <c r="C2223" s="42"/>
      <c r="D2223" s="42"/>
      <c r="E2223" s="42"/>
      <c r="F2223" s="51" t="n">
        <f aca="false">IF(OR(C2223="",D2223="",E2223="",E2223=0),0,C2223*D2223/E2223)</f>
        <v>0</v>
      </c>
      <c r="G2223" s="42"/>
      <c r="H2223" s="49" t="n">
        <f aca="true">IF(OR($A2223="",_xlfn.MINIFS($B$3:$B$5000,$A$3:$A$5000,$A2223,$B$3:$B$5000,"&gt;"&amp;$B2223)=0),NOW(),_xlfn.MINIFS($B$3:$B$5000,$A$3:$A$5000,$A2223,$B$3:$B$5000,"&gt;"&amp;$B2223))</f>
        <v>46279.5987643894</v>
      </c>
    </row>
    <row r="2224" customFormat="false" ht="15" hidden="false" customHeight="true" outlineLevel="0" collapsed="false">
      <c r="A2224" s="42"/>
      <c r="B2224" s="42"/>
      <c r="C2224" s="42"/>
      <c r="D2224" s="42"/>
      <c r="E2224" s="42"/>
      <c r="F2224" s="51" t="n">
        <f aca="false">IF(OR(C2224="",D2224="",E2224="",E2224=0),0,C2224*D2224/E2224)</f>
        <v>0</v>
      </c>
      <c r="G2224" s="42"/>
      <c r="H2224" s="49" t="n">
        <f aca="true">IF(OR($A2224="",_xlfn.MINIFS($B$3:$B$5000,$A$3:$A$5000,$A2224,$B$3:$B$5000,"&gt;"&amp;$B2224)=0),NOW(),_xlfn.MINIFS($B$3:$B$5000,$A$3:$A$5000,$A2224,$B$3:$B$5000,"&gt;"&amp;$B2224))</f>
        <v>46279.5987643895</v>
      </c>
    </row>
    <row r="2225" customFormat="false" ht="15" hidden="false" customHeight="true" outlineLevel="0" collapsed="false">
      <c r="A2225" s="42"/>
      <c r="B2225" s="42"/>
      <c r="C2225" s="42"/>
      <c r="D2225" s="42"/>
      <c r="E2225" s="42"/>
      <c r="F2225" s="51" t="n">
        <f aca="false">IF(OR(C2225="",D2225="",E2225="",E2225=0),0,C2225*D2225/E2225)</f>
        <v>0</v>
      </c>
      <c r="G2225" s="42"/>
      <c r="H2225" s="49" t="n">
        <f aca="true">IF(OR($A2225="",_xlfn.MINIFS($B$3:$B$5000,$A$3:$A$5000,$A2225,$B$3:$B$5000,"&gt;"&amp;$B2225)=0),NOW(),_xlfn.MINIFS($B$3:$B$5000,$A$3:$A$5000,$A2225,$B$3:$B$5000,"&gt;"&amp;$B2225))</f>
        <v>46279.5987643895</v>
      </c>
    </row>
    <row r="2226" customFormat="false" ht="15" hidden="false" customHeight="true" outlineLevel="0" collapsed="false">
      <c r="A2226" s="42"/>
      <c r="B2226" s="42"/>
      <c r="C2226" s="42"/>
      <c r="D2226" s="42"/>
      <c r="E2226" s="42"/>
      <c r="F2226" s="51" t="n">
        <f aca="false">IF(OR(C2226="",D2226="",E2226="",E2226=0),0,C2226*D2226/E2226)</f>
        <v>0</v>
      </c>
      <c r="G2226" s="42"/>
      <c r="H2226" s="49" t="n">
        <f aca="true">IF(OR($A2226="",_xlfn.MINIFS($B$3:$B$5000,$A$3:$A$5000,$A2226,$B$3:$B$5000,"&gt;"&amp;$B2226)=0),NOW(),_xlfn.MINIFS($B$3:$B$5000,$A$3:$A$5000,$A2226,$B$3:$B$5000,"&gt;"&amp;$B2226))</f>
        <v>46279.5987643896</v>
      </c>
    </row>
    <row r="2227" customFormat="false" ht="15" hidden="false" customHeight="true" outlineLevel="0" collapsed="false">
      <c r="A2227" s="42"/>
      <c r="B2227" s="42"/>
      <c r="C2227" s="42"/>
      <c r="D2227" s="42"/>
      <c r="E2227" s="42"/>
      <c r="F2227" s="51" t="n">
        <f aca="false">IF(OR(C2227="",D2227="",E2227="",E2227=0),0,C2227*D2227/E2227)</f>
        <v>0</v>
      </c>
      <c r="G2227" s="42"/>
      <c r="H2227" s="49" t="n">
        <f aca="true">IF(OR($A2227="",_xlfn.MINIFS($B$3:$B$5000,$A$3:$A$5000,$A2227,$B$3:$B$5000,"&gt;"&amp;$B2227)=0),NOW(),_xlfn.MINIFS($B$3:$B$5000,$A$3:$A$5000,$A2227,$B$3:$B$5000,"&gt;"&amp;$B2227))</f>
        <v>46279.5987643896</v>
      </c>
    </row>
    <row r="2228" customFormat="false" ht="15" hidden="false" customHeight="true" outlineLevel="0" collapsed="false">
      <c r="A2228" s="42"/>
      <c r="B2228" s="42"/>
      <c r="C2228" s="42"/>
      <c r="D2228" s="42"/>
      <c r="E2228" s="42"/>
      <c r="F2228" s="51" t="n">
        <f aca="false">IF(OR(C2228="",D2228="",E2228="",E2228=0),0,C2228*D2228/E2228)</f>
        <v>0</v>
      </c>
      <c r="G2228" s="42"/>
      <c r="H2228" s="49" t="n">
        <f aca="true">IF(OR($A2228="",_xlfn.MINIFS($B$3:$B$5000,$A$3:$A$5000,$A2228,$B$3:$B$5000,"&gt;"&amp;$B2228)=0),NOW(),_xlfn.MINIFS($B$3:$B$5000,$A$3:$A$5000,$A2228,$B$3:$B$5000,"&gt;"&amp;$B2228))</f>
        <v>46279.5987643897</v>
      </c>
    </row>
    <row r="2229" customFormat="false" ht="15" hidden="false" customHeight="true" outlineLevel="0" collapsed="false">
      <c r="A2229" s="42"/>
      <c r="B2229" s="42"/>
      <c r="C2229" s="42"/>
      <c r="D2229" s="42"/>
      <c r="E2229" s="42"/>
      <c r="F2229" s="51" t="n">
        <f aca="false">IF(OR(C2229="",D2229="",E2229="",E2229=0),0,C2229*D2229/E2229)</f>
        <v>0</v>
      </c>
      <c r="G2229" s="42"/>
      <c r="H2229" s="49" t="n">
        <f aca="true">IF(OR($A2229="",_xlfn.MINIFS($B$3:$B$5000,$A$3:$A$5000,$A2229,$B$3:$B$5000,"&gt;"&amp;$B2229)=0),NOW(),_xlfn.MINIFS($B$3:$B$5000,$A$3:$A$5000,$A2229,$B$3:$B$5000,"&gt;"&amp;$B2229))</f>
        <v>46279.5987643897</v>
      </c>
    </row>
    <row r="2230" customFormat="false" ht="15" hidden="false" customHeight="true" outlineLevel="0" collapsed="false">
      <c r="A2230" s="42"/>
      <c r="B2230" s="42"/>
      <c r="C2230" s="42"/>
      <c r="D2230" s="42"/>
      <c r="E2230" s="42"/>
      <c r="F2230" s="51" t="n">
        <f aca="false">IF(OR(C2230="",D2230="",E2230="",E2230=0),0,C2230*D2230/E2230)</f>
        <v>0</v>
      </c>
      <c r="G2230" s="42"/>
      <c r="H2230" s="49" t="n">
        <f aca="true">IF(OR($A2230="",_xlfn.MINIFS($B$3:$B$5000,$A$3:$A$5000,$A2230,$B$3:$B$5000,"&gt;"&amp;$B2230)=0),NOW(),_xlfn.MINIFS($B$3:$B$5000,$A$3:$A$5000,$A2230,$B$3:$B$5000,"&gt;"&amp;$B2230))</f>
        <v>46279.5987643898</v>
      </c>
    </row>
    <row r="2231" customFormat="false" ht="15" hidden="false" customHeight="true" outlineLevel="0" collapsed="false">
      <c r="A2231" s="42"/>
      <c r="B2231" s="42"/>
      <c r="C2231" s="42"/>
      <c r="D2231" s="42"/>
      <c r="E2231" s="42"/>
      <c r="F2231" s="51" t="n">
        <f aca="false">IF(OR(C2231="",D2231="",E2231="",E2231=0),0,C2231*D2231/E2231)</f>
        <v>0</v>
      </c>
      <c r="G2231" s="42"/>
      <c r="H2231" s="49" t="n">
        <f aca="true">IF(OR($A2231="",_xlfn.MINIFS($B$3:$B$5000,$A$3:$A$5000,$A2231,$B$3:$B$5000,"&gt;"&amp;$B2231)=0),NOW(),_xlfn.MINIFS($B$3:$B$5000,$A$3:$A$5000,$A2231,$B$3:$B$5000,"&gt;"&amp;$B2231))</f>
        <v>46279.5987643898</v>
      </c>
    </row>
    <row r="2232" customFormat="false" ht="15" hidden="false" customHeight="true" outlineLevel="0" collapsed="false">
      <c r="A2232" s="42"/>
      <c r="B2232" s="42"/>
      <c r="C2232" s="42"/>
      <c r="D2232" s="42"/>
      <c r="E2232" s="42"/>
      <c r="F2232" s="51" t="n">
        <f aca="false">IF(OR(C2232="",D2232="",E2232="",E2232=0),0,C2232*D2232/E2232)</f>
        <v>0</v>
      </c>
      <c r="G2232" s="42"/>
      <c r="H2232" s="49" t="n">
        <f aca="true">IF(OR($A2232="",_xlfn.MINIFS($B$3:$B$5000,$A$3:$A$5000,$A2232,$B$3:$B$5000,"&gt;"&amp;$B2232)=0),NOW(),_xlfn.MINIFS($B$3:$B$5000,$A$3:$A$5000,$A2232,$B$3:$B$5000,"&gt;"&amp;$B2232))</f>
        <v>46279.5987643899</v>
      </c>
    </row>
    <row r="2233" customFormat="false" ht="15" hidden="false" customHeight="true" outlineLevel="0" collapsed="false">
      <c r="A2233" s="42"/>
      <c r="B2233" s="42"/>
      <c r="C2233" s="42"/>
      <c r="D2233" s="42"/>
      <c r="E2233" s="42"/>
      <c r="F2233" s="51" t="n">
        <f aca="false">IF(OR(C2233="",D2233="",E2233="",E2233=0),0,C2233*D2233/E2233)</f>
        <v>0</v>
      </c>
      <c r="G2233" s="42"/>
      <c r="H2233" s="49" t="n">
        <f aca="true">IF(OR($A2233="",_xlfn.MINIFS($B$3:$B$5000,$A$3:$A$5000,$A2233,$B$3:$B$5000,"&gt;"&amp;$B2233)=0),NOW(),_xlfn.MINIFS($B$3:$B$5000,$A$3:$A$5000,$A2233,$B$3:$B$5000,"&gt;"&amp;$B2233))</f>
        <v>46279.5987643899</v>
      </c>
    </row>
    <row r="2234" customFormat="false" ht="15" hidden="false" customHeight="true" outlineLevel="0" collapsed="false">
      <c r="A2234" s="42"/>
      <c r="B2234" s="42"/>
      <c r="C2234" s="42"/>
      <c r="D2234" s="42"/>
      <c r="E2234" s="42"/>
      <c r="F2234" s="51" t="n">
        <f aca="false">IF(OR(C2234="",D2234="",E2234="",E2234=0),0,C2234*D2234/E2234)</f>
        <v>0</v>
      </c>
      <c r="G2234" s="42"/>
      <c r="H2234" s="49" t="n">
        <f aca="true">IF(OR($A2234="",_xlfn.MINIFS($B$3:$B$5000,$A$3:$A$5000,$A2234,$B$3:$B$5000,"&gt;"&amp;$B2234)=0),NOW(),_xlfn.MINIFS($B$3:$B$5000,$A$3:$A$5000,$A2234,$B$3:$B$5000,"&gt;"&amp;$B2234))</f>
        <v>46279.59876439</v>
      </c>
    </row>
    <row r="2235" customFormat="false" ht="15" hidden="false" customHeight="true" outlineLevel="0" collapsed="false">
      <c r="A2235" s="42"/>
      <c r="B2235" s="42"/>
      <c r="C2235" s="42"/>
      <c r="D2235" s="42"/>
      <c r="E2235" s="42"/>
      <c r="F2235" s="51" t="n">
        <f aca="false">IF(OR(C2235="",D2235="",E2235="",E2235=0),0,C2235*D2235/E2235)</f>
        <v>0</v>
      </c>
      <c r="G2235" s="42"/>
      <c r="H2235" s="49" t="n">
        <f aca="true">IF(OR($A2235="",_xlfn.MINIFS($B$3:$B$5000,$A$3:$A$5000,$A2235,$B$3:$B$5000,"&gt;"&amp;$B2235)=0),NOW(),_xlfn.MINIFS($B$3:$B$5000,$A$3:$A$5000,$A2235,$B$3:$B$5000,"&gt;"&amp;$B2235))</f>
        <v>46279.59876439</v>
      </c>
    </row>
    <row r="2236" customFormat="false" ht="15" hidden="false" customHeight="true" outlineLevel="0" collapsed="false">
      <c r="A2236" s="42"/>
      <c r="B2236" s="42"/>
      <c r="C2236" s="42"/>
      <c r="D2236" s="42"/>
      <c r="E2236" s="42"/>
      <c r="F2236" s="51" t="n">
        <f aca="false">IF(OR(C2236="",D2236="",E2236="",E2236=0),0,C2236*D2236/E2236)</f>
        <v>0</v>
      </c>
      <c r="G2236" s="42"/>
      <c r="H2236" s="49" t="n">
        <f aca="true">IF(OR($A2236="",_xlfn.MINIFS($B$3:$B$5000,$A$3:$A$5000,$A2236,$B$3:$B$5000,"&gt;"&amp;$B2236)=0),NOW(),_xlfn.MINIFS($B$3:$B$5000,$A$3:$A$5000,$A2236,$B$3:$B$5000,"&gt;"&amp;$B2236))</f>
        <v>46279.5987643901</v>
      </c>
    </row>
    <row r="2237" customFormat="false" ht="15" hidden="false" customHeight="true" outlineLevel="0" collapsed="false">
      <c r="A2237" s="42"/>
      <c r="B2237" s="42"/>
      <c r="C2237" s="42"/>
      <c r="D2237" s="42"/>
      <c r="E2237" s="42"/>
      <c r="F2237" s="51" t="n">
        <f aca="false">IF(OR(C2237="",D2237="",E2237="",E2237=0),0,C2237*D2237/E2237)</f>
        <v>0</v>
      </c>
      <c r="G2237" s="42"/>
      <c r="H2237" s="49" t="n">
        <f aca="true">IF(OR($A2237="",_xlfn.MINIFS($B$3:$B$5000,$A$3:$A$5000,$A2237,$B$3:$B$5000,"&gt;"&amp;$B2237)=0),NOW(),_xlfn.MINIFS($B$3:$B$5000,$A$3:$A$5000,$A2237,$B$3:$B$5000,"&gt;"&amp;$B2237))</f>
        <v>46279.5987643901</v>
      </c>
    </row>
    <row r="2238" customFormat="false" ht="15" hidden="false" customHeight="true" outlineLevel="0" collapsed="false">
      <c r="A2238" s="42"/>
      <c r="B2238" s="42"/>
      <c r="C2238" s="42"/>
      <c r="D2238" s="42"/>
      <c r="E2238" s="42"/>
      <c r="F2238" s="51" t="n">
        <f aca="false">IF(OR(C2238="",D2238="",E2238="",E2238=0),0,C2238*D2238/E2238)</f>
        <v>0</v>
      </c>
      <c r="G2238" s="42"/>
      <c r="H2238" s="49" t="n">
        <f aca="true">IF(OR($A2238="",_xlfn.MINIFS($B$3:$B$5000,$A$3:$A$5000,$A2238,$B$3:$B$5000,"&gt;"&amp;$B2238)=0),NOW(),_xlfn.MINIFS($B$3:$B$5000,$A$3:$A$5000,$A2238,$B$3:$B$5000,"&gt;"&amp;$B2238))</f>
        <v>46279.5987643902</v>
      </c>
    </row>
    <row r="2239" customFormat="false" ht="15" hidden="false" customHeight="true" outlineLevel="0" collapsed="false">
      <c r="A2239" s="42"/>
      <c r="B2239" s="42"/>
      <c r="C2239" s="42"/>
      <c r="D2239" s="42"/>
      <c r="E2239" s="42"/>
      <c r="F2239" s="51" t="n">
        <f aca="false">IF(OR(C2239="",D2239="",E2239="",E2239=0),0,C2239*D2239/E2239)</f>
        <v>0</v>
      </c>
      <c r="G2239" s="42"/>
      <c r="H2239" s="49" t="n">
        <f aca="true">IF(OR($A2239="",_xlfn.MINIFS($B$3:$B$5000,$A$3:$A$5000,$A2239,$B$3:$B$5000,"&gt;"&amp;$B2239)=0),NOW(),_xlfn.MINIFS($B$3:$B$5000,$A$3:$A$5000,$A2239,$B$3:$B$5000,"&gt;"&amp;$B2239))</f>
        <v>46279.5987643902</v>
      </c>
    </row>
    <row r="2240" customFormat="false" ht="15" hidden="false" customHeight="true" outlineLevel="0" collapsed="false">
      <c r="A2240" s="42"/>
      <c r="B2240" s="42"/>
      <c r="C2240" s="42"/>
      <c r="D2240" s="42"/>
      <c r="E2240" s="42"/>
      <c r="F2240" s="51" t="n">
        <f aca="false">IF(OR(C2240="",D2240="",E2240="",E2240=0),0,C2240*D2240/E2240)</f>
        <v>0</v>
      </c>
      <c r="G2240" s="42"/>
      <c r="H2240" s="49" t="n">
        <f aca="true">IF(OR($A2240="",_xlfn.MINIFS($B$3:$B$5000,$A$3:$A$5000,$A2240,$B$3:$B$5000,"&gt;"&amp;$B2240)=0),NOW(),_xlfn.MINIFS($B$3:$B$5000,$A$3:$A$5000,$A2240,$B$3:$B$5000,"&gt;"&amp;$B2240))</f>
        <v>46279.5987643903</v>
      </c>
    </row>
    <row r="2241" customFormat="false" ht="15" hidden="false" customHeight="true" outlineLevel="0" collapsed="false">
      <c r="A2241" s="42"/>
      <c r="B2241" s="42"/>
      <c r="C2241" s="42"/>
      <c r="D2241" s="42"/>
      <c r="E2241" s="42"/>
      <c r="F2241" s="51" t="n">
        <f aca="false">IF(OR(C2241="",D2241="",E2241="",E2241=0),0,C2241*D2241/E2241)</f>
        <v>0</v>
      </c>
      <c r="G2241" s="42"/>
      <c r="H2241" s="49" t="n">
        <f aca="true">IF(OR($A2241="",_xlfn.MINIFS($B$3:$B$5000,$A$3:$A$5000,$A2241,$B$3:$B$5000,"&gt;"&amp;$B2241)=0),NOW(),_xlfn.MINIFS($B$3:$B$5000,$A$3:$A$5000,$A2241,$B$3:$B$5000,"&gt;"&amp;$B2241))</f>
        <v>46279.5987643903</v>
      </c>
    </row>
    <row r="2242" customFormat="false" ht="15" hidden="false" customHeight="true" outlineLevel="0" collapsed="false">
      <c r="A2242" s="42"/>
      <c r="B2242" s="42"/>
      <c r="C2242" s="42"/>
      <c r="D2242" s="42"/>
      <c r="E2242" s="42"/>
      <c r="F2242" s="51" t="n">
        <f aca="false">IF(OR(C2242="",D2242="",E2242="",E2242=0),0,C2242*D2242/E2242)</f>
        <v>0</v>
      </c>
      <c r="G2242" s="42"/>
      <c r="H2242" s="49" t="n">
        <f aca="true">IF(OR($A2242="",_xlfn.MINIFS($B$3:$B$5000,$A$3:$A$5000,$A2242,$B$3:$B$5000,"&gt;"&amp;$B2242)=0),NOW(),_xlfn.MINIFS($B$3:$B$5000,$A$3:$A$5000,$A2242,$B$3:$B$5000,"&gt;"&amp;$B2242))</f>
        <v>46279.5987643904</v>
      </c>
    </row>
    <row r="2243" customFormat="false" ht="15" hidden="false" customHeight="true" outlineLevel="0" collapsed="false">
      <c r="A2243" s="42"/>
      <c r="B2243" s="42"/>
      <c r="C2243" s="42"/>
      <c r="D2243" s="42"/>
      <c r="E2243" s="42"/>
      <c r="F2243" s="51" t="n">
        <f aca="false">IF(OR(C2243="",D2243="",E2243="",E2243=0),0,C2243*D2243/E2243)</f>
        <v>0</v>
      </c>
      <c r="G2243" s="42"/>
      <c r="H2243" s="49" t="n">
        <f aca="true">IF(OR($A2243="",_xlfn.MINIFS($B$3:$B$5000,$A$3:$A$5000,$A2243,$B$3:$B$5000,"&gt;"&amp;$B2243)=0),NOW(),_xlfn.MINIFS($B$3:$B$5000,$A$3:$A$5000,$A2243,$B$3:$B$5000,"&gt;"&amp;$B2243))</f>
        <v>46279.5987643904</v>
      </c>
    </row>
    <row r="2244" customFormat="false" ht="15" hidden="false" customHeight="true" outlineLevel="0" collapsed="false">
      <c r="A2244" s="42"/>
      <c r="B2244" s="42"/>
      <c r="C2244" s="42"/>
      <c r="D2244" s="42"/>
      <c r="E2244" s="42"/>
      <c r="F2244" s="51" t="n">
        <f aca="false">IF(OR(C2244="",D2244="",E2244="",E2244=0),0,C2244*D2244/E2244)</f>
        <v>0</v>
      </c>
      <c r="G2244" s="42"/>
      <c r="H2244" s="49" t="n">
        <f aca="true">IF(OR($A2244="",_xlfn.MINIFS($B$3:$B$5000,$A$3:$A$5000,$A2244,$B$3:$B$5000,"&gt;"&amp;$B2244)=0),NOW(),_xlfn.MINIFS($B$3:$B$5000,$A$3:$A$5000,$A2244,$B$3:$B$5000,"&gt;"&amp;$B2244))</f>
        <v>46279.5987643905</v>
      </c>
    </row>
    <row r="2245" customFormat="false" ht="15" hidden="false" customHeight="true" outlineLevel="0" collapsed="false">
      <c r="A2245" s="42"/>
      <c r="B2245" s="42"/>
      <c r="C2245" s="42"/>
      <c r="D2245" s="42"/>
      <c r="E2245" s="42"/>
      <c r="F2245" s="51" t="n">
        <f aca="false">IF(OR(C2245="",D2245="",E2245="",E2245=0),0,C2245*D2245/E2245)</f>
        <v>0</v>
      </c>
      <c r="G2245" s="42"/>
      <c r="H2245" s="49" t="n">
        <f aca="true">IF(OR($A2245="",_xlfn.MINIFS($B$3:$B$5000,$A$3:$A$5000,$A2245,$B$3:$B$5000,"&gt;"&amp;$B2245)=0),NOW(),_xlfn.MINIFS($B$3:$B$5000,$A$3:$A$5000,$A2245,$B$3:$B$5000,"&gt;"&amp;$B2245))</f>
        <v>46279.5987643905</v>
      </c>
    </row>
    <row r="2246" customFormat="false" ht="15" hidden="false" customHeight="true" outlineLevel="0" collapsed="false">
      <c r="A2246" s="42"/>
      <c r="B2246" s="42"/>
      <c r="C2246" s="42"/>
      <c r="D2246" s="42"/>
      <c r="E2246" s="42"/>
      <c r="F2246" s="51" t="n">
        <f aca="false">IF(OR(C2246="",D2246="",E2246="",E2246=0),0,C2246*D2246/E2246)</f>
        <v>0</v>
      </c>
      <c r="G2246" s="42"/>
      <c r="H2246" s="49" t="n">
        <f aca="true">IF(OR($A2246="",_xlfn.MINIFS($B$3:$B$5000,$A$3:$A$5000,$A2246,$B$3:$B$5000,"&gt;"&amp;$B2246)=0),NOW(),_xlfn.MINIFS($B$3:$B$5000,$A$3:$A$5000,$A2246,$B$3:$B$5000,"&gt;"&amp;$B2246))</f>
        <v>46279.5987643906</v>
      </c>
    </row>
    <row r="2247" customFormat="false" ht="15" hidden="false" customHeight="true" outlineLevel="0" collapsed="false">
      <c r="A2247" s="42"/>
      <c r="B2247" s="42"/>
      <c r="C2247" s="42"/>
      <c r="D2247" s="42"/>
      <c r="E2247" s="42"/>
      <c r="F2247" s="51" t="n">
        <f aca="false">IF(OR(C2247="",D2247="",E2247="",E2247=0),0,C2247*D2247/E2247)</f>
        <v>0</v>
      </c>
      <c r="G2247" s="42"/>
      <c r="H2247" s="49" t="n">
        <f aca="true">IF(OR($A2247="",_xlfn.MINIFS($B$3:$B$5000,$A$3:$A$5000,$A2247,$B$3:$B$5000,"&gt;"&amp;$B2247)=0),NOW(),_xlfn.MINIFS($B$3:$B$5000,$A$3:$A$5000,$A2247,$B$3:$B$5000,"&gt;"&amp;$B2247))</f>
        <v>46279.5987643906</v>
      </c>
    </row>
    <row r="2248" customFormat="false" ht="15" hidden="false" customHeight="true" outlineLevel="0" collapsed="false">
      <c r="A2248" s="42"/>
      <c r="B2248" s="42"/>
      <c r="C2248" s="42"/>
      <c r="D2248" s="42"/>
      <c r="E2248" s="42"/>
      <c r="F2248" s="51" t="n">
        <f aca="false">IF(OR(C2248="",D2248="",E2248="",E2248=0),0,C2248*D2248/E2248)</f>
        <v>0</v>
      </c>
      <c r="G2248" s="42"/>
      <c r="H2248" s="49" t="n">
        <f aca="true">IF(OR($A2248="",_xlfn.MINIFS($B$3:$B$5000,$A$3:$A$5000,$A2248,$B$3:$B$5000,"&gt;"&amp;$B2248)=0),NOW(),_xlfn.MINIFS($B$3:$B$5000,$A$3:$A$5000,$A2248,$B$3:$B$5000,"&gt;"&amp;$B2248))</f>
        <v>46279.5987643907</v>
      </c>
    </row>
    <row r="2249" customFormat="false" ht="15" hidden="false" customHeight="true" outlineLevel="0" collapsed="false">
      <c r="A2249" s="42"/>
      <c r="B2249" s="42"/>
      <c r="C2249" s="42"/>
      <c r="D2249" s="42"/>
      <c r="E2249" s="42"/>
      <c r="F2249" s="51" t="n">
        <f aca="false">IF(OR(C2249="",D2249="",E2249="",E2249=0),0,C2249*D2249/E2249)</f>
        <v>0</v>
      </c>
      <c r="G2249" s="42"/>
      <c r="H2249" s="49" t="n">
        <f aca="true">IF(OR($A2249="",_xlfn.MINIFS($B$3:$B$5000,$A$3:$A$5000,$A2249,$B$3:$B$5000,"&gt;"&amp;$B2249)=0),NOW(),_xlfn.MINIFS($B$3:$B$5000,$A$3:$A$5000,$A2249,$B$3:$B$5000,"&gt;"&amp;$B2249))</f>
        <v>46279.5987643907</v>
      </c>
    </row>
    <row r="2250" customFormat="false" ht="15" hidden="false" customHeight="true" outlineLevel="0" collapsed="false">
      <c r="A2250" s="42"/>
      <c r="B2250" s="42"/>
      <c r="C2250" s="42"/>
      <c r="D2250" s="42"/>
      <c r="E2250" s="42"/>
      <c r="F2250" s="51" t="n">
        <f aca="false">IF(OR(C2250="",D2250="",E2250="",E2250=0),0,C2250*D2250/E2250)</f>
        <v>0</v>
      </c>
      <c r="G2250" s="42"/>
      <c r="H2250" s="49" t="n">
        <f aca="true">IF(OR($A2250="",_xlfn.MINIFS($B$3:$B$5000,$A$3:$A$5000,$A2250,$B$3:$B$5000,"&gt;"&amp;$B2250)=0),NOW(),_xlfn.MINIFS($B$3:$B$5000,$A$3:$A$5000,$A2250,$B$3:$B$5000,"&gt;"&amp;$B2250))</f>
        <v>46279.5987643908</v>
      </c>
    </row>
    <row r="2251" customFormat="false" ht="15" hidden="false" customHeight="true" outlineLevel="0" collapsed="false">
      <c r="A2251" s="42"/>
      <c r="B2251" s="42"/>
      <c r="C2251" s="42"/>
      <c r="D2251" s="42"/>
      <c r="E2251" s="42"/>
      <c r="F2251" s="51" t="n">
        <f aca="false">IF(OR(C2251="",D2251="",E2251="",E2251=0),0,C2251*D2251/E2251)</f>
        <v>0</v>
      </c>
      <c r="G2251" s="42"/>
      <c r="H2251" s="49" t="n">
        <f aca="true">IF(OR($A2251="",_xlfn.MINIFS($B$3:$B$5000,$A$3:$A$5000,$A2251,$B$3:$B$5000,"&gt;"&amp;$B2251)=0),NOW(),_xlfn.MINIFS($B$3:$B$5000,$A$3:$A$5000,$A2251,$B$3:$B$5000,"&gt;"&amp;$B2251))</f>
        <v>46279.5987643908</v>
      </c>
    </row>
    <row r="2252" customFormat="false" ht="15" hidden="false" customHeight="true" outlineLevel="0" collapsed="false">
      <c r="A2252" s="42"/>
      <c r="B2252" s="42"/>
      <c r="C2252" s="42"/>
      <c r="D2252" s="42"/>
      <c r="E2252" s="42"/>
      <c r="F2252" s="51" t="n">
        <f aca="false">IF(OR(C2252="",D2252="",E2252="",E2252=0),0,C2252*D2252/E2252)</f>
        <v>0</v>
      </c>
      <c r="G2252" s="42"/>
      <c r="H2252" s="49" t="n">
        <f aca="true">IF(OR($A2252="",_xlfn.MINIFS($B$3:$B$5000,$A$3:$A$5000,$A2252,$B$3:$B$5000,"&gt;"&amp;$B2252)=0),NOW(),_xlfn.MINIFS($B$3:$B$5000,$A$3:$A$5000,$A2252,$B$3:$B$5000,"&gt;"&amp;$B2252))</f>
        <v>46279.5987643909</v>
      </c>
    </row>
    <row r="2253" customFormat="false" ht="15" hidden="false" customHeight="true" outlineLevel="0" collapsed="false">
      <c r="A2253" s="42"/>
      <c r="B2253" s="42"/>
      <c r="C2253" s="42"/>
      <c r="D2253" s="42"/>
      <c r="E2253" s="42"/>
      <c r="F2253" s="51" t="n">
        <f aca="false">IF(OR(C2253="",D2253="",E2253="",E2253=0),0,C2253*D2253/E2253)</f>
        <v>0</v>
      </c>
      <c r="G2253" s="42"/>
      <c r="H2253" s="49" t="n">
        <f aca="true">IF(OR($A2253="",_xlfn.MINIFS($B$3:$B$5000,$A$3:$A$5000,$A2253,$B$3:$B$5000,"&gt;"&amp;$B2253)=0),NOW(),_xlfn.MINIFS($B$3:$B$5000,$A$3:$A$5000,$A2253,$B$3:$B$5000,"&gt;"&amp;$B2253))</f>
        <v>46279.5987643909</v>
      </c>
    </row>
    <row r="2254" customFormat="false" ht="15" hidden="false" customHeight="true" outlineLevel="0" collapsed="false">
      <c r="A2254" s="42"/>
      <c r="B2254" s="42"/>
      <c r="C2254" s="42"/>
      <c r="D2254" s="42"/>
      <c r="E2254" s="42"/>
      <c r="F2254" s="51" t="n">
        <f aca="false">IF(OR(C2254="",D2254="",E2254="",E2254=0),0,C2254*D2254/E2254)</f>
        <v>0</v>
      </c>
      <c r="G2254" s="42"/>
      <c r="H2254" s="49" t="n">
        <f aca="true">IF(OR($A2254="",_xlfn.MINIFS($B$3:$B$5000,$A$3:$A$5000,$A2254,$B$3:$B$5000,"&gt;"&amp;$B2254)=0),NOW(),_xlfn.MINIFS($B$3:$B$5000,$A$3:$A$5000,$A2254,$B$3:$B$5000,"&gt;"&amp;$B2254))</f>
        <v>46279.598764391</v>
      </c>
    </row>
    <row r="2255" customFormat="false" ht="15" hidden="false" customHeight="true" outlineLevel="0" collapsed="false">
      <c r="A2255" s="42"/>
      <c r="B2255" s="42"/>
      <c r="C2255" s="42"/>
      <c r="D2255" s="42"/>
      <c r="E2255" s="42"/>
      <c r="F2255" s="51" t="n">
        <f aca="false">IF(OR(C2255="",D2255="",E2255="",E2255=0),0,C2255*D2255/E2255)</f>
        <v>0</v>
      </c>
      <c r="G2255" s="42"/>
      <c r="H2255" s="49" t="n">
        <f aca="true">IF(OR($A2255="",_xlfn.MINIFS($B$3:$B$5000,$A$3:$A$5000,$A2255,$B$3:$B$5000,"&gt;"&amp;$B2255)=0),NOW(),_xlfn.MINIFS($B$3:$B$5000,$A$3:$A$5000,$A2255,$B$3:$B$5000,"&gt;"&amp;$B2255))</f>
        <v>46279.598764391</v>
      </c>
    </row>
    <row r="2256" customFormat="false" ht="15" hidden="false" customHeight="true" outlineLevel="0" collapsed="false">
      <c r="A2256" s="42"/>
      <c r="B2256" s="42"/>
      <c r="C2256" s="42"/>
      <c r="D2256" s="42"/>
      <c r="E2256" s="42"/>
      <c r="F2256" s="51" t="n">
        <f aca="false">IF(OR(C2256="",D2256="",E2256="",E2256=0),0,C2256*D2256/E2256)</f>
        <v>0</v>
      </c>
      <c r="G2256" s="42"/>
      <c r="H2256" s="49" t="n">
        <f aca="true">IF(OR($A2256="",_xlfn.MINIFS($B$3:$B$5000,$A$3:$A$5000,$A2256,$B$3:$B$5000,"&gt;"&amp;$B2256)=0),NOW(),_xlfn.MINIFS($B$3:$B$5000,$A$3:$A$5000,$A2256,$B$3:$B$5000,"&gt;"&amp;$B2256))</f>
        <v>46279.5987643911</v>
      </c>
    </row>
    <row r="2257" customFormat="false" ht="15" hidden="false" customHeight="true" outlineLevel="0" collapsed="false">
      <c r="A2257" s="42"/>
      <c r="B2257" s="42"/>
      <c r="C2257" s="42"/>
      <c r="D2257" s="42"/>
      <c r="E2257" s="42"/>
      <c r="F2257" s="51" t="n">
        <f aca="false">IF(OR(C2257="",D2257="",E2257="",E2257=0),0,C2257*D2257/E2257)</f>
        <v>0</v>
      </c>
      <c r="G2257" s="42"/>
      <c r="H2257" s="49" t="n">
        <f aca="true">IF(OR($A2257="",_xlfn.MINIFS($B$3:$B$5000,$A$3:$A$5000,$A2257,$B$3:$B$5000,"&gt;"&amp;$B2257)=0),NOW(),_xlfn.MINIFS($B$3:$B$5000,$A$3:$A$5000,$A2257,$B$3:$B$5000,"&gt;"&amp;$B2257))</f>
        <v>46279.5987643911</v>
      </c>
    </row>
    <row r="2258" customFormat="false" ht="15" hidden="false" customHeight="true" outlineLevel="0" collapsed="false">
      <c r="A2258" s="42"/>
      <c r="B2258" s="42"/>
      <c r="C2258" s="42"/>
      <c r="D2258" s="42"/>
      <c r="E2258" s="42"/>
      <c r="F2258" s="51" t="n">
        <f aca="false">IF(OR(C2258="",D2258="",E2258="",E2258=0),0,C2258*D2258/E2258)</f>
        <v>0</v>
      </c>
      <c r="G2258" s="42"/>
      <c r="H2258" s="49" t="n">
        <f aca="true">IF(OR($A2258="",_xlfn.MINIFS($B$3:$B$5000,$A$3:$A$5000,$A2258,$B$3:$B$5000,"&gt;"&amp;$B2258)=0),NOW(),_xlfn.MINIFS($B$3:$B$5000,$A$3:$A$5000,$A2258,$B$3:$B$5000,"&gt;"&amp;$B2258))</f>
        <v>46279.5987643912</v>
      </c>
    </row>
    <row r="2259" customFormat="false" ht="15" hidden="false" customHeight="true" outlineLevel="0" collapsed="false">
      <c r="A2259" s="42"/>
      <c r="B2259" s="42"/>
      <c r="C2259" s="42"/>
      <c r="D2259" s="42"/>
      <c r="E2259" s="42"/>
      <c r="F2259" s="51" t="n">
        <f aca="false">IF(OR(C2259="",D2259="",E2259="",E2259=0),0,C2259*D2259/E2259)</f>
        <v>0</v>
      </c>
      <c r="G2259" s="42"/>
      <c r="H2259" s="49" t="n">
        <f aca="true">IF(OR($A2259="",_xlfn.MINIFS($B$3:$B$5000,$A$3:$A$5000,$A2259,$B$3:$B$5000,"&gt;"&amp;$B2259)=0),NOW(),_xlfn.MINIFS($B$3:$B$5000,$A$3:$A$5000,$A2259,$B$3:$B$5000,"&gt;"&amp;$B2259))</f>
        <v>46279.5987643912</v>
      </c>
    </row>
    <row r="2260" customFormat="false" ht="15" hidden="false" customHeight="true" outlineLevel="0" collapsed="false">
      <c r="A2260" s="42"/>
      <c r="B2260" s="42"/>
      <c r="C2260" s="42"/>
      <c r="D2260" s="42"/>
      <c r="E2260" s="42"/>
      <c r="F2260" s="51" t="n">
        <f aca="false">IF(OR(C2260="",D2260="",E2260="",E2260=0),0,C2260*D2260/E2260)</f>
        <v>0</v>
      </c>
      <c r="G2260" s="42"/>
      <c r="H2260" s="49" t="n">
        <f aca="true">IF(OR($A2260="",_xlfn.MINIFS($B$3:$B$5000,$A$3:$A$5000,$A2260,$B$3:$B$5000,"&gt;"&amp;$B2260)=0),NOW(),_xlfn.MINIFS($B$3:$B$5000,$A$3:$A$5000,$A2260,$B$3:$B$5000,"&gt;"&amp;$B2260))</f>
        <v>46279.5987643913</v>
      </c>
    </row>
    <row r="2261" customFormat="false" ht="15" hidden="false" customHeight="true" outlineLevel="0" collapsed="false">
      <c r="A2261" s="42"/>
      <c r="B2261" s="42"/>
      <c r="C2261" s="42"/>
      <c r="D2261" s="42"/>
      <c r="E2261" s="42"/>
      <c r="F2261" s="51" t="n">
        <f aca="false">IF(OR(C2261="",D2261="",E2261="",E2261=0),0,C2261*D2261/E2261)</f>
        <v>0</v>
      </c>
      <c r="G2261" s="42"/>
      <c r="H2261" s="49" t="n">
        <f aca="true">IF(OR($A2261="",_xlfn.MINIFS($B$3:$B$5000,$A$3:$A$5000,$A2261,$B$3:$B$5000,"&gt;"&amp;$B2261)=0),NOW(),_xlfn.MINIFS($B$3:$B$5000,$A$3:$A$5000,$A2261,$B$3:$B$5000,"&gt;"&amp;$B2261))</f>
        <v>46279.5987643913</v>
      </c>
    </row>
    <row r="2262" customFormat="false" ht="15" hidden="false" customHeight="true" outlineLevel="0" collapsed="false">
      <c r="A2262" s="42"/>
      <c r="B2262" s="42"/>
      <c r="C2262" s="42"/>
      <c r="D2262" s="42"/>
      <c r="E2262" s="42"/>
      <c r="F2262" s="51" t="n">
        <f aca="false">IF(OR(C2262="",D2262="",E2262="",E2262=0),0,C2262*D2262/E2262)</f>
        <v>0</v>
      </c>
      <c r="G2262" s="42"/>
      <c r="H2262" s="49" t="n">
        <f aca="true">IF(OR($A2262="",_xlfn.MINIFS($B$3:$B$5000,$A$3:$A$5000,$A2262,$B$3:$B$5000,"&gt;"&amp;$B2262)=0),NOW(),_xlfn.MINIFS($B$3:$B$5000,$A$3:$A$5000,$A2262,$B$3:$B$5000,"&gt;"&amp;$B2262))</f>
        <v>46279.5987643914</v>
      </c>
    </row>
    <row r="2263" customFormat="false" ht="15" hidden="false" customHeight="true" outlineLevel="0" collapsed="false">
      <c r="A2263" s="42"/>
      <c r="B2263" s="42"/>
      <c r="C2263" s="42"/>
      <c r="D2263" s="42"/>
      <c r="E2263" s="42"/>
      <c r="F2263" s="51" t="n">
        <f aca="false">IF(OR(C2263="",D2263="",E2263="",E2263=0),0,C2263*D2263/E2263)</f>
        <v>0</v>
      </c>
      <c r="G2263" s="42"/>
      <c r="H2263" s="49" t="n">
        <f aca="true">IF(OR($A2263="",_xlfn.MINIFS($B$3:$B$5000,$A$3:$A$5000,$A2263,$B$3:$B$5000,"&gt;"&amp;$B2263)=0),NOW(),_xlfn.MINIFS($B$3:$B$5000,$A$3:$A$5000,$A2263,$B$3:$B$5000,"&gt;"&amp;$B2263))</f>
        <v>46279.5987643914</v>
      </c>
    </row>
    <row r="2264" customFormat="false" ht="15" hidden="false" customHeight="true" outlineLevel="0" collapsed="false">
      <c r="A2264" s="42"/>
      <c r="B2264" s="42"/>
      <c r="C2264" s="42"/>
      <c r="D2264" s="42"/>
      <c r="E2264" s="42"/>
      <c r="F2264" s="51" t="n">
        <f aca="false">IF(OR(C2264="",D2264="",E2264="",E2264=0),0,C2264*D2264/E2264)</f>
        <v>0</v>
      </c>
      <c r="G2264" s="42"/>
      <c r="H2264" s="49" t="n">
        <f aca="true">IF(OR($A2264="",_xlfn.MINIFS($B$3:$B$5000,$A$3:$A$5000,$A2264,$B$3:$B$5000,"&gt;"&amp;$B2264)=0),NOW(),_xlfn.MINIFS($B$3:$B$5000,$A$3:$A$5000,$A2264,$B$3:$B$5000,"&gt;"&amp;$B2264))</f>
        <v>46279.5987643915</v>
      </c>
    </row>
    <row r="2265" customFormat="false" ht="15" hidden="false" customHeight="true" outlineLevel="0" collapsed="false">
      <c r="A2265" s="42"/>
      <c r="B2265" s="42"/>
      <c r="C2265" s="42"/>
      <c r="D2265" s="42"/>
      <c r="E2265" s="42"/>
      <c r="F2265" s="51" t="n">
        <f aca="false">IF(OR(C2265="",D2265="",E2265="",E2265=0),0,C2265*D2265/E2265)</f>
        <v>0</v>
      </c>
      <c r="G2265" s="42"/>
      <c r="H2265" s="49" t="n">
        <f aca="true">IF(OR($A2265="",_xlfn.MINIFS($B$3:$B$5000,$A$3:$A$5000,$A2265,$B$3:$B$5000,"&gt;"&amp;$B2265)=0),NOW(),_xlfn.MINIFS($B$3:$B$5000,$A$3:$A$5000,$A2265,$B$3:$B$5000,"&gt;"&amp;$B2265))</f>
        <v>46279.5987643915</v>
      </c>
    </row>
    <row r="2266" customFormat="false" ht="15" hidden="false" customHeight="true" outlineLevel="0" collapsed="false">
      <c r="A2266" s="42"/>
      <c r="B2266" s="42"/>
      <c r="C2266" s="42"/>
      <c r="D2266" s="42"/>
      <c r="E2266" s="42"/>
      <c r="F2266" s="51" t="n">
        <f aca="false">IF(OR(C2266="",D2266="",E2266="",E2266=0),0,C2266*D2266/E2266)</f>
        <v>0</v>
      </c>
      <c r="G2266" s="42"/>
      <c r="H2266" s="49" t="n">
        <f aca="true">IF(OR($A2266="",_xlfn.MINIFS($B$3:$B$5000,$A$3:$A$5000,$A2266,$B$3:$B$5000,"&gt;"&amp;$B2266)=0),NOW(),_xlfn.MINIFS($B$3:$B$5000,$A$3:$A$5000,$A2266,$B$3:$B$5000,"&gt;"&amp;$B2266))</f>
        <v>46279.5987643915</v>
      </c>
    </row>
    <row r="2267" customFormat="false" ht="15" hidden="false" customHeight="true" outlineLevel="0" collapsed="false">
      <c r="A2267" s="42"/>
      <c r="B2267" s="42"/>
      <c r="C2267" s="42"/>
      <c r="D2267" s="42"/>
      <c r="E2267" s="42"/>
      <c r="F2267" s="51" t="n">
        <f aca="false">IF(OR(C2267="",D2267="",E2267="",E2267=0),0,C2267*D2267/E2267)</f>
        <v>0</v>
      </c>
      <c r="G2267" s="42"/>
      <c r="H2267" s="49" t="n">
        <f aca="true">IF(OR($A2267="",_xlfn.MINIFS($B$3:$B$5000,$A$3:$A$5000,$A2267,$B$3:$B$5000,"&gt;"&amp;$B2267)=0),NOW(),_xlfn.MINIFS($B$3:$B$5000,$A$3:$A$5000,$A2267,$B$3:$B$5000,"&gt;"&amp;$B2267))</f>
        <v>46279.5987643916</v>
      </c>
    </row>
    <row r="2268" customFormat="false" ht="15" hidden="false" customHeight="true" outlineLevel="0" collapsed="false">
      <c r="A2268" s="42"/>
      <c r="B2268" s="42"/>
      <c r="C2268" s="42"/>
      <c r="D2268" s="42"/>
      <c r="E2268" s="42"/>
      <c r="F2268" s="51" t="n">
        <f aca="false">IF(OR(C2268="",D2268="",E2268="",E2268=0),0,C2268*D2268/E2268)</f>
        <v>0</v>
      </c>
      <c r="G2268" s="42"/>
      <c r="H2268" s="49" t="n">
        <f aca="true">IF(OR($A2268="",_xlfn.MINIFS($B$3:$B$5000,$A$3:$A$5000,$A2268,$B$3:$B$5000,"&gt;"&amp;$B2268)=0),NOW(),_xlfn.MINIFS($B$3:$B$5000,$A$3:$A$5000,$A2268,$B$3:$B$5000,"&gt;"&amp;$B2268))</f>
        <v>46279.5987643916</v>
      </c>
    </row>
    <row r="2269" customFormat="false" ht="15" hidden="false" customHeight="true" outlineLevel="0" collapsed="false">
      <c r="A2269" s="42"/>
      <c r="B2269" s="42"/>
      <c r="C2269" s="42"/>
      <c r="D2269" s="42"/>
      <c r="E2269" s="42"/>
      <c r="F2269" s="51" t="n">
        <f aca="false">IF(OR(C2269="",D2269="",E2269="",E2269=0),0,C2269*D2269/E2269)</f>
        <v>0</v>
      </c>
      <c r="G2269" s="42"/>
      <c r="H2269" s="49" t="n">
        <f aca="true">IF(OR($A2269="",_xlfn.MINIFS($B$3:$B$5000,$A$3:$A$5000,$A2269,$B$3:$B$5000,"&gt;"&amp;$B2269)=0),NOW(),_xlfn.MINIFS($B$3:$B$5000,$A$3:$A$5000,$A2269,$B$3:$B$5000,"&gt;"&amp;$B2269))</f>
        <v>46279.5987643917</v>
      </c>
    </row>
    <row r="2270" customFormat="false" ht="15" hidden="false" customHeight="true" outlineLevel="0" collapsed="false">
      <c r="A2270" s="42"/>
      <c r="B2270" s="42"/>
      <c r="C2270" s="42"/>
      <c r="D2270" s="42"/>
      <c r="E2270" s="42"/>
      <c r="F2270" s="51" t="n">
        <f aca="false">IF(OR(C2270="",D2270="",E2270="",E2270=0),0,C2270*D2270/E2270)</f>
        <v>0</v>
      </c>
      <c r="G2270" s="42"/>
      <c r="H2270" s="49" t="n">
        <f aca="true">IF(OR($A2270="",_xlfn.MINIFS($B$3:$B$5000,$A$3:$A$5000,$A2270,$B$3:$B$5000,"&gt;"&amp;$B2270)=0),NOW(),_xlfn.MINIFS($B$3:$B$5000,$A$3:$A$5000,$A2270,$B$3:$B$5000,"&gt;"&amp;$B2270))</f>
        <v>46279.5987643917</v>
      </c>
    </row>
    <row r="2271" customFormat="false" ht="15" hidden="false" customHeight="true" outlineLevel="0" collapsed="false">
      <c r="A2271" s="42"/>
      <c r="B2271" s="42"/>
      <c r="C2271" s="42"/>
      <c r="D2271" s="42"/>
      <c r="E2271" s="42"/>
      <c r="F2271" s="51" t="n">
        <f aca="false">IF(OR(C2271="",D2271="",E2271="",E2271=0),0,C2271*D2271/E2271)</f>
        <v>0</v>
      </c>
      <c r="G2271" s="42"/>
      <c r="H2271" s="49" t="n">
        <f aca="true">IF(OR($A2271="",_xlfn.MINIFS($B$3:$B$5000,$A$3:$A$5000,$A2271,$B$3:$B$5000,"&gt;"&amp;$B2271)=0),NOW(),_xlfn.MINIFS($B$3:$B$5000,$A$3:$A$5000,$A2271,$B$3:$B$5000,"&gt;"&amp;$B2271))</f>
        <v>46279.5987643918</v>
      </c>
    </row>
    <row r="2272" customFormat="false" ht="15" hidden="false" customHeight="true" outlineLevel="0" collapsed="false">
      <c r="A2272" s="42"/>
      <c r="B2272" s="42"/>
      <c r="C2272" s="42"/>
      <c r="D2272" s="42"/>
      <c r="E2272" s="42"/>
      <c r="F2272" s="51" t="n">
        <f aca="false">IF(OR(C2272="",D2272="",E2272="",E2272=0),0,C2272*D2272/E2272)</f>
        <v>0</v>
      </c>
      <c r="G2272" s="42"/>
      <c r="H2272" s="49" t="n">
        <f aca="true">IF(OR($A2272="",_xlfn.MINIFS($B$3:$B$5000,$A$3:$A$5000,$A2272,$B$3:$B$5000,"&gt;"&amp;$B2272)=0),NOW(),_xlfn.MINIFS($B$3:$B$5000,$A$3:$A$5000,$A2272,$B$3:$B$5000,"&gt;"&amp;$B2272))</f>
        <v>46279.5987643918</v>
      </c>
    </row>
    <row r="2273" customFormat="false" ht="15" hidden="false" customHeight="true" outlineLevel="0" collapsed="false">
      <c r="A2273" s="42"/>
      <c r="B2273" s="42"/>
      <c r="C2273" s="42"/>
      <c r="D2273" s="42"/>
      <c r="E2273" s="42"/>
      <c r="F2273" s="51" t="n">
        <f aca="false">IF(OR(C2273="",D2273="",E2273="",E2273=0),0,C2273*D2273/E2273)</f>
        <v>0</v>
      </c>
      <c r="G2273" s="42"/>
      <c r="H2273" s="49" t="n">
        <f aca="true">IF(OR($A2273="",_xlfn.MINIFS($B$3:$B$5000,$A$3:$A$5000,$A2273,$B$3:$B$5000,"&gt;"&amp;$B2273)=0),NOW(),_xlfn.MINIFS($B$3:$B$5000,$A$3:$A$5000,$A2273,$B$3:$B$5000,"&gt;"&amp;$B2273))</f>
        <v>46279.5987643919</v>
      </c>
    </row>
    <row r="2274" customFormat="false" ht="15" hidden="false" customHeight="true" outlineLevel="0" collapsed="false">
      <c r="A2274" s="42"/>
      <c r="B2274" s="42"/>
      <c r="C2274" s="42"/>
      <c r="D2274" s="42"/>
      <c r="E2274" s="42"/>
      <c r="F2274" s="51" t="n">
        <f aca="false">IF(OR(C2274="",D2274="",E2274="",E2274=0),0,C2274*D2274/E2274)</f>
        <v>0</v>
      </c>
      <c r="G2274" s="42"/>
      <c r="H2274" s="49" t="n">
        <f aca="true">IF(OR($A2274="",_xlfn.MINIFS($B$3:$B$5000,$A$3:$A$5000,$A2274,$B$3:$B$5000,"&gt;"&amp;$B2274)=0),NOW(),_xlfn.MINIFS($B$3:$B$5000,$A$3:$A$5000,$A2274,$B$3:$B$5000,"&gt;"&amp;$B2274))</f>
        <v>46279.5987643919</v>
      </c>
    </row>
    <row r="2275" customFormat="false" ht="15" hidden="false" customHeight="true" outlineLevel="0" collapsed="false">
      <c r="A2275" s="42"/>
      <c r="B2275" s="42"/>
      <c r="C2275" s="42"/>
      <c r="D2275" s="42"/>
      <c r="E2275" s="42"/>
      <c r="F2275" s="51" t="n">
        <f aca="false">IF(OR(C2275="",D2275="",E2275="",E2275=0),0,C2275*D2275/E2275)</f>
        <v>0</v>
      </c>
      <c r="G2275" s="42"/>
      <c r="H2275" s="49" t="n">
        <f aca="true">IF(OR($A2275="",_xlfn.MINIFS($B$3:$B$5000,$A$3:$A$5000,$A2275,$B$3:$B$5000,"&gt;"&amp;$B2275)=0),NOW(),_xlfn.MINIFS($B$3:$B$5000,$A$3:$A$5000,$A2275,$B$3:$B$5000,"&gt;"&amp;$B2275))</f>
        <v>46279.598764392</v>
      </c>
    </row>
    <row r="2276" customFormat="false" ht="15" hidden="false" customHeight="true" outlineLevel="0" collapsed="false">
      <c r="A2276" s="42"/>
      <c r="B2276" s="42"/>
      <c r="C2276" s="42"/>
      <c r="D2276" s="42"/>
      <c r="E2276" s="42"/>
      <c r="F2276" s="51" t="n">
        <f aca="false">IF(OR(C2276="",D2276="",E2276="",E2276=0),0,C2276*D2276/E2276)</f>
        <v>0</v>
      </c>
      <c r="G2276" s="42"/>
      <c r="H2276" s="49" t="n">
        <f aca="true">IF(OR($A2276="",_xlfn.MINIFS($B$3:$B$5000,$A$3:$A$5000,$A2276,$B$3:$B$5000,"&gt;"&amp;$B2276)=0),NOW(),_xlfn.MINIFS($B$3:$B$5000,$A$3:$A$5000,$A2276,$B$3:$B$5000,"&gt;"&amp;$B2276))</f>
        <v>46279.598764392</v>
      </c>
    </row>
    <row r="2277" customFormat="false" ht="15" hidden="false" customHeight="true" outlineLevel="0" collapsed="false">
      <c r="A2277" s="42"/>
      <c r="B2277" s="42"/>
      <c r="C2277" s="42"/>
      <c r="D2277" s="42"/>
      <c r="E2277" s="42"/>
      <c r="F2277" s="51" t="n">
        <f aca="false">IF(OR(C2277="",D2277="",E2277="",E2277=0),0,C2277*D2277/E2277)</f>
        <v>0</v>
      </c>
      <c r="G2277" s="42"/>
      <c r="H2277" s="49" t="n">
        <f aca="true">IF(OR($A2277="",_xlfn.MINIFS($B$3:$B$5000,$A$3:$A$5000,$A2277,$B$3:$B$5000,"&gt;"&amp;$B2277)=0),NOW(),_xlfn.MINIFS($B$3:$B$5000,$A$3:$A$5000,$A2277,$B$3:$B$5000,"&gt;"&amp;$B2277))</f>
        <v>46279.5987643921</v>
      </c>
    </row>
    <row r="2278" customFormat="false" ht="15" hidden="false" customHeight="true" outlineLevel="0" collapsed="false">
      <c r="A2278" s="42"/>
      <c r="B2278" s="42"/>
      <c r="C2278" s="42"/>
      <c r="D2278" s="42"/>
      <c r="E2278" s="42"/>
      <c r="F2278" s="51" t="n">
        <f aca="false">IF(OR(C2278="",D2278="",E2278="",E2278=0),0,C2278*D2278/E2278)</f>
        <v>0</v>
      </c>
      <c r="G2278" s="42"/>
      <c r="H2278" s="49" t="n">
        <f aca="true">IF(OR($A2278="",_xlfn.MINIFS($B$3:$B$5000,$A$3:$A$5000,$A2278,$B$3:$B$5000,"&gt;"&amp;$B2278)=0),NOW(),_xlfn.MINIFS($B$3:$B$5000,$A$3:$A$5000,$A2278,$B$3:$B$5000,"&gt;"&amp;$B2278))</f>
        <v>46279.5987643921</v>
      </c>
    </row>
    <row r="2279" customFormat="false" ht="15" hidden="false" customHeight="true" outlineLevel="0" collapsed="false">
      <c r="A2279" s="42"/>
      <c r="B2279" s="42"/>
      <c r="C2279" s="42"/>
      <c r="D2279" s="42"/>
      <c r="E2279" s="42"/>
      <c r="F2279" s="51" t="n">
        <f aca="false">IF(OR(C2279="",D2279="",E2279="",E2279=0),0,C2279*D2279/E2279)</f>
        <v>0</v>
      </c>
      <c r="G2279" s="42"/>
      <c r="H2279" s="49" t="n">
        <f aca="true">IF(OR($A2279="",_xlfn.MINIFS($B$3:$B$5000,$A$3:$A$5000,$A2279,$B$3:$B$5000,"&gt;"&amp;$B2279)=0),NOW(),_xlfn.MINIFS($B$3:$B$5000,$A$3:$A$5000,$A2279,$B$3:$B$5000,"&gt;"&amp;$B2279))</f>
        <v>46279.5987643922</v>
      </c>
    </row>
    <row r="2280" customFormat="false" ht="15" hidden="false" customHeight="true" outlineLevel="0" collapsed="false">
      <c r="A2280" s="42"/>
      <c r="B2280" s="42"/>
      <c r="C2280" s="42"/>
      <c r="D2280" s="42"/>
      <c r="E2280" s="42"/>
      <c r="F2280" s="51" t="n">
        <f aca="false">IF(OR(C2280="",D2280="",E2280="",E2280=0),0,C2280*D2280/E2280)</f>
        <v>0</v>
      </c>
      <c r="G2280" s="42"/>
      <c r="H2280" s="49" t="n">
        <f aca="true">IF(OR($A2280="",_xlfn.MINIFS($B$3:$B$5000,$A$3:$A$5000,$A2280,$B$3:$B$5000,"&gt;"&amp;$B2280)=0),NOW(),_xlfn.MINIFS($B$3:$B$5000,$A$3:$A$5000,$A2280,$B$3:$B$5000,"&gt;"&amp;$B2280))</f>
        <v>46279.5987643922</v>
      </c>
    </row>
    <row r="2281" customFormat="false" ht="15" hidden="false" customHeight="true" outlineLevel="0" collapsed="false">
      <c r="A2281" s="42"/>
      <c r="B2281" s="42"/>
      <c r="C2281" s="42"/>
      <c r="D2281" s="42"/>
      <c r="E2281" s="42"/>
      <c r="F2281" s="51" t="n">
        <f aca="false">IF(OR(C2281="",D2281="",E2281="",E2281=0),0,C2281*D2281/E2281)</f>
        <v>0</v>
      </c>
      <c r="G2281" s="42"/>
      <c r="H2281" s="49" t="n">
        <f aca="true">IF(OR($A2281="",_xlfn.MINIFS($B$3:$B$5000,$A$3:$A$5000,$A2281,$B$3:$B$5000,"&gt;"&amp;$B2281)=0),NOW(),_xlfn.MINIFS($B$3:$B$5000,$A$3:$A$5000,$A2281,$B$3:$B$5000,"&gt;"&amp;$B2281))</f>
        <v>46279.5987643923</v>
      </c>
    </row>
    <row r="2282" customFormat="false" ht="15" hidden="false" customHeight="true" outlineLevel="0" collapsed="false">
      <c r="A2282" s="42"/>
      <c r="B2282" s="42"/>
      <c r="C2282" s="42"/>
      <c r="D2282" s="42"/>
      <c r="E2282" s="42"/>
      <c r="F2282" s="51" t="n">
        <f aca="false">IF(OR(C2282="",D2282="",E2282="",E2282=0),0,C2282*D2282/E2282)</f>
        <v>0</v>
      </c>
      <c r="G2282" s="42"/>
      <c r="H2282" s="49" t="n">
        <f aca="true">IF(OR($A2282="",_xlfn.MINIFS($B$3:$B$5000,$A$3:$A$5000,$A2282,$B$3:$B$5000,"&gt;"&amp;$B2282)=0),NOW(),_xlfn.MINIFS($B$3:$B$5000,$A$3:$A$5000,$A2282,$B$3:$B$5000,"&gt;"&amp;$B2282))</f>
        <v>46279.5987643923</v>
      </c>
    </row>
    <row r="2283" customFormat="false" ht="15" hidden="false" customHeight="true" outlineLevel="0" collapsed="false">
      <c r="A2283" s="42"/>
      <c r="B2283" s="42"/>
      <c r="C2283" s="42"/>
      <c r="D2283" s="42"/>
      <c r="E2283" s="42"/>
      <c r="F2283" s="51" t="n">
        <f aca="false">IF(OR(C2283="",D2283="",E2283="",E2283=0),0,C2283*D2283/E2283)</f>
        <v>0</v>
      </c>
      <c r="G2283" s="42"/>
      <c r="H2283" s="49" t="n">
        <f aca="true">IF(OR($A2283="",_xlfn.MINIFS($B$3:$B$5000,$A$3:$A$5000,$A2283,$B$3:$B$5000,"&gt;"&amp;$B2283)=0),NOW(),_xlfn.MINIFS($B$3:$B$5000,$A$3:$A$5000,$A2283,$B$3:$B$5000,"&gt;"&amp;$B2283))</f>
        <v>46279.5987643924</v>
      </c>
    </row>
    <row r="2284" customFormat="false" ht="15" hidden="false" customHeight="true" outlineLevel="0" collapsed="false">
      <c r="A2284" s="42"/>
      <c r="B2284" s="42"/>
      <c r="C2284" s="42"/>
      <c r="D2284" s="42"/>
      <c r="E2284" s="42"/>
      <c r="F2284" s="51" t="n">
        <f aca="false">IF(OR(C2284="",D2284="",E2284="",E2284=0),0,C2284*D2284/E2284)</f>
        <v>0</v>
      </c>
      <c r="G2284" s="42"/>
      <c r="H2284" s="49" t="n">
        <f aca="true">IF(OR($A2284="",_xlfn.MINIFS($B$3:$B$5000,$A$3:$A$5000,$A2284,$B$3:$B$5000,"&gt;"&amp;$B2284)=0),NOW(),_xlfn.MINIFS($B$3:$B$5000,$A$3:$A$5000,$A2284,$B$3:$B$5000,"&gt;"&amp;$B2284))</f>
        <v>46279.5987643924</v>
      </c>
    </row>
    <row r="2285" customFormat="false" ht="15" hidden="false" customHeight="true" outlineLevel="0" collapsed="false">
      <c r="A2285" s="42"/>
      <c r="B2285" s="42"/>
      <c r="C2285" s="42"/>
      <c r="D2285" s="42"/>
      <c r="E2285" s="42"/>
      <c r="F2285" s="51" t="n">
        <f aca="false">IF(OR(C2285="",D2285="",E2285="",E2285=0),0,C2285*D2285/E2285)</f>
        <v>0</v>
      </c>
      <c r="G2285" s="42"/>
      <c r="H2285" s="49" t="n">
        <f aca="true">IF(OR($A2285="",_xlfn.MINIFS($B$3:$B$5000,$A$3:$A$5000,$A2285,$B$3:$B$5000,"&gt;"&amp;$B2285)=0),NOW(),_xlfn.MINIFS($B$3:$B$5000,$A$3:$A$5000,$A2285,$B$3:$B$5000,"&gt;"&amp;$B2285))</f>
        <v>46279.5987643925</v>
      </c>
    </row>
    <row r="2286" customFormat="false" ht="15" hidden="false" customHeight="true" outlineLevel="0" collapsed="false">
      <c r="A2286" s="42"/>
      <c r="B2286" s="42"/>
      <c r="C2286" s="42"/>
      <c r="D2286" s="42"/>
      <c r="E2286" s="42"/>
      <c r="F2286" s="51" t="n">
        <f aca="false">IF(OR(C2286="",D2286="",E2286="",E2286=0),0,C2286*D2286/E2286)</f>
        <v>0</v>
      </c>
      <c r="G2286" s="42"/>
      <c r="H2286" s="49" t="n">
        <f aca="true">IF(OR($A2286="",_xlfn.MINIFS($B$3:$B$5000,$A$3:$A$5000,$A2286,$B$3:$B$5000,"&gt;"&amp;$B2286)=0),NOW(),_xlfn.MINIFS($B$3:$B$5000,$A$3:$A$5000,$A2286,$B$3:$B$5000,"&gt;"&amp;$B2286))</f>
        <v>46279.5987643925</v>
      </c>
    </row>
    <row r="2287" customFormat="false" ht="15" hidden="false" customHeight="true" outlineLevel="0" collapsed="false">
      <c r="A2287" s="42"/>
      <c r="B2287" s="42"/>
      <c r="C2287" s="42"/>
      <c r="D2287" s="42"/>
      <c r="E2287" s="42"/>
      <c r="F2287" s="51" t="n">
        <f aca="false">IF(OR(C2287="",D2287="",E2287="",E2287=0),0,C2287*D2287/E2287)</f>
        <v>0</v>
      </c>
      <c r="G2287" s="42"/>
      <c r="H2287" s="49" t="n">
        <f aca="true">IF(OR($A2287="",_xlfn.MINIFS($B$3:$B$5000,$A$3:$A$5000,$A2287,$B$3:$B$5000,"&gt;"&amp;$B2287)=0),NOW(),_xlfn.MINIFS($B$3:$B$5000,$A$3:$A$5000,$A2287,$B$3:$B$5000,"&gt;"&amp;$B2287))</f>
        <v>46279.5987643926</v>
      </c>
    </row>
    <row r="2288" customFormat="false" ht="15" hidden="false" customHeight="true" outlineLevel="0" collapsed="false">
      <c r="A2288" s="42"/>
      <c r="B2288" s="42"/>
      <c r="C2288" s="42"/>
      <c r="D2288" s="42"/>
      <c r="E2288" s="42"/>
      <c r="F2288" s="51" t="n">
        <f aca="false">IF(OR(C2288="",D2288="",E2288="",E2288=0),0,C2288*D2288/E2288)</f>
        <v>0</v>
      </c>
      <c r="G2288" s="42"/>
      <c r="H2288" s="49" t="n">
        <f aca="true">IF(OR($A2288="",_xlfn.MINIFS($B$3:$B$5000,$A$3:$A$5000,$A2288,$B$3:$B$5000,"&gt;"&amp;$B2288)=0),NOW(),_xlfn.MINIFS($B$3:$B$5000,$A$3:$A$5000,$A2288,$B$3:$B$5000,"&gt;"&amp;$B2288))</f>
        <v>46279.5987643926</v>
      </c>
    </row>
    <row r="2289" customFormat="false" ht="15" hidden="false" customHeight="true" outlineLevel="0" collapsed="false">
      <c r="A2289" s="42"/>
      <c r="B2289" s="42"/>
      <c r="C2289" s="42"/>
      <c r="D2289" s="42"/>
      <c r="E2289" s="42"/>
      <c r="F2289" s="51" t="n">
        <f aca="false">IF(OR(C2289="",D2289="",E2289="",E2289=0),0,C2289*D2289/E2289)</f>
        <v>0</v>
      </c>
      <c r="G2289" s="42"/>
      <c r="H2289" s="49" t="n">
        <f aca="true">IF(OR($A2289="",_xlfn.MINIFS($B$3:$B$5000,$A$3:$A$5000,$A2289,$B$3:$B$5000,"&gt;"&amp;$B2289)=0),NOW(),_xlfn.MINIFS($B$3:$B$5000,$A$3:$A$5000,$A2289,$B$3:$B$5000,"&gt;"&amp;$B2289))</f>
        <v>46279.5987643927</v>
      </c>
    </row>
    <row r="2290" customFormat="false" ht="15" hidden="false" customHeight="true" outlineLevel="0" collapsed="false">
      <c r="A2290" s="42"/>
      <c r="B2290" s="42"/>
      <c r="C2290" s="42"/>
      <c r="D2290" s="42"/>
      <c r="E2290" s="42"/>
      <c r="F2290" s="51" t="n">
        <f aca="false">IF(OR(C2290="",D2290="",E2290="",E2290=0),0,C2290*D2290/E2290)</f>
        <v>0</v>
      </c>
      <c r="G2290" s="42"/>
      <c r="H2290" s="49" t="n">
        <f aca="true">IF(OR($A2290="",_xlfn.MINIFS($B$3:$B$5000,$A$3:$A$5000,$A2290,$B$3:$B$5000,"&gt;"&amp;$B2290)=0),NOW(),_xlfn.MINIFS($B$3:$B$5000,$A$3:$A$5000,$A2290,$B$3:$B$5000,"&gt;"&amp;$B2290))</f>
        <v>46279.5987643927</v>
      </c>
    </row>
    <row r="2291" customFormat="false" ht="15" hidden="false" customHeight="true" outlineLevel="0" collapsed="false">
      <c r="A2291" s="42"/>
      <c r="B2291" s="42"/>
      <c r="C2291" s="42"/>
      <c r="D2291" s="42"/>
      <c r="E2291" s="42"/>
      <c r="F2291" s="51" t="n">
        <f aca="false">IF(OR(C2291="",D2291="",E2291="",E2291=0),0,C2291*D2291/E2291)</f>
        <v>0</v>
      </c>
      <c r="G2291" s="42"/>
      <c r="H2291" s="49" t="n">
        <f aca="true">IF(OR($A2291="",_xlfn.MINIFS($B$3:$B$5000,$A$3:$A$5000,$A2291,$B$3:$B$5000,"&gt;"&amp;$B2291)=0),NOW(),_xlfn.MINIFS($B$3:$B$5000,$A$3:$A$5000,$A2291,$B$3:$B$5000,"&gt;"&amp;$B2291))</f>
        <v>46279.5987643928</v>
      </c>
    </row>
    <row r="2292" customFormat="false" ht="15" hidden="false" customHeight="true" outlineLevel="0" collapsed="false">
      <c r="A2292" s="42"/>
      <c r="B2292" s="42"/>
      <c r="C2292" s="42"/>
      <c r="D2292" s="42"/>
      <c r="E2292" s="42"/>
      <c r="F2292" s="51" t="n">
        <f aca="false">IF(OR(C2292="",D2292="",E2292="",E2292=0),0,C2292*D2292/E2292)</f>
        <v>0</v>
      </c>
      <c r="G2292" s="42"/>
      <c r="H2292" s="49" t="n">
        <f aca="true">IF(OR($A2292="",_xlfn.MINIFS($B$3:$B$5000,$A$3:$A$5000,$A2292,$B$3:$B$5000,"&gt;"&amp;$B2292)=0),NOW(),_xlfn.MINIFS($B$3:$B$5000,$A$3:$A$5000,$A2292,$B$3:$B$5000,"&gt;"&amp;$B2292))</f>
        <v>46279.5987643928</v>
      </c>
    </row>
    <row r="2293" customFormat="false" ht="15" hidden="false" customHeight="true" outlineLevel="0" collapsed="false">
      <c r="A2293" s="42"/>
      <c r="B2293" s="42"/>
      <c r="C2293" s="42"/>
      <c r="D2293" s="42"/>
      <c r="E2293" s="42"/>
      <c r="F2293" s="51" t="n">
        <f aca="false">IF(OR(C2293="",D2293="",E2293="",E2293=0),0,C2293*D2293/E2293)</f>
        <v>0</v>
      </c>
      <c r="G2293" s="42"/>
      <c r="H2293" s="49" t="n">
        <f aca="true">IF(OR($A2293="",_xlfn.MINIFS($B$3:$B$5000,$A$3:$A$5000,$A2293,$B$3:$B$5000,"&gt;"&amp;$B2293)=0),NOW(),_xlfn.MINIFS($B$3:$B$5000,$A$3:$A$5000,$A2293,$B$3:$B$5000,"&gt;"&amp;$B2293))</f>
        <v>46279.5987643929</v>
      </c>
    </row>
    <row r="2294" customFormat="false" ht="15" hidden="false" customHeight="true" outlineLevel="0" collapsed="false">
      <c r="A2294" s="42"/>
      <c r="B2294" s="42"/>
      <c r="C2294" s="42"/>
      <c r="D2294" s="42"/>
      <c r="E2294" s="42"/>
      <c r="F2294" s="51" t="n">
        <f aca="false">IF(OR(C2294="",D2294="",E2294="",E2294=0),0,C2294*D2294/E2294)</f>
        <v>0</v>
      </c>
      <c r="G2294" s="42"/>
      <c r="H2294" s="49" t="n">
        <f aca="true">IF(OR($A2294="",_xlfn.MINIFS($B$3:$B$5000,$A$3:$A$5000,$A2294,$B$3:$B$5000,"&gt;"&amp;$B2294)=0),NOW(),_xlfn.MINIFS($B$3:$B$5000,$A$3:$A$5000,$A2294,$B$3:$B$5000,"&gt;"&amp;$B2294))</f>
        <v>46279.5987643929</v>
      </c>
    </row>
    <row r="2295" customFormat="false" ht="15" hidden="false" customHeight="true" outlineLevel="0" collapsed="false">
      <c r="A2295" s="42"/>
      <c r="B2295" s="42"/>
      <c r="C2295" s="42"/>
      <c r="D2295" s="42"/>
      <c r="E2295" s="42"/>
      <c r="F2295" s="51" t="n">
        <f aca="false">IF(OR(C2295="",D2295="",E2295="",E2295=0),0,C2295*D2295/E2295)</f>
        <v>0</v>
      </c>
      <c r="G2295" s="42"/>
      <c r="H2295" s="49" t="n">
        <f aca="true">IF(OR($A2295="",_xlfn.MINIFS($B$3:$B$5000,$A$3:$A$5000,$A2295,$B$3:$B$5000,"&gt;"&amp;$B2295)=0),NOW(),_xlfn.MINIFS($B$3:$B$5000,$A$3:$A$5000,$A2295,$B$3:$B$5000,"&gt;"&amp;$B2295))</f>
        <v>46279.598764393</v>
      </c>
    </row>
    <row r="2296" customFormat="false" ht="15" hidden="false" customHeight="true" outlineLevel="0" collapsed="false">
      <c r="A2296" s="42"/>
      <c r="B2296" s="42"/>
      <c r="C2296" s="42"/>
      <c r="D2296" s="42"/>
      <c r="E2296" s="42"/>
      <c r="F2296" s="51" t="n">
        <f aca="false">IF(OR(C2296="",D2296="",E2296="",E2296=0),0,C2296*D2296/E2296)</f>
        <v>0</v>
      </c>
      <c r="G2296" s="42"/>
      <c r="H2296" s="49" t="n">
        <f aca="true">IF(OR($A2296="",_xlfn.MINIFS($B$3:$B$5000,$A$3:$A$5000,$A2296,$B$3:$B$5000,"&gt;"&amp;$B2296)=0),NOW(),_xlfn.MINIFS($B$3:$B$5000,$A$3:$A$5000,$A2296,$B$3:$B$5000,"&gt;"&amp;$B2296))</f>
        <v>46279.598764393</v>
      </c>
    </row>
    <row r="2297" customFormat="false" ht="15" hidden="false" customHeight="true" outlineLevel="0" collapsed="false">
      <c r="A2297" s="42"/>
      <c r="B2297" s="42"/>
      <c r="C2297" s="42"/>
      <c r="D2297" s="42"/>
      <c r="E2297" s="42"/>
      <c r="F2297" s="51" t="n">
        <f aca="false">IF(OR(C2297="",D2297="",E2297="",E2297=0),0,C2297*D2297/E2297)</f>
        <v>0</v>
      </c>
      <c r="G2297" s="42"/>
      <c r="H2297" s="49" t="n">
        <f aca="true">IF(OR($A2297="",_xlfn.MINIFS($B$3:$B$5000,$A$3:$A$5000,$A2297,$B$3:$B$5000,"&gt;"&amp;$B2297)=0),NOW(),_xlfn.MINIFS($B$3:$B$5000,$A$3:$A$5000,$A2297,$B$3:$B$5000,"&gt;"&amp;$B2297))</f>
        <v>46279.5987643931</v>
      </c>
    </row>
    <row r="2298" customFormat="false" ht="15" hidden="false" customHeight="true" outlineLevel="0" collapsed="false">
      <c r="A2298" s="42"/>
      <c r="B2298" s="42"/>
      <c r="C2298" s="42"/>
      <c r="D2298" s="42"/>
      <c r="E2298" s="42"/>
      <c r="F2298" s="51" t="n">
        <f aca="false">IF(OR(C2298="",D2298="",E2298="",E2298=0),0,C2298*D2298/E2298)</f>
        <v>0</v>
      </c>
      <c r="G2298" s="42"/>
      <c r="H2298" s="49" t="n">
        <f aca="true">IF(OR($A2298="",_xlfn.MINIFS($B$3:$B$5000,$A$3:$A$5000,$A2298,$B$3:$B$5000,"&gt;"&amp;$B2298)=0),NOW(),_xlfn.MINIFS($B$3:$B$5000,$A$3:$A$5000,$A2298,$B$3:$B$5000,"&gt;"&amp;$B2298))</f>
        <v>46279.5987643931</v>
      </c>
    </row>
    <row r="2299" customFormat="false" ht="15" hidden="false" customHeight="true" outlineLevel="0" collapsed="false">
      <c r="A2299" s="42"/>
      <c r="B2299" s="42"/>
      <c r="C2299" s="42"/>
      <c r="D2299" s="42"/>
      <c r="E2299" s="42"/>
      <c r="F2299" s="51" t="n">
        <f aca="false">IF(OR(C2299="",D2299="",E2299="",E2299=0),0,C2299*D2299/E2299)</f>
        <v>0</v>
      </c>
      <c r="G2299" s="42"/>
      <c r="H2299" s="49" t="n">
        <f aca="true">IF(OR($A2299="",_xlfn.MINIFS($B$3:$B$5000,$A$3:$A$5000,$A2299,$B$3:$B$5000,"&gt;"&amp;$B2299)=0),NOW(),_xlfn.MINIFS($B$3:$B$5000,$A$3:$A$5000,$A2299,$B$3:$B$5000,"&gt;"&amp;$B2299))</f>
        <v>46279.5987643932</v>
      </c>
    </row>
    <row r="2300" customFormat="false" ht="15" hidden="false" customHeight="true" outlineLevel="0" collapsed="false">
      <c r="A2300" s="42"/>
      <c r="B2300" s="42"/>
      <c r="C2300" s="42"/>
      <c r="D2300" s="42"/>
      <c r="E2300" s="42"/>
      <c r="F2300" s="51" t="n">
        <f aca="false">IF(OR(C2300="",D2300="",E2300="",E2300=0),0,C2300*D2300/E2300)</f>
        <v>0</v>
      </c>
      <c r="G2300" s="42"/>
      <c r="H2300" s="49" t="n">
        <f aca="true">IF(OR($A2300="",_xlfn.MINIFS($B$3:$B$5000,$A$3:$A$5000,$A2300,$B$3:$B$5000,"&gt;"&amp;$B2300)=0),NOW(),_xlfn.MINIFS($B$3:$B$5000,$A$3:$A$5000,$A2300,$B$3:$B$5000,"&gt;"&amp;$B2300))</f>
        <v>46279.5987643932</v>
      </c>
    </row>
    <row r="2301" customFormat="false" ht="15" hidden="false" customHeight="true" outlineLevel="0" collapsed="false">
      <c r="A2301" s="42"/>
      <c r="B2301" s="42"/>
      <c r="C2301" s="42"/>
      <c r="D2301" s="42"/>
      <c r="E2301" s="42"/>
      <c r="F2301" s="51" t="n">
        <f aca="false">IF(OR(C2301="",D2301="",E2301="",E2301=0),0,C2301*D2301/E2301)</f>
        <v>0</v>
      </c>
      <c r="G2301" s="42"/>
      <c r="H2301" s="49" t="n">
        <f aca="true">IF(OR($A2301="",_xlfn.MINIFS($B$3:$B$5000,$A$3:$A$5000,$A2301,$B$3:$B$5000,"&gt;"&amp;$B2301)=0),NOW(),_xlfn.MINIFS($B$3:$B$5000,$A$3:$A$5000,$A2301,$B$3:$B$5000,"&gt;"&amp;$B2301))</f>
        <v>46279.5987643933</v>
      </c>
    </row>
    <row r="2302" customFormat="false" ht="15" hidden="false" customHeight="true" outlineLevel="0" collapsed="false">
      <c r="A2302" s="42"/>
      <c r="B2302" s="42"/>
      <c r="C2302" s="42"/>
      <c r="D2302" s="42"/>
      <c r="E2302" s="42"/>
      <c r="F2302" s="51" t="n">
        <f aca="false">IF(OR(C2302="",D2302="",E2302="",E2302=0),0,C2302*D2302/E2302)</f>
        <v>0</v>
      </c>
      <c r="G2302" s="42"/>
      <c r="H2302" s="49" t="n">
        <f aca="true">IF(OR($A2302="",_xlfn.MINIFS($B$3:$B$5000,$A$3:$A$5000,$A2302,$B$3:$B$5000,"&gt;"&amp;$B2302)=0),NOW(),_xlfn.MINIFS($B$3:$B$5000,$A$3:$A$5000,$A2302,$B$3:$B$5000,"&gt;"&amp;$B2302))</f>
        <v>46279.5987643933</v>
      </c>
    </row>
    <row r="2303" customFormat="false" ht="15" hidden="false" customHeight="true" outlineLevel="0" collapsed="false">
      <c r="A2303" s="42"/>
      <c r="B2303" s="42"/>
      <c r="C2303" s="42"/>
      <c r="D2303" s="42"/>
      <c r="E2303" s="42"/>
      <c r="F2303" s="51" t="n">
        <f aca="false">IF(OR(C2303="",D2303="",E2303="",E2303=0),0,C2303*D2303/E2303)</f>
        <v>0</v>
      </c>
      <c r="G2303" s="42"/>
      <c r="H2303" s="49" t="n">
        <f aca="true">IF(OR($A2303="",_xlfn.MINIFS($B$3:$B$5000,$A$3:$A$5000,$A2303,$B$3:$B$5000,"&gt;"&amp;$B2303)=0),NOW(),_xlfn.MINIFS($B$3:$B$5000,$A$3:$A$5000,$A2303,$B$3:$B$5000,"&gt;"&amp;$B2303))</f>
        <v>46279.5987643934</v>
      </c>
    </row>
    <row r="2304" customFormat="false" ht="15" hidden="false" customHeight="true" outlineLevel="0" collapsed="false">
      <c r="A2304" s="42"/>
      <c r="B2304" s="42"/>
      <c r="C2304" s="42"/>
      <c r="D2304" s="42"/>
      <c r="E2304" s="42"/>
      <c r="F2304" s="51" t="n">
        <f aca="false">IF(OR(C2304="",D2304="",E2304="",E2304=0),0,C2304*D2304/E2304)</f>
        <v>0</v>
      </c>
      <c r="G2304" s="42"/>
      <c r="H2304" s="49" t="n">
        <f aca="true">IF(OR($A2304="",_xlfn.MINIFS($B$3:$B$5000,$A$3:$A$5000,$A2304,$B$3:$B$5000,"&gt;"&amp;$B2304)=0),NOW(),_xlfn.MINIFS($B$3:$B$5000,$A$3:$A$5000,$A2304,$B$3:$B$5000,"&gt;"&amp;$B2304))</f>
        <v>46279.5987643934</v>
      </c>
    </row>
    <row r="2305" customFormat="false" ht="15" hidden="false" customHeight="true" outlineLevel="0" collapsed="false">
      <c r="A2305" s="42"/>
      <c r="B2305" s="42"/>
      <c r="C2305" s="42"/>
      <c r="D2305" s="42"/>
      <c r="E2305" s="42"/>
      <c r="F2305" s="51" t="n">
        <f aca="false">IF(OR(C2305="",D2305="",E2305="",E2305=0),0,C2305*D2305/E2305)</f>
        <v>0</v>
      </c>
      <c r="G2305" s="42"/>
      <c r="H2305" s="49" t="n">
        <f aca="true">IF(OR($A2305="",_xlfn.MINIFS($B$3:$B$5000,$A$3:$A$5000,$A2305,$B$3:$B$5000,"&gt;"&amp;$B2305)=0),NOW(),_xlfn.MINIFS($B$3:$B$5000,$A$3:$A$5000,$A2305,$B$3:$B$5000,"&gt;"&amp;$B2305))</f>
        <v>46279.5987643935</v>
      </c>
    </row>
    <row r="2306" customFormat="false" ht="15" hidden="false" customHeight="true" outlineLevel="0" collapsed="false">
      <c r="A2306" s="42"/>
      <c r="B2306" s="42"/>
      <c r="C2306" s="42"/>
      <c r="D2306" s="42"/>
      <c r="E2306" s="42"/>
      <c r="F2306" s="51" t="n">
        <f aca="false">IF(OR(C2306="",D2306="",E2306="",E2306=0),0,C2306*D2306/E2306)</f>
        <v>0</v>
      </c>
      <c r="G2306" s="42"/>
      <c r="H2306" s="49" t="n">
        <f aca="true">IF(OR($A2306="",_xlfn.MINIFS($B$3:$B$5000,$A$3:$A$5000,$A2306,$B$3:$B$5000,"&gt;"&amp;$B2306)=0),NOW(),_xlfn.MINIFS($B$3:$B$5000,$A$3:$A$5000,$A2306,$B$3:$B$5000,"&gt;"&amp;$B2306))</f>
        <v>46279.5987643935</v>
      </c>
    </row>
    <row r="2307" customFormat="false" ht="15" hidden="false" customHeight="true" outlineLevel="0" collapsed="false">
      <c r="A2307" s="42"/>
      <c r="B2307" s="42"/>
      <c r="C2307" s="42"/>
      <c r="D2307" s="42"/>
      <c r="E2307" s="42"/>
      <c r="F2307" s="51" t="n">
        <f aca="false">IF(OR(C2307="",D2307="",E2307="",E2307=0),0,C2307*D2307/E2307)</f>
        <v>0</v>
      </c>
      <c r="G2307" s="42"/>
      <c r="H2307" s="49" t="n">
        <f aca="true">IF(OR($A2307="",_xlfn.MINIFS($B$3:$B$5000,$A$3:$A$5000,$A2307,$B$3:$B$5000,"&gt;"&amp;$B2307)=0),NOW(),_xlfn.MINIFS($B$3:$B$5000,$A$3:$A$5000,$A2307,$B$3:$B$5000,"&gt;"&amp;$B2307))</f>
        <v>46279.5987643936</v>
      </c>
    </row>
    <row r="2308" customFormat="false" ht="15" hidden="false" customHeight="true" outlineLevel="0" collapsed="false">
      <c r="A2308" s="42"/>
      <c r="B2308" s="42"/>
      <c r="C2308" s="42"/>
      <c r="D2308" s="42"/>
      <c r="E2308" s="42"/>
      <c r="F2308" s="51" t="n">
        <f aca="false">IF(OR(C2308="",D2308="",E2308="",E2308=0),0,C2308*D2308/E2308)</f>
        <v>0</v>
      </c>
      <c r="G2308" s="42"/>
      <c r="H2308" s="49" t="n">
        <f aca="true">IF(OR($A2308="",_xlfn.MINIFS($B$3:$B$5000,$A$3:$A$5000,$A2308,$B$3:$B$5000,"&gt;"&amp;$B2308)=0),NOW(),_xlfn.MINIFS($B$3:$B$5000,$A$3:$A$5000,$A2308,$B$3:$B$5000,"&gt;"&amp;$B2308))</f>
        <v>46279.5987643936</v>
      </c>
    </row>
    <row r="2309" customFormat="false" ht="15" hidden="false" customHeight="true" outlineLevel="0" collapsed="false">
      <c r="A2309" s="42"/>
      <c r="B2309" s="42"/>
      <c r="C2309" s="42"/>
      <c r="D2309" s="42"/>
      <c r="E2309" s="42"/>
      <c r="F2309" s="51" t="n">
        <f aca="false">IF(OR(C2309="",D2309="",E2309="",E2309=0),0,C2309*D2309/E2309)</f>
        <v>0</v>
      </c>
      <c r="G2309" s="42"/>
      <c r="H2309" s="49" t="n">
        <f aca="true">IF(OR($A2309="",_xlfn.MINIFS($B$3:$B$5000,$A$3:$A$5000,$A2309,$B$3:$B$5000,"&gt;"&amp;$B2309)=0),NOW(),_xlfn.MINIFS($B$3:$B$5000,$A$3:$A$5000,$A2309,$B$3:$B$5000,"&gt;"&amp;$B2309))</f>
        <v>46279.5987643937</v>
      </c>
    </row>
    <row r="2310" customFormat="false" ht="15" hidden="false" customHeight="true" outlineLevel="0" collapsed="false">
      <c r="A2310" s="42"/>
      <c r="B2310" s="42"/>
      <c r="C2310" s="42"/>
      <c r="D2310" s="42"/>
      <c r="E2310" s="42"/>
      <c r="F2310" s="51" t="n">
        <f aca="false">IF(OR(C2310="",D2310="",E2310="",E2310=0),0,C2310*D2310/E2310)</f>
        <v>0</v>
      </c>
      <c r="G2310" s="42"/>
      <c r="H2310" s="49" t="n">
        <f aca="true">IF(OR($A2310="",_xlfn.MINIFS($B$3:$B$5000,$A$3:$A$5000,$A2310,$B$3:$B$5000,"&gt;"&amp;$B2310)=0),NOW(),_xlfn.MINIFS($B$3:$B$5000,$A$3:$A$5000,$A2310,$B$3:$B$5000,"&gt;"&amp;$B2310))</f>
        <v>46279.5987643937</v>
      </c>
    </row>
    <row r="2311" customFormat="false" ht="15" hidden="false" customHeight="true" outlineLevel="0" collapsed="false">
      <c r="A2311" s="42"/>
      <c r="B2311" s="42"/>
      <c r="C2311" s="42"/>
      <c r="D2311" s="42"/>
      <c r="E2311" s="42"/>
      <c r="F2311" s="51" t="n">
        <f aca="false">IF(OR(C2311="",D2311="",E2311="",E2311=0),0,C2311*D2311/E2311)</f>
        <v>0</v>
      </c>
      <c r="G2311" s="42"/>
      <c r="H2311" s="49" t="n">
        <f aca="true">IF(OR($A2311="",_xlfn.MINIFS($B$3:$B$5000,$A$3:$A$5000,$A2311,$B$3:$B$5000,"&gt;"&amp;$B2311)=0),NOW(),_xlfn.MINIFS($B$3:$B$5000,$A$3:$A$5000,$A2311,$B$3:$B$5000,"&gt;"&amp;$B2311))</f>
        <v>46279.5987643938</v>
      </c>
    </row>
    <row r="2312" customFormat="false" ht="15" hidden="false" customHeight="true" outlineLevel="0" collapsed="false">
      <c r="A2312" s="42"/>
      <c r="B2312" s="42"/>
      <c r="C2312" s="42"/>
      <c r="D2312" s="42"/>
      <c r="E2312" s="42"/>
      <c r="F2312" s="51" t="n">
        <f aca="false">IF(OR(C2312="",D2312="",E2312="",E2312=0),0,C2312*D2312/E2312)</f>
        <v>0</v>
      </c>
      <c r="G2312" s="42"/>
      <c r="H2312" s="49" t="n">
        <f aca="true">IF(OR($A2312="",_xlfn.MINIFS($B$3:$B$5000,$A$3:$A$5000,$A2312,$B$3:$B$5000,"&gt;"&amp;$B2312)=0),NOW(),_xlfn.MINIFS($B$3:$B$5000,$A$3:$A$5000,$A2312,$B$3:$B$5000,"&gt;"&amp;$B2312))</f>
        <v>46279.5987643938</v>
      </c>
    </row>
    <row r="2313" customFormat="false" ht="15" hidden="false" customHeight="true" outlineLevel="0" collapsed="false">
      <c r="A2313" s="42"/>
      <c r="B2313" s="42"/>
      <c r="C2313" s="42"/>
      <c r="D2313" s="42"/>
      <c r="E2313" s="42"/>
      <c r="F2313" s="51" t="n">
        <f aca="false">IF(OR(C2313="",D2313="",E2313="",E2313=0),0,C2313*D2313/E2313)</f>
        <v>0</v>
      </c>
      <c r="G2313" s="42"/>
      <c r="H2313" s="49" t="n">
        <f aca="true">IF(OR($A2313="",_xlfn.MINIFS($B$3:$B$5000,$A$3:$A$5000,$A2313,$B$3:$B$5000,"&gt;"&amp;$B2313)=0),NOW(),_xlfn.MINIFS($B$3:$B$5000,$A$3:$A$5000,$A2313,$B$3:$B$5000,"&gt;"&amp;$B2313))</f>
        <v>46279.5987643939</v>
      </c>
    </row>
    <row r="2314" customFormat="false" ht="15" hidden="false" customHeight="true" outlineLevel="0" collapsed="false">
      <c r="A2314" s="42"/>
      <c r="B2314" s="42"/>
      <c r="C2314" s="42"/>
      <c r="D2314" s="42"/>
      <c r="E2314" s="42"/>
      <c r="F2314" s="51" t="n">
        <f aca="false">IF(OR(C2314="",D2314="",E2314="",E2314=0),0,C2314*D2314/E2314)</f>
        <v>0</v>
      </c>
      <c r="G2314" s="42"/>
      <c r="H2314" s="49" t="n">
        <f aca="true">IF(OR($A2314="",_xlfn.MINIFS($B$3:$B$5000,$A$3:$A$5000,$A2314,$B$3:$B$5000,"&gt;"&amp;$B2314)=0),NOW(),_xlfn.MINIFS($B$3:$B$5000,$A$3:$A$5000,$A2314,$B$3:$B$5000,"&gt;"&amp;$B2314))</f>
        <v>46279.5987643939</v>
      </c>
    </row>
    <row r="2315" customFormat="false" ht="15" hidden="false" customHeight="true" outlineLevel="0" collapsed="false">
      <c r="A2315" s="42"/>
      <c r="B2315" s="42"/>
      <c r="C2315" s="42"/>
      <c r="D2315" s="42"/>
      <c r="E2315" s="42"/>
      <c r="F2315" s="51" t="n">
        <f aca="false">IF(OR(C2315="",D2315="",E2315="",E2315=0),0,C2315*D2315/E2315)</f>
        <v>0</v>
      </c>
      <c r="G2315" s="42"/>
      <c r="H2315" s="49" t="n">
        <f aca="true">IF(OR($A2315="",_xlfn.MINIFS($B$3:$B$5000,$A$3:$A$5000,$A2315,$B$3:$B$5000,"&gt;"&amp;$B2315)=0),NOW(),_xlfn.MINIFS($B$3:$B$5000,$A$3:$A$5000,$A2315,$B$3:$B$5000,"&gt;"&amp;$B2315))</f>
        <v>46279.598764394</v>
      </c>
    </row>
    <row r="2316" customFormat="false" ht="15" hidden="false" customHeight="true" outlineLevel="0" collapsed="false">
      <c r="A2316" s="42"/>
      <c r="B2316" s="42"/>
      <c r="C2316" s="42"/>
      <c r="D2316" s="42"/>
      <c r="E2316" s="42"/>
      <c r="F2316" s="51" t="n">
        <f aca="false">IF(OR(C2316="",D2316="",E2316="",E2316=0),0,C2316*D2316/E2316)</f>
        <v>0</v>
      </c>
      <c r="G2316" s="42"/>
      <c r="H2316" s="49" t="n">
        <f aca="true">IF(OR($A2316="",_xlfn.MINIFS($B$3:$B$5000,$A$3:$A$5000,$A2316,$B$3:$B$5000,"&gt;"&amp;$B2316)=0),NOW(),_xlfn.MINIFS($B$3:$B$5000,$A$3:$A$5000,$A2316,$B$3:$B$5000,"&gt;"&amp;$B2316))</f>
        <v>46279.598764394</v>
      </c>
    </row>
    <row r="2317" customFormat="false" ht="15" hidden="false" customHeight="true" outlineLevel="0" collapsed="false">
      <c r="A2317" s="42"/>
      <c r="B2317" s="42"/>
      <c r="C2317" s="42"/>
      <c r="D2317" s="42"/>
      <c r="E2317" s="42"/>
      <c r="F2317" s="51" t="n">
        <f aca="false">IF(OR(C2317="",D2317="",E2317="",E2317=0),0,C2317*D2317/E2317)</f>
        <v>0</v>
      </c>
      <c r="G2317" s="42"/>
      <c r="H2317" s="49" t="n">
        <f aca="true">IF(OR($A2317="",_xlfn.MINIFS($B$3:$B$5000,$A$3:$A$5000,$A2317,$B$3:$B$5000,"&gt;"&amp;$B2317)=0),NOW(),_xlfn.MINIFS($B$3:$B$5000,$A$3:$A$5000,$A2317,$B$3:$B$5000,"&gt;"&amp;$B2317))</f>
        <v>46279.5987643941</v>
      </c>
    </row>
    <row r="2318" customFormat="false" ht="15" hidden="false" customHeight="true" outlineLevel="0" collapsed="false">
      <c r="A2318" s="42"/>
      <c r="B2318" s="42"/>
      <c r="C2318" s="42"/>
      <c r="D2318" s="42"/>
      <c r="E2318" s="42"/>
      <c r="F2318" s="51" t="n">
        <f aca="false">IF(OR(C2318="",D2318="",E2318="",E2318=0),0,C2318*D2318/E2318)</f>
        <v>0</v>
      </c>
      <c r="G2318" s="42"/>
      <c r="H2318" s="49" t="n">
        <f aca="true">IF(OR($A2318="",_xlfn.MINIFS($B$3:$B$5000,$A$3:$A$5000,$A2318,$B$3:$B$5000,"&gt;"&amp;$B2318)=0),NOW(),_xlfn.MINIFS($B$3:$B$5000,$A$3:$A$5000,$A2318,$B$3:$B$5000,"&gt;"&amp;$B2318))</f>
        <v>46279.5987643941</v>
      </c>
    </row>
    <row r="2319" customFormat="false" ht="15" hidden="false" customHeight="true" outlineLevel="0" collapsed="false">
      <c r="A2319" s="42"/>
      <c r="B2319" s="42"/>
      <c r="C2319" s="42"/>
      <c r="D2319" s="42"/>
      <c r="E2319" s="42"/>
      <c r="F2319" s="51" t="n">
        <f aca="false">IF(OR(C2319="",D2319="",E2319="",E2319=0),0,C2319*D2319/E2319)</f>
        <v>0</v>
      </c>
      <c r="G2319" s="42"/>
      <c r="H2319" s="49" t="n">
        <f aca="true">IF(OR($A2319="",_xlfn.MINIFS($B$3:$B$5000,$A$3:$A$5000,$A2319,$B$3:$B$5000,"&gt;"&amp;$B2319)=0),NOW(),_xlfn.MINIFS($B$3:$B$5000,$A$3:$A$5000,$A2319,$B$3:$B$5000,"&gt;"&amp;$B2319))</f>
        <v>46279.5987643942</v>
      </c>
    </row>
    <row r="2320" customFormat="false" ht="15" hidden="false" customHeight="true" outlineLevel="0" collapsed="false">
      <c r="A2320" s="42"/>
      <c r="B2320" s="42"/>
      <c r="C2320" s="42"/>
      <c r="D2320" s="42"/>
      <c r="E2320" s="42"/>
      <c r="F2320" s="51" t="n">
        <f aca="false">IF(OR(C2320="",D2320="",E2320="",E2320=0),0,C2320*D2320/E2320)</f>
        <v>0</v>
      </c>
      <c r="G2320" s="42"/>
      <c r="H2320" s="49" t="n">
        <f aca="true">IF(OR($A2320="",_xlfn.MINIFS($B$3:$B$5000,$A$3:$A$5000,$A2320,$B$3:$B$5000,"&gt;"&amp;$B2320)=0),NOW(),_xlfn.MINIFS($B$3:$B$5000,$A$3:$A$5000,$A2320,$B$3:$B$5000,"&gt;"&amp;$B2320))</f>
        <v>46279.5987643942</v>
      </c>
    </row>
    <row r="2321" customFormat="false" ht="15" hidden="false" customHeight="true" outlineLevel="0" collapsed="false">
      <c r="A2321" s="42"/>
      <c r="B2321" s="42"/>
      <c r="C2321" s="42"/>
      <c r="D2321" s="42"/>
      <c r="E2321" s="42"/>
      <c r="F2321" s="51" t="n">
        <f aca="false">IF(OR(C2321="",D2321="",E2321="",E2321=0),0,C2321*D2321/E2321)</f>
        <v>0</v>
      </c>
      <c r="G2321" s="42"/>
      <c r="H2321" s="49" t="n">
        <f aca="true">IF(OR($A2321="",_xlfn.MINIFS($B$3:$B$5000,$A$3:$A$5000,$A2321,$B$3:$B$5000,"&gt;"&amp;$B2321)=0),NOW(),_xlfn.MINIFS($B$3:$B$5000,$A$3:$A$5000,$A2321,$B$3:$B$5000,"&gt;"&amp;$B2321))</f>
        <v>46279.5987643943</v>
      </c>
    </row>
    <row r="2322" customFormat="false" ht="15" hidden="false" customHeight="true" outlineLevel="0" collapsed="false">
      <c r="A2322" s="42"/>
      <c r="B2322" s="42"/>
      <c r="C2322" s="42"/>
      <c r="D2322" s="42"/>
      <c r="E2322" s="42"/>
      <c r="F2322" s="51" t="n">
        <f aca="false">IF(OR(C2322="",D2322="",E2322="",E2322=0),0,C2322*D2322/E2322)</f>
        <v>0</v>
      </c>
      <c r="G2322" s="42"/>
      <c r="H2322" s="49" t="n">
        <f aca="true">IF(OR($A2322="",_xlfn.MINIFS($B$3:$B$5000,$A$3:$A$5000,$A2322,$B$3:$B$5000,"&gt;"&amp;$B2322)=0),NOW(),_xlfn.MINIFS($B$3:$B$5000,$A$3:$A$5000,$A2322,$B$3:$B$5000,"&gt;"&amp;$B2322))</f>
        <v>46279.5987643943</v>
      </c>
    </row>
    <row r="2323" customFormat="false" ht="15" hidden="false" customHeight="true" outlineLevel="0" collapsed="false">
      <c r="A2323" s="42"/>
      <c r="B2323" s="42"/>
      <c r="C2323" s="42"/>
      <c r="D2323" s="42"/>
      <c r="E2323" s="42"/>
      <c r="F2323" s="51" t="n">
        <f aca="false">IF(OR(C2323="",D2323="",E2323="",E2323=0),0,C2323*D2323/E2323)</f>
        <v>0</v>
      </c>
      <c r="G2323" s="42"/>
      <c r="H2323" s="49" t="n">
        <f aca="true">IF(OR($A2323="",_xlfn.MINIFS($B$3:$B$5000,$A$3:$A$5000,$A2323,$B$3:$B$5000,"&gt;"&amp;$B2323)=0),NOW(),_xlfn.MINIFS($B$3:$B$5000,$A$3:$A$5000,$A2323,$B$3:$B$5000,"&gt;"&amp;$B2323))</f>
        <v>46279.5987643944</v>
      </c>
    </row>
    <row r="2324" customFormat="false" ht="15" hidden="false" customHeight="true" outlineLevel="0" collapsed="false">
      <c r="A2324" s="42"/>
      <c r="B2324" s="42"/>
      <c r="C2324" s="42"/>
      <c r="D2324" s="42"/>
      <c r="E2324" s="42"/>
      <c r="F2324" s="51" t="n">
        <f aca="false">IF(OR(C2324="",D2324="",E2324="",E2324=0),0,C2324*D2324/E2324)</f>
        <v>0</v>
      </c>
      <c r="G2324" s="42"/>
      <c r="H2324" s="49" t="n">
        <f aca="true">IF(OR($A2324="",_xlfn.MINIFS($B$3:$B$5000,$A$3:$A$5000,$A2324,$B$3:$B$5000,"&gt;"&amp;$B2324)=0),NOW(),_xlfn.MINIFS($B$3:$B$5000,$A$3:$A$5000,$A2324,$B$3:$B$5000,"&gt;"&amp;$B2324))</f>
        <v>46279.5987643944</v>
      </c>
    </row>
    <row r="2325" customFormat="false" ht="15" hidden="false" customHeight="true" outlineLevel="0" collapsed="false">
      <c r="A2325" s="42"/>
      <c r="B2325" s="42"/>
      <c r="C2325" s="42"/>
      <c r="D2325" s="42"/>
      <c r="E2325" s="42"/>
      <c r="F2325" s="51" t="n">
        <f aca="false">IF(OR(C2325="",D2325="",E2325="",E2325=0),0,C2325*D2325/E2325)</f>
        <v>0</v>
      </c>
      <c r="G2325" s="42"/>
      <c r="H2325" s="49" t="n">
        <f aca="true">IF(OR($A2325="",_xlfn.MINIFS($B$3:$B$5000,$A$3:$A$5000,$A2325,$B$3:$B$5000,"&gt;"&amp;$B2325)=0),NOW(),_xlfn.MINIFS($B$3:$B$5000,$A$3:$A$5000,$A2325,$B$3:$B$5000,"&gt;"&amp;$B2325))</f>
        <v>46279.5987643945</v>
      </c>
    </row>
    <row r="2326" customFormat="false" ht="15" hidden="false" customHeight="true" outlineLevel="0" collapsed="false">
      <c r="A2326" s="42"/>
      <c r="B2326" s="42"/>
      <c r="C2326" s="42"/>
      <c r="D2326" s="42"/>
      <c r="E2326" s="42"/>
      <c r="F2326" s="51" t="n">
        <f aca="false">IF(OR(C2326="",D2326="",E2326="",E2326=0),0,C2326*D2326/E2326)</f>
        <v>0</v>
      </c>
      <c r="G2326" s="42"/>
      <c r="H2326" s="49" t="n">
        <f aca="true">IF(OR($A2326="",_xlfn.MINIFS($B$3:$B$5000,$A$3:$A$5000,$A2326,$B$3:$B$5000,"&gt;"&amp;$B2326)=0),NOW(),_xlfn.MINIFS($B$3:$B$5000,$A$3:$A$5000,$A2326,$B$3:$B$5000,"&gt;"&amp;$B2326))</f>
        <v>46279.5987643945</v>
      </c>
    </row>
    <row r="2327" customFormat="false" ht="15" hidden="false" customHeight="true" outlineLevel="0" collapsed="false">
      <c r="A2327" s="42"/>
      <c r="B2327" s="42"/>
      <c r="C2327" s="42"/>
      <c r="D2327" s="42"/>
      <c r="E2327" s="42"/>
      <c r="F2327" s="51" t="n">
        <f aca="false">IF(OR(C2327="",D2327="",E2327="",E2327=0),0,C2327*D2327/E2327)</f>
        <v>0</v>
      </c>
      <c r="G2327" s="42"/>
      <c r="H2327" s="49" t="n">
        <f aca="true">IF(OR($A2327="",_xlfn.MINIFS($B$3:$B$5000,$A$3:$A$5000,$A2327,$B$3:$B$5000,"&gt;"&amp;$B2327)=0),NOW(),_xlfn.MINIFS($B$3:$B$5000,$A$3:$A$5000,$A2327,$B$3:$B$5000,"&gt;"&amp;$B2327))</f>
        <v>46279.5987643946</v>
      </c>
    </row>
    <row r="2328" customFormat="false" ht="15" hidden="false" customHeight="true" outlineLevel="0" collapsed="false">
      <c r="A2328" s="42"/>
      <c r="B2328" s="42"/>
      <c r="C2328" s="42"/>
      <c r="D2328" s="42"/>
      <c r="E2328" s="42"/>
      <c r="F2328" s="51" t="n">
        <f aca="false">IF(OR(C2328="",D2328="",E2328="",E2328=0),0,C2328*D2328/E2328)</f>
        <v>0</v>
      </c>
      <c r="G2328" s="42"/>
      <c r="H2328" s="49" t="n">
        <f aca="true">IF(OR($A2328="",_xlfn.MINIFS($B$3:$B$5000,$A$3:$A$5000,$A2328,$B$3:$B$5000,"&gt;"&amp;$B2328)=0),NOW(),_xlfn.MINIFS($B$3:$B$5000,$A$3:$A$5000,$A2328,$B$3:$B$5000,"&gt;"&amp;$B2328))</f>
        <v>46279.5987643947</v>
      </c>
    </row>
    <row r="2329" customFormat="false" ht="15" hidden="false" customHeight="true" outlineLevel="0" collapsed="false">
      <c r="A2329" s="42"/>
      <c r="B2329" s="42"/>
      <c r="C2329" s="42"/>
      <c r="D2329" s="42"/>
      <c r="E2329" s="42"/>
      <c r="F2329" s="51" t="n">
        <f aca="false">IF(OR(C2329="",D2329="",E2329="",E2329=0),0,C2329*D2329/E2329)</f>
        <v>0</v>
      </c>
      <c r="G2329" s="42"/>
      <c r="H2329" s="49" t="n">
        <f aca="true">IF(OR($A2329="",_xlfn.MINIFS($B$3:$B$5000,$A$3:$A$5000,$A2329,$B$3:$B$5000,"&gt;"&amp;$B2329)=0),NOW(),_xlfn.MINIFS($B$3:$B$5000,$A$3:$A$5000,$A2329,$B$3:$B$5000,"&gt;"&amp;$B2329))</f>
        <v>46279.5987643948</v>
      </c>
    </row>
    <row r="2330" customFormat="false" ht="15" hidden="false" customHeight="true" outlineLevel="0" collapsed="false">
      <c r="A2330" s="42"/>
      <c r="B2330" s="42"/>
      <c r="C2330" s="42"/>
      <c r="D2330" s="42"/>
      <c r="E2330" s="42"/>
      <c r="F2330" s="51" t="n">
        <f aca="false">IF(OR(C2330="",D2330="",E2330="",E2330=0),0,C2330*D2330/E2330)</f>
        <v>0</v>
      </c>
      <c r="G2330" s="42"/>
      <c r="H2330" s="49" t="n">
        <f aca="true">IF(OR($A2330="",_xlfn.MINIFS($B$3:$B$5000,$A$3:$A$5000,$A2330,$B$3:$B$5000,"&gt;"&amp;$B2330)=0),NOW(),_xlfn.MINIFS($B$3:$B$5000,$A$3:$A$5000,$A2330,$B$3:$B$5000,"&gt;"&amp;$B2330))</f>
        <v>46279.5987643948</v>
      </c>
    </row>
    <row r="2331" customFormat="false" ht="15" hidden="false" customHeight="true" outlineLevel="0" collapsed="false">
      <c r="A2331" s="42"/>
      <c r="B2331" s="42"/>
      <c r="C2331" s="42"/>
      <c r="D2331" s="42"/>
      <c r="E2331" s="42"/>
      <c r="F2331" s="51" t="n">
        <f aca="false">IF(OR(C2331="",D2331="",E2331="",E2331=0),0,C2331*D2331/E2331)</f>
        <v>0</v>
      </c>
      <c r="G2331" s="42"/>
      <c r="H2331" s="49" t="n">
        <f aca="true">IF(OR($A2331="",_xlfn.MINIFS($B$3:$B$5000,$A$3:$A$5000,$A2331,$B$3:$B$5000,"&gt;"&amp;$B2331)=0),NOW(),_xlfn.MINIFS($B$3:$B$5000,$A$3:$A$5000,$A2331,$B$3:$B$5000,"&gt;"&amp;$B2331))</f>
        <v>46279.5987643949</v>
      </c>
    </row>
    <row r="2332" customFormat="false" ht="15" hidden="false" customHeight="true" outlineLevel="0" collapsed="false">
      <c r="A2332" s="42"/>
      <c r="B2332" s="42"/>
      <c r="C2332" s="42"/>
      <c r="D2332" s="42"/>
      <c r="E2332" s="42"/>
      <c r="F2332" s="51" t="n">
        <f aca="false">IF(OR(C2332="",D2332="",E2332="",E2332=0),0,C2332*D2332/E2332)</f>
        <v>0</v>
      </c>
      <c r="G2332" s="42"/>
      <c r="H2332" s="49" t="n">
        <f aca="true">IF(OR($A2332="",_xlfn.MINIFS($B$3:$B$5000,$A$3:$A$5000,$A2332,$B$3:$B$5000,"&gt;"&amp;$B2332)=0),NOW(),_xlfn.MINIFS($B$3:$B$5000,$A$3:$A$5000,$A2332,$B$3:$B$5000,"&gt;"&amp;$B2332))</f>
        <v>46279.5987643949</v>
      </c>
    </row>
    <row r="2333" customFormat="false" ht="15" hidden="false" customHeight="true" outlineLevel="0" collapsed="false">
      <c r="A2333" s="42"/>
      <c r="B2333" s="42"/>
      <c r="C2333" s="42"/>
      <c r="D2333" s="42"/>
      <c r="E2333" s="42"/>
      <c r="F2333" s="51" t="n">
        <f aca="false">IF(OR(C2333="",D2333="",E2333="",E2333=0),0,C2333*D2333/E2333)</f>
        <v>0</v>
      </c>
      <c r="G2333" s="42"/>
      <c r="H2333" s="49" t="n">
        <f aca="true">IF(OR($A2333="",_xlfn.MINIFS($B$3:$B$5000,$A$3:$A$5000,$A2333,$B$3:$B$5000,"&gt;"&amp;$B2333)=0),NOW(),_xlfn.MINIFS($B$3:$B$5000,$A$3:$A$5000,$A2333,$B$3:$B$5000,"&gt;"&amp;$B2333))</f>
        <v>46279.598764395</v>
      </c>
    </row>
    <row r="2334" customFormat="false" ht="15" hidden="false" customHeight="true" outlineLevel="0" collapsed="false">
      <c r="A2334" s="42"/>
      <c r="B2334" s="42"/>
      <c r="C2334" s="42"/>
      <c r="D2334" s="42"/>
      <c r="E2334" s="42"/>
      <c r="F2334" s="51" t="n">
        <f aca="false">IF(OR(C2334="",D2334="",E2334="",E2334=0),0,C2334*D2334/E2334)</f>
        <v>0</v>
      </c>
      <c r="G2334" s="42"/>
      <c r="H2334" s="49" t="n">
        <f aca="true">IF(OR($A2334="",_xlfn.MINIFS($B$3:$B$5000,$A$3:$A$5000,$A2334,$B$3:$B$5000,"&gt;"&amp;$B2334)=0),NOW(),_xlfn.MINIFS($B$3:$B$5000,$A$3:$A$5000,$A2334,$B$3:$B$5000,"&gt;"&amp;$B2334))</f>
        <v>46279.598764395</v>
      </c>
    </row>
    <row r="2335" customFormat="false" ht="15" hidden="false" customHeight="true" outlineLevel="0" collapsed="false">
      <c r="A2335" s="42"/>
      <c r="B2335" s="42"/>
      <c r="C2335" s="42"/>
      <c r="D2335" s="42"/>
      <c r="E2335" s="42"/>
      <c r="F2335" s="51" t="n">
        <f aca="false">IF(OR(C2335="",D2335="",E2335="",E2335=0),0,C2335*D2335/E2335)</f>
        <v>0</v>
      </c>
      <c r="G2335" s="42"/>
      <c r="H2335" s="49" t="n">
        <f aca="true">IF(OR($A2335="",_xlfn.MINIFS($B$3:$B$5000,$A$3:$A$5000,$A2335,$B$3:$B$5000,"&gt;"&amp;$B2335)=0),NOW(),_xlfn.MINIFS($B$3:$B$5000,$A$3:$A$5000,$A2335,$B$3:$B$5000,"&gt;"&amp;$B2335))</f>
        <v>46279.5987643951</v>
      </c>
    </row>
    <row r="2336" customFormat="false" ht="15" hidden="false" customHeight="true" outlineLevel="0" collapsed="false">
      <c r="A2336" s="42"/>
      <c r="B2336" s="42"/>
      <c r="C2336" s="42"/>
      <c r="D2336" s="42"/>
      <c r="E2336" s="42"/>
      <c r="F2336" s="51" t="n">
        <f aca="false">IF(OR(C2336="",D2336="",E2336="",E2336=0),0,C2336*D2336/E2336)</f>
        <v>0</v>
      </c>
      <c r="G2336" s="42"/>
      <c r="H2336" s="49" t="n">
        <f aca="true">IF(OR($A2336="",_xlfn.MINIFS($B$3:$B$5000,$A$3:$A$5000,$A2336,$B$3:$B$5000,"&gt;"&amp;$B2336)=0),NOW(),_xlfn.MINIFS($B$3:$B$5000,$A$3:$A$5000,$A2336,$B$3:$B$5000,"&gt;"&amp;$B2336))</f>
        <v>46279.5987643951</v>
      </c>
    </row>
    <row r="2337" customFormat="false" ht="15" hidden="false" customHeight="true" outlineLevel="0" collapsed="false">
      <c r="A2337" s="42"/>
      <c r="B2337" s="42"/>
      <c r="C2337" s="42"/>
      <c r="D2337" s="42"/>
      <c r="E2337" s="42"/>
      <c r="F2337" s="51" t="n">
        <f aca="false">IF(OR(C2337="",D2337="",E2337="",E2337=0),0,C2337*D2337/E2337)</f>
        <v>0</v>
      </c>
      <c r="G2337" s="42"/>
      <c r="H2337" s="49" t="n">
        <f aca="true">IF(OR($A2337="",_xlfn.MINIFS($B$3:$B$5000,$A$3:$A$5000,$A2337,$B$3:$B$5000,"&gt;"&amp;$B2337)=0),NOW(),_xlfn.MINIFS($B$3:$B$5000,$A$3:$A$5000,$A2337,$B$3:$B$5000,"&gt;"&amp;$B2337))</f>
        <v>46279.5987643952</v>
      </c>
    </row>
    <row r="2338" customFormat="false" ht="15" hidden="false" customHeight="true" outlineLevel="0" collapsed="false">
      <c r="A2338" s="42"/>
      <c r="B2338" s="42"/>
      <c r="C2338" s="42"/>
      <c r="D2338" s="42"/>
      <c r="E2338" s="42"/>
      <c r="F2338" s="51" t="n">
        <f aca="false">IF(OR(C2338="",D2338="",E2338="",E2338=0),0,C2338*D2338/E2338)</f>
        <v>0</v>
      </c>
      <c r="G2338" s="42"/>
      <c r="H2338" s="49" t="n">
        <f aca="true">IF(OR($A2338="",_xlfn.MINIFS($B$3:$B$5000,$A$3:$A$5000,$A2338,$B$3:$B$5000,"&gt;"&amp;$B2338)=0),NOW(),_xlfn.MINIFS($B$3:$B$5000,$A$3:$A$5000,$A2338,$B$3:$B$5000,"&gt;"&amp;$B2338))</f>
        <v>46279.5987643952</v>
      </c>
    </row>
    <row r="2339" customFormat="false" ht="15" hidden="false" customHeight="true" outlineLevel="0" collapsed="false">
      <c r="A2339" s="42"/>
      <c r="B2339" s="42"/>
      <c r="C2339" s="42"/>
      <c r="D2339" s="42"/>
      <c r="E2339" s="42"/>
      <c r="F2339" s="51" t="n">
        <f aca="false">IF(OR(C2339="",D2339="",E2339="",E2339=0),0,C2339*D2339/E2339)</f>
        <v>0</v>
      </c>
      <c r="G2339" s="42"/>
      <c r="H2339" s="49" t="n">
        <f aca="true">IF(OR($A2339="",_xlfn.MINIFS($B$3:$B$5000,$A$3:$A$5000,$A2339,$B$3:$B$5000,"&gt;"&amp;$B2339)=0),NOW(),_xlfn.MINIFS($B$3:$B$5000,$A$3:$A$5000,$A2339,$B$3:$B$5000,"&gt;"&amp;$B2339))</f>
        <v>46279.5987643953</v>
      </c>
    </row>
    <row r="2340" customFormat="false" ht="15" hidden="false" customHeight="true" outlineLevel="0" collapsed="false">
      <c r="A2340" s="42"/>
      <c r="B2340" s="42"/>
      <c r="C2340" s="42"/>
      <c r="D2340" s="42"/>
      <c r="E2340" s="42"/>
      <c r="F2340" s="51" t="n">
        <f aca="false">IF(OR(C2340="",D2340="",E2340="",E2340=0),0,C2340*D2340/E2340)</f>
        <v>0</v>
      </c>
      <c r="G2340" s="42"/>
      <c r="H2340" s="49" t="n">
        <f aca="true">IF(OR($A2340="",_xlfn.MINIFS($B$3:$B$5000,$A$3:$A$5000,$A2340,$B$3:$B$5000,"&gt;"&amp;$B2340)=0),NOW(),_xlfn.MINIFS($B$3:$B$5000,$A$3:$A$5000,$A2340,$B$3:$B$5000,"&gt;"&amp;$B2340))</f>
        <v>46279.5987643953</v>
      </c>
    </row>
    <row r="2341" customFormat="false" ht="15" hidden="false" customHeight="true" outlineLevel="0" collapsed="false">
      <c r="A2341" s="42"/>
      <c r="B2341" s="42"/>
      <c r="C2341" s="42"/>
      <c r="D2341" s="42"/>
      <c r="E2341" s="42"/>
      <c r="F2341" s="51" t="n">
        <f aca="false">IF(OR(C2341="",D2341="",E2341="",E2341=0),0,C2341*D2341/E2341)</f>
        <v>0</v>
      </c>
      <c r="G2341" s="42"/>
      <c r="H2341" s="49" t="n">
        <f aca="true">IF(OR($A2341="",_xlfn.MINIFS($B$3:$B$5000,$A$3:$A$5000,$A2341,$B$3:$B$5000,"&gt;"&amp;$B2341)=0),NOW(),_xlfn.MINIFS($B$3:$B$5000,$A$3:$A$5000,$A2341,$B$3:$B$5000,"&gt;"&amp;$B2341))</f>
        <v>46279.5987643954</v>
      </c>
    </row>
    <row r="2342" customFormat="false" ht="15" hidden="false" customHeight="true" outlineLevel="0" collapsed="false">
      <c r="A2342" s="42"/>
      <c r="B2342" s="42"/>
      <c r="C2342" s="42"/>
      <c r="D2342" s="42"/>
      <c r="E2342" s="42"/>
      <c r="F2342" s="51" t="n">
        <f aca="false">IF(OR(C2342="",D2342="",E2342="",E2342=0),0,C2342*D2342/E2342)</f>
        <v>0</v>
      </c>
      <c r="G2342" s="42"/>
      <c r="H2342" s="49" t="n">
        <f aca="true">IF(OR($A2342="",_xlfn.MINIFS($B$3:$B$5000,$A$3:$A$5000,$A2342,$B$3:$B$5000,"&gt;"&amp;$B2342)=0),NOW(),_xlfn.MINIFS($B$3:$B$5000,$A$3:$A$5000,$A2342,$B$3:$B$5000,"&gt;"&amp;$B2342))</f>
        <v>46279.5987643954</v>
      </c>
    </row>
    <row r="2343" customFormat="false" ht="15" hidden="false" customHeight="true" outlineLevel="0" collapsed="false">
      <c r="A2343" s="42"/>
      <c r="B2343" s="42"/>
      <c r="C2343" s="42"/>
      <c r="D2343" s="42"/>
      <c r="E2343" s="42"/>
      <c r="F2343" s="51" t="n">
        <f aca="false">IF(OR(C2343="",D2343="",E2343="",E2343=0),0,C2343*D2343/E2343)</f>
        <v>0</v>
      </c>
      <c r="G2343" s="42"/>
      <c r="H2343" s="49" t="n">
        <f aca="true">IF(OR($A2343="",_xlfn.MINIFS($B$3:$B$5000,$A$3:$A$5000,$A2343,$B$3:$B$5000,"&gt;"&amp;$B2343)=0),NOW(),_xlfn.MINIFS($B$3:$B$5000,$A$3:$A$5000,$A2343,$B$3:$B$5000,"&gt;"&amp;$B2343))</f>
        <v>46279.5987643955</v>
      </c>
    </row>
    <row r="2344" customFormat="false" ht="15" hidden="false" customHeight="true" outlineLevel="0" collapsed="false">
      <c r="A2344" s="42"/>
      <c r="B2344" s="42"/>
      <c r="C2344" s="42"/>
      <c r="D2344" s="42"/>
      <c r="E2344" s="42"/>
      <c r="F2344" s="51" t="n">
        <f aca="false">IF(OR(C2344="",D2344="",E2344="",E2344=0),0,C2344*D2344/E2344)</f>
        <v>0</v>
      </c>
      <c r="G2344" s="42"/>
      <c r="H2344" s="49" t="n">
        <f aca="true">IF(OR($A2344="",_xlfn.MINIFS($B$3:$B$5000,$A$3:$A$5000,$A2344,$B$3:$B$5000,"&gt;"&amp;$B2344)=0),NOW(),_xlfn.MINIFS($B$3:$B$5000,$A$3:$A$5000,$A2344,$B$3:$B$5000,"&gt;"&amp;$B2344))</f>
        <v>46279.5987643955</v>
      </c>
    </row>
    <row r="2345" customFormat="false" ht="15" hidden="false" customHeight="true" outlineLevel="0" collapsed="false">
      <c r="A2345" s="42"/>
      <c r="B2345" s="42"/>
      <c r="C2345" s="42"/>
      <c r="D2345" s="42"/>
      <c r="E2345" s="42"/>
      <c r="F2345" s="51" t="n">
        <f aca="false">IF(OR(C2345="",D2345="",E2345="",E2345=0),0,C2345*D2345/E2345)</f>
        <v>0</v>
      </c>
      <c r="G2345" s="42"/>
      <c r="H2345" s="49" t="n">
        <f aca="true">IF(OR($A2345="",_xlfn.MINIFS($B$3:$B$5000,$A$3:$A$5000,$A2345,$B$3:$B$5000,"&gt;"&amp;$B2345)=0),NOW(),_xlfn.MINIFS($B$3:$B$5000,$A$3:$A$5000,$A2345,$B$3:$B$5000,"&gt;"&amp;$B2345))</f>
        <v>46279.5987643956</v>
      </c>
    </row>
    <row r="2346" customFormat="false" ht="15" hidden="false" customHeight="true" outlineLevel="0" collapsed="false">
      <c r="A2346" s="42"/>
      <c r="B2346" s="42"/>
      <c r="C2346" s="42"/>
      <c r="D2346" s="42"/>
      <c r="E2346" s="42"/>
      <c r="F2346" s="51" t="n">
        <f aca="false">IF(OR(C2346="",D2346="",E2346="",E2346=0),0,C2346*D2346/E2346)</f>
        <v>0</v>
      </c>
      <c r="G2346" s="42"/>
      <c r="H2346" s="49" t="n">
        <f aca="true">IF(OR($A2346="",_xlfn.MINIFS($B$3:$B$5000,$A$3:$A$5000,$A2346,$B$3:$B$5000,"&gt;"&amp;$B2346)=0),NOW(),_xlfn.MINIFS($B$3:$B$5000,$A$3:$A$5000,$A2346,$B$3:$B$5000,"&gt;"&amp;$B2346))</f>
        <v>46279.5987643956</v>
      </c>
    </row>
    <row r="2347" customFormat="false" ht="15" hidden="false" customHeight="true" outlineLevel="0" collapsed="false">
      <c r="A2347" s="42"/>
      <c r="B2347" s="42"/>
      <c r="C2347" s="42"/>
      <c r="D2347" s="42"/>
      <c r="E2347" s="42"/>
      <c r="F2347" s="51" t="n">
        <f aca="false">IF(OR(C2347="",D2347="",E2347="",E2347=0),0,C2347*D2347/E2347)</f>
        <v>0</v>
      </c>
      <c r="G2347" s="42"/>
      <c r="H2347" s="49" t="n">
        <f aca="true">IF(OR($A2347="",_xlfn.MINIFS($B$3:$B$5000,$A$3:$A$5000,$A2347,$B$3:$B$5000,"&gt;"&amp;$B2347)=0),NOW(),_xlfn.MINIFS($B$3:$B$5000,$A$3:$A$5000,$A2347,$B$3:$B$5000,"&gt;"&amp;$B2347))</f>
        <v>46279.5987643957</v>
      </c>
    </row>
    <row r="2348" customFormat="false" ht="15" hidden="false" customHeight="true" outlineLevel="0" collapsed="false">
      <c r="A2348" s="42"/>
      <c r="B2348" s="42"/>
      <c r="C2348" s="42"/>
      <c r="D2348" s="42"/>
      <c r="E2348" s="42"/>
      <c r="F2348" s="51" t="n">
        <f aca="false">IF(OR(C2348="",D2348="",E2348="",E2348=0),0,C2348*D2348/E2348)</f>
        <v>0</v>
      </c>
      <c r="G2348" s="42"/>
      <c r="H2348" s="49" t="n">
        <f aca="true">IF(OR($A2348="",_xlfn.MINIFS($B$3:$B$5000,$A$3:$A$5000,$A2348,$B$3:$B$5000,"&gt;"&amp;$B2348)=0),NOW(),_xlfn.MINIFS($B$3:$B$5000,$A$3:$A$5000,$A2348,$B$3:$B$5000,"&gt;"&amp;$B2348))</f>
        <v>46279.5987643957</v>
      </c>
    </row>
    <row r="2349" customFormat="false" ht="15" hidden="false" customHeight="true" outlineLevel="0" collapsed="false">
      <c r="A2349" s="42"/>
      <c r="B2349" s="42"/>
      <c r="C2349" s="42"/>
      <c r="D2349" s="42"/>
      <c r="E2349" s="42"/>
      <c r="F2349" s="51" t="n">
        <f aca="false">IF(OR(C2349="",D2349="",E2349="",E2349=0),0,C2349*D2349/E2349)</f>
        <v>0</v>
      </c>
      <c r="G2349" s="42"/>
      <c r="H2349" s="49" t="n">
        <f aca="true">IF(OR($A2349="",_xlfn.MINIFS($B$3:$B$5000,$A$3:$A$5000,$A2349,$B$3:$B$5000,"&gt;"&amp;$B2349)=0),NOW(),_xlfn.MINIFS($B$3:$B$5000,$A$3:$A$5000,$A2349,$B$3:$B$5000,"&gt;"&amp;$B2349))</f>
        <v>46279.5987643958</v>
      </c>
    </row>
    <row r="2350" customFormat="false" ht="15" hidden="false" customHeight="true" outlineLevel="0" collapsed="false">
      <c r="A2350" s="42"/>
      <c r="B2350" s="42"/>
      <c r="C2350" s="42"/>
      <c r="D2350" s="42"/>
      <c r="E2350" s="42"/>
      <c r="F2350" s="51" t="n">
        <f aca="false">IF(OR(C2350="",D2350="",E2350="",E2350=0),0,C2350*D2350/E2350)</f>
        <v>0</v>
      </c>
      <c r="G2350" s="42"/>
      <c r="H2350" s="49" t="n">
        <f aca="true">IF(OR($A2350="",_xlfn.MINIFS($B$3:$B$5000,$A$3:$A$5000,$A2350,$B$3:$B$5000,"&gt;"&amp;$B2350)=0),NOW(),_xlfn.MINIFS($B$3:$B$5000,$A$3:$A$5000,$A2350,$B$3:$B$5000,"&gt;"&amp;$B2350))</f>
        <v>46279.5987643958</v>
      </c>
    </row>
    <row r="2351" customFormat="false" ht="15" hidden="false" customHeight="true" outlineLevel="0" collapsed="false">
      <c r="A2351" s="42"/>
      <c r="B2351" s="42"/>
      <c r="C2351" s="42"/>
      <c r="D2351" s="42"/>
      <c r="E2351" s="42"/>
      <c r="F2351" s="51" t="n">
        <f aca="false">IF(OR(C2351="",D2351="",E2351="",E2351=0),0,C2351*D2351/E2351)</f>
        <v>0</v>
      </c>
      <c r="G2351" s="42"/>
      <c r="H2351" s="49" t="n">
        <f aca="true">IF(OR($A2351="",_xlfn.MINIFS($B$3:$B$5000,$A$3:$A$5000,$A2351,$B$3:$B$5000,"&gt;"&amp;$B2351)=0),NOW(),_xlfn.MINIFS($B$3:$B$5000,$A$3:$A$5000,$A2351,$B$3:$B$5000,"&gt;"&amp;$B2351))</f>
        <v>46279.5987643959</v>
      </c>
    </row>
    <row r="2352" customFormat="false" ht="15" hidden="false" customHeight="true" outlineLevel="0" collapsed="false">
      <c r="A2352" s="42"/>
      <c r="B2352" s="42"/>
      <c r="C2352" s="42"/>
      <c r="D2352" s="42"/>
      <c r="E2352" s="42"/>
      <c r="F2352" s="51" t="n">
        <f aca="false">IF(OR(C2352="",D2352="",E2352="",E2352=0),0,C2352*D2352/E2352)</f>
        <v>0</v>
      </c>
      <c r="G2352" s="42"/>
      <c r="H2352" s="49" t="n">
        <f aca="true">IF(OR($A2352="",_xlfn.MINIFS($B$3:$B$5000,$A$3:$A$5000,$A2352,$B$3:$B$5000,"&gt;"&amp;$B2352)=0),NOW(),_xlfn.MINIFS($B$3:$B$5000,$A$3:$A$5000,$A2352,$B$3:$B$5000,"&gt;"&amp;$B2352))</f>
        <v>46279.5987643959</v>
      </c>
    </row>
    <row r="2353" customFormat="false" ht="15" hidden="false" customHeight="true" outlineLevel="0" collapsed="false">
      <c r="A2353" s="42"/>
      <c r="B2353" s="42"/>
      <c r="C2353" s="42"/>
      <c r="D2353" s="42"/>
      <c r="E2353" s="42"/>
      <c r="F2353" s="51" t="n">
        <f aca="false">IF(OR(C2353="",D2353="",E2353="",E2353=0),0,C2353*D2353/E2353)</f>
        <v>0</v>
      </c>
      <c r="G2353" s="42"/>
      <c r="H2353" s="49" t="n">
        <f aca="true">IF(OR($A2353="",_xlfn.MINIFS($B$3:$B$5000,$A$3:$A$5000,$A2353,$B$3:$B$5000,"&gt;"&amp;$B2353)=0),NOW(),_xlfn.MINIFS($B$3:$B$5000,$A$3:$A$5000,$A2353,$B$3:$B$5000,"&gt;"&amp;$B2353))</f>
        <v>46279.598764396</v>
      </c>
    </row>
    <row r="2354" customFormat="false" ht="15" hidden="false" customHeight="true" outlineLevel="0" collapsed="false">
      <c r="A2354" s="42"/>
      <c r="B2354" s="42"/>
      <c r="C2354" s="42"/>
      <c r="D2354" s="42"/>
      <c r="E2354" s="42"/>
      <c r="F2354" s="51" t="n">
        <f aca="false">IF(OR(C2354="",D2354="",E2354="",E2354=0),0,C2354*D2354/E2354)</f>
        <v>0</v>
      </c>
      <c r="G2354" s="42"/>
      <c r="H2354" s="49" t="n">
        <f aca="true">IF(OR($A2354="",_xlfn.MINIFS($B$3:$B$5000,$A$3:$A$5000,$A2354,$B$3:$B$5000,"&gt;"&amp;$B2354)=0),NOW(),_xlfn.MINIFS($B$3:$B$5000,$A$3:$A$5000,$A2354,$B$3:$B$5000,"&gt;"&amp;$B2354))</f>
        <v>46279.598764396</v>
      </c>
    </row>
    <row r="2355" customFormat="false" ht="15" hidden="false" customHeight="true" outlineLevel="0" collapsed="false">
      <c r="A2355" s="42"/>
      <c r="B2355" s="42"/>
      <c r="C2355" s="42"/>
      <c r="D2355" s="42"/>
      <c r="E2355" s="42"/>
      <c r="F2355" s="51" t="n">
        <f aca="false">IF(OR(C2355="",D2355="",E2355="",E2355=0),0,C2355*D2355/E2355)</f>
        <v>0</v>
      </c>
      <c r="G2355" s="42"/>
      <c r="H2355" s="49" t="n">
        <f aca="true">IF(OR($A2355="",_xlfn.MINIFS($B$3:$B$5000,$A$3:$A$5000,$A2355,$B$3:$B$5000,"&gt;"&amp;$B2355)=0),NOW(),_xlfn.MINIFS($B$3:$B$5000,$A$3:$A$5000,$A2355,$B$3:$B$5000,"&gt;"&amp;$B2355))</f>
        <v>46279.5987643961</v>
      </c>
    </row>
    <row r="2356" customFormat="false" ht="15" hidden="false" customHeight="true" outlineLevel="0" collapsed="false">
      <c r="A2356" s="42"/>
      <c r="B2356" s="42"/>
      <c r="C2356" s="42"/>
      <c r="D2356" s="42"/>
      <c r="E2356" s="42"/>
      <c r="F2356" s="51" t="n">
        <f aca="false">IF(OR(C2356="",D2356="",E2356="",E2356=0),0,C2356*D2356/E2356)</f>
        <v>0</v>
      </c>
      <c r="G2356" s="42"/>
      <c r="H2356" s="49" t="n">
        <f aca="true">IF(OR($A2356="",_xlfn.MINIFS($B$3:$B$5000,$A$3:$A$5000,$A2356,$B$3:$B$5000,"&gt;"&amp;$B2356)=0),NOW(),_xlfn.MINIFS($B$3:$B$5000,$A$3:$A$5000,$A2356,$B$3:$B$5000,"&gt;"&amp;$B2356))</f>
        <v>46279.5987643961</v>
      </c>
    </row>
    <row r="2357" customFormat="false" ht="15" hidden="false" customHeight="true" outlineLevel="0" collapsed="false">
      <c r="A2357" s="42"/>
      <c r="B2357" s="42"/>
      <c r="C2357" s="42"/>
      <c r="D2357" s="42"/>
      <c r="E2357" s="42"/>
      <c r="F2357" s="51" t="n">
        <f aca="false">IF(OR(C2357="",D2357="",E2357="",E2357=0),0,C2357*D2357/E2357)</f>
        <v>0</v>
      </c>
      <c r="G2357" s="42"/>
      <c r="H2357" s="49" t="n">
        <f aca="true">IF(OR($A2357="",_xlfn.MINIFS($B$3:$B$5000,$A$3:$A$5000,$A2357,$B$3:$B$5000,"&gt;"&amp;$B2357)=0),NOW(),_xlfn.MINIFS($B$3:$B$5000,$A$3:$A$5000,$A2357,$B$3:$B$5000,"&gt;"&amp;$B2357))</f>
        <v>46279.5987643962</v>
      </c>
    </row>
    <row r="2358" customFormat="false" ht="15" hidden="false" customHeight="true" outlineLevel="0" collapsed="false">
      <c r="A2358" s="42"/>
      <c r="B2358" s="42"/>
      <c r="C2358" s="42"/>
      <c r="D2358" s="42"/>
      <c r="E2358" s="42"/>
      <c r="F2358" s="51" t="n">
        <f aca="false">IF(OR(C2358="",D2358="",E2358="",E2358=0),0,C2358*D2358/E2358)</f>
        <v>0</v>
      </c>
      <c r="G2358" s="42"/>
      <c r="H2358" s="49" t="n">
        <f aca="true">IF(OR($A2358="",_xlfn.MINIFS($B$3:$B$5000,$A$3:$A$5000,$A2358,$B$3:$B$5000,"&gt;"&amp;$B2358)=0),NOW(),_xlfn.MINIFS($B$3:$B$5000,$A$3:$A$5000,$A2358,$B$3:$B$5000,"&gt;"&amp;$B2358))</f>
        <v>46279.5987643966</v>
      </c>
    </row>
    <row r="2359" customFormat="false" ht="15" hidden="false" customHeight="true" outlineLevel="0" collapsed="false">
      <c r="A2359" s="42"/>
      <c r="B2359" s="42"/>
      <c r="C2359" s="42"/>
      <c r="D2359" s="42"/>
      <c r="E2359" s="42"/>
      <c r="F2359" s="51" t="n">
        <f aca="false">IF(OR(C2359="",D2359="",E2359="",E2359=0),0,C2359*D2359/E2359)</f>
        <v>0</v>
      </c>
      <c r="G2359" s="42"/>
      <c r="H2359" s="49" t="n">
        <f aca="true">IF(OR($A2359="",_xlfn.MINIFS($B$3:$B$5000,$A$3:$A$5000,$A2359,$B$3:$B$5000,"&gt;"&amp;$B2359)=0),NOW(),_xlfn.MINIFS($B$3:$B$5000,$A$3:$A$5000,$A2359,$B$3:$B$5000,"&gt;"&amp;$B2359))</f>
        <v>46279.5987643967</v>
      </c>
    </row>
    <row r="2360" customFormat="false" ht="15" hidden="false" customHeight="true" outlineLevel="0" collapsed="false">
      <c r="A2360" s="42"/>
      <c r="B2360" s="42"/>
      <c r="C2360" s="42"/>
      <c r="D2360" s="42"/>
      <c r="E2360" s="42"/>
      <c r="F2360" s="51" t="n">
        <f aca="false">IF(OR(C2360="",D2360="",E2360="",E2360=0),0,C2360*D2360/E2360)</f>
        <v>0</v>
      </c>
      <c r="G2360" s="42"/>
      <c r="H2360" s="49" t="n">
        <f aca="true">IF(OR($A2360="",_xlfn.MINIFS($B$3:$B$5000,$A$3:$A$5000,$A2360,$B$3:$B$5000,"&gt;"&amp;$B2360)=0),NOW(),_xlfn.MINIFS($B$3:$B$5000,$A$3:$A$5000,$A2360,$B$3:$B$5000,"&gt;"&amp;$B2360))</f>
        <v>46279.5987643968</v>
      </c>
    </row>
    <row r="2361" customFormat="false" ht="15" hidden="false" customHeight="true" outlineLevel="0" collapsed="false">
      <c r="A2361" s="42"/>
      <c r="B2361" s="42"/>
      <c r="C2361" s="42"/>
      <c r="D2361" s="42"/>
      <c r="E2361" s="42"/>
      <c r="F2361" s="51" t="n">
        <f aca="false">IF(OR(C2361="",D2361="",E2361="",E2361=0),0,C2361*D2361/E2361)</f>
        <v>0</v>
      </c>
      <c r="G2361" s="42"/>
      <c r="H2361" s="49" t="n">
        <f aca="true">IF(OR($A2361="",_xlfn.MINIFS($B$3:$B$5000,$A$3:$A$5000,$A2361,$B$3:$B$5000,"&gt;"&amp;$B2361)=0),NOW(),_xlfn.MINIFS($B$3:$B$5000,$A$3:$A$5000,$A2361,$B$3:$B$5000,"&gt;"&amp;$B2361))</f>
        <v>46279.5987643968</v>
      </c>
    </row>
    <row r="2362" customFormat="false" ht="15" hidden="false" customHeight="true" outlineLevel="0" collapsed="false">
      <c r="A2362" s="42"/>
      <c r="B2362" s="42"/>
      <c r="C2362" s="42"/>
      <c r="D2362" s="42"/>
      <c r="E2362" s="42"/>
      <c r="F2362" s="51" t="n">
        <f aca="false">IF(OR(C2362="",D2362="",E2362="",E2362=0),0,C2362*D2362/E2362)</f>
        <v>0</v>
      </c>
      <c r="G2362" s="42"/>
      <c r="H2362" s="49" t="n">
        <f aca="true">IF(OR($A2362="",_xlfn.MINIFS($B$3:$B$5000,$A$3:$A$5000,$A2362,$B$3:$B$5000,"&gt;"&amp;$B2362)=0),NOW(),_xlfn.MINIFS($B$3:$B$5000,$A$3:$A$5000,$A2362,$B$3:$B$5000,"&gt;"&amp;$B2362))</f>
        <v>46279.5987643969</v>
      </c>
    </row>
    <row r="2363" customFormat="false" ht="15" hidden="false" customHeight="true" outlineLevel="0" collapsed="false">
      <c r="A2363" s="42"/>
      <c r="B2363" s="42"/>
      <c r="C2363" s="42"/>
      <c r="D2363" s="42"/>
      <c r="E2363" s="42"/>
      <c r="F2363" s="51" t="n">
        <f aca="false">IF(OR(C2363="",D2363="",E2363="",E2363=0),0,C2363*D2363/E2363)</f>
        <v>0</v>
      </c>
      <c r="G2363" s="42"/>
      <c r="H2363" s="49" t="n">
        <f aca="true">IF(OR($A2363="",_xlfn.MINIFS($B$3:$B$5000,$A$3:$A$5000,$A2363,$B$3:$B$5000,"&gt;"&amp;$B2363)=0),NOW(),_xlfn.MINIFS($B$3:$B$5000,$A$3:$A$5000,$A2363,$B$3:$B$5000,"&gt;"&amp;$B2363))</f>
        <v>46279.5987643969</v>
      </c>
    </row>
    <row r="2364" customFormat="false" ht="15" hidden="false" customHeight="true" outlineLevel="0" collapsed="false">
      <c r="A2364" s="42"/>
      <c r="B2364" s="42"/>
      <c r="C2364" s="42"/>
      <c r="D2364" s="42"/>
      <c r="E2364" s="42"/>
      <c r="F2364" s="51" t="n">
        <f aca="false">IF(OR(C2364="",D2364="",E2364="",E2364=0),0,C2364*D2364/E2364)</f>
        <v>0</v>
      </c>
      <c r="G2364" s="42"/>
      <c r="H2364" s="49" t="n">
        <f aca="true">IF(OR($A2364="",_xlfn.MINIFS($B$3:$B$5000,$A$3:$A$5000,$A2364,$B$3:$B$5000,"&gt;"&amp;$B2364)=0),NOW(),_xlfn.MINIFS($B$3:$B$5000,$A$3:$A$5000,$A2364,$B$3:$B$5000,"&gt;"&amp;$B2364))</f>
        <v>46279.598764397</v>
      </c>
    </row>
    <row r="2365" customFormat="false" ht="15" hidden="false" customHeight="true" outlineLevel="0" collapsed="false">
      <c r="A2365" s="42"/>
      <c r="B2365" s="42"/>
      <c r="C2365" s="42"/>
      <c r="D2365" s="42"/>
      <c r="E2365" s="42"/>
      <c r="F2365" s="51" t="n">
        <f aca="false">IF(OR(C2365="",D2365="",E2365="",E2365=0),0,C2365*D2365/E2365)</f>
        <v>0</v>
      </c>
      <c r="G2365" s="42"/>
      <c r="H2365" s="49" t="n">
        <f aca="true">IF(OR($A2365="",_xlfn.MINIFS($B$3:$B$5000,$A$3:$A$5000,$A2365,$B$3:$B$5000,"&gt;"&amp;$B2365)=0),NOW(),_xlfn.MINIFS($B$3:$B$5000,$A$3:$A$5000,$A2365,$B$3:$B$5000,"&gt;"&amp;$B2365))</f>
        <v>46279.598764397</v>
      </c>
    </row>
    <row r="2366" customFormat="false" ht="15" hidden="false" customHeight="true" outlineLevel="0" collapsed="false">
      <c r="A2366" s="42"/>
      <c r="B2366" s="42"/>
      <c r="C2366" s="42"/>
      <c r="D2366" s="42"/>
      <c r="E2366" s="42"/>
      <c r="F2366" s="51" t="n">
        <f aca="false">IF(OR(C2366="",D2366="",E2366="",E2366=0),0,C2366*D2366/E2366)</f>
        <v>0</v>
      </c>
      <c r="G2366" s="42"/>
      <c r="H2366" s="49" t="n">
        <f aca="true">IF(OR($A2366="",_xlfn.MINIFS($B$3:$B$5000,$A$3:$A$5000,$A2366,$B$3:$B$5000,"&gt;"&amp;$B2366)=0),NOW(),_xlfn.MINIFS($B$3:$B$5000,$A$3:$A$5000,$A2366,$B$3:$B$5000,"&gt;"&amp;$B2366))</f>
        <v>46279.5987643971</v>
      </c>
    </row>
    <row r="2367" customFormat="false" ht="15" hidden="false" customHeight="true" outlineLevel="0" collapsed="false">
      <c r="A2367" s="42"/>
      <c r="B2367" s="42"/>
      <c r="C2367" s="42"/>
      <c r="D2367" s="42"/>
      <c r="E2367" s="42"/>
      <c r="F2367" s="51" t="n">
        <f aca="false">IF(OR(C2367="",D2367="",E2367="",E2367=0),0,C2367*D2367/E2367)</f>
        <v>0</v>
      </c>
      <c r="G2367" s="42"/>
      <c r="H2367" s="49" t="n">
        <f aca="true">IF(OR($A2367="",_xlfn.MINIFS($B$3:$B$5000,$A$3:$A$5000,$A2367,$B$3:$B$5000,"&gt;"&amp;$B2367)=0),NOW(),_xlfn.MINIFS($B$3:$B$5000,$A$3:$A$5000,$A2367,$B$3:$B$5000,"&gt;"&amp;$B2367))</f>
        <v>46279.5987643971</v>
      </c>
    </row>
    <row r="2368" customFormat="false" ht="15" hidden="false" customHeight="true" outlineLevel="0" collapsed="false">
      <c r="A2368" s="42"/>
      <c r="B2368" s="42"/>
      <c r="C2368" s="42"/>
      <c r="D2368" s="42"/>
      <c r="E2368" s="42"/>
      <c r="F2368" s="51" t="n">
        <f aca="false">IF(OR(C2368="",D2368="",E2368="",E2368=0),0,C2368*D2368/E2368)</f>
        <v>0</v>
      </c>
      <c r="G2368" s="42"/>
      <c r="H2368" s="49" t="n">
        <f aca="true">IF(OR($A2368="",_xlfn.MINIFS($B$3:$B$5000,$A$3:$A$5000,$A2368,$B$3:$B$5000,"&gt;"&amp;$B2368)=0),NOW(),_xlfn.MINIFS($B$3:$B$5000,$A$3:$A$5000,$A2368,$B$3:$B$5000,"&gt;"&amp;$B2368))</f>
        <v>46279.5987643972</v>
      </c>
    </row>
    <row r="2369" customFormat="false" ht="15" hidden="false" customHeight="true" outlineLevel="0" collapsed="false">
      <c r="A2369" s="42"/>
      <c r="B2369" s="42"/>
      <c r="C2369" s="42"/>
      <c r="D2369" s="42"/>
      <c r="E2369" s="42"/>
      <c r="F2369" s="51" t="n">
        <f aca="false">IF(OR(C2369="",D2369="",E2369="",E2369=0),0,C2369*D2369/E2369)</f>
        <v>0</v>
      </c>
      <c r="G2369" s="42"/>
      <c r="H2369" s="49" t="n">
        <f aca="true">IF(OR($A2369="",_xlfn.MINIFS($B$3:$B$5000,$A$3:$A$5000,$A2369,$B$3:$B$5000,"&gt;"&amp;$B2369)=0),NOW(),_xlfn.MINIFS($B$3:$B$5000,$A$3:$A$5000,$A2369,$B$3:$B$5000,"&gt;"&amp;$B2369))</f>
        <v>46279.5987643972</v>
      </c>
    </row>
    <row r="2370" customFormat="false" ht="15" hidden="false" customHeight="true" outlineLevel="0" collapsed="false">
      <c r="A2370" s="42"/>
      <c r="B2370" s="42"/>
      <c r="C2370" s="42"/>
      <c r="D2370" s="42"/>
      <c r="E2370" s="42"/>
      <c r="F2370" s="51" t="n">
        <f aca="false">IF(OR(C2370="",D2370="",E2370="",E2370=0),0,C2370*D2370/E2370)</f>
        <v>0</v>
      </c>
      <c r="G2370" s="42"/>
      <c r="H2370" s="49" t="n">
        <f aca="true">IF(OR($A2370="",_xlfn.MINIFS($B$3:$B$5000,$A$3:$A$5000,$A2370,$B$3:$B$5000,"&gt;"&amp;$B2370)=0),NOW(),_xlfn.MINIFS($B$3:$B$5000,$A$3:$A$5000,$A2370,$B$3:$B$5000,"&gt;"&amp;$B2370))</f>
        <v>46279.5987643973</v>
      </c>
    </row>
    <row r="2371" customFormat="false" ht="15" hidden="false" customHeight="true" outlineLevel="0" collapsed="false">
      <c r="A2371" s="42"/>
      <c r="B2371" s="42"/>
      <c r="C2371" s="42"/>
      <c r="D2371" s="42"/>
      <c r="E2371" s="42"/>
      <c r="F2371" s="51" t="n">
        <f aca="false">IF(OR(C2371="",D2371="",E2371="",E2371=0),0,C2371*D2371/E2371)</f>
        <v>0</v>
      </c>
      <c r="G2371" s="42"/>
      <c r="H2371" s="49" t="n">
        <f aca="true">IF(OR($A2371="",_xlfn.MINIFS($B$3:$B$5000,$A$3:$A$5000,$A2371,$B$3:$B$5000,"&gt;"&amp;$B2371)=0),NOW(),_xlfn.MINIFS($B$3:$B$5000,$A$3:$A$5000,$A2371,$B$3:$B$5000,"&gt;"&amp;$B2371))</f>
        <v>46279.5987643973</v>
      </c>
    </row>
    <row r="2372" customFormat="false" ht="15" hidden="false" customHeight="true" outlineLevel="0" collapsed="false">
      <c r="A2372" s="42"/>
      <c r="B2372" s="42"/>
      <c r="C2372" s="42"/>
      <c r="D2372" s="42"/>
      <c r="E2372" s="42"/>
      <c r="F2372" s="51" t="n">
        <f aca="false">IF(OR(C2372="",D2372="",E2372="",E2372=0),0,C2372*D2372/E2372)</f>
        <v>0</v>
      </c>
      <c r="G2372" s="42"/>
      <c r="H2372" s="49" t="n">
        <f aca="true">IF(OR($A2372="",_xlfn.MINIFS($B$3:$B$5000,$A$3:$A$5000,$A2372,$B$3:$B$5000,"&gt;"&amp;$B2372)=0),NOW(),_xlfn.MINIFS($B$3:$B$5000,$A$3:$A$5000,$A2372,$B$3:$B$5000,"&gt;"&amp;$B2372))</f>
        <v>46279.5987643974</v>
      </c>
    </row>
    <row r="2373" customFormat="false" ht="15" hidden="false" customHeight="true" outlineLevel="0" collapsed="false">
      <c r="A2373" s="42"/>
      <c r="B2373" s="42"/>
      <c r="C2373" s="42"/>
      <c r="D2373" s="42"/>
      <c r="E2373" s="42"/>
      <c r="F2373" s="51" t="n">
        <f aca="false">IF(OR(C2373="",D2373="",E2373="",E2373=0),0,C2373*D2373/E2373)</f>
        <v>0</v>
      </c>
      <c r="G2373" s="42"/>
      <c r="H2373" s="49" t="n">
        <f aca="true">IF(OR($A2373="",_xlfn.MINIFS($B$3:$B$5000,$A$3:$A$5000,$A2373,$B$3:$B$5000,"&gt;"&amp;$B2373)=0),NOW(),_xlfn.MINIFS($B$3:$B$5000,$A$3:$A$5000,$A2373,$B$3:$B$5000,"&gt;"&amp;$B2373))</f>
        <v>46279.5987643974</v>
      </c>
    </row>
    <row r="2374" customFormat="false" ht="15" hidden="false" customHeight="true" outlineLevel="0" collapsed="false">
      <c r="A2374" s="42"/>
      <c r="B2374" s="42"/>
      <c r="C2374" s="42"/>
      <c r="D2374" s="42"/>
      <c r="E2374" s="42"/>
      <c r="F2374" s="51" t="n">
        <f aca="false">IF(OR(C2374="",D2374="",E2374="",E2374=0),0,C2374*D2374/E2374)</f>
        <v>0</v>
      </c>
      <c r="G2374" s="42"/>
      <c r="H2374" s="49" t="n">
        <f aca="true">IF(OR($A2374="",_xlfn.MINIFS($B$3:$B$5000,$A$3:$A$5000,$A2374,$B$3:$B$5000,"&gt;"&amp;$B2374)=0),NOW(),_xlfn.MINIFS($B$3:$B$5000,$A$3:$A$5000,$A2374,$B$3:$B$5000,"&gt;"&amp;$B2374))</f>
        <v>46279.5987643975</v>
      </c>
    </row>
    <row r="2375" customFormat="false" ht="15" hidden="false" customHeight="true" outlineLevel="0" collapsed="false">
      <c r="A2375" s="42"/>
      <c r="B2375" s="42"/>
      <c r="C2375" s="42"/>
      <c r="D2375" s="42"/>
      <c r="E2375" s="42"/>
      <c r="F2375" s="51" t="n">
        <f aca="false">IF(OR(C2375="",D2375="",E2375="",E2375=0),0,C2375*D2375/E2375)</f>
        <v>0</v>
      </c>
      <c r="G2375" s="42"/>
      <c r="H2375" s="49" t="n">
        <f aca="true">IF(OR($A2375="",_xlfn.MINIFS($B$3:$B$5000,$A$3:$A$5000,$A2375,$B$3:$B$5000,"&gt;"&amp;$B2375)=0),NOW(),_xlfn.MINIFS($B$3:$B$5000,$A$3:$A$5000,$A2375,$B$3:$B$5000,"&gt;"&amp;$B2375))</f>
        <v>46279.5987643975</v>
      </c>
    </row>
    <row r="2376" customFormat="false" ht="15" hidden="false" customHeight="true" outlineLevel="0" collapsed="false">
      <c r="A2376" s="42"/>
      <c r="B2376" s="42"/>
      <c r="C2376" s="42"/>
      <c r="D2376" s="42"/>
      <c r="E2376" s="42"/>
      <c r="F2376" s="51" t="n">
        <f aca="false">IF(OR(C2376="",D2376="",E2376="",E2376=0),0,C2376*D2376/E2376)</f>
        <v>0</v>
      </c>
      <c r="G2376" s="42"/>
      <c r="H2376" s="49" t="n">
        <f aca="true">IF(OR($A2376="",_xlfn.MINIFS($B$3:$B$5000,$A$3:$A$5000,$A2376,$B$3:$B$5000,"&gt;"&amp;$B2376)=0),NOW(),_xlfn.MINIFS($B$3:$B$5000,$A$3:$A$5000,$A2376,$B$3:$B$5000,"&gt;"&amp;$B2376))</f>
        <v>46279.5987643976</v>
      </c>
    </row>
    <row r="2377" customFormat="false" ht="15" hidden="false" customHeight="true" outlineLevel="0" collapsed="false">
      <c r="A2377" s="42"/>
      <c r="B2377" s="42"/>
      <c r="C2377" s="42"/>
      <c r="D2377" s="42"/>
      <c r="E2377" s="42"/>
      <c r="F2377" s="51" t="n">
        <f aca="false">IF(OR(C2377="",D2377="",E2377="",E2377=0),0,C2377*D2377/E2377)</f>
        <v>0</v>
      </c>
      <c r="G2377" s="42"/>
      <c r="H2377" s="49" t="n">
        <f aca="true">IF(OR($A2377="",_xlfn.MINIFS($B$3:$B$5000,$A$3:$A$5000,$A2377,$B$3:$B$5000,"&gt;"&amp;$B2377)=0),NOW(),_xlfn.MINIFS($B$3:$B$5000,$A$3:$A$5000,$A2377,$B$3:$B$5000,"&gt;"&amp;$B2377))</f>
        <v>46279.5987643976</v>
      </c>
    </row>
    <row r="2378" customFormat="false" ht="15" hidden="false" customHeight="true" outlineLevel="0" collapsed="false">
      <c r="A2378" s="42"/>
      <c r="B2378" s="42"/>
      <c r="C2378" s="42"/>
      <c r="D2378" s="42"/>
      <c r="E2378" s="42"/>
      <c r="F2378" s="51" t="n">
        <f aca="false">IF(OR(C2378="",D2378="",E2378="",E2378=0),0,C2378*D2378/E2378)</f>
        <v>0</v>
      </c>
      <c r="G2378" s="42"/>
      <c r="H2378" s="49" t="n">
        <f aca="true">IF(OR($A2378="",_xlfn.MINIFS($B$3:$B$5000,$A$3:$A$5000,$A2378,$B$3:$B$5000,"&gt;"&amp;$B2378)=0),NOW(),_xlfn.MINIFS($B$3:$B$5000,$A$3:$A$5000,$A2378,$B$3:$B$5000,"&gt;"&amp;$B2378))</f>
        <v>46279.5987643977</v>
      </c>
    </row>
    <row r="2379" customFormat="false" ht="15" hidden="false" customHeight="true" outlineLevel="0" collapsed="false">
      <c r="A2379" s="42"/>
      <c r="B2379" s="42"/>
      <c r="C2379" s="42"/>
      <c r="D2379" s="42"/>
      <c r="E2379" s="42"/>
      <c r="F2379" s="51" t="n">
        <f aca="false">IF(OR(C2379="",D2379="",E2379="",E2379=0),0,C2379*D2379/E2379)</f>
        <v>0</v>
      </c>
      <c r="G2379" s="42"/>
      <c r="H2379" s="49" t="n">
        <f aca="true">IF(OR($A2379="",_xlfn.MINIFS($B$3:$B$5000,$A$3:$A$5000,$A2379,$B$3:$B$5000,"&gt;"&amp;$B2379)=0),NOW(),_xlfn.MINIFS($B$3:$B$5000,$A$3:$A$5000,$A2379,$B$3:$B$5000,"&gt;"&amp;$B2379))</f>
        <v>46279.5987643977</v>
      </c>
    </row>
    <row r="2380" customFormat="false" ht="15" hidden="false" customHeight="true" outlineLevel="0" collapsed="false">
      <c r="A2380" s="42"/>
      <c r="B2380" s="42"/>
      <c r="C2380" s="42"/>
      <c r="D2380" s="42"/>
      <c r="E2380" s="42"/>
      <c r="F2380" s="51" t="n">
        <f aca="false">IF(OR(C2380="",D2380="",E2380="",E2380=0),0,C2380*D2380/E2380)</f>
        <v>0</v>
      </c>
      <c r="G2380" s="42"/>
      <c r="H2380" s="49" t="n">
        <f aca="true">IF(OR($A2380="",_xlfn.MINIFS($B$3:$B$5000,$A$3:$A$5000,$A2380,$B$3:$B$5000,"&gt;"&amp;$B2380)=0),NOW(),_xlfn.MINIFS($B$3:$B$5000,$A$3:$A$5000,$A2380,$B$3:$B$5000,"&gt;"&amp;$B2380))</f>
        <v>46279.5987643978</v>
      </c>
    </row>
    <row r="2381" customFormat="false" ht="15" hidden="false" customHeight="true" outlineLevel="0" collapsed="false">
      <c r="A2381" s="42"/>
      <c r="B2381" s="42"/>
      <c r="C2381" s="42"/>
      <c r="D2381" s="42"/>
      <c r="E2381" s="42"/>
      <c r="F2381" s="51" t="n">
        <f aca="false">IF(OR(C2381="",D2381="",E2381="",E2381=0),0,C2381*D2381/E2381)</f>
        <v>0</v>
      </c>
      <c r="G2381" s="42"/>
      <c r="H2381" s="49" t="n">
        <f aca="true">IF(OR($A2381="",_xlfn.MINIFS($B$3:$B$5000,$A$3:$A$5000,$A2381,$B$3:$B$5000,"&gt;"&amp;$B2381)=0),NOW(),_xlfn.MINIFS($B$3:$B$5000,$A$3:$A$5000,$A2381,$B$3:$B$5000,"&gt;"&amp;$B2381))</f>
        <v>46279.5987643978</v>
      </c>
    </row>
    <row r="2382" customFormat="false" ht="15" hidden="false" customHeight="true" outlineLevel="0" collapsed="false">
      <c r="A2382" s="42"/>
      <c r="B2382" s="42"/>
      <c r="C2382" s="42"/>
      <c r="D2382" s="42"/>
      <c r="E2382" s="42"/>
      <c r="F2382" s="51" t="n">
        <f aca="false">IF(OR(C2382="",D2382="",E2382="",E2382=0),0,C2382*D2382/E2382)</f>
        <v>0</v>
      </c>
      <c r="G2382" s="42"/>
      <c r="H2382" s="49" t="n">
        <f aca="true">IF(OR($A2382="",_xlfn.MINIFS($B$3:$B$5000,$A$3:$A$5000,$A2382,$B$3:$B$5000,"&gt;"&amp;$B2382)=0),NOW(),_xlfn.MINIFS($B$3:$B$5000,$A$3:$A$5000,$A2382,$B$3:$B$5000,"&gt;"&amp;$B2382))</f>
        <v>46279.5987643979</v>
      </c>
    </row>
    <row r="2383" customFormat="false" ht="15" hidden="false" customHeight="true" outlineLevel="0" collapsed="false">
      <c r="A2383" s="42"/>
      <c r="B2383" s="42"/>
      <c r="C2383" s="42"/>
      <c r="D2383" s="42"/>
      <c r="E2383" s="42"/>
      <c r="F2383" s="51" t="n">
        <f aca="false">IF(OR(C2383="",D2383="",E2383="",E2383=0),0,C2383*D2383/E2383)</f>
        <v>0</v>
      </c>
      <c r="G2383" s="42"/>
      <c r="H2383" s="49" t="n">
        <f aca="true">IF(OR($A2383="",_xlfn.MINIFS($B$3:$B$5000,$A$3:$A$5000,$A2383,$B$3:$B$5000,"&gt;"&amp;$B2383)=0),NOW(),_xlfn.MINIFS($B$3:$B$5000,$A$3:$A$5000,$A2383,$B$3:$B$5000,"&gt;"&amp;$B2383))</f>
        <v>46279.5987643979</v>
      </c>
    </row>
    <row r="2384" customFormat="false" ht="15" hidden="false" customHeight="true" outlineLevel="0" collapsed="false">
      <c r="A2384" s="42"/>
      <c r="B2384" s="42"/>
      <c r="C2384" s="42"/>
      <c r="D2384" s="42"/>
      <c r="E2384" s="42"/>
      <c r="F2384" s="51" t="n">
        <f aca="false">IF(OR(C2384="",D2384="",E2384="",E2384=0),0,C2384*D2384/E2384)</f>
        <v>0</v>
      </c>
      <c r="G2384" s="42"/>
      <c r="H2384" s="49" t="n">
        <f aca="true">IF(OR($A2384="",_xlfn.MINIFS($B$3:$B$5000,$A$3:$A$5000,$A2384,$B$3:$B$5000,"&gt;"&amp;$B2384)=0),NOW(),_xlfn.MINIFS($B$3:$B$5000,$A$3:$A$5000,$A2384,$B$3:$B$5000,"&gt;"&amp;$B2384))</f>
        <v>46279.598764398</v>
      </c>
    </row>
    <row r="2385" customFormat="false" ht="15" hidden="false" customHeight="true" outlineLevel="0" collapsed="false">
      <c r="A2385" s="42"/>
      <c r="B2385" s="42"/>
      <c r="C2385" s="42"/>
      <c r="D2385" s="42"/>
      <c r="E2385" s="42"/>
      <c r="F2385" s="51" t="n">
        <f aca="false">IF(OR(C2385="",D2385="",E2385="",E2385=0),0,C2385*D2385/E2385)</f>
        <v>0</v>
      </c>
      <c r="G2385" s="42"/>
      <c r="H2385" s="49" t="n">
        <f aca="true">IF(OR($A2385="",_xlfn.MINIFS($B$3:$B$5000,$A$3:$A$5000,$A2385,$B$3:$B$5000,"&gt;"&amp;$B2385)=0),NOW(),_xlfn.MINIFS($B$3:$B$5000,$A$3:$A$5000,$A2385,$B$3:$B$5000,"&gt;"&amp;$B2385))</f>
        <v>46279.598764398</v>
      </c>
    </row>
    <row r="2386" customFormat="false" ht="15" hidden="false" customHeight="true" outlineLevel="0" collapsed="false">
      <c r="A2386" s="42"/>
      <c r="B2386" s="42"/>
      <c r="C2386" s="42"/>
      <c r="D2386" s="42"/>
      <c r="E2386" s="42"/>
      <c r="F2386" s="51" t="n">
        <f aca="false">IF(OR(C2386="",D2386="",E2386="",E2386=0),0,C2386*D2386/E2386)</f>
        <v>0</v>
      </c>
      <c r="G2386" s="42"/>
      <c r="H2386" s="49" t="n">
        <f aca="true">IF(OR($A2386="",_xlfn.MINIFS($B$3:$B$5000,$A$3:$A$5000,$A2386,$B$3:$B$5000,"&gt;"&amp;$B2386)=0),NOW(),_xlfn.MINIFS($B$3:$B$5000,$A$3:$A$5000,$A2386,$B$3:$B$5000,"&gt;"&amp;$B2386))</f>
        <v>46279.5987643981</v>
      </c>
    </row>
    <row r="2387" customFormat="false" ht="15" hidden="false" customHeight="true" outlineLevel="0" collapsed="false">
      <c r="A2387" s="42"/>
      <c r="B2387" s="42"/>
      <c r="C2387" s="42"/>
      <c r="D2387" s="42"/>
      <c r="E2387" s="42"/>
      <c r="F2387" s="51" t="n">
        <f aca="false">IF(OR(C2387="",D2387="",E2387="",E2387=0),0,C2387*D2387/E2387)</f>
        <v>0</v>
      </c>
      <c r="G2387" s="42"/>
      <c r="H2387" s="49" t="n">
        <f aca="true">IF(OR($A2387="",_xlfn.MINIFS($B$3:$B$5000,$A$3:$A$5000,$A2387,$B$3:$B$5000,"&gt;"&amp;$B2387)=0),NOW(),_xlfn.MINIFS($B$3:$B$5000,$A$3:$A$5000,$A2387,$B$3:$B$5000,"&gt;"&amp;$B2387))</f>
        <v>46279.5987643981</v>
      </c>
    </row>
    <row r="2388" customFormat="false" ht="15" hidden="false" customHeight="true" outlineLevel="0" collapsed="false">
      <c r="A2388" s="42"/>
      <c r="B2388" s="42"/>
      <c r="C2388" s="42"/>
      <c r="D2388" s="42"/>
      <c r="E2388" s="42"/>
      <c r="F2388" s="51" t="n">
        <f aca="false">IF(OR(C2388="",D2388="",E2388="",E2388=0),0,C2388*D2388/E2388)</f>
        <v>0</v>
      </c>
      <c r="G2388" s="42"/>
      <c r="H2388" s="49" t="n">
        <f aca="true">IF(OR($A2388="",_xlfn.MINIFS($B$3:$B$5000,$A$3:$A$5000,$A2388,$B$3:$B$5000,"&gt;"&amp;$B2388)=0),NOW(),_xlfn.MINIFS($B$3:$B$5000,$A$3:$A$5000,$A2388,$B$3:$B$5000,"&gt;"&amp;$B2388))</f>
        <v>46279.5987643982</v>
      </c>
    </row>
    <row r="2389" customFormat="false" ht="15" hidden="false" customHeight="true" outlineLevel="0" collapsed="false">
      <c r="A2389" s="42"/>
      <c r="B2389" s="42"/>
      <c r="C2389" s="42"/>
      <c r="D2389" s="42"/>
      <c r="E2389" s="42"/>
      <c r="F2389" s="51" t="n">
        <f aca="false">IF(OR(C2389="",D2389="",E2389="",E2389=0),0,C2389*D2389/E2389)</f>
        <v>0</v>
      </c>
      <c r="G2389" s="42"/>
      <c r="H2389" s="49" t="n">
        <f aca="true">IF(OR($A2389="",_xlfn.MINIFS($B$3:$B$5000,$A$3:$A$5000,$A2389,$B$3:$B$5000,"&gt;"&amp;$B2389)=0),NOW(),_xlfn.MINIFS($B$3:$B$5000,$A$3:$A$5000,$A2389,$B$3:$B$5000,"&gt;"&amp;$B2389))</f>
        <v>46279.5987643982</v>
      </c>
    </row>
    <row r="2390" customFormat="false" ht="15" hidden="false" customHeight="true" outlineLevel="0" collapsed="false">
      <c r="A2390" s="42"/>
      <c r="B2390" s="42"/>
      <c r="C2390" s="42"/>
      <c r="D2390" s="42"/>
      <c r="E2390" s="42"/>
      <c r="F2390" s="51" t="n">
        <f aca="false">IF(OR(C2390="",D2390="",E2390="",E2390=0),0,C2390*D2390/E2390)</f>
        <v>0</v>
      </c>
      <c r="G2390" s="42"/>
      <c r="H2390" s="49" t="n">
        <f aca="true">IF(OR($A2390="",_xlfn.MINIFS($B$3:$B$5000,$A$3:$A$5000,$A2390,$B$3:$B$5000,"&gt;"&amp;$B2390)=0),NOW(),_xlfn.MINIFS($B$3:$B$5000,$A$3:$A$5000,$A2390,$B$3:$B$5000,"&gt;"&amp;$B2390))</f>
        <v>46279.5987643983</v>
      </c>
    </row>
    <row r="2391" customFormat="false" ht="15" hidden="false" customHeight="true" outlineLevel="0" collapsed="false">
      <c r="A2391" s="42"/>
      <c r="B2391" s="42"/>
      <c r="C2391" s="42"/>
      <c r="D2391" s="42"/>
      <c r="E2391" s="42"/>
      <c r="F2391" s="51" t="n">
        <f aca="false">IF(OR(C2391="",D2391="",E2391="",E2391=0),0,C2391*D2391/E2391)</f>
        <v>0</v>
      </c>
      <c r="G2391" s="42"/>
      <c r="H2391" s="49" t="n">
        <f aca="true">IF(OR($A2391="",_xlfn.MINIFS($B$3:$B$5000,$A$3:$A$5000,$A2391,$B$3:$B$5000,"&gt;"&amp;$B2391)=0),NOW(),_xlfn.MINIFS($B$3:$B$5000,$A$3:$A$5000,$A2391,$B$3:$B$5000,"&gt;"&amp;$B2391))</f>
        <v>46279.5987643983</v>
      </c>
    </row>
    <row r="2392" customFormat="false" ht="15" hidden="false" customHeight="true" outlineLevel="0" collapsed="false">
      <c r="A2392" s="42"/>
      <c r="B2392" s="42"/>
      <c r="C2392" s="42"/>
      <c r="D2392" s="42"/>
      <c r="E2392" s="42"/>
      <c r="F2392" s="51" t="n">
        <f aca="false">IF(OR(C2392="",D2392="",E2392="",E2392=0),0,C2392*D2392/E2392)</f>
        <v>0</v>
      </c>
      <c r="G2392" s="42"/>
      <c r="H2392" s="49" t="n">
        <f aca="true">IF(OR($A2392="",_xlfn.MINIFS($B$3:$B$5000,$A$3:$A$5000,$A2392,$B$3:$B$5000,"&gt;"&amp;$B2392)=0),NOW(),_xlfn.MINIFS($B$3:$B$5000,$A$3:$A$5000,$A2392,$B$3:$B$5000,"&gt;"&amp;$B2392))</f>
        <v>46279.5987643984</v>
      </c>
    </row>
    <row r="2393" customFormat="false" ht="15" hidden="false" customHeight="true" outlineLevel="0" collapsed="false">
      <c r="A2393" s="42"/>
      <c r="B2393" s="42"/>
      <c r="C2393" s="42"/>
      <c r="D2393" s="42"/>
      <c r="E2393" s="42"/>
      <c r="F2393" s="51" t="n">
        <f aca="false">IF(OR(C2393="",D2393="",E2393="",E2393=0),0,C2393*D2393/E2393)</f>
        <v>0</v>
      </c>
      <c r="G2393" s="42"/>
      <c r="H2393" s="49" t="n">
        <f aca="true">IF(OR($A2393="",_xlfn.MINIFS($B$3:$B$5000,$A$3:$A$5000,$A2393,$B$3:$B$5000,"&gt;"&amp;$B2393)=0),NOW(),_xlfn.MINIFS($B$3:$B$5000,$A$3:$A$5000,$A2393,$B$3:$B$5000,"&gt;"&amp;$B2393))</f>
        <v>46279.5987643984</v>
      </c>
    </row>
    <row r="2394" customFormat="false" ht="15" hidden="false" customHeight="true" outlineLevel="0" collapsed="false">
      <c r="A2394" s="42"/>
      <c r="B2394" s="42"/>
      <c r="C2394" s="42"/>
      <c r="D2394" s="42"/>
      <c r="E2394" s="42"/>
      <c r="F2394" s="51" t="n">
        <f aca="false">IF(OR(C2394="",D2394="",E2394="",E2394=0),0,C2394*D2394/E2394)</f>
        <v>0</v>
      </c>
      <c r="G2394" s="42"/>
      <c r="H2394" s="49" t="n">
        <f aca="true">IF(OR($A2394="",_xlfn.MINIFS($B$3:$B$5000,$A$3:$A$5000,$A2394,$B$3:$B$5000,"&gt;"&amp;$B2394)=0),NOW(),_xlfn.MINIFS($B$3:$B$5000,$A$3:$A$5000,$A2394,$B$3:$B$5000,"&gt;"&amp;$B2394))</f>
        <v>46279.5987643985</v>
      </c>
    </row>
    <row r="2395" customFormat="false" ht="15" hidden="false" customHeight="true" outlineLevel="0" collapsed="false">
      <c r="A2395" s="42"/>
      <c r="B2395" s="42"/>
      <c r="C2395" s="42"/>
      <c r="D2395" s="42"/>
      <c r="E2395" s="42"/>
      <c r="F2395" s="51" t="n">
        <f aca="false">IF(OR(C2395="",D2395="",E2395="",E2395=0),0,C2395*D2395/E2395)</f>
        <v>0</v>
      </c>
      <c r="G2395" s="42"/>
      <c r="H2395" s="49" t="n">
        <f aca="true">IF(OR($A2395="",_xlfn.MINIFS($B$3:$B$5000,$A$3:$A$5000,$A2395,$B$3:$B$5000,"&gt;"&amp;$B2395)=0),NOW(),_xlfn.MINIFS($B$3:$B$5000,$A$3:$A$5000,$A2395,$B$3:$B$5000,"&gt;"&amp;$B2395))</f>
        <v>46279.5987643985</v>
      </c>
    </row>
    <row r="2396" customFormat="false" ht="15" hidden="false" customHeight="true" outlineLevel="0" collapsed="false">
      <c r="A2396" s="42"/>
      <c r="B2396" s="42"/>
      <c r="C2396" s="42"/>
      <c r="D2396" s="42"/>
      <c r="E2396" s="42"/>
      <c r="F2396" s="51" t="n">
        <f aca="false">IF(OR(C2396="",D2396="",E2396="",E2396=0),0,C2396*D2396/E2396)</f>
        <v>0</v>
      </c>
      <c r="G2396" s="42"/>
      <c r="H2396" s="49" t="n">
        <f aca="true">IF(OR($A2396="",_xlfn.MINIFS($B$3:$B$5000,$A$3:$A$5000,$A2396,$B$3:$B$5000,"&gt;"&amp;$B2396)=0),NOW(),_xlfn.MINIFS($B$3:$B$5000,$A$3:$A$5000,$A2396,$B$3:$B$5000,"&gt;"&amp;$B2396))</f>
        <v>46279.5987643986</v>
      </c>
    </row>
    <row r="2397" customFormat="false" ht="15" hidden="false" customHeight="true" outlineLevel="0" collapsed="false">
      <c r="A2397" s="42"/>
      <c r="B2397" s="42"/>
      <c r="C2397" s="42"/>
      <c r="D2397" s="42"/>
      <c r="E2397" s="42"/>
      <c r="F2397" s="51" t="n">
        <f aca="false">IF(OR(C2397="",D2397="",E2397="",E2397=0),0,C2397*D2397/E2397)</f>
        <v>0</v>
      </c>
      <c r="G2397" s="42"/>
      <c r="H2397" s="49" t="n">
        <f aca="true">IF(OR($A2397="",_xlfn.MINIFS($B$3:$B$5000,$A$3:$A$5000,$A2397,$B$3:$B$5000,"&gt;"&amp;$B2397)=0),NOW(),_xlfn.MINIFS($B$3:$B$5000,$A$3:$A$5000,$A2397,$B$3:$B$5000,"&gt;"&amp;$B2397))</f>
        <v>46279.5987643986</v>
      </c>
    </row>
    <row r="2398" customFormat="false" ht="15" hidden="false" customHeight="true" outlineLevel="0" collapsed="false">
      <c r="A2398" s="42"/>
      <c r="B2398" s="42"/>
      <c r="C2398" s="42"/>
      <c r="D2398" s="42"/>
      <c r="E2398" s="42"/>
      <c r="F2398" s="51" t="n">
        <f aca="false">IF(OR(C2398="",D2398="",E2398="",E2398=0),0,C2398*D2398/E2398)</f>
        <v>0</v>
      </c>
      <c r="G2398" s="42"/>
      <c r="H2398" s="49" t="n">
        <f aca="true">IF(OR($A2398="",_xlfn.MINIFS($B$3:$B$5000,$A$3:$A$5000,$A2398,$B$3:$B$5000,"&gt;"&amp;$B2398)=0),NOW(),_xlfn.MINIFS($B$3:$B$5000,$A$3:$A$5000,$A2398,$B$3:$B$5000,"&gt;"&amp;$B2398))</f>
        <v>46279.5987643987</v>
      </c>
    </row>
    <row r="2399" customFormat="false" ht="15" hidden="false" customHeight="true" outlineLevel="0" collapsed="false">
      <c r="A2399" s="42"/>
      <c r="B2399" s="42"/>
      <c r="C2399" s="42"/>
      <c r="D2399" s="42"/>
      <c r="E2399" s="42"/>
      <c r="F2399" s="51" t="n">
        <f aca="false">IF(OR(C2399="",D2399="",E2399="",E2399=0),0,C2399*D2399/E2399)</f>
        <v>0</v>
      </c>
      <c r="G2399" s="42"/>
      <c r="H2399" s="49" t="n">
        <f aca="true">IF(OR($A2399="",_xlfn.MINIFS($B$3:$B$5000,$A$3:$A$5000,$A2399,$B$3:$B$5000,"&gt;"&amp;$B2399)=0),NOW(),_xlfn.MINIFS($B$3:$B$5000,$A$3:$A$5000,$A2399,$B$3:$B$5000,"&gt;"&amp;$B2399))</f>
        <v>46279.5987643987</v>
      </c>
    </row>
    <row r="2400" customFormat="false" ht="15" hidden="false" customHeight="true" outlineLevel="0" collapsed="false">
      <c r="A2400" s="42"/>
      <c r="B2400" s="42"/>
      <c r="C2400" s="42"/>
      <c r="D2400" s="42"/>
      <c r="E2400" s="42"/>
      <c r="F2400" s="51" t="n">
        <f aca="false">IF(OR(C2400="",D2400="",E2400="",E2400=0),0,C2400*D2400/E2400)</f>
        <v>0</v>
      </c>
      <c r="G2400" s="42"/>
      <c r="H2400" s="49" t="n">
        <f aca="true">IF(OR($A2400="",_xlfn.MINIFS($B$3:$B$5000,$A$3:$A$5000,$A2400,$B$3:$B$5000,"&gt;"&amp;$B2400)=0),NOW(),_xlfn.MINIFS($B$3:$B$5000,$A$3:$A$5000,$A2400,$B$3:$B$5000,"&gt;"&amp;$B2400))</f>
        <v>46279.5987643988</v>
      </c>
    </row>
    <row r="2401" customFormat="false" ht="15" hidden="false" customHeight="true" outlineLevel="0" collapsed="false">
      <c r="A2401" s="42"/>
      <c r="B2401" s="42"/>
      <c r="C2401" s="42"/>
      <c r="D2401" s="42"/>
      <c r="E2401" s="42"/>
      <c r="F2401" s="51" t="n">
        <f aca="false">IF(OR(C2401="",D2401="",E2401="",E2401=0),0,C2401*D2401/E2401)</f>
        <v>0</v>
      </c>
      <c r="G2401" s="42"/>
      <c r="H2401" s="49" t="n">
        <f aca="true">IF(OR($A2401="",_xlfn.MINIFS($B$3:$B$5000,$A$3:$A$5000,$A2401,$B$3:$B$5000,"&gt;"&amp;$B2401)=0),NOW(),_xlfn.MINIFS($B$3:$B$5000,$A$3:$A$5000,$A2401,$B$3:$B$5000,"&gt;"&amp;$B2401))</f>
        <v>46279.5987643988</v>
      </c>
    </row>
    <row r="2402" customFormat="false" ht="15" hidden="false" customHeight="true" outlineLevel="0" collapsed="false">
      <c r="A2402" s="42"/>
      <c r="B2402" s="42"/>
      <c r="C2402" s="42"/>
      <c r="D2402" s="42"/>
      <c r="E2402" s="42"/>
      <c r="F2402" s="51" t="n">
        <f aca="false">IF(OR(C2402="",D2402="",E2402="",E2402=0),0,C2402*D2402/E2402)</f>
        <v>0</v>
      </c>
      <c r="G2402" s="42"/>
      <c r="H2402" s="49" t="n">
        <f aca="true">IF(OR($A2402="",_xlfn.MINIFS($B$3:$B$5000,$A$3:$A$5000,$A2402,$B$3:$B$5000,"&gt;"&amp;$B2402)=0),NOW(),_xlfn.MINIFS($B$3:$B$5000,$A$3:$A$5000,$A2402,$B$3:$B$5000,"&gt;"&amp;$B2402))</f>
        <v>46279.5987643989</v>
      </c>
    </row>
    <row r="2403" customFormat="false" ht="15" hidden="false" customHeight="true" outlineLevel="0" collapsed="false">
      <c r="A2403" s="42"/>
      <c r="B2403" s="42"/>
      <c r="C2403" s="42"/>
      <c r="D2403" s="42"/>
      <c r="E2403" s="42"/>
      <c r="F2403" s="51" t="n">
        <f aca="false">IF(OR(C2403="",D2403="",E2403="",E2403=0),0,C2403*D2403/E2403)</f>
        <v>0</v>
      </c>
      <c r="G2403" s="42"/>
      <c r="H2403" s="49" t="n">
        <f aca="true">IF(OR($A2403="",_xlfn.MINIFS($B$3:$B$5000,$A$3:$A$5000,$A2403,$B$3:$B$5000,"&gt;"&amp;$B2403)=0),NOW(),_xlfn.MINIFS($B$3:$B$5000,$A$3:$A$5000,$A2403,$B$3:$B$5000,"&gt;"&amp;$B2403))</f>
        <v>46279.5987643989</v>
      </c>
    </row>
    <row r="2404" customFormat="false" ht="15" hidden="false" customHeight="true" outlineLevel="0" collapsed="false">
      <c r="A2404" s="42"/>
      <c r="B2404" s="42"/>
      <c r="C2404" s="42"/>
      <c r="D2404" s="42"/>
      <c r="E2404" s="42"/>
      <c r="F2404" s="51" t="n">
        <f aca="false">IF(OR(C2404="",D2404="",E2404="",E2404=0),0,C2404*D2404/E2404)</f>
        <v>0</v>
      </c>
      <c r="G2404" s="42"/>
      <c r="H2404" s="49" t="n">
        <f aca="true">IF(OR($A2404="",_xlfn.MINIFS($B$3:$B$5000,$A$3:$A$5000,$A2404,$B$3:$B$5000,"&gt;"&amp;$B2404)=0),NOW(),_xlfn.MINIFS($B$3:$B$5000,$A$3:$A$5000,$A2404,$B$3:$B$5000,"&gt;"&amp;$B2404))</f>
        <v>46279.598764399</v>
      </c>
    </row>
    <row r="2405" customFormat="false" ht="15" hidden="false" customHeight="true" outlineLevel="0" collapsed="false">
      <c r="A2405" s="42"/>
      <c r="B2405" s="42"/>
      <c r="C2405" s="42"/>
      <c r="D2405" s="42"/>
      <c r="E2405" s="42"/>
      <c r="F2405" s="51" t="n">
        <f aca="false">IF(OR(C2405="",D2405="",E2405="",E2405=0),0,C2405*D2405/E2405)</f>
        <v>0</v>
      </c>
      <c r="G2405" s="42"/>
      <c r="H2405" s="49" t="n">
        <f aca="true">IF(OR($A2405="",_xlfn.MINIFS($B$3:$B$5000,$A$3:$A$5000,$A2405,$B$3:$B$5000,"&gt;"&amp;$B2405)=0),NOW(),_xlfn.MINIFS($B$3:$B$5000,$A$3:$A$5000,$A2405,$B$3:$B$5000,"&gt;"&amp;$B2405))</f>
        <v>46279.598764399</v>
      </c>
    </row>
    <row r="2406" customFormat="false" ht="15" hidden="false" customHeight="true" outlineLevel="0" collapsed="false">
      <c r="A2406" s="42"/>
      <c r="B2406" s="42"/>
      <c r="C2406" s="42"/>
      <c r="D2406" s="42"/>
      <c r="E2406" s="42"/>
      <c r="F2406" s="51" t="n">
        <f aca="false">IF(OR(C2406="",D2406="",E2406="",E2406=0),0,C2406*D2406/E2406)</f>
        <v>0</v>
      </c>
      <c r="G2406" s="42"/>
      <c r="H2406" s="49" t="n">
        <f aca="true">IF(OR($A2406="",_xlfn.MINIFS($B$3:$B$5000,$A$3:$A$5000,$A2406,$B$3:$B$5000,"&gt;"&amp;$B2406)=0),NOW(),_xlfn.MINIFS($B$3:$B$5000,$A$3:$A$5000,$A2406,$B$3:$B$5000,"&gt;"&amp;$B2406))</f>
        <v>46279.5987643991</v>
      </c>
    </row>
    <row r="2407" customFormat="false" ht="15" hidden="false" customHeight="true" outlineLevel="0" collapsed="false">
      <c r="A2407" s="42"/>
      <c r="B2407" s="42"/>
      <c r="C2407" s="42"/>
      <c r="D2407" s="42"/>
      <c r="E2407" s="42"/>
      <c r="F2407" s="51" t="n">
        <f aca="false">IF(OR(C2407="",D2407="",E2407="",E2407=0),0,C2407*D2407/E2407)</f>
        <v>0</v>
      </c>
      <c r="G2407" s="42"/>
      <c r="H2407" s="49" t="n">
        <f aca="true">IF(OR($A2407="",_xlfn.MINIFS($B$3:$B$5000,$A$3:$A$5000,$A2407,$B$3:$B$5000,"&gt;"&amp;$B2407)=0),NOW(),_xlfn.MINIFS($B$3:$B$5000,$A$3:$A$5000,$A2407,$B$3:$B$5000,"&gt;"&amp;$B2407))</f>
        <v>46279.5987643991</v>
      </c>
    </row>
    <row r="2408" customFormat="false" ht="15" hidden="false" customHeight="true" outlineLevel="0" collapsed="false">
      <c r="A2408" s="42"/>
      <c r="B2408" s="42"/>
      <c r="C2408" s="42"/>
      <c r="D2408" s="42"/>
      <c r="E2408" s="42"/>
      <c r="F2408" s="51" t="n">
        <f aca="false">IF(OR(C2408="",D2408="",E2408="",E2408=0),0,C2408*D2408/E2408)</f>
        <v>0</v>
      </c>
      <c r="G2408" s="42"/>
      <c r="H2408" s="49" t="n">
        <f aca="true">IF(OR($A2408="",_xlfn.MINIFS($B$3:$B$5000,$A$3:$A$5000,$A2408,$B$3:$B$5000,"&gt;"&amp;$B2408)=0),NOW(),_xlfn.MINIFS($B$3:$B$5000,$A$3:$A$5000,$A2408,$B$3:$B$5000,"&gt;"&amp;$B2408))</f>
        <v>46279.5987643992</v>
      </c>
    </row>
    <row r="2409" customFormat="false" ht="15" hidden="false" customHeight="true" outlineLevel="0" collapsed="false">
      <c r="A2409" s="42"/>
      <c r="B2409" s="42"/>
      <c r="C2409" s="42"/>
      <c r="D2409" s="42"/>
      <c r="E2409" s="42"/>
      <c r="F2409" s="51" t="n">
        <f aca="false">IF(OR(C2409="",D2409="",E2409="",E2409=0),0,C2409*D2409/E2409)</f>
        <v>0</v>
      </c>
      <c r="G2409" s="42"/>
      <c r="H2409" s="49" t="n">
        <f aca="true">IF(OR($A2409="",_xlfn.MINIFS($B$3:$B$5000,$A$3:$A$5000,$A2409,$B$3:$B$5000,"&gt;"&amp;$B2409)=0),NOW(),_xlfn.MINIFS($B$3:$B$5000,$A$3:$A$5000,$A2409,$B$3:$B$5000,"&gt;"&amp;$B2409))</f>
        <v>46279.5987643992</v>
      </c>
    </row>
    <row r="2410" customFormat="false" ht="15" hidden="false" customHeight="true" outlineLevel="0" collapsed="false">
      <c r="A2410" s="42"/>
      <c r="B2410" s="42"/>
      <c r="C2410" s="42"/>
      <c r="D2410" s="42"/>
      <c r="E2410" s="42"/>
      <c r="F2410" s="51" t="n">
        <f aca="false">IF(OR(C2410="",D2410="",E2410="",E2410=0),0,C2410*D2410/E2410)</f>
        <v>0</v>
      </c>
      <c r="G2410" s="42"/>
      <c r="H2410" s="49" t="n">
        <f aca="true">IF(OR($A2410="",_xlfn.MINIFS($B$3:$B$5000,$A$3:$A$5000,$A2410,$B$3:$B$5000,"&gt;"&amp;$B2410)=0),NOW(),_xlfn.MINIFS($B$3:$B$5000,$A$3:$A$5000,$A2410,$B$3:$B$5000,"&gt;"&amp;$B2410))</f>
        <v>46279.5987643993</v>
      </c>
    </row>
    <row r="2411" customFormat="false" ht="15" hidden="false" customHeight="true" outlineLevel="0" collapsed="false">
      <c r="A2411" s="42"/>
      <c r="B2411" s="42"/>
      <c r="C2411" s="42"/>
      <c r="D2411" s="42"/>
      <c r="E2411" s="42"/>
      <c r="F2411" s="51" t="n">
        <f aca="false">IF(OR(C2411="",D2411="",E2411="",E2411=0),0,C2411*D2411/E2411)</f>
        <v>0</v>
      </c>
      <c r="G2411" s="42"/>
      <c r="H2411" s="49" t="n">
        <f aca="true">IF(OR($A2411="",_xlfn.MINIFS($B$3:$B$5000,$A$3:$A$5000,$A2411,$B$3:$B$5000,"&gt;"&amp;$B2411)=0),NOW(),_xlfn.MINIFS($B$3:$B$5000,$A$3:$A$5000,$A2411,$B$3:$B$5000,"&gt;"&amp;$B2411))</f>
        <v>46279.5987643993</v>
      </c>
    </row>
    <row r="2412" customFormat="false" ht="15" hidden="false" customHeight="true" outlineLevel="0" collapsed="false">
      <c r="A2412" s="42"/>
      <c r="B2412" s="42"/>
      <c r="C2412" s="42"/>
      <c r="D2412" s="42"/>
      <c r="E2412" s="42"/>
      <c r="F2412" s="51" t="n">
        <f aca="false">IF(OR(C2412="",D2412="",E2412="",E2412=0),0,C2412*D2412/E2412)</f>
        <v>0</v>
      </c>
      <c r="G2412" s="42"/>
      <c r="H2412" s="49" t="n">
        <f aca="true">IF(OR($A2412="",_xlfn.MINIFS($B$3:$B$5000,$A$3:$A$5000,$A2412,$B$3:$B$5000,"&gt;"&amp;$B2412)=0),NOW(),_xlfn.MINIFS($B$3:$B$5000,$A$3:$A$5000,$A2412,$B$3:$B$5000,"&gt;"&amp;$B2412))</f>
        <v>46279.5987643994</v>
      </c>
    </row>
    <row r="2413" customFormat="false" ht="15" hidden="false" customHeight="true" outlineLevel="0" collapsed="false">
      <c r="A2413" s="42"/>
      <c r="B2413" s="42"/>
      <c r="C2413" s="42"/>
      <c r="D2413" s="42"/>
      <c r="E2413" s="42"/>
      <c r="F2413" s="51" t="n">
        <f aca="false">IF(OR(C2413="",D2413="",E2413="",E2413=0),0,C2413*D2413/E2413)</f>
        <v>0</v>
      </c>
      <c r="G2413" s="42"/>
      <c r="H2413" s="49" t="n">
        <f aca="true">IF(OR($A2413="",_xlfn.MINIFS($B$3:$B$5000,$A$3:$A$5000,$A2413,$B$3:$B$5000,"&gt;"&amp;$B2413)=0),NOW(),_xlfn.MINIFS($B$3:$B$5000,$A$3:$A$5000,$A2413,$B$3:$B$5000,"&gt;"&amp;$B2413))</f>
        <v>46279.5987643994</v>
      </c>
    </row>
    <row r="2414" customFormat="false" ht="15" hidden="false" customHeight="true" outlineLevel="0" collapsed="false">
      <c r="A2414" s="42"/>
      <c r="B2414" s="42"/>
      <c r="C2414" s="42"/>
      <c r="D2414" s="42"/>
      <c r="E2414" s="42"/>
      <c r="F2414" s="51" t="n">
        <f aca="false">IF(OR(C2414="",D2414="",E2414="",E2414=0),0,C2414*D2414/E2414)</f>
        <v>0</v>
      </c>
      <c r="G2414" s="42"/>
      <c r="H2414" s="49" t="n">
        <f aca="true">IF(OR($A2414="",_xlfn.MINIFS($B$3:$B$5000,$A$3:$A$5000,$A2414,$B$3:$B$5000,"&gt;"&amp;$B2414)=0),NOW(),_xlfn.MINIFS($B$3:$B$5000,$A$3:$A$5000,$A2414,$B$3:$B$5000,"&gt;"&amp;$B2414))</f>
        <v>46279.5987643995</v>
      </c>
    </row>
    <row r="2415" customFormat="false" ht="15" hidden="false" customHeight="true" outlineLevel="0" collapsed="false">
      <c r="A2415" s="42"/>
      <c r="B2415" s="42"/>
      <c r="C2415" s="42"/>
      <c r="D2415" s="42"/>
      <c r="E2415" s="42"/>
      <c r="F2415" s="51" t="n">
        <f aca="false">IF(OR(C2415="",D2415="",E2415="",E2415=0),0,C2415*D2415/E2415)</f>
        <v>0</v>
      </c>
      <c r="G2415" s="42"/>
      <c r="H2415" s="49" t="n">
        <f aca="true">IF(OR($A2415="",_xlfn.MINIFS($B$3:$B$5000,$A$3:$A$5000,$A2415,$B$3:$B$5000,"&gt;"&amp;$B2415)=0),NOW(),_xlfn.MINIFS($B$3:$B$5000,$A$3:$A$5000,$A2415,$B$3:$B$5000,"&gt;"&amp;$B2415))</f>
        <v>46279.5987643995</v>
      </c>
    </row>
    <row r="2416" customFormat="false" ht="15" hidden="false" customHeight="true" outlineLevel="0" collapsed="false">
      <c r="A2416" s="42"/>
      <c r="B2416" s="42"/>
      <c r="C2416" s="42"/>
      <c r="D2416" s="42"/>
      <c r="E2416" s="42"/>
      <c r="F2416" s="51" t="n">
        <f aca="false">IF(OR(C2416="",D2416="",E2416="",E2416=0),0,C2416*D2416/E2416)</f>
        <v>0</v>
      </c>
      <c r="G2416" s="42"/>
      <c r="H2416" s="49" t="n">
        <f aca="true">IF(OR($A2416="",_xlfn.MINIFS($B$3:$B$5000,$A$3:$A$5000,$A2416,$B$3:$B$5000,"&gt;"&amp;$B2416)=0),NOW(),_xlfn.MINIFS($B$3:$B$5000,$A$3:$A$5000,$A2416,$B$3:$B$5000,"&gt;"&amp;$B2416))</f>
        <v>46279.5987643996</v>
      </c>
    </row>
    <row r="2417" customFormat="false" ht="15" hidden="false" customHeight="true" outlineLevel="0" collapsed="false">
      <c r="A2417" s="42"/>
      <c r="B2417" s="42"/>
      <c r="C2417" s="42"/>
      <c r="D2417" s="42"/>
      <c r="E2417" s="42"/>
      <c r="F2417" s="51" t="n">
        <f aca="false">IF(OR(C2417="",D2417="",E2417="",E2417=0),0,C2417*D2417/E2417)</f>
        <v>0</v>
      </c>
      <c r="G2417" s="42"/>
      <c r="H2417" s="49" t="n">
        <f aca="true">IF(OR($A2417="",_xlfn.MINIFS($B$3:$B$5000,$A$3:$A$5000,$A2417,$B$3:$B$5000,"&gt;"&amp;$B2417)=0),NOW(),_xlfn.MINIFS($B$3:$B$5000,$A$3:$A$5000,$A2417,$B$3:$B$5000,"&gt;"&amp;$B2417))</f>
        <v>46279.5987643996</v>
      </c>
    </row>
    <row r="2418" customFormat="false" ht="15" hidden="false" customHeight="true" outlineLevel="0" collapsed="false">
      <c r="A2418" s="42"/>
      <c r="B2418" s="42"/>
      <c r="C2418" s="42"/>
      <c r="D2418" s="42"/>
      <c r="E2418" s="42"/>
      <c r="F2418" s="51" t="n">
        <f aca="false">IF(OR(C2418="",D2418="",E2418="",E2418=0),0,C2418*D2418/E2418)</f>
        <v>0</v>
      </c>
      <c r="G2418" s="42"/>
      <c r="H2418" s="49" t="n">
        <f aca="true">IF(OR($A2418="",_xlfn.MINIFS($B$3:$B$5000,$A$3:$A$5000,$A2418,$B$3:$B$5000,"&gt;"&amp;$B2418)=0),NOW(),_xlfn.MINIFS($B$3:$B$5000,$A$3:$A$5000,$A2418,$B$3:$B$5000,"&gt;"&amp;$B2418))</f>
        <v>46279.5987643997</v>
      </c>
    </row>
    <row r="2419" customFormat="false" ht="15" hidden="false" customHeight="true" outlineLevel="0" collapsed="false">
      <c r="A2419" s="42"/>
      <c r="B2419" s="42"/>
      <c r="C2419" s="42"/>
      <c r="D2419" s="42"/>
      <c r="E2419" s="42"/>
      <c r="F2419" s="51" t="n">
        <f aca="false">IF(OR(C2419="",D2419="",E2419="",E2419=0),0,C2419*D2419/E2419)</f>
        <v>0</v>
      </c>
      <c r="G2419" s="42"/>
      <c r="H2419" s="49" t="n">
        <f aca="true">IF(OR($A2419="",_xlfn.MINIFS($B$3:$B$5000,$A$3:$A$5000,$A2419,$B$3:$B$5000,"&gt;"&amp;$B2419)=0),NOW(),_xlfn.MINIFS($B$3:$B$5000,$A$3:$A$5000,$A2419,$B$3:$B$5000,"&gt;"&amp;$B2419))</f>
        <v>46279.5987643997</v>
      </c>
    </row>
    <row r="2420" customFormat="false" ht="15" hidden="false" customHeight="true" outlineLevel="0" collapsed="false">
      <c r="A2420" s="42"/>
      <c r="B2420" s="42"/>
      <c r="C2420" s="42"/>
      <c r="D2420" s="42"/>
      <c r="E2420" s="42"/>
      <c r="F2420" s="51" t="n">
        <f aca="false">IF(OR(C2420="",D2420="",E2420="",E2420=0),0,C2420*D2420/E2420)</f>
        <v>0</v>
      </c>
      <c r="G2420" s="42"/>
      <c r="H2420" s="49" t="n">
        <f aca="true">IF(OR($A2420="",_xlfn.MINIFS($B$3:$B$5000,$A$3:$A$5000,$A2420,$B$3:$B$5000,"&gt;"&amp;$B2420)=0),NOW(),_xlfn.MINIFS($B$3:$B$5000,$A$3:$A$5000,$A2420,$B$3:$B$5000,"&gt;"&amp;$B2420))</f>
        <v>46279.5987643998</v>
      </c>
    </row>
    <row r="2421" customFormat="false" ht="15" hidden="false" customHeight="true" outlineLevel="0" collapsed="false">
      <c r="A2421" s="42"/>
      <c r="B2421" s="42"/>
      <c r="C2421" s="42"/>
      <c r="D2421" s="42"/>
      <c r="E2421" s="42"/>
      <c r="F2421" s="51" t="n">
        <f aca="false">IF(OR(C2421="",D2421="",E2421="",E2421=0),0,C2421*D2421/E2421)</f>
        <v>0</v>
      </c>
      <c r="G2421" s="42"/>
      <c r="H2421" s="49" t="n">
        <f aca="true">IF(OR($A2421="",_xlfn.MINIFS($B$3:$B$5000,$A$3:$A$5000,$A2421,$B$3:$B$5000,"&gt;"&amp;$B2421)=0),NOW(),_xlfn.MINIFS($B$3:$B$5000,$A$3:$A$5000,$A2421,$B$3:$B$5000,"&gt;"&amp;$B2421))</f>
        <v>46279.5987643998</v>
      </c>
    </row>
    <row r="2422" customFormat="false" ht="15" hidden="false" customHeight="true" outlineLevel="0" collapsed="false">
      <c r="A2422" s="42"/>
      <c r="B2422" s="42"/>
      <c r="C2422" s="42"/>
      <c r="D2422" s="42"/>
      <c r="E2422" s="42"/>
      <c r="F2422" s="51" t="n">
        <f aca="false">IF(OR(C2422="",D2422="",E2422="",E2422=0),0,C2422*D2422/E2422)</f>
        <v>0</v>
      </c>
      <c r="G2422" s="42"/>
      <c r="H2422" s="49" t="n">
        <f aca="true">IF(OR($A2422="",_xlfn.MINIFS($B$3:$B$5000,$A$3:$A$5000,$A2422,$B$3:$B$5000,"&gt;"&amp;$B2422)=0),NOW(),_xlfn.MINIFS($B$3:$B$5000,$A$3:$A$5000,$A2422,$B$3:$B$5000,"&gt;"&amp;$B2422))</f>
        <v>46279.5987643999</v>
      </c>
    </row>
    <row r="2423" customFormat="false" ht="15" hidden="false" customHeight="true" outlineLevel="0" collapsed="false">
      <c r="A2423" s="42"/>
      <c r="B2423" s="42"/>
      <c r="C2423" s="42"/>
      <c r="D2423" s="42"/>
      <c r="E2423" s="42"/>
      <c r="F2423" s="51" t="n">
        <f aca="false">IF(OR(C2423="",D2423="",E2423="",E2423=0),0,C2423*D2423/E2423)</f>
        <v>0</v>
      </c>
      <c r="G2423" s="42"/>
      <c r="H2423" s="49" t="n">
        <f aca="true">IF(OR($A2423="",_xlfn.MINIFS($B$3:$B$5000,$A$3:$A$5000,$A2423,$B$3:$B$5000,"&gt;"&amp;$B2423)=0),NOW(),_xlfn.MINIFS($B$3:$B$5000,$A$3:$A$5000,$A2423,$B$3:$B$5000,"&gt;"&amp;$B2423))</f>
        <v>46279.5987643999</v>
      </c>
    </row>
    <row r="2424" customFormat="false" ht="15" hidden="false" customHeight="true" outlineLevel="0" collapsed="false">
      <c r="A2424" s="42"/>
      <c r="B2424" s="42"/>
      <c r="C2424" s="42"/>
      <c r="D2424" s="42"/>
      <c r="E2424" s="42"/>
      <c r="F2424" s="51" t="n">
        <f aca="false">IF(OR(C2424="",D2424="",E2424="",E2424=0),0,C2424*D2424/E2424)</f>
        <v>0</v>
      </c>
      <c r="G2424" s="42"/>
      <c r="H2424" s="49" t="n">
        <f aca="true">IF(OR($A2424="",_xlfn.MINIFS($B$3:$B$5000,$A$3:$A$5000,$A2424,$B$3:$B$5000,"&gt;"&amp;$B2424)=0),NOW(),_xlfn.MINIFS($B$3:$B$5000,$A$3:$A$5000,$A2424,$B$3:$B$5000,"&gt;"&amp;$B2424))</f>
        <v>46279.5987644</v>
      </c>
    </row>
    <row r="2425" customFormat="false" ht="15" hidden="false" customHeight="true" outlineLevel="0" collapsed="false">
      <c r="A2425" s="42"/>
      <c r="B2425" s="42"/>
      <c r="C2425" s="42"/>
      <c r="D2425" s="42"/>
      <c r="E2425" s="42"/>
      <c r="F2425" s="51" t="n">
        <f aca="false">IF(OR(C2425="",D2425="",E2425="",E2425=0),0,C2425*D2425/E2425)</f>
        <v>0</v>
      </c>
      <c r="G2425" s="42"/>
      <c r="H2425" s="49" t="n">
        <f aca="true">IF(OR($A2425="",_xlfn.MINIFS($B$3:$B$5000,$A$3:$A$5000,$A2425,$B$3:$B$5000,"&gt;"&amp;$B2425)=0),NOW(),_xlfn.MINIFS($B$3:$B$5000,$A$3:$A$5000,$A2425,$B$3:$B$5000,"&gt;"&amp;$B2425))</f>
        <v>46279.5987644</v>
      </c>
    </row>
    <row r="2426" customFormat="false" ht="15" hidden="false" customHeight="true" outlineLevel="0" collapsed="false">
      <c r="A2426" s="42"/>
      <c r="B2426" s="42"/>
      <c r="C2426" s="42"/>
      <c r="D2426" s="42"/>
      <c r="E2426" s="42"/>
      <c r="F2426" s="51" t="n">
        <f aca="false">IF(OR(C2426="",D2426="",E2426="",E2426=0),0,C2426*D2426/E2426)</f>
        <v>0</v>
      </c>
      <c r="G2426" s="42"/>
      <c r="H2426" s="49" t="n">
        <f aca="true">IF(OR($A2426="",_xlfn.MINIFS($B$3:$B$5000,$A$3:$A$5000,$A2426,$B$3:$B$5000,"&gt;"&amp;$B2426)=0),NOW(),_xlfn.MINIFS($B$3:$B$5000,$A$3:$A$5000,$A2426,$B$3:$B$5000,"&gt;"&amp;$B2426))</f>
        <v>46279.5987644001</v>
      </c>
    </row>
    <row r="2427" customFormat="false" ht="15" hidden="false" customHeight="true" outlineLevel="0" collapsed="false">
      <c r="A2427" s="42"/>
      <c r="B2427" s="42"/>
      <c r="C2427" s="42"/>
      <c r="D2427" s="42"/>
      <c r="E2427" s="42"/>
      <c r="F2427" s="51" t="n">
        <f aca="false">IF(OR(C2427="",D2427="",E2427="",E2427=0),0,C2427*D2427/E2427)</f>
        <v>0</v>
      </c>
      <c r="G2427" s="42"/>
      <c r="H2427" s="49" t="n">
        <f aca="true">IF(OR($A2427="",_xlfn.MINIFS($B$3:$B$5000,$A$3:$A$5000,$A2427,$B$3:$B$5000,"&gt;"&amp;$B2427)=0),NOW(),_xlfn.MINIFS($B$3:$B$5000,$A$3:$A$5000,$A2427,$B$3:$B$5000,"&gt;"&amp;$B2427))</f>
        <v>46279.5987644001</v>
      </c>
    </row>
    <row r="2428" customFormat="false" ht="15" hidden="false" customHeight="true" outlineLevel="0" collapsed="false">
      <c r="A2428" s="42"/>
      <c r="B2428" s="42"/>
      <c r="C2428" s="42"/>
      <c r="D2428" s="42"/>
      <c r="E2428" s="42"/>
      <c r="F2428" s="51" t="n">
        <f aca="false">IF(OR(C2428="",D2428="",E2428="",E2428=0),0,C2428*D2428/E2428)</f>
        <v>0</v>
      </c>
      <c r="G2428" s="42"/>
      <c r="H2428" s="49" t="n">
        <f aca="true">IF(OR($A2428="",_xlfn.MINIFS($B$3:$B$5000,$A$3:$A$5000,$A2428,$B$3:$B$5000,"&gt;"&amp;$B2428)=0),NOW(),_xlfn.MINIFS($B$3:$B$5000,$A$3:$A$5000,$A2428,$B$3:$B$5000,"&gt;"&amp;$B2428))</f>
        <v>46279.5987644002</v>
      </c>
    </row>
    <row r="2429" customFormat="false" ht="15" hidden="false" customHeight="true" outlineLevel="0" collapsed="false">
      <c r="A2429" s="42"/>
      <c r="B2429" s="42"/>
      <c r="C2429" s="42"/>
      <c r="D2429" s="42"/>
      <c r="E2429" s="42"/>
      <c r="F2429" s="51" t="n">
        <f aca="false">IF(OR(C2429="",D2429="",E2429="",E2429=0),0,C2429*D2429/E2429)</f>
        <v>0</v>
      </c>
      <c r="G2429" s="42"/>
      <c r="H2429" s="49" t="n">
        <f aca="true">IF(OR($A2429="",_xlfn.MINIFS($B$3:$B$5000,$A$3:$A$5000,$A2429,$B$3:$B$5000,"&gt;"&amp;$B2429)=0),NOW(),_xlfn.MINIFS($B$3:$B$5000,$A$3:$A$5000,$A2429,$B$3:$B$5000,"&gt;"&amp;$B2429))</f>
        <v>46279.5987644002</v>
      </c>
    </row>
    <row r="2430" customFormat="false" ht="15" hidden="false" customHeight="true" outlineLevel="0" collapsed="false">
      <c r="A2430" s="42"/>
      <c r="B2430" s="42"/>
      <c r="C2430" s="42"/>
      <c r="D2430" s="42"/>
      <c r="E2430" s="42"/>
      <c r="F2430" s="51" t="n">
        <f aca="false">IF(OR(C2430="",D2430="",E2430="",E2430=0),0,C2430*D2430/E2430)</f>
        <v>0</v>
      </c>
      <c r="G2430" s="42"/>
      <c r="H2430" s="49" t="n">
        <f aca="true">IF(OR($A2430="",_xlfn.MINIFS($B$3:$B$5000,$A$3:$A$5000,$A2430,$B$3:$B$5000,"&gt;"&amp;$B2430)=0),NOW(),_xlfn.MINIFS($B$3:$B$5000,$A$3:$A$5000,$A2430,$B$3:$B$5000,"&gt;"&amp;$B2430))</f>
        <v>46279.5987644003</v>
      </c>
    </row>
    <row r="2431" customFormat="false" ht="15" hidden="false" customHeight="true" outlineLevel="0" collapsed="false">
      <c r="A2431" s="42"/>
      <c r="B2431" s="42"/>
      <c r="C2431" s="42"/>
      <c r="D2431" s="42"/>
      <c r="E2431" s="42"/>
      <c r="F2431" s="51" t="n">
        <f aca="false">IF(OR(C2431="",D2431="",E2431="",E2431=0),0,C2431*D2431/E2431)</f>
        <v>0</v>
      </c>
      <c r="G2431" s="42"/>
      <c r="H2431" s="49" t="n">
        <f aca="true">IF(OR($A2431="",_xlfn.MINIFS($B$3:$B$5000,$A$3:$A$5000,$A2431,$B$3:$B$5000,"&gt;"&amp;$B2431)=0),NOW(),_xlfn.MINIFS($B$3:$B$5000,$A$3:$A$5000,$A2431,$B$3:$B$5000,"&gt;"&amp;$B2431))</f>
        <v>46279.5987644003</v>
      </c>
    </row>
    <row r="2432" customFormat="false" ht="15" hidden="false" customHeight="true" outlineLevel="0" collapsed="false">
      <c r="A2432" s="42"/>
      <c r="B2432" s="42"/>
      <c r="C2432" s="42"/>
      <c r="D2432" s="42"/>
      <c r="E2432" s="42"/>
      <c r="F2432" s="51" t="n">
        <f aca="false">IF(OR(C2432="",D2432="",E2432="",E2432=0),0,C2432*D2432/E2432)</f>
        <v>0</v>
      </c>
      <c r="G2432" s="42"/>
      <c r="H2432" s="49" t="n">
        <f aca="true">IF(OR($A2432="",_xlfn.MINIFS($B$3:$B$5000,$A$3:$A$5000,$A2432,$B$3:$B$5000,"&gt;"&amp;$B2432)=0),NOW(),_xlfn.MINIFS($B$3:$B$5000,$A$3:$A$5000,$A2432,$B$3:$B$5000,"&gt;"&amp;$B2432))</f>
        <v>46279.5987644004</v>
      </c>
    </row>
    <row r="2433" customFormat="false" ht="15" hidden="false" customHeight="true" outlineLevel="0" collapsed="false">
      <c r="A2433" s="42"/>
      <c r="B2433" s="42"/>
      <c r="C2433" s="42"/>
      <c r="D2433" s="42"/>
      <c r="E2433" s="42"/>
      <c r="F2433" s="51" t="n">
        <f aca="false">IF(OR(C2433="",D2433="",E2433="",E2433=0),0,C2433*D2433/E2433)</f>
        <v>0</v>
      </c>
      <c r="G2433" s="42"/>
      <c r="H2433" s="49" t="n">
        <f aca="true">IF(OR($A2433="",_xlfn.MINIFS($B$3:$B$5000,$A$3:$A$5000,$A2433,$B$3:$B$5000,"&gt;"&amp;$B2433)=0),NOW(),_xlfn.MINIFS($B$3:$B$5000,$A$3:$A$5000,$A2433,$B$3:$B$5000,"&gt;"&amp;$B2433))</f>
        <v>46279.5987644004</v>
      </c>
    </row>
    <row r="2434" customFormat="false" ht="15" hidden="false" customHeight="true" outlineLevel="0" collapsed="false">
      <c r="A2434" s="42"/>
      <c r="B2434" s="42"/>
      <c r="C2434" s="42"/>
      <c r="D2434" s="42"/>
      <c r="E2434" s="42"/>
      <c r="F2434" s="51" t="n">
        <f aca="false">IF(OR(C2434="",D2434="",E2434="",E2434=0),0,C2434*D2434/E2434)</f>
        <v>0</v>
      </c>
      <c r="G2434" s="42"/>
      <c r="H2434" s="49" t="n">
        <f aca="true">IF(OR($A2434="",_xlfn.MINIFS($B$3:$B$5000,$A$3:$A$5000,$A2434,$B$3:$B$5000,"&gt;"&amp;$B2434)=0),NOW(),_xlfn.MINIFS($B$3:$B$5000,$A$3:$A$5000,$A2434,$B$3:$B$5000,"&gt;"&amp;$B2434))</f>
        <v>46279.5987644005</v>
      </c>
    </row>
    <row r="2435" customFormat="false" ht="15" hidden="false" customHeight="true" outlineLevel="0" collapsed="false">
      <c r="A2435" s="42"/>
      <c r="B2435" s="42"/>
      <c r="C2435" s="42"/>
      <c r="D2435" s="42"/>
      <c r="E2435" s="42"/>
      <c r="F2435" s="51" t="n">
        <f aca="false">IF(OR(C2435="",D2435="",E2435="",E2435=0),0,C2435*D2435/E2435)</f>
        <v>0</v>
      </c>
      <c r="G2435" s="42"/>
      <c r="H2435" s="49" t="n">
        <f aca="true">IF(OR($A2435="",_xlfn.MINIFS($B$3:$B$5000,$A$3:$A$5000,$A2435,$B$3:$B$5000,"&gt;"&amp;$B2435)=0),NOW(),_xlfn.MINIFS($B$3:$B$5000,$A$3:$A$5000,$A2435,$B$3:$B$5000,"&gt;"&amp;$B2435))</f>
        <v>46279.5987644005</v>
      </c>
    </row>
    <row r="2436" customFormat="false" ht="15" hidden="false" customHeight="true" outlineLevel="0" collapsed="false">
      <c r="A2436" s="42"/>
      <c r="B2436" s="42"/>
      <c r="C2436" s="42"/>
      <c r="D2436" s="42"/>
      <c r="E2436" s="42"/>
      <c r="F2436" s="51" t="n">
        <f aca="false">IF(OR(C2436="",D2436="",E2436="",E2436=0),0,C2436*D2436/E2436)</f>
        <v>0</v>
      </c>
      <c r="G2436" s="42"/>
      <c r="H2436" s="49" t="n">
        <f aca="true">IF(OR($A2436="",_xlfn.MINIFS($B$3:$B$5000,$A$3:$A$5000,$A2436,$B$3:$B$5000,"&gt;"&amp;$B2436)=0),NOW(),_xlfn.MINIFS($B$3:$B$5000,$A$3:$A$5000,$A2436,$B$3:$B$5000,"&gt;"&amp;$B2436))</f>
        <v>46279.5987644006</v>
      </c>
    </row>
    <row r="2437" customFormat="false" ht="15" hidden="false" customHeight="true" outlineLevel="0" collapsed="false">
      <c r="A2437" s="42"/>
      <c r="B2437" s="42"/>
      <c r="C2437" s="42"/>
      <c r="D2437" s="42"/>
      <c r="E2437" s="42"/>
      <c r="F2437" s="51" t="n">
        <f aca="false">IF(OR(C2437="",D2437="",E2437="",E2437=0),0,C2437*D2437/E2437)</f>
        <v>0</v>
      </c>
      <c r="G2437" s="42"/>
      <c r="H2437" s="49" t="n">
        <f aca="true">IF(OR($A2437="",_xlfn.MINIFS($B$3:$B$5000,$A$3:$A$5000,$A2437,$B$3:$B$5000,"&gt;"&amp;$B2437)=0),NOW(),_xlfn.MINIFS($B$3:$B$5000,$A$3:$A$5000,$A2437,$B$3:$B$5000,"&gt;"&amp;$B2437))</f>
        <v>46279.5987644006</v>
      </c>
    </row>
    <row r="2438" customFormat="false" ht="15" hidden="false" customHeight="true" outlineLevel="0" collapsed="false">
      <c r="A2438" s="42"/>
      <c r="B2438" s="42"/>
      <c r="C2438" s="42"/>
      <c r="D2438" s="42"/>
      <c r="E2438" s="42"/>
      <c r="F2438" s="51" t="n">
        <f aca="false">IF(OR(C2438="",D2438="",E2438="",E2438=0),0,C2438*D2438/E2438)</f>
        <v>0</v>
      </c>
      <c r="G2438" s="42"/>
      <c r="H2438" s="49" t="n">
        <f aca="true">IF(OR($A2438="",_xlfn.MINIFS($B$3:$B$5000,$A$3:$A$5000,$A2438,$B$3:$B$5000,"&gt;"&amp;$B2438)=0),NOW(),_xlfn.MINIFS($B$3:$B$5000,$A$3:$A$5000,$A2438,$B$3:$B$5000,"&gt;"&amp;$B2438))</f>
        <v>46279.5987644007</v>
      </c>
    </row>
    <row r="2439" customFormat="false" ht="15" hidden="false" customHeight="true" outlineLevel="0" collapsed="false">
      <c r="A2439" s="42"/>
      <c r="B2439" s="42"/>
      <c r="C2439" s="42"/>
      <c r="D2439" s="42"/>
      <c r="E2439" s="42"/>
      <c r="F2439" s="51" t="n">
        <f aca="false">IF(OR(C2439="",D2439="",E2439="",E2439=0),0,C2439*D2439/E2439)</f>
        <v>0</v>
      </c>
      <c r="G2439" s="42"/>
      <c r="H2439" s="49" t="n">
        <f aca="true">IF(OR($A2439="",_xlfn.MINIFS($B$3:$B$5000,$A$3:$A$5000,$A2439,$B$3:$B$5000,"&gt;"&amp;$B2439)=0),NOW(),_xlfn.MINIFS($B$3:$B$5000,$A$3:$A$5000,$A2439,$B$3:$B$5000,"&gt;"&amp;$B2439))</f>
        <v>46279.5987644007</v>
      </c>
    </row>
    <row r="2440" customFormat="false" ht="15" hidden="false" customHeight="true" outlineLevel="0" collapsed="false">
      <c r="A2440" s="42"/>
      <c r="B2440" s="42"/>
      <c r="C2440" s="42"/>
      <c r="D2440" s="42"/>
      <c r="E2440" s="42"/>
      <c r="F2440" s="51" t="n">
        <f aca="false">IF(OR(C2440="",D2440="",E2440="",E2440=0),0,C2440*D2440/E2440)</f>
        <v>0</v>
      </c>
      <c r="G2440" s="42"/>
      <c r="H2440" s="49" t="n">
        <f aca="true">IF(OR($A2440="",_xlfn.MINIFS($B$3:$B$5000,$A$3:$A$5000,$A2440,$B$3:$B$5000,"&gt;"&amp;$B2440)=0),NOW(),_xlfn.MINIFS($B$3:$B$5000,$A$3:$A$5000,$A2440,$B$3:$B$5000,"&gt;"&amp;$B2440))</f>
        <v>46279.5987644008</v>
      </c>
    </row>
    <row r="2441" customFormat="false" ht="15" hidden="false" customHeight="true" outlineLevel="0" collapsed="false">
      <c r="A2441" s="42"/>
      <c r="B2441" s="42"/>
      <c r="C2441" s="42"/>
      <c r="D2441" s="42"/>
      <c r="E2441" s="42"/>
      <c r="F2441" s="51" t="n">
        <f aca="false">IF(OR(C2441="",D2441="",E2441="",E2441=0),0,C2441*D2441/E2441)</f>
        <v>0</v>
      </c>
      <c r="G2441" s="42"/>
      <c r="H2441" s="49" t="n">
        <f aca="true">IF(OR($A2441="",_xlfn.MINIFS($B$3:$B$5000,$A$3:$A$5000,$A2441,$B$3:$B$5000,"&gt;"&amp;$B2441)=0),NOW(),_xlfn.MINIFS($B$3:$B$5000,$A$3:$A$5000,$A2441,$B$3:$B$5000,"&gt;"&amp;$B2441))</f>
        <v>46279.5987644008</v>
      </c>
    </row>
    <row r="2442" customFormat="false" ht="15" hidden="false" customHeight="true" outlineLevel="0" collapsed="false">
      <c r="A2442" s="42"/>
      <c r="B2442" s="42"/>
      <c r="C2442" s="42"/>
      <c r="D2442" s="42"/>
      <c r="E2442" s="42"/>
      <c r="F2442" s="51" t="n">
        <f aca="false">IF(OR(C2442="",D2442="",E2442="",E2442=0),0,C2442*D2442/E2442)</f>
        <v>0</v>
      </c>
      <c r="G2442" s="42"/>
      <c r="H2442" s="49" t="n">
        <f aca="true">IF(OR($A2442="",_xlfn.MINIFS($B$3:$B$5000,$A$3:$A$5000,$A2442,$B$3:$B$5000,"&gt;"&amp;$B2442)=0),NOW(),_xlfn.MINIFS($B$3:$B$5000,$A$3:$A$5000,$A2442,$B$3:$B$5000,"&gt;"&amp;$B2442))</f>
        <v>46279.5987644009</v>
      </c>
    </row>
    <row r="2443" customFormat="false" ht="15" hidden="false" customHeight="true" outlineLevel="0" collapsed="false">
      <c r="A2443" s="42"/>
      <c r="B2443" s="42"/>
      <c r="C2443" s="42"/>
      <c r="D2443" s="42"/>
      <c r="E2443" s="42"/>
      <c r="F2443" s="51" t="n">
        <f aca="false">IF(OR(C2443="",D2443="",E2443="",E2443=0),0,C2443*D2443/E2443)</f>
        <v>0</v>
      </c>
      <c r="G2443" s="42"/>
      <c r="H2443" s="49" t="n">
        <f aca="true">IF(OR($A2443="",_xlfn.MINIFS($B$3:$B$5000,$A$3:$A$5000,$A2443,$B$3:$B$5000,"&gt;"&amp;$B2443)=0),NOW(),_xlfn.MINIFS($B$3:$B$5000,$A$3:$A$5000,$A2443,$B$3:$B$5000,"&gt;"&amp;$B2443))</f>
        <v>46279.5987644009</v>
      </c>
    </row>
    <row r="2444" customFormat="false" ht="15" hidden="false" customHeight="true" outlineLevel="0" collapsed="false">
      <c r="A2444" s="42"/>
      <c r="B2444" s="42"/>
      <c r="C2444" s="42"/>
      <c r="D2444" s="42"/>
      <c r="E2444" s="42"/>
      <c r="F2444" s="51" t="n">
        <f aca="false">IF(OR(C2444="",D2444="",E2444="",E2444=0),0,C2444*D2444/E2444)</f>
        <v>0</v>
      </c>
      <c r="G2444" s="42"/>
      <c r="H2444" s="49" t="n">
        <f aca="true">IF(OR($A2444="",_xlfn.MINIFS($B$3:$B$5000,$A$3:$A$5000,$A2444,$B$3:$B$5000,"&gt;"&amp;$B2444)=0),NOW(),_xlfn.MINIFS($B$3:$B$5000,$A$3:$A$5000,$A2444,$B$3:$B$5000,"&gt;"&amp;$B2444))</f>
        <v>46279.598764401</v>
      </c>
    </row>
    <row r="2445" customFormat="false" ht="15" hidden="false" customHeight="true" outlineLevel="0" collapsed="false">
      <c r="A2445" s="42"/>
      <c r="B2445" s="42"/>
      <c r="C2445" s="42"/>
      <c r="D2445" s="42"/>
      <c r="E2445" s="42"/>
      <c r="F2445" s="51" t="n">
        <f aca="false">IF(OR(C2445="",D2445="",E2445="",E2445=0),0,C2445*D2445/E2445)</f>
        <v>0</v>
      </c>
      <c r="G2445" s="42"/>
      <c r="H2445" s="49" t="n">
        <f aca="true">IF(OR($A2445="",_xlfn.MINIFS($B$3:$B$5000,$A$3:$A$5000,$A2445,$B$3:$B$5000,"&gt;"&amp;$B2445)=0),NOW(),_xlfn.MINIFS($B$3:$B$5000,$A$3:$A$5000,$A2445,$B$3:$B$5000,"&gt;"&amp;$B2445))</f>
        <v>46279.598764401</v>
      </c>
    </row>
    <row r="2446" customFormat="false" ht="15" hidden="false" customHeight="true" outlineLevel="0" collapsed="false">
      <c r="A2446" s="42"/>
      <c r="B2446" s="42"/>
      <c r="C2446" s="42"/>
      <c r="D2446" s="42"/>
      <c r="E2446" s="42"/>
      <c r="F2446" s="51" t="n">
        <f aca="false">IF(OR(C2446="",D2446="",E2446="",E2446=0),0,C2446*D2446/E2446)</f>
        <v>0</v>
      </c>
      <c r="G2446" s="42"/>
      <c r="H2446" s="49" t="n">
        <f aca="true">IF(OR($A2446="",_xlfn.MINIFS($B$3:$B$5000,$A$3:$A$5000,$A2446,$B$3:$B$5000,"&gt;"&amp;$B2446)=0),NOW(),_xlfn.MINIFS($B$3:$B$5000,$A$3:$A$5000,$A2446,$B$3:$B$5000,"&gt;"&amp;$B2446))</f>
        <v>46279.5987644011</v>
      </c>
    </row>
    <row r="2447" customFormat="false" ht="15" hidden="false" customHeight="true" outlineLevel="0" collapsed="false">
      <c r="A2447" s="42"/>
      <c r="B2447" s="42"/>
      <c r="C2447" s="42"/>
      <c r="D2447" s="42"/>
      <c r="E2447" s="42"/>
      <c r="F2447" s="51" t="n">
        <f aca="false">IF(OR(C2447="",D2447="",E2447="",E2447=0),0,C2447*D2447/E2447)</f>
        <v>0</v>
      </c>
      <c r="G2447" s="42"/>
      <c r="H2447" s="49" t="n">
        <f aca="true">IF(OR($A2447="",_xlfn.MINIFS($B$3:$B$5000,$A$3:$A$5000,$A2447,$B$3:$B$5000,"&gt;"&amp;$B2447)=0),NOW(),_xlfn.MINIFS($B$3:$B$5000,$A$3:$A$5000,$A2447,$B$3:$B$5000,"&gt;"&amp;$B2447))</f>
        <v>46279.5987644011</v>
      </c>
    </row>
    <row r="2448" customFormat="false" ht="15" hidden="false" customHeight="true" outlineLevel="0" collapsed="false">
      <c r="A2448" s="42"/>
      <c r="B2448" s="42"/>
      <c r="C2448" s="42"/>
      <c r="D2448" s="42"/>
      <c r="E2448" s="42"/>
      <c r="F2448" s="51" t="n">
        <f aca="false">IF(OR(C2448="",D2448="",E2448="",E2448=0),0,C2448*D2448/E2448)</f>
        <v>0</v>
      </c>
      <c r="G2448" s="42"/>
      <c r="H2448" s="49" t="n">
        <f aca="true">IF(OR($A2448="",_xlfn.MINIFS($B$3:$B$5000,$A$3:$A$5000,$A2448,$B$3:$B$5000,"&gt;"&amp;$B2448)=0),NOW(),_xlfn.MINIFS($B$3:$B$5000,$A$3:$A$5000,$A2448,$B$3:$B$5000,"&gt;"&amp;$B2448))</f>
        <v>46279.5987644012</v>
      </c>
    </row>
    <row r="2449" customFormat="false" ht="15" hidden="false" customHeight="true" outlineLevel="0" collapsed="false">
      <c r="A2449" s="42"/>
      <c r="B2449" s="42"/>
      <c r="C2449" s="42"/>
      <c r="D2449" s="42"/>
      <c r="E2449" s="42"/>
      <c r="F2449" s="51" t="n">
        <f aca="false">IF(OR(C2449="",D2449="",E2449="",E2449=0),0,C2449*D2449/E2449)</f>
        <v>0</v>
      </c>
      <c r="G2449" s="42"/>
      <c r="H2449" s="49" t="n">
        <f aca="true">IF(OR($A2449="",_xlfn.MINIFS($B$3:$B$5000,$A$3:$A$5000,$A2449,$B$3:$B$5000,"&gt;"&amp;$B2449)=0),NOW(),_xlfn.MINIFS($B$3:$B$5000,$A$3:$A$5000,$A2449,$B$3:$B$5000,"&gt;"&amp;$B2449))</f>
        <v>46279.5987644012</v>
      </c>
    </row>
    <row r="2450" customFormat="false" ht="15" hidden="false" customHeight="true" outlineLevel="0" collapsed="false">
      <c r="A2450" s="42"/>
      <c r="B2450" s="42"/>
      <c r="C2450" s="42"/>
      <c r="D2450" s="42"/>
      <c r="E2450" s="42"/>
      <c r="F2450" s="51" t="n">
        <f aca="false">IF(OR(C2450="",D2450="",E2450="",E2450=0),0,C2450*D2450/E2450)</f>
        <v>0</v>
      </c>
      <c r="G2450" s="42"/>
      <c r="H2450" s="49" t="n">
        <f aca="true">IF(OR($A2450="",_xlfn.MINIFS($B$3:$B$5000,$A$3:$A$5000,$A2450,$B$3:$B$5000,"&gt;"&amp;$B2450)=0),NOW(),_xlfn.MINIFS($B$3:$B$5000,$A$3:$A$5000,$A2450,$B$3:$B$5000,"&gt;"&amp;$B2450))</f>
        <v>46279.5987644013</v>
      </c>
    </row>
    <row r="2451" customFormat="false" ht="15" hidden="false" customHeight="true" outlineLevel="0" collapsed="false">
      <c r="A2451" s="42"/>
      <c r="B2451" s="42"/>
      <c r="C2451" s="42"/>
      <c r="D2451" s="42"/>
      <c r="E2451" s="42"/>
      <c r="F2451" s="51" t="n">
        <f aca="false">IF(OR(C2451="",D2451="",E2451="",E2451=0),0,C2451*D2451/E2451)</f>
        <v>0</v>
      </c>
      <c r="G2451" s="42"/>
      <c r="H2451" s="49" t="n">
        <f aca="true">IF(OR($A2451="",_xlfn.MINIFS($B$3:$B$5000,$A$3:$A$5000,$A2451,$B$3:$B$5000,"&gt;"&amp;$B2451)=0),NOW(),_xlfn.MINIFS($B$3:$B$5000,$A$3:$A$5000,$A2451,$B$3:$B$5000,"&gt;"&amp;$B2451))</f>
        <v>46279.5987644013</v>
      </c>
    </row>
    <row r="2452" customFormat="false" ht="15" hidden="false" customHeight="true" outlineLevel="0" collapsed="false">
      <c r="A2452" s="42"/>
      <c r="B2452" s="42"/>
      <c r="C2452" s="42"/>
      <c r="D2452" s="42"/>
      <c r="E2452" s="42"/>
      <c r="F2452" s="51" t="n">
        <f aca="false">IF(OR(C2452="",D2452="",E2452="",E2452=0),0,C2452*D2452/E2452)</f>
        <v>0</v>
      </c>
      <c r="G2452" s="42"/>
      <c r="H2452" s="49" t="n">
        <f aca="true">IF(OR($A2452="",_xlfn.MINIFS($B$3:$B$5000,$A$3:$A$5000,$A2452,$B$3:$B$5000,"&gt;"&amp;$B2452)=0),NOW(),_xlfn.MINIFS($B$3:$B$5000,$A$3:$A$5000,$A2452,$B$3:$B$5000,"&gt;"&amp;$B2452))</f>
        <v>46279.5987644014</v>
      </c>
    </row>
    <row r="2453" customFormat="false" ht="15" hidden="false" customHeight="true" outlineLevel="0" collapsed="false">
      <c r="A2453" s="42"/>
      <c r="B2453" s="42"/>
      <c r="C2453" s="42"/>
      <c r="D2453" s="42"/>
      <c r="E2453" s="42"/>
      <c r="F2453" s="51" t="n">
        <f aca="false">IF(OR(C2453="",D2453="",E2453="",E2453=0),0,C2453*D2453/E2453)</f>
        <v>0</v>
      </c>
      <c r="G2453" s="42"/>
      <c r="H2453" s="49" t="n">
        <f aca="true">IF(OR($A2453="",_xlfn.MINIFS($B$3:$B$5000,$A$3:$A$5000,$A2453,$B$3:$B$5000,"&gt;"&amp;$B2453)=0),NOW(),_xlfn.MINIFS($B$3:$B$5000,$A$3:$A$5000,$A2453,$B$3:$B$5000,"&gt;"&amp;$B2453))</f>
        <v>46279.5987644014</v>
      </c>
    </row>
    <row r="2454" customFormat="false" ht="15" hidden="false" customHeight="true" outlineLevel="0" collapsed="false">
      <c r="A2454" s="42"/>
      <c r="B2454" s="42"/>
      <c r="C2454" s="42"/>
      <c r="D2454" s="42"/>
      <c r="E2454" s="42"/>
      <c r="F2454" s="51" t="n">
        <f aca="false">IF(OR(C2454="",D2454="",E2454="",E2454=0),0,C2454*D2454/E2454)</f>
        <v>0</v>
      </c>
      <c r="G2454" s="42"/>
      <c r="H2454" s="49" t="n">
        <f aca="true">IF(OR($A2454="",_xlfn.MINIFS($B$3:$B$5000,$A$3:$A$5000,$A2454,$B$3:$B$5000,"&gt;"&amp;$B2454)=0),NOW(),_xlfn.MINIFS($B$3:$B$5000,$A$3:$A$5000,$A2454,$B$3:$B$5000,"&gt;"&amp;$B2454))</f>
        <v>46279.5987644015</v>
      </c>
    </row>
    <row r="2455" customFormat="false" ht="15" hidden="false" customHeight="true" outlineLevel="0" collapsed="false">
      <c r="A2455" s="42"/>
      <c r="B2455" s="42"/>
      <c r="C2455" s="42"/>
      <c r="D2455" s="42"/>
      <c r="E2455" s="42"/>
      <c r="F2455" s="51" t="n">
        <f aca="false">IF(OR(C2455="",D2455="",E2455="",E2455=0),0,C2455*D2455/E2455)</f>
        <v>0</v>
      </c>
      <c r="G2455" s="42"/>
      <c r="H2455" s="49" t="n">
        <f aca="true">IF(OR($A2455="",_xlfn.MINIFS($B$3:$B$5000,$A$3:$A$5000,$A2455,$B$3:$B$5000,"&gt;"&amp;$B2455)=0),NOW(),_xlfn.MINIFS($B$3:$B$5000,$A$3:$A$5000,$A2455,$B$3:$B$5000,"&gt;"&amp;$B2455))</f>
        <v>46279.5987644015</v>
      </c>
    </row>
    <row r="2456" customFormat="false" ht="15" hidden="false" customHeight="true" outlineLevel="0" collapsed="false">
      <c r="A2456" s="42"/>
      <c r="B2456" s="42"/>
      <c r="C2456" s="42"/>
      <c r="D2456" s="42"/>
      <c r="E2456" s="42"/>
      <c r="F2456" s="51" t="n">
        <f aca="false">IF(OR(C2456="",D2456="",E2456="",E2456=0),0,C2456*D2456/E2456)</f>
        <v>0</v>
      </c>
      <c r="G2456" s="42"/>
      <c r="H2456" s="49" t="n">
        <f aca="true">IF(OR($A2456="",_xlfn.MINIFS($B$3:$B$5000,$A$3:$A$5000,$A2456,$B$3:$B$5000,"&gt;"&amp;$B2456)=0),NOW(),_xlfn.MINIFS($B$3:$B$5000,$A$3:$A$5000,$A2456,$B$3:$B$5000,"&gt;"&amp;$B2456))</f>
        <v>46279.5987644016</v>
      </c>
    </row>
    <row r="2457" customFormat="false" ht="15" hidden="false" customHeight="true" outlineLevel="0" collapsed="false">
      <c r="A2457" s="42"/>
      <c r="B2457" s="42"/>
      <c r="C2457" s="42"/>
      <c r="D2457" s="42"/>
      <c r="E2457" s="42"/>
      <c r="F2457" s="51" t="n">
        <f aca="false">IF(OR(C2457="",D2457="",E2457="",E2457=0),0,C2457*D2457/E2457)</f>
        <v>0</v>
      </c>
      <c r="G2457" s="42"/>
      <c r="H2457" s="49" t="n">
        <f aca="true">IF(OR($A2457="",_xlfn.MINIFS($B$3:$B$5000,$A$3:$A$5000,$A2457,$B$3:$B$5000,"&gt;"&amp;$B2457)=0),NOW(),_xlfn.MINIFS($B$3:$B$5000,$A$3:$A$5000,$A2457,$B$3:$B$5000,"&gt;"&amp;$B2457))</f>
        <v>46279.5987644016</v>
      </c>
    </row>
    <row r="2458" customFormat="false" ht="15" hidden="false" customHeight="true" outlineLevel="0" collapsed="false">
      <c r="A2458" s="42"/>
      <c r="B2458" s="42"/>
      <c r="C2458" s="42"/>
      <c r="D2458" s="42"/>
      <c r="E2458" s="42"/>
      <c r="F2458" s="51" t="n">
        <f aca="false">IF(OR(C2458="",D2458="",E2458="",E2458=0),0,C2458*D2458/E2458)</f>
        <v>0</v>
      </c>
      <c r="G2458" s="42"/>
      <c r="H2458" s="49" t="n">
        <f aca="true">IF(OR($A2458="",_xlfn.MINIFS($B$3:$B$5000,$A$3:$A$5000,$A2458,$B$3:$B$5000,"&gt;"&amp;$B2458)=0),NOW(),_xlfn.MINIFS($B$3:$B$5000,$A$3:$A$5000,$A2458,$B$3:$B$5000,"&gt;"&amp;$B2458))</f>
        <v>46279.5987644017</v>
      </c>
    </row>
    <row r="2459" customFormat="false" ht="15" hidden="false" customHeight="true" outlineLevel="0" collapsed="false">
      <c r="A2459" s="42"/>
      <c r="B2459" s="42"/>
      <c r="C2459" s="42"/>
      <c r="D2459" s="42"/>
      <c r="E2459" s="42"/>
      <c r="F2459" s="51" t="n">
        <f aca="false">IF(OR(C2459="",D2459="",E2459="",E2459=0),0,C2459*D2459/E2459)</f>
        <v>0</v>
      </c>
      <c r="G2459" s="42"/>
      <c r="H2459" s="49" t="n">
        <f aca="true">IF(OR($A2459="",_xlfn.MINIFS($B$3:$B$5000,$A$3:$A$5000,$A2459,$B$3:$B$5000,"&gt;"&amp;$B2459)=0),NOW(),_xlfn.MINIFS($B$3:$B$5000,$A$3:$A$5000,$A2459,$B$3:$B$5000,"&gt;"&amp;$B2459))</f>
        <v>46279.5987644017</v>
      </c>
    </row>
    <row r="2460" customFormat="false" ht="15" hidden="false" customHeight="true" outlineLevel="0" collapsed="false">
      <c r="A2460" s="42"/>
      <c r="B2460" s="42"/>
      <c r="C2460" s="42"/>
      <c r="D2460" s="42"/>
      <c r="E2460" s="42"/>
      <c r="F2460" s="51" t="n">
        <f aca="false">IF(OR(C2460="",D2460="",E2460="",E2460=0),0,C2460*D2460/E2460)</f>
        <v>0</v>
      </c>
      <c r="G2460" s="42"/>
      <c r="H2460" s="49" t="n">
        <f aca="true">IF(OR($A2460="",_xlfn.MINIFS($B$3:$B$5000,$A$3:$A$5000,$A2460,$B$3:$B$5000,"&gt;"&amp;$B2460)=0),NOW(),_xlfn.MINIFS($B$3:$B$5000,$A$3:$A$5000,$A2460,$B$3:$B$5000,"&gt;"&amp;$B2460))</f>
        <v>46279.5987644018</v>
      </c>
    </row>
    <row r="2461" customFormat="false" ht="15" hidden="false" customHeight="true" outlineLevel="0" collapsed="false">
      <c r="A2461" s="42"/>
      <c r="B2461" s="42"/>
      <c r="C2461" s="42"/>
      <c r="D2461" s="42"/>
      <c r="E2461" s="42"/>
      <c r="F2461" s="51" t="n">
        <f aca="false">IF(OR(C2461="",D2461="",E2461="",E2461=0),0,C2461*D2461/E2461)</f>
        <v>0</v>
      </c>
      <c r="G2461" s="42"/>
      <c r="H2461" s="49" t="n">
        <f aca="true">IF(OR($A2461="",_xlfn.MINIFS($B$3:$B$5000,$A$3:$A$5000,$A2461,$B$3:$B$5000,"&gt;"&amp;$B2461)=0),NOW(),_xlfn.MINIFS($B$3:$B$5000,$A$3:$A$5000,$A2461,$B$3:$B$5000,"&gt;"&amp;$B2461))</f>
        <v>46279.5987644018</v>
      </c>
    </row>
    <row r="2462" customFormat="false" ht="15" hidden="false" customHeight="true" outlineLevel="0" collapsed="false">
      <c r="A2462" s="42"/>
      <c r="B2462" s="42"/>
      <c r="C2462" s="42"/>
      <c r="D2462" s="42"/>
      <c r="E2462" s="42"/>
      <c r="F2462" s="51" t="n">
        <f aca="false">IF(OR(C2462="",D2462="",E2462="",E2462=0),0,C2462*D2462/E2462)</f>
        <v>0</v>
      </c>
      <c r="G2462" s="42"/>
      <c r="H2462" s="49" t="n">
        <f aca="true">IF(OR($A2462="",_xlfn.MINIFS($B$3:$B$5000,$A$3:$A$5000,$A2462,$B$3:$B$5000,"&gt;"&amp;$B2462)=0),NOW(),_xlfn.MINIFS($B$3:$B$5000,$A$3:$A$5000,$A2462,$B$3:$B$5000,"&gt;"&amp;$B2462))</f>
        <v>46279.5987644019</v>
      </c>
    </row>
    <row r="2463" customFormat="false" ht="15" hidden="false" customHeight="true" outlineLevel="0" collapsed="false">
      <c r="A2463" s="42"/>
      <c r="B2463" s="42"/>
      <c r="C2463" s="42"/>
      <c r="D2463" s="42"/>
      <c r="E2463" s="42"/>
      <c r="F2463" s="51" t="n">
        <f aca="false">IF(OR(C2463="",D2463="",E2463="",E2463=0),0,C2463*D2463/E2463)</f>
        <v>0</v>
      </c>
      <c r="G2463" s="42"/>
      <c r="H2463" s="49" t="n">
        <f aca="true">IF(OR($A2463="",_xlfn.MINIFS($B$3:$B$5000,$A$3:$A$5000,$A2463,$B$3:$B$5000,"&gt;"&amp;$B2463)=0),NOW(),_xlfn.MINIFS($B$3:$B$5000,$A$3:$A$5000,$A2463,$B$3:$B$5000,"&gt;"&amp;$B2463))</f>
        <v>46279.5987644019</v>
      </c>
    </row>
    <row r="2464" customFormat="false" ht="15" hidden="false" customHeight="true" outlineLevel="0" collapsed="false">
      <c r="A2464" s="42"/>
      <c r="B2464" s="42"/>
      <c r="C2464" s="42"/>
      <c r="D2464" s="42"/>
      <c r="E2464" s="42"/>
      <c r="F2464" s="51" t="n">
        <f aca="false">IF(OR(C2464="",D2464="",E2464="",E2464=0),0,C2464*D2464/E2464)</f>
        <v>0</v>
      </c>
      <c r="G2464" s="42"/>
      <c r="H2464" s="49" t="n">
        <f aca="true">IF(OR($A2464="",_xlfn.MINIFS($B$3:$B$5000,$A$3:$A$5000,$A2464,$B$3:$B$5000,"&gt;"&amp;$B2464)=0),NOW(),_xlfn.MINIFS($B$3:$B$5000,$A$3:$A$5000,$A2464,$B$3:$B$5000,"&gt;"&amp;$B2464))</f>
        <v>46279.598764402</v>
      </c>
    </row>
    <row r="2465" customFormat="false" ht="15" hidden="false" customHeight="true" outlineLevel="0" collapsed="false">
      <c r="A2465" s="42"/>
      <c r="B2465" s="42"/>
      <c r="C2465" s="42"/>
      <c r="D2465" s="42"/>
      <c r="E2465" s="42"/>
      <c r="F2465" s="51" t="n">
        <f aca="false">IF(OR(C2465="",D2465="",E2465="",E2465=0),0,C2465*D2465/E2465)</f>
        <v>0</v>
      </c>
      <c r="G2465" s="42"/>
      <c r="H2465" s="49" t="n">
        <f aca="true">IF(OR($A2465="",_xlfn.MINIFS($B$3:$B$5000,$A$3:$A$5000,$A2465,$B$3:$B$5000,"&gt;"&amp;$B2465)=0),NOW(),_xlfn.MINIFS($B$3:$B$5000,$A$3:$A$5000,$A2465,$B$3:$B$5000,"&gt;"&amp;$B2465))</f>
        <v>46279.598764402</v>
      </c>
    </row>
    <row r="2466" customFormat="false" ht="15" hidden="false" customHeight="true" outlineLevel="0" collapsed="false">
      <c r="A2466" s="42"/>
      <c r="B2466" s="42"/>
      <c r="C2466" s="42"/>
      <c r="D2466" s="42"/>
      <c r="E2466" s="42"/>
      <c r="F2466" s="51" t="n">
        <f aca="false">IF(OR(C2466="",D2466="",E2466="",E2466=0),0,C2466*D2466/E2466)</f>
        <v>0</v>
      </c>
      <c r="G2466" s="42"/>
      <c r="H2466" s="49" t="n">
        <f aca="true">IF(OR($A2466="",_xlfn.MINIFS($B$3:$B$5000,$A$3:$A$5000,$A2466,$B$3:$B$5000,"&gt;"&amp;$B2466)=0),NOW(),_xlfn.MINIFS($B$3:$B$5000,$A$3:$A$5000,$A2466,$B$3:$B$5000,"&gt;"&amp;$B2466))</f>
        <v>46279.5987644021</v>
      </c>
    </row>
    <row r="2467" customFormat="false" ht="15" hidden="false" customHeight="true" outlineLevel="0" collapsed="false">
      <c r="A2467" s="42"/>
      <c r="B2467" s="42"/>
      <c r="C2467" s="42"/>
      <c r="D2467" s="42"/>
      <c r="E2467" s="42"/>
      <c r="F2467" s="51" t="n">
        <f aca="false">IF(OR(C2467="",D2467="",E2467="",E2467=0),0,C2467*D2467/E2467)</f>
        <v>0</v>
      </c>
      <c r="G2467" s="42"/>
      <c r="H2467" s="49" t="n">
        <f aca="true">IF(OR($A2467="",_xlfn.MINIFS($B$3:$B$5000,$A$3:$A$5000,$A2467,$B$3:$B$5000,"&gt;"&amp;$B2467)=0),NOW(),_xlfn.MINIFS($B$3:$B$5000,$A$3:$A$5000,$A2467,$B$3:$B$5000,"&gt;"&amp;$B2467))</f>
        <v>46279.5987644021</v>
      </c>
    </row>
    <row r="2468" customFormat="false" ht="15" hidden="false" customHeight="true" outlineLevel="0" collapsed="false">
      <c r="A2468" s="42"/>
      <c r="B2468" s="42"/>
      <c r="C2468" s="42"/>
      <c r="D2468" s="42"/>
      <c r="E2468" s="42"/>
      <c r="F2468" s="51" t="n">
        <f aca="false">IF(OR(C2468="",D2468="",E2468="",E2468=0),0,C2468*D2468/E2468)</f>
        <v>0</v>
      </c>
      <c r="G2468" s="42"/>
      <c r="H2468" s="49" t="n">
        <f aca="true">IF(OR($A2468="",_xlfn.MINIFS($B$3:$B$5000,$A$3:$A$5000,$A2468,$B$3:$B$5000,"&gt;"&amp;$B2468)=0),NOW(),_xlfn.MINIFS($B$3:$B$5000,$A$3:$A$5000,$A2468,$B$3:$B$5000,"&gt;"&amp;$B2468))</f>
        <v>46279.5987644022</v>
      </c>
    </row>
    <row r="2469" customFormat="false" ht="15" hidden="false" customHeight="true" outlineLevel="0" collapsed="false">
      <c r="A2469" s="42"/>
      <c r="B2469" s="42"/>
      <c r="C2469" s="42"/>
      <c r="D2469" s="42"/>
      <c r="E2469" s="42"/>
      <c r="F2469" s="51" t="n">
        <f aca="false">IF(OR(C2469="",D2469="",E2469="",E2469=0),0,C2469*D2469/E2469)</f>
        <v>0</v>
      </c>
      <c r="G2469" s="42"/>
      <c r="H2469" s="49" t="n">
        <f aca="true">IF(OR($A2469="",_xlfn.MINIFS($B$3:$B$5000,$A$3:$A$5000,$A2469,$B$3:$B$5000,"&gt;"&amp;$B2469)=0),NOW(),_xlfn.MINIFS($B$3:$B$5000,$A$3:$A$5000,$A2469,$B$3:$B$5000,"&gt;"&amp;$B2469))</f>
        <v>46279.5987644022</v>
      </c>
    </row>
    <row r="2470" customFormat="false" ht="15" hidden="false" customHeight="true" outlineLevel="0" collapsed="false">
      <c r="A2470" s="42"/>
      <c r="B2470" s="42"/>
      <c r="C2470" s="42"/>
      <c r="D2470" s="42"/>
      <c r="E2470" s="42"/>
      <c r="F2470" s="51" t="n">
        <f aca="false">IF(OR(C2470="",D2470="",E2470="",E2470=0),0,C2470*D2470/E2470)</f>
        <v>0</v>
      </c>
      <c r="G2470" s="42"/>
      <c r="H2470" s="49" t="n">
        <f aca="true">IF(OR($A2470="",_xlfn.MINIFS($B$3:$B$5000,$A$3:$A$5000,$A2470,$B$3:$B$5000,"&gt;"&amp;$B2470)=0),NOW(),_xlfn.MINIFS($B$3:$B$5000,$A$3:$A$5000,$A2470,$B$3:$B$5000,"&gt;"&amp;$B2470))</f>
        <v>46279.5987644023</v>
      </c>
    </row>
    <row r="2471" customFormat="false" ht="15" hidden="false" customHeight="true" outlineLevel="0" collapsed="false">
      <c r="A2471" s="42"/>
      <c r="B2471" s="42"/>
      <c r="C2471" s="42"/>
      <c r="D2471" s="42"/>
      <c r="E2471" s="42"/>
      <c r="F2471" s="51" t="n">
        <f aca="false">IF(OR(C2471="",D2471="",E2471="",E2471=0),0,C2471*D2471/E2471)</f>
        <v>0</v>
      </c>
      <c r="G2471" s="42"/>
      <c r="H2471" s="49" t="n">
        <f aca="true">IF(OR($A2471="",_xlfn.MINIFS($B$3:$B$5000,$A$3:$A$5000,$A2471,$B$3:$B$5000,"&gt;"&amp;$B2471)=0),NOW(),_xlfn.MINIFS($B$3:$B$5000,$A$3:$A$5000,$A2471,$B$3:$B$5000,"&gt;"&amp;$B2471))</f>
        <v>46279.5987644023</v>
      </c>
    </row>
    <row r="2472" customFormat="false" ht="15" hidden="false" customHeight="true" outlineLevel="0" collapsed="false">
      <c r="A2472" s="42"/>
      <c r="B2472" s="42"/>
      <c r="C2472" s="42"/>
      <c r="D2472" s="42"/>
      <c r="E2472" s="42"/>
      <c r="F2472" s="51" t="n">
        <f aca="false">IF(OR(C2472="",D2472="",E2472="",E2472=0),0,C2472*D2472/E2472)</f>
        <v>0</v>
      </c>
      <c r="G2472" s="42"/>
      <c r="H2472" s="49" t="n">
        <f aca="true">IF(OR($A2472="",_xlfn.MINIFS($B$3:$B$5000,$A$3:$A$5000,$A2472,$B$3:$B$5000,"&gt;"&amp;$B2472)=0),NOW(),_xlfn.MINIFS($B$3:$B$5000,$A$3:$A$5000,$A2472,$B$3:$B$5000,"&gt;"&amp;$B2472))</f>
        <v>46279.5987644024</v>
      </c>
    </row>
    <row r="2473" customFormat="false" ht="15" hidden="false" customHeight="true" outlineLevel="0" collapsed="false">
      <c r="A2473" s="42"/>
      <c r="B2473" s="42"/>
      <c r="C2473" s="42"/>
      <c r="D2473" s="42"/>
      <c r="E2473" s="42"/>
      <c r="F2473" s="51" t="n">
        <f aca="false">IF(OR(C2473="",D2473="",E2473="",E2473=0),0,C2473*D2473/E2473)</f>
        <v>0</v>
      </c>
      <c r="G2473" s="42"/>
      <c r="H2473" s="49" t="n">
        <f aca="true">IF(OR($A2473="",_xlfn.MINIFS($B$3:$B$5000,$A$3:$A$5000,$A2473,$B$3:$B$5000,"&gt;"&amp;$B2473)=0),NOW(),_xlfn.MINIFS($B$3:$B$5000,$A$3:$A$5000,$A2473,$B$3:$B$5000,"&gt;"&amp;$B2473))</f>
        <v>46279.5987644024</v>
      </c>
    </row>
    <row r="2474" customFormat="false" ht="15" hidden="false" customHeight="true" outlineLevel="0" collapsed="false">
      <c r="A2474" s="42"/>
      <c r="B2474" s="42"/>
      <c r="C2474" s="42"/>
      <c r="D2474" s="42"/>
      <c r="E2474" s="42"/>
      <c r="F2474" s="51" t="n">
        <f aca="false">IF(OR(C2474="",D2474="",E2474="",E2474=0),0,C2474*D2474/E2474)</f>
        <v>0</v>
      </c>
      <c r="G2474" s="42"/>
      <c r="H2474" s="49" t="n">
        <f aca="true">IF(OR($A2474="",_xlfn.MINIFS($B$3:$B$5000,$A$3:$A$5000,$A2474,$B$3:$B$5000,"&gt;"&amp;$B2474)=0),NOW(),_xlfn.MINIFS($B$3:$B$5000,$A$3:$A$5000,$A2474,$B$3:$B$5000,"&gt;"&amp;$B2474))</f>
        <v>46279.5987644025</v>
      </c>
    </row>
    <row r="2475" customFormat="false" ht="15" hidden="false" customHeight="true" outlineLevel="0" collapsed="false">
      <c r="A2475" s="42"/>
      <c r="B2475" s="42"/>
      <c r="C2475" s="42"/>
      <c r="D2475" s="42"/>
      <c r="E2475" s="42"/>
      <c r="F2475" s="51" t="n">
        <f aca="false">IF(OR(C2475="",D2475="",E2475="",E2475=0),0,C2475*D2475/E2475)</f>
        <v>0</v>
      </c>
      <c r="G2475" s="42"/>
      <c r="H2475" s="49" t="n">
        <f aca="true">IF(OR($A2475="",_xlfn.MINIFS($B$3:$B$5000,$A$3:$A$5000,$A2475,$B$3:$B$5000,"&gt;"&amp;$B2475)=0),NOW(),_xlfn.MINIFS($B$3:$B$5000,$A$3:$A$5000,$A2475,$B$3:$B$5000,"&gt;"&amp;$B2475))</f>
        <v>46279.5987644025</v>
      </c>
    </row>
    <row r="2476" customFormat="false" ht="15" hidden="false" customHeight="true" outlineLevel="0" collapsed="false">
      <c r="A2476" s="42"/>
      <c r="B2476" s="42"/>
      <c r="C2476" s="42"/>
      <c r="D2476" s="42"/>
      <c r="E2476" s="42"/>
      <c r="F2476" s="51" t="n">
        <f aca="false">IF(OR(C2476="",D2476="",E2476="",E2476=0),0,C2476*D2476/E2476)</f>
        <v>0</v>
      </c>
      <c r="G2476" s="42"/>
      <c r="H2476" s="49" t="n">
        <f aca="true">IF(OR($A2476="",_xlfn.MINIFS($B$3:$B$5000,$A$3:$A$5000,$A2476,$B$3:$B$5000,"&gt;"&amp;$B2476)=0),NOW(),_xlfn.MINIFS($B$3:$B$5000,$A$3:$A$5000,$A2476,$B$3:$B$5000,"&gt;"&amp;$B2476))</f>
        <v>46279.5987644026</v>
      </c>
    </row>
    <row r="2477" customFormat="false" ht="15" hidden="false" customHeight="true" outlineLevel="0" collapsed="false">
      <c r="A2477" s="42"/>
      <c r="B2477" s="42"/>
      <c r="C2477" s="42"/>
      <c r="D2477" s="42"/>
      <c r="E2477" s="42"/>
      <c r="F2477" s="51" t="n">
        <f aca="false">IF(OR(C2477="",D2477="",E2477="",E2477=0),0,C2477*D2477/E2477)</f>
        <v>0</v>
      </c>
      <c r="G2477" s="42"/>
      <c r="H2477" s="49" t="n">
        <f aca="true">IF(OR($A2477="",_xlfn.MINIFS($B$3:$B$5000,$A$3:$A$5000,$A2477,$B$3:$B$5000,"&gt;"&amp;$B2477)=0),NOW(),_xlfn.MINIFS($B$3:$B$5000,$A$3:$A$5000,$A2477,$B$3:$B$5000,"&gt;"&amp;$B2477))</f>
        <v>46279.5987644026</v>
      </c>
    </row>
    <row r="2478" customFormat="false" ht="15" hidden="false" customHeight="true" outlineLevel="0" collapsed="false">
      <c r="A2478" s="42"/>
      <c r="B2478" s="42"/>
      <c r="C2478" s="42"/>
      <c r="D2478" s="42"/>
      <c r="E2478" s="42"/>
      <c r="F2478" s="51" t="n">
        <f aca="false">IF(OR(C2478="",D2478="",E2478="",E2478=0),0,C2478*D2478/E2478)</f>
        <v>0</v>
      </c>
      <c r="G2478" s="42"/>
      <c r="H2478" s="49" t="n">
        <f aca="true">IF(OR($A2478="",_xlfn.MINIFS($B$3:$B$5000,$A$3:$A$5000,$A2478,$B$3:$B$5000,"&gt;"&amp;$B2478)=0),NOW(),_xlfn.MINIFS($B$3:$B$5000,$A$3:$A$5000,$A2478,$B$3:$B$5000,"&gt;"&amp;$B2478))</f>
        <v>46279.5987644027</v>
      </c>
    </row>
    <row r="2479" customFormat="false" ht="15" hidden="false" customHeight="true" outlineLevel="0" collapsed="false">
      <c r="A2479" s="42"/>
      <c r="B2479" s="42"/>
      <c r="C2479" s="42"/>
      <c r="D2479" s="42"/>
      <c r="E2479" s="42"/>
      <c r="F2479" s="51" t="n">
        <f aca="false">IF(OR(C2479="",D2479="",E2479="",E2479=0),0,C2479*D2479/E2479)</f>
        <v>0</v>
      </c>
      <c r="G2479" s="42"/>
      <c r="H2479" s="49" t="n">
        <f aca="true">IF(OR($A2479="",_xlfn.MINIFS($B$3:$B$5000,$A$3:$A$5000,$A2479,$B$3:$B$5000,"&gt;"&amp;$B2479)=0),NOW(),_xlfn.MINIFS($B$3:$B$5000,$A$3:$A$5000,$A2479,$B$3:$B$5000,"&gt;"&amp;$B2479))</f>
        <v>46279.5987644028</v>
      </c>
    </row>
    <row r="2480" customFormat="false" ht="15" hidden="false" customHeight="true" outlineLevel="0" collapsed="false">
      <c r="A2480" s="42"/>
      <c r="B2480" s="42"/>
      <c r="C2480" s="42"/>
      <c r="D2480" s="42"/>
      <c r="E2480" s="42"/>
      <c r="F2480" s="51" t="n">
        <f aca="false">IF(OR(C2480="",D2480="",E2480="",E2480=0),0,C2480*D2480/E2480)</f>
        <v>0</v>
      </c>
      <c r="G2480" s="42"/>
      <c r="H2480" s="49" t="n">
        <f aca="true">IF(OR($A2480="",_xlfn.MINIFS($B$3:$B$5000,$A$3:$A$5000,$A2480,$B$3:$B$5000,"&gt;"&amp;$B2480)=0),NOW(),_xlfn.MINIFS($B$3:$B$5000,$A$3:$A$5000,$A2480,$B$3:$B$5000,"&gt;"&amp;$B2480))</f>
        <v>46279.5987644028</v>
      </c>
    </row>
    <row r="2481" customFormat="false" ht="15" hidden="false" customHeight="true" outlineLevel="0" collapsed="false">
      <c r="A2481" s="42"/>
      <c r="B2481" s="42"/>
      <c r="C2481" s="42"/>
      <c r="D2481" s="42"/>
      <c r="E2481" s="42"/>
      <c r="F2481" s="51" t="n">
        <f aca="false">IF(OR(C2481="",D2481="",E2481="",E2481=0),0,C2481*D2481/E2481)</f>
        <v>0</v>
      </c>
      <c r="G2481" s="42"/>
      <c r="H2481" s="49" t="n">
        <f aca="true">IF(OR($A2481="",_xlfn.MINIFS($B$3:$B$5000,$A$3:$A$5000,$A2481,$B$3:$B$5000,"&gt;"&amp;$B2481)=0),NOW(),_xlfn.MINIFS($B$3:$B$5000,$A$3:$A$5000,$A2481,$B$3:$B$5000,"&gt;"&amp;$B2481))</f>
        <v>46279.5987644029</v>
      </c>
    </row>
    <row r="2482" customFormat="false" ht="15" hidden="false" customHeight="true" outlineLevel="0" collapsed="false">
      <c r="A2482" s="42"/>
      <c r="B2482" s="42"/>
      <c r="C2482" s="42"/>
      <c r="D2482" s="42"/>
      <c r="E2482" s="42"/>
      <c r="F2482" s="51" t="n">
        <f aca="false">IF(OR(C2482="",D2482="",E2482="",E2482=0),0,C2482*D2482/E2482)</f>
        <v>0</v>
      </c>
      <c r="G2482" s="42"/>
      <c r="H2482" s="49" t="n">
        <f aca="true">IF(OR($A2482="",_xlfn.MINIFS($B$3:$B$5000,$A$3:$A$5000,$A2482,$B$3:$B$5000,"&gt;"&amp;$B2482)=0),NOW(),_xlfn.MINIFS($B$3:$B$5000,$A$3:$A$5000,$A2482,$B$3:$B$5000,"&gt;"&amp;$B2482))</f>
        <v>46279.5987644029</v>
      </c>
    </row>
    <row r="2483" customFormat="false" ht="15" hidden="false" customHeight="true" outlineLevel="0" collapsed="false">
      <c r="A2483" s="42"/>
      <c r="B2483" s="42"/>
      <c r="C2483" s="42"/>
      <c r="D2483" s="42"/>
      <c r="E2483" s="42"/>
      <c r="F2483" s="51" t="n">
        <f aca="false">IF(OR(C2483="",D2483="",E2483="",E2483=0),0,C2483*D2483/E2483)</f>
        <v>0</v>
      </c>
      <c r="G2483" s="42"/>
      <c r="H2483" s="49" t="n">
        <f aca="true">IF(OR($A2483="",_xlfn.MINIFS($B$3:$B$5000,$A$3:$A$5000,$A2483,$B$3:$B$5000,"&gt;"&amp;$B2483)=0),NOW(),_xlfn.MINIFS($B$3:$B$5000,$A$3:$A$5000,$A2483,$B$3:$B$5000,"&gt;"&amp;$B2483))</f>
        <v>46279.598764403</v>
      </c>
    </row>
    <row r="2484" customFormat="false" ht="15" hidden="false" customHeight="true" outlineLevel="0" collapsed="false">
      <c r="A2484" s="42"/>
      <c r="B2484" s="42"/>
      <c r="C2484" s="42"/>
      <c r="D2484" s="42"/>
      <c r="E2484" s="42"/>
      <c r="F2484" s="51" t="n">
        <f aca="false">IF(OR(C2484="",D2484="",E2484="",E2484=0),0,C2484*D2484/E2484)</f>
        <v>0</v>
      </c>
      <c r="G2484" s="42"/>
      <c r="H2484" s="49" t="n">
        <f aca="true">IF(OR($A2484="",_xlfn.MINIFS($B$3:$B$5000,$A$3:$A$5000,$A2484,$B$3:$B$5000,"&gt;"&amp;$B2484)=0),NOW(),_xlfn.MINIFS($B$3:$B$5000,$A$3:$A$5000,$A2484,$B$3:$B$5000,"&gt;"&amp;$B2484))</f>
        <v>46279.598764403</v>
      </c>
    </row>
    <row r="2485" customFormat="false" ht="15" hidden="false" customHeight="true" outlineLevel="0" collapsed="false">
      <c r="A2485" s="42"/>
      <c r="B2485" s="42"/>
      <c r="C2485" s="42"/>
      <c r="D2485" s="42"/>
      <c r="E2485" s="42"/>
      <c r="F2485" s="51" t="n">
        <f aca="false">IF(OR(C2485="",D2485="",E2485="",E2485=0),0,C2485*D2485/E2485)</f>
        <v>0</v>
      </c>
      <c r="G2485" s="42"/>
      <c r="H2485" s="49" t="n">
        <f aca="true">IF(OR($A2485="",_xlfn.MINIFS($B$3:$B$5000,$A$3:$A$5000,$A2485,$B$3:$B$5000,"&gt;"&amp;$B2485)=0),NOW(),_xlfn.MINIFS($B$3:$B$5000,$A$3:$A$5000,$A2485,$B$3:$B$5000,"&gt;"&amp;$B2485))</f>
        <v>46279.5987644031</v>
      </c>
    </row>
    <row r="2486" customFormat="false" ht="15" hidden="false" customHeight="true" outlineLevel="0" collapsed="false">
      <c r="A2486" s="42"/>
      <c r="B2486" s="42"/>
      <c r="C2486" s="42"/>
      <c r="D2486" s="42"/>
      <c r="E2486" s="42"/>
      <c r="F2486" s="51" t="n">
        <f aca="false">IF(OR(C2486="",D2486="",E2486="",E2486=0),0,C2486*D2486/E2486)</f>
        <v>0</v>
      </c>
      <c r="G2486" s="42"/>
      <c r="H2486" s="49" t="n">
        <f aca="true">IF(OR($A2486="",_xlfn.MINIFS($B$3:$B$5000,$A$3:$A$5000,$A2486,$B$3:$B$5000,"&gt;"&amp;$B2486)=0),NOW(),_xlfn.MINIFS($B$3:$B$5000,$A$3:$A$5000,$A2486,$B$3:$B$5000,"&gt;"&amp;$B2486))</f>
        <v>46279.5987644031</v>
      </c>
    </row>
    <row r="2487" customFormat="false" ht="15" hidden="false" customHeight="true" outlineLevel="0" collapsed="false">
      <c r="A2487" s="42"/>
      <c r="B2487" s="42"/>
      <c r="C2487" s="42"/>
      <c r="D2487" s="42"/>
      <c r="E2487" s="42"/>
      <c r="F2487" s="51" t="n">
        <f aca="false">IF(OR(C2487="",D2487="",E2487="",E2487=0),0,C2487*D2487/E2487)</f>
        <v>0</v>
      </c>
      <c r="G2487" s="42"/>
      <c r="H2487" s="49" t="n">
        <f aca="true">IF(OR($A2487="",_xlfn.MINIFS($B$3:$B$5000,$A$3:$A$5000,$A2487,$B$3:$B$5000,"&gt;"&amp;$B2487)=0),NOW(),_xlfn.MINIFS($B$3:$B$5000,$A$3:$A$5000,$A2487,$B$3:$B$5000,"&gt;"&amp;$B2487))</f>
        <v>46279.5987644032</v>
      </c>
    </row>
    <row r="2488" customFormat="false" ht="15" hidden="false" customHeight="true" outlineLevel="0" collapsed="false">
      <c r="A2488" s="42"/>
      <c r="B2488" s="42"/>
      <c r="C2488" s="42"/>
      <c r="D2488" s="42"/>
      <c r="E2488" s="42"/>
      <c r="F2488" s="51" t="n">
        <f aca="false">IF(OR(C2488="",D2488="",E2488="",E2488=0),0,C2488*D2488/E2488)</f>
        <v>0</v>
      </c>
      <c r="G2488" s="42"/>
      <c r="H2488" s="49" t="n">
        <f aca="true">IF(OR($A2488="",_xlfn.MINIFS($B$3:$B$5000,$A$3:$A$5000,$A2488,$B$3:$B$5000,"&gt;"&amp;$B2488)=0),NOW(),_xlfn.MINIFS($B$3:$B$5000,$A$3:$A$5000,$A2488,$B$3:$B$5000,"&gt;"&amp;$B2488))</f>
        <v>46279.5987644032</v>
      </c>
    </row>
    <row r="2489" customFormat="false" ht="15" hidden="false" customHeight="true" outlineLevel="0" collapsed="false">
      <c r="A2489" s="42"/>
      <c r="B2489" s="42"/>
      <c r="C2489" s="42"/>
      <c r="D2489" s="42"/>
      <c r="E2489" s="42"/>
      <c r="F2489" s="51" t="n">
        <f aca="false">IF(OR(C2489="",D2489="",E2489="",E2489=0),0,C2489*D2489/E2489)</f>
        <v>0</v>
      </c>
      <c r="G2489" s="42"/>
      <c r="H2489" s="49" t="n">
        <f aca="true">IF(OR($A2489="",_xlfn.MINIFS($B$3:$B$5000,$A$3:$A$5000,$A2489,$B$3:$B$5000,"&gt;"&amp;$B2489)=0),NOW(),_xlfn.MINIFS($B$3:$B$5000,$A$3:$A$5000,$A2489,$B$3:$B$5000,"&gt;"&amp;$B2489))</f>
        <v>46279.5987644033</v>
      </c>
    </row>
    <row r="2490" customFormat="false" ht="15" hidden="false" customHeight="true" outlineLevel="0" collapsed="false">
      <c r="A2490" s="42"/>
      <c r="B2490" s="42"/>
      <c r="C2490" s="42"/>
      <c r="D2490" s="42"/>
      <c r="E2490" s="42"/>
      <c r="F2490" s="51" t="n">
        <f aca="false">IF(OR(C2490="",D2490="",E2490="",E2490=0),0,C2490*D2490/E2490)</f>
        <v>0</v>
      </c>
      <c r="G2490" s="42"/>
      <c r="H2490" s="49" t="n">
        <f aca="true">IF(OR($A2490="",_xlfn.MINIFS($B$3:$B$5000,$A$3:$A$5000,$A2490,$B$3:$B$5000,"&gt;"&amp;$B2490)=0),NOW(),_xlfn.MINIFS($B$3:$B$5000,$A$3:$A$5000,$A2490,$B$3:$B$5000,"&gt;"&amp;$B2490))</f>
        <v>46279.5987644033</v>
      </c>
    </row>
    <row r="2491" customFormat="false" ht="15" hidden="false" customHeight="true" outlineLevel="0" collapsed="false">
      <c r="A2491" s="42"/>
      <c r="B2491" s="42"/>
      <c r="C2491" s="42"/>
      <c r="D2491" s="42"/>
      <c r="E2491" s="42"/>
      <c r="F2491" s="51" t="n">
        <f aca="false">IF(OR(C2491="",D2491="",E2491="",E2491=0),0,C2491*D2491/E2491)</f>
        <v>0</v>
      </c>
      <c r="G2491" s="42"/>
      <c r="H2491" s="49" t="n">
        <f aca="true">IF(OR($A2491="",_xlfn.MINIFS($B$3:$B$5000,$A$3:$A$5000,$A2491,$B$3:$B$5000,"&gt;"&amp;$B2491)=0),NOW(),_xlfn.MINIFS($B$3:$B$5000,$A$3:$A$5000,$A2491,$B$3:$B$5000,"&gt;"&amp;$B2491))</f>
        <v>46279.5987644034</v>
      </c>
    </row>
    <row r="2492" customFormat="false" ht="15" hidden="false" customHeight="true" outlineLevel="0" collapsed="false">
      <c r="A2492" s="42"/>
      <c r="B2492" s="42"/>
      <c r="C2492" s="42"/>
      <c r="D2492" s="42"/>
      <c r="E2492" s="42"/>
      <c r="F2492" s="51" t="n">
        <f aca="false">IF(OR(C2492="",D2492="",E2492="",E2492=0),0,C2492*D2492/E2492)</f>
        <v>0</v>
      </c>
      <c r="G2492" s="42"/>
      <c r="H2492" s="49" t="n">
        <f aca="true">IF(OR($A2492="",_xlfn.MINIFS($B$3:$B$5000,$A$3:$A$5000,$A2492,$B$3:$B$5000,"&gt;"&amp;$B2492)=0),NOW(),_xlfn.MINIFS($B$3:$B$5000,$A$3:$A$5000,$A2492,$B$3:$B$5000,"&gt;"&amp;$B2492))</f>
        <v>46279.5987644034</v>
      </c>
    </row>
    <row r="2493" customFormat="false" ht="15" hidden="false" customHeight="true" outlineLevel="0" collapsed="false">
      <c r="A2493" s="42"/>
      <c r="B2493" s="42"/>
      <c r="C2493" s="42"/>
      <c r="D2493" s="42"/>
      <c r="E2493" s="42"/>
      <c r="F2493" s="51" t="n">
        <f aca="false">IF(OR(C2493="",D2493="",E2493="",E2493=0),0,C2493*D2493/E2493)</f>
        <v>0</v>
      </c>
      <c r="G2493" s="42"/>
      <c r="H2493" s="49" t="n">
        <f aca="true">IF(OR($A2493="",_xlfn.MINIFS($B$3:$B$5000,$A$3:$A$5000,$A2493,$B$3:$B$5000,"&gt;"&amp;$B2493)=0),NOW(),_xlfn.MINIFS($B$3:$B$5000,$A$3:$A$5000,$A2493,$B$3:$B$5000,"&gt;"&amp;$B2493))</f>
        <v>46279.5987644035</v>
      </c>
    </row>
    <row r="2494" customFormat="false" ht="15" hidden="false" customHeight="true" outlineLevel="0" collapsed="false">
      <c r="A2494" s="42"/>
      <c r="B2494" s="42"/>
      <c r="C2494" s="42"/>
      <c r="D2494" s="42"/>
      <c r="E2494" s="42"/>
      <c r="F2494" s="51" t="n">
        <f aca="false">IF(OR(C2494="",D2494="",E2494="",E2494=0),0,C2494*D2494/E2494)</f>
        <v>0</v>
      </c>
      <c r="G2494" s="42"/>
      <c r="H2494" s="49" t="n">
        <f aca="true">IF(OR($A2494="",_xlfn.MINIFS($B$3:$B$5000,$A$3:$A$5000,$A2494,$B$3:$B$5000,"&gt;"&amp;$B2494)=0),NOW(),_xlfn.MINIFS($B$3:$B$5000,$A$3:$A$5000,$A2494,$B$3:$B$5000,"&gt;"&amp;$B2494))</f>
        <v>46279.5987644035</v>
      </c>
    </row>
    <row r="2495" customFormat="false" ht="15" hidden="false" customHeight="true" outlineLevel="0" collapsed="false">
      <c r="A2495" s="42"/>
      <c r="B2495" s="42"/>
      <c r="C2495" s="42"/>
      <c r="D2495" s="42"/>
      <c r="E2495" s="42"/>
      <c r="F2495" s="51" t="n">
        <f aca="false">IF(OR(C2495="",D2495="",E2495="",E2495=0),0,C2495*D2495/E2495)</f>
        <v>0</v>
      </c>
      <c r="G2495" s="42"/>
      <c r="H2495" s="49" t="n">
        <f aca="true">IF(OR($A2495="",_xlfn.MINIFS($B$3:$B$5000,$A$3:$A$5000,$A2495,$B$3:$B$5000,"&gt;"&amp;$B2495)=0),NOW(),_xlfn.MINIFS($B$3:$B$5000,$A$3:$A$5000,$A2495,$B$3:$B$5000,"&gt;"&amp;$B2495))</f>
        <v>46279.5987644036</v>
      </c>
    </row>
    <row r="2496" customFormat="false" ht="15" hidden="false" customHeight="true" outlineLevel="0" collapsed="false">
      <c r="A2496" s="42"/>
      <c r="B2496" s="42"/>
      <c r="C2496" s="42"/>
      <c r="D2496" s="42"/>
      <c r="E2496" s="42"/>
      <c r="F2496" s="51" t="n">
        <f aca="false">IF(OR(C2496="",D2496="",E2496="",E2496=0),0,C2496*D2496/E2496)</f>
        <v>0</v>
      </c>
      <c r="G2496" s="42"/>
      <c r="H2496" s="49" t="n">
        <f aca="true">IF(OR($A2496="",_xlfn.MINIFS($B$3:$B$5000,$A$3:$A$5000,$A2496,$B$3:$B$5000,"&gt;"&amp;$B2496)=0),NOW(),_xlfn.MINIFS($B$3:$B$5000,$A$3:$A$5000,$A2496,$B$3:$B$5000,"&gt;"&amp;$B2496))</f>
        <v>46279.5987644036</v>
      </c>
    </row>
    <row r="2497" customFormat="false" ht="15" hidden="false" customHeight="true" outlineLevel="0" collapsed="false">
      <c r="A2497" s="42"/>
      <c r="B2497" s="42"/>
      <c r="C2497" s="42"/>
      <c r="D2497" s="42"/>
      <c r="E2497" s="42"/>
      <c r="F2497" s="51" t="n">
        <f aca="false">IF(OR(C2497="",D2497="",E2497="",E2497=0),0,C2497*D2497/E2497)</f>
        <v>0</v>
      </c>
      <c r="G2497" s="42"/>
      <c r="H2497" s="49" t="n">
        <f aca="true">IF(OR($A2497="",_xlfn.MINIFS($B$3:$B$5000,$A$3:$A$5000,$A2497,$B$3:$B$5000,"&gt;"&amp;$B2497)=0),NOW(),_xlfn.MINIFS($B$3:$B$5000,$A$3:$A$5000,$A2497,$B$3:$B$5000,"&gt;"&amp;$B2497))</f>
        <v>46279.5987644037</v>
      </c>
    </row>
    <row r="2498" customFormat="false" ht="15" hidden="false" customHeight="true" outlineLevel="0" collapsed="false">
      <c r="A2498" s="42"/>
      <c r="B2498" s="42"/>
      <c r="C2498" s="42"/>
      <c r="D2498" s="42"/>
      <c r="E2498" s="42"/>
      <c r="F2498" s="51" t="n">
        <f aca="false">IF(OR(C2498="",D2498="",E2498="",E2498=0),0,C2498*D2498/E2498)</f>
        <v>0</v>
      </c>
      <c r="G2498" s="42"/>
      <c r="H2498" s="49" t="n">
        <f aca="true">IF(OR($A2498="",_xlfn.MINIFS($B$3:$B$5000,$A$3:$A$5000,$A2498,$B$3:$B$5000,"&gt;"&amp;$B2498)=0),NOW(),_xlfn.MINIFS($B$3:$B$5000,$A$3:$A$5000,$A2498,$B$3:$B$5000,"&gt;"&amp;$B2498))</f>
        <v>46279.5987644037</v>
      </c>
    </row>
    <row r="2499" customFormat="false" ht="15" hidden="false" customHeight="true" outlineLevel="0" collapsed="false">
      <c r="A2499" s="42"/>
      <c r="B2499" s="42"/>
      <c r="C2499" s="42"/>
      <c r="D2499" s="42"/>
      <c r="E2499" s="42"/>
      <c r="F2499" s="51" t="n">
        <f aca="false">IF(OR(C2499="",D2499="",E2499="",E2499=0),0,C2499*D2499/E2499)</f>
        <v>0</v>
      </c>
      <c r="G2499" s="42"/>
      <c r="H2499" s="49" t="n">
        <f aca="true">IF(OR($A2499="",_xlfn.MINIFS($B$3:$B$5000,$A$3:$A$5000,$A2499,$B$3:$B$5000,"&gt;"&amp;$B2499)=0),NOW(),_xlfn.MINIFS($B$3:$B$5000,$A$3:$A$5000,$A2499,$B$3:$B$5000,"&gt;"&amp;$B2499))</f>
        <v>46279.5987644038</v>
      </c>
    </row>
    <row r="2500" customFormat="false" ht="15" hidden="false" customHeight="true" outlineLevel="0" collapsed="false">
      <c r="A2500" s="42"/>
      <c r="B2500" s="42"/>
      <c r="C2500" s="42"/>
      <c r="D2500" s="42"/>
      <c r="E2500" s="42"/>
      <c r="F2500" s="51" t="n">
        <f aca="false">IF(OR(C2500="",D2500="",E2500="",E2500=0),0,C2500*D2500/E2500)</f>
        <v>0</v>
      </c>
      <c r="G2500" s="42"/>
      <c r="H2500" s="49" t="n">
        <f aca="true">IF(OR($A2500="",_xlfn.MINIFS($B$3:$B$5000,$A$3:$A$5000,$A2500,$B$3:$B$5000,"&gt;"&amp;$B2500)=0),NOW(),_xlfn.MINIFS($B$3:$B$5000,$A$3:$A$5000,$A2500,$B$3:$B$5000,"&gt;"&amp;$B2500))</f>
        <v>46279.5987644038</v>
      </c>
    </row>
    <row r="2501" customFormat="false" ht="15" hidden="false" customHeight="true" outlineLevel="0" collapsed="false">
      <c r="A2501" s="42"/>
      <c r="B2501" s="42"/>
      <c r="C2501" s="42"/>
      <c r="D2501" s="42"/>
      <c r="E2501" s="42"/>
      <c r="F2501" s="51" t="n">
        <f aca="false">IF(OR(C2501="",D2501="",E2501="",E2501=0),0,C2501*D2501/E2501)</f>
        <v>0</v>
      </c>
      <c r="G2501" s="42"/>
      <c r="H2501" s="49" t="n">
        <f aca="true">IF(OR($A2501="",_xlfn.MINIFS($B$3:$B$5000,$A$3:$A$5000,$A2501,$B$3:$B$5000,"&gt;"&amp;$B2501)=0),NOW(),_xlfn.MINIFS($B$3:$B$5000,$A$3:$A$5000,$A2501,$B$3:$B$5000,"&gt;"&amp;$B2501))</f>
        <v>46279.5987644039</v>
      </c>
    </row>
    <row r="2502" customFormat="false" ht="15" hidden="false" customHeight="true" outlineLevel="0" collapsed="false">
      <c r="A2502" s="42"/>
      <c r="B2502" s="42"/>
      <c r="C2502" s="42"/>
      <c r="D2502" s="42"/>
      <c r="E2502" s="42"/>
      <c r="F2502" s="51" t="n">
        <f aca="false">IF(OR(C2502="",D2502="",E2502="",E2502=0),0,C2502*D2502/E2502)</f>
        <v>0</v>
      </c>
      <c r="G2502" s="42"/>
      <c r="H2502" s="49" t="n">
        <f aca="true">IF(OR($A2502="",_xlfn.MINIFS($B$3:$B$5000,$A$3:$A$5000,$A2502,$B$3:$B$5000,"&gt;"&amp;$B2502)=0),NOW(),_xlfn.MINIFS($B$3:$B$5000,$A$3:$A$5000,$A2502,$B$3:$B$5000,"&gt;"&amp;$B2502))</f>
        <v>46279.5987644039</v>
      </c>
    </row>
    <row r="2503" customFormat="false" ht="15" hidden="false" customHeight="true" outlineLevel="0" collapsed="false">
      <c r="A2503" s="42"/>
      <c r="B2503" s="42"/>
      <c r="C2503" s="42"/>
      <c r="D2503" s="42"/>
      <c r="E2503" s="42"/>
      <c r="F2503" s="51" t="n">
        <f aca="false">IF(OR(C2503="",D2503="",E2503="",E2503=0),0,C2503*D2503/E2503)</f>
        <v>0</v>
      </c>
      <c r="G2503" s="42"/>
      <c r="H2503" s="49" t="n">
        <f aca="true">IF(OR($A2503="",_xlfn.MINIFS($B$3:$B$5000,$A$3:$A$5000,$A2503,$B$3:$B$5000,"&gt;"&amp;$B2503)=0),NOW(),_xlfn.MINIFS($B$3:$B$5000,$A$3:$A$5000,$A2503,$B$3:$B$5000,"&gt;"&amp;$B2503))</f>
        <v>46279.598764404</v>
      </c>
    </row>
    <row r="2504" customFormat="false" ht="15" hidden="false" customHeight="true" outlineLevel="0" collapsed="false">
      <c r="A2504" s="42"/>
      <c r="B2504" s="42"/>
      <c r="C2504" s="42"/>
      <c r="D2504" s="42"/>
      <c r="E2504" s="42"/>
      <c r="F2504" s="51" t="n">
        <f aca="false">IF(OR(C2504="",D2504="",E2504="",E2504=0),0,C2504*D2504/E2504)</f>
        <v>0</v>
      </c>
      <c r="G2504" s="42"/>
      <c r="H2504" s="49" t="n">
        <f aca="true">IF(OR($A2504="",_xlfn.MINIFS($B$3:$B$5000,$A$3:$A$5000,$A2504,$B$3:$B$5000,"&gt;"&amp;$B2504)=0),NOW(),_xlfn.MINIFS($B$3:$B$5000,$A$3:$A$5000,$A2504,$B$3:$B$5000,"&gt;"&amp;$B2504))</f>
        <v>46279.598764404</v>
      </c>
    </row>
    <row r="2505" customFormat="false" ht="15" hidden="false" customHeight="true" outlineLevel="0" collapsed="false">
      <c r="A2505" s="42"/>
      <c r="B2505" s="42"/>
      <c r="C2505" s="42"/>
      <c r="D2505" s="42"/>
      <c r="E2505" s="42"/>
      <c r="F2505" s="51" t="n">
        <f aca="false">IF(OR(C2505="",D2505="",E2505="",E2505=0),0,C2505*D2505/E2505)</f>
        <v>0</v>
      </c>
      <c r="G2505" s="42"/>
      <c r="H2505" s="49" t="n">
        <f aca="true">IF(OR($A2505="",_xlfn.MINIFS($B$3:$B$5000,$A$3:$A$5000,$A2505,$B$3:$B$5000,"&gt;"&amp;$B2505)=0),NOW(),_xlfn.MINIFS($B$3:$B$5000,$A$3:$A$5000,$A2505,$B$3:$B$5000,"&gt;"&amp;$B2505))</f>
        <v>46279.5987644041</v>
      </c>
    </row>
    <row r="2506" customFormat="false" ht="15" hidden="false" customHeight="true" outlineLevel="0" collapsed="false">
      <c r="A2506" s="42"/>
      <c r="B2506" s="42"/>
      <c r="C2506" s="42"/>
      <c r="D2506" s="42"/>
      <c r="E2506" s="42"/>
      <c r="F2506" s="51" t="n">
        <f aca="false">IF(OR(C2506="",D2506="",E2506="",E2506=0),0,C2506*D2506/E2506)</f>
        <v>0</v>
      </c>
      <c r="G2506" s="42"/>
      <c r="H2506" s="49" t="n">
        <f aca="true">IF(OR($A2506="",_xlfn.MINIFS($B$3:$B$5000,$A$3:$A$5000,$A2506,$B$3:$B$5000,"&gt;"&amp;$B2506)=0),NOW(),_xlfn.MINIFS($B$3:$B$5000,$A$3:$A$5000,$A2506,$B$3:$B$5000,"&gt;"&amp;$B2506))</f>
        <v>46279.5987644041</v>
      </c>
    </row>
    <row r="2507" customFormat="false" ht="15" hidden="false" customHeight="true" outlineLevel="0" collapsed="false">
      <c r="A2507" s="42"/>
      <c r="B2507" s="42"/>
      <c r="C2507" s="42"/>
      <c r="D2507" s="42"/>
      <c r="E2507" s="42"/>
      <c r="F2507" s="51" t="n">
        <f aca="false">IF(OR(C2507="",D2507="",E2507="",E2507=0),0,C2507*D2507/E2507)</f>
        <v>0</v>
      </c>
      <c r="G2507" s="42"/>
      <c r="H2507" s="49" t="n">
        <f aca="true">IF(OR($A2507="",_xlfn.MINIFS($B$3:$B$5000,$A$3:$A$5000,$A2507,$B$3:$B$5000,"&gt;"&amp;$B2507)=0),NOW(),_xlfn.MINIFS($B$3:$B$5000,$A$3:$A$5000,$A2507,$B$3:$B$5000,"&gt;"&amp;$B2507))</f>
        <v>46279.5987644042</v>
      </c>
    </row>
    <row r="2508" customFormat="false" ht="15" hidden="false" customHeight="true" outlineLevel="0" collapsed="false">
      <c r="A2508" s="42"/>
      <c r="B2508" s="42"/>
      <c r="C2508" s="42"/>
      <c r="D2508" s="42"/>
      <c r="E2508" s="42"/>
      <c r="F2508" s="51" t="n">
        <f aca="false">IF(OR(C2508="",D2508="",E2508="",E2508=0),0,C2508*D2508/E2508)</f>
        <v>0</v>
      </c>
      <c r="G2508" s="42"/>
      <c r="H2508" s="49" t="n">
        <f aca="true">IF(OR($A2508="",_xlfn.MINIFS($B$3:$B$5000,$A$3:$A$5000,$A2508,$B$3:$B$5000,"&gt;"&amp;$B2508)=0),NOW(),_xlfn.MINIFS($B$3:$B$5000,$A$3:$A$5000,$A2508,$B$3:$B$5000,"&gt;"&amp;$B2508))</f>
        <v>46279.5987644043</v>
      </c>
    </row>
    <row r="2509" customFormat="false" ht="15" hidden="false" customHeight="true" outlineLevel="0" collapsed="false">
      <c r="A2509" s="42"/>
      <c r="B2509" s="42"/>
      <c r="C2509" s="42"/>
      <c r="D2509" s="42"/>
      <c r="E2509" s="42"/>
      <c r="F2509" s="51" t="n">
        <f aca="false">IF(OR(C2509="",D2509="",E2509="",E2509=0),0,C2509*D2509/E2509)</f>
        <v>0</v>
      </c>
      <c r="G2509" s="42"/>
      <c r="H2509" s="49" t="n">
        <f aca="true">IF(OR($A2509="",_xlfn.MINIFS($B$3:$B$5000,$A$3:$A$5000,$A2509,$B$3:$B$5000,"&gt;"&amp;$B2509)=0),NOW(),_xlfn.MINIFS($B$3:$B$5000,$A$3:$A$5000,$A2509,$B$3:$B$5000,"&gt;"&amp;$B2509))</f>
        <v>46279.5987644043</v>
      </c>
    </row>
    <row r="2510" customFormat="false" ht="15" hidden="false" customHeight="true" outlineLevel="0" collapsed="false">
      <c r="A2510" s="42"/>
      <c r="B2510" s="42"/>
      <c r="C2510" s="42"/>
      <c r="D2510" s="42"/>
      <c r="E2510" s="42"/>
      <c r="F2510" s="51" t="n">
        <f aca="false">IF(OR(C2510="",D2510="",E2510="",E2510=0),0,C2510*D2510/E2510)</f>
        <v>0</v>
      </c>
      <c r="G2510" s="42"/>
      <c r="H2510" s="49" t="n">
        <f aca="true">IF(OR($A2510="",_xlfn.MINIFS($B$3:$B$5000,$A$3:$A$5000,$A2510,$B$3:$B$5000,"&gt;"&amp;$B2510)=0),NOW(),_xlfn.MINIFS($B$3:$B$5000,$A$3:$A$5000,$A2510,$B$3:$B$5000,"&gt;"&amp;$B2510))</f>
        <v>46279.5987644044</v>
      </c>
    </row>
    <row r="2511" customFormat="false" ht="15" hidden="false" customHeight="true" outlineLevel="0" collapsed="false">
      <c r="A2511" s="42"/>
      <c r="B2511" s="42"/>
      <c r="C2511" s="42"/>
      <c r="D2511" s="42"/>
      <c r="E2511" s="42"/>
      <c r="F2511" s="51" t="n">
        <f aca="false">IF(OR(C2511="",D2511="",E2511="",E2511=0),0,C2511*D2511/E2511)</f>
        <v>0</v>
      </c>
      <c r="G2511" s="42"/>
      <c r="H2511" s="49" t="n">
        <f aca="true">IF(OR($A2511="",_xlfn.MINIFS($B$3:$B$5000,$A$3:$A$5000,$A2511,$B$3:$B$5000,"&gt;"&amp;$B2511)=0),NOW(),_xlfn.MINIFS($B$3:$B$5000,$A$3:$A$5000,$A2511,$B$3:$B$5000,"&gt;"&amp;$B2511))</f>
        <v>46279.5987644044</v>
      </c>
    </row>
    <row r="2512" customFormat="false" ht="15" hidden="false" customHeight="true" outlineLevel="0" collapsed="false">
      <c r="A2512" s="42"/>
      <c r="B2512" s="42"/>
      <c r="C2512" s="42"/>
      <c r="D2512" s="42"/>
      <c r="E2512" s="42"/>
      <c r="F2512" s="51" t="n">
        <f aca="false">IF(OR(C2512="",D2512="",E2512="",E2512=0),0,C2512*D2512/E2512)</f>
        <v>0</v>
      </c>
      <c r="G2512" s="42"/>
      <c r="H2512" s="49" t="n">
        <f aca="true">IF(OR($A2512="",_xlfn.MINIFS($B$3:$B$5000,$A$3:$A$5000,$A2512,$B$3:$B$5000,"&gt;"&amp;$B2512)=0),NOW(),_xlfn.MINIFS($B$3:$B$5000,$A$3:$A$5000,$A2512,$B$3:$B$5000,"&gt;"&amp;$B2512))</f>
        <v>46279.5987644045</v>
      </c>
    </row>
    <row r="2513" customFormat="false" ht="15" hidden="false" customHeight="true" outlineLevel="0" collapsed="false">
      <c r="A2513" s="42"/>
      <c r="B2513" s="42"/>
      <c r="C2513" s="42"/>
      <c r="D2513" s="42"/>
      <c r="E2513" s="42"/>
      <c r="F2513" s="51" t="n">
        <f aca="false">IF(OR(C2513="",D2513="",E2513="",E2513=0),0,C2513*D2513/E2513)</f>
        <v>0</v>
      </c>
      <c r="G2513" s="42"/>
      <c r="H2513" s="49" t="n">
        <f aca="true">IF(OR($A2513="",_xlfn.MINIFS($B$3:$B$5000,$A$3:$A$5000,$A2513,$B$3:$B$5000,"&gt;"&amp;$B2513)=0),NOW(),_xlfn.MINIFS($B$3:$B$5000,$A$3:$A$5000,$A2513,$B$3:$B$5000,"&gt;"&amp;$B2513))</f>
        <v>46279.5987644045</v>
      </c>
    </row>
    <row r="2514" customFormat="false" ht="15" hidden="false" customHeight="true" outlineLevel="0" collapsed="false">
      <c r="A2514" s="42"/>
      <c r="B2514" s="42"/>
      <c r="C2514" s="42"/>
      <c r="D2514" s="42"/>
      <c r="E2514" s="42"/>
      <c r="F2514" s="51" t="n">
        <f aca="false">IF(OR(C2514="",D2514="",E2514="",E2514=0),0,C2514*D2514/E2514)</f>
        <v>0</v>
      </c>
      <c r="G2514" s="42"/>
      <c r="H2514" s="49" t="n">
        <f aca="true">IF(OR($A2514="",_xlfn.MINIFS($B$3:$B$5000,$A$3:$A$5000,$A2514,$B$3:$B$5000,"&gt;"&amp;$B2514)=0),NOW(),_xlfn.MINIFS($B$3:$B$5000,$A$3:$A$5000,$A2514,$B$3:$B$5000,"&gt;"&amp;$B2514))</f>
        <v>46279.5987644046</v>
      </c>
    </row>
    <row r="2515" customFormat="false" ht="15" hidden="false" customHeight="true" outlineLevel="0" collapsed="false">
      <c r="A2515" s="42"/>
      <c r="B2515" s="42"/>
      <c r="C2515" s="42"/>
      <c r="D2515" s="42"/>
      <c r="E2515" s="42"/>
      <c r="F2515" s="51" t="n">
        <f aca="false">IF(OR(C2515="",D2515="",E2515="",E2515=0),0,C2515*D2515/E2515)</f>
        <v>0</v>
      </c>
      <c r="G2515" s="42"/>
      <c r="H2515" s="49" t="n">
        <f aca="true">IF(OR($A2515="",_xlfn.MINIFS($B$3:$B$5000,$A$3:$A$5000,$A2515,$B$3:$B$5000,"&gt;"&amp;$B2515)=0),NOW(),_xlfn.MINIFS($B$3:$B$5000,$A$3:$A$5000,$A2515,$B$3:$B$5000,"&gt;"&amp;$B2515))</f>
        <v>46279.5987644046</v>
      </c>
    </row>
    <row r="2516" customFormat="false" ht="15" hidden="false" customHeight="true" outlineLevel="0" collapsed="false">
      <c r="A2516" s="42"/>
      <c r="B2516" s="42"/>
      <c r="C2516" s="42"/>
      <c r="D2516" s="42"/>
      <c r="E2516" s="42"/>
      <c r="F2516" s="51" t="n">
        <f aca="false">IF(OR(C2516="",D2516="",E2516="",E2516=0),0,C2516*D2516/E2516)</f>
        <v>0</v>
      </c>
      <c r="G2516" s="42"/>
      <c r="H2516" s="49" t="n">
        <f aca="true">IF(OR($A2516="",_xlfn.MINIFS($B$3:$B$5000,$A$3:$A$5000,$A2516,$B$3:$B$5000,"&gt;"&amp;$B2516)=0),NOW(),_xlfn.MINIFS($B$3:$B$5000,$A$3:$A$5000,$A2516,$B$3:$B$5000,"&gt;"&amp;$B2516))</f>
        <v>46279.5987644047</v>
      </c>
    </row>
    <row r="2517" customFormat="false" ht="15" hidden="false" customHeight="true" outlineLevel="0" collapsed="false">
      <c r="A2517" s="42"/>
      <c r="B2517" s="42"/>
      <c r="C2517" s="42"/>
      <c r="D2517" s="42"/>
      <c r="E2517" s="42"/>
      <c r="F2517" s="51" t="n">
        <f aca="false">IF(OR(C2517="",D2517="",E2517="",E2517=0),0,C2517*D2517/E2517)</f>
        <v>0</v>
      </c>
      <c r="G2517" s="42"/>
      <c r="H2517" s="49" t="n">
        <f aca="true">IF(OR($A2517="",_xlfn.MINIFS($B$3:$B$5000,$A$3:$A$5000,$A2517,$B$3:$B$5000,"&gt;"&amp;$B2517)=0),NOW(),_xlfn.MINIFS($B$3:$B$5000,$A$3:$A$5000,$A2517,$B$3:$B$5000,"&gt;"&amp;$B2517))</f>
        <v>46279.5987644047</v>
      </c>
    </row>
    <row r="2518" customFormat="false" ht="15" hidden="false" customHeight="true" outlineLevel="0" collapsed="false">
      <c r="A2518" s="42"/>
      <c r="B2518" s="42"/>
      <c r="C2518" s="42"/>
      <c r="D2518" s="42"/>
      <c r="E2518" s="42"/>
      <c r="F2518" s="51" t="n">
        <f aca="false">IF(OR(C2518="",D2518="",E2518="",E2518=0),0,C2518*D2518/E2518)</f>
        <v>0</v>
      </c>
      <c r="G2518" s="42"/>
      <c r="H2518" s="49" t="n">
        <f aca="true">IF(OR($A2518="",_xlfn.MINIFS($B$3:$B$5000,$A$3:$A$5000,$A2518,$B$3:$B$5000,"&gt;"&amp;$B2518)=0),NOW(),_xlfn.MINIFS($B$3:$B$5000,$A$3:$A$5000,$A2518,$B$3:$B$5000,"&gt;"&amp;$B2518))</f>
        <v>46279.5987644048</v>
      </c>
    </row>
    <row r="2519" customFormat="false" ht="15" hidden="false" customHeight="true" outlineLevel="0" collapsed="false">
      <c r="A2519" s="42"/>
      <c r="B2519" s="42"/>
      <c r="C2519" s="42"/>
      <c r="D2519" s="42"/>
      <c r="E2519" s="42"/>
      <c r="F2519" s="51" t="n">
        <f aca="false">IF(OR(C2519="",D2519="",E2519="",E2519=0),0,C2519*D2519/E2519)</f>
        <v>0</v>
      </c>
      <c r="G2519" s="42"/>
      <c r="H2519" s="49" t="n">
        <f aca="true">IF(OR($A2519="",_xlfn.MINIFS($B$3:$B$5000,$A$3:$A$5000,$A2519,$B$3:$B$5000,"&gt;"&amp;$B2519)=0),NOW(),_xlfn.MINIFS($B$3:$B$5000,$A$3:$A$5000,$A2519,$B$3:$B$5000,"&gt;"&amp;$B2519))</f>
        <v>46279.5987644048</v>
      </c>
    </row>
    <row r="2520" customFormat="false" ht="15" hidden="false" customHeight="true" outlineLevel="0" collapsed="false">
      <c r="A2520" s="42"/>
      <c r="B2520" s="42"/>
      <c r="C2520" s="42"/>
      <c r="D2520" s="42"/>
      <c r="E2520" s="42"/>
      <c r="F2520" s="51" t="n">
        <f aca="false">IF(OR(C2520="",D2520="",E2520="",E2520=0),0,C2520*D2520/E2520)</f>
        <v>0</v>
      </c>
      <c r="G2520" s="42"/>
      <c r="H2520" s="49" t="n">
        <f aca="true">IF(OR($A2520="",_xlfn.MINIFS($B$3:$B$5000,$A$3:$A$5000,$A2520,$B$3:$B$5000,"&gt;"&amp;$B2520)=0),NOW(),_xlfn.MINIFS($B$3:$B$5000,$A$3:$A$5000,$A2520,$B$3:$B$5000,"&gt;"&amp;$B2520))</f>
        <v>46279.5987644049</v>
      </c>
    </row>
    <row r="2521" customFormat="false" ht="15" hidden="false" customHeight="true" outlineLevel="0" collapsed="false">
      <c r="A2521" s="42"/>
      <c r="B2521" s="42"/>
      <c r="C2521" s="42"/>
      <c r="D2521" s="42"/>
      <c r="E2521" s="42"/>
      <c r="F2521" s="51" t="n">
        <f aca="false">IF(OR(C2521="",D2521="",E2521="",E2521=0),0,C2521*D2521/E2521)</f>
        <v>0</v>
      </c>
      <c r="G2521" s="42"/>
      <c r="H2521" s="49" t="n">
        <f aca="true">IF(OR($A2521="",_xlfn.MINIFS($B$3:$B$5000,$A$3:$A$5000,$A2521,$B$3:$B$5000,"&gt;"&amp;$B2521)=0),NOW(),_xlfn.MINIFS($B$3:$B$5000,$A$3:$A$5000,$A2521,$B$3:$B$5000,"&gt;"&amp;$B2521))</f>
        <v>46279.5987644049</v>
      </c>
    </row>
    <row r="2522" customFormat="false" ht="15" hidden="false" customHeight="true" outlineLevel="0" collapsed="false">
      <c r="A2522" s="42"/>
      <c r="B2522" s="42"/>
      <c r="C2522" s="42"/>
      <c r="D2522" s="42"/>
      <c r="E2522" s="42"/>
      <c r="F2522" s="51" t="n">
        <f aca="false">IF(OR(C2522="",D2522="",E2522="",E2522=0),0,C2522*D2522/E2522)</f>
        <v>0</v>
      </c>
      <c r="G2522" s="42"/>
      <c r="H2522" s="49" t="n">
        <f aca="true">IF(OR($A2522="",_xlfn.MINIFS($B$3:$B$5000,$A$3:$A$5000,$A2522,$B$3:$B$5000,"&gt;"&amp;$B2522)=0),NOW(),_xlfn.MINIFS($B$3:$B$5000,$A$3:$A$5000,$A2522,$B$3:$B$5000,"&gt;"&amp;$B2522))</f>
        <v>46279.598764405</v>
      </c>
    </row>
    <row r="2523" customFormat="false" ht="15" hidden="false" customHeight="true" outlineLevel="0" collapsed="false">
      <c r="A2523" s="42"/>
      <c r="B2523" s="42"/>
      <c r="C2523" s="42"/>
      <c r="D2523" s="42"/>
      <c r="E2523" s="42"/>
      <c r="F2523" s="51" t="n">
        <f aca="false">IF(OR(C2523="",D2523="",E2523="",E2523=0),0,C2523*D2523/E2523)</f>
        <v>0</v>
      </c>
      <c r="G2523" s="42"/>
      <c r="H2523" s="49" t="n">
        <f aca="true">IF(OR($A2523="",_xlfn.MINIFS($B$3:$B$5000,$A$3:$A$5000,$A2523,$B$3:$B$5000,"&gt;"&amp;$B2523)=0),NOW(),_xlfn.MINIFS($B$3:$B$5000,$A$3:$A$5000,$A2523,$B$3:$B$5000,"&gt;"&amp;$B2523))</f>
        <v>46279.598764405</v>
      </c>
    </row>
    <row r="2524" customFormat="false" ht="15" hidden="false" customHeight="true" outlineLevel="0" collapsed="false">
      <c r="A2524" s="42"/>
      <c r="B2524" s="42"/>
      <c r="C2524" s="42"/>
      <c r="D2524" s="42"/>
      <c r="E2524" s="42"/>
      <c r="F2524" s="51" t="n">
        <f aca="false">IF(OR(C2524="",D2524="",E2524="",E2524=0),0,C2524*D2524/E2524)</f>
        <v>0</v>
      </c>
      <c r="G2524" s="42"/>
      <c r="H2524" s="49" t="n">
        <f aca="true">IF(OR($A2524="",_xlfn.MINIFS($B$3:$B$5000,$A$3:$A$5000,$A2524,$B$3:$B$5000,"&gt;"&amp;$B2524)=0),NOW(),_xlfn.MINIFS($B$3:$B$5000,$A$3:$A$5000,$A2524,$B$3:$B$5000,"&gt;"&amp;$B2524))</f>
        <v>46279.5987644051</v>
      </c>
    </row>
    <row r="2525" customFormat="false" ht="15" hidden="false" customHeight="true" outlineLevel="0" collapsed="false">
      <c r="A2525" s="42"/>
      <c r="B2525" s="42"/>
      <c r="C2525" s="42"/>
      <c r="D2525" s="42"/>
      <c r="E2525" s="42"/>
      <c r="F2525" s="51" t="n">
        <f aca="false">IF(OR(C2525="",D2525="",E2525="",E2525=0),0,C2525*D2525/E2525)</f>
        <v>0</v>
      </c>
      <c r="G2525" s="42"/>
      <c r="H2525" s="49" t="n">
        <f aca="true">IF(OR($A2525="",_xlfn.MINIFS($B$3:$B$5000,$A$3:$A$5000,$A2525,$B$3:$B$5000,"&gt;"&amp;$B2525)=0),NOW(),_xlfn.MINIFS($B$3:$B$5000,$A$3:$A$5000,$A2525,$B$3:$B$5000,"&gt;"&amp;$B2525))</f>
        <v>46279.5987644051</v>
      </c>
    </row>
    <row r="2526" customFormat="false" ht="15" hidden="false" customHeight="true" outlineLevel="0" collapsed="false">
      <c r="A2526" s="42"/>
      <c r="B2526" s="42"/>
      <c r="C2526" s="42"/>
      <c r="D2526" s="42"/>
      <c r="E2526" s="42"/>
      <c r="F2526" s="51" t="n">
        <f aca="false">IF(OR(C2526="",D2526="",E2526="",E2526=0),0,C2526*D2526/E2526)</f>
        <v>0</v>
      </c>
      <c r="G2526" s="42"/>
      <c r="H2526" s="49" t="n">
        <f aca="true">IF(OR($A2526="",_xlfn.MINIFS($B$3:$B$5000,$A$3:$A$5000,$A2526,$B$3:$B$5000,"&gt;"&amp;$B2526)=0),NOW(),_xlfn.MINIFS($B$3:$B$5000,$A$3:$A$5000,$A2526,$B$3:$B$5000,"&gt;"&amp;$B2526))</f>
        <v>46279.5987644052</v>
      </c>
    </row>
    <row r="2527" customFormat="false" ht="15" hidden="false" customHeight="true" outlineLevel="0" collapsed="false">
      <c r="A2527" s="42"/>
      <c r="B2527" s="42"/>
      <c r="C2527" s="42"/>
      <c r="D2527" s="42"/>
      <c r="E2527" s="42"/>
      <c r="F2527" s="51" t="n">
        <f aca="false">IF(OR(C2527="",D2527="",E2527="",E2527=0),0,C2527*D2527/E2527)</f>
        <v>0</v>
      </c>
      <c r="G2527" s="42"/>
      <c r="H2527" s="49" t="n">
        <f aca="true">IF(OR($A2527="",_xlfn.MINIFS($B$3:$B$5000,$A$3:$A$5000,$A2527,$B$3:$B$5000,"&gt;"&amp;$B2527)=0),NOW(),_xlfn.MINIFS($B$3:$B$5000,$A$3:$A$5000,$A2527,$B$3:$B$5000,"&gt;"&amp;$B2527))</f>
        <v>46279.5987644052</v>
      </c>
    </row>
    <row r="2528" customFormat="false" ht="15" hidden="false" customHeight="true" outlineLevel="0" collapsed="false">
      <c r="A2528" s="42"/>
      <c r="B2528" s="42"/>
      <c r="C2528" s="42"/>
      <c r="D2528" s="42"/>
      <c r="E2528" s="42"/>
      <c r="F2528" s="51" t="n">
        <f aca="false">IF(OR(C2528="",D2528="",E2528="",E2528=0),0,C2528*D2528/E2528)</f>
        <v>0</v>
      </c>
      <c r="G2528" s="42"/>
      <c r="H2528" s="49" t="n">
        <f aca="true">IF(OR($A2528="",_xlfn.MINIFS($B$3:$B$5000,$A$3:$A$5000,$A2528,$B$3:$B$5000,"&gt;"&amp;$B2528)=0),NOW(),_xlfn.MINIFS($B$3:$B$5000,$A$3:$A$5000,$A2528,$B$3:$B$5000,"&gt;"&amp;$B2528))</f>
        <v>46279.5987644053</v>
      </c>
    </row>
    <row r="2529" customFormat="false" ht="15" hidden="false" customHeight="true" outlineLevel="0" collapsed="false">
      <c r="A2529" s="42"/>
      <c r="B2529" s="42"/>
      <c r="C2529" s="42"/>
      <c r="D2529" s="42"/>
      <c r="E2529" s="42"/>
      <c r="F2529" s="51" t="n">
        <f aca="false">IF(OR(C2529="",D2529="",E2529="",E2529=0),0,C2529*D2529/E2529)</f>
        <v>0</v>
      </c>
      <c r="G2529" s="42"/>
      <c r="H2529" s="49" t="n">
        <f aca="true">IF(OR($A2529="",_xlfn.MINIFS($B$3:$B$5000,$A$3:$A$5000,$A2529,$B$3:$B$5000,"&gt;"&amp;$B2529)=0),NOW(),_xlfn.MINIFS($B$3:$B$5000,$A$3:$A$5000,$A2529,$B$3:$B$5000,"&gt;"&amp;$B2529))</f>
        <v>46279.5987644053</v>
      </c>
    </row>
    <row r="2530" customFormat="false" ht="15" hidden="false" customHeight="true" outlineLevel="0" collapsed="false">
      <c r="A2530" s="42"/>
      <c r="B2530" s="42"/>
      <c r="C2530" s="42"/>
      <c r="D2530" s="42"/>
      <c r="E2530" s="42"/>
      <c r="F2530" s="51" t="n">
        <f aca="false">IF(OR(C2530="",D2530="",E2530="",E2530=0),0,C2530*D2530/E2530)</f>
        <v>0</v>
      </c>
      <c r="G2530" s="42"/>
      <c r="H2530" s="49" t="n">
        <f aca="true">IF(OR($A2530="",_xlfn.MINIFS($B$3:$B$5000,$A$3:$A$5000,$A2530,$B$3:$B$5000,"&gt;"&amp;$B2530)=0),NOW(),_xlfn.MINIFS($B$3:$B$5000,$A$3:$A$5000,$A2530,$B$3:$B$5000,"&gt;"&amp;$B2530))</f>
        <v>46279.5987644054</v>
      </c>
    </row>
    <row r="2531" customFormat="false" ht="15" hidden="false" customHeight="true" outlineLevel="0" collapsed="false">
      <c r="A2531" s="42"/>
      <c r="B2531" s="42"/>
      <c r="C2531" s="42"/>
      <c r="D2531" s="42"/>
      <c r="E2531" s="42"/>
      <c r="F2531" s="51" t="n">
        <f aca="false">IF(OR(C2531="",D2531="",E2531="",E2531=0),0,C2531*D2531/E2531)</f>
        <v>0</v>
      </c>
      <c r="G2531" s="42"/>
      <c r="H2531" s="49" t="n">
        <f aca="true">IF(OR($A2531="",_xlfn.MINIFS($B$3:$B$5000,$A$3:$A$5000,$A2531,$B$3:$B$5000,"&gt;"&amp;$B2531)=0),NOW(),_xlfn.MINIFS($B$3:$B$5000,$A$3:$A$5000,$A2531,$B$3:$B$5000,"&gt;"&amp;$B2531))</f>
        <v>46279.5987644054</v>
      </c>
    </row>
    <row r="2532" customFormat="false" ht="15" hidden="false" customHeight="true" outlineLevel="0" collapsed="false">
      <c r="A2532" s="42"/>
      <c r="B2532" s="42"/>
      <c r="C2532" s="42"/>
      <c r="D2532" s="42"/>
      <c r="E2532" s="42"/>
      <c r="F2532" s="51" t="n">
        <f aca="false">IF(OR(C2532="",D2532="",E2532="",E2532=0),0,C2532*D2532/E2532)</f>
        <v>0</v>
      </c>
      <c r="G2532" s="42"/>
      <c r="H2532" s="49" t="n">
        <f aca="true">IF(OR($A2532="",_xlfn.MINIFS($B$3:$B$5000,$A$3:$A$5000,$A2532,$B$3:$B$5000,"&gt;"&amp;$B2532)=0),NOW(),_xlfn.MINIFS($B$3:$B$5000,$A$3:$A$5000,$A2532,$B$3:$B$5000,"&gt;"&amp;$B2532))</f>
        <v>46279.5987644055</v>
      </c>
    </row>
    <row r="2533" customFormat="false" ht="15" hidden="false" customHeight="true" outlineLevel="0" collapsed="false">
      <c r="A2533" s="42"/>
      <c r="B2533" s="42"/>
      <c r="C2533" s="42"/>
      <c r="D2533" s="42"/>
      <c r="E2533" s="42"/>
      <c r="F2533" s="51" t="n">
        <f aca="false">IF(OR(C2533="",D2533="",E2533="",E2533=0),0,C2533*D2533/E2533)</f>
        <v>0</v>
      </c>
      <c r="G2533" s="42"/>
      <c r="H2533" s="49" t="n">
        <f aca="true">IF(OR($A2533="",_xlfn.MINIFS($B$3:$B$5000,$A$3:$A$5000,$A2533,$B$3:$B$5000,"&gt;"&amp;$B2533)=0),NOW(),_xlfn.MINIFS($B$3:$B$5000,$A$3:$A$5000,$A2533,$B$3:$B$5000,"&gt;"&amp;$B2533))</f>
        <v>46279.5987644055</v>
      </c>
    </row>
    <row r="2534" customFormat="false" ht="15" hidden="false" customHeight="true" outlineLevel="0" collapsed="false">
      <c r="A2534" s="42"/>
      <c r="B2534" s="42"/>
      <c r="C2534" s="42"/>
      <c r="D2534" s="42"/>
      <c r="E2534" s="42"/>
      <c r="F2534" s="51" t="n">
        <f aca="false">IF(OR(C2534="",D2534="",E2534="",E2534=0),0,C2534*D2534/E2534)</f>
        <v>0</v>
      </c>
      <c r="G2534" s="42"/>
      <c r="H2534" s="49" t="n">
        <f aca="true">IF(OR($A2534="",_xlfn.MINIFS($B$3:$B$5000,$A$3:$A$5000,$A2534,$B$3:$B$5000,"&gt;"&amp;$B2534)=0),NOW(),_xlfn.MINIFS($B$3:$B$5000,$A$3:$A$5000,$A2534,$B$3:$B$5000,"&gt;"&amp;$B2534))</f>
        <v>46279.5987644056</v>
      </c>
    </row>
    <row r="2535" customFormat="false" ht="15" hidden="false" customHeight="true" outlineLevel="0" collapsed="false">
      <c r="A2535" s="42"/>
      <c r="B2535" s="42"/>
      <c r="C2535" s="42"/>
      <c r="D2535" s="42"/>
      <c r="E2535" s="42"/>
      <c r="F2535" s="51" t="n">
        <f aca="false">IF(OR(C2535="",D2535="",E2535="",E2535=0),0,C2535*D2535/E2535)</f>
        <v>0</v>
      </c>
      <c r="G2535" s="42"/>
      <c r="H2535" s="49" t="n">
        <f aca="true">IF(OR($A2535="",_xlfn.MINIFS($B$3:$B$5000,$A$3:$A$5000,$A2535,$B$3:$B$5000,"&gt;"&amp;$B2535)=0),NOW(),_xlfn.MINIFS($B$3:$B$5000,$A$3:$A$5000,$A2535,$B$3:$B$5000,"&gt;"&amp;$B2535))</f>
        <v>46279.5987644056</v>
      </c>
    </row>
    <row r="2536" customFormat="false" ht="15" hidden="false" customHeight="true" outlineLevel="0" collapsed="false">
      <c r="A2536" s="42"/>
      <c r="B2536" s="42"/>
      <c r="C2536" s="42"/>
      <c r="D2536" s="42"/>
      <c r="E2536" s="42"/>
      <c r="F2536" s="51" t="n">
        <f aca="false">IF(OR(C2536="",D2536="",E2536="",E2536=0),0,C2536*D2536/E2536)</f>
        <v>0</v>
      </c>
      <c r="G2536" s="42"/>
      <c r="H2536" s="49" t="n">
        <f aca="true">IF(OR($A2536="",_xlfn.MINIFS($B$3:$B$5000,$A$3:$A$5000,$A2536,$B$3:$B$5000,"&gt;"&amp;$B2536)=0),NOW(),_xlfn.MINIFS($B$3:$B$5000,$A$3:$A$5000,$A2536,$B$3:$B$5000,"&gt;"&amp;$B2536))</f>
        <v>46279.5987644057</v>
      </c>
    </row>
    <row r="2537" customFormat="false" ht="15" hidden="false" customHeight="true" outlineLevel="0" collapsed="false">
      <c r="A2537" s="42"/>
      <c r="B2537" s="42"/>
      <c r="C2537" s="42"/>
      <c r="D2537" s="42"/>
      <c r="E2537" s="42"/>
      <c r="F2537" s="51" t="n">
        <f aca="false">IF(OR(C2537="",D2537="",E2537="",E2537=0),0,C2537*D2537/E2537)</f>
        <v>0</v>
      </c>
      <c r="G2537" s="42"/>
      <c r="H2537" s="49" t="n">
        <f aca="true">IF(OR($A2537="",_xlfn.MINIFS($B$3:$B$5000,$A$3:$A$5000,$A2537,$B$3:$B$5000,"&gt;"&amp;$B2537)=0),NOW(),_xlfn.MINIFS($B$3:$B$5000,$A$3:$A$5000,$A2537,$B$3:$B$5000,"&gt;"&amp;$B2537))</f>
        <v>46279.5987644057</v>
      </c>
    </row>
    <row r="2538" customFormat="false" ht="15" hidden="false" customHeight="true" outlineLevel="0" collapsed="false">
      <c r="A2538" s="42"/>
      <c r="B2538" s="42"/>
      <c r="C2538" s="42"/>
      <c r="D2538" s="42"/>
      <c r="E2538" s="42"/>
      <c r="F2538" s="51" t="n">
        <f aca="false">IF(OR(C2538="",D2538="",E2538="",E2538=0),0,C2538*D2538/E2538)</f>
        <v>0</v>
      </c>
      <c r="G2538" s="42"/>
      <c r="H2538" s="49" t="n">
        <f aca="true">IF(OR($A2538="",_xlfn.MINIFS($B$3:$B$5000,$A$3:$A$5000,$A2538,$B$3:$B$5000,"&gt;"&amp;$B2538)=0),NOW(),_xlfn.MINIFS($B$3:$B$5000,$A$3:$A$5000,$A2538,$B$3:$B$5000,"&gt;"&amp;$B2538))</f>
        <v>46279.5987644058</v>
      </c>
    </row>
    <row r="2539" customFormat="false" ht="15" hidden="false" customHeight="true" outlineLevel="0" collapsed="false">
      <c r="A2539" s="42"/>
      <c r="B2539" s="42"/>
      <c r="C2539" s="42"/>
      <c r="D2539" s="42"/>
      <c r="E2539" s="42"/>
      <c r="F2539" s="51" t="n">
        <f aca="false">IF(OR(C2539="",D2539="",E2539="",E2539=0),0,C2539*D2539/E2539)</f>
        <v>0</v>
      </c>
      <c r="G2539" s="42"/>
      <c r="H2539" s="49" t="n">
        <f aca="true">IF(OR($A2539="",_xlfn.MINIFS($B$3:$B$5000,$A$3:$A$5000,$A2539,$B$3:$B$5000,"&gt;"&amp;$B2539)=0),NOW(),_xlfn.MINIFS($B$3:$B$5000,$A$3:$A$5000,$A2539,$B$3:$B$5000,"&gt;"&amp;$B2539))</f>
        <v>46279.5987644059</v>
      </c>
    </row>
    <row r="2540" customFormat="false" ht="15" hidden="false" customHeight="true" outlineLevel="0" collapsed="false">
      <c r="A2540" s="42"/>
      <c r="B2540" s="42"/>
      <c r="C2540" s="42"/>
      <c r="D2540" s="42"/>
      <c r="E2540" s="42"/>
      <c r="F2540" s="51" t="n">
        <f aca="false">IF(OR(C2540="",D2540="",E2540="",E2540=0),0,C2540*D2540/E2540)</f>
        <v>0</v>
      </c>
      <c r="G2540" s="42"/>
      <c r="H2540" s="49" t="n">
        <f aca="true">IF(OR($A2540="",_xlfn.MINIFS($B$3:$B$5000,$A$3:$A$5000,$A2540,$B$3:$B$5000,"&gt;"&amp;$B2540)=0),NOW(),_xlfn.MINIFS($B$3:$B$5000,$A$3:$A$5000,$A2540,$B$3:$B$5000,"&gt;"&amp;$B2540))</f>
        <v>46279.5987644059</v>
      </c>
    </row>
    <row r="2541" customFormat="false" ht="15" hidden="false" customHeight="true" outlineLevel="0" collapsed="false">
      <c r="A2541" s="42"/>
      <c r="B2541" s="42"/>
      <c r="C2541" s="42"/>
      <c r="D2541" s="42"/>
      <c r="E2541" s="42"/>
      <c r="F2541" s="51" t="n">
        <f aca="false">IF(OR(C2541="",D2541="",E2541="",E2541=0),0,C2541*D2541/E2541)</f>
        <v>0</v>
      </c>
      <c r="G2541" s="42"/>
      <c r="H2541" s="49" t="n">
        <f aca="true">IF(OR($A2541="",_xlfn.MINIFS($B$3:$B$5000,$A$3:$A$5000,$A2541,$B$3:$B$5000,"&gt;"&amp;$B2541)=0),NOW(),_xlfn.MINIFS($B$3:$B$5000,$A$3:$A$5000,$A2541,$B$3:$B$5000,"&gt;"&amp;$B2541))</f>
        <v>46279.5987644059</v>
      </c>
    </row>
    <row r="2542" customFormat="false" ht="15" hidden="false" customHeight="true" outlineLevel="0" collapsed="false">
      <c r="A2542" s="42"/>
      <c r="B2542" s="42"/>
      <c r="C2542" s="42"/>
      <c r="D2542" s="42"/>
      <c r="E2542" s="42"/>
      <c r="F2542" s="51" t="n">
        <f aca="false">IF(OR(C2542="",D2542="",E2542="",E2542=0),0,C2542*D2542/E2542)</f>
        <v>0</v>
      </c>
      <c r="G2542" s="42"/>
      <c r="H2542" s="49" t="n">
        <f aca="true">IF(OR($A2542="",_xlfn.MINIFS($B$3:$B$5000,$A$3:$A$5000,$A2542,$B$3:$B$5000,"&gt;"&amp;$B2542)=0),NOW(),_xlfn.MINIFS($B$3:$B$5000,$A$3:$A$5000,$A2542,$B$3:$B$5000,"&gt;"&amp;$B2542))</f>
        <v>46279.598764406</v>
      </c>
    </row>
    <row r="2543" customFormat="false" ht="15" hidden="false" customHeight="true" outlineLevel="0" collapsed="false">
      <c r="A2543" s="42"/>
      <c r="B2543" s="42"/>
      <c r="C2543" s="42"/>
      <c r="D2543" s="42"/>
      <c r="E2543" s="42"/>
      <c r="F2543" s="51" t="n">
        <f aca="false">IF(OR(C2543="",D2543="",E2543="",E2543=0),0,C2543*D2543/E2543)</f>
        <v>0</v>
      </c>
      <c r="G2543" s="42"/>
      <c r="H2543" s="49" t="n">
        <f aca="true">IF(OR($A2543="",_xlfn.MINIFS($B$3:$B$5000,$A$3:$A$5000,$A2543,$B$3:$B$5000,"&gt;"&amp;$B2543)=0),NOW(),_xlfn.MINIFS($B$3:$B$5000,$A$3:$A$5000,$A2543,$B$3:$B$5000,"&gt;"&amp;$B2543))</f>
        <v>46279.598764406</v>
      </c>
    </row>
    <row r="2544" customFormat="false" ht="15" hidden="false" customHeight="true" outlineLevel="0" collapsed="false">
      <c r="A2544" s="42"/>
      <c r="B2544" s="42"/>
      <c r="C2544" s="42"/>
      <c r="D2544" s="42"/>
      <c r="E2544" s="42"/>
      <c r="F2544" s="51" t="n">
        <f aca="false">IF(OR(C2544="",D2544="",E2544="",E2544=0),0,C2544*D2544/E2544)</f>
        <v>0</v>
      </c>
      <c r="G2544" s="42"/>
      <c r="H2544" s="49" t="n">
        <f aca="true">IF(OR($A2544="",_xlfn.MINIFS($B$3:$B$5000,$A$3:$A$5000,$A2544,$B$3:$B$5000,"&gt;"&amp;$B2544)=0),NOW(),_xlfn.MINIFS($B$3:$B$5000,$A$3:$A$5000,$A2544,$B$3:$B$5000,"&gt;"&amp;$B2544))</f>
        <v>46279.5987644061</v>
      </c>
    </row>
    <row r="2545" customFormat="false" ht="15" hidden="false" customHeight="true" outlineLevel="0" collapsed="false">
      <c r="A2545" s="42"/>
      <c r="B2545" s="42"/>
      <c r="C2545" s="42"/>
      <c r="D2545" s="42"/>
      <c r="E2545" s="42"/>
      <c r="F2545" s="51" t="n">
        <f aca="false">IF(OR(C2545="",D2545="",E2545="",E2545=0),0,C2545*D2545/E2545)</f>
        <v>0</v>
      </c>
      <c r="G2545" s="42"/>
      <c r="H2545" s="49" t="n">
        <f aca="true">IF(OR($A2545="",_xlfn.MINIFS($B$3:$B$5000,$A$3:$A$5000,$A2545,$B$3:$B$5000,"&gt;"&amp;$B2545)=0),NOW(),_xlfn.MINIFS($B$3:$B$5000,$A$3:$A$5000,$A2545,$B$3:$B$5000,"&gt;"&amp;$B2545))</f>
        <v>46279.5987644061</v>
      </c>
    </row>
    <row r="2546" customFormat="false" ht="15" hidden="false" customHeight="true" outlineLevel="0" collapsed="false">
      <c r="A2546" s="42"/>
      <c r="B2546" s="42"/>
      <c r="C2546" s="42"/>
      <c r="D2546" s="42"/>
      <c r="E2546" s="42"/>
      <c r="F2546" s="51" t="n">
        <f aca="false">IF(OR(C2546="",D2546="",E2546="",E2546=0),0,C2546*D2546/E2546)</f>
        <v>0</v>
      </c>
      <c r="G2546" s="42"/>
      <c r="H2546" s="49" t="n">
        <f aca="true">IF(OR($A2546="",_xlfn.MINIFS($B$3:$B$5000,$A$3:$A$5000,$A2546,$B$3:$B$5000,"&gt;"&amp;$B2546)=0),NOW(),_xlfn.MINIFS($B$3:$B$5000,$A$3:$A$5000,$A2546,$B$3:$B$5000,"&gt;"&amp;$B2546))</f>
        <v>46279.5987644063</v>
      </c>
    </row>
    <row r="2547" customFormat="false" ht="15" hidden="false" customHeight="true" outlineLevel="0" collapsed="false">
      <c r="A2547" s="42"/>
      <c r="B2547" s="42"/>
      <c r="C2547" s="42"/>
      <c r="D2547" s="42"/>
      <c r="E2547" s="42"/>
      <c r="F2547" s="51" t="n">
        <f aca="false">IF(OR(C2547="",D2547="",E2547="",E2547=0),0,C2547*D2547/E2547)</f>
        <v>0</v>
      </c>
      <c r="G2547" s="42"/>
      <c r="H2547" s="49" t="n">
        <f aca="true">IF(OR($A2547="",_xlfn.MINIFS($B$3:$B$5000,$A$3:$A$5000,$A2547,$B$3:$B$5000,"&gt;"&amp;$B2547)=0),NOW(),_xlfn.MINIFS($B$3:$B$5000,$A$3:$A$5000,$A2547,$B$3:$B$5000,"&gt;"&amp;$B2547))</f>
        <v>46279.5987644063</v>
      </c>
    </row>
    <row r="2548" customFormat="false" ht="15" hidden="false" customHeight="true" outlineLevel="0" collapsed="false">
      <c r="A2548" s="42"/>
      <c r="B2548" s="42"/>
      <c r="C2548" s="42"/>
      <c r="D2548" s="42"/>
      <c r="E2548" s="42"/>
      <c r="F2548" s="51" t="n">
        <f aca="false">IF(OR(C2548="",D2548="",E2548="",E2548=0),0,C2548*D2548/E2548)</f>
        <v>0</v>
      </c>
      <c r="G2548" s="42"/>
      <c r="H2548" s="49" t="n">
        <f aca="true">IF(OR($A2548="",_xlfn.MINIFS($B$3:$B$5000,$A$3:$A$5000,$A2548,$B$3:$B$5000,"&gt;"&amp;$B2548)=0),NOW(),_xlfn.MINIFS($B$3:$B$5000,$A$3:$A$5000,$A2548,$B$3:$B$5000,"&gt;"&amp;$B2548))</f>
        <v>46279.5987644064</v>
      </c>
    </row>
    <row r="2549" customFormat="false" ht="15" hidden="false" customHeight="true" outlineLevel="0" collapsed="false">
      <c r="A2549" s="42"/>
      <c r="B2549" s="42"/>
      <c r="C2549" s="42"/>
      <c r="D2549" s="42"/>
      <c r="E2549" s="42"/>
      <c r="F2549" s="51" t="n">
        <f aca="false">IF(OR(C2549="",D2549="",E2549="",E2549=0),0,C2549*D2549/E2549)</f>
        <v>0</v>
      </c>
      <c r="G2549" s="42"/>
      <c r="H2549" s="49" t="n">
        <f aca="true">IF(OR($A2549="",_xlfn.MINIFS($B$3:$B$5000,$A$3:$A$5000,$A2549,$B$3:$B$5000,"&gt;"&amp;$B2549)=0),NOW(),_xlfn.MINIFS($B$3:$B$5000,$A$3:$A$5000,$A2549,$B$3:$B$5000,"&gt;"&amp;$B2549))</f>
        <v>46279.5987644064</v>
      </c>
    </row>
    <row r="2550" customFormat="false" ht="15" hidden="false" customHeight="true" outlineLevel="0" collapsed="false">
      <c r="A2550" s="42"/>
      <c r="B2550" s="42"/>
      <c r="C2550" s="42"/>
      <c r="D2550" s="42"/>
      <c r="E2550" s="42"/>
      <c r="F2550" s="51" t="n">
        <f aca="false">IF(OR(C2550="",D2550="",E2550="",E2550=0),0,C2550*D2550/E2550)</f>
        <v>0</v>
      </c>
      <c r="G2550" s="42"/>
      <c r="H2550" s="49" t="n">
        <f aca="true">IF(OR($A2550="",_xlfn.MINIFS($B$3:$B$5000,$A$3:$A$5000,$A2550,$B$3:$B$5000,"&gt;"&amp;$B2550)=0),NOW(),_xlfn.MINIFS($B$3:$B$5000,$A$3:$A$5000,$A2550,$B$3:$B$5000,"&gt;"&amp;$B2550))</f>
        <v>46279.5987644065</v>
      </c>
    </row>
    <row r="2551" customFormat="false" ht="15" hidden="false" customHeight="true" outlineLevel="0" collapsed="false">
      <c r="A2551" s="42"/>
      <c r="B2551" s="42"/>
      <c r="C2551" s="42"/>
      <c r="D2551" s="42"/>
      <c r="E2551" s="42"/>
      <c r="F2551" s="51" t="n">
        <f aca="false">IF(OR(C2551="",D2551="",E2551="",E2551=0),0,C2551*D2551/E2551)</f>
        <v>0</v>
      </c>
      <c r="G2551" s="42"/>
      <c r="H2551" s="49" t="n">
        <f aca="true">IF(OR($A2551="",_xlfn.MINIFS($B$3:$B$5000,$A$3:$A$5000,$A2551,$B$3:$B$5000,"&gt;"&amp;$B2551)=0),NOW(),_xlfn.MINIFS($B$3:$B$5000,$A$3:$A$5000,$A2551,$B$3:$B$5000,"&gt;"&amp;$B2551))</f>
        <v>46279.5987644065</v>
      </c>
    </row>
    <row r="2552" customFormat="false" ht="15" hidden="false" customHeight="true" outlineLevel="0" collapsed="false">
      <c r="A2552" s="42"/>
      <c r="B2552" s="42"/>
      <c r="C2552" s="42"/>
      <c r="D2552" s="42"/>
      <c r="E2552" s="42"/>
      <c r="F2552" s="51" t="n">
        <f aca="false">IF(OR(C2552="",D2552="",E2552="",E2552=0),0,C2552*D2552/E2552)</f>
        <v>0</v>
      </c>
      <c r="G2552" s="42"/>
      <c r="H2552" s="49" t="n">
        <f aca="true">IF(OR($A2552="",_xlfn.MINIFS($B$3:$B$5000,$A$3:$A$5000,$A2552,$B$3:$B$5000,"&gt;"&amp;$B2552)=0),NOW(),_xlfn.MINIFS($B$3:$B$5000,$A$3:$A$5000,$A2552,$B$3:$B$5000,"&gt;"&amp;$B2552))</f>
        <v>46279.5987644066</v>
      </c>
    </row>
    <row r="2553" customFormat="false" ht="15" hidden="false" customHeight="true" outlineLevel="0" collapsed="false">
      <c r="A2553" s="42"/>
      <c r="B2553" s="42"/>
      <c r="C2553" s="42"/>
      <c r="D2553" s="42"/>
      <c r="E2553" s="42"/>
      <c r="F2553" s="51" t="n">
        <f aca="false">IF(OR(C2553="",D2553="",E2553="",E2553=0),0,C2553*D2553/E2553)</f>
        <v>0</v>
      </c>
      <c r="G2553" s="42"/>
      <c r="H2553" s="49" t="n">
        <f aca="true">IF(OR($A2553="",_xlfn.MINIFS($B$3:$B$5000,$A$3:$A$5000,$A2553,$B$3:$B$5000,"&gt;"&amp;$B2553)=0),NOW(),_xlfn.MINIFS($B$3:$B$5000,$A$3:$A$5000,$A2553,$B$3:$B$5000,"&gt;"&amp;$B2553))</f>
        <v>46279.5987644066</v>
      </c>
    </row>
    <row r="2554" customFormat="false" ht="15" hidden="false" customHeight="true" outlineLevel="0" collapsed="false">
      <c r="A2554" s="42"/>
      <c r="B2554" s="42"/>
      <c r="C2554" s="42"/>
      <c r="D2554" s="42"/>
      <c r="E2554" s="42"/>
      <c r="F2554" s="51" t="n">
        <f aca="false">IF(OR(C2554="",D2554="",E2554="",E2554=0),0,C2554*D2554/E2554)</f>
        <v>0</v>
      </c>
      <c r="G2554" s="42"/>
      <c r="H2554" s="49" t="n">
        <f aca="true">IF(OR($A2554="",_xlfn.MINIFS($B$3:$B$5000,$A$3:$A$5000,$A2554,$B$3:$B$5000,"&gt;"&amp;$B2554)=0),NOW(),_xlfn.MINIFS($B$3:$B$5000,$A$3:$A$5000,$A2554,$B$3:$B$5000,"&gt;"&amp;$B2554))</f>
        <v>46279.5987644067</v>
      </c>
    </row>
    <row r="2555" customFormat="false" ht="15" hidden="false" customHeight="true" outlineLevel="0" collapsed="false">
      <c r="A2555" s="42"/>
      <c r="B2555" s="42"/>
      <c r="C2555" s="42"/>
      <c r="D2555" s="42"/>
      <c r="E2555" s="42"/>
      <c r="F2555" s="51" t="n">
        <f aca="false">IF(OR(C2555="",D2555="",E2555="",E2555=0),0,C2555*D2555/E2555)</f>
        <v>0</v>
      </c>
      <c r="G2555" s="42"/>
      <c r="H2555" s="49" t="n">
        <f aca="true">IF(OR($A2555="",_xlfn.MINIFS($B$3:$B$5000,$A$3:$A$5000,$A2555,$B$3:$B$5000,"&gt;"&amp;$B2555)=0),NOW(),_xlfn.MINIFS($B$3:$B$5000,$A$3:$A$5000,$A2555,$B$3:$B$5000,"&gt;"&amp;$B2555))</f>
        <v>46279.5987644067</v>
      </c>
    </row>
    <row r="2556" customFormat="false" ht="15" hidden="false" customHeight="true" outlineLevel="0" collapsed="false">
      <c r="A2556" s="42"/>
      <c r="B2556" s="42"/>
      <c r="C2556" s="42"/>
      <c r="D2556" s="42"/>
      <c r="E2556" s="42"/>
      <c r="F2556" s="51" t="n">
        <f aca="false">IF(OR(C2556="",D2556="",E2556="",E2556=0),0,C2556*D2556/E2556)</f>
        <v>0</v>
      </c>
      <c r="G2556" s="42"/>
      <c r="H2556" s="49" t="n">
        <f aca="true">IF(OR($A2556="",_xlfn.MINIFS($B$3:$B$5000,$A$3:$A$5000,$A2556,$B$3:$B$5000,"&gt;"&amp;$B2556)=0),NOW(),_xlfn.MINIFS($B$3:$B$5000,$A$3:$A$5000,$A2556,$B$3:$B$5000,"&gt;"&amp;$B2556))</f>
        <v>46279.5987644068</v>
      </c>
    </row>
    <row r="2557" customFormat="false" ht="15" hidden="false" customHeight="true" outlineLevel="0" collapsed="false">
      <c r="A2557" s="42"/>
      <c r="B2557" s="42"/>
      <c r="C2557" s="42"/>
      <c r="D2557" s="42"/>
      <c r="E2557" s="42"/>
      <c r="F2557" s="51" t="n">
        <f aca="false">IF(OR(C2557="",D2557="",E2557="",E2557=0),0,C2557*D2557/E2557)</f>
        <v>0</v>
      </c>
      <c r="G2557" s="42"/>
      <c r="H2557" s="49" t="n">
        <f aca="true">IF(OR($A2557="",_xlfn.MINIFS($B$3:$B$5000,$A$3:$A$5000,$A2557,$B$3:$B$5000,"&gt;"&amp;$B2557)=0),NOW(),_xlfn.MINIFS($B$3:$B$5000,$A$3:$A$5000,$A2557,$B$3:$B$5000,"&gt;"&amp;$B2557))</f>
        <v>46279.5987644068</v>
      </c>
    </row>
    <row r="2558" customFormat="false" ht="15" hidden="false" customHeight="true" outlineLevel="0" collapsed="false">
      <c r="A2558" s="42"/>
      <c r="B2558" s="42"/>
      <c r="C2558" s="42"/>
      <c r="D2558" s="42"/>
      <c r="E2558" s="42"/>
      <c r="F2558" s="51" t="n">
        <f aca="false">IF(OR(C2558="",D2558="",E2558="",E2558=0),0,C2558*D2558/E2558)</f>
        <v>0</v>
      </c>
      <c r="G2558" s="42"/>
      <c r="H2558" s="49" t="n">
        <f aca="true">IF(OR($A2558="",_xlfn.MINIFS($B$3:$B$5000,$A$3:$A$5000,$A2558,$B$3:$B$5000,"&gt;"&amp;$B2558)=0),NOW(),_xlfn.MINIFS($B$3:$B$5000,$A$3:$A$5000,$A2558,$B$3:$B$5000,"&gt;"&amp;$B2558))</f>
        <v>46279.5987644069</v>
      </c>
    </row>
    <row r="2559" customFormat="false" ht="15" hidden="false" customHeight="true" outlineLevel="0" collapsed="false">
      <c r="A2559" s="42"/>
      <c r="B2559" s="42"/>
      <c r="C2559" s="42"/>
      <c r="D2559" s="42"/>
      <c r="E2559" s="42"/>
      <c r="F2559" s="51" t="n">
        <f aca="false">IF(OR(C2559="",D2559="",E2559="",E2559=0),0,C2559*D2559/E2559)</f>
        <v>0</v>
      </c>
      <c r="G2559" s="42"/>
      <c r="H2559" s="49" t="n">
        <f aca="true">IF(OR($A2559="",_xlfn.MINIFS($B$3:$B$5000,$A$3:$A$5000,$A2559,$B$3:$B$5000,"&gt;"&amp;$B2559)=0),NOW(),_xlfn.MINIFS($B$3:$B$5000,$A$3:$A$5000,$A2559,$B$3:$B$5000,"&gt;"&amp;$B2559))</f>
        <v>46279.5987644069</v>
      </c>
    </row>
    <row r="2560" customFormat="false" ht="15" hidden="false" customHeight="true" outlineLevel="0" collapsed="false">
      <c r="A2560" s="42"/>
      <c r="B2560" s="42"/>
      <c r="C2560" s="42"/>
      <c r="D2560" s="42"/>
      <c r="E2560" s="42"/>
      <c r="F2560" s="51" t="n">
        <f aca="false">IF(OR(C2560="",D2560="",E2560="",E2560=0),0,C2560*D2560/E2560)</f>
        <v>0</v>
      </c>
      <c r="G2560" s="42"/>
      <c r="H2560" s="49" t="n">
        <f aca="true">IF(OR($A2560="",_xlfn.MINIFS($B$3:$B$5000,$A$3:$A$5000,$A2560,$B$3:$B$5000,"&gt;"&amp;$B2560)=0),NOW(),_xlfn.MINIFS($B$3:$B$5000,$A$3:$A$5000,$A2560,$B$3:$B$5000,"&gt;"&amp;$B2560))</f>
        <v>46279.598764407</v>
      </c>
    </row>
    <row r="2561" customFormat="false" ht="15" hidden="false" customHeight="true" outlineLevel="0" collapsed="false">
      <c r="A2561" s="42"/>
      <c r="B2561" s="42"/>
      <c r="C2561" s="42"/>
      <c r="D2561" s="42"/>
      <c r="E2561" s="42"/>
      <c r="F2561" s="51" t="n">
        <f aca="false">IF(OR(C2561="",D2561="",E2561="",E2561=0),0,C2561*D2561/E2561)</f>
        <v>0</v>
      </c>
      <c r="G2561" s="42"/>
      <c r="H2561" s="49" t="n">
        <f aca="true">IF(OR($A2561="",_xlfn.MINIFS($B$3:$B$5000,$A$3:$A$5000,$A2561,$B$3:$B$5000,"&gt;"&amp;$B2561)=0),NOW(),_xlfn.MINIFS($B$3:$B$5000,$A$3:$A$5000,$A2561,$B$3:$B$5000,"&gt;"&amp;$B2561))</f>
        <v>46279.598764407</v>
      </c>
    </row>
    <row r="2562" customFormat="false" ht="15" hidden="false" customHeight="true" outlineLevel="0" collapsed="false">
      <c r="A2562" s="42"/>
      <c r="B2562" s="42"/>
      <c r="C2562" s="42"/>
      <c r="D2562" s="42"/>
      <c r="E2562" s="42"/>
      <c r="F2562" s="51" t="n">
        <f aca="false">IF(OR(C2562="",D2562="",E2562="",E2562=0),0,C2562*D2562/E2562)</f>
        <v>0</v>
      </c>
      <c r="G2562" s="42"/>
      <c r="H2562" s="49" t="n">
        <f aca="true">IF(OR($A2562="",_xlfn.MINIFS($B$3:$B$5000,$A$3:$A$5000,$A2562,$B$3:$B$5000,"&gt;"&amp;$B2562)=0),NOW(),_xlfn.MINIFS($B$3:$B$5000,$A$3:$A$5000,$A2562,$B$3:$B$5000,"&gt;"&amp;$B2562))</f>
        <v>46279.5987644071</v>
      </c>
    </row>
    <row r="2563" customFormat="false" ht="15" hidden="false" customHeight="true" outlineLevel="0" collapsed="false">
      <c r="A2563" s="42"/>
      <c r="B2563" s="42"/>
      <c r="C2563" s="42"/>
      <c r="D2563" s="42"/>
      <c r="E2563" s="42"/>
      <c r="F2563" s="51" t="n">
        <f aca="false">IF(OR(C2563="",D2563="",E2563="",E2563=0),0,C2563*D2563/E2563)</f>
        <v>0</v>
      </c>
      <c r="G2563" s="42"/>
      <c r="H2563" s="49" t="n">
        <f aca="true">IF(OR($A2563="",_xlfn.MINIFS($B$3:$B$5000,$A$3:$A$5000,$A2563,$B$3:$B$5000,"&gt;"&amp;$B2563)=0),NOW(),_xlfn.MINIFS($B$3:$B$5000,$A$3:$A$5000,$A2563,$B$3:$B$5000,"&gt;"&amp;$B2563))</f>
        <v>46279.5987644071</v>
      </c>
    </row>
    <row r="2564" customFormat="false" ht="15" hidden="false" customHeight="true" outlineLevel="0" collapsed="false">
      <c r="A2564" s="42"/>
      <c r="B2564" s="42"/>
      <c r="C2564" s="42"/>
      <c r="D2564" s="42"/>
      <c r="E2564" s="42"/>
      <c r="F2564" s="51" t="n">
        <f aca="false">IF(OR(C2564="",D2564="",E2564="",E2564=0),0,C2564*D2564/E2564)</f>
        <v>0</v>
      </c>
      <c r="G2564" s="42"/>
      <c r="H2564" s="49" t="n">
        <f aca="true">IF(OR($A2564="",_xlfn.MINIFS($B$3:$B$5000,$A$3:$A$5000,$A2564,$B$3:$B$5000,"&gt;"&amp;$B2564)=0),NOW(),_xlfn.MINIFS($B$3:$B$5000,$A$3:$A$5000,$A2564,$B$3:$B$5000,"&gt;"&amp;$B2564))</f>
        <v>46279.5987644072</v>
      </c>
    </row>
    <row r="2565" customFormat="false" ht="15" hidden="false" customHeight="true" outlineLevel="0" collapsed="false">
      <c r="A2565" s="42"/>
      <c r="B2565" s="42"/>
      <c r="C2565" s="42"/>
      <c r="D2565" s="42"/>
      <c r="E2565" s="42"/>
      <c r="F2565" s="51" t="n">
        <f aca="false">IF(OR(C2565="",D2565="",E2565="",E2565=0),0,C2565*D2565/E2565)</f>
        <v>0</v>
      </c>
      <c r="G2565" s="42"/>
      <c r="H2565" s="49" t="n">
        <f aca="true">IF(OR($A2565="",_xlfn.MINIFS($B$3:$B$5000,$A$3:$A$5000,$A2565,$B$3:$B$5000,"&gt;"&amp;$B2565)=0),NOW(),_xlfn.MINIFS($B$3:$B$5000,$A$3:$A$5000,$A2565,$B$3:$B$5000,"&gt;"&amp;$B2565))</f>
        <v>46279.5987644072</v>
      </c>
    </row>
    <row r="2566" customFormat="false" ht="15" hidden="false" customHeight="true" outlineLevel="0" collapsed="false">
      <c r="A2566" s="42"/>
      <c r="B2566" s="42"/>
      <c r="C2566" s="42"/>
      <c r="D2566" s="42"/>
      <c r="E2566" s="42"/>
      <c r="F2566" s="51" t="n">
        <f aca="false">IF(OR(C2566="",D2566="",E2566="",E2566=0),0,C2566*D2566/E2566)</f>
        <v>0</v>
      </c>
      <c r="G2566" s="42"/>
      <c r="H2566" s="49" t="n">
        <f aca="true">IF(OR($A2566="",_xlfn.MINIFS($B$3:$B$5000,$A$3:$A$5000,$A2566,$B$3:$B$5000,"&gt;"&amp;$B2566)=0),NOW(),_xlfn.MINIFS($B$3:$B$5000,$A$3:$A$5000,$A2566,$B$3:$B$5000,"&gt;"&amp;$B2566))</f>
        <v>46279.5987644073</v>
      </c>
    </row>
    <row r="2567" customFormat="false" ht="15" hidden="false" customHeight="true" outlineLevel="0" collapsed="false">
      <c r="A2567" s="42"/>
      <c r="B2567" s="42"/>
      <c r="C2567" s="42"/>
      <c r="D2567" s="42"/>
      <c r="E2567" s="42"/>
      <c r="F2567" s="51" t="n">
        <f aca="false">IF(OR(C2567="",D2567="",E2567="",E2567=0),0,C2567*D2567/E2567)</f>
        <v>0</v>
      </c>
      <c r="G2567" s="42"/>
      <c r="H2567" s="49" t="n">
        <f aca="true">IF(OR($A2567="",_xlfn.MINIFS($B$3:$B$5000,$A$3:$A$5000,$A2567,$B$3:$B$5000,"&gt;"&amp;$B2567)=0),NOW(),_xlfn.MINIFS($B$3:$B$5000,$A$3:$A$5000,$A2567,$B$3:$B$5000,"&gt;"&amp;$B2567))</f>
        <v>46279.5987644073</v>
      </c>
    </row>
    <row r="2568" customFormat="false" ht="15" hidden="false" customHeight="true" outlineLevel="0" collapsed="false">
      <c r="A2568" s="42"/>
      <c r="B2568" s="42"/>
      <c r="C2568" s="42"/>
      <c r="D2568" s="42"/>
      <c r="E2568" s="42"/>
      <c r="F2568" s="51" t="n">
        <f aca="false">IF(OR(C2568="",D2568="",E2568="",E2568=0),0,C2568*D2568/E2568)</f>
        <v>0</v>
      </c>
      <c r="G2568" s="42"/>
      <c r="H2568" s="49" t="n">
        <f aca="true">IF(OR($A2568="",_xlfn.MINIFS($B$3:$B$5000,$A$3:$A$5000,$A2568,$B$3:$B$5000,"&gt;"&amp;$B2568)=0),NOW(),_xlfn.MINIFS($B$3:$B$5000,$A$3:$A$5000,$A2568,$B$3:$B$5000,"&gt;"&amp;$B2568))</f>
        <v>46279.5987644074</v>
      </c>
    </row>
    <row r="2569" customFormat="false" ht="15" hidden="false" customHeight="true" outlineLevel="0" collapsed="false">
      <c r="A2569" s="42"/>
      <c r="B2569" s="42"/>
      <c r="C2569" s="42"/>
      <c r="D2569" s="42"/>
      <c r="E2569" s="42"/>
      <c r="F2569" s="51" t="n">
        <f aca="false">IF(OR(C2569="",D2569="",E2569="",E2569=0),0,C2569*D2569/E2569)</f>
        <v>0</v>
      </c>
      <c r="G2569" s="42"/>
      <c r="H2569" s="49" t="n">
        <f aca="true">IF(OR($A2569="",_xlfn.MINIFS($B$3:$B$5000,$A$3:$A$5000,$A2569,$B$3:$B$5000,"&gt;"&amp;$B2569)=0),NOW(),_xlfn.MINIFS($B$3:$B$5000,$A$3:$A$5000,$A2569,$B$3:$B$5000,"&gt;"&amp;$B2569))</f>
        <v>46279.5987644074</v>
      </c>
    </row>
    <row r="2570" customFormat="false" ht="15" hidden="false" customHeight="true" outlineLevel="0" collapsed="false">
      <c r="A2570" s="42"/>
      <c r="B2570" s="42"/>
      <c r="C2570" s="42"/>
      <c r="D2570" s="42"/>
      <c r="E2570" s="42"/>
      <c r="F2570" s="51" t="n">
        <f aca="false">IF(OR(C2570="",D2570="",E2570="",E2570=0),0,C2570*D2570/E2570)</f>
        <v>0</v>
      </c>
      <c r="G2570" s="42"/>
      <c r="H2570" s="49" t="n">
        <f aca="true">IF(OR($A2570="",_xlfn.MINIFS($B$3:$B$5000,$A$3:$A$5000,$A2570,$B$3:$B$5000,"&gt;"&amp;$B2570)=0),NOW(),_xlfn.MINIFS($B$3:$B$5000,$A$3:$A$5000,$A2570,$B$3:$B$5000,"&gt;"&amp;$B2570))</f>
        <v>46279.5987644075</v>
      </c>
    </row>
    <row r="2571" customFormat="false" ht="15" hidden="false" customHeight="true" outlineLevel="0" collapsed="false">
      <c r="A2571" s="42"/>
      <c r="B2571" s="42"/>
      <c r="C2571" s="42"/>
      <c r="D2571" s="42"/>
      <c r="E2571" s="42"/>
      <c r="F2571" s="51" t="n">
        <f aca="false">IF(OR(C2571="",D2571="",E2571="",E2571=0),0,C2571*D2571/E2571)</f>
        <v>0</v>
      </c>
      <c r="G2571" s="42"/>
      <c r="H2571" s="49" t="n">
        <f aca="true">IF(OR($A2571="",_xlfn.MINIFS($B$3:$B$5000,$A$3:$A$5000,$A2571,$B$3:$B$5000,"&gt;"&amp;$B2571)=0),NOW(),_xlfn.MINIFS($B$3:$B$5000,$A$3:$A$5000,$A2571,$B$3:$B$5000,"&gt;"&amp;$B2571))</f>
        <v>46279.5987644075</v>
      </c>
    </row>
    <row r="2572" customFormat="false" ht="15" hidden="false" customHeight="true" outlineLevel="0" collapsed="false">
      <c r="A2572" s="42"/>
      <c r="B2572" s="42"/>
      <c r="C2572" s="42"/>
      <c r="D2572" s="42"/>
      <c r="E2572" s="42"/>
      <c r="F2572" s="51" t="n">
        <f aca="false">IF(OR(C2572="",D2572="",E2572="",E2572=0),0,C2572*D2572/E2572)</f>
        <v>0</v>
      </c>
      <c r="G2572" s="42"/>
      <c r="H2572" s="49" t="n">
        <f aca="true">IF(OR($A2572="",_xlfn.MINIFS($B$3:$B$5000,$A$3:$A$5000,$A2572,$B$3:$B$5000,"&gt;"&amp;$B2572)=0),NOW(),_xlfn.MINIFS($B$3:$B$5000,$A$3:$A$5000,$A2572,$B$3:$B$5000,"&gt;"&amp;$B2572))</f>
        <v>46279.5987644076</v>
      </c>
    </row>
    <row r="2573" customFormat="false" ht="15" hidden="false" customHeight="true" outlineLevel="0" collapsed="false">
      <c r="A2573" s="42"/>
      <c r="B2573" s="42"/>
      <c r="C2573" s="42"/>
      <c r="D2573" s="42"/>
      <c r="E2573" s="42"/>
      <c r="F2573" s="51" t="n">
        <f aca="false">IF(OR(C2573="",D2573="",E2573="",E2573=0),0,C2573*D2573/E2573)</f>
        <v>0</v>
      </c>
      <c r="G2573" s="42"/>
      <c r="H2573" s="49" t="n">
        <f aca="true">IF(OR($A2573="",_xlfn.MINIFS($B$3:$B$5000,$A$3:$A$5000,$A2573,$B$3:$B$5000,"&gt;"&amp;$B2573)=0),NOW(),_xlfn.MINIFS($B$3:$B$5000,$A$3:$A$5000,$A2573,$B$3:$B$5000,"&gt;"&amp;$B2573))</f>
        <v>46279.5987644076</v>
      </c>
    </row>
    <row r="2574" customFormat="false" ht="15" hidden="false" customHeight="true" outlineLevel="0" collapsed="false">
      <c r="A2574" s="42"/>
      <c r="B2574" s="42"/>
      <c r="C2574" s="42"/>
      <c r="D2574" s="42"/>
      <c r="E2574" s="42"/>
      <c r="F2574" s="51" t="n">
        <f aca="false">IF(OR(C2574="",D2574="",E2574="",E2574=0),0,C2574*D2574/E2574)</f>
        <v>0</v>
      </c>
      <c r="G2574" s="42"/>
      <c r="H2574" s="49" t="n">
        <f aca="true">IF(OR($A2574="",_xlfn.MINIFS($B$3:$B$5000,$A$3:$A$5000,$A2574,$B$3:$B$5000,"&gt;"&amp;$B2574)=0),NOW(),_xlfn.MINIFS($B$3:$B$5000,$A$3:$A$5000,$A2574,$B$3:$B$5000,"&gt;"&amp;$B2574))</f>
        <v>46279.5987644076</v>
      </c>
    </row>
    <row r="2575" customFormat="false" ht="15" hidden="false" customHeight="true" outlineLevel="0" collapsed="false">
      <c r="A2575" s="42"/>
      <c r="B2575" s="42"/>
      <c r="C2575" s="42"/>
      <c r="D2575" s="42"/>
      <c r="E2575" s="42"/>
      <c r="F2575" s="51" t="n">
        <f aca="false">IF(OR(C2575="",D2575="",E2575="",E2575=0),0,C2575*D2575/E2575)</f>
        <v>0</v>
      </c>
      <c r="G2575" s="42"/>
      <c r="H2575" s="49" t="n">
        <f aca="true">IF(OR($A2575="",_xlfn.MINIFS($B$3:$B$5000,$A$3:$A$5000,$A2575,$B$3:$B$5000,"&gt;"&amp;$B2575)=0),NOW(),_xlfn.MINIFS($B$3:$B$5000,$A$3:$A$5000,$A2575,$B$3:$B$5000,"&gt;"&amp;$B2575))</f>
        <v>46279.5987644077</v>
      </c>
    </row>
    <row r="2576" customFormat="false" ht="15" hidden="false" customHeight="true" outlineLevel="0" collapsed="false">
      <c r="A2576" s="42"/>
      <c r="B2576" s="42"/>
      <c r="C2576" s="42"/>
      <c r="D2576" s="42"/>
      <c r="E2576" s="42"/>
      <c r="F2576" s="51" t="n">
        <f aca="false">IF(OR(C2576="",D2576="",E2576="",E2576=0),0,C2576*D2576/E2576)</f>
        <v>0</v>
      </c>
      <c r="G2576" s="42"/>
      <c r="H2576" s="49" t="n">
        <f aca="true">IF(OR($A2576="",_xlfn.MINIFS($B$3:$B$5000,$A$3:$A$5000,$A2576,$B$3:$B$5000,"&gt;"&amp;$B2576)=0),NOW(),_xlfn.MINIFS($B$3:$B$5000,$A$3:$A$5000,$A2576,$B$3:$B$5000,"&gt;"&amp;$B2576))</f>
        <v>46279.5987644078</v>
      </c>
    </row>
    <row r="2577" customFormat="false" ht="15" hidden="false" customHeight="true" outlineLevel="0" collapsed="false">
      <c r="A2577" s="42"/>
      <c r="B2577" s="42"/>
      <c r="C2577" s="42"/>
      <c r="D2577" s="42"/>
      <c r="E2577" s="42"/>
      <c r="F2577" s="51" t="n">
        <f aca="false">IF(OR(C2577="",D2577="",E2577="",E2577=0),0,C2577*D2577/E2577)</f>
        <v>0</v>
      </c>
      <c r="G2577" s="42"/>
      <c r="H2577" s="49" t="n">
        <f aca="true">IF(OR($A2577="",_xlfn.MINIFS($B$3:$B$5000,$A$3:$A$5000,$A2577,$B$3:$B$5000,"&gt;"&amp;$B2577)=0),NOW(),_xlfn.MINIFS($B$3:$B$5000,$A$3:$A$5000,$A2577,$B$3:$B$5000,"&gt;"&amp;$B2577))</f>
        <v>46279.598764408</v>
      </c>
    </row>
    <row r="2578" customFormat="false" ht="15" hidden="false" customHeight="true" outlineLevel="0" collapsed="false">
      <c r="A2578" s="42"/>
      <c r="B2578" s="42"/>
      <c r="C2578" s="42"/>
      <c r="D2578" s="42"/>
      <c r="E2578" s="42"/>
      <c r="F2578" s="51" t="n">
        <f aca="false">IF(OR(C2578="",D2578="",E2578="",E2578=0),0,C2578*D2578/E2578)</f>
        <v>0</v>
      </c>
      <c r="G2578" s="42"/>
      <c r="H2578" s="49" t="n">
        <f aca="true">IF(OR($A2578="",_xlfn.MINIFS($B$3:$B$5000,$A$3:$A$5000,$A2578,$B$3:$B$5000,"&gt;"&amp;$B2578)=0),NOW(),_xlfn.MINIFS($B$3:$B$5000,$A$3:$A$5000,$A2578,$B$3:$B$5000,"&gt;"&amp;$B2578))</f>
        <v>46279.5987644081</v>
      </c>
    </row>
    <row r="2579" customFormat="false" ht="15" hidden="false" customHeight="true" outlineLevel="0" collapsed="false">
      <c r="A2579" s="42"/>
      <c r="B2579" s="42"/>
      <c r="C2579" s="42"/>
      <c r="D2579" s="42"/>
      <c r="E2579" s="42"/>
      <c r="F2579" s="51" t="n">
        <f aca="false">IF(OR(C2579="",D2579="",E2579="",E2579=0),0,C2579*D2579/E2579)</f>
        <v>0</v>
      </c>
      <c r="G2579" s="42"/>
      <c r="H2579" s="49" t="n">
        <f aca="true">IF(OR($A2579="",_xlfn.MINIFS($B$3:$B$5000,$A$3:$A$5000,$A2579,$B$3:$B$5000,"&gt;"&amp;$B2579)=0),NOW(),_xlfn.MINIFS($B$3:$B$5000,$A$3:$A$5000,$A2579,$B$3:$B$5000,"&gt;"&amp;$B2579))</f>
        <v>46279.5987644081</v>
      </c>
    </row>
    <row r="2580" customFormat="false" ht="15" hidden="false" customHeight="true" outlineLevel="0" collapsed="false">
      <c r="A2580" s="42"/>
      <c r="B2580" s="42"/>
      <c r="C2580" s="42"/>
      <c r="D2580" s="42"/>
      <c r="E2580" s="42"/>
      <c r="F2580" s="51" t="n">
        <f aca="false">IF(OR(C2580="",D2580="",E2580="",E2580=0),0,C2580*D2580/E2580)</f>
        <v>0</v>
      </c>
      <c r="G2580" s="42"/>
      <c r="H2580" s="49" t="n">
        <f aca="true">IF(OR($A2580="",_xlfn.MINIFS($B$3:$B$5000,$A$3:$A$5000,$A2580,$B$3:$B$5000,"&gt;"&amp;$B2580)=0),NOW(),_xlfn.MINIFS($B$3:$B$5000,$A$3:$A$5000,$A2580,$B$3:$B$5000,"&gt;"&amp;$B2580))</f>
        <v>46279.5987644082</v>
      </c>
    </row>
    <row r="2581" customFormat="false" ht="15" hidden="false" customHeight="true" outlineLevel="0" collapsed="false">
      <c r="A2581" s="42"/>
      <c r="B2581" s="42"/>
      <c r="C2581" s="42"/>
      <c r="D2581" s="42"/>
      <c r="E2581" s="42"/>
      <c r="F2581" s="51" t="n">
        <f aca="false">IF(OR(C2581="",D2581="",E2581="",E2581=0),0,C2581*D2581/E2581)</f>
        <v>0</v>
      </c>
      <c r="G2581" s="42"/>
      <c r="H2581" s="49" t="n">
        <f aca="true">IF(OR($A2581="",_xlfn.MINIFS($B$3:$B$5000,$A$3:$A$5000,$A2581,$B$3:$B$5000,"&gt;"&amp;$B2581)=0),NOW(),_xlfn.MINIFS($B$3:$B$5000,$A$3:$A$5000,$A2581,$B$3:$B$5000,"&gt;"&amp;$B2581))</f>
        <v>46279.5987644082</v>
      </c>
    </row>
    <row r="2582" customFormat="false" ht="15" hidden="false" customHeight="true" outlineLevel="0" collapsed="false">
      <c r="A2582" s="42"/>
      <c r="B2582" s="42"/>
      <c r="C2582" s="42"/>
      <c r="D2582" s="42"/>
      <c r="E2582" s="42"/>
      <c r="F2582" s="51" t="n">
        <f aca="false">IF(OR(C2582="",D2582="",E2582="",E2582=0),0,C2582*D2582/E2582)</f>
        <v>0</v>
      </c>
      <c r="G2582" s="42"/>
      <c r="H2582" s="49" t="n">
        <f aca="true">IF(OR($A2582="",_xlfn.MINIFS($B$3:$B$5000,$A$3:$A$5000,$A2582,$B$3:$B$5000,"&gt;"&amp;$B2582)=0),NOW(),_xlfn.MINIFS($B$3:$B$5000,$A$3:$A$5000,$A2582,$B$3:$B$5000,"&gt;"&amp;$B2582))</f>
        <v>46279.5987644083</v>
      </c>
    </row>
    <row r="2583" customFormat="false" ht="15" hidden="false" customHeight="true" outlineLevel="0" collapsed="false">
      <c r="A2583" s="42"/>
      <c r="B2583" s="42"/>
      <c r="C2583" s="42"/>
      <c r="D2583" s="42"/>
      <c r="E2583" s="42"/>
      <c r="F2583" s="51" t="n">
        <f aca="false">IF(OR(C2583="",D2583="",E2583="",E2583=0),0,C2583*D2583/E2583)</f>
        <v>0</v>
      </c>
      <c r="G2583" s="42"/>
      <c r="H2583" s="49" t="n">
        <f aca="true">IF(OR($A2583="",_xlfn.MINIFS($B$3:$B$5000,$A$3:$A$5000,$A2583,$B$3:$B$5000,"&gt;"&amp;$B2583)=0),NOW(),_xlfn.MINIFS($B$3:$B$5000,$A$3:$A$5000,$A2583,$B$3:$B$5000,"&gt;"&amp;$B2583))</f>
        <v>46279.5987644083</v>
      </c>
    </row>
    <row r="2584" customFormat="false" ht="15" hidden="false" customHeight="true" outlineLevel="0" collapsed="false">
      <c r="A2584" s="42"/>
      <c r="B2584" s="42"/>
      <c r="C2584" s="42"/>
      <c r="D2584" s="42"/>
      <c r="E2584" s="42"/>
      <c r="F2584" s="51" t="n">
        <f aca="false">IF(OR(C2584="",D2584="",E2584="",E2584=0),0,C2584*D2584/E2584)</f>
        <v>0</v>
      </c>
      <c r="G2584" s="42"/>
      <c r="H2584" s="49" t="n">
        <f aca="true">IF(OR($A2584="",_xlfn.MINIFS($B$3:$B$5000,$A$3:$A$5000,$A2584,$B$3:$B$5000,"&gt;"&amp;$B2584)=0),NOW(),_xlfn.MINIFS($B$3:$B$5000,$A$3:$A$5000,$A2584,$B$3:$B$5000,"&gt;"&amp;$B2584))</f>
        <v>46279.5987644084</v>
      </c>
    </row>
    <row r="2585" customFormat="false" ht="15" hidden="false" customHeight="true" outlineLevel="0" collapsed="false">
      <c r="A2585" s="42"/>
      <c r="B2585" s="42"/>
      <c r="C2585" s="42"/>
      <c r="D2585" s="42"/>
      <c r="E2585" s="42"/>
      <c r="F2585" s="51" t="n">
        <f aca="false">IF(OR(C2585="",D2585="",E2585="",E2585=0),0,C2585*D2585/E2585)</f>
        <v>0</v>
      </c>
      <c r="G2585" s="42"/>
      <c r="H2585" s="49" t="n">
        <f aca="true">IF(OR($A2585="",_xlfn.MINIFS($B$3:$B$5000,$A$3:$A$5000,$A2585,$B$3:$B$5000,"&gt;"&amp;$B2585)=0),NOW(),_xlfn.MINIFS($B$3:$B$5000,$A$3:$A$5000,$A2585,$B$3:$B$5000,"&gt;"&amp;$B2585))</f>
        <v>46279.5987644084</v>
      </c>
    </row>
    <row r="2586" customFormat="false" ht="15" hidden="false" customHeight="true" outlineLevel="0" collapsed="false">
      <c r="A2586" s="42"/>
      <c r="B2586" s="42"/>
      <c r="C2586" s="42"/>
      <c r="D2586" s="42"/>
      <c r="E2586" s="42"/>
      <c r="F2586" s="51" t="n">
        <f aca="false">IF(OR(C2586="",D2586="",E2586="",E2586=0),0,C2586*D2586/E2586)</f>
        <v>0</v>
      </c>
      <c r="G2586" s="42"/>
      <c r="H2586" s="49" t="n">
        <f aca="true">IF(OR($A2586="",_xlfn.MINIFS($B$3:$B$5000,$A$3:$A$5000,$A2586,$B$3:$B$5000,"&gt;"&amp;$B2586)=0),NOW(),_xlfn.MINIFS($B$3:$B$5000,$A$3:$A$5000,$A2586,$B$3:$B$5000,"&gt;"&amp;$B2586))</f>
        <v>46279.5987644085</v>
      </c>
    </row>
    <row r="2587" customFormat="false" ht="15" hidden="false" customHeight="true" outlineLevel="0" collapsed="false">
      <c r="A2587" s="42"/>
      <c r="B2587" s="42"/>
      <c r="C2587" s="42"/>
      <c r="D2587" s="42"/>
      <c r="E2587" s="42"/>
      <c r="F2587" s="51" t="n">
        <f aca="false">IF(OR(C2587="",D2587="",E2587="",E2587=0),0,C2587*D2587/E2587)</f>
        <v>0</v>
      </c>
      <c r="G2587" s="42"/>
      <c r="H2587" s="49" t="n">
        <f aca="true">IF(OR($A2587="",_xlfn.MINIFS($B$3:$B$5000,$A$3:$A$5000,$A2587,$B$3:$B$5000,"&gt;"&amp;$B2587)=0),NOW(),_xlfn.MINIFS($B$3:$B$5000,$A$3:$A$5000,$A2587,$B$3:$B$5000,"&gt;"&amp;$B2587))</f>
        <v>46279.5987644085</v>
      </c>
    </row>
    <row r="2588" customFormat="false" ht="15" hidden="false" customHeight="true" outlineLevel="0" collapsed="false">
      <c r="A2588" s="42"/>
      <c r="B2588" s="42"/>
      <c r="C2588" s="42"/>
      <c r="D2588" s="42"/>
      <c r="E2588" s="42"/>
      <c r="F2588" s="51" t="n">
        <f aca="false">IF(OR(C2588="",D2588="",E2588="",E2588=0),0,C2588*D2588/E2588)</f>
        <v>0</v>
      </c>
      <c r="G2588" s="42"/>
      <c r="H2588" s="49" t="n">
        <f aca="true">IF(OR($A2588="",_xlfn.MINIFS($B$3:$B$5000,$A$3:$A$5000,$A2588,$B$3:$B$5000,"&gt;"&amp;$B2588)=0),NOW(),_xlfn.MINIFS($B$3:$B$5000,$A$3:$A$5000,$A2588,$B$3:$B$5000,"&gt;"&amp;$B2588))</f>
        <v>46279.5987644086</v>
      </c>
    </row>
    <row r="2589" customFormat="false" ht="15" hidden="false" customHeight="true" outlineLevel="0" collapsed="false">
      <c r="A2589" s="42"/>
      <c r="B2589" s="42"/>
      <c r="C2589" s="42"/>
      <c r="D2589" s="42"/>
      <c r="E2589" s="42"/>
      <c r="F2589" s="51" t="n">
        <f aca="false">IF(OR(C2589="",D2589="",E2589="",E2589=0),0,C2589*D2589/E2589)</f>
        <v>0</v>
      </c>
      <c r="G2589" s="42"/>
      <c r="H2589" s="49" t="n">
        <f aca="true">IF(OR($A2589="",_xlfn.MINIFS($B$3:$B$5000,$A$3:$A$5000,$A2589,$B$3:$B$5000,"&gt;"&amp;$B2589)=0),NOW(),_xlfn.MINIFS($B$3:$B$5000,$A$3:$A$5000,$A2589,$B$3:$B$5000,"&gt;"&amp;$B2589))</f>
        <v>46279.5987644086</v>
      </c>
    </row>
    <row r="2590" customFormat="false" ht="15" hidden="false" customHeight="true" outlineLevel="0" collapsed="false">
      <c r="A2590" s="42"/>
      <c r="B2590" s="42"/>
      <c r="C2590" s="42"/>
      <c r="D2590" s="42"/>
      <c r="E2590" s="42"/>
      <c r="F2590" s="51" t="n">
        <f aca="false">IF(OR(C2590="",D2590="",E2590="",E2590=0),0,C2590*D2590/E2590)</f>
        <v>0</v>
      </c>
      <c r="G2590" s="42"/>
      <c r="H2590" s="49" t="n">
        <f aca="true">IF(OR($A2590="",_xlfn.MINIFS($B$3:$B$5000,$A$3:$A$5000,$A2590,$B$3:$B$5000,"&gt;"&amp;$B2590)=0),NOW(),_xlfn.MINIFS($B$3:$B$5000,$A$3:$A$5000,$A2590,$B$3:$B$5000,"&gt;"&amp;$B2590))</f>
        <v>46279.5987644087</v>
      </c>
    </row>
    <row r="2591" customFormat="false" ht="15" hidden="false" customHeight="true" outlineLevel="0" collapsed="false">
      <c r="A2591" s="42"/>
      <c r="B2591" s="42"/>
      <c r="C2591" s="42"/>
      <c r="D2591" s="42"/>
      <c r="E2591" s="42"/>
      <c r="F2591" s="51" t="n">
        <f aca="false">IF(OR(C2591="",D2591="",E2591="",E2591=0),0,C2591*D2591/E2591)</f>
        <v>0</v>
      </c>
      <c r="G2591" s="42"/>
      <c r="H2591" s="49" t="n">
        <f aca="true">IF(OR($A2591="",_xlfn.MINIFS($B$3:$B$5000,$A$3:$A$5000,$A2591,$B$3:$B$5000,"&gt;"&amp;$B2591)=0),NOW(),_xlfn.MINIFS($B$3:$B$5000,$A$3:$A$5000,$A2591,$B$3:$B$5000,"&gt;"&amp;$B2591))</f>
        <v>46279.5987644087</v>
      </c>
    </row>
    <row r="2592" customFormat="false" ht="15" hidden="false" customHeight="true" outlineLevel="0" collapsed="false">
      <c r="A2592" s="42"/>
      <c r="B2592" s="42"/>
      <c r="C2592" s="42"/>
      <c r="D2592" s="42"/>
      <c r="E2592" s="42"/>
      <c r="F2592" s="51" t="n">
        <f aca="false">IF(OR(C2592="",D2592="",E2592="",E2592=0),0,C2592*D2592/E2592)</f>
        <v>0</v>
      </c>
      <c r="G2592" s="42"/>
      <c r="H2592" s="49" t="n">
        <f aca="true">IF(OR($A2592="",_xlfn.MINIFS($B$3:$B$5000,$A$3:$A$5000,$A2592,$B$3:$B$5000,"&gt;"&amp;$B2592)=0),NOW(),_xlfn.MINIFS($B$3:$B$5000,$A$3:$A$5000,$A2592,$B$3:$B$5000,"&gt;"&amp;$B2592))</f>
        <v>46279.5987644088</v>
      </c>
    </row>
    <row r="2593" customFormat="false" ht="15" hidden="false" customHeight="true" outlineLevel="0" collapsed="false">
      <c r="A2593" s="42"/>
      <c r="B2593" s="42"/>
      <c r="C2593" s="42"/>
      <c r="D2593" s="42"/>
      <c r="E2593" s="42"/>
      <c r="F2593" s="51" t="n">
        <f aca="false">IF(OR(C2593="",D2593="",E2593="",E2593=0),0,C2593*D2593/E2593)</f>
        <v>0</v>
      </c>
      <c r="G2593" s="42"/>
      <c r="H2593" s="49" t="n">
        <f aca="true">IF(OR($A2593="",_xlfn.MINIFS($B$3:$B$5000,$A$3:$A$5000,$A2593,$B$3:$B$5000,"&gt;"&amp;$B2593)=0),NOW(),_xlfn.MINIFS($B$3:$B$5000,$A$3:$A$5000,$A2593,$B$3:$B$5000,"&gt;"&amp;$B2593))</f>
        <v>46279.5987644088</v>
      </c>
    </row>
    <row r="2594" customFormat="false" ht="15" hidden="false" customHeight="true" outlineLevel="0" collapsed="false">
      <c r="A2594" s="42"/>
      <c r="B2594" s="42"/>
      <c r="C2594" s="42"/>
      <c r="D2594" s="42"/>
      <c r="E2594" s="42"/>
      <c r="F2594" s="51" t="n">
        <f aca="false">IF(OR(C2594="",D2594="",E2594="",E2594=0),0,C2594*D2594/E2594)</f>
        <v>0</v>
      </c>
      <c r="G2594" s="42"/>
      <c r="H2594" s="49" t="n">
        <f aca="true">IF(OR($A2594="",_xlfn.MINIFS($B$3:$B$5000,$A$3:$A$5000,$A2594,$B$3:$B$5000,"&gt;"&amp;$B2594)=0),NOW(),_xlfn.MINIFS($B$3:$B$5000,$A$3:$A$5000,$A2594,$B$3:$B$5000,"&gt;"&amp;$B2594))</f>
        <v>46279.5987644089</v>
      </c>
    </row>
    <row r="2595" customFormat="false" ht="15" hidden="false" customHeight="true" outlineLevel="0" collapsed="false">
      <c r="A2595" s="42"/>
      <c r="B2595" s="42"/>
      <c r="C2595" s="42"/>
      <c r="D2595" s="42"/>
      <c r="E2595" s="42"/>
      <c r="F2595" s="51" t="n">
        <f aca="false">IF(OR(C2595="",D2595="",E2595="",E2595=0),0,C2595*D2595/E2595)</f>
        <v>0</v>
      </c>
      <c r="G2595" s="42"/>
      <c r="H2595" s="49" t="n">
        <f aca="true">IF(OR($A2595="",_xlfn.MINIFS($B$3:$B$5000,$A$3:$A$5000,$A2595,$B$3:$B$5000,"&gt;"&amp;$B2595)=0),NOW(),_xlfn.MINIFS($B$3:$B$5000,$A$3:$A$5000,$A2595,$B$3:$B$5000,"&gt;"&amp;$B2595))</f>
        <v>46279.5987644089</v>
      </c>
    </row>
    <row r="2596" customFormat="false" ht="15" hidden="false" customHeight="true" outlineLevel="0" collapsed="false">
      <c r="A2596" s="42"/>
      <c r="B2596" s="42"/>
      <c r="C2596" s="42"/>
      <c r="D2596" s="42"/>
      <c r="E2596" s="42"/>
      <c r="F2596" s="51" t="n">
        <f aca="false">IF(OR(C2596="",D2596="",E2596="",E2596=0),0,C2596*D2596/E2596)</f>
        <v>0</v>
      </c>
      <c r="G2596" s="42"/>
      <c r="H2596" s="49" t="n">
        <f aca="true">IF(OR($A2596="",_xlfn.MINIFS($B$3:$B$5000,$A$3:$A$5000,$A2596,$B$3:$B$5000,"&gt;"&amp;$B2596)=0),NOW(),_xlfn.MINIFS($B$3:$B$5000,$A$3:$A$5000,$A2596,$B$3:$B$5000,"&gt;"&amp;$B2596))</f>
        <v>46279.598764409</v>
      </c>
    </row>
    <row r="2597" customFormat="false" ht="15" hidden="false" customHeight="true" outlineLevel="0" collapsed="false">
      <c r="A2597" s="42"/>
      <c r="B2597" s="42"/>
      <c r="C2597" s="42"/>
      <c r="D2597" s="42"/>
      <c r="E2597" s="42"/>
      <c r="F2597" s="51" t="n">
        <f aca="false">IF(OR(C2597="",D2597="",E2597="",E2597=0),0,C2597*D2597/E2597)</f>
        <v>0</v>
      </c>
      <c r="G2597" s="42"/>
      <c r="H2597" s="49" t="n">
        <f aca="true">IF(OR($A2597="",_xlfn.MINIFS($B$3:$B$5000,$A$3:$A$5000,$A2597,$B$3:$B$5000,"&gt;"&amp;$B2597)=0),NOW(),_xlfn.MINIFS($B$3:$B$5000,$A$3:$A$5000,$A2597,$B$3:$B$5000,"&gt;"&amp;$B2597))</f>
        <v>46279.598764409</v>
      </c>
    </row>
    <row r="2598" customFormat="false" ht="15" hidden="false" customHeight="true" outlineLevel="0" collapsed="false">
      <c r="A2598" s="42"/>
      <c r="B2598" s="42"/>
      <c r="C2598" s="42"/>
      <c r="D2598" s="42"/>
      <c r="E2598" s="42"/>
      <c r="F2598" s="51" t="n">
        <f aca="false">IF(OR(C2598="",D2598="",E2598="",E2598=0),0,C2598*D2598/E2598)</f>
        <v>0</v>
      </c>
      <c r="G2598" s="42"/>
      <c r="H2598" s="49" t="n">
        <f aca="true">IF(OR($A2598="",_xlfn.MINIFS($B$3:$B$5000,$A$3:$A$5000,$A2598,$B$3:$B$5000,"&gt;"&amp;$B2598)=0),NOW(),_xlfn.MINIFS($B$3:$B$5000,$A$3:$A$5000,$A2598,$B$3:$B$5000,"&gt;"&amp;$B2598))</f>
        <v>46279.5987644091</v>
      </c>
    </row>
    <row r="2599" customFormat="false" ht="15" hidden="false" customHeight="true" outlineLevel="0" collapsed="false">
      <c r="A2599" s="42"/>
      <c r="B2599" s="42"/>
      <c r="C2599" s="42"/>
      <c r="D2599" s="42"/>
      <c r="E2599" s="42"/>
      <c r="F2599" s="51" t="n">
        <f aca="false">IF(OR(C2599="",D2599="",E2599="",E2599=0),0,C2599*D2599/E2599)</f>
        <v>0</v>
      </c>
      <c r="G2599" s="42"/>
      <c r="H2599" s="49" t="n">
        <f aca="true">IF(OR($A2599="",_xlfn.MINIFS($B$3:$B$5000,$A$3:$A$5000,$A2599,$B$3:$B$5000,"&gt;"&amp;$B2599)=0),NOW(),_xlfn.MINIFS($B$3:$B$5000,$A$3:$A$5000,$A2599,$B$3:$B$5000,"&gt;"&amp;$B2599))</f>
        <v>46279.5987644091</v>
      </c>
    </row>
    <row r="2600" customFormat="false" ht="15" hidden="false" customHeight="true" outlineLevel="0" collapsed="false">
      <c r="A2600" s="42"/>
      <c r="B2600" s="42"/>
      <c r="C2600" s="42"/>
      <c r="D2600" s="42"/>
      <c r="E2600" s="42"/>
      <c r="F2600" s="51" t="n">
        <f aca="false">IF(OR(C2600="",D2600="",E2600="",E2600=0),0,C2600*D2600/E2600)</f>
        <v>0</v>
      </c>
      <c r="G2600" s="42"/>
      <c r="H2600" s="49" t="n">
        <f aca="true">IF(OR($A2600="",_xlfn.MINIFS($B$3:$B$5000,$A$3:$A$5000,$A2600,$B$3:$B$5000,"&gt;"&amp;$B2600)=0),NOW(),_xlfn.MINIFS($B$3:$B$5000,$A$3:$A$5000,$A2600,$B$3:$B$5000,"&gt;"&amp;$B2600))</f>
        <v>46279.5987644092</v>
      </c>
    </row>
    <row r="2601" customFormat="false" ht="15" hidden="false" customHeight="true" outlineLevel="0" collapsed="false">
      <c r="A2601" s="42"/>
      <c r="B2601" s="42"/>
      <c r="C2601" s="42"/>
      <c r="D2601" s="42"/>
      <c r="E2601" s="42"/>
      <c r="F2601" s="51" t="n">
        <f aca="false">IF(OR(C2601="",D2601="",E2601="",E2601=0),0,C2601*D2601/E2601)</f>
        <v>0</v>
      </c>
      <c r="G2601" s="42"/>
      <c r="H2601" s="49" t="n">
        <f aca="true">IF(OR($A2601="",_xlfn.MINIFS($B$3:$B$5000,$A$3:$A$5000,$A2601,$B$3:$B$5000,"&gt;"&amp;$B2601)=0),NOW(),_xlfn.MINIFS($B$3:$B$5000,$A$3:$A$5000,$A2601,$B$3:$B$5000,"&gt;"&amp;$B2601))</f>
        <v>46279.5987644092</v>
      </c>
    </row>
    <row r="2602" customFormat="false" ht="15" hidden="false" customHeight="true" outlineLevel="0" collapsed="false">
      <c r="A2602" s="42"/>
      <c r="B2602" s="42"/>
      <c r="C2602" s="42"/>
      <c r="D2602" s="42"/>
      <c r="E2602" s="42"/>
      <c r="F2602" s="51" t="n">
        <f aca="false">IF(OR(C2602="",D2602="",E2602="",E2602=0),0,C2602*D2602/E2602)</f>
        <v>0</v>
      </c>
      <c r="G2602" s="42"/>
      <c r="H2602" s="49" t="n">
        <f aca="true">IF(OR($A2602="",_xlfn.MINIFS($B$3:$B$5000,$A$3:$A$5000,$A2602,$B$3:$B$5000,"&gt;"&amp;$B2602)=0),NOW(),_xlfn.MINIFS($B$3:$B$5000,$A$3:$A$5000,$A2602,$B$3:$B$5000,"&gt;"&amp;$B2602))</f>
        <v>46279.5987644093</v>
      </c>
    </row>
    <row r="2603" customFormat="false" ht="15" hidden="false" customHeight="true" outlineLevel="0" collapsed="false">
      <c r="A2603" s="42"/>
      <c r="B2603" s="42"/>
      <c r="C2603" s="42"/>
      <c r="D2603" s="42"/>
      <c r="E2603" s="42"/>
      <c r="F2603" s="51" t="n">
        <f aca="false">IF(OR(C2603="",D2603="",E2603="",E2603=0),0,C2603*D2603/E2603)</f>
        <v>0</v>
      </c>
      <c r="G2603" s="42"/>
      <c r="H2603" s="49" t="n">
        <f aca="true">IF(OR($A2603="",_xlfn.MINIFS($B$3:$B$5000,$A$3:$A$5000,$A2603,$B$3:$B$5000,"&gt;"&amp;$B2603)=0),NOW(),_xlfn.MINIFS($B$3:$B$5000,$A$3:$A$5000,$A2603,$B$3:$B$5000,"&gt;"&amp;$B2603))</f>
        <v>46279.5987644093</v>
      </c>
    </row>
    <row r="2604" customFormat="false" ht="15" hidden="false" customHeight="true" outlineLevel="0" collapsed="false">
      <c r="A2604" s="42"/>
      <c r="B2604" s="42"/>
      <c r="C2604" s="42"/>
      <c r="D2604" s="42"/>
      <c r="E2604" s="42"/>
      <c r="F2604" s="51" t="n">
        <f aca="false">IF(OR(C2604="",D2604="",E2604="",E2604=0),0,C2604*D2604/E2604)</f>
        <v>0</v>
      </c>
      <c r="G2604" s="42"/>
      <c r="H2604" s="49" t="n">
        <f aca="true">IF(OR($A2604="",_xlfn.MINIFS($B$3:$B$5000,$A$3:$A$5000,$A2604,$B$3:$B$5000,"&gt;"&amp;$B2604)=0),NOW(),_xlfn.MINIFS($B$3:$B$5000,$A$3:$A$5000,$A2604,$B$3:$B$5000,"&gt;"&amp;$B2604))</f>
        <v>46279.5987644094</v>
      </c>
    </row>
    <row r="2605" customFormat="false" ht="15" hidden="false" customHeight="true" outlineLevel="0" collapsed="false">
      <c r="A2605" s="42"/>
      <c r="B2605" s="42"/>
      <c r="C2605" s="42"/>
      <c r="D2605" s="42"/>
      <c r="E2605" s="42"/>
      <c r="F2605" s="51" t="n">
        <f aca="false">IF(OR(C2605="",D2605="",E2605="",E2605=0),0,C2605*D2605/E2605)</f>
        <v>0</v>
      </c>
      <c r="G2605" s="42"/>
      <c r="H2605" s="49" t="n">
        <f aca="true">IF(OR($A2605="",_xlfn.MINIFS($B$3:$B$5000,$A$3:$A$5000,$A2605,$B$3:$B$5000,"&gt;"&amp;$B2605)=0),NOW(),_xlfn.MINIFS($B$3:$B$5000,$A$3:$A$5000,$A2605,$B$3:$B$5000,"&gt;"&amp;$B2605))</f>
        <v>46279.5987644094</v>
      </c>
    </row>
    <row r="2606" customFormat="false" ht="15" hidden="false" customHeight="true" outlineLevel="0" collapsed="false">
      <c r="A2606" s="42"/>
      <c r="B2606" s="42"/>
      <c r="C2606" s="42"/>
      <c r="D2606" s="42"/>
      <c r="E2606" s="42"/>
      <c r="F2606" s="51" t="n">
        <f aca="false">IF(OR(C2606="",D2606="",E2606="",E2606=0),0,C2606*D2606/E2606)</f>
        <v>0</v>
      </c>
      <c r="G2606" s="42"/>
      <c r="H2606" s="49" t="n">
        <f aca="true">IF(OR($A2606="",_xlfn.MINIFS($B$3:$B$5000,$A$3:$A$5000,$A2606,$B$3:$B$5000,"&gt;"&amp;$B2606)=0),NOW(),_xlfn.MINIFS($B$3:$B$5000,$A$3:$A$5000,$A2606,$B$3:$B$5000,"&gt;"&amp;$B2606))</f>
        <v>46279.5987644095</v>
      </c>
    </row>
    <row r="2607" customFormat="false" ht="15" hidden="false" customHeight="true" outlineLevel="0" collapsed="false">
      <c r="A2607" s="42"/>
      <c r="B2607" s="42"/>
      <c r="C2607" s="42"/>
      <c r="D2607" s="42"/>
      <c r="E2607" s="42"/>
      <c r="F2607" s="51" t="n">
        <f aca="false">IF(OR(C2607="",D2607="",E2607="",E2607=0),0,C2607*D2607/E2607)</f>
        <v>0</v>
      </c>
      <c r="G2607" s="42"/>
      <c r="H2607" s="49" t="n">
        <f aca="true">IF(OR($A2607="",_xlfn.MINIFS($B$3:$B$5000,$A$3:$A$5000,$A2607,$B$3:$B$5000,"&gt;"&amp;$B2607)=0),NOW(),_xlfn.MINIFS($B$3:$B$5000,$A$3:$A$5000,$A2607,$B$3:$B$5000,"&gt;"&amp;$B2607))</f>
        <v>46279.5987644095</v>
      </c>
    </row>
    <row r="2608" customFormat="false" ht="15" hidden="false" customHeight="true" outlineLevel="0" collapsed="false">
      <c r="A2608" s="42"/>
      <c r="B2608" s="42"/>
      <c r="C2608" s="42"/>
      <c r="D2608" s="42"/>
      <c r="E2608" s="42"/>
      <c r="F2608" s="51" t="n">
        <f aca="false">IF(OR(C2608="",D2608="",E2608="",E2608=0),0,C2608*D2608/E2608)</f>
        <v>0</v>
      </c>
      <c r="G2608" s="42"/>
      <c r="H2608" s="49" t="n">
        <f aca="true">IF(OR($A2608="",_xlfn.MINIFS($B$3:$B$5000,$A$3:$A$5000,$A2608,$B$3:$B$5000,"&gt;"&amp;$B2608)=0),NOW(),_xlfn.MINIFS($B$3:$B$5000,$A$3:$A$5000,$A2608,$B$3:$B$5000,"&gt;"&amp;$B2608))</f>
        <v>46279.5987644096</v>
      </c>
    </row>
    <row r="2609" customFormat="false" ht="15" hidden="false" customHeight="true" outlineLevel="0" collapsed="false">
      <c r="A2609" s="42"/>
      <c r="B2609" s="42"/>
      <c r="C2609" s="42"/>
      <c r="D2609" s="42"/>
      <c r="E2609" s="42"/>
      <c r="F2609" s="51" t="n">
        <f aca="false">IF(OR(C2609="",D2609="",E2609="",E2609=0),0,C2609*D2609/E2609)</f>
        <v>0</v>
      </c>
      <c r="G2609" s="42"/>
      <c r="H2609" s="49" t="n">
        <f aca="true">IF(OR($A2609="",_xlfn.MINIFS($B$3:$B$5000,$A$3:$A$5000,$A2609,$B$3:$B$5000,"&gt;"&amp;$B2609)=0),NOW(),_xlfn.MINIFS($B$3:$B$5000,$A$3:$A$5000,$A2609,$B$3:$B$5000,"&gt;"&amp;$B2609))</f>
        <v>46279.5987644096</v>
      </c>
    </row>
    <row r="2610" customFormat="false" ht="15" hidden="false" customHeight="true" outlineLevel="0" collapsed="false">
      <c r="A2610" s="42"/>
      <c r="B2610" s="42"/>
      <c r="C2610" s="42"/>
      <c r="D2610" s="42"/>
      <c r="E2610" s="42"/>
      <c r="F2610" s="51" t="n">
        <f aca="false">IF(OR(C2610="",D2610="",E2610="",E2610=0),0,C2610*D2610/E2610)</f>
        <v>0</v>
      </c>
      <c r="G2610" s="42"/>
      <c r="H2610" s="49" t="n">
        <f aca="true">IF(OR($A2610="",_xlfn.MINIFS($B$3:$B$5000,$A$3:$A$5000,$A2610,$B$3:$B$5000,"&gt;"&amp;$B2610)=0),NOW(),_xlfn.MINIFS($B$3:$B$5000,$A$3:$A$5000,$A2610,$B$3:$B$5000,"&gt;"&amp;$B2610))</f>
        <v>46279.5987644097</v>
      </c>
    </row>
    <row r="2611" customFormat="false" ht="15" hidden="false" customHeight="true" outlineLevel="0" collapsed="false">
      <c r="A2611" s="42"/>
      <c r="B2611" s="42"/>
      <c r="C2611" s="42"/>
      <c r="D2611" s="42"/>
      <c r="E2611" s="42"/>
      <c r="F2611" s="51" t="n">
        <f aca="false">IF(OR(C2611="",D2611="",E2611="",E2611=0),0,C2611*D2611/E2611)</f>
        <v>0</v>
      </c>
      <c r="G2611" s="42"/>
      <c r="H2611" s="49" t="n">
        <f aca="true">IF(OR($A2611="",_xlfn.MINIFS($B$3:$B$5000,$A$3:$A$5000,$A2611,$B$3:$B$5000,"&gt;"&amp;$B2611)=0),NOW(),_xlfn.MINIFS($B$3:$B$5000,$A$3:$A$5000,$A2611,$B$3:$B$5000,"&gt;"&amp;$B2611))</f>
        <v>46279.5987644097</v>
      </c>
    </row>
    <row r="2612" customFormat="false" ht="15" hidden="false" customHeight="true" outlineLevel="0" collapsed="false">
      <c r="A2612" s="42"/>
      <c r="B2612" s="42"/>
      <c r="C2612" s="42"/>
      <c r="D2612" s="42"/>
      <c r="E2612" s="42"/>
      <c r="F2612" s="51" t="n">
        <f aca="false">IF(OR(C2612="",D2612="",E2612="",E2612=0),0,C2612*D2612/E2612)</f>
        <v>0</v>
      </c>
      <c r="G2612" s="42"/>
      <c r="H2612" s="49" t="n">
        <f aca="true">IF(OR($A2612="",_xlfn.MINIFS($B$3:$B$5000,$A$3:$A$5000,$A2612,$B$3:$B$5000,"&gt;"&amp;$B2612)=0),NOW(),_xlfn.MINIFS($B$3:$B$5000,$A$3:$A$5000,$A2612,$B$3:$B$5000,"&gt;"&amp;$B2612))</f>
        <v>46279.5987644098</v>
      </c>
    </row>
    <row r="2613" customFormat="false" ht="15" hidden="false" customHeight="true" outlineLevel="0" collapsed="false">
      <c r="A2613" s="42"/>
      <c r="B2613" s="42"/>
      <c r="C2613" s="42"/>
      <c r="D2613" s="42"/>
      <c r="E2613" s="42"/>
      <c r="F2613" s="51" t="n">
        <f aca="false">IF(OR(C2613="",D2613="",E2613="",E2613=0),0,C2613*D2613/E2613)</f>
        <v>0</v>
      </c>
      <c r="G2613" s="42"/>
      <c r="H2613" s="49" t="n">
        <f aca="true">IF(OR($A2613="",_xlfn.MINIFS($B$3:$B$5000,$A$3:$A$5000,$A2613,$B$3:$B$5000,"&gt;"&amp;$B2613)=0),NOW(),_xlfn.MINIFS($B$3:$B$5000,$A$3:$A$5000,$A2613,$B$3:$B$5000,"&gt;"&amp;$B2613))</f>
        <v>46279.5987644098</v>
      </c>
    </row>
    <row r="2614" customFormat="false" ht="15" hidden="false" customHeight="true" outlineLevel="0" collapsed="false">
      <c r="A2614" s="42"/>
      <c r="B2614" s="42"/>
      <c r="C2614" s="42"/>
      <c r="D2614" s="42"/>
      <c r="E2614" s="42"/>
      <c r="F2614" s="51" t="n">
        <f aca="false">IF(OR(C2614="",D2614="",E2614="",E2614=0),0,C2614*D2614/E2614)</f>
        <v>0</v>
      </c>
      <c r="G2614" s="42"/>
      <c r="H2614" s="49" t="n">
        <f aca="true">IF(OR($A2614="",_xlfn.MINIFS($B$3:$B$5000,$A$3:$A$5000,$A2614,$B$3:$B$5000,"&gt;"&amp;$B2614)=0),NOW(),_xlfn.MINIFS($B$3:$B$5000,$A$3:$A$5000,$A2614,$B$3:$B$5000,"&gt;"&amp;$B2614))</f>
        <v>46279.5987644099</v>
      </c>
    </row>
    <row r="2615" customFormat="false" ht="15" hidden="false" customHeight="true" outlineLevel="0" collapsed="false">
      <c r="A2615" s="42"/>
      <c r="B2615" s="42"/>
      <c r="C2615" s="42"/>
      <c r="D2615" s="42"/>
      <c r="E2615" s="42"/>
      <c r="F2615" s="51" t="n">
        <f aca="false">IF(OR(C2615="",D2615="",E2615="",E2615=0),0,C2615*D2615/E2615)</f>
        <v>0</v>
      </c>
      <c r="G2615" s="42"/>
      <c r="H2615" s="49" t="n">
        <f aca="true">IF(OR($A2615="",_xlfn.MINIFS($B$3:$B$5000,$A$3:$A$5000,$A2615,$B$3:$B$5000,"&gt;"&amp;$B2615)=0),NOW(),_xlfn.MINIFS($B$3:$B$5000,$A$3:$A$5000,$A2615,$B$3:$B$5000,"&gt;"&amp;$B2615))</f>
        <v>46279.5987644099</v>
      </c>
    </row>
    <row r="2616" customFormat="false" ht="15" hidden="false" customHeight="true" outlineLevel="0" collapsed="false">
      <c r="A2616" s="42"/>
      <c r="B2616" s="42"/>
      <c r="C2616" s="42"/>
      <c r="D2616" s="42"/>
      <c r="E2616" s="42"/>
      <c r="F2616" s="51" t="n">
        <f aca="false">IF(OR(C2616="",D2616="",E2616="",E2616=0),0,C2616*D2616/E2616)</f>
        <v>0</v>
      </c>
      <c r="G2616" s="42"/>
      <c r="H2616" s="49" t="n">
        <f aca="true">IF(OR($A2616="",_xlfn.MINIFS($B$3:$B$5000,$A$3:$A$5000,$A2616,$B$3:$B$5000,"&gt;"&amp;$B2616)=0),NOW(),_xlfn.MINIFS($B$3:$B$5000,$A$3:$A$5000,$A2616,$B$3:$B$5000,"&gt;"&amp;$B2616))</f>
        <v>46279.59876441</v>
      </c>
    </row>
    <row r="2617" customFormat="false" ht="15" hidden="false" customHeight="true" outlineLevel="0" collapsed="false">
      <c r="A2617" s="42"/>
      <c r="B2617" s="42"/>
      <c r="C2617" s="42"/>
      <c r="D2617" s="42"/>
      <c r="E2617" s="42"/>
      <c r="F2617" s="51" t="n">
        <f aca="false">IF(OR(C2617="",D2617="",E2617="",E2617=0),0,C2617*D2617/E2617)</f>
        <v>0</v>
      </c>
      <c r="G2617" s="42"/>
      <c r="H2617" s="49" t="n">
        <f aca="true">IF(OR($A2617="",_xlfn.MINIFS($B$3:$B$5000,$A$3:$A$5000,$A2617,$B$3:$B$5000,"&gt;"&amp;$B2617)=0),NOW(),_xlfn.MINIFS($B$3:$B$5000,$A$3:$A$5000,$A2617,$B$3:$B$5000,"&gt;"&amp;$B2617))</f>
        <v>46279.59876441</v>
      </c>
    </row>
    <row r="2618" customFormat="false" ht="15" hidden="false" customHeight="true" outlineLevel="0" collapsed="false">
      <c r="A2618" s="42"/>
      <c r="B2618" s="42"/>
      <c r="C2618" s="42"/>
      <c r="D2618" s="42"/>
      <c r="E2618" s="42"/>
      <c r="F2618" s="51" t="n">
        <f aca="false">IF(OR(C2618="",D2618="",E2618="",E2618=0),0,C2618*D2618/E2618)</f>
        <v>0</v>
      </c>
      <c r="G2618" s="42"/>
      <c r="H2618" s="49" t="n">
        <f aca="true">IF(OR($A2618="",_xlfn.MINIFS($B$3:$B$5000,$A$3:$A$5000,$A2618,$B$3:$B$5000,"&gt;"&amp;$B2618)=0),NOW(),_xlfn.MINIFS($B$3:$B$5000,$A$3:$A$5000,$A2618,$B$3:$B$5000,"&gt;"&amp;$B2618))</f>
        <v>46279.5987644101</v>
      </c>
    </row>
    <row r="2619" customFormat="false" ht="15" hidden="false" customHeight="true" outlineLevel="0" collapsed="false">
      <c r="A2619" s="42"/>
      <c r="B2619" s="42"/>
      <c r="C2619" s="42"/>
      <c r="D2619" s="42"/>
      <c r="E2619" s="42"/>
      <c r="F2619" s="51" t="n">
        <f aca="false">IF(OR(C2619="",D2619="",E2619="",E2619=0),0,C2619*D2619/E2619)</f>
        <v>0</v>
      </c>
      <c r="G2619" s="42"/>
      <c r="H2619" s="49" t="n">
        <f aca="true">IF(OR($A2619="",_xlfn.MINIFS($B$3:$B$5000,$A$3:$A$5000,$A2619,$B$3:$B$5000,"&gt;"&amp;$B2619)=0),NOW(),_xlfn.MINIFS($B$3:$B$5000,$A$3:$A$5000,$A2619,$B$3:$B$5000,"&gt;"&amp;$B2619))</f>
        <v>46279.5987644101</v>
      </c>
    </row>
    <row r="2620" customFormat="false" ht="15" hidden="false" customHeight="true" outlineLevel="0" collapsed="false">
      <c r="A2620" s="42"/>
      <c r="B2620" s="42"/>
      <c r="C2620" s="42"/>
      <c r="D2620" s="42"/>
      <c r="E2620" s="42"/>
      <c r="F2620" s="51" t="n">
        <f aca="false">IF(OR(C2620="",D2620="",E2620="",E2620=0),0,C2620*D2620/E2620)</f>
        <v>0</v>
      </c>
      <c r="G2620" s="42"/>
      <c r="H2620" s="49" t="n">
        <f aca="true">IF(OR($A2620="",_xlfn.MINIFS($B$3:$B$5000,$A$3:$A$5000,$A2620,$B$3:$B$5000,"&gt;"&amp;$B2620)=0),NOW(),_xlfn.MINIFS($B$3:$B$5000,$A$3:$A$5000,$A2620,$B$3:$B$5000,"&gt;"&amp;$B2620))</f>
        <v>46279.5987644102</v>
      </c>
    </row>
    <row r="2621" customFormat="false" ht="15" hidden="false" customHeight="true" outlineLevel="0" collapsed="false">
      <c r="A2621" s="42"/>
      <c r="B2621" s="42"/>
      <c r="C2621" s="42"/>
      <c r="D2621" s="42"/>
      <c r="E2621" s="42"/>
      <c r="F2621" s="51" t="n">
        <f aca="false">IF(OR(C2621="",D2621="",E2621="",E2621=0),0,C2621*D2621/E2621)</f>
        <v>0</v>
      </c>
      <c r="G2621" s="42"/>
      <c r="H2621" s="49" t="n">
        <f aca="true">IF(OR($A2621="",_xlfn.MINIFS($B$3:$B$5000,$A$3:$A$5000,$A2621,$B$3:$B$5000,"&gt;"&amp;$B2621)=0),NOW(),_xlfn.MINIFS($B$3:$B$5000,$A$3:$A$5000,$A2621,$B$3:$B$5000,"&gt;"&amp;$B2621))</f>
        <v>46279.5987644102</v>
      </c>
    </row>
    <row r="2622" customFormat="false" ht="15" hidden="false" customHeight="true" outlineLevel="0" collapsed="false">
      <c r="A2622" s="42"/>
      <c r="B2622" s="42"/>
      <c r="C2622" s="42"/>
      <c r="D2622" s="42"/>
      <c r="E2622" s="42"/>
      <c r="F2622" s="51" t="n">
        <f aca="false">IF(OR(C2622="",D2622="",E2622="",E2622=0),0,C2622*D2622/E2622)</f>
        <v>0</v>
      </c>
      <c r="G2622" s="42"/>
      <c r="H2622" s="49" t="n">
        <f aca="true">IF(OR($A2622="",_xlfn.MINIFS($B$3:$B$5000,$A$3:$A$5000,$A2622,$B$3:$B$5000,"&gt;"&amp;$B2622)=0),NOW(),_xlfn.MINIFS($B$3:$B$5000,$A$3:$A$5000,$A2622,$B$3:$B$5000,"&gt;"&amp;$B2622))</f>
        <v>46279.5987644103</v>
      </c>
    </row>
    <row r="2623" customFormat="false" ht="15" hidden="false" customHeight="true" outlineLevel="0" collapsed="false">
      <c r="A2623" s="42"/>
      <c r="B2623" s="42"/>
      <c r="C2623" s="42"/>
      <c r="D2623" s="42"/>
      <c r="E2623" s="42"/>
      <c r="F2623" s="51" t="n">
        <f aca="false">IF(OR(C2623="",D2623="",E2623="",E2623=0),0,C2623*D2623/E2623)</f>
        <v>0</v>
      </c>
      <c r="G2623" s="42"/>
      <c r="H2623" s="49" t="n">
        <f aca="true">IF(OR($A2623="",_xlfn.MINIFS($B$3:$B$5000,$A$3:$A$5000,$A2623,$B$3:$B$5000,"&gt;"&amp;$B2623)=0),NOW(),_xlfn.MINIFS($B$3:$B$5000,$A$3:$A$5000,$A2623,$B$3:$B$5000,"&gt;"&amp;$B2623))</f>
        <v>46279.5987644103</v>
      </c>
    </row>
    <row r="2624" customFormat="false" ht="15" hidden="false" customHeight="true" outlineLevel="0" collapsed="false">
      <c r="A2624" s="42"/>
      <c r="B2624" s="42"/>
      <c r="C2624" s="42"/>
      <c r="D2624" s="42"/>
      <c r="E2624" s="42"/>
      <c r="F2624" s="51" t="n">
        <f aca="false">IF(OR(C2624="",D2624="",E2624="",E2624=0),0,C2624*D2624/E2624)</f>
        <v>0</v>
      </c>
      <c r="G2624" s="42"/>
      <c r="H2624" s="49" t="n">
        <f aca="true">IF(OR($A2624="",_xlfn.MINIFS($B$3:$B$5000,$A$3:$A$5000,$A2624,$B$3:$B$5000,"&gt;"&amp;$B2624)=0),NOW(),_xlfn.MINIFS($B$3:$B$5000,$A$3:$A$5000,$A2624,$B$3:$B$5000,"&gt;"&amp;$B2624))</f>
        <v>46279.5987644104</v>
      </c>
    </row>
    <row r="2625" customFormat="false" ht="15" hidden="false" customHeight="true" outlineLevel="0" collapsed="false">
      <c r="A2625" s="42"/>
      <c r="B2625" s="42"/>
      <c r="C2625" s="42"/>
      <c r="D2625" s="42"/>
      <c r="E2625" s="42"/>
      <c r="F2625" s="51" t="n">
        <f aca="false">IF(OR(C2625="",D2625="",E2625="",E2625=0),0,C2625*D2625/E2625)</f>
        <v>0</v>
      </c>
      <c r="G2625" s="42"/>
      <c r="H2625" s="49" t="n">
        <f aca="true">IF(OR($A2625="",_xlfn.MINIFS($B$3:$B$5000,$A$3:$A$5000,$A2625,$B$3:$B$5000,"&gt;"&amp;$B2625)=0),NOW(),_xlfn.MINIFS($B$3:$B$5000,$A$3:$A$5000,$A2625,$B$3:$B$5000,"&gt;"&amp;$B2625))</f>
        <v>46279.5987644104</v>
      </c>
    </row>
    <row r="2626" customFormat="false" ht="15" hidden="false" customHeight="true" outlineLevel="0" collapsed="false">
      <c r="A2626" s="42"/>
      <c r="B2626" s="42"/>
      <c r="C2626" s="42"/>
      <c r="D2626" s="42"/>
      <c r="E2626" s="42"/>
      <c r="F2626" s="51" t="n">
        <f aca="false">IF(OR(C2626="",D2626="",E2626="",E2626=0),0,C2626*D2626/E2626)</f>
        <v>0</v>
      </c>
      <c r="G2626" s="42"/>
      <c r="H2626" s="49" t="n">
        <f aca="true">IF(OR($A2626="",_xlfn.MINIFS($B$3:$B$5000,$A$3:$A$5000,$A2626,$B$3:$B$5000,"&gt;"&amp;$B2626)=0),NOW(),_xlfn.MINIFS($B$3:$B$5000,$A$3:$A$5000,$A2626,$B$3:$B$5000,"&gt;"&amp;$B2626))</f>
        <v>46279.5987644105</v>
      </c>
    </row>
    <row r="2627" customFormat="false" ht="15" hidden="false" customHeight="true" outlineLevel="0" collapsed="false">
      <c r="A2627" s="42"/>
      <c r="B2627" s="42"/>
      <c r="C2627" s="42"/>
      <c r="D2627" s="42"/>
      <c r="E2627" s="42"/>
      <c r="F2627" s="51" t="n">
        <f aca="false">IF(OR(C2627="",D2627="",E2627="",E2627=0),0,C2627*D2627/E2627)</f>
        <v>0</v>
      </c>
      <c r="G2627" s="42"/>
      <c r="H2627" s="49" t="n">
        <f aca="true">IF(OR($A2627="",_xlfn.MINIFS($B$3:$B$5000,$A$3:$A$5000,$A2627,$B$3:$B$5000,"&gt;"&amp;$B2627)=0),NOW(),_xlfn.MINIFS($B$3:$B$5000,$A$3:$A$5000,$A2627,$B$3:$B$5000,"&gt;"&amp;$B2627))</f>
        <v>46279.5987644105</v>
      </c>
    </row>
    <row r="2628" customFormat="false" ht="15" hidden="false" customHeight="true" outlineLevel="0" collapsed="false">
      <c r="A2628" s="42"/>
      <c r="B2628" s="42"/>
      <c r="C2628" s="42"/>
      <c r="D2628" s="42"/>
      <c r="E2628" s="42"/>
      <c r="F2628" s="51" t="n">
        <f aca="false">IF(OR(C2628="",D2628="",E2628="",E2628=0),0,C2628*D2628/E2628)</f>
        <v>0</v>
      </c>
      <c r="G2628" s="42"/>
      <c r="H2628" s="49" t="n">
        <f aca="true">IF(OR($A2628="",_xlfn.MINIFS($B$3:$B$5000,$A$3:$A$5000,$A2628,$B$3:$B$5000,"&gt;"&amp;$B2628)=0),NOW(),_xlfn.MINIFS($B$3:$B$5000,$A$3:$A$5000,$A2628,$B$3:$B$5000,"&gt;"&amp;$B2628))</f>
        <v>46279.5987644106</v>
      </c>
    </row>
    <row r="2629" customFormat="false" ht="15" hidden="false" customHeight="true" outlineLevel="0" collapsed="false">
      <c r="A2629" s="42"/>
      <c r="B2629" s="42"/>
      <c r="C2629" s="42"/>
      <c r="D2629" s="42"/>
      <c r="E2629" s="42"/>
      <c r="F2629" s="51" t="n">
        <f aca="false">IF(OR(C2629="",D2629="",E2629="",E2629=0),0,C2629*D2629/E2629)</f>
        <v>0</v>
      </c>
      <c r="G2629" s="42"/>
      <c r="H2629" s="49" t="n">
        <f aca="true">IF(OR($A2629="",_xlfn.MINIFS($B$3:$B$5000,$A$3:$A$5000,$A2629,$B$3:$B$5000,"&gt;"&amp;$B2629)=0),NOW(),_xlfn.MINIFS($B$3:$B$5000,$A$3:$A$5000,$A2629,$B$3:$B$5000,"&gt;"&amp;$B2629))</f>
        <v>46279.5987644106</v>
      </c>
    </row>
    <row r="2630" customFormat="false" ht="15" hidden="false" customHeight="true" outlineLevel="0" collapsed="false">
      <c r="A2630" s="42"/>
      <c r="B2630" s="42"/>
      <c r="C2630" s="42"/>
      <c r="D2630" s="42"/>
      <c r="E2630" s="42"/>
      <c r="F2630" s="51" t="n">
        <f aca="false">IF(OR(C2630="",D2630="",E2630="",E2630=0),0,C2630*D2630/E2630)</f>
        <v>0</v>
      </c>
      <c r="G2630" s="42"/>
      <c r="H2630" s="49" t="n">
        <f aca="true">IF(OR($A2630="",_xlfn.MINIFS($B$3:$B$5000,$A$3:$A$5000,$A2630,$B$3:$B$5000,"&gt;"&amp;$B2630)=0),NOW(),_xlfn.MINIFS($B$3:$B$5000,$A$3:$A$5000,$A2630,$B$3:$B$5000,"&gt;"&amp;$B2630))</f>
        <v>46279.5987644107</v>
      </c>
    </row>
    <row r="2631" customFormat="false" ht="15" hidden="false" customHeight="true" outlineLevel="0" collapsed="false">
      <c r="A2631" s="42"/>
      <c r="B2631" s="42"/>
      <c r="C2631" s="42"/>
      <c r="D2631" s="42"/>
      <c r="E2631" s="42"/>
      <c r="F2631" s="51" t="n">
        <f aca="false">IF(OR(C2631="",D2631="",E2631="",E2631=0),0,C2631*D2631/E2631)</f>
        <v>0</v>
      </c>
      <c r="G2631" s="42"/>
      <c r="H2631" s="49" t="n">
        <f aca="true">IF(OR($A2631="",_xlfn.MINIFS($B$3:$B$5000,$A$3:$A$5000,$A2631,$B$3:$B$5000,"&gt;"&amp;$B2631)=0),NOW(),_xlfn.MINIFS($B$3:$B$5000,$A$3:$A$5000,$A2631,$B$3:$B$5000,"&gt;"&amp;$B2631))</f>
        <v>46279.5987644107</v>
      </c>
    </row>
    <row r="2632" customFormat="false" ht="15" hidden="false" customHeight="true" outlineLevel="0" collapsed="false">
      <c r="A2632" s="42"/>
      <c r="B2632" s="42"/>
      <c r="C2632" s="42"/>
      <c r="D2632" s="42"/>
      <c r="E2632" s="42"/>
      <c r="F2632" s="51" t="n">
        <f aca="false">IF(OR(C2632="",D2632="",E2632="",E2632=0),0,C2632*D2632/E2632)</f>
        <v>0</v>
      </c>
      <c r="G2632" s="42"/>
      <c r="H2632" s="49" t="n">
        <f aca="true">IF(OR($A2632="",_xlfn.MINIFS($B$3:$B$5000,$A$3:$A$5000,$A2632,$B$3:$B$5000,"&gt;"&amp;$B2632)=0),NOW(),_xlfn.MINIFS($B$3:$B$5000,$A$3:$A$5000,$A2632,$B$3:$B$5000,"&gt;"&amp;$B2632))</f>
        <v>46279.5987644108</v>
      </c>
    </row>
    <row r="2633" customFormat="false" ht="15" hidden="false" customHeight="true" outlineLevel="0" collapsed="false">
      <c r="A2633" s="42"/>
      <c r="B2633" s="42"/>
      <c r="C2633" s="42"/>
      <c r="D2633" s="42"/>
      <c r="E2633" s="42"/>
      <c r="F2633" s="51" t="n">
        <f aca="false">IF(OR(C2633="",D2633="",E2633="",E2633=0),0,C2633*D2633/E2633)</f>
        <v>0</v>
      </c>
      <c r="G2633" s="42"/>
      <c r="H2633" s="49" t="n">
        <f aca="true">IF(OR($A2633="",_xlfn.MINIFS($B$3:$B$5000,$A$3:$A$5000,$A2633,$B$3:$B$5000,"&gt;"&amp;$B2633)=0),NOW(),_xlfn.MINIFS($B$3:$B$5000,$A$3:$A$5000,$A2633,$B$3:$B$5000,"&gt;"&amp;$B2633))</f>
        <v>46279.5987644108</v>
      </c>
    </row>
    <row r="2634" customFormat="false" ht="15" hidden="false" customHeight="true" outlineLevel="0" collapsed="false">
      <c r="A2634" s="42"/>
      <c r="B2634" s="42"/>
      <c r="C2634" s="42"/>
      <c r="D2634" s="42"/>
      <c r="E2634" s="42"/>
      <c r="F2634" s="51" t="n">
        <f aca="false">IF(OR(C2634="",D2634="",E2634="",E2634=0),0,C2634*D2634/E2634)</f>
        <v>0</v>
      </c>
      <c r="G2634" s="42"/>
      <c r="H2634" s="49" t="n">
        <f aca="true">IF(OR($A2634="",_xlfn.MINIFS($B$3:$B$5000,$A$3:$A$5000,$A2634,$B$3:$B$5000,"&gt;"&amp;$B2634)=0),NOW(),_xlfn.MINIFS($B$3:$B$5000,$A$3:$A$5000,$A2634,$B$3:$B$5000,"&gt;"&amp;$B2634))</f>
        <v>46279.5987644109</v>
      </c>
    </row>
    <row r="2635" customFormat="false" ht="15" hidden="false" customHeight="true" outlineLevel="0" collapsed="false">
      <c r="A2635" s="42"/>
      <c r="B2635" s="42"/>
      <c r="C2635" s="42"/>
      <c r="D2635" s="42"/>
      <c r="E2635" s="42"/>
      <c r="F2635" s="51" t="n">
        <f aca="false">IF(OR(C2635="",D2635="",E2635="",E2635=0),0,C2635*D2635/E2635)</f>
        <v>0</v>
      </c>
      <c r="G2635" s="42"/>
      <c r="H2635" s="49" t="n">
        <f aca="true">IF(OR($A2635="",_xlfn.MINIFS($B$3:$B$5000,$A$3:$A$5000,$A2635,$B$3:$B$5000,"&gt;"&amp;$B2635)=0),NOW(),_xlfn.MINIFS($B$3:$B$5000,$A$3:$A$5000,$A2635,$B$3:$B$5000,"&gt;"&amp;$B2635))</f>
        <v>46279.5987644109</v>
      </c>
    </row>
    <row r="2636" customFormat="false" ht="15" hidden="false" customHeight="true" outlineLevel="0" collapsed="false">
      <c r="A2636" s="42"/>
      <c r="B2636" s="42"/>
      <c r="C2636" s="42"/>
      <c r="D2636" s="42"/>
      <c r="E2636" s="42"/>
      <c r="F2636" s="51" t="n">
        <f aca="false">IF(OR(C2636="",D2636="",E2636="",E2636=0),0,C2636*D2636/E2636)</f>
        <v>0</v>
      </c>
      <c r="G2636" s="42"/>
      <c r="H2636" s="49" t="n">
        <f aca="true">IF(OR($A2636="",_xlfn.MINIFS($B$3:$B$5000,$A$3:$A$5000,$A2636,$B$3:$B$5000,"&gt;"&amp;$B2636)=0),NOW(),_xlfn.MINIFS($B$3:$B$5000,$A$3:$A$5000,$A2636,$B$3:$B$5000,"&gt;"&amp;$B2636))</f>
        <v>46279.598764411</v>
      </c>
    </row>
    <row r="2637" customFormat="false" ht="15" hidden="false" customHeight="true" outlineLevel="0" collapsed="false">
      <c r="A2637" s="42"/>
      <c r="B2637" s="42"/>
      <c r="C2637" s="42"/>
      <c r="D2637" s="42"/>
      <c r="E2637" s="42"/>
      <c r="F2637" s="51" t="n">
        <f aca="false">IF(OR(C2637="",D2637="",E2637="",E2637=0),0,C2637*D2637/E2637)</f>
        <v>0</v>
      </c>
      <c r="G2637" s="42"/>
      <c r="H2637" s="49" t="n">
        <f aca="true">IF(OR($A2637="",_xlfn.MINIFS($B$3:$B$5000,$A$3:$A$5000,$A2637,$B$3:$B$5000,"&gt;"&amp;$B2637)=0),NOW(),_xlfn.MINIFS($B$3:$B$5000,$A$3:$A$5000,$A2637,$B$3:$B$5000,"&gt;"&amp;$B2637))</f>
        <v>46279.598764411</v>
      </c>
    </row>
    <row r="2638" customFormat="false" ht="15" hidden="false" customHeight="true" outlineLevel="0" collapsed="false">
      <c r="A2638" s="42"/>
      <c r="B2638" s="42"/>
      <c r="C2638" s="42"/>
      <c r="D2638" s="42"/>
      <c r="E2638" s="42"/>
      <c r="F2638" s="51" t="n">
        <f aca="false">IF(OR(C2638="",D2638="",E2638="",E2638=0),0,C2638*D2638/E2638)</f>
        <v>0</v>
      </c>
      <c r="G2638" s="42"/>
      <c r="H2638" s="49" t="n">
        <f aca="true">IF(OR($A2638="",_xlfn.MINIFS($B$3:$B$5000,$A$3:$A$5000,$A2638,$B$3:$B$5000,"&gt;"&amp;$B2638)=0),NOW(),_xlfn.MINIFS($B$3:$B$5000,$A$3:$A$5000,$A2638,$B$3:$B$5000,"&gt;"&amp;$B2638))</f>
        <v>46279.5987644111</v>
      </c>
    </row>
    <row r="2639" customFormat="false" ht="15" hidden="false" customHeight="true" outlineLevel="0" collapsed="false">
      <c r="A2639" s="42"/>
      <c r="B2639" s="42"/>
      <c r="C2639" s="42"/>
      <c r="D2639" s="42"/>
      <c r="E2639" s="42"/>
      <c r="F2639" s="51" t="n">
        <f aca="false">IF(OR(C2639="",D2639="",E2639="",E2639=0),0,C2639*D2639/E2639)</f>
        <v>0</v>
      </c>
      <c r="G2639" s="42"/>
      <c r="H2639" s="49" t="n">
        <f aca="true">IF(OR($A2639="",_xlfn.MINIFS($B$3:$B$5000,$A$3:$A$5000,$A2639,$B$3:$B$5000,"&gt;"&amp;$B2639)=0),NOW(),_xlfn.MINIFS($B$3:$B$5000,$A$3:$A$5000,$A2639,$B$3:$B$5000,"&gt;"&amp;$B2639))</f>
        <v>46279.5987644111</v>
      </c>
    </row>
    <row r="2640" customFormat="false" ht="15" hidden="false" customHeight="true" outlineLevel="0" collapsed="false">
      <c r="A2640" s="42"/>
      <c r="B2640" s="42"/>
      <c r="C2640" s="42"/>
      <c r="D2640" s="42"/>
      <c r="E2640" s="42"/>
      <c r="F2640" s="51" t="n">
        <f aca="false">IF(OR(C2640="",D2640="",E2640="",E2640=0),0,C2640*D2640/E2640)</f>
        <v>0</v>
      </c>
      <c r="G2640" s="42"/>
      <c r="H2640" s="49" t="n">
        <f aca="true">IF(OR($A2640="",_xlfn.MINIFS($B$3:$B$5000,$A$3:$A$5000,$A2640,$B$3:$B$5000,"&gt;"&amp;$B2640)=0),NOW(),_xlfn.MINIFS($B$3:$B$5000,$A$3:$A$5000,$A2640,$B$3:$B$5000,"&gt;"&amp;$B2640))</f>
        <v>46279.5987644112</v>
      </c>
    </row>
    <row r="2641" customFormat="false" ht="15" hidden="false" customHeight="true" outlineLevel="0" collapsed="false">
      <c r="A2641" s="42"/>
      <c r="B2641" s="42"/>
      <c r="C2641" s="42"/>
      <c r="D2641" s="42"/>
      <c r="E2641" s="42"/>
      <c r="F2641" s="51" t="n">
        <f aca="false">IF(OR(C2641="",D2641="",E2641="",E2641=0),0,C2641*D2641/E2641)</f>
        <v>0</v>
      </c>
      <c r="G2641" s="42"/>
      <c r="H2641" s="49" t="n">
        <f aca="true">IF(OR($A2641="",_xlfn.MINIFS($B$3:$B$5000,$A$3:$A$5000,$A2641,$B$3:$B$5000,"&gt;"&amp;$B2641)=0),NOW(),_xlfn.MINIFS($B$3:$B$5000,$A$3:$A$5000,$A2641,$B$3:$B$5000,"&gt;"&amp;$B2641))</f>
        <v>46279.5987644112</v>
      </c>
    </row>
    <row r="2642" customFormat="false" ht="15" hidden="false" customHeight="true" outlineLevel="0" collapsed="false">
      <c r="A2642" s="42"/>
      <c r="B2642" s="42"/>
      <c r="C2642" s="42"/>
      <c r="D2642" s="42"/>
      <c r="E2642" s="42"/>
      <c r="F2642" s="51" t="n">
        <f aca="false">IF(OR(C2642="",D2642="",E2642="",E2642=0),0,C2642*D2642/E2642)</f>
        <v>0</v>
      </c>
      <c r="G2642" s="42"/>
      <c r="H2642" s="49" t="n">
        <f aca="true">IF(OR($A2642="",_xlfn.MINIFS($B$3:$B$5000,$A$3:$A$5000,$A2642,$B$3:$B$5000,"&gt;"&amp;$B2642)=0),NOW(),_xlfn.MINIFS($B$3:$B$5000,$A$3:$A$5000,$A2642,$B$3:$B$5000,"&gt;"&amp;$B2642))</f>
        <v>46279.5987644113</v>
      </c>
    </row>
    <row r="2643" customFormat="false" ht="15" hidden="false" customHeight="true" outlineLevel="0" collapsed="false">
      <c r="A2643" s="42"/>
      <c r="B2643" s="42"/>
      <c r="C2643" s="42"/>
      <c r="D2643" s="42"/>
      <c r="E2643" s="42"/>
      <c r="F2643" s="51" t="n">
        <f aca="false">IF(OR(C2643="",D2643="",E2643="",E2643=0),0,C2643*D2643/E2643)</f>
        <v>0</v>
      </c>
      <c r="G2643" s="42"/>
      <c r="H2643" s="49" t="n">
        <f aca="true">IF(OR($A2643="",_xlfn.MINIFS($B$3:$B$5000,$A$3:$A$5000,$A2643,$B$3:$B$5000,"&gt;"&amp;$B2643)=0),NOW(),_xlfn.MINIFS($B$3:$B$5000,$A$3:$A$5000,$A2643,$B$3:$B$5000,"&gt;"&amp;$B2643))</f>
        <v>46279.5987644113</v>
      </c>
    </row>
    <row r="2644" customFormat="false" ht="15" hidden="false" customHeight="true" outlineLevel="0" collapsed="false">
      <c r="A2644" s="42"/>
      <c r="B2644" s="42"/>
      <c r="C2644" s="42"/>
      <c r="D2644" s="42"/>
      <c r="E2644" s="42"/>
      <c r="F2644" s="51" t="n">
        <f aca="false">IF(OR(C2644="",D2644="",E2644="",E2644=0),0,C2644*D2644/E2644)</f>
        <v>0</v>
      </c>
      <c r="G2644" s="42"/>
      <c r="H2644" s="49" t="n">
        <f aca="true">IF(OR($A2644="",_xlfn.MINIFS($B$3:$B$5000,$A$3:$A$5000,$A2644,$B$3:$B$5000,"&gt;"&amp;$B2644)=0),NOW(),_xlfn.MINIFS($B$3:$B$5000,$A$3:$A$5000,$A2644,$B$3:$B$5000,"&gt;"&amp;$B2644))</f>
        <v>46279.5987644114</v>
      </c>
    </row>
    <row r="2645" customFormat="false" ht="15" hidden="false" customHeight="true" outlineLevel="0" collapsed="false">
      <c r="A2645" s="42"/>
      <c r="B2645" s="42"/>
      <c r="C2645" s="42"/>
      <c r="D2645" s="42"/>
      <c r="E2645" s="42"/>
      <c r="F2645" s="51" t="n">
        <f aca="false">IF(OR(C2645="",D2645="",E2645="",E2645=0),0,C2645*D2645/E2645)</f>
        <v>0</v>
      </c>
      <c r="G2645" s="42"/>
      <c r="H2645" s="49" t="n">
        <f aca="true">IF(OR($A2645="",_xlfn.MINIFS($B$3:$B$5000,$A$3:$A$5000,$A2645,$B$3:$B$5000,"&gt;"&amp;$B2645)=0),NOW(),_xlfn.MINIFS($B$3:$B$5000,$A$3:$A$5000,$A2645,$B$3:$B$5000,"&gt;"&amp;$B2645))</f>
        <v>46279.5987644114</v>
      </c>
    </row>
    <row r="2646" customFormat="false" ht="15" hidden="false" customHeight="true" outlineLevel="0" collapsed="false">
      <c r="A2646" s="42"/>
      <c r="B2646" s="42"/>
      <c r="C2646" s="42"/>
      <c r="D2646" s="42"/>
      <c r="E2646" s="42"/>
      <c r="F2646" s="51" t="n">
        <f aca="false">IF(OR(C2646="",D2646="",E2646="",E2646=0),0,C2646*D2646/E2646)</f>
        <v>0</v>
      </c>
      <c r="G2646" s="42"/>
      <c r="H2646" s="49" t="n">
        <f aca="true">IF(OR($A2646="",_xlfn.MINIFS($B$3:$B$5000,$A$3:$A$5000,$A2646,$B$3:$B$5000,"&gt;"&amp;$B2646)=0),NOW(),_xlfn.MINIFS($B$3:$B$5000,$A$3:$A$5000,$A2646,$B$3:$B$5000,"&gt;"&amp;$B2646))</f>
        <v>46279.5987644115</v>
      </c>
    </row>
    <row r="2647" customFormat="false" ht="15" hidden="false" customHeight="true" outlineLevel="0" collapsed="false">
      <c r="A2647" s="42"/>
      <c r="B2647" s="42"/>
      <c r="C2647" s="42"/>
      <c r="D2647" s="42"/>
      <c r="E2647" s="42"/>
      <c r="F2647" s="51" t="n">
        <f aca="false">IF(OR(C2647="",D2647="",E2647="",E2647=0),0,C2647*D2647/E2647)</f>
        <v>0</v>
      </c>
      <c r="G2647" s="42"/>
      <c r="H2647" s="49" t="n">
        <f aca="true">IF(OR($A2647="",_xlfn.MINIFS($B$3:$B$5000,$A$3:$A$5000,$A2647,$B$3:$B$5000,"&gt;"&amp;$B2647)=0),NOW(),_xlfn.MINIFS($B$3:$B$5000,$A$3:$A$5000,$A2647,$B$3:$B$5000,"&gt;"&amp;$B2647))</f>
        <v>46279.5987644115</v>
      </c>
    </row>
    <row r="2648" customFormat="false" ht="15" hidden="false" customHeight="true" outlineLevel="0" collapsed="false">
      <c r="A2648" s="42"/>
      <c r="B2648" s="42"/>
      <c r="C2648" s="42"/>
      <c r="D2648" s="42"/>
      <c r="E2648" s="42"/>
      <c r="F2648" s="51" t="n">
        <f aca="false">IF(OR(C2648="",D2648="",E2648="",E2648=0),0,C2648*D2648/E2648)</f>
        <v>0</v>
      </c>
      <c r="G2648" s="42"/>
      <c r="H2648" s="49" t="n">
        <f aca="true">IF(OR($A2648="",_xlfn.MINIFS($B$3:$B$5000,$A$3:$A$5000,$A2648,$B$3:$B$5000,"&gt;"&amp;$B2648)=0),NOW(),_xlfn.MINIFS($B$3:$B$5000,$A$3:$A$5000,$A2648,$B$3:$B$5000,"&gt;"&amp;$B2648))</f>
        <v>46279.5987644116</v>
      </c>
    </row>
    <row r="2649" customFormat="false" ht="15" hidden="false" customHeight="true" outlineLevel="0" collapsed="false">
      <c r="A2649" s="42"/>
      <c r="B2649" s="42"/>
      <c r="C2649" s="42"/>
      <c r="D2649" s="42"/>
      <c r="E2649" s="42"/>
      <c r="F2649" s="51" t="n">
        <f aca="false">IF(OR(C2649="",D2649="",E2649="",E2649=0),0,C2649*D2649/E2649)</f>
        <v>0</v>
      </c>
      <c r="G2649" s="42"/>
      <c r="H2649" s="49" t="n">
        <f aca="true">IF(OR($A2649="",_xlfn.MINIFS($B$3:$B$5000,$A$3:$A$5000,$A2649,$B$3:$B$5000,"&gt;"&amp;$B2649)=0),NOW(),_xlfn.MINIFS($B$3:$B$5000,$A$3:$A$5000,$A2649,$B$3:$B$5000,"&gt;"&amp;$B2649))</f>
        <v>46279.5987644116</v>
      </c>
    </row>
    <row r="2650" customFormat="false" ht="15" hidden="false" customHeight="true" outlineLevel="0" collapsed="false">
      <c r="A2650" s="42"/>
      <c r="B2650" s="42"/>
      <c r="C2650" s="42"/>
      <c r="D2650" s="42"/>
      <c r="E2650" s="42"/>
      <c r="F2650" s="51" t="n">
        <f aca="false">IF(OR(C2650="",D2650="",E2650="",E2650=0),0,C2650*D2650/E2650)</f>
        <v>0</v>
      </c>
      <c r="G2650" s="42"/>
      <c r="H2650" s="49" t="n">
        <f aca="true">IF(OR($A2650="",_xlfn.MINIFS($B$3:$B$5000,$A$3:$A$5000,$A2650,$B$3:$B$5000,"&gt;"&amp;$B2650)=0),NOW(),_xlfn.MINIFS($B$3:$B$5000,$A$3:$A$5000,$A2650,$B$3:$B$5000,"&gt;"&amp;$B2650))</f>
        <v>46279.5987644117</v>
      </c>
    </row>
    <row r="2651" customFormat="false" ht="15" hidden="false" customHeight="true" outlineLevel="0" collapsed="false">
      <c r="A2651" s="42"/>
      <c r="B2651" s="42"/>
      <c r="C2651" s="42"/>
      <c r="D2651" s="42"/>
      <c r="E2651" s="42"/>
      <c r="F2651" s="51" t="n">
        <f aca="false">IF(OR(C2651="",D2651="",E2651="",E2651=0),0,C2651*D2651/E2651)</f>
        <v>0</v>
      </c>
      <c r="G2651" s="42"/>
      <c r="H2651" s="49" t="n">
        <f aca="true">IF(OR($A2651="",_xlfn.MINIFS($B$3:$B$5000,$A$3:$A$5000,$A2651,$B$3:$B$5000,"&gt;"&amp;$B2651)=0),NOW(),_xlfn.MINIFS($B$3:$B$5000,$A$3:$A$5000,$A2651,$B$3:$B$5000,"&gt;"&amp;$B2651))</f>
        <v>46279.5987644117</v>
      </c>
    </row>
    <row r="2652" customFormat="false" ht="15" hidden="false" customHeight="true" outlineLevel="0" collapsed="false">
      <c r="A2652" s="42"/>
      <c r="B2652" s="42"/>
      <c r="C2652" s="42"/>
      <c r="D2652" s="42"/>
      <c r="E2652" s="42"/>
      <c r="F2652" s="51" t="n">
        <f aca="false">IF(OR(C2652="",D2652="",E2652="",E2652=0),0,C2652*D2652/E2652)</f>
        <v>0</v>
      </c>
      <c r="G2652" s="42"/>
      <c r="H2652" s="49" t="n">
        <f aca="true">IF(OR($A2652="",_xlfn.MINIFS($B$3:$B$5000,$A$3:$A$5000,$A2652,$B$3:$B$5000,"&gt;"&amp;$B2652)=0),NOW(),_xlfn.MINIFS($B$3:$B$5000,$A$3:$A$5000,$A2652,$B$3:$B$5000,"&gt;"&amp;$B2652))</f>
        <v>46279.5987644118</v>
      </c>
    </row>
    <row r="2653" customFormat="false" ht="15" hidden="false" customHeight="true" outlineLevel="0" collapsed="false">
      <c r="A2653" s="42"/>
      <c r="B2653" s="42"/>
      <c r="C2653" s="42"/>
      <c r="D2653" s="42"/>
      <c r="E2653" s="42"/>
      <c r="F2653" s="51" t="n">
        <f aca="false">IF(OR(C2653="",D2653="",E2653="",E2653=0),0,C2653*D2653/E2653)</f>
        <v>0</v>
      </c>
      <c r="G2653" s="42"/>
      <c r="H2653" s="49" t="n">
        <f aca="true">IF(OR($A2653="",_xlfn.MINIFS($B$3:$B$5000,$A$3:$A$5000,$A2653,$B$3:$B$5000,"&gt;"&amp;$B2653)=0),NOW(),_xlfn.MINIFS($B$3:$B$5000,$A$3:$A$5000,$A2653,$B$3:$B$5000,"&gt;"&amp;$B2653))</f>
        <v>46279.5987644118</v>
      </c>
    </row>
    <row r="2654" customFormat="false" ht="15" hidden="false" customHeight="true" outlineLevel="0" collapsed="false">
      <c r="A2654" s="42"/>
      <c r="B2654" s="42"/>
      <c r="C2654" s="42"/>
      <c r="D2654" s="42"/>
      <c r="E2654" s="42"/>
      <c r="F2654" s="51" t="n">
        <f aca="false">IF(OR(C2654="",D2654="",E2654="",E2654=0),0,C2654*D2654/E2654)</f>
        <v>0</v>
      </c>
      <c r="G2654" s="42"/>
      <c r="H2654" s="49" t="n">
        <f aca="true">IF(OR($A2654="",_xlfn.MINIFS($B$3:$B$5000,$A$3:$A$5000,$A2654,$B$3:$B$5000,"&gt;"&amp;$B2654)=0),NOW(),_xlfn.MINIFS($B$3:$B$5000,$A$3:$A$5000,$A2654,$B$3:$B$5000,"&gt;"&amp;$B2654))</f>
        <v>46279.5987644119</v>
      </c>
    </row>
    <row r="2655" customFormat="false" ht="15" hidden="false" customHeight="true" outlineLevel="0" collapsed="false">
      <c r="A2655" s="42"/>
      <c r="B2655" s="42"/>
      <c r="C2655" s="42"/>
      <c r="D2655" s="42"/>
      <c r="E2655" s="42"/>
      <c r="F2655" s="51" t="n">
        <f aca="false">IF(OR(C2655="",D2655="",E2655="",E2655=0),0,C2655*D2655/E2655)</f>
        <v>0</v>
      </c>
      <c r="G2655" s="42"/>
      <c r="H2655" s="49" t="n">
        <f aca="true">IF(OR($A2655="",_xlfn.MINIFS($B$3:$B$5000,$A$3:$A$5000,$A2655,$B$3:$B$5000,"&gt;"&amp;$B2655)=0),NOW(),_xlfn.MINIFS($B$3:$B$5000,$A$3:$A$5000,$A2655,$B$3:$B$5000,"&gt;"&amp;$B2655))</f>
        <v>46279.5987644119</v>
      </c>
    </row>
    <row r="2656" customFormat="false" ht="15" hidden="false" customHeight="true" outlineLevel="0" collapsed="false">
      <c r="A2656" s="42"/>
      <c r="B2656" s="42"/>
      <c r="C2656" s="42"/>
      <c r="D2656" s="42"/>
      <c r="E2656" s="42"/>
      <c r="F2656" s="51" t="n">
        <f aca="false">IF(OR(C2656="",D2656="",E2656="",E2656=0),0,C2656*D2656/E2656)</f>
        <v>0</v>
      </c>
      <c r="G2656" s="42"/>
      <c r="H2656" s="49" t="n">
        <f aca="true">IF(OR($A2656="",_xlfn.MINIFS($B$3:$B$5000,$A$3:$A$5000,$A2656,$B$3:$B$5000,"&gt;"&amp;$B2656)=0),NOW(),_xlfn.MINIFS($B$3:$B$5000,$A$3:$A$5000,$A2656,$B$3:$B$5000,"&gt;"&amp;$B2656))</f>
        <v>46279.598764412</v>
      </c>
    </row>
    <row r="2657" customFormat="false" ht="15" hidden="false" customHeight="true" outlineLevel="0" collapsed="false">
      <c r="A2657" s="42"/>
      <c r="B2657" s="42"/>
      <c r="C2657" s="42"/>
      <c r="D2657" s="42"/>
      <c r="E2657" s="42"/>
      <c r="F2657" s="51" t="n">
        <f aca="false">IF(OR(C2657="",D2657="",E2657="",E2657=0),0,C2657*D2657/E2657)</f>
        <v>0</v>
      </c>
      <c r="G2657" s="42"/>
      <c r="H2657" s="49" t="n">
        <f aca="true">IF(OR($A2657="",_xlfn.MINIFS($B$3:$B$5000,$A$3:$A$5000,$A2657,$B$3:$B$5000,"&gt;"&amp;$B2657)=0),NOW(),_xlfn.MINIFS($B$3:$B$5000,$A$3:$A$5000,$A2657,$B$3:$B$5000,"&gt;"&amp;$B2657))</f>
        <v>46279.598764412</v>
      </c>
    </row>
    <row r="2658" customFormat="false" ht="15" hidden="false" customHeight="true" outlineLevel="0" collapsed="false">
      <c r="A2658" s="42"/>
      <c r="B2658" s="42"/>
      <c r="C2658" s="42"/>
      <c r="D2658" s="42"/>
      <c r="E2658" s="42"/>
      <c r="F2658" s="51" t="n">
        <f aca="false">IF(OR(C2658="",D2658="",E2658="",E2658=0),0,C2658*D2658/E2658)</f>
        <v>0</v>
      </c>
      <c r="G2658" s="42"/>
      <c r="H2658" s="49" t="n">
        <f aca="true">IF(OR($A2658="",_xlfn.MINIFS($B$3:$B$5000,$A$3:$A$5000,$A2658,$B$3:$B$5000,"&gt;"&amp;$B2658)=0),NOW(),_xlfn.MINIFS($B$3:$B$5000,$A$3:$A$5000,$A2658,$B$3:$B$5000,"&gt;"&amp;$B2658))</f>
        <v>46279.5987644121</v>
      </c>
    </row>
    <row r="2659" customFormat="false" ht="15" hidden="false" customHeight="true" outlineLevel="0" collapsed="false">
      <c r="A2659" s="42"/>
      <c r="B2659" s="42"/>
      <c r="C2659" s="42"/>
      <c r="D2659" s="42"/>
      <c r="E2659" s="42"/>
      <c r="F2659" s="51" t="n">
        <f aca="false">IF(OR(C2659="",D2659="",E2659="",E2659=0),0,C2659*D2659/E2659)</f>
        <v>0</v>
      </c>
      <c r="G2659" s="42"/>
      <c r="H2659" s="49" t="n">
        <f aca="true">IF(OR($A2659="",_xlfn.MINIFS($B$3:$B$5000,$A$3:$A$5000,$A2659,$B$3:$B$5000,"&gt;"&amp;$B2659)=0),NOW(),_xlfn.MINIFS($B$3:$B$5000,$A$3:$A$5000,$A2659,$B$3:$B$5000,"&gt;"&amp;$B2659))</f>
        <v>46279.5987644121</v>
      </c>
    </row>
    <row r="2660" customFormat="false" ht="15" hidden="false" customHeight="true" outlineLevel="0" collapsed="false">
      <c r="A2660" s="42"/>
      <c r="B2660" s="42"/>
      <c r="C2660" s="42"/>
      <c r="D2660" s="42"/>
      <c r="E2660" s="42"/>
      <c r="F2660" s="51" t="n">
        <f aca="false">IF(OR(C2660="",D2660="",E2660="",E2660=0),0,C2660*D2660/E2660)</f>
        <v>0</v>
      </c>
      <c r="G2660" s="42"/>
      <c r="H2660" s="49" t="n">
        <f aca="true">IF(OR($A2660="",_xlfn.MINIFS($B$3:$B$5000,$A$3:$A$5000,$A2660,$B$3:$B$5000,"&gt;"&amp;$B2660)=0),NOW(),_xlfn.MINIFS($B$3:$B$5000,$A$3:$A$5000,$A2660,$B$3:$B$5000,"&gt;"&amp;$B2660))</f>
        <v>46279.5987644122</v>
      </c>
    </row>
    <row r="2661" customFormat="false" ht="15" hidden="false" customHeight="true" outlineLevel="0" collapsed="false">
      <c r="A2661" s="42"/>
      <c r="B2661" s="42"/>
      <c r="C2661" s="42"/>
      <c r="D2661" s="42"/>
      <c r="E2661" s="42"/>
      <c r="F2661" s="51" t="n">
        <f aca="false">IF(OR(C2661="",D2661="",E2661="",E2661=0),0,C2661*D2661/E2661)</f>
        <v>0</v>
      </c>
      <c r="G2661" s="42"/>
      <c r="H2661" s="49" t="n">
        <f aca="true">IF(OR($A2661="",_xlfn.MINIFS($B$3:$B$5000,$A$3:$A$5000,$A2661,$B$3:$B$5000,"&gt;"&amp;$B2661)=0),NOW(),_xlfn.MINIFS($B$3:$B$5000,$A$3:$A$5000,$A2661,$B$3:$B$5000,"&gt;"&amp;$B2661))</f>
        <v>46279.5987644122</v>
      </c>
    </row>
    <row r="2662" customFormat="false" ht="15" hidden="false" customHeight="true" outlineLevel="0" collapsed="false">
      <c r="A2662" s="42"/>
      <c r="B2662" s="42"/>
      <c r="C2662" s="42"/>
      <c r="D2662" s="42"/>
      <c r="E2662" s="42"/>
      <c r="F2662" s="51" t="n">
        <f aca="false">IF(OR(C2662="",D2662="",E2662="",E2662=0),0,C2662*D2662/E2662)</f>
        <v>0</v>
      </c>
      <c r="G2662" s="42"/>
      <c r="H2662" s="49" t="n">
        <f aca="true">IF(OR($A2662="",_xlfn.MINIFS($B$3:$B$5000,$A$3:$A$5000,$A2662,$B$3:$B$5000,"&gt;"&amp;$B2662)=0),NOW(),_xlfn.MINIFS($B$3:$B$5000,$A$3:$A$5000,$A2662,$B$3:$B$5000,"&gt;"&amp;$B2662))</f>
        <v>46279.5987644123</v>
      </c>
    </row>
    <row r="2663" customFormat="false" ht="15" hidden="false" customHeight="true" outlineLevel="0" collapsed="false">
      <c r="A2663" s="42"/>
      <c r="B2663" s="42"/>
      <c r="C2663" s="42"/>
      <c r="D2663" s="42"/>
      <c r="E2663" s="42"/>
      <c r="F2663" s="51" t="n">
        <f aca="false">IF(OR(C2663="",D2663="",E2663="",E2663=0),0,C2663*D2663/E2663)</f>
        <v>0</v>
      </c>
      <c r="G2663" s="42"/>
      <c r="H2663" s="49" t="n">
        <f aca="true">IF(OR($A2663="",_xlfn.MINIFS($B$3:$B$5000,$A$3:$A$5000,$A2663,$B$3:$B$5000,"&gt;"&amp;$B2663)=0),NOW(),_xlfn.MINIFS($B$3:$B$5000,$A$3:$A$5000,$A2663,$B$3:$B$5000,"&gt;"&amp;$B2663))</f>
        <v>46279.5987644123</v>
      </c>
    </row>
    <row r="2664" customFormat="false" ht="15" hidden="false" customHeight="true" outlineLevel="0" collapsed="false">
      <c r="A2664" s="42"/>
      <c r="B2664" s="42"/>
      <c r="C2664" s="42"/>
      <c r="D2664" s="42"/>
      <c r="E2664" s="42"/>
      <c r="F2664" s="51" t="n">
        <f aca="false">IF(OR(C2664="",D2664="",E2664="",E2664=0),0,C2664*D2664/E2664)</f>
        <v>0</v>
      </c>
      <c r="G2664" s="42"/>
      <c r="H2664" s="49" t="n">
        <f aca="true">IF(OR($A2664="",_xlfn.MINIFS($B$3:$B$5000,$A$3:$A$5000,$A2664,$B$3:$B$5000,"&gt;"&amp;$B2664)=0),NOW(),_xlfn.MINIFS($B$3:$B$5000,$A$3:$A$5000,$A2664,$B$3:$B$5000,"&gt;"&amp;$B2664))</f>
        <v>46279.5987644124</v>
      </c>
    </row>
    <row r="2665" customFormat="false" ht="15" hidden="false" customHeight="true" outlineLevel="0" collapsed="false">
      <c r="A2665" s="42"/>
      <c r="B2665" s="42"/>
      <c r="C2665" s="42"/>
      <c r="D2665" s="42"/>
      <c r="E2665" s="42"/>
      <c r="F2665" s="51" t="n">
        <f aca="false">IF(OR(C2665="",D2665="",E2665="",E2665=0),0,C2665*D2665/E2665)</f>
        <v>0</v>
      </c>
      <c r="G2665" s="42"/>
      <c r="H2665" s="49" t="n">
        <f aca="true">IF(OR($A2665="",_xlfn.MINIFS($B$3:$B$5000,$A$3:$A$5000,$A2665,$B$3:$B$5000,"&gt;"&amp;$B2665)=0),NOW(),_xlfn.MINIFS($B$3:$B$5000,$A$3:$A$5000,$A2665,$B$3:$B$5000,"&gt;"&amp;$B2665))</f>
        <v>46279.5987644124</v>
      </c>
    </row>
    <row r="2666" customFormat="false" ht="15" hidden="false" customHeight="true" outlineLevel="0" collapsed="false">
      <c r="A2666" s="42"/>
      <c r="B2666" s="42"/>
      <c r="C2666" s="42"/>
      <c r="D2666" s="42"/>
      <c r="E2666" s="42"/>
      <c r="F2666" s="51" t="n">
        <f aca="false">IF(OR(C2666="",D2666="",E2666="",E2666=0),0,C2666*D2666/E2666)</f>
        <v>0</v>
      </c>
      <c r="G2666" s="42"/>
      <c r="H2666" s="49" t="n">
        <f aca="true">IF(OR($A2666="",_xlfn.MINIFS($B$3:$B$5000,$A$3:$A$5000,$A2666,$B$3:$B$5000,"&gt;"&amp;$B2666)=0),NOW(),_xlfn.MINIFS($B$3:$B$5000,$A$3:$A$5000,$A2666,$B$3:$B$5000,"&gt;"&amp;$B2666))</f>
        <v>46279.5987644125</v>
      </c>
    </row>
    <row r="2667" customFormat="false" ht="15" hidden="false" customHeight="true" outlineLevel="0" collapsed="false">
      <c r="A2667" s="42"/>
      <c r="B2667" s="42"/>
      <c r="C2667" s="42"/>
      <c r="D2667" s="42"/>
      <c r="E2667" s="42"/>
      <c r="F2667" s="51" t="n">
        <f aca="false">IF(OR(C2667="",D2667="",E2667="",E2667=0),0,C2667*D2667/E2667)</f>
        <v>0</v>
      </c>
      <c r="G2667" s="42"/>
      <c r="H2667" s="49" t="n">
        <f aca="true">IF(OR($A2667="",_xlfn.MINIFS($B$3:$B$5000,$A$3:$A$5000,$A2667,$B$3:$B$5000,"&gt;"&amp;$B2667)=0),NOW(),_xlfn.MINIFS($B$3:$B$5000,$A$3:$A$5000,$A2667,$B$3:$B$5000,"&gt;"&amp;$B2667))</f>
        <v>46279.5987644125</v>
      </c>
    </row>
    <row r="2668" customFormat="false" ht="15" hidden="false" customHeight="true" outlineLevel="0" collapsed="false">
      <c r="A2668" s="42"/>
      <c r="B2668" s="42"/>
      <c r="C2668" s="42"/>
      <c r="D2668" s="42"/>
      <c r="E2668" s="42"/>
      <c r="F2668" s="51" t="n">
        <f aca="false">IF(OR(C2668="",D2668="",E2668="",E2668=0),0,C2668*D2668/E2668)</f>
        <v>0</v>
      </c>
      <c r="G2668" s="42"/>
      <c r="H2668" s="49" t="n">
        <f aca="true">IF(OR($A2668="",_xlfn.MINIFS($B$3:$B$5000,$A$3:$A$5000,$A2668,$B$3:$B$5000,"&gt;"&amp;$B2668)=0),NOW(),_xlfn.MINIFS($B$3:$B$5000,$A$3:$A$5000,$A2668,$B$3:$B$5000,"&gt;"&amp;$B2668))</f>
        <v>46279.5987644126</v>
      </c>
    </row>
    <row r="2669" customFormat="false" ht="15" hidden="false" customHeight="true" outlineLevel="0" collapsed="false">
      <c r="A2669" s="42"/>
      <c r="B2669" s="42"/>
      <c r="C2669" s="42"/>
      <c r="D2669" s="42"/>
      <c r="E2669" s="42"/>
      <c r="F2669" s="51" t="n">
        <f aca="false">IF(OR(C2669="",D2669="",E2669="",E2669=0),0,C2669*D2669/E2669)</f>
        <v>0</v>
      </c>
      <c r="G2669" s="42"/>
      <c r="H2669" s="49" t="n">
        <f aca="true">IF(OR($A2669="",_xlfn.MINIFS($B$3:$B$5000,$A$3:$A$5000,$A2669,$B$3:$B$5000,"&gt;"&amp;$B2669)=0),NOW(),_xlfn.MINIFS($B$3:$B$5000,$A$3:$A$5000,$A2669,$B$3:$B$5000,"&gt;"&amp;$B2669))</f>
        <v>46279.5987644126</v>
      </c>
    </row>
    <row r="2670" customFormat="false" ht="15" hidden="false" customHeight="true" outlineLevel="0" collapsed="false">
      <c r="A2670" s="42"/>
      <c r="B2670" s="42"/>
      <c r="C2670" s="42"/>
      <c r="D2670" s="42"/>
      <c r="E2670" s="42"/>
      <c r="F2670" s="51" t="n">
        <f aca="false">IF(OR(C2670="",D2670="",E2670="",E2670=0),0,C2670*D2670/E2670)</f>
        <v>0</v>
      </c>
      <c r="G2670" s="42"/>
      <c r="H2670" s="49" t="n">
        <f aca="true">IF(OR($A2670="",_xlfn.MINIFS($B$3:$B$5000,$A$3:$A$5000,$A2670,$B$3:$B$5000,"&gt;"&amp;$B2670)=0),NOW(),_xlfn.MINIFS($B$3:$B$5000,$A$3:$A$5000,$A2670,$B$3:$B$5000,"&gt;"&amp;$B2670))</f>
        <v>46279.5987644127</v>
      </c>
    </row>
    <row r="2671" customFormat="false" ht="15" hidden="false" customHeight="true" outlineLevel="0" collapsed="false">
      <c r="A2671" s="42"/>
      <c r="B2671" s="42"/>
      <c r="C2671" s="42"/>
      <c r="D2671" s="42"/>
      <c r="E2671" s="42"/>
      <c r="F2671" s="51" t="n">
        <f aca="false">IF(OR(C2671="",D2671="",E2671="",E2671=0),0,C2671*D2671/E2671)</f>
        <v>0</v>
      </c>
      <c r="G2671" s="42"/>
      <c r="H2671" s="49" t="n">
        <f aca="true">IF(OR($A2671="",_xlfn.MINIFS($B$3:$B$5000,$A$3:$A$5000,$A2671,$B$3:$B$5000,"&gt;"&amp;$B2671)=0),NOW(),_xlfn.MINIFS($B$3:$B$5000,$A$3:$A$5000,$A2671,$B$3:$B$5000,"&gt;"&amp;$B2671))</f>
        <v>46279.5987644127</v>
      </c>
    </row>
    <row r="2672" customFormat="false" ht="15" hidden="false" customHeight="true" outlineLevel="0" collapsed="false">
      <c r="A2672" s="42"/>
      <c r="B2672" s="42"/>
      <c r="C2672" s="42"/>
      <c r="D2672" s="42"/>
      <c r="E2672" s="42"/>
      <c r="F2672" s="51" t="n">
        <f aca="false">IF(OR(C2672="",D2672="",E2672="",E2672=0),0,C2672*D2672/E2672)</f>
        <v>0</v>
      </c>
      <c r="G2672" s="42"/>
      <c r="H2672" s="49" t="n">
        <f aca="true">IF(OR($A2672="",_xlfn.MINIFS($B$3:$B$5000,$A$3:$A$5000,$A2672,$B$3:$B$5000,"&gt;"&amp;$B2672)=0),NOW(),_xlfn.MINIFS($B$3:$B$5000,$A$3:$A$5000,$A2672,$B$3:$B$5000,"&gt;"&amp;$B2672))</f>
        <v>46279.5987644128</v>
      </c>
    </row>
    <row r="2673" customFormat="false" ht="15" hidden="false" customHeight="true" outlineLevel="0" collapsed="false">
      <c r="A2673" s="42"/>
      <c r="B2673" s="42"/>
      <c r="C2673" s="42"/>
      <c r="D2673" s="42"/>
      <c r="E2673" s="42"/>
      <c r="F2673" s="51" t="n">
        <f aca="false">IF(OR(C2673="",D2673="",E2673="",E2673=0),0,C2673*D2673/E2673)</f>
        <v>0</v>
      </c>
      <c r="G2673" s="42"/>
      <c r="H2673" s="49" t="n">
        <f aca="true">IF(OR($A2673="",_xlfn.MINIFS($B$3:$B$5000,$A$3:$A$5000,$A2673,$B$3:$B$5000,"&gt;"&amp;$B2673)=0),NOW(),_xlfn.MINIFS($B$3:$B$5000,$A$3:$A$5000,$A2673,$B$3:$B$5000,"&gt;"&amp;$B2673))</f>
        <v>46279.5987644128</v>
      </c>
    </row>
    <row r="2674" customFormat="false" ht="15" hidden="false" customHeight="true" outlineLevel="0" collapsed="false">
      <c r="A2674" s="42"/>
      <c r="B2674" s="42"/>
      <c r="C2674" s="42"/>
      <c r="D2674" s="42"/>
      <c r="E2674" s="42"/>
      <c r="F2674" s="51" t="n">
        <f aca="false">IF(OR(C2674="",D2674="",E2674="",E2674=0),0,C2674*D2674/E2674)</f>
        <v>0</v>
      </c>
      <c r="G2674" s="42"/>
      <c r="H2674" s="49" t="n">
        <f aca="true">IF(OR($A2674="",_xlfn.MINIFS($B$3:$B$5000,$A$3:$A$5000,$A2674,$B$3:$B$5000,"&gt;"&amp;$B2674)=0),NOW(),_xlfn.MINIFS($B$3:$B$5000,$A$3:$A$5000,$A2674,$B$3:$B$5000,"&gt;"&amp;$B2674))</f>
        <v>46279.5987644129</v>
      </c>
    </row>
    <row r="2675" customFormat="false" ht="15" hidden="false" customHeight="true" outlineLevel="0" collapsed="false">
      <c r="A2675" s="42"/>
      <c r="B2675" s="42"/>
      <c r="C2675" s="42"/>
      <c r="D2675" s="42"/>
      <c r="E2675" s="42"/>
      <c r="F2675" s="51" t="n">
        <f aca="false">IF(OR(C2675="",D2675="",E2675="",E2675=0),0,C2675*D2675/E2675)</f>
        <v>0</v>
      </c>
      <c r="G2675" s="42"/>
      <c r="H2675" s="49" t="n">
        <f aca="true">IF(OR($A2675="",_xlfn.MINIFS($B$3:$B$5000,$A$3:$A$5000,$A2675,$B$3:$B$5000,"&gt;"&amp;$B2675)=0),NOW(),_xlfn.MINIFS($B$3:$B$5000,$A$3:$A$5000,$A2675,$B$3:$B$5000,"&gt;"&amp;$B2675))</f>
        <v>46279.5987644129</v>
      </c>
    </row>
    <row r="2676" customFormat="false" ht="15" hidden="false" customHeight="true" outlineLevel="0" collapsed="false">
      <c r="A2676" s="42"/>
      <c r="B2676" s="42"/>
      <c r="C2676" s="42"/>
      <c r="D2676" s="42"/>
      <c r="E2676" s="42"/>
      <c r="F2676" s="51" t="n">
        <f aca="false">IF(OR(C2676="",D2676="",E2676="",E2676=0),0,C2676*D2676/E2676)</f>
        <v>0</v>
      </c>
      <c r="G2676" s="42"/>
      <c r="H2676" s="49" t="n">
        <f aca="true">IF(OR($A2676="",_xlfn.MINIFS($B$3:$B$5000,$A$3:$A$5000,$A2676,$B$3:$B$5000,"&gt;"&amp;$B2676)=0),NOW(),_xlfn.MINIFS($B$3:$B$5000,$A$3:$A$5000,$A2676,$B$3:$B$5000,"&gt;"&amp;$B2676))</f>
        <v>46279.598764413</v>
      </c>
    </row>
    <row r="2677" customFormat="false" ht="15" hidden="false" customHeight="true" outlineLevel="0" collapsed="false">
      <c r="A2677" s="42"/>
      <c r="B2677" s="42"/>
      <c r="C2677" s="42"/>
      <c r="D2677" s="42"/>
      <c r="E2677" s="42"/>
      <c r="F2677" s="51" t="n">
        <f aca="false">IF(OR(C2677="",D2677="",E2677="",E2677=0),0,C2677*D2677/E2677)</f>
        <v>0</v>
      </c>
      <c r="G2677" s="42"/>
      <c r="H2677" s="49" t="n">
        <f aca="true">IF(OR($A2677="",_xlfn.MINIFS($B$3:$B$5000,$A$3:$A$5000,$A2677,$B$3:$B$5000,"&gt;"&amp;$B2677)=0),NOW(),_xlfn.MINIFS($B$3:$B$5000,$A$3:$A$5000,$A2677,$B$3:$B$5000,"&gt;"&amp;$B2677))</f>
        <v>46279.598764413</v>
      </c>
    </row>
    <row r="2678" customFormat="false" ht="15" hidden="false" customHeight="true" outlineLevel="0" collapsed="false">
      <c r="A2678" s="42"/>
      <c r="B2678" s="42"/>
      <c r="C2678" s="42"/>
      <c r="D2678" s="42"/>
      <c r="E2678" s="42"/>
      <c r="F2678" s="51" t="n">
        <f aca="false">IF(OR(C2678="",D2678="",E2678="",E2678=0),0,C2678*D2678/E2678)</f>
        <v>0</v>
      </c>
      <c r="G2678" s="42"/>
      <c r="H2678" s="49" t="n">
        <f aca="true">IF(OR($A2678="",_xlfn.MINIFS($B$3:$B$5000,$A$3:$A$5000,$A2678,$B$3:$B$5000,"&gt;"&amp;$B2678)=0),NOW(),_xlfn.MINIFS($B$3:$B$5000,$A$3:$A$5000,$A2678,$B$3:$B$5000,"&gt;"&amp;$B2678))</f>
        <v>46279.5987644131</v>
      </c>
    </row>
    <row r="2679" customFormat="false" ht="15" hidden="false" customHeight="true" outlineLevel="0" collapsed="false">
      <c r="A2679" s="42"/>
      <c r="B2679" s="42"/>
      <c r="C2679" s="42"/>
      <c r="D2679" s="42"/>
      <c r="E2679" s="42"/>
      <c r="F2679" s="51" t="n">
        <f aca="false">IF(OR(C2679="",D2679="",E2679="",E2679=0),0,C2679*D2679/E2679)</f>
        <v>0</v>
      </c>
      <c r="G2679" s="42"/>
      <c r="H2679" s="49" t="n">
        <f aca="true">IF(OR($A2679="",_xlfn.MINIFS($B$3:$B$5000,$A$3:$A$5000,$A2679,$B$3:$B$5000,"&gt;"&amp;$B2679)=0),NOW(),_xlfn.MINIFS($B$3:$B$5000,$A$3:$A$5000,$A2679,$B$3:$B$5000,"&gt;"&amp;$B2679))</f>
        <v>46279.5987644131</v>
      </c>
    </row>
    <row r="2680" customFormat="false" ht="15" hidden="false" customHeight="true" outlineLevel="0" collapsed="false">
      <c r="A2680" s="42"/>
      <c r="B2680" s="42"/>
      <c r="C2680" s="42"/>
      <c r="D2680" s="42"/>
      <c r="E2680" s="42"/>
      <c r="F2680" s="51" t="n">
        <f aca="false">IF(OR(C2680="",D2680="",E2680="",E2680=0),0,C2680*D2680/E2680)</f>
        <v>0</v>
      </c>
      <c r="G2680" s="42"/>
      <c r="H2680" s="49" t="n">
        <f aca="true">IF(OR($A2680="",_xlfn.MINIFS($B$3:$B$5000,$A$3:$A$5000,$A2680,$B$3:$B$5000,"&gt;"&amp;$B2680)=0),NOW(),_xlfn.MINIFS($B$3:$B$5000,$A$3:$A$5000,$A2680,$B$3:$B$5000,"&gt;"&amp;$B2680))</f>
        <v>46279.5987644132</v>
      </c>
    </row>
    <row r="2681" customFormat="false" ht="15" hidden="false" customHeight="true" outlineLevel="0" collapsed="false">
      <c r="A2681" s="42"/>
      <c r="B2681" s="42"/>
      <c r="C2681" s="42"/>
      <c r="D2681" s="42"/>
      <c r="E2681" s="42"/>
      <c r="F2681" s="51" t="n">
        <f aca="false">IF(OR(C2681="",D2681="",E2681="",E2681=0),0,C2681*D2681/E2681)</f>
        <v>0</v>
      </c>
      <c r="G2681" s="42"/>
      <c r="H2681" s="49" t="n">
        <f aca="true">IF(OR($A2681="",_xlfn.MINIFS($B$3:$B$5000,$A$3:$A$5000,$A2681,$B$3:$B$5000,"&gt;"&amp;$B2681)=0),NOW(),_xlfn.MINIFS($B$3:$B$5000,$A$3:$A$5000,$A2681,$B$3:$B$5000,"&gt;"&amp;$B2681))</f>
        <v>46279.5987644132</v>
      </c>
    </row>
    <row r="2682" customFormat="false" ht="15" hidden="false" customHeight="true" outlineLevel="0" collapsed="false">
      <c r="A2682" s="42"/>
      <c r="B2682" s="42"/>
      <c r="C2682" s="42"/>
      <c r="D2682" s="42"/>
      <c r="E2682" s="42"/>
      <c r="F2682" s="51" t="n">
        <f aca="false">IF(OR(C2682="",D2682="",E2682="",E2682=0),0,C2682*D2682/E2682)</f>
        <v>0</v>
      </c>
      <c r="G2682" s="42"/>
      <c r="H2682" s="49" t="n">
        <f aca="true">IF(OR($A2682="",_xlfn.MINIFS($B$3:$B$5000,$A$3:$A$5000,$A2682,$B$3:$B$5000,"&gt;"&amp;$B2682)=0),NOW(),_xlfn.MINIFS($B$3:$B$5000,$A$3:$A$5000,$A2682,$B$3:$B$5000,"&gt;"&amp;$B2682))</f>
        <v>46279.5987644133</v>
      </c>
    </row>
    <row r="2683" customFormat="false" ht="15" hidden="false" customHeight="true" outlineLevel="0" collapsed="false">
      <c r="A2683" s="42"/>
      <c r="B2683" s="42"/>
      <c r="C2683" s="42"/>
      <c r="D2683" s="42"/>
      <c r="E2683" s="42"/>
      <c r="F2683" s="51" t="n">
        <f aca="false">IF(OR(C2683="",D2683="",E2683="",E2683=0),0,C2683*D2683/E2683)</f>
        <v>0</v>
      </c>
      <c r="G2683" s="42"/>
      <c r="H2683" s="49" t="n">
        <f aca="true">IF(OR($A2683="",_xlfn.MINIFS($B$3:$B$5000,$A$3:$A$5000,$A2683,$B$3:$B$5000,"&gt;"&amp;$B2683)=0),NOW(),_xlfn.MINIFS($B$3:$B$5000,$A$3:$A$5000,$A2683,$B$3:$B$5000,"&gt;"&amp;$B2683))</f>
        <v>46279.5987644133</v>
      </c>
    </row>
    <row r="2684" customFormat="false" ht="15" hidden="false" customHeight="true" outlineLevel="0" collapsed="false">
      <c r="A2684" s="42"/>
      <c r="B2684" s="42"/>
      <c r="C2684" s="42"/>
      <c r="D2684" s="42"/>
      <c r="E2684" s="42"/>
      <c r="F2684" s="51" t="n">
        <f aca="false">IF(OR(C2684="",D2684="",E2684="",E2684=0),0,C2684*D2684/E2684)</f>
        <v>0</v>
      </c>
      <c r="G2684" s="42"/>
      <c r="H2684" s="49" t="n">
        <f aca="true">IF(OR($A2684="",_xlfn.MINIFS($B$3:$B$5000,$A$3:$A$5000,$A2684,$B$3:$B$5000,"&gt;"&amp;$B2684)=0),NOW(),_xlfn.MINIFS($B$3:$B$5000,$A$3:$A$5000,$A2684,$B$3:$B$5000,"&gt;"&amp;$B2684))</f>
        <v>46279.5987644134</v>
      </c>
    </row>
    <row r="2685" customFormat="false" ht="15" hidden="false" customHeight="true" outlineLevel="0" collapsed="false">
      <c r="A2685" s="42"/>
      <c r="B2685" s="42"/>
      <c r="C2685" s="42"/>
      <c r="D2685" s="42"/>
      <c r="E2685" s="42"/>
      <c r="F2685" s="51" t="n">
        <f aca="false">IF(OR(C2685="",D2685="",E2685="",E2685=0),0,C2685*D2685/E2685)</f>
        <v>0</v>
      </c>
      <c r="G2685" s="42"/>
      <c r="H2685" s="49" t="n">
        <f aca="true">IF(OR($A2685="",_xlfn.MINIFS($B$3:$B$5000,$A$3:$A$5000,$A2685,$B$3:$B$5000,"&gt;"&amp;$B2685)=0),NOW(),_xlfn.MINIFS($B$3:$B$5000,$A$3:$A$5000,$A2685,$B$3:$B$5000,"&gt;"&amp;$B2685))</f>
        <v>46279.5987644134</v>
      </c>
    </row>
    <row r="2686" customFormat="false" ht="15" hidden="false" customHeight="true" outlineLevel="0" collapsed="false">
      <c r="A2686" s="42"/>
      <c r="B2686" s="42"/>
      <c r="C2686" s="42"/>
      <c r="D2686" s="42"/>
      <c r="E2686" s="42"/>
      <c r="F2686" s="51" t="n">
        <f aca="false">IF(OR(C2686="",D2686="",E2686="",E2686=0),0,C2686*D2686/E2686)</f>
        <v>0</v>
      </c>
      <c r="G2686" s="42"/>
      <c r="H2686" s="49" t="n">
        <f aca="true">IF(OR($A2686="",_xlfn.MINIFS($B$3:$B$5000,$A$3:$A$5000,$A2686,$B$3:$B$5000,"&gt;"&amp;$B2686)=0),NOW(),_xlfn.MINIFS($B$3:$B$5000,$A$3:$A$5000,$A2686,$B$3:$B$5000,"&gt;"&amp;$B2686))</f>
        <v>46279.5987644135</v>
      </c>
    </row>
    <row r="2687" customFormat="false" ht="15" hidden="false" customHeight="true" outlineLevel="0" collapsed="false">
      <c r="A2687" s="42"/>
      <c r="B2687" s="42"/>
      <c r="C2687" s="42"/>
      <c r="D2687" s="42"/>
      <c r="E2687" s="42"/>
      <c r="F2687" s="51" t="n">
        <f aca="false">IF(OR(C2687="",D2687="",E2687="",E2687=0),0,C2687*D2687/E2687)</f>
        <v>0</v>
      </c>
      <c r="G2687" s="42"/>
      <c r="H2687" s="49" t="n">
        <f aca="true">IF(OR($A2687="",_xlfn.MINIFS($B$3:$B$5000,$A$3:$A$5000,$A2687,$B$3:$B$5000,"&gt;"&amp;$B2687)=0),NOW(),_xlfn.MINIFS($B$3:$B$5000,$A$3:$A$5000,$A2687,$B$3:$B$5000,"&gt;"&amp;$B2687))</f>
        <v>46279.5987644135</v>
      </c>
    </row>
    <row r="2688" customFormat="false" ht="15" hidden="false" customHeight="true" outlineLevel="0" collapsed="false">
      <c r="A2688" s="42"/>
      <c r="B2688" s="42"/>
      <c r="C2688" s="42"/>
      <c r="D2688" s="42"/>
      <c r="E2688" s="42"/>
      <c r="F2688" s="51" t="n">
        <f aca="false">IF(OR(C2688="",D2688="",E2688="",E2688=0),0,C2688*D2688/E2688)</f>
        <v>0</v>
      </c>
      <c r="G2688" s="42"/>
      <c r="H2688" s="49" t="n">
        <f aca="true">IF(OR($A2688="",_xlfn.MINIFS($B$3:$B$5000,$A$3:$A$5000,$A2688,$B$3:$B$5000,"&gt;"&amp;$B2688)=0),NOW(),_xlfn.MINIFS($B$3:$B$5000,$A$3:$A$5000,$A2688,$B$3:$B$5000,"&gt;"&amp;$B2688))</f>
        <v>46279.5987644136</v>
      </c>
    </row>
    <row r="2689" customFormat="false" ht="15" hidden="false" customHeight="true" outlineLevel="0" collapsed="false">
      <c r="A2689" s="42"/>
      <c r="B2689" s="42"/>
      <c r="C2689" s="42"/>
      <c r="D2689" s="42"/>
      <c r="E2689" s="42"/>
      <c r="F2689" s="51" t="n">
        <f aca="false">IF(OR(C2689="",D2689="",E2689="",E2689=0),0,C2689*D2689/E2689)</f>
        <v>0</v>
      </c>
      <c r="G2689" s="42"/>
      <c r="H2689" s="49" t="n">
        <f aca="true">IF(OR($A2689="",_xlfn.MINIFS($B$3:$B$5000,$A$3:$A$5000,$A2689,$B$3:$B$5000,"&gt;"&amp;$B2689)=0),NOW(),_xlfn.MINIFS($B$3:$B$5000,$A$3:$A$5000,$A2689,$B$3:$B$5000,"&gt;"&amp;$B2689))</f>
        <v>46279.5987644136</v>
      </c>
    </row>
    <row r="2690" customFormat="false" ht="15" hidden="false" customHeight="true" outlineLevel="0" collapsed="false">
      <c r="A2690" s="42"/>
      <c r="B2690" s="42"/>
      <c r="C2690" s="42"/>
      <c r="D2690" s="42"/>
      <c r="E2690" s="42"/>
      <c r="F2690" s="51" t="n">
        <f aca="false">IF(OR(C2690="",D2690="",E2690="",E2690=0),0,C2690*D2690/E2690)</f>
        <v>0</v>
      </c>
      <c r="G2690" s="42"/>
      <c r="H2690" s="49" t="n">
        <f aca="true">IF(OR($A2690="",_xlfn.MINIFS($B$3:$B$5000,$A$3:$A$5000,$A2690,$B$3:$B$5000,"&gt;"&amp;$B2690)=0),NOW(),_xlfn.MINIFS($B$3:$B$5000,$A$3:$A$5000,$A2690,$B$3:$B$5000,"&gt;"&amp;$B2690))</f>
        <v>46279.5987644137</v>
      </c>
    </row>
    <row r="2691" customFormat="false" ht="15" hidden="false" customHeight="true" outlineLevel="0" collapsed="false">
      <c r="A2691" s="42"/>
      <c r="B2691" s="42"/>
      <c r="C2691" s="42"/>
      <c r="D2691" s="42"/>
      <c r="E2691" s="42"/>
      <c r="F2691" s="51" t="n">
        <f aca="false">IF(OR(C2691="",D2691="",E2691="",E2691=0),0,C2691*D2691/E2691)</f>
        <v>0</v>
      </c>
      <c r="G2691" s="42"/>
      <c r="H2691" s="49" t="n">
        <f aca="true">IF(OR($A2691="",_xlfn.MINIFS($B$3:$B$5000,$A$3:$A$5000,$A2691,$B$3:$B$5000,"&gt;"&amp;$B2691)=0),NOW(),_xlfn.MINIFS($B$3:$B$5000,$A$3:$A$5000,$A2691,$B$3:$B$5000,"&gt;"&amp;$B2691))</f>
        <v>46279.5987644137</v>
      </c>
    </row>
    <row r="2692" customFormat="false" ht="15" hidden="false" customHeight="true" outlineLevel="0" collapsed="false">
      <c r="A2692" s="42"/>
      <c r="B2692" s="42"/>
      <c r="C2692" s="42"/>
      <c r="D2692" s="42"/>
      <c r="E2692" s="42"/>
      <c r="F2692" s="51" t="n">
        <f aca="false">IF(OR(C2692="",D2692="",E2692="",E2692=0),0,C2692*D2692/E2692)</f>
        <v>0</v>
      </c>
      <c r="G2692" s="42"/>
      <c r="H2692" s="49" t="n">
        <f aca="true">IF(OR($A2692="",_xlfn.MINIFS($B$3:$B$5000,$A$3:$A$5000,$A2692,$B$3:$B$5000,"&gt;"&amp;$B2692)=0),NOW(),_xlfn.MINIFS($B$3:$B$5000,$A$3:$A$5000,$A2692,$B$3:$B$5000,"&gt;"&amp;$B2692))</f>
        <v>46279.5987644138</v>
      </c>
    </row>
    <row r="2693" customFormat="false" ht="15" hidden="false" customHeight="true" outlineLevel="0" collapsed="false">
      <c r="A2693" s="42"/>
      <c r="B2693" s="42"/>
      <c r="C2693" s="42"/>
      <c r="D2693" s="42"/>
      <c r="E2693" s="42"/>
      <c r="F2693" s="51" t="n">
        <f aca="false">IF(OR(C2693="",D2693="",E2693="",E2693=0),0,C2693*D2693/E2693)</f>
        <v>0</v>
      </c>
      <c r="G2693" s="42"/>
      <c r="H2693" s="49" t="n">
        <f aca="true">IF(OR($A2693="",_xlfn.MINIFS($B$3:$B$5000,$A$3:$A$5000,$A2693,$B$3:$B$5000,"&gt;"&amp;$B2693)=0),NOW(),_xlfn.MINIFS($B$3:$B$5000,$A$3:$A$5000,$A2693,$B$3:$B$5000,"&gt;"&amp;$B2693))</f>
        <v>46279.5987644138</v>
      </c>
    </row>
    <row r="2694" customFormat="false" ht="15" hidden="false" customHeight="true" outlineLevel="0" collapsed="false">
      <c r="A2694" s="42"/>
      <c r="B2694" s="42"/>
      <c r="C2694" s="42"/>
      <c r="D2694" s="42"/>
      <c r="E2694" s="42"/>
      <c r="F2694" s="51" t="n">
        <f aca="false">IF(OR(C2694="",D2694="",E2694="",E2694=0),0,C2694*D2694/E2694)</f>
        <v>0</v>
      </c>
      <c r="G2694" s="42"/>
      <c r="H2694" s="49" t="n">
        <f aca="true">IF(OR($A2694="",_xlfn.MINIFS($B$3:$B$5000,$A$3:$A$5000,$A2694,$B$3:$B$5000,"&gt;"&amp;$B2694)=0),NOW(),_xlfn.MINIFS($B$3:$B$5000,$A$3:$A$5000,$A2694,$B$3:$B$5000,"&gt;"&amp;$B2694))</f>
        <v>46279.5987644139</v>
      </c>
    </row>
    <row r="2695" customFormat="false" ht="15" hidden="false" customHeight="true" outlineLevel="0" collapsed="false">
      <c r="A2695" s="42"/>
      <c r="B2695" s="42"/>
      <c r="C2695" s="42"/>
      <c r="D2695" s="42"/>
      <c r="E2695" s="42"/>
      <c r="F2695" s="51" t="n">
        <f aca="false">IF(OR(C2695="",D2695="",E2695="",E2695=0),0,C2695*D2695/E2695)</f>
        <v>0</v>
      </c>
      <c r="G2695" s="42"/>
      <c r="H2695" s="49" t="n">
        <f aca="true">IF(OR($A2695="",_xlfn.MINIFS($B$3:$B$5000,$A$3:$A$5000,$A2695,$B$3:$B$5000,"&gt;"&amp;$B2695)=0),NOW(),_xlfn.MINIFS($B$3:$B$5000,$A$3:$A$5000,$A2695,$B$3:$B$5000,"&gt;"&amp;$B2695))</f>
        <v>46279.5987644139</v>
      </c>
    </row>
    <row r="2696" customFormat="false" ht="15" hidden="false" customHeight="true" outlineLevel="0" collapsed="false">
      <c r="A2696" s="42"/>
      <c r="B2696" s="42"/>
      <c r="C2696" s="42"/>
      <c r="D2696" s="42"/>
      <c r="E2696" s="42"/>
      <c r="F2696" s="51" t="n">
        <f aca="false">IF(OR(C2696="",D2696="",E2696="",E2696=0),0,C2696*D2696/E2696)</f>
        <v>0</v>
      </c>
      <c r="G2696" s="42"/>
      <c r="H2696" s="49" t="n">
        <f aca="true">IF(OR($A2696="",_xlfn.MINIFS($B$3:$B$5000,$A$3:$A$5000,$A2696,$B$3:$B$5000,"&gt;"&amp;$B2696)=0),NOW(),_xlfn.MINIFS($B$3:$B$5000,$A$3:$A$5000,$A2696,$B$3:$B$5000,"&gt;"&amp;$B2696))</f>
        <v>46279.5987644139</v>
      </c>
    </row>
    <row r="2697" customFormat="false" ht="15" hidden="false" customHeight="true" outlineLevel="0" collapsed="false">
      <c r="A2697" s="42"/>
      <c r="B2697" s="42"/>
      <c r="C2697" s="42"/>
      <c r="D2697" s="42"/>
      <c r="E2697" s="42"/>
      <c r="F2697" s="51" t="n">
        <f aca="false">IF(OR(C2697="",D2697="",E2697="",E2697=0),0,C2697*D2697/E2697)</f>
        <v>0</v>
      </c>
      <c r="G2697" s="42"/>
      <c r="H2697" s="49" t="n">
        <f aca="true">IF(OR($A2697="",_xlfn.MINIFS($B$3:$B$5000,$A$3:$A$5000,$A2697,$B$3:$B$5000,"&gt;"&amp;$B2697)=0),NOW(),_xlfn.MINIFS($B$3:$B$5000,$A$3:$A$5000,$A2697,$B$3:$B$5000,"&gt;"&amp;$B2697))</f>
        <v>46279.598764414</v>
      </c>
    </row>
    <row r="2698" customFormat="false" ht="15" hidden="false" customHeight="true" outlineLevel="0" collapsed="false">
      <c r="A2698" s="42"/>
      <c r="B2698" s="42"/>
      <c r="C2698" s="42"/>
      <c r="D2698" s="42"/>
      <c r="E2698" s="42"/>
      <c r="F2698" s="51" t="n">
        <f aca="false">IF(OR(C2698="",D2698="",E2698="",E2698=0),0,C2698*D2698/E2698)</f>
        <v>0</v>
      </c>
      <c r="G2698" s="42"/>
      <c r="H2698" s="49" t="n">
        <f aca="true">IF(OR($A2698="",_xlfn.MINIFS($B$3:$B$5000,$A$3:$A$5000,$A2698,$B$3:$B$5000,"&gt;"&amp;$B2698)=0),NOW(),_xlfn.MINIFS($B$3:$B$5000,$A$3:$A$5000,$A2698,$B$3:$B$5000,"&gt;"&amp;$B2698))</f>
        <v>46279.5987644141</v>
      </c>
    </row>
    <row r="2699" customFormat="false" ht="15" hidden="false" customHeight="true" outlineLevel="0" collapsed="false">
      <c r="A2699" s="42"/>
      <c r="B2699" s="42"/>
      <c r="C2699" s="42"/>
      <c r="D2699" s="42"/>
      <c r="E2699" s="42"/>
      <c r="F2699" s="51" t="n">
        <f aca="false">IF(OR(C2699="",D2699="",E2699="",E2699=0),0,C2699*D2699/E2699)</f>
        <v>0</v>
      </c>
      <c r="G2699" s="42"/>
      <c r="H2699" s="49" t="n">
        <f aca="true">IF(OR($A2699="",_xlfn.MINIFS($B$3:$B$5000,$A$3:$A$5000,$A2699,$B$3:$B$5000,"&gt;"&amp;$B2699)=0),NOW(),_xlfn.MINIFS($B$3:$B$5000,$A$3:$A$5000,$A2699,$B$3:$B$5000,"&gt;"&amp;$B2699))</f>
        <v>46279.5987644141</v>
      </c>
    </row>
    <row r="2700" customFormat="false" ht="15" hidden="false" customHeight="true" outlineLevel="0" collapsed="false">
      <c r="A2700" s="42"/>
      <c r="B2700" s="42"/>
      <c r="C2700" s="42"/>
      <c r="D2700" s="42"/>
      <c r="E2700" s="42"/>
      <c r="F2700" s="51" t="n">
        <f aca="false">IF(OR(C2700="",D2700="",E2700="",E2700=0),0,C2700*D2700/E2700)</f>
        <v>0</v>
      </c>
      <c r="G2700" s="42"/>
      <c r="H2700" s="49" t="n">
        <f aca="true">IF(OR($A2700="",_xlfn.MINIFS($B$3:$B$5000,$A$3:$A$5000,$A2700,$B$3:$B$5000,"&gt;"&amp;$B2700)=0),NOW(),_xlfn.MINIFS($B$3:$B$5000,$A$3:$A$5000,$A2700,$B$3:$B$5000,"&gt;"&amp;$B2700))</f>
        <v>46279.5987644142</v>
      </c>
    </row>
    <row r="2701" customFormat="false" ht="15" hidden="false" customHeight="true" outlineLevel="0" collapsed="false">
      <c r="A2701" s="42"/>
      <c r="B2701" s="42"/>
      <c r="C2701" s="42"/>
      <c r="D2701" s="42"/>
      <c r="E2701" s="42"/>
      <c r="F2701" s="51" t="n">
        <f aca="false">IF(OR(C2701="",D2701="",E2701="",E2701=0),0,C2701*D2701/E2701)</f>
        <v>0</v>
      </c>
      <c r="G2701" s="42"/>
      <c r="H2701" s="49" t="n">
        <f aca="true">IF(OR($A2701="",_xlfn.MINIFS($B$3:$B$5000,$A$3:$A$5000,$A2701,$B$3:$B$5000,"&gt;"&amp;$B2701)=0),NOW(),_xlfn.MINIFS($B$3:$B$5000,$A$3:$A$5000,$A2701,$B$3:$B$5000,"&gt;"&amp;$B2701))</f>
        <v>46279.5987644142</v>
      </c>
    </row>
    <row r="2702" customFormat="false" ht="15" hidden="false" customHeight="true" outlineLevel="0" collapsed="false">
      <c r="A2702" s="42"/>
      <c r="B2702" s="42"/>
      <c r="C2702" s="42"/>
      <c r="D2702" s="42"/>
      <c r="E2702" s="42"/>
      <c r="F2702" s="51" t="n">
        <f aca="false">IF(OR(C2702="",D2702="",E2702="",E2702=0),0,C2702*D2702/E2702)</f>
        <v>0</v>
      </c>
      <c r="G2702" s="42"/>
      <c r="H2702" s="49" t="n">
        <f aca="true">IF(OR($A2702="",_xlfn.MINIFS($B$3:$B$5000,$A$3:$A$5000,$A2702,$B$3:$B$5000,"&gt;"&amp;$B2702)=0),NOW(),_xlfn.MINIFS($B$3:$B$5000,$A$3:$A$5000,$A2702,$B$3:$B$5000,"&gt;"&amp;$B2702))</f>
        <v>46279.5987644142</v>
      </c>
    </row>
    <row r="2703" customFormat="false" ht="15" hidden="false" customHeight="true" outlineLevel="0" collapsed="false">
      <c r="A2703" s="42"/>
      <c r="B2703" s="42"/>
      <c r="C2703" s="42"/>
      <c r="D2703" s="42"/>
      <c r="E2703" s="42"/>
      <c r="F2703" s="51" t="n">
        <f aca="false">IF(OR(C2703="",D2703="",E2703="",E2703=0),0,C2703*D2703/E2703)</f>
        <v>0</v>
      </c>
      <c r="G2703" s="42"/>
      <c r="H2703" s="49" t="n">
        <f aca="true">IF(OR($A2703="",_xlfn.MINIFS($B$3:$B$5000,$A$3:$A$5000,$A2703,$B$3:$B$5000,"&gt;"&amp;$B2703)=0),NOW(),_xlfn.MINIFS($B$3:$B$5000,$A$3:$A$5000,$A2703,$B$3:$B$5000,"&gt;"&amp;$B2703))</f>
        <v>46279.5987644143</v>
      </c>
    </row>
    <row r="2704" customFormat="false" ht="15" hidden="false" customHeight="true" outlineLevel="0" collapsed="false">
      <c r="A2704" s="42"/>
      <c r="B2704" s="42"/>
      <c r="C2704" s="42"/>
      <c r="D2704" s="42"/>
      <c r="E2704" s="42"/>
      <c r="F2704" s="51" t="n">
        <f aca="false">IF(OR(C2704="",D2704="",E2704="",E2704=0),0,C2704*D2704/E2704)</f>
        <v>0</v>
      </c>
      <c r="G2704" s="42"/>
      <c r="H2704" s="49" t="n">
        <f aca="true">IF(OR($A2704="",_xlfn.MINIFS($B$3:$B$5000,$A$3:$A$5000,$A2704,$B$3:$B$5000,"&gt;"&amp;$B2704)=0),NOW(),_xlfn.MINIFS($B$3:$B$5000,$A$3:$A$5000,$A2704,$B$3:$B$5000,"&gt;"&amp;$B2704))</f>
        <v>46279.5987644143</v>
      </c>
    </row>
    <row r="2705" customFormat="false" ht="15" hidden="false" customHeight="true" outlineLevel="0" collapsed="false">
      <c r="A2705" s="42"/>
      <c r="B2705" s="42"/>
      <c r="C2705" s="42"/>
      <c r="D2705" s="42"/>
      <c r="E2705" s="42"/>
      <c r="F2705" s="51" t="n">
        <f aca="false">IF(OR(C2705="",D2705="",E2705="",E2705=0),0,C2705*D2705/E2705)</f>
        <v>0</v>
      </c>
      <c r="G2705" s="42"/>
      <c r="H2705" s="49" t="n">
        <f aca="true">IF(OR($A2705="",_xlfn.MINIFS($B$3:$B$5000,$A$3:$A$5000,$A2705,$B$3:$B$5000,"&gt;"&amp;$B2705)=0),NOW(),_xlfn.MINIFS($B$3:$B$5000,$A$3:$A$5000,$A2705,$B$3:$B$5000,"&gt;"&amp;$B2705))</f>
        <v>46279.5987644144</v>
      </c>
    </row>
    <row r="2706" customFormat="false" ht="15" hidden="false" customHeight="true" outlineLevel="0" collapsed="false">
      <c r="A2706" s="42"/>
      <c r="B2706" s="42"/>
      <c r="C2706" s="42"/>
      <c r="D2706" s="42"/>
      <c r="E2706" s="42"/>
      <c r="F2706" s="51" t="n">
        <f aca="false">IF(OR(C2706="",D2706="",E2706="",E2706=0),0,C2706*D2706/E2706)</f>
        <v>0</v>
      </c>
      <c r="G2706" s="42"/>
      <c r="H2706" s="49" t="n">
        <f aca="true">IF(OR($A2706="",_xlfn.MINIFS($B$3:$B$5000,$A$3:$A$5000,$A2706,$B$3:$B$5000,"&gt;"&amp;$B2706)=0),NOW(),_xlfn.MINIFS($B$3:$B$5000,$A$3:$A$5000,$A2706,$B$3:$B$5000,"&gt;"&amp;$B2706))</f>
        <v>46279.5987644145</v>
      </c>
    </row>
    <row r="2707" customFormat="false" ht="15" hidden="false" customHeight="true" outlineLevel="0" collapsed="false">
      <c r="A2707" s="42"/>
      <c r="B2707" s="42"/>
      <c r="C2707" s="42"/>
      <c r="D2707" s="42"/>
      <c r="E2707" s="42"/>
      <c r="F2707" s="51" t="n">
        <f aca="false">IF(OR(C2707="",D2707="",E2707="",E2707=0),0,C2707*D2707/E2707)</f>
        <v>0</v>
      </c>
      <c r="G2707" s="42"/>
      <c r="H2707" s="49" t="n">
        <f aca="true">IF(OR($A2707="",_xlfn.MINIFS($B$3:$B$5000,$A$3:$A$5000,$A2707,$B$3:$B$5000,"&gt;"&amp;$B2707)=0),NOW(),_xlfn.MINIFS($B$3:$B$5000,$A$3:$A$5000,$A2707,$B$3:$B$5000,"&gt;"&amp;$B2707))</f>
        <v>46279.5987644145</v>
      </c>
    </row>
    <row r="2708" customFormat="false" ht="15" hidden="false" customHeight="true" outlineLevel="0" collapsed="false">
      <c r="A2708" s="42"/>
      <c r="B2708" s="42"/>
      <c r="C2708" s="42"/>
      <c r="D2708" s="42"/>
      <c r="E2708" s="42"/>
      <c r="F2708" s="51" t="n">
        <f aca="false">IF(OR(C2708="",D2708="",E2708="",E2708=0),0,C2708*D2708/E2708)</f>
        <v>0</v>
      </c>
      <c r="G2708" s="42"/>
      <c r="H2708" s="49" t="n">
        <f aca="true">IF(OR($A2708="",_xlfn.MINIFS($B$3:$B$5000,$A$3:$A$5000,$A2708,$B$3:$B$5000,"&gt;"&amp;$B2708)=0),NOW(),_xlfn.MINIFS($B$3:$B$5000,$A$3:$A$5000,$A2708,$B$3:$B$5000,"&gt;"&amp;$B2708))</f>
        <v>46279.5987644145</v>
      </c>
    </row>
    <row r="2709" customFormat="false" ht="15" hidden="false" customHeight="true" outlineLevel="0" collapsed="false">
      <c r="A2709" s="42"/>
      <c r="B2709" s="42"/>
      <c r="C2709" s="42"/>
      <c r="D2709" s="42"/>
      <c r="E2709" s="42"/>
      <c r="F2709" s="51" t="n">
        <f aca="false">IF(OR(C2709="",D2709="",E2709="",E2709=0),0,C2709*D2709/E2709)</f>
        <v>0</v>
      </c>
      <c r="G2709" s="42"/>
      <c r="H2709" s="49" t="n">
        <f aca="true">IF(OR($A2709="",_xlfn.MINIFS($B$3:$B$5000,$A$3:$A$5000,$A2709,$B$3:$B$5000,"&gt;"&amp;$B2709)=0),NOW(),_xlfn.MINIFS($B$3:$B$5000,$A$3:$A$5000,$A2709,$B$3:$B$5000,"&gt;"&amp;$B2709))</f>
        <v>46279.5987644146</v>
      </c>
    </row>
    <row r="2710" customFormat="false" ht="15" hidden="false" customHeight="true" outlineLevel="0" collapsed="false">
      <c r="A2710" s="42"/>
      <c r="B2710" s="42"/>
      <c r="C2710" s="42"/>
      <c r="D2710" s="42"/>
      <c r="E2710" s="42"/>
      <c r="F2710" s="51" t="n">
        <f aca="false">IF(OR(C2710="",D2710="",E2710="",E2710=0),0,C2710*D2710/E2710)</f>
        <v>0</v>
      </c>
      <c r="G2710" s="42"/>
      <c r="H2710" s="49" t="n">
        <f aca="true">IF(OR($A2710="",_xlfn.MINIFS($B$3:$B$5000,$A$3:$A$5000,$A2710,$B$3:$B$5000,"&gt;"&amp;$B2710)=0),NOW(),_xlfn.MINIFS($B$3:$B$5000,$A$3:$A$5000,$A2710,$B$3:$B$5000,"&gt;"&amp;$B2710))</f>
        <v>46279.5987644146</v>
      </c>
    </row>
    <row r="2711" customFormat="false" ht="15" hidden="false" customHeight="true" outlineLevel="0" collapsed="false">
      <c r="A2711" s="42"/>
      <c r="B2711" s="42"/>
      <c r="C2711" s="42"/>
      <c r="D2711" s="42"/>
      <c r="E2711" s="42"/>
      <c r="F2711" s="51" t="n">
        <f aca="false">IF(OR(C2711="",D2711="",E2711="",E2711=0),0,C2711*D2711/E2711)</f>
        <v>0</v>
      </c>
      <c r="G2711" s="42"/>
      <c r="H2711" s="49" t="n">
        <f aca="true">IF(OR($A2711="",_xlfn.MINIFS($B$3:$B$5000,$A$3:$A$5000,$A2711,$B$3:$B$5000,"&gt;"&amp;$B2711)=0),NOW(),_xlfn.MINIFS($B$3:$B$5000,$A$3:$A$5000,$A2711,$B$3:$B$5000,"&gt;"&amp;$B2711))</f>
        <v>46279.5987644147</v>
      </c>
    </row>
    <row r="2712" customFormat="false" ht="15" hidden="false" customHeight="true" outlineLevel="0" collapsed="false">
      <c r="A2712" s="42"/>
      <c r="B2712" s="42"/>
      <c r="C2712" s="42"/>
      <c r="D2712" s="42"/>
      <c r="E2712" s="42"/>
      <c r="F2712" s="51" t="n">
        <f aca="false">IF(OR(C2712="",D2712="",E2712="",E2712=0),0,C2712*D2712/E2712)</f>
        <v>0</v>
      </c>
      <c r="G2712" s="42"/>
      <c r="H2712" s="49" t="n">
        <f aca="true">IF(OR($A2712="",_xlfn.MINIFS($B$3:$B$5000,$A$3:$A$5000,$A2712,$B$3:$B$5000,"&gt;"&amp;$B2712)=0),NOW(),_xlfn.MINIFS($B$3:$B$5000,$A$3:$A$5000,$A2712,$B$3:$B$5000,"&gt;"&amp;$B2712))</f>
        <v>46279.5987644147</v>
      </c>
    </row>
    <row r="2713" customFormat="false" ht="15" hidden="false" customHeight="true" outlineLevel="0" collapsed="false">
      <c r="A2713" s="42"/>
      <c r="B2713" s="42"/>
      <c r="C2713" s="42"/>
      <c r="D2713" s="42"/>
      <c r="E2713" s="42"/>
      <c r="F2713" s="51" t="n">
        <f aca="false">IF(OR(C2713="",D2713="",E2713="",E2713=0),0,C2713*D2713/E2713)</f>
        <v>0</v>
      </c>
      <c r="G2713" s="42"/>
      <c r="H2713" s="49" t="n">
        <f aca="true">IF(OR($A2713="",_xlfn.MINIFS($B$3:$B$5000,$A$3:$A$5000,$A2713,$B$3:$B$5000,"&gt;"&amp;$B2713)=0),NOW(),_xlfn.MINIFS($B$3:$B$5000,$A$3:$A$5000,$A2713,$B$3:$B$5000,"&gt;"&amp;$B2713))</f>
        <v>46279.5987644148</v>
      </c>
    </row>
    <row r="2714" customFormat="false" ht="15" hidden="false" customHeight="true" outlineLevel="0" collapsed="false">
      <c r="A2714" s="42"/>
      <c r="B2714" s="42"/>
      <c r="C2714" s="42"/>
      <c r="D2714" s="42"/>
      <c r="E2714" s="42"/>
      <c r="F2714" s="51" t="n">
        <f aca="false">IF(OR(C2714="",D2714="",E2714="",E2714=0),0,C2714*D2714/E2714)</f>
        <v>0</v>
      </c>
      <c r="G2714" s="42"/>
      <c r="H2714" s="49" t="n">
        <f aca="true">IF(OR($A2714="",_xlfn.MINIFS($B$3:$B$5000,$A$3:$A$5000,$A2714,$B$3:$B$5000,"&gt;"&amp;$B2714)=0),NOW(),_xlfn.MINIFS($B$3:$B$5000,$A$3:$A$5000,$A2714,$B$3:$B$5000,"&gt;"&amp;$B2714))</f>
        <v>46279.5987644148</v>
      </c>
    </row>
    <row r="2715" customFormat="false" ht="15" hidden="false" customHeight="true" outlineLevel="0" collapsed="false">
      <c r="A2715" s="42"/>
      <c r="B2715" s="42"/>
      <c r="C2715" s="42"/>
      <c r="D2715" s="42"/>
      <c r="E2715" s="42"/>
      <c r="F2715" s="51" t="n">
        <f aca="false">IF(OR(C2715="",D2715="",E2715="",E2715=0),0,C2715*D2715/E2715)</f>
        <v>0</v>
      </c>
      <c r="G2715" s="42"/>
      <c r="H2715" s="49" t="n">
        <f aca="true">IF(OR($A2715="",_xlfn.MINIFS($B$3:$B$5000,$A$3:$A$5000,$A2715,$B$3:$B$5000,"&gt;"&amp;$B2715)=0),NOW(),_xlfn.MINIFS($B$3:$B$5000,$A$3:$A$5000,$A2715,$B$3:$B$5000,"&gt;"&amp;$B2715))</f>
        <v>46279.5987644149</v>
      </c>
    </row>
    <row r="2716" customFormat="false" ht="15" hidden="false" customHeight="true" outlineLevel="0" collapsed="false">
      <c r="A2716" s="42"/>
      <c r="B2716" s="42"/>
      <c r="C2716" s="42"/>
      <c r="D2716" s="42"/>
      <c r="E2716" s="42"/>
      <c r="F2716" s="51" t="n">
        <f aca="false">IF(OR(C2716="",D2716="",E2716="",E2716=0),0,C2716*D2716/E2716)</f>
        <v>0</v>
      </c>
      <c r="G2716" s="42"/>
      <c r="H2716" s="49" t="n">
        <f aca="true">IF(OR($A2716="",_xlfn.MINIFS($B$3:$B$5000,$A$3:$A$5000,$A2716,$B$3:$B$5000,"&gt;"&amp;$B2716)=0),NOW(),_xlfn.MINIFS($B$3:$B$5000,$A$3:$A$5000,$A2716,$B$3:$B$5000,"&gt;"&amp;$B2716))</f>
        <v>46279.5987644149</v>
      </c>
    </row>
    <row r="2717" customFormat="false" ht="15" hidden="false" customHeight="true" outlineLevel="0" collapsed="false">
      <c r="A2717" s="42"/>
      <c r="B2717" s="42"/>
      <c r="C2717" s="42"/>
      <c r="D2717" s="42"/>
      <c r="E2717" s="42"/>
      <c r="F2717" s="51" t="n">
        <f aca="false">IF(OR(C2717="",D2717="",E2717="",E2717=0),0,C2717*D2717/E2717)</f>
        <v>0</v>
      </c>
      <c r="G2717" s="42"/>
      <c r="H2717" s="49" t="n">
        <f aca="true">IF(OR($A2717="",_xlfn.MINIFS($B$3:$B$5000,$A$3:$A$5000,$A2717,$B$3:$B$5000,"&gt;"&amp;$B2717)=0),NOW(),_xlfn.MINIFS($B$3:$B$5000,$A$3:$A$5000,$A2717,$B$3:$B$5000,"&gt;"&amp;$B2717))</f>
        <v>46279.598764415</v>
      </c>
    </row>
    <row r="2718" customFormat="false" ht="15" hidden="false" customHeight="true" outlineLevel="0" collapsed="false">
      <c r="A2718" s="42"/>
      <c r="B2718" s="42"/>
      <c r="C2718" s="42"/>
      <c r="D2718" s="42"/>
      <c r="E2718" s="42"/>
      <c r="F2718" s="51" t="n">
        <f aca="false">IF(OR(C2718="",D2718="",E2718="",E2718=0),0,C2718*D2718/E2718)</f>
        <v>0</v>
      </c>
      <c r="G2718" s="42"/>
      <c r="H2718" s="49" t="n">
        <f aca="true">IF(OR($A2718="",_xlfn.MINIFS($B$3:$B$5000,$A$3:$A$5000,$A2718,$B$3:$B$5000,"&gt;"&amp;$B2718)=0),NOW(),_xlfn.MINIFS($B$3:$B$5000,$A$3:$A$5000,$A2718,$B$3:$B$5000,"&gt;"&amp;$B2718))</f>
        <v>46279.598764415</v>
      </c>
    </row>
    <row r="2719" customFormat="false" ht="15" hidden="false" customHeight="true" outlineLevel="0" collapsed="false">
      <c r="A2719" s="42"/>
      <c r="B2719" s="42"/>
      <c r="C2719" s="42"/>
      <c r="D2719" s="42"/>
      <c r="E2719" s="42"/>
      <c r="F2719" s="51" t="n">
        <f aca="false">IF(OR(C2719="",D2719="",E2719="",E2719=0),0,C2719*D2719/E2719)</f>
        <v>0</v>
      </c>
      <c r="G2719" s="42"/>
      <c r="H2719" s="49" t="n">
        <f aca="true">IF(OR($A2719="",_xlfn.MINIFS($B$3:$B$5000,$A$3:$A$5000,$A2719,$B$3:$B$5000,"&gt;"&amp;$B2719)=0),NOW(),_xlfn.MINIFS($B$3:$B$5000,$A$3:$A$5000,$A2719,$B$3:$B$5000,"&gt;"&amp;$B2719))</f>
        <v>46279.5987644151</v>
      </c>
    </row>
    <row r="2720" customFormat="false" ht="15" hidden="false" customHeight="true" outlineLevel="0" collapsed="false">
      <c r="A2720" s="42"/>
      <c r="B2720" s="42"/>
      <c r="C2720" s="42"/>
      <c r="D2720" s="42"/>
      <c r="E2720" s="42"/>
      <c r="F2720" s="51" t="n">
        <f aca="false">IF(OR(C2720="",D2720="",E2720="",E2720=0),0,C2720*D2720/E2720)</f>
        <v>0</v>
      </c>
      <c r="G2720" s="42"/>
      <c r="H2720" s="49" t="n">
        <f aca="true">IF(OR($A2720="",_xlfn.MINIFS($B$3:$B$5000,$A$3:$A$5000,$A2720,$B$3:$B$5000,"&gt;"&amp;$B2720)=0),NOW(),_xlfn.MINIFS($B$3:$B$5000,$A$3:$A$5000,$A2720,$B$3:$B$5000,"&gt;"&amp;$B2720))</f>
        <v>46279.5987644151</v>
      </c>
    </row>
    <row r="2721" customFormat="false" ht="15" hidden="false" customHeight="true" outlineLevel="0" collapsed="false">
      <c r="A2721" s="42"/>
      <c r="B2721" s="42"/>
      <c r="C2721" s="42"/>
      <c r="D2721" s="42"/>
      <c r="E2721" s="42"/>
      <c r="F2721" s="51" t="n">
        <f aca="false">IF(OR(C2721="",D2721="",E2721="",E2721=0),0,C2721*D2721/E2721)</f>
        <v>0</v>
      </c>
      <c r="G2721" s="42"/>
      <c r="H2721" s="49" t="n">
        <f aca="true">IF(OR($A2721="",_xlfn.MINIFS($B$3:$B$5000,$A$3:$A$5000,$A2721,$B$3:$B$5000,"&gt;"&amp;$B2721)=0),NOW(),_xlfn.MINIFS($B$3:$B$5000,$A$3:$A$5000,$A2721,$B$3:$B$5000,"&gt;"&amp;$B2721))</f>
        <v>46279.5987644152</v>
      </c>
    </row>
    <row r="2722" customFormat="false" ht="15" hidden="false" customHeight="true" outlineLevel="0" collapsed="false">
      <c r="A2722" s="42"/>
      <c r="B2722" s="42"/>
      <c r="C2722" s="42"/>
      <c r="D2722" s="42"/>
      <c r="E2722" s="42"/>
      <c r="F2722" s="51" t="n">
        <f aca="false">IF(OR(C2722="",D2722="",E2722="",E2722=0),0,C2722*D2722/E2722)</f>
        <v>0</v>
      </c>
      <c r="G2722" s="42"/>
      <c r="H2722" s="49" t="n">
        <f aca="true">IF(OR($A2722="",_xlfn.MINIFS($B$3:$B$5000,$A$3:$A$5000,$A2722,$B$3:$B$5000,"&gt;"&amp;$B2722)=0),NOW(),_xlfn.MINIFS($B$3:$B$5000,$A$3:$A$5000,$A2722,$B$3:$B$5000,"&gt;"&amp;$B2722))</f>
        <v>46279.5987644152</v>
      </c>
    </row>
    <row r="2723" customFormat="false" ht="15" hidden="false" customHeight="true" outlineLevel="0" collapsed="false">
      <c r="A2723" s="42"/>
      <c r="B2723" s="42"/>
      <c r="C2723" s="42"/>
      <c r="D2723" s="42"/>
      <c r="E2723" s="42"/>
      <c r="F2723" s="51" t="n">
        <f aca="false">IF(OR(C2723="",D2723="",E2723="",E2723=0),0,C2723*D2723/E2723)</f>
        <v>0</v>
      </c>
      <c r="G2723" s="42"/>
      <c r="H2723" s="49" t="n">
        <f aca="true">IF(OR($A2723="",_xlfn.MINIFS($B$3:$B$5000,$A$3:$A$5000,$A2723,$B$3:$B$5000,"&gt;"&amp;$B2723)=0),NOW(),_xlfn.MINIFS($B$3:$B$5000,$A$3:$A$5000,$A2723,$B$3:$B$5000,"&gt;"&amp;$B2723))</f>
        <v>46279.5987644153</v>
      </c>
    </row>
    <row r="2724" customFormat="false" ht="15" hidden="false" customHeight="true" outlineLevel="0" collapsed="false">
      <c r="A2724" s="42"/>
      <c r="B2724" s="42"/>
      <c r="C2724" s="42"/>
      <c r="D2724" s="42"/>
      <c r="E2724" s="42"/>
      <c r="F2724" s="51" t="n">
        <f aca="false">IF(OR(C2724="",D2724="",E2724="",E2724=0),0,C2724*D2724/E2724)</f>
        <v>0</v>
      </c>
      <c r="G2724" s="42"/>
      <c r="H2724" s="49" t="n">
        <f aca="true">IF(OR($A2724="",_xlfn.MINIFS($B$3:$B$5000,$A$3:$A$5000,$A2724,$B$3:$B$5000,"&gt;"&amp;$B2724)=0),NOW(),_xlfn.MINIFS($B$3:$B$5000,$A$3:$A$5000,$A2724,$B$3:$B$5000,"&gt;"&amp;$B2724))</f>
        <v>46279.5987644153</v>
      </c>
    </row>
    <row r="2725" customFormat="false" ht="15" hidden="false" customHeight="true" outlineLevel="0" collapsed="false">
      <c r="A2725" s="42"/>
      <c r="B2725" s="42"/>
      <c r="C2725" s="42"/>
      <c r="D2725" s="42"/>
      <c r="E2725" s="42"/>
      <c r="F2725" s="51" t="n">
        <f aca="false">IF(OR(C2725="",D2725="",E2725="",E2725=0),0,C2725*D2725/E2725)</f>
        <v>0</v>
      </c>
      <c r="G2725" s="42"/>
      <c r="H2725" s="49" t="n">
        <f aca="true">IF(OR($A2725="",_xlfn.MINIFS($B$3:$B$5000,$A$3:$A$5000,$A2725,$B$3:$B$5000,"&gt;"&amp;$B2725)=0),NOW(),_xlfn.MINIFS($B$3:$B$5000,$A$3:$A$5000,$A2725,$B$3:$B$5000,"&gt;"&amp;$B2725))</f>
        <v>46279.5987644154</v>
      </c>
    </row>
    <row r="2726" customFormat="false" ht="15" hidden="false" customHeight="true" outlineLevel="0" collapsed="false">
      <c r="A2726" s="42"/>
      <c r="B2726" s="42"/>
      <c r="C2726" s="42"/>
      <c r="D2726" s="42"/>
      <c r="E2726" s="42"/>
      <c r="F2726" s="51" t="n">
        <f aca="false">IF(OR(C2726="",D2726="",E2726="",E2726=0),0,C2726*D2726/E2726)</f>
        <v>0</v>
      </c>
      <c r="G2726" s="42"/>
      <c r="H2726" s="49" t="n">
        <f aca="true">IF(OR($A2726="",_xlfn.MINIFS($B$3:$B$5000,$A$3:$A$5000,$A2726,$B$3:$B$5000,"&gt;"&amp;$B2726)=0),NOW(),_xlfn.MINIFS($B$3:$B$5000,$A$3:$A$5000,$A2726,$B$3:$B$5000,"&gt;"&amp;$B2726))</f>
        <v>46279.5987644154</v>
      </c>
    </row>
    <row r="2727" customFormat="false" ht="15" hidden="false" customHeight="true" outlineLevel="0" collapsed="false">
      <c r="A2727" s="42"/>
      <c r="B2727" s="42"/>
      <c r="C2727" s="42"/>
      <c r="D2727" s="42"/>
      <c r="E2727" s="42"/>
      <c r="F2727" s="51" t="n">
        <f aca="false">IF(OR(C2727="",D2727="",E2727="",E2727=0),0,C2727*D2727/E2727)</f>
        <v>0</v>
      </c>
      <c r="G2727" s="42"/>
      <c r="H2727" s="49" t="n">
        <f aca="true">IF(OR($A2727="",_xlfn.MINIFS($B$3:$B$5000,$A$3:$A$5000,$A2727,$B$3:$B$5000,"&gt;"&amp;$B2727)=0),NOW(),_xlfn.MINIFS($B$3:$B$5000,$A$3:$A$5000,$A2727,$B$3:$B$5000,"&gt;"&amp;$B2727))</f>
        <v>46279.5987644155</v>
      </c>
    </row>
    <row r="2728" customFormat="false" ht="15" hidden="false" customHeight="true" outlineLevel="0" collapsed="false">
      <c r="A2728" s="42"/>
      <c r="B2728" s="42"/>
      <c r="C2728" s="42"/>
      <c r="D2728" s="42"/>
      <c r="E2728" s="42"/>
      <c r="F2728" s="51" t="n">
        <f aca="false">IF(OR(C2728="",D2728="",E2728="",E2728=0),0,C2728*D2728/E2728)</f>
        <v>0</v>
      </c>
      <c r="G2728" s="42"/>
      <c r="H2728" s="49" t="n">
        <f aca="true">IF(OR($A2728="",_xlfn.MINIFS($B$3:$B$5000,$A$3:$A$5000,$A2728,$B$3:$B$5000,"&gt;"&amp;$B2728)=0),NOW(),_xlfn.MINIFS($B$3:$B$5000,$A$3:$A$5000,$A2728,$B$3:$B$5000,"&gt;"&amp;$B2728))</f>
        <v>46279.5987644155</v>
      </c>
    </row>
    <row r="2729" customFormat="false" ht="15" hidden="false" customHeight="true" outlineLevel="0" collapsed="false">
      <c r="A2729" s="42"/>
      <c r="B2729" s="42"/>
      <c r="C2729" s="42"/>
      <c r="D2729" s="42"/>
      <c r="E2729" s="42"/>
      <c r="F2729" s="51" t="n">
        <f aca="false">IF(OR(C2729="",D2729="",E2729="",E2729=0),0,C2729*D2729/E2729)</f>
        <v>0</v>
      </c>
      <c r="G2729" s="42"/>
      <c r="H2729" s="49" t="n">
        <f aca="true">IF(OR($A2729="",_xlfn.MINIFS($B$3:$B$5000,$A$3:$A$5000,$A2729,$B$3:$B$5000,"&gt;"&amp;$B2729)=0),NOW(),_xlfn.MINIFS($B$3:$B$5000,$A$3:$A$5000,$A2729,$B$3:$B$5000,"&gt;"&amp;$B2729))</f>
        <v>46279.5987644156</v>
      </c>
    </row>
    <row r="2730" customFormat="false" ht="15" hidden="false" customHeight="true" outlineLevel="0" collapsed="false">
      <c r="A2730" s="42"/>
      <c r="B2730" s="42"/>
      <c r="C2730" s="42"/>
      <c r="D2730" s="42"/>
      <c r="E2730" s="42"/>
      <c r="F2730" s="51" t="n">
        <f aca="false">IF(OR(C2730="",D2730="",E2730="",E2730=0),0,C2730*D2730/E2730)</f>
        <v>0</v>
      </c>
      <c r="G2730" s="42"/>
      <c r="H2730" s="49" t="n">
        <f aca="true">IF(OR($A2730="",_xlfn.MINIFS($B$3:$B$5000,$A$3:$A$5000,$A2730,$B$3:$B$5000,"&gt;"&amp;$B2730)=0),NOW(),_xlfn.MINIFS($B$3:$B$5000,$A$3:$A$5000,$A2730,$B$3:$B$5000,"&gt;"&amp;$B2730))</f>
        <v>46279.5987644156</v>
      </c>
    </row>
    <row r="2731" customFormat="false" ht="15" hidden="false" customHeight="true" outlineLevel="0" collapsed="false">
      <c r="A2731" s="42"/>
      <c r="B2731" s="42"/>
      <c r="C2731" s="42"/>
      <c r="D2731" s="42"/>
      <c r="E2731" s="42"/>
      <c r="F2731" s="51" t="n">
        <f aca="false">IF(OR(C2731="",D2731="",E2731="",E2731=0),0,C2731*D2731/E2731)</f>
        <v>0</v>
      </c>
      <c r="G2731" s="42"/>
      <c r="H2731" s="49" t="n">
        <f aca="true">IF(OR($A2731="",_xlfn.MINIFS($B$3:$B$5000,$A$3:$A$5000,$A2731,$B$3:$B$5000,"&gt;"&amp;$B2731)=0),NOW(),_xlfn.MINIFS($B$3:$B$5000,$A$3:$A$5000,$A2731,$B$3:$B$5000,"&gt;"&amp;$B2731))</f>
        <v>46279.5987644157</v>
      </c>
    </row>
    <row r="2732" customFormat="false" ht="15" hidden="false" customHeight="true" outlineLevel="0" collapsed="false">
      <c r="A2732" s="42"/>
      <c r="B2732" s="42"/>
      <c r="C2732" s="42"/>
      <c r="D2732" s="42"/>
      <c r="E2732" s="42"/>
      <c r="F2732" s="51" t="n">
        <f aca="false">IF(OR(C2732="",D2732="",E2732="",E2732=0),0,C2732*D2732/E2732)</f>
        <v>0</v>
      </c>
      <c r="G2732" s="42"/>
      <c r="H2732" s="49" t="n">
        <f aca="true">IF(OR($A2732="",_xlfn.MINIFS($B$3:$B$5000,$A$3:$A$5000,$A2732,$B$3:$B$5000,"&gt;"&amp;$B2732)=0),NOW(),_xlfn.MINIFS($B$3:$B$5000,$A$3:$A$5000,$A2732,$B$3:$B$5000,"&gt;"&amp;$B2732))</f>
        <v>46279.5987644157</v>
      </c>
    </row>
    <row r="2733" customFormat="false" ht="15" hidden="false" customHeight="true" outlineLevel="0" collapsed="false">
      <c r="A2733" s="42"/>
      <c r="B2733" s="42"/>
      <c r="C2733" s="42"/>
      <c r="D2733" s="42"/>
      <c r="E2733" s="42"/>
      <c r="F2733" s="51" t="n">
        <f aca="false">IF(OR(C2733="",D2733="",E2733="",E2733=0),0,C2733*D2733/E2733)</f>
        <v>0</v>
      </c>
      <c r="G2733" s="42"/>
      <c r="H2733" s="49" t="n">
        <f aca="true">IF(OR($A2733="",_xlfn.MINIFS($B$3:$B$5000,$A$3:$A$5000,$A2733,$B$3:$B$5000,"&gt;"&amp;$B2733)=0),NOW(),_xlfn.MINIFS($B$3:$B$5000,$A$3:$A$5000,$A2733,$B$3:$B$5000,"&gt;"&amp;$B2733))</f>
        <v>46279.5987644158</v>
      </c>
    </row>
    <row r="2734" customFormat="false" ht="15" hidden="false" customHeight="true" outlineLevel="0" collapsed="false">
      <c r="A2734" s="42"/>
      <c r="B2734" s="42"/>
      <c r="C2734" s="42"/>
      <c r="D2734" s="42"/>
      <c r="E2734" s="42"/>
      <c r="F2734" s="51" t="n">
        <f aca="false">IF(OR(C2734="",D2734="",E2734="",E2734=0),0,C2734*D2734/E2734)</f>
        <v>0</v>
      </c>
      <c r="G2734" s="42"/>
      <c r="H2734" s="49" t="n">
        <f aca="true">IF(OR($A2734="",_xlfn.MINIFS($B$3:$B$5000,$A$3:$A$5000,$A2734,$B$3:$B$5000,"&gt;"&amp;$B2734)=0),NOW(),_xlfn.MINIFS($B$3:$B$5000,$A$3:$A$5000,$A2734,$B$3:$B$5000,"&gt;"&amp;$B2734))</f>
        <v>46279.5987644158</v>
      </c>
    </row>
    <row r="2735" customFormat="false" ht="15" hidden="false" customHeight="true" outlineLevel="0" collapsed="false">
      <c r="A2735" s="42"/>
      <c r="B2735" s="42"/>
      <c r="C2735" s="42"/>
      <c r="D2735" s="42"/>
      <c r="E2735" s="42"/>
      <c r="F2735" s="51" t="n">
        <f aca="false">IF(OR(C2735="",D2735="",E2735="",E2735=0),0,C2735*D2735/E2735)</f>
        <v>0</v>
      </c>
      <c r="G2735" s="42"/>
      <c r="H2735" s="49" t="n">
        <f aca="true">IF(OR($A2735="",_xlfn.MINIFS($B$3:$B$5000,$A$3:$A$5000,$A2735,$B$3:$B$5000,"&gt;"&amp;$B2735)=0),NOW(),_xlfn.MINIFS($B$3:$B$5000,$A$3:$A$5000,$A2735,$B$3:$B$5000,"&gt;"&amp;$B2735))</f>
        <v>46279.5987644159</v>
      </c>
    </row>
    <row r="2736" customFormat="false" ht="15" hidden="false" customHeight="true" outlineLevel="0" collapsed="false">
      <c r="A2736" s="42"/>
      <c r="B2736" s="42"/>
      <c r="C2736" s="42"/>
      <c r="D2736" s="42"/>
      <c r="E2736" s="42"/>
      <c r="F2736" s="51" t="n">
        <f aca="false">IF(OR(C2736="",D2736="",E2736="",E2736=0),0,C2736*D2736/E2736)</f>
        <v>0</v>
      </c>
      <c r="G2736" s="42"/>
      <c r="H2736" s="49" t="n">
        <f aca="true">IF(OR($A2736="",_xlfn.MINIFS($B$3:$B$5000,$A$3:$A$5000,$A2736,$B$3:$B$5000,"&gt;"&amp;$B2736)=0),NOW(),_xlfn.MINIFS($B$3:$B$5000,$A$3:$A$5000,$A2736,$B$3:$B$5000,"&gt;"&amp;$B2736))</f>
        <v>46279.5987644159</v>
      </c>
    </row>
    <row r="2737" customFormat="false" ht="15" hidden="false" customHeight="true" outlineLevel="0" collapsed="false">
      <c r="A2737" s="42"/>
      <c r="B2737" s="42"/>
      <c r="C2737" s="42"/>
      <c r="D2737" s="42"/>
      <c r="E2737" s="42"/>
      <c r="F2737" s="51" t="n">
        <f aca="false">IF(OR(C2737="",D2737="",E2737="",E2737=0),0,C2737*D2737/E2737)</f>
        <v>0</v>
      </c>
      <c r="G2737" s="42"/>
      <c r="H2737" s="49" t="n">
        <f aca="true">IF(OR($A2737="",_xlfn.MINIFS($B$3:$B$5000,$A$3:$A$5000,$A2737,$B$3:$B$5000,"&gt;"&amp;$B2737)=0),NOW(),_xlfn.MINIFS($B$3:$B$5000,$A$3:$A$5000,$A2737,$B$3:$B$5000,"&gt;"&amp;$B2737))</f>
        <v>46279.598764416</v>
      </c>
    </row>
    <row r="2738" customFormat="false" ht="15" hidden="false" customHeight="true" outlineLevel="0" collapsed="false">
      <c r="A2738" s="42"/>
      <c r="B2738" s="42"/>
      <c r="C2738" s="42"/>
      <c r="D2738" s="42"/>
      <c r="E2738" s="42"/>
      <c r="F2738" s="51" t="n">
        <f aca="false">IF(OR(C2738="",D2738="",E2738="",E2738=0),0,C2738*D2738/E2738)</f>
        <v>0</v>
      </c>
      <c r="G2738" s="42"/>
      <c r="H2738" s="49" t="n">
        <f aca="true">IF(OR($A2738="",_xlfn.MINIFS($B$3:$B$5000,$A$3:$A$5000,$A2738,$B$3:$B$5000,"&gt;"&amp;$B2738)=0),NOW(),_xlfn.MINIFS($B$3:$B$5000,$A$3:$A$5000,$A2738,$B$3:$B$5000,"&gt;"&amp;$B2738))</f>
        <v>46279.598764416</v>
      </c>
    </row>
    <row r="2739" customFormat="false" ht="15" hidden="false" customHeight="true" outlineLevel="0" collapsed="false">
      <c r="A2739" s="42"/>
      <c r="B2739" s="42"/>
      <c r="C2739" s="42"/>
      <c r="D2739" s="42"/>
      <c r="E2739" s="42"/>
      <c r="F2739" s="51" t="n">
        <f aca="false">IF(OR(C2739="",D2739="",E2739="",E2739=0),0,C2739*D2739/E2739)</f>
        <v>0</v>
      </c>
      <c r="G2739" s="42"/>
      <c r="H2739" s="49" t="n">
        <f aca="true">IF(OR($A2739="",_xlfn.MINIFS($B$3:$B$5000,$A$3:$A$5000,$A2739,$B$3:$B$5000,"&gt;"&amp;$B2739)=0),NOW(),_xlfn.MINIFS($B$3:$B$5000,$A$3:$A$5000,$A2739,$B$3:$B$5000,"&gt;"&amp;$B2739))</f>
        <v>46279.5987644161</v>
      </c>
    </row>
    <row r="2740" customFormat="false" ht="15" hidden="false" customHeight="true" outlineLevel="0" collapsed="false">
      <c r="A2740" s="42"/>
      <c r="B2740" s="42"/>
      <c r="C2740" s="42"/>
      <c r="D2740" s="42"/>
      <c r="E2740" s="42"/>
      <c r="F2740" s="51" t="n">
        <f aca="false">IF(OR(C2740="",D2740="",E2740="",E2740=0),0,C2740*D2740/E2740)</f>
        <v>0</v>
      </c>
      <c r="G2740" s="42"/>
      <c r="H2740" s="49" t="n">
        <f aca="true">IF(OR($A2740="",_xlfn.MINIFS($B$3:$B$5000,$A$3:$A$5000,$A2740,$B$3:$B$5000,"&gt;"&amp;$B2740)=0),NOW(),_xlfn.MINIFS($B$3:$B$5000,$A$3:$A$5000,$A2740,$B$3:$B$5000,"&gt;"&amp;$B2740))</f>
        <v>46279.5987644161</v>
      </c>
    </row>
    <row r="2741" customFormat="false" ht="15" hidden="false" customHeight="true" outlineLevel="0" collapsed="false">
      <c r="A2741" s="42"/>
      <c r="B2741" s="42"/>
      <c r="C2741" s="42"/>
      <c r="D2741" s="42"/>
      <c r="E2741" s="42"/>
      <c r="F2741" s="51" t="n">
        <f aca="false">IF(OR(C2741="",D2741="",E2741="",E2741=0),0,C2741*D2741/E2741)</f>
        <v>0</v>
      </c>
      <c r="G2741" s="42"/>
      <c r="H2741" s="49" t="n">
        <f aca="true">IF(OR($A2741="",_xlfn.MINIFS($B$3:$B$5000,$A$3:$A$5000,$A2741,$B$3:$B$5000,"&gt;"&amp;$B2741)=0),NOW(),_xlfn.MINIFS($B$3:$B$5000,$A$3:$A$5000,$A2741,$B$3:$B$5000,"&gt;"&amp;$B2741))</f>
        <v>46279.5987644162</v>
      </c>
    </row>
    <row r="2742" customFormat="false" ht="15" hidden="false" customHeight="true" outlineLevel="0" collapsed="false">
      <c r="A2742" s="42"/>
      <c r="B2742" s="42"/>
      <c r="C2742" s="42"/>
      <c r="D2742" s="42"/>
      <c r="E2742" s="42"/>
      <c r="F2742" s="51" t="n">
        <f aca="false">IF(OR(C2742="",D2742="",E2742="",E2742=0),0,C2742*D2742/E2742)</f>
        <v>0</v>
      </c>
      <c r="G2742" s="42"/>
      <c r="H2742" s="49" t="n">
        <f aca="true">IF(OR($A2742="",_xlfn.MINIFS($B$3:$B$5000,$A$3:$A$5000,$A2742,$B$3:$B$5000,"&gt;"&amp;$B2742)=0),NOW(),_xlfn.MINIFS($B$3:$B$5000,$A$3:$A$5000,$A2742,$B$3:$B$5000,"&gt;"&amp;$B2742))</f>
        <v>46279.5987644162</v>
      </c>
    </row>
    <row r="2743" customFormat="false" ht="15" hidden="false" customHeight="true" outlineLevel="0" collapsed="false">
      <c r="A2743" s="42"/>
      <c r="B2743" s="42"/>
      <c r="C2743" s="42"/>
      <c r="D2743" s="42"/>
      <c r="E2743" s="42"/>
      <c r="F2743" s="51" t="n">
        <f aca="false">IF(OR(C2743="",D2743="",E2743="",E2743=0),0,C2743*D2743/E2743)</f>
        <v>0</v>
      </c>
      <c r="G2743" s="42"/>
      <c r="H2743" s="49" t="n">
        <f aca="true">IF(OR($A2743="",_xlfn.MINIFS($B$3:$B$5000,$A$3:$A$5000,$A2743,$B$3:$B$5000,"&gt;"&amp;$B2743)=0),NOW(),_xlfn.MINIFS($B$3:$B$5000,$A$3:$A$5000,$A2743,$B$3:$B$5000,"&gt;"&amp;$B2743))</f>
        <v>46279.5987644163</v>
      </c>
    </row>
    <row r="2744" customFormat="false" ht="15" hidden="false" customHeight="true" outlineLevel="0" collapsed="false">
      <c r="A2744" s="42"/>
      <c r="B2744" s="42"/>
      <c r="C2744" s="42"/>
      <c r="D2744" s="42"/>
      <c r="E2744" s="42"/>
      <c r="F2744" s="51" t="n">
        <f aca="false">IF(OR(C2744="",D2744="",E2744="",E2744=0),0,C2744*D2744/E2744)</f>
        <v>0</v>
      </c>
      <c r="G2744" s="42"/>
      <c r="H2744" s="49" t="n">
        <f aca="true">IF(OR($A2744="",_xlfn.MINIFS($B$3:$B$5000,$A$3:$A$5000,$A2744,$B$3:$B$5000,"&gt;"&amp;$B2744)=0),NOW(),_xlfn.MINIFS($B$3:$B$5000,$A$3:$A$5000,$A2744,$B$3:$B$5000,"&gt;"&amp;$B2744))</f>
        <v>46279.5987644163</v>
      </c>
    </row>
    <row r="2745" customFormat="false" ht="15" hidden="false" customHeight="true" outlineLevel="0" collapsed="false">
      <c r="A2745" s="42"/>
      <c r="B2745" s="42"/>
      <c r="C2745" s="42"/>
      <c r="D2745" s="42"/>
      <c r="E2745" s="42"/>
      <c r="F2745" s="51" t="n">
        <f aca="false">IF(OR(C2745="",D2745="",E2745="",E2745=0),0,C2745*D2745/E2745)</f>
        <v>0</v>
      </c>
      <c r="G2745" s="42"/>
      <c r="H2745" s="49" t="n">
        <f aca="true">IF(OR($A2745="",_xlfn.MINIFS($B$3:$B$5000,$A$3:$A$5000,$A2745,$B$3:$B$5000,"&gt;"&amp;$B2745)=0),NOW(),_xlfn.MINIFS($B$3:$B$5000,$A$3:$A$5000,$A2745,$B$3:$B$5000,"&gt;"&amp;$B2745))</f>
        <v>46279.5987644164</v>
      </c>
    </row>
    <row r="2746" customFormat="false" ht="15" hidden="false" customHeight="true" outlineLevel="0" collapsed="false">
      <c r="A2746" s="42"/>
      <c r="B2746" s="42"/>
      <c r="C2746" s="42"/>
      <c r="D2746" s="42"/>
      <c r="E2746" s="42"/>
      <c r="F2746" s="51" t="n">
        <f aca="false">IF(OR(C2746="",D2746="",E2746="",E2746=0),0,C2746*D2746/E2746)</f>
        <v>0</v>
      </c>
      <c r="G2746" s="42"/>
      <c r="H2746" s="49" t="n">
        <f aca="true">IF(OR($A2746="",_xlfn.MINIFS($B$3:$B$5000,$A$3:$A$5000,$A2746,$B$3:$B$5000,"&gt;"&amp;$B2746)=0),NOW(),_xlfn.MINIFS($B$3:$B$5000,$A$3:$A$5000,$A2746,$B$3:$B$5000,"&gt;"&amp;$B2746))</f>
        <v>46279.5987644164</v>
      </c>
    </row>
    <row r="2747" customFormat="false" ht="15" hidden="false" customHeight="true" outlineLevel="0" collapsed="false">
      <c r="A2747" s="42"/>
      <c r="B2747" s="42"/>
      <c r="C2747" s="42"/>
      <c r="D2747" s="42"/>
      <c r="E2747" s="42"/>
      <c r="F2747" s="51" t="n">
        <f aca="false">IF(OR(C2747="",D2747="",E2747="",E2747=0),0,C2747*D2747/E2747)</f>
        <v>0</v>
      </c>
      <c r="G2747" s="42"/>
      <c r="H2747" s="49" t="n">
        <f aca="true">IF(OR($A2747="",_xlfn.MINIFS($B$3:$B$5000,$A$3:$A$5000,$A2747,$B$3:$B$5000,"&gt;"&amp;$B2747)=0),NOW(),_xlfn.MINIFS($B$3:$B$5000,$A$3:$A$5000,$A2747,$B$3:$B$5000,"&gt;"&amp;$B2747))</f>
        <v>46279.5987644165</v>
      </c>
    </row>
    <row r="2748" customFormat="false" ht="15" hidden="false" customHeight="true" outlineLevel="0" collapsed="false">
      <c r="A2748" s="42"/>
      <c r="B2748" s="42"/>
      <c r="C2748" s="42"/>
      <c r="D2748" s="42"/>
      <c r="E2748" s="42"/>
      <c r="F2748" s="51" t="n">
        <f aca="false">IF(OR(C2748="",D2748="",E2748="",E2748=0),0,C2748*D2748/E2748)</f>
        <v>0</v>
      </c>
      <c r="G2748" s="42"/>
      <c r="H2748" s="49" t="n">
        <f aca="true">IF(OR($A2748="",_xlfn.MINIFS($B$3:$B$5000,$A$3:$A$5000,$A2748,$B$3:$B$5000,"&gt;"&amp;$B2748)=0),NOW(),_xlfn.MINIFS($B$3:$B$5000,$A$3:$A$5000,$A2748,$B$3:$B$5000,"&gt;"&amp;$B2748))</f>
        <v>46279.5987644165</v>
      </c>
    </row>
    <row r="2749" customFormat="false" ht="15" hidden="false" customHeight="true" outlineLevel="0" collapsed="false">
      <c r="A2749" s="42"/>
      <c r="B2749" s="42"/>
      <c r="C2749" s="42"/>
      <c r="D2749" s="42"/>
      <c r="E2749" s="42"/>
      <c r="F2749" s="51" t="n">
        <f aca="false">IF(OR(C2749="",D2749="",E2749="",E2749=0),0,C2749*D2749/E2749)</f>
        <v>0</v>
      </c>
      <c r="G2749" s="42"/>
      <c r="H2749" s="49" t="n">
        <f aca="true">IF(OR($A2749="",_xlfn.MINIFS($B$3:$B$5000,$A$3:$A$5000,$A2749,$B$3:$B$5000,"&gt;"&amp;$B2749)=0),NOW(),_xlfn.MINIFS($B$3:$B$5000,$A$3:$A$5000,$A2749,$B$3:$B$5000,"&gt;"&amp;$B2749))</f>
        <v>46279.5987644166</v>
      </c>
    </row>
    <row r="2750" customFormat="false" ht="15" hidden="false" customHeight="true" outlineLevel="0" collapsed="false">
      <c r="A2750" s="42"/>
      <c r="B2750" s="42"/>
      <c r="C2750" s="42"/>
      <c r="D2750" s="42"/>
      <c r="E2750" s="42"/>
      <c r="F2750" s="51" t="n">
        <f aca="false">IF(OR(C2750="",D2750="",E2750="",E2750=0),0,C2750*D2750/E2750)</f>
        <v>0</v>
      </c>
      <c r="G2750" s="42"/>
      <c r="H2750" s="49" t="n">
        <f aca="true">IF(OR($A2750="",_xlfn.MINIFS($B$3:$B$5000,$A$3:$A$5000,$A2750,$B$3:$B$5000,"&gt;"&amp;$B2750)=0),NOW(),_xlfn.MINIFS($B$3:$B$5000,$A$3:$A$5000,$A2750,$B$3:$B$5000,"&gt;"&amp;$B2750))</f>
        <v>46279.5987644166</v>
      </c>
    </row>
    <row r="2751" customFormat="false" ht="15" hidden="false" customHeight="true" outlineLevel="0" collapsed="false">
      <c r="A2751" s="42"/>
      <c r="B2751" s="42"/>
      <c r="C2751" s="42"/>
      <c r="D2751" s="42"/>
      <c r="E2751" s="42"/>
      <c r="F2751" s="51" t="n">
        <f aca="false">IF(OR(C2751="",D2751="",E2751="",E2751=0),0,C2751*D2751/E2751)</f>
        <v>0</v>
      </c>
      <c r="G2751" s="42"/>
      <c r="H2751" s="49" t="n">
        <f aca="true">IF(OR($A2751="",_xlfn.MINIFS($B$3:$B$5000,$A$3:$A$5000,$A2751,$B$3:$B$5000,"&gt;"&amp;$B2751)=0),NOW(),_xlfn.MINIFS($B$3:$B$5000,$A$3:$A$5000,$A2751,$B$3:$B$5000,"&gt;"&amp;$B2751))</f>
        <v>46279.5987644167</v>
      </c>
    </row>
    <row r="2752" customFormat="false" ht="15" hidden="false" customHeight="true" outlineLevel="0" collapsed="false">
      <c r="A2752" s="42"/>
      <c r="B2752" s="42"/>
      <c r="C2752" s="42"/>
      <c r="D2752" s="42"/>
      <c r="E2752" s="42"/>
      <c r="F2752" s="51" t="n">
        <f aca="false">IF(OR(C2752="",D2752="",E2752="",E2752=0),0,C2752*D2752/E2752)</f>
        <v>0</v>
      </c>
      <c r="G2752" s="42"/>
      <c r="H2752" s="49" t="n">
        <f aca="true">IF(OR($A2752="",_xlfn.MINIFS($B$3:$B$5000,$A$3:$A$5000,$A2752,$B$3:$B$5000,"&gt;"&amp;$B2752)=0),NOW(),_xlfn.MINIFS($B$3:$B$5000,$A$3:$A$5000,$A2752,$B$3:$B$5000,"&gt;"&amp;$B2752))</f>
        <v>46279.5987644168</v>
      </c>
    </row>
    <row r="2753" customFormat="false" ht="15" hidden="false" customHeight="true" outlineLevel="0" collapsed="false">
      <c r="A2753" s="42"/>
      <c r="B2753" s="42"/>
      <c r="C2753" s="42"/>
      <c r="D2753" s="42"/>
      <c r="E2753" s="42"/>
      <c r="F2753" s="51" t="n">
        <f aca="false">IF(OR(C2753="",D2753="",E2753="",E2753=0),0,C2753*D2753/E2753)</f>
        <v>0</v>
      </c>
      <c r="G2753" s="42"/>
      <c r="H2753" s="49" t="n">
        <f aca="true">IF(OR($A2753="",_xlfn.MINIFS($B$3:$B$5000,$A$3:$A$5000,$A2753,$B$3:$B$5000,"&gt;"&amp;$B2753)=0),NOW(),_xlfn.MINIFS($B$3:$B$5000,$A$3:$A$5000,$A2753,$B$3:$B$5000,"&gt;"&amp;$B2753))</f>
        <v>46279.5987644168</v>
      </c>
    </row>
    <row r="2754" customFormat="false" ht="15" hidden="false" customHeight="true" outlineLevel="0" collapsed="false">
      <c r="A2754" s="42"/>
      <c r="B2754" s="42"/>
      <c r="C2754" s="42"/>
      <c r="D2754" s="42"/>
      <c r="E2754" s="42"/>
      <c r="F2754" s="51" t="n">
        <f aca="false">IF(OR(C2754="",D2754="",E2754="",E2754=0),0,C2754*D2754/E2754)</f>
        <v>0</v>
      </c>
      <c r="G2754" s="42"/>
      <c r="H2754" s="49" t="n">
        <f aca="true">IF(OR($A2754="",_xlfn.MINIFS($B$3:$B$5000,$A$3:$A$5000,$A2754,$B$3:$B$5000,"&gt;"&amp;$B2754)=0),NOW(),_xlfn.MINIFS($B$3:$B$5000,$A$3:$A$5000,$A2754,$B$3:$B$5000,"&gt;"&amp;$B2754))</f>
        <v>46279.5987644169</v>
      </c>
    </row>
    <row r="2755" customFormat="false" ht="15" hidden="false" customHeight="true" outlineLevel="0" collapsed="false">
      <c r="A2755" s="42"/>
      <c r="B2755" s="42"/>
      <c r="C2755" s="42"/>
      <c r="D2755" s="42"/>
      <c r="E2755" s="42"/>
      <c r="F2755" s="51" t="n">
        <f aca="false">IF(OR(C2755="",D2755="",E2755="",E2755=0),0,C2755*D2755/E2755)</f>
        <v>0</v>
      </c>
      <c r="G2755" s="42"/>
      <c r="H2755" s="49" t="n">
        <f aca="true">IF(OR($A2755="",_xlfn.MINIFS($B$3:$B$5000,$A$3:$A$5000,$A2755,$B$3:$B$5000,"&gt;"&amp;$B2755)=0),NOW(),_xlfn.MINIFS($B$3:$B$5000,$A$3:$A$5000,$A2755,$B$3:$B$5000,"&gt;"&amp;$B2755))</f>
        <v>46279.5987644169</v>
      </c>
    </row>
    <row r="2756" customFormat="false" ht="15" hidden="false" customHeight="true" outlineLevel="0" collapsed="false">
      <c r="A2756" s="42"/>
      <c r="B2756" s="42"/>
      <c r="C2756" s="42"/>
      <c r="D2756" s="42"/>
      <c r="E2756" s="42"/>
      <c r="F2756" s="51" t="n">
        <f aca="false">IF(OR(C2756="",D2756="",E2756="",E2756=0),0,C2756*D2756/E2756)</f>
        <v>0</v>
      </c>
      <c r="G2756" s="42"/>
      <c r="H2756" s="49" t="n">
        <f aca="true">IF(OR($A2756="",_xlfn.MINIFS($B$3:$B$5000,$A$3:$A$5000,$A2756,$B$3:$B$5000,"&gt;"&amp;$B2756)=0),NOW(),_xlfn.MINIFS($B$3:$B$5000,$A$3:$A$5000,$A2756,$B$3:$B$5000,"&gt;"&amp;$B2756))</f>
        <v>46279.598764417</v>
      </c>
    </row>
    <row r="2757" customFormat="false" ht="15" hidden="false" customHeight="true" outlineLevel="0" collapsed="false">
      <c r="A2757" s="42"/>
      <c r="B2757" s="42"/>
      <c r="C2757" s="42"/>
      <c r="D2757" s="42"/>
      <c r="E2757" s="42"/>
      <c r="F2757" s="51" t="n">
        <f aca="false">IF(OR(C2757="",D2757="",E2757="",E2757=0),0,C2757*D2757/E2757)</f>
        <v>0</v>
      </c>
      <c r="G2757" s="42"/>
      <c r="H2757" s="49" t="n">
        <f aca="true">IF(OR($A2757="",_xlfn.MINIFS($B$3:$B$5000,$A$3:$A$5000,$A2757,$B$3:$B$5000,"&gt;"&amp;$B2757)=0),NOW(),_xlfn.MINIFS($B$3:$B$5000,$A$3:$A$5000,$A2757,$B$3:$B$5000,"&gt;"&amp;$B2757))</f>
        <v>46279.598764417</v>
      </c>
    </row>
    <row r="2758" customFormat="false" ht="15" hidden="false" customHeight="true" outlineLevel="0" collapsed="false">
      <c r="A2758" s="42"/>
      <c r="B2758" s="42"/>
      <c r="C2758" s="42"/>
      <c r="D2758" s="42"/>
      <c r="E2758" s="42"/>
      <c r="F2758" s="51" t="n">
        <f aca="false">IF(OR(C2758="",D2758="",E2758="",E2758=0),0,C2758*D2758/E2758)</f>
        <v>0</v>
      </c>
      <c r="G2758" s="42"/>
      <c r="H2758" s="49" t="n">
        <f aca="true">IF(OR($A2758="",_xlfn.MINIFS($B$3:$B$5000,$A$3:$A$5000,$A2758,$B$3:$B$5000,"&gt;"&amp;$B2758)=0),NOW(),_xlfn.MINIFS($B$3:$B$5000,$A$3:$A$5000,$A2758,$B$3:$B$5000,"&gt;"&amp;$B2758))</f>
        <v>46279.5987644171</v>
      </c>
    </row>
    <row r="2759" customFormat="false" ht="15" hidden="false" customHeight="true" outlineLevel="0" collapsed="false">
      <c r="A2759" s="42"/>
      <c r="B2759" s="42"/>
      <c r="C2759" s="42"/>
      <c r="D2759" s="42"/>
      <c r="E2759" s="42"/>
      <c r="F2759" s="51" t="n">
        <f aca="false">IF(OR(C2759="",D2759="",E2759="",E2759=0),0,C2759*D2759/E2759)</f>
        <v>0</v>
      </c>
      <c r="G2759" s="42"/>
      <c r="H2759" s="49" t="n">
        <f aca="true">IF(OR($A2759="",_xlfn.MINIFS($B$3:$B$5000,$A$3:$A$5000,$A2759,$B$3:$B$5000,"&gt;"&amp;$B2759)=0),NOW(),_xlfn.MINIFS($B$3:$B$5000,$A$3:$A$5000,$A2759,$B$3:$B$5000,"&gt;"&amp;$B2759))</f>
        <v>46279.5987644171</v>
      </c>
    </row>
    <row r="2760" customFormat="false" ht="15" hidden="false" customHeight="true" outlineLevel="0" collapsed="false">
      <c r="A2760" s="42"/>
      <c r="B2760" s="42"/>
      <c r="C2760" s="42"/>
      <c r="D2760" s="42"/>
      <c r="E2760" s="42"/>
      <c r="F2760" s="51" t="n">
        <f aca="false">IF(OR(C2760="",D2760="",E2760="",E2760=0),0,C2760*D2760/E2760)</f>
        <v>0</v>
      </c>
      <c r="G2760" s="42"/>
      <c r="H2760" s="49" t="n">
        <f aca="true">IF(OR($A2760="",_xlfn.MINIFS($B$3:$B$5000,$A$3:$A$5000,$A2760,$B$3:$B$5000,"&gt;"&amp;$B2760)=0),NOW(),_xlfn.MINIFS($B$3:$B$5000,$A$3:$A$5000,$A2760,$B$3:$B$5000,"&gt;"&amp;$B2760))</f>
        <v>46279.5987644172</v>
      </c>
    </row>
    <row r="2761" customFormat="false" ht="15" hidden="false" customHeight="true" outlineLevel="0" collapsed="false">
      <c r="A2761" s="42"/>
      <c r="B2761" s="42"/>
      <c r="C2761" s="42"/>
      <c r="D2761" s="42"/>
      <c r="E2761" s="42"/>
      <c r="F2761" s="51" t="n">
        <f aca="false">IF(OR(C2761="",D2761="",E2761="",E2761=0),0,C2761*D2761/E2761)</f>
        <v>0</v>
      </c>
      <c r="G2761" s="42"/>
      <c r="H2761" s="49" t="n">
        <f aca="true">IF(OR($A2761="",_xlfn.MINIFS($B$3:$B$5000,$A$3:$A$5000,$A2761,$B$3:$B$5000,"&gt;"&amp;$B2761)=0),NOW(),_xlfn.MINIFS($B$3:$B$5000,$A$3:$A$5000,$A2761,$B$3:$B$5000,"&gt;"&amp;$B2761))</f>
        <v>46279.5987644172</v>
      </c>
    </row>
    <row r="2762" customFormat="false" ht="15" hidden="false" customHeight="true" outlineLevel="0" collapsed="false">
      <c r="A2762" s="42"/>
      <c r="B2762" s="42"/>
      <c r="C2762" s="42"/>
      <c r="D2762" s="42"/>
      <c r="E2762" s="42"/>
      <c r="F2762" s="51" t="n">
        <f aca="false">IF(OR(C2762="",D2762="",E2762="",E2762=0),0,C2762*D2762/E2762)</f>
        <v>0</v>
      </c>
      <c r="G2762" s="42"/>
      <c r="H2762" s="49" t="n">
        <f aca="true">IF(OR($A2762="",_xlfn.MINIFS($B$3:$B$5000,$A$3:$A$5000,$A2762,$B$3:$B$5000,"&gt;"&amp;$B2762)=0),NOW(),_xlfn.MINIFS($B$3:$B$5000,$A$3:$A$5000,$A2762,$B$3:$B$5000,"&gt;"&amp;$B2762))</f>
        <v>46279.5987644173</v>
      </c>
    </row>
    <row r="2763" customFormat="false" ht="15" hidden="false" customHeight="true" outlineLevel="0" collapsed="false">
      <c r="A2763" s="42"/>
      <c r="B2763" s="42"/>
      <c r="C2763" s="42"/>
      <c r="D2763" s="42"/>
      <c r="E2763" s="42"/>
      <c r="F2763" s="51" t="n">
        <f aca="false">IF(OR(C2763="",D2763="",E2763="",E2763=0),0,C2763*D2763/E2763)</f>
        <v>0</v>
      </c>
      <c r="G2763" s="42"/>
      <c r="H2763" s="49" t="n">
        <f aca="true">IF(OR($A2763="",_xlfn.MINIFS($B$3:$B$5000,$A$3:$A$5000,$A2763,$B$3:$B$5000,"&gt;"&amp;$B2763)=0),NOW(),_xlfn.MINIFS($B$3:$B$5000,$A$3:$A$5000,$A2763,$B$3:$B$5000,"&gt;"&amp;$B2763))</f>
        <v>46279.5987644173</v>
      </c>
    </row>
    <row r="2764" customFormat="false" ht="15" hidden="false" customHeight="true" outlineLevel="0" collapsed="false">
      <c r="A2764" s="42"/>
      <c r="B2764" s="42"/>
      <c r="C2764" s="42"/>
      <c r="D2764" s="42"/>
      <c r="E2764" s="42"/>
      <c r="F2764" s="51" t="n">
        <f aca="false">IF(OR(C2764="",D2764="",E2764="",E2764=0),0,C2764*D2764/E2764)</f>
        <v>0</v>
      </c>
      <c r="G2764" s="42"/>
      <c r="H2764" s="49" t="n">
        <f aca="true">IF(OR($A2764="",_xlfn.MINIFS($B$3:$B$5000,$A$3:$A$5000,$A2764,$B$3:$B$5000,"&gt;"&amp;$B2764)=0),NOW(),_xlfn.MINIFS($B$3:$B$5000,$A$3:$A$5000,$A2764,$B$3:$B$5000,"&gt;"&amp;$B2764))</f>
        <v>46279.5987644174</v>
      </c>
    </row>
    <row r="2765" customFormat="false" ht="15" hidden="false" customHeight="true" outlineLevel="0" collapsed="false">
      <c r="A2765" s="42"/>
      <c r="B2765" s="42"/>
      <c r="C2765" s="42"/>
      <c r="D2765" s="42"/>
      <c r="E2765" s="42"/>
      <c r="F2765" s="51" t="n">
        <f aca="false">IF(OR(C2765="",D2765="",E2765="",E2765=0),0,C2765*D2765/E2765)</f>
        <v>0</v>
      </c>
      <c r="G2765" s="42"/>
      <c r="H2765" s="49" t="n">
        <f aca="true">IF(OR($A2765="",_xlfn.MINIFS($B$3:$B$5000,$A$3:$A$5000,$A2765,$B$3:$B$5000,"&gt;"&amp;$B2765)=0),NOW(),_xlfn.MINIFS($B$3:$B$5000,$A$3:$A$5000,$A2765,$B$3:$B$5000,"&gt;"&amp;$B2765))</f>
        <v>46279.5987644174</v>
      </c>
    </row>
    <row r="2766" customFormat="false" ht="15" hidden="false" customHeight="true" outlineLevel="0" collapsed="false">
      <c r="A2766" s="42"/>
      <c r="B2766" s="42"/>
      <c r="C2766" s="42"/>
      <c r="D2766" s="42"/>
      <c r="E2766" s="42"/>
      <c r="F2766" s="51" t="n">
        <f aca="false">IF(OR(C2766="",D2766="",E2766="",E2766=0),0,C2766*D2766/E2766)</f>
        <v>0</v>
      </c>
      <c r="G2766" s="42"/>
      <c r="H2766" s="49" t="n">
        <f aca="true">IF(OR($A2766="",_xlfn.MINIFS($B$3:$B$5000,$A$3:$A$5000,$A2766,$B$3:$B$5000,"&gt;"&amp;$B2766)=0),NOW(),_xlfn.MINIFS($B$3:$B$5000,$A$3:$A$5000,$A2766,$B$3:$B$5000,"&gt;"&amp;$B2766))</f>
        <v>46279.5987644175</v>
      </c>
    </row>
    <row r="2767" customFormat="false" ht="15" hidden="false" customHeight="true" outlineLevel="0" collapsed="false">
      <c r="A2767" s="42"/>
      <c r="B2767" s="42"/>
      <c r="C2767" s="42"/>
      <c r="D2767" s="42"/>
      <c r="E2767" s="42"/>
      <c r="F2767" s="51" t="n">
        <f aca="false">IF(OR(C2767="",D2767="",E2767="",E2767=0),0,C2767*D2767/E2767)</f>
        <v>0</v>
      </c>
      <c r="G2767" s="42"/>
      <c r="H2767" s="49" t="n">
        <f aca="true">IF(OR($A2767="",_xlfn.MINIFS($B$3:$B$5000,$A$3:$A$5000,$A2767,$B$3:$B$5000,"&gt;"&amp;$B2767)=0),NOW(),_xlfn.MINIFS($B$3:$B$5000,$A$3:$A$5000,$A2767,$B$3:$B$5000,"&gt;"&amp;$B2767))</f>
        <v>46279.5987644175</v>
      </c>
    </row>
    <row r="2768" customFormat="false" ht="15" hidden="false" customHeight="true" outlineLevel="0" collapsed="false">
      <c r="A2768" s="42"/>
      <c r="B2768" s="42"/>
      <c r="C2768" s="42"/>
      <c r="D2768" s="42"/>
      <c r="E2768" s="42"/>
      <c r="F2768" s="51" t="n">
        <f aca="false">IF(OR(C2768="",D2768="",E2768="",E2768=0),0,C2768*D2768/E2768)</f>
        <v>0</v>
      </c>
      <c r="G2768" s="42"/>
      <c r="H2768" s="49" t="n">
        <f aca="true">IF(OR($A2768="",_xlfn.MINIFS($B$3:$B$5000,$A$3:$A$5000,$A2768,$B$3:$B$5000,"&gt;"&amp;$B2768)=0),NOW(),_xlfn.MINIFS($B$3:$B$5000,$A$3:$A$5000,$A2768,$B$3:$B$5000,"&gt;"&amp;$B2768))</f>
        <v>46279.5987644176</v>
      </c>
    </row>
    <row r="2769" customFormat="false" ht="15" hidden="false" customHeight="true" outlineLevel="0" collapsed="false">
      <c r="A2769" s="42"/>
      <c r="B2769" s="42"/>
      <c r="C2769" s="42"/>
      <c r="D2769" s="42"/>
      <c r="E2769" s="42"/>
      <c r="F2769" s="51" t="n">
        <f aca="false">IF(OR(C2769="",D2769="",E2769="",E2769=0),0,C2769*D2769/E2769)</f>
        <v>0</v>
      </c>
      <c r="G2769" s="42"/>
      <c r="H2769" s="49" t="n">
        <f aca="true">IF(OR($A2769="",_xlfn.MINIFS($B$3:$B$5000,$A$3:$A$5000,$A2769,$B$3:$B$5000,"&gt;"&amp;$B2769)=0),NOW(),_xlfn.MINIFS($B$3:$B$5000,$A$3:$A$5000,$A2769,$B$3:$B$5000,"&gt;"&amp;$B2769))</f>
        <v>46279.5987644176</v>
      </c>
    </row>
    <row r="2770" customFormat="false" ht="15" hidden="false" customHeight="true" outlineLevel="0" collapsed="false">
      <c r="A2770" s="42"/>
      <c r="B2770" s="42"/>
      <c r="C2770" s="42"/>
      <c r="D2770" s="42"/>
      <c r="E2770" s="42"/>
      <c r="F2770" s="51" t="n">
        <f aca="false">IF(OR(C2770="",D2770="",E2770="",E2770=0),0,C2770*D2770/E2770)</f>
        <v>0</v>
      </c>
      <c r="G2770" s="42"/>
      <c r="H2770" s="49" t="n">
        <f aca="true">IF(OR($A2770="",_xlfn.MINIFS($B$3:$B$5000,$A$3:$A$5000,$A2770,$B$3:$B$5000,"&gt;"&amp;$B2770)=0),NOW(),_xlfn.MINIFS($B$3:$B$5000,$A$3:$A$5000,$A2770,$B$3:$B$5000,"&gt;"&amp;$B2770))</f>
        <v>46279.5987644177</v>
      </c>
    </row>
    <row r="2771" customFormat="false" ht="15" hidden="false" customHeight="true" outlineLevel="0" collapsed="false">
      <c r="A2771" s="42"/>
      <c r="B2771" s="42"/>
      <c r="C2771" s="42"/>
      <c r="D2771" s="42"/>
      <c r="E2771" s="42"/>
      <c r="F2771" s="51" t="n">
        <f aca="false">IF(OR(C2771="",D2771="",E2771="",E2771=0),0,C2771*D2771/E2771)</f>
        <v>0</v>
      </c>
      <c r="G2771" s="42"/>
      <c r="H2771" s="49" t="n">
        <f aca="true">IF(OR($A2771="",_xlfn.MINIFS($B$3:$B$5000,$A$3:$A$5000,$A2771,$B$3:$B$5000,"&gt;"&amp;$B2771)=0),NOW(),_xlfn.MINIFS($B$3:$B$5000,$A$3:$A$5000,$A2771,$B$3:$B$5000,"&gt;"&amp;$B2771))</f>
        <v>46279.5987644178</v>
      </c>
    </row>
    <row r="2772" customFormat="false" ht="15" hidden="false" customHeight="true" outlineLevel="0" collapsed="false">
      <c r="A2772" s="42"/>
      <c r="B2772" s="42"/>
      <c r="C2772" s="42"/>
      <c r="D2772" s="42"/>
      <c r="E2772" s="42"/>
      <c r="F2772" s="51" t="n">
        <f aca="false">IF(OR(C2772="",D2772="",E2772="",E2772=0),0,C2772*D2772/E2772)</f>
        <v>0</v>
      </c>
      <c r="G2772" s="42"/>
      <c r="H2772" s="49" t="n">
        <f aca="true">IF(OR($A2772="",_xlfn.MINIFS($B$3:$B$5000,$A$3:$A$5000,$A2772,$B$3:$B$5000,"&gt;"&amp;$B2772)=0),NOW(),_xlfn.MINIFS($B$3:$B$5000,$A$3:$A$5000,$A2772,$B$3:$B$5000,"&gt;"&amp;$B2772))</f>
        <v>46279.5987644179</v>
      </c>
    </row>
    <row r="2773" customFormat="false" ht="15" hidden="false" customHeight="true" outlineLevel="0" collapsed="false">
      <c r="A2773" s="42"/>
      <c r="B2773" s="42"/>
      <c r="C2773" s="42"/>
      <c r="D2773" s="42"/>
      <c r="E2773" s="42"/>
      <c r="F2773" s="51" t="n">
        <f aca="false">IF(OR(C2773="",D2773="",E2773="",E2773=0),0,C2773*D2773/E2773)</f>
        <v>0</v>
      </c>
      <c r="G2773" s="42"/>
      <c r="H2773" s="49" t="n">
        <f aca="true">IF(OR($A2773="",_xlfn.MINIFS($B$3:$B$5000,$A$3:$A$5000,$A2773,$B$3:$B$5000,"&gt;"&amp;$B2773)=0),NOW(),_xlfn.MINIFS($B$3:$B$5000,$A$3:$A$5000,$A2773,$B$3:$B$5000,"&gt;"&amp;$B2773))</f>
        <v>46279.5987644179</v>
      </c>
    </row>
    <row r="2774" customFormat="false" ht="15" hidden="false" customHeight="true" outlineLevel="0" collapsed="false">
      <c r="A2774" s="42"/>
      <c r="B2774" s="42"/>
      <c r="C2774" s="42"/>
      <c r="D2774" s="42"/>
      <c r="E2774" s="42"/>
      <c r="F2774" s="51" t="n">
        <f aca="false">IF(OR(C2774="",D2774="",E2774="",E2774=0),0,C2774*D2774/E2774)</f>
        <v>0</v>
      </c>
      <c r="G2774" s="42"/>
      <c r="H2774" s="49" t="n">
        <f aca="true">IF(OR($A2774="",_xlfn.MINIFS($B$3:$B$5000,$A$3:$A$5000,$A2774,$B$3:$B$5000,"&gt;"&amp;$B2774)=0),NOW(),_xlfn.MINIFS($B$3:$B$5000,$A$3:$A$5000,$A2774,$B$3:$B$5000,"&gt;"&amp;$B2774))</f>
        <v>46279.598764418</v>
      </c>
    </row>
    <row r="2775" customFormat="false" ht="15" hidden="false" customHeight="true" outlineLevel="0" collapsed="false">
      <c r="A2775" s="42"/>
      <c r="B2775" s="42"/>
      <c r="C2775" s="42"/>
      <c r="D2775" s="42"/>
      <c r="E2775" s="42"/>
      <c r="F2775" s="51" t="n">
        <f aca="false">IF(OR(C2775="",D2775="",E2775="",E2775=0),0,C2775*D2775/E2775)</f>
        <v>0</v>
      </c>
      <c r="G2775" s="42"/>
      <c r="H2775" s="49" t="n">
        <f aca="true">IF(OR($A2775="",_xlfn.MINIFS($B$3:$B$5000,$A$3:$A$5000,$A2775,$B$3:$B$5000,"&gt;"&amp;$B2775)=0),NOW(),_xlfn.MINIFS($B$3:$B$5000,$A$3:$A$5000,$A2775,$B$3:$B$5000,"&gt;"&amp;$B2775))</f>
        <v>46279.598764418</v>
      </c>
    </row>
    <row r="2776" customFormat="false" ht="15" hidden="false" customHeight="true" outlineLevel="0" collapsed="false">
      <c r="A2776" s="42"/>
      <c r="B2776" s="42"/>
      <c r="C2776" s="42"/>
      <c r="D2776" s="42"/>
      <c r="E2776" s="42"/>
      <c r="F2776" s="51" t="n">
        <f aca="false">IF(OR(C2776="",D2776="",E2776="",E2776=0),0,C2776*D2776/E2776)</f>
        <v>0</v>
      </c>
      <c r="G2776" s="42"/>
      <c r="H2776" s="49" t="n">
        <f aca="true">IF(OR($A2776="",_xlfn.MINIFS($B$3:$B$5000,$A$3:$A$5000,$A2776,$B$3:$B$5000,"&gt;"&amp;$B2776)=0),NOW(),_xlfn.MINIFS($B$3:$B$5000,$A$3:$A$5000,$A2776,$B$3:$B$5000,"&gt;"&amp;$B2776))</f>
        <v>46279.5987644181</v>
      </c>
    </row>
    <row r="2777" customFormat="false" ht="15" hidden="false" customHeight="true" outlineLevel="0" collapsed="false">
      <c r="A2777" s="42"/>
      <c r="B2777" s="42"/>
      <c r="C2777" s="42"/>
      <c r="D2777" s="42"/>
      <c r="E2777" s="42"/>
      <c r="F2777" s="51" t="n">
        <f aca="false">IF(OR(C2777="",D2777="",E2777="",E2777=0),0,C2777*D2777/E2777)</f>
        <v>0</v>
      </c>
      <c r="G2777" s="42"/>
      <c r="H2777" s="49" t="n">
        <f aca="true">IF(OR($A2777="",_xlfn.MINIFS($B$3:$B$5000,$A$3:$A$5000,$A2777,$B$3:$B$5000,"&gt;"&amp;$B2777)=0),NOW(),_xlfn.MINIFS($B$3:$B$5000,$A$3:$A$5000,$A2777,$B$3:$B$5000,"&gt;"&amp;$B2777))</f>
        <v>46279.5987644181</v>
      </c>
    </row>
    <row r="2778" customFormat="false" ht="15" hidden="false" customHeight="true" outlineLevel="0" collapsed="false">
      <c r="A2778" s="42"/>
      <c r="B2778" s="42"/>
      <c r="C2778" s="42"/>
      <c r="D2778" s="42"/>
      <c r="E2778" s="42"/>
      <c r="F2778" s="51" t="n">
        <f aca="false">IF(OR(C2778="",D2778="",E2778="",E2778=0),0,C2778*D2778/E2778)</f>
        <v>0</v>
      </c>
      <c r="G2778" s="42"/>
      <c r="H2778" s="49" t="n">
        <f aca="true">IF(OR($A2778="",_xlfn.MINIFS($B$3:$B$5000,$A$3:$A$5000,$A2778,$B$3:$B$5000,"&gt;"&amp;$B2778)=0),NOW(),_xlfn.MINIFS($B$3:$B$5000,$A$3:$A$5000,$A2778,$B$3:$B$5000,"&gt;"&amp;$B2778))</f>
        <v>46279.5987644182</v>
      </c>
    </row>
    <row r="2779" customFormat="false" ht="15" hidden="false" customHeight="true" outlineLevel="0" collapsed="false">
      <c r="A2779" s="42"/>
      <c r="B2779" s="42"/>
      <c r="C2779" s="42"/>
      <c r="D2779" s="42"/>
      <c r="E2779" s="42"/>
      <c r="F2779" s="51" t="n">
        <f aca="false">IF(OR(C2779="",D2779="",E2779="",E2779=0),0,C2779*D2779/E2779)</f>
        <v>0</v>
      </c>
      <c r="G2779" s="42"/>
      <c r="H2779" s="49" t="n">
        <f aca="true">IF(OR($A2779="",_xlfn.MINIFS($B$3:$B$5000,$A$3:$A$5000,$A2779,$B$3:$B$5000,"&gt;"&amp;$B2779)=0),NOW(),_xlfn.MINIFS($B$3:$B$5000,$A$3:$A$5000,$A2779,$B$3:$B$5000,"&gt;"&amp;$B2779))</f>
        <v>46279.5987644182</v>
      </c>
    </row>
    <row r="2780" customFormat="false" ht="15" hidden="false" customHeight="true" outlineLevel="0" collapsed="false">
      <c r="A2780" s="42"/>
      <c r="B2780" s="42"/>
      <c r="C2780" s="42"/>
      <c r="D2780" s="42"/>
      <c r="E2780" s="42"/>
      <c r="F2780" s="51" t="n">
        <f aca="false">IF(OR(C2780="",D2780="",E2780="",E2780=0),0,C2780*D2780/E2780)</f>
        <v>0</v>
      </c>
      <c r="G2780" s="42"/>
      <c r="H2780" s="49" t="n">
        <f aca="true">IF(OR($A2780="",_xlfn.MINIFS($B$3:$B$5000,$A$3:$A$5000,$A2780,$B$3:$B$5000,"&gt;"&amp;$B2780)=0),NOW(),_xlfn.MINIFS($B$3:$B$5000,$A$3:$A$5000,$A2780,$B$3:$B$5000,"&gt;"&amp;$B2780))</f>
        <v>46279.5987644183</v>
      </c>
    </row>
    <row r="2781" customFormat="false" ht="15" hidden="false" customHeight="true" outlineLevel="0" collapsed="false">
      <c r="A2781" s="42"/>
      <c r="B2781" s="42"/>
      <c r="C2781" s="42"/>
      <c r="D2781" s="42"/>
      <c r="E2781" s="42"/>
      <c r="F2781" s="51" t="n">
        <f aca="false">IF(OR(C2781="",D2781="",E2781="",E2781=0),0,C2781*D2781/E2781)</f>
        <v>0</v>
      </c>
      <c r="G2781" s="42"/>
      <c r="H2781" s="49" t="n">
        <f aca="true">IF(OR($A2781="",_xlfn.MINIFS($B$3:$B$5000,$A$3:$A$5000,$A2781,$B$3:$B$5000,"&gt;"&amp;$B2781)=0),NOW(),_xlfn.MINIFS($B$3:$B$5000,$A$3:$A$5000,$A2781,$B$3:$B$5000,"&gt;"&amp;$B2781))</f>
        <v>46279.5987644183</v>
      </c>
    </row>
    <row r="2782" customFormat="false" ht="15" hidden="false" customHeight="true" outlineLevel="0" collapsed="false">
      <c r="A2782" s="42"/>
      <c r="B2782" s="42"/>
      <c r="C2782" s="42"/>
      <c r="D2782" s="42"/>
      <c r="E2782" s="42"/>
      <c r="F2782" s="51" t="n">
        <f aca="false">IF(OR(C2782="",D2782="",E2782="",E2782=0),0,C2782*D2782/E2782)</f>
        <v>0</v>
      </c>
      <c r="G2782" s="42"/>
      <c r="H2782" s="49" t="n">
        <f aca="true">IF(OR($A2782="",_xlfn.MINIFS($B$3:$B$5000,$A$3:$A$5000,$A2782,$B$3:$B$5000,"&gt;"&amp;$B2782)=0),NOW(),_xlfn.MINIFS($B$3:$B$5000,$A$3:$A$5000,$A2782,$B$3:$B$5000,"&gt;"&amp;$B2782))</f>
        <v>46279.5987644184</v>
      </c>
    </row>
    <row r="2783" customFormat="false" ht="15" hidden="false" customHeight="true" outlineLevel="0" collapsed="false">
      <c r="A2783" s="42"/>
      <c r="B2783" s="42"/>
      <c r="C2783" s="42"/>
      <c r="D2783" s="42"/>
      <c r="E2783" s="42"/>
      <c r="F2783" s="51" t="n">
        <f aca="false">IF(OR(C2783="",D2783="",E2783="",E2783=0),0,C2783*D2783/E2783)</f>
        <v>0</v>
      </c>
      <c r="G2783" s="42"/>
      <c r="H2783" s="49" t="n">
        <f aca="true">IF(OR($A2783="",_xlfn.MINIFS($B$3:$B$5000,$A$3:$A$5000,$A2783,$B$3:$B$5000,"&gt;"&amp;$B2783)=0),NOW(),_xlfn.MINIFS($B$3:$B$5000,$A$3:$A$5000,$A2783,$B$3:$B$5000,"&gt;"&amp;$B2783))</f>
        <v>46279.5987644184</v>
      </c>
    </row>
    <row r="2784" customFormat="false" ht="15" hidden="false" customHeight="true" outlineLevel="0" collapsed="false">
      <c r="A2784" s="42"/>
      <c r="B2784" s="42"/>
      <c r="C2784" s="42"/>
      <c r="D2784" s="42"/>
      <c r="E2784" s="42"/>
      <c r="F2784" s="51" t="n">
        <f aca="false">IF(OR(C2784="",D2784="",E2784="",E2784=0),0,C2784*D2784/E2784)</f>
        <v>0</v>
      </c>
      <c r="G2784" s="42"/>
      <c r="H2784" s="49" t="n">
        <f aca="true">IF(OR($A2784="",_xlfn.MINIFS($B$3:$B$5000,$A$3:$A$5000,$A2784,$B$3:$B$5000,"&gt;"&amp;$B2784)=0),NOW(),_xlfn.MINIFS($B$3:$B$5000,$A$3:$A$5000,$A2784,$B$3:$B$5000,"&gt;"&amp;$B2784))</f>
        <v>46279.5987644185</v>
      </c>
    </row>
    <row r="2785" customFormat="false" ht="15" hidden="false" customHeight="true" outlineLevel="0" collapsed="false">
      <c r="A2785" s="42"/>
      <c r="B2785" s="42"/>
      <c r="C2785" s="42"/>
      <c r="D2785" s="42"/>
      <c r="E2785" s="42"/>
      <c r="F2785" s="51" t="n">
        <f aca="false">IF(OR(C2785="",D2785="",E2785="",E2785=0),0,C2785*D2785/E2785)</f>
        <v>0</v>
      </c>
      <c r="G2785" s="42"/>
      <c r="H2785" s="49" t="n">
        <f aca="true">IF(OR($A2785="",_xlfn.MINIFS($B$3:$B$5000,$A$3:$A$5000,$A2785,$B$3:$B$5000,"&gt;"&amp;$B2785)=0),NOW(),_xlfn.MINIFS($B$3:$B$5000,$A$3:$A$5000,$A2785,$B$3:$B$5000,"&gt;"&amp;$B2785))</f>
        <v>46279.5987644185</v>
      </c>
    </row>
    <row r="2786" customFormat="false" ht="15" hidden="false" customHeight="true" outlineLevel="0" collapsed="false">
      <c r="A2786" s="42"/>
      <c r="B2786" s="42"/>
      <c r="C2786" s="42"/>
      <c r="D2786" s="42"/>
      <c r="E2786" s="42"/>
      <c r="F2786" s="51" t="n">
        <f aca="false">IF(OR(C2786="",D2786="",E2786="",E2786=0),0,C2786*D2786/E2786)</f>
        <v>0</v>
      </c>
      <c r="G2786" s="42"/>
      <c r="H2786" s="49" t="n">
        <f aca="true">IF(OR($A2786="",_xlfn.MINIFS($B$3:$B$5000,$A$3:$A$5000,$A2786,$B$3:$B$5000,"&gt;"&amp;$B2786)=0),NOW(),_xlfn.MINIFS($B$3:$B$5000,$A$3:$A$5000,$A2786,$B$3:$B$5000,"&gt;"&amp;$B2786))</f>
        <v>46279.5987644186</v>
      </c>
    </row>
    <row r="2787" customFormat="false" ht="15" hidden="false" customHeight="true" outlineLevel="0" collapsed="false">
      <c r="A2787" s="42"/>
      <c r="B2787" s="42"/>
      <c r="C2787" s="42"/>
      <c r="D2787" s="42"/>
      <c r="E2787" s="42"/>
      <c r="F2787" s="51" t="n">
        <f aca="false">IF(OR(C2787="",D2787="",E2787="",E2787=0),0,C2787*D2787/E2787)</f>
        <v>0</v>
      </c>
      <c r="G2787" s="42"/>
      <c r="H2787" s="49" t="n">
        <f aca="true">IF(OR($A2787="",_xlfn.MINIFS($B$3:$B$5000,$A$3:$A$5000,$A2787,$B$3:$B$5000,"&gt;"&amp;$B2787)=0),NOW(),_xlfn.MINIFS($B$3:$B$5000,$A$3:$A$5000,$A2787,$B$3:$B$5000,"&gt;"&amp;$B2787))</f>
        <v>46279.5987644186</v>
      </c>
    </row>
    <row r="2788" customFormat="false" ht="15" hidden="false" customHeight="true" outlineLevel="0" collapsed="false">
      <c r="A2788" s="42"/>
      <c r="B2788" s="42"/>
      <c r="C2788" s="42"/>
      <c r="D2788" s="42"/>
      <c r="E2788" s="42"/>
      <c r="F2788" s="51" t="n">
        <f aca="false">IF(OR(C2788="",D2788="",E2788="",E2788=0),0,C2788*D2788/E2788)</f>
        <v>0</v>
      </c>
      <c r="G2788" s="42"/>
      <c r="H2788" s="49" t="n">
        <f aca="true">IF(OR($A2788="",_xlfn.MINIFS($B$3:$B$5000,$A$3:$A$5000,$A2788,$B$3:$B$5000,"&gt;"&amp;$B2788)=0),NOW(),_xlfn.MINIFS($B$3:$B$5000,$A$3:$A$5000,$A2788,$B$3:$B$5000,"&gt;"&amp;$B2788))</f>
        <v>46279.5987644187</v>
      </c>
    </row>
    <row r="2789" customFormat="false" ht="15" hidden="false" customHeight="true" outlineLevel="0" collapsed="false">
      <c r="A2789" s="42"/>
      <c r="B2789" s="42"/>
      <c r="C2789" s="42"/>
      <c r="D2789" s="42"/>
      <c r="E2789" s="42"/>
      <c r="F2789" s="51" t="n">
        <f aca="false">IF(OR(C2789="",D2789="",E2789="",E2789=0),0,C2789*D2789/E2789)</f>
        <v>0</v>
      </c>
      <c r="G2789" s="42"/>
      <c r="H2789" s="49" t="n">
        <f aca="true">IF(OR($A2789="",_xlfn.MINIFS($B$3:$B$5000,$A$3:$A$5000,$A2789,$B$3:$B$5000,"&gt;"&amp;$B2789)=0),NOW(),_xlfn.MINIFS($B$3:$B$5000,$A$3:$A$5000,$A2789,$B$3:$B$5000,"&gt;"&amp;$B2789))</f>
        <v>46279.5987644187</v>
      </c>
    </row>
    <row r="2790" customFormat="false" ht="15" hidden="false" customHeight="true" outlineLevel="0" collapsed="false">
      <c r="A2790" s="42"/>
      <c r="B2790" s="42"/>
      <c r="C2790" s="42"/>
      <c r="D2790" s="42"/>
      <c r="E2790" s="42"/>
      <c r="F2790" s="51" t="n">
        <f aca="false">IF(OR(C2790="",D2790="",E2790="",E2790=0),0,C2790*D2790/E2790)</f>
        <v>0</v>
      </c>
      <c r="G2790" s="42"/>
      <c r="H2790" s="49" t="n">
        <f aca="true">IF(OR($A2790="",_xlfn.MINIFS($B$3:$B$5000,$A$3:$A$5000,$A2790,$B$3:$B$5000,"&gt;"&amp;$B2790)=0),NOW(),_xlfn.MINIFS($B$3:$B$5000,$A$3:$A$5000,$A2790,$B$3:$B$5000,"&gt;"&amp;$B2790))</f>
        <v>46279.5987644188</v>
      </c>
    </row>
    <row r="2791" customFormat="false" ht="15" hidden="false" customHeight="true" outlineLevel="0" collapsed="false">
      <c r="A2791" s="42"/>
      <c r="B2791" s="42"/>
      <c r="C2791" s="42"/>
      <c r="D2791" s="42"/>
      <c r="E2791" s="42"/>
      <c r="F2791" s="51" t="n">
        <f aca="false">IF(OR(C2791="",D2791="",E2791="",E2791=0),0,C2791*D2791/E2791)</f>
        <v>0</v>
      </c>
      <c r="G2791" s="42"/>
      <c r="H2791" s="49" t="n">
        <f aca="true">IF(OR($A2791="",_xlfn.MINIFS($B$3:$B$5000,$A$3:$A$5000,$A2791,$B$3:$B$5000,"&gt;"&amp;$B2791)=0),NOW(),_xlfn.MINIFS($B$3:$B$5000,$A$3:$A$5000,$A2791,$B$3:$B$5000,"&gt;"&amp;$B2791))</f>
        <v>46279.5987644188</v>
      </c>
    </row>
    <row r="2792" customFormat="false" ht="15" hidden="false" customHeight="true" outlineLevel="0" collapsed="false">
      <c r="A2792" s="42"/>
      <c r="B2792" s="42"/>
      <c r="C2792" s="42"/>
      <c r="D2792" s="42"/>
      <c r="E2792" s="42"/>
      <c r="F2792" s="51" t="n">
        <f aca="false">IF(OR(C2792="",D2792="",E2792="",E2792=0),0,C2792*D2792/E2792)</f>
        <v>0</v>
      </c>
      <c r="G2792" s="42"/>
      <c r="H2792" s="49" t="n">
        <f aca="true">IF(OR($A2792="",_xlfn.MINIFS($B$3:$B$5000,$A$3:$A$5000,$A2792,$B$3:$B$5000,"&gt;"&amp;$B2792)=0),NOW(),_xlfn.MINIFS($B$3:$B$5000,$A$3:$A$5000,$A2792,$B$3:$B$5000,"&gt;"&amp;$B2792))</f>
        <v>46279.5987644189</v>
      </c>
    </row>
    <row r="2793" customFormat="false" ht="15" hidden="false" customHeight="true" outlineLevel="0" collapsed="false">
      <c r="A2793" s="42"/>
      <c r="B2793" s="42"/>
      <c r="C2793" s="42"/>
      <c r="D2793" s="42"/>
      <c r="E2793" s="42"/>
      <c r="F2793" s="51" t="n">
        <f aca="false">IF(OR(C2793="",D2793="",E2793="",E2793=0),0,C2793*D2793/E2793)</f>
        <v>0</v>
      </c>
      <c r="G2793" s="42"/>
      <c r="H2793" s="49" t="n">
        <f aca="true">IF(OR($A2793="",_xlfn.MINIFS($B$3:$B$5000,$A$3:$A$5000,$A2793,$B$3:$B$5000,"&gt;"&amp;$B2793)=0),NOW(),_xlfn.MINIFS($B$3:$B$5000,$A$3:$A$5000,$A2793,$B$3:$B$5000,"&gt;"&amp;$B2793))</f>
        <v>46279.5987644189</v>
      </c>
    </row>
    <row r="2794" customFormat="false" ht="15" hidden="false" customHeight="true" outlineLevel="0" collapsed="false">
      <c r="A2794" s="42"/>
      <c r="B2794" s="42"/>
      <c r="C2794" s="42"/>
      <c r="D2794" s="42"/>
      <c r="E2794" s="42"/>
      <c r="F2794" s="51" t="n">
        <f aca="false">IF(OR(C2794="",D2794="",E2794="",E2794=0),0,C2794*D2794/E2794)</f>
        <v>0</v>
      </c>
      <c r="G2794" s="42"/>
      <c r="H2794" s="49" t="n">
        <f aca="true">IF(OR($A2794="",_xlfn.MINIFS($B$3:$B$5000,$A$3:$A$5000,$A2794,$B$3:$B$5000,"&gt;"&amp;$B2794)=0),NOW(),_xlfn.MINIFS($B$3:$B$5000,$A$3:$A$5000,$A2794,$B$3:$B$5000,"&gt;"&amp;$B2794))</f>
        <v>46279.598764419</v>
      </c>
    </row>
    <row r="2795" customFormat="false" ht="15" hidden="false" customHeight="true" outlineLevel="0" collapsed="false">
      <c r="A2795" s="42"/>
      <c r="B2795" s="42"/>
      <c r="C2795" s="42"/>
      <c r="D2795" s="42"/>
      <c r="E2795" s="42"/>
      <c r="F2795" s="51" t="n">
        <f aca="false">IF(OR(C2795="",D2795="",E2795="",E2795=0),0,C2795*D2795/E2795)</f>
        <v>0</v>
      </c>
      <c r="G2795" s="42"/>
      <c r="H2795" s="49" t="n">
        <f aca="true">IF(OR($A2795="",_xlfn.MINIFS($B$3:$B$5000,$A$3:$A$5000,$A2795,$B$3:$B$5000,"&gt;"&amp;$B2795)=0),NOW(),_xlfn.MINIFS($B$3:$B$5000,$A$3:$A$5000,$A2795,$B$3:$B$5000,"&gt;"&amp;$B2795))</f>
        <v>46279.598764419</v>
      </c>
    </row>
    <row r="2796" customFormat="false" ht="15" hidden="false" customHeight="true" outlineLevel="0" collapsed="false">
      <c r="A2796" s="42"/>
      <c r="B2796" s="42"/>
      <c r="C2796" s="42"/>
      <c r="D2796" s="42"/>
      <c r="E2796" s="42"/>
      <c r="F2796" s="51" t="n">
        <f aca="false">IF(OR(C2796="",D2796="",E2796="",E2796=0),0,C2796*D2796/E2796)</f>
        <v>0</v>
      </c>
      <c r="G2796" s="42"/>
      <c r="H2796" s="49" t="n">
        <f aca="true">IF(OR($A2796="",_xlfn.MINIFS($B$3:$B$5000,$A$3:$A$5000,$A2796,$B$3:$B$5000,"&gt;"&amp;$B2796)=0),NOW(),_xlfn.MINIFS($B$3:$B$5000,$A$3:$A$5000,$A2796,$B$3:$B$5000,"&gt;"&amp;$B2796))</f>
        <v>46279.5987644191</v>
      </c>
    </row>
    <row r="2797" customFormat="false" ht="15" hidden="false" customHeight="true" outlineLevel="0" collapsed="false">
      <c r="A2797" s="42"/>
      <c r="B2797" s="42"/>
      <c r="C2797" s="42"/>
      <c r="D2797" s="42"/>
      <c r="E2797" s="42"/>
      <c r="F2797" s="51" t="n">
        <f aca="false">IF(OR(C2797="",D2797="",E2797="",E2797=0),0,C2797*D2797/E2797)</f>
        <v>0</v>
      </c>
      <c r="G2797" s="42"/>
      <c r="H2797" s="49" t="n">
        <f aca="true">IF(OR($A2797="",_xlfn.MINIFS($B$3:$B$5000,$A$3:$A$5000,$A2797,$B$3:$B$5000,"&gt;"&amp;$B2797)=0),NOW(),_xlfn.MINIFS($B$3:$B$5000,$A$3:$A$5000,$A2797,$B$3:$B$5000,"&gt;"&amp;$B2797))</f>
        <v>46279.5987644191</v>
      </c>
    </row>
    <row r="2798" customFormat="false" ht="15" hidden="false" customHeight="true" outlineLevel="0" collapsed="false">
      <c r="A2798" s="42"/>
      <c r="B2798" s="42"/>
      <c r="C2798" s="42"/>
      <c r="D2798" s="42"/>
      <c r="E2798" s="42"/>
      <c r="F2798" s="51" t="n">
        <f aca="false">IF(OR(C2798="",D2798="",E2798="",E2798=0),0,C2798*D2798/E2798)</f>
        <v>0</v>
      </c>
      <c r="G2798" s="42"/>
      <c r="H2798" s="49" t="n">
        <f aca="true">IF(OR($A2798="",_xlfn.MINIFS($B$3:$B$5000,$A$3:$A$5000,$A2798,$B$3:$B$5000,"&gt;"&amp;$B2798)=0),NOW(),_xlfn.MINIFS($B$3:$B$5000,$A$3:$A$5000,$A2798,$B$3:$B$5000,"&gt;"&amp;$B2798))</f>
        <v>46279.5987644192</v>
      </c>
    </row>
    <row r="2799" customFormat="false" ht="15" hidden="false" customHeight="true" outlineLevel="0" collapsed="false">
      <c r="A2799" s="42"/>
      <c r="B2799" s="42"/>
      <c r="C2799" s="42"/>
      <c r="D2799" s="42"/>
      <c r="E2799" s="42"/>
      <c r="F2799" s="51" t="n">
        <f aca="false">IF(OR(C2799="",D2799="",E2799="",E2799=0),0,C2799*D2799/E2799)</f>
        <v>0</v>
      </c>
      <c r="G2799" s="42"/>
      <c r="H2799" s="49" t="n">
        <f aca="true">IF(OR($A2799="",_xlfn.MINIFS($B$3:$B$5000,$A$3:$A$5000,$A2799,$B$3:$B$5000,"&gt;"&amp;$B2799)=0),NOW(),_xlfn.MINIFS($B$3:$B$5000,$A$3:$A$5000,$A2799,$B$3:$B$5000,"&gt;"&amp;$B2799))</f>
        <v>46279.5987644192</v>
      </c>
    </row>
    <row r="2800" customFormat="false" ht="15" hidden="false" customHeight="true" outlineLevel="0" collapsed="false">
      <c r="A2800" s="42"/>
      <c r="B2800" s="42"/>
      <c r="C2800" s="42"/>
      <c r="D2800" s="42"/>
      <c r="E2800" s="42"/>
      <c r="F2800" s="51" t="n">
        <f aca="false">IF(OR(C2800="",D2800="",E2800="",E2800=0),0,C2800*D2800/E2800)</f>
        <v>0</v>
      </c>
      <c r="G2800" s="42"/>
      <c r="H2800" s="49" t="n">
        <f aca="true">IF(OR($A2800="",_xlfn.MINIFS($B$3:$B$5000,$A$3:$A$5000,$A2800,$B$3:$B$5000,"&gt;"&amp;$B2800)=0),NOW(),_xlfn.MINIFS($B$3:$B$5000,$A$3:$A$5000,$A2800,$B$3:$B$5000,"&gt;"&amp;$B2800))</f>
        <v>46279.5987644193</v>
      </c>
    </row>
    <row r="2801" customFormat="false" ht="15" hidden="false" customHeight="true" outlineLevel="0" collapsed="false">
      <c r="A2801" s="42"/>
      <c r="B2801" s="42"/>
      <c r="C2801" s="42"/>
      <c r="D2801" s="42"/>
      <c r="E2801" s="42"/>
      <c r="F2801" s="51" t="n">
        <f aca="false">IF(OR(C2801="",D2801="",E2801="",E2801=0),0,C2801*D2801/E2801)</f>
        <v>0</v>
      </c>
      <c r="G2801" s="42"/>
      <c r="H2801" s="49" t="n">
        <f aca="true">IF(OR($A2801="",_xlfn.MINIFS($B$3:$B$5000,$A$3:$A$5000,$A2801,$B$3:$B$5000,"&gt;"&amp;$B2801)=0),NOW(),_xlfn.MINIFS($B$3:$B$5000,$A$3:$A$5000,$A2801,$B$3:$B$5000,"&gt;"&amp;$B2801))</f>
        <v>46279.5987644193</v>
      </c>
    </row>
    <row r="2802" customFormat="false" ht="15" hidden="false" customHeight="true" outlineLevel="0" collapsed="false">
      <c r="A2802" s="42"/>
      <c r="B2802" s="42"/>
      <c r="C2802" s="42"/>
      <c r="D2802" s="42"/>
      <c r="E2802" s="42"/>
      <c r="F2802" s="51" t="n">
        <f aca="false">IF(OR(C2802="",D2802="",E2802="",E2802=0),0,C2802*D2802/E2802)</f>
        <v>0</v>
      </c>
      <c r="G2802" s="42"/>
      <c r="H2802" s="49" t="n">
        <f aca="true">IF(OR($A2802="",_xlfn.MINIFS($B$3:$B$5000,$A$3:$A$5000,$A2802,$B$3:$B$5000,"&gt;"&amp;$B2802)=0),NOW(),_xlfn.MINIFS($B$3:$B$5000,$A$3:$A$5000,$A2802,$B$3:$B$5000,"&gt;"&amp;$B2802))</f>
        <v>46279.5987644195</v>
      </c>
    </row>
    <row r="2803" customFormat="false" ht="15" hidden="false" customHeight="true" outlineLevel="0" collapsed="false">
      <c r="A2803" s="42"/>
      <c r="B2803" s="42"/>
      <c r="C2803" s="42"/>
      <c r="D2803" s="42"/>
      <c r="E2803" s="42"/>
      <c r="F2803" s="51" t="n">
        <f aca="false">IF(OR(C2803="",D2803="",E2803="",E2803=0),0,C2803*D2803/E2803)</f>
        <v>0</v>
      </c>
      <c r="G2803" s="42"/>
      <c r="H2803" s="49" t="n">
        <f aca="true">IF(OR($A2803="",_xlfn.MINIFS($B$3:$B$5000,$A$3:$A$5000,$A2803,$B$3:$B$5000,"&gt;"&amp;$B2803)=0),NOW(),_xlfn.MINIFS($B$3:$B$5000,$A$3:$A$5000,$A2803,$B$3:$B$5000,"&gt;"&amp;$B2803))</f>
        <v>46279.5987644196</v>
      </c>
    </row>
    <row r="2804" customFormat="false" ht="15" hidden="false" customHeight="true" outlineLevel="0" collapsed="false">
      <c r="A2804" s="42"/>
      <c r="B2804" s="42"/>
      <c r="C2804" s="42"/>
      <c r="D2804" s="42"/>
      <c r="E2804" s="42"/>
      <c r="F2804" s="51" t="n">
        <f aca="false">IF(OR(C2804="",D2804="",E2804="",E2804=0),0,C2804*D2804/E2804)</f>
        <v>0</v>
      </c>
      <c r="G2804" s="42"/>
      <c r="H2804" s="49" t="n">
        <f aca="true">IF(OR($A2804="",_xlfn.MINIFS($B$3:$B$5000,$A$3:$A$5000,$A2804,$B$3:$B$5000,"&gt;"&amp;$B2804)=0),NOW(),_xlfn.MINIFS($B$3:$B$5000,$A$3:$A$5000,$A2804,$B$3:$B$5000,"&gt;"&amp;$B2804))</f>
        <v>46279.5987644197</v>
      </c>
    </row>
    <row r="2805" customFormat="false" ht="15" hidden="false" customHeight="true" outlineLevel="0" collapsed="false">
      <c r="A2805" s="42"/>
      <c r="B2805" s="42"/>
      <c r="C2805" s="42"/>
      <c r="D2805" s="42"/>
      <c r="E2805" s="42"/>
      <c r="F2805" s="51" t="n">
        <f aca="false">IF(OR(C2805="",D2805="",E2805="",E2805=0),0,C2805*D2805/E2805)</f>
        <v>0</v>
      </c>
      <c r="G2805" s="42"/>
      <c r="H2805" s="49" t="n">
        <f aca="true">IF(OR($A2805="",_xlfn.MINIFS($B$3:$B$5000,$A$3:$A$5000,$A2805,$B$3:$B$5000,"&gt;"&amp;$B2805)=0),NOW(),_xlfn.MINIFS($B$3:$B$5000,$A$3:$A$5000,$A2805,$B$3:$B$5000,"&gt;"&amp;$B2805))</f>
        <v>46279.5987644197</v>
      </c>
    </row>
    <row r="2806" customFormat="false" ht="15" hidden="false" customHeight="true" outlineLevel="0" collapsed="false">
      <c r="A2806" s="42"/>
      <c r="B2806" s="42"/>
      <c r="C2806" s="42"/>
      <c r="D2806" s="42"/>
      <c r="E2806" s="42"/>
      <c r="F2806" s="51" t="n">
        <f aca="false">IF(OR(C2806="",D2806="",E2806="",E2806=0),0,C2806*D2806/E2806)</f>
        <v>0</v>
      </c>
      <c r="G2806" s="42"/>
      <c r="H2806" s="49" t="n">
        <f aca="true">IF(OR($A2806="",_xlfn.MINIFS($B$3:$B$5000,$A$3:$A$5000,$A2806,$B$3:$B$5000,"&gt;"&amp;$B2806)=0),NOW(),_xlfn.MINIFS($B$3:$B$5000,$A$3:$A$5000,$A2806,$B$3:$B$5000,"&gt;"&amp;$B2806))</f>
        <v>46279.5987644198</v>
      </c>
    </row>
    <row r="2807" customFormat="false" ht="15" hidden="false" customHeight="true" outlineLevel="0" collapsed="false">
      <c r="A2807" s="42"/>
      <c r="B2807" s="42"/>
      <c r="C2807" s="42"/>
      <c r="D2807" s="42"/>
      <c r="E2807" s="42"/>
      <c r="F2807" s="51" t="n">
        <f aca="false">IF(OR(C2807="",D2807="",E2807="",E2807=0),0,C2807*D2807/E2807)</f>
        <v>0</v>
      </c>
      <c r="G2807" s="42"/>
      <c r="H2807" s="49" t="n">
        <f aca="true">IF(OR($A2807="",_xlfn.MINIFS($B$3:$B$5000,$A$3:$A$5000,$A2807,$B$3:$B$5000,"&gt;"&amp;$B2807)=0),NOW(),_xlfn.MINIFS($B$3:$B$5000,$A$3:$A$5000,$A2807,$B$3:$B$5000,"&gt;"&amp;$B2807))</f>
        <v>46279.5987644198</v>
      </c>
    </row>
    <row r="2808" customFormat="false" ht="15" hidden="false" customHeight="true" outlineLevel="0" collapsed="false">
      <c r="A2808" s="42"/>
      <c r="B2808" s="42"/>
      <c r="C2808" s="42"/>
      <c r="D2808" s="42"/>
      <c r="E2808" s="42"/>
      <c r="F2808" s="51" t="n">
        <f aca="false">IF(OR(C2808="",D2808="",E2808="",E2808=0),0,C2808*D2808/E2808)</f>
        <v>0</v>
      </c>
      <c r="G2808" s="42"/>
      <c r="H2808" s="49" t="n">
        <f aca="true">IF(OR($A2808="",_xlfn.MINIFS($B$3:$B$5000,$A$3:$A$5000,$A2808,$B$3:$B$5000,"&gt;"&amp;$B2808)=0),NOW(),_xlfn.MINIFS($B$3:$B$5000,$A$3:$A$5000,$A2808,$B$3:$B$5000,"&gt;"&amp;$B2808))</f>
        <v>46279.5987644199</v>
      </c>
    </row>
    <row r="2809" customFormat="false" ht="15" hidden="false" customHeight="true" outlineLevel="0" collapsed="false">
      <c r="A2809" s="42"/>
      <c r="B2809" s="42"/>
      <c r="C2809" s="42"/>
      <c r="D2809" s="42"/>
      <c r="E2809" s="42"/>
      <c r="F2809" s="51" t="n">
        <f aca="false">IF(OR(C2809="",D2809="",E2809="",E2809=0),0,C2809*D2809/E2809)</f>
        <v>0</v>
      </c>
      <c r="G2809" s="42"/>
      <c r="H2809" s="49" t="n">
        <f aca="true">IF(OR($A2809="",_xlfn.MINIFS($B$3:$B$5000,$A$3:$A$5000,$A2809,$B$3:$B$5000,"&gt;"&amp;$B2809)=0),NOW(),_xlfn.MINIFS($B$3:$B$5000,$A$3:$A$5000,$A2809,$B$3:$B$5000,"&gt;"&amp;$B2809))</f>
        <v>46279.5987644199</v>
      </c>
    </row>
    <row r="2810" customFormat="false" ht="15" hidden="false" customHeight="true" outlineLevel="0" collapsed="false">
      <c r="A2810" s="42"/>
      <c r="B2810" s="42"/>
      <c r="C2810" s="42"/>
      <c r="D2810" s="42"/>
      <c r="E2810" s="42"/>
      <c r="F2810" s="51" t="n">
        <f aca="false">IF(OR(C2810="",D2810="",E2810="",E2810=0),0,C2810*D2810/E2810)</f>
        <v>0</v>
      </c>
      <c r="G2810" s="42"/>
      <c r="H2810" s="49" t="n">
        <f aca="true">IF(OR($A2810="",_xlfn.MINIFS($B$3:$B$5000,$A$3:$A$5000,$A2810,$B$3:$B$5000,"&gt;"&amp;$B2810)=0),NOW(),_xlfn.MINIFS($B$3:$B$5000,$A$3:$A$5000,$A2810,$B$3:$B$5000,"&gt;"&amp;$B2810))</f>
        <v>46279.59876442</v>
      </c>
    </row>
    <row r="2811" customFormat="false" ht="15" hidden="false" customHeight="true" outlineLevel="0" collapsed="false">
      <c r="A2811" s="42"/>
      <c r="B2811" s="42"/>
      <c r="C2811" s="42"/>
      <c r="D2811" s="42"/>
      <c r="E2811" s="42"/>
      <c r="F2811" s="51" t="n">
        <f aca="false">IF(OR(C2811="",D2811="",E2811="",E2811=0),0,C2811*D2811/E2811)</f>
        <v>0</v>
      </c>
      <c r="G2811" s="42"/>
      <c r="H2811" s="49" t="n">
        <f aca="true">IF(OR($A2811="",_xlfn.MINIFS($B$3:$B$5000,$A$3:$A$5000,$A2811,$B$3:$B$5000,"&gt;"&amp;$B2811)=0),NOW(),_xlfn.MINIFS($B$3:$B$5000,$A$3:$A$5000,$A2811,$B$3:$B$5000,"&gt;"&amp;$B2811))</f>
        <v>46279.59876442</v>
      </c>
    </row>
    <row r="2812" customFormat="false" ht="15" hidden="false" customHeight="true" outlineLevel="0" collapsed="false">
      <c r="A2812" s="42"/>
      <c r="B2812" s="42"/>
      <c r="C2812" s="42"/>
      <c r="D2812" s="42"/>
      <c r="E2812" s="42"/>
      <c r="F2812" s="51" t="n">
        <f aca="false">IF(OR(C2812="",D2812="",E2812="",E2812=0),0,C2812*D2812/E2812)</f>
        <v>0</v>
      </c>
      <c r="G2812" s="42"/>
      <c r="H2812" s="49" t="n">
        <f aca="true">IF(OR($A2812="",_xlfn.MINIFS($B$3:$B$5000,$A$3:$A$5000,$A2812,$B$3:$B$5000,"&gt;"&amp;$B2812)=0),NOW(),_xlfn.MINIFS($B$3:$B$5000,$A$3:$A$5000,$A2812,$B$3:$B$5000,"&gt;"&amp;$B2812))</f>
        <v>46279.5987644201</v>
      </c>
    </row>
    <row r="2813" customFormat="false" ht="15" hidden="false" customHeight="true" outlineLevel="0" collapsed="false">
      <c r="A2813" s="42"/>
      <c r="B2813" s="42"/>
      <c r="C2813" s="42"/>
      <c r="D2813" s="42"/>
      <c r="E2813" s="42"/>
      <c r="F2813" s="51" t="n">
        <f aca="false">IF(OR(C2813="",D2813="",E2813="",E2813=0),0,C2813*D2813/E2813)</f>
        <v>0</v>
      </c>
      <c r="G2813" s="42"/>
      <c r="H2813" s="49" t="n">
        <f aca="true">IF(OR($A2813="",_xlfn.MINIFS($B$3:$B$5000,$A$3:$A$5000,$A2813,$B$3:$B$5000,"&gt;"&amp;$B2813)=0),NOW(),_xlfn.MINIFS($B$3:$B$5000,$A$3:$A$5000,$A2813,$B$3:$B$5000,"&gt;"&amp;$B2813))</f>
        <v>46279.5987644201</v>
      </c>
    </row>
    <row r="2814" customFormat="false" ht="15" hidden="false" customHeight="true" outlineLevel="0" collapsed="false">
      <c r="A2814" s="42"/>
      <c r="B2814" s="42"/>
      <c r="C2814" s="42"/>
      <c r="D2814" s="42"/>
      <c r="E2814" s="42"/>
      <c r="F2814" s="51" t="n">
        <f aca="false">IF(OR(C2814="",D2814="",E2814="",E2814=0),0,C2814*D2814/E2814)</f>
        <v>0</v>
      </c>
      <c r="G2814" s="42"/>
      <c r="H2814" s="49" t="n">
        <f aca="true">IF(OR($A2814="",_xlfn.MINIFS($B$3:$B$5000,$A$3:$A$5000,$A2814,$B$3:$B$5000,"&gt;"&amp;$B2814)=0),NOW(),_xlfn.MINIFS($B$3:$B$5000,$A$3:$A$5000,$A2814,$B$3:$B$5000,"&gt;"&amp;$B2814))</f>
        <v>46279.5987644202</v>
      </c>
    </row>
    <row r="2815" customFormat="false" ht="15" hidden="false" customHeight="true" outlineLevel="0" collapsed="false">
      <c r="A2815" s="42"/>
      <c r="B2815" s="42"/>
      <c r="C2815" s="42"/>
      <c r="D2815" s="42"/>
      <c r="E2815" s="42"/>
      <c r="F2815" s="51" t="n">
        <f aca="false">IF(OR(C2815="",D2815="",E2815="",E2815=0),0,C2815*D2815/E2815)</f>
        <v>0</v>
      </c>
      <c r="G2815" s="42"/>
      <c r="H2815" s="49" t="n">
        <f aca="true">IF(OR($A2815="",_xlfn.MINIFS($B$3:$B$5000,$A$3:$A$5000,$A2815,$B$3:$B$5000,"&gt;"&amp;$B2815)=0),NOW(),_xlfn.MINIFS($B$3:$B$5000,$A$3:$A$5000,$A2815,$B$3:$B$5000,"&gt;"&amp;$B2815))</f>
        <v>46279.5987644202</v>
      </c>
    </row>
    <row r="2816" customFormat="false" ht="15" hidden="false" customHeight="true" outlineLevel="0" collapsed="false">
      <c r="A2816" s="42"/>
      <c r="B2816" s="42"/>
      <c r="C2816" s="42"/>
      <c r="D2816" s="42"/>
      <c r="E2816" s="42"/>
      <c r="F2816" s="51" t="n">
        <f aca="false">IF(OR(C2816="",D2816="",E2816="",E2816=0),0,C2816*D2816/E2816)</f>
        <v>0</v>
      </c>
      <c r="G2816" s="42"/>
      <c r="H2816" s="49" t="n">
        <f aca="true">IF(OR($A2816="",_xlfn.MINIFS($B$3:$B$5000,$A$3:$A$5000,$A2816,$B$3:$B$5000,"&gt;"&amp;$B2816)=0),NOW(),_xlfn.MINIFS($B$3:$B$5000,$A$3:$A$5000,$A2816,$B$3:$B$5000,"&gt;"&amp;$B2816))</f>
        <v>46279.5987644203</v>
      </c>
    </row>
    <row r="2817" customFormat="false" ht="15" hidden="false" customHeight="true" outlineLevel="0" collapsed="false">
      <c r="A2817" s="42"/>
      <c r="B2817" s="42"/>
      <c r="C2817" s="42"/>
      <c r="D2817" s="42"/>
      <c r="E2817" s="42"/>
      <c r="F2817" s="51" t="n">
        <f aca="false">IF(OR(C2817="",D2817="",E2817="",E2817=0),0,C2817*D2817/E2817)</f>
        <v>0</v>
      </c>
      <c r="G2817" s="42"/>
      <c r="H2817" s="49" t="n">
        <f aca="true">IF(OR($A2817="",_xlfn.MINIFS($B$3:$B$5000,$A$3:$A$5000,$A2817,$B$3:$B$5000,"&gt;"&amp;$B2817)=0),NOW(),_xlfn.MINIFS($B$3:$B$5000,$A$3:$A$5000,$A2817,$B$3:$B$5000,"&gt;"&amp;$B2817))</f>
        <v>46279.5987644203</v>
      </c>
    </row>
    <row r="2818" customFormat="false" ht="15" hidden="false" customHeight="true" outlineLevel="0" collapsed="false">
      <c r="A2818" s="42"/>
      <c r="B2818" s="42"/>
      <c r="C2818" s="42"/>
      <c r="D2818" s="42"/>
      <c r="E2818" s="42"/>
      <c r="F2818" s="51" t="n">
        <f aca="false">IF(OR(C2818="",D2818="",E2818="",E2818=0),0,C2818*D2818/E2818)</f>
        <v>0</v>
      </c>
      <c r="G2818" s="42"/>
      <c r="H2818" s="49" t="n">
        <f aca="true">IF(OR($A2818="",_xlfn.MINIFS($B$3:$B$5000,$A$3:$A$5000,$A2818,$B$3:$B$5000,"&gt;"&amp;$B2818)=0),NOW(),_xlfn.MINIFS($B$3:$B$5000,$A$3:$A$5000,$A2818,$B$3:$B$5000,"&gt;"&amp;$B2818))</f>
        <v>46279.5987644204</v>
      </c>
    </row>
    <row r="2819" customFormat="false" ht="15" hidden="false" customHeight="true" outlineLevel="0" collapsed="false">
      <c r="A2819" s="42"/>
      <c r="B2819" s="42"/>
      <c r="C2819" s="42"/>
      <c r="D2819" s="42"/>
      <c r="E2819" s="42"/>
      <c r="F2819" s="51" t="n">
        <f aca="false">IF(OR(C2819="",D2819="",E2819="",E2819=0),0,C2819*D2819/E2819)</f>
        <v>0</v>
      </c>
      <c r="G2819" s="42"/>
      <c r="H2819" s="49" t="n">
        <f aca="true">IF(OR($A2819="",_xlfn.MINIFS($B$3:$B$5000,$A$3:$A$5000,$A2819,$B$3:$B$5000,"&gt;"&amp;$B2819)=0),NOW(),_xlfn.MINIFS($B$3:$B$5000,$A$3:$A$5000,$A2819,$B$3:$B$5000,"&gt;"&amp;$B2819))</f>
        <v>46279.5987644204</v>
      </c>
    </row>
    <row r="2820" customFormat="false" ht="15" hidden="false" customHeight="true" outlineLevel="0" collapsed="false">
      <c r="A2820" s="42"/>
      <c r="B2820" s="42"/>
      <c r="C2820" s="42"/>
      <c r="D2820" s="42"/>
      <c r="E2820" s="42"/>
      <c r="F2820" s="51" t="n">
        <f aca="false">IF(OR(C2820="",D2820="",E2820="",E2820=0),0,C2820*D2820/E2820)</f>
        <v>0</v>
      </c>
      <c r="G2820" s="42"/>
      <c r="H2820" s="49" t="n">
        <f aca="true">IF(OR($A2820="",_xlfn.MINIFS($B$3:$B$5000,$A$3:$A$5000,$A2820,$B$3:$B$5000,"&gt;"&amp;$B2820)=0),NOW(),_xlfn.MINIFS($B$3:$B$5000,$A$3:$A$5000,$A2820,$B$3:$B$5000,"&gt;"&amp;$B2820))</f>
        <v>46279.5987644205</v>
      </c>
    </row>
    <row r="2821" customFormat="false" ht="15" hidden="false" customHeight="true" outlineLevel="0" collapsed="false">
      <c r="A2821" s="42"/>
      <c r="B2821" s="42"/>
      <c r="C2821" s="42"/>
      <c r="D2821" s="42"/>
      <c r="E2821" s="42"/>
      <c r="F2821" s="51" t="n">
        <f aca="false">IF(OR(C2821="",D2821="",E2821="",E2821=0),0,C2821*D2821/E2821)</f>
        <v>0</v>
      </c>
      <c r="G2821" s="42"/>
      <c r="H2821" s="49" t="n">
        <f aca="true">IF(OR($A2821="",_xlfn.MINIFS($B$3:$B$5000,$A$3:$A$5000,$A2821,$B$3:$B$5000,"&gt;"&amp;$B2821)=0),NOW(),_xlfn.MINIFS($B$3:$B$5000,$A$3:$A$5000,$A2821,$B$3:$B$5000,"&gt;"&amp;$B2821))</f>
        <v>46279.5987644205</v>
      </c>
    </row>
    <row r="2822" customFormat="false" ht="15" hidden="false" customHeight="true" outlineLevel="0" collapsed="false">
      <c r="A2822" s="42"/>
      <c r="B2822" s="42"/>
      <c r="C2822" s="42"/>
      <c r="D2822" s="42"/>
      <c r="E2822" s="42"/>
      <c r="F2822" s="51" t="n">
        <f aca="false">IF(OR(C2822="",D2822="",E2822="",E2822=0),0,C2822*D2822/E2822)</f>
        <v>0</v>
      </c>
      <c r="G2822" s="42"/>
      <c r="H2822" s="49" t="n">
        <f aca="true">IF(OR($A2822="",_xlfn.MINIFS($B$3:$B$5000,$A$3:$A$5000,$A2822,$B$3:$B$5000,"&gt;"&amp;$B2822)=0),NOW(),_xlfn.MINIFS($B$3:$B$5000,$A$3:$A$5000,$A2822,$B$3:$B$5000,"&gt;"&amp;$B2822))</f>
        <v>46279.5987644206</v>
      </c>
    </row>
    <row r="2823" customFormat="false" ht="15" hidden="false" customHeight="true" outlineLevel="0" collapsed="false">
      <c r="A2823" s="42"/>
      <c r="B2823" s="42"/>
      <c r="C2823" s="42"/>
      <c r="D2823" s="42"/>
      <c r="E2823" s="42"/>
      <c r="F2823" s="51" t="n">
        <f aca="false">IF(OR(C2823="",D2823="",E2823="",E2823=0),0,C2823*D2823/E2823)</f>
        <v>0</v>
      </c>
      <c r="G2823" s="42"/>
      <c r="H2823" s="49" t="n">
        <f aca="true">IF(OR($A2823="",_xlfn.MINIFS($B$3:$B$5000,$A$3:$A$5000,$A2823,$B$3:$B$5000,"&gt;"&amp;$B2823)=0),NOW(),_xlfn.MINIFS($B$3:$B$5000,$A$3:$A$5000,$A2823,$B$3:$B$5000,"&gt;"&amp;$B2823))</f>
        <v>46279.5987644206</v>
      </c>
    </row>
    <row r="2824" customFormat="false" ht="15" hidden="false" customHeight="true" outlineLevel="0" collapsed="false">
      <c r="A2824" s="42"/>
      <c r="B2824" s="42"/>
      <c r="C2824" s="42"/>
      <c r="D2824" s="42"/>
      <c r="E2824" s="42"/>
      <c r="F2824" s="51" t="n">
        <f aca="false">IF(OR(C2824="",D2824="",E2824="",E2824=0),0,C2824*D2824/E2824)</f>
        <v>0</v>
      </c>
      <c r="G2824" s="42"/>
      <c r="H2824" s="49" t="n">
        <f aca="true">IF(OR($A2824="",_xlfn.MINIFS($B$3:$B$5000,$A$3:$A$5000,$A2824,$B$3:$B$5000,"&gt;"&amp;$B2824)=0),NOW(),_xlfn.MINIFS($B$3:$B$5000,$A$3:$A$5000,$A2824,$B$3:$B$5000,"&gt;"&amp;$B2824))</f>
        <v>46279.5987644207</v>
      </c>
    </row>
    <row r="2825" customFormat="false" ht="15" hidden="false" customHeight="true" outlineLevel="0" collapsed="false">
      <c r="A2825" s="42"/>
      <c r="B2825" s="42"/>
      <c r="C2825" s="42"/>
      <c r="D2825" s="42"/>
      <c r="E2825" s="42"/>
      <c r="F2825" s="51" t="n">
        <f aca="false">IF(OR(C2825="",D2825="",E2825="",E2825=0),0,C2825*D2825/E2825)</f>
        <v>0</v>
      </c>
      <c r="G2825" s="42"/>
      <c r="H2825" s="49" t="n">
        <f aca="true">IF(OR($A2825="",_xlfn.MINIFS($B$3:$B$5000,$A$3:$A$5000,$A2825,$B$3:$B$5000,"&gt;"&amp;$B2825)=0),NOW(),_xlfn.MINIFS($B$3:$B$5000,$A$3:$A$5000,$A2825,$B$3:$B$5000,"&gt;"&amp;$B2825))</f>
        <v>46279.5987644207</v>
      </c>
    </row>
    <row r="2826" customFormat="false" ht="15" hidden="false" customHeight="true" outlineLevel="0" collapsed="false">
      <c r="A2826" s="42"/>
      <c r="B2826" s="42"/>
      <c r="C2826" s="42"/>
      <c r="D2826" s="42"/>
      <c r="E2826" s="42"/>
      <c r="F2826" s="51" t="n">
        <f aca="false">IF(OR(C2826="",D2826="",E2826="",E2826=0),0,C2826*D2826/E2826)</f>
        <v>0</v>
      </c>
      <c r="G2826" s="42"/>
      <c r="H2826" s="49" t="n">
        <f aca="true">IF(OR($A2826="",_xlfn.MINIFS($B$3:$B$5000,$A$3:$A$5000,$A2826,$B$3:$B$5000,"&gt;"&amp;$B2826)=0),NOW(),_xlfn.MINIFS($B$3:$B$5000,$A$3:$A$5000,$A2826,$B$3:$B$5000,"&gt;"&amp;$B2826))</f>
        <v>46279.5987644208</v>
      </c>
    </row>
    <row r="2827" customFormat="false" ht="15" hidden="false" customHeight="true" outlineLevel="0" collapsed="false">
      <c r="A2827" s="42"/>
      <c r="B2827" s="42"/>
      <c r="C2827" s="42"/>
      <c r="D2827" s="42"/>
      <c r="E2827" s="42"/>
      <c r="F2827" s="51" t="n">
        <f aca="false">IF(OR(C2827="",D2827="",E2827="",E2827=0),0,C2827*D2827/E2827)</f>
        <v>0</v>
      </c>
      <c r="G2827" s="42"/>
      <c r="H2827" s="49" t="n">
        <f aca="true">IF(OR($A2827="",_xlfn.MINIFS($B$3:$B$5000,$A$3:$A$5000,$A2827,$B$3:$B$5000,"&gt;"&amp;$B2827)=0),NOW(),_xlfn.MINIFS($B$3:$B$5000,$A$3:$A$5000,$A2827,$B$3:$B$5000,"&gt;"&amp;$B2827))</f>
        <v>46279.5987644208</v>
      </c>
    </row>
    <row r="2828" customFormat="false" ht="15" hidden="false" customHeight="true" outlineLevel="0" collapsed="false">
      <c r="A2828" s="42"/>
      <c r="B2828" s="42"/>
      <c r="C2828" s="42"/>
      <c r="D2828" s="42"/>
      <c r="E2828" s="42"/>
      <c r="F2828" s="51" t="n">
        <f aca="false">IF(OR(C2828="",D2828="",E2828="",E2828=0),0,C2828*D2828/E2828)</f>
        <v>0</v>
      </c>
      <c r="G2828" s="42"/>
      <c r="H2828" s="49" t="n">
        <f aca="true">IF(OR($A2828="",_xlfn.MINIFS($B$3:$B$5000,$A$3:$A$5000,$A2828,$B$3:$B$5000,"&gt;"&amp;$B2828)=0),NOW(),_xlfn.MINIFS($B$3:$B$5000,$A$3:$A$5000,$A2828,$B$3:$B$5000,"&gt;"&amp;$B2828))</f>
        <v>46279.5987644209</v>
      </c>
    </row>
    <row r="2829" customFormat="false" ht="15" hidden="false" customHeight="true" outlineLevel="0" collapsed="false">
      <c r="A2829" s="42"/>
      <c r="B2829" s="42"/>
      <c r="C2829" s="42"/>
      <c r="D2829" s="42"/>
      <c r="E2829" s="42"/>
      <c r="F2829" s="51" t="n">
        <f aca="false">IF(OR(C2829="",D2829="",E2829="",E2829=0),0,C2829*D2829/E2829)</f>
        <v>0</v>
      </c>
      <c r="G2829" s="42"/>
      <c r="H2829" s="49" t="n">
        <f aca="true">IF(OR($A2829="",_xlfn.MINIFS($B$3:$B$5000,$A$3:$A$5000,$A2829,$B$3:$B$5000,"&gt;"&amp;$B2829)=0),NOW(),_xlfn.MINIFS($B$3:$B$5000,$A$3:$A$5000,$A2829,$B$3:$B$5000,"&gt;"&amp;$B2829))</f>
        <v>46279.5987644209</v>
      </c>
    </row>
    <row r="2830" customFormat="false" ht="15" hidden="false" customHeight="true" outlineLevel="0" collapsed="false">
      <c r="A2830" s="42"/>
      <c r="B2830" s="42"/>
      <c r="C2830" s="42"/>
      <c r="D2830" s="42"/>
      <c r="E2830" s="42"/>
      <c r="F2830" s="51" t="n">
        <f aca="false">IF(OR(C2830="",D2830="",E2830="",E2830=0),0,C2830*D2830/E2830)</f>
        <v>0</v>
      </c>
      <c r="G2830" s="42"/>
      <c r="H2830" s="49" t="n">
        <f aca="true">IF(OR($A2830="",_xlfn.MINIFS($B$3:$B$5000,$A$3:$A$5000,$A2830,$B$3:$B$5000,"&gt;"&amp;$B2830)=0),NOW(),_xlfn.MINIFS($B$3:$B$5000,$A$3:$A$5000,$A2830,$B$3:$B$5000,"&gt;"&amp;$B2830))</f>
        <v>46279.598764421</v>
      </c>
    </row>
    <row r="2831" customFormat="false" ht="15" hidden="false" customHeight="true" outlineLevel="0" collapsed="false">
      <c r="A2831" s="42"/>
      <c r="B2831" s="42"/>
      <c r="C2831" s="42"/>
      <c r="D2831" s="42"/>
      <c r="E2831" s="42"/>
      <c r="F2831" s="51" t="n">
        <f aca="false">IF(OR(C2831="",D2831="",E2831="",E2831=0),0,C2831*D2831/E2831)</f>
        <v>0</v>
      </c>
      <c r="G2831" s="42"/>
      <c r="H2831" s="49" t="n">
        <f aca="true">IF(OR($A2831="",_xlfn.MINIFS($B$3:$B$5000,$A$3:$A$5000,$A2831,$B$3:$B$5000,"&gt;"&amp;$B2831)=0),NOW(),_xlfn.MINIFS($B$3:$B$5000,$A$3:$A$5000,$A2831,$B$3:$B$5000,"&gt;"&amp;$B2831))</f>
        <v>46279.598764421</v>
      </c>
    </row>
    <row r="2832" customFormat="false" ht="15" hidden="false" customHeight="true" outlineLevel="0" collapsed="false">
      <c r="A2832" s="42"/>
      <c r="B2832" s="42"/>
      <c r="C2832" s="42"/>
      <c r="D2832" s="42"/>
      <c r="E2832" s="42"/>
      <c r="F2832" s="51" t="n">
        <f aca="false">IF(OR(C2832="",D2832="",E2832="",E2832=0),0,C2832*D2832/E2832)</f>
        <v>0</v>
      </c>
      <c r="G2832" s="42"/>
      <c r="H2832" s="49" t="n">
        <f aca="true">IF(OR($A2832="",_xlfn.MINIFS($B$3:$B$5000,$A$3:$A$5000,$A2832,$B$3:$B$5000,"&gt;"&amp;$B2832)=0),NOW(),_xlfn.MINIFS($B$3:$B$5000,$A$3:$A$5000,$A2832,$B$3:$B$5000,"&gt;"&amp;$B2832))</f>
        <v>46279.5987644211</v>
      </c>
    </row>
    <row r="2833" customFormat="false" ht="15" hidden="false" customHeight="true" outlineLevel="0" collapsed="false">
      <c r="A2833" s="42"/>
      <c r="B2833" s="42"/>
      <c r="C2833" s="42"/>
      <c r="D2833" s="42"/>
      <c r="E2833" s="42"/>
      <c r="F2833" s="51" t="n">
        <f aca="false">IF(OR(C2833="",D2833="",E2833="",E2833=0),0,C2833*D2833/E2833)</f>
        <v>0</v>
      </c>
      <c r="G2833" s="42"/>
      <c r="H2833" s="49" t="n">
        <f aca="true">IF(OR($A2833="",_xlfn.MINIFS($B$3:$B$5000,$A$3:$A$5000,$A2833,$B$3:$B$5000,"&gt;"&amp;$B2833)=0),NOW(),_xlfn.MINIFS($B$3:$B$5000,$A$3:$A$5000,$A2833,$B$3:$B$5000,"&gt;"&amp;$B2833))</f>
        <v>46279.5987644211</v>
      </c>
    </row>
    <row r="2834" customFormat="false" ht="15" hidden="false" customHeight="true" outlineLevel="0" collapsed="false">
      <c r="A2834" s="42"/>
      <c r="B2834" s="42"/>
      <c r="C2834" s="42"/>
      <c r="D2834" s="42"/>
      <c r="E2834" s="42"/>
      <c r="F2834" s="51" t="n">
        <f aca="false">IF(OR(C2834="",D2834="",E2834="",E2834=0),0,C2834*D2834/E2834)</f>
        <v>0</v>
      </c>
      <c r="G2834" s="42"/>
      <c r="H2834" s="49" t="n">
        <f aca="true">IF(OR($A2834="",_xlfn.MINIFS($B$3:$B$5000,$A$3:$A$5000,$A2834,$B$3:$B$5000,"&gt;"&amp;$B2834)=0),NOW(),_xlfn.MINIFS($B$3:$B$5000,$A$3:$A$5000,$A2834,$B$3:$B$5000,"&gt;"&amp;$B2834))</f>
        <v>46279.5987644212</v>
      </c>
    </row>
    <row r="2835" customFormat="false" ht="15" hidden="false" customHeight="true" outlineLevel="0" collapsed="false">
      <c r="A2835" s="42"/>
      <c r="B2835" s="42"/>
      <c r="C2835" s="42"/>
      <c r="D2835" s="42"/>
      <c r="E2835" s="42"/>
      <c r="F2835" s="51" t="n">
        <f aca="false">IF(OR(C2835="",D2835="",E2835="",E2835=0),0,C2835*D2835/E2835)</f>
        <v>0</v>
      </c>
      <c r="G2835" s="42"/>
      <c r="H2835" s="49" t="n">
        <f aca="true">IF(OR($A2835="",_xlfn.MINIFS($B$3:$B$5000,$A$3:$A$5000,$A2835,$B$3:$B$5000,"&gt;"&amp;$B2835)=0),NOW(),_xlfn.MINIFS($B$3:$B$5000,$A$3:$A$5000,$A2835,$B$3:$B$5000,"&gt;"&amp;$B2835))</f>
        <v>46279.5987644212</v>
      </c>
    </row>
    <row r="2836" customFormat="false" ht="15" hidden="false" customHeight="true" outlineLevel="0" collapsed="false">
      <c r="A2836" s="42"/>
      <c r="B2836" s="42"/>
      <c r="C2836" s="42"/>
      <c r="D2836" s="42"/>
      <c r="E2836" s="42"/>
      <c r="F2836" s="51" t="n">
        <f aca="false">IF(OR(C2836="",D2836="",E2836="",E2836=0),0,C2836*D2836/E2836)</f>
        <v>0</v>
      </c>
      <c r="G2836" s="42"/>
      <c r="H2836" s="49" t="n">
        <f aca="true">IF(OR($A2836="",_xlfn.MINIFS($B$3:$B$5000,$A$3:$A$5000,$A2836,$B$3:$B$5000,"&gt;"&amp;$B2836)=0),NOW(),_xlfn.MINIFS($B$3:$B$5000,$A$3:$A$5000,$A2836,$B$3:$B$5000,"&gt;"&amp;$B2836))</f>
        <v>46279.5987644213</v>
      </c>
    </row>
    <row r="2837" customFormat="false" ht="15" hidden="false" customHeight="true" outlineLevel="0" collapsed="false">
      <c r="A2837" s="42"/>
      <c r="B2837" s="42"/>
      <c r="C2837" s="42"/>
      <c r="D2837" s="42"/>
      <c r="E2837" s="42"/>
      <c r="F2837" s="51" t="n">
        <f aca="false">IF(OR(C2837="",D2837="",E2837="",E2837=0),0,C2837*D2837/E2837)</f>
        <v>0</v>
      </c>
      <c r="G2837" s="42"/>
      <c r="H2837" s="49" t="n">
        <f aca="true">IF(OR($A2837="",_xlfn.MINIFS($B$3:$B$5000,$A$3:$A$5000,$A2837,$B$3:$B$5000,"&gt;"&amp;$B2837)=0),NOW(),_xlfn.MINIFS($B$3:$B$5000,$A$3:$A$5000,$A2837,$B$3:$B$5000,"&gt;"&amp;$B2837))</f>
        <v>46279.5987644213</v>
      </c>
    </row>
    <row r="2838" customFormat="false" ht="15" hidden="false" customHeight="true" outlineLevel="0" collapsed="false">
      <c r="A2838" s="42"/>
      <c r="B2838" s="42"/>
      <c r="C2838" s="42"/>
      <c r="D2838" s="42"/>
      <c r="E2838" s="42"/>
      <c r="F2838" s="51" t="n">
        <f aca="false">IF(OR(C2838="",D2838="",E2838="",E2838=0),0,C2838*D2838/E2838)</f>
        <v>0</v>
      </c>
      <c r="G2838" s="42"/>
      <c r="H2838" s="49" t="n">
        <f aca="true">IF(OR($A2838="",_xlfn.MINIFS($B$3:$B$5000,$A$3:$A$5000,$A2838,$B$3:$B$5000,"&gt;"&amp;$B2838)=0),NOW(),_xlfn.MINIFS($B$3:$B$5000,$A$3:$A$5000,$A2838,$B$3:$B$5000,"&gt;"&amp;$B2838))</f>
        <v>46279.5987644214</v>
      </c>
    </row>
    <row r="2839" customFormat="false" ht="15" hidden="false" customHeight="true" outlineLevel="0" collapsed="false">
      <c r="A2839" s="42"/>
      <c r="B2839" s="42"/>
      <c r="C2839" s="42"/>
      <c r="D2839" s="42"/>
      <c r="E2839" s="42"/>
      <c r="F2839" s="51" t="n">
        <f aca="false">IF(OR(C2839="",D2839="",E2839="",E2839=0),0,C2839*D2839/E2839)</f>
        <v>0</v>
      </c>
      <c r="G2839" s="42"/>
      <c r="H2839" s="49" t="n">
        <f aca="true">IF(OR($A2839="",_xlfn.MINIFS($B$3:$B$5000,$A$3:$A$5000,$A2839,$B$3:$B$5000,"&gt;"&amp;$B2839)=0),NOW(),_xlfn.MINIFS($B$3:$B$5000,$A$3:$A$5000,$A2839,$B$3:$B$5000,"&gt;"&amp;$B2839))</f>
        <v>46279.5987644214</v>
      </c>
    </row>
    <row r="2840" customFormat="false" ht="15" hidden="false" customHeight="true" outlineLevel="0" collapsed="false">
      <c r="A2840" s="42"/>
      <c r="B2840" s="42"/>
      <c r="C2840" s="42"/>
      <c r="D2840" s="42"/>
      <c r="E2840" s="42"/>
      <c r="F2840" s="51" t="n">
        <f aca="false">IF(OR(C2840="",D2840="",E2840="",E2840=0),0,C2840*D2840/E2840)</f>
        <v>0</v>
      </c>
      <c r="G2840" s="42"/>
      <c r="H2840" s="49" t="n">
        <f aca="true">IF(OR($A2840="",_xlfn.MINIFS($B$3:$B$5000,$A$3:$A$5000,$A2840,$B$3:$B$5000,"&gt;"&amp;$B2840)=0),NOW(),_xlfn.MINIFS($B$3:$B$5000,$A$3:$A$5000,$A2840,$B$3:$B$5000,"&gt;"&amp;$B2840))</f>
        <v>46279.5987644215</v>
      </c>
    </row>
    <row r="2841" customFormat="false" ht="15" hidden="false" customHeight="true" outlineLevel="0" collapsed="false">
      <c r="A2841" s="42"/>
      <c r="B2841" s="42"/>
      <c r="C2841" s="42"/>
      <c r="D2841" s="42"/>
      <c r="E2841" s="42"/>
      <c r="F2841" s="51" t="n">
        <f aca="false">IF(OR(C2841="",D2841="",E2841="",E2841=0),0,C2841*D2841/E2841)</f>
        <v>0</v>
      </c>
      <c r="G2841" s="42"/>
      <c r="H2841" s="49" t="n">
        <f aca="true">IF(OR($A2841="",_xlfn.MINIFS($B$3:$B$5000,$A$3:$A$5000,$A2841,$B$3:$B$5000,"&gt;"&amp;$B2841)=0),NOW(),_xlfn.MINIFS($B$3:$B$5000,$A$3:$A$5000,$A2841,$B$3:$B$5000,"&gt;"&amp;$B2841))</f>
        <v>46279.5987644215</v>
      </c>
    </row>
    <row r="2842" customFormat="false" ht="15" hidden="false" customHeight="true" outlineLevel="0" collapsed="false">
      <c r="A2842" s="42"/>
      <c r="B2842" s="42"/>
      <c r="C2842" s="42"/>
      <c r="D2842" s="42"/>
      <c r="E2842" s="42"/>
      <c r="F2842" s="51" t="n">
        <f aca="false">IF(OR(C2842="",D2842="",E2842="",E2842=0),0,C2842*D2842/E2842)</f>
        <v>0</v>
      </c>
      <c r="G2842" s="42"/>
      <c r="H2842" s="49" t="n">
        <f aca="true">IF(OR($A2842="",_xlfn.MINIFS($B$3:$B$5000,$A$3:$A$5000,$A2842,$B$3:$B$5000,"&gt;"&amp;$B2842)=0),NOW(),_xlfn.MINIFS($B$3:$B$5000,$A$3:$A$5000,$A2842,$B$3:$B$5000,"&gt;"&amp;$B2842))</f>
        <v>46279.5987644216</v>
      </c>
    </row>
    <row r="2843" customFormat="false" ht="15" hidden="false" customHeight="true" outlineLevel="0" collapsed="false">
      <c r="A2843" s="42"/>
      <c r="B2843" s="42"/>
      <c r="C2843" s="42"/>
      <c r="D2843" s="42"/>
      <c r="E2843" s="42"/>
      <c r="F2843" s="51" t="n">
        <f aca="false">IF(OR(C2843="",D2843="",E2843="",E2843=0),0,C2843*D2843/E2843)</f>
        <v>0</v>
      </c>
      <c r="G2843" s="42"/>
      <c r="H2843" s="49" t="n">
        <f aca="true">IF(OR($A2843="",_xlfn.MINIFS($B$3:$B$5000,$A$3:$A$5000,$A2843,$B$3:$B$5000,"&gt;"&amp;$B2843)=0),NOW(),_xlfn.MINIFS($B$3:$B$5000,$A$3:$A$5000,$A2843,$B$3:$B$5000,"&gt;"&amp;$B2843))</f>
        <v>46279.5987644216</v>
      </c>
    </row>
    <row r="2844" customFormat="false" ht="15" hidden="false" customHeight="true" outlineLevel="0" collapsed="false">
      <c r="A2844" s="42"/>
      <c r="B2844" s="42"/>
      <c r="C2844" s="42"/>
      <c r="D2844" s="42"/>
      <c r="E2844" s="42"/>
      <c r="F2844" s="51" t="n">
        <f aca="false">IF(OR(C2844="",D2844="",E2844="",E2844=0),0,C2844*D2844/E2844)</f>
        <v>0</v>
      </c>
      <c r="G2844" s="42"/>
      <c r="H2844" s="49" t="n">
        <f aca="true">IF(OR($A2844="",_xlfn.MINIFS($B$3:$B$5000,$A$3:$A$5000,$A2844,$B$3:$B$5000,"&gt;"&amp;$B2844)=0),NOW(),_xlfn.MINIFS($B$3:$B$5000,$A$3:$A$5000,$A2844,$B$3:$B$5000,"&gt;"&amp;$B2844))</f>
        <v>46279.5987644217</v>
      </c>
    </row>
    <row r="2845" customFormat="false" ht="15" hidden="false" customHeight="true" outlineLevel="0" collapsed="false">
      <c r="A2845" s="42"/>
      <c r="B2845" s="42"/>
      <c r="C2845" s="42"/>
      <c r="D2845" s="42"/>
      <c r="E2845" s="42"/>
      <c r="F2845" s="51" t="n">
        <f aca="false">IF(OR(C2845="",D2845="",E2845="",E2845=0),0,C2845*D2845/E2845)</f>
        <v>0</v>
      </c>
      <c r="G2845" s="42"/>
      <c r="H2845" s="49" t="n">
        <f aca="true">IF(OR($A2845="",_xlfn.MINIFS($B$3:$B$5000,$A$3:$A$5000,$A2845,$B$3:$B$5000,"&gt;"&amp;$B2845)=0),NOW(),_xlfn.MINIFS($B$3:$B$5000,$A$3:$A$5000,$A2845,$B$3:$B$5000,"&gt;"&amp;$B2845))</f>
        <v>46279.5987644217</v>
      </c>
    </row>
    <row r="2846" customFormat="false" ht="15" hidden="false" customHeight="true" outlineLevel="0" collapsed="false">
      <c r="A2846" s="42"/>
      <c r="B2846" s="42"/>
      <c r="C2846" s="42"/>
      <c r="D2846" s="42"/>
      <c r="E2846" s="42"/>
      <c r="F2846" s="51" t="n">
        <f aca="false">IF(OR(C2846="",D2846="",E2846="",E2846=0),0,C2846*D2846/E2846)</f>
        <v>0</v>
      </c>
      <c r="G2846" s="42"/>
      <c r="H2846" s="49" t="n">
        <f aca="true">IF(OR($A2846="",_xlfn.MINIFS($B$3:$B$5000,$A$3:$A$5000,$A2846,$B$3:$B$5000,"&gt;"&amp;$B2846)=0),NOW(),_xlfn.MINIFS($B$3:$B$5000,$A$3:$A$5000,$A2846,$B$3:$B$5000,"&gt;"&amp;$B2846))</f>
        <v>46279.5987644218</v>
      </c>
    </row>
    <row r="2847" customFormat="false" ht="15" hidden="false" customHeight="true" outlineLevel="0" collapsed="false">
      <c r="A2847" s="42"/>
      <c r="B2847" s="42"/>
      <c r="C2847" s="42"/>
      <c r="D2847" s="42"/>
      <c r="E2847" s="42"/>
      <c r="F2847" s="51" t="n">
        <f aca="false">IF(OR(C2847="",D2847="",E2847="",E2847=0),0,C2847*D2847/E2847)</f>
        <v>0</v>
      </c>
      <c r="G2847" s="42"/>
      <c r="H2847" s="49" t="n">
        <f aca="true">IF(OR($A2847="",_xlfn.MINIFS($B$3:$B$5000,$A$3:$A$5000,$A2847,$B$3:$B$5000,"&gt;"&amp;$B2847)=0),NOW(),_xlfn.MINIFS($B$3:$B$5000,$A$3:$A$5000,$A2847,$B$3:$B$5000,"&gt;"&amp;$B2847))</f>
        <v>46279.5987644218</v>
      </c>
    </row>
    <row r="2848" customFormat="false" ht="15" hidden="false" customHeight="true" outlineLevel="0" collapsed="false">
      <c r="A2848" s="42"/>
      <c r="B2848" s="42"/>
      <c r="C2848" s="42"/>
      <c r="D2848" s="42"/>
      <c r="E2848" s="42"/>
      <c r="F2848" s="51" t="n">
        <f aca="false">IF(OR(C2848="",D2848="",E2848="",E2848=0),0,C2848*D2848/E2848)</f>
        <v>0</v>
      </c>
      <c r="G2848" s="42"/>
      <c r="H2848" s="49" t="n">
        <f aca="true">IF(OR($A2848="",_xlfn.MINIFS($B$3:$B$5000,$A$3:$A$5000,$A2848,$B$3:$B$5000,"&gt;"&amp;$B2848)=0),NOW(),_xlfn.MINIFS($B$3:$B$5000,$A$3:$A$5000,$A2848,$B$3:$B$5000,"&gt;"&amp;$B2848))</f>
        <v>46279.5987644219</v>
      </c>
    </row>
    <row r="2849" customFormat="false" ht="15" hidden="false" customHeight="true" outlineLevel="0" collapsed="false">
      <c r="A2849" s="42"/>
      <c r="B2849" s="42"/>
      <c r="C2849" s="42"/>
      <c r="D2849" s="42"/>
      <c r="E2849" s="42"/>
      <c r="F2849" s="51" t="n">
        <f aca="false">IF(OR(C2849="",D2849="",E2849="",E2849=0),0,C2849*D2849/E2849)</f>
        <v>0</v>
      </c>
      <c r="G2849" s="42"/>
      <c r="H2849" s="49" t="n">
        <f aca="true">IF(OR($A2849="",_xlfn.MINIFS($B$3:$B$5000,$A$3:$A$5000,$A2849,$B$3:$B$5000,"&gt;"&amp;$B2849)=0),NOW(),_xlfn.MINIFS($B$3:$B$5000,$A$3:$A$5000,$A2849,$B$3:$B$5000,"&gt;"&amp;$B2849))</f>
        <v>46279.5987644219</v>
      </c>
    </row>
    <row r="2850" customFormat="false" ht="15" hidden="false" customHeight="true" outlineLevel="0" collapsed="false">
      <c r="A2850" s="42"/>
      <c r="B2850" s="42"/>
      <c r="C2850" s="42"/>
      <c r="D2850" s="42"/>
      <c r="E2850" s="42"/>
      <c r="F2850" s="51" t="n">
        <f aca="false">IF(OR(C2850="",D2850="",E2850="",E2850=0),0,C2850*D2850/E2850)</f>
        <v>0</v>
      </c>
      <c r="G2850" s="42"/>
      <c r="H2850" s="49" t="n">
        <f aca="true">IF(OR($A2850="",_xlfn.MINIFS($B$3:$B$5000,$A$3:$A$5000,$A2850,$B$3:$B$5000,"&gt;"&amp;$B2850)=0),NOW(),_xlfn.MINIFS($B$3:$B$5000,$A$3:$A$5000,$A2850,$B$3:$B$5000,"&gt;"&amp;$B2850))</f>
        <v>46279.598764422</v>
      </c>
    </row>
    <row r="2851" customFormat="false" ht="15" hidden="false" customHeight="true" outlineLevel="0" collapsed="false">
      <c r="A2851" s="42"/>
      <c r="B2851" s="42"/>
      <c r="C2851" s="42"/>
      <c r="D2851" s="42"/>
      <c r="E2851" s="42"/>
      <c r="F2851" s="51" t="n">
        <f aca="false">IF(OR(C2851="",D2851="",E2851="",E2851=0),0,C2851*D2851/E2851)</f>
        <v>0</v>
      </c>
      <c r="G2851" s="42"/>
      <c r="H2851" s="49" t="n">
        <f aca="true">IF(OR($A2851="",_xlfn.MINIFS($B$3:$B$5000,$A$3:$A$5000,$A2851,$B$3:$B$5000,"&gt;"&amp;$B2851)=0),NOW(),_xlfn.MINIFS($B$3:$B$5000,$A$3:$A$5000,$A2851,$B$3:$B$5000,"&gt;"&amp;$B2851))</f>
        <v>46279.598764422</v>
      </c>
    </row>
    <row r="2852" customFormat="false" ht="15" hidden="false" customHeight="true" outlineLevel="0" collapsed="false">
      <c r="A2852" s="42"/>
      <c r="B2852" s="42"/>
      <c r="C2852" s="42"/>
      <c r="D2852" s="42"/>
      <c r="E2852" s="42"/>
      <c r="F2852" s="51" t="n">
        <f aca="false">IF(OR(C2852="",D2852="",E2852="",E2852=0),0,C2852*D2852/E2852)</f>
        <v>0</v>
      </c>
      <c r="G2852" s="42"/>
      <c r="H2852" s="49" t="n">
        <f aca="true">IF(OR($A2852="",_xlfn.MINIFS($B$3:$B$5000,$A$3:$A$5000,$A2852,$B$3:$B$5000,"&gt;"&amp;$B2852)=0),NOW(),_xlfn.MINIFS($B$3:$B$5000,$A$3:$A$5000,$A2852,$B$3:$B$5000,"&gt;"&amp;$B2852))</f>
        <v>46279.5987644221</v>
      </c>
    </row>
    <row r="2853" customFormat="false" ht="15" hidden="false" customHeight="true" outlineLevel="0" collapsed="false">
      <c r="A2853" s="42"/>
      <c r="B2853" s="42"/>
      <c r="C2853" s="42"/>
      <c r="D2853" s="42"/>
      <c r="E2853" s="42"/>
      <c r="F2853" s="51" t="n">
        <f aca="false">IF(OR(C2853="",D2853="",E2853="",E2853=0),0,C2853*D2853/E2853)</f>
        <v>0</v>
      </c>
      <c r="G2853" s="42"/>
      <c r="H2853" s="49" t="n">
        <f aca="true">IF(OR($A2853="",_xlfn.MINIFS($B$3:$B$5000,$A$3:$A$5000,$A2853,$B$3:$B$5000,"&gt;"&amp;$B2853)=0),NOW(),_xlfn.MINIFS($B$3:$B$5000,$A$3:$A$5000,$A2853,$B$3:$B$5000,"&gt;"&amp;$B2853))</f>
        <v>46279.5987644221</v>
      </c>
    </row>
    <row r="2854" customFormat="false" ht="15" hidden="false" customHeight="true" outlineLevel="0" collapsed="false">
      <c r="A2854" s="42"/>
      <c r="B2854" s="42"/>
      <c r="C2854" s="42"/>
      <c r="D2854" s="42"/>
      <c r="E2854" s="42"/>
      <c r="F2854" s="51" t="n">
        <f aca="false">IF(OR(C2854="",D2854="",E2854="",E2854=0),0,C2854*D2854/E2854)</f>
        <v>0</v>
      </c>
      <c r="G2854" s="42"/>
      <c r="H2854" s="49" t="n">
        <f aca="true">IF(OR($A2854="",_xlfn.MINIFS($B$3:$B$5000,$A$3:$A$5000,$A2854,$B$3:$B$5000,"&gt;"&amp;$B2854)=0),NOW(),_xlfn.MINIFS($B$3:$B$5000,$A$3:$A$5000,$A2854,$B$3:$B$5000,"&gt;"&amp;$B2854))</f>
        <v>46279.5987644222</v>
      </c>
    </row>
    <row r="2855" customFormat="false" ht="15" hidden="false" customHeight="true" outlineLevel="0" collapsed="false">
      <c r="A2855" s="42"/>
      <c r="B2855" s="42"/>
      <c r="C2855" s="42"/>
      <c r="D2855" s="42"/>
      <c r="E2855" s="42"/>
      <c r="F2855" s="51" t="n">
        <f aca="false">IF(OR(C2855="",D2855="",E2855="",E2855=0),0,C2855*D2855/E2855)</f>
        <v>0</v>
      </c>
      <c r="G2855" s="42"/>
      <c r="H2855" s="49" t="n">
        <f aca="true">IF(OR($A2855="",_xlfn.MINIFS($B$3:$B$5000,$A$3:$A$5000,$A2855,$B$3:$B$5000,"&gt;"&amp;$B2855)=0),NOW(),_xlfn.MINIFS($B$3:$B$5000,$A$3:$A$5000,$A2855,$B$3:$B$5000,"&gt;"&amp;$B2855))</f>
        <v>46279.5987644222</v>
      </c>
    </row>
    <row r="2856" customFormat="false" ht="15" hidden="false" customHeight="true" outlineLevel="0" collapsed="false">
      <c r="A2856" s="42"/>
      <c r="B2856" s="42"/>
      <c r="C2856" s="42"/>
      <c r="D2856" s="42"/>
      <c r="E2856" s="42"/>
      <c r="F2856" s="51" t="n">
        <f aca="false">IF(OR(C2856="",D2856="",E2856="",E2856=0),0,C2856*D2856/E2856)</f>
        <v>0</v>
      </c>
      <c r="G2856" s="42"/>
      <c r="H2856" s="49" t="n">
        <f aca="true">IF(OR($A2856="",_xlfn.MINIFS($B$3:$B$5000,$A$3:$A$5000,$A2856,$B$3:$B$5000,"&gt;"&amp;$B2856)=0),NOW(),_xlfn.MINIFS($B$3:$B$5000,$A$3:$A$5000,$A2856,$B$3:$B$5000,"&gt;"&amp;$B2856))</f>
        <v>46279.5987644223</v>
      </c>
    </row>
    <row r="2857" customFormat="false" ht="15" hidden="false" customHeight="true" outlineLevel="0" collapsed="false">
      <c r="A2857" s="42"/>
      <c r="B2857" s="42"/>
      <c r="C2857" s="42"/>
      <c r="D2857" s="42"/>
      <c r="E2857" s="42"/>
      <c r="F2857" s="51" t="n">
        <f aca="false">IF(OR(C2857="",D2857="",E2857="",E2857=0),0,C2857*D2857/E2857)</f>
        <v>0</v>
      </c>
      <c r="G2857" s="42"/>
      <c r="H2857" s="49" t="n">
        <f aca="true">IF(OR($A2857="",_xlfn.MINIFS($B$3:$B$5000,$A$3:$A$5000,$A2857,$B$3:$B$5000,"&gt;"&amp;$B2857)=0),NOW(),_xlfn.MINIFS($B$3:$B$5000,$A$3:$A$5000,$A2857,$B$3:$B$5000,"&gt;"&amp;$B2857))</f>
        <v>46279.5987644223</v>
      </c>
    </row>
    <row r="2858" customFormat="false" ht="15" hidden="false" customHeight="true" outlineLevel="0" collapsed="false">
      <c r="A2858" s="42"/>
      <c r="B2858" s="42"/>
      <c r="C2858" s="42"/>
      <c r="D2858" s="42"/>
      <c r="E2858" s="42"/>
      <c r="F2858" s="51" t="n">
        <f aca="false">IF(OR(C2858="",D2858="",E2858="",E2858=0),0,C2858*D2858/E2858)</f>
        <v>0</v>
      </c>
      <c r="G2858" s="42"/>
      <c r="H2858" s="49" t="n">
        <f aca="true">IF(OR($A2858="",_xlfn.MINIFS($B$3:$B$5000,$A$3:$A$5000,$A2858,$B$3:$B$5000,"&gt;"&amp;$B2858)=0),NOW(),_xlfn.MINIFS($B$3:$B$5000,$A$3:$A$5000,$A2858,$B$3:$B$5000,"&gt;"&amp;$B2858))</f>
        <v>46279.5987644224</v>
      </c>
    </row>
    <row r="2859" customFormat="false" ht="15" hidden="false" customHeight="true" outlineLevel="0" collapsed="false">
      <c r="A2859" s="42"/>
      <c r="B2859" s="42"/>
      <c r="C2859" s="42"/>
      <c r="D2859" s="42"/>
      <c r="E2859" s="42"/>
      <c r="F2859" s="51" t="n">
        <f aca="false">IF(OR(C2859="",D2859="",E2859="",E2859=0),0,C2859*D2859/E2859)</f>
        <v>0</v>
      </c>
      <c r="G2859" s="42"/>
      <c r="H2859" s="49" t="n">
        <f aca="true">IF(OR($A2859="",_xlfn.MINIFS($B$3:$B$5000,$A$3:$A$5000,$A2859,$B$3:$B$5000,"&gt;"&amp;$B2859)=0),NOW(),_xlfn.MINIFS($B$3:$B$5000,$A$3:$A$5000,$A2859,$B$3:$B$5000,"&gt;"&amp;$B2859))</f>
        <v>46279.5987644224</v>
      </c>
    </row>
    <row r="2860" customFormat="false" ht="15" hidden="false" customHeight="true" outlineLevel="0" collapsed="false">
      <c r="A2860" s="42"/>
      <c r="B2860" s="42"/>
      <c r="C2860" s="42"/>
      <c r="D2860" s="42"/>
      <c r="E2860" s="42"/>
      <c r="F2860" s="51" t="n">
        <f aca="false">IF(OR(C2860="",D2860="",E2860="",E2860=0),0,C2860*D2860/E2860)</f>
        <v>0</v>
      </c>
      <c r="G2860" s="42"/>
      <c r="H2860" s="49" t="n">
        <f aca="true">IF(OR($A2860="",_xlfn.MINIFS($B$3:$B$5000,$A$3:$A$5000,$A2860,$B$3:$B$5000,"&gt;"&amp;$B2860)=0),NOW(),_xlfn.MINIFS($B$3:$B$5000,$A$3:$A$5000,$A2860,$B$3:$B$5000,"&gt;"&amp;$B2860))</f>
        <v>46279.5987644225</v>
      </c>
    </row>
    <row r="2861" customFormat="false" ht="15" hidden="false" customHeight="true" outlineLevel="0" collapsed="false">
      <c r="A2861" s="42"/>
      <c r="B2861" s="42"/>
      <c r="C2861" s="42"/>
      <c r="D2861" s="42"/>
      <c r="E2861" s="42"/>
      <c r="F2861" s="51" t="n">
        <f aca="false">IF(OR(C2861="",D2861="",E2861="",E2861=0),0,C2861*D2861/E2861)</f>
        <v>0</v>
      </c>
      <c r="G2861" s="42"/>
      <c r="H2861" s="49" t="n">
        <f aca="true">IF(OR($A2861="",_xlfn.MINIFS($B$3:$B$5000,$A$3:$A$5000,$A2861,$B$3:$B$5000,"&gt;"&amp;$B2861)=0),NOW(),_xlfn.MINIFS($B$3:$B$5000,$A$3:$A$5000,$A2861,$B$3:$B$5000,"&gt;"&amp;$B2861))</f>
        <v>46279.5987644225</v>
      </c>
    </row>
    <row r="2862" customFormat="false" ht="15" hidden="false" customHeight="true" outlineLevel="0" collapsed="false">
      <c r="A2862" s="42"/>
      <c r="B2862" s="42"/>
      <c r="C2862" s="42"/>
      <c r="D2862" s="42"/>
      <c r="E2862" s="42"/>
      <c r="F2862" s="51" t="n">
        <f aca="false">IF(OR(C2862="",D2862="",E2862="",E2862=0),0,C2862*D2862/E2862)</f>
        <v>0</v>
      </c>
      <c r="G2862" s="42"/>
      <c r="H2862" s="49" t="n">
        <f aca="true">IF(OR($A2862="",_xlfn.MINIFS($B$3:$B$5000,$A$3:$A$5000,$A2862,$B$3:$B$5000,"&gt;"&amp;$B2862)=0),NOW(),_xlfn.MINIFS($B$3:$B$5000,$A$3:$A$5000,$A2862,$B$3:$B$5000,"&gt;"&amp;$B2862))</f>
        <v>46279.5987644226</v>
      </c>
    </row>
    <row r="2863" customFormat="false" ht="15" hidden="false" customHeight="true" outlineLevel="0" collapsed="false">
      <c r="A2863" s="42"/>
      <c r="B2863" s="42"/>
      <c r="C2863" s="42"/>
      <c r="D2863" s="42"/>
      <c r="E2863" s="42"/>
      <c r="F2863" s="51" t="n">
        <f aca="false">IF(OR(C2863="",D2863="",E2863="",E2863=0),0,C2863*D2863/E2863)</f>
        <v>0</v>
      </c>
      <c r="G2863" s="42"/>
      <c r="H2863" s="49" t="n">
        <f aca="true">IF(OR($A2863="",_xlfn.MINIFS($B$3:$B$5000,$A$3:$A$5000,$A2863,$B$3:$B$5000,"&gt;"&amp;$B2863)=0),NOW(),_xlfn.MINIFS($B$3:$B$5000,$A$3:$A$5000,$A2863,$B$3:$B$5000,"&gt;"&amp;$B2863))</f>
        <v>46279.5987644226</v>
      </c>
    </row>
    <row r="2864" customFormat="false" ht="15" hidden="false" customHeight="true" outlineLevel="0" collapsed="false">
      <c r="A2864" s="42"/>
      <c r="B2864" s="42"/>
      <c r="C2864" s="42"/>
      <c r="D2864" s="42"/>
      <c r="E2864" s="42"/>
      <c r="F2864" s="51" t="n">
        <f aca="false">IF(OR(C2864="",D2864="",E2864="",E2864=0),0,C2864*D2864/E2864)</f>
        <v>0</v>
      </c>
      <c r="G2864" s="42"/>
      <c r="H2864" s="49" t="n">
        <f aca="true">IF(OR($A2864="",_xlfn.MINIFS($B$3:$B$5000,$A$3:$A$5000,$A2864,$B$3:$B$5000,"&gt;"&amp;$B2864)=0),NOW(),_xlfn.MINIFS($B$3:$B$5000,$A$3:$A$5000,$A2864,$B$3:$B$5000,"&gt;"&amp;$B2864))</f>
        <v>46279.5987644227</v>
      </c>
    </row>
    <row r="2865" customFormat="false" ht="15" hidden="false" customHeight="true" outlineLevel="0" collapsed="false">
      <c r="A2865" s="42"/>
      <c r="B2865" s="42"/>
      <c r="C2865" s="42"/>
      <c r="D2865" s="42"/>
      <c r="E2865" s="42"/>
      <c r="F2865" s="51" t="n">
        <f aca="false">IF(OR(C2865="",D2865="",E2865="",E2865=0),0,C2865*D2865/E2865)</f>
        <v>0</v>
      </c>
      <c r="G2865" s="42"/>
      <c r="H2865" s="49" t="n">
        <f aca="true">IF(OR($A2865="",_xlfn.MINIFS($B$3:$B$5000,$A$3:$A$5000,$A2865,$B$3:$B$5000,"&gt;"&amp;$B2865)=0),NOW(),_xlfn.MINIFS($B$3:$B$5000,$A$3:$A$5000,$A2865,$B$3:$B$5000,"&gt;"&amp;$B2865))</f>
        <v>46279.5987644227</v>
      </c>
    </row>
    <row r="2866" customFormat="false" ht="15" hidden="false" customHeight="true" outlineLevel="0" collapsed="false">
      <c r="A2866" s="42"/>
      <c r="B2866" s="42"/>
      <c r="C2866" s="42"/>
      <c r="D2866" s="42"/>
      <c r="E2866" s="42"/>
      <c r="F2866" s="51" t="n">
        <f aca="false">IF(OR(C2866="",D2866="",E2866="",E2866=0),0,C2866*D2866/E2866)</f>
        <v>0</v>
      </c>
      <c r="G2866" s="42"/>
      <c r="H2866" s="49" t="n">
        <f aca="true">IF(OR($A2866="",_xlfn.MINIFS($B$3:$B$5000,$A$3:$A$5000,$A2866,$B$3:$B$5000,"&gt;"&amp;$B2866)=0),NOW(),_xlfn.MINIFS($B$3:$B$5000,$A$3:$A$5000,$A2866,$B$3:$B$5000,"&gt;"&amp;$B2866))</f>
        <v>46279.5987644228</v>
      </c>
    </row>
    <row r="2867" customFormat="false" ht="15" hidden="false" customHeight="true" outlineLevel="0" collapsed="false">
      <c r="A2867" s="42"/>
      <c r="B2867" s="42"/>
      <c r="C2867" s="42"/>
      <c r="D2867" s="42"/>
      <c r="E2867" s="42"/>
      <c r="F2867" s="51" t="n">
        <f aca="false">IF(OR(C2867="",D2867="",E2867="",E2867=0),0,C2867*D2867/E2867)</f>
        <v>0</v>
      </c>
      <c r="G2867" s="42"/>
      <c r="H2867" s="49" t="n">
        <f aca="true">IF(OR($A2867="",_xlfn.MINIFS($B$3:$B$5000,$A$3:$A$5000,$A2867,$B$3:$B$5000,"&gt;"&amp;$B2867)=0),NOW(),_xlfn.MINIFS($B$3:$B$5000,$A$3:$A$5000,$A2867,$B$3:$B$5000,"&gt;"&amp;$B2867))</f>
        <v>46279.5987644228</v>
      </c>
    </row>
    <row r="2868" customFormat="false" ht="15" hidden="false" customHeight="true" outlineLevel="0" collapsed="false">
      <c r="A2868" s="42"/>
      <c r="B2868" s="42"/>
      <c r="C2868" s="42"/>
      <c r="D2868" s="42"/>
      <c r="E2868" s="42"/>
      <c r="F2868" s="51" t="n">
        <f aca="false">IF(OR(C2868="",D2868="",E2868="",E2868=0),0,C2868*D2868/E2868)</f>
        <v>0</v>
      </c>
      <c r="G2868" s="42"/>
      <c r="H2868" s="49" t="n">
        <f aca="true">IF(OR($A2868="",_xlfn.MINIFS($B$3:$B$5000,$A$3:$A$5000,$A2868,$B$3:$B$5000,"&gt;"&amp;$B2868)=0),NOW(),_xlfn.MINIFS($B$3:$B$5000,$A$3:$A$5000,$A2868,$B$3:$B$5000,"&gt;"&amp;$B2868))</f>
        <v>46279.5987644229</v>
      </c>
    </row>
    <row r="2869" customFormat="false" ht="15" hidden="false" customHeight="true" outlineLevel="0" collapsed="false">
      <c r="A2869" s="42"/>
      <c r="B2869" s="42"/>
      <c r="C2869" s="42"/>
      <c r="D2869" s="42"/>
      <c r="E2869" s="42"/>
      <c r="F2869" s="51" t="n">
        <f aca="false">IF(OR(C2869="",D2869="",E2869="",E2869=0),0,C2869*D2869/E2869)</f>
        <v>0</v>
      </c>
      <c r="G2869" s="42"/>
      <c r="H2869" s="49" t="n">
        <f aca="true">IF(OR($A2869="",_xlfn.MINIFS($B$3:$B$5000,$A$3:$A$5000,$A2869,$B$3:$B$5000,"&gt;"&amp;$B2869)=0),NOW(),_xlfn.MINIFS($B$3:$B$5000,$A$3:$A$5000,$A2869,$B$3:$B$5000,"&gt;"&amp;$B2869))</f>
        <v>46279.5987644229</v>
      </c>
    </row>
    <row r="2870" customFormat="false" ht="15" hidden="false" customHeight="true" outlineLevel="0" collapsed="false">
      <c r="A2870" s="42"/>
      <c r="B2870" s="42"/>
      <c r="C2870" s="42"/>
      <c r="D2870" s="42"/>
      <c r="E2870" s="42"/>
      <c r="F2870" s="51" t="n">
        <f aca="false">IF(OR(C2870="",D2870="",E2870="",E2870=0),0,C2870*D2870/E2870)</f>
        <v>0</v>
      </c>
      <c r="G2870" s="42"/>
      <c r="H2870" s="49" t="n">
        <f aca="true">IF(OR($A2870="",_xlfn.MINIFS($B$3:$B$5000,$A$3:$A$5000,$A2870,$B$3:$B$5000,"&gt;"&amp;$B2870)=0),NOW(),_xlfn.MINIFS($B$3:$B$5000,$A$3:$A$5000,$A2870,$B$3:$B$5000,"&gt;"&amp;$B2870))</f>
        <v>46279.598764423</v>
      </c>
    </row>
    <row r="2871" customFormat="false" ht="15" hidden="false" customHeight="true" outlineLevel="0" collapsed="false">
      <c r="A2871" s="42"/>
      <c r="B2871" s="42"/>
      <c r="C2871" s="42"/>
      <c r="D2871" s="42"/>
      <c r="E2871" s="42"/>
      <c r="F2871" s="51" t="n">
        <f aca="false">IF(OR(C2871="",D2871="",E2871="",E2871=0),0,C2871*D2871/E2871)</f>
        <v>0</v>
      </c>
      <c r="G2871" s="42"/>
      <c r="H2871" s="49" t="n">
        <f aca="true">IF(OR($A2871="",_xlfn.MINIFS($B$3:$B$5000,$A$3:$A$5000,$A2871,$B$3:$B$5000,"&gt;"&amp;$B2871)=0),NOW(),_xlfn.MINIFS($B$3:$B$5000,$A$3:$A$5000,$A2871,$B$3:$B$5000,"&gt;"&amp;$B2871))</f>
        <v>46279.598764423</v>
      </c>
    </row>
    <row r="2872" customFormat="false" ht="15" hidden="false" customHeight="true" outlineLevel="0" collapsed="false">
      <c r="A2872" s="42"/>
      <c r="B2872" s="42"/>
      <c r="C2872" s="42"/>
      <c r="D2872" s="42"/>
      <c r="E2872" s="42"/>
      <c r="F2872" s="51" t="n">
        <f aca="false">IF(OR(C2872="",D2872="",E2872="",E2872=0),0,C2872*D2872/E2872)</f>
        <v>0</v>
      </c>
      <c r="G2872" s="42"/>
      <c r="H2872" s="49" t="n">
        <f aca="true">IF(OR($A2872="",_xlfn.MINIFS($B$3:$B$5000,$A$3:$A$5000,$A2872,$B$3:$B$5000,"&gt;"&amp;$B2872)=0),NOW(),_xlfn.MINIFS($B$3:$B$5000,$A$3:$A$5000,$A2872,$B$3:$B$5000,"&gt;"&amp;$B2872))</f>
        <v>46279.5987644231</v>
      </c>
    </row>
    <row r="2873" customFormat="false" ht="15" hidden="false" customHeight="true" outlineLevel="0" collapsed="false">
      <c r="A2873" s="42"/>
      <c r="B2873" s="42"/>
      <c r="C2873" s="42"/>
      <c r="D2873" s="42"/>
      <c r="E2873" s="42"/>
      <c r="F2873" s="51" t="n">
        <f aca="false">IF(OR(C2873="",D2873="",E2873="",E2873=0),0,C2873*D2873/E2873)</f>
        <v>0</v>
      </c>
      <c r="G2873" s="42"/>
      <c r="H2873" s="49" t="n">
        <f aca="true">IF(OR($A2873="",_xlfn.MINIFS($B$3:$B$5000,$A$3:$A$5000,$A2873,$B$3:$B$5000,"&gt;"&amp;$B2873)=0),NOW(),_xlfn.MINIFS($B$3:$B$5000,$A$3:$A$5000,$A2873,$B$3:$B$5000,"&gt;"&amp;$B2873))</f>
        <v>46279.5987644231</v>
      </c>
    </row>
    <row r="2874" customFormat="false" ht="15" hidden="false" customHeight="true" outlineLevel="0" collapsed="false">
      <c r="A2874" s="42"/>
      <c r="B2874" s="42"/>
      <c r="C2874" s="42"/>
      <c r="D2874" s="42"/>
      <c r="E2874" s="42"/>
      <c r="F2874" s="51" t="n">
        <f aca="false">IF(OR(C2874="",D2874="",E2874="",E2874=0),0,C2874*D2874/E2874)</f>
        <v>0</v>
      </c>
      <c r="G2874" s="42"/>
      <c r="H2874" s="49" t="n">
        <f aca="true">IF(OR($A2874="",_xlfn.MINIFS($B$3:$B$5000,$A$3:$A$5000,$A2874,$B$3:$B$5000,"&gt;"&amp;$B2874)=0),NOW(),_xlfn.MINIFS($B$3:$B$5000,$A$3:$A$5000,$A2874,$B$3:$B$5000,"&gt;"&amp;$B2874))</f>
        <v>46279.5987644232</v>
      </c>
    </row>
    <row r="2875" customFormat="false" ht="15" hidden="false" customHeight="true" outlineLevel="0" collapsed="false">
      <c r="A2875" s="42"/>
      <c r="B2875" s="42"/>
      <c r="C2875" s="42"/>
      <c r="D2875" s="42"/>
      <c r="E2875" s="42"/>
      <c r="F2875" s="51" t="n">
        <f aca="false">IF(OR(C2875="",D2875="",E2875="",E2875=0),0,C2875*D2875/E2875)</f>
        <v>0</v>
      </c>
      <c r="G2875" s="42"/>
      <c r="H2875" s="49" t="n">
        <f aca="true">IF(OR($A2875="",_xlfn.MINIFS($B$3:$B$5000,$A$3:$A$5000,$A2875,$B$3:$B$5000,"&gt;"&amp;$B2875)=0),NOW(),_xlfn.MINIFS($B$3:$B$5000,$A$3:$A$5000,$A2875,$B$3:$B$5000,"&gt;"&amp;$B2875))</f>
        <v>46279.5987644232</v>
      </c>
    </row>
    <row r="2876" customFormat="false" ht="15" hidden="false" customHeight="true" outlineLevel="0" collapsed="false">
      <c r="A2876" s="42"/>
      <c r="B2876" s="42"/>
      <c r="C2876" s="42"/>
      <c r="D2876" s="42"/>
      <c r="E2876" s="42"/>
      <c r="F2876" s="51" t="n">
        <f aca="false">IF(OR(C2876="",D2876="",E2876="",E2876=0),0,C2876*D2876/E2876)</f>
        <v>0</v>
      </c>
      <c r="G2876" s="42"/>
      <c r="H2876" s="49" t="n">
        <f aca="true">IF(OR($A2876="",_xlfn.MINIFS($B$3:$B$5000,$A$3:$A$5000,$A2876,$B$3:$B$5000,"&gt;"&amp;$B2876)=0),NOW(),_xlfn.MINIFS($B$3:$B$5000,$A$3:$A$5000,$A2876,$B$3:$B$5000,"&gt;"&amp;$B2876))</f>
        <v>46279.5987644233</v>
      </c>
    </row>
    <row r="2877" customFormat="false" ht="15" hidden="false" customHeight="true" outlineLevel="0" collapsed="false">
      <c r="A2877" s="42"/>
      <c r="B2877" s="42"/>
      <c r="C2877" s="42"/>
      <c r="D2877" s="42"/>
      <c r="E2877" s="42"/>
      <c r="F2877" s="51" t="n">
        <f aca="false">IF(OR(C2877="",D2877="",E2877="",E2877=0),0,C2877*D2877/E2877)</f>
        <v>0</v>
      </c>
      <c r="G2877" s="42"/>
      <c r="H2877" s="49" t="n">
        <f aca="true">IF(OR($A2877="",_xlfn.MINIFS($B$3:$B$5000,$A$3:$A$5000,$A2877,$B$3:$B$5000,"&gt;"&amp;$B2877)=0),NOW(),_xlfn.MINIFS($B$3:$B$5000,$A$3:$A$5000,$A2877,$B$3:$B$5000,"&gt;"&amp;$B2877))</f>
        <v>46279.5987644233</v>
      </c>
    </row>
    <row r="2878" customFormat="false" ht="15" hidden="false" customHeight="true" outlineLevel="0" collapsed="false">
      <c r="A2878" s="42"/>
      <c r="B2878" s="42"/>
      <c r="C2878" s="42"/>
      <c r="D2878" s="42"/>
      <c r="E2878" s="42"/>
      <c r="F2878" s="51" t="n">
        <f aca="false">IF(OR(C2878="",D2878="",E2878="",E2878=0),0,C2878*D2878/E2878)</f>
        <v>0</v>
      </c>
      <c r="G2878" s="42"/>
      <c r="H2878" s="49" t="n">
        <f aca="true">IF(OR($A2878="",_xlfn.MINIFS($B$3:$B$5000,$A$3:$A$5000,$A2878,$B$3:$B$5000,"&gt;"&amp;$B2878)=0),NOW(),_xlfn.MINIFS($B$3:$B$5000,$A$3:$A$5000,$A2878,$B$3:$B$5000,"&gt;"&amp;$B2878))</f>
        <v>46279.5987644234</v>
      </c>
    </row>
    <row r="2879" customFormat="false" ht="15" hidden="false" customHeight="true" outlineLevel="0" collapsed="false">
      <c r="A2879" s="42"/>
      <c r="B2879" s="42"/>
      <c r="C2879" s="42"/>
      <c r="D2879" s="42"/>
      <c r="E2879" s="42"/>
      <c r="F2879" s="51" t="n">
        <f aca="false">IF(OR(C2879="",D2879="",E2879="",E2879=0),0,C2879*D2879/E2879)</f>
        <v>0</v>
      </c>
      <c r="G2879" s="42"/>
      <c r="H2879" s="49" t="n">
        <f aca="true">IF(OR($A2879="",_xlfn.MINIFS($B$3:$B$5000,$A$3:$A$5000,$A2879,$B$3:$B$5000,"&gt;"&amp;$B2879)=0),NOW(),_xlfn.MINIFS($B$3:$B$5000,$A$3:$A$5000,$A2879,$B$3:$B$5000,"&gt;"&amp;$B2879))</f>
        <v>46279.5987644234</v>
      </c>
    </row>
    <row r="2880" customFormat="false" ht="15" hidden="false" customHeight="true" outlineLevel="0" collapsed="false">
      <c r="A2880" s="42"/>
      <c r="B2880" s="42"/>
      <c r="C2880" s="42"/>
      <c r="D2880" s="42"/>
      <c r="E2880" s="42"/>
      <c r="F2880" s="51" t="n">
        <f aca="false">IF(OR(C2880="",D2880="",E2880="",E2880=0),0,C2880*D2880/E2880)</f>
        <v>0</v>
      </c>
      <c r="G2880" s="42"/>
      <c r="H2880" s="49" t="n">
        <f aca="true">IF(OR($A2880="",_xlfn.MINIFS($B$3:$B$5000,$A$3:$A$5000,$A2880,$B$3:$B$5000,"&gt;"&amp;$B2880)=0),NOW(),_xlfn.MINIFS($B$3:$B$5000,$A$3:$A$5000,$A2880,$B$3:$B$5000,"&gt;"&amp;$B2880))</f>
        <v>46279.5987644235</v>
      </c>
    </row>
    <row r="2881" customFormat="false" ht="15" hidden="false" customHeight="true" outlineLevel="0" collapsed="false">
      <c r="A2881" s="42"/>
      <c r="B2881" s="42"/>
      <c r="C2881" s="42"/>
      <c r="D2881" s="42"/>
      <c r="E2881" s="42"/>
      <c r="F2881" s="51" t="n">
        <f aca="false">IF(OR(C2881="",D2881="",E2881="",E2881=0),0,C2881*D2881/E2881)</f>
        <v>0</v>
      </c>
      <c r="G2881" s="42"/>
      <c r="H2881" s="49" t="n">
        <f aca="true">IF(OR($A2881="",_xlfn.MINIFS($B$3:$B$5000,$A$3:$A$5000,$A2881,$B$3:$B$5000,"&gt;"&amp;$B2881)=0),NOW(),_xlfn.MINIFS($B$3:$B$5000,$A$3:$A$5000,$A2881,$B$3:$B$5000,"&gt;"&amp;$B2881))</f>
        <v>46279.5987644235</v>
      </c>
    </row>
    <row r="2882" customFormat="false" ht="15" hidden="false" customHeight="true" outlineLevel="0" collapsed="false">
      <c r="A2882" s="42"/>
      <c r="B2882" s="42"/>
      <c r="C2882" s="42"/>
      <c r="D2882" s="42"/>
      <c r="E2882" s="42"/>
      <c r="F2882" s="51" t="n">
        <f aca="false">IF(OR(C2882="",D2882="",E2882="",E2882=0),0,C2882*D2882/E2882)</f>
        <v>0</v>
      </c>
      <c r="G2882" s="42"/>
      <c r="H2882" s="49" t="n">
        <f aca="true">IF(OR($A2882="",_xlfn.MINIFS($B$3:$B$5000,$A$3:$A$5000,$A2882,$B$3:$B$5000,"&gt;"&amp;$B2882)=0),NOW(),_xlfn.MINIFS($B$3:$B$5000,$A$3:$A$5000,$A2882,$B$3:$B$5000,"&gt;"&amp;$B2882))</f>
        <v>46279.5987644236</v>
      </c>
    </row>
    <row r="2883" customFormat="false" ht="15" hidden="false" customHeight="true" outlineLevel="0" collapsed="false">
      <c r="A2883" s="42"/>
      <c r="B2883" s="42"/>
      <c r="C2883" s="42"/>
      <c r="D2883" s="42"/>
      <c r="E2883" s="42"/>
      <c r="F2883" s="51" t="n">
        <f aca="false">IF(OR(C2883="",D2883="",E2883="",E2883=0),0,C2883*D2883/E2883)</f>
        <v>0</v>
      </c>
      <c r="G2883" s="42"/>
      <c r="H2883" s="49" t="n">
        <f aca="true">IF(OR($A2883="",_xlfn.MINIFS($B$3:$B$5000,$A$3:$A$5000,$A2883,$B$3:$B$5000,"&gt;"&amp;$B2883)=0),NOW(),_xlfn.MINIFS($B$3:$B$5000,$A$3:$A$5000,$A2883,$B$3:$B$5000,"&gt;"&amp;$B2883))</f>
        <v>46279.5987644236</v>
      </c>
    </row>
    <row r="2884" customFormat="false" ht="15" hidden="false" customHeight="true" outlineLevel="0" collapsed="false">
      <c r="A2884" s="42"/>
      <c r="B2884" s="42"/>
      <c r="C2884" s="42"/>
      <c r="D2884" s="42"/>
      <c r="E2884" s="42"/>
      <c r="F2884" s="51" t="n">
        <f aca="false">IF(OR(C2884="",D2884="",E2884="",E2884=0),0,C2884*D2884/E2884)</f>
        <v>0</v>
      </c>
      <c r="G2884" s="42"/>
      <c r="H2884" s="49" t="n">
        <f aca="true">IF(OR($A2884="",_xlfn.MINIFS($B$3:$B$5000,$A$3:$A$5000,$A2884,$B$3:$B$5000,"&gt;"&amp;$B2884)=0),NOW(),_xlfn.MINIFS($B$3:$B$5000,$A$3:$A$5000,$A2884,$B$3:$B$5000,"&gt;"&amp;$B2884))</f>
        <v>46279.5987644237</v>
      </c>
    </row>
    <row r="2885" customFormat="false" ht="15" hidden="false" customHeight="true" outlineLevel="0" collapsed="false">
      <c r="A2885" s="42"/>
      <c r="B2885" s="42"/>
      <c r="C2885" s="42"/>
      <c r="D2885" s="42"/>
      <c r="E2885" s="42"/>
      <c r="F2885" s="51" t="n">
        <f aca="false">IF(OR(C2885="",D2885="",E2885="",E2885=0),0,C2885*D2885/E2885)</f>
        <v>0</v>
      </c>
      <c r="G2885" s="42"/>
      <c r="H2885" s="49" t="n">
        <f aca="true">IF(OR($A2885="",_xlfn.MINIFS($B$3:$B$5000,$A$3:$A$5000,$A2885,$B$3:$B$5000,"&gt;"&amp;$B2885)=0),NOW(),_xlfn.MINIFS($B$3:$B$5000,$A$3:$A$5000,$A2885,$B$3:$B$5000,"&gt;"&amp;$B2885))</f>
        <v>46279.5987644237</v>
      </c>
    </row>
    <row r="2886" customFormat="false" ht="15" hidden="false" customHeight="true" outlineLevel="0" collapsed="false">
      <c r="A2886" s="42"/>
      <c r="B2886" s="42"/>
      <c r="C2886" s="42"/>
      <c r="D2886" s="42"/>
      <c r="E2886" s="42"/>
      <c r="F2886" s="51" t="n">
        <f aca="false">IF(OR(C2886="",D2886="",E2886="",E2886=0),0,C2886*D2886/E2886)</f>
        <v>0</v>
      </c>
      <c r="G2886" s="42"/>
      <c r="H2886" s="49" t="n">
        <f aca="true">IF(OR($A2886="",_xlfn.MINIFS($B$3:$B$5000,$A$3:$A$5000,$A2886,$B$3:$B$5000,"&gt;"&amp;$B2886)=0),NOW(),_xlfn.MINIFS($B$3:$B$5000,$A$3:$A$5000,$A2886,$B$3:$B$5000,"&gt;"&amp;$B2886))</f>
        <v>46279.5987644238</v>
      </c>
    </row>
    <row r="2887" customFormat="false" ht="15" hidden="false" customHeight="true" outlineLevel="0" collapsed="false">
      <c r="A2887" s="42"/>
      <c r="B2887" s="42"/>
      <c r="C2887" s="42"/>
      <c r="D2887" s="42"/>
      <c r="E2887" s="42"/>
      <c r="F2887" s="51" t="n">
        <f aca="false">IF(OR(C2887="",D2887="",E2887="",E2887=0),0,C2887*D2887/E2887)</f>
        <v>0</v>
      </c>
      <c r="G2887" s="42"/>
      <c r="H2887" s="49" t="n">
        <f aca="true">IF(OR($A2887="",_xlfn.MINIFS($B$3:$B$5000,$A$3:$A$5000,$A2887,$B$3:$B$5000,"&gt;"&amp;$B2887)=0),NOW(),_xlfn.MINIFS($B$3:$B$5000,$A$3:$A$5000,$A2887,$B$3:$B$5000,"&gt;"&amp;$B2887))</f>
        <v>46279.5987644238</v>
      </c>
    </row>
    <row r="2888" customFormat="false" ht="15" hidden="false" customHeight="true" outlineLevel="0" collapsed="false">
      <c r="A2888" s="42"/>
      <c r="B2888" s="42"/>
      <c r="C2888" s="42"/>
      <c r="D2888" s="42"/>
      <c r="E2888" s="42"/>
      <c r="F2888" s="51" t="n">
        <f aca="false">IF(OR(C2888="",D2888="",E2888="",E2888=0),0,C2888*D2888/E2888)</f>
        <v>0</v>
      </c>
      <c r="G2888" s="42"/>
      <c r="H2888" s="49" t="n">
        <f aca="true">IF(OR($A2888="",_xlfn.MINIFS($B$3:$B$5000,$A$3:$A$5000,$A2888,$B$3:$B$5000,"&gt;"&amp;$B2888)=0),NOW(),_xlfn.MINIFS($B$3:$B$5000,$A$3:$A$5000,$A2888,$B$3:$B$5000,"&gt;"&amp;$B2888))</f>
        <v>46279.5987644239</v>
      </c>
    </row>
    <row r="2889" customFormat="false" ht="15" hidden="false" customHeight="true" outlineLevel="0" collapsed="false">
      <c r="A2889" s="42"/>
      <c r="B2889" s="42"/>
      <c r="C2889" s="42"/>
      <c r="D2889" s="42"/>
      <c r="E2889" s="42"/>
      <c r="F2889" s="51" t="n">
        <f aca="false">IF(OR(C2889="",D2889="",E2889="",E2889=0),0,C2889*D2889/E2889)</f>
        <v>0</v>
      </c>
      <c r="G2889" s="42"/>
      <c r="H2889" s="49" t="n">
        <f aca="true">IF(OR($A2889="",_xlfn.MINIFS($B$3:$B$5000,$A$3:$A$5000,$A2889,$B$3:$B$5000,"&gt;"&amp;$B2889)=0),NOW(),_xlfn.MINIFS($B$3:$B$5000,$A$3:$A$5000,$A2889,$B$3:$B$5000,"&gt;"&amp;$B2889))</f>
        <v>46279.5987644239</v>
      </c>
    </row>
    <row r="2890" customFormat="false" ht="15" hidden="false" customHeight="true" outlineLevel="0" collapsed="false">
      <c r="A2890" s="42"/>
      <c r="B2890" s="42"/>
      <c r="C2890" s="42"/>
      <c r="D2890" s="42"/>
      <c r="E2890" s="42"/>
      <c r="F2890" s="51" t="n">
        <f aca="false">IF(OR(C2890="",D2890="",E2890="",E2890=0),0,C2890*D2890/E2890)</f>
        <v>0</v>
      </c>
      <c r="G2890" s="42"/>
      <c r="H2890" s="49" t="n">
        <f aca="true">IF(OR($A2890="",_xlfn.MINIFS($B$3:$B$5000,$A$3:$A$5000,$A2890,$B$3:$B$5000,"&gt;"&amp;$B2890)=0),NOW(),_xlfn.MINIFS($B$3:$B$5000,$A$3:$A$5000,$A2890,$B$3:$B$5000,"&gt;"&amp;$B2890))</f>
        <v>46279.598764424</v>
      </c>
    </row>
    <row r="2891" customFormat="false" ht="15" hidden="false" customHeight="true" outlineLevel="0" collapsed="false">
      <c r="A2891" s="42"/>
      <c r="B2891" s="42"/>
      <c r="C2891" s="42"/>
      <c r="D2891" s="42"/>
      <c r="E2891" s="42"/>
      <c r="F2891" s="51" t="n">
        <f aca="false">IF(OR(C2891="",D2891="",E2891="",E2891=0),0,C2891*D2891/E2891)</f>
        <v>0</v>
      </c>
      <c r="G2891" s="42"/>
      <c r="H2891" s="49" t="n">
        <f aca="true">IF(OR($A2891="",_xlfn.MINIFS($B$3:$B$5000,$A$3:$A$5000,$A2891,$B$3:$B$5000,"&gt;"&amp;$B2891)=0),NOW(),_xlfn.MINIFS($B$3:$B$5000,$A$3:$A$5000,$A2891,$B$3:$B$5000,"&gt;"&amp;$B2891))</f>
        <v>46279.598764424</v>
      </c>
    </row>
    <row r="2892" customFormat="false" ht="15" hidden="false" customHeight="true" outlineLevel="0" collapsed="false">
      <c r="A2892" s="42"/>
      <c r="B2892" s="42"/>
      <c r="C2892" s="42"/>
      <c r="D2892" s="42"/>
      <c r="E2892" s="42"/>
      <c r="F2892" s="51" t="n">
        <f aca="false">IF(OR(C2892="",D2892="",E2892="",E2892=0),0,C2892*D2892/E2892)</f>
        <v>0</v>
      </c>
      <c r="G2892" s="42"/>
      <c r="H2892" s="49" t="n">
        <f aca="true">IF(OR($A2892="",_xlfn.MINIFS($B$3:$B$5000,$A$3:$A$5000,$A2892,$B$3:$B$5000,"&gt;"&amp;$B2892)=0),NOW(),_xlfn.MINIFS($B$3:$B$5000,$A$3:$A$5000,$A2892,$B$3:$B$5000,"&gt;"&amp;$B2892))</f>
        <v>46279.5987644241</v>
      </c>
    </row>
    <row r="2893" customFormat="false" ht="15" hidden="false" customHeight="true" outlineLevel="0" collapsed="false">
      <c r="A2893" s="42"/>
      <c r="B2893" s="42"/>
      <c r="C2893" s="42"/>
      <c r="D2893" s="42"/>
      <c r="E2893" s="42"/>
      <c r="F2893" s="51" t="n">
        <f aca="false">IF(OR(C2893="",D2893="",E2893="",E2893=0),0,C2893*D2893/E2893)</f>
        <v>0</v>
      </c>
      <c r="G2893" s="42"/>
      <c r="H2893" s="49" t="n">
        <f aca="true">IF(OR($A2893="",_xlfn.MINIFS($B$3:$B$5000,$A$3:$A$5000,$A2893,$B$3:$B$5000,"&gt;"&amp;$B2893)=0),NOW(),_xlfn.MINIFS($B$3:$B$5000,$A$3:$A$5000,$A2893,$B$3:$B$5000,"&gt;"&amp;$B2893))</f>
        <v>46279.5987644241</v>
      </c>
    </row>
    <row r="2894" customFormat="false" ht="15" hidden="false" customHeight="true" outlineLevel="0" collapsed="false">
      <c r="A2894" s="42"/>
      <c r="B2894" s="42"/>
      <c r="C2894" s="42"/>
      <c r="D2894" s="42"/>
      <c r="E2894" s="42"/>
      <c r="F2894" s="51" t="n">
        <f aca="false">IF(OR(C2894="",D2894="",E2894="",E2894=0),0,C2894*D2894/E2894)</f>
        <v>0</v>
      </c>
      <c r="G2894" s="42"/>
      <c r="H2894" s="49" t="n">
        <f aca="true">IF(OR($A2894="",_xlfn.MINIFS($B$3:$B$5000,$A$3:$A$5000,$A2894,$B$3:$B$5000,"&gt;"&amp;$B2894)=0),NOW(),_xlfn.MINIFS($B$3:$B$5000,$A$3:$A$5000,$A2894,$B$3:$B$5000,"&gt;"&amp;$B2894))</f>
        <v>46279.5987644242</v>
      </c>
    </row>
    <row r="2895" customFormat="false" ht="15" hidden="false" customHeight="true" outlineLevel="0" collapsed="false">
      <c r="A2895" s="42"/>
      <c r="B2895" s="42"/>
      <c r="C2895" s="42"/>
      <c r="D2895" s="42"/>
      <c r="E2895" s="42"/>
      <c r="F2895" s="51" t="n">
        <f aca="false">IF(OR(C2895="",D2895="",E2895="",E2895=0),0,C2895*D2895/E2895)</f>
        <v>0</v>
      </c>
      <c r="G2895" s="42"/>
      <c r="H2895" s="49" t="n">
        <f aca="true">IF(OR($A2895="",_xlfn.MINIFS($B$3:$B$5000,$A$3:$A$5000,$A2895,$B$3:$B$5000,"&gt;"&amp;$B2895)=0),NOW(),_xlfn.MINIFS($B$3:$B$5000,$A$3:$A$5000,$A2895,$B$3:$B$5000,"&gt;"&amp;$B2895))</f>
        <v>46279.5987644242</v>
      </c>
    </row>
    <row r="2896" customFormat="false" ht="15" hidden="false" customHeight="true" outlineLevel="0" collapsed="false">
      <c r="A2896" s="42"/>
      <c r="B2896" s="42"/>
      <c r="C2896" s="42"/>
      <c r="D2896" s="42"/>
      <c r="E2896" s="42"/>
      <c r="F2896" s="51" t="n">
        <f aca="false">IF(OR(C2896="",D2896="",E2896="",E2896=0),0,C2896*D2896/E2896)</f>
        <v>0</v>
      </c>
      <c r="G2896" s="42"/>
      <c r="H2896" s="49" t="n">
        <f aca="true">IF(OR($A2896="",_xlfn.MINIFS($B$3:$B$5000,$A$3:$A$5000,$A2896,$B$3:$B$5000,"&gt;"&amp;$B2896)=0),NOW(),_xlfn.MINIFS($B$3:$B$5000,$A$3:$A$5000,$A2896,$B$3:$B$5000,"&gt;"&amp;$B2896))</f>
        <v>46279.5987644243</v>
      </c>
    </row>
    <row r="2897" customFormat="false" ht="15" hidden="false" customHeight="true" outlineLevel="0" collapsed="false">
      <c r="A2897" s="42"/>
      <c r="B2897" s="42"/>
      <c r="C2897" s="42"/>
      <c r="D2897" s="42"/>
      <c r="E2897" s="42"/>
      <c r="F2897" s="51" t="n">
        <f aca="false">IF(OR(C2897="",D2897="",E2897="",E2897=0),0,C2897*D2897/E2897)</f>
        <v>0</v>
      </c>
      <c r="G2897" s="42"/>
      <c r="H2897" s="49" t="n">
        <f aca="true">IF(OR($A2897="",_xlfn.MINIFS($B$3:$B$5000,$A$3:$A$5000,$A2897,$B$3:$B$5000,"&gt;"&amp;$B2897)=0),NOW(),_xlfn.MINIFS($B$3:$B$5000,$A$3:$A$5000,$A2897,$B$3:$B$5000,"&gt;"&amp;$B2897))</f>
        <v>46279.5987644243</v>
      </c>
    </row>
    <row r="2898" customFormat="false" ht="15" hidden="false" customHeight="true" outlineLevel="0" collapsed="false">
      <c r="A2898" s="42"/>
      <c r="B2898" s="42"/>
      <c r="C2898" s="42"/>
      <c r="D2898" s="42"/>
      <c r="E2898" s="42"/>
      <c r="F2898" s="51" t="n">
        <f aca="false">IF(OR(C2898="",D2898="",E2898="",E2898=0),0,C2898*D2898/E2898)</f>
        <v>0</v>
      </c>
      <c r="G2898" s="42"/>
      <c r="H2898" s="49" t="n">
        <f aca="true">IF(OR($A2898="",_xlfn.MINIFS($B$3:$B$5000,$A$3:$A$5000,$A2898,$B$3:$B$5000,"&gt;"&amp;$B2898)=0),NOW(),_xlfn.MINIFS($B$3:$B$5000,$A$3:$A$5000,$A2898,$B$3:$B$5000,"&gt;"&amp;$B2898))</f>
        <v>46279.5987644244</v>
      </c>
    </row>
    <row r="2899" customFormat="false" ht="15" hidden="false" customHeight="true" outlineLevel="0" collapsed="false">
      <c r="A2899" s="42"/>
      <c r="B2899" s="42"/>
      <c r="C2899" s="42"/>
      <c r="D2899" s="42"/>
      <c r="E2899" s="42"/>
      <c r="F2899" s="51" t="n">
        <f aca="false">IF(OR(C2899="",D2899="",E2899="",E2899=0),0,C2899*D2899/E2899)</f>
        <v>0</v>
      </c>
      <c r="G2899" s="42"/>
      <c r="H2899" s="49" t="n">
        <f aca="true">IF(OR($A2899="",_xlfn.MINIFS($B$3:$B$5000,$A$3:$A$5000,$A2899,$B$3:$B$5000,"&gt;"&amp;$B2899)=0),NOW(),_xlfn.MINIFS($B$3:$B$5000,$A$3:$A$5000,$A2899,$B$3:$B$5000,"&gt;"&amp;$B2899))</f>
        <v>46279.5987644244</v>
      </c>
    </row>
    <row r="2900" customFormat="false" ht="15" hidden="false" customHeight="true" outlineLevel="0" collapsed="false">
      <c r="A2900" s="42"/>
      <c r="B2900" s="42"/>
      <c r="C2900" s="42"/>
      <c r="D2900" s="42"/>
      <c r="E2900" s="42"/>
      <c r="F2900" s="51" t="n">
        <f aca="false">IF(OR(C2900="",D2900="",E2900="",E2900=0),0,C2900*D2900/E2900)</f>
        <v>0</v>
      </c>
      <c r="G2900" s="42"/>
      <c r="H2900" s="49" t="n">
        <f aca="true">IF(OR($A2900="",_xlfn.MINIFS($B$3:$B$5000,$A$3:$A$5000,$A2900,$B$3:$B$5000,"&gt;"&amp;$B2900)=0),NOW(),_xlfn.MINIFS($B$3:$B$5000,$A$3:$A$5000,$A2900,$B$3:$B$5000,"&gt;"&amp;$B2900))</f>
        <v>46279.5987644245</v>
      </c>
    </row>
    <row r="2901" customFormat="false" ht="15" hidden="false" customHeight="true" outlineLevel="0" collapsed="false">
      <c r="A2901" s="42"/>
      <c r="B2901" s="42"/>
      <c r="C2901" s="42"/>
      <c r="D2901" s="42"/>
      <c r="E2901" s="42"/>
      <c r="F2901" s="51" t="n">
        <f aca="false">IF(OR(C2901="",D2901="",E2901="",E2901=0),0,C2901*D2901/E2901)</f>
        <v>0</v>
      </c>
      <c r="G2901" s="42"/>
      <c r="H2901" s="49" t="n">
        <f aca="true">IF(OR($A2901="",_xlfn.MINIFS($B$3:$B$5000,$A$3:$A$5000,$A2901,$B$3:$B$5000,"&gt;"&amp;$B2901)=0),NOW(),_xlfn.MINIFS($B$3:$B$5000,$A$3:$A$5000,$A2901,$B$3:$B$5000,"&gt;"&amp;$B2901))</f>
        <v>46279.5987644245</v>
      </c>
    </row>
    <row r="2902" customFormat="false" ht="15" hidden="false" customHeight="true" outlineLevel="0" collapsed="false">
      <c r="A2902" s="42"/>
      <c r="B2902" s="42"/>
      <c r="C2902" s="42"/>
      <c r="D2902" s="42"/>
      <c r="E2902" s="42"/>
      <c r="F2902" s="51" t="n">
        <f aca="false">IF(OR(C2902="",D2902="",E2902="",E2902=0),0,C2902*D2902/E2902)</f>
        <v>0</v>
      </c>
      <c r="G2902" s="42"/>
      <c r="H2902" s="49" t="n">
        <f aca="true">IF(OR($A2902="",_xlfn.MINIFS($B$3:$B$5000,$A$3:$A$5000,$A2902,$B$3:$B$5000,"&gt;"&amp;$B2902)=0),NOW(),_xlfn.MINIFS($B$3:$B$5000,$A$3:$A$5000,$A2902,$B$3:$B$5000,"&gt;"&amp;$B2902))</f>
        <v>46279.5987644246</v>
      </c>
    </row>
    <row r="2903" customFormat="false" ht="15" hidden="false" customHeight="true" outlineLevel="0" collapsed="false">
      <c r="A2903" s="42"/>
      <c r="B2903" s="42"/>
      <c r="C2903" s="42"/>
      <c r="D2903" s="42"/>
      <c r="E2903" s="42"/>
      <c r="F2903" s="51" t="n">
        <f aca="false">IF(OR(C2903="",D2903="",E2903="",E2903=0),0,C2903*D2903/E2903)</f>
        <v>0</v>
      </c>
      <c r="G2903" s="42"/>
      <c r="H2903" s="49" t="n">
        <f aca="true">IF(OR($A2903="",_xlfn.MINIFS($B$3:$B$5000,$A$3:$A$5000,$A2903,$B$3:$B$5000,"&gt;"&amp;$B2903)=0),NOW(),_xlfn.MINIFS($B$3:$B$5000,$A$3:$A$5000,$A2903,$B$3:$B$5000,"&gt;"&amp;$B2903))</f>
        <v>46279.5987644246</v>
      </c>
    </row>
    <row r="2904" customFormat="false" ht="15" hidden="false" customHeight="true" outlineLevel="0" collapsed="false">
      <c r="A2904" s="42"/>
      <c r="B2904" s="42"/>
      <c r="C2904" s="42"/>
      <c r="D2904" s="42"/>
      <c r="E2904" s="42"/>
      <c r="F2904" s="51" t="n">
        <f aca="false">IF(OR(C2904="",D2904="",E2904="",E2904=0),0,C2904*D2904/E2904)</f>
        <v>0</v>
      </c>
      <c r="G2904" s="42"/>
      <c r="H2904" s="49" t="n">
        <f aca="true">IF(OR($A2904="",_xlfn.MINIFS($B$3:$B$5000,$A$3:$A$5000,$A2904,$B$3:$B$5000,"&gt;"&amp;$B2904)=0),NOW(),_xlfn.MINIFS($B$3:$B$5000,$A$3:$A$5000,$A2904,$B$3:$B$5000,"&gt;"&amp;$B2904))</f>
        <v>46279.5987644247</v>
      </c>
    </row>
    <row r="2905" customFormat="false" ht="15" hidden="false" customHeight="true" outlineLevel="0" collapsed="false">
      <c r="A2905" s="42"/>
      <c r="B2905" s="42"/>
      <c r="C2905" s="42"/>
      <c r="D2905" s="42"/>
      <c r="E2905" s="42"/>
      <c r="F2905" s="51" t="n">
        <f aca="false">IF(OR(C2905="",D2905="",E2905="",E2905=0),0,C2905*D2905/E2905)</f>
        <v>0</v>
      </c>
      <c r="G2905" s="42"/>
      <c r="H2905" s="49" t="n">
        <f aca="true">IF(OR($A2905="",_xlfn.MINIFS($B$3:$B$5000,$A$3:$A$5000,$A2905,$B$3:$B$5000,"&gt;"&amp;$B2905)=0),NOW(),_xlfn.MINIFS($B$3:$B$5000,$A$3:$A$5000,$A2905,$B$3:$B$5000,"&gt;"&amp;$B2905))</f>
        <v>46279.5987644247</v>
      </c>
    </row>
    <row r="2906" customFormat="false" ht="15" hidden="false" customHeight="true" outlineLevel="0" collapsed="false">
      <c r="A2906" s="42"/>
      <c r="B2906" s="42"/>
      <c r="C2906" s="42"/>
      <c r="D2906" s="42"/>
      <c r="E2906" s="42"/>
      <c r="F2906" s="51" t="n">
        <f aca="false">IF(OR(C2906="",D2906="",E2906="",E2906=0),0,C2906*D2906/E2906)</f>
        <v>0</v>
      </c>
      <c r="G2906" s="42"/>
      <c r="H2906" s="49" t="n">
        <f aca="true">IF(OR($A2906="",_xlfn.MINIFS($B$3:$B$5000,$A$3:$A$5000,$A2906,$B$3:$B$5000,"&gt;"&amp;$B2906)=0),NOW(),_xlfn.MINIFS($B$3:$B$5000,$A$3:$A$5000,$A2906,$B$3:$B$5000,"&gt;"&amp;$B2906))</f>
        <v>46279.5987644248</v>
      </c>
    </row>
    <row r="2907" customFormat="false" ht="15" hidden="false" customHeight="true" outlineLevel="0" collapsed="false">
      <c r="A2907" s="42"/>
      <c r="B2907" s="42"/>
      <c r="C2907" s="42"/>
      <c r="D2907" s="42"/>
      <c r="E2907" s="42"/>
      <c r="F2907" s="51" t="n">
        <f aca="false">IF(OR(C2907="",D2907="",E2907="",E2907=0),0,C2907*D2907/E2907)</f>
        <v>0</v>
      </c>
      <c r="G2907" s="42"/>
      <c r="H2907" s="49" t="n">
        <f aca="true">IF(OR($A2907="",_xlfn.MINIFS($B$3:$B$5000,$A$3:$A$5000,$A2907,$B$3:$B$5000,"&gt;"&amp;$B2907)=0),NOW(),_xlfn.MINIFS($B$3:$B$5000,$A$3:$A$5000,$A2907,$B$3:$B$5000,"&gt;"&amp;$B2907))</f>
        <v>46279.5987644248</v>
      </c>
    </row>
    <row r="2908" customFormat="false" ht="15" hidden="false" customHeight="true" outlineLevel="0" collapsed="false">
      <c r="A2908" s="42"/>
      <c r="B2908" s="42"/>
      <c r="C2908" s="42"/>
      <c r="D2908" s="42"/>
      <c r="E2908" s="42"/>
      <c r="F2908" s="51" t="n">
        <f aca="false">IF(OR(C2908="",D2908="",E2908="",E2908=0),0,C2908*D2908/E2908)</f>
        <v>0</v>
      </c>
      <c r="G2908" s="42"/>
      <c r="H2908" s="49" t="n">
        <f aca="true">IF(OR($A2908="",_xlfn.MINIFS($B$3:$B$5000,$A$3:$A$5000,$A2908,$B$3:$B$5000,"&gt;"&amp;$B2908)=0),NOW(),_xlfn.MINIFS($B$3:$B$5000,$A$3:$A$5000,$A2908,$B$3:$B$5000,"&gt;"&amp;$B2908))</f>
        <v>46279.5987644249</v>
      </c>
    </row>
    <row r="2909" customFormat="false" ht="15" hidden="false" customHeight="true" outlineLevel="0" collapsed="false">
      <c r="A2909" s="42"/>
      <c r="B2909" s="42"/>
      <c r="C2909" s="42"/>
      <c r="D2909" s="42"/>
      <c r="E2909" s="42"/>
      <c r="F2909" s="51" t="n">
        <f aca="false">IF(OR(C2909="",D2909="",E2909="",E2909=0),0,C2909*D2909/E2909)</f>
        <v>0</v>
      </c>
      <c r="G2909" s="42"/>
      <c r="H2909" s="49" t="n">
        <f aca="true">IF(OR($A2909="",_xlfn.MINIFS($B$3:$B$5000,$A$3:$A$5000,$A2909,$B$3:$B$5000,"&gt;"&amp;$B2909)=0),NOW(),_xlfn.MINIFS($B$3:$B$5000,$A$3:$A$5000,$A2909,$B$3:$B$5000,"&gt;"&amp;$B2909))</f>
        <v>46279.5987644249</v>
      </c>
    </row>
    <row r="2910" customFormat="false" ht="15" hidden="false" customHeight="true" outlineLevel="0" collapsed="false">
      <c r="A2910" s="42"/>
      <c r="B2910" s="42"/>
      <c r="C2910" s="42"/>
      <c r="D2910" s="42"/>
      <c r="E2910" s="42"/>
      <c r="F2910" s="51" t="n">
        <f aca="false">IF(OR(C2910="",D2910="",E2910="",E2910=0),0,C2910*D2910/E2910)</f>
        <v>0</v>
      </c>
      <c r="G2910" s="42"/>
      <c r="H2910" s="49" t="n">
        <f aca="true">IF(OR($A2910="",_xlfn.MINIFS($B$3:$B$5000,$A$3:$A$5000,$A2910,$B$3:$B$5000,"&gt;"&amp;$B2910)=0),NOW(),_xlfn.MINIFS($B$3:$B$5000,$A$3:$A$5000,$A2910,$B$3:$B$5000,"&gt;"&amp;$B2910))</f>
        <v>46279.598764425</v>
      </c>
    </row>
    <row r="2911" customFormat="false" ht="15" hidden="false" customHeight="true" outlineLevel="0" collapsed="false">
      <c r="A2911" s="42"/>
      <c r="B2911" s="42"/>
      <c r="C2911" s="42"/>
      <c r="D2911" s="42"/>
      <c r="E2911" s="42"/>
      <c r="F2911" s="51" t="n">
        <f aca="false">IF(OR(C2911="",D2911="",E2911="",E2911=0),0,C2911*D2911/E2911)</f>
        <v>0</v>
      </c>
      <c r="G2911" s="42"/>
      <c r="H2911" s="49" t="n">
        <f aca="true">IF(OR($A2911="",_xlfn.MINIFS($B$3:$B$5000,$A$3:$A$5000,$A2911,$B$3:$B$5000,"&gt;"&amp;$B2911)=0),NOW(),_xlfn.MINIFS($B$3:$B$5000,$A$3:$A$5000,$A2911,$B$3:$B$5000,"&gt;"&amp;$B2911))</f>
        <v>46279.598764425</v>
      </c>
    </row>
    <row r="2912" customFormat="false" ht="15" hidden="false" customHeight="true" outlineLevel="0" collapsed="false">
      <c r="A2912" s="42"/>
      <c r="B2912" s="42"/>
      <c r="C2912" s="42"/>
      <c r="D2912" s="42"/>
      <c r="E2912" s="42"/>
      <c r="F2912" s="51" t="n">
        <f aca="false">IF(OR(C2912="",D2912="",E2912="",E2912=0),0,C2912*D2912/E2912)</f>
        <v>0</v>
      </c>
      <c r="G2912" s="42"/>
      <c r="H2912" s="49" t="n">
        <f aca="true">IF(OR($A2912="",_xlfn.MINIFS($B$3:$B$5000,$A$3:$A$5000,$A2912,$B$3:$B$5000,"&gt;"&amp;$B2912)=0),NOW(),_xlfn.MINIFS($B$3:$B$5000,$A$3:$A$5000,$A2912,$B$3:$B$5000,"&gt;"&amp;$B2912))</f>
        <v>46279.5987644251</v>
      </c>
    </row>
    <row r="2913" customFormat="false" ht="15" hidden="false" customHeight="true" outlineLevel="0" collapsed="false">
      <c r="A2913" s="42"/>
      <c r="B2913" s="42"/>
      <c r="C2913" s="42"/>
      <c r="D2913" s="42"/>
      <c r="E2913" s="42"/>
      <c r="F2913" s="51" t="n">
        <f aca="false">IF(OR(C2913="",D2913="",E2913="",E2913=0),0,C2913*D2913/E2913)</f>
        <v>0</v>
      </c>
      <c r="G2913" s="42"/>
      <c r="H2913" s="49" t="n">
        <f aca="true">IF(OR($A2913="",_xlfn.MINIFS($B$3:$B$5000,$A$3:$A$5000,$A2913,$B$3:$B$5000,"&gt;"&amp;$B2913)=0),NOW(),_xlfn.MINIFS($B$3:$B$5000,$A$3:$A$5000,$A2913,$B$3:$B$5000,"&gt;"&amp;$B2913))</f>
        <v>46279.5987644251</v>
      </c>
    </row>
    <row r="2914" customFormat="false" ht="15" hidden="false" customHeight="true" outlineLevel="0" collapsed="false">
      <c r="A2914" s="42"/>
      <c r="B2914" s="42"/>
      <c r="C2914" s="42"/>
      <c r="D2914" s="42"/>
      <c r="E2914" s="42"/>
      <c r="F2914" s="51" t="n">
        <f aca="false">IF(OR(C2914="",D2914="",E2914="",E2914=0),0,C2914*D2914/E2914)</f>
        <v>0</v>
      </c>
      <c r="G2914" s="42"/>
      <c r="H2914" s="49" t="n">
        <f aca="true">IF(OR($A2914="",_xlfn.MINIFS($B$3:$B$5000,$A$3:$A$5000,$A2914,$B$3:$B$5000,"&gt;"&amp;$B2914)=0),NOW(),_xlfn.MINIFS($B$3:$B$5000,$A$3:$A$5000,$A2914,$B$3:$B$5000,"&gt;"&amp;$B2914))</f>
        <v>46279.5987644252</v>
      </c>
    </row>
    <row r="2915" customFormat="false" ht="15" hidden="false" customHeight="true" outlineLevel="0" collapsed="false">
      <c r="A2915" s="42"/>
      <c r="B2915" s="42"/>
      <c r="C2915" s="42"/>
      <c r="D2915" s="42"/>
      <c r="E2915" s="42"/>
      <c r="F2915" s="51" t="n">
        <f aca="false">IF(OR(C2915="",D2915="",E2915="",E2915=0),0,C2915*D2915/E2915)</f>
        <v>0</v>
      </c>
      <c r="G2915" s="42"/>
      <c r="H2915" s="49" t="n">
        <f aca="true">IF(OR($A2915="",_xlfn.MINIFS($B$3:$B$5000,$A$3:$A$5000,$A2915,$B$3:$B$5000,"&gt;"&amp;$B2915)=0),NOW(),_xlfn.MINIFS($B$3:$B$5000,$A$3:$A$5000,$A2915,$B$3:$B$5000,"&gt;"&amp;$B2915))</f>
        <v>46279.5987644252</v>
      </c>
    </row>
    <row r="2916" customFormat="false" ht="15" hidden="false" customHeight="true" outlineLevel="0" collapsed="false">
      <c r="A2916" s="42"/>
      <c r="B2916" s="42"/>
      <c r="C2916" s="42"/>
      <c r="D2916" s="42"/>
      <c r="E2916" s="42"/>
      <c r="F2916" s="51" t="n">
        <f aca="false">IF(OR(C2916="",D2916="",E2916="",E2916=0),0,C2916*D2916/E2916)</f>
        <v>0</v>
      </c>
      <c r="G2916" s="42"/>
      <c r="H2916" s="49" t="n">
        <f aca="true">IF(OR($A2916="",_xlfn.MINIFS($B$3:$B$5000,$A$3:$A$5000,$A2916,$B$3:$B$5000,"&gt;"&amp;$B2916)=0),NOW(),_xlfn.MINIFS($B$3:$B$5000,$A$3:$A$5000,$A2916,$B$3:$B$5000,"&gt;"&amp;$B2916))</f>
        <v>46279.5987644253</v>
      </c>
    </row>
    <row r="2917" customFormat="false" ht="15" hidden="false" customHeight="true" outlineLevel="0" collapsed="false">
      <c r="A2917" s="42"/>
      <c r="B2917" s="42"/>
      <c r="C2917" s="42"/>
      <c r="D2917" s="42"/>
      <c r="E2917" s="42"/>
      <c r="F2917" s="51" t="n">
        <f aca="false">IF(OR(C2917="",D2917="",E2917="",E2917=0),0,C2917*D2917/E2917)</f>
        <v>0</v>
      </c>
      <c r="G2917" s="42"/>
      <c r="H2917" s="49" t="n">
        <f aca="true">IF(OR($A2917="",_xlfn.MINIFS($B$3:$B$5000,$A$3:$A$5000,$A2917,$B$3:$B$5000,"&gt;"&amp;$B2917)=0),NOW(),_xlfn.MINIFS($B$3:$B$5000,$A$3:$A$5000,$A2917,$B$3:$B$5000,"&gt;"&amp;$B2917))</f>
        <v>46279.5987644253</v>
      </c>
    </row>
    <row r="2918" customFormat="false" ht="15" hidden="false" customHeight="true" outlineLevel="0" collapsed="false">
      <c r="A2918" s="42"/>
      <c r="B2918" s="42"/>
      <c r="C2918" s="42"/>
      <c r="D2918" s="42"/>
      <c r="E2918" s="42"/>
      <c r="F2918" s="51" t="n">
        <f aca="false">IF(OR(C2918="",D2918="",E2918="",E2918=0),0,C2918*D2918/E2918)</f>
        <v>0</v>
      </c>
      <c r="G2918" s="42"/>
      <c r="H2918" s="49" t="n">
        <f aca="true">IF(OR($A2918="",_xlfn.MINIFS($B$3:$B$5000,$A$3:$A$5000,$A2918,$B$3:$B$5000,"&gt;"&amp;$B2918)=0),NOW(),_xlfn.MINIFS($B$3:$B$5000,$A$3:$A$5000,$A2918,$B$3:$B$5000,"&gt;"&amp;$B2918))</f>
        <v>46279.5987644254</v>
      </c>
    </row>
    <row r="2919" customFormat="false" ht="15" hidden="false" customHeight="true" outlineLevel="0" collapsed="false">
      <c r="A2919" s="42"/>
      <c r="B2919" s="42"/>
      <c r="C2919" s="42"/>
      <c r="D2919" s="42"/>
      <c r="E2919" s="42"/>
      <c r="F2919" s="51" t="n">
        <f aca="false">IF(OR(C2919="",D2919="",E2919="",E2919=0),0,C2919*D2919/E2919)</f>
        <v>0</v>
      </c>
      <c r="G2919" s="42"/>
      <c r="H2919" s="49" t="n">
        <f aca="true">IF(OR($A2919="",_xlfn.MINIFS($B$3:$B$5000,$A$3:$A$5000,$A2919,$B$3:$B$5000,"&gt;"&amp;$B2919)=0),NOW(),_xlfn.MINIFS($B$3:$B$5000,$A$3:$A$5000,$A2919,$B$3:$B$5000,"&gt;"&amp;$B2919))</f>
        <v>46279.5987644254</v>
      </c>
    </row>
    <row r="2920" customFormat="false" ht="15" hidden="false" customHeight="true" outlineLevel="0" collapsed="false">
      <c r="A2920" s="42"/>
      <c r="B2920" s="42"/>
      <c r="C2920" s="42"/>
      <c r="D2920" s="42"/>
      <c r="E2920" s="42"/>
      <c r="F2920" s="51" t="n">
        <f aca="false">IF(OR(C2920="",D2920="",E2920="",E2920=0),0,C2920*D2920/E2920)</f>
        <v>0</v>
      </c>
      <c r="G2920" s="42"/>
      <c r="H2920" s="49" t="n">
        <f aca="true">IF(OR($A2920="",_xlfn.MINIFS($B$3:$B$5000,$A$3:$A$5000,$A2920,$B$3:$B$5000,"&gt;"&amp;$B2920)=0),NOW(),_xlfn.MINIFS($B$3:$B$5000,$A$3:$A$5000,$A2920,$B$3:$B$5000,"&gt;"&amp;$B2920))</f>
        <v>46279.5987644255</v>
      </c>
    </row>
    <row r="2921" customFormat="false" ht="15" hidden="false" customHeight="true" outlineLevel="0" collapsed="false">
      <c r="A2921" s="42"/>
      <c r="B2921" s="42"/>
      <c r="C2921" s="42"/>
      <c r="D2921" s="42"/>
      <c r="E2921" s="42"/>
      <c r="F2921" s="51" t="n">
        <f aca="false">IF(OR(C2921="",D2921="",E2921="",E2921=0),0,C2921*D2921/E2921)</f>
        <v>0</v>
      </c>
      <c r="G2921" s="42"/>
      <c r="H2921" s="49" t="n">
        <f aca="true">IF(OR($A2921="",_xlfn.MINIFS($B$3:$B$5000,$A$3:$A$5000,$A2921,$B$3:$B$5000,"&gt;"&amp;$B2921)=0),NOW(),_xlfn.MINIFS($B$3:$B$5000,$A$3:$A$5000,$A2921,$B$3:$B$5000,"&gt;"&amp;$B2921))</f>
        <v>46279.5987644255</v>
      </c>
    </row>
    <row r="2922" customFormat="false" ht="15" hidden="false" customHeight="true" outlineLevel="0" collapsed="false">
      <c r="A2922" s="42"/>
      <c r="B2922" s="42"/>
      <c r="C2922" s="42"/>
      <c r="D2922" s="42"/>
      <c r="E2922" s="42"/>
      <c r="F2922" s="51" t="n">
        <f aca="false">IF(OR(C2922="",D2922="",E2922="",E2922=0),0,C2922*D2922/E2922)</f>
        <v>0</v>
      </c>
      <c r="G2922" s="42"/>
      <c r="H2922" s="49" t="n">
        <f aca="true">IF(OR($A2922="",_xlfn.MINIFS($B$3:$B$5000,$A$3:$A$5000,$A2922,$B$3:$B$5000,"&gt;"&amp;$B2922)=0),NOW(),_xlfn.MINIFS($B$3:$B$5000,$A$3:$A$5000,$A2922,$B$3:$B$5000,"&gt;"&amp;$B2922))</f>
        <v>46279.5987644256</v>
      </c>
    </row>
    <row r="2923" customFormat="false" ht="15" hidden="false" customHeight="true" outlineLevel="0" collapsed="false">
      <c r="A2923" s="42"/>
      <c r="B2923" s="42"/>
      <c r="C2923" s="42"/>
      <c r="D2923" s="42"/>
      <c r="E2923" s="42"/>
      <c r="F2923" s="51" t="n">
        <f aca="false">IF(OR(C2923="",D2923="",E2923="",E2923=0),0,C2923*D2923/E2923)</f>
        <v>0</v>
      </c>
      <c r="G2923" s="42"/>
      <c r="H2923" s="49" t="n">
        <f aca="true">IF(OR($A2923="",_xlfn.MINIFS($B$3:$B$5000,$A$3:$A$5000,$A2923,$B$3:$B$5000,"&gt;"&amp;$B2923)=0),NOW(),_xlfn.MINIFS($B$3:$B$5000,$A$3:$A$5000,$A2923,$B$3:$B$5000,"&gt;"&amp;$B2923))</f>
        <v>46279.5987644256</v>
      </c>
    </row>
    <row r="2924" customFormat="false" ht="15" hidden="false" customHeight="true" outlineLevel="0" collapsed="false">
      <c r="A2924" s="42"/>
      <c r="B2924" s="42"/>
      <c r="C2924" s="42"/>
      <c r="D2924" s="42"/>
      <c r="E2924" s="42"/>
      <c r="F2924" s="51" t="n">
        <f aca="false">IF(OR(C2924="",D2924="",E2924="",E2924=0),0,C2924*D2924/E2924)</f>
        <v>0</v>
      </c>
      <c r="G2924" s="42"/>
      <c r="H2924" s="49" t="n">
        <f aca="true">IF(OR($A2924="",_xlfn.MINIFS($B$3:$B$5000,$A$3:$A$5000,$A2924,$B$3:$B$5000,"&gt;"&amp;$B2924)=0),NOW(),_xlfn.MINIFS($B$3:$B$5000,$A$3:$A$5000,$A2924,$B$3:$B$5000,"&gt;"&amp;$B2924))</f>
        <v>46279.5987644257</v>
      </c>
    </row>
    <row r="2925" customFormat="false" ht="15" hidden="false" customHeight="true" outlineLevel="0" collapsed="false">
      <c r="A2925" s="42"/>
      <c r="B2925" s="42"/>
      <c r="C2925" s="42"/>
      <c r="D2925" s="42"/>
      <c r="E2925" s="42"/>
      <c r="F2925" s="51" t="n">
        <f aca="false">IF(OR(C2925="",D2925="",E2925="",E2925=0),0,C2925*D2925/E2925)</f>
        <v>0</v>
      </c>
      <c r="G2925" s="42"/>
      <c r="H2925" s="49" t="n">
        <f aca="true">IF(OR($A2925="",_xlfn.MINIFS($B$3:$B$5000,$A$3:$A$5000,$A2925,$B$3:$B$5000,"&gt;"&amp;$B2925)=0),NOW(),_xlfn.MINIFS($B$3:$B$5000,$A$3:$A$5000,$A2925,$B$3:$B$5000,"&gt;"&amp;$B2925))</f>
        <v>46279.5987644257</v>
      </c>
    </row>
    <row r="2926" customFormat="false" ht="15" hidden="false" customHeight="true" outlineLevel="0" collapsed="false">
      <c r="A2926" s="42"/>
      <c r="B2926" s="42"/>
      <c r="C2926" s="42"/>
      <c r="D2926" s="42"/>
      <c r="E2926" s="42"/>
      <c r="F2926" s="51" t="n">
        <f aca="false">IF(OR(C2926="",D2926="",E2926="",E2926=0),0,C2926*D2926/E2926)</f>
        <v>0</v>
      </c>
      <c r="G2926" s="42"/>
      <c r="H2926" s="49" t="n">
        <f aca="true">IF(OR($A2926="",_xlfn.MINIFS($B$3:$B$5000,$A$3:$A$5000,$A2926,$B$3:$B$5000,"&gt;"&amp;$B2926)=0),NOW(),_xlfn.MINIFS($B$3:$B$5000,$A$3:$A$5000,$A2926,$B$3:$B$5000,"&gt;"&amp;$B2926))</f>
        <v>46279.5987644258</v>
      </c>
    </row>
    <row r="2927" customFormat="false" ht="15" hidden="false" customHeight="true" outlineLevel="0" collapsed="false">
      <c r="A2927" s="42"/>
      <c r="B2927" s="42"/>
      <c r="C2927" s="42"/>
      <c r="D2927" s="42"/>
      <c r="E2927" s="42"/>
      <c r="F2927" s="51" t="n">
        <f aca="false">IF(OR(C2927="",D2927="",E2927="",E2927=0),0,C2927*D2927/E2927)</f>
        <v>0</v>
      </c>
      <c r="G2927" s="42"/>
      <c r="H2927" s="49" t="n">
        <f aca="true">IF(OR($A2927="",_xlfn.MINIFS($B$3:$B$5000,$A$3:$A$5000,$A2927,$B$3:$B$5000,"&gt;"&amp;$B2927)=0),NOW(),_xlfn.MINIFS($B$3:$B$5000,$A$3:$A$5000,$A2927,$B$3:$B$5000,"&gt;"&amp;$B2927))</f>
        <v>46279.5987644258</v>
      </c>
    </row>
    <row r="2928" customFormat="false" ht="15" hidden="false" customHeight="true" outlineLevel="0" collapsed="false">
      <c r="A2928" s="42"/>
      <c r="B2928" s="42"/>
      <c r="C2928" s="42"/>
      <c r="D2928" s="42"/>
      <c r="E2928" s="42"/>
      <c r="F2928" s="51" t="n">
        <f aca="false">IF(OR(C2928="",D2928="",E2928="",E2928=0),0,C2928*D2928/E2928)</f>
        <v>0</v>
      </c>
      <c r="G2928" s="42"/>
      <c r="H2928" s="49" t="n">
        <f aca="true">IF(OR($A2928="",_xlfn.MINIFS($B$3:$B$5000,$A$3:$A$5000,$A2928,$B$3:$B$5000,"&gt;"&amp;$B2928)=0),NOW(),_xlfn.MINIFS($B$3:$B$5000,$A$3:$A$5000,$A2928,$B$3:$B$5000,"&gt;"&amp;$B2928))</f>
        <v>46279.5987644259</v>
      </c>
    </row>
    <row r="2929" customFormat="false" ht="15" hidden="false" customHeight="true" outlineLevel="0" collapsed="false">
      <c r="A2929" s="42"/>
      <c r="B2929" s="42"/>
      <c r="C2929" s="42"/>
      <c r="D2929" s="42"/>
      <c r="E2929" s="42"/>
      <c r="F2929" s="51" t="n">
        <f aca="false">IF(OR(C2929="",D2929="",E2929="",E2929=0),0,C2929*D2929/E2929)</f>
        <v>0</v>
      </c>
      <c r="G2929" s="42"/>
      <c r="H2929" s="49" t="n">
        <f aca="true">IF(OR($A2929="",_xlfn.MINIFS($B$3:$B$5000,$A$3:$A$5000,$A2929,$B$3:$B$5000,"&gt;"&amp;$B2929)=0),NOW(),_xlfn.MINIFS($B$3:$B$5000,$A$3:$A$5000,$A2929,$B$3:$B$5000,"&gt;"&amp;$B2929))</f>
        <v>46279.5987644259</v>
      </c>
    </row>
    <row r="2930" customFormat="false" ht="15" hidden="false" customHeight="true" outlineLevel="0" collapsed="false">
      <c r="A2930" s="42"/>
      <c r="B2930" s="42"/>
      <c r="C2930" s="42"/>
      <c r="D2930" s="42"/>
      <c r="E2930" s="42"/>
      <c r="F2930" s="51" t="n">
        <f aca="false">IF(OR(C2930="",D2930="",E2930="",E2930=0),0,C2930*D2930/E2930)</f>
        <v>0</v>
      </c>
      <c r="G2930" s="42"/>
      <c r="H2930" s="49" t="n">
        <f aca="true">IF(OR($A2930="",_xlfn.MINIFS($B$3:$B$5000,$A$3:$A$5000,$A2930,$B$3:$B$5000,"&gt;"&amp;$B2930)=0),NOW(),_xlfn.MINIFS($B$3:$B$5000,$A$3:$A$5000,$A2930,$B$3:$B$5000,"&gt;"&amp;$B2930))</f>
        <v>46279.598764426</v>
      </c>
    </row>
    <row r="2931" customFormat="false" ht="15" hidden="false" customHeight="true" outlineLevel="0" collapsed="false">
      <c r="A2931" s="42"/>
      <c r="B2931" s="42"/>
      <c r="C2931" s="42"/>
      <c r="D2931" s="42"/>
      <c r="E2931" s="42"/>
      <c r="F2931" s="51" t="n">
        <f aca="false">IF(OR(C2931="",D2931="",E2931="",E2931=0),0,C2931*D2931/E2931)</f>
        <v>0</v>
      </c>
      <c r="G2931" s="42"/>
      <c r="H2931" s="49" t="n">
        <f aca="true">IF(OR($A2931="",_xlfn.MINIFS($B$3:$B$5000,$A$3:$A$5000,$A2931,$B$3:$B$5000,"&gt;"&amp;$B2931)=0),NOW(),_xlfn.MINIFS($B$3:$B$5000,$A$3:$A$5000,$A2931,$B$3:$B$5000,"&gt;"&amp;$B2931))</f>
        <v>46279.598764426</v>
      </c>
    </row>
    <row r="2932" customFormat="false" ht="15" hidden="false" customHeight="true" outlineLevel="0" collapsed="false">
      <c r="A2932" s="42"/>
      <c r="B2932" s="42"/>
      <c r="C2932" s="42"/>
      <c r="D2932" s="42"/>
      <c r="E2932" s="42"/>
      <c r="F2932" s="51" t="n">
        <f aca="false">IF(OR(C2932="",D2932="",E2932="",E2932=0),0,C2932*D2932/E2932)</f>
        <v>0</v>
      </c>
      <c r="G2932" s="42"/>
      <c r="H2932" s="49" t="n">
        <f aca="true">IF(OR($A2932="",_xlfn.MINIFS($B$3:$B$5000,$A$3:$A$5000,$A2932,$B$3:$B$5000,"&gt;"&amp;$B2932)=0),NOW(),_xlfn.MINIFS($B$3:$B$5000,$A$3:$A$5000,$A2932,$B$3:$B$5000,"&gt;"&amp;$B2932))</f>
        <v>46279.5987644261</v>
      </c>
    </row>
    <row r="2933" customFormat="false" ht="15" hidden="false" customHeight="true" outlineLevel="0" collapsed="false">
      <c r="A2933" s="42"/>
      <c r="B2933" s="42"/>
      <c r="C2933" s="42"/>
      <c r="D2933" s="42"/>
      <c r="E2933" s="42"/>
      <c r="F2933" s="51" t="n">
        <f aca="false">IF(OR(C2933="",D2933="",E2933="",E2933=0),0,C2933*D2933/E2933)</f>
        <v>0</v>
      </c>
      <c r="G2933" s="42"/>
      <c r="H2933" s="49" t="n">
        <f aca="true">IF(OR($A2933="",_xlfn.MINIFS($B$3:$B$5000,$A$3:$A$5000,$A2933,$B$3:$B$5000,"&gt;"&amp;$B2933)=0),NOW(),_xlfn.MINIFS($B$3:$B$5000,$A$3:$A$5000,$A2933,$B$3:$B$5000,"&gt;"&amp;$B2933))</f>
        <v>46279.5987644261</v>
      </c>
    </row>
    <row r="2934" customFormat="false" ht="15" hidden="false" customHeight="true" outlineLevel="0" collapsed="false">
      <c r="A2934" s="42"/>
      <c r="B2934" s="42"/>
      <c r="C2934" s="42"/>
      <c r="D2934" s="42"/>
      <c r="E2934" s="42"/>
      <c r="F2934" s="51" t="n">
        <f aca="false">IF(OR(C2934="",D2934="",E2934="",E2934=0),0,C2934*D2934/E2934)</f>
        <v>0</v>
      </c>
      <c r="G2934" s="42"/>
      <c r="H2934" s="49" t="n">
        <f aca="true">IF(OR($A2934="",_xlfn.MINIFS($B$3:$B$5000,$A$3:$A$5000,$A2934,$B$3:$B$5000,"&gt;"&amp;$B2934)=0),NOW(),_xlfn.MINIFS($B$3:$B$5000,$A$3:$A$5000,$A2934,$B$3:$B$5000,"&gt;"&amp;$B2934))</f>
        <v>46279.5987644262</v>
      </c>
    </row>
    <row r="2935" customFormat="false" ht="15" hidden="false" customHeight="true" outlineLevel="0" collapsed="false">
      <c r="A2935" s="42"/>
      <c r="B2935" s="42"/>
      <c r="C2935" s="42"/>
      <c r="D2935" s="42"/>
      <c r="E2935" s="42"/>
      <c r="F2935" s="51" t="n">
        <f aca="false">IF(OR(C2935="",D2935="",E2935="",E2935=0),0,C2935*D2935/E2935)</f>
        <v>0</v>
      </c>
      <c r="G2935" s="42"/>
      <c r="H2935" s="49" t="n">
        <f aca="true">IF(OR($A2935="",_xlfn.MINIFS($B$3:$B$5000,$A$3:$A$5000,$A2935,$B$3:$B$5000,"&gt;"&amp;$B2935)=0),NOW(),_xlfn.MINIFS($B$3:$B$5000,$A$3:$A$5000,$A2935,$B$3:$B$5000,"&gt;"&amp;$B2935))</f>
        <v>46279.5987644262</v>
      </c>
    </row>
    <row r="2936" customFormat="false" ht="15" hidden="false" customHeight="true" outlineLevel="0" collapsed="false">
      <c r="A2936" s="42"/>
      <c r="B2936" s="42"/>
      <c r="C2936" s="42"/>
      <c r="D2936" s="42"/>
      <c r="E2936" s="42"/>
      <c r="F2936" s="51" t="n">
        <f aca="false">IF(OR(C2936="",D2936="",E2936="",E2936=0),0,C2936*D2936/E2936)</f>
        <v>0</v>
      </c>
      <c r="G2936" s="42"/>
      <c r="H2936" s="49" t="n">
        <f aca="true">IF(OR($A2936="",_xlfn.MINIFS($B$3:$B$5000,$A$3:$A$5000,$A2936,$B$3:$B$5000,"&gt;"&amp;$B2936)=0),NOW(),_xlfn.MINIFS($B$3:$B$5000,$A$3:$A$5000,$A2936,$B$3:$B$5000,"&gt;"&amp;$B2936))</f>
        <v>46279.5987644263</v>
      </c>
    </row>
    <row r="2937" customFormat="false" ht="15" hidden="false" customHeight="true" outlineLevel="0" collapsed="false">
      <c r="A2937" s="42"/>
      <c r="B2937" s="42"/>
      <c r="C2937" s="42"/>
      <c r="D2937" s="42"/>
      <c r="E2937" s="42"/>
      <c r="F2937" s="51" t="n">
        <f aca="false">IF(OR(C2937="",D2937="",E2937="",E2937=0),0,C2937*D2937/E2937)</f>
        <v>0</v>
      </c>
      <c r="G2937" s="42"/>
      <c r="H2937" s="49" t="n">
        <f aca="true">IF(OR($A2937="",_xlfn.MINIFS($B$3:$B$5000,$A$3:$A$5000,$A2937,$B$3:$B$5000,"&gt;"&amp;$B2937)=0),NOW(),_xlfn.MINIFS($B$3:$B$5000,$A$3:$A$5000,$A2937,$B$3:$B$5000,"&gt;"&amp;$B2937))</f>
        <v>46279.5987644263</v>
      </c>
    </row>
    <row r="2938" customFormat="false" ht="15" hidden="false" customHeight="true" outlineLevel="0" collapsed="false">
      <c r="A2938" s="42"/>
      <c r="B2938" s="42"/>
      <c r="C2938" s="42"/>
      <c r="D2938" s="42"/>
      <c r="E2938" s="42"/>
      <c r="F2938" s="51" t="n">
        <f aca="false">IF(OR(C2938="",D2938="",E2938="",E2938=0),0,C2938*D2938/E2938)</f>
        <v>0</v>
      </c>
      <c r="G2938" s="42"/>
      <c r="H2938" s="49" t="n">
        <f aca="true">IF(OR($A2938="",_xlfn.MINIFS($B$3:$B$5000,$A$3:$A$5000,$A2938,$B$3:$B$5000,"&gt;"&amp;$B2938)=0),NOW(),_xlfn.MINIFS($B$3:$B$5000,$A$3:$A$5000,$A2938,$B$3:$B$5000,"&gt;"&amp;$B2938))</f>
        <v>46279.5987644264</v>
      </c>
    </row>
    <row r="2939" customFormat="false" ht="15" hidden="false" customHeight="true" outlineLevel="0" collapsed="false">
      <c r="A2939" s="42"/>
      <c r="B2939" s="42"/>
      <c r="C2939" s="42"/>
      <c r="D2939" s="42"/>
      <c r="E2939" s="42"/>
      <c r="F2939" s="51" t="n">
        <f aca="false">IF(OR(C2939="",D2939="",E2939="",E2939=0),0,C2939*D2939/E2939)</f>
        <v>0</v>
      </c>
      <c r="G2939" s="42"/>
      <c r="H2939" s="49" t="n">
        <f aca="true">IF(OR($A2939="",_xlfn.MINIFS($B$3:$B$5000,$A$3:$A$5000,$A2939,$B$3:$B$5000,"&gt;"&amp;$B2939)=0),NOW(),_xlfn.MINIFS($B$3:$B$5000,$A$3:$A$5000,$A2939,$B$3:$B$5000,"&gt;"&amp;$B2939))</f>
        <v>46279.5987644264</v>
      </c>
    </row>
    <row r="2940" customFormat="false" ht="15" hidden="false" customHeight="true" outlineLevel="0" collapsed="false">
      <c r="A2940" s="42"/>
      <c r="B2940" s="42"/>
      <c r="C2940" s="42"/>
      <c r="D2940" s="42"/>
      <c r="E2940" s="42"/>
      <c r="F2940" s="51" t="n">
        <f aca="false">IF(OR(C2940="",D2940="",E2940="",E2940=0),0,C2940*D2940/E2940)</f>
        <v>0</v>
      </c>
      <c r="G2940" s="42"/>
      <c r="H2940" s="49" t="n">
        <f aca="true">IF(OR($A2940="",_xlfn.MINIFS($B$3:$B$5000,$A$3:$A$5000,$A2940,$B$3:$B$5000,"&gt;"&amp;$B2940)=0),NOW(),_xlfn.MINIFS($B$3:$B$5000,$A$3:$A$5000,$A2940,$B$3:$B$5000,"&gt;"&amp;$B2940))</f>
        <v>46279.5987644265</v>
      </c>
    </row>
    <row r="2941" customFormat="false" ht="15" hidden="false" customHeight="true" outlineLevel="0" collapsed="false">
      <c r="A2941" s="42"/>
      <c r="B2941" s="42"/>
      <c r="C2941" s="42"/>
      <c r="D2941" s="42"/>
      <c r="E2941" s="42"/>
      <c r="F2941" s="51" t="n">
        <f aca="false">IF(OR(C2941="",D2941="",E2941="",E2941=0),0,C2941*D2941/E2941)</f>
        <v>0</v>
      </c>
      <c r="G2941" s="42"/>
      <c r="H2941" s="49" t="n">
        <f aca="true">IF(OR($A2941="",_xlfn.MINIFS($B$3:$B$5000,$A$3:$A$5000,$A2941,$B$3:$B$5000,"&gt;"&amp;$B2941)=0),NOW(),_xlfn.MINIFS($B$3:$B$5000,$A$3:$A$5000,$A2941,$B$3:$B$5000,"&gt;"&amp;$B2941))</f>
        <v>46279.5987644265</v>
      </c>
    </row>
    <row r="2942" customFormat="false" ht="15" hidden="false" customHeight="true" outlineLevel="0" collapsed="false">
      <c r="A2942" s="42"/>
      <c r="B2942" s="42"/>
      <c r="C2942" s="42"/>
      <c r="D2942" s="42"/>
      <c r="E2942" s="42"/>
      <c r="F2942" s="51" t="n">
        <f aca="false">IF(OR(C2942="",D2942="",E2942="",E2942=0),0,C2942*D2942/E2942)</f>
        <v>0</v>
      </c>
      <c r="G2942" s="42"/>
      <c r="H2942" s="49" t="n">
        <f aca="true">IF(OR($A2942="",_xlfn.MINIFS($B$3:$B$5000,$A$3:$A$5000,$A2942,$B$3:$B$5000,"&gt;"&amp;$B2942)=0),NOW(),_xlfn.MINIFS($B$3:$B$5000,$A$3:$A$5000,$A2942,$B$3:$B$5000,"&gt;"&amp;$B2942))</f>
        <v>46279.5987644266</v>
      </c>
    </row>
    <row r="2943" customFormat="false" ht="15" hidden="false" customHeight="true" outlineLevel="0" collapsed="false">
      <c r="A2943" s="42"/>
      <c r="B2943" s="42"/>
      <c r="C2943" s="42"/>
      <c r="D2943" s="42"/>
      <c r="E2943" s="42"/>
      <c r="F2943" s="51" t="n">
        <f aca="false">IF(OR(C2943="",D2943="",E2943="",E2943=0),0,C2943*D2943/E2943)</f>
        <v>0</v>
      </c>
      <c r="G2943" s="42"/>
      <c r="H2943" s="49" t="n">
        <f aca="true">IF(OR($A2943="",_xlfn.MINIFS($B$3:$B$5000,$A$3:$A$5000,$A2943,$B$3:$B$5000,"&gt;"&amp;$B2943)=0),NOW(),_xlfn.MINIFS($B$3:$B$5000,$A$3:$A$5000,$A2943,$B$3:$B$5000,"&gt;"&amp;$B2943))</f>
        <v>46279.5987644266</v>
      </c>
    </row>
    <row r="2944" customFormat="false" ht="15" hidden="false" customHeight="true" outlineLevel="0" collapsed="false">
      <c r="A2944" s="42"/>
      <c r="B2944" s="42"/>
      <c r="C2944" s="42"/>
      <c r="D2944" s="42"/>
      <c r="E2944" s="42"/>
      <c r="F2944" s="51" t="n">
        <f aca="false">IF(OR(C2944="",D2944="",E2944="",E2944=0),0,C2944*D2944/E2944)</f>
        <v>0</v>
      </c>
      <c r="G2944" s="42"/>
      <c r="H2944" s="49" t="n">
        <f aca="true">IF(OR($A2944="",_xlfn.MINIFS($B$3:$B$5000,$A$3:$A$5000,$A2944,$B$3:$B$5000,"&gt;"&amp;$B2944)=0),NOW(),_xlfn.MINIFS($B$3:$B$5000,$A$3:$A$5000,$A2944,$B$3:$B$5000,"&gt;"&amp;$B2944))</f>
        <v>46279.5987644267</v>
      </c>
    </row>
    <row r="2945" customFormat="false" ht="15" hidden="false" customHeight="true" outlineLevel="0" collapsed="false">
      <c r="A2945" s="42"/>
      <c r="B2945" s="42"/>
      <c r="C2945" s="42"/>
      <c r="D2945" s="42"/>
      <c r="E2945" s="42"/>
      <c r="F2945" s="51" t="n">
        <f aca="false">IF(OR(C2945="",D2945="",E2945="",E2945=0),0,C2945*D2945/E2945)</f>
        <v>0</v>
      </c>
      <c r="G2945" s="42"/>
      <c r="H2945" s="49" t="n">
        <f aca="true">IF(OR($A2945="",_xlfn.MINIFS($B$3:$B$5000,$A$3:$A$5000,$A2945,$B$3:$B$5000,"&gt;"&amp;$B2945)=0),NOW(),_xlfn.MINIFS($B$3:$B$5000,$A$3:$A$5000,$A2945,$B$3:$B$5000,"&gt;"&amp;$B2945))</f>
        <v>46279.5987644267</v>
      </c>
    </row>
    <row r="2946" customFormat="false" ht="15" hidden="false" customHeight="true" outlineLevel="0" collapsed="false">
      <c r="A2946" s="42"/>
      <c r="B2946" s="42"/>
      <c r="C2946" s="42"/>
      <c r="D2946" s="42"/>
      <c r="E2946" s="42"/>
      <c r="F2946" s="51" t="n">
        <f aca="false">IF(OR(C2946="",D2946="",E2946="",E2946=0),0,C2946*D2946/E2946)</f>
        <v>0</v>
      </c>
      <c r="G2946" s="42"/>
      <c r="H2946" s="49" t="n">
        <f aca="true">IF(OR($A2946="",_xlfn.MINIFS($B$3:$B$5000,$A$3:$A$5000,$A2946,$B$3:$B$5000,"&gt;"&amp;$B2946)=0),NOW(),_xlfn.MINIFS($B$3:$B$5000,$A$3:$A$5000,$A2946,$B$3:$B$5000,"&gt;"&amp;$B2946))</f>
        <v>46279.5987644268</v>
      </c>
    </row>
    <row r="2947" customFormat="false" ht="15" hidden="false" customHeight="true" outlineLevel="0" collapsed="false">
      <c r="A2947" s="42"/>
      <c r="B2947" s="42"/>
      <c r="C2947" s="42"/>
      <c r="D2947" s="42"/>
      <c r="E2947" s="42"/>
      <c r="F2947" s="51" t="n">
        <f aca="false">IF(OR(C2947="",D2947="",E2947="",E2947=0),0,C2947*D2947/E2947)</f>
        <v>0</v>
      </c>
      <c r="G2947" s="42"/>
      <c r="H2947" s="49" t="n">
        <f aca="true">IF(OR($A2947="",_xlfn.MINIFS($B$3:$B$5000,$A$3:$A$5000,$A2947,$B$3:$B$5000,"&gt;"&amp;$B2947)=0),NOW(),_xlfn.MINIFS($B$3:$B$5000,$A$3:$A$5000,$A2947,$B$3:$B$5000,"&gt;"&amp;$B2947))</f>
        <v>46279.5987644268</v>
      </c>
    </row>
    <row r="2948" customFormat="false" ht="15" hidden="false" customHeight="true" outlineLevel="0" collapsed="false">
      <c r="A2948" s="42"/>
      <c r="B2948" s="42"/>
      <c r="C2948" s="42"/>
      <c r="D2948" s="42"/>
      <c r="E2948" s="42"/>
      <c r="F2948" s="51" t="n">
        <f aca="false">IF(OR(C2948="",D2948="",E2948="",E2948=0),0,C2948*D2948/E2948)</f>
        <v>0</v>
      </c>
      <c r="G2948" s="42"/>
      <c r="H2948" s="49" t="n">
        <f aca="true">IF(OR($A2948="",_xlfn.MINIFS($B$3:$B$5000,$A$3:$A$5000,$A2948,$B$3:$B$5000,"&gt;"&amp;$B2948)=0),NOW(),_xlfn.MINIFS($B$3:$B$5000,$A$3:$A$5000,$A2948,$B$3:$B$5000,"&gt;"&amp;$B2948))</f>
        <v>46279.5987644269</v>
      </c>
    </row>
    <row r="2949" customFormat="false" ht="15" hidden="false" customHeight="true" outlineLevel="0" collapsed="false">
      <c r="A2949" s="42"/>
      <c r="B2949" s="42"/>
      <c r="C2949" s="42"/>
      <c r="D2949" s="42"/>
      <c r="E2949" s="42"/>
      <c r="F2949" s="51" t="n">
        <f aca="false">IF(OR(C2949="",D2949="",E2949="",E2949=0),0,C2949*D2949/E2949)</f>
        <v>0</v>
      </c>
      <c r="G2949" s="42"/>
      <c r="H2949" s="49" t="n">
        <f aca="true">IF(OR($A2949="",_xlfn.MINIFS($B$3:$B$5000,$A$3:$A$5000,$A2949,$B$3:$B$5000,"&gt;"&amp;$B2949)=0),NOW(),_xlfn.MINIFS($B$3:$B$5000,$A$3:$A$5000,$A2949,$B$3:$B$5000,"&gt;"&amp;$B2949))</f>
        <v>46279.5987644269</v>
      </c>
    </row>
    <row r="2950" customFormat="false" ht="15" hidden="false" customHeight="true" outlineLevel="0" collapsed="false">
      <c r="A2950" s="42"/>
      <c r="B2950" s="42"/>
      <c r="C2950" s="42"/>
      <c r="D2950" s="42"/>
      <c r="E2950" s="42"/>
      <c r="F2950" s="51" t="n">
        <f aca="false">IF(OR(C2950="",D2950="",E2950="",E2950=0),0,C2950*D2950/E2950)</f>
        <v>0</v>
      </c>
      <c r="G2950" s="42"/>
      <c r="H2950" s="49" t="n">
        <f aca="true">IF(OR($A2950="",_xlfn.MINIFS($B$3:$B$5000,$A$3:$A$5000,$A2950,$B$3:$B$5000,"&gt;"&amp;$B2950)=0),NOW(),_xlfn.MINIFS($B$3:$B$5000,$A$3:$A$5000,$A2950,$B$3:$B$5000,"&gt;"&amp;$B2950))</f>
        <v>46279.598764427</v>
      </c>
    </row>
    <row r="2951" customFormat="false" ht="15" hidden="false" customHeight="true" outlineLevel="0" collapsed="false">
      <c r="A2951" s="42"/>
      <c r="B2951" s="42"/>
      <c r="C2951" s="42"/>
      <c r="D2951" s="42"/>
      <c r="E2951" s="42"/>
      <c r="F2951" s="51" t="n">
        <f aca="false">IF(OR(C2951="",D2951="",E2951="",E2951=0),0,C2951*D2951/E2951)</f>
        <v>0</v>
      </c>
      <c r="G2951" s="42"/>
      <c r="H2951" s="49" t="n">
        <f aca="true">IF(OR($A2951="",_xlfn.MINIFS($B$3:$B$5000,$A$3:$A$5000,$A2951,$B$3:$B$5000,"&gt;"&amp;$B2951)=0),NOW(),_xlfn.MINIFS($B$3:$B$5000,$A$3:$A$5000,$A2951,$B$3:$B$5000,"&gt;"&amp;$B2951))</f>
        <v>46279.598764427</v>
      </c>
    </row>
    <row r="2952" customFormat="false" ht="15" hidden="false" customHeight="true" outlineLevel="0" collapsed="false">
      <c r="A2952" s="42"/>
      <c r="B2952" s="42"/>
      <c r="C2952" s="42"/>
      <c r="D2952" s="42"/>
      <c r="E2952" s="42"/>
      <c r="F2952" s="51" t="n">
        <f aca="false">IF(OR(C2952="",D2952="",E2952="",E2952=0),0,C2952*D2952/E2952)</f>
        <v>0</v>
      </c>
      <c r="G2952" s="42"/>
      <c r="H2952" s="49" t="n">
        <f aca="true">IF(OR($A2952="",_xlfn.MINIFS($B$3:$B$5000,$A$3:$A$5000,$A2952,$B$3:$B$5000,"&gt;"&amp;$B2952)=0),NOW(),_xlfn.MINIFS($B$3:$B$5000,$A$3:$A$5000,$A2952,$B$3:$B$5000,"&gt;"&amp;$B2952))</f>
        <v>46279.5987644271</v>
      </c>
    </row>
    <row r="2953" customFormat="false" ht="15" hidden="false" customHeight="true" outlineLevel="0" collapsed="false">
      <c r="A2953" s="42"/>
      <c r="B2953" s="42"/>
      <c r="C2953" s="42"/>
      <c r="D2953" s="42"/>
      <c r="E2953" s="42"/>
      <c r="F2953" s="51" t="n">
        <f aca="false">IF(OR(C2953="",D2953="",E2953="",E2953=0),0,C2953*D2953/E2953)</f>
        <v>0</v>
      </c>
      <c r="G2953" s="42"/>
      <c r="H2953" s="49" t="n">
        <f aca="true">IF(OR($A2953="",_xlfn.MINIFS($B$3:$B$5000,$A$3:$A$5000,$A2953,$B$3:$B$5000,"&gt;"&amp;$B2953)=0),NOW(),_xlfn.MINIFS($B$3:$B$5000,$A$3:$A$5000,$A2953,$B$3:$B$5000,"&gt;"&amp;$B2953))</f>
        <v>46279.5987644271</v>
      </c>
    </row>
    <row r="2954" customFormat="false" ht="15" hidden="false" customHeight="true" outlineLevel="0" collapsed="false">
      <c r="A2954" s="42"/>
      <c r="B2954" s="42"/>
      <c r="C2954" s="42"/>
      <c r="D2954" s="42"/>
      <c r="E2954" s="42"/>
      <c r="F2954" s="51" t="n">
        <f aca="false">IF(OR(C2954="",D2954="",E2954="",E2954=0),0,C2954*D2954/E2954)</f>
        <v>0</v>
      </c>
      <c r="G2954" s="42"/>
      <c r="H2954" s="49" t="n">
        <f aca="true">IF(OR($A2954="",_xlfn.MINIFS($B$3:$B$5000,$A$3:$A$5000,$A2954,$B$3:$B$5000,"&gt;"&amp;$B2954)=0),NOW(),_xlfn.MINIFS($B$3:$B$5000,$A$3:$A$5000,$A2954,$B$3:$B$5000,"&gt;"&amp;$B2954))</f>
        <v>46279.5987644272</v>
      </c>
    </row>
    <row r="2955" customFormat="false" ht="15" hidden="false" customHeight="true" outlineLevel="0" collapsed="false">
      <c r="A2955" s="42"/>
      <c r="B2955" s="42"/>
      <c r="C2955" s="42"/>
      <c r="D2955" s="42"/>
      <c r="E2955" s="42"/>
      <c r="F2955" s="51" t="n">
        <f aca="false">IF(OR(C2955="",D2955="",E2955="",E2955=0),0,C2955*D2955/E2955)</f>
        <v>0</v>
      </c>
      <c r="G2955" s="42"/>
      <c r="H2955" s="49" t="n">
        <f aca="true">IF(OR($A2955="",_xlfn.MINIFS($B$3:$B$5000,$A$3:$A$5000,$A2955,$B$3:$B$5000,"&gt;"&amp;$B2955)=0),NOW(),_xlfn.MINIFS($B$3:$B$5000,$A$3:$A$5000,$A2955,$B$3:$B$5000,"&gt;"&amp;$B2955))</f>
        <v>46279.5987644272</v>
      </c>
    </row>
    <row r="2956" customFormat="false" ht="15" hidden="false" customHeight="true" outlineLevel="0" collapsed="false">
      <c r="A2956" s="42"/>
      <c r="B2956" s="42"/>
      <c r="C2956" s="42"/>
      <c r="D2956" s="42"/>
      <c r="E2956" s="42"/>
      <c r="F2956" s="51" t="n">
        <f aca="false">IF(OR(C2956="",D2956="",E2956="",E2956=0),0,C2956*D2956/E2956)</f>
        <v>0</v>
      </c>
      <c r="G2956" s="42"/>
      <c r="H2956" s="49" t="n">
        <f aca="true">IF(OR($A2956="",_xlfn.MINIFS($B$3:$B$5000,$A$3:$A$5000,$A2956,$B$3:$B$5000,"&gt;"&amp;$B2956)=0),NOW(),_xlfn.MINIFS($B$3:$B$5000,$A$3:$A$5000,$A2956,$B$3:$B$5000,"&gt;"&amp;$B2956))</f>
        <v>46279.5987644273</v>
      </c>
    </row>
    <row r="2957" customFormat="false" ht="15" hidden="false" customHeight="true" outlineLevel="0" collapsed="false">
      <c r="A2957" s="42"/>
      <c r="B2957" s="42"/>
      <c r="C2957" s="42"/>
      <c r="D2957" s="42"/>
      <c r="E2957" s="42"/>
      <c r="F2957" s="51" t="n">
        <f aca="false">IF(OR(C2957="",D2957="",E2957="",E2957=0),0,C2957*D2957/E2957)</f>
        <v>0</v>
      </c>
      <c r="G2957" s="42"/>
      <c r="H2957" s="49" t="n">
        <f aca="true">IF(OR($A2957="",_xlfn.MINIFS($B$3:$B$5000,$A$3:$A$5000,$A2957,$B$3:$B$5000,"&gt;"&amp;$B2957)=0),NOW(),_xlfn.MINIFS($B$3:$B$5000,$A$3:$A$5000,$A2957,$B$3:$B$5000,"&gt;"&amp;$B2957))</f>
        <v>46279.5987644273</v>
      </c>
    </row>
    <row r="2958" customFormat="false" ht="15" hidden="false" customHeight="true" outlineLevel="0" collapsed="false">
      <c r="A2958" s="42"/>
      <c r="B2958" s="42"/>
      <c r="C2958" s="42"/>
      <c r="D2958" s="42"/>
      <c r="E2958" s="42"/>
      <c r="F2958" s="51" t="n">
        <f aca="false">IF(OR(C2958="",D2958="",E2958="",E2958=0),0,C2958*D2958/E2958)</f>
        <v>0</v>
      </c>
      <c r="G2958" s="42"/>
      <c r="H2958" s="49" t="n">
        <f aca="true">IF(OR($A2958="",_xlfn.MINIFS($B$3:$B$5000,$A$3:$A$5000,$A2958,$B$3:$B$5000,"&gt;"&amp;$B2958)=0),NOW(),_xlfn.MINIFS($B$3:$B$5000,$A$3:$A$5000,$A2958,$B$3:$B$5000,"&gt;"&amp;$B2958))</f>
        <v>46279.5987644274</v>
      </c>
    </row>
    <row r="2959" customFormat="false" ht="15" hidden="false" customHeight="true" outlineLevel="0" collapsed="false">
      <c r="A2959" s="42"/>
      <c r="B2959" s="42"/>
      <c r="C2959" s="42"/>
      <c r="D2959" s="42"/>
      <c r="E2959" s="42"/>
      <c r="F2959" s="51" t="n">
        <f aca="false">IF(OR(C2959="",D2959="",E2959="",E2959=0),0,C2959*D2959/E2959)</f>
        <v>0</v>
      </c>
      <c r="G2959" s="42"/>
      <c r="H2959" s="49" t="n">
        <f aca="true">IF(OR($A2959="",_xlfn.MINIFS($B$3:$B$5000,$A$3:$A$5000,$A2959,$B$3:$B$5000,"&gt;"&amp;$B2959)=0),NOW(),_xlfn.MINIFS($B$3:$B$5000,$A$3:$A$5000,$A2959,$B$3:$B$5000,"&gt;"&amp;$B2959))</f>
        <v>46279.5987644274</v>
      </c>
    </row>
    <row r="2960" customFormat="false" ht="15" hidden="false" customHeight="true" outlineLevel="0" collapsed="false">
      <c r="A2960" s="42"/>
      <c r="B2960" s="42"/>
      <c r="C2960" s="42"/>
      <c r="D2960" s="42"/>
      <c r="E2960" s="42"/>
      <c r="F2960" s="51" t="n">
        <f aca="false">IF(OR(C2960="",D2960="",E2960="",E2960=0),0,C2960*D2960/E2960)</f>
        <v>0</v>
      </c>
      <c r="G2960" s="42"/>
      <c r="H2960" s="49" t="n">
        <f aca="true">IF(OR($A2960="",_xlfn.MINIFS($B$3:$B$5000,$A$3:$A$5000,$A2960,$B$3:$B$5000,"&gt;"&amp;$B2960)=0),NOW(),_xlfn.MINIFS($B$3:$B$5000,$A$3:$A$5000,$A2960,$B$3:$B$5000,"&gt;"&amp;$B2960))</f>
        <v>46279.5987644275</v>
      </c>
    </row>
    <row r="2961" customFormat="false" ht="15" hidden="false" customHeight="true" outlineLevel="0" collapsed="false">
      <c r="A2961" s="42"/>
      <c r="B2961" s="42"/>
      <c r="C2961" s="42"/>
      <c r="D2961" s="42"/>
      <c r="E2961" s="42"/>
      <c r="F2961" s="51" t="n">
        <f aca="false">IF(OR(C2961="",D2961="",E2961="",E2961=0),0,C2961*D2961/E2961)</f>
        <v>0</v>
      </c>
      <c r="G2961" s="42"/>
      <c r="H2961" s="49" t="n">
        <f aca="true">IF(OR($A2961="",_xlfn.MINIFS($B$3:$B$5000,$A$3:$A$5000,$A2961,$B$3:$B$5000,"&gt;"&amp;$B2961)=0),NOW(),_xlfn.MINIFS($B$3:$B$5000,$A$3:$A$5000,$A2961,$B$3:$B$5000,"&gt;"&amp;$B2961))</f>
        <v>46279.5987644275</v>
      </c>
    </row>
    <row r="2962" customFormat="false" ht="15" hidden="false" customHeight="true" outlineLevel="0" collapsed="false">
      <c r="A2962" s="42"/>
      <c r="B2962" s="42"/>
      <c r="C2962" s="42"/>
      <c r="D2962" s="42"/>
      <c r="E2962" s="42"/>
      <c r="F2962" s="51" t="n">
        <f aca="false">IF(OR(C2962="",D2962="",E2962="",E2962=0),0,C2962*D2962/E2962)</f>
        <v>0</v>
      </c>
      <c r="G2962" s="42"/>
      <c r="H2962" s="49" t="n">
        <f aca="true">IF(OR($A2962="",_xlfn.MINIFS($B$3:$B$5000,$A$3:$A$5000,$A2962,$B$3:$B$5000,"&gt;"&amp;$B2962)=0),NOW(),_xlfn.MINIFS($B$3:$B$5000,$A$3:$A$5000,$A2962,$B$3:$B$5000,"&gt;"&amp;$B2962))</f>
        <v>46279.5987644276</v>
      </c>
    </row>
    <row r="2963" customFormat="false" ht="15" hidden="false" customHeight="true" outlineLevel="0" collapsed="false">
      <c r="A2963" s="42"/>
      <c r="B2963" s="42"/>
      <c r="C2963" s="42"/>
      <c r="D2963" s="42"/>
      <c r="E2963" s="42"/>
      <c r="F2963" s="51" t="n">
        <f aca="false">IF(OR(C2963="",D2963="",E2963="",E2963=0),0,C2963*D2963/E2963)</f>
        <v>0</v>
      </c>
      <c r="G2963" s="42"/>
      <c r="H2963" s="49" t="n">
        <f aca="true">IF(OR($A2963="",_xlfn.MINIFS($B$3:$B$5000,$A$3:$A$5000,$A2963,$B$3:$B$5000,"&gt;"&amp;$B2963)=0),NOW(),_xlfn.MINIFS($B$3:$B$5000,$A$3:$A$5000,$A2963,$B$3:$B$5000,"&gt;"&amp;$B2963))</f>
        <v>46279.5987644276</v>
      </c>
    </row>
    <row r="2964" customFormat="false" ht="15" hidden="false" customHeight="true" outlineLevel="0" collapsed="false">
      <c r="A2964" s="42"/>
      <c r="B2964" s="42"/>
      <c r="C2964" s="42"/>
      <c r="D2964" s="42"/>
      <c r="E2964" s="42"/>
      <c r="F2964" s="51" t="n">
        <f aca="false">IF(OR(C2964="",D2964="",E2964="",E2964=0),0,C2964*D2964/E2964)</f>
        <v>0</v>
      </c>
      <c r="G2964" s="42"/>
      <c r="H2964" s="49" t="n">
        <f aca="true">IF(OR($A2964="",_xlfn.MINIFS($B$3:$B$5000,$A$3:$A$5000,$A2964,$B$3:$B$5000,"&gt;"&amp;$B2964)=0),NOW(),_xlfn.MINIFS($B$3:$B$5000,$A$3:$A$5000,$A2964,$B$3:$B$5000,"&gt;"&amp;$B2964))</f>
        <v>46279.5987644277</v>
      </c>
    </row>
    <row r="2965" customFormat="false" ht="15" hidden="false" customHeight="true" outlineLevel="0" collapsed="false">
      <c r="A2965" s="42"/>
      <c r="B2965" s="42"/>
      <c r="C2965" s="42"/>
      <c r="D2965" s="42"/>
      <c r="E2965" s="42"/>
      <c r="F2965" s="51" t="n">
        <f aca="false">IF(OR(C2965="",D2965="",E2965="",E2965=0),0,C2965*D2965/E2965)</f>
        <v>0</v>
      </c>
      <c r="G2965" s="42"/>
      <c r="H2965" s="49" t="n">
        <f aca="true">IF(OR($A2965="",_xlfn.MINIFS($B$3:$B$5000,$A$3:$A$5000,$A2965,$B$3:$B$5000,"&gt;"&amp;$B2965)=0),NOW(),_xlfn.MINIFS($B$3:$B$5000,$A$3:$A$5000,$A2965,$B$3:$B$5000,"&gt;"&amp;$B2965))</f>
        <v>46279.5987644277</v>
      </c>
    </row>
    <row r="2966" customFormat="false" ht="15" hidden="false" customHeight="true" outlineLevel="0" collapsed="false">
      <c r="A2966" s="42"/>
      <c r="B2966" s="42"/>
      <c r="C2966" s="42"/>
      <c r="D2966" s="42"/>
      <c r="E2966" s="42"/>
      <c r="F2966" s="51" t="n">
        <f aca="false">IF(OR(C2966="",D2966="",E2966="",E2966=0),0,C2966*D2966/E2966)</f>
        <v>0</v>
      </c>
      <c r="G2966" s="42"/>
      <c r="H2966" s="49" t="n">
        <f aca="true">IF(OR($A2966="",_xlfn.MINIFS($B$3:$B$5000,$A$3:$A$5000,$A2966,$B$3:$B$5000,"&gt;"&amp;$B2966)=0),NOW(),_xlfn.MINIFS($B$3:$B$5000,$A$3:$A$5000,$A2966,$B$3:$B$5000,"&gt;"&amp;$B2966))</f>
        <v>46279.5987644278</v>
      </c>
    </row>
    <row r="2967" customFormat="false" ht="15" hidden="false" customHeight="true" outlineLevel="0" collapsed="false">
      <c r="A2967" s="42"/>
      <c r="B2967" s="42"/>
      <c r="C2967" s="42"/>
      <c r="D2967" s="42"/>
      <c r="E2967" s="42"/>
      <c r="F2967" s="51" t="n">
        <f aca="false">IF(OR(C2967="",D2967="",E2967="",E2967=0),0,C2967*D2967/E2967)</f>
        <v>0</v>
      </c>
      <c r="G2967" s="42"/>
      <c r="H2967" s="49" t="n">
        <f aca="true">IF(OR($A2967="",_xlfn.MINIFS($B$3:$B$5000,$A$3:$A$5000,$A2967,$B$3:$B$5000,"&gt;"&amp;$B2967)=0),NOW(),_xlfn.MINIFS($B$3:$B$5000,$A$3:$A$5000,$A2967,$B$3:$B$5000,"&gt;"&amp;$B2967))</f>
        <v>46279.5987644278</v>
      </c>
    </row>
    <row r="2968" customFormat="false" ht="15" hidden="false" customHeight="true" outlineLevel="0" collapsed="false">
      <c r="A2968" s="42"/>
      <c r="B2968" s="42"/>
      <c r="C2968" s="42"/>
      <c r="D2968" s="42"/>
      <c r="E2968" s="42"/>
      <c r="F2968" s="51" t="n">
        <f aca="false">IF(OR(C2968="",D2968="",E2968="",E2968=0),0,C2968*D2968/E2968)</f>
        <v>0</v>
      </c>
      <c r="G2968" s="42"/>
      <c r="H2968" s="49" t="n">
        <f aca="true">IF(OR($A2968="",_xlfn.MINIFS($B$3:$B$5000,$A$3:$A$5000,$A2968,$B$3:$B$5000,"&gt;"&amp;$B2968)=0),NOW(),_xlfn.MINIFS($B$3:$B$5000,$A$3:$A$5000,$A2968,$B$3:$B$5000,"&gt;"&amp;$B2968))</f>
        <v>46279.5987644279</v>
      </c>
    </row>
    <row r="2969" customFormat="false" ht="15" hidden="false" customHeight="true" outlineLevel="0" collapsed="false">
      <c r="A2969" s="42"/>
      <c r="B2969" s="42"/>
      <c r="C2969" s="42"/>
      <c r="D2969" s="42"/>
      <c r="E2969" s="42"/>
      <c r="F2969" s="51" t="n">
        <f aca="false">IF(OR(C2969="",D2969="",E2969="",E2969=0),0,C2969*D2969/E2969)</f>
        <v>0</v>
      </c>
      <c r="G2969" s="42"/>
      <c r="H2969" s="49" t="n">
        <f aca="true">IF(OR($A2969="",_xlfn.MINIFS($B$3:$B$5000,$A$3:$A$5000,$A2969,$B$3:$B$5000,"&gt;"&amp;$B2969)=0),NOW(),_xlfn.MINIFS($B$3:$B$5000,$A$3:$A$5000,$A2969,$B$3:$B$5000,"&gt;"&amp;$B2969))</f>
        <v>46279.5987644279</v>
      </c>
    </row>
    <row r="2970" customFormat="false" ht="15" hidden="false" customHeight="true" outlineLevel="0" collapsed="false">
      <c r="A2970" s="42"/>
      <c r="B2970" s="42"/>
      <c r="C2970" s="42"/>
      <c r="D2970" s="42"/>
      <c r="E2970" s="42"/>
      <c r="F2970" s="51" t="n">
        <f aca="false">IF(OR(C2970="",D2970="",E2970="",E2970=0),0,C2970*D2970/E2970)</f>
        <v>0</v>
      </c>
      <c r="G2970" s="42"/>
      <c r="H2970" s="49" t="n">
        <f aca="true">IF(OR($A2970="",_xlfn.MINIFS($B$3:$B$5000,$A$3:$A$5000,$A2970,$B$3:$B$5000,"&gt;"&amp;$B2970)=0),NOW(),_xlfn.MINIFS($B$3:$B$5000,$A$3:$A$5000,$A2970,$B$3:$B$5000,"&gt;"&amp;$B2970))</f>
        <v>46279.598764428</v>
      </c>
    </row>
    <row r="2971" customFormat="false" ht="15" hidden="false" customHeight="true" outlineLevel="0" collapsed="false">
      <c r="A2971" s="42"/>
      <c r="B2971" s="42"/>
      <c r="C2971" s="42"/>
      <c r="D2971" s="42"/>
      <c r="E2971" s="42"/>
      <c r="F2971" s="51" t="n">
        <f aca="false">IF(OR(C2971="",D2971="",E2971="",E2971=0),0,C2971*D2971/E2971)</f>
        <v>0</v>
      </c>
      <c r="G2971" s="42"/>
      <c r="H2971" s="49" t="n">
        <f aca="true">IF(OR($A2971="",_xlfn.MINIFS($B$3:$B$5000,$A$3:$A$5000,$A2971,$B$3:$B$5000,"&gt;"&amp;$B2971)=0),NOW(),_xlfn.MINIFS($B$3:$B$5000,$A$3:$A$5000,$A2971,$B$3:$B$5000,"&gt;"&amp;$B2971))</f>
        <v>46279.598764428</v>
      </c>
    </row>
    <row r="2972" customFormat="false" ht="15" hidden="false" customHeight="true" outlineLevel="0" collapsed="false">
      <c r="A2972" s="42"/>
      <c r="B2972" s="42"/>
      <c r="C2972" s="42"/>
      <c r="D2972" s="42"/>
      <c r="E2972" s="42"/>
      <c r="F2972" s="51" t="n">
        <f aca="false">IF(OR(C2972="",D2972="",E2972="",E2972=0),0,C2972*D2972/E2972)</f>
        <v>0</v>
      </c>
      <c r="G2972" s="42"/>
      <c r="H2972" s="49" t="n">
        <f aca="true">IF(OR($A2972="",_xlfn.MINIFS($B$3:$B$5000,$A$3:$A$5000,$A2972,$B$3:$B$5000,"&gt;"&amp;$B2972)=0),NOW(),_xlfn.MINIFS($B$3:$B$5000,$A$3:$A$5000,$A2972,$B$3:$B$5000,"&gt;"&amp;$B2972))</f>
        <v>46279.5987644281</v>
      </c>
    </row>
    <row r="2973" customFormat="false" ht="15" hidden="false" customHeight="true" outlineLevel="0" collapsed="false">
      <c r="A2973" s="42"/>
      <c r="B2973" s="42"/>
      <c r="C2973" s="42"/>
      <c r="D2973" s="42"/>
      <c r="E2973" s="42"/>
      <c r="F2973" s="51" t="n">
        <f aca="false">IF(OR(C2973="",D2973="",E2973="",E2973=0),0,C2973*D2973/E2973)</f>
        <v>0</v>
      </c>
      <c r="G2973" s="42"/>
      <c r="H2973" s="49" t="n">
        <f aca="true">IF(OR($A2973="",_xlfn.MINIFS($B$3:$B$5000,$A$3:$A$5000,$A2973,$B$3:$B$5000,"&gt;"&amp;$B2973)=0),NOW(),_xlfn.MINIFS($B$3:$B$5000,$A$3:$A$5000,$A2973,$B$3:$B$5000,"&gt;"&amp;$B2973))</f>
        <v>46279.5987644281</v>
      </c>
    </row>
    <row r="2974" customFormat="false" ht="15" hidden="false" customHeight="true" outlineLevel="0" collapsed="false">
      <c r="A2974" s="42"/>
      <c r="B2974" s="42"/>
      <c r="C2974" s="42"/>
      <c r="D2974" s="42"/>
      <c r="E2974" s="42"/>
      <c r="F2974" s="51" t="n">
        <f aca="false">IF(OR(C2974="",D2974="",E2974="",E2974=0),0,C2974*D2974/E2974)</f>
        <v>0</v>
      </c>
      <c r="G2974" s="42"/>
      <c r="H2974" s="49" t="n">
        <f aca="true">IF(OR($A2974="",_xlfn.MINIFS($B$3:$B$5000,$A$3:$A$5000,$A2974,$B$3:$B$5000,"&gt;"&amp;$B2974)=0),NOW(),_xlfn.MINIFS($B$3:$B$5000,$A$3:$A$5000,$A2974,$B$3:$B$5000,"&gt;"&amp;$B2974))</f>
        <v>46279.5987644282</v>
      </c>
    </row>
    <row r="2975" customFormat="false" ht="15" hidden="false" customHeight="true" outlineLevel="0" collapsed="false">
      <c r="A2975" s="42"/>
      <c r="B2975" s="42"/>
      <c r="C2975" s="42"/>
      <c r="D2975" s="42"/>
      <c r="E2975" s="42"/>
      <c r="F2975" s="51" t="n">
        <f aca="false">IF(OR(C2975="",D2975="",E2975="",E2975=0),0,C2975*D2975/E2975)</f>
        <v>0</v>
      </c>
      <c r="G2975" s="42"/>
      <c r="H2975" s="49" t="n">
        <f aca="true">IF(OR($A2975="",_xlfn.MINIFS($B$3:$B$5000,$A$3:$A$5000,$A2975,$B$3:$B$5000,"&gt;"&amp;$B2975)=0),NOW(),_xlfn.MINIFS($B$3:$B$5000,$A$3:$A$5000,$A2975,$B$3:$B$5000,"&gt;"&amp;$B2975))</f>
        <v>46279.5987644282</v>
      </c>
    </row>
    <row r="2976" customFormat="false" ht="15" hidden="false" customHeight="true" outlineLevel="0" collapsed="false">
      <c r="A2976" s="42"/>
      <c r="B2976" s="42"/>
      <c r="C2976" s="42"/>
      <c r="D2976" s="42"/>
      <c r="E2976" s="42"/>
      <c r="F2976" s="51" t="n">
        <f aca="false">IF(OR(C2976="",D2976="",E2976="",E2976=0),0,C2976*D2976/E2976)</f>
        <v>0</v>
      </c>
      <c r="G2976" s="42"/>
      <c r="H2976" s="49" t="n">
        <f aca="true">IF(OR($A2976="",_xlfn.MINIFS($B$3:$B$5000,$A$3:$A$5000,$A2976,$B$3:$B$5000,"&gt;"&amp;$B2976)=0),NOW(),_xlfn.MINIFS($B$3:$B$5000,$A$3:$A$5000,$A2976,$B$3:$B$5000,"&gt;"&amp;$B2976))</f>
        <v>46279.5987644283</v>
      </c>
    </row>
    <row r="2977" customFormat="false" ht="15" hidden="false" customHeight="true" outlineLevel="0" collapsed="false">
      <c r="A2977" s="42"/>
      <c r="B2977" s="42"/>
      <c r="C2977" s="42"/>
      <c r="D2977" s="42"/>
      <c r="E2977" s="42"/>
      <c r="F2977" s="51" t="n">
        <f aca="false">IF(OR(C2977="",D2977="",E2977="",E2977=0),0,C2977*D2977/E2977)</f>
        <v>0</v>
      </c>
      <c r="G2977" s="42"/>
      <c r="H2977" s="49" t="n">
        <f aca="true">IF(OR($A2977="",_xlfn.MINIFS($B$3:$B$5000,$A$3:$A$5000,$A2977,$B$3:$B$5000,"&gt;"&amp;$B2977)=0),NOW(),_xlfn.MINIFS($B$3:$B$5000,$A$3:$A$5000,$A2977,$B$3:$B$5000,"&gt;"&amp;$B2977))</f>
        <v>46279.5987644283</v>
      </c>
    </row>
    <row r="2978" customFormat="false" ht="15" hidden="false" customHeight="true" outlineLevel="0" collapsed="false">
      <c r="A2978" s="42"/>
      <c r="B2978" s="42"/>
      <c r="C2978" s="42"/>
      <c r="D2978" s="42"/>
      <c r="E2978" s="42"/>
      <c r="F2978" s="51" t="n">
        <f aca="false">IF(OR(C2978="",D2978="",E2978="",E2978=0),0,C2978*D2978/E2978)</f>
        <v>0</v>
      </c>
      <c r="G2978" s="42"/>
      <c r="H2978" s="49" t="n">
        <f aca="true">IF(OR($A2978="",_xlfn.MINIFS($B$3:$B$5000,$A$3:$A$5000,$A2978,$B$3:$B$5000,"&gt;"&amp;$B2978)=0),NOW(),_xlfn.MINIFS($B$3:$B$5000,$A$3:$A$5000,$A2978,$B$3:$B$5000,"&gt;"&amp;$B2978))</f>
        <v>46279.5987644284</v>
      </c>
    </row>
    <row r="2979" customFormat="false" ht="15" hidden="false" customHeight="true" outlineLevel="0" collapsed="false">
      <c r="A2979" s="42"/>
      <c r="B2979" s="42"/>
      <c r="C2979" s="42"/>
      <c r="D2979" s="42"/>
      <c r="E2979" s="42"/>
      <c r="F2979" s="51" t="n">
        <f aca="false">IF(OR(C2979="",D2979="",E2979="",E2979=0),0,C2979*D2979/E2979)</f>
        <v>0</v>
      </c>
      <c r="G2979" s="42"/>
      <c r="H2979" s="49" t="n">
        <f aca="true">IF(OR($A2979="",_xlfn.MINIFS($B$3:$B$5000,$A$3:$A$5000,$A2979,$B$3:$B$5000,"&gt;"&amp;$B2979)=0),NOW(),_xlfn.MINIFS($B$3:$B$5000,$A$3:$A$5000,$A2979,$B$3:$B$5000,"&gt;"&amp;$B2979))</f>
        <v>46279.5987644284</v>
      </c>
    </row>
    <row r="2980" customFormat="false" ht="15" hidden="false" customHeight="true" outlineLevel="0" collapsed="false">
      <c r="A2980" s="42"/>
      <c r="B2980" s="42"/>
      <c r="C2980" s="42"/>
      <c r="D2980" s="42"/>
      <c r="E2980" s="42"/>
      <c r="F2980" s="51" t="n">
        <f aca="false">IF(OR(C2980="",D2980="",E2980="",E2980=0),0,C2980*D2980/E2980)</f>
        <v>0</v>
      </c>
      <c r="G2980" s="42"/>
      <c r="H2980" s="49" t="n">
        <f aca="true">IF(OR($A2980="",_xlfn.MINIFS($B$3:$B$5000,$A$3:$A$5000,$A2980,$B$3:$B$5000,"&gt;"&amp;$B2980)=0),NOW(),_xlfn.MINIFS($B$3:$B$5000,$A$3:$A$5000,$A2980,$B$3:$B$5000,"&gt;"&amp;$B2980))</f>
        <v>46279.5987644285</v>
      </c>
    </row>
    <row r="2981" customFormat="false" ht="15" hidden="false" customHeight="true" outlineLevel="0" collapsed="false">
      <c r="A2981" s="42"/>
      <c r="B2981" s="42"/>
      <c r="C2981" s="42"/>
      <c r="D2981" s="42"/>
      <c r="E2981" s="42"/>
      <c r="F2981" s="51" t="n">
        <f aca="false">IF(OR(C2981="",D2981="",E2981="",E2981=0),0,C2981*D2981/E2981)</f>
        <v>0</v>
      </c>
      <c r="G2981" s="42"/>
      <c r="H2981" s="49" t="n">
        <f aca="true">IF(OR($A2981="",_xlfn.MINIFS($B$3:$B$5000,$A$3:$A$5000,$A2981,$B$3:$B$5000,"&gt;"&amp;$B2981)=0),NOW(),_xlfn.MINIFS($B$3:$B$5000,$A$3:$A$5000,$A2981,$B$3:$B$5000,"&gt;"&amp;$B2981))</f>
        <v>46279.5987644285</v>
      </c>
    </row>
    <row r="2982" customFormat="false" ht="15" hidden="false" customHeight="true" outlineLevel="0" collapsed="false">
      <c r="A2982" s="42"/>
      <c r="B2982" s="42"/>
      <c r="C2982" s="42"/>
      <c r="D2982" s="42"/>
      <c r="E2982" s="42"/>
      <c r="F2982" s="51" t="n">
        <f aca="false">IF(OR(C2982="",D2982="",E2982="",E2982=0),0,C2982*D2982/E2982)</f>
        <v>0</v>
      </c>
      <c r="G2982" s="42"/>
      <c r="H2982" s="49" t="n">
        <f aca="true">IF(OR($A2982="",_xlfn.MINIFS($B$3:$B$5000,$A$3:$A$5000,$A2982,$B$3:$B$5000,"&gt;"&amp;$B2982)=0),NOW(),_xlfn.MINIFS($B$3:$B$5000,$A$3:$A$5000,$A2982,$B$3:$B$5000,"&gt;"&amp;$B2982))</f>
        <v>46279.5987644286</v>
      </c>
    </row>
    <row r="2983" customFormat="false" ht="15" hidden="false" customHeight="true" outlineLevel="0" collapsed="false">
      <c r="A2983" s="42"/>
      <c r="B2983" s="42"/>
      <c r="C2983" s="42"/>
      <c r="D2983" s="42"/>
      <c r="E2983" s="42"/>
      <c r="F2983" s="51" t="n">
        <f aca="false">IF(OR(C2983="",D2983="",E2983="",E2983=0),0,C2983*D2983/E2983)</f>
        <v>0</v>
      </c>
      <c r="G2983" s="42"/>
      <c r="H2983" s="49" t="n">
        <f aca="true">IF(OR($A2983="",_xlfn.MINIFS($B$3:$B$5000,$A$3:$A$5000,$A2983,$B$3:$B$5000,"&gt;"&amp;$B2983)=0),NOW(),_xlfn.MINIFS($B$3:$B$5000,$A$3:$A$5000,$A2983,$B$3:$B$5000,"&gt;"&amp;$B2983))</f>
        <v>46279.5987644286</v>
      </c>
    </row>
    <row r="2984" customFormat="false" ht="15" hidden="false" customHeight="true" outlineLevel="0" collapsed="false">
      <c r="A2984" s="42"/>
      <c r="B2984" s="42"/>
      <c r="C2984" s="42"/>
      <c r="D2984" s="42"/>
      <c r="E2984" s="42"/>
      <c r="F2984" s="51" t="n">
        <f aca="false">IF(OR(C2984="",D2984="",E2984="",E2984=0),0,C2984*D2984/E2984)</f>
        <v>0</v>
      </c>
      <c r="G2984" s="42"/>
      <c r="H2984" s="49" t="n">
        <f aca="true">IF(OR($A2984="",_xlfn.MINIFS($B$3:$B$5000,$A$3:$A$5000,$A2984,$B$3:$B$5000,"&gt;"&amp;$B2984)=0),NOW(),_xlfn.MINIFS($B$3:$B$5000,$A$3:$A$5000,$A2984,$B$3:$B$5000,"&gt;"&amp;$B2984))</f>
        <v>46279.5987644287</v>
      </c>
    </row>
    <row r="2985" customFormat="false" ht="15" hidden="false" customHeight="true" outlineLevel="0" collapsed="false">
      <c r="A2985" s="42"/>
      <c r="B2985" s="42"/>
      <c r="C2985" s="42"/>
      <c r="D2985" s="42"/>
      <c r="E2985" s="42"/>
      <c r="F2985" s="51" t="n">
        <f aca="false">IF(OR(C2985="",D2985="",E2985="",E2985=0),0,C2985*D2985/E2985)</f>
        <v>0</v>
      </c>
      <c r="G2985" s="42"/>
      <c r="H2985" s="49" t="n">
        <f aca="true">IF(OR($A2985="",_xlfn.MINIFS($B$3:$B$5000,$A$3:$A$5000,$A2985,$B$3:$B$5000,"&gt;"&amp;$B2985)=0),NOW(),_xlfn.MINIFS($B$3:$B$5000,$A$3:$A$5000,$A2985,$B$3:$B$5000,"&gt;"&amp;$B2985))</f>
        <v>46279.5987644287</v>
      </c>
    </row>
    <row r="2986" customFormat="false" ht="15" hidden="false" customHeight="true" outlineLevel="0" collapsed="false">
      <c r="A2986" s="42"/>
      <c r="B2986" s="42"/>
      <c r="C2986" s="42"/>
      <c r="D2986" s="42"/>
      <c r="E2986" s="42"/>
      <c r="F2986" s="51" t="n">
        <f aca="false">IF(OR(C2986="",D2986="",E2986="",E2986=0),0,C2986*D2986/E2986)</f>
        <v>0</v>
      </c>
      <c r="G2986" s="42"/>
      <c r="H2986" s="49" t="n">
        <f aca="true">IF(OR($A2986="",_xlfn.MINIFS($B$3:$B$5000,$A$3:$A$5000,$A2986,$B$3:$B$5000,"&gt;"&amp;$B2986)=0),NOW(),_xlfn.MINIFS($B$3:$B$5000,$A$3:$A$5000,$A2986,$B$3:$B$5000,"&gt;"&amp;$B2986))</f>
        <v>46279.5987644288</v>
      </c>
    </row>
    <row r="2987" customFormat="false" ht="15" hidden="false" customHeight="true" outlineLevel="0" collapsed="false">
      <c r="A2987" s="42"/>
      <c r="B2987" s="42"/>
      <c r="C2987" s="42"/>
      <c r="D2987" s="42"/>
      <c r="E2987" s="42"/>
      <c r="F2987" s="51" t="n">
        <f aca="false">IF(OR(C2987="",D2987="",E2987="",E2987=0),0,C2987*D2987/E2987)</f>
        <v>0</v>
      </c>
      <c r="G2987" s="42"/>
      <c r="H2987" s="49" t="n">
        <f aca="true">IF(OR($A2987="",_xlfn.MINIFS($B$3:$B$5000,$A$3:$A$5000,$A2987,$B$3:$B$5000,"&gt;"&amp;$B2987)=0),NOW(),_xlfn.MINIFS($B$3:$B$5000,$A$3:$A$5000,$A2987,$B$3:$B$5000,"&gt;"&amp;$B2987))</f>
        <v>46279.5987644288</v>
      </c>
    </row>
    <row r="2988" customFormat="false" ht="15" hidden="false" customHeight="true" outlineLevel="0" collapsed="false">
      <c r="A2988" s="42"/>
      <c r="B2988" s="42"/>
      <c r="C2988" s="42"/>
      <c r="D2988" s="42"/>
      <c r="E2988" s="42"/>
      <c r="F2988" s="51" t="n">
        <f aca="false">IF(OR(C2988="",D2988="",E2988="",E2988=0),0,C2988*D2988/E2988)</f>
        <v>0</v>
      </c>
      <c r="G2988" s="42"/>
      <c r="H2988" s="49" t="n">
        <f aca="true">IF(OR($A2988="",_xlfn.MINIFS($B$3:$B$5000,$A$3:$A$5000,$A2988,$B$3:$B$5000,"&gt;"&amp;$B2988)=0),NOW(),_xlfn.MINIFS($B$3:$B$5000,$A$3:$A$5000,$A2988,$B$3:$B$5000,"&gt;"&amp;$B2988))</f>
        <v>46279.5987644289</v>
      </c>
    </row>
    <row r="2989" customFormat="false" ht="15" hidden="false" customHeight="true" outlineLevel="0" collapsed="false">
      <c r="A2989" s="42"/>
      <c r="B2989" s="42"/>
      <c r="C2989" s="42"/>
      <c r="D2989" s="42"/>
      <c r="E2989" s="42"/>
      <c r="F2989" s="51" t="n">
        <f aca="false">IF(OR(C2989="",D2989="",E2989="",E2989=0),0,C2989*D2989/E2989)</f>
        <v>0</v>
      </c>
      <c r="G2989" s="42"/>
      <c r="H2989" s="49" t="n">
        <f aca="true">IF(OR($A2989="",_xlfn.MINIFS($B$3:$B$5000,$A$3:$A$5000,$A2989,$B$3:$B$5000,"&gt;"&amp;$B2989)=0),NOW(),_xlfn.MINIFS($B$3:$B$5000,$A$3:$A$5000,$A2989,$B$3:$B$5000,"&gt;"&amp;$B2989))</f>
        <v>46279.5987644289</v>
      </c>
    </row>
    <row r="2990" customFormat="false" ht="15" hidden="false" customHeight="true" outlineLevel="0" collapsed="false">
      <c r="A2990" s="42"/>
      <c r="B2990" s="42"/>
      <c r="C2990" s="42"/>
      <c r="D2990" s="42"/>
      <c r="E2990" s="42"/>
      <c r="F2990" s="51" t="n">
        <f aca="false">IF(OR(C2990="",D2990="",E2990="",E2990=0),0,C2990*D2990/E2990)</f>
        <v>0</v>
      </c>
      <c r="G2990" s="42"/>
      <c r="H2990" s="49" t="n">
        <f aca="true">IF(OR($A2990="",_xlfn.MINIFS($B$3:$B$5000,$A$3:$A$5000,$A2990,$B$3:$B$5000,"&gt;"&amp;$B2990)=0),NOW(),_xlfn.MINIFS($B$3:$B$5000,$A$3:$A$5000,$A2990,$B$3:$B$5000,"&gt;"&amp;$B2990))</f>
        <v>46279.598764429</v>
      </c>
    </row>
    <row r="2991" customFormat="false" ht="15" hidden="false" customHeight="true" outlineLevel="0" collapsed="false">
      <c r="A2991" s="42"/>
      <c r="B2991" s="42"/>
      <c r="C2991" s="42"/>
      <c r="D2991" s="42"/>
      <c r="E2991" s="42"/>
      <c r="F2991" s="51" t="n">
        <f aca="false">IF(OR(C2991="",D2991="",E2991="",E2991=0),0,C2991*D2991/E2991)</f>
        <v>0</v>
      </c>
      <c r="G2991" s="42"/>
      <c r="H2991" s="49" t="n">
        <f aca="true">IF(OR($A2991="",_xlfn.MINIFS($B$3:$B$5000,$A$3:$A$5000,$A2991,$B$3:$B$5000,"&gt;"&amp;$B2991)=0),NOW(),_xlfn.MINIFS($B$3:$B$5000,$A$3:$A$5000,$A2991,$B$3:$B$5000,"&gt;"&amp;$B2991))</f>
        <v>46279.598764429</v>
      </c>
    </row>
    <row r="2992" customFormat="false" ht="15" hidden="false" customHeight="true" outlineLevel="0" collapsed="false">
      <c r="A2992" s="42"/>
      <c r="B2992" s="42"/>
      <c r="C2992" s="42"/>
      <c r="D2992" s="42"/>
      <c r="E2992" s="42"/>
      <c r="F2992" s="51" t="n">
        <f aca="false">IF(OR(C2992="",D2992="",E2992="",E2992=0),0,C2992*D2992/E2992)</f>
        <v>0</v>
      </c>
      <c r="G2992" s="42"/>
      <c r="H2992" s="49" t="n">
        <f aca="true">IF(OR($A2992="",_xlfn.MINIFS($B$3:$B$5000,$A$3:$A$5000,$A2992,$B$3:$B$5000,"&gt;"&amp;$B2992)=0),NOW(),_xlfn.MINIFS($B$3:$B$5000,$A$3:$A$5000,$A2992,$B$3:$B$5000,"&gt;"&amp;$B2992))</f>
        <v>46279.5987644291</v>
      </c>
    </row>
    <row r="2993" customFormat="false" ht="15" hidden="false" customHeight="true" outlineLevel="0" collapsed="false">
      <c r="A2993" s="42"/>
      <c r="B2993" s="42"/>
      <c r="C2993" s="42"/>
      <c r="D2993" s="42"/>
      <c r="E2993" s="42"/>
      <c r="F2993" s="51" t="n">
        <f aca="false">IF(OR(C2993="",D2993="",E2993="",E2993=0),0,C2993*D2993/E2993)</f>
        <v>0</v>
      </c>
      <c r="G2993" s="42"/>
      <c r="H2993" s="49" t="n">
        <f aca="true">IF(OR($A2993="",_xlfn.MINIFS($B$3:$B$5000,$A$3:$A$5000,$A2993,$B$3:$B$5000,"&gt;"&amp;$B2993)=0),NOW(),_xlfn.MINIFS($B$3:$B$5000,$A$3:$A$5000,$A2993,$B$3:$B$5000,"&gt;"&amp;$B2993))</f>
        <v>46279.5987644291</v>
      </c>
    </row>
    <row r="2994" customFormat="false" ht="15" hidden="false" customHeight="true" outlineLevel="0" collapsed="false">
      <c r="A2994" s="42"/>
      <c r="B2994" s="42"/>
      <c r="C2994" s="42"/>
      <c r="D2994" s="42"/>
      <c r="E2994" s="42"/>
      <c r="F2994" s="51" t="n">
        <f aca="false">IF(OR(C2994="",D2994="",E2994="",E2994=0),0,C2994*D2994/E2994)</f>
        <v>0</v>
      </c>
      <c r="G2994" s="42"/>
      <c r="H2994" s="49" t="n">
        <f aca="true">IF(OR($A2994="",_xlfn.MINIFS($B$3:$B$5000,$A$3:$A$5000,$A2994,$B$3:$B$5000,"&gt;"&amp;$B2994)=0),NOW(),_xlfn.MINIFS($B$3:$B$5000,$A$3:$A$5000,$A2994,$B$3:$B$5000,"&gt;"&amp;$B2994))</f>
        <v>46279.5987644292</v>
      </c>
    </row>
    <row r="2995" customFormat="false" ht="15" hidden="false" customHeight="true" outlineLevel="0" collapsed="false">
      <c r="A2995" s="42"/>
      <c r="B2995" s="42"/>
      <c r="C2995" s="42"/>
      <c r="D2995" s="42"/>
      <c r="E2995" s="42"/>
      <c r="F2995" s="51" t="n">
        <f aca="false">IF(OR(C2995="",D2995="",E2995="",E2995=0),0,C2995*D2995/E2995)</f>
        <v>0</v>
      </c>
      <c r="G2995" s="42"/>
      <c r="H2995" s="49" t="n">
        <f aca="true">IF(OR($A2995="",_xlfn.MINIFS($B$3:$B$5000,$A$3:$A$5000,$A2995,$B$3:$B$5000,"&gt;"&amp;$B2995)=0),NOW(),_xlfn.MINIFS($B$3:$B$5000,$A$3:$A$5000,$A2995,$B$3:$B$5000,"&gt;"&amp;$B2995))</f>
        <v>46279.5987644292</v>
      </c>
    </row>
    <row r="2996" customFormat="false" ht="15" hidden="false" customHeight="true" outlineLevel="0" collapsed="false">
      <c r="A2996" s="42"/>
      <c r="B2996" s="42"/>
      <c r="C2996" s="42"/>
      <c r="D2996" s="42"/>
      <c r="E2996" s="42"/>
      <c r="F2996" s="51" t="n">
        <f aca="false">IF(OR(C2996="",D2996="",E2996="",E2996=0),0,C2996*D2996/E2996)</f>
        <v>0</v>
      </c>
      <c r="G2996" s="42"/>
      <c r="H2996" s="49" t="n">
        <f aca="true">IF(OR($A2996="",_xlfn.MINIFS($B$3:$B$5000,$A$3:$A$5000,$A2996,$B$3:$B$5000,"&gt;"&amp;$B2996)=0),NOW(),_xlfn.MINIFS($B$3:$B$5000,$A$3:$A$5000,$A2996,$B$3:$B$5000,"&gt;"&amp;$B2996))</f>
        <v>46279.5987644293</v>
      </c>
    </row>
    <row r="2997" customFormat="false" ht="15" hidden="false" customHeight="true" outlineLevel="0" collapsed="false">
      <c r="A2997" s="42"/>
      <c r="B2997" s="42"/>
      <c r="C2997" s="42"/>
      <c r="D2997" s="42"/>
      <c r="E2997" s="42"/>
      <c r="F2997" s="51" t="n">
        <f aca="false">IF(OR(C2997="",D2997="",E2997="",E2997=0),0,C2997*D2997/E2997)</f>
        <v>0</v>
      </c>
      <c r="G2997" s="42"/>
      <c r="H2997" s="49" t="n">
        <f aca="true">IF(OR($A2997="",_xlfn.MINIFS($B$3:$B$5000,$A$3:$A$5000,$A2997,$B$3:$B$5000,"&gt;"&amp;$B2997)=0),NOW(),_xlfn.MINIFS($B$3:$B$5000,$A$3:$A$5000,$A2997,$B$3:$B$5000,"&gt;"&amp;$B2997))</f>
        <v>46279.5987644293</v>
      </c>
    </row>
    <row r="2998" customFormat="false" ht="15" hidden="false" customHeight="true" outlineLevel="0" collapsed="false">
      <c r="A2998" s="42"/>
      <c r="B2998" s="42"/>
      <c r="C2998" s="42"/>
      <c r="D2998" s="42"/>
      <c r="E2998" s="42"/>
      <c r="F2998" s="51" t="n">
        <f aca="false">IF(OR(C2998="",D2998="",E2998="",E2998=0),0,C2998*D2998/E2998)</f>
        <v>0</v>
      </c>
      <c r="G2998" s="42"/>
      <c r="H2998" s="49" t="n">
        <f aca="true">IF(OR($A2998="",_xlfn.MINIFS($B$3:$B$5000,$A$3:$A$5000,$A2998,$B$3:$B$5000,"&gt;"&amp;$B2998)=0),NOW(),_xlfn.MINIFS($B$3:$B$5000,$A$3:$A$5000,$A2998,$B$3:$B$5000,"&gt;"&amp;$B2998))</f>
        <v>46279.5987644294</v>
      </c>
    </row>
    <row r="2999" customFormat="false" ht="15" hidden="false" customHeight="true" outlineLevel="0" collapsed="false">
      <c r="A2999" s="42"/>
      <c r="B2999" s="42"/>
      <c r="C2999" s="42"/>
      <c r="D2999" s="42"/>
      <c r="E2999" s="42"/>
      <c r="F2999" s="51" t="n">
        <f aca="false">IF(OR(C2999="",D2999="",E2999="",E2999=0),0,C2999*D2999/E2999)</f>
        <v>0</v>
      </c>
      <c r="G2999" s="42"/>
      <c r="H2999" s="49" t="n">
        <f aca="true">IF(OR($A2999="",_xlfn.MINIFS($B$3:$B$5000,$A$3:$A$5000,$A2999,$B$3:$B$5000,"&gt;"&amp;$B2999)=0),NOW(),_xlfn.MINIFS($B$3:$B$5000,$A$3:$A$5000,$A2999,$B$3:$B$5000,"&gt;"&amp;$B2999))</f>
        <v>46279.5987644295</v>
      </c>
    </row>
    <row r="3000" customFormat="false" ht="15" hidden="false" customHeight="true" outlineLevel="0" collapsed="false">
      <c r="A3000" s="42"/>
      <c r="B3000" s="42"/>
      <c r="C3000" s="42"/>
      <c r="D3000" s="42"/>
      <c r="E3000" s="42"/>
      <c r="F3000" s="51" t="n">
        <f aca="false">IF(OR(C3000="",D3000="",E3000="",E3000=0),0,C3000*D3000/E3000)</f>
        <v>0</v>
      </c>
      <c r="G3000" s="42"/>
      <c r="H3000" s="49" t="n">
        <f aca="true">IF(OR($A3000="",_xlfn.MINIFS($B$3:$B$5000,$A$3:$A$5000,$A3000,$B$3:$B$5000,"&gt;"&amp;$B3000)=0),NOW(),_xlfn.MINIFS($B$3:$B$5000,$A$3:$A$5000,$A3000,$B$3:$B$5000,"&gt;"&amp;$B3000))</f>
        <v>46279.5987644295</v>
      </c>
    </row>
    <row r="3001" customFormat="false" ht="15" hidden="false" customHeight="true" outlineLevel="0" collapsed="false">
      <c r="A3001" s="42"/>
      <c r="B3001" s="42"/>
      <c r="C3001" s="42"/>
      <c r="D3001" s="42"/>
      <c r="E3001" s="42"/>
      <c r="F3001" s="51" t="n">
        <f aca="false">IF(OR(C3001="",D3001="",E3001="",E3001=0),0,C3001*D3001/E3001)</f>
        <v>0</v>
      </c>
      <c r="G3001" s="42"/>
      <c r="H3001" s="49" t="n">
        <f aca="true">IF(OR($A3001="",_xlfn.MINIFS($B$3:$B$5000,$A$3:$A$5000,$A3001,$B$3:$B$5000,"&gt;"&amp;$B3001)=0),NOW(),_xlfn.MINIFS($B$3:$B$5000,$A$3:$A$5000,$A3001,$B$3:$B$5000,"&gt;"&amp;$B3001))</f>
        <v>46279.5987644296</v>
      </c>
    </row>
    <row r="3002" customFormat="false" ht="15" hidden="false" customHeight="true" outlineLevel="0" collapsed="false">
      <c r="A3002" s="42"/>
      <c r="B3002" s="42"/>
      <c r="C3002" s="42"/>
      <c r="D3002" s="42"/>
      <c r="E3002" s="42"/>
      <c r="F3002" s="51" t="n">
        <f aca="false">IF(OR(C3002="",D3002="",E3002="",E3002=0),0,C3002*D3002/E3002)</f>
        <v>0</v>
      </c>
      <c r="G3002" s="42"/>
      <c r="H3002" s="49" t="n">
        <f aca="true">IF(OR($A3002="",_xlfn.MINIFS($B$3:$B$5000,$A$3:$A$5000,$A3002,$B$3:$B$5000,"&gt;"&amp;$B3002)=0),NOW(),_xlfn.MINIFS($B$3:$B$5000,$A$3:$A$5000,$A3002,$B$3:$B$5000,"&gt;"&amp;$B3002))</f>
        <v>46279.5987644296</v>
      </c>
    </row>
    <row r="3003" customFormat="false" ht="15" hidden="false" customHeight="true" outlineLevel="0" collapsed="false">
      <c r="A3003" s="42"/>
      <c r="B3003" s="42"/>
      <c r="C3003" s="42"/>
      <c r="D3003" s="42"/>
      <c r="E3003" s="42"/>
      <c r="F3003" s="51" t="n">
        <f aca="false">IF(OR(C3003="",D3003="",E3003="",E3003=0),0,C3003*D3003/E3003)</f>
        <v>0</v>
      </c>
      <c r="G3003" s="42"/>
      <c r="H3003" s="49" t="n">
        <f aca="true">IF(OR($A3003="",_xlfn.MINIFS($B$3:$B$5000,$A$3:$A$5000,$A3003,$B$3:$B$5000,"&gt;"&amp;$B3003)=0),NOW(),_xlfn.MINIFS($B$3:$B$5000,$A$3:$A$5000,$A3003,$B$3:$B$5000,"&gt;"&amp;$B3003))</f>
        <v>46279.5987644297</v>
      </c>
    </row>
    <row r="3004" customFormat="false" ht="15" hidden="false" customHeight="true" outlineLevel="0" collapsed="false">
      <c r="A3004" s="42"/>
      <c r="B3004" s="42"/>
      <c r="C3004" s="42"/>
      <c r="D3004" s="42"/>
      <c r="E3004" s="42"/>
      <c r="F3004" s="51" t="n">
        <f aca="false">IF(OR(C3004="",D3004="",E3004="",E3004=0),0,C3004*D3004/E3004)</f>
        <v>0</v>
      </c>
      <c r="G3004" s="42"/>
      <c r="H3004" s="49" t="n">
        <f aca="true">IF(OR($A3004="",_xlfn.MINIFS($B$3:$B$5000,$A$3:$A$5000,$A3004,$B$3:$B$5000,"&gt;"&amp;$B3004)=0),NOW(),_xlfn.MINIFS($B$3:$B$5000,$A$3:$A$5000,$A3004,$B$3:$B$5000,"&gt;"&amp;$B3004))</f>
        <v>46279.5987644297</v>
      </c>
    </row>
    <row r="3005" customFormat="false" ht="15" hidden="false" customHeight="true" outlineLevel="0" collapsed="false">
      <c r="A3005" s="42"/>
      <c r="B3005" s="42"/>
      <c r="C3005" s="42"/>
      <c r="D3005" s="42"/>
      <c r="E3005" s="42"/>
      <c r="F3005" s="51" t="n">
        <f aca="false">IF(OR(C3005="",D3005="",E3005="",E3005=0),0,C3005*D3005/E3005)</f>
        <v>0</v>
      </c>
      <c r="G3005" s="42"/>
      <c r="H3005" s="49" t="n">
        <f aca="true">IF(OR($A3005="",_xlfn.MINIFS($B$3:$B$5000,$A$3:$A$5000,$A3005,$B$3:$B$5000,"&gt;"&amp;$B3005)=0),NOW(),_xlfn.MINIFS($B$3:$B$5000,$A$3:$A$5000,$A3005,$B$3:$B$5000,"&gt;"&amp;$B3005))</f>
        <v>46279.5987644298</v>
      </c>
    </row>
    <row r="3006" customFormat="false" ht="15" hidden="false" customHeight="true" outlineLevel="0" collapsed="false">
      <c r="A3006" s="42"/>
      <c r="B3006" s="42"/>
      <c r="C3006" s="42"/>
      <c r="D3006" s="42"/>
      <c r="E3006" s="42"/>
      <c r="F3006" s="51" t="n">
        <f aca="false">IF(OR(C3006="",D3006="",E3006="",E3006=0),0,C3006*D3006/E3006)</f>
        <v>0</v>
      </c>
      <c r="G3006" s="42"/>
      <c r="H3006" s="49" t="n">
        <f aca="true">IF(OR($A3006="",_xlfn.MINIFS($B$3:$B$5000,$A$3:$A$5000,$A3006,$B$3:$B$5000,"&gt;"&amp;$B3006)=0),NOW(),_xlfn.MINIFS($B$3:$B$5000,$A$3:$A$5000,$A3006,$B$3:$B$5000,"&gt;"&amp;$B3006))</f>
        <v>46279.5987644298</v>
      </c>
    </row>
    <row r="3007" customFormat="false" ht="15" hidden="false" customHeight="true" outlineLevel="0" collapsed="false">
      <c r="A3007" s="42"/>
      <c r="B3007" s="42"/>
      <c r="C3007" s="42"/>
      <c r="D3007" s="42"/>
      <c r="E3007" s="42"/>
      <c r="F3007" s="51" t="n">
        <f aca="false">IF(OR(C3007="",D3007="",E3007="",E3007=0),0,C3007*D3007/E3007)</f>
        <v>0</v>
      </c>
      <c r="G3007" s="42"/>
      <c r="H3007" s="49" t="n">
        <f aca="true">IF(OR($A3007="",_xlfn.MINIFS($B$3:$B$5000,$A$3:$A$5000,$A3007,$B$3:$B$5000,"&gt;"&amp;$B3007)=0),NOW(),_xlfn.MINIFS($B$3:$B$5000,$A$3:$A$5000,$A3007,$B$3:$B$5000,"&gt;"&amp;$B3007))</f>
        <v>46279.5987644299</v>
      </c>
    </row>
    <row r="3008" customFormat="false" ht="15" hidden="false" customHeight="true" outlineLevel="0" collapsed="false">
      <c r="A3008" s="42"/>
      <c r="B3008" s="42"/>
      <c r="C3008" s="42"/>
      <c r="D3008" s="42"/>
      <c r="E3008" s="42"/>
      <c r="F3008" s="51" t="n">
        <f aca="false">IF(OR(C3008="",D3008="",E3008="",E3008=0),0,C3008*D3008/E3008)</f>
        <v>0</v>
      </c>
      <c r="G3008" s="42"/>
      <c r="H3008" s="49" t="n">
        <f aca="true">IF(OR($A3008="",_xlfn.MINIFS($B$3:$B$5000,$A$3:$A$5000,$A3008,$B$3:$B$5000,"&gt;"&amp;$B3008)=0),NOW(),_xlfn.MINIFS($B$3:$B$5000,$A$3:$A$5000,$A3008,$B$3:$B$5000,"&gt;"&amp;$B3008))</f>
        <v>46279.5987644299</v>
      </c>
    </row>
    <row r="3009" customFormat="false" ht="15" hidden="false" customHeight="true" outlineLevel="0" collapsed="false">
      <c r="A3009" s="42"/>
      <c r="B3009" s="42"/>
      <c r="C3009" s="42"/>
      <c r="D3009" s="42"/>
      <c r="E3009" s="42"/>
      <c r="F3009" s="51" t="n">
        <f aca="false">IF(OR(C3009="",D3009="",E3009="",E3009=0),0,C3009*D3009/E3009)</f>
        <v>0</v>
      </c>
      <c r="G3009" s="42"/>
      <c r="H3009" s="49" t="n">
        <f aca="true">IF(OR($A3009="",_xlfn.MINIFS($B$3:$B$5000,$A$3:$A$5000,$A3009,$B$3:$B$5000,"&gt;"&amp;$B3009)=0),NOW(),_xlfn.MINIFS($B$3:$B$5000,$A$3:$A$5000,$A3009,$B$3:$B$5000,"&gt;"&amp;$B3009))</f>
        <v>46279.59876443</v>
      </c>
    </row>
    <row r="3010" customFormat="false" ht="15" hidden="false" customHeight="true" outlineLevel="0" collapsed="false">
      <c r="A3010" s="42"/>
      <c r="B3010" s="42"/>
      <c r="C3010" s="42"/>
      <c r="D3010" s="42"/>
      <c r="E3010" s="42"/>
      <c r="F3010" s="51" t="n">
        <f aca="false">IF(OR(C3010="",D3010="",E3010="",E3010=0),0,C3010*D3010/E3010)</f>
        <v>0</v>
      </c>
      <c r="G3010" s="42"/>
      <c r="H3010" s="49" t="n">
        <f aca="true">IF(OR($A3010="",_xlfn.MINIFS($B$3:$B$5000,$A$3:$A$5000,$A3010,$B$3:$B$5000,"&gt;"&amp;$B3010)=0),NOW(),_xlfn.MINIFS($B$3:$B$5000,$A$3:$A$5000,$A3010,$B$3:$B$5000,"&gt;"&amp;$B3010))</f>
        <v>46279.59876443</v>
      </c>
    </row>
    <row r="3011" customFormat="false" ht="15" hidden="false" customHeight="true" outlineLevel="0" collapsed="false">
      <c r="A3011" s="42"/>
      <c r="B3011" s="42"/>
      <c r="C3011" s="42"/>
      <c r="D3011" s="42"/>
      <c r="E3011" s="42"/>
      <c r="F3011" s="51" t="n">
        <f aca="false">IF(OR(C3011="",D3011="",E3011="",E3011=0),0,C3011*D3011/E3011)</f>
        <v>0</v>
      </c>
      <c r="G3011" s="42"/>
      <c r="H3011" s="49" t="n">
        <f aca="true">IF(OR($A3011="",_xlfn.MINIFS($B$3:$B$5000,$A$3:$A$5000,$A3011,$B$3:$B$5000,"&gt;"&amp;$B3011)=0),NOW(),_xlfn.MINIFS($B$3:$B$5000,$A$3:$A$5000,$A3011,$B$3:$B$5000,"&gt;"&amp;$B3011))</f>
        <v>46279.5987644301</v>
      </c>
    </row>
    <row r="3012" customFormat="false" ht="15" hidden="false" customHeight="true" outlineLevel="0" collapsed="false">
      <c r="A3012" s="42"/>
      <c r="B3012" s="42"/>
      <c r="C3012" s="42"/>
      <c r="D3012" s="42"/>
      <c r="E3012" s="42"/>
      <c r="F3012" s="51" t="n">
        <f aca="false">IF(OR(C3012="",D3012="",E3012="",E3012=0),0,C3012*D3012/E3012)</f>
        <v>0</v>
      </c>
      <c r="G3012" s="42"/>
      <c r="H3012" s="49" t="n">
        <f aca="true">IF(OR($A3012="",_xlfn.MINIFS($B$3:$B$5000,$A$3:$A$5000,$A3012,$B$3:$B$5000,"&gt;"&amp;$B3012)=0),NOW(),_xlfn.MINIFS($B$3:$B$5000,$A$3:$A$5000,$A3012,$B$3:$B$5000,"&gt;"&amp;$B3012))</f>
        <v>46279.5987644301</v>
      </c>
    </row>
    <row r="3013" customFormat="false" ht="15" hidden="false" customHeight="true" outlineLevel="0" collapsed="false">
      <c r="A3013" s="42"/>
      <c r="B3013" s="42"/>
      <c r="C3013" s="42"/>
      <c r="D3013" s="42"/>
      <c r="E3013" s="42"/>
      <c r="F3013" s="51" t="n">
        <f aca="false">IF(OR(C3013="",D3013="",E3013="",E3013=0),0,C3013*D3013/E3013)</f>
        <v>0</v>
      </c>
      <c r="G3013" s="42"/>
      <c r="H3013" s="49" t="n">
        <f aca="true">IF(OR($A3013="",_xlfn.MINIFS($B$3:$B$5000,$A$3:$A$5000,$A3013,$B$3:$B$5000,"&gt;"&amp;$B3013)=0),NOW(),_xlfn.MINIFS($B$3:$B$5000,$A$3:$A$5000,$A3013,$B$3:$B$5000,"&gt;"&amp;$B3013))</f>
        <v>46279.5987644302</v>
      </c>
    </row>
    <row r="3014" customFormat="false" ht="15" hidden="false" customHeight="true" outlineLevel="0" collapsed="false">
      <c r="A3014" s="42"/>
      <c r="B3014" s="42"/>
      <c r="C3014" s="42"/>
      <c r="D3014" s="42"/>
      <c r="E3014" s="42"/>
      <c r="F3014" s="51" t="n">
        <f aca="false">IF(OR(C3014="",D3014="",E3014="",E3014=0),0,C3014*D3014/E3014)</f>
        <v>0</v>
      </c>
      <c r="G3014" s="42"/>
      <c r="H3014" s="49" t="n">
        <f aca="true">IF(OR($A3014="",_xlfn.MINIFS($B$3:$B$5000,$A$3:$A$5000,$A3014,$B$3:$B$5000,"&gt;"&amp;$B3014)=0),NOW(),_xlfn.MINIFS($B$3:$B$5000,$A$3:$A$5000,$A3014,$B$3:$B$5000,"&gt;"&amp;$B3014))</f>
        <v>46279.5987644302</v>
      </c>
    </row>
    <row r="3015" customFormat="false" ht="15" hidden="false" customHeight="true" outlineLevel="0" collapsed="false">
      <c r="A3015" s="42"/>
      <c r="B3015" s="42"/>
      <c r="C3015" s="42"/>
      <c r="D3015" s="42"/>
      <c r="E3015" s="42"/>
      <c r="F3015" s="51" t="n">
        <f aca="false">IF(OR(C3015="",D3015="",E3015="",E3015=0),0,C3015*D3015/E3015)</f>
        <v>0</v>
      </c>
      <c r="G3015" s="42"/>
      <c r="H3015" s="49" t="n">
        <f aca="true">IF(OR($A3015="",_xlfn.MINIFS($B$3:$B$5000,$A$3:$A$5000,$A3015,$B$3:$B$5000,"&gt;"&amp;$B3015)=0),NOW(),_xlfn.MINIFS($B$3:$B$5000,$A$3:$A$5000,$A3015,$B$3:$B$5000,"&gt;"&amp;$B3015))</f>
        <v>46279.5987644303</v>
      </c>
    </row>
    <row r="3016" customFormat="false" ht="15" hidden="false" customHeight="true" outlineLevel="0" collapsed="false">
      <c r="A3016" s="42"/>
      <c r="B3016" s="42"/>
      <c r="C3016" s="42"/>
      <c r="D3016" s="42"/>
      <c r="E3016" s="42"/>
      <c r="F3016" s="51" t="n">
        <f aca="false">IF(OR(C3016="",D3016="",E3016="",E3016=0),0,C3016*D3016/E3016)</f>
        <v>0</v>
      </c>
      <c r="G3016" s="42"/>
      <c r="H3016" s="49" t="n">
        <f aca="true">IF(OR($A3016="",_xlfn.MINIFS($B$3:$B$5000,$A$3:$A$5000,$A3016,$B$3:$B$5000,"&gt;"&amp;$B3016)=0),NOW(),_xlfn.MINIFS($B$3:$B$5000,$A$3:$A$5000,$A3016,$B$3:$B$5000,"&gt;"&amp;$B3016))</f>
        <v>46279.5987644303</v>
      </c>
    </row>
    <row r="3017" customFormat="false" ht="15" hidden="false" customHeight="true" outlineLevel="0" collapsed="false">
      <c r="A3017" s="42"/>
      <c r="B3017" s="42"/>
      <c r="C3017" s="42"/>
      <c r="D3017" s="42"/>
      <c r="E3017" s="42"/>
      <c r="F3017" s="51" t="n">
        <f aca="false">IF(OR(C3017="",D3017="",E3017="",E3017=0),0,C3017*D3017/E3017)</f>
        <v>0</v>
      </c>
      <c r="G3017" s="42"/>
      <c r="H3017" s="49" t="n">
        <f aca="true">IF(OR($A3017="",_xlfn.MINIFS($B$3:$B$5000,$A$3:$A$5000,$A3017,$B$3:$B$5000,"&gt;"&amp;$B3017)=0),NOW(),_xlfn.MINIFS($B$3:$B$5000,$A$3:$A$5000,$A3017,$B$3:$B$5000,"&gt;"&amp;$B3017))</f>
        <v>46279.5987644304</v>
      </c>
    </row>
    <row r="3018" customFormat="false" ht="15" hidden="false" customHeight="true" outlineLevel="0" collapsed="false">
      <c r="A3018" s="42"/>
      <c r="B3018" s="42"/>
      <c r="C3018" s="42"/>
      <c r="D3018" s="42"/>
      <c r="E3018" s="42"/>
      <c r="F3018" s="51" t="n">
        <f aca="false">IF(OR(C3018="",D3018="",E3018="",E3018=0),0,C3018*D3018/E3018)</f>
        <v>0</v>
      </c>
      <c r="G3018" s="42"/>
      <c r="H3018" s="49" t="n">
        <f aca="true">IF(OR($A3018="",_xlfn.MINIFS($B$3:$B$5000,$A$3:$A$5000,$A3018,$B$3:$B$5000,"&gt;"&amp;$B3018)=0),NOW(),_xlfn.MINIFS($B$3:$B$5000,$A$3:$A$5000,$A3018,$B$3:$B$5000,"&gt;"&amp;$B3018))</f>
        <v>46279.5987644304</v>
      </c>
    </row>
    <row r="3019" customFormat="false" ht="15" hidden="false" customHeight="true" outlineLevel="0" collapsed="false">
      <c r="A3019" s="42"/>
      <c r="B3019" s="42"/>
      <c r="C3019" s="42"/>
      <c r="D3019" s="42"/>
      <c r="E3019" s="42"/>
      <c r="F3019" s="51" t="n">
        <f aca="false">IF(OR(C3019="",D3019="",E3019="",E3019=0),0,C3019*D3019/E3019)</f>
        <v>0</v>
      </c>
      <c r="G3019" s="42"/>
      <c r="H3019" s="49" t="n">
        <f aca="true">IF(OR($A3019="",_xlfn.MINIFS($B$3:$B$5000,$A$3:$A$5000,$A3019,$B$3:$B$5000,"&gt;"&amp;$B3019)=0),NOW(),_xlfn.MINIFS($B$3:$B$5000,$A$3:$A$5000,$A3019,$B$3:$B$5000,"&gt;"&amp;$B3019))</f>
        <v>46279.5987644305</v>
      </c>
    </row>
    <row r="3020" customFormat="false" ht="15" hidden="false" customHeight="true" outlineLevel="0" collapsed="false">
      <c r="A3020" s="42"/>
      <c r="B3020" s="42"/>
      <c r="C3020" s="42"/>
      <c r="D3020" s="42"/>
      <c r="E3020" s="42"/>
      <c r="F3020" s="51" t="n">
        <f aca="false">IF(OR(C3020="",D3020="",E3020="",E3020=0),0,C3020*D3020/E3020)</f>
        <v>0</v>
      </c>
      <c r="G3020" s="42"/>
      <c r="H3020" s="49" t="n">
        <f aca="true">IF(OR($A3020="",_xlfn.MINIFS($B$3:$B$5000,$A$3:$A$5000,$A3020,$B$3:$B$5000,"&gt;"&amp;$B3020)=0),NOW(),_xlfn.MINIFS($B$3:$B$5000,$A$3:$A$5000,$A3020,$B$3:$B$5000,"&gt;"&amp;$B3020))</f>
        <v>46279.5987644305</v>
      </c>
    </row>
    <row r="3021" customFormat="false" ht="15" hidden="false" customHeight="true" outlineLevel="0" collapsed="false">
      <c r="A3021" s="42"/>
      <c r="B3021" s="42"/>
      <c r="C3021" s="42"/>
      <c r="D3021" s="42"/>
      <c r="E3021" s="42"/>
      <c r="F3021" s="51" t="n">
        <f aca="false">IF(OR(C3021="",D3021="",E3021="",E3021=0),0,C3021*D3021/E3021)</f>
        <v>0</v>
      </c>
      <c r="G3021" s="42"/>
      <c r="H3021" s="49" t="n">
        <f aca="true">IF(OR($A3021="",_xlfn.MINIFS($B$3:$B$5000,$A$3:$A$5000,$A3021,$B$3:$B$5000,"&gt;"&amp;$B3021)=0),NOW(),_xlfn.MINIFS($B$3:$B$5000,$A$3:$A$5000,$A3021,$B$3:$B$5000,"&gt;"&amp;$B3021))</f>
        <v>46279.5987644306</v>
      </c>
    </row>
    <row r="3022" customFormat="false" ht="15" hidden="false" customHeight="true" outlineLevel="0" collapsed="false">
      <c r="A3022" s="42"/>
      <c r="B3022" s="42"/>
      <c r="C3022" s="42"/>
      <c r="D3022" s="42"/>
      <c r="E3022" s="42"/>
      <c r="F3022" s="51" t="n">
        <f aca="false">IF(OR(C3022="",D3022="",E3022="",E3022=0),0,C3022*D3022/E3022)</f>
        <v>0</v>
      </c>
      <c r="G3022" s="42"/>
      <c r="H3022" s="49" t="n">
        <f aca="true">IF(OR($A3022="",_xlfn.MINIFS($B$3:$B$5000,$A$3:$A$5000,$A3022,$B$3:$B$5000,"&gt;"&amp;$B3022)=0),NOW(),_xlfn.MINIFS($B$3:$B$5000,$A$3:$A$5000,$A3022,$B$3:$B$5000,"&gt;"&amp;$B3022))</f>
        <v>46279.5987644306</v>
      </c>
    </row>
    <row r="3023" customFormat="false" ht="15" hidden="false" customHeight="true" outlineLevel="0" collapsed="false">
      <c r="A3023" s="42"/>
      <c r="B3023" s="42"/>
      <c r="C3023" s="42"/>
      <c r="D3023" s="42"/>
      <c r="E3023" s="42"/>
      <c r="F3023" s="51" t="n">
        <f aca="false">IF(OR(C3023="",D3023="",E3023="",E3023=0),0,C3023*D3023/E3023)</f>
        <v>0</v>
      </c>
      <c r="G3023" s="42"/>
      <c r="H3023" s="49" t="n">
        <f aca="true">IF(OR($A3023="",_xlfn.MINIFS($B$3:$B$5000,$A$3:$A$5000,$A3023,$B$3:$B$5000,"&gt;"&amp;$B3023)=0),NOW(),_xlfn.MINIFS($B$3:$B$5000,$A$3:$A$5000,$A3023,$B$3:$B$5000,"&gt;"&amp;$B3023))</f>
        <v>46279.5987644307</v>
      </c>
    </row>
    <row r="3024" customFormat="false" ht="15" hidden="false" customHeight="true" outlineLevel="0" collapsed="false">
      <c r="A3024" s="42"/>
      <c r="B3024" s="42"/>
      <c r="C3024" s="42"/>
      <c r="D3024" s="42"/>
      <c r="E3024" s="42"/>
      <c r="F3024" s="51" t="n">
        <f aca="false">IF(OR(C3024="",D3024="",E3024="",E3024=0),0,C3024*D3024/E3024)</f>
        <v>0</v>
      </c>
      <c r="G3024" s="42"/>
      <c r="H3024" s="49" t="n">
        <f aca="true">IF(OR($A3024="",_xlfn.MINIFS($B$3:$B$5000,$A$3:$A$5000,$A3024,$B$3:$B$5000,"&gt;"&amp;$B3024)=0),NOW(),_xlfn.MINIFS($B$3:$B$5000,$A$3:$A$5000,$A3024,$B$3:$B$5000,"&gt;"&amp;$B3024))</f>
        <v>46279.5987644307</v>
      </c>
    </row>
    <row r="3025" customFormat="false" ht="15" hidden="false" customHeight="true" outlineLevel="0" collapsed="false">
      <c r="A3025" s="42"/>
      <c r="B3025" s="42"/>
      <c r="C3025" s="42"/>
      <c r="D3025" s="42"/>
      <c r="E3025" s="42"/>
      <c r="F3025" s="51" t="n">
        <f aca="false">IF(OR(C3025="",D3025="",E3025="",E3025=0),0,C3025*D3025/E3025)</f>
        <v>0</v>
      </c>
      <c r="G3025" s="42"/>
      <c r="H3025" s="49" t="n">
        <f aca="true">IF(OR($A3025="",_xlfn.MINIFS($B$3:$B$5000,$A$3:$A$5000,$A3025,$B$3:$B$5000,"&gt;"&amp;$B3025)=0),NOW(),_xlfn.MINIFS($B$3:$B$5000,$A$3:$A$5000,$A3025,$B$3:$B$5000,"&gt;"&amp;$B3025))</f>
        <v>46279.5987644308</v>
      </c>
    </row>
    <row r="3026" customFormat="false" ht="15" hidden="false" customHeight="true" outlineLevel="0" collapsed="false">
      <c r="A3026" s="42"/>
      <c r="B3026" s="42"/>
      <c r="C3026" s="42"/>
      <c r="D3026" s="42"/>
      <c r="E3026" s="42"/>
      <c r="F3026" s="51" t="n">
        <f aca="false">IF(OR(C3026="",D3026="",E3026="",E3026=0),0,C3026*D3026/E3026)</f>
        <v>0</v>
      </c>
      <c r="G3026" s="42"/>
      <c r="H3026" s="49" t="n">
        <f aca="true">IF(OR($A3026="",_xlfn.MINIFS($B$3:$B$5000,$A$3:$A$5000,$A3026,$B$3:$B$5000,"&gt;"&amp;$B3026)=0),NOW(),_xlfn.MINIFS($B$3:$B$5000,$A$3:$A$5000,$A3026,$B$3:$B$5000,"&gt;"&amp;$B3026))</f>
        <v>46279.5987644308</v>
      </c>
    </row>
    <row r="3027" customFormat="false" ht="15" hidden="false" customHeight="true" outlineLevel="0" collapsed="false">
      <c r="A3027" s="42"/>
      <c r="B3027" s="42"/>
      <c r="C3027" s="42"/>
      <c r="D3027" s="42"/>
      <c r="E3027" s="42"/>
      <c r="F3027" s="51" t="n">
        <f aca="false">IF(OR(C3027="",D3027="",E3027="",E3027=0),0,C3027*D3027/E3027)</f>
        <v>0</v>
      </c>
      <c r="G3027" s="42"/>
      <c r="H3027" s="49" t="n">
        <f aca="true">IF(OR($A3027="",_xlfn.MINIFS($B$3:$B$5000,$A$3:$A$5000,$A3027,$B$3:$B$5000,"&gt;"&amp;$B3027)=0),NOW(),_xlfn.MINIFS($B$3:$B$5000,$A$3:$A$5000,$A3027,$B$3:$B$5000,"&gt;"&amp;$B3027))</f>
        <v>46279.5987644309</v>
      </c>
    </row>
    <row r="3028" customFormat="false" ht="15" hidden="false" customHeight="true" outlineLevel="0" collapsed="false">
      <c r="A3028" s="42"/>
      <c r="B3028" s="42"/>
      <c r="C3028" s="42"/>
      <c r="D3028" s="42"/>
      <c r="E3028" s="42"/>
      <c r="F3028" s="51" t="n">
        <f aca="false">IF(OR(C3028="",D3028="",E3028="",E3028=0),0,C3028*D3028/E3028)</f>
        <v>0</v>
      </c>
      <c r="G3028" s="42"/>
      <c r="H3028" s="49" t="n">
        <f aca="true">IF(OR($A3028="",_xlfn.MINIFS($B$3:$B$5000,$A$3:$A$5000,$A3028,$B$3:$B$5000,"&gt;"&amp;$B3028)=0),NOW(),_xlfn.MINIFS($B$3:$B$5000,$A$3:$A$5000,$A3028,$B$3:$B$5000,"&gt;"&amp;$B3028))</f>
        <v>46279.5987644311</v>
      </c>
    </row>
    <row r="3029" customFormat="false" ht="15" hidden="false" customHeight="true" outlineLevel="0" collapsed="false">
      <c r="A3029" s="42"/>
      <c r="B3029" s="42"/>
      <c r="C3029" s="42"/>
      <c r="D3029" s="42"/>
      <c r="E3029" s="42"/>
      <c r="F3029" s="51" t="n">
        <f aca="false">IF(OR(C3029="",D3029="",E3029="",E3029=0),0,C3029*D3029/E3029)</f>
        <v>0</v>
      </c>
      <c r="G3029" s="42"/>
      <c r="H3029" s="49" t="n">
        <f aca="true">IF(OR($A3029="",_xlfn.MINIFS($B$3:$B$5000,$A$3:$A$5000,$A3029,$B$3:$B$5000,"&gt;"&amp;$B3029)=0),NOW(),_xlfn.MINIFS($B$3:$B$5000,$A$3:$A$5000,$A3029,$B$3:$B$5000,"&gt;"&amp;$B3029))</f>
        <v>46279.5987644312</v>
      </c>
    </row>
    <row r="3030" customFormat="false" ht="15" hidden="false" customHeight="true" outlineLevel="0" collapsed="false">
      <c r="A3030" s="42"/>
      <c r="B3030" s="42"/>
      <c r="C3030" s="42"/>
      <c r="D3030" s="42"/>
      <c r="E3030" s="42"/>
      <c r="F3030" s="51" t="n">
        <f aca="false">IF(OR(C3030="",D3030="",E3030="",E3030=0),0,C3030*D3030/E3030)</f>
        <v>0</v>
      </c>
      <c r="G3030" s="42"/>
      <c r="H3030" s="49" t="n">
        <f aca="true">IF(OR($A3030="",_xlfn.MINIFS($B$3:$B$5000,$A$3:$A$5000,$A3030,$B$3:$B$5000,"&gt;"&amp;$B3030)=0),NOW(),_xlfn.MINIFS($B$3:$B$5000,$A$3:$A$5000,$A3030,$B$3:$B$5000,"&gt;"&amp;$B3030))</f>
        <v>46279.5987644312</v>
      </c>
    </row>
    <row r="3031" customFormat="false" ht="15" hidden="false" customHeight="true" outlineLevel="0" collapsed="false">
      <c r="A3031" s="42"/>
      <c r="B3031" s="42"/>
      <c r="C3031" s="42"/>
      <c r="D3031" s="42"/>
      <c r="E3031" s="42"/>
      <c r="F3031" s="51" t="n">
        <f aca="false">IF(OR(C3031="",D3031="",E3031="",E3031=0),0,C3031*D3031/E3031)</f>
        <v>0</v>
      </c>
      <c r="G3031" s="42"/>
      <c r="H3031" s="49" t="n">
        <f aca="true">IF(OR($A3031="",_xlfn.MINIFS($B$3:$B$5000,$A$3:$A$5000,$A3031,$B$3:$B$5000,"&gt;"&amp;$B3031)=0),NOW(),_xlfn.MINIFS($B$3:$B$5000,$A$3:$A$5000,$A3031,$B$3:$B$5000,"&gt;"&amp;$B3031))</f>
        <v>46279.5987644313</v>
      </c>
    </row>
    <row r="3032" customFormat="false" ht="15" hidden="false" customHeight="true" outlineLevel="0" collapsed="false">
      <c r="A3032" s="42"/>
      <c r="B3032" s="42"/>
      <c r="C3032" s="42"/>
      <c r="D3032" s="42"/>
      <c r="E3032" s="42"/>
      <c r="F3032" s="51" t="n">
        <f aca="false">IF(OR(C3032="",D3032="",E3032="",E3032=0),0,C3032*D3032/E3032)</f>
        <v>0</v>
      </c>
      <c r="G3032" s="42"/>
      <c r="H3032" s="49" t="n">
        <f aca="true">IF(OR($A3032="",_xlfn.MINIFS($B$3:$B$5000,$A$3:$A$5000,$A3032,$B$3:$B$5000,"&gt;"&amp;$B3032)=0),NOW(),_xlfn.MINIFS($B$3:$B$5000,$A$3:$A$5000,$A3032,$B$3:$B$5000,"&gt;"&amp;$B3032))</f>
        <v>46279.5987644313</v>
      </c>
    </row>
    <row r="3033" customFormat="false" ht="15" hidden="false" customHeight="true" outlineLevel="0" collapsed="false">
      <c r="A3033" s="42"/>
      <c r="B3033" s="42"/>
      <c r="C3033" s="42"/>
      <c r="D3033" s="42"/>
      <c r="E3033" s="42"/>
      <c r="F3033" s="51" t="n">
        <f aca="false">IF(OR(C3033="",D3033="",E3033="",E3033=0),0,C3033*D3033/E3033)</f>
        <v>0</v>
      </c>
      <c r="G3033" s="42"/>
      <c r="H3033" s="49" t="n">
        <f aca="true">IF(OR($A3033="",_xlfn.MINIFS($B$3:$B$5000,$A$3:$A$5000,$A3033,$B$3:$B$5000,"&gt;"&amp;$B3033)=0),NOW(),_xlfn.MINIFS($B$3:$B$5000,$A$3:$A$5000,$A3033,$B$3:$B$5000,"&gt;"&amp;$B3033))</f>
        <v>46279.5987644314</v>
      </c>
    </row>
    <row r="3034" customFormat="false" ht="15" hidden="false" customHeight="true" outlineLevel="0" collapsed="false">
      <c r="A3034" s="42"/>
      <c r="B3034" s="42"/>
      <c r="C3034" s="42"/>
      <c r="D3034" s="42"/>
      <c r="E3034" s="42"/>
      <c r="F3034" s="51" t="n">
        <f aca="false">IF(OR(C3034="",D3034="",E3034="",E3034=0),0,C3034*D3034/E3034)</f>
        <v>0</v>
      </c>
      <c r="G3034" s="42"/>
      <c r="H3034" s="49" t="n">
        <f aca="true">IF(OR($A3034="",_xlfn.MINIFS($B$3:$B$5000,$A$3:$A$5000,$A3034,$B$3:$B$5000,"&gt;"&amp;$B3034)=0),NOW(),_xlfn.MINIFS($B$3:$B$5000,$A$3:$A$5000,$A3034,$B$3:$B$5000,"&gt;"&amp;$B3034))</f>
        <v>46279.5987644314</v>
      </c>
    </row>
    <row r="3035" customFormat="false" ht="15" hidden="false" customHeight="true" outlineLevel="0" collapsed="false">
      <c r="A3035" s="42"/>
      <c r="B3035" s="42"/>
      <c r="C3035" s="42"/>
      <c r="D3035" s="42"/>
      <c r="E3035" s="42"/>
      <c r="F3035" s="51" t="n">
        <f aca="false">IF(OR(C3035="",D3035="",E3035="",E3035=0),0,C3035*D3035/E3035)</f>
        <v>0</v>
      </c>
      <c r="G3035" s="42"/>
      <c r="H3035" s="49" t="n">
        <f aca="true">IF(OR($A3035="",_xlfn.MINIFS($B$3:$B$5000,$A$3:$A$5000,$A3035,$B$3:$B$5000,"&gt;"&amp;$B3035)=0),NOW(),_xlfn.MINIFS($B$3:$B$5000,$A$3:$A$5000,$A3035,$B$3:$B$5000,"&gt;"&amp;$B3035))</f>
        <v>46279.5987644315</v>
      </c>
    </row>
    <row r="3036" customFormat="false" ht="15" hidden="false" customHeight="true" outlineLevel="0" collapsed="false">
      <c r="A3036" s="42"/>
      <c r="B3036" s="42"/>
      <c r="C3036" s="42"/>
      <c r="D3036" s="42"/>
      <c r="E3036" s="42"/>
      <c r="F3036" s="51" t="n">
        <f aca="false">IF(OR(C3036="",D3036="",E3036="",E3036=0),0,C3036*D3036/E3036)</f>
        <v>0</v>
      </c>
      <c r="G3036" s="42"/>
      <c r="H3036" s="49" t="n">
        <f aca="true">IF(OR($A3036="",_xlfn.MINIFS($B$3:$B$5000,$A$3:$A$5000,$A3036,$B$3:$B$5000,"&gt;"&amp;$B3036)=0),NOW(),_xlfn.MINIFS($B$3:$B$5000,$A$3:$A$5000,$A3036,$B$3:$B$5000,"&gt;"&amp;$B3036))</f>
        <v>46279.5987644315</v>
      </c>
    </row>
    <row r="3037" customFormat="false" ht="15" hidden="false" customHeight="true" outlineLevel="0" collapsed="false">
      <c r="A3037" s="42"/>
      <c r="B3037" s="42"/>
      <c r="C3037" s="42"/>
      <c r="D3037" s="42"/>
      <c r="E3037" s="42"/>
      <c r="F3037" s="51" t="n">
        <f aca="false">IF(OR(C3037="",D3037="",E3037="",E3037=0),0,C3037*D3037/E3037)</f>
        <v>0</v>
      </c>
      <c r="G3037" s="42"/>
      <c r="H3037" s="49" t="n">
        <f aca="true">IF(OR($A3037="",_xlfn.MINIFS($B$3:$B$5000,$A$3:$A$5000,$A3037,$B$3:$B$5000,"&gt;"&amp;$B3037)=0),NOW(),_xlfn.MINIFS($B$3:$B$5000,$A$3:$A$5000,$A3037,$B$3:$B$5000,"&gt;"&amp;$B3037))</f>
        <v>46279.5987644316</v>
      </c>
    </row>
    <row r="3038" customFormat="false" ht="15" hidden="false" customHeight="true" outlineLevel="0" collapsed="false">
      <c r="A3038" s="42"/>
      <c r="B3038" s="42"/>
      <c r="C3038" s="42"/>
      <c r="D3038" s="42"/>
      <c r="E3038" s="42"/>
      <c r="F3038" s="51" t="n">
        <f aca="false">IF(OR(C3038="",D3038="",E3038="",E3038=0),0,C3038*D3038/E3038)</f>
        <v>0</v>
      </c>
      <c r="G3038" s="42"/>
      <c r="H3038" s="49" t="n">
        <f aca="true">IF(OR($A3038="",_xlfn.MINIFS($B$3:$B$5000,$A$3:$A$5000,$A3038,$B$3:$B$5000,"&gt;"&amp;$B3038)=0),NOW(),_xlfn.MINIFS($B$3:$B$5000,$A$3:$A$5000,$A3038,$B$3:$B$5000,"&gt;"&amp;$B3038))</f>
        <v>46279.5987644316</v>
      </c>
    </row>
    <row r="3039" customFormat="false" ht="15" hidden="false" customHeight="true" outlineLevel="0" collapsed="false">
      <c r="A3039" s="42"/>
      <c r="B3039" s="42"/>
      <c r="C3039" s="42"/>
      <c r="D3039" s="42"/>
      <c r="E3039" s="42"/>
      <c r="F3039" s="51" t="n">
        <f aca="false">IF(OR(C3039="",D3039="",E3039="",E3039=0),0,C3039*D3039/E3039)</f>
        <v>0</v>
      </c>
      <c r="G3039" s="42"/>
      <c r="H3039" s="49" t="n">
        <f aca="true">IF(OR($A3039="",_xlfn.MINIFS($B$3:$B$5000,$A$3:$A$5000,$A3039,$B$3:$B$5000,"&gt;"&amp;$B3039)=0),NOW(),_xlfn.MINIFS($B$3:$B$5000,$A$3:$A$5000,$A3039,$B$3:$B$5000,"&gt;"&amp;$B3039))</f>
        <v>46279.5987644317</v>
      </c>
    </row>
    <row r="3040" customFormat="false" ht="15" hidden="false" customHeight="true" outlineLevel="0" collapsed="false">
      <c r="A3040" s="42"/>
      <c r="B3040" s="42"/>
      <c r="C3040" s="42"/>
      <c r="D3040" s="42"/>
      <c r="E3040" s="42"/>
      <c r="F3040" s="51" t="n">
        <f aca="false">IF(OR(C3040="",D3040="",E3040="",E3040=0),0,C3040*D3040/E3040)</f>
        <v>0</v>
      </c>
      <c r="G3040" s="42"/>
      <c r="H3040" s="49" t="n">
        <f aca="true">IF(OR($A3040="",_xlfn.MINIFS($B$3:$B$5000,$A$3:$A$5000,$A3040,$B$3:$B$5000,"&gt;"&amp;$B3040)=0),NOW(),_xlfn.MINIFS($B$3:$B$5000,$A$3:$A$5000,$A3040,$B$3:$B$5000,"&gt;"&amp;$B3040))</f>
        <v>46279.5987644317</v>
      </c>
    </row>
    <row r="3041" customFormat="false" ht="15" hidden="false" customHeight="true" outlineLevel="0" collapsed="false">
      <c r="A3041" s="42"/>
      <c r="B3041" s="42"/>
      <c r="C3041" s="42"/>
      <c r="D3041" s="42"/>
      <c r="E3041" s="42"/>
      <c r="F3041" s="51" t="n">
        <f aca="false">IF(OR(C3041="",D3041="",E3041="",E3041=0),0,C3041*D3041/E3041)</f>
        <v>0</v>
      </c>
      <c r="G3041" s="42"/>
      <c r="H3041" s="49" t="n">
        <f aca="true">IF(OR($A3041="",_xlfn.MINIFS($B$3:$B$5000,$A$3:$A$5000,$A3041,$B$3:$B$5000,"&gt;"&amp;$B3041)=0),NOW(),_xlfn.MINIFS($B$3:$B$5000,$A$3:$A$5000,$A3041,$B$3:$B$5000,"&gt;"&amp;$B3041))</f>
        <v>46279.5987644318</v>
      </c>
    </row>
    <row r="3042" customFormat="false" ht="15" hidden="false" customHeight="true" outlineLevel="0" collapsed="false">
      <c r="A3042" s="42"/>
      <c r="B3042" s="42"/>
      <c r="C3042" s="42"/>
      <c r="D3042" s="42"/>
      <c r="E3042" s="42"/>
      <c r="F3042" s="51" t="n">
        <f aca="false">IF(OR(C3042="",D3042="",E3042="",E3042=0),0,C3042*D3042/E3042)</f>
        <v>0</v>
      </c>
      <c r="G3042" s="42"/>
      <c r="H3042" s="49" t="n">
        <f aca="true">IF(OR($A3042="",_xlfn.MINIFS($B$3:$B$5000,$A$3:$A$5000,$A3042,$B$3:$B$5000,"&gt;"&amp;$B3042)=0),NOW(),_xlfn.MINIFS($B$3:$B$5000,$A$3:$A$5000,$A3042,$B$3:$B$5000,"&gt;"&amp;$B3042))</f>
        <v>46279.5987644318</v>
      </c>
    </row>
    <row r="3043" customFormat="false" ht="15" hidden="false" customHeight="true" outlineLevel="0" collapsed="false">
      <c r="A3043" s="42"/>
      <c r="B3043" s="42"/>
      <c r="C3043" s="42"/>
      <c r="D3043" s="42"/>
      <c r="E3043" s="42"/>
      <c r="F3043" s="51" t="n">
        <f aca="false">IF(OR(C3043="",D3043="",E3043="",E3043=0),0,C3043*D3043/E3043)</f>
        <v>0</v>
      </c>
      <c r="G3043" s="42"/>
      <c r="H3043" s="49" t="n">
        <f aca="true">IF(OR($A3043="",_xlfn.MINIFS($B$3:$B$5000,$A$3:$A$5000,$A3043,$B$3:$B$5000,"&gt;"&amp;$B3043)=0),NOW(),_xlfn.MINIFS($B$3:$B$5000,$A$3:$A$5000,$A3043,$B$3:$B$5000,"&gt;"&amp;$B3043))</f>
        <v>46279.5987644319</v>
      </c>
    </row>
    <row r="3044" customFormat="false" ht="15" hidden="false" customHeight="true" outlineLevel="0" collapsed="false">
      <c r="A3044" s="42"/>
      <c r="B3044" s="42"/>
      <c r="C3044" s="42"/>
      <c r="D3044" s="42"/>
      <c r="E3044" s="42"/>
      <c r="F3044" s="51" t="n">
        <f aca="false">IF(OR(C3044="",D3044="",E3044="",E3044=0),0,C3044*D3044/E3044)</f>
        <v>0</v>
      </c>
      <c r="G3044" s="42"/>
      <c r="H3044" s="49" t="n">
        <f aca="true">IF(OR($A3044="",_xlfn.MINIFS($B$3:$B$5000,$A$3:$A$5000,$A3044,$B$3:$B$5000,"&gt;"&amp;$B3044)=0),NOW(),_xlfn.MINIFS($B$3:$B$5000,$A$3:$A$5000,$A3044,$B$3:$B$5000,"&gt;"&amp;$B3044))</f>
        <v>46279.598764432</v>
      </c>
    </row>
    <row r="3045" customFormat="false" ht="15" hidden="false" customHeight="true" outlineLevel="0" collapsed="false">
      <c r="A3045" s="42"/>
      <c r="B3045" s="42"/>
      <c r="C3045" s="42"/>
      <c r="D3045" s="42"/>
      <c r="E3045" s="42"/>
      <c r="F3045" s="51" t="n">
        <f aca="false">IF(OR(C3045="",D3045="",E3045="",E3045=0),0,C3045*D3045/E3045)</f>
        <v>0</v>
      </c>
      <c r="G3045" s="42"/>
      <c r="H3045" s="49" t="n">
        <f aca="true">IF(OR($A3045="",_xlfn.MINIFS($B$3:$B$5000,$A$3:$A$5000,$A3045,$B$3:$B$5000,"&gt;"&amp;$B3045)=0),NOW(),_xlfn.MINIFS($B$3:$B$5000,$A$3:$A$5000,$A3045,$B$3:$B$5000,"&gt;"&amp;$B3045))</f>
        <v>46279.598764432</v>
      </c>
    </row>
    <row r="3046" customFormat="false" ht="15" hidden="false" customHeight="true" outlineLevel="0" collapsed="false">
      <c r="A3046" s="42"/>
      <c r="B3046" s="42"/>
      <c r="C3046" s="42"/>
      <c r="D3046" s="42"/>
      <c r="E3046" s="42"/>
      <c r="F3046" s="51" t="n">
        <f aca="false">IF(OR(C3046="",D3046="",E3046="",E3046=0),0,C3046*D3046/E3046)</f>
        <v>0</v>
      </c>
      <c r="G3046" s="42"/>
      <c r="H3046" s="49" t="n">
        <f aca="true">IF(OR($A3046="",_xlfn.MINIFS($B$3:$B$5000,$A$3:$A$5000,$A3046,$B$3:$B$5000,"&gt;"&amp;$B3046)=0),NOW(),_xlfn.MINIFS($B$3:$B$5000,$A$3:$A$5000,$A3046,$B$3:$B$5000,"&gt;"&amp;$B3046))</f>
        <v>46279.5987644321</v>
      </c>
    </row>
    <row r="3047" customFormat="false" ht="15" hidden="false" customHeight="true" outlineLevel="0" collapsed="false">
      <c r="A3047" s="42"/>
      <c r="B3047" s="42"/>
      <c r="C3047" s="42"/>
      <c r="D3047" s="42"/>
      <c r="E3047" s="42"/>
      <c r="F3047" s="51" t="n">
        <f aca="false">IF(OR(C3047="",D3047="",E3047="",E3047=0),0,C3047*D3047/E3047)</f>
        <v>0</v>
      </c>
      <c r="G3047" s="42"/>
      <c r="H3047" s="49" t="n">
        <f aca="true">IF(OR($A3047="",_xlfn.MINIFS($B$3:$B$5000,$A$3:$A$5000,$A3047,$B$3:$B$5000,"&gt;"&amp;$B3047)=0),NOW(),_xlfn.MINIFS($B$3:$B$5000,$A$3:$A$5000,$A3047,$B$3:$B$5000,"&gt;"&amp;$B3047))</f>
        <v>46279.5987644321</v>
      </c>
    </row>
    <row r="3048" customFormat="false" ht="15" hidden="false" customHeight="true" outlineLevel="0" collapsed="false">
      <c r="A3048" s="42"/>
      <c r="B3048" s="42"/>
      <c r="C3048" s="42"/>
      <c r="D3048" s="42"/>
      <c r="E3048" s="42"/>
      <c r="F3048" s="51" t="n">
        <f aca="false">IF(OR(C3048="",D3048="",E3048="",E3048=0),0,C3048*D3048/E3048)</f>
        <v>0</v>
      </c>
      <c r="G3048" s="42"/>
      <c r="H3048" s="49" t="n">
        <f aca="true">IF(OR($A3048="",_xlfn.MINIFS($B$3:$B$5000,$A$3:$A$5000,$A3048,$B$3:$B$5000,"&gt;"&amp;$B3048)=0),NOW(),_xlfn.MINIFS($B$3:$B$5000,$A$3:$A$5000,$A3048,$B$3:$B$5000,"&gt;"&amp;$B3048))</f>
        <v>46279.5987644322</v>
      </c>
    </row>
    <row r="3049" customFormat="false" ht="15" hidden="false" customHeight="true" outlineLevel="0" collapsed="false">
      <c r="A3049" s="42"/>
      <c r="B3049" s="42"/>
      <c r="C3049" s="42"/>
      <c r="D3049" s="42"/>
      <c r="E3049" s="42"/>
      <c r="F3049" s="51" t="n">
        <f aca="false">IF(OR(C3049="",D3049="",E3049="",E3049=0),0,C3049*D3049/E3049)</f>
        <v>0</v>
      </c>
      <c r="G3049" s="42"/>
      <c r="H3049" s="49" t="n">
        <f aca="true">IF(OR($A3049="",_xlfn.MINIFS($B$3:$B$5000,$A$3:$A$5000,$A3049,$B$3:$B$5000,"&gt;"&amp;$B3049)=0),NOW(),_xlfn.MINIFS($B$3:$B$5000,$A$3:$A$5000,$A3049,$B$3:$B$5000,"&gt;"&amp;$B3049))</f>
        <v>46279.5987644322</v>
      </c>
    </row>
    <row r="3050" customFormat="false" ht="15" hidden="false" customHeight="true" outlineLevel="0" collapsed="false">
      <c r="A3050" s="42"/>
      <c r="B3050" s="42"/>
      <c r="C3050" s="42"/>
      <c r="D3050" s="42"/>
      <c r="E3050" s="42"/>
      <c r="F3050" s="51" t="n">
        <f aca="false">IF(OR(C3050="",D3050="",E3050="",E3050=0),0,C3050*D3050/E3050)</f>
        <v>0</v>
      </c>
      <c r="G3050" s="42"/>
      <c r="H3050" s="49" t="n">
        <f aca="true">IF(OR($A3050="",_xlfn.MINIFS($B$3:$B$5000,$A$3:$A$5000,$A3050,$B$3:$B$5000,"&gt;"&amp;$B3050)=0),NOW(),_xlfn.MINIFS($B$3:$B$5000,$A$3:$A$5000,$A3050,$B$3:$B$5000,"&gt;"&amp;$B3050))</f>
        <v>46279.5987644323</v>
      </c>
    </row>
    <row r="3051" customFormat="false" ht="15" hidden="false" customHeight="true" outlineLevel="0" collapsed="false">
      <c r="A3051" s="42"/>
      <c r="B3051" s="42"/>
      <c r="C3051" s="42"/>
      <c r="D3051" s="42"/>
      <c r="E3051" s="42"/>
      <c r="F3051" s="51" t="n">
        <f aca="false">IF(OR(C3051="",D3051="",E3051="",E3051=0),0,C3051*D3051/E3051)</f>
        <v>0</v>
      </c>
      <c r="G3051" s="42"/>
      <c r="H3051" s="49" t="n">
        <f aca="true">IF(OR($A3051="",_xlfn.MINIFS($B$3:$B$5000,$A$3:$A$5000,$A3051,$B$3:$B$5000,"&gt;"&amp;$B3051)=0),NOW(),_xlfn.MINIFS($B$3:$B$5000,$A$3:$A$5000,$A3051,$B$3:$B$5000,"&gt;"&amp;$B3051))</f>
        <v>46279.5987644323</v>
      </c>
    </row>
    <row r="3052" customFormat="false" ht="15" hidden="false" customHeight="true" outlineLevel="0" collapsed="false">
      <c r="A3052" s="42"/>
      <c r="B3052" s="42"/>
      <c r="C3052" s="42"/>
      <c r="D3052" s="42"/>
      <c r="E3052" s="42"/>
      <c r="F3052" s="51" t="n">
        <f aca="false">IF(OR(C3052="",D3052="",E3052="",E3052=0),0,C3052*D3052/E3052)</f>
        <v>0</v>
      </c>
      <c r="G3052" s="42"/>
      <c r="H3052" s="49" t="n">
        <f aca="true">IF(OR($A3052="",_xlfn.MINIFS($B$3:$B$5000,$A$3:$A$5000,$A3052,$B$3:$B$5000,"&gt;"&amp;$B3052)=0),NOW(),_xlfn.MINIFS($B$3:$B$5000,$A$3:$A$5000,$A3052,$B$3:$B$5000,"&gt;"&amp;$B3052))</f>
        <v>46279.5987644324</v>
      </c>
    </row>
    <row r="3053" customFormat="false" ht="15" hidden="false" customHeight="true" outlineLevel="0" collapsed="false">
      <c r="A3053" s="42"/>
      <c r="B3053" s="42"/>
      <c r="C3053" s="42"/>
      <c r="D3053" s="42"/>
      <c r="E3053" s="42"/>
      <c r="F3053" s="51" t="n">
        <f aca="false">IF(OR(C3053="",D3053="",E3053="",E3053=0),0,C3053*D3053/E3053)</f>
        <v>0</v>
      </c>
      <c r="G3053" s="42"/>
      <c r="H3053" s="49" t="n">
        <f aca="true">IF(OR($A3053="",_xlfn.MINIFS($B$3:$B$5000,$A$3:$A$5000,$A3053,$B$3:$B$5000,"&gt;"&amp;$B3053)=0),NOW(),_xlfn.MINIFS($B$3:$B$5000,$A$3:$A$5000,$A3053,$B$3:$B$5000,"&gt;"&amp;$B3053))</f>
        <v>46279.5987644325</v>
      </c>
    </row>
    <row r="3054" customFormat="false" ht="15" hidden="false" customHeight="true" outlineLevel="0" collapsed="false">
      <c r="A3054" s="42"/>
      <c r="B3054" s="42"/>
      <c r="C3054" s="42"/>
      <c r="D3054" s="42"/>
      <c r="E3054" s="42"/>
      <c r="F3054" s="51" t="n">
        <f aca="false">IF(OR(C3054="",D3054="",E3054="",E3054=0),0,C3054*D3054/E3054)</f>
        <v>0</v>
      </c>
      <c r="G3054" s="42"/>
      <c r="H3054" s="49" t="n">
        <f aca="true">IF(OR($A3054="",_xlfn.MINIFS($B$3:$B$5000,$A$3:$A$5000,$A3054,$B$3:$B$5000,"&gt;"&amp;$B3054)=0),NOW(),_xlfn.MINIFS($B$3:$B$5000,$A$3:$A$5000,$A3054,$B$3:$B$5000,"&gt;"&amp;$B3054))</f>
        <v>46279.5987644326</v>
      </c>
    </row>
    <row r="3055" customFormat="false" ht="15" hidden="false" customHeight="true" outlineLevel="0" collapsed="false">
      <c r="A3055" s="42"/>
      <c r="B3055" s="42"/>
      <c r="C3055" s="42"/>
      <c r="D3055" s="42"/>
      <c r="E3055" s="42"/>
      <c r="F3055" s="51" t="n">
        <f aca="false">IF(OR(C3055="",D3055="",E3055="",E3055=0),0,C3055*D3055/E3055)</f>
        <v>0</v>
      </c>
      <c r="G3055" s="42"/>
      <c r="H3055" s="49" t="n">
        <f aca="true">IF(OR($A3055="",_xlfn.MINIFS($B$3:$B$5000,$A$3:$A$5000,$A3055,$B$3:$B$5000,"&gt;"&amp;$B3055)=0),NOW(),_xlfn.MINIFS($B$3:$B$5000,$A$3:$A$5000,$A3055,$B$3:$B$5000,"&gt;"&amp;$B3055))</f>
        <v>46279.5987644326</v>
      </c>
    </row>
    <row r="3056" customFormat="false" ht="15" hidden="false" customHeight="true" outlineLevel="0" collapsed="false">
      <c r="A3056" s="42"/>
      <c r="B3056" s="42"/>
      <c r="C3056" s="42"/>
      <c r="D3056" s="42"/>
      <c r="E3056" s="42"/>
      <c r="F3056" s="51" t="n">
        <f aca="false">IF(OR(C3056="",D3056="",E3056="",E3056=0),0,C3056*D3056/E3056)</f>
        <v>0</v>
      </c>
      <c r="G3056" s="42"/>
      <c r="H3056" s="49" t="n">
        <f aca="true">IF(OR($A3056="",_xlfn.MINIFS($B$3:$B$5000,$A$3:$A$5000,$A3056,$B$3:$B$5000,"&gt;"&amp;$B3056)=0),NOW(),_xlfn.MINIFS($B$3:$B$5000,$A$3:$A$5000,$A3056,$B$3:$B$5000,"&gt;"&amp;$B3056))</f>
        <v>46279.5987644327</v>
      </c>
    </row>
    <row r="3057" customFormat="false" ht="15" hidden="false" customHeight="true" outlineLevel="0" collapsed="false">
      <c r="A3057" s="42"/>
      <c r="B3057" s="42"/>
      <c r="C3057" s="42"/>
      <c r="D3057" s="42"/>
      <c r="E3057" s="42"/>
      <c r="F3057" s="51" t="n">
        <f aca="false">IF(OR(C3057="",D3057="",E3057="",E3057=0),0,C3057*D3057/E3057)</f>
        <v>0</v>
      </c>
      <c r="G3057" s="42"/>
      <c r="H3057" s="49" t="n">
        <f aca="true">IF(OR($A3057="",_xlfn.MINIFS($B$3:$B$5000,$A$3:$A$5000,$A3057,$B$3:$B$5000,"&gt;"&amp;$B3057)=0),NOW(),_xlfn.MINIFS($B$3:$B$5000,$A$3:$A$5000,$A3057,$B$3:$B$5000,"&gt;"&amp;$B3057))</f>
        <v>46279.5987644327</v>
      </c>
    </row>
    <row r="3058" customFormat="false" ht="15" hidden="false" customHeight="true" outlineLevel="0" collapsed="false">
      <c r="A3058" s="42"/>
      <c r="B3058" s="42"/>
      <c r="C3058" s="42"/>
      <c r="D3058" s="42"/>
      <c r="E3058" s="42"/>
      <c r="F3058" s="51" t="n">
        <f aca="false">IF(OR(C3058="",D3058="",E3058="",E3058=0),0,C3058*D3058/E3058)</f>
        <v>0</v>
      </c>
      <c r="G3058" s="42"/>
      <c r="H3058" s="49" t="n">
        <f aca="true">IF(OR($A3058="",_xlfn.MINIFS($B$3:$B$5000,$A$3:$A$5000,$A3058,$B$3:$B$5000,"&gt;"&amp;$B3058)=0),NOW(),_xlfn.MINIFS($B$3:$B$5000,$A$3:$A$5000,$A3058,$B$3:$B$5000,"&gt;"&amp;$B3058))</f>
        <v>46279.5987644328</v>
      </c>
    </row>
    <row r="3059" customFormat="false" ht="15" hidden="false" customHeight="true" outlineLevel="0" collapsed="false">
      <c r="A3059" s="42"/>
      <c r="B3059" s="42"/>
      <c r="C3059" s="42"/>
      <c r="D3059" s="42"/>
      <c r="E3059" s="42"/>
      <c r="F3059" s="51" t="n">
        <f aca="false">IF(OR(C3059="",D3059="",E3059="",E3059=0),0,C3059*D3059/E3059)</f>
        <v>0</v>
      </c>
      <c r="G3059" s="42"/>
      <c r="H3059" s="49" t="n">
        <f aca="true">IF(OR($A3059="",_xlfn.MINIFS($B$3:$B$5000,$A$3:$A$5000,$A3059,$B$3:$B$5000,"&gt;"&amp;$B3059)=0),NOW(),_xlfn.MINIFS($B$3:$B$5000,$A$3:$A$5000,$A3059,$B$3:$B$5000,"&gt;"&amp;$B3059))</f>
        <v>46279.5987644328</v>
      </c>
    </row>
    <row r="3060" customFormat="false" ht="15" hidden="false" customHeight="true" outlineLevel="0" collapsed="false">
      <c r="A3060" s="42"/>
      <c r="B3060" s="42"/>
      <c r="C3060" s="42"/>
      <c r="D3060" s="42"/>
      <c r="E3060" s="42"/>
      <c r="F3060" s="51" t="n">
        <f aca="false">IF(OR(C3060="",D3060="",E3060="",E3060=0),0,C3060*D3060/E3060)</f>
        <v>0</v>
      </c>
      <c r="G3060" s="42"/>
      <c r="H3060" s="49" t="n">
        <f aca="true">IF(OR($A3060="",_xlfn.MINIFS($B$3:$B$5000,$A$3:$A$5000,$A3060,$B$3:$B$5000,"&gt;"&amp;$B3060)=0),NOW(),_xlfn.MINIFS($B$3:$B$5000,$A$3:$A$5000,$A3060,$B$3:$B$5000,"&gt;"&amp;$B3060))</f>
        <v>46279.5987644329</v>
      </c>
    </row>
    <row r="3061" customFormat="false" ht="15" hidden="false" customHeight="true" outlineLevel="0" collapsed="false">
      <c r="A3061" s="42"/>
      <c r="B3061" s="42"/>
      <c r="C3061" s="42"/>
      <c r="D3061" s="42"/>
      <c r="E3061" s="42"/>
      <c r="F3061" s="51" t="n">
        <f aca="false">IF(OR(C3061="",D3061="",E3061="",E3061=0),0,C3061*D3061/E3061)</f>
        <v>0</v>
      </c>
      <c r="G3061" s="42"/>
      <c r="H3061" s="49" t="n">
        <f aca="true">IF(OR($A3061="",_xlfn.MINIFS($B$3:$B$5000,$A$3:$A$5000,$A3061,$B$3:$B$5000,"&gt;"&amp;$B3061)=0),NOW(),_xlfn.MINIFS($B$3:$B$5000,$A$3:$A$5000,$A3061,$B$3:$B$5000,"&gt;"&amp;$B3061))</f>
        <v>46279.5987644329</v>
      </c>
    </row>
    <row r="3062" customFormat="false" ht="15" hidden="false" customHeight="true" outlineLevel="0" collapsed="false">
      <c r="A3062" s="42"/>
      <c r="B3062" s="42"/>
      <c r="C3062" s="42"/>
      <c r="D3062" s="42"/>
      <c r="E3062" s="42"/>
      <c r="F3062" s="51" t="n">
        <f aca="false">IF(OR(C3062="",D3062="",E3062="",E3062=0),0,C3062*D3062/E3062)</f>
        <v>0</v>
      </c>
      <c r="G3062" s="42"/>
      <c r="H3062" s="49" t="n">
        <f aca="true">IF(OR($A3062="",_xlfn.MINIFS($B$3:$B$5000,$A$3:$A$5000,$A3062,$B$3:$B$5000,"&gt;"&amp;$B3062)=0),NOW(),_xlfn.MINIFS($B$3:$B$5000,$A$3:$A$5000,$A3062,$B$3:$B$5000,"&gt;"&amp;$B3062))</f>
        <v>46279.598764433</v>
      </c>
    </row>
    <row r="3063" customFormat="false" ht="15" hidden="false" customHeight="true" outlineLevel="0" collapsed="false">
      <c r="A3063" s="42"/>
      <c r="B3063" s="42"/>
      <c r="C3063" s="42"/>
      <c r="D3063" s="42"/>
      <c r="E3063" s="42"/>
      <c r="F3063" s="51" t="n">
        <f aca="false">IF(OR(C3063="",D3063="",E3063="",E3063=0),0,C3063*D3063/E3063)</f>
        <v>0</v>
      </c>
      <c r="G3063" s="42"/>
      <c r="H3063" s="49" t="n">
        <f aca="true">IF(OR($A3063="",_xlfn.MINIFS($B$3:$B$5000,$A$3:$A$5000,$A3063,$B$3:$B$5000,"&gt;"&amp;$B3063)=0),NOW(),_xlfn.MINIFS($B$3:$B$5000,$A$3:$A$5000,$A3063,$B$3:$B$5000,"&gt;"&amp;$B3063))</f>
        <v>46279.598764433</v>
      </c>
    </row>
    <row r="3064" customFormat="false" ht="15" hidden="false" customHeight="true" outlineLevel="0" collapsed="false">
      <c r="A3064" s="42"/>
      <c r="B3064" s="42"/>
      <c r="C3064" s="42"/>
      <c r="D3064" s="42"/>
      <c r="E3064" s="42"/>
      <c r="F3064" s="51" t="n">
        <f aca="false">IF(OR(C3064="",D3064="",E3064="",E3064=0),0,C3064*D3064/E3064)</f>
        <v>0</v>
      </c>
      <c r="G3064" s="42"/>
      <c r="H3064" s="49" t="n">
        <f aca="true">IF(OR($A3064="",_xlfn.MINIFS($B$3:$B$5000,$A$3:$A$5000,$A3064,$B$3:$B$5000,"&gt;"&amp;$B3064)=0),NOW(),_xlfn.MINIFS($B$3:$B$5000,$A$3:$A$5000,$A3064,$B$3:$B$5000,"&gt;"&amp;$B3064))</f>
        <v>46279.5987644331</v>
      </c>
    </row>
    <row r="3065" customFormat="false" ht="15" hidden="false" customHeight="true" outlineLevel="0" collapsed="false">
      <c r="A3065" s="42"/>
      <c r="B3065" s="42"/>
      <c r="C3065" s="42"/>
      <c r="D3065" s="42"/>
      <c r="E3065" s="42"/>
      <c r="F3065" s="51" t="n">
        <f aca="false">IF(OR(C3065="",D3065="",E3065="",E3065=0),0,C3065*D3065/E3065)</f>
        <v>0</v>
      </c>
      <c r="G3065" s="42"/>
      <c r="H3065" s="49" t="n">
        <f aca="true">IF(OR($A3065="",_xlfn.MINIFS($B$3:$B$5000,$A$3:$A$5000,$A3065,$B$3:$B$5000,"&gt;"&amp;$B3065)=0),NOW(),_xlfn.MINIFS($B$3:$B$5000,$A$3:$A$5000,$A3065,$B$3:$B$5000,"&gt;"&amp;$B3065))</f>
        <v>46279.5987644331</v>
      </c>
    </row>
    <row r="3066" customFormat="false" ht="15" hidden="false" customHeight="true" outlineLevel="0" collapsed="false">
      <c r="A3066" s="42"/>
      <c r="B3066" s="42"/>
      <c r="C3066" s="42"/>
      <c r="D3066" s="42"/>
      <c r="E3066" s="42"/>
      <c r="F3066" s="51" t="n">
        <f aca="false">IF(OR(C3066="",D3066="",E3066="",E3066=0),0,C3066*D3066/E3066)</f>
        <v>0</v>
      </c>
      <c r="G3066" s="42"/>
      <c r="H3066" s="49" t="n">
        <f aca="true">IF(OR($A3066="",_xlfn.MINIFS($B$3:$B$5000,$A$3:$A$5000,$A3066,$B$3:$B$5000,"&gt;"&amp;$B3066)=0),NOW(),_xlfn.MINIFS($B$3:$B$5000,$A$3:$A$5000,$A3066,$B$3:$B$5000,"&gt;"&amp;$B3066))</f>
        <v>46279.5987644332</v>
      </c>
    </row>
    <row r="3067" customFormat="false" ht="15" hidden="false" customHeight="true" outlineLevel="0" collapsed="false">
      <c r="A3067" s="42"/>
      <c r="B3067" s="42"/>
      <c r="C3067" s="42"/>
      <c r="D3067" s="42"/>
      <c r="E3067" s="42"/>
      <c r="F3067" s="51" t="n">
        <f aca="false">IF(OR(C3067="",D3067="",E3067="",E3067=0),0,C3067*D3067/E3067)</f>
        <v>0</v>
      </c>
      <c r="G3067" s="42"/>
      <c r="H3067" s="49" t="n">
        <f aca="true">IF(OR($A3067="",_xlfn.MINIFS($B$3:$B$5000,$A$3:$A$5000,$A3067,$B$3:$B$5000,"&gt;"&amp;$B3067)=0),NOW(),_xlfn.MINIFS($B$3:$B$5000,$A$3:$A$5000,$A3067,$B$3:$B$5000,"&gt;"&amp;$B3067))</f>
        <v>46279.5987644332</v>
      </c>
    </row>
    <row r="3068" customFormat="false" ht="15" hidden="false" customHeight="true" outlineLevel="0" collapsed="false">
      <c r="A3068" s="42"/>
      <c r="B3068" s="42"/>
      <c r="C3068" s="42"/>
      <c r="D3068" s="42"/>
      <c r="E3068" s="42"/>
      <c r="F3068" s="51" t="n">
        <f aca="false">IF(OR(C3068="",D3068="",E3068="",E3068=0),0,C3068*D3068/E3068)</f>
        <v>0</v>
      </c>
      <c r="G3068" s="42"/>
      <c r="H3068" s="49" t="n">
        <f aca="true">IF(OR($A3068="",_xlfn.MINIFS($B$3:$B$5000,$A$3:$A$5000,$A3068,$B$3:$B$5000,"&gt;"&amp;$B3068)=0),NOW(),_xlfn.MINIFS($B$3:$B$5000,$A$3:$A$5000,$A3068,$B$3:$B$5000,"&gt;"&amp;$B3068))</f>
        <v>46279.5987644333</v>
      </c>
    </row>
    <row r="3069" customFormat="false" ht="15" hidden="false" customHeight="true" outlineLevel="0" collapsed="false">
      <c r="A3069" s="42"/>
      <c r="B3069" s="42"/>
      <c r="C3069" s="42"/>
      <c r="D3069" s="42"/>
      <c r="E3069" s="42"/>
      <c r="F3069" s="51" t="n">
        <f aca="false">IF(OR(C3069="",D3069="",E3069="",E3069=0),0,C3069*D3069/E3069)</f>
        <v>0</v>
      </c>
      <c r="G3069" s="42"/>
      <c r="H3069" s="49" t="n">
        <f aca="true">IF(OR($A3069="",_xlfn.MINIFS($B$3:$B$5000,$A$3:$A$5000,$A3069,$B$3:$B$5000,"&gt;"&amp;$B3069)=0),NOW(),_xlfn.MINIFS($B$3:$B$5000,$A$3:$A$5000,$A3069,$B$3:$B$5000,"&gt;"&amp;$B3069))</f>
        <v>46279.5987644333</v>
      </c>
    </row>
    <row r="3070" customFormat="false" ht="15" hidden="false" customHeight="true" outlineLevel="0" collapsed="false">
      <c r="A3070" s="42"/>
      <c r="B3070" s="42"/>
      <c r="C3070" s="42"/>
      <c r="D3070" s="42"/>
      <c r="E3070" s="42"/>
      <c r="F3070" s="51" t="n">
        <f aca="false">IF(OR(C3070="",D3070="",E3070="",E3070=0),0,C3070*D3070/E3070)</f>
        <v>0</v>
      </c>
      <c r="G3070" s="42"/>
      <c r="H3070" s="49" t="n">
        <f aca="true">IF(OR($A3070="",_xlfn.MINIFS($B$3:$B$5000,$A$3:$A$5000,$A3070,$B$3:$B$5000,"&gt;"&amp;$B3070)=0),NOW(),_xlfn.MINIFS($B$3:$B$5000,$A$3:$A$5000,$A3070,$B$3:$B$5000,"&gt;"&amp;$B3070))</f>
        <v>46279.5987644334</v>
      </c>
    </row>
    <row r="3071" customFormat="false" ht="15" hidden="false" customHeight="true" outlineLevel="0" collapsed="false">
      <c r="A3071" s="42"/>
      <c r="B3071" s="42"/>
      <c r="C3071" s="42"/>
      <c r="D3071" s="42"/>
      <c r="E3071" s="42"/>
      <c r="F3071" s="51" t="n">
        <f aca="false">IF(OR(C3071="",D3071="",E3071="",E3071=0),0,C3071*D3071/E3071)</f>
        <v>0</v>
      </c>
      <c r="G3071" s="42"/>
      <c r="H3071" s="49" t="n">
        <f aca="true">IF(OR($A3071="",_xlfn.MINIFS($B$3:$B$5000,$A$3:$A$5000,$A3071,$B$3:$B$5000,"&gt;"&amp;$B3071)=0),NOW(),_xlfn.MINIFS($B$3:$B$5000,$A$3:$A$5000,$A3071,$B$3:$B$5000,"&gt;"&amp;$B3071))</f>
        <v>46279.5987644334</v>
      </c>
    </row>
    <row r="3072" customFormat="false" ht="15" hidden="false" customHeight="true" outlineLevel="0" collapsed="false">
      <c r="A3072" s="42"/>
      <c r="B3072" s="42"/>
      <c r="C3072" s="42"/>
      <c r="D3072" s="42"/>
      <c r="E3072" s="42"/>
      <c r="F3072" s="51" t="n">
        <f aca="false">IF(OR(C3072="",D3072="",E3072="",E3072=0),0,C3072*D3072/E3072)</f>
        <v>0</v>
      </c>
      <c r="G3072" s="42"/>
      <c r="H3072" s="49" t="n">
        <f aca="true">IF(OR($A3072="",_xlfn.MINIFS($B$3:$B$5000,$A$3:$A$5000,$A3072,$B$3:$B$5000,"&gt;"&amp;$B3072)=0),NOW(),_xlfn.MINIFS($B$3:$B$5000,$A$3:$A$5000,$A3072,$B$3:$B$5000,"&gt;"&amp;$B3072))</f>
        <v>46279.5987644335</v>
      </c>
    </row>
    <row r="3073" customFormat="false" ht="15" hidden="false" customHeight="true" outlineLevel="0" collapsed="false">
      <c r="A3073" s="42"/>
      <c r="B3073" s="42"/>
      <c r="C3073" s="42"/>
      <c r="D3073" s="42"/>
      <c r="E3073" s="42"/>
      <c r="F3073" s="51" t="n">
        <f aca="false">IF(OR(C3073="",D3073="",E3073="",E3073=0),0,C3073*D3073/E3073)</f>
        <v>0</v>
      </c>
      <c r="G3073" s="42"/>
      <c r="H3073" s="49" t="n">
        <f aca="true">IF(OR($A3073="",_xlfn.MINIFS($B$3:$B$5000,$A$3:$A$5000,$A3073,$B$3:$B$5000,"&gt;"&amp;$B3073)=0),NOW(),_xlfn.MINIFS($B$3:$B$5000,$A$3:$A$5000,$A3073,$B$3:$B$5000,"&gt;"&amp;$B3073))</f>
        <v>46279.5987644335</v>
      </c>
    </row>
    <row r="3074" customFormat="false" ht="15" hidden="false" customHeight="true" outlineLevel="0" collapsed="false">
      <c r="A3074" s="42"/>
      <c r="B3074" s="42"/>
      <c r="C3074" s="42"/>
      <c r="D3074" s="42"/>
      <c r="E3074" s="42"/>
      <c r="F3074" s="51" t="n">
        <f aca="false">IF(OR(C3074="",D3074="",E3074="",E3074=0),0,C3074*D3074/E3074)</f>
        <v>0</v>
      </c>
      <c r="G3074" s="42"/>
      <c r="H3074" s="49" t="n">
        <f aca="true">IF(OR($A3074="",_xlfn.MINIFS($B$3:$B$5000,$A$3:$A$5000,$A3074,$B$3:$B$5000,"&gt;"&amp;$B3074)=0),NOW(),_xlfn.MINIFS($B$3:$B$5000,$A$3:$A$5000,$A3074,$B$3:$B$5000,"&gt;"&amp;$B3074))</f>
        <v>46279.5987644336</v>
      </c>
    </row>
    <row r="3075" customFormat="false" ht="15" hidden="false" customHeight="true" outlineLevel="0" collapsed="false">
      <c r="A3075" s="42"/>
      <c r="B3075" s="42"/>
      <c r="C3075" s="42"/>
      <c r="D3075" s="42"/>
      <c r="E3075" s="42"/>
      <c r="F3075" s="51" t="n">
        <f aca="false">IF(OR(C3075="",D3075="",E3075="",E3075=0),0,C3075*D3075/E3075)</f>
        <v>0</v>
      </c>
      <c r="G3075" s="42"/>
      <c r="H3075" s="49" t="n">
        <f aca="true">IF(OR($A3075="",_xlfn.MINIFS($B$3:$B$5000,$A$3:$A$5000,$A3075,$B$3:$B$5000,"&gt;"&amp;$B3075)=0),NOW(),_xlfn.MINIFS($B$3:$B$5000,$A$3:$A$5000,$A3075,$B$3:$B$5000,"&gt;"&amp;$B3075))</f>
        <v>46279.5987644336</v>
      </c>
    </row>
    <row r="3076" customFormat="false" ht="15" hidden="false" customHeight="true" outlineLevel="0" collapsed="false">
      <c r="A3076" s="42"/>
      <c r="B3076" s="42"/>
      <c r="C3076" s="42"/>
      <c r="D3076" s="42"/>
      <c r="E3076" s="42"/>
      <c r="F3076" s="51" t="n">
        <f aca="false">IF(OR(C3076="",D3076="",E3076="",E3076=0),0,C3076*D3076/E3076)</f>
        <v>0</v>
      </c>
      <c r="G3076" s="42"/>
      <c r="H3076" s="49" t="n">
        <f aca="true">IF(OR($A3076="",_xlfn.MINIFS($B$3:$B$5000,$A$3:$A$5000,$A3076,$B$3:$B$5000,"&gt;"&amp;$B3076)=0),NOW(),_xlfn.MINIFS($B$3:$B$5000,$A$3:$A$5000,$A3076,$B$3:$B$5000,"&gt;"&amp;$B3076))</f>
        <v>46279.5987644337</v>
      </c>
    </row>
    <row r="3077" customFormat="false" ht="15" hidden="false" customHeight="true" outlineLevel="0" collapsed="false">
      <c r="A3077" s="42"/>
      <c r="B3077" s="42"/>
      <c r="C3077" s="42"/>
      <c r="D3077" s="42"/>
      <c r="E3077" s="42"/>
      <c r="F3077" s="51" t="n">
        <f aca="false">IF(OR(C3077="",D3077="",E3077="",E3077=0),0,C3077*D3077/E3077)</f>
        <v>0</v>
      </c>
      <c r="G3077" s="42"/>
      <c r="H3077" s="49" t="n">
        <f aca="true">IF(OR($A3077="",_xlfn.MINIFS($B$3:$B$5000,$A$3:$A$5000,$A3077,$B$3:$B$5000,"&gt;"&amp;$B3077)=0),NOW(),_xlfn.MINIFS($B$3:$B$5000,$A$3:$A$5000,$A3077,$B$3:$B$5000,"&gt;"&amp;$B3077))</f>
        <v>46279.5987644337</v>
      </c>
    </row>
    <row r="3078" customFormat="false" ht="15" hidden="false" customHeight="true" outlineLevel="0" collapsed="false">
      <c r="A3078" s="42"/>
      <c r="B3078" s="42"/>
      <c r="C3078" s="42"/>
      <c r="D3078" s="42"/>
      <c r="E3078" s="42"/>
      <c r="F3078" s="51" t="n">
        <f aca="false">IF(OR(C3078="",D3078="",E3078="",E3078=0),0,C3078*D3078/E3078)</f>
        <v>0</v>
      </c>
      <c r="G3078" s="42"/>
      <c r="H3078" s="49" t="n">
        <f aca="true">IF(OR($A3078="",_xlfn.MINIFS($B$3:$B$5000,$A$3:$A$5000,$A3078,$B$3:$B$5000,"&gt;"&amp;$B3078)=0),NOW(),_xlfn.MINIFS($B$3:$B$5000,$A$3:$A$5000,$A3078,$B$3:$B$5000,"&gt;"&amp;$B3078))</f>
        <v>46279.5987644338</v>
      </c>
    </row>
    <row r="3079" customFormat="false" ht="15" hidden="false" customHeight="true" outlineLevel="0" collapsed="false">
      <c r="A3079" s="42"/>
      <c r="B3079" s="42"/>
      <c r="C3079" s="42"/>
      <c r="D3079" s="42"/>
      <c r="E3079" s="42"/>
      <c r="F3079" s="51" t="n">
        <f aca="false">IF(OR(C3079="",D3079="",E3079="",E3079=0),0,C3079*D3079/E3079)</f>
        <v>0</v>
      </c>
      <c r="G3079" s="42"/>
      <c r="H3079" s="49" t="n">
        <f aca="true">IF(OR($A3079="",_xlfn.MINIFS($B$3:$B$5000,$A$3:$A$5000,$A3079,$B$3:$B$5000,"&gt;"&amp;$B3079)=0),NOW(),_xlfn.MINIFS($B$3:$B$5000,$A$3:$A$5000,$A3079,$B$3:$B$5000,"&gt;"&amp;$B3079))</f>
        <v>46279.5987644338</v>
      </c>
    </row>
    <row r="3080" customFormat="false" ht="15" hidden="false" customHeight="true" outlineLevel="0" collapsed="false">
      <c r="A3080" s="42"/>
      <c r="B3080" s="42"/>
      <c r="C3080" s="42"/>
      <c r="D3080" s="42"/>
      <c r="E3080" s="42"/>
      <c r="F3080" s="51" t="n">
        <f aca="false">IF(OR(C3080="",D3080="",E3080="",E3080=0),0,C3080*D3080/E3080)</f>
        <v>0</v>
      </c>
      <c r="G3080" s="42"/>
      <c r="H3080" s="49" t="n">
        <f aca="true">IF(OR($A3080="",_xlfn.MINIFS($B$3:$B$5000,$A$3:$A$5000,$A3080,$B$3:$B$5000,"&gt;"&amp;$B3080)=0),NOW(),_xlfn.MINIFS($B$3:$B$5000,$A$3:$A$5000,$A3080,$B$3:$B$5000,"&gt;"&amp;$B3080))</f>
        <v>46279.5987644339</v>
      </c>
    </row>
    <row r="3081" customFormat="false" ht="15" hidden="false" customHeight="true" outlineLevel="0" collapsed="false">
      <c r="A3081" s="42"/>
      <c r="B3081" s="42"/>
      <c r="C3081" s="42"/>
      <c r="D3081" s="42"/>
      <c r="E3081" s="42"/>
      <c r="F3081" s="51" t="n">
        <f aca="false">IF(OR(C3081="",D3081="",E3081="",E3081=0),0,C3081*D3081/E3081)</f>
        <v>0</v>
      </c>
      <c r="G3081" s="42"/>
      <c r="H3081" s="49" t="n">
        <f aca="true">IF(OR($A3081="",_xlfn.MINIFS($B$3:$B$5000,$A$3:$A$5000,$A3081,$B$3:$B$5000,"&gt;"&amp;$B3081)=0),NOW(),_xlfn.MINIFS($B$3:$B$5000,$A$3:$A$5000,$A3081,$B$3:$B$5000,"&gt;"&amp;$B3081))</f>
        <v>46279.5987644339</v>
      </c>
    </row>
    <row r="3082" customFormat="false" ht="15" hidden="false" customHeight="true" outlineLevel="0" collapsed="false">
      <c r="A3082" s="42"/>
      <c r="B3082" s="42"/>
      <c r="C3082" s="42"/>
      <c r="D3082" s="42"/>
      <c r="E3082" s="42"/>
      <c r="F3082" s="51" t="n">
        <f aca="false">IF(OR(C3082="",D3082="",E3082="",E3082=0),0,C3082*D3082/E3082)</f>
        <v>0</v>
      </c>
      <c r="G3082" s="42"/>
      <c r="H3082" s="49" t="n">
        <f aca="true">IF(OR($A3082="",_xlfn.MINIFS($B$3:$B$5000,$A$3:$A$5000,$A3082,$B$3:$B$5000,"&gt;"&amp;$B3082)=0),NOW(),_xlfn.MINIFS($B$3:$B$5000,$A$3:$A$5000,$A3082,$B$3:$B$5000,"&gt;"&amp;$B3082))</f>
        <v>46279.598764434</v>
      </c>
    </row>
    <row r="3083" customFormat="false" ht="15" hidden="false" customHeight="true" outlineLevel="0" collapsed="false">
      <c r="A3083" s="42"/>
      <c r="B3083" s="42"/>
      <c r="C3083" s="42"/>
      <c r="D3083" s="42"/>
      <c r="E3083" s="42"/>
      <c r="F3083" s="51" t="n">
        <f aca="false">IF(OR(C3083="",D3083="",E3083="",E3083=0),0,C3083*D3083/E3083)</f>
        <v>0</v>
      </c>
      <c r="G3083" s="42"/>
      <c r="H3083" s="49" t="n">
        <f aca="true">IF(OR($A3083="",_xlfn.MINIFS($B$3:$B$5000,$A$3:$A$5000,$A3083,$B$3:$B$5000,"&gt;"&amp;$B3083)=0),NOW(),_xlfn.MINIFS($B$3:$B$5000,$A$3:$A$5000,$A3083,$B$3:$B$5000,"&gt;"&amp;$B3083))</f>
        <v>46279.598764434</v>
      </c>
    </row>
    <row r="3084" customFormat="false" ht="15" hidden="false" customHeight="true" outlineLevel="0" collapsed="false">
      <c r="A3084" s="42"/>
      <c r="B3084" s="42"/>
      <c r="C3084" s="42"/>
      <c r="D3084" s="42"/>
      <c r="E3084" s="42"/>
      <c r="F3084" s="51" t="n">
        <f aca="false">IF(OR(C3084="",D3084="",E3084="",E3084=0),0,C3084*D3084/E3084)</f>
        <v>0</v>
      </c>
      <c r="G3084" s="42"/>
      <c r="H3084" s="49" t="n">
        <f aca="true">IF(OR($A3084="",_xlfn.MINIFS($B$3:$B$5000,$A$3:$A$5000,$A3084,$B$3:$B$5000,"&gt;"&amp;$B3084)=0),NOW(),_xlfn.MINIFS($B$3:$B$5000,$A$3:$A$5000,$A3084,$B$3:$B$5000,"&gt;"&amp;$B3084))</f>
        <v>46279.5987644341</v>
      </c>
    </row>
    <row r="3085" customFormat="false" ht="15" hidden="false" customHeight="true" outlineLevel="0" collapsed="false">
      <c r="A3085" s="42"/>
      <c r="B3085" s="42"/>
      <c r="C3085" s="42"/>
      <c r="D3085" s="42"/>
      <c r="E3085" s="42"/>
      <c r="F3085" s="51" t="n">
        <f aca="false">IF(OR(C3085="",D3085="",E3085="",E3085=0),0,C3085*D3085/E3085)</f>
        <v>0</v>
      </c>
      <c r="G3085" s="42"/>
      <c r="H3085" s="49" t="n">
        <f aca="true">IF(OR($A3085="",_xlfn.MINIFS($B$3:$B$5000,$A$3:$A$5000,$A3085,$B$3:$B$5000,"&gt;"&amp;$B3085)=0),NOW(),_xlfn.MINIFS($B$3:$B$5000,$A$3:$A$5000,$A3085,$B$3:$B$5000,"&gt;"&amp;$B3085))</f>
        <v>46279.5987644341</v>
      </c>
    </row>
    <row r="3086" customFormat="false" ht="15" hidden="false" customHeight="true" outlineLevel="0" collapsed="false">
      <c r="A3086" s="42"/>
      <c r="B3086" s="42"/>
      <c r="C3086" s="42"/>
      <c r="D3086" s="42"/>
      <c r="E3086" s="42"/>
      <c r="F3086" s="51" t="n">
        <f aca="false">IF(OR(C3086="",D3086="",E3086="",E3086=0),0,C3086*D3086/E3086)</f>
        <v>0</v>
      </c>
      <c r="G3086" s="42"/>
      <c r="H3086" s="49" t="n">
        <f aca="true">IF(OR($A3086="",_xlfn.MINIFS($B$3:$B$5000,$A$3:$A$5000,$A3086,$B$3:$B$5000,"&gt;"&amp;$B3086)=0),NOW(),_xlfn.MINIFS($B$3:$B$5000,$A$3:$A$5000,$A3086,$B$3:$B$5000,"&gt;"&amp;$B3086))</f>
        <v>46279.5987644342</v>
      </c>
    </row>
    <row r="3087" customFormat="false" ht="15" hidden="false" customHeight="true" outlineLevel="0" collapsed="false">
      <c r="A3087" s="42"/>
      <c r="B3087" s="42"/>
      <c r="C3087" s="42"/>
      <c r="D3087" s="42"/>
      <c r="E3087" s="42"/>
      <c r="F3087" s="51" t="n">
        <f aca="false">IF(OR(C3087="",D3087="",E3087="",E3087=0),0,C3087*D3087/E3087)</f>
        <v>0</v>
      </c>
      <c r="G3087" s="42"/>
      <c r="H3087" s="49" t="n">
        <f aca="true">IF(OR($A3087="",_xlfn.MINIFS($B$3:$B$5000,$A$3:$A$5000,$A3087,$B$3:$B$5000,"&gt;"&amp;$B3087)=0),NOW(),_xlfn.MINIFS($B$3:$B$5000,$A$3:$A$5000,$A3087,$B$3:$B$5000,"&gt;"&amp;$B3087))</f>
        <v>46279.5987644342</v>
      </c>
    </row>
    <row r="3088" customFormat="false" ht="15" hidden="false" customHeight="true" outlineLevel="0" collapsed="false">
      <c r="A3088" s="42"/>
      <c r="B3088" s="42"/>
      <c r="C3088" s="42"/>
      <c r="D3088" s="42"/>
      <c r="E3088" s="42"/>
      <c r="F3088" s="51" t="n">
        <f aca="false">IF(OR(C3088="",D3088="",E3088="",E3088=0),0,C3088*D3088/E3088)</f>
        <v>0</v>
      </c>
      <c r="G3088" s="42"/>
      <c r="H3088" s="49" t="n">
        <f aca="true">IF(OR($A3088="",_xlfn.MINIFS($B$3:$B$5000,$A$3:$A$5000,$A3088,$B$3:$B$5000,"&gt;"&amp;$B3088)=0),NOW(),_xlfn.MINIFS($B$3:$B$5000,$A$3:$A$5000,$A3088,$B$3:$B$5000,"&gt;"&amp;$B3088))</f>
        <v>46279.5987644343</v>
      </c>
    </row>
    <row r="3089" customFormat="false" ht="15" hidden="false" customHeight="true" outlineLevel="0" collapsed="false">
      <c r="A3089" s="42"/>
      <c r="B3089" s="42"/>
      <c r="C3089" s="42"/>
      <c r="D3089" s="42"/>
      <c r="E3089" s="42"/>
      <c r="F3089" s="51" t="n">
        <f aca="false">IF(OR(C3089="",D3089="",E3089="",E3089=0),0,C3089*D3089/E3089)</f>
        <v>0</v>
      </c>
      <c r="G3089" s="42"/>
      <c r="H3089" s="49" t="n">
        <f aca="true">IF(OR($A3089="",_xlfn.MINIFS($B$3:$B$5000,$A$3:$A$5000,$A3089,$B$3:$B$5000,"&gt;"&amp;$B3089)=0),NOW(),_xlfn.MINIFS($B$3:$B$5000,$A$3:$A$5000,$A3089,$B$3:$B$5000,"&gt;"&amp;$B3089))</f>
        <v>46279.5987644343</v>
      </c>
    </row>
    <row r="3090" customFormat="false" ht="15" hidden="false" customHeight="true" outlineLevel="0" collapsed="false">
      <c r="A3090" s="42"/>
      <c r="B3090" s="42"/>
      <c r="C3090" s="42"/>
      <c r="D3090" s="42"/>
      <c r="E3090" s="42"/>
      <c r="F3090" s="51" t="n">
        <f aca="false">IF(OR(C3090="",D3090="",E3090="",E3090=0),0,C3090*D3090/E3090)</f>
        <v>0</v>
      </c>
      <c r="G3090" s="42"/>
      <c r="H3090" s="49" t="n">
        <f aca="true">IF(OR($A3090="",_xlfn.MINIFS($B$3:$B$5000,$A$3:$A$5000,$A3090,$B$3:$B$5000,"&gt;"&amp;$B3090)=0),NOW(),_xlfn.MINIFS($B$3:$B$5000,$A$3:$A$5000,$A3090,$B$3:$B$5000,"&gt;"&amp;$B3090))</f>
        <v>46279.5987644344</v>
      </c>
    </row>
    <row r="3091" customFormat="false" ht="15" hidden="false" customHeight="true" outlineLevel="0" collapsed="false">
      <c r="A3091" s="42"/>
      <c r="B3091" s="42"/>
      <c r="C3091" s="42"/>
      <c r="D3091" s="42"/>
      <c r="E3091" s="42"/>
      <c r="F3091" s="51" t="n">
        <f aca="false">IF(OR(C3091="",D3091="",E3091="",E3091=0),0,C3091*D3091/E3091)</f>
        <v>0</v>
      </c>
      <c r="G3091" s="42"/>
      <c r="H3091" s="49" t="n">
        <f aca="true">IF(OR($A3091="",_xlfn.MINIFS($B$3:$B$5000,$A$3:$A$5000,$A3091,$B$3:$B$5000,"&gt;"&amp;$B3091)=0),NOW(),_xlfn.MINIFS($B$3:$B$5000,$A$3:$A$5000,$A3091,$B$3:$B$5000,"&gt;"&amp;$B3091))</f>
        <v>46279.5987644344</v>
      </c>
    </row>
    <row r="3092" customFormat="false" ht="15" hidden="false" customHeight="true" outlineLevel="0" collapsed="false">
      <c r="A3092" s="42"/>
      <c r="B3092" s="42"/>
      <c r="C3092" s="42"/>
      <c r="D3092" s="42"/>
      <c r="E3092" s="42"/>
      <c r="F3092" s="51" t="n">
        <f aca="false">IF(OR(C3092="",D3092="",E3092="",E3092=0),0,C3092*D3092/E3092)</f>
        <v>0</v>
      </c>
      <c r="G3092" s="42"/>
      <c r="H3092" s="49" t="n">
        <f aca="true">IF(OR($A3092="",_xlfn.MINIFS($B$3:$B$5000,$A$3:$A$5000,$A3092,$B$3:$B$5000,"&gt;"&amp;$B3092)=0),NOW(),_xlfn.MINIFS($B$3:$B$5000,$A$3:$A$5000,$A3092,$B$3:$B$5000,"&gt;"&amp;$B3092))</f>
        <v>46279.5987644345</v>
      </c>
    </row>
    <row r="3093" customFormat="false" ht="15" hidden="false" customHeight="true" outlineLevel="0" collapsed="false">
      <c r="A3093" s="42"/>
      <c r="B3093" s="42"/>
      <c r="C3093" s="42"/>
      <c r="D3093" s="42"/>
      <c r="E3093" s="42"/>
      <c r="F3093" s="51" t="n">
        <f aca="false">IF(OR(C3093="",D3093="",E3093="",E3093=0),0,C3093*D3093/E3093)</f>
        <v>0</v>
      </c>
      <c r="G3093" s="42"/>
      <c r="H3093" s="49" t="n">
        <f aca="true">IF(OR($A3093="",_xlfn.MINIFS($B$3:$B$5000,$A$3:$A$5000,$A3093,$B$3:$B$5000,"&gt;"&amp;$B3093)=0),NOW(),_xlfn.MINIFS($B$3:$B$5000,$A$3:$A$5000,$A3093,$B$3:$B$5000,"&gt;"&amp;$B3093))</f>
        <v>46279.5987644345</v>
      </c>
    </row>
    <row r="3094" customFormat="false" ht="15" hidden="false" customHeight="true" outlineLevel="0" collapsed="false">
      <c r="A3094" s="42"/>
      <c r="B3094" s="42"/>
      <c r="C3094" s="42"/>
      <c r="D3094" s="42"/>
      <c r="E3094" s="42"/>
      <c r="F3094" s="51" t="n">
        <f aca="false">IF(OR(C3094="",D3094="",E3094="",E3094=0),0,C3094*D3094/E3094)</f>
        <v>0</v>
      </c>
      <c r="G3094" s="42"/>
      <c r="H3094" s="49" t="n">
        <f aca="true">IF(OR($A3094="",_xlfn.MINIFS($B$3:$B$5000,$A$3:$A$5000,$A3094,$B$3:$B$5000,"&gt;"&amp;$B3094)=0),NOW(),_xlfn.MINIFS($B$3:$B$5000,$A$3:$A$5000,$A3094,$B$3:$B$5000,"&gt;"&amp;$B3094))</f>
        <v>46279.5987644346</v>
      </c>
    </row>
    <row r="3095" customFormat="false" ht="15" hidden="false" customHeight="true" outlineLevel="0" collapsed="false">
      <c r="A3095" s="42"/>
      <c r="B3095" s="42"/>
      <c r="C3095" s="42"/>
      <c r="D3095" s="42"/>
      <c r="E3095" s="42"/>
      <c r="F3095" s="51" t="n">
        <f aca="false">IF(OR(C3095="",D3095="",E3095="",E3095=0),0,C3095*D3095/E3095)</f>
        <v>0</v>
      </c>
      <c r="G3095" s="42"/>
      <c r="H3095" s="49" t="n">
        <f aca="true">IF(OR($A3095="",_xlfn.MINIFS($B$3:$B$5000,$A$3:$A$5000,$A3095,$B$3:$B$5000,"&gt;"&amp;$B3095)=0),NOW(),_xlfn.MINIFS($B$3:$B$5000,$A$3:$A$5000,$A3095,$B$3:$B$5000,"&gt;"&amp;$B3095))</f>
        <v>46279.5987644346</v>
      </c>
    </row>
    <row r="3096" customFormat="false" ht="15" hidden="false" customHeight="true" outlineLevel="0" collapsed="false">
      <c r="A3096" s="42"/>
      <c r="B3096" s="42"/>
      <c r="C3096" s="42"/>
      <c r="D3096" s="42"/>
      <c r="E3096" s="42"/>
      <c r="F3096" s="51" t="n">
        <f aca="false">IF(OR(C3096="",D3096="",E3096="",E3096=0),0,C3096*D3096/E3096)</f>
        <v>0</v>
      </c>
      <c r="G3096" s="42"/>
      <c r="H3096" s="49" t="n">
        <f aca="true">IF(OR($A3096="",_xlfn.MINIFS($B$3:$B$5000,$A$3:$A$5000,$A3096,$B$3:$B$5000,"&gt;"&amp;$B3096)=0),NOW(),_xlfn.MINIFS($B$3:$B$5000,$A$3:$A$5000,$A3096,$B$3:$B$5000,"&gt;"&amp;$B3096))</f>
        <v>46279.5987644347</v>
      </c>
    </row>
    <row r="3097" customFormat="false" ht="15" hidden="false" customHeight="true" outlineLevel="0" collapsed="false">
      <c r="A3097" s="42"/>
      <c r="B3097" s="42"/>
      <c r="C3097" s="42"/>
      <c r="D3097" s="42"/>
      <c r="E3097" s="42"/>
      <c r="F3097" s="51" t="n">
        <f aca="false">IF(OR(C3097="",D3097="",E3097="",E3097=0),0,C3097*D3097/E3097)</f>
        <v>0</v>
      </c>
      <c r="G3097" s="42"/>
      <c r="H3097" s="49" t="n">
        <f aca="true">IF(OR($A3097="",_xlfn.MINIFS($B$3:$B$5000,$A$3:$A$5000,$A3097,$B$3:$B$5000,"&gt;"&amp;$B3097)=0),NOW(),_xlfn.MINIFS($B$3:$B$5000,$A$3:$A$5000,$A3097,$B$3:$B$5000,"&gt;"&amp;$B3097))</f>
        <v>46279.5987644347</v>
      </c>
    </row>
    <row r="3098" customFormat="false" ht="15" hidden="false" customHeight="true" outlineLevel="0" collapsed="false">
      <c r="A3098" s="42"/>
      <c r="B3098" s="42"/>
      <c r="C3098" s="42"/>
      <c r="D3098" s="42"/>
      <c r="E3098" s="42"/>
      <c r="F3098" s="51" t="n">
        <f aca="false">IF(OR(C3098="",D3098="",E3098="",E3098=0),0,C3098*D3098/E3098)</f>
        <v>0</v>
      </c>
      <c r="G3098" s="42"/>
      <c r="H3098" s="49" t="n">
        <f aca="true">IF(OR($A3098="",_xlfn.MINIFS($B$3:$B$5000,$A$3:$A$5000,$A3098,$B$3:$B$5000,"&gt;"&amp;$B3098)=0),NOW(),_xlfn.MINIFS($B$3:$B$5000,$A$3:$A$5000,$A3098,$B$3:$B$5000,"&gt;"&amp;$B3098))</f>
        <v>46279.5987644348</v>
      </c>
    </row>
    <row r="3099" customFormat="false" ht="15" hidden="false" customHeight="true" outlineLevel="0" collapsed="false">
      <c r="A3099" s="42"/>
      <c r="B3099" s="42"/>
      <c r="C3099" s="42"/>
      <c r="D3099" s="42"/>
      <c r="E3099" s="42"/>
      <c r="F3099" s="51" t="n">
        <f aca="false">IF(OR(C3099="",D3099="",E3099="",E3099=0),0,C3099*D3099/E3099)</f>
        <v>0</v>
      </c>
      <c r="G3099" s="42"/>
      <c r="H3099" s="49" t="n">
        <f aca="true">IF(OR($A3099="",_xlfn.MINIFS($B$3:$B$5000,$A$3:$A$5000,$A3099,$B$3:$B$5000,"&gt;"&amp;$B3099)=0),NOW(),_xlfn.MINIFS($B$3:$B$5000,$A$3:$A$5000,$A3099,$B$3:$B$5000,"&gt;"&amp;$B3099))</f>
        <v>46279.5987644348</v>
      </c>
    </row>
    <row r="3100" customFormat="false" ht="15" hidden="false" customHeight="true" outlineLevel="0" collapsed="false">
      <c r="A3100" s="42"/>
      <c r="B3100" s="42"/>
      <c r="C3100" s="42"/>
      <c r="D3100" s="42"/>
      <c r="E3100" s="42"/>
      <c r="F3100" s="51" t="n">
        <f aca="false">IF(OR(C3100="",D3100="",E3100="",E3100=0),0,C3100*D3100/E3100)</f>
        <v>0</v>
      </c>
      <c r="G3100" s="42"/>
      <c r="H3100" s="49" t="n">
        <f aca="true">IF(OR($A3100="",_xlfn.MINIFS($B$3:$B$5000,$A$3:$A$5000,$A3100,$B$3:$B$5000,"&gt;"&amp;$B3100)=0),NOW(),_xlfn.MINIFS($B$3:$B$5000,$A$3:$A$5000,$A3100,$B$3:$B$5000,"&gt;"&amp;$B3100))</f>
        <v>46279.5987644349</v>
      </c>
    </row>
    <row r="3101" customFormat="false" ht="15" hidden="false" customHeight="true" outlineLevel="0" collapsed="false">
      <c r="A3101" s="42"/>
      <c r="B3101" s="42"/>
      <c r="C3101" s="42"/>
      <c r="D3101" s="42"/>
      <c r="E3101" s="42"/>
      <c r="F3101" s="51" t="n">
        <f aca="false">IF(OR(C3101="",D3101="",E3101="",E3101=0),0,C3101*D3101/E3101)</f>
        <v>0</v>
      </c>
      <c r="G3101" s="42"/>
      <c r="H3101" s="49" t="n">
        <f aca="true">IF(OR($A3101="",_xlfn.MINIFS($B$3:$B$5000,$A$3:$A$5000,$A3101,$B$3:$B$5000,"&gt;"&amp;$B3101)=0),NOW(),_xlfn.MINIFS($B$3:$B$5000,$A$3:$A$5000,$A3101,$B$3:$B$5000,"&gt;"&amp;$B3101))</f>
        <v>46279.5987644349</v>
      </c>
    </row>
    <row r="3102" customFormat="false" ht="15" hidden="false" customHeight="true" outlineLevel="0" collapsed="false">
      <c r="A3102" s="42"/>
      <c r="B3102" s="42"/>
      <c r="C3102" s="42"/>
      <c r="D3102" s="42"/>
      <c r="E3102" s="42"/>
      <c r="F3102" s="51" t="n">
        <f aca="false">IF(OR(C3102="",D3102="",E3102="",E3102=0),0,C3102*D3102/E3102)</f>
        <v>0</v>
      </c>
      <c r="G3102" s="42"/>
      <c r="H3102" s="49" t="n">
        <f aca="true">IF(OR($A3102="",_xlfn.MINIFS($B$3:$B$5000,$A$3:$A$5000,$A3102,$B$3:$B$5000,"&gt;"&amp;$B3102)=0),NOW(),_xlfn.MINIFS($B$3:$B$5000,$A$3:$A$5000,$A3102,$B$3:$B$5000,"&gt;"&amp;$B3102))</f>
        <v>46279.598764435</v>
      </c>
    </row>
    <row r="3103" customFormat="false" ht="15" hidden="false" customHeight="true" outlineLevel="0" collapsed="false">
      <c r="A3103" s="42"/>
      <c r="B3103" s="42"/>
      <c r="C3103" s="42"/>
      <c r="D3103" s="42"/>
      <c r="E3103" s="42"/>
      <c r="F3103" s="51" t="n">
        <f aca="false">IF(OR(C3103="",D3103="",E3103="",E3103=0),0,C3103*D3103/E3103)</f>
        <v>0</v>
      </c>
      <c r="G3103" s="42"/>
      <c r="H3103" s="49" t="n">
        <f aca="true">IF(OR($A3103="",_xlfn.MINIFS($B$3:$B$5000,$A$3:$A$5000,$A3103,$B$3:$B$5000,"&gt;"&amp;$B3103)=0),NOW(),_xlfn.MINIFS($B$3:$B$5000,$A$3:$A$5000,$A3103,$B$3:$B$5000,"&gt;"&amp;$B3103))</f>
        <v>46279.598764435</v>
      </c>
    </row>
    <row r="3104" customFormat="false" ht="15" hidden="false" customHeight="true" outlineLevel="0" collapsed="false">
      <c r="A3104" s="42"/>
      <c r="B3104" s="42"/>
      <c r="C3104" s="42"/>
      <c r="D3104" s="42"/>
      <c r="E3104" s="42"/>
      <c r="F3104" s="51" t="n">
        <f aca="false">IF(OR(C3104="",D3104="",E3104="",E3104=0),0,C3104*D3104/E3104)</f>
        <v>0</v>
      </c>
      <c r="G3104" s="42"/>
      <c r="H3104" s="49" t="n">
        <f aca="true">IF(OR($A3104="",_xlfn.MINIFS($B$3:$B$5000,$A$3:$A$5000,$A3104,$B$3:$B$5000,"&gt;"&amp;$B3104)=0),NOW(),_xlfn.MINIFS($B$3:$B$5000,$A$3:$A$5000,$A3104,$B$3:$B$5000,"&gt;"&amp;$B3104))</f>
        <v>46279.5987644351</v>
      </c>
    </row>
    <row r="3105" customFormat="false" ht="15" hidden="false" customHeight="true" outlineLevel="0" collapsed="false">
      <c r="A3105" s="42"/>
      <c r="B3105" s="42"/>
      <c r="C3105" s="42"/>
      <c r="D3105" s="42"/>
      <c r="E3105" s="42"/>
      <c r="F3105" s="51" t="n">
        <f aca="false">IF(OR(C3105="",D3105="",E3105="",E3105=0),0,C3105*D3105/E3105)</f>
        <v>0</v>
      </c>
      <c r="G3105" s="42"/>
      <c r="H3105" s="49" t="n">
        <f aca="true">IF(OR($A3105="",_xlfn.MINIFS($B$3:$B$5000,$A$3:$A$5000,$A3105,$B$3:$B$5000,"&gt;"&amp;$B3105)=0),NOW(),_xlfn.MINIFS($B$3:$B$5000,$A$3:$A$5000,$A3105,$B$3:$B$5000,"&gt;"&amp;$B3105))</f>
        <v>46279.5987644351</v>
      </c>
    </row>
    <row r="3106" customFormat="false" ht="15" hidden="false" customHeight="true" outlineLevel="0" collapsed="false">
      <c r="A3106" s="42"/>
      <c r="B3106" s="42"/>
      <c r="C3106" s="42"/>
      <c r="D3106" s="42"/>
      <c r="E3106" s="42"/>
      <c r="F3106" s="51" t="n">
        <f aca="false">IF(OR(C3106="",D3106="",E3106="",E3106=0),0,C3106*D3106/E3106)</f>
        <v>0</v>
      </c>
      <c r="G3106" s="42"/>
      <c r="H3106" s="49" t="n">
        <f aca="true">IF(OR($A3106="",_xlfn.MINIFS($B$3:$B$5000,$A$3:$A$5000,$A3106,$B$3:$B$5000,"&gt;"&amp;$B3106)=0),NOW(),_xlfn.MINIFS($B$3:$B$5000,$A$3:$A$5000,$A3106,$B$3:$B$5000,"&gt;"&amp;$B3106))</f>
        <v>46279.5987644352</v>
      </c>
    </row>
    <row r="3107" customFormat="false" ht="15" hidden="false" customHeight="true" outlineLevel="0" collapsed="false">
      <c r="A3107" s="42"/>
      <c r="B3107" s="42"/>
      <c r="C3107" s="42"/>
      <c r="D3107" s="42"/>
      <c r="E3107" s="42"/>
      <c r="F3107" s="51" t="n">
        <f aca="false">IF(OR(C3107="",D3107="",E3107="",E3107=0),0,C3107*D3107/E3107)</f>
        <v>0</v>
      </c>
      <c r="G3107" s="42"/>
      <c r="H3107" s="49" t="n">
        <f aca="true">IF(OR($A3107="",_xlfn.MINIFS($B$3:$B$5000,$A$3:$A$5000,$A3107,$B$3:$B$5000,"&gt;"&amp;$B3107)=0),NOW(),_xlfn.MINIFS($B$3:$B$5000,$A$3:$A$5000,$A3107,$B$3:$B$5000,"&gt;"&amp;$B3107))</f>
        <v>46279.5987644352</v>
      </c>
    </row>
    <row r="3108" customFormat="false" ht="15" hidden="false" customHeight="true" outlineLevel="0" collapsed="false">
      <c r="A3108" s="42"/>
      <c r="B3108" s="42"/>
      <c r="C3108" s="42"/>
      <c r="D3108" s="42"/>
      <c r="E3108" s="42"/>
      <c r="F3108" s="51" t="n">
        <f aca="false">IF(OR(C3108="",D3108="",E3108="",E3108=0),0,C3108*D3108/E3108)</f>
        <v>0</v>
      </c>
      <c r="G3108" s="42"/>
      <c r="H3108" s="49" t="n">
        <f aca="true">IF(OR($A3108="",_xlfn.MINIFS($B$3:$B$5000,$A$3:$A$5000,$A3108,$B$3:$B$5000,"&gt;"&amp;$B3108)=0),NOW(),_xlfn.MINIFS($B$3:$B$5000,$A$3:$A$5000,$A3108,$B$3:$B$5000,"&gt;"&amp;$B3108))</f>
        <v>46279.5987644353</v>
      </c>
    </row>
    <row r="3109" customFormat="false" ht="15" hidden="false" customHeight="true" outlineLevel="0" collapsed="false">
      <c r="A3109" s="42"/>
      <c r="B3109" s="42"/>
      <c r="C3109" s="42"/>
      <c r="D3109" s="42"/>
      <c r="E3109" s="42"/>
      <c r="F3109" s="51" t="n">
        <f aca="false">IF(OR(C3109="",D3109="",E3109="",E3109=0),0,C3109*D3109/E3109)</f>
        <v>0</v>
      </c>
      <c r="G3109" s="42"/>
      <c r="H3109" s="49" t="n">
        <f aca="true">IF(OR($A3109="",_xlfn.MINIFS($B$3:$B$5000,$A$3:$A$5000,$A3109,$B$3:$B$5000,"&gt;"&amp;$B3109)=0),NOW(),_xlfn.MINIFS($B$3:$B$5000,$A$3:$A$5000,$A3109,$B$3:$B$5000,"&gt;"&amp;$B3109))</f>
        <v>46279.5987644353</v>
      </c>
    </row>
    <row r="3110" customFormat="false" ht="15" hidden="false" customHeight="true" outlineLevel="0" collapsed="false">
      <c r="A3110" s="42"/>
      <c r="B3110" s="42"/>
      <c r="C3110" s="42"/>
      <c r="D3110" s="42"/>
      <c r="E3110" s="42"/>
      <c r="F3110" s="51" t="n">
        <f aca="false">IF(OR(C3110="",D3110="",E3110="",E3110=0),0,C3110*D3110/E3110)</f>
        <v>0</v>
      </c>
      <c r="G3110" s="42"/>
      <c r="H3110" s="49" t="n">
        <f aca="true">IF(OR($A3110="",_xlfn.MINIFS($B$3:$B$5000,$A$3:$A$5000,$A3110,$B$3:$B$5000,"&gt;"&amp;$B3110)=0),NOW(),_xlfn.MINIFS($B$3:$B$5000,$A$3:$A$5000,$A3110,$B$3:$B$5000,"&gt;"&amp;$B3110))</f>
        <v>46279.5987644354</v>
      </c>
    </row>
    <row r="3111" customFormat="false" ht="15" hidden="false" customHeight="true" outlineLevel="0" collapsed="false">
      <c r="A3111" s="42"/>
      <c r="B3111" s="42"/>
      <c r="C3111" s="42"/>
      <c r="D3111" s="42"/>
      <c r="E3111" s="42"/>
      <c r="F3111" s="51" t="n">
        <f aca="false">IF(OR(C3111="",D3111="",E3111="",E3111=0),0,C3111*D3111/E3111)</f>
        <v>0</v>
      </c>
      <c r="G3111" s="42"/>
      <c r="H3111" s="49" t="n">
        <f aca="true">IF(OR($A3111="",_xlfn.MINIFS($B$3:$B$5000,$A$3:$A$5000,$A3111,$B$3:$B$5000,"&gt;"&amp;$B3111)=0),NOW(),_xlfn.MINIFS($B$3:$B$5000,$A$3:$A$5000,$A3111,$B$3:$B$5000,"&gt;"&amp;$B3111))</f>
        <v>46279.5987644354</v>
      </c>
    </row>
    <row r="3112" customFormat="false" ht="15" hidden="false" customHeight="true" outlineLevel="0" collapsed="false">
      <c r="A3112" s="42"/>
      <c r="B3112" s="42"/>
      <c r="C3112" s="42"/>
      <c r="D3112" s="42"/>
      <c r="E3112" s="42"/>
      <c r="F3112" s="51" t="n">
        <f aca="false">IF(OR(C3112="",D3112="",E3112="",E3112=0),0,C3112*D3112/E3112)</f>
        <v>0</v>
      </c>
      <c r="G3112" s="42"/>
      <c r="H3112" s="49" t="n">
        <f aca="true">IF(OR($A3112="",_xlfn.MINIFS($B$3:$B$5000,$A$3:$A$5000,$A3112,$B$3:$B$5000,"&gt;"&amp;$B3112)=0),NOW(),_xlfn.MINIFS($B$3:$B$5000,$A$3:$A$5000,$A3112,$B$3:$B$5000,"&gt;"&amp;$B3112))</f>
        <v>46279.5987644355</v>
      </c>
    </row>
    <row r="3113" customFormat="false" ht="15" hidden="false" customHeight="true" outlineLevel="0" collapsed="false">
      <c r="A3113" s="42"/>
      <c r="B3113" s="42"/>
      <c r="C3113" s="42"/>
      <c r="D3113" s="42"/>
      <c r="E3113" s="42"/>
      <c r="F3113" s="51" t="n">
        <f aca="false">IF(OR(C3113="",D3113="",E3113="",E3113=0),0,C3113*D3113/E3113)</f>
        <v>0</v>
      </c>
      <c r="G3113" s="42"/>
      <c r="H3113" s="49" t="n">
        <f aca="true">IF(OR($A3113="",_xlfn.MINIFS($B$3:$B$5000,$A$3:$A$5000,$A3113,$B$3:$B$5000,"&gt;"&amp;$B3113)=0),NOW(),_xlfn.MINIFS($B$3:$B$5000,$A$3:$A$5000,$A3113,$B$3:$B$5000,"&gt;"&amp;$B3113))</f>
        <v>46279.5987644355</v>
      </c>
    </row>
    <row r="3114" customFormat="false" ht="15" hidden="false" customHeight="true" outlineLevel="0" collapsed="false">
      <c r="A3114" s="42"/>
      <c r="B3114" s="42"/>
      <c r="C3114" s="42"/>
      <c r="D3114" s="42"/>
      <c r="E3114" s="42"/>
      <c r="F3114" s="51" t="n">
        <f aca="false">IF(OR(C3114="",D3114="",E3114="",E3114=0),0,C3114*D3114/E3114)</f>
        <v>0</v>
      </c>
      <c r="G3114" s="42"/>
      <c r="H3114" s="49" t="n">
        <f aca="true">IF(OR($A3114="",_xlfn.MINIFS($B$3:$B$5000,$A$3:$A$5000,$A3114,$B$3:$B$5000,"&gt;"&amp;$B3114)=0),NOW(),_xlfn.MINIFS($B$3:$B$5000,$A$3:$A$5000,$A3114,$B$3:$B$5000,"&gt;"&amp;$B3114))</f>
        <v>46279.5987644356</v>
      </c>
    </row>
    <row r="3115" customFormat="false" ht="15" hidden="false" customHeight="true" outlineLevel="0" collapsed="false">
      <c r="A3115" s="42"/>
      <c r="B3115" s="42"/>
      <c r="C3115" s="42"/>
      <c r="D3115" s="42"/>
      <c r="E3115" s="42"/>
      <c r="F3115" s="51" t="n">
        <f aca="false">IF(OR(C3115="",D3115="",E3115="",E3115=0),0,C3115*D3115/E3115)</f>
        <v>0</v>
      </c>
      <c r="G3115" s="42"/>
      <c r="H3115" s="49" t="n">
        <f aca="true">IF(OR($A3115="",_xlfn.MINIFS($B$3:$B$5000,$A$3:$A$5000,$A3115,$B$3:$B$5000,"&gt;"&amp;$B3115)=0),NOW(),_xlfn.MINIFS($B$3:$B$5000,$A$3:$A$5000,$A3115,$B$3:$B$5000,"&gt;"&amp;$B3115))</f>
        <v>46279.5987644356</v>
      </c>
    </row>
    <row r="3116" customFormat="false" ht="15" hidden="false" customHeight="true" outlineLevel="0" collapsed="false">
      <c r="A3116" s="42"/>
      <c r="B3116" s="42"/>
      <c r="C3116" s="42"/>
      <c r="D3116" s="42"/>
      <c r="E3116" s="42"/>
      <c r="F3116" s="51" t="n">
        <f aca="false">IF(OR(C3116="",D3116="",E3116="",E3116=0),0,C3116*D3116/E3116)</f>
        <v>0</v>
      </c>
      <c r="G3116" s="42"/>
      <c r="H3116" s="49" t="n">
        <f aca="true">IF(OR($A3116="",_xlfn.MINIFS($B$3:$B$5000,$A$3:$A$5000,$A3116,$B$3:$B$5000,"&gt;"&amp;$B3116)=0),NOW(),_xlfn.MINIFS($B$3:$B$5000,$A$3:$A$5000,$A3116,$B$3:$B$5000,"&gt;"&amp;$B3116))</f>
        <v>46279.5987644357</v>
      </c>
    </row>
    <row r="3117" customFormat="false" ht="15" hidden="false" customHeight="true" outlineLevel="0" collapsed="false">
      <c r="A3117" s="42"/>
      <c r="B3117" s="42"/>
      <c r="C3117" s="42"/>
      <c r="D3117" s="42"/>
      <c r="E3117" s="42"/>
      <c r="F3117" s="51" t="n">
        <f aca="false">IF(OR(C3117="",D3117="",E3117="",E3117=0),0,C3117*D3117/E3117)</f>
        <v>0</v>
      </c>
      <c r="G3117" s="42"/>
      <c r="H3117" s="49" t="n">
        <f aca="true">IF(OR($A3117="",_xlfn.MINIFS($B$3:$B$5000,$A$3:$A$5000,$A3117,$B$3:$B$5000,"&gt;"&amp;$B3117)=0),NOW(),_xlfn.MINIFS($B$3:$B$5000,$A$3:$A$5000,$A3117,$B$3:$B$5000,"&gt;"&amp;$B3117))</f>
        <v>46279.5987644357</v>
      </c>
    </row>
    <row r="3118" customFormat="false" ht="15" hidden="false" customHeight="true" outlineLevel="0" collapsed="false">
      <c r="A3118" s="42"/>
      <c r="B3118" s="42"/>
      <c r="C3118" s="42"/>
      <c r="D3118" s="42"/>
      <c r="E3118" s="42"/>
      <c r="F3118" s="51" t="n">
        <f aca="false">IF(OR(C3118="",D3118="",E3118="",E3118=0),0,C3118*D3118/E3118)</f>
        <v>0</v>
      </c>
      <c r="G3118" s="42"/>
      <c r="H3118" s="49" t="n">
        <f aca="true">IF(OR($A3118="",_xlfn.MINIFS($B$3:$B$5000,$A$3:$A$5000,$A3118,$B$3:$B$5000,"&gt;"&amp;$B3118)=0),NOW(),_xlfn.MINIFS($B$3:$B$5000,$A$3:$A$5000,$A3118,$B$3:$B$5000,"&gt;"&amp;$B3118))</f>
        <v>46279.5987644358</v>
      </c>
    </row>
    <row r="3119" customFormat="false" ht="15" hidden="false" customHeight="true" outlineLevel="0" collapsed="false">
      <c r="A3119" s="42"/>
      <c r="B3119" s="42"/>
      <c r="C3119" s="42"/>
      <c r="D3119" s="42"/>
      <c r="E3119" s="42"/>
      <c r="F3119" s="51" t="n">
        <f aca="false">IF(OR(C3119="",D3119="",E3119="",E3119=0),0,C3119*D3119/E3119)</f>
        <v>0</v>
      </c>
      <c r="G3119" s="42"/>
      <c r="H3119" s="49" t="n">
        <f aca="true">IF(OR($A3119="",_xlfn.MINIFS($B$3:$B$5000,$A$3:$A$5000,$A3119,$B$3:$B$5000,"&gt;"&amp;$B3119)=0),NOW(),_xlfn.MINIFS($B$3:$B$5000,$A$3:$A$5000,$A3119,$B$3:$B$5000,"&gt;"&amp;$B3119))</f>
        <v>46279.5987644358</v>
      </c>
    </row>
    <row r="3120" customFormat="false" ht="15" hidden="false" customHeight="true" outlineLevel="0" collapsed="false">
      <c r="A3120" s="42"/>
      <c r="B3120" s="42"/>
      <c r="C3120" s="42"/>
      <c r="D3120" s="42"/>
      <c r="E3120" s="42"/>
      <c r="F3120" s="51" t="n">
        <f aca="false">IF(OR(C3120="",D3120="",E3120="",E3120=0),0,C3120*D3120/E3120)</f>
        <v>0</v>
      </c>
      <c r="G3120" s="42"/>
      <c r="H3120" s="49" t="n">
        <f aca="true">IF(OR($A3120="",_xlfn.MINIFS($B$3:$B$5000,$A$3:$A$5000,$A3120,$B$3:$B$5000,"&gt;"&amp;$B3120)=0),NOW(),_xlfn.MINIFS($B$3:$B$5000,$A$3:$A$5000,$A3120,$B$3:$B$5000,"&gt;"&amp;$B3120))</f>
        <v>46279.5987644359</v>
      </c>
    </row>
    <row r="3121" customFormat="false" ht="15" hidden="false" customHeight="true" outlineLevel="0" collapsed="false">
      <c r="A3121" s="42"/>
      <c r="B3121" s="42"/>
      <c r="C3121" s="42"/>
      <c r="D3121" s="42"/>
      <c r="E3121" s="42"/>
      <c r="F3121" s="51" t="n">
        <f aca="false">IF(OR(C3121="",D3121="",E3121="",E3121=0),0,C3121*D3121/E3121)</f>
        <v>0</v>
      </c>
      <c r="G3121" s="42"/>
      <c r="H3121" s="49" t="n">
        <f aca="true">IF(OR($A3121="",_xlfn.MINIFS($B$3:$B$5000,$A$3:$A$5000,$A3121,$B$3:$B$5000,"&gt;"&amp;$B3121)=0),NOW(),_xlfn.MINIFS($B$3:$B$5000,$A$3:$A$5000,$A3121,$B$3:$B$5000,"&gt;"&amp;$B3121))</f>
        <v>46279.5987644359</v>
      </c>
    </row>
    <row r="3122" customFormat="false" ht="15" hidden="false" customHeight="true" outlineLevel="0" collapsed="false">
      <c r="A3122" s="42"/>
      <c r="B3122" s="42"/>
      <c r="C3122" s="42"/>
      <c r="D3122" s="42"/>
      <c r="E3122" s="42"/>
      <c r="F3122" s="51" t="n">
        <f aca="false">IF(OR(C3122="",D3122="",E3122="",E3122=0),0,C3122*D3122/E3122)</f>
        <v>0</v>
      </c>
      <c r="G3122" s="42"/>
      <c r="H3122" s="49" t="n">
        <f aca="true">IF(OR($A3122="",_xlfn.MINIFS($B$3:$B$5000,$A$3:$A$5000,$A3122,$B$3:$B$5000,"&gt;"&amp;$B3122)=0),NOW(),_xlfn.MINIFS($B$3:$B$5000,$A$3:$A$5000,$A3122,$B$3:$B$5000,"&gt;"&amp;$B3122))</f>
        <v>46279.598764436</v>
      </c>
    </row>
    <row r="3123" customFormat="false" ht="15" hidden="false" customHeight="true" outlineLevel="0" collapsed="false">
      <c r="A3123" s="42"/>
      <c r="B3123" s="42"/>
      <c r="C3123" s="42"/>
      <c r="D3123" s="42"/>
      <c r="E3123" s="42"/>
      <c r="F3123" s="51" t="n">
        <f aca="false">IF(OR(C3123="",D3123="",E3123="",E3123=0),0,C3123*D3123/E3123)</f>
        <v>0</v>
      </c>
      <c r="G3123" s="42"/>
      <c r="H3123" s="49" t="n">
        <f aca="true">IF(OR($A3123="",_xlfn.MINIFS($B$3:$B$5000,$A$3:$A$5000,$A3123,$B$3:$B$5000,"&gt;"&amp;$B3123)=0),NOW(),_xlfn.MINIFS($B$3:$B$5000,$A$3:$A$5000,$A3123,$B$3:$B$5000,"&gt;"&amp;$B3123))</f>
        <v>46279.598764436</v>
      </c>
    </row>
    <row r="3124" customFormat="false" ht="15" hidden="false" customHeight="true" outlineLevel="0" collapsed="false">
      <c r="A3124" s="42"/>
      <c r="B3124" s="42"/>
      <c r="C3124" s="42"/>
      <c r="D3124" s="42"/>
      <c r="E3124" s="42"/>
      <c r="F3124" s="51" t="n">
        <f aca="false">IF(OR(C3124="",D3124="",E3124="",E3124=0),0,C3124*D3124/E3124)</f>
        <v>0</v>
      </c>
      <c r="G3124" s="42"/>
      <c r="H3124" s="49" t="n">
        <f aca="true">IF(OR($A3124="",_xlfn.MINIFS($B$3:$B$5000,$A$3:$A$5000,$A3124,$B$3:$B$5000,"&gt;"&amp;$B3124)=0),NOW(),_xlfn.MINIFS($B$3:$B$5000,$A$3:$A$5000,$A3124,$B$3:$B$5000,"&gt;"&amp;$B3124))</f>
        <v>46279.5987644361</v>
      </c>
    </row>
    <row r="3125" customFormat="false" ht="15" hidden="false" customHeight="true" outlineLevel="0" collapsed="false">
      <c r="A3125" s="42"/>
      <c r="B3125" s="42"/>
      <c r="C3125" s="42"/>
      <c r="D3125" s="42"/>
      <c r="E3125" s="42"/>
      <c r="F3125" s="51" t="n">
        <f aca="false">IF(OR(C3125="",D3125="",E3125="",E3125=0),0,C3125*D3125/E3125)</f>
        <v>0</v>
      </c>
      <c r="G3125" s="42"/>
      <c r="H3125" s="49" t="n">
        <f aca="true">IF(OR($A3125="",_xlfn.MINIFS($B$3:$B$5000,$A$3:$A$5000,$A3125,$B$3:$B$5000,"&gt;"&amp;$B3125)=0),NOW(),_xlfn.MINIFS($B$3:$B$5000,$A$3:$A$5000,$A3125,$B$3:$B$5000,"&gt;"&amp;$B3125))</f>
        <v>46279.5987644361</v>
      </c>
    </row>
    <row r="3126" customFormat="false" ht="15" hidden="false" customHeight="true" outlineLevel="0" collapsed="false">
      <c r="A3126" s="42"/>
      <c r="B3126" s="42"/>
      <c r="C3126" s="42"/>
      <c r="D3126" s="42"/>
      <c r="E3126" s="42"/>
      <c r="F3126" s="51" t="n">
        <f aca="false">IF(OR(C3126="",D3126="",E3126="",E3126=0),0,C3126*D3126/E3126)</f>
        <v>0</v>
      </c>
      <c r="G3126" s="42"/>
      <c r="H3126" s="49" t="n">
        <f aca="true">IF(OR($A3126="",_xlfn.MINIFS($B$3:$B$5000,$A$3:$A$5000,$A3126,$B$3:$B$5000,"&gt;"&amp;$B3126)=0),NOW(),_xlfn.MINIFS($B$3:$B$5000,$A$3:$A$5000,$A3126,$B$3:$B$5000,"&gt;"&amp;$B3126))</f>
        <v>46279.5987644362</v>
      </c>
    </row>
    <row r="3127" customFormat="false" ht="15" hidden="false" customHeight="true" outlineLevel="0" collapsed="false">
      <c r="A3127" s="42"/>
      <c r="B3127" s="42"/>
      <c r="C3127" s="42"/>
      <c r="D3127" s="42"/>
      <c r="E3127" s="42"/>
      <c r="F3127" s="51" t="n">
        <f aca="false">IF(OR(C3127="",D3127="",E3127="",E3127=0),0,C3127*D3127/E3127)</f>
        <v>0</v>
      </c>
      <c r="G3127" s="42"/>
      <c r="H3127" s="49" t="n">
        <f aca="true">IF(OR($A3127="",_xlfn.MINIFS($B$3:$B$5000,$A$3:$A$5000,$A3127,$B$3:$B$5000,"&gt;"&amp;$B3127)=0),NOW(),_xlfn.MINIFS($B$3:$B$5000,$A$3:$A$5000,$A3127,$B$3:$B$5000,"&gt;"&amp;$B3127))</f>
        <v>46279.5987644362</v>
      </c>
    </row>
    <row r="3128" customFormat="false" ht="15" hidden="false" customHeight="true" outlineLevel="0" collapsed="false">
      <c r="A3128" s="42"/>
      <c r="B3128" s="42"/>
      <c r="C3128" s="42"/>
      <c r="D3128" s="42"/>
      <c r="E3128" s="42"/>
      <c r="F3128" s="51" t="n">
        <f aca="false">IF(OR(C3128="",D3128="",E3128="",E3128=0),0,C3128*D3128/E3128)</f>
        <v>0</v>
      </c>
      <c r="G3128" s="42"/>
      <c r="H3128" s="49" t="n">
        <f aca="true">IF(OR($A3128="",_xlfn.MINIFS($B$3:$B$5000,$A$3:$A$5000,$A3128,$B$3:$B$5000,"&gt;"&amp;$B3128)=0),NOW(),_xlfn.MINIFS($B$3:$B$5000,$A$3:$A$5000,$A3128,$B$3:$B$5000,"&gt;"&amp;$B3128))</f>
        <v>46279.5987644363</v>
      </c>
    </row>
    <row r="3129" customFormat="false" ht="15" hidden="false" customHeight="true" outlineLevel="0" collapsed="false">
      <c r="A3129" s="42"/>
      <c r="B3129" s="42"/>
      <c r="C3129" s="42"/>
      <c r="D3129" s="42"/>
      <c r="E3129" s="42"/>
      <c r="F3129" s="51" t="n">
        <f aca="false">IF(OR(C3129="",D3129="",E3129="",E3129=0),0,C3129*D3129/E3129)</f>
        <v>0</v>
      </c>
      <c r="G3129" s="42"/>
      <c r="H3129" s="49" t="n">
        <f aca="true">IF(OR($A3129="",_xlfn.MINIFS($B$3:$B$5000,$A$3:$A$5000,$A3129,$B$3:$B$5000,"&gt;"&amp;$B3129)=0),NOW(),_xlfn.MINIFS($B$3:$B$5000,$A$3:$A$5000,$A3129,$B$3:$B$5000,"&gt;"&amp;$B3129))</f>
        <v>46279.5987644363</v>
      </c>
    </row>
    <row r="3130" customFormat="false" ht="15" hidden="false" customHeight="true" outlineLevel="0" collapsed="false">
      <c r="A3130" s="42"/>
      <c r="B3130" s="42"/>
      <c r="C3130" s="42"/>
      <c r="D3130" s="42"/>
      <c r="E3130" s="42"/>
      <c r="F3130" s="51" t="n">
        <f aca="false">IF(OR(C3130="",D3130="",E3130="",E3130=0),0,C3130*D3130/E3130)</f>
        <v>0</v>
      </c>
      <c r="G3130" s="42"/>
      <c r="H3130" s="49" t="n">
        <f aca="true">IF(OR($A3130="",_xlfn.MINIFS($B$3:$B$5000,$A$3:$A$5000,$A3130,$B$3:$B$5000,"&gt;"&amp;$B3130)=0),NOW(),_xlfn.MINIFS($B$3:$B$5000,$A$3:$A$5000,$A3130,$B$3:$B$5000,"&gt;"&amp;$B3130))</f>
        <v>46279.5987644364</v>
      </c>
    </row>
    <row r="3131" customFormat="false" ht="15" hidden="false" customHeight="true" outlineLevel="0" collapsed="false">
      <c r="A3131" s="42"/>
      <c r="B3131" s="42"/>
      <c r="C3131" s="42"/>
      <c r="D3131" s="42"/>
      <c r="E3131" s="42"/>
      <c r="F3131" s="51" t="n">
        <f aca="false">IF(OR(C3131="",D3131="",E3131="",E3131=0),0,C3131*D3131/E3131)</f>
        <v>0</v>
      </c>
      <c r="G3131" s="42"/>
      <c r="H3131" s="49" t="n">
        <f aca="true">IF(OR($A3131="",_xlfn.MINIFS($B$3:$B$5000,$A$3:$A$5000,$A3131,$B$3:$B$5000,"&gt;"&amp;$B3131)=0),NOW(),_xlfn.MINIFS($B$3:$B$5000,$A$3:$A$5000,$A3131,$B$3:$B$5000,"&gt;"&amp;$B3131))</f>
        <v>46279.5987644364</v>
      </c>
    </row>
    <row r="3132" customFormat="false" ht="15" hidden="false" customHeight="true" outlineLevel="0" collapsed="false">
      <c r="A3132" s="42"/>
      <c r="B3132" s="42"/>
      <c r="C3132" s="42"/>
      <c r="D3132" s="42"/>
      <c r="E3132" s="42"/>
      <c r="F3132" s="51" t="n">
        <f aca="false">IF(OR(C3132="",D3132="",E3132="",E3132=0),0,C3132*D3132/E3132)</f>
        <v>0</v>
      </c>
      <c r="G3132" s="42"/>
      <c r="H3132" s="49" t="n">
        <f aca="true">IF(OR($A3132="",_xlfn.MINIFS($B$3:$B$5000,$A$3:$A$5000,$A3132,$B$3:$B$5000,"&gt;"&amp;$B3132)=0),NOW(),_xlfn.MINIFS($B$3:$B$5000,$A$3:$A$5000,$A3132,$B$3:$B$5000,"&gt;"&amp;$B3132))</f>
        <v>46279.5987644365</v>
      </c>
    </row>
    <row r="3133" customFormat="false" ht="15" hidden="false" customHeight="true" outlineLevel="0" collapsed="false">
      <c r="A3133" s="42"/>
      <c r="B3133" s="42"/>
      <c r="C3133" s="42"/>
      <c r="D3133" s="42"/>
      <c r="E3133" s="42"/>
      <c r="F3133" s="51" t="n">
        <f aca="false">IF(OR(C3133="",D3133="",E3133="",E3133=0),0,C3133*D3133/E3133)</f>
        <v>0</v>
      </c>
      <c r="G3133" s="42"/>
      <c r="H3133" s="49" t="n">
        <f aca="true">IF(OR($A3133="",_xlfn.MINIFS($B$3:$B$5000,$A$3:$A$5000,$A3133,$B$3:$B$5000,"&gt;"&amp;$B3133)=0),NOW(),_xlfn.MINIFS($B$3:$B$5000,$A$3:$A$5000,$A3133,$B$3:$B$5000,"&gt;"&amp;$B3133))</f>
        <v>46279.5987644365</v>
      </c>
    </row>
    <row r="3134" customFormat="false" ht="15" hidden="false" customHeight="true" outlineLevel="0" collapsed="false">
      <c r="A3134" s="42"/>
      <c r="B3134" s="42"/>
      <c r="C3134" s="42"/>
      <c r="D3134" s="42"/>
      <c r="E3134" s="42"/>
      <c r="F3134" s="51" t="n">
        <f aca="false">IF(OR(C3134="",D3134="",E3134="",E3134=0),0,C3134*D3134/E3134)</f>
        <v>0</v>
      </c>
      <c r="G3134" s="42"/>
      <c r="H3134" s="49" t="n">
        <f aca="true">IF(OR($A3134="",_xlfn.MINIFS($B$3:$B$5000,$A$3:$A$5000,$A3134,$B$3:$B$5000,"&gt;"&amp;$B3134)=0),NOW(),_xlfn.MINIFS($B$3:$B$5000,$A$3:$A$5000,$A3134,$B$3:$B$5000,"&gt;"&amp;$B3134))</f>
        <v>46279.5987644366</v>
      </c>
    </row>
    <row r="3135" customFormat="false" ht="15" hidden="false" customHeight="true" outlineLevel="0" collapsed="false">
      <c r="A3135" s="42"/>
      <c r="B3135" s="42"/>
      <c r="C3135" s="42"/>
      <c r="D3135" s="42"/>
      <c r="E3135" s="42"/>
      <c r="F3135" s="51" t="n">
        <f aca="false">IF(OR(C3135="",D3135="",E3135="",E3135=0),0,C3135*D3135/E3135)</f>
        <v>0</v>
      </c>
      <c r="G3135" s="42"/>
      <c r="H3135" s="49" t="n">
        <f aca="true">IF(OR($A3135="",_xlfn.MINIFS($B$3:$B$5000,$A$3:$A$5000,$A3135,$B$3:$B$5000,"&gt;"&amp;$B3135)=0),NOW(),_xlfn.MINIFS($B$3:$B$5000,$A$3:$A$5000,$A3135,$B$3:$B$5000,"&gt;"&amp;$B3135))</f>
        <v>46279.5987644366</v>
      </c>
    </row>
    <row r="3136" customFormat="false" ht="15" hidden="false" customHeight="true" outlineLevel="0" collapsed="false">
      <c r="A3136" s="42"/>
      <c r="B3136" s="42"/>
      <c r="C3136" s="42"/>
      <c r="D3136" s="42"/>
      <c r="E3136" s="42"/>
      <c r="F3136" s="51" t="n">
        <f aca="false">IF(OR(C3136="",D3136="",E3136="",E3136=0),0,C3136*D3136/E3136)</f>
        <v>0</v>
      </c>
      <c r="G3136" s="42"/>
      <c r="H3136" s="49" t="n">
        <f aca="true">IF(OR($A3136="",_xlfn.MINIFS($B$3:$B$5000,$A$3:$A$5000,$A3136,$B$3:$B$5000,"&gt;"&amp;$B3136)=0),NOW(),_xlfn.MINIFS($B$3:$B$5000,$A$3:$A$5000,$A3136,$B$3:$B$5000,"&gt;"&amp;$B3136))</f>
        <v>46279.5987644367</v>
      </c>
    </row>
    <row r="3137" customFormat="false" ht="15" hidden="false" customHeight="true" outlineLevel="0" collapsed="false">
      <c r="A3137" s="42"/>
      <c r="B3137" s="42"/>
      <c r="C3137" s="42"/>
      <c r="D3137" s="42"/>
      <c r="E3137" s="42"/>
      <c r="F3137" s="51" t="n">
        <f aca="false">IF(OR(C3137="",D3137="",E3137="",E3137=0),0,C3137*D3137/E3137)</f>
        <v>0</v>
      </c>
      <c r="G3137" s="42"/>
      <c r="H3137" s="49" t="n">
        <f aca="true">IF(OR($A3137="",_xlfn.MINIFS($B$3:$B$5000,$A$3:$A$5000,$A3137,$B$3:$B$5000,"&gt;"&amp;$B3137)=0),NOW(),_xlfn.MINIFS($B$3:$B$5000,$A$3:$A$5000,$A3137,$B$3:$B$5000,"&gt;"&amp;$B3137))</f>
        <v>46279.5987644367</v>
      </c>
    </row>
    <row r="3138" customFormat="false" ht="15" hidden="false" customHeight="true" outlineLevel="0" collapsed="false">
      <c r="A3138" s="42"/>
      <c r="B3138" s="42"/>
      <c r="C3138" s="42"/>
      <c r="D3138" s="42"/>
      <c r="E3138" s="42"/>
      <c r="F3138" s="51" t="n">
        <f aca="false">IF(OR(C3138="",D3138="",E3138="",E3138=0),0,C3138*D3138/E3138)</f>
        <v>0</v>
      </c>
      <c r="G3138" s="42"/>
      <c r="H3138" s="49" t="n">
        <f aca="true">IF(OR($A3138="",_xlfn.MINIFS($B$3:$B$5000,$A$3:$A$5000,$A3138,$B$3:$B$5000,"&gt;"&amp;$B3138)=0),NOW(),_xlfn.MINIFS($B$3:$B$5000,$A$3:$A$5000,$A3138,$B$3:$B$5000,"&gt;"&amp;$B3138))</f>
        <v>46279.5987644368</v>
      </c>
    </row>
    <row r="3139" customFormat="false" ht="15" hidden="false" customHeight="true" outlineLevel="0" collapsed="false">
      <c r="A3139" s="42"/>
      <c r="B3139" s="42"/>
      <c r="C3139" s="42"/>
      <c r="D3139" s="42"/>
      <c r="E3139" s="42"/>
      <c r="F3139" s="51" t="n">
        <f aca="false">IF(OR(C3139="",D3139="",E3139="",E3139=0),0,C3139*D3139/E3139)</f>
        <v>0</v>
      </c>
      <c r="G3139" s="42"/>
      <c r="H3139" s="49" t="n">
        <f aca="true">IF(OR($A3139="",_xlfn.MINIFS($B$3:$B$5000,$A$3:$A$5000,$A3139,$B$3:$B$5000,"&gt;"&amp;$B3139)=0),NOW(),_xlfn.MINIFS($B$3:$B$5000,$A$3:$A$5000,$A3139,$B$3:$B$5000,"&gt;"&amp;$B3139))</f>
        <v>46279.5987644368</v>
      </c>
    </row>
    <row r="3140" customFormat="false" ht="15" hidden="false" customHeight="true" outlineLevel="0" collapsed="false">
      <c r="A3140" s="42"/>
      <c r="B3140" s="42"/>
      <c r="C3140" s="42"/>
      <c r="D3140" s="42"/>
      <c r="E3140" s="42"/>
      <c r="F3140" s="51" t="n">
        <f aca="false">IF(OR(C3140="",D3140="",E3140="",E3140=0),0,C3140*D3140/E3140)</f>
        <v>0</v>
      </c>
      <c r="G3140" s="42"/>
      <c r="H3140" s="49" t="n">
        <f aca="true">IF(OR($A3140="",_xlfn.MINIFS($B$3:$B$5000,$A$3:$A$5000,$A3140,$B$3:$B$5000,"&gt;"&amp;$B3140)=0),NOW(),_xlfn.MINIFS($B$3:$B$5000,$A$3:$A$5000,$A3140,$B$3:$B$5000,"&gt;"&amp;$B3140))</f>
        <v>46279.5987644369</v>
      </c>
    </row>
    <row r="3141" customFormat="false" ht="15" hidden="false" customHeight="true" outlineLevel="0" collapsed="false">
      <c r="A3141" s="42"/>
      <c r="B3141" s="42"/>
      <c r="C3141" s="42"/>
      <c r="D3141" s="42"/>
      <c r="E3141" s="42"/>
      <c r="F3141" s="51" t="n">
        <f aca="false">IF(OR(C3141="",D3141="",E3141="",E3141=0),0,C3141*D3141/E3141)</f>
        <v>0</v>
      </c>
      <c r="G3141" s="42"/>
      <c r="H3141" s="49" t="n">
        <f aca="true">IF(OR($A3141="",_xlfn.MINIFS($B$3:$B$5000,$A$3:$A$5000,$A3141,$B$3:$B$5000,"&gt;"&amp;$B3141)=0),NOW(),_xlfn.MINIFS($B$3:$B$5000,$A$3:$A$5000,$A3141,$B$3:$B$5000,"&gt;"&amp;$B3141))</f>
        <v>46279.5987644369</v>
      </c>
    </row>
    <row r="3142" customFormat="false" ht="15" hidden="false" customHeight="true" outlineLevel="0" collapsed="false">
      <c r="A3142" s="42"/>
      <c r="B3142" s="42"/>
      <c r="C3142" s="42"/>
      <c r="D3142" s="42"/>
      <c r="E3142" s="42"/>
      <c r="F3142" s="51" t="n">
        <f aca="false">IF(OR(C3142="",D3142="",E3142="",E3142=0),0,C3142*D3142/E3142)</f>
        <v>0</v>
      </c>
      <c r="G3142" s="42"/>
      <c r="H3142" s="49" t="n">
        <f aca="true">IF(OR($A3142="",_xlfn.MINIFS($B$3:$B$5000,$A$3:$A$5000,$A3142,$B$3:$B$5000,"&gt;"&amp;$B3142)=0),NOW(),_xlfn.MINIFS($B$3:$B$5000,$A$3:$A$5000,$A3142,$B$3:$B$5000,"&gt;"&amp;$B3142))</f>
        <v>46279.598764437</v>
      </c>
    </row>
    <row r="3143" customFormat="false" ht="15" hidden="false" customHeight="true" outlineLevel="0" collapsed="false">
      <c r="A3143" s="42"/>
      <c r="B3143" s="42"/>
      <c r="C3143" s="42"/>
      <c r="D3143" s="42"/>
      <c r="E3143" s="42"/>
      <c r="F3143" s="51" t="n">
        <f aca="false">IF(OR(C3143="",D3143="",E3143="",E3143=0),0,C3143*D3143/E3143)</f>
        <v>0</v>
      </c>
      <c r="G3143" s="42"/>
      <c r="H3143" s="49" t="n">
        <f aca="true">IF(OR($A3143="",_xlfn.MINIFS($B$3:$B$5000,$A$3:$A$5000,$A3143,$B$3:$B$5000,"&gt;"&amp;$B3143)=0),NOW(),_xlfn.MINIFS($B$3:$B$5000,$A$3:$A$5000,$A3143,$B$3:$B$5000,"&gt;"&amp;$B3143))</f>
        <v>46279.598764437</v>
      </c>
    </row>
    <row r="3144" customFormat="false" ht="15" hidden="false" customHeight="true" outlineLevel="0" collapsed="false">
      <c r="A3144" s="42"/>
      <c r="B3144" s="42"/>
      <c r="C3144" s="42"/>
      <c r="D3144" s="42"/>
      <c r="E3144" s="42"/>
      <c r="F3144" s="51" t="n">
        <f aca="false">IF(OR(C3144="",D3144="",E3144="",E3144=0),0,C3144*D3144/E3144)</f>
        <v>0</v>
      </c>
      <c r="G3144" s="42"/>
      <c r="H3144" s="49" t="n">
        <f aca="true">IF(OR($A3144="",_xlfn.MINIFS($B$3:$B$5000,$A$3:$A$5000,$A3144,$B$3:$B$5000,"&gt;"&amp;$B3144)=0),NOW(),_xlfn.MINIFS($B$3:$B$5000,$A$3:$A$5000,$A3144,$B$3:$B$5000,"&gt;"&amp;$B3144))</f>
        <v>46279.5987644371</v>
      </c>
    </row>
    <row r="3145" customFormat="false" ht="15" hidden="false" customHeight="true" outlineLevel="0" collapsed="false">
      <c r="A3145" s="42"/>
      <c r="B3145" s="42"/>
      <c r="C3145" s="42"/>
      <c r="D3145" s="42"/>
      <c r="E3145" s="42"/>
      <c r="F3145" s="51" t="n">
        <f aca="false">IF(OR(C3145="",D3145="",E3145="",E3145=0),0,C3145*D3145/E3145)</f>
        <v>0</v>
      </c>
      <c r="G3145" s="42"/>
      <c r="H3145" s="49" t="n">
        <f aca="true">IF(OR($A3145="",_xlfn.MINIFS($B$3:$B$5000,$A$3:$A$5000,$A3145,$B$3:$B$5000,"&gt;"&amp;$B3145)=0),NOW(),_xlfn.MINIFS($B$3:$B$5000,$A$3:$A$5000,$A3145,$B$3:$B$5000,"&gt;"&amp;$B3145))</f>
        <v>46279.5987644371</v>
      </c>
    </row>
    <row r="3146" customFormat="false" ht="15" hidden="false" customHeight="true" outlineLevel="0" collapsed="false">
      <c r="A3146" s="42"/>
      <c r="B3146" s="42"/>
      <c r="C3146" s="42"/>
      <c r="D3146" s="42"/>
      <c r="E3146" s="42"/>
      <c r="F3146" s="51" t="n">
        <f aca="false">IF(OR(C3146="",D3146="",E3146="",E3146=0),0,C3146*D3146/E3146)</f>
        <v>0</v>
      </c>
      <c r="G3146" s="42"/>
      <c r="H3146" s="49" t="n">
        <f aca="true">IF(OR($A3146="",_xlfn.MINIFS($B$3:$B$5000,$A$3:$A$5000,$A3146,$B$3:$B$5000,"&gt;"&amp;$B3146)=0),NOW(),_xlfn.MINIFS($B$3:$B$5000,$A$3:$A$5000,$A3146,$B$3:$B$5000,"&gt;"&amp;$B3146))</f>
        <v>46279.5987644372</v>
      </c>
    </row>
    <row r="3147" customFormat="false" ht="15" hidden="false" customHeight="true" outlineLevel="0" collapsed="false">
      <c r="A3147" s="42"/>
      <c r="B3147" s="42"/>
      <c r="C3147" s="42"/>
      <c r="D3147" s="42"/>
      <c r="E3147" s="42"/>
      <c r="F3147" s="51" t="n">
        <f aca="false">IF(OR(C3147="",D3147="",E3147="",E3147=0),0,C3147*D3147/E3147)</f>
        <v>0</v>
      </c>
      <c r="G3147" s="42"/>
      <c r="H3147" s="49" t="n">
        <f aca="true">IF(OR($A3147="",_xlfn.MINIFS($B$3:$B$5000,$A$3:$A$5000,$A3147,$B$3:$B$5000,"&gt;"&amp;$B3147)=0),NOW(),_xlfn.MINIFS($B$3:$B$5000,$A$3:$A$5000,$A3147,$B$3:$B$5000,"&gt;"&amp;$B3147))</f>
        <v>46279.5987644372</v>
      </c>
    </row>
    <row r="3148" customFormat="false" ht="15" hidden="false" customHeight="true" outlineLevel="0" collapsed="false">
      <c r="A3148" s="42"/>
      <c r="B3148" s="42"/>
      <c r="C3148" s="42"/>
      <c r="D3148" s="42"/>
      <c r="E3148" s="42"/>
      <c r="F3148" s="51" t="n">
        <f aca="false">IF(OR(C3148="",D3148="",E3148="",E3148=0),0,C3148*D3148/E3148)</f>
        <v>0</v>
      </c>
      <c r="G3148" s="42"/>
      <c r="H3148" s="49" t="n">
        <f aca="true">IF(OR($A3148="",_xlfn.MINIFS($B$3:$B$5000,$A$3:$A$5000,$A3148,$B$3:$B$5000,"&gt;"&amp;$B3148)=0),NOW(),_xlfn.MINIFS($B$3:$B$5000,$A$3:$A$5000,$A3148,$B$3:$B$5000,"&gt;"&amp;$B3148))</f>
        <v>46279.5987644373</v>
      </c>
    </row>
    <row r="3149" customFormat="false" ht="15" hidden="false" customHeight="true" outlineLevel="0" collapsed="false">
      <c r="A3149" s="42"/>
      <c r="B3149" s="42"/>
      <c r="C3149" s="42"/>
      <c r="D3149" s="42"/>
      <c r="E3149" s="42"/>
      <c r="F3149" s="51" t="n">
        <f aca="false">IF(OR(C3149="",D3149="",E3149="",E3149=0),0,C3149*D3149/E3149)</f>
        <v>0</v>
      </c>
      <c r="G3149" s="42"/>
      <c r="H3149" s="49" t="n">
        <f aca="true">IF(OR($A3149="",_xlfn.MINIFS($B$3:$B$5000,$A$3:$A$5000,$A3149,$B$3:$B$5000,"&gt;"&amp;$B3149)=0),NOW(),_xlfn.MINIFS($B$3:$B$5000,$A$3:$A$5000,$A3149,$B$3:$B$5000,"&gt;"&amp;$B3149))</f>
        <v>46279.5987644373</v>
      </c>
    </row>
    <row r="3150" customFormat="false" ht="15" hidden="false" customHeight="true" outlineLevel="0" collapsed="false">
      <c r="A3150" s="42"/>
      <c r="B3150" s="42"/>
      <c r="C3150" s="42"/>
      <c r="D3150" s="42"/>
      <c r="E3150" s="42"/>
      <c r="F3150" s="51" t="n">
        <f aca="false">IF(OR(C3150="",D3150="",E3150="",E3150=0),0,C3150*D3150/E3150)</f>
        <v>0</v>
      </c>
      <c r="G3150" s="42"/>
      <c r="H3150" s="49" t="n">
        <f aca="true">IF(OR($A3150="",_xlfn.MINIFS($B$3:$B$5000,$A$3:$A$5000,$A3150,$B$3:$B$5000,"&gt;"&amp;$B3150)=0),NOW(),_xlfn.MINIFS($B$3:$B$5000,$A$3:$A$5000,$A3150,$B$3:$B$5000,"&gt;"&amp;$B3150))</f>
        <v>46279.5987644373</v>
      </c>
    </row>
    <row r="3151" customFormat="false" ht="15" hidden="false" customHeight="true" outlineLevel="0" collapsed="false">
      <c r="A3151" s="42"/>
      <c r="B3151" s="42"/>
      <c r="C3151" s="42"/>
      <c r="D3151" s="42"/>
      <c r="E3151" s="42"/>
      <c r="F3151" s="51" t="n">
        <f aca="false">IF(OR(C3151="",D3151="",E3151="",E3151=0),0,C3151*D3151/E3151)</f>
        <v>0</v>
      </c>
      <c r="G3151" s="42"/>
      <c r="H3151" s="49" t="n">
        <f aca="true">IF(OR($A3151="",_xlfn.MINIFS($B$3:$B$5000,$A$3:$A$5000,$A3151,$B$3:$B$5000,"&gt;"&amp;$B3151)=0),NOW(),_xlfn.MINIFS($B$3:$B$5000,$A$3:$A$5000,$A3151,$B$3:$B$5000,"&gt;"&amp;$B3151))</f>
        <v>46279.5987644374</v>
      </c>
    </row>
    <row r="3152" customFormat="false" ht="15" hidden="false" customHeight="true" outlineLevel="0" collapsed="false">
      <c r="A3152" s="42"/>
      <c r="B3152" s="42"/>
      <c r="C3152" s="42"/>
      <c r="D3152" s="42"/>
      <c r="E3152" s="42"/>
      <c r="F3152" s="51" t="n">
        <f aca="false">IF(OR(C3152="",D3152="",E3152="",E3152=0),0,C3152*D3152/E3152)</f>
        <v>0</v>
      </c>
      <c r="G3152" s="42"/>
      <c r="H3152" s="49" t="n">
        <f aca="true">IF(OR($A3152="",_xlfn.MINIFS($B$3:$B$5000,$A$3:$A$5000,$A3152,$B$3:$B$5000,"&gt;"&amp;$B3152)=0),NOW(),_xlfn.MINIFS($B$3:$B$5000,$A$3:$A$5000,$A3152,$B$3:$B$5000,"&gt;"&amp;$B3152))</f>
        <v>46279.5987644375</v>
      </c>
    </row>
    <row r="3153" customFormat="false" ht="15" hidden="false" customHeight="true" outlineLevel="0" collapsed="false">
      <c r="A3153" s="42"/>
      <c r="B3153" s="42"/>
      <c r="C3153" s="42"/>
      <c r="D3153" s="42"/>
      <c r="E3153" s="42"/>
      <c r="F3153" s="51" t="n">
        <f aca="false">IF(OR(C3153="",D3153="",E3153="",E3153=0),0,C3153*D3153/E3153)</f>
        <v>0</v>
      </c>
      <c r="G3153" s="42"/>
      <c r="H3153" s="49" t="n">
        <f aca="true">IF(OR($A3153="",_xlfn.MINIFS($B$3:$B$5000,$A$3:$A$5000,$A3153,$B$3:$B$5000,"&gt;"&amp;$B3153)=0),NOW(),_xlfn.MINIFS($B$3:$B$5000,$A$3:$A$5000,$A3153,$B$3:$B$5000,"&gt;"&amp;$B3153))</f>
        <v>46279.5987644375</v>
      </c>
    </row>
    <row r="3154" customFormat="false" ht="15" hidden="false" customHeight="true" outlineLevel="0" collapsed="false">
      <c r="A3154" s="42"/>
      <c r="B3154" s="42"/>
      <c r="C3154" s="42"/>
      <c r="D3154" s="42"/>
      <c r="E3154" s="42"/>
      <c r="F3154" s="51" t="n">
        <f aca="false">IF(OR(C3154="",D3154="",E3154="",E3154=0),0,C3154*D3154/E3154)</f>
        <v>0</v>
      </c>
      <c r="G3154" s="42"/>
      <c r="H3154" s="49" t="n">
        <f aca="true">IF(OR($A3154="",_xlfn.MINIFS($B$3:$B$5000,$A$3:$A$5000,$A3154,$B$3:$B$5000,"&gt;"&amp;$B3154)=0),NOW(),_xlfn.MINIFS($B$3:$B$5000,$A$3:$A$5000,$A3154,$B$3:$B$5000,"&gt;"&amp;$B3154))</f>
        <v>46279.5987644376</v>
      </c>
    </row>
    <row r="3155" customFormat="false" ht="15" hidden="false" customHeight="true" outlineLevel="0" collapsed="false">
      <c r="A3155" s="42"/>
      <c r="B3155" s="42"/>
      <c r="C3155" s="42"/>
      <c r="D3155" s="42"/>
      <c r="E3155" s="42"/>
      <c r="F3155" s="51" t="n">
        <f aca="false">IF(OR(C3155="",D3155="",E3155="",E3155=0),0,C3155*D3155/E3155)</f>
        <v>0</v>
      </c>
      <c r="G3155" s="42"/>
      <c r="H3155" s="49" t="n">
        <f aca="true">IF(OR($A3155="",_xlfn.MINIFS($B$3:$B$5000,$A$3:$A$5000,$A3155,$B$3:$B$5000,"&gt;"&amp;$B3155)=0),NOW(),_xlfn.MINIFS($B$3:$B$5000,$A$3:$A$5000,$A3155,$B$3:$B$5000,"&gt;"&amp;$B3155))</f>
        <v>46279.5987644376</v>
      </c>
    </row>
    <row r="3156" customFormat="false" ht="15" hidden="false" customHeight="true" outlineLevel="0" collapsed="false">
      <c r="A3156" s="42"/>
      <c r="B3156" s="42"/>
      <c r="C3156" s="42"/>
      <c r="D3156" s="42"/>
      <c r="E3156" s="42"/>
      <c r="F3156" s="51" t="n">
        <f aca="false">IF(OR(C3156="",D3156="",E3156="",E3156=0),0,C3156*D3156/E3156)</f>
        <v>0</v>
      </c>
      <c r="G3156" s="42"/>
      <c r="H3156" s="49" t="n">
        <f aca="true">IF(OR($A3156="",_xlfn.MINIFS($B$3:$B$5000,$A$3:$A$5000,$A3156,$B$3:$B$5000,"&gt;"&amp;$B3156)=0),NOW(),_xlfn.MINIFS($B$3:$B$5000,$A$3:$A$5000,$A3156,$B$3:$B$5000,"&gt;"&amp;$B3156))</f>
        <v>46279.5987644376</v>
      </c>
    </row>
    <row r="3157" customFormat="false" ht="15" hidden="false" customHeight="true" outlineLevel="0" collapsed="false">
      <c r="A3157" s="42"/>
      <c r="B3157" s="42"/>
      <c r="C3157" s="42"/>
      <c r="D3157" s="42"/>
      <c r="E3157" s="42"/>
      <c r="F3157" s="51" t="n">
        <f aca="false">IF(OR(C3157="",D3157="",E3157="",E3157=0),0,C3157*D3157/E3157)</f>
        <v>0</v>
      </c>
      <c r="G3157" s="42"/>
      <c r="H3157" s="49" t="n">
        <f aca="true">IF(OR($A3157="",_xlfn.MINIFS($B$3:$B$5000,$A$3:$A$5000,$A3157,$B$3:$B$5000,"&gt;"&amp;$B3157)=0),NOW(),_xlfn.MINIFS($B$3:$B$5000,$A$3:$A$5000,$A3157,$B$3:$B$5000,"&gt;"&amp;$B3157))</f>
        <v>46279.5987644377</v>
      </c>
    </row>
    <row r="3158" customFormat="false" ht="15" hidden="false" customHeight="true" outlineLevel="0" collapsed="false">
      <c r="A3158" s="42"/>
      <c r="B3158" s="42"/>
      <c r="C3158" s="42"/>
      <c r="D3158" s="42"/>
      <c r="E3158" s="42"/>
      <c r="F3158" s="51" t="n">
        <f aca="false">IF(OR(C3158="",D3158="",E3158="",E3158=0),0,C3158*D3158/E3158)</f>
        <v>0</v>
      </c>
      <c r="G3158" s="42"/>
      <c r="H3158" s="49" t="n">
        <f aca="true">IF(OR($A3158="",_xlfn.MINIFS($B$3:$B$5000,$A$3:$A$5000,$A3158,$B$3:$B$5000,"&gt;"&amp;$B3158)=0),NOW(),_xlfn.MINIFS($B$3:$B$5000,$A$3:$A$5000,$A3158,$B$3:$B$5000,"&gt;"&amp;$B3158))</f>
        <v>46279.5987644377</v>
      </c>
    </row>
    <row r="3159" customFormat="false" ht="15" hidden="false" customHeight="true" outlineLevel="0" collapsed="false">
      <c r="A3159" s="42"/>
      <c r="B3159" s="42"/>
      <c r="C3159" s="42"/>
      <c r="D3159" s="42"/>
      <c r="E3159" s="42"/>
      <c r="F3159" s="51" t="n">
        <f aca="false">IF(OR(C3159="",D3159="",E3159="",E3159=0),0,C3159*D3159/E3159)</f>
        <v>0</v>
      </c>
      <c r="G3159" s="42"/>
      <c r="H3159" s="49" t="n">
        <f aca="true">IF(OR($A3159="",_xlfn.MINIFS($B$3:$B$5000,$A$3:$A$5000,$A3159,$B$3:$B$5000,"&gt;"&amp;$B3159)=0),NOW(),_xlfn.MINIFS($B$3:$B$5000,$A$3:$A$5000,$A3159,$B$3:$B$5000,"&gt;"&amp;$B3159))</f>
        <v>46279.5987644378</v>
      </c>
    </row>
    <row r="3160" customFormat="false" ht="15" hidden="false" customHeight="true" outlineLevel="0" collapsed="false">
      <c r="A3160" s="42"/>
      <c r="B3160" s="42"/>
      <c r="C3160" s="42"/>
      <c r="D3160" s="42"/>
      <c r="E3160" s="42"/>
      <c r="F3160" s="51" t="n">
        <f aca="false">IF(OR(C3160="",D3160="",E3160="",E3160=0),0,C3160*D3160/E3160)</f>
        <v>0</v>
      </c>
      <c r="G3160" s="42"/>
      <c r="H3160" s="49" t="n">
        <f aca="true">IF(OR($A3160="",_xlfn.MINIFS($B$3:$B$5000,$A$3:$A$5000,$A3160,$B$3:$B$5000,"&gt;"&amp;$B3160)=0),NOW(),_xlfn.MINIFS($B$3:$B$5000,$A$3:$A$5000,$A3160,$B$3:$B$5000,"&gt;"&amp;$B3160))</f>
        <v>46279.5987644378</v>
      </c>
    </row>
    <row r="3161" customFormat="false" ht="15" hidden="false" customHeight="true" outlineLevel="0" collapsed="false">
      <c r="A3161" s="42"/>
      <c r="B3161" s="42"/>
      <c r="C3161" s="42"/>
      <c r="D3161" s="42"/>
      <c r="E3161" s="42"/>
      <c r="F3161" s="51" t="n">
        <f aca="false">IF(OR(C3161="",D3161="",E3161="",E3161=0),0,C3161*D3161/E3161)</f>
        <v>0</v>
      </c>
      <c r="G3161" s="42"/>
      <c r="H3161" s="49" t="n">
        <f aca="true">IF(OR($A3161="",_xlfn.MINIFS($B$3:$B$5000,$A$3:$A$5000,$A3161,$B$3:$B$5000,"&gt;"&amp;$B3161)=0),NOW(),_xlfn.MINIFS($B$3:$B$5000,$A$3:$A$5000,$A3161,$B$3:$B$5000,"&gt;"&amp;$B3161))</f>
        <v>46279.5987644379</v>
      </c>
    </row>
    <row r="3162" customFormat="false" ht="15" hidden="false" customHeight="true" outlineLevel="0" collapsed="false">
      <c r="A3162" s="42"/>
      <c r="B3162" s="42"/>
      <c r="C3162" s="42"/>
      <c r="D3162" s="42"/>
      <c r="E3162" s="42"/>
      <c r="F3162" s="51" t="n">
        <f aca="false">IF(OR(C3162="",D3162="",E3162="",E3162=0),0,C3162*D3162/E3162)</f>
        <v>0</v>
      </c>
      <c r="G3162" s="42"/>
      <c r="H3162" s="49" t="n">
        <f aca="true">IF(OR($A3162="",_xlfn.MINIFS($B$3:$B$5000,$A$3:$A$5000,$A3162,$B$3:$B$5000,"&gt;"&amp;$B3162)=0),NOW(),_xlfn.MINIFS($B$3:$B$5000,$A$3:$A$5000,$A3162,$B$3:$B$5000,"&gt;"&amp;$B3162))</f>
        <v>46279.5987644379</v>
      </c>
    </row>
    <row r="3163" customFormat="false" ht="15" hidden="false" customHeight="true" outlineLevel="0" collapsed="false">
      <c r="A3163" s="42"/>
      <c r="B3163" s="42"/>
      <c r="C3163" s="42"/>
      <c r="D3163" s="42"/>
      <c r="E3163" s="42"/>
      <c r="F3163" s="51" t="n">
        <f aca="false">IF(OR(C3163="",D3163="",E3163="",E3163=0),0,C3163*D3163/E3163)</f>
        <v>0</v>
      </c>
      <c r="G3163" s="42"/>
      <c r="H3163" s="49" t="n">
        <f aca="true">IF(OR($A3163="",_xlfn.MINIFS($B$3:$B$5000,$A$3:$A$5000,$A3163,$B$3:$B$5000,"&gt;"&amp;$B3163)=0),NOW(),_xlfn.MINIFS($B$3:$B$5000,$A$3:$A$5000,$A3163,$B$3:$B$5000,"&gt;"&amp;$B3163))</f>
        <v>46279.598764438</v>
      </c>
    </row>
    <row r="3164" customFormat="false" ht="15" hidden="false" customHeight="true" outlineLevel="0" collapsed="false">
      <c r="A3164" s="42"/>
      <c r="B3164" s="42"/>
      <c r="C3164" s="42"/>
      <c r="D3164" s="42"/>
      <c r="E3164" s="42"/>
      <c r="F3164" s="51" t="n">
        <f aca="false">IF(OR(C3164="",D3164="",E3164="",E3164=0),0,C3164*D3164/E3164)</f>
        <v>0</v>
      </c>
      <c r="G3164" s="42"/>
      <c r="H3164" s="49" t="n">
        <f aca="true">IF(OR($A3164="",_xlfn.MINIFS($B$3:$B$5000,$A$3:$A$5000,$A3164,$B$3:$B$5000,"&gt;"&amp;$B3164)=0),NOW(),_xlfn.MINIFS($B$3:$B$5000,$A$3:$A$5000,$A3164,$B$3:$B$5000,"&gt;"&amp;$B3164))</f>
        <v>46279.598764438</v>
      </c>
    </row>
    <row r="3165" customFormat="false" ht="15" hidden="false" customHeight="true" outlineLevel="0" collapsed="false">
      <c r="A3165" s="42"/>
      <c r="B3165" s="42"/>
      <c r="C3165" s="42"/>
      <c r="D3165" s="42"/>
      <c r="E3165" s="42"/>
      <c r="F3165" s="51" t="n">
        <f aca="false">IF(OR(C3165="",D3165="",E3165="",E3165=0),0,C3165*D3165/E3165)</f>
        <v>0</v>
      </c>
      <c r="G3165" s="42"/>
      <c r="H3165" s="49" t="n">
        <f aca="true">IF(OR($A3165="",_xlfn.MINIFS($B$3:$B$5000,$A$3:$A$5000,$A3165,$B$3:$B$5000,"&gt;"&amp;$B3165)=0),NOW(),_xlfn.MINIFS($B$3:$B$5000,$A$3:$A$5000,$A3165,$B$3:$B$5000,"&gt;"&amp;$B3165))</f>
        <v>46279.5987644381</v>
      </c>
    </row>
    <row r="3166" customFormat="false" ht="15" hidden="false" customHeight="true" outlineLevel="0" collapsed="false">
      <c r="A3166" s="42"/>
      <c r="B3166" s="42"/>
      <c r="C3166" s="42"/>
      <c r="D3166" s="42"/>
      <c r="E3166" s="42"/>
      <c r="F3166" s="51" t="n">
        <f aca="false">IF(OR(C3166="",D3166="",E3166="",E3166=0),0,C3166*D3166/E3166)</f>
        <v>0</v>
      </c>
      <c r="G3166" s="42"/>
      <c r="H3166" s="49" t="n">
        <f aca="true">IF(OR($A3166="",_xlfn.MINIFS($B$3:$B$5000,$A$3:$A$5000,$A3166,$B$3:$B$5000,"&gt;"&amp;$B3166)=0),NOW(),_xlfn.MINIFS($B$3:$B$5000,$A$3:$A$5000,$A3166,$B$3:$B$5000,"&gt;"&amp;$B3166))</f>
        <v>46279.5987644381</v>
      </c>
    </row>
    <row r="3167" customFormat="false" ht="15" hidden="false" customHeight="true" outlineLevel="0" collapsed="false">
      <c r="A3167" s="42"/>
      <c r="B3167" s="42"/>
      <c r="C3167" s="42"/>
      <c r="D3167" s="42"/>
      <c r="E3167" s="42"/>
      <c r="F3167" s="51" t="n">
        <f aca="false">IF(OR(C3167="",D3167="",E3167="",E3167=0),0,C3167*D3167/E3167)</f>
        <v>0</v>
      </c>
      <c r="G3167" s="42"/>
      <c r="H3167" s="49" t="n">
        <f aca="true">IF(OR($A3167="",_xlfn.MINIFS($B$3:$B$5000,$A$3:$A$5000,$A3167,$B$3:$B$5000,"&gt;"&amp;$B3167)=0),NOW(),_xlfn.MINIFS($B$3:$B$5000,$A$3:$A$5000,$A3167,$B$3:$B$5000,"&gt;"&amp;$B3167))</f>
        <v>46279.5987644382</v>
      </c>
    </row>
    <row r="3168" customFormat="false" ht="15" hidden="false" customHeight="true" outlineLevel="0" collapsed="false">
      <c r="A3168" s="42"/>
      <c r="B3168" s="42"/>
      <c r="C3168" s="42"/>
      <c r="D3168" s="42"/>
      <c r="E3168" s="42"/>
      <c r="F3168" s="51" t="n">
        <f aca="false">IF(OR(C3168="",D3168="",E3168="",E3168=0),0,C3168*D3168/E3168)</f>
        <v>0</v>
      </c>
      <c r="G3168" s="42"/>
      <c r="H3168" s="49" t="n">
        <f aca="true">IF(OR($A3168="",_xlfn.MINIFS($B$3:$B$5000,$A$3:$A$5000,$A3168,$B$3:$B$5000,"&gt;"&amp;$B3168)=0),NOW(),_xlfn.MINIFS($B$3:$B$5000,$A$3:$A$5000,$A3168,$B$3:$B$5000,"&gt;"&amp;$B3168))</f>
        <v>46279.5987644382</v>
      </c>
    </row>
    <row r="3169" customFormat="false" ht="15" hidden="false" customHeight="true" outlineLevel="0" collapsed="false">
      <c r="A3169" s="42"/>
      <c r="B3169" s="42"/>
      <c r="C3169" s="42"/>
      <c r="D3169" s="42"/>
      <c r="E3169" s="42"/>
      <c r="F3169" s="51" t="n">
        <f aca="false">IF(OR(C3169="",D3169="",E3169="",E3169=0),0,C3169*D3169/E3169)</f>
        <v>0</v>
      </c>
      <c r="G3169" s="42"/>
      <c r="H3169" s="49" t="n">
        <f aca="true">IF(OR($A3169="",_xlfn.MINIFS($B$3:$B$5000,$A$3:$A$5000,$A3169,$B$3:$B$5000,"&gt;"&amp;$B3169)=0),NOW(),_xlfn.MINIFS($B$3:$B$5000,$A$3:$A$5000,$A3169,$B$3:$B$5000,"&gt;"&amp;$B3169))</f>
        <v>46279.5987644383</v>
      </c>
    </row>
    <row r="3170" customFormat="false" ht="15" hidden="false" customHeight="true" outlineLevel="0" collapsed="false">
      <c r="A3170" s="42"/>
      <c r="B3170" s="42"/>
      <c r="C3170" s="42"/>
      <c r="D3170" s="42"/>
      <c r="E3170" s="42"/>
      <c r="F3170" s="51" t="n">
        <f aca="false">IF(OR(C3170="",D3170="",E3170="",E3170=0),0,C3170*D3170/E3170)</f>
        <v>0</v>
      </c>
      <c r="G3170" s="42"/>
      <c r="H3170" s="49" t="n">
        <f aca="true">IF(OR($A3170="",_xlfn.MINIFS($B$3:$B$5000,$A$3:$A$5000,$A3170,$B$3:$B$5000,"&gt;"&amp;$B3170)=0),NOW(),_xlfn.MINIFS($B$3:$B$5000,$A$3:$A$5000,$A3170,$B$3:$B$5000,"&gt;"&amp;$B3170))</f>
        <v>46279.5987644383</v>
      </c>
    </row>
    <row r="3171" customFormat="false" ht="15" hidden="false" customHeight="true" outlineLevel="0" collapsed="false">
      <c r="A3171" s="42"/>
      <c r="B3171" s="42"/>
      <c r="C3171" s="42"/>
      <c r="D3171" s="42"/>
      <c r="E3171" s="42"/>
      <c r="F3171" s="51" t="n">
        <f aca="false">IF(OR(C3171="",D3171="",E3171="",E3171=0),0,C3171*D3171/E3171)</f>
        <v>0</v>
      </c>
      <c r="G3171" s="42"/>
      <c r="H3171" s="49" t="n">
        <f aca="true">IF(OR($A3171="",_xlfn.MINIFS($B$3:$B$5000,$A$3:$A$5000,$A3171,$B$3:$B$5000,"&gt;"&amp;$B3171)=0),NOW(),_xlfn.MINIFS($B$3:$B$5000,$A$3:$A$5000,$A3171,$B$3:$B$5000,"&gt;"&amp;$B3171))</f>
        <v>46279.5987644384</v>
      </c>
    </row>
    <row r="3172" customFormat="false" ht="15" hidden="false" customHeight="true" outlineLevel="0" collapsed="false">
      <c r="A3172" s="42"/>
      <c r="B3172" s="42"/>
      <c r="C3172" s="42"/>
      <c r="D3172" s="42"/>
      <c r="E3172" s="42"/>
      <c r="F3172" s="51" t="n">
        <f aca="false">IF(OR(C3172="",D3172="",E3172="",E3172=0),0,C3172*D3172/E3172)</f>
        <v>0</v>
      </c>
      <c r="G3172" s="42"/>
      <c r="H3172" s="49" t="n">
        <f aca="true">IF(OR($A3172="",_xlfn.MINIFS($B$3:$B$5000,$A$3:$A$5000,$A3172,$B$3:$B$5000,"&gt;"&amp;$B3172)=0),NOW(),_xlfn.MINIFS($B$3:$B$5000,$A$3:$A$5000,$A3172,$B$3:$B$5000,"&gt;"&amp;$B3172))</f>
        <v>46279.5987644384</v>
      </c>
    </row>
    <row r="3173" customFormat="false" ht="15" hidden="false" customHeight="true" outlineLevel="0" collapsed="false">
      <c r="A3173" s="42"/>
      <c r="B3173" s="42"/>
      <c r="C3173" s="42"/>
      <c r="D3173" s="42"/>
      <c r="E3173" s="42"/>
      <c r="F3173" s="51" t="n">
        <f aca="false">IF(OR(C3173="",D3173="",E3173="",E3173=0),0,C3173*D3173/E3173)</f>
        <v>0</v>
      </c>
      <c r="G3173" s="42"/>
      <c r="H3173" s="49" t="n">
        <f aca="true">IF(OR($A3173="",_xlfn.MINIFS($B$3:$B$5000,$A$3:$A$5000,$A3173,$B$3:$B$5000,"&gt;"&amp;$B3173)=0),NOW(),_xlfn.MINIFS($B$3:$B$5000,$A$3:$A$5000,$A3173,$B$3:$B$5000,"&gt;"&amp;$B3173))</f>
        <v>46279.5987644385</v>
      </c>
    </row>
    <row r="3174" customFormat="false" ht="15" hidden="false" customHeight="true" outlineLevel="0" collapsed="false">
      <c r="A3174" s="42"/>
      <c r="B3174" s="42"/>
      <c r="C3174" s="42"/>
      <c r="D3174" s="42"/>
      <c r="E3174" s="42"/>
      <c r="F3174" s="51" t="n">
        <f aca="false">IF(OR(C3174="",D3174="",E3174="",E3174=0),0,C3174*D3174/E3174)</f>
        <v>0</v>
      </c>
      <c r="G3174" s="42"/>
      <c r="H3174" s="49" t="n">
        <f aca="true">IF(OR($A3174="",_xlfn.MINIFS($B$3:$B$5000,$A$3:$A$5000,$A3174,$B$3:$B$5000,"&gt;"&amp;$B3174)=0),NOW(),_xlfn.MINIFS($B$3:$B$5000,$A$3:$A$5000,$A3174,$B$3:$B$5000,"&gt;"&amp;$B3174))</f>
        <v>46279.5987644385</v>
      </c>
    </row>
    <row r="3175" customFormat="false" ht="15" hidden="false" customHeight="true" outlineLevel="0" collapsed="false">
      <c r="A3175" s="42"/>
      <c r="B3175" s="42"/>
      <c r="C3175" s="42"/>
      <c r="D3175" s="42"/>
      <c r="E3175" s="42"/>
      <c r="F3175" s="51" t="n">
        <f aca="false">IF(OR(C3175="",D3175="",E3175="",E3175=0),0,C3175*D3175/E3175)</f>
        <v>0</v>
      </c>
      <c r="G3175" s="42"/>
      <c r="H3175" s="49" t="n">
        <f aca="true">IF(OR($A3175="",_xlfn.MINIFS($B$3:$B$5000,$A$3:$A$5000,$A3175,$B$3:$B$5000,"&gt;"&amp;$B3175)=0),NOW(),_xlfn.MINIFS($B$3:$B$5000,$A$3:$A$5000,$A3175,$B$3:$B$5000,"&gt;"&amp;$B3175))</f>
        <v>46279.5987644386</v>
      </c>
    </row>
    <row r="3176" customFormat="false" ht="15" hidden="false" customHeight="true" outlineLevel="0" collapsed="false">
      <c r="A3176" s="42"/>
      <c r="B3176" s="42"/>
      <c r="C3176" s="42"/>
      <c r="D3176" s="42"/>
      <c r="E3176" s="42"/>
      <c r="F3176" s="51" t="n">
        <f aca="false">IF(OR(C3176="",D3176="",E3176="",E3176=0),0,C3176*D3176/E3176)</f>
        <v>0</v>
      </c>
      <c r="G3176" s="42"/>
      <c r="H3176" s="49" t="n">
        <f aca="true">IF(OR($A3176="",_xlfn.MINIFS($B$3:$B$5000,$A$3:$A$5000,$A3176,$B$3:$B$5000,"&gt;"&amp;$B3176)=0),NOW(),_xlfn.MINIFS($B$3:$B$5000,$A$3:$A$5000,$A3176,$B$3:$B$5000,"&gt;"&amp;$B3176))</f>
        <v>46279.5987644386</v>
      </c>
    </row>
    <row r="3177" customFormat="false" ht="15" hidden="false" customHeight="true" outlineLevel="0" collapsed="false">
      <c r="A3177" s="42"/>
      <c r="B3177" s="42"/>
      <c r="C3177" s="42"/>
      <c r="D3177" s="42"/>
      <c r="E3177" s="42"/>
      <c r="F3177" s="51" t="n">
        <f aca="false">IF(OR(C3177="",D3177="",E3177="",E3177=0),0,C3177*D3177/E3177)</f>
        <v>0</v>
      </c>
      <c r="G3177" s="42"/>
      <c r="H3177" s="49" t="n">
        <f aca="true">IF(OR($A3177="",_xlfn.MINIFS($B$3:$B$5000,$A$3:$A$5000,$A3177,$B$3:$B$5000,"&gt;"&amp;$B3177)=0),NOW(),_xlfn.MINIFS($B$3:$B$5000,$A$3:$A$5000,$A3177,$B$3:$B$5000,"&gt;"&amp;$B3177))</f>
        <v>46279.5987644387</v>
      </c>
    </row>
    <row r="3178" customFormat="false" ht="15" hidden="false" customHeight="true" outlineLevel="0" collapsed="false">
      <c r="A3178" s="42"/>
      <c r="B3178" s="42"/>
      <c r="C3178" s="42"/>
      <c r="D3178" s="42"/>
      <c r="E3178" s="42"/>
      <c r="F3178" s="51" t="n">
        <f aca="false">IF(OR(C3178="",D3178="",E3178="",E3178=0),0,C3178*D3178/E3178)</f>
        <v>0</v>
      </c>
      <c r="G3178" s="42"/>
      <c r="H3178" s="49" t="n">
        <f aca="true">IF(OR($A3178="",_xlfn.MINIFS($B$3:$B$5000,$A$3:$A$5000,$A3178,$B$3:$B$5000,"&gt;"&amp;$B3178)=0),NOW(),_xlfn.MINIFS($B$3:$B$5000,$A$3:$A$5000,$A3178,$B$3:$B$5000,"&gt;"&amp;$B3178))</f>
        <v>46279.5987644387</v>
      </c>
    </row>
    <row r="3179" customFormat="false" ht="15" hidden="false" customHeight="true" outlineLevel="0" collapsed="false">
      <c r="A3179" s="42"/>
      <c r="B3179" s="42"/>
      <c r="C3179" s="42"/>
      <c r="D3179" s="42"/>
      <c r="E3179" s="42"/>
      <c r="F3179" s="51" t="n">
        <f aca="false">IF(OR(C3179="",D3179="",E3179="",E3179=0),0,C3179*D3179/E3179)</f>
        <v>0</v>
      </c>
      <c r="G3179" s="42"/>
      <c r="H3179" s="49" t="n">
        <f aca="true">IF(OR($A3179="",_xlfn.MINIFS($B$3:$B$5000,$A$3:$A$5000,$A3179,$B$3:$B$5000,"&gt;"&amp;$B3179)=0),NOW(),_xlfn.MINIFS($B$3:$B$5000,$A$3:$A$5000,$A3179,$B$3:$B$5000,"&gt;"&amp;$B3179))</f>
        <v>46279.5987644388</v>
      </c>
    </row>
    <row r="3180" customFormat="false" ht="15" hidden="false" customHeight="true" outlineLevel="0" collapsed="false">
      <c r="A3180" s="42"/>
      <c r="B3180" s="42"/>
      <c r="C3180" s="42"/>
      <c r="D3180" s="42"/>
      <c r="E3180" s="42"/>
      <c r="F3180" s="51" t="n">
        <f aca="false">IF(OR(C3180="",D3180="",E3180="",E3180=0),0,C3180*D3180/E3180)</f>
        <v>0</v>
      </c>
      <c r="G3180" s="42"/>
      <c r="H3180" s="49" t="n">
        <f aca="true">IF(OR($A3180="",_xlfn.MINIFS($B$3:$B$5000,$A$3:$A$5000,$A3180,$B$3:$B$5000,"&gt;"&amp;$B3180)=0),NOW(),_xlfn.MINIFS($B$3:$B$5000,$A$3:$A$5000,$A3180,$B$3:$B$5000,"&gt;"&amp;$B3180))</f>
        <v>46279.5987644388</v>
      </c>
    </row>
    <row r="3181" customFormat="false" ht="15" hidden="false" customHeight="true" outlineLevel="0" collapsed="false">
      <c r="A3181" s="42"/>
      <c r="B3181" s="42"/>
      <c r="C3181" s="42"/>
      <c r="D3181" s="42"/>
      <c r="E3181" s="42"/>
      <c r="F3181" s="51" t="n">
        <f aca="false">IF(OR(C3181="",D3181="",E3181="",E3181=0),0,C3181*D3181/E3181)</f>
        <v>0</v>
      </c>
      <c r="G3181" s="42"/>
      <c r="H3181" s="49" t="n">
        <f aca="true">IF(OR($A3181="",_xlfn.MINIFS($B$3:$B$5000,$A$3:$A$5000,$A3181,$B$3:$B$5000,"&gt;"&amp;$B3181)=0),NOW(),_xlfn.MINIFS($B$3:$B$5000,$A$3:$A$5000,$A3181,$B$3:$B$5000,"&gt;"&amp;$B3181))</f>
        <v>46279.5987644389</v>
      </c>
    </row>
    <row r="3182" customFormat="false" ht="15" hidden="false" customHeight="true" outlineLevel="0" collapsed="false">
      <c r="A3182" s="42"/>
      <c r="B3182" s="42"/>
      <c r="C3182" s="42"/>
      <c r="D3182" s="42"/>
      <c r="E3182" s="42"/>
      <c r="F3182" s="51" t="n">
        <f aca="false">IF(OR(C3182="",D3182="",E3182="",E3182=0),0,C3182*D3182/E3182)</f>
        <v>0</v>
      </c>
      <c r="G3182" s="42"/>
      <c r="H3182" s="49" t="n">
        <f aca="true">IF(OR($A3182="",_xlfn.MINIFS($B$3:$B$5000,$A$3:$A$5000,$A3182,$B$3:$B$5000,"&gt;"&amp;$B3182)=0),NOW(),_xlfn.MINIFS($B$3:$B$5000,$A$3:$A$5000,$A3182,$B$3:$B$5000,"&gt;"&amp;$B3182))</f>
        <v>46279.5987644389</v>
      </c>
    </row>
    <row r="3183" customFormat="false" ht="15" hidden="false" customHeight="true" outlineLevel="0" collapsed="false">
      <c r="A3183" s="42"/>
      <c r="B3183" s="42"/>
      <c r="C3183" s="42"/>
      <c r="D3183" s="42"/>
      <c r="E3183" s="42"/>
      <c r="F3183" s="51" t="n">
        <f aca="false">IF(OR(C3183="",D3183="",E3183="",E3183=0),0,C3183*D3183/E3183)</f>
        <v>0</v>
      </c>
      <c r="G3183" s="42"/>
      <c r="H3183" s="49" t="n">
        <f aca="true">IF(OR($A3183="",_xlfn.MINIFS($B$3:$B$5000,$A$3:$A$5000,$A3183,$B$3:$B$5000,"&gt;"&amp;$B3183)=0),NOW(),_xlfn.MINIFS($B$3:$B$5000,$A$3:$A$5000,$A3183,$B$3:$B$5000,"&gt;"&amp;$B3183))</f>
        <v>46279.598764439</v>
      </c>
    </row>
    <row r="3184" customFormat="false" ht="15" hidden="false" customHeight="true" outlineLevel="0" collapsed="false">
      <c r="A3184" s="42"/>
      <c r="B3184" s="42"/>
      <c r="C3184" s="42"/>
      <c r="D3184" s="42"/>
      <c r="E3184" s="42"/>
      <c r="F3184" s="51" t="n">
        <f aca="false">IF(OR(C3184="",D3184="",E3184="",E3184=0),0,C3184*D3184/E3184)</f>
        <v>0</v>
      </c>
      <c r="G3184" s="42"/>
      <c r="H3184" s="49" t="n">
        <f aca="true">IF(OR($A3184="",_xlfn.MINIFS($B$3:$B$5000,$A$3:$A$5000,$A3184,$B$3:$B$5000,"&gt;"&amp;$B3184)=0),NOW(),_xlfn.MINIFS($B$3:$B$5000,$A$3:$A$5000,$A3184,$B$3:$B$5000,"&gt;"&amp;$B3184))</f>
        <v>46279.598764439</v>
      </c>
    </row>
    <row r="3185" customFormat="false" ht="15" hidden="false" customHeight="true" outlineLevel="0" collapsed="false">
      <c r="A3185" s="42"/>
      <c r="B3185" s="42"/>
      <c r="C3185" s="42"/>
      <c r="D3185" s="42"/>
      <c r="E3185" s="42"/>
      <c r="F3185" s="51" t="n">
        <f aca="false">IF(OR(C3185="",D3185="",E3185="",E3185=0),0,C3185*D3185/E3185)</f>
        <v>0</v>
      </c>
      <c r="G3185" s="42"/>
      <c r="H3185" s="49" t="n">
        <f aca="true">IF(OR($A3185="",_xlfn.MINIFS($B$3:$B$5000,$A$3:$A$5000,$A3185,$B$3:$B$5000,"&gt;"&amp;$B3185)=0),NOW(),_xlfn.MINIFS($B$3:$B$5000,$A$3:$A$5000,$A3185,$B$3:$B$5000,"&gt;"&amp;$B3185))</f>
        <v>46279.5987644391</v>
      </c>
    </row>
    <row r="3186" customFormat="false" ht="15" hidden="false" customHeight="true" outlineLevel="0" collapsed="false">
      <c r="A3186" s="42"/>
      <c r="B3186" s="42"/>
      <c r="C3186" s="42"/>
      <c r="D3186" s="42"/>
      <c r="E3186" s="42"/>
      <c r="F3186" s="51" t="n">
        <f aca="false">IF(OR(C3186="",D3186="",E3186="",E3186=0),0,C3186*D3186/E3186)</f>
        <v>0</v>
      </c>
      <c r="G3186" s="42"/>
      <c r="H3186" s="49" t="n">
        <f aca="true">IF(OR($A3186="",_xlfn.MINIFS($B$3:$B$5000,$A$3:$A$5000,$A3186,$B$3:$B$5000,"&gt;"&amp;$B3186)=0),NOW(),_xlfn.MINIFS($B$3:$B$5000,$A$3:$A$5000,$A3186,$B$3:$B$5000,"&gt;"&amp;$B3186))</f>
        <v>46279.5987644391</v>
      </c>
    </row>
    <row r="3187" customFormat="false" ht="15" hidden="false" customHeight="true" outlineLevel="0" collapsed="false">
      <c r="A3187" s="42"/>
      <c r="B3187" s="42"/>
      <c r="C3187" s="42"/>
      <c r="D3187" s="42"/>
      <c r="E3187" s="42"/>
      <c r="F3187" s="51" t="n">
        <f aca="false">IF(OR(C3187="",D3187="",E3187="",E3187=0),0,C3187*D3187/E3187)</f>
        <v>0</v>
      </c>
      <c r="G3187" s="42"/>
      <c r="H3187" s="49" t="n">
        <f aca="true">IF(OR($A3187="",_xlfn.MINIFS($B$3:$B$5000,$A$3:$A$5000,$A3187,$B$3:$B$5000,"&gt;"&amp;$B3187)=0),NOW(),_xlfn.MINIFS($B$3:$B$5000,$A$3:$A$5000,$A3187,$B$3:$B$5000,"&gt;"&amp;$B3187))</f>
        <v>46279.5987644392</v>
      </c>
    </row>
    <row r="3188" customFormat="false" ht="15" hidden="false" customHeight="true" outlineLevel="0" collapsed="false">
      <c r="A3188" s="42"/>
      <c r="B3188" s="42"/>
      <c r="C3188" s="42"/>
      <c r="D3188" s="42"/>
      <c r="E3188" s="42"/>
      <c r="F3188" s="51" t="n">
        <f aca="false">IF(OR(C3188="",D3188="",E3188="",E3188=0),0,C3188*D3188/E3188)</f>
        <v>0</v>
      </c>
      <c r="G3188" s="42"/>
      <c r="H3188" s="49" t="n">
        <f aca="true">IF(OR($A3188="",_xlfn.MINIFS($B$3:$B$5000,$A$3:$A$5000,$A3188,$B$3:$B$5000,"&gt;"&amp;$B3188)=0),NOW(),_xlfn.MINIFS($B$3:$B$5000,$A$3:$A$5000,$A3188,$B$3:$B$5000,"&gt;"&amp;$B3188))</f>
        <v>46279.5987644392</v>
      </c>
    </row>
    <row r="3189" customFormat="false" ht="15" hidden="false" customHeight="true" outlineLevel="0" collapsed="false">
      <c r="A3189" s="42"/>
      <c r="B3189" s="42"/>
      <c r="C3189" s="42"/>
      <c r="D3189" s="42"/>
      <c r="E3189" s="42"/>
      <c r="F3189" s="51" t="n">
        <f aca="false">IF(OR(C3189="",D3189="",E3189="",E3189=0),0,C3189*D3189/E3189)</f>
        <v>0</v>
      </c>
      <c r="G3189" s="42"/>
      <c r="H3189" s="49" t="n">
        <f aca="true">IF(OR($A3189="",_xlfn.MINIFS($B$3:$B$5000,$A$3:$A$5000,$A3189,$B$3:$B$5000,"&gt;"&amp;$B3189)=0),NOW(),_xlfn.MINIFS($B$3:$B$5000,$A$3:$A$5000,$A3189,$B$3:$B$5000,"&gt;"&amp;$B3189))</f>
        <v>46279.5987644393</v>
      </c>
    </row>
    <row r="3190" customFormat="false" ht="15" hidden="false" customHeight="true" outlineLevel="0" collapsed="false">
      <c r="A3190" s="42"/>
      <c r="B3190" s="42"/>
      <c r="C3190" s="42"/>
      <c r="D3190" s="42"/>
      <c r="E3190" s="42"/>
      <c r="F3190" s="51" t="n">
        <f aca="false">IF(OR(C3190="",D3190="",E3190="",E3190=0),0,C3190*D3190/E3190)</f>
        <v>0</v>
      </c>
      <c r="G3190" s="42"/>
      <c r="H3190" s="49" t="n">
        <f aca="true">IF(OR($A3190="",_xlfn.MINIFS($B$3:$B$5000,$A$3:$A$5000,$A3190,$B$3:$B$5000,"&gt;"&amp;$B3190)=0),NOW(),_xlfn.MINIFS($B$3:$B$5000,$A$3:$A$5000,$A3190,$B$3:$B$5000,"&gt;"&amp;$B3190))</f>
        <v>46279.5987644393</v>
      </c>
    </row>
    <row r="3191" customFormat="false" ht="15" hidden="false" customHeight="true" outlineLevel="0" collapsed="false">
      <c r="A3191" s="42"/>
      <c r="B3191" s="42"/>
      <c r="C3191" s="42"/>
      <c r="D3191" s="42"/>
      <c r="E3191" s="42"/>
      <c r="F3191" s="51" t="n">
        <f aca="false">IF(OR(C3191="",D3191="",E3191="",E3191=0),0,C3191*D3191/E3191)</f>
        <v>0</v>
      </c>
      <c r="G3191" s="42"/>
      <c r="H3191" s="49" t="n">
        <f aca="true">IF(OR($A3191="",_xlfn.MINIFS($B$3:$B$5000,$A$3:$A$5000,$A3191,$B$3:$B$5000,"&gt;"&amp;$B3191)=0),NOW(),_xlfn.MINIFS($B$3:$B$5000,$A$3:$A$5000,$A3191,$B$3:$B$5000,"&gt;"&amp;$B3191))</f>
        <v>46279.5987644394</v>
      </c>
    </row>
    <row r="3192" customFormat="false" ht="15" hidden="false" customHeight="true" outlineLevel="0" collapsed="false">
      <c r="A3192" s="42"/>
      <c r="B3192" s="42"/>
      <c r="C3192" s="42"/>
      <c r="D3192" s="42"/>
      <c r="E3192" s="42"/>
      <c r="F3192" s="51" t="n">
        <f aca="false">IF(OR(C3192="",D3192="",E3192="",E3192=0),0,C3192*D3192/E3192)</f>
        <v>0</v>
      </c>
      <c r="G3192" s="42"/>
      <c r="H3192" s="49" t="n">
        <f aca="true">IF(OR($A3192="",_xlfn.MINIFS($B$3:$B$5000,$A$3:$A$5000,$A3192,$B$3:$B$5000,"&gt;"&amp;$B3192)=0),NOW(),_xlfn.MINIFS($B$3:$B$5000,$A$3:$A$5000,$A3192,$B$3:$B$5000,"&gt;"&amp;$B3192))</f>
        <v>46279.5987644394</v>
      </c>
    </row>
    <row r="3193" customFormat="false" ht="15" hidden="false" customHeight="true" outlineLevel="0" collapsed="false">
      <c r="A3193" s="42"/>
      <c r="B3193" s="42"/>
      <c r="C3193" s="42"/>
      <c r="D3193" s="42"/>
      <c r="E3193" s="42"/>
      <c r="F3193" s="51" t="n">
        <f aca="false">IF(OR(C3193="",D3193="",E3193="",E3193=0),0,C3193*D3193/E3193)</f>
        <v>0</v>
      </c>
      <c r="G3193" s="42"/>
      <c r="H3193" s="49" t="n">
        <f aca="true">IF(OR($A3193="",_xlfn.MINIFS($B$3:$B$5000,$A$3:$A$5000,$A3193,$B$3:$B$5000,"&gt;"&amp;$B3193)=0),NOW(),_xlfn.MINIFS($B$3:$B$5000,$A$3:$A$5000,$A3193,$B$3:$B$5000,"&gt;"&amp;$B3193))</f>
        <v>46279.5987644395</v>
      </c>
    </row>
    <row r="3194" customFormat="false" ht="15" hidden="false" customHeight="true" outlineLevel="0" collapsed="false">
      <c r="A3194" s="42"/>
      <c r="B3194" s="42"/>
      <c r="C3194" s="42"/>
      <c r="D3194" s="42"/>
      <c r="E3194" s="42"/>
      <c r="F3194" s="51" t="n">
        <f aca="false">IF(OR(C3194="",D3194="",E3194="",E3194=0),0,C3194*D3194/E3194)</f>
        <v>0</v>
      </c>
      <c r="G3194" s="42"/>
      <c r="H3194" s="49" t="n">
        <f aca="true">IF(OR($A3194="",_xlfn.MINIFS($B$3:$B$5000,$A$3:$A$5000,$A3194,$B$3:$B$5000,"&gt;"&amp;$B3194)=0),NOW(),_xlfn.MINIFS($B$3:$B$5000,$A$3:$A$5000,$A3194,$B$3:$B$5000,"&gt;"&amp;$B3194))</f>
        <v>46279.5987644395</v>
      </c>
    </row>
    <row r="3195" customFormat="false" ht="15" hidden="false" customHeight="true" outlineLevel="0" collapsed="false">
      <c r="A3195" s="42"/>
      <c r="B3195" s="42"/>
      <c r="C3195" s="42"/>
      <c r="D3195" s="42"/>
      <c r="E3195" s="42"/>
      <c r="F3195" s="51" t="n">
        <f aca="false">IF(OR(C3195="",D3195="",E3195="",E3195=0),0,C3195*D3195/E3195)</f>
        <v>0</v>
      </c>
      <c r="G3195" s="42"/>
      <c r="H3195" s="49" t="n">
        <f aca="true">IF(OR($A3195="",_xlfn.MINIFS($B$3:$B$5000,$A$3:$A$5000,$A3195,$B$3:$B$5000,"&gt;"&amp;$B3195)=0),NOW(),_xlfn.MINIFS($B$3:$B$5000,$A$3:$A$5000,$A3195,$B$3:$B$5000,"&gt;"&amp;$B3195))</f>
        <v>46279.5987644396</v>
      </c>
    </row>
    <row r="3196" customFormat="false" ht="15" hidden="false" customHeight="true" outlineLevel="0" collapsed="false">
      <c r="A3196" s="42"/>
      <c r="B3196" s="42"/>
      <c r="C3196" s="42"/>
      <c r="D3196" s="42"/>
      <c r="E3196" s="42"/>
      <c r="F3196" s="51" t="n">
        <f aca="false">IF(OR(C3196="",D3196="",E3196="",E3196=0),0,C3196*D3196/E3196)</f>
        <v>0</v>
      </c>
      <c r="G3196" s="42"/>
      <c r="H3196" s="49" t="n">
        <f aca="true">IF(OR($A3196="",_xlfn.MINIFS($B$3:$B$5000,$A$3:$A$5000,$A3196,$B$3:$B$5000,"&gt;"&amp;$B3196)=0),NOW(),_xlfn.MINIFS($B$3:$B$5000,$A$3:$A$5000,$A3196,$B$3:$B$5000,"&gt;"&amp;$B3196))</f>
        <v>46279.5987644396</v>
      </c>
    </row>
    <row r="3197" customFormat="false" ht="15" hidden="false" customHeight="true" outlineLevel="0" collapsed="false">
      <c r="A3197" s="42"/>
      <c r="B3197" s="42"/>
      <c r="C3197" s="42"/>
      <c r="D3197" s="42"/>
      <c r="E3197" s="42"/>
      <c r="F3197" s="51" t="n">
        <f aca="false">IF(OR(C3197="",D3197="",E3197="",E3197=0),0,C3197*D3197/E3197)</f>
        <v>0</v>
      </c>
      <c r="G3197" s="42"/>
      <c r="H3197" s="49" t="n">
        <f aca="true">IF(OR($A3197="",_xlfn.MINIFS($B$3:$B$5000,$A$3:$A$5000,$A3197,$B$3:$B$5000,"&gt;"&amp;$B3197)=0),NOW(),_xlfn.MINIFS($B$3:$B$5000,$A$3:$A$5000,$A3197,$B$3:$B$5000,"&gt;"&amp;$B3197))</f>
        <v>46279.5987644397</v>
      </c>
    </row>
    <row r="3198" customFormat="false" ht="15" hidden="false" customHeight="true" outlineLevel="0" collapsed="false">
      <c r="A3198" s="42"/>
      <c r="B3198" s="42"/>
      <c r="C3198" s="42"/>
      <c r="D3198" s="42"/>
      <c r="E3198" s="42"/>
      <c r="F3198" s="51" t="n">
        <f aca="false">IF(OR(C3198="",D3198="",E3198="",E3198=0),0,C3198*D3198/E3198)</f>
        <v>0</v>
      </c>
      <c r="G3198" s="42"/>
      <c r="H3198" s="49" t="n">
        <f aca="true">IF(OR($A3198="",_xlfn.MINIFS($B$3:$B$5000,$A$3:$A$5000,$A3198,$B$3:$B$5000,"&gt;"&amp;$B3198)=0),NOW(),_xlfn.MINIFS($B$3:$B$5000,$A$3:$A$5000,$A3198,$B$3:$B$5000,"&gt;"&amp;$B3198))</f>
        <v>46279.5987644397</v>
      </c>
    </row>
    <row r="3199" customFormat="false" ht="15" hidden="false" customHeight="true" outlineLevel="0" collapsed="false">
      <c r="A3199" s="42"/>
      <c r="B3199" s="42"/>
      <c r="C3199" s="42"/>
      <c r="D3199" s="42"/>
      <c r="E3199" s="42"/>
      <c r="F3199" s="51" t="n">
        <f aca="false">IF(OR(C3199="",D3199="",E3199="",E3199=0),0,C3199*D3199/E3199)</f>
        <v>0</v>
      </c>
      <c r="G3199" s="42"/>
      <c r="H3199" s="49" t="n">
        <f aca="true">IF(OR($A3199="",_xlfn.MINIFS($B$3:$B$5000,$A$3:$A$5000,$A3199,$B$3:$B$5000,"&gt;"&amp;$B3199)=0),NOW(),_xlfn.MINIFS($B$3:$B$5000,$A$3:$A$5000,$A3199,$B$3:$B$5000,"&gt;"&amp;$B3199))</f>
        <v>46279.5987644398</v>
      </c>
    </row>
    <row r="3200" customFormat="false" ht="15" hidden="false" customHeight="true" outlineLevel="0" collapsed="false">
      <c r="A3200" s="42"/>
      <c r="B3200" s="42"/>
      <c r="C3200" s="42"/>
      <c r="D3200" s="42"/>
      <c r="E3200" s="42"/>
      <c r="F3200" s="51" t="n">
        <f aca="false">IF(OR(C3200="",D3200="",E3200="",E3200=0),0,C3200*D3200/E3200)</f>
        <v>0</v>
      </c>
      <c r="G3200" s="42"/>
      <c r="H3200" s="49" t="n">
        <f aca="true">IF(OR($A3200="",_xlfn.MINIFS($B$3:$B$5000,$A$3:$A$5000,$A3200,$B$3:$B$5000,"&gt;"&amp;$B3200)=0),NOW(),_xlfn.MINIFS($B$3:$B$5000,$A$3:$A$5000,$A3200,$B$3:$B$5000,"&gt;"&amp;$B3200))</f>
        <v>46279.5987644398</v>
      </c>
    </row>
    <row r="3201" customFormat="false" ht="15" hidden="false" customHeight="true" outlineLevel="0" collapsed="false">
      <c r="A3201" s="42"/>
      <c r="B3201" s="42"/>
      <c r="C3201" s="42"/>
      <c r="D3201" s="42"/>
      <c r="E3201" s="42"/>
      <c r="F3201" s="51" t="n">
        <f aca="false">IF(OR(C3201="",D3201="",E3201="",E3201=0),0,C3201*D3201/E3201)</f>
        <v>0</v>
      </c>
      <c r="G3201" s="42"/>
      <c r="H3201" s="49" t="n">
        <f aca="true">IF(OR($A3201="",_xlfn.MINIFS($B$3:$B$5000,$A$3:$A$5000,$A3201,$B$3:$B$5000,"&gt;"&amp;$B3201)=0),NOW(),_xlfn.MINIFS($B$3:$B$5000,$A$3:$A$5000,$A3201,$B$3:$B$5000,"&gt;"&amp;$B3201))</f>
        <v>46279.5987644399</v>
      </c>
    </row>
    <row r="3202" customFormat="false" ht="15" hidden="false" customHeight="true" outlineLevel="0" collapsed="false">
      <c r="A3202" s="42"/>
      <c r="B3202" s="42"/>
      <c r="C3202" s="42"/>
      <c r="D3202" s="42"/>
      <c r="E3202" s="42"/>
      <c r="F3202" s="51" t="n">
        <f aca="false">IF(OR(C3202="",D3202="",E3202="",E3202=0),0,C3202*D3202/E3202)</f>
        <v>0</v>
      </c>
      <c r="G3202" s="42"/>
      <c r="H3202" s="49" t="n">
        <f aca="true">IF(OR($A3202="",_xlfn.MINIFS($B$3:$B$5000,$A$3:$A$5000,$A3202,$B$3:$B$5000,"&gt;"&amp;$B3202)=0),NOW(),_xlfn.MINIFS($B$3:$B$5000,$A$3:$A$5000,$A3202,$B$3:$B$5000,"&gt;"&amp;$B3202))</f>
        <v>46279.5987644399</v>
      </c>
    </row>
    <row r="3203" customFormat="false" ht="15" hidden="false" customHeight="true" outlineLevel="0" collapsed="false">
      <c r="A3203" s="42"/>
      <c r="B3203" s="42"/>
      <c r="C3203" s="42"/>
      <c r="D3203" s="42"/>
      <c r="E3203" s="42"/>
      <c r="F3203" s="51" t="n">
        <f aca="false">IF(OR(C3203="",D3203="",E3203="",E3203=0),0,C3203*D3203/E3203)</f>
        <v>0</v>
      </c>
      <c r="G3203" s="42"/>
      <c r="H3203" s="49" t="n">
        <f aca="true">IF(OR($A3203="",_xlfn.MINIFS($B$3:$B$5000,$A$3:$A$5000,$A3203,$B$3:$B$5000,"&gt;"&amp;$B3203)=0),NOW(),_xlfn.MINIFS($B$3:$B$5000,$A$3:$A$5000,$A3203,$B$3:$B$5000,"&gt;"&amp;$B3203))</f>
        <v>46279.59876444</v>
      </c>
    </row>
    <row r="3204" customFormat="false" ht="15" hidden="false" customHeight="true" outlineLevel="0" collapsed="false">
      <c r="A3204" s="42"/>
      <c r="B3204" s="42"/>
      <c r="C3204" s="42"/>
      <c r="D3204" s="42"/>
      <c r="E3204" s="42"/>
      <c r="F3204" s="51" t="n">
        <f aca="false">IF(OR(C3204="",D3204="",E3204="",E3204=0),0,C3204*D3204/E3204)</f>
        <v>0</v>
      </c>
      <c r="G3204" s="42"/>
      <c r="H3204" s="49" t="n">
        <f aca="true">IF(OR($A3204="",_xlfn.MINIFS($B$3:$B$5000,$A$3:$A$5000,$A3204,$B$3:$B$5000,"&gt;"&amp;$B3204)=0),NOW(),_xlfn.MINIFS($B$3:$B$5000,$A$3:$A$5000,$A3204,$B$3:$B$5000,"&gt;"&amp;$B3204))</f>
        <v>46279.59876444</v>
      </c>
    </row>
    <row r="3205" customFormat="false" ht="15" hidden="false" customHeight="true" outlineLevel="0" collapsed="false">
      <c r="A3205" s="42"/>
      <c r="B3205" s="42"/>
      <c r="C3205" s="42"/>
      <c r="D3205" s="42"/>
      <c r="E3205" s="42"/>
      <c r="F3205" s="51" t="n">
        <f aca="false">IF(OR(C3205="",D3205="",E3205="",E3205=0),0,C3205*D3205/E3205)</f>
        <v>0</v>
      </c>
      <c r="G3205" s="42"/>
      <c r="H3205" s="49" t="n">
        <f aca="true">IF(OR($A3205="",_xlfn.MINIFS($B$3:$B$5000,$A$3:$A$5000,$A3205,$B$3:$B$5000,"&gt;"&amp;$B3205)=0),NOW(),_xlfn.MINIFS($B$3:$B$5000,$A$3:$A$5000,$A3205,$B$3:$B$5000,"&gt;"&amp;$B3205))</f>
        <v>46279.5987644401</v>
      </c>
    </row>
    <row r="3206" customFormat="false" ht="15" hidden="false" customHeight="true" outlineLevel="0" collapsed="false">
      <c r="A3206" s="42"/>
      <c r="B3206" s="42"/>
      <c r="C3206" s="42"/>
      <c r="D3206" s="42"/>
      <c r="E3206" s="42"/>
      <c r="F3206" s="51" t="n">
        <f aca="false">IF(OR(C3206="",D3206="",E3206="",E3206=0),0,C3206*D3206/E3206)</f>
        <v>0</v>
      </c>
      <c r="G3206" s="42"/>
      <c r="H3206" s="49" t="n">
        <f aca="true">IF(OR($A3206="",_xlfn.MINIFS($B$3:$B$5000,$A$3:$A$5000,$A3206,$B$3:$B$5000,"&gt;"&amp;$B3206)=0),NOW(),_xlfn.MINIFS($B$3:$B$5000,$A$3:$A$5000,$A3206,$B$3:$B$5000,"&gt;"&amp;$B3206))</f>
        <v>46279.5987644401</v>
      </c>
    </row>
    <row r="3207" customFormat="false" ht="15" hidden="false" customHeight="true" outlineLevel="0" collapsed="false">
      <c r="A3207" s="42"/>
      <c r="B3207" s="42"/>
      <c r="C3207" s="42"/>
      <c r="D3207" s="42"/>
      <c r="E3207" s="42"/>
      <c r="F3207" s="51" t="n">
        <f aca="false">IF(OR(C3207="",D3207="",E3207="",E3207=0),0,C3207*D3207/E3207)</f>
        <v>0</v>
      </c>
      <c r="G3207" s="42"/>
      <c r="H3207" s="49" t="n">
        <f aca="true">IF(OR($A3207="",_xlfn.MINIFS($B$3:$B$5000,$A$3:$A$5000,$A3207,$B$3:$B$5000,"&gt;"&amp;$B3207)=0),NOW(),_xlfn.MINIFS($B$3:$B$5000,$A$3:$A$5000,$A3207,$B$3:$B$5000,"&gt;"&amp;$B3207))</f>
        <v>46279.5987644402</v>
      </c>
    </row>
    <row r="3208" customFormat="false" ht="15" hidden="false" customHeight="true" outlineLevel="0" collapsed="false">
      <c r="A3208" s="42"/>
      <c r="B3208" s="42"/>
      <c r="C3208" s="42"/>
      <c r="D3208" s="42"/>
      <c r="E3208" s="42"/>
      <c r="F3208" s="51" t="n">
        <f aca="false">IF(OR(C3208="",D3208="",E3208="",E3208=0),0,C3208*D3208/E3208)</f>
        <v>0</v>
      </c>
      <c r="G3208" s="42"/>
      <c r="H3208" s="49" t="n">
        <f aca="true">IF(OR($A3208="",_xlfn.MINIFS($B$3:$B$5000,$A$3:$A$5000,$A3208,$B$3:$B$5000,"&gt;"&amp;$B3208)=0),NOW(),_xlfn.MINIFS($B$3:$B$5000,$A$3:$A$5000,$A3208,$B$3:$B$5000,"&gt;"&amp;$B3208))</f>
        <v>46279.5987644402</v>
      </c>
    </row>
    <row r="3209" customFormat="false" ht="15" hidden="false" customHeight="true" outlineLevel="0" collapsed="false">
      <c r="A3209" s="42"/>
      <c r="B3209" s="42"/>
      <c r="C3209" s="42"/>
      <c r="D3209" s="42"/>
      <c r="E3209" s="42"/>
      <c r="F3209" s="51" t="n">
        <f aca="false">IF(OR(C3209="",D3209="",E3209="",E3209=0),0,C3209*D3209/E3209)</f>
        <v>0</v>
      </c>
      <c r="G3209" s="42"/>
      <c r="H3209" s="49" t="n">
        <f aca="true">IF(OR($A3209="",_xlfn.MINIFS($B$3:$B$5000,$A$3:$A$5000,$A3209,$B$3:$B$5000,"&gt;"&amp;$B3209)=0),NOW(),_xlfn.MINIFS($B$3:$B$5000,$A$3:$A$5000,$A3209,$B$3:$B$5000,"&gt;"&amp;$B3209))</f>
        <v>46279.5987644403</v>
      </c>
    </row>
    <row r="3210" customFormat="false" ht="15" hidden="false" customHeight="true" outlineLevel="0" collapsed="false">
      <c r="A3210" s="42"/>
      <c r="B3210" s="42"/>
      <c r="C3210" s="42"/>
      <c r="D3210" s="42"/>
      <c r="E3210" s="42"/>
      <c r="F3210" s="51" t="n">
        <f aca="false">IF(OR(C3210="",D3210="",E3210="",E3210=0),0,C3210*D3210/E3210)</f>
        <v>0</v>
      </c>
      <c r="G3210" s="42"/>
      <c r="H3210" s="49" t="n">
        <f aca="true">IF(OR($A3210="",_xlfn.MINIFS($B$3:$B$5000,$A$3:$A$5000,$A3210,$B$3:$B$5000,"&gt;"&amp;$B3210)=0),NOW(),_xlfn.MINIFS($B$3:$B$5000,$A$3:$A$5000,$A3210,$B$3:$B$5000,"&gt;"&amp;$B3210))</f>
        <v>46279.5987644403</v>
      </c>
    </row>
    <row r="3211" customFormat="false" ht="15" hidden="false" customHeight="true" outlineLevel="0" collapsed="false">
      <c r="A3211" s="42"/>
      <c r="B3211" s="42"/>
      <c r="C3211" s="42"/>
      <c r="D3211" s="42"/>
      <c r="E3211" s="42"/>
      <c r="F3211" s="51" t="n">
        <f aca="false">IF(OR(C3211="",D3211="",E3211="",E3211=0),0,C3211*D3211/E3211)</f>
        <v>0</v>
      </c>
      <c r="G3211" s="42"/>
      <c r="H3211" s="49" t="n">
        <f aca="true">IF(OR($A3211="",_xlfn.MINIFS($B$3:$B$5000,$A$3:$A$5000,$A3211,$B$3:$B$5000,"&gt;"&amp;$B3211)=0),NOW(),_xlfn.MINIFS($B$3:$B$5000,$A$3:$A$5000,$A3211,$B$3:$B$5000,"&gt;"&amp;$B3211))</f>
        <v>46279.5987644404</v>
      </c>
    </row>
    <row r="3212" customFormat="false" ht="15" hidden="false" customHeight="true" outlineLevel="0" collapsed="false">
      <c r="A3212" s="42"/>
      <c r="B3212" s="42"/>
      <c r="C3212" s="42"/>
      <c r="D3212" s="42"/>
      <c r="E3212" s="42"/>
      <c r="F3212" s="51" t="n">
        <f aca="false">IF(OR(C3212="",D3212="",E3212="",E3212=0),0,C3212*D3212/E3212)</f>
        <v>0</v>
      </c>
      <c r="G3212" s="42"/>
      <c r="H3212" s="49" t="n">
        <f aca="true">IF(OR($A3212="",_xlfn.MINIFS($B$3:$B$5000,$A$3:$A$5000,$A3212,$B$3:$B$5000,"&gt;"&amp;$B3212)=0),NOW(),_xlfn.MINIFS($B$3:$B$5000,$A$3:$A$5000,$A3212,$B$3:$B$5000,"&gt;"&amp;$B3212))</f>
        <v>46279.5987644404</v>
      </c>
    </row>
    <row r="3213" customFormat="false" ht="15" hidden="false" customHeight="true" outlineLevel="0" collapsed="false">
      <c r="A3213" s="42"/>
      <c r="B3213" s="42"/>
      <c r="C3213" s="42"/>
      <c r="D3213" s="42"/>
      <c r="E3213" s="42"/>
      <c r="F3213" s="51" t="n">
        <f aca="false">IF(OR(C3213="",D3213="",E3213="",E3213=0),0,C3213*D3213/E3213)</f>
        <v>0</v>
      </c>
      <c r="G3213" s="42"/>
      <c r="H3213" s="49" t="n">
        <f aca="true">IF(OR($A3213="",_xlfn.MINIFS($B$3:$B$5000,$A$3:$A$5000,$A3213,$B$3:$B$5000,"&gt;"&amp;$B3213)=0),NOW(),_xlfn.MINIFS($B$3:$B$5000,$A$3:$A$5000,$A3213,$B$3:$B$5000,"&gt;"&amp;$B3213))</f>
        <v>46279.5987644405</v>
      </c>
    </row>
    <row r="3214" customFormat="false" ht="15" hidden="false" customHeight="true" outlineLevel="0" collapsed="false">
      <c r="A3214" s="42"/>
      <c r="B3214" s="42"/>
      <c r="C3214" s="42"/>
      <c r="D3214" s="42"/>
      <c r="E3214" s="42"/>
      <c r="F3214" s="51" t="n">
        <f aca="false">IF(OR(C3214="",D3214="",E3214="",E3214=0),0,C3214*D3214/E3214)</f>
        <v>0</v>
      </c>
      <c r="G3214" s="42"/>
      <c r="H3214" s="49" t="n">
        <f aca="true">IF(OR($A3214="",_xlfn.MINIFS($B$3:$B$5000,$A$3:$A$5000,$A3214,$B$3:$B$5000,"&gt;"&amp;$B3214)=0),NOW(),_xlfn.MINIFS($B$3:$B$5000,$A$3:$A$5000,$A3214,$B$3:$B$5000,"&gt;"&amp;$B3214))</f>
        <v>46279.5987644405</v>
      </c>
    </row>
    <row r="3215" customFormat="false" ht="15" hidden="false" customHeight="true" outlineLevel="0" collapsed="false">
      <c r="A3215" s="42"/>
      <c r="B3215" s="42"/>
      <c r="C3215" s="42"/>
      <c r="D3215" s="42"/>
      <c r="E3215" s="42"/>
      <c r="F3215" s="51" t="n">
        <f aca="false">IF(OR(C3215="",D3215="",E3215="",E3215=0),0,C3215*D3215/E3215)</f>
        <v>0</v>
      </c>
      <c r="G3215" s="42"/>
      <c r="H3215" s="49" t="n">
        <f aca="true">IF(OR($A3215="",_xlfn.MINIFS($B$3:$B$5000,$A$3:$A$5000,$A3215,$B$3:$B$5000,"&gt;"&amp;$B3215)=0),NOW(),_xlfn.MINIFS($B$3:$B$5000,$A$3:$A$5000,$A3215,$B$3:$B$5000,"&gt;"&amp;$B3215))</f>
        <v>46279.5987644406</v>
      </c>
    </row>
    <row r="3216" customFormat="false" ht="15" hidden="false" customHeight="true" outlineLevel="0" collapsed="false">
      <c r="A3216" s="42"/>
      <c r="B3216" s="42"/>
      <c r="C3216" s="42"/>
      <c r="D3216" s="42"/>
      <c r="E3216" s="42"/>
      <c r="F3216" s="51" t="n">
        <f aca="false">IF(OR(C3216="",D3216="",E3216="",E3216=0),0,C3216*D3216/E3216)</f>
        <v>0</v>
      </c>
      <c r="G3216" s="42"/>
      <c r="H3216" s="49" t="n">
        <f aca="true">IF(OR($A3216="",_xlfn.MINIFS($B$3:$B$5000,$A$3:$A$5000,$A3216,$B$3:$B$5000,"&gt;"&amp;$B3216)=0),NOW(),_xlfn.MINIFS($B$3:$B$5000,$A$3:$A$5000,$A3216,$B$3:$B$5000,"&gt;"&amp;$B3216))</f>
        <v>46279.5987644406</v>
      </c>
    </row>
    <row r="3217" customFormat="false" ht="15" hidden="false" customHeight="true" outlineLevel="0" collapsed="false">
      <c r="A3217" s="42"/>
      <c r="B3217" s="42"/>
      <c r="C3217" s="42"/>
      <c r="D3217" s="42"/>
      <c r="E3217" s="42"/>
      <c r="F3217" s="51" t="n">
        <f aca="false">IF(OR(C3217="",D3217="",E3217="",E3217=0),0,C3217*D3217/E3217)</f>
        <v>0</v>
      </c>
      <c r="G3217" s="42"/>
      <c r="H3217" s="49" t="n">
        <f aca="true">IF(OR($A3217="",_xlfn.MINIFS($B$3:$B$5000,$A$3:$A$5000,$A3217,$B$3:$B$5000,"&gt;"&amp;$B3217)=0),NOW(),_xlfn.MINIFS($B$3:$B$5000,$A$3:$A$5000,$A3217,$B$3:$B$5000,"&gt;"&amp;$B3217))</f>
        <v>46279.5987644407</v>
      </c>
    </row>
    <row r="3218" customFormat="false" ht="15" hidden="false" customHeight="true" outlineLevel="0" collapsed="false">
      <c r="A3218" s="42"/>
      <c r="B3218" s="42"/>
      <c r="C3218" s="42"/>
      <c r="D3218" s="42"/>
      <c r="E3218" s="42"/>
      <c r="F3218" s="51" t="n">
        <f aca="false">IF(OR(C3218="",D3218="",E3218="",E3218=0),0,C3218*D3218/E3218)</f>
        <v>0</v>
      </c>
      <c r="G3218" s="42"/>
      <c r="H3218" s="49" t="n">
        <f aca="true">IF(OR($A3218="",_xlfn.MINIFS($B$3:$B$5000,$A$3:$A$5000,$A3218,$B$3:$B$5000,"&gt;"&amp;$B3218)=0),NOW(),_xlfn.MINIFS($B$3:$B$5000,$A$3:$A$5000,$A3218,$B$3:$B$5000,"&gt;"&amp;$B3218))</f>
        <v>46279.5987644407</v>
      </c>
    </row>
    <row r="3219" customFormat="false" ht="15" hidden="false" customHeight="true" outlineLevel="0" collapsed="false">
      <c r="A3219" s="42"/>
      <c r="B3219" s="42"/>
      <c r="C3219" s="42"/>
      <c r="D3219" s="42"/>
      <c r="E3219" s="42"/>
      <c r="F3219" s="51" t="n">
        <f aca="false">IF(OR(C3219="",D3219="",E3219="",E3219=0),0,C3219*D3219/E3219)</f>
        <v>0</v>
      </c>
      <c r="G3219" s="42"/>
      <c r="H3219" s="49" t="n">
        <f aca="true">IF(OR($A3219="",_xlfn.MINIFS($B$3:$B$5000,$A$3:$A$5000,$A3219,$B$3:$B$5000,"&gt;"&amp;$B3219)=0),NOW(),_xlfn.MINIFS($B$3:$B$5000,$A$3:$A$5000,$A3219,$B$3:$B$5000,"&gt;"&amp;$B3219))</f>
        <v>46279.5987644408</v>
      </c>
    </row>
    <row r="3220" customFormat="false" ht="15" hidden="false" customHeight="true" outlineLevel="0" collapsed="false">
      <c r="A3220" s="42"/>
      <c r="B3220" s="42"/>
      <c r="C3220" s="42"/>
      <c r="D3220" s="42"/>
      <c r="E3220" s="42"/>
      <c r="F3220" s="51" t="n">
        <f aca="false">IF(OR(C3220="",D3220="",E3220="",E3220=0),0,C3220*D3220/E3220)</f>
        <v>0</v>
      </c>
      <c r="G3220" s="42"/>
      <c r="H3220" s="49" t="n">
        <f aca="true">IF(OR($A3220="",_xlfn.MINIFS($B$3:$B$5000,$A$3:$A$5000,$A3220,$B$3:$B$5000,"&gt;"&amp;$B3220)=0),NOW(),_xlfn.MINIFS($B$3:$B$5000,$A$3:$A$5000,$A3220,$B$3:$B$5000,"&gt;"&amp;$B3220))</f>
        <v>46279.5987644408</v>
      </c>
    </row>
    <row r="3221" customFormat="false" ht="15" hidden="false" customHeight="true" outlineLevel="0" collapsed="false">
      <c r="A3221" s="42"/>
      <c r="B3221" s="42"/>
      <c r="C3221" s="42"/>
      <c r="D3221" s="42"/>
      <c r="E3221" s="42"/>
      <c r="F3221" s="51" t="n">
        <f aca="false">IF(OR(C3221="",D3221="",E3221="",E3221=0),0,C3221*D3221/E3221)</f>
        <v>0</v>
      </c>
      <c r="G3221" s="42"/>
      <c r="H3221" s="49" t="n">
        <f aca="true">IF(OR($A3221="",_xlfn.MINIFS($B$3:$B$5000,$A$3:$A$5000,$A3221,$B$3:$B$5000,"&gt;"&amp;$B3221)=0),NOW(),_xlfn.MINIFS($B$3:$B$5000,$A$3:$A$5000,$A3221,$B$3:$B$5000,"&gt;"&amp;$B3221))</f>
        <v>46279.5987644409</v>
      </c>
    </row>
    <row r="3222" customFormat="false" ht="15" hidden="false" customHeight="true" outlineLevel="0" collapsed="false">
      <c r="A3222" s="42"/>
      <c r="B3222" s="42"/>
      <c r="C3222" s="42"/>
      <c r="D3222" s="42"/>
      <c r="E3222" s="42"/>
      <c r="F3222" s="51" t="n">
        <f aca="false">IF(OR(C3222="",D3222="",E3222="",E3222=0),0,C3222*D3222/E3222)</f>
        <v>0</v>
      </c>
      <c r="G3222" s="42"/>
      <c r="H3222" s="49" t="n">
        <f aca="true">IF(OR($A3222="",_xlfn.MINIFS($B$3:$B$5000,$A$3:$A$5000,$A3222,$B$3:$B$5000,"&gt;"&amp;$B3222)=0),NOW(),_xlfn.MINIFS($B$3:$B$5000,$A$3:$A$5000,$A3222,$B$3:$B$5000,"&gt;"&amp;$B3222))</f>
        <v>46279.598764441</v>
      </c>
    </row>
    <row r="3223" customFormat="false" ht="15" hidden="false" customHeight="true" outlineLevel="0" collapsed="false">
      <c r="A3223" s="42"/>
      <c r="B3223" s="42"/>
      <c r="C3223" s="42"/>
      <c r="D3223" s="42"/>
      <c r="E3223" s="42"/>
      <c r="F3223" s="51" t="n">
        <f aca="false">IF(OR(C3223="",D3223="",E3223="",E3223=0),0,C3223*D3223/E3223)</f>
        <v>0</v>
      </c>
      <c r="G3223" s="42"/>
      <c r="H3223" s="49" t="n">
        <f aca="true">IF(OR($A3223="",_xlfn.MINIFS($B$3:$B$5000,$A$3:$A$5000,$A3223,$B$3:$B$5000,"&gt;"&amp;$B3223)=0),NOW(),_xlfn.MINIFS($B$3:$B$5000,$A$3:$A$5000,$A3223,$B$3:$B$5000,"&gt;"&amp;$B3223))</f>
        <v>46279.598764441</v>
      </c>
    </row>
    <row r="3224" customFormat="false" ht="15" hidden="false" customHeight="true" outlineLevel="0" collapsed="false">
      <c r="A3224" s="42"/>
      <c r="B3224" s="42"/>
      <c r="C3224" s="42"/>
      <c r="D3224" s="42"/>
      <c r="E3224" s="42"/>
      <c r="F3224" s="51" t="n">
        <f aca="false">IF(OR(C3224="",D3224="",E3224="",E3224=0),0,C3224*D3224/E3224)</f>
        <v>0</v>
      </c>
      <c r="G3224" s="42"/>
      <c r="H3224" s="49" t="n">
        <f aca="true">IF(OR($A3224="",_xlfn.MINIFS($B$3:$B$5000,$A$3:$A$5000,$A3224,$B$3:$B$5000,"&gt;"&amp;$B3224)=0),NOW(),_xlfn.MINIFS($B$3:$B$5000,$A$3:$A$5000,$A3224,$B$3:$B$5000,"&gt;"&amp;$B3224))</f>
        <v>46279.5987644411</v>
      </c>
    </row>
    <row r="3225" customFormat="false" ht="15" hidden="false" customHeight="true" outlineLevel="0" collapsed="false">
      <c r="A3225" s="42"/>
      <c r="B3225" s="42"/>
      <c r="C3225" s="42"/>
      <c r="D3225" s="42"/>
      <c r="E3225" s="42"/>
      <c r="F3225" s="51" t="n">
        <f aca="false">IF(OR(C3225="",D3225="",E3225="",E3225=0),0,C3225*D3225/E3225)</f>
        <v>0</v>
      </c>
      <c r="G3225" s="42"/>
      <c r="H3225" s="49" t="n">
        <f aca="true">IF(OR($A3225="",_xlfn.MINIFS($B$3:$B$5000,$A$3:$A$5000,$A3225,$B$3:$B$5000,"&gt;"&amp;$B3225)=0),NOW(),_xlfn.MINIFS($B$3:$B$5000,$A$3:$A$5000,$A3225,$B$3:$B$5000,"&gt;"&amp;$B3225))</f>
        <v>46279.5987644411</v>
      </c>
    </row>
    <row r="3226" customFormat="false" ht="15" hidden="false" customHeight="true" outlineLevel="0" collapsed="false">
      <c r="A3226" s="42"/>
      <c r="B3226" s="42"/>
      <c r="C3226" s="42"/>
      <c r="D3226" s="42"/>
      <c r="E3226" s="42"/>
      <c r="F3226" s="51" t="n">
        <f aca="false">IF(OR(C3226="",D3226="",E3226="",E3226=0),0,C3226*D3226/E3226)</f>
        <v>0</v>
      </c>
      <c r="G3226" s="42"/>
      <c r="H3226" s="49" t="n">
        <f aca="true">IF(OR($A3226="",_xlfn.MINIFS($B$3:$B$5000,$A$3:$A$5000,$A3226,$B$3:$B$5000,"&gt;"&amp;$B3226)=0),NOW(),_xlfn.MINIFS($B$3:$B$5000,$A$3:$A$5000,$A3226,$B$3:$B$5000,"&gt;"&amp;$B3226))</f>
        <v>46279.5987644412</v>
      </c>
    </row>
    <row r="3227" customFormat="false" ht="15" hidden="false" customHeight="true" outlineLevel="0" collapsed="false">
      <c r="A3227" s="42"/>
      <c r="B3227" s="42"/>
      <c r="C3227" s="42"/>
      <c r="D3227" s="42"/>
      <c r="E3227" s="42"/>
      <c r="F3227" s="51" t="n">
        <f aca="false">IF(OR(C3227="",D3227="",E3227="",E3227=0),0,C3227*D3227/E3227)</f>
        <v>0</v>
      </c>
      <c r="G3227" s="42"/>
      <c r="H3227" s="49" t="n">
        <f aca="true">IF(OR($A3227="",_xlfn.MINIFS($B$3:$B$5000,$A$3:$A$5000,$A3227,$B$3:$B$5000,"&gt;"&amp;$B3227)=0),NOW(),_xlfn.MINIFS($B$3:$B$5000,$A$3:$A$5000,$A3227,$B$3:$B$5000,"&gt;"&amp;$B3227))</f>
        <v>46279.5987644412</v>
      </c>
    </row>
    <row r="3228" customFormat="false" ht="15" hidden="false" customHeight="true" outlineLevel="0" collapsed="false">
      <c r="A3228" s="42"/>
      <c r="B3228" s="42"/>
      <c r="C3228" s="42"/>
      <c r="D3228" s="42"/>
      <c r="E3228" s="42"/>
      <c r="F3228" s="51" t="n">
        <f aca="false">IF(OR(C3228="",D3228="",E3228="",E3228=0),0,C3228*D3228/E3228)</f>
        <v>0</v>
      </c>
      <c r="G3228" s="42"/>
      <c r="H3228" s="49" t="n">
        <f aca="true">IF(OR($A3228="",_xlfn.MINIFS($B$3:$B$5000,$A$3:$A$5000,$A3228,$B$3:$B$5000,"&gt;"&amp;$B3228)=0),NOW(),_xlfn.MINIFS($B$3:$B$5000,$A$3:$A$5000,$A3228,$B$3:$B$5000,"&gt;"&amp;$B3228))</f>
        <v>46279.5987644413</v>
      </c>
    </row>
    <row r="3229" customFormat="false" ht="15" hidden="false" customHeight="true" outlineLevel="0" collapsed="false">
      <c r="A3229" s="42"/>
      <c r="B3229" s="42"/>
      <c r="C3229" s="42"/>
      <c r="D3229" s="42"/>
      <c r="E3229" s="42"/>
      <c r="F3229" s="51" t="n">
        <f aca="false">IF(OR(C3229="",D3229="",E3229="",E3229=0),0,C3229*D3229/E3229)</f>
        <v>0</v>
      </c>
      <c r="G3229" s="42"/>
      <c r="H3229" s="49" t="n">
        <f aca="true">IF(OR($A3229="",_xlfn.MINIFS($B$3:$B$5000,$A$3:$A$5000,$A3229,$B$3:$B$5000,"&gt;"&amp;$B3229)=0),NOW(),_xlfn.MINIFS($B$3:$B$5000,$A$3:$A$5000,$A3229,$B$3:$B$5000,"&gt;"&amp;$B3229))</f>
        <v>46279.5987644413</v>
      </c>
    </row>
    <row r="3230" customFormat="false" ht="15" hidden="false" customHeight="true" outlineLevel="0" collapsed="false">
      <c r="A3230" s="42"/>
      <c r="B3230" s="42"/>
      <c r="C3230" s="42"/>
      <c r="D3230" s="42"/>
      <c r="E3230" s="42"/>
      <c r="F3230" s="51" t="n">
        <f aca="false">IF(OR(C3230="",D3230="",E3230="",E3230=0),0,C3230*D3230/E3230)</f>
        <v>0</v>
      </c>
      <c r="G3230" s="42"/>
      <c r="H3230" s="49" t="n">
        <f aca="true">IF(OR($A3230="",_xlfn.MINIFS($B$3:$B$5000,$A$3:$A$5000,$A3230,$B$3:$B$5000,"&gt;"&amp;$B3230)=0),NOW(),_xlfn.MINIFS($B$3:$B$5000,$A$3:$A$5000,$A3230,$B$3:$B$5000,"&gt;"&amp;$B3230))</f>
        <v>46279.5987644414</v>
      </c>
    </row>
    <row r="3231" customFormat="false" ht="15" hidden="false" customHeight="true" outlineLevel="0" collapsed="false">
      <c r="A3231" s="42"/>
      <c r="B3231" s="42"/>
      <c r="C3231" s="42"/>
      <c r="D3231" s="42"/>
      <c r="E3231" s="42"/>
      <c r="F3231" s="51" t="n">
        <f aca="false">IF(OR(C3231="",D3231="",E3231="",E3231=0),0,C3231*D3231/E3231)</f>
        <v>0</v>
      </c>
      <c r="G3231" s="42"/>
      <c r="H3231" s="49" t="n">
        <f aca="true">IF(OR($A3231="",_xlfn.MINIFS($B$3:$B$5000,$A$3:$A$5000,$A3231,$B$3:$B$5000,"&gt;"&amp;$B3231)=0),NOW(),_xlfn.MINIFS($B$3:$B$5000,$A$3:$A$5000,$A3231,$B$3:$B$5000,"&gt;"&amp;$B3231))</f>
        <v>46279.5987644414</v>
      </c>
    </row>
    <row r="3232" customFormat="false" ht="15" hidden="false" customHeight="true" outlineLevel="0" collapsed="false">
      <c r="A3232" s="42"/>
      <c r="B3232" s="42"/>
      <c r="C3232" s="42"/>
      <c r="D3232" s="42"/>
      <c r="E3232" s="42"/>
      <c r="F3232" s="51" t="n">
        <f aca="false">IF(OR(C3232="",D3232="",E3232="",E3232=0),0,C3232*D3232/E3232)</f>
        <v>0</v>
      </c>
      <c r="G3232" s="42"/>
      <c r="H3232" s="49" t="n">
        <f aca="true">IF(OR($A3232="",_xlfn.MINIFS($B$3:$B$5000,$A$3:$A$5000,$A3232,$B$3:$B$5000,"&gt;"&amp;$B3232)=0),NOW(),_xlfn.MINIFS($B$3:$B$5000,$A$3:$A$5000,$A3232,$B$3:$B$5000,"&gt;"&amp;$B3232))</f>
        <v>46279.5987644415</v>
      </c>
    </row>
    <row r="3233" customFormat="false" ht="15" hidden="false" customHeight="true" outlineLevel="0" collapsed="false">
      <c r="A3233" s="42"/>
      <c r="B3233" s="42"/>
      <c r="C3233" s="42"/>
      <c r="D3233" s="42"/>
      <c r="E3233" s="42"/>
      <c r="F3233" s="51" t="n">
        <f aca="false">IF(OR(C3233="",D3233="",E3233="",E3233=0),0,C3233*D3233/E3233)</f>
        <v>0</v>
      </c>
      <c r="G3233" s="42"/>
      <c r="H3233" s="49" t="n">
        <f aca="true">IF(OR($A3233="",_xlfn.MINIFS($B$3:$B$5000,$A$3:$A$5000,$A3233,$B$3:$B$5000,"&gt;"&amp;$B3233)=0),NOW(),_xlfn.MINIFS($B$3:$B$5000,$A$3:$A$5000,$A3233,$B$3:$B$5000,"&gt;"&amp;$B3233))</f>
        <v>46279.5987644415</v>
      </c>
    </row>
    <row r="3234" customFormat="false" ht="15" hidden="false" customHeight="true" outlineLevel="0" collapsed="false">
      <c r="A3234" s="42"/>
      <c r="B3234" s="42"/>
      <c r="C3234" s="42"/>
      <c r="D3234" s="42"/>
      <c r="E3234" s="42"/>
      <c r="F3234" s="51" t="n">
        <f aca="false">IF(OR(C3234="",D3234="",E3234="",E3234=0),0,C3234*D3234/E3234)</f>
        <v>0</v>
      </c>
      <c r="G3234" s="42"/>
      <c r="H3234" s="49" t="n">
        <f aca="true">IF(OR($A3234="",_xlfn.MINIFS($B$3:$B$5000,$A$3:$A$5000,$A3234,$B$3:$B$5000,"&gt;"&amp;$B3234)=0),NOW(),_xlfn.MINIFS($B$3:$B$5000,$A$3:$A$5000,$A3234,$B$3:$B$5000,"&gt;"&amp;$B3234))</f>
        <v>46279.5987644416</v>
      </c>
    </row>
    <row r="3235" customFormat="false" ht="15" hidden="false" customHeight="true" outlineLevel="0" collapsed="false">
      <c r="A3235" s="42"/>
      <c r="B3235" s="42"/>
      <c r="C3235" s="42"/>
      <c r="D3235" s="42"/>
      <c r="E3235" s="42"/>
      <c r="F3235" s="51" t="n">
        <f aca="false">IF(OR(C3235="",D3235="",E3235="",E3235=0),0,C3235*D3235/E3235)</f>
        <v>0</v>
      </c>
      <c r="G3235" s="42"/>
      <c r="H3235" s="49" t="n">
        <f aca="true">IF(OR($A3235="",_xlfn.MINIFS($B$3:$B$5000,$A$3:$A$5000,$A3235,$B$3:$B$5000,"&gt;"&amp;$B3235)=0),NOW(),_xlfn.MINIFS($B$3:$B$5000,$A$3:$A$5000,$A3235,$B$3:$B$5000,"&gt;"&amp;$B3235))</f>
        <v>46279.5987644416</v>
      </c>
    </row>
    <row r="3236" customFormat="false" ht="15" hidden="false" customHeight="true" outlineLevel="0" collapsed="false">
      <c r="A3236" s="42"/>
      <c r="B3236" s="42"/>
      <c r="C3236" s="42"/>
      <c r="D3236" s="42"/>
      <c r="E3236" s="42"/>
      <c r="F3236" s="51" t="n">
        <f aca="false">IF(OR(C3236="",D3236="",E3236="",E3236=0),0,C3236*D3236/E3236)</f>
        <v>0</v>
      </c>
      <c r="G3236" s="42"/>
      <c r="H3236" s="49" t="n">
        <f aca="true">IF(OR($A3236="",_xlfn.MINIFS($B$3:$B$5000,$A$3:$A$5000,$A3236,$B$3:$B$5000,"&gt;"&amp;$B3236)=0),NOW(),_xlfn.MINIFS($B$3:$B$5000,$A$3:$A$5000,$A3236,$B$3:$B$5000,"&gt;"&amp;$B3236))</f>
        <v>46279.5987644417</v>
      </c>
    </row>
    <row r="3237" customFormat="false" ht="15" hidden="false" customHeight="true" outlineLevel="0" collapsed="false">
      <c r="A3237" s="42"/>
      <c r="B3237" s="42"/>
      <c r="C3237" s="42"/>
      <c r="D3237" s="42"/>
      <c r="E3237" s="42"/>
      <c r="F3237" s="51" t="n">
        <f aca="false">IF(OR(C3237="",D3237="",E3237="",E3237=0),0,C3237*D3237/E3237)</f>
        <v>0</v>
      </c>
      <c r="G3237" s="42"/>
      <c r="H3237" s="49" t="n">
        <f aca="true">IF(OR($A3237="",_xlfn.MINIFS($B$3:$B$5000,$A$3:$A$5000,$A3237,$B$3:$B$5000,"&gt;"&amp;$B3237)=0),NOW(),_xlfn.MINIFS($B$3:$B$5000,$A$3:$A$5000,$A3237,$B$3:$B$5000,"&gt;"&amp;$B3237))</f>
        <v>46279.5987644417</v>
      </c>
    </row>
    <row r="3238" customFormat="false" ht="15" hidden="false" customHeight="true" outlineLevel="0" collapsed="false">
      <c r="A3238" s="42"/>
      <c r="B3238" s="42"/>
      <c r="C3238" s="42"/>
      <c r="D3238" s="42"/>
      <c r="E3238" s="42"/>
      <c r="F3238" s="51" t="n">
        <f aca="false">IF(OR(C3238="",D3238="",E3238="",E3238=0),0,C3238*D3238/E3238)</f>
        <v>0</v>
      </c>
      <c r="G3238" s="42"/>
      <c r="H3238" s="49" t="n">
        <f aca="true">IF(OR($A3238="",_xlfn.MINIFS($B$3:$B$5000,$A$3:$A$5000,$A3238,$B$3:$B$5000,"&gt;"&amp;$B3238)=0),NOW(),_xlfn.MINIFS($B$3:$B$5000,$A$3:$A$5000,$A3238,$B$3:$B$5000,"&gt;"&amp;$B3238))</f>
        <v>46279.5987644418</v>
      </c>
    </row>
    <row r="3239" customFormat="false" ht="15" hidden="false" customHeight="true" outlineLevel="0" collapsed="false">
      <c r="A3239" s="42"/>
      <c r="B3239" s="42"/>
      <c r="C3239" s="42"/>
      <c r="D3239" s="42"/>
      <c r="E3239" s="42"/>
      <c r="F3239" s="51" t="n">
        <f aca="false">IF(OR(C3239="",D3239="",E3239="",E3239=0),0,C3239*D3239/E3239)</f>
        <v>0</v>
      </c>
      <c r="G3239" s="42"/>
      <c r="H3239" s="49" t="n">
        <f aca="true">IF(OR($A3239="",_xlfn.MINIFS($B$3:$B$5000,$A$3:$A$5000,$A3239,$B$3:$B$5000,"&gt;"&amp;$B3239)=0),NOW(),_xlfn.MINIFS($B$3:$B$5000,$A$3:$A$5000,$A3239,$B$3:$B$5000,"&gt;"&amp;$B3239))</f>
        <v>46279.5987644418</v>
      </c>
    </row>
    <row r="3240" customFormat="false" ht="15" hidden="false" customHeight="true" outlineLevel="0" collapsed="false">
      <c r="A3240" s="42"/>
      <c r="B3240" s="42"/>
      <c r="C3240" s="42"/>
      <c r="D3240" s="42"/>
      <c r="E3240" s="42"/>
      <c r="F3240" s="51" t="n">
        <f aca="false">IF(OR(C3240="",D3240="",E3240="",E3240=0),0,C3240*D3240/E3240)</f>
        <v>0</v>
      </c>
      <c r="G3240" s="42"/>
      <c r="H3240" s="49" t="n">
        <f aca="true">IF(OR($A3240="",_xlfn.MINIFS($B$3:$B$5000,$A$3:$A$5000,$A3240,$B$3:$B$5000,"&gt;"&amp;$B3240)=0),NOW(),_xlfn.MINIFS($B$3:$B$5000,$A$3:$A$5000,$A3240,$B$3:$B$5000,"&gt;"&amp;$B3240))</f>
        <v>46279.5987644419</v>
      </c>
    </row>
    <row r="3241" customFormat="false" ht="15" hidden="false" customHeight="true" outlineLevel="0" collapsed="false">
      <c r="A3241" s="42"/>
      <c r="B3241" s="42"/>
      <c r="C3241" s="42"/>
      <c r="D3241" s="42"/>
      <c r="E3241" s="42"/>
      <c r="F3241" s="51" t="n">
        <f aca="false">IF(OR(C3241="",D3241="",E3241="",E3241=0),0,C3241*D3241/E3241)</f>
        <v>0</v>
      </c>
      <c r="G3241" s="42"/>
      <c r="H3241" s="49" t="n">
        <f aca="true">IF(OR($A3241="",_xlfn.MINIFS($B$3:$B$5000,$A$3:$A$5000,$A3241,$B$3:$B$5000,"&gt;"&amp;$B3241)=0),NOW(),_xlfn.MINIFS($B$3:$B$5000,$A$3:$A$5000,$A3241,$B$3:$B$5000,"&gt;"&amp;$B3241))</f>
        <v>46279.5987644419</v>
      </c>
    </row>
    <row r="3242" customFormat="false" ht="15" hidden="false" customHeight="true" outlineLevel="0" collapsed="false">
      <c r="A3242" s="42"/>
      <c r="B3242" s="42"/>
      <c r="C3242" s="42"/>
      <c r="D3242" s="42"/>
      <c r="E3242" s="42"/>
      <c r="F3242" s="51" t="n">
        <f aca="false">IF(OR(C3242="",D3242="",E3242="",E3242=0),0,C3242*D3242/E3242)</f>
        <v>0</v>
      </c>
      <c r="G3242" s="42"/>
      <c r="H3242" s="49" t="n">
        <f aca="true">IF(OR($A3242="",_xlfn.MINIFS($B$3:$B$5000,$A$3:$A$5000,$A3242,$B$3:$B$5000,"&gt;"&amp;$B3242)=0),NOW(),_xlfn.MINIFS($B$3:$B$5000,$A$3:$A$5000,$A3242,$B$3:$B$5000,"&gt;"&amp;$B3242))</f>
        <v>46279.598764442</v>
      </c>
    </row>
    <row r="3243" customFormat="false" ht="15" hidden="false" customHeight="true" outlineLevel="0" collapsed="false">
      <c r="A3243" s="42"/>
      <c r="B3243" s="42"/>
      <c r="C3243" s="42"/>
      <c r="D3243" s="42"/>
      <c r="E3243" s="42"/>
      <c r="F3243" s="51" t="n">
        <f aca="false">IF(OR(C3243="",D3243="",E3243="",E3243=0),0,C3243*D3243/E3243)</f>
        <v>0</v>
      </c>
      <c r="G3243" s="42"/>
      <c r="H3243" s="49" t="n">
        <f aca="true">IF(OR($A3243="",_xlfn.MINIFS($B$3:$B$5000,$A$3:$A$5000,$A3243,$B$3:$B$5000,"&gt;"&amp;$B3243)=0),NOW(),_xlfn.MINIFS($B$3:$B$5000,$A$3:$A$5000,$A3243,$B$3:$B$5000,"&gt;"&amp;$B3243))</f>
        <v>46279.598764442</v>
      </c>
    </row>
    <row r="3244" customFormat="false" ht="15" hidden="false" customHeight="true" outlineLevel="0" collapsed="false">
      <c r="A3244" s="42"/>
      <c r="B3244" s="42"/>
      <c r="C3244" s="42"/>
      <c r="D3244" s="42"/>
      <c r="E3244" s="42"/>
      <c r="F3244" s="51" t="n">
        <f aca="false">IF(OR(C3244="",D3244="",E3244="",E3244=0),0,C3244*D3244/E3244)</f>
        <v>0</v>
      </c>
      <c r="G3244" s="42"/>
      <c r="H3244" s="49" t="n">
        <f aca="true">IF(OR($A3244="",_xlfn.MINIFS($B$3:$B$5000,$A$3:$A$5000,$A3244,$B$3:$B$5000,"&gt;"&amp;$B3244)=0),NOW(),_xlfn.MINIFS($B$3:$B$5000,$A$3:$A$5000,$A3244,$B$3:$B$5000,"&gt;"&amp;$B3244))</f>
        <v>46279.5987644421</v>
      </c>
    </row>
    <row r="3245" customFormat="false" ht="15" hidden="false" customHeight="true" outlineLevel="0" collapsed="false">
      <c r="A3245" s="42"/>
      <c r="B3245" s="42"/>
      <c r="C3245" s="42"/>
      <c r="D3245" s="42"/>
      <c r="E3245" s="42"/>
      <c r="F3245" s="51" t="n">
        <f aca="false">IF(OR(C3245="",D3245="",E3245="",E3245=0),0,C3245*D3245/E3245)</f>
        <v>0</v>
      </c>
      <c r="G3245" s="42"/>
      <c r="H3245" s="49" t="n">
        <f aca="true">IF(OR($A3245="",_xlfn.MINIFS($B$3:$B$5000,$A$3:$A$5000,$A3245,$B$3:$B$5000,"&gt;"&amp;$B3245)=0),NOW(),_xlfn.MINIFS($B$3:$B$5000,$A$3:$A$5000,$A3245,$B$3:$B$5000,"&gt;"&amp;$B3245))</f>
        <v>46279.5987644421</v>
      </c>
    </row>
    <row r="3246" customFormat="false" ht="15" hidden="false" customHeight="true" outlineLevel="0" collapsed="false">
      <c r="A3246" s="42"/>
      <c r="B3246" s="42"/>
      <c r="C3246" s="42"/>
      <c r="D3246" s="42"/>
      <c r="E3246" s="42"/>
      <c r="F3246" s="51" t="n">
        <f aca="false">IF(OR(C3246="",D3246="",E3246="",E3246=0),0,C3246*D3246/E3246)</f>
        <v>0</v>
      </c>
      <c r="G3246" s="42"/>
      <c r="H3246" s="49" t="n">
        <f aca="true">IF(OR($A3246="",_xlfn.MINIFS($B$3:$B$5000,$A$3:$A$5000,$A3246,$B$3:$B$5000,"&gt;"&amp;$B3246)=0),NOW(),_xlfn.MINIFS($B$3:$B$5000,$A$3:$A$5000,$A3246,$B$3:$B$5000,"&gt;"&amp;$B3246))</f>
        <v>46279.5987644422</v>
      </c>
    </row>
    <row r="3247" customFormat="false" ht="15" hidden="false" customHeight="true" outlineLevel="0" collapsed="false">
      <c r="A3247" s="42"/>
      <c r="B3247" s="42"/>
      <c r="C3247" s="42"/>
      <c r="D3247" s="42"/>
      <c r="E3247" s="42"/>
      <c r="F3247" s="51" t="n">
        <f aca="false">IF(OR(C3247="",D3247="",E3247="",E3247=0),0,C3247*D3247/E3247)</f>
        <v>0</v>
      </c>
      <c r="G3247" s="42"/>
      <c r="H3247" s="49" t="n">
        <f aca="true">IF(OR($A3247="",_xlfn.MINIFS($B$3:$B$5000,$A$3:$A$5000,$A3247,$B$3:$B$5000,"&gt;"&amp;$B3247)=0),NOW(),_xlfn.MINIFS($B$3:$B$5000,$A$3:$A$5000,$A3247,$B$3:$B$5000,"&gt;"&amp;$B3247))</f>
        <v>46279.5987644422</v>
      </c>
    </row>
    <row r="3248" customFormat="false" ht="15" hidden="false" customHeight="true" outlineLevel="0" collapsed="false">
      <c r="A3248" s="42"/>
      <c r="B3248" s="42"/>
      <c r="C3248" s="42"/>
      <c r="D3248" s="42"/>
      <c r="E3248" s="42"/>
      <c r="F3248" s="51" t="n">
        <f aca="false">IF(OR(C3248="",D3248="",E3248="",E3248=0),0,C3248*D3248/E3248)</f>
        <v>0</v>
      </c>
      <c r="G3248" s="42"/>
      <c r="H3248" s="49" t="n">
        <f aca="true">IF(OR($A3248="",_xlfn.MINIFS($B$3:$B$5000,$A$3:$A$5000,$A3248,$B$3:$B$5000,"&gt;"&amp;$B3248)=0),NOW(),_xlfn.MINIFS($B$3:$B$5000,$A$3:$A$5000,$A3248,$B$3:$B$5000,"&gt;"&amp;$B3248))</f>
        <v>46279.5987644423</v>
      </c>
    </row>
    <row r="3249" customFormat="false" ht="15" hidden="false" customHeight="true" outlineLevel="0" collapsed="false">
      <c r="A3249" s="42"/>
      <c r="B3249" s="42"/>
      <c r="C3249" s="42"/>
      <c r="D3249" s="42"/>
      <c r="E3249" s="42"/>
      <c r="F3249" s="51" t="n">
        <f aca="false">IF(OR(C3249="",D3249="",E3249="",E3249=0),0,C3249*D3249/E3249)</f>
        <v>0</v>
      </c>
      <c r="G3249" s="42"/>
      <c r="H3249" s="49" t="n">
        <f aca="true">IF(OR($A3249="",_xlfn.MINIFS($B$3:$B$5000,$A$3:$A$5000,$A3249,$B$3:$B$5000,"&gt;"&amp;$B3249)=0),NOW(),_xlfn.MINIFS($B$3:$B$5000,$A$3:$A$5000,$A3249,$B$3:$B$5000,"&gt;"&amp;$B3249))</f>
        <v>46279.5987644423</v>
      </c>
    </row>
    <row r="3250" customFormat="false" ht="15" hidden="false" customHeight="true" outlineLevel="0" collapsed="false">
      <c r="A3250" s="42"/>
      <c r="B3250" s="42"/>
      <c r="C3250" s="42"/>
      <c r="D3250" s="42"/>
      <c r="E3250" s="42"/>
      <c r="F3250" s="51" t="n">
        <f aca="false">IF(OR(C3250="",D3250="",E3250="",E3250=0),0,C3250*D3250/E3250)</f>
        <v>0</v>
      </c>
      <c r="G3250" s="42"/>
      <c r="H3250" s="49" t="n">
        <f aca="true">IF(OR($A3250="",_xlfn.MINIFS($B$3:$B$5000,$A$3:$A$5000,$A3250,$B$3:$B$5000,"&gt;"&amp;$B3250)=0),NOW(),_xlfn.MINIFS($B$3:$B$5000,$A$3:$A$5000,$A3250,$B$3:$B$5000,"&gt;"&amp;$B3250))</f>
        <v>46279.5987644424</v>
      </c>
    </row>
    <row r="3251" customFormat="false" ht="15" hidden="false" customHeight="true" outlineLevel="0" collapsed="false">
      <c r="A3251" s="42"/>
      <c r="B3251" s="42"/>
      <c r="C3251" s="42"/>
      <c r="D3251" s="42"/>
      <c r="E3251" s="42"/>
      <c r="F3251" s="51" t="n">
        <f aca="false">IF(OR(C3251="",D3251="",E3251="",E3251=0),0,C3251*D3251/E3251)</f>
        <v>0</v>
      </c>
      <c r="G3251" s="42"/>
      <c r="H3251" s="49" t="n">
        <f aca="true">IF(OR($A3251="",_xlfn.MINIFS($B$3:$B$5000,$A$3:$A$5000,$A3251,$B$3:$B$5000,"&gt;"&amp;$B3251)=0),NOW(),_xlfn.MINIFS($B$3:$B$5000,$A$3:$A$5000,$A3251,$B$3:$B$5000,"&gt;"&amp;$B3251))</f>
        <v>46279.5987644424</v>
      </c>
    </row>
    <row r="3252" customFormat="false" ht="15" hidden="false" customHeight="true" outlineLevel="0" collapsed="false">
      <c r="A3252" s="42"/>
      <c r="B3252" s="42"/>
      <c r="C3252" s="42"/>
      <c r="D3252" s="42"/>
      <c r="E3252" s="42"/>
      <c r="F3252" s="51" t="n">
        <f aca="false">IF(OR(C3252="",D3252="",E3252="",E3252=0),0,C3252*D3252/E3252)</f>
        <v>0</v>
      </c>
      <c r="G3252" s="42"/>
      <c r="H3252" s="49" t="n">
        <f aca="true">IF(OR($A3252="",_xlfn.MINIFS($B$3:$B$5000,$A$3:$A$5000,$A3252,$B$3:$B$5000,"&gt;"&amp;$B3252)=0),NOW(),_xlfn.MINIFS($B$3:$B$5000,$A$3:$A$5000,$A3252,$B$3:$B$5000,"&gt;"&amp;$B3252))</f>
        <v>46279.5987644429</v>
      </c>
    </row>
    <row r="3253" customFormat="false" ht="15" hidden="false" customHeight="true" outlineLevel="0" collapsed="false">
      <c r="A3253" s="42"/>
      <c r="B3253" s="42"/>
      <c r="C3253" s="42"/>
      <c r="D3253" s="42"/>
      <c r="E3253" s="42"/>
      <c r="F3253" s="51" t="n">
        <f aca="false">IF(OR(C3253="",D3253="",E3253="",E3253=0),0,C3253*D3253/E3253)</f>
        <v>0</v>
      </c>
      <c r="G3253" s="42"/>
      <c r="H3253" s="49" t="n">
        <f aca="true">IF(OR($A3253="",_xlfn.MINIFS($B$3:$B$5000,$A$3:$A$5000,$A3253,$B$3:$B$5000,"&gt;"&amp;$B3253)=0),NOW(),_xlfn.MINIFS($B$3:$B$5000,$A$3:$A$5000,$A3253,$B$3:$B$5000,"&gt;"&amp;$B3253))</f>
        <v>46279.598764443</v>
      </c>
    </row>
    <row r="3254" customFormat="false" ht="15" hidden="false" customHeight="true" outlineLevel="0" collapsed="false">
      <c r="A3254" s="42"/>
      <c r="B3254" s="42"/>
      <c r="C3254" s="42"/>
      <c r="D3254" s="42"/>
      <c r="E3254" s="42"/>
      <c r="F3254" s="51" t="n">
        <f aca="false">IF(OR(C3254="",D3254="",E3254="",E3254=0),0,C3254*D3254/E3254)</f>
        <v>0</v>
      </c>
      <c r="G3254" s="42"/>
      <c r="H3254" s="49" t="n">
        <f aca="true">IF(OR($A3254="",_xlfn.MINIFS($B$3:$B$5000,$A$3:$A$5000,$A3254,$B$3:$B$5000,"&gt;"&amp;$B3254)=0),NOW(),_xlfn.MINIFS($B$3:$B$5000,$A$3:$A$5000,$A3254,$B$3:$B$5000,"&gt;"&amp;$B3254))</f>
        <v>46279.598764443</v>
      </c>
    </row>
    <row r="3255" customFormat="false" ht="15" hidden="false" customHeight="true" outlineLevel="0" collapsed="false">
      <c r="A3255" s="42"/>
      <c r="B3255" s="42"/>
      <c r="C3255" s="42"/>
      <c r="D3255" s="42"/>
      <c r="E3255" s="42"/>
      <c r="F3255" s="51" t="n">
        <f aca="false">IF(OR(C3255="",D3255="",E3255="",E3255=0),0,C3255*D3255/E3255)</f>
        <v>0</v>
      </c>
      <c r="G3255" s="42"/>
      <c r="H3255" s="49" t="n">
        <f aca="true">IF(OR($A3255="",_xlfn.MINIFS($B$3:$B$5000,$A$3:$A$5000,$A3255,$B$3:$B$5000,"&gt;"&amp;$B3255)=0),NOW(),_xlfn.MINIFS($B$3:$B$5000,$A$3:$A$5000,$A3255,$B$3:$B$5000,"&gt;"&amp;$B3255))</f>
        <v>46279.5987644431</v>
      </c>
    </row>
    <row r="3256" customFormat="false" ht="15" hidden="false" customHeight="true" outlineLevel="0" collapsed="false">
      <c r="A3256" s="42"/>
      <c r="B3256" s="42"/>
      <c r="C3256" s="42"/>
      <c r="D3256" s="42"/>
      <c r="E3256" s="42"/>
      <c r="F3256" s="51" t="n">
        <f aca="false">IF(OR(C3256="",D3256="",E3256="",E3256=0),0,C3256*D3256/E3256)</f>
        <v>0</v>
      </c>
      <c r="G3256" s="42"/>
      <c r="H3256" s="49" t="n">
        <f aca="true">IF(OR($A3256="",_xlfn.MINIFS($B$3:$B$5000,$A$3:$A$5000,$A3256,$B$3:$B$5000,"&gt;"&amp;$B3256)=0),NOW(),_xlfn.MINIFS($B$3:$B$5000,$A$3:$A$5000,$A3256,$B$3:$B$5000,"&gt;"&amp;$B3256))</f>
        <v>46279.5987644431</v>
      </c>
    </row>
    <row r="3257" customFormat="false" ht="15" hidden="false" customHeight="true" outlineLevel="0" collapsed="false">
      <c r="A3257" s="42"/>
      <c r="B3257" s="42"/>
      <c r="C3257" s="42"/>
      <c r="D3257" s="42"/>
      <c r="E3257" s="42"/>
      <c r="F3257" s="51" t="n">
        <f aca="false">IF(OR(C3257="",D3257="",E3257="",E3257=0),0,C3257*D3257/E3257)</f>
        <v>0</v>
      </c>
      <c r="G3257" s="42"/>
      <c r="H3257" s="49" t="n">
        <f aca="true">IF(OR($A3257="",_xlfn.MINIFS($B$3:$B$5000,$A$3:$A$5000,$A3257,$B$3:$B$5000,"&gt;"&amp;$B3257)=0),NOW(),_xlfn.MINIFS($B$3:$B$5000,$A$3:$A$5000,$A3257,$B$3:$B$5000,"&gt;"&amp;$B3257))</f>
        <v>46279.5987644432</v>
      </c>
    </row>
    <row r="3258" customFormat="false" ht="15" hidden="false" customHeight="true" outlineLevel="0" collapsed="false">
      <c r="A3258" s="42"/>
      <c r="B3258" s="42"/>
      <c r="C3258" s="42"/>
      <c r="D3258" s="42"/>
      <c r="E3258" s="42"/>
      <c r="F3258" s="51" t="n">
        <f aca="false">IF(OR(C3258="",D3258="",E3258="",E3258=0),0,C3258*D3258/E3258)</f>
        <v>0</v>
      </c>
      <c r="G3258" s="42"/>
      <c r="H3258" s="49" t="n">
        <f aca="true">IF(OR($A3258="",_xlfn.MINIFS($B$3:$B$5000,$A$3:$A$5000,$A3258,$B$3:$B$5000,"&gt;"&amp;$B3258)=0),NOW(),_xlfn.MINIFS($B$3:$B$5000,$A$3:$A$5000,$A3258,$B$3:$B$5000,"&gt;"&amp;$B3258))</f>
        <v>46279.5987644432</v>
      </c>
    </row>
    <row r="3259" customFormat="false" ht="15" hidden="false" customHeight="true" outlineLevel="0" collapsed="false">
      <c r="A3259" s="42"/>
      <c r="B3259" s="42"/>
      <c r="C3259" s="42"/>
      <c r="D3259" s="42"/>
      <c r="E3259" s="42"/>
      <c r="F3259" s="51" t="n">
        <f aca="false">IF(OR(C3259="",D3259="",E3259="",E3259=0),0,C3259*D3259/E3259)</f>
        <v>0</v>
      </c>
      <c r="G3259" s="42"/>
      <c r="H3259" s="49" t="n">
        <f aca="true">IF(OR($A3259="",_xlfn.MINIFS($B$3:$B$5000,$A$3:$A$5000,$A3259,$B$3:$B$5000,"&gt;"&amp;$B3259)=0),NOW(),_xlfn.MINIFS($B$3:$B$5000,$A$3:$A$5000,$A3259,$B$3:$B$5000,"&gt;"&amp;$B3259))</f>
        <v>46279.5987644433</v>
      </c>
    </row>
    <row r="3260" customFormat="false" ht="15" hidden="false" customHeight="true" outlineLevel="0" collapsed="false">
      <c r="A3260" s="42"/>
      <c r="B3260" s="42"/>
      <c r="C3260" s="42"/>
      <c r="D3260" s="42"/>
      <c r="E3260" s="42"/>
      <c r="F3260" s="51" t="n">
        <f aca="false">IF(OR(C3260="",D3260="",E3260="",E3260=0),0,C3260*D3260/E3260)</f>
        <v>0</v>
      </c>
      <c r="G3260" s="42"/>
      <c r="H3260" s="49" t="n">
        <f aca="true">IF(OR($A3260="",_xlfn.MINIFS($B$3:$B$5000,$A$3:$A$5000,$A3260,$B$3:$B$5000,"&gt;"&amp;$B3260)=0),NOW(),_xlfn.MINIFS($B$3:$B$5000,$A$3:$A$5000,$A3260,$B$3:$B$5000,"&gt;"&amp;$B3260))</f>
        <v>46279.5987644433</v>
      </c>
    </row>
    <row r="3261" customFormat="false" ht="15" hidden="false" customHeight="true" outlineLevel="0" collapsed="false">
      <c r="A3261" s="42"/>
      <c r="B3261" s="42"/>
      <c r="C3261" s="42"/>
      <c r="D3261" s="42"/>
      <c r="E3261" s="42"/>
      <c r="F3261" s="51" t="n">
        <f aca="false">IF(OR(C3261="",D3261="",E3261="",E3261=0),0,C3261*D3261/E3261)</f>
        <v>0</v>
      </c>
      <c r="G3261" s="42"/>
      <c r="H3261" s="49" t="n">
        <f aca="true">IF(OR($A3261="",_xlfn.MINIFS($B$3:$B$5000,$A$3:$A$5000,$A3261,$B$3:$B$5000,"&gt;"&amp;$B3261)=0),NOW(),_xlfn.MINIFS($B$3:$B$5000,$A$3:$A$5000,$A3261,$B$3:$B$5000,"&gt;"&amp;$B3261))</f>
        <v>46279.5987644434</v>
      </c>
    </row>
    <row r="3262" customFormat="false" ht="15" hidden="false" customHeight="true" outlineLevel="0" collapsed="false">
      <c r="A3262" s="42"/>
      <c r="B3262" s="42"/>
      <c r="C3262" s="42"/>
      <c r="D3262" s="42"/>
      <c r="E3262" s="42"/>
      <c r="F3262" s="51" t="n">
        <f aca="false">IF(OR(C3262="",D3262="",E3262="",E3262=0),0,C3262*D3262/E3262)</f>
        <v>0</v>
      </c>
      <c r="G3262" s="42"/>
      <c r="H3262" s="49" t="n">
        <f aca="true">IF(OR($A3262="",_xlfn.MINIFS($B$3:$B$5000,$A$3:$A$5000,$A3262,$B$3:$B$5000,"&gt;"&amp;$B3262)=0),NOW(),_xlfn.MINIFS($B$3:$B$5000,$A$3:$A$5000,$A3262,$B$3:$B$5000,"&gt;"&amp;$B3262))</f>
        <v>46279.5987644434</v>
      </c>
    </row>
    <row r="3263" customFormat="false" ht="15" hidden="false" customHeight="true" outlineLevel="0" collapsed="false">
      <c r="A3263" s="42"/>
      <c r="B3263" s="42"/>
      <c r="C3263" s="42"/>
      <c r="D3263" s="42"/>
      <c r="E3263" s="42"/>
      <c r="F3263" s="51" t="n">
        <f aca="false">IF(OR(C3263="",D3263="",E3263="",E3263=0),0,C3263*D3263/E3263)</f>
        <v>0</v>
      </c>
      <c r="G3263" s="42"/>
      <c r="H3263" s="49" t="n">
        <f aca="true">IF(OR($A3263="",_xlfn.MINIFS($B$3:$B$5000,$A$3:$A$5000,$A3263,$B$3:$B$5000,"&gt;"&amp;$B3263)=0),NOW(),_xlfn.MINIFS($B$3:$B$5000,$A$3:$A$5000,$A3263,$B$3:$B$5000,"&gt;"&amp;$B3263))</f>
        <v>46279.5987644435</v>
      </c>
    </row>
    <row r="3264" customFormat="false" ht="15" hidden="false" customHeight="true" outlineLevel="0" collapsed="false">
      <c r="A3264" s="42"/>
      <c r="B3264" s="42"/>
      <c r="C3264" s="42"/>
      <c r="D3264" s="42"/>
      <c r="E3264" s="42"/>
      <c r="F3264" s="51" t="n">
        <f aca="false">IF(OR(C3264="",D3264="",E3264="",E3264=0),0,C3264*D3264/E3264)</f>
        <v>0</v>
      </c>
      <c r="G3264" s="42"/>
      <c r="H3264" s="49" t="n">
        <f aca="true">IF(OR($A3264="",_xlfn.MINIFS($B$3:$B$5000,$A$3:$A$5000,$A3264,$B$3:$B$5000,"&gt;"&amp;$B3264)=0),NOW(),_xlfn.MINIFS($B$3:$B$5000,$A$3:$A$5000,$A3264,$B$3:$B$5000,"&gt;"&amp;$B3264))</f>
        <v>46279.5987644435</v>
      </c>
    </row>
    <row r="3265" customFormat="false" ht="15" hidden="false" customHeight="true" outlineLevel="0" collapsed="false">
      <c r="A3265" s="42"/>
      <c r="B3265" s="42"/>
      <c r="C3265" s="42"/>
      <c r="D3265" s="42"/>
      <c r="E3265" s="42"/>
      <c r="F3265" s="51" t="n">
        <f aca="false">IF(OR(C3265="",D3265="",E3265="",E3265=0),0,C3265*D3265/E3265)</f>
        <v>0</v>
      </c>
      <c r="G3265" s="42"/>
      <c r="H3265" s="49" t="n">
        <f aca="true">IF(OR($A3265="",_xlfn.MINIFS($B$3:$B$5000,$A$3:$A$5000,$A3265,$B$3:$B$5000,"&gt;"&amp;$B3265)=0),NOW(),_xlfn.MINIFS($B$3:$B$5000,$A$3:$A$5000,$A3265,$B$3:$B$5000,"&gt;"&amp;$B3265))</f>
        <v>46279.5987644436</v>
      </c>
    </row>
    <row r="3266" customFormat="false" ht="15" hidden="false" customHeight="true" outlineLevel="0" collapsed="false">
      <c r="A3266" s="42"/>
      <c r="B3266" s="42"/>
      <c r="C3266" s="42"/>
      <c r="D3266" s="42"/>
      <c r="E3266" s="42"/>
      <c r="F3266" s="51" t="n">
        <f aca="false">IF(OR(C3266="",D3266="",E3266="",E3266=0),0,C3266*D3266/E3266)</f>
        <v>0</v>
      </c>
      <c r="G3266" s="42"/>
      <c r="H3266" s="49" t="n">
        <f aca="true">IF(OR($A3266="",_xlfn.MINIFS($B$3:$B$5000,$A$3:$A$5000,$A3266,$B$3:$B$5000,"&gt;"&amp;$B3266)=0),NOW(),_xlfn.MINIFS($B$3:$B$5000,$A$3:$A$5000,$A3266,$B$3:$B$5000,"&gt;"&amp;$B3266))</f>
        <v>46279.5987644436</v>
      </c>
    </row>
    <row r="3267" customFormat="false" ht="15" hidden="false" customHeight="true" outlineLevel="0" collapsed="false">
      <c r="A3267" s="42"/>
      <c r="B3267" s="42"/>
      <c r="C3267" s="42"/>
      <c r="D3267" s="42"/>
      <c r="E3267" s="42"/>
      <c r="F3267" s="51" t="n">
        <f aca="false">IF(OR(C3267="",D3267="",E3267="",E3267=0),0,C3267*D3267/E3267)</f>
        <v>0</v>
      </c>
      <c r="G3267" s="42"/>
      <c r="H3267" s="49" t="n">
        <f aca="true">IF(OR($A3267="",_xlfn.MINIFS($B$3:$B$5000,$A$3:$A$5000,$A3267,$B$3:$B$5000,"&gt;"&amp;$B3267)=0),NOW(),_xlfn.MINIFS($B$3:$B$5000,$A$3:$A$5000,$A3267,$B$3:$B$5000,"&gt;"&amp;$B3267))</f>
        <v>46279.5987644437</v>
      </c>
    </row>
    <row r="3268" customFormat="false" ht="15" hidden="false" customHeight="true" outlineLevel="0" collapsed="false">
      <c r="A3268" s="42"/>
      <c r="B3268" s="42"/>
      <c r="C3268" s="42"/>
      <c r="D3268" s="42"/>
      <c r="E3268" s="42"/>
      <c r="F3268" s="51" t="n">
        <f aca="false">IF(OR(C3268="",D3268="",E3268="",E3268=0),0,C3268*D3268/E3268)</f>
        <v>0</v>
      </c>
      <c r="G3268" s="42"/>
      <c r="H3268" s="49" t="n">
        <f aca="true">IF(OR($A3268="",_xlfn.MINIFS($B$3:$B$5000,$A$3:$A$5000,$A3268,$B$3:$B$5000,"&gt;"&amp;$B3268)=0),NOW(),_xlfn.MINIFS($B$3:$B$5000,$A$3:$A$5000,$A3268,$B$3:$B$5000,"&gt;"&amp;$B3268))</f>
        <v>46279.5987644437</v>
      </c>
    </row>
    <row r="3269" customFormat="false" ht="15" hidden="false" customHeight="true" outlineLevel="0" collapsed="false">
      <c r="A3269" s="42"/>
      <c r="B3269" s="42"/>
      <c r="C3269" s="42"/>
      <c r="D3269" s="42"/>
      <c r="E3269" s="42"/>
      <c r="F3269" s="51" t="n">
        <f aca="false">IF(OR(C3269="",D3269="",E3269="",E3269=0),0,C3269*D3269/E3269)</f>
        <v>0</v>
      </c>
      <c r="G3269" s="42"/>
      <c r="H3269" s="49" t="n">
        <f aca="true">IF(OR($A3269="",_xlfn.MINIFS($B$3:$B$5000,$A$3:$A$5000,$A3269,$B$3:$B$5000,"&gt;"&amp;$B3269)=0),NOW(),_xlfn.MINIFS($B$3:$B$5000,$A$3:$A$5000,$A3269,$B$3:$B$5000,"&gt;"&amp;$B3269))</f>
        <v>46279.5987644438</v>
      </c>
    </row>
    <row r="3270" customFormat="false" ht="15" hidden="false" customHeight="true" outlineLevel="0" collapsed="false">
      <c r="A3270" s="42"/>
      <c r="B3270" s="42"/>
      <c r="C3270" s="42"/>
      <c r="D3270" s="42"/>
      <c r="E3270" s="42"/>
      <c r="F3270" s="51" t="n">
        <f aca="false">IF(OR(C3270="",D3270="",E3270="",E3270=0),0,C3270*D3270/E3270)</f>
        <v>0</v>
      </c>
      <c r="G3270" s="42"/>
      <c r="H3270" s="49" t="n">
        <f aca="true">IF(OR($A3270="",_xlfn.MINIFS($B$3:$B$5000,$A$3:$A$5000,$A3270,$B$3:$B$5000,"&gt;"&amp;$B3270)=0),NOW(),_xlfn.MINIFS($B$3:$B$5000,$A$3:$A$5000,$A3270,$B$3:$B$5000,"&gt;"&amp;$B3270))</f>
        <v>46279.5987644438</v>
      </c>
    </row>
    <row r="3271" customFormat="false" ht="15" hidden="false" customHeight="true" outlineLevel="0" collapsed="false">
      <c r="A3271" s="42"/>
      <c r="B3271" s="42"/>
      <c r="C3271" s="42"/>
      <c r="D3271" s="42"/>
      <c r="E3271" s="42"/>
      <c r="F3271" s="51" t="n">
        <f aca="false">IF(OR(C3271="",D3271="",E3271="",E3271=0),0,C3271*D3271/E3271)</f>
        <v>0</v>
      </c>
      <c r="G3271" s="42"/>
      <c r="H3271" s="49" t="n">
        <f aca="true">IF(OR($A3271="",_xlfn.MINIFS($B$3:$B$5000,$A$3:$A$5000,$A3271,$B$3:$B$5000,"&gt;"&amp;$B3271)=0),NOW(),_xlfn.MINIFS($B$3:$B$5000,$A$3:$A$5000,$A3271,$B$3:$B$5000,"&gt;"&amp;$B3271))</f>
        <v>46279.5987644439</v>
      </c>
    </row>
    <row r="3272" customFormat="false" ht="15" hidden="false" customHeight="true" outlineLevel="0" collapsed="false">
      <c r="A3272" s="42"/>
      <c r="B3272" s="42"/>
      <c r="C3272" s="42"/>
      <c r="D3272" s="42"/>
      <c r="E3272" s="42"/>
      <c r="F3272" s="51" t="n">
        <f aca="false">IF(OR(C3272="",D3272="",E3272="",E3272=0),0,C3272*D3272/E3272)</f>
        <v>0</v>
      </c>
      <c r="G3272" s="42"/>
      <c r="H3272" s="49" t="n">
        <f aca="true">IF(OR($A3272="",_xlfn.MINIFS($B$3:$B$5000,$A$3:$A$5000,$A3272,$B$3:$B$5000,"&gt;"&amp;$B3272)=0),NOW(),_xlfn.MINIFS($B$3:$B$5000,$A$3:$A$5000,$A3272,$B$3:$B$5000,"&gt;"&amp;$B3272))</f>
        <v>46279.5987644439</v>
      </c>
    </row>
    <row r="3273" customFormat="false" ht="15" hidden="false" customHeight="true" outlineLevel="0" collapsed="false">
      <c r="A3273" s="42"/>
      <c r="B3273" s="42"/>
      <c r="C3273" s="42"/>
      <c r="D3273" s="42"/>
      <c r="E3273" s="42"/>
      <c r="F3273" s="51" t="n">
        <f aca="false">IF(OR(C3273="",D3273="",E3273="",E3273=0),0,C3273*D3273/E3273)</f>
        <v>0</v>
      </c>
      <c r="G3273" s="42"/>
      <c r="H3273" s="49" t="n">
        <f aca="true">IF(OR($A3273="",_xlfn.MINIFS($B$3:$B$5000,$A$3:$A$5000,$A3273,$B$3:$B$5000,"&gt;"&amp;$B3273)=0),NOW(),_xlfn.MINIFS($B$3:$B$5000,$A$3:$A$5000,$A3273,$B$3:$B$5000,"&gt;"&amp;$B3273))</f>
        <v>46279.598764444</v>
      </c>
    </row>
    <row r="3274" customFormat="false" ht="15" hidden="false" customHeight="true" outlineLevel="0" collapsed="false">
      <c r="A3274" s="42"/>
      <c r="B3274" s="42"/>
      <c r="C3274" s="42"/>
      <c r="D3274" s="42"/>
      <c r="E3274" s="42"/>
      <c r="F3274" s="51" t="n">
        <f aca="false">IF(OR(C3274="",D3274="",E3274="",E3274=0),0,C3274*D3274/E3274)</f>
        <v>0</v>
      </c>
      <c r="G3274" s="42"/>
      <c r="H3274" s="49" t="n">
        <f aca="true">IF(OR($A3274="",_xlfn.MINIFS($B$3:$B$5000,$A$3:$A$5000,$A3274,$B$3:$B$5000,"&gt;"&amp;$B3274)=0),NOW(),_xlfn.MINIFS($B$3:$B$5000,$A$3:$A$5000,$A3274,$B$3:$B$5000,"&gt;"&amp;$B3274))</f>
        <v>46279.598764444</v>
      </c>
    </row>
    <row r="3275" customFormat="false" ht="15" hidden="false" customHeight="true" outlineLevel="0" collapsed="false">
      <c r="A3275" s="42"/>
      <c r="B3275" s="42"/>
      <c r="C3275" s="42"/>
      <c r="D3275" s="42"/>
      <c r="E3275" s="42"/>
      <c r="F3275" s="51" t="n">
        <f aca="false">IF(OR(C3275="",D3275="",E3275="",E3275=0),0,C3275*D3275/E3275)</f>
        <v>0</v>
      </c>
      <c r="G3275" s="42"/>
      <c r="H3275" s="49" t="n">
        <f aca="true">IF(OR($A3275="",_xlfn.MINIFS($B$3:$B$5000,$A$3:$A$5000,$A3275,$B$3:$B$5000,"&gt;"&amp;$B3275)=0),NOW(),_xlfn.MINIFS($B$3:$B$5000,$A$3:$A$5000,$A3275,$B$3:$B$5000,"&gt;"&amp;$B3275))</f>
        <v>46279.5987644441</v>
      </c>
    </row>
    <row r="3276" customFormat="false" ht="15" hidden="false" customHeight="true" outlineLevel="0" collapsed="false">
      <c r="A3276" s="42"/>
      <c r="B3276" s="42"/>
      <c r="C3276" s="42"/>
      <c r="D3276" s="42"/>
      <c r="E3276" s="42"/>
      <c r="F3276" s="51" t="n">
        <f aca="false">IF(OR(C3276="",D3276="",E3276="",E3276=0),0,C3276*D3276/E3276)</f>
        <v>0</v>
      </c>
      <c r="G3276" s="42"/>
      <c r="H3276" s="49" t="n">
        <f aca="true">IF(OR($A3276="",_xlfn.MINIFS($B$3:$B$5000,$A$3:$A$5000,$A3276,$B$3:$B$5000,"&gt;"&amp;$B3276)=0),NOW(),_xlfn.MINIFS($B$3:$B$5000,$A$3:$A$5000,$A3276,$B$3:$B$5000,"&gt;"&amp;$B3276))</f>
        <v>46279.5987644441</v>
      </c>
    </row>
    <row r="3277" customFormat="false" ht="15" hidden="false" customHeight="true" outlineLevel="0" collapsed="false">
      <c r="A3277" s="42"/>
      <c r="B3277" s="42"/>
      <c r="C3277" s="42"/>
      <c r="D3277" s="42"/>
      <c r="E3277" s="42"/>
      <c r="F3277" s="51" t="n">
        <f aca="false">IF(OR(C3277="",D3277="",E3277="",E3277=0),0,C3277*D3277/E3277)</f>
        <v>0</v>
      </c>
      <c r="G3277" s="42"/>
      <c r="H3277" s="49" t="n">
        <f aca="true">IF(OR($A3277="",_xlfn.MINIFS($B$3:$B$5000,$A$3:$A$5000,$A3277,$B$3:$B$5000,"&gt;"&amp;$B3277)=0),NOW(),_xlfn.MINIFS($B$3:$B$5000,$A$3:$A$5000,$A3277,$B$3:$B$5000,"&gt;"&amp;$B3277))</f>
        <v>46279.5987644442</v>
      </c>
    </row>
    <row r="3278" customFormat="false" ht="15" hidden="false" customHeight="true" outlineLevel="0" collapsed="false">
      <c r="A3278" s="42"/>
      <c r="B3278" s="42"/>
      <c r="C3278" s="42"/>
      <c r="D3278" s="42"/>
      <c r="E3278" s="42"/>
      <c r="F3278" s="51" t="n">
        <f aca="false">IF(OR(C3278="",D3278="",E3278="",E3278=0),0,C3278*D3278/E3278)</f>
        <v>0</v>
      </c>
      <c r="G3278" s="42"/>
      <c r="H3278" s="49" t="n">
        <f aca="true">IF(OR($A3278="",_xlfn.MINIFS($B$3:$B$5000,$A$3:$A$5000,$A3278,$B$3:$B$5000,"&gt;"&amp;$B3278)=0),NOW(),_xlfn.MINIFS($B$3:$B$5000,$A$3:$A$5000,$A3278,$B$3:$B$5000,"&gt;"&amp;$B3278))</f>
        <v>46279.5987644442</v>
      </c>
    </row>
    <row r="3279" customFormat="false" ht="15" hidden="false" customHeight="true" outlineLevel="0" collapsed="false">
      <c r="A3279" s="42"/>
      <c r="B3279" s="42"/>
      <c r="C3279" s="42"/>
      <c r="D3279" s="42"/>
      <c r="E3279" s="42"/>
      <c r="F3279" s="51" t="n">
        <f aca="false">IF(OR(C3279="",D3279="",E3279="",E3279=0),0,C3279*D3279/E3279)</f>
        <v>0</v>
      </c>
      <c r="G3279" s="42"/>
      <c r="H3279" s="49" t="n">
        <f aca="true">IF(OR($A3279="",_xlfn.MINIFS($B$3:$B$5000,$A$3:$A$5000,$A3279,$B$3:$B$5000,"&gt;"&amp;$B3279)=0),NOW(),_xlfn.MINIFS($B$3:$B$5000,$A$3:$A$5000,$A3279,$B$3:$B$5000,"&gt;"&amp;$B3279))</f>
        <v>46279.5987644443</v>
      </c>
    </row>
    <row r="3280" customFormat="false" ht="15" hidden="false" customHeight="true" outlineLevel="0" collapsed="false">
      <c r="A3280" s="42"/>
      <c r="B3280" s="42"/>
      <c r="C3280" s="42"/>
      <c r="D3280" s="42"/>
      <c r="E3280" s="42"/>
      <c r="F3280" s="51" t="n">
        <f aca="false">IF(OR(C3280="",D3280="",E3280="",E3280=0),0,C3280*D3280/E3280)</f>
        <v>0</v>
      </c>
      <c r="G3280" s="42"/>
      <c r="H3280" s="49" t="n">
        <f aca="true">IF(OR($A3280="",_xlfn.MINIFS($B$3:$B$5000,$A$3:$A$5000,$A3280,$B$3:$B$5000,"&gt;"&amp;$B3280)=0),NOW(),_xlfn.MINIFS($B$3:$B$5000,$A$3:$A$5000,$A3280,$B$3:$B$5000,"&gt;"&amp;$B3280))</f>
        <v>46279.5987644443</v>
      </c>
    </row>
    <row r="3281" customFormat="false" ht="15" hidden="false" customHeight="true" outlineLevel="0" collapsed="false">
      <c r="A3281" s="42"/>
      <c r="B3281" s="42"/>
      <c r="C3281" s="42"/>
      <c r="D3281" s="42"/>
      <c r="E3281" s="42"/>
      <c r="F3281" s="51" t="n">
        <f aca="false">IF(OR(C3281="",D3281="",E3281="",E3281=0),0,C3281*D3281/E3281)</f>
        <v>0</v>
      </c>
      <c r="G3281" s="42"/>
      <c r="H3281" s="49" t="n">
        <f aca="true">IF(OR($A3281="",_xlfn.MINIFS($B$3:$B$5000,$A$3:$A$5000,$A3281,$B$3:$B$5000,"&gt;"&amp;$B3281)=0),NOW(),_xlfn.MINIFS($B$3:$B$5000,$A$3:$A$5000,$A3281,$B$3:$B$5000,"&gt;"&amp;$B3281))</f>
        <v>46279.5987644444</v>
      </c>
    </row>
    <row r="3282" customFormat="false" ht="15" hidden="false" customHeight="true" outlineLevel="0" collapsed="false">
      <c r="A3282" s="42"/>
      <c r="B3282" s="42"/>
      <c r="C3282" s="42"/>
      <c r="D3282" s="42"/>
      <c r="E3282" s="42"/>
      <c r="F3282" s="51" t="n">
        <f aca="false">IF(OR(C3282="",D3282="",E3282="",E3282=0),0,C3282*D3282/E3282)</f>
        <v>0</v>
      </c>
      <c r="G3282" s="42"/>
      <c r="H3282" s="49" t="n">
        <f aca="true">IF(OR($A3282="",_xlfn.MINIFS($B$3:$B$5000,$A$3:$A$5000,$A3282,$B$3:$B$5000,"&gt;"&amp;$B3282)=0),NOW(),_xlfn.MINIFS($B$3:$B$5000,$A$3:$A$5000,$A3282,$B$3:$B$5000,"&gt;"&amp;$B3282))</f>
        <v>46279.5987644444</v>
      </c>
    </row>
    <row r="3283" customFormat="false" ht="15" hidden="false" customHeight="true" outlineLevel="0" collapsed="false">
      <c r="A3283" s="42"/>
      <c r="B3283" s="42"/>
      <c r="C3283" s="42"/>
      <c r="D3283" s="42"/>
      <c r="E3283" s="42"/>
      <c r="F3283" s="51" t="n">
        <f aca="false">IF(OR(C3283="",D3283="",E3283="",E3283=0),0,C3283*D3283/E3283)</f>
        <v>0</v>
      </c>
      <c r="G3283" s="42"/>
      <c r="H3283" s="49" t="n">
        <f aca="true">IF(OR($A3283="",_xlfn.MINIFS($B$3:$B$5000,$A$3:$A$5000,$A3283,$B$3:$B$5000,"&gt;"&amp;$B3283)=0),NOW(),_xlfn.MINIFS($B$3:$B$5000,$A$3:$A$5000,$A3283,$B$3:$B$5000,"&gt;"&amp;$B3283))</f>
        <v>46279.5987644445</v>
      </c>
    </row>
    <row r="3284" customFormat="false" ht="15" hidden="false" customHeight="true" outlineLevel="0" collapsed="false">
      <c r="A3284" s="42"/>
      <c r="B3284" s="42"/>
      <c r="C3284" s="42"/>
      <c r="D3284" s="42"/>
      <c r="E3284" s="42"/>
      <c r="F3284" s="51" t="n">
        <f aca="false">IF(OR(C3284="",D3284="",E3284="",E3284=0),0,C3284*D3284/E3284)</f>
        <v>0</v>
      </c>
      <c r="G3284" s="42"/>
      <c r="H3284" s="49" t="n">
        <f aca="true">IF(OR($A3284="",_xlfn.MINIFS($B$3:$B$5000,$A$3:$A$5000,$A3284,$B$3:$B$5000,"&gt;"&amp;$B3284)=0),NOW(),_xlfn.MINIFS($B$3:$B$5000,$A$3:$A$5000,$A3284,$B$3:$B$5000,"&gt;"&amp;$B3284))</f>
        <v>46279.5987644445</v>
      </c>
    </row>
    <row r="3285" customFormat="false" ht="15" hidden="false" customHeight="true" outlineLevel="0" collapsed="false">
      <c r="A3285" s="42"/>
      <c r="B3285" s="42"/>
      <c r="C3285" s="42"/>
      <c r="D3285" s="42"/>
      <c r="E3285" s="42"/>
      <c r="F3285" s="51" t="n">
        <f aca="false">IF(OR(C3285="",D3285="",E3285="",E3285=0),0,C3285*D3285/E3285)</f>
        <v>0</v>
      </c>
      <c r="G3285" s="42"/>
      <c r="H3285" s="49" t="n">
        <f aca="true">IF(OR($A3285="",_xlfn.MINIFS($B$3:$B$5000,$A$3:$A$5000,$A3285,$B$3:$B$5000,"&gt;"&amp;$B3285)=0),NOW(),_xlfn.MINIFS($B$3:$B$5000,$A$3:$A$5000,$A3285,$B$3:$B$5000,"&gt;"&amp;$B3285))</f>
        <v>46279.5987644446</v>
      </c>
    </row>
    <row r="3286" customFormat="false" ht="15" hidden="false" customHeight="true" outlineLevel="0" collapsed="false">
      <c r="A3286" s="42"/>
      <c r="B3286" s="42"/>
      <c r="C3286" s="42"/>
      <c r="D3286" s="42"/>
      <c r="E3286" s="42"/>
      <c r="F3286" s="51" t="n">
        <f aca="false">IF(OR(C3286="",D3286="",E3286="",E3286=0),0,C3286*D3286/E3286)</f>
        <v>0</v>
      </c>
      <c r="G3286" s="42"/>
      <c r="H3286" s="49" t="n">
        <f aca="true">IF(OR($A3286="",_xlfn.MINIFS($B$3:$B$5000,$A$3:$A$5000,$A3286,$B$3:$B$5000,"&gt;"&amp;$B3286)=0),NOW(),_xlfn.MINIFS($B$3:$B$5000,$A$3:$A$5000,$A3286,$B$3:$B$5000,"&gt;"&amp;$B3286))</f>
        <v>46279.5987644446</v>
      </c>
    </row>
    <row r="3287" customFormat="false" ht="15" hidden="false" customHeight="true" outlineLevel="0" collapsed="false">
      <c r="A3287" s="42"/>
      <c r="B3287" s="42"/>
      <c r="C3287" s="42"/>
      <c r="D3287" s="42"/>
      <c r="E3287" s="42"/>
      <c r="F3287" s="51" t="n">
        <f aca="false">IF(OR(C3287="",D3287="",E3287="",E3287=0),0,C3287*D3287/E3287)</f>
        <v>0</v>
      </c>
      <c r="G3287" s="42"/>
      <c r="H3287" s="49" t="n">
        <f aca="true">IF(OR($A3287="",_xlfn.MINIFS($B$3:$B$5000,$A$3:$A$5000,$A3287,$B$3:$B$5000,"&gt;"&amp;$B3287)=0),NOW(),_xlfn.MINIFS($B$3:$B$5000,$A$3:$A$5000,$A3287,$B$3:$B$5000,"&gt;"&amp;$B3287))</f>
        <v>46279.5987644447</v>
      </c>
    </row>
    <row r="3288" customFormat="false" ht="15" hidden="false" customHeight="true" outlineLevel="0" collapsed="false">
      <c r="A3288" s="42"/>
      <c r="B3288" s="42"/>
      <c r="C3288" s="42"/>
      <c r="D3288" s="42"/>
      <c r="E3288" s="42"/>
      <c r="F3288" s="51" t="n">
        <f aca="false">IF(OR(C3288="",D3288="",E3288="",E3288=0),0,C3288*D3288/E3288)</f>
        <v>0</v>
      </c>
      <c r="G3288" s="42"/>
      <c r="H3288" s="49" t="n">
        <f aca="true">IF(OR($A3288="",_xlfn.MINIFS($B$3:$B$5000,$A$3:$A$5000,$A3288,$B$3:$B$5000,"&gt;"&amp;$B3288)=0),NOW(),_xlfn.MINIFS($B$3:$B$5000,$A$3:$A$5000,$A3288,$B$3:$B$5000,"&gt;"&amp;$B3288))</f>
        <v>46279.5987644447</v>
      </c>
    </row>
    <row r="3289" customFormat="false" ht="15" hidden="false" customHeight="true" outlineLevel="0" collapsed="false">
      <c r="A3289" s="42"/>
      <c r="B3289" s="42"/>
      <c r="C3289" s="42"/>
      <c r="D3289" s="42"/>
      <c r="E3289" s="42"/>
      <c r="F3289" s="51" t="n">
        <f aca="false">IF(OR(C3289="",D3289="",E3289="",E3289=0),0,C3289*D3289/E3289)</f>
        <v>0</v>
      </c>
      <c r="G3289" s="42"/>
      <c r="H3289" s="49" t="n">
        <f aca="true">IF(OR($A3289="",_xlfn.MINIFS($B$3:$B$5000,$A$3:$A$5000,$A3289,$B$3:$B$5000,"&gt;"&amp;$B3289)=0),NOW(),_xlfn.MINIFS($B$3:$B$5000,$A$3:$A$5000,$A3289,$B$3:$B$5000,"&gt;"&amp;$B3289))</f>
        <v>46279.5987644448</v>
      </c>
    </row>
    <row r="3290" customFormat="false" ht="15" hidden="false" customHeight="true" outlineLevel="0" collapsed="false">
      <c r="A3290" s="42"/>
      <c r="B3290" s="42"/>
      <c r="C3290" s="42"/>
      <c r="D3290" s="42"/>
      <c r="E3290" s="42"/>
      <c r="F3290" s="51" t="n">
        <f aca="false">IF(OR(C3290="",D3290="",E3290="",E3290=0),0,C3290*D3290/E3290)</f>
        <v>0</v>
      </c>
      <c r="G3290" s="42"/>
      <c r="H3290" s="49" t="n">
        <f aca="true">IF(OR($A3290="",_xlfn.MINIFS($B$3:$B$5000,$A$3:$A$5000,$A3290,$B$3:$B$5000,"&gt;"&amp;$B3290)=0),NOW(),_xlfn.MINIFS($B$3:$B$5000,$A$3:$A$5000,$A3290,$B$3:$B$5000,"&gt;"&amp;$B3290))</f>
        <v>46279.5987644448</v>
      </c>
    </row>
    <row r="3291" customFormat="false" ht="15" hidden="false" customHeight="true" outlineLevel="0" collapsed="false">
      <c r="A3291" s="42"/>
      <c r="B3291" s="42"/>
      <c r="C3291" s="42"/>
      <c r="D3291" s="42"/>
      <c r="E3291" s="42"/>
      <c r="F3291" s="51" t="n">
        <f aca="false">IF(OR(C3291="",D3291="",E3291="",E3291=0),0,C3291*D3291/E3291)</f>
        <v>0</v>
      </c>
      <c r="G3291" s="42"/>
      <c r="H3291" s="49" t="n">
        <f aca="true">IF(OR($A3291="",_xlfn.MINIFS($B$3:$B$5000,$A$3:$A$5000,$A3291,$B$3:$B$5000,"&gt;"&amp;$B3291)=0),NOW(),_xlfn.MINIFS($B$3:$B$5000,$A$3:$A$5000,$A3291,$B$3:$B$5000,"&gt;"&amp;$B3291))</f>
        <v>46279.5987644449</v>
      </c>
    </row>
    <row r="3292" customFormat="false" ht="15" hidden="false" customHeight="true" outlineLevel="0" collapsed="false">
      <c r="A3292" s="42"/>
      <c r="B3292" s="42"/>
      <c r="C3292" s="42"/>
      <c r="D3292" s="42"/>
      <c r="E3292" s="42"/>
      <c r="F3292" s="51" t="n">
        <f aca="false">IF(OR(C3292="",D3292="",E3292="",E3292=0),0,C3292*D3292/E3292)</f>
        <v>0</v>
      </c>
      <c r="G3292" s="42"/>
      <c r="H3292" s="49" t="n">
        <f aca="true">IF(OR($A3292="",_xlfn.MINIFS($B$3:$B$5000,$A$3:$A$5000,$A3292,$B$3:$B$5000,"&gt;"&amp;$B3292)=0),NOW(),_xlfn.MINIFS($B$3:$B$5000,$A$3:$A$5000,$A3292,$B$3:$B$5000,"&gt;"&amp;$B3292))</f>
        <v>46279.5987644449</v>
      </c>
    </row>
    <row r="3293" customFormat="false" ht="15" hidden="false" customHeight="true" outlineLevel="0" collapsed="false">
      <c r="A3293" s="42"/>
      <c r="B3293" s="42"/>
      <c r="C3293" s="42"/>
      <c r="D3293" s="42"/>
      <c r="E3293" s="42"/>
      <c r="F3293" s="51" t="n">
        <f aca="false">IF(OR(C3293="",D3293="",E3293="",E3293=0),0,C3293*D3293/E3293)</f>
        <v>0</v>
      </c>
      <c r="G3293" s="42"/>
      <c r="H3293" s="49" t="n">
        <f aca="true">IF(OR($A3293="",_xlfn.MINIFS($B$3:$B$5000,$A$3:$A$5000,$A3293,$B$3:$B$5000,"&gt;"&amp;$B3293)=0),NOW(),_xlfn.MINIFS($B$3:$B$5000,$A$3:$A$5000,$A3293,$B$3:$B$5000,"&gt;"&amp;$B3293))</f>
        <v>46279.598764445</v>
      </c>
    </row>
    <row r="3294" customFormat="false" ht="15" hidden="false" customHeight="true" outlineLevel="0" collapsed="false">
      <c r="A3294" s="42"/>
      <c r="B3294" s="42"/>
      <c r="C3294" s="42"/>
      <c r="D3294" s="42"/>
      <c r="E3294" s="42"/>
      <c r="F3294" s="51" t="n">
        <f aca="false">IF(OR(C3294="",D3294="",E3294="",E3294=0),0,C3294*D3294/E3294)</f>
        <v>0</v>
      </c>
      <c r="G3294" s="42"/>
      <c r="H3294" s="49" t="n">
        <f aca="true">IF(OR($A3294="",_xlfn.MINIFS($B$3:$B$5000,$A$3:$A$5000,$A3294,$B$3:$B$5000,"&gt;"&amp;$B3294)=0),NOW(),_xlfn.MINIFS($B$3:$B$5000,$A$3:$A$5000,$A3294,$B$3:$B$5000,"&gt;"&amp;$B3294))</f>
        <v>46279.598764445</v>
      </c>
    </row>
    <row r="3295" customFormat="false" ht="15" hidden="false" customHeight="true" outlineLevel="0" collapsed="false">
      <c r="A3295" s="42"/>
      <c r="B3295" s="42"/>
      <c r="C3295" s="42"/>
      <c r="D3295" s="42"/>
      <c r="E3295" s="42"/>
      <c r="F3295" s="51" t="n">
        <f aca="false">IF(OR(C3295="",D3295="",E3295="",E3295=0),0,C3295*D3295/E3295)</f>
        <v>0</v>
      </c>
      <c r="G3295" s="42"/>
      <c r="H3295" s="49" t="n">
        <f aca="true">IF(OR($A3295="",_xlfn.MINIFS($B$3:$B$5000,$A$3:$A$5000,$A3295,$B$3:$B$5000,"&gt;"&amp;$B3295)=0),NOW(),_xlfn.MINIFS($B$3:$B$5000,$A$3:$A$5000,$A3295,$B$3:$B$5000,"&gt;"&amp;$B3295))</f>
        <v>46279.5987644451</v>
      </c>
    </row>
    <row r="3296" customFormat="false" ht="15" hidden="false" customHeight="true" outlineLevel="0" collapsed="false">
      <c r="A3296" s="42"/>
      <c r="B3296" s="42"/>
      <c r="C3296" s="42"/>
      <c r="D3296" s="42"/>
      <c r="E3296" s="42"/>
      <c r="F3296" s="51" t="n">
        <f aca="false">IF(OR(C3296="",D3296="",E3296="",E3296=0),0,C3296*D3296/E3296)</f>
        <v>0</v>
      </c>
      <c r="G3296" s="42"/>
      <c r="H3296" s="49" t="n">
        <f aca="true">IF(OR($A3296="",_xlfn.MINIFS($B$3:$B$5000,$A$3:$A$5000,$A3296,$B$3:$B$5000,"&gt;"&amp;$B3296)=0),NOW(),_xlfn.MINIFS($B$3:$B$5000,$A$3:$A$5000,$A3296,$B$3:$B$5000,"&gt;"&amp;$B3296))</f>
        <v>46279.5987644451</v>
      </c>
    </row>
    <row r="3297" customFormat="false" ht="15" hidden="false" customHeight="true" outlineLevel="0" collapsed="false">
      <c r="A3297" s="42"/>
      <c r="B3297" s="42"/>
      <c r="C3297" s="42"/>
      <c r="D3297" s="42"/>
      <c r="E3297" s="42"/>
      <c r="F3297" s="51" t="n">
        <f aca="false">IF(OR(C3297="",D3297="",E3297="",E3297=0),0,C3297*D3297/E3297)</f>
        <v>0</v>
      </c>
      <c r="G3297" s="42"/>
      <c r="H3297" s="49" t="n">
        <f aca="true">IF(OR($A3297="",_xlfn.MINIFS($B$3:$B$5000,$A$3:$A$5000,$A3297,$B$3:$B$5000,"&gt;"&amp;$B3297)=0),NOW(),_xlfn.MINIFS($B$3:$B$5000,$A$3:$A$5000,$A3297,$B$3:$B$5000,"&gt;"&amp;$B3297))</f>
        <v>46279.5987644452</v>
      </c>
    </row>
    <row r="3298" customFormat="false" ht="15" hidden="false" customHeight="true" outlineLevel="0" collapsed="false">
      <c r="A3298" s="42"/>
      <c r="B3298" s="42"/>
      <c r="C3298" s="42"/>
      <c r="D3298" s="42"/>
      <c r="E3298" s="42"/>
      <c r="F3298" s="51" t="n">
        <f aca="false">IF(OR(C3298="",D3298="",E3298="",E3298=0),0,C3298*D3298/E3298)</f>
        <v>0</v>
      </c>
      <c r="G3298" s="42"/>
      <c r="H3298" s="49" t="n">
        <f aca="true">IF(OR($A3298="",_xlfn.MINIFS($B$3:$B$5000,$A$3:$A$5000,$A3298,$B$3:$B$5000,"&gt;"&amp;$B3298)=0),NOW(),_xlfn.MINIFS($B$3:$B$5000,$A$3:$A$5000,$A3298,$B$3:$B$5000,"&gt;"&amp;$B3298))</f>
        <v>46279.5987644452</v>
      </c>
    </row>
    <row r="3299" customFormat="false" ht="15" hidden="false" customHeight="true" outlineLevel="0" collapsed="false">
      <c r="A3299" s="42"/>
      <c r="B3299" s="42"/>
      <c r="C3299" s="42"/>
      <c r="D3299" s="42"/>
      <c r="E3299" s="42"/>
      <c r="F3299" s="51" t="n">
        <f aca="false">IF(OR(C3299="",D3299="",E3299="",E3299=0),0,C3299*D3299/E3299)</f>
        <v>0</v>
      </c>
      <c r="G3299" s="42"/>
      <c r="H3299" s="49" t="n">
        <f aca="true">IF(OR($A3299="",_xlfn.MINIFS($B$3:$B$5000,$A$3:$A$5000,$A3299,$B$3:$B$5000,"&gt;"&amp;$B3299)=0),NOW(),_xlfn.MINIFS($B$3:$B$5000,$A$3:$A$5000,$A3299,$B$3:$B$5000,"&gt;"&amp;$B3299))</f>
        <v>46279.5987644453</v>
      </c>
    </row>
    <row r="3300" customFormat="false" ht="15" hidden="false" customHeight="true" outlineLevel="0" collapsed="false">
      <c r="A3300" s="42"/>
      <c r="B3300" s="42"/>
      <c r="C3300" s="42"/>
      <c r="D3300" s="42"/>
      <c r="E3300" s="42"/>
      <c r="F3300" s="51" t="n">
        <f aca="false">IF(OR(C3300="",D3300="",E3300="",E3300=0),0,C3300*D3300/E3300)</f>
        <v>0</v>
      </c>
      <c r="G3300" s="42"/>
      <c r="H3300" s="49" t="n">
        <f aca="true">IF(OR($A3300="",_xlfn.MINIFS($B$3:$B$5000,$A$3:$A$5000,$A3300,$B$3:$B$5000,"&gt;"&amp;$B3300)=0),NOW(),_xlfn.MINIFS($B$3:$B$5000,$A$3:$A$5000,$A3300,$B$3:$B$5000,"&gt;"&amp;$B3300))</f>
        <v>46279.5987644453</v>
      </c>
    </row>
    <row r="3301" customFormat="false" ht="15" hidden="false" customHeight="true" outlineLevel="0" collapsed="false">
      <c r="A3301" s="42"/>
      <c r="B3301" s="42"/>
      <c r="C3301" s="42"/>
      <c r="D3301" s="42"/>
      <c r="E3301" s="42"/>
      <c r="F3301" s="51" t="n">
        <f aca="false">IF(OR(C3301="",D3301="",E3301="",E3301=0),0,C3301*D3301/E3301)</f>
        <v>0</v>
      </c>
      <c r="G3301" s="42"/>
      <c r="H3301" s="49" t="n">
        <f aca="true">IF(OR($A3301="",_xlfn.MINIFS($B$3:$B$5000,$A$3:$A$5000,$A3301,$B$3:$B$5000,"&gt;"&amp;$B3301)=0),NOW(),_xlfn.MINIFS($B$3:$B$5000,$A$3:$A$5000,$A3301,$B$3:$B$5000,"&gt;"&amp;$B3301))</f>
        <v>46279.5987644454</v>
      </c>
    </row>
    <row r="3302" customFormat="false" ht="15" hidden="false" customHeight="true" outlineLevel="0" collapsed="false">
      <c r="A3302" s="42"/>
      <c r="B3302" s="42"/>
      <c r="C3302" s="42"/>
      <c r="D3302" s="42"/>
      <c r="E3302" s="42"/>
      <c r="F3302" s="51" t="n">
        <f aca="false">IF(OR(C3302="",D3302="",E3302="",E3302=0),0,C3302*D3302/E3302)</f>
        <v>0</v>
      </c>
      <c r="G3302" s="42"/>
      <c r="H3302" s="49" t="n">
        <f aca="true">IF(OR($A3302="",_xlfn.MINIFS($B$3:$B$5000,$A$3:$A$5000,$A3302,$B$3:$B$5000,"&gt;"&amp;$B3302)=0),NOW(),_xlfn.MINIFS($B$3:$B$5000,$A$3:$A$5000,$A3302,$B$3:$B$5000,"&gt;"&amp;$B3302))</f>
        <v>46279.5987644454</v>
      </c>
    </row>
    <row r="3303" customFormat="false" ht="15" hidden="false" customHeight="true" outlineLevel="0" collapsed="false">
      <c r="A3303" s="42"/>
      <c r="B3303" s="42"/>
      <c r="C3303" s="42"/>
      <c r="D3303" s="42"/>
      <c r="E3303" s="42"/>
      <c r="F3303" s="51" t="n">
        <f aca="false">IF(OR(C3303="",D3303="",E3303="",E3303=0),0,C3303*D3303/E3303)</f>
        <v>0</v>
      </c>
      <c r="G3303" s="42"/>
      <c r="H3303" s="49" t="n">
        <f aca="true">IF(OR($A3303="",_xlfn.MINIFS($B$3:$B$5000,$A$3:$A$5000,$A3303,$B$3:$B$5000,"&gt;"&amp;$B3303)=0),NOW(),_xlfn.MINIFS($B$3:$B$5000,$A$3:$A$5000,$A3303,$B$3:$B$5000,"&gt;"&amp;$B3303))</f>
        <v>46279.5987644455</v>
      </c>
    </row>
    <row r="3304" customFormat="false" ht="15" hidden="false" customHeight="true" outlineLevel="0" collapsed="false">
      <c r="A3304" s="42"/>
      <c r="B3304" s="42"/>
      <c r="C3304" s="42"/>
      <c r="D3304" s="42"/>
      <c r="E3304" s="42"/>
      <c r="F3304" s="51" t="n">
        <f aca="false">IF(OR(C3304="",D3304="",E3304="",E3304=0),0,C3304*D3304/E3304)</f>
        <v>0</v>
      </c>
      <c r="G3304" s="42"/>
      <c r="H3304" s="49" t="n">
        <f aca="true">IF(OR($A3304="",_xlfn.MINIFS($B$3:$B$5000,$A$3:$A$5000,$A3304,$B$3:$B$5000,"&gt;"&amp;$B3304)=0),NOW(),_xlfn.MINIFS($B$3:$B$5000,$A$3:$A$5000,$A3304,$B$3:$B$5000,"&gt;"&amp;$B3304))</f>
        <v>46279.5987644455</v>
      </c>
    </row>
    <row r="3305" customFormat="false" ht="15" hidden="false" customHeight="true" outlineLevel="0" collapsed="false">
      <c r="A3305" s="42"/>
      <c r="B3305" s="42"/>
      <c r="C3305" s="42"/>
      <c r="D3305" s="42"/>
      <c r="E3305" s="42"/>
      <c r="F3305" s="51" t="n">
        <f aca="false">IF(OR(C3305="",D3305="",E3305="",E3305=0),0,C3305*D3305/E3305)</f>
        <v>0</v>
      </c>
      <c r="G3305" s="42"/>
      <c r="H3305" s="49" t="n">
        <f aca="true">IF(OR($A3305="",_xlfn.MINIFS($B$3:$B$5000,$A$3:$A$5000,$A3305,$B$3:$B$5000,"&gt;"&amp;$B3305)=0),NOW(),_xlfn.MINIFS($B$3:$B$5000,$A$3:$A$5000,$A3305,$B$3:$B$5000,"&gt;"&amp;$B3305))</f>
        <v>46279.5987644456</v>
      </c>
    </row>
    <row r="3306" customFormat="false" ht="15" hidden="false" customHeight="true" outlineLevel="0" collapsed="false">
      <c r="A3306" s="42"/>
      <c r="B3306" s="42"/>
      <c r="C3306" s="42"/>
      <c r="D3306" s="42"/>
      <c r="E3306" s="42"/>
      <c r="F3306" s="51" t="n">
        <f aca="false">IF(OR(C3306="",D3306="",E3306="",E3306=0),0,C3306*D3306/E3306)</f>
        <v>0</v>
      </c>
      <c r="G3306" s="42"/>
      <c r="H3306" s="49" t="n">
        <f aca="true">IF(OR($A3306="",_xlfn.MINIFS($B$3:$B$5000,$A$3:$A$5000,$A3306,$B$3:$B$5000,"&gt;"&amp;$B3306)=0),NOW(),_xlfn.MINIFS($B$3:$B$5000,$A$3:$A$5000,$A3306,$B$3:$B$5000,"&gt;"&amp;$B3306))</f>
        <v>46279.5987644456</v>
      </c>
    </row>
    <row r="3307" customFormat="false" ht="15" hidden="false" customHeight="true" outlineLevel="0" collapsed="false">
      <c r="A3307" s="42"/>
      <c r="B3307" s="42"/>
      <c r="C3307" s="42"/>
      <c r="D3307" s="42"/>
      <c r="E3307" s="42"/>
      <c r="F3307" s="51" t="n">
        <f aca="false">IF(OR(C3307="",D3307="",E3307="",E3307=0),0,C3307*D3307/E3307)</f>
        <v>0</v>
      </c>
      <c r="G3307" s="42"/>
      <c r="H3307" s="49" t="n">
        <f aca="true">IF(OR($A3307="",_xlfn.MINIFS($B$3:$B$5000,$A$3:$A$5000,$A3307,$B$3:$B$5000,"&gt;"&amp;$B3307)=0),NOW(),_xlfn.MINIFS($B$3:$B$5000,$A$3:$A$5000,$A3307,$B$3:$B$5000,"&gt;"&amp;$B3307))</f>
        <v>46279.5987644457</v>
      </c>
    </row>
    <row r="3308" customFormat="false" ht="15" hidden="false" customHeight="true" outlineLevel="0" collapsed="false">
      <c r="A3308" s="42"/>
      <c r="B3308" s="42"/>
      <c r="C3308" s="42"/>
      <c r="D3308" s="42"/>
      <c r="E3308" s="42"/>
      <c r="F3308" s="51" t="n">
        <f aca="false">IF(OR(C3308="",D3308="",E3308="",E3308=0),0,C3308*D3308/E3308)</f>
        <v>0</v>
      </c>
      <c r="G3308" s="42"/>
      <c r="H3308" s="49" t="n">
        <f aca="true">IF(OR($A3308="",_xlfn.MINIFS($B$3:$B$5000,$A$3:$A$5000,$A3308,$B$3:$B$5000,"&gt;"&amp;$B3308)=0),NOW(),_xlfn.MINIFS($B$3:$B$5000,$A$3:$A$5000,$A3308,$B$3:$B$5000,"&gt;"&amp;$B3308))</f>
        <v>46279.5987644457</v>
      </c>
    </row>
    <row r="3309" customFormat="false" ht="15" hidden="false" customHeight="true" outlineLevel="0" collapsed="false">
      <c r="A3309" s="42"/>
      <c r="B3309" s="42"/>
      <c r="C3309" s="42"/>
      <c r="D3309" s="42"/>
      <c r="E3309" s="42"/>
      <c r="F3309" s="51" t="n">
        <f aca="false">IF(OR(C3309="",D3309="",E3309="",E3309=0),0,C3309*D3309/E3309)</f>
        <v>0</v>
      </c>
      <c r="G3309" s="42"/>
      <c r="H3309" s="49" t="n">
        <f aca="true">IF(OR($A3309="",_xlfn.MINIFS($B$3:$B$5000,$A$3:$A$5000,$A3309,$B$3:$B$5000,"&gt;"&amp;$B3309)=0),NOW(),_xlfn.MINIFS($B$3:$B$5000,$A$3:$A$5000,$A3309,$B$3:$B$5000,"&gt;"&amp;$B3309))</f>
        <v>46279.5987644458</v>
      </c>
    </row>
    <row r="3310" customFormat="false" ht="15" hidden="false" customHeight="true" outlineLevel="0" collapsed="false">
      <c r="A3310" s="42"/>
      <c r="B3310" s="42"/>
      <c r="C3310" s="42"/>
      <c r="D3310" s="42"/>
      <c r="E3310" s="42"/>
      <c r="F3310" s="51" t="n">
        <f aca="false">IF(OR(C3310="",D3310="",E3310="",E3310=0),0,C3310*D3310/E3310)</f>
        <v>0</v>
      </c>
      <c r="G3310" s="42"/>
      <c r="H3310" s="49" t="n">
        <f aca="true">IF(OR($A3310="",_xlfn.MINIFS($B$3:$B$5000,$A$3:$A$5000,$A3310,$B$3:$B$5000,"&gt;"&amp;$B3310)=0),NOW(),_xlfn.MINIFS($B$3:$B$5000,$A$3:$A$5000,$A3310,$B$3:$B$5000,"&gt;"&amp;$B3310))</f>
        <v>46279.5987644458</v>
      </c>
    </row>
    <row r="3311" customFormat="false" ht="15" hidden="false" customHeight="true" outlineLevel="0" collapsed="false">
      <c r="A3311" s="42"/>
      <c r="B3311" s="42"/>
      <c r="C3311" s="42"/>
      <c r="D3311" s="42"/>
      <c r="E3311" s="42"/>
      <c r="F3311" s="51" t="n">
        <f aca="false">IF(OR(C3311="",D3311="",E3311="",E3311=0),0,C3311*D3311/E3311)</f>
        <v>0</v>
      </c>
      <c r="G3311" s="42"/>
      <c r="H3311" s="49" t="n">
        <f aca="true">IF(OR($A3311="",_xlfn.MINIFS($B$3:$B$5000,$A$3:$A$5000,$A3311,$B$3:$B$5000,"&gt;"&amp;$B3311)=0),NOW(),_xlfn.MINIFS($B$3:$B$5000,$A$3:$A$5000,$A3311,$B$3:$B$5000,"&gt;"&amp;$B3311))</f>
        <v>46279.5987644459</v>
      </c>
    </row>
    <row r="3312" customFormat="false" ht="15" hidden="false" customHeight="true" outlineLevel="0" collapsed="false">
      <c r="A3312" s="42"/>
      <c r="B3312" s="42"/>
      <c r="C3312" s="42"/>
      <c r="D3312" s="42"/>
      <c r="E3312" s="42"/>
      <c r="F3312" s="51" t="n">
        <f aca="false">IF(OR(C3312="",D3312="",E3312="",E3312=0),0,C3312*D3312/E3312)</f>
        <v>0</v>
      </c>
      <c r="G3312" s="42"/>
      <c r="H3312" s="49" t="n">
        <f aca="true">IF(OR($A3312="",_xlfn.MINIFS($B$3:$B$5000,$A$3:$A$5000,$A3312,$B$3:$B$5000,"&gt;"&amp;$B3312)=0),NOW(),_xlfn.MINIFS($B$3:$B$5000,$A$3:$A$5000,$A3312,$B$3:$B$5000,"&gt;"&amp;$B3312))</f>
        <v>46279.5987644459</v>
      </c>
    </row>
    <row r="3313" customFormat="false" ht="15" hidden="false" customHeight="true" outlineLevel="0" collapsed="false">
      <c r="A3313" s="42"/>
      <c r="B3313" s="42"/>
      <c r="C3313" s="42"/>
      <c r="D3313" s="42"/>
      <c r="E3313" s="42"/>
      <c r="F3313" s="51" t="n">
        <f aca="false">IF(OR(C3313="",D3313="",E3313="",E3313=0),0,C3313*D3313/E3313)</f>
        <v>0</v>
      </c>
      <c r="G3313" s="42"/>
      <c r="H3313" s="49" t="n">
        <f aca="true">IF(OR($A3313="",_xlfn.MINIFS($B$3:$B$5000,$A$3:$A$5000,$A3313,$B$3:$B$5000,"&gt;"&amp;$B3313)=0),NOW(),_xlfn.MINIFS($B$3:$B$5000,$A$3:$A$5000,$A3313,$B$3:$B$5000,"&gt;"&amp;$B3313))</f>
        <v>46279.598764446</v>
      </c>
    </row>
    <row r="3314" customFormat="false" ht="15" hidden="false" customHeight="true" outlineLevel="0" collapsed="false">
      <c r="A3314" s="42"/>
      <c r="B3314" s="42"/>
      <c r="C3314" s="42"/>
      <c r="D3314" s="42"/>
      <c r="E3314" s="42"/>
      <c r="F3314" s="51" t="n">
        <f aca="false">IF(OR(C3314="",D3314="",E3314="",E3314=0),0,C3314*D3314/E3314)</f>
        <v>0</v>
      </c>
      <c r="G3314" s="42"/>
      <c r="H3314" s="49" t="n">
        <f aca="true">IF(OR($A3314="",_xlfn.MINIFS($B$3:$B$5000,$A$3:$A$5000,$A3314,$B$3:$B$5000,"&gt;"&amp;$B3314)=0),NOW(),_xlfn.MINIFS($B$3:$B$5000,$A$3:$A$5000,$A3314,$B$3:$B$5000,"&gt;"&amp;$B3314))</f>
        <v>46279.5987644461</v>
      </c>
    </row>
    <row r="3315" customFormat="false" ht="15" hidden="false" customHeight="true" outlineLevel="0" collapsed="false">
      <c r="A3315" s="42"/>
      <c r="B3315" s="42"/>
      <c r="C3315" s="42"/>
      <c r="D3315" s="42"/>
      <c r="E3315" s="42"/>
      <c r="F3315" s="51" t="n">
        <f aca="false">IF(OR(C3315="",D3315="",E3315="",E3315=0),0,C3315*D3315/E3315)</f>
        <v>0</v>
      </c>
      <c r="G3315" s="42"/>
      <c r="H3315" s="49" t="n">
        <f aca="true">IF(OR($A3315="",_xlfn.MINIFS($B$3:$B$5000,$A$3:$A$5000,$A3315,$B$3:$B$5000,"&gt;"&amp;$B3315)=0),NOW(),_xlfn.MINIFS($B$3:$B$5000,$A$3:$A$5000,$A3315,$B$3:$B$5000,"&gt;"&amp;$B3315))</f>
        <v>46279.5987644461</v>
      </c>
    </row>
    <row r="3316" customFormat="false" ht="15" hidden="false" customHeight="true" outlineLevel="0" collapsed="false">
      <c r="A3316" s="42"/>
      <c r="B3316" s="42"/>
      <c r="C3316" s="42"/>
      <c r="D3316" s="42"/>
      <c r="E3316" s="42"/>
      <c r="F3316" s="51" t="n">
        <f aca="false">IF(OR(C3316="",D3316="",E3316="",E3316=0),0,C3316*D3316/E3316)</f>
        <v>0</v>
      </c>
      <c r="G3316" s="42"/>
      <c r="H3316" s="49" t="n">
        <f aca="true">IF(OR($A3316="",_xlfn.MINIFS($B$3:$B$5000,$A$3:$A$5000,$A3316,$B$3:$B$5000,"&gt;"&amp;$B3316)=0),NOW(),_xlfn.MINIFS($B$3:$B$5000,$A$3:$A$5000,$A3316,$B$3:$B$5000,"&gt;"&amp;$B3316))</f>
        <v>46279.5987644461</v>
      </c>
    </row>
    <row r="3317" customFormat="false" ht="15" hidden="false" customHeight="true" outlineLevel="0" collapsed="false">
      <c r="A3317" s="42"/>
      <c r="B3317" s="42"/>
      <c r="C3317" s="42"/>
      <c r="D3317" s="42"/>
      <c r="E3317" s="42"/>
      <c r="F3317" s="51" t="n">
        <f aca="false">IF(OR(C3317="",D3317="",E3317="",E3317=0),0,C3317*D3317/E3317)</f>
        <v>0</v>
      </c>
      <c r="G3317" s="42"/>
      <c r="H3317" s="49" t="n">
        <f aca="true">IF(OR($A3317="",_xlfn.MINIFS($B$3:$B$5000,$A$3:$A$5000,$A3317,$B$3:$B$5000,"&gt;"&amp;$B3317)=0),NOW(),_xlfn.MINIFS($B$3:$B$5000,$A$3:$A$5000,$A3317,$B$3:$B$5000,"&gt;"&amp;$B3317))</f>
        <v>46279.5987644462</v>
      </c>
    </row>
    <row r="3318" customFormat="false" ht="15" hidden="false" customHeight="true" outlineLevel="0" collapsed="false">
      <c r="A3318" s="42"/>
      <c r="B3318" s="42"/>
      <c r="C3318" s="42"/>
      <c r="D3318" s="42"/>
      <c r="E3318" s="42"/>
      <c r="F3318" s="51" t="n">
        <f aca="false">IF(OR(C3318="",D3318="",E3318="",E3318=0),0,C3318*D3318/E3318)</f>
        <v>0</v>
      </c>
      <c r="G3318" s="42"/>
      <c r="H3318" s="49" t="n">
        <f aca="true">IF(OR($A3318="",_xlfn.MINIFS($B$3:$B$5000,$A$3:$A$5000,$A3318,$B$3:$B$5000,"&gt;"&amp;$B3318)=0),NOW(),_xlfn.MINIFS($B$3:$B$5000,$A$3:$A$5000,$A3318,$B$3:$B$5000,"&gt;"&amp;$B3318))</f>
        <v>46279.5987644462</v>
      </c>
    </row>
    <row r="3319" customFormat="false" ht="15" hidden="false" customHeight="true" outlineLevel="0" collapsed="false">
      <c r="A3319" s="42"/>
      <c r="B3319" s="42"/>
      <c r="C3319" s="42"/>
      <c r="D3319" s="42"/>
      <c r="E3319" s="42"/>
      <c r="F3319" s="51" t="n">
        <f aca="false">IF(OR(C3319="",D3319="",E3319="",E3319=0),0,C3319*D3319/E3319)</f>
        <v>0</v>
      </c>
      <c r="G3319" s="42"/>
      <c r="H3319" s="49" t="n">
        <f aca="true">IF(OR($A3319="",_xlfn.MINIFS($B$3:$B$5000,$A$3:$A$5000,$A3319,$B$3:$B$5000,"&gt;"&amp;$B3319)=0),NOW(),_xlfn.MINIFS($B$3:$B$5000,$A$3:$A$5000,$A3319,$B$3:$B$5000,"&gt;"&amp;$B3319))</f>
        <v>46279.5987644463</v>
      </c>
    </row>
    <row r="3320" customFormat="false" ht="15" hidden="false" customHeight="true" outlineLevel="0" collapsed="false">
      <c r="A3320" s="42"/>
      <c r="B3320" s="42"/>
      <c r="C3320" s="42"/>
      <c r="D3320" s="42"/>
      <c r="E3320" s="42"/>
      <c r="F3320" s="51" t="n">
        <f aca="false">IF(OR(C3320="",D3320="",E3320="",E3320=0),0,C3320*D3320/E3320)</f>
        <v>0</v>
      </c>
      <c r="G3320" s="42"/>
      <c r="H3320" s="49" t="n">
        <f aca="true">IF(OR($A3320="",_xlfn.MINIFS($B$3:$B$5000,$A$3:$A$5000,$A3320,$B$3:$B$5000,"&gt;"&amp;$B3320)=0),NOW(),_xlfn.MINIFS($B$3:$B$5000,$A$3:$A$5000,$A3320,$B$3:$B$5000,"&gt;"&amp;$B3320))</f>
        <v>46279.5987644463</v>
      </c>
    </row>
    <row r="3321" customFormat="false" ht="15" hidden="false" customHeight="true" outlineLevel="0" collapsed="false">
      <c r="A3321" s="42"/>
      <c r="B3321" s="42"/>
      <c r="C3321" s="42"/>
      <c r="D3321" s="42"/>
      <c r="E3321" s="42"/>
      <c r="F3321" s="51" t="n">
        <f aca="false">IF(OR(C3321="",D3321="",E3321="",E3321=0),0,C3321*D3321/E3321)</f>
        <v>0</v>
      </c>
      <c r="G3321" s="42"/>
      <c r="H3321" s="49" t="n">
        <f aca="true">IF(OR($A3321="",_xlfn.MINIFS($B$3:$B$5000,$A$3:$A$5000,$A3321,$B$3:$B$5000,"&gt;"&amp;$B3321)=0),NOW(),_xlfn.MINIFS($B$3:$B$5000,$A$3:$A$5000,$A3321,$B$3:$B$5000,"&gt;"&amp;$B3321))</f>
        <v>46279.5987644464</v>
      </c>
    </row>
    <row r="3322" customFormat="false" ht="15" hidden="false" customHeight="true" outlineLevel="0" collapsed="false">
      <c r="A3322" s="42"/>
      <c r="B3322" s="42"/>
      <c r="C3322" s="42"/>
      <c r="D3322" s="42"/>
      <c r="E3322" s="42"/>
      <c r="F3322" s="51" t="n">
        <f aca="false">IF(OR(C3322="",D3322="",E3322="",E3322=0),0,C3322*D3322/E3322)</f>
        <v>0</v>
      </c>
      <c r="G3322" s="42"/>
      <c r="H3322" s="49" t="n">
        <f aca="true">IF(OR($A3322="",_xlfn.MINIFS($B$3:$B$5000,$A$3:$A$5000,$A3322,$B$3:$B$5000,"&gt;"&amp;$B3322)=0),NOW(),_xlfn.MINIFS($B$3:$B$5000,$A$3:$A$5000,$A3322,$B$3:$B$5000,"&gt;"&amp;$B3322))</f>
        <v>46279.5987644465</v>
      </c>
    </row>
    <row r="3323" customFormat="false" ht="15" hidden="false" customHeight="true" outlineLevel="0" collapsed="false">
      <c r="A3323" s="42"/>
      <c r="B3323" s="42"/>
      <c r="C3323" s="42"/>
      <c r="D3323" s="42"/>
      <c r="E3323" s="42"/>
      <c r="F3323" s="51" t="n">
        <f aca="false">IF(OR(C3323="",D3323="",E3323="",E3323=0),0,C3323*D3323/E3323)</f>
        <v>0</v>
      </c>
      <c r="G3323" s="42"/>
      <c r="H3323" s="49" t="n">
        <f aca="true">IF(OR($A3323="",_xlfn.MINIFS($B$3:$B$5000,$A$3:$A$5000,$A3323,$B$3:$B$5000,"&gt;"&amp;$B3323)=0),NOW(),_xlfn.MINIFS($B$3:$B$5000,$A$3:$A$5000,$A3323,$B$3:$B$5000,"&gt;"&amp;$B3323))</f>
        <v>46279.5987644465</v>
      </c>
    </row>
    <row r="3324" customFormat="false" ht="15" hidden="false" customHeight="true" outlineLevel="0" collapsed="false">
      <c r="A3324" s="42"/>
      <c r="B3324" s="42"/>
      <c r="C3324" s="42"/>
      <c r="D3324" s="42"/>
      <c r="E3324" s="42"/>
      <c r="F3324" s="51" t="n">
        <f aca="false">IF(OR(C3324="",D3324="",E3324="",E3324=0),0,C3324*D3324/E3324)</f>
        <v>0</v>
      </c>
      <c r="G3324" s="42"/>
      <c r="H3324" s="49" t="n">
        <f aca="true">IF(OR($A3324="",_xlfn.MINIFS($B$3:$B$5000,$A$3:$A$5000,$A3324,$B$3:$B$5000,"&gt;"&amp;$B3324)=0),NOW(),_xlfn.MINIFS($B$3:$B$5000,$A$3:$A$5000,$A3324,$B$3:$B$5000,"&gt;"&amp;$B3324))</f>
        <v>46279.5987644466</v>
      </c>
    </row>
    <row r="3325" customFormat="false" ht="15" hidden="false" customHeight="true" outlineLevel="0" collapsed="false">
      <c r="A3325" s="42"/>
      <c r="B3325" s="42"/>
      <c r="C3325" s="42"/>
      <c r="D3325" s="42"/>
      <c r="E3325" s="42"/>
      <c r="F3325" s="51" t="n">
        <f aca="false">IF(OR(C3325="",D3325="",E3325="",E3325=0),0,C3325*D3325/E3325)</f>
        <v>0</v>
      </c>
      <c r="G3325" s="42"/>
      <c r="H3325" s="49" t="n">
        <f aca="true">IF(OR($A3325="",_xlfn.MINIFS($B$3:$B$5000,$A$3:$A$5000,$A3325,$B$3:$B$5000,"&gt;"&amp;$B3325)=0),NOW(),_xlfn.MINIFS($B$3:$B$5000,$A$3:$A$5000,$A3325,$B$3:$B$5000,"&gt;"&amp;$B3325))</f>
        <v>46279.5987644467</v>
      </c>
    </row>
    <row r="3326" customFormat="false" ht="15" hidden="false" customHeight="true" outlineLevel="0" collapsed="false">
      <c r="A3326" s="42"/>
      <c r="B3326" s="42"/>
      <c r="C3326" s="42"/>
      <c r="D3326" s="42"/>
      <c r="E3326" s="42"/>
      <c r="F3326" s="51" t="n">
        <f aca="false">IF(OR(C3326="",D3326="",E3326="",E3326=0),0,C3326*D3326/E3326)</f>
        <v>0</v>
      </c>
      <c r="G3326" s="42"/>
      <c r="H3326" s="49" t="n">
        <f aca="true">IF(OR($A3326="",_xlfn.MINIFS($B$3:$B$5000,$A$3:$A$5000,$A3326,$B$3:$B$5000,"&gt;"&amp;$B3326)=0),NOW(),_xlfn.MINIFS($B$3:$B$5000,$A$3:$A$5000,$A3326,$B$3:$B$5000,"&gt;"&amp;$B3326))</f>
        <v>46279.5987644467</v>
      </c>
    </row>
    <row r="3327" customFormat="false" ht="15" hidden="false" customHeight="true" outlineLevel="0" collapsed="false">
      <c r="A3327" s="42"/>
      <c r="B3327" s="42"/>
      <c r="C3327" s="42"/>
      <c r="D3327" s="42"/>
      <c r="E3327" s="42"/>
      <c r="F3327" s="51" t="n">
        <f aca="false">IF(OR(C3327="",D3327="",E3327="",E3327=0),0,C3327*D3327/E3327)</f>
        <v>0</v>
      </c>
      <c r="G3327" s="42"/>
      <c r="H3327" s="49" t="n">
        <f aca="true">IF(OR($A3327="",_xlfn.MINIFS($B$3:$B$5000,$A$3:$A$5000,$A3327,$B$3:$B$5000,"&gt;"&amp;$B3327)=0),NOW(),_xlfn.MINIFS($B$3:$B$5000,$A$3:$A$5000,$A3327,$B$3:$B$5000,"&gt;"&amp;$B3327))</f>
        <v>46279.5987644468</v>
      </c>
    </row>
    <row r="3328" customFormat="false" ht="15" hidden="false" customHeight="true" outlineLevel="0" collapsed="false">
      <c r="A3328" s="42"/>
      <c r="B3328" s="42"/>
      <c r="C3328" s="42"/>
      <c r="D3328" s="42"/>
      <c r="E3328" s="42"/>
      <c r="F3328" s="51" t="n">
        <f aca="false">IF(OR(C3328="",D3328="",E3328="",E3328=0),0,C3328*D3328/E3328)</f>
        <v>0</v>
      </c>
      <c r="G3328" s="42"/>
      <c r="H3328" s="49" t="n">
        <f aca="true">IF(OR($A3328="",_xlfn.MINIFS($B$3:$B$5000,$A$3:$A$5000,$A3328,$B$3:$B$5000,"&gt;"&amp;$B3328)=0),NOW(),_xlfn.MINIFS($B$3:$B$5000,$A$3:$A$5000,$A3328,$B$3:$B$5000,"&gt;"&amp;$B3328))</f>
        <v>46279.5987644468</v>
      </c>
    </row>
    <row r="3329" customFormat="false" ht="15" hidden="false" customHeight="true" outlineLevel="0" collapsed="false">
      <c r="A3329" s="42"/>
      <c r="B3329" s="42"/>
      <c r="C3329" s="42"/>
      <c r="D3329" s="42"/>
      <c r="E3329" s="42"/>
      <c r="F3329" s="51" t="n">
        <f aca="false">IF(OR(C3329="",D3329="",E3329="",E3329=0),0,C3329*D3329/E3329)</f>
        <v>0</v>
      </c>
      <c r="G3329" s="42"/>
      <c r="H3329" s="49" t="n">
        <f aca="true">IF(OR($A3329="",_xlfn.MINIFS($B$3:$B$5000,$A$3:$A$5000,$A3329,$B$3:$B$5000,"&gt;"&amp;$B3329)=0),NOW(),_xlfn.MINIFS($B$3:$B$5000,$A$3:$A$5000,$A3329,$B$3:$B$5000,"&gt;"&amp;$B3329))</f>
        <v>46279.5987644469</v>
      </c>
    </row>
    <row r="3330" customFormat="false" ht="15" hidden="false" customHeight="true" outlineLevel="0" collapsed="false">
      <c r="A3330" s="42"/>
      <c r="B3330" s="42"/>
      <c r="C3330" s="42"/>
      <c r="D3330" s="42"/>
      <c r="E3330" s="42"/>
      <c r="F3330" s="51" t="n">
        <f aca="false">IF(OR(C3330="",D3330="",E3330="",E3330=0),0,C3330*D3330/E3330)</f>
        <v>0</v>
      </c>
      <c r="G3330" s="42"/>
      <c r="H3330" s="49" t="n">
        <f aca="true">IF(OR($A3330="",_xlfn.MINIFS($B$3:$B$5000,$A$3:$A$5000,$A3330,$B$3:$B$5000,"&gt;"&amp;$B3330)=0),NOW(),_xlfn.MINIFS($B$3:$B$5000,$A$3:$A$5000,$A3330,$B$3:$B$5000,"&gt;"&amp;$B3330))</f>
        <v>46279.5987644469</v>
      </c>
    </row>
    <row r="3331" customFormat="false" ht="15" hidden="false" customHeight="true" outlineLevel="0" collapsed="false">
      <c r="A3331" s="42"/>
      <c r="B3331" s="42"/>
      <c r="C3331" s="42"/>
      <c r="D3331" s="42"/>
      <c r="E3331" s="42"/>
      <c r="F3331" s="51" t="n">
        <f aca="false">IF(OR(C3331="",D3331="",E3331="",E3331=0),0,C3331*D3331/E3331)</f>
        <v>0</v>
      </c>
      <c r="G3331" s="42"/>
      <c r="H3331" s="49" t="n">
        <f aca="true">IF(OR($A3331="",_xlfn.MINIFS($B$3:$B$5000,$A$3:$A$5000,$A3331,$B$3:$B$5000,"&gt;"&amp;$B3331)=0),NOW(),_xlfn.MINIFS($B$3:$B$5000,$A$3:$A$5000,$A3331,$B$3:$B$5000,"&gt;"&amp;$B3331))</f>
        <v>46279.598764447</v>
      </c>
    </row>
    <row r="3332" customFormat="false" ht="15" hidden="false" customHeight="true" outlineLevel="0" collapsed="false">
      <c r="A3332" s="42"/>
      <c r="B3332" s="42"/>
      <c r="C3332" s="42"/>
      <c r="D3332" s="42"/>
      <c r="E3332" s="42"/>
      <c r="F3332" s="51" t="n">
        <f aca="false">IF(OR(C3332="",D3332="",E3332="",E3332=0),0,C3332*D3332/E3332)</f>
        <v>0</v>
      </c>
      <c r="G3332" s="42"/>
      <c r="H3332" s="49" t="n">
        <f aca="true">IF(OR($A3332="",_xlfn.MINIFS($B$3:$B$5000,$A$3:$A$5000,$A3332,$B$3:$B$5000,"&gt;"&amp;$B3332)=0),NOW(),_xlfn.MINIFS($B$3:$B$5000,$A$3:$A$5000,$A3332,$B$3:$B$5000,"&gt;"&amp;$B3332))</f>
        <v>46279.598764447</v>
      </c>
    </row>
    <row r="3333" customFormat="false" ht="15" hidden="false" customHeight="true" outlineLevel="0" collapsed="false">
      <c r="A3333" s="42"/>
      <c r="B3333" s="42"/>
      <c r="C3333" s="42"/>
      <c r="D3333" s="42"/>
      <c r="E3333" s="42"/>
      <c r="F3333" s="51" t="n">
        <f aca="false">IF(OR(C3333="",D3333="",E3333="",E3333=0),0,C3333*D3333/E3333)</f>
        <v>0</v>
      </c>
      <c r="G3333" s="42"/>
      <c r="H3333" s="49" t="n">
        <f aca="true">IF(OR($A3333="",_xlfn.MINIFS($B$3:$B$5000,$A$3:$A$5000,$A3333,$B$3:$B$5000,"&gt;"&amp;$B3333)=0),NOW(),_xlfn.MINIFS($B$3:$B$5000,$A$3:$A$5000,$A3333,$B$3:$B$5000,"&gt;"&amp;$B3333))</f>
        <v>46279.5987644471</v>
      </c>
    </row>
    <row r="3334" customFormat="false" ht="15" hidden="false" customHeight="true" outlineLevel="0" collapsed="false">
      <c r="A3334" s="42"/>
      <c r="B3334" s="42"/>
      <c r="C3334" s="42"/>
      <c r="D3334" s="42"/>
      <c r="E3334" s="42"/>
      <c r="F3334" s="51" t="n">
        <f aca="false">IF(OR(C3334="",D3334="",E3334="",E3334=0),0,C3334*D3334/E3334)</f>
        <v>0</v>
      </c>
      <c r="G3334" s="42"/>
      <c r="H3334" s="49" t="n">
        <f aca="true">IF(OR($A3334="",_xlfn.MINIFS($B$3:$B$5000,$A$3:$A$5000,$A3334,$B$3:$B$5000,"&gt;"&amp;$B3334)=0),NOW(),_xlfn.MINIFS($B$3:$B$5000,$A$3:$A$5000,$A3334,$B$3:$B$5000,"&gt;"&amp;$B3334))</f>
        <v>46279.5987644471</v>
      </c>
    </row>
    <row r="3335" customFormat="false" ht="15" hidden="false" customHeight="true" outlineLevel="0" collapsed="false">
      <c r="A3335" s="42"/>
      <c r="B3335" s="42"/>
      <c r="C3335" s="42"/>
      <c r="D3335" s="42"/>
      <c r="E3335" s="42"/>
      <c r="F3335" s="51" t="n">
        <f aca="false">IF(OR(C3335="",D3335="",E3335="",E3335=0),0,C3335*D3335/E3335)</f>
        <v>0</v>
      </c>
      <c r="G3335" s="42"/>
      <c r="H3335" s="49" t="n">
        <f aca="true">IF(OR($A3335="",_xlfn.MINIFS($B$3:$B$5000,$A$3:$A$5000,$A3335,$B$3:$B$5000,"&gt;"&amp;$B3335)=0),NOW(),_xlfn.MINIFS($B$3:$B$5000,$A$3:$A$5000,$A3335,$B$3:$B$5000,"&gt;"&amp;$B3335))</f>
        <v>46279.5987644472</v>
      </c>
    </row>
    <row r="3336" customFormat="false" ht="15" hidden="false" customHeight="true" outlineLevel="0" collapsed="false">
      <c r="A3336" s="42"/>
      <c r="B3336" s="42"/>
      <c r="C3336" s="42"/>
      <c r="D3336" s="42"/>
      <c r="E3336" s="42"/>
      <c r="F3336" s="51" t="n">
        <f aca="false">IF(OR(C3336="",D3336="",E3336="",E3336=0),0,C3336*D3336/E3336)</f>
        <v>0</v>
      </c>
      <c r="G3336" s="42"/>
      <c r="H3336" s="49" t="n">
        <f aca="true">IF(OR($A3336="",_xlfn.MINIFS($B$3:$B$5000,$A$3:$A$5000,$A3336,$B$3:$B$5000,"&gt;"&amp;$B3336)=0),NOW(),_xlfn.MINIFS($B$3:$B$5000,$A$3:$A$5000,$A3336,$B$3:$B$5000,"&gt;"&amp;$B3336))</f>
        <v>46279.5987644472</v>
      </c>
    </row>
    <row r="3337" customFormat="false" ht="15" hidden="false" customHeight="true" outlineLevel="0" collapsed="false">
      <c r="A3337" s="42"/>
      <c r="B3337" s="42"/>
      <c r="C3337" s="42"/>
      <c r="D3337" s="42"/>
      <c r="E3337" s="42"/>
      <c r="F3337" s="51" t="n">
        <f aca="false">IF(OR(C3337="",D3337="",E3337="",E3337=0),0,C3337*D3337/E3337)</f>
        <v>0</v>
      </c>
      <c r="G3337" s="42"/>
      <c r="H3337" s="49" t="n">
        <f aca="true">IF(OR($A3337="",_xlfn.MINIFS($B$3:$B$5000,$A$3:$A$5000,$A3337,$B$3:$B$5000,"&gt;"&amp;$B3337)=0),NOW(),_xlfn.MINIFS($B$3:$B$5000,$A$3:$A$5000,$A3337,$B$3:$B$5000,"&gt;"&amp;$B3337))</f>
        <v>46279.5987644473</v>
      </c>
    </row>
    <row r="3338" customFormat="false" ht="15" hidden="false" customHeight="true" outlineLevel="0" collapsed="false">
      <c r="A3338" s="42"/>
      <c r="B3338" s="42"/>
      <c r="C3338" s="42"/>
      <c r="D3338" s="42"/>
      <c r="E3338" s="42"/>
      <c r="F3338" s="51" t="n">
        <f aca="false">IF(OR(C3338="",D3338="",E3338="",E3338=0),0,C3338*D3338/E3338)</f>
        <v>0</v>
      </c>
      <c r="G3338" s="42"/>
      <c r="H3338" s="49" t="n">
        <f aca="true">IF(OR($A3338="",_xlfn.MINIFS($B$3:$B$5000,$A$3:$A$5000,$A3338,$B$3:$B$5000,"&gt;"&amp;$B3338)=0),NOW(),_xlfn.MINIFS($B$3:$B$5000,$A$3:$A$5000,$A3338,$B$3:$B$5000,"&gt;"&amp;$B3338))</f>
        <v>46279.5987644473</v>
      </c>
    </row>
    <row r="3339" customFormat="false" ht="15" hidden="false" customHeight="true" outlineLevel="0" collapsed="false">
      <c r="A3339" s="42"/>
      <c r="B3339" s="42"/>
      <c r="C3339" s="42"/>
      <c r="D3339" s="42"/>
      <c r="E3339" s="42"/>
      <c r="F3339" s="51" t="n">
        <f aca="false">IF(OR(C3339="",D3339="",E3339="",E3339=0),0,C3339*D3339/E3339)</f>
        <v>0</v>
      </c>
      <c r="G3339" s="42"/>
      <c r="H3339" s="49" t="n">
        <f aca="true">IF(OR($A3339="",_xlfn.MINIFS($B$3:$B$5000,$A$3:$A$5000,$A3339,$B$3:$B$5000,"&gt;"&amp;$B3339)=0),NOW(),_xlfn.MINIFS($B$3:$B$5000,$A$3:$A$5000,$A3339,$B$3:$B$5000,"&gt;"&amp;$B3339))</f>
        <v>46279.5987644474</v>
      </c>
    </row>
    <row r="3340" customFormat="false" ht="15" hidden="false" customHeight="true" outlineLevel="0" collapsed="false">
      <c r="A3340" s="42"/>
      <c r="B3340" s="42"/>
      <c r="C3340" s="42"/>
      <c r="D3340" s="42"/>
      <c r="E3340" s="42"/>
      <c r="F3340" s="51" t="n">
        <f aca="false">IF(OR(C3340="",D3340="",E3340="",E3340=0),0,C3340*D3340/E3340)</f>
        <v>0</v>
      </c>
      <c r="G3340" s="42"/>
      <c r="H3340" s="49" t="n">
        <f aca="true">IF(OR($A3340="",_xlfn.MINIFS($B$3:$B$5000,$A$3:$A$5000,$A3340,$B$3:$B$5000,"&gt;"&amp;$B3340)=0),NOW(),_xlfn.MINIFS($B$3:$B$5000,$A$3:$A$5000,$A3340,$B$3:$B$5000,"&gt;"&amp;$B3340))</f>
        <v>46279.5987644474</v>
      </c>
    </row>
    <row r="3341" customFormat="false" ht="15" hidden="false" customHeight="true" outlineLevel="0" collapsed="false">
      <c r="A3341" s="42"/>
      <c r="B3341" s="42"/>
      <c r="C3341" s="42"/>
      <c r="D3341" s="42"/>
      <c r="E3341" s="42"/>
      <c r="F3341" s="51" t="n">
        <f aca="false">IF(OR(C3341="",D3341="",E3341="",E3341=0),0,C3341*D3341/E3341)</f>
        <v>0</v>
      </c>
      <c r="G3341" s="42"/>
      <c r="H3341" s="49" t="n">
        <f aca="true">IF(OR($A3341="",_xlfn.MINIFS($B$3:$B$5000,$A$3:$A$5000,$A3341,$B$3:$B$5000,"&gt;"&amp;$B3341)=0),NOW(),_xlfn.MINIFS($B$3:$B$5000,$A$3:$A$5000,$A3341,$B$3:$B$5000,"&gt;"&amp;$B3341))</f>
        <v>46279.5987644475</v>
      </c>
    </row>
    <row r="3342" customFormat="false" ht="15" hidden="false" customHeight="true" outlineLevel="0" collapsed="false">
      <c r="A3342" s="42"/>
      <c r="B3342" s="42"/>
      <c r="C3342" s="42"/>
      <c r="D3342" s="42"/>
      <c r="E3342" s="42"/>
      <c r="F3342" s="51" t="n">
        <f aca="false">IF(OR(C3342="",D3342="",E3342="",E3342=0),0,C3342*D3342/E3342)</f>
        <v>0</v>
      </c>
      <c r="G3342" s="42"/>
      <c r="H3342" s="49" t="n">
        <f aca="true">IF(OR($A3342="",_xlfn.MINIFS($B$3:$B$5000,$A$3:$A$5000,$A3342,$B$3:$B$5000,"&gt;"&amp;$B3342)=0),NOW(),_xlfn.MINIFS($B$3:$B$5000,$A$3:$A$5000,$A3342,$B$3:$B$5000,"&gt;"&amp;$B3342))</f>
        <v>46279.5987644475</v>
      </c>
    </row>
    <row r="3343" customFormat="false" ht="15" hidden="false" customHeight="true" outlineLevel="0" collapsed="false">
      <c r="A3343" s="42"/>
      <c r="B3343" s="42"/>
      <c r="C3343" s="42"/>
      <c r="D3343" s="42"/>
      <c r="E3343" s="42"/>
      <c r="F3343" s="51" t="n">
        <f aca="false">IF(OR(C3343="",D3343="",E3343="",E3343=0),0,C3343*D3343/E3343)</f>
        <v>0</v>
      </c>
      <c r="G3343" s="42"/>
      <c r="H3343" s="49" t="n">
        <f aca="true">IF(OR($A3343="",_xlfn.MINIFS($B$3:$B$5000,$A$3:$A$5000,$A3343,$B$3:$B$5000,"&gt;"&amp;$B3343)=0),NOW(),_xlfn.MINIFS($B$3:$B$5000,$A$3:$A$5000,$A3343,$B$3:$B$5000,"&gt;"&amp;$B3343))</f>
        <v>46279.5987644476</v>
      </c>
    </row>
    <row r="3344" customFormat="false" ht="15" hidden="false" customHeight="true" outlineLevel="0" collapsed="false">
      <c r="A3344" s="42"/>
      <c r="B3344" s="42"/>
      <c r="C3344" s="42"/>
      <c r="D3344" s="42"/>
      <c r="E3344" s="42"/>
      <c r="F3344" s="51" t="n">
        <f aca="false">IF(OR(C3344="",D3344="",E3344="",E3344=0),0,C3344*D3344/E3344)</f>
        <v>0</v>
      </c>
      <c r="G3344" s="42"/>
      <c r="H3344" s="49" t="n">
        <f aca="true">IF(OR($A3344="",_xlfn.MINIFS($B$3:$B$5000,$A$3:$A$5000,$A3344,$B$3:$B$5000,"&gt;"&amp;$B3344)=0),NOW(),_xlfn.MINIFS($B$3:$B$5000,$A$3:$A$5000,$A3344,$B$3:$B$5000,"&gt;"&amp;$B3344))</f>
        <v>46279.5987644476</v>
      </c>
    </row>
    <row r="3345" customFormat="false" ht="15" hidden="false" customHeight="true" outlineLevel="0" collapsed="false">
      <c r="A3345" s="42"/>
      <c r="B3345" s="42"/>
      <c r="C3345" s="42"/>
      <c r="D3345" s="42"/>
      <c r="E3345" s="42"/>
      <c r="F3345" s="51" t="n">
        <f aca="false">IF(OR(C3345="",D3345="",E3345="",E3345=0),0,C3345*D3345/E3345)</f>
        <v>0</v>
      </c>
      <c r="G3345" s="42"/>
      <c r="H3345" s="49" t="n">
        <f aca="true">IF(OR($A3345="",_xlfn.MINIFS($B$3:$B$5000,$A$3:$A$5000,$A3345,$B$3:$B$5000,"&gt;"&amp;$B3345)=0),NOW(),_xlfn.MINIFS($B$3:$B$5000,$A$3:$A$5000,$A3345,$B$3:$B$5000,"&gt;"&amp;$B3345))</f>
        <v>46279.5987644477</v>
      </c>
    </row>
    <row r="3346" customFormat="false" ht="15" hidden="false" customHeight="true" outlineLevel="0" collapsed="false">
      <c r="A3346" s="42"/>
      <c r="B3346" s="42"/>
      <c r="C3346" s="42"/>
      <c r="D3346" s="42"/>
      <c r="E3346" s="42"/>
      <c r="F3346" s="51" t="n">
        <f aca="false">IF(OR(C3346="",D3346="",E3346="",E3346=0),0,C3346*D3346/E3346)</f>
        <v>0</v>
      </c>
      <c r="G3346" s="42"/>
      <c r="H3346" s="49" t="n">
        <f aca="true">IF(OR($A3346="",_xlfn.MINIFS($B$3:$B$5000,$A$3:$A$5000,$A3346,$B$3:$B$5000,"&gt;"&amp;$B3346)=0),NOW(),_xlfn.MINIFS($B$3:$B$5000,$A$3:$A$5000,$A3346,$B$3:$B$5000,"&gt;"&amp;$B3346))</f>
        <v>46279.5987644477</v>
      </c>
    </row>
    <row r="3347" customFormat="false" ht="15" hidden="false" customHeight="true" outlineLevel="0" collapsed="false">
      <c r="A3347" s="42"/>
      <c r="B3347" s="42"/>
      <c r="C3347" s="42"/>
      <c r="D3347" s="42"/>
      <c r="E3347" s="42"/>
      <c r="F3347" s="51" t="n">
        <f aca="false">IF(OR(C3347="",D3347="",E3347="",E3347=0),0,C3347*D3347/E3347)</f>
        <v>0</v>
      </c>
      <c r="G3347" s="42"/>
      <c r="H3347" s="49" t="n">
        <f aca="true">IF(OR($A3347="",_xlfn.MINIFS($B$3:$B$5000,$A$3:$A$5000,$A3347,$B$3:$B$5000,"&gt;"&amp;$B3347)=0),NOW(),_xlfn.MINIFS($B$3:$B$5000,$A$3:$A$5000,$A3347,$B$3:$B$5000,"&gt;"&amp;$B3347))</f>
        <v>46279.5987644478</v>
      </c>
    </row>
    <row r="3348" customFormat="false" ht="15" hidden="false" customHeight="true" outlineLevel="0" collapsed="false">
      <c r="A3348" s="42"/>
      <c r="B3348" s="42"/>
      <c r="C3348" s="42"/>
      <c r="D3348" s="42"/>
      <c r="E3348" s="42"/>
      <c r="F3348" s="51" t="n">
        <f aca="false">IF(OR(C3348="",D3348="",E3348="",E3348=0),0,C3348*D3348/E3348)</f>
        <v>0</v>
      </c>
      <c r="G3348" s="42"/>
      <c r="H3348" s="49" t="n">
        <f aca="true">IF(OR($A3348="",_xlfn.MINIFS($B$3:$B$5000,$A$3:$A$5000,$A3348,$B$3:$B$5000,"&gt;"&amp;$B3348)=0),NOW(),_xlfn.MINIFS($B$3:$B$5000,$A$3:$A$5000,$A3348,$B$3:$B$5000,"&gt;"&amp;$B3348))</f>
        <v>46279.5987644478</v>
      </c>
    </row>
    <row r="3349" customFormat="false" ht="15" hidden="false" customHeight="true" outlineLevel="0" collapsed="false">
      <c r="A3349" s="42"/>
      <c r="B3349" s="42"/>
      <c r="C3349" s="42"/>
      <c r="D3349" s="42"/>
      <c r="E3349" s="42"/>
      <c r="F3349" s="51" t="n">
        <f aca="false">IF(OR(C3349="",D3349="",E3349="",E3349=0),0,C3349*D3349/E3349)</f>
        <v>0</v>
      </c>
      <c r="G3349" s="42"/>
      <c r="H3349" s="49" t="n">
        <f aca="true">IF(OR($A3349="",_xlfn.MINIFS($B$3:$B$5000,$A$3:$A$5000,$A3349,$B$3:$B$5000,"&gt;"&amp;$B3349)=0),NOW(),_xlfn.MINIFS($B$3:$B$5000,$A$3:$A$5000,$A3349,$B$3:$B$5000,"&gt;"&amp;$B3349))</f>
        <v>46279.5987644479</v>
      </c>
    </row>
    <row r="3350" customFormat="false" ht="15" hidden="false" customHeight="true" outlineLevel="0" collapsed="false">
      <c r="A3350" s="42"/>
      <c r="B3350" s="42"/>
      <c r="C3350" s="42"/>
      <c r="D3350" s="42"/>
      <c r="E3350" s="42"/>
      <c r="F3350" s="51" t="n">
        <f aca="false">IF(OR(C3350="",D3350="",E3350="",E3350=0),0,C3350*D3350/E3350)</f>
        <v>0</v>
      </c>
      <c r="G3350" s="42"/>
      <c r="H3350" s="49" t="n">
        <f aca="true">IF(OR($A3350="",_xlfn.MINIFS($B$3:$B$5000,$A$3:$A$5000,$A3350,$B$3:$B$5000,"&gt;"&amp;$B3350)=0),NOW(),_xlfn.MINIFS($B$3:$B$5000,$A$3:$A$5000,$A3350,$B$3:$B$5000,"&gt;"&amp;$B3350))</f>
        <v>46279.5987644479</v>
      </c>
    </row>
    <row r="3351" customFormat="false" ht="15" hidden="false" customHeight="true" outlineLevel="0" collapsed="false">
      <c r="A3351" s="42"/>
      <c r="B3351" s="42"/>
      <c r="C3351" s="42"/>
      <c r="D3351" s="42"/>
      <c r="E3351" s="42"/>
      <c r="F3351" s="51" t="n">
        <f aca="false">IF(OR(C3351="",D3351="",E3351="",E3351=0),0,C3351*D3351/E3351)</f>
        <v>0</v>
      </c>
      <c r="G3351" s="42"/>
      <c r="H3351" s="49" t="n">
        <f aca="true">IF(OR($A3351="",_xlfn.MINIFS($B$3:$B$5000,$A$3:$A$5000,$A3351,$B$3:$B$5000,"&gt;"&amp;$B3351)=0),NOW(),_xlfn.MINIFS($B$3:$B$5000,$A$3:$A$5000,$A3351,$B$3:$B$5000,"&gt;"&amp;$B3351))</f>
        <v>46279.598764448</v>
      </c>
    </row>
    <row r="3352" customFormat="false" ht="15" hidden="false" customHeight="true" outlineLevel="0" collapsed="false">
      <c r="A3352" s="42"/>
      <c r="B3352" s="42"/>
      <c r="C3352" s="42"/>
      <c r="D3352" s="42"/>
      <c r="E3352" s="42"/>
      <c r="F3352" s="51" t="n">
        <f aca="false">IF(OR(C3352="",D3352="",E3352="",E3352=0),0,C3352*D3352/E3352)</f>
        <v>0</v>
      </c>
      <c r="G3352" s="42"/>
      <c r="H3352" s="49" t="n">
        <f aca="true">IF(OR($A3352="",_xlfn.MINIFS($B$3:$B$5000,$A$3:$A$5000,$A3352,$B$3:$B$5000,"&gt;"&amp;$B3352)=0),NOW(),_xlfn.MINIFS($B$3:$B$5000,$A$3:$A$5000,$A3352,$B$3:$B$5000,"&gt;"&amp;$B3352))</f>
        <v>46279.598764448</v>
      </c>
    </row>
    <row r="3353" customFormat="false" ht="15" hidden="false" customHeight="true" outlineLevel="0" collapsed="false">
      <c r="A3353" s="42"/>
      <c r="B3353" s="42"/>
      <c r="C3353" s="42"/>
      <c r="D3353" s="42"/>
      <c r="E3353" s="42"/>
      <c r="F3353" s="51" t="n">
        <f aca="false">IF(OR(C3353="",D3353="",E3353="",E3353=0),0,C3353*D3353/E3353)</f>
        <v>0</v>
      </c>
      <c r="G3353" s="42"/>
      <c r="H3353" s="49" t="n">
        <f aca="true">IF(OR($A3353="",_xlfn.MINIFS($B$3:$B$5000,$A$3:$A$5000,$A3353,$B$3:$B$5000,"&gt;"&amp;$B3353)=0),NOW(),_xlfn.MINIFS($B$3:$B$5000,$A$3:$A$5000,$A3353,$B$3:$B$5000,"&gt;"&amp;$B3353))</f>
        <v>46279.5987644481</v>
      </c>
    </row>
    <row r="3354" customFormat="false" ht="15" hidden="false" customHeight="true" outlineLevel="0" collapsed="false">
      <c r="A3354" s="42"/>
      <c r="B3354" s="42"/>
      <c r="C3354" s="42"/>
      <c r="D3354" s="42"/>
      <c r="E3354" s="42"/>
      <c r="F3354" s="51" t="n">
        <f aca="false">IF(OR(C3354="",D3354="",E3354="",E3354=0),0,C3354*D3354/E3354)</f>
        <v>0</v>
      </c>
      <c r="G3354" s="42"/>
      <c r="H3354" s="49" t="n">
        <f aca="true">IF(OR($A3354="",_xlfn.MINIFS($B$3:$B$5000,$A$3:$A$5000,$A3354,$B$3:$B$5000,"&gt;"&amp;$B3354)=0),NOW(),_xlfn.MINIFS($B$3:$B$5000,$A$3:$A$5000,$A3354,$B$3:$B$5000,"&gt;"&amp;$B3354))</f>
        <v>46279.5987644481</v>
      </c>
    </row>
    <row r="3355" customFormat="false" ht="15" hidden="false" customHeight="true" outlineLevel="0" collapsed="false">
      <c r="A3355" s="42"/>
      <c r="B3355" s="42"/>
      <c r="C3355" s="42"/>
      <c r="D3355" s="42"/>
      <c r="E3355" s="42"/>
      <c r="F3355" s="51" t="n">
        <f aca="false">IF(OR(C3355="",D3355="",E3355="",E3355=0),0,C3355*D3355/E3355)</f>
        <v>0</v>
      </c>
      <c r="G3355" s="42"/>
      <c r="H3355" s="49" t="n">
        <f aca="true">IF(OR($A3355="",_xlfn.MINIFS($B$3:$B$5000,$A$3:$A$5000,$A3355,$B$3:$B$5000,"&gt;"&amp;$B3355)=0),NOW(),_xlfn.MINIFS($B$3:$B$5000,$A$3:$A$5000,$A3355,$B$3:$B$5000,"&gt;"&amp;$B3355))</f>
        <v>46279.5987644482</v>
      </c>
    </row>
    <row r="3356" customFormat="false" ht="15" hidden="false" customHeight="true" outlineLevel="0" collapsed="false">
      <c r="A3356" s="42"/>
      <c r="B3356" s="42"/>
      <c r="C3356" s="42"/>
      <c r="D3356" s="42"/>
      <c r="E3356" s="42"/>
      <c r="F3356" s="51" t="n">
        <f aca="false">IF(OR(C3356="",D3356="",E3356="",E3356=0),0,C3356*D3356/E3356)</f>
        <v>0</v>
      </c>
      <c r="G3356" s="42"/>
      <c r="H3356" s="49" t="n">
        <f aca="true">IF(OR($A3356="",_xlfn.MINIFS($B$3:$B$5000,$A$3:$A$5000,$A3356,$B$3:$B$5000,"&gt;"&amp;$B3356)=0),NOW(),_xlfn.MINIFS($B$3:$B$5000,$A$3:$A$5000,$A3356,$B$3:$B$5000,"&gt;"&amp;$B3356))</f>
        <v>46279.5987644482</v>
      </c>
    </row>
    <row r="3357" customFormat="false" ht="15" hidden="false" customHeight="true" outlineLevel="0" collapsed="false">
      <c r="A3357" s="42"/>
      <c r="B3357" s="42"/>
      <c r="C3357" s="42"/>
      <c r="D3357" s="42"/>
      <c r="E3357" s="42"/>
      <c r="F3357" s="51" t="n">
        <f aca="false">IF(OR(C3357="",D3357="",E3357="",E3357=0),0,C3357*D3357/E3357)</f>
        <v>0</v>
      </c>
      <c r="G3357" s="42"/>
      <c r="H3357" s="49" t="n">
        <f aca="true">IF(OR($A3357="",_xlfn.MINIFS($B$3:$B$5000,$A$3:$A$5000,$A3357,$B$3:$B$5000,"&gt;"&amp;$B3357)=0),NOW(),_xlfn.MINIFS($B$3:$B$5000,$A$3:$A$5000,$A3357,$B$3:$B$5000,"&gt;"&amp;$B3357))</f>
        <v>46279.5987644483</v>
      </c>
    </row>
    <row r="3358" customFormat="false" ht="15" hidden="false" customHeight="true" outlineLevel="0" collapsed="false">
      <c r="A3358" s="42"/>
      <c r="B3358" s="42"/>
      <c r="C3358" s="42"/>
      <c r="D3358" s="42"/>
      <c r="E3358" s="42"/>
      <c r="F3358" s="51" t="n">
        <f aca="false">IF(OR(C3358="",D3358="",E3358="",E3358=0),0,C3358*D3358/E3358)</f>
        <v>0</v>
      </c>
      <c r="G3358" s="42"/>
      <c r="H3358" s="49" t="n">
        <f aca="true">IF(OR($A3358="",_xlfn.MINIFS($B$3:$B$5000,$A$3:$A$5000,$A3358,$B$3:$B$5000,"&gt;"&amp;$B3358)=0),NOW(),_xlfn.MINIFS($B$3:$B$5000,$A$3:$A$5000,$A3358,$B$3:$B$5000,"&gt;"&amp;$B3358))</f>
        <v>46279.5987644483</v>
      </c>
    </row>
    <row r="3359" customFormat="false" ht="15" hidden="false" customHeight="true" outlineLevel="0" collapsed="false">
      <c r="A3359" s="42"/>
      <c r="B3359" s="42"/>
      <c r="C3359" s="42"/>
      <c r="D3359" s="42"/>
      <c r="E3359" s="42"/>
      <c r="F3359" s="51" t="n">
        <f aca="false">IF(OR(C3359="",D3359="",E3359="",E3359=0),0,C3359*D3359/E3359)</f>
        <v>0</v>
      </c>
      <c r="G3359" s="42"/>
      <c r="H3359" s="49" t="n">
        <f aca="true">IF(OR($A3359="",_xlfn.MINIFS($B$3:$B$5000,$A$3:$A$5000,$A3359,$B$3:$B$5000,"&gt;"&amp;$B3359)=0),NOW(),_xlfn.MINIFS($B$3:$B$5000,$A$3:$A$5000,$A3359,$B$3:$B$5000,"&gt;"&amp;$B3359))</f>
        <v>46279.5987644484</v>
      </c>
    </row>
    <row r="3360" customFormat="false" ht="15" hidden="false" customHeight="true" outlineLevel="0" collapsed="false">
      <c r="A3360" s="42"/>
      <c r="B3360" s="42"/>
      <c r="C3360" s="42"/>
      <c r="D3360" s="42"/>
      <c r="E3360" s="42"/>
      <c r="F3360" s="51" t="n">
        <f aca="false">IF(OR(C3360="",D3360="",E3360="",E3360=0),0,C3360*D3360/E3360)</f>
        <v>0</v>
      </c>
      <c r="G3360" s="42"/>
      <c r="H3360" s="49" t="n">
        <f aca="true">IF(OR($A3360="",_xlfn.MINIFS($B$3:$B$5000,$A$3:$A$5000,$A3360,$B$3:$B$5000,"&gt;"&amp;$B3360)=0),NOW(),_xlfn.MINIFS($B$3:$B$5000,$A$3:$A$5000,$A3360,$B$3:$B$5000,"&gt;"&amp;$B3360))</f>
        <v>46279.5987644484</v>
      </c>
    </row>
    <row r="3361" customFormat="false" ht="15" hidden="false" customHeight="true" outlineLevel="0" collapsed="false">
      <c r="A3361" s="42"/>
      <c r="B3361" s="42"/>
      <c r="C3361" s="42"/>
      <c r="D3361" s="42"/>
      <c r="E3361" s="42"/>
      <c r="F3361" s="51" t="n">
        <f aca="false">IF(OR(C3361="",D3361="",E3361="",E3361=0),0,C3361*D3361/E3361)</f>
        <v>0</v>
      </c>
      <c r="G3361" s="42"/>
      <c r="H3361" s="49" t="n">
        <f aca="true">IF(OR($A3361="",_xlfn.MINIFS($B$3:$B$5000,$A$3:$A$5000,$A3361,$B$3:$B$5000,"&gt;"&amp;$B3361)=0),NOW(),_xlfn.MINIFS($B$3:$B$5000,$A$3:$A$5000,$A3361,$B$3:$B$5000,"&gt;"&amp;$B3361))</f>
        <v>46279.5987644485</v>
      </c>
    </row>
    <row r="3362" customFormat="false" ht="15" hidden="false" customHeight="true" outlineLevel="0" collapsed="false">
      <c r="A3362" s="42"/>
      <c r="B3362" s="42"/>
      <c r="C3362" s="42"/>
      <c r="D3362" s="42"/>
      <c r="E3362" s="42"/>
      <c r="F3362" s="51" t="n">
        <f aca="false">IF(OR(C3362="",D3362="",E3362="",E3362=0),0,C3362*D3362/E3362)</f>
        <v>0</v>
      </c>
      <c r="G3362" s="42"/>
      <c r="H3362" s="49" t="n">
        <f aca="true">IF(OR($A3362="",_xlfn.MINIFS($B$3:$B$5000,$A$3:$A$5000,$A3362,$B$3:$B$5000,"&gt;"&amp;$B3362)=0),NOW(),_xlfn.MINIFS($B$3:$B$5000,$A$3:$A$5000,$A3362,$B$3:$B$5000,"&gt;"&amp;$B3362))</f>
        <v>46279.5987644485</v>
      </c>
    </row>
    <row r="3363" customFormat="false" ht="15" hidden="false" customHeight="true" outlineLevel="0" collapsed="false">
      <c r="A3363" s="42"/>
      <c r="B3363" s="42"/>
      <c r="C3363" s="42"/>
      <c r="D3363" s="42"/>
      <c r="E3363" s="42"/>
      <c r="F3363" s="51" t="n">
        <f aca="false">IF(OR(C3363="",D3363="",E3363="",E3363=0),0,C3363*D3363/E3363)</f>
        <v>0</v>
      </c>
      <c r="G3363" s="42"/>
      <c r="H3363" s="49" t="n">
        <f aca="true">IF(OR($A3363="",_xlfn.MINIFS($B$3:$B$5000,$A$3:$A$5000,$A3363,$B$3:$B$5000,"&gt;"&amp;$B3363)=0),NOW(),_xlfn.MINIFS($B$3:$B$5000,$A$3:$A$5000,$A3363,$B$3:$B$5000,"&gt;"&amp;$B3363))</f>
        <v>46279.5987644486</v>
      </c>
    </row>
    <row r="3364" customFormat="false" ht="15" hidden="false" customHeight="true" outlineLevel="0" collapsed="false">
      <c r="A3364" s="42"/>
      <c r="B3364" s="42"/>
      <c r="C3364" s="42"/>
      <c r="D3364" s="42"/>
      <c r="E3364" s="42"/>
      <c r="F3364" s="51" t="n">
        <f aca="false">IF(OR(C3364="",D3364="",E3364="",E3364=0),0,C3364*D3364/E3364)</f>
        <v>0</v>
      </c>
      <c r="G3364" s="42"/>
      <c r="H3364" s="49" t="n">
        <f aca="true">IF(OR($A3364="",_xlfn.MINIFS($B$3:$B$5000,$A$3:$A$5000,$A3364,$B$3:$B$5000,"&gt;"&amp;$B3364)=0),NOW(),_xlfn.MINIFS($B$3:$B$5000,$A$3:$A$5000,$A3364,$B$3:$B$5000,"&gt;"&amp;$B3364))</f>
        <v>46279.5987644486</v>
      </c>
    </row>
    <row r="3365" customFormat="false" ht="15" hidden="false" customHeight="true" outlineLevel="0" collapsed="false">
      <c r="A3365" s="42"/>
      <c r="B3365" s="42"/>
      <c r="C3365" s="42"/>
      <c r="D3365" s="42"/>
      <c r="E3365" s="42"/>
      <c r="F3365" s="51" t="n">
        <f aca="false">IF(OR(C3365="",D3365="",E3365="",E3365=0),0,C3365*D3365/E3365)</f>
        <v>0</v>
      </c>
      <c r="G3365" s="42"/>
      <c r="H3365" s="49" t="n">
        <f aca="true">IF(OR($A3365="",_xlfn.MINIFS($B$3:$B$5000,$A$3:$A$5000,$A3365,$B$3:$B$5000,"&gt;"&amp;$B3365)=0),NOW(),_xlfn.MINIFS($B$3:$B$5000,$A$3:$A$5000,$A3365,$B$3:$B$5000,"&gt;"&amp;$B3365))</f>
        <v>46279.5987644487</v>
      </c>
    </row>
    <row r="3366" customFormat="false" ht="15" hidden="false" customHeight="true" outlineLevel="0" collapsed="false">
      <c r="A3366" s="42"/>
      <c r="B3366" s="42"/>
      <c r="C3366" s="42"/>
      <c r="D3366" s="42"/>
      <c r="E3366" s="42"/>
      <c r="F3366" s="51" t="n">
        <f aca="false">IF(OR(C3366="",D3366="",E3366="",E3366=0),0,C3366*D3366/E3366)</f>
        <v>0</v>
      </c>
      <c r="G3366" s="42"/>
      <c r="H3366" s="49" t="n">
        <f aca="true">IF(OR($A3366="",_xlfn.MINIFS($B$3:$B$5000,$A$3:$A$5000,$A3366,$B$3:$B$5000,"&gt;"&amp;$B3366)=0),NOW(),_xlfn.MINIFS($B$3:$B$5000,$A$3:$A$5000,$A3366,$B$3:$B$5000,"&gt;"&amp;$B3366))</f>
        <v>46279.5987644488</v>
      </c>
    </row>
    <row r="3367" customFormat="false" ht="15" hidden="false" customHeight="true" outlineLevel="0" collapsed="false">
      <c r="A3367" s="42"/>
      <c r="B3367" s="42"/>
      <c r="C3367" s="42"/>
      <c r="D3367" s="42"/>
      <c r="E3367" s="42"/>
      <c r="F3367" s="51" t="n">
        <f aca="false">IF(OR(C3367="",D3367="",E3367="",E3367=0),0,C3367*D3367/E3367)</f>
        <v>0</v>
      </c>
      <c r="G3367" s="42"/>
      <c r="H3367" s="49" t="n">
        <f aca="true">IF(OR($A3367="",_xlfn.MINIFS($B$3:$B$5000,$A$3:$A$5000,$A3367,$B$3:$B$5000,"&gt;"&amp;$B3367)=0),NOW(),_xlfn.MINIFS($B$3:$B$5000,$A$3:$A$5000,$A3367,$B$3:$B$5000,"&gt;"&amp;$B3367))</f>
        <v>46279.5987644488</v>
      </c>
    </row>
    <row r="3368" customFormat="false" ht="15" hidden="false" customHeight="true" outlineLevel="0" collapsed="false">
      <c r="A3368" s="42"/>
      <c r="B3368" s="42"/>
      <c r="C3368" s="42"/>
      <c r="D3368" s="42"/>
      <c r="E3368" s="42"/>
      <c r="F3368" s="51" t="n">
        <f aca="false">IF(OR(C3368="",D3368="",E3368="",E3368=0),0,C3368*D3368/E3368)</f>
        <v>0</v>
      </c>
      <c r="G3368" s="42"/>
      <c r="H3368" s="49" t="n">
        <f aca="true">IF(OR($A3368="",_xlfn.MINIFS($B$3:$B$5000,$A$3:$A$5000,$A3368,$B$3:$B$5000,"&gt;"&amp;$B3368)=0),NOW(),_xlfn.MINIFS($B$3:$B$5000,$A$3:$A$5000,$A3368,$B$3:$B$5000,"&gt;"&amp;$B3368))</f>
        <v>46279.5987644488</v>
      </c>
    </row>
    <row r="3369" customFormat="false" ht="15" hidden="false" customHeight="true" outlineLevel="0" collapsed="false">
      <c r="A3369" s="42"/>
      <c r="B3369" s="42"/>
      <c r="C3369" s="42"/>
      <c r="D3369" s="42"/>
      <c r="E3369" s="42"/>
      <c r="F3369" s="51" t="n">
        <f aca="false">IF(OR(C3369="",D3369="",E3369="",E3369=0),0,C3369*D3369/E3369)</f>
        <v>0</v>
      </c>
      <c r="G3369" s="42"/>
      <c r="H3369" s="49" t="n">
        <f aca="true">IF(OR($A3369="",_xlfn.MINIFS($B$3:$B$5000,$A$3:$A$5000,$A3369,$B$3:$B$5000,"&gt;"&amp;$B3369)=0),NOW(),_xlfn.MINIFS($B$3:$B$5000,$A$3:$A$5000,$A3369,$B$3:$B$5000,"&gt;"&amp;$B3369))</f>
        <v>46279.5987644489</v>
      </c>
    </row>
    <row r="3370" customFormat="false" ht="15" hidden="false" customHeight="true" outlineLevel="0" collapsed="false">
      <c r="A3370" s="42"/>
      <c r="B3370" s="42"/>
      <c r="C3370" s="42"/>
      <c r="D3370" s="42"/>
      <c r="E3370" s="42"/>
      <c r="F3370" s="51" t="n">
        <f aca="false">IF(OR(C3370="",D3370="",E3370="",E3370=0),0,C3370*D3370/E3370)</f>
        <v>0</v>
      </c>
      <c r="G3370" s="42"/>
      <c r="H3370" s="49" t="n">
        <f aca="true">IF(OR($A3370="",_xlfn.MINIFS($B$3:$B$5000,$A$3:$A$5000,$A3370,$B$3:$B$5000,"&gt;"&amp;$B3370)=0),NOW(),_xlfn.MINIFS($B$3:$B$5000,$A$3:$A$5000,$A3370,$B$3:$B$5000,"&gt;"&amp;$B3370))</f>
        <v>46279.5987644489</v>
      </c>
    </row>
    <row r="3371" customFormat="false" ht="15" hidden="false" customHeight="true" outlineLevel="0" collapsed="false">
      <c r="A3371" s="42"/>
      <c r="B3371" s="42"/>
      <c r="C3371" s="42"/>
      <c r="D3371" s="42"/>
      <c r="E3371" s="42"/>
      <c r="F3371" s="51" t="n">
        <f aca="false">IF(OR(C3371="",D3371="",E3371="",E3371=0),0,C3371*D3371/E3371)</f>
        <v>0</v>
      </c>
      <c r="G3371" s="42"/>
      <c r="H3371" s="49" t="n">
        <f aca="true">IF(OR($A3371="",_xlfn.MINIFS($B$3:$B$5000,$A$3:$A$5000,$A3371,$B$3:$B$5000,"&gt;"&amp;$B3371)=0),NOW(),_xlfn.MINIFS($B$3:$B$5000,$A$3:$A$5000,$A3371,$B$3:$B$5000,"&gt;"&amp;$B3371))</f>
        <v>46279.598764449</v>
      </c>
    </row>
    <row r="3372" customFormat="false" ht="15" hidden="false" customHeight="true" outlineLevel="0" collapsed="false">
      <c r="A3372" s="42"/>
      <c r="B3372" s="42"/>
      <c r="C3372" s="42"/>
      <c r="D3372" s="42"/>
      <c r="E3372" s="42"/>
      <c r="F3372" s="51" t="n">
        <f aca="false">IF(OR(C3372="",D3372="",E3372="",E3372=0),0,C3372*D3372/E3372)</f>
        <v>0</v>
      </c>
      <c r="G3372" s="42"/>
      <c r="H3372" s="49" t="n">
        <f aca="true">IF(OR($A3372="",_xlfn.MINIFS($B$3:$B$5000,$A$3:$A$5000,$A3372,$B$3:$B$5000,"&gt;"&amp;$B3372)=0),NOW(),_xlfn.MINIFS($B$3:$B$5000,$A$3:$A$5000,$A3372,$B$3:$B$5000,"&gt;"&amp;$B3372))</f>
        <v>46279.598764449</v>
      </c>
    </row>
    <row r="3373" customFormat="false" ht="15" hidden="false" customHeight="true" outlineLevel="0" collapsed="false">
      <c r="A3373" s="42"/>
      <c r="B3373" s="42"/>
      <c r="C3373" s="42"/>
      <c r="D3373" s="42"/>
      <c r="E3373" s="42"/>
      <c r="F3373" s="51" t="n">
        <f aca="false">IF(OR(C3373="",D3373="",E3373="",E3373=0),0,C3373*D3373/E3373)</f>
        <v>0</v>
      </c>
      <c r="G3373" s="42"/>
      <c r="H3373" s="49" t="n">
        <f aca="true">IF(OR($A3373="",_xlfn.MINIFS($B$3:$B$5000,$A$3:$A$5000,$A3373,$B$3:$B$5000,"&gt;"&amp;$B3373)=0),NOW(),_xlfn.MINIFS($B$3:$B$5000,$A$3:$A$5000,$A3373,$B$3:$B$5000,"&gt;"&amp;$B3373))</f>
        <v>46279.5987644491</v>
      </c>
    </row>
    <row r="3374" customFormat="false" ht="15" hidden="false" customHeight="true" outlineLevel="0" collapsed="false">
      <c r="A3374" s="42"/>
      <c r="B3374" s="42"/>
      <c r="C3374" s="42"/>
      <c r="D3374" s="42"/>
      <c r="E3374" s="42"/>
      <c r="F3374" s="51" t="n">
        <f aca="false">IF(OR(C3374="",D3374="",E3374="",E3374=0),0,C3374*D3374/E3374)</f>
        <v>0</v>
      </c>
      <c r="G3374" s="42"/>
      <c r="H3374" s="49" t="n">
        <f aca="true">IF(OR($A3374="",_xlfn.MINIFS($B$3:$B$5000,$A$3:$A$5000,$A3374,$B$3:$B$5000,"&gt;"&amp;$B3374)=0),NOW(),_xlfn.MINIFS($B$3:$B$5000,$A$3:$A$5000,$A3374,$B$3:$B$5000,"&gt;"&amp;$B3374))</f>
        <v>46279.5987644492</v>
      </c>
    </row>
    <row r="3375" customFormat="false" ht="15" hidden="false" customHeight="true" outlineLevel="0" collapsed="false">
      <c r="A3375" s="42"/>
      <c r="B3375" s="42"/>
      <c r="C3375" s="42"/>
      <c r="D3375" s="42"/>
      <c r="E3375" s="42"/>
      <c r="F3375" s="51" t="n">
        <f aca="false">IF(OR(C3375="",D3375="",E3375="",E3375=0),0,C3375*D3375/E3375)</f>
        <v>0</v>
      </c>
      <c r="G3375" s="42"/>
      <c r="H3375" s="49" t="n">
        <f aca="true">IF(OR($A3375="",_xlfn.MINIFS($B$3:$B$5000,$A$3:$A$5000,$A3375,$B$3:$B$5000,"&gt;"&amp;$B3375)=0),NOW(),_xlfn.MINIFS($B$3:$B$5000,$A$3:$A$5000,$A3375,$B$3:$B$5000,"&gt;"&amp;$B3375))</f>
        <v>46279.5987644492</v>
      </c>
    </row>
    <row r="3376" customFormat="false" ht="15" hidden="false" customHeight="true" outlineLevel="0" collapsed="false">
      <c r="A3376" s="42"/>
      <c r="B3376" s="42"/>
      <c r="C3376" s="42"/>
      <c r="D3376" s="42"/>
      <c r="E3376" s="42"/>
      <c r="F3376" s="51" t="n">
        <f aca="false">IF(OR(C3376="",D3376="",E3376="",E3376=0),0,C3376*D3376/E3376)</f>
        <v>0</v>
      </c>
      <c r="G3376" s="42"/>
      <c r="H3376" s="49" t="n">
        <f aca="true">IF(OR($A3376="",_xlfn.MINIFS($B$3:$B$5000,$A$3:$A$5000,$A3376,$B$3:$B$5000,"&gt;"&amp;$B3376)=0),NOW(),_xlfn.MINIFS($B$3:$B$5000,$A$3:$A$5000,$A3376,$B$3:$B$5000,"&gt;"&amp;$B3376))</f>
        <v>46279.5987644493</v>
      </c>
    </row>
    <row r="3377" customFormat="false" ht="15" hidden="false" customHeight="true" outlineLevel="0" collapsed="false">
      <c r="A3377" s="42"/>
      <c r="B3377" s="42"/>
      <c r="C3377" s="42"/>
      <c r="D3377" s="42"/>
      <c r="E3377" s="42"/>
      <c r="F3377" s="51" t="n">
        <f aca="false">IF(OR(C3377="",D3377="",E3377="",E3377=0),0,C3377*D3377/E3377)</f>
        <v>0</v>
      </c>
      <c r="G3377" s="42"/>
      <c r="H3377" s="49" t="n">
        <f aca="true">IF(OR($A3377="",_xlfn.MINIFS($B$3:$B$5000,$A$3:$A$5000,$A3377,$B$3:$B$5000,"&gt;"&amp;$B3377)=0),NOW(),_xlfn.MINIFS($B$3:$B$5000,$A$3:$A$5000,$A3377,$B$3:$B$5000,"&gt;"&amp;$B3377))</f>
        <v>46279.5987644493</v>
      </c>
    </row>
    <row r="3378" customFormat="false" ht="15" hidden="false" customHeight="true" outlineLevel="0" collapsed="false">
      <c r="A3378" s="42"/>
      <c r="B3378" s="42"/>
      <c r="C3378" s="42"/>
      <c r="D3378" s="42"/>
      <c r="E3378" s="42"/>
      <c r="F3378" s="51" t="n">
        <f aca="false">IF(OR(C3378="",D3378="",E3378="",E3378=0),0,C3378*D3378/E3378)</f>
        <v>0</v>
      </c>
      <c r="G3378" s="42"/>
      <c r="H3378" s="49" t="n">
        <f aca="true">IF(OR($A3378="",_xlfn.MINIFS($B$3:$B$5000,$A$3:$A$5000,$A3378,$B$3:$B$5000,"&gt;"&amp;$B3378)=0),NOW(),_xlfn.MINIFS($B$3:$B$5000,$A$3:$A$5000,$A3378,$B$3:$B$5000,"&gt;"&amp;$B3378))</f>
        <v>46279.5987644494</v>
      </c>
    </row>
    <row r="3379" customFormat="false" ht="15" hidden="false" customHeight="true" outlineLevel="0" collapsed="false">
      <c r="A3379" s="42"/>
      <c r="B3379" s="42"/>
      <c r="C3379" s="42"/>
      <c r="D3379" s="42"/>
      <c r="E3379" s="42"/>
      <c r="F3379" s="51" t="n">
        <f aca="false">IF(OR(C3379="",D3379="",E3379="",E3379=0),0,C3379*D3379/E3379)</f>
        <v>0</v>
      </c>
      <c r="G3379" s="42"/>
      <c r="H3379" s="49" t="n">
        <f aca="true">IF(OR($A3379="",_xlfn.MINIFS($B$3:$B$5000,$A$3:$A$5000,$A3379,$B$3:$B$5000,"&gt;"&amp;$B3379)=0),NOW(),_xlfn.MINIFS($B$3:$B$5000,$A$3:$A$5000,$A3379,$B$3:$B$5000,"&gt;"&amp;$B3379))</f>
        <v>46279.5987644494</v>
      </c>
    </row>
    <row r="3380" customFormat="false" ht="15" hidden="false" customHeight="true" outlineLevel="0" collapsed="false">
      <c r="A3380" s="42"/>
      <c r="B3380" s="42"/>
      <c r="C3380" s="42"/>
      <c r="D3380" s="42"/>
      <c r="E3380" s="42"/>
      <c r="F3380" s="51" t="n">
        <f aca="false">IF(OR(C3380="",D3380="",E3380="",E3380=0),0,C3380*D3380/E3380)</f>
        <v>0</v>
      </c>
      <c r="G3380" s="42"/>
      <c r="H3380" s="49" t="n">
        <f aca="true">IF(OR($A3380="",_xlfn.MINIFS($B$3:$B$5000,$A$3:$A$5000,$A3380,$B$3:$B$5000,"&gt;"&amp;$B3380)=0),NOW(),_xlfn.MINIFS($B$3:$B$5000,$A$3:$A$5000,$A3380,$B$3:$B$5000,"&gt;"&amp;$B3380))</f>
        <v>46279.5987644494</v>
      </c>
    </row>
    <row r="3381" customFormat="false" ht="15" hidden="false" customHeight="true" outlineLevel="0" collapsed="false">
      <c r="A3381" s="42"/>
      <c r="B3381" s="42"/>
      <c r="C3381" s="42"/>
      <c r="D3381" s="42"/>
      <c r="E3381" s="42"/>
      <c r="F3381" s="51" t="n">
        <f aca="false">IF(OR(C3381="",D3381="",E3381="",E3381=0),0,C3381*D3381/E3381)</f>
        <v>0</v>
      </c>
      <c r="G3381" s="42"/>
      <c r="H3381" s="49" t="n">
        <f aca="true">IF(OR($A3381="",_xlfn.MINIFS($B$3:$B$5000,$A$3:$A$5000,$A3381,$B$3:$B$5000,"&gt;"&amp;$B3381)=0),NOW(),_xlfn.MINIFS($B$3:$B$5000,$A$3:$A$5000,$A3381,$B$3:$B$5000,"&gt;"&amp;$B3381))</f>
        <v>46279.5987644495</v>
      </c>
    </row>
    <row r="3382" customFormat="false" ht="15" hidden="false" customHeight="true" outlineLevel="0" collapsed="false">
      <c r="A3382" s="42"/>
      <c r="B3382" s="42"/>
      <c r="C3382" s="42"/>
      <c r="D3382" s="42"/>
      <c r="E3382" s="42"/>
      <c r="F3382" s="51" t="n">
        <f aca="false">IF(OR(C3382="",D3382="",E3382="",E3382=0),0,C3382*D3382/E3382)</f>
        <v>0</v>
      </c>
      <c r="G3382" s="42"/>
      <c r="H3382" s="49" t="n">
        <f aca="true">IF(OR($A3382="",_xlfn.MINIFS($B$3:$B$5000,$A$3:$A$5000,$A3382,$B$3:$B$5000,"&gt;"&amp;$B3382)=0),NOW(),_xlfn.MINIFS($B$3:$B$5000,$A$3:$A$5000,$A3382,$B$3:$B$5000,"&gt;"&amp;$B3382))</f>
        <v>46279.5987644496</v>
      </c>
    </row>
    <row r="3383" customFormat="false" ht="15" hidden="false" customHeight="true" outlineLevel="0" collapsed="false">
      <c r="A3383" s="42"/>
      <c r="B3383" s="42"/>
      <c r="C3383" s="42"/>
      <c r="D3383" s="42"/>
      <c r="E3383" s="42"/>
      <c r="F3383" s="51" t="n">
        <f aca="false">IF(OR(C3383="",D3383="",E3383="",E3383=0),0,C3383*D3383/E3383)</f>
        <v>0</v>
      </c>
      <c r="G3383" s="42"/>
      <c r="H3383" s="49" t="n">
        <f aca="true">IF(OR($A3383="",_xlfn.MINIFS($B$3:$B$5000,$A$3:$A$5000,$A3383,$B$3:$B$5000,"&gt;"&amp;$B3383)=0),NOW(),_xlfn.MINIFS($B$3:$B$5000,$A$3:$A$5000,$A3383,$B$3:$B$5000,"&gt;"&amp;$B3383))</f>
        <v>46279.5987644496</v>
      </c>
    </row>
    <row r="3384" customFormat="false" ht="15" hidden="false" customHeight="true" outlineLevel="0" collapsed="false">
      <c r="A3384" s="42"/>
      <c r="B3384" s="42"/>
      <c r="C3384" s="42"/>
      <c r="D3384" s="42"/>
      <c r="E3384" s="42"/>
      <c r="F3384" s="51" t="n">
        <f aca="false">IF(OR(C3384="",D3384="",E3384="",E3384=0),0,C3384*D3384/E3384)</f>
        <v>0</v>
      </c>
      <c r="G3384" s="42"/>
      <c r="H3384" s="49" t="n">
        <f aca="true">IF(OR($A3384="",_xlfn.MINIFS($B$3:$B$5000,$A$3:$A$5000,$A3384,$B$3:$B$5000,"&gt;"&amp;$B3384)=0),NOW(),_xlfn.MINIFS($B$3:$B$5000,$A$3:$A$5000,$A3384,$B$3:$B$5000,"&gt;"&amp;$B3384))</f>
        <v>46279.5987644497</v>
      </c>
    </row>
    <row r="3385" customFormat="false" ht="15" hidden="false" customHeight="true" outlineLevel="0" collapsed="false">
      <c r="A3385" s="42"/>
      <c r="B3385" s="42"/>
      <c r="C3385" s="42"/>
      <c r="D3385" s="42"/>
      <c r="E3385" s="42"/>
      <c r="F3385" s="51" t="n">
        <f aca="false">IF(OR(C3385="",D3385="",E3385="",E3385=0),0,C3385*D3385/E3385)</f>
        <v>0</v>
      </c>
      <c r="G3385" s="42"/>
      <c r="H3385" s="49" t="n">
        <f aca="true">IF(OR($A3385="",_xlfn.MINIFS($B$3:$B$5000,$A$3:$A$5000,$A3385,$B$3:$B$5000,"&gt;"&amp;$B3385)=0),NOW(),_xlfn.MINIFS($B$3:$B$5000,$A$3:$A$5000,$A3385,$B$3:$B$5000,"&gt;"&amp;$B3385))</f>
        <v>46279.5987644497</v>
      </c>
    </row>
    <row r="3386" customFormat="false" ht="15" hidden="false" customHeight="true" outlineLevel="0" collapsed="false">
      <c r="A3386" s="42"/>
      <c r="B3386" s="42"/>
      <c r="C3386" s="42"/>
      <c r="D3386" s="42"/>
      <c r="E3386" s="42"/>
      <c r="F3386" s="51" t="n">
        <f aca="false">IF(OR(C3386="",D3386="",E3386="",E3386=0),0,C3386*D3386/E3386)</f>
        <v>0</v>
      </c>
      <c r="G3386" s="42"/>
      <c r="H3386" s="49" t="n">
        <f aca="true">IF(OR($A3386="",_xlfn.MINIFS($B$3:$B$5000,$A$3:$A$5000,$A3386,$B$3:$B$5000,"&gt;"&amp;$B3386)=0),NOW(),_xlfn.MINIFS($B$3:$B$5000,$A$3:$A$5000,$A3386,$B$3:$B$5000,"&gt;"&amp;$B3386))</f>
        <v>46279.5987644498</v>
      </c>
    </row>
    <row r="3387" customFormat="false" ht="15" hidden="false" customHeight="true" outlineLevel="0" collapsed="false">
      <c r="A3387" s="42"/>
      <c r="B3387" s="42"/>
      <c r="C3387" s="42"/>
      <c r="D3387" s="42"/>
      <c r="E3387" s="42"/>
      <c r="F3387" s="51" t="n">
        <f aca="false">IF(OR(C3387="",D3387="",E3387="",E3387=0),0,C3387*D3387/E3387)</f>
        <v>0</v>
      </c>
      <c r="G3387" s="42"/>
      <c r="H3387" s="49" t="n">
        <f aca="true">IF(OR($A3387="",_xlfn.MINIFS($B$3:$B$5000,$A$3:$A$5000,$A3387,$B$3:$B$5000,"&gt;"&amp;$B3387)=0),NOW(),_xlfn.MINIFS($B$3:$B$5000,$A$3:$A$5000,$A3387,$B$3:$B$5000,"&gt;"&amp;$B3387))</f>
        <v>46279.5987644498</v>
      </c>
    </row>
    <row r="3388" customFormat="false" ht="15" hidden="false" customHeight="true" outlineLevel="0" collapsed="false">
      <c r="A3388" s="42"/>
      <c r="B3388" s="42"/>
      <c r="C3388" s="42"/>
      <c r="D3388" s="42"/>
      <c r="E3388" s="42"/>
      <c r="F3388" s="51" t="n">
        <f aca="false">IF(OR(C3388="",D3388="",E3388="",E3388=0),0,C3388*D3388/E3388)</f>
        <v>0</v>
      </c>
      <c r="G3388" s="42"/>
      <c r="H3388" s="49" t="n">
        <f aca="true">IF(OR($A3388="",_xlfn.MINIFS($B$3:$B$5000,$A$3:$A$5000,$A3388,$B$3:$B$5000,"&gt;"&amp;$B3388)=0),NOW(),_xlfn.MINIFS($B$3:$B$5000,$A$3:$A$5000,$A3388,$B$3:$B$5000,"&gt;"&amp;$B3388))</f>
        <v>46279.5987644499</v>
      </c>
    </row>
    <row r="3389" customFormat="false" ht="15" hidden="false" customHeight="true" outlineLevel="0" collapsed="false">
      <c r="A3389" s="42"/>
      <c r="B3389" s="42"/>
      <c r="C3389" s="42"/>
      <c r="D3389" s="42"/>
      <c r="E3389" s="42"/>
      <c r="F3389" s="51" t="n">
        <f aca="false">IF(OR(C3389="",D3389="",E3389="",E3389=0),0,C3389*D3389/E3389)</f>
        <v>0</v>
      </c>
      <c r="G3389" s="42"/>
      <c r="H3389" s="49" t="n">
        <f aca="true">IF(OR($A3389="",_xlfn.MINIFS($B$3:$B$5000,$A$3:$A$5000,$A3389,$B$3:$B$5000,"&gt;"&amp;$B3389)=0),NOW(),_xlfn.MINIFS($B$3:$B$5000,$A$3:$A$5000,$A3389,$B$3:$B$5000,"&gt;"&amp;$B3389))</f>
        <v>46279.5987644499</v>
      </c>
    </row>
    <row r="3390" customFormat="false" ht="15" hidden="false" customHeight="true" outlineLevel="0" collapsed="false">
      <c r="A3390" s="42"/>
      <c r="B3390" s="42"/>
      <c r="C3390" s="42"/>
      <c r="D3390" s="42"/>
      <c r="E3390" s="42"/>
      <c r="F3390" s="51" t="n">
        <f aca="false">IF(OR(C3390="",D3390="",E3390="",E3390=0),0,C3390*D3390/E3390)</f>
        <v>0</v>
      </c>
      <c r="G3390" s="42"/>
      <c r="H3390" s="49" t="n">
        <f aca="true">IF(OR($A3390="",_xlfn.MINIFS($B$3:$B$5000,$A$3:$A$5000,$A3390,$B$3:$B$5000,"&gt;"&amp;$B3390)=0),NOW(),_xlfn.MINIFS($B$3:$B$5000,$A$3:$A$5000,$A3390,$B$3:$B$5000,"&gt;"&amp;$B3390))</f>
        <v>46279.59876445</v>
      </c>
    </row>
    <row r="3391" customFormat="false" ht="15" hidden="false" customHeight="true" outlineLevel="0" collapsed="false">
      <c r="A3391" s="42"/>
      <c r="B3391" s="42"/>
      <c r="C3391" s="42"/>
      <c r="D3391" s="42"/>
      <c r="E3391" s="42"/>
      <c r="F3391" s="51" t="n">
        <f aca="false">IF(OR(C3391="",D3391="",E3391="",E3391=0),0,C3391*D3391/E3391)</f>
        <v>0</v>
      </c>
      <c r="G3391" s="42"/>
      <c r="H3391" s="49" t="n">
        <f aca="true">IF(OR($A3391="",_xlfn.MINIFS($B$3:$B$5000,$A$3:$A$5000,$A3391,$B$3:$B$5000,"&gt;"&amp;$B3391)=0),NOW(),_xlfn.MINIFS($B$3:$B$5000,$A$3:$A$5000,$A3391,$B$3:$B$5000,"&gt;"&amp;$B3391))</f>
        <v>46279.59876445</v>
      </c>
    </row>
    <row r="3392" customFormat="false" ht="15" hidden="false" customHeight="true" outlineLevel="0" collapsed="false">
      <c r="A3392" s="42"/>
      <c r="B3392" s="42"/>
      <c r="C3392" s="42"/>
      <c r="D3392" s="42"/>
      <c r="E3392" s="42"/>
      <c r="F3392" s="51" t="n">
        <f aca="false">IF(OR(C3392="",D3392="",E3392="",E3392=0),0,C3392*D3392/E3392)</f>
        <v>0</v>
      </c>
      <c r="G3392" s="42"/>
      <c r="H3392" s="49" t="n">
        <f aca="true">IF(OR($A3392="",_xlfn.MINIFS($B$3:$B$5000,$A$3:$A$5000,$A3392,$B$3:$B$5000,"&gt;"&amp;$B3392)=0),NOW(),_xlfn.MINIFS($B$3:$B$5000,$A$3:$A$5000,$A3392,$B$3:$B$5000,"&gt;"&amp;$B3392))</f>
        <v>46279.5987644501</v>
      </c>
    </row>
    <row r="3393" customFormat="false" ht="15" hidden="false" customHeight="true" outlineLevel="0" collapsed="false">
      <c r="A3393" s="42"/>
      <c r="B3393" s="42"/>
      <c r="C3393" s="42"/>
      <c r="D3393" s="42"/>
      <c r="E3393" s="42"/>
      <c r="F3393" s="51" t="n">
        <f aca="false">IF(OR(C3393="",D3393="",E3393="",E3393=0),0,C3393*D3393/E3393)</f>
        <v>0</v>
      </c>
      <c r="G3393" s="42"/>
      <c r="H3393" s="49" t="n">
        <f aca="true">IF(OR($A3393="",_xlfn.MINIFS($B$3:$B$5000,$A$3:$A$5000,$A3393,$B$3:$B$5000,"&gt;"&amp;$B3393)=0),NOW(),_xlfn.MINIFS($B$3:$B$5000,$A$3:$A$5000,$A3393,$B$3:$B$5000,"&gt;"&amp;$B3393))</f>
        <v>46279.5987644501</v>
      </c>
    </row>
    <row r="3394" customFormat="false" ht="15" hidden="false" customHeight="true" outlineLevel="0" collapsed="false">
      <c r="A3394" s="42"/>
      <c r="B3394" s="42"/>
      <c r="C3394" s="42"/>
      <c r="D3394" s="42"/>
      <c r="E3394" s="42"/>
      <c r="F3394" s="51" t="n">
        <f aca="false">IF(OR(C3394="",D3394="",E3394="",E3394=0),0,C3394*D3394/E3394)</f>
        <v>0</v>
      </c>
      <c r="G3394" s="42"/>
      <c r="H3394" s="49" t="n">
        <f aca="true">IF(OR($A3394="",_xlfn.MINIFS($B$3:$B$5000,$A$3:$A$5000,$A3394,$B$3:$B$5000,"&gt;"&amp;$B3394)=0),NOW(),_xlfn.MINIFS($B$3:$B$5000,$A$3:$A$5000,$A3394,$B$3:$B$5000,"&gt;"&amp;$B3394))</f>
        <v>46279.5987644502</v>
      </c>
    </row>
    <row r="3395" customFormat="false" ht="15" hidden="false" customHeight="true" outlineLevel="0" collapsed="false">
      <c r="A3395" s="42"/>
      <c r="B3395" s="42"/>
      <c r="C3395" s="42"/>
      <c r="D3395" s="42"/>
      <c r="E3395" s="42"/>
      <c r="F3395" s="51" t="n">
        <f aca="false">IF(OR(C3395="",D3395="",E3395="",E3395=0),0,C3395*D3395/E3395)</f>
        <v>0</v>
      </c>
      <c r="G3395" s="42"/>
      <c r="H3395" s="49" t="n">
        <f aca="true">IF(OR($A3395="",_xlfn.MINIFS($B$3:$B$5000,$A$3:$A$5000,$A3395,$B$3:$B$5000,"&gt;"&amp;$B3395)=0),NOW(),_xlfn.MINIFS($B$3:$B$5000,$A$3:$A$5000,$A3395,$B$3:$B$5000,"&gt;"&amp;$B3395))</f>
        <v>46279.5987644502</v>
      </c>
    </row>
    <row r="3396" customFormat="false" ht="15" hidden="false" customHeight="true" outlineLevel="0" collapsed="false">
      <c r="A3396" s="42"/>
      <c r="B3396" s="42"/>
      <c r="C3396" s="42"/>
      <c r="D3396" s="42"/>
      <c r="E3396" s="42"/>
      <c r="F3396" s="51" t="n">
        <f aca="false">IF(OR(C3396="",D3396="",E3396="",E3396=0),0,C3396*D3396/E3396)</f>
        <v>0</v>
      </c>
      <c r="G3396" s="42"/>
      <c r="H3396" s="49" t="n">
        <f aca="true">IF(OR($A3396="",_xlfn.MINIFS($B$3:$B$5000,$A$3:$A$5000,$A3396,$B$3:$B$5000,"&gt;"&amp;$B3396)=0),NOW(),_xlfn.MINIFS($B$3:$B$5000,$A$3:$A$5000,$A3396,$B$3:$B$5000,"&gt;"&amp;$B3396))</f>
        <v>46279.5987644503</v>
      </c>
    </row>
    <row r="3397" customFormat="false" ht="15" hidden="false" customHeight="true" outlineLevel="0" collapsed="false">
      <c r="A3397" s="42"/>
      <c r="B3397" s="42"/>
      <c r="C3397" s="42"/>
      <c r="D3397" s="42"/>
      <c r="E3397" s="42"/>
      <c r="F3397" s="51" t="n">
        <f aca="false">IF(OR(C3397="",D3397="",E3397="",E3397=0),0,C3397*D3397/E3397)</f>
        <v>0</v>
      </c>
      <c r="G3397" s="42"/>
      <c r="H3397" s="49" t="n">
        <f aca="true">IF(OR($A3397="",_xlfn.MINIFS($B$3:$B$5000,$A$3:$A$5000,$A3397,$B$3:$B$5000,"&gt;"&amp;$B3397)=0),NOW(),_xlfn.MINIFS($B$3:$B$5000,$A$3:$A$5000,$A3397,$B$3:$B$5000,"&gt;"&amp;$B3397))</f>
        <v>46279.5987644503</v>
      </c>
    </row>
    <row r="3398" customFormat="false" ht="15" hidden="false" customHeight="true" outlineLevel="0" collapsed="false">
      <c r="A3398" s="42"/>
      <c r="B3398" s="42"/>
      <c r="C3398" s="42"/>
      <c r="D3398" s="42"/>
      <c r="E3398" s="42"/>
      <c r="F3398" s="51" t="n">
        <f aca="false">IF(OR(C3398="",D3398="",E3398="",E3398=0),0,C3398*D3398/E3398)</f>
        <v>0</v>
      </c>
      <c r="G3398" s="42"/>
      <c r="H3398" s="49" t="n">
        <f aca="true">IF(OR($A3398="",_xlfn.MINIFS($B$3:$B$5000,$A$3:$A$5000,$A3398,$B$3:$B$5000,"&gt;"&amp;$B3398)=0),NOW(),_xlfn.MINIFS($B$3:$B$5000,$A$3:$A$5000,$A3398,$B$3:$B$5000,"&gt;"&amp;$B3398))</f>
        <v>46279.5987644504</v>
      </c>
    </row>
    <row r="3399" customFormat="false" ht="15" hidden="false" customHeight="true" outlineLevel="0" collapsed="false">
      <c r="A3399" s="42"/>
      <c r="B3399" s="42"/>
      <c r="C3399" s="42"/>
      <c r="D3399" s="42"/>
      <c r="E3399" s="42"/>
      <c r="F3399" s="51" t="n">
        <f aca="false">IF(OR(C3399="",D3399="",E3399="",E3399=0),0,C3399*D3399/E3399)</f>
        <v>0</v>
      </c>
      <c r="G3399" s="42"/>
      <c r="H3399" s="49" t="n">
        <f aca="true">IF(OR($A3399="",_xlfn.MINIFS($B$3:$B$5000,$A$3:$A$5000,$A3399,$B$3:$B$5000,"&gt;"&amp;$B3399)=0),NOW(),_xlfn.MINIFS($B$3:$B$5000,$A$3:$A$5000,$A3399,$B$3:$B$5000,"&gt;"&amp;$B3399))</f>
        <v>46279.5987644504</v>
      </c>
    </row>
    <row r="3400" customFormat="false" ht="15" hidden="false" customHeight="true" outlineLevel="0" collapsed="false">
      <c r="A3400" s="42"/>
      <c r="B3400" s="42"/>
      <c r="C3400" s="42"/>
      <c r="D3400" s="42"/>
      <c r="E3400" s="42"/>
      <c r="F3400" s="51" t="n">
        <f aca="false">IF(OR(C3400="",D3400="",E3400="",E3400=0),0,C3400*D3400/E3400)</f>
        <v>0</v>
      </c>
      <c r="G3400" s="42"/>
      <c r="H3400" s="49" t="n">
        <f aca="true">IF(OR($A3400="",_xlfn.MINIFS($B$3:$B$5000,$A$3:$A$5000,$A3400,$B$3:$B$5000,"&gt;"&amp;$B3400)=0),NOW(),_xlfn.MINIFS($B$3:$B$5000,$A$3:$A$5000,$A3400,$B$3:$B$5000,"&gt;"&amp;$B3400))</f>
        <v>46279.5987644505</v>
      </c>
    </row>
    <row r="3401" customFormat="false" ht="15" hidden="false" customHeight="true" outlineLevel="0" collapsed="false">
      <c r="A3401" s="42"/>
      <c r="B3401" s="42"/>
      <c r="C3401" s="42"/>
      <c r="D3401" s="42"/>
      <c r="E3401" s="42"/>
      <c r="F3401" s="51" t="n">
        <f aca="false">IF(OR(C3401="",D3401="",E3401="",E3401=0),0,C3401*D3401/E3401)</f>
        <v>0</v>
      </c>
      <c r="G3401" s="42"/>
      <c r="H3401" s="49" t="n">
        <f aca="true">IF(OR($A3401="",_xlfn.MINIFS($B$3:$B$5000,$A$3:$A$5000,$A3401,$B$3:$B$5000,"&gt;"&amp;$B3401)=0),NOW(),_xlfn.MINIFS($B$3:$B$5000,$A$3:$A$5000,$A3401,$B$3:$B$5000,"&gt;"&amp;$B3401))</f>
        <v>46279.5987644505</v>
      </c>
    </row>
    <row r="3402" customFormat="false" ht="15" hidden="false" customHeight="true" outlineLevel="0" collapsed="false">
      <c r="A3402" s="42"/>
      <c r="B3402" s="42"/>
      <c r="C3402" s="42"/>
      <c r="D3402" s="42"/>
      <c r="E3402" s="42"/>
      <c r="F3402" s="51" t="n">
        <f aca="false">IF(OR(C3402="",D3402="",E3402="",E3402=0),0,C3402*D3402/E3402)</f>
        <v>0</v>
      </c>
      <c r="G3402" s="42"/>
      <c r="H3402" s="49" t="n">
        <f aca="true">IF(OR($A3402="",_xlfn.MINIFS($B$3:$B$5000,$A$3:$A$5000,$A3402,$B$3:$B$5000,"&gt;"&amp;$B3402)=0),NOW(),_xlfn.MINIFS($B$3:$B$5000,$A$3:$A$5000,$A3402,$B$3:$B$5000,"&gt;"&amp;$B3402))</f>
        <v>46279.5987644506</v>
      </c>
    </row>
    <row r="3403" customFormat="false" ht="15" hidden="false" customHeight="true" outlineLevel="0" collapsed="false">
      <c r="A3403" s="42"/>
      <c r="B3403" s="42"/>
      <c r="C3403" s="42"/>
      <c r="D3403" s="42"/>
      <c r="E3403" s="42"/>
      <c r="F3403" s="51" t="n">
        <f aca="false">IF(OR(C3403="",D3403="",E3403="",E3403=0),0,C3403*D3403/E3403)</f>
        <v>0</v>
      </c>
      <c r="G3403" s="42"/>
      <c r="H3403" s="49" t="n">
        <f aca="true">IF(OR($A3403="",_xlfn.MINIFS($B$3:$B$5000,$A$3:$A$5000,$A3403,$B$3:$B$5000,"&gt;"&amp;$B3403)=0),NOW(),_xlfn.MINIFS($B$3:$B$5000,$A$3:$A$5000,$A3403,$B$3:$B$5000,"&gt;"&amp;$B3403))</f>
        <v>46279.5987644506</v>
      </c>
    </row>
    <row r="3404" customFormat="false" ht="15" hidden="false" customHeight="true" outlineLevel="0" collapsed="false">
      <c r="A3404" s="42"/>
      <c r="B3404" s="42"/>
      <c r="C3404" s="42"/>
      <c r="D3404" s="42"/>
      <c r="E3404" s="42"/>
      <c r="F3404" s="51" t="n">
        <f aca="false">IF(OR(C3404="",D3404="",E3404="",E3404=0),0,C3404*D3404/E3404)</f>
        <v>0</v>
      </c>
      <c r="G3404" s="42"/>
      <c r="H3404" s="49" t="n">
        <f aca="true">IF(OR($A3404="",_xlfn.MINIFS($B$3:$B$5000,$A$3:$A$5000,$A3404,$B$3:$B$5000,"&gt;"&amp;$B3404)=0),NOW(),_xlfn.MINIFS($B$3:$B$5000,$A$3:$A$5000,$A3404,$B$3:$B$5000,"&gt;"&amp;$B3404))</f>
        <v>46279.5987644507</v>
      </c>
    </row>
    <row r="3405" customFormat="false" ht="15" hidden="false" customHeight="true" outlineLevel="0" collapsed="false">
      <c r="A3405" s="42"/>
      <c r="B3405" s="42"/>
      <c r="C3405" s="42"/>
      <c r="D3405" s="42"/>
      <c r="E3405" s="42"/>
      <c r="F3405" s="51" t="n">
        <f aca="false">IF(OR(C3405="",D3405="",E3405="",E3405=0),0,C3405*D3405/E3405)</f>
        <v>0</v>
      </c>
      <c r="G3405" s="42"/>
      <c r="H3405" s="49" t="n">
        <f aca="true">IF(OR($A3405="",_xlfn.MINIFS($B$3:$B$5000,$A$3:$A$5000,$A3405,$B$3:$B$5000,"&gt;"&amp;$B3405)=0),NOW(),_xlfn.MINIFS($B$3:$B$5000,$A$3:$A$5000,$A3405,$B$3:$B$5000,"&gt;"&amp;$B3405))</f>
        <v>46279.5987644507</v>
      </c>
    </row>
    <row r="3406" customFormat="false" ht="15" hidden="false" customHeight="true" outlineLevel="0" collapsed="false">
      <c r="A3406" s="42"/>
      <c r="B3406" s="42"/>
      <c r="C3406" s="42"/>
      <c r="D3406" s="42"/>
      <c r="E3406" s="42"/>
      <c r="F3406" s="51" t="n">
        <f aca="false">IF(OR(C3406="",D3406="",E3406="",E3406=0),0,C3406*D3406/E3406)</f>
        <v>0</v>
      </c>
      <c r="G3406" s="42"/>
      <c r="H3406" s="49" t="n">
        <f aca="true">IF(OR($A3406="",_xlfn.MINIFS($B$3:$B$5000,$A$3:$A$5000,$A3406,$B$3:$B$5000,"&gt;"&amp;$B3406)=0),NOW(),_xlfn.MINIFS($B$3:$B$5000,$A$3:$A$5000,$A3406,$B$3:$B$5000,"&gt;"&amp;$B3406))</f>
        <v>46279.5987644508</v>
      </c>
    </row>
    <row r="3407" customFormat="false" ht="15" hidden="false" customHeight="true" outlineLevel="0" collapsed="false">
      <c r="A3407" s="42"/>
      <c r="B3407" s="42"/>
      <c r="C3407" s="42"/>
      <c r="D3407" s="42"/>
      <c r="E3407" s="42"/>
      <c r="F3407" s="51" t="n">
        <f aca="false">IF(OR(C3407="",D3407="",E3407="",E3407=0),0,C3407*D3407/E3407)</f>
        <v>0</v>
      </c>
      <c r="G3407" s="42"/>
      <c r="H3407" s="49" t="n">
        <f aca="true">IF(OR($A3407="",_xlfn.MINIFS($B$3:$B$5000,$A$3:$A$5000,$A3407,$B$3:$B$5000,"&gt;"&amp;$B3407)=0),NOW(),_xlfn.MINIFS($B$3:$B$5000,$A$3:$A$5000,$A3407,$B$3:$B$5000,"&gt;"&amp;$B3407))</f>
        <v>46279.5987644508</v>
      </c>
    </row>
    <row r="3408" customFormat="false" ht="15" hidden="false" customHeight="true" outlineLevel="0" collapsed="false">
      <c r="A3408" s="42"/>
      <c r="B3408" s="42"/>
      <c r="C3408" s="42"/>
      <c r="D3408" s="42"/>
      <c r="E3408" s="42"/>
      <c r="F3408" s="51" t="n">
        <f aca="false">IF(OR(C3408="",D3408="",E3408="",E3408=0),0,C3408*D3408/E3408)</f>
        <v>0</v>
      </c>
      <c r="G3408" s="42"/>
      <c r="H3408" s="49" t="n">
        <f aca="true">IF(OR($A3408="",_xlfn.MINIFS($B$3:$B$5000,$A$3:$A$5000,$A3408,$B$3:$B$5000,"&gt;"&amp;$B3408)=0),NOW(),_xlfn.MINIFS($B$3:$B$5000,$A$3:$A$5000,$A3408,$B$3:$B$5000,"&gt;"&amp;$B3408))</f>
        <v>46279.5987644509</v>
      </c>
    </row>
    <row r="3409" customFormat="false" ht="15" hidden="false" customHeight="true" outlineLevel="0" collapsed="false">
      <c r="A3409" s="42"/>
      <c r="B3409" s="42"/>
      <c r="C3409" s="42"/>
      <c r="D3409" s="42"/>
      <c r="E3409" s="42"/>
      <c r="F3409" s="51" t="n">
        <f aca="false">IF(OR(C3409="",D3409="",E3409="",E3409=0),0,C3409*D3409/E3409)</f>
        <v>0</v>
      </c>
      <c r="G3409" s="42"/>
      <c r="H3409" s="49" t="n">
        <f aca="true">IF(OR($A3409="",_xlfn.MINIFS($B$3:$B$5000,$A$3:$A$5000,$A3409,$B$3:$B$5000,"&gt;"&amp;$B3409)=0),NOW(),_xlfn.MINIFS($B$3:$B$5000,$A$3:$A$5000,$A3409,$B$3:$B$5000,"&gt;"&amp;$B3409))</f>
        <v>46279.5987644509</v>
      </c>
    </row>
    <row r="3410" customFormat="false" ht="15" hidden="false" customHeight="true" outlineLevel="0" collapsed="false">
      <c r="A3410" s="42"/>
      <c r="B3410" s="42"/>
      <c r="C3410" s="42"/>
      <c r="D3410" s="42"/>
      <c r="E3410" s="42"/>
      <c r="F3410" s="51" t="n">
        <f aca="false">IF(OR(C3410="",D3410="",E3410="",E3410=0),0,C3410*D3410/E3410)</f>
        <v>0</v>
      </c>
      <c r="G3410" s="42"/>
      <c r="H3410" s="49" t="n">
        <f aca="true">IF(OR($A3410="",_xlfn.MINIFS($B$3:$B$5000,$A$3:$A$5000,$A3410,$B$3:$B$5000,"&gt;"&amp;$B3410)=0),NOW(),_xlfn.MINIFS($B$3:$B$5000,$A$3:$A$5000,$A3410,$B$3:$B$5000,"&gt;"&amp;$B3410))</f>
        <v>46279.598764451</v>
      </c>
    </row>
    <row r="3411" customFormat="false" ht="15" hidden="false" customHeight="true" outlineLevel="0" collapsed="false">
      <c r="A3411" s="42"/>
      <c r="B3411" s="42"/>
      <c r="C3411" s="42"/>
      <c r="D3411" s="42"/>
      <c r="E3411" s="42"/>
      <c r="F3411" s="51" t="n">
        <f aca="false">IF(OR(C3411="",D3411="",E3411="",E3411=0),0,C3411*D3411/E3411)</f>
        <v>0</v>
      </c>
      <c r="G3411" s="42"/>
      <c r="H3411" s="49" t="n">
        <f aca="true">IF(OR($A3411="",_xlfn.MINIFS($B$3:$B$5000,$A$3:$A$5000,$A3411,$B$3:$B$5000,"&gt;"&amp;$B3411)=0),NOW(),_xlfn.MINIFS($B$3:$B$5000,$A$3:$A$5000,$A3411,$B$3:$B$5000,"&gt;"&amp;$B3411))</f>
        <v>46279.598764451</v>
      </c>
    </row>
    <row r="3412" customFormat="false" ht="15" hidden="false" customHeight="true" outlineLevel="0" collapsed="false">
      <c r="A3412" s="42"/>
      <c r="B3412" s="42"/>
      <c r="C3412" s="42"/>
      <c r="D3412" s="42"/>
      <c r="E3412" s="42"/>
      <c r="F3412" s="51" t="n">
        <f aca="false">IF(OR(C3412="",D3412="",E3412="",E3412=0),0,C3412*D3412/E3412)</f>
        <v>0</v>
      </c>
      <c r="G3412" s="42"/>
      <c r="H3412" s="49" t="n">
        <f aca="true">IF(OR($A3412="",_xlfn.MINIFS($B$3:$B$5000,$A$3:$A$5000,$A3412,$B$3:$B$5000,"&gt;"&amp;$B3412)=0),NOW(),_xlfn.MINIFS($B$3:$B$5000,$A$3:$A$5000,$A3412,$B$3:$B$5000,"&gt;"&amp;$B3412))</f>
        <v>46279.5987644511</v>
      </c>
    </row>
    <row r="3413" customFormat="false" ht="15" hidden="false" customHeight="true" outlineLevel="0" collapsed="false">
      <c r="A3413" s="42"/>
      <c r="B3413" s="42"/>
      <c r="C3413" s="42"/>
      <c r="D3413" s="42"/>
      <c r="E3413" s="42"/>
      <c r="F3413" s="51" t="n">
        <f aca="false">IF(OR(C3413="",D3413="",E3413="",E3413=0),0,C3413*D3413/E3413)</f>
        <v>0</v>
      </c>
      <c r="G3413" s="42"/>
      <c r="H3413" s="49" t="n">
        <f aca="true">IF(OR($A3413="",_xlfn.MINIFS($B$3:$B$5000,$A$3:$A$5000,$A3413,$B$3:$B$5000,"&gt;"&amp;$B3413)=0),NOW(),_xlfn.MINIFS($B$3:$B$5000,$A$3:$A$5000,$A3413,$B$3:$B$5000,"&gt;"&amp;$B3413))</f>
        <v>46279.5987644511</v>
      </c>
    </row>
    <row r="3414" customFormat="false" ht="15" hidden="false" customHeight="true" outlineLevel="0" collapsed="false">
      <c r="A3414" s="42"/>
      <c r="B3414" s="42"/>
      <c r="C3414" s="42"/>
      <c r="D3414" s="42"/>
      <c r="E3414" s="42"/>
      <c r="F3414" s="51" t="n">
        <f aca="false">IF(OR(C3414="",D3414="",E3414="",E3414=0),0,C3414*D3414/E3414)</f>
        <v>0</v>
      </c>
      <c r="G3414" s="42"/>
      <c r="H3414" s="49" t="n">
        <f aca="true">IF(OR($A3414="",_xlfn.MINIFS($B$3:$B$5000,$A$3:$A$5000,$A3414,$B$3:$B$5000,"&gt;"&amp;$B3414)=0),NOW(),_xlfn.MINIFS($B$3:$B$5000,$A$3:$A$5000,$A3414,$B$3:$B$5000,"&gt;"&amp;$B3414))</f>
        <v>46279.5987644512</v>
      </c>
    </row>
    <row r="3415" customFormat="false" ht="15" hidden="false" customHeight="true" outlineLevel="0" collapsed="false">
      <c r="A3415" s="42"/>
      <c r="B3415" s="42"/>
      <c r="C3415" s="42"/>
      <c r="D3415" s="42"/>
      <c r="E3415" s="42"/>
      <c r="F3415" s="51" t="n">
        <f aca="false">IF(OR(C3415="",D3415="",E3415="",E3415=0),0,C3415*D3415/E3415)</f>
        <v>0</v>
      </c>
      <c r="G3415" s="42"/>
      <c r="H3415" s="49" t="n">
        <f aca="true">IF(OR($A3415="",_xlfn.MINIFS($B$3:$B$5000,$A$3:$A$5000,$A3415,$B$3:$B$5000,"&gt;"&amp;$B3415)=0),NOW(),_xlfn.MINIFS($B$3:$B$5000,$A$3:$A$5000,$A3415,$B$3:$B$5000,"&gt;"&amp;$B3415))</f>
        <v>46279.5987644512</v>
      </c>
    </row>
    <row r="3416" customFormat="false" ht="15" hidden="false" customHeight="true" outlineLevel="0" collapsed="false">
      <c r="A3416" s="42"/>
      <c r="B3416" s="42"/>
      <c r="C3416" s="42"/>
      <c r="D3416" s="42"/>
      <c r="E3416" s="42"/>
      <c r="F3416" s="51" t="n">
        <f aca="false">IF(OR(C3416="",D3416="",E3416="",E3416=0),0,C3416*D3416/E3416)</f>
        <v>0</v>
      </c>
      <c r="G3416" s="42"/>
      <c r="H3416" s="49" t="n">
        <f aca="true">IF(OR($A3416="",_xlfn.MINIFS($B$3:$B$5000,$A$3:$A$5000,$A3416,$B$3:$B$5000,"&gt;"&amp;$B3416)=0),NOW(),_xlfn.MINIFS($B$3:$B$5000,$A$3:$A$5000,$A3416,$B$3:$B$5000,"&gt;"&amp;$B3416))</f>
        <v>46279.5987644513</v>
      </c>
    </row>
    <row r="3417" customFormat="false" ht="15" hidden="false" customHeight="true" outlineLevel="0" collapsed="false">
      <c r="A3417" s="42"/>
      <c r="B3417" s="42"/>
      <c r="C3417" s="42"/>
      <c r="D3417" s="42"/>
      <c r="E3417" s="42"/>
      <c r="F3417" s="51" t="n">
        <f aca="false">IF(OR(C3417="",D3417="",E3417="",E3417=0),0,C3417*D3417/E3417)</f>
        <v>0</v>
      </c>
      <c r="G3417" s="42"/>
      <c r="H3417" s="49" t="n">
        <f aca="true">IF(OR($A3417="",_xlfn.MINIFS($B$3:$B$5000,$A$3:$A$5000,$A3417,$B$3:$B$5000,"&gt;"&amp;$B3417)=0),NOW(),_xlfn.MINIFS($B$3:$B$5000,$A$3:$A$5000,$A3417,$B$3:$B$5000,"&gt;"&amp;$B3417))</f>
        <v>46279.5987644513</v>
      </c>
    </row>
    <row r="3418" customFormat="false" ht="15" hidden="false" customHeight="true" outlineLevel="0" collapsed="false">
      <c r="A3418" s="42"/>
      <c r="B3418" s="42"/>
      <c r="C3418" s="42"/>
      <c r="D3418" s="42"/>
      <c r="E3418" s="42"/>
      <c r="F3418" s="51" t="n">
        <f aca="false">IF(OR(C3418="",D3418="",E3418="",E3418=0),0,C3418*D3418/E3418)</f>
        <v>0</v>
      </c>
      <c r="G3418" s="42"/>
      <c r="H3418" s="49" t="n">
        <f aca="true">IF(OR($A3418="",_xlfn.MINIFS($B$3:$B$5000,$A$3:$A$5000,$A3418,$B$3:$B$5000,"&gt;"&amp;$B3418)=0),NOW(),_xlfn.MINIFS($B$3:$B$5000,$A$3:$A$5000,$A3418,$B$3:$B$5000,"&gt;"&amp;$B3418))</f>
        <v>46279.5987644514</v>
      </c>
    </row>
    <row r="3419" customFormat="false" ht="15" hidden="false" customHeight="true" outlineLevel="0" collapsed="false">
      <c r="A3419" s="42"/>
      <c r="B3419" s="42"/>
      <c r="C3419" s="42"/>
      <c r="D3419" s="42"/>
      <c r="E3419" s="42"/>
      <c r="F3419" s="51" t="n">
        <f aca="false">IF(OR(C3419="",D3419="",E3419="",E3419=0),0,C3419*D3419/E3419)</f>
        <v>0</v>
      </c>
      <c r="G3419" s="42"/>
      <c r="H3419" s="49" t="n">
        <f aca="true">IF(OR($A3419="",_xlfn.MINIFS($B$3:$B$5000,$A$3:$A$5000,$A3419,$B$3:$B$5000,"&gt;"&amp;$B3419)=0),NOW(),_xlfn.MINIFS($B$3:$B$5000,$A$3:$A$5000,$A3419,$B$3:$B$5000,"&gt;"&amp;$B3419))</f>
        <v>46279.5987644514</v>
      </c>
    </row>
    <row r="3420" customFormat="false" ht="15" hidden="false" customHeight="true" outlineLevel="0" collapsed="false">
      <c r="A3420" s="42"/>
      <c r="B3420" s="42"/>
      <c r="C3420" s="42"/>
      <c r="D3420" s="42"/>
      <c r="E3420" s="42"/>
      <c r="F3420" s="51" t="n">
        <f aca="false">IF(OR(C3420="",D3420="",E3420="",E3420=0),0,C3420*D3420/E3420)</f>
        <v>0</v>
      </c>
      <c r="G3420" s="42"/>
      <c r="H3420" s="49" t="n">
        <f aca="true">IF(OR($A3420="",_xlfn.MINIFS($B$3:$B$5000,$A$3:$A$5000,$A3420,$B$3:$B$5000,"&gt;"&amp;$B3420)=0),NOW(),_xlfn.MINIFS($B$3:$B$5000,$A$3:$A$5000,$A3420,$B$3:$B$5000,"&gt;"&amp;$B3420))</f>
        <v>46279.5987644515</v>
      </c>
    </row>
    <row r="3421" customFormat="false" ht="15" hidden="false" customHeight="true" outlineLevel="0" collapsed="false">
      <c r="A3421" s="42"/>
      <c r="B3421" s="42"/>
      <c r="C3421" s="42"/>
      <c r="D3421" s="42"/>
      <c r="E3421" s="42"/>
      <c r="F3421" s="51" t="n">
        <f aca="false">IF(OR(C3421="",D3421="",E3421="",E3421=0),0,C3421*D3421/E3421)</f>
        <v>0</v>
      </c>
      <c r="G3421" s="42"/>
      <c r="H3421" s="49" t="n">
        <f aca="true">IF(OR($A3421="",_xlfn.MINIFS($B$3:$B$5000,$A$3:$A$5000,$A3421,$B$3:$B$5000,"&gt;"&amp;$B3421)=0),NOW(),_xlfn.MINIFS($B$3:$B$5000,$A$3:$A$5000,$A3421,$B$3:$B$5000,"&gt;"&amp;$B3421))</f>
        <v>46279.5987644515</v>
      </c>
    </row>
    <row r="3422" customFormat="false" ht="15" hidden="false" customHeight="true" outlineLevel="0" collapsed="false">
      <c r="A3422" s="42"/>
      <c r="B3422" s="42"/>
      <c r="C3422" s="42"/>
      <c r="D3422" s="42"/>
      <c r="E3422" s="42"/>
      <c r="F3422" s="51" t="n">
        <f aca="false">IF(OR(C3422="",D3422="",E3422="",E3422=0),0,C3422*D3422/E3422)</f>
        <v>0</v>
      </c>
      <c r="G3422" s="42"/>
      <c r="H3422" s="49" t="n">
        <f aca="true">IF(OR($A3422="",_xlfn.MINIFS($B$3:$B$5000,$A$3:$A$5000,$A3422,$B$3:$B$5000,"&gt;"&amp;$B3422)=0),NOW(),_xlfn.MINIFS($B$3:$B$5000,$A$3:$A$5000,$A3422,$B$3:$B$5000,"&gt;"&amp;$B3422))</f>
        <v>46279.5987644516</v>
      </c>
    </row>
    <row r="3423" customFormat="false" ht="15" hidden="false" customHeight="true" outlineLevel="0" collapsed="false">
      <c r="A3423" s="42"/>
      <c r="B3423" s="42"/>
      <c r="C3423" s="42"/>
      <c r="D3423" s="42"/>
      <c r="E3423" s="42"/>
      <c r="F3423" s="51" t="n">
        <f aca="false">IF(OR(C3423="",D3423="",E3423="",E3423=0),0,C3423*D3423/E3423)</f>
        <v>0</v>
      </c>
      <c r="G3423" s="42"/>
      <c r="H3423" s="49" t="n">
        <f aca="true">IF(OR($A3423="",_xlfn.MINIFS($B$3:$B$5000,$A$3:$A$5000,$A3423,$B$3:$B$5000,"&gt;"&amp;$B3423)=0),NOW(),_xlfn.MINIFS($B$3:$B$5000,$A$3:$A$5000,$A3423,$B$3:$B$5000,"&gt;"&amp;$B3423))</f>
        <v>46279.5987644516</v>
      </c>
    </row>
    <row r="3424" customFormat="false" ht="15" hidden="false" customHeight="true" outlineLevel="0" collapsed="false">
      <c r="A3424" s="42"/>
      <c r="B3424" s="42"/>
      <c r="C3424" s="42"/>
      <c r="D3424" s="42"/>
      <c r="E3424" s="42"/>
      <c r="F3424" s="51" t="n">
        <f aca="false">IF(OR(C3424="",D3424="",E3424="",E3424=0),0,C3424*D3424/E3424)</f>
        <v>0</v>
      </c>
      <c r="G3424" s="42"/>
      <c r="H3424" s="49" t="n">
        <f aca="true">IF(OR($A3424="",_xlfn.MINIFS($B$3:$B$5000,$A$3:$A$5000,$A3424,$B$3:$B$5000,"&gt;"&amp;$B3424)=0),NOW(),_xlfn.MINIFS($B$3:$B$5000,$A$3:$A$5000,$A3424,$B$3:$B$5000,"&gt;"&amp;$B3424))</f>
        <v>46279.5987644517</v>
      </c>
    </row>
    <row r="3425" customFormat="false" ht="15" hidden="false" customHeight="true" outlineLevel="0" collapsed="false">
      <c r="A3425" s="42"/>
      <c r="B3425" s="42"/>
      <c r="C3425" s="42"/>
      <c r="D3425" s="42"/>
      <c r="E3425" s="42"/>
      <c r="F3425" s="51" t="n">
        <f aca="false">IF(OR(C3425="",D3425="",E3425="",E3425=0),0,C3425*D3425/E3425)</f>
        <v>0</v>
      </c>
      <c r="G3425" s="42"/>
      <c r="H3425" s="49" t="n">
        <f aca="true">IF(OR($A3425="",_xlfn.MINIFS($B$3:$B$5000,$A$3:$A$5000,$A3425,$B$3:$B$5000,"&gt;"&amp;$B3425)=0),NOW(),_xlfn.MINIFS($B$3:$B$5000,$A$3:$A$5000,$A3425,$B$3:$B$5000,"&gt;"&amp;$B3425))</f>
        <v>46279.5987644517</v>
      </c>
    </row>
    <row r="3426" customFormat="false" ht="15" hidden="false" customHeight="true" outlineLevel="0" collapsed="false">
      <c r="A3426" s="42"/>
      <c r="B3426" s="42"/>
      <c r="C3426" s="42"/>
      <c r="D3426" s="42"/>
      <c r="E3426" s="42"/>
      <c r="F3426" s="51" t="n">
        <f aca="false">IF(OR(C3426="",D3426="",E3426="",E3426=0),0,C3426*D3426/E3426)</f>
        <v>0</v>
      </c>
      <c r="G3426" s="42"/>
      <c r="H3426" s="49" t="n">
        <f aca="true">IF(OR($A3426="",_xlfn.MINIFS($B$3:$B$5000,$A$3:$A$5000,$A3426,$B$3:$B$5000,"&gt;"&amp;$B3426)=0),NOW(),_xlfn.MINIFS($B$3:$B$5000,$A$3:$A$5000,$A3426,$B$3:$B$5000,"&gt;"&amp;$B3426))</f>
        <v>46279.5987644518</v>
      </c>
    </row>
    <row r="3427" customFormat="false" ht="15" hidden="false" customHeight="true" outlineLevel="0" collapsed="false">
      <c r="A3427" s="42"/>
      <c r="B3427" s="42"/>
      <c r="C3427" s="42"/>
      <c r="D3427" s="42"/>
      <c r="E3427" s="42"/>
      <c r="F3427" s="51" t="n">
        <f aca="false">IF(OR(C3427="",D3427="",E3427="",E3427=0),0,C3427*D3427/E3427)</f>
        <v>0</v>
      </c>
      <c r="G3427" s="42"/>
      <c r="H3427" s="49" t="n">
        <f aca="true">IF(OR($A3427="",_xlfn.MINIFS($B$3:$B$5000,$A$3:$A$5000,$A3427,$B$3:$B$5000,"&gt;"&amp;$B3427)=0),NOW(),_xlfn.MINIFS($B$3:$B$5000,$A$3:$A$5000,$A3427,$B$3:$B$5000,"&gt;"&amp;$B3427))</f>
        <v>46279.5987644518</v>
      </c>
    </row>
    <row r="3428" customFormat="false" ht="15" hidden="false" customHeight="true" outlineLevel="0" collapsed="false">
      <c r="A3428" s="42"/>
      <c r="B3428" s="42"/>
      <c r="C3428" s="42"/>
      <c r="D3428" s="42"/>
      <c r="E3428" s="42"/>
      <c r="F3428" s="51" t="n">
        <f aca="false">IF(OR(C3428="",D3428="",E3428="",E3428=0),0,C3428*D3428/E3428)</f>
        <v>0</v>
      </c>
      <c r="G3428" s="42"/>
      <c r="H3428" s="49" t="n">
        <f aca="true">IF(OR($A3428="",_xlfn.MINIFS($B$3:$B$5000,$A$3:$A$5000,$A3428,$B$3:$B$5000,"&gt;"&amp;$B3428)=0),NOW(),_xlfn.MINIFS($B$3:$B$5000,$A$3:$A$5000,$A3428,$B$3:$B$5000,"&gt;"&amp;$B3428))</f>
        <v>46279.5987644519</v>
      </c>
    </row>
    <row r="3429" customFormat="false" ht="15" hidden="false" customHeight="true" outlineLevel="0" collapsed="false">
      <c r="A3429" s="42"/>
      <c r="B3429" s="42"/>
      <c r="C3429" s="42"/>
      <c r="D3429" s="42"/>
      <c r="E3429" s="42"/>
      <c r="F3429" s="51" t="n">
        <f aca="false">IF(OR(C3429="",D3429="",E3429="",E3429=0),0,C3429*D3429/E3429)</f>
        <v>0</v>
      </c>
      <c r="G3429" s="42"/>
      <c r="H3429" s="49" t="n">
        <f aca="true">IF(OR($A3429="",_xlfn.MINIFS($B$3:$B$5000,$A$3:$A$5000,$A3429,$B$3:$B$5000,"&gt;"&amp;$B3429)=0),NOW(),_xlfn.MINIFS($B$3:$B$5000,$A$3:$A$5000,$A3429,$B$3:$B$5000,"&gt;"&amp;$B3429))</f>
        <v>46279.5987644519</v>
      </c>
    </row>
    <row r="3430" customFormat="false" ht="15" hidden="false" customHeight="true" outlineLevel="0" collapsed="false">
      <c r="A3430" s="42"/>
      <c r="B3430" s="42"/>
      <c r="C3430" s="42"/>
      <c r="D3430" s="42"/>
      <c r="E3430" s="42"/>
      <c r="F3430" s="51" t="n">
        <f aca="false">IF(OR(C3430="",D3430="",E3430="",E3430=0),0,C3430*D3430/E3430)</f>
        <v>0</v>
      </c>
      <c r="G3430" s="42"/>
      <c r="H3430" s="49" t="n">
        <f aca="true">IF(OR($A3430="",_xlfn.MINIFS($B$3:$B$5000,$A$3:$A$5000,$A3430,$B$3:$B$5000,"&gt;"&amp;$B3430)=0),NOW(),_xlfn.MINIFS($B$3:$B$5000,$A$3:$A$5000,$A3430,$B$3:$B$5000,"&gt;"&amp;$B3430))</f>
        <v>46279.598764452</v>
      </c>
    </row>
    <row r="3431" customFormat="false" ht="15" hidden="false" customHeight="true" outlineLevel="0" collapsed="false">
      <c r="A3431" s="42"/>
      <c r="B3431" s="42"/>
      <c r="C3431" s="42"/>
      <c r="D3431" s="42"/>
      <c r="E3431" s="42"/>
      <c r="F3431" s="51" t="n">
        <f aca="false">IF(OR(C3431="",D3431="",E3431="",E3431=0),0,C3431*D3431/E3431)</f>
        <v>0</v>
      </c>
      <c r="G3431" s="42"/>
      <c r="H3431" s="49" t="n">
        <f aca="true">IF(OR($A3431="",_xlfn.MINIFS($B$3:$B$5000,$A$3:$A$5000,$A3431,$B$3:$B$5000,"&gt;"&amp;$B3431)=0),NOW(),_xlfn.MINIFS($B$3:$B$5000,$A$3:$A$5000,$A3431,$B$3:$B$5000,"&gt;"&amp;$B3431))</f>
        <v>46279.598764452</v>
      </c>
    </row>
    <row r="3432" customFormat="false" ht="15" hidden="false" customHeight="true" outlineLevel="0" collapsed="false">
      <c r="A3432" s="42"/>
      <c r="B3432" s="42"/>
      <c r="C3432" s="42"/>
      <c r="D3432" s="42"/>
      <c r="E3432" s="42"/>
      <c r="F3432" s="51" t="n">
        <f aca="false">IF(OR(C3432="",D3432="",E3432="",E3432=0),0,C3432*D3432/E3432)</f>
        <v>0</v>
      </c>
      <c r="G3432" s="42"/>
      <c r="H3432" s="49" t="n">
        <f aca="true">IF(OR($A3432="",_xlfn.MINIFS($B$3:$B$5000,$A$3:$A$5000,$A3432,$B$3:$B$5000,"&gt;"&amp;$B3432)=0),NOW(),_xlfn.MINIFS($B$3:$B$5000,$A$3:$A$5000,$A3432,$B$3:$B$5000,"&gt;"&amp;$B3432))</f>
        <v>46279.5987644521</v>
      </c>
    </row>
    <row r="3433" customFormat="false" ht="15" hidden="false" customHeight="true" outlineLevel="0" collapsed="false">
      <c r="A3433" s="42"/>
      <c r="B3433" s="42"/>
      <c r="C3433" s="42"/>
      <c r="D3433" s="42"/>
      <c r="E3433" s="42"/>
      <c r="F3433" s="51" t="n">
        <f aca="false">IF(OR(C3433="",D3433="",E3433="",E3433=0),0,C3433*D3433/E3433)</f>
        <v>0</v>
      </c>
      <c r="G3433" s="42"/>
      <c r="H3433" s="49" t="n">
        <f aca="true">IF(OR($A3433="",_xlfn.MINIFS($B$3:$B$5000,$A$3:$A$5000,$A3433,$B$3:$B$5000,"&gt;"&amp;$B3433)=0),NOW(),_xlfn.MINIFS($B$3:$B$5000,$A$3:$A$5000,$A3433,$B$3:$B$5000,"&gt;"&amp;$B3433))</f>
        <v>46279.5987644521</v>
      </c>
    </row>
    <row r="3434" customFormat="false" ht="15" hidden="false" customHeight="true" outlineLevel="0" collapsed="false">
      <c r="A3434" s="42"/>
      <c r="B3434" s="42"/>
      <c r="C3434" s="42"/>
      <c r="D3434" s="42"/>
      <c r="E3434" s="42"/>
      <c r="F3434" s="51" t="n">
        <f aca="false">IF(OR(C3434="",D3434="",E3434="",E3434=0),0,C3434*D3434/E3434)</f>
        <v>0</v>
      </c>
      <c r="G3434" s="42"/>
      <c r="H3434" s="49" t="n">
        <f aca="true">IF(OR($A3434="",_xlfn.MINIFS($B$3:$B$5000,$A$3:$A$5000,$A3434,$B$3:$B$5000,"&gt;"&amp;$B3434)=0),NOW(),_xlfn.MINIFS($B$3:$B$5000,$A$3:$A$5000,$A3434,$B$3:$B$5000,"&gt;"&amp;$B3434))</f>
        <v>46279.5987644522</v>
      </c>
    </row>
    <row r="3435" customFormat="false" ht="15" hidden="false" customHeight="true" outlineLevel="0" collapsed="false">
      <c r="A3435" s="42"/>
      <c r="B3435" s="42"/>
      <c r="C3435" s="42"/>
      <c r="D3435" s="42"/>
      <c r="E3435" s="42"/>
      <c r="F3435" s="51" t="n">
        <f aca="false">IF(OR(C3435="",D3435="",E3435="",E3435=0),0,C3435*D3435/E3435)</f>
        <v>0</v>
      </c>
      <c r="G3435" s="42"/>
      <c r="H3435" s="49" t="n">
        <f aca="true">IF(OR($A3435="",_xlfn.MINIFS($B$3:$B$5000,$A$3:$A$5000,$A3435,$B$3:$B$5000,"&gt;"&amp;$B3435)=0),NOW(),_xlfn.MINIFS($B$3:$B$5000,$A$3:$A$5000,$A3435,$B$3:$B$5000,"&gt;"&amp;$B3435))</f>
        <v>46279.5987644522</v>
      </c>
    </row>
    <row r="3436" customFormat="false" ht="15" hidden="false" customHeight="true" outlineLevel="0" collapsed="false">
      <c r="A3436" s="42"/>
      <c r="B3436" s="42"/>
      <c r="C3436" s="42"/>
      <c r="D3436" s="42"/>
      <c r="E3436" s="42"/>
      <c r="F3436" s="51" t="n">
        <f aca="false">IF(OR(C3436="",D3436="",E3436="",E3436=0),0,C3436*D3436/E3436)</f>
        <v>0</v>
      </c>
      <c r="G3436" s="42"/>
      <c r="H3436" s="49" t="n">
        <f aca="true">IF(OR($A3436="",_xlfn.MINIFS($B$3:$B$5000,$A$3:$A$5000,$A3436,$B$3:$B$5000,"&gt;"&amp;$B3436)=0),NOW(),_xlfn.MINIFS($B$3:$B$5000,$A$3:$A$5000,$A3436,$B$3:$B$5000,"&gt;"&amp;$B3436))</f>
        <v>46279.5987644523</v>
      </c>
    </row>
    <row r="3437" customFormat="false" ht="15" hidden="false" customHeight="true" outlineLevel="0" collapsed="false">
      <c r="A3437" s="42"/>
      <c r="B3437" s="42"/>
      <c r="C3437" s="42"/>
      <c r="D3437" s="42"/>
      <c r="E3437" s="42"/>
      <c r="F3437" s="51" t="n">
        <f aca="false">IF(OR(C3437="",D3437="",E3437="",E3437=0),0,C3437*D3437/E3437)</f>
        <v>0</v>
      </c>
      <c r="G3437" s="42"/>
      <c r="H3437" s="49" t="n">
        <f aca="true">IF(OR($A3437="",_xlfn.MINIFS($B$3:$B$5000,$A$3:$A$5000,$A3437,$B$3:$B$5000,"&gt;"&amp;$B3437)=0),NOW(),_xlfn.MINIFS($B$3:$B$5000,$A$3:$A$5000,$A3437,$B$3:$B$5000,"&gt;"&amp;$B3437))</f>
        <v>46279.5987644523</v>
      </c>
    </row>
    <row r="3438" customFormat="false" ht="15" hidden="false" customHeight="true" outlineLevel="0" collapsed="false">
      <c r="A3438" s="42"/>
      <c r="B3438" s="42"/>
      <c r="C3438" s="42"/>
      <c r="D3438" s="42"/>
      <c r="E3438" s="42"/>
      <c r="F3438" s="51" t="n">
        <f aca="false">IF(OR(C3438="",D3438="",E3438="",E3438=0),0,C3438*D3438/E3438)</f>
        <v>0</v>
      </c>
      <c r="G3438" s="42"/>
      <c r="H3438" s="49" t="n">
        <f aca="true">IF(OR($A3438="",_xlfn.MINIFS($B$3:$B$5000,$A$3:$A$5000,$A3438,$B$3:$B$5000,"&gt;"&amp;$B3438)=0),NOW(),_xlfn.MINIFS($B$3:$B$5000,$A$3:$A$5000,$A3438,$B$3:$B$5000,"&gt;"&amp;$B3438))</f>
        <v>46279.5987644524</v>
      </c>
    </row>
    <row r="3439" customFormat="false" ht="15" hidden="false" customHeight="true" outlineLevel="0" collapsed="false">
      <c r="A3439" s="42"/>
      <c r="B3439" s="42"/>
      <c r="C3439" s="42"/>
      <c r="D3439" s="42"/>
      <c r="E3439" s="42"/>
      <c r="F3439" s="51" t="n">
        <f aca="false">IF(OR(C3439="",D3439="",E3439="",E3439=0),0,C3439*D3439/E3439)</f>
        <v>0</v>
      </c>
      <c r="G3439" s="42"/>
      <c r="H3439" s="49" t="n">
        <f aca="true">IF(OR($A3439="",_xlfn.MINIFS($B$3:$B$5000,$A$3:$A$5000,$A3439,$B$3:$B$5000,"&gt;"&amp;$B3439)=0),NOW(),_xlfn.MINIFS($B$3:$B$5000,$A$3:$A$5000,$A3439,$B$3:$B$5000,"&gt;"&amp;$B3439))</f>
        <v>46279.5987644524</v>
      </c>
    </row>
    <row r="3440" customFormat="false" ht="15" hidden="false" customHeight="true" outlineLevel="0" collapsed="false">
      <c r="A3440" s="42"/>
      <c r="B3440" s="42"/>
      <c r="C3440" s="42"/>
      <c r="D3440" s="42"/>
      <c r="E3440" s="42"/>
      <c r="F3440" s="51" t="n">
        <f aca="false">IF(OR(C3440="",D3440="",E3440="",E3440=0),0,C3440*D3440/E3440)</f>
        <v>0</v>
      </c>
      <c r="G3440" s="42"/>
      <c r="H3440" s="49" t="n">
        <f aca="true">IF(OR($A3440="",_xlfn.MINIFS($B$3:$B$5000,$A$3:$A$5000,$A3440,$B$3:$B$5000,"&gt;"&amp;$B3440)=0),NOW(),_xlfn.MINIFS($B$3:$B$5000,$A$3:$A$5000,$A3440,$B$3:$B$5000,"&gt;"&amp;$B3440))</f>
        <v>46279.5987644525</v>
      </c>
    </row>
    <row r="3441" customFormat="false" ht="15" hidden="false" customHeight="true" outlineLevel="0" collapsed="false">
      <c r="A3441" s="42"/>
      <c r="B3441" s="42"/>
      <c r="C3441" s="42"/>
      <c r="D3441" s="42"/>
      <c r="E3441" s="42"/>
      <c r="F3441" s="51" t="n">
        <f aca="false">IF(OR(C3441="",D3441="",E3441="",E3441=0),0,C3441*D3441/E3441)</f>
        <v>0</v>
      </c>
      <c r="G3441" s="42"/>
      <c r="H3441" s="49" t="n">
        <f aca="true">IF(OR($A3441="",_xlfn.MINIFS($B$3:$B$5000,$A$3:$A$5000,$A3441,$B$3:$B$5000,"&gt;"&amp;$B3441)=0),NOW(),_xlfn.MINIFS($B$3:$B$5000,$A$3:$A$5000,$A3441,$B$3:$B$5000,"&gt;"&amp;$B3441))</f>
        <v>46279.5987644526</v>
      </c>
    </row>
    <row r="3442" customFormat="false" ht="15" hidden="false" customHeight="true" outlineLevel="0" collapsed="false">
      <c r="A3442" s="42"/>
      <c r="B3442" s="42"/>
      <c r="C3442" s="42"/>
      <c r="D3442" s="42"/>
      <c r="E3442" s="42"/>
      <c r="F3442" s="51" t="n">
        <f aca="false">IF(OR(C3442="",D3442="",E3442="",E3442=0),0,C3442*D3442/E3442)</f>
        <v>0</v>
      </c>
      <c r="G3442" s="42"/>
      <c r="H3442" s="49" t="n">
        <f aca="true">IF(OR($A3442="",_xlfn.MINIFS($B$3:$B$5000,$A$3:$A$5000,$A3442,$B$3:$B$5000,"&gt;"&amp;$B3442)=0),NOW(),_xlfn.MINIFS($B$3:$B$5000,$A$3:$A$5000,$A3442,$B$3:$B$5000,"&gt;"&amp;$B3442))</f>
        <v>46279.5987644527</v>
      </c>
    </row>
    <row r="3443" customFormat="false" ht="15" hidden="false" customHeight="true" outlineLevel="0" collapsed="false">
      <c r="A3443" s="42"/>
      <c r="B3443" s="42"/>
      <c r="C3443" s="42"/>
      <c r="D3443" s="42"/>
      <c r="E3443" s="42"/>
      <c r="F3443" s="51" t="n">
        <f aca="false">IF(OR(C3443="",D3443="",E3443="",E3443=0),0,C3443*D3443/E3443)</f>
        <v>0</v>
      </c>
      <c r="G3443" s="42"/>
      <c r="H3443" s="49" t="n">
        <f aca="true">IF(OR($A3443="",_xlfn.MINIFS($B$3:$B$5000,$A$3:$A$5000,$A3443,$B$3:$B$5000,"&gt;"&amp;$B3443)=0),NOW(),_xlfn.MINIFS($B$3:$B$5000,$A$3:$A$5000,$A3443,$B$3:$B$5000,"&gt;"&amp;$B3443))</f>
        <v>46279.5987644528</v>
      </c>
    </row>
    <row r="3444" customFormat="false" ht="15" hidden="false" customHeight="true" outlineLevel="0" collapsed="false">
      <c r="A3444" s="42"/>
      <c r="B3444" s="42"/>
      <c r="C3444" s="42"/>
      <c r="D3444" s="42"/>
      <c r="E3444" s="42"/>
      <c r="F3444" s="51" t="n">
        <f aca="false">IF(OR(C3444="",D3444="",E3444="",E3444=0),0,C3444*D3444/E3444)</f>
        <v>0</v>
      </c>
      <c r="G3444" s="42"/>
      <c r="H3444" s="49" t="n">
        <f aca="true">IF(OR($A3444="",_xlfn.MINIFS($B$3:$B$5000,$A$3:$A$5000,$A3444,$B$3:$B$5000,"&gt;"&amp;$B3444)=0),NOW(),_xlfn.MINIFS($B$3:$B$5000,$A$3:$A$5000,$A3444,$B$3:$B$5000,"&gt;"&amp;$B3444))</f>
        <v>46279.5987644528</v>
      </c>
    </row>
    <row r="3445" customFormat="false" ht="15" hidden="false" customHeight="true" outlineLevel="0" collapsed="false">
      <c r="A3445" s="42"/>
      <c r="B3445" s="42"/>
      <c r="C3445" s="42"/>
      <c r="D3445" s="42"/>
      <c r="E3445" s="42"/>
      <c r="F3445" s="51" t="n">
        <f aca="false">IF(OR(C3445="",D3445="",E3445="",E3445=0),0,C3445*D3445/E3445)</f>
        <v>0</v>
      </c>
      <c r="G3445" s="42"/>
      <c r="H3445" s="49" t="n">
        <f aca="true">IF(OR($A3445="",_xlfn.MINIFS($B$3:$B$5000,$A$3:$A$5000,$A3445,$B$3:$B$5000,"&gt;"&amp;$B3445)=0),NOW(),_xlfn.MINIFS($B$3:$B$5000,$A$3:$A$5000,$A3445,$B$3:$B$5000,"&gt;"&amp;$B3445))</f>
        <v>46279.5987644529</v>
      </c>
    </row>
    <row r="3446" customFormat="false" ht="15" hidden="false" customHeight="true" outlineLevel="0" collapsed="false">
      <c r="A3446" s="42"/>
      <c r="B3446" s="42"/>
      <c r="C3446" s="42"/>
      <c r="D3446" s="42"/>
      <c r="E3446" s="42"/>
      <c r="F3446" s="51" t="n">
        <f aca="false">IF(OR(C3446="",D3446="",E3446="",E3446=0),0,C3446*D3446/E3446)</f>
        <v>0</v>
      </c>
      <c r="G3446" s="42"/>
      <c r="H3446" s="49" t="n">
        <f aca="true">IF(OR($A3446="",_xlfn.MINIFS($B$3:$B$5000,$A$3:$A$5000,$A3446,$B$3:$B$5000,"&gt;"&amp;$B3446)=0),NOW(),_xlfn.MINIFS($B$3:$B$5000,$A$3:$A$5000,$A3446,$B$3:$B$5000,"&gt;"&amp;$B3446))</f>
        <v>46279.5987644529</v>
      </c>
    </row>
    <row r="3447" customFormat="false" ht="15" hidden="false" customHeight="true" outlineLevel="0" collapsed="false">
      <c r="A3447" s="42"/>
      <c r="B3447" s="42"/>
      <c r="C3447" s="42"/>
      <c r="D3447" s="42"/>
      <c r="E3447" s="42"/>
      <c r="F3447" s="51" t="n">
        <f aca="false">IF(OR(C3447="",D3447="",E3447="",E3447=0),0,C3447*D3447/E3447)</f>
        <v>0</v>
      </c>
      <c r="G3447" s="42"/>
      <c r="H3447" s="49" t="n">
        <f aca="true">IF(OR($A3447="",_xlfn.MINIFS($B$3:$B$5000,$A$3:$A$5000,$A3447,$B$3:$B$5000,"&gt;"&amp;$B3447)=0),NOW(),_xlfn.MINIFS($B$3:$B$5000,$A$3:$A$5000,$A3447,$B$3:$B$5000,"&gt;"&amp;$B3447))</f>
        <v>46279.598764453</v>
      </c>
    </row>
    <row r="3448" customFormat="false" ht="15" hidden="false" customHeight="true" outlineLevel="0" collapsed="false">
      <c r="A3448" s="42"/>
      <c r="B3448" s="42"/>
      <c r="C3448" s="42"/>
      <c r="D3448" s="42"/>
      <c r="E3448" s="42"/>
      <c r="F3448" s="51" t="n">
        <f aca="false">IF(OR(C3448="",D3448="",E3448="",E3448=0),0,C3448*D3448/E3448)</f>
        <v>0</v>
      </c>
      <c r="G3448" s="42"/>
      <c r="H3448" s="49" t="n">
        <f aca="true">IF(OR($A3448="",_xlfn.MINIFS($B$3:$B$5000,$A$3:$A$5000,$A3448,$B$3:$B$5000,"&gt;"&amp;$B3448)=0),NOW(),_xlfn.MINIFS($B$3:$B$5000,$A$3:$A$5000,$A3448,$B$3:$B$5000,"&gt;"&amp;$B3448))</f>
        <v>46279.598764453</v>
      </c>
    </row>
    <row r="3449" customFormat="false" ht="15" hidden="false" customHeight="true" outlineLevel="0" collapsed="false">
      <c r="A3449" s="42"/>
      <c r="B3449" s="42"/>
      <c r="C3449" s="42"/>
      <c r="D3449" s="42"/>
      <c r="E3449" s="42"/>
      <c r="F3449" s="51" t="n">
        <f aca="false">IF(OR(C3449="",D3449="",E3449="",E3449=0),0,C3449*D3449/E3449)</f>
        <v>0</v>
      </c>
      <c r="G3449" s="42"/>
      <c r="H3449" s="49" t="n">
        <f aca="true">IF(OR($A3449="",_xlfn.MINIFS($B$3:$B$5000,$A$3:$A$5000,$A3449,$B$3:$B$5000,"&gt;"&amp;$B3449)=0),NOW(),_xlfn.MINIFS($B$3:$B$5000,$A$3:$A$5000,$A3449,$B$3:$B$5000,"&gt;"&amp;$B3449))</f>
        <v>46279.5987644531</v>
      </c>
    </row>
    <row r="3450" customFormat="false" ht="15" hidden="false" customHeight="true" outlineLevel="0" collapsed="false">
      <c r="A3450" s="42"/>
      <c r="B3450" s="42"/>
      <c r="C3450" s="42"/>
      <c r="D3450" s="42"/>
      <c r="E3450" s="42"/>
      <c r="F3450" s="51" t="n">
        <f aca="false">IF(OR(C3450="",D3450="",E3450="",E3450=0),0,C3450*D3450/E3450)</f>
        <v>0</v>
      </c>
      <c r="G3450" s="42"/>
      <c r="H3450" s="49" t="n">
        <f aca="true">IF(OR($A3450="",_xlfn.MINIFS($B$3:$B$5000,$A$3:$A$5000,$A3450,$B$3:$B$5000,"&gt;"&amp;$B3450)=0),NOW(),_xlfn.MINIFS($B$3:$B$5000,$A$3:$A$5000,$A3450,$B$3:$B$5000,"&gt;"&amp;$B3450))</f>
        <v>46279.5987644531</v>
      </c>
    </row>
    <row r="3451" customFormat="false" ht="15" hidden="false" customHeight="true" outlineLevel="0" collapsed="false">
      <c r="A3451" s="42"/>
      <c r="B3451" s="42"/>
      <c r="C3451" s="42"/>
      <c r="D3451" s="42"/>
      <c r="E3451" s="42"/>
      <c r="F3451" s="51" t="n">
        <f aca="false">IF(OR(C3451="",D3451="",E3451="",E3451=0),0,C3451*D3451/E3451)</f>
        <v>0</v>
      </c>
      <c r="G3451" s="42"/>
      <c r="H3451" s="49" t="n">
        <f aca="true">IF(OR($A3451="",_xlfn.MINIFS($B$3:$B$5000,$A$3:$A$5000,$A3451,$B$3:$B$5000,"&gt;"&amp;$B3451)=0),NOW(),_xlfn.MINIFS($B$3:$B$5000,$A$3:$A$5000,$A3451,$B$3:$B$5000,"&gt;"&amp;$B3451))</f>
        <v>46279.5987644532</v>
      </c>
    </row>
    <row r="3452" customFormat="false" ht="15" hidden="false" customHeight="true" outlineLevel="0" collapsed="false">
      <c r="A3452" s="42"/>
      <c r="B3452" s="42"/>
      <c r="C3452" s="42"/>
      <c r="D3452" s="42"/>
      <c r="E3452" s="42"/>
      <c r="F3452" s="51" t="n">
        <f aca="false">IF(OR(C3452="",D3452="",E3452="",E3452=0),0,C3452*D3452/E3452)</f>
        <v>0</v>
      </c>
      <c r="G3452" s="42"/>
      <c r="H3452" s="49" t="n">
        <f aca="true">IF(OR($A3452="",_xlfn.MINIFS($B$3:$B$5000,$A$3:$A$5000,$A3452,$B$3:$B$5000,"&gt;"&amp;$B3452)=0),NOW(),_xlfn.MINIFS($B$3:$B$5000,$A$3:$A$5000,$A3452,$B$3:$B$5000,"&gt;"&amp;$B3452))</f>
        <v>46279.5987644532</v>
      </c>
    </row>
    <row r="3453" customFormat="false" ht="15" hidden="false" customHeight="true" outlineLevel="0" collapsed="false">
      <c r="A3453" s="42"/>
      <c r="B3453" s="42"/>
      <c r="C3453" s="42"/>
      <c r="D3453" s="42"/>
      <c r="E3453" s="42"/>
      <c r="F3453" s="51" t="n">
        <f aca="false">IF(OR(C3453="",D3453="",E3453="",E3453=0),0,C3453*D3453/E3453)</f>
        <v>0</v>
      </c>
      <c r="G3453" s="42"/>
      <c r="H3453" s="49" t="n">
        <f aca="true">IF(OR($A3453="",_xlfn.MINIFS($B$3:$B$5000,$A$3:$A$5000,$A3453,$B$3:$B$5000,"&gt;"&amp;$B3453)=0),NOW(),_xlfn.MINIFS($B$3:$B$5000,$A$3:$A$5000,$A3453,$B$3:$B$5000,"&gt;"&amp;$B3453))</f>
        <v>46279.5987644533</v>
      </c>
    </row>
    <row r="3454" customFormat="false" ht="15" hidden="false" customHeight="true" outlineLevel="0" collapsed="false">
      <c r="A3454" s="42"/>
      <c r="B3454" s="42"/>
      <c r="C3454" s="42"/>
      <c r="D3454" s="42"/>
      <c r="E3454" s="42"/>
      <c r="F3454" s="51" t="n">
        <f aca="false">IF(OR(C3454="",D3454="",E3454="",E3454=0),0,C3454*D3454/E3454)</f>
        <v>0</v>
      </c>
      <c r="G3454" s="42"/>
      <c r="H3454" s="49" t="n">
        <f aca="true">IF(OR($A3454="",_xlfn.MINIFS($B$3:$B$5000,$A$3:$A$5000,$A3454,$B$3:$B$5000,"&gt;"&amp;$B3454)=0),NOW(),_xlfn.MINIFS($B$3:$B$5000,$A$3:$A$5000,$A3454,$B$3:$B$5000,"&gt;"&amp;$B3454))</f>
        <v>46279.5987644533</v>
      </c>
    </row>
    <row r="3455" customFormat="false" ht="15" hidden="false" customHeight="true" outlineLevel="0" collapsed="false">
      <c r="A3455" s="42"/>
      <c r="B3455" s="42"/>
      <c r="C3455" s="42"/>
      <c r="D3455" s="42"/>
      <c r="E3455" s="42"/>
      <c r="F3455" s="51" t="n">
        <f aca="false">IF(OR(C3455="",D3455="",E3455="",E3455=0),0,C3455*D3455/E3455)</f>
        <v>0</v>
      </c>
      <c r="G3455" s="42"/>
      <c r="H3455" s="49" t="n">
        <f aca="true">IF(OR($A3455="",_xlfn.MINIFS($B$3:$B$5000,$A$3:$A$5000,$A3455,$B$3:$B$5000,"&gt;"&amp;$B3455)=0),NOW(),_xlfn.MINIFS($B$3:$B$5000,$A$3:$A$5000,$A3455,$B$3:$B$5000,"&gt;"&amp;$B3455))</f>
        <v>46279.5987644534</v>
      </c>
    </row>
    <row r="3456" customFormat="false" ht="15" hidden="false" customHeight="true" outlineLevel="0" collapsed="false">
      <c r="A3456" s="42"/>
      <c r="B3456" s="42"/>
      <c r="C3456" s="42"/>
      <c r="D3456" s="42"/>
      <c r="E3456" s="42"/>
      <c r="F3456" s="51" t="n">
        <f aca="false">IF(OR(C3456="",D3456="",E3456="",E3456=0),0,C3456*D3456/E3456)</f>
        <v>0</v>
      </c>
      <c r="G3456" s="42"/>
      <c r="H3456" s="49" t="n">
        <f aca="true">IF(OR($A3456="",_xlfn.MINIFS($B$3:$B$5000,$A$3:$A$5000,$A3456,$B$3:$B$5000,"&gt;"&amp;$B3456)=0),NOW(),_xlfn.MINIFS($B$3:$B$5000,$A$3:$A$5000,$A3456,$B$3:$B$5000,"&gt;"&amp;$B3456))</f>
        <v>46279.5987644534</v>
      </c>
    </row>
    <row r="3457" customFormat="false" ht="15" hidden="false" customHeight="true" outlineLevel="0" collapsed="false">
      <c r="A3457" s="42"/>
      <c r="B3457" s="42"/>
      <c r="C3457" s="42"/>
      <c r="D3457" s="42"/>
      <c r="E3457" s="42"/>
      <c r="F3457" s="51" t="n">
        <f aca="false">IF(OR(C3457="",D3457="",E3457="",E3457=0),0,C3457*D3457/E3457)</f>
        <v>0</v>
      </c>
      <c r="G3457" s="42"/>
      <c r="H3457" s="49" t="n">
        <f aca="true">IF(OR($A3457="",_xlfn.MINIFS($B$3:$B$5000,$A$3:$A$5000,$A3457,$B$3:$B$5000,"&gt;"&amp;$B3457)=0),NOW(),_xlfn.MINIFS($B$3:$B$5000,$A$3:$A$5000,$A3457,$B$3:$B$5000,"&gt;"&amp;$B3457))</f>
        <v>46279.5987644535</v>
      </c>
    </row>
    <row r="3458" customFormat="false" ht="15" hidden="false" customHeight="true" outlineLevel="0" collapsed="false">
      <c r="A3458" s="42"/>
      <c r="B3458" s="42"/>
      <c r="C3458" s="42"/>
      <c r="D3458" s="42"/>
      <c r="E3458" s="42"/>
      <c r="F3458" s="51" t="n">
        <f aca="false">IF(OR(C3458="",D3458="",E3458="",E3458=0),0,C3458*D3458/E3458)</f>
        <v>0</v>
      </c>
      <c r="G3458" s="42"/>
      <c r="H3458" s="49" t="n">
        <f aca="true">IF(OR($A3458="",_xlfn.MINIFS($B$3:$B$5000,$A$3:$A$5000,$A3458,$B$3:$B$5000,"&gt;"&amp;$B3458)=0),NOW(),_xlfn.MINIFS($B$3:$B$5000,$A$3:$A$5000,$A3458,$B$3:$B$5000,"&gt;"&amp;$B3458))</f>
        <v>46279.5987644535</v>
      </c>
    </row>
    <row r="3459" customFormat="false" ht="15" hidden="false" customHeight="true" outlineLevel="0" collapsed="false">
      <c r="A3459" s="42"/>
      <c r="B3459" s="42"/>
      <c r="C3459" s="42"/>
      <c r="D3459" s="42"/>
      <c r="E3459" s="42"/>
      <c r="F3459" s="51" t="n">
        <f aca="false">IF(OR(C3459="",D3459="",E3459="",E3459=0),0,C3459*D3459/E3459)</f>
        <v>0</v>
      </c>
      <c r="G3459" s="42"/>
      <c r="H3459" s="49" t="n">
        <f aca="true">IF(OR($A3459="",_xlfn.MINIFS($B$3:$B$5000,$A$3:$A$5000,$A3459,$B$3:$B$5000,"&gt;"&amp;$B3459)=0),NOW(),_xlfn.MINIFS($B$3:$B$5000,$A$3:$A$5000,$A3459,$B$3:$B$5000,"&gt;"&amp;$B3459))</f>
        <v>46279.5987644536</v>
      </c>
    </row>
    <row r="3460" customFormat="false" ht="15" hidden="false" customHeight="true" outlineLevel="0" collapsed="false">
      <c r="A3460" s="42"/>
      <c r="B3460" s="42"/>
      <c r="C3460" s="42"/>
      <c r="D3460" s="42"/>
      <c r="E3460" s="42"/>
      <c r="F3460" s="51" t="n">
        <f aca="false">IF(OR(C3460="",D3460="",E3460="",E3460=0),0,C3460*D3460/E3460)</f>
        <v>0</v>
      </c>
      <c r="G3460" s="42"/>
      <c r="H3460" s="49" t="n">
        <f aca="true">IF(OR($A3460="",_xlfn.MINIFS($B$3:$B$5000,$A$3:$A$5000,$A3460,$B$3:$B$5000,"&gt;"&amp;$B3460)=0),NOW(),_xlfn.MINIFS($B$3:$B$5000,$A$3:$A$5000,$A3460,$B$3:$B$5000,"&gt;"&amp;$B3460))</f>
        <v>46279.5987644536</v>
      </c>
    </row>
    <row r="3461" customFormat="false" ht="15" hidden="false" customHeight="true" outlineLevel="0" collapsed="false">
      <c r="A3461" s="42"/>
      <c r="B3461" s="42"/>
      <c r="C3461" s="42"/>
      <c r="D3461" s="42"/>
      <c r="E3461" s="42"/>
      <c r="F3461" s="51" t="n">
        <f aca="false">IF(OR(C3461="",D3461="",E3461="",E3461=0),0,C3461*D3461/E3461)</f>
        <v>0</v>
      </c>
      <c r="G3461" s="42"/>
      <c r="H3461" s="49" t="n">
        <f aca="true">IF(OR($A3461="",_xlfn.MINIFS($B$3:$B$5000,$A$3:$A$5000,$A3461,$B$3:$B$5000,"&gt;"&amp;$B3461)=0),NOW(),_xlfn.MINIFS($B$3:$B$5000,$A$3:$A$5000,$A3461,$B$3:$B$5000,"&gt;"&amp;$B3461))</f>
        <v>46279.5987644537</v>
      </c>
    </row>
    <row r="3462" customFormat="false" ht="15" hidden="false" customHeight="true" outlineLevel="0" collapsed="false">
      <c r="A3462" s="42"/>
      <c r="B3462" s="42"/>
      <c r="C3462" s="42"/>
      <c r="D3462" s="42"/>
      <c r="E3462" s="42"/>
      <c r="F3462" s="51" t="n">
        <f aca="false">IF(OR(C3462="",D3462="",E3462="",E3462=0),0,C3462*D3462/E3462)</f>
        <v>0</v>
      </c>
      <c r="G3462" s="42"/>
      <c r="H3462" s="49" t="n">
        <f aca="true">IF(OR($A3462="",_xlfn.MINIFS($B$3:$B$5000,$A$3:$A$5000,$A3462,$B$3:$B$5000,"&gt;"&amp;$B3462)=0),NOW(),_xlfn.MINIFS($B$3:$B$5000,$A$3:$A$5000,$A3462,$B$3:$B$5000,"&gt;"&amp;$B3462))</f>
        <v>46279.5987644537</v>
      </c>
    </row>
    <row r="3463" customFormat="false" ht="15" hidden="false" customHeight="true" outlineLevel="0" collapsed="false">
      <c r="A3463" s="42"/>
      <c r="B3463" s="42"/>
      <c r="C3463" s="42"/>
      <c r="D3463" s="42"/>
      <c r="E3463" s="42"/>
      <c r="F3463" s="51" t="n">
        <f aca="false">IF(OR(C3463="",D3463="",E3463="",E3463=0),0,C3463*D3463/E3463)</f>
        <v>0</v>
      </c>
      <c r="G3463" s="42"/>
      <c r="H3463" s="49" t="n">
        <f aca="true">IF(OR($A3463="",_xlfn.MINIFS($B$3:$B$5000,$A$3:$A$5000,$A3463,$B$3:$B$5000,"&gt;"&amp;$B3463)=0),NOW(),_xlfn.MINIFS($B$3:$B$5000,$A$3:$A$5000,$A3463,$B$3:$B$5000,"&gt;"&amp;$B3463))</f>
        <v>46279.5987644538</v>
      </c>
    </row>
    <row r="3464" customFormat="false" ht="15" hidden="false" customHeight="true" outlineLevel="0" collapsed="false">
      <c r="A3464" s="42"/>
      <c r="B3464" s="42"/>
      <c r="C3464" s="42"/>
      <c r="D3464" s="42"/>
      <c r="E3464" s="42"/>
      <c r="F3464" s="51" t="n">
        <f aca="false">IF(OR(C3464="",D3464="",E3464="",E3464=0),0,C3464*D3464/E3464)</f>
        <v>0</v>
      </c>
      <c r="G3464" s="42"/>
      <c r="H3464" s="49" t="n">
        <f aca="true">IF(OR($A3464="",_xlfn.MINIFS($B$3:$B$5000,$A$3:$A$5000,$A3464,$B$3:$B$5000,"&gt;"&amp;$B3464)=0),NOW(),_xlfn.MINIFS($B$3:$B$5000,$A$3:$A$5000,$A3464,$B$3:$B$5000,"&gt;"&amp;$B3464))</f>
        <v>46279.5987644538</v>
      </c>
    </row>
    <row r="3465" customFormat="false" ht="15" hidden="false" customHeight="true" outlineLevel="0" collapsed="false">
      <c r="A3465" s="42"/>
      <c r="B3465" s="42"/>
      <c r="C3465" s="42"/>
      <c r="D3465" s="42"/>
      <c r="E3465" s="42"/>
      <c r="F3465" s="51" t="n">
        <f aca="false">IF(OR(C3465="",D3465="",E3465="",E3465=0),0,C3465*D3465/E3465)</f>
        <v>0</v>
      </c>
      <c r="G3465" s="42"/>
      <c r="H3465" s="49" t="n">
        <f aca="true">IF(OR($A3465="",_xlfn.MINIFS($B$3:$B$5000,$A$3:$A$5000,$A3465,$B$3:$B$5000,"&gt;"&amp;$B3465)=0),NOW(),_xlfn.MINIFS($B$3:$B$5000,$A$3:$A$5000,$A3465,$B$3:$B$5000,"&gt;"&amp;$B3465))</f>
        <v>46279.5987644539</v>
      </c>
    </row>
    <row r="3466" customFormat="false" ht="15" hidden="false" customHeight="true" outlineLevel="0" collapsed="false">
      <c r="A3466" s="42"/>
      <c r="B3466" s="42"/>
      <c r="C3466" s="42"/>
      <c r="D3466" s="42"/>
      <c r="E3466" s="42"/>
      <c r="F3466" s="51" t="n">
        <f aca="false">IF(OR(C3466="",D3466="",E3466="",E3466=0),0,C3466*D3466/E3466)</f>
        <v>0</v>
      </c>
      <c r="G3466" s="42"/>
      <c r="H3466" s="49" t="n">
        <f aca="true">IF(OR($A3466="",_xlfn.MINIFS($B$3:$B$5000,$A$3:$A$5000,$A3466,$B$3:$B$5000,"&gt;"&amp;$B3466)=0),NOW(),_xlfn.MINIFS($B$3:$B$5000,$A$3:$A$5000,$A3466,$B$3:$B$5000,"&gt;"&amp;$B3466))</f>
        <v>46279.5987644539</v>
      </c>
    </row>
    <row r="3467" customFormat="false" ht="15" hidden="false" customHeight="true" outlineLevel="0" collapsed="false">
      <c r="A3467" s="42"/>
      <c r="B3467" s="42"/>
      <c r="C3467" s="42"/>
      <c r="D3467" s="42"/>
      <c r="E3467" s="42"/>
      <c r="F3467" s="51" t="n">
        <f aca="false">IF(OR(C3467="",D3467="",E3467="",E3467=0),0,C3467*D3467/E3467)</f>
        <v>0</v>
      </c>
      <c r="G3467" s="42"/>
      <c r="H3467" s="49" t="n">
        <f aca="true">IF(OR($A3467="",_xlfn.MINIFS($B$3:$B$5000,$A$3:$A$5000,$A3467,$B$3:$B$5000,"&gt;"&amp;$B3467)=0),NOW(),_xlfn.MINIFS($B$3:$B$5000,$A$3:$A$5000,$A3467,$B$3:$B$5000,"&gt;"&amp;$B3467))</f>
        <v>46279.598764454</v>
      </c>
    </row>
    <row r="3468" customFormat="false" ht="15" hidden="false" customHeight="true" outlineLevel="0" collapsed="false">
      <c r="A3468" s="42"/>
      <c r="B3468" s="42"/>
      <c r="C3468" s="42"/>
      <c r="D3468" s="42"/>
      <c r="E3468" s="42"/>
      <c r="F3468" s="51" t="n">
        <f aca="false">IF(OR(C3468="",D3468="",E3468="",E3468=0),0,C3468*D3468/E3468)</f>
        <v>0</v>
      </c>
      <c r="G3468" s="42"/>
      <c r="H3468" s="49" t="n">
        <f aca="true">IF(OR($A3468="",_xlfn.MINIFS($B$3:$B$5000,$A$3:$A$5000,$A3468,$B$3:$B$5000,"&gt;"&amp;$B3468)=0),NOW(),_xlfn.MINIFS($B$3:$B$5000,$A$3:$A$5000,$A3468,$B$3:$B$5000,"&gt;"&amp;$B3468))</f>
        <v>46279.598764454</v>
      </c>
    </row>
    <row r="3469" customFormat="false" ht="15" hidden="false" customHeight="true" outlineLevel="0" collapsed="false">
      <c r="A3469" s="42"/>
      <c r="B3469" s="42"/>
      <c r="C3469" s="42"/>
      <c r="D3469" s="42"/>
      <c r="E3469" s="42"/>
      <c r="F3469" s="51" t="n">
        <f aca="false">IF(OR(C3469="",D3469="",E3469="",E3469=0),0,C3469*D3469/E3469)</f>
        <v>0</v>
      </c>
      <c r="G3469" s="42"/>
      <c r="H3469" s="49" t="n">
        <f aca="true">IF(OR($A3469="",_xlfn.MINIFS($B$3:$B$5000,$A$3:$A$5000,$A3469,$B$3:$B$5000,"&gt;"&amp;$B3469)=0),NOW(),_xlfn.MINIFS($B$3:$B$5000,$A$3:$A$5000,$A3469,$B$3:$B$5000,"&gt;"&amp;$B3469))</f>
        <v>46279.5987644543</v>
      </c>
    </row>
    <row r="3470" customFormat="false" ht="15" hidden="false" customHeight="true" outlineLevel="0" collapsed="false">
      <c r="A3470" s="42"/>
      <c r="B3470" s="42"/>
      <c r="C3470" s="42"/>
      <c r="D3470" s="42"/>
      <c r="E3470" s="42"/>
      <c r="F3470" s="51" t="n">
        <f aca="false">IF(OR(C3470="",D3470="",E3470="",E3470=0),0,C3470*D3470/E3470)</f>
        <v>0</v>
      </c>
      <c r="G3470" s="42"/>
      <c r="H3470" s="49" t="n">
        <f aca="true">IF(OR($A3470="",_xlfn.MINIFS($B$3:$B$5000,$A$3:$A$5000,$A3470,$B$3:$B$5000,"&gt;"&amp;$B3470)=0),NOW(),_xlfn.MINIFS($B$3:$B$5000,$A$3:$A$5000,$A3470,$B$3:$B$5000,"&gt;"&amp;$B3470))</f>
        <v>46279.5987644544</v>
      </c>
    </row>
    <row r="3471" customFormat="false" ht="15" hidden="false" customHeight="true" outlineLevel="0" collapsed="false">
      <c r="A3471" s="42"/>
      <c r="B3471" s="42"/>
      <c r="C3471" s="42"/>
      <c r="D3471" s="42"/>
      <c r="E3471" s="42"/>
      <c r="F3471" s="51" t="n">
        <f aca="false">IF(OR(C3471="",D3471="",E3471="",E3471=0),0,C3471*D3471/E3471)</f>
        <v>0</v>
      </c>
      <c r="G3471" s="42"/>
      <c r="H3471" s="49" t="n">
        <f aca="true">IF(OR($A3471="",_xlfn.MINIFS($B$3:$B$5000,$A$3:$A$5000,$A3471,$B$3:$B$5000,"&gt;"&amp;$B3471)=0),NOW(),_xlfn.MINIFS($B$3:$B$5000,$A$3:$A$5000,$A3471,$B$3:$B$5000,"&gt;"&amp;$B3471))</f>
        <v>46279.5987644544</v>
      </c>
    </row>
    <row r="3472" customFormat="false" ht="15" hidden="false" customHeight="true" outlineLevel="0" collapsed="false">
      <c r="A3472" s="42"/>
      <c r="B3472" s="42"/>
      <c r="C3472" s="42"/>
      <c r="D3472" s="42"/>
      <c r="E3472" s="42"/>
      <c r="F3472" s="51" t="n">
        <f aca="false">IF(OR(C3472="",D3472="",E3472="",E3472=0),0,C3472*D3472/E3472)</f>
        <v>0</v>
      </c>
      <c r="G3472" s="42"/>
      <c r="H3472" s="49" t="n">
        <f aca="true">IF(OR($A3472="",_xlfn.MINIFS($B$3:$B$5000,$A$3:$A$5000,$A3472,$B$3:$B$5000,"&gt;"&amp;$B3472)=0),NOW(),_xlfn.MINIFS($B$3:$B$5000,$A$3:$A$5000,$A3472,$B$3:$B$5000,"&gt;"&amp;$B3472))</f>
        <v>46279.5987644545</v>
      </c>
    </row>
    <row r="3473" customFormat="false" ht="15" hidden="false" customHeight="true" outlineLevel="0" collapsed="false">
      <c r="A3473" s="42"/>
      <c r="B3473" s="42"/>
      <c r="C3473" s="42"/>
      <c r="D3473" s="42"/>
      <c r="E3473" s="42"/>
      <c r="F3473" s="51" t="n">
        <f aca="false">IF(OR(C3473="",D3473="",E3473="",E3473=0),0,C3473*D3473/E3473)</f>
        <v>0</v>
      </c>
      <c r="G3473" s="42"/>
      <c r="H3473" s="49" t="n">
        <f aca="true">IF(OR($A3473="",_xlfn.MINIFS($B$3:$B$5000,$A$3:$A$5000,$A3473,$B$3:$B$5000,"&gt;"&amp;$B3473)=0),NOW(),_xlfn.MINIFS($B$3:$B$5000,$A$3:$A$5000,$A3473,$B$3:$B$5000,"&gt;"&amp;$B3473))</f>
        <v>46279.5987644545</v>
      </c>
    </row>
    <row r="3474" customFormat="false" ht="15" hidden="false" customHeight="true" outlineLevel="0" collapsed="false">
      <c r="A3474" s="42"/>
      <c r="B3474" s="42"/>
      <c r="C3474" s="42"/>
      <c r="D3474" s="42"/>
      <c r="E3474" s="42"/>
      <c r="F3474" s="51" t="n">
        <f aca="false">IF(OR(C3474="",D3474="",E3474="",E3474=0),0,C3474*D3474/E3474)</f>
        <v>0</v>
      </c>
      <c r="G3474" s="42"/>
      <c r="H3474" s="49" t="n">
        <f aca="true">IF(OR($A3474="",_xlfn.MINIFS($B$3:$B$5000,$A$3:$A$5000,$A3474,$B$3:$B$5000,"&gt;"&amp;$B3474)=0),NOW(),_xlfn.MINIFS($B$3:$B$5000,$A$3:$A$5000,$A3474,$B$3:$B$5000,"&gt;"&amp;$B3474))</f>
        <v>46279.5987644546</v>
      </c>
    </row>
    <row r="3475" customFormat="false" ht="15" hidden="false" customHeight="true" outlineLevel="0" collapsed="false">
      <c r="A3475" s="42"/>
      <c r="B3475" s="42"/>
      <c r="C3475" s="42"/>
      <c r="D3475" s="42"/>
      <c r="E3475" s="42"/>
      <c r="F3475" s="51" t="n">
        <f aca="false">IF(OR(C3475="",D3475="",E3475="",E3475=0),0,C3475*D3475/E3475)</f>
        <v>0</v>
      </c>
      <c r="G3475" s="42"/>
      <c r="H3475" s="49" t="n">
        <f aca="true">IF(OR($A3475="",_xlfn.MINIFS($B$3:$B$5000,$A$3:$A$5000,$A3475,$B$3:$B$5000,"&gt;"&amp;$B3475)=0),NOW(),_xlfn.MINIFS($B$3:$B$5000,$A$3:$A$5000,$A3475,$B$3:$B$5000,"&gt;"&amp;$B3475))</f>
        <v>46279.5987644546</v>
      </c>
    </row>
    <row r="3476" customFormat="false" ht="15" hidden="false" customHeight="true" outlineLevel="0" collapsed="false">
      <c r="A3476" s="42"/>
      <c r="B3476" s="42"/>
      <c r="C3476" s="42"/>
      <c r="D3476" s="42"/>
      <c r="E3476" s="42"/>
      <c r="F3476" s="51" t="n">
        <f aca="false">IF(OR(C3476="",D3476="",E3476="",E3476=0),0,C3476*D3476/E3476)</f>
        <v>0</v>
      </c>
      <c r="G3476" s="42"/>
      <c r="H3476" s="49" t="n">
        <f aca="true">IF(OR($A3476="",_xlfn.MINIFS($B$3:$B$5000,$A$3:$A$5000,$A3476,$B$3:$B$5000,"&gt;"&amp;$B3476)=0),NOW(),_xlfn.MINIFS($B$3:$B$5000,$A$3:$A$5000,$A3476,$B$3:$B$5000,"&gt;"&amp;$B3476))</f>
        <v>46279.5987644547</v>
      </c>
    </row>
    <row r="3477" customFormat="false" ht="15" hidden="false" customHeight="true" outlineLevel="0" collapsed="false">
      <c r="A3477" s="42"/>
      <c r="B3477" s="42"/>
      <c r="C3477" s="42"/>
      <c r="D3477" s="42"/>
      <c r="E3477" s="42"/>
      <c r="F3477" s="51" t="n">
        <f aca="false">IF(OR(C3477="",D3477="",E3477="",E3477=0),0,C3477*D3477/E3477)</f>
        <v>0</v>
      </c>
      <c r="G3477" s="42"/>
      <c r="H3477" s="49" t="n">
        <f aca="true">IF(OR($A3477="",_xlfn.MINIFS($B$3:$B$5000,$A$3:$A$5000,$A3477,$B$3:$B$5000,"&gt;"&amp;$B3477)=0),NOW(),_xlfn.MINIFS($B$3:$B$5000,$A$3:$A$5000,$A3477,$B$3:$B$5000,"&gt;"&amp;$B3477))</f>
        <v>46279.5987644547</v>
      </c>
    </row>
    <row r="3478" customFormat="false" ht="15" hidden="false" customHeight="true" outlineLevel="0" collapsed="false">
      <c r="A3478" s="42"/>
      <c r="B3478" s="42"/>
      <c r="C3478" s="42"/>
      <c r="D3478" s="42"/>
      <c r="E3478" s="42"/>
      <c r="F3478" s="51" t="n">
        <f aca="false">IF(OR(C3478="",D3478="",E3478="",E3478=0),0,C3478*D3478/E3478)</f>
        <v>0</v>
      </c>
      <c r="G3478" s="42"/>
      <c r="H3478" s="49" t="n">
        <f aca="true">IF(OR($A3478="",_xlfn.MINIFS($B$3:$B$5000,$A$3:$A$5000,$A3478,$B$3:$B$5000,"&gt;"&amp;$B3478)=0),NOW(),_xlfn.MINIFS($B$3:$B$5000,$A$3:$A$5000,$A3478,$B$3:$B$5000,"&gt;"&amp;$B3478))</f>
        <v>46279.5987644548</v>
      </c>
    </row>
    <row r="3479" customFormat="false" ht="15" hidden="false" customHeight="true" outlineLevel="0" collapsed="false">
      <c r="A3479" s="42"/>
      <c r="B3479" s="42"/>
      <c r="C3479" s="42"/>
      <c r="D3479" s="42"/>
      <c r="E3479" s="42"/>
      <c r="F3479" s="51" t="n">
        <f aca="false">IF(OR(C3479="",D3479="",E3479="",E3479=0),0,C3479*D3479/E3479)</f>
        <v>0</v>
      </c>
      <c r="G3479" s="42"/>
      <c r="H3479" s="49" t="n">
        <f aca="true">IF(OR($A3479="",_xlfn.MINIFS($B$3:$B$5000,$A$3:$A$5000,$A3479,$B$3:$B$5000,"&gt;"&amp;$B3479)=0),NOW(),_xlfn.MINIFS($B$3:$B$5000,$A$3:$A$5000,$A3479,$B$3:$B$5000,"&gt;"&amp;$B3479))</f>
        <v>46279.5987644548</v>
      </c>
    </row>
    <row r="3480" customFormat="false" ht="15" hidden="false" customHeight="true" outlineLevel="0" collapsed="false">
      <c r="A3480" s="42"/>
      <c r="B3480" s="42"/>
      <c r="C3480" s="42"/>
      <c r="D3480" s="42"/>
      <c r="E3480" s="42"/>
      <c r="F3480" s="51" t="n">
        <f aca="false">IF(OR(C3480="",D3480="",E3480="",E3480=0),0,C3480*D3480/E3480)</f>
        <v>0</v>
      </c>
      <c r="G3480" s="42"/>
      <c r="H3480" s="49" t="n">
        <f aca="true">IF(OR($A3480="",_xlfn.MINIFS($B$3:$B$5000,$A$3:$A$5000,$A3480,$B$3:$B$5000,"&gt;"&amp;$B3480)=0),NOW(),_xlfn.MINIFS($B$3:$B$5000,$A$3:$A$5000,$A3480,$B$3:$B$5000,"&gt;"&amp;$B3480))</f>
        <v>46279.5987644549</v>
      </c>
    </row>
    <row r="3481" customFormat="false" ht="15" hidden="false" customHeight="true" outlineLevel="0" collapsed="false">
      <c r="A3481" s="42"/>
      <c r="B3481" s="42"/>
      <c r="C3481" s="42"/>
      <c r="D3481" s="42"/>
      <c r="E3481" s="42"/>
      <c r="F3481" s="51" t="n">
        <f aca="false">IF(OR(C3481="",D3481="",E3481="",E3481=0),0,C3481*D3481/E3481)</f>
        <v>0</v>
      </c>
      <c r="G3481" s="42"/>
      <c r="H3481" s="49" t="n">
        <f aca="true">IF(OR($A3481="",_xlfn.MINIFS($B$3:$B$5000,$A$3:$A$5000,$A3481,$B$3:$B$5000,"&gt;"&amp;$B3481)=0),NOW(),_xlfn.MINIFS($B$3:$B$5000,$A$3:$A$5000,$A3481,$B$3:$B$5000,"&gt;"&amp;$B3481))</f>
        <v>46279.5987644549</v>
      </c>
    </row>
    <row r="3482" customFormat="false" ht="15" hidden="false" customHeight="true" outlineLevel="0" collapsed="false">
      <c r="A3482" s="42"/>
      <c r="B3482" s="42"/>
      <c r="C3482" s="42"/>
      <c r="D3482" s="42"/>
      <c r="E3482" s="42"/>
      <c r="F3482" s="51" t="n">
        <f aca="false">IF(OR(C3482="",D3482="",E3482="",E3482=0),0,C3482*D3482/E3482)</f>
        <v>0</v>
      </c>
      <c r="G3482" s="42"/>
      <c r="H3482" s="49" t="n">
        <f aca="true">IF(OR($A3482="",_xlfn.MINIFS($B$3:$B$5000,$A$3:$A$5000,$A3482,$B$3:$B$5000,"&gt;"&amp;$B3482)=0),NOW(),_xlfn.MINIFS($B$3:$B$5000,$A$3:$A$5000,$A3482,$B$3:$B$5000,"&gt;"&amp;$B3482))</f>
        <v>46279.598764455</v>
      </c>
    </row>
    <row r="3483" customFormat="false" ht="15" hidden="false" customHeight="true" outlineLevel="0" collapsed="false">
      <c r="A3483" s="42"/>
      <c r="B3483" s="42"/>
      <c r="C3483" s="42"/>
      <c r="D3483" s="42"/>
      <c r="E3483" s="42"/>
      <c r="F3483" s="51" t="n">
        <f aca="false">IF(OR(C3483="",D3483="",E3483="",E3483=0),0,C3483*D3483/E3483)</f>
        <v>0</v>
      </c>
      <c r="G3483" s="42"/>
      <c r="H3483" s="49" t="n">
        <f aca="true">IF(OR($A3483="",_xlfn.MINIFS($B$3:$B$5000,$A$3:$A$5000,$A3483,$B$3:$B$5000,"&gt;"&amp;$B3483)=0),NOW(),_xlfn.MINIFS($B$3:$B$5000,$A$3:$A$5000,$A3483,$B$3:$B$5000,"&gt;"&amp;$B3483))</f>
        <v>46279.598764455</v>
      </c>
    </row>
    <row r="3484" customFormat="false" ht="15" hidden="false" customHeight="true" outlineLevel="0" collapsed="false">
      <c r="A3484" s="42"/>
      <c r="B3484" s="42"/>
      <c r="C3484" s="42"/>
      <c r="D3484" s="42"/>
      <c r="E3484" s="42"/>
      <c r="F3484" s="51" t="n">
        <f aca="false">IF(OR(C3484="",D3484="",E3484="",E3484=0),0,C3484*D3484/E3484)</f>
        <v>0</v>
      </c>
      <c r="G3484" s="42"/>
      <c r="H3484" s="49" t="n">
        <f aca="true">IF(OR($A3484="",_xlfn.MINIFS($B$3:$B$5000,$A$3:$A$5000,$A3484,$B$3:$B$5000,"&gt;"&amp;$B3484)=0),NOW(),_xlfn.MINIFS($B$3:$B$5000,$A$3:$A$5000,$A3484,$B$3:$B$5000,"&gt;"&amp;$B3484))</f>
        <v>46279.5987644551</v>
      </c>
    </row>
    <row r="3485" customFormat="false" ht="15" hidden="false" customHeight="true" outlineLevel="0" collapsed="false">
      <c r="A3485" s="42"/>
      <c r="B3485" s="42"/>
      <c r="C3485" s="42"/>
      <c r="D3485" s="42"/>
      <c r="E3485" s="42"/>
      <c r="F3485" s="51" t="n">
        <f aca="false">IF(OR(C3485="",D3485="",E3485="",E3485=0),0,C3485*D3485/E3485)</f>
        <v>0</v>
      </c>
      <c r="G3485" s="42"/>
      <c r="H3485" s="49" t="n">
        <f aca="true">IF(OR($A3485="",_xlfn.MINIFS($B$3:$B$5000,$A$3:$A$5000,$A3485,$B$3:$B$5000,"&gt;"&amp;$B3485)=0),NOW(),_xlfn.MINIFS($B$3:$B$5000,$A$3:$A$5000,$A3485,$B$3:$B$5000,"&gt;"&amp;$B3485))</f>
        <v>46279.5987644551</v>
      </c>
    </row>
    <row r="3486" customFormat="false" ht="15" hidden="false" customHeight="true" outlineLevel="0" collapsed="false">
      <c r="A3486" s="42"/>
      <c r="B3486" s="42"/>
      <c r="C3486" s="42"/>
      <c r="D3486" s="42"/>
      <c r="E3486" s="42"/>
      <c r="F3486" s="51" t="n">
        <f aca="false">IF(OR(C3486="",D3486="",E3486="",E3486=0),0,C3486*D3486/E3486)</f>
        <v>0</v>
      </c>
      <c r="G3486" s="42"/>
      <c r="H3486" s="49" t="n">
        <f aca="true">IF(OR($A3486="",_xlfn.MINIFS($B$3:$B$5000,$A$3:$A$5000,$A3486,$B$3:$B$5000,"&gt;"&amp;$B3486)=0),NOW(),_xlfn.MINIFS($B$3:$B$5000,$A$3:$A$5000,$A3486,$B$3:$B$5000,"&gt;"&amp;$B3486))</f>
        <v>46279.5987644552</v>
      </c>
    </row>
    <row r="3487" customFormat="false" ht="15" hidden="false" customHeight="true" outlineLevel="0" collapsed="false">
      <c r="A3487" s="42"/>
      <c r="B3487" s="42"/>
      <c r="C3487" s="42"/>
      <c r="D3487" s="42"/>
      <c r="E3487" s="42"/>
      <c r="F3487" s="51" t="n">
        <f aca="false">IF(OR(C3487="",D3487="",E3487="",E3487=0),0,C3487*D3487/E3487)</f>
        <v>0</v>
      </c>
      <c r="G3487" s="42"/>
      <c r="H3487" s="49" t="n">
        <f aca="true">IF(OR($A3487="",_xlfn.MINIFS($B$3:$B$5000,$A$3:$A$5000,$A3487,$B$3:$B$5000,"&gt;"&amp;$B3487)=0),NOW(),_xlfn.MINIFS($B$3:$B$5000,$A$3:$A$5000,$A3487,$B$3:$B$5000,"&gt;"&amp;$B3487))</f>
        <v>46279.5987644552</v>
      </c>
    </row>
    <row r="3488" customFormat="false" ht="15" hidden="false" customHeight="true" outlineLevel="0" collapsed="false">
      <c r="A3488" s="42"/>
      <c r="B3488" s="42"/>
      <c r="C3488" s="42"/>
      <c r="D3488" s="42"/>
      <c r="E3488" s="42"/>
      <c r="F3488" s="51" t="n">
        <f aca="false">IF(OR(C3488="",D3488="",E3488="",E3488=0),0,C3488*D3488/E3488)</f>
        <v>0</v>
      </c>
      <c r="G3488" s="42"/>
      <c r="H3488" s="49" t="n">
        <f aca="true">IF(OR($A3488="",_xlfn.MINIFS($B$3:$B$5000,$A$3:$A$5000,$A3488,$B$3:$B$5000,"&gt;"&amp;$B3488)=0),NOW(),_xlfn.MINIFS($B$3:$B$5000,$A$3:$A$5000,$A3488,$B$3:$B$5000,"&gt;"&amp;$B3488))</f>
        <v>46279.5987644553</v>
      </c>
    </row>
    <row r="3489" customFormat="false" ht="15" hidden="false" customHeight="true" outlineLevel="0" collapsed="false">
      <c r="A3489" s="42"/>
      <c r="B3489" s="42"/>
      <c r="C3489" s="42"/>
      <c r="D3489" s="42"/>
      <c r="E3489" s="42"/>
      <c r="F3489" s="51" t="n">
        <f aca="false">IF(OR(C3489="",D3489="",E3489="",E3489=0),0,C3489*D3489/E3489)</f>
        <v>0</v>
      </c>
      <c r="G3489" s="42"/>
      <c r="H3489" s="49" t="n">
        <f aca="true">IF(OR($A3489="",_xlfn.MINIFS($B$3:$B$5000,$A$3:$A$5000,$A3489,$B$3:$B$5000,"&gt;"&amp;$B3489)=0),NOW(),_xlfn.MINIFS($B$3:$B$5000,$A$3:$A$5000,$A3489,$B$3:$B$5000,"&gt;"&amp;$B3489))</f>
        <v>46279.5987644553</v>
      </c>
    </row>
    <row r="3490" customFormat="false" ht="15" hidden="false" customHeight="true" outlineLevel="0" collapsed="false">
      <c r="A3490" s="42"/>
      <c r="B3490" s="42"/>
      <c r="C3490" s="42"/>
      <c r="D3490" s="42"/>
      <c r="E3490" s="42"/>
      <c r="F3490" s="51" t="n">
        <f aca="false">IF(OR(C3490="",D3490="",E3490="",E3490=0),0,C3490*D3490/E3490)</f>
        <v>0</v>
      </c>
      <c r="G3490" s="42"/>
      <c r="H3490" s="49" t="n">
        <f aca="true">IF(OR($A3490="",_xlfn.MINIFS($B$3:$B$5000,$A$3:$A$5000,$A3490,$B$3:$B$5000,"&gt;"&amp;$B3490)=0),NOW(),_xlfn.MINIFS($B$3:$B$5000,$A$3:$A$5000,$A3490,$B$3:$B$5000,"&gt;"&amp;$B3490))</f>
        <v>46279.5987644554</v>
      </c>
    </row>
    <row r="3491" customFormat="false" ht="15" hidden="false" customHeight="true" outlineLevel="0" collapsed="false">
      <c r="A3491" s="42"/>
      <c r="B3491" s="42"/>
      <c r="C3491" s="42"/>
      <c r="D3491" s="42"/>
      <c r="E3491" s="42"/>
      <c r="F3491" s="51" t="n">
        <f aca="false">IF(OR(C3491="",D3491="",E3491="",E3491=0),0,C3491*D3491/E3491)</f>
        <v>0</v>
      </c>
      <c r="G3491" s="42"/>
      <c r="H3491" s="49" t="n">
        <f aca="true">IF(OR($A3491="",_xlfn.MINIFS($B$3:$B$5000,$A$3:$A$5000,$A3491,$B$3:$B$5000,"&gt;"&amp;$B3491)=0),NOW(),_xlfn.MINIFS($B$3:$B$5000,$A$3:$A$5000,$A3491,$B$3:$B$5000,"&gt;"&amp;$B3491))</f>
        <v>46279.5987644554</v>
      </c>
    </row>
    <row r="3492" customFormat="false" ht="15" hidden="false" customHeight="true" outlineLevel="0" collapsed="false">
      <c r="A3492" s="42"/>
      <c r="B3492" s="42"/>
      <c r="C3492" s="42"/>
      <c r="D3492" s="42"/>
      <c r="E3492" s="42"/>
      <c r="F3492" s="51" t="n">
        <f aca="false">IF(OR(C3492="",D3492="",E3492="",E3492=0),0,C3492*D3492/E3492)</f>
        <v>0</v>
      </c>
      <c r="G3492" s="42"/>
      <c r="H3492" s="49" t="n">
        <f aca="true">IF(OR($A3492="",_xlfn.MINIFS($B$3:$B$5000,$A$3:$A$5000,$A3492,$B$3:$B$5000,"&gt;"&amp;$B3492)=0),NOW(),_xlfn.MINIFS($B$3:$B$5000,$A$3:$A$5000,$A3492,$B$3:$B$5000,"&gt;"&amp;$B3492))</f>
        <v>46279.5987644555</v>
      </c>
    </row>
    <row r="3493" customFormat="false" ht="15" hidden="false" customHeight="true" outlineLevel="0" collapsed="false">
      <c r="A3493" s="42"/>
      <c r="B3493" s="42"/>
      <c r="C3493" s="42"/>
      <c r="D3493" s="42"/>
      <c r="E3493" s="42"/>
      <c r="F3493" s="51" t="n">
        <f aca="false">IF(OR(C3493="",D3493="",E3493="",E3493=0),0,C3493*D3493/E3493)</f>
        <v>0</v>
      </c>
      <c r="G3493" s="42"/>
      <c r="H3493" s="49" t="n">
        <f aca="true">IF(OR($A3493="",_xlfn.MINIFS($B$3:$B$5000,$A$3:$A$5000,$A3493,$B$3:$B$5000,"&gt;"&amp;$B3493)=0),NOW(),_xlfn.MINIFS($B$3:$B$5000,$A$3:$A$5000,$A3493,$B$3:$B$5000,"&gt;"&amp;$B3493))</f>
        <v>46279.5987644555</v>
      </c>
    </row>
    <row r="3494" customFormat="false" ht="15" hidden="false" customHeight="true" outlineLevel="0" collapsed="false">
      <c r="A3494" s="42"/>
      <c r="B3494" s="42"/>
      <c r="C3494" s="42"/>
      <c r="D3494" s="42"/>
      <c r="E3494" s="42"/>
      <c r="F3494" s="51" t="n">
        <f aca="false">IF(OR(C3494="",D3494="",E3494="",E3494=0),0,C3494*D3494/E3494)</f>
        <v>0</v>
      </c>
      <c r="G3494" s="42"/>
      <c r="H3494" s="49" t="n">
        <f aca="true">IF(OR($A3494="",_xlfn.MINIFS($B$3:$B$5000,$A$3:$A$5000,$A3494,$B$3:$B$5000,"&gt;"&amp;$B3494)=0),NOW(),_xlfn.MINIFS($B$3:$B$5000,$A$3:$A$5000,$A3494,$B$3:$B$5000,"&gt;"&amp;$B3494))</f>
        <v>46279.5987644556</v>
      </c>
    </row>
    <row r="3495" customFormat="false" ht="15" hidden="false" customHeight="true" outlineLevel="0" collapsed="false">
      <c r="A3495" s="42"/>
      <c r="B3495" s="42"/>
      <c r="C3495" s="42"/>
      <c r="D3495" s="42"/>
      <c r="E3495" s="42"/>
      <c r="F3495" s="51" t="n">
        <f aca="false">IF(OR(C3495="",D3495="",E3495="",E3495=0),0,C3495*D3495/E3495)</f>
        <v>0</v>
      </c>
      <c r="G3495" s="42"/>
      <c r="H3495" s="49" t="n">
        <f aca="true">IF(OR($A3495="",_xlfn.MINIFS($B$3:$B$5000,$A$3:$A$5000,$A3495,$B$3:$B$5000,"&gt;"&amp;$B3495)=0),NOW(),_xlfn.MINIFS($B$3:$B$5000,$A$3:$A$5000,$A3495,$B$3:$B$5000,"&gt;"&amp;$B3495))</f>
        <v>46279.5987644556</v>
      </c>
    </row>
    <row r="3496" customFormat="false" ht="15" hidden="false" customHeight="true" outlineLevel="0" collapsed="false">
      <c r="A3496" s="42"/>
      <c r="B3496" s="42"/>
      <c r="C3496" s="42"/>
      <c r="D3496" s="42"/>
      <c r="E3496" s="42"/>
      <c r="F3496" s="51" t="n">
        <f aca="false">IF(OR(C3496="",D3496="",E3496="",E3496=0),0,C3496*D3496/E3496)</f>
        <v>0</v>
      </c>
      <c r="G3496" s="42"/>
      <c r="H3496" s="49" t="n">
        <f aca="true">IF(OR($A3496="",_xlfn.MINIFS($B$3:$B$5000,$A$3:$A$5000,$A3496,$B$3:$B$5000,"&gt;"&amp;$B3496)=0),NOW(),_xlfn.MINIFS($B$3:$B$5000,$A$3:$A$5000,$A3496,$B$3:$B$5000,"&gt;"&amp;$B3496))</f>
        <v>46279.5987644557</v>
      </c>
    </row>
    <row r="3497" customFormat="false" ht="15" hidden="false" customHeight="true" outlineLevel="0" collapsed="false">
      <c r="A3497" s="42"/>
      <c r="B3497" s="42"/>
      <c r="C3497" s="42"/>
      <c r="D3497" s="42"/>
      <c r="E3497" s="42"/>
      <c r="F3497" s="51" t="n">
        <f aca="false">IF(OR(C3497="",D3497="",E3497="",E3497=0),0,C3497*D3497/E3497)</f>
        <v>0</v>
      </c>
      <c r="G3497" s="42"/>
      <c r="H3497" s="49" t="n">
        <f aca="true">IF(OR($A3497="",_xlfn.MINIFS($B$3:$B$5000,$A$3:$A$5000,$A3497,$B$3:$B$5000,"&gt;"&amp;$B3497)=0),NOW(),_xlfn.MINIFS($B$3:$B$5000,$A$3:$A$5000,$A3497,$B$3:$B$5000,"&gt;"&amp;$B3497))</f>
        <v>46279.5987644557</v>
      </c>
    </row>
    <row r="3498" customFormat="false" ht="15" hidden="false" customHeight="true" outlineLevel="0" collapsed="false">
      <c r="A3498" s="42"/>
      <c r="B3498" s="42"/>
      <c r="C3498" s="42"/>
      <c r="D3498" s="42"/>
      <c r="E3498" s="42"/>
      <c r="F3498" s="51" t="n">
        <f aca="false">IF(OR(C3498="",D3498="",E3498="",E3498=0),0,C3498*D3498/E3498)</f>
        <v>0</v>
      </c>
      <c r="G3498" s="42"/>
      <c r="H3498" s="49" t="n">
        <f aca="true">IF(OR($A3498="",_xlfn.MINIFS($B$3:$B$5000,$A$3:$A$5000,$A3498,$B$3:$B$5000,"&gt;"&amp;$B3498)=0),NOW(),_xlfn.MINIFS($B$3:$B$5000,$A$3:$A$5000,$A3498,$B$3:$B$5000,"&gt;"&amp;$B3498))</f>
        <v>46279.5987644558</v>
      </c>
    </row>
    <row r="3499" customFormat="false" ht="15" hidden="false" customHeight="true" outlineLevel="0" collapsed="false">
      <c r="A3499" s="42"/>
      <c r="B3499" s="42"/>
      <c r="C3499" s="42"/>
      <c r="D3499" s="42"/>
      <c r="E3499" s="42"/>
      <c r="F3499" s="51" t="n">
        <f aca="false">IF(OR(C3499="",D3499="",E3499="",E3499=0),0,C3499*D3499/E3499)</f>
        <v>0</v>
      </c>
      <c r="G3499" s="42"/>
      <c r="H3499" s="49" t="n">
        <f aca="true">IF(OR($A3499="",_xlfn.MINIFS($B$3:$B$5000,$A$3:$A$5000,$A3499,$B$3:$B$5000,"&gt;"&amp;$B3499)=0),NOW(),_xlfn.MINIFS($B$3:$B$5000,$A$3:$A$5000,$A3499,$B$3:$B$5000,"&gt;"&amp;$B3499))</f>
        <v>46279.5987644558</v>
      </c>
    </row>
    <row r="3500" customFormat="false" ht="15" hidden="false" customHeight="true" outlineLevel="0" collapsed="false">
      <c r="A3500" s="42"/>
      <c r="B3500" s="42"/>
      <c r="C3500" s="42"/>
      <c r="D3500" s="42"/>
      <c r="E3500" s="42"/>
      <c r="F3500" s="51" t="n">
        <f aca="false">IF(OR(C3500="",D3500="",E3500="",E3500=0),0,C3500*D3500/E3500)</f>
        <v>0</v>
      </c>
      <c r="G3500" s="42"/>
      <c r="H3500" s="49" t="n">
        <f aca="true">IF(OR($A3500="",_xlfn.MINIFS($B$3:$B$5000,$A$3:$A$5000,$A3500,$B$3:$B$5000,"&gt;"&amp;$B3500)=0),NOW(),_xlfn.MINIFS($B$3:$B$5000,$A$3:$A$5000,$A3500,$B$3:$B$5000,"&gt;"&amp;$B3500))</f>
        <v>46279.5987644559</v>
      </c>
    </row>
    <row r="3501" customFormat="false" ht="15" hidden="false" customHeight="true" outlineLevel="0" collapsed="false">
      <c r="A3501" s="42"/>
      <c r="B3501" s="42"/>
      <c r="C3501" s="42"/>
      <c r="D3501" s="42"/>
      <c r="E3501" s="42"/>
      <c r="F3501" s="51" t="n">
        <f aca="false">IF(OR(C3501="",D3501="",E3501="",E3501=0),0,C3501*D3501/E3501)</f>
        <v>0</v>
      </c>
      <c r="G3501" s="42"/>
      <c r="H3501" s="49" t="n">
        <f aca="true">IF(OR($A3501="",_xlfn.MINIFS($B$3:$B$5000,$A$3:$A$5000,$A3501,$B$3:$B$5000,"&gt;"&amp;$B3501)=0),NOW(),_xlfn.MINIFS($B$3:$B$5000,$A$3:$A$5000,$A3501,$B$3:$B$5000,"&gt;"&amp;$B3501))</f>
        <v>46279.5987644559</v>
      </c>
    </row>
    <row r="3502" customFormat="false" ht="15" hidden="false" customHeight="true" outlineLevel="0" collapsed="false">
      <c r="A3502" s="42"/>
      <c r="B3502" s="42"/>
      <c r="C3502" s="42"/>
      <c r="D3502" s="42"/>
      <c r="E3502" s="42"/>
      <c r="F3502" s="51" t="n">
        <f aca="false">IF(OR(C3502="",D3502="",E3502="",E3502=0),0,C3502*D3502/E3502)</f>
        <v>0</v>
      </c>
      <c r="G3502" s="42"/>
      <c r="H3502" s="49" t="n">
        <f aca="true">IF(OR($A3502="",_xlfn.MINIFS($B$3:$B$5000,$A$3:$A$5000,$A3502,$B$3:$B$5000,"&gt;"&amp;$B3502)=0),NOW(),_xlfn.MINIFS($B$3:$B$5000,$A$3:$A$5000,$A3502,$B$3:$B$5000,"&gt;"&amp;$B3502))</f>
        <v>46279.598764456</v>
      </c>
    </row>
    <row r="3503" customFormat="false" ht="15" hidden="false" customHeight="true" outlineLevel="0" collapsed="false">
      <c r="A3503" s="42"/>
      <c r="B3503" s="42"/>
      <c r="C3503" s="42"/>
      <c r="D3503" s="42"/>
      <c r="E3503" s="42"/>
      <c r="F3503" s="51" t="n">
        <f aca="false">IF(OR(C3503="",D3503="",E3503="",E3503=0),0,C3503*D3503/E3503)</f>
        <v>0</v>
      </c>
      <c r="G3503" s="42"/>
      <c r="H3503" s="49" t="n">
        <f aca="true">IF(OR($A3503="",_xlfn.MINIFS($B$3:$B$5000,$A$3:$A$5000,$A3503,$B$3:$B$5000,"&gt;"&amp;$B3503)=0),NOW(),_xlfn.MINIFS($B$3:$B$5000,$A$3:$A$5000,$A3503,$B$3:$B$5000,"&gt;"&amp;$B3503))</f>
        <v>46279.598764456</v>
      </c>
    </row>
    <row r="3504" customFormat="false" ht="15" hidden="false" customHeight="true" outlineLevel="0" collapsed="false">
      <c r="A3504" s="42"/>
      <c r="B3504" s="42"/>
      <c r="C3504" s="42"/>
      <c r="D3504" s="42"/>
      <c r="E3504" s="42"/>
      <c r="F3504" s="51" t="n">
        <f aca="false">IF(OR(C3504="",D3504="",E3504="",E3504=0),0,C3504*D3504/E3504)</f>
        <v>0</v>
      </c>
      <c r="G3504" s="42"/>
      <c r="H3504" s="49" t="n">
        <f aca="true">IF(OR($A3504="",_xlfn.MINIFS($B$3:$B$5000,$A$3:$A$5000,$A3504,$B$3:$B$5000,"&gt;"&amp;$B3504)=0),NOW(),_xlfn.MINIFS($B$3:$B$5000,$A$3:$A$5000,$A3504,$B$3:$B$5000,"&gt;"&amp;$B3504))</f>
        <v>46279.5987644561</v>
      </c>
    </row>
    <row r="3505" customFormat="false" ht="15" hidden="false" customHeight="true" outlineLevel="0" collapsed="false">
      <c r="A3505" s="42"/>
      <c r="B3505" s="42"/>
      <c r="C3505" s="42"/>
      <c r="D3505" s="42"/>
      <c r="E3505" s="42"/>
      <c r="F3505" s="51" t="n">
        <f aca="false">IF(OR(C3505="",D3505="",E3505="",E3505=0),0,C3505*D3505/E3505)</f>
        <v>0</v>
      </c>
      <c r="G3505" s="42"/>
      <c r="H3505" s="49" t="n">
        <f aca="true">IF(OR($A3505="",_xlfn.MINIFS($B$3:$B$5000,$A$3:$A$5000,$A3505,$B$3:$B$5000,"&gt;"&amp;$B3505)=0),NOW(),_xlfn.MINIFS($B$3:$B$5000,$A$3:$A$5000,$A3505,$B$3:$B$5000,"&gt;"&amp;$B3505))</f>
        <v>46279.5987644561</v>
      </c>
    </row>
    <row r="3506" customFormat="false" ht="15" hidden="false" customHeight="true" outlineLevel="0" collapsed="false">
      <c r="A3506" s="42"/>
      <c r="B3506" s="42"/>
      <c r="C3506" s="42"/>
      <c r="D3506" s="42"/>
      <c r="E3506" s="42"/>
      <c r="F3506" s="51" t="n">
        <f aca="false">IF(OR(C3506="",D3506="",E3506="",E3506=0),0,C3506*D3506/E3506)</f>
        <v>0</v>
      </c>
      <c r="G3506" s="42"/>
      <c r="H3506" s="49" t="n">
        <f aca="true">IF(OR($A3506="",_xlfn.MINIFS($B$3:$B$5000,$A$3:$A$5000,$A3506,$B$3:$B$5000,"&gt;"&amp;$B3506)=0),NOW(),_xlfn.MINIFS($B$3:$B$5000,$A$3:$A$5000,$A3506,$B$3:$B$5000,"&gt;"&amp;$B3506))</f>
        <v>46279.5987644562</v>
      </c>
    </row>
    <row r="3507" customFormat="false" ht="15" hidden="false" customHeight="true" outlineLevel="0" collapsed="false">
      <c r="A3507" s="42"/>
      <c r="B3507" s="42"/>
      <c r="C3507" s="42"/>
      <c r="D3507" s="42"/>
      <c r="E3507" s="42"/>
      <c r="F3507" s="51" t="n">
        <f aca="false">IF(OR(C3507="",D3507="",E3507="",E3507=0),0,C3507*D3507/E3507)</f>
        <v>0</v>
      </c>
      <c r="G3507" s="42"/>
      <c r="H3507" s="49" t="n">
        <f aca="true">IF(OR($A3507="",_xlfn.MINIFS($B$3:$B$5000,$A$3:$A$5000,$A3507,$B$3:$B$5000,"&gt;"&amp;$B3507)=0),NOW(),_xlfn.MINIFS($B$3:$B$5000,$A$3:$A$5000,$A3507,$B$3:$B$5000,"&gt;"&amp;$B3507))</f>
        <v>46279.5987644562</v>
      </c>
    </row>
    <row r="3508" customFormat="false" ht="15" hidden="false" customHeight="true" outlineLevel="0" collapsed="false">
      <c r="A3508" s="42"/>
      <c r="B3508" s="42"/>
      <c r="C3508" s="42"/>
      <c r="D3508" s="42"/>
      <c r="E3508" s="42"/>
      <c r="F3508" s="51" t="n">
        <f aca="false">IF(OR(C3508="",D3508="",E3508="",E3508=0),0,C3508*D3508/E3508)</f>
        <v>0</v>
      </c>
      <c r="G3508" s="42"/>
      <c r="H3508" s="49" t="n">
        <f aca="true">IF(OR($A3508="",_xlfn.MINIFS($B$3:$B$5000,$A$3:$A$5000,$A3508,$B$3:$B$5000,"&gt;"&amp;$B3508)=0),NOW(),_xlfn.MINIFS($B$3:$B$5000,$A$3:$A$5000,$A3508,$B$3:$B$5000,"&gt;"&amp;$B3508))</f>
        <v>46279.5987644563</v>
      </c>
    </row>
    <row r="3509" customFormat="false" ht="15" hidden="false" customHeight="true" outlineLevel="0" collapsed="false">
      <c r="A3509" s="42"/>
      <c r="B3509" s="42"/>
      <c r="C3509" s="42"/>
      <c r="D3509" s="42"/>
      <c r="E3509" s="42"/>
      <c r="F3509" s="51" t="n">
        <f aca="false">IF(OR(C3509="",D3509="",E3509="",E3509=0),0,C3509*D3509/E3509)</f>
        <v>0</v>
      </c>
      <c r="G3509" s="42"/>
      <c r="H3509" s="49" t="n">
        <f aca="true">IF(OR($A3509="",_xlfn.MINIFS($B$3:$B$5000,$A$3:$A$5000,$A3509,$B$3:$B$5000,"&gt;"&amp;$B3509)=0),NOW(),_xlfn.MINIFS($B$3:$B$5000,$A$3:$A$5000,$A3509,$B$3:$B$5000,"&gt;"&amp;$B3509))</f>
        <v>46279.5987644563</v>
      </c>
    </row>
    <row r="3510" customFormat="false" ht="15" hidden="false" customHeight="true" outlineLevel="0" collapsed="false">
      <c r="A3510" s="42"/>
      <c r="B3510" s="42"/>
      <c r="C3510" s="42"/>
      <c r="D3510" s="42"/>
      <c r="E3510" s="42"/>
      <c r="F3510" s="51" t="n">
        <f aca="false">IF(OR(C3510="",D3510="",E3510="",E3510=0),0,C3510*D3510/E3510)</f>
        <v>0</v>
      </c>
      <c r="G3510" s="42"/>
      <c r="H3510" s="49" t="n">
        <f aca="true">IF(OR($A3510="",_xlfn.MINIFS($B$3:$B$5000,$A$3:$A$5000,$A3510,$B$3:$B$5000,"&gt;"&amp;$B3510)=0),NOW(),_xlfn.MINIFS($B$3:$B$5000,$A$3:$A$5000,$A3510,$B$3:$B$5000,"&gt;"&amp;$B3510))</f>
        <v>46279.5987644564</v>
      </c>
    </row>
    <row r="3511" customFormat="false" ht="15" hidden="false" customHeight="true" outlineLevel="0" collapsed="false">
      <c r="A3511" s="42"/>
      <c r="B3511" s="42"/>
      <c r="C3511" s="42"/>
      <c r="D3511" s="42"/>
      <c r="E3511" s="42"/>
      <c r="F3511" s="51" t="n">
        <f aca="false">IF(OR(C3511="",D3511="",E3511="",E3511=0),0,C3511*D3511/E3511)</f>
        <v>0</v>
      </c>
      <c r="G3511" s="42"/>
      <c r="H3511" s="49" t="n">
        <f aca="true">IF(OR($A3511="",_xlfn.MINIFS($B$3:$B$5000,$A$3:$A$5000,$A3511,$B$3:$B$5000,"&gt;"&amp;$B3511)=0),NOW(),_xlfn.MINIFS($B$3:$B$5000,$A$3:$A$5000,$A3511,$B$3:$B$5000,"&gt;"&amp;$B3511))</f>
        <v>46279.5987644564</v>
      </c>
    </row>
    <row r="3512" customFormat="false" ht="15" hidden="false" customHeight="true" outlineLevel="0" collapsed="false">
      <c r="A3512" s="42"/>
      <c r="B3512" s="42"/>
      <c r="C3512" s="42"/>
      <c r="D3512" s="42"/>
      <c r="E3512" s="42"/>
      <c r="F3512" s="51" t="n">
        <f aca="false">IF(OR(C3512="",D3512="",E3512="",E3512=0),0,C3512*D3512/E3512)</f>
        <v>0</v>
      </c>
      <c r="G3512" s="42"/>
      <c r="H3512" s="49" t="n">
        <f aca="true">IF(OR($A3512="",_xlfn.MINIFS($B$3:$B$5000,$A$3:$A$5000,$A3512,$B$3:$B$5000,"&gt;"&amp;$B3512)=0),NOW(),_xlfn.MINIFS($B$3:$B$5000,$A$3:$A$5000,$A3512,$B$3:$B$5000,"&gt;"&amp;$B3512))</f>
        <v>46279.5987644565</v>
      </c>
    </row>
    <row r="3513" customFormat="false" ht="15" hidden="false" customHeight="true" outlineLevel="0" collapsed="false">
      <c r="A3513" s="42"/>
      <c r="B3513" s="42"/>
      <c r="C3513" s="42"/>
      <c r="D3513" s="42"/>
      <c r="E3513" s="42"/>
      <c r="F3513" s="51" t="n">
        <f aca="false">IF(OR(C3513="",D3513="",E3513="",E3513=0),0,C3513*D3513/E3513)</f>
        <v>0</v>
      </c>
      <c r="G3513" s="42"/>
      <c r="H3513" s="49" t="n">
        <f aca="true">IF(OR($A3513="",_xlfn.MINIFS($B$3:$B$5000,$A$3:$A$5000,$A3513,$B$3:$B$5000,"&gt;"&amp;$B3513)=0),NOW(),_xlfn.MINIFS($B$3:$B$5000,$A$3:$A$5000,$A3513,$B$3:$B$5000,"&gt;"&amp;$B3513))</f>
        <v>46279.5987644565</v>
      </c>
    </row>
    <row r="3514" customFormat="false" ht="15" hidden="false" customHeight="true" outlineLevel="0" collapsed="false">
      <c r="A3514" s="42"/>
      <c r="B3514" s="42"/>
      <c r="C3514" s="42"/>
      <c r="D3514" s="42"/>
      <c r="E3514" s="42"/>
      <c r="F3514" s="51" t="n">
        <f aca="false">IF(OR(C3514="",D3514="",E3514="",E3514=0),0,C3514*D3514/E3514)</f>
        <v>0</v>
      </c>
      <c r="G3514" s="42"/>
      <c r="H3514" s="49" t="n">
        <f aca="true">IF(OR($A3514="",_xlfn.MINIFS($B$3:$B$5000,$A$3:$A$5000,$A3514,$B$3:$B$5000,"&gt;"&amp;$B3514)=0),NOW(),_xlfn.MINIFS($B$3:$B$5000,$A$3:$A$5000,$A3514,$B$3:$B$5000,"&gt;"&amp;$B3514))</f>
        <v>46279.5987644566</v>
      </c>
    </row>
    <row r="3515" customFormat="false" ht="15" hidden="false" customHeight="true" outlineLevel="0" collapsed="false">
      <c r="A3515" s="42"/>
      <c r="B3515" s="42"/>
      <c r="C3515" s="42"/>
      <c r="D3515" s="42"/>
      <c r="E3515" s="42"/>
      <c r="F3515" s="51" t="n">
        <f aca="false">IF(OR(C3515="",D3515="",E3515="",E3515=0),0,C3515*D3515/E3515)</f>
        <v>0</v>
      </c>
      <c r="G3515" s="42"/>
      <c r="H3515" s="49" t="n">
        <f aca="true">IF(OR($A3515="",_xlfn.MINIFS($B$3:$B$5000,$A$3:$A$5000,$A3515,$B$3:$B$5000,"&gt;"&amp;$B3515)=0),NOW(),_xlfn.MINIFS($B$3:$B$5000,$A$3:$A$5000,$A3515,$B$3:$B$5000,"&gt;"&amp;$B3515))</f>
        <v>46279.5987644566</v>
      </c>
    </row>
    <row r="3516" customFormat="false" ht="15" hidden="false" customHeight="true" outlineLevel="0" collapsed="false">
      <c r="A3516" s="42"/>
      <c r="B3516" s="42"/>
      <c r="C3516" s="42"/>
      <c r="D3516" s="42"/>
      <c r="E3516" s="42"/>
      <c r="F3516" s="51" t="n">
        <f aca="false">IF(OR(C3516="",D3516="",E3516="",E3516=0),0,C3516*D3516/E3516)</f>
        <v>0</v>
      </c>
      <c r="G3516" s="42"/>
      <c r="H3516" s="49" t="n">
        <f aca="true">IF(OR($A3516="",_xlfn.MINIFS($B$3:$B$5000,$A$3:$A$5000,$A3516,$B$3:$B$5000,"&gt;"&amp;$B3516)=0),NOW(),_xlfn.MINIFS($B$3:$B$5000,$A$3:$A$5000,$A3516,$B$3:$B$5000,"&gt;"&amp;$B3516))</f>
        <v>46279.5987644567</v>
      </c>
    </row>
    <row r="3517" customFormat="false" ht="15" hidden="false" customHeight="true" outlineLevel="0" collapsed="false">
      <c r="A3517" s="42"/>
      <c r="B3517" s="42"/>
      <c r="C3517" s="42"/>
      <c r="D3517" s="42"/>
      <c r="E3517" s="42"/>
      <c r="F3517" s="51" t="n">
        <f aca="false">IF(OR(C3517="",D3517="",E3517="",E3517=0),0,C3517*D3517/E3517)</f>
        <v>0</v>
      </c>
      <c r="G3517" s="42"/>
      <c r="H3517" s="49" t="n">
        <f aca="true">IF(OR($A3517="",_xlfn.MINIFS($B$3:$B$5000,$A$3:$A$5000,$A3517,$B$3:$B$5000,"&gt;"&amp;$B3517)=0),NOW(),_xlfn.MINIFS($B$3:$B$5000,$A$3:$A$5000,$A3517,$B$3:$B$5000,"&gt;"&amp;$B3517))</f>
        <v>46279.5987644567</v>
      </c>
    </row>
    <row r="3518" customFormat="false" ht="15" hidden="false" customHeight="true" outlineLevel="0" collapsed="false">
      <c r="A3518" s="42"/>
      <c r="B3518" s="42"/>
      <c r="C3518" s="42"/>
      <c r="D3518" s="42"/>
      <c r="E3518" s="42"/>
      <c r="F3518" s="51" t="n">
        <f aca="false">IF(OR(C3518="",D3518="",E3518="",E3518=0),0,C3518*D3518/E3518)</f>
        <v>0</v>
      </c>
      <c r="G3518" s="42"/>
      <c r="H3518" s="49" t="n">
        <f aca="true">IF(OR($A3518="",_xlfn.MINIFS($B$3:$B$5000,$A$3:$A$5000,$A3518,$B$3:$B$5000,"&gt;"&amp;$B3518)=0),NOW(),_xlfn.MINIFS($B$3:$B$5000,$A$3:$A$5000,$A3518,$B$3:$B$5000,"&gt;"&amp;$B3518))</f>
        <v>46279.5987644568</v>
      </c>
    </row>
    <row r="3519" customFormat="false" ht="15" hidden="false" customHeight="true" outlineLevel="0" collapsed="false">
      <c r="A3519" s="42"/>
      <c r="B3519" s="42"/>
      <c r="C3519" s="42"/>
      <c r="D3519" s="42"/>
      <c r="E3519" s="42"/>
      <c r="F3519" s="51" t="n">
        <f aca="false">IF(OR(C3519="",D3519="",E3519="",E3519=0),0,C3519*D3519/E3519)</f>
        <v>0</v>
      </c>
      <c r="G3519" s="42"/>
      <c r="H3519" s="49" t="n">
        <f aca="true">IF(OR($A3519="",_xlfn.MINIFS($B$3:$B$5000,$A$3:$A$5000,$A3519,$B$3:$B$5000,"&gt;"&amp;$B3519)=0),NOW(),_xlfn.MINIFS($B$3:$B$5000,$A$3:$A$5000,$A3519,$B$3:$B$5000,"&gt;"&amp;$B3519))</f>
        <v>46279.5987644568</v>
      </c>
    </row>
    <row r="3520" customFormat="false" ht="15" hidden="false" customHeight="true" outlineLevel="0" collapsed="false">
      <c r="A3520" s="42"/>
      <c r="B3520" s="42"/>
      <c r="C3520" s="42"/>
      <c r="D3520" s="42"/>
      <c r="E3520" s="42"/>
      <c r="F3520" s="51" t="n">
        <f aca="false">IF(OR(C3520="",D3520="",E3520="",E3520=0),0,C3520*D3520/E3520)</f>
        <v>0</v>
      </c>
      <c r="G3520" s="42"/>
      <c r="H3520" s="49" t="n">
        <f aca="true">IF(OR($A3520="",_xlfn.MINIFS($B$3:$B$5000,$A$3:$A$5000,$A3520,$B$3:$B$5000,"&gt;"&amp;$B3520)=0),NOW(),_xlfn.MINIFS($B$3:$B$5000,$A$3:$A$5000,$A3520,$B$3:$B$5000,"&gt;"&amp;$B3520))</f>
        <v>46279.5987644569</v>
      </c>
    </row>
    <row r="3521" customFormat="false" ht="15" hidden="false" customHeight="true" outlineLevel="0" collapsed="false">
      <c r="A3521" s="42"/>
      <c r="B3521" s="42"/>
      <c r="C3521" s="42"/>
      <c r="D3521" s="42"/>
      <c r="E3521" s="42"/>
      <c r="F3521" s="51" t="n">
        <f aca="false">IF(OR(C3521="",D3521="",E3521="",E3521=0),0,C3521*D3521/E3521)</f>
        <v>0</v>
      </c>
      <c r="G3521" s="42"/>
      <c r="H3521" s="49" t="n">
        <f aca="true">IF(OR($A3521="",_xlfn.MINIFS($B$3:$B$5000,$A$3:$A$5000,$A3521,$B$3:$B$5000,"&gt;"&amp;$B3521)=0),NOW(),_xlfn.MINIFS($B$3:$B$5000,$A$3:$A$5000,$A3521,$B$3:$B$5000,"&gt;"&amp;$B3521))</f>
        <v>46279.5987644569</v>
      </c>
    </row>
    <row r="3522" customFormat="false" ht="15" hidden="false" customHeight="true" outlineLevel="0" collapsed="false">
      <c r="A3522" s="42"/>
      <c r="B3522" s="42"/>
      <c r="C3522" s="42"/>
      <c r="D3522" s="42"/>
      <c r="E3522" s="42"/>
      <c r="F3522" s="51" t="n">
        <f aca="false">IF(OR(C3522="",D3522="",E3522="",E3522=0),0,C3522*D3522/E3522)</f>
        <v>0</v>
      </c>
      <c r="G3522" s="42"/>
      <c r="H3522" s="49" t="n">
        <f aca="true">IF(OR($A3522="",_xlfn.MINIFS($B$3:$B$5000,$A$3:$A$5000,$A3522,$B$3:$B$5000,"&gt;"&amp;$B3522)=0),NOW(),_xlfn.MINIFS($B$3:$B$5000,$A$3:$A$5000,$A3522,$B$3:$B$5000,"&gt;"&amp;$B3522))</f>
        <v>46279.598764457</v>
      </c>
    </row>
    <row r="3523" customFormat="false" ht="15" hidden="false" customHeight="true" outlineLevel="0" collapsed="false">
      <c r="A3523" s="42"/>
      <c r="B3523" s="42"/>
      <c r="C3523" s="42"/>
      <c r="D3523" s="42"/>
      <c r="E3523" s="42"/>
      <c r="F3523" s="51" t="n">
        <f aca="false">IF(OR(C3523="",D3523="",E3523="",E3523=0),0,C3523*D3523/E3523)</f>
        <v>0</v>
      </c>
      <c r="G3523" s="42"/>
      <c r="H3523" s="49" t="n">
        <f aca="true">IF(OR($A3523="",_xlfn.MINIFS($B$3:$B$5000,$A$3:$A$5000,$A3523,$B$3:$B$5000,"&gt;"&amp;$B3523)=0),NOW(),_xlfn.MINIFS($B$3:$B$5000,$A$3:$A$5000,$A3523,$B$3:$B$5000,"&gt;"&amp;$B3523))</f>
        <v>46279.598764457</v>
      </c>
    </row>
    <row r="3524" customFormat="false" ht="15" hidden="false" customHeight="true" outlineLevel="0" collapsed="false">
      <c r="A3524" s="42"/>
      <c r="B3524" s="42"/>
      <c r="C3524" s="42"/>
      <c r="D3524" s="42"/>
      <c r="E3524" s="42"/>
      <c r="F3524" s="51" t="n">
        <f aca="false">IF(OR(C3524="",D3524="",E3524="",E3524=0),0,C3524*D3524/E3524)</f>
        <v>0</v>
      </c>
      <c r="G3524" s="42"/>
      <c r="H3524" s="49" t="n">
        <f aca="true">IF(OR($A3524="",_xlfn.MINIFS($B$3:$B$5000,$A$3:$A$5000,$A3524,$B$3:$B$5000,"&gt;"&amp;$B3524)=0),NOW(),_xlfn.MINIFS($B$3:$B$5000,$A$3:$A$5000,$A3524,$B$3:$B$5000,"&gt;"&amp;$B3524))</f>
        <v>46279.5987644571</v>
      </c>
    </row>
    <row r="3525" customFormat="false" ht="15" hidden="false" customHeight="true" outlineLevel="0" collapsed="false">
      <c r="A3525" s="42"/>
      <c r="B3525" s="42"/>
      <c r="C3525" s="42"/>
      <c r="D3525" s="42"/>
      <c r="E3525" s="42"/>
      <c r="F3525" s="51" t="n">
        <f aca="false">IF(OR(C3525="",D3525="",E3525="",E3525=0),0,C3525*D3525/E3525)</f>
        <v>0</v>
      </c>
      <c r="G3525" s="42"/>
      <c r="H3525" s="49" t="n">
        <f aca="true">IF(OR($A3525="",_xlfn.MINIFS($B$3:$B$5000,$A$3:$A$5000,$A3525,$B$3:$B$5000,"&gt;"&amp;$B3525)=0),NOW(),_xlfn.MINIFS($B$3:$B$5000,$A$3:$A$5000,$A3525,$B$3:$B$5000,"&gt;"&amp;$B3525))</f>
        <v>46279.5987644571</v>
      </c>
    </row>
    <row r="3526" customFormat="false" ht="15" hidden="false" customHeight="true" outlineLevel="0" collapsed="false">
      <c r="A3526" s="42"/>
      <c r="B3526" s="42"/>
      <c r="C3526" s="42"/>
      <c r="D3526" s="42"/>
      <c r="E3526" s="42"/>
      <c r="F3526" s="51" t="n">
        <f aca="false">IF(OR(C3526="",D3526="",E3526="",E3526=0),0,C3526*D3526/E3526)</f>
        <v>0</v>
      </c>
      <c r="G3526" s="42"/>
      <c r="H3526" s="49" t="n">
        <f aca="true">IF(OR($A3526="",_xlfn.MINIFS($B$3:$B$5000,$A$3:$A$5000,$A3526,$B$3:$B$5000,"&gt;"&amp;$B3526)=0),NOW(),_xlfn.MINIFS($B$3:$B$5000,$A$3:$A$5000,$A3526,$B$3:$B$5000,"&gt;"&amp;$B3526))</f>
        <v>46279.5987644572</v>
      </c>
    </row>
    <row r="3527" customFormat="false" ht="15" hidden="false" customHeight="true" outlineLevel="0" collapsed="false">
      <c r="A3527" s="42"/>
      <c r="B3527" s="42"/>
      <c r="C3527" s="42"/>
      <c r="D3527" s="42"/>
      <c r="E3527" s="42"/>
      <c r="F3527" s="51" t="n">
        <f aca="false">IF(OR(C3527="",D3527="",E3527="",E3527=0),0,C3527*D3527/E3527)</f>
        <v>0</v>
      </c>
      <c r="G3527" s="42"/>
      <c r="H3527" s="49" t="n">
        <f aca="true">IF(OR($A3527="",_xlfn.MINIFS($B$3:$B$5000,$A$3:$A$5000,$A3527,$B$3:$B$5000,"&gt;"&amp;$B3527)=0),NOW(),_xlfn.MINIFS($B$3:$B$5000,$A$3:$A$5000,$A3527,$B$3:$B$5000,"&gt;"&amp;$B3527))</f>
        <v>46279.5987644572</v>
      </c>
    </row>
    <row r="3528" customFormat="false" ht="15" hidden="false" customHeight="true" outlineLevel="0" collapsed="false">
      <c r="A3528" s="42"/>
      <c r="B3528" s="42"/>
      <c r="C3528" s="42"/>
      <c r="D3528" s="42"/>
      <c r="E3528" s="42"/>
      <c r="F3528" s="51" t="n">
        <f aca="false">IF(OR(C3528="",D3528="",E3528="",E3528=0),0,C3528*D3528/E3528)</f>
        <v>0</v>
      </c>
      <c r="G3528" s="42"/>
      <c r="H3528" s="49" t="n">
        <f aca="true">IF(OR($A3528="",_xlfn.MINIFS($B$3:$B$5000,$A$3:$A$5000,$A3528,$B$3:$B$5000,"&gt;"&amp;$B3528)=0),NOW(),_xlfn.MINIFS($B$3:$B$5000,$A$3:$A$5000,$A3528,$B$3:$B$5000,"&gt;"&amp;$B3528))</f>
        <v>46279.5987644573</v>
      </c>
    </row>
    <row r="3529" customFormat="false" ht="15" hidden="false" customHeight="true" outlineLevel="0" collapsed="false">
      <c r="A3529" s="42"/>
      <c r="B3529" s="42"/>
      <c r="C3529" s="42"/>
      <c r="D3529" s="42"/>
      <c r="E3529" s="42"/>
      <c r="F3529" s="51" t="n">
        <f aca="false">IF(OR(C3529="",D3529="",E3529="",E3529=0),0,C3529*D3529/E3529)</f>
        <v>0</v>
      </c>
      <c r="G3529" s="42"/>
      <c r="H3529" s="49" t="n">
        <f aca="true">IF(OR($A3529="",_xlfn.MINIFS($B$3:$B$5000,$A$3:$A$5000,$A3529,$B$3:$B$5000,"&gt;"&amp;$B3529)=0),NOW(),_xlfn.MINIFS($B$3:$B$5000,$A$3:$A$5000,$A3529,$B$3:$B$5000,"&gt;"&amp;$B3529))</f>
        <v>46279.5987644573</v>
      </c>
    </row>
    <row r="3530" customFormat="false" ht="15" hidden="false" customHeight="true" outlineLevel="0" collapsed="false">
      <c r="A3530" s="42"/>
      <c r="B3530" s="42"/>
      <c r="C3530" s="42"/>
      <c r="D3530" s="42"/>
      <c r="E3530" s="42"/>
      <c r="F3530" s="51" t="n">
        <f aca="false">IF(OR(C3530="",D3530="",E3530="",E3530=0),0,C3530*D3530/E3530)</f>
        <v>0</v>
      </c>
      <c r="G3530" s="42"/>
      <c r="H3530" s="49" t="n">
        <f aca="true">IF(OR($A3530="",_xlfn.MINIFS($B$3:$B$5000,$A$3:$A$5000,$A3530,$B$3:$B$5000,"&gt;"&amp;$B3530)=0),NOW(),_xlfn.MINIFS($B$3:$B$5000,$A$3:$A$5000,$A3530,$B$3:$B$5000,"&gt;"&amp;$B3530))</f>
        <v>46279.5987644574</v>
      </c>
    </row>
    <row r="3531" customFormat="false" ht="15" hidden="false" customHeight="true" outlineLevel="0" collapsed="false">
      <c r="A3531" s="42"/>
      <c r="B3531" s="42"/>
      <c r="C3531" s="42"/>
      <c r="D3531" s="42"/>
      <c r="E3531" s="42"/>
      <c r="F3531" s="51" t="n">
        <f aca="false">IF(OR(C3531="",D3531="",E3531="",E3531=0),0,C3531*D3531/E3531)</f>
        <v>0</v>
      </c>
      <c r="G3531" s="42"/>
      <c r="H3531" s="49" t="n">
        <f aca="true">IF(OR($A3531="",_xlfn.MINIFS($B$3:$B$5000,$A$3:$A$5000,$A3531,$B$3:$B$5000,"&gt;"&amp;$B3531)=0),NOW(),_xlfn.MINIFS($B$3:$B$5000,$A$3:$A$5000,$A3531,$B$3:$B$5000,"&gt;"&amp;$B3531))</f>
        <v>46279.5987644574</v>
      </c>
    </row>
    <row r="3532" customFormat="false" ht="15" hidden="false" customHeight="true" outlineLevel="0" collapsed="false">
      <c r="A3532" s="42"/>
      <c r="B3532" s="42"/>
      <c r="C3532" s="42"/>
      <c r="D3532" s="42"/>
      <c r="E3532" s="42"/>
      <c r="F3532" s="51" t="n">
        <f aca="false">IF(OR(C3532="",D3532="",E3532="",E3532=0),0,C3532*D3532/E3532)</f>
        <v>0</v>
      </c>
      <c r="G3532" s="42"/>
      <c r="H3532" s="49" t="n">
        <f aca="true">IF(OR($A3532="",_xlfn.MINIFS($B$3:$B$5000,$A$3:$A$5000,$A3532,$B$3:$B$5000,"&gt;"&amp;$B3532)=0),NOW(),_xlfn.MINIFS($B$3:$B$5000,$A$3:$A$5000,$A3532,$B$3:$B$5000,"&gt;"&amp;$B3532))</f>
        <v>46279.5987644575</v>
      </c>
    </row>
    <row r="3533" customFormat="false" ht="15" hidden="false" customHeight="true" outlineLevel="0" collapsed="false">
      <c r="A3533" s="42"/>
      <c r="B3533" s="42"/>
      <c r="C3533" s="42"/>
      <c r="D3533" s="42"/>
      <c r="E3533" s="42"/>
      <c r="F3533" s="51" t="n">
        <f aca="false">IF(OR(C3533="",D3533="",E3533="",E3533=0),0,C3533*D3533/E3533)</f>
        <v>0</v>
      </c>
      <c r="G3533" s="42"/>
      <c r="H3533" s="49" t="n">
        <f aca="true">IF(OR($A3533="",_xlfn.MINIFS($B$3:$B$5000,$A$3:$A$5000,$A3533,$B$3:$B$5000,"&gt;"&amp;$B3533)=0),NOW(),_xlfn.MINIFS($B$3:$B$5000,$A$3:$A$5000,$A3533,$B$3:$B$5000,"&gt;"&amp;$B3533))</f>
        <v>46279.5987644575</v>
      </c>
    </row>
    <row r="3534" customFormat="false" ht="15" hidden="false" customHeight="true" outlineLevel="0" collapsed="false">
      <c r="A3534" s="42"/>
      <c r="B3534" s="42"/>
      <c r="C3534" s="42"/>
      <c r="D3534" s="42"/>
      <c r="E3534" s="42"/>
      <c r="F3534" s="51" t="n">
        <f aca="false">IF(OR(C3534="",D3534="",E3534="",E3534=0),0,C3534*D3534/E3534)</f>
        <v>0</v>
      </c>
      <c r="G3534" s="42"/>
      <c r="H3534" s="49" t="n">
        <f aca="true">IF(OR($A3534="",_xlfn.MINIFS($B$3:$B$5000,$A$3:$A$5000,$A3534,$B$3:$B$5000,"&gt;"&amp;$B3534)=0),NOW(),_xlfn.MINIFS($B$3:$B$5000,$A$3:$A$5000,$A3534,$B$3:$B$5000,"&gt;"&amp;$B3534))</f>
        <v>46279.5987644576</v>
      </c>
    </row>
    <row r="3535" customFormat="false" ht="15" hidden="false" customHeight="true" outlineLevel="0" collapsed="false">
      <c r="A3535" s="42"/>
      <c r="B3535" s="42"/>
      <c r="C3535" s="42"/>
      <c r="D3535" s="42"/>
      <c r="E3535" s="42"/>
      <c r="F3535" s="51" t="n">
        <f aca="false">IF(OR(C3535="",D3535="",E3535="",E3535=0),0,C3535*D3535/E3535)</f>
        <v>0</v>
      </c>
      <c r="G3535" s="42"/>
      <c r="H3535" s="49" t="n">
        <f aca="true">IF(OR($A3535="",_xlfn.MINIFS($B$3:$B$5000,$A$3:$A$5000,$A3535,$B$3:$B$5000,"&gt;"&amp;$B3535)=0),NOW(),_xlfn.MINIFS($B$3:$B$5000,$A$3:$A$5000,$A3535,$B$3:$B$5000,"&gt;"&amp;$B3535))</f>
        <v>46279.5987644576</v>
      </c>
    </row>
    <row r="3536" customFormat="false" ht="15" hidden="false" customHeight="true" outlineLevel="0" collapsed="false">
      <c r="A3536" s="42"/>
      <c r="B3536" s="42"/>
      <c r="C3536" s="42"/>
      <c r="D3536" s="42"/>
      <c r="E3536" s="42"/>
      <c r="F3536" s="51" t="n">
        <f aca="false">IF(OR(C3536="",D3536="",E3536="",E3536=0),0,C3536*D3536/E3536)</f>
        <v>0</v>
      </c>
      <c r="G3536" s="42"/>
      <c r="H3536" s="49" t="n">
        <f aca="true">IF(OR($A3536="",_xlfn.MINIFS($B$3:$B$5000,$A$3:$A$5000,$A3536,$B$3:$B$5000,"&gt;"&amp;$B3536)=0),NOW(),_xlfn.MINIFS($B$3:$B$5000,$A$3:$A$5000,$A3536,$B$3:$B$5000,"&gt;"&amp;$B3536))</f>
        <v>46279.5987644577</v>
      </c>
    </row>
    <row r="3537" customFormat="false" ht="15" hidden="false" customHeight="true" outlineLevel="0" collapsed="false">
      <c r="A3537" s="42"/>
      <c r="B3537" s="42"/>
      <c r="C3537" s="42"/>
      <c r="D3537" s="42"/>
      <c r="E3537" s="42"/>
      <c r="F3537" s="51" t="n">
        <f aca="false">IF(OR(C3537="",D3537="",E3537="",E3537=0),0,C3537*D3537/E3537)</f>
        <v>0</v>
      </c>
      <c r="G3537" s="42"/>
      <c r="H3537" s="49" t="n">
        <f aca="true">IF(OR($A3537="",_xlfn.MINIFS($B$3:$B$5000,$A$3:$A$5000,$A3537,$B$3:$B$5000,"&gt;"&amp;$B3537)=0),NOW(),_xlfn.MINIFS($B$3:$B$5000,$A$3:$A$5000,$A3537,$B$3:$B$5000,"&gt;"&amp;$B3537))</f>
        <v>46279.5987644578</v>
      </c>
    </row>
    <row r="3538" customFormat="false" ht="15" hidden="false" customHeight="true" outlineLevel="0" collapsed="false">
      <c r="A3538" s="42"/>
      <c r="B3538" s="42"/>
      <c r="C3538" s="42"/>
      <c r="D3538" s="42"/>
      <c r="E3538" s="42"/>
      <c r="F3538" s="51" t="n">
        <f aca="false">IF(OR(C3538="",D3538="",E3538="",E3538=0),0,C3538*D3538/E3538)</f>
        <v>0</v>
      </c>
      <c r="G3538" s="42"/>
      <c r="H3538" s="49" t="n">
        <f aca="true">IF(OR($A3538="",_xlfn.MINIFS($B$3:$B$5000,$A$3:$A$5000,$A3538,$B$3:$B$5000,"&gt;"&amp;$B3538)=0),NOW(),_xlfn.MINIFS($B$3:$B$5000,$A$3:$A$5000,$A3538,$B$3:$B$5000,"&gt;"&amp;$B3538))</f>
        <v>46279.5987644578</v>
      </c>
    </row>
    <row r="3539" customFormat="false" ht="15" hidden="false" customHeight="true" outlineLevel="0" collapsed="false">
      <c r="A3539" s="42"/>
      <c r="B3539" s="42"/>
      <c r="C3539" s="42"/>
      <c r="D3539" s="42"/>
      <c r="E3539" s="42"/>
      <c r="F3539" s="51" t="n">
        <f aca="false">IF(OR(C3539="",D3539="",E3539="",E3539=0),0,C3539*D3539/E3539)</f>
        <v>0</v>
      </c>
      <c r="G3539" s="42"/>
      <c r="H3539" s="49" t="n">
        <f aca="true">IF(OR($A3539="",_xlfn.MINIFS($B$3:$B$5000,$A$3:$A$5000,$A3539,$B$3:$B$5000,"&gt;"&amp;$B3539)=0),NOW(),_xlfn.MINIFS($B$3:$B$5000,$A$3:$A$5000,$A3539,$B$3:$B$5000,"&gt;"&amp;$B3539))</f>
        <v>46279.5987644579</v>
      </c>
    </row>
    <row r="3540" customFormat="false" ht="15" hidden="false" customHeight="true" outlineLevel="0" collapsed="false">
      <c r="A3540" s="42"/>
      <c r="B3540" s="42"/>
      <c r="C3540" s="42"/>
      <c r="D3540" s="42"/>
      <c r="E3540" s="42"/>
      <c r="F3540" s="51" t="n">
        <f aca="false">IF(OR(C3540="",D3540="",E3540="",E3540=0),0,C3540*D3540/E3540)</f>
        <v>0</v>
      </c>
      <c r="G3540" s="42"/>
      <c r="H3540" s="49" t="n">
        <f aca="true">IF(OR($A3540="",_xlfn.MINIFS($B$3:$B$5000,$A$3:$A$5000,$A3540,$B$3:$B$5000,"&gt;"&amp;$B3540)=0),NOW(),_xlfn.MINIFS($B$3:$B$5000,$A$3:$A$5000,$A3540,$B$3:$B$5000,"&gt;"&amp;$B3540))</f>
        <v>46279.5987644579</v>
      </c>
    </row>
    <row r="3541" customFormat="false" ht="15" hidden="false" customHeight="true" outlineLevel="0" collapsed="false">
      <c r="A3541" s="42"/>
      <c r="B3541" s="42"/>
      <c r="C3541" s="42"/>
      <c r="D3541" s="42"/>
      <c r="E3541" s="42"/>
      <c r="F3541" s="51" t="n">
        <f aca="false">IF(OR(C3541="",D3541="",E3541="",E3541=0),0,C3541*D3541/E3541)</f>
        <v>0</v>
      </c>
      <c r="G3541" s="42"/>
      <c r="H3541" s="49" t="n">
        <f aca="true">IF(OR($A3541="",_xlfn.MINIFS($B$3:$B$5000,$A$3:$A$5000,$A3541,$B$3:$B$5000,"&gt;"&amp;$B3541)=0),NOW(),_xlfn.MINIFS($B$3:$B$5000,$A$3:$A$5000,$A3541,$B$3:$B$5000,"&gt;"&amp;$B3541))</f>
        <v>46279.598764458</v>
      </c>
    </row>
    <row r="3542" customFormat="false" ht="15" hidden="false" customHeight="true" outlineLevel="0" collapsed="false">
      <c r="A3542" s="42"/>
      <c r="B3542" s="42"/>
      <c r="C3542" s="42"/>
      <c r="D3542" s="42"/>
      <c r="E3542" s="42"/>
      <c r="F3542" s="51" t="n">
        <f aca="false">IF(OR(C3542="",D3542="",E3542="",E3542=0),0,C3542*D3542/E3542)</f>
        <v>0</v>
      </c>
      <c r="G3542" s="42"/>
      <c r="H3542" s="49" t="n">
        <f aca="true">IF(OR($A3542="",_xlfn.MINIFS($B$3:$B$5000,$A$3:$A$5000,$A3542,$B$3:$B$5000,"&gt;"&amp;$B3542)=0),NOW(),_xlfn.MINIFS($B$3:$B$5000,$A$3:$A$5000,$A3542,$B$3:$B$5000,"&gt;"&amp;$B3542))</f>
        <v>46279.598764458</v>
      </c>
    </row>
    <row r="3543" customFormat="false" ht="15" hidden="false" customHeight="true" outlineLevel="0" collapsed="false">
      <c r="A3543" s="42"/>
      <c r="B3543" s="42"/>
      <c r="C3543" s="42"/>
      <c r="D3543" s="42"/>
      <c r="E3543" s="42"/>
      <c r="F3543" s="51" t="n">
        <f aca="false">IF(OR(C3543="",D3543="",E3543="",E3543=0),0,C3543*D3543/E3543)</f>
        <v>0</v>
      </c>
      <c r="G3543" s="42"/>
      <c r="H3543" s="49" t="n">
        <f aca="true">IF(OR($A3543="",_xlfn.MINIFS($B$3:$B$5000,$A$3:$A$5000,$A3543,$B$3:$B$5000,"&gt;"&amp;$B3543)=0),NOW(),_xlfn.MINIFS($B$3:$B$5000,$A$3:$A$5000,$A3543,$B$3:$B$5000,"&gt;"&amp;$B3543))</f>
        <v>46279.598764458</v>
      </c>
    </row>
    <row r="3544" customFormat="false" ht="15" hidden="false" customHeight="true" outlineLevel="0" collapsed="false">
      <c r="A3544" s="42"/>
      <c r="B3544" s="42"/>
      <c r="C3544" s="42"/>
      <c r="D3544" s="42"/>
      <c r="E3544" s="42"/>
      <c r="F3544" s="51" t="n">
        <f aca="false">IF(OR(C3544="",D3544="",E3544="",E3544=0),0,C3544*D3544/E3544)</f>
        <v>0</v>
      </c>
      <c r="G3544" s="42"/>
      <c r="H3544" s="49" t="n">
        <f aca="true">IF(OR($A3544="",_xlfn.MINIFS($B$3:$B$5000,$A$3:$A$5000,$A3544,$B$3:$B$5000,"&gt;"&amp;$B3544)=0),NOW(),_xlfn.MINIFS($B$3:$B$5000,$A$3:$A$5000,$A3544,$B$3:$B$5000,"&gt;"&amp;$B3544))</f>
        <v>46279.5987644581</v>
      </c>
    </row>
    <row r="3545" customFormat="false" ht="15" hidden="false" customHeight="true" outlineLevel="0" collapsed="false">
      <c r="A3545" s="42"/>
      <c r="B3545" s="42"/>
      <c r="C3545" s="42"/>
      <c r="D3545" s="42"/>
      <c r="E3545" s="42"/>
      <c r="F3545" s="51" t="n">
        <f aca="false">IF(OR(C3545="",D3545="",E3545="",E3545=0),0,C3545*D3545/E3545)</f>
        <v>0</v>
      </c>
      <c r="G3545" s="42"/>
      <c r="H3545" s="49" t="n">
        <f aca="true">IF(OR($A3545="",_xlfn.MINIFS($B$3:$B$5000,$A$3:$A$5000,$A3545,$B$3:$B$5000,"&gt;"&amp;$B3545)=0),NOW(),_xlfn.MINIFS($B$3:$B$5000,$A$3:$A$5000,$A3545,$B$3:$B$5000,"&gt;"&amp;$B3545))</f>
        <v>46279.5987644582</v>
      </c>
    </row>
    <row r="3546" customFormat="false" ht="15" hidden="false" customHeight="true" outlineLevel="0" collapsed="false">
      <c r="A3546" s="42"/>
      <c r="B3546" s="42"/>
      <c r="C3546" s="42"/>
      <c r="D3546" s="42"/>
      <c r="E3546" s="42"/>
      <c r="F3546" s="51" t="n">
        <f aca="false">IF(OR(C3546="",D3546="",E3546="",E3546=0),0,C3546*D3546/E3546)</f>
        <v>0</v>
      </c>
      <c r="G3546" s="42"/>
      <c r="H3546" s="49" t="n">
        <f aca="true">IF(OR($A3546="",_xlfn.MINIFS($B$3:$B$5000,$A$3:$A$5000,$A3546,$B$3:$B$5000,"&gt;"&amp;$B3546)=0),NOW(),_xlfn.MINIFS($B$3:$B$5000,$A$3:$A$5000,$A3546,$B$3:$B$5000,"&gt;"&amp;$B3546))</f>
        <v>46279.5987644582</v>
      </c>
    </row>
    <row r="3547" customFormat="false" ht="15" hidden="false" customHeight="true" outlineLevel="0" collapsed="false">
      <c r="A3547" s="42"/>
      <c r="B3547" s="42"/>
      <c r="C3547" s="42"/>
      <c r="D3547" s="42"/>
      <c r="E3547" s="42"/>
      <c r="F3547" s="51" t="n">
        <f aca="false">IF(OR(C3547="",D3547="",E3547="",E3547=0),0,C3547*D3547/E3547)</f>
        <v>0</v>
      </c>
      <c r="G3547" s="42"/>
      <c r="H3547" s="49" t="n">
        <f aca="true">IF(OR($A3547="",_xlfn.MINIFS($B$3:$B$5000,$A$3:$A$5000,$A3547,$B$3:$B$5000,"&gt;"&amp;$B3547)=0),NOW(),_xlfn.MINIFS($B$3:$B$5000,$A$3:$A$5000,$A3547,$B$3:$B$5000,"&gt;"&amp;$B3547))</f>
        <v>46279.5987644583</v>
      </c>
    </row>
    <row r="3548" customFormat="false" ht="15" hidden="false" customHeight="true" outlineLevel="0" collapsed="false">
      <c r="A3548" s="42"/>
      <c r="B3548" s="42"/>
      <c r="C3548" s="42"/>
      <c r="D3548" s="42"/>
      <c r="E3548" s="42"/>
      <c r="F3548" s="51" t="n">
        <f aca="false">IF(OR(C3548="",D3548="",E3548="",E3548=0),0,C3548*D3548/E3548)</f>
        <v>0</v>
      </c>
      <c r="G3548" s="42"/>
      <c r="H3548" s="49" t="n">
        <f aca="true">IF(OR($A3548="",_xlfn.MINIFS($B$3:$B$5000,$A$3:$A$5000,$A3548,$B$3:$B$5000,"&gt;"&amp;$B3548)=0),NOW(),_xlfn.MINIFS($B$3:$B$5000,$A$3:$A$5000,$A3548,$B$3:$B$5000,"&gt;"&amp;$B3548))</f>
        <v>46279.5987644583</v>
      </c>
    </row>
    <row r="3549" customFormat="false" ht="15" hidden="false" customHeight="true" outlineLevel="0" collapsed="false">
      <c r="A3549" s="42"/>
      <c r="B3549" s="42"/>
      <c r="C3549" s="42"/>
      <c r="D3549" s="42"/>
      <c r="E3549" s="42"/>
      <c r="F3549" s="51" t="n">
        <f aca="false">IF(OR(C3549="",D3549="",E3549="",E3549=0),0,C3549*D3549/E3549)</f>
        <v>0</v>
      </c>
      <c r="G3549" s="42"/>
      <c r="H3549" s="49" t="n">
        <f aca="true">IF(OR($A3549="",_xlfn.MINIFS($B$3:$B$5000,$A$3:$A$5000,$A3549,$B$3:$B$5000,"&gt;"&amp;$B3549)=0),NOW(),_xlfn.MINIFS($B$3:$B$5000,$A$3:$A$5000,$A3549,$B$3:$B$5000,"&gt;"&amp;$B3549))</f>
        <v>46279.5987644584</v>
      </c>
    </row>
    <row r="3550" customFormat="false" ht="15" hidden="false" customHeight="true" outlineLevel="0" collapsed="false">
      <c r="A3550" s="42"/>
      <c r="B3550" s="42"/>
      <c r="C3550" s="42"/>
      <c r="D3550" s="42"/>
      <c r="E3550" s="42"/>
      <c r="F3550" s="51" t="n">
        <f aca="false">IF(OR(C3550="",D3550="",E3550="",E3550=0),0,C3550*D3550/E3550)</f>
        <v>0</v>
      </c>
      <c r="G3550" s="42"/>
      <c r="H3550" s="49" t="n">
        <f aca="true">IF(OR($A3550="",_xlfn.MINIFS($B$3:$B$5000,$A$3:$A$5000,$A3550,$B$3:$B$5000,"&gt;"&amp;$B3550)=0),NOW(),_xlfn.MINIFS($B$3:$B$5000,$A$3:$A$5000,$A3550,$B$3:$B$5000,"&gt;"&amp;$B3550))</f>
        <v>46279.5987644584</v>
      </c>
    </row>
    <row r="3551" customFormat="false" ht="15" hidden="false" customHeight="true" outlineLevel="0" collapsed="false">
      <c r="A3551" s="42"/>
      <c r="B3551" s="42"/>
      <c r="C3551" s="42"/>
      <c r="D3551" s="42"/>
      <c r="E3551" s="42"/>
      <c r="F3551" s="51" t="n">
        <f aca="false">IF(OR(C3551="",D3551="",E3551="",E3551=0),0,C3551*D3551/E3551)</f>
        <v>0</v>
      </c>
      <c r="G3551" s="42"/>
      <c r="H3551" s="49" t="n">
        <f aca="true">IF(OR($A3551="",_xlfn.MINIFS($B$3:$B$5000,$A$3:$A$5000,$A3551,$B$3:$B$5000,"&gt;"&amp;$B3551)=0),NOW(),_xlfn.MINIFS($B$3:$B$5000,$A$3:$A$5000,$A3551,$B$3:$B$5000,"&gt;"&amp;$B3551))</f>
        <v>46279.5987644585</v>
      </c>
    </row>
    <row r="3552" customFormat="false" ht="15" hidden="false" customHeight="true" outlineLevel="0" collapsed="false">
      <c r="A3552" s="42"/>
      <c r="B3552" s="42"/>
      <c r="C3552" s="42"/>
      <c r="D3552" s="42"/>
      <c r="E3552" s="42"/>
      <c r="F3552" s="51" t="n">
        <f aca="false">IF(OR(C3552="",D3552="",E3552="",E3552=0),0,C3552*D3552/E3552)</f>
        <v>0</v>
      </c>
      <c r="G3552" s="42"/>
      <c r="H3552" s="49" t="n">
        <f aca="true">IF(OR($A3552="",_xlfn.MINIFS($B$3:$B$5000,$A$3:$A$5000,$A3552,$B$3:$B$5000,"&gt;"&amp;$B3552)=0),NOW(),_xlfn.MINIFS($B$3:$B$5000,$A$3:$A$5000,$A3552,$B$3:$B$5000,"&gt;"&amp;$B3552))</f>
        <v>46279.5987644585</v>
      </c>
    </row>
    <row r="3553" customFormat="false" ht="15" hidden="false" customHeight="true" outlineLevel="0" collapsed="false">
      <c r="A3553" s="42"/>
      <c r="B3553" s="42"/>
      <c r="C3553" s="42"/>
      <c r="D3553" s="42"/>
      <c r="E3553" s="42"/>
      <c r="F3553" s="51" t="n">
        <f aca="false">IF(OR(C3553="",D3553="",E3553="",E3553=0),0,C3553*D3553/E3553)</f>
        <v>0</v>
      </c>
      <c r="G3553" s="42"/>
      <c r="H3553" s="49" t="n">
        <f aca="true">IF(OR($A3553="",_xlfn.MINIFS($B$3:$B$5000,$A$3:$A$5000,$A3553,$B$3:$B$5000,"&gt;"&amp;$B3553)=0),NOW(),_xlfn.MINIFS($B$3:$B$5000,$A$3:$A$5000,$A3553,$B$3:$B$5000,"&gt;"&amp;$B3553))</f>
        <v>46279.5987644586</v>
      </c>
    </row>
    <row r="3554" customFormat="false" ht="15" hidden="false" customHeight="true" outlineLevel="0" collapsed="false">
      <c r="A3554" s="42"/>
      <c r="B3554" s="42"/>
      <c r="C3554" s="42"/>
      <c r="D3554" s="42"/>
      <c r="E3554" s="42"/>
      <c r="F3554" s="51" t="n">
        <f aca="false">IF(OR(C3554="",D3554="",E3554="",E3554=0),0,C3554*D3554/E3554)</f>
        <v>0</v>
      </c>
      <c r="G3554" s="42"/>
      <c r="H3554" s="49" t="n">
        <f aca="true">IF(OR($A3554="",_xlfn.MINIFS($B$3:$B$5000,$A$3:$A$5000,$A3554,$B$3:$B$5000,"&gt;"&amp;$B3554)=0),NOW(),_xlfn.MINIFS($B$3:$B$5000,$A$3:$A$5000,$A3554,$B$3:$B$5000,"&gt;"&amp;$B3554))</f>
        <v>46279.5987644586</v>
      </c>
    </row>
    <row r="3555" customFormat="false" ht="15" hidden="false" customHeight="true" outlineLevel="0" collapsed="false">
      <c r="A3555" s="42"/>
      <c r="B3555" s="42"/>
      <c r="C3555" s="42"/>
      <c r="D3555" s="42"/>
      <c r="E3555" s="42"/>
      <c r="F3555" s="51" t="n">
        <f aca="false">IF(OR(C3555="",D3555="",E3555="",E3555=0),0,C3555*D3555/E3555)</f>
        <v>0</v>
      </c>
      <c r="G3555" s="42"/>
      <c r="H3555" s="49" t="n">
        <f aca="true">IF(OR($A3555="",_xlfn.MINIFS($B$3:$B$5000,$A$3:$A$5000,$A3555,$B$3:$B$5000,"&gt;"&amp;$B3555)=0),NOW(),_xlfn.MINIFS($B$3:$B$5000,$A$3:$A$5000,$A3555,$B$3:$B$5000,"&gt;"&amp;$B3555))</f>
        <v>46279.5987644587</v>
      </c>
    </row>
    <row r="3556" customFormat="false" ht="15" hidden="false" customHeight="true" outlineLevel="0" collapsed="false">
      <c r="A3556" s="42"/>
      <c r="B3556" s="42"/>
      <c r="C3556" s="42"/>
      <c r="D3556" s="42"/>
      <c r="E3556" s="42"/>
      <c r="F3556" s="51" t="n">
        <f aca="false">IF(OR(C3556="",D3556="",E3556="",E3556=0),0,C3556*D3556/E3556)</f>
        <v>0</v>
      </c>
      <c r="G3556" s="42"/>
      <c r="H3556" s="49" t="n">
        <f aca="true">IF(OR($A3556="",_xlfn.MINIFS($B$3:$B$5000,$A$3:$A$5000,$A3556,$B$3:$B$5000,"&gt;"&amp;$B3556)=0),NOW(),_xlfn.MINIFS($B$3:$B$5000,$A$3:$A$5000,$A3556,$B$3:$B$5000,"&gt;"&amp;$B3556))</f>
        <v>46279.5987644587</v>
      </c>
    </row>
    <row r="3557" customFormat="false" ht="15" hidden="false" customHeight="true" outlineLevel="0" collapsed="false">
      <c r="A3557" s="42"/>
      <c r="B3557" s="42"/>
      <c r="C3557" s="42"/>
      <c r="D3557" s="42"/>
      <c r="E3557" s="42"/>
      <c r="F3557" s="51" t="n">
        <f aca="false">IF(OR(C3557="",D3557="",E3557="",E3557=0),0,C3557*D3557/E3557)</f>
        <v>0</v>
      </c>
      <c r="G3557" s="42"/>
      <c r="H3557" s="49" t="n">
        <f aca="true">IF(OR($A3557="",_xlfn.MINIFS($B$3:$B$5000,$A$3:$A$5000,$A3557,$B$3:$B$5000,"&gt;"&amp;$B3557)=0),NOW(),_xlfn.MINIFS($B$3:$B$5000,$A$3:$A$5000,$A3557,$B$3:$B$5000,"&gt;"&amp;$B3557))</f>
        <v>46279.5987644588</v>
      </c>
    </row>
    <row r="3558" customFormat="false" ht="15" hidden="false" customHeight="true" outlineLevel="0" collapsed="false">
      <c r="A3558" s="42"/>
      <c r="B3558" s="42"/>
      <c r="C3558" s="42"/>
      <c r="D3558" s="42"/>
      <c r="E3558" s="42"/>
      <c r="F3558" s="51" t="n">
        <f aca="false">IF(OR(C3558="",D3558="",E3558="",E3558=0),0,C3558*D3558/E3558)</f>
        <v>0</v>
      </c>
      <c r="G3558" s="42"/>
      <c r="H3558" s="49" t="n">
        <f aca="true">IF(OR($A3558="",_xlfn.MINIFS($B$3:$B$5000,$A$3:$A$5000,$A3558,$B$3:$B$5000,"&gt;"&amp;$B3558)=0),NOW(),_xlfn.MINIFS($B$3:$B$5000,$A$3:$A$5000,$A3558,$B$3:$B$5000,"&gt;"&amp;$B3558))</f>
        <v>46279.5987644588</v>
      </c>
    </row>
    <row r="3559" customFormat="false" ht="15" hidden="false" customHeight="true" outlineLevel="0" collapsed="false">
      <c r="A3559" s="42"/>
      <c r="B3559" s="42"/>
      <c r="C3559" s="42"/>
      <c r="D3559" s="42"/>
      <c r="E3559" s="42"/>
      <c r="F3559" s="51" t="n">
        <f aca="false">IF(OR(C3559="",D3559="",E3559="",E3559=0),0,C3559*D3559/E3559)</f>
        <v>0</v>
      </c>
      <c r="G3559" s="42"/>
      <c r="H3559" s="49" t="n">
        <f aca="true">IF(OR($A3559="",_xlfn.MINIFS($B$3:$B$5000,$A$3:$A$5000,$A3559,$B$3:$B$5000,"&gt;"&amp;$B3559)=0),NOW(),_xlfn.MINIFS($B$3:$B$5000,$A$3:$A$5000,$A3559,$B$3:$B$5000,"&gt;"&amp;$B3559))</f>
        <v>46279.5987644589</v>
      </c>
    </row>
    <row r="3560" customFormat="false" ht="15" hidden="false" customHeight="true" outlineLevel="0" collapsed="false">
      <c r="A3560" s="42"/>
      <c r="B3560" s="42"/>
      <c r="C3560" s="42"/>
      <c r="D3560" s="42"/>
      <c r="E3560" s="42"/>
      <c r="F3560" s="51" t="n">
        <f aca="false">IF(OR(C3560="",D3560="",E3560="",E3560=0),0,C3560*D3560/E3560)</f>
        <v>0</v>
      </c>
      <c r="G3560" s="42"/>
      <c r="H3560" s="49" t="n">
        <f aca="true">IF(OR($A3560="",_xlfn.MINIFS($B$3:$B$5000,$A$3:$A$5000,$A3560,$B$3:$B$5000,"&gt;"&amp;$B3560)=0),NOW(),_xlfn.MINIFS($B$3:$B$5000,$A$3:$A$5000,$A3560,$B$3:$B$5000,"&gt;"&amp;$B3560))</f>
        <v>46279.5987644589</v>
      </c>
    </row>
    <row r="3561" customFormat="false" ht="15" hidden="false" customHeight="true" outlineLevel="0" collapsed="false">
      <c r="A3561" s="42"/>
      <c r="B3561" s="42"/>
      <c r="C3561" s="42"/>
      <c r="D3561" s="42"/>
      <c r="E3561" s="42"/>
      <c r="F3561" s="51" t="n">
        <f aca="false">IF(OR(C3561="",D3561="",E3561="",E3561=0),0,C3561*D3561/E3561)</f>
        <v>0</v>
      </c>
      <c r="G3561" s="42"/>
      <c r="H3561" s="49" t="n">
        <f aca="true">IF(OR($A3561="",_xlfn.MINIFS($B$3:$B$5000,$A$3:$A$5000,$A3561,$B$3:$B$5000,"&gt;"&amp;$B3561)=0),NOW(),_xlfn.MINIFS($B$3:$B$5000,$A$3:$A$5000,$A3561,$B$3:$B$5000,"&gt;"&amp;$B3561))</f>
        <v>46279.598764459</v>
      </c>
    </row>
    <row r="3562" customFormat="false" ht="15" hidden="false" customHeight="true" outlineLevel="0" collapsed="false">
      <c r="A3562" s="42"/>
      <c r="B3562" s="42"/>
      <c r="C3562" s="42"/>
      <c r="D3562" s="42"/>
      <c r="E3562" s="42"/>
      <c r="F3562" s="51" t="n">
        <f aca="false">IF(OR(C3562="",D3562="",E3562="",E3562=0),0,C3562*D3562/E3562)</f>
        <v>0</v>
      </c>
      <c r="G3562" s="42"/>
      <c r="H3562" s="49" t="n">
        <f aca="true">IF(OR($A3562="",_xlfn.MINIFS($B$3:$B$5000,$A$3:$A$5000,$A3562,$B$3:$B$5000,"&gt;"&amp;$B3562)=0),NOW(),_xlfn.MINIFS($B$3:$B$5000,$A$3:$A$5000,$A3562,$B$3:$B$5000,"&gt;"&amp;$B3562))</f>
        <v>46279.598764459</v>
      </c>
    </row>
    <row r="3563" customFormat="false" ht="15" hidden="false" customHeight="true" outlineLevel="0" collapsed="false">
      <c r="A3563" s="42"/>
      <c r="B3563" s="42"/>
      <c r="C3563" s="42"/>
      <c r="D3563" s="42"/>
      <c r="E3563" s="42"/>
      <c r="F3563" s="51" t="n">
        <f aca="false">IF(OR(C3563="",D3563="",E3563="",E3563=0),0,C3563*D3563/E3563)</f>
        <v>0</v>
      </c>
      <c r="G3563" s="42"/>
      <c r="H3563" s="49" t="n">
        <f aca="true">IF(OR($A3563="",_xlfn.MINIFS($B$3:$B$5000,$A$3:$A$5000,$A3563,$B$3:$B$5000,"&gt;"&amp;$B3563)=0),NOW(),_xlfn.MINIFS($B$3:$B$5000,$A$3:$A$5000,$A3563,$B$3:$B$5000,"&gt;"&amp;$B3563))</f>
        <v>46279.5987644591</v>
      </c>
    </row>
    <row r="3564" customFormat="false" ht="15" hidden="false" customHeight="true" outlineLevel="0" collapsed="false">
      <c r="A3564" s="42"/>
      <c r="B3564" s="42"/>
      <c r="C3564" s="42"/>
      <c r="D3564" s="42"/>
      <c r="E3564" s="42"/>
      <c r="F3564" s="51" t="n">
        <f aca="false">IF(OR(C3564="",D3564="",E3564="",E3564=0),0,C3564*D3564/E3564)</f>
        <v>0</v>
      </c>
      <c r="G3564" s="42"/>
      <c r="H3564" s="49" t="n">
        <f aca="true">IF(OR($A3564="",_xlfn.MINIFS($B$3:$B$5000,$A$3:$A$5000,$A3564,$B$3:$B$5000,"&gt;"&amp;$B3564)=0),NOW(),_xlfn.MINIFS($B$3:$B$5000,$A$3:$A$5000,$A3564,$B$3:$B$5000,"&gt;"&amp;$B3564))</f>
        <v>46279.5987644591</v>
      </c>
    </row>
    <row r="3565" customFormat="false" ht="15" hidden="false" customHeight="true" outlineLevel="0" collapsed="false">
      <c r="A3565" s="42"/>
      <c r="B3565" s="42"/>
      <c r="C3565" s="42"/>
      <c r="D3565" s="42"/>
      <c r="E3565" s="42"/>
      <c r="F3565" s="51" t="n">
        <f aca="false">IF(OR(C3565="",D3565="",E3565="",E3565=0),0,C3565*D3565/E3565)</f>
        <v>0</v>
      </c>
      <c r="G3565" s="42"/>
      <c r="H3565" s="49" t="n">
        <f aca="true">IF(OR($A3565="",_xlfn.MINIFS($B$3:$B$5000,$A$3:$A$5000,$A3565,$B$3:$B$5000,"&gt;"&amp;$B3565)=0),NOW(),_xlfn.MINIFS($B$3:$B$5000,$A$3:$A$5000,$A3565,$B$3:$B$5000,"&gt;"&amp;$B3565))</f>
        <v>46279.5987644592</v>
      </c>
    </row>
    <row r="3566" customFormat="false" ht="15" hidden="false" customHeight="true" outlineLevel="0" collapsed="false">
      <c r="A3566" s="42"/>
      <c r="B3566" s="42"/>
      <c r="C3566" s="42"/>
      <c r="D3566" s="42"/>
      <c r="E3566" s="42"/>
      <c r="F3566" s="51" t="n">
        <f aca="false">IF(OR(C3566="",D3566="",E3566="",E3566=0),0,C3566*D3566/E3566)</f>
        <v>0</v>
      </c>
      <c r="G3566" s="42"/>
      <c r="H3566" s="49" t="n">
        <f aca="true">IF(OR($A3566="",_xlfn.MINIFS($B$3:$B$5000,$A$3:$A$5000,$A3566,$B$3:$B$5000,"&gt;"&amp;$B3566)=0),NOW(),_xlfn.MINIFS($B$3:$B$5000,$A$3:$A$5000,$A3566,$B$3:$B$5000,"&gt;"&amp;$B3566))</f>
        <v>46279.5987644592</v>
      </c>
    </row>
    <row r="3567" customFormat="false" ht="15" hidden="false" customHeight="true" outlineLevel="0" collapsed="false">
      <c r="A3567" s="42"/>
      <c r="B3567" s="42"/>
      <c r="C3567" s="42"/>
      <c r="D3567" s="42"/>
      <c r="E3567" s="42"/>
      <c r="F3567" s="51" t="n">
        <f aca="false">IF(OR(C3567="",D3567="",E3567="",E3567=0),0,C3567*D3567/E3567)</f>
        <v>0</v>
      </c>
      <c r="G3567" s="42"/>
      <c r="H3567" s="49" t="n">
        <f aca="true">IF(OR($A3567="",_xlfn.MINIFS($B$3:$B$5000,$A$3:$A$5000,$A3567,$B$3:$B$5000,"&gt;"&amp;$B3567)=0),NOW(),_xlfn.MINIFS($B$3:$B$5000,$A$3:$A$5000,$A3567,$B$3:$B$5000,"&gt;"&amp;$B3567))</f>
        <v>46279.5987644593</v>
      </c>
    </row>
    <row r="3568" customFormat="false" ht="15" hidden="false" customHeight="true" outlineLevel="0" collapsed="false">
      <c r="A3568" s="42"/>
      <c r="B3568" s="42"/>
      <c r="C3568" s="42"/>
      <c r="D3568" s="42"/>
      <c r="E3568" s="42"/>
      <c r="F3568" s="51" t="n">
        <f aca="false">IF(OR(C3568="",D3568="",E3568="",E3568=0),0,C3568*D3568/E3568)</f>
        <v>0</v>
      </c>
      <c r="G3568" s="42"/>
      <c r="H3568" s="49" t="n">
        <f aca="true">IF(OR($A3568="",_xlfn.MINIFS($B$3:$B$5000,$A$3:$A$5000,$A3568,$B$3:$B$5000,"&gt;"&amp;$B3568)=0),NOW(),_xlfn.MINIFS($B$3:$B$5000,$A$3:$A$5000,$A3568,$B$3:$B$5000,"&gt;"&amp;$B3568))</f>
        <v>46279.5987644594</v>
      </c>
    </row>
    <row r="3569" customFormat="false" ht="15" hidden="false" customHeight="true" outlineLevel="0" collapsed="false">
      <c r="A3569" s="42"/>
      <c r="B3569" s="42"/>
      <c r="C3569" s="42"/>
      <c r="D3569" s="42"/>
      <c r="E3569" s="42"/>
      <c r="F3569" s="51" t="n">
        <f aca="false">IF(OR(C3569="",D3569="",E3569="",E3569=0),0,C3569*D3569/E3569)</f>
        <v>0</v>
      </c>
      <c r="G3569" s="42"/>
      <c r="H3569" s="49" t="n">
        <f aca="true">IF(OR($A3569="",_xlfn.MINIFS($B$3:$B$5000,$A$3:$A$5000,$A3569,$B$3:$B$5000,"&gt;"&amp;$B3569)=0),NOW(),_xlfn.MINIFS($B$3:$B$5000,$A$3:$A$5000,$A3569,$B$3:$B$5000,"&gt;"&amp;$B3569))</f>
        <v>46279.5987644594</v>
      </c>
    </row>
    <row r="3570" customFormat="false" ht="15" hidden="false" customHeight="true" outlineLevel="0" collapsed="false">
      <c r="A3570" s="42"/>
      <c r="B3570" s="42"/>
      <c r="C3570" s="42"/>
      <c r="D3570" s="42"/>
      <c r="E3570" s="42"/>
      <c r="F3570" s="51" t="n">
        <f aca="false">IF(OR(C3570="",D3570="",E3570="",E3570=0),0,C3570*D3570/E3570)</f>
        <v>0</v>
      </c>
      <c r="G3570" s="42"/>
      <c r="H3570" s="49" t="n">
        <f aca="true">IF(OR($A3570="",_xlfn.MINIFS($B$3:$B$5000,$A$3:$A$5000,$A3570,$B$3:$B$5000,"&gt;"&amp;$B3570)=0),NOW(),_xlfn.MINIFS($B$3:$B$5000,$A$3:$A$5000,$A3570,$B$3:$B$5000,"&gt;"&amp;$B3570))</f>
        <v>46279.5987644595</v>
      </c>
    </row>
    <row r="3571" customFormat="false" ht="15" hidden="false" customHeight="true" outlineLevel="0" collapsed="false">
      <c r="A3571" s="42"/>
      <c r="B3571" s="42"/>
      <c r="C3571" s="42"/>
      <c r="D3571" s="42"/>
      <c r="E3571" s="42"/>
      <c r="F3571" s="51" t="n">
        <f aca="false">IF(OR(C3571="",D3571="",E3571="",E3571=0),0,C3571*D3571/E3571)</f>
        <v>0</v>
      </c>
      <c r="G3571" s="42"/>
      <c r="H3571" s="49" t="n">
        <f aca="true">IF(OR($A3571="",_xlfn.MINIFS($B$3:$B$5000,$A$3:$A$5000,$A3571,$B$3:$B$5000,"&gt;"&amp;$B3571)=0),NOW(),_xlfn.MINIFS($B$3:$B$5000,$A$3:$A$5000,$A3571,$B$3:$B$5000,"&gt;"&amp;$B3571))</f>
        <v>46279.5987644595</v>
      </c>
    </row>
    <row r="3572" customFormat="false" ht="15" hidden="false" customHeight="true" outlineLevel="0" collapsed="false">
      <c r="A3572" s="42"/>
      <c r="B3572" s="42"/>
      <c r="C3572" s="42"/>
      <c r="D3572" s="42"/>
      <c r="E3572" s="42"/>
      <c r="F3572" s="51" t="n">
        <f aca="false">IF(OR(C3572="",D3572="",E3572="",E3572=0),0,C3572*D3572/E3572)</f>
        <v>0</v>
      </c>
      <c r="G3572" s="42"/>
      <c r="H3572" s="49" t="n">
        <f aca="true">IF(OR($A3572="",_xlfn.MINIFS($B$3:$B$5000,$A$3:$A$5000,$A3572,$B$3:$B$5000,"&gt;"&amp;$B3572)=0),NOW(),_xlfn.MINIFS($B$3:$B$5000,$A$3:$A$5000,$A3572,$B$3:$B$5000,"&gt;"&amp;$B3572))</f>
        <v>46279.5987644596</v>
      </c>
    </row>
    <row r="3573" customFormat="false" ht="15" hidden="false" customHeight="true" outlineLevel="0" collapsed="false">
      <c r="A3573" s="42"/>
      <c r="B3573" s="42"/>
      <c r="C3573" s="42"/>
      <c r="D3573" s="42"/>
      <c r="E3573" s="42"/>
      <c r="F3573" s="51" t="n">
        <f aca="false">IF(OR(C3573="",D3573="",E3573="",E3573=0),0,C3573*D3573/E3573)</f>
        <v>0</v>
      </c>
      <c r="G3573" s="42"/>
      <c r="H3573" s="49" t="n">
        <f aca="true">IF(OR($A3573="",_xlfn.MINIFS($B$3:$B$5000,$A$3:$A$5000,$A3573,$B$3:$B$5000,"&gt;"&amp;$B3573)=0),NOW(),_xlfn.MINIFS($B$3:$B$5000,$A$3:$A$5000,$A3573,$B$3:$B$5000,"&gt;"&amp;$B3573))</f>
        <v>46279.5987644596</v>
      </c>
    </row>
    <row r="3574" customFormat="false" ht="15" hidden="false" customHeight="true" outlineLevel="0" collapsed="false">
      <c r="A3574" s="42"/>
      <c r="B3574" s="42"/>
      <c r="C3574" s="42"/>
      <c r="D3574" s="42"/>
      <c r="E3574" s="42"/>
      <c r="F3574" s="51" t="n">
        <f aca="false">IF(OR(C3574="",D3574="",E3574="",E3574=0),0,C3574*D3574/E3574)</f>
        <v>0</v>
      </c>
      <c r="G3574" s="42"/>
      <c r="H3574" s="49" t="n">
        <f aca="true">IF(OR($A3574="",_xlfn.MINIFS($B$3:$B$5000,$A$3:$A$5000,$A3574,$B$3:$B$5000,"&gt;"&amp;$B3574)=0),NOW(),_xlfn.MINIFS($B$3:$B$5000,$A$3:$A$5000,$A3574,$B$3:$B$5000,"&gt;"&amp;$B3574))</f>
        <v>46279.5987644596</v>
      </c>
    </row>
    <row r="3575" customFormat="false" ht="15" hidden="false" customHeight="true" outlineLevel="0" collapsed="false">
      <c r="A3575" s="42"/>
      <c r="B3575" s="42"/>
      <c r="C3575" s="42"/>
      <c r="D3575" s="42"/>
      <c r="E3575" s="42"/>
      <c r="F3575" s="51" t="n">
        <f aca="false">IF(OR(C3575="",D3575="",E3575="",E3575=0),0,C3575*D3575/E3575)</f>
        <v>0</v>
      </c>
      <c r="G3575" s="42"/>
      <c r="H3575" s="49" t="n">
        <f aca="true">IF(OR($A3575="",_xlfn.MINIFS($B$3:$B$5000,$A$3:$A$5000,$A3575,$B$3:$B$5000,"&gt;"&amp;$B3575)=0),NOW(),_xlfn.MINIFS($B$3:$B$5000,$A$3:$A$5000,$A3575,$B$3:$B$5000,"&gt;"&amp;$B3575))</f>
        <v>46279.5987644597</v>
      </c>
    </row>
    <row r="3576" customFormat="false" ht="15" hidden="false" customHeight="true" outlineLevel="0" collapsed="false">
      <c r="A3576" s="42"/>
      <c r="B3576" s="42"/>
      <c r="C3576" s="42"/>
      <c r="D3576" s="42"/>
      <c r="E3576" s="42"/>
      <c r="F3576" s="51" t="n">
        <f aca="false">IF(OR(C3576="",D3576="",E3576="",E3576=0),0,C3576*D3576/E3576)</f>
        <v>0</v>
      </c>
      <c r="G3576" s="42"/>
      <c r="H3576" s="49" t="n">
        <f aca="true">IF(OR($A3576="",_xlfn.MINIFS($B$3:$B$5000,$A$3:$A$5000,$A3576,$B$3:$B$5000,"&gt;"&amp;$B3576)=0),NOW(),_xlfn.MINIFS($B$3:$B$5000,$A$3:$A$5000,$A3576,$B$3:$B$5000,"&gt;"&amp;$B3576))</f>
        <v>46279.5987644598</v>
      </c>
    </row>
    <row r="3577" customFormat="false" ht="15" hidden="false" customHeight="true" outlineLevel="0" collapsed="false">
      <c r="A3577" s="42"/>
      <c r="B3577" s="42"/>
      <c r="C3577" s="42"/>
      <c r="D3577" s="42"/>
      <c r="E3577" s="42"/>
      <c r="F3577" s="51" t="n">
        <f aca="false">IF(OR(C3577="",D3577="",E3577="",E3577=0),0,C3577*D3577/E3577)</f>
        <v>0</v>
      </c>
      <c r="G3577" s="42"/>
      <c r="H3577" s="49" t="n">
        <f aca="true">IF(OR($A3577="",_xlfn.MINIFS($B$3:$B$5000,$A$3:$A$5000,$A3577,$B$3:$B$5000,"&gt;"&amp;$B3577)=0),NOW(),_xlfn.MINIFS($B$3:$B$5000,$A$3:$A$5000,$A3577,$B$3:$B$5000,"&gt;"&amp;$B3577))</f>
        <v>46279.5987644598</v>
      </c>
    </row>
    <row r="3578" customFormat="false" ht="15" hidden="false" customHeight="true" outlineLevel="0" collapsed="false">
      <c r="A3578" s="42"/>
      <c r="B3578" s="42"/>
      <c r="C3578" s="42"/>
      <c r="D3578" s="42"/>
      <c r="E3578" s="42"/>
      <c r="F3578" s="51" t="n">
        <f aca="false">IF(OR(C3578="",D3578="",E3578="",E3578=0),0,C3578*D3578/E3578)</f>
        <v>0</v>
      </c>
      <c r="G3578" s="42"/>
      <c r="H3578" s="49" t="n">
        <f aca="true">IF(OR($A3578="",_xlfn.MINIFS($B$3:$B$5000,$A$3:$A$5000,$A3578,$B$3:$B$5000,"&gt;"&amp;$B3578)=0),NOW(),_xlfn.MINIFS($B$3:$B$5000,$A$3:$A$5000,$A3578,$B$3:$B$5000,"&gt;"&amp;$B3578))</f>
        <v>46279.5987644599</v>
      </c>
    </row>
    <row r="3579" customFormat="false" ht="15" hidden="false" customHeight="true" outlineLevel="0" collapsed="false">
      <c r="A3579" s="42"/>
      <c r="B3579" s="42"/>
      <c r="C3579" s="42"/>
      <c r="D3579" s="42"/>
      <c r="E3579" s="42"/>
      <c r="F3579" s="51" t="n">
        <f aca="false">IF(OR(C3579="",D3579="",E3579="",E3579=0),0,C3579*D3579/E3579)</f>
        <v>0</v>
      </c>
      <c r="G3579" s="42"/>
      <c r="H3579" s="49" t="n">
        <f aca="true">IF(OR($A3579="",_xlfn.MINIFS($B$3:$B$5000,$A$3:$A$5000,$A3579,$B$3:$B$5000,"&gt;"&amp;$B3579)=0),NOW(),_xlfn.MINIFS($B$3:$B$5000,$A$3:$A$5000,$A3579,$B$3:$B$5000,"&gt;"&amp;$B3579))</f>
        <v>46279.5987644599</v>
      </c>
    </row>
    <row r="3580" customFormat="false" ht="15" hidden="false" customHeight="true" outlineLevel="0" collapsed="false">
      <c r="A3580" s="42"/>
      <c r="B3580" s="42"/>
      <c r="C3580" s="42"/>
      <c r="D3580" s="42"/>
      <c r="E3580" s="42"/>
      <c r="F3580" s="51" t="n">
        <f aca="false">IF(OR(C3580="",D3580="",E3580="",E3580=0),0,C3580*D3580/E3580)</f>
        <v>0</v>
      </c>
      <c r="G3580" s="42"/>
      <c r="H3580" s="49" t="n">
        <f aca="true">IF(OR($A3580="",_xlfn.MINIFS($B$3:$B$5000,$A$3:$A$5000,$A3580,$B$3:$B$5000,"&gt;"&amp;$B3580)=0),NOW(),_xlfn.MINIFS($B$3:$B$5000,$A$3:$A$5000,$A3580,$B$3:$B$5000,"&gt;"&amp;$B3580))</f>
        <v>46279.59876446</v>
      </c>
    </row>
    <row r="3581" customFormat="false" ht="15" hidden="false" customHeight="true" outlineLevel="0" collapsed="false">
      <c r="A3581" s="42"/>
      <c r="B3581" s="42"/>
      <c r="C3581" s="42"/>
      <c r="D3581" s="42"/>
      <c r="E3581" s="42"/>
      <c r="F3581" s="51" t="n">
        <f aca="false">IF(OR(C3581="",D3581="",E3581="",E3581=0),0,C3581*D3581/E3581)</f>
        <v>0</v>
      </c>
      <c r="G3581" s="42"/>
      <c r="H3581" s="49" t="n">
        <f aca="true">IF(OR($A3581="",_xlfn.MINIFS($B$3:$B$5000,$A$3:$A$5000,$A3581,$B$3:$B$5000,"&gt;"&amp;$B3581)=0),NOW(),_xlfn.MINIFS($B$3:$B$5000,$A$3:$A$5000,$A3581,$B$3:$B$5000,"&gt;"&amp;$B3581))</f>
        <v>46279.59876446</v>
      </c>
    </row>
    <row r="3582" customFormat="false" ht="15" hidden="false" customHeight="true" outlineLevel="0" collapsed="false">
      <c r="A3582" s="42"/>
      <c r="B3582" s="42"/>
      <c r="C3582" s="42"/>
      <c r="D3582" s="42"/>
      <c r="E3582" s="42"/>
      <c r="F3582" s="51" t="n">
        <f aca="false">IF(OR(C3582="",D3582="",E3582="",E3582=0),0,C3582*D3582/E3582)</f>
        <v>0</v>
      </c>
      <c r="G3582" s="42"/>
      <c r="H3582" s="49" t="n">
        <f aca="true">IF(OR($A3582="",_xlfn.MINIFS($B$3:$B$5000,$A$3:$A$5000,$A3582,$B$3:$B$5000,"&gt;"&amp;$B3582)=0),NOW(),_xlfn.MINIFS($B$3:$B$5000,$A$3:$A$5000,$A3582,$B$3:$B$5000,"&gt;"&amp;$B3582))</f>
        <v>46279.5987644601</v>
      </c>
    </row>
    <row r="3583" customFormat="false" ht="15" hidden="false" customHeight="true" outlineLevel="0" collapsed="false">
      <c r="A3583" s="42"/>
      <c r="B3583" s="42"/>
      <c r="C3583" s="42"/>
      <c r="D3583" s="42"/>
      <c r="E3583" s="42"/>
      <c r="F3583" s="51" t="n">
        <f aca="false">IF(OR(C3583="",D3583="",E3583="",E3583=0),0,C3583*D3583/E3583)</f>
        <v>0</v>
      </c>
      <c r="G3583" s="42"/>
      <c r="H3583" s="49" t="n">
        <f aca="true">IF(OR($A3583="",_xlfn.MINIFS($B$3:$B$5000,$A$3:$A$5000,$A3583,$B$3:$B$5000,"&gt;"&amp;$B3583)=0),NOW(),_xlfn.MINIFS($B$3:$B$5000,$A$3:$A$5000,$A3583,$B$3:$B$5000,"&gt;"&amp;$B3583))</f>
        <v>46279.5987644601</v>
      </c>
    </row>
    <row r="3584" customFormat="false" ht="15" hidden="false" customHeight="true" outlineLevel="0" collapsed="false">
      <c r="A3584" s="42"/>
      <c r="B3584" s="42"/>
      <c r="C3584" s="42"/>
      <c r="D3584" s="42"/>
      <c r="E3584" s="42"/>
      <c r="F3584" s="51" t="n">
        <f aca="false">IF(OR(C3584="",D3584="",E3584="",E3584=0),0,C3584*D3584/E3584)</f>
        <v>0</v>
      </c>
      <c r="G3584" s="42"/>
      <c r="H3584" s="49" t="n">
        <f aca="true">IF(OR($A3584="",_xlfn.MINIFS($B$3:$B$5000,$A$3:$A$5000,$A3584,$B$3:$B$5000,"&gt;"&amp;$B3584)=0),NOW(),_xlfn.MINIFS($B$3:$B$5000,$A$3:$A$5000,$A3584,$B$3:$B$5000,"&gt;"&amp;$B3584))</f>
        <v>46279.5987644602</v>
      </c>
    </row>
    <row r="3585" customFormat="false" ht="15" hidden="false" customHeight="true" outlineLevel="0" collapsed="false">
      <c r="A3585" s="42"/>
      <c r="B3585" s="42"/>
      <c r="C3585" s="42"/>
      <c r="D3585" s="42"/>
      <c r="E3585" s="42"/>
      <c r="F3585" s="51" t="n">
        <f aca="false">IF(OR(C3585="",D3585="",E3585="",E3585=0),0,C3585*D3585/E3585)</f>
        <v>0</v>
      </c>
      <c r="G3585" s="42"/>
      <c r="H3585" s="49" t="n">
        <f aca="true">IF(OR($A3585="",_xlfn.MINIFS($B$3:$B$5000,$A$3:$A$5000,$A3585,$B$3:$B$5000,"&gt;"&amp;$B3585)=0),NOW(),_xlfn.MINIFS($B$3:$B$5000,$A$3:$A$5000,$A3585,$B$3:$B$5000,"&gt;"&amp;$B3585))</f>
        <v>46279.5987644602</v>
      </c>
    </row>
    <row r="3586" customFormat="false" ht="15" hidden="false" customHeight="true" outlineLevel="0" collapsed="false">
      <c r="A3586" s="42"/>
      <c r="B3586" s="42"/>
      <c r="C3586" s="42"/>
      <c r="D3586" s="42"/>
      <c r="E3586" s="42"/>
      <c r="F3586" s="51" t="n">
        <f aca="false">IF(OR(C3586="",D3586="",E3586="",E3586=0),0,C3586*D3586/E3586)</f>
        <v>0</v>
      </c>
      <c r="G3586" s="42"/>
      <c r="H3586" s="49" t="n">
        <f aca="true">IF(OR($A3586="",_xlfn.MINIFS($B$3:$B$5000,$A$3:$A$5000,$A3586,$B$3:$B$5000,"&gt;"&amp;$B3586)=0),NOW(),_xlfn.MINIFS($B$3:$B$5000,$A$3:$A$5000,$A3586,$B$3:$B$5000,"&gt;"&amp;$B3586))</f>
        <v>46279.5987644603</v>
      </c>
    </row>
    <row r="3587" customFormat="false" ht="15" hidden="false" customHeight="true" outlineLevel="0" collapsed="false">
      <c r="A3587" s="42"/>
      <c r="B3587" s="42"/>
      <c r="C3587" s="42"/>
      <c r="D3587" s="42"/>
      <c r="E3587" s="42"/>
      <c r="F3587" s="51" t="n">
        <f aca="false">IF(OR(C3587="",D3587="",E3587="",E3587=0),0,C3587*D3587/E3587)</f>
        <v>0</v>
      </c>
      <c r="G3587" s="42"/>
      <c r="H3587" s="49" t="n">
        <f aca="true">IF(OR($A3587="",_xlfn.MINIFS($B$3:$B$5000,$A$3:$A$5000,$A3587,$B$3:$B$5000,"&gt;"&amp;$B3587)=0),NOW(),_xlfn.MINIFS($B$3:$B$5000,$A$3:$A$5000,$A3587,$B$3:$B$5000,"&gt;"&amp;$B3587))</f>
        <v>46279.5987644603</v>
      </c>
    </row>
    <row r="3588" customFormat="false" ht="15" hidden="false" customHeight="true" outlineLevel="0" collapsed="false">
      <c r="A3588" s="42"/>
      <c r="B3588" s="42"/>
      <c r="C3588" s="42"/>
      <c r="D3588" s="42"/>
      <c r="E3588" s="42"/>
      <c r="F3588" s="51" t="n">
        <f aca="false">IF(OR(C3588="",D3588="",E3588="",E3588=0),0,C3588*D3588/E3588)</f>
        <v>0</v>
      </c>
      <c r="G3588" s="42"/>
      <c r="H3588" s="49" t="n">
        <f aca="true">IF(OR($A3588="",_xlfn.MINIFS($B$3:$B$5000,$A$3:$A$5000,$A3588,$B$3:$B$5000,"&gt;"&amp;$B3588)=0),NOW(),_xlfn.MINIFS($B$3:$B$5000,$A$3:$A$5000,$A3588,$B$3:$B$5000,"&gt;"&amp;$B3588))</f>
        <v>46279.5987644604</v>
      </c>
    </row>
    <row r="3589" customFormat="false" ht="15" hidden="false" customHeight="true" outlineLevel="0" collapsed="false">
      <c r="A3589" s="42"/>
      <c r="B3589" s="42"/>
      <c r="C3589" s="42"/>
      <c r="D3589" s="42"/>
      <c r="E3589" s="42"/>
      <c r="F3589" s="51" t="n">
        <f aca="false">IF(OR(C3589="",D3589="",E3589="",E3589=0),0,C3589*D3589/E3589)</f>
        <v>0</v>
      </c>
      <c r="G3589" s="42"/>
      <c r="H3589" s="49" t="n">
        <f aca="true">IF(OR($A3589="",_xlfn.MINIFS($B$3:$B$5000,$A$3:$A$5000,$A3589,$B$3:$B$5000,"&gt;"&amp;$B3589)=0),NOW(),_xlfn.MINIFS($B$3:$B$5000,$A$3:$A$5000,$A3589,$B$3:$B$5000,"&gt;"&amp;$B3589))</f>
        <v>46279.5987644604</v>
      </c>
    </row>
    <row r="3590" customFormat="false" ht="15" hidden="false" customHeight="true" outlineLevel="0" collapsed="false">
      <c r="A3590" s="42"/>
      <c r="B3590" s="42"/>
      <c r="C3590" s="42"/>
      <c r="D3590" s="42"/>
      <c r="E3590" s="42"/>
      <c r="F3590" s="51" t="n">
        <f aca="false">IF(OR(C3590="",D3590="",E3590="",E3590=0),0,C3590*D3590/E3590)</f>
        <v>0</v>
      </c>
      <c r="G3590" s="42"/>
      <c r="H3590" s="49" t="n">
        <f aca="true">IF(OR($A3590="",_xlfn.MINIFS($B$3:$B$5000,$A$3:$A$5000,$A3590,$B$3:$B$5000,"&gt;"&amp;$B3590)=0),NOW(),_xlfn.MINIFS($B$3:$B$5000,$A$3:$A$5000,$A3590,$B$3:$B$5000,"&gt;"&amp;$B3590))</f>
        <v>46279.5987644605</v>
      </c>
    </row>
    <row r="3591" customFormat="false" ht="15" hidden="false" customHeight="true" outlineLevel="0" collapsed="false">
      <c r="A3591" s="42"/>
      <c r="B3591" s="42"/>
      <c r="C3591" s="42"/>
      <c r="D3591" s="42"/>
      <c r="E3591" s="42"/>
      <c r="F3591" s="51" t="n">
        <f aca="false">IF(OR(C3591="",D3591="",E3591="",E3591=0),0,C3591*D3591/E3591)</f>
        <v>0</v>
      </c>
      <c r="G3591" s="42"/>
      <c r="H3591" s="49" t="n">
        <f aca="true">IF(OR($A3591="",_xlfn.MINIFS($B$3:$B$5000,$A$3:$A$5000,$A3591,$B$3:$B$5000,"&gt;"&amp;$B3591)=0),NOW(),_xlfn.MINIFS($B$3:$B$5000,$A$3:$A$5000,$A3591,$B$3:$B$5000,"&gt;"&amp;$B3591))</f>
        <v>46279.5987644605</v>
      </c>
    </row>
    <row r="3592" customFormat="false" ht="15" hidden="false" customHeight="true" outlineLevel="0" collapsed="false">
      <c r="A3592" s="42"/>
      <c r="B3592" s="42"/>
      <c r="C3592" s="42"/>
      <c r="D3592" s="42"/>
      <c r="E3592" s="42"/>
      <c r="F3592" s="51" t="n">
        <f aca="false">IF(OR(C3592="",D3592="",E3592="",E3592=0),0,C3592*D3592/E3592)</f>
        <v>0</v>
      </c>
      <c r="G3592" s="42"/>
      <c r="H3592" s="49" t="n">
        <f aca="true">IF(OR($A3592="",_xlfn.MINIFS($B$3:$B$5000,$A$3:$A$5000,$A3592,$B$3:$B$5000,"&gt;"&amp;$B3592)=0),NOW(),_xlfn.MINIFS($B$3:$B$5000,$A$3:$A$5000,$A3592,$B$3:$B$5000,"&gt;"&amp;$B3592))</f>
        <v>46279.5987644606</v>
      </c>
    </row>
    <row r="3593" customFormat="false" ht="15" hidden="false" customHeight="true" outlineLevel="0" collapsed="false">
      <c r="A3593" s="42"/>
      <c r="B3593" s="42"/>
      <c r="C3593" s="42"/>
      <c r="D3593" s="42"/>
      <c r="E3593" s="42"/>
      <c r="F3593" s="51" t="n">
        <f aca="false">IF(OR(C3593="",D3593="",E3593="",E3593=0),0,C3593*D3593/E3593)</f>
        <v>0</v>
      </c>
      <c r="G3593" s="42"/>
      <c r="H3593" s="49" t="n">
        <f aca="true">IF(OR($A3593="",_xlfn.MINIFS($B$3:$B$5000,$A$3:$A$5000,$A3593,$B$3:$B$5000,"&gt;"&amp;$B3593)=0),NOW(),_xlfn.MINIFS($B$3:$B$5000,$A$3:$A$5000,$A3593,$B$3:$B$5000,"&gt;"&amp;$B3593))</f>
        <v>46279.5987644606</v>
      </c>
    </row>
    <row r="3594" customFormat="false" ht="15" hidden="false" customHeight="true" outlineLevel="0" collapsed="false">
      <c r="A3594" s="42"/>
      <c r="B3594" s="42"/>
      <c r="C3594" s="42"/>
      <c r="D3594" s="42"/>
      <c r="E3594" s="42"/>
      <c r="F3594" s="51" t="n">
        <f aca="false">IF(OR(C3594="",D3594="",E3594="",E3594=0),0,C3594*D3594/E3594)</f>
        <v>0</v>
      </c>
      <c r="G3594" s="42"/>
      <c r="H3594" s="49" t="n">
        <f aca="true">IF(OR($A3594="",_xlfn.MINIFS($B$3:$B$5000,$A$3:$A$5000,$A3594,$B$3:$B$5000,"&gt;"&amp;$B3594)=0),NOW(),_xlfn.MINIFS($B$3:$B$5000,$A$3:$A$5000,$A3594,$B$3:$B$5000,"&gt;"&amp;$B3594))</f>
        <v>46279.5987644607</v>
      </c>
    </row>
    <row r="3595" customFormat="false" ht="15" hidden="false" customHeight="true" outlineLevel="0" collapsed="false">
      <c r="A3595" s="42"/>
      <c r="B3595" s="42"/>
      <c r="C3595" s="42"/>
      <c r="D3595" s="42"/>
      <c r="E3595" s="42"/>
      <c r="F3595" s="51" t="n">
        <f aca="false">IF(OR(C3595="",D3595="",E3595="",E3595=0),0,C3595*D3595/E3595)</f>
        <v>0</v>
      </c>
      <c r="G3595" s="42"/>
      <c r="H3595" s="49" t="n">
        <f aca="true">IF(OR($A3595="",_xlfn.MINIFS($B$3:$B$5000,$A$3:$A$5000,$A3595,$B$3:$B$5000,"&gt;"&amp;$B3595)=0),NOW(),_xlfn.MINIFS($B$3:$B$5000,$A$3:$A$5000,$A3595,$B$3:$B$5000,"&gt;"&amp;$B3595))</f>
        <v>46279.5987644607</v>
      </c>
    </row>
    <row r="3596" customFormat="false" ht="15" hidden="false" customHeight="true" outlineLevel="0" collapsed="false">
      <c r="A3596" s="42"/>
      <c r="B3596" s="42"/>
      <c r="C3596" s="42"/>
      <c r="D3596" s="42"/>
      <c r="E3596" s="42"/>
      <c r="F3596" s="51" t="n">
        <f aca="false">IF(OR(C3596="",D3596="",E3596="",E3596=0),0,C3596*D3596/E3596)</f>
        <v>0</v>
      </c>
      <c r="G3596" s="42"/>
      <c r="H3596" s="49" t="n">
        <f aca="true">IF(OR($A3596="",_xlfn.MINIFS($B$3:$B$5000,$A$3:$A$5000,$A3596,$B$3:$B$5000,"&gt;"&amp;$B3596)=0),NOW(),_xlfn.MINIFS($B$3:$B$5000,$A$3:$A$5000,$A3596,$B$3:$B$5000,"&gt;"&amp;$B3596))</f>
        <v>46279.5987644608</v>
      </c>
    </row>
    <row r="3597" customFormat="false" ht="15" hidden="false" customHeight="true" outlineLevel="0" collapsed="false">
      <c r="A3597" s="42"/>
      <c r="B3597" s="42"/>
      <c r="C3597" s="42"/>
      <c r="D3597" s="42"/>
      <c r="E3597" s="42"/>
      <c r="F3597" s="51" t="n">
        <f aca="false">IF(OR(C3597="",D3597="",E3597="",E3597=0),0,C3597*D3597/E3597)</f>
        <v>0</v>
      </c>
      <c r="G3597" s="42"/>
      <c r="H3597" s="49" t="n">
        <f aca="true">IF(OR($A3597="",_xlfn.MINIFS($B$3:$B$5000,$A$3:$A$5000,$A3597,$B$3:$B$5000,"&gt;"&amp;$B3597)=0),NOW(),_xlfn.MINIFS($B$3:$B$5000,$A$3:$A$5000,$A3597,$B$3:$B$5000,"&gt;"&amp;$B3597))</f>
        <v>46279.5987644608</v>
      </c>
    </row>
    <row r="3598" customFormat="false" ht="15" hidden="false" customHeight="true" outlineLevel="0" collapsed="false">
      <c r="A3598" s="42"/>
      <c r="B3598" s="42"/>
      <c r="C3598" s="42"/>
      <c r="D3598" s="42"/>
      <c r="E3598" s="42"/>
      <c r="F3598" s="51" t="n">
        <f aca="false">IF(OR(C3598="",D3598="",E3598="",E3598=0),0,C3598*D3598/E3598)</f>
        <v>0</v>
      </c>
      <c r="G3598" s="42"/>
      <c r="H3598" s="49" t="n">
        <f aca="true">IF(OR($A3598="",_xlfn.MINIFS($B$3:$B$5000,$A$3:$A$5000,$A3598,$B$3:$B$5000,"&gt;"&amp;$B3598)=0),NOW(),_xlfn.MINIFS($B$3:$B$5000,$A$3:$A$5000,$A3598,$B$3:$B$5000,"&gt;"&amp;$B3598))</f>
        <v>46279.5987644609</v>
      </c>
    </row>
    <row r="3599" customFormat="false" ht="15" hidden="false" customHeight="true" outlineLevel="0" collapsed="false">
      <c r="A3599" s="42"/>
      <c r="B3599" s="42"/>
      <c r="C3599" s="42"/>
      <c r="D3599" s="42"/>
      <c r="E3599" s="42"/>
      <c r="F3599" s="51" t="n">
        <f aca="false">IF(OR(C3599="",D3599="",E3599="",E3599=0),0,C3599*D3599/E3599)</f>
        <v>0</v>
      </c>
      <c r="G3599" s="42"/>
      <c r="H3599" s="49" t="n">
        <f aca="true">IF(OR($A3599="",_xlfn.MINIFS($B$3:$B$5000,$A$3:$A$5000,$A3599,$B$3:$B$5000,"&gt;"&amp;$B3599)=0),NOW(),_xlfn.MINIFS($B$3:$B$5000,$A$3:$A$5000,$A3599,$B$3:$B$5000,"&gt;"&amp;$B3599))</f>
        <v>46279.5987644609</v>
      </c>
    </row>
    <row r="3600" customFormat="false" ht="15" hidden="false" customHeight="true" outlineLevel="0" collapsed="false">
      <c r="A3600" s="42"/>
      <c r="B3600" s="42"/>
      <c r="C3600" s="42"/>
      <c r="D3600" s="42"/>
      <c r="E3600" s="42"/>
      <c r="F3600" s="51" t="n">
        <f aca="false">IF(OR(C3600="",D3600="",E3600="",E3600=0),0,C3600*D3600/E3600)</f>
        <v>0</v>
      </c>
      <c r="G3600" s="42"/>
      <c r="H3600" s="49" t="n">
        <f aca="true">IF(OR($A3600="",_xlfn.MINIFS($B$3:$B$5000,$A$3:$A$5000,$A3600,$B$3:$B$5000,"&gt;"&amp;$B3600)=0),NOW(),_xlfn.MINIFS($B$3:$B$5000,$A$3:$A$5000,$A3600,$B$3:$B$5000,"&gt;"&amp;$B3600))</f>
        <v>46279.598764461</v>
      </c>
    </row>
    <row r="3601" customFormat="false" ht="15" hidden="false" customHeight="true" outlineLevel="0" collapsed="false">
      <c r="A3601" s="42"/>
      <c r="B3601" s="42"/>
      <c r="C3601" s="42"/>
      <c r="D3601" s="42"/>
      <c r="E3601" s="42"/>
      <c r="F3601" s="51" t="n">
        <f aca="false">IF(OR(C3601="",D3601="",E3601="",E3601=0),0,C3601*D3601/E3601)</f>
        <v>0</v>
      </c>
      <c r="G3601" s="42"/>
      <c r="H3601" s="49" t="n">
        <f aca="true">IF(OR($A3601="",_xlfn.MINIFS($B$3:$B$5000,$A$3:$A$5000,$A3601,$B$3:$B$5000,"&gt;"&amp;$B3601)=0),NOW(),_xlfn.MINIFS($B$3:$B$5000,$A$3:$A$5000,$A3601,$B$3:$B$5000,"&gt;"&amp;$B3601))</f>
        <v>46279.598764461</v>
      </c>
    </row>
    <row r="3602" customFormat="false" ht="15" hidden="false" customHeight="true" outlineLevel="0" collapsed="false">
      <c r="A3602" s="42"/>
      <c r="B3602" s="42"/>
      <c r="C3602" s="42"/>
      <c r="D3602" s="42"/>
      <c r="E3602" s="42"/>
      <c r="F3602" s="51" t="n">
        <f aca="false">IF(OR(C3602="",D3602="",E3602="",E3602=0),0,C3602*D3602/E3602)</f>
        <v>0</v>
      </c>
      <c r="G3602" s="42"/>
      <c r="H3602" s="49" t="n">
        <f aca="true">IF(OR($A3602="",_xlfn.MINIFS($B$3:$B$5000,$A$3:$A$5000,$A3602,$B$3:$B$5000,"&gt;"&amp;$B3602)=0),NOW(),_xlfn.MINIFS($B$3:$B$5000,$A$3:$A$5000,$A3602,$B$3:$B$5000,"&gt;"&amp;$B3602))</f>
        <v>46279.5987644611</v>
      </c>
    </row>
    <row r="3603" customFormat="false" ht="15" hidden="false" customHeight="true" outlineLevel="0" collapsed="false">
      <c r="A3603" s="42"/>
      <c r="B3603" s="42"/>
      <c r="C3603" s="42"/>
      <c r="D3603" s="42"/>
      <c r="E3603" s="42"/>
      <c r="F3603" s="51" t="n">
        <f aca="false">IF(OR(C3603="",D3603="",E3603="",E3603=0),0,C3603*D3603/E3603)</f>
        <v>0</v>
      </c>
      <c r="G3603" s="42"/>
      <c r="H3603" s="49" t="n">
        <f aca="true">IF(OR($A3603="",_xlfn.MINIFS($B$3:$B$5000,$A$3:$A$5000,$A3603,$B$3:$B$5000,"&gt;"&amp;$B3603)=0),NOW(),_xlfn.MINIFS($B$3:$B$5000,$A$3:$A$5000,$A3603,$B$3:$B$5000,"&gt;"&amp;$B3603))</f>
        <v>46279.5987644611</v>
      </c>
    </row>
    <row r="3604" customFormat="false" ht="15" hidden="false" customHeight="true" outlineLevel="0" collapsed="false">
      <c r="A3604" s="42"/>
      <c r="B3604" s="42"/>
      <c r="C3604" s="42"/>
      <c r="D3604" s="42"/>
      <c r="E3604" s="42"/>
      <c r="F3604" s="51" t="n">
        <f aca="false">IF(OR(C3604="",D3604="",E3604="",E3604=0),0,C3604*D3604/E3604)</f>
        <v>0</v>
      </c>
      <c r="G3604" s="42"/>
      <c r="H3604" s="49" t="n">
        <f aca="true">IF(OR($A3604="",_xlfn.MINIFS($B$3:$B$5000,$A$3:$A$5000,$A3604,$B$3:$B$5000,"&gt;"&amp;$B3604)=0),NOW(),_xlfn.MINIFS($B$3:$B$5000,$A$3:$A$5000,$A3604,$B$3:$B$5000,"&gt;"&amp;$B3604))</f>
        <v>46279.5987644612</v>
      </c>
    </row>
    <row r="3605" customFormat="false" ht="15" hidden="false" customHeight="true" outlineLevel="0" collapsed="false">
      <c r="A3605" s="42"/>
      <c r="B3605" s="42"/>
      <c r="C3605" s="42"/>
      <c r="D3605" s="42"/>
      <c r="E3605" s="42"/>
      <c r="F3605" s="51" t="n">
        <f aca="false">IF(OR(C3605="",D3605="",E3605="",E3605=0),0,C3605*D3605/E3605)</f>
        <v>0</v>
      </c>
      <c r="G3605" s="42"/>
      <c r="H3605" s="49" t="n">
        <f aca="true">IF(OR($A3605="",_xlfn.MINIFS($B$3:$B$5000,$A$3:$A$5000,$A3605,$B$3:$B$5000,"&gt;"&amp;$B3605)=0),NOW(),_xlfn.MINIFS($B$3:$B$5000,$A$3:$A$5000,$A3605,$B$3:$B$5000,"&gt;"&amp;$B3605))</f>
        <v>46279.5987644612</v>
      </c>
    </row>
    <row r="3606" customFormat="false" ht="15" hidden="false" customHeight="true" outlineLevel="0" collapsed="false">
      <c r="A3606" s="42"/>
      <c r="B3606" s="42"/>
      <c r="C3606" s="42"/>
      <c r="D3606" s="42"/>
      <c r="E3606" s="42"/>
      <c r="F3606" s="51" t="n">
        <f aca="false">IF(OR(C3606="",D3606="",E3606="",E3606=0),0,C3606*D3606/E3606)</f>
        <v>0</v>
      </c>
      <c r="G3606" s="42"/>
      <c r="H3606" s="49" t="n">
        <f aca="true">IF(OR($A3606="",_xlfn.MINIFS($B$3:$B$5000,$A$3:$A$5000,$A3606,$B$3:$B$5000,"&gt;"&amp;$B3606)=0),NOW(),_xlfn.MINIFS($B$3:$B$5000,$A$3:$A$5000,$A3606,$B$3:$B$5000,"&gt;"&amp;$B3606))</f>
        <v>46279.5987644613</v>
      </c>
    </row>
    <row r="3607" customFormat="false" ht="15" hidden="false" customHeight="true" outlineLevel="0" collapsed="false">
      <c r="A3607" s="42"/>
      <c r="B3607" s="42"/>
      <c r="C3607" s="42"/>
      <c r="D3607" s="42"/>
      <c r="E3607" s="42"/>
      <c r="F3607" s="51" t="n">
        <f aca="false">IF(OR(C3607="",D3607="",E3607="",E3607=0),0,C3607*D3607/E3607)</f>
        <v>0</v>
      </c>
      <c r="G3607" s="42"/>
      <c r="H3607" s="49" t="n">
        <f aca="true">IF(OR($A3607="",_xlfn.MINIFS($B$3:$B$5000,$A$3:$A$5000,$A3607,$B$3:$B$5000,"&gt;"&amp;$B3607)=0),NOW(),_xlfn.MINIFS($B$3:$B$5000,$A$3:$A$5000,$A3607,$B$3:$B$5000,"&gt;"&amp;$B3607))</f>
        <v>46279.5987644613</v>
      </c>
    </row>
    <row r="3608" customFormat="false" ht="15" hidden="false" customHeight="true" outlineLevel="0" collapsed="false">
      <c r="A3608" s="42"/>
      <c r="B3608" s="42"/>
      <c r="C3608" s="42"/>
      <c r="D3608" s="42"/>
      <c r="E3608" s="42"/>
      <c r="F3608" s="51" t="n">
        <f aca="false">IF(OR(C3608="",D3608="",E3608="",E3608=0),0,C3608*D3608/E3608)</f>
        <v>0</v>
      </c>
      <c r="G3608" s="42"/>
      <c r="H3608" s="49" t="n">
        <f aca="true">IF(OR($A3608="",_xlfn.MINIFS($B$3:$B$5000,$A$3:$A$5000,$A3608,$B$3:$B$5000,"&gt;"&amp;$B3608)=0),NOW(),_xlfn.MINIFS($B$3:$B$5000,$A$3:$A$5000,$A3608,$B$3:$B$5000,"&gt;"&amp;$B3608))</f>
        <v>46279.5987644614</v>
      </c>
    </row>
    <row r="3609" customFormat="false" ht="15" hidden="false" customHeight="true" outlineLevel="0" collapsed="false">
      <c r="A3609" s="42"/>
      <c r="B3609" s="42"/>
      <c r="C3609" s="42"/>
      <c r="D3609" s="42"/>
      <c r="E3609" s="42"/>
      <c r="F3609" s="51" t="n">
        <f aca="false">IF(OR(C3609="",D3609="",E3609="",E3609=0),0,C3609*D3609/E3609)</f>
        <v>0</v>
      </c>
      <c r="G3609" s="42"/>
      <c r="H3609" s="49" t="n">
        <f aca="true">IF(OR($A3609="",_xlfn.MINIFS($B$3:$B$5000,$A$3:$A$5000,$A3609,$B$3:$B$5000,"&gt;"&amp;$B3609)=0),NOW(),_xlfn.MINIFS($B$3:$B$5000,$A$3:$A$5000,$A3609,$B$3:$B$5000,"&gt;"&amp;$B3609))</f>
        <v>46279.5987644614</v>
      </c>
    </row>
    <row r="3610" customFormat="false" ht="15" hidden="false" customHeight="true" outlineLevel="0" collapsed="false">
      <c r="A3610" s="42"/>
      <c r="B3610" s="42"/>
      <c r="C3610" s="42"/>
      <c r="D3610" s="42"/>
      <c r="E3610" s="42"/>
      <c r="F3610" s="51" t="n">
        <f aca="false">IF(OR(C3610="",D3610="",E3610="",E3610=0),0,C3610*D3610/E3610)</f>
        <v>0</v>
      </c>
      <c r="G3610" s="42"/>
      <c r="H3610" s="49" t="n">
        <f aca="true">IF(OR($A3610="",_xlfn.MINIFS($B$3:$B$5000,$A$3:$A$5000,$A3610,$B$3:$B$5000,"&gt;"&amp;$B3610)=0),NOW(),_xlfn.MINIFS($B$3:$B$5000,$A$3:$A$5000,$A3610,$B$3:$B$5000,"&gt;"&amp;$B3610))</f>
        <v>46279.5987644615</v>
      </c>
    </row>
    <row r="3611" customFormat="false" ht="15" hidden="false" customHeight="true" outlineLevel="0" collapsed="false">
      <c r="A3611" s="42"/>
      <c r="B3611" s="42"/>
      <c r="C3611" s="42"/>
      <c r="D3611" s="42"/>
      <c r="E3611" s="42"/>
      <c r="F3611" s="51" t="n">
        <f aca="false">IF(OR(C3611="",D3611="",E3611="",E3611=0),0,C3611*D3611/E3611)</f>
        <v>0</v>
      </c>
      <c r="G3611" s="42"/>
      <c r="H3611" s="49" t="n">
        <f aca="true">IF(OR($A3611="",_xlfn.MINIFS($B$3:$B$5000,$A$3:$A$5000,$A3611,$B$3:$B$5000,"&gt;"&amp;$B3611)=0),NOW(),_xlfn.MINIFS($B$3:$B$5000,$A$3:$A$5000,$A3611,$B$3:$B$5000,"&gt;"&amp;$B3611))</f>
        <v>46279.5987644615</v>
      </c>
    </row>
    <row r="3612" customFormat="false" ht="15" hidden="false" customHeight="true" outlineLevel="0" collapsed="false">
      <c r="A3612" s="42"/>
      <c r="B3612" s="42"/>
      <c r="C3612" s="42"/>
      <c r="D3612" s="42"/>
      <c r="E3612" s="42"/>
      <c r="F3612" s="51" t="n">
        <f aca="false">IF(OR(C3612="",D3612="",E3612="",E3612=0),0,C3612*D3612/E3612)</f>
        <v>0</v>
      </c>
      <c r="G3612" s="42"/>
      <c r="H3612" s="49" t="n">
        <f aca="true">IF(OR($A3612="",_xlfn.MINIFS($B$3:$B$5000,$A$3:$A$5000,$A3612,$B$3:$B$5000,"&gt;"&amp;$B3612)=0),NOW(),_xlfn.MINIFS($B$3:$B$5000,$A$3:$A$5000,$A3612,$B$3:$B$5000,"&gt;"&amp;$B3612))</f>
        <v>46279.5987644616</v>
      </c>
    </row>
    <row r="3613" customFormat="false" ht="15" hidden="false" customHeight="true" outlineLevel="0" collapsed="false">
      <c r="A3613" s="42"/>
      <c r="B3613" s="42"/>
      <c r="C3613" s="42"/>
      <c r="D3613" s="42"/>
      <c r="E3613" s="42"/>
      <c r="F3613" s="51" t="n">
        <f aca="false">IF(OR(C3613="",D3613="",E3613="",E3613=0),0,C3613*D3613/E3613)</f>
        <v>0</v>
      </c>
      <c r="G3613" s="42"/>
      <c r="H3613" s="49" t="n">
        <f aca="true">IF(OR($A3613="",_xlfn.MINIFS($B$3:$B$5000,$A$3:$A$5000,$A3613,$B$3:$B$5000,"&gt;"&amp;$B3613)=0),NOW(),_xlfn.MINIFS($B$3:$B$5000,$A$3:$A$5000,$A3613,$B$3:$B$5000,"&gt;"&amp;$B3613))</f>
        <v>46279.5987644616</v>
      </c>
    </row>
    <row r="3614" customFormat="false" ht="15" hidden="false" customHeight="true" outlineLevel="0" collapsed="false">
      <c r="A3614" s="42"/>
      <c r="B3614" s="42"/>
      <c r="C3614" s="42"/>
      <c r="D3614" s="42"/>
      <c r="E3614" s="42"/>
      <c r="F3614" s="51" t="n">
        <f aca="false">IF(OR(C3614="",D3614="",E3614="",E3614=0),0,C3614*D3614/E3614)</f>
        <v>0</v>
      </c>
      <c r="G3614" s="42"/>
      <c r="H3614" s="49" t="n">
        <f aca="true">IF(OR($A3614="",_xlfn.MINIFS($B$3:$B$5000,$A$3:$A$5000,$A3614,$B$3:$B$5000,"&gt;"&amp;$B3614)=0),NOW(),_xlfn.MINIFS($B$3:$B$5000,$A$3:$A$5000,$A3614,$B$3:$B$5000,"&gt;"&amp;$B3614))</f>
        <v>46279.5987644617</v>
      </c>
    </row>
    <row r="3615" customFormat="false" ht="15" hidden="false" customHeight="true" outlineLevel="0" collapsed="false">
      <c r="A3615" s="42"/>
      <c r="B3615" s="42"/>
      <c r="C3615" s="42"/>
      <c r="D3615" s="42"/>
      <c r="E3615" s="42"/>
      <c r="F3615" s="51" t="n">
        <f aca="false">IF(OR(C3615="",D3615="",E3615="",E3615=0),0,C3615*D3615/E3615)</f>
        <v>0</v>
      </c>
      <c r="G3615" s="42"/>
      <c r="H3615" s="49" t="n">
        <f aca="true">IF(OR($A3615="",_xlfn.MINIFS($B$3:$B$5000,$A$3:$A$5000,$A3615,$B$3:$B$5000,"&gt;"&amp;$B3615)=0),NOW(),_xlfn.MINIFS($B$3:$B$5000,$A$3:$A$5000,$A3615,$B$3:$B$5000,"&gt;"&amp;$B3615))</f>
        <v>46279.5987644617</v>
      </c>
    </row>
    <row r="3616" customFormat="false" ht="15" hidden="false" customHeight="true" outlineLevel="0" collapsed="false">
      <c r="A3616" s="42"/>
      <c r="B3616" s="42"/>
      <c r="C3616" s="42"/>
      <c r="D3616" s="42"/>
      <c r="E3616" s="42"/>
      <c r="F3616" s="51" t="n">
        <f aca="false">IF(OR(C3616="",D3616="",E3616="",E3616=0),0,C3616*D3616/E3616)</f>
        <v>0</v>
      </c>
      <c r="G3616" s="42"/>
      <c r="H3616" s="49" t="n">
        <f aca="true">IF(OR($A3616="",_xlfn.MINIFS($B$3:$B$5000,$A$3:$A$5000,$A3616,$B$3:$B$5000,"&gt;"&amp;$B3616)=0),NOW(),_xlfn.MINIFS($B$3:$B$5000,$A$3:$A$5000,$A3616,$B$3:$B$5000,"&gt;"&amp;$B3616))</f>
        <v>46279.5987644618</v>
      </c>
    </row>
    <row r="3617" customFormat="false" ht="15" hidden="false" customHeight="true" outlineLevel="0" collapsed="false">
      <c r="A3617" s="42"/>
      <c r="B3617" s="42"/>
      <c r="C3617" s="42"/>
      <c r="D3617" s="42"/>
      <c r="E3617" s="42"/>
      <c r="F3617" s="51" t="n">
        <f aca="false">IF(OR(C3617="",D3617="",E3617="",E3617=0),0,C3617*D3617/E3617)</f>
        <v>0</v>
      </c>
      <c r="G3617" s="42"/>
      <c r="H3617" s="49" t="n">
        <f aca="true">IF(OR($A3617="",_xlfn.MINIFS($B$3:$B$5000,$A$3:$A$5000,$A3617,$B$3:$B$5000,"&gt;"&amp;$B3617)=0),NOW(),_xlfn.MINIFS($B$3:$B$5000,$A$3:$A$5000,$A3617,$B$3:$B$5000,"&gt;"&amp;$B3617))</f>
        <v>46279.5987644618</v>
      </c>
    </row>
    <row r="3618" customFormat="false" ht="15" hidden="false" customHeight="true" outlineLevel="0" collapsed="false">
      <c r="A3618" s="42"/>
      <c r="B3618" s="42"/>
      <c r="C3618" s="42"/>
      <c r="D3618" s="42"/>
      <c r="E3618" s="42"/>
      <c r="F3618" s="51" t="n">
        <f aca="false">IF(OR(C3618="",D3618="",E3618="",E3618=0),0,C3618*D3618/E3618)</f>
        <v>0</v>
      </c>
      <c r="G3618" s="42"/>
      <c r="H3618" s="49" t="n">
        <f aca="true">IF(OR($A3618="",_xlfn.MINIFS($B$3:$B$5000,$A$3:$A$5000,$A3618,$B$3:$B$5000,"&gt;"&amp;$B3618)=0),NOW(),_xlfn.MINIFS($B$3:$B$5000,$A$3:$A$5000,$A3618,$B$3:$B$5000,"&gt;"&amp;$B3618))</f>
        <v>46279.5987644619</v>
      </c>
    </row>
    <row r="3619" customFormat="false" ht="15" hidden="false" customHeight="true" outlineLevel="0" collapsed="false">
      <c r="A3619" s="42"/>
      <c r="B3619" s="42"/>
      <c r="C3619" s="42"/>
      <c r="D3619" s="42"/>
      <c r="E3619" s="42"/>
      <c r="F3619" s="51" t="n">
        <f aca="false">IF(OR(C3619="",D3619="",E3619="",E3619=0),0,C3619*D3619/E3619)</f>
        <v>0</v>
      </c>
      <c r="G3619" s="42"/>
      <c r="H3619" s="49" t="n">
        <f aca="true">IF(OR($A3619="",_xlfn.MINIFS($B$3:$B$5000,$A$3:$A$5000,$A3619,$B$3:$B$5000,"&gt;"&amp;$B3619)=0),NOW(),_xlfn.MINIFS($B$3:$B$5000,$A$3:$A$5000,$A3619,$B$3:$B$5000,"&gt;"&amp;$B3619))</f>
        <v>46279.5987644619</v>
      </c>
    </row>
    <row r="3620" customFormat="false" ht="15" hidden="false" customHeight="true" outlineLevel="0" collapsed="false">
      <c r="A3620" s="42"/>
      <c r="B3620" s="42"/>
      <c r="C3620" s="42"/>
      <c r="D3620" s="42"/>
      <c r="E3620" s="42"/>
      <c r="F3620" s="51" t="n">
        <f aca="false">IF(OR(C3620="",D3620="",E3620="",E3620=0),0,C3620*D3620/E3620)</f>
        <v>0</v>
      </c>
      <c r="G3620" s="42"/>
      <c r="H3620" s="49" t="n">
        <f aca="true">IF(OR($A3620="",_xlfn.MINIFS($B$3:$B$5000,$A$3:$A$5000,$A3620,$B$3:$B$5000,"&gt;"&amp;$B3620)=0),NOW(),_xlfn.MINIFS($B$3:$B$5000,$A$3:$A$5000,$A3620,$B$3:$B$5000,"&gt;"&amp;$B3620))</f>
        <v>46279.598764462</v>
      </c>
    </row>
    <row r="3621" customFormat="false" ht="15" hidden="false" customHeight="true" outlineLevel="0" collapsed="false">
      <c r="A3621" s="42"/>
      <c r="B3621" s="42"/>
      <c r="C3621" s="42"/>
      <c r="D3621" s="42"/>
      <c r="E3621" s="42"/>
      <c r="F3621" s="51" t="n">
        <f aca="false">IF(OR(C3621="",D3621="",E3621="",E3621=0),0,C3621*D3621/E3621)</f>
        <v>0</v>
      </c>
      <c r="G3621" s="42"/>
      <c r="H3621" s="49" t="n">
        <f aca="true">IF(OR($A3621="",_xlfn.MINIFS($B$3:$B$5000,$A$3:$A$5000,$A3621,$B$3:$B$5000,"&gt;"&amp;$B3621)=0),NOW(),_xlfn.MINIFS($B$3:$B$5000,$A$3:$A$5000,$A3621,$B$3:$B$5000,"&gt;"&amp;$B3621))</f>
        <v>46279.598764462</v>
      </c>
    </row>
    <row r="3622" customFormat="false" ht="15" hidden="false" customHeight="true" outlineLevel="0" collapsed="false">
      <c r="A3622" s="42"/>
      <c r="B3622" s="42"/>
      <c r="C3622" s="42"/>
      <c r="D3622" s="42"/>
      <c r="E3622" s="42"/>
      <c r="F3622" s="51" t="n">
        <f aca="false">IF(OR(C3622="",D3622="",E3622="",E3622=0),0,C3622*D3622/E3622)</f>
        <v>0</v>
      </c>
      <c r="G3622" s="42"/>
      <c r="H3622" s="49" t="n">
        <f aca="true">IF(OR($A3622="",_xlfn.MINIFS($B$3:$B$5000,$A$3:$A$5000,$A3622,$B$3:$B$5000,"&gt;"&amp;$B3622)=0),NOW(),_xlfn.MINIFS($B$3:$B$5000,$A$3:$A$5000,$A3622,$B$3:$B$5000,"&gt;"&amp;$B3622))</f>
        <v>46279.5987644621</v>
      </c>
    </row>
    <row r="3623" customFormat="false" ht="15" hidden="false" customHeight="true" outlineLevel="0" collapsed="false">
      <c r="A3623" s="42"/>
      <c r="B3623" s="42"/>
      <c r="C3623" s="42"/>
      <c r="D3623" s="42"/>
      <c r="E3623" s="42"/>
      <c r="F3623" s="51" t="n">
        <f aca="false">IF(OR(C3623="",D3623="",E3623="",E3623=0),0,C3623*D3623/E3623)</f>
        <v>0</v>
      </c>
      <c r="G3623" s="42"/>
      <c r="H3623" s="49" t="n">
        <f aca="true">IF(OR($A3623="",_xlfn.MINIFS($B$3:$B$5000,$A$3:$A$5000,$A3623,$B$3:$B$5000,"&gt;"&amp;$B3623)=0),NOW(),_xlfn.MINIFS($B$3:$B$5000,$A$3:$A$5000,$A3623,$B$3:$B$5000,"&gt;"&amp;$B3623))</f>
        <v>46279.5987644621</v>
      </c>
    </row>
    <row r="3624" customFormat="false" ht="15" hidden="false" customHeight="true" outlineLevel="0" collapsed="false">
      <c r="A3624" s="42"/>
      <c r="B3624" s="42"/>
      <c r="C3624" s="42"/>
      <c r="D3624" s="42"/>
      <c r="E3624" s="42"/>
      <c r="F3624" s="51" t="n">
        <f aca="false">IF(OR(C3624="",D3624="",E3624="",E3624=0),0,C3624*D3624/E3624)</f>
        <v>0</v>
      </c>
      <c r="G3624" s="42"/>
      <c r="H3624" s="49" t="n">
        <f aca="true">IF(OR($A3624="",_xlfn.MINIFS($B$3:$B$5000,$A$3:$A$5000,$A3624,$B$3:$B$5000,"&gt;"&amp;$B3624)=0),NOW(),_xlfn.MINIFS($B$3:$B$5000,$A$3:$A$5000,$A3624,$B$3:$B$5000,"&gt;"&amp;$B3624))</f>
        <v>46279.5987644622</v>
      </c>
    </row>
    <row r="3625" customFormat="false" ht="15" hidden="false" customHeight="true" outlineLevel="0" collapsed="false">
      <c r="A3625" s="42"/>
      <c r="B3625" s="42"/>
      <c r="C3625" s="42"/>
      <c r="D3625" s="42"/>
      <c r="E3625" s="42"/>
      <c r="F3625" s="51" t="n">
        <f aca="false">IF(OR(C3625="",D3625="",E3625="",E3625=0),0,C3625*D3625/E3625)</f>
        <v>0</v>
      </c>
      <c r="G3625" s="42"/>
      <c r="H3625" s="49" t="n">
        <f aca="true">IF(OR($A3625="",_xlfn.MINIFS($B$3:$B$5000,$A$3:$A$5000,$A3625,$B$3:$B$5000,"&gt;"&amp;$B3625)=0),NOW(),_xlfn.MINIFS($B$3:$B$5000,$A$3:$A$5000,$A3625,$B$3:$B$5000,"&gt;"&amp;$B3625))</f>
        <v>46279.5987644622</v>
      </c>
    </row>
    <row r="3626" customFormat="false" ht="15" hidden="false" customHeight="true" outlineLevel="0" collapsed="false">
      <c r="A3626" s="42"/>
      <c r="B3626" s="42"/>
      <c r="C3626" s="42"/>
      <c r="D3626" s="42"/>
      <c r="E3626" s="42"/>
      <c r="F3626" s="51" t="n">
        <f aca="false">IF(OR(C3626="",D3626="",E3626="",E3626=0),0,C3626*D3626/E3626)</f>
        <v>0</v>
      </c>
      <c r="G3626" s="42"/>
      <c r="H3626" s="49" t="n">
        <f aca="true">IF(OR($A3626="",_xlfn.MINIFS($B$3:$B$5000,$A$3:$A$5000,$A3626,$B$3:$B$5000,"&gt;"&amp;$B3626)=0),NOW(),_xlfn.MINIFS($B$3:$B$5000,$A$3:$A$5000,$A3626,$B$3:$B$5000,"&gt;"&amp;$B3626))</f>
        <v>46279.5987644623</v>
      </c>
    </row>
    <row r="3627" customFormat="false" ht="15" hidden="false" customHeight="true" outlineLevel="0" collapsed="false">
      <c r="A3627" s="42"/>
      <c r="B3627" s="42"/>
      <c r="C3627" s="42"/>
      <c r="D3627" s="42"/>
      <c r="E3627" s="42"/>
      <c r="F3627" s="51" t="n">
        <f aca="false">IF(OR(C3627="",D3627="",E3627="",E3627=0),0,C3627*D3627/E3627)</f>
        <v>0</v>
      </c>
      <c r="G3627" s="42"/>
      <c r="H3627" s="49" t="n">
        <f aca="true">IF(OR($A3627="",_xlfn.MINIFS($B$3:$B$5000,$A$3:$A$5000,$A3627,$B$3:$B$5000,"&gt;"&amp;$B3627)=0),NOW(),_xlfn.MINIFS($B$3:$B$5000,$A$3:$A$5000,$A3627,$B$3:$B$5000,"&gt;"&amp;$B3627))</f>
        <v>46279.5987644623</v>
      </c>
    </row>
    <row r="3628" customFormat="false" ht="15" hidden="false" customHeight="true" outlineLevel="0" collapsed="false">
      <c r="A3628" s="42"/>
      <c r="B3628" s="42"/>
      <c r="C3628" s="42"/>
      <c r="D3628" s="42"/>
      <c r="E3628" s="42"/>
      <c r="F3628" s="51" t="n">
        <f aca="false">IF(OR(C3628="",D3628="",E3628="",E3628=0),0,C3628*D3628/E3628)</f>
        <v>0</v>
      </c>
      <c r="G3628" s="42"/>
      <c r="H3628" s="49" t="n">
        <f aca="true">IF(OR($A3628="",_xlfn.MINIFS($B$3:$B$5000,$A$3:$A$5000,$A3628,$B$3:$B$5000,"&gt;"&amp;$B3628)=0),NOW(),_xlfn.MINIFS($B$3:$B$5000,$A$3:$A$5000,$A3628,$B$3:$B$5000,"&gt;"&amp;$B3628))</f>
        <v>46279.5987644624</v>
      </c>
    </row>
    <row r="3629" customFormat="false" ht="15" hidden="false" customHeight="true" outlineLevel="0" collapsed="false">
      <c r="A3629" s="42"/>
      <c r="B3629" s="42"/>
      <c r="C3629" s="42"/>
      <c r="D3629" s="42"/>
      <c r="E3629" s="42"/>
      <c r="F3629" s="51" t="n">
        <f aca="false">IF(OR(C3629="",D3629="",E3629="",E3629=0),0,C3629*D3629/E3629)</f>
        <v>0</v>
      </c>
      <c r="G3629" s="42"/>
      <c r="H3629" s="49" t="n">
        <f aca="true">IF(OR($A3629="",_xlfn.MINIFS($B$3:$B$5000,$A$3:$A$5000,$A3629,$B$3:$B$5000,"&gt;"&amp;$B3629)=0),NOW(),_xlfn.MINIFS($B$3:$B$5000,$A$3:$A$5000,$A3629,$B$3:$B$5000,"&gt;"&amp;$B3629))</f>
        <v>46279.5987644624</v>
      </c>
    </row>
    <row r="3630" customFormat="false" ht="15" hidden="false" customHeight="true" outlineLevel="0" collapsed="false">
      <c r="A3630" s="42"/>
      <c r="B3630" s="42"/>
      <c r="C3630" s="42"/>
      <c r="D3630" s="42"/>
      <c r="E3630" s="42"/>
      <c r="F3630" s="51" t="n">
        <f aca="false">IF(OR(C3630="",D3630="",E3630="",E3630=0),0,C3630*D3630/E3630)</f>
        <v>0</v>
      </c>
      <c r="G3630" s="42"/>
      <c r="H3630" s="49" t="n">
        <f aca="true">IF(OR($A3630="",_xlfn.MINIFS($B$3:$B$5000,$A$3:$A$5000,$A3630,$B$3:$B$5000,"&gt;"&amp;$B3630)=0),NOW(),_xlfn.MINIFS($B$3:$B$5000,$A$3:$A$5000,$A3630,$B$3:$B$5000,"&gt;"&amp;$B3630))</f>
        <v>46279.5987644625</v>
      </c>
    </row>
    <row r="3631" customFormat="false" ht="15" hidden="false" customHeight="true" outlineLevel="0" collapsed="false">
      <c r="A3631" s="42"/>
      <c r="B3631" s="42"/>
      <c r="C3631" s="42"/>
      <c r="D3631" s="42"/>
      <c r="E3631" s="42"/>
      <c r="F3631" s="51" t="n">
        <f aca="false">IF(OR(C3631="",D3631="",E3631="",E3631=0),0,C3631*D3631/E3631)</f>
        <v>0</v>
      </c>
      <c r="G3631" s="42"/>
      <c r="H3631" s="49" t="n">
        <f aca="true">IF(OR($A3631="",_xlfn.MINIFS($B$3:$B$5000,$A$3:$A$5000,$A3631,$B$3:$B$5000,"&gt;"&amp;$B3631)=0),NOW(),_xlfn.MINIFS($B$3:$B$5000,$A$3:$A$5000,$A3631,$B$3:$B$5000,"&gt;"&amp;$B3631))</f>
        <v>46279.5987644625</v>
      </c>
    </row>
    <row r="3632" customFormat="false" ht="15" hidden="false" customHeight="true" outlineLevel="0" collapsed="false">
      <c r="A3632" s="42"/>
      <c r="B3632" s="42"/>
      <c r="C3632" s="42"/>
      <c r="D3632" s="42"/>
      <c r="E3632" s="42"/>
      <c r="F3632" s="51" t="n">
        <f aca="false">IF(OR(C3632="",D3632="",E3632="",E3632=0),0,C3632*D3632/E3632)</f>
        <v>0</v>
      </c>
      <c r="G3632" s="42"/>
      <c r="H3632" s="49" t="n">
        <f aca="true">IF(OR($A3632="",_xlfn.MINIFS($B$3:$B$5000,$A$3:$A$5000,$A3632,$B$3:$B$5000,"&gt;"&amp;$B3632)=0),NOW(),_xlfn.MINIFS($B$3:$B$5000,$A$3:$A$5000,$A3632,$B$3:$B$5000,"&gt;"&amp;$B3632))</f>
        <v>46279.5987644626</v>
      </c>
    </row>
    <row r="3633" customFormat="false" ht="15" hidden="false" customHeight="true" outlineLevel="0" collapsed="false">
      <c r="A3633" s="42"/>
      <c r="B3633" s="42"/>
      <c r="C3633" s="42"/>
      <c r="D3633" s="42"/>
      <c r="E3633" s="42"/>
      <c r="F3633" s="51" t="n">
        <f aca="false">IF(OR(C3633="",D3633="",E3633="",E3633=0),0,C3633*D3633/E3633)</f>
        <v>0</v>
      </c>
      <c r="G3633" s="42"/>
      <c r="H3633" s="49" t="n">
        <f aca="true">IF(OR($A3633="",_xlfn.MINIFS($B$3:$B$5000,$A$3:$A$5000,$A3633,$B$3:$B$5000,"&gt;"&amp;$B3633)=0),NOW(),_xlfn.MINIFS($B$3:$B$5000,$A$3:$A$5000,$A3633,$B$3:$B$5000,"&gt;"&amp;$B3633))</f>
        <v>46279.5987644626</v>
      </c>
    </row>
    <row r="3634" customFormat="false" ht="15" hidden="false" customHeight="true" outlineLevel="0" collapsed="false">
      <c r="A3634" s="42"/>
      <c r="B3634" s="42"/>
      <c r="C3634" s="42"/>
      <c r="D3634" s="42"/>
      <c r="E3634" s="42"/>
      <c r="F3634" s="51" t="n">
        <f aca="false">IF(OR(C3634="",D3634="",E3634="",E3634=0),0,C3634*D3634/E3634)</f>
        <v>0</v>
      </c>
      <c r="G3634" s="42"/>
      <c r="H3634" s="49" t="n">
        <f aca="true">IF(OR($A3634="",_xlfn.MINIFS($B$3:$B$5000,$A$3:$A$5000,$A3634,$B$3:$B$5000,"&gt;"&amp;$B3634)=0),NOW(),_xlfn.MINIFS($B$3:$B$5000,$A$3:$A$5000,$A3634,$B$3:$B$5000,"&gt;"&amp;$B3634))</f>
        <v>46279.5987644627</v>
      </c>
    </row>
    <row r="3635" customFormat="false" ht="15" hidden="false" customHeight="true" outlineLevel="0" collapsed="false">
      <c r="A3635" s="42"/>
      <c r="B3635" s="42"/>
      <c r="C3635" s="42"/>
      <c r="D3635" s="42"/>
      <c r="E3635" s="42"/>
      <c r="F3635" s="51" t="n">
        <f aca="false">IF(OR(C3635="",D3635="",E3635="",E3635=0),0,C3635*D3635/E3635)</f>
        <v>0</v>
      </c>
      <c r="G3635" s="42"/>
      <c r="H3635" s="49" t="n">
        <f aca="true">IF(OR($A3635="",_xlfn.MINIFS($B$3:$B$5000,$A$3:$A$5000,$A3635,$B$3:$B$5000,"&gt;"&amp;$B3635)=0),NOW(),_xlfn.MINIFS($B$3:$B$5000,$A$3:$A$5000,$A3635,$B$3:$B$5000,"&gt;"&amp;$B3635))</f>
        <v>46279.5987644627</v>
      </c>
    </row>
    <row r="3636" customFormat="false" ht="15" hidden="false" customHeight="true" outlineLevel="0" collapsed="false">
      <c r="A3636" s="42"/>
      <c r="B3636" s="42"/>
      <c r="C3636" s="42"/>
      <c r="D3636" s="42"/>
      <c r="E3636" s="42"/>
      <c r="F3636" s="51" t="n">
        <f aca="false">IF(OR(C3636="",D3636="",E3636="",E3636=0),0,C3636*D3636/E3636)</f>
        <v>0</v>
      </c>
      <c r="G3636" s="42"/>
      <c r="H3636" s="49" t="n">
        <f aca="true">IF(OR($A3636="",_xlfn.MINIFS($B$3:$B$5000,$A$3:$A$5000,$A3636,$B$3:$B$5000,"&gt;"&amp;$B3636)=0),NOW(),_xlfn.MINIFS($B$3:$B$5000,$A$3:$A$5000,$A3636,$B$3:$B$5000,"&gt;"&amp;$B3636))</f>
        <v>46279.5987644628</v>
      </c>
    </row>
    <row r="3637" customFormat="false" ht="15" hidden="false" customHeight="true" outlineLevel="0" collapsed="false">
      <c r="A3637" s="42"/>
      <c r="B3637" s="42"/>
      <c r="C3637" s="42"/>
      <c r="D3637" s="42"/>
      <c r="E3637" s="42"/>
      <c r="F3637" s="51" t="n">
        <f aca="false">IF(OR(C3637="",D3637="",E3637="",E3637=0),0,C3637*D3637/E3637)</f>
        <v>0</v>
      </c>
      <c r="G3637" s="42"/>
      <c r="H3637" s="49" t="n">
        <f aca="true">IF(OR($A3637="",_xlfn.MINIFS($B$3:$B$5000,$A$3:$A$5000,$A3637,$B$3:$B$5000,"&gt;"&amp;$B3637)=0),NOW(),_xlfn.MINIFS($B$3:$B$5000,$A$3:$A$5000,$A3637,$B$3:$B$5000,"&gt;"&amp;$B3637))</f>
        <v>46279.5987644628</v>
      </c>
    </row>
    <row r="3638" customFormat="false" ht="15" hidden="false" customHeight="true" outlineLevel="0" collapsed="false">
      <c r="A3638" s="42"/>
      <c r="B3638" s="42"/>
      <c r="C3638" s="42"/>
      <c r="D3638" s="42"/>
      <c r="E3638" s="42"/>
      <c r="F3638" s="51" t="n">
        <f aca="false">IF(OR(C3638="",D3638="",E3638="",E3638=0),0,C3638*D3638/E3638)</f>
        <v>0</v>
      </c>
      <c r="G3638" s="42"/>
      <c r="H3638" s="49" t="n">
        <f aca="true">IF(OR($A3638="",_xlfn.MINIFS($B$3:$B$5000,$A$3:$A$5000,$A3638,$B$3:$B$5000,"&gt;"&amp;$B3638)=0),NOW(),_xlfn.MINIFS($B$3:$B$5000,$A$3:$A$5000,$A3638,$B$3:$B$5000,"&gt;"&amp;$B3638))</f>
        <v>46279.5987644629</v>
      </c>
    </row>
    <row r="3639" customFormat="false" ht="15" hidden="false" customHeight="true" outlineLevel="0" collapsed="false">
      <c r="A3639" s="42"/>
      <c r="B3639" s="42"/>
      <c r="C3639" s="42"/>
      <c r="D3639" s="42"/>
      <c r="E3639" s="42"/>
      <c r="F3639" s="51" t="n">
        <f aca="false">IF(OR(C3639="",D3639="",E3639="",E3639=0),0,C3639*D3639/E3639)</f>
        <v>0</v>
      </c>
      <c r="G3639" s="42"/>
      <c r="H3639" s="49" t="n">
        <f aca="true">IF(OR($A3639="",_xlfn.MINIFS($B$3:$B$5000,$A$3:$A$5000,$A3639,$B$3:$B$5000,"&gt;"&amp;$B3639)=0),NOW(),_xlfn.MINIFS($B$3:$B$5000,$A$3:$A$5000,$A3639,$B$3:$B$5000,"&gt;"&amp;$B3639))</f>
        <v>46279.5987644629</v>
      </c>
    </row>
    <row r="3640" customFormat="false" ht="15" hidden="false" customHeight="true" outlineLevel="0" collapsed="false">
      <c r="A3640" s="42"/>
      <c r="B3640" s="42"/>
      <c r="C3640" s="42"/>
      <c r="D3640" s="42"/>
      <c r="E3640" s="42"/>
      <c r="F3640" s="51" t="n">
        <f aca="false">IF(OR(C3640="",D3640="",E3640="",E3640=0),0,C3640*D3640/E3640)</f>
        <v>0</v>
      </c>
      <c r="G3640" s="42"/>
      <c r="H3640" s="49" t="n">
        <f aca="true">IF(OR($A3640="",_xlfn.MINIFS($B$3:$B$5000,$A$3:$A$5000,$A3640,$B$3:$B$5000,"&gt;"&amp;$B3640)=0),NOW(),_xlfn.MINIFS($B$3:$B$5000,$A$3:$A$5000,$A3640,$B$3:$B$5000,"&gt;"&amp;$B3640))</f>
        <v>46279.598764463</v>
      </c>
    </row>
    <row r="3641" customFormat="false" ht="15" hidden="false" customHeight="true" outlineLevel="0" collapsed="false">
      <c r="A3641" s="42"/>
      <c r="B3641" s="42"/>
      <c r="C3641" s="42"/>
      <c r="D3641" s="42"/>
      <c r="E3641" s="42"/>
      <c r="F3641" s="51" t="n">
        <f aca="false">IF(OR(C3641="",D3641="",E3641="",E3641=0),0,C3641*D3641/E3641)</f>
        <v>0</v>
      </c>
      <c r="G3641" s="42"/>
      <c r="H3641" s="49" t="n">
        <f aca="true">IF(OR($A3641="",_xlfn.MINIFS($B$3:$B$5000,$A$3:$A$5000,$A3641,$B$3:$B$5000,"&gt;"&amp;$B3641)=0),NOW(),_xlfn.MINIFS($B$3:$B$5000,$A$3:$A$5000,$A3641,$B$3:$B$5000,"&gt;"&amp;$B3641))</f>
        <v>46279.598764463</v>
      </c>
    </row>
    <row r="3642" customFormat="false" ht="15" hidden="false" customHeight="true" outlineLevel="0" collapsed="false">
      <c r="A3642" s="42"/>
      <c r="B3642" s="42"/>
      <c r="C3642" s="42"/>
      <c r="D3642" s="42"/>
      <c r="E3642" s="42"/>
      <c r="F3642" s="51" t="n">
        <f aca="false">IF(OR(C3642="",D3642="",E3642="",E3642=0),0,C3642*D3642/E3642)</f>
        <v>0</v>
      </c>
      <c r="G3642" s="42"/>
      <c r="H3642" s="49" t="n">
        <f aca="true">IF(OR($A3642="",_xlfn.MINIFS($B$3:$B$5000,$A$3:$A$5000,$A3642,$B$3:$B$5000,"&gt;"&amp;$B3642)=0),NOW(),_xlfn.MINIFS($B$3:$B$5000,$A$3:$A$5000,$A3642,$B$3:$B$5000,"&gt;"&amp;$B3642))</f>
        <v>46279.5987644631</v>
      </c>
    </row>
    <row r="3643" customFormat="false" ht="15" hidden="false" customHeight="true" outlineLevel="0" collapsed="false">
      <c r="A3643" s="42"/>
      <c r="B3643" s="42"/>
      <c r="C3643" s="42"/>
      <c r="D3643" s="42"/>
      <c r="E3643" s="42"/>
      <c r="F3643" s="51" t="n">
        <f aca="false">IF(OR(C3643="",D3643="",E3643="",E3643=0),0,C3643*D3643/E3643)</f>
        <v>0</v>
      </c>
      <c r="G3643" s="42"/>
      <c r="H3643" s="49" t="n">
        <f aca="true">IF(OR($A3643="",_xlfn.MINIFS($B$3:$B$5000,$A$3:$A$5000,$A3643,$B$3:$B$5000,"&gt;"&amp;$B3643)=0),NOW(),_xlfn.MINIFS($B$3:$B$5000,$A$3:$A$5000,$A3643,$B$3:$B$5000,"&gt;"&amp;$B3643))</f>
        <v>46279.5987644631</v>
      </c>
    </row>
    <row r="3644" customFormat="false" ht="15" hidden="false" customHeight="true" outlineLevel="0" collapsed="false">
      <c r="A3644" s="42"/>
      <c r="B3644" s="42"/>
      <c r="C3644" s="42"/>
      <c r="D3644" s="42"/>
      <c r="E3644" s="42"/>
      <c r="F3644" s="51" t="n">
        <f aca="false">IF(OR(C3644="",D3644="",E3644="",E3644=0),0,C3644*D3644/E3644)</f>
        <v>0</v>
      </c>
      <c r="G3644" s="42"/>
      <c r="H3644" s="49" t="n">
        <f aca="true">IF(OR($A3644="",_xlfn.MINIFS($B$3:$B$5000,$A$3:$A$5000,$A3644,$B$3:$B$5000,"&gt;"&amp;$B3644)=0),NOW(),_xlfn.MINIFS($B$3:$B$5000,$A$3:$A$5000,$A3644,$B$3:$B$5000,"&gt;"&amp;$B3644))</f>
        <v>46279.5987644632</v>
      </c>
    </row>
    <row r="3645" customFormat="false" ht="15" hidden="false" customHeight="true" outlineLevel="0" collapsed="false">
      <c r="A3645" s="42"/>
      <c r="B3645" s="42"/>
      <c r="C3645" s="42"/>
      <c r="D3645" s="42"/>
      <c r="E3645" s="42"/>
      <c r="F3645" s="51" t="n">
        <f aca="false">IF(OR(C3645="",D3645="",E3645="",E3645=0),0,C3645*D3645/E3645)</f>
        <v>0</v>
      </c>
      <c r="G3645" s="42"/>
      <c r="H3645" s="49" t="n">
        <f aca="true">IF(OR($A3645="",_xlfn.MINIFS($B$3:$B$5000,$A$3:$A$5000,$A3645,$B$3:$B$5000,"&gt;"&amp;$B3645)=0),NOW(),_xlfn.MINIFS($B$3:$B$5000,$A$3:$A$5000,$A3645,$B$3:$B$5000,"&gt;"&amp;$B3645))</f>
        <v>46279.5987644632</v>
      </c>
    </row>
    <row r="3646" customFormat="false" ht="15" hidden="false" customHeight="true" outlineLevel="0" collapsed="false">
      <c r="A3646" s="42"/>
      <c r="B3646" s="42"/>
      <c r="C3646" s="42"/>
      <c r="D3646" s="42"/>
      <c r="E3646" s="42"/>
      <c r="F3646" s="51" t="n">
        <f aca="false">IF(OR(C3646="",D3646="",E3646="",E3646=0),0,C3646*D3646/E3646)</f>
        <v>0</v>
      </c>
      <c r="G3646" s="42"/>
      <c r="H3646" s="49" t="n">
        <f aca="true">IF(OR($A3646="",_xlfn.MINIFS($B$3:$B$5000,$A$3:$A$5000,$A3646,$B$3:$B$5000,"&gt;"&amp;$B3646)=0),NOW(),_xlfn.MINIFS($B$3:$B$5000,$A$3:$A$5000,$A3646,$B$3:$B$5000,"&gt;"&amp;$B3646))</f>
        <v>46279.5987644633</v>
      </c>
    </row>
    <row r="3647" customFormat="false" ht="15" hidden="false" customHeight="true" outlineLevel="0" collapsed="false">
      <c r="A3647" s="42"/>
      <c r="B3647" s="42"/>
      <c r="C3647" s="42"/>
      <c r="D3647" s="42"/>
      <c r="E3647" s="42"/>
      <c r="F3647" s="51" t="n">
        <f aca="false">IF(OR(C3647="",D3647="",E3647="",E3647=0),0,C3647*D3647/E3647)</f>
        <v>0</v>
      </c>
      <c r="G3647" s="42"/>
      <c r="H3647" s="49" t="n">
        <f aca="true">IF(OR($A3647="",_xlfn.MINIFS($B$3:$B$5000,$A$3:$A$5000,$A3647,$B$3:$B$5000,"&gt;"&amp;$B3647)=0),NOW(),_xlfn.MINIFS($B$3:$B$5000,$A$3:$A$5000,$A3647,$B$3:$B$5000,"&gt;"&amp;$B3647))</f>
        <v>46279.5987644633</v>
      </c>
    </row>
    <row r="3648" customFormat="false" ht="15" hidden="false" customHeight="true" outlineLevel="0" collapsed="false">
      <c r="A3648" s="42"/>
      <c r="B3648" s="42"/>
      <c r="C3648" s="42"/>
      <c r="D3648" s="42"/>
      <c r="E3648" s="42"/>
      <c r="F3648" s="51" t="n">
        <f aca="false">IF(OR(C3648="",D3648="",E3648="",E3648=0),0,C3648*D3648/E3648)</f>
        <v>0</v>
      </c>
      <c r="G3648" s="42"/>
      <c r="H3648" s="49" t="n">
        <f aca="true">IF(OR($A3648="",_xlfn.MINIFS($B$3:$B$5000,$A$3:$A$5000,$A3648,$B$3:$B$5000,"&gt;"&amp;$B3648)=0),NOW(),_xlfn.MINIFS($B$3:$B$5000,$A$3:$A$5000,$A3648,$B$3:$B$5000,"&gt;"&amp;$B3648))</f>
        <v>46279.5987644634</v>
      </c>
    </row>
    <row r="3649" customFormat="false" ht="15" hidden="false" customHeight="true" outlineLevel="0" collapsed="false">
      <c r="A3649" s="42"/>
      <c r="B3649" s="42"/>
      <c r="C3649" s="42"/>
      <c r="D3649" s="42"/>
      <c r="E3649" s="42"/>
      <c r="F3649" s="51" t="n">
        <f aca="false">IF(OR(C3649="",D3649="",E3649="",E3649=0),0,C3649*D3649/E3649)</f>
        <v>0</v>
      </c>
      <c r="G3649" s="42"/>
      <c r="H3649" s="49" t="n">
        <f aca="true">IF(OR($A3649="",_xlfn.MINIFS($B$3:$B$5000,$A$3:$A$5000,$A3649,$B$3:$B$5000,"&gt;"&amp;$B3649)=0),NOW(),_xlfn.MINIFS($B$3:$B$5000,$A$3:$A$5000,$A3649,$B$3:$B$5000,"&gt;"&amp;$B3649))</f>
        <v>46279.5987644634</v>
      </c>
    </row>
    <row r="3650" customFormat="false" ht="15" hidden="false" customHeight="true" outlineLevel="0" collapsed="false">
      <c r="A3650" s="42"/>
      <c r="B3650" s="42"/>
      <c r="C3650" s="42"/>
      <c r="D3650" s="42"/>
      <c r="E3650" s="42"/>
      <c r="F3650" s="51" t="n">
        <f aca="false">IF(OR(C3650="",D3650="",E3650="",E3650=0),0,C3650*D3650/E3650)</f>
        <v>0</v>
      </c>
      <c r="G3650" s="42"/>
      <c r="H3650" s="49" t="n">
        <f aca="true">IF(OR($A3650="",_xlfn.MINIFS($B$3:$B$5000,$A$3:$A$5000,$A3650,$B$3:$B$5000,"&gt;"&amp;$B3650)=0),NOW(),_xlfn.MINIFS($B$3:$B$5000,$A$3:$A$5000,$A3650,$B$3:$B$5000,"&gt;"&amp;$B3650))</f>
        <v>46279.5987644635</v>
      </c>
    </row>
    <row r="3651" customFormat="false" ht="15" hidden="false" customHeight="true" outlineLevel="0" collapsed="false">
      <c r="A3651" s="42"/>
      <c r="B3651" s="42"/>
      <c r="C3651" s="42"/>
      <c r="D3651" s="42"/>
      <c r="E3651" s="42"/>
      <c r="F3651" s="51" t="n">
        <f aca="false">IF(OR(C3651="",D3651="",E3651="",E3651=0),0,C3651*D3651/E3651)</f>
        <v>0</v>
      </c>
      <c r="G3651" s="42"/>
      <c r="H3651" s="49" t="n">
        <f aca="true">IF(OR($A3651="",_xlfn.MINIFS($B$3:$B$5000,$A$3:$A$5000,$A3651,$B$3:$B$5000,"&gt;"&amp;$B3651)=0),NOW(),_xlfn.MINIFS($B$3:$B$5000,$A$3:$A$5000,$A3651,$B$3:$B$5000,"&gt;"&amp;$B3651))</f>
        <v>46279.5987644635</v>
      </c>
    </row>
    <row r="3652" customFormat="false" ht="15" hidden="false" customHeight="true" outlineLevel="0" collapsed="false">
      <c r="A3652" s="42"/>
      <c r="B3652" s="42"/>
      <c r="C3652" s="42"/>
      <c r="D3652" s="42"/>
      <c r="E3652" s="42"/>
      <c r="F3652" s="51" t="n">
        <f aca="false">IF(OR(C3652="",D3652="",E3652="",E3652=0),0,C3652*D3652/E3652)</f>
        <v>0</v>
      </c>
      <c r="G3652" s="42"/>
      <c r="H3652" s="49" t="n">
        <f aca="true">IF(OR($A3652="",_xlfn.MINIFS($B$3:$B$5000,$A$3:$A$5000,$A3652,$B$3:$B$5000,"&gt;"&amp;$B3652)=0),NOW(),_xlfn.MINIFS($B$3:$B$5000,$A$3:$A$5000,$A3652,$B$3:$B$5000,"&gt;"&amp;$B3652))</f>
        <v>46279.5987644636</v>
      </c>
    </row>
    <row r="3653" customFormat="false" ht="15" hidden="false" customHeight="true" outlineLevel="0" collapsed="false">
      <c r="A3653" s="42"/>
      <c r="B3653" s="42"/>
      <c r="C3653" s="42"/>
      <c r="D3653" s="42"/>
      <c r="E3653" s="42"/>
      <c r="F3653" s="51" t="n">
        <f aca="false">IF(OR(C3653="",D3653="",E3653="",E3653=0),0,C3653*D3653/E3653)</f>
        <v>0</v>
      </c>
      <c r="G3653" s="42"/>
      <c r="H3653" s="49" t="n">
        <f aca="true">IF(OR($A3653="",_xlfn.MINIFS($B$3:$B$5000,$A$3:$A$5000,$A3653,$B$3:$B$5000,"&gt;"&amp;$B3653)=0),NOW(),_xlfn.MINIFS($B$3:$B$5000,$A$3:$A$5000,$A3653,$B$3:$B$5000,"&gt;"&amp;$B3653))</f>
        <v>46279.5987644636</v>
      </c>
    </row>
    <row r="3654" customFormat="false" ht="15" hidden="false" customHeight="true" outlineLevel="0" collapsed="false">
      <c r="A3654" s="42"/>
      <c r="B3654" s="42"/>
      <c r="C3654" s="42"/>
      <c r="D3654" s="42"/>
      <c r="E3654" s="42"/>
      <c r="F3654" s="51" t="n">
        <f aca="false">IF(OR(C3654="",D3654="",E3654="",E3654=0),0,C3654*D3654/E3654)</f>
        <v>0</v>
      </c>
      <c r="G3654" s="42"/>
      <c r="H3654" s="49" t="n">
        <f aca="true">IF(OR($A3654="",_xlfn.MINIFS($B$3:$B$5000,$A$3:$A$5000,$A3654,$B$3:$B$5000,"&gt;"&amp;$B3654)=0),NOW(),_xlfn.MINIFS($B$3:$B$5000,$A$3:$A$5000,$A3654,$B$3:$B$5000,"&gt;"&amp;$B3654))</f>
        <v>46279.5987644637</v>
      </c>
    </row>
    <row r="3655" customFormat="false" ht="15" hidden="false" customHeight="true" outlineLevel="0" collapsed="false">
      <c r="A3655" s="42"/>
      <c r="B3655" s="42"/>
      <c r="C3655" s="42"/>
      <c r="D3655" s="42"/>
      <c r="E3655" s="42"/>
      <c r="F3655" s="51" t="n">
        <f aca="false">IF(OR(C3655="",D3655="",E3655="",E3655=0),0,C3655*D3655/E3655)</f>
        <v>0</v>
      </c>
      <c r="G3655" s="42"/>
      <c r="H3655" s="49" t="n">
        <f aca="true">IF(OR($A3655="",_xlfn.MINIFS($B$3:$B$5000,$A$3:$A$5000,$A3655,$B$3:$B$5000,"&gt;"&amp;$B3655)=0),NOW(),_xlfn.MINIFS($B$3:$B$5000,$A$3:$A$5000,$A3655,$B$3:$B$5000,"&gt;"&amp;$B3655))</f>
        <v>46279.5987644637</v>
      </c>
    </row>
    <row r="3656" customFormat="false" ht="15" hidden="false" customHeight="true" outlineLevel="0" collapsed="false">
      <c r="A3656" s="42"/>
      <c r="B3656" s="42"/>
      <c r="C3656" s="42"/>
      <c r="D3656" s="42"/>
      <c r="E3656" s="42"/>
      <c r="F3656" s="51" t="n">
        <f aca="false">IF(OR(C3656="",D3656="",E3656="",E3656=0),0,C3656*D3656/E3656)</f>
        <v>0</v>
      </c>
      <c r="G3656" s="42"/>
      <c r="H3656" s="49" t="n">
        <f aca="true">IF(OR($A3656="",_xlfn.MINIFS($B$3:$B$5000,$A$3:$A$5000,$A3656,$B$3:$B$5000,"&gt;"&amp;$B3656)=0),NOW(),_xlfn.MINIFS($B$3:$B$5000,$A$3:$A$5000,$A3656,$B$3:$B$5000,"&gt;"&amp;$B3656))</f>
        <v>46279.5987644638</v>
      </c>
    </row>
    <row r="3657" customFormat="false" ht="15" hidden="false" customHeight="true" outlineLevel="0" collapsed="false">
      <c r="A3657" s="42"/>
      <c r="B3657" s="42"/>
      <c r="C3657" s="42"/>
      <c r="D3657" s="42"/>
      <c r="E3657" s="42"/>
      <c r="F3657" s="51" t="n">
        <f aca="false">IF(OR(C3657="",D3657="",E3657="",E3657=0),0,C3657*D3657/E3657)</f>
        <v>0</v>
      </c>
      <c r="G3657" s="42"/>
      <c r="H3657" s="49" t="n">
        <f aca="true">IF(OR($A3657="",_xlfn.MINIFS($B$3:$B$5000,$A$3:$A$5000,$A3657,$B$3:$B$5000,"&gt;"&amp;$B3657)=0),NOW(),_xlfn.MINIFS($B$3:$B$5000,$A$3:$A$5000,$A3657,$B$3:$B$5000,"&gt;"&amp;$B3657))</f>
        <v>46279.5987644638</v>
      </c>
    </row>
    <row r="3658" customFormat="false" ht="15" hidden="false" customHeight="true" outlineLevel="0" collapsed="false">
      <c r="A3658" s="42"/>
      <c r="B3658" s="42"/>
      <c r="C3658" s="42"/>
      <c r="D3658" s="42"/>
      <c r="E3658" s="42"/>
      <c r="F3658" s="51" t="n">
        <f aca="false">IF(OR(C3658="",D3658="",E3658="",E3658=0),0,C3658*D3658/E3658)</f>
        <v>0</v>
      </c>
      <c r="G3658" s="42"/>
      <c r="H3658" s="49" t="n">
        <f aca="true">IF(OR($A3658="",_xlfn.MINIFS($B$3:$B$5000,$A$3:$A$5000,$A3658,$B$3:$B$5000,"&gt;"&amp;$B3658)=0),NOW(),_xlfn.MINIFS($B$3:$B$5000,$A$3:$A$5000,$A3658,$B$3:$B$5000,"&gt;"&amp;$B3658))</f>
        <v>46279.5987644639</v>
      </c>
    </row>
    <row r="3659" customFormat="false" ht="15" hidden="false" customHeight="true" outlineLevel="0" collapsed="false">
      <c r="A3659" s="42"/>
      <c r="B3659" s="42"/>
      <c r="C3659" s="42"/>
      <c r="D3659" s="42"/>
      <c r="E3659" s="42"/>
      <c r="F3659" s="51" t="n">
        <f aca="false">IF(OR(C3659="",D3659="",E3659="",E3659=0),0,C3659*D3659/E3659)</f>
        <v>0</v>
      </c>
      <c r="G3659" s="42"/>
      <c r="H3659" s="49" t="n">
        <f aca="true">IF(OR($A3659="",_xlfn.MINIFS($B$3:$B$5000,$A$3:$A$5000,$A3659,$B$3:$B$5000,"&gt;"&amp;$B3659)=0),NOW(),_xlfn.MINIFS($B$3:$B$5000,$A$3:$A$5000,$A3659,$B$3:$B$5000,"&gt;"&amp;$B3659))</f>
        <v>46279.5987644639</v>
      </c>
    </row>
    <row r="3660" customFormat="false" ht="15" hidden="false" customHeight="true" outlineLevel="0" collapsed="false">
      <c r="A3660" s="42"/>
      <c r="B3660" s="42"/>
      <c r="C3660" s="42"/>
      <c r="D3660" s="42"/>
      <c r="E3660" s="42"/>
      <c r="F3660" s="51" t="n">
        <f aca="false">IF(OR(C3660="",D3660="",E3660="",E3660=0),0,C3660*D3660/E3660)</f>
        <v>0</v>
      </c>
      <c r="G3660" s="42"/>
      <c r="H3660" s="49" t="n">
        <f aca="true">IF(OR($A3660="",_xlfn.MINIFS($B$3:$B$5000,$A$3:$A$5000,$A3660,$B$3:$B$5000,"&gt;"&amp;$B3660)=0),NOW(),_xlfn.MINIFS($B$3:$B$5000,$A$3:$A$5000,$A3660,$B$3:$B$5000,"&gt;"&amp;$B3660))</f>
        <v>46279.598764464</v>
      </c>
    </row>
    <row r="3661" customFormat="false" ht="15" hidden="false" customHeight="true" outlineLevel="0" collapsed="false">
      <c r="A3661" s="42"/>
      <c r="B3661" s="42"/>
      <c r="C3661" s="42"/>
      <c r="D3661" s="42"/>
      <c r="E3661" s="42"/>
      <c r="F3661" s="51" t="n">
        <f aca="false">IF(OR(C3661="",D3661="",E3661="",E3661=0),0,C3661*D3661/E3661)</f>
        <v>0</v>
      </c>
      <c r="G3661" s="42"/>
      <c r="H3661" s="49" t="n">
        <f aca="true">IF(OR($A3661="",_xlfn.MINIFS($B$3:$B$5000,$A$3:$A$5000,$A3661,$B$3:$B$5000,"&gt;"&amp;$B3661)=0),NOW(),_xlfn.MINIFS($B$3:$B$5000,$A$3:$A$5000,$A3661,$B$3:$B$5000,"&gt;"&amp;$B3661))</f>
        <v>46279.598764464</v>
      </c>
    </row>
    <row r="3662" customFormat="false" ht="15" hidden="false" customHeight="true" outlineLevel="0" collapsed="false">
      <c r="A3662" s="42"/>
      <c r="B3662" s="42"/>
      <c r="C3662" s="42"/>
      <c r="D3662" s="42"/>
      <c r="E3662" s="42"/>
      <c r="F3662" s="51" t="n">
        <f aca="false">IF(OR(C3662="",D3662="",E3662="",E3662=0),0,C3662*D3662/E3662)</f>
        <v>0</v>
      </c>
      <c r="G3662" s="42"/>
      <c r="H3662" s="49" t="n">
        <f aca="true">IF(OR($A3662="",_xlfn.MINIFS($B$3:$B$5000,$A$3:$A$5000,$A3662,$B$3:$B$5000,"&gt;"&amp;$B3662)=0),NOW(),_xlfn.MINIFS($B$3:$B$5000,$A$3:$A$5000,$A3662,$B$3:$B$5000,"&gt;"&amp;$B3662))</f>
        <v>46279.5987644641</v>
      </c>
    </row>
    <row r="3663" customFormat="false" ht="15" hidden="false" customHeight="true" outlineLevel="0" collapsed="false">
      <c r="A3663" s="42"/>
      <c r="B3663" s="42"/>
      <c r="C3663" s="42"/>
      <c r="D3663" s="42"/>
      <c r="E3663" s="42"/>
      <c r="F3663" s="51" t="n">
        <f aca="false">IF(OR(C3663="",D3663="",E3663="",E3663=0),0,C3663*D3663/E3663)</f>
        <v>0</v>
      </c>
      <c r="G3663" s="42"/>
      <c r="H3663" s="49" t="n">
        <f aca="true">IF(OR($A3663="",_xlfn.MINIFS($B$3:$B$5000,$A$3:$A$5000,$A3663,$B$3:$B$5000,"&gt;"&amp;$B3663)=0),NOW(),_xlfn.MINIFS($B$3:$B$5000,$A$3:$A$5000,$A3663,$B$3:$B$5000,"&gt;"&amp;$B3663))</f>
        <v>46279.5987644642</v>
      </c>
    </row>
    <row r="3664" customFormat="false" ht="15" hidden="false" customHeight="true" outlineLevel="0" collapsed="false">
      <c r="A3664" s="42"/>
      <c r="B3664" s="42"/>
      <c r="C3664" s="42"/>
      <c r="D3664" s="42"/>
      <c r="E3664" s="42"/>
      <c r="F3664" s="51" t="n">
        <f aca="false">IF(OR(C3664="",D3664="",E3664="",E3664=0),0,C3664*D3664/E3664)</f>
        <v>0</v>
      </c>
      <c r="G3664" s="42"/>
      <c r="H3664" s="49" t="n">
        <f aca="true">IF(OR($A3664="",_xlfn.MINIFS($B$3:$B$5000,$A$3:$A$5000,$A3664,$B$3:$B$5000,"&gt;"&amp;$B3664)=0),NOW(),_xlfn.MINIFS($B$3:$B$5000,$A$3:$A$5000,$A3664,$B$3:$B$5000,"&gt;"&amp;$B3664))</f>
        <v>46279.5987644643</v>
      </c>
    </row>
    <row r="3665" customFormat="false" ht="15" hidden="false" customHeight="true" outlineLevel="0" collapsed="false">
      <c r="A3665" s="42"/>
      <c r="B3665" s="42"/>
      <c r="C3665" s="42"/>
      <c r="D3665" s="42"/>
      <c r="E3665" s="42"/>
      <c r="F3665" s="51" t="n">
        <f aca="false">IF(OR(C3665="",D3665="",E3665="",E3665=0),0,C3665*D3665/E3665)</f>
        <v>0</v>
      </c>
      <c r="G3665" s="42"/>
      <c r="H3665" s="49" t="n">
        <f aca="true">IF(OR($A3665="",_xlfn.MINIFS($B$3:$B$5000,$A$3:$A$5000,$A3665,$B$3:$B$5000,"&gt;"&amp;$B3665)=0),NOW(),_xlfn.MINIFS($B$3:$B$5000,$A$3:$A$5000,$A3665,$B$3:$B$5000,"&gt;"&amp;$B3665))</f>
        <v>46279.5987644643</v>
      </c>
    </row>
    <row r="3666" customFormat="false" ht="15" hidden="false" customHeight="true" outlineLevel="0" collapsed="false">
      <c r="A3666" s="42"/>
      <c r="B3666" s="42"/>
      <c r="C3666" s="42"/>
      <c r="D3666" s="42"/>
      <c r="E3666" s="42"/>
      <c r="F3666" s="51" t="n">
        <f aca="false">IF(OR(C3666="",D3666="",E3666="",E3666=0),0,C3666*D3666/E3666)</f>
        <v>0</v>
      </c>
      <c r="G3666" s="42"/>
      <c r="H3666" s="49" t="n">
        <f aca="true">IF(OR($A3666="",_xlfn.MINIFS($B$3:$B$5000,$A$3:$A$5000,$A3666,$B$3:$B$5000,"&gt;"&amp;$B3666)=0),NOW(),_xlfn.MINIFS($B$3:$B$5000,$A$3:$A$5000,$A3666,$B$3:$B$5000,"&gt;"&amp;$B3666))</f>
        <v>46279.5987644644</v>
      </c>
    </row>
    <row r="3667" customFormat="false" ht="15" hidden="false" customHeight="true" outlineLevel="0" collapsed="false">
      <c r="A3667" s="42"/>
      <c r="B3667" s="42"/>
      <c r="C3667" s="42"/>
      <c r="D3667" s="42"/>
      <c r="E3667" s="42"/>
      <c r="F3667" s="51" t="n">
        <f aca="false">IF(OR(C3667="",D3667="",E3667="",E3667=0),0,C3667*D3667/E3667)</f>
        <v>0</v>
      </c>
      <c r="G3667" s="42"/>
      <c r="H3667" s="49" t="n">
        <f aca="true">IF(OR($A3667="",_xlfn.MINIFS($B$3:$B$5000,$A$3:$A$5000,$A3667,$B$3:$B$5000,"&gt;"&amp;$B3667)=0),NOW(),_xlfn.MINIFS($B$3:$B$5000,$A$3:$A$5000,$A3667,$B$3:$B$5000,"&gt;"&amp;$B3667))</f>
        <v>46279.5987644644</v>
      </c>
    </row>
    <row r="3668" customFormat="false" ht="15" hidden="false" customHeight="true" outlineLevel="0" collapsed="false">
      <c r="A3668" s="42"/>
      <c r="B3668" s="42"/>
      <c r="C3668" s="42"/>
      <c r="D3668" s="42"/>
      <c r="E3668" s="42"/>
      <c r="F3668" s="51" t="n">
        <f aca="false">IF(OR(C3668="",D3668="",E3668="",E3668=0),0,C3668*D3668/E3668)</f>
        <v>0</v>
      </c>
      <c r="G3668" s="42"/>
      <c r="H3668" s="49" t="n">
        <f aca="true">IF(OR($A3668="",_xlfn.MINIFS($B$3:$B$5000,$A$3:$A$5000,$A3668,$B$3:$B$5000,"&gt;"&amp;$B3668)=0),NOW(),_xlfn.MINIFS($B$3:$B$5000,$A$3:$A$5000,$A3668,$B$3:$B$5000,"&gt;"&amp;$B3668))</f>
        <v>46279.5987644645</v>
      </c>
    </row>
    <row r="3669" customFormat="false" ht="15" hidden="false" customHeight="true" outlineLevel="0" collapsed="false">
      <c r="A3669" s="42"/>
      <c r="B3669" s="42"/>
      <c r="C3669" s="42"/>
      <c r="D3669" s="42"/>
      <c r="E3669" s="42"/>
      <c r="F3669" s="51" t="n">
        <f aca="false">IF(OR(C3669="",D3669="",E3669="",E3669=0),0,C3669*D3669/E3669)</f>
        <v>0</v>
      </c>
      <c r="G3669" s="42"/>
      <c r="H3669" s="49" t="n">
        <f aca="true">IF(OR($A3669="",_xlfn.MINIFS($B$3:$B$5000,$A$3:$A$5000,$A3669,$B$3:$B$5000,"&gt;"&amp;$B3669)=0),NOW(),_xlfn.MINIFS($B$3:$B$5000,$A$3:$A$5000,$A3669,$B$3:$B$5000,"&gt;"&amp;$B3669))</f>
        <v>46279.5987644645</v>
      </c>
    </row>
    <row r="3670" customFormat="false" ht="15" hidden="false" customHeight="true" outlineLevel="0" collapsed="false">
      <c r="A3670" s="42"/>
      <c r="B3670" s="42"/>
      <c r="C3670" s="42"/>
      <c r="D3670" s="42"/>
      <c r="E3670" s="42"/>
      <c r="F3670" s="51" t="n">
        <f aca="false">IF(OR(C3670="",D3670="",E3670="",E3670=0),0,C3670*D3670/E3670)</f>
        <v>0</v>
      </c>
      <c r="G3670" s="42"/>
      <c r="H3670" s="49" t="n">
        <f aca="true">IF(OR($A3670="",_xlfn.MINIFS($B$3:$B$5000,$A$3:$A$5000,$A3670,$B$3:$B$5000,"&gt;"&amp;$B3670)=0),NOW(),_xlfn.MINIFS($B$3:$B$5000,$A$3:$A$5000,$A3670,$B$3:$B$5000,"&gt;"&amp;$B3670))</f>
        <v>46279.5987644646</v>
      </c>
    </row>
    <row r="3671" customFormat="false" ht="15" hidden="false" customHeight="true" outlineLevel="0" collapsed="false">
      <c r="A3671" s="42"/>
      <c r="B3671" s="42"/>
      <c r="C3671" s="42"/>
      <c r="D3671" s="42"/>
      <c r="E3671" s="42"/>
      <c r="F3671" s="51" t="n">
        <f aca="false">IF(OR(C3671="",D3671="",E3671="",E3671=0),0,C3671*D3671/E3671)</f>
        <v>0</v>
      </c>
      <c r="G3671" s="42"/>
      <c r="H3671" s="49" t="n">
        <f aca="true">IF(OR($A3671="",_xlfn.MINIFS($B$3:$B$5000,$A$3:$A$5000,$A3671,$B$3:$B$5000,"&gt;"&amp;$B3671)=0),NOW(),_xlfn.MINIFS($B$3:$B$5000,$A$3:$A$5000,$A3671,$B$3:$B$5000,"&gt;"&amp;$B3671))</f>
        <v>46279.5987644646</v>
      </c>
    </row>
    <row r="3672" customFormat="false" ht="15" hidden="false" customHeight="true" outlineLevel="0" collapsed="false">
      <c r="A3672" s="42"/>
      <c r="B3672" s="42"/>
      <c r="C3672" s="42"/>
      <c r="D3672" s="42"/>
      <c r="E3672" s="42"/>
      <c r="F3672" s="51" t="n">
        <f aca="false">IF(OR(C3672="",D3672="",E3672="",E3672=0),0,C3672*D3672/E3672)</f>
        <v>0</v>
      </c>
      <c r="G3672" s="42"/>
      <c r="H3672" s="49" t="n">
        <f aca="true">IF(OR($A3672="",_xlfn.MINIFS($B$3:$B$5000,$A$3:$A$5000,$A3672,$B$3:$B$5000,"&gt;"&amp;$B3672)=0),NOW(),_xlfn.MINIFS($B$3:$B$5000,$A$3:$A$5000,$A3672,$B$3:$B$5000,"&gt;"&amp;$B3672))</f>
        <v>46279.5987644647</v>
      </c>
    </row>
    <row r="3673" customFormat="false" ht="15" hidden="false" customHeight="true" outlineLevel="0" collapsed="false">
      <c r="A3673" s="42"/>
      <c r="B3673" s="42"/>
      <c r="C3673" s="42"/>
      <c r="D3673" s="42"/>
      <c r="E3673" s="42"/>
      <c r="F3673" s="51" t="n">
        <f aca="false">IF(OR(C3673="",D3673="",E3673="",E3673=0),0,C3673*D3673/E3673)</f>
        <v>0</v>
      </c>
      <c r="G3673" s="42"/>
      <c r="H3673" s="49" t="n">
        <f aca="true">IF(OR($A3673="",_xlfn.MINIFS($B$3:$B$5000,$A$3:$A$5000,$A3673,$B$3:$B$5000,"&gt;"&amp;$B3673)=0),NOW(),_xlfn.MINIFS($B$3:$B$5000,$A$3:$A$5000,$A3673,$B$3:$B$5000,"&gt;"&amp;$B3673))</f>
        <v>46279.5987644647</v>
      </c>
    </row>
    <row r="3674" customFormat="false" ht="15" hidden="false" customHeight="true" outlineLevel="0" collapsed="false">
      <c r="A3674" s="42"/>
      <c r="B3674" s="42"/>
      <c r="C3674" s="42"/>
      <c r="D3674" s="42"/>
      <c r="E3674" s="42"/>
      <c r="F3674" s="51" t="n">
        <f aca="false">IF(OR(C3674="",D3674="",E3674="",E3674=0),0,C3674*D3674/E3674)</f>
        <v>0</v>
      </c>
      <c r="G3674" s="42"/>
      <c r="H3674" s="49" t="n">
        <f aca="true">IF(OR($A3674="",_xlfn.MINIFS($B$3:$B$5000,$A$3:$A$5000,$A3674,$B$3:$B$5000,"&gt;"&amp;$B3674)=0),NOW(),_xlfn.MINIFS($B$3:$B$5000,$A$3:$A$5000,$A3674,$B$3:$B$5000,"&gt;"&amp;$B3674))</f>
        <v>46279.5987644648</v>
      </c>
    </row>
    <row r="3675" customFormat="false" ht="15" hidden="false" customHeight="true" outlineLevel="0" collapsed="false">
      <c r="A3675" s="42"/>
      <c r="B3675" s="42"/>
      <c r="C3675" s="42"/>
      <c r="D3675" s="42"/>
      <c r="E3675" s="42"/>
      <c r="F3675" s="51" t="n">
        <f aca="false">IF(OR(C3675="",D3675="",E3675="",E3675=0),0,C3675*D3675/E3675)</f>
        <v>0</v>
      </c>
      <c r="G3675" s="42"/>
      <c r="H3675" s="49" t="n">
        <f aca="true">IF(OR($A3675="",_xlfn.MINIFS($B$3:$B$5000,$A$3:$A$5000,$A3675,$B$3:$B$5000,"&gt;"&amp;$B3675)=0),NOW(),_xlfn.MINIFS($B$3:$B$5000,$A$3:$A$5000,$A3675,$B$3:$B$5000,"&gt;"&amp;$B3675))</f>
        <v>46279.5987644648</v>
      </c>
    </row>
    <row r="3676" customFormat="false" ht="15" hidden="false" customHeight="true" outlineLevel="0" collapsed="false">
      <c r="A3676" s="42"/>
      <c r="B3676" s="42"/>
      <c r="C3676" s="42"/>
      <c r="D3676" s="42"/>
      <c r="E3676" s="42"/>
      <c r="F3676" s="51" t="n">
        <f aca="false">IF(OR(C3676="",D3676="",E3676="",E3676=0),0,C3676*D3676/E3676)</f>
        <v>0</v>
      </c>
      <c r="G3676" s="42"/>
      <c r="H3676" s="49" t="n">
        <f aca="true">IF(OR($A3676="",_xlfn.MINIFS($B$3:$B$5000,$A$3:$A$5000,$A3676,$B$3:$B$5000,"&gt;"&amp;$B3676)=0),NOW(),_xlfn.MINIFS($B$3:$B$5000,$A$3:$A$5000,$A3676,$B$3:$B$5000,"&gt;"&amp;$B3676))</f>
        <v>46279.5987644649</v>
      </c>
    </row>
    <row r="3677" customFormat="false" ht="15" hidden="false" customHeight="true" outlineLevel="0" collapsed="false">
      <c r="A3677" s="42"/>
      <c r="B3677" s="42"/>
      <c r="C3677" s="42"/>
      <c r="D3677" s="42"/>
      <c r="E3677" s="42"/>
      <c r="F3677" s="51" t="n">
        <f aca="false">IF(OR(C3677="",D3677="",E3677="",E3677=0),0,C3677*D3677/E3677)</f>
        <v>0</v>
      </c>
      <c r="G3677" s="42"/>
      <c r="H3677" s="49" t="n">
        <f aca="true">IF(OR($A3677="",_xlfn.MINIFS($B$3:$B$5000,$A$3:$A$5000,$A3677,$B$3:$B$5000,"&gt;"&amp;$B3677)=0),NOW(),_xlfn.MINIFS($B$3:$B$5000,$A$3:$A$5000,$A3677,$B$3:$B$5000,"&gt;"&amp;$B3677))</f>
        <v>46279.5987644649</v>
      </c>
    </row>
    <row r="3678" customFormat="false" ht="15" hidden="false" customHeight="true" outlineLevel="0" collapsed="false">
      <c r="A3678" s="42"/>
      <c r="B3678" s="42"/>
      <c r="C3678" s="42"/>
      <c r="D3678" s="42"/>
      <c r="E3678" s="42"/>
      <c r="F3678" s="51" t="n">
        <f aca="false">IF(OR(C3678="",D3678="",E3678="",E3678=0),0,C3678*D3678/E3678)</f>
        <v>0</v>
      </c>
      <c r="G3678" s="42"/>
      <c r="H3678" s="49" t="n">
        <f aca="true">IF(OR($A3678="",_xlfn.MINIFS($B$3:$B$5000,$A$3:$A$5000,$A3678,$B$3:$B$5000,"&gt;"&amp;$B3678)=0),NOW(),_xlfn.MINIFS($B$3:$B$5000,$A$3:$A$5000,$A3678,$B$3:$B$5000,"&gt;"&amp;$B3678))</f>
        <v>46279.598764465</v>
      </c>
    </row>
    <row r="3679" customFormat="false" ht="15" hidden="false" customHeight="true" outlineLevel="0" collapsed="false">
      <c r="A3679" s="42"/>
      <c r="B3679" s="42"/>
      <c r="C3679" s="42"/>
      <c r="D3679" s="42"/>
      <c r="E3679" s="42"/>
      <c r="F3679" s="51" t="n">
        <f aca="false">IF(OR(C3679="",D3679="",E3679="",E3679=0),0,C3679*D3679/E3679)</f>
        <v>0</v>
      </c>
      <c r="G3679" s="42"/>
      <c r="H3679" s="49" t="n">
        <f aca="true">IF(OR($A3679="",_xlfn.MINIFS($B$3:$B$5000,$A$3:$A$5000,$A3679,$B$3:$B$5000,"&gt;"&amp;$B3679)=0),NOW(),_xlfn.MINIFS($B$3:$B$5000,$A$3:$A$5000,$A3679,$B$3:$B$5000,"&gt;"&amp;$B3679))</f>
        <v>46279.598764465</v>
      </c>
    </row>
    <row r="3680" customFormat="false" ht="15" hidden="false" customHeight="true" outlineLevel="0" collapsed="false">
      <c r="A3680" s="42"/>
      <c r="B3680" s="42"/>
      <c r="C3680" s="42"/>
      <c r="D3680" s="42"/>
      <c r="E3680" s="42"/>
      <c r="F3680" s="51" t="n">
        <f aca="false">IF(OR(C3680="",D3680="",E3680="",E3680=0),0,C3680*D3680/E3680)</f>
        <v>0</v>
      </c>
      <c r="G3680" s="42"/>
      <c r="H3680" s="49" t="n">
        <f aca="true">IF(OR($A3680="",_xlfn.MINIFS($B$3:$B$5000,$A$3:$A$5000,$A3680,$B$3:$B$5000,"&gt;"&amp;$B3680)=0),NOW(),_xlfn.MINIFS($B$3:$B$5000,$A$3:$A$5000,$A3680,$B$3:$B$5000,"&gt;"&amp;$B3680))</f>
        <v>46279.5987644651</v>
      </c>
    </row>
    <row r="3681" customFormat="false" ht="15" hidden="false" customHeight="true" outlineLevel="0" collapsed="false">
      <c r="A3681" s="42"/>
      <c r="B3681" s="42"/>
      <c r="C3681" s="42"/>
      <c r="D3681" s="42"/>
      <c r="E3681" s="42"/>
      <c r="F3681" s="51" t="n">
        <f aca="false">IF(OR(C3681="",D3681="",E3681="",E3681=0),0,C3681*D3681/E3681)</f>
        <v>0</v>
      </c>
      <c r="G3681" s="42"/>
      <c r="H3681" s="49" t="n">
        <f aca="true">IF(OR($A3681="",_xlfn.MINIFS($B$3:$B$5000,$A$3:$A$5000,$A3681,$B$3:$B$5000,"&gt;"&amp;$B3681)=0),NOW(),_xlfn.MINIFS($B$3:$B$5000,$A$3:$A$5000,$A3681,$B$3:$B$5000,"&gt;"&amp;$B3681))</f>
        <v>46279.5987644651</v>
      </c>
    </row>
    <row r="3682" customFormat="false" ht="15" hidden="false" customHeight="true" outlineLevel="0" collapsed="false">
      <c r="A3682" s="42"/>
      <c r="B3682" s="42"/>
      <c r="C3682" s="42"/>
      <c r="D3682" s="42"/>
      <c r="E3682" s="42"/>
      <c r="F3682" s="51" t="n">
        <f aca="false">IF(OR(C3682="",D3682="",E3682="",E3682=0),0,C3682*D3682/E3682)</f>
        <v>0</v>
      </c>
      <c r="G3682" s="42"/>
      <c r="H3682" s="49" t="n">
        <f aca="true">IF(OR($A3682="",_xlfn.MINIFS($B$3:$B$5000,$A$3:$A$5000,$A3682,$B$3:$B$5000,"&gt;"&amp;$B3682)=0),NOW(),_xlfn.MINIFS($B$3:$B$5000,$A$3:$A$5000,$A3682,$B$3:$B$5000,"&gt;"&amp;$B3682))</f>
        <v>46279.5987644652</v>
      </c>
    </row>
    <row r="3683" customFormat="false" ht="15" hidden="false" customHeight="true" outlineLevel="0" collapsed="false">
      <c r="A3683" s="42"/>
      <c r="B3683" s="42"/>
      <c r="C3683" s="42"/>
      <c r="D3683" s="42"/>
      <c r="E3683" s="42"/>
      <c r="F3683" s="51" t="n">
        <f aca="false">IF(OR(C3683="",D3683="",E3683="",E3683=0),0,C3683*D3683/E3683)</f>
        <v>0</v>
      </c>
      <c r="G3683" s="42"/>
      <c r="H3683" s="49" t="n">
        <f aca="true">IF(OR($A3683="",_xlfn.MINIFS($B$3:$B$5000,$A$3:$A$5000,$A3683,$B$3:$B$5000,"&gt;"&amp;$B3683)=0),NOW(),_xlfn.MINIFS($B$3:$B$5000,$A$3:$A$5000,$A3683,$B$3:$B$5000,"&gt;"&amp;$B3683))</f>
        <v>46279.5987644652</v>
      </c>
    </row>
    <row r="3684" customFormat="false" ht="15" hidden="false" customHeight="true" outlineLevel="0" collapsed="false">
      <c r="A3684" s="42"/>
      <c r="B3684" s="42"/>
      <c r="C3684" s="42"/>
      <c r="D3684" s="42"/>
      <c r="E3684" s="42"/>
      <c r="F3684" s="51" t="n">
        <f aca="false">IF(OR(C3684="",D3684="",E3684="",E3684=0),0,C3684*D3684/E3684)</f>
        <v>0</v>
      </c>
      <c r="G3684" s="42"/>
      <c r="H3684" s="49" t="n">
        <f aca="true">IF(OR($A3684="",_xlfn.MINIFS($B$3:$B$5000,$A$3:$A$5000,$A3684,$B$3:$B$5000,"&gt;"&amp;$B3684)=0),NOW(),_xlfn.MINIFS($B$3:$B$5000,$A$3:$A$5000,$A3684,$B$3:$B$5000,"&gt;"&amp;$B3684))</f>
        <v>46279.5987644653</v>
      </c>
    </row>
    <row r="3685" customFormat="false" ht="15" hidden="false" customHeight="true" outlineLevel="0" collapsed="false">
      <c r="A3685" s="42"/>
      <c r="B3685" s="42"/>
      <c r="C3685" s="42"/>
      <c r="D3685" s="42"/>
      <c r="E3685" s="42"/>
      <c r="F3685" s="51" t="n">
        <f aca="false">IF(OR(C3685="",D3685="",E3685="",E3685=0),0,C3685*D3685/E3685)</f>
        <v>0</v>
      </c>
      <c r="G3685" s="42"/>
      <c r="H3685" s="49" t="n">
        <f aca="true">IF(OR($A3685="",_xlfn.MINIFS($B$3:$B$5000,$A$3:$A$5000,$A3685,$B$3:$B$5000,"&gt;"&amp;$B3685)=0),NOW(),_xlfn.MINIFS($B$3:$B$5000,$A$3:$A$5000,$A3685,$B$3:$B$5000,"&gt;"&amp;$B3685))</f>
        <v>46279.5987644653</v>
      </c>
    </row>
    <row r="3686" customFormat="false" ht="15" hidden="false" customHeight="true" outlineLevel="0" collapsed="false">
      <c r="A3686" s="42"/>
      <c r="B3686" s="42"/>
      <c r="C3686" s="42"/>
      <c r="D3686" s="42"/>
      <c r="E3686" s="42"/>
      <c r="F3686" s="51" t="n">
        <f aca="false">IF(OR(C3686="",D3686="",E3686="",E3686=0),0,C3686*D3686/E3686)</f>
        <v>0</v>
      </c>
      <c r="G3686" s="42"/>
      <c r="H3686" s="49" t="n">
        <f aca="true">IF(OR($A3686="",_xlfn.MINIFS($B$3:$B$5000,$A$3:$A$5000,$A3686,$B$3:$B$5000,"&gt;"&amp;$B3686)=0),NOW(),_xlfn.MINIFS($B$3:$B$5000,$A$3:$A$5000,$A3686,$B$3:$B$5000,"&gt;"&amp;$B3686))</f>
        <v>46279.5987644654</v>
      </c>
    </row>
    <row r="3687" customFormat="false" ht="15" hidden="false" customHeight="true" outlineLevel="0" collapsed="false">
      <c r="A3687" s="42"/>
      <c r="B3687" s="42"/>
      <c r="C3687" s="42"/>
      <c r="D3687" s="42"/>
      <c r="E3687" s="42"/>
      <c r="F3687" s="51" t="n">
        <f aca="false">IF(OR(C3687="",D3687="",E3687="",E3687=0),0,C3687*D3687/E3687)</f>
        <v>0</v>
      </c>
      <c r="G3687" s="42"/>
      <c r="H3687" s="49" t="n">
        <f aca="true">IF(OR($A3687="",_xlfn.MINIFS($B$3:$B$5000,$A$3:$A$5000,$A3687,$B$3:$B$5000,"&gt;"&amp;$B3687)=0),NOW(),_xlfn.MINIFS($B$3:$B$5000,$A$3:$A$5000,$A3687,$B$3:$B$5000,"&gt;"&amp;$B3687))</f>
        <v>46279.5987644654</v>
      </c>
    </row>
    <row r="3688" customFormat="false" ht="15" hidden="false" customHeight="true" outlineLevel="0" collapsed="false">
      <c r="A3688" s="42"/>
      <c r="B3688" s="42"/>
      <c r="C3688" s="42"/>
      <c r="D3688" s="42"/>
      <c r="E3688" s="42"/>
      <c r="F3688" s="51" t="n">
        <f aca="false">IF(OR(C3688="",D3688="",E3688="",E3688=0),0,C3688*D3688/E3688)</f>
        <v>0</v>
      </c>
      <c r="G3688" s="42"/>
      <c r="H3688" s="49" t="n">
        <f aca="true">IF(OR($A3688="",_xlfn.MINIFS($B$3:$B$5000,$A$3:$A$5000,$A3688,$B$3:$B$5000,"&gt;"&amp;$B3688)=0),NOW(),_xlfn.MINIFS($B$3:$B$5000,$A$3:$A$5000,$A3688,$B$3:$B$5000,"&gt;"&amp;$B3688))</f>
        <v>46279.5987644655</v>
      </c>
    </row>
    <row r="3689" customFormat="false" ht="15" hidden="false" customHeight="true" outlineLevel="0" collapsed="false">
      <c r="A3689" s="42"/>
      <c r="B3689" s="42"/>
      <c r="C3689" s="42"/>
      <c r="D3689" s="42"/>
      <c r="E3689" s="42"/>
      <c r="F3689" s="51" t="n">
        <f aca="false">IF(OR(C3689="",D3689="",E3689="",E3689=0),0,C3689*D3689/E3689)</f>
        <v>0</v>
      </c>
      <c r="G3689" s="42"/>
      <c r="H3689" s="49" t="n">
        <f aca="true">IF(OR($A3689="",_xlfn.MINIFS($B$3:$B$5000,$A$3:$A$5000,$A3689,$B$3:$B$5000,"&gt;"&amp;$B3689)=0),NOW(),_xlfn.MINIFS($B$3:$B$5000,$A$3:$A$5000,$A3689,$B$3:$B$5000,"&gt;"&amp;$B3689))</f>
        <v>46279.5987644655</v>
      </c>
    </row>
    <row r="3690" customFormat="false" ht="15" hidden="false" customHeight="true" outlineLevel="0" collapsed="false">
      <c r="A3690" s="42"/>
      <c r="B3690" s="42"/>
      <c r="C3690" s="42"/>
      <c r="D3690" s="42"/>
      <c r="E3690" s="42"/>
      <c r="F3690" s="51" t="n">
        <f aca="false">IF(OR(C3690="",D3690="",E3690="",E3690=0),0,C3690*D3690/E3690)</f>
        <v>0</v>
      </c>
      <c r="G3690" s="42"/>
      <c r="H3690" s="49" t="n">
        <f aca="true">IF(OR($A3690="",_xlfn.MINIFS($B$3:$B$5000,$A$3:$A$5000,$A3690,$B$3:$B$5000,"&gt;"&amp;$B3690)=0),NOW(),_xlfn.MINIFS($B$3:$B$5000,$A$3:$A$5000,$A3690,$B$3:$B$5000,"&gt;"&amp;$B3690))</f>
        <v>46279.5987644656</v>
      </c>
    </row>
    <row r="3691" customFormat="false" ht="15" hidden="false" customHeight="true" outlineLevel="0" collapsed="false">
      <c r="A3691" s="42"/>
      <c r="B3691" s="42"/>
      <c r="C3691" s="42"/>
      <c r="D3691" s="42"/>
      <c r="E3691" s="42"/>
      <c r="F3691" s="51" t="n">
        <f aca="false">IF(OR(C3691="",D3691="",E3691="",E3691=0),0,C3691*D3691/E3691)</f>
        <v>0</v>
      </c>
      <c r="G3691" s="42"/>
      <c r="H3691" s="49" t="n">
        <f aca="true">IF(OR($A3691="",_xlfn.MINIFS($B$3:$B$5000,$A$3:$A$5000,$A3691,$B$3:$B$5000,"&gt;"&amp;$B3691)=0),NOW(),_xlfn.MINIFS($B$3:$B$5000,$A$3:$A$5000,$A3691,$B$3:$B$5000,"&gt;"&amp;$B3691))</f>
        <v>46279.5987644656</v>
      </c>
    </row>
    <row r="3692" customFormat="false" ht="15" hidden="false" customHeight="true" outlineLevel="0" collapsed="false">
      <c r="A3692" s="42"/>
      <c r="B3692" s="42"/>
      <c r="C3692" s="42"/>
      <c r="D3692" s="42"/>
      <c r="E3692" s="42"/>
      <c r="F3692" s="51" t="n">
        <f aca="false">IF(OR(C3692="",D3692="",E3692="",E3692=0),0,C3692*D3692/E3692)</f>
        <v>0</v>
      </c>
      <c r="G3692" s="42"/>
      <c r="H3692" s="49" t="n">
        <f aca="true">IF(OR($A3692="",_xlfn.MINIFS($B$3:$B$5000,$A$3:$A$5000,$A3692,$B$3:$B$5000,"&gt;"&amp;$B3692)=0),NOW(),_xlfn.MINIFS($B$3:$B$5000,$A$3:$A$5000,$A3692,$B$3:$B$5000,"&gt;"&amp;$B3692))</f>
        <v>46279.5987644659</v>
      </c>
    </row>
    <row r="3693" customFormat="false" ht="15" hidden="false" customHeight="true" outlineLevel="0" collapsed="false">
      <c r="A3693" s="42"/>
      <c r="B3693" s="42"/>
      <c r="C3693" s="42"/>
      <c r="D3693" s="42"/>
      <c r="E3693" s="42"/>
      <c r="F3693" s="51" t="n">
        <f aca="false">IF(OR(C3693="",D3693="",E3693="",E3693=0),0,C3693*D3693/E3693)</f>
        <v>0</v>
      </c>
      <c r="G3693" s="42"/>
      <c r="H3693" s="49" t="n">
        <f aca="true">IF(OR($A3693="",_xlfn.MINIFS($B$3:$B$5000,$A$3:$A$5000,$A3693,$B$3:$B$5000,"&gt;"&amp;$B3693)=0),NOW(),_xlfn.MINIFS($B$3:$B$5000,$A$3:$A$5000,$A3693,$B$3:$B$5000,"&gt;"&amp;$B3693))</f>
        <v>46279.5987644659</v>
      </c>
    </row>
    <row r="3694" customFormat="false" ht="15" hidden="false" customHeight="true" outlineLevel="0" collapsed="false">
      <c r="A3694" s="42"/>
      <c r="B3694" s="42"/>
      <c r="C3694" s="42"/>
      <c r="D3694" s="42"/>
      <c r="E3694" s="42"/>
      <c r="F3694" s="51" t="n">
        <f aca="false">IF(OR(C3694="",D3694="",E3694="",E3694=0),0,C3694*D3694/E3694)</f>
        <v>0</v>
      </c>
      <c r="G3694" s="42"/>
      <c r="H3694" s="49" t="n">
        <f aca="true">IF(OR($A3694="",_xlfn.MINIFS($B$3:$B$5000,$A$3:$A$5000,$A3694,$B$3:$B$5000,"&gt;"&amp;$B3694)=0),NOW(),_xlfn.MINIFS($B$3:$B$5000,$A$3:$A$5000,$A3694,$B$3:$B$5000,"&gt;"&amp;$B3694))</f>
        <v>46279.598764466</v>
      </c>
    </row>
    <row r="3695" customFormat="false" ht="15" hidden="false" customHeight="true" outlineLevel="0" collapsed="false">
      <c r="A3695" s="42"/>
      <c r="B3695" s="42"/>
      <c r="C3695" s="42"/>
      <c r="D3695" s="42"/>
      <c r="E3695" s="42"/>
      <c r="F3695" s="51" t="n">
        <f aca="false">IF(OR(C3695="",D3695="",E3695="",E3695=0),0,C3695*D3695/E3695)</f>
        <v>0</v>
      </c>
      <c r="G3695" s="42"/>
      <c r="H3695" s="49" t="n">
        <f aca="true">IF(OR($A3695="",_xlfn.MINIFS($B$3:$B$5000,$A$3:$A$5000,$A3695,$B$3:$B$5000,"&gt;"&amp;$B3695)=0),NOW(),_xlfn.MINIFS($B$3:$B$5000,$A$3:$A$5000,$A3695,$B$3:$B$5000,"&gt;"&amp;$B3695))</f>
        <v>46279.5987644661</v>
      </c>
    </row>
    <row r="3696" customFormat="false" ht="15" hidden="false" customHeight="true" outlineLevel="0" collapsed="false">
      <c r="A3696" s="42"/>
      <c r="B3696" s="42"/>
      <c r="C3696" s="42"/>
      <c r="D3696" s="42"/>
      <c r="E3696" s="42"/>
      <c r="F3696" s="51" t="n">
        <f aca="false">IF(OR(C3696="",D3696="",E3696="",E3696=0),0,C3696*D3696/E3696)</f>
        <v>0</v>
      </c>
      <c r="G3696" s="42"/>
      <c r="H3696" s="49" t="n">
        <f aca="true">IF(OR($A3696="",_xlfn.MINIFS($B$3:$B$5000,$A$3:$A$5000,$A3696,$B$3:$B$5000,"&gt;"&amp;$B3696)=0),NOW(),_xlfn.MINIFS($B$3:$B$5000,$A$3:$A$5000,$A3696,$B$3:$B$5000,"&gt;"&amp;$B3696))</f>
        <v>46279.5987644661</v>
      </c>
    </row>
    <row r="3697" customFormat="false" ht="15" hidden="false" customHeight="true" outlineLevel="0" collapsed="false">
      <c r="A3697" s="42"/>
      <c r="B3697" s="42"/>
      <c r="C3697" s="42"/>
      <c r="D3697" s="42"/>
      <c r="E3697" s="42"/>
      <c r="F3697" s="51" t="n">
        <f aca="false">IF(OR(C3697="",D3697="",E3697="",E3697=0),0,C3697*D3697/E3697)</f>
        <v>0</v>
      </c>
      <c r="G3697" s="42"/>
      <c r="H3697" s="49" t="n">
        <f aca="true">IF(OR($A3697="",_xlfn.MINIFS($B$3:$B$5000,$A$3:$A$5000,$A3697,$B$3:$B$5000,"&gt;"&amp;$B3697)=0),NOW(),_xlfn.MINIFS($B$3:$B$5000,$A$3:$A$5000,$A3697,$B$3:$B$5000,"&gt;"&amp;$B3697))</f>
        <v>46279.5987644662</v>
      </c>
    </row>
    <row r="3698" customFormat="false" ht="15" hidden="false" customHeight="true" outlineLevel="0" collapsed="false">
      <c r="A3698" s="42"/>
      <c r="B3698" s="42"/>
      <c r="C3698" s="42"/>
      <c r="D3698" s="42"/>
      <c r="E3698" s="42"/>
      <c r="F3698" s="51" t="n">
        <f aca="false">IF(OR(C3698="",D3698="",E3698="",E3698=0),0,C3698*D3698/E3698)</f>
        <v>0</v>
      </c>
      <c r="G3698" s="42"/>
      <c r="H3698" s="49" t="n">
        <f aca="true">IF(OR($A3698="",_xlfn.MINIFS($B$3:$B$5000,$A$3:$A$5000,$A3698,$B$3:$B$5000,"&gt;"&amp;$B3698)=0),NOW(),_xlfn.MINIFS($B$3:$B$5000,$A$3:$A$5000,$A3698,$B$3:$B$5000,"&gt;"&amp;$B3698))</f>
        <v>46279.5987644662</v>
      </c>
    </row>
    <row r="3699" customFormat="false" ht="15" hidden="false" customHeight="true" outlineLevel="0" collapsed="false">
      <c r="A3699" s="42"/>
      <c r="B3699" s="42"/>
      <c r="C3699" s="42"/>
      <c r="D3699" s="42"/>
      <c r="E3699" s="42"/>
      <c r="F3699" s="51" t="n">
        <f aca="false">IF(OR(C3699="",D3699="",E3699="",E3699=0),0,C3699*D3699/E3699)</f>
        <v>0</v>
      </c>
      <c r="G3699" s="42"/>
      <c r="H3699" s="49" t="n">
        <f aca="true">IF(OR($A3699="",_xlfn.MINIFS($B$3:$B$5000,$A$3:$A$5000,$A3699,$B$3:$B$5000,"&gt;"&amp;$B3699)=0),NOW(),_xlfn.MINIFS($B$3:$B$5000,$A$3:$A$5000,$A3699,$B$3:$B$5000,"&gt;"&amp;$B3699))</f>
        <v>46279.5987644662</v>
      </c>
    </row>
    <row r="3700" customFormat="false" ht="15" hidden="false" customHeight="true" outlineLevel="0" collapsed="false">
      <c r="A3700" s="42"/>
      <c r="B3700" s="42"/>
      <c r="C3700" s="42"/>
      <c r="D3700" s="42"/>
      <c r="E3700" s="42"/>
      <c r="F3700" s="51" t="n">
        <f aca="false">IF(OR(C3700="",D3700="",E3700="",E3700=0),0,C3700*D3700/E3700)</f>
        <v>0</v>
      </c>
      <c r="G3700" s="42"/>
      <c r="H3700" s="49" t="n">
        <f aca="true">IF(OR($A3700="",_xlfn.MINIFS($B$3:$B$5000,$A$3:$A$5000,$A3700,$B$3:$B$5000,"&gt;"&amp;$B3700)=0),NOW(),_xlfn.MINIFS($B$3:$B$5000,$A$3:$A$5000,$A3700,$B$3:$B$5000,"&gt;"&amp;$B3700))</f>
        <v>46279.5987644663</v>
      </c>
    </row>
    <row r="3701" customFormat="false" ht="15" hidden="false" customHeight="true" outlineLevel="0" collapsed="false">
      <c r="A3701" s="42"/>
      <c r="B3701" s="42"/>
      <c r="C3701" s="42"/>
      <c r="D3701" s="42"/>
      <c r="E3701" s="42"/>
      <c r="F3701" s="51" t="n">
        <f aca="false">IF(OR(C3701="",D3701="",E3701="",E3701=0),0,C3701*D3701/E3701)</f>
        <v>0</v>
      </c>
      <c r="G3701" s="42"/>
      <c r="H3701" s="49" t="n">
        <f aca="true">IF(OR($A3701="",_xlfn.MINIFS($B$3:$B$5000,$A$3:$A$5000,$A3701,$B$3:$B$5000,"&gt;"&amp;$B3701)=0),NOW(),_xlfn.MINIFS($B$3:$B$5000,$A$3:$A$5000,$A3701,$B$3:$B$5000,"&gt;"&amp;$B3701))</f>
        <v>46279.5987644664</v>
      </c>
    </row>
    <row r="3702" customFormat="false" ht="15" hidden="false" customHeight="true" outlineLevel="0" collapsed="false">
      <c r="A3702" s="42"/>
      <c r="B3702" s="42"/>
      <c r="C3702" s="42"/>
      <c r="D3702" s="42"/>
      <c r="E3702" s="42"/>
      <c r="F3702" s="51" t="n">
        <f aca="false">IF(OR(C3702="",D3702="",E3702="",E3702=0),0,C3702*D3702/E3702)</f>
        <v>0</v>
      </c>
      <c r="G3702" s="42"/>
      <c r="H3702" s="49" t="n">
        <f aca="true">IF(OR($A3702="",_xlfn.MINIFS($B$3:$B$5000,$A$3:$A$5000,$A3702,$B$3:$B$5000,"&gt;"&amp;$B3702)=0),NOW(),_xlfn.MINIFS($B$3:$B$5000,$A$3:$A$5000,$A3702,$B$3:$B$5000,"&gt;"&amp;$B3702))</f>
        <v>46279.5987644664</v>
      </c>
    </row>
    <row r="3703" customFormat="false" ht="15" hidden="false" customHeight="true" outlineLevel="0" collapsed="false">
      <c r="A3703" s="42"/>
      <c r="B3703" s="42"/>
      <c r="C3703" s="42"/>
      <c r="D3703" s="42"/>
      <c r="E3703" s="42"/>
      <c r="F3703" s="51" t="n">
        <f aca="false">IF(OR(C3703="",D3703="",E3703="",E3703=0),0,C3703*D3703/E3703)</f>
        <v>0</v>
      </c>
      <c r="G3703" s="42"/>
      <c r="H3703" s="49" t="n">
        <f aca="true">IF(OR($A3703="",_xlfn.MINIFS($B$3:$B$5000,$A$3:$A$5000,$A3703,$B$3:$B$5000,"&gt;"&amp;$B3703)=0),NOW(),_xlfn.MINIFS($B$3:$B$5000,$A$3:$A$5000,$A3703,$B$3:$B$5000,"&gt;"&amp;$B3703))</f>
        <v>46279.5987644665</v>
      </c>
    </row>
    <row r="3704" customFormat="false" ht="15" hidden="false" customHeight="true" outlineLevel="0" collapsed="false">
      <c r="A3704" s="42"/>
      <c r="B3704" s="42"/>
      <c r="C3704" s="42"/>
      <c r="D3704" s="42"/>
      <c r="E3704" s="42"/>
      <c r="F3704" s="51" t="n">
        <f aca="false">IF(OR(C3704="",D3704="",E3704="",E3704=0),0,C3704*D3704/E3704)</f>
        <v>0</v>
      </c>
      <c r="G3704" s="42"/>
      <c r="H3704" s="49" t="n">
        <f aca="true">IF(OR($A3704="",_xlfn.MINIFS($B$3:$B$5000,$A$3:$A$5000,$A3704,$B$3:$B$5000,"&gt;"&amp;$B3704)=0),NOW(),_xlfn.MINIFS($B$3:$B$5000,$A$3:$A$5000,$A3704,$B$3:$B$5000,"&gt;"&amp;$B3704))</f>
        <v>46279.5987644665</v>
      </c>
    </row>
    <row r="3705" customFormat="false" ht="15" hidden="false" customHeight="true" outlineLevel="0" collapsed="false">
      <c r="A3705" s="42"/>
      <c r="B3705" s="42"/>
      <c r="C3705" s="42"/>
      <c r="D3705" s="42"/>
      <c r="E3705" s="42"/>
      <c r="F3705" s="51" t="n">
        <f aca="false">IF(OR(C3705="",D3705="",E3705="",E3705=0),0,C3705*D3705/E3705)</f>
        <v>0</v>
      </c>
      <c r="G3705" s="42"/>
      <c r="H3705" s="49" t="n">
        <f aca="true">IF(OR($A3705="",_xlfn.MINIFS($B$3:$B$5000,$A$3:$A$5000,$A3705,$B$3:$B$5000,"&gt;"&amp;$B3705)=0),NOW(),_xlfn.MINIFS($B$3:$B$5000,$A$3:$A$5000,$A3705,$B$3:$B$5000,"&gt;"&amp;$B3705))</f>
        <v>46279.5987644666</v>
      </c>
    </row>
    <row r="3706" customFormat="false" ht="15" hidden="false" customHeight="true" outlineLevel="0" collapsed="false">
      <c r="A3706" s="42"/>
      <c r="B3706" s="42"/>
      <c r="C3706" s="42"/>
      <c r="D3706" s="42"/>
      <c r="E3706" s="42"/>
      <c r="F3706" s="51" t="n">
        <f aca="false">IF(OR(C3706="",D3706="",E3706="",E3706=0),0,C3706*D3706/E3706)</f>
        <v>0</v>
      </c>
      <c r="G3706" s="42"/>
      <c r="H3706" s="49" t="n">
        <f aca="true">IF(OR($A3706="",_xlfn.MINIFS($B$3:$B$5000,$A$3:$A$5000,$A3706,$B$3:$B$5000,"&gt;"&amp;$B3706)=0),NOW(),_xlfn.MINIFS($B$3:$B$5000,$A$3:$A$5000,$A3706,$B$3:$B$5000,"&gt;"&amp;$B3706))</f>
        <v>46279.5987644666</v>
      </c>
    </row>
    <row r="3707" customFormat="false" ht="15" hidden="false" customHeight="true" outlineLevel="0" collapsed="false">
      <c r="A3707" s="42"/>
      <c r="B3707" s="42"/>
      <c r="C3707" s="42"/>
      <c r="D3707" s="42"/>
      <c r="E3707" s="42"/>
      <c r="F3707" s="51" t="n">
        <f aca="false">IF(OR(C3707="",D3707="",E3707="",E3707=0),0,C3707*D3707/E3707)</f>
        <v>0</v>
      </c>
      <c r="G3707" s="42"/>
      <c r="H3707" s="49" t="n">
        <f aca="true">IF(OR($A3707="",_xlfn.MINIFS($B$3:$B$5000,$A$3:$A$5000,$A3707,$B$3:$B$5000,"&gt;"&amp;$B3707)=0),NOW(),_xlfn.MINIFS($B$3:$B$5000,$A$3:$A$5000,$A3707,$B$3:$B$5000,"&gt;"&amp;$B3707))</f>
        <v>46279.5987644667</v>
      </c>
    </row>
    <row r="3708" customFormat="false" ht="15" hidden="false" customHeight="true" outlineLevel="0" collapsed="false">
      <c r="A3708" s="42"/>
      <c r="B3708" s="42"/>
      <c r="C3708" s="42"/>
      <c r="D3708" s="42"/>
      <c r="E3708" s="42"/>
      <c r="F3708" s="51" t="n">
        <f aca="false">IF(OR(C3708="",D3708="",E3708="",E3708=0),0,C3708*D3708/E3708)</f>
        <v>0</v>
      </c>
      <c r="G3708" s="42"/>
      <c r="H3708" s="49" t="n">
        <f aca="true">IF(OR($A3708="",_xlfn.MINIFS($B$3:$B$5000,$A$3:$A$5000,$A3708,$B$3:$B$5000,"&gt;"&amp;$B3708)=0),NOW(),_xlfn.MINIFS($B$3:$B$5000,$A$3:$A$5000,$A3708,$B$3:$B$5000,"&gt;"&amp;$B3708))</f>
        <v>46279.5987644667</v>
      </c>
    </row>
    <row r="3709" customFormat="false" ht="15" hidden="false" customHeight="true" outlineLevel="0" collapsed="false">
      <c r="A3709" s="42"/>
      <c r="B3709" s="42"/>
      <c r="C3709" s="42"/>
      <c r="D3709" s="42"/>
      <c r="E3709" s="42"/>
      <c r="F3709" s="51" t="n">
        <f aca="false">IF(OR(C3709="",D3709="",E3709="",E3709=0),0,C3709*D3709/E3709)</f>
        <v>0</v>
      </c>
      <c r="G3709" s="42"/>
      <c r="H3709" s="49" t="n">
        <f aca="true">IF(OR($A3709="",_xlfn.MINIFS($B$3:$B$5000,$A$3:$A$5000,$A3709,$B$3:$B$5000,"&gt;"&amp;$B3709)=0),NOW(),_xlfn.MINIFS($B$3:$B$5000,$A$3:$A$5000,$A3709,$B$3:$B$5000,"&gt;"&amp;$B3709))</f>
        <v>46279.5987644668</v>
      </c>
    </row>
    <row r="3710" customFormat="false" ht="15" hidden="false" customHeight="true" outlineLevel="0" collapsed="false">
      <c r="A3710" s="42"/>
      <c r="B3710" s="42"/>
      <c r="C3710" s="42"/>
      <c r="D3710" s="42"/>
      <c r="E3710" s="42"/>
      <c r="F3710" s="51" t="n">
        <f aca="false">IF(OR(C3710="",D3710="",E3710="",E3710=0),0,C3710*D3710/E3710)</f>
        <v>0</v>
      </c>
      <c r="G3710" s="42"/>
      <c r="H3710" s="49" t="n">
        <f aca="true">IF(OR($A3710="",_xlfn.MINIFS($B$3:$B$5000,$A$3:$A$5000,$A3710,$B$3:$B$5000,"&gt;"&amp;$B3710)=0),NOW(),_xlfn.MINIFS($B$3:$B$5000,$A$3:$A$5000,$A3710,$B$3:$B$5000,"&gt;"&amp;$B3710))</f>
        <v>46279.5987644668</v>
      </c>
    </row>
    <row r="3711" customFormat="false" ht="15" hidden="false" customHeight="true" outlineLevel="0" collapsed="false">
      <c r="A3711" s="42"/>
      <c r="B3711" s="42"/>
      <c r="C3711" s="42"/>
      <c r="D3711" s="42"/>
      <c r="E3711" s="42"/>
      <c r="F3711" s="51" t="n">
        <f aca="false">IF(OR(C3711="",D3711="",E3711="",E3711=0),0,C3711*D3711/E3711)</f>
        <v>0</v>
      </c>
      <c r="G3711" s="42"/>
      <c r="H3711" s="49" t="n">
        <f aca="true">IF(OR($A3711="",_xlfn.MINIFS($B$3:$B$5000,$A$3:$A$5000,$A3711,$B$3:$B$5000,"&gt;"&amp;$B3711)=0),NOW(),_xlfn.MINIFS($B$3:$B$5000,$A$3:$A$5000,$A3711,$B$3:$B$5000,"&gt;"&amp;$B3711))</f>
        <v>46279.5987644669</v>
      </c>
    </row>
    <row r="3712" customFormat="false" ht="15" hidden="false" customHeight="true" outlineLevel="0" collapsed="false">
      <c r="A3712" s="42"/>
      <c r="B3712" s="42"/>
      <c r="C3712" s="42"/>
      <c r="D3712" s="42"/>
      <c r="E3712" s="42"/>
      <c r="F3712" s="51" t="n">
        <f aca="false">IF(OR(C3712="",D3712="",E3712="",E3712=0),0,C3712*D3712/E3712)</f>
        <v>0</v>
      </c>
      <c r="G3712" s="42"/>
      <c r="H3712" s="49" t="n">
        <f aca="true">IF(OR($A3712="",_xlfn.MINIFS($B$3:$B$5000,$A$3:$A$5000,$A3712,$B$3:$B$5000,"&gt;"&amp;$B3712)=0),NOW(),_xlfn.MINIFS($B$3:$B$5000,$A$3:$A$5000,$A3712,$B$3:$B$5000,"&gt;"&amp;$B3712))</f>
        <v>46279.5987644669</v>
      </c>
    </row>
    <row r="3713" customFormat="false" ht="15" hidden="false" customHeight="true" outlineLevel="0" collapsed="false">
      <c r="A3713" s="42"/>
      <c r="B3713" s="42"/>
      <c r="C3713" s="42"/>
      <c r="D3713" s="42"/>
      <c r="E3713" s="42"/>
      <c r="F3713" s="51" t="n">
        <f aca="false">IF(OR(C3713="",D3713="",E3713="",E3713=0),0,C3713*D3713/E3713)</f>
        <v>0</v>
      </c>
      <c r="G3713" s="42"/>
      <c r="H3713" s="49" t="n">
        <f aca="true">IF(OR($A3713="",_xlfn.MINIFS($B$3:$B$5000,$A$3:$A$5000,$A3713,$B$3:$B$5000,"&gt;"&amp;$B3713)=0),NOW(),_xlfn.MINIFS($B$3:$B$5000,$A$3:$A$5000,$A3713,$B$3:$B$5000,"&gt;"&amp;$B3713))</f>
        <v>46279.598764467</v>
      </c>
    </row>
    <row r="3714" customFormat="false" ht="15" hidden="false" customHeight="true" outlineLevel="0" collapsed="false">
      <c r="A3714" s="42"/>
      <c r="B3714" s="42"/>
      <c r="C3714" s="42"/>
      <c r="D3714" s="42"/>
      <c r="E3714" s="42"/>
      <c r="F3714" s="51" t="n">
        <f aca="false">IF(OR(C3714="",D3714="",E3714="",E3714=0),0,C3714*D3714/E3714)</f>
        <v>0</v>
      </c>
      <c r="G3714" s="42"/>
      <c r="H3714" s="49" t="n">
        <f aca="true">IF(OR($A3714="",_xlfn.MINIFS($B$3:$B$5000,$A$3:$A$5000,$A3714,$B$3:$B$5000,"&gt;"&amp;$B3714)=0),NOW(),_xlfn.MINIFS($B$3:$B$5000,$A$3:$A$5000,$A3714,$B$3:$B$5000,"&gt;"&amp;$B3714))</f>
        <v>46279.598764467</v>
      </c>
    </row>
    <row r="3715" customFormat="false" ht="15" hidden="false" customHeight="true" outlineLevel="0" collapsed="false">
      <c r="A3715" s="42"/>
      <c r="B3715" s="42"/>
      <c r="C3715" s="42"/>
      <c r="D3715" s="42"/>
      <c r="E3715" s="42"/>
      <c r="F3715" s="51" t="n">
        <f aca="false">IF(OR(C3715="",D3715="",E3715="",E3715=0),0,C3715*D3715/E3715)</f>
        <v>0</v>
      </c>
      <c r="G3715" s="42"/>
      <c r="H3715" s="49" t="n">
        <f aca="true">IF(OR($A3715="",_xlfn.MINIFS($B$3:$B$5000,$A$3:$A$5000,$A3715,$B$3:$B$5000,"&gt;"&amp;$B3715)=0),NOW(),_xlfn.MINIFS($B$3:$B$5000,$A$3:$A$5000,$A3715,$B$3:$B$5000,"&gt;"&amp;$B3715))</f>
        <v>46279.5987644671</v>
      </c>
    </row>
    <row r="3716" customFormat="false" ht="15" hidden="false" customHeight="true" outlineLevel="0" collapsed="false">
      <c r="A3716" s="42"/>
      <c r="B3716" s="42"/>
      <c r="C3716" s="42"/>
      <c r="D3716" s="42"/>
      <c r="E3716" s="42"/>
      <c r="F3716" s="51" t="n">
        <f aca="false">IF(OR(C3716="",D3716="",E3716="",E3716=0),0,C3716*D3716/E3716)</f>
        <v>0</v>
      </c>
      <c r="G3716" s="42"/>
      <c r="H3716" s="49" t="n">
        <f aca="true">IF(OR($A3716="",_xlfn.MINIFS($B$3:$B$5000,$A$3:$A$5000,$A3716,$B$3:$B$5000,"&gt;"&amp;$B3716)=0),NOW(),_xlfn.MINIFS($B$3:$B$5000,$A$3:$A$5000,$A3716,$B$3:$B$5000,"&gt;"&amp;$B3716))</f>
        <v>46279.5987644671</v>
      </c>
    </row>
    <row r="3717" customFormat="false" ht="15" hidden="false" customHeight="true" outlineLevel="0" collapsed="false">
      <c r="A3717" s="42"/>
      <c r="B3717" s="42"/>
      <c r="C3717" s="42"/>
      <c r="D3717" s="42"/>
      <c r="E3717" s="42"/>
      <c r="F3717" s="51" t="n">
        <f aca="false">IF(OR(C3717="",D3717="",E3717="",E3717=0),0,C3717*D3717/E3717)</f>
        <v>0</v>
      </c>
      <c r="G3717" s="42"/>
      <c r="H3717" s="49" t="n">
        <f aca="true">IF(OR($A3717="",_xlfn.MINIFS($B$3:$B$5000,$A$3:$A$5000,$A3717,$B$3:$B$5000,"&gt;"&amp;$B3717)=0),NOW(),_xlfn.MINIFS($B$3:$B$5000,$A$3:$A$5000,$A3717,$B$3:$B$5000,"&gt;"&amp;$B3717))</f>
        <v>46279.5987644672</v>
      </c>
    </row>
    <row r="3718" customFormat="false" ht="15" hidden="false" customHeight="true" outlineLevel="0" collapsed="false">
      <c r="A3718" s="42"/>
      <c r="B3718" s="42"/>
      <c r="C3718" s="42"/>
      <c r="D3718" s="42"/>
      <c r="E3718" s="42"/>
      <c r="F3718" s="51" t="n">
        <f aca="false">IF(OR(C3718="",D3718="",E3718="",E3718=0),0,C3718*D3718/E3718)</f>
        <v>0</v>
      </c>
      <c r="G3718" s="42"/>
      <c r="H3718" s="49" t="n">
        <f aca="true">IF(OR($A3718="",_xlfn.MINIFS($B$3:$B$5000,$A$3:$A$5000,$A3718,$B$3:$B$5000,"&gt;"&amp;$B3718)=0),NOW(),_xlfn.MINIFS($B$3:$B$5000,$A$3:$A$5000,$A3718,$B$3:$B$5000,"&gt;"&amp;$B3718))</f>
        <v>46279.5987644672</v>
      </c>
    </row>
    <row r="3719" customFormat="false" ht="15" hidden="false" customHeight="true" outlineLevel="0" collapsed="false">
      <c r="A3719" s="42"/>
      <c r="B3719" s="42"/>
      <c r="C3719" s="42"/>
      <c r="D3719" s="42"/>
      <c r="E3719" s="42"/>
      <c r="F3719" s="51" t="n">
        <f aca="false">IF(OR(C3719="",D3719="",E3719="",E3719=0),0,C3719*D3719/E3719)</f>
        <v>0</v>
      </c>
      <c r="G3719" s="42"/>
      <c r="H3719" s="49" t="n">
        <f aca="true">IF(OR($A3719="",_xlfn.MINIFS($B$3:$B$5000,$A$3:$A$5000,$A3719,$B$3:$B$5000,"&gt;"&amp;$B3719)=0),NOW(),_xlfn.MINIFS($B$3:$B$5000,$A$3:$A$5000,$A3719,$B$3:$B$5000,"&gt;"&amp;$B3719))</f>
        <v>46279.5987644673</v>
      </c>
    </row>
    <row r="3720" customFormat="false" ht="15" hidden="false" customHeight="true" outlineLevel="0" collapsed="false">
      <c r="A3720" s="42"/>
      <c r="B3720" s="42"/>
      <c r="C3720" s="42"/>
      <c r="D3720" s="42"/>
      <c r="E3720" s="42"/>
      <c r="F3720" s="51" t="n">
        <f aca="false">IF(OR(C3720="",D3720="",E3720="",E3720=0),0,C3720*D3720/E3720)</f>
        <v>0</v>
      </c>
      <c r="G3720" s="42"/>
      <c r="H3720" s="49" t="n">
        <f aca="true">IF(OR($A3720="",_xlfn.MINIFS($B$3:$B$5000,$A$3:$A$5000,$A3720,$B$3:$B$5000,"&gt;"&amp;$B3720)=0),NOW(),_xlfn.MINIFS($B$3:$B$5000,$A$3:$A$5000,$A3720,$B$3:$B$5000,"&gt;"&amp;$B3720))</f>
        <v>46279.5987644673</v>
      </c>
    </row>
    <row r="3721" customFormat="false" ht="15" hidden="false" customHeight="true" outlineLevel="0" collapsed="false">
      <c r="A3721" s="42"/>
      <c r="B3721" s="42"/>
      <c r="C3721" s="42"/>
      <c r="D3721" s="42"/>
      <c r="E3721" s="42"/>
      <c r="F3721" s="51" t="n">
        <f aca="false">IF(OR(C3721="",D3721="",E3721="",E3721=0),0,C3721*D3721/E3721)</f>
        <v>0</v>
      </c>
      <c r="G3721" s="42"/>
      <c r="H3721" s="49" t="n">
        <f aca="true">IF(OR($A3721="",_xlfn.MINIFS($B$3:$B$5000,$A$3:$A$5000,$A3721,$B$3:$B$5000,"&gt;"&amp;$B3721)=0),NOW(),_xlfn.MINIFS($B$3:$B$5000,$A$3:$A$5000,$A3721,$B$3:$B$5000,"&gt;"&amp;$B3721))</f>
        <v>46279.5987644674</v>
      </c>
    </row>
    <row r="3722" customFormat="false" ht="15" hidden="false" customHeight="true" outlineLevel="0" collapsed="false">
      <c r="A3722" s="42"/>
      <c r="B3722" s="42"/>
      <c r="C3722" s="42"/>
      <c r="D3722" s="42"/>
      <c r="E3722" s="42"/>
      <c r="F3722" s="51" t="n">
        <f aca="false">IF(OR(C3722="",D3722="",E3722="",E3722=0),0,C3722*D3722/E3722)</f>
        <v>0</v>
      </c>
      <c r="G3722" s="42"/>
      <c r="H3722" s="49" t="n">
        <f aca="true">IF(OR($A3722="",_xlfn.MINIFS($B$3:$B$5000,$A$3:$A$5000,$A3722,$B$3:$B$5000,"&gt;"&amp;$B3722)=0),NOW(),_xlfn.MINIFS($B$3:$B$5000,$A$3:$A$5000,$A3722,$B$3:$B$5000,"&gt;"&amp;$B3722))</f>
        <v>46279.5987644674</v>
      </c>
    </row>
    <row r="3723" customFormat="false" ht="15" hidden="false" customHeight="true" outlineLevel="0" collapsed="false">
      <c r="A3723" s="42"/>
      <c r="B3723" s="42"/>
      <c r="C3723" s="42"/>
      <c r="D3723" s="42"/>
      <c r="E3723" s="42"/>
      <c r="F3723" s="51" t="n">
        <f aca="false">IF(OR(C3723="",D3723="",E3723="",E3723=0),0,C3723*D3723/E3723)</f>
        <v>0</v>
      </c>
      <c r="G3723" s="42"/>
      <c r="H3723" s="49" t="n">
        <f aca="true">IF(OR($A3723="",_xlfn.MINIFS($B$3:$B$5000,$A$3:$A$5000,$A3723,$B$3:$B$5000,"&gt;"&amp;$B3723)=0),NOW(),_xlfn.MINIFS($B$3:$B$5000,$A$3:$A$5000,$A3723,$B$3:$B$5000,"&gt;"&amp;$B3723))</f>
        <v>46279.5987644675</v>
      </c>
    </row>
    <row r="3724" customFormat="false" ht="15" hidden="false" customHeight="true" outlineLevel="0" collapsed="false">
      <c r="A3724" s="42"/>
      <c r="B3724" s="42"/>
      <c r="C3724" s="42"/>
      <c r="D3724" s="42"/>
      <c r="E3724" s="42"/>
      <c r="F3724" s="51" t="n">
        <f aca="false">IF(OR(C3724="",D3724="",E3724="",E3724=0),0,C3724*D3724/E3724)</f>
        <v>0</v>
      </c>
      <c r="G3724" s="42"/>
      <c r="H3724" s="49" t="n">
        <f aca="true">IF(OR($A3724="",_xlfn.MINIFS($B$3:$B$5000,$A$3:$A$5000,$A3724,$B$3:$B$5000,"&gt;"&amp;$B3724)=0),NOW(),_xlfn.MINIFS($B$3:$B$5000,$A$3:$A$5000,$A3724,$B$3:$B$5000,"&gt;"&amp;$B3724))</f>
        <v>46279.5987644675</v>
      </c>
    </row>
    <row r="3725" customFormat="false" ht="15" hidden="false" customHeight="true" outlineLevel="0" collapsed="false">
      <c r="A3725" s="42"/>
      <c r="B3725" s="42"/>
      <c r="C3725" s="42"/>
      <c r="D3725" s="42"/>
      <c r="E3725" s="42"/>
      <c r="F3725" s="51" t="n">
        <f aca="false">IF(OR(C3725="",D3725="",E3725="",E3725=0),0,C3725*D3725/E3725)</f>
        <v>0</v>
      </c>
      <c r="G3725" s="42"/>
      <c r="H3725" s="49" t="n">
        <f aca="true">IF(OR($A3725="",_xlfn.MINIFS($B$3:$B$5000,$A$3:$A$5000,$A3725,$B$3:$B$5000,"&gt;"&amp;$B3725)=0),NOW(),_xlfn.MINIFS($B$3:$B$5000,$A$3:$A$5000,$A3725,$B$3:$B$5000,"&gt;"&amp;$B3725))</f>
        <v>46279.5987644676</v>
      </c>
    </row>
    <row r="3726" customFormat="false" ht="15" hidden="false" customHeight="true" outlineLevel="0" collapsed="false">
      <c r="A3726" s="42"/>
      <c r="B3726" s="42"/>
      <c r="C3726" s="42"/>
      <c r="D3726" s="42"/>
      <c r="E3726" s="42"/>
      <c r="F3726" s="51" t="n">
        <f aca="false">IF(OR(C3726="",D3726="",E3726="",E3726=0),0,C3726*D3726/E3726)</f>
        <v>0</v>
      </c>
      <c r="G3726" s="42"/>
      <c r="H3726" s="49" t="n">
        <f aca="true">IF(OR($A3726="",_xlfn.MINIFS($B$3:$B$5000,$A$3:$A$5000,$A3726,$B$3:$B$5000,"&gt;"&amp;$B3726)=0),NOW(),_xlfn.MINIFS($B$3:$B$5000,$A$3:$A$5000,$A3726,$B$3:$B$5000,"&gt;"&amp;$B3726))</f>
        <v>46279.5987644676</v>
      </c>
    </row>
    <row r="3727" customFormat="false" ht="15" hidden="false" customHeight="true" outlineLevel="0" collapsed="false">
      <c r="A3727" s="42"/>
      <c r="B3727" s="42"/>
      <c r="C3727" s="42"/>
      <c r="D3727" s="42"/>
      <c r="E3727" s="42"/>
      <c r="F3727" s="51" t="n">
        <f aca="false">IF(OR(C3727="",D3727="",E3727="",E3727=0),0,C3727*D3727/E3727)</f>
        <v>0</v>
      </c>
      <c r="G3727" s="42"/>
      <c r="H3727" s="49" t="n">
        <f aca="true">IF(OR($A3727="",_xlfn.MINIFS($B$3:$B$5000,$A$3:$A$5000,$A3727,$B$3:$B$5000,"&gt;"&amp;$B3727)=0),NOW(),_xlfn.MINIFS($B$3:$B$5000,$A$3:$A$5000,$A3727,$B$3:$B$5000,"&gt;"&amp;$B3727))</f>
        <v>46279.5987644677</v>
      </c>
    </row>
    <row r="3728" customFormat="false" ht="15" hidden="false" customHeight="true" outlineLevel="0" collapsed="false">
      <c r="A3728" s="42"/>
      <c r="B3728" s="42"/>
      <c r="C3728" s="42"/>
      <c r="D3728" s="42"/>
      <c r="E3728" s="42"/>
      <c r="F3728" s="51" t="n">
        <f aca="false">IF(OR(C3728="",D3728="",E3728="",E3728=0),0,C3728*D3728/E3728)</f>
        <v>0</v>
      </c>
      <c r="G3728" s="42"/>
      <c r="H3728" s="49" t="n">
        <f aca="true">IF(OR($A3728="",_xlfn.MINIFS($B$3:$B$5000,$A$3:$A$5000,$A3728,$B$3:$B$5000,"&gt;"&amp;$B3728)=0),NOW(),_xlfn.MINIFS($B$3:$B$5000,$A$3:$A$5000,$A3728,$B$3:$B$5000,"&gt;"&amp;$B3728))</f>
        <v>46279.5987644677</v>
      </c>
    </row>
    <row r="3729" customFormat="false" ht="15" hidden="false" customHeight="true" outlineLevel="0" collapsed="false">
      <c r="A3729" s="42"/>
      <c r="B3729" s="42"/>
      <c r="C3729" s="42"/>
      <c r="D3729" s="42"/>
      <c r="E3729" s="42"/>
      <c r="F3729" s="51" t="n">
        <f aca="false">IF(OR(C3729="",D3729="",E3729="",E3729=0),0,C3729*D3729/E3729)</f>
        <v>0</v>
      </c>
      <c r="G3729" s="42"/>
      <c r="H3729" s="49" t="n">
        <f aca="true">IF(OR($A3729="",_xlfn.MINIFS($B$3:$B$5000,$A$3:$A$5000,$A3729,$B$3:$B$5000,"&gt;"&amp;$B3729)=0),NOW(),_xlfn.MINIFS($B$3:$B$5000,$A$3:$A$5000,$A3729,$B$3:$B$5000,"&gt;"&amp;$B3729))</f>
        <v>46279.5987644678</v>
      </c>
    </row>
    <row r="3730" customFormat="false" ht="15" hidden="false" customHeight="true" outlineLevel="0" collapsed="false">
      <c r="A3730" s="42"/>
      <c r="B3730" s="42"/>
      <c r="C3730" s="42"/>
      <c r="D3730" s="42"/>
      <c r="E3730" s="42"/>
      <c r="F3730" s="51" t="n">
        <f aca="false">IF(OR(C3730="",D3730="",E3730="",E3730=0),0,C3730*D3730/E3730)</f>
        <v>0</v>
      </c>
      <c r="G3730" s="42"/>
      <c r="H3730" s="49" t="n">
        <f aca="true">IF(OR($A3730="",_xlfn.MINIFS($B$3:$B$5000,$A$3:$A$5000,$A3730,$B$3:$B$5000,"&gt;"&amp;$B3730)=0),NOW(),_xlfn.MINIFS($B$3:$B$5000,$A$3:$A$5000,$A3730,$B$3:$B$5000,"&gt;"&amp;$B3730))</f>
        <v>46279.5987644678</v>
      </c>
    </row>
    <row r="3731" customFormat="false" ht="15" hidden="false" customHeight="true" outlineLevel="0" collapsed="false">
      <c r="A3731" s="42"/>
      <c r="B3731" s="42"/>
      <c r="C3731" s="42"/>
      <c r="D3731" s="42"/>
      <c r="E3731" s="42"/>
      <c r="F3731" s="51" t="n">
        <f aca="false">IF(OR(C3731="",D3731="",E3731="",E3731=0),0,C3731*D3731/E3731)</f>
        <v>0</v>
      </c>
      <c r="G3731" s="42"/>
      <c r="H3731" s="49" t="n">
        <f aca="true">IF(OR($A3731="",_xlfn.MINIFS($B$3:$B$5000,$A$3:$A$5000,$A3731,$B$3:$B$5000,"&gt;"&amp;$B3731)=0),NOW(),_xlfn.MINIFS($B$3:$B$5000,$A$3:$A$5000,$A3731,$B$3:$B$5000,"&gt;"&amp;$B3731))</f>
        <v>46279.5987644679</v>
      </c>
    </row>
    <row r="3732" customFormat="false" ht="15" hidden="false" customHeight="true" outlineLevel="0" collapsed="false">
      <c r="A3732" s="42"/>
      <c r="B3732" s="42"/>
      <c r="C3732" s="42"/>
      <c r="D3732" s="42"/>
      <c r="E3732" s="42"/>
      <c r="F3732" s="51" t="n">
        <f aca="false">IF(OR(C3732="",D3732="",E3732="",E3732=0),0,C3732*D3732/E3732)</f>
        <v>0</v>
      </c>
      <c r="G3732" s="42"/>
      <c r="H3732" s="49" t="n">
        <f aca="true">IF(OR($A3732="",_xlfn.MINIFS($B$3:$B$5000,$A$3:$A$5000,$A3732,$B$3:$B$5000,"&gt;"&amp;$B3732)=0),NOW(),_xlfn.MINIFS($B$3:$B$5000,$A$3:$A$5000,$A3732,$B$3:$B$5000,"&gt;"&amp;$B3732))</f>
        <v>46279.5987644679</v>
      </c>
    </row>
    <row r="3733" customFormat="false" ht="15" hidden="false" customHeight="true" outlineLevel="0" collapsed="false">
      <c r="A3733" s="42"/>
      <c r="B3733" s="42"/>
      <c r="C3733" s="42"/>
      <c r="D3733" s="42"/>
      <c r="E3733" s="42"/>
      <c r="F3733" s="51" t="n">
        <f aca="false">IF(OR(C3733="",D3733="",E3733="",E3733=0),0,C3733*D3733/E3733)</f>
        <v>0</v>
      </c>
      <c r="G3733" s="42"/>
      <c r="H3733" s="49" t="n">
        <f aca="true">IF(OR($A3733="",_xlfn.MINIFS($B$3:$B$5000,$A$3:$A$5000,$A3733,$B$3:$B$5000,"&gt;"&amp;$B3733)=0),NOW(),_xlfn.MINIFS($B$3:$B$5000,$A$3:$A$5000,$A3733,$B$3:$B$5000,"&gt;"&amp;$B3733))</f>
        <v>46279.598764468</v>
      </c>
    </row>
    <row r="3734" customFormat="false" ht="15" hidden="false" customHeight="true" outlineLevel="0" collapsed="false">
      <c r="A3734" s="42"/>
      <c r="B3734" s="42"/>
      <c r="C3734" s="42"/>
      <c r="D3734" s="42"/>
      <c r="E3734" s="42"/>
      <c r="F3734" s="51" t="n">
        <f aca="false">IF(OR(C3734="",D3734="",E3734="",E3734=0),0,C3734*D3734/E3734)</f>
        <v>0</v>
      </c>
      <c r="G3734" s="42"/>
      <c r="H3734" s="49" t="n">
        <f aca="true">IF(OR($A3734="",_xlfn.MINIFS($B$3:$B$5000,$A$3:$A$5000,$A3734,$B$3:$B$5000,"&gt;"&amp;$B3734)=0),NOW(),_xlfn.MINIFS($B$3:$B$5000,$A$3:$A$5000,$A3734,$B$3:$B$5000,"&gt;"&amp;$B3734))</f>
        <v>46279.598764468</v>
      </c>
    </row>
    <row r="3735" customFormat="false" ht="15" hidden="false" customHeight="true" outlineLevel="0" collapsed="false">
      <c r="A3735" s="42"/>
      <c r="B3735" s="42"/>
      <c r="C3735" s="42"/>
      <c r="D3735" s="42"/>
      <c r="E3735" s="42"/>
      <c r="F3735" s="51" t="n">
        <f aca="false">IF(OR(C3735="",D3735="",E3735="",E3735=0),0,C3735*D3735/E3735)</f>
        <v>0</v>
      </c>
      <c r="G3735" s="42"/>
      <c r="H3735" s="49" t="n">
        <f aca="true">IF(OR($A3735="",_xlfn.MINIFS($B$3:$B$5000,$A$3:$A$5000,$A3735,$B$3:$B$5000,"&gt;"&amp;$B3735)=0),NOW(),_xlfn.MINIFS($B$3:$B$5000,$A$3:$A$5000,$A3735,$B$3:$B$5000,"&gt;"&amp;$B3735))</f>
        <v>46279.5987644681</v>
      </c>
    </row>
    <row r="3736" customFormat="false" ht="15" hidden="false" customHeight="true" outlineLevel="0" collapsed="false">
      <c r="A3736" s="42"/>
      <c r="B3736" s="42"/>
      <c r="C3736" s="42"/>
      <c r="D3736" s="42"/>
      <c r="E3736" s="42"/>
      <c r="F3736" s="51" t="n">
        <f aca="false">IF(OR(C3736="",D3736="",E3736="",E3736=0),0,C3736*D3736/E3736)</f>
        <v>0</v>
      </c>
      <c r="G3736" s="42"/>
      <c r="H3736" s="49" t="n">
        <f aca="true">IF(OR($A3736="",_xlfn.MINIFS($B$3:$B$5000,$A$3:$A$5000,$A3736,$B$3:$B$5000,"&gt;"&amp;$B3736)=0),NOW(),_xlfn.MINIFS($B$3:$B$5000,$A$3:$A$5000,$A3736,$B$3:$B$5000,"&gt;"&amp;$B3736))</f>
        <v>46279.5987644681</v>
      </c>
    </row>
    <row r="3737" customFormat="false" ht="15" hidden="false" customHeight="true" outlineLevel="0" collapsed="false">
      <c r="A3737" s="42"/>
      <c r="B3737" s="42"/>
      <c r="C3737" s="42"/>
      <c r="D3737" s="42"/>
      <c r="E3737" s="42"/>
      <c r="F3737" s="51" t="n">
        <f aca="false">IF(OR(C3737="",D3737="",E3737="",E3737=0),0,C3737*D3737/E3737)</f>
        <v>0</v>
      </c>
      <c r="G3737" s="42"/>
      <c r="H3737" s="49" t="n">
        <f aca="true">IF(OR($A3737="",_xlfn.MINIFS($B$3:$B$5000,$A$3:$A$5000,$A3737,$B$3:$B$5000,"&gt;"&amp;$B3737)=0),NOW(),_xlfn.MINIFS($B$3:$B$5000,$A$3:$A$5000,$A3737,$B$3:$B$5000,"&gt;"&amp;$B3737))</f>
        <v>46279.5987644682</v>
      </c>
    </row>
    <row r="3738" customFormat="false" ht="15" hidden="false" customHeight="true" outlineLevel="0" collapsed="false">
      <c r="A3738" s="42"/>
      <c r="B3738" s="42"/>
      <c r="C3738" s="42"/>
      <c r="D3738" s="42"/>
      <c r="E3738" s="42"/>
      <c r="F3738" s="51" t="n">
        <f aca="false">IF(OR(C3738="",D3738="",E3738="",E3738=0),0,C3738*D3738/E3738)</f>
        <v>0</v>
      </c>
      <c r="G3738" s="42"/>
      <c r="H3738" s="49" t="n">
        <f aca="true">IF(OR($A3738="",_xlfn.MINIFS($B$3:$B$5000,$A$3:$A$5000,$A3738,$B$3:$B$5000,"&gt;"&amp;$B3738)=0),NOW(),_xlfn.MINIFS($B$3:$B$5000,$A$3:$A$5000,$A3738,$B$3:$B$5000,"&gt;"&amp;$B3738))</f>
        <v>46279.5987644682</v>
      </c>
    </row>
    <row r="3739" customFormat="false" ht="15" hidden="false" customHeight="true" outlineLevel="0" collapsed="false">
      <c r="A3739" s="42"/>
      <c r="B3739" s="42"/>
      <c r="C3739" s="42"/>
      <c r="D3739" s="42"/>
      <c r="E3739" s="42"/>
      <c r="F3739" s="51" t="n">
        <f aca="false">IF(OR(C3739="",D3739="",E3739="",E3739=0),0,C3739*D3739/E3739)</f>
        <v>0</v>
      </c>
      <c r="G3739" s="42"/>
      <c r="H3739" s="49" t="n">
        <f aca="true">IF(OR($A3739="",_xlfn.MINIFS($B$3:$B$5000,$A$3:$A$5000,$A3739,$B$3:$B$5000,"&gt;"&amp;$B3739)=0),NOW(),_xlfn.MINIFS($B$3:$B$5000,$A$3:$A$5000,$A3739,$B$3:$B$5000,"&gt;"&amp;$B3739))</f>
        <v>46279.5987644683</v>
      </c>
    </row>
    <row r="3740" customFormat="false" ht="15" hidden="false" customHeight="true" outlineLevel="0" collapsed="false">
      <c r="A3740" s="42"/>
      <c r="B3740" s="42"/>
      <c r="C3740" s="42"/>
      <c r="D3740" s="42"/>
      <c r="E3740" s="42"/>
      <c r="F3740" s="51" t="n">
        <f aca="false">IF(OR(C3740="",D3740="",E3740="",E3740=0),0,C3740*D3740/E3740)</f>
        <v>0</v>
      </c>
      <c r="G3740" s="42"/>
      <c r="H3740" s="49" t="n">
        <f aca="true">IF(OR($A3740="",_xlfn.MINIFS($B$3:$B$5000,$A$3:$A$5000,$A3740,$B$3:$B$5000,"&gt;"&amp;$B3740)=0),NOW(),_xlfn.MINIFS($B$3:$B$5000,$A$3:$A$5000,$A3740,$B$3:$B$5000,"&gt;"&amp;$B3740))</f>
        <v>46279.5987644683</v>
      </c>
    </row>
    <row r="3741" customFormat="false" ht="15" hidden="false" customHeight="true" outlineLevel="0" collapsed="false">
      <c r="A3741" s="42"/>
      <c r="B3741" s="42"/>
      <c r="C3741" s="42"/>
      <c r="D3741" s="42"/>
      <c r="E3741" s="42"/>
      <c r="F3741" s="51" t="n">
        <f aca="false">IF(OR(C3741="",D3741="",E3741="",E3741=0),0,C3741*D3741/E3741)</f>
        <v>0</v>
      </c>
      <c r="G3741" s="42"/>
      <c r="H3741" s="49" t="n">
        <f aca="true">IF(OR($A3741="",_xlfn.MINIFS($B$3:$B$5000,$A$3:$A$5000,$A3741,$B$3:$B$5000,"&gt;"&amp;$B3741)=0),NOW(),_xlfn.MINIFS($B$3:$B$5000,$A$3:$A$5000,$A3741,$B$3:$B$5000,"&gt;"&amp;$B3741))</f>
        <v>46279.5987644684</v>
      </c>
    </row>
    <row r="3742" customFormat="false" ht="15" hidden="false" customHeight="true" outlineLevel="0" collapsed="false">
      <c r="A3742" s="42"/>
      <c r="B3742" s="42"/>
      <c r="C3742" s="42"/>
      <c r="D3742" s="42"/>
      <c r="E3742" s="42"/>
      <c r="F3742" s="51" t="n">
        <f aca="false">IF(OR(C3742="",D3742="",E3742="",E3742=0),0,C3742*D3742/E3742)</f>
        <v>0</v>
      </c>
      <c r="G3742" s="42"/>
      <c r="H3742" s="49" t="n">
        <f aca="true">IF(OR($A3742="",_xlfn.MINIFS($B$3:$B$5000,$A$3:$A$5000,$A3742,$B$3:$B$5000,"&gt;"&amp;$B3742)=0),NOW(),_xlfn.MINIFS($B$3:$B$5000,$A$3:$A$5000,$A3742,$B$3:$B$5000,"&gt;"&amp;$B3742))</f>
        <v>46279.5987644684</v>
      </c>
    </row>
    <row r="3743" customFormat="false" ht="15" hidden="false" customHeight="true" outlineLevel="0" collapsed="false">
      <c r="A3743" s="42"/>
      <c r="B3743" s="42"/>
      <c r="C3743" s="42"/>
      <c r="D3743" s="42"/>
      <c r="E3743" s="42"/>
      <c r="F3743" s="51" t="n">
        <f aca="false">IF(OR(C3743="",D3743="",E3743="",E3743=0),0,C3743*D3743/E3743)</f>
        <v>0</v>
      </c>
      <c r="G3743" s="42"/>
      <c r="H3743" s="49" t="n">
        <f aca="true">IF(OR($A3743="",_xlfn.MINIFS($B$3:$B$5000,$A$3:$A$5000,$A3743,$B$3:$B$5000,"&gt;"&amp;$B3743)=0),NOW(),_xlfn.MINIFS($B$3:$B$5000,$A$3:$A$5000,$A3743,$B$3:$B$5000,"&gt;"&amp;$B3743))</f>
        <v>46279.5987644685</v>
      </c>
    </row>
    <row r="3744" customFormat="false" ht="15" hidden="false" customHeight="true" outlineLevel="0" collapsed="false">
      <c r="A3744" s="42"/>
      <c r="B3744" s="42"/>
      <c r="C3744" s="42"/>
      <c r="D3744" s="42"/>
      <c r="E3744" s="42"/>
      <c r="F3744" s="51" t="n">
        <f aca="false">IF(OR(C3744="",D3744="",E3744="",E3744=0),0,C3744*D3744/E3744)</f>
        <v>0</v>
      </c>
      <c r="G3744" s="42"/>
      <c r="H3744" s="49" t="n">
        <f aca="true">IF(OR($A3744="",_xlfn.MINIFS($B$3:$B$5000,$A$3:$A$5000,$A3744,$B$3:$B$5000,"&gt;"&amp;$B3744)=0),NOW(),_xlfn.MINIFS($B$3:$B$5000,$A$3:$A$5000,$A3744,$B$3:$B$5000,"&gt;"&amp;$B3744))</f>
        <v>46279.5987644685</v>
      </c>
    </row>
    <row r="3745" customFormat="false" ht="15" hidden="false" customHeight="true" outlineLevel="0" collapsed="false">
      <c r="A3745" s="42"/>
      <c r="B3745" s="42"/>
      <c r="C3745" s="42"/>
      <c r="D3745" s="42"/>
      <c r="E3745" s="42"/>
      <c r="F3745" s="51" t="n">
        <f aca="false">IF(OR(C3745="",D3745="",E3745="",E3745=0),0,C3745*D3745/E3745)</f>
        <v>0</v>
      </c>
      <c r="G3745" s="42"/>
      <c r="H3745" s="49" t="n">
        <f aca="true">IF(OR($A3745="",_xlfn.MINIFS($B$3:$B$5000,$A$3:$A$5000,$A3745,$B$3:$B$5000,"&gt;"&amp;$B3745)=0),NOW(),_xlfn.MINIFS($B$3:$B$5000,$A$3:$A$5000,$A3745,$B$3:$B$5000,"&gt;"&amp;$B3745))</f>
        <v>46279.5987644686</v>
      </c>
    </row>
    <row r="3746" customFormat="false" ht="15" hidden="false" customHeight="true" outlineLevel="0" collapsed="false">
      <c r="A3746" s="42"/>
      <c r="B3746" s="42"/>
      <c r="C3746" s="42"/>
      <c r="D3746" s="42"/>
      <c r="E3746" s="42"/>
      <c r="F3746" s="51" t="n">
        <f aca="false">IF(OR(C3746="",D3746="",E3746="",E3746=0),0,C3746*D3746/E3746)</f>
        <v>0</v>
      </c>
      <c r="G3746" s="42"/>
      <c r="H3746" s="49" t="n">
        <f aca="true">IF(OR($A3746="",_xlfn.MINIFS($B$3:$B$5000,$A$3:$A$5000,$A3746,$B$3:$B$5000,"&gt;"&amp;$B3746)=0),NOW(),_xlfn.MINIFS($B$3:$B$5000,$A$3:$A$5000,$A3746,$B$3:$B$5000,"&gt;"&amp;$B3746))</f>
        <v>46279.5987644686</v>
      </c>
    </row>
    <row r="3747" customFormat="false" ht="15" hidden="false" customHeight="true" outlineLevel="0" collapsed="false">
      <c r="A3747" s="42"/>
      <c r="B3747" s="42"/>
      <c r="C3747" s="42"/>
      <c r="D3747" s="42"/>
      <c r="E3747" s="42"/>
      <c r="F3747" s="51" t="n">
        <f aca="false">IF(OR(C3747="",D3747="",E3747="",E3747=0),0,C3747*D3747/E3747)</f>
        <v>0</v>
      </c>
      <c r="G3747" s="42"/>
      <c r="H3747" s="49" t="n">
        <f aca="true">IF(OR($A3747="",_xlfn.MINIFS($B$3:$B$5000,$A$3:$A$5000,$A3747,$B$3:$B$5000,"&gt;"&amp;$B3747)=0),NOW(),_xlfn.MINIFS($B$3:$B$5000,$A$3:$A$5000,$A3747,$B$3:$B$5000,"&gt;"&amp;$B3747))</f>
        <v>46279.5987644687</v>
      </c>
    </row>
    <row r="3748" customFormat="false" ht="15" hidden="false" customHeight="true" outlineLevel="0" collapsed="false">
      <c r="A3748" s="42"/>
      <c r="B3748" s="42"/>
      <c r="C3748" s="42"/>
      <c r="D3748" s="42"/>
      <c r="E3748" s="42"/>
      <c r="F3748" s="51" t="n">
        <f aca="false">IF(OR(C3748="",D3748="",E3748="",E3748=0),0,C3748*D3748/E3748)</f>
        <v>0</v>
      </c>
      <c r="G3748" s="42"/>
      <c r="H3748" s="49" t="n">
        <f aca="true">IF(OR($A3748="",_xlfn.MINIFS($B$3:$B$5000,$A$3:$A$5000,$A3748,$B$3:$B$5000,"&gt;"&amp;$B3748)=0),NOW(),_xlfn.MINIFS($B$3:$B$5000,$A$3:$A$5000,$A3748,$B$3:$B$5000,"&gt;"&amp;$B3748))</f>
        <v>46279.5987644687</v>
      </c>
    </row>
    <row r="3749" customFormat="false" ht="15" hidden="false" customHeight="true" outlineLevel="0" collapsed="false">
      <c r="A3749" s="42"/>
      <c r="B3749" s="42"/>
      <c r="C3749" s="42"/>
      <c r="D3749" s="42"/>
      <c r="E3749" s="42"/>
      <c r="F3749" s="51" t="n">
        <f aca="false">IF(OR(C3749="",D3749="",E3749="",E3749=0),0,C3749*D3749/E3749)</f>
        <v>0</v>
      </c>
      <c r="G3749" s="42"/>
      <c r="H3749" s="49" t="n">
        <f aca="true">IF(OR($A3749="",_xlfn.MINIFS($B$3:$B$5000,$A$3:$A$5000,$A3749,$B$3:$B$5000,"&gt;"&amp;$B3749)=0),NOW(),_xlfn.MINIFS($B$3:$B$5000,$A$3:$A$5000,$A3749,$B$3:$B$5000,"&gt;"&amp;$B3749))</f>
        <v>46279.5987644688</v>
      </c>
    </row>
    <row r="3750" customFormat="false" ht="15" hidden="false" customHeight="true" outlineLevel="0" collapsed="false">
      <c r="A3750" s="42"/>
      <c r="B3750" s="42"/>
      <c r="C3750" s="42"/>
      <c r="D3750" s="42"/>
      <c r="E3750" s="42"/>
      <c r="F3750" s="51" t="n">
        <f aca="false">IF(OR(C3750="",D3750="",E3750="",E3750=0),0,C3750*D3750/E3750)</f>
        <v>0</v>
      </c>
      <c r="G3750" s="42"/>
      <c r="H3750" s="49" t="n">
        <f aca="true">IF(OR($A3750="",_xlfn.MINIFS($B$3:$B$5000,$A$3:$A$5000,$A3750,$B$3:$B$5000,"&gt;"&amp;$B3750)=0),NOW(),_xlfn.MINIFS($B$3:$B$5000,$A$3:$A$5000,$A3750,$B$3:$B$5000,"&gt;"&amp;$B3750))</f>
        <v>46279.5987644688</v>
      </c>
    </row>
    <row r="3751" customFormat="false" ht="15" hidden="false" customHeight="true" outlineLevel="0" collapsed="false">
      <c r="A3751" s="42"/>
      <c r="B3751" s="42"/>
      <c r="C3751" s="42"/>
      <c r="D3751" s="42"/>
      <c r="E3751" s="42"/>
      <c r="F3751" s="51" t="n">
        <f aca="false">IF(OR(C3751="",D3751="",E3751="",E3751=0),0,C3751*D3751/E3751)</f>
        <v>0</v>
      </c>
      <c r="G3751" s="42"/>
      <c r="H3751" s="49" t="n">
        <f aca="true">IF(OR($A3751="",_xlfn.MINIFS($B$3:$B$5000,$A$3:$A$5000,$A3751,$B$3:$B$5000,"&gt;"&amp;$B3751)=0),NOW(),_xlfn.MINIFS($B$3:$B$5000,$A$3:$A$5000,$A3751,$B$3:$B$5000,"&gt;"&amp;$B3751))</f>
        <v>46279.5987644689</v>
      </c>
    </row>
    <row r="3752" customFormat="false" ht="15" hidden="false" customHeight="true" outlineLevel="0" collapsed="false">
      <c r="A3752" s="42"/>
      <c r="B3752" s="42"/>
      <c r="C3752" s="42"/>
      <c r="D3752" s="42"/>
      <c r="E3752" s="42"/>
      <c r="F3752" s="51" t="n">
        <f aca="false">IF(OR(C3752="",D3752="",E3752="",E3752=0),0,C3752*D3752/E3752)</f>
        <v>0</v>
      </c>
      <c r="G3752" s="42"/>
      <c r="H3752" s="49" t="n">
        <f aca="true">IF(OR($A3752="",_xlfn.MINIFS($B$3:$B$5000,$A$3:$A$5000,$A3752,$B$3:$B$5000,"&gt;"&amp;$B3752)=0),NOW(),_xlfn.MINIFS($B$3:$B$5000,$A$3:$A$5000,$A3752,$B$3:$B$5000,"&gt;"&amp;$B3752))</f>
        <v>46279.5987644689</v>
      </c>
    </row>
    <row r="3753" customFormat="false" ht="15" hidden="false" customHeight="true" outlineLevel="0" collapsed="false">
      <c r="A3753" s="42"/>
      <c r="B3753" s="42"/>
      <c r="C3753" s="42"/>
      <c r="D3753" s="42"/>
      <c r="E3753" s="42"/>
      <c r="F3753" s="51" t="n">
        <f aca="false">IF(OR(C3753="",D3753="",E3753="",E3753=0),0,C3753*D3753/E3753)</f>
        <v>0</v>
      </c>
      <c r="G3753" s="42"/>
      <c r="H3753" s="49" t="n">
        <f aca="true">IF(OR($A3753="",_xlfn.MINIFS($B$3:$B$5000,$A$3:$A$5000,$A3753,$B$3:$B$5000,"&gt;"&amp;$B3753)=0),NOW(),_xlfn.MINIFS($B$3:$B$5000,$A$3:$A$5000,$A3753,$B$3:$B$5000,"&gt;"&amp;$B3753))</f>
        <v>46279.598764469</v>
      </c>
    </row>
    <row r="3754" customFormat="false" ht="15" hidden="false" customHeight="true" outlineLevel="0" collapsed="false">
      <c r="A3754" s="42"/>
      <c r="B3754" s="42"/>
      <c r="C3754" s="42"/>
      <c r="D3754" s="42"/>
      <c r="E3754" s="42"/>
      <c r="F3754" s="51" t="n">
        <f aca="false">IF(OR(C3754="",D3754="",E3754="",E3754=0),0,C3754*D3754/E3754)</f>
        <v>0</v>
      </c>
      <c r="G3754" s="42"/>
      <c r="H3754" s="49" t="n">
        <f aca="true">IF(OR($A3754="",_xlfn.MINIFS($B$3:$B$5000,$A$3:$A$5000,$A3754,$B$3:$B$5000,"&gt;"&amp;$B3754)=0),NOW(),_xlfn.MINIFS($B$3:$B$5000,$A$3:$A$5000,$A3754,$B$3:$B$5000,"&gt;"&amp;$B3754))</f>
        <v>46279.598764469</v>
      </c>
    </row>
    <row r="3755" customFormat="false" ht="15" hidden="false" customHeight="true" outlineLevel="0" collapsed="false">
      <c r="A3755" s="42"/>
      <c r="B3755" s="42"/>
      <c r="C3755" s="42"/>
      <c r="D3755" s="42"/>
      <c r="E3755" s="42"/>
      <c r="F3755" s="51" t="n">
        <f aca="false">IF(OR(C3755="",D3755="",E3755="",E3755=0),0,C3755*D3755/E3755)</f>
        <v>0</v>
      </c>
      <c r="G3755" s="42"/>
      <c r="H3755" s="49" t="n">
        <f aca="true">IF(OR($A3755="",_xlfn.MINIFS($B$3:$B$5000,$A$3:$A$5000,$A3755,$B$3:$B$5000,"&gt;"&amp;$B3755)=0),NOW(),_xlfn.MINIFS($B$3:$B$5000,$A$3:$A$5000,$A3755,$B$3:$B$5000,"&gt;"&amp;$B3755))</f>
        <v>46279.5987644691</v>
      </c>
    </row>
    <row r="3756" customFormat="false" ht="15" hidden="false" customHeight="true" outlineLevel="0" collapsed="false">
      <c r="A3756" s="42"/>
      <c r="B3756" s="42"/>
      <c r="C3756" s="42"/>
      <c r="D3756" s="42"/>
      <c r="E3756" s="42"/>
      <c r="F3756" s="51" t="n">
        <f aca="false">IF(OR(C3756="",D3756="",E3756="",E3756=0),0,C3756*D3756/E3756)</f>
        <v>0</v>
      </c>
      <c r="G3756" s="42"/>
      <c r="H3756" s="49" t="n">
        <f aca="true">IF(OR($A3756="",_xlfn.MINIFS($B$3:$B$5000,$A$3:$A$5000,$A3756,$B$3:$B$5000,"&gt;"&amp;$B3756)=0),NOW(),_xlfn.MINIFS($B$3:$B$5000,$A$3:$A$5000,$A3756,$B$3:$B$5000,"&gt;"&amp;$B3756))</f>
        <v>46279.5987644691</v>
      </c>
    </row>
    <row r="3757" customFormat="false" ht="15" hidden="false" customHeight="true" outlineLevel="0" collapsed="false">
      <c r="A3757" s="42"/>
      <c r="B3757" s="42"/>
      <c r="C3757" s="42"/>
      <c r="D3757" s="42"/>
      <c r="E3757" s="42"/>
      <c r="F3757" s="51" t="n">
        <f aca="false">IF(OR(C3757="",D3757="",E3757="",E3757=0),0,C3757*D3757/E3757)</f>
        <v>0</v>
      </c>
      <c r="G3757" s="42"/>
      <c r="H3757" s="49" t="n">
        <f aca="true">IF(OR($A3757="",_xlfn.MINIFS($B$3:$B$5000,$A$3:$A$5000,$A3757,$B$3:$B$5000,"&gt;"&amp;$B3757)=0),NOW(),_xlfn.MINIFS($B$3:$B$5000,$A$3:$A$5000,$A3757,$B$3:$B$5000,"&gt;"&amp;$B3757))</f>
        <v>46279.5987644692</v>
      </c>
    </row>
    <row r="3758" customFormat="false" ht="15" hidden="false" customHeight="true" outlineLevel="0" collapsed="false">
      <c r="A3758" s="42"/>
      <c r="B3758" s="42"/>
      <c r="C3758" s="42"/>
      <c r="D3758" s="42"/>
      <c r="E3758" s="42"/>
      <c r="F3758" s="51" t="n">
        <f aca="false">IF(OR(C3758="",D3758="",E3758="",E3758=0),0,C3758*D3758/E3758)</f>
        <v>0</v>
      </c>
      <c r="G3758" s="42"/>
      <c r="H3758" s="49" t="n">
        <f aca="true">IF(OR($A3758="",_xlfn.MINIFS($B$3:$B$5000,$A$3:$A$5000,$A3758,$B$3:$B$5000,"&gt;"&amp;$B3758)=0),NOW(),_xlfn.MINIFS($B$3:$B$5000,$A$3:$A$5000,$A3758,$B$3:$B$5000,"&gt;"&amp;$B3758))</f>
        <v>46279.5987644692</v>
      </c>
    </row>
    <row r="3759" customFormat="false" ht="15" hidden="false" customHeight="true" outlineLevel="0" collapsed="false">
      <c r="A3759" s="42"/>
      <c r="B3759" s="42"/>
      <c r="C3759" s="42"/>
      <c r="D3759" s="42"/>
      <c r="E3759" s="42"/>
      <c r="F3759" s="51" t="n">
        <f aca="false">IF(OR(C3759="",D3759="",E3759="",E3759=0),0,C3759*D3759/E3759)</f>
        <v>0</v>
      </c>
      <c r="G3759" s="42"/>
      <c r="H3759" s="49" t="n">
        <f aca="true">IF(OR($A3759="",_xlfn.MINIFS($B$3:$B$5000,$A$3:$A$5000,$A3759,$B$3:$B$5000,"&gt;"&amp;$B3759)=0),NOW(),_xlfn.MINIFS($B$3:$B$5000,$A$3:$A$5000,$A3759,$B$3:$B$5000,"&gt;"&amp;$B3759))</f>
        <v>46279.5987644693</v>
      </c>
    </row>
    <row r="3760" customFormat="false" ht="15" hidden="false" customHeight="true" outlineLevel="0" collapsed="false">
      <c r="A3760" s="42"/>
      <c r="B3760" s="42"/>
      <c r="C3760" s="42"/>
      <c r="D3760" s="42"/>
      <c r="E3760" s="42"/>
      <c r="F3760" s="51" t="n">
        <f aca="false">IF(OR(C3760="",D3760="",E3760="",E3760=0),0,C3760*D3760/E3760)</f>
        <v>0</v>
      </c>
      <c r="G3760" s="42"/>
      <c r="H3760" s="49" t="n">
        <f aca="true">IF(OR($A3760="",_xlfn.MINIFS($B$3:$B$5000,$A$3:$A$5000,$A3760,$B$3:$B$5000,"&gt;"&amp;$B3760)=0),NOW(),_xlfn.MINIFS($B$3:$B$5000,$A$3:$A$5000,$A3760,$B$3:$B$5000,"&gt;"&amp;$B3760))</f>
        <v>46279.5987644693</v>
      </c>
    </row>
    <row r="3761" customFormat="false" ht="15" hidden="false" customHeight="true" outlineLevel="0" collapsed="false">
      <c r="A3761" s="42"/>
      <c r="B3761" s="42"/>
      <c r="C3761" s="42"/>
      <c r="D3761" s="42"/>
      <c r="E3761" s="42"/>
      <c r="F3761" s="51" t="n">
        <f aca="false">IF(OR(C3761="",D3761="",E3761="",E3761=0),0,C3761*D3761/E3761)</f>
        <v>0</v>
      </c>
      <c r="G3761" s="42"/>
      <c r="H3761" s="49" t="n">
        <f aca="true">IF(OR($A3761="",_xlfn.MINIFS($B$3:$B$5000,$A$3:$A$5000,$A3761,$B$3:$B$5000,"&gt;"&amp;$B3761)=0),NOW(),_xlfn.MINIFS($B$3:$B$5000,$A$3:$A$5000,$A3761,$B$3:$B$5000,"&gt;"&amp;$B3761))</f>
        <v>46279.5987644694</v>
      </c>
    </row>
    <row r="3762" customFormat="false" ht="15" hidden="false" customHeight="true" outlineLevel="0" collapsed="false">
      <c r="A3762" s="42"/>
      <c r="B3762" s="42"/>
      <c r="C3762" s="42"/>
      <c r="D3762" s="42"/>
      <c r="E3762" s="42"/>
      <c r="F3762" s="51" t="n">
        <f aca="false">IF(OR(C3762="",D3762="",E3762="",E3762=0),0,C3762*D3762/E3762)</f>
        <v>0</v>
      </c>
      <c r="G3762" s="42"/>
      <c r="H3762" s="49" t="n">
        <f aca="true">IF(OR($A3762="",_xlfn.MINIFS($B$3:$B$5000,$A$3:$A$5000,$A3762,$B$3:$B$5000,"&gt;"&amp;$B3762)=0),NOW(),_xlfn.MINIFS($B$3:$B$5000,$A$3:$A$5000,$A3762,$B$3:$B$5000,"&gt;"&amp;$B3762))</f>
        <v>46279.5987644694</v>
      </c>
    </row>
    <row r="3763" customFormat="false" ht="15" hidden="false" customHeight="true" outlineLevel="0" collapsed="false">
      <c r="A3763" s="42"/>
      <c r="B3763" s="42"/>
      <c r="C3763" s="42"/>
      <c r="D3763" s="42"/>
      <c r="E3763" s="42"/>
      <c r="F3763" s="51" t="n">
        <f aca="false">IF(OR(C3763="",D3763="",E3763="",E3763=0),0,C3763*D3763/E3763)</f>
        <v>0</v>
      </c>
      <c r="G3763" s="42"/>
      <c r="H3763" s="49" t="n">
        <f aca="true">IF(OR($A3763="",_xlfn.MINIFS($B$3:$B$5000,$A$3:$A$5000,$A3763,$B$3:$B$5000,"&gt;"&amp;$B3763)=0),NOW(),_xlfn.MINIFS($B$3:$B$5000,$A$3:$A$5000,$A3763,$B$3:$B$5000,"&gt;"&amp;$B3763))</f>
        <v>46279.5987644695</v>
      </c>
    </row>
    <row r="3764" customFormat="false" ht="15" hidden="false" customHeight="true" outlineLevel="0" collapsed="false">
      <c r="A3764" s="42"/>
      <c r="B3764" s="42"/>
      <c r="C3764" s="42"/>
      <c r="D3764" s="42"/>
      <c r="E3764" s="42"/>
      <c r="F3764" s="51" t="n">
        <f aca="false">IF(OR(C3764="",D3764="",E3764="",E3764=0),0,C3764*D3764/E3764)</f>
        <v>0</v>
      </c>
      <c r="G3764" s="42"/>
      <c r="H3764" s="49" t="n">
        <f aca="true">IF(OR($A3764="",_xlfn.MINIFS($B$3:$B$5000,$A$3:$A$5000,$A3764,$B$3:$B$5000,"&gt;"&amp;$B3764)=0),NOW(),_xlfn.MINIFS($B$3:$B$5000,$A$3:$A$5000,$A3764,$B$3:$B$5000,"&gt;"&amp;$B3764))</f>
        <v>46279.5987644695</v>
      </c>
    </row>
    <row r="3765" customFormat="false" ht="15" hidden="false" customHeight="true" outlineLevel="0" collapsed="false">
      <c r="A3765" s="42"/>
      <c r="B3765" s="42"/>
      <c r="C3765" s="42"/>
      <c r="D3765" s="42"/>
      <c r="E3765" s="42"/>
      <c r="F3765" s="51" t="n">
        <f aca="false">IF(OR(C3765="",D3765="",E3765="",E3765=0),0,C3765*D3765/E3765)</f>
        <v>0</v>
      </c>
      <c r="G3765" s="42"/>
      <c r="H3765" s="49" t="n">
        <f aca="true">IF(OR($A3765="",_xlfn.MINIFS($B$3:$B$5000,$A$3:$A$5000,$A3765,$B$3:$B$5000,"&gt;"&amp;$B3765)=0),NOW(),_xlfn.MINIFS($B$3:$B$5000,$A$3:$A$5000,$A3765,$B$3:$B$5000,"&gt;"&amp;$B3765))</f>
        <v>46279.5987644696</v>
      </c>
    </row>
    <row r="3766" customFormat="false" ht="15" hidden="false" customHeight="true" outlineLevel="0" collapsed="false">
      <c r="A3766" s="42"/>
      <c r="B3766" s="42"/>
      <c r="C3766" s="42"/>
      <c r="D3766" s="42"/>
      <c r="E3766" s="42"/>
      <c r="F3766" s="51" t="n">
        <f aca="false">IF(OR(C3766="",D3766="",E3766="",E3766=0),0,C3766*D3766/E3766)</f>
        <v>0</v>
      </c>
      <c r="G3766" s="42"/>
      <c r="H3766" s="49" t="n">
        <f aca="true">IF(OR($A3766="",_xlfn.MINIFS($B$3:$B$5000,$A$3:$A$5000,$A3766,$B$3:$B$5000,"&gt;"&amp;$B3766)=0),NOW(),_xlfn.MINIFS($B$3:$B$5000,$A$3:$A$5000,$A3766,$B$3:$B$5000,"&gt;"&amp;$B3766))</f>
        <v>46279.5987644696</v>
      </c>
    </row>
    <row r="3767" customFormat="false" ht="15" hidden="false" customHeight="true" outlineLevel="0" collapsed="false">
      <c r="A3767" s="42"/>
      <c r="B3767" s="42"/>
      <c r="C3767" s="42"/>
      <c r="D3767" s="42"/>
      <c r="E3767" s="42"/>
      <c r="F3767" s="51" t="n">
        <f aca="false">IF(OR(C3767="",D3767="",E3767="",E3767=0),0,C3767*D3767/E3767)</f>
        <v>0</v>
      </c>
      <c r="G3767" s="42"/>
      <c r="H3767" s="49" t="n">
        <f aca="true">IF(OR($A3767="",_xlfn.MINIFS($B$3:$B$5000,$A$3:$A$5000,$A3767,$B$3:$B$5000,"&gt;"&amp;$B3767)=0),NOW(),_xlfn.MINIFS($B$3:$B$5000,$A$3:$A$5000,$A3767,$B$3:$B$5000,"&gt;"&amp;$B3767))</f>
        <v>46279.5987644697</v>
      </c>
    </row>
    <row r="3768" customFormat="false" ht="15" hidden="false" customHeight="true" outlineLevel="0" collapsed="false">
      <c r="A3768" s="42"/>
      <c r="B3768" s="42"/>
      <c r="C3768" s="42"/>
      <c r="D3768" s="42"/>
      <c r="E3768" s="42"/>
      <c r="F3768" s="51" t="n">
        <f aca="false">IF(OR(C3768="",D3768="",E3768="",E3768=0),0,C3768*D3768/E3768)</f>
        <v>0</v>
      </c>
      <c r="G3768" s="42"/>
      <c r="H3768" s="49" t="n">
        <f aca="true">IF(OR($A3768="",_xlfn.MINIFS($B$3:$B$5000,$A$3:$A$5000,$A3768,$B$3:$B$5000,"&gt;"&amp;$B3768)=0),NOW(),_xlfn.MINIFS($B$3:$B$5000,$A$3:$A$5000,$A3768,$B$3:$B$5000,"&gt;"&amp;$B3768))</f>
        <v>46279.5987644697</v>
      </c>
    </row>
    <row r="3769" customFormat="false" ht="15" hidden="false" customHeight="true" outlineLevel="0" collapsed="false">
      <c r="A3769" s="42"/>
      <c r="B3769" s="42"/>
      <c r="C3769" s="42"/>
      <c r="D3769" s="42"/>
      <c r="E3769" s="42"/>
      <c r="F3769" s="51" t="n">
        <f aca="false">IF(OR(C3769="",D3769="",E3769="",E3769=0),0,C3769*D3769/E3769)</f>
        <v>0</v>
      </c>
      <c r="G3769" s="42"/>
      <c r="H3769" s="49" t="n">
        <f aca="true">IF(OR($A3769="",_xlfn.MINIFS($B$3:$B$5000,$A$3:$A$5000,$A3769,$B$3:$B$5000,"&gt;"&amp;$B3769)=0),NOW(),_xlfn.MINIFS($B$3:$B$5000,$A$3:$A$5000,$A3769,$B$3:$B$5000,"&gt;"&amp;$B3769))</f>
        <v>46279.5987644698</v>
      </c>
    </row>
    <row r="3770" customFormat="false" ht="15" hidden="false" customHeight="true" outlineLevel="0" collapsed="false">
      <c r="A3770" s="42"/>
      <c r="B3770" s="42"/>
      <c r="C3770" s="42"/>
      <c r="D3770" s="42"/>
      <c r="E3770" s="42"/>
      <c r="F3770" s="51" t="n">
        <f aca="false">IF(OR(C3770="",D3770="",E3770="",E3770=0),0,C3770*D3770/E3770)</f>
        <v>0</v>
      </c>
      <c r="G3770" s="42"/>
      <c r="H3770" s="49" t="n">
        <f aca="true">IF(OR($A3770="",_xlfn.MINIFS($B$3:$B$5000,$A$3:$A$5000,$A3770,$B$3:$B$5000,"&gt;"&amp;$B3770)=0),NOW(),_xlfn.MINIFS($B$3:$B$5000,$A$3:$A$5000,$A3770,$B$3:$B$5000,"&gt;"&amp;$B3770))</f>
        <v>46279.5987644698</v>
      </c>
    </row>
    <row r="3771" customFormat="false" ht="15" hidden="false" customHeight="true" outlineLevel="0" collapsed="false">
      <c r="A3771" s="42"/>
      <c r="B3771" s="42"/>
      <c r="C3771" s="42"/>
      <c r="D3771" s="42"/>
      <c r="E3771" s="42"/>
      <c r="F3771" s="51" t="n">
        <f aca="false">IF(OR(C3771="",D3771="",E3771="",E3771=0),0,C3771*D3771/E3771)</f>
        <v>0</v>
      </c>
      <c r="G3771" s="42"/>
      <c r="H3771" s="49" t="n">
        <f aca="true">IF(OR($A3771="",_xlfn.MINIFS($B$3:$B$5000,$A$3:$A$5000,$A3771,$B$3:$B$5000,"&gt;"&amp;$B3771)=0),NOW(),_xlfn.MINIFS($B$3:$B$5000,$A$3:$A$5000,$A3771,$B$3:$B$5000,"&gt;"&amp;$B3771))</f>
        <v>46279.5987644699</v>
      </c>
    </row>
    <row r="3772" customFormat="false" ht="15" hidden="false" customHeight="true" outlineLevel="0" collapsed="false">
      <c r="A3772" s="42"/>
      <c r="B3772" s="42"/>
      <c r="C3772" s="42"/>
      <c r="D3772" s="42"/>
      <c r="E3772" s="42"/>
      <c r="F3772" s="51" t="n">
        <f aca="false">IF(OR(C3772="",D3772="",E3772="",E3772=0),0,C3772*D3772/E3772)</f>
        <v>0</v>
      </c>
      <c r="G3772" s="42"/>
      <c r="H3772" s="49" t="n">
        <f aca="true">IF(OR($A3772="",_xlfn.MINIFS($B$3:$B$5000,$A$3:$A$5000,$A3772,$B$3:$B$5000,"&gt;"&amp;$B3772)=0),NOW(),_xlfn.MINIFS($B$3:$B$5000,$A$3:$A$5000,$A3772,$B$3:$B$5000,"&gt;"&amp;$B3772))</f>
        <v>46279.5987644699</v>
      </c>
    </row>
    <row r="3773" customFormat="false" ht="15" hidden="false" customHeight="true" outlineLevel="0" collapsed="false">
      <c r="A3773" s="42"/>
      <c r="B3773" s="42"/>
      <c r="C3773" s="42"/>
      <c r="D3773" s="42"/>
      <c r="E3773" s="42"/>
      <c r="F3773" s="51" t="n">
        <f aca="false">IF(OR(C3773="",D3773="",E3773="",E3773=0),0,C3773*D3773/E3773)</f>
        <v>0</v>
      </c>
      <c r="G3773" s="42"/>
      <c r="H3773" s="49" t="n">
        <f aca="true">IF(OR($A3773="",_xlfn.MINIFS($B$3:$B$5000,$A$3:$A$5000,$A3773,$B$3:$B$5000,"&gt;"&amp;$B3773)=0),NOW(),_xlfn.MINIFS($B$3:$B$5000,$A$3:$A$5000,$A3773,$B$3:$B$5000,"&gt;"&amp;$B3773))</f>
        <v>46279.59876447</v>
      </c>
    </row>
    <row r="3774" customFormat="false" ht="15" hidden="false" customHeight="true" outlineLevel="0" collapsed="false">
      <c r="A3774" s="42"/>
      <c r="B3774" s="42"/>
      <c r="C3774" s="42"/>
      <c r="D3774" s="42"/>
      <c r="E3774" s="42"/>
      <c r="F3774" s="51" t="n">
        <f aca="false">IF(OR(C3774="",D3774="",E3774="",E3774=0),0,C3774*D3774/E3774)</f>
        <v>0</v>
      </c>
      <c r="G3774" s="42"/>
      <c r="H3774" s="49" t="n">
        <f aca="true">IF(OR($A3774="",_xlfn.MINIFS($B$3:$B$5000,$A$3:$A$5000,$A3774,$B$3:$B$5000,"&gt;"&amp;$B3774)=0),NOW(),_xlfn.MINIFS($B$3:$B$5000,$A$3:$A$5000,$A3774,$B$3:$B$5000,"&gt;"&amp;$B3774))</f>
        <v>46279.59876447</v>
      </c>
    </row>
    <row r="3775" customFormat="false" ht="15" hidden="false" customHeight="true" outlineLevel="0" collapsed="false">
      <c r="A3775" s="42"/>
      <c r="B3775" s="42"/>
      <c r="C3775" s="42"/>
      <c r="D3775" s="42"/>
      <c r="E3775" s="42"/>
      <c r="F3775" s="51" t="n">
        <f aca="false">IF(OR(C3775="",D3775="",E3775="",E3775=0),0,C3775*D3775/E3775)</f>
        <v>0</v>
      </c>
      <c r="G3775" s="42"/>
      <c r="H3775" s="49" t="n">
        <f aca="true">IF(OR($A3775="",_xlfn.MINIFS($B$3:$B$5000,$A$3:$A$5000,$A3775,$B$3:$B$5000,"&gt;"&amp;$B3775)=0),NOW(),_xlfn.MINIFS($B$3:$B$5000,$A$3:$A$5000,$A3775,$B$3:$B$5000,"&gt;"&amp;$B3775))</f>
        <v>46279.5987644701</v>
      </c>
    </row>
    <row r="3776" customFormat="false" ht="15" hidden="false" customHeight="true" outlineLevel="0" collapsed="false">
      <c r="A3776" s="42"/>
      <c r="B3776" s="42"/>
      <c r="C3776" s="42"/>
      <c r="D3776" s="42"/>
      <c r="E3776" s="42"/>
      <c r="F3776" s="51" t="n">
        <f aca="false">IF(OR(C3776="",D3776="",E3776="",E3776=0),0,C3776*D3776/E3776)</f>
        <v>0</v>
      </c>
      <c r="G3776" s="42"/>
      <c r="H3776" s="49" t="n">
        <f aca="true">IF(OR($A3776="",_xlfn.MINIFS($B$3:$B$5000,$A$3:$A$5000,$A3776,$B$3:$B$5000,"&gt;"&amp;$B3776)=0),NOW(),_xlfn.MINIFS($B$3:$B$5000,$A$3:$A$5000,$A3776,$B$3:$B$5000,"&gt;"&amp;$B3776))</f>
        <v>46279.5987644701</v>
      </c>
    </row>
    <row r="3777" customFormat="false" ht="15" hidden="false" customHeight="true" outlineLevel="0" collapsed="false">
      <c r="A3777" s="42"/>
      <c r="B3777" s="42"/>
      <c r="C3777" s="42"/>
      <c r="D3777" s="42"/>
      <c r="E3777" s="42"/>
      <c r="F3777" s="51" t="n">
        <f aca="false">IF(OR(C3777="",D3777="",E3777="",E3777=0),0,C3777*D3777/E3777)</f>
        <v>0</v>
      </c>
      <c r="G3777" s="42"/>
      <c r="H3777" s="49" t="n">
        <f aca="true">IF(OR($A3777="",_xlfn.MINIFS($B$3:$B$5000,$A$3:$A$5000,$A3777,$B$3:$B$5000,"&gt;"&amp;$B3777)=0),NOW(),_xlfn.MINIFS($B$3:$B$5000,$A$3:$A$5000,$A3777,$B$3:$B$5000,"&gt;"&amp;$B3777))</f>
        <v>46279.5987644702</v>
      </c>
    </row>
    <row r="3778" customFormat="false" ht="15" hidden="false" customHeight="true" outlineLevel="0" collapsed="false">
      <c r="A3778" s="42"/>
      <c r="B3778" s="42"/>
      <c r="C3778" s="42"/>
      <c r="D3778" s="42"/>
      <c r="E3778" s="42"/>
      <c r="F3778" s="51" t="n">
        <f aca="false">IF(OR(C3778="",D3778="",E3778="",E3778=0),0,C3778*D3778/E3778)</f>
        <v>0</v>
      </c>
      <c r="G3778" s="42"/>
      <c r="H3778" s="49" t="n">
        <f aca="true">IF(OR($A3778="",_xlfn.MINIFS($B$3:$B$5000,$A$3:$A$5000,$A3778,$B$3:$B$5000,"&gt;"&amp;$B3778)=0),NOW(),_xlfn.MINIFS($B$3:$B$5000,$A$3:$A$5000,$A3778,$B$3:$B$5000,"&gt;"&amp;$B3778))</f>
        <v>46279.5987644702</v>
      </c>
    </row>
    <row r="3779" customFormat="false" ht="15" hidden="false" customHeight="true" outlineLevel="0" collapsed="false">
      <c r="A3779" s="42"/>
      <c r="B3779" s="42"/>
      <c r="C3779" s="42"/>
      <c r="D3779" s="42"/>
      <c r="E3779" s="42"/>
      <c r="F3779" s="51" t="n">
        <f aca="false">IF(OR(C3779="",D3779="",E3779="",E3779=0),0,C3779*D3779/E3779)</f>
        <v>0</v>
      </c>
      <c r="G3779" s="42"/>
      <c r="H3779" s="49" t="n">
        <f aca="true">IF(OR($A3779="",_xlfn.MINIFS($B$3:$B$5000,$A$3:$A$5000,$A3779,$B$3:$B$5000,"&gt;"&amp;$B3779)=0),NOW(),_xlfn.MINIFS($B$3:$B$5000,$A$3:$A$5000,$A3779,$B$3:$B$5000,"&gt;"&amp;$B3779))</f>
        <v>46279.5987644703</v>
      </c>
    </row>
    <row r="3780" customFormat="false" ht="15" hidden="false" customHeight="true" outlineLevel="0" collapsed="false">
      <c r="A3780" s="42"/>
      <c r="B3780" s="42"/>
      <c r="C3780" s="42"/>
      <c r="D3780" s="42"/>
      <c r="E3780" s="42"/>
      <c r="F3780" s="51" t="n">
        <f aca="false">IF(OR(C3780="",D3780="",E3780="",E3780=0),0,C3780*D3780/E3780)</f>
        <v>0</v>
      </c>
      <c r="G3780" s="42"/>
      <c r="H3780" s="49" t="n">
        <f aca="true">IF(OR($A3780="",_xlfn.MINIFS($B$3:$B$5000,$A$3:$A$5000,$A3780,$B$3:$B$5000,"&gt;"&amp;$B3780)=0),NOW(),_xlfn.MINIFS($B$3:$B$5000,$A$3:$A$5000,$A3780,$B$3:$B$5000,"&gt;"&amp;$B3780))</f>
        <v>46279.5987644703</v>
      </c>
    </row>
    <row r="3781" customFormat="false" ht="15" hidden="false" customHeight="true" outlineLevel="0" collapsed="false">
      <c r="A3781" s="42"/>
      <c r="B3781" s="42"/>
      <c r="C3781" s="42"/>
      <c r="D3781" s="42"/>
      <c r="E3781" s="42"/>
      <c r="F3781" s="51" t="n">
        <f aca="false">IF(OR(C3781="",D3781="",E3781="",E3781=0),0,C3781*D3781/E3781)</f>
        <v>0</v>
      </c>
      <c r="G3781" s="42"/>
      <c r="H3781" s="49" t="n">
        <f aca="true">IF(OR($A3781="",_xlfn.MINIFS($B$3:$B$5000,$A$3:$A$5000,$A3781,$B$3:$B$5000,"&gt;"&amp;$B3781)=0),NOW(),_xlfn.MINIFS($B$3:$B$5000,$A$3:$A$5000,$A3781,$B$3:$B$5000,"&gt;"&amp;$B3781))</f>
        <v>46279.5987644704</v>
      </c>
    </row>
    <row r="3782" customFormat="false" ht="15" hidden="false" customHeight="true" outlineLevel="0" collapsed="false">
      <c r="A3782" s="42"/>
      <c r="B3782" s="42"/>
      <c r="C3782" s="42"/>
      <c r="D3782" s="42"/>
      <c r="E3782" s="42"/>
      <c r="F3782" s="51" t="n">
        <f aca="false">IF(OR(C3782="",D3782="",E3782="",E3782=0),0,C3782*D3782/E3782)</f>
        <v>0</v>
      </c>
      <c r="G3782" s="42"/>
      <c r="H3782" s="49" t="n">
        <f aca="true">IF(OR($A3782="",_xlfn.MINIFS($B$3:$B$5000,$A$3:$A$5000,$A3782,$B$3:$B$5000,"&gt;"&amp;$B3782)=0),NOW(),_xlfn.MINIFS($B$3:$B$5000,$A$3:$A$5000,$A3782,$B$3:$B$5000,"&gt;"&amp;$B3782))</f>
        <v>46279.5987644704</v>
      </c>
    </row>
    <row r="3783" customFormat="false" ht="15" hidden="false" customHeight="true" outlineLevel="0" collapsed="false">
      <c r="A3783" s="42"/>
      <c r="B3783" s="42"/>
      <c r="C3783" s="42"/>
      <c r="D3783" s="42"/>
      <c r="E3783" s="42"/>
      <c r="F3783" s="51" t="n">
        <f aca="false">IF(OR(C3783="",D3783="",E3783="",E3783=0),0,C3783*D3783/E3783)</f>
        <v>0</v>
      </c>
      <c r="G3783" s="42"/>
      <c r="H3783" s="49" t="n">
        <f aca="true">IF(OR($A3783="",_xlfn.MINIFS($B$3:$B$5000,$A$3:$A$5000,$A3783,$B$3:$B$5000,"&gt;"&amp;$B3783)=0),NOW(),_xlfn.MINIFS($B$3:$B$5000,$A$3:$A$5000,$A3783,$B$3:$B$5000,"&gt;"&amp;$B3783))</f>
        <v>46279.5987644705</v>
      </c>
    </row>
    <row r="3784" customFormat="false" ht="15" hidden="false" customHeight="true" outlineLevel="0" collapsed="false">
      <c r="A3784" s="42"/>
      <c r="B3784" s="42"/>
      <c r="C3784" s="42"/>
      <c r="D3784" s="42"/>
      <c r="E3784" s="42"/>
      <c r="F3784" s="51" t="n">
        <f aca="false">IF(OR(C3784="",D3784="",E3784="",E3784=0),0,C3784*D3784/E3784)</f>
        <v>0</v>
      </c>
      <c r="G3784" s="42"/>
      <c r="H3784" s="49" t="n">
        <f aca="true">IF(OR($A3784="",_xlfn.MINIFS($B$3:$B$5000,$A$3:$A$5000,$A3784,$B$3:$B$5000,"&gt;"&amp;$B3784)=0),NOW(),_xlfn.MINIFS($B$3:$B$5000,$A$3:$A$5000,$A3784,$B$3:$B$5000,"&gt;"&amp;$B3784))</f>
        <v>46279.5987644705</v>
      </c>
    </row>
    <row r="3785" customFormat="false" ht="15" hidden="false" customHeight="true" outlineLevel="0" collapsed="false">
      <c r="A3785" s="42"/>
      <c r="B3785" s="42"/>
      <c r="C3785" s="42"/>
      <c r="D3785" s="42"/>
      <c r="E3785" s="42"/>
      <c r="F3785" s="51" t="n">
        <f aca="false">IF(OR(C3785="",D3785="",E3785="",E3785=0),0,C3785*D3785/E3785)</f>
        <v>0</v>
      </c>
      <c r="G3785" s="42"/>
      <c r="H3785" s="49" t="n">
        <f aca="true">IF(OR($A3785="",_xlfn.MINIFS($B$3:$B$5000,$A$3:$A$5000,$A3785,$B$3:$B$5000,"&gt;"&amp;$B3785)=0),NOW(),_xlfn.MINIFS($B$3:$B$5000,$A$3:$A$5000,$A3785,$B$3:$B$5000,"&gt;"&amp;$B3785))</f>
        <v>46279.5987644706</v>
      </c>
    </row>
    <row r="3786" customFormat="false" ht="15" hidden="false" customHeight="true" outlineLevel="0" collapsed="false">
      <c r="A3786" s="42"/>
      <c r="B3786" s="42"/>
      <c r="C3786" s="42"/>
      <c r="D3786" s="42"/>
      <c r="E3786" s="42"/>
      <c r="F3786" s="51" t="n">
        <f aca="false">IF(OR(C3786="",D3786="",E3786="",E3786=0),0,C3786*D3786/E3786)</f>
        <v>0</v>
      </c>
      <c r="G3786" s="42"/>
      <c r="H3786" s="49" t="n">
        <f aca="true">IF(OR($A3786="",_xlfn.MINIFS($B$3:$B$5000,$A$3:$A$5000,$A3786,$B$3:$B$5000,"&gt;"&amp;$B3786)=0),NOW(),_xlfn.MINIFS($B$3:$B$5000,$A$3:$A$5000,$A3786,$B$3:$B$5000,"&gt;"&amp;$B3786))</f>
        <v>46279.5987644706</v>
      </c>
    </row>
    <row r="3787" customFormat="false" ht="15" hidden="false" customHeight="true" outlineLevel="0" collapsed="false">
      <c r="A3787" s="42"/>
      <c r="B3787" s="42"/>
      <c r="C3787" s="42"/>
      <c r="D3787" s="42"/>
      <c r="E3787" s="42"/>
      <c r="F3787" s="51" t="n">
        <f aca="false">IF(OR(C3787="",D3787="",E3787="",E3787=0),0,C3787*D3787/E3787)</f>
        <v>0</v>
      </c>
      <c r="G3787" s="42"/>
      <c r="H3787" s="49" t="n">
        <f aca="true">IF(OR($A3787="",_xlfn.MINIFS($B$3:$B$5000,$A$3:$A$5000,$A3787,$B$3:$B$5000,"&gt;"&amp;$B3787)=0),NOW(),_xlfn.MINIFS($B$3:$B$5000,$A$3:$A$5000,$A3787,$B$3:$B$5000,"&gt;"&amp;$B3787))</f>
        <v>46279.5987644707</v>
      </c>
    </row>
    <row r="3788" customFormat="false" ht="15" hidden="false" customHeight="true" outlineLevel="0" collapsed="false">
      <c r="A3788" s="42"/>
      <c r="B3788" s="42"/>
      <c r="C3788" s="42"/>
      <c r="D3788" s="42"/>
      <c r="E3788" s="42"/>
      <c r="F3788" s="51" t="n">
        <f aca="false">IF(OR(C3788="",D3788="",E3788="",E3788=0),0,C3788*D3788/E3788)</f>
        <v>0</v>
      </c>
      <c r="G3788" s="42"/>
      <c r="H3788" s="49" t="n">
        <f aca="true">IF(OR($A3788="",_xlfn.MINIFS($B$3:$B$5000,$A$3:$A$5000,$A3788,$B$3:$B$5000,"&gt;"&amp;$B3788)=0),NOW(),_xlfn.MINIFS($B$3:$B$5000,$A$3:$A$5000,$A3788,$B$3:$B$5000,"&gt;"&amp;$B3788))</f>
        <v>46279.5987644707</v>
      </c>
    </row>
    <row r="3789" customFormat="false" ht="15" hidden="false" customHeight="true" outlineLevel="0" collapsed="false">
      <c r="A3789" s="42"/>
      <c r="B3789" s="42"/>
      <c r="C3789" s="42"/>
      <c r="D3789" s="42"/>
      <c r="E3789" s="42"/>
      <c r="F3789" s="51" t="n">
        <f aca="false">IF(OR(C3789="",D3789="",E3789="",E3789=0),0,C3789*D3789/E3789)</f>
        <v>0</v>
      </c>
      <c r="G3789" s="42"/>
      <c r="H3789" s="49" t="n">
        <f aca="true">IF(OR($A3789="",_xlfn.MINIFS($B$3:$B$5000,$A$3:$A$5000,$A3789,$B$3:$B$5000,"&gt;"&amp;$B3789)=0),NOW(),_xlfn.MINIFS($B$3:$B$5000,$A$3:$A$5000,$A3789,$B$3:$B$5000,"&gt;"&amp;$B3789))</f>
        <v>46279.5987644708</v>
      </c>
    </row>
    <row r="3790" customFormat="false" ht="15" hidden="false" customHeight="true" outlineLevel="0" collapsed="false">
      <c r="A3790" s="42"/>
      <c r="B3790" s="42"/>
      <c r="C3790" s="42"/>
      <c r="D3790" s="42"/>
      <c r="E3790" s="42"/>
      <c r="F3790" s="51" t="n">
        <f aca="false">IF(OR(C3790="",D3790="",E3790="",E3790=0),0,C3790*D3790/E3790)</f>
        <v>0</v>
      </c>
      <c r="G3790" s="42"/>
      <c r="H3790" s="49" t="n">
        <f aca="true">IF(OR($A3790="",_xlfn.MINIFS($B$3:$B$5000,$A$3:$A$5000,$A3790,$B$3:$B$5000,"&gt;"&amp;$B3790)=0),NOW(),_xlfn.MINIFS($B$3:$B$5000,$A$3:$A$5000,$A3790,$B$3:$B$5000,"&gt;"&amp;$B3790))</f>
        <v>46279.5987644708</v>
      </c>
    </row>
    <row r="3791" customFormat="false" ht="15" hidden="false" customHeight="true" outlineLevel="0" collapsed="false">
      <c r="A3791" s="42"/>
      <c r="B3791" s="42"/>
      <c r="C3791" s="42"/>
      <c r="D3791" s="42"/>
      <c r="E3791" s="42"/>
      <c r="F3791" s="51" t="n">
        <f aca="false">IF(OR(C3791="",D3791="",E3791="",E3791=0),0,C3791*D3791/E3791)</f>
        <v>0</v>
      </c>
      <c r="G3791" s="42"/>
      <c r="H3791" s="49" t="n">
        <f aca="true">IF(OR($A3791="",_xlfn.MINIFS($B$3:$B$5000,$A$3:$A$5000,$A3791,$B$3:$B$5000,"&gt;"&amp;$B3791)=0),NOW(),_xlfn.MINIFS($B$3:$B$5000,$A$3:$A$5000,$A3791,$B$3:$B$5000,"&gt;"&amp;$B3791))</f>
        <v>46279.5987644709</v>
      </c>
    </row>
    <row r="3792" customFormat="false" ht="15" hidden="false" customHeight="true" outlineLevel="0" collapsed="false">
      <c r="A3792" s="42"/>
      <c r="B3792" s="42"/>
      <c r="C3792" s="42"/>
      <c r="D3792" s="42"/>
      <c r="E3792" s="42"/>
      <c r="F3792" s="51" t="n">
        <f aca="false">IF(OR(C3792="",D3792="",E3792="",E3792=0),0,C3792*D3792/E3792)</f>
        <v>0</v>
      </c>
      <c r="G3792" s="42"/>
      <c r="H3792" s="49" t="n">
        <f aca="true">IF(OR($A3792="",_xlfn.MINIFS($B$3:$B$5000,$A$3:$A$5000,$A3792,$B$3:$B$5000,"&gt;"&amp;$B3792)=0),NOW(),_xlfn.MINIFS($B$3:$B$5000,$A$3:$A$5000,$A3792,$B$3:$B$5000,"&gt;"&amp;$B3792))</f>
        <v>46279.5987644709</v>
      </c>
    </row>
    <row r="3793" customFormat="false" ht="15" hidden="false" customHeight="true" outlineLevel="0" collapsed="false">
      <c r="A3793" s="42"/>
      <c r="B3793" s="42"/>
      <c r="C3793" s="42"/>
      <c r="D3793" s="42"/>
      <c r="E3793" s="42"/>
      <c r="F3793" s="51" t="n">
        <f aca="false">IF(OR(C3793="",D3793="",E3793="",E3793=0),0,C3793*D3793/E3793)</f>
        <v>0</v>
      </c>
      <c r="G3793" s="42"/>
      <c r="H3793" s="49" t="n">
        <f aca="true">IF(OR($A3793="",_xlfn.MINIFS($B$3:$B$5000,$A$3:$A$5000,$A3793,$B$3:$B$5000,"&gt;"&amp;$B3793)=0),NOW(),_xlfn.MINIFS($B$3:$B$5000,$A$3:$A$5000,$A3793,$B$3:$B$5000,"&gt;"&amp;$B3793))</f>
        <v>46279.598764471</v>
      </c>
    </row>
    <row r="3794" customFormat="false" ht="15" hidden="false" customHeight="true" outlineLevel="0" collapsed="false">
      <c r="A3794" s="42"/>
      <c r="B3794" s="42"/>
      <c r="C3794" s="42"/>
      <c r="D3794" s="42"/>
      <c r="E3794" s="42"/>
      <c r="F3794" s="51" t="n">
        <f aca="false">IF(OR(C3794="",D3794="",E3794="",E3794=0),0,C3794*D3794/E3794)</f>
        <v>0</v>
      </c>
      <c r="G3794" s="42"/>
      <c r="H3794" s="49" t="n">
        <f aca="true">IF(OR($A3794="",_xlfn.MINIFS($B$3:$B$5000,$A$3:$A$5000,$A3794,$B$3:$B$5000,"&gt;"&amp;$B3794)=0),NOW(),_xlfn.MINIFS($B$3:$B$5000,$A$3:$A$5000,$A3794,$B$3:$B$5000,"&gt;"&amp;$B3794))</f>
        <v>46279.5987644711</v>
      </c>
    </row>
    <row r="3795" customFormat="false" ht="15" hidden="false" customHeight="true" outlineLevel="0" collapsed="false">
      <c r="A3795" s="42"/>
      <c r="B3795" s="42"/>
      <c r="C3795" s="42"/>
      <c r="D3795" s="42"/>
      <c r="E3795" s="42"/>
      <c r="F3795" s="51" t="n">
        <f aca="false">IF(OR(C3795="",D3795="",E3795="",E3795=0),0,C3795*D3795/E3795)</f>
        <v>0</v>
      </c>
      <c r="G3795" s="42"/>
      <c r="H3795" s="49" t="n">
        <f aca="true">IF(OR($A3795="",_xlfn.MINIFS($B$3:$B$5000,$A$3:$A$5000,$A3795,$B$3:$B$5000,"&gt;"&amp;$B3795)=0),NOW(),_xlfn.MINIFS($B$3:$B$5000,$A$3:$A$5000,$A3795,$B$3:$B$5000,"&gt;"&amp;$B3795))</f>
        <v>46279.5987644711</v>
      </c>
    </row>
    <row r="3796" customFormat="false" ht="15" hidden="false" customHeight="true" outlineLevel="0" collapsed="false">
      <c r="A3796" s="42"/>
      <c r="B3796" s="42"/>
      <c r="C3796" s="42"/>
      <c r="D3796" s="42"/>
      <c r="E3796" s="42"/>
      <c r="F3796" s="51" t="n">
        <f aca="false">IF(OR(C3796="",D3796="",E3796="",E3796=0),0,C3796*D3796/E3796)</f>
        <v>0</v>
      </c>
      <c r="G3796" s="42"/>
      <c r="H3796" s="49" t="n">
        <f aca="true">IF(OR($A3796="",_xlfn.MINIFS($B$3:$B$5000,$A$3:$A$5000,$A3796,$B$3:$B$5000,"&gt;"&amp;$B3796)=0),NOW(),_xlfn.MINIFS($B$3:$B$5000,$A$3:$A$5000,$A3796,$B$3:$B$5000,"&gt;"&amp;$B3796))</f>
        <v>46279.5987644712</v>
      </c>
    </row>
    <row r="3797" customFormat="false" ht="15" hidden="false" customHeight="true" outlineLevel="0" collapsed="false">
      <c r="A3797" s="42"/>
      <c r="B3797" s="42"/>
      <c r="C3797" s="42"/>
      <c r="D3797" s="42"/>
      <c r="E3797" s="42"/>
      <c r="F3797" s="51" t="n">
        <f aca="false">IF(OR(C3797="",D3797="",E3797="",E3797=0),0,C3797*D3797/E3797)</f>
        <v>0</v>
      </c>
      <c r="G3797" s="42"/>
      <c r="H3797" s="49" t="n">
        <f aca="true">IF(OR($A3797="",_xlfn.MINIFS($B$3:$B$5000,$A$3:$A$5000,$A3797,$B$3:$B$5000,"&gt;"&amp;$B3797)=0),NOW(),_xlfn.MINIFS($B$3:$B$5000,$A$3:$A$5000,$A3797,$B$3:$B$5000,"&gt;"&amp;$B3797))</f>
        <v>46279.5987644712</v>
      </c>
    </row>
    <row r="3798" customFormat="false" ht="15" hidden="false" customHeight="true" outlineLevel="0" collapsed="false">
      <c r="A3798" s="42"/>
      <c r="B3798" s="42"/>
      <c r="C3798" s="42"/>
      <c r="D3798" s="42"/>
      <c r="E3798" s="42"/>
      <c r="F3798" s="51" t="n">
        <f aca="false">IF(OR(C3798="",D3798="",E3798="",E3798=0),0,C3798*D3798/E3798)</f>
        <v>0</v>
      </c>
      <c r="G3798" s="42"/>
      <c r="H3798" s="49" t="n">
        <f aca="true">IF(OR($A3798="",_xlfn.MINIFS($B$3:$B$5000,$A$3:$A$5000,$A3798,$B$3:$B$5000,"&gt;"&amp;$B3798)=0),NOW(),_xlfn.MINIFS($B$3:$B$5000,$A$3:$A$5000,$A3798,$B$3:$B$5000,"&gt;"&amp;$B3798))</f>
        <v>46279.5987644713</v>
      </c>
    </row>
    <row r="3799" customFormat="false" ht="15" hidden="false" customHeight="true" outlineLevel="0" collapsed="false">
      <c r="A3799" s="42"/>
      <c r="B3799" s="42"/>
      <c r="C3799" s="42"/>
      <c r="D3799" s="42"/>
      <c r="E3799" s="42"/>
      <c r="F3799" s="51" t="n">
        <f aca="false">IF(OR(C3799="",D3799="",E3799="",E3799=0),0,C3799*D3799/E3799)</f>
        <v>0</v>
      </c>
      <c r="G3799" s="42"/>
      <c r="H3799" s="49" t="n">
        <f aca="true">IF(OR($A3799="",_xlfn.MINIFS($B$3:$B$5000,$A$3:$A$5000,$A3799,$B$3:$B$5000,"&gt;"&amp;$B3799)=0),NOW(),_xlfn.MINIFS($B$3:$B$5000,$A$3:$A$5000,$A3799,$B$3:$B$5000,"&gt;"&amp;$B3799))</f>
        <v>46279.5987644713</v>
      </c>
    </row>
    <row r="3800" customFormat="false" ht="15" hidden="false" customHeight="true" outlineLevel="0" collapsed="false">
      <c r="A3800" s="42"/>
      <c r="B3800" s="42"/>
      <c r="C3800" s="42"/>
      <c r="D3800" s="42"/>
      <c r="E3800" s="42"/>
      <c r="F3800" s="51" t="n">
        <f aca="false">IF(OR(C3800="",D3800="",E3800="",E3800=0),0,C3800*D3800/E3800)</f>
        <v>0</v>
      </c>
      <c r="G3800" s="42"/>
      <c r="H3800" s="49" t="n">
        <f aca="true">IF(OR($A3800="",_xlfn.MINIFS($B$3:$B$5000,$A$3:$A$5000,$A3800,$B$3:$B$5000,"&gt;"&amp;$B3800)=0),NOW(),_xlfn.MINIFS($B$3:$B$5000,$A$3:$A$5000,$A3800,$B$3:$B$5000,"&gt;"&amp;$B3800))</f>
        <v>46279.5987644714</v>
      </c>
    </row>
    <row r="3801" customFormat="false" ht="15" hidden="false" customHeight="true" outlineLevel="0" collapsed="false">
      <c r="A3801" s="42"/>
      <c r="B3801" s="42"/>
      <c r="C3801" s="42"/>
      <c r="D3801" s="42"/>
      <c r="E3801" s="42"/>
      <c r="F3801" s="51" t="n">
        <f aca="false">IF(OR(C3801="",D3801="",E3801="",E3801=0),0,C3801*D3801/E3801)</f>
        <v>0</v>
      </c>
      <c r="G3801" s="42"/>
      <c r="H3801" s="49" t="n">
        <f aca="true">IF(OR($A3801="",_xlfn.MINIFS($B$3:$B$5000,$A$3:$A$5000,$A3801,$B$3:$B$5000,"&gt;"&amp;$B3801)=0),NOW(),_xlfn.MINIFS($B$3:$B$5000,$A$3:$A$5000,$A3801,$B$3:$B$5000,"&gt;"&amp;$B3801))</f>
        <v>46279.5987644714</v>
      </c>
    </row>
    <row r="3802" customFormat="false" ht="15" hidden="false" customHeight="true" outlineLevel="0" collapsed="false">
      <c r="A3802" s="42"/>
      <c r="B3802" s="42"/>
      <c r="C3802" s="42"/>
      <c r="D3802" s="42"/>
      <c r="E3802" s="42"/>
      <c r="F3802" s="51" t="n">
        <f aca="false">IF(OR(C3802="",D3802="",E3802="",E3802=0),0,C3802*D3802/E3802)</f>
        <v>0</v>
      </c>
      <c r="G3802" s="42"/>
      <c r="H3802" s="49" t="n">
        <f aca="true">IF(OR($A3802="",_xlfn.MINIFS($B$3:$B$5000,$A$3:$A$5000,$A3802,$B$3:$B$5000,"&gt;"&amp;$B3802)=0),NOW(),_xlfn.MINIFS($B$3:$B$5000,$A$3:$A$5000,$A3802,$B$3:$B$5000,"&gt;"&amp;$B3802))</f>
        <v>46279.5987644715</v>
      </c>
    </row>
    <row r="3803" customFormat="false" ht="15" hidden="false" customHeight="true" outlineLevel="0" collapsed="false">
      <c r="A3803" s="42"/>
      <c r="B3803" s="42"/>
      <c r="C3803" s="42"/>
      <c r="D3803" s="42"/>
      <c r="E3803" s="42"/>
      <c r="F3803" s="51" t="n">
        <f aca="false">IF(OR(C3803="",D3803="",E3803="",E3803=0),0,C3803*D3803/E3803)</f>
        <v>0</v>
      </c>
      <c r="G3803" s="42"/>
      <c r="H3803" s="49" t="n">
        <f aca="true">IF(OR($A3803="",_xlfn.MINIFS($B$3:$B$5000,$A$3:$A$5000,$A3803,$B$3:$B$5000,"&gt;"&amp;$B3803)=0),NOW(),_xlfn.MINIFS($B$3:$B$5000,$A$3:$A$5000,$A3803,$B$3:$B$5000,"&gt;"&amp;$B3803))</f>
        <v>46279.5987644715</v>
      </c>
    </row>
    <row r="3804" customFormat="false" ht="15" hidden="false" customHeight="true" outlineLevel="0" collapsed="false">
      <c r="A3804" s="42"/>
      <c r="B3804" s="42"/>
      <c r="C3804" s="42"/>
      <c r="D3804" s="42"/>
      <c r="E3804" s="42"/>
      <c r="F3804" s="51" t="n">
        <f aca="false">IF(OR(C3804="",D3804="",E3804="",E3804=0),0,C3804*D3804/E3804)</f>
        <v>0</v>
      </c>
      <c r="G3804" s="42"/>
      <c r="H3804" s="49" t="n">
        <f aca="true">IF(OR($A3804="",_xlfn.MINIFS($B$3:$B$5000,$A$3:$A$5000,$A3804,$B$3:$B$5000,"&gt;"&amp;$B3804)=0),NOW(),_xlfn.MINIFS($B$3:$B$5000,$A$3:$A$5000,$A3804,$B$3:$B$5000,"&gt;"&amp;$B3804))</f>
        <v>46279.5987644716</v>
      </c>
    </row>
    <row r="3805" customFormat="false" ht="15" hidden="false" customHeight="true" outlineLevel="0" collapsed="false">
      <c r="A3805" s="42"/>
      <c r="B3805" s="42"/>
      <c r="C3805" s="42"/>
      <c r="D3805" s="42"/>
      <c r="E3805" s="42"/>
      <c r="F3805" s="51" t="n">
        <f aca="false">IF(OR(C3805="",D3805="",E3805="",E3805=0),0,C3805*D3805/E3805)</f>
        <v>0</v>
      </c>
      <c r="G3805" s="42"/>
      <c r="H3805" s="49" t="n">
        <f aca="true">IF(OR($A3805="",_xlfn.MINIFS($B$3:$B$5000,$A$3:$A$5000,$A3805,$B$3:$B$5000,"&gt;"&amp;$B3805)=0),NOW(),_xlfn.MINIFS($B$3:$B$5000,$A$3:$A$5000,$A3805,$B$3:$B$5000,"&gt;"&amp;$B3805))</f>
        <v>46279.5987644716</v>
      </c>
    </row>
    <row r="3806" customFormat="false" ht="15" hidden="false" customHeight="true" outlineLevel="0" collapsed="false">
      <c r="A3806" s="42"/>
      <c r="B3806" s="42"/>
      <c r="C3806" s="42"/>
      <c r="D3806" s="42"/>
      <c r="E3806" s="42"/>
      <c r="F3806" s="51" t="n">
        <f aca="false">IF(OR(C3806="",D3806="",E3806="",E3806=0),0,C3806*D3806/E3806)</f>
        <v>0</v>
      </c>
      <c r="G3806" s="42"/>
      <c r="H3806" s="49" t="n">
        <f aca="true">IF(OR($A3806="",_xlfn.MINIFS($B$3:$B$5000,$A$3:$A$5000,$A3806,$B$3:$B$5000,"&gt;"&amp;$B3806)=0),NOW(),_xlfn.MINIFS($B$3:$B$5000,$A$3:$A$5000,$A3806,$B$3:$B$5000,"&gt;"&amp;$B3806))</f>
        <v>46279.5987644717</v>
      </c>
    </row>
    <row r="3807" customFormat="false" ht="15" hidden="false" customHeight="true" outlineLevel="0" collapsed="false">
      <c r="A3807" s="42"/>
      <c r="B3807" s="42"/>
      <c r="C3807" s="42"/>
      <c r="D3807" s="42"/>
      <c r="E3807" s="42"/>
      <c r="F3807" s="51" t="n">
        <f aca="false">IF(OR(C3807="",D3807="",E3807="",E3807=0),0,C3807*D3807/E3807)</f>
        <v>0</v>
      </c>
      <c r="G3807" s="42"/>
      <c r="H3807" s="49" t="n">
        <f aca="true">IF(OR($A3807="",_xlfn.MINIFS($B$3:$B$5000,$A$3:$A$5000,$A3807,$B$3:$B$5000,"&gt;"&amp;$B3807)=0),NOW(),_xlfn.MINIFS($B$3:$B$5000,$A$3:$A$5000,$A3807,$B$3:$B$5000,"&gt;"&amp;$B3807))</f>
        <v>46279.5987644717</v>
      </c>
    </row>
    <row r="3808" customFormat="false" ht="15" hidden="false" customHeight="true" outlineLevel="0" collapsed="false">
      <c r="A3808" s="42"/>
      <c r="B3808" s="42"/>
      <c r="C3808" s="42"/>
      <c r="D3808" s="42"/>
      <c r="E3808" s="42"/>
      <c r="F3808" s="51" t="n">
        <f aca="false">IF(OR(C3808="",D3808="",E3808="",E3808=0),0,C3808*D3808/E3808)</f>
        <v>0</v>
      </c>
      <c r="G3808" s="42"/>
      <c r="H3808" s="49" t="n">
        <f aca="true">IF(OR($A3808="",_xlfn.MINIFS($B$3:$B$5000,$A$3:$A$5000,$A3808,$B$3:$B$5000,"&gt;"&amp;$B3808)=0),NOW(),_xlfn.MINIFS($B$3:$B$5000,$A$3:$A$5000,$A3808,$B$3:$B$5000,"&gt;"&amp;$B3808))</f>
        <v>46279.5987644718</v>
      </c>
    </row>
    <row r="3809" customFormat="false" ht="15" hidden="false" customHeight="true" outlineLevel="0" collapsed="false">
      <c r="A3809" s="42"/>
      <c r="B3809" s="42"/>
      <c r="C3809" s="42"/>
      <c r="D3809" s="42"/>
      <c r="E3809" s="42"/>
      <c r="F3809" s="51" t="n">
        <f aca="false">IF(OR(C3809="",D3809="",E3809="",E3809=0),0,C3809*D3809/E3809)</f>
        <v>0</v>
      </c>
      <c r="G3809" s="42"/>
      <c r="H3809" s="49" t="n">
        <f aca="true">IF(OR($A3809="",_xlfn.MINIFS($B$3:$B$5000,$A$3:$A$5000,$A3809,$B$3:$B$5000,"&gt;"&amp;$B3809)=0),NOW(),_xlfn.MINIFS($B$3:$B$5000,$A$3:$A$5000,$A3809,$B$3:$B$5000,"&gt;"&amp;$B3809))</f>
        <v>46279.5987644718</v>
      </c>
    </row>
    <row r="3810" customFormat="false" ht="15" hidden="false" customHeight="true" outlineLevel="0" collapsed="false">
      <c r="A3810" s="42"/>
      <c r="B3810" s="42"/>
      <c r="C3810" s="42"/>
      <c r="D3810" s="42"/>
      <c r="E3810" s="42"/>
      <c r="F3810" s="51" t="n">
        <f aca="false">IF(OR(C3810="",D3810="",E3810="",E3810=0),0,C3810*D3810/E3810)</f>
        <v>0</v>
      </c>
      <c r="G3810" s="42"/>
      <c r="H3810" s="49" t="n">
        <f aca="true">IF(OR($A3810="",_xlfn.MINIFS($B$3:$B$5000,$A$3:$A$5000,$A3810,$B$3:$B$5000,"&gt;"&amp;$B3810)=0),NOW(),_xlfn.MINIFS($B$3:$B$5000,$A$3:$A$5000,$A3810,$B$3:$B$5000,"&gt;"&amp;$B3810))</f>
        <v>46279.5987644719</v>
      </c>
    </row>
    <row r="3811" customFormat="false" ht="15" hidden="false" customHeight="true" outlineLevel="0" collapsed="false">
      <c r="A3811" s="42"/>
      <c r="B3811" s="42"/>
      <c r="C3811" s="42"/>
      <c r="D3811" s="42"/>
      <c r="E3811" s="42"/>
      <c r="F3811" s="51" t="n">
        <f aca="false">IF(OR(C3811="",D3811="",E3811="",E3811=0),0,C3811*D3811/E3811)</f>
        <v>0</v>
      </c>
      <c r="G3811" s="42"/>
      <c r="H3811" s="49" t="n">
        <f aca="true">IF(OR($A3811="",_xlfn.MINIFS($B$3:$B$5000,$A$3:$A$5000,$A3811,$B$3:$B$5000,"&gt;"&amp;$B3811)=0),NOW(),_xlfn.MINIFS($B$3:$B$5000,$A$3:$A$5000,$A3811,$B$3:$B$5000,"&gt;"&amp;$B3811))</f>
        <v>46279.5987644719</v>
      </c>
    </row>
    <row r="3812" customFormat="false" ht="15" hidden="false" customHeight="true" outlineLevel="0" collapsed="false">
      <c r="A3812" s="42"/>
      <c r="B3812" s="42"/>
      <c r="C3812" s="42"/>
      <c r="D3812" s="42"/>
      <c r="E3812" s="42"/>
      <c r="F3812" s="51" t="n">
        <f aca="false">IF(OR(C3812="",D3812="",E3812="",E3812=0),0,C3812*D3812/E3812)</f>
        <v>0</v>
      </c>
      <c r="G3812" s="42"/>
      <c r="H3812" s="49" t="n">
        <f aca="true">IF(OR($A3812="",_xlfn.MINIFS($B$3:$B$5000,$A$3:$A$5000,$A3812,$B$3:$B$5000,"&gt;"&amp;$B3812)=0),NOW(),_xlfn.MINIFS($B$3:$B$5000,$A$3:$A$5000,$A3812,$B$3:$B$5000,"&gt;"&amp;$B3812))</f>
        <v>46279.598764472</v>
      </c>
    </row>
    <row r="3813" customFormat="false" ht="15" hidden="false" customHeight="true" outlineLevel="0" collapsed="false">
      <c r="A3813" s="42"/>
      <c r="B3813" s="42"/>
      <c r="C3813" s="42"/>
      <c r="D3813" s="42"/>
      <c r="E3813" s="42"/>
      <c r="F3813" s="51" t="n">
        <f aca="false">IF(OR(C3813="",D3813="",E3813="",E3813=0),0,C3813*D3813/E3813)</f>
        <v>0</v>
      </c>
      <c r="G3813" s="42"/>
      <c r="H3813" s="49" t="n">
        <f aca="true">IF(OR($A3813="",_xlfn.MINIFS($B$3:$B$5000,$A$3:$A$5000,$A3813,$B$3:$B$5000,"&gt;"&amp;$B3813)=0),NOW(),_xlfn.MINIFS($B$3:$B$5000,$A$3:$A$5000,$A3813,$B$3:$B$5000,"&gt;"&amp;$B3813))</f>
        <v>46279.598764472</v>
      </c>
    </row>
    <row r="3814" customFormat="false" ht="15" hidden="false" customHeight="true" outlineLevel="0" collapsed="false">
      <c r="A3814" s="42"/>
      <c r="B3814" s="42"/>
      <c r="C3814" s="42"/>
      <c r="D3814" s="42"/>
      <c r="E3814" s="42"/>
      <c r="F3814" s="51" t="n">
        <f aca="false">IF(OR(C3814="",D3814="",E3814="",E3814=0),0,C3814*D3814/E3814)</f>
        <v>0</v>
      </c>
      <c r="G3814" s="42"/>
      <c r="H3814" s="49" t="n">
        <f aca="true">IF(OR($A3814="",_xlfn.MINIFS($B$3:$B$5000,$A$3:$A$5000,$A3814,$B$3:$B$5000,"&gt;"&amp;$B3814)=0),NOW(),_xlfn.MINIFS($B$3:$B$5000,$A$3:$A$5000,$A3814,$B$3:$B$5000,"&gt;"&amp;$B3814))</f>
        <v>46279.5987644721</v>
      </c>
    </row>
    <row r="3815" customFormat="false" ht="15" hidden="false" customHeight="true" outlineLevel="0" collapsed="false">
      <c r="A3815" s="42"/>
      <c r="B3815" s="42"/>
      <c r="C3815" s="42"/>
      <c r="D3815" s="42"/>
      <c r="E3815" s="42"/>
      <c r="F3815" s="51" t="n">
        <f aca="false">IF(OR(C3815="",D3815="",E3815="",E3815=0),0,C3815*D3815/E3815)</f>
        <v>0</v>
      </c>
      <c r="G3815" s="42"/>
      <c r="H3815" s="49" t="n">
        <f aca="true">IF(OR($A3815="",_xlfn.MINIFS($B$3:$B$5000,$A$3:$A$5000,$A3815,$B$3:$B$5000,"&gt;"&amp;$B3815)=0),NOW(),_xlfn.MINIFS($B$3:$B$5000,$A$3:$A$5000,$A3815,$B$3:$B$5000,"&gt;"&amp;$B3815))</f>
        <v>46279.5987644721</v>
      </c>
    </row>
    <row r="3816" customFormat="false" ht="15" hidden="false" customHeight="true" outlineLevel="0" collapsed="false">
      <c r="A3816" s="42"/>
      <c r="B3816" s="42"/>
      <c r="C3816" s="42"/>
      <c r="D3816" s="42"/>
      <c r="E3816" s="42"/>
      <c r="F3816" s="51" t="n">
        <f aca="false">IF(OR(C3816="",D3816="",E3816="",E3816=0),0,C3816*D3816/E3816)</f>
        <v>0</v>
      </c>
      <c r="G3816" s="42"/>
      <c r="H3816" s="49" t="n">
        <f aca="true">IF(OR($A3816="",_xlfn.MINIFS($B$3:$B$5000,$A$3:$A$5000,$A3816,$B$3:$B$5000,"&gt;"&amp;$B3816)=0),NOW(),_xlfn.MINIFS($B$3:$B$5000,$A$3:$A$5000,$A3816,$B$3:$B$5000,"&gt;"&amp;$B3816))</f>
        <v>46279.5987644722</v>
      </c>
    </row>
    <row r="3817" customFormat="false" ht="15" hidden="false" customHeight="true" outlineLevel="0" collapsed="false">
      <c r="A3817" s="42"/>
      <c r="B3817" s="42"/>
      <c r="C3817" s="42"/>
      <c r="D3817" s="42"/>
      <c r="E3817" s="42"/>
      <c r="F3817" s="51" t="n">
        <f aca="false">IF(OR(C3817="",D3817="",E3817="",E3817=0),0,C3817*D3817/E3817)</f>
        <v>0</v>
      </c>
      <c r="G3817" s="42"/>
      <c r="H3817" s="49" t="n">
        <f aca="true">IF(OR($A3817="",_xlfn.MINIFS($B$3:$B$5000,$A$3:$A$5000,$A3817,$B$3:$B$5000,"&gt;"&amp;$B3817)=0),NOW(),_xlfn.MINIFS($B$3:$B$5000,$A$3:$A$5000,$A3817,$B$3:$B$5000,"&gt;"&amp;$B3817))</f>
        <v>46279.5987644722</v>
      </c>
    </row>
    <row r="3818" customFormat="false" ht="15" hidden="false" customHeight="true" outlineLevel="0" collapsed="false">
      <c r="A3818" s="42"/>
      <c r="B3818" s="42"/>
      <c r="C3818" s="42"/>
      <c r="D3818" s="42"/>
      <c r="E3818" s="42"/>
      <c r="F3818" s="51" t="n">
        <f aca="false">IF(OR(C3818="",D3818="",E3818="",E3818=0),0,C3818*D3818/E3818)</f>
        <v>0</v>
      </c>
      <c r="G3818" s="42"/>
      <c r="H3818" s="49" t="n">
        <f aca="true">IF(OR($A3818="",_xlfn.MINIFS($B$3:$B$5000,$A$3:$A$5000,$A3818,$B$3:$B$5000,"&gt;"&amp;$B3818)=0),NOW(),_xlfn.MINIFS($B$3:$B$5000,$A$3:$A$5000,$A3818,$B$3:$B$5000,"&gt;"&amp;$B3818))</f>
        <v>46279.5987644723</v>
      </c>
    </row>
    <row r="3819" customFormat="false" ht="15" hidden="false" customHeight="true" outlineLevel="0" collapsed="false">
      <c r="A3819" s="42"/>
      <c r="B3819" s="42"/>
      <c r="C3819" s="42"/>
      <c r="D3819" s="42"/>
      <c r="E3819" s="42"/>
      <c r="F3819" s="51" t="n">
        <f aca="false">IF(OR(C3819="",D3819="",E3819="",E3819=0),0,C3819*D3819/E3819)</f>
        <v>0</v>
      </c>
      <c r="G3819" s="42"/>
      <c r="H3819" s="49" t="n">
        <f aca="true">IF(OR($A3819="",_xlfn.MINIFS($B$3:$B$5000,$A$3:$A$5000,$A3819,$B$3:$B$5000,"&gt;"&amp;$B3819)=0),NOW(),_xlfn.MINIFS($B$3:$B$5000,$A$3:$A$5000,$A3819,$B$3:$B$5000,"&gt;"&amp;$B3819))</f>
        <v>46279.5987644723</v>
      </c>
    </row>
    <row r="3820" customFormat="false" ht="15" hidden="false" customHeight="true" outlineLevel="0" collapsed="false">
      <c r="A3820" s="42"/>
      <c r="B3820" s="42"/>
      <c r="C3820" s="42"/>
      <c r="D3820" s="42"/>
      <c r="E3820" s="42"/>
      <c r="F3820" s="51" t="n">
        <f aca="false">IF(OR(C3820="",D3820="",E3820="",E3820=0),0,C3820*D3820/E3820)</f>
        <v>0</v>
      </c>
      <c r="G3820" s="42"/>
      <c r="H3820" s="49" t="n">
        <f aca="true">IF(OR($A3820="",_xlfn.MINIFS($B$3:$B$5000,$A$3:$A$5000,$A3820,$B$3:$B$5000,"&gt;"&amp;$B3820)=0),NOW(),_xlfn.MINIFS($B$3:$B$5000,$A$3:$A$5000,$A3820,$B$3:$B$5000,"&gt;"&amp;$B3820))</f>
        <v>46279.5987644724</v>
      </c>
    </row>
    <row r="3821" customFormat="false" ht="15" hidden="false" customHeight="true" outlineLevel="0" collapsed="false">
      <c r="A3821" s="42"/>
      <c r="B3821" s="42"/>
      <c r="C3821" s="42"/>
      <c r="D3821" s="42"/>
      <c r="E3821" s="42"/>
      <c r="F3821" s="51" t="n">
        <f aca="false">IF(OR(C3821="",D3821="",E3821="",E3821=0),0,C3821*D3821/E3821)</f>
        <v>0</v>
      </c>
      <c r="G3821" s="42"/>
      <c r="H3821" s="49" t="n">
        <f aca="true">IF(OR($A3821="",_xlfn.MINIFS($B$3:$B$5000,$A$3:$A$5000,$A3821,$B$3:$B$5000,"&gt;"&amp;$B3821)=0),NOW(),_xlfn.MINIFS($B$3:$B$5000,$A$3:$A$5000,$A3821,$B$3:$B$5000,"&gt;"&amp;$B3821))</f>
        <v>46279.5987644724</v>
      </c>
    </row>
    <row r="3822" customFormat="false" ht="15" hidden="false" customHeight="true" outlineLevel="0" collapsed="false">
      <c r="A3822" s="42"/>
      <c r="B3822" s="42"/>
      <c r="C3822" s="42"/>
      <c r="D3822" s="42"/>
      <c r="E3822" s="42"/>
      <c r="F3822" s="51" t="n">
        <f aca="false">IF(OR(C3822="",D3822="",E3822="",E3822=0),0,C3822*D3822/E3822)</f>
        <v>0</v>
      </c>
      <c r="G3822" s="42"/>
      <c r="H3822" s="49" t="n">
        <f aca="true">IF(OR($A3822="",_xlfn.MINIFS($B$3:$B$5000,$A$3:$A$5000,$A3822,$B$3:$B$5000,"&gt;"&amp;$B3822)=0),NOW(),_xlfn.MINIFS($B$3:$B$5000,$A$3:$A$5000,$A3822,$B$3:$B$5000,"&gt;"&amp;$B3822))</f>
        <v>46279.5987644725</v>
      </c>
    </row>
    <row r="3823" customFormat="false" ht="15" hidden="false" customHeight="true" outlineLevel="0" collapsed="false">
      <c r="A3823" s="42"/>
      <c r="B3823" s="42"/>
      <c r="C3823" s="42"/>
      <c r="D3823" s="42"/>
      <c r="E3823" s="42"/>
      <c r="F3823" s="51" t="n">
        <f aca="false">IF(OR(C3823="",D3823="",E3823="",E3823=0),0,C3823*D3823/E3823)</f>
        <v>0</v>
      </c>
      <c r="G3823" s="42"/>
      <c r="H3823" s="49" t="n">
        <f aca="true">IF(OR($A3823="",_xlfn.MINIFS($B$3:$B$5000,$A$3:$A$5000,$A3823,$B$3:$B$5000,"&gt;"&amp;$B3823)=0),NOW(),_xlfn.MINIFS($B$3:$B$5000,$A$3:$A$5000,$A3823,$B$3:$B$5000,"&gt;"&amp;$B3823))</f>
        <v>46279.5987644725</v>
      </c>
    </row>
    <row r="3824" customFormat="false" ht="15" hidden="false" customHeight="true" outlineLevel="0" collapsed="false">
      <c r="A3824" s="42"/>
      <c r="B3824" s="42"/>
      <c r="C3824" s="42"/>
      <c r="D3824" s="42"/>
      <c r="E3824" s="42"/>
      <c r="F3824" s="51" t="n">
        <f aca="false">IF(OR(C3824="",D3824="",E3824="",E3824=0),0,C3824*D3824/E3824)</f>
        <v>0</v>
      </c>
      <c r="G3824" s="42"/>
      <c r="H3824" s="49" t="n">
        <f aca="true">IF(OR($A3824="",_xlfn.MINIFS($B$3:$B$5000,$A$3:$A$5000,$A3824,$B$3:$B$5000,"&gt;"&amp;$B3824)=0),NOW(),_xlfn.MINIFS($B$3:$B$5000,$A$3:$A$5000,$A3824,$B$3:$B$5000,"&gt;"&amp;$B3824))</f>
        <v>46279.5987644726</v>
      </c>
    </row>
    <row r="3825" customFormat="false" ht="15" hidden="false" customHeight="true" outlineLevel="0" collapsed="false">
      <c r="A3825" s="42"/>
      <c r="B3825" s="42"/>
      <c r="C3825" s="42"/>
      <c r="D3825" s="42"/>
      <c r="E3825" s="42"/>
      <c r="F3825" s="51" t="n">
        <f aca="false">IF(OR(C3825="",D3825="",E3825="",E3825=0),0,C3825*D3825/E3825)</f>
        <v>0</v>
      </c>
      <c r="G3825" s="42"/>
      <c r="H3825" s="49" t="n">
        <f aca="true">IF(OR($A3825="",_xlfn.MINIFS($B$3:$B$5000,$A$3:$A$5000,$A3825,$B$3:$B$5000,"&gt;"&amp;$B3825)=0),NOW(),_xlfn.MINIFS($B$3:$B$5000,$A$3:$A$5000,$A3825,$B$3:$B$5000,"&gt;"&amp;$B3825))</f>
        <v>46279.5987644726</v>
      </c>
    </row>
    <row r="3826" customFormat="false" ht="15" hidden="false" customHeight="true" outlineLevel="0" collapsed="false">
      <c r="A3826" s="42"/>
      <c r="B3826" s="42"/>
      <c r="C3826" s="42"/>
      <c r="D3826" s="42"/>
      <c r="E3826" s="42"/>
      <c r="F3826" s="51" t="n">
        <f aca="false">IF(OR(C3826="",D3826="",E3826="",E3826=0),0,C3826*D3826/E3826)</f>
        <v>0</v>
      </c>
      <c r="G3826" s="42"/>
      <c r="H3826" s="49" t="n">
        <f aca="true">IF(OR($A3826="",_xlfn.MINIFS($B$3:$B$5000,$A$3:$A$5000,$A3826,$B$3:$B$5000,"&gt;"&amp;$B3826)=0),NOW(),_xlfn.MINIFS($B$3:$B$5000,$A$3:$A$5000,$A3826,$B$3:$B$5000,"&gt;"&amp;$B3826))</f>
        <v>46279.5987644727</v>
      </c>
    </row>
    <row r="3827" customFormat="false" ht="15" hidden="false" customHeight="true" outlineLevel="0" collapsed="false">
      <c r="A3827" s="42"/>
      <c r="B3827" s="42"/>
      <c r="C3827" s="42"/>
      <c r="D3827" s="42"/>
      <c r="E3827" s="42"/>
      <c r="F3827" s="51" t="n">
        <f aca="false">IF(OR(C3827="",D3827="",E3827="",E3827=0),0,C3827*D3827/E3827)</f>
        <v>0</v>
      </c>
      <c r="G3827" s="42"/>
      <c r="H3827" s="49" t="n">
        <f aca="true">IF(OR($A3827="",_xlfn.MINIFS($B$3:$B$5000,$A$3:$A$5000,$A3827,$B$3:$B$5000,"&gt;"&amp;$B3827)=0),NOW(),_xlfn.MINIFS($B$3:$B$5000,$A$3:$A$5000,$A3827,$B$3:$B$5000,"&gt;"&amp;$B3827))</f>
        <v>46279.5987644727</v>
      </c>
    </row>
    <row r="3828" customFormat="false" ht="15" hidden="false" customHeight="true" outlineLevel="0" collapsed="false">
      <c r="A3828" s="42"/>
      <c r="B3828" s="42"/>
      <c r="C3828" s="42"/>
      <c r="D3828" s="42"/>
      <c r="E3828" s="42"/>
      <c r="F3828" s="51" t="n">
        <f aca="false">IF(OR(C3828="",D3828="",E3828="",E3828=0),0,C3828*D3828/E3828)</f>
        <v>0</v>
      </c>
      <c r="G3828" s="42"/>
      <c r="H3828" s="49" t="n">
        <f aca="true">IF(OR($A3828="",_xlfn.MINIFS($B$3:$B$5000,$A$3:$A$5000,$A3828,$B$3:$B$5000,"&gt;"&amp;$B3828)=0),NOW(),_xlfn.MINIFS($B$3:$B$5000,$A$3:$A$5000,$A3828,$B$3:$B$5000,"&gt;"&amp;$B3828))</f>
        <v>46279.5987644728</v>
      </c>
    </row>
    <row r="3829" customFormat="false" ht="15" hidden="false" customHeight="true" outlineLevel="0" collapsed="false">
      <c r="A3829" s="42"/>
      <c r="B3829" s="42"/>
      <c r="C3829" s="42"/>
      <c r="D3829" s="42"/>
      <c r="E3829" s="42"/>
      <c r="F3829" s="51" t="n">
        <f aca="false">IF(OR(C3829="",D3829="",E3829="",E3829=0),0,C3829*D3829/E3829)</f>
        <v>0</v>
      </c>
      <c r="G3829" s="42"/>
      <c r="H3829" s="49" t="n">
        <f aca="true">IF(OR($A3829="",_xlfn.MINIFS($B$3:$B$5000,$A$3:$A$5000,$A3829,$B$3:$B$5000,"&gt;"&amp;$B3829)=0),NOW(),_xlfn.MINIFS($B$3:$B$5000,$A$3:$A$5000,$A3829,$B$3:$B$5000,"&gt;"&amp;$B3829))</f>
        <v>46279.5987644728</v>
      </c>
    </row>
    <row r="3830" customFormat="false" ht="15" hidden="false" customHeight="true" outlineLevel="0" collapsed="false">
      <c r="A3830" s="42"/>
      <c r="B3830" s="42"/>
      <c r="C3830" s="42"/>
      <c r="D3830" s="42"/>
      <c r="E3830" s="42"/>
      <c r="F3830" s="51" t="n">
        <f aca="false">IF(OR(C3830="",D3830="",E3830="",E3830=0),0,C3830*D3830/E3830)</f>
        <v>0</v>
      </c>
      <c r="G3830" s="42"/>
      <c r="H3830" s="49" t="n">
        <f aca="true">IF(OR($A3830="",_xlfn.MINIFS($B$3:$B$5000,$A$3:$A$5000,$A3830,$B$3:$B$5000,"&gt;"&amp;$B3830)=0),NOW(),_xlfn.MINIFS($B$3:$B$5000,$A$3:$A$5000,$A3830,$B$3:$B$5000,"&gt;"&amp;$B3830))</f>
        <v>46279.5987644729</v>
      </c>
    </row>
    <row r="3831" customFormat="false" ht="15" hidden="false" customHeight="true" outlineLevel="0" collapsed="false">
      <c r="A3831" s="42"/>
      <c r="B3831" s="42"/>
      <c r="C3831" s="42"/>
      <c r="D3831" s="42"/>
      <c r="E3831" s="42"/>
      <c r="F3831" s="51" t="n">
        <f aca="false">IF(OR(C3831="",D3831="",E3831="",E3831=0),0,C3831*D3831/E3831)</f>
        <v>0</v>
      </c>
      <c r="G3831" s="42"/>
      <c r="H3831" s="49" t="n">
        <f aca="true">IF(OR($A3831="",_xlfn.MINIFS($B$3:$B$5000,$A$3:$A$5000,$A3831,$B$3:$B$5000,"&gt;"&amp;$B3831)=0),NOW(),_xlfn.MINIFS($B$3:$B$5000,$A$3:$A$5000,$A3831,$B$3:$B$5000,"&gt;"&amp;$B3831))</f>
        <v>46279.5987644729</v>
      </c>
    </row>
    <row r="3832" customFormat="false" ht="15" hidden="false" customHeight="true" outlineLevel="0" collapsed="false">
      <c r="A3832" s="42"/>
      <c r="B3832" s="42"/>
      <c r="C3832" s="42"/>
      <c r="D3832" s="42"/>
      <c r="E3832" s="42"/>
      <c r="F3832" s="51" t="n">
        <f aca="false">IF(OR(C3832="",D3832="",E3832="",E3832=0),0,C3832*D3832/E3832)</f>
        <v>0</v>
      </c>
      <c r="G3832" s="42"/>
      <c r="H3832" s="49" t="n">
        <f aca="true">IF(OR($A3832="",_xlfn.MINIFS($B$3:$B$5000,$A$3:$A$5000,$A3832,$B$3:$B$5000,"&gt;"&amp;$B3832)=0),NOW(),_xlfn.MINIFS($B$3:$B$5000,$A$3:$A$5000,$A3832,$B$3:$B$5000,"&gt;"&amp;$B3832))</f>
        <v>46279.598764473</v>
      </c>
    </row>
    <row r="3833" customFormat="false" ht="15" hidden="false" customHeight="true" outlineLevel="0" collapsed="false">
      <c r="A3833" s="42"/>
      <c r="B3833" s="42"/>
      <c r="C3833" s="42"/>
      <c r="D3833" s="42"/>
      <c r="E3833" s="42"/>
      <c r="F3833" s="51" t="n">
        <f aca="false">IF(OR(C3833="",D3833="",E3833="",E3833=0),0,C3833*D3833/E3833)</f>
        <v>0</v>
      </c>
      <c r="G3833" s="42"/>
      <c r="H3833" s="49" t="n">
        <f aca="true">IF(OR($A3833="",_xlfn.MINIFS($B$3:$B$5000,$A$3:$A$5000,$A3833,$B$3:$B$5000,"&gt;"&amp;$B3833)=0),NOW(),_xlfn.MINIFS($B$3:$B$5000,$A$3:$A$5000,$A3833,$B$3:$B$5000,"&gt;"&amp;$B3833))</f>
        <v>46279.598764473</v>
      </c>
    </row>
    <row r="3834" customFormat="false" ht="15" hidden="false" customHeight="true" outlineLevel="0" collapsed="false">
      <c r="A3834" s="42"/>
      <c r="B3834" s="42"/>
      <c r="C3834" s="42"/>
      <c r="D3834" s="42"/>
      <c r="E3834" s="42"/>
      <c r="F3834" s="51" t="n">
        <f aca="false">IF(OR(C3834="",D3834="",E3834="",E3834=0),0,C3834*D3834/E3834)</f>
        <v>0</v>
      </c>
      <c r="G3834" s="42"/>
      <c r="H3834" s="49" t="n">
        <f aca="true">IF(OR($A3834="",_xlfn.MINIFS($B$3:$B$5000,$A$3:$A$5000,$A3834,$B$3:$B$5000,"&gt;"&amp;$B3834)=0),NOW(),_xlfn.MINIFS($B$3:$B$5000,$A$3:$A$5000,$A3834,$B$3:$B$5000,"&gt;"&amp;$B3834))</f>
        <v>46279.5987644731</v>
      </c>
    </row>
    <row r="3835" customFormat="false" ht="15" hidden="false" customHeight="true" outlineLevel="0" collapsed="false">
      <c r="A3835" s="42"/>
      <c r="B3835" s="42"/>
      <c r="C3835" s="42"/>
      <c r="D3835" s="42"/>
      <c r="E3835" s="42"/>
      <c r="F3835" s="51" t="n">
        <f aca="false">IF(OR(C3835="",D3835="",E3835="",E3835=0),0,C3835*D3835/E3835)</f>
        <v>0</v>
      </c>
      <c r="G3835" s="42"/>
      <c r="H3835" s="49" t="n">
        <f aca="true">IF(OR($A3835="",_xlfn.MINIFS($B$3:$B$5000,$A$3:$A$5000,$A3835,$B$3:$B$5000,"&gt;"&amp;$B3835)=0),NOW(),_xlfn.MINIFS($B$3:$B$5000,$A$3:$A$5000,$A3835,$B$3:$B$5000,"&gt;"&amp;$B3835))</f>
        <v>46279.5987644731</v>
      </c>
    </row>
    <row r="3836" customFormat="false" ht="15" hidden="false" customHeight="true" outlineLevel="0" collapsed="false">
      <c r="A3836" s="42"/>
      <c r="B3836" s="42"/>
      <c r="C3836" s="42"/>
      <c r="D3836" s="42"/>
      <c r="E3836" s="42"/>
      <c r="F3836" s="51" t="n">
        <f aca="false">IF(OR(C3836="",D3836="",E3836="",E3836=0),0,C3836*D3836/E3836)</f>
        <v>0</v>
      </c>
      <c r="G3836" s="42"/>
      <c r="H3836" s="49" t="n">
        <f aca="true">IF(OR($A3836="",_xlfn.MINIFS($B$3:$B$5000,$A$3:$A$5000,$A3836,$B$3:$B$5000,"&gt;"&amp;$B3836)=0),NOW(),_xlfn.MINIFS($B$3:$B$5000,$A$3:$A$5000,$A3836,$B$3:$B$5000,"&gt;"&amp;$B3836))</f>
        <v>46279.5987644732</v>
      </c>
    </row>
    <row r="3837" customFormat="false" ht="15" hidden="false" customHeight="true" outlineLevel="0" collapsed="false">
      <c r="A3837" s="42"/>
      <c r="B3837" s="42"/>
      <c r="C3837" s="42"/>
      <c r="D3837" s="42"/>
      <c r="E3837" s="42"/>
      <c r="F3837" s="51" t="n">
        <f aca="false">IF(OR(C3837="",D3837="",E3837="",E3837=0),0,C3837*D3837/E3837)</f>
        <v>0</v>
      </c>
      <c r="G3837" s="42"/>
      <c r="H3837" s="49" t="n">
        <f aca="true">IF(OR($A3837="",_xlfn.MINIFS($B$3:$B$5000,$A$3:$A$5000,$A3837,$B$3:$B$5000,"&gt;"&amp;$B3837)=0),NOW(),_xlfn.MINIFS($B$3:$B$5000,$A$3:$A$5000,$A3837,$B$3:$B$5000,"&gt;"&amp;$B3837))</f>
        <v>46279.5987644732</v>
      </c>
    </row>
    <row r="3838" customFormat="false" ht="15" hidden="false" customHeight="true" outlineLevel="0" collapsed="false">
      <c r="A3838" s="42"/>
      <c r="B3838" s="42"/>
      <c r="C3838" s="42"/>
      <c r="D3838" s="42"/>
      <c r="E3838" s="42"/>
      <c r="F3838" s="51" t="n">
        <f aca="false">IF(OR(C3838="",D3838="",E3838="",E3838=0),0,C3838*D3838/E3838)</f>
        <v>0</v>
      </c>
      <c r="G3838" s="42"/>
      <c r="H3838" s="49" t="n">
        <f aca="true">IF(OR($A3838="",_xlfn.MINIFS($B$3:$B$5000,$A$3:$A$5000,$A3838,$B$3:$B$5000,"&gt;"&amp;$B3838)=0),NOW(),_xlfn.MINIFS($B$3:$B$5000,$A$3:$A$5000,$A3838,$B$3:$B$5000,"&gt;"&amp;$B3838))</f>
        <v>46279.5987644733</v>
      </c>
    </row>
    <row r="3839" customFormat="false" ht="15" hidden="false" customHeight="true" outlineLevel="0" collapsed="false">
      <c r="A3839" s="42"/>
      <c r="B3839" s="42"/>
      <c r="C3839" s="42"/>
      <c r="D3839" s="42"/>
      <c r="E3839" s="42"/>
      <c r="F3839" s="51" t="n">
        <f aca="false">IF(OR(C3839="",D3839="",E3839="",E3839=0),0,C3839*D3839/E3839)</f>
        <v>0</v>
      </c>
      <c r="G3839" s="42"/>
      <c r="H3839" s="49" t="n">
        <f aca="true">IF(OR($A3839="",_xlfn.MINIFS($B$3:$B$5000,$A$3:$A$5000,$A3839,$B$3:$B$5000,"&gt;"&amp;$B3839)=0),NOW(),_xlfn.MINIFS($B$3:$B$5000,$A$3:$A$5000,$A3839,$B$3:$B$5000,"&gt;"&amp;$B3839))</f>
        <v>46279.5987644733</v>
      </c>
    </row>
    <row r="3840" customFormat="false" ht="15" hidden="false" customHeight="true" outlineLevel="0" collapsed="false">
      <c r="A3840" s="42"/>
      <c r="B3840" s="42"/>
      <c r="C3840" s="42"/>
      <c r="D3840" s="42"/>
      <c r="E3840" s="42"/>
      <c r="F3840" s="51" t="n">
        <f aca="false">IF(OR(C3840="",D3840="",E3840="",E3840=0),0,C3840*D3840/E3840)</f>
        <v>0</v>
      </c>
      <c r="G3840" s="42"/>
      <c r="H3840" s="49" t="n">
        <f aca="true">IF(OR($A3840="",_xlfn.MINIFS($B$3:$B$5000,$A$3:$A$5000,$A3840,$B$3:$B$5000,"&gt;"&amp;$B3840)=0),NOW(),_xlfn.MINIFS($B$3:$B$5000,$A$3:$A$5000,$A3840,$B$3:$B$5000,"&gt;"&amp;$B3840))</f>
        <v>46279.5987644734</v>
      </c>
    </row>
    <row r="3841" customFormat="false" ht="15" hidden="false" customHeight="true" outlineLevel="0" collapsed="false">
      <c r="A3841" s="42"/>
      <c r="B3841" s="42"/>
      <c r="C3841" s="42"/>
      <c r="D3841" s="42"/>
      <c r="E3841" s="42"/>
      <c r="F3841" s="51" t="n">
        <f aca="false">IF(OR(C3841="",D3841="",E3841="",E3841=0),0,C3841*D3841/E3841)</f>
        <v>0</v>
      </c>
      <c r="G3841" s="42"/>
      <c r="H3841" s="49" t="n">
        <f aca="true">IF(OR($A3841="",_xlfn.MINIFS($B$3:$B$5000,$A$3:$A$5000,$A3841,$B$3:$B$5000,"&gt;"&amp;$B3841)=0),NOW(),_xlfn.MINIFS($B$3:$B$5000,$A$3:$A$5000,$A3841,$B$3:$B$5000,"&gt;"&amp;$B3841))</f>
        <v>46279.5987644734</v>
      </c>
    </row>
    <row r="3842" customFormat="false" ht="15" hidden="false" customHeight="true" outlineLevel="0" collapsed="false">
      <c r="A3842" s="42"/>
      <c r="B3842" s="42"/>
      <c r="C3842" s="42"/>
      <c r="D3842" s="42"/>
      <c r="E3842" s="42"/>
      <c r="F3842" s="51" t="n">
        <f aca="false">IF(OR(C3842="",D3842="",E3842="",E3842=0),0,C3842*D3842/E3842)</f>
        <v>0</v>
      </c>
      <c r="G3842" s="42"/>
      <c r="H3842" s="49" t="n">
        <f aca="true">IF(OR($A3842="",_xlfn.MINIFS($B$3:$B$5000,$A$3:$A$5000,$A3842,$B$3:$B$5000,"&gt;"&amp;$B3842)=0),NOW(),_xlfn.MINIFS($B$3:$B$5000,$A$3:$A$5000,$A3842,$B$3:$B$5000,"&gt;"&amp;$B3842))</f>
        <v>46279.5987644735</v>
      </c>
    </row>
    <row r="3843" customFormat="false" ht="15" hidden="false" customHeight="true" outlineLevel="0" collapsed="false">
      <c r="A3843" s="42"/>
      <c r="B3843" s="42"/>
      <c r="C3843" s="42"/>
      <c r="D3843" s="42"/>
      <c r="E3843" s="42"/>
      <c r="F3843" s="51" t="n">
        <f aca="false">IF(OR(C3843="",D3843="",E3843="",E3843=0),0,C3843*D3843/E3843)</f>
        <v>0</v>
      </c>
      <c r="G3843" s="42"/>
      <c r="H3843" s="49" t="n">
        <f aca="true">IF(OR($A3843="",_xlfn.MINIFS($B$3:$B$5000,$A$3:$A$5000,$A3843,$B$3:$B$5000,"&gt;"&amp;$B3843)=0),NOW(),_xlfn.MINIFS($B$3:$B$5000,$A$3:$A$5000,$A3843,$B$3:$B$5000,"&gt;"&amp;$B3843))</f>
        <v>46279.5987644735</v>
      </c>
    </row>
    <row r="3844" customFormat="false" ht="15" hidden="false" customHeight="true" outlineLevel="0" collapsed="false">
      <c r="A3844" s="42"/>
      <c r="B3844" s="42"/>
      <c r="C3844" s="42"/>
      <c r="D3844" s="42"/>
      <c r="E3844" s="42"/>
      <c r="F3844" s="51" t="n">
        <f aca="false">IF(OR(C3844="",D3844="",E3844="",E3844=0),0,C3844*D3844/E3844)</f>
        <v>0</v>
      </c>
      <c r="G3844" s="42"/>
      <c r="H3844" s="49" t="n">
        <f aca="true">IF(OR($A3844="",_xlfn.MINIFS($B$3:$B$5000,$A$3:$A$5000,$A3844,$B$3:$B$5000,"&gt;"&amp;$B3844)=0),NOW(),_xlfn.MINIFS($B$3:$B$5000,$A$3:$A$5000,$A3844,$B$3:$B$5000,"&gt;"&amp;$B3844))</f>
        <v>46279.5987644736</v>
      </c>
    </row>
    <row r="3845" customFormat="false" ht="15" hidden="false" customHeight="true" outlineLevel="0" collapsed="false">
      <c r="A3845" s="42"/>
      <c r="B3845" s="42"/>
      <c r="C3845" s="42"/>
      <c r="D3845" s="42"/>
      <c r="E3845" s="42"/>
      <c r="F3845" s="51" t="n">
        <f aca="false">IF(OR(C3845="",D3845="",E3845="",E3845=0),0,C3845*D3845/E3845)</f>
        <v>0</v>
      </c>
      <c r="G3845" s="42"/>
      <c r="H3845" s="49" t="n">
        <f aca="true">IF(OR($A3845="",_xlfn.MINIFS($B$3:$B$5000,$A$3:$A$5000,$A3845,$B$3:$B$5000,"&gt;"&amp;$B3845)=0),NOW(),_xlfn.MINIFS($B$3:$B$5000,$A$3:$A$5000,$A3845,$B$3:$B$5000,"&gt;"&amp;$B3845))</f>
        <v>46279.5987644736</v>
      </c>
    </row>
    <row r="3846" customFormat="false" ht="15" hidden="false" customHeight="true" outlineLevel="0" collapsed="false">
      <c r="A3846" s="42"/>
      <c r="B3846" s="42"/>
      <c r="C3846" s="42"/>
      <c r="D3846" s="42"/>
      <c r="E3846" s="42"/>
      <c r="F3846" s="51" t="n">
        <f aca="false">IF(OR(C3846="",D3846="",E3846="",E3846=0),0,C3846*D3846/E3846)</f>
        <v>0</v>
      </c>
      <c r="G3846" s="42"/>
      <c r="H3846" s="49" t="n">
        <f aca="true">IF(OR($A3846="",_xlfn.MINIFS($B$3:$B$5000,$A$3:$A$5000,$A3846,$B$3:$B$5000,"&gt;"&amp;$B3846)=0),NOW(),_xlfn.MINIFS($B$3:$B$5000,$A$3:$A$5000,$A3846,$B$3:$B$5000,"&gt;"&amp;$B3846))</f>
        <v>46279.5987644737</v>
      </c>
    </row>
    <row r="3847" customFormat="false" ht="15" hidden="false" customHeight="true" outlineLevel="0" collapsed="false">
      <c r="A3847" s="42"/>
      <c r="B3847" s="42"/>
      <c r="C3847" s="42"/>
      <c r="D3847" s="42"/>
      <c r="E3847" s="42"/>
      <c r="F3847" s="51" t="n">
        <f aca="false">IF(OR(C3847="",D3847="",E3847="",E3847=0),0,C3847*D3847/E3847)</f>
        <v>0</v>
      </c>
      <c r="G3847" s="42"/>
      <c r="H3847" s="49" t="n">
        <f aca="true">IF(OR($A3847="",_xlfn.MINIFS($B$3:$B$5000,$A$3:$A$5000,$A3847,$B$3:$B$5000,"&gt;"&amp;$B3847)=0),NOW(),_xlfn.MINIFS($B$3:$B$5000,$A$3:$A$5000,$A3847,$B$3:$B$5000,"&gt;"&amp;$B3847))</f>
        <v>46279.5987644737</v>
      </c>
    </row>
    <row r="3848" customFormat="false" ht="15" hidden="false" customHeight="true" outlineLevel="0" collapsed="false">
      <c r="A3848" s="42"/>
      <c r="B3848" s="42"/>
      <c r="C3848" s="42"/>
      <c r="D3848" s="42"/>
      <c r="E3848" s="42"/>
      <c r="F3848" s="51" t="n">
        <f aca="false">IF(OR(C3848="",D3848="",E3848="",E3848=0),0,C3848*D3848/E3848)</f>
        <v>0</v>
      </c>
      <c r="G3848" s="42"/>
      <c r="H3848" s="49" t="n">
        <f aca="true">IF(OR($A3848="",_xlfn.MINIFS($B$3:$B$5000,$A$3:$A$5000,$A3848,$B$3:$B$5000,"&gt;"&amp;$B3848)=0),NOW(),_xlfn.MINIFS($B$3:$B$5000,$A$3:$A$5000,$A3848,$B$3:$B$5000,"&gt;"&amp;$B3848))</f>
        <v>46279.5987644738</v>
      </c>
    </row>
    <row r="3849" customFormat="false" ht="15" hidden="false" customHeight="true" outlineLevel="0" collapsed="false">
      <c r="A3849" s="42"/>
      <c r="B3849" s="42"/>
      <c r="C3849" s="42"/>
      <c r="D3849" s="42"/>
      <c r="E3849" s="42"/>
      <c r="F3849" s="51" t="n">
        <f aca="false">IF(OR(C3849="",D3849="",E3849="",E3849=0),0,C3849*D3849/E3849)</f>
        <v>0</v>
      </c>
      <c r="G3849" s="42"/>
      <c r="H3849" s="49" t="n">
        <f aca="true">IF(OR($A3849="",_xlfn.MINIFS($B$3:$B$5000,$A$3:$A$5000,$A3849,$B$3:$B$5000,"&gt;"&amp;$B3849)=0),NOW(),_xlfn.MINIFS($B$3:$B$5000,$A$3:$A$5000,$A3849,$B$3:$B$5000,"&gt;"&amp;$B3849))</f>
        <v>46279.5987644738</v>
      </c>
    </row>
    <row r="3850" customFormat="false" ht="15" hidden="false" customHeight="true" outlineLevel="0" collapsed="false">
      <c r="A3850" s="42"/>
      <c r="B3850" s="42"/>
      <c r="C3850" s="42"/>
      <c r="D3850" s="42"/>
      <c r="E3850" s="42"/>
      <c r="F3850" s="51" t="n">
        <f aca="false">IF(OR(C3850="",D3850="",E3850="",E3850=0),0,C3850*D3850/E3850)</f>
        <v>0</v>
      </c>
      <c r="G3850" s="42"/>
      <c r="H3850" s="49" t="n">
        <f aca="true">IF(OR($A3850="",_xlfn.MINIFS($B$3:$B$5000,$A$3:$A$5000,$A3850,$B$3:$B$5000,"&gt;"&amp;$B3850)=0),NOW(),_xlfn.MINIFS($B$3:$B$5000,$A$3:$A$5000,$A3850,$B$3:$B$5000,"&gt;"&amp;$B3850))</f>
        <v>46279.5987644739</v>
      </c>
    </row>
    <row r="3851" customFormat="false" ht="15" hidden="false" customHeight="true" outlineLevel="0" collapsed="false">
      <c r="A3851" s="42"/>
      <c r="B3851" s="42"/>
      <c r="C3851" s="42"/>
      <c r="D3851" s="42"/>
      <c r="E3851" s="42"/>
      <c r="F3851" s="51" t="n">
        <f aca="false">IF(OR(C3851="",D3851="",E3851="",E3851=0),0,C3851*D3851/E3851)</f>
        <v>0</v>
      </c>
      <c r="G3851" s="42"/>
      <c r="H3851" s="49" t="n">
        <f aca="true">IF(OR($A3851="",_xlfn.MINIFS($B$3:$B$5000,$A$3:$A$5000,$A3851,$B$3:$B$5000,"&gt;"&amp;$B3851)=0),NOW(),_xlfn.MINIFS($B$3:$B$5000,$A$3:$A$5000,$A3851,$B$3:$B$5000,"&gt;"&amp;$B3851))</f>
        <v>46279.5987644739</v>
      </c>
    </row>
    <row r="3852" customFormat="false" ht="15" hidden="false" customHeight="true" outlineLevel="0" collapsed="false">
      <c r="A3852" s="42"/>
      <c r="B3852" s="42"/>
      <c r="C3852" s="42"/>
      <c r="D3852" s="42"/>
      <c r="E3852" s="42"/>
      <c r="F3852" s="51" t="n">
        <f aca="false">IF(OR(C3852="",D3852="",E3852="",E3852=0),0,C3852*D3852/E3852)</f>
        <v>0</v>
      </c>
      <c r="G3852" s="42"/>
      <c r="H3852" s="49" t="n">
        <f aca="true">IF(OR($A3852="",_xlfn.MINIFS($B$3:$B$5000,$A$3:$A$5000,$A3852,$B$3:$B$5000,"&gt;"&amp;$B3852)=0),NOW(),_xlfn.MINIFS($B$3:$B$5000,$A$3:$A$5000,$A3852,$B$3:$B$5000,"&gt;"&amp;$B3852))</f>
        <v>46279.598764474</v>
      </c>
    </row>
    <row r="3853" customFormat="false" ht="15" hidden="false" customHeight="true" outlineLevel="0" collapsed="false">
      <c r="A3853" s="42"/>
      <c r="B3853" s="42"/>
      <c r="C3853" s="42"/>
      <c r="D3853" s="42"/>
      <c r="E3853" s="42"/>
      <c r="F3853" s="51" t="n">
        <f aca="false">IF(OR(C3853="",D3853="",E3853="",E3853=0),0,C3853*D3853/E3853)</f>
        <v>0</v>
      </c>
      <c r="G3853" s="42"/>
      <c r="H3853" s="49" t="n">
        <f aca="true">IF(OR($A3853="",_xlfn.MINIFS($B$3:$B$5000,$A$3:$A$5000,$A3853,$B$3:$B$5000,"&gt;"&amp;$B3853)=0),NOW(),_xlfn.MINIFS($B$3:$B$5000,$A$3:$A$5000,$A3853,$B$3:$B$5000,"&gt;"&amp;$B3853))</f>
        <v>46279.598764474</v>
      </c>
    </row>
    <row r="3854" customFormat="false" ht="15" hidden="false" customHeight="true" outlineLevel="0" collapsed="false">
      <c r="A3854" s="42"/>
      <c r="B3854" s="42"/>
      <c r="C3854" s="42"/>
      <c r="D3854" s="42"/>
      <c r="E3854" s="42"/>
      <c r="F3854" s="51" t="n">
        <f aca="false">IF(OR(C3854="",D3854="",E3854="",E3854=0),0,C3854*D3854/E3854)</f>
        <v>0</v>
      </c>
      <c r="G3854" s="42"/>
      <c r="H3854" s="49" t="n">
        <f aca="true">IF(OR($A3854="",_xlfn.MINIFS($B$3:$B$5000,$A$3:$A$5000,$A3854,$B$3:$B$5000,"&gt;"&amp;$B3854)=0),NOW(),_xlfn.MINIFS($B$3:$B$5000,$A$3:$A$5000,$A3854,$B$3:$B$5000,"&gt;"&amp;$B3854))</f>
        <v>46279.5987644741</v>
      </c>
    </row>
    <row r="3855" customFormat="false" ht="15" hidden="false" customHeight="true" outlineLevel="0" collapsed="false">
      <c r="A3855" s="42"/>
      <c r="B3855" s="42"/>
      <c r="C3855" s="42"/>
      <c r="D3855" s="42"/>
      <c r="E3855" s="42"/>
      <c r="F3855" s="51" t="n">
        <f aca="false">IF(OR(C3855="",D3855="",E3855="",E3855=0),0,C3855*D3855/E3855)</f>
        <v>0</v>
      </c>
      <c r="G3855" s="42"/>
      <c r="H3855" s="49" t="n">
        <f aca="true">IF(OR($A3855="",_xlfn.MINIFS($B$3:$B$5000,$A$3:$A$5000,$A3855,$B$3:$B$5000,"&gt;"&amp;$B3855)=0),NOW(),_xlfn.MINIFS($B$3:$B$5000,$A$3:$A$5000,$A3855,$B$3:$B$5000,"&gt;"&amp;$B3855))</f>
        <v>46279.5987644741</v>
      </c>
    </row>
    <row r="3856" customFormat="false" ht="15" hidden="false" customHeight="true" outlineLevel="0" collapsed="false">
      <c r="A3856" s="42"/>
      <c r="B3856" s="42"/>
      <c r="C3856" s="42"/>
      <c r="D3856" s="42"/>
      <c r="E3856" s="42"/>
      <c r="F3856" s="51" t="n">
        <f aca="false">IF(OR(C3856="",D3856="",E3856="",E3856=0),0,C3856*D3856/E3856)</f>
        <v>0</v>
      </c>
      <c r="G3856" s="42"/>
      <c r="H3856" s="49" t="n">
        <f aca="true">IF(OR($A3856="",_xlfn.MINIFS($B$3:$B$5000,$A$3:$A$5000,$A3856,$B$3:$B$5000,"&gt;"&amp;$B3856)=0),NOW(),_xlfn.MINIFS($B$3:$B$5000,$A$3:$A$5000,$A3856,$B$3:$B$5000,"&gt;"&amp;$B3856))</f>
        <v>46279.5987644742</v>
      </c>
    </row>
    <row r="3857" customFormat="false" ht="15" hidden="false" customHeight="true" outlineLevel="0" collapsed="false">
      <c r="A3857" s="42"/>
      <c r="B3857" s="42"/>
      <c r="C3857" s="42"/>
      <c r="D3857" s="42"/>
      <c r="E3857" s="42"/>
      <c r="F3857" s="51" t="n">
        <f aca="false">IF(OR(C3857="",D3857="",E3857="",E3857=0),0,C3857*D3857/E3857)</f>
        <v>0</v>
      </c>
      <c r="G3857" s="42"/>
      <c r="H3857" s="49" t="n">
        <f aca="true">IF(OR($A3857="",_xlfn.MINIFS($B$3:$B$5000,$A$3:$A$5000,$A3857,$B$3:$B$5000,"&gt;"&amp;$B3857)=0),NOW(),_xlfn.MINIFS($B$3:$B$5000,$A$3:$A$5000,$A3857,$B$3:$B$5000,"&gt;"&amp;$B3857))</f>
        <v>46279.5987644742</v>
      </c>
    </row>
    <row r="3858" customFormat="false" ht="15" hidden="false" customHeight="true" outlineLevel="0" collapsed="false">
      <c r="A3858" s="42"/>
      <c r="B3858" s="42"/>
      <c r="C3858" s="42"/>
      <c r="D3858" s="42"/>
      <c r="E3858" s="42"/>
      <c r="F3858" s="51" t="n">
        <f aca="false">IF(OR(C3858="",D3858="",E3858="",E3858=0),0,C3858*D3858/E3858)</f>
        <v>0</v>
      </c>
      <c r="G3858" s="42"/>
      <c r="H3858" s="49" t="n">
        <f aca="true">IF(OR($A3858="",_xlfn.MINIFS($B$3:$B$5000,$A$3:$A$5000,$A3858,$B$3:$B$5000,"&gt;"&amp;$B3858)=0),NOW(),_xlfn.MINIFS($B$3:$B$5000,$A$3:$A$5000,$A3858,$B$3:$B$5000,"&gt;"&amp;$B3858))</f>
        <v>46279.5987644743</v>
      </c>
    </row>
    <row r="3859" customFormat="false" ht="15" hidden="false" customHeight="true" outlineLevel="0" collapsed="false">
      <c r="A3859" s="42"/>
      <c r="B3859" s="42"/>
      <c r="C3859" s="42"/>
      <c r="D3859" s="42"/>
      <c r="E3859" s="42"/>
      <c r="F3859" s="51" t="n">
        <f aca="false">IF(OR(C3859="",D3859="",E3859="",E3859=0),0,C3859*D3859/E3859)</f>
        <v>0</v>
      </c>
      <c r="G3859" s="42"/>
      <c r="H3859" s="49" t="n">
        <f aca="true">IF(OR($A3859="",_xlfn.MINIFS($B$3:$B$5000,$A$3:$A$5000,$A3859,$B$3:$B$5000,"&gt;"&amp;$B3859)=0),NOW(),_xlfn.MINIFS($B$3:$B$5000,$A$3:$A$5000,$A3859,$B$3:$B$5000,"&gt;"&amp;$B3859))</f>
        <v>46279.5987644743</v>
      </c>
    </row>
    <row r="3860" customFormat="false" ht="15" hidden="false" customHeight="true" outlineLevel="0" collapsed="false">
      <c r="A3860" s="42"/>
      <c r="B3860" s="42"/>
      <c r="C3860" s="42"/>
      <c r="D3860" s="42"/>
      <c r="E3860" s="42"/>
      <c r="F3860" s="51" t="n">
        <f aca="false">IF(OR(C3860="",D3860="",E3860="",E3860=0),0,C3860*D3860/E3860)</f>
        <v>0</v>
      </c>
      <c r="G3860" s="42"/>
      <c r="H3860" s="49" t="n">
        <f aca="true">IF(OR($A3860="",_xlfn.MINIFS($B$3:$B$5000,$A$3:$A$5000,$A3860,$B$3:$B$5000,"&gt;"&amp;$B3860)=0),NOW(),_xlfn.MINIFS($B$3:$B$5000,$A$3:$A$5000,$A3860,$B$3:$B$5000,"&gt;"&amp;$B3860))</f>
        <v>46279.5987644744</v>
      </c>
    </row>
    <row r="3861" customFormat="false" ht="15" hidden="false" customHeight="true" outlineLevel="0" collapsed="false">
      <c r="A3861" s="42"/>
      <c r="B3861" s="42"/>
      <c r="C3861" s="42"/>
      <c r="D3861" s="42"/>
      <c r="E3861" s="42"/>
      <c r="F3861" s="51" t="n">
        <f aca="false">IF(OR(C3861="",D3861="",E3861="",E3861=0),0,C3861*D3861/E3861)</f>
        <v>0</v>
      </c>
      <c r="G3861" s="42"/>
      <c r="H3861" s="49" t="n">
        <f aca="true">IF(OR($A3861="",_xlfn.MINIFS($B$3:$B$5000,$A$3:$A$5000,$A3861,$B$3:$B$5000,"&gt;"&amp;$B3861)=0),NOW(),_xlfn.MINIFS($B$3:$B$5000,$A$3:$A$5000,$A3861,$B$3:$B$5000,"&gt;"&amp;$B3861))</f>
        <v>46279.5987644744</v>
      </c>
    </row>
    <row r="3862" customFormat="false" ht="15" hidden="false" customHeight="true" outlineLevel="0" collapsed="false">
      <c r="A3862" s="42"/>
      <c r="B3862" s="42"/>
      <c r="C3862" s="42"/>
      <c r="D3862" s="42"/>
      <c r="E3862" s="42"/>
      <c r="F3862" s="51" t="n">
        <f aca="false">IF(OR(C3862="",D3862="",E3862="",E3862=0),0,C3862*D3862/E3862)</f>
        <v>0</v>
      </c>
      <c r="G3862" s="42"/>
      <c r="H3862" s="49" t="n">
        <f aca="true">IF(OR($A3862="",_xlfn.MINIFS($B$3:$B$5000,$A$3:$A$5000,$A3862,$B$3:$B$5000,"&gt;"&amp;$B3862)=0),NOW(),_xlfn.MINIFS($B$3:$B$5000,$A$3:$A$5000,$A3862,$B$3:$B$5000,"&gt;"&amp;$B3862))</f>
        <v>46279.5987644745</v>
      </c>
    </row>
    <row r="3863" customFormat="false" ht="15" hidden="false" customHeight="true" outlineLevel="0" collapsed="false">
      <c r="A3863" s="42"/>
      <c r="B3863" s="42"/>
      <c r="C3863" s="42"/>
      <c r="D3863" s="42"/>
      <c r="E3863" s="42"/>
      <c r="F3863" s="51" t="n">
        <f aca="false">IF(OR(C3863="",D3863="",E3863="",E3863=0),0,C3863*D3863/E3863)</f>
        <v>0</v>
      </c>
      <c r="G3863" s="42"/>
      <c r="H3863" s="49" t="n">
        <f aca="true">IF(OR($A3863="",_xlfn.MINIFS($B$3:$B$5000,$A$3:$A$5000,$A3863,$B$3:$B$5000,"&gt;"&amp;$B3863)=0),NOW(),_xlfn.MINIFS($B$3:$B$5000,$A$3:$A$5000,$A3863,$B$3:$B$5000,"&gt;"&amp;$B3863))</f>
        <v>46279.5987644745</v>
      </c>
    </row>
    <row r="3864" customFormat="false" ht="15" hidden="false" customHeight="true" outlineLevel="0" collapsed="false">
      <c r="A3864" s="42"/>
      <c r="B3864" s="42"/>
      <c r="C3864" s="42"/>
      <c r="D3864" s="42"/>
      <c r="E3864" s="42"/>
      <c r="F3864" s="51" t="n">
        <f aca="false">IF(OR(C3864="",D3864="",E3864="",E3864=0),0,C3864*D3864/E3864)</f>
        <v>0</v>
      </c>
      <c r="G3864" s="42"/>
      <c r="H3864" s="49" t="n">
        <f aca="true">IF(OR($A3864="",_xlfn.MINIFS($B$3:$B$5000,$A$3:$A$5000,$A3864,$B$3:$B$5000,"&gt;"&amp;$B3864)=0),NOW(),_xlfn.MINIFS($B$3:$B$5000,$A$3:$A$5000,$A3864,$B$3:$B$5000,"&gt;"&amp;$B3864))</f>
        <v>46279.5987644746</v>
      </c>
    </row>
    <row r="3865" customFormat="false" ht="15" hidden="false" customHeight="true" outlineLevel="0" collapsed="false">
      <c r="A3865" s="42"/>
      <c r="B3865" s="42"/>
      <c r="C3865" s="42"/>
      <c r="D3865" s="42"/>
      <c r="E3865" s="42"/>
      <c r="F3865" s="51" t="n">
        <f aca="false">IF(OR(C3865="",D3865="",E3865="",E3865=0),0,C3865*D3865/E3865)</f>
        <v>0</v>
      </c>
      <c r="G3865" s="42"/>
      <c r="H3865" s="49" t="n">
        <f aca="true">IF(OR($A3865="",_xlfn.MINIFS($B$3:$B$5000,$A$3:$A$5000,$A3865,$B$3:$B$5000,"&gt;"&amp;$B3865)=0),NOW(),_xlfn.MINIFS($B$3:$B$5000,$A$3:$A$5000,$A3865,$B$3:$B$5000,"&gt;"&amp;$B3865))</f>
        <v>46279.5987644746</v>
      </c>
    </row>
    <row r="3866" customFormat="false" ht="15" hidden="false" customHeight="true" outlineLevel="0" collapsed="false">
      <c r="A3866" s="42"/>
      <c r="B3866" s="42"/>
      <c r="C3866" s="42"/>
      <c r="D3866" s="42"/>
      <c r="E3866" s="42"/>
      <c r="F3866" s="51" t="n">
        <f aca="false">IF(OR(C3866="",D3866="",E3866="",E3866=0),0,C3866*D3866/E3866)</f>
        <v>0</v>
      </c>
      <c r="G3866" s="42"/>
      <c r="H3866" s="49" t="n">
        <f aca="true">IF(OR($A3866="",_xlfn.MINIFS($B$3:$B$5000,$A$3:$A$5000,$A3866,$B$3:$B$5000,"&gt;"&amp;$B3866)=0),NOW(),_xlfn.MINIFS($B$3:$B$5000,$A$3:$A$5000,$A3866,$B$3:$B$5000,"&gt;"&amp;$B3866))</f>
        <v>46279.5987644747</v>
      </c>
    </row>
    <row r="3867" customFormat="false" ht="15" hidden="false" customHeight="true" outlineLevel="0" collapsed="false">
      <c r="A3867" s="42"/>
      <c r="B3867" s="42"/>
      <c r="C3867" s="42"/>
      <c r="D3867" s="42"/>
      <c r="E3867" s="42"/>
      <c r="F3867" s="51" t="n">
        <f aca="false">IF(OR(C3867="",D3867="",E3867="",E3867=0),0,C3867*D3867/E3867)</f>
        <v>0</v>
      </c>
      <c r="G3867" s="42"/>
      <c r="H3867" s="49" t="n">
        <f aca="true">IF(OR($A3867="",_xlfn.MINIFS($B$3:$B$5000,$A$3:$A$5000,$A3867,$B$3:$B$5000,"&gt;"&amp;$B3867)=0),NOW(),_xlfn.MINIFS($B$3:$B$5000,$A$3:$A$5000,$A3867,$B$3:$B$5000,"&gt;"&amp;$B3867))</f>
        <v>46279.5987644747</v>
      </c>
    </row>
    <row r="3868" customFormat="false" ht="15" hidden="false" customHeight="true" outlineLevel="0" collapsed="false">
      <c r="A3868" s="42"/>
      <c r="B3868" s="42"/>
      <c r="C3868" s="42"/>
      <c r="D3868" s="42"/>
      <c r="E3868" s="42"/>
      <c r="F3868" s="51" t="n">
        <f aca="false">IF(OR(C3868="",D3868="",E3868="",E3868=0),0,C3868*D3868/E3868)</f>
        <v>0</v>
      </c>
      <c r="G3868" s="42"/>
      <c r="H3868" s="49" t="n">
        <f aca="true">IF(OR($A3868="",_xlfn.MINIFS($B$3:$B$5000,$A$3:$A$5000,$A3868,$B$3:$B$5000,"&gt;"&amp;$B3868)=0),NOW(),_xlfn.MINIFS($B$3:$B$5000,$A$3:$A$5000,$A3868,$B$3:$B$5000,"&gt;"&amp;$B3868))</f>
        <v>46279.5987644748</v>
      </c>
    </row>
    <row r="3869" customFormat="false" ht="15" hidden="false" customHeight="true" outlineLevel="0" collapsed="false">
      <c r="A3869" s="42"/>
      <c r="B3869" s="42"/>
      <c r="C3869" s="42"/>
      <c r="D3869" s="42"/>
      <c r="E3869" s="42"/>
      <c r="F3869" s="51" t="n">
        <f aca="false">IF(OR(C3869="",D3869="",E3869="",E3869=0),0,C3869*D3869/E3869)</f>
        <v>0</v>
      </c>
      <c r="G3869" s="42"/>
      <c r="H3869" s="49" t="n">
        <f aca="true">IF(OR($A3869="",_xlfn.MINIFS($B$3:$B$5000,$A$3:$A$5000,$A3869,$B$3:$B$5000,"&gt;"&amp;$B3869)=0),NOW(),_xlfn.MINIFS($B$3:$B$5000,$A$3:$A$5000,$A3869,$B$3:$B$5000,"&gt;"&amp;$B3869))</f>
        <v>46279.5987644748</v>
      </c>
    </row>
    <row r="3870" customFormat="false" ht="15" hidden="false" customHeight="true" outlineLevel="0" collapsed="false">
      <c r="A3870" s="42"/>
      <c r="B3870" s="42"/>
      <c r="C3870" s="42"/>
      <c r="D3870" s="42"/>
      <c r="E3870" s="42"/>
      <c r="F3870" s="51" t="n">
        <f aca="false">IF(OR(C3870="",D3870="",E3870="",E3870=0),0,C3870*D3870/E3870)</f>
        <v>0</v>
      </c>
      <c r="G3870" s="42"/>
      <c r="H3870" s="49" t="n">
        <f aca="true">IF(OR($A3870="",_xlfn.MINIFS($B$3:$B$5000,$A$3:$A$5000,$A3870,$B$3:$B$5000,"&gt;"&amp;$B3870)=0),NOW(),_xlfn.MINIFS($B$3:$B$5000,$A$3:$A$5000,$A3870,$B$3:$B$5000,"&gt;"&amp;$B3870))</f>
        <v>46279.5987644749</v>
      </c>
    </row>
    <row r="3871" customFormat="false" ht="15" hidden="false" customHeight="true" outlineLevel="0" collapsed="false">
      <c r="A3871" s="42"/>
      <c r="B3871" s="42"/>
      <c r="C3871" s="42"/>
      <c r="D3871" s="42"/>
      <c r="E3871" s="42"/>
      <c r="F3871" s="51" t="n">
        <f aca="false">IF(OR(C3871="",D3871="",E3871="",E3871=0),0,C3871*D3871/E3871)</f>
        <v>0</v>
      </c>
      <c r="G3871" s="42"/>
      <c r="H3871" s="49" t="n">
        <f aca="true">IF(OR($A3871="",_xlfn.MINIFS($B$3:$B$5000,$A$3:$A$5000,$A3871,$B$3:$B$5000,"&gt;"&amp;$B3871)=0),NOW(),_xlfn.MINIFS($B$3:$B$5000,$A$3:$A$5000,$A3871,$B$3:$B$5000,"&gt;"&amp;$B3871))</f>
        <v>46279.5987644749</v>
      </c>
    </row>
    <row r="3872" customFormat="false" ht="15" hidden="false" customHeight="true" outlineLevel="0" collapsed="false">
      <c r="A3872" s="42"/>
      <c r="B3872" s="42"/>
      <c r="C3872" s="42"/>
      <c r="D3872" s="42"/>
      <c r="E3872" s="42"/>
      <c r="F3872" s="51" t="n">
        <f aca="false">IF(OR(C3872="",D3872="",E3872="",E3872=0),0,C3872*D3872/E3872)</f>
        <v>0</v>
      </c>
      <c r="G3872" s="42"/>
      <c r="H3872" s="49" t="n">
        <f aca="true">IF(OR($A3872="",_xlfn.MINIFS($B$3:$B$5000,$A$3:$A$5000,$A3872,$B$3:$B$5000,"&gt;"&amp;$B3872)=0),NOW(),_xlfn.MINIFS($B$3:$B$5000,$A$3:$A$5000,$A3872,$B$3:$B$5000,"&gt;"&amp;$B3872))</f>
        <v>46279.598764475</v>
      </c>
    </row>
    <row r="3873" customFormat="false" ht="15" hidden="false" customHeight="true" outlineLevel="0" collapsed="false">
      <c r="A3873" s="42"/>
      <c r="B3873" s="42"/>
      <c r="C3873" s="42"/>
      <c r="D3873" s="42"/>
      <c r="E3873" s="42"/>
      <c r="F3873" s="51" t="n">
        <f aca="false">IF(OR(C3873="",D3873="",E3873="",E3873=0),0,C3873*D3873/E3873)</f>
        <v>0</v>
      </c>
      <c r="G3873" s="42"/>
      <c r="H3873" s="49" t="n">
        <f aca="true">IF(OR($A3873="",_xlfn.MINIFS($B$3:$B$5000,$A$3:$A$5000,$A3873,$B$3:$B$5000,"&gt;"&amp;$B3873)=0),NOW(),_xlfn.MINIFS($B$3:$B$5000,$A$3:$A$5000,$A3873,$B$3:$B$5000,"&gt;"&amp;$B3873))</f>
        <v>46279.598764475</v>
      </c>
    </row>
    <row r="3874" customFormat="false" ht="15" hidden="false" customHeight="true" outlineLevel="0" collapsed="false">
      <c r="A3874" s="42"/>
      <c r="B3874" s="42"/>
      <c r="C3874" s="42"/>
      <c r="D3874" s="42"/>
      <c r="E3874" s="42"/>
      <c r="F3874" s="51" t="n">
        <f aca="false">IF(OR(C3874="",D3874="",E3874="",E3874=0),0,C3874*D3874/E3874)</f>
        <v>0</v>
      </c>
      <c r="G3874" s="42"/>
      <c r="H3874" s="49" t="n">
        <f aca="true">IF(OR($A3874="",_xlfn.MINIFS($B$3:$B$5000,$A$3:$A$5000,$A3874,$B$3:$B$5000,"&gt;"&amp;$B3874)=0),NOW(),_xlfn.MINIFS($B$3:$B$5000,$A$3:$A$5000,$A3874,$B$3:$B$5000,"&gt;"&amp;$B3874))</f>
        <v>46279.5987644751</v>
      </c>
    </row>
    <row r="3875" customFormat="false" ht="15" hidden="false" customHeight="true" outlineLevel="0" collapsed="false">
      <c r="A3875" s="42"/>
      <c r="B3875" s="42"/>
      <c r="C3875" s="42"/>
      <c r="D3875" s="42"/>
      <c r="E3875" s="42"/>
      <c r="F3875" s="51" t="n">
        <f aca="false">IF(OR(C3875="",D3875="",E3875="",E3875=0),0,C3875*D3875/E3875)</f>
        <v>0</v>
      </c>
      <c r="G3875" s="42"/>
      <c r="H3875" s="49" t="n">
        <f aca="true">IF(OR($A3875="",_xlfn.MINIFS($B$3:$B$5000,$A$3:$A$5000,$A3875,$B$3:$B$5000,"&gt;"&amp;$B3875)=0),NOW(),_xlfn.MINIFS($B$3:$B$5000,$A$3:$A$5000,$A3875,$B$3:$B$5000,"&gt;"&amp;$B3875))</f>
        <v>46279.5987644751</v>
      </c>
    </row>
    <row r="3876" customFormat="false" ht="15" hidden="false" customHeight="true" outlineLevel="0" collapsed="false">
      <c r="A3876" s="42"/>
      <c r="B3876" s="42"/>
      <c r="C3876" s="42"/>
      <c r="D3876" s="42"/>
      <c r="E3876" s="42"/>
      <c r="F3876" s="51" t="n">
        <f aca="false">IF(OR(C3876="",D3876="",E3876="",E3876=0),0,C3876*D3876/E3876)</f>
        <v>0</v>
      </c>
      <c r="G3876" s="42"/>
      <c r="H3876" s="49" t="n">
        <f aca="true">IF(OR($A3876="",_xlfn.MINIFS($B$3:$B$5000,$A$3:$A$5000,$A3876,$B$3:$B$5000,"&gt;"&amp;$B3876)=0),NOW(),_xlfn.MINIFS($B$3:$B$5000,$A$3:$A$5000,$A3876,$B$3:$B$5000,"&gt;"&amp;$B3876))</f>
        <v>46279.5987644752</v>
      </c>
    </row>
    <row r="3877" customFormat="false" ht="15" hidden="false" customHeight="true" outlineLevel="0" collapsed="false">
      <c r="A3877" s="42"/>
      <c r="B3877" s="42"/>
      <c r="C3877" s="42"/>
      <c r="D3877" s="42"/>
      <c r="E3877" s="42"/>
      <c r="F3877" s="51" t="n">
        <f aca="false">IF(OR(C3877="",D3877="",E3877="",E3877=0),0,C3877*D3877/E3877)</f>
        <v>0</v>
      </c>
      <c r="G3877" s="42"/>
      <c r="H3877" s="49" t="n">
        <f aca="true">IF(OR($A3877="",_xlfn.MINIFS($B$3:$B$5000,$A$3:$A$5000,$A3877,$B$3:$B$5000,"&gt;"&amp;$B3877)=0),NOW(),_xlfn.MINIFS($B$3:$B$5000,$A$3:$A$5000,$A3877,$B$3:$B$5000,"&gt;"&amp;$B3877))</f>
        <v>46279.5987644752</v>
      </c>
    </row>
    <row r="3878" customFormat="false" ht="15" hidden="false" customHeight="true" outlineLevel="0" collapsed="false">
      <c r="A3878" s="42"/>
      <c r="B3878" s="42"/>
      <c r="C3878" s="42"/>
      <c r="D3878" s="42"/>
      <c r="E3878" s="42"/>
      <c r="F3878" s="51" t="n">
        <f aca="false">IF(OR(C3878="",D3878="",E3878="",E3878=0),0,C3878*D3878/E3878)</f>
        <v>0</v>
      </c>
      <c r="G3878" s="42"/>
      <c r="H3878" s="49" t="n">
        <f aca="true">IF(OR($A3878="",_xlfn.MINIFS($B$3:$B$5000,$A$3:$A$5000,$A3878,$B$3:$B$5000,"&gt;"&amp;$B3878)=0),NOW(),_xlfn.MINIFS($B$3:$B$5000,$A$3:$A$5000,$A3878,$B$3:$B$5000,"&gt;"&amp;$B3878))</f>
        <v>46279.5987644753</v>
      </c>
    </row>
    <row r="3879" customFormat="false" ht="15" hidden="false" customHeight="true" outlineLevel="0" collapsed="false">
      <c r="A3879" s="42"/>
      <c r="B3879" s="42"/>
      <c r="C3879" s="42"/>
      <c r="D3879" s="42"/>
      <c r="E3879" s="42"/>
      <c r="F3879" s="51" t="n">
        <f aca="false">IF(OR(C3879="",D3879="",E3879="",E3879=0),0,C3879*D3879/E3879)</f>
        <v>0</v>
      </c>
      <c r="G3879" s="42"/>
      <c r="H3879" s="49" t="n">
        <f aca="true">IF(OR($A3879="",_xlfn.MINIFS($B$3:$B$5000,$A$3:$A$5000,$A3879,$B$3:$B$5000,"&gt;"&amp;$B3879)=0),NOW(),_xlfn.MINIFS($B$3:$B$5000,$A$3:$A$5000,$A3879,$B$3:$B$5000,"&gt;"&amp;$B3879))</f>
        <v>46279.5987644753</v>
      </c>
    </row>
    <row r="3880" customFormat="false" ht="15" hidden="false" customHeight="true" outlineLevel="0" collapsed="false">
      <c r="A3880" s="42"/>
      <c r="B3880" s="42"/>
      <c r="C3880" s="42"/>
      <c r="D3880" s="42"/>
      <c r="E3880" s="42"/>
      <c r="F3880" s="51" t="n">
        <f aca="false">IF(OR(C3880="",D3880="",E3880="",E3880=0),0,C3880*D3880/E3880)</f>
        <v>0</v>
      </c>
      <c r="G3880" s="42"/>
      <c r="H3880" s="49" t="n">
        <f aca="true">IF(OR($A3880="",_xlfn.MINIFS($B$3:$B$5000,$A$3:$A$5000,$A3880,$B$3:$B$5000,"&gt;"&amp;$B3880)=0),NOW(),_xlfn.MINIFS($B$3:$B$5000,$A$3:$A$5000,$A3880,$B$3:$B$5000,"&gt;"&amp;$B3880))</f>
        <v>46279.5987644754</v>
      </c>
    </row>
    <row r="3881" customFormat="false" ht="15" hidden="false" customHeight="true" outlineLevel="0" collapsed="false">
      <c r="A3881" s="42"/>
      <c r="B3881" s="42"/>
      <c r="C3881" s="42"/>
      <c r="D3881" s="42"/>
      <c r="E3881" s="42"/>
      <c r="F3881" s="51" t="n">
        <f aca="false">IF(OR(C3881="",D3881="",E3881="",E3881=0),0,C3881*D3881/E3881)</f>
        <v>0</v>
      </c>
      <c r="G3881" s="42"/>
      <c r="H3881" s="49" t="n">
        <f aca="true">IF(OR($A3881="",_xlfn.MINIFS($B$3:$B$5000,$A$3:$A$5000,$A3881,$B$3:$B$5000,"&gt;"&amp;$B3881)=0),NOW(),_xlfn.MINIFS($B$3:$B$5000,$A$3:$A$5000,$A3881,$B$3:$B$5000,"&gt;"&amp;$B3881))</f>
        <v>46279.5987644754</v>
      </c>
    </row>
    <row r="3882" customFormat="false" ht="15" hidden="false" customHeight="true" outlineLevel="0" collapsed="false">
      <c r="A3882" s="42"/>
      <c r="B3882" s="42"/>
      <c r="C3882" s="42"/>
      <c r="D3882" s="42"/>
      <c r="E3882" s="42"/>
      <c r="F3882" s="51" t="n">
        <f aca="false">IF(OR(C3882="",D3882="",E3882="",E3882=0),0,C3882*D3882/E3882)</f>
        <v>0</v>
      </c>
      <c r="G3882" s="42"/>
      <c r="H3882" s="49" t="n">
        <f aca="true">IF(OR($A3882="",_xlfn.MINIFS($B$3:$B$5000,$A$3:$A$5000,$A3882,$B$3:$B$5000,"&gt;"&amp;$B3882)=0),NOW(),_xlfn.MINIFS($B$3:$B$5000,$A$3:$A$5000,$A3882,$B$3:$B$5000,"&gt;"&amp;$B3882))</f>
        <v>46279.5987644755</v>
      </c>
    </row>
    <row r="3883" customFormat="false" ht="15" hidden="false" customHeight="true" outlineLevel="0" collapsed="false">
      <c r="A3883" s="42"/>
      <c r="B3883" s="42"/>
      <c r="C3883" s="42"/>
      <c r="D3883" s="42"/>
      <c r="E3883" s="42"/>
      <c r="F3883" s="51" t="n">
        <f aca="false">IF(OR(C3883="",D3883="",E3883="",E3883=0),0,C3883*D3883/E3883)</f>
        <v>0</v>
      </c>
      <c r="G3883" s="42"/>
      <c r="H3883" s="49" t="n">
        <f aca="true">IF(OR($A3883="",_xlfn.MINIFS($B$3:$B$5000,$A$3:$A$5000,$A3883,$B$3:$B$5000,"&gt;"&amp;$B3883)=0),NOW(),_xlfn.MINIFS($B$3:$B$5000,$A$3:$A$5000,$A3883,$B$3:$B$5000,"&gt;"&amp;$B3883))</f>
        <v>46279.5987644755</v>
      </c>
    </row>
    <row r="3884" customFormat="false" ht="15" hidden="false" customHeight="true" outlineLevel="0" collapsed="false">
      <c r="A3884" s="42"/>
      <c r="B3884" s="42"/>
      <c r="C3884" s="42"/>
      <c r="D3884" s="42"/>
      <c r="E3884" s="42"/>
      <c r="F3884" s="51" t="n">
        <f aca="false">IF(OR(C3884="",D3884="",E3884="",E3884=0),0,C3884*D3884/E3884)</f>
        <v>0</v>
      </c>
      <c r="G3884" s="42"/>
      <c r="H3884" s="49" t="n">
        <f aca="true">IF(OR($A3884="",_xlfn.MINIFS($B$3:$B$5000,$A$3:$A$5000,$A3884,$B$3:$B$5000,"&gt;"&amp;$B3884)=0),NOW(),_xlfn.MINIFS($B$3:$B$5000,$A$3:$A$5000,$A3884,$B$3:$B$5000,"&gt;"&amp;$B3884))</f>
        <v>46279.5987644756</v>
      </c>
    </row>
    <row r="3885" customFormat="false" ht="15" hidden="false" customHeight="true" outlineLevel="0" collapsed="false">
      <c r="A3885" s="42"/>
      <c r="B3885" s="42"/>
      <c r="C3885" s="42"/>
      <c r="D3885" s="42"/>
      <c r="E3885" s="42"/>
      <c r="F3885" s="51" t="n">
        <f aca="false">IF(OR(C3885="",D3885="",E3885="",E3885=0),0,C3885*D3885/E3885)</f>
        <v>0</v>
      </c>
      <c r="G3885" s="42"/>
      <c r="H3885" s="49" t="n">
        <f aca="true">IF(OR($A3885="",_xlfn.MINIFS($B$3:$B$5000,$A$3:$A$5000,$A3885,$B$3:$B$5000,"&gt;"&amp;$B3885)=0),NOW(),_xlfn.MINIFS($B$3:$B$5000,$A$3:$A$5000,$A3885,$B$3:$B$5000,"&gt;"&amp;$B3885))</f>
        <v>46279.5987644757</v>
      </c>
    </row>
    <row r="3886" customFormat="false" ht="15" hidden="false" customHeight="true" outlineLevel="0" collapsed="false">
      <c r="A3886" s="42"/>
      <c r="B3886" s="42"/>
      <c r="C3886" s="42"/>
      <c r="D3886" s="42"/>
      <c r="E3886" s="42"/>
      <c r="F3886" s="51" t="n">
        <f aca="false">IF(OR(C3886="",D3886="",E3886="",E3886=0),0,C3886*D3886/E3886)</f>
        <v>0</v>
      </c>
      <c r="G3886" s="42"/>
      <c r="H3886" s="49" t="n">
        <f aca="true">IF(OR($A3886="",_xlfn.MINIFS($B$3:$B$5000,$A$3:$A$5000,$A3886,$B$3:$B$5000,"&gt;"&amp;$B3886)=0),NOW(),_xlfn.MINIFS($B$3:$B$5000,$A$3:$A$5000,$A3886,$B$3:$B$5000,"&gt;"&amp;$B3886))</f>
        <v>46279.5987644757</v>
      </c>
    </row>
    <row r="3887" customFormat="false" ht="15" hidden="false" customHeight="true" outlineLevel="0" collapsed="false">
      <c r="A3887" s="42"/>
      <c r="B3887" s="42"/>
      <c r="C3887" s="42"/>
      <c r="D3887" s="42"/>
      <c r="E3887" s="42"/>
      <c r="F3887" s="51" t="n">
        <f aca="false">IF(OR(C3887="",D3887="",E3887="",E3887=0),0,C3887*D3887/E3887)</f>
        <v>0</v>
      </c>
      <c r="G3887" s="42"/>
      <c r="H3887" s="49" t="n">
        <f aca="true">IF(OR($A3887="",_xlfn.MINIFS($B$3:$B$5000,$A$3:$A$5000,$A3887,$B$3:$B$5000,"&gt;"&amp;$B3887)=0),NOW(),_xlfn.MINIFS($B$3:$B$5000,$A$3:$A$5000,$A3887,$B$3:$B$5000,"&gt;"&amp;$B3887))</f>
        <v>46279.5987644758</v>
      </c>
    </row>
    <row r="3888" customFormat="false" ht="15" hidden="false" customHeight="true" outlineLevel="0" collapsed="false">
      <c r="A3888" s="42"/>
      <c r="B3888" s="42"/>
      <c r="C3888" s="42"/>
      <c r="D3888" s="42"/>
      <c r="E3888" s="42"/>
      <c r="F3888" s="51" t="n">
        <f aca="false">IF(OR(C3888="",D3888="",E3888="",E3888=0),0,C3888*D3888/E3888)</f>
        <v>0</v>
      </c>
      <c r="G3888" s="42"/>
      <c r="H3888" s="49" t="n">
        <f aca="true">IF(OR($A3888="",_xlfn.MINIFS($B$3:$B$5000,$A$3:$A$5000,$A3888,$B$3:$B$5000,"&gt;"&amp;$B3888)=0),NOW(),_xlfn.MINIFS($B$3:$B$5000,$A$3:$A$5000,$A3888,$B$3:$B$5000,"&gt;"&amp;$B3888))</f>
        <v>46279.5987644759</v>
      </c>
    </row>
    <row r="3889" customFormat="false" ht="15" hidden="false" customHeight="true" outlineLevel="0" collapsed="false">
      <c r="A3889" s="42"/>
      <c r="B3889" s="42"/>
      <c r="C3889" s="42"/>
      <c r="D3889" s="42"/>
      <c r="E3889" s="42"/>
      <c r="F3889" s="51" t="n">
        <f aca="false">IF(OR(C3889="",D3889="",E3889="",E3889=0),0,C3889*D3889/E3889)</f>
        <v>0</v>
      </c>
      <c r="G3889" s="42"/>
      <c r="H3889" s="49" t="n">
        <f aca="true">IF(OR($A3889="",_xlfn.MINIFS($B$3:$B$5000,$A$3:$A$5000,$A3889,$B$3:$B$5000,"&gt;"&amp;$B3889)=0),NOW(),_xlfn.MINIFS($B$3:$B$5000,$A$3:$A$5000,$A3889,$B$3:$B$5000,"&gt;"&amp;$B3889))</f>
        <v>46279.5987644759</v>
      </c>
    </row>
    <row r="3890" customFormat="false" ht="15" hidden="false" customHeight="true" outlineLevel="0" collapsed="false">
      <c r="A3890" s="42"/>
      <c r="B3890" s="42"/>
      <c r="C3890" s="42"/>
      <c r="D3890" s="42"/>
      <c r="E3890" s="42"/>
      <c r="F3890" s="51" t="n">
        <f aca="false">IF(OR(C3890="",D3890="",E3890="",E3890=0),0,C3890*D3890/E3890)</f>
        <v>0</v>
      </c>
      <c r="G3890" s="42"/>
      <c r="H3890" s="49" t="n">
        <f aca="true">IF(OR($A3890="",_xlfn.MINIFS($B$3:$B$5000,$A$3:$A$5000,$A3890,$B$3:$B$5000,"&gt;"&amp;$B3890)=0),NOW(),_xlfn.MINIFS($B$3:$B$5000,$A$3:$A$5000,$A3890,$B$3:$B$5000,"&gt;"&amp;$B3890))</f>
        <v>46279.598764476</v>
      </c>
    </row>
    <row r="3891" customFormat="false" ht="15" hidden="false" customHeight="true" outlineLevel="0" collapsed="false">
      <c r="A3891" s="42"/>
      <c r="B3891" s="42"/>
      <c r="C3891" s="42"/>
      <c r="D3891" s="42"/>
      <c r="E3891" s="42"/>
      <c r="F3891" s="51" t="n">
        <f aca="false">IF(OR(C3891="",D3891="",E3891="",E3891=0),0,C3891*D3891/E3891)</f>
        <v>0</v>
      </c>
      <c r="G3891" s="42"/>
      <c r="H3891" s="49" t="n">
        <f aca="true">IF(OR($A3891="",_xlfn.MINIFS($B$3:$B$5000,$A$3:$A$5000,$A3891,$B$3:$B$5000,"&gt;"&amp;$B3891)=0),NOW(),_xlfn.MINIFS($B$3:$B$5000,$A$3:$A$5000,$A3891,$B$3:$B$5000,"&gt;"&amp;$B3891))</f>
        <v>46279.598764476</v>
      </c>
    </row>
    <row r="3892" customFormat="false" ht="15" hidden="false" customHeight="true" outlineLevel="0" collapsed="false">
      <c r="A3892" s="42"/>
      <c r="B3892" s="42"/>
      <c r="C3892" s="42"/>
      <c r="D3892" s="42"/>
      <c r="E3892" s="42"/>
      <c r="F3892" s="51" t="n">
        <f aca="false">IF(OR(C3892="",D3892="",E3892="",E3892=0),0,C3892*D3892/E3892)</f>
        <v>0</v>
      </c>
      <c r="G3892" s="42"/>
      <c r="H3892" s="49" t="n">
        <f aca="true">IF(OR($A3892="",_xlfn.MINIFS($B$3:$B$5000,$A$3:$A$5000,$A3892,$B$3:$B$5000,"&gt;"&amp;$B3892)=0),NOW(),_xlfn.MINIFS($B$3:$B$5000,$A$3:$A$5000,$A3892,$B$3:$B$5000,"&gt;"&amp;$B3892))</f>
        <v>46279.5987644761</v>
      </c>
    </row>
    <row r="3893" customFormat="false" ht="15" hidden="false" customHeight="true" outlineLevel="0" collapsed="false">
      <c r="A3893" s="42"/>
      <c r="B3893" s="42"/>
      <c r="C3893" s="42"/>
      <c r="D3893" s="42"/>
      <c r="E3893" s="42"/>
      <c r="F3893" s="51" t="n">
        <f aca="false">IF(OR(C3893="",D3893="",E3893="",E3893=0),0,C3893*D3893/E3893)</f>
        <v>0</v>
      </c>
      <c r="G3893" s="42"/>
      <c r="H3893" s="49" t="n">
        <f aca="true">IF(OR($A3893="",_xlfn.MINIFS($B$3:$B$5000,$A$3:$A$5000,$A3893,$B$3:$B$5000,"&gt;"&amp;$B3893)=0),NOW(),_xlfn.MINIFS($B$3:$B$5000,$A$3:$A$5000,$A3893,$B$3:$B$5000,"&gt;"&amp;$B3893))</f>
        <v>46279.5987644761</v>
      </c>
    </row>
    <row r="3894" customFormat="false" ht="15" hidden="false" customHeight="true" outlineLevel="0" collapsed="false">
      <c r="A3894" s="42"/>
      <c r="B3894" s="42"/>
      <c r="C3894" s="42"/>
      <c r="D3894" s="42"/>
      <c r="E3894" s="42"/>
      <c r="F3894" s="51" t="n">
        <f aca="false">IF(OR(C3894="",D3894="",E3894="",E3894=0),0,C3894*D3894/E3894)</f>
        <v>0</v>
      </c>
      <c r="G3894" s="42"/>
      <c r="H3894" s="49" t="n">
        <f aca="true">IF(OR($A3894="",_xlfn.MINIFS($B$3:$B$5000,$A$3:$A$5000,$A3894,$B$3:$B$5000,"&gt;"&amp;$B3894)=0),NOW(),_xlfn.MINIFS($B$3:$B$5000,$A$3:$A$5000,$A3894,$B$3:$B$5000,"&gt;"&amp;$B3894))</f>
        <v>46279.5987644762</v>
      </c>
    </row>
    <row r="3895" customFormat="false" ht="15" hidden="false" customHeight="true" outlineLevel="0" collapsed="false">
      <c r="A3895" s="42"/>
      <c r="B3895" s="42"/>
      <c r="C3895" s="42"/>
      <c r="D3895" s="42"/>
      <c r="E3895" s="42"/>
      <c r="F3895" s="51" t="n">
        <f aca="false">IF(OR(C3895="",D3895="",E3895="",E3895=0),0,C3895*D3895/E3895)</f>
        <v>0</v>
      </c>
      <c r="G3895" s="42"/>
      <c r="H3895" s="49" t="n">
        <f aca="true">IF(OR($A3895="",_xlfn.MINIFS($B$3:$B$5000,$A$3:$A$5000,$A3895,$B$3:$B$5000,"&gt;"&amp;$B3895)=0),NOW(),_xlfn.MINIFS($B$3:$B$5000,$A$3:$A$5000,$A3895,$B$3:$B$5000,"&gt;"&amp;$B3895))</f>
        <v>46279.5987644762</v>
      </c>
    </row>
    <row r="3896" customFormat="false" ht="15" hidden="false" customHeight="true" outlineLevel="0" collapsed="false">
      <c r="A3896" s="42"/>
      <c r="B3896" s="42"/>
      <c r="C3896" s="42"/>
      <c r="D3896" s="42"/>
      <c r="E3896" s="42"/>
      <c r="F3896" s="51" t="n">
        <f aca="false">IF(OR(C3896="",D3896="",E3896="",E3896=0),0,C3896*D3896/E3896)</f>
        <v>0</v>
      </c>
      <c r="G3896" s="42"/>
      <c r="H3896" s="49" t="n">
        <f aca="true">IF(OR($A3896="",_xlfn.MINIFS($B$3:$B$5000,$A$3:$A$5000,$A3896,$B$3:$B$5000,"&gt;"&amp;$B3896)=0),NOW(),_xlfn.MINIFS($B$3:$B$5000,$A$3:$A$5000,$A3896,$B$3:$B$5000,"&gt;"&amp;$B3896))</f>
        <v>46279.5987644763</v>
      </c>
    </row>
    <row r="3897" customFormat="false" ht="15" hidden="false" customHeight="true" outlineLevel="0" collapsed="false">
      <c r="A3897" s="42"/>
      <c r="B3897" s="42"/>
      <c r="C3897" s="42"/>
      <c r="D3897" s="42"/>
      <c r="E3897" s="42"/>
      <c r="F3897" s="51" t="n">
        <f aca="false">IF(OR(C3897="",D3897="",E3897="",E3897=0),0,C3897*D3897/E3897)</f>
        <v>0</v>
      </c>
      <c r="G3897" s="42"/>
      <c r="H3897" s="49" t="n">
        <f aca="true">IF(OR($A3897="",_xlfn.MINIFS($B$3:$B$5000,$A$3:$A$5000,$A3897,$B$3:$B$5000,"&gt;"&amp;$B3897)=0),NOW(),_xlfn.MINIFS($B$3:$B$5000,$A$3:$A$5000,$A3897,$B$3:$B$5000,"&gt;"&amp;$B3897))</f>
        <v>46279.5987644763</v>
      </c>
    </row>
    <row r="3898" customFormat="false" ht="15" hidden="false" customHeight="true" outlineLevel="0" collapsed="false">
      <c r="A3898" s="42"/>
      <c r="B3898" s="42"/>
      <c r="C3898" s="42"/>
      <c r="D3898" s="42"/>
      <c r="E3898" s="42"/>
      <c r="F3898" s="51" t="n">
        <f aca="false">IF(OR(C3898="",D3898="",E3898="",E3898=0),0,C3898*D3898/E3898)</f>
        <v>0</v>
      </c>
      <c r="G3898" s="42"/>
      <c r="H3898" s="49" t="n">
        <f aca="true">IF(OR($A3898="",_xlfn.MINIFS($B$3:$B$5000,$A$3:$A$5000,$A3898,$B$3:$B$5000,"&gt;"&amp;$B3898)=0),NOW(),_xlfn.MINIFS($B$3:$B$5000,$A$3:$A$5000,$A3898,$B$3:$B$5000,"&gt;"&amp;$B3898))</f>
        <v>46279.5987644764</v>
      </c>
    </row>
    <row r="3899" customFormat="false" ht="15" hidden="false" customHeight="true" outlineLevel="0" collapsed="false">
      <c r="A3899" s="42"/>
      <c r="B3899" s="42"/>
      <c r="C3899" s="42"/>
      <c r="D3899" s="42"/>
      <c r="E3899" s="42"/>
      <c r="F3899" s="51" t="n">
        <f aca="false">IF(OR(C3899="",D3899="",E3899="",E3899=0),0,C3899*D3899/E3899)</f>
        <v>0</v>
      </c>
      <c r="G3899" s="42"/>
      <c r="H3899" s="49" t="n">
        <f aca="true">IF(OR($A3899="",_xlfn.MINIFS($B$3:$B$5000,$A$3:$A$5000,$A3899,$B$3:$B$5000,"&gt;"&amp;$B3899)=0),NOW(),_xlfn.MINIFS($B$3:$B$5000,$A$3:$A$5000,$A3899,$B$3:$B$5000,"&gt;"&amp;$B3899))</f>
        <v>46279.5987644764</v>
      </c>
    </row>
    <row r="3900" customFormat="false" ht="15" hidden="false" customHeight="true" outlineLevel="0" collapsed="false">
      <c r="A3900" s="42"/>
      <c r="B3900" s="42"/>
      <c r="C3900" s="42"/>
      <c r="D3900" s="42"/>
      <c r="E3900" s="42"/>
      <c r="F3900" s="51" t="n">
        <f aca="false">IF(OR(C3900="",D3900="",E3900="",E3900=0),0,C3900*D3900/E3900)</f>
        <v>0</v>
      </c>
      <c r="G3900" s="42"/>
      <c r="H3900" s="49" t="n">
        <f aca="true">IF(OR($A3900="",_xlfn.MINIFS($B$3:$B$5000,$A$3:$A$5000,$A3900,$B$3:$B$5000,"&gt;"&amp;$B3900)=0),NOW(),_xlfn.MINIFS($B$3:$B$5000,$A$3:$A$5000,$A3900,$B$3:$B$5000,"&gt;"&amp;$B3900))</f>
        <v>46279.5987644765</v>
      </c>
    </row>
    <row r="3901" customFormat="false" ht="15" hidden="false" customHeight="true" outlineLevel="0" collapsed="false">
      <c r="A3901" s="42"/>
      <c r="B3901" s="42"/>
      <c r="C3901" s="42"/>
      <c r="D3901" s="42"/>
      <c r="E3901" s="42"/>
      <c r="F3901" s="51" t="n">
        <f aca="false">IF(OR(C3901="",D3901="",E3901="",E3901=0),0,C3901*D3901/E3901)</f>
        <v>0</v>
      </c>
      <c r="G3901" s="42"/>
      <c r="H3901" s="49" t="n">
        <f aca="true">IF(OR($A3901="",_xlfn.MINIFS($B$3:$B$5000,$A$3:$A$5000,$A3901,$B$3:$B$5000,"&gt;"&amp;$B3901)=0),NOW(),_xlfn.MINIFS($B$3:$B$5000,$A$3:$A$5000,$A3901,$B$3:$B$5000,"&gt;"&amp;$B3901))</f>
        <v>46279.5987644765</v>
      </c>
    </row>
    <row r="3902" customFormat="false" ht="15" hidden="false" customHeight="true" outlineLevel="0" collapsed="false">
      <c r="A3902" s="42"/>
      <c r="B3902" s="42"/>
      <c r="C3902" s="42"/>
      <c r="D3902" s="42"/>
      <c r="E3902" s="42"/>
      <c r="F3902" s="51" t="n">
        <f aca="false">IF(OR(C3902="",D3902="",E3902="",E3902=0),0,C3902*D3902/E3902)</f>
        <v>0</v>
      </c>
      <c r="G3902" s="42"/>
      <c r="H3902" s="49" t="n">
        <f aca="true">IF(OR($A3902="",_xlfn.MINIFS($B$3:$B$5000,$A$3:$A$5000,$A3902,$B$3:$B$5000,"&gt;"&amp;$B3902)=0),NOW(),_xlfn.MINIFS($B$3:$B$5000,$A$3:$A$5000,$A3902,$B$3:$B$5000,"&gt;"&amp;$B3902))</f>
        <v>46279.5987644766</v>
      </c>
    </row>
    <row r="3903" customFormat="false" ht="15" hidden="false" customHeight="true" outlineLevel="0" collapsed="false">
      <c r="A3903" s="42"/>
      <c r="B3903" s="42"/>
      <c r="C3903" s="42"/>
      <c r="D3903" s="42"/>
      <c r="E3903" s="42"/>
      <c r="F3903" s="51" t="n">
        <f aca="false">IF(OR(C3903="",D3903="",E3903="",E3903=0),0,C3903*D3903/E3903)</f>
        <v>0</v>
      </c>
      <c r="G3903" s="42"/>
      <c r="H3903" s="49" t="n">
        <f aca="true">IF(OR($A3903="",_xlfn.MINIFS($B$3:$B$5000,$A$3:$A$5000,$A3903,$B$3:$B$5000,"&gt;"&amp;$B3903)=0),NOW(),_xlfn.MINIFS($B$3:$B$5000,$A$3:$A$5000,$A3903,$B$3:$B$5000,"&gt;"&amp;$B3903))</f>
        <v>46279.5987644766</v>
      </c>
    </row>
    <row r="3904" customFormat="false" ht="15" hidden="false" customHeight="true" outlineLevel="0" collapsed="false">
      <c r="A3904" s="42"/>
      <c r="B3904" s="42"/>
      <c r="C3904" s="42"/>
      <c r="D3904" s="42"/>
      <c r="E3904" s="42"/>
      <c r="F3904" s="51" t="n">
        <f aca="false">IF(OR(C3904="",D3904="",E3904="",E3904=0),0,C3904*D3904/E3904)</f>
        <v>0</v>
      </c>
      <c r="G3904" s="42"/>
      <c r="H3904" s="49" t="n">
        <f aca="true">IF(OR($A3904="",_xlfn.MINIFS($B$3:$B$5000,$A$3:$A$5000,$A3904,$B$3:$B$5000,"&gt;"&amp;$B3904)=0),NOW(),_xlfn.MINIFS($B$3:$B$5000,$A$3:$A$5000,$A3904,$B$3:$B$5000,"&gt;"&amp;$B3904))</f>
        <v>46279.5987644767</v>
      </c>
    </row>
    <row r="3905" customFormat="false" ht="15" hidden="false" customHeight="true" outlineLevel="0" collapsed="false">
      <c r="A3905" s="42"/>
      <c r="B3905" s="42"/>
      <c r="C3905" s="42"/>
      <c r="D3905" s="42"/>
      <c r="E3905" s="42"/>
      <c r="F3905" s="51" t="n">
        <f aca="false">IF(OR(C3905="",D3905="",E3905="",E3905=0),0,C3905*D3905/E3905)</f>
        <v>0</v>
      </c>
      <c r="G3905" s="42"/>
      <c r="H3905" s="49" t="n">
        <f aca="true">IF(OR($A3905="",_xlfn.MINIFS($B$3:$B$5000,$A$3:$A$5000,$A3905,$B$3:$B$5000,"&gt;"&amp;$B3905)=0),NOW(),_xlfn.MINIFS($B$3:$B$5000,$A$3:$A$5000,$A3905,$B$3:$B$5000,"&gt;"&amp;$B3905))</f>
        <v>46279.5987644767</v>
      </c>
    </row>
    <row r="3906" customFormat="false" ht="15" hidden="false" customHeight="true" outlineLevel="0" collapsed="false">
      <c r="A3906" s="42"/>
      <c r="B3906" s="42"/>
      <c r="C3906" s="42"/>
      <c r="D3906" s="42"/>
      <c r="E3906" s="42"/>
      <c r="F3906" s="51" t="n">
        <f aca="false">IF(OR(C3906="",D3906="",E3906="",E3906=0),0,C3906*D3906/E3906)</f>
        <v>0</v>
      </c>
      <c r="G3906" s="42"/>
      <c r="H3906" s="49" t="n">
        <f aca="true">IF(OR($A3906="",_xlfn.MINIFS($B$3:$B$5000,$A$3:$A$5000,$A3906,$B$3:$B$5000,"&gt;"&amp;$B3906)=0),NOW(),_xlfn.MINIFS($B$3:$B$5000,$A$3:$A$5000,$A3906,$B$3:$B$5000,"&gt;"&amp;$B3906))</f>
        <v>46279.5987644768</v>
      </c>
    </row>
    <row r="3907" customFormat="false" ht="15" hidden="false" customHeight="true" outlineLevel="0" collapsed="false">
      <c r="A3907" s="42"/>
      <c r="B3907" s="42"/>
      <c r="C3907" s="42"/>
      <c r="D3907" s="42"/>
      <c r="E3907" s="42"/>
      <c r="F3907" s="51" t="n">
        <f aca="false">IF(OR(C3907="",D3907="",E3907="",E3907=0),0,C3907*D3907/E3907)</f>
        <v>0</v>
      </c>
      <c r="G3907" s="42"/>
      <c r="H3907" s="49" t="n">
        <f aca="true">IF(OR($A3907="",_xlfn.MINIFS($B$3:$B$5000,$A$3:$A$5000,$A3907,$B$3:$B$5000,"&gt;"&amp;$B3907)=0),NOW(),_xlfn.MINIFS($B$3:$B$5000,$A$3:$A$5000,$A3907,$B$3:$B$5000,"&gt;"&amp;$B3907))</f>
        <v>46279.5987644768</v>
      </c>
    </row>
    <row r="3908" customFormat="false" ht="15" hidden="false" customHeight="true" outlineLevel="0" collapsed="false">
      <c r="A3908" s="42"/>
      <c r="B3908" s="42"/>
      <c r="C3908" s="42"/>
      <c r="D3908" s="42"/>
      <c r="E3908" s="42"/>
      <c r="F3908" s="51" t="n">
        <f aca="false">IF(OR(C3908="",D3908="",E3908="",E3908=0),0,C3908*D3908/E3908)</f>
        <v>0</v>
      </c>
      <c r="G3908" s="42"/>
      <c r="H3908" s="49" t="n">
        <f aca="true">IF(OR($A3908="",_xlfn.MINIFS($B$3:$B$5000,$A$3:$A$5000,$A3908,$B$3:$B$5000,"&gt;"&amp;$B3908)=0),NOW(),_xlfn.MINIFS($B$3:$B$5000,$A$3:$A$5000,$A3908,$B$3:$B$5000,"&gt;"&amp;$B3908))</f>
        <v>46279.5987644769</v>
      </c>
    </row>
    <row r="3909" customFormat="false" ht="15" hidden="false" customHeight="true" outlineLevel="0" collapsed="false">
      <c r="A3909" s="42"/>
      <c r="B3909" s="42"/>
      <c r="C3909" s="42"/>
      <c r="D3909" s="42"/>
      <c r="E3909" s="42"/>
      <c r="F3909" s="51" t="n">
        <f aca="false">IF(OR(C3909="",D3909="",E3909="",E3909=0),0,C3909*D3909/E3909)</f>
        <v>0</v>
      </c>
      <c r="G3909" s="42"/>
      <c r="H3909" s="49" t="n">
        <f aca="true">IF(OR($A3909="",_xlfn.MINIFS($B$3:$B$5000,$A$3:$A$5000,$A3909,$B$3:$B$5000,"&gt;"&amp;$B3909)=0),NOW(),_xlfn.MINIFS($B$3:$B$5000,$A$3:$A$5000,$A3909,$B$3:$B$5000,"&gt;"&amp;$B3909))</f>
        <v>46279.5987644769</v>
      </c>
    </row>
    <row r="3910" customFormat="false" ht="15" hidden="false" customHeight="true" outlineLevel="0" collapsed="false">
      <c r="A3910" s="42"/>
      <c r="B3910" s="42"/>
      <c r="C3910" s="42"/>
      <c r="D3910" s="42"/>
      <c r="E3910" s="42"/>
      <c r="F3910" s="51" t="n">
        <f aca="false">IF(OR(C3910="",D3910="",E3910="",E3910=0),0,C3910*D3910/E3910)</f>
        <v>0</v>
      </c>
      <c r="G3910" s="42"/>
      <c r="H3910" s="49" t="n">
        <f aca="true">IF(OR($A3910="",_xlfn.MINIFS($B$3:$B$5000,$A$3:$A$5000,$A3910,$B$3:$B$5000,"&gt;"&amp;$B3910)=0),NOW(),_xlfn.MINIFS($B$3:$B$5000,$A$3:$A$5000,$A3910,$B$3:$B$5000,"&gt;"&amp;$B3910))</f>
        <v>46279.598764477</v>
      </c>
    </row>
    <row r="3911" customFormat="false" ht="15" hidden="false" customHeight="true" outlineLevel="0" collapsed="false">
      <c r="A3911" s="42"/>
      <c r="B3911" s="42"/>
      <c r="C3911" s="42"/>
      <c r="D3911" s="42"/>
      <c r="E3911" s="42"/>
      <c r="F3911" s="51" t="n">
        <f aca="false">IF(OR(C3911="",D3911="",E3911="",E3911=0),0,C3911*D3911/E3911)</f>
        <v>0</v>
      </c>
      <c r="G3911" s="42"/>
      <c r="H3911" s="49" t="n">
        <f aca="true">IF(OR($A3911="",_xlfn.MINIFS($B$3:$B$5000,$A$3:$A$5000,$A3911,$B$3:$B$5000,"&gt;"&amp;$B3911)=0),NOW(),_xlfn.MINIFS($B$3:$B$5000,$A$3:$A$5000,$A3911,$B$3:$B$5000,"&gt;"&amp;$B3911))</f>
        <v>46279.598764477</v>
      </c>
    </row>
    <row r="3912" customFormat="false" ht="15" hidden="false" customHeight="true" outlineLevel="0" collapsed="false">
      <c r="A3912" s="42"/>
      <c r="B3912" s="42"/>
      <c r="C3912" s="42"/>
      <c r="D3912" s="42"/>
      <c r="E3912" s="42"/>
      <c r="F3912" s="51" t="n">
        <f aca="false">IF(OR(C3912="",D3912="",E3912="",E3912=0),0,C3912*D3912/E3912)</f>
        <v>0</v>
      </c>
      <c r="G3912" s="42"/>
      <c r="H3912" s="49" t="n">
        <f aca="true">IF(OR($A3912="",_xlfn.MINIFS($B$3:$B$5000,$A$3:$A$5000,$A3912,$B$3:$B$5000,"&gt;"&amp;$B3912)=0),NOW(),_xlfn.MINIFS($B$3:$B$5000,$A$3:$A$5000,$A3912,$B$3:$B$5000,"&gt;"&amp;$B3912))</f>
        <v>46279.5987644771</v>
      </c>
    </row>
    <row r="3913" customFormat="false" ht="15" hidden="false" customHeight="true" outlineLevel="0" collapsed="false">
      <c r="A3913" s="42"/>
      <c r="B3913" s="42"/>
      <c r="C3913" s="42"/>
      <c r="D3913" s="42"/>
      <c r="E3913" s="42"/>
      <c r="F3913" s="51" t="n">
        <f aca="false">IF(OR(C3913="",D3913="",E3913="",E3913=0),0,C3913*D3913/E3913)</f>
        <v>0</v>
      </c>
      <c r="G3913" s="42"/>
      <c r="H3913" s="49" t="n">
        <f aca="true">IF(OR($A3913="",_xlfn.MINIFS($B$3:$B$5000,$A$3:$A$5000,$A3913,$B$3:$B$5000,"&gt;"&amp;$B3913)=0),NOW(),_xlfn.MINIFS($B$3:$B$5000,$A$3:$A$5000,$A3913,$B$3:$B$5000,"&gt;"&amp;$B3913))</f>
        <v>46279.5987644771</v>
      </c>
    </row>
    <row r="3914" customFormat="false" ht="15" hidden="false" customHeight="true" outlineLevel="0" collapsed="false">
      <c r="A3914" s="42"/>
      <c r="B3914" s="42"/>
      <c r="C3914" s="42"/>
      <c r="D3914" s="42"/>
      <c r="E3914" s="42"/>
      <c r="F3914" s="51" t="n">
        <f aca="false">IF(OR(C3914="",D3914="",E3914="",E3914=0),0,C3914*D3914/E3914)</f>
        <v>0</v>
      </c>
      <c r="G3914" s="42"/>
      <c r="H3914" s="49" t="n">
        <f aca="true">IF(OR($A3914="",_xlfn.MINIFS($B$3:$B$5000,$A$3:$A$5000,$A3914,$B$3:$B$5000,"&gt;"&amp;$B3914)=0),NOW(),_xlfn.MINIFS($B$3:$B$5000,$A$3:$A$5000,$A3914,$B$3:$B$5000,"&gt;"&amp;$B3914))</f>
        <v>46279.5987644772</v>
      </c>
    </row>
    <row r="3915" customFormat="false" ht="15" hidden="false" customHeight="true" outlineLevel="0" collapsed="false">
      <c r="A3915" s="42"/>
      <c r="B3915" s="42"/>
      <c r="C3915" s="42"/>
      <c r="D3915" s="42"/>
      <c r="E3915" s="42"/>
      <c r="F3915" s="51" t="n">
        <f aca="false">IF(OR(C3915="",D3915="",E3915="",E3915=0),0,C3915*D3915/E3915)</f>
        <v>0</v>
      </c>
      <c r="G3915" s="42"/>
      <c r="H3915" s="49" t="n">
        <f aca="true">IF(OR($A3915="",_xlfn.MINIFS($B$3:$B$5000,$A$3:$A$5000,$A3915,$B$3:$B$5000,"&gt;"&amp;$B3915)=0),NOW(),_xlfn.MINIFS($B$3:$B$5000,$A$3:$A$5000,$A3915,$B$3:$B$5000,"&gt;"&amp;$B3915))</f>
        <v>46279.5987644801</v>
      </c>
    </row>
    <row r="3916" customFormat="false" ht="15" hidden="false" customHeight="true" outlineLevel="0" collapsed="false">
      <c r="A3916" s="42"/>
      <c r="B3916" s="42"/>
      <c r="C3916" s="42"/>
      <c r="D3916" s="42"/>
      <c r="E3916" s="42"/>
      <c r="F3916" s="51" t="n">
        <f aca="false">IF(OR(C3916="",D3916="",E3916="",E3916=0),0,C3916*D3916/E3916)</f>
        <v>0</v>
      </c>
      <c r="G3916" s="42"/>
      <c r="H3916" s="49" t="n">
        <f aca="true">IF(OR($A3916="",_xlfn.MINIFS($B$3:$B$5000,$A$3:$A$5000,$A3916,$B$3:$B$5000,"&gt;"&amp;$B3916)=0),NOW(),_xlfn.MINIFS($B$3:$B$5000,$A$3:$A$5000,$A3916,$B$3:$B$5000,"&gt;"&amp;$B3916))</f>
        <v>46279.5987644802</v>
      </c>
    </row>
    <row r="3917" customFormat="false" ht="15" hidden="false" customHeight="true" outlineLevel="0" collapsed="false">
      <c r="A3917" s="42"/>
      <c r="B3917" s="42"/>
      <c r="C3917" s="42"/>
      <c r="D3917" s="42"/>
      <c r="E3917" s="42"/>
      <c r="F3917" s="51" t="n">
        <f aca="false">IF(OR(C3917="",D3917="",E3917="",E3917=0),0,C3917*D3917/E3917)</f>
        <v>0</v>
      </c>
      <c r="G3917" s="42"/>
      <c r="H3917" s="49" t="n">
        <f aca="true">IF(OR($A3917="",_xlfn.MINIFS($B$3:$B$5000,$A$3:$A$5000,$A3917,$B$3:$B$5000,"&gt;"&amp;$B3917)=0),NOW(),_xlfn.MINIFS($B$3:$B$5000,$A$3:$A$5000,$A3917,$B$3:$B$5000,"&gt;"&amp;$B3917))</f>
        <v>46279.5987644803</v>
      </c>
    </row>
    <row r="3918" customFormat="false" ht="15" hidden="false" customHeight="true" outlineLevel="0" collapsed="false">
      <c r="A3918" s="42"/>
      <c r="B3918" s="42"/>
      <c r="C3918" s="42"/>
      <c r="D3918" s="42"/>
      <c r="E3918" s="42"/>
      <c r="F3918" s="51" t="n">
        <f aca="false">IF(OR(C3918="",D3918="",E3918="",E3918=0),0,C3918*D3918/E3918)</f>
        <v>0</v>
      </c>
      <c r="G3918" s="42"/>
      <c r="H3918" s="49" t="n">
        <f aca="true">IF(OR($A3918="",_xlfn.MINIFS($B$3:$B$5000,$A$3:$A$5000,$A3918,$B$3:$B$5000,"&gt;"&amp;$B3918)=0),NOW(),_xlfn.MINIFS($B$3:$B$5000,$A$3:$A$5000,$A3918,$B$3:$B$5000,"&gt;"&amp;$B3918))</f>
        <v>46279.5987644804</v>
      </c>
    </row>
    <row r="3919" customFormat="false" ht="15" hidden="false" customHeight="true" outlineLevel="0" collapsed="false">
      <c r="A3919" s="42"/>
      <c r="B3919" s="42"/>
      <c r="C3919" s="42"/>
      <c r="D3919" s="42"/>
      <c r="E3919" s="42"/>
      <c r="F3919" s="51" t="n">
        <f aca="false">IF(OR(C3919="",D3919="",E3919="",E3919=0),0,C3919*D3919/E3919)</f>
        <v>0</v>
      </c>
      <c r="G3919" s="42"/>
      <c r="H3919" s="49" t="n">
        <f aca="true">IF(OR($A3919="",_xlfn.MINIFS($B$3:$B$5000,$A$3:$A$5000,$A3919,$B$3:$B$5000,"&gt;"&amp;$B3919)=0),NOW(),_xlfn.MINIFS($B$3:$B$5000,$A$3:$A$5000,$A3919,$B$3:$B$5000,"&gt;"&amp;$B3919))</f>
        <v>46279.5987644804</v>
      </c>
    </row>
    <row r="3920" customFormat="false" ht="15" hidden="false" customHeight="true" outlineLevel="0" collapsed="false">
      <c r="A3920" s="42"/>
      <c r="B3920" s="42"/>
      <c r="C3920" s="42"/>
      <c r="D3920" s="42"/>
      <c r="E3920" s="42"/>
      <c r="F3920" s="51" t="n">
        <f aca="false">IF(OR(C3920="",D3920="",E3920="",E3920=0),0,C3920*D3920/E3920)</f>
        <v>0</v>
      </c>
      <c r="G3920" s="42"/>
      <c r="H3920" s="49" t="n">
        <f aca="true">IF(OR($A3920="",_xlfn.MINIFS($B$3:$B$5000,$A$3:$A$5000,$A3920,$B$3:$B$5000,"&gt;"&amp;$B3920)=0),NOW(),_xlfn.MINIFS($B$3:$B$5000,$A$3:$A$5000,$A3920,$B$3:$B$5000,"&gt;"&amp;$B3920))</f>
        <v>46279.5987644805</v>
      </c>
    </row>
    <row r="3921" customFormat="false" ht="15" hidden="false" customHeight="true" outlineLevel="0" collapsed="false">
      <c r="A3921" s="42"/>
      <c r="B3921" s="42"/>
      <c r="C3921" s="42"/>
      <c r="D3921" s="42"/>
      <c r="E3921" s="42"/>
      <c r="F3921" s="51" t="n">
        <f aca="false">IF(OR(C3921="",D3921="",E3921="",E3921=0),0,C3921*D3921/E3921)</f>
        <v>0</v>
      </c>
      <c r="G3921" s="42"/>
      <c r="H3921" s="49" t="n">
        <f aca="true">IF(OR($A3921="",_xlfn.MINIFS($B$3:$B$5000,$A$3:$A$5000,$A3921,$B$3:$B$5000,"&gt;"&amp;$B3921)=0),NOW(),_xlfn.MINIFS($B$3:$B$5000,$A$3:$A$5000,$A3921,$B$3:$B$5000,"&gt;"&amp;$B3921))</f>
        <v>46279.5987644805</v>
      </c>
    </row>
    <row r="3922" customFormat="false" ht="15" hidden="false" customHeight="true" outlineLevel="0" collapsed="false">
      <c r="A3922" s="42"/>
      <c r="B3922" s="42"/>
      <c r="C3922" s="42"/>
      <c r="D3922" s="42"/>
      <c r="E3922" s="42"/>
      <c r="F3922" s="51" t="n">
        <f aca="false">IF(OR(C3922="",D3922="",E3922="",E3922=0),0,C3922*D3922/E3922)</f>
        <v>0</v>
      </c>
      <c r="G3922" s="42"/>
      <c r="H3922" s="49" t="n">
        <f aca="true">IF(OR($A3922="",_xlfn.MINIFS($B$3:$B$5000,$A$3:$A$5000,$A3922,$B$3:$B$5000,"&gt;"&amp;$B3922)=0),NOW(),_xlfn.MINIFS($B$3:$B$5000,$A$3:$A$5000,$A3922,$B$3:$B$5000,"&gt;"&amp;$B3922))</f>
        <v>46279.5987644806</v>
      </c>
    </row>
    <row r="3923" customFormat="false" ht="15" hidden="false" customHeight="true" outlineLevel="0" collapsed="false">
      <c r="A3923" s="42"/>
      <c r="B3923" s="42"/>
      <c r="C3923" s="42"/>
      <c r="D3923" s="42"/>
      <c r="E3923" s="42"/>
      <c r="F3923" s="51" t="n">
        <f aca="false">IF(OR(C3923="",D3923="",E3923="",E3923=0),0,C3923*D3923/E3923)</f>
        <v>0</v>
      </c>
      <c r="G3923" s="42"/>
      <c r="H3923" s="49" t="n">
        <f aca="true">IF(OR($A3923="",_xlfn.MINIFS($B$3:$B$5000,$A$3:$A$5000,$A3923,$B$3:$B$5000,"&gt;"&amp;$B3923)=0),NOW(),_xlfn.MINIFS($B$3:$B$5000,$A$3:$A$5000,$A3923,$B$3:$B$5000,"&gt;"&amp;$B3923))</f>
        <v>46279.5987644806</v>
      </c>
    </row>
    <row r="3924" customFormat="false" ht="15" hidden="false" customHeight="true" outlineLevel="0" collapsed="false">
      <c r="A3924" s="42"/>
      <c r="B3924" s="42"/>
      <c r="C3924" s="42"/>
      <c r="D3924" s="42"/>
      <c r="E3924" s="42"/>
      <c r="F3924" s="51" t="n">
        <f aca="false">IF(OR(C3924="",D3924="",E3924="",E3924=0),0,C3924*D3924/E3924)</f>
        <v>0</v>
      </c>
      <c r="G3924" s="42"/>
      <c r="H3924" s="49" t="n">
        <f aca="true">IF(OR($A3924="",_xlfn.MINIFS($B$3:$B$5000,$A$3:$A$5000,$A3924,$B$3:$B$5000,"&gt;"&amp;$B3924)=0),NOW(),_xlfn.MINIFS($B$3:$B$5000,$A$3:$A$5000,$A3924,$B$3:$B$5000,"&gt;"&amp;$B3924))</f>
        <v>46279.5987644807</v>
      </c>
    </row>
    <row r="3925" customFormat="false" ht="15" hidden="false" customHeight="true" outlineLevel="0" collapsed="false">
      <c r="A3925" s="42"/>
      <c r="B3925" s="42"/>
      <c r="C3925" s="42"/>
      <c r="D3925" s="42"/>
      <c r="E3925" s="42"/>
      <c r="F3925" s="51" t="n">
        <f aca="false">IF(OR(C3925="",D3925="",E3925="",E3925=0),0,C3925*D3925/E3925)</f>
        <v>0</v>
      </c>
      <c r="G3925" s="42"/>
      <c r="H3925" s="49" t="n">
        <f aca="true">IF(OR($A3925="",_xlfn.MINIFS($B$3:$B$5000,$A$3:$A$5000,$A3925,$B$3:$B$5000,"&gt;"&amp;$B3925)=0),NOW(),_xlfn.MINIFS($B$3:$B$5000,$A$3:$A$5000,$A3925,$B$3:$B$5000,"&gt;"&amp;$B3925))</f>
        <v>46279.5987644807</v>
      </c>
    </row>
    <row r="3926" customFormat="false" ht="15" hidden="false" customHeight="true" outlineLevel="0" collapsed="false">
      <c r="A3926" s="42"/>
      <c r="B3926" s="42"/>
      <c r="C3926" s="42"/>
      <c r="D3926" s="42"/>
      <c r="E3926" s="42"/>
      <c r="F3926" s="51" t="n">
        <f aca="false">IF(OR(C3926="",D3926="",E3926="",E3926=0),0,C3926*D3926/E3926)</f>
        <v>0</v>
      </c>
      <c r="G3926" s="42"/>
      <c r="H3926" s="49" t="n">
        <f aca="true">IF(OR($A3926="",_xlfn.MINIFS($B$3:$B$5000,$A$3:$A$5000,$A3926,$B$3:$B$5000,"&gt;"&amp;$B3926)=0),NOW(),_xlfn.MINIFS($B$3:$B$5000,$A$3:$A$5000,$A3926,$B$3:$B$5000,"&gt;"&amp;$B3926))</f>
        <v>46279.5987644808</v>
      </c>
    </row>
    <row r="3927" customFormat="false" ht="15" hidden="false" customHeight="true" outlineLevel="0" collapsed="false">
      <c r="A3927" s="42"/>
      <c r="B3927" s="42"/>
      <c r="C3927" s="42"/>
      <c r="D3927" s="42"/>
      <c r="E3927" s="42"/>
      <c r="F3927" s="51" t="n">
        <f aca="false">IF(OR(C3927="",D3927="",E3927="",E3927=0),0,C3927*D3927/E3927)</f>
        <v>0</v>
      </c>
      <c r="G3927" s="42"/>
      <c r="H3927" s="49" t="n">
        <f aca="true">IF(OR($A3927="",_xlfn.MINIFS($B$3:$B$5000,$A$3:$A$5000,$A3927,$B$3:$B$5000,"&gt;"&amp;$B3927)=0),NOW(),_xlfn.MINIFS($B$3:$B$5000,$A$3:$A$5000,$A3927,$B$3:$B$5000,"&gt;"&amp;$B3927))</f>
        <v>46279.5987644808</v>
      </c>
    </row>
    <row r="3928" customFormat="false" ht="15" hidden="false" customHeight="true" outlineLevel="0" collapsed="false">
      <c r="A3928" s="42"/>
      <c r="B3928" s="42"/>
      <c r="C3928" s="42"/>
      <c r="D3928" s="42"/>
      <c r="E3928" s="42"/>
      <c r="F3928" s="51" t="n">
        <f aca="false">IF(OR(C3928="",D3928="",E3928="",E3928=0),0,C3928*D3928/E3928)</f>
        <v>0</v>
      </c>
      <c r="G3928" s="42"/>
      <c r="H3928" s="49" t="n">
        <f aca="true">IF(OR($A3928="",_xlfn.MINIFS($B$3:$B$5000,$A$3:$A$5000,$A3928,$B$3:$B$5000,"&gt;"&amp;$B3928)=0),NOW(),_xlfn.MINIFS($B$3:$B$5000,$A$3:$A$5000,$A3928,$B$3:$B$5000,"&gt;"&amp;$B3928))</f>
        <v>46279.5987644809</v>
      </c>
    </row>
    <row r="3929" customFormat="false" ht="15" hidden="false" customHeight="true" outlineLevel="0" collapsed="false">
      <c r="A3929" s="42"/>
      <c r="B3929" s="42"/>
      <c r="C3929" s="42"/>
      <c r="D3929" s="42"/>
      <c r="E3929" s="42"/>
      <c r="F3929" s="51" t="n">
        <f aca="false">IF(OR(C3929="",D3929="",E3929="",E3929=0),0,C3929*D3929/E3929)</f>
        <v>0</v>
      </c>
      <c r="G3929" s="42"/>
      <c r="H3929" s="49" t="n">
        <f aca="true">IF(OR($A3929="",_xlfn.MINIFS($B$3:$B$5000,$A$3:$A$5000,$A3929,$B$3:$B$5000,"&gt;"&amp;$B3929)=0),NOW(),_xlfn.MINIFS($B$3:$B$5000,$A$3:$A$5000,$A3929,$B$3:$B$5000,"&gt;"&amp;$B3929))</f>
        <v>46279.5987644809</v>
      </c>
    </row>
    <row r="3930" customFormat="false" ht="15" hidden="false" customHeight="true" outlineLevel="0" collapsed="false">
      <c r="A3930" s="42"/>
      <c r="B3930" s="42"/>
      <c r="C3930" s="42"/>
      <c r="D3930" s="42"/>
      <c r="E3930" s="42"/>
      <c r="F3930" s="51" t="n">
        <f aca="false">IF(OR(C3930="",D3930="",E3930="",E3930=0),0,C3930*D3930/E3930)</f>
        <v>0</v>
      </c>
      <c r="G3930" s="42"/>
      <c r="H3930" s="49" t="n">
        <f aca="true">IF(OR($A3930="",_xlfn.MINIFS($B$3:$B$5000,$A$3:$A$5000,$A3930,$B$3:$B$5000,"&gt;"&amp;$B3930)=0),NOW(),_xlfn.MINIFS($B$3:$B$5000,$A$3:$A$5000,$A3930,$B$3:$B$5000,"&gt;"&amp;$B3930))</f>
        <v>46279.598764481</v>
      </c>
    </row>
    <row r="3931" customFormat="false" ht="15" hidden="false" customHeight="true" outlineLevel="0" collapsed="false">
      <c r="A3931" s="42"/>
      <c r="B3931" s="42"/>
      <c r="C3931" s="42"/>
      <c r="D3931" s="42"/>
      <c r="E3931" s="42"/>
      <c r="F3931" s="51" t="n">
        <f aca="false">IF(OR(C3931="",D3931="",E3931="",E3931=0),0,C3931*D3931/E3931)</f>
        <v>0</v>
      </c>
      <c r="G3931" s="42"/>
      <c r="H3931" s="49" t="n">
        <f aca="true">IF(OR($A3931="",_xlfn.MINIFS($B$3:$B$5000,$A$3:$A$5000,$A3931,$B$3:$B$5000,"&gt;"&amp;$B3931)=0),NOW(),_xlfn.MINIFS($B$3:$B$5000,$A$3:$A$5000,$A3931,$B$3:$B$5000,"&gt;"&amp;$B3931))</f>
        <v>46279.598764481</v>
      </c>
    </row>
    <row r="3932" customFormat="false" ht="15" hidden="false" customHeight="true" outlineLevel="0" collapsed="false">
      <c r="A3932" s="42"/>
      <c r="B3932" s="42"/>
      <c r="C3932" s="42"/>
      <c r="D3932" s="42"/>
      <c r="E3932" s="42"/>
      <c r="F3932" s="51" t="n">
        <f aca="false">IF(OR(C3932="",D3932="",E3932="",E3932=0),0,C3932*D3932/E3932)</f>
        <v>0</v>
      </c>
      <c r="G3932" s="42"/>
      <c r="H3932" s="49" t="n">
        <f aca="true">IF(OR($A3932="",_xlfn.MINIFS($B$3:$B$5000,$A$3:$A$5000,$A3932,$B$3:$B$5000,"&gt;"&amp;$B3932)=0),NOW(),_xlfn.MINIFS($B$3:$B$5000,$A$3:$A$5000,$A3932,$B$3:$B$5000,"&gt;"&amp;$B3932))</f>
        <v>46279.5987644811</v>
      </c>
    </row>
    <row r="3933" customFormat="false" ht="15" hidden="false" customHeight="true" outlineLevel="0" collapsed="false">
      <c r="A3933" s="42"/>
      <c r="B3933" s="42"/>
      <c r="C3933" s="42"/>
      <c r="D3933" s="42"/>
      <c r="E3933" s="42"/>
      <c r="F3933" s="51" t="n">
        <f aca="false">IF(OR(C3933="",D3933="",E3933="",E3933=0),0,C3933*D3933/E3933)</f>
        <v>0</v>
      </c>
      <c r="G3933" s="42"/>
      <c r="H3933" s="49" t="n">
        <f aca="true">IF(OR($A3933="",_xlfn.MINIFS($B$3:$B$5000,$A$3:$A$5000,$A3933,$B$3:$B$5000,"&gt;"&amp;$B3933)=0),NOW(),_xlfn.MINIFS($B$3:$B$5000,$A$3:$A$5000,$A3933,$B$3:$B$5000,"&gt;"&amp;$B3933))</f>
        <v>46279.5987644811</v>
      </c>
    </row>
    <row r="3934" customFormat="false" ht="15" hidden="false" customHeight="true" outlineLevel="0" collapsed="false">
      <c r="A3934" s="42"/>
      <c r="B3934" s="42"/>
      <c r="C3934" s="42"/>
      <c r="D3934" s="42"/>
      <c r="E3934" s="42"/>
      <c r="F3934" s="51" t="n">
        <f aca="false">IF(OR(C3934="",D3934="",E3934="",E3934=0),0,C3934*D3934/E3934)</f>
        <v>0</v>
      </c>
      <c r="G3934" s="42"/>
      <c r="H3934" s="49" t="n">
        <f aca="true">IF(OR($A3934="",_xlfn.MINIFS($B$3:$B$5000,$A$3:$A$5000,$A3934,$B$3:$B$5000,"&gt;"&amp;$B3934)=0),NOW(),_xlfn.MINIFS($B$3:$B$5000,$A$3:$A$5000,$A3934,$B$3:$B$5000,"&gt;"&amp;$B3934))</f>
        <v>46279.5987644812</v>
      </c>
    </row>
    <row r="3935" customFormat="false" ht="15" hidden="false" customHeight="true" outlineLevel="0" collapsed="false">
      <c r="A3935" s="42"/>
      <c r="B3935" s="42"/>
      <c r="C3935" s="42"/>
      <c r="D3935" s="42"/>
      <c r="E3935" s="42"/>
      <c r="F3935" s="51" t="n">
        <f aca="false">IF(OR(C3935="",D3935="",E3935="",E3935=0),0,C3935*D3935/E3935)</f>
        <v>0</v>
      </c>
      <c r="G3935" s="42"/>
      <c r="H3935" s="49" t="n">
        <f aca="true">IF(OR($A3935="",_xlfn.MINIFS($B$3:$B$5000,$A$3:$A$5000,$A3935,$B$3:$B$5000,"&gt;"&amp;$B3935)=0),NOW(),_xlfn.MINIFS($B$3:$B$5000,$A$3:$A$5000,$A3935,$B$3:$B$5000,"&gt;"&amp;$B3935))</f>
        <v>46279.5987644812</v>
      </c>
    </row>
    <row r="3936" customFormat="false" ht="15" hidden="false" customHeight="true" outlineLevel="0" collapsed="false">
      <c r="A3936" s="42"/>
      <c r="B3936" s="42"/>
      <c r="C3936" s="42"/>
      <c r="D3936" s="42"/>
      <c r="E3936" s="42"/>
      <c r="F3936" s="51" t="n">
        <f aca="false">IF(OR(C3936="",D3936="",E3936="",E3936=0),0,C3936*D3936/E3936)</f>
        <v>0</v>
      </c>
      <c r="G3936" s="42"/>
      <c r="H3936" s="49" t="n">
        <f aca="true">IF(OR($A3936="",_xlfn.MINIFS($B$3:$B$5000,$A$3:$A$5000,$A3936,$B$3:$B$5000,"&gt;"&amp;$B3936)=0),NOW(),_xlfn.MINIFS($B$3:$B$5000,$A$3:$A$5000,$A3936,$B$3:$B$5000,"&gt;"&amp;$B3936))</f>
        <v>46279.5987644813</v>
      </c>
    </row>
    <row r="3937" customFormat="false" ht="15" hidden="false" customHeight="true" outlineLevel="0" collapsed="false">
      <c r="A3937" s="42"/>
      <c r="B3937" s="42"/>
      <c r="C3937" s="42"/>
      <c r="D3937" s="42"/>
      <c r="E3937" s="42"/>
      <c r="F3937" s="51" t="n">
        <f aca="false">IF(OR(C3937="",D3937="",E3937="",E3937=0),0,C3937*D3937/E3937)</f>
        <v>0</v>
      </c>
      <c r="G3937" s="42"/>
      <c r="H3937" s="49" t="n">
        <f aca="true">IF(OR($A3937="",_xlfn.MINIFS($B$3:$B$5000,$A$3:$A$5000,$A3937,$B$3:$B$5000,"&gt;"&amp;$B3937)=0),NOW(),_xlfn.MINIFS($B$3:$B$5000,$A$3:$A$5000,$A3937,$B$3:$B$5000,"&gt;"&amp;$B3937))</f>
        <v>46279.5987644813</v>
      </c>
    </row>
    <row r="3938" customFormat="false" ht="15" hidden="false" customHeight="true" outlineLevel="0" collapsed="false">
      <c r="A3938" s="42"/>
      <c r="B3938" s="42"/>
      <c r="C3938" s="42"/>
      <c r="D3938" s="42"/>
      <c r="E3938" s="42"/>
      <c r="F3938" s="51" t="n">
        <f aca="false">IF(OR(C3938="",D3938="",E3938="",E3938=0),0,C3938*D3938/E3938)</f>
        <v>0</v>
      </c>
      <c r="G3938" s="42"/>
      <c r="H3938" s="49" t="n">
        <f aca="true">IF(OR($A3938="",_xlfn.MINIFS($B$3:$B$5000,$A$3:$A$5000,$A3938,$B$3:$B$5000,"&gt;"&amp;$B3938)=0),NOW(),_xlfn.MINIFS($B$3:$B$5000,$A$3:$A$5000,$A3938,$B$3:$B$5000,"&gt;"&amp;$B3938))</f>
        <v>46279.5987644814</v>
      </c>
    </row>
    <row r="3939" customFormat="false" ht="15" hidden="false" customHeight="true" outlineLevel="0" collapsed="false">
      <c r="A3939" s="42"/>
      <c r="B3939" s="42"/>
      <c r="C3939" s="42"/>
      <c r="D3939" s="42"/>
      <c r="E3939" s="42"/>
      <c r="F3939" s="51" t="n">
        <f aca="false">IF(OR(C3939="",D3939="",E3939="",E3939=0),0,C3939*D3939/E3939)</f>
        <v>0</v>
      </c>
      <c r="G3939" s="42"/>
      <c r="H3939" s="49" t="n">
        <f aca="true">IF(OR($A3939="",_xlfn.MINIFS($B$3:$B$5000,$A$3:$A$5000,$A3939,$B$3:$B$5000,"&gt;"&amp;$B3939)=0),NOW(),_xlfn.MINIFS($B$3:$B$5000,$A$3:$A$5000,$A3939,$B$3:$B$5000,"&gt;"&amp;$B3939))</f>
        <v>46279.5987644814</v>
      </c>
    </row>
    <row r="3940" customFormat="false" ht="15" hidden="false" customHeight="true" outlineLevel="0" collapsed="false">
      <c r="A3940" s="42"/>
      <c r="B3940" s="42"/>
      <c r="C3940" s="42"/>
      <c r="D3940" s="42"/>
      <c r="E3940" s="42"/>
      <c r="F3940" s="51" t="n">
        <f aca="false">IF(OR(C3940="",D3940="",E3940="",E3940=0),0,C3940*D3940/E3940)</f>
        <v>0</v>
      </c>
      <c r="G3940" s="42"/>
      <c r="H3940" s="49" t="n">
        <f aca="true">IF(OR($A3940="",_xlfn.MINIFS($B$3:$B$5000,$A$3:$A$5000,$A3940,$B$3:$B$5000,"&gt;"&amp;$B3940)=0),NOW(),_xlfn.MINIFS($B$3:$B$5000,$A$3:$A$5000,$A3940,$B$3:$B$5000,"&gt;"&amp;$B3940))</f>
        <v>46279.5987644815</v>
      </c>
    </row>
    <row r="3941" customFormat="false" ht="15" hidden="false" customHeight="true" outlineLevel="0" collapsed="false">
      <c r="A3941" s="42"/>
      <c r="B3941" s="42"/>
      <c r="C3941" s="42"/>
      <c r="D3941" s="42"/>
      <c r="E3941" s="42"/>
      <c r="F3941" s="51" t="n">
        <f aca="false">IF(OR(C3941="",D3941="",E3941="",E3941=0),0,C3941*D3941/E3941)</f>
        <v>0</v>
      </c>
      <c r="G3941" s="42"/>
      <c r="H3941" s="49" t="n">
        <f aca="true">IF(OR($A3941="",_xlfn.MINIFS($B$3:$B$5000,$A$3:$A$5000,$A3941,$B$3:$B$5000,"&gt;"&amp;$B3941)=0),NOW(),_xlfn.MINIFS($B$3:$B$5000,$A$3:$A$5000,$A3941,$B$3:$B$5000,"&gt;"&amp;$B3941))</f>
        <v>46279.5987644815</v>
      </c>
    </row>
    <row r="3942" customFormat="false" ht="15" hidden="false" customHeight="true" outlineLevel="0" collapsed="false">
      <c r="A3942" s="42"/>
      <c r="B3942" s="42"/>
      <c r="C3942" s="42"/>
      <c r="D3942" s="42"/>
      <c r="E3942" s="42"/>
      <c r="F3942" s="51" t="n">
        <f aca="false">IF(OR(C3942="",D3942="",E3942="",E3942=0),0,C3942*D3942/E3942)</f>
        <v>0</v>
      </c>
      <c r="G3942" s="42"/>
      <c r="H3942" s="49" t="n">
        <f aca="true">IF(OR($A3942="",_xlfn.MINIFS($B$3:$B$5000,$A$3:$A$5000,$A3942,$B$3:$B$5000,"&gt;"&amp;$B3942)=0),NOW(),_xlfn.MINIFS($B$3:$B$5000,$A$3:$A$5000,$A3942,$B$3:$B$5000,"&gt;"&amp;$B3942))</f>
        <v>46279.5987644816</v>
      </c>
    </row>
    <row r="3943" customFormat="false" ht="15" hidden="false" customHeight="true" outlineLevel="0" collapsed="false">
      <c r="A3943" s="42"/>
      <c r="B3943" s="42"/>
      <c r="C3943" s="42"/>
      <c r="D3943" s="42"/>
      <c r="E3943" s="42"/>
      <c r="F3943" s="51" t="n">
        <f aca="false">IF(OR(C3943="",D3943="",E3943="",E3943=0),0,C3943*D3943/E3943)</f>
        <v>0</v>
      </c>
      <c r="G3943" s="42"/>
      <c r="H3943" s="49" t="n">
        <f aca="true">IF(OR($A3943="",_xlfn.MINIFS($B$3:$B$5000,$A$3:$A$5000,$A3943,$B$3:$B$5000,"&gt;"&amp;$B3943)=0),NOW(),_xlfn.MINIFS($B$3:$B$5000,$A$3:$A$5000,$A3943,$B$3:$B$5000,"&gt;"&amp;$B3943))</f>
        <v>46279.5987644816</v>
      </c>
    </row>
    <row r="3944" customFormat="false" ht="15" hidden="false" customHeight="true" outlineLevel="0" collapsed="false">
      <c r="A3944" s="42"/>
      <c r="B3944" s="42"/>
      <c r="C3944" s="42"/>
      <c r="D3944" s="42"/>
      <c r="E3944" s="42"/>
      <c r="F3944" s="51" t="n">
        <f aca="false">IF(OR(C3944="",D3944="",E3944="",E3944=0),0,C3944*D3944/E3944)</f>
        <v>0</v>
      </c>
      <c r="G3944" s="42"/>
      <c r="H3944" s="49" t="n">
        <f aca="true">IF(OR($A3944="",_xlfn.MINIFS($B$3:$B$5000,$A$3:$A$5000,$A3944,$B$3:$B$5000,"&gt;"&amp;$B3944)=0),NOW(),_xlfn.MINIFS($B$3:$B$5000,$A$3:$A$5000,$A3944,$B$3:$B$5000,"&gt;"&amp;$B3944))</f>
        <v>46279.5987644817</v>
      </c>
    </row>
    <row r="3945" customFormat="false" ht="15" hidden="false" customHeight="true" outlineLevel="0" collapsed="false">
      <c r="A3945" s="42"/>
      <c r="B3945" s="42"/>
      <c r="C3945" s="42"/>
      <c r="D3945" s="42"/>
      <c r="E3945" s="42"/>
      <c r="F3945" s="51" t="n">
        <f aca="false">IF(OR(C3945="",D3945="",E3945="",E3945=0),0,C3945*D3945/E3945)</f>
        <v>0</v>
      </c>
      <c r="G3945" s="42"/>
      <c r="H3945" s="49" t="n">
        <f aca="true">IF(OR($A3945="",_xlfn.MINIFS($B$3:$B$5000,$A$3:$A$5000,$A3945,$B$3:$B$5000,"&gt;"&amp;$B3945)=0),NOW(),_xlfn.MINIFS($B$3:$B$5000,$A$3:$A$5000,$A3945,$B$3:$B$5000,"&gt;"&amp;$B3945))</f>
        <v>46279.5987644817</v>
      </c>
    </row>
    <row r="3946" customFormat="false" ht="15" hidden="false" customHeight="true" outlineLevel="0" collapsed="false">
      <c r="A3946" s="42"/>
      <c r="B3946" s="42"/>
      <c r="C3946" s="42"/>
      <c r="D3946" s="42"/>
      <c r="E3946" s="42"/>
      <c r="F3946" s="51" t="n">
        <f aca="false">IF(OR(C3946="",D3946="",E3946="",E3946=0),0,C3946*D3946/E3946)</f>
        <v>0</v>
      </c>
      <c r="G3946" s="42"/>
      <c r="H3946" s="49" t="n">
        <f aca="true">IF(OR($A3946="",_xlfn.MINIFS($B$3:$B$5000,$A$3:$A$5000,$A3946,$B$3:$B$5000,"&gt;"&amp;$B3946)=0),NOW(),_xlfn.MINIFS($B$3:$B$5000,$A$3:$A$5000,$A3946,$B$3:$B$5000,"&gt;"&amp;$B3946))</f>
        <v>46279.5987644818</v>
      </c>
    </row>
    <row r="3947" customFormat="false" ht="15" hidden="false" customHeight="true" outlineLevel="0" collapsed="false">
      <c r="A3947" s="42"/>
      <c r="B3947" s="42"/>
      <c r="C3947" s="42"/>
      <c r="D3947" s="42"/>
      <c r="E3947" s="42"/>
      <c r="F3947" s="51" t="n">
        <f aca="false">IF(OR(C3947="",D3947="",E3947="",E3947=0),0,C3947*D3947/E3947)</f>
        <v>0</v>
      </c>
      <c r="G3947" s="42"/>
      <c r="H3947" s="49" t="n">
        <f aca="true">IF(OR($A3947="",_xlfn.MINIFS($B$3:$B$5000,$A$3:$A$5000,$A3947,$B$3:$B$5000,"&gt;"&amp;$B3947)=0),NOW(),_xlfn.MINIFS($B$3:$B$5000,$A$3:$A$5000,$A3947,$B$3:$B$5000,"&gt;"&amp;$B3947))</f>
        <v>46279.5987644818</v>
      </c>
    </row>
    <row r="3948" customFormat="false" ht="15" hidden="false" customHeight="true" outlineLevel="0" collapsed="false">
      <c r="A3948" s="42"/>
      <c r="B3948" s="42"/>
      <c r="C3948" s="42"/>
      <c r="D3948" s="42"/>
      <c r="E3948" s="42"/>
      <c r="F3948" s="51" t="n">
        <f aca="false">IF(OR(C3948="",D3948="",E3948="",E3948=0),0,C3948*D3948/E3948)</f>
        <v>0</v>
      </c>
      <c r="G3948" s="42"/>
      <c r="H3948" s="49" t="n">
        <f aca="true">IF(OR($A3948="",_xlfn.MINIFS($B$3:$B$5000,$A$3:$A$5000,$A3948,$B$3:$B$5000,"&gt;"&amp;$B3948)=0),NOW(),_xlfn.MINIFS($B$3:$B$5000,$A$3:$A$5000,$A3948,$B$3:$B$5000,"&gt;"&amp;$B3948))</f>
        <v>46279.5987644819</v>
      </c>
    </row>
    <row r="3949" customFormat="false" ht="15" hidden="false" customHeight="true" outlineLevel="0" collapsed="false">
      <c r="A3949" s="42"/>
      <c r="B3949" s="42"/>
      <c r="C3949" s="42"/>
      <c r="D3949" s="42"/>
      <c r="E3949" s="42"/>
      <c r="F3949" s="51" t="n">
        <f aca="false">IF(OR(C3949="",D3949="",E3949="",E3949=0),0,C3949*D3949/E3949)</f>
        <v>0</v>
      </c>
      <c r="G3949" s="42"/>
      <c r="H3949" s="49" t="n">
        <f aca="true">IF(OR($A3949="",_xlfn.MINIFS($B$3:$B$5000,$A$3:$A$5000,$A3949,$B$3:$B$5000,"&gt;"&amp;$B3949)=0),NOW(),_xlfn.MINIFS($B$3:$B$5000,$A$3:$A$5000,$A3949,$B$3:$B$5000,"&gt;"&amp;$B3949))</f>
        <v>46279.5987644819</v>
      </c>
    </row>
    <row r="3950" customFormat="false" ht="15" hidden="false" customHeight="true" outlineLevel="0" collapsed="false">
      <c r="A3950" s="42"/>
      <c r="B3950" s="42"/>
      <c r="C3950" s="42"/>
      <c r="D3950" s="42"/>
      <c r="E3950" s="42"/>
      <c r="F3950" s="51" t="n">
        <f aca="false">IF(OR(C3950="",D3950="",E3950="",E3950=0),0,C3950*D3950/E3950)</f>
        <v>0</v>
      </c>
      <c r="G3950" s="42"/>
      <c r="H3950" s="49" t="n">
        <f aca="true">IF(OR($A3950="",_xlfn.MINIFS($B$3:$B$5000,$A$3:$A$5000,$A3950,$B$3:$B$5000,"&gt;"&amp;$B3950)=0),NOW(),_xlfn.MINIFS($B$3:$B$5000,$A$3:$A$5000,$A3950,$B$3:$B$5000,"&gt;"&amp;$B3950))</f>
        <v>46279.598764482</v>
      </c>
    </row>
    <row r="3951" customFormat="false" ht="15" hidden="false" customHeight="true" outlineLevel="0" collapsed="false">
      <c r="A3951" s="42"/>
      <c r="B3951" s="42"/>
      <c r="C3951" s="42"/>
      <c r="D3951" s="42"/>
      <c r="E3951" s="42"/>
      <c r="F3951" s="51" t="n">
        <f aca="false">IF(OR(C3951="",D3951="",E3951="",E3951=0),0,C3951*D3951/E3951)</f>
        <v>0</v>
      </c>
      <c r="G3951" s="42"/>
      <c r="H3951" s="49" t="n">
        <f aca="true">IF(OR($A3951="",_xlfn.MINIFS($B$3:$B$5000,$A$3:$A$5000,$A3951,$B$3:$B$5000,"&gt;"&amp;$B3951)=0),NOW(),_xlfn.MINIFS($B$3:$B$5000,$A$3:$A$5000,$A3951,$B$3:$B$5000,"&gt;"&amp;$B3951))</f>
        <v>46279.598764482</v>
      </c>
    </row>
    <row r="3952" customFormat="false" ht="15" hidden="false" customHeight="true" outlineLevel="0" collapsed="false">
      <c r="A3952" s="42"/>
      <c r="B3952" s="42"/>
      <c r="C3952" s="42"/>
      <c r="D3952" s="42"/>
      <c r="E3952" s="42"/>
      <c r="F3952" s="51" t="n">
        <f aca="false">IF(OR(C3952="",D3952="",E3952="",E3952=0),0,C3952*D3952/E3952)</f>
        <v>0</v>
      </c>
      <c r="G3952" s="42"/>
      <c r="H3952" s="49" t="n">
        <f aca="true">IF(OR($A3952="",_xlfn.MINIFS($B$3:$B$5000,$A$3:$A$5000,$A3952,$B$3:$B$5000,"&gt;"&amp;$B3952)=0),NOW(),_xlfn.MINIFS($B$3:$B$5000,$A$3:$A$5000,$A3952,$B$3:$B$5000,"&gt;"&amp;$B3952))</f>
        <v>46279.5987644821</v>
      </c>
    </row>
    <row r="3953" customFormat="false" ht="15" hidden="false" customHeight="true" outlineLevel="0" collapsed="false">
      <c r="A3953" s="42"/>
      <c r="B3953" s="42"/>
      <c r="C3953" s="42"/>
      <c r="D3953" s="42"/>
      <c r="E3953" s="42"/>
      <c r="F3953" s="51" t="n">
        <f aca="false">IF(OR(C3953="",D3953="",E3953="",E3953=0),0,C3953*D3953/E3953)</f>
        <v>0</v>
      </c>
      <c r="G3953" s="42"/>
      <c r="H3953" s="49" t="n">
        <f aca="true">IF(OR($A3953="",_xlfn.MINIFS($B$3:$B$5000,$A$3:$A$5000,$A3953,$B$3:$B$5000,"&gt;"&amp;$B3953)=0),NOW(),_xlfn.MINIFS($B$3:$B$5000,$A$3:$A$5000,$A3953,$B$3:$B$5000,"&gt;"&amp;$B3953))</f>
        <v>46279.5987644821</v>
      </c>
    </row>
    <row r="3954" customFormat="false" ht="15" hidden="false" customHeight="true" outlineLevel="0" collapsed="false">
      <c r="A3954" s="42"/>
      <c r="B3954" s="42"/>
      <c r="C3954" s="42"/>
      <c r="D3954" s="42"/>
      <c r="E3954" s="42"/>
      <c r="F3954" s="51" t="n">
        <f aca="false">IF(OR(C3954="",D3954="",E3954="",E3954=0),0,C3954*D3954/E3954)</f>
        <v>0</v>
      </c>
      <c r="G3954" s="42"/>
      <c r="H3954" s="49" t="n">
        <f aca="true">IF(OR($A3954="",_xlfn.MINIFS($B$3:$B$5000,$A$3:$A$5000,$A3954,$B$3:$B$5000,"&gt;"&amp;$B3954)=0),NOW(),_xlfn.MINIFS($B$3:$B$5000,$A$3:$A$5000,$A3954,$B$3:$B$5000,"&gt;"&amp;$B3954))</f>
        <v>46279.5987644822</v>
      </c>
    </row>
    <row r="3955" customFormat="false" ht="15" hidden="false" customHeight="true" outlineLevel="0" collapsed="false">
      <c r="A3955" s="42"/>
      <c r="B3955" s="42"/>
      <c r="C3955" s="42"/>
      <c r="D3955" s="42"/>
      <c r="E3955" s="42"/>
      <c r="F3955" s="51" t="n">
        <f aca="false">IF(OR(C3955="",D3955="",E3955="",E3955=0),0,C3955*D3955/E3955)</f>
        <v>0</v>
      </c>
      <c r="G3955" s="42"/>
      <c r="H3955" s="49" t="n">
        <f aca="true">IF(OR($A3955="",_xlfn.MINIFS($B$3:$B$5000,$A$3:$A$5000,$A3955,$B$3:$B$5000,"&gt;"&amp;$B3955)=0),NOW(),_xlfn.MINIFS($B$3:$B$5000,$A$3:$A$5000,$A3955,$B$3:$B$5000,"&gt;"&amp;$B3955))</f>
        <v>46279.5987644822</v>
      </c>
    </row>
    <row r="3956" customFormat="false" ht="15" hidden="false" customHeight="true" outlineLevel="0" collapsed="false">
      <c r="A3956" s="42"/>
      <c r="B3956" s="42"/>
      <c r="C3956" s="42"/>
      <c r="D3956" s="42"/>
      <c r="E3956" s="42"/>
      <c r="F3956" s="51" t="n">
        <f aca="false">IF(OR(C3956="",D3956="",E3956="",E3956=0),0,C3956*D3956/E3956)</f>
        <v>0</v>
      </c>
      <c r="G3956" s="42"/>
      <c r="H3956" s="49" t="n">
        <f aca="true">IF(OR($A3956="",_xlfn.MINIFS($B$3:$B$5000,$A$3:$A$5000,$A3956,$B$3:$B$5000,"&gt;"&amp;$B3956)=0),NOW(),_xlfn.MINIFS($B$3:$B$5000,$A$3:$A$5000,$A3956,$B$3:$B$5000,"&gt;"&amp;$B3956))</f>
        <v>46279.5987644823</v>
      </c>
    </row>
    <row r="3957" customFormat="false" ht="15" hidden="false" customHeight="true" outlineLevel="0" collapsed="false">
      <c r="A3957" s="42"/>
      <c r="B3957" s="42"/>
      <c r="C3957" s="42"/>
      <c r="D3957" s="42"/>
      <c r="E3957" s="42"/>
      <c r="F3957" s="51" t="n">
        <f aca="false">IF(OR(C3957="",D3957="",E3957="",E3957=0),0,C3957*D3957/E3957)</f>
        <v>0</v>
      </c>
      <c r="G3957" s="42"/>
      <c r="H3957" s="49" t="n">
        <f aca="true">IF(OR($A3957="",_xlfn.MINIFS($B$3:$B$5000,$A$3:$A$5000,$A3957,$B$3:$B$5000,"&gt;"&amp;$B3957)=0),NOW(),_xlfn.MINIFS($B$3:$B$5000,$A$3:$A$5000,$A3957,$B$3:$B$5000,"&gt;"&amp;$B3957))</f>
        <v>46279.5987644823</v>
      </c>
    </row>
    <row r="3958" customFormat="false" ht="15" hidden="false" customHeight="true" outlineLevel="0" collapsed="false">
      <c r="A3958" s="42"/>
      <c r="B3958" s="42"/>
      <c r="C3958" s="42"/>
      <c r="D3958" s="42"/>
      <c r="E3958" s="42"/>
      <c r="F3958" s="51" t="n">
        <f aca="false">IF(OR(C3958="",D3958="",E3958="",E3958=0),0,C3958*D3958/E3958)</f>
        <v>0</v>
      </c>
      <c r="G3958" s="42"/>
      <c r="H3958" s="49" t="n">
        <f aca="true">IF(OR($A3958="",_xlfn.MINIFS($B$3:$B$5000,$A$3:$A$5000,$A3958,$B$3:$B$5000,"&gt;"&amp;$B3958)=0),NOW(),_xlfn.MINIFS($B$3:$B$5000,$A$3:$A$5000,$A3958,$B$3:$B$5000,"&gt;"&amp;$B3958))</f>
        <v>46279.5987644824</v>
      </c>
    </row>
    <row r="3959" customFormat="false" ht="15" hidden="false" customHeight="true" outlineLevel="0" collapsed="false">
      <c r="A3959" s="42"/>
      <c r="B3959" s="42"/>
      <c r="C3959" s="42"/>
      <c r="D3959" s="42"/>
      <c r="E3959" s="42"/>
      <c r="F3959" s="51" t="n">
        <f aca="false">IF(OR(C3959="",D3959="",E3959="",E3959=0),0,C3959*D3959/E3959)</f>
        <v>0</v>
      </c>
      <c r="G3959" s="42"/>
      <c r="H3959" s="49" t="n">
        <f aca="true">IF(OR($A3959="",_xlfn.MINIFS($B$3:$B$5000,$A$3:$A$5000,$A3959,$B$3:$B$5000,"&gt;"&amp;$B3959)=0),NOW(),_xlfn.MINIFS($B$3:$B$5000,$A$3:$A$5000,$A3959,$B$3:$B$5000,"&gt;"&amp;$B3959))</f>
        <v>46279.5987644824</v>
      </c>
    </row>
    <row r="3960" customFormat="false" ht="15" hidden="false" customHeight="true" outlineLevel="0" collapsed="false">
      <c r="A3960" s="42"/>
      <c r="B3960" s="42"/>
      <c r="C3960" s="42"/>
      <c r="D3960" s="42"/>
      <c r="E3960" s="42"/>
      <c r="F3960" s="51" t="n">
        <f aca="false">IF(OR(C3960="",D3960="",E3960="",E3960=0),0,C3960*D3960/E3960)</f>
        <v>0</v>
      </c>
      <c r="G3960" s="42"/>
      <c r="H3960" s="49" t="n">
        <f aca="true">IF(OR($A3960="",_xlfn.MINIFS($B$3:$B$5000,$A$3:$A$5000,$A3960,$B$3:$B$5000,"&gt;"&amp;$B3960)=0),NOW(),_xlfn.MINIFS($B$3:$B$5000,$A$3:$A$5000,$A3960,$B$3:$B$5000,"&gt;"&amp;$B3960))</f>
        <v>46279.5987644825</v>
      </c>
    </row>
    <row r="3961" customFormat="false" ht="15" hidden="false" customHeight="true" outlineLevel="0" collapsed="false">
      <c r="A3961" s="42"/>
      <c r="B3961" s="42"/>
      <c r="C3961" s="42"/>
      <c r="D3961" s="42"/>
      <c r="E3961" s="42"/>
      <c r="F3961" s="51" t="n">
        <f aca="false">IF(OR(C3961="",D3961="",E3961="",E3961=0),0,C3961*D3961/E3961)</f>
        <v>0</v>
      </c>
      <c r="G3961" s="42"/>
      <c r="H3961" s="49" t="n">
        <f aca="true">IF(OR($A3961="",_xlfn.MINIFS($B$3:$B$5000,$A$3:$A$5000,$A3961,$B$3:$B$5000,"&gt;"&amp;$B3961)=0),NOW(),_xlfn.MINIFS($B$3:$B$5000,$A$3:$A$5000,$A3961,$B$3:$B$5000,"&gt;"&amp;$B3961))</f>
        <v>46279.5987644825</v>
      </c>
    </row>
    <row r="3962" customFormat="false" ht="15" hidden="false" customHeight="true" outlineLevel="0" collapsed="false">
      <c r="A3962" s="42"/>
      <c r="B3962" s="42"/>
      <c r="C3962" s="42"/>
      <c r="D3962" s="42"/>
      <c r="E3962" s="42"/>
      <c r="F3962" s="51" t="n">
        <f aca="false">IF(OR(C3962="",D3962="",E3962="",E3962=0),0,C3962*D3962/E3962)</f>
        <v>0</v>
      </c>
      <c r="G3962" s="42"/>
      <c r="H3962" s="49" t="n">
        <f aca="true">IF(OR($A3962="",_xlfn.MINIFS($B$3:$B$5000,$A$3:$A$5000,$A3962,$B$3:$B$5000,"&gt;"&amp;$B3962)=0),NOW(),_xlfn.MINIFS($B$3:$B$5000,$A$3:$A$5000,$A3962,$B$3:$B$5000,"&gt;"&amp;$B3962))</f>
        <v>46279.5987644826</v>
      </c>
    </row>
    <row r="3963" customFormat="false" ht="15" hidden="false" customHeight="true" outlineLevel="0" collapsed="false">
      <c r="A3963" s="42"/>
      <c r="B3963" s="42"/>
      <c r="C3963" s="42"/>
      <c r="D3963" s="42"/>
      <c r="E3963" s="42"/>
      <c r="F3963" s="51" t="n">
        <f aca="false">IF(OR(C3963="",D3963="",E3963="",E3963=0),0,C3963*D3963/E3963)</f>
        <v>0</v>
      </c>
      <c r="G3963" s="42"/>
      <c r="H3963" s="49" t="n">
        <f aca="true">IF(OR($A3963="",_xlfn.MINIFS($B$3:$B$5000,$A$3:$A$5000,$A3963,$B$3:$B$5000,"&gt;"&amp;$B3963)=0),NOW(),_xlfn.MINIFS($B$3:$B$5000,$A$3:$A$5000,$A3963,$B$3:$B$5000,"&gt;"&amp;$B3963))</f>
        <v>46279.5987644826</v>
      </c>
    </row>
    <row r="3964" customFormat="false" ht="15" hidden="false" customHeight="true" outlineLevel="0" collapsed="false">
      <c r="A3964" s="42"/>
      <c r="B3964" s="42"/>
      <c r="C3964" s="42"/>
      <c r="D3964" s="42"/>
      <c r="E3964" s="42"/>
      <c r="F3964" s="51" t="n">
        <f aca="false">IF(OR(C3964="",D3964="",E3964="",E3964=0),0,C3964*D3964/E3964)</f>
        <v>0</v>
      </c>
      <c r="G3964" s="42"/>
      <c r="H3964" s="49" t="n">
        <f aca="true">IF(OR($A3964="",_xlfn.MINIFS($B$3:$B$5000,$A$3:$A$5000,$A3964,$B$3:$B$5000,"&gt;"&amp;$B3964)=0),NOW(),_xlfn.MINIFS($B$3:$B$5000,$A$3:$A$5000,$A3964,$B$3:$B$5000,"&gt;"&amp;$B3964))</f>
        <v>46279.5987644827</v>
      </c>
    </row>
    <row r="3965" customFormat="false" ht="15" hidden="false" customHeight="true" outlineLevel="0" collapsed="false">
      <c r="A3965" s="42"/>
      <c r="B3965" s="42"/>
      <c r="C3965" s="42"/>
      <c r="D3965" s="42"/>
      <c r="E3965" s="42"/>
      <c r="F3965" s="51" t="n">
        <f aca="false">IF(OR(C3965="",D3965="",E3965="",E3965=0),0,C3965*D3965/E3965)</f>
        <v>0</v>
      </c>
      <c r="G3965" s="42"/>
      <c r="H3965" s="49" t="n">
        <f aca="true">IF(OR($A3965="",_xlfn.MINIFS($B$3:$B$5000,$A$3:$A$5000,$A3965,$B$3:$B$5000,"&gt;"&amp;$B3965)=0),NOW(),_xlfn.MINIFS($B$3:$B$5000,$A$3:$A$5000,$A3965,$B$3:$B$5000,"&gt;"&amp;$B3965))</f>
        <v>46279.5987644827</v>
      </c>
    </row>
    <row r="3966" customFormat="false" ht="15" hidden="false" customHeight="true" outlineLevel="0" collapsed="false">
      <c r="A3966" s="42"/>
      <c r="B3966" s="42"/>
      <c r="C3966" s="42"/>
      <c r="D3966" s="42"/>
      <c r="E3966" s="42"/>
      <c r="F3966" s="51" t="n">
        <f aca="false">IF(OR(C3966="",D3966="",E3966="",E3966=0),0,C3966*D3966/E3966)</f>
        <v>0</v>
      </c>
      <c r="G3966" s="42"/>
      <c r="H3966" s="49" t="n">
        <f aca="true">IF(OR($A3966="",_xlfn.MINIFS($B$3:$B$5000,$A$3:$A$5000,$A3966,$B$3:$B$5000,"&gt;"&amp;$B3966)=0),NOW(),_xlfn.MINIFS($B$3:$B$5000,$A$3:$A$5000,$A3966,$B$3:$B$5000,"&gt;"&amp;$B3966))</f>
        <v>46279.5987644828</v>
      </c>
    </row>
    <row r="3967" customFormat="false" ht="15" hidden="false" customHeight="true" outlineLevel="0" collapsed="false">
      <c r="A3967" s="42"/>
      <c r="B3967" s="42"/>
      <c r="C3967" s="42"/>
      <c r="D3967" s="42"/>
      <c r="E3967" s="42"/>
      <c r="F3967" s="51" t="n">
        <f aca="false">IF(OR(C3967="",D3967="",E3967="",E3967=0),0,C3967*D3967/E3967)</f>
        <v>0</v>
      </c>
      <c r="G3967" s="42"/>
      <c r="H3967" s="49" t="n">
        <f aca="true">IF(OR($A3967="",_xlfn.MINIFS($B$3:$B$5000,$A$3:$A$5000,$A3967,$B$3:$B$5000,"&gt;"&amp;$B3967)=0),NOW(),_xlfn.MINIFS($B$3:$B$5000,$A$3:$A$5000,$A3967,$B$3:$B$5000,"&gt;"&amp;$B3967))</f>
        <v>46279.5987644828</v>
      </c>
    </row>
    <row r="3968" customFormat="false" ht="15" hidden="false" customHeight="true" outlineLevel="0" collapsed="false">
      <c r="A3968" s="42"/>
      <c r="B3968" s="42"/>
      <c r="C3968" s="42"/>
      <c r="D3968" s="42"/>
      <c r="E3968" s="42"/>
      <c r="F3968" s="51" t="n">
        <f aca="false">IF(OR(C3968="",D3968="",E3968="",E3968=0),0,C3968*D3968/E3968)</f>
        <v>0</v>
      </c>
      <c r="G3968" s="42"/>
      <c r="H3968" s="49" t="n">
        <f aca="true">IF(OR($A3968="",_xlfn.MINIFS($B$3:$B$5000,$A$3:$A$5000,$A3968,$B$3:$B$5000,"&gt;"&amp;$B3968)=0),NOW(),_xlfn.MINIFS($B$3:$B$5000,$A$3:$A$5000,$A3968,$B$3:$B$5000,"&gt;"&amp;$B3968))</f>
        <v>46279.5987644829</v>
      </c>
    </row>
    <row r="3969" customFormat="false" ht="15" hidden="false" customHeight="true" outlineLevel="0" collapsed="false">
      <c r="A3969" s="42"/>
      <c r="B3969" s="42"/>
      <c r="C3969" s="42"/>
      <c r="D3969" s="42"/>
      <c r="E3969" s="42"/>
      <c r="F3969" s="51" t="n">
        <f aca="false">IF(OR(C3969="",D3969="",E3969="",E3969=0),0,C3969*D3969/E3969)</f>
        <v>0</v>
      </c>
      <c r="G3969" s="42"/>
      <c r="H3969" s="49" t="n">
        <f aca="true">IF(OR($A3969="",_xlfn.MINIFS($B$3:$B$5000,$A$3:$A$5000,$A3969,$B$3:$B$5000,"&gt;"&amp;$B3969)=0),NOW(),_xlfn.MINIFS($B$3:$B$5000,$A$3:$A$5000,$A3969,$B$3:$B$5000,"&gt;"&amp;$B3969))</f>
        <v>46279.5987644829</v>
      </c>
    </row>
    <row r="3970" customFormat="false" ht="15" hidden="false" customHeight="true" outlineLevel="0" collapsed="false">
      <c r="A3970" s="42"/>
      <c r="B3970" s="42"/>
      <c r="C3970" s="42"/>
      <c r="D3970" s="42"/>
      <c r="E3970" s="42"/>
      <c r="F3970" s="51" t="n">
        <f aca="false">IF(OR(C3970="",D3970="",E3970="",E3970=0),0,C3970*D3970/E3970)</f>
        <v>0</v>
      </c>
      <c r="G3970" s="42"/>
      <c r="H3970" s="49" t="n">
        <f aca="true">IF(OR($A3970="",_xlfn.MINIFS($B$3:$B$5000,$A$3:$A$5000,$A3970,$B$3:$B$5000,"&gt;"&amp;$B3970)=0),NOW(),_xlfn.MINIFS($B$3:$B$5000,$A$3:$A$5000,$A3970,$B$3:$B$5000,"&gt;"&amp;$B3970))</f>
        <v>46279.598764483</v>
      </c>
    </row>
    <row r="3971" customFormat="false" ht="15" hidden="false" customHeight="true" outlineLevel="0" collapsed="false">
      <c r="A3971" s="42"/>
      <c r="B3971" s="42"/>
      <c r="C3971" s="42"/>
      <c r="D3971" s="42"/>
      <c r="E3971" s="42"/>
      <c r="F3971" s="51" t="n">
        <f aca="false">IF(OR(C3971="",D3971="",E3971="",E3971=0),0,C3971*D3971/E3971)</f>
        <v>0</v>
      </c>
      <c r="G3971" s="42"/>
      <c r="H3971" s="49" t="n">
        <f aca="true">IF(OR($A3971="",_xlfn.MINIFS($B$3:$B$5000,$A$3:$A$5000,$A3971,$B$3:$B$5000,"&gt;"&amp;$B3971)=0),NOW(),_xlfn.MINIFS($B$3:$B$5000,$A$3:$A$5000,$A3971,$B$3:$B$5000,"&gt;"&amp;$B3971))</f>
        <v>46279.598764483</v>
      </c>
    </row>
    <row r="3972" customFormat="false" ht="15" hidden="false" customHeight="true" outlineLevel="0" collapsed="false">
      <c r="A3972" s="42"/>
      <c r="B3972" s="42"/>
      <c r="C3972" s="42"/>
      <c r="D3972" s="42"/>
      <c r="E3972" s="42"/>
      <c r="F3972" s="51" t="n">
        <f aca="false">IF(OR(C3972="",D3972="",E3972="",E3972=0),0,C3972*D3972/E3972)</f>
        <v>0</v>
      </c>
      <c r="G3972" s="42"/>
      <c r="H3972" s="49" t="n">
        <f aca="true">IF(OR($A3972="",_xlfn.MINIFS($B$3:$B$5000,$A$3:$A$5000,$A3972,$B$3:$B$5000,"&gt;"&amp;$B3972)=0),NOW(),_xlfn.MINIFS($B$3:$B$5000,$A$3:$A$5000,$A3972,$B$3:$B$5000,"&gt;"&amp;$B3972))</f>
        <v>46279.5987644831</v>
      </c>
    </row>
    <row r="3973" customFormat="false" ht="15" hidden="false" customHeight="true" outlineLevel="0" collapsed="false">
      <c r="A3973" s="42"/>
      <c r="B3973" s="42"/>
      <c r="C3973" s="42"/>
      <c r="D3973" s="42"/>
      <c r="E3973" s="42"/>
      <c r="F3973" s="51" t="n">
        <f aca="false">IF(OR(C3973="",D3973="",E3973="",E3973=0),0,C3973*D3973/E3973)</f>
        <v>0</v>
      </c>
      <c r="G3973" s="42"/>
      <c r="H3973" s="49" t="n">
        <f aca="true">IF(OR($A3973="",_xlfn.MINIFS($B$3:$B$5000,$A$3:$A$5000,$A3973,$B$3:$B$5000,"&gt;"&amp;$B3973)=0),NOW(),_xlfn.MINIFS($B$3:$B$5000,$A$3:$A$5000,$A3973,$B$3:$B$5000,"&gt;"&amp;$B3973))</f>
        <v>46279.5987644831</v>
      </c>
    </row>
    <row r="3974" customFormat="false" ht="15" hidden="false" customHeight="true" outlineLevel="0" collapsed="false">
      <c r="A3974" s="42"/>
      <c r="B3974" s="42"/>
      <c r="C3974" s="42"/>
      <c r="D3974" s="42"/>
      <c r="E3974" s="42"/>
      <c r="F3974" s="51" t="n">
        <f aca="false">IF(OR(C3974="",D3974="",E3974="",E3974=0),0,C3974*D3974/E3974)</f>
        <v>0</v>
      </c>
      <c r="G3974" s="42"/>
      <c r="H3974" s="49" t="n">
        <f aca="true">IF(OR($A3974="",_xlfn.MINIFS($B$3:$B$5000,$A$3:$A$5000,$A3974,$B$3:$B$5000,"&gt;"&amp;$B3974)=0),NOW(),_xlfn.MINIFS($B$3:$B$5000,$A$3:$A$5000,$A3974,$B$3:$B$5000,"&gt;"&amp;$B3974))</f>
        <v>46279.5987644832</v>
      </c>
    </row>
    <row r="3975" customFormat="false" ht="15" hidden="false" customHeight="true" outlineLevel="0" collapsed="false">
      <c r="A3975" s="42"/>
      <c r="B3975" s="42"/>
      <c r="C3975" s="42"/>
      <c r="D3975" s="42"/>
      <c r="E3975" s="42"/>
      <c r="F3975" s="51" t="n">
        <f aca="false">IF(OR(C3975="",D3975="",E3975="",E3975=0),0,C3975*D3975/E3975)</f>
        <v>0</v>
      </c>
      <c r="G3975" s="42"/>
      <c r="H3975" s="49" t="n">
        <f aca="true">IF(OR($A3975="",_xlfn.MINIFS($B$3:$B$5000,$A$3:$A$5000,$A3975,$B$3:$B$5000,"&gt;"&amp;$B3975)=0),NOW(),_xlfn.MINIFS($B$3:$B$5000,$A$3:$A$5000,$A3975,$B$3:$B$5000,"&gt;"&amp;$B3975))</f>
        <v>46279.5987644832</v>
      </c>
    </row>
    <row r="3976" customFormat="false" ht="15" hidden="false" customHeight="true" outlineLevel="0" collapsed="false">
      <c r="A3976" s="42"/>
      <c r="B3976" s="42"/>
      <c r="C3976" s="42"/>
      <c r="D3976" s="42"/>
      <c r="E3976" s="42"/>
      <c r="F3976" s="51" t="n">
        <f aca="false">IF(OR(C3976="",D3976="",E3976="",E3976=0),0,C3976*D3976/E3976)</f>
        <v>0</v>
      </c>
      <c r="G3976" s="42"/>
      <c r="H3976" s="49" t="n">
        <f aca="true">IF(OR($A3976="",_xlfn.MINIFS($B$3:$B$5000,$A$3:$A$5000,$A3976,$B$3:$B$5000,"&gt;"&amp;$B3976)=0),NOW(),_xlfn.MINIFS($B$3:$B$5000,$A$3:$A$5000,$A3976,$B$3:$B$5000,"&gt;"&amp;$B3976))</f>
        <v>46279.5987644833</v>
      </c>
    </row>
    <row r="3977" customFormat="false" ht="15" hidden="false" customHeight="true" outlineLevel="0" collapsed="false">
      <c r="A3977" s="42"/>
      <c r="B3977" s="42"/>
      <c r="C3977" s="42"/>
      <c r="D3977" s="42"/>
      <c r="E3977" s="42"/>
      <c r="F3977" s="51" t="n">
        <f aca="false">IF(OR(C3977="",D3977="",E3977="",E3977=0),0,C3977*D3977/E3977)</f>
        <v>0</v>
      </c>
      <c r="G3977" s="42"/>
      <c r="H3977" s="49" t="n">
        <f aca="true">IF(OR($A3977="",_xlfn.MINIFS($B$3:$B$5000,$A$3:$A$5000,$A3977,$B$3:$B$5000,"&gt;"&amp;$B3977)=0),NOW(),_xlfn.MINIFS($B$3:$B$5000,$A$3:$A$5000,$A3977,$B$3:$B$5000,"&gt;"&amp;$B3977))</f>
        <v>46279.5987644833</v>
      </c>
    </row>
    <row r="3978" customFormat="false" ht="15" hidden="false" customHeight="true" outlineLevel="0" collapsed="false">
      <c r="A3978" s="42"/>
      <c r="B3978" s="42"/>
      <c r="C3978" s="42"/>
      <c r="D3978" s="42"/>
      <c r="E3978" s="42"/>
      <c r="F3978" s="51" t="n">
        <f aca="false">IF(OR(C3978="",D3978="",E3978="",E3978=0),0,C3978*D3978/E3978)</f>
        <v>0</v>
      </c>
      <c r="G3978" s="42"/>
      <c r="H3978" s="49" t="n">
        <f aca="true">IF(OR($A3978="",_xlfn.MINIFS($B$3:$B$5000,$A$3:$A$5000,$A3978,$B$3:$B$5000,"&gt;"&amp;$B3978)=0),NOW(),_xlfn.MINIFS($B$3:$B$5000,$A$3:$A$5000,$A3978,$B$3:$B$5000,"&gt;"&amp;$B3978))</f>
        <v>46279.5987644834</v>
      </c>
    </row>
    <row r="3979" customFormat="false" ht="15" hidden="false" customHeight="true" outlineLevel="0" collapsed="false">
      <c r="A3979" s="42"/>
      <c r="B3979" s="42"/>
      <c r="C3979" s="42"/>
      <c r="D3979" s="42"/>
      <c r="E3979" s="42"/>
      <c r="F3979" s="51" t="n">
        <f aca="false">IF(OR(C3979="",D3979="",E3979="",E3979=0),0,C3979*D3979/E3979)</f>
        <v>0</v>
      </c>
      <c r="G3979" s="42"/>
      <c r="H3979" s="49" t="n">
        <f aca="true">IF(OR($A3979="",_xlfn.MINIFS($B$3:$B$5000,$A$3:$A$5000,$A3979,$B$3:$B$5000,"&gt;"&amp;$B3979)=0),NOW(),_xlfn.MINIFS($B$3:$B$5000,$A$3:$A$5000,$A3979,$B$3:$B$5000,"&gt;"&amp;$B3979))</f>
        <v>46279.5987644834</v>
      </c>
    </row>
    <row r="3980" customFormat="false" ht="15" hidden="false" customHeight="true" outlineLevel="0" collapsed="false">
      <c r="A3980" s="42"/>
      <c r="B3980" s="42"/>
      <c r="C3980" s="42"/>
      <c r="D3980" s="42"/>
      <c r="E3980" s="42"/>
      <c r="F3980" s="51" t="n">
        <f aca="false">IF(OR(C3980="",D3980="",E3980="",E3980=0),0,C3980*D3980/E3980)</f>
        <v>0</v>
      </c>
      <c r="G3980" s="42"/>
      <c r="H3980" s="49" t="n">
        <f aca="true">IF(OR($A3980="",_xlfn.MINIFS($B$3:$B$5000,$A$3:$A$5000,$A3980,$B$3:$B$5000,"&gt;"&amp;$B3980)=0),NOW(),_xlfn.MINIFS($B$3:$B$5000,$A$3:$A$5000,$A3980,$B$3:$B$5000,"&gt;"&amp;$B3980))</f>
        <v>46279.5987644835</v>
      </c>
    </row>
    <row r="3981" customFormat="false" ht="15" hidden="false" customHeight="true" outlineLevel="0" collapsed="false">
      <c r="A3981" s="42"/>
      <c r="B3981" s="42"/>
      <c r="C3981" s="42"/>
      <c r="D3981" s="42"/>
      <c r="E3981" s="42"/>
      <c r="F3981" s="51" t="n">
        <f aca="false">IF(OR(C3981="",D3981="",E3981="",E3981=0),0,C3981*D3981/E3981)</f>
        <v>0</v>
      </c>
      <c r="G3981" s="42"/>
      <c r="H3981" s="49" t="n">
        <f aca="true">IF(OR($A3981="",_xlfn.MINIFS($B$3:$B$5000,$A$3:$A$5000,$A3981,$B$3:$B$5000,"&gt;"&amp;$B3981)=0),NOW(),_xlfn.MINIFS($B$3:$B$5000,$A$3:$A$5000,$A3981,$B$3:$B$5000,"&gt;"&amp;$B3981))</f>
        <v>46279.5987644835</v>
      </c>
    </row>
    <row r="3982" customFormat="false" ht="15" hidden="false" customHeight="true" outlineLevel="0" collapsed="false">
      <c r="A3982" s="42"/>
      <c r="B3982" s="42"/>
      <c r="C3982" s="42"/>
      <c r="D3982" s="42"/>
      <c r="E3982" s="42"/>
      <c r="F3982" s="51" t="n">
        <f aca="false">IF(OR(C3982="",D3982="",E3982="",E3982=0),0,C3982*D3982/E3982)</f>
        <v>0</v>
      </c>
      <c r="G3982" s="42"/>
      <c r="H3982" s="49" t="n">
        <f aca="true">IF(OR($A3982="",_xlfn.MINIFS($B$3:$B$5000,$A$3:$A$5000,$A3982,$B$3:$B$5000,"&gt;"&amp;$B3982)=0),NOW(),_xlfn.MINIFS($B$3:$B$5000,$A$3:$A$5000,$A3982,$B$3:$B$5000,"&gt;"&amp;$B3982))</f>
        <v>46279.5987644836</v>
      </c>
    </row>
    <row r="3983" customFormat="false" ht="15" hidden="false" customHeight="true" outlineLevel="0" collapsed="false">
      <c r="A3983" s="42"/>
      <c r="B3983" s="42"/>
      <c r="C3983" s="42"/>
      <c r="D3983" s="42"/>
      <c r="E3983" s="42"/>
      <c r="F3983" s="51" t="n">
        <f aca="false">IF(OR(C3983="",D3983="",E3983="",E3983=0),0,C3983*D3983/E3983)</f>
        <v>0</v>
      </c>
      <c r="G3983" s="42"/>
      <c r="H3983" s="49" t="n">
        <f aca="true">IF(OR($A3983="",_xlfn.MINIFS($B$3:$B$5000,$A$3:$A$5000,$A3983,$B$3:$B$5000,"&gt;"&amp;$B3983)=0),NOW(),_xlfn.MINIFS($B$3:$B$5000,$A$3:$A$5000,$A3983,$B$3:$B$5000,"&gt;"&amp;$B3983))</f>
        <v>46279.5987644836</v>
      </c>
    </row>
    <row r="3984" customFormat="false" ht="15" hidden="false" customHeight="true" outlineLevel="0" collapsed="false">
      <c r="A3984" s="42"/>
      <c r="B3984" s="42"/>
      <c r="C3984" s="42"/>
      <c r="D3984" s="42"/>
      <c r="E3984" s="42"/>
      <c r="F3984" s="51" t="n">
        <f aca="false">IF(OR(C3984="",D3984="",E3984="",E3984=0),0,C3984*D3984/E3984)</f>
        <v>0</v>
      </c>
      <c r="G3984" s="42"/>
      <c r="H3984" s="49" t="n">
        <f aca="true">IF(OR($A3984="",_xlfn.MINIFS($B$3:$B$5000,$A$3:$A$5000,$A3984,$B$3:$B$5000,"&gt;"&amp;$B3984)=0),NOW(),_xlfn.MINIFS($B$3:$B$5000,$A$3:$A$5000,$A3984,$B$3:$B$5000,"&gt;"&amp;$B3984))</f>
        <v>46279.5987644837</v>
      </c>
    </row>
    <row r="3985" customFormat="false" ht="15" hidden="false" customHeight="true" outlineLevel="0" collapsed="false">
      <c r="A3985" s="42"/>
      <c r="B3985" s="42"/>
      <c r="C3985" s="42"/>
      <c r="D3985" s="42"/>
      <c r="E3985" s="42"/>
      <c r="F3985" s="51" t="n">
        <f aca="false">IF(OR(C3985="",D3985="",E3985="",E3985=0),0,C3985*D3985/E3985)</f>
        <v>0</v>
      </c>
      <c r="G3985" s="42"/>
      <c r="H3985" s="49" t="n">
        <f aca="true">IF(OR($A3985="",_xlfn.MINIFS($B$3:$B$5000,$A$3:$A$5000,$A3985,$B$3:$B$5000,"&gt;"&amp;$B3985)=0),NOW(),_xlfn.MINIFS($B$3:$B$5000,$A$3:$A$5000,$A3985,$B$3:$B$5000,"&gt;"&amp;$B3985))</f>
        <v>46279.5987644837</v>
      </c>
    </row>
    <row r="3986" customFormat="false" ht="15" hidden="false" customHeight="true" outlineLevel="0" collapsed="false">
      <c r="A3986" s="42"/>
      <c r="B3986" s="42"/>
      <c r="C3986" s="42"/>
      <c r="D3986" s="42"/>
      <c r="E3986" s="42"/>
      <c r="F3986" s="51" t="n">
        <f aca="false">IF(OR(C3986="",D3986="",E3986="",E3986=0),0,C3986*D3986/E3986)</f>
        <v>0</v>
      </c>
      <c r="G3986" s="42"/>
      <c r="H3986" s="49" t="n">
        <f aca="true">IF(OR($A3986="",_xlfn.MINIFS($B$3:$B$5000,$A$3:$A$5000,$A3986,$B$3:$B$5000,"&gt;"&amp;$B3986)=0),NOW(),_xlfn.MINIFS($B$3:$B$5000,$A$3:$A$5000,$A3986,$B$3:$B$5000,"&gt;"&amp;$B3986))</f>
        <v>46279.5987644838</v>
      </c>
    </row>
    <row r="3987" customFormat="false" ht="15" hidden="false" customHeight="true" outlineLevel="0" collapsed="false">
      <c r="A3987" s="42"/>
      <c r="B3987" s="42"/>
      <c r="C3987" s="42"/>
      <c r="D3987" s="42"/>
      <c r="E3987" s="42"/>
      <c r="F3987" s="51" t="n">
        <f aca="false">IF(OR(C3987="",D3987="",E3987="",E3987=0),0,C3987*D3987/E3987)</f>
        <v>0</v>
      </c>
      <c r="G3987" s="42"/>
      <c r="H3987" s="49" t="n">
        <f aca="true">IF(OR($A3987="",_xlfn.MINIFS($B$3:$B$5000,$A$3:$A$5000,$A3987,$B$3:$B$5000,"&gt;"&amp;$B3987)=0),NOW(),_xlfn.MINIFS($B$3:$B$5000,$A$3:$A$5000,$A3987,$B$3:$B$5000,"&gt;"&amp;$B3987))</f>
        <v>46279.5987644838</v>
      </c>
    </row>
    <row r="3988" customFormat="false" ht="15" hidden="false" customHeight="true" outlineLevel="0" collapsed="false">
      <c r="A3988" s="42"/>
      <c r="B3988" s="42"/>
      <c r="C3988" s="42"/>
      <c r="D3988" s="42"/>
      <c r="E3988" s="42"/>
      <c r="F3988" s="51" t="n">
        <f aca="false">IF(OR(C3988="",D3988="",E3988="",E3988=0),0,C3988*D3988/E3988)</f>
        <v>0</v>
      </c>
      <c r="G3988" s="42"/>
      <c r="H3988" s="49" t="n">
        <f aca="true">IF(OR($A3988="",_xlfn.MINIFS($B$3:$B$5000,$A$3:$A$5000,$A3988,$B$3:$B$5000,"&gt;"&amp;$B3988)=0),NOW(),_xlfn.MINIFS($B$3:$B$5000,$A$3:$A$5000,$A3988,$B$3:$B$5000,"&gt;"&amp;$B3988))</f>
        <v>46279.5987644839</v>
      </c>
    </row>
    <row r="3989" customFormat="false" ht="15" hidden="false" customHeight="true" outlineLevel="0" collapsed="false">
      <c r="A3989" s="42"/>
      <c r="B3989" s="42"/>
      <c r="C3989" s="42"/>
      <c r="D3989" s="42"/>
      <c r="E3989" s="42"/>
      <c r="F3989" s="51" t="n">
        <f aca="false">IF(OR(C3989="",D3989="",E3989="",E3989=0),0,C3989*D3989/E3989)</f>
        <v>0</v>
      </c>
      <c r="G3989" s="42"/>
      <c r="H3989" s="49" t="n">
        <f aca="true">IF(OR($A3989="",_xlfn.MINIFS($B$3:$B$5000,$A$3:$A$5000,$A3989,$B$3:$B$5000,"&gt;"&amp;$B3989)=0),NOW(),_xlfn.MINIFS($B$3:$B$5000,$A$3:$A$5000,$A3989,$B$3:$B$5000,"&gt;"&amp;$B3989))</f>
        <v>46279.5987644839</v>
      </c>
    </row>
    <row r="3990" customFormat="false" ht="15" hidden="false" customHeight="true" outlineLevel="0" collapsed="false">
      <c r="A3990" s="42"/>
      <c r="B3990" s="42"/>
      <c r="C3990" s="42"/>
      <c r="D3990" s="42"/>
      <c r="E3990" s="42"/>
      <c r="F3990" s="51" t="n">
        <f aca="false">IF(OR(C3990="",D3990="",E3990="",E3990=0),0,C3990*D3990/E3990)</f>
        <v>0</v>
      </c>
      <c r="G3990" s="42"/>
      <c r="H3990" s="49" t="n">
        <f aca="true">IF(OR($A3990="",_xlfn.MINIFS($B$3:$B$5000,$A$3:$A$5000,$A3990,$B$3:$B$5000,"&gt;"&amp;$B3990)=0),NOW(),_xlfn.MINIFS($B$3:$B$5000,$A$3:$A$5000,$A3990,$B$3:$B$5000,"&gt;"&amp;$B3990))</f>
        <v>46279.598764484</v>
      </c>
    </row>
    <row r="3991" customFormat="false" ht="15" hidden="false" customHeight="true" outlineLevel="0" collapsed="false">
      <c r="A3991" s="42"/>
      <c r="B3991" s="42"/>
      <c r="C3991" s="42"/>
      <c r="D3991" s="42"/>
      <c r="E3991" s="42"/>
      <c r="F3991" s="51" t="n">
        <f aca="false">IF(OR(C3991="",D3991="",E3991="",E3991=0),0,C3991*D3991/E3991)</f>
        <v>0</v>
      </c>
      <c r="G3991" s="42"/>
      <c r="H3991" s="49" t="n">
        <f aca="true">IF(OR($A3991="",_xlfn.MINIFS($B$3:$B$5000,$A$3:$A$5000,$A3991,$B$3:$B$5000,"&gt;"&amp;$B3991)=0),NOW(),_xlfn.MINIFS($B$3:$B$5000,$A$3:$A$5000,$A3991,$B$3:$B$5000,"&gt;"&amp;$B3991))</f>
        <v>46279.598764484</v>
      </c>
    </row>
    <row r="3992" customFormat="false" ht="15" hidden="false" customHeight="true" outlineLevel="0" collapsed="false">
      <c r="A3992" s="42"/>
      <c r="B3992" s="42"/>
      <c r="C3992" s="42"/>
      <c r="D3992" s="42"/>
      <c r="E3992" s="42"/>
      <c r="F3992" s="51" t="n">
        <f aca="false">IF(OR(C3992="",D3992="",E3992="",E3992=0),0,C3992*D3992/E3992)</f>
        <v>0</v>
      </c>
      <c r="G3992" s="42"/>
      <c r="H3992" s="49" t="n">
        <f aca="true">IF(OR($A3992="",_xlfn.MINIFS($B$3:$B$5000,$A$3:$A$5000,$A3992,$B$3:$B$5000,"&gt;"&amp;$B3992)=0),NOW(),_xlfn.MINIFS($B$3:$B$5000,$A$3:$A$5000,$A3992,$B$3:$B$5000,"&gt;"&amp;$B3992))</f>
        <v>46279.5987644841</v>
      </c>
    </row>
    <row r="3993" customFormat="false" ht="15" hidden="false" customHeight="true" outlineLevel="0" collapsed="false">
      <c r="A3993" s="42"/>
      <c r="B3993" s="42"/>
      <c r="C3993" s="42"/>
      <c r="D3993" s="42"/>
      <c r="E3993" s="42"/>
      <c r="F3993" s="51" t="n">
        <f aca="false">IF(OR(C3993="",D3993="",E3993="",E3993=0),0,C3993*D3993/E3993)</f>
        <v>0</v>
      </c>
      <c r="G3993" s="42"/>
      <c r="H3993" s="49" t="n">
        <f aca="true">IF(OR($A3993="",_xlfn.MINIFS($B$3:$B$5000,$A$3:$A$5000,$A3993,$B$3:$B$5000,"&gt;"&amp;$B3993)=0),NOW(),_xlfn.MINIFS($B$3:$B$5000,$A$3:$A$5000,$A3993,$B$3:$B$5000,"&gt;"&amp;$B3993))</f>
        <v>46279.5987644841</v>
      </c>
    </row>
    <row r="3994" customFormat="false" ht="15" hidden="false" customHeight="true" outlineLevel="0" collapsed="false">
      <c r="A3994" s="42"/>
      <c r="B3994" s="42"/>
      <c r="C3994" s="42"/>
      <c r="D3994" s="42"/>
      <c r="E3994" s="42"/>
      <c r="F3994" s="51" t="n">
        <f aca="false">IF(OR(C3994="",D3994="",E3994="",E3994=0),0,C3994*D3994/E3994)</f>
        <v>0</v>
      </c>
      <c r="G3994" s="42"/>
      <c r="H3994" s="49" t="n">
        <f aca="true">IF(OR($A3994="",_xlfn.MINIFS($B$3:$B$5000,$A$3:$A$5000,$A3994,$B$3:$B$5000,"&gt;"&amp;$B3994)=0),NOW(),_xlfn.MINIFS($B$3:$B$5000,$A$3:$A$5000,$A3994,$B$3:$B$5000,"&gt;"&amp;$B3994))</f>
        <v>46279.5987644842</v>
      </c>
    </row>
    <row r="3995" customFormat="false" ht="15" hidden="false" customHeight="true" outlineLevel="0" collapsed="false">
      <c r="A3995" s="42"/>
      <c r="B3995" s="42"/>
      <c r="C3995" s="42"/>
      <c r="D3995" s="42"/>
      <c r="E3995" s="42"/>
      <c r="F3995" s="51" t="n">
        <f aca="false">IF(OR(C3995="",D3995="",E3995="",E3995=0),0,C3995*D3995/E3995)</f>
        <v>0</v>
      </c>
      <c r="G3995" s="42"/>
      <c r="H3995" s="49" t="n">
        <f aca="true">IF(OR($A3995="",_xlfn.MINIFS($B$3:$B$5000,$A$3:$A$5000,$A3995,$B$3:$B$5000,"&gt;"&amp;$B3995)=0),NOW(),_xlfn.MINIFS($B$3:$B$5000,$A$3:$A$5000,$A3995,$B$3:$B$5000,"&gt;"&amp;$B3995))</f>
        <v>46279.5987644842</v>
      </c>
    </row>
    <row r="3996" customFormat="false" ht="15" hidden="false" customHeight="true" outlineLevel="0" collapsed="false">
      <c r="A3996" s="42"/>
      <c r="B3996" s="42"/>
      <c r="C3996" s="42"/>
      <c r="D3996" s="42"/>
      <c r="E3996" s="42"/>
      <c r="F3996" s="51" t="n">
        <f aca="false">IF(OR(C3996="",D3996="",E3996="",E3996=0),0,C3996*D3996/E3996)</f>
        <v>0</v>
      </c>
      <c r="G3996" s="42"/>
      <c r="H3996" s="49" t="n">
        <f aca="true">IF(OR($A3996="",_xlfn.MINIFS($B$3:$B$5000,$A$3:$A$5000,$A3996,$B$3:$B$5000,"&gt;"&amp;$B3996)=0),NOW(),_xlfn.MINIFS($B$3:$B$5000,$A$3:$A$5000,$A3996,$B$3:$B$5000,"&gt;"&amp;$B3996))</f>
        <v>46279.5987644843</v>
      </c>
    </row>
    <row r="3997" customFormat="false" ht="15" hidden="false" customHeight="true" outlineLevel="0" collapsed="false">
      <c r="A3997" s="42"/>
      <c r="B3997" s="42"/>
      <c r="C3997" s="42"/>
      <c r="D3997" s="42"/>
      <c r="E3997" s="42"/>
      <c r="F3997" s="51" t="n">
        <f aca="false">IF(OR(C3997="",D3997="",E3997="",E3997=0),0,C3997*D3997/E3997)</f>
        <v>0</v>
      </c>
      <c r="G3997" s="42"/>
      <c r="H3997" s="49" t="n">
        <f aca="true">IF(OR($A3997="",_xlfn.MINIFS($B$3:$B$5000,$A$3:$A$5000,$A3997,$B$3:$B$5000,"&gt;"&amp;$B3997)=0),NOW(),_xlfn.MINIFS($B$3:$B$5000,$A$3:$A$5000,$A3997,$B$3:$B$5000,"&gt;"&amp;$B3997))</f>
        <v>46279.5987644843</v>
      </c>
    </row>
    <row r="3998" customFormat="false" ht="15" hidden="false" customHeight="true" outlineLevel="0" collapsed="false">
      <c r="A3998" s="42"/>
      <c r="B3998" s="42"/>
      <c r="C3998" s="42"/>
      <c r="D3998" s="42"/>
      <c r="E3998" s="42"/>
      <c r="F3998" s="51" t="n">
        <f aca="false">IF(OR(C3998="",D3998="",E3998="",E3998=0),0,C3998*D3998/E3998)</f>
        <v>0</v>
      </c>
      <c r="G3998" s="42"/>
      <c r="H3998" s="49" t="n">
        <f aca="true">IF(OR($A3998="",_xlfn.MINIFS($B$3:$B$5000,$A$3:$A$5000,$A3998,$B$3:$B$5000,"&gt;"&amp;$B3998)=0),NOW(),_xlfn.MINIFS($B$3:$B$5000,$A$3:$A$5000,$A3998,$B$3:$B$5000,"&gt;"&amp;$B3998))</f>
        <v>46279.5987644844</v>
      </c>
    </row>
    <row r="3999" customFormat="false" ht="15" hidden="false" customHeight="true" outlineLevel="0" collapsed="false">
      <c r="A3999" s="42"/>
      <c r="B3999" s="42"/>
      <c r="C3999" s="42"/>
      <c r="D3999" s="42"/>
      <c r="E3999" s="42"/>
      <c r="F3999" s="51" t="n">
        <f aca="false">IF(OR(C3999="",D3999="",E3999="",E3999=0),0,C3999*D3999/E3999)</f>
        <v>0</v>
      </c>
      <c r="G3999" s="42"/>
      <c r="H3999" s="49" t="n">
        <f aca="true">IF(OR($A3999="",_xlfn.MINIFS($B$3:$B$5000,$A$3:$A$5000,$A3999,$B$3:$B$5000,"&gt;"&amp;$B3999)=0),NOW(),_xlfn.MINIFS($B$3:$B$5000,$A$3:$A$5000,$A3999,$B$3:$B$5000,"&gt;"&amp;$B3999))</f>
        <v>46279.5987644844</v>
      </c>
    </row>
    <row r="4000" customFormat="false" ht="15" hidden="false" customHeight="true" outlineLevel="0" collapsed="false">
      <c r="A4000" s="42"/>
      <c r="B4000" s="42"/>
      <c r="C4000" s="42"/>
      <c r="D4000" s="42"/>
      <c r="E4000" s="42"/>
      <c r="F4000" s="51" t="n">
        <f aca="false">IF(OR(C4000="",D4000="",E4000="",E4000=0),0,C4000*D4000/E4000)</f>
        <v>0</v>
      </c>
      <c r="G4000" s="42"/>
      <c r="H4000" s="49" t="n">
        <f aca="true">IF(OR($A4000="",_xlfn.MINIFS($B$3:$B$5000,$A$3:$A$5000,$A4000,$B$3:$B$5000,"&gt;"&amp;$B4000)=0),NOW(),_xlfn.MINIFS($B$3:$B$5000,$A$3:$A$5000,$A4000,$B$3:$B$5000,"&gt;"&amp;$B4000))</f>
        <v>46279.5987644845</v>
      </c>
    </row>
    <row r="4001" customFormat="false" ht="15" hidden="false" customHeight="true" outlineLevel="0" collapsed="false">
      <c r="A4001" s="42"/>
      <c r="B4001" s="42"/>
      <c r="C4001" s="42"/>
      <c r="D4001" s="42"/>
      <c r="E4001" s="42"/>
      <c r="F4001" s="51" t="n">
        <f aca="false">IF(OR(C4001="",D4001="",E4001="",E4001=0),0,C4001*D4001/E4001)</f>
        <v>0</v>
      </c>
      <c r="G4001" s="42"/>
      <c r="H4001" s="49" t="n">
        <f aca="true">IF(OR($A4001="",_xlfn.MINIFS($B$3:$B$5000,$A$3:$A$5000,$A4001,$B$3:$B$5000,"&gt;"&amp;$B4001)=0),NOW(),_xlfn.MINIFS($B$3:$B$5000,$A$3:$A$5000,$A4001,$B$3:$B$5000,"&gt;"&amp;$B4001))</f>
        <v>46279.5987644845</v>
      </c>
    </row>
    <row r="4002" customFormat="false" ht="15" hidden="false" customHeight="true" outlineLevel="0" collapsed="false">
      <c r="A4002" s="42"/>
      <c r="B4002" s="42"/>
      <c r="C4002" s="42"/>
      <c r="D4002" s="42"/>
      <c r="E4002" s="42"/>
      <c r="F4002" s="51" t="n">
        <f aca="false">IF(OR(C4002="",D4002="",E4002="",E4002=0),0,C4002*D4002/E4002)</f>
        <v>0</v>
      </c>
      <c r="G4002" s="42"/>
      <c r="H4002" s="49" t="n">
        <f aca="true">IF(OR($A4002="",_xlfn.MINIFS($B$3:$B$5000,$A$3:$A$5000,$A4002,$B$3:$B$5000,"&gt;"&amp;$B4002)=0),NOW(),_xlfn.MINIFS($B$3:$B$5000,$A$3:$A$5000,$A4002,$B$3:$B$5000,"&gt;"&amp;$B4002))</f>
        <v>46279.5987644846</v>
      </c>
    </row>
    <row r="4003" customFormat="false" ht="15" hidden="false" customHeight="true" outlineLevel="0" collapsed="false">
      <c r="A4003" s="42"/>
      <c r="B4003" s="42"/>
      <c r="C4003" s="42"/>
      <c r="D4003" s="42"/>
      <c r="E4003" s="42"/>
      <c r="F4003" s="51" t="n">
        <f aca="false">IF(OR(C4003="",D4003="",E4003="",E4003=0),0,C4003*D4003/E4003)</f>
        <v>0</v>
      </c>
      <c r="G4003" s="42"/>
      <c r="H4003" s="49" t="n">
        <f aca="true">IF(OR($A4003="",_xlfn.MINIFS($B$3:$B$5000,$A$3:$A$5000,$A4003,$B$3:$B$5000,"&gt;"&amp;$B4003)=0),NOW(),_xlfn.MINIFS($B$3:$B$5000,$A$3:$A$5000,$A4003,$B$3:$B$5000,"&gt;"&amp;$B4003))</f>
        <v>46279.5987644846</v>
      </c>
    </row>
    <row r="4004" customFormat="false" ht="15" hidden="false" customHeight="true" outlineLevel="0" collapsed="false">
      <c r="A4004" s="42"/>
      <c r="B4004" s="42"/>
      <c r="C4004" s="42"/>
      <c r="D4004" s="42"/>
      <c r="E4004" s="42"/>
      <c r="F4004" s="51" t="n">
        <f aca="false">IF(OR(C4004="",D4004="",E4004="",E4004=0),0,C4004*D4004/E4004)</f>
        <v>0</v>
      </c>
      <c r="G4004" s="42"/>
      <c r="H4004" s="49" t="n">
        <f aca="true">IF(OR($A4004="",_xlfn.MINIFS($B$3:$B$5000,$A$3:$A$5000,$A4004,$B$3:$B$5000,"&gt;"&amp;$B4004)=0),NOW(),_xlfn.MINIFS($B$3:$B$5000,$A$3:$A$5000,$A4004,$B$3:$B$5000,"&gt;"&amp;$B4004))</f>
        <v>46279.5987644847</v>
      </c>
    </row>
    <row r="4005" customFormat="false" ht="15" hidden="false" customHeight="true" outlineLevel="0" collapsed="false">
      <c r="A4005" s="42"/>
      <c r="B4005" s="42"/>
      <c r="C4005" s="42"/>
      <c r="D4005" s="42"/>
      <c r="E4005" s="42"/>
      <c r="F4005" s="51" t="n">
        <f aca="false">IF(OR(C4005="",D4005="",E4005="",E4005=0),0,C4005*D4005/E4005)</f>
        <v>0</v>
      </c>
      <c r="G4005" s="42"/>
      <c r="H4005" s="49" t="n">
        <f aca="true">IF(OR($A4005="",_xlfn.MINIFS($B$3:$B$5000,$A$3:$A$5000,$A4005,$B$3:$B$5000,"&gt;"&amp;$B4005)=0),NOW(),_xlfn.MINIFS($B$3:$B$5000,$A$3:$A$5000,$A4005,$B$3:$B$5000,"&gt;"&amp;$B4005))</f>
        <v>46279.5987644847</v>
      </c>
    </row>
    <row r="4006" customFormat="false" ht="15" hidden="false" customHeight="true" outlineLevel="0" collapsed="false">
      <c r="A4006" s="42"/>
      <c r="B4006" s="42"/>
      <c r="C4006" s="42"/>
      <c r="D4006" s="42"/>
      <c r="E4006" s="42"/>
      <c r="F4006" s="51" t="n">
        <f aca="false">IF(OR(C4006="",D4006="",E4006="",E4006=0),0,C4006*D4006/E4006)</f>
        <v>0</v>
      </c>
      <c r="G4006" s="42"/>
      <c r="H4006" s="49" t="n">
        <f aca="true">IF(OR($A4006="",_xlfn.MINIFS($B$3:$B$5000,$A$3:$A$5000,$A4006,$B$3:$B$5000,"&gt;"&amp;$B4006)=0),NOW(),_xlfn.MINIFS($B$3:$B$5000,$A$3:$A$5000,$A4006,$B$3:$B$5000,"&gt;"&amp;$B4006))</f>
        <v>46279.5987644848</v>
      </c>
    </row>
    <row r="4007" customFormat="false" ht="15" hidden="false" customHeight="true" outlineLevel="0" collapsed="false">
      <c r="A4007" s="42"/>
      <c r="B4007" s="42"/>
      <c r="C4007" s="42"/>
      <c r="D4007" s="42"/>
      <c r="E4007" s="42"/>
      <c r="F4007" s="51" t="n">
        <f aca="false">IF(OR(C4007="",D4007="",E4007="",E4007=0),0,C4007*D4007/E4007)</f>
        <v>0</v>
      </c>
      <c r="G4007" s="42"/>
      <c r="H4007" s="49" t="n">
        <f aca="true">IF(OR($A4007="",_xlfn.MINIFS($B$3:$B$5000,$A$3:$A$5000,$A4007,$B$3:$B$5000,"&gt;"&amp;$B4007)=0),NOW(),_xlfn.MINIFS($B$3:$B$5000,$A$3:$A$5000,$A4007,$B$3:$B$5000,"&gt;"&amp;$B4007))</f>
        <v>46279.5987644848</v>
      </c>
    </row>
    <row r="4008" customFormat="false" ht="15" hidden="false" customHeight="true" outlineLevel="0" collapsed="false">
      <c r="A4008" s="42"/>
      <c r="B4008" s="42"/>
      <c r="C4008" s="42"/>
      <c r="D4008" s="42"/>
      <c r="E4008" s="42"/>
      <c r="F4008" s="51" t="n">
        <f aca="false">IF(OR(C4008="",D4008="",E4008="",E4008=0),0,C4008*D4008/E4008)</f>
        <v>0</v>
      </c>
      <c r="G4008" s="42"/>
      <c r="H4008" s="49" t="n">
        <f aca="true">IF(OR($A4008="",_xlfn.MINIFS($B$3:$B$5000,$A$3:$A$5000,$A4008,$B$3:$B$5000,"&gt;"&amp;$B4008)=0),NOW(),_xlfn.MINIFS($B$3:$B$5000,$A$3:$A$5000,$A4008,$B$3:$B$5000,"&gt;"&amp;$B4008))</f>
        <v>46279.5987644849</v>
      </c>
    </row>
    <row r="4009" customFormat="false" ht="15" hidden="false" customHeight="true" outlineLevel="0" collapsed="false">
      <c r="A4009" s="42"/>
      <c r="B4009" s="42"/>
      <c r="C4009" s="42"/>
      <c r="D4009" s="42"/>
      <c r="E4009" s="42"/>
      <c r="F4009" s="51" t="n">
        <f aca="false">IF(OR(C4009="",D4009="",E4009="",E4009=0),0,C4009*D4009/E4009)</f>
        <v>0</v>
      </c>
      <c r="G4009" s="42"/>
      <c r="H4009" s="49" t="n">
        <f aca="true">IF(OR($A4009="",_xlfn.MINIFS($B$3:$B$5000,$A$3:$A$5000,$A4009,$B$3:$B$5000,"&gt;"&amp;$B4009)=0),NOW(),_xlfn.MINIFS($B$3:$B$5000,$A$3:$A$5000,$A4009,$B$3:$B$5000,"&gt;"&amp;$B4009))</f>
        <v>46279.5987644849</v>
      </c>
    </row>
    <row r="4010" customFormat="false" ht="15" hidden="false" customHeight="true" outlineLevel="0" collapsed="false">
      <c r="A4010" s="42"/>
      <c r="B4010" s="42"/>
      <c r="C4010" s="42"/>
      <c r="D4010" s="42"/>
      <c r="E4010" s="42"/>
      <c r="F4010" s="51" t="n">
        <f aca="false">IF(OR(C4010="",D4010="",E4010="",E4010=0),0,C4010*D4010/E4010)</f>
        <v>0</v>
      </c>
      <c r="G4010" s="42"/>
      <c r="H4010" s="49" t="n">
        <f aca="true">IF(OR($A4010="",_xlfn.MINIFS($B$3:$B$5000,$A$3:$A$5000,$A4010,$B$3:$B$5000,"&gt;"&amp;$B4010)=0),NOW(),_xlfn.MINIFS($B$3:$B$5000,$A$3:$A$5000,$A4010,$B$3:$B$5000,"&gt;"&amp;$B4010))</f>
        <v>46279.598764485</v>
      </c>
    </row>
    <row r="4011" customFormat="false" ht="15" hidden="false" customHeight="true" outlineLevel="0" collapsed="false">
      <c r="A4011" s="42"/>
      <c r="B4011" s="42"/>
      <c r="C4011" s="42"/>
      <c r="D4011" s="42"/>
      <c r="E4011" s="42"/>
      <c r="F4011" s="51" t="n">
        <f aca="false">IF(OR(C4011="",D4011="",E4011="",E4011=0),0,C4011*D4011/E4011)</f>
        <v>0</v>
      </c>
      <c r="G4011" s="42"/>
      <c r="H4011" s="49" t="n">
        <f aca="true">IF(OR($A4011="",_xlfn.MINIFS($B$3:$B$5000,$A$3:$A$5000,$A4011,$B$3:$B$5000,"&gt;"&amp;$B4011)=0),NOW(),_xlfn.MINIFS($B$3:$B$5000,$A$3:$A$5000,$A4011,$B$3:$B$5000,"&gt;"&amp;$B4011))</f>
        <v>46279.598764485</v>
      </c>
    </row>
    <row r="4012" customFormat="false" ht="15" hidden="false" customHeight="true" outlineLevel="0" collapsed="false">
      <c r="A4012" s="42"/>
      <c r="B4012" s="42"/>
      <c r="C4012" s="42"/>
      <c r="D4012" s="42"/>
      <c r="E4012" s="42"/>
      <c r="F4012" s="51" t="n">
        <f aca="false">IF(OR(C4012="",D4012="",E4012="",E4012=0),0,C4012*D4012/E4012)</f>
        <v>0</v>
      </c>
      <c r="G4012" s="42"/>
      <c r="H4012" s="49" t="n">
        <f aca="true">IF(OR($A4012="",_xlfn.MINIFS($B$3:$B$5000,$A$3:$A$5000,$A4012,$B$3:$B$5000,"&gt;"&amp;$B4012)=0),NOW(),_xlfn.MINIFS($B$3:$B$5000,$A$3:$A$5000,$A4012,$B$3:$B$5000,"&gt;"&amp;$B4012))</f>
        <v>46279.5987644851</v>
      </c>
    </row>
    <row r="4013" customFormat="false" ht="15" hidden="false" customHeight="true" outlineLevel="0" collapsed="false">
      <c r="A4013" s="42"/>
      <c r="B4013" s="42"/>
      <c r="C4013" s="42"/>
      <c r="D4013" s="42"/>
      <c r="E4013" s="42"/>
      <c r="F4013" s="51" t="n">
        <f aca="false">IF(OR(C4013="",D4013="",E4013="",E4013=0),0,C4013*D4013/E4013)</f>
        <v>0</v>
      </c>
      <c r="G4013" s="42"/>
      <c r="H4013" s="49" t="n">
        <f aca="true">IF(OR($A4013="",_xlfn.MINIFS($B$3:$B$5000,$A$3:$A$5000,$A4013,$B$3:$B$5000,"&gt;"&amp;$B4013)=0),NOW(),_xlfn.MINIFS($B$3:$B$5000,$A$3:$A$5000,$A4013,$B$3:$B$5000,"&gt;"&amp;$B4013))</f>
        <v>46279.5987644851</v>
      </c>
    </row>
    <row r="4014" customFormat="false" ht="15" hidden="false" customHeight="true" outlineLevel="0" collapsed="false">
      <c r="A4014" s="42"/>
      <c r="B4014" s="42"/>
      <c r="C4014" s="42"/>
      <c r="D4014" s="42"/>
      <c r="E4014" s="42"/>
      <c r="F4014" s="51" t="n">
        <f aca="false">IF(OR(C4014="",D4014="",E4014="",E4014=0),0,C4014*D4014/E4014)</f>
        <v>0</v>
      </c>
      <c r="G4014" s="42"/>
      <c r="H4014" s="49" t="n">
        <f aca="true">IF(OR($A4014="",_xlfn.MINIFS($B$3:$B$5000,$A$3:$A$5000,$A4014,$B$3:$B$5000,"&gt;"&amp;$B4014)=0),NOW(),_xlfn.MINIFS($B$3:$B$5000,$A$3:$A$5000,$A4014,$B$3:$B$5000,"&gt;"&amp;$B4014))</f>
        <v>46279.5987644852</v>
      </c>
    </row>
    <row r="4015" customFormat="false" ht="15" hidden="false" customHeight="true" outlineLevel="0" collapsed="false">
      <c r="A4015" s="42"/>
      <c r="B4015" s="42"/>
      <c r="C4015" s="42"/>
      <c r="D4015" s="42"/>
      <c r="E4015" s="42"/>
      <c r="F4015" s="51" t="n">
        <f aca="false">IF(OR(C4015="",D4015="",E4015="",E4015=0),0,C4015*D4015/E4015)</f>
        <v>0</v>
      </c>
      <c r="G4015" s="42"/>
      <c r="H4015" s="49" t="n">
        <f aca="true">IF(OR($A4015="",_xlfn.MINIFS($B$3:$B$5000,$A$3:$A$5000,$A4015,$B$3:$B$5000,"&gt;"&amp;$B4015)=0),NOW(),_xlfn.MINIFS($B$3:$B$5000,$A$3:$A$5000,$A4015,$B$3:$B$5000,"&gt;"&amp;$B4015))</f>
        <v>46279.5987644852</v>
      </c>
    </row>
    <row r="4016" customFormat="false" ht="15" hidden="false" customHeight="true" outlineLevel="0" collapsed="false">
      <c r="A4016" s="42"/>
      <c r="B4016" s="42"/>
      <c r="C4016" s="42"/>
      <c r="D4016" s="42"/>
      <c r="E4016" s="42"/>
      <c r="F4016" s="51" t="n">
        <f aca="false">IF(OR(C4016="",D4016="",E4016="",E4016=0),0,C4016*D4016/E4016)</f>
        <v>0</v>
      </c>
      <c r="G4016" s="42"/>
      <c r="H4016" s="49" t="n">
        <f aca="true">IF(OR($A4016="",_xlfn.MINIFS($B$3:$B$5000,$A$3:$A$5000,$A4016,$B$3:$B$5000,"&gt;"&amp;$B4016)=0),NOW(),_xlfn.MINIFS($B$3:$B$5000,$A$3:$A$5000,$A4016,$B$3:$B$5000,"&gt;"&amp;$B4016))</f>
        <v>46279.5987644853</v>
      </c>
    </row>
    <row r="4017" customFormat="false" ht="15" hidden="false" customHeight="true" outlineLevel="0" collapsed="false">
      <c r="A4017" s="42"/>
      <c r="B4017" s="42"/>
      <c r="C4017" s="42"/>
      <c r="D4017" s="42"/>
      <c r="E4017" s="42"/>
      <c r="F4017" s="51" t="n">
        <f aca="false">IF(OR(C4017="",D4017="",E4017="",E4017=0),0,C4017*D4017/E4017)</f>
        <v>0</v>
      </c>
      <c r="G4017" s="42"/>
      <c r="H4017" s="49" t="n">
        <f aca="true">IF(OR($A4017="",_xlfn.MINIFS($B$3:$B$5000,$A$3:$A$5000,$A4017,$B$3:$B$5000,"&gt;"&amp;$B4017)=0),NOW(),_xlfn.MINIFS($B$3:$B$5000,$A$3:$A$5000,$A4017,$B$3:$B$5000,"&gt;"&amp;$B4017))</f>
        <v>46279.5987644853</v>
      </c>
    </row>
    <row r="4018" customFormat="false" ht="15" hidden="false" customHeight="true" outlineLevel="0" collapsed="false">
      <c r="A4018" s="42"/>
      <c r="B4018" s="42"/>
      <c r="C4018" s="42"/>
      <c r="D4018" s="42"/>
      <c r="E4018" s="42"/>
      <c r="F4018" s="51" t="n">
        <f aca="false">IF(OR(C4018="",D4018="",E4018="",E4018=0),0,C4018*D4018/E4018)</f>
        <v>0</v>
      </c>
      <c r="G4018" s="42"/>
      <c r="H4018" s="49" t="n">
        <f aca="true">IF(OR($A4018="",_xlfn.MINIFS($B$3:$B$5000,$A$3:$A$5000,$A4018,$B$3:$B$5000,"&gt;"&amp;$B4018)=0),NOW(),_xlfn.MINIFS($B$3:$B$5000,$A$3:$A$5000,$A4018,$B$3:$B$5000,"&gt;"&amp;$B4018))</f>
        <v>46279.5987644854</v>
      </c>
    </row>
    <row r="4019" customFormat="false" ht="15" hidden="false" customHeight="true" outlineLevel="0" collapsed="false">
      <c r="A4019" s="42"/>
      <c r="B4019" s="42"/>
      <c r="C4019" s="42"/>
      <c r="D4019" s="42"/>
      <c r="E4019" s="42"/>
      <c r="F4019" s="51" t="n">
        <f aca="false">IF(OR(C4019="",D4019="",E4019="",E4019=0),0,C4019*D4019/E4019)</f>
        <v>0</v>
      </c>
      <c r="G4019" s="42"/>
      <c r="H4019" s="49" t="n">
        <f aca="true">IF(OR($A4019="",_xlfn.MINIFS($B$3:$B$5000,$A$3:$A$5000,$A4019,$B$3:$B$5000,"&gt;"&amp;$B4019)=0),NOW(),_xlfn.MINIFS($B$3:$B$5000,$A$3:$A$5000,$A4019,$B$3:$B$5000,"&gt;"&amp;$B4019))</f>
        <v>46279.5987644854</v>
      </c>
    </row>
    <row r="4020" customFormat="false" ht="15" hidden="false" customHeight="true" outlineLevel="0" collapsed="false">
      <c r="A4020" s="42"/>
      <c r="B4020" s="42"/>
      <c r="C4020" s="42"/>
      <c r="D4020" s="42"/>
      <c r="E4020" s="42"/>
      <c r="F4020" s="51" t="n">
        <f aca="false">IF(OR(C4020="",D4020="",E4020="",E4020=0),0,C4020*D4020/E4020)</f>
        <v>0</v>
      </c>
      <c r="G4020" s="42"/>
      <c r="H4020" s="49" t="n">
        <f aca="true">IF(OR($A4020="",_xlfn.MINIFS($B$3:$B$5000,$A$3:$A$5000,$A4020,$B$3:$B$5000,"&gt;"&amp;$B4020)=0),NOW(),_xlfn.MINIFS($B$3:$B$5000,$A$3:$A$5000,$A4020,$B$3:$B$5000,"&gt;"&amp;$B4020))</f>
        <v>46279.5987644855</v>
      </c>
    </row>
    <row r="4021" customFormat="false" ht="15" hidden="false" customHeight="true" outlineLevel="0" collapsed="false">
      <c r="A4021" s="42"/>
      <c r="B4021" s="42"/>
      <c r="C4021" s="42"/>
      <c r="D4021" s="42"/>
      <c r="E4021" s="42"/>
      <c r="F4021" s="51" t="n">
        <f aca="false">IF(OR(C4021="",D4021="",E4021="",E4021=0),0,C4021*D4021/E4021)</f>
        <v>0</v>
      </c>
      <c r="G4021" s="42"/>
      <c r="H4021" s="49" t="n">
        <f aca="true">IF(OR($A4021="",_xlfn.MINIFS($B$3:$B$5000,$A$3:$A$5000,$A4021,$B$3:$B$5000,"&gt;"&amp;$B4021)=0),NOW(),_xlfn.MINIFS($B$3:$B$5000,$A$3:$A$5000,$A4021,$B$3:$B$5000,"&gt;"&amp;$B4021))</f>
        <v>46279.5987644855</v>
      </c>
    </row>
    <row r="4022" customFormat="false" ht="15" hidden="false" customHeight="true" outlineLevel="0" collapsed="false">
      <c r="A4022" s="42"/>
      <c r="B4022" s="42"/>
      <c r="C4022" s="42"/>
      <c r="D4022" s="42"/>
      <c r="E4022" s="42"/>
      <c r="F4022" s="51" t="n">
        <f aca="false">IF(OR(C4022="",D4022="",E4022="",E4022=0),0,C4022*D4022/E4022)</f>
        <v>0</v>
      </c>
      <c r="G4022" s="42"/>
      <c r="H4022" s="49" t="n">
        <f aca="true">IF(OR($A4022="",_xlfn.MINIFS($B$3:$B$5000,$A$3:$A$5000,$A4022,$B$3:$B$5000,"&gt;"&amp;$B4022)=0),NOW(),_xlfn.MINIFS($B$3:$B$5000,$A$3:$A$5000,$A4022,$B$3:$B$5000,"&gt;"&amp;$B4022))</f>
        <v>46279.5987644856</v>
      </c>
    </row>
    <row r="4023" customFormat="false" ht="15" hidden="false" customHeight="true" outlineLevel="0" collapsed="false">
      <c r="A4023" s="42"/>
      <c r="B4023" s="42"/>
      <c r="C4023" s="42"/>
      <c r="D4023" s="42"/>
      <c r="E4023" s="42"/>
      <c r="F4023" s="51" t="n">
        <f aca="false">IF(OR(C4023="",D4023="",E4023="",E4023=0),0,C4023*D4023/E4023)</f>
        <v>0</v>
      </c>
      <c r="G4023" s="42"/>
      <c r="H4023" s="49" t="n">
        <f aca="true">IF(OR($A4023="",_xlfn.MINIFS($B$3:$B$5000,$A$3:$A$5000,$A4023,$B$3:$B$5000,"&gt;"&amp;$B4023)=0),NOW(),_xlfn.MINIFS($B$3:$B$5000,$A$3:$A$5000,$A4023,$B$3:$B$5000,"&gt;"&amp;$B4023))</f>
        <v>46279.5987644856</v>
      </c>
    </row>
    <row r="4024" customFormat="false" ht="15" hidden="false" customHeight="true" outlineLevel="0" collapsed="false">
      <c r="A4024" s="42"/>
      <c r="B4024" s="42"/>
      <c r="C4024" s="42"/>
      <c r="D4024" s="42"/>
      <c r="E4024" s="42"/>
      <c r="F4024" s="51" t="n">
        <f aca="false">IF(OR(C4024="",D4024="",E4024="",E4024=0),0,C4024*D4024/E4024)</f>
        <v>0</v>
      </c>
      <c r="G4024" s="42"/>
      <c r="H4024" s="49" t="n">
        <f aca="true">IF(OR($A4024="",_xlfn.MINIFS($B$3:$B$5000,$A$3:$A$5000,$A4024,$B$3:$B$5000,"&gt;"&amp;$B4024)=0),NOW(),_xlfn.MINIFS($B$3:$B$5000,$A$3:$A$5000,$A4024,$B$3:$B$5000,"&gt;"&amp;$B4024))</f>
        <v>46279.5987644857</v>
      </c>
    </row>
    <row r="4025" customFormat="false" ht="15" hidden="false" customHeight="true" outlineLevel="0" collapsed="false">
      <c r="A4025" s="42"/>
      <c r="B4025" s="42"/>
      <c r="C4025" s="42"/>
      <c r="D4025" s="42"/>
      <c r="E4025" s="42"/>
      <c r="F4025" s="51" t="n">
        <f aca="false">IF(OR(C4025="",D4025="",E4025="",E4025=0),0,C4025*D4025/E4025)</f>
        <v>0</v>
      </c>
      <c r="G4025" s="42"/>
      <c r="H4025" s="49" t="n">
        <f aca="true">IF(OR($A4025="",_xlfn.MINIFS($B$3:$B$5000,$A$3:$A$5000,$A4025,$B$3:$B$5000,"&gt;"&amp;$B4025)=0),NOW(),_xlfn.MINIFS($B$3:$B$5000,$A$3:$A$5000,$A4025,$B$3:$B$5000,"&gt;"&amp;$B4025))</f>
        <v>46279.5987644857</v>
      </c>
    </row>
    <row r="4026" customFormat="false" ht="15" hidden="false" customHeight="true" outlineLevel="0" collapsed="false">
      <c r="A4026" s="42"/>
      <c r="B4026" s="42"/>
      <c r="C4026" s="42"/>
      <c r="D4026" s="42"/>
      <c r="E4026" s="42"/>
      <c r="F4026" s="51" t="n">
        <f aca="false">IF(OR(C4026="",D4026="",E4026="",E4026=0),0,C4026*D4026/E4026)</f>
        <v>0</v>
      </c>
      <c r="G4026" s="42"/>
      <c r="H4026" s="49" t="n">
        <f aca="true">IF(OR($A4026="",_xlfn.MINIFS($B$3:$B$5000,$A$3:$A$5000,$A4026,$B$3:$B$5000,"&gt;"&amp;$B4026)=0),NOW(),_xlfn.MINIFS($B$3:$B$5000,$A$3:$A$5000,$A4026,$B$3:$B$5000,"&gt;"&amp;$B4026))</f>
        <v>46279.5987644858</v>
      </c>
    </row>
    <row r="4027" customFormat="false" ht="15" hidden="false" customHeight="true" outlineLevel="0" collapsed="false">
      <c r="A4027" s="42"/>
      <c r="B4027" s="42"/>
      <c r="C4027" s="42"/>
      <c r="D4027" s="42"/>
      <c r="E4027" s="42"/>
      <c r="F4027" s="51" t="n">
        <f aca="false">IF(OR(C4027="",D4027="",E4027="",E4027=0),0,C4027*D4027/E4027)</f>
        <v>0</v>
      </c>
      <c r="G4027" s="42"/>
      <c r="H4027" s="49" t="n">
        <f aca="true">IF(OR($A4027="",_xlfn.MINIFS($B$3:$B$5000,$A$3:$A$5000,$A4027,$B$3:$B$5000,"&gt;"&amp;$B4027)=0),NOW(),_xlfn.MINIFS($B$3:$B$5000,$A$3:$A$5000,$A4027,$B$3:$B$5000,"&gt;"&amp;$B4027))</f>
        <v>46279.5987644858</v>
      </c>
    </row>
    <row r="4028" customFormat="false" ht="15" hidden="false" customHeight="true" outlineLevel="0" collapsed="false">
      <c r="A4028" s="42"/>
      <c r="B4028" s="42"/>
      <c r="C4028" s="42"/>
      <c r="D4028" s="42"/>
      <c r="E4028" s="42"/>
      <c r="F4028" s="51" t="n">
        <f aca="false">IF(OR(C4028="",D4028="",E4028="",E4028=0),0,C4028*D4028/E4028)</f>
        <v>0</v>
      </c>
      <c r="G4028" s="42"/>
      <c r="H4028" s="49" t="n">
        <f aca="true">IF(OR($A4028="",_xlfn.MINIFS($B$3:$B$5000,$A$3:$A$5000,$A4028,$B$3:$B$5000,"&gt;"&amp;$B4028)=0),NOW(),_xlfn.MINIFS($B$3:$B$5000,$A$3:$A$5000,$A4028,$B$3:$B$5000,"&gt;"&amp;$B4028))</f>
        <v>46279.5987644859</v>
      </c>
    </row>
    <row r="4029" customFormat="false" ht="15" hidden="false" customHeight="true" outlineLevel="0" collapsed="false">
      <c r="A4029" s="42"/>
      <c r="B4029" s="42"/>
      <c r="C4029" s="42"/>
      <c r="D4029" s="42"/>
      <c r="E4029" s="42"/>
      <c r="F4029" s="51" t="n">
        <f aca="false">IF(OR(C4029="",D4029="",E4029="",E4029=0),0,C4029*D4029/E4029)</f>
        <v>0</v>
      </c>
      <c r="G4029" s="42"/>
      <c r="H4029" s="49" t="n">
        <f aca="true">IF(OR($A4029="",_xlfn.MINIFS($B$3:$B$5000,$A$3:$A$5000,$A4029,$B$3:$B$5000,"&gt;"&amp;$B4029)=0),NOW(),_xlfn.MINIFS($B$3:$B$5000,$A$3:$A$5000,$A4029,$B$3:$B$5000,"&gt;"&amp;$B4029))</f>
        <v>46279.5987644859</v>
      </c>
    </row>
    <row r="4030" customFormat="false" ht="15" hidden="false" customHeight="true" outlineLevel="0" collapsed="false">
      <c r="A4030" s="42"/>
      <c r="B4030" s="42"/>
      <c r="C4030" s="42"/>
      <c r="D4030" s="42"/>
      <c r="E4030" s="42"/>
      <c r="F4030" s="51" t="n">
        <f aca="false">IF(OR(C4030="",D4030="",E4030="",E4030=0),0,C4030*D4030/E4030)</f>
        <v>0</v>
      </c>
      <c r="G4030" s="42"/>
      <c r="H4030" s="49" t="n">
        <f aca="true">IF(OR($A4030="",_xlfn.MINIFS($B$3:$B$5000,$A$3:$A$5000,$A4030,$B$3:$B$5000,"&gt;"&amp;$B4030)=0),NOW(),_xlfn.MINIFS($B$3:$B$5000,$A$3:$A$5000,$A4030,$B$3:$B$5000,"&gt;"&amp;$B4030))</f>
        <v>46279.598764486</v>
      </c>
    </row>
    <row r="4031" customFormat="false" ht="15" hidden="false" customHeight="true" outlineLevel="0" collapsed="false">
      <c r="A4031" s="42"/>
      <c r="B4031" s="42"/>
      <c r="C4031" s="42"/>
      <c r="D4031" s="42"/>
      <c r="E4031" s="42"/>
      <c r="F4031" s="51" t="n">
        <f aca="false">IF(OR(C4031="",D4031="",E4031="",E4031=0),0,C4031*D4031/E4031)</f>
        <v>0</v>
      </c>
      <c r="G4031" s="42"/>
      <c r="H4031" s="49" t="n">
        <f aca="true">IF(OR($A4031="",_xlfn.MINIFS($B$3:$B$5000,$A$3:$A$5000,$A4031,$B$3:$B$5000,"&gt;"&amp;$B4031)=0),NOW(),_xlfn.MINIFS($B$3:$B$5000,$A$3:$A$5000,$A4031,$B$3:$B$5000,"&gt;"&amp;$B4031))</f>
        <v>46279.598764486</v>
      </c>
    </row>
    <row r="4032" customFormat="false" ht="15" hidden="false" customHeight="true" outlineLevel="0" collapsed="false">
      <c r="A4032" s="42"/>
      <c r="B4032" s="42"/>
      <c r="C4032" s="42"/>
      <c r="D4032" s="42"/>
      <c r="E4032" s="42"/>
      <c r="F4032" s="51" t="n">
        <f aca="false">IF(OR(C4032="",D4032="",E4032="",E4032=0),0,C4032*D4032/E4032)</f>
        <v>0</v>
      </c>
      <c r="G4032" s="42"/>
      <c r="H4032" s="49" t="n">
        <f aca="true">IF(OR($A4032="",_xlfn.MINIFS($B$3:$B$5000,$A$3:$A$5000,$A4032,$B$3:$B$5000,"&gt;"&amp;$B4032)=0),NOW(),_xlfn.MINIFS($B$3:$B$5000,$A$3:$A$5000,$A4032,$B$3:$B$5000,"&gt;"&amp;$B4032))</f>
        <v>46279.5987644861</v>
      </c>
    </row>
    <row r="4033" customFormat="false" ht="15" hidden="false" customHeight="true" outlineLevel="0" collapsed="false">
      <c r="A4033" s="42"/>
      <c r="B4033" s="42"/>
      <c r="C4033" s="42"/>
      <c r="D4033" s="42"/>
      <c r="E4033" s="42"/>
      <c r="F4033" s="51" t="n">
        <f aca="false">IF(OR(C4033="",D4033="",E4033="",E4033=0),0,C4033*D4033/E4033)</f>
        <v>0</v>
      </c>
      <c r="G4033" s="42"/>
      <c r="H4033" s="49" t="n">
        <f aca="true">IF(OR($A4033="",_xlfn.MINIFS($B$3:$B$5000,$A$3:$A$5000,$A4033,$B$3:$B$5000,"&gt;"&amp;$B4033)=0),NOW(),_xlfn.MINIFS($B$3:$B$5000,$A$3:$A$5000,$A4033,$B$3:$B$5000,"&gt;"&amp;$B4033))</f>
        <v>46279.5987644861</v>
      </c>
    </row>
    <row r="4034" customFormat="false" ht="15" hidden="false" customHeight="true" outlineLevel="0" collapsed="false">
      <c r="A4034" s="42"/>
      <c r="B4034" s="42"/>
      <c r="C4034" s="42"/>
      <c r="D4034" s="42"/>
      <c r="E4034" s="42"/>
      <c r="F4034" s="51" t="n">
        <f aca="false">IF(OR(C4034="",D4034="",E4034="",E4034=0),0,C4034*D4034/E4034)</f>
        <v>0</v>
      </c>
      <c r="G4034" s="42"/>
      <c r="H4034" s="49" t="n">
        <f aca="true">IF(OR($A4034="",_xlfn.MINIFS($B$3:$B$5000,$A$3:$A$5000,$A4034,$B$3:$B$5000,"&gt;"&amp;$B4034)=0),NOW(),_xlfn.MINIFS($B$3:$B$5000,$A$3:$A$5000,$A4034,$B$3:$B$5000,"&gt;"&amp;$B4034))</f>
        <v>46279.5987644862</v>
      </c>
    </row>
    <row r="4035" customFormat="false" ht="15" hidden="false" customHeight="true" outlineLevel="0" collapsed="false">
      <c r="A4035" s="42"/>
      <c r="B4035" s="42"/>
      <c r="C4035" s="42"/>
      <c r="D4035" s="42"/>
      <c r="E4035" s="42"/>
      <c r="F4035" s="51" t="n">
        <f aca="false">IF(OR(C4035="",D4035="",E4035="",E4035=0),0,C4035*D4035/E4035)</f>
        <v>0</v>
      </c>
      <c r="G4035" s="42"/>
      <c r="H4035" s="49" t="n">
        <f aca="true">IF(OR($A4035="",_xlfn.MINIFS($B$3:$B$5000,$A$3:$A$5000,$A4035,$B$3:$B$5000,"&gt;"&amp;$B4035)=0),NOW(),_xlfn.MINIFS($B$3:$B$5000,$A$3:$A$5000,$A4035,$B$3:$B$5000,"&gt;"&amp;$B4035))</f>
        <v>46279.5987644862</v>
      </c>
    </row>
    <row r="4036" customFormat="false" ht="15" hidden="false" customHeight="true" outlineLevel="0" collapsed="false">
      <c r="A4036" s="42"/>
      <c r="B4036" s="42"/>
      <c r="C4036" s="42"/>
      <c r="D4036" s="42"/>
      <c r="E4036" s="42"/>
      <c r="F4036" s="51" t="n">
        <f aca="false">IF(OR(C4036="",D4036="",E4036="",E4036=0),0,C4036*D4036/E4036)</f>
        <v>0</v>
      </c>
      <c r="G4036" s="42"/>
      <c r="H4036" s="49" t="n">
        <f aca="true">IF(OR($A4036="",_xlfn.MINIFS($B$3:$B$5000,$A$3:$A$5000,$A4036,$B$3:$B$5000,"&gt;"&amp;$B4036)=0),NOW(),_xlfn.MINIFS($B$3:$B$5000,$A$3:$A$5000,$A4036,$B$3:$B$5000,"&gt;"&amp;$B4036))</f>
        <v>46279.5987644863</v>
      </c>
    </row>
    <row r="4037" customFormat="false" ht="15" hidden="false" customHeight="true" outlineLevel="0" collapsed="false">
      <c r="A4037" s="42"/>
      <c r="B4037" s="42"/>
      <c r="C4037" s="42"/>
      <c r="D4037" s="42"/>
      <c r="E4037" s="42"/>
      <c r="F4037" s="51" t="n">
        <f aca="false">IF(OR(C4037="",D4037="",E4037="",E4037=0),0,C4037*D4037/E4037)</f>
        <v>0</v>
      </c>
      <c r="G4037" s="42"/>
      <c r="H4037" s="49" t="n">
        <f aca="true">IF(OR($A4037="",_xlfn.MINIFS($B$3:$B$5000,$A$3:$A$5000,$A4037,$B$3:$B$5000,"&gt;"&amp;$B4037)=0),NOW(),_xlfn.MINIFS($B$3:$B$5000,$A$3:$A$5000,$A4037,$B$3:$B$5000,"&gt;"&amp;$B4037))</f>
        <v>46279.5987644863</v>
      </c>
    </row>
    <row r="4038" customFormat="false" ht="15" hidden="false" customHeight="true" outlineLevel="0" collapsed="false">
      <c r="A4038" s="42"/>
      <c r="B4038" s="42"/>
      <c r="C4038" s="42"/>
      <c r="D4038" s="42"/>
      <c r="E4038" s="42"/>
      <c r="F4038" s="51" t="n">
        <f aca="false">IF(OR(C4038="",D4038="",E4038="",E4038=0),0,C4038*D4038/E4038)</f>
        <v>0</v>
      </c>
      <c r="G4038" s="42"/>
      <c r="H4038" s="49" t="n">
        <f aca="true">IF(OR($A4038="",_xlfn.MINIFS($B$3:$B$5000,$A$3:$A$5000,$A4038,$B$3:$B$5000,"&gt;"&amp;$B4038)=0),NOW(),_xlfn.MINIFS($B$3:$B$5000,$A$3:$A$5000,$A4038,$B$3:$B$5000,"&gt;"&amp;$B4038))</f>
        <v>46279.5987644864</v>
      </c>
    </row>
    <row r="4039" customFormat="false" ht="15" hidden="false" customHeight="true" outlineLevel="0" collapsed="false">
      <c r="A4039" s="42"/>
      <c r="B4039" s="42"/>
      <c r="C4039" s="42"/>
      <c r="D4039" s="42"/>
      <c r="E4039" s="42"/>
      <c r="F4039" s="51" t="n">
        <f aca="false">IF(OR(C4039="",D4039="",E4039="",E4039=0),0,C4039*D4039/E4039)</f>
        <v>0</v>
      </c>
      <c r="G4039" s="42"/>
      <c r="H4039" s="49" t="n">
        <f aca="true">IF(OR($A4039="",_xlfn.MINIFS($B$3:$B$5000,$A$3:$A$5000,$A4039,$B$3:$B$5000,"&gt;"&amp;$B4039)=0),NOW(),_xlfn.MINIFS($B$3:$B$5000,$A$3:$A$5000,$A4039,$B$3:$B$5000,"&gt;"&amp;$B4039))</f>
        <v>46279.5987644864</v>
      </c>
    </row>
    <row r="4040" customFormat="false" ht="15" hidden="false" customHeight="true" outlineLevel="0" collapsed="false">
      <c r="A4040" s="42"/>
      <c r="B4040" s="42"/>
      <c r="C4040" s="42"/>
      <c r="D4040" s="42"/>
      <c r="E4040" s="42"/>
      <c r="F4040" s="51" t="n">
        <f aca="false">IF(OR(C4040="",D4040="",E4040="",E4040=0),0,C4040*D4040/E4040)</f>
        <v>0</v>
      </c>
      <c r="G4040" s="42"/>
      <c r="H4040" s="49" t="n">
        <f aca="true">IF(OR($A4040="",_xlfn.MINIFS($B$3:$B$5000,$A$3:$A$5000,$A4040,$B$3:$B$5000,"&gt;"&amp;$B4040)=0),NOW(),_xlfn.MINIFS($B$3:$B$5000,$A$3:$A$5000,$A4040,$B$3:$B$5000,"&gt;"&amp;$B4040))</f>
        <v>46279.5987644865</v>
      </c>
    </row>
    <row r="4041" customFormat="false" ht="15" hidden="false" customHeight="true" outlineLevel="0" collapsed="false">
      <c r="A4041" s="42"/>
      <c r="B4041" s="42"/>
      <c r="C4041" s="42"/>
      <c r="D4041" s="42"/>
      <c r="E4041" s="42"/>
      <c r="F4041" s="51" t="n">
        <f aca="false">IF(OR(C4041="",D4041="",E4041="",E4041=0),0,C4041*D4041/E4041)</f>
        <v>0</v>
      </c>
      <c r="G4041" s="42"/>
      <c r="H4041" s="49" t="n">
        <f aca="true">IF(OR($A4041="",_xlfn.MINIFS($B$3:$B$5000,$A$3:$A$5000,$A4041,$B$3:$B$5000,"&gt;"&amp;$B4041)=0),NOW(),_xlfn.MINIFS($B$3:$B$5000,$A$3:$A$5000,$A4041,$B$3:$B$5000,"&gt;"&amp;$B4041))</f>
        <v>46279.5987644865</v>
      </c>
    </row>
    <row r="4042" customFormat="false" ht="15" hidden="false" customHeight="true" outlineLevel="0" collapsed="false">
      <c r="A4042" s="42"/>
      <c r="B4042" s="42"/>
      <c r="C4042" s="42"/>
      <c r="D4042" s="42"/>
      <c r="E4042" s="42"/>
      <c r="F4042" s="51" t="n">
        <f aca="false">IF(OR(C4042="",D4042="",E4042="",E4042=0),0,C4042*D4042/E4042)</f>
        <v>0</v>
      </c>
      <c r="G4042" s="42"/>
      <c r="H4042" s="49" t="n">
        <f aca="true">IF(OR($A4042="",_xlfn.MINIFS($B$3:$B$5000,$A$3:$A$5000,$A4042,$B$3:$B$5000,"&gt;"&amp;$B4042)=0),NOW(),_xlfn.MINIFS($B$3:$B$5000,$A$3:$A$5000,$A4042,$B$3:$B$5000,"&gt;"&amp;$B4042))</f>
        <v>46279.5987644866</v>
      </c>
    </row>
    <row r="4043" customFormat="false" ht="15" hidden="false" customHeight="true" outlineLevel="0" collapsed="false">
      <c r="A4043" s="42"/>
      <c r="B4043" s="42"/>
      <c r="C4043" s="42"/>
      <c r="D4043" s="42"/>
      <c r="E4043" s="42"/>
      <c r="F4043" s="51" t="n">
        <f aca="false">IF(OR(C4043="",D4043="",E4043="",E4043=0),0,C4043*D4043/E4043)</f>
        <v>0</v>
      </c>
      <c r="G4043" s="42"/>
      <c r="H4043" s="49" t="n">
        <f aca="true">IF(OR($A4043="",_xlfn.MINIFS($B$3:$B$5000,$A$3:$A$5000,$A4043,$B$3:$B$5000,"&gt;"&amp;$B4043)=0),NOW(),_xlfn.MINIFS($B$3:$B$5000,$A$3:$A$5000,$A4043,$B$3:$B$5000,"&gt;"&amp;$B4043))</f>
        <v>46279.5987644866</v>
      </c>
    </row>
    <row r="4044" customFormat="false" ht="15" hidden="false" customHeight="true" outlineLevel="0" collapsed="false">
      <c r="A4044" s="42"/>
      <c r="B4044" s="42"/>
      <c r="C4044" s="42"/>
      <c r="D4044" s="42"/>
      <c r="E4044" s="42"/>
      <c r="F4044" s="51" t="n">
        <f aca="false">IF(OR(C4044="",D4044="",E4044="",E4044=0),0,C4044*D4044/E4044)</f>
        <v>0</v>
      </c>
      <c r="G4044" s="42"/>
      <c r="H4044" s="49" t="n">
        <f aca="true">IF(OR($A4044="",_xlfn.MINIFS($B$3:$B$5000,$A$3:$A$5000,$A4044,$B$3:$B$5000,"&gt;"&amp;$B4044)=0),NOW(),_xlfn.MINIFS($B$3:$B$5000,$A$3:$A$5000,$A4044,$B$3:$B$5000,"&gt;"&amp;$B4044))</f>
        <v>46279.5987644867</v>
      </c>
    </row>
    <row r="4045" customFormat="false" ht="15" hidden="false" customHeight="true" outlineLevel="0" collapsed="false">
      <c r="A4045" s="42"/>
      <c r="B4045" s="42"/>
      <c r="C4045" s="42"/>
      <c r="D4045" s="42"/>
      <c r="E4045" s="42"/>
      <c r="F4045" s="51" t="n">
        <f aca="false">IF(OR(C4045="",D4045="",E4045="",E4045=0),0,C4045*D4045/E4045)</f>
        <v>0</v>
      </c>
      <c r="G4045" s="42"/>
      <c r="H4045" s="49" t="n">
        <f aca="true">IF(OR($A4045="",_xlfn.MINIFS($B$3:$B$5000,$A$3:$A$5000,$A4045,$B$3:$B$5000,"&gt;"&amp;$B4045)=0),NOW(),_xlfn.MINIFS($B$3:$B$5000,$A$3:$A$5000,$A4045,$B$3:$B$5000,"&gt;"&amp;$B4045))</f>
        <v>46279.5987644867</v>
      </c>
    </row>
    <row r="4046" customFormat="false" ht="15" hidden="false" customHeight="true" outlineLevel="0" collapsed="false">
      <c r="A4046" s="42"/>
      <c r="B4046" s="42"/>
      <c r="C4046" s="42"/>
      <c r="D4046" s="42"/>
      <c r="E4046" s="42"/>
      <c r="F4046" s="51" t="n">
        <f aca="false">IF(OR(C4046="",D4046="",E4046="",E4046=0),0,C4046*D4046/E4046)</f>
        <v>0</v>
      </c>
      <c r="G4046" s="42"/>
      <c r="H4046" s="49" t="n">
        <f aca="true">IF(OR($A4046="",_xlfn.MINIFS($B$3:$B$5000,$A$3:$A$5000,$A4046,$B$3:$B$5000,"&gt;"&amp;$B4046)=0),NOW(),_xlfn.MINIFS($B$3:$B$5000,$A$3:$A$5000,$A4046,$B$3:$B$5000,"&gt;"&amp;$B4046))</f>
        <v>46279.5987644868</v>
      </c>
    </row>
    <row r="4047" customFormat="false" ht="15" hidden="false" customHeight="true" outlineLevel="0" collapsed="false">
      <c r="A4047" s="42"/>
      <c r="B4047" s="42"/>
      <c r="C4047" s="42"/>
      <c r="D4047" s="42"/>
      <c r="E4047" s="42"/>
      <c r="F4047" s="51" t="n">
        <f aca="false">IF(OR(C4047="",D4047="",E4047="",E4047=0),0,C4047*D4047/E4047)</f>
        <v>0</v>
      </c>
      <c r="G4047" s="42"/>
      <c r="H4047" s="49" t="n">
        <f aca="true">IF(OR($A4047="",_xlfn.MINIFS($B$3:$B$5000,$A$3:$A$5000,$A4047,$B$3:$B$5000,"&gt;"&amp;$B4047)=0),NOW(),_xlfn.MINIFS($B$3:$B$5000,$A$3:$A$5000,$A4047,$B$3:$B$5000,"&gt;"&amp;$B4047))</f>
        <v>46279.5987644868</v>
      </c>
    </row>
    <row r="4048" customFormat="false" ht="15" hidden="false" customHeight="true" outlineLevel="0" collapsed="false">
      <c r="A4048" s="42"/>
      <c r="B4048" s="42"/>
      <c r="C4048" s="42"/>
      <c r="D4048" s="42"/>
      <c r="E4048" s="42"/>
      <c r="F4048" s="51" t="n">
        <f aca="false">IF(OR(C4048="",D4048="",E4048="",E4048=0),0,C4048*D4048/E4048)</f>
        <v>0</v>
      </c>
      <c r="G4048" s="42"/>
      <c r="H4048" s="49" t="n">
        <f aca="true">IF(OR($A4048="",_xlfn.MINIFS($B$3:$B$5000,$A$3:$A$5000,$A4048,$B$3:$B$5000,"&gt;"&amp;$B4048)=0),NOW(),_xlfn.MINIFS($B$3:$B$5000,$A$3:$A$5000,$A4048,$B$3:$B$5000,"&gt;"&amp;$B4048))</f>
        <v>46279.5987644869</v>
      </c>
    </row>
    <row r="4049" customFormat="false" ht="15" hidden="false" customHeight="true" outlineLevel="0" collapsed="false">
      <c r="A4049" s="42"/>
      <c r="B4049" s="42"/>
      <c r="C4049" s="42"/>
      <c r="D4049" s="42"/>
      <c r="E4049" s="42"/>
      <c r="F4049" s="51" t="n">
        <f aca="false">IF(OR(C4049="",D4049="",E4049="",E4049=0),0,C4049*D4049/E4049)</f>
        <v>0</v>
      </c>
      <c r="G4049" s="42"/>
      <c r="H4049" s="49" t="n">
        <f aca="true">IF(OR($A4049="",_xlfn.MINIFS($B$3:$B$5000,$A$3:$A$5000,$A4049,$B$3:$B$5000,"&gt;"&amp;$B4049)=0),NOW(),_xlfn.MINIFS($B$3:$B$5000,$A$3:$A$5000,$A4049,$B$3:$B$5000,"&gt;"&amp;$B4049))</f>
        <v>46279.5987644869</v>
      </c>
    </row>
    <row r="4050" customFormat="false" ht="15" hidden="false" customHeight="true" outlineLevel="0" collapsed="false">
      <c r="A4050" s="42"/>
      <c r="B4050" s="42"/>
      <c r="C4050" s="42"/>
      <c r="D4050" s="42"/>
      <c r="E4050" s="42"/>
      <c r="F4050" s="51" t="n">
        <f aca="false">IF(OR(C4050="",D4050="",E4050="",E4050=0),0,C4050*D4050/E4050)</f>
        <v>0</v>
      </c>
      <c r="G4050" s="42"/>
      <c r="H4050" s="49" t="n">
        <f aca="true">IF(OR($A4050="",_xlfn.MINIFS($B$3:$B$5000,$A$3:$A$5000,$A4050,$B$3:$B$5000,"&gt;"&amp;$B4050)=0),NOW(),_xlfn.MINIFS($B$3:$B$5000,$A$3:$A$5000,$A4050,$B$3:$B$5000,"&gt;"&amp;$B4050))</f>
        <v>46279.598764487</v>
      </c>
    </row>
    <row r="4051" customFormat="false" ht="15" hidden="false" customHeight="true" outlineLevel="0" collapsed="false">
      <c r="A4051" s="42"/>
      <c r="B4051" s="42"/>
      <c r="C4051" s="42"/>
      <c r="D4051" s="42"/>
      <c r="E4051" s="42"/>
      <c r="F4051" s="51" t="n">
        <f aca="false">IF(OR(C4051="",D4051="",E4051="",E4051=0),0,C4051*D4051/E4051)</f>
        <v>0</v>
      </c>
      <c r="G4051" s="42"/>
      <c r="H4051" s="49" t="n">
        <f aca="true">IF(OR($A4051="",_xlfn.MINIFS($B$3:$B$5000,$A$3:$A$5000,$A4051,$B$3:$B$5000,"&gt;"&amp;$B4051)=0),NOW(),_xlfn.MINIFS($B$3:$B$5000,$A$3:$A$5000,$A4051,$B$3:$B$5000,"&gt;"&amp;$B4051))</f>
        <v>46279.598764487</v>
      </c>
    </row>
    <row r="4052" customFormat="false" ht="15" hidden="false" customHeight="true" outlineLevel="0" collapsed="false">
      <c r="A4052" s="42"/>
      <c r="B4052" s="42"/>
      <c r="C4052" s="42"/>
      <c r="D4052" s="42"/>
      <c r="E4052" s="42"/>
      <c r="F4052" s="51" t="n">
        <f aca="false">IF(OR(C4052="",D4052="",E4052="",E4052=0),0,C4052*D4052/E4052)</f>
        <v>0</v>
      </c>
      <c r="G4052" s="42"/>
      <c r="H4052" s="49" t="n">
        <f aca="true">IF(OR($A4052="",_xlfn.MINIFS($B$3:$B$5000,$A$3:$A$5000,$A4052,$B$3:$B$5000,"&gt;"&amp;$B4052)=0),NOW(),_xlfn.MINIFS($B$3:$B$5000,$A$3:$A$5000,$A4052,$B$3:$B$5000,"&gt;"&amp;$B4052))</f>
        <v>46279.5987644871</v>
      </c>
    </row>
    <row r="4053" customFormat="false" ht="15" hidden="false" customHeight="true" outlineLevel="0" collapsed="false">
      <c r="A4053" s="42"/>
      <c r="B4053" s="42"/>
      <c r="C4053" s="42"/>
      <c r="D4053" s="42"/>
      <c r="E4053" s="42"/>
      <c r="F4053" s="51" t="n">
        <f aca="false">IF(OR(C4053="",D4053="",E4053="",E4053=0),0,C4053*D4053/E4053)</f>
        <v>0</v>
      </c>
      <c r="G4053" s="42"/>
      <c r="H4053" s="49" t="n">
        <f aca="true">IF(OR($A4053="",_xlfn.MINIFS($B$3:$B$5000,$A$3:$A$5000,$A4053,$B$3:$B$5000,"&gt;"&amp;$B4053)=0),NOW(),_xlfn.MINIFS($B$3:$B$5000,$A$3:$A$5000,$A4053,$B$3:$B$5000,"&gt;"&amp;$B4053))</f>
        <v>46279.5987644871</v>
      </c>
    </row>
    <row r="4054" customFormat="false" ht="15" hidden="false" customHeight="true" outlineLevel="0" collapsed="false">
      <c r="A4054" s="42"/>
      <c r="B4054" s="42"/>
      <c r="C4054" s="42"/>
      <c r="D4054" s="42"/>
      <c r="E4054" s="42"/>
      <c r="F4054" s="51" t="n">
        <f aca="false">IF(OR(C4054="",D4054="",E4054="",E4054=0),0,C4054*D4054/E4054)</f>
        <v>0</v>
      </c>
      <c r="G4054" s="42"/>
      <c r="H4054" s="49" t="n">
        <f aca="true">IF(OR($A4054="",_xlfn.MINIFS($B$3:$B$5000,$A$3:$A$5000,$A4054,$B$3:$B$5000,"&gt;"&amp;$B4054)=0),NOW(),_xlfn.MINIFS($B$3:$B$5000,$A$3:$A$5000,$A4054,$B$3:$B$5000,"&gt;"&amp;$B4054))</f>
        <v>46279.5987644873</v>
      </c>
    </row>
    <row r="4055" customFormat="false" ht="15" hidden="false" customHeight="true" outlineLevel="0" collapsed="false">
      <c r="A4055" s="42"/>
      <c r="B4055" s="42"/>
      <c r="C4055" s="42"/>
      <c r="D4055" s="42"/>
      <c r="E4055" s="42"/>
      <c r="F4055" s="51" t="n">
        <f aca="false">IF(OR(C4055="",D4055="",E4055="",E4055=0),0,C4055*D4055/E4055)</f>
        <v>0</v>
      </c>
      <c r="G4055" s="42"/>
      <c r="H4055" s="49" t="n">
        <f aca="true">IF(OR($A4055="",_xlfn.MINIFS($B$3:$B$5000,$A$3:$A$5000,$A4055,$B$3:$B$5000,"&gt;"&amp;$B4055)=0),NOW(),_xlfn.MINIFS($B$3:$B$5000,$A$3:$A$5000,$A4055,$B$3:$B$5000,"&gt;"&amp;$B4055))</f>
        <v>46279.5987644873</v>
      </c>
    </row>
    <row r="4056" customFormat="false" ht="15" hidden="false" customHeight="true" outlineLevel="0" collapsed="false">
      <c r="A4056" s="42"/>
      <c r="B4056" s="42"/>
      <c r="C4056" s="42"/>
      <c r="D4056" s="42"/>
      <c r="E4056" s="42"/>
      <c r="F4056" s="51" t="n">
        <f aca="false">IF(OR(C4056="",D4056="",E4056="",E4056=0),0,C4056*D4056/E4056)</f>
        <v>0</v>
      </c>
      <c r="G4056" s="42"/>
      <c r="H4056" s="49" t="n">
        <f aca="true">IF(OR($A4056="",_xlfn.MINIFS($B$3:$B$5000,$A$3:$A$5000,$A4056,$B$3:$B$5000,"&gt;"&amp;$B4056)=0),NOW(),_xlfn.MINIFS($B$3:$B$5000,$A$3:$A$5000,$A4056,$B$3:$B$5000,"&gt;"&amp;$B4056))</f>
        <v>46279.5987644874</v>
      </c>
    </row>
    <row r="4057" customFormat="false" ht="15" hidden="false" customHeight="true" outlineLevel="0" collapsed="false">
      <c r="A4057" s="42"/>
      <c r="B4057" s="42"/>
      <c r="C4057" s="42"/>
      <c r="D4057" s="42"/>
      <c r="E4057" s="42"/>
      <c r="F4057" s="51" t="n">
        <f aca="false">IF(OR(C4057="",D4057="",E4057="",E4057=0),0,C4057*D4057/E4057)</f>
        <v>0</v>
      </c>
      <c r="G4057" s="42"/>
      <c r="H4057" s="49" t="n">
        <f aca="true">IF(OR($A4057="",_xlfn.MINIFS($B$3:$B$5000,$A$3:$A$5000,$A4057,$B$3:$B$5000,"&gt;"&amp;$B4057)=0),NOW(),_xlfn.MINIFS($B$3:$B$5000,$A$3:$A$5000,$A4057,$B$3:$B$5000,"&gt;"&amp;$B4057))</f>
        <v>46279.5987644874</v>
      </c>
    </row>
    <row r="4058" customFormat="false" ht="15" hidden="false" customHeight="true" outlineLevel="0" collapsed="false">
      <c r="A4058" s="42"/>
      <c r="B4058" s="42"/>
      <c r="C4058" s="42"/>
      <c r="D4058" s="42"/>
      <c r="E4058" s="42"/>
      <c r="F4058" s="51" t="n">
        <f aca="false">IF(OR(C4058="",D4058="",E4058="",E4058=0),0,C4058*D4058/E4058)</f>
        <v>0</v>
      </c>
      <c r="G4058" s="42"/>
      <c r="H4058" s="49" t="n">
        <f aca="true">IF(OR($A4058="",_xlfn.MINIFS($B$3:$B$5000,$A$3:$A$5000,$A4058,$B$3:$B$5000,"&gt;"&amp;$B4058)=0),NOW(),_xlfn.MINIFS($B$3:$B$5000,$A$3:$A$5000,$A4058,$B$3:$B$5000,"&gt;"&amp;$B4058))</f>
        <v>46279.5987644875</v>
      </c>
    </row>
    <row r="4059" customFormat="false" ht="15" hidden="false" customHeight="true" outlineLevel="0" collapsed="false">
      <c r="A4059" s="42"/>
      <c r="B4059" s="42"/>
      <c r="C4059" s="42"/>
      <c r="D4059" s="42"/>
      <c r="E4059" s="42"/>
      <c r="F4059" s="51" t="n">
        <f aca="false">IF(OR(C4059="",D4059="",E4059="",E4059=0),0,C4059*D4059/E4059)</f>
        <v>0</v>
      </c>
      <c r="G4059" s="42"/>
      <c r="H4059" s="49" t="n">
        <f aca="true">IF(OR($A4059="",_xlfn.MINIFS($B$3:$B$5000,$A$3:$A$5000,$A4059,$B$3:$B$5000,"&gt;"&amp;$B4059)=0),NOW(),_xlfn.MINIFS($B$3:$B$5000,$A$3:$A$5000,$A4059,$B$3:$B$5000,"&gt;"&amp;$B4059))</f>
        <v>46279.5987644875</v>
      </c>
    </row>
    <row r="4060" customFormat="false" ht="15" hidden="false" customHeight="true" outlineLevel="0" collapsed="false">
      <c r="A4060" s="42"/>
      <c r="B4060" s="42"/>
      <c r="C4060" s="42"/>
      <c r="D4060" s="42"/>
      <c r="E4060" s="42"/>
      <c r="F4060" s="51" t="n">
        <f aca="false">IF(OR(C4060="",D4060="",E4060="",E4060=0),0,C4060*D4060/E4060)</f>
        <v>0</v>
      </c>
      <c r="G4060" s="42"/>
      <c r="H4060" s="49" t="n">
        <f aca="true">IF(OR($A4060="",_xlfn.MINIFS($B$3:$B$5000,$A$3:$A$5000,$A4060,$B$3:$B$5000,"&gt;"&amp;$B4060)=0),NOW(),_xlfn.MINIFS($B$3:$B$5000,$A$3:$A$5000,$A4060,$B$3:$B$5000,"&gt;"&amp;$B4060))</f>
        <v>46279.5987644876</v>
      </c>
    </row>
    <row r="4061" customFormat="false" ht="15" hidden="false" customHeight="true" outlineLevel="0" collapsed="false">
      <c r="A4061" s="42"/>
      <c r="B4061" s="42"/>
      <c r="C4061" s="42"/>
      <c r="D4061" s="42"/>
      <c r="E4061" s="42"/>
      <c r="F4061" s="51" t="n">
        <f aca="false">IF(OR(C4061="",D4061="",E4061="",E4061=0),0,C4061*D4061/E4061)</f>
        <v>0</v>
      </c>
      <c r="G4061" s="42"/>
      <c r="H4061" s="49" t="n">
        <f aca="true">IF(OR($A4061="",_xlfn.MINIFS($B$3:$B$5000,$A$3:$A$5000,$A4061,$B$3:$B$5000,"&gt;"&amp;$B4061)=0),NOW(),_xlfn.MINIFS($B$3:$B$5000,$A$3:$A$5000,$A4061,$B$3:$B$5000,"&gt;"&amp;$B4061))</f>
        <v>46279.5987644876</v>
      </c>
    </row>
    <row r="4062" customFormat="false" ht="15" hidden="false" customHeight="true" outlineLevel="0" collapsed="false">
      <c r="A4062" s="42"/>
      <c r="B4062" s="42"/>
      <c r="C4062" s="42"/>
      <c r="D4062" s="42"/>
      <c r="E4062" s="42"/>
      <c r="F4062" s="51" t="n">
        <f aca="false">IF(OR(C4062="",D4062="",E4062="",E4062=0),0,C4062*D4062/E4062)</f>
        <v>0</v>
      </c>
      <c r="G4062" s="42"/>
      <c r="H4062" s="49" t="n">
        <f aca="true">IF(OR($A4062="",_xlfn.MINIFS($B$3:$B$5000,$A$3:$A$5000,$A4062,$B$3:$B$5000,"&gt;"&amp;$B4062)=0),NOW(),_xlfn.MINIFS($B$3:$B$5000,$A$3:$A$5000,$A4062,$B$3:$B$5000,"&gt;"&amp;$B4062))</f>
        <v>46279.5987644877</v>
      </c>
    </row>
    <row r="4063" customFormat="false" ht="15" hidden="false" customHeight="true" outlineLevel="0" collapsed="false">
      <c r="A4063" s="42"/>
      <c r="B4063" s="42"/>
      <c r="C4063" s="42"/>
      <c r="D4063" s="42"/>
      <c r="E4063" s="42"/>
      <c r="F4063" s="51" t="n">
        <f aca="false">IF(OR(C4063="",D4063="",E4063="",E4063=0),0,C4063*D4063/E4063)</f>
        <v>0</v>
      </c>
      <c r="G4063" s="42"/>
      <c r="H4063" s="49" t="n">
        <f aca="true">IF(OR($A4063="",_xlfn.MINIFS($B$3:$B$5000,$A$3:$A$5000,$A4063,$B$3:$B$5000,"&gt;"&amp;$B4063)=0),NOW(),_xlfn.MINIFS($B$3:$B$5000,$A$3:$A$5000,$A4063,$B$3:$B$5000,"&gt;"&amp;$B4063))</f>
        <v>46279.5987644877</v>
      </c>
    </row>
    <row r="4064" customFormat="false" ht="15" hidden="false" customHeight="true" outlineLevel="0" collapsed="false">
      <c r="A4064" s="42"/>
      <c r="B4064" s="42"/>
      <c r="C4064" s="42"/>
      <c r="D4064" s="42"/>
      <c r="E4064" s="42"/>
      <c r="F4064" s="51" t="n">
        <f aca="false">IF(OR(C4064="",D4064="",E4064="",E4064=0),0,C4064*D4064/E4064)</f>
        <v>0</v>
      </c>
      <c r="G4064" s="42"/>
      <c r="H4064" s="49" t="n">
        <f aca="true">IF(OR($A4064="",_xlfn.MINIFS($B$3:$B$5000,$A$3:$A$5000,$A4064,$B$3:$B$5000,"&gt;"&amp;$B4064)=0),NOW(),_xlfn.MINIFS($B$3:$B$5000,$A$3:$A$5000,$A4064,$B$3:$B$5000,"&gt;"&amp;$B4064))</f>
        <v>46279.5987644878</v>
      </c>
    </row>
    <row r="4065" customFormat="false" ht="15" hidden="false" customHeight="true" outlineLevel="0" collapsed="false">
      <c r="A4065" s="42"/>
      <c r="B4065" s="42"/>
      <c r="C4065" s="42"/>
      <c r="D4065" s="42"/>
      <c r="E4065" s="42"/>
      <c r="F4065" s="51" t="n">
        <f aca="false">IF(OR(C4065="",D4065="",E4065="",E4065=0),0,C4065*D4065/E4065)</f>
        <v>0</v>
      </c>
      <c r="G4065" s="42"/>
      <c r="H4065" s="49" t="n">
        <f aca="true">IF(OR($A4065="",_xlfn.MINIFS($B$3:$B$5000,$A$3:$A$5000,$A4065,$B$3:$B$5000,"&gt;"&amp;$B4065)=0),NOW(),_xlfn.MINIFS($B$3:$B$5000,$A$3:$A$5000,$A4065,$B$3:$B$5000,"&gt;"&amp;$B4065))</f>
        <v>46279.5987644878</v>
      </c>
    </row>
    <row r="4066" customFormat="false" ht="15" hidden="false" customHeight="true" outlineLevel="0" collapsed="false">
      <c r="A4066" s="42"/>
      <c r="B4066" s="42"/>
      <c r="C4066" s="42"/>
      <c r="D4066" s="42"/>
      <c r="E4066" s="42"/>
      <c r="F4066" s="51" t="n">
        <f aca="false">IF(OR(C4066="",D4066="",E4066="",E4066=0),0,C4066*D4066/E4066)</f>
        <v>0</v>
      </c>
      <c r="G4066" s="42"/>
      <c r="H4066" s="49" t="n">
        <f aca="true">IF(OR($A4066="",_xlfn.MINIFS($B$3:$B$5000,$A$3:$A$5000,$A4066,$B$3:$B$5000,"&gt;"&amp;$B4066)=0),NOW(),_xlfn.MINIFS($B$3:$B$5000,$A$3:$A$5000,$A4066,$B$3:$B$5000,"&gt;"&amp;$B4066))</f>
        <v>46279.5987644879</v>
      </c>
    </row>
    <row r="4067" customFormat="false" ht="15" hidden="false" customHeight="true" outlineLevel="0" collapsed="false">
      <c r="A4067" s="42"/>
      <c r="B4067" s="42"/>
      <c r="C4067" s="42"/>
      <c r="D4067" s="42"/>
      <c r="E4067" s="42"/>
      <c r="F4067" s="51" t="n">
        <f aca="false">IF(OR(C4067="",D4067="",E4067="",E4067=0),0,C4067*D4067/E4067)</f>
        <v>0</v>
      </c>
      <c r="G4067" s="42"/>
      <c r="H4067" s="49" t="n">
        <f aca="true">IF(OR($A4067="",_xlfn.MINIFS($B$3:$B$5000,$A$3:$A$5000,$A4067,$B$3:$B$5000,"&gt;"&amp;$B4067)=0),NOW(),_xlfn.MINIFS($B$3:$B$5000,$A$3:$A$5000,$A4067,$B$3:$B$5000,"&gt;"&amp;$B4067))</f>
        <v>46279.5987644879</v>
      </c>
    </row>
    <row r="4068" customFormat="false" ht="15" hidden="false" customHeight="true" outlineLevel="0" collapsed="false">
      <c r="A4068" s="42"/>
      <c r="B4068" s="42"/>
      <c r="C4068" s="42"/>
      <c r="D4068" s="42"/>
      <c r="E4068" s="42"/>
      <c r="F4068" s="51" t="n">
        <f aca="false">IF(OR(C4068="",D4068="",E4068="",E4068=0),0,C4068*D4068/E4068)</f>
        <v>0</v>
      </c>
      <c r="G4068" s="42"/>
      <c r="H4068" s="49" t="n">
        <f aca="true">IF(OR($A4068="",_xlfn.MINIFS($B$3:$B$5000,$A$3:$A$5000,$A4068,$B$3:$B$5000,"&gt;"&amp;$B4068)=0),NOW(),_xlfn.MINIFS($B$3:$B$5000,$A$3:$A$5000,$A4068,$B$3:$B$5000,"&gt;"&amp;$B4068))</f>
        <v>46279.598764488</v>
      </c>
    </row>
    <row r="4069" customFormat="false" ht="15" hidden="false" customHeight="true" outlineLevel="0" collapsed="false">
      <c r="A4069" s="42"/>
      <c r="B4069" s="42"/>
      <c r="C4069" s="42"/>
      <c r="D4069" s="42"/>
      <c r="E4069" s="42"/>
      <c r="F4069" s="51" t="n">
        <f aca="false">IF(OR(C4069="",D4069="",E4069="",E4069=0),0,C4069*D4069/E4069)</f>
        <v>0</v>
      </c>
      <c r="G4069" s="42"/>
      <c r="H4069" s="49" t="n">
        <f aca="true">IF(OR($A4069="",_xlfn.MINIFS($B$3:$B$5000,$A$3:$A$5000,$A4069,$B$3:$B$5000,"&gt;"&amp;$B4069)=0),NOW(),_xlfn.MINIFS($B$3:$B$5000,$A$3:$A$5000,$A4069,$B$3:$B$5000,"&gt;"&amp;$B4069))</f>
        <v>46279.598764488</v>
      </c>
    </row>
    <row r="4070" customFormat="false" ht="15" hidden="false" customHeight="true" outlineLevel="0" collapsed="false">
      <c r="A4070" s="42"/>
      <c r="B4070" s="42"/>
      <c r="C4070" s="42"/>
      <c r="D4070" s="42"/>
      <c r="E4070" s="42"/>
      <c r="F4070" s="51" t="n">
        <f aca="false">IF(OR(C4070="",D4070="",E4070="",E4070=0),0,C4070*D4070/E4070)</f>
        <v>0</v>
      </c>
      <c r="G4070" s="42"/>
      <c r="H4070" s="49" t="n">
        <f aca="true">IF(OR($A4070="",_xlfn.MINIFS($B$3:$B$5000,$A$3:$A$5000,$A4070,$B$3:$B$5000,"&gt;"&amp;$B4070)=0),NOW(),_xlfn.MINIFS($B$3:$B$5000,$A$3:$A$5000,$A4070,$B$3:$B$5000,"&gt;"&amp;$B4070))</f>
        <v>46279.5987644881</v>
      </c>
    </row>
    <row r="4071" customFormat="false" ht="15" hidden="false" customHeight="true" outlineLevel="0" collapsed="false">
      <c r="A4071" s="42"/>
      <c r="B4071" s="42"/>
      <c r="C4071" s="42"/>
      <c r="D4071" s="42"/>
      <c r="E4071" s="42"/>
      <c r="F4071" s="51" t="n">
        <f aca="false">IF(OR(C4071="",D4071="",E4071="",E4071=0),0,C4071*D4071/E4071)</f>
        <v>0</v>
      </c>
      <c r="G4071" s="42"/>
      <c r="H4071" s="49" t="n">
        <f aca="true">IF(OR($A4071="",_xlfn.MINIFS($B$3:$B$5000,$A$3:$A$5000,$A4071,$B$3:$B$5000,"&gt;"&amp;$B4071)=0),NOW(),_xlfn.MINIFS($B$3:$B$5000,$A$3:$A$5000,$A4071,$B$3:$B$5000,"&gt;"&amp;$B4071))</f>
        <v>46279.5987644881</v>
      </c>
    </row>
    <row r="4072" customFormat="false" ht="15" hidden="false" customHeight="true" outlineLevel="0" collapsed="false">
      <c r="A4072" s="42"/>
      <c r="B4072" s="42"/>
      <c r="C4072" s="42"/>
      <c r="D4072" s="42"/>
      <c r="E4072" s="42"/>
      <c r="F4072" s="51" t="n">
        <f aca="false">IF(OR(C4072="",D4072="",E4072="",E4072=0),0,C4072*D4072/E4072)</f>
        <v>0</v>
      </c>
      <c r="G4072" s="42"/>
      <c r="H4072" s="49" t="n">
        <f aca="true">IF(OR($A4072="",_xlfn.MINIFS($B$3:$B$5000,$A$3:$A$5000,$A4072,$B$3:$B$5000,"&gt;"&amp;$B4072)=0),NOW(),_xlfn.MINIFS($B$3:$B$5000,$A$3:$A$5000,$A4072,$B$3:$B$5000,"&gt;"&amp;$B4072))</f>
        <v>46279.5987644882</v>
      </c>
    </row>
    <row r="4073" customFormat="false" ht="15" hidden="false" customHeight="true" outlineLevel="0" collapsed="false">
      <c r="A4073" s="42"/>
      <c r="B4073" s="42"/>
      <c r="C4073" s="42"/>
      <c r="D4073" s="42"/>
      <c r="E4073" s="42"/>
      <c r="F4073" s="51" t="n">
        <f aca="false">IF(OR(C4073="",D4073="",E4073="",E4073=0),0,C4073*D4073/E4073)</f>
        <v>0</v>
      </c>
      <c r="G4073" s="42"/>
      <c r="H4073" s="49" t="n">
        <f aca="true">IF(OR($A4073="",_xlfn.MINIFS($B$3:$B$5000,$A$3:$A$5000,$A4073,$B$3:$B$5000,"&gt;"&amp;$B4073)=0),NOW(),_xlfn.MINIFS($B$3:$B$5000,$A$3:$A$5000,$A4073,$B$3:$B$5000,"&gt;"&amp;$B4073))</f>
        <v>46279.5987644882</v>
      </c>
    </row>
    <row r="4074" customFormat="false" ht="15" hidden="false" customHeight="true" outlineLevel="0" collapsed="false">
      <c r="A4074" s="42"/>
      <c r="B4074" s="42"/>
      <c r="C4074" s="42"/>
      <c r="D4074" s="42"/>
      <c r="E4074" s="42"/>
      <c r="F4074" s="51" t="n">
        <f aca="false">IF(OR(C4074="",D4074="",E4074="",E4074=0),0,C4074*D4074/E4074)</f>
        <v>0</v>
      </c>
      <c r="G4074" s="42"/>
      <c r="H4074" s="49" t="n">
        <f aca="true">IF(OR($A4074="",_xlfn.MINIFS($B$3:$B$5000,$A$3:$A$5000,$A4074,$B$3:$B$5000,"&gt;"&amp;$B4074)=0),NOW(),_xlfn.MINIFS($B$3:$B$5000,$A$3:$A$5000,$A4074,$B$3:$B$5000,"&gt;"&amp;$B4074))</f>
        <v>46279.5987644883</v>
      </c>
    </row>
    <row r="4075" customFormat="false" ht="15" hidden="false" customHeight="true" outlineLevel="0" collapsed="false">
      <c r="A4075" s="42"/>
      <c r="B4075" s="42"/>
      <c r="C4075" s="42"/>
      <c r="D4075" s="42"/>
      <c r="E4075" s="42"/>
      <c r="F4075" s="51" t="n">
        <f aca="false">IF(OR(C4075="",D4075="",E4075="",E4075=0),0,C4075*D4075/E4075)</f>
        <v>0</v>
      </c>
      <c r="G4075" s="42"/>
      <c r="H4075" s="49" t="n">
        <f aca="true">IF(OR($A4075="",_xlfn.MINIFS($B$3:$B$5000,$A$3:$A$5000,$A4075,$B$3:$B$5000,"&gt;"&amp;$B4075)=0),NOW(),_xlfn.MINIFS($B$3:$B$5000,$A$3:$A$5000,$A4075,$B$3:$B$5000,"&gt;"&amp;$B4075))</f>
        <v>46279.5987644883</v>
      </c>
    </row>
    <row r="4076" customFormat="false" ht="15" hidden="false" customHeight="true" outlineLevel="0" collapsed="false">
      <c r="A4076" s="42"/>
      <c r="B4076" s="42"/>
      <c r="C4076" s="42"/>
      <c r="D4076" s="42"/>
      <c r="E4076" s="42"/>
      <c r="F4076" s="51" t="n">
        <f aca="false">IF(OR(C4076="",D4076="",E4076="",E4076=0),0,C4076*D4076/E4076)</f>
        <v>0</v>
      </c>
      <c r="G4076" s="42"/>
      <c r="H4076" s="49" t="n">
        <f aca="true">IF(OR($A4076="",_xlfn.MINIFS($B$3:$B$5000,$A$3:$A$5000,$A4076,$B$3:$B$5000,"&gt;"&amp;$B4076)=0),NOW(),_xlfn.MINIFS($B$3:$B$5000,$A$3:$A$5000,$A4076,$B$3:$B$5000,"&gt;"&amp;$B4076))</f>
        <v>46279.5987644884</v>
      </c>
    </row>
    <row r="4077" customFormat="false" ht="15" hidden="false" customHeight="true" outlineLevel="0" collapsed="false">
      <c r="A4077" s="42"/>
      <c r="B4077" s="42"/>
      <c r="C4077" s="42"/>
      <c r="D4077" s="42"/>
      <c r="E4077" s="42"/>
      <c r="F4077" s="51" t="n">
        <f aca="false">IF(OR(C4077="",D4077="",E4077="",E4077=0),0,C4077*D4077/E4077)</f>
        <v>0</v>
      </c>
      <c r="G4077" s="42"/>
      <c r="H4077" s="49" t="n">
        <f aca="true">IF(OR($A4077="",_xlfn.MINIFS($B$3:$B$5000,$A$3:$A$5000,$A4077,$B$3:$B$5000,"&gt;"&amp;$B4077)=0),NOW(),_xlfn.MINIFS($B$3:$B$5000,$A$3:$A$5000,$A4077,$B$3:$B$5000,"&gt;"&amp;$B4077))</f>
        <v>46279.5987644884</v>
      </c>
    </row>
    <row r="4078" customFormat="false" ht="15" hidden="false" customHeight="true" outlineLevel="0" collapsed="false">
      <c r="A4078" s="42"/>
      <c r="B4078" s="42"/>
      <c r="C4078" s="42"/>
      <c r="D4078" s="42"/>
      <c r="E4078" s="42"/>
      <c r="F4078" s="51" t="n">
        <f aca="false">IF(OR(C4078="",D4078="",E4078="",E4078=0),0,C4078*D4078/E4078)</f>
        <v>0</v>
      </c>
      <c r="G4078" s="42"/>
      <c r="H4078" s="49" t="n">
        <f aca="true">IF(OR($A4078="",_xlfn.MINIFS($B$3:$B$5000,$A$3:$A$5000,$A4078,$B$3:$B$5000,"&gt;"&amp;$B4078)=0),NOW(),_xlfn.MINIFS($B$3:$B$5000,$A$3:$A$5000,$A4078,$B$3:$B$5000,"&gt;"&amp;$B4078))</f>
        <v>46279.5987644885</v>
      </c>
    </row>
    <row r="4079" customFormat="false" ht="15" hidden="false" customHeight="true" outlineLevel="0" collapsed="false">
      <c r="A4079" s="42"/>
      <c r="B4079" s="42"/>
      <c r="C4079" s="42"/>
      <c r="D4079" s="42"/>
      <c r="E4079" s="42"/>
      <c r="F4079" s="51" t="n">
        <f aca="false">IF(OR(C4079="",D4079="",E4079="",E4079=0),0,C4079*D4079/E4079)</f>
        <v>0</v>
      </c>
      <c r="G4079" s="42"/>
      <c r="H4079" s="49" t="n">
        <f aca="true">IF(OR($A4079="",_xlfn.MINIFS($B$3:$B$5000,$A$3:$A$5000,$A4079,$B$3:$B$5000,"&gt;"&amp;$B4079)=0),NOW(),_xlfn.MINIFS($B$3:$B$5000,$A$3:$A$5000,$A4079,$B$3:$B$5000,"&gt;"&amp;$B4079))</f>
        <v>46279.5987644885</v>
      </c>
    </row>
    <row r="4080" customFormat="false" ht="15" hidden="false" customHeight="true" outlineLevel="0" collapsed="false">
      <c r="A4080" s="42"/>
      <c r="B4080" s="42"/>
      <c r="C4080" s="42"/>
      <c r="D4080" s="42"/>
      <c r="E4080" s="42"/>
      <c r="F4080" s="51" t="n">
        <f aca="false">IF(OR(C4080="",D4080="",E4080="",E4080=0),0,C4080*D4080/E4080)</f>
        <v>0</v>
      </c>
      <c r="G4080" s="42"/>
      <c r="H4080" s="49" t="n">
        <f aca="true">IF(OR($A4080="",_xlfn.MINIFS($B$3:$B$5000,$A$3:$A$5000,$A4080,$B$3:$B$5000,"&gt;"&amp;$B4080)=0),NOW(),_xlfn.MINIFS($B$3:$B$5000,$A$3:$A$5000,$A4080,$B$3:$B$5000,"&gt;"&amp;$B4080))</f>
        <v>46279.5987644886</v>
      </c>
    </row>
    <row r="4081" customFormat="false" ht="15" hidden="false" customHeight="true" outlineLevel="0" collapsed="false">
      <c r="A4081" s="42"/>
      <c r="B4081" s="42"/>
      <c r="C4081" s="42"/>
      <c r="D4081" s="42"/>
      <c r="E4081" s="42"/>
      <c r="F4081" s="51" t="n">
        <f aca="false">IF(OR(C4081="",D4081="",E4081="",E4081=0),0,C4081*D4081/E4081)</f>
        <v>0</v>
      </c>
      <c r="G4081" s="42"/>
      <c r="H4081" s="49" t="n">
        <f aca="true">IF(OR($A4081="",_xlfn.MINIFS($B$3:$B$5000,$A$3:$A$5000,$A4081,$B$3:$B$5000,"&gt;"&amp;$B4081)=0),NOW(),_xlfn.MINIFS($B$3:$B$5000,$A$3:$A$5000,$A4081,$B$3:$B$5000,"&gt;"&amp;$B4081))</f>
        <v>46279.5987644886</v>
      </c>
    </row>
    <row r="4082" customFormat="false" ht="15" hidden="false" customHeight="true" outlineLevel="0" collapsed="false">
      <c r="A4082" s="42"/>
      <c r="B4082" s="42"/>
      <c r="C4082" s="42"/>
      <c r="D4082" s="42"/>
      <c r="E4082" s="42"/>
      <c r="F4082" s="51" t="n">
        <f aca="false">IF(OR(C4082="",D4082="",E4082="",E4082=0),0,C4082*D4082/E4082)</f>
        <v>0</v>
      </c>
      <c r="G4082" s="42"/>
      <c r="H4082" s="49" t="n">
        <f aca="true">IF(OR($A4082="",_xlfn.MINIFS($B$3:$B$5000,$A$3:$A$5000,$A4082,$B$3:$B$5000,"&gt;"&amp;$B4082)=0),NOW(),_xlfn.MINIFS($B$3:$B$5000,$A$3:$A$5000,$A4082,$B$3:$B$5000,"&gt;"&amp;$B4082))</f>
        <v>46279.5987644887</v>
      </c>
    </row>
    <row r="4083" customFormat="false" ht="15" hidden="false" customHeight="true" outlineLevel="0" collapsed="false">
      <c r="A4083" s="42"/>
      <c r="B4083" s="42"/>
      <c r="C4083" s="42"/>
      <c r="D4083" s="42"/>
      <c r="E4083" s="42"/>
      <c r="F4083" s="51" t="n">
        <f aca="false">IF(OR(C4083="",D4083="",E4083="",E4083=0),0,C4083*D4083/E4083)</f>
        <v>0</v>
      </c>
      <c r="G4083" s="42"/>
      <c r="H4083" s="49" t="n">
        <f aca="true">IF(OR($A4083="",_xlfn.MINIFS($B$3:$B$5000,$A$3:$A$5000,$A4083,$B$3:$B$5000,"&gt;"&amp;$B4083)=0),NOW(),_xlfn.MINIFS($B$3:$B$5000,$A$3:$A$5000,$A4083,$B$3:$B$5000,"&gt;"&amp;$B4083))</f>
        <v>46279.5987644887</v>
      </c>
    </row>
    <row r="4084" customFormat="false" ht="15" hidden="false" customHeight="true" outlineLevel="0" collapsed="false">
      <c r="A4084" s="42"/>
      <c r="B4084" s="42"/>
      <c r="C4084" s="42"/>
      <c r="D4084" s="42"/>
      <c r="E4084" s="42"/>
      <c r="F4084" s="51" t="n">
        <f aca="false">IF(OR(C4084="",D4084="",E4084="",E4084=0),0,C4084*D4084/E4084)</f>
        <v>0</v>
      </c>
      <c r="G4084" s="42"/>
      <c r="H4084" s="49" t="n">
        <f aca="true">IF(OR($A4084="",_xlfn.MINIFS($B$3:$B$5000,$A$3:$A$5000,$A4084,$B$3:$B$5000,"&gt;"&amp;$B4084)=0),NOW(),_xlfn.MINIFS($B$3:$B$5000,$A$3:$A$5000,$A4084,$B$3:$B$5000,"&gt;"&amp;$B4084))</f>
        <v>46279.5987644888</v>
      </c>
    </row>
    <row r="4085" customFormat="false" ht="15" hidden="false" customHeight="true" outlineLevel="0" collapsed="false">
      <c r="A4085" s="42"/>
      <c r="B4085" s="42"/>
      <c r="C4085" s="42"/>
      <c r="D4085" s="42"/>
      <c r="E4085" s="42"/>
      <c r="F4085" s="51" t="n">
        <f aca="false">IF(OR(C4085="",D4085="",E4085="",E4085=0),0,C4085*D4085/E4085)</f>
        <v>0</v>
      </c>
      <c r="G4085" s="42"/>
      <c r="H4085" s="49" t="n">
        <f aca="true">IF(OR($A4085="",_xlfn.MINIFS($B$3:$B$5000,$A$3:$A$5000,$A4085,$B$3:$B$5000,"&gt;"&amp;$B4085)=0),NOW(),_xlfn.MINIFS($B$3:$B$5000,$A$3:$A$5000,$A4085,$B$3:$B$5000,"&gt;"&amp;$B4085))</f>
        <v>46279.5987644894</v>
      </c>
    </row>
    <row r="4086" customFormat="false" ht="15" hidden="false" customHeight="true" outlineLevel="0" collapsed="false">
      <c r="A4086" s="42"/>
      <c r="B4086" s="42"/>
      <c r="C4086" s="42"/>
      <c r="D4086" s="42"/>
      <c r="E4086" s="42"/>
      <c r="F4086" s="51" t="n">
        <f aca="false">IF(OR(C4086="",D4086="",E4086="",E4086=0),0,C4086*D4086/E4086)</f>
        <v>0</v>
      </c>
      <c r="G4086" s="42"/>
      <c r="H4086" s="49" t="n">
        <f aca="true">IF(OR($A4086="",_xlfn.MINIFS($B$3:$B$5000,$A$3:$A$5000,$A4086,$B$3:$B$5000,"&gt;"&amp;$B4086)=0),NOW(),_xlfn.MINIFS($B$3:$B$5000,$A$3:$A$5000,$A4086,$B$3:$B$5000,"&gt;"&amp;$B4086))</f>
        <v>46279.5987644895</v>
      </c>
    </row>
    <row r="4087" customFormat="false" ht="15" hidden="false" customHeight="true" outlineLevel="0" collapsed="false">
      <c r="A4087" s="42"/>
      <c r="B4087" s="42"/>
      <c r="C4087" s="42"/>
      <c r="D4087" s="42"/>
      <c r="E4087" s="42"/>
      <c r="F4087" s="51" t="n">
        <f aca="false">IF(OR(C4087="",D4087="",E4087="",E4087=0),0,C4087*D4087/E4087)</f>
        <v>0</v>
      </c>
      <c r="G4087" s="42"/>
      <c r="H4087" s="49" t="n">
        <f aca="true">IF(OR($A4087="",_xlfn.MINIFS($B$3:$B$5000,$A$3:$A$5000,$A4087,$B$3:$B$5000,"&gt;"&amp;$B4087)=0),NOW(),_xlfn.MINIFS($B$3:$B$5000,$A$3:$A$5000,$A4087,$B$3:$B$5000,"&gt;"&amp;$B4087))</f>
        <v>46279.5987644896</v>
      </c>
    </row>
    <row r="4088" customFormat="false" ht="15" hidden="false" customHeight="true" outlineLevel="0" collapsed="false">
      <c r="A4088" s="42"/>
      <c r="B4088" s="42"/>
      <c r="C4088" s="42"/>
      <c r="D4088" s="42"/>
      <c r="E4088" s="42"/>
      <c r="F4088" s="51" t="n">
        <f aca="false">IF(OR(C4088="",D4088="",E4088="",E4088=0),0,C4088*D4088/E4088)</f>
        <v>0</v>
      </c>
      <c r="G4088" s="42"/>
      <c r="H4088" s="49" t="n">
        <f aca="true">IF(OR($A4088="",_xlfn.MINIFS($B$3:$B$5000,$A$3:$A$5000,$A4088,$B$3:$B$5000,"&gt;"&amp;$B4088)=0),NOW(),_xlfn.MINIFS($B$3:$B$5000,$A$3:$A$5000,$A4088,$B$3:$B$5000,"&gt;"&amp;$B4088))</f>
        <v>46279.5987644896</v>
      </c>
    </row>
    <row r="4089" customFormat="false" ht="15" hidden="false" customHeight="true" outlineLevel="0" collapsed="false">
      <c r="A4089" s="42"/>
      <c r="B4089" s="42"/>
      <c r="C4089" s="42"/>
      <c r="D4089" s="42"/>
      <c r="E4089" s="42"/>
      <c r="F4089" s="51" t="n">
        <f aca="false">IF(OR(C4089="",D4089="",E4089="",E4089=0),0,C4089*D4089/E4089)</f>
        <v>0</v>
      </c>
      <c r="G4089" s="42"/>
      <c r="H4089" s="49" t="n">
        <f aca="true">IF(OR($A4089="",_xlfn.MINIFS($B$3:$B$5000,$A$3:$A$5000,$A4089,$B$3:$B$5000,"&gt;"&amp;$B4089)=0),NOW(),_xlfn.MINIFS($B$3:$B$5000,$A$3:$A$5000,$A4089,$B$3:$B$5000,"&gt;"&amp;$B4089))</f>
        <v>46279.5987644897</v>
      </c>
    </row>
    <row r="4090" customFormat="false" ht="15" hidden="false" customHeight="true" outlineLevel="0" collapsed="false">
      <c r="A4090" s="42"/>
      <c r="B4090" s="42"/>
      <c r="C4090" s="42"/>
      <c r="D4090" s="42"/>
      <c r="E4090" s="42"/>
      <c r="F4090" s="51" t="n">
        <f aca="false">IF(OR(C4090="",D4090="",E4090="",E4090=0),0,C4090*D4090/E4090)</f>
        <v>0</v>
      </c>
      <c r="G4090" s="42"/>
      <c r="H4090" s="49" t="n">
        <f aca="true">IF(OR($A4090="",_xlfn.MINIFS($B$3:$B$5000,$A$3:$A$5000,$A4090,$B$3:$B$5000,"&gt;"&amp;$B4090)=0),NOW(),_xlfn.MINIFS($B$3:$B$5000,$A$3:$A$5000,$A4090,$B$3:$B$5000,"&gt;"&amp;$B4090))</f>
        <v>46279.5987644897</v>
      </c>
    </row>
    <row r="4091" customFormat="false" ht="15" hidden="false" customHeight="true" outlineLevel="0" collapsed="false">
      <c r="A4091" s="42"/>
      <c r="B4091" s="42"/>
      <c r="C4091" s="42"/>
      <c r="D4091" s="42"/>
      <c r="E4091" s="42"/>
      <c r="F4091" s="51" t="n">
        <f aca="false">IF(OR(C4091="",D4091="",E4091="",E4091=0),0,C4091*D4091/E4091)</f>
        <v>0</v>
      </c>
      <c r="G4091" s="42"/>
      <c r="H4091" s="49" t="n">
        <f aca="true">IF(OR($A4091="",_xlfn.MINIFS($B$3:$B$5000,$A$3:$A$5000,$A4091,$B$3:$B$5000,"&gt;"&amp;$B4091)=0),NOW(),_xlfn.MINIFS($B$3:$B$5000,$A$3:$A$5000,$A4091,$B$3:$B$5000,"&gt;"&amp;$B4091))</f>
        <v>46279.5987644898</v>
      </c>
    </row>
    <row r="4092" customFormat="false" ht="15" hidden="false" customHeight="true" outlineLevel="0" collapsed="false">
      <c r="A4092" s="42"/>
      <c r="B4092" s="42"/>
      <c r="C4092" s="42"/>
      <c r="D4092" s="42"/>
      <c r="E4092" s="42"/>
      <c r="F4092" s="51" t="n">
        <f aca="false">IF(OR(C4092="",D4092="",E4092="",E4092=0),0,C4092*D4092/E4092)</f>
        <v>0</v>
      </c>
      <c r="G4092" s="42"/>
      <c r="H4092" s="49" t="n">
        <f aca="true">IF(OR($A4092="",_xlfn.MINIFS($B$3:$B$5000,$A$3:$A$5000,$A4092,$B$3:$B$5000,"&gt;"&amp;$B4092)=0),NOW(),_xlfn.MINIFS($B$3:$B$5000,$A$3:$A$5000,$A4092,$B$3:$B$5000,"&gt;"&amp;$B4092))</f>
        <v>46279.5987644898</v>
      </c>
    </row>
    <row r="4093" customFormat="false" ht="15" hidden="false" customHeight="true" outlineLevel="0" collapsed="false">
      <c r="A4093" s="42"/>
      <c r="B4093" s="42"/>
      <c r="C4093" s="42"/>
      <c r="D4093" s="42"/>
      <c r="E4093" s="42"/>
      <c r="F4093" s="51" t="n">
        <f aca="false">IF(OR(C4093="",D4093="",E4093="",E4093=0),0,C4093*D4093/E4093)</f>
        <v>0</v>
      </c>
      <c r="G4093" s="42"/>
      <c r="H4093" s="49" t="n">
        <f aca="true">IF(OR($A4093="",_xlfn.MINIFS($B$3:$B$5000,$A$3:$A$5000,$A4093,$B$3:$B$5000,"&gt;"&amp;$B4093)=0),NOW(),_xlfn.MINIFS($B$3:$B$5000,$A$3:$A$5000,$A4093,$B$3:$B$5000,"&gt;"&amp;$B4093))</f>
        <v>46279.5987644899</v>
      </c>
    </row>
    <row r="4094" customFormat="false" ht="15" hidden="false" customHeight="true" outlineLevel="0" collapsed="false">
      <c r="A4094" s="42"/>
      <c r="B4094" s="42"/>
      <c r="C4094" s="42"/>
      <c r="D4094" s="42"/>
      <c r="E4094" s="42"/>
      <c r="F4094" s="51" t="n">
        <f aca="false">IF(OR(C4094="",D4094="",E4094="",E4094=0),0,C4094*D4094/E4094)</f>
        <v>0</v>
      </c>
      <c r="G4094" s="42"/>
      <c r="H4094" s="49" t="n">
        <f aca="true">IF(OR($A4094="",_xlfn.MINIFS($B$3:$B$5000,$A$3:$A$5000,$A4094,$B$3:$B$5000,"&gt;"&amp;$B4094)=0),NOW(),_xlfn.MINIFS($B$3:$B$5000,$A$3:$A$5000,$A4094,$B$3:$B$5000,"&gt;"&amp;$B4094))</f>
        <v>46279.5987644899</v>
      </c>
    </row>
    <row r="4095" customFormat="false" ht="15" hidden="false" customHeight="true" outlineLevel="0" collapsed="false">
      <c r="A4095" s="42"/>
      <c r="B4095" s="42"/>
      <c r="C4095" s="42"/>
      <c r="D4095" s="42"/>
      <c r="E4095" s="42"/>
      <c r="F4095" s="51" t="n">
        <f aca="false">IF(OR(C4095="",D4095="",E4095="",E4095=0),0,C4095*D4095/E4095)</f>
        <v>0</v>
      </c>
      <c r="G4095" s="42"/>
      <c r="H4095" s="49" t="n">
        <f aca="true">IF(OR($A4095="",_xlfn.MINIFS($B$3:$B$5000,$A$3:$A$5000,$A4095,$B$3:$B$5000,"&gt;"&amp;$B4095)=0),NOW(),_xlfn.MINIFS($B$3:$B$5000,$A$3:$A$5000,$A4095,$B$3:$B$5000,"&gt;"&amp;$B4095))</f>
        <v>46279.59876449</v>
      </c>
    </row>
    <row r="4096" customFormat="false" ht="15" hidden="false" customHeight="true" outlineLevel="0" collapsed="false">
      <c r="A4096" s="42"/>
      <c r="B4096" s="42"/>
      <c r="C4096" s="42"/>
      <c r="D4096" s="42"/>
      <c r="E4096" s="42"/>
      <c r="F4096" s="51" t="n">
        <f aca="false">IF(OR(C4096="",D4096="",E4096="",E4096=0),0,C4096*D4096/E4096)</f>
        <v>0</v>
      </c>
      <c r="G4096" s="42"/>
      <c r="H4096" s="49" t="n">
        <f aca="true">IF(OR($A4096="",_xlfn.MINIFS($B$3:$B$5000,$A$3:$A$5000,$A4096,$B$3:$B$5000,"&gt;"&amp;$B4096)=0),NOW(),_xlfn.MINIFS($B$3:$B$5000,$A$3:$A$5000,$A4096,$B$3:$B$5000,"&gt;"&amp;$B4096))</f>
        <v>46279.59876449</v>
      </c>
    </row>
    <row r="4097" customFormat="false" ht="15" hidden="false" customHeight="true" outlineLevel="0" collapsed="false">
      <c r="A4097" s="42"/>
      <c r="B4097" s="42"/>
      <c r="C4097" s="42"/>
      <c r="D4097" s="42"/>
      <c r="E4097" s="42"/>
      <c r="F4097" s="51" t="n">
        <f aca="false">IF(OR(C4097="",D4097="",E4097="",E4097=0),0,C4097*D4097/E4097)</f>
        <v>0</v>
      </c>
      <c r="G4097" s="42"/>
      <c r="H4097" s="49" t="n">
        <f aca="true">IF(OR($A4097="",_xlfn.MINIFS($B$3:$B$5000,$A$3:$A$5000,$A4097,$B$3:$B$5000,"&gt;"&amp;$B4097)=0),NOW(),_xlfn.MINIFS($B$3:$B$5000,$A$3:$A$5000,$A4097,$B$3:$B$5000,"&gt;"&amp;$B4097))</f>
        <v>46279.5987644901</v>
      </c>
    </row>
    <row r="4098" customFormat="false" ht="15" hidden="false" customHeight="true" outlineLevel="0" collapsed="false">
      <c r="A4098" s="42"/>
      <c r="B4098" s="42"/>
      <c r="C4098" s="42"/>
      <c r="D4098" s="42"/>
      <c r="E4098" s="42"/>
      <c r="F4098" s="51" t="n">
        <f aca="false">IF(OR(C4098="",D4098="",E4098="",E4098=0),0,C4098*D4098/E4098)</f>
        <v>0</v>
      </c>
      <c r="G4098" s="42"/>
      <c r="H4098" s="49" t="n">
        <f aca="true">IF(OR($A4098="",_xlfn.MINIFS($B$3:$B$5000,$A$3:$A$5000,$A4098,$B$3:$B$5000,"&gt;"&amp;$B4098)=0),NOW(),_xlfn.MINIFS($B$3:$B$5000,$A$3:$A$5000,$A4098,$B$3:$B$5000,"&gt;"&amp;$B4098))</f>
        <v>46279.5987644901</v>
      </c>
    </row>
    <row r="4099" customFormat="false" ht="15" hidden="false" customHeight="true" outlineLevel="0" collapsed="false">
      <c r="A4099" s="42"/>
      <c r="B4099" s="42"/>
      <c r="C4099" s="42"/>
      <c r="D4099" s="42"/>
      <c r="E4099" s="42"/>
      <c r="F4099" s="51" t="n">
        <f aca="false">IF(OR(C4099="",D4099="",E4099="",E4099=0),0,C4099*D4099/E4099)</f>
        <v>0</v>
      </c>
      <c r="G4099" s="42"/>
      <c r="H4099" s="49" t="n">
        <f aca="true">IF(OR($A4099="",_xlfn.MINIFS($B$3:$B$5000,$A$3:$A$5000,$A4099,$B$3:$B$5000,"&gt;"&amp;$B4099)=0),NOW(),_xlfn.MINIFS($B$3:$B$5000,$A$3:$A$5000,$A4099,$B$3:$B$5000,"&gt;"&amp;$B4099))</f>
        <v>46279.5987644902</v>
      </c>
    </row>
    <row r="4100" customFormat="false" ht="15" hidden="false" customHeight="true" outlineLevel="0" collapsed="false">
      <c r="A4100" s="42"/>
      <c r="B4100" s="42"/>
      <c r="C4100" s="42"/>
      <c r="D4100" s="42"/>
      <c r="E4100" s="42"/>
      <c r="F4100" s="51" t="n">
        <f aca="false">IF(OR(C4100="",D4100="",E4100="",E4100=0),0,C4100*D4100/E4100)</f>
        <v>0</v>
      </c>
      <c r="G4100" s="42"/>
      <c r="H4100" s="49" t="n">
        <f aca="true">IF(OR($A4100="",_xlfn.MINIFS($B$3:$B$5000,$A$3:$A$5000,$A4100,$B$3:$B$5000,"&gt;"&amp;$B4100)=0),NOW(),_xlfn.MINIFS($B$3:$B$5000,$A$3:$A$5000,$A4100,$B$3:$B$5000,"&gt;"&amp;$B4100))</f>
        <v>46279.5987644905</v>
      </c>
    </row>
    <row r="4101" customFormat="false" ht="15" hidden="false" customHeight="true" outlineLevel="0" collapsed="false">
      <c r="A4101" s="42"/>
      <c r="B4101" s="42"/>
      <c r="C4101" s="42"/>
      <c r="D4101" s="42"/>
      <c r="E4101" s="42"/>
      <c r="F4101" s="51" t="n">
        <f aca="false">IF(OR(C4101="",D4101="",E4101="",E4101=0),0,C4101*D4101/E4101)</f>
        <v>0</v>
      </c>
      <c r="G4101" s="42"/>
      <c r="H4101" s="49" t="n">
        <f aca="true">IF(OR($A4101="",_xlfn.MINIFS($B$3:$B$5000,$A$3:$A$5000,$A4101,$B$3:$B$5000,"&gt;"&amp;$B4101)=0),NOW(),_xlfn.MINIFS($B$3:$B$5000,$A$3:$A$5000,$A4101,$B$3:$B$5000,"&gt;"&amp;$B4101))</f>
        <v>46279.5987644905</v>
      </c>
    </row>
    <row r="4102" customFormat="false" ht="15" hidden="false" customHeight="true" outlineLevel="0" collapsed="false">
      <c r="A4102" s="42"/>
      <c r="B4102" s="42"/>
      <c r="C4102" s="42"/>
      <c r="D4102" s="42"/>
      <c r="E4102" s="42"/>
      <c r="F4102" s="51" t="n">
        <f aca="false">IF(OR(C4102="",D4102="",E4102="",E4102=0),0,C4102*D4102/E4102)</f>
        <v>0</v>
      </c>
      <c r="G4102" s="42"/>
      <c r="H4102" s="49" t="n">
        <f aca="true">IF(OR($A4102="",_xlfn.MINIFS($B$3:$B$5000,$A$3:$A$5000,$A4102,$B$3:$B$5000,"&gt;"&amp;$B4102)=0),NOW(),_xlfn.MINIFS($B$3:$B$5000,$A$3:$A$5000,$A4102,$B$3:$B$5000,"&gt;"&amp;$B4102))</f>
        <v>46279.5987644906</v>
      </c>
    </row>
    <row r="4103" customFormat="false" ht="15" hidden="false" customHeight="true" outlineLevel="0" collapsed="false">
      <c r="A4103" s="42"/>
      <c r="B4103" s="42"/>
      <c r="C4103" s="42"/>
      <c r="D4103" s="42"/>
      <c r="E4103" s="42"/>
      <c r="F4103" s="51" t="n">
        <f aca="false">IF(OR(C4103="",D4103="",E4103="",E4103=0),0,C4103*D4103/E4103)</f>
        <v>0</v>
      </c>
      <c r="G4103" s="42"/>
      <c r="H4103" s="49" t="n">
        <f aca="true">IF(OR($A4103="",_xlfn.MINIFS($B$3:$B$5000,$A$3:$A$5000,$A4103,$B$3:$B$5000,"&gt;"&amp;$B4103)=0),NOW(),_xlfn.MINIFS($B$3:$B$5000,$A$3:$A$5000,$A4103,$B$3:$B$5000,"&gt;"&amp;$B4103))</f>
        <v>46279.5987644906</v>
      </c>
    </row>
    <row r="4104" customFormat="false" ht="15" hidden="false" customHeight="true" outlineLevel="0" collapsed="false">
      <c r="A4104" s="42"/>
      <c r="B4104" s="42"/>
      <c r="C4104" s="42"/>
      <c r="D4104" s="42"/>
      <c r="E4104" s="42"/>
      <c r="F4104" s="51" t="n">
        <f aca="false">IF(OR(C4104="",D4104="",E4104="",E4104=0),0,C4104*D4104/E4104)</f>
        <v>0</v>
      </c>
      <c r="G4104" s="42"/>
      <c r="H4104" s="49" t="n">
        <f aca="true">IF(OR($A4104="",_xlfn.MINIFS($B$3:$B$5000,$A$3:$A$5000,$A4104,$B$3:$B$5000,"&gt;"&amp;$B4104)=0),NOW(),_xlfn.MINIFS($B$3:$B$5000,$A$3:$A$5000,$A4104,$B$3:$B$5000,"&gt;"&amp;$B4104))</f>
        <v>46279.5987644907</v>
      </c>
    </row>
    <row r="4105" customFormat="false" ht="15" hidden="false" customHeight="true" outlineLevel="0" collapsed="false">
      <c r="A4105" s="42"/>
      <c r="B4105" s="42"/>
      <c r="C4105" s="42"/>
      <c r="D4105" s="42"/>
      <c r="E4105" s="42"/>
      <c r="F4105" s="51" t="n">
        <f aca="false">IF(OR(C4105="",D4105="",E4105="",E4105=0),0,C4105*D4105/E4105)</f>
        <v>0</v>
      </c>
      <c r="G4105" s="42"/>
      <c r="H4105" s="49" t="n">
        <f aca="true">IF(OR($A4105="",_xlfn.MINIFS($B$3:$B$5000,$A$3:$A$5000,$A4105,$B$3:$B$5000,"&gt;"&amp;$B4105)=0),NOW(),_xlfn.MINIFS($B$3:$B$5000,$A$3:$A$5000,$A4105,$B$3:$B$5000,"&gt;"&amp;$B4105))</f>
        <v>46279.5987644907</v>
      </c>
    </row>
    <row r="4106" customFormat="false" ht="15" hidden="false" customHeight="true" outlineLevel="0" collapsed="false">
      <c r="A4106" s="42"/>
      <c r="B4106" s="42"/>
      <c r="C4106" s="42"/>
      <c r="D4106" s="42"/>
      <c r="E4106" s="42"/>
      <c r="F4106" s="51" t="n">
        <f aca="false">IF(OR(C4106="",D4106="",E4106="",E4106=0),0,C4106*D4106/E4106)</f>
        <v>0</v>
      </c>
      <c r="G4106" s="42"/>
      <c r="H4106" s="49" t="n">
        <f aca="true">IF(OR($A4106="",_xlfn.MINIFS($B$3:$B$5000,$A$3:$A$5000,$A4106,$B$3:$B$5000,"&gt;"&amp;$B4106)=0),NOW(),_xlfn.MINIFS($B$3:$B$5000,$A$3:$A$5000,$A4106,$B$3:$B$5000,"&gt;"&amp;$B4106))</f>
        <v>46279.5987644908</v>
      </c>
    </row>
    <row r="4107" customFormat="false" ht="15" hidden="false" customHeight="true" outlineLevel="0" collapsed="false">
      <c r="A4107" s="42"/>
      <c r="B4107" s="42"/>
      <c r="C4107" s="42"/>
      <c r="D4107" s="42"/>
      <c r="E4107" s="42"/>
      <c r="F4107" s="51" t="n">
        <f aca="false">IF(OR(C4107="",D4107="",E4107="",E4107=0),0,C4107*D4107/E4107)</f>
        <v>0</v>
      </c>
      <c r="G4107" s="42"/>
      <c r="H4107" s="49" t="n">
        <f aca="true">IF(OR($A4107="",_xlfn.MINIFS($B$3:$B$5000,$A$3:$A$5000,$A4107,$B$3:$B$5000,"&gt;"&amp;$B4107)=0),NOW(),_xlfn.MINIFS($B$3:$B$5000,$A$3:$A$5000,$A4107,$B$3:$B$5000,"&gt;"&amp;$B4107))</f>
        <v>46279.5987644908</v>
      </c>
    </row>
    <row r="4108" customFormat="false" ht="15" hidden="false" customHeight="true" outlineLevel="0" collapsed="false">
      <c r="A4108" s="42"/>
      <c r="B4108" s="42"/>
      <c r="C4108" s="42"/>
      <c r="D4108" s="42"/>
      <c r="E4108" s="42"/>
      <c r="F4108" s="51" t="n">
        <f aca="false">IF(OR(C4108="",D4108="",E4108="",E4108=0),0,C4108*D4108/E4108)</f>
        <v>0</v>
      </c>
      <c r="G4108" s="42"/>
      <c r="H4108" s="49" t="n">
        <f aca="true">IF(OR($A4108="",_xlfn.MINIFS($B$3:$B$5000,$A$3:$A$5000,$A4108,$B$3:$B$5000,"&gt;"&amp;$B4108)=0),NOW(),_xlfn.MINIFS($B$3:$B$5000,$A$3:$A$5000,$A4108,$B$3:$B$5000,"&gt;"&amp;$B4108))</f>
        <v>46279.5987644909</v>
      </c>
    </row>
    <row r="4109" customFormat="false" ht="15" hidden="false" customHeight="true" outlineLevel="0" collapsed="false">
      <c r="A4109" s="42"/>
      <c r="B4109" s="42"/>
      <c r="C4109" s="42"/>
      <c r="D4109" s="42"/>
      <c r="E4109" s="42"/>
      <c r="F4109" s="51" t="n">
        <f aca="false">IF(OR(C4109="",D4109="",E4109="",E4109=0),0,C4109*D4109/E4109)</f>
        <v>0</v>
      </c>
      <c r="G4109" s="42"/>
      <c r="H4109" s="49" t="n">
        <f aca="true">IF(OR($A4109="",_xlfn.MINIFS($B$3:$B$5000,$A$3:$A$5000,$A4109,$B$3:$B$5000,"&gt;"&amp;$B4109)=0),NOW(),_xlfn.MINIFS($B$3:$B$5000,$A$3:$A$5000,$A4109,$B$3:$B$5000,"&gt;"&amp;$B4109))</f>
        <v>46279.5987644909</v>
      </c>
    </row>
    <row r="4110" customFormat="false" ht="15" hidden="false" customHeight="true" outlineLevel="0" collapsed="false">
      <c r="A4110" s="42"/>
      <c r="B4110" s="42"/>
      <c r="C4110" s="42"/>
      <c r="D4110" s="42"/>
      <c r="E4110" s="42"/>
      <c r="F4110" s="51" t="n">
        <f aca="false">IF(OR(C4110="",D4110="",E4110="",E4110=0),0,C4110*D4110/E4110)</f>
        <v>0</v>
      </c>
      <c r="G4110" s="42"/>
      <c r="H4110" s="49" t="n">
        <f aca="true">IF(OR($A4110="",_xlfn.MINIFS($B$3:$B$5000,$A$3:$A$5000,$A4110,$B$3:$B$5000,"&gt;"&amp;$B4110)=0),NOW(),_xlfn.MINIFS($B$3:$B$5000,$A$3:$A$5000,$A4110,$B$3:$B$5000,"&gt;"&amp;$B4110))</f>
        <v>46279.598764491</v>
      </c>
    </row>
    <row r="4111" customFormat="false" ht="15" hidden="false" customHeight="true" outlineLevel="0" collapsed="false">
      <c r="A4111" s="42"/>
      <c r="B4111" s="42"/>
      <c r="C4111" s="42"/>
      <c r="D4111" s="42"/>
      <c r="E4111" s="42"/>
      <c r="F4111" s="51" t="n">
        <f aca="false">IF(OR(C4111="",D4111="",E4111="",E4111=0),0,C4111*D4111/E4111)</f>
        <v>0</v>
      </c>
      <c r="G4111" s="42"/>
      <c r="H4111" s="49" t="n">
        <f aca="true">IF(OR($A4111="",_xlfn.MINIFS($B$3:$B$5000,$A$3:$A$5000,$A4111,$B$3:$B$5000,"&gt;"&amp;$B4111)=0),NOW(),_xlfn.MINIFS($B$3:$B$5000,$A$3:$A$5000,$A4111,$B$3:$B$5000,"&gt;"&amp;$B4111))</f>
        <v>46279.598764491</v>
      </c>
    </row>
    <row r="4112" customFormat="false" ht="15" hidden="false" customHeight="true" outlineLevel="0" collapsed="false">
      <c r="A4112" s="42"/>
      <c r="B4112" s="42"/>
      <c r="C4112" s="42"/>
      <c r="D4112" s="42"/>
      <c r="E4112" s="42"/>
      <c r="F4112" s="51" t="n">
        <f aca="false">IF(OR(C4112="",D4112="",E4112="",E4112=0),0,C4112*D4112/E4112)</f>
        <v>0</v>
      </c>
      <c r="G4112" s="42"/>
      <c r="H4112" s="49" t="n">
        <f aca="true">IF(OR($A4112="",_xlfn.MINIFS($B$3:$B$5000,$A$3:$A$5000,$A4112,$B$3:$B$5000,"&gt;"&amp;$B4112)=0),NOW(),_xlfn.MINIFS($B$3:$B$5000,$A$3:$A$5000,$A4112,$B$3:$B$5000,"&gt;"&amp;$B4112))</f>
        <v>46279.5987644911</v>
      </c>
    </row>
    <row r="4113" customFormat="false" ht="15" hidden="false" customHeight="true" outlineLevel="0" collapsed="false">
      <c r="A4113" s="42"/>
      <c r="B4113" s="42"/>
      <c r="C4113" s="42"/>
      <c r="D4113" s="42"/>
      <c r="E4113" s="42"/>
      <c r="F4113" s="51" t="n">
        <f aca="false">IF(OR(C4113="",D4113="",E4113="",E4113=0),0,C4113*D4113/E4113)</f>
        <v>0</v>
      </c>
      <c r="G4113" s="42"/>
      <c r="H4113" s="49" t="n">
        <f aca="true">IF(OR($A4113="",_xlfn.MINIFS($B$3:$B$5000,$A$3:$A$5000,$A4113,$B$3:$B$5000,"&gt;"&amp;$B4113)=0),NOW(),_xlfn.MINIFS($B$3:$B$5000,$A$3:$A$5000,$A4113,$B$3:$B$5000,"&gt;"&amp;$B4113))</f>
        <v>46279.5987644911</v>
      </c>
    </row>
    <row r="4114" customFormat="false" ht="15" hidden="false" customHeight="true" outlineLevel="0" collapsed="false">
      <c r="A4114" s="42"/>
      <c r="B4114" s="42"/>
      <c r="C4114" s="42"/>
      <c r="D4114" s="42"/>
      <c r="E4114" s="42"/>
      <c r="F4114" s="51" t="n">
        <f aca="false">IF(OR(C4114="",D4114="",E4114="",E4114=0),0,C4114*D4114/E4114)</f>
        <v>0</v>
      </c>
      <c r="G4114" s="42"/>
      <c r="H4114" s="49" t="n">
        <f aca="true">IF(OR($A4114="",_xlfn.MINIFS($B$3:$B$5000,$A$3:$A$5000,$A4114,$B$3:$B$5000,"&gt;"&amp;$B4114)=0),NOW(),_xlfn.MINIFS($B$3:$B$5000,$A$3:$A$5000,$A4114,$B$3:$B$5000,"&gt;"&amp;$B4114))</f>
        <v>46279.5987644912</v>
      </c>
    </row>
    <row r="4115" customFormat="false" ht="15" hidden="false" customHeight="true" outlineLevel="0" collapsed="false">
      <c r="A4115" s="42"/>
      <c r="B4115" s="42"/>
      <c r="C4115" s="42"/>
      <c r="D4115" s="42"/>
      <c r="E4115" s="42"/>
      <c r="F4115" s="51" t="n">
        <f aca="false">IF(OR(C4115="",D4115="",E4115="",E4115=0),0,C4115*D4115/E4115)</f>
        <v>0</v>
      </c>
      <c r="G4115" s="42"/>
      <c r="H4115" s="49" t="n">
        <f aca="true">IF(OR($A4115="",_xlfn.MINIFS($B$3:$B$5000,$A$3:$A$5000,$A4115,$B$3:$B$5000,"&gt;"&amp;$B4115)=0),NOW(),_xlfn.MINIFS($B$3:$B$5000,$A$3:$A$5000,$A4115,$B$3:$B$5000,"&gt;"&amp;$B4115))</f>
        <v>46279.5987644912</v>
      </c>
    </row>
    <row r="4116" customFormat="false" ht="15" hidden="false" customHeight="true" outlineLevel="0" collapsed="false">
      <c r="A4116" s="42"/>
      <c r="B4116" s="42"/>
      <c r="C4116" s="42"/>
      <c r="D4116" s="42"/>
      <c r="E4116" s="42"/>
      <c r="F4116" s="51" t="n">
        <f aca="false">IF(OR(C4116="",D4116="",E4116="",E4116=0),0,C4116*D4116/E4116)</f>
        <v>0</v>
      </c>
      <c r="G4116" s="42"/>
      <c r="H4116" s="49" t="n">
        <f aca="true">IF(OR($A4116="",_xlfn.MINIFS($B$3:$B$5000,$A$3:$A$5000,$A4116,$B$3:$B$5000,"&gt;"&amp;$B4116)=0),NOW(),_xlfn.MINIFS($B$3:$B$5000,$A$3:$A$5000,$A4116,$B$3:$B$5000,"&gt;"&amp;$B4116))</f>
        <v>46279.5987644913</v>
      </c>
    </row>
    <row r="4117" customFormat="false" ht="15" hidden="false" customHeight="true" outlineLevel="0" collapsed="false">
      <c r="A4117" s="42"/>
      <c r="B4117" s="42"/>
      <c r="C4117" s="42"/>
      <c r="D4117" s="42"/>
      <c r="E4117" s="42"/>
      <c r="F4117" s="51" t="n">
        <f aca="false">IF(OR(C4117="",D4117="",E4117="",E4117=0),0,C4117*D4117/E4117)</f>
        <v>0</v>
      </c>
      <c r="G4117" s="42"/>
      <c r="H4117" s="49" t="n">
        <f aca="true">IF(OR($A4117="",_xlfn.MINIFS($B$3:$B$5000,$A$3:$A$5000,$A4117,$B$3:$B$5000,"&gt;"&amp;$B4117)=0),NOW(),_xlfn.MINIFS($B$3:$B$5000,$A$3:$A$5000,$A4117,$B$3:$B$5000,"&gt;"&amp;$B4117))</f>
        <v>46279.5987644913</v>
      </c>
    </row>
    <row r="4118" customFormat="false" ht="15" hidden="false" customHeight="true" outlineLevel="0" collapsed="false">
      <c r="A4118" s="42"/>
      <c r="B4118" s="42"/>
      <c r="C4118" s="42"/>
      <c r="D4118" s="42"/>
      <c r="E4118" s="42"/>
      <c r="F4118" s="51" t="n">
        <f aca="false">IF(OR(C4118="",D4118="",E4118="",E4118=0),0,C4118*D4118/E4118)</f>
        <v>0</v>
      </c>
      <c r="G4118" s="42"/>
      <c r="H4118" s="49" t="n">
        <f aca="true">IF(OR($A4118="",_xlfn.MINIFS($B$3:$B$5000,$A$3:$A$5000,$A4118,$B$3:$B$5000,"&gt;"&amp;$B4118)=0),NOW(),_xlfn.MINIFS($B$3:$B$5000,$A$3:$A$5000,$A4118,$B$3:$B$5000,"&gt;"&amp;$B4118))</f>
        <v>46279.5987644914</v>
      </c>
    </row>
    <row r="4119" customFormat="false" ht="15" hidden="false" customHeight="true" outlineLevel="0" collapsed="false">
      <c r="A4119" s="42"/>
      <c r="B4119" s="42"/>
      <c r="C4119" s="42"/>
      <c r="D4119" s="42"/>
      <c r="E4119" s="42"/>
      <c r="F4119" s="51" t="n">
        <f aca="false">IF(OR(C4119="",D4119="",E4119="",E4119=0),0,C4119*D4119/E4119)</f>
        <v>0</v>
      </c>
      <c r="G4119" s="42"/>
      <c r="H4119" s="49" t="n">
        <f aca="true">IF(OR($A4119="",_xlfn.MINIFS($B$3:$B$5000,$A$3:$A$5000,$A4119,$B$3:$B$5000,"&gt;"&amp;$B4119)=0),NOW(),_xlfn.MINIFS($B$3:$B$5000,$A$3:$A$5000,$A4119,$B$3:$B$5000,"&gt;"&amp;$B4119))</f>
        <v>46279.5987644914</v>
      </c>
    </row>
    <row r="4120" customFormat="false" ht="15" hidden="false" customHeight="true" outlineLevel="0" collapsed="false">
      <c r="A4120" s="42"/>
      <c r="B4120" s="42"/>
      <c r="C4120" s="42"/>
      <c r="D4120" s="42"/>
      <c r="E4120" s="42"/>
      <c r="F4120" s="51" t="n">
        <f aca="false">IF(OR(C4120="",D4120="",E4120="",E4120=0),0,C4120*D4120/E4120)</f>
        <v>0</v>
      </c>
      <c r="G4120" s="42"/>
      <c r="H4120" s="49" t="n">
        <f aca="true">IF(OR($A4120="",_xlfn.MINIFS($B$3:$B$5000,$A$3:$A$5000,$A4120,$B$3:$B$5000,"&gt;"&amp;$B4120)=0),NOW(),_xlfn.MINIFS($B$3:$B$5000,$A$3:$A$5000,$A4120,$B$3:$B$5000,"&gt;"&amp;$B4120))</f>
        <v>46279.5987644915</v>
      </c>
    </row>
    <row r="4121" customFormat="false" ht="15" hidden="false" customHeight="true" outlineLevel="0" collapsed="false">
      <c r="A4121" s="42"/>
      <c r="B4121" s="42"/>
      <c r="C4121" s="42"/>
      <c r="D4121" s="42"/>
      <c r="E4121" s="42"/>
      <c r="F4121" s="51" t="n">
        <f aca="false">IF(OR(C4121="",D4121="",E4121="",E4121=0),0,C4121*D4121/E4121)</f>
        <v>0</v>
      </c>
      <c r="G4121" s="42"/>
      <c r="H4121" s="49" t="n">
        <f aca="true">IF(OR($A4121="",_xlfn.MINIFS($B$3:$B$5000,$A$3:$A$5000,$A4121,$B$3:$B$5000,"&gt;"&amp;$B4121)=0),NOW(),_xlfn.MINIFS($B$3:$B$5000,$A$3:$A$5000,$A4121,$B$3:$B$5000,"&gt;"&amp;$B4121))</f>
        <v>46279.5987644915</v>
      </c>
    </row>
    <row r="4122" customFormat="false" ht="15" hidden="false" customHeight="true" outlineLevel="0" collapsed="false">
      <c r="A4122" s="42"/>
      <c r="B4122" s="42"/>
      <c r="C4122" s="42"/>
      <c r="D4122" s="42"/>
      <c r="E4122" s="42"/>
      <c r="F4122" s="51" t="n">
        <f aca="false">IF(OR(C4122="",D4122="",E4122="",E4122=0),0,C4122*D4122/E4122)</f>
        <v>0</v>
      </c>
      <c r="G4122" s="42"/>
      <c r="H4122" s="49" t="n">
        <f aca="true">IF(OR($A4122="",_xlfn.MINIFS($B$3:$B$5000,$A$3:$A$5000,$A4122,$B$3:$B$5000,"&gt;"&amp;$B4122)=0),NOW(),_xlfn.MINIFS($B$3:$B$5000,$A$3:$A$5000,$A4122,$B$3:$B$5000,"&gt;"&amp;$B4122))</f>
        <v>46279.5987644916</v>
      </c>
    </row>
    <row r="4123" customFormat="false" ht="15" hidden="false" customHeight="true" outlineLevel="0" collapsed="false">
      <c r="A4123" s="42"/>
      <c r="B4123" s="42"/>
      <c r="C4123" s="42"/>
      <c r="D4123" s="42"/>
      <c r="E4123" s="42"/>
      <c r="F4123" s="51" t="n">
        <f aca="false">IF(OR(C4123="",D4123="",E4123="",E4123=0),0,C4123*D4123/E4123)</f>
        <v>0</v>
      </c>
      <c r="G4123" s="42"/>
      <c r="H4123" s="49" t="n">
        <f aca="true">IF(OR($A4123="",_xlfn.MINIFS($B$3:$B$5000,$A$3:$A$5000,$A4123,$B$3:$B$5000,"&gt;"&amp;$B4123)=0),NOW(),_xlfn.MINIFS($B$3:$B$5000,$A$3:$A$5000,$A4123,$B$3:$B$5000,"&gt;"&amp;$B4123))</f>
        <v>46279.5987644916</v>
      </c>
    </row>
    <row r="4124" customFormat="false" ht="15" hidden="false" customHeight="true" outlineLevel="0" collapsed="false">
      <c r="A4124" s="42"/>
      <c r="B4124" s="42"/>
      <c r="C4124" s="42"/>
      <c r="D4124" s="42"/>
      <c r="E4124" s="42"/>
      <c r="F4124" s="51" t="n">
        <f aca="false">IF(OR(C4124="",D4124="",E4124="",E4124=0),0,C4124*D4124/E4124)</f>
        <v>0</v>
      </c>
      <c r="G4124" s="42"/>
      <c r="H4124" s="49" t="n">
        <f aca="true">IF(OR($A4124="",_xlfn.MINIFS($B$3:$B$5000,$A$3:$A$5000,$A4124,$B$3:$B$5000,"&gt;"&amp;$B4124)=0),NOW(),_xlfn.MINIFS($B$3:$B$5000,$A$3:$A$5000,$A4124,$B$3:$B$5000,"&gt;"&amp;$B4124))</f>
        <v>46279.5987644917</v>
      </c>
    </row>
    <row r="4125" customFormat="false" ht="15" hidden="false" customHeight="true" outlineLevel="0" collapsed="false">
      <c r="A4125" s="42"/>
      <c r="B4125" s="42"/>
      <c r="C4125" s="42"/>
      <c r="D4125" s="42"/>
      <c r="E4125" s="42"/>
      <c r="F4125" s="51" t="n">
        <f aca="false">IF(OR(C4125="",D4125="",E4125="",E4125=0),0,C4125*D4125/E4125)</f>
        <v>0</v>
      </c>
      <c r="G4125" s="42"/>
      <c r="H4125" s="49" t="n">
        <f aca="true">IF(OR($A4125="",_xlfn.MINIFS($B$3:$B$5000,$A$3:$A$5000,$A4125,$B$3:$B$5000,"&gt;"&amp;$B4125)=0),NOW(),_xlfn.MINIFS($B$3:$B$5000,$A$3:$A$5000,$A4125,$B$3:$B$5000,"&gt;"&amp;$B4125))</f>
        <v>46279.5987644917</v>
      </c>
    </row>
    <row r="4126" customFormat="false" ht="15" hidden="false" customHeight="true" outlineLevel="0" collapsed="false">
      <c r="A4126" s="42"/>
      <c r="B4126" s="42"/>
      <c r="C4126" s="42"/>
      <c r="D4126" s="42"/>
      <c r="E4126" s="42"/>
      <c r="F4126" s="51" t="n">
        <f aca="false">IF(OR(C4126="",D4126="",E4126="",E4126=0),0,C4126*D4126/E4126)</f>
        <v>0</v>
      </c>
      <c r="G4126" s="42"/>
      <c r="H4126" s="49" t="n">
        <f aca="true">IF(OR($A4126="",_xlfn.MINIFS($B$3:$B$5000,$A$3:$A$5000,$A4126,$B$3:$B$5000,"&gt;"&amp;$B4126)=0),NOW(),_xlfn.MINIFS($B$3:$B$5000,$A$3:$A$5000,$A4126,$B$3:$B$5000,"&gt;"&amp;$B4126))</f>
        <v>46279.5987644918</v>
      </c>
    </row>
    <row r="4127" customFormat="false" ht="15" hidden="false" customHeight="true" outlineLevel="0" collapsed="false">
      <c r="A4127" s="42"/>
      <c r="B4127" s="42"/>
      <c r="C4127" s="42"/>
      <c r="D4127" s="42"/>
      <c r="E4127" s="42"/>
      <c r="F4127" s="51" t="n">
        <f aca="false">IF(OR(C4127="",D4127="",E4127="",E4127=0),0,C4127*D4127/E4127)</f>
        <v>0</v>
      </c>
      <c r="G4127" s="42"/>
      <c r="H4127" s="49" t="n">
        <f aca="true">IF(OR($A4127="",_xlfn.MINIFS($B$3:$B$5000,$A$3:$A$5000,$A4127,$B$3:$B$5000,"&gt;"&amp;$B4127)=0),NOW(),_xlfn.MINIFS($B$3:$B$5000,$A$3:$A$5000,$A4127,$B$3:$B$5000,"&gt;"&amp;$B4127))</f>
        <v>46279.5987644918</v>
      </c>
    </row>
    <row r="4128" customFormat="false" ht="15" hidden="false" customHeight="true" outlineLevel="0" collapsed="false">
      <c r="A4128" s="42"/>
      <c r="B4128" s="42"/>
      <c r="C4128" s="42"/>
      <c r="D4128" s="42"/>
      <c r="E4128" s="42"/>
      <c r="F4128" s="51" t="n">
        <f aca="false">IF(OR(C4128="",D4128="",E4128="",E4128=0),0,C4128*D4128/E4128)</f>
        <v>0</v>
      </c>
      <c r="G4128" s="42"/>
      <c r="H4128" s="49" t="n">
        <f aca="true">IF(OR($A4128="",_xlfn.MINIFS($B$3:$B$5000,$A$3:$A$5000,$A4128,$B$3:$B$5000,"&gt;"&amp;$B4128)=0),NOW(),_xlfn.MINIFS($B$3:$B$5000,$A$3:$A$5000,$A4128,$B$3:$B$5000,"&gt;"&amp;$B4128))</f>
        <v>46279.5987644919</v>
      </c>
    </row>
    <row r="4129" customFormat="false" ht="15" hidden="false" customHeight="true" outlineLevel="0" collapsed="false">
      <c r="A4129" s="42"/>
      <c r="B4129" s="42"/>
      <c r="C4129" s="42"/>
      <c r="D4129" s="42"/>
      <c r="E4129" s="42"/>
      <c r="F4129" s="51" t="n">
        <f aca="false">IF(OR(C4129="",D4129="",E4129="",E4129=0),0,C4129*D4129/E4129)</f>
        <v>0</v>
      </c>
      <c r="G4129" s="42"/>
      <c r="H4129" s="49" t="n">
        <f aca="true">IF(OR($A4129="",_xlfn.MINIFS($B$3:$B$5000,$A$3:$A$5000,$A4129,$B$3:$B$5000,"&gt;"&amp;$B4129)=0),NOW(),_xlfn.MINIFS($B$3:$B$5000,$A$3:$A$5000,$A4129,$B$3:$B$5000,"&gt;"&amp;$B4129))</f>
        <v>46279.5987644919</v>
      </c>
    </row>
    <row r="4130" customFormat="false" ht="15" hidden="false" customHeight="true" outlineLevel="0" collapsed="false">
      <c r="A4130" s="42"/>
      <c r="B4130" s="42"/>
      <c r="C4130" s="42"/>
      <c r="D4130" s="42"/>
      <c r="E4130" s="42"/>
      <c r="F4130" s="51" t="n">
        <f aca="false">IF(OR(C4130="",D4130="",E4130="",E4130=0),0,C4130*D4130/E4130)</f>
        <v>0</v>
      </c>
      <c r="G4130" s="42"/>
      <c r="H4130" s="49" t="n">
        <f aca="true">IF(OR($A4130="",_xlfn.MINIFS($B$3:$B$5000,$A$3:$A$5000,$A4130,$B$3:$B$5000,"&gt;"&amp;$B4130)=0),NOW(),_xlfn.MINIFS($B$3:$B$5000,$A$3:$A$5000,$A4130,$B$3:$B$5000,"&gt;"&amp;$B4130))</f>
        <v>46279.598764492</v>
      </c>
    </row>
    <row r="4131" customFormat="false" ht="15" hidden="false" customHeight="true" outlineLevel="0" collapsed="false">
      <c r="A4131" s="42"/>
      <c r="B4131" s="42"/>
      <c r="C4131" s="42"/>
      <c r="D4131" s="42"/>
      <c r="E4131" s="42"/>
      <c r="F4131" s="51" t="n">
        <f aca="false">IF(OR(C4131="",D4131="",E4131="",E4131=0),0,C4131*D4131/E4131)</f>
        <v>0</v>
      </c>
      <c r="G4131" s="42"/>
      <c r="H4131" s="49" t="n">
        <f aca="true">IF(OR($A4131="",_xlfn.MINIFS($B$3:$B$5000,$A$3:$A$5000,$A4131,$B$3:$B$5000,"&gt;"&amp;$B4131)=0),NOW(),_xlfn.MINIFS($B$3:$B$5000,$A$3:$A$5000,$A4131,$B$3:$B$5000,"&gt;"&amp;$B4131))</f>
        <v>46279.598764492</v>
      </c>
    </row>
    <row r="4132" customFormat="false" ht="15" hidden="false" customHeight="true" outlineLevel="0" collapsed="false">
      <c r="A4132" s="42"/>
      <c r="B4132" s="42"/>
      <c r="C4132" s="42"/>
      <c r="D4132" s="42"/>
      <c r="E4132" s="42"/>
      <c r="F4132" s="51" t="n">
        <f aca="false">IF(OR(C4132="",D4132="",E4132="",E4132=0),0,C4132*D4132/E4132)</f>
        <v>0</v>
      </c>
      <c r="G4132" s="42"/>
      <c r="H4132" s="49" t="n">
        <f aca="true">IF(OR($A4132="",_xlfn.MINIFS($B$3:$B$5000,$A$3:$A$5000,$A4132,$B$3:$B$5000,"&gt;"&amp;$B4132)=0),NOW(),_xlfn.MINIFS($B$3:$B$5000,$A$3:$A$5000,$A4132,$B$3:$B$5000,"&gt;"&amp;$B4132))</f>
        <v>46279.5987644921</v>
      </c>
    </row>
    <row r="4133" customFormat="false" ht="15" hidden="false" customHeight="true" outlineLevel="0" collapsed="false">
      <c r="A4133" s="42"/>
      <c r="B4133" s="42"/>
      <c r="C4133" s="42"/>
      <c r="D4133" s="42"/>
      <c r="E4133" s="42"/>
      <c r="F4133" s="51" t="n">
        <f aca="false">IF(OR(C4133="",D4133="",E4133="",E4133=0),0,C4133*D4133/E4133)</f>
        <v>0</v>
      </c>
      <c r="G4133" s="42"/>
      <c r="H4133" s="49" t="n">
        <f aca="true">IF(OR($A4133="",_xlfn.MINIFS($B$3:$B$5000,$A$3:$A$5000,$A4133,$B$3:$B$5000,"&gt;"&amp;$B4133)=0),NOW(),_xlfn.MINIFS($B$3:$B$5000,$A$3:$A$5000,$A4133,$B$3:$B$5000,"&gt;"&amp;$B4133))</f>
        <v>46279.5987644921</v>
      </c>
    </row>
    <row r="4134" customFormat="false" ht="15" hidden="false" customHeight="true" outlineLevel="0" collapsed="false">
      <c r="A4134" s="42"/>
      <c r="B4134" s="42"/>
      <c r="C4134" s="42"/>
      <c r="D4134" s="42"/>
      <c r="E4134" s="42"/>
      <c r="F4134" s="51" t="n">
        <f aca="false">IF(OR(C4134="",D4134="",E4134="",E4134=0),0,C4134*D4134/E4134)</f>
        <v>0</v>
      </c>
      <c r="G4134" s="42"/>
      <c r="H4134" s="49" t="n">
        <f aca="true">IF(OR($A4134="",_xlfn.MINIFS($B$3:$B$5000,$A$3:$A$5000,$A4134,$B$3:$B$5000,"&gt;"&amp;$B4134)=0),NOW(),_xlfn.MINIFS($B$3:$B$5000,$A$3:$A$5000,$A4134,$B$3:$B$5000,"&gt;"&amp;$B4134))</f>
        <v>46279.5987644922</v>
      </c>
    </row>
    <row r="4135" customFormat="false" ht="15" hidden="false" customHeight="true" outlineLevel="0" collapsed="false">
      <c r="A4135" s="42"/>
      <c r="B4135" s="42"/>
      <c r="C4135" s="42"/>
      <c r="D4135" s="42"/>
      <c r="E4135" s="42"/>
      <c r="F4135" s="51" t="n">
        <f aca="false">IF(OR(C4135="",D4135="",E4135="",E4135=0),0,C4135*D4135/E4135)</f>
        <v>0</v>
      </c>
      <c r="G4135" s="42"/>
      <c r="H4135" s="49" t="n">
        <f aca="true">IF(OR($A4135="",_xlfn.MINIFS($B$3:$B$5000,$A$3:$A$5000,$A4135,$B$3:$B$5000,"&gt;"&amp;$B4135)=0),NOW(),_xlfn.MINIFS($B$3:$B$5000,$A$3:$A$5000,$A4135,$B$3:$B$5000,"&gt;"&amp;$B4135))</f>
        <v>46279.5987644922</v>
      </c>
    </row>
    <row r="4136" customFormat="false" ht="15" hidden="false" customHeight="true" outlineLevel="0" collapsed="false">
      <c r="A4136" s="42"/>
      <c r="B4136" s="42"/>
      <c r="C4136" s="42"/>
      <c r="D4136" s="42"/>
      <c r="E4136" s="42"/>
      <c r="F4136" s="51" t="n">
        <f aca="false">IF(OR(C4136="",D4136="",E4136="",E4136=0),0,C4136*D4136/E4136)</f>
        <v>0</v>
      </c>
      <c r="G4136" s="42"/>
      <c r="H4136" s="49" t="n">
        <f aca="true">IF(OR($A4136="",_xlfn.MINIFS($B$3:$B$5000,$A$3:$A$5000,$A4136,$B$3:$B$5000,"&gt;"&amp;$B4136)=0),NOW(),_xlfn.MINIFS($B$3:$B$5000,$A$3:$A$5000,$A4136,$B$3:$B$5000,"&gt;"&amp;$B4136))</f>
        <v>46279.5987644923</v>
      </c>
    </row>
    <row r="4137" customFormat="false" ht="15" hidden="false" customHeight="true" outlineLevel="0" collapsed="false">
      <c r="A4137" s="42"/>
      <c r="B4137" s="42"/>
      <c r="C4137" s="42"/>
      <c r="D4137" s="42"/>
      <c r="E4137" s="42"/>
      <c r="F4137" s="51" t="n">
        <f aca="false">IF(OR(C4137="",D4137="",E4137="",E4137=0),0,C4137*D4137/E4137)</f>
        <v>0</v>
      </c>
      <c r="G4137" s="42"/>
      <c r="H4137" s="49" t="n">
        <f aca="true">IF(OR($A4137="",_xlfn.MINIFS($B$3:$B$5000,$A$3:$A$5000,$A4137,$B$3:$B$5000,"&gt;"&amp;$B4137)=0),NOW(),_xlfn.MINIFS($B$3:$B$5000,$A$3:$A$5000,$A4137,$B$3:$B$5000,"&gt;"&amp;$B4137))</f>
        <v>46279.5987644923</v>
      </c>
    </row>
    <row r="4138" customFormat="false" ht="15" hidden="false" customHeight="true" outlineLevel="0" collapsed="false">
      <c r="A4138" s="42"/>
      <c r="B4138" s="42"/>
      <c r="C4138" s="42"/>
      <c r="D4138" s="42"/>
      <c r="E4138" s="42"/>
      <c r="F4138" s="51" t="n">
        <f aca="false">IF(OR(C4138="",D4138="",E4138="",E4138=0),0,C4138*D4138/E4138)</f>
        <v>0</v>
      </c>
      <c r="G4138" s="42"/>
      <c r="H4138" s="49" t="n">
        <f aca="true">IF(OR($A4138="",_xlfn.MINIFS($B$3:$B$5000,$A$3:$A$5000,$A4138,$B$3:$B$5000,"&gt;"&amp;$B4138)=0),NOW(),_xlfn.MINIFS($B$3:$B$5000,$A$3:$A$5000,$A4138,$B$3:$B$5000,"&gt;"&amp;$B4138))</f>
        <v>46279.5987644924</v>
      </c>
    </row>
    <row r="4139" customFormat="false" ht="15" hidden="false" customHeight="true" outlineLevel="0" collapsed="false">
      <c r="A4139" s="42"/>
      <c r="B4139" s="42"/>
      <c r="C4139" s="42"/>
      <c r="D4139" s="42"/>
      <c r="E4139" s="42"/>
      <c r="F4139" s="51" t="n">
        <f aca="false">IF(OR(C4139="",D4139="",E4139="",E4139=0),0,C4139*D4139/E4139)</f>
        <v>0</v>
      </c>
      <c r="G4139" s="42"/>
      <c r="H4139" s="49" t="n">
        <f aca="true">IF(OR($A4139="",_xlfn.MINIFS($B$3:$B$5000,$A$3:$A$5000,$A4139,$B$3:$B$5000,"&gt;"&amp;$B4139)=0),NOW(),_xlfn.MINIFS($B$3:$B$5000,$A$3:$A$5000,$A4139,$B$3:$B$5000,"&gt;"&amp;$B4139))</f>
        <v>46279.5987644924</v>
      </c>
    </row>
    <row r="4140" customFormat="false" ht="15" hidden="false" customHeight="true" outlineLevel="0" collapsed="false">
      <c r="A4140" s="42"/>
      <c r="B4140" s="42"/>
      <c r="C4140" s="42"/>
      <c r="D4140" s="42"/>
      <c r="E4140" s="42"/>
      <c r="F4140" s="51" t="n">
        <f aca="false">IF(OR(C4140="",D4140="",E4140="",E4140=0),0,C4140*D4140/E4140)</f>
        <v>0</v>
      </c>
      <c r="G4140" s="42"/>
      <c r="H4140" s="49" t="n">
        <f aca="true">IF(OR($A4140="",_xlfn.MINIFS($B$3:$B$5000,$A$3:$A$5000,$A4140,$B$3:$B$5000,"&gt;"&amp;$B4140)=0),NOW(),_xlfn.MINIFS($B$3:$B$5000,$A$3:$A$5000,$A4140,$B$3:$B$5000,"&gt;"&amp;$B4140))</f>
        <v>46279.5987644925</v>
      </c>
    </row>
    <row r="4141" customFormat="false" ht="15" hidden="false" customHeight="true" outlineLevel="0" collapsed="false">
      <c r="A4141" s="42"/>
      <c r="B4141" s="42"/>
      <c r="C4141" s="42"/>
      <c r="D4141" s="42"/>
      <c r="E4141" s="42"/>
      <c r="F4141" s="51" t="n">
        <f aca="false">IF(OR(C4141="",D4141="",E4141="",E4141=0),0,C4141*D4141/E4141)</f>
        <v>0</v>
      </c>
      <c r="G4141" s="42"/>
      <c r="H4141" s="49" t="n">
        <f aca="true">IF(OR($A4141="",_xlfn.MINIFS($B$3:$B$5000,$A$3:$A$5000,$A4141,$B$3:$B$5000,"&gt;"&amp;$B4141)=0),NOW(),_xlfn.MINIFS($B$3:$B$5000,$A$3:$A$5000,$A4141,$B$3:$B$5000,"&gt;"&amp;$B4141))</f>
        <v>46279.5987644925</v>
      </c>
    </row>
    <row r="4142" customFormat="false" ht="15" hidden="false" customHeight="true" outlineLevel="0" collapsed="false">
      <c r="A4142" s="42"/>
      <c r="B4142" s="42"/>
      <c r="C4142" s="42"/>
      <c r="D4142" s="42"/>
      <c r="E4142" s="42"/>
      <c r="F4142" s="51" t="n">
        <f aca="false">IF(OR(C4142="",D4142="",E4142="",E4142=0),0,C4142*D4142/E4142)</f>
        <v>0</v>
      </c>
      <c r="G4142" s="42"/>
      <c r="H4142" s="49" t="n">
        <f aca="true">IF(OR($A4142="",_xlfn.MINIFS($B$3:$B$5000,$A$3:$A$5000,$A4142,$B$3:$B$5000,"&gt;"&amp;$B4142)=0),NOW(),_xlfn.MINIFS($B$3:$B$5000,$A$3:$A$5000,$A4142,$B$3:$B$5000,"&gt;"&amp;$B4142))</f>
        <v>46279.5987644926</v>
      </c>
    </row>
    <row r="4143" customFormat="false" ht="15" hidden="false" customHeight="true" outlineLevel="0" collapsed="false">
      <c r="A4143" s="42"/>
      <c r="B4143" s="42"/>
      <c r="C4143" s="42"/>
      <c r="D4143" s="42"/>
      <c r="E4143" s="42"/>
      <c r="F4143" s="51" t="n">
        <f aca="false">IF(OR(C4143="",D4143="",E4143="",E4143=0),0,C4143*D4143/E4143)</f>
        <v>0</v>
      </c>
      <c r="G4143" s="42"/>
      <c r="H4143" s="49" t="n">
        <f aca="true">IF(OR($A4143="",_xlfn.MINIFS($B$3:$B$5000,$A$3:$A$5000,$A4143,$B$3:$B$5000,"&gt;"&amp;$B4143)=0),NOW(),_xlfn.MINIFS($B$3:$B$5000,$A$3:$A$5000,$A4143,$B$3:$B$5000,"&gt;"&amp;$B4143))</f>
        <v>46279.5987644926</v>
      </c>
    </row>
    <row r="4144" customFormat="false" ht="15" hidden="false" customHeight="true" outlineLevel="0" collapsed="false">
      <c r="A4144" s="42"/>
      <c r="B4144" s="42"/>
      <c r="C4144" s="42"/>
      <c r="D4144" s="42"/>
      <c r="E4144" s="42"/>
      <c r="F4144" s="51" t="n">
        <f aca="false">IF(OR(C4144="",D4144="",E4144="",E4144=0),0,C4144*D4144/E4144)</f>
        <v>0</v>
      </c>
      <c r="G4144" s="42"/>
      <c r="H4144" s="49" t="n">
        <f aca="true">IF(OR($A4144="",_xlfn.MINIFS($B$3:$B$5000,$A$3:$A$5000,$A4144,$B$3:$B$5000,"&gt;"&amp;$B4144)=0),NOW(),_xlfn.MINIFS($B$3:$B$5000,$A$3:$A$5000,$A4144,$B$3:$B$5000,"&gt;"&amp;$B4144))</f>
        <v>46279.5987644927</v>
      </c>
    </row>
    <row r="4145" customFormat="false" ht="15" hidden="false" customHeight="true" outlineLevel="0" collapsed="false">
      <c r="A4145" s="42"/>
      <c r="B4145" s="42"/>
      <c r="C4145" s="42"/>
      <c r="D4145" s="42"/>
      <c r="E4145" s="42"/>
      <c r="F4145" s="51" t="n">
        <f aca="false">IF(OR(C4145="",D4145="",E4145="",E4145=0),0,C4145*D4145/E4145)</f>
        <v>0</v>
      </c>
      <c r="G4145" s="42"/>
      <c r="H4145" s="49" t="n">
        <f aca="true">IF(OR($A4145="",_xlfn.MINIFS($B$3:$B$5000,$A$3:$A$5000,$A4145,$B$3:$B$5000,"&gt;"&amp;$B4145)=0),NOW(),_xlfn.MINIFS($B$3:$B$5000,$A$3:$A$5000,$A4145,$B$3:$B$5000,"&gt;"&amp;$B4145))</f>
        <v>46279.5987644927</v>
      </c>
    </row>
    <row r="4146" customFormat="false" ht="15" hidden="false" customHeight="true" outlineLevel="0" collapsed="false">
      <c r="A4146" s="42"/>
      <c r="B4146" s="42"/>
      <c r="C4146" s="42"/>
      <c r="D4146" s="42"/>
      <c r="E4146" s="42"/>
      <c r="F4146" s="51" t="n">
        <f aca="false">IF(OR(C4146="",D4146="",E4146="",E4146=0),0,C4146*D4146/E4146)</f>
        <v>0</v>
      </c>
      <c r="G4146" s="42"/>
      <c r="H4146" s="49" t="n">
        <f aca="true">IF(OR($A4146="",_xlfn.MINIFS($B$3:$B$5000,$A$3:$A$5000,$A4146,$B$3:$B$5000,"&gt;"&amp;$B4146)=0),NOW(),_xlfn.MINIFS($B$3:$B$5000,$A$3:$A$5000,$A4146,$B$3:$B$5000,"&gt;"&amp;$B4146))</f>
        <v>46279.5987644928</v>
      </c>
    </row>
    <row r="4147" customFormat="false" ht="15" hidden="false" customHeight="true" outlineLevel="0" collapsed="false">
      <c r="A4147" s="42"/>
      <c r="B4147" s="42"/>
      <c r="C4147" s="42"/>
      <c r="D4147" s="42"/>
      <c r="E4147" s="42"/>
      <c r="F4147" s="51" t="n">
        <f aca="false">IF(OR(C4147="",D4147="",E4147="",E4147=0),0,C4147*D4147/E4147)</f>
        <v>0</v>
      </c>
      <c r="G4147" s="42"/>
      <c r="H4147" s="49" t="n">
        <f aca="true">IF(OR($A4147="",_xlfn.MINIFS($B$3:$B$5000,$A$3:$A$5000,$A4147,$B$3:$B$5000,"&gt;"&amp;$B4147)=0),NOW(),_xlfn.MINIFS($B$3:$B$5000,$A$3:$A$5000,$A4147,$B$3:$B$5000,"&gt;"&amp;$B4147))</f>
        <v>46279.5987644928</v>
      </c>
    </row>
    <row r="4148" customFormat="false" ht="15" hidden="false" customHeight="true" outlineLevel="0" collapsed="false">
      <c r="A4148" s="42"/>
      <c r="B4148" s="42"/>
      <c r="C4148" s="42"/>
      <c r="D4148" s="42"/>
      <c r="E4148" s="42"/>
      <c r="F4148" s="51" t="n">
        <f aca="false">IF(OR(C4148="",D4148="",E4148="",E4148=0),0,C4148*D4148/E4148)</f>
        <v>0</v>
      </c>
      <c r="G4148" s="42"/>
      <c r="H4148" s="49" t="n">
        <f aca="true">IF(OR($A4148="",_xlfn.MINIFS($B$3:$B$5000,$A$3:$A$5000,$A4148,$B$3:$B$5000,"&gt;"&amp;$B4148)=0),NOW(),_xlfn.MINIFS($B$3:$B$5000,$A$3:$A$5000,$A4148,$B$3:$B$5000,"&gt;"&amp;$B4148))</f>
        <v>46279.5987644929</v>
      </c>
    </row>
    <row r="4149" customFormat="false" ht="15" hidden="false" customHeight="true" outlineLevel="0" collapsed="false">
      <c r="A4149" s="42"/>
      <c r="B4149" s="42"/>
      <c r="C4149" s="42"/>
      <c r="D4149" s="42"/>
      <c r="E4149" s="42"/>
      <c r="F4149" s="51" t="n">
        <f aca="false">IF(OR(C4149="",D4149="",E4149="",E4149=0),0,C4149*D4149/E4149)</f>
        <v>0</v>
      </c>
      <c r="G4149" s="42"/>
      <c r="H4149" s="49" t="n">
        <f aca="true">IF(OR($A4149="",_xlfn.MINIFS($B$3:$B$5000,$A$3:$A$5000,$A4149,$B$3:$B$5000,"&gt;"&amp;$B4149)=0),NOW(),_xlfn.MINIFS($B$3:$B$5000,$A$3:$A$5000,$A4149,$B$3:$B$5000,"&gt;"&amp;$B4149))</f>
        <v>46279.5987644929</v>
      </c>
    </row>
    <row r="4150" customFormat="false" ht="15" hidden="false" customHeight="true" outlineLevel="0" collapsed="false">
      <c r="A4150" s="42"/>
      <c r="B4150" s="42"/>
      <c r="C4150" s="42"/>
      <c r="D4150" s="42"/>
      <c r="E4150" s="42"/>
      <c r="F4150" s="51" t="n">
        <f aca="false">IF(OR(C4150="",D4150="",E4150="",E4150=0),0,C4150*D4150/E4150)</f>
        <v>0</v>
      </c>
      <c r="G4150" s="42"/>
      <c r="H4150" s="49" t="n">
        <f aca="true">IF(OR($A4150="",_xlfn.MINIFS($B$3:$B$5000,$A$3:$A$5000,$A4150,$B$3:$B$5000,"&gt;"&amp;$B4150)=0),NOW(),_xlfn.MINIFS($B$3:$B$5000,$A$3:$A$5000,$A4150,$B$3:$B$5000,"&gt;"&amp;$B4150))</f>
        <v>46279.598764493</v>
      </c>
    </row>
    <row r="4151" customFormat="false" ht="15" hidden="false" customHeight="true" outlineLevel="0" collapsed="false">
      <c r="A4151" s="42"/>
      <c r="B4151" s="42"/>
      <c r="C4151" s="42"/>
      <c r="D4151" s="42"/>
      <c r="E4151" s="42"/>
      <c r="F4151" s="51" t="n">
        <f aca="false">IF(OR(C4151="",D4151="",E4151="",E4151=0),0,C4151*D4151/E4151)</f>
        <v>0</v>
      </c>
      <c r="G4151" s="42"/>
      <c r="H4151" s="49" t="n">
        <f aca="true">IF(OR($A4151="",_xlfn.MINIFS($B$3:$B$5000,$A$3:$A$5000,$A4151,$B$3:$B$5000,"&gt;"&amp;$B4151)=0),NOW(),_xlfn.MINIFS($B$3:$B$5000,$A$3:$A$5000,$A4151,$B$3:$B$5000,"&gt;"&amp;$B4151))</f>
        <v>46279.598764493</v>
      </c>
    </row>
    <row r="4152" customFormat="false" ht="15" hidden="false" customHeight="true" outlineLevel="0" collapsed="false">
      <c r="A4152" s="42"/>
      <c r="B4152" s="42"/>
      <c r="C4152" s="42"/>
      <c r="D4152" s="42"/>
      <c r="E4152" s="42"/>
      <c r="F4152" s="51" t="n">
        <f aca="false">IF(OR(C4152="",D4152="",E4152="",E4152=0),0,C4152*D4152/E4152)</f>
        <v>0</v>
      </c>
      <c r="G4152" s="42"/>
      <c r="H4152" s="49" t="n">
        <f aca="true">IF(OR($A4152="",_xlfn.MINIFS($B$3:$B$5000,$A$3:$A$5000,$A4152,$B$3:$B$5000,"&gt;"&amp;$B4152)=0),NOW(),_xlfn.MINIFS($B$3:$B$5000,$A$3:$A$5000,$A4152,$B$3:$B$5000,"&gt;"&amp;$B4152))</f>
        <v>46279.5987644931</v>
      </c>
    </row>
    <row r="4153" customFormat="false" ht="15" hidden="false" customHeight="true" outlineLevel="0" collapsed="false">
      <c r="A4153" s="42"/>
      <c r="B4153" s="42"/>
      <c r="C4153" s="42"/>
      <c r="D4153" s="42"/>
      <c r="E4153" s="42"/>
      <c r="F4153" s="51" t="n">
        <f aca="false">IF(OR(C4153="",D4153="",E4153="",E4153=0),0,C4153*D4153/E4153)</f>
        <v>0</v>
      </c>
      <c r="G4153" s="42"/>
      <c r="H4153" s="49" t="n">
        <f aca="true">IF(OR($A4153="",_xlfn.MINIFS($B$3:$B$5000,$A$3:$A$5000,$A4153,$B$3:$B$5000,"&gt;"&amp;$B4153)=0),NOW(),_xlfn.MINIFS($B$3:$B$5000,$A$3:$A$5000,$A4153,$B$3:$B$5000,"&gt;"&amp;$B4153))</f>
        <v>46279.5987644931</v>
      </c>
    </row>
    <row r="4154" customFormat="false" ht="15" hidden="false" customHeight="true" outlineLevel="0" collapsed="false">
      <c r="A4154" s="42"/>
      <c r="B4154" s="42"/>
      <c r="C4154" s="42"/>
      <c r="D4154" s="42"/>
      <c r="E4154" s="42"/>
      <c r="F4154" s="51" t="n">
        <f aca="false">IF(OR(C4154="",D4154="",E4154="",E4154=0),0,C4154*D4154/E4154)</f>
        <v>0</v>
      </c>
      <c r="G4154" s="42"/>
      <c r="H4154" s="49" t="n">
        <f aca="true">IF(OR($A4154="",_xlfn.MINIFS($B$3:$B$5000,$A$3:$A$5000,$A4154,$B$3:$B$5000,"&gt;"&amp;$B4154)=0),NOW(),_xlfn.MINIFS($B$3:$B$5000,$A$3:$A$5000,$A4154,$B$3:$B$5000,"&gt;"&amp;$B4154))</f>
        <v>46279.5987644932</v>
      </c>
    </row>
    <row r="4155" customFormat="false" ht="15" hidden="false" customHeight="true" outlineLevel="0" collapsed="false">
      <c r="A4155" s="42"/>
      <c r="B4155" s="42"/>
      <c r="C4155" s="42"/>
      <c r="D4155" s="42"/>
      <c r="E4155" s="42"/>
      <c r="F4155" s="51" t="n">
        <f aca="false">IF(OR(C4155="",D4155="",E4155="",E4155=0),0,C4155*D4155/E4155)</f>
        <v>0</v>
      </c>
      <c r="G4155" s="42"/>
      <c r="H4155" s="49" t="n">
        <f aca="true">IF(OR($A4155="",_xlfn.MINIFS($B$3:$B$5000,$A$3:$A$5000,$A4155,$B$3:$B$5000,"&gt;"&amp;$B4155)=0),NOW(),_xlfn.MINIFS($B$3:$B$5000,$A$3:$A$5000,$A4155,$B$3:$B$5000,"&gt;"&amp;$B4155))</f>
        <v>46279.5987644932</v>
      </c>
    </row>
    <row r="4156" customFormat="false" ht="15" hidden="false" customHeight="true" outlineLevel="0" collapsed="false">
      <c r="A4156" s="42"/>
      <c r="B4156" s="42"/>
      <c r="C4156" s="42"/>
      <c r="D4156" s="42"/>
      <c r="E4156" s="42"/>
      <c r="F4156" s="51" t="n">
        <f aca="false">IF(OR(C4156="",D4156="",E4156="",E4156=0),0,C4156*D4156/E4156)</f>
        <v>0</v>
      </c>
      <c r="G4156" s="42"/>
      <c r="H4156" s="49" t="n">
        <f aca="true">IF(OR($A4156="",_xlfn.MINIFS($B$3:$B$5000,$A$3:$A$5000,$A4156,$B$3:$B$5000,"&gt;"&amp;$B4156)=0),NOW(),_xlfn.MINIFS($B$3:$B$5000,$A$3:$A$5000,$A4156,$B$3:$B$5000,"&gt;"&amp;$B4156))</f>
        <v>46279.5987644933</v>
      </c>
    </row>
    <row r="4157" customFormat="false" ht="15" hidden="false" customHeight="true" outlineLevel="0" collapsed="false">
      <c r="A4157" s="42"/>
      <c r="B4157" s="42"/>
      <c r="C4157" s="42"/>
      <c r="D4157" s="42"/>
      <c r="E4157" s="42"/>
      <c r="F4157" s="51" t="n">
        <f aca="false">IF(OR(C4157="",D4157="",E4157="",E4157=0),0,C4157*D4157/E4157)</f>
        <v>0</v>
      </c>
      <c r="G4157" s="42"/>
      <c r="H4157" s="49" t="n">
        <f aca="true">IF(OR($A4157="",_xlfn.MINIFS($B$3:$B$5000,$A$3:$A$5000,$A4157,$B$3:$B$5000,"&gt;"&amp;$B4157)=0),NOW(),_xlfn.MINIFS($B$3:$B$5000,$A$3:$A$5000,$A4157,$B$3:$B$5000,"&gt;"&amp;$B4157))</f>
        <v>46279.5987644933</v>
      </c>
    </row>
    <row r="4158" customFormat="false" ht="15" hidden="false" customHeight="true" outlineLevel="0" collapsed="false">
      <c r="A4158" s="42"/>
      <c r="B4158" s="42"/>
      <c r="C4158" s="42"/>
      <c r="D4158" s="42"/>
      <c r="E4158" s="42"/>
      <c r="F4158" s="51" t="n">
        <f aca="false">IF(OR(C4158="",D4158="",E4158="",E4158=0),0,C4158*D4158/E4158)</f>
        <v>0</v>
      </c>
      <c r="G4158" s="42"/>
      <c r="H4158" s="49" t="n">
        <f aca="true">IF(OR($A4158="",_xlfn.MINIFS($B$3:$B$5000,$A$3:$A$5000,$A4158,$B$3:$B$5000,"&gt;"&amp;$B4158)=0),NOW(),_xlfn.MINIFS($B$3:$B$5000,$A$3:$A$5000,$A4158,$B$3:$B$5000,"&gt;"&amp;$B4158))</f>
        <v>46279.5987644934</v>
      </c>
    </row>
    <row r="4159" customFormat="false" ht="15" hidden="false" customHeight="true" outlineLevel="0" collapsed="false">
      <c r="A4159" s="42"/>
      <c r="B4159" s="42"/>
      <c r="C4159" s="42"/>
      <c r="D4159" s="42"/>
      <c r="E4159" s="42"/>
      <c r="F4159" s="51" t="n">
        <f aca="false">IF(OR(C4159="",D4159="",E4159="",E4159=0),0,C4159*D4159/E4159)</f>
        <v>0</v>
      </c>
      <c r="G4159" s="42"/>
      <c r="H4159" s="49" t="n">
        <f aca="true">IF(OR($A4159="",_xlfn.MINIFS($B$3:$B$5000,$A$3:$A$5000,$A4159,$B$3:$B$5000,"&gt;"&amp;$B4159)=0),NOW(),_xlfn.MINIFS($B$3:$B$5000,$A$3:$A$5000,$A4159,$B$3:$B$5000,"&gt;"&amp;$B4159))</f>
        <v>46279.5987644934</v>
      </c>
    </row>
    <row r="4160" customFormat="false" ht="15" hidden="false" customHeight="true" outlineLevel="0" collapsed="false">
      <c r="A4160" s="42"/>
      <c r="B4160" s="42"/>
      <c r="C4160" s="42"/>
      <c r="D4160" s="42"/>
      <c r="E4160" s="42"/>
      <c r="F4160" s="51" t="n">
        <f aca="false">IF(OR(C4160="",D4160="",E4160="",E4160=0),0,C4160*D4160/E4160)</f>
        <v>0</v>
      </c>
      <c r="G4160" s="42"/>
      <c r="H4160" s="49" t="n">
        <f aca="true">IF(OR($A4160="",_xlfn.MINIFS($B$3:$B$5000,$A$3:$A$5000,$A4160,$B$3:$B$5000,"&gt;"&amp;$B4160)=0),NOW(),_xlfn.MINIFS($B$3:$B$5000,$A$3:$A$5000,$A4160,$B$3:$B$5000,"&gt;"&amp;$B4160))</f>
        <v>46279.5987644935</v>
      </c>
    </row>
    <row r="4161" customFormat="false" ht="15" hidden="false" customHeight="true" outlineLevel="0" collapsed="false">
      <c r="A4161" s="42"/>
      <c r="B4161" s="42"/>
      <c r="C4161" s="42"/>
      <c r="D4161" s="42"/>
      <c r="E4161" s="42"/>
      <c r="F4161" s="51" t="n">
        <f aca="false">IF(OR(C4161="",D4161="",E4161="",E4161=0),0,C4161*D4161/E4161)</f>
        <v>0</v>
      </c>
      <c r="G4161" s="42"/>
      <c r="H4161" s="49" t="n">
        <f aca="true">IF(OR($A4161="",_xlfn.MINIFS($B$3:$B$5000,$A$3:$A$5000,$A4161,$B$3:$B$5000,"&gt;"&amp;$B4161)=0),NOW(),_xlfn.MINIFS($B$3:$B$5000,$A$3:$A$5000,$A4161,$B$3:$B$5000,"&gt;"&amp;$B4161))</f>
        <v>46279.5987644935</v>
      </c>
    </row>
    <row r="4162" customFormat="false" ht="15" hidden="false" customHeight="true" outlineLevel="0" collapsed="false">
      <c r="A4162" s="42"/>
      <c r="B4162" s="42"/>
      <c r="C4162" s="42"/>
      <c r="D4162" s="42"/>
      <c r="E4162" s="42"/>
      <c r="F4162" s="51" t="n">
        <f aca="false">IF(OR(C4162="",D4162="",E4162="",E4162=0),0,C4162*D4162/E4162)</f>
        <v>0</v>
      </c>
      <c r="G4162" s="42"/>
      <c r="H4162" s="49" t="n">
        <f aca="true">IF(OR($A4162="",_xlfn.MINIFS($B$3:$B$5000,$A$3:$A$5000,$A4162,$B$3:$B$5000,"&gt;"&amp;$B4162)=0),NOW(),_xlfn.MINIFS($B$3:$B$5000,$A$3:$A$5000,$A4162,$B$3:$B$5000,"&gt;"&amp;$B4162))</f>
        <v>46279.5987644936</v>
      </c>
    </row>
    <row r="4163" customFormat="false" ht="15" hidden="false" customHeight="true" outlineLevel="0" collapsed="false">
      <c r="A4163" s="42"/>
      <c r="B4163" s="42"/>
      <c r="C4163" s="42"/>
      <c r="D4163" s="42"/>
      <c r="E4163" s="42"/>
      <c r="F4163" s="51" t="n">
        <f aca="false">IF(OR(C4163="",D4163="",E4163="",E4163=0),0,C4163*D4163/E4163)</f>
        <v>0</v>
      </c>
      <c r="G4163" s="42"/>
      <c r="H4163" s="49" t="n">
        <f aca="true">IF(OR($A4163="",_xlfn.MINIFS($B$3:$B$5000,$A$3:$A$5000,$A4163,$B$3:$B$5000,"&gt;"&amp;$B4163)=0),NOW(),_xlfn.MINIFS($B$3:$B$5000,$A$3:$A$5000,$A4163,$B$3:$B$5000,"&gt;"&amp;$B4163))</f>
        <v>46279.5987644936</v>
      </c>
    </row>
    <row r="4164" customFormat="false" ht="15" hidden="false" customHeight="true" outlineLevel="0" collapsed="false">
      <c r="A4164" s="42"/>
      <c r="B4164" s="42"/>
      <c r="C4164" s="42"/>
      <c r="D4164" s="42"/>
      <c r="E4164" s="42"/>
      <c r="F4164" s="51" t="n">
        <f aca="false">IF(OR(C4164="",D4164="",E4164="",E4164=0),0,C4164*D4164/E4164)</f>
        <v>0</v>
      </c>
      <c r="G4164" s="42"/>
      <c r="H4164" s="49" t="n">
        <f aca="true">IF(OR($A4164="",_xlfn.MINIFS($B$3:$B$5000,$A$3:$A$5000,$A4164,$B$3:$B$5000,"&gt;"&amp;$B4164)=0),NOW(),_xlfn.MINIFS($B$3:$B$5000,$A$3:$A$5000,$A4164,$B$3:$B$5000,"&gt;"&amp;$B4164))</f>
        <v>46279.5987644937</v>
      </c>
    </row>
    <row r="4165" customFormat="false" ht="15" hidden="false" customHeight="true" outlineLevel="0" collapsed="false">
      <c r="A4165" s="42"/>
      <c r="B4165" s="42"/>
      <c r="C4165" s="42"/>
      <c r="D4165" s="42"/>
      <c r="E4165" s="42"/>
      <c r="F4165" s="51" t="n">
        <f aca="false">IF(OR(C4165="",D4165="",E4165="",E4165=0),0,C4165*D4165/E4165)</f>
        <v>0</v>
      </c>
      <c r="G4165" s="42"/>
      <c r="H4165" s="49" t="n">
        <f aca="true">IF(OR($A4165="",_xlfn.MINIFS($B$3:$B$5000,$A$3:$A$5000,$A4165,$B$3:$B$5000,"&gt;"&amp;$B4165)=0),NOW(),_xlfn.MINIFS($B$3:$B$5000,$A$3:$A$5000,$A4165,$B$3:$B$5000,"&gt;"&amp;$B4165))</f>
        <v>46279.5987644937</v>
      </c>
    </row>
    <row r="4166" customFormat="false" ht="15" hidden="false" customHeight="true" outlineLevel="0" collapsed="false">
      <c r="A4166" s="42"/>
      <c r="B4166" s="42"/>
      <c r="C4166" s="42"/>
      <c r="D4166" s="42"/>
      <c r="E4166" s="42"/>
      <c r="F4166" s="51" t="n">
        <f aca="false">IF(OR(C4166="",D4166="",E4166="",E4166=0),0,C4166*D4166/E4166)</f>
        <v>0</v>
      </c>
      <c r="G4166" s="42"/>
      <c r="H4166" s="49" t="n">
        <f aca="true">IF(OR($A4166="",_xlfn.MINIFS($B$3:$B$5000,$A$3:$A$5000,$A4166,$B$3:$B$5000,"&gt;"&amp;$B4166)=0),NOW(),_xlfn.MINIFS($B$3:$B$5000,$A$3:$A$5000,$A4166,$B$3:$B$5000,"&gt;"&amp;$B4166))</f>
        <v>46279.5987644938</v>
      </c>
    </row>
    <row r="4167" customFormat="false" ht="15" hidden="false" customHeight="true" outlineLevel="0" collapsed="false">
      <c r="A4167" s="42"/>
      <c r="B4167" s="42"/>
      <c r="C4167" s="42"/>
      <c r="D4167" s="42"/>
      <c r="E4167" s="42"/>
      <c r="F4167" s="51" t="n">
        <f aca="false">IF(OR(C4167="",D4167="",E4167="",E4167=0),0,C4167*D4167/E4167)</f>
        <v>0</v>
      </c>
      <c r="G4167" s="42"/>
      <c r="H4167" s="49" t="n">
        <f aca="true">IF(OR($A4167="",_xlfn.MINIFS($B$3:$B$5000,$A$3:$A$5000,$A4167,$B$3:$B$5000,"&gt;"&amp;$B4167)=0),NOW(),_xlfn.MINIFS($B$3:$B$5000,$A$3:$A$5000,$A4167,$B$3:$B$5000,"&gt;"&amp;$B4167))</f>
        <v>46279.5987644938</v>
      </c>
    </row>
    <row r="4168" customFormat="false" ht="15" hidden="false" customHeight="true" outlineLevel="0" collapsed="false">
      <c r="A4168" s="42"/>
      <c r="B4168" s="42"/>
      <c r="C4168" s="42"/>
      <c r="D4168" s="42"/>
      <c r="E4168" s="42"/>
      <c r="F4168" s="51" t="n">
        <f aca="false">IF(OR(C4168="",D4168="",E4168="",E4168=0),0,C4168*D4168/E4168)</f>
        <v>0</v>
      </c>
      <c r="G4168" s="42"/>
      <c r="H4168" s="49" t="n">
        <f aca="true">IF(OR($A4168="",_xlfn.MINIFS($B$3:$B$5000,$A$3:$A$5000,$A4168,$B$3:$B$5000,"&gt;"&amp;$B4168)=0),NOW(),_xlfn.MINIFS($B$3:$B$5000,$A$3:$A$5000,$A4168,$B$3:$B$5000,"&gt;"&amp;$B4168))</f>
        <v>46279.5987644939</v>
      </c>
    </row>
    <row r="4169" customFormat="false" ht="15" hidden="false" customHeight="true" outlineLevel="0" collapsed="false">
      <c r="A4169" s="42"/>
      <c r="B4169" s="42"/>
      <c r="C4169" s="42"/>
      <c r="D4169" s="42"/>
      <c r="E4169" s="42"/>
      <c r="F4169" s="51" t="n">
        <f aca="false">IF(OR(C4169="",D4169="",E4169="",E4169=0),0,C4169*D4169/E4169)</f>
        <v>0</v>
      </c>
      <c r="G4169" s="42"/>
      <c r="H4169" s="49" t="n">
        <f aca="true">IF(OR($A4169="",_xlfn.MINIFS($B$3:$B$5000,$A$3:$A$5000,$A4169,$B$3:$B$5000,"&gt;"&amp;$B4169)=0),NOW(),_xlfn.MINIFS($B$3:$B$5000,$A$3:$A$5000,$A4169,$B$3:$B$5000,"&gt;"&amp;$B4169))</f>
        <v>46279.5987644939</v>
      </c>
    </row>
    <row r="4170" customFormat="false" ht="15" hidden="false" customHeight="true" outlineLevel="0" collapsed="false">
      <c r="A4170" s="42"/>
      <c r="B4170" s="42"/>
      <c r="C4170" s="42"/>
      <c r="D4170" s="42"/>
      <c r="E4170" s="42"/>
      <c r="F4170" s="51" t="n">
        <f aca="false">IF(OR(C4170="",D4170="",E4170="",E4170=0),0,C4170*D4170/E4170)</f>
        <v>0</v>
      </c>
      <c r="G4170" s="42"/>
      <c r="H4170" s="49" t="n">
        <f aca="true">IF(OR($A4170="",_xlfn.MINIFS($B$3:$B$5000,$A$3:$A$5000,$A4170,$B$3:$B$5000,"&gt;"&amp;$B4170)=0),NOW(),_xlfn.MINIFS($B$3:$B$5000,$A$3:$A$5000,$A4170,$B$3:$B$5000,"&gt;"&amp;$B4170))</f>
        <v>46279.598764494</v>
      </c>
    </row>
    <row r="4171" customFormat="false" ht="15" hidden="false" customHeight="true" outlineLevel="0" collapsed="false">
      <c r="A4171" s="42"/>
      <c r="B4171" s="42"/>
      <c r="C4171" s="42"/>
      <c r="D4171" s="42"/>
      <c r="E4171" s="42"/>
      <c r="F4171" s="51" t="n">
        <f aca="false">IF(OR(C4171="",D4171="",E4171="",E4171=0),0,C4171*D4171/E4171)</f>
        <v>0</v>
      </c>
      <c r="G4171" s="42"/>
      <c r="H4171" s="49" t="n">
        <f aca="true">IF(OR($A4171="",_xlfn.MINIFS($B$3:$B$5000,$A$3:$A$5000,$A4171,$B$3:$B$5000,"&gt;"&amp;$B4171)=0),NOW(),_xlfn.MINIFS($B$3:$B$5000,$A$3:$A$5000,$A4171,$B$3:$B$5000,"&gt;"&amp;$B4171))</f>
        <v>46279.598764494</v>
      </c>
    </row>
    <row r="4172" customFormat="false" ht="15" hidden="false" customHeight="true" outlineLevel="0" collapsed="false">
      <c r="A4172" s="42"/>
      <c r="B4172" s="42"/>
      <c r="C4172" s="42"/>
      <c r="D4172" s="42"/>
      <c r="E4172" s="42"/>
      <c r="F4172" s="51" t="n">
        <f aca="false">IF(OR(C4172="",D4172="",E4172="",E4172=0),0,C4172*D4172/E4172)</f>
        <v>0</v>
      </c>
      <c r="G4172" s="42"/>
      <c r="H4172" s="49" t="n">
        <f aca="true">IF(OR($A4172="",_xlfn.MINIFS($B$3:$B$5000,$A$3:$A$5000,$A4172,$B$3:$B$5000,"&gt;"&amp;$B4172)=0),NOW(),_xlfn.MINIFS($B$3:$B$5000,$A$3:$A$5000,$A4172,$B$3:$B$5000,"&gt;"&amp;$B4172))</f>
        <v>46279.5987644941</v>
      </c>
    </row>
    <row r="4173" customFormat="false" ht="15" hidden="false" customHeight="true" outlineLevel="0" collapsed="false">
      <c r="A4173" s="42"/>
      <c r="B4173" s="42"/>
      <c r="C4173" s="42"/>
      <c r="D4173" s="42"/>
      <c r="E4173" s="42"/>
      <c r="F4173" s="51" t="n">
        <f aca="false">IF(OR(C4173="",D4173="",E4173="",E4173=0),0,C4173*D4173/E4173)</f>
        <v>0</v>
      </c>
      <c r="G4173" s="42"/>
      <c r="H4173" s="49" t="n">
        <f aca="true">IF(OR($A4173="",_xlfn.MINIFS($B$3:$B$5000,$A$3:$A$5000,$A4173,$B$3:$B$5000,"&gt;"&amp;$B4173)=0),NOW(),_xlfn.MINIFS($B$3:$B$5000,$A$3:$A$5000,$A4173,$B$3:$B$5000,"&gt;"&amp;$B4173))</f>
        <v>46279.5987644941</v>
      </c>
    </row>
    <row r="4174" customFormat="false" ht="15" hidden="false" customHeight="true" outlineLevel="0" collapsed="false">
      <c r="A4174" s="42"/>
      <c r="B4174" s="42"/>
      <c r="C4174" s="42"/>
      <c r="D4174" s="42"/>
      <c r="E4174" s="42"/>
      <c r="F4174" s="51" t="n">
        <f aca="false">IF(OR(C4174="",D4174="",E4174="",E4174=0),0,C4174*D4174/E4174)</f>
        <v>0</v>
      </c>
      <c r="G4174" s="42"/>
      <c r="H4174" s="49" t="n">
        <f aca="true">IF(OR($A4174="",_xlfn.MINIFS($B$3:$B$5000,$A$3:$A$5000,$A4174,$B$3:$B$5000,"&gt;"&amp;$B4174)=0),NOW(),_xlfn.MINIFS($B$3:$B$5000,$A$3:$A$5000,$A4174,$B$3:$B$5000,"&gt;"&amp;$B4174))</f>
        <v>46279.5987644942</v>
      </c>
    </row>
    <row r="4175" customFormat="false" ht="15" hidden="false" customHeight="true" outlineLevel="0" collapsed="false">
      <c r="A4175" s="42"/>
      <c r="B4175" s="42"/>
      <c r="C4175" s="42"/>
      <c r="D4175" s="42"/>
      <c r="E4175" s="42"/>
      <c r="F4175" s="51" t="n">
        <f aca="false">IF(OR(C4175="",D4175="",E4175="",E4175=0),0,C4175*D4175/E4175)</f>
        <v>0</v>
      </c>
      <c r="G4175" s="42"/>
      <c r="H4175" s="49" t="n">
        <f aca="true">IF(OR($A4175="",_xlfn.MINIFS($B$3:$B$5000,$A$3:$A$5000,$A4175,$B$3:$B$5000,"&gt;"&amp;$B4175)=0),NOW(),_xlfn.MINIFS($B$3:$B$5000,$A$3:$A$5000,$A4175,$B$3:$B$5000,"&gt;"&amp;$B4175))</f>
        <v>46279.5987644942</v>
      </c>
    </row>
    <row r="4176" customFormat="false" ht="15" hidden="false" customHeight="true" outlineLevel="0" collapsed="false">
      <c r="A4176" s="42"/>
      <c r="B4176" s="42"/>
      <c r="C4176" s="42"/>
      <c r="D4176" s="42"/>
      <c r="E4176" s="42"/>
      <c r="F4176" s="51" t="n">
        <f aca="false">IF(OR(C4176="",D4176="",E4176="",E4176=0),0,C4176*D4176/E4176)</f>
        <v>0</v>
      </c>
      <c r="G4176" s="42"/>
      <c r="H4176" s="49" t="n">
        <f aca="true">IF(OR($A4176="",_xlfn.MINIFS($B$3:$B$5000,$A$3:$A$5000,$A4176,$B$3:$B$5000,"&gt;"&amp;$B4176)=0),NOW(),_xlfn.MINIFS($B$3:$B$5000,$A$3:$A$5000,$A4176,$B$3:$B$5000,"&gt;"&amp;$B4176))</f>
        <v>46279.5987644943</v>
      </c>
    </row>
    <row r="4177" customFormat="false" ht="15" hidden="false" customHeight="true" outlineLevel="0" collapsed="false">
      <c r="A4177" s="42"/>
      <c r="B4177" s="42"/>
      <c r="C4177" s="42"/>
      <c r="D4177" s="42"/>
      <c r="E4177" s="42"/>
      <c r="F4177" s="51" t="n">
        <f aca="false">IF(OR(C4177="",D4177="",E4177="",E4177=0),0,C4177*D4177/E4177)</f>
        <v>0</v>
      </c>
      <c r="G4177" s="42"/>
      <c r="H4177" s="49" t="n">
        <f aca="true">IF(OR($A4177="",_xlfn.MINIFS($B$3:$B$5000,$A$3:$A$5000,$A4177,$B$3:$B$5000,"&gt;"&amp;$B4177)=0),NOW(),_xlfn.MINIFS($B$3:$B$5000,$A$3:$A$5000,$A4177,$B$3:$B$5000,"&gt;"&amp;$B4177))</f>
        <v>46279.5987644943</v>
      </c>
    </row>
    <row r="4178" customFormat="false" ht="15" hidden="false" customHeight="true" outlineLevel="0" collapsed="false">
      <c r="A4178" s="42"/>
      <c r="B4178" s="42"/>
      <c r="C4178" s="42"/>
      <c r="D4178" s="42"/>
      <c r="E4178" s="42"/>
      <c r="F4178" s="51" t="n">
        <f aca="false">IF(OR(C4178="",D4178="",E4178="",E4178=0),0,C4178*D4178/E4178)</f>
        <v>0</v>
      </c>
      <c r="G4178" s="42"/>
      <c r="H4178" s="49" t="n">
        <f aca="true">IF(OR($A4178="",_xlfn.MINIFS($B$3:$B$5000,$A$3:$A$5000,$A4178,$B$3:$B$5000,"&gt;"&amp;$B4178)=0),NOW(),_xlfn.MINIFS($B$3:$B$5000,$A$3:$A$5000,$A4178,$B$3:$B$5000,"&gt;"&amp;$B4178))</f>
        <v>46279.5987644944</v>
      </c>
    </row>
    <row r="4179" customFormat="false" ht="15" hidden="false" customHeight="true" outlineLevel="0" collapsed="false">
      <c r="A4179" s="42"/>
      <c r="B4179" s="42"/>
      <c r="C4179" s="42"/>
      <c r="D4179" s="42"/>
      <c r="E4179" s="42"/>
      <c r="F4179" s="51" t="n">
        <f aca="false">IF(OR(C4179="",D4179="",E4179="",E4179=0),0,C4179*D4179/E4179)</f>
        <v>0</v>
      </c>
      <c r="G4179" s="42"/>
      <c r="H4179" s="49" t="n">
        <f aca="true">IF(OR($A4179="",_xlfn.MINIFS($B$3:$B$5000,$A$3:$A$5000,$A4179,$B$3:$B$5000,"&gt;"&amp;$B4179)=0),NOW(),_xlfn.MINIFS($B$3:$B$5000,$A$3:$A$5000,$A4179,$B$3:$B$5000,"&gt;"&amp;$B4179))</f>
        <v>46279.5987644944</v>
      </c>
    </row>
    <row r="4180" customFormat="false" ht="15" hidden="false" customHeight="true" outlineLevel="0" collapsed="false">
      <c r="A4180" s="42"/>
      <c r="B4180" s="42"/>
      <c r="C4180" s="42"/>
      <c r="D4180" s="42"/>
      <c r="E4180" s="42"/>
      <c r="F4180" s="51" t="n">
        <f aca="false">IF(OR(C4180="",D4180="",E4180="",E4180=0),0,C4180*D4180/E4180)</f>
        <v>0</v>
      </c>
      <c r="G4180" s="42"/>
      <c r="H4180" s="49" t="n">
        <f aca="true">IF(OR($A4180="",_xlfn.MINIFS($B$3:$B$5000,$A$3:$A$5000,$A4180,$B$3:$B$5000,"&gt;"&amp;$B4180)=0),NOW(),_xlfn.MINIFS($B$3:$B$5000,$A$3:$A$5000,$A4180,$B$3:$B$5000,"&gt;"&amp;$B4180))</f>
        <v>46279.5987644945</v>
      </c>
    </row>
    <row r="4181" customFormat="false" ht="15" hidden="false" customHeight="true" outlineLevel="0" collapsed="false">
      <c r="A4181" s="42"/>
      <c r="B4181" s="42"/>
      <c r="C4181" s="42"/>
      <c r="D4181" s="42"/>
      <c r="E4181" s="42"/>
      <c r="F4181" s="51" t="n">
        <f aca="false">IF(OR(C4181="",D4181="",E4181="",E4181=0),0,C4181*D4181/E4181)</f>
        <v>0</v>
      </c>
      <c r="G4181" s="42"/>
      <c r="H4181" s="49" t="n">
        <f aca="true">IF(OR($A4181="",_xlfn.MINIFS($B$3:$B$5000,$A$3:$A$5000,$A4181,$B$3:$B$5000,"&gt;"&amp;$B4181)=0),NOW(),_xlfn.MINIFS($B$3:$B$5000,$A$3:$A$5000,$A4181,$B$3:$B$5000,"&gt;"&amp;$B4181))</f>
        <v>46279.5987644945</v>
      </c>
    </row>
    <row r="4182" customFormat="false" ht="15" hidden="false" customHeight="true" outlineLevel="0" collapsed="false">
      <c r="A4182" s="42"/>
      <c r="B4182" s="42"/>
      <c r="C4182" s="42"/>
      <c r="D4182" s="42"/>
      <c r="E4182" s="42"/>
      <c r="F4182" s="51" t="n">
        <f aca="false">IF(OR(C4182="",D4182="",E4182="",E4182=0),0,C4182*D4182/E4182)</f>
        <v>0</v>
      </c>
      <c r="G4182" s="42"/>
      <c r="H4182" s="49" t="n">
        <f aca="true">IF(OR($A4182="",_xlfn.MINIFS($B$3:$B$5000,$A$3:$A$5000,$A4182,$B$3:$B$5000,"&gt;"&amp;$B4182)=0),NOW(),_xlfn.MINIFS($B$3:$B$5000,$A$3:$A$5000,$A4182,$B$3:$B$5000,"&gt;"&amp;$B4182))</f>
        <v>46279.5987644946</v>
      </c>
    </row>
    <row r="4183" customFormat="false" ht="15" hidden="false" customHeight="true" outlineLevel="0" collapsed="false">
      <c r="A4183" s="42"/>
      <c r="B4183" s="42"/>
      <c r="C4183" s="42"/>
      <c r="D4183" s="42"/>
      <c r="E4183" s="42"/>
      <c r="F4183" s="51" t="n">
        <f aca="false">IF(OR(C4183="",D4183="",E4183="",E4183=0),0,C4183*D4183/E4183)</f>
        <v>0</v>
      </c>
      <c r="G4183" s="42"/>
      <c r="H4183" s="49" t="n">
        <f aca="true">IF(OR($A4183="",_xlfn.MINIFS($B$3:$B$5000,$A$3:$A$5000,$A4183,$B$3:$B$5000,"&gt;"&amp;$B4183)=0),NOW(),_xlfn.MINIFS($B$3:$B$5000,$A$3:$A$5000,$A4183,$B$3:$B$5000,"&gt;"&amp;$B4183))</f>
        <v>46279.5987644946</v>
      </c>
    </row>
    <row r="4184" customFormat="false" ht="15" hidden="false" customHeight="true" outlineLevel="0" collapsed="false">
      <c r="A4184" s="42"/>
      <c r="B4184" s="42"/>
      <c r="C4184" s="42"/>
      <c r="D4184" s="42"/>
      <c r="E4184" s="42"/>
      <c r="F4184" s="51" t="n">
        <f aca="false">IF(OR(C4184="",D4184="",E4184="",E4184=0),0,C4184*D4184/E4184)</f>
        <v>0</v>
      </c>
      <c r="G4184" s="42"/>
      <c r="H4184" s="49" t="n">
        <f aca="true">IF(OR($A4184="",_xlfn.MINIFS($B$3:$B$5000,$A$3:$A$5000,$A4184,$B$3:$B$5000,"&gt;"&amp;$B4184)=0),NOW(),_xlfn.MINIFS($B$3:$B$5000,$A$3:$A$5000,$A4184,$B$3:$B$5000,"&gt;"&amp;$B4184))</f>
        <v>46279.5987644947</v>
      </c>
    </row>
    <row r="4185" customFormat="false" ht="15" hidden="false" customHeight="true" outlineLevel="0" collapsed="false">
      <c r="A4185" s="42"/>
      <c r="B4185" s="42"/>
      <c r="C4185" s="42"/>
      <c r="D4185" s="42"/>
      <c r="E4185" s="42"/>
      <c r="F4185" s="51" t="n">
        <f aca="false">IF(OR(C4185="",D4185="",E4185="",E4185=0),0,C4185*D4185/E4185)</f>
        <v>0</v>
      </c>
      <c r="G4185" s="42"/>
      <c r="H4185" s="49" t="n">
        <f aca="true">IF(OR($A4185="",_xlfn.MINIFS($B$3:$B$5000,$A$3:$A$5000,$A4185,$B$3:$B$5000,"&gt;"&amp;$B4185)=0),NOW(),_xlfn.MINIFS($B$3:$B$5000,$A$3:$A$5000,$A4185,$B$3:$B$5000,"&gt;"&amp;$B4185))</f>
        <v>46279.5987644947</v>
      </c>
    </row>
    <row r="4186" customFormat="false" ht="15" hidden="false" customHeight="true" outlineLevel="0" collapsed="false">
      <c r="A4186" s="42"/>
      <c r="B4186" s="42"/>
      <c r="C4186" s="42"/>
      <c r="D4186" s="42"/>
      <c r="E4186" s="42"/>
      <c r="F4186" s="51" t="n">
        <f aca="false">IF(OR(C4186="",D4186="",E4186="",E4186=0),0,C4186*D4186/E4186)</f>
        <v>0</v>
      </c>
      <c r="G4186" s="42"/>
      <c r="H4186" s="49" t="n">
        <f aca="true">IF(OR($A4186="",_xlfn.MINIFS($B$3:$B$5000,$A$3:$A$5000,$A4186,$B$3:$B$5000,"&gt;"&amp;$B4186)=0),NOW(),_xlfn.MINIFS($B$3:$B$5000,$A$3:$A$5000,$A4186,$B$3:$B$5000,"&gt;"&amp;$B4186))</f>
        <v>46279.5987644948</v>
      </c>
    </row>
    <row r="4187" customFormat="false" ht="15" hidden="false" customHeight="true" outlineLevel="0" collapsed="false">
      <c r="A4187" s="42"/>
      <c r="B4187" s="42"/>
      <c r="C4187" s="42"/>
      <c r="D4187" s="42"/>
      <c r="E4187" s="42"/>
      <c r="F4187" s="51" t="n">
        <f aca="false">IF(OR(C4187="",D4187="",E4187="",E4187=0),0,C4187*D4187/E4187)</f>
        <v>0</v>
      </c>
      <c r="G4187" s="42"/>
      <c r="H4187" s="49" t="n">
        <f aca="true">IF(OR($A4187="",_xlfn.MINIFS($B$3:$B$5000,$A$3:$A$5000,$A4187,$B$3:$B$5000,"&gt;"&amp;$B4187)=0),NOW(),_xlfn.MINIFS($B$3:$B$5000,$A$3:$A$5000,$A4187,$B$3:$B$5000,"&gt;"&amp;$B4187))</f>
        <v>46279.5987644948</v>
      </c>
    </row>
    <row r="4188" customFormat="false" ht="15" hidden="false" customHeight="true" outlineLevel="0" collapsed="false">
      <c r="A4188" s="42"/>
      <c r="B4188" s="42"/>
      <c r="C4188" s="42"/>
      <c r="D4188" s="42"/>
      <c r="E4188" s="42"/>
      <c r="F4188" s="51" t="n">
        <f aca="false">IF(OR(C4188="",D4188="",E4188="",E4188=0),0,C4188*D4188/E4188)</f>
        <v>0</v>
      </c>
      <c r="G4188" s="42"/>
      <c r="H4188" s="49" t="n">
        <f aca="true">IF(OR($A4188="",_xlfn.MINIFS($B$3:$B$5000,$A$3:$A$5000,$A4188,$B$3:$B$5000,"&gt;"&amp;$B4188)=0),NOW(),_xlfn.MINIFS($B$3:$B$5000,$A$3:$A$5000,$A4188,$B$3:$B$5000,"&gt;"&amp;$B4188))</f>
        <v>46279.5987644949</v>
      </c>
    </row>
    <row r="4189" customFormat="false" ht="15" hidden="false" customHeight="true" outlineLevel="0" collapsed="false">
      <c r="A4189" s="42"/>
      <c r="B4189" s="42"/>
      <c r="C4189" s="42"/>
      <c r="D4189" s="42"/>
      <c r="E4189" s="42"/>
      <c r="F4189" s="51" t="n">
        <f aca="false">IF(OR(C4189="",D4189="",E4189="",E4189=0),0,C4189*D4189/E4189)</f>
        <v>0</v>
      </c>
      <c r="G4189" s="42"/>
      <c r="H4189" s="49" t="n">
        <f aca="true">IF(OR($A4189="",_xlfn.MINIFS($B$3:$B$5000,$A$3:$A$5000,$A4189,$B$3:$B$5000,"&gt;"&amp;$B4189)=0),NOW(),_xlfn.MINIFS($B$3:$B$5000,$A$3:$A$5000,$A4189,$B$3:$B$5000,"&gt;"&amp;$B4189))</f>
        <v>46279.5987644949</v>
      </c>
    </row>
    <row r="4190" customFormat="false" ht="15" hidden="false" customHeight="true" outlineLevel="0" collapsed="false">
      <c r="A4190" s="42"/>
      <c r="B4190" s="42"/>
      <c r="C4190" s="42"/>
      <c r="D4190" s="42"/>
      <c r="E4190" s="42"/>
      <c r="F4190" s="51" t="n">
        <f aca="false">IF(OR(C4190="",D4190="",E4190="",E4190=0),0,C4190*D4190/E4190)</f>
        <v>0</v>
      </c>
      <c r="G4190" s="42"/>
      <c r="H4190" s="49" t="n">
        <f aca="true">IF(OR($A4190="",_xlfn.MINIFS($B$3:$B$5000,$A$3:$A$5000,$A4190,$B$3:$B$5000,"&gt;"&amp;$B4190)=0),NOW(),_xlfn.MINIFS($B$3:$B$5000,$A$3:$A$5000,$A4190,$B$3:$B$5000,"&gt;"&amp;$B4190))</f>
        <v>46279.598764495</v>
      </c>
    </row>
    <row r="4191" customFormat="false" ht="15" hidden="false" customHeight="true" outlineLevel="0" collapsed="false">
      <c r="A4191" s="42"/>
      <c r="B4191" s="42"/>
      <c r="C4191" s="42"/>
      <c r="D4191" s="42"/>
      <c r="E4191" s="42"/>
      <c r="F4191" s="51" t="n">
        <f aca="false">IF(OR(C4191="",D4191="",E4191="",E4191=0),0,C4191*D4191/E4191)</f>
        <v>0</v>
      </c>
      <c r="G4191" s="42"/>
      <c r="H4191" s="49" t="n">
        <f aca="true">IF(OR($A4191="",_xlfn.MINIFS($B$3:$B$5000,$A$3:$A$5000,$A4191,$B$3:$B$5000,"&gt;"&amp;$B4191)=0),NOW(),_xlfn.MINIFS($B$3:$B$5000,$A$3:$A$5000,$A4191,$B$3:$B$5000,"&gt;"&amp;$B4191))</f>
        <v>46279.598764495</v>
      </c>
    </row>
    <row r="4192" customFormat="false" ht="15" hidden="false" customHeight="true" outlineLevel="0" collapsed="false">
      <c r="A4192" s="42"/>
      <c r="B4192" s="42"/>
      <c r="C4192" s="42"/>
      <c r="D4192" s="42"/>
      <c r="E4192" s="42"/>
      <c r="F4192" s="51" t="n">
        <f aca="false">IF(OR(C4192="",D4192="",E4192="",E4192=0),0,C4192*D4192/E4192)</f>
        <v>0</v>
      </c>
      <c r="G4192" s="42"/>
      <c r="H4192" s="49" t="n">
        <f aca="true">IF(OR($A4192="",_xlfn.MINIFS($B$3:$B$5000,$A$3:$A$5000,$A4192,$B$3:$B$5000,"&gt;"&amp;$B4192)=0),NOW(),_xlfn.MINIFS($B$3:$B$5000,$A$3:$A$5000,$A4192,$B$3:$B$5000,"&gt;"&amp;$B4192))</f>
        <v>46279.5987644951</v>
      </c>
    </row>
    <row r="4193" customFormat="false" ht="15" hidden="false" customHeight="true" outlineLevel="0" collapsed="false">
      <c r="A4193" s="42"/>
      <c r="B4193" s="42"/>
      <c r="C4193" s="42"/>
      <c r="D4193" s="42"/>
      <c r="E4193" s="42"/>
      <c r="F4193" s="51" t="n">
        <f aca="false">IF(OR(C4193="",D4193="",E4193="",E4193=0),0,C4193*D4193/E4193)</f>
        <v>0</v>
      </c>
      <c r="G4193" s="42"/>
      <c r="H4193" s="49" t="n">
        <f aca="true">IF(OR($A4193="",_xlfn.MINIFS($B$3:$B$5000,$A$3:$A$5000,$A4193,$B$3:$B$5000,"&gt;"&amp;$B4193)=0),NOW(),_xlfn.MINIFS($B$3:$B$5000,$A$3:$A$5000,$A4193,$B$3:$B$5000,"&gt;"&amp;$B4193))</f>
        <v>46279.5987644951</v>
      </c>
    </row>
    <row r="4194" customFormat="false" ht="15" hidden="false" customHeight="true" outlineLevel="0" collapsed="false">
      <c r="A4194" s="42"/>
      <c r="B4194" s="42"/>
      <c r="C4194" s="42"/>
      <c r="D4194" s="42"/>
      <c r="E4194" s="42"/>
      <c r="F4194" s="51" t="n">
        <f aca="false">IF(OR(C4194="",D4194="",E4194="",E4194=0),0,C4194*D4194/E4194)</f>
        <v>0</v>
      </c>
      <c r="G4194" s="42"/>
      <c r="H4194" s="49" t="n">
        <f aca="true">IF(OR($A4194="",_xlfn.MINIFS($B$3:$B$5000,$A$3:$A$5000,$A4194,$B$3:$B$5000,"&gt;"&amp;$B4194)=0),NOW(),_xlfn.MINIFS($B$3:$B$5000,$A$3:$A$5000,$A4194,$B$3:$B$5000,"&gt;"&amp;$B4194))</f>
        <v>46279.5987644952</v>
      </c>
    </row>
    <row r="4195" customFormat="false" ht="15" hidden="false" customHeight="true" outlineLevel="0" collapsed="false">
      <c r="A4195" s="42"/>
      <c r="B4195" s="42"/>
      <c r="C4195" s="42"/>
      <c r="D4195" s="42"/>
      <c r="E4195" s="42"/>
      <c r="F4195" s="51" t="n">
        <f aca="false">IF(OR(C4195="",D4195="",E4195="",E4195=0),0,C4195*D4195/E4195)</f>
        <v>0</v>
      </c>
      <c r="G4195" s="42"/>
      <c r="H4195" s="49" t="n">
        <f aca="true">IF(OR($A4195="",_xlfn.MINIFS($B$3:$B$5000,$A$3:$A$5000,$A4195,$B$3:$B$5000,"&gt;"&amp;$B4195)=0),NOW(),_xlfn.MINIFS($B$3:$B$5000,$A$3:$A$5000,$A4195,$B$3:$B$5000,"&gt;"&amp;$B4195))</f>
        <v>46279.5987644952</v>
      </c>
    </row>
    <row r="4196" customFormat="false" ht="15" hidden="false" customHeight="true" outlineLevel="0" collapsed="false">
      <c r="A4196" s="42"/>
      <c r="B4196" s="42"/>
      <c r="C4196" s="42"/>
      <c r="D4196" s="42"/>
      <c r="E4196" s="42"/>
      <c r="F4196" s="51" t="n">
        <f aca="false">IF(OR(C4196="",D4196="",E4196="",E4196=0),0,C4196*D4196/E4196)</f>
        <v>0</v>
      </c>
      <c r="G4196" s="42"/>
      <c r="H4196" s="49" t="n">
        <f aca="true">IF(OR($A4196="",_xlfn.MINIFS($B$3:$B$5000,$A$3:$A$5000,$A4196,$B$3:$B$5000,"&gt;"&amp;$B4196)=0),NOW(),_xlfn.MINIFS($B$3:$B$5000,$A$3:$A$5000,$A4196,$B$3:$B$5000,"&gt;"&amp;$B4196))</f>
        <v>46279.5987644953</v>
      </c>
    </row>
    <row r="4197" customFormat="false" ht="15" hidden="false" customHeight="true" outlineLevel="0" collapsed="false">
      <c r="A4197" s="42"/>
      <c r="B4197" s="42"/>
      <c r="C4197" s="42"/>
      <c r="D4197" s="42"/>
      <c r="E4197" s="42"/>
      <c r="F4197" s="51" t="n">
        <f aca="false">IF(OR(C4197="",D4197="",E4197="",E4197=0),0,C4197*D4197/E4197)</f>
        <v>0</v>
      </c>
      <c r="G4197" s="42"/>
      <c r="H4197" s="49" t="n">
        <f aca="true">IF(OR($A4197="",_xlfn.MINIFS($B$3:$B$5000,$A$3:$A$5000,$A4197,$B$3:$B$5000,"&gt;"&amp;$B4197)=0),NOW(),_xlfn.MINIFS($B$3:$B$5000,$A$3:$A$5000,$A4197,$B$3:$B$5000,"&gt;"&amp;$B4197))</f>
        <v>46279.5987644953</v>
      </c>
    </row>
    <row r="4198" customFormat="false" ht="15" hidden="false" customHeight="true" outlineLevel="0" collapsed="false">
      <c r="A4198" s="42"/>
      <c r="B4198" s="42"/>
      <c r="C4198" s="42"/>
      <c r="D4198" s="42"/>
      <c r="E4198" s="42"/>
      <c r="F4198" s="51" t="n">
        <f aca="false">IF(OR(C4198="",D4198="",E4198="",E4198=0),0,C4198*D4198/E4198)</f>
        <v>0</v>
      </c>
      <c r="G4198" s="42"/>
      <c r="H4198" s="49" t="n">
        <f aca="true">IF(OR($A4198="",_xlfn.MINIFS($B$3:$B$5000,$A$3:$A$5000,$A4198,$B$3:$B$5000,"&gt;"&amp;$B4198)=0),NOW(),_xlfn.MINIFS($B$3:$B$5000,$A$3:$A$5000,$A4198,$B$3:$B$5000,"&gt;"&amp;$B4198))</f>
        <v>46279.5987644954</v>
      </c>
    </row>
    <row r="4199" customFormat="false" ht="15" hidden="false" customHeight="true" outlineLevel="0" collapsed="false">
      <c r="A4199" s="42"/>
      <c r="B4199" s="42"/>
      <c r="C4199" s="42"/>
      <c r="D4199" s="42"/>
      <c r="E4199" s="42"/>
      <c r="F4199" s="51" t="n">
        <f aca="false">IF(OR(C4199="",D4199="",E4199="",E4199=0),0,C4199*D4199/E4199)</f>
        <v>0</v>
      </c>
      <c r="G4199" s="42"/>
      <c r="H4199" s="49" t="n">
        <f aca="true">IF(OR($A4199="",_xlfn.MINIFS($B$3:$B$5000,$A$3:$A$5000,$A4199,$B$3:$B$5000,"&gt;"&amp;$B4199)=0),NOW(),_xlfn.MINIFS($B$3:$B$5000,$A$3:$A$5000,$A4199,$B$3:$B$5000,"&gt;"&amp;$B4199))</f>
        <v>46279.5987644954</v>
      </c>
    </row>
    <row r="4200" customFormat="false" ht="15" hidden="false" customHeight="true" outlineLevel="0" collapsed="false">
      <c r="A4200" s="42"/>
      <c r="B4200" s="42"/>
      <c r="C4200" s="42"/>
      <c r="D4200" s="42"/>
      <c r="E4200" s="42"/>
      <c r="F4200" s="51" t="n">
        <f aca="false">IF(OR(C4200="",D4200="",E4200="",E4200=0),0,C4200*D4200/E4200)</f>
        <v>0</v>
      </c>
      <c r="G4200" s="42"/>
      <c r="H4200" s="49" t="n">
        <f aca="true">IF(OR($A4200="",_xlfn.MINIFS($B$3:$B$5000,$A$3:$A$5000,$A4200,$B$3:$B$5000,"&gt;"&amp;$B4200)=0),NOW(),_xlfn.MINIFS($B$3:$B$5000,$A$3:$A$5000,$A4200,$B$3:$B$5000,"&gt;"&amp;$B4200))</f>
        <v>46279.5987644955</v>
      </c>
    </row>
    <row r="4201" customFormat="false" ht="15" hidden="false" customHeight="true" outlineLevel="0" collapsed="false">
      <c r="A4201" s="42"/>
      <c r="B4201" s="42"/>
      <c r="C4201" s="42"/>
      <c r="D4201" s="42"/>
      <c r="E4201" s="42"/>
      <c r="F4201" s="51" t="n">
        <f aca="false">IF(OR(C4201="",D4201="",E4201="",E4201=0),0,C4201*D4201/E4201)</f>
        <v>0</v>
      </c>
      <c r="G4201" s="42"/>
      <c r="H4201" s="49" t="n">
        <f aca="true">IF(OR($A4201="",_xlfn.MINIFS($B$3:$B$5000,$A$3:$A$5000,$A4201,$B$3:$B$5000,"&gt;"&amp;$B4201)=0),NOW(),_xlfn.MINIFS($B$3:$B$5000,$A$3:$A$5000,$A4201,$B$3:$B$5000,"&gt;"&amp;$B4201))</f>
        <v>46279.5987644955</v>
      </c>
    </row>
    <row r="4202" customFormat="false" ht="15" hidden="false" customHeight="true" outlineLevel="0" collapsed="false">
      <c r="A4202" s="42"/>
      <c r="B4202" s="42"/>
      <c r="C4202" s="42"/>
      <c r="D4202" s="42"/>
      <c r="E4202" s="42"/>
      <c r="F4202" s="51" t="n">
        <f aca="false">IF(OR(C4202="",D4202="",E4202="",E4202=0),0,C4202*D4202/E4202)</f>
        <v>0</v>
      </c>
      <c r="G4202" s="42"/>
      <c r="H4202" s="49" t="n">
        <f aca="true">IF(OR($A4202="",_xlfn.MINIFS($B$3:$B$5000,$A$3:$A$5000,$A4202,$B$3:$B$5000,"&gt;"&amp;$B4202)=0),NOW(),_xlfn.MINIFS($B$3:$B$5000,$A$3:$A$5000,$A4202,$B$3:$B$5000,"&gt;"&amp;$B4202))</f>
        <v>46279.5987644956</v>
      </c>
    </row>
    <row r="4203" customFormat="false" ht="15" hidden="false" customHeight="true" outlineLevel="0" collapsed="false">
      <c r="A4203" s="42"/>
      <c r="B4203" s="42"/>
      <c r="C4203" s="42"/>
      <c r="D4203" s="42"/>
      <c r="E4203" s="42"/>
      <c r="F4203" s="51" t="n">
        <f aca="false">IF(OR(C4203="",D4203="",E4203="",E4203=0),0,C4203*D4203/E4203)</f>
        <v>0</v>
      </c>
      <c r="G4203" s="42"/>
      <c r="H4203" s="49" t="n">
        <f aca="true">IF(OR($A4203="",_xlfn.MINIFS($B$3:$B$5000,$A$3:$A$5000,$A4203,$B$3:$B$5000,"&gt;"&amp;$B4203)=0),NOW(),_xlfn.MINIFS($B$3:$B$5000,$A$3:$A$5000,$A4203,$B$3:$B$5000,"&gt;"&amp;$B4203))</f>
        <v>46279.5987644956</v>
      </c>
    </row>
    <row r="4204" customFormat="false" ht="15" hidden="false" customHeight="true" outlineLevel="0" collapsed="false">
      <c r="A4204" s="42"/>
      <c r="B4204" s="42"/>
      <c r="C4204" s="42"/>
      <c r="D4204" s="42"/>
      <c r="E4204" s="42"/>
      <c r="F4204" s="51" t="n">
        <f aca="false">IF(OR(C4204="",D4204="",E4204="",E4204=0),0,C4204*D4204/E4204)</f>
        <v>0</v>
      </c>
      <c r="G4204" s="42"/>
      <c r="H4204" s="49" t="n">
        <f aca="true">IF(OR($A4204="",_xlfn.MINIFS($B$3:$B$5000,$A$3:$A$5000,$A4204,$B$3:$B$5000,"&gt;"&amp;$B4204)=0),NOW(),_xlfn.MINIFS($B$3:$B$5000,$A$3:$A$5000,$A4204,$B$3:$B$5000,"&gt;"&amp;$B4204))</f>
        <v>46279.5987644957</v>
      </c>
    </row>
    <row r="4205" customFormat="false" ht="15" hidden="false" customHeight="true" outlineLevel="0" collapsed="false">
      <c r="A4205" s="42"/>
      <c r="B4205" s="42"/>
      <c r="C4205" s="42"/>
      <c r="D4205" s="42"/>
      <c r="E4205" s="42"/>
      <c r="F4205" s="51" t="n">
        <f aca="false">IF(OR(C4205="",D4205="",E4205="",E4205=0),0,C4205*D4205/E4205)</f>
        <v>0</v>
      </c>
      <c r="G4205" s="42"/>
      <c r="H4205" s="49" t="n">
        <f aca="true">IF(OR($A4205="",_xlfn.MINIFS($B$3:$B$5000,$A$3:$A$5000,$A4205,$B$3:$B$5000,"&gt;"&amp;$B4205)=0),NOW(),_xlfn.MINIFS($B$3:$B$5000,$A$3:$A$5000,$A4205,$B$3:$B$5000,"&gt;"&amp;$B4205))</f>
        <v>46279.5987644957</v>
      </c>
    </row>
    <row r="4206" customFormat="false" ht="15" hidden="false" customHeight="true" outlineLevel="0" collapsed="false">
      <c r="A4206" s="42"/>
      <c r="B4206" s="42"/>
      <c r="C4206" s="42"/>
      <c r="D4206" s="42"/>
      <c r="E4206" s="42"/>
      <c r="F4206" s="51" t="n">
        <f aca="false">IF(OR(C4206="",D4206="",E4206="",E4206=0),0,C4206*D4206/E4206)</f>
        <v>0</v>
      </c>
      <c r="G4206" s="42"/>
      <c r="H4206" s="49" t="n">
        <f aca="true">IF(OR($A4206="",_xlfn.MINIFS($B$3:$B$5000,$A$3:$A$5000,$A4206,$B$3:$B$5000,"&gt;"&amp;$B4206)=0),NOW(),_xlfn.MINIFS($B$3:$B$5000,$A$3:$A$5000,$A4206,$B$3:$B$5000,"&gt;"&amp;$B4206))</f>
        <v>46279.5987644958</v>
      </c>
    </row>
    <row r="4207" customFormat="false" ht="15" hidden="false" customHeight="true" outlineLevel="0" collapsed="false">
      <c r="A4207" s="42"/>
      <c r="B4207" s="42"/>
      <c r="C4207" s="42"/>
      <c r="D4207" s="42"/>
      <c r="E4207" s="42"/>
      <c r="F4207" s="51" t="n">
        <f aca="false">IF(OR(C4207="",D4207="",E4207="",E4207=0),0,C4207*D4207/E4207)</f>
        <v>0</v>
      </c>
      <c r="G4207" s="42"/>
      <c r="H4207" s="49" t="n">
        <f aca="true">IF(OR($A4207="",_xlfn.MINIFS($B$3:$B$5000,$A$3:$A$5000,$A4207,$B$3:$B$5000,"&gt;"&amp;$B4207)=0),NOW(),_xlfn.MINIFS($B$3:$B$5000,$A$3:$A$5000,$A4207,$B$3:$B$5000,"&gt;"&amp;$B4207))</f>
        <v>46279.5987644958</v>
      </c>
    </row>
    <row r="4208" customFormat="false" ht="15" hidden="false" customHeight="true" outlineLevel="0" collapsed="false">
      <c r="A4208" s="42"/>
      <c r="B4208" s="42"/>
      <c r="C4208" s="42"/>
      <c r="D4208" s="42"/>
      <c r="E4208" s="42"/>
      <c r="F4208" s="51" t="n">
        <f aca="false">IF(OR(C4208="",D4208="",E4208="",E4208=0),0,C4208*D4208/E4208)</f>
        <v>0</v>
      </c>
      <c r="G4208" s="42"/>
      <c r="H4208" s="49" t="n">
        <f aca="true">IF(OR($A4208="",_xlfn.MINIFS($B$3:$B$5000,$A$3:$A$5000,$A4208,$B$3:$B$5000,"&gt;"&amp;$B4208)=0),NOW(),_xlfn.MINIFS($B$3:$B$5000,$A$3:$A$5000,$A4208,$B$3:$B$5000,"&gt;"&amp;$B4208))</f>
        <v>46279.5987644959</v>
      </c>
    </row>
    <row r="4209" customFormat="false" ht="15" hidden="false" customHeight="true" outlineLevel="0" collapsed="false">
      <c r="A4209" s="42"/>
      <c r="B4209" s="42"/>
      <c r="C4209" s="42"/>
      <c r="D4209" s="42"/>
      <c r="E4209" s="42"/>
      <c r="F4209" s="51" t="n">
        <f aca="false">IF(OR(C4209="",D4209="",E4209="",E4209=0),0,C4209*D4209/E4209)</f>
        <v>0</v>
      </c>
      <c r="G4209" s="42"/>
      <c r="H4209" s="49" t="n">
        <f aca="true">IF(OR($A4209="",_xlfn.MINIFS($B$3:$B$5000,$A$3:$A$5000,$A4209,$B$3:$B$5000,"&gt;"&amp;$B4209)=0),NOW(),_xlfn.MINIFS($B$3:$B$5000,$A$3:$A$5000,$A4209,$B$3:$B$5000,"&gt;"&amp;$B4209))</f>
        <v>46279.5987644959</v>
      </c>
    </row>
    <row r="4210" customFormat="false" ht="15" hidden="false" customHeight="true" outlineLevel="0" collapsed="false">
      <c r="A4210" s="42"/>
      <c r="B4210" s="42"/>
      <c r="C4210" s="42"/>
      <c r="D4210" s="42"/>
      <c r="E4210" s="42"/>
      <c r="F4210" s="51" t="n">
        <f aca="false">IF(OR(C4210="",D4210="",E4210="",E4210=0),0,C4210*D4210/E4210)</f>
        <v>0</v>
      </c>
      <c r="G4210" s="42"/>
      <c r="H4210" s="49" t="n">
        <f aca="true">IF(OR($A4210="",_xlfn.MINIFS($B$3:$B$5000,$A$3:$A$5000,$A4210,$B$3:$B$5000,"&gt;"&amp;$B4210)=0),NOW(),_xlfn.MINIFS($B$3:$B$5000,$A$3:$A$5000,$A4210,$B$3:$B$5000,"&gt;"&amp;$B4210))</f>
        <v>46279.598764496</v>
      </c>
    </row>
    <row r="4211" customFormat="false" ht="15" hidden="false" customHeight="true" outlineLevel="0" collapsed="false">
      <c r="A4211" s="42"/>
      <c r="B4211" s="42"/>
      <c r="C4211" s="42"/>
      <c r="D4211" s="42"/>
      <c r="E4211" s="42"/>
      <c r="F4211" s="51" t="n">
        <f aca="false">IF(OR(C4211="",D4211="",E4211="",E4211=0),0,C4211*D4211/E4211)</f>
        <v>0</v>
      </c>
      <c r="G4211" s="42"/>
      <c r="H4211" s="49" t="n">
        <f aca="true">IF(OR($A4211="",_xlfn.MINIFS($B$3:$B$5000,$A$3:$A$5000,$A4211,$B$3:$B$5000,"&gt;"&amp;$B4211)=0),NOW(),_xlfn.MINIFS($B$3:$B$5000,$A$3:$A$5000,$A4211,$B$3:$B$5000,"&gt;"&amp;$B4211))</f>
        <v>46279.598764496</v>
      </c>
    </row>
    <row r="4212" customFormat="false" ht="15" hidden="false" customHeight="true" outlineLevel="0" collapsed="false">
      <c r="A4212" s="42"/>
      <c r="B4212" s="42"/>
      <c r="C4212" s="42"/>
      <c r="D4212" s="42"/>
      <c r="E4212" s="42"/>
      <c r="F4212" s="51" t="n">
        <f aca="false">IF(OR(C4212="",D4212="",E4212="",E4212=0),0,C4212*D4212/E4212)</f>
        <v>0</v>
      </c>
      <c r="G4212" s="42"/>
      <c r="H4212" s="49" t="n">
        <f aca="true">IF(OR($A4212="",_xlfn.MINIFS($B$3:$B$5000,$A$3:$A$5000,$A4212,$B$3:$B$5000,"&gt;"&amp;$B4212)=0),NOW(),_xlfn.MINIFS($B$3:$B$5000,$A$3:$A$5000,$A4212,$B$3:$B$5000,"&gt;"&amp;$B4212))</f>
        <v>46279.5987644961</v>
      </c>
    </row>
    <row r="4213" customFormat="false" ht="15" hidden="false" customHeight="true" outlineLevel="0" collapsed="false">
      <c r="A4213" s="42"/>
      <c r="B4213" s="42"/>
      <c r="C4213" s="42"/>
      <c r="D4213" s="42"/>
      <c r="E4213" s="42"/>
      <c r="F4213" s="51" t="n">
        <f aca="false">IF(OR(C4213="",D4213="",E4213="",E4213=0),0,C4213*D4213/E4213)</f>
        <v>0</v>
      </c>
      <c r="G4213" s="42"/>
      <c r="H4213" s="49" t="n">
        <f aca="true">IF(OR($A4213="",_xlfn.MINIFS($B$3:$B$5000,$A$3:$A$5000,$A4213,$B$3:$B$5000,"&gt;"&amp;$B4213)=0),NOW(),_xlfn.MINIFS($B$3:$B$5000,$A$3:$A$5000,$A4213,$B$3:$B$5000,"&gt;"&amp;$B4213))</f>
        <v>46279.5987644961</v>
      </c>
    </row>
    <row r="4214" customFormat="false" ht="15" hidden="false" customHeight="true" outlineLevel="0" collapsed="false">
      <c r="A4214" s="42"/>
      <c r="B4214" s="42"/>
      <c r="C4214" s="42"/>
      <c r="D4214" s="42"/>
      <c r="E4214" s="42"/>
      <c r="F4214" s="51" t="n">
        <f aca="false">IF(OR(C4214="",D4214="",E4214="",E4214=0),0,C4214*D4214/E4214)</f>
        <v>0</v>
      </c>
      <c r="G4214" s="42"/>
      <c r="H4214" s="49" t="n">
        <f aca="true">IF(OR($A4214="",_xlfn.MINIFS($B$3:$B$5000,$A$3:$A$5000,$A4214,$B$3:$B$5000,"&gt;"&amp;$B4214)=0),NOW(),_xlfn.MINIFS($B$3:$B$5000,$A$3:$A$5000,$A4214,$B$3:$B$5000,"&gt;"&amp;$B4214))</f>
        <v>46279.5987644962</v>
      </c>
    </row>
    <row r="4215" customFormat="false" ht="15" hidden="false" customHeight="true" outlineLevel="0" collapsed="false">
      <c r="A4215" s="42"/>
      <c r="B4215" s="42"/>
      <c r="C4215" s="42"/>
      <c r="D4215" s="42"/>
      <c r="E4215" s="42"/>
      <c r="F4215" s="51" t="n">
        <f aca="false">IF(OR(C4215="",D4215="",E4215="",E4215=0),0,C4215*D4215/E4215)</f>
        <v>0</v>
      </c>
      <c r="G4215" s="42"/>
      <c r="H4215" s="49" t="n">
        <f aca="true">IF(OR($A4215="",_xlfn.MINIFS($B$3:$B$5000,$A$3:$A$5000,$A4215,$B$3:$B$5000,"&gt;"&amp;$B4215)=0),NOW(),_xlfn.MINIFS($B$3:$B$5000,$A$3:$A$5000,$A4215,$B$3:$B$5000,"&gt;"&amp;$B4215))</f>
        <v>46279.5987644962</v>
      </c>
    </row>
    <row r="4216" customFormat="false" ht="15" hidden="false" customHeight="true" outlineLevel="0" collapsed="false">
      <c r="A4216" s="42"/>
      <c r="B4216" s="42"/>
      <c r="C4216" s="42"/>
      <c r="D4216" s="42"/>
      <c r="E4216" s="42"/>
      <c r="F4216" s="51" t="n">
        <f aca="false">IF(OR(C4216="",D4216="",E4216="",E4216=0),0,C4216*D4216/E4216)</f>
        <v>0</v>
      </c>
      <c r="G4216" s="42"/>
      <c r="H4216" s="49" t="n">
        <f aca="true">IF(OR($A4216="",_xlfn.MINIFS($B$3:$B$5000,$A$3:$A$5000,$A4216,$B$3:$B$5000,"&gt;"&amp;$B4216)=0),NOW(),_xlfn.MINIFS($B$3:$B$5000,$A$3:$A$5000,$A4216,$B$3:$B$5000,"&gt;"&amp;$B4216))</f>
        <v>46279.5987644963</v>
      </c>
    </row>
    <row r="4217" customFormat="false" ht="15" hidden="false" customHeight="true" outlineLevel="0" collapsed="false">
      <c r="A4217" s="42"/>
      <c r="B4217" s="42"/>
      <c r="C4217" s="42"/>
      <c r="D4217" s="42"/>
      <c r="E4217" s="42"/>
      <c r="F4217" s="51" t="n">
        <f aca="false">IF(OR(C4217="",D4217="",E4217="",E4217=0),0,C4217*D4217/E4217)</f>
        <v>0</v>
      </c>
      <c r="G4217" s="42"/>
      <c r="H4217" s="49" t="n">
        <f aca="true">IF(OR($A4217="",_xlfn.MINIFS($B$3:$B$5000,$A$3:$A$5000,$A4217,$B$3:$B$5000,"&gt;"&amp;$B4217)=0),NOW(),_xlfn.MINIFS($B$3:$B$5000,$A$3:$A$5000,$A4217,$B$3:$B$5000,"&gt;"&amp;$B4217))</f>
        <v>46279.5987644963</v>
      </c>
    </row>
    <row r="4218" customFormat="false" ht="15" hidden="false" customHeight="true" outlineLevel="0" collapsed="false">
      <c r="A4218" s="42"/>
      <c r="B4218" s="42"/>
      <c r="C4218" s="42"/>
      <c r="D4218" s="42"/>
      <c r="E4218" s="42"/>
      <c r="F4218" s="51" t="n">
        <f aca="false">IF(OR(C4218="",D4218="",E4218="",E4218=0),0,C4218*D4218/E4218)</f>
        <v>0</v>
      </c>
      <c r="G4218" s="42"/>
      <c r="H4218" s="49" t="n">
        <f aca="true">IF(OR($A4218="",_xlfn.MINIFS($B$3:$B$5000,$A$3:$A$5000,$A4218,$B$3:$B$5000,"&gt;"&amp;$B4218)=0),NOW(),_xlfn.MINIFS($B$3:$B$5000,$A$3:$A$5000,$A4218,$B$3:$B$5000,"&gt;"&amp;$B4218))</f>
        <v>46279.5987644964</v>
      </c>
    </row>
    <row r="4219" customFormat="false" ht="15" hidden="false" customHeight="true" outlineLevel="0" collapsed="false">
      <c r="A4219" s="42"/>
      <c r="B4219" s="42"/>
      <c r="C4219" s="42"/>
      <c r="D4219" s="42"/>
      <c r="E4219" s="42"/>
      <c r="F4219" s="51" t="n">
        <f aca="false">IF(OR(C4219="",D4219="",E4219="",E4219=0),0,C4219*D4219/E4219)</f>
        <v>0</v>
      </c>
      <c r="G4219" s="42"/>
      <c r="H4219" s="49" t="n">
        <f aca="true">IF(OR($A4219="",_xlfn.MINIFS($B$3:$B$5000,$A$3:$A$5000,$A4219,$B$3:$B$5000,"&gt;"&amp;$B4219)=0),NOW(),_xlfn.MINIFS($B$3:$B$5000,$A$3:$A$5000,$A4219,$B$3:$B$5000,"&gt;"&amp;$B4219))</f>
        <v>46279.5987644964</v>
      </c>
    </row>
    <row r="4220" customFormat="false" ht="15" hidden="false" customHeight="true" outlineLevel="0" collapsed="false">
      <c r="A4220" s="42"/>
      <c r="B4220" s="42"/>
      <c r="C4220" s="42"/>
      <c r="D4220" s="42"/>
      <c r="E4220" s="42"/>
      <c r="F4220" s="51" t="n">
        <f aca="false">IF(OR(C4220="",D4220="",E4220="",E4220=0),0,C4220*D4220/E4220)</f>
        <v>0</v>
      </c>
      <c r="G4220" s="42"/>
      <c r="H4220" s="49" t="n">
        <f aca="true">IF(OR($A4220="",_xlfn.MINIFS($B$3:$B$5000,$A$3:$A$5000,$A4220,$B$3:$B$5000,"&gt;"&amp;$B4220)=0),NOW(),_xlfn.MINIFS($B$3:$B$5000,$A$3:$A$5000,$A4220,$B$3:$B$5000,"&gt;"&amp;$B4220))</f>
        <v>46279.5987644965</v>
      </c>
    </row>
    <row r="4221" customFormat="false" ht="15" hidden="false" customHeight="true" outlineLevel="0" collapsed="false">
      <c r="A4221" s="42"/>
      <c r="B4221" s="42"/>
      <c r="C4221" s="42"/>
      <c r="D4221" s="42"/>
      <c r="E4221" s="42"/>
      <c r="F4221" s="51" t="n">
        <f aca="false">IF(OR(C4221="",D4221="",E4221="",E4221=0),0,C4221*D4221/E4221)</f>
        <v>0</v>
      </c>
      <c r="G4221" s="42"/>
      <c r="H4221" s="49" t="n">
        <f aca="true">IF(OR($A4221="",_xlfn.MINIFS($B$3:$B$5000,$A$3:$A$5000,$A4221,$B$3:$B$5000,"&gt;"&amp;$B4221)=0),NOW(),_xlfn.MINIFS($B$3:$B$5000,$A$3:$A$5000,$A4221,$B$3:$B$5000,"&gt;"&amp;$B4221))</f>
        <v>46279.5987644965</v>
      </c>
    </row>
    <row r="4222" customFormat="false" ht="15" hidden="false" customHeight="true" outlineLevel="0" collapsed="false">
      <c r="A4222" s="42"/>
      <c r="B4222" s="42"/>
      <c r="C4222" s="42"/>
      <c r="D4222" s="42"/>
      <c r="E4222" s="42"/>
      <c r="F4222" s="51" t="n">
        <f aca="false">IF(OR(C4222="",D4222="",E4222="",E4222=0),0,C4222*D4222/E4222)</f>
        <v>0</v>
      </c>
      <c r="G4222" s="42"/>
      <c r="H4222" s="49" t="n">
        <f aca="true">IF(OR($A4222="",_xlfn.MINIFS($B$3:$B$5000,$A$3:$A$5000,$A4222,$B$3:$B$5000,"&gt;"&amp;$B4222)=0),NOW(),_xlfn.MINIFS($B$3:$B$5000,$A$3:$A$5000,$A4222,$B$3:$B$5000,"&gt;"&amp;$B4222))</f>
        <v>46279.5987644966</v>
      </c>
    </row>
    <row r="4223" customFormat="false" ht="15" hidden="false" customHeight="true" outlineLevel="0" collapsed="false">
      <c r="A4223" s="42"/>
      <c r="B4223" s="42"/>
      <c r="C4223" s="42"/>
      <c r="D4223" s="42"/>
      <c r="E4223" s="42"/>
      <c r="F4223" s="51" t="n">
        <f aca="false">IF(OR(C4223="",D4223="",E4223="",E4223=0),0,C4223*D4223/E4223)</f>
        <v>0</v>
      </c>
      <c r="G4223" s="42"/>
      <c r="H4223" s="49" t="n">
        <f aca="true">IF(OR($A4223="",_xlfn.MINIFS($B$3:$B$5000,$A$3:$A$5000,$A4223,$B$3:$B$5000,"&gt;"&amp;$B4223)=0),NOW(),_xlfn.MINIFS($B$3:$B$5000,$A$3:$A$5000,$A4223,$B$3:$B$5000,"&gt;"&amp;$B4223))</f>
        <v>46279.5987644966</v>
      </c>
    </row>
    <row r="4224" customFormat="false" ht="15" hidden="false" customHeight="true" outlineLevel="0" collapsed="false">
      <c r="A4224" s="42"/>
      <c r="B4224" s="42"/>
      <c r="C4224" s="42"/>
      <c r="D4224" s="42"/>
      <c r="E4224" s="42"/>
      <c r="F4224" s="51" t="n">
        <f aca="false">IF(OR(C4224="",D4224="",E4224="",E4224=0),0,C4224*D4224/E4224)</f>
        <v>0</v>
      </c>
      <c r="G4224" s="42"/>
      <c r="H4224" s="49" t="n">
        <f aca="true">IF(OR($A4224="",_xlfn.MINIFS($B$3:$B$5000,$A$3:$A$5000,$A4224,$B$3:$B$5000,"&gt;"&amp;$B4224)=0),NOW(),_xlfn.MINIFS($B$3:$B$5000,$A$3:$A$5000,$A4224,$B$3:$B$5000,"&gt;"&amp;$B4224))</f>
        <v>46279.5987644967</v>
      </c>
    </row>
    <row r="4225" customFormat="false" ht="15" hidden="false" customHeight="true" outlineLevel="0" collapsed="false">
      <c r="A4225" s="42"/>
      <c r="B4225" s="42"/>
      <c r="C4225" s="42"/>
      <c r="D4225" s="42"/>
      <c r="E4225" s="42"/>
      <c r="F4225" s="51" t="n">
        <f aca="false">IF(OR(C4225="",D4225="",E4225="",E4225=0),0,C4225*D4225/E4225)</f>
        <v>0</v>
      </c>
      <c r="G4225" s="42"/>
      <c r="H4225" s="49" t="n">
        <f aca="true">IF(OR($A4225="",_xlfn.MINIFS($B$3:$B$5000,$A$3:$A$5000,$A4225,$B$3:$B$5000,"&gt;"&amp;$B4225)=0),NOW(),_xlfn.MINIFS($B$3:$B$5000,$A$3:$A$5000,$A4225,$B$3:$B$5000,"&gt;"&amp;$B4225))</f>
        <v>46279.5987644967</v>
      </c>
    </row>
    <row r="4226" customFormat="false" ht="15" hidden="false" customHeight="true" outlineLevel="0" collapsed="false">
      <c r="A4226" s="42"/>
      <c r="B4226" s="42"/>
      <c r="C4226" s="42"/>
      <c r="D4226" s="42"/>
      <c r="E4226" s="42"/>
      <c r="F4226" s="51" t="n">
        <f aca="false">IF(OR(C4226="",D4226="",E4226="",E4226=0),0,C4226*D4226/E4226)</f>
        <v>0</v>
      </c>
      <c r="G4226" s="42"/>
      <c r="H4226" s="49" t="n">
        <f aca="true">IF(OR($A4226="",_xlfn.MINIFS($B$3:$B$5000,$A$3:$A$5000,$A4226,$B$3:$B$5000,"&gt;"&amp;$B4226)=0),NOW(),_xlfn.MINIFS($B$3:$B$5000,$A$3:$A$5000,$A4226,$B$3:$B$5000,"&gt;"&amp;$B4226))</f>
        <v>46279.5987644968</v>
      </c>
    </row>
    <row r="4227" customFormat="false" ht="15" hidden="false" customHeight="true" outlineLevel="0" collapsed="false">
      <c r="A4227" s="42"/>
      <c r="B4227" s="42"/>
      <c r="C4227" s="42"/>
      <c r="D4227" s="42"/>
      <c r="E4227" s="42"/>
      <c r="F4227" s="51" t="n">
        <f aca="false">IF(OR(C4227="",D4227="",E4227="",E4227=0),0,C4227*D4227/E4227)</f>
        <v>0</v>
      </c>
      <c r="G4227" s="42"/>
      <c r="H4227" s="49" t="n">
        <f aca="true">IF(OR($A4227="",_xlfn.MINIFS($B$3:$B$5000,$A$3:$A$5000,$A4227,$B$3:$B$5000,"&gt;"&amp;$B4227)=0),NOW(),_xlfn.MINIFS($B$3:$B$5000,$A$3:$A$5000,$A4227,$B$3:$B$5000,"&gt;"&amp;$B4227))</f>
        <v>46279.5987644968</v>
      </c>
    </row>
    <row r="4228" customFormat="false" ht="15" hidden="false" customHeight="true" outlineLevel="0" collapsed="false">
      <c r="A4228" s="42"/>
      <c r="B4228" s="42"/>
      <c r="C4228" s="42"/>
      <c r="D4228" s="42"/>
      <c r="E4228" s="42"/>
      <c r="F4228" s="51" t="n">
        <f aca="false">IF(OR(C4228="",D4228="",E4228="",E4228=0),0,C4228*D4228/E4228)</f>
        <v>0</v>
      </c>
      <c r="G4228" s="42"/>
      <c r="H4228" s="49" t="n">
        <f aca="true">IF(OR($A4228="",_xlfn.MINIFS($B$3:$B$5000,$A$3:$A$5000,$A4228,$B$3:$B$5000,"&gt;"&amp;$B4228)=0),NOW(),_xlfn.MINIFS($B$3:$B$5000,$A$3:$A$5000,$A4228,$B$3:$B$5000,"&gt;"&amp;$B4228))</f>
        <v>46279.5987644969</v>
      </c>
    </row>
    <row r="4229" customFormat="false" ht="15" hidden="false" customHeight="true" outlineLevel="0" collapsed="false">
      <c r="A4229" s="42"/>
      <c r="B4229" s="42"/>
      <c r="C4229" s="42"/>
      <c r="D4229" s="42"/>
      <c r="E4229" s="42"/>
      <c r="F4229" s="51" t="n">
        <f aca="false">IF(OR(C4229="",D4229="",E4229="",E4229=0),0,C4229*D4229/E4229)</f>
        <v>0</v>
      </c>
      <c r="G4229" s="42"/>
      <c r="H4229" s="49" t="n">
        <f aca="true">IF(OR($A4229="",_xlfn.MINIFS($B$3:$B$5000,$A$3:$A$5000,$A4229,$B$3:$B$5000,"&gt;"&amp;$B4229)=0),NOW(),_xlfn.MINIFS($B$3:$B$5000,$A$3:$A$5000,$A4229,$B$3:$B$5000,"&gt;"&amp;$B4229))</f>
        <v>46279.5987644969</v>
      </c>
    </row>
    <row r="4230" customFormat="false" ht="15" hidden="false" customHeight="true" outlineLevel="0" collapsed="false">
      <c r="A4230" s="42"/>
      <c r="B4230" s="42"/>
      <c r="C4230" s="42"/>
      <c r="D4230" s="42"/>
      <c r="E4230" s="42"/>
      <c r="F4230" s="51" t="n">
        <f aca="false">IF(OR(C4230="",D4230="",E4230="",E4230=0),0,C4230*D4230/E4230)</f>
        <v>0</v>
      </c>
      <c r="G4230" s="42"/>
      <c r="H4230" s="49" t="n">
        <f aca="true">IF(OR($A4230="",_xlfn.MINIFS($B$3:$B$5000,$A$3:$A$5000,$A4230,$B$3:$B$5000,"&gt;"&amp;$B4230)=0),NOW(),_xlfn.MINIFS($B$3:$B$5000,$A$3:$A$5000,$A4230,$B$3:$B$5000,"&gt;"&amp;$B4230))</f>
        <v>46279.598764497</v>
      </c>
    </row>
    <row r="4231" customFormat="false" ht="15" hidden="false" customHeight="true" outlineLevel="0" collapsed="false">
      <c r="A4231" s="42"/>
      <c r="B4231" s="42"/>
      <c r="C4231" s="42"/>
      <c r="D4231" s="42"/>
      <c r="E4231" s="42"/>
      <c r="F4231" s="51" t="n">
        <f aca="false">IF(OR(C4231="",D4231="",E4231="",E4231=0),0,C4231*D4231/E4231)</f>
        <v>0</v>
      </c>
      <c r="G4231" s="42"/>
      <c r="H4231" s="49" t="n">
        <f aca="true">IF(OR($A4231="",_xlfn.MINIFS($B$3:$B$5000,$A$3:$A$5000,$A4231,$B$3:$B$5000,"&gt;"&amp;$B4231)=0),NOW(),_xlfn.MINIFS($B$3:$B$5000,$A$3:$A$5000,$A4231,$B$3:$B$5000,"&gt;"&amp;$B4231))</f>
        <v>46279.598764497</v>
      </c>
    </row>
    <row r="4232" customFormat="false" ht="15" hidden="false" customHeight="true" outlineLevel="0" collapsed="false">
      <c r="A4232" s="42"/>
      <c r="B4232" s="42"/>
      <c r="C4232" s="42"/>
      <c r="D4232" s="42"/>
      <c r="E4232" s="42"/>
      <c r="F4232" s="51" t="n">
        <f aca="false">IF(OR(C4232="",D4232="",E4232="",E4232=0),0,C4232*D4232/E4232)</f>
        <v>0</v>
      </c>
      <c r="G4232" s="42"/>
      <c r="H4232" s="49" t="n">
        <f aca="true">IF(OR($A4232="",_xlfn.MINIFS($B$3:$B$5000,$A$3:$A$5000,$A4232,$B$3:$B$5000,"&gt;"&amp;$B4232)=0),NOW(),_xlfn.MINIFS($B$3:$B$5000,$A$3:$A$5000,$A4232,$B$3:$B$5000,"&gt;"&amp;$B4232))</f>
        <v>46279.5987644971</v>
      </c>
    </row>
    <row r="4233" customFormat="false" ht="15" hidden="false" customHeight="true" outlineLevel="0" collapsed="false">
      <c r="A4233" s="42"/>
      <c r="B4233" s="42"/>
      <c r="C4233" s="42"/>
      <c r="D4233" s="42"/>
      <c r="E4233" s="42"/>
      <c r="F4233" s="51" t="n">
        <f aca="false">IF(OR(C4233="",D4233="",E4233="",E4233=0),0,C4233*D4233/E4233)</f>
        <v>0</v>
      </c>
      <c r="G4233" s="42"/>
      <c r="H4233" s="49" t="n">
        <f aca="true">IF(OR($A4233="",_xlfn.MINIFS($B$3:$B$5000,$A$3:$A$5000,$A4233,$B$3:$B$5000,"&gt;"&amp;$B4233)=0),NOW(),_xlfn.MINIFS($B$3:$B$5000,$A$3:$A$5000,$A4233,$B$3:$B$5000,"&gt;"&amp;$B4233))</f>
        <v>46279.5987644971</v>
      </c>
    </row>
    <row r="4234" customFormat="false" ht="15" hidden="false" customHeight="true" outlineLevel="0" collapsed="false">
      <c r="A4234" s="42"/>
      <c r="B4234" s="42"/>
      <c r="C4234" s="42"/>
      <c r="D4234" s="42"/>
      <c r="E4234" s="42"/>
      <c r="F4234" s="51" t="n">
        <f aca="false">IF(OR(C4234="",D4234="",E4234="",E4234=0),0,C4234*D4234/E4234)</f>
        <v>0</v>
      </c>
      <c r="G4234" s="42"/>
      <c r="H4234" s="49" t="n">
        <f aca="true">IF(OR($A4234="",_xlfn.MINIFS($B$3:$B$5000,$A$3:$A$5000,$A4234,$B$3:$B$5000,"&gt;"&amp;$B4234)=0),NOW(),_xlfn.MINIFS($B$3:$B$5000,$A$3:$A$5000,$A4234,$B$3:$B$5000,"&gt;"&amp;$B4234))</f>
        <v>46279.5987644972</v>
      </c>
    </row>
    <row r="4235" customFormat="false" ht="15" hidden="false" customHeight="true" outlineLevel="0" collapsed="false">
      <c r="A4235" s="42"/>
      <c r="B4235" s="42"/>
      <c r="C4235" s="42"/>
      <c r="D4235" s="42"/>
      <c r="E4235" s="42"/>
      <c r="F4235" s="51" t="n">
        <f aca="false">IF(OR(C4235="",D4235="",E4235="",E4235=0),0,C4235*D4235/E4235)</f>
        <v>0</v>
      </c>
      <c r="G4235" s="42"/>
      <c r="H4235" s="49" t="n">
        <f aca="true">IF(OR($A4235="",_xlfn.MINIFS($B$3:$B$5000,$A$3:$A$5000,$A4235,$B$3:$B$5000,"&gt;"&amp;$B4235)=0),NOW(),_xlfn.MINIFS($B$3:$B$5000,$A$3:$A$5000,$A4235,$B$3:$B$5000,"&gt;"&amp;$B4235))</f>
        <v>46279.5987644972</v>
      </c>
    </row>
    <row r="4236" customFormat="false" ht="15" hidden="false" customHeight="true" outlineLevel="0" collapsed="false">
      <c r="A4236" s="42"/>
      <c r="B4236" s="42"/>
      <c r="C4236" s="42"/>
      <c r="D4236" s="42"/>
      <c r="E4236" s="42"/>
      <c r="F4236" s="51" t="n">
        <f aca="false">IF(OR(C4236="",D4236="",E4236="",E4236=0),0,C4236*D4236/E4236)</f>
        <v>0</v>
      </c>
      <c r="G4236" s="42"/>
      <c r="H4236" s="49" t="n">
        <f aca="true">IF(OR($A4236="",_xlfn.MINIFS($B$3:$B$5000,$A$3:$A$5000,$A4236,$B$3:$B$5000,"&gt;"&amp;$B4236)=0),NOW(),_xlfn.MINIFS($B$3:$B$5000,$A$3:$A$5000,$A4236,$B$3:$B$5000,"&gt;"&amp;$B4236))</f>
        <v>46279.5987644973</v>
      </c>
    </row>
    <row r="4237" customFormat="false" ht="15" hidden="false" customHeight="true" outlineLevel="0" collapsed="false">
      <c r="A4237" s="42"/>
      <c r="B4237" s="42"/>
      <c r="C4237" s="42"/>
      <c r="D4237" s="42"/>
      <c r="E4237" s="42"/>
      <c r="F4237" s="51" t="n">
        <f aca="false">IF(OR(C4237="",D4237="",E4237="",E4237=0),0,C4237*D4237/E4237)</f>
        <v>0</v>
      </c>
      <c r="G4237" s="42"/>
      <c r="H4237" s="49" t="n">
        <f aca="true">IF(OR($A4237="",_xlfn.MINIFS($B$3:$B$5000,$A$3:$A$5000,$A4237,$B$3:$B$5000,"&gt;"&amp;$B4237)=0),NOW(),_xlfn.MINIFS($B$3:$B$5000,$A$3:$A$5000,$A4237,$B$3:$B$5000,"&gt;"&amp;$B4237))</f>
        <v>46279.5987644973</v>
      </c>
    </row>
    <row r="4238" customFormat="false" ht="15" hidden="false" customHeight="true" outlineLevel="0" collapsed="false">
      <c r="A4238" s="42"/>
      <c r="B4238" s="42"/>
      <c r="C4238" s="42"/>
      <c r="D4238" s="42"/>
      <c r="E4238" s="42"/>
      <c r="F4238" s="51" t="n">
        <f aca="false">IF(OR(C4238="",D4238="",E4238="",E4238=0),0,C4238*D4238/E4238)</f>
        <v>0</v>
      </c>
      <c r="G4238" s="42"/>
      <c r="H4238" s="49" t="n">
        <f aca="true">IF(OR($A4238="",_xlfn.MINIFS($B$3:$B$5000,$A$3:$A$5000,$A4238,$B$3:$B$5000,"&gt;"&amp;$B4238)=0),NOW(),_xlfn.MINIFS($B$3:$B$5000,$A$3:$A$5000,$A4238,$B$3:$B$5000,"&gt;"&amp;$B4238))</f>
        <v>46279.5987644974</v>
      </c>
    </row>
    <row r="4239" customFormat="false" ht="15" hidden="false" customHeight="true" outlineLevel="0" collapsed="false">
      <c r="A4239" s="42"/>
      <c r="B4239" s="42"/>
      <c r="C4239" s="42"/>
      <c r="D4239" s="42"/>
      <c r="E4239" s="42"/>
      <c r="F4239" s="51" t="n">
        <f aca="false">IF(OR(C4239="",D4239="",E4239="",E4239=0),0,C4239*D4239/E4239)</f>
        <v>0</v>
      </c>
      <c r="G4239" s="42"/>
      <c r="H4239" s="49" t="n">
        <f aca="true">IF(OR($A4239="",_xlfn.MINIFS($B$3:$B$5000,$A$3:$A$5000,$A4239,$B$3:$B$5000,"&gt;"&amp;$B4239)=0),NOW(),_xlfn.MINIFS($B$3:$B$5000,$A$3:$A$5000,$A4239,$B$3:$B$5000,"&gt;"&amp;$B4239))</f>
        <v>46279.5987644974</v>
      </c>
    </row>
    <row r="4240" customFormat="false" ht="15" hidden="false" customHeight="true" outlineLevel="0" collapsed="false">
      <c r="A4240" s="42"/>
      <c r="B4240" s="42"/>
      <c r="C4240" s="42"/>
      <c r="D4240" s="42"/>
      <c r="E4240" s="42"/>
      <c r="F4240" s="51" t="n">
        <f aca="false">IF(OR(C4240="",D4240="",E4240="",E4240=0),0,C4240*D4240/E4240)</f>
        <v>0</v>
      </c>
      <c r="G4240" s="42"/>
      <c r="H4240" s="49" t="n">
        <f aca="true">IF(OR($A4240="",_xlfn.MINIFS($B$3:$B$5000,$A$3:$A$5000,$A4240,$B$3:$B$5000,"&gt;"&amp;$B4240)=0),NOW(),_xlfn.MINIFS($B$3:$B$5000,$A$3:$A$5000,$A4240,$B$3:$B$5000,"&gt;"&amp;$B4240))</f>
        <v>46279.5987644975</v>
      </c>
    </row>
    <row r="4241" customFormat="false" ht="15" hidden="false" customHeight="true" outlineLevel="0" collapsed="false">
      <c r="A4241" s="42"/>
      <c r="B4241" s="42"/>
      <c r="C4241" s="42"/>
      <c r="D4241" s="42"/>
      <c r="E4241" s="42"/>
      <c r="F4241" s="51" t="n">
        <f aca="false">IF(OR(C4241="",D4241="",E4241="",E4241=0),0,C4241*D4241/E4241)</f>
        <v>0</v>
      </c>
      <c r="G4241" s="42"/>
      <c r="H4241" s="49" t="n">
        <f aca="true">IF(OR($A4241="",_xlfn.MINIFS($B$3:$B$5000,$A$3:$A$5000,$A4241,$B$3:$B$5000,"&gt;"&amp;$B4241)=0),NOW(),_xlfn.MINIFS($B$3:$B$5000,$A$3:$A$5000,$A4241,$B$3:$B$5000,"&gt;"&amp;$B4241))</f>
        <v>46279.5987644975</v>
      </c>
    </row>
    <row r="4242" customFormat="false" ht="15" hidden="false" customHeight="true" outlineLevel="0" collapsed="false">
      <c r="A4242" s="42"/>
      <c r="B4242" s="42"/>
      <c r="C4242" s="42"/>
      <c r="D4242" s="42"/>
      <c r="E4242" s="42"/>
      <c r="F4242" s="51" t="n">
        <f aca="false">IF(OR(C4242="",D4242="",E4242="",E4242=0),0,C4242*D4242/E4242)</f>
        <v>0</v>
      </c>
      <c r="G4242" s="42"/>
      <c r="H4242" s="49" t="n">
        <f aca="true">IF(OR($A4242="",_xlfn.MINIFS($B$3:$B$5000,$A$3:$A$5000,$A4242,$B$3:$B$5000,"&gt;"&amp;$B4242)=0),NOW(),_xlfn.MINIFS($B$3:$B$5000,$A$3:$A$5000,$A4242,$B$3:$B$5000,"&gt;"&amp;$B4242))</f>
        <v>46279.5987644976</v>
      </c>
    </row>
    <row r="4243" customFormat="false" ht="15" hidden="false" customHeight="true" outlineLevel="0" collapsed="false">
      <c r="A4243" s="42"/>
      <c r="B4243" s="42"/>
      <c r="C4243" s="42"/>
      <c r="D4243" s="42"/>
      <c r="E4243" s="42"/>
      <c r="F4243" s="51" t="n">
        <f aca="false">IF(OR(C4243="",D4243="",E4243="",E4243=0),0,C4243*D4243/E4243)</f>
        <v>0</v>
      </c>
      <c r="G4243" s="42"/>
      <c r="H4243" s="49" t="n">
        <f aca="true">IF(OR($A4243="",_xlfn.MINIFS($B$3:$B$5000,$A$3:$A$5000,$A4243,$B$3:$B$5000,"&gt;"&amp;$B4243)=0),NOW(),_xlfn.MINIFS($B$3:$B$5000,$A$3:$A$5000,$A4243,$B$3:$B$5000,"&gt;"&amp;$B4243))</f>
        <v>46279.5987644976</v>
      </c>
    </row>
    <row r="4244" customFormat="false" ht="15" hidden="false" customHeight="true" outlineLevel="0" collapsed="false">
      <c r="A4244" s="42"/>
      <c r="B4244" s="42"/>
      <c r="C4244" s="42"/>
      <c r="D4244" s="42"/>
      <c r="E4244" s="42"/>
      <c r="F4244" s="51" t="n">
        <f aca="false">IF(OR(C4244="",D4244="",E4244="",E4244=0),0,C4244*D4244/E4244)</f>
        <v>0</v>
      </c>
      <c r="G4244" s="42"/>
      <c r="H4244" s="49" t="n">
        <f aca="true">IF(OR($A4244="",_xlfn.MINIFS($B$3:$B$5000,$A$3:$A$5000,$A4244,$B$3:$B$5000,"&gt;"&amp;$B4244)=0),NOW(),_xlfn.MINIFS($B$3:$B$5000,$A$3:$A$5000,$A4244,$B$3:$B$5000,"&gt;"&amp;$B4244))</f>
        <v>46279.5987644977</v>
      </c>
    </row>
    <row r="4245" customFormat="false" ht="15" hidden="false" customHeight="true" outlineLevel="0" collapsed="false">
      <c r="A4245" s="42"/>
      <c r="B4245" s="42"/>
      <c r="C4245" s="42"/>
      <c r="D4245" s="42"/>
      <c r="E4245" s="42"/>
      <c r="F4245" s="51" t="n">
        <f aca="false">IF(OR(C4245="",D4245="",E4245="",E4245=0),0,C4245*D4245/E4245)</f>
        <v>0</v>
      </c>
      <c r="G4245" s="42"/>
      <c r="H4245" s="49" t="n">
        <f aca="true">IF(OR($A4245="",_xlfn.MINIFS($B$3:$B$5000,$A$3:$A$5000,$A4245,$B$3:$B$5000,"&gt;"&amp;$B4245)=0),NOW(),_xlfn.MINIFS($B$3:$B$5000,$A$3:$A$5000,$A4245,$B$3:$B$5000,"&gt;"&amp;$B4245))</f>
        <v>46279.5987644977</v>
      </c>
    </row>
    <row r="4246" customFormat="false" ht="15" hidden="false" customHeight="true" outlineLevel="0" collapsed="false">
      <c r="A4246" s="42"/>
      <c r="B4246" s="42"/>
      <c r="C4246" s="42"/>
      <c r="D4246" s="42"/>
      <c r="E4246" s="42"/>
      <c r="F4246" s="51" t="n">
        <f aca="false">IF(OR(C4246="",D4246="",E4246="",E4246=0),0,C4246*D4246/E4246)</f>
        <v>0</v>
      </c>
      <c r="G4246" s="42"/>
      <c r="H4246" s="49" t="n">
        <f aca="true">IF(OR($A4246="",_xlfn.MINIFS($B$3:$B$5000,$A$3:$A$5000,$A4246,$B$3:$B$5000,"&gt;"&amp;$B4246)=0),NOW(),_xlfn.MINIFS($B$3:$B$5000,$A$3:$A$5000,$A4246,$B$3:$B$5000,"&gt;"&amp;$B4246))</f>
        <v>46279.5987644978</v>
      </c>
    </row>
    <row r="4247" customFormat="false" ht="15" hidden="false" customHeight="true" outlineLevel="0" collapsed="false">
      <c r="A4247" s="42"/>
      <c r="B4247" s="42"/>
      <c r="C4247" s="42"/>
      <c r="D4247" s="42"/>
      <c r="E4247" s="42"/>
      <c r="F4247" s="51" t="n">
        <f aca="false">IF(OR(C4247="",D4247="",E4247="",E4247=0),0,C4247*D4247/E4247)</f>
        <v>0</v>
      </c>
      <c r="G4247" s="42"/>
      <c r="H4247" s="49" t="n">
        <f aca="true">IF(OR($A4247="",_xlfn.MINIFS($B$3:$B$5000,$A$3:$A$5000,$A4247,$B$3:$B$5000,"&gt;"&amp;$B4247)=0),NOW(),_xlfn.MINIFS($B$3:$B$5000,$A$3:$A$5000,$A4247,$B$3:$B$5000,"&gt;"&amp;$B4247))</f>
        <v>46279.5987644978</v>
      </c>
    </row>
    <row r="4248" customFormat="false" ht="15" hidden="false" customHeight="true" outlineLevel="0" collapsed="false">
      <c r="A4248" s="42"/>
      <c r="B4248" s="42"/>
      <c r="C4248" s="42"/>
      <c r="D4248" s="42"/>
      <c r="E4248" s="42"/>
      <c r="F4248" s="51" t="n">
        <f aca="false">IF(OR(C4248="",D4248="",E4248="",E4248=0),0,C4248*D4248/E4248)</f>
        <v>0</v>
      </c>
      <c r="G4248" s="42"/>
      <c r="H4248" s="49" t="n">
        <f aca="true">IF(OR($A4248="",_xlfn.MINIFS($B$3:$B$5000,$A$3:$A$5000,$A4248,$B$3:$B$5000,"&gt;"&amp;$B4248)=0),NOW(),_xlfn.MINIFS($B$3:$B$5000,$A$3:$A$5000,$A4248,$B$3:$B$5000,"&gt;"&amp;$B4248))</f>
        <v>46279.5987644982</v>
      </c>
    </row>
    <row r="4249" customFormat="false" ht="15" hidden="false" customHeight="true" outlineLevel="0" collapsed="false">
      <c r="A4249" s="42"/>
      <c r="B4249" s="42"/>
      <c r="C4249" s="42"/>
      <c r="D4249" s="42"/>
      <c r="E4249" s="42"/>
      <c r="F4249" s="51" t="n">
        <f aca="false">IF(OR(C4249="",D4249="",E4249="",E4249=0),0,C4249*D4249/E4249)</f>
        <v>0</v>
      </c>
      <c r="G4249" s="42"/>
      <c r="H4249" s="49" t="n">
        <f aca="true">IF(OR($A4249="",_xlfn.MINIFS($B$3:$B$5000,$A$3:$A$5000,$A4249,$B$3:$B$5000,"&gt;"&amp;$B4249)=0),NOW(),_xlfn.MINIFS($B$3:$B$5000,$A$3:$A$5000,$A4249,$B$3:$B$5000,"&gt;"&amp;$B4249))</f>
        <v>46279.5987644982</v>
      </c>
    </row>
    <row r="4250" customFormat="false" ht="15" hidden="false" customHeight="true" outlineLevel="0" collapsed="false">
      <c r="A4250" s="42"/>
      <c r="B4250" s="42"/>
      <c r="C4250" s="42"/>
      <c r="D4250" s="42"/>
      <c r="E4250" s="42"/>
      <c r="F4250" s="51" t="n">
        <f aca="false">IF(OR(C4250="",D4250="",E4250="",E4250=0),0,C4250*D4250/E4250)</f>
        <v>0</v>
      </c>
      <c r="G4250" s="42"/>
      <c r="H4250" s="49" t="n">
        <f aca="true">IF(OR($A4250="",_xlfn.MINIFS($B$3:$B$5000,$A$3:$A$5000,$A4250,$B$3:$B$5000,"&gt;"&amp;$B4250)=0),NOW(),_xlfn.MINIFS($B$3:$B$5000,$A$3:$A$5000,$A4250,$B$3:$B$5000,"&gt;"&amp;$B4250))</f>
        <v>46279.5987644983</v>
      </c>
    </row>
    <row r="4251" customFormat="false" ht="15" hidden="false" customHeight="true" outlineLevel="0" collapsed="false">
      <c r="A4251" s="42"/>
      <c r="B4251" s="42"/>
      <c r="C4251" s="42"/>
      <c r="D4251" s="42"/>
      <c r="E4251" s="42"/>
      <c r="F4251" s="51" t="n">
        <f aca="false">IF(OR(C4251="",D4251="",E4251="",E4251=0),0,C4251*D4251/E4251)</f>
        <v>0</v>
      </c>
      <c r="G4251" s="42"/>
      <c r="H4251" s="49" t="n">
        <f aca="true">IF(OR($A4251="",_xlfn.MINIFS($B$3:$B$5000,$A$3:$A$5000,$A4251,$B$3:$B$5000,"&gt;"&amp;$B4251)=0),NOW(),_xlfn.MINIFS($B$3:$B$5000,$A$3:$A$5000,$A4251,$B$3:$B$5000,"&gt;"&amp;$B4251))</f>
        <v>46279.5987644983</v>
      </c>
    </row>
    <row r="4252" customFormat="false" ht="15" hidden="false" customHeight="true" outlineLevel="0" collapsed="false">
      <c r="A4252" s="42"/>
      <c r="B4252" s="42"/>
      <c r="C4252" s="42"/>
      <c r="D4252" s="42"/>
      <c r="E4252" s="42"/>
      <c r="F4252" s="51" t="n">
        <f aca="false">IF(OR(C4252="",D4252="",E4252="",E4252=0),0,C4252*D4252/E4252)</f>
        <v>0</v>
      </c>
      <c r="G4252" s="42"/>
      <c r="H4252" s="49" t="n">
        <f aca="true">IF(OR($A4252="",_xlfn.MINIFS($B$3:$B$5000,$A$3:$A$5000,$A4252,$B$3:$B$5000,"&gt;"&amp;$B4252)=0),NOW(),_xlfn.MINIFS($B$3:$B$5000,$A$3:$A$5000,$A4252,$B$3:$B$5000,"&gt;"&amp;$B4252))</f>
        <v>46279.5987644984</v>
      </c>
    </row>
    <row r="4253" customFormat="false" ht="15" hidden="false" customHeight="true" outlineLevel="0" collapsed="false">
      <c r="A4253" s="42"/>
      <c r="B4253" s="42"/>
      <c r="C4253" s="42"/>
      <c r="D4253" s="42"/>
      <c r="E4253" s="42"/>
      <c r="F4253" s="51" t="n">
        <f aca="false">IF(OR(C4253="",D4253="",E4253="",E4253=0),0,C4253*D4253/E4253)</f>
        <v>0</v>
      </c>
      <c r="G4253" s="42"/>
      <c r="H4253" s="49" t="n">
        <f aca="true">IF(OR($A4253="",_xlfn.MINIFS($B$3:$B$5000,$A$3:$A$5000,$A4253,$B$3:$B$5000,"&gt;"&amp;$B4253)=0),NOW(),_xlfn.MINIFS($B$3:$B$5000,$A$3:$A$5000,$A4253,$B$3:$B$5000,"&gt;"&amp;$B4253))</f>
        <v>46279.5987644984</v>
      </c>
    </row>
    <row r="4254" customFormat="false" ht="15" hidden="false" customHeight="true" outlineLevel="0" collapsed="false">
      <c r="A4254" s="42"/>
      <c r="B4254" s="42"/>
      <c r="C4254" s="42"/>
      <c r="D4254" s="42"/>
      <c r="E4254" s="42"/>
      <c r="F4254" s="51" t="n">
        <f aca="false">IF(OR(C4254="",D4254="",E4254="",E4254=0),0,C4254*D4254/E4254)</f>
        <v>0</v>
      </c>
      <c r="G4254" s="42"/>
      <c r="H4254" s="49" t="n">
        <f aca="true">IF(OR($A4254="",_xlfn.MINIFS($B$3:$B$5000,$A$3:$A$5000,$A4254,$B$3:$B$5000,"&gt;"&amp;$B4254)=0),NOW(),_xlfn.MINIFS($B$3:$B$5000,$A$3:$A$5000,$A4254,$B$3:$B$5000,"&gt;"&amp;$B4254))</f>
        <v>46279.5987644985</v>
      </c>
    </row>
    <row r="4255" customFormat="false" ht="15" hidden="false" customHeight="true" outlineLevel="0" collapsed="false">
      <c r="A4255" s="42"/>
      <c r="B4255" s="42"/>
      <c r="C4255" s="42"/>
      <c r="D4255" s="42"/>
      <c r="E4255" s="42"/>
      <c r="F4255" s="51" t="n">
        <f aca="false">IF(OR(C4255="",D4255="",E4255="",E4255=0),0,C4255*D4255/E4255)</f>
        <v>0</v>
      </c>
      <c r="G4255" s="42"/>
      <c r="H4255" s="49" t="n">
        <f aca="true">IF(OR($A4255="",_xlfn.MINIFS($B$3:$B$5000,$A$3:$A$5000,$A4255,$B$3:$B$5000,"&gt;"&amp;$B4255)=0),NOW(),_xlfn.MINIFS($B$3:$B$5000,$A$3:$A$5000,$A4255,$B$3:$B$5000,"&gt;"&amp;$B4255))</f>
        <v>46279.5987644985</v>
      </c>
    </row>
    <row r="4256" customFormat="false" ht="15" hidden="false" customHeight="true" outlineLevel="0" collapsed="false">
      <c r="A4256" s="42"/>
      <c r="B4256" s="42"/>
      <c r="C4256" s="42"/>
      <c r="D4256" s="42"/>
      <c r="E4256" s="42"/>
      <c r="F4256" s="51" t="n">
        <f aca="false">IF(OR(C4256="",D4256="",E4256="",E4256=0),0,C4256*D4256/E4256)</f>
        <v>0</v>
      </c>
      <c r="G4256" s="42"/>
      <c r="H4256" s="49" t="n">
        <f aca="true">IF(OR($A4256="",_xlfn.MINIFS($B$3:$B$5000,$A$3:$A$5000,$A4256,$B$3:$B$5000,"&gt;"&amp;$B4256)=0),NOW(),_xlfn.MINIFS($B$3:$B$5000,$A$3:$A$5000,$A4256,$B$3:$B$5000,"&gt;"&amp;$B4256))</f>
        <v>46279.5987644986</v>
      </c>
    </row>
    <row r="4257" customFormat="false" ht="15" hidden="false" customHeight="true" outlineLevel="0" collapsed="false">
      <c r="A4257" s="42"/>
      <c r="B4257" s="42"/>
      <c r="C4257" s="42"/>
      <c r="D4257" s="42"/>
      <c r="E4257" s="42"/>
      <c r="F4257" s="51" t="n">
        <f aca="false">IF(OR(C4257="",D4257="",E4257="",E4257=0),0,C4257*D4257/E4257)</f>
        <v>0</v>
      </c>
      <c r="G4257" s="42"/>
      <c r="H4257" s="49" t="n">
        <f aca="true">IF(OR($A4257="",_xlfn.MINIFS($B$3:$B$5000,$A$3:$A$5000,$A4257,$B$3:$B$5000,"&gt;"&amp;$B4257)=0),NOW(),_xlfn.MINIFS($B$3:$B$5000,$A$3:$A$5000,$A4257,$B$3:$B$5000,"&gt;"&amp;$B4257))</f>
        <v>46279.5987644986</v>
      </c>
    </row>
    <row r="4258" customFormat="false" ht="15" hidden="false" customHeight="true" outlineLevel="0" collapsed="false">
      <c r="A4258" s="42"/>
      <c r="B4258" s="42"/>
      <c r="C4258" s="42"/>
      <c r="D4258" s="42"/>
      <c r="E4258" s="42"/>
      <c r="F4258" s="51" t="n">
        <f aca="false">IF(OR(C4258="",D4258="",E4258="",E4258=0),0,C4258*D4258/E4258)</f>
        <v>0</v>
      </c>
      <c r="G4258" s="42"/>
      <c r="H4258" s="49" t="n">
        <f aca="true">IF(OR($A4258="",_xlfn.MINIFS($B$3:$B$5000,$A$3:$A$5000,$A4258,$B$3:$B$5000,"&gt;"&amp;$B4258)=0),NOW(),_xlfn.MINIFS($B$3:$B$5000,$A$3:$A$5000,$A4258,$B$3:$B$5000,"&gt;"&amp;$B4258))</f>
        <v>46279.5987644987</v>
      </c>
    </row>
    <row r="4259" customFormat="false" ht="15" hidden="false" customHeight="true" outlineLevel="0" collapsed="false">
      <c r="A4259" s="42"/>
      <c r="B4259" s="42"/>
      <c r="C4259" s="42"/>
      <c r="D4259" s="42"/>
      <c r="E4259" s="42"/>
      <c r="F4259" s="51" t="n">
        <f aca="false">IF(OR(C4259="",D4259="",E4259="",E4259=0),0,C4259*D4259/E4259)</f>
        <v>0</v>
      </c>
      <c r="G4259" s="42"/>
      <c r="H4259" s="49" t="n">
        <f aca="true">IF(OR($A4259="",_xlfn.MINIFS($B$3:$B$5000,$A$3:$A$5000,$A4259,$B$3:$B$5000,"&gt;"&amp;$B4259)=0),NOW(),_xlfn.MINIFS($B$3:$B$5000,$A$3:$A$5000,$A4259,$B$3:$B$5000,"&gt;"&amp;$B4259))</f>
        <v>46279.5987644987</v>
      </c>
    </row>
    <row r="4260" customFormat="false" ht="15" hidden="false" customHeight="true" outlineLevel="0" collapsed="false">
      <c r="A4260" s="42"/>
      <c r="B4260" s="42"/>
      <c r="C4260" s="42"/>
      <c r="D4260" s="42"/>
      <c r="E4260" s="42"/>
      <c r="F4260" s="51" t="n">
        <f aca="false">IF(OR(C4260="",D4260="",E4260="",E4260=0),0,C4260*D4260/E4260)</f>
        <v>0</v>
      </c>
      <c r="G4260" s="42"/>
      <c r="H4260" s="49" t="n">
        <f aca="true">IF(OR($A4260="",_xlfn.MINIFS($B$3:$B$5000,$A$3:$A$5000,$A4260,$B$3:$B$5000,"&gt;"&amp;$B4260)=0),NOW(),_xlfn.MINIFS($B$3:$B$5000,$A$3:$A$5000,$A4260,$B$3:$B$5000,"&gt;"&amp;$B4260))</f>
        <v>46279.5987644989</v>
      </c>
    </row>
    <row r="4261" customFormat="false" ht="15" hidden="false" customHeight="true" outlineLevel="0" collapsed="false">
      <c r="A4261" s="42"/>
      <c r="B4261" s="42"/>
      <c r="C4261" s="42"/>
      <c r="D4261" s="42"/>
      <c r="E4261" s="42"/>
      <c r="F4261" s="51" t="n">
        <f aca="false">IF(OR(C4261="",D4261="",E4261="",E4261=0),0,C4261*D4261/E4261)</f>
        <v>0</v>
      </c>
      <c r="G4261" s="42"/>
      <c r="H4261" s="49" t="n">
        <f aca="true">IF(OR($A4261="",_xlfn.MINIFS($B$3:$B$5000,$A$3:$A$5000,$A4261,$B$3:$B$5000,"&gt;"&amp;$B4261)=0),NOW(),_xlfn.MINIFS($B$3:$B$5000,$A$3:$A$5000,$A4261,$B$3:$B$5000,"&gt;"&amp;$B4261))</f>
        <v>46279.5987644989</v>
      </c>
    </row>
    <row r="4262" customFormat="false" ht="15" hidden="false" customHeight="true" outlineLevel="0" collapsed="false">
      <c r="A4262" s="42"/>
      <c r="B4262" s="42"/>
      <c r="C4262" s="42"/>
      <c r="D4262" s="42"/>
      <c r="E4262" s="42"/>
      <c r="F4262" s="51" t="n">
        <f aca="false">IF(OR(C4262="",D4262="",E4262="",E4262=0),0,C4262*D4262/E4262)</f>
        <v>0</v>
      </c>
      <c r="G4262" s="42"/>
      <c r="H4262" s="49" t="n">
        <f aca="true">IF(OR($A4262="",_xlfn.MINIFS($B$3:$B$5000,$A$3:$A$5000,$A4262,$B$3:$B$5000,"&gt;"&amp;$B4262)=0),NOW(),_xlfn.MINIFS($B$3:$B$5000,$A$3:$A$5000,$A4262,$B$3:$B$5000,"&gt;"&amp;$B4262))</f>
        <v>46279.598764499</v>
      </c>
    </row>
    <row r="4263" customFormat="false" ht="15" hidden="false" customHeight="true" outlineLevel="0" collapsed="false">
      <c r="A4263" s="42"/>
      <c r="B4263" s="42"/>
      <c r="C4263" s="42"/>
      <c r="D4263" s="42"/>
      <c r="E4263" s="42"/>
      <c r="F4263" s="51" t="n">
        <f aca="false">IF(OR(C4263="",D4263="",E4263="",E4263=0),0,C4263*D4263/E4263)</f>
        <v>0</v>
      </c>
      <c r="G4263" s="42"/>
      <c r="H4263" s="49" t="n">
        <f aca="true">IF(OR($A4263="",_xlfn.MINIFS($B$3:$B$5000,$A$3:$A$5000,$A4263,$B$3:$B$5000,"&gt;"&amp;$B4263)=0),NOW(),_xlfn.MINIFS($B$3:$B$5000,$A$3:$A$5000,$A4263,$B$3:$B$5000,"&gt;"&amp;$B4263))</f>
        <v>46279.598764499</v>
      </c>
    </row>
    <row r="4264" customFormat="false" ht="15" hidden="false" customHeight="true" outlineLevel="0" collapsed="false">
      <c r="A4264" s="42"/>
      <c r="B4264" s="42"/>
      <c r="C4264" s="42"/>
      <c r="D4264" s="42"/>
      <c r="E4264" s="42"/>
      <c r="F4264" s="51" t="n">
        <f aca="false">IF(OR(C4264="",D4264="",E4264="",E4264=0),0,C4264*D4264/E4264)</f>
        <v>0</v>
      </c>
      <c r="G4264" s="42"/>
      <c r="H4264" s="49" t="n">
        <f aca="true">IF(OR($A4264="",_xlfn.MINIFS($B$3:$B$5000,$A$3:$A$5000,$A4264,$B$3:$B$5000,"&gt;"&amp;$B4264)=0),NOW(),_xlfn.MINIFS($B$3:$B$5000,$A$3:$A$5000,$A4264,$B$3:$B$5000,"&gt;"&amp;$B4264))</f>
        <v>46279.5987644991</v>
      </c>
    </row>
    <row r="4265" customFormat="false" ht="15" hidden="false" customHeight="true" outlineLevel="0" collapsed="false">
      <c r="A4265" s="42"/>
      <c r="B4265" s="42"/>
      <c r="C4265" s="42"/>
      <c r="D4265" s="42"/>
      <c r="E4265" s="42"/>
      <c r="F4265" s="51" t="n">
        <f aca="false">IF(OR(C4265="",D4265="",E4265="",E4265=0),0,C4265*D4265/E4265)</f>
        <v>0</v>
      </c>
      <c r="G4265" s="42"/>
      <c r="H4265" s="49" t="n">
        <f aca="true">IF(OR($A4265="",_xlfn.MINIFS($B$3:$B$5000,$A$3:$A$5000,$A4265,$B$3:$B$5000,"&gt;"&amp;$B4265)=0),NOW(),_xlfn.MINIFS($B$3:$B$5000,$A$3:$A$5000,$A4265,$B$3:$B$5000,"&gt;"&amp;$B4265))</f>
        <v>46279.5987644991</v>
      </c>
    </row>
    <row r="4266" customFormat="false" ht="15" hidden="false" customHeight="true" outlineLevel="0" collapsed="false">
      <c r="A4266" s="42"/>
      <c r="B4266" s="42"/>
      <c r="C4266" s="42"/>
      <c r="D4266" s="42"/>
      <c r="E4266" s="42"/>
      <c r="F4266" s="51" t="n">
        <f aca="false">IF(OR(C4266="",D4266="",E4266="",E4266=0),0,C4266*D4266/E4266)</f>
        <v>0</v>
      </c>
      <c r="G4266" s="42"/>
      <c r="H4266" s="49" t="n">
        <f aca="true">IF(OR($A4266="",_xlfn.MINIFS($B$3:$B$5000,$A$3:$A$5000,$A4266,$B$3:$B$5000,"&gt;"&amp;$B4266)=0),NOW(),_xlfn.MINIFS($B$3:$B$5000,$A$3:$A$5000,$A4266,$B$3:$B$5000,"&gt;"&amp;$B4266))</f>
        <v>46279.5987644992</v>
      </c>
    </row>
    <row r="4267" customFormat="false" ht="15" hidden="false" customHeight="true" outlineLevel="0" collapsed="false">
      <c r="A4267" s="42"/>
      <c r="B4267" s="42"/>
      <c r="C4267" s="42"/>
      <c r="D4267" s="42"/>
      <c r="E4267" s="42"/>
      <c r="F4267" s="51" t="n">
        <f aca="false">IF(OR(C4267="",D4267="",E4267="",E4267=0),0,C4267*D4267/E4267)</f>
        <v>0</v>
      </c>
      <c r="G4267" s="42"/>
      <c r="H4267" s="49" t="n">
        <f aca="true">IF(OR($A4267="",_xlfn.MINIFS($B$3:$B$5000,$A$3:$A$5000,$A4267,$B$3:$B$5000,"&gt;"&amp;$B4267)=0),NOW(),_xlfn.MINIFS($B$3:$B$5000,$A$3:$A$5000,$A4267,$B$3:$B$5000,"&gt;"&amp;$B4267))</f>
        <v>46279.5987644992</v>
      </c>
    </row>
    <row r="4268" customFormat="false" ht="15" hidden="false" customHeight="true" outlineLevel="0" collapsed="false">
      <c r="A4268" s="42"/>
      <c r="B4268" s="42"/>
      <c r="C4268" s="42"/>
      <c r="D4268" s="42"/>
      <c r="E4268" s="42"/>
      <c r="F4268" s="51" t="n">
        <f aca="false">IF(OR(C4268="",D4268="",E4268="",E4268=0),0,C4268*D4268/E4268)</f>
        <v>0</v>
      </c>
      <c r="G4268" s="42"/>
      <c r="H4268" s="49" t="n">
        <f aca="true">IF(OR($A4268="",_xlfn.MINIFS($B$3:$B$5000,$A$3:$A$5000,$A4268,$B$3:$B$5000,"&gt;"&amp;$B4268)=0),NOW(),_xlfn.MINIFS($B$3:$B$5000,$A$3:$A$5000,$A4268,$B$3:$B$5000,"&gt;"&amp;$B4268))</f>
        <v>46279.5987644993</v>
      </c>
    </row>
    <row r="4269" customFormat="false" ht="15" hidden="false" customHeight="true" outlineLevel="0" collapsed="false">
      <c r="A4269" s="42"/>
      <c r="B4269" s="42"/>
      <c r="C4269" s="42"/>
      <c r="D4269" s="42"/>
      <c r="E4269" s="42"/>
      <c r="F4269" s="51" t="n">
        <f aca="false">IF(OR(C4269="",D4269="",E4269="",E4269=0),0,C4269*D4269/E4269)</f>
        <v>0</v>
      </c>
      <c r="G4269" s="42"/>
      <c r="H4269" s="49" t="n">
        <f aca="true">IF(OR($A4269="",_xlfn.MINIFS($B$3:$B$5000,$A$3:$A$5000,$A4269,$B$3:$B$5000,"&gt;"&amp;$B4269)=0),NOW(),_xlfn.MINIFS($B$3:$B$5000,$A$3:$A$5000,$A4269,$B$3:$B$5000,"&gt;"&amp;$B4269))</f>
        <v>46279.5987644993</v>
      </c>
    </row>
    <row r="4270" customFormat="false" ht="15" hidden="false" customHeight="true" outlineLevel="0" collapsed="false">
      <c r="A4270" s="42"/>
      <c r="B4270" s="42"/>
      <c r="C4270" s="42"/>
      <c r="D4270" s="42"/>
      <c r="E4270" s="42"/>
      <c r="F4270" s="51" t="n">
        <f aca="false">IF(OR(C4270="",D4270="",E4270="",E4270=0),0,C4270*D4270/E4270)</f>
        <v>0</v>
      </c>
      <c r="G4270" s="42"/>
      <c r="H4270" s="49" t="n">
        <f aca="true">IF(OR($A4270="",_xlfn.MINIFS($B$3:$B$5000,$A$3:$A$5000,$A4270,$B$3:$B$5000,"&gt;"&amp;$B4270)=0),NOW(),_xlfn.MINIFS($B$3:$B$5000,$A$3:$A$5000,$A4270,$B$3:$B$5000,"&gt;"&amp;$B4270))</f>
        <v>46279.5987644994</v>
      </c>
    </row>
    <row r="4271" customFormat="false" ht="15" hidden="false" customHeight="true" outlineLevel="0" collapsed="false">
      <c r="A4271" s="42"/>
      <c r="B4271" s="42"/>
      <c r="C4271" s="42"/>
      <c r="D4271" s="42"/>
      <c r="E4271" s="42"/>
      <c r="F4271" s="51" t="n">
        <f aca="false">IF(OR(C4271="",D4271="",E4271="",E4271=0),0,C4271*D4271/E4271)</f>
        <v>0</v>
      </c>
      <c r="G4271" s="42"/>
      <c r="H4271" s="49" t="n">
        <f aca="true">IF(OR($A4271="",_xlfn.MINIFS($B$3:$B$5000,$A$3:$A$5000,$A4271,$B$3:$B$5000,"&gt;"&amp;$B4271)=0),NOW(),_xlfn.MINIFS($B$3:$B$5000,$A$3:$A$5000,$A4271,$B$3:$B$5000,"&gt;"&amp;$B4271))</f>
        <v>46279.5987644994</v>
      </c>
    </row>
    <row r="4272" customFormat="false" ht="15" hidden="false" customHeight="true" outlineLevel="0" collapsed="false">
      <c r="A4272" s="42"/>
      <c r="B4272" s="42"/>
      <c r="C4272" s="42"/>
      <c r="D4272" s="42"/>
      <c r="E4272" s="42"/>
      <c r="F4272" s="51" t="n">
        <f aca="false">IF(OR(C4272="",D4272="",E4272="",E4272=0),0,C4272*D4272/E4272)</f>
        <v>0</v>
      </c>
      <c r="G4272" s="42"/>
      <c r="H4272" s="49" t="n">
        <f aca="true">IF(OR($A4272="",_xlfn.MINIFS($B$3:$B$5000,$A$3:$A$5000,$A4272,$B$3:$B$5000,"&gt;"&amp;$B4272)=0),NOW(),_xlfn.MINIFS($B$3:$B$5000,$A$3:$A$5000,$A4272,$B$3:$B$5000,"&gt;"&amp;$B4272))</f>
        <v>46279.5987644995</v>
      </c>
    </row>
    <row r="4273" customFormat="false" ht="15" hidden="false" customHeight="true" outlineLevel="0" collapsed="false">
      <c r="A4273" s="42"/>
      <c r="B4273" s="42"/>
      <c r="C4273" s="42"/>
      <c r="D4273" s="42"/>
      <c r="E4273" s="42"/>
      <c r="F4273" s="51" t="n">
        <f aca="false">IF(OR(C4273="",D4273="",E4273="",E4273=0),0,C4273*D4273/E4273)</f>
        <v>0</v>
      </c>
      <c r="G4273" s="42"/>
      <c r="H4273" s="49" t="n">
        <f aca="true">IF(OR($A4273="",_xlfn.MINIFS($B$3:$B$5000,$A$3:$A$5000,$A4273,$B$3:$B$5000,"&gt;"&amp;$B4273)=0),NOW(),_xlfn.MINIFS($B$3:$B$5000,$A$3:$A$5000,$A4273,$B$3:$B$5000,"&gt;"&amp;$B4273))</f>
        <v>46279.5987644995</v>
      </c>
    </row>
    <row r="4274" customFormat="false" ht="15" hidden="false" customHeight="true" outlineLevel="0" collapsed="false">
      <c r="A4274" s="42"/>
      <c r="B4274" s="42"/>
      <c r="C4274" s="42"/>
      <c r="D4274" s="42"/>
      <c r="E4274" s="42"/>
      <c r="F4274" s="51" t="n">
        <f aca="false">IF(OR(C4274="",D4274="",E4274="",E4274=0),0,C4274*D4274/E4274)</f>
        <v>0</v>
      </c>
      <c r="G4274" s="42"/>
      <c r="H4274" s="49" t="n">
        <f aca="true">IF(OR($A4274="",_xlfn.MINIFS($B$3:$B$5000,$A$3:$A$5000,$A4274,$B$3:$B$5000,"&gt;"&amp;$B4274)=0),NOW(),_xlfn.MINIFS($B$3:$B$5000,$A$3:$A$5000,$A4274,$B$3:$B$5000,"&gt;"&amp;$B4274))</f>
        <v>46279.5987644996</v>
      </c>
    </row>
    <row r="4275" customFormat="false" ht="15" hidden="false" customHeight="true" outlineLevel="0" collapsed="false">
      <c r="A4275" s="42"/>
      <c r="B4275" s="42"/>
      <c r="C4275" s="42"/>
      <c r="D4275" s="42"/>
      <c r="E4275" s="42"/>
      <c r="F4275" s="51" t="n">
        <f aca="false">IF(OR(C4275="",D4275="",E4275="",E4275=0),0,C4275*D4275/E4275)</f>
        <v>0</v>
      </c>
      <c r="G4275" s="42"/>
      <c r="H4275" s="49" t="n">
        <f aca="true">IF(OR($A4275="",_xlfn.MINIFS($B$3:$B$5000,$A$3:$A$5000,$A4275,$B$3:$B$5000,"&gt;"&amp;$B4275)=0),NOW(),_xlfn.MINIFS($B$3:$B$5000,$A$3:$A$5000,$A4275,$B$3:$B$5000,"&gt;"&amp;$B4275))</f>
        <v>46279.5987644996</v>
      </c>
    </row>
    <row r="4276" customFormat="false" ht="15" hidden="false" customHeight="true" outlineLevel="0" collapsed="false">
      <c r="A4276" s="42"/>
      <c r="B4276" s="42"/>
      <c r="C4276" s="42"/>
      <c r="D4276" s="42"/>
      <c r="E4276" s="42"/>
      <c r="F4276" s="51" t="n">
        <f aca="false">IF(OR(C4276="",D4276="",E4276="",E4276=0),0,C4276*D4276/E4276)</f>
        <v>0</v>
      </c>
      <c r="G4276" s="42"/>
      <c r="H4276" s="49" t="n">
        <f aca="true">IF(OR($A4276="",_xlfn.MINIFS($B$3:$B$5000,$A$3:$A$5000,$A4276,$B$3:$B$5000,"&gt;"&amp;$B4276)=0),NOW(),_xlfn.MINIFS($B$3:$B$5000,$A$3:$A$5000,$A4276,$B$3:$B$5000,"&gt;"&amp;$B4276))</f>
        <v>46279.5987644997</v>
      </c>
    </row>
    <row r="4277" customFormat="false" ht="15" hidden="false" customHeight="true" outlineLevel="0" collapsed="false">
      <c r="A4277" s="42"/>
      <c r="B4277" s="42"/>
      <c r="C4277" s="42"/>
      <c r="D4277" s="42"/>
      <c r="E4277" s="42"/>
      <c r="F4277" s="51" t="n">
        <f aca="false">IF(OR(C4277="",D4277="",E4277="",E4277=0),0,C4277*D4277/E4277)</f>
        <v>0</v>
      </c>
      <c r="G4277" s="42"/>
      <c r="H4277" s="49" t="n">
        <f aca="true">IF(OR($A4277="",_xlfn.MINIFS($B$3:$B$5000,$A$3:$A$5000,$A4277,$B$3:$B$5000,"&gt;"&amp;$B4277)=0),NOW(),_xlfn.MINIFS($B$3:$B$5000,$A$3:$A$5000,$A4277,$B$3:$B$5000,"&gt;"&amp;$B4277))</f>
        <v>46279.5987644997</v>
      </c>
    </row>
    <row r="4278" customFormat="false" ht="15" hidden="false" customHeight="true" outlineLevel="0" collapsed="false">
      <c r="A4278" s="42"/>
      <c r="B4278" s="42"/>
      <c r="C4278" s="42"/>
      <c r="D4278" s="42"/>
      <c r="E4278" s="42"/>
      <c r="F4278" s="51" t="n">
        <f aca="false">IF(OR(C4278="",D4278="",E4278="",E4278=0),0,C4278*D4278/E4278)</f>
        <v>0</v>
      </c>
      <c r="G4278" s="42"/>
      <c r="H4278" s="49" t="n">
        <f aca="true">IF(OR($A4278="",_xlfn.MINIFS($B$3:$B$5000,$A$3:$A$5000,$A4278,$B$3:$B$5000,"&gt;"&amp;$B4278)=0),NOW(),_xlfn.MINIFS($B$3:$B$5000,$A$3:$A$5000,$A4278,$B$3:$B$5000,"&gt;"&amp;$B4278))</f>
        <v>46279.5987644998</v>
      </c>
    </row>
    <row r="4279" customFormat="false" ht="15" hidden="false" customHeight="true" outlineLevel="0" collapsed="false">
      <c r="A4279" s="42"/>
      <c r="B4279" s="42"/>
      <c r="C4279" s="42"/>
      <c r="D4279" s="42"/>
      <c r="E4279" s="42"/>
      <c r="F4279" s="51" t="n">
        <f aca="false">IF(OR(C4279="",D4279="",E4279="",E4279=0),0,C4279*D4279/E4279)</f>
        <v>0</v>
      </c>
      <c r="G4279" s="42"/>
      <c r="H4279" s="49" t="n">
        <f aca="true">IF(OR($A4279="",_xlfn.MINIFS($B$3:$B$5000,$A$3:$A$5000,$A4279,$B$3:$B$5000,"&gt;"&amp;$B4279)=0),NOW(),_xlfn.MINIFS($B$3:$B$5000,$A$3:$A$5000,$A4279,$B$3:$B$5000,"&gt;"&amp;$B4279))</f>
        <v>46279.5987644998</v>
      </c>
    </row>
    <row r="4280" customFormat="false" ht="15" hidden="false" customHeight="true" outlineLevel="0" collapsed="false">
      <c r="A4280" s="42"/>
      <c r="B4280" s="42"/>
      <c r="C4280" s="42"/>
      <c r="D4280" s="42"/>
      <c r="E4280" s="42"/>
      <c r="F4280" s="51" t="n">
        <f aca="false">IF(OR(C4280="",D4280="",E4280="",E4280=0),0,C4280*D4280/E4280)</f>
        <v>0</v>
      </c>
      <c r="G4280" s="42"/>
      <c r="H4280" s="49" t="n">
        <f aca="true">IF(OR($A4280="",_xlfn.MINIFS($B$3:$B$5000,$A$3:$A$5000,$A4280,$B$3:$B$5000,"&gt;"&amp;$B4280)=0),NOW(),_xlfn.MINIFS($B$3:$B$5000,$A$3:$A$5000,$A4280,$B$3:$B$5000,"&gt;"&amp;$B4280))</f>
        <v>46279.5987644999</v>
      </c>
    </row>
    <row r="4281" customFormat="false" ht="15" hidden="false" customHeight="true" outlineLevel="0" collapsed="false">
      <c r="A4281" s="42"/>
      <c r="B4281" s="42"/>
      <c r="C4281" s="42"/>
      <c r="D4281" s="42"/>
      <c r="E4281" s="42"/>
      <c r="F4281" s="51" t="n">
        <f aca="false">IF(OR(C4281="",D4281="",E4281="",E4281=0),0,C4281*D4281/E4281)</f>
        <v>0</v>
      </c>
      <c r="G4281" s="42"/>
      <c r="H4281" s="49" t="n">
        <f aca="true">IF(OR($A4281="",_xlfn.MINIFS($B$3:$B$5000,$A$3:$A$5000,$A4281,$B$3:$B$5000,"&gt;"&amp;$B4281)=0),NOW(),_xlfn.MINIFS($B$3:$B$5000,$A$3:$A$5000,$A4281,$B$3:$B$5000,"&gt;"&amp;$B4281))</f>
        <v>46279.5987644999</v>
      </c>
    </row>
    <row r="4282" customFormat="false" ht="15" hidden="false" customHeight="true" outlineLevel="0" collapsed="false">
      <c r="A4282" s="42"/>
      <c r="B4282" s="42"/>
      <c r="C4282" s="42"/>
      <c r="D4282" s="42"/>
      <c r="E4282" s="42"/>
      <c r="F4282" s="51" t="n">
        <f aca="false">IF(OR(C4282="",D4282="",E4282="",E4282=0),0,C4282*D4282/E4282)</f>
        <v>0</v>
      </c>
      <c r="G4282" s="42"/>
      <c r="H4282" s="49" t="n">
        <f aca="true">IF(OR($A4282="",_xlfn.MINIFS($B$3:$B$5000,$A$3:$A$5000,$A4282,$B$3:$B$5000,"&gt;"&amp;$B4282)=0),NOW(),_xlfn.MINIFS($B$3:$B$5000,$A$3:$A$5000,$A4282,$B$3:$B$5000,"&gt;"&amp;$B4282))</f>
        <v>46279.5987645</v>
      </c>
    </row>
    <row r="4283" customFormat="false" ht="15" hidden="false" customHeight="true" outlineLevel="0" collapsed="false">
      <c r="A4283" s="42"/>
      <c r="B4283" s="42"/>
      <c r="C4283" s="42"/>
      <c r="D4283" s="42"/>
      <c r="E4283" s="42"/>
      <c r="F4283" s="51" t="n">
        <f aca="false">IF(OR(C4283="",D4283="",E4283="",E4283=0),0,C4283*D4283/E4283)</f>
        <v>0</v>
      </c>
      <c r="G4283" s="42"/>
      <c r="H4283" s="49" t="n">
        <f aca="true">IF(OR($A4283="",_xlfn.MINIFS($B$3:$B$5000,$A$3:$A$5000,$A4283,$B$3:$B$5000,"&gt;"&amp;$B4283)=0),NOW(),_xlfn.MINIFS($B$3:$B$5000,$A$3:$A$5000,$A4283,$B$3:$B$5000,"&gt;"&amp;$B4283))</f>
        <v>46279.5987645</v>
      </c>
    </row>
    <row r="4284" customFormat="false" ht="15" hidden="false" customHeight="true" outlineLevel="0" collapsed="false">
      <c r="A4284" s="42"/>
      <c r="B4284" s="42"/>
      <c r="C4284" s="42"/>
      <c r="D4284" s="42"/>
      <c r="E4284" s="42"/>
      <c r="F4284" s="51" t="n">
        <f aca="false">IF(OR(C4284="",D4284="",E4284="",E4284=0),0,C4284*D4284/E4284)</f>
        <v>0</v>
      </c>
      <c r="G4284" s="42"/>
      <c r="H4284" s="49" t="n">
        <f aca="true">IF(OR($A4284="",_xlfn.MINIFS($B$3:$B$5000,$A$3:$A$5000,$A4284,$B$3:$B$5000,"&gt;"&amp;$B4284)=0),NOW(),_xlfn.MINIFS($B$3:$B$5000,$A$3:$A$5000,$A4284,$B$3:$B$5000,"&gt;"&amp;$B4284))</f>
        <v>46279.5987645001</v>
      </c>
    </row>
    <row r="4285" customFormat="false" ht="15" hidden="false" customHeight="true" outlineLevel="0" collapsed="false">
      <c r="A4285" s="42"/>
      <c r="B4285" s="42"/>
      <c r="C4285" s="42"/>
      <c r="D4285" s="42"/>
      <c r="E4285" s="42"/>
      <c r="F4285" s="51" t="n">
        <f aca="false">IF(OR(C4285="",D4285="",E4285="",E4285=0),0,C4285*D4285/E4285)</f>
        <v>0</v>
      </c>
      <c r="G4285" s="42"/>
      <c r="H4285" s="49" t="n">
        <f aca="true">IF(OR($A4285="",_xlfn.MINIFS($B$3:$B$5000,$A$3:$A$5000,$A4285,$B$3:$B$5000,"&gt;"&amp;$B4285)=0),NOW(),_xlfn.MINIFS($B$3:$B$5000,$A$3:$A$5000,$A4285,$B$3:$B$5000,"&gt;"&amp;$B4285))</f>
        <v>46279.5987645001</v>
      </c>
    </row>
    <row r="4286" customFormat="false" ht="15" hidden="false" customHeight="true" outlineLevel="0" collapsed="false">
      <c r="A4286" s="42"/>
      <c r="B4286" s="42"/>
      <c r="C4286" s="42"/>
      <c r="D4286" s="42"/>
      <c r="E4286" s="42"/>
      <c r="F4286" s="51" t="n">
        <f aca="false">IF(OR(C4286="",D4286="",E4286="",E4286=0),0,C4286*D4286/E4286)</f>
        <v>0</v>
      </c>
      <c r="G4286" s="42"/>
      <c r="H4286" s="49" t="n">
        <f aca="true">IF(OR($A4286="",_xlfn.MINIFS($B$3:$B$5000,$A$3:$A$5000,$A4286,$B$3:$B$5000,"&gt;"&amp;$B4286)=0),NOW(),_xlfn.MINIFS($B$3:$B$5000,$A$3:$A$5000,$A4286,$B$3:$B$5000,"&gt;"&amp;$B4286))</f>
        <v>46279.5987645002</v>
      </c>
    </row>
    <row r="4287" customFormat="false" ht="15" hidden="false" customHeight="true" outlineLevel="0" collapsed="false">
      <c r="A4287" s="42"/>
      <c r="B4287" s="42"/>
      <c r="C4287" s="42"/>
      <c r="D4287" s="42"/>
      <c r="E4287" s="42"/>
      <c r="F4287" s="51" t="n">
        <f aca="false">IF(OR(C4287="",D4287="",E4287="",E4287=0),0,C4287*D4287/E4287)</f>
        <v>0</v>
      </c>
      <c r="G4287" s="42"/>
      <c r="H4287" s="49" t="n">
        <f aca="true">IF(OR($A4287="",_xlfn.MINIFS($B$3:$B$5000,$A$3:$A$5000,$A4287,$B$3:$B$5000,"&gt;"&amp;$B4287)=0),NOW(),_xlfn.MINIFS($B$3:$B$5000,$A$3:$A$5000,$A4287,$B$3:$B$5000,"&gt;"&amp;$B4287))</f>
        <v>46279.5987645002</v>
      </c>
    </row>
    <row r="4288" customFormat="false" ht="15" hidden="false" customHeight="true" outlineLevel="0" collapsed="false">
      <c r="A4288" s="42"/>
      <c r="B4288" s="42"/>
      <c r="C4288" s="42"/>
      <c r="D4288" s="42"/>
      <c r="E4288" s="42"/>
      <c r="F4288" s="51" t="n">
        <f aca="false">IF(OR(C4288="",D4288="",E4288="",E4288=0),0,C4288*D4288/E4288)</f>
        <v>0</v>
      </c>
      <c r="G4288" s="42"/>
      <c r="H4288" s="49" t="n">
        <f aca="true">IF(OR($A4288="",_xlfn.MINIFS($B$3:$B$5000,$A$3:$A$5000,$A4288,$B$3:$B$5000,"&gt;"&amp;$B4288)=0),NOW(),_xlfn.MINIFS($B$3:$B$5000,$A$3:$A$5000,$A4288,$B$3:$B$5000,"&gt;"&amp;$B4288))</f>
        <v>46279.5987645003</v>
      </c>
    </row>
    <row r="4289" customFormat="false" ht="15" hidden="false" customHeight="true" outlineLevel="0" collapsed="false">
      <c r="A4289" s="42"/>
      <c r="B4289" s="42"/>
      <c r="C4289" s="42"/>
      <c r="D4289" s="42"/>
      <c r="E4289" s="42"/>
      <c r="F4289" s="51" t="n">
        <f aca="false">IF(OR(C4289="",D4289="",E4289="",E4289=0),0,C4289*D4289/E4289)</f>
        <v>0</v>
      </c>
      <c r="G4289" s="42"/>
      <c r="H4289" s="49" t="n">
        <f aca="true">IF(OR($A4289="",_xlfn.MINIFS($B$3:$B$5000,$A$3:$A$5000,$A4289,$B$3:$B$5000,"&gt;"&amp;$B4289)=0),NOW(),_xlfn.MINIFS($B$3:$B$5000,$A$3:$A$5000,$A4289,$B$3:$B$5000,"&gt;"&amp;$B4289))</f>
        <v>46279.5987645003</v>
      </c>
    </row>
    <row r="4290" customFormat="false" ht="15" hidden="false" customHeight="true" outlineLevel="0" collapsed="false">
      <c r="A4290" s="42"/>
      <c r="B4290" s="42"/>
      <c r="C4290" s="42"/>
      <c r="D4290" s="42"/>
      <c r="E4290" s="42"/>
      <c r="F4290" s="51" t="n">
        <f aca="false">IF(OR(C4290="",D4290="",E4290="",E4290=0),0,C4290*D4290/E4290)</f>
        <v>0</v>
      </c>
      <c r="G4290" s="42"/>
      <c r="H4290" s="49" t="n">
        <f aca="true">IF(OR($A4290="",_xlfn.MINIFS($B$3:$B$5000,$A$3:$A$5000,$A4290,$B$3:$B$5000,"&gt;"&amp;$B4290)=0),NOW(),_xlfn.MINIFS($B$3:$B$5000,$A$3:$A$5000,$A4290,$B$3:$B$5000,"&gt;"&amp;$B4290))</f>
        <v>46279.5987645005</v>
      </c>
    </row>
    <row r="4291" customFormat="false" ht="15" hidden="false" customHeight="true" outlineLevel="0" collapsed="false">
      <c r="A4291" s="42"/>
      <c r="B4291" s="42"/>
      <c r="C4291" s="42"/>
      <c r="D4291" s="42"/>
      <c r="E4291" s="42"/>
      <c r="F4291" s="51" t="n">
        <f aca="false">IF(OR(C4291="",D4291="",E4291="",E4291=0),0,C4291*D4291/E4291)</f>
        <v>0</v>
      </c>
      <c r="G4291" s="42"/>
      <c r="H4291" s="49" t="n">
        <f aca="true">IF(OR($A4291="",_xlfn.MINIFS($B$3:$B$5000,$A$3:$A$5000,$A4291,$B$3:$B$5000,"&gt;"&amp;$B4291)=0),NOW(),_xlfn.MINIFS($B$3:$B$5000,$A$3:$A$5000,$A4291,$B$3:$B$5000,"&gt;"&amp;$B4291))</f>
        <v>46279.5987645006</v>
      </c>
    </row>
    <row r="4292" customFormat="false" ht="15" hidden="false" customHeight="true" outlineLevel="0" collapsed="false">
      <c r="A4292" s="42"/>
      <c r="B4292" s="42"/>
      <c r="C4292" s="42"/>
      <c r="D4292" s="42"/>
      <c r="E4292" s="42"/>
      <c r="F4292" s="51" t="n">
        <f aca="false">IF(OR(C4292="",D4292="",E4292="",E4292=0),0,C4292*D4292/E4292)</f>
        <v>0</v>
      </c>
      <c r="G4292" s="42"/>
      <c r="H4292" s="49" t="n">
        <f aca="true">IF(OR($A4292="",_xlfn.MINIFS($B$3:$B$5000,$A$3:$A$5000,$A4292,$B$3:$B$5000,"&gt;"&amp;$B4292)=0),NOW(),_xlfn.MINIFS($B$3:$B$5000,$A$3:$A$5000,$A4292,$B$3:$B$5000,"&gt;"&amp;$B4292))</f>
        <v>46279.5987645007</v>
      </c>
    </row>
    <row r="4293" customFormat="false" ht="15" hidden="false" customHeight="true" outlineLevel="0" collapsed="false">
      <c r="A4293" s="42"/>
      <c r="B4293" s="42"/>
      <c r="C4293" s="42"/>
      <c r="D4293" s="42"/>
      <c r="E4293" s="42"/>
      <c r="F4293" s="51" t="n">
        <f aca="false">IF(OR(C4293="",D4293="",E4293="",E4293=0),0,C4293*D4293/E4293)</f>
        <v>0</v>
      </c>
      <c r="G4293" s="42"/>
      <c r="H4293" s="49" t="n">
        <f aca="true">IF(OR($A4293="",_xlfn.MINIFS($B$3:$B$5000,$A$3:$A$5000,$A4293,$B$3:$B$5000,"&gt;"&amp;$B4293)=0),NOW(),_xlfn.MINIFS($B$3:$B$5000,$A$3:$A$5000,$A4293,$B$3:$B$5000,"&gt;"&amp;$B4293))</f>
        <v>46279.5987645008</v>
      </c>
    </row>
    <row r="4294" customFormat="false" ht="15" hidden="false" customHeight="true" outlineLevel="0" collapsed="false">
      <c r="A4294" s="42"/>
      <c r="B4294" s="42"/>
      <c r="C4294" s="42"/>
      <c r="D4294" s="42"/>
      <c r="E4294" s="42"/>
      <c r="F4294" s="51" t="n">
        <f aca="false">IF(OR(C4294="",D4294="",E4294="",E4294=0),0,C4294*D4294/E4294)</f>
        <v>0</v>
      </c>
      <c r="G4294" s="42"/>
      <c r="H4294" s="49" t="n">
        <f aca="true">IF(OR($A4294="",_xlfn.MINIFS($B$3:$B$5000,$A$3:$A$5000,$A4294,$B$3:$B$5000,"&gt;"&amp;$B4294)=0),NOW(),_xlfn.MINIFS($B$3:$B$5000,$A$3:$A$5000,$A4294,$B$3:$B$5000,"&gt;"&amp;$B4294))</f>
        <v>46279.5987645008</v>
      </c>
    </row>
    <row r="4295" customFormat="false" ht="15" hidden="false" customHeight="true" outlineLevel="0" collapsed="false">
      <c r="A4295" s="42"/>
      <c r="B4295" s="42"/>
      <c r="C4295" s="42"/>
      <c r="D4295" s="42"/>
      <c r="E4295" s="42"/>
      <c r="F4295" s="51" t="n">
        <f aca="false">IF(OR(C4295="",D4295="",E4295="",E4295=0),0,C4295*D4295/E4295)</f>
        <v>0</v>
      </c>
      <c r="G4295" s="42"/>
      <c r="H4295" s="49" t="n">
        <f aca="true">IF(OR($A4295="",_xlfn.MINIFS($B$3:$B$5000,$A$3:$A$5000,$A4295,$B$3:$B$5000,"&gt;"&amp;$B4295)=0),NOW(),_xlfn.MINIFS($B$3:$B$5000,$A$3:$A$5000,$A4295,$B$3:$B$5000,"&gt;"&amp;$B4295))</f>
        <v>46279.5987645009</v>
      </c>
    </row>
    <row r="4296" customFormat="false" ht="15" hidden="false" customHeight="true" outlineLevel="0" collapsed="false">
      <c r="A4296" s="42"/>
      <c r="B4296" s="42"/>
      <c r="C4296" s="42"/>
      <c r="D4296" s="42"/>
      <c r="E4296" s="42"/>
      <c r="F4296" s="51" t="n">
        <f aca="false">IF(OR(C4296="",D4296="",E4296="",E4296=0),0,C4296*D4296/E4296)</f>
        <v>0</v>
      </c>
      <c r="G4296" s="42"/>
      <c r="H4296" s="49" t="n">
        <f aca="true">IF(OR($A4296="",_xlfn.MINIFS($B$3:$B$5000,$A$3:$A$5000,$A4296,$B$3:$B$5000,"&gt;"&amp;$B4296)=0),NOW(),_xlfn.MINIFS($B$3:$B$5000,$A$3:$A$5000,$A4296,$B$3:$B$5000,"&gt;"&amp;$B4296))</f>
        <v>46279.5987645009</v>
      </c>
    </row>
    <row r="4297" customFormat="false" ht="15" hidden="false" customHeight="true" outlineLevel="0" collapsed="false">
      <c r="A4297" s="42"/>
      <c r="B4297" s="42"/>
      <c r="C4297" s="42"/>
      <c r="D4297" s="42"/>
      <c r="E4297" s="42"/>
      <c r="F4297" s="51" t="n">
        <f aca="false">IF(OR(C4297="",D4297="",E4297="",E4297=0),0,C4297*D4297/E4297)</f>
        <v>0</v>
      </c>
      <c r="G4297" s="42"/>
      <c r="H4297" s="49" t="n">
        <f aca="true">IF(OR($A4297="",_xlfn.MINIFS($B$3:$B$5000,$A$3:$A$5000,$A4297,$B$3:$B$5000,"&gt;"&amp;$B4297)=0),NOW(),_xlfn.MINIFS($B$3:$B$5000,$A$3:$A$5000,$A4297,$B$3:$B$5000,"&gt;"&amp;$B4297))</f>
        <v>46279.598764501</v>
      </c>
    </row>
    <row r="4298" customFormat="false" ht="15" hidden="false" customHeight="true" outlineLevel="0" collapsed="false">
      <c r="A4298" s="42"/>
      <c r="B4298" s="42"/>
      <c r="C4298" s="42"/>
      <c r="D4298" s="42"/>
      <c r="E4298" s="42"/>
      <c r="F4298" s="51" t="n">
        <f aca="false">IF(OR(C4298="",D4298="",E4298="",E4298=0),0,C4298*D4298/E4298)</f>
        <v>0</v>
      </c>
      <c r="G4298" s="42"/>
      <c r="H4298" s="49" t="n">
        <f aca="true">IF(OR($A4298="",_xlfn.MINIFS($B$3:$B$5000,$A$3:$A$5000,$A4298,$B$3:$B$5000,"&gt;"&amp;$B4298)=0),NOW(),_xlfn.MINIFS($B$3:$B$5000,$A$3:$A$5000,$A4298,$B$3:$B$5000,"&gt;"&amp;$B4298))</f>
        <v>46279.598764501</v>
      </c>
    </row>
    <row r="4299" customFormat="false" ht="15" hidden="false" customHeight="true" outlineLevel="0" collapsed="false">
      <c r="A4299" s="42"/>
      <c r="B4299" s="42"/>
      <c r="C4299" s="42"/>
      <c r="D4299" s="42"/>
      <c r="E4299" s="42"/>
      <c r="F4299" s="51" t="n">
        <f aca="false">IF(OR(C4299="",D4299="",E4299="",E4299=0),0,C4299*D4299/E4299)</f>
        <v>0</v>
      </c>
      <c r="G4299" s="42"/>
      <c r="H4299" s="49" t="n">
        <f aca="true">IF(OR($A4299="",_xlfn.MINIFS($B$3:$B$5000,$A$3:$A$5000,$A4299,$B$3:$B$5000,"&gt;"&amp;$B4299)=0),NOW(),_xlfn.MINIFS($B$3:$B$5000,$A$3:$A$5000,$A4299,$B$3:$B$5000,"&gt;"&amp;$B4299))</f>
        <v>46279.5987645011</v>
      </c>
    </row>
    <row r="4300" customFormat="false" ht="15" hidden="false" customHeight="true" outlineLevel="0" collapsed="false">
      <c r="A4300" s="42"/>
      <c r="B4300" s="42"/>
      <c r="C4300" s="42"/>
      <c r="D4300" s="42"/>
      <c r="E4300" s="42"/>
      <c r="F4300" s="51" t="n">
        <f aca="false">IF(OR(C4300="",D4300="",E4300="",E4300=0),0,C4300*D4300/E4300)</f>
        <v>0</v>
      </c>
      <c r="G4300" s="42"/>
      <c r="H4300" s="49" t="n">
        <f aca="true">IF(OR($A4300="",_xlfn.MINIFS($B$3:$B$5000,$A$3:$A$5000,$A4300,$B$3:$B$5000,"&gt;"&amp;$B4300)=0),NOW(),_xlfn.MINIFS($B$3:$B$5000,$A$3:$A$5000,$A4300,$B$3:$B$5000,"&gt;"&amp;$B4300))</f>
        <v>46279.5987645011</v>
      </c>
    </row>
    <row r="4301" customFormat="false" ht="15" hidden="false" customHeight="true" outlineLevel="0" collapsed="false">
      <c r="A4301" s="42"/>
      <c r="B4301" s="42"/>
      <c r="C4301" s="42"/>
      <c r="D4301" s="42"/>
      <c r="E4301" s="42"/>
      <c r="F4301" s="51" t="n">
        <f aca="false">IF(OR(C4301="",D4301="",E4301="",E4301=0),0,C4301*D4301/E4301)</f>
        <v>0</v>
      </c>
      <c r="G4301" s="42"/>
      <c r="H4301" s="49" t="n">
        <f aca="true">IF(OR($A4301="",_xlfn.MINIFS($B$3:$B$5000,$A$3:$A$5000,$A4301,$B$3:$B$5000,"&gt;"&amp;$B4301)=0),NOW(),_xlfn.MINIFS($B$3:$B$5000,$A$3:$A$5000,$A4301,$B$3:$B$5000,"&gt;"&amp;$B4301))</f>
        <v>46279.5987645012</v>
      </c>
    </row>
    <row r="4302" customFormat="false" ht="15" hidden="false" customHeight="true" outlineLevel="0" collapsed="false">
      <c r="A4302" s="42"/>
      <c r="B4302" s="42"/>
      <c r="C4302" s="42"/>
      <c r="D4302" s="42"/>
      <c r="E4302" s="42"/>
      <c r="F4302" s="51" t="n">
        <f aca="false">IF(OR(C4302="",D4302="",E4302="",E4302=0),0,C4302*D4302/E4302)</f>
        <v>0</v>
      </c>
      <c r="G4302" s="42"/>
      <c r="H4302" s="49" t="n">
        <f aca="true">IF(OR($A4302="",_xlfn.MINIFS($B$3:$B$5000,$A$3:$A$5000,$A4302,$B$3:$B$5000,"&gt;"&amp;$B4302)=0),NOW(),_xlfn.MINIFS($B$3:$B$5000,$A$3:$A$5000,$A4302,$B$3:$B$5000,"&gt;"&amp;$B4302))</f>
        <v>46279.5987645012</v>
      </c>
    </row>
    <row r="4303" customFormat="false" ht="15" hidden="false" customHeight="true" outlineLevel="0" collapsed="false">
      <c r="A4303" s="42"/>
      <c r="B4303" s="42"/>
      <c r="C4303" s="42"/>
      <c r="D4303" s="42"/>
      <c r="E4303" s="42"/>
      <c r="F4303" s="51" t="n">
        <f aca="false">IF(OR(C4303="",D4303="",E4303="",E4303=0),0,C4303*D4303/E4303)</f>
        <v>0</v>
      </c>
      <c r="G4303" s="42"/>
      <c r="H4303" s="49" t="n">
        <f aca="true">IF(OR($A4303="",_xlfn.MINIFS($B$3:$B$5000,$A$3:$A$5000,$A4303,$B$3:$B$5000,"&gt;"&amp;$B4303)=0),NOW(),_xlfn.MINIFS($B$3:$B$5000,$A$3:$A$5000,$A4303,$B$3:$B$5000,"&gt;"&amp;$B4303))</f>
        <v>46279.5987645013</v>
      </c>
    </row>
    <row r="4304" customFormat="false" ht="15" hidden="false" customHeight="true" outlineLevel="0" collapsed="false">
      <c r="A4304" s="42"/>
      <c r="B4304" s="42"/>
      <c r="C4304" s="42"/>
      <c r="D4304" s="42"/>
      <c r="E4304" s="42"/>
      <c r="F4304" s="51" t="n">
        <f aca="false">IF(OR(C4304="",D4304="",E4304="",E4304=0),0,C4304*D4304/E4304)</f>
        <v>0</v>
      </c>
      <c r="G4304" s="42"/>
      <c r="H4304" s="49" t="n">
        <f aca="true">IF(OR($A4304="",_xlfn.MINIFS($B$3:$B$5000,$A$3:$A$5000,$A4304,$B$3:$B$5000,"&gt;"&amp;$B4304)=0),NOW(),_xlfn.MINIFS($B$3:$B$5000,$A$3:$A$5000,$A4304,$B$3:$B$5000,"&gt;"&amp;$B4304))</f>
        <v>46279.5987645013</v>
      </c>
    </row>
    <row r="4305" customFormat="false" ht="15" hidden="false" customHeight="true" outlineLevel="0" collapsed="false">
      <c r="A4305" s="42"/>
      <c r="B4305" s="42"/>
      <c r="C4305" s="42"/>
      <c r="D4305" s="42"/>
      <c r="E4305" s="42"/>
      <c r="F4305" s="51" t="n">
        <f aca="false">IF(OR(C4305="",D4305="",E4305="",E4305=0),0,C4305*D4305/E4305)</f>
        <v>0</v>
      </c>
      <c r="G4305" s="42"/>
      <c r="H4305" s="49" t="n">
        <f aca="true">IF(OR($A4305="",_xlfn.MINIFS($B$3:$B$5000,$A$3:$A$5000,$A4305,$B$3:$B$5000,"&gt;"&amp;$B4305)=0),NOW(),_xlfn.MINIFS($B$3:$B$5000,$A$3:$A$5000,$A4305,$B$3:$B$5000,"&gt;"&amp;$B4305))</f>
        <v>46279.5987645014</v>
      </c>
    </row>
    <row r="4306" customFormat="false" ht="15" hidden="false" customHeight="true" outlineLevel="0" collapsed="false">
      <c r="A4306" s="42"/>
      <c r="B4306" s="42"/>
      <c r="C4306" s="42"/>
      <c r="D4306" s="42"/>
      <c r="E4306" s="42"/>
      <c r="F4306" s="51" t="n">
        <f aca="false">IF(OR(C4306="",D4306="",E4306="",E4306=0),0,C4306*D4306/E4306)</f>
        <v>0</v>
      </c>
      <c r="G4306" s="42"/>
      <c r="H4306" s="49" t="n">
        <f aca="true">IF(OR($A4306="",_xlfn.MINIFS($B$3:$B$5000,$A$3:$A$5000,$A4306,$B$3:$B$5000,"&gt;"&amp;$B4306)=0),NOW(),_xlfn.MINIFS($B$3:$B$5000,$A$3:$A$5000,$A4306,$B$3:$B$5000,"&gt;"&amp;$B4306))</f>
        <v>46279.5987645014</v>
      </c>
    </row>
    <row r="4307" customFormat="false" ht="15" hidden="false" customHeight="true" outlineLevel="0" collapsed="false">
      <c r="A4307" s="42"/>
      <c r="B4307" s="42"/>
      <c r="C4307" s="42"/>
      <c r="D4307" s="42"/>
      <c r="E4307" s="42"/>
      <c r="F4307" s="51" t="n">
        <f aca="false">IF(OR(C4307="",D4307="",E4307="",E4307=0),0,C4307*D4307/E4307)</f>
        <v>0</v>
      </c>
      <c r="G4307" s="42"/>
      <c r="H4307" s="49" t="n">
        <f aca="true">IF(OR($A4307="",_xlfn.MINIFS($B$3:$B$5000,$A$3:$A$5000,$A4307,$B$3:$B$5000,"&gt;"&amp;$B4307)=0),NOW(),_xlfn.MINIFS($B$3:$B$5000,$A$3:$A$5000,$A4307,$B$3:$B$5000,"&gt;"&amp;$B4307))</f>
        <v>46279.5987645015</v>
      </c>
    </row>
    <row r="4308" customFormat="false" ht="15" hidden="false" customHeight="true" outlineLevel="0" collapsed="false">
      <c r="A4308" s="42"/>
      <c r="B4308" s="42"/>
      <c r="C4308" s="42"/>
      <c r="D4308" s="42"/>
      <c r="E4308" s="42"/>
      <c r="F4308" s="51" t="n">
        <f aca="false">IF(OR(C4308="",D4308="",E4308="",E4308=0),0,C4308*D4308/E4308)</f>
        <v>0</v>
      </c>
      <c r="G4308" s="42"/>
      <c r="H4308" s="49" t="n">
        <f aca="true">IF(OR($A4308="",_xlfn.MINIFS($B$3:$B$5000,$A$3:$A$5000,$A4308,$B$3:$B$5000,"&gt;"&amp;$B4308)=0),NOW(),_xlfn.MINIFS($B$3:$B$5000,$A$3:$A$5000,$A4308,$B$3:$B$5000,"&gt;"&amp;$B4308))</f>
        <v>46279.5987645015</v>
      </c>
    </row>
    <row r="4309" customFormat="false" ht="15" hidden="false" customHeight="true" outlineLevel="0" collapsed="false">
      <c r="A4309" s="42"/>
      <c r="B4309" s="42"/>
      <c r="C4309" s="42"/>
      <c r="D4309" s="42"/>
      <c r="E4309" s="42"/>
      <c r="F4309" s="51" t="n">
        <f aca="false">IF(OR(C4309="",D4309="",E4309="",E4309=0),0,C4309*D4309/E4309)</f>
        <v>0</v>
      </c>
      <c r="G4309" s="42"/>
      <c r="H4309" s="49" t="n">
        <f aca="true">IF(OR($A4309="",_xlfn.MINIFS($B$3:$B$5000,$A$3:$A$5000,$A4309,$B$3:$B$5000,"&gt;"&amp;$B4309)=0),NOW(),_xlfn.MINIFS($B$3:$B$5000,$A$3:$A$5000,$A4309,$B$3:$B$5000,"&gt;"&amp;$B4309))</f>
        <v>46279.5987645016</v>
      </c>
    </row>
    <row r="4310" customFormat="false" ht="15" hidden="false" customHeight="true" outlineLevel="0" collapsed="false">
      <c r="A4310" s="42"/>
      <c r="B4310" s="42"/>
      <c r="C4310" s="42"/>
      <c r="D4310" s="42"/>
      <c r="E4310" s="42"/>
      <c r="F4310" s="51" t="n">
        <f aca="false">IF(OR(C4310="",D4310="",E4310="",E4310=0),0,C4310*D4310/E4310)</f>
        <v>0</v>
      </c>
      <c r="G4310" s="42"/>
      <c r="H4310" s="49" t="n">
        <f aca="true">IF(OR($A4310="",_xlfn.MINIFS($B$3:$B$5000,$A$3:$A$5000,$A4310,$B$3:$B$5000,"&gt;"&amp;$B4310)=0),NOW(),_xlfn.MINIFS($B$3:$B$5000,$A$3:$A$5000,$A4310,$B$3:$B$5000,"&gt;"&amp;$B4310))</f>
        <v>46279.5987645016</v>
      </c>
    </row>
    <row r="4311" customFormat="false" ht="15" hidden="false" customHeight="true" outlineLevel="0" collapsed="false">
      <c r="A4311" s="42"/>
      <c r="B4311" s="42"/>
      <c r="C4311" s="42"/>
      <c r="D4311" s="42"/>
      <c r="E4311" s="42"/>
      <c r="F4311" s="51" t="n">
        <f aca="false">IF(OR(C4311="",D4311="",E4311="",E4311=0),0,C4311*D4311/E4311)</f>
        <v>0</v>
      </c>
      <c r="G4311" s="42"/>
      <c r="H4311" s="49" t="n">
        <f aca="true">IF(OR($A4311="",_xlfn.MINIFS($B$3:$B$5000,$A$3:$A$5000,$A4311,$B$3:$B$5000,"&gt;"&amp;$B4311)=0),NOW(),_xlfn.MINIFS($B$3:$B$5000,$A$3:$A$5000,$A4311,$B$3:$B$5000,"&gt;"&amp;$B4311))</f>
        <v>46279.5987645017</v>
      </c>
    </row>
    <row r="4312" customFormat="false" ht="15" hidden="false" customHeight="true" outlineLevel="0" collapsed="false">
      <c r="A4312" s="42"/>
      <c r="B4312" s="42"/>
      <c r="C4312" s="42"/>
      <c r="D4312" s="42"/>
      <c r="E4312" s="42"/>
      <c r="F4312" s="51" t="n">
        <f aca="false">IF(OR(C4312="",D4312="",E4312="",E4312=0),0,C4312*D4312/E4312)</f>
        <v>0</v>
      </c>
      <c r="G4312" s="42"/>
      <c r="H4312" s="49" t="n">
        <f aca="true">IF(OR($A4312="",_xlfn.MINIFS($B$3:$B$5000,$A$3:$A$5000,$A4312,$B$3:$B$5000,"&gt;"&amp;$B4312)=0),NOW(),_xlfn.MINIFS($B$3:$B$5000,$A$3:$A$5000,$A4312,$B$3:$B$5000,"&gt;"&amp;$B4312))</f>
        <v>46279.5987645017</v>
      </c>
    </row>
    <row r="4313" customFormat="false" ht="15" hidden="false" customHeight="true" outlineLevel="0" collapsed="false">
      <c r="A4313" s="42"/>
      <c r="B4313" s="42"/>
      <c r="C4313" s="42"/>
      <c r="D4313" s="42"/>
      <c r="E4313" s="42"/>
      <c r="F4313" s="51" t="n">
        <f aca="false">IF(OR(C4313="",D4313="",E4313="",E4313=0),0,C4313*D4313/E4313)</f>
        <v>0</v>
      </c>
      <c r="G4313" s="42"/>
      <c r="H4313" s="49" t="n">
        <f aca="true">IF(OR($A4313="",_xlfn.MINIFS($B$3:$B$5000,$A$3:$A$5000,$A4313,$B$3:$B$5000,"&gt;"&amp;$B4313)=0),NOW(),_xlfn.MINIFS($B$3:$B$5000,$A$3:$A$5000,$A4313,$B$3:$B$5000,"&gt;"&amp;$B4313))</f>
        <v>46279.5987645018</v>
      </c>
    </row>
    <row r="4314" customFormat="false" ht="15" hidden="false" customHeight="true" outlineLevel="0" collapsed="false">
      <c r="A4314" s="42"/>
      <c r="B4314" s="42"/>
      <c r="C4314" s="42"/>
      <c r="D4314" s="42"/>
      <c r="E4314" s="42"/>
      <c r="F4314" s="51" t="n">
        <f aca="false">IF(OR(C4314="",D4314="",E4314="",E4314=0),0,C4314*D4314/E4314)</f>
        <v>0</v>
      </c>
      <c r="G4314" s="42"/>
      <c r="H4314" s="49" t="n">
        <f aca="true">IF(OR($A4314="",_xlfn.MINIFS($B$3:$B$5000,$A$3:$A$5000,$A4314,$B$3:$B$5000,"&gt;"&amp;$B4314)=0),NOW(),_xlfn.MINIFS($B$3:$B$5000,$A$3:$A$5000,$A4314,$B$3:$B$5000,"&gt;"&amp;$B4314))</f>
        <v>46279.5987645018</v>
      </c>
    </row>
    <row r="4315" customFormat="false" ht="15" hidden="false" customHeight="true" outlineLevel="0" collapsed="false">
      <c r="A4315" s="42"/>
      <c r="B4315" s="42"/>
      <c r="C4315" s="42"/>
      <c r="D4315" s="42"/>
      <c r="E4315" s="42"/>
      <c r="F4315" s="51" t="n">
        <f aca="false">IF(OR(C4315="",D4315="",E4315="",E4315=0),0,C4315*D4315/E4315)</f>
        <v>0</v>
      </c>
      <c r="G4315" s="42"/>
      <c r="H4315" s="49" t="n">
        <f aca="true">IF(OR($A4315="",_xlfn.MINIFS($B$3:$B$5000,$A$3:$A$5000,$A4315,$B$3:$B$5000,"&gt;"&amp;$B4315)=0),NOW(),_xlfn.MINIFS($B$3:$B$5000,$A$3:$A$5000,$A4315,$B$3:$B$5000,"&gt;"&amp;$B4315))</f>
        <v>46279.5987645019</v>
      </c>
    </row>
    <row r="4316" customFormat="false" ht="15" hidden="false" customHeight="true" outlineLevel="0" collapsed="false">
      <c r="A4316" s="42"/>
      <c r="B4316" s="42"/>
      <c r="C4316" s="42"/>
      <c r="D4316" s="42"/>
      <c r="E4316" s="42"/>
      <c r="F4316" s="51" t="n">
        <f aca="false">IF(OR(C4316="",D4316="",E4316="",E4316=0),0,C4316*D4316/E4316)</f>
        <v>0</v>
      </c>
      <c r="G4316" s="42"/>
      <c r="H4316" s="49" t="n">
        <f aca="true">IF(OR($A4316="",_xlfn.MINIFS($B$3:$B$5000,$A$3:$A$5000,$A4316,$B$3:$B$5000,"&gt;"&amp;$B4316)=0),NOW(),_xlfn.MINIFS($B$3:$B$5000,$A$3:$A$5000,$A4316,$B$3:$B$5000,"&gt;"&amp;$B4316))</f>
        <v>46279.5987645019</v>
      </c>
    </row>
    <row r="4317" customFormat="false" ht="15" hidden="false" customHeight="true" outlineLevel="0" collapsed="false">
      <c r="A4317" s="42"/>
      <c r="B4317" s="42"/>
      <c r="C4317" s="42"/>
      <c r="D4317" s="42"/>
      <c r="E4317" s="42"/>
      <c r="F4317" s="51" t="n">
        <f aca="false">IF(OR(C4317="",D4317="",E4317="",E4317=0),0,C4317*D4317/E4317)</f>
        <v>0</v>
      </c>
      <c r="G4317" s="42"/>
      <c r="H4317" s="49" t="n">
        <f aca="true">IF(OR($A4317="",_xlfn.MINIFS($B$3:$B$5000,$A$3:$A$5000,$A4317,$B$3:$B$5000,"&gt;"&amp;$B4317)=0),NOW(),_xlfn.MINIFS($B$3:$B$5000,$A$3:$A$5000,$A4317,$B$3:$B$5000,"&gt;"&amp;$B4317))</f>
        <v>46279.598764502</v>
      </c>
    </row>
    <row r="4318" customFormat="false" ht="15" hidden="false" customHeight="true" outlineLevel="0" collapsed="false">
      <c r="A4318" s="42"/>
      <c r="B4318" s="42"/>
      <c r="C4318" s="42"/>
      <c r="D4318" s="42"/>
      <c r="E4318" s="42"/>
      <c r="F4318" s="51" t="n">
        <f aca="false">IF(OR(C4318="",D4318="",E4318="",E4318=0),0,C4318*D4318/E4318)</f>
        <v>0</v>
      </c>
      <c r="G4318" s="42"/>
      <c r="H4318" s="49" t="n">
        <f aca="true">IF(OR($A4318="",_xlfn.MINIFS($B$3:$B$5000,$A$3:$A$5000,$A4318,$B$3:$B$5000,"&gt;"&amp;$B4318)=0),NOW(),_xlfn.MINIFS($B$3:$B$5000,$A$3:$A$5000,$A4318,$B$3:$B$5000,"&gt;"&amp;$B4318))</f>
        <v>46279.598764502</v>
      </c>
    </row>
    <row r="4319" customFormat="false" ht="15" hidden="false" customHeight="true" outlineLevel="0" collapsed="false">
      <c r="A4319" s="42"/>
      <c r="B4319" s="42"/>
      <c r="C4319" s="42"/>
      <c r="D4319" s="42"/>
      <c r="E4319" s="42"/>
      <c r="F4319" s="51" t="n">
        <f aca="false">IF(OR(C4319="",D4319="",E4319="",E4319=0),0,C4319*D4319/E4319)</f>
        <v>0</v>
      </c>
      <c r="G4319" s="42"/>
      <c r="H4319" s="49" t="n">
        <f aca="true">IF(OR($A4319="",_xlfn.MINIFS($B$3:$B$5000,$A$3:$A$5000,$A4319,$B$3:$B$5000,"&gt;"&amp;$B4319)=0),NOW(),_xlfn.MINIFS($B$3:$B$5000,$A$3:$A$5000,$A4319,$B$3:$B$5000,"&gt;"&amp;$B4319))</f>
        <v>46279.5987645021</v>
      </c>
    </row>
    <row r="4320" customFormat="false" ht="15" hidden="false" customHeight="true" outlineLevel="0" collapsed="false">
      <c r="A4320" s="42"/>
      <c r="B4320" s="42"/>
      <c r="C4320" s="42"/>
      <c r="D4320" s="42"/>
      <c r="E4320" s="42"/>
      <c r="F4320" s="51" t="n">
        <f aca="false">IF(OR(C4320="",D4320="",E4320="",E4320=0),0,C4320*D4320/E4320)</f>
        <v>0</v>
      </c>
      <c r="G4320" s="42"/>
      <c r="H4320" s="49" t="n">
        <f aca="true">IF(OR($A4320="",_xlfn.MINIFS($B$3:$B$5000,$A$3:$A$5000,$A4320,$B$3:$B$5000,"&gt;"&amp;$B4320)=0),NOW(),_xlfn.MINIFS($B$3:$B$5000,$A$3:$A$5000,$A4320,$B$3:$B$5000,"&gt;"&amp;$B4320))</f>
        <v>46279.5987645021</v>
      </c>
    </row>
    <row r="4321" customFormat="false" ht="15" hidden="false" customHeight="true" outlineLevel="0" collapsed="false">
      <c r="A4321" s="42"/>
      <c r="B4321" s="42"/>
      <c r="C4321" s="42"/>
      <c r="D4321" s="42"/>
      <c r="E4321" s="42"/>
      <c r="F4321" s="51" t="n">
        <f aca="false">IF(OR(C4321="",D4321="",E4321="",E4321=0),0,C4321*D4321/E4321)</f>
        <v>0</v>
      </c>
      <c r="G4321" s="42"/>
      <c r="H4321" s="49" t="n">
        <f aca="true">IF(OR($A4321="",_xlfn.MINIFS($B$3:$B$5000,$A$3:$A$5000,$A4321,$B$3:$B$5000,"&gt;"&amp;$B4321)=0),NOW(),_xlfn.MINIFS($B$3:$B$5000,$A$3:$A$5000,$A4321,$B$3:$B$5000,"&gt;"&amp;$B4321))</f>
        <v>46279.5987645022</v>
      </c>
    </row>
    <row r="4322" customFormat="false" ht="15" hidden="false" customHeight="true" outlineLevel="0" collapsed="false">
      <c r="A4322" s="42"/>
      <c r="B4322" s="42"/>
      <c r="C4322" s="42"/>
      <c r="D4322" s="42"/>
      <c r="E4322" s="42"/>
      <c r="F4322" s="51" t="n">
        <f aca="false">IF(OR(C4322="",D4322="",E4322="",E4322=0),0,C4322*D4322/E4322)</f>
        <v>0</v>
      </c>
      <c r="G4322" s="42"/>
      <c r="H4322" s="49" t="n">
        <f aca="true">IF(OR($A4322="",_xlfn.MINIFS($B$3:$B$5000,$A$3:$A$5000,$A4322,$B$3:$B$5000,"&gt;"&amp;$B4322)=0),NOW(),_xlfn.MINIFS($B$3:$B$5000,$A$3:$A$5000,$A4322,$B$3:$B$5000,"&gt;"&amp;$B4322))</f>
        <v>46279.5987645022</v>
      </c>
    </row>
    <row r="4323" customFormat="false" ht="15" hidden="false" customHeight="true" outlineLevel="0" collapsed="false">
      <c r="A4323" s="42"/>
      <c r="B4323" s="42"/>
      <c r="C4323" s="42"/>
      <c r="D4323" s="42"/>
      <c r="E4323" s="42"/>
      <c r="F4323" s="51" t="n">
        <f aca="false">IF(OR(C4323="",D4323="",E4323="",E4323=0),0,C4323*D4323/E4323)</f>
        <v>0</v>
      </c>
      <c r="G4323" s="42"/>
      <c r="H4323" s="49" t="n">
        <f aca="true">IF(OR($A4323="",_xlfn.MINIFS($B$3:$B$5000,$A$3:$A$5000,$A4323,$B$3:$B$5000,"&gt;"&amp;$B4323)=0),NOW(),_xlfn.MINIFS($B$3:$B$5000,$A$3:$A$5000,$A4323,$B$3:$B$5000,"&gt;"&amp;$B4323))</f>
        <v>46279.5987645023</v>
      </c>
    </row>
    <row r="4324" customFormat="false" ht="15" hidden="false" customHeight="true" outlineLevel="0" collapsed="false">
      <c r="A4324" s="42"/>
      <c r="B4324" s="42"/>
      <c r="C4324" s="42"/>
      <c r="D4324" s="42"/>
      <c r="E4324" s="42"/>
      <c r="F4324" s="51" t="n">
        <f aca="false">IF(OR(C4324="",D4324="",E4324="",E4324=0),0,C4324*D4324/E4324)</f>
        <v>0</v>
      </c>
      <c r="G4324" s="42"/>
      <c r="H4324" s="49" t="n">
        <f aca="true">IF(OR($A4324="",_xlfn.MINIFS($B$3:$B$5000,$A$3:$A$5000,$A4324,$B$3:$B$5000,"&gt;"&amp;$B4324)=0),NOW(),_xlfn.MINIFS($B$3:$B$5000,$A$3:$A$5000,$A4324,$B$3:$B$5000,"&gt;"&amp;$B4324))</f>
        <v>46279.5987645023</v>
      </c>
    </row>
    <row r="4325" customFormat="false" ht="15" hidden="false" customHeight="true" outlineLevel="0" collapsed="false">
      <c r="A4325" s="42"/>
      <c r="B4325" s="42"/>
      <c r="C4325" s="42"/>
      <c r="D4325" s="42"/>
      <c r="E4325" s="42"/>
      <c r="F4325" s="51" t="n">
        <f aca="false">IF(OR(C4325="",D4325="",E4325="",E4325=0),0,C4325*D4325/E4325)</f>
        <v>0</v>
      </c>
      <c r="G4325" s="42"/>
      <c r="H4325" s="49" t="n">
        <f aca="true">IF(OR($A4325="",_xlfn.MINIFS($B$3:$B$5000,$A$3:$A$5000,$A4325,$B$3:$B$5000,"&gt;"&amp;$B4325)=0),NOW(),_xlfn.MINIFS($B$3:$B$5000,$A$3:$A$5000,$A4325,$B$3:$B$5000,"&gt;"&amp;$B4325))</f>
        <v>46279.5987645024</v>
      </c>
    </row>
    <row r="4326" customFormat="false" ht="15" hidden="false" customHeight="true" outlineLevel="0" collapsed="false">
      <c r="A4326" s="42"/>
      <c r="B4326" s="42"/>
      <c r="C4326" s="42"/>
      <c r="D4326" s="42"/>
      <c r="E4326" s="42"/>
      <c r="F4326" s="51" t="n">
        <f aca="false">IF(OR(C4326="",D4326="",E4326="",E4326=0),0,C4326*D4326/E4326)</f>
        <v>0</v>
      </c>
      <c r="G4326" s="42"/>
      <c r="H4326" s="49" t="n">
        <f aca="true">IF(OR($A4326="",_xlfn.MINIFS($B$3:$B$5000,$A$3:$A$5000,$A4326,$B$3:$B$5000,"&gt;"&amp;$B4326)=0),NOW(),_xlfn.MINIFS($B$3:$B$5000,$A$3:$A$5000,$A4326,$B$3:$B$5000,"&gt;"&amp;$B4326))</f>
        <v>46279.5987645024</v>
      </c>
    </row>
    <row r="4327" customFormat="false" ht="15" hidden="false" customHeight="true" outlineLevel="0" collapsed="false">
      <c r="A4327" s="42"/>
      <c r="B4327" s="42"/>
      <c r="C4327" s="42"/>
      <c r="D4327" s="42"/>
      <c r="E4327" s="42"/>
      <c r="F4327" s="51" t="n">
        <f aca="false">IF(OR(C4327="",D4327="",E4327="",E4327=0),0,C4327*D4327/E4327)</f>
        <v>0</v>
      </c>
      <c r="G4327" s="42"/>
      <c r="H4327" s="49" t="n">
        <f aca="true">IF(OR($A4327="",_xlfn.MINIFS($B$3:$B$5000,$A$3:$A$5000,$A4327,$B$3:$B$5000,"&gt;"&amp;$B4327)=0),NOW(),_xlfn.MINIFS($B$3:$B$5000,$A$3:$A$5000,$A4327,$B$3:$B$5000,"&gt;"&amp;$B4327))</f>
        <v>46279.5987645025</v>
      </c>
    </row>
    <row r="4328" customFormat="false" ht="15" hidden="false" customHeight="true" outlineLevel="0" collapsed="false">
      <c r="A4328" s="42"/>
      <c r="B4328" s="42"/>
      <c r="C4328" s="42"/>
      <c r="D4328" s="42"/>
      <c r="E4328" s="42"/>
      <c r="F4328" s="51" t="n">
        <f aca="false">IF(OR(C4328="",D4328="",E4328="",E4328=0),0,C4328*D4328/E4328)</f>
        <v>0</v>
      </c>
      <c r="G4328" s="42"/>
      <c r="H4328" s="49" t="n">
        <f aca="true">IF(OR($A4328="",_xlfn.MINIFS($B$3:$B$5000,$A$3:$A$5000,$A4328,$B$3:$B$5000,"&gt;"&amp;$B4328)=0),NOW(),_xlfn.MINIFS($B$3:$B$5000,$A$3:$A$5000,$A4328,$B$3:$B$5000,"&gt;"&amp;$B4328))</f>
        <v>46279.5987645025</v>
      </c>
    </row>
    <row r="4329" customFormat="false" ht="15" hidden="false" customHeight="true" outlineLevel="0" collapsed="false">
      <c r="A4329" s="42"/>
      <c r="B4329" s="42"/>
      <c r="C4329" s="42"/>
      <c r="D4329" s="42"/>
      <c r="E4329" s="42"/>
      <c r="F4329" s="51" t="n">
        <f aca="false">IF(OR(C4329="",D4329="",E4329="",E4329=0),0,C4329*D4329/E4329)</f>
        <v>0</v>
      </c>
      <c r="G4329" s="42"/>
      <c r="H4329" s="49" t="n">
        <f aca="true">IF(OR($A4329="",_xlfn.MINIFS($B$3:$B$5000,$A$3:$A$5000,$A4329,$B$3:$B$5000,"&gt;"&amp;$B4329)=0),NOW(),_xlfn.MINIFS($B$3:$B$5000,$A$3:$A$5000,$A4329,$B$3:$B$5000,"&gt;"&amp;$B4329))</f>
        <v>46279.5987645026</v>
      </c>
    </row>
    <row r="4330" customFormat="false" ht="15" hidden="false" customHeight="true" outlineLevel="0" collapsed="false">
      <c r="A4330" s="42"/>
      <c r="B4330" s="42"/>
      <c r="C4330" s="42"/>
      <c r="D4330" s="42"/>
      <c r="E4330" s="42"/>
      <c r="F4330" s="51" t="n">
        <f aca="false">IF(OR(C4330="",D4330="",E4330="",E4330=0),0,C4330*D4330/E4330)</f>
        <v>0</v>
      </c>
      <c r="G4330" s="42"/>
      <c r="H4330" s="49" t="n">
        <f aca="true">IF(OR($A4330="",_xlfn.MINIFS($B$3:$B$5000,$A$3:$A$5000,$A4330,$B$3:$B$5000,"&gt;"&amp;$B4330)=0),NOW(),_xlfn.MINIFS($B$3:$B$5000,$A$3:$A$5000,$A4330,$B$3:$B$5000,"&gt;"&amp;$B4330))</f>
        <v>46279.5987645026</v>
      </c>
    </row>
    <row r="4331" customFormat="false" ht="15" hidden="false" customHeight="true" outlineLevel="0" collapsed="false">
      <c r="A4331" s="42"/>
      <c r="B4331" s="42"/>
      <c r="C4331" s="42"/>
      <c r="D4331" s="42"/>
      <c r="E4331" s="42"/>
      <c r="F4331" s="51" t="n">
        <f aca="false">IF(OR(C4331="",D4331="",E4331="",E4331=0),0,C4331*D4331/E4331)</f>
        <v>0</v>
      </c>
      <c r="G4331" s="42"/>
      <c r="H4331" s="49" t="n">
        <f aca="true">IF(OR($A4331="",_xlfn.MINIFS($B$3:$B$5000,$A$3:$A$5000,$A4331,$B$3:$B$5000,"&gt;"&amp;$B4331)=0),NOW(),_xlfn.MINIFS($B$3:$B$5000,$A$3:$A$5000,$A4331,$B$3:$B$5000,"&gt;"&amp;$B4331))</f>
        <v>46279.5987645027</v>
      </c>
    </row>
    <row r="4332" customFormat="false" ht="15" hidden="false" customHeight="true" outlineLevel="0" collapsed="false">
      <c r="A4332" s="42"/>
      <c r="B4332" s="42"/>
      <c r="C4332" s="42"/>
      <c r="D4332" s="42"/>
      <c r="E4332" s="42"/>
      <c r="F4332" s="51" t="n">
        <f aca="false">IF(OR(C4332="",D4332="",E4332="",E4332=0),0,C4332*D4332/E4332)</f>
        <v>0</v>
      </c>
      <c r="G4332" s="42"/>
      <c r="H4332" s="49" t="n">
        <f aca="true">IF(OR($A4332="",_xlfn.MINIFS($B$3:$B$5000,$A$3:$A$5000,$A4332,$B$3:$B$5000,"&gt;"&amp;$B4332)=0),NOW(),_xlfn.MINIFS($B$3:$B$5000,$A$3:$A$5000,$A4332,$B$3:$B$5000,"&gt;"&amp;$B4332))</f>
        <v>46279.5987645027</v>
      </c>
    </row>
    <row r="4333" customFormat="false" ht="15" hidden="false" customHeight="true" outlineLevel="0" collapsed="false">
      <c r="A4333" s="42"/>
      <c r="B4333" s="42"/>
      <c r="C4333" s="42"/>
      <c r="D4333" s="42"/>
      <c r="E4333" s="42"/>
      <c r="F4333" s="51" t="n">
        <f aca="false">IF(OR(C4333="",D4333="",E4333="",E4333=0),0,C4333*D4333/E4333)</f>
        <v>0</v>
      </c>
      <c r="G4333" s="42"/>
      <c r="H4333" s="49" t="n">
        <f aca="true">IF(OR($A4333="",_xlfn.MINIFS($B$3:$B$5000,$A$3:$A$5000,$A4333,$B$3:$B$5000,"&gt;"&amp;$B4333)=0),NOW(),_xlfn.MINIFS($B$3:$B$5000,$A$3:$A$5000,$A4333,$B$3:$B$5000,"&gt;"&amp;$B4333))</f>
        <v>46279.5987645028</v>
      </c>
    </row>
    <row r="4334" customFormat="false" ht="15" hidden="false" customHeight="true" outlineLevel="0" collapsed="false">
      <c r="A4334" s="42"/>
      <c r="B4334" s="42"/>
      <c r="C4334" s="42"/>
      <c r="D4334" s="42"/>
      <c r="E4334" s="42"/>
      <c r="F4334" s="51" t="n">
        <f aca="false">IF(OR(C4334="",D4334="",E4334="",E4334=0),0,C4334*D4334/E4334)</f>
        <v>0</v>
      </c>
      <c r="G4334" s="42"/>
      <c r="H4334" s="49" t="n">
        <f aca="true">IF(OR($A4334="",_xlfn.MINIFS($B$3:$B$5000,$A$3:$A$5000,$A4334,$B$3:$B$5000,"&gt;"&amp;$B4334)=0),NOW(),_xlfn.MINIFS($B$3:$B$5000,$A$3:$A$5000,$A4334,$B$3:$B$5000,"&gt;"&amp;$B4334))</f>
        <v>46279.5987645028</v>
      </c>
    </row>
    <row r="4335" customFormat="false" ht="15" hidden="false" customHeight="true" outlineLevel="0" collapsed="false">
      <c r="A4335" s="42"/>
      <c r="B4335" s="42"/>
      <c r="C4335" s="42"/>
      <c r="D4335" s="42"/>
      <c r="E4335" s="42"/>
      <c r="F4335" s="51" t="n">
        <f aca="false">IF(OR(C4335="",D4335="",E4335="",E4335=0),0,C4335*D4335/E4335)</f>
        <v>0</v>
      </c>
      <c r="G4335" s="42"/>
      <c r="H4335" s="49" t="n">
        <f aca="true">IF(OR($A4335="",_xlfn.MINIFS($B$3:$B$5000,$A$3:$A$5000,$A4335,$B$3:$B$5000,"&gt;"&amp;$B4335)=0),NOW(),_xlfn.MINIFS($B$3:$B$5000,$A$3:$A$5000,$A4335,$B$3:$B$5000,"&gt;"&amp;$B4335))</f>
        <v>46279.5987645029</v>
      </c>
    </row>
    <row r="4336" customFormat="false" ht="15" hidden="false" customHeight="true" outlineLevel="0" collapsed="false">
      <c r="A4336" s="42"/>
      <c r="B4336" s="42"/>
      <c r="C4336" s="42"/>
      <c r="D4336" s="42"/>
      <c r="E4336" s="42"/>
      <c r="F4336" s="51" t="n">
        <f aca="false">IF(OR(C4336="",D4336="",E4336="",E4336=0),0,C4336*D4336/E4336)</f>
        <v>0</v>
      </c>
      <c r="G4336" s="42"/>
      <c r="H4336" s="49" t="n">
        <f aca="true">IF(OR($A4336="",_xlfn.MINIFS($B$3:$B$5000,$A$3:$A$5000,$A4336,$B$3:$B$5000,"&gt;"&amp;$B4336)=0),NOW(),_xlfn.MINIFS($B$3:$B$5000,$A$3:$A$5000,$A4336,$B$3:$B$5000,"&gt;"&amp;$B4336))</f>
        <v>46279.5987645029</v>
      </c>
    </row>
    <row r="4337" customFormat="false" ht="15" hidden="false" customHeight="true" outlineLevel="0" collapsed="false">
      <c r="A4337" s="42"/>
      <c r="B4337" s="42"/>
      <c r="C4337" s="42"/>
      <c r="D4337" s="42"/>
      <c r="E4337" s="42"/>
      <c r="F4337" s="51" t="n">
        <f aca="false">IF(OR(C4337="",D4337="",E4337="",E4337=0),0,C4337*D4337/E4337)</f>
        <v>0</v>
      </c>
      <c r="G4337" s="42"/>
      <c r="H4337" s="49" t="n">
        <f aca="true">IF(OR($A4337="",_xlfn.MINIFS($B$3:$B$5000,$A$3:$A$5000,$A4337,$B$3:$B$5000,"&gt;"&amp;$B4337)=0),NOW(),_xlfn.MINIFS($B$3:$B$5000,$A$3:$A$5000,$A4337,$B$3:$B$5000,"&gt;"&amp;$B4337))</f>
        <v>46279.598764503</v>
      </c>
    </row>
    <row r="4338" customFormat="false" ht="15" hidden="false" customHeight="true" outlineLevel="0" collapsed="false">
      <c r="A4338" s="42"/>
      <c r="B4338" s="42"/>
      <c r="C4338" s="42"/>
      <c r="D4338" s="42"/>
      <c r="E4338" s="42"/>
      <c r="F4338" s="51" t="n">
        <f aca="false">IF(OR(C4338="",D4338="",E4338="",E4338=0),0,C4338*D4338/E4338)</f>
        <v>0</v>
      </c>
      <c r="G4338" s="42"/>
      <c r="H4338" s="49" t="n">
        <f aca="true">IF(OR($A4338="",_xlfn.MINIFS($B$3:$B$5000,$A$3:$A$5000,$A4338,$B$3:$B$5000,"&gt;"&amp;$B4338)=0),NOW(),_xlfn.MINIFS($B$3:$B$5000,$A$3:$A$5000,$A4338,$B$3:$B$5000,"&gt;"&amp;$B4338))</f>
        <v>46279.598764503</v>
      </c>
    </row>
    <row r="4339" customFormat="false" ht="15" hidden="false" customHeight="true" outlineLevel="0" collapsed="false">
      <c r="A4339" s="42"/>
      <c r="B4339" s="42"/>
      <c r="C4339" s="42"/>
      <c r="D4339" s="42"/>
      <c r="E4339" s="42"/>
      <c r="F4339" s="51" t="n">
        <f aca="false">IF(OR(C4339="",D4339="",E4339="",E4339=0),0,C4339*D4339/E4339)</f>
        <v>0</v>
      </c>
      <c r="G4339" s="42"/>
      <c r="H4339" s="49" t="n">
        <f aca="true">IF(OR($A4339="",_xlfn.MINIFS($B$3:$B$5000,$A$3:$A$5000,$A4339,$B$3:$B$5000,"&gt;"&amp;$B4339)=0),NOW(),_xlfn.MINIFS($B$3:$B$5000,$A$3:$A$5000,$A4339,$B$3:$B$5000,"&gt;"&amp;$B4339))</f>
        <v>46279.5987645031</v>
      </c>
    </row>
    <row r="4340" customFormat="false" ht="15" hidden="false" customHeight="true" outlineLevel="0" collapsed="false">
      <c r="A4340" s="42"/>
      <c r="B4340" s="42"/>
      <c r="C4340" s="42"/>
      <c r="D4340" s="42"/>
      <c r="E4340" s="42"/>
      <c r="F4340" s="51" t="n">
        <f aca="false">IF(OR(C4340="",D4340="",E4340="",E4340=0),0,C4340*D4340/E4340)</f>
        <v>0</v>
      </c>
      <c r="G4340" s="42"/>
      <c r="H4340" s="49" t="n">
        <f aca="true">IF(OR($A4340="",_xlfn.MINIFS($B$3:$B$5000,$A$3:$A$5000,$A4340,$B$3:$B$5000,"&gt;"&amp;$B4340)=0),NOW(),_xlfn.MINIFS($B$3:$B$5000,$A$3:$A$5000,$A4340,$B$3:$B$5000,"&gt;"&amp;$B4340))</f>
        <v>46279.5987645031</v>
      </c>
    </row>
    <row r="4341" customFormat="false" ht="15" hidden="false" customHeight="true" outlineLevel="0" collapsed="false">
      <c r="A4341" s="42"/>
      <c r="B4341" s="42"/>
      <c r="C4341" s="42"/>
      <c r="D4341" s="42"/>
      <c r="E4341" s="42"/>
      <c r="F4341" s="51" t="n">
        <f aca="false">IF(OR(C4341="",D4341="",E4341="",E4341=0),0,C4341*D4341/E4341)</f>
        <v>0</v>
      </c>
      <c r="G4341" s="42"/>
      <c r="H4341" s="49" t="n">
        <f aca="true">IF(OR($A4341="",_xlfn.MINIFS($B$3:$B$5000,$A$3:$A$5000,$A4341,$B$3:$B$5000,"&gt;"&amp;$B4341)=0),NOW(),_xlfn.MINIFS($B$3:$B$5000,$A$3:$A$5000,$A4341,$B$3:$B$5000,"&gt;"&amp;$B4341))</f>
        <v>46279.5987645032</v>
      </c>
    </row>
    <row r="4342" customFormat="false" ht="15" hidden="false" customHeight="true" outlineLevel="0" collapsed="false">
      <c r="A4342" s="42"/>
      <c r="B4342" s="42"/>
      <c r="C4342" s="42"/>
      <c r="D4342" s="42"/>
      <c r="E4342" s="42"/>
      <c r="F4342" s="51" t="n">
        <f aca="false">IF(OR(C4342="",D4342="",E4342="",E4342=0),0,C4342*D4342/E4342)</f>
        <v>0</v>
      </c>
      <c r="G4342" s="42"/>
      <c r="H4342" s="49" t="n">
        <f aca="true">IF(OR($A4342="",_xlfn.MINIFS($B$3:$B$5000,$A$3:$A$5000,$A4342,$B$3:$B$5000,"&gt;"&amp;$B4342)=0),NOW(),_xlfn.MINIFS($B$3:$B$5000,$A$3:$A$5000,$A4342,$B$3:$B$5000,"&gt;"&amp;$B4342))</f>
        <v>46279.5987645032</v>
      </c>
    </row>
    <row r="4343" customFormat="false" ht="15" hidden="false" customHeight="true" outlineLevel="0" collapsed="false">
      <c r="A4343" s="42"/>
      <c r="B4343" s="42"/>
      <c r="C4343" s="42"/>
      <c r="D4343" s="42"/>
      <c r="E4343" s="42"/>
      <c r="F4343" s="51" t="n">
        <f aca="false">IF(OR(C4343="",D4343="",E4343="",E4343=0),0,C4343*D4343/E4343)</f>
        <v>0</v>
      </c>
      <c r="G4343" s="42"/>
      <c r="H4343" s="49" t="n">
        <f aca="true">IF(OR($A4343="",_xlfn.MINIFS($B$3:$B$5000,$A$3:$A$5000,$A4343,$B$3:$B$5000,"&gt;"&amp;$B4343)=0),NOW(),_xlfn.MINIFS($B$3:$B$5000,$A$3:$A$5000,$A4343,$B$3:$B$5000,"&gt;"&amp;$B4343))</f>
        <v>46279.5987645033</v>
      </c>
    </row>
    <row r="4344" customFormat="false" ht="15" hidden="false" customHeight="true" outlineLevel="0" collapsed="false">
      <c r="A4344" s="42"/>
      <c r="B4344" s="42"/>
      <c r="C4344" s="42"/>
      <c r="D4344" s="42"/>
      <c r="E4344" s="42"/>
      <c r="F4344" s="51" t="n">
        <f aca="false">IF(OR(C4344="",D4344="",E4344="",E4344=0),0,C4344*D4344/E4344)</f>
        <v>0</v>
      </c>
      <c r="G4344" s="42"/>
      <c r="H4344" s="49" t="n">
        <f aca="true">IF(OR($A4344="",_xlfn.MINIFS($B$3:$B$5000,$A$3:$A$5000,$A4344,$B$3:$B$5000,"&gt;"&amp;$B4344)=0),NOW(),_xlfn.MINIFS($B$3:$B$5000,$A$3:$A$5000,$A4344,$B$3:$B$5000,"&gt;"&amp;$B4344))</f>
        <v>46279.5987645033</v>
      </c>
    </row>
    <row r="4345" customFormat="false" ht="15" hidden="false" customHeight="true" outlineLevel="0" collapsed="false">
      <c r="A4345" s="42"/>
      <c r="B4345" s="42"/>
      <c r="C4345" s="42"/>
      <c r="D4345" s="42"/>
      <c r="E4345" s="42"/>
      <c r="F4345" s="51" t="n">
        <f aca="false">IF(OR(C4345="",D4345="",E4345="",E4345=0),0,C4345*D4345/E4345)</f>
        <v>0</v>
      </c>
      <c r="G4345" s="42"/>
      <c r="H4345" s="49" t="n">
        <f aca="true">IF(OR($A4345="",_xlfn.MINIFS($B$3:$B$5000,$A$3:$A$5000,$A4345,$B$3:$B$5000,"&gt;"&amp;$B4345)=0),NOW(),_xlfn.MINIFS($B$3:$B$5000,$A$3:$A$5000,$A4345,$B$3:$B$5000,"&gt;"&amp;$B4345))</f>
        <v>46279.5987645034</v>
      </c>
    </row>
    <row r="4346" customFormat="false" ht="15" hidden="false" customHeight="true" outlineLevel="0" collapsed="false">
      <c r="A4346" s="42"/>
      <c r="B4346" s="42"/>
      <c r="C4346" s="42"/>
      <c r="D4346" s="42"/>
      <c r="E4346" s="42"/>
      <c r="F4346" s="51" t="n">
        <f aca="false">IF(OR(C4346="",D4346="",E4346="",E4346=0),0,C4346*D4346/E4346)</f>
        <v>0</v>
      </c>
      <c r="G4346" s="42"/>
      <c r="H4346" s="49" t="n">
        <f aca="true">IF(OR($A4346="",_xlfn.MINIFS($B$3:$B$5000,$A$3:$A$5000,$A4346,$B$3:$B$5000,"&gt;"&amp;$B4346)=0),NOW(),_xlfn.MINIFS($B$3:$B$5000,$A$3:$A$5000,$A4346,$B$3:$B$5000,"&gt;"&amp;$B4346))</f>
        <v>46279.5987645034</v>
      </c>
    </row>
    <row r="4347" customFormat="false" ht="15" hidden="false" customHeight="true" outlineLevel="0" collapsed="false">
      <c r="A4347" s="42"/>
      <c r="B4347" s="42"/>
      <c r="C4347" s="42"/>
      <c r="D4347" s="42"/>
      <c r="E4347" s="42"/>
      <c r="F4347" s="51" t="n">
        <f aca="false">IF(OR(C4347="",D4347="",E4347="",E4347=0),0,C4347*D4347/E4347)</f>
        <v>0</v>
      </c>
      <c r="G4347" s="42"/>
      <c r="H4347" s="49" t="n">
        <f aca="true">IF(OR($A4347="",_xlfn.MINIFS($B$3:$B$5000,$A$3:$A$5000,$A4347,$B$3:$B$5000,"&gt;"&amp;$B4347)=0),NOW(),_xlfn.MINIFS($B$3:$B$5000,$A$3:$A$5000,$A4347,$B$3:$B$5000,"&gt;"&amp;$B4347))</f>
        <v>46279.5987645035</v>
      </c>
    </row>
    <row r="4348" customFormat="false" ht="15" hidden="false" customHeight="true" outlineLevel="0" collapsed="false">
      <c r="A4348" s="42"/>
      <c r="B4348" s="42"/>
      <c r="C4348" s="42"/>
      <c r="D4348" s="42"/>
      <c r="E4348" s="42"/>
      <c r="F4348" s="51" t="n">
        <f aca="false">IF(OR(C4348="",D4348="",E4348="",E4348=0),0,C4348*D4348/E4348)</f>
        <v>0</v>
      </c>
      <c r="G4348" s="42"/>
      <c r="H4348" s="49" t="n">
        <f aca="true">IF(OR($A4348="",_xlfn.MINIFS($B$3:$B$5000,$A$3:$A$5000,$A4348,$B$3:$B$5000,"&gt;"&amp;$B4348)=0),NOW(),_xlfn.MINIFS($B$3:$B$5000,$A$3:$A$5000,$A4348,$B$3:$B$5000,"&gt;"&amp;$B4348))</f>
        <v>46279.5987645035</v>
      </c>
    </row>
    <row r="4349" customFormat="false" ht="15" hidden="false" customHeight="true" outlineLevel="0" collapsed="false">
      <c r="A4349" s="42"/>
      <c r="B4349" s="42"/>
      <c r="C4349" s="42"/>
      <c r="D4349" s="42"/>
      <c r="E4349" s="42"/>
      <c r="F4349" s="51" t="n">
        <f aca="false">IF(OR(C4349="",D4349="",E4349="",E4349=0),0,C4349*D4349/E4349)</f>
        <v>0</v>
      </c>
      <c r="G4349" s="42"/>
      <c r="H4349" s="49" t="n">
        <f aca="true">IF(OR($A4349="",_xlfn.MINIFS($B$3:$B$5000,$A$3:$A$5000,$A4349,$B$3:$B$5000,"&gt;"&amp;$B4349)=0),NOW(),_xlfn.MINIFS($B$3:$B$5000,$A$3:$A$5000,$A4349,$B$3:$B$5000,"&gt;"&amp;$B4349))</f>
        <v>46279.5987645036</v>
      </c>
    </row>
    <row r="4350" customFormat="false" ht="15" hidden="false" customHeight="true" outlineLevel="0" collapsed="false">
      <c r="A4350" s="42"/>
      <c r="B4350" s="42"/>
      <c r="C4350" s="42"/>
      <c r="D4350" s="42"/>
      <c r="E4350" s="42"/>
      <c r="F4350" s="51" t="n">
        <f aca="false">IF(OR(C4350="",D4350="",E4350="",E4350=0),0,C4350*D4350/E4350)</f>
        <v>0</v>
      </c>
      <c r="G4350" s="42"/>
      <c r="H4350" s="49" t="n">
        <f aca="true">IF(OR($A4350="",_xlfn.MINIFS($B$3:$B$5000,$A$3:$A$5000,$A4350,$B$3:$B$5000,"&gt;"&amp;$B4350)=0),NOW(),_xlfn.MINIFS($B$3:$B$5000,$A$3:$A$5000,$A4350,$B$3:$B$5000,"&gt;"&amp;$B4350))</f>
        <v>46279.5987645036</v>
      </c>
    </row>
    <row r="4351" customFormat="false" ht="15" hidden="false" customHeight="true" outlineLevel="0" collapsed="false">
      <c r="A4351" s="42"/>
      <c r="B4351" s="42"/>
      <c r="C4351" s="42"/>
      <c r="D4351" s="42"/>
      <c r="E4351" s="42"/>
      <c r="F4351" s="51" t="n">
        <f aca="false">IF(OR(C4351="",D4351="",E4351="",E4351=0),0,C4351*D4351/E4351)</f>
        <v>0</v>
      </c>
      <c r="G4351" s="42"/>
      <c r="H4351" s="49" t="n">
        <f aca="true">IF(OR($A4351="",_xlfn.MINIFS($B$3:$B$5000,$A$3:$A$5000,$A4351,$B$3:$B$5000,"&gt;"&amp;$B4351)=0),NOW(),_xlfn.MINIFS($B$3:$B$5000,$A$3:$A$5000,$A4351,$B$3:$B$5000,"&gt;"&amp;$B4351))</f>
        <v>46279.5987645037</v>
      </c>
    </row>
    <row r="4352" customFormat="false" ht="15" hidden="false" customHeight="true" outlineLevel="0" collapsed="false">
      <c r="A4352" s="42"/>
      <c r="B4352" s="42"/>
      <c r="C4352" s="42"/>
      <c r="D4352" s="42"/>
      <c r="E4352" s="42"/>
      <c r="F4352" s="51" t="n">
        <f aca="false">IF(OR(C4352="",D4352="",E4352="",E4352=0),0,C4352*D4352/E4352)</f>
        <v>0</v>
      </c>
      <c r="G4352" s="42"/>
      <c r="H4352" s="49" t="n">
        <f aca="true">IF(OR($A4352="",_xlfn.MINIFS($B$3:$B$5000,$A$3:$A$5000,$A4352,$B$3:$B$5000,"&gt;"&amp;$B4352)=0),NOW(),_xlfn.MINIFS($B$3:$B$5000,$A$3:$A$5000,$A4352,$B$3:$B$5000,"&gt;"&amp;$B4352))</f>
        <v>46279.5987645037</v>
      </c>
    </row>
    <row r="4353" customFormat="false" ht="15" hidden="false" customHeight="true" outlineLevel="0" collapsed="false">
      <c r="A4353" s="42"/>
      <c r="B4353" s="42"/>
      <c r="C4353" s="42"/>
      <c r="D4353" s="42"/>
      <c r="E4353" s="42"/>
      <c r="F4353" s="51" t="n">
        <f aca="false">IF(OR(C4353="",D4353="",E4353="",E4353=0),0,C4353*D4353/E4353)</f>
        <v>0</v>
      </c>
      <c r="G4353" s="42"/>
      <c r="H4353" s="49" t="n">
        <f aca="true">IF(OR($A4353="",_xlfn.MINIFS($B$3:$B$5000,$A$3:$A$5000,$A4353,$B$3:$B$5000,"&gt;"&amp;$B4353)=0),NOW(),_xlfn.MINIFS($B$3:$B$5000,$A$3:$A$5000,$A4353,$B$3:$B$5000,"&gt;"&amp;$B4353))</f>
        <v>46279.5987645038</v>
      </c>
    </row>
    <row r="4354" customFormat="false" ht="15" hidden="false" customHeight="true" outlineLevel="0" collapsed="false">
      <c r="A4354" s="42"/>
      <c r="B4354" s="42"/>
      <c r="C4354" s="42"/>
      <c r="D4354" s="42"/>
      <c r="E4354" s="42"/>
      <c r="F4354" s="51" t="n">
        <f aca="false">IF(OR(C4354="",D4354="",E4354="",E4354=0),0,C4354*D4354/E4354)</f>
        <v>0</v>
      </c>
      <c r="G4354" s="42"/>
      <c r="H4354" s="49" t="n">
        <f aca="true">IF(OR($A4354="",_xlfn.MINIFS($B$3:$B$5000,$A$3:$A$5000,$A4354,$B$3:$B$5000,"&gt;"&amp;$B4354)=0),NOW(),_xlfn.MINIFS($B$3:$B$5000,$A$3:$A$5000,$A4354,$B$3:$B$5000,"&gt;"&amp;$B4354))</f>
        <v>46279.5987645038</v>
      </c>
    </row>
    <row r="4355" customFormat="false" ht="15" hidden="false" customHeight="true" outlineLevel="0" collapsed="false">
      <c r="A4355" s="42"/>
      <c r="B4355" s="42"/>
      <c r="C4355" s="42"/>
      <c r="D4355" s="42"/>
      <c r="E4355" s="42"/>
      <c r="F4355" s="51" t="n">
        <f aca="false">IF(OR(C4355="",D4355="",E4355="",E4355=0),0,C4355*D4355/E4355)</f>
        <v>0</v>
      </c>
      <c r="G4355" s="42"/>
      <c r="H4355" s="49" t="n">
        <f aca="true">IF(OR($A4355="",_xlfn.MINIFS($B$3:$B$5000,$A$3:$A$5000,$A4355,$B$3:$B$5000,"&gt;"&amp;$B4355)=0),NOW(),_xlfn.MINIFS($B$3:$B$5000,$A$3:$A$5000,$A4355,$B$3:$B$5000,"&gt;"&amp;$B4355))</f>
        <v>46279.5987645039</v>
      </c>
    </row>
    <row r="4356" customFormat="false" ht="15" hidden="false" customHeight="true" outlineLevel="0" collapsed="false">
      <c r="A4356" s="42"/>
      <c r="B4356" s="42"/>
      <c r="C4356" s="42"/>
      <c r="D4356" s="42"/>
      <c r="E4356" s="42"/>
      <c r="F4356" s="51" t="n">
        <f aca="false">IF(OR(C4356="",D4356="",E4356="",E4356=0),0,C4356*D4356/E4356)</f>
        <v>0</v>
      </c>
      <c r="G4356" s="42"/>
      <c r="H4356" s="49" t="n">
        <f aca="true">IF(OR($A4356="",_xlfn.MINIFS($B$3:$B$5000,$A$3:$A$5000,$A4356,$B$3:$B$5000,"&gt;"&amp;$B4356)=0),NOW(),_xlfn.MINIFS($B$3:$B$5000,$A$3:$A$5000,$A4356,$B$3:$B$5000,"&gt;"&amp;$B4356))</f>
        <v>46279.5987645039</v>
      </c>
    </row>
    <row r="4357" customFormat="false" ht="15" hidden="false" customHeight="true" outlineLevel="0" collapsed="false">
      <c r="A4357" s="42"/>
      <c r="B4357" s="42"/>
      <c r="C4357" s="42"/>
      <c r="D4357" s="42"/>
      <c r="E4357" s="42"/>
      <c r="F4357" s="51" t="n">
        <f aca="false">IF(OR(C4357="",D4357="",E4357="",E4357=0),0,C4357*D4357/E4357)</f>
        <v>0</v>
      </c>
      <c r="G4357" s="42"/>
      <c r="H4357" s="49" t="n">
        <f aca="true">IF(OR($A4357="",_xlfn.MINIFS($B$3:$B$5000,$A$3:$A$5000,$A4357,$B$3:$B$5000,"&gt;"&amp;$B4357)=0),NOW(),_xlfn.MINIFS($B$3:$B$5000,$A$3:$A$5000,$A4357,$B$3:$B$5000,"&gt;"&amp;$B4357))</f>
        <v>46279.598764504</v>
      </c>
    </row>
    <row r="4358" customFormat="false" ht="15" hidden="false" customHeight="true" outlineLevel="0" collapsed="false">
      <c r="A4358" s="42"/>
      <c r="B4358" s="42"/>
      <c r="C4358" s="42"/>
      <c r="D4358" s="42"/>
      <c r="E4358" s="42"/>
      <c r="F4358" s="51" t="n">
        <f aca="false">IF(OR(C4358="",D4358="",E4358="",E4358=0),0,C4358*D4358/E4358)</f>
        <v>0</v>
      </c>
      <c r="G4358" s="42"/>
      <c r="H4358" s="49" t="n">
        <f aca="true">IF(OR($A4358="",_xlfn.MINIFS($B$3:$B$5000,$A$3:$A$5000,$A4358,$B$3:$B$5000,"&gt;"&amp;$B4358)=0),NOW(),_xlfn.MINIFS($B$3:$B$5000,$A$3:$A$5000,$A4358,$B$3:$B$5000,"&gt;"&amp;$B4358))</f>
        <v>46279.598764504</v>
      </c>
    </row>
    <row r="4359" customFormat="false" ht="15" hidden="false" customHeight="true" outlineLevel="0" collapsed="false">
      <c r="A4359" s="42"/>
      <c r="B4359" s="42"/>
      <c r="C4359" s="42"/>
      <c r="D4359" s="42"/>
      <c r="E4359" s="42"/>
      <c r="F4359" s="51" t="n">
        <f aca="false">IF(OR(C4359="",D4359="",E4359="",E4359=0),0,C4359*D4359/E4359)</f>
        <v>0</v>
      </c>
      <c r="G4359" s="42"/>
      <c r="H4359" s="49" t="n">
        <f aca="true">IF(OR($A4359="",_xlfn.MINIFS($B$3:$B$5000,$A$3:$A$5000,$A4359,$B$3:$B$5000,"&gt;"&amp;$B4359)=0),NOW(),_xlfn.MINIFS($B$3:$B$5000,$A$3:$A$5000,$A4359,$B$3:$B$5000,"&gt;"&amp;$B4359))</f>
        <v>46279.5987645041</v>
      </c>
    </row>
    <row r="4360" customFormat="false" ht="15" hidden="false" customHeight="true" outlineLevel="0" collapsed="false">
      <c r="A4360" s="42"/>
      <c r="B4360" s="42"/>
      <c r="C4360" s="42"/>
      <c r="D4360" s="42"/>
      <c r="E4360" s="42"/>
      <c r="F4360" s="51" t="n">
        <f aca="false">IF(OR(C4360="",D4360="",E4360="",E4360=0),0,C4360*D4360/E4360)</f>
        <v>0</v>
      </c>
      <c r="G4360" s="42"/>
      <c r="H4360" s="49" t="n">
        <f aca="true">IF(OR($A4360="",_xlfn.MINIFS($B$3:$B$5000,$A$3:$A$5000,$A4360,$B$3:$B$5000,"&gt;"&amp;$B4360)=0),NOW(),_xlfn.MINIFS($B$3:$B$5000,$A$3:$A$5000,$A4360,$B$3:$B$5000,"&gt;"&amp;$B4360))</f>
        <v>46279.5987645041</v>
      </c>
    </row>
    <row r="4361" customFormat="false" ht="15" hidden="false" customHeight="true" outlineLevel="0" collapsed="false">
      <c r="A4361" s="42"/>
      <c r="B4361" s="42"/>
      <c r="C4361" s="42"/>
      <c r="D4361" s="42"/>
      <c r="E4361" s="42"/>
      <c r="F4361" s="51" t="n">
        <f aca="false">IF(OR(C4361="",D4361="",E4361="",E4361=0),0,C4361*D4361/E4361)</f>
        <v>0</v>
      </c>
      <c r="G4361" s="42"/>
      <c r="H4361" s="49" t="n">
        <f aca="true">IF(OR($A4361="",_xlfn.MINIFS($B$3:$B$5000,$A$3:$A$5000,$A4361,$B$3:$B$5000,"&gt;"&amp;$B4361)=0),NOW(),_xlfn.MINIFS($B$3:$B$5000,$A$3:$A$5000,$A4361,$B$3:$B$5000,"&gt;"&amp;$B4361))</f>
        <v>46279.5987645042</v>
      </c>
    </row>
    <row r="4362" customFormat="false" ht="15" hidden="false" customHeight="true" outlineLevel="0" collapsed="false">
      <c r="A4362" s="42"/>
      <c r="B4362" s="42"/>
      <c r="C4362" s="42"/>
      <c r="D4362" s="42"/>
      <c r="E4362" s="42"/>
      <c r="F4362" s="51" t="n">
        <f aca="false">IF(OR(C4362="",D4362="",E4362="",E4362=0),0,C4362*D4362/E4362)</f>
        <v>0</v>
      </c>
      <c r="G4362" s="42"/>
      <c r="H4362" s="49" t="n">
        <f aca="true">IF(OR($A4362="",_xlfn.MINIFS($B$3:$B$5000,$A$3:$A$5000,$A4362,$B$3:$B$5000,"&gt;"&amp;$B4362)=0),NOW(),_xlfn.MINIFS($B$3:$B$5000,$A$3:$A$5000,$A4362,$B$3:$B$5000,"&gt;"&amp;$B4362))</f>
        <v>46279.5987645042</v>
      </c>
    </row>
    <row r="4363" customFormat="false" ht="15" hidden="false" customHeight="true" outlineLevel="0" collapsed="false">
      <c r="A4363" s="42"/>
      <c r="B4363" s="42"/>
      <c r="C4363" s="42"/>
      <c r="D4363" s="42"/>
      <c r="E4363" s="42"/>
      <c r="F4363" s="51" t="n">
        <f aca="false">IF(OR(C4363="",D4363="",E4363="",E4363=0),0,C4363*D4363/E4363)</f>
        <v>0</v>
      </c>
      <c r="G4363" s="42"/>
      <c r="H4363" s="49" t="n">
        <f aca="true">IF(OR($A4363="",_xlfn.MINIFS($B$3:$B$5000,$A$3:$A$5000,$A4363,$B$3:$B$5000,"&gt;"&amp;$B4363)=0),NOW(),_xlfn.MINIFS($B$3:$B$5000,$A$3:$A$5000,$A4363,$B$3:$B$5000,"&gt;"&amp;$B4363))</f>
        <v>46279.5987645043</v>
      </c>
    </row>
    <row r="4364" customFormat="false" ht="15" hidden="false" customHeight="true" outlineLevel="0" collapsed="false">
      <c r="A4364" s="42"/>
      <c r="B4364" s="42"/>
      <c r="C4364" s="42"/>
      <c r="D4364" s="42"/>
      <c r="E4364" s="42"/>
      <c r="F4364" s="51" t="n">
        <f aca="false">IF(OR(C4364="",D4364="",E4364="",E4364=0),0,C4364*D4364/E4364)</f>
        <v>0</v>
      </c>
      <c r="G4364" s="42"/>
      <c r="H4364" s="49" t="n">
        <f aca="true">IF(OR($A4364="",_xlfn.MINIFS($B$3:$B$5000,$A$3:$A$5000,$A4364,$B$3:$B$5000,"&gt;"&amp;$B4364)=0),NOW(),_xlfn.MINIFS($B$3:$B$5000,$A$3:$A$5000,$A4364,$B$3:$B$5000,"&gt;"&amp;$B4364))</f>
        <v>46279.5987645043</v>
      </c>
    </row>
    <row r="4365" customFormat="false" ht="15" hidden="false" customHeight="true" outlineLevel="0" collapsed="false">
      <c r="A4365" s="42"/>
      <c r="B4365" s="42"/>
      <c r="C4365" s="42"/>
      <c r="D4365" s="42"/>
      <c r="E4365" s="42"/>
      <c r="F4365" s="51" t="n">
        <f aca="false">IF(OR(C4365="",D4365="",E4365="",E4365=0),0,C4365*D4365/E4365)</f>
        <v>0</v>
      </c>
      <c r="G4365" s="42"/>
      <c r="H4365" s="49" t="n">
        <f aca="true">IF(OR($A4365="",_xlfn.MINIFS($B$3:$B$5000,$A$3:$A$5000,$A4365,$B$3:$B$5000,"&gt;"&amp;$B4365)=0),NOW(),_xlfn.MINIFS($B$3:$B$5000,$A$3:$A$5000,$A4365,$B$3:$B$5000,"&gt;"&amp;$B4365))</f>
        <v>46279.5987645044</v>
      </c>
    </row>
    <row r="4366" customFormat="false" ht="15" hidden="false" customHeight="true" outlineLevel="0" collapsed="false">
      <c r="A4366" s="42"/>
      <c r="B4366" s="42"/>
      <c r="C4366" s="42"/>
      <c r="D4366" s="42"/>
      <c r="E4366" s="42"/>
      <c r="F4366" s="51" t="n">
        <f aca="false">IF(OR(C4366="",D4366="",E4366="",E4366=0),0,C4366*D4366/E4366)</f>
        <v>0</v>
      </c>
      <c r="G4366" s="42"/>
      <c r="H4366" s="49" t="n">
        <f aca="true">IF(OR($A4366="",_xlfn.MINIFS($B$3:$B$5000,$A$3:$A$5000,$A4366,$B$3:$B$5000,"&gt;"&amp;$B4366)=0),NOW(),_xlfn.MINIFS($B$3:$B$5000,$A$3:$A$5000,$A4366,$B$3:$B$5000,"&gt;"&amp;$B4366))</f>
        <v>46279.5987645044</v>
      </c>
    </row>
    <row r="4367" customFormat="false" ht="15" hidden="false" customHeight="true" outlineLevel="0" collapsed="false">
      <c r="A4367" s="42"/>
      <c r="B4367" s="42"/>
      <c r="C4367" s="42"/>
      <c r="D4367" s="42"/>
      <c r="E4367" s="42"/>
      <c r="F4367" s="51" t="n">
        <f aca="false">IF(OR(C4367="",D4367="",E4367="",E4367=0),0,C4367*D4367/E4367)</f>
        <v>0</v>
      </c>
      <c r="G4367" s="42"/>
      <c r="H4367" s="49" t="n">
        <f aca="true">IF(OR($A4367="",_xlfn.MINIFS($B$3:$B$5000,$A$3:$A$5000,$A4367,$B$3:$B$5000,"&gt;"&amp;$B4367)=0),NOW(),_xlfn.MINIFS($B$3:$B$5000,$A$3:$A$5000,$A4367,$B$3:$B$5000,"&gt;"&amp;$B4367))</f>
        <v>46279.5987645045</v>
      </c>
    </row>
    <row r="4368" customFormat="false" ht="15" hidden="false" customHeight="true" outlineLevel="0" collapsed="false">
      <c r="A4368" s="42"/>
      <c r="B4368" s="42"/>
      <c r="C4368" s="42"/>
      <c r="D4368" s="42"/>
      <c r="E4368" s="42"/>
      <c r="F4368" s="51" t="n">
        <f aca="false">IF(OR(C4368="",D4368="",E4368="",E4368=0),0,C4368*D4368/E4368)</f>
        <v>0</v>
      </c>
      <c r="G4368" s="42"/>
      <c r="H4368" s="49" t="n">
        <f aca="true">IF(OR($A4368="",_xlfn.MINIFS($B$3:$B$5000,$A$3:$A$5000,$A4368,$B$3:$B$5000,"&gt;"&amp;$B4368)=0),NOW(),_xlfn.MINIFS($B$3:$B$5000,$A$3:$A$5000,$A4368,$B$3:$B$5000,"&gt;"&amp;$B4368))</f>
        <v>46279.5987645045</v>
      </c>
    </row>
    <row r="4369" customFormat="false" ht="15" hidden="false" customHeight="true" outlineLevel="0" collapsed="false">
      <c r="A4369" s="42"/>
      <c r="B4369" s="42"/>
      <c r="C4369" s="42"/>
      <c r="D4369" s="42"/>
      <c r="E4369" s="42"/>
      <c r="F4369" s="51" t="n">
        <f aca="false">IF(OR(C4369="",D4369="",E4369="",E4369=0),0,C4369*D4369/E4369)</f>
        <v>0</v>
      </c>
      <c r="G4369" s="42"/>
      <c r="H4369" s="49" t="n">
        <f aca="true">IF(OR($A4369="",_xlfn.MINIFS($B$3:$B$5000,$A$3:$A$5000,$A4369,$B$3:$B$5000,"&gt;"&amp;$B4369)=0),NOW(),_xlfn.MINIFS($B$3:$B$5000,$A$3:$A$5000,$A4369,$B$3:$B$5000,"&gt;"&amp;$B4369))</f>
        <v>46279.5987645046</v>
      </c>
    </row>
    <row r="4370" customFormat="false" ht="15" hidden="false" customHeight="true" outlineLevel="0" collapsed="false">
      <c r="A4370" s="42"/>
      <c r="B4370" s="42"/>
      <c r="C4370" s="42"/>
      <c r="D4370" s="42"/>
      <c r="E4370" s="42"/>
      <c r="F4370" s="51" t="n">
        <f aca="false">IF(OR(C4370="",D4370="",E4370="",E4370=0),0,C4370*D4370/E4370)</f>
        <v>0</v>
      </c>
      <c r="G4370" s="42"/>
      <c r="H4370" s="49" t="n">
        <f aca="true">IF(OR($A4370="",_xlfn.MINIFS($B$3:$B$5000,$A$3:$A$5000,$A4370,$B$3:$B$5000,"&gt;"&amp;$B4370)=0),NOW(),_xlfn.MINIFS($B$3:$B$5000,$A$3:$A$5000,$A4370,$B$3:$B$5000,"&gt;"&amp;$B4370))</f>
        <v>46279.5987645046</v>
      </c>
    </row>
    <row r="4371" customFormat="false" ht="15" hidden="false" customHeight="true" outlineLevel="0" collapsed="false">
      <c r="A4371" s="42"/>
      <c r="B4371" s="42"/>
      <c r="C4371" s="42"/>
      <c r="D4371" s="42"/>
      <c r="E4371" s="42"/>
      <c r="F4371" s="51" t="n">
        <f aca="false">IF(OR(C4371="",D4371="",E4371="",E4371=0),0,C4371*D4371/E4371)</f>
        <v>0</v>
      </c>
      <c r="G4371" s="42"/>
      <c r="H4371" s="49" t="n">
        <f aca="true">IF(OR($A4371="",_xlfn.MINIFS($B$3:$B$5000,$A$3:$A$5000,$A4371,$B$3:$B$5000,"&gt;"&amp;$B4371)=0),NOW(),_xlfn.MINIFS($B$3:$B$5000,$A$3:$A$5000,$A4371,$B$3:$B$5000,"&gt;"&amp;$B4371))</f>
        <v>46279.5987645047</v>
      </c>
    </row>
    <row r="4372" customFormat="false" ht="15" hidden="false" customHeight="true" outlineLevel="0" collapsed="false">
      <c r="A4372" s="42"/>
      <c r="B4372" s="42"/>
      <c r="C4372" s="42"/>
      <c r="D4372" s="42"/>
      <c r="E4372" s="42"/>
      <c r="F4372" s="51" t="n">
        <f aca="false">IF(OR(C4372="",D4372="",E4372="",E4372=0),0,C4372*D4372/E4372)</f>
        <v>0</v>
      </c>
      <c r="G4372" s="42"/>
      <c r="H4372" s="49" t="n">
        <f aca="true">IF(OR($A4372="",_xlfn.MINIFS($B$3:$B$5000,$A$3:$A$5000,$A4372,$B$3:$B$5000,"&gt;"&amp;$B4372)=0),NOW(),_xlfn.MINIFS($B$3:$B$5000,$A$3:$A$5000,$A4372,$B$3:$B$5000,"&gt;"&amp;$B4372))</f>
        <v>46279.5987645047</v>
      </c>
    </row>
    <row r="4373" customFormat="false" ht="15" hidden="false" customHeight="true" outlineLevel="0" collapsed="false">
      <c r="A4373" s="42"/>
      <c r="B4373" s="42"/>
      <c r="C4373" s="42"/>
      <c r="D4373" s="42"/>
      <c r="E4373" s="42"/>
      <c r="F4373" s="51" t="n">
        <f aca="false">IF(OR(C4373="",D4373="",E4373="",E4373=0),0,C4373*D4373/E4373)</f>
        <v>0</v>
      </c>
      <c r="G4373" s="42"/>
      <c r="H4373" s="49" t="n">
        <f aca="true">IF(OR($A4373="",_xlfn.MINIFS($B$3:$B$5000,$A$3:$A$5000,$A4373,$B$3:$B$5000,"&gt;"&amp;$B4373)=0),NOW(),_xlfn.MINIFS($B$3:$B$5000,$A$3:$A$5000,$A4373,$B$3:$B$5000,"&gt;"&amp;$B4373))</f>
        <v>46279.5987645048</v>
      </c>
    </row>
    <row r="4374" customFormat="false" ht="15" hidden="false" customHeight="true" outlineLevel="0" collapsed="false">
      <c r="A4374" s="42"/>
      <c r="B4374" s="42"/>
      <c r="C4374" s="42"/>
      <c r="D4374" s="42"/>
      <c r="E4374" s="42"/>
      <c r="F4374" s="51" t="n">
        <f aca="false">IF(OR(C4374="",D4374="",E4374="",E4374=0),0,C4374*D4374/E4374)</f>
        <v>0</v>
      </c>
      <c r="G4374" s="42"/>
      <c r="H4374" s="49" t="n">
        <f aca="true">IF(OR($A4374="",_xlfn.MINIFS($B$3:$B$5000,$A$3:$A$5000,$A4374,$B$3:$B$5000,"&gt;"&amp;$B4374)=0),NOW(),_xlfn.MINIFS($B$3:$B$5000,$A$3:$A$5000,$A4374,$B$3:$B$5000,"&gt;"&amp;$B4374))</f>
        <v>46279.5987645048</v>
      </c>
    </row>
    <row r="4375" customFormat="false" ht="15" hidden="false" customHeight="true" outlineLevel="0" collapsed="false">
      <c r="A4375" s="42"/>
      <c r="B4375" s="42"/>
      <c r="C4375" s="42"/>
      <c r="D4375" s="42"/>
      <c r="E4375" s="42"/>
      <c r="F4375" s="51" t="n">
        <f aca="false">IF(OR(C4375="",D4375="",E4375="",E4375=0),0,C4375*D4375/E4375)</f>
        <v>0</v>
      </c>
      <c r="G4375" s="42"/>
      <c r="H4375" s="49" t="n">
        <f aca="true">IF(OR($A4375="",_xlfn.MINIFS($B$3:$B$5000,$A$3:$A$5000,$A4375,$B$3:$B$5000,"&gt;"&amp;$B4375)=0),NOW(),_xlfn.MINIFS($B$3:$B$5000,$A$3:$A$5000,$A4375,$B$3:$B$5000,"&gt;"&amp;$B4375))</f>
        <v>46279.5987645049</v>
      </c>
    </row>
    <row r="4376" customFormat="false" ht="15" hidden="false" customHeight="true" outlineLevel="0" collapsed="false">
      <c r="A4376" s="42"/>
      <c r="B4376" s="42"/>
      <c r="C4376" s="42"/>
      <c r="D4376" s="42"/>
      <c r="E4376" s="42"/>
      <c r="F4376" s="51" t="n">
        <f aca="false">IF(OR(C4376="",D4376="",E4376="",E4376=0),0,C4376*D4376/E4376)</f>
        <v>0</v>
      </c>
      <c r="G4376" s="42"/>
      <c r="H4376" s="49" t="n">
        <f aca="true">IF(OR($A4376="",_xlfn.MINIFS($B$3:$B$5000,$A$3:$A$5000,$A4376,$B$3:$B$5000,"&gt;"&amp;$B4376)=0),NOW(),_xlfn.MINIFS($B$3:$B$5000,$A$3:$A$5000,$A4376,$B$3:$B$5000,"&gt;"&amp;$B4376))</f>
        <v>46279.5987645049</v>
      </c>
    </row>
    <row r="4377" customFormat="false" ht="15" hidden="false" customHeight="true" outlineLevel="0" collapsed="false">
      <c r="A4377" s="42"/>
      <c r="B4377" s="42"/>
      <c r="C4377" s="42"/>
      <c r="D4377" s="42"/>
      <c r="E4377" s="42"/>
      <c r="F4377" s="51" t="n">
        <f aca="false">IF(OR(C4377="",D4377="",E4377="",E4377=0),0,C4377*D4377/E4377)</f>
        <v>0</v>
      </c>
      <c r="G4377" s="42"/>
      <c r="H4377" s="49" t="n">
        <f aca="true">IF(OR($A4377="",_xlfn.MINIFS($B$3:$B$5000,$A$3:$A$5000,$A4377,$B$3:$B$5000,"&gt;"&amp;$B4377)=0),NOW(),_xlfn.MINIFS($B$3:$B$5000,$A$3:$A$5000,$A4377,$B$3:$B$5000,"&gt;"&amp;$B4377))</f>
        <v>46279.598764505</v>
      </c>
    </row>
    <row r="4378" customFormat="false" ht="15" hidden="false" customHeight="true" outlineLevel="0" collapsed="false">
      <c r="A4378" s="42"/>
      <c r="B4378" s="42"/>
      <c r="C4378" s="42"/>
      <c r="D4378" s="42"/>
      <c r="E4378" s="42"/>
      <c r="F4378" s="51" t="n">
        <f aca="false">IF(OR(C4378="",D4378="",E4378="",E4378=0),0,C4378*D4378/E4378)</f>
        <v>0</v>
      </c>
      <c r="G4378" s="42"/>
      <c r="H4378" s="49" t="n">
        <f aca="true">IF(OR($A4378="",_xlfn.MINIFS($B$3:$B$5000,$A$3:$A$5000,$A4378,$B$3:$B$5000,"&gt;"&amp;$B4378)=0),NOW(),_xlfn.MINIFS($B$3:$B$5000,$A$3:$A$5000,$A4378,$B$3:$B$5000,"&gt;"&amp;$B4378))</f>
        <v>46279.598764505</v>
      </c>
    </row>
    <row r="4379" customFormat="false" ht="15" hidden="false" customHeight="true" outlineLevel="0" collapsed="false">
      <c r="A4379" s="42"/>
      <c r="B4379" s="42"/>
      <c r="C4379" s="42"/>
      <c r="D4379" s="42"/>
      <c r="E4379" s="42"/>
      <c r="F4379" s="51" t="n">
        <f aca="false">IF(OR(C4379="",D4379="",E4379="",E4379=0),0,C4379*D4379/E4379)</f>
        <v>0</v>
      </c>
      <c r="G4379" s="42"/>
      <c r="H4379" s="49" t="n">
        <f aca="true">IF(OR($A4379="",_xlfn.MINIFS($B$3:$B$5000,$A$3:$A$5000,$A4379,$B$3:$B$5000,"&gt;"&amp;$B4379)=0),NOW(),_xlfn.MINIFS($B$3:$B$5000,$A$3:$A$5000,$A4379,$B$3:$B$5000,"&gt;"&amp;$B4379))</f>
        <v>46279.5987645051</v>
      </c>
    </row>
    <row r="4380" customFormat="false" ht="15" hidden="false" customHeight="true" outlineLevel="0" collapsed="false">
      <c r="A4380" s="42"/>
      <c r="B4380" s="42"/>
      <c r="C4380" s="42"/>
      <c r="D4380" s="42"/>
      <c r="E4380" s="42"/>
      <c r="F4380" s="51" t="n">
        <f aca="false">IF(OR(C4380="",D4380="",E4380="",E4380=0),0,C4380*D4380/E4380)</f>
        <v>0</v>
      </c>
      <c r="G4380" s="42"/>
      <c r="H4380" s="49" t="n">
        <f aca="true">IF(OR($A4380="",_xlfn.MINIFS($B$3:$B$5000,$A$3:$A$5000,$A4380,$B$3:$B$5000,"&gt;"&amp;$B4380)=0),NOW(),_xlfn.MINIFS($B$3:$B$5000,$A$3:$A$5000,$A4380,$B$3:$B$5000,"&gt;"&amp;$B4380))</f>
        <v>46279.5987645051</v>
      </c>
    </row>
    <row r="4381" customFormat="false" ht="15" hidden="false" customHeight="true" outlineLevel="0" collapsed="false">
      <c r="A4381" s="42"/>
      <c r="B4381" s="42"/>
      <c r="C4381" s="42"/>
      <c r="D4381" s="42"/>
      <c r="E4381" s="42"/>
      <c r="F4381" s="51" t="n">
        <f aca="false">IF(OR(C4381="",D4381="",E4381="",E4381=0),0,C4381*D4381/E4381)</f>
        <v>0</v>
      </c>
      <c r="G4381" s="42"/>
      <c r="H4381" s="49" t="n">
        <f aca="true">IF(OR($A4381="",_xlfn.MINIFS($B$3:$B$5000,$A$3:$A$5000,$A4381,$B$3:$B$5000,"&gt;"&amp;$B4381)=0),NOW(),_xlfn.MINIFS($B$3:$B$5000,$A$3:$A$5000,$A4381,$B$3:$B$5000,"&gt;"&amp;$B4381))</f>
        <v>46279.5987645052</v>
      </c>
    </row>
    <row r="4382" customFormat="false" ht="15" hidden="false" customHeight="true" outlineLevel="0" collapsed="false">
      <c r="A4382" s="42"/>
      <c r="B4382" s="42"/>
      <c r="C4382" s="42"/>
      <c r="D4382" s="42"/>
      <c r="E4382" s="42"/>
      <c r="F4382" s="51" t="n">
        <f aca="false">IF(OR(C4382="",D4382="",E4382="",E4382=0),0,C4382*D4382/E4382)</f>
        <v>0</v>
      </c>
      <c r="G4382" s="42"/>
      <c r="H4382" s="49" t="n">
        <f aca="true">IF(OR($A4382="",_xlfn.MINIFS($B$3:$B$5000,$A$3:$A$5000,$A4382,$B$3:$B$5000,"&gt;"&amp;$B4382)=0),NOW(),_xlfn.MINIFS($B$3:$B$5000,$A$3:$A$5000,$A4382,$B$3:$B$5000,"&gt;"&amp;$B4382))</f>
        <v>46279.5987645052</v>
      </c>
    </row>
    <row r="4383" customFormat="false" ht="15" hidden="false" customHeight="true" outlineLevel="0" collapsed="false">
      <c r="A4383" s="42"/>
      <c r="B4383" s="42"/>
      <c r="C4383" s="42"/>
      <c r="D4383" s="42"/>
      <c r="E4383" s="42"/>
      <c r="F4383" s="51" t="n">
        <f aca="false">IF(OR(C4383="",D4383="",E4383="",E4383=0),0,C4383*D4383/E4383)</f>
        <v>0</v>
      </c>
      <c r="G4383" s="42"/>
      <c r="H4383" s="49" t="n">
        <f aca="true">IF(OR($A4383="",_xlfn.MINIFS($B$3:$B$5000,$A$3:$A$5000,$A4383,$B$3:$B$5000,"&gt;"&amp;$B4383)=0),NOW(),_xlfn.MINIFS($B$3:$B$5000,$A$3:$A$5000,$A4383,$B$3:$B$5000,"&gt;"&amp;$B4383))</f>
        <v>46279.5987645053</v>
      </c>
    </row>
    <row r="4384" customFormat="false" ht="15" hidden="false" customHeight="true" outlineLevel="0" collapsed="false">
      <c r="A4384" s="42"/>
      <c r="B4384" s="42"/>
      <c r="C4384" s="42"/>
      <c r="D4384" s="42"/>
      <c r="E4384" s="42"/>
      <c r="F4384" s="51" t="n">
        <f aca="false">IF(OR(C4384="",D4384="",E4384="",E4384=0),0,C4384*D4384/E4384)</f>
        <v>0</v>
      </c>
      <c r="G4384" s="42"/>
      <c r="H4384" s="49" t="n">
        <f aca="true">IF(OR($A4384="",_xlfn.MINIFS($B$3:$B$5000,$A$3:$A$5000,$A4384,$B$3:$B$5000,"&gt;"&amp;$B4384)=0),NOW(),_xlfn.MINIFS($B$3:$B$5000,$A$3:$A$5000,$A4384,$B$3:$B$5000,"&gt;"&amp;$B4384))</f>
        <v>46279.5987645053</v>
      </c>
    </row>
    <row r="4385" customFormat="false" ht="15" hidden="false" customHeight="true" outlineLevel="0" collapsed="false">
      <c r="A4385" s="42"/>
      <c r="B4385" s="42"/>
      <c r="C4385" s="42"/>
      <c r="D4385" s="42"/>
      <c r="E4385" s="42"/>
      <c r="F4385" s="51" t="n">
        <f aca="false">IF(OR(C4385="",D4385="",E4385="",E4385=0),0,C4385*D4385/E4385)</f>
        <v>0</v>
      </c>
      <c r="G4385" s="42"/>
      <c r="H4385" s="49" t="n">
        <f aca="true">IF(OR($A4385="",_xlfn.MINIFS($B$3:$B$5000,$A$3:$A$5000,$A4385,$B$3:$B$5000,"&gt;"&amp;$B4385)=0),NOW(),_xlfn.MINIFS($B$3:$B$5000,$A$3:$A$5000,$A4385,$B$3:$B$5000,"&gt;"&amp;$B4385))</f>
        <v>46279.5987645054</v>
      </c>
    </row>
    <row r="4386" customFormat="false" ht="15" hidden="false" customHeight="true" outlineLevel="0" collapsed="false">
      <c r="A4386" s="42"/>
      <c r="B4386" s="42"/>
      <c r="C4386" s="42"/>
      <c r="D4386" s="42"/>
      <c r="E4386" s="42"/>
      <c r="F4386" s="51" t="n">
        <f aca="false">IF(OR(C4386="",D4386="",E4386="",E4386=0),0,C4386*D4386/E4386)</f>
        <v>0</v>
      </c>
      <c r="G4386" s="42"/>
      <c r="H4386" s="49" t="n">
        <f aca="true">IF(OR($A4386="",_xlfn.MINIFS($B$3:$B$5000,$A$3:$A$5000,$A4386,$B$3:$B$5000,"&gt;"&amp;$B4386)=0),NOW(),_xlfn.MINIFS($B$3:$B$5000,$A$3:$A$5000,$A4386,$B$3:$B$5000,"&gt;"&amp;$B4386))</f>
        <v>46279.5987645054</v>
      </c>
    </row>
    <row r="4387" customFormat="false" ht="15" hidden="false" customHeight="true" outlineLevel="0" collapsed="false">
      <c r="A4387" s="42"/>
      <c r="B4387" s="42"/>
      <c r="C4387" s="42"/>
      <c r="D4387" s="42"/>
      <c r="E4387" s="42"/>
      <c r="F4387" s="51" t="n">
        <f aca="false">IF(OR(C4387="",D4387="",E4387="",E4387=0),0,C4387*D4387/E4387)</f>
        <v>0</v>
      </c>
      <c r="G4387" s="42"/>
      <c r="H4387" s="49" t="n">
        <f aca="true">IF(OR($A4387="",_xlfn.MINIFS($B$3:$B$5000,$A$3:$A$5000,$A4387,$B$3:$B$5000,"&gt;"&amp;$B4387)=0),NOW(),_xlfn.MINIFS($B$3:$B$5000,$A$3:$A$5000,$A4387,$B$3:$B$5000,"&gt;"&amp;$B4387))</f>
        <v>46279.5987645055</v>
      </c>
    </row>
    <row r="4388" customFormat="false" ht="15" hidden="false" customHeight="true" outlineLevel="0" collapsed="false">
      <c r="A4388" s="42"/>
      <c r="B4388" s="42"/>
      <c r="C4388" s="42"/>
      <c r="D4388" s="42"/>
      <c r="E4388" s="42"/>
      <c r="F4388" s="51" t="n">
        <f aca="false">IF(OR(C4388="",D4388="",E4388="",E4388=0),0,C4388*D4388/E4388)</f>
        <v>0</v>
      </c>
      <c r="G4388" s="42"/>
      <c r="H4388" s="49" t="n">
        <f aca="true">IF(OR($A4388="",_xlfn.MINIFS($B$3:$B$5000,$A$3:$A$5000,$A4388,$B$3:$B$5000,"&gt;"&amp;$B4388)=0),NOW(),_xlfn.MINIFS($B$3:$B$5000,$A$3:$A$5000,$A4388,$B$3:$B$5000,"&gt;"&amp;$B4388))</f>
        <v>46279.5987645055</v>
      </c>
    </row>
    <row r="4389" customFormat="false" ht="15" hidden="false" customHeight="true" outlineLevel="0" collapsed="false">
      <c r="A4389" s="42"/>
      <c r="B4389" s="42"/>
      <c r="C4389" s="42"/>
      <c r="D4389" s="42"/>
      <c r="E4389" s="42"/>
      <c r="F4389" s="51" t="n">
        <f aca="false">IF(OR(C4389="",D4389="",E4389="",E4389=0),0,C4389*D4389/E4389)</f>
        <v>0</v>
      </c>
      <c r="G4389" s="42"/>
      <c r="H4389" s="49" t="n">
        <f aca="true">IF(OR($A4389="",_xlfn.MINIFS($B$3:$B$5000,$A$3:$A$5000,$A4389,$B$3:$B$5000,"&gt;"&amp;$B4389)=0),NOW(),_xlfn.MINIFS($B$3:$B$5000,$A$3:$A$5000,$A4389,$B$3:$B$5000,"&gt;"&amp;$B4389))</f>
        <v>46279.5987645056</v>
      </c>
    </row>
    <row r="4390" customFormat="false" ht="15" hidden="false" customHeight="true" outlineLevel="0" collapsed="false">
      <c r="A4390" s="42"/>
      <c r="B4390" s="42"/>
      <c r="C4390" s="42"/>
      <c r="D4390" s="42"/>
      <c r="E4390" s="42"/>
      <c r="F4390" s="51" t="n">
        <f aca="false">IF(OR(C4390="",D4390="",E4390="",E4390=0),0,C4390*D4390/E4390)</f>
        <v>0</v>
      </c>
      <c r="G4390" s="42"/>
      <c r="H4390" s="49" t="n">
        <f aca="true">IF(OR($A4390="",_xlfn.MINIFS($B$3:$B$5000,$A$3:$A$5000,$A4390,$B$3:$B$5000,"&gt;"&amp;$B4390)=0),NOW(),_xlfn.MINIFS($B$3:$B$5000,$A$3:$A$5000,$A4390,$B$3:$B$5000,"&gt;"&amp;$B4390))</f>
        <v>46279.5987645056</v>
      </c>
    </row>
    <row r="4391" customFormat="false" ht="15" hidden="false" customHeight="true" outlineLevel="0" collapsed="false">
      <c r="A4391" s="42"/>
      <c r="B4391" s="42"/>
      <c r="C4391" s="42"/>
      <c r="D4391" s="42"/>
      <c r="E4391" s="42"/>
      <c r="F4391" s="51" t="n">
        <f aca="false">IF(OR(C4391="",D4391="",E4391="",E4391=0),0,C4391*D4391/E4391)</f>
        <v>0</v>
      </c>
      <c r="G4391" s="42"/>
      <c r="H4391" s="49" t="n">
        <f aca="true">IF(OR($A4391="",_xlfn.MINIFS($B$3:$B$5000,$A$3:$A$5000,$A4391,$B$3:$B$5000,"&gt;"&amp;$B4391)=0),NOW(),_xlfn.MINIFS($B$3:$B$5000,$A$3:$A$5000,$A4391,$B$3:$B$5000,"&gt;"&amp;$B4391))</f>
        <v>46279.5987645057</v>
      </c>
    </row>
    <row r="4392" customFormat="false" ht="15" hidden="false" customHeight="true" outlineLevel="0" collapsed="false">
      <c r="A4392" s="42"/>
      <c r="B4392" s="42"/>
      <c r="C4392" s="42"/>
      <c r="D4392" s="42"/>
      <c r="E4392" s="42"/>
      <c r="F4392" s="51" t="n">
        <f aca="false">IF(OR(C4392="",D4392="",E4392="",E4392=0),0,C4392*D4392/E4392)</f>
        <v>0</v>
      </c>
      <c r="G4392" s="42"/>
      <c r="H4392" s="49" t="n">
        <f aca="true">IF(OR($A4392="",_xlfn.MINIFS($B$3:$B$5000,$A$3:$A$5000,$A4392,$B$3:$B$5000,"&gt;"&amp;$B4392)=0),NOW(),_xlfn.MINIFS($B$3:$B$5000,$A$3:$A$5000,$A4392,$B$3:$B$5000,"&gt;"&amp;$B4392))</f>
        <v>46279.5987645057</v>
      </c>
    </row>
    <row r="4393" customFormat="false" ht="15" hidden="false" customHeight="true" outlineLevel="0" collapsed="false">
      <c r="A4393" s="42"/>
      <c r="B4393" s="42"/>
      <c r="C4393" s="42"/>
      <c r="D4393" s="42"/>
      <c r="E4393" s="42"/>
      <c r="F4393" s="51" t="n">
        <f aca="false">IF(OR(C4393="",D4393="",E4393="",E4393=0),0,C4393*D4393/E4393)</f>
        <v>0</v>
      </c>
      <c r="G4393" s="42"/>
      <c r="H4393" s="49" t="n">
        <f aca="true">IF(OR($A4393="",_xlfn.MINIFS($B$3:$B$5000,$A$3:$A$5000,$A4393,$B$3:$B$5000,"&gt;"&amp;$B4393)=0),NOW(),_xlfn.MINIFS($B$3:$B$5000,$A$3:$A$5000,$A4393,$B$3:$B$5000,"&gt;"&amp;$B4393))</f>
        <v>46279.5987645058</v>
      </c>
    </row>
    <row r="4394" customFormat="false" ht="15" hidden="false" customHeight="true" outlineLevel="0" collapsed="false">
      <c r="A4394" s="42"/>
      <c r="B4394" s="42"/>
      <c r="C4394" s="42"/>
      <c r="D4394" s="42"/>
      <c r="E4394" s="42"/>
      <c r="F4394" s="51" t="n">
        <f aca="false">IF(OR(C4394="",D4394="",E4394="",E4394=0),0,C4394*D4394/E4394)</f>
        <v>0</v>
      </c>
      <c r="G4394" s="42"/>
      <c r="H4394" s="49" t="n">
        <f aca="true">IF(OR($A4394="",_xlfn.MINIFS($B$3:$B$5000,$A$3:$A$5000,$A4394,$B$3:$B$5000,"&gt;"&amp;$B4394)=0),NOW(),_xlfn.MINIFS($B$3:$B$5000,$A$3:$A$5000,$A4394,$B$3:$B$5000,"&gt;"&amp;$B4394))</f>
        <v>46279.5987645058</v>
      </c>
    </row>
    <row r="4395" customFormat="false" ht="15" hidden="false" customHeight="true" outlineLevel="0" collapsed="false">
      <c r="A4395" s="42"/>
      <c r="B4395" s="42"/>
      <c r="C4395" s="42"/>
      <c r="D4395" s="42"/>
      <c r="E4395" s="42"/>
      <c r="F4395" s="51" t="n">
        <f aca="false">IF(OR(C4395="",D4395="",E4395="",E4395=0),0,C4395*D4395/E4395)</f>
        <v>0</v>
      </c>
      <c r="G4395" s="42"/>
      <c r="H4395" s="49" t="n">
        <f aca="true">IF(OR($A4395="",_xlfn.MINIFS($B$3:$B$5000,$A$3:$A$5000,$A4395,$B$3:$B$5000,"&gt;"&amp;$B4395)=0),NOW(),_xlfn.MINIFS($B$3:$B$5000,$A$3:$A$5000,$A4395,$B$3:$B$5000,"&gt;"&amp;$B4395))</f>
        <v>46279.5987645059</v>
      </c>
    </row>
    <row r="4396" customFormat="false" ht="15" hidden="false" customHeight="true" outlineLevel="0" collapsed="false">
      <c r="A4396" s="42"/>
      <c r="B4396" s="42"/>
      <c r="C4396" s="42"/>
      <c r="D4396" s="42"/>
      <c r="E4396" s="42"/>
      <c r="F4396" s="51" t="n">
        <f aca="false">IF(OR(C4396="",D4396="",E4396="",E4396=0),0,C4396*D4396/E4396)</f>
        <v>0</v>
      </c>
      <c r="G4396" s="42"/>
      <c r="H4396" s="49" t="n">
        <f aca="true">IF(OR($A4396="",_xlfn.MINIFS($B$3:$B$5000,$A$3:$A$5000,$A4396,$B$3:$B$5000,"&gt;"&amp;$B4396)=0),NOW(),_xlfn.MINIFS($B$3:$B$5000,$A$3:$A$5000,$A4396,$B$3:$B$5000,"&gt;"&amp;$B4396))</f>
        <v>46279.5987645059</v>
      </c>
    </row>
    <row r="4397" customFormat="false" ht="15" hidden="false" customHeight="true" outlineLevel="0" collapsed="false">
      <c r="A4397" s="42"/>
      <c r="B4397" s="42"/>
      <c r="C4397" s="42"/>
      <c r="D4397" s="42"/>
      <c r="E4397" s="42"/>
      <c r="F4397" s="51" t="n">
        <f aca="false">IF(OR(C4397="",D4397="",E4397="",E4397=0),0,C4397*D4397/E4397)</f>
        <v>0</v>
      </c>
      <c r="G4397" s="42"/>
      <c r="H4397" s="49" t="n">
        <f aca="true">IF(OR($A4397="",_xlfn.MINIFS($B$3:$B$5000,$A$3:$A$5000,$A4397,$B$3:$B$5000,"&gt;"&amp;$B4397)=0),NOW(),_xlfn.MINIFS($B$3:$B$5000,$A$3:$A$5000,$A4397,$B$3:$B$5000,"&gt;"&amp;$B4397))</f>
        <v>46279.598764506</v>
      </c>
    </row>
    <row r="4398" customFormat="false" ht="15" hidden="false" customHeight="true" outlineLevel="0" collapsed="false">
      <c r="A4398" s="42"/>
      <c r="B4398" s="42"/>
      <c r="C4398" s="42"/>
      <c r="D4398" s="42"/>
      <c r="E4398" s="42"/>
      <c r="F4398" s="51" t="n">
        <f aca="false">IF(OR(C4398="",D4398="",E4398="",E4398=0),0,C4398*D4398/E4398)</f>
        <v>0</v>
      </c>
      <c r="G4398" s="42"/>
      <c r="H4398" s="49" t="n">
        <f aca="true">IF(OR($A4398="",_xlfn.MINIFS($B$3:$B$5000,$A$3:$A$5000,$A4398,$B$3:$B$5000,"&gt;"&amp;$B4398)=0),NOW(),_xlfn.MINIFS($B$3:$B$5000,$A$3:$A$5000,$A4398,$B$3:$B$5000,"&gt;"&amp;$B4398))</f>
        <v>46279.598764506</v>
      </c>
    </row>
    <row r="4399" customFormat="false" ht="15" hidden="false" customHeight="true" outlineLevel="0" collapsed="false">
      <c r="A4399" s="42"/>
      <c r="B4399" s="42"/>
      <c r="C4399" s="42"/>
      <c r="D4399" s="42"/>
      <c r="E4399" s="42"/>
      <c r="F4399" s="51" t="n">
        <f aca="false">IF(OR(C4399="",D4399="",E4399="",E4399=0),0,C4399*D4399/E4399)</f>
        <v>0</v>
      </c>
      <c r="G4399" s="42"/>
      <c r="H4399" s="49" t="n">
        <f aca="true">IF(OR($A4399="",_xlfn.MINIFS($B$3:$B$5000,$A$3:$A$5000,$A4399,$B$3:$B$5000,"&gt;"&amp;$B4399)=0),NOW(),_xlfn.MINIFS($B$3:$B$5000,$A$3:$A$5000,$A4399,$B$3:$B$5000,"&gt;"&amp;$B4399))</f>
        <v>46279.5987645061</v>
      </c>
    </row>
    <row r="4400" customFormat="false" ht="15" hidden="false" customHeight="true" outlineLevel="0" collapsed="false">
      <c r="A4400" s="42"/>
      <c r="B4400" s="42"/>
      <c r="C4400" s="42"/>
      <c r="D4400" s="42"/>
      <c r="E4400" s="42"/>
      <c r="F4400" s="51" t="n">
        <f aca="false">IF(OR(C4400="",D4400="",E4400="",E4400=0),0,C4400*D4400/E4400)</f>
        <v>0</v>
      </c>
      <c r="G4400" s="42"/>
      <c r="H4400" s="49" t="n">
        <f aca="true">IF(OR($A4400="",_xlfn.MINIFS($B$3:$B$5000,$A$3:$A$5000,$A4400,$B$3:$B$5000,"&gt;"&amp;$B4400)=0),NOW(),_xlfn.MINIFS($B$3:$B$5000,$A$3:$A$5000,$A4400,$B$3:$B$5000,"&gt;"&amp;$B4400))</f>
        <v>46279.5987645061</v>
      </c>
    </row>
    <row r="4401" customFormat="false" ht="15" hidden="false" customHeight="true" outlineLevel="0" collapsed="false">
      <c r="A4401" s="42"/>
      <c r="B4401" s="42"/>
      <c r="C4401" s="42"/>
      <c r="D4401" s="42"/>
      <c r="E4401" s="42"/>
      <c r="F4401" s="51" t="n">
        <f aca="false">IF(OR(C4401="",D4401="",E4401="",E4401=0),0,C4401*D4401/E4401)</f>
        <v>0</v>
      </c>
      <c r="G4401" s="42"/>
      <c r="H4401" s="49" t="n">
        <f aca="true">IF(OR($A4401="",_xlfn.MINIFS($B$3:$B$5000,$A$3:$A$5000,$A4401,$B$3:$B$5000,"&gt;"&amp;$B4401)=0),NOW(),_xlfn.MINIFS($B$3:$B$5000,$A$3:$A$5000,$A4401,$B$3:$B$5000,"&gt;"&amp;$B4401))</f>
        <v>46279.5987645062</v>
      </c>
    </row>
    <row r="4402" customFormat="false" ht="15" hidden="false" customHeight="true" outlineLevel="0" collapsed="false">
      <c r="A4402" s="42"/>
      <c r="B4402" s="42"/>
      <c r="C4402" s="42"/>
      <c r="D4402" s="42"/>
      <c r="E4402" s="42"/>
      <c r="F4402" s="51" t="n">
        <f aca="false">IF(OR(C4402="",D4402="",E4402="",E4402=0),0,C4402*D4402/E4402)</f>
        <v>0</v>
      </c>
      <c r="G4402" s="42"/>
      <c r="H4402" s="49" t="n">
        <f aca="true">IF(OR($A4402="",_xlfn.MINIFS($B$3:$B$5000,$A$3:$A$5000,$A4402,$B$3:$B$5000,"&gt;"&amp;$B4402)=0),NOW(),_xlfn.MINIFS($B$3:$B$5000,$A$3:$A$5000,$A4402,$B$3:$B$5000,"&gt;"&amp;$B4402))</f>
        <v>46279.5987645062</v>
      </c>
    </row>
    <row r="4403" customFormat="false" ht="15" hidden="false" customHeight="true" outlineLevel="0" collapsed="false">
      <c r="A4403" s="42"/>
      <c r="B4403" s="42"/>
      <c r="C4403" s="42"/>
      <c r="D4403" s="42"/>
      <c r="E4403" s="42"/>
      <c r="F4403" s="51" t="n">
        <f aca="false">IF(OR(C4403="",D4403="",E4403="",E4403=0),0,C4403*D4403/E4403)</f>
        <v>0</v>
      </c>
      <c r="G4403" s="42"/>
      <c r="H4403" s="49" t="n">
        <f aca="true">IF(OR($A4403="",_xlfn.MINIFS($B$3:$B$5000,$A$3:$A$5000,$A4403,$B$3:$B$5000,"&gt;"&amp;$B4403)=0),NOW(),_xlfn.MINIFS($B$3:$B$5000,$A$3:$A$5000,$A4403,$B$3:$B$5000,"&gt;"&amp;$B4403))</f>
        <v>46279.5987645063</v>
      </c>
    </row>
    <row r="4404" customFormat="false" ht="15" hidden="false" customHeight="true" outlineLevel="0" collapsed="false">
      <c r="A4404" s="42"/>
      <c r="B4404" s="42"/>
      <c r="C4404" s="42"/>
      <c r="D4404" s="42"/>
      <c r="E4404" s="42"/>
      <c r="F4404" s="51" t="n">
        <f aca="false">IF(OR(C4404="",D4404="",E4404="",E4404=0),0,C4404*D4404/E4404)</f>
        <v>0</v>
      </c>
      <c r="G4404" s="42"/>
      <c r="H4404" s="49" t="n">
        <f aca="true">IF(OR($A4404="",_xlfn.MINIFS($B$3:$B$5000,$A$3:$A$5000,$A4404,$B$3:$B$5000,"&gt;"&amp;$B4404)=0),NOW(),_xlfn.MINIFS($B$3:$B$5000,$A$3:$A$5000,$A4404,$B$3:$B$5000,"&gt;"&amp;$B4404))</f>
        <v>46279.5987645063</v>
      </c>
    </row>
    <row r="4405" customFormat="false" ht="15" hidden="false" customHeight="true" outlineLevel="0" collapsed="false">
      <c r="A4405" s="42"/>
      <c r="B4405" s="42"/>
      <c r="C4405" s="42"/>
      <c r="D4405" s="42"/>
      <c r="E4405" s="42"/>
      <c r="F4405" s="51" t="n">
        <f aca="false">IF(OR(C4405="",D4405="",E4405="",E4405=0),0,C4405*D4405/E4405)</f>
        <v>0</v>
      </c>
      <c r="G4405" s="42"/>
      <c r="H4405" s="49" t="n">
        <f aca="true">IF(OR($A4405="",_xlfn.MINIFS($B$3:$B$5000,$A$3:$A$5000,$A4405,$B$3:$B$5000,"&gt;"&amp;$B4405)=0),NOW(),_xlfn.MINIFS($B$3:$B$5000,$A$3:$A$5000,$A4405,$B$3:$B$5000,"&gt;"&amp;$B4405))</f>
        <v>46279.5987645064</v>
      </c>
    </row>
    <row r="4406" customFormat="false" ht="15" hidden="false" customHeight="true" outlineLevel="0" collapsed="false">
      <c r="A4406" s="42"/>
      <c r="B4406" s="42"/>
      <c r="C4406" s="42"/>
      <c r="D4406" s="42"/>
      <c r="E4406" s="42"/>
      <c r="F4406" s="51" t="n">
        <f aca="false">IF(OR(C4406="",D4406="",E4406="",E4406=0),0,C4406*D4406/E4406)</f>
        <v>0</v>
      </c>
      <c r="G4406" s="42"/>
      <c r="H4406" s="49" t="n">
        <f aca="true">IF(OR($A4406="",_xlfn.MINIFS($B$3:$B$5000,$A$3:$A$5000,$A4406,$B$3:$B$5000,"&gt;"&amp;$B4406)=0),NOW(),_xlfn.MINIFS($B$3:$B$5000,$A$3:$A$5000,$A4406,$B$3:$B$5000,"&gt;"&amp;$B4406))</f>
        <v>46279.5987645064</v>
      </c>
    </row>
    <row r="4407" customFormat="false" ht="15" hidden="false" customHeight="true" outlineLevel="0" collapsed="false">
      <c r="A4407" s="42"/>
      <c r="B4407" s="42"/>
      <c r="C4407" s="42"/>
      <c r="D4407" s="42"/>
      <c r="E4407" s="42"/>
      <c r="F4407" s="51" t="n">
        <f aca="false">IF(OR(C4407="",D4407="",E4407="",E4407=0),0,C4407*D4407/E4407)</f>
        <v>0</v>
      </c>
      <c r="G4407" s="42"/>
      <c r="H4407" s="49" t="n">
        <f aca="true">IF(OR($A4407="",_xlfn.MINIFS($B$3:$B$5000,$A$3:$A$5000,$A4407,$B$3:$B$5000,"&gt;"&amp;$B4407)=0),NOW(),_xlfn.MINIFS($B$3:$B$5000,$A$3:$A$5000,$A4407,$B$3:$B$5000,"&gt;"&amp;$B4407))</f>
        <v>46279.5987645065</v>
      </c>
    </row>
    <row r="4408" customFormat="false" ht="15" hidden="false" customHeight="true" outlineLevel="0" collapsed="false">
      <c r="A4408" s="42"/>
      <c r="B4408" s="42"/>
      <c r="C4408" s="42"/>
      <c r="D4408" s="42"/>
      <c r="E4408" s="42"/>
      <c r="F4408" s="51" t="n">
        <f aca="false">IF(OR(C4408="",D4408="",E4408="",E4408=0),0,C4408*D4408/E4408)</f>
        <v>0</v>
      </c>
      <c r="G4408" s="42"/>
      <c r="H4408" s="49" t="n">
        <f aca="true">IF(OR($A4408="",_xlfn.MINIFS($B$3:$B$5000,$A$3:$A$5000,$A4408,$B$3:$B$5000,"&gt;"&amp;$B4408)=0),NOW(),_xlfn.MINIFS($B$3:$B$5000,$A$3:$A$5000,$A4408,$B$3:$B$5000,"&gt;"&amp;$B4408))</f>
        <v>46279.5987645065</v>
      </c>
    </row>
    <row r="4409" customFormat="false" ht="15" hidden="false" customHeight="true" outlineLevel="0" collapsed="false">
      <c r="A4409" s="42"/>
      <c r="B4409" s="42"/>
      <c r="C4409" s="42"/>
      <c r="D4409" s="42"/>
      <c r="E4409" s="42"/>
      <c r="F4409" s="51" t="n">
        <f aca="false">IF(OR(C4409="",D4409="",E4409="",E4409=0),0,C4409*D4409/E4409)</f>
        <v>0</v>
      </c>
      <c r="G4409" s="42"/>
      <c r="H4409" s="49" t="n">
        <f aca="true">IF(OR($A4409="",_xlfn.MINIFS($B$3:$B$5000,$A$3:$A$5000,$A4409,$B$3:$B$5000,"&gt;"&amp;$B4409)=0),NOW(),_xlfn.MINIFS($B$3:$B$5000,$A$3:$A$5000,$A4409,$B$3:$B$5000,"&gt;"&amp;$B4409))</f>
        <v>46279.5987645066</v>
      </c>
    </row>
    <row r="4410" customFormat="false" ht="15" hidden="false" customHeight="true" outlineLevel="0" collapsed="false">
      <c r="A4410" s="42"/>
      <c r="B4410" s="42"/>
      <c r="C4410" s="42"/>
      <c r="D4410" s="42"/>
      <c r="E4410" s="42"/>
      <c r="F4410" s="51" t="n">
        <f aca="false">IF(OR(C4410="",D4410="",E4410="",E4410=0),0,C4410*D4410/E4410)</f>
        <v>0</v>
      </c>
      <c r="G4410" s="42"/>
      <c r="H4410" s="49" t="n">
        <f aca="true">IF(OR($A4410="",_xlfn.MINIFS($B$3:$B$5000,$A$3:$A$5000,$A4410,$B$3:$B$5000,"&gt;"&amp;$B4410)=0),NOW(),_xlfn.MINIFS($B$3:$B$5000,$A$3:$A$5000,$A4410,$B$3:$B$5000,"&gt;"&amp;$B4410))</f>
        <v>46279.5987645066</v>
      </c>
    </row>
    <row r="4411" customFormat="false" ht="15" hidden="false" customHeight="true" outlineLevel="0" collapsed="false">
      <c r="A4411" s="42"/>
      <c r="B4411" s="42"/>
      <c r="C4411" s="42"/>
      <c r="D4411" s="42"/>
      <c r="E4411" s="42"/>
      <c r="F4411" s="51" t="n">
        <f aca="false">IF(OR(C4411="",D4411="",E4411="",E4411=0),0,C4411*D4411/E4411)</f>
        <v>0</v>
      </c>
      <c r="G4411" s="42"/>
      <c r="H4411" s="49" t="n">
        <f aca="true">IF(OR($A4411="",_xlfn.MINIFS($B$3:$B$5000,$A$3:$A$5000,$A4411,$B$3:$B$5000,"&gt;"&amp;$B4411)=0),NOW(),_xlfn.MINIFS($B$3:$B$5000,$A$3:$A$5000,$A4411,$B$3:$B$5000,"&gt;"&amp;$B4411))</f>
        <v>46279.5987645067</v>
      </c>
    </row>
    <row r="4412" customFormat="false" ht="15" hidden="false" customHeight="true" outlineLevel="0" collapsed="false">
      <c r="A4412" s="42"/>
      <c r="B4412" s="42"/>
      <c r="C4412" s="42"/>
      <c r="D4412" s="42"/>
      <c r="E4412" s="42"/>
      <c r="F4412" s="51" t="n">
        <f aca="false">IF(OR(C4412="",D4412="",E4412="",E4412=0),0,C4412*D4412/E4412)</f>
        <v>0</v>
      </c>
      <c r="G4412" s="42"/>
      <c r="H4412" s="49" t="n">
        <f aca="true">IF(OR($A4412="",_xlfn.MINIFS($B$3:$B$5000,$A$3:$A$5000,$A4412,$B$3:$B$5000,"&gt;"&amp;$B4412)=0),NOW(),_xlfn.MINIFS($B$3:$B$5000,$A$3:$A$5000,$A4412,$B$3:$B$5000,"&gt;"&amp;$B4412))</f>
        <v>46279.5987645067</v>
      </c>
    </row>
    <row r="4413" customFormat="false" ht="15" hidden="false" customHeight="true" outlineLevel="0" collapsed="false">
      <c r="A4413" s="42"/>
      <c r="B4413" s="42"/>
      <c r="C4413" s="42"/>
      <c r="D4413" s="42"/>
      <c r="E4413" s="42"/>
      <c r="F4413" s="51" t="n">
        <f aca="false">IF(OR(C4413="",D4413="",E4413="",E4413=0),0,C4413*D4413/E4413)</f>
        <v>0</v>
      </c>
      <c r="G4413" s="42"/>
      <c r="H4413" s="49" t="n">
        <f aca="true">IF(OR($A4413="",_xlfn.MINIFS($B$3:$B$5000,$A$3:$A$5000,$A4413,$B$3:$B$5000,"&gt;"&amp;$B4413)=0),NOW(),_xlfn.MINIFS($B$3:$B$5000,$A$3:$A$5000,$A4413,$B$3:$B$5000,"&gt;"&amp;$B4413))</f>
        <v>46279.5987645068</v>
      </c>
    </row>
    <row r="4414" customFormat="false" ht="15" hidden="false" customHeight="true" outlineLevel="0" collapsed="false">
      <c r="A4414" s="42"/>
      <c r="B4414" s="42"/>
      <c r="C4414" s="42"/>
      <c r="D4414" s="42"/>
      <c r="E4414" s="42"/>
      <c r="F4414" s="51" t="n">
        <f aca="false">IF(OR(C4414="",D4414="",E4414="",E4414=0),0,C4414*D4414/E4414)</f>
        <v>0</v>
      </c>
      <c r="G4414" s="42"/>
      <c r="H4414" s="49" t="n">
        <f aca="true">IF(OR($A4414="",_xlfn.MINIFS($B$3:$B$5000,$A$3:$A$5000,$A4414,$B$3:$B$5000,"&gt;"&amp;$B4414)=0),NOW(),_xlfn.MINIFS($B$3:$B$5000,$A$3:$A$5000,$A4414,$B$3:$B$5000,"&gt;"&amp;$B4414))</f>
        <v>46279.5987645068</v>
      </c>
    </row>
    <row r="4415" customFormat="false" ht="15" hidden="false" customHeight="true" outlineLevel="0" collapsed="false">
      <c r="A4415" s="42"/>
      <c r="B4415" s="42"/>
      <c r="C4415" s="42"/>
      <c r="D4415" s="42"/>
      <c r="E4415" s="42"/>
      <c r="F4415" s="51" t="n">
        <f aca="false">IF(OR(C4415="",D4415="",E4415="",E4415=0),0,C4415*D4415/E4415)</f>
        <v>0</v>
      </c>
      <c r="G4415" s="42"/>
      <c r="H4415" s="49" t="n">
        <f aca="true">IF(OR($A4415="",_xlfn.MINIFS($B$3:$B$5000,$A$3:$A$5000,$A4415,$B$3:$B$5000,"&gt;"&amp;$B4415)=0),NOW(),_xlfn.MINIFS($B$3:$B$5000,$A$3:$A$5000,$A4415,$B$3:$B$5000,"&gt;"&amp;$B4415))</f>
        <v>46279.5987645069</v>
      </c>
    </row>
    <row r="4416" customFormat="false" ht="15" hidden="false" customHeight="true" outlineLevel="0" collapsed="false">
      <c r="A4416" s="42"/>
      <c r="B4416" s="42"/>
      <c r="C4416" s="42"/>
      <c r="D4416" s="42"/>
      <c r="E4416" s="42"/>
      <c r="F4416" s="51" t="n">
        <f aca="false">IF(OR(C4416="",D4416="",E4416="",E4416=0),0,C4416*D4416/E4416)</f>
        <v>0</v>
      </c>
      <c r="G4416" s="42"/>
      <c r="H4416" s="49" t="n">
        <f aca="true">IF(OR($A4416="",_xlfn.MINIFS($B$3:$B$5000,$A$3:$A$5000,$A4416,$B$3:$B$5000,"&gt;"&amp;$B4416)=0),NOW(),_xlfn.MINIFS($B$3:$B$5000,$A$3:$A$5000,$A4416,$B$3:$B$5000,"&gt;"&amp;$B4416))</f>
        <v>46279.5987645069</v>
      </c>
    </row>
    <row r="4417" customFormat="false" ht="15" hidden="false" customHeight="true" outlineLevel="0" collapsed="false">
      <c r="A4417" s="42"/>
      <c r="B4417" s="42"/>
      <c r="C4417" s="42"/>
      <c r="D4417" s="42"/>
      <c r="E4417" s="42"/>
      <c r="F4417" s="51" t="n">
        <f aca="false">IF(OR(C4417="",D4417="",E4417="",E4417=0),0,C4417*D4417/E4417)</f>
        <v>0</v>
      </c>
      <c r="G4417" s="42"/>
      <c r="H4417" s="49" t="n">
        <f aca="true">IF(OR($A4417="",_xlfn.MINIFS($B$3:$B$5000,$A$3:$A$5000,$A4417,$B$3:$B$5000,"&gt;"&amp;$B4417)=0),NOW(),_xlfn.MINIFS($B$3:$B$5000,$A$3:$A$5000,$A4417,$B$3:$B$5000,"&gt;"&amp;$B4417))</f>
        <v>46279.598764507</v>
      </c>
    </row>
    <row r="4418" customFormat="false" ht="15" hidden="false" customHeight="true" outlineLevel="0" collapsed="false">
      <c r="A4418" s="42"/>
      <c r="B4418" s="42"/>
      <c r="C4418" s="42"/>
      <c r="D4418" s="42"/>
      <c r="E4418" s="42"/>
      <c r="F4418" s="51" t="n">
        <f aca="false">IF(OR(C4418="",D4418="",E4418="",E4418=0),0,C4418*D4418/E4418)</f>
        <v>0</v>
      </c>
      <c r="G4418" s="42"/>
      <c r="H4418" s="49" t="n">
        <f aca="true">IF(OR($A4418="",_xlfn.MINIFS($B$3:$B$5000,$A$3:$A$5000,$A4418,$B$3:$B$5000,"&gt;"&amp;$B4418)=0),NOW(),_xlfn.MINIFS($B$3:$B$5000,$A$3:$A$5000,$A4418,$B$3:$B$5000,"&gt;"&amp;$B4418))</f>
        <v>46279.598764507</v>
      </c>
    </row>
    <row r="4419" customFormat="false" ht="15" hidden="false" customHeight="true" outlineLevel="0" collapsed="false">
      <c r="A4419" s="42"/>
      <c r="B4419" s="42"/>
      <c r="C4419" s="42"/>
      <c r="D4419" s="42"/>
      <c r="E4419" s="42"/>
      <c r="F4419" s="51" t="n">
        <f aca="false">IF(OR(C4419="",D4419="",E4419="",E4419=0),0,C4419*D4419/E4419)</f>
        <v>0</v>
      </c>
      <c r="G4419" s="42"/>
      <c r="H4419" s="49" t="n">
        <f aca="true">IF(OR($A4419="",_xlfn.MINIFS($B$3:$B$5000,$A$3:$A$5000,$A4419,$B$3:$B$5000,"&gt;"&amp;$B4419)=0),NOW(),_xlfn.MINIFS($B$3:$B$5000,$A$3:$A$5000,$A4419,$B$3:$B$5000,"&gt;"&amp;$B4419))</f>
        <v>46279.5987645071</v>
      </c>
    </row>
    <row r="4420" customFormat="false" ht="15" hidden="false" customHeight="true" outlineLevel="0" collapsed="false">
      <c r="A4420" s="42"/>
      <c r="B4420" s="42"/>
      <c r="C4420" s="42"/>
      <c r="D4420" s="42"/>
      <c r="E4420" s="42"/>
      <c r="F4420" s="51" t="n">
        <f aca="false">IF(OR(C4420="",D4420="",E4420="",E4420=0),0,C4420*D4420/E4420)</f>
        <v>0</v>
      </c>
      <c r="G4420" s="42"/>
      <c r="H4420" s="49" t="n">
        <f aca="true">IF(OR($A4420="",_xlfn.MINIFS($B$3:$B$5000,$A$3:$A$5000,$A4420,$B$3:$B$5000,"&gt;"&amp;$B4420)=0),NOW(),_xlfn.MINIFS($B$3:$B$5000,$A$3:$A$5000,$A4420,$B$3:$B$5000,"&gt;"&amp;$B4420))</f>
        <v>46279.5987645071</v>
      </c>
    </row>
    <row r="4421" customFormat="false" ht="15" hidden="false" customHeight="true" outlineLevel="0" collapsed="false">
      <c r="A4421" s="42"/>
      <c r="B4421" s="42"/>
      <c r="C4421" s="42"/>
      <c r="D4421" s="42"/>
      <c r="E4421" s="42"/>
      <c r="F4421" s="51" t="n">
        <f aca="false">IF(OR(C4421="",D4421="",E4421="",E4421=0),0,C4421*D4421/E4421)</f>
        <v>0</v>
      </c>
      <c r="G4421" s="42"/>
      <c r="H4421" s="49" t="n">
        <f aca="true">IF(OR($A4421="",_xlfn.MINIFS($B$3:$B$5000,$A$3:$A$5000,$A4421,$B$3:$B$5000,"&gt;"&amp;$B4421)=0),NOW(),_xlfn.MINIFS($B$3:$B$5000,$A$3:$A$5000,$A4421,$B$3:$B$5000,"&gt;"&amp;$B4421))</f>
        <v>46279.5987645072</v>
      </c>
    </row>
    <row r="4422" customFormat="false" ht="15" hidden="false" customHeight="true" outlineLevel="0" collapsed="false">
      <c r="A4422" s="42"/>
      <c r="B4422" s="42"/>
      <c r="C4422" s="42"/>
      <c r="D4422" s="42"/>
      <c r="E4422" s="42"/>
      <c r="F4422" s="51" t="n">
        <f aca="false">IF(OR(C4422="",D4422="",E4422="",E4422=0),0,C4422*D4422/E4422)</f>
        <v>0</v>
      </c>
      <c r="G4422" s="42"/>
      <c r="H4422" s="49" t="n">
        <f aca="true">IF(OR($A4422="",_xlfn.MINIFS($B$3:$B$5000,$A$3:$A$5000,$A4422,$B$3:$B$5000,"&gt;"&amp;$B4422)=0),NOW(),_xlfn.MINIFS($B$3:$B$5000,$A$3:$A$5000,$A4422,$B$3:$B$5000,"&gt;"&amp;$B4422))</f>
        <v>46279.5987645072</v>
      </c>
    </row>
    <row r="4423" customFormat="false" ht="15" hidden="false" customHeight="true" outlineLevel="0" collapsed="false">
      <c r="A4423" s="42"/>
      <c r="B4423" s="42"/>
      <c r="C4423" s="42"/>
      <c r="D4423" s="42"/>
      <c r="E4423" s="42"/>
      <c r="F4423" s="51" t="n">
        <f aca="false">IF(OR(C4423="",D4423="",E4423="",E4423=0),0,C4423*D4423/E4423)</f>
        <v>0</v>
      </c>
      <c r="G4423" s="42"/>
      <c r="H4423" s="49" t="n">
        <f aca="true">IF(OR($A4423="",_xlfn.MINIFS($B$3:$B$5000,$A$3:$A$5000,$A4423,$B$3:$B$5000,"&gt;"&amp;$B4423)=0),NOW(),_xlfn.MINIFS($B$3:$B$5000,$A$3:$A$5000,$A4423,$B$3:$B$5000,"&gt;"&amp;$B4423))</f>
        <v>46279.5987645073</v>
      </c>
    </row>
    <row r="4424" customFormat="false" ht="15" hidden="false" customHeight="true" outlineLevel="0" collapsed="false">
      <c r="A4424" s="42"/>
      <c r="B4424" s="42"/>
      <c r="C4424" s="42"/>
      <c r="D4424" s="42"/>
      <c r="E4424" s="42"/>
      <c r="F4424" s="51" t="n">
        <f aca="false">IF(OR(C4424="",D4424="",E4424="",E4424=0),0,C4424*D4424/E4424)</f>
        <v>0</v>
      </c>
      <c r="G4424" s="42"/>
      <c r="H4424" s="49" t="n">
        <f aca="true">IF(OR($A4424="",_xlfn.MINIFS($B$3:$B$5000,$A$3:$A$5000,$A4424,$B$3:$B$5000,"&gt;"&amp;$B4424)=0),NOW(),_xlfn.MINIFS($B$3:$B$5000,$A$3:$A$5000,$A4424,$B$3:$B$5000,"&gt;"&amp;$B4424))</f>
        <v>46279.5987645073</v>
      </c>
    </row>
    <row r="4425" customFormat="false" ht="15" hidden="false" customHeight="true" outlineLevel="0" collapsed="false">
      <c r="A4425" s="42"/>
      <c r="B4425" s="42"/>
      <c r="C4425" s="42"/>
      <c r="D4425" s="42"/>
      <c r="E4425" s="42"/>
      <c r="F4425" s="51" t="n">
        <f aca="false">IF(OR(C4425="",D4425="",E4425="",E4425=0),0,C4425*D4425/E4425)</f>
        <v>0</v>
      </c>
      <c r="G4425" s="42"/>
      <c r="H4425" s="49" t="n">
        <f aca="true">IF(OR($A4425="",_xlfn.MINIFS($B$3:$B$5000,$A$3:$A$5000,$A4425,$B$3:$B$5000,"&gt;"&amp;$B4425)=0),NOW(),_xlfn.MINIFS($B$3:$B$5000,$A$3:$A$5000,$A4425,$B$3:$B$5000,"&gt;"&amp;$B4425))</f>
        <v>46279.5987645074</v>
      </c>
    </row>
    <row r="4426" customFormat="false" ht="15" hidden="false" customHeight="true" outlineLevel="0" collapsed="false">
      <c r="A4426" s="42"/>
      <c r="B4426" s="42"/>
      <c r="C4426" s="42"/>
      <c r="D4426" s="42"/>
      <c r="E4426" s="42"/>
      <c r="F4426" s="51" t="n">
        <f aca="false">IF(OR(C4426="",D4426="",E4426="",E4426=0),0,C4426*D4426/E4426)</f>
        <v>0</v>
      </c>
      <c r="G4426" s="42"/>
      <c r="H4426" s="49" t="n">
        <f aca="true">IF(OR($A4426="",_xlfn.MINIFS($B$3:$B$5000,$A$3:$A$5000,$A4426,$B$3:$B$5000,"&gt;"&amp;$B4426)=0),NOW(),_xlfn.MINIFS($B$3:$B$5000,$A$3:$A$5000,$A4426,$B$3:$B$5000,"&gt;"&amp;$B4426))</f>
        <v>46279.5987645074</v>
      </c>
    </row>
    <row r="4427" customFormat="false" ht="15" hidden="false" customHeight="true" outlineLevel="0" collapsed="false">
      <c r="A4427" s="42"/>
      <c r="B4427" s="42"/>
      <c r="C4427" s="42"/>
      <c r="D4427" s="42"/>
      <c r="E4427" s="42"/>
      <c r="F4427" s="51" t="n">
        <f aca="false">IF(OR(C4427="",D4427="",E4427="",E4427=0),0,C4427*D4427/E4427)</f>
        <v>0</v>
      </c>
      <c r="G4427" s="42"/>
      <c r="H4427" s="49" t="n">
        <f aca="true">IF(OR($A4427="",_xlfn.MINIFS($B$3:$B$5000,$A$3:$A$5000,$A4427,$B$3:$B$5000,"&gt;"&amp;$B4427)=0),NOW(),_xlfn.MINIFS($B$3:$B$5000,$A$3:$A$5000,$A4427,$B$3:$B$5000,"&gt;"&amp;$B4427))</f>
        <v>46279.5987645075</v>
      </c>
    </row>
    <row r="4428" customFormat="false" ht="15" hidden="false" customHeight="true" outlineLevel="0" collapsed="false">
      <c r="A4428" s="42"/>
      <c r="B4428" s="42"/>
      <c r="C4428" s="42"/>
      <c r="D4428" s="42"/>
      <c r="E4428" s="42"/>
      <c r="F4428" s="51" t="n">
        <f aca="false">IF(OR(C4428="",D4428="",E4428="",E4428=0),0,C4428*D4428/E4428)</f>
        <v>0</v>
      </c>
      <c r="G4428" s="42"/>
      <c r="H4428" s="49" t="n">
        <f aca="true">IF(OR($A4428="",_xlfn.MINIFS($B$3:$B$5000,$A$3:$A$5000,$A4428,$B$3:$B$5000,"&gt;"&amp;$B4428)=0),NOW(),_xlfn.MINIFS($B$3:$B$5000,$A$3:$A$5000,$A4428,$B$3:$B$5000,"&gt;"&amp;$B4428))</f>
        <v>46279.5987645076</v>
      </c>
    </row>
    <row r="4429" customFormat="false" ht="15" hidden="false" customHeight="true" outlineLevel="0" collapsed="false">
      <c r="A4429" s="42"/>
      <c r="B4429" s="42"/>
      <c r="C4429" s="42"/>
      <c r="D4429" s="42"/>
      <c r="E4429" s="42"/>
      <c r="F4429" s="51" t="n">
        <f aca="false">IF(OR(C4429="",D4429="",E4429="",E4429=0),0,C4429*D4429/E4429)</f>
        <v>0</v>
      </c>
      <c r="G4429" s="42"/>
      <c r="H4429" s="49" t="n">
        <f aca="true">IF(OR($A4429="",_xlfn.MINIFS($B$3:$B$5000,$A$3:$A$5000,$A4429,$B$3:$B$5000,"&gt;"&amp;$B4429)=0),NOW(),_xlfn.MINIFS($B$3:$B$5000,$A$3:$A$5000,$A4429,$B$3:$B$5000,"&gt;"&amp;$B4429))</f>
        <v>46279.5987645077</v>
      </c>
    </row>
    <row r="4430" customFormat="false" ht="15" hidden="false" customHeight="true" outlineLevel="0" collapsed="false">
      <c r="A4430" s="42"/>
      <c r="B4430" s="42"/>
      <c r="C4430" s="42"/>
      <c r="D4430" s="42"/>
      <c r="E4430" s="42"/>
      <c r="F4430" s="51" t="n">
        <f aca="false">IF(OR(C4430="",D4430="",E4430="",E4430=0),0,C4430*D4430/E4430)</f>
        <v>0</v>
      </c>
      <c r="G4430" s="42"/>
      <c r="H4430" s="49" t="n">
        <f aca="true">IF(OR($A4430="",_xlfn.MINIFS($B$3:$B$5000,$A$3:$A$5000,$A4430,$B$3:$B$5000,"&gt;"&amp;$B4430)=0),NOW(),_xlfn.MINIFS($B$3:$B$5000,$A$3:$A$5000,$A4430,$B$3:$B$5000,"&gt;"&amp;$B4430))</f>
        <v>46279.5987645077</v>
      </c>
    </row>
    <row r="4431" customFormat="false" ht="15" hidden="false" customHeight="true" outlineLevel="0" collapsed="false">
      <c r="A4431" s="42"/>
      <c r="B4431" s="42"/>
      <c r="C4431" s="42"/>
      <c r="D4431" s="42"/>
      <c r="E4431" s="42"/>
      <c r="F4431" s="51" t="n">
        <f aca="false">IF(OR(C4431="",D4431="",E4431="",E4431=0),0,C4431*D4431/E4431)</f>
        <v>0</v>
      </c>
      <c r="G4431" s="42"/>
      <c r="H4431" s="49" t="n">
        <f aca="true">IF(OR($A4431="",_xlfn.MINIFS($B$3:$B$5000,$A$3:$A$5000,$A4431,$B$3:$B$5000,"&gt;"&amp;$B4431)=0),NOW(),_xlfn.MINIFS($B$3:$B$5000,$A$3:$A$5000,$A4431,$B$3:$B$5000,"&gt;"&amp;$B4431))</f>
        <v>46279.5987645078</v>
      </c>
    </row>
    <row r="4432" customFormat="false" ht="15" hidden="false" customHeight="true" outlineLevel="0" collapsed="false">
      <c r="A4432" s="42"/>
      <c r="B4432" s="42"/>
      <c r="C4432" s="42"/>
      <c r="D4432" s="42"/>
      <c r="E4432" s="42"/>
      <c r="F4432" s="51" t="n">
        <f aca="false">IF(OR(C4432="",D4432="",E4432="",E4432=0),0,C4432*D4432/E4432)</f>
        <v>0</v>
      </c>
      <c r="G4432" s="42"/>
      <c r="H4432" s="49" t="n">
        <f aca="true">IF(OR($A4432="",_xlfn.MINIFS($B$3:$B$5000,$A$3:$A$5000,$A4432,$B$3:$B$5000,"&gt;"&amp;$B4432)=0),NOW(),_xlfn.MINIFS($B$3:$B$5000,$A$3:$A$5000,$A4432,$B$3:$B$5000,"&gt;"&amp;$B4432))</f>
        <v>46279.5987645078</v>
      </c>
    </row>
    <row r="4433" customFormat="false" ht="15" hidden="false" customHeight="true" outlineLevel="0" collapsed="false">
      <c r="A4433" s="42"/>
      <c r="B4433" s="42"/>
      <c r="C4433" s="42"/>
      <c r="D4433" s="42"/>
      <c r="E4433" s="42"/>
      <c r="F4433" s="51" t="n">
        <f aca="false">IF(OR(C4433="",D4433="",E4433="",E4433=0),0,C4433*D4433/E4433)</f>
        <v>0</v>
      </c>
      <c r="G4433" s="42"/>
      <c r="H4433" s="49" t="n">
        <f aca="true">IF(OR($A4433="",_xlfn.MINIFS($B$3:$B$5000,$A$3:$A$5000,$A4433,$B$3:$B$5000,"&gt;"&amp;$B4433)=0),NOW(),_xlfn.MINIFS($B$3:$B$5000,$A$3:$A$5000,$A4433,$B$3:$B$5000,"&gt;"&amp;$B4433))</f>
        <v>46279.5987645079</v>
      </c>
    </row>
    <row r="4434" customFormat="false" ht="15" hidden="false" customHeight="true" outlineLevel="0" collapsed="false">
      <c r="A4434" s="42"/>
      <c r="B4434" s="42"/>
      <c r="C4434" s="42"/>
      <c r="D4434" s="42"/>
      <c r="E4434" s="42"/>
      <c r="F4434" s="51" t="n">
        <f aca="false">IF(OR(C4434="",D4434="",E4434="",E4434=0),0,C4434*D4434/E4434)</f>
        <v>0</v>
      </c>
      <c r="G4434" s="42"/>
      <c r="H4434" s="49" t="n">
        <f aca="true">IF(OR($A4434="",_xlfn.MINIFS($B$3:$B$5000,$A$3:$A$5000,$A4434,$B$3:$B$5000,"&gt;"&amp;$B4434)=0),NOW(),_xlfn.MINIFS($B$3:$B$5000,$A$3:$A$5000,$A4434,$B$3:$B$5000,"&gt;"&amp;$B4434))</f>
        <v>46279.5987645079</v>
      </c>
    </row>
    <row r="4435" customFormat="false" ht="15" hidden="false" customHeight="true" outlineLevel="0" collapsed="false">
      <c r="A4435" s="42"/>
      <c r="B4435" s="42"/>
      <c r="C4435" s="42"/>
      <c r="D4435" s="42"/>
      <c r="E4435" s="42"/>
      <c r="F4435" s="51" t="n">
        <f aca="false">IF(OR(C4435="",D4435="",E4435="",E4435=0),0,C4435*D4435/E4435)</f>
        <v>0</v>
      </c>
      <c r="G4435" s="42"/>
      <c r="H4435" s="49" t="n">
        <f aca="true">IF(OR($A4435="",_xlfn.MINIFS($B$3:$B$5000,$A$3:$A$5000,$A4435,$B$3:$B$5000,"&gt;"&amp;$B4435)=0),NOW(),_xlfn.MINIFS($B$3:$B$5000,$A$3:$A$5000,$A4435,$B$3:$B$5000,"&gt;"&amp;$B4435))</f>
        <v>46279.598764508</v>
      </c>
    </row>
    <row r="4436" customFormat="false" ht="15" hidden="false" customHeight="true" outlineLevel="0" collapsed="false">
      <c r="A4436" s="42"/>
      <c r="B4436" s="42"/>
      <c r="C4436" s="42"/>
      <c r="D4436" s="42"/>
      <c r="E4436" s="42"/>
      <c r="F4436" s="51" t="n">
        <f aca="false">IF(OR(C4436="",D4436="",E4436="",E4436=0),0,C4436*D4436/E4436)</f>
        <v>0</v>
      </c>
      <c r="G4436" s="42"/>
      <c r="H4436" s="49" t="n">
        <f aca="true">IF(OR($A4436="",_xlfn.MINIFS($B$3:$B$5000,$A$3:$A$5000,$A4436,$B$3:$B$5000,"&gt;"&amp;$B4436)=0),NOW(),_xlfn.MINIFS($B$3:$B$5000,$A$3:$A$5000,$A4436,$B$3:$B$5000,"&gt;"&amp;$B4436))</f>
        <v>46279.598764508</v>
      </c>
    </row>
    <row r="4437" customFormat="false" ht="15" hidden="false" customHeight="true" outlineLevel="0" collapsed="false">
      <c r="A4437" s="42"/>
      <c r="B4437" s="42"/>
      <c r="C4437" s="42"/>
      <c r="D4437" s="42"/>
      <c r="E4437" s="42"/>
      <c r="F4437" s="51" t="n">
        <f aca="false">IF(OR(C4437="",D4437="",E4437="",E4437=0),0,C4437*D4437/E4437)</f>
        <v>0</v>
      </c>
      <c r="G4437" s="42"/>
      <c r="H4437" s="49" t="n">
        <f aca="true">IF(OR($A4437="",_xlfn.MINIFS($B$3:$B$5000,$A$3:$A$5000,$A4437,$B$3:$B$5000,"&gt;"&amp;$B4437)=0),NOW(),_xlfn.MINIFS($B$3:$B$5000,$A$3:$A$5000,$A4437,$B$3:$B$5000,"&gt;"&amp;$B4437))</f>
        <v>46279.5987645081</v>
      </c>
    </row>
    <row r="4438" customFormat="false" ht="15" hidden="false" customHeight="true" outlineLevel="0" collapsed="false">
      <c r="A4438" s="42"/>
      <c r="B4438" s="42"/>
      <c r="C4438" s="42"/>
      <c r="D4438" s="42"/>
      <c r="E4438" s="42"/>
      <c r="F4438" s="51" t="n">
        <f aca="false">IF(OR(C4438="",D4438="",E4438="",E4438=0),0,C4438*D4438/E4438)</f>
        <v>0</v>
      </c>
      <c r="G4438" s="42"/>
      <c r="H4438" s="49" t="n">
        <f aca="true">IF(OR($A4438="",_xlfn.MINIFS($B$3:$B$5000,$A$3:$A$5000,$A4438,$B$3:$B$5000,"&gt;"&amp;$B4438)=0),NOW(),_xlfn.MINIFS($B$3:$B$5000,$A$3:$A$5000,$A4438,$B$3:$B$5000,"&gt;"&amp;$B4438))</f>
        <v>46279.5987645081</v>
      </c>
    </row>
    <row r="4439" customFormat="false" ht="15" hidden="false" customHeight="true" outlineLevel="0" collapsed="false">
      <c r="A4439" s="42"/>
      <c r="B4439" s="42"/>
      <c r="C4439" s="42"/>
      <c r="D4439" s="42"/>
      <c r="E4439" s="42"/>
      <c r="F4439" s="51" t="n">
        <f aca="false">IF(OR(C4439="",D4439="",E4439="",E4439=0),0,C4439*D4439/E4439)</f>
        <v>0</v>
      </c>
      <c r="G4439" s="42"/>
      <c r="H4439" s="49" t="n">
        <f aca="true">IF(OR($A4439="",_xlfn.MINIFS($B$3:$B$5000,$A$3:$A$5000,$A4439,$B$3:$B$5000,"&gt;"&amp;$B4439)=0),NOW(),_xlfn.MINIFS($B$3:$B$5000,$A$3:$A$5000,$A4439,$B$3:$B$5000,"&gt;"&amp;$B4439))</f>
        <v>46279.5987645082</v>
      </c>
    </row>
    <row r="4440" customFormat="false" ht="15" hidden="false" customHeight="true" outlineLevel="0" collapsed="false">
      <c r="A4440" s="42"/>
      <c r="B4440" s="42"/>
      <c r="C4440" s="42"/>
      <c r="D4440" s="42"/>
      <c r="E4440" s="42"/>
      <c r="F4440" s="51" t="n">
        <f aca="false">IF(OR(C4440="",D4440="",E4440="",E4440=0),0,C4440*D4440/E4440)</f>
        <v>0</v>
      </c>
      <c r="G4440" s="42"/>
      <c r="H4440" s="49" t="n">
        <f aca="true">IF(OR($A4440="",_xlfn.MINIFS($B$3:$B$5000,$A$3:$A$5000,$A4440,$B$3:$B$5000,"&gt;"&amp;$B4440)=0),NOW(),_xlfn.MINIFS($B$3:$B$5000,$A$3:$A$5000,$A4440,$B$3:$B$5000,"&gt;"&amp;$B4440))</f>
        <v>46279.5987645082</v>
      </c>
    </row>
    <row r="4441" customFormat="false" ht="15" hidden="false" customHeight="true" outlineLevel="0" collapsed="false">
      <c r="A4441" s="42"/>
      <c r="B4441" s="42"/>
      <c r="C4441" s="42"/>
      <c r="D4441" s="42"/>
      <c r="E4441" s="42"/>
      <c r="F4441" s="51" t="n">
        <f aca="false">IF(OR(C4441="",D4441="",E4441="",E4441=0),0,C4441*D4441/E4441)</f>
        <v>0</v>
      </c>
      <c r="G4441" s="42"/>
      <c r="H4441" s="49" t="n">
        <f aca="true">IF(OR($A4441="",_xlfn.MINIFS($B$3:$B$5000,$A$3:$A$5000,$A4441,$B$3:$B$5000,"&gt;"&amp;$B4441)=0),NOW(),_xlfn.MINIFS($B$3:$B$5000,$A$3:$A$5000,$A4441,$B$3:$B$5000,"&gt;"&amp;$B4441))</f>
        <v>46279.5987645083</v>
      </c>
    </row>
    <row r="4442" customFormat="false" ht="15" hidden="false" customHeight="true" outlineLevel="0" collapsed="false">
      <c r="A4442" s="42"/>
      <c r="B4442" s="42"/>
      <c r="C4442" s="42"/>
      <c r="D4442" s="42"/>
      <c r="E4442" s="42"/>
      <c r="F4442" s="51" t="n">
        <f aca="false">IF(OR(C4442="",D4442="",E4442="",E4442=0),0,C4442*D4442/E4442)</f>
        <v>0</v>
      </c>
      <c r="G4442" s="42"/>
      <c r="H4442" s="49" t="n">
        <f aca="true">IF(OR($A4442="",_xlfn.MINIFS($B$3:$B$5000,$A$3:$A$5000,$A4442,$B$3:$B$5000,"&gt;"&amp;$B4442)=0),NOW(),_xlfn.MINIFS($B$3:$B$5000,$A$3:$A$5000,$A4442,$B$3:$B$5000,"&gt;"&amp;$B4442))</f>
        <v>46279.5987645083</v>
      </c>
    </row>
    <row r="4443" customFormat="false" ht="15" hidden="false" customHeight="true" outlineLevel="0" collapsed="false">
      <c r="A4443" s="42"/>
      <c r="B4443" s="42"/>
      <c r="C4443" s="42"/>
      <c r="D4443" s="42"/>
      <c r="E4443" s="42"/>
      <c r="F4443" s="51" t="n">
        <f aca="false">IF(OR(C4443="",D4443="",E4443="",E4443=0),0,C4443*D4443/E4443)</f>
        <v>0</v>
      </c>
      <c r="G4443" s="42"/>
      <c r="H4443" s="49" t="n">
        <f aca="true">IF(OR($A4443="",_xlfn.MINIFS($B$3:$B$5000,$A$3:$A$5000,$A4443,$B$3:$B$5000,"&gt;"&amp;$B4443)=0),NOW(),_xlfn.MINIFS($B$3:$B$5000,$A$3:$A$5000,$A4443,$B$3:$B$5000,"&gt;"&amp;$B4443))</f>
        <v>46279.5987645084</v>
      </c>
    </row>
    <row r="4444" customFormat="false" ht="15" hidden="false" customHeight="true" outlineLevel="0" collapsed="false">
      <c r="A4444" s="42"/>
      <c r="B4444" s="42"/>
      <c r="C4444" s="42"/>
      <c r="D4444" s="42"/>
      <c r="E4444" s="42"/>
      <c r="F4444" s="51" t="n">
        <f aca="false">IF(OR(C4444="",D4444="",E4444="",E4444=0),0,C4444*D4444/E4444)</f>
        <v>0</v>
      </c>
      <c r="G4444" s="42"/>
      <c r="H4444" s="49" t="n">
        <f aca="true">IF(OR($A4444="",_xlfn.MINIFS($B$3:$B$5000,$A$3:$A$5000,$A4444,$B$3:$B$5000,"&gt;"&amp;$B4444)=0),NOW(),_xlfn.MINIFS($B$3:$B$5000,$A$3:$A$5000,$A4444,$B$3:$B$5000,"&gt;"&amp;$B4444))</f>
        <v>46279.5987645084</v>
      </c>
    </row>
    <row r="4445" customFormat="false" ht="15" hidden="false" customHeight="true" outlineLevel="0" collapsed="false">
      <c r="A4445" s="42"/>
      <c r="B4445" s="42"/>
      <c r="C4445" s="42"/>
      <c r="D4445" s="42"/>
      <c r="E4445" s="42"/>
      <c r="F4445" s="51" t="n">
        <f aca="false">IF(OR(C4445="",D4445="",E4445="",E4445=0),0,C4445*D4445/E4445)</f>
        <v>0</v>
      </c>
      <c r="G4445" s="42"/>
      <c r="H4445" s="49" t="n">
        <f aca="true">IF(OR($A4445="",_xlfn.MINIFS($B$3:$B$5000,$A$3:$A$5000,$A4445,$B$3:$B$5000,"&gt;"&amp;$B4445)=0),NOW(),_xlfn.MINIFS($B$3:$B$5000,$A$3:$A$5000,$A4445,$B$3:$B$5000,"&gt;"&amp;$B4445))</f>
        <v>46279.5987645085</v>
      </c>
    </row>
    <row r="4446" customFormat="false" ht="15" hidden="false" customHeight="true" outlineLevel="0" collapsed="false">
      <c r="A4446" s="42"/>
      <c r="B4446" s="42"/>
      <c r="C4446" s="42"/>
      <c r="D4446" s="42"/>
      <c r="E4446" s="42"/>
      <c r="F4446" s="51" t="n">
        <f aca="false">IF(OR(C4446="",D4446="",E4446="",E4446=0),0,C4446*D4446/E4446)</f>
        <v>0</v>
      </c>
      <c r="G4446" s="42"/>
      <c r="H4446" s="49" t="n">
        <f aca="true">IF(OR($A4446="",_xlfn.MINIFS($B$3:$B$5000,$A$3:$A$5000,$A4446,$B$3:$B$5000,"&gt;"&amp;$B4446)=0),NOW(),_xlfn.MINIFS($B$3:$B$5000,$A$3:$A$5000,$A4446,$B$3:$B$5000,"&gt;"&amp;$B4446))</f>
        <v>46279.5987645085</v>
      </c>
    </row>
    <row r="4447" customFormat="false" ht="15" hidden="false" customHeight="true" outlineLevel="0" collapsed="false">
      <c r="A4447" s="42"/>
      <c r="B4447" s="42"/>
      <c r="C4447" s="42"/>
      <c r="D4447" s="42"/>
      <c r="E4447" s="42"/>
      <c r="F4447" s="51" t="n">
        <f aca="false">IF(OR(C4447="",D4447="",E4447="",E4447=0),0,C4447*D4447/E4447)</f>
        <v>0</v>
      </c>
      <c r="G4447" s="42"/>
      <c r="H4447" s="49" t="n">
        <f aca="true">IF(OR($A4447="",_xlfn.MINIFS($B$3:$B$5000,$A$3:$A$5000,$A4447,$B$3:$B$5000,"&gt;"&amp;$B4447)=0),NOW(),_xlfn.MINIFS($B$3:$B$5000,$A$3:$A$5000,$A4447,$B$3:$B$5000,"&gt;"&amp;$B4447))</f>
        <v>46279.5987645086</v>
      </c>
    </row>
    <row r="4448" customFormat="false" ht="15" hidden="false" customHeight="true" outlineLevel="0" collapsed="false">
      <c r="A4448" s="42"/>
      <c r="B4448" s="42"/>
      <c r="C4448" s="42"/>
      <c r="D4448" s="42"/>
      <c r="E4448" s="42"/>
      <c r="F4448" s="51" t="n">
        <f aca="false">IF(OR(C4448="",D4448="",E4448="",E4448=0),0,C4448*D4448/E4448)</f>
        <v>0</v>
      </c>
      <c r="G4448" s="42"/>
      <c r="H4448" s="49" t="n">
        <f aca="true">IF(OR($A4448="",_xlfn.MINIFS($B$3:$B$5000,$A$3:$A$5000,$A4448,$B$3:$B$5000,"&gt;"&amp;$B4448)=0),NOW(),_xlfn.MINIFS($B$3:$B$5000,$A$3:$A$5000,$A4448,$B$3:$B$5000,"&gt;"&amp;$B4448))</f>
        <v>46279.5987645086</v>
      </c>
    </row>
    <row r="4449" customFormat="false" ht="15" hidden="false" customHeight="true" outlineLevel="0" collapsed="false">
      <c r="A4449" s="42"/>
      <c r="B4449" s="42"/>
      <c r="C4449" s="42"/>
      <c r="D4449" s="42"/>
      <c r="E4449" s="42"/>
      <c r="F4449" s="51" t="n">
        <f aca="false">IF(OR(C4449="",D4449="",E4449="",E4449=0),0,C4449*D4449/E4449)</f>
        <v>0</v>
      </c>
      <c r="G4449" s="42"/>
      <c r="H4449" s="49" t="n">
        <f aca="true">IF(OR($A4449="",_xlfn.MINIFS($B$3:$B$5000,$A$3:$A$5000,$A4449,$B$3:$B$5000,"&gt;"&amp;$B4449)=0),NOW(),_xlfn.MINIFS($B$3:$B$5000,$A$3:$A$5000,$A4449,$B$3:$B$5000,"&gt;"&amp;$B4449))</f>
        <v>46279.5987645087</v>
      </c>
    </row>
    <row r="4450" customFormat="false" ht="15" hidden="false" customHeight="true" outlineLevel="0" collapsed="false">
      <c r="A4450" s="42"/>
      <c r="B4450" s="42"/>
      <c r="C4450" s="42"/>
      <c r="D4450" s="42"/>
      <c r="E4450" s="42"/>
      <c r="F4450" s="51" t="n">
        <f aca="false">IF(OR(C4450="",D4450="",E4450="",E4450=0),0,C4450*D4450/E4450)</f>
        <v>0</v>
      </c>
      <c r="G4450" s="42"/>
      <c r="H4450" s="49" t="n">
        <f aca="true">IF(OR($A4450="",_xlfn.MINIFS($B$3:$B$5000,$A$3:$A$5000,$A4450,$B$3:$B$5000,"&gt;"&amp;$B4450)=0),NOW(),_xlfn.MINIFS($B$3:$B$5000,$A$3:$A$5000,$A4450,$B$3:$B$5000,"&gt;"&amp;$B4450))</f>
        <v>46279.5987645087</v>
      </c>
    </row>
    <row r="4451" customFormat="false" ht="15" hidden="false" customHeight="true" outlineLevel="0" collapsed="false">
      <c r="A4451" s="42"/>
      <c r="B4451" s="42"/>
      <c r="C4451" s="42"/>
      <c r="D4451" s="42"/>
      <c r="E4451" s="42"/>
      <c r="F4451" s="51" t="n">
        <f aca="false">IF(OR(C4451="",D4451="",E4451="",E4451=0),0,C4451*D4451/E4451)</f>
        <v>0</v>
      </c>
      <c r="G4451" s="42"/>
      <c r="H4451" s="49" t="n">
        <f aca="true">IF(OR($A4451="",_xlfn.MINIFS($B$3:$B$5000,$A$3:$A$5000,$A4451,$B$3:$B$5000,"&gt;"&amp;$B4451)=0),NOW(),_xlfn.MINIFS($B$3:$B$5000,$A$3:$A$5000,$A4451,$B$3:$B$5000,"&gt;"&amp;$B4451))</f>
        <v>46279.5987645088</v>
      </c>
    </row>
    <row r="4452" customFormat="false" ht="15" hidden="false" customHeight="true" outlineLevel="0" collapsed="false">
      <c r="A4452" s="42"/>
      <c r="B4452" s="42"/>
      <c r="C4452" s="42"/>
      <c r="D4452" s="42"/>
      <c r="E4452" s="42"/>
      <c r="F4452" s="51" t="n">
        <f aca="false">IF(OR(C4452="",D4452="",E4452="",E4452=0),0,C4452*D4452/E4452)</f>
        <v>0</v>
      </c>
      <c r="G4452" s="42"/>
      <c r="H4452" s="49" t="n">
        <f aca="true">IF(OR($A4452="",_xlfn.MINIFS($B$3:$B$5000,$A$3:$A$5000,$A4452,$B$3:$B$5000,"&gt;"&amp;$B4452)=0),NOW(),_xlfn.MINIFS($B$3:$B$5000,$A$3:$A$5000,$A4452,$B$3:$B$5000,"&gt;"&amp;$B4452))</f>
        <v>46279.5987645088</v>
      </c>
    </row>
    <row r="4453" customFormat="false" ht="15" hidden="false" customHeight="true" outlineLevel="0" collapsed="false">
      <c r="A4453" s="42"/>
      <c r="B4453" s="42"/>
      <c r="C4453" s="42"/>
      <c r="D4453" s="42"/>
      <c r="E4453" s="42"/>
      <c r="F4453" s="51" t="n">
        <f aca="false">IF(OR(C4453="",D4453="",E4453="",E4453=0),0,C4453*D4453/E4453)</f>
        <v>0</v>
      </c>
      <c r="G4453" s="42"/>
      <c r="H4453" s="49" t="n">
        <f aca="true">IF(OR($A4453="",_xlfn.MINIFS($B$3:$B$5000,$A$3:$A$5000,$A4453,$B$3:$B$5000,"&gt;"&amp;$B4453)=0),NOW(),_xlfn.MINIFS($B$3:$B$5000,$A$3:$A$5000,$A4453,$B$3:$B$5000,"&gt;"&amp;$B4453))</f>
        <v>46279.5987645089</v>
      </c>
    </row>
    <row r="4454" customFormat="false" ht="15" hidden="false" customHeight="true" outlineLevel="0" collapsed="false">
      <c r="A4454" s="42"/>
      <c r="B4454" s="42"/>
      <c r="C4454" s="42"/>
      <c r="D4454" s="42"/>
      <c r="E4454" s="42"/>
      <c r="F4454" s="51" t="n">
        <f aca="false">IF(OR(C4454="",D4454="",E4454="",E4454=0),0,C4454*D4454/E4454)</f>
        <v>0</v>
      </c>
      <c r="G4454" s="42"/>
      <c r="H4454" s="49" t="n">
        <f aca="true">IF(OR($A4454="",_xlfn.MINIFS($B$3:$B$5000,$A$3:$A$5000,$A4454,$B$3:$B$5000,"&gt;"&amp;$B4454)=0),NOW(),_xlfn.MINIFS($B$3:$B$5000,$A$3:$A$5000,$A4454,$B$3:$B$5000,"&gt;"&amp;$B4454))</f>
        <v>46279.5987645089</v>
      </c>
    </row>
    <row r="4455" customFormat="false" ht="15" hidden="false" customHeight="true" outlineLevel="0" collapsed="false">
      <c r="A4455" s="42"/>
      <c r="B4455" s="42"/>
      <c r="C4455" s="42"/>
      <c r="D4455" s="42"/>
      <c r="E4455" s="42"/>
      <c r="F4455" s="51" t="n">
        <f aca="false">IF(OR(C4455="",D4455="",E4455="",E4455=0),0,C4455*D4455/E4455)</f>
        <v>0</v>
      </c>
      <c r="G4455" s="42"/>
      <c r="H4455" s="49" t="n">
        <f aca="true">IF(OR($A4455="",_xlfn.MINIFS($B$3:$B$5000,$A$3:$A$5000,$A4455,$B$3:$B$5000,"&gt;"&amp;$B4455)=0),NOW(),_xlfn.MINIFS($B$3:$B$5000,$A$3:$A$5000,$A4455,$B$3:$B$5000,"&gt;"&amp;$B4455))</f>
        <v>46279.598764509</v>
      </c>
    </row>
    <row r="4456" customFormat="false" ht="15" hidden="false" customHeight="true" outlineLevel="0" collapsed="false">
      <c r="A4456" s="42"/>
      <c r="B4456" s="42"/>
      <c r="C4456" s="42"/>
      <c r="D4456" s="42"/>
      <c r="E4456" s="42"/>
      <c r="F4456" s="51" t="n">
        <f aca="false">IF(OR(C4456="",D4456="",E4456="",E4456=0),0,C4456*D4456/E4456)</f>
        <v>0</v>
      </c>
      <c r="G4456" s="42"/>
      <c r="H4456" s="49" t="n">
        <f aca="true">IF(OR($A4456="",_xlfn.MINIFS($B$3:$B$5000,$A$3:$A$5000,$A4456,$B$3:$B$5000,"&gt;"&amp;$B4456)=0),NOW(),_xlfn.MINIFS($B$3:$B$5000,$A$3:$A$5000,$A4456,$B$3:$B$5000,"&gt;"&amp;$B4456))</f>
        <v>46279.598764509</v>
      </c>
    </row>
    <row r="4457" customFormat="false" ht="15" hidden="false" customHeight="true" outlineLevel="0" collapsed="false">
      <c r="A4457" s="42"/>
      <c r="B4457" s="42"/>
      <c r="C4457" s="42"/>
      <c r="D4457" s="42"/>
      <c r="E4457" s="42"/>
      <c r="F4457" s="51" t="n">
        <f aca="false">IF(OR(C4457="",D4457="",E4457="",E4457=0),0,C4457*D4457/E4457)</f>
        <v>0</v>
      </c>
      <c r="G4457" s="42"/>
      <c r="H4457" s="49" t="n">
        <f aca="true">IF(OR($A4457="",_xlfn.MINIFS($B$3:$B$5000,$A$3:$A$5000,$A4457,$B$3:$B$5000,"&gt;"&amp;$B4457)=0),NOW(),_xlfn.MINIFS($B$3:$B$5000,$A$3:$A$5000,$A4457,$B$3:$B$5000,"&gt;"&amp;$B4457))</f>
        <v>46279.5987645091</v>
      </c>
    </row>
    <row r="4458" customFormat="false" ht="15" hidden="false" customHeight="true" outlineLevel="0" collapsed="false">
      <c r="A4458" s="42"/>
      <c r="B4458" s="42"/>
      <c r="C4458" s="42"/>
      <c r="D4458" s="42"/>
      <c r="E4458" s="42"/>
      <c r="F4458" s="51" t="n">
        <f aca="false">IF(OR(C4458="",D4458="",E4458="",E4458=0),0,C4458*D4458/E4458)</f>
        <v>0</v>
      </c>
      <c r="G4458" s="42"/>
      <c r="H4458" s="49" t="n">
        <f aca="true">IF(OR($A4458="",_xlfn.MINIFS($B$3:$B$5000,$A$3:$A$5000,$A4458,$B$3:$B$5000,"&gt;"&amp;$B4458)=0),NOW(),_xlfn.MINIFS($B$3:$B$5000,$A$3:$A$5000,$A4458,$B$3:$B$5000,"&gt;"&amp;$B4458))</f>
        <v>46279.5987645091</v>
      </c>
    </row>
    <row r="4459" customFormat="false" ht="15" hidden="false" customHeight="true" outlineLevel="0" collapsed="false">
      <c r="A4459" s="42"/>
      <c r="B4459" s="42"/>
      <c r="C4459" s="42"/>
      <c r="D4459" s="42"/>
      <c r="E4459" s="42"/>
      <c r="F4459" s="51" t="n">
        <f aca="false">IF(OR(C4459="",D4459="",E4459="",E4459=0),0,C4459*D4459/E4459)</f>
        <v>0</v>
      </c>
      <c r="G4459" s="42"/>
      <c r="H4459" s="49" t="n">
        <f aca="true">IF(OR($A4459="",_xlfn.MINIFS($B$3:$B$5000,$A$3:$A$5000,$A4459,$B$3:$B$5000,"&gt;"&amp;$B4459)=0),NOW(),_xlfn.MINIFS($B$3:$B$5000,$A$3:$A$5000,$A4459,$B$3:$B$5000,"&gt;"&amp;$B4459))</f>
        <v>46279.5987645092</v>
      </c>
    </row>
    <row r="4460" customFormat="false" ht="15" hidden="false" customHeight="true" outlineLevel="0" collapsed="false">
      <c r="A4460" s="42"/>
      <c r="B4460" s="42"/>
      <c r="C4460" s="42"/>
      <c r="D4460" s="42"/>
      <c r="E4460" s="42"/>
      <c r="F4460" s="51" t="n">
        <f aca="false">IF(OR(C4460="",D4460="",E4460="",E4460=0),0,C4460*D4460/E4460)</f>
        <v>0</v>
      </c>
      <c r="G4460" s="42"/>
      <c r="H4460" s="49" t="n">
        <f aca="true">IF(OR($A4460="",_xlfn.MINIFS($B$3:$B$5000,$A$3:$A$5000,$A4460,$B$3:$B$5000,"&gt;"&amp;$B4460)=0),NOW(),_xlfn.MINIFS($B$3:$B$5000,$A$3:$A$5000,$A4460,$B$3:$B$5000,"&gt;"&amp;$B4460))</f>
        <v>46279.5987645092</v>
      </c>
    </row>
    <row r="4461" customFormat="false" ht="15" hidden="false" customHeight="true" outlineLevel="0" collapsed="false">
      <c r="A4461" s="42"/>
      <c r="B4461" s="42"/>
      <c r="C4461" s="42"/>
      <c r="D4461" s="42"/>
      <c r="E4461" s="42"/>
      <c r="F4461" s="51" t="n">
        <f aca="false">IF(OR(C4461="",D4461="",E4461="",E4461=0),0,C4461*D4461/E4461)</f>
        <v>0</v>
      </c>
      <c r="G4461" s="42"/>
      <c r="H4461" s="49" t="n">
        <f aca="true">IF(OR($A4461="",_xlfn.MINIFS($B$3:$B$5000,$A$3:$A$5000,$A4461,$B$3:$B$5000,"&gt;"&amp;$B4461)=0),NOW(),_xlfn.MINIFS($B$3:$B$5000,$A$3:$A$5000,$A4461,$B$3:$B$5000,"&gt;"&amp;$B4461))</f>
        <v>46279.5987645093</v>
      </c>
    </row>
    <row r="4462" customFormat="false" ht="15" hidden="false" customHeight="true" outlineLevel="0" collapsed="false">
      <c r="A4462" s="42"/>
      <c r="B4462" s="42"/>
      <c r="C4462" s="42"/>
      <c r="D4462" s="42"/>
      <c r="E4462" s="42"/>
      <c r="F4462" s="51" t="n">
        <f aca="false">IF(OR(C4462="",D4462="",E4462="",E4462=0),0,C4462*D4462/E4462)</f>
        <v>0</v>
      </c>
      <c r="G4462" s="42"/>
      <c r="H4462" s="49" t="n">
        <f aca="true">IF(OR($A4462="",_xlfn.MINIFS($B$3:$B$5000,$A$3:$A$5000,$A4462,$B$3:$B$5000,"&gt;"&amp;$B4462)=0),NOW(),_xlfn.MINIFS($B$3:$B$5000,$A$3:$A$5000,$A4462,$B$3:$B$5000,"&gt;"&amp;$B4462))</f>
        <v>46279.5987645093</v>
      </c>
    </row>
    <row r="4463" customFormat="false" ht="15" hidden="false" customHeight="true" outlineLevel="0" collapsed="false">
      <c r="A4463" s="42"/>
      <c r="B4463" s="42"/>
      <c r="C4463" s="42"/>
      <c r="D4463" s="42"/>
      <c r="E4463" s="42"/>
      <c r="F4463" s="51" t="n">
        <f aca="false">IF(OR(C4463="",D4463="",E4463="",E4463=0),0,C4463*D4463/E4463)</f>
        <v>0</v>
      </c>
      <c r="G4463" s="42"/>
      <c r="H4463" s="49" t="n">
        <f aca="true">IF(OR($A4463="",_xlfn.MINIFS($B$3:$B$5000,$A$3:$A$5000,$A4463,$B$3:$B$5000,"&gt;"&amp;$B4463)=0),NOW(),_xlfn.MINIFS($B$3:$B$5000,$A$3:$A$5000,$A4463,$B$3:$B$5000,"&gt;"&amp;$B4463))</f>
        <v>46279.5987645094</v>
      </c>
    </row>
    <row r="4464" customFormat="false" ht="15" hidden="false" customHeight="true" outlineLevel="0" collapsed="false">
      <c r="A4464" s="42"/>
      <c r="B4464" s="42"/>
      <c r="C4464" s="42"/>
      <c r="D4464" s="42"/>
      <c r="E4464" s="42"/>
      <c r="F4464" s="51" t="n">
        <f aca="false">IF(OR(C4464="",D4464="",E4464="",E4464=0),0,C4464*D4464/E4464)</f>
        <v>0</v>
      </c>
      <c r="G4464" s="42"/>
      <c r="H4464" s="49" t="n">
        <f aca="true">IF(OR($A4464="",_xlfn.MINIFS($B$3:$B$5000,$A$3:$A$5000,$A4464,$B$3:$B$5000,"&gt;"&amp;$B4464)=0),NOW(),_xlfn.MINIFS($B$3:$B$5000,$A$3:$A$5000,$A4464,$B$3:$B$5000,"&gt;"&amp;$B4464))</f>
        <v>46279.5987645094</v>
      </c>
    </row>
    <row r="4465" customFormat="false" ht="15" hidden="false" customHeight="true" outlineLevel="0" collapsed="false">
      <c r="A4465" s="42"/>
      <c r="B4465" s="42"/>
      <c r="C4465" s="42"/>
      <c r="D4465" s="42"/>
      <c r="E4465" s="42"/>
      <c r="F4465" s="51" t="n">
        <f aca="false">IF(OR(C4465="",D4465="",E4465="",E4465=0),0,C4465*D4465/E4465)</f>
        <v>0</v>
      </c>
      <c r="G4465" s="42"/>
      <c r="H4465" s="49" t="n">
        <f aca="true">IF(OR($A4465="",_xlfn.MINIFS($B$3:$B$5000,$A$3:$A$5000,$A4465,$B$3:$B$5000,"&gt;"&amp;$B4465)=0),NOW(),_xlfn.MINIFS($B$3:$B$5000,$A$3:$A$5000,$A4465,$B$3:$B$5000,"&gt;"&amp;$B4465))</f>
        <v>46279.5987645095</v>
      </c>
    </row>
    <row r="4466" customFormat="false" ht="15" hidden="false" customHeight="true" outlineLevel="0" collapsed="false">
      <c r="A4466" s="42"/>
      <c r="B4466" s="42"/>
      <c r="C4466" s="42"/>
      <c r="D4466" s="42"/>
      <c r="E4466" s="42"/>
      <c r="F4466" s="51" t="n">
        <f aca="false">IF(OR(C4466="",D4466="",E4466="",E4466=0),0,C4466*D4466/E4466)</f>
        <v>0</v>
      </c>
      <c r="G4466" s="42"/>
      <c r="H4466" s="49" t="n">
        <f aca="true">IF(OR($A4466="",_xlfn.MINIFS($B$3:$B$5000,$A$3:$A$5000,$A4466,$B$3:$B$5000,"&gt;"&amp;$B4466)=0),NOW(),_xlfn.MINIFS($B$3:$B$5000,$A$3:$A$5000,$A4466,$B$3:$B$5000,"&gt;"&amp;$B4466))</f>
        <v>46279.5987645095</v>
      </c>
    </row>
    <row r="4467" customFormat="false" ht="15" hidden="false" customHeight="true" outlineLevel="0" collapsed="false">
      <c r="A4467" s="42"/>
      <c r="B4467" s="42"/>
      <c r="C4467" s="42"/>
      <c r="D4467" s="42"/>
      <c r="E4467" s="42"/>
      <c r="F4467" s="51" t="n">
        <f aca="false">IF(OR(C4467="",D4467="",E4467="",E4467=0),0,C4467*D4467/E4467)</f>
        <v>0</v>
      </c>
      <c r="G4467" s="42"/>
      <c r="H4467" s="49" t="n">
        <f aca="true">IF(OR($A4467="",_xlfn.MINIFS($B$3:$B$5000,$A$3:$A$5000,$A4467,$B$3:$B$5000,"&gt;"&amp;$B4467)=0),NOW(),_xlfn.MINIFS($B$3:$B$5000,$A$3:$A$5000,$A4467,$B$3:$B$5000,"&gt;"&amp;$B4467))</f>
        <v>46279.5987645096</v>
      </c>
    </row>
    <row r="4468" customFormat="false" ht="15" hidden="false" customHeight="true" outlineLevel="0" collapsed="false">
      <c r="A4468" s="42"/>
      <c r="B4468" s="42"/>
      <c r="C4468" s="42"/>
      <c r="D4468" s="42"/>
      <c r="E4468" s="42"/>
      <c r="F4468" s="51" t="n">
        <f aca="false">IF(OR(C4468="",D4468="",E4468="",E4468=0),0,C4468*D4468/E4468)</f>
        <v>0</v>
      </c>
      <c r="G4468" s="42"/>
      <c r="H4468" s="49" t="n">
        <f aca="true">IF(OR($A4468="",_xlfn.MINIFS($B$3:$B$5000,$A$3:$A$5000,$A4468,$B$3:$B$5000,"&gt;"&amp;$B4468)=0),NOW(),_xlfn.MINIFS($B$3:$B$5000,$A$3:$A$5000,$A4468,$B$3:$B$5000,"&gt;"&amp;$B4468))</f>
        <v>46279.5987645096</v>
      </c>
    </row>
    <row r="4469" customFormat="false" ht="15" hidden="false" customHeight="true" outlineLevel="0" collapsed="false">
      <c r="A4469" s="42"/>
      <c r="B4469" s="42"/>
      <c r="C4469" s="42"/>
      <c r="D4469" s="42"/>
      <c r="E4469" s="42"/>
      <c r="F4469" s="51" t="n">
        <f aca="false">IF(OR(C4469="",D4469="",E4469="",E4469=0),0,C4469*D4469/E4469)</f>
        <v>0</v>
      </c>
      <c r="G4469" s="42"/>
      <c r="H4469" s="49" t="n">
        <f aca="true">IF(OR($A4469="",_xlfn.MINIFS($B$3:$B$5000,$A$3:$A$5000,$A4469,$B$3:$B$5000,"&gt;"&amp;$B4469)=0),NOW(),_xlfn.MINIFS($B$3:$B$5000,$A$3:$A$5000,$A4469,$B$3:$B$5000,"&gt;"&amp;$B4469))</f>
        <v>46279.5987645097</v>
      </c>
    </row>
    <row r="4470" customFormat="false" ht="15" hidden="false" customHeight="true" outlineLevel="0" collapsed="false">
      <c r="A4470" s="42"/>
      <c r="B4470" s="42"/>
      <c r="C4470" s="42"/>
      <c r="D4470" s="42"/>
      <c r="E4470" s="42"/>
      <c r="F4470" s="51" t="n">
        <f aca="false">IF(OR(C4470="",D4470="",E4470="",E4470=0),0,C4470*D4470/E4470)</f>
        <v>0</v>
      </c>
      <c r="G4470" s="42"/>
      <c r="H4470" s="49" t="n">
        <f aca="true">IF(OR($A4470="",_xlfn.MINIFS($B$3:$B$5000,$A$3:$A$5000,$A4470,$B$3:$B$5000,"&gt;"&amp;$B4470)=0),NOW(),_xlfn.MINIFS($B$3:$B$5000,$A$3:$A$5000,$A4470,$B$3:$B$5000,"&gt;"&amp;$B4470))</f>
        <v>46279.5987645097</v>
      </c>
    </row>
    <row r="4471" customFormat="false" ht="15" hidden="false" customHeight="true" outlineLevel="0" collapsed="false">
      <c r="A4471" s="42"/>
      <c r="B4471" s="42"/>
      <c r="C4471" s="42"/>
      <c r="D4471" s="42"/>
      <c r="E4471" s="42"/>
      <c r="F4471" s="51" t="n">
        <f aca="false">IF(OR(C4471="",D4471="",E4471="",E4471=0),0,C4471*D4471/E4471)</f>
        <v>0</v>
      </c>
      <c r="G4471" s="42"/>
      <c r="H4471" s="49" t="n">
        <f aca="true">IF(OR($A4471="",_xlfn.MINIFS($B$3:$B$5000,$A$3:$A$5000,$A4471,$B$3:$B$5000,"&gt;"&amp;$B4471)=0),NOW(),_xlfn.MINIFS($B$3:$B$5000,$A$3:$A$5000,$A4471,$B$3:$B$5000,"&gt;"&amp;$B4471))</f>
        <v>46279.5987645098</v>
      </c>
    </row>
    <row r="4472" customFormat="false" ht="15" hidden="false" customHeight="true" outlineLevel="0" collapsed="false">
      <c r="A4472" s="42"/>
      <c r="B4472" s="42"/>
      <c r="C4472" s="42"/>
      <c r="D4472" s="42"/>
      <c r="E4472" s="42"/>
      <c r="F4472" s="51" t="n">
        <f aca="false">IF(OR(C4472="",D4472="",E4472="",E4472=0),0,C4472*D4472/E4472)</f>
        <v>0</v>
      </c>
      <c r="G4472" s="42"/>
      <c r="H4472" s="49" t="n">
        <f aca="true">IF(OR($A4472="",_xlfn.MINIFS($B$3:$B$5000,$A$3:$A$5000,$A4472,$B$3:$B$5000,"&gt;"&amp;$B4472)=0),NOW(),_xlfn.MINIFS($B$3:$B$5000,$A$3:$A$5000,$A4472,$B$3:$B$5000,"&gt;"&amp;$B4472))</f>
        <v>46279.5987645098</v>
      </c>
    </row>
    <row r="4473" customFormat="false" ht="15" hidden="false" customHeight="true" outlineLevel="0" collapsed="false">
      <c r="A4473" s="42"/>
      <c r="B4473" s="42"/>
      <c r="C4473" s="42"/>
      <c r="D4473" s="42"/>
      <c r="E4473" s="42"/>
      <c r="F4473" s="51" t="n">
        <f aca="false">IF(OR(C4473="",D4473="",E4473="",E4473=0),0,C4473*D4473/E4473)</f>
        <v>0</v>
      </c>
      <c r="G4473" s="42"/>
      <c r="H4473" s="49" t="n">
        <f aca="true">IF(OR($A4473="",_xlfn.MINIFS($B$3:$B$5000,$A$3:$A$5000,$A4473,$B$3:$B$5000,"&gt;"&amp;$B4473)=0),NOW(),_xlfn.MINIFS($B$3:$B$5000,$A$3:$A$5000,$A4473,$B$3:$B$5000,"&gt;"&amp;$B4473))</f>
        <v>46279.5987645099</v>
      </c>
    </row>
    <row r="4474" customFormat="false" ht="15" hidden="false" customHeight="true" outlineLevel="0" collapsed="false">
      <c r="A4474" s="42"/>
      <c r="B4474" s="42"/>
      <c r="C4474" s="42"/>
      <c r="D4474" s="42"/>
      <c r="E4474" s="42"/>
      <c r="F4474" s="51" t="n">
        <f aca="false">IF(OR(C4474="",D4474="",E4474="",E4474=0),0,C4474*D4474/E4474)</f>
        <v>0</v>
      </c>
      <c r="G4474" s="42"/>
      <c r="H4474" s="49" t="n">
        <f aca="true">IF(OR($A4474="",_xlfn.MINIFS($B$3:$B$5000,$A$3:$A$5000,$A4474,$B$3:$B$5000,"&gt;"&amp;$B4474)=0),NOW(),_xlfn.MINIFS($B$3:$B$5000,$A$3:$A$5000,$A4474,$B$3:$B$5000,"&gt;"&amp;$B4474))</f>
        <v>46279.5987645099</v>
      </c>
    </row>
    <row r="4475" customFormat="false" ht="15" hidden="false" customHeight="true" outlineLevel="0" collapsed="false">
      <c r="A4475" s="42"/>
      <c r="B4475" s="42"/>
      <c r="C4475" s="42"/>
      <c r="D4475" s="42"/>
      <c r="E4475" s="42"/>
      <c r="F4475" s="51" t="n">
        <f aca="false">IF(OR(C4475="",D4475="",E4475="",E4475=0),0,C4475*D4475/E4475)</f>
        <v>0</v>
      </c>
      <c r="G4475" s="42"/>
      <c r="H4475" s="49" t="n">
        <f aca="true">IF(OR($A4475="",_xlfn.MINIFS($B$3:$B$5000,$A$3:$A$5000,$A4475,$B$3:$B$5000,"&gt;"&amp;$B4475)=0),NOW(),_xlfn.MINIFS($B$3:$B$5000,$A$3:$A$5000,$A4475,$B$3:$B$5000,"&gt;"&amp;$B4475))</f>
        <v>46279.59876451</v>
      </c>
    </row>
    <row r="4476" customFormat="false" ht="15" hidden="false" customHeight="true" outlineLevel="0" collapsed="false">
      <c r="A4476" s="42"/>
      <c r="B4476" s="42"/>
      <c r="C4476" s="42"/>
      <c r="D4476" s="42"/>
      <c r="E4476" s="42"/>
      <c r="F4476" s="51" t="n">
        <f aca="false">IF(OR(C4476="",D4476="",E4476="",E4476=0),0,C4476*D4476/E4476)</f>
        <v>0</v>
      </c>
      <c r="G4476" s="42"/>
      <c r="H4476" s="49" t="n">
        <f aca="true">IF(OR($A4476="",_xlfn.MINIFS($B$3:$B$5000,$A$3:$A$5000,$A4476,$B$3:$B$5000,"&gt;"&amp;$B4476)=0),NOW(),_xlfn.MINIFS($B$3:$B$5000,$A$3:$A$5000,$A4476,$B$3:$B$5000,"&gt;"&amp;$B4476))</f>
        <v>46279.59876451</v>
      </c>
    </row>
    <row r="4477" customFormat="false" ht="15" hidden="false" customHeight="true" outlineLevel="0" collapsed="false">
      <c r="A4477" s="42"/>
      <c r="B4477" s="42"/>
      <c r="C4477" s="42"/>
      <c r="D4477" s="42"/>
      <c r="E4477" s="42"/>
      <c r="F4477" s="51" t="n">
        <f aca="false">IF(OR(C4477="",D4477="",E4477="",E4477=0),0,C4477*D4477/E4477)</f>
        <v>0</v>
      </c>
      <c r="G4477" s="42"/>
      <c r="H4477" s="49" t="n">
        <f aca="true">IF(OR($A4477="",_xlfn.MINIFS($B$3:$B$5000,$A$3:$A$5000,$A4477,$B$3:$B$5000,"&gt;"&amp;$B4477)=0),NOW(),_xlfn.MINIFS($B$3:$B$5000,$A$3:$A$5000,$A4477,$B$3:$B$5000,"&gt;"&amp;$B4477))</f>
        <v>46279.5987645101</v>
      </c>
    </row>
    <row r="4478" customFormat="false" ht="15" hidden="false" customHeight="true" outlineLevel="0" collapsed="false">
      <c r="A4478" s="42"/>
      <c r="B4478" s="42"/>
      <c r="C4478" s="42"/>
      <c r="D4478" s="42"/>
      <c r="E4478" s="42"/>
      <c r="F4478" s="51" t="n">
        <f aca="false">IF(OR(C4478="",D4478="",E4478="",E4478=0),0,C4478*D4478/E4478)</f>
        <v>0</v>
      </c>
      <c r="G4478" s="42"/>
      <c r="H4478" s="49" t="n">
        <f aca="true">IF(OR($A4478="",_xlfn.MINIFS($B$3:$B$5000,$A$3:$A$5000,$A4478,$B$3:$B$5000,"&gt;"&amp;$B4478)=0),NOW(),_xlfn.MINIFS($B$3:$B$5000,$A$3:$A$5000,$A4478,$B$3:$B$5000,"&gt;"&amp;$B4478))</f>
        <v>46279.5987645101</v>
      </c>
    </row>
    <row r="4479" customFormat="false" ht="15" hidden="false" customHeight="true" outlineLevel="0" collapsed="false">
      <c r="A4479" s="42"/>
      <c r="B4479" s="42"/>
      <c r="C4479" s="42"/>
      <c r="D4479" s="42"/>
      <c r="E4479" s="42"/>
      <c r="F4479" s="51" t="n">
        <f aca="false">IF(OR(C4479="",D4479="",E4479="",E4479=0),0,C4479*D4479/E4479)</f>
        <v>0</v>
      </c>
      <c r="G4479" s="42"/>
      <c r="H4479" s="49" t="n">
        <f aca="true">IF(OR($A4479="",_xlfn.MINIFS($B$3:$B$5000,$A$3:$A$5000,$A4479,$B$3:$B$5000,"&gt;"&amp;$B4479)=0),NOW(),_xlfn.MINIFS($B$3:$B$5000,$A$3:$A$5000,$A4479,$B$3:$B$5000,"&gt;"&amp;$B4479))</f>
        <v>46279.5987645102</v>
      </c>
    </row>
    <row r="4480" customFormat="false" ht="15" hidden="false" customHeight="true" outlineLevel="0" collapsed="false">
      <c r="A4480" s="42"/>
      <c r="B4480" s="42"/>
      <c r="C4480" s="42"/>
      <c r="D4480" s="42"/>
      <c r="E4480" s="42"/>
      <c r="F4480" s="51" t="n">
        <f aca="false">IF(OR(C4480="",D4480="",E4480="",E4480=0),0,C4480*D4480/E4480)</f>
        <v>0</v>
      </c>
      <c r="G4480" s="42"/>
      <c r="H4480" s="49" t="n">
        <f aca="true">IF(OR($A4480="",_xlfn.MINIFS($B$3:$B$5000,$A$3:$A$5000,$A4480,$B$3:$B$5000,"&gt;"&amp;$B4480)=0),NOW(),_xlfn.MINIFS($B$3:$B$5000,$A$3:$A$5000,$A4480,$B$3:$B$5000,"&gt;"&amp;$B4480))</f>
        <v>46279.5987645102</v>
      </c>
    </row>
    <row r="4481" customFormat="false" ht="15" hidden="false" customHeight="true" outlineLevel="0" collapsed="false">
      <c r="A4481" s="42"/>
      <c r="B4481" s="42"/>
      <c r="C4481" s="42"/>
      <c r="D4481" s="42"/>
      <c r="E4481" s="42"/>
      <c r="F4481" s="51" t="n">
        <f aca="false">IF(OR(C4481="",D4481="",E4481="",E4481=0),0,C4481*D4481/E4481)</f>
        <v>0</v>
      </c>
      <c r="G4481" s="42"/>
      <c r="H4481" s="49" t="n">
        <f aca="true">IF(OR($A4481="",_xlfn.MINIFS($B$3:$B$5000,$A$3:$A$5000,$A4481,$B$3:$B$5000,"&gt;"&amp;$B4481)=0),NOW(),_xlfn.MINIFS($B$3:$B$5000,$A$3:$A$5000,$A4481,$B$3:$B$5000,"&gt;"&amp;$B4481))</f>
        <v>46279.5987645103</v>
      </c>
    </row>
    <row r="4482" customFormat="false" ht="15" hidden="false" customHeight="true" outlineLevel="0" collapsed="false">
      <c r="A4482" s="42"/>
      <c r="B4482" s="42"/>
      <c r="C4482" s="42"/>
      <c r="D4482" s="42"/>
      <c r="E4482" s="42"/>
      <c r="F4482" s="51" t="n">
        <f aca="false">IF(OR(C4482="",D4482="",E4482="",E4482=0),0,C4482*D4482/E4482)</f>
        <v>0</v>
      </c>
      <c r="G4482" s="42"/>
      <c r="H4482" s="49" t="n">
        <f aca="true">IF(OR($A4482="",_xlfn.MINIFS($B$3:$B$5000,$A$3:$A$5000,$A4482,$B$3:$B$5000,"&gt;"&amp;$B4482)=0),NOW(),_xlfn.MINIFS($B$3:$B$5000,$A$3:$A$5000,$A4482,$B$3:$B$5000,"&gt;"&amp;$B4482))</f>
        <v>46279.5987645103</v>
      </c>
    </row>
    <row r="4483" customFormat="false" ht="15" hidden="false" customHeight="true" outlineLevel="0" collapsed="false">
      <c r="A4483" s="42"/>
      <c r="B4483" s="42"/>
      <c r="C4483" s="42"/>
      <c r="D4483" s="42"/>
      <c r="E4483" s="42"/>
      <c r="F4483" s="51" t="n">
        <f aca="false">IF(OR(C4483="",D4483="",E4483="",E4483=0),0,C4483*D4483/E4483)</f>
        <v>0</v>
      </c>
      <c r="G4483" s="42"/>
      <c r="H4483" s="49" t="n">
        <f aca="true">IF(OR($A4483="",_xlfn.MINIFS($B$3:$B$5000,$A$3:$A$5000,$A4483,$B$3:$B$5000,"&gt;"&amp;$B4483)=0),NOW(),_xlfn.MINIFS($B$3:$B$5000,$A$3:$A$5000,$A4483,$B$3:$B$5000,"&gt;"&amp;$B4483))</f>
        <v>46279.5987645105</v>
      </c>
    </row>
    <row r="4484" customFormat="false" ht="15" hidden="false" customHeight="true" outlineLevel="0" collapsed="false">
      <c r="A4484" s="42"/>
      <c r="B4484" s="42"/>
      <c r="C4484" s="42"/>
      <c r="D4484" s="42"/>
      <c r="E4484" s="42"/>
      <c r="F4484" s="51" t="n">
        <f aca="false">IF(OR(C4484="",D4484="",E4484="",E4484=0),0,C4484*D4484/E4484)</f>
        <v>0</v>
      </c>
      <c r="G4484" s="42"/>
      <c r="H4484" s="49" t="n">
        <f aca="true">IF(OR($A4484="",_xlfn.MINIFS($B$3:$B$5000,$A$3:$A$5000,$A4484,$B$3:$B$5000,"&gt;"&amp;$B4484)=0),NOW(),_xlfn.MINIFS($B$3:$B$5000,$A$3:$A$5000,$A4484,$B$3:$B$5000,"&gt;"&amp;$B4484))</f>
        <v>46279.5987645105</v>
      </c>
    </row>
    <row r="4485" customFormat="false" ht="15" hidden="false" customHeight="true" outlineLevel="0" collapsed="false">
      <c r="A4485" s="42"/>
      <c r="B4485" s="42"/>
      <c r="C4485" s="42"/>
      <c r="D4485" s="42"/>
      <c r="E4485" s="42"/>
      <c r="F4485" s="51" t="n">
        <f aca="false">IF(OR(C4485="",D4485="",E4485="",E4485=0),0,C4485*D4485/E4485)</f>
        <v>0</v>
      </c>
      <c r="G4485" s="42"/>
      <c r="H4485" s="49" t="n">
        <f aca="true">IF(OR($A4485="",_xlfn.MINIFS($B$3:$B$5000,$A$3:$A$5000,$A4485,$B$3:$B$5000,"&gt;"&amp;$B4485)=0),NOW(),_xlfn.MINIFS($B$3:$B$5000,$A$3:$A$5000,$A4485,$B$3:$B$5000,"&gt;"&amp;$B4485))</f>
        <v>46279.5987645106</v>
      </c>
    </row>
    <row r="4486" customFormat="false" ht="15" hidden="false" customHeight="true" outlineLevel="0" collapsed="false">
      <c r="A4486" s="42"/>
      <c r="B4486" s="42"/>
      <c r="C4486" s="42"/>
      <c r="D4486" s="42"/>
      <c r="E4486" s="42"/>
      <c r="F4486" s="51" t="n">
        <f aca="false">IF(OR(C4486="",D4486="",E4486="",E4486=0),0,C4486*D4486/E4486)</f>
        <v>0</v>
      </c>
      <c r="G4486" s="42"/>
      <c r="H4486" s="49" t="n">
        <f aca="true">IF(OR($A4486="",_xlfn.MINIFS($B$3:$B$5000,$A$3:$A$5000,$A4486,$B$3:$B$5000,"&gt;"&amp;$B4486)=0),NOW(),_xlfn.MINIFS($B$3:$B$5000,$A$3:$A$5000,$A4486,$B$3:$B$5000,"&gt;"&amp;$B4486))</f>
        <v>46279.5987645106</v>
      </c>
    </row>
    <row r="4487" customFormat="false" ht="15" hidden="false" customHeight="true" outlineLevel="0" collapsed="false">
      <c r="A4487" s="42"/>
      <c r="B4487" s="42"/>
      <c r="C4487" s="42"/>
      <c r="D4487" s="42"/>
      <c r="E4487" s="42"/>
      <c r="F4487" s="51" t="n">
        <f aca="false">IF(OR(C4487="",D4487="",E4487="",E4487=0),0,C4487*D4487/E4487)</f>
        <v>0</v>
      </c>
      <c r="G4487" s="42"/>
      <c r="H4487" s="49" t="n">
        <f aca="true">IF(OR($A4487="",_xlfn.MINIFS($B$3:$B$5000,$A$3:$A$5000,$A4487,$B$3:$B$5000,"&gt;"&amp;$B4487)=0),NOW(),_xlfn.MINIFS($B$3:$B$5000,$A$3:$A$5000,$A4487,$B$3:$B$5000,"&gt;"&amp;$B4487))</f>
        <v>46279.5987645107</v>
      </c>
    </row>
    <row r="4488" customFormat="false" ht="15" hidden="false" customHeight="true" outlineLevel="0" collapsed="false">
      <c r="A4488" s="42"/>
      <c r="B4488" s="42"/>
      <c r="C4488" s="42"/>
      <c r="D4488" s="42"/>
      <c r="E4488" s="42"/>
      <c r="F4488" s="51" t="n">
        <f aca="false">IF(OR(C4488="",D4488="",E4488="",E4488=0),0,C4488*D4488/E4488)</f>
        <v>0</v>
      </c>
      <c r="G4488" s="42"/>
      <c r="H4488" s="49" t="n">
        <f aca="true">IF(OR($A4488="",_xlfn.MINIFS($B$3:$B$5000,$A$3:$A$5000,$A4488,$B$3:$B$5000,"&gt;"&amp;$B4488)=0),NOW(),_xlfn.MINIFS($B$3:$B$5000,$A$3:$A$5000,$A4488,$B$3:$B$5000,"&gt;"&amp;$B4488))</f>
        <v>46279.5987645107</v>
      </c>
    </row>
    <row r="4489" customFormat="false" ht="15" hidden="false" customHeight="true" outlineLevel="0" collapsed="false">
      <c r="A4489" s="42"/>
      <c r="B4489" s="42"/>
      <c r="C4489" s="42"/>
      <c r="D4489" s="42"/>
      <c r="E4489" s="42"/>
      <c r="F4489" s="51" t="n">
        <f aca="false">IF(OR(C4489="",D4489="",E4489="",E4489=0),0,C4489*D4489/E4489)</f>
        <v>0</v>
      </c>
      <c r="G4489" s="42"/>
      <c r="H4489" s="49" t="n">
        <f aca="true">IF(OR($A4489="",_xlfn.MINIFS($B$3:$B$5000,$A$3:$A$5000,$A4489,$B$3:$B$5000,"&gt;"&amp;$B4489)=0),NOW(),_xlfn.MINIFS($B$3:$B$5000,$A$3:$A$5000,$A4489,$B$3:$B$5000,"&gt;"&amp;$B4489))</f>
        <v>46279.5987645108</v>
      </c>
    </row>
    <row r="4490" customFormat="false" ht="15" hidden="false" customHeight="true" outlineLevel="0" collapsed="false">
      <c r="A4490" s="42"/>
      <c r="B4490" s="42"/>
      <c r="C4490" s="42"/>
      <c r="D4490" s="42"/>
      <c r="E4490" s="42"/>
      <c r="F4490" s="51" t="n">
        <f aca="false">IF(OR(C4490="",D4490="",E4490="",E4490=0),0,C4490*D4490/E4490)</f>
        <v>0</v>
      </c>
      <c r="G4490" s="42"/>
      <c r="H4490" s="49" t="n">
        <f aca="true">IF(OR($A4490="",_xlfn.MINIFS($B$3:$B$5000,$A$3:$A$5000,$A4490,$B$3:$B$5000,"&gt;"&amp;$B4490)=0),NOW(),_xlfn.MINIFS($B$3:$B$5000,$A$3:$A$5000,$A4490,$B$3:$B$5000,"&gt;"&amp;$B4490))</f>
        <v>46279.5987645108</v>
      </c>
    </row>
    <row r="4491" customFormat="false" ht="15" hidden="false" customHeight="true" outlineLevel="0" collapsed="false">
      <c r="A4491" s="42"/>
      <c r="B4491" s="42"/>
      <c r="C4491" s="42"/>
      <c r="D4491" s="42"/>
      <c r="E4491" s="42"/>
      <c r="F4491" s="51" t="n">
        <f aca="false">IF(OR(C4491="",D4491="",E4491="",E4491=0),0,C4491*D4491/E4491)</f>
        <v>0</v>
      </c>
      <c r="G4491" s="42"/>
      <c r="H4491" s="49" t="n">
        <f aca="true">IF(OR($A4491="",_xlfn.MINIFS($B$3:$B$5000,$A$3:$A$5000,$A4491,$B$3:$B$5000,"&gt;"&amp;$B4491)=0),NOW(),_xlfn.MINIFS($B$3:$B$5000,$A$3:$A$5000,$A4491,$B$3:$B$5000,"&gt;"&amp;$B4491))</f>
        <v>46279.5987645109</v>
      </c>
    </row>
    <row r="4492" customFormat="false" ht="15" hidden="false" customHeight="true" outlineLevel="0" collapsed="false">
      <c r="A4492" s="42"/>
      <c r="B4492" s="42"/>
      <c r="C4492" s="42"/>
      <c r="D4492" s="42"/>
      <c r="E4492" s="42"/>
      <c r="F4492" s="51" t="n">
        <f aca="false">IF(OR(C4492="",D4492="",E4492="",E4492=0),0,C4492*D4492/E4492)</f>
        <v>0</v>
      </c>
      <c r="G4492" s="42"/>
      <c r="H4492" s="49" t="n">
        <f aca="true">IF(OR($A4492="",_xlfn.MINIFS($B$3:$B$5000,$A$3:$A$5000,$A4492,$B$3:$B$5000,"&gt;"&amp;$B4492)=0),NOW(),_xlfn.MINIFS($B$3:$B$5000,$A$3:$A$5000,$A4492,$B$3:$B$5000,"&gt;"&amp;$B4492))</f>
        <v>46279.5987645109</v>
      </c>
    </row>
    <row r="4493" customFormat="false" ht="15" hidden="false" customHeight="true" outlineLevel="0" collapsed="false">
      <c r="A4493" s="42"/>
      <c r="B4493" s="42"/>
      <c r="C4493" s="42"/>
      <c r="D4493" s="42"/>
      <c r="E4493" s="42"/>
      <c r="F4493" s="51" t="n">
        <f aca="false">IF(OR(C4493="",D4493="",E4493="",E4493=0),0,C4493*D4493/E4493)</f>
        <v>0</v>
      </c>
      <c r="G4493" s="42"/>
      <c r="H4493" s="49" t="n">
        <f aca="true">IF(OR($A4493="",_xlfn.MINIFS($B$3:$B$5000,$A$3:$A$5000,$A4493,$B$3:$B$5000,"&gt;"&amp;$B4493)=0),NOW(),_xlfn.MINIFS($B$3:$B$5000,$A$3:$A$5000,$A4493,$B$3:$B$5000,"&gt;"&amp;$B4493))</f>
        <v>46279.598764511</v>
      </c>
    </row>
    <row r="4494" customFormat="false" ht="15" hidden="false" customHeight="true" outlineLevel="0" collapsed="false">
      <c r="A4494" s="42"/>
      <c r="B4494" s="42"/>
      <c r="C4494" s="42"/>
      <c r="D4494" s="42"/>
      <c r="E4494" s="42"/>
      <c r="F4494" s="51" t="n">
        <f aca="false">IF(OR(C4494="",D4494="",E4494="",E4494=0),0,C4494*D4494/E4494)</f>
        <v>0</v>
      </c>
      <c r="G4494" s="42"/>
      <c r="H4494" s="49" t="n">
        <f aca="true">IF(OR($A4494="",_xlfn.MINIFS($B$3:$B$5000,$A$3:$A$5000,$A4494,$B$3:$B$5000,"&gt;"&amp;$B4494)=0),NOW(),_xlfn.MINIFS($B$3:$B$5000,$A$3:$A$5000,$A4494,$B$3:$B$5000,"&gt;"&amp;$B4494))</f>
        <v>46279.598764511</v>
      </c>
    </row>
    <row r="4495" customFormat="false" ht="15" hidden="false" customHeight="true" outlineLevel="0" collapsed="false">
      <c r="A4495" s="42"/>
      <c r="B4495" s="42"/>
      <c r="C4495" s="42"/>
      <c r="D4495" s="42"/>
      <c r="E4495" s="42"/>
      <c r="F4495" s="51" t="n">
        <f aca="false">IF(OR(C4495="",D4495="",E4495="",E4495=0),0,C4495*D4495/E4495)</f>
        <v>0</v>
      </c>
      <c r="G4495" s="42"/>
      <c r="H4495" s="49" t="n">
        <f aca="true">IF(OR($A4495="",_xlfn.MINIFS($B$3:$B$5000,$A$3:$A$5000,$A4495,$B$3:$B$5000,"&gt;"&amp;$B4495)=0),NOW(),_xlfn.MINIFS($B$3:$B$5000,$A$3:$A$5000,$A4495,$B$3:$B$5000,"&gt;"&amp;$B4495))</f>
        <v>46279.5987645111</v>
      </c>
    </row>
    <row r="4496" customFormat="false" ht="15" hidden="false" customHeight="true" outlineLevel="0" collapsed="false">
      <c r="A4496" s="42"/>
      <c r="B4496" s="42"/>
      <c r="C4496" s="42"/>
      <c r="D4496" s="42"/>
      <c r="E4496" s="42"/>
      <c r="F4496" s="51" t="n">
        <f aca="false">IF(OR(C4496="",D4496="",E4496="",E4496=0),0,C4496*D4496/E4496)</f>
        <v>0</v>
      </c>
      <c r="G4496" s="42"/>
      <c r="H4496" s="49" t="n">
        <f aca="true">IF(OR($A4496="",_xlfn.MINIFS($B$3:$B$5000,$A$3:$A$5000,$A4496,$B$3:$B$5000,"&gt;"&amp;$B4496)=0),NOW(),_xlfn.MINIFS($B$3:$B$5000,$A$3:$A$5000,$A4496,$B$3:$B$5000,"&gt;"&amp;$B4496))</f>
        <v>46279.5987645111</v>
      </c>
    </row>
    <row r="4497" customFormat="false" ht="15" hidden="false" customHeight="true" outlineLevel="0" collapsed="false">
      <c r="A4497" s="42"/>
      <c r="B4497" s="42"/>
      <c r="C4497" s="42"/>
      <c r="D4497" s="42"/>
      <c r="E4497" s="42"/>
      <c r="F4497" s="51" t="n">
        <f aca="false">IF(OR(C4497="",D4497="",E4497="",E4497=0),0,C4497*D4497/E4497)</f>
        <v>0</v>
      </c>
      <c r="G4497" s="42"/>
      <c r="H4497" s="49" t="n">
        <f aca="true">IF(OR($A4497="",_xlfn.MINIFS($B$3:$B$5000,$A$3:$A$5000,$A4497,$B$3:$B$5000,"&gt;"&amp;$B4497)=0),NOW(),_xlfn.MINIFS($B$3:$B$5000,$A$3:$A$5000,$A4497,$B$3:$B$5000,"&gt;"&amp;$B4497))</f>
        <v>46279.5987645112</v>
      </c>
    </row>
    <row r="4498" customFormat="false" ht="15" hidden="false" customHeight="true" outlineLevel="0" collapsed="false">
      <c r="A4498" s="42"/>
      <c r="B4498" s="42"/>
      <c r="C4498" s="42"/>
      <c r="D4498" s="42"/>
      <c r="E4498" s="42"/>
      <c r="F4498" s="51" t="n">
        <f aca="false">IF(OR(C4498="",D4498="",E4498="",E4498=0),0,C4498*D4498/E4498)</f>
        <v>0</v>
      </c>
      <c r="G4498" s="42"/>
      <c r="H4498" s="49" t="n">
        <f aca="true">IF(OR($A4498="",_xlfn.MINIFS($B$3:$B$5000,$A$3:$A$5000,$A4498,$B$3:$B$5000,"&gt;"&amp;$B4498)=0),NOW(),_xlfn.MINIFS($B$3:$B$5000,$A$3:$A$5000,$A4498,$B$3:$B$5000,"&gt;"&amp;$B4498))</f>
        <v>46279.5987645112</v>
      </c>
    </row>
    <row r="4499" customFormat="false" ht="15" hidden="false" customHeight="true" outlineLevel="0" collapsed="false">
      <c r="A4499" s="42"/>
      <c r="B4499" s="42"/>
      <c r="C4499" s="42"/>
      <c r="D4499" s="42"/>
      <c r="E4499" s="42"/>
      <c r="F4499" s="51" t="n">
        <f aca="false">IF(OR(C4499="",D4499="",E4499="",E4499=0),0,C4499*D4499/E4499)</f>
        <v>0</v>
      </c>
      <c r="G4499" s="42"/>
      <c r="H4499" s="49" t="n">
        <f aca="true">IF(OR($A4499="",_xlfn.MINIFS($B$3:$B$5000,$A$3:$A$5000,$A4499,$B$3:$B$5000,"&gt;"&amp;$B4499)=0),NOW(),_xlfn.MINIFS($B$3:$B$5000,$A$3:$A$5000,$A4499,$B$3:$B$5000,"&gt;"&amp;$B4499))</f>
        <v>46279.5987645113</v>
      </c>
    </row>
    <row r="4500" customFormat="false" ht="15" hidden="false" customHeight="true" outlineLevel="0" collapsed="false">
      <c r="A4500" s="42"/>
      <c r="B4500" s="42"/>
      <c r="C4500" s="42"/>
      <c r="D4500" s="42"/>
      <c r="E4500" s="42"/>
      <c r="F4500" s="51" t="n">
        <f aca="false">IF(OR(C4500="",D4500="",E4500="",E4500=0),0,C4500*D4500/E4500)</f>
        <v>0</v>
      </c>
      <c r="G4500" s="42"/>
      <c r="H4500" s="49" t="n">
        <f aca="true">IF(OR($A4500="",_xlfn.MINIFS($B$3:$B$5000,$A$3:$A$5000,$A4500,$B$3:$B$5000,"&gt;"&amp;$B4500)=0),NOW(),_xlfn.MINIFS($B$3:$B$5000,$A$3:$A$5000,$A4500,$B$3:$B$5000,"&gt;"&amp;$B4500))</f>
        <v>46279.5987645113</v>
      </c>
    </row>
    <row r="4501" customFormat="false" ht="15" hidden="false" customHeight="true" outlineLevel="0" collapsed="false">
      <c r="A4501" s="42"/>
      <c r="B4501" s="42"/>
      <c r="C4501" s="42"/>
      <c r="D4501" s="42"/>
      <c r="E4501" s="42"/>
      <c r="F4501" s="51" t="n">
        <f aca="false">IF(OR(C4501="",D4501="",E4501="",E4501=0),0,C4501*D4501/E4501)</f>
        <v>0</v>
      </c>
      <c r="G4501" s="42"/>
      <c r="H4501" s="49" t="n">
        <f aca="true">IF(OR($A4501="",_xlfn.MINIFS($B$3:$B$5000,$A$3:$A$5000,$A4501,$B$3:$B$5000,"&gt;"&amp;$B4501)=0),NOW(),_xlfn.MINIFS($B$3:$B$5000,$A$3:$A$5000,$A4501,$B$3:$B$5000,"&gt;"&amp;$B4501))</f>
        <v>46279.5987645114</v>
      </c>
    </row>
    <row r="4502" customFormat="false" ht="15" hidden="false" customHeight="true" outlineLevel="0" collapsed="false">
      <c r="A4502" s="42"/>
      <c r="B4502" s="42"/>
      <c r="C4502" s="42"/>
      <c r="D4502" s="42"/>
      <c r="E4502" s="42"/>
      <c r="F4502" s="51" t="n">
        <f aca="false">IF(OR(C4502="",D4502="",E4502="",E4502=0),0,C4502*D4502/E4502)</f>
        <v>0</v>
      </c>
      <c r="G4502" s="42"/>
      <c r="H4502" s="49" t="n">
        <f aca="true">IF(OR($A4502="",_xlfn.MINIFS($B$3:$B$5000,$A$3:$A$5000,$A4502,$B$3:$B$5000,"&gt;"&amp;$B4502)=0),NOW(),_xlfn.MINIFS($B$3:$B$5000,$A$3:$A$5000,$A4502,$B$3:$B$5000,"&gt;"&amp;$B4502))</f>
        <v>46279.5987645114</v>
      </c>
    </row>
    <row r="4503" customFormat="false" ht="15" hidden="false" customHeight="true" outlineLevel="0" collapsed="false">
      <c r="A4503" s="42"/>
      <c r="B4503" s="42"/>
      <c r="C4503" s="42"/>
      <c r="D4503" s="42"/>
      <c r="E4503" s="42"/>
      <c r="F4503" s="51" t="n">
        <f aca="false">IF(OR(C4503="",D4503="",E4503="",E4503=0),0,C4503*D4503/E4503)</f>
        <v>0</v>
      </c>
      <c r="G4503" s="42"/>
      <c r="H4503" s="49" t="n">
        <f aca="true">IF(OR($A4503="",_xlfn.MINIFS($B$3:$B$5000,$A$3:$A$5000,$A4503,$B$3:$B$5000,"&gt;"&amp;$B4503)=0),NOW(),_xlfn.MINIFS($B$3:$B$5000,$A$3:$A$5000,$A4503,$B$3:$B$5000,"&gt;"&amp;$B4503))</f>
        <v>46279.5987645115</v>
      </c>
    </row>
    <row r="4504" customFormat="false" ht="15" hidden="false" customHeight="true" outlineLevel="0" collapsed="false">
      <c r="A4504" s="42"/>
      <c r="B4504" s="42"/>
      <c r="C4504" s="42"/>
      <c r="D4504" s="42"/>
      <c r="E4504" s="42"/>
      <c r="F4504" s="51" t="n">
        <f aca="false">IF(OR(C4504="",D4504="",E4504="",E4504=0),0,C4504*D4504/E4504)</f>
        <v>0</v>
      </c>
      <c r="G4504" s="42"/>
      <c r="H4504" s="49" t="n">
        <f aca="true">IF(OR($A4504="",_xlfn.MINIFS($B$3:$B$5000,$A$3:$A$5000,$A4504,$B$3:$B$5000,"&gt;"&amp;$B4504)=0),NOW(),_xlfn.MINIFS($B$3:$B$5000,$A$3:$A$5000,$A4504,$B$3:$B$5000,"&gt;"&amp;$B4504))</f>
        <v>46279.5987645115</v>
      </c>
    </row>
    <row r="4505" customFormat="false" ht="15" hidden="false" customHeight="true" outlineLevel="0" collapsed="false">
      <c r="A4505" s="42"/>
      <c r="B4505" s="42"/>
      <c r="C4505" s="42"/>
      <c r="D4505" s="42"/>
      <c r="E4505" s="42"/>
      <c r="F4505" s="51" t="n">
        <f aca="false">IF(OR(C4505="",D4505="",E4505="",E4505=0),0,C4505*D4505/E4505)</f>
        <v>0</v>
      </c>
      <c r="G4505" s="42"/>
      <c r="H4505" s="49" t="n">
        <f aca="true">IF(OR($A4505="",_xlfn.MINIFS($B$3:$B$5000,$A$3:$A$5000,$A4505,$B$3:$B$5000,"&gt;"&amp;$B4505)=0),NOW(),_xlfn.MINIFS($B$3:$B$5000,$A$3:$A$5000,$A4505,$B$3:$B$5000,"&gt;"&amp;$B4505))</f>
        <v>46279.5987645116</v>
      </c>
    </row>
    <row r="4506" customFormat="false" ht="15" hidden="false" customHeight="true" outlineLevel="0" collapsed="false">
      <c r="A4506" s="42"/>
      <c r="B4506" s="42"/>
      <c r="C4506" s="42"/>
      <c r="D4506" s="42"/>
      <c r="E4506" s="42"/>
      <c r="F4506" s="51" t="n">
        <f aca="false">IF(OR(C4506="",D4506="",E4506="",E4506=0),0,C4506*D4506/E4506)</f>
        <v>0</v>
      </c>
      <c r="G4506" s="42"/>
      <c r="H4506" s="49" t="n">
        <f aca="true">IF(OR($A4506="",_xlfn.MINIFS($B$3:$B$5000,$A$3:$A$5000,$A4506,$B$3:$B$5000,"&gt;"&amp;$B4506)=0),NOW(),_xlfn.MINIFS($B$3:$B$5000,$A$3:$A$5000,$A4506,$B$3:$B$5000,"&gt;"&amp;$B4506))</f>
        <v>46279.5987645116</v>
      </c>
    </row>
    <row r="4507" customFormat="false" ht="15" hidden="false" customHeight="true" outlineLevel="0" collapsed="false">
      <c r="A4507" s="42"/>
      <c r="B4507" s="42"/>
      <c r="C4507" s="42"/>
      <c r="D4507" s="42"/>
      <c r="E4507" s="42"/>
      <c r="F4507" s="51" t="n">
        <f aca="false">IF(OR(C4507="",D4507="",E4507="",E4507=0),0,C4507*D4507/E4507)</f>
        <v>0</v>
      </c>
      <c r="G4507" s="42"/>
      <c r="H4507" s="49" t="n">
        <f aca="true">IF(OR($A4507="",_xlfn.MINIFS($B$3:$B$5000,$A$3:$A$5000,$A4507,$B$3:$B$5000,"&gt;"&amp;$B4507)=0),NOW(),_xlfn.MINIFS($B$3:$B$5000,$A$3:$A$5000,$A4507,$B$3:$B$5000,"&gt;"&amp;$B4507))</f>
        <v>46279.5987645117</v>
      </c>
    </row>
    <row r="4508" customFormat="false" ht="15" hidden="false" customHeight="true" outlineLevel="0" collapsed="false">
      <c r="A4508" s="42"/>
      <c r="B4508" s="42"/>
      <c r="C4508" s="42"/>
      <c r="D4508" s="42"/>
      <c r="E4508" s="42"/>
      <c r="F4508" s="51" t="n">
        <f aca="false">IF(OR(C4508="",D4508="",E4508="",E4508=0),0,C4508*D4508/E4508)</f>
        <v>0</v>
      </c>
      <c r="G4508" s="42"/>
      <c r="H4508" s="49" t="n">
        <f aca="true">IF(OR($A4508="",_xlfn.MINIFS($B$3:$B$5000,$A$3:$A$5000,$A4508,$B$3:$B$5000,"&gt;"&amp;$B4508)=0),NOW(),_xlfn.MINIFS($B$3:$B$5000,$A$3:$A$5000,$A4508,$B$3:$B$5000,"&gt;"&amp;$B4508))</f>
        <v>46279.5987645117</v>
      </c>
    </row>
    <row r="4509" customFormat="false" ht="15" hidden="false" customHeight="true" outlineLevel="0" collapsed="false">
      <c r="A4509" s="42"/>
      <c r="B4509" s="42"/>
      <c r="C4509" s="42"/>
      <c r="D4509" s="42"/>
      <c r="E4509" s="42"/>
      <c r="F4509" s="51" t="n">
        <f aca="false">IF(OR(C4509="",D4509="",E4509="",E4509=0),0,C4509*D4509/E4509)</f>
        <v>0</v>
      </c>
      <c r="G4509" s="42"/>
      <c r="H4509" s="49" t="n">
        <f aca="true">IF(OR($A4509="",_xlfn.MINIFS($B$3:$B$5000,$A$3:$A$5000,$A4509,$B$3:$B$5000,"&gt;"&amp;$B4509)=0),NOW(),_xlfn.MINIFS($B$3:$B$5000,$A$3:$A$5000,$A4509,$B$3:$B$5000,"&gt;"&amp;$B4509))</f>
        <v>46279.5987645118</v>
      </c>
    </row>
    <row r="4510" customFormat="false" ht="15" hidden="false" customHeight="true" outlineLevel="0" collapsed="false">
      <c r="A4510" s="42"/>
      <c r="B4510" s="42"/>
      <c r="C4510" s="42"/>
      <c r="D4510" s="42"/>
      <c r="E4510" s="42"/>
      <c r="F4510" s="51" t="n">
        <f aca="false">IF(OR(C4510="",D4510="",E4510="",E4510=0),0,C4510*D4510/E4510)</f>
        <v>0</v>
      </c>
      <c r="G4510" s="42"/>
      <c r="H4510" s="49" t="n">
        <f aca="true">IF(OR($A4510="",_xlfn.MINIFS($B$3:$B$5000,$A$3:$A$5000,$A4510,$B$3:$B$5000,"&gt;"&amp;$B4510)=0),NOW(),_xlfn.MINIFS($B$3:$B$5000,$A$3:$A$5000,$A4510,$B$3:$B$5000,"&gt;"&amp;$B4510))</f>
        <v>46279.5987645118</v>
      </c>
    </row>
    <row r="4511" customFormat="false" ht="15" hidden="false" customHeight="true" outlineLevel="0" collapsed="false">
      <c r="A4511" s="42"/>
      <c r="B4511" s="42"/>
      <c r="C4511" s="42"/>
      <c r="D4511" s="42"/>
      <c r="E4511" s="42"/>
      <c r="F4511" s="51" t="n">
        <f aca="false">IF(OR(C4511="",D4511="",E4511="",E4511=0),0,C4511*D4511/E4511)</f>
        <v>0</v>
      </c>
      <c r="G4511" s="42"/>
      <c r="H4511" s="49" t="n">
        <f aca="true">IF(OR($A4511="",_xlfn.MINIFS($B$3:$B$5000,$A$3:$A$5000,$A4511,$B$3:$B$5000,"&gt;"&amp;$B4511)=0),NOW(),_xlfn.MINIFS($B$3:$B$5000,$A$3:$A$5000,$A4511,$B$3:$B$5000,"&gt;"&amp;$B4511))</f>
        <v>46279.5987645119</v>
      </c>
    </row>
    <row r="4512" customFormat="false" ht="15" hidden="false" customHeight="true" outlineLevel="0" collapsed="false">
      <c r="A4512" s="42"/>
      <c r="B4512" s="42"/>
      <c r="C4512" s="42"/>
      <c r="D4512" s="42"/>
      <c r="E4512" s="42"/>
      <c r="F4512" s="51" t="n">
        <f aca="false">IF(OR(C4512="",D4512="",E4512="",E4512=0),0,C4512*D4512/E4512)</f>
        <v>0</v>
      </c>
      <c r="G4512" s="42"/>
      <c r="H4512" s="49" t="n">
        <f aca="true">IF(OR($A4512="",_xlfn.MINIFS($B$3:$B$5000,$A$3:$A$5000,$A4512,$B$3:$B$5000,"&gt;"&amp;$B4512)=0),NOW(),_xlfn.MINIFS($B$3:$B$5000,$A$3:$A$5000,$A4512,$B$3:$B$5000,"&gt;"&amp;$B4512))</f>
        <v>46279.5987645119</v>
      </c>
    </row>
    <row r="4513" customFormat="false" ht="15" hidden="false" customHeight="true" outlineLevel="0" collapsed="false">
      <c r="A4513" s="42"/>
      <c r="B4513" s="42"/>
      <c r="C4513" s="42"/>
      <c r="D4513" s="42"/>
      <c r="E4513" s="42"/>
      <c r="F4513" s="51" t="n">
        <f aca="false">IF(OR(C4513="",D4513="",E4513="",E4513=0),0,C4513*D4513/E4513)</f>
        <v>0</v>
      </c>
      <c r="G4513" s="42"/>
      <c r="H4513" s="49" t="n">
        <f aca="true">IF(OR($A4513="",_xlfn.MINIFS($B$3:$B$5000,$A$3:$A$5000,$A4513,$B$3:$B$5000,"&gt;"&amp;$B4513)=0),NOW(),_xlfn.MINIFS($B$3:$B$5000,$A$3:$A$5000,$A4513,$B$3:$B$5000,"&gt;"&amp;$B4513))</f>
        <v>46279.5987645122</v>
      </c>
    </row>
    <row r="4514" customFormat="false" ht="15" hidden="false" customHeight="true" outlineLevel="0" collapsed="false">
      <c r="A4514" s="42"/>
      <c r="B4514" s="42"/>
      <c r="C4514" s="42"/>
      <c r="D4514" s="42"/>
      <c r="E4514" s="42"/>
      <c r="F4514" s="51" t="n">
        <f aca="false">IF(OR(C4514="",D4514="",E4514="",E4514=0),0,C4514*D4514/E4514)</f>
        <v>0</v>
      </c>
      <c r="G4514" s="42"/>
      <c r="H4514" s="49" t="n">
        <f aca="true">IF(OR($A4514="",_xlfn.MINIFS($B$3:$B$5000,$A$3:$A$5000,$A4514,$B$3:$B$5000,"&gt;"&amp;$B4514)=0),NOW(),_xlfn.MINIFS($B$3:$B$5000,$A$3:$A$5000,$A4514,$B$3:$B$5000,"&gt;"&amp;$B4514))</f>
        <v>46279.5987645123</v>
      </c>
    </row>
    <row r="4515" customFormat="false" ht="15" hidden="false" customHeight="true" outlineLevel="0" collapsed="false">
      <c r="A4515" s="42"/>
      <c r="B4515" s="42"/>
      <c r="C4515" s="42"/>
      <c r="D4515" s="42"/>
      <c r="E4515" s="42"/>
      <c r="F4515" s="51" t="n">
        <f aca="false">IF(OR(C4515="",D4515="",E4515="",E4515=0),0,C4515*D4515/E4515)</f>
        <v>0</v>
      </c>
      <c r="G4515" s="42"/>
      <c r="H4515" s="49" t="n">
        <f aca="true">IF(OR($A4515="",_xlfn.MINIFS($B$3:$B$5000,$A$3:$A$5000,$A4515,$B$3:$B$5000,"&gt;"&amp;$B4515)=0),NOW(),_xlfn.MINIFS($B$3:$B$5000,$A$3:$A$5000,$A4515,$B$3:$B$5000,"&gt;"&amp;$B4515))</f>
        <v>46279.5987645123</v>
      </c>
    </row>
    <row r="4516" customFormat="false" ht="15" hidden="false" customHeight="true" outlineLevel="0" collapsed="false">
      <c r="A4516" s="42"/>
      <c r="B4516" s="42"/>
      <c r="C4516" s="42"/>
      <c r="D4516" s="42"/>
      <c r="E4516" s="42"/>
      <c r="F4516" s="51" t="n">
        <f aca="false">IF(OR(C4516="",D4516="",E4516="",E4516=0),0,C4516*D4516/E4516)</f>
        <v>0</v>
      </c>
      <c r="G4516" s="42"/>
      <c r="H4516" s="49" t="n">
        <f aca="true">IF(OR($A4516="",_xlfn.MINIFS($B$3:$B$5000,$A$3:$A$5000,$A4516,$B$3:$B$5000,"&gt;"&amp;$B4516)=0),NOW(),_xlfn.MINIFS($B$3:$B$5000,$A$3:$A$5000,$A4516,$B$3:$B$5000,"&gt;"&amp;$B4516))</f>
        <v>46279.5987645124</v>
      </c>
    </row>
    <row r="4517" customFormat="false" ht="15" hidden="false" customHeight="true" outlineLevel="0" collapsed="false">
      <c r="A4517" s="42"/>
      <c r="B4517" s="42"/>
      <c r="C4517" s="42"/>
      <c r="D4517" s="42"/>
      <c r="E4517" s="42"/>
      <c r="F4517" s="51" t="n">
        <f aca="false">IF(OR(C4517="",D4517="",E4517="",E4517=0),0,C4517*D4517/E4517)</f>
        <v>0</v>
      </c>
      <c r="G4517" s="42"/>
      <c r="H4517" s="49" t="n">
        <f aca="true">IF(OR($A4517="",_xlfn.MINIFS($B$3:$B$5000,$A$3:$A$5000,$A4517,$B$3:$B$5000,"&gt;"&amp;$B4517)=0),NOW(),_xlfn.MINIFS($B$3:$B$5000,$A$3:$A$5000,$A4517,$B$3:$B$5000,"&gt;"&amp;$B4517))</f>
        <v>46279.5987645124</v>
      </c>
    </row>
    <row r="4518" customFormat="false" ht="15" hidden="false" customHeight="true" outlineLevel="0" collapsed="false">
      <c r="A4518" s="42"/>
      <c r="B4518" s="42"/>
      <c r="C4518" s="42"/>
      <c r="D4518" s="42"/>
      <c r="E4518" s="42"/>
      <c r="F4518" s="51" t="n">
        <f aca="false">IF(OR(C4518="",D4518="",E4518="",E4518=0),0,C4518*D4518/E4518)</f>
        <v>0</v>
      </c>
      <c r="G4518" s="42"/>
      <c r="H4518" s="49" t="n">
        <f aca="true">IF(OR($A4518="",_xlfn.MINIFS($B$3:$B$5000,$A$3:$A$5000,$A4518,$B$3:$B$5000,"&gt;"&amp;$B4518)=0),NOW(),_xlfn.MINIFS($B$3:$B$5000,$A$3:$A$5000,$A4518,$B$3:$B$5000,"&gt;"&amp;$B4518))</f>
        <v>46279.5987645125</v>
      </c>
    </row>
    <row r="4519" customFormat="false" ht="15" hidden="false" customHeight="true" outlineLevel="0" collapsed="false">
      <c r="A4519" s="42"/>
      <c r="B4519" s="42"/>
      <c r="C4519" s="42"/>
      <c r="D4519" s="42"/>
      <c r="E4519" s="42"/>
      <c r="F4519" s="51" t="n">
        <f aca="false">IF(OR(C4519="",D4519="",E4519="",E4519=0),0,C4519*D4519/E4519)</f>
        <v>0</v>
      </c>
      <c r="G4519" s="42"/>
      <c r="H4519" s="49" t="n">
        <f aca="true">IF(OR($A4519="",_xlfn.MINIFS($B$3:$B$5000,$A$3:$A$5000,$A4519,$B$3:$B$5000,"&gt;"&amp;$B4519)=0),NOW(),_xlfn.MINIFS($B$3:$B$5000,$A$3:$A$5000,$A4519,$B$3:$B$5000,"&gt;"&amp;$B4519))</f>
        <v>46279.5987645125</v>
      </c>
    </row>
    <row r="4520" customFormat="false" ht="15" hidden="false" customHeight="true" outlineLevel="0" collapsed="false">
      <c r="A4520" s="42"/>
      <c r="B4520" s="42"/>
      <c r="C4520" s="42"/>
      <c r="D4520" s="42"/>
      <c r="E4520" s="42"/>
      <c r="F4520" s="51" t="n">
        <f aca="false">IF(OR(C4520="",D4520="",E4520="",E4520=0),0,C4520*D4520/E4520)</f>
        <v>0</v>
      </c>
      <c r="G4520" s="42"/>
      <c r="H4520" s="49" t="n">
        <f aca="true">IF(OR($A4520="",_xlfn.MINIFS($B$3:$B$5000,$A$3:$A$5000,$A4520,$B$3:$B$5000,"&gt;"&amp;$B4520)=0),NOW(),_xlfn.MINIFS($B$3:$B$5000,$A$3:$A$5000,$A4520,$B$3:$B$5000,"&gt;"&amp;$B4520))</f>
        <v>46279.5987645126</v>
      </c>
    </row>
    <row r="4521" customFormat="false" ht="15" hidden="false" customHeight="true" outlineLevel="0" collapsed="false">
      <c r="A4521" s="42"/>
      <c r="B4521" s="42"/>
      <c r="C4521" s="42"/>
      <c r="D4521" s="42"/>
      <c r="E4521" s="42"/>
      <c r="F4521" s="51" t="n">
        <f aca="false">IF(OR(C4521="",D4521="",E4521="",E4521=0),0,C4521*D4521/E4521)</f>
        <v>0</v>
      </c>
      <c r="G4521" s="42"/>
      <c r="H4521" s="49" t="n">
        <f aca="true">IF(OR($A4521="",_xlfn.MINIFS($B$3:$B$5000,$A$3:$A$5000,$A4521,$B$3:$B$5000,"&gt;"&amp;$B4521)=0),NOW(),_xlfn.MINIFS($B$3:$B$5000,$A$3:$A$5000,$A4521,$B$3:$B$5000,"&gt;"&amp;$B4521))</f>
        <v>46279.5987645126</v>
      </c>
    </row>
    <row r="4522" customFormat="false" ht="15" hidden="false" customHeight="true" outlineLevel="0" collapsed="false">
      <c r="A4522" s="42"/>
      <c r="B4522" s="42"/>
      <c r="C4522" s="42"/>
      <c r="D4522" s="42"/>
      <c r="E4522" s="42"/>
      <c r="F4522" s="51" t="n">
        <f aca="false">IF(OR(C4522="",D4522="",E4522="",E4522=0),0,C4522*D4522/E4522)</f>
        <v>0</v>
      </c>
      <c r="G4522" s="42"/>
      <c r="H4522" s="49" t="n">
        <f aca="true">IF(OR($A4522="",_xlfn.MINIFS($B$3:$B$5000,$A$3:$A$5000,$A4522,$B$3:$B$5000,"&gt;"&amp;$B4522)=0),NOW(),_xlfn.MINIFS($B$3:$B$5000,$A$3:$A$5000,$A4522,$B$3:$B$5000,"&gt;"&amp;$B4522))</f>
        <v>46279.5987645127</v>
      </c>
    </row>
    <row r="4523" customFormat="false" ht="15" hidden="false" customHeight="true" outlineLevel="0" collapsed="false">
      <c r="A4523" s="42"/>
      <c r="B4523" s="42"/>
      <c r="C4523" s="42"/>
      <c r="D4523" s="42"/>
      <c r="E4523" s="42"/>
      <c r="F4523" s="51" t="n">
        <f aca="false">IF(OR(C4523="",D4523="",E4523="",E4523=0),0,C4523*D4523/E4523)</f>
        <v>0</v>
      </c>
      <c r="G4523" s="42"/>
      <c r="H4523" s="49" t="n">
        <f aca="true">IF(OR($A4523="",_xlfn.MINIFS($B$3:$B$5000,$A$3:$A$5000,$A4523,$B$3:$B$5000,"&gt;"&amp;$B4523)=0),NOW(),_xlfn.MINIFS($B$3:$B$5000,$A$3:$A$5000,$A4523,$B$3:$B$5000,"&gt;"&amp;$B4523))</f>
        <v>46279.5987645127</v>
      </c>
    </row>
    <row r="4524" customFormat="false" ht="15" hidden="false" customHeight="true" outlineLevel="0" collapsed="false">
      <c r="A4524" s="42"/>
      <c r="B4524" s="42"/>
      <c r="C4524" s="42"/>
      <c r="D4524" s="42"/>
      <c r="E4524" s="42"/>
      <c r="F4524" s="51" t="n">
        <f aca="false">IF(OR(C4524="",D4524="",E4524="",E4524=0),0,C4524*D4524/E4524)</f>
        <v>0</v>
      </c>
      <c r="G4524" s="42"/>
      <c r="H4524" s="49" t="n">
        <f aca="true">IF(OR($A4524="",_xlfn.MINIFS($B$3:$B$5000,$A$3:$A$5000,$A4524,$B$3:$B$5000,"&gt;"&amp;$B4524)=0),NOW(),_xlfn.MINIFS($B$3:$B$5000,$A$3:$A$5000,$A4524,$B$3:$B$5000,"&gt;"&amp;$B4524))</f>
        <v>46279.5987645128</v>
      </c>
    </row>
    <row r="4525" customFormat="false" ht="15" hidden="false" customHeight="true" outlineLevel="0" collapsed="false">
      <c r="A4525" s="42"/>
      <c r="B4525" s="42"/>
      <c r="C4525" s="42"/>
      <c r="D4525" s="42"/>
      <c r="E4525" s="42"/>
      <c r="F4525" s="51" t="n">
        <f aca="false">IF(OR(C4525="",D4525="",E4525="",E4525=0),0,C4525*D4525/E4525)</f>
        <v>0</v>
      </c>
      <c r="G4525" s="42"/>
      <c r="H4525" s="49" t="n">
        <f aca="true">IF(OR($A4525="",_xlfn.MINIFS($B$3:$B$5000,$A$3:$A$5000,$A4525,$B$3:$B$5000,"&gt;"&amp;$B4525)=0),NOW(),_xlfn.MINIFS($B$3:$B$5000,$A$3:$A$5000,$A4525,$B$3:$B$5000,"&gt;"&amp;$B4525))</f>
        <v>46279.5987645128</v>
      </c>
    </row>
    <row r="4526" customFormat="false" ht="15" hidden="false" customHeight="true" outlineLevel="0" collapsed="false">
      <c r="A4526" s="42"/>
      <c r="B4526" s="42"/>
      <c r="C4526" s="42"/>
      <c r="D4526" s="42"/>
      <c r="E4526" s="42"/>
      <c r="F4526" s="51" t="n">
        <f aca="false">IF(OR(C4526="",D4526="",E4526="",E4526=0),0,C4526*D4526/E4526)</f>
        <v>0</v>
      </c>
      <c r="G4526" s="42"/>
      <c r="H4526" s="49" t="n">
        <f aca="true">IF(OR($A4526="",_xlfn.MINIFS($B$3:$B$5000,$A$3:$A$5000,$A4526,$B$3:$B$5000,"&gt;"&amp;$B4526)=0),NOW(),_xlfn.MINIFS($B$3:$B$5000,$A$3:$A$5000,$A4526,$B$3:$B$5000,"&gt;"&amp;$B4526))</f>
        <v>46279.5987645129</v>
      </c>
    </row>
    <row r="4527" customFormat="false" ht="15" hidden="false" customHeight="true" outlineLevel="0" collapsed="false">
      <c r="A4527" s="42"/>
      <c r="B4527" s="42"/>
      <c r="C4527" s="42"/>
      <c r="D4527" s="42"/>
      <c r="E4527" s="42"/>
      <c r="F4527" s="51" t="n">
        <f aca="false">IF(OR(C4527="",D4527="",E4527="",E4527=0),0,C4527*D4527/E4527)</f>
        <v>0</v>
      </c>
      <c r="G4527" s="42"/>
      <c r="H4527" s="49" t="n">
        <f aca="true">IF(OR($A4527="",_xlfn.MINIFS($B$3:$B$5000,$A$3:$A$5000,$A4527,$B$3:$B$5000,"&gt;"&amp;$B4527)=0),NOW(),_xlfn.MINIFS($B$3:$B$5000,$A$3:$A$5000,$A4527,$B$3:$B$5000,"&gt;"&amp;$B4527))</f>
        <v>46279.5987645129</v>
      </c>
    </row>
    <row r="4528" customFormat="false" ht="15" hidden="false" customHeight="true" outlineLevel="0" collapsed="false">
      <c r="A4528" s="42"/>
      <c r="B4528" s="42"/>
      <c r="C4528" s="42"/>
      <c r="D4528" s="42"/>
      <c r="E4528" s="42"/>
      <c r="F4528" s="51" t="n">
        <f aca="false">IF(OR(C4528="",D4528="",E4528="",E4528=0),0,C4528*D4528/E4528)</f>
        <v>0</v>
      </c>
      <c r="G4528" s="42"/>
      <c r="H4528" s="49" t="n">
        <f aca="true">IF(OR($A4528="",_xlfn.MINIFS($B$3:$B$5000,$A$3:$A$5000,$A4528,$B$3:$B$5000,"&gt;"&amp;$B4528)=0),NOW(),_xlfn.MINIFS($B$3:$B$5000,$A$3:$A$5000,$A4528,$B$3:$B$5000,"&gt;"&amp;$B4528))</f>
        <v>46279.598764513</v>
      </c>
    </row>
    <row r="4529" customFormat="false" ht="15" hidden="false" customHeight="true" outlineLevel="0" collapsed="false">
      <c r="A4529" s="42"/>
      <c r="B4529" s="42"/>
      <c r="C4529" s="42"/>
      <c r="D4529" s="42"/>
      <c r="E4529" s="42"/>
      <c r="F4529" s="51" t="n">
        <f aca="false">IF(OR(C4529="",D4529="",E4529="",E4529=0),0,C4529*D4529/E4529)</f>
        <v>0</v>
      </c>
      <c r="G4529" s="42"/>
      <c r="H4529" s="49" t="n">
        <f aca="true">IF(OR($A4529="",_xlfn.MINIFS($B$3:$B$5000,$A$3:$A$5000,$A4529,$B$3:$B$5000,"&gt;"&amp;$B4529)=0),NOW(),_xlfn.MINIFS($B$3:$B$5000,$A$3:$A$5000,$A4529,$B$3:$B$5000,"&gt;"&amp;$B4529))</f>
        <v>46279.598764513</v>
      </c>
    </row>
    <row r="4530" customFormat="false" ht="15" hidden="false" customHeight="true" outlineLevel="0" collapsed="false">
      <c r="A4530" s="42"/>
      <c r="B4530" s="42"/>
      <c r="C4530" s="42"/>
      <c r="D4530" s="42"/>
      <c r="E4530" s="42"/>
      <c r="F4530" s="51" t="n">
        <f aca="false">IF(OR(C4530="",D4530="",E4530="",E4530=0),0,C4530*D4530/E4530)</f>
        <v>0</v>
      </c>
      <c r="G4530" s="42"/>
      <c r="H4530" s="49" t="n">
        <f aca="true">IF(OR($A4530="",_xlfn.MINIFS($B$3:$B$5000,$A$3:$A$5000,$A4530,$B$3:$B$5000,"&gt;"&amp;$B4530)=0),NOW(),_xlfn.MINIFS($B$3:$B$5000,$A$3:$A$5000,$A4530,$B$3:$B$5000,"&gt;"&amp;$B4530))</f>
        <v>46279.5987645131</v>
      </c>
    </row>
    <row r="4531" customFormat="false" ht="15" hidden="false" customHeight="true" outlineLevel="0" collapsed="false">
      <c r="A4531" s="42"/>
      <c r="B4531" s="42"/>
      <c r="C4531" s="42"/>
      <c r="D4531" s="42"/>
      <c r="E4531" s="42"/>
      <c r="F4531" s="51" t="n">
        <f aca="false">IF(OR(C4531="",D4531="",E4531="",E4531=0),0,C4531*D4531/E4531)</f>
        <v>0</v>
      </c>
      <c r="G4531" s="42"/>
      <c r="H4531" s="49" t="n">
        <f aca="true">IF(OR($A4531="",_xlfn.MINIFS($B$3:$B$5000,$A$3:$A$5000,$A4531,$B$3:$B$5000,"&gt;"&amp;$B4531)=0),NOW(),_xlfn.MINIFS($B$3:$B$5000,$A$3:$A$5000,$A4531,$B$3:$B$5000,"&gt;"&amp;$B4531))</f>
        <v>46279.5987645131</v>
      </c>
    </row>
    <row r="4532" customFormat="false" ht="15" hidden="false" customHeight="true" outlineLevel="0" collapsed="false">
      <c r="A4532" s="42"/>
      <c r="B4532" s="42"/>
      <c r="C4532" s="42"/>
      <c r="D4532" s="42"/>
      <c r="E4532" s="42"/>
      <c r="F4532" s="51" t="n">
        <f aca="false">IF(OR(C4532="",D4532="",E4532="",E4532=0),0,C4532*D4532/E4532)</f>
        <v>0</v>
      </c>
      <c r="G4532" s="42"/>
      <c r="H4532" s="49" t="n">
        <f aca="true">IF(OR($A4532="",_xlfn.MINIFS($B$3:$B$5000,$A$3:$A$5000,$A4532,$B$3:$B$5000,"&gt;"&amp;$B4532)=0),NOW(),_xlfn.MINIFS($B$3:$B$5000,$A$3:$A$5000,$A4532,$B$3:$B$5000,"&gt;"&amp;$B4532))</f>
        <v>46279.5987645132</v>
      </c>
    </row>
    <row r="4533" customFormat="false" ht="15" hidden="false" customHeight="true" outlineLevel="0" collapsed="false">
      <c r="A4533" s="42"/>
      <c r="B4533" s="42"/>
      <c r="C4533" s="42"/>
      <c r="D4533" s="42"/>
      <c r="E4533" s="42"/>
      <c r="F4533" s="51" t="n">
        <f aca="false">IF(OR(C4533="",D4533="",E4533="",E4533=0),0,C4533*D4533/E4533)</f>
        <v>0</v>
      </c>
      <c r="G4533" s="42"/>
      <c r="H4533" s="49" t="n">
        <f aca="true">IF(OR($A4533="",_xlfn.MINIFS($B$3:$B$5000,$A$3:$A$5000,$A4533,$B$3:$B$5000,"&gt;"&amp;$B4533)=0),NOW(),_xlfn.MINIFS($B$3:$B$5000,$A$3:$A$5000,$A4533,$B$3:$B$5000,"&gt;"&amp;$B4533))</f>
        <v>46279.5987645133</v>
      </c>
    </row>
    <row r="4534" customFormat="false" ht="15" hidden="false" customHeight="true" outlineLevel="0" collapsed="false">
      <c r="A4534" s="42"/>
      <c r="B4534" s="42"/>
      <c r="C4534" s="42"/>
      <c r="D4534" s="42"/>
      <c r="E4534" s="42"/>
      <c r="F4534" s="51" t="n">
        <f aca="false">IF(OR(C4534="",D4534="",E4534="",E4534=0),0,C4534*D4534/E4534)</f>
        <v>0</v>
      </c>
      <c r="G4534" s="42"/>
      <c r="H4534" s="49" t="n">
        <f aca="true">IF(OR($A4534="",_xlfn.MINIFS($B$3:$B$5000,$A$3:$A$5000,$A4534,$B$3:$B$5000,"&gt;"&amp;$B4534)=0),NOW(),_xlfn.MINIFS($B$3:$B$5000,$A$3:$A$5000,$A4534,$B$3:$B$5000,"&gt;"&amp;$B4534))</f>
        <v>46279.5987645133</v>
      </c>
    </row>
    <row r="4535" customFormat="false" ht="15" hidden="false" customHeight="true" outlineLevel="0" collapsed="false">
      <c r="A4535" s="42"/>
      <c r="B4535" s="42"/>
      <c r="C4535" s="42"/>
      <c r="D4535" s="42"/>
      <c r="E4535" s="42"/>
      <c r="F4535" s="51" t="n">
        <f aca="false">IF(OR(C4535="",D4535="",E4535="",E4535=0),0,C4535*D4535/E4535)</f>
        <v>0</v>
      </c>
      <c r="G4535" s="42"/>
      <c r="H4535" s="49" t="n">
        <f aca="true">IF(OR($A4535="",_xlfn.MINIFS($B$3:$B$5000,$A$3:$A$5000,$A4535,$B$3:$B$5000,"&gt;"&amp;$B4535)=0),NOW(),_xlfn.MINIFS($B$3:$B$5000,$A$3:$A$5000,$A4535,$B$3:$B$5000,"&gt;"&amp;$B4535))</f>
        <v>46279.5987645134</v>
      </c>
    </row>
    <row r="4536" customFormat="false" ht="15" hidden="false" customHeight="true" outlineLevel="0" collapsed="false">
      <c r="A4536" s="42"/>
      <c r="B4536" s="42"/>
      <c r="C4536" s="42"/>
      <c r="D4536" s="42"/>
      <c r="E4536" s="42"/>
      <c r="F4536" s="51" t="n">
        <f aca="false">IF(OR(C4536="",D4536="",E4536="",E4536=0),0,C4536*D4536/E4536)</f>
        <v>0</v>
      </c>
      <c r="G4536" s="42"/>
      <c r="H4536" s="49" t="n">
        <f aca="true">IF(OR($A4536="",_xlfn.MINIFS($B$3:$B$5000,$A$3:$A$5000,$A4536,$B$3:$B$5000,"&gt;"&amp;$B4536)=0),NOW(),_xlfn.MINIFS($B$3:$B$5000,$A$3:$A$5000,$A4536,$B$3:$B$5000,"&gt;"&amp;$B4536))</f>
        <v>46279.5987645134</v>
      </c>
    </row>
    <row r="4537" customFormat="false" ht="15" hidden="false" customHeight="true" outlineLevel="0" collapsed="false">
      <c r="A4537" s="42"/>
      <c r="B4537" s="42"/>
      <c r="C4537" s="42"/>
      <c r="D4537" s="42"/>
      <c r="E4537" s="42"/>
      <c r="F4537" s="51" t="n">
        <f aca="false">IF(OR(C4537="",D4537="",E4537="",E4537=0),0,C4537*D4537/E4537)</f>
        <v>0</v>
      </c>
      <c r="G4537" s="42"/>
      <c r="H4537" s="49" t="n">
        <f aca="true">IF(OR($A4537="",_xlfn.MINIFS($B$3:$B$5000,$A$3:$A$5000,$A4537,$B$3:$B$5000,"&gt;"&amp;$B4537)=0),NOW(),_xlfn.MINIFS($B$3:$B$5000,$A$3:$A$5000,$A4537,$B$3:$B$5000,"&gt;"&amp;$B4537))</f>
        <v>46279.5987645135</v>
      </c>
    </row>
    <row r="4538" customFormat="false" ht="15" hidden="false" customHeight="true" outlineLevel="0" collapsed="false">
      <c r="A4538" s="42"/>
      <c r="B4538" s="42"/>
      <c r="C4538" s="42"/>
      <c r="D4538" s="42"/>
      <c r="E4538" s="42"/>
      <c r="F4538" s="51" t="n">
        <f aca="false">IF(OR(C4538="",D4538="",E4538="",E4538=0),0,C4538*D4538/E4538)</f>
        <v>0</v>
      </c>
      <c r="G4538" s="42"/>
      <c r="H4538" s="49" t="n">
        <f aca="true">IF(OR($A4538="",_xlfn.MINIFS($B$3:$B$5000,$A$3:$A$5000,$A4538,$B$3:$B$5000,"&gt;"&amp;$B4538)=0),NOW(),_xlfn.MINIFS($B$3:$B$5000,$A$3:$A$5000,$A4538,$B$3:$B$5000,"&gt;"&amp;$B4538))</f>
        <v>46279.5987645135</v>
      </c>
    </row>
    <row r="4539" customFormat="false" ht="15" hidden="false" customHeight="true" outlineLevel="0" collapsed="false">
      <c r="A4539" s="42"/>
      <c r="B4539" s="42"/>
      <c r="C4539" s="42"/>
      <c r="D4539" s="42"/>
      <c r="E4539" s="42"/>
      <c r="F4539" s="51" t="n">
        <f aca="false">IF(OR(C4539="",D4539="",E4539="",E4539=0),0,C4539*D4539/E4539)</f>
        <v>0</v>
      </c>
      <c r="G4539" s="42"/>
      <c r="H4539" s="49" t="n">
        <f aca="true">IF(OR($A4539="",_xlfn.MINIFS($B$3:$B$5000,$A$3:$A$5000,$A4539,$B$3:$B$5000,"&gt;"&amp;$B4539)=0),NOW(),_xlfn.MINIFS($B$3:$B$5000,$A$3:$A$5000,$A4539,$B$3:$B$5000,"&gt;"&amp;$B4539))</f>
        <v>46279.5987645136</v>
      </c>
    </row>
    <row r="4540" customFormat="false" ht="15" hidden="false" customHeight="true" outlineLevel="0" collapsed="false">
      <c r="A4540" s="42"/>
      <c r="B4540" s="42"/>
      <c r="C4540" s="42"/>
      <c r="D4540" s="42"/>
      <c r="E4540" s="42"/>
      <c r="F4540" s="51" t="n">
        <f aca="false">IF(OR(C4540="",D4540="",E4540="",E4540=0),0,C4540*D4540/E4540)</f>
        <v>0</v>
      </c>
      <c r="G4540" s="42"/>
      <c r="H4540" s="49" t="n">
        <f aca="true">IF(OR($A4540="",_xlfn.MINIFS($B$3:$B$5000,$A$3:$A$5000,$A4540,$B$3:$B$5000,"&gt;"&amp;$B4540)=0),NOW(),_xlfn.MINIFS($B$3:$B$5000,$A$3:$A$5000,$A4540,$B$3:$B$5000,"&gt;"&amp;$B4540))</f>
        <v>46279.5987645136</v>
      </c>
    </row>
    <row r="4541" customFormat="false" ht="15" hidden="false" customHeight="true" outlineLevel="0" collapsed="false">
      <c r="A4541" s="42"/>
      <c r="B4541" s="42"/>
      <c r="C4541" s="42"/>
      <c r="D4541" s="42"/>
      <c r="E4541" s="42"/>
      <c r="F4541" s="51" t="n">
        <f aca="false">IF(OR(C4541="",D4541="",E4541="",E4541=0),0,C4541*D4541/E4541)</f>
        <v>0</v>
      </c>
      <c r="G4541" s="42"/>
      <c r="H4541" s="49" t="n">
        <f aca="true">IF(OR($A4541="",_xlfn.MINIFS($B$3:$B$5000,$A$3:$A$5000,$A4541,$B$3:$B$5000,"&gt;"&amp;$B4541)=0),NOW(),_xlfn.MINIFS($B$3:$B$5000,$A$3:$A$5000,$A4541,$B$3:$B$5000,"&gt;"&amp;$B4541))</f>
        <v>46279.5987645137</v>
      </c>
    </row>
    <row r="4542" customFormat="false" ht="15" hidden="false" customHeight="true" outlineLevel="0" collapsed="false">
      <c r="A4542" s="42"/>
      <c r="B4542" s="42"/>
      <c r="C4542" s="42"/>
      <c r="D4542" s="42"/>
      <c r="E4542" s="42"/>
      <c r="F4542" s="51" t="n">
        <f aca="false">IF(OR(C4542="",D4542="",E4542="",E4542=0),0,C4542*D4542/E4542)</f>
        <v>0</v>
      </c>
      <c r="G4542" s="42"/>
      <c r="H4542" s="49" t="n">
        <f aca="true">IF(OR($A4542="",_xlfn.MINIFS($B$3:$B$5000,$A$3:$A$5000,$A4542,$B$3:$B$5000,"&gt;"&amp;$B4542)=0),NOW(),_xlfn.MINIFS($B$3:$B$5000,$A$3:$A$5000,$A4542,$B$3:$B$5000,"&gt;"&amp;$B4542))</f>
        <v>46279.5987645137</v>
      </c>
    </row>
    <row r="4543" customFormat="false" ht="15" hidden="false" customHeight="true" outlineLevel="0" collapsed="false">
      <c r="A4543" s="42"/>
      <c r="B4543" s="42"/>
      <c r="C4543" s="42"/>
      <c r="D4543" s="42"/>
      <c r="E4543" s="42"/>
      <c r="F4543" s="51" t="n">
        <f aca="false">IF(OR(C4543="",D4543="",E4543="",E4543=0),0,C4543*D4543/E4543)</f>
        <v>0</v>
      </c>
      <c r="G4543" s="42"/>
      <c r="H4543" s="49" t="n">
        <f aca="true">IF(OR($A4543="",_xlfn.MINIFS($B$3:$B$5000,$A$3:$A$5000,$A4543,$B$3:$B$5000,"&gt;"&amp;$B4543)=0),NOW(),_xlfn.MINIFS($B$3:$B$5000,$A$3:$A$5000,$A4543,$B$3:$B$5000,"&gt;"&amp;$B4543))</f>
        <v>46279.5987645138</v>
      </c>
    </row>
    <row r="4544" customFormat="false" ht="15" hidden="false" customHeight="true" outlineLevel="0" collapsed="false">
      <c r="A4544" s="42"/>
      <c r="B4544" s="42"/>
      <c r="C4544" s="42"/>
      <c r="D4544" s="42"/>
      <c r="E4544" s="42"/>
      <c r="F4544" s="51" t="n">
        <f aca="false">IF(OR(C4544="",D4544="",E4544="",E4544=0),0,C4544*D4544/E4544)</f>
        <v>0</v>
      </c>
      <c r="G4544" s="42"/>
      <c r="H4544" s="49" t="n">
        <f aca="true">IF(OR($A4544="",_xlfn.MINIFS($B$3:$B$5000,$A$3:$A$5000,$A4544,$B$3:$B$5000,"&gt;"&amp;$B4544)=0),NOW(),_xlfn.MINIFS($B$3:$B$5000,$A$3:$A$5000,$A4544,$B$3:$B$5000,"&gt;"&amp;$B4544))</f>
        <v>46279.5987645138</v>
      </c>
    </row>
    <row r="4545" customFormat="false" ht="15" hidden="false" customHeight="true" outlineLevel="0" collapsed="false">
      <c r="A4545" s="42"/>
      <c r="B4545" s="42"/>
      <c r="C4545" s="42"/>
      <c r="D4545" s="42"/>
      <c r="E4545" s="42"/>
      <c r="F4545" s="51" t="n">
        <f aca="false">IF(OR(C4545="",D4545="",E4545="",E4545=0),0,C4545*D4545/E4545)</f>
        <v>0</v>
      </c>
      <c r="G4545" s="42"/>
      <c r="H4545" s="49" t="n">
        <f aca="true">IF(OR($A4545="",_xlfn.MINIFS($B$3:$B$5000,$A$3:$A$5000,$A4545,$B$3:$B$5000,"&gt;"&amp;$B4545)=0),NOW(),_xlfn.MINIFS($B$3:$B$5000,$A$3:$A$5000,$A4545,$B$3:$B$5000,"&gt;"&amp;$B4545))</f>
        <v>46279.5987645139</v>
      </c>
    </row>
    <row r="4546" customFormat="false" ht="15" hidden="false" customHeight="true" outlineLevel="0" collapsed="false">
      <c r="A4546" s="42"/>
      <c r="B4546" s="42"/>
      <c r="C4546" s="42"/>
      <c r="D4546" s="42"/>
      <c r="E4546" s="42"/>
      <c r="F4546" s="51" t="n">
        <f aca="false">IF(OR(C4546="",D4546="",E4546="",E4546=0),0,C4546*D4546/E4546)</f>
        <v>0</v>
      </c>
      <c r="G4546" s="42"/>
      <c r="H4546" s="49" t="n">
        <f aca="true">IF(OR($A4546="",_xlfn.MINIFS($B$3:$B$5000,$A$3:$A$5000,$A4546,$B$3:$B$5000,"&gt;"&amp;$B4546)=0),NOW(),_xlfn.MINIFS($B$3:$B$5000,$A$3:$A$5000,$A4546,$B$3:$B$5000,"&gt;"&amp;$B4546))</f>
        <v>46279.5987645139</v>
      </c>
    </row>
    <row r="4547" customFormat="false" ht="15" hidden="false" customHeight="true" outlineLevel="0" collapsed="false">
      <c r="A4547" s="42"/>
      <c r="B4547" s="42"/>
      <c r="C4547" s="42"/>
      <c r="D4547" s="42"/>
      <c r="E4547" s="42"/>
      <c r="F4547" s="51" t="n">
        <f aca="false">IF(OR(C4547="",D4547="",E4547="",E4547=0),0,C4547*D4547/E4547)</f>
        <v>0</v>
      </c>
      <c r="G4547" s="42"/>
      <c r="H4547" s="49" t="n">
        <f aca="true">IF(OR($A4547="",_xlfn.MINIFS($B$3:$B$5000,$A$3:$A$5000,$A4547,$B$3:$B$5000,"&gt;"&amp;$B4547)=0),NOW(),_xlfn.MINIFS($B$3:$B$5000,$A$3:$A$5000,$A4547,$B$3:$B$5000,"&gt;"&amp;$B4547))</f>
        <v>46279.598764514</v>
      </c>
    </row>
    <row r="4548" customFormat="false" ht="15" hidden="false" customHeight="true" outlineLevel="0" collapsed="false">
      <c r="A4548" s="42"/>
      <c r="B4548" s="42"/>
      <c r="C4548" s="42"/>
      <c r="D4548" s="42"/>
      <c r="E4548" s="42"/>
      <c r="F4548" s="51" t="n">
        <f aca="false">IF(OR(C4548="",D4548="",E4548="",E4548=0),0,C4548*D4548/E4548)</f>
        <v>0</v>
      </c>
      <c r="G4548" s="42"/>
      <c r="H4548" s="49" t="n">
        <f aca="true">IF(OR($A4548="",_xlfn.MINIFS($B$3:$B$5000,$A$3:$A$5000,$A4548,$B$3:$B$5000,"&gt;"&amp;$B4548)=0),NOW(),_xlfn.MINIFS($B$3:$B$5000,$A$3:$A$5000,$A4548,$B$3:$B$5000,"&gt;"&amp;$B4548))</f>
        <v>46279.598764514</v>
      </c>
    </row>
    <row r="4549" customFormat="false" ht="15" hidden="false" customHeight="true" outlineLevel="0" collapsed="false">
      <c r="A4549" s="42"/>
      <c r="B4549" s="42"/>
      <c r="C4549" s="42"/>
      <c r="D4549" s="42"/>
      <c r="E4549" s="42"/>
      <c r="F4549" s="51" t="n">
        <f aca="false">IF(OR(C4549="",D4549="",E4549="",E4549=0),0,C4549*D4549/E4549)</f>
        <v>0</v>
      </c>
      <c r="G4549" s="42"/>
      <c r="H4549" s="49" t="n">
        <f aca="true">IF(OR($A4549="",_xlfn.MINIFS($B$3:$B$5000,$A$3:$A$5000,$A4549,$B$3:$B$5000,"&gt;"&amp;$B4549)=0),NOW(),_xlfn.MINIFS($B$3:$B$5000,$A$3:$A$5000,$A4549,$B$3:$B$5000,"&gt;"&amp;$B4549))</f>
        <v>46279.5987645141</v>
      </c>
    </row>
    <row r="4550" customFormat="false" ht="15" hidden="false" customHeight="true" outlineLevel="0" collapsed="false">
      <c r="A4550" s="42"/>
      <c r="B4550" s="42"/>
      <c r="C4550" s="42"/>
      <c r="D4550" s="42"/>
      <c r="E4550" s="42"/>
      <c r="F4550" s="51" t="n">
        <f aca="false">IF(OR(C4550="",D4550="",E4550="",E4550=0),0,C4550*D4550/E4550)</f>
        <v>0</v>
      </c>
      <c r="G4550" s="42"/>
      <c r="H4550" s="49" t="n">
        <f aca="true">IF(OR($A4550="",_xlfn.MINIFS($B$3:$B$5000,$A$3:$A$5000,$A4550,$B$3:$B$5000,"&gt;"&amp;$B4550)=0),NOW(),_xlfn.MINIFS($B$3:$B$5000,$A$3:$A$5000,$A4550,$B$3:$B$5000,"&gt;"&amp;$B4550))</f>
        <v>46279.5987645141</v>
      </c>
    </row>
    <row r="4551" customFormat="false" ht="15" hidden="false" customHeight="true" outlineLevel="0" collapsed="false">
      <c r="A4551" s="42"/>
      <c r="B4551" s="42"/>
      <c r="C4551" s="42"/>
      <c r="D4551" s="42"/>
      <c r="E4551" s="42"/>
      <c r="F4551" s="51" t="n">
        <f aca="false">IF(OR(C4551="",D4551="",E4551="",E4551=0),0,C4551*D4551/E4551)</f>
        <v>0</v>
      </c>
      <c r="G4551" s="42"/>
      <c r="H4551" s="49" t="n">
        <f aca="true">IF(OR($A4551="",_xlfn.MINIFS($B$3:$B$5000,$A$3:$A$5000,$A4551,$B$3:$B$5000,"&gt;"&amp;$B4551)=0),NOW(),_xlfn.MINIFS($B$3:$B$5000,$A$3:$A$5000,$A4551,$B$3:$B$5000,"&gt;"&amp;$B4551))</f>
        <v>46279.5987645142</v>
      </c>
    </row>
    <row r="4552" customFormat="false" ht="15" hidden="false" customHeight="true" outlineLevel="0" collapsed="false">
      <c r="A4552" s="42"/>
      <c r="B4552" s="42"/>
      <c r="C4552" s="42"/>
      <c r="D4552" s="42"/>
      <c r="E4552" s="42"/>
      <c r="F4552" s="51" t="n">
        <f aca="false">IF(OR(C4552="",D4552="",E4552="",E4552=0),0,C4552*D4552/E4552)</f>
        <v>0</v>
      </c>
      <c r="G4552" s="42"/>
      <c r="H4552" s="49" t="n">
        <f aca="true">IF(OR($A4552="",_xlfn.MINIFS($B$3:$B$5000,$A$3:$A$5000,$A4552,$B$3:$B$5000,"&gt;"&amp;$B4552)=0),NOW(),_xlfn.MINIFS($B$3:$B$5000,$A$3:$A$5000,$A4552,$B$3:$B$5000,"&gt;"&amp;$B4552))</f>
        <v>46279.5987645142</v>
      </c>
    </row>
    <row r="4553" customFormat="false" ht="15" hidden="false" customHeight="true" outlineLevel="0" collapsed="false">
      <c r="A4553" s="42"/>
      <c r="B4553" s="42"/>
      <c r="C4553" s="42"/>
      <c r="D4553" s="42"/>
      <c r="E4553" s="42"/>
      <c r="F4553" s="51" t="n">
        <f aca="false">IF(OR(C4553="",D4553="",E4553="",E4553=0),0,C4553*D4553/E4553)</f>
        <v>0</v>
      </c>
      <c r="G4553" s="42"/>
      <c r="H4553" s="49" t="n">
        <f aca="true">IF(OR($A4553="",_xlfn.MINIFS($B$3:$B$5000,$A$3:$A$5000,$A4553,$B$3:$B$5000,"&gt;"&amp;$B4553)=0),NOW(),_xlfn.MINIFS($B$3:$B$5000,$A$3:$A$5000,$A4553,$B$3:$B$5000,"&gt;"&amp;$B4553))</f>
        <v>46279.5987645143</v>
      </c>
    </row>
    <row r="4554" customFormat="false" ht="15" hidden="false" customHeight="true" outlineLevel="0" collapsed="false">
      <c r="A4554" s="42"/>
      <c r="B4554" s="42"/>
      <c r="C4554" s="42"/>
      <c r="D4554" s="42"/>
      <c r="E4554" s="42"/>
      <c r="F4554" s="51" t="n">
        <f aca="false">IF(OR(C4554="",D4554="",E4554="",E4554=0),0,C4554*D4554/E4554)</f>
        <v>0</v>
      </c>
      <c r="G4554" s="42"/>
      <c r="H4554" s="49" t="n">
        <f aca="true">IF(OR($A4554="",_xlfn.MINIFS($B$3:$B$5000,$A$3:$A$5000,$A4554,$B$3:$B$5000,"&gt;"&amp;$B4554)=0),NOW(),_xlfn.MINIFS($B$3:$B$5000,$A$3:$A$5000,$A4554,$B$3:$B$5000,"&gt;"&amp;$B4554))</f>
        <v>46279.5987645143</v>
      </c>
    </row>
    <row r="4555" customFormat="false" ht="15" hidden="false" customHeight="true" outlineLevel="0" collapsed="false">
      <c r="A4555" s="42"/>
      <c r="B4555" s="42"/>
      <c r="C4555" s="42"/>
      <c r="D4555" s="42"/>
      <c r="E4555" s="42"/>
      <c r="F4555" s="51" t="n">
        <f aca="false">IF(OR(C4555="",D4555="",E4555="",E4555=0),0,C4555*D4555/E4555)</f>
        <v>0</v>
      </c>
      <c r="G4555" s="42"/>
      <c r="H4555" s="49" t="n">
        <f aca="true">IF(OR($A4555="",_xlfn.MINIFS($B$3:$B$5000,$A$3:$A$5000,$A4555,$B$3:$B$5000,"&gt;"&amp;$B4555)=0),NOW(),_xlfn.MINIFS($B$3:$B$5000,$A$3:$A$5000,$A4555,$B$3:$B$5000,"&gt;"&amp;$B4555))</f>
        <v>46279.5987645144</v>
      </c>
    </row>
    <row r="4556" customFormat="false" ht="15" hidden="false" customHeight="true" outlineLevel="0" collapsed="false">
      <c r="A4556" s="42"/>
      <c r="B4556" s="42"/>
      <c r="C4556" s="42"/>
      <c r="D4556" s="42"/>
      <c r="E4556" s="42"/>
      <c r="F4556" s="51" t="n">
        <f aca="false">IF(OR(C4556="",D4556="",E4556="",E4556=0),0,C4556*D4556/E4556)</f>
        <v>0</v>
      </c>
      <c r="G4556" s="42"/>
      <c r="H4556" s="49" t="n">
        <f aca="true">IF(OR($A4556="",_xlfn.MINIFS($B$3:$B$5000,$A$3:$A$5000,$A4556,$B$3:$B$5000,"&gt;"&amp;$B4556)=0),NOW(),_xlfn.MINIFS($B$3:$B$5000,$A$3:$A$5000,$A4556,$B$3:$B$5000,"&gt;"&amp;$B4556))</f>
        <v>46279.5987645144</v>
      </c>
    </row>
    <row r="4557" customFormat="false" ht="15" hidden="false" customHeight="true" outlineLevel="0" collapsed="false">
      <c r="A4557" s="42"/>
      <c r="B4557" s="42"/>
      <c r="C4557" s="42"/>
      <c r="D4557" s="42"/>
      <c r="E4557" s="42"/>
      <c r="F4557" s="51" t="n">
        <f aca="false">IF(OR(C4557="",D4557="",E4557="",E4557=0),0,C4557*D4557/E4557)</f>
        <v>0</v>
      </c>
      <c r="G4557" s="42"/>
      <c r="H4557" s="49" t="n">
        <f aca="true">IF(OR($A4557="",_xlfn.MINIFS($B$3:$B$5000,$A$3:$A$5000,$A4557,$B$3:$B$5000,"&gt;"&amp;$B4557)=0),NOW(),_xlfn.MINIFS($B$3:$B$5000,$A$3:$A$5000,$A4557,$B$3:$B$5000,"&gt;"&amp;$B4557))</f>
        <v>46279.5987645145</v>
      </c>
    </row>
    <row r="4558" customFormat="false" ht="15" hidden="false" customHeight="true" outlineLevel="0" collapsed="false">
      <c r="A4558" s="42"/>
      <c r="B4558" s="42"/>
      <c r="C4558" s="42"/>
      <c r="D4558" s="42"/>
      <c r="E4558" s="42"/>
      <c r="F4558" s="51" t="n">
        <f aca="false">IF(OR(C4558="",D4558="",E4558="",E4558=0),0,C4558*D4558/E4558)</f>
        <v>0</v>
      </c>
      <c r="G4558" s="42"/>
      <c r="H4558" s="49" t="n">
        <f aca="true">IF(OR($A4558="",_xlfn.MINIFS($B$3:$B$5000,$A$3:$A$5000,$A4558,$B$3:$B$5000,"&gt;"&amp;$B4558)=0),NOW(),_xlfn.MINIFS($B$3:$B$5000,$A$3:$A$5000,$A4558,$B$3:$B$5000,"&gt;"&amp;$B4558))</f>
        <v>46279.5987645145</v>
      </c>
    </row>
    <row r="4559" customFormat="false" ht="15" hidden="false" customHeight="true" outlineLevel="0" collapsed="false">
      <c r="A4559" s="42"/>
      <c r="B4559" s="42"/>
      <c r="C4559" s="42"/>
      <c r="D4559" s="42"/>
      <c r="E4559" s="42"/>
      <c r="F4559" s="51" t="n">
        <f aca="false">IF(OR(C4559="",D4559="",E4559="",E4559=0),0,C4559*D4559/E4559)</f>
        <v>0</v>
      </c>
      <c r="G4559" s="42"/>
      <c r="H4559" s="49" t="n">
        <f aca="true">IF(OR($A4559="",_xlfn.MINIFS($B$3:$B$5000,$A$3:$A$5000,$A4559,$B$3:$B$5000,"&gt;"&amp;$B4559)=0),NOW(),_xlfn.MINIFS($B$3:$B$5000,$A$3:$A$5000,$A4559,$B$3:$B$5000,"&gt;"&amp;$B4559))</f>
        <v>46279.5987645145</v>
      </c>
    </row>
    <row r="4560" customFormat="false" ht="15" hidden="false" customHeight="true" outlineLevel="0" collapsed="false">
      <c r="A4560" s="42"/>
      <c r="B4560" s="42"/>
      <c r="C4560" s="42"/>
      <c r="D4560" s="42"/>
      <c r="E4560" s="42"/>
      <c r="F4560" s="51" t="n">
        <f aca="false">IF(OR(C4560="",D4560="",E4560="",E4560=0),0,C4560*D4560/E4560)</f>
        <v>0</v>
      </c>
      <c r="G4560" s="42"/>
      <c r="H4560" s="49" t="n">
        <f aca="true">IF(OR($A4560="",_xlfn.MINIFS($B$3:$B$5000,$A$3:$A$5000,$A4560,$B$3:$B$5000,"&gt;"&amp;$B4560)=0),NOW(),_xlfn.MINIFS($B$3:$B$5000,$A$3:$A$5000,$A4560,$B$3:$B$5000,"&gt;"&amp;$B4560))</f>
        <v>46279.5987645146</v>
      </c>
    </row>
    <row r="4561" customFormat="false" ht="15" hidden="false" customHeight="true" outlineLevel="0" collapsed="false">
      <c r="A4561" s="42"/>
      <c r="B4561" s="42"/>
      <c r="C4561" s="42"/>
      <c r="D4561" s="42"/>
      <c r="E4561" s="42"/>
      <c r="F4561" s="51" t="n">
        <f aca="false">IF(OR(C4561="",D4561="",E4561="",E4561=0),0,C4561*D4561/E4561)</f>
        <v>0</v>
      </c>
      <c r="G4561" s="42"/>
      <c r="H4561" s="49" t="n">
        <f aca="true">IF(OR($A4561="",_xlfn.MINIFS($B$3:$B$5000,$A$3:$A$5000,$A4561,$B$3:$B$5000,"&gt;"&amp;$B4561)=0),NOW(),_xlfn.MINIFS($B$3:$B$5000,$A$3:$A$5000,$A4561,$B$3:$B$5000,"&gt;"&amp;$B4561))</f>
        <v>46279.5987645146</v>
      </c>
    </row>
    <row r="4562" customFormat="false" ht="15" hidden="false" customHeight="true" outlineLevel="0" collapsed="false">
      <c r="A4562" s="42"/>
      <c r="B4562" s="42"/>
      <c r="C4562" s="42"/>
      <c r="D4562" s="42"/>
      <c r="E4562" s="42"/>
      <c r="F4562" s="51" t="n">
        <f aca="false">IF(OR(C4562="",D4562="",E4562="",E4562=0),0,C4562*D4562/E4562)</f>
        <v>0</v>
      </c>
      <c r="G4562" s="42"/>
      <c r="H4562" s="49" t="n">
        <f aca="true">IF(OR($A4562="",_xlfn.MINIFS($B$3:$B$5000,$A$3:$A$5000,$A4562,$B$3:$B$5000,"&gt;"&amp;$B4562)=0),NOW(),_xlfn.MINIFS($B$3:$B$5000,$A$3:$A$5000,$A4562,$B$3:$B$5000,"&gt;"&amp;$B4562))</f>
        <v>46279.5987645147</v>
      </c>
    </row>
    <row r="4563" customFormat="false" ht="15" hidden="false" customHeight="true" outlineLevel="0" collapsed="false">
      <c r="A4563" s="42"/>
      <c r="B4563" s="42"/>
      <c r="C4563" s="42"/>
      <c r="D4563" s="42"/>
      <c r="E4563" s="42"/>
      <c r="F4563" s="51" t="n">
        <f aca="false">IF(OR(C4563="",D4563="",E4563="",E4563=0),0,C4563*D4563/E4563)</f>
        <v>0</v>
      </c>
      <c r="G4563" s="42"/>
      <c r="H4563" s="49" t="n">
        <f aca="true">IF(OR($A4563="",_xlfn.MINIFS($B$3:$B$5000,$A$3:$A$5000,$A4563,$B$3:$B$5000,"&gt;"&amp;$B4563)=0),NOW(),_xlfn.MINIFS($B$3:$B$5000,$A$3:$A$5000,$A4563,$B$3:$B$5000,"&gt;"&amp;$B4563))</f>
        <v>46279.5987645148</v>
      </c>
    </row>
    <row r="4564" customFormat="false" ht="15" hidden="false" customHeight="true" outlineLevel="0" collapsed="false">
      <c r="A4564" s="42"/>
      <c r="B4564" s="42"/>
      <c r="C4564" s="42"/>
      <c r="D4564" s="42"/>
      <c r="E4564" s="42"/>
      <c r="F4564" s="51" t="n">
        <f aca="false">IF(OR(C4564="",D4564="",E4564="",E4564=0),0,C4564*D4564/E4564)</f>
        <v>0</v>
      </c>
      <c r="G4564" s="42"/>
      <c r="H4564" s="49" t="n">
        <f aca="true">IF(OR($A4564="",_xlfn.MINIFS($B$3:$B$5000,$A$3:$A$5000,$A4564,$B$3:$B$5000,"&gt;"&amp;$B4564)=0),NOW(),_xlfn.MINIFS($B$3:$B$5000,$A$3:$A$5000,$A4564,$B$3:$B$5000,"&gt;"&amp;$B4564))</f>
        <v>46279.5987645148</v>
      </c>
    </row>
    <row r="4565" customFormat="false" ht="15" hidden="false" customHeight="true" outlineLevel="0" collapsed="false">
      <c r="A4565" s="42"/>
      <c r="B4565" s="42"/>
      <c r="C4565" s="42"/>
      <c r="D4565" s="42"/>
      <c r="E4565" s="42"/>
      <c r="F4565" s="51" t="n">
        <f aca="false">IF(OR(C4565="",D4565="",E4565="",E4565=0),0,C4565*D4565/E4565)</f>
        <v>0</v>
      </c>
      <c r="G4565" s="42"/>
      <c r="H4565" s="49" t="n">
        <f aca="true">IF(OR($A4565="",_xlfn.MINIFS($B$3:$B$5000,$A$3:$A$5000,$A4565,$B$3:$B$5000,"&gt;"&amp;$B4565)=0),NOW(),_xlfn.MINIFS($B$3:$B$5000,$A$3:$A$5000,$A4565,$B$3:$B$5000,"&gt;"&amp;$B4565))</f>
        <v>46279.5987645149</v>
      </c>
    </row>
    <row r="4566" customFormat="false" ht="15" hidden="false" customHeight="true" outlineLevel="0" collapsed="false">
      <c r="A4566" s="42"/>
      <c r="B4566" s="42"/>
      <c r="C4566" s="42"/>
      <c r="D4566" s="42"/>
      <c r="E4566" s="42"/>
      <c r="F4566" s="51" t="n">
        <f aca="false">IF(OR(C4566="",D4566="",E4566="",E4566=0),0,C4566*D4566/E4566)</f>
        <v>0</v>
      </c>
      <c r="G4566" s="42"/>
      <c r="H4566" s="49" t="n">
        <f aca="true">IF(OR($A4566="",_xlfn.MINIFS($B$3:$B$5000,$A$3:$A$5000,$A4566,$B$3:$B$5000,"&gt;"&amp;$B4566)=0),NOW(),_xlfn.MINIFS($B$3:$B$5000,$A$3:$A$5000,$A4566,$B$3:$B$5000,"&gt;"&amp;$B4566))</f>
        <v>46279.5987645149</v>
      </c>
    </row>
    <row r="4567" customFormat="false" ht="15" hidden="false" customHeight="true" outlineLevel="0" collapsed="false">
      <c r="A4567" s="42"/>
      <c r="B4567" s="42"/>
      <c r="C4567" s="42"/>
      <c r="D4567" s="42"/>
      <c r="E4567" s="42"/>
      <c r="F4567" s="51" t="n">
        <f aca="false">IF(OR(C4567="",D4567="",E4567="",E4567=0),0,C4567*D4567/E4567)</f>
        <v>0</v>
      </c>
      <c r="G4567" s="42"/>
      <c r="H4567" s="49" t="n">
        <f aca="true">IF(OR($A4567="",_xlfn.MINIFS($B$3:$B$5000,$A$3:$A$5000,$A4567,$B$3:$B$5000,"&gt;"&amp;$B4567)=0),NOW(),_xlfn.MINIFS($B$3:$B$5000,$A$3:$A$5000,$A4567,$B$3:$B$5000,"&gt;"&amp;$B4567))</f>
        <v>46279.5987645149</v>
      </c>
    </row>
    <row r="4568" customFormat="false" ht="15" hidden="false" customHeight="true" outlineLevel="0" collapsed="false">
      <c r="A4568" s="42"/>
      <c r="B4568" s="42"/>
      <c r="C4568" s="42"/>
      <c r="D4568" s="42"/>
      <c r="E4568" s="42"/>
      <c r="F4568" s="51" t="n">
        <f aca="false">IF(OR(C4568="",D4568="",E4568="",E4568=0),0,C4568*D4568/E4568)</f>
        <v>0</v>
      </c>
      <c r="G4568" s="42"/>
      <c r="H4568" s="49" t="n">
        <f aca="true">IF(OR($A4568="",_xlfn.MINIFS($B$3:$B$5000,$A$3:$A$5000,$A4568,$B$3:$B$5000,"&gt;"&amp;$B4568)=0),NOW(),_xlfn.MINIFS($B$3:$B$5000,$A$3:$A$5000,$A4568,$B$3:$B$5000,"&gt;"&amp;$B4568))</f>
        <v>46279.598764515</v>
      </c>
    </row>
    <row r="4569" customFormat="false" ht="15" hidden="false" customHeight="true" outlineLevel="0" collapsed="false">
      <c r="A4569" s="42"/>
      <c r="B4569" s="42"/>
      <c r="C4569" s="42"/>
      <c r="D4569" s="42"/>
      <c r="E4569" s="42"/>
      <c r="F4569" s="51" t="n">
        <f aca="false">IF(OR(C4569="",D4569="",E4569="",E4569=0),0,C4569*D4569/E4569)</f>
        <v>0</v>
      </c>
      <c r="G4569" s="42"/>
      <c r="H4569" s="49" t="n">
        <f aca="true">IF(OR($A4569="",_xlfn.MINIFS($B$3:$B$5000,$A$3:$A$5000,$A4569,$B$3:$B$5000,"&gt;"&amp;$B4569)=0),NOW(),_xlfn.MINIFS($B$3:$B$5000,$A$3:$A$5000,$A4569,$B$3:$B$5000,"&gt;"&amp;$B4569))</f>
        <v>46279.598764515</v>
      </c>
    </row>
    <row r="4570" customFormat="false" ht="15" hidden="false" customHeight="true" outlineLevel="0" collapsed="false">
      <c r="A4570" s="42"/>
      <c r="B4570" s="42"/>
      <c r="C4570" s="42"/>
      <c r="D4570" s="42"/>
      <c r="E4570" s="42"/>
      <c r="F4570" s="51" t="n">
        <f aca="false">IF(OR(C4570="",D4570="",E4570="",E4570=0),0,C4570*D4570/E4570)</f>
        <v>0</v>
      </c>
      <c r="G4570" s="42"/>
      <c r="H4570" s="49" t="n">
        <f aca="true">IF(OR($A4570="",_xlfn.MINIFS($B$3:$B$5000,$A$3:$A$5000,$A4570,$B$3:$B$5000,"&gt;"&amp;$B4570)=0),NOW(),_xlfn.MINIFS($B$3:$B$5000,$A$3:$A$5000,$A4570,$B$3:$B$5000,"&gt;"&amp;$B4570))</f>
        <v>46279.5987645151</v>
      </c>
    </row>
    <row r="4571" customFormat="false" ht="15" hidden="false" customHeight="true" outlineLevel="0" collapsed="false">
      <c r="A4571" s="42"/>
      <c r="B4571" s="42"/>
      <c r="C4571" s="42"/>
      <c r="D4571" s="42"/>
      <c r="E4571" s="42"/>
      <c r="F4571" s="51" t="n">
        <f aca="false">IF(OR(C4571="",D4571="",E4571="",E4571=0),0,C4571*D4571/E4571)</f>
        <v>0</v>
      </c>
      <c r="G4571" s="42"/>
      <c r="H4571" s="49" t="n">
        <f aca="true">IF(OR($A4571="",_xlfn.MINIFS($B$3:$B$5000,$A$3:$A$5000,$A4571,$B$3:$B$5000,"&gt;"&amp;$B4571)=0),NOW(),_xlfn.MINIFS($B$3:$B$5000,$A$3:$A$5000,$A4571,$B$3:$B$5000,"&gt;"&amp;$B4571))</f>
        <v>46279.5987645151</v>
      </c>
    </row>
    <row r="4572" customFormat="false" ht="15" hidden="false" customHeight="true" outlineLevel="0" collapsed="false">
      <c r="A4572" s="42"/>
      <c r="B4572" s="42"/>
      <c r="C4572" s="42"/>
      <c r="D4572" s="42"/>
      <c r="E4572" s="42"/>
      <c r="F4572" s="51" t="n">
        <f aca="false">IF(OR(C4572="",D4572="",E4572="",E4572=0),0,C4572*D4572/E4572)</f>
        <v>0</v>
      </c>
      <c r="G4572" s="42"/>
      <c r="H4572" s="49" t="n">
        <f aca="true">IF(OR($A4572="",_xlfn.MINIFS($B$3:$B$5000,$A$3:$A$5000,$A4572,$B$3:$B$5000,"&gt;"&amp;$B4572)=0),NOW(),_xlfn.MINIFS($B$3:$B$5000,$A$3:$A$5000,$A4572,$B$3:$B$5000,"&gt;"&amp;$B4572))</f>
        <v>46279.5987645152</v>
      </c>
    </row>
    <row r="4573" customFormat="false" ht="15" hidden="false" customHeight="true" outlineLevel="0" collapsed="false">
      <c r="A4573" s="42"/>
      <c r="B4573" s="42"/>
      <c r="C4573" s="42"/>
      <c r="D4573" s="42"/>
      <c r="E4573" s="42"/>
      <c r="F4573" s="51" t="n">
        <f aca="false">IF(OR(C4573="",D4573="",E4573="",E4573=0),0,C4573*D4573/E4573)</f>
        <v>0</v>
      </c>
      <c r="G4573" s="42"/>
      <c r="H4573" s="49" t="n">
        <f aca="true">IF(OR($A4573="",_xlfn.MINIFS($B$3:$B$5000,$A$3:$A$5000,$A4573,$B$3:$B$5000,"&gt;"&amp;$B4573)=0),NOW(),_xlfn.MINIFS($B$3:$B$5000,$A$3:$A$5000,$A4573,$B$3:$B$5000,"&gt;"&amp;$B4573))</f>
        <v>46279.5987645152</v>
      </c>
    </row>
    <row r="4574" customFormat="false" ht="15" hidden="false" customHeight="true" outlineLevel="0" collapsed="false">
      <c r="A4574" s="42"/>
      <c r="B4574" s="42"/>
      <c r="C4574" s="42"/>
      <c r="D4574" s="42"/>
      <c r="E4574" s="42"/>
      <c r="F4574" s="51" t="n">
        <f aca="false">IF(OR(C4574="",D4574="",E4574="",E4574=0),0,C4574*D4574/E4574)</f>
        <v>0</v>
      </c>
      <c r="G4574" s="42"/>
      <c r="H4574" s="49" t="n">
        <f aca="true">IF(OR($A4574="",_xlfn.MINIFS($B$3:$B$5000,$A$3:$A$5000,$A4574,$B$3:$B$5000,"&gt;"&amp;$B4574)=0),NOW(),_xlfn.MINIFS($B$3:$B$5000,$A$3:$A$5000,$A4574,$B$3:$B$5000,"&gt;"&amp;$B4574))</f>
        <v>46279.5987645153</v>
      </c>
    </row>
    <row r="4575" customFormat="false" ht="15" hidden="false" customHeight="true" outlineLevel="0" collapsed="false">
      <c r="A4575" s="42"/>
      <c r="B4575" s="42"/>
      <c r="C4575" s="42"/>
      <c r="D4575" s="42"/>
      <c r="E4575" s="42"/>
      <c r="F4575" s="51" t="n">
        <f aca="false">IF(OR(C4575="",D4575="",E4575="",E4575=0),0,C4575*D4575/E4575)</f>
        <v>0</v>
      </c>
      <c r="G4575" s="42"/>
      <c r="H4575" s="49" t="n">
        <f aca="true">IF(OR($A4575="",_xlfn.MINIFS($B$3:$B$5000,$A$3:$A$5000,$A4575,$B$3:$B$5000,"&gt;"&amp;$B4575)=0),NOW(),_xlfn.MINIFS($B$3:$B$5000,$A$3:$A$5000,$A4575,$B$3:$B$5000,"&gt;"&amp;$B4575))</f>
        <v>46279.5987645153</v>
      </c>
    </row>
    <row r="4576" customFormat="false" ht="15" hidden="false" customHeight="true" outlineLevel="0" collapsed="false">
      <c r="A4576" s="42"/>
      <c r="B4576" s="42"/>
      <c r="C4576" s="42"/>
      <c r="D4576" s="42"/>
      <c r="E4576" s="42"/>
      <c r="F4576" s="51" t="n">
        <f aca="false">IF(OR(C4576="",D4576="",E4576="",E4576=0),0,C4576*D4576/E4576)</f>
        <v>0</v>
      </c>
      <c r="G4576" s="42"/>
      <c r="H4576" s="49" t="n">
        <f aca="true">IF(OR($A4576="",_xlfn.MINIFS($B$3:$B$5000,$A$3:$A$5000,$A4576,$B$3:$B$5000,"&gt;"&amp;$B4576)=0),NOW(),_xlfn.MINIFS($B$3:$B$5000,$A$3:$A$5000,$A4576,$B$3:$B$5000,"&gt;"&amp;$B4576))</f>
        <v>46279.5987645154</v>
      </c>
    </row>
    <row r="4577" customFormat="false" ht="15" hidden="false" customHeight="true" outlineLevel="0" collapsed="false">
      <c r="A4577" s="42"/>
      <c r="B4577" s="42"/>
      <c r="C4577" s="42"/>
      <c r="D4577" s="42"/>
      <c r="E4577" s="42"/>
      <c r="F4577" s="51" t="n">
        <f aca="false">IF(OR(C4577="",D4577="",E4577="",E4577=0),0,C4577*D4577/E4577)</f>
        <v>0</v>
      </c>
      <c r="G4577" s="42"/>
      <c r="H4577" s="49" t="n">
        <f aca="true">IF(OR($A4577="",_xlfn.MINIFS($B$3:$B$5000,$A$3:$A$5000,$A4577,$B$3:$B$5000,"&gt;"&amp;$B4577)=0),NOW(),_xlfn.MINIFS($B$3:$B$5000,$A$3:$A$5000,$A4577,$B$3:$B$5000,"&gt;"&amp;$B4577))</f>
        <v>46279.5987645154</v>
      </c>
    </row>
    <row r="4578" customFormat="false" ht="15" hidden="false" customHeight="true" outlineLevel="0" collapsed="false">
      <c r="A4578" s="42"/>
      <c r="B4578" s="42"/>
      <c r="C4578" s="42"/>
      <c r="D4578" s="42"/>
      <c r="E4578" s="42"/>
      <c r="F4578" s="51" t="n">
        <f aca="false">IF(OR(C4578="",D4578="",E4578="",E4578=0),0,C4578*D4578/E4578)</f>
        <v>0</v>
      </c>
      <c r="G4578" s="42"/>
      <c r="H4578" s="49" t="n">
        <f aca="true">IF(OR($A4578="",_xlfn.MINIFS($B$3:$B$5000,$A$3:$A$5000,$A4578,$B$3:$B$5000,"&gt;"&amp;$B4578)=0),NOW(),_xlfn.MINIFS($B$3:$B$5000,$A$3:$A$5000,$A4578,$B$3:$B$5000,"&gt;"&amp;$B4578))</f>
        <v>46279.5987645155</v>
      </c>
    </row>
    <row r="4579" customFormat="false" ht="15" hidden="false" customHeight="true" outlineLevel="0" collapsed="false">
      <c r="A4579" s="42"/>
      <c r="B4579" s="42"/>
      <c r="C4579" s="42"/>
      <c r="D4579" s="42"/>
      <c r="E4579" s="42"/>
      <c r="F4579" s="51" t="n">
        <f aca="false">IF(OR(C4579="",D4579="",E4579="",E4579=0),0,C4579*D4579/E4579)</f>
        <v>0</v>
      </c>
      <c r="G4579" s="42"/>
      <c r="H4579" s="49" t="n">
        <f aca="true">IF(OR($A4579="",_xlfn.MINIFS($B$3:$B$5000,$A$3:$A$5000,$A4579,$B$3:$B$5000,"&gt;"&amp;$B4579)=0),NOW(),_xlfn.MINIFS($B$3:$B$5000,$A$3:$A$5000,$A4579,$B$3:$B$5000,"&gt;"&amp;$B4579))</f>
        <v>46279.5987645155</v>
      </c>
    </row>
    <row r="4580" customFormat="false" ht="15" hidden="false" customHeight="true" outlineLevel="0" collapsed="false">
      <c r="A4580" s="42"/>
      <c r="B4580" s="42"/>
      <c r="C4580" s="42"/>
      <c r="D4580" s="42"/>
      <c r="E4580" s="42"/>
      <c r="F4580" s="51" t="n">
        <f aca="false">IF(OR(C4580="",D4580="",E4580="",E4580=0),0,C4580*D4580/E4580)</f>
        <v>0</v>
      </c>
      <c r="G4580" s="42"/>
      <c r="H4580" s="49" t="n">
        <f aca="true">IF(OR($A4580="",_xlfn.MINIFS($B$3:$B$5000,$A$3:$A$5000,$A4580,$B$3:$B$5000,"&gt;"&amp;$B4580)=0),NOW(),_xlfn.MINIFS($B$3:$B$5000,$A$3:$A$5000,$A4580,$B$3:$B$5000,"&gt;"&amp;$B4580))</f>
        <v>46279.5987645156</v>
      </c>
    </row>
    <row r="4581" customFormat="false" ht="15" hidden="false" customHeight="true" outlineLevel="0" collapsed="false">
      <c r="A4581" s="42"/>
      <c r="B4581" s="42"/>
      <c r="C4581" s="42"/>
      <c r="D4581" s="42"/>
      <c r="E4581" s="42"/>
      <c r="F4581" s="51" t="n">
        <f aca="false">IF(OR(C4581="",D4581="",E4581="",E4581=0),0,C4581*D4581/E4581)</f>
        <v>0</v>
      </c>
      <c r="G4581" s="42"/>
      <c r="H4581" s="49" t="n">
        <f aca="true">IF(OR($A4581="",_xlfn.MINIFS($B$3:$B$5000,$A$3:$A$5000,$A4581,$B$3:$B$5000,"&gt;"&amp;$B4581)=0),NOW(),_xlfn.MINIFS($B$3:$B$5000,$A$3:$A$5000,$A4581,$B$3:$B$5000,"&gt;"&amp;$B4581))</f>
        <v>46279.5987645156</v>
      </c>
    </row>
    <row r="4582" customFormat="false" ht="15" hidden="false" customHeight="true" outlineLevel="0" collapsed="false">
      <c r="A4582" s="42"/>
      <c r="B4582" s="42"/>
      <c r="C4582" s="42"/>
      <c r="D4582" s="42"/>
      <c r="E4582" s="42"/>
      <c r="F4582" s="51" t="n">
        <f aca="false">IF(OR(C4582="",D4582="",E4582="",E4582=0),0,C4582*D4582/E4582)</f>
        <v>0</v>
      </c>
      <c r="G4582" s="42"/>
      <c r="H4582" s="49" t="n">
        <f aca="true">IF(OR($A4582="",_xlfn.MINIFS($B$3:$B$5000,$A$3:$A$5000,$A4582,$B$3:$B$5000,"&gt;"&amp;$B4582)=0),NOW(),_xlfn.MINIFS($B$3:$B$5000,$A$3:$A$5000,$A4582,$B$3:$B$5000,"&gt;"&amp;$B4582))</f>
        <v>46279.5987645157</v>
      </c>
    </row>
    <row r="4583" customFormat="false" ht="15" hidden="false" customHeight="true" outlineLevel="0" collapsed="false">
      <c r="A4583" s="42"/>
      <c r="B4583" s="42"/>
      <c r="C4583" s="42"/>
      <c r="D4583" s="42"/>
      <c r="E4583" s="42"/>
      <c r="F4583" s="51" t="n">
        <f aca="false">IF(OR(C4583="",D4583="",E4583="",E4583=0),0,C4583*D4583/E4583)</f>
        <v>0</v>
      </c>
      <c r="G4583" s="42"/>
      <c r="H4583" s="49" t="n">
        <f aca="true">IF(OR($A4583="",_xlfn.MINIFS($B$3:$B$5000,$A$3:$A$5000,$A4583,$B$3:$B$5000,"&gt;"&amp;$B4583)=0),NOW(),_xlfn.MINIFS($B$3:$B$5000,$A$3:$A$5000,$A4583,$B$3:$B$5000,"&gt;"&amp;$B4583))</f>
        <v>46279.5987645158</v>
      </c>
    </row>
    <row r="4584" customFormat="false" ht="15" hidden="false" customHeight="true" outlineLevel="0" collapsed="false">
      <c r="A4584" s="42"/>
      <c r="B4584" s="42"/>
      <c r="C4584" s="42"/>
      <c r="D4584" s="42"/>
      <c r="E4584" s="42"/>
      <c r="F4584" s="51" t="n">
        <f aca="false">IF(OR(C4584="",D4584="",E4584="",E4584=0),0,C4584*D4584/E4584)</f>
        <v>0</v>
      </c>
      <c r="G4584" s="42"/>
      <c r="H4584" s="49" t="n">
        <f aca="true">IF(OR($A4584="",_xlfn.MINIFS($B$3:$B$5000,$A$3:$A$5000,$A4584,$B$3:$B$5000,"&gt;"&amp;$B4584)=0),NOW(),_xlfn.MINIFS($B$3:$B$5000,$A$3:$A$5000,$A4584,$B$3:$B$5000,"&gt;"&amp;$B4584))</f>
        <v>46279.5987645158</v>
      </c>
    </row>
    <row r="4585" customFormat="false" ht="15" hidden="false" customHeight="true" outlineLevel="0" collapsed="false">
      <c r="A4585" s="42"/>
      <c r="B4585" s="42"/>
      <c r="C4585" s="42"/>
      <c r="D4585" s="42"/>
      <c r="E4585" s="42"/>
      <c r="F4585" s="51" t="n">
        <f aca="false">IF(OR(C4585="",D4585="",E4585="",E4585=0),0,C4585*D4585/E4585)</f>
        <v>0</v>
      </c>
      <c r="G4585" s="42"/>
      <c r="H4585" s="49" t="n">
        <f aca="true">IF(OR($A4585="",_xlfn.MINIFS($B$3:$B$5000,$A$3:$A$5000,$A4585,$B$3:$B$5000,"&gt;"&amp;$B4585)=0),NOW(),_xlfn.MINIFS($B$3:$B$5000,$A$3:$A$5000,$A4585,$B$3:$B$5000,"&gt;"&amp;$B4585))</f>
        <v>46279.5987645159</v>
      </c>
    </row>
    <row r="4586" customFormat="false" ht="15" hidden="false" customHeight="true" outlineLevel="0" collapsed="false">
      <c r="A4586" s="42"/>
      <c r="B4586" s="42"/>
      <c r="C4586" s="42"/>
      <c r="D4586" s="42"/>
      <c r="E4586" s="42"/>
      <c r="F4586" s="51" t="n">
        <f aca="false">IF(OR(C4586="",D4586="",E4586="",E4586=0),0,C4586*D4586/E4586)</f>
        <v>0</v>
      </c>
      <c r="G4586" s="42"/>
      <c r="H4586" s="49" t="n">
        <f aca="true">IF(OR($A4586="",_xlfn.MINIFS($B$3:$B$5000,$A$3:$A$5000,$A4586,$B$3:$B$5000,"&gt;"&amp;$B4586)=0),NOW(),_xlfn.MINIFS($B$3:$B$5000,$A$3:$A$5000,$A4586,$B$3:$B$5000,"&gt;"&amp;$B4586))</f>
        <v>46279.5987645159</v>
      </c>
    </row>
    <row r="4587" customFormat="false" ht="15" hidden="false" customHeight="true" outlineLevel="0" collapsed="false">
      <c r="A4587" s="42"/>
      <c r="B4587" s="42"/>
      <c r="C4587" s="42"/>
      <c r="D4587" s="42"/>
      <c r="E4587" s="42"/>
      <c r="F4587" s="51" t="n">
        <f aca="false">IF(OR(C4587="",D4587="",E4587="",E4587=0),0,C4587*D4587/E4587)</f>
        <v>0</v>
      </c>
      <c r="G4587" s="42"/>
      <c r="H4587" s="49" t="n">
        <f aca="true">IF(OR($A4587="",_xlfn.MINIFS($B$3:$B$5000,$A$3:$A$5000,$A4587,$B$3:$B$5000,"&gt;"&amp;$B4587)=0),NOW(),_xlfn.MINIFS($B$3:$B$5000,$A$3:$A$5000,$A4587,$B$3:$B$5000,"&gt;"&amp;$B4587))</f>
        <v>46279.598764516</v>
      </c>
    </row>
    <row r="4588" customFormat="false" ht="15" hidden="false" customHeight="true" outlineLevel="0" collapsed="false">
      <c r="A4588" s="42"/>
      <c r="B4588" s="42"/>
      <c r="C4588" s="42"/>
      <c r="D4588" s="42"/>
      <c r="E4588" s="42"/>
      <c r="F4588" s="51" t="n">
        <f aca="false">IF(OR(C4588="",D4588="",E4588="",E4588=0),0,C4588*D4588/E4588)</f>
        <v>0</v>
      </c>
      <c r="G4588" s="42"/>
      <c r="H4588" s="49" t="n">
        <f aca="true">IF(OR($A4588="",_xlfn.MINIFS($B$3:$B$5000,$A$3:$A$5000,$A4588,$B$3:$B$5000,"&gt;"&amp;$B4588)=0),NOW(),_xlfn.MINIFS($B$3:$B$5000,$A$3:$A$5000,$A4588,$B$3:$B$5000,"&gt;"&amp;$B4588))</f>
        <v>46279.598764516</v>
      </c>
    </row>
    <row r="4589" customFormat="false" ht="15" hidden="false" customHeight="true" outlineLevel="0" collapsed="false">
      <c r="A4589" s="42"/>
      <c r="B4589" s="42"/>
      <c r="C4589" s="42"/>
      <c r="D4589" s="42"/>
      <c r="E4589" s="42"/>
      <c r="F4589" s="51" t="n">
        <f aca="false">IF(OR(C4589="",D4589="",E4589="",E4589=0),0,C4589*D4589/E4589)</f>
        <v>0</v>
      </c>
      <c r="G4589" s="42"/>
      <c r="H4589" s="49" t="n">
        <f aca="true">IF(OR($A4589="",_xlfn.MINIFS($B$3:$B$5000,$A$3:$A$5000,$A4589,$B$3:$B$5000,"&gt;"&amp;$B4589)=0),NOW(),_xlfn.MINIFS($B$3:$B$5000,$A$3:$A$5000,$A4589,$B$3:$B$5000,"&gt;"&amp;$B4589))</f>
        <v>46279.5987645161</v>
      </c>
    </row>
    <row r="4590" customFormat="false" ht="15" hidden="false" customHeight="true" outlineLevel="0" collapsed="false">
      <c r="A4590" s="42"/>
      <c r="B4590" s="42"/>
      <c r="C4590" s="42"/>
      <c r="D4590" s="42"/>
      <c r="E4590" s="42"/>
      <c r="F4590" s="51" t="n">
        <f aca="false">IF(OR(C4590="",D4590="",E4590="",E4590=0),0,C4590*D4590/E4590)</f>
        <v>0</v>
      </c>
      <c r="G4590" s="42"/>
      <c r="H4590" s="49" t="n">
        <f aca="true">IF(OR($A4590="",_xlfn.MINIFS($B$3:$B$5000,$A$3:$A$5000,$A4590,$B$3:$B$5000,"&gt;"&amp;$B4590)=0),NOW(),_xlfn.MINIFS($B$3:$B$5000,$A$3:$A$5000,$A4590,$B$3:$B$5000,"&gt;"&amp;$B4590))</f>
        <v>46279.5987645161</v>
      </c>
    </row>
    <row r="4591" customFormat="false" ht="15" hidden="false" customHeight="true" outlineLevel="0" collapsed="false">
      <c r="A4591" s="42"/>
      <c r="B4591" s="42"/>
      <c r="C4591" s="42"/>
      <c r="D4591" s="42"/>
      <c r="E4591" s="42"/>
      <c r="F4591" s="51" t="n">
        <f aca="false">IF(OR(C4591="",D4591="",E4591="",E4591=0),0,C4591*D4591/E4591)</f>
        <v>0</v>
      </c>
      <c r="G4591" s="42"/>
      <c r="H4591" s="49" t="n">
        <f aca="true">IF(OR($A4591="",_xlfn.MINIFS($B$3:$B$5000,$A$3:$A$5000,$A4591,$B$3:$B$5000,"&gt;"&amp;$B4591)=0),NOW(),_xlfn.MINIFS($B$3:$B$5000,$A$3:$A$5000,$A4591,$B$3:$B$5000,"&gt;"&amp;$B4591))</f>
        <v>46279.5987645162</v>
      </c>
    </row>
    <row r="4592" customFormat="false" ht="15" hidden="false" customHeight="true" outlineLevel="0" collapsed="false">
      <c r="A4592" s="42"/>
      <c r="B4592" s="42"/>
      <c r="C4592" s="42"/>
      <c r="D4592" s="42"/>
      <c r="E4592" s="42"/>
      <c r="F4592" s="51" t="n">
        <f aca="false">IF(OR(C4592="",D4592="",E4592="",E4592=0),0,C4592*D4592/E4592)</f>
        <v>0</v>
      </c>
      <c r="G4592" s="42"/>
      <c r="H4592" s="49" t="n">
        <f aca="true">IF(OR($A4592="",_xlfn.MINIFS($B$3:$B$5000,$A$3:$A$5000,$A4592,$B$3:$B$5000,"&gt;"&amp;$B4592)=0),NOW(),_xlfn.MINIFS($B$3:$B$5000,$A$3:$A$5000,$A4592,$B$3:$B$5000,"&gt;"&amp;$B4592))</f>
        <v>46279.5987645162</v>
      </c>
    </row>
    <row r="4593" customFormat="false" ht="15" hidden="false" customHeight="true" outlineLevel="0" collapsed="false">
      <c r="A4593" s="42"/>
      <c r="B4593" s="42"/>
      <c r="C4593" s="42"/>
      <c r="D4593" s="42"/>
      <c r="E4593" s="42"/>
      <c r="F4593" s="51" t="n">
        <f aca="false">IF(OR(C4593="",D4593="",E4593="",E4593=0),0,C4593*D4593/E4593)</f>
        <v>0</v>
      </c>
      <c r="G4593" s="42"/>
      <c r="H4593" s="49" t="n">
        <f aca="true">IF(OR($A4593="",_xlfn.MINIFS($B$3:$B$5000,$A$3:$A$5000,$A4593,$B$3:$B$5000,"&gt;"&amp;$B4593)=0),NOW(),_xlfn.MINIFS($B$3:$B$5000,$A$3:$A$5000,$A4593,$B$3:$B$5000,"&gt;"&amp;$B4593))</f>
        <v>46279.5987645163</v>
      </c>
    </row>
    <row r="4594" customFormat="false" ht="15" hidden="false" customHeight="true" outlineLevel="0" collapsed="false">
      <c r="A4594" s="42"/>
      <c r="B4594" s="42"/>
      <c r="C4594" s="42"/>
      <c r="D4594" s="42"/>
      <c r="E4594" s="42"/>
      <c r="F4594" s="51" t="n">
        <f aca="false">IF(OR(C4594="",D4594="",E4594="",E4594=0),0,C4594*D4594/E4594)</f>
        <v>0</v>
      </c>
      <c r="G4594" s="42"/>
      <c r="H4594" s="49" t="n">
        <f aca="true">IF(OR($A4594="",_xlfn.MINIFS($B$3:$B$5000,$A$3:$A$5000,$A4594,$B$3:$B$5000,"&gt;"&amp;$B4594)=0),NOW(),_xlfn.MINIFS($B$3:$B$5000,$A$3:$A$5000,$A4594,$B$3:$B$5000,"&gt;"&amp;$B4594))</f>
        <v>46279.5987645163</v>
      </c>
    </row>
    <row r="4595" customFormat="false" ht="15" hidden="false" customHeight="true" outlineLevel="0" collapsed="false">
      <c r="A4595" s="42"/>
      <c r="B4595" s="42"/>
      <c r="C4595" s="42"/>
      <c r="D4595" s="42"/>
      <c r="E4595" s="42"/>
      <c r="F4595" s="51" t="n">
        <f aca="false">IF(OR(C4595="",D4595="",E4595="",E4595=0),0,C4595*D4595/E4595)</f>
        <v>0</v>
      </c>
      <c r="G4595" s="42"/>
      <c r="H4595" s="49" t="n">
        <f aca="true">IF(OR($A4595="",_xlfn.MINIFS($B$3:$B$5000,$A$3:$A$5000,$A4595,$B$3:$B$5000,"&gt;"&amp;$B4595)=0),NOW(),_xlfn.MINIFS($B$3:$B$5000,$A$3:$A$5000,$A4595,$B$3:$B$5000,"&gt;"&amp;$B4595))</f>
        <v>46279.5987645164</v>
      </c>
    </row>
    <row r="4596" customFormat="false" ht="15" hidden="false" customHeight="true" outlineLevel="0" collapsed="false">
      <c r="A4596" s="42"/>
      <c r="B4596" s="42"/>
      <c r="C4596" s="42"/>
      <c r="D4596" s="42"/>
      <c r="E4596" s="42"/>
      <c r="F4596" s="51" t="n">
        <f aca="false">IF(OR(C4596="",D4596="",E4596="",E4596=0),0,C4596*D4596/E4596)</f>
        <v>0</v>
      </c>
      <c r="G4596" s="42"/>
      <c r="H4596" s="49" t="n">
        <f aca="true">IF(OR($A4596="",_xlfn.MINIFS($B$3:$B$5000,$A$3:$A$5000,$A4596,$B$3:$B$5000,"&gt;"&amp;$B4596)=0),NOW(),_xlfn.MINIFS($B$3:$B$5000,$A$3:$A$5000,$A4596,$B$3:$B$5000,"&gt;"&amp;$B4596))</f>
        <v>46279.5987645164</v>
      </c>
    </row>
    <row r="4597" customFormat="false" ht="15" hidden="false" customHeight="true" outlineLevel="0" collapsed="false">
      <c r="A4597" s="42"/>
      <c r="B4597" s="42"/>
      <c r="C4597" s="42"/>
      <c r="D4597" s="42"/>
      <c r="E4597" s="42"/>
      <c r="F4597" s="51" t="n">
        <f aca="false">IF(OR(C4597="",D4597="",E4597="",E4597=0),0,C4597*D4597/E4597)</f>
        <v>0</v>
      </c>
      <c r="G4597" s="42"/>
      <c r="H4597" s="49" t="n">
        <f aca="true">IF(OR($A4597="",_xlfn.MINIFS($B$3:$B$5000,$A$3:$A$5000,$A4597,$B$3:$B$5000,"&gt;"&amp;$B4597)=0),NOW(),_xlfn.MINIFS($B$3:$B$5000,$A$3:$A$5000,$A4597,$B$3:$B$5000,"&gt;"&amp;$B4597))</f>
        <v>46279.5987645165</v>
      </c>
    </row>
    <row r="4598" customFormat="false" ht="15" hidden="false" customHeight="true" outlineLevel="0" collapsed="false">
      <c r="A4598" s="42"/>
      <c r="B4598" s="42"/>
      <c r="C4598" s="42"/>
      <c r="D4598" s="42"/>
      <c r="E4598" s="42"/>
      <c r="F4598" s="51" t="n">
        <f aca="false">IF(OR(C4598="",D4598="",E4598="",E4598=0),0,C4598*D4598/E4598)</f>
        <v>0</v>
      </c>
      <c r="G4598" s="42"/>
      <c r="H4598" s="49" t="n">
        <f aca="true">IF(OR($A4598="",_xlfn.MINIFS($B$3:$B$5000,$A$3:$A$5000,$A4598,$B$3:$B$5000,"&gt;"&amp;$B4598)=0),NOW(),_xlfn.MINIFS($B$3:$B$5000,$A$3:$A$5000,$A4598,$B$3:$B$5000,"&gt;"&amp;$B4598))</f>
        <v>46279.5987645165</v>
      </c>
    </row>
    <row r="4599" customFormat="false" ht="15" hidden="false" customHeight="true" outlineLevel="0" collapsed="false">
      <c r="A4599" s="42"/>
      <c r="B4599" s="42"/>
      <c r="C4599" s="42"/>
      <c r="D4599" s="42"/>
      <c r="E4599" s="42"/>
      <c r="F4599" s="51" t="n">
        <f aca="false">IF(OR(C4599="",D4599="",E4599="",E4599=0),0,C4599*D4599/E4599)</f>
        <v>0</v>
      </c>
      <c r="G4599" s="42"/>
      <c r="H4599" s="49" t="n">
        <f aca="true">IF(OR($A4599="",_xlfn.MINIFS($B$3:$B$5000,$A$3:$A$5000,$A4599,$B$3:$B$5000,"&gt;"&amp;$B4599)=0),NOW(),_xlfn.MINIFS($B$3:$B$5000,$A$3:$A$5000,$A4599,$B$3:$B$5000,"&gt;"&amp;$B4599))</f>
        <v>46279.5987645166</v>
      </c>
    </row>
    <row r="4600" customFormat="false" ht="15" hidden="false" customHeight="true" outlineLevel="0" collapsed="false">
      <c r="A4600" s="42"/>
      <c r="B4600" s="42"/>
      <c r="C4600" s="42"/>
      <c r="D4600" s="42"/>
      <c r="E4600" s="42"/>
      <c r="F4600" s="51" t="n">
        <f aca="false">IF(OR(C4600="",D4600="",E4600="",E4600=0),0,C4600*D4600/E4600)</f>
        <v>0</v>
      </c>
      <c r="G4600" s="42"/>
      <c r="H4600" s="49" t="n">
        <f aca="true">IF(OR($A4600="",_xlfn.MINIFS($B$3:$B$5000,$A$3:$A$5000,$A4600,$B$3:$B$5000,"&gt;"&amp;$B4600)=0),NOW(),_xlfn.MINIFS($B$3:$B$5000,$A$3:$A$5000,$A4600,$B$3:$B$5000,"&gt;"&amp;$B4600))</f>
        <v>46279.5987645166</v>
      </c>
    </row>
    <row r="4601" customFormat="false" ht="15" hidden="false" customHeight="true" outlineLevel="0" collapsed="false">
      <c r="A4601" s="42"/>
      <c r="B4601" s="42"/>
      <c r="C4601" s="42"/>
      <c r="D4601" s="42"/>
      <c r="E4601" s="42"/>
      <c r="F4601" s="51" t="n">
        <f aca="false">IF(OR(C4601="",D4601="",E4601="",E4601=0),0,C4601*D4601/E4601)</f>
        <v>0</v>
      </c>
      <c r="G4601" s="42"/>
      <c r="H4601" s="49" t="n">
        <f aca="true">IF(OR($A4601="",_xlfn.MINIFS($B$3:$B$5000,$A$3:$A$5000,$A4601,$B$3:$B$5000,"&gt;"&amp;$B4601)=0),NOW(),_xlfn.MINIFS($B$3:$B$5000,$A$3:$A$5000,$A4601,$B$3:$B$5000,"&gt;"&amp;$B4601))</f>
        <v>46279.5987645167</v>
      </c>
    </row>
    <row r="4602" customFormat="false" ht="15" hidden="false" customHeight="true" outlineLevel="0" collapsed="false">
      <c r="A4602" s="42"/>
      <c r="B4602" s="42"/>
      <c r="C4602" s="42"/>
      <c r="D4602" s="42"/>
      <c r="E4602" s="42"/>
      <c r="F4602" s="51" t="n">
        <f aca="false">IF(OR(C4602="",D4602="",E4602="",E4602=0),0,C4602*D4602/E4602)</f>
        <v>0</v>
      </c>
      <c r="G4602" s="42"/>
      <c r="H4602" s="49" t="n">
        <f aca="true">IF(OR($A4602="",_xlfn.MINIFS($B$3:$B$5000,$A$3:$A$5000,$A4602,$B$3:$B$5000,"&gt;"&amp;$B4602)=0),NOW(),_xlfn.MINIFS($B$3:$B$5000,$A$3:$A$5000,$A4602,$B$3:$B$5000,"&gt;"&amp;$B4602))</f>
        <v>46279.5987645167</v>
      </c>
    </row>
    <row r="4603" customFormat="false" ht="15" hidden="false" customHeight="true" outlineLevel="0" collapsed="false">
      <c r="A4603" s="42"/>
      <c r="B4603" s="42"/>
      <c r="C4603" s="42"/>
      <c r="D4603" s="42"/>
      <c r="E4603" s="42"/>
      <c r="F4603" s="51" t="n">
        <f aca="false">IF(OR(C4603="",D4603="",E4603="",E4603=0),0,C4603*D4603/E4603)</f>
        <v>0</v>
      </c>
      <c r="G4603" s="42"/>
      <c r="H4603" s="49" t="n">
        <f aca="true">IF(OR($A4603="",_xlfn.MINIFS($B$3:$B$5000,$A$3:$A$5000,$A4603,$B$3:$B$5000,"&gt;"&amp;$B4603)=0),NOW(),_xlfn.MINIFS($B$3:$B$5000,$A$3:$A$5000,$A4603,$B$3:$B$5000,"&gt;"&amp;$B4603))</f>
        <v>46279.5987645168</v>
      </c>
    </row>
    <row r="4604" customFormat="false" ht="15" hidden="false" customHeight="true" outlineLevel="0" collapsed="false">
      <c r="A4604" s="42"/>
      <c r="B4604" s="42"/>
      <c r="C4604" s="42"/>
      <c r="D4604" s="42"/>
      <c r="E4604" s="42"/>
      <c r="F4604" s="51" t="n">
        <f aca="false">IF(OR(C4604="",D4604="",E4604="",E4604=0),0,C4604*D4604/E4604)</f>
        <v>0</v>
      </c>
      <c r="G4604" s="42"/>
      <c r="H4604" s="49" t="n">
        <f aca="true">IF(OR($A4604="",_xlfn.MINIFS($B$3:$B$5000,$A$3:$A$5000,$A4604,$B$3:$B$5000,"&gt;"&amp;$B4604)=0),NOW(),_xlfn.MINIFS($B$3:$B$5000,$A$3:$A$5000,$A4604,$B$3:$B$5000,"&gt;"&amp;$B4604))</f>
        <v>46279.5987645168</v>
      </c>
    </row>
    <row r="4605" customFormat="false" ht="15" hidden="false" customHeight="true" outlineLevel="0" collapsed="false">
      <c r="A4605" s="42"/>
      <c r="B4605" s="42"/>
      <c r="C4605" s="42"/>
      <c r="D4605" s="42"/>
      <c r="E4605" s="42"/>
      <c r="F4605" s="51" t="n">
        <f aca="false">IF(OR(C4605="",D4605="",E4605="",E4605=0),0,C4605*D4605/E4605)</f>
        <v>0</v>
      </c>
      <c r="G4605" s="42"/>
      <c r="H4605" s="49" t="n">
        <f aca="true">IF(OR($A4605="",_xlfn.MINIFS($B$3:$B$5000,$A$3:$A$5000,$A4605,$B$3:$B$5000,"&gt;"&amp;$B4605)=0),NOW(),_xlfn.MINIFS($B$3:$B$5000,$A$3:$A$5000,$A4605,$B$3:$B$5000,"&gt;"&amp;$B4605))</f>
        <v>46279.5987645169</v>
      </c>
    </row>
    <row r="4606" customFormat="false" ht="15" hidden="false" customHeight="true" outlineLevel="0" collapsed="false">
      <c r="A4606" s="42"/>
      <c r="B4606" s="42"/>
      <c r="C4606" s="42"/>
      <c r="D4606" s="42"/>
      <c r="E4606" s="42"/>
      <c r="F4606" s="51" t="n">
        <f aca="false">IF(OR(C4606="",D4606="",E4606="",E4606=0),0,C4606*D4606/E4606)</f>
        <v>0</v>
      </c>
      <c r="G4606" s="42"/>
      <c r="H4606" s="49" t="n">
        <f aca="true">IF(OR($A4606="",_xlfn.MINIFS($B$3:$B$5000,$A$3:$A$5000,$A4606,$B$3:$B$5000,"&gt;"&amp;$B4606)=0),NOW(),_xlfn.MINIFS($B$3:$B$5000,$A$3:$A$5000,$A4606,$B$3:$B$5000,"&gt;"&amp;$B4606))</f>
        <v>46279.5987645169</v>
      </c>
    </row>
    <row r="4607" customFormat="false" ht="15" hidden="false" customHeight="true" outlineLevel="0" collapsed="false">
      <c r="A4607" s="42"/>
      <c r="B4607" s="42"/>
      <c r="C4607" s="42"/>
      <c r="D4607" s="42"/>
      <c r="E4607" s="42"/>
      <c r="F4607" s="51" t="n">
        <f aca="false">IF(OR(C4607="",D4607="",E4607="",E4607=0),0,C4607*D4607/E4607)</f>
        <v>0</v>
      </c>
      <c r="G4607" s="42"/>
      <c r="H4607" s="49" t="n">
        <f aca="true">IF(OR($A4607="",_xlfn.MINIFS($B$3:$B$5000,$A$3:$A$5000,$A4607,$B$3:$B$5000,"&gt;"&amp;$B4607)=0),NOW(),_xlfn.MINIFS($B$3:$B$5000,$A$3:$A$5000,$A4607,$B$3:$B$5000,"&gt;"&amp;$B4607))</f>
        <v>46279.598764517</v>
      </c>
    </row>
    <row r="4608" customFormat="false" ht="15" hidden="false" customHeight="true" outlineLevel="0" collapsed="false">
      <c r="A4608" s="42"/>
      <c r="B4608" s="42"/>
      <c r="C4608" s="42"/>
      <c r="D4608" s="42"/>
      <c r="E4608" s="42"/>
      <c r="F4608" s="51" t="n">
        <f aca="false">IF(OR(C4608="",D4608="",E4608="",E4608=0),0,C4608*D4608/E4608)</f>
        <v>0</v>
      </c>
      <c r="G4608" s="42"/>
      <c r="H4608" s="49" t="n">
        <f aca="true">IF(OR($A4608="",_xlfn.MINIFS($B$3:$B$5000,$A$3:$A$5000,$A4608,$B$3:$B$5000,"&gt;"&amp;$B4608)=0),NOW(),_xlfn.MINIFS($B$3:$B$5000,$A$3:$A$5000,$A4608,$B$3:$B$5000,"&gt;"&amp;$B4608))</f>
        <v>46279.598764517</v>
      </c>
    </row>
    <row r="4609" customFormat="false" ht="15" hidden="false" customHeight="true" outlineLevel="0" collapsed="false">
      <c r="A4609" s="42"/>
      <c r="B4609" s="42"/>
      <c r="C4609" s="42"/>
      <c r="D4609" s="42"/>
      <c r="E4609" s="42"/>
      <c r="F4609" s="51" t="n">
        <f aca="false">IF(OR(C4609="",D4609="",E4609="",E4609=0),0,C4609*D4609/E4609)</f>
        <v>0</v>
      </c>
      <c r="G4609" s="42"/>
      <c r="H4609" s="49" t="n">
        <f aca="true">IF(OR($A4609="",_xlfn.MINIFS($B$3:$B$5000,$A$3:$A$5000,$A4609,$B$3:$B$5000,"&gt;"&amp;$B4609)=0),NOW(),_xlfn.MINIFS($B$3:$B$5000,$A$3:$A$5000,$A4609,$B$3:$B$5000,"&gt;"&amp;$B4609))</f>
        <v>46279.5987645171</v>
      </c>
    </row>
    <row r="4610" customFormat="false" ht="15" hidden="false" customHeight="true" outlineLevel="0" collapsed="false">
      <c r="A4610" s="42"/>
      <c r="B4610" s="42"/>
      <c r="C4610" s="42"/>
      <c r="D4610" s="42"/>
      <c r="E4610" s="42"/>
      <c r="F4610" s="51" t="n">
        <f aca="false">IF(OR(C4610="",D4610="",E4610="",E4610=0),0,C4610*D4610/E4610)</f>
        <v>0</v>
      </c>
      <c r="G4610" s="42"/>
      <c r="H4610" s="49" t="n">
        <f aca="true">IF(OR($A4610="",_xlfn.MINIFS($B$3:$B$5000,$A$3:$A$5000,$A4610,$B$3:$B$5000,"&gt;"&amp;$B4610)=0),NOW(),_xlfn.MINIFS($B$3:$B$5000,$A$3:$A$5000,$A4610,$B$3:$B$5000,"&gt;"&amp;$B4610))</f>
        <v>46279.5987645172</v>
      </c>
    </row>
    <row r="4611" customFormat="false" ht="15" hidden="false" customHeight="true" outlineLevel="0" collapsed="false">
      <c r="A4611" s="42"/>
      <c r="B4611" s="42"/>
      <c r="C4611" s="42"/>
      <c r="D4611" s="42"/>
      <c r="E4611" s="42"/>
      <c r="F4611" s="51" t="n">
        <f aca="false">IF(OR(C4611="",D4611="",E4611="",E4611=0),0,C4611*D4611/E4611)</f>
        <v>0</v>
      </c>
      <c r="G4611" s="42"/>
      <c r="H4611" s="49" t="n">
        <f aca="true">IF(OR($A4611="",_xlfn.MINIFS($B$3:$B$5000,$A$3:$A$5000,$A4611,$B$3:$B$5000,"&gt;"&amp;$B4611)=0),NOW(),_xlfn.MINIFS($B$3:$B$5000,$A$3:$A$5000,$A4611,$B$3:$B$5000,"&gt;"&amp;$B4611))</f>
        <v>46279.5987645172</v>
      </c>
    </row>
    <row r="4612" customFormat="false" ht="15" hidden="false" customHeight="true" outlineLevel="0" collapsed="false">
      <c r="A4612" s="42"/>
      <c r="B4612" s="42"/>
      <c r="C4612" s="42"/>
      <c r="D4612" s="42"/>
      <c r="E4612" s="42"/>
      <c r="F4612" s="51" t="n">
        <f aca="false">IF(OR(C4612="",D4612="",E4612="",E4612=0),0,C4612*D4612/E4612)</f>
        <v>0</v>
      </c>
      <c r="G4612" s="42"/>
      <c r="H4612" s="49" t="n">
        <f aca="true">IF(OR($A4612="",_xlfn.MINIFS($B$3:$B$5000,$A$3:$A$5000,$A4612,$B$3:$B$5000,"&gt;"&amp;$B4612)=0),NOW(),_xlfn.MINIFS($B$3:$B$5000,$A$3:$A$5000,$A4612,$B$3:$B$5000,"&gt;"&amp;$B4612))</f>
        <v>46279.5987645173</v>
      </c>
    </row>
    <row r="4613" customFormat="false" ht="15" hidden="false" customHeight="true" outlineLevel="0" collapsed="false">
      <c r="A4613" s="42"/>
      <c r="B4613" s="42"/>
      <c r="C4613" s="42"/>
      <c r="D4613" s="42"/>
      <c r="E4613" s="42"/>
      <c r="F4613" s="51" t="n">
        <f aca="false">IF(OR(C4613="",D4613="",E4613="",E4613=0),0,C4613*D4613/E4613)</f>
        <v>0</v>
      </c>
      <c r="G4613" s="42"/>
      <c r="H4613" s="49" t="n">
        <f aca="true">IF(OR($A4613="",_xlfn.MINIFS($B$3:$B$5000,$A$3:$A$5000,$A4613,$B$3:$B$5000,"&gt;"&amp;$B4613)=0),NOW(),_xlfn.MINIFS($B$3:$B$5000,$A$3:$A$5000,$A4613,$B$3:$B$5000,"&gt;"&amp;$B4613))</f>
        <v>46279.5987645173</v>
      </c>
    </row>
    <row r="4614" customFormat="false" ht="15" hidden="false" customHeight="true" outlineLevel="0" collapsed="false">
      <c r="A4614" s="42"/>
      <c r="B4614" s="42"/>
      <c r="C4614" s="42"/>
      <c r="D4614" s="42"/>
      <c r="E4614" s="42"/>
      <c r="F4614" s="51" t="n">
        <f aca="false">IF(OR(C4614="",D4614="",E4614="",E4614=0),0,C4614*D4614/E4614)</f>
        <v>0</v>
      </c>
      <c r="G4614" s="42"/>
      <c r="H4614" s="49" t="n">
        <f aca="true">IF(OR($A4614="",_xlfn.MINIFS($B$3:$B$5000,$A$3:$A$5000,$A4614,$B$3:$B$5000,"&gt;"&amp;$B4614)=0),NOW(),_xlfn.MINIFS($B$3:$B$5000,$A$3:$A$5000,$A4614,$B$3:$B$5000,"&gt;"&amp;$B4614))</f>
        <v>46279.5987645173</v>
      </c>
    </row>
    <row r="4615" customFormat="false" ht="15" hidden="false" customHeight="true" outlineLevel="0" collapsed="false">
      <c r="A4615" s="42"/>
      <c r="B4615" s="42"/>
      <c r="C4615" s="42"/>
      <c r="D4615" s="42"/>
      <c r="E4615" s="42"/>
      <c r="F4615" s="51" t="n">
        <f aca="false">IF(OR(C4615="",D4615="",E4615="",E4615=0),0,C4615*D4615/E4615)</f>
        <v>0</v>
      </c>
      <c r="G4615" s="42"/>
      <c r="H4615" s="49" t="n">
        <f aca="true">IF(OR($A4615="",_xlfn.MINIFS($B$3:$B$5000,$A$3:$A$5000,$A4615,$B$3:$B$5000,"&gt;"&amp;$B4615)=0),NOW(),_xlfn.MINIFS($B$3:$B$5000,$A$3:$A$5000,$A4615,$B$3:$B$5000,"&gt;"&amp;$B4615))</f>
        <v>46279.5987645174</v>
      </c>
    </row>
    <row r="4616" customFormat="false" ht="15" hidden="false" customHeight="true" outlineLevel="0" collapsed="false">
      <c r="A4616" s="42"/>
      <c r="B4616" s="42"/>
      <c r="C4616" s="42"/>
      <c r="D4616" s="42"/>
      <c r="E4616" s="42"/>
      <c r="F4616" s="51" t="n">
        <f aca="false">IF(OR(C4616="",D4616="",E4616="",E4616=0),0,C4616*D4616/E4616)</f>
        <v>0</v>
      </c>
      <c r="G4616" s="42"/>
      <c r="H4616" s="49" t="n">
        <f aca="true">IF(OR($A4616="",_xlfn.MINIFS($B$3:$B$5000,$A$3:$A$5000,$A4616,$B$3:$B$5000,"&gt;"&amp;$B4616)=0),NOW(),_xlfn.MINIFS($B$3:$B$5000,$A$3:$A$5000,$A4616,$B$3:$B$5000,"&gt;"&amp;$B4616))</f>
        <v>46279.5987645175</v>
      </c>
    </row>
    <row r="4617" customFormat="false" ht="15" hidden="false" customHeight="true" outlineLevel="0" collapsed="false">
      <c r="A4617" s="42"/>
      <c r="B4617" s="42"/>
      <c r="C4617" s="42"/>
      <c r="D4617" s="42"/>
      <c r="E4617" s="42"/>
      <c r="F4617" s="51" t="n">
        <f aca="false">IF(OR(C4617="",D4617="",E4617="",E4617=0),0,C4617*D4617/E4617)</f>
        <v>0</v>
      </c>
      <c r="G4617" s="42"/>
      <c r="H4617" s="49" t="n">
        <f aca="true">IF(OR($A4617="",_xlfn.MINIFS($B$3:$B$5000,$A$3:$A$5000,$A4617,$B$3:$B$5000,"&gt;"&amp;$B4617)=0),NOW(),_xlfn.MINIFS($B$3:$B$5000,$A$3:$A$5000,$A4617,$B$3:$B$5000,"&gt;"&amp;$B4617))</f>
        <v>46279.5987645175</v>
      </c>
    </row>
    <row r="4618" customFormat="false" ht="15" hidden="false" customHeight="true" outlineLevel="0" collapsed="false">
      <c r="A4618" s="42"/>
      <c r="B4618" s="42"/>
      <c r="C4618" s="42"/>
      <c r="D4618" s="42"/>
      <c r="E4618" s="42"/>
      <c r="F4618" s="51" t="n">
        <f aca="false">IF(OR(C4618="",D4618="",E4618="",E4618=0),0,C4618*D4618/E4618)</f>
        <v>0</v>
      </c>
      <c r="G4618" s="42"/>
      <c r="H4618" s="49" t="n">
        <f aca="true">IF(OR($A4618="",_xlfn.MINIFS($B$3:$B$5000,$A$3:$A$5000,$A4618,$B$3:$B$5000,"&gt;"&amp;$B4618)=0),NOW(),_xlfn.MINIFS($B$3:$B$5000,$A$3:$A$5000,$A4618,$B$3:$B$5000,"&gt;"&amp;$B4618))</f>
        <v>46279.5987645176</v>
      </c>
    </row>
    <row r="4619" customFormat="false" ht="15" hidden="false" customHeight="true" outlineLevel="0" collapsed="false">
      <c r="A4619" s="42"/>
      <c r="B4619" s="42"/>
      <c r="C4619" s="42"/>
      <c r="D4619" s="42"/>
      <c r="E4619" s="42"/>
      <c r="F4619" s="51" t="n">
        <f aca="false">IF(OR(C4619="",D4619="",E4619="",E4619=0),0,C4619*D4619/E4619)</f>
        <v>0</v>
      </c>
      <c r="G4619" s="42"/>
      <c r="H4619" s="49" t="n">
        <f aca="true">IF(OR($A4619="",_xlfn.MINIFS($B$3:$B$5000,$A$3:$A$5000,$A4619,$B$3:$B$5000,"&gt;"&amp;$B4619)=0),NOW(),_xlfn.MINIFS($B$3:$B$5000,$A$3:$A$5000,$A4619,$B$3:$B$5000,"&gt;"&amp;$B4619))</f>
        <v>46279.5987645176</v>
      </c>
    </row>
    <row r="4620" customFormat="false" ht="15" hidden="false" customHeight="true" outlineLevel="0" collapsed="false">
      <c r="A4620" s="42"/>
      <c r="B4620" s="42"/>
      <c r="C4620" s="42"/>
      <c r="D4620" s="42"/>
      <c r="E4620" s="42"/>
      <c r="F4620" s="51" t="n">
        <f aca="false">IF(OR(C4620="",D4620="",E4620="",E4620=0),0,C4620*D4620/E4620)</f>
        <v>0</v>
      </c>
      <c r="G4620" s="42"/>
      <c r="H4620" s="49" t="n">
        <f aca="true">IF(OR($A4620="",_xlfn.MINIFS($B$3:$B$5000,$A$3:$A$5000,$A4620,$B$3:$B$5000,"&gt;"&amp;$B4620)=0),NOW(),_xlfn.MINIFS($B$3:$B$5000,$A$3:$A$5000,$A4620,$B$3:$B$5000,"&gt;"&amp;$B4620))</f>
        <v>46279.5987645176</v>
      </c>
    </row>
    <row r="4621" customFormat="false" ht="15" hidden="false" customHeight="true" outlineLevel="0" collapsed="false">
      <c r="A4621" s="42"/>
      <c r="B4621" s="42"/>
      <c r="C4621" s="42"/>
      <c r="D4621" s="42"/>
      <c r="E4621" s="42"/>
      <c r="F4621" s="51" t="n">
        <f aca="false">IF(OR(C4621="",D4621="",E4621="",E4621=0),0,C4621*D4621/E4621)</f>
        <v>0</v>
      </c>
      <c r="G4621" s="42"/>
      <c r="H4621" s="49" t="n">
        <f aca="true">IF(OR($A4621="",_xlfn.MINIFS($B$3:$B$5000,$A$3:$A$5000,$A4621,$B$3:$B$5000,"&gt;"&amp;$B4621)=0),NOW(),_xlfn.MINIFS($B$3:$B$5000,$A$3:$A$5000,$A4621,$B$3:$B$5000,"&gt;"&amp;$B4621))</f>
        <v>46279.5987645177</v>
      </c>
    </row>
    <row r="4622" customFormat="false" ht="15" hidden="false" customHeight="true" outlineLevel="0" collapsed="false">
      <c r="A4622" s="42"/>
      <c r="B4622" s="42"/>
      <c r="C4622" s="42"/>
      <c r="D4622" s="42"/>
      <c r="E4622" s="42"/>
      <c r="F4622" s="51" t="n">
        <f aca="false">IF(OR(C4622="",D4622="",E4622="",E4622=0),0,C4622*D4622/E4622)</f>
        <v>0</v>
      </c>
      <c r="G4622" s="42"/>
      <c r="H4622" s="49" t="n">
        <f aca="true">IF(OR($A4622="",_xlfn.MINIFS($B$3:$B$5000,$A$3:$A$5000,$A4622,$B$3:$B$5000,"&gt;"&amp;$B4622)=0),NOW(),_xlfn.MINIFS($B$3:$B$5000,$A$3:$A$5000,$A4622,$B$3:$B$5000,"&gt;"&amp;$B4622))</f>
        <v>46279.5987645179</v>
      </c>
    </row>
    <row r="4623" customFormat="false" ht="15" hidden="false" customHeight="true" outlineLevel="0" collapsed="false">
      <c r="A4623" s="42"/>
      <c r="B4623" s="42"/>
      <c r="C4623" s="42"/>
      <c r="D4623" s="42"/>
      <c r="E4623" s="42"/>
      <c r="F4623" s="51" t="n">
        <f aca="false">IF(OR(C4623="",D4623="",E4623="",E4623=0),0,C4623*D4623/E4623)</f>
        <v>0</v>
      </c>
      <c r="G4623" s="42"/>
      <c r="H4623" s="49" t="n">
        <f aca="true">IF(OR($A4623="",_xlfn.MINIFS($B$3:$B$5000,$A$3:$A$5000,$A4623,$B$3:$B$5000,"&gt;"&amp;$B4623)=0),NOW(),_xlfn.MINIFS($B$3:$B$5000,$A$3:$A$5000,$A4623,$B$3:$B$5000,"&gt;"&amp;$B4623))</f>
        <v>46279.5987645179</v>
      </c>
    </row>
    <row r="4624" customFormat="false" ht="15" hidden="false" customHeight="true" outlineLevel="0" collapsed="false">
      <c r="A4624" s="42"/>
      <c r="B4624" s="42"/>
      <c r="C4624" s="42"/>
      <c r="D4624" s="42"/>
      <c r="E4624" s="42"/>
      <c r="F4624" s="51" t="n">
        <f aca="false">IF(OR(C4624="",D4624="",E4624="",E4624=0),0,C4624*D4624/E4624)</f>
        <v>0</v>
      </c>
      <c r="G4624" s="42"/>
      <c r="H4624" s="49" t="n">
        <f aca="true">IF(OR($A4624="",_xlfn.MINIFS($B$3:$B$5000,$A$3:$A$5000,$A4624,$B$3:$B$5000,"&gt;"&amp;$B4624)=0),NOW(),_xlfn.MINIFS($B$3:$B$5000,$A$3:$A$5000,$A4624,$B$3:$B$5000,"&gt;"&amp;$B4624))</f>
        <v>46279.598764518</v>
      </c>
    </row>
    <row r="4625" customFormat="false" ht="15" hidden="false" customHeight="true" outlineLevel="0" collapsed="false">
      <c r="A4625" s="42"/>
      <c r="B4625" s="42"/>
      <c r="C4625" s="42"/>
      <c r="D4625" s="42"/>
      <c r="E4625" s="42"/>
      <c r="F4625" s="51" t="n">
        <f aca="false">IF(OR(C4625="",D4625="",E4625="",E4625=0),0,C4625*D4625/E4625)</f>
        <v>0</v>
      </c>
      <c r="G4625" s="42"/>
      <c r="H4625" s="49" t="n">
        <f aca="true">IF(OR($A4625="",_xlfn.MINIFS($B$3:$B$5000,$A$3:$A$5000,$A4625,$B$3:$B$5000,"&gt;"&amp;$B4625)=0),NOW(),_xlfn.MINIFS($B$3:$B$5000,$A$3:$A$5000,$A4625,$B$3:$B$5000,"&gt;"&amp;$B4625))</f>
        <v>46279.598764518</v>
      </c>
    </row>
    <row r="4626" customFormat="false" ht="15" hidden="false" customHeight="true" outlineLevel="0" collapsed="false">
      <c r="A4626" s="42"/>
      <c r="B4626" s="42"/>
      <c r="C4626" s="42"/>
      <c r="D4626" s="42"/>
      <c r="E4626" s="42"/>
      <c r="F4626" s="51" t="n">
        <f aca="false">IF(OR(C4626="",D4626="",E4626="",E4626=0),0,C4626*D4626/E4626)</f>
        <v>0</v>
      </c>
      <c r="G4626" s="42"/>
      <c r="H4626" s="49" t="n">
        <f aca="true">IF(OR($A4626="",_xlfn.MINIFS($B$3:$B$5000,$A$3:$A$5000,$A4626,$B$3:$B$5000,"&gt;"&amp;$B4626)=0),NOW(),_xlfn.MINIFS($B$3:$B$5000,$A$3:$A$5000,$A4626,$B$3:$B$5000,"&gt;"&amp;$B4626))</f>
        <v>46279.5987645181</v>
      </c>
    </row>
    <row r="4627" customFormat="false" ht="15" hidden="false" customHeight="true" outlineLevel="0" collapsed="false">
      <c r="A4627" s="42"/>
      <c r="B4627" s="42"/>
      <c r="C4627" s="42"/>
      <c r="D4627" s="42"/>
      <c r="E4627" s="42"/>
      <c r="F4627" s="51" t="n">
        <f aca="false">IF(OR(C4627="",D4627="",E4627="",E4627=0),0,C4627*D4627/E4627)</f>
        <v>0</v>
      </c>
      <c r="G4627" s="42"/>
      <c r="H4627" s="49" t="n">
        <f aca="true">IF(OR($A4627="",_xlfn.MINIFS($B$3:$B$5000,$A$3:$A$5000,$A4627,$B$3:$B$5000,"&gt;"&amp;$B4627)=0),NOW(),_xlfn.MINIFS($B$3:$B$5000,$A$3:$A$5000,$A4627,$B$3:$B$5000,"&gt;"&amp;$B4627))</f>
        <v>46279.5987645181</v>
      </c>
    </row>
    <row r="4628" customFormat="false" ht="15" hidden="false" customHeight="true" outlineLevel="0" collapsed="false">
      <c r="A4628" s="42"/>
      <c r="B4628" s="42"/>
      <c r="C4628" s="42"/>
      <c r="D4628" s="42"/>
      <c r="E4628" s="42"/>
      <c r="F4628" s="51" t="n">
        <f aca="false">IF(OR(C4628="",D4628="",E4628="",E4628=0),0,C4628*D4628/E4628)</f>
        <v>0</v>
      </c>
      <c r="G4628" s="42"/>
      <c r="H4628" s="49" t="n">
        <f aca="true">IF(OR($A4628="",_xlfn.MINIFS($B$3:$B$5000,$A$3:$A$5000,$A4628,$B$3:$B$5000,"&gt;"&amp;$B4628)=0),NOW(),_xlfn.MINIFS($B$3:$B$5000,$A$3:$A$5000,$A4628,$B$3:$B$5000,"&gt;"&amp;$B4628))</f>
        <v>46279.5987645182</v>
      </c>
    </row>
    <row r="4629" customFormat="false" ht="15" hidden="false" customHeight="true" outlineLevel="0" collapsed="false">
      <c r="A4629" s="42"/>
      <c r="B4629" s="42"/>
      <c r="C4629" s="42"/>
      <c r="D4629" s="42"/>
      <c r="E4629" s="42"/>
      <c r="F4629" s="51" t="n">
        <f aca="false">IF(OR(C4629="",D4629="",E4629="",E4629=0),0,C4629*D4629/E4629)</f>
        <v>0</v>
      </c>
      <c r="G4629" s="42"/>
      <c r="H4629" s="49" t="n">
        <f aca="true">IF(OR($A4629="",_xlfn.MINIFS($B$3:$B$5000,$A$3:$A$5000,$A4629,$B$3:$B$5000,"&gt;"&amp;$B4629)=0),NOW(),_xlfn.MINIFS($B$3:$B$5000,$A$3:$A$5000,$A4629,$B$3:$B$5000,"&gt;"&amp;$B4629))</f>
        <v>46279.5987645183</v>
      </c>
    </row>
    <row r="4630" customFormat="false" ht="15" hidden="false" customHeight="true" outlineLevel="0" collapsed="false">
      <c r="A4630" s="42"/>
      <c r="B4630" s="42"/>
      <c r="C4630" s="42"/>
      <c r="D4630" s="42"/>
      <c r="E4630" s="42"/>
      <c r="F4630" s="51" t="n">
        <f aca="false">IF(OR(C4630="",D4630="",E4630="",E4630=0),0,C4630*D4630/E4630)</f>
        <v>0</v>
      </c>
      <c r="G4630" s="42"/>
      <c r="H4630" s="49" t="n">
        <f aca="true">IF(OR($A4630="",_xlfn.MINIFS($B$3:$B$5000,$A$3:$A$5000,$A4630,$B$3:$B$5000,"&gt;"&amp;$B4630)=0),NOW(),_xlfn.MINIFS($B$3:$B$5000,$A$3:$A$5000,$A4630,$B$3:$B$5000,"&gt;"&amp;$B4630))</f>
        <v>46279.5987645183</v>
      </c>
    </row>
    <row r="4631" customFormat="false" ht="15" hidden="false" customHeight="true" outlineLevel="0" collapsed="false">
      <c r="A4631" s="42"/>
      <c r="B4631" s="42"/>
      <c r="C4631" s="42"/>
      <c r="D4631" s="42"/>
      <c r="E4631" s="42"/>
      <c r="F4631" s="51" t="n">
        <f aca="false">IF(OR(C4631="",D4631="",E4631="",E4631=0),0,C4631*D4631/E4631)</f>
        <v>0</v>
      </c>
      <c r="G4631" s="42"/>
      <c r="H4631" s="49" t="n">
        <f aca="true">IF(OR($A4631="",_xlfn.MINIFS($B$3:$B$5000,$A$3:$A$5000,$A4631,$B$3:$B$5000,"&gt;"&amp;$B4631)=0),NOW(),_xlfn.MINIFS($B$3:$B$5000,$A$3:$A$5000,$A4631,$B$3:$B$5000,"&gt;"&amp;$B4631))</f>
        <v>46279.5987645184</v>
      </c>
    </row>
    <row r="4632" customFormat="false" ht="15" hidden="false" customHeight="true" outlineLevel="0" collapsed="false">
      <c r="A4632" s="42"/>
      <c r="B4632" s="42"/>
      <c r="C4632" s="42"/>
      <c r="D4632" s="42"/>
      <c r="E4632" s="42"/>
      <c r="F4632" s="51" t="n">
        <f aca="false">IF(OR(C4632="",D4632="",E4632="",E4632=0),0,C4632*D4632/E4632)</f>
        <v>0</v>
      </c>
      <c r="G4632" s="42"/>
      <c r="H4632" s="49" t="n">
        <f aca="true">IF(OR($A4632="",_xlfn.MINIFS($B$3:$B$5000,$A$3:$A$5000,$A4632,$B$3:$B$5000,"&gt;"&amp;$B4632)=0),NOW(),_xlfn.MINIFS($B$3:$B$5000,$A$3:$A$5000,$A4632,$B$3:$B$5000,"&gt;"&amp;$B4632))</f>
        <v>46279.5987645184</v>
      </c>
    </row>
    <row r="4633" customFormat="false" ht="15" hidden="false" customHeight="true" outlineLevel="0" collapsed="false">
      <c r="A4633" s="42"/>
      <c r="B4633" s="42"/>
      <c r="C4633" s="42"/>
      <c r="D4633" s="42"/>
      <c r="E4633" s="42"/>
      <c r="F4633" s="51" t="n">
        <f aca="false">IF(OR(C4633="",D4633="",E4633="",E4633=0),0,C4633*D4633/E4633)</f>
        <v>0</v>
      </c>
      <c r="G4633" s="42"/>
      <c r="H4633" s="49" t="n">
        <f aca="true">IF(OR($A4633="",_xlfn.MINIFS($B$3:$B$5000,$A$3:$A$5000,$A4633,$B$3:$B$5000,"&gt;"&amp;$B4633)=0),NOW(),_xlfn.MINIFS($B$3:$B$5000,$A$3:$A$5000,$A4633,$B$3:$B$5000,"&gt;"&amp;$B4633))</f>
        <v>46279.5987645185</v>
      </c>
    </row>
    <row r="4634" customFormat="false" ht="15" hidden="false" customHeight="true" outlineLevel="0" collapsed="false">
      <c r="A4634" s="42"/>
      <c r="B4634" s="42"/>
      <c r="C4634" s="42"/>
      <c r="D4634" s="42"/>
      <c r="E4634" s="42"/>
      <c r="F4634" s="51" t="n">
        <f aca="false">IF(OR(C4634="",D4634="",E4634="",E4634=0),0,C4634*D4634/E4634)</f>
        <v>0</v>
      </c>
      <c r="G4634" s="42"/>
      <c r="H4634" s="49" t="n">
        <f aca="true">IF(OR($A4634="",_xlfn.MINIFS($B$3:$B$5000,$A$3:$A$5000,$A4634,$B$3:$B$5000,"&gt;"&amp;$B4634)=0),NOW(),_xlfn.MINIFS($B$3:$B$5000,$A$3:$A$5000,$A4634,$B$3:$B$5000,"&gt;"&amp;$B4634))</f>
        <v>46279.5987645185</v>
      </c>
    </row>
    <row r="4635" customFormat="false" ht="15" hidden="false" customHeight="true" outlineLevel="0" collapsed="false">
      <c r="A4635" s="42"/>
      <c r="B4635" s="42"/>
      <c r="C4635" s="42"/>
      <c r="D4635" s="42"/>
      <c r="E4635" s="42"/>
      <c r="F4635" s="51" t="n">
        <f aca="false">IF(OR(C4635="",D4635="",E4635="",E4635=0),0,C4635*D4635/E4635)</f>
        <v>0</v>
      </c>
      <c r="G4635" s="42"/>
      <c r="H4635" s="49" t="n">
        <f aca="true">IF(OR($A4635="",_xlfn.MINIFS($B$3:$B$5000,$A$3:$A$5000,$A4635,$B$3:$B$5000,"&gt;"&amp;$B4635)=0),NOW(),_xlfn.MINIFS($B$3:$B$5000,$A$3:$A$5000,$A4635,$B$3:$B$5000,"&gt;"&amp;$B4635))</f>
        <v>46279.5987645186</v>
      </c>
    </row>
    <row r="4636" customFormat="false" ht="15" hidden="false" customHeight="true" outlineLevel="0" collapsed="false">
      <c r="A4636" s="42"/>
      <c r="B4636" s="42"/>
      <c r="C4636" s="42"/>
      <c r="D4636" s="42"/>
      <c r="E4636" s="42"/>
      <c r="F4636" s="51" t="n">
        <f aca="false">IF(OR(C4636="",D4636="",E4636="",E4636=0),0,C4636*D4636/E4636)</f>
        <v>0</v>
      </c>
      <c r="G4636" s="42"/>
      <c r="H4636" s="49" t="n">
        <f aca="true">IF(OR($A4636="",_xlfn.MINIFS($B$3:$B$5000,$A$3:$A$5000,$A4636,$B$3:$B$5000,"&gt;"&amp;$B4636)=0),NOW(),_xlfn.MINIFS($B$3:$B$5000,$A$3:$A$5000,$A4636,$B$3:$B$5000,"&gt;"&amp;$B4636))</f>
        <v>46279.5987645186</v>
      </c>
    </row>
    <row r="4637" customFormat="false" ht="15" hidden="false" customHeight="true" outlineLevel="0" collapsed="false">
      <c r="A4637" s="42"/>
      <c r="B4637" s="42"/>
      <c r="C4637" s="42"/>
      <c r="D4637" s="42"/>
      <c r="E4637" s="42"/>
      <c r="F4637" s="51" t="n">
        <f aca="false">IF(OR(C4637="",D4637="",E4637="",E4637=0),0,C4637*D4637/E4637)</f>
        <v>0</v>
      </c>
      <c r="G4637" s="42"/>
      <c r="H4637" s="49" t="n">
        <f aca="true">IF(OR($A4637="",_xlfn.MINIFS($B$3:$B$5000,$A$3:$A$5000,$A4637,$B$3:$B$5000,"&gt;"&amp;$B4637)=0),NOW(),_xlfn.MINIFS($B$3:$B$5000,$A$3:$A$5000,$A4637,$B$3:$B$5000,"&gt;"&amp;$B4637))</f>
        <v>46279.5987645187</v>
      </c>
    </row>
    <row r="4638" customFormat="false" ht="15" hidden="false" customHeight="true" outlineLevel="0" collapsed="false">
      <c r="A4638" s="42"/>
      <c r="B4638" s="42"/>
      <c r="C4638" s="42"/>
      <c r="D4638" s="42"/>
      <c r="E4638" s="42"/>
      <c r="F4638" s="51" t="n">
        <f aca="false">IF(OR(C4638="",D4638="",E4638="",E4638=0),0,C4638*D4638/E4638)</f>
        <v>0</v>
      </c>
      <c r="G4638" s="42"/>
      <c r="H4638" s="49" t="n">
        <f aca="true">IF(OR($A4638="",_xlfn.MINIFS($B$3:$B$5000,$A$3:$A$5000,$A4638,$B$3:$B$5000,"&gt;"&amp;$B4638)=0),NOW(),_xlfn.MINIFS($B$3:$B$5000,$A$3:$A$5000,$A4638,$B$3:$B$5000,"&gt;"&amp;$B4638))</f>
        <v>46279.5987645187</v>
      </c>
    </row>
    <row r="4639" customFormat="false" ht="15" hidden="false" customHeight="true" outlineLevel="0" collapsed="false">
      <c r="A4639" s="42"/>
      <c r="B4639" s="42"/>
      <c r="C4639" s="42"/>
      <c r="D4639" s="42"/>
      <c r="E4639" s="42"/>
      <c r="F4639" s="51" t="n">
        <f aca="false">IF(OR(C4639="",D4639="",E4639="",E4639=0),0,C4639*D4639/E4639)</f>
        <v>0</v>
      </c>
      <c r="G4639" s="42"/>
      <c r="H4639" s="49" t="n">
        <f aca="true">IF(OR($A4639="",_xlfn.MINIFS($B$3:$B$5000,$A$3:$A$5000,$A4639,$B$3:$B$5000,"&gt;"&amp;$B4639)=0),NOW(),_xlfn.MINIFS($B$3:$B$5000,$A$3:$A$5000,$A4639,$B$3:$B$5000,"&gt;"&amp;$B4639))</f>
        <v>46279.5987645188</v>
      </c>
    </row>
    <row r="4640" customFormat="false" ht="15" hidden="false" customHeight="true" outlineLevel="0" collapsed="false">
      <c r="A4640" s="42"/>
      <c r="B4640" s="42"/>
      <c r="C4640" s="42"/>
      <c r="D4640" s="42"/>
      <c r="E4640" s="42"/>
      <c r="F4640" s="51" t="n">
        <f aca="false">IF(OR(C4640="",D4640="",E4640="",E4640=0),0,C4640*D4640/E4640)</f>
        <v>0</v>
      </c>
      <c r="G4640" s="42"/>
      <c r="H4640" s="49" t="n">
        <f aca="true">IF(OR($A4640="",_xlfn.MINIFS($B$3:$B$5000,$A$3:$A$5000,$A4640,$B$3:$B$5000,"&gt;"&amp;$B4640)=0),NOW(),_xlfn.MINIFS($B$3:$B$5000,$A$3:$A$5000,$A4640,$B$3:$B$5000,"&gt;"&amp;$B4640))</f>
        <v>46279.5987645188</v>
      </c>
    </row>
    <row r="4641" customFormat="false" ht="15" hidden="false" customHeight="true" outlineLevel="0" collapsed="false">
      <c r="A4641" s="42"/>
      <c r="B4641" s="42"/>
      <c r="C4641" s="42"/>
      <c r="D4641" s="42"/>
      <c r="E4641" s="42"/>
      <c r="F4641" s="51" t="n">
        <f aca="false">IF(OR(C4641="",D4641="",E4641="",E4641=0),0,C4641*D4641/E4641)</f>
        <v>0</v>
      </c>
      <c r="G4641" s="42"/>
      <c r="H4641" s="49" t="n">
        <f aca="true">IF(OR($A4641="",_xlfn.MINIFS($B$3:$B$5000,$A$3:$A$5000,$A4641,$B$3:$B$5000,"&gt;"&amp;$B4641)=0),NOW(),_xlfn.MINIFS($B$3:$B$5000,$A$3:$A$5000,$A4641,$B$3:$B$5000,"&gt;"&amp;$B4641))</f>
        <v>46279.5987645189</v>
      </c>
    </row>
    <row r="4642" customFormat="false" ht="15" hidden="false" customHeight="true" outlineLevel="0" collapsed="false">
      <c r="A4642" s="42"/>
      <c r="B4642" s="42"/>
      <c r="C4642" s="42"/>
      <c r="D4642" s="42"/>
      <c r="E4642" s="42"/>
      <c r="F4642" s="51" t="n">
        <f aca="false">IF(OR(C4642="",D4642="",E4642="",E4642=0),0,C4642*D4642/E4642)</f>
        <v>0</v>
      </c>
      <c r="G4642" s="42"/>
      <c r="H4642" s="49" t="n">
        <f aca="true">IF(OR($A4642="",_xlfn.MINIFS($B$3:$B$5000,$A$3:$A$5000,$A4642,$B$3:$B$5000,"&gt;"&amp;$B4642)=0),NOW(),_xlfn.MINIFS($B$3:$B$5000,$A$3:$A$5000,$A4642,$B$3:$B$5000,"&gt;"&amp;$B4642))</f>
        <v>46279.5987645189</v>
      </c>
    </row>
    <row r="4643" customFormat="false" ht="15" hidden="false" customHeight="true" outlineLevel="0" collapsed="false">
      <c r="A4643" s="42"/>
      <c r="B4643" s="42"/>
      <c r="C4643" s="42"/>
      <c r="D4643" s="42"/>
      <c r="E4643" s="42"/>
      <c r="F4643" s="51" t="n">
        <f aca="false">IF(OR(C4643="",D4643="",E4643="",E4643=0),0,C4643*D4643/E4643)</f>
        <v>0</v>
      </c>
      <c r="G4643" s="42"/>
      <c r="H4643" s="49" t="n">
        <f aca="true">IF(OR($A4643="",_xlfn.MINIFS($B$3:$B$5000,$A$3:$A$5000,$A4643,$B$3:$B$5000,"&gt;"&amp;$B4643)=0),NOW(),_xlfn.MINIFS($B$3:$B$5000,$A$3:$A$5000,$A4643,$B$3:$B$5000,"&gt;"&amp;$B4643))</f>
        <v>46279.598764519</v>
      </c>
    </row>
    <row r="4644" customFormat="false" ht="15" hidden="false" customHeight="true" outlineLevel="0" collapsed="false">
      <c r="A4644" s="42"/>
      <c r="B4644" s="42"/>
      <c r="C4644" s="42"/>
      <c r="D4644" s="42"/>
      <c r="E4644" s="42"/>
      <c r="F4644" s="51" t="n">
        <f aca="false">IF(OR(C4644="",D4644="",E4644="",E4644=0),0,C4644*D4644/E4644)</f>
        <v>0</v>
      </c>
      <c r="G4644" s="42"/>
      <c r="H4644" s="49" t="n">
        <f aca="true">IF(OR($A4644="",_xlfn.MINIFS($B$3:$B$5000,$A$3:$A$5000,$A4644,$B$3:$B$5000,"&gt;"&amp;$B4644)=0),NOW(),_xlfn.MINIFS($B$3:$B$5000,$A$3:$A$5000,$A4644,$B$3:$B$5000,"&gt;"&amp;$B4644))</f>
        <v>46279.598764519</v>
      </c>
    </row>
    <row r="4645" customFormat="false" ht="15" hidden="false" customHeight="true" outlineLevel="0" collapsed="false">
      <c r="A4645" s="42"/>
      <c r="B4645" s="42"/>
      <c r="C4645" s="42"/>
      <c r="D4645" s="42"/>
      <c r="E4645" s="42"/>
      <c r="F4645" s="51" t="n">
        <f aca="false">IF(OR(C4645="",D4645="",E4645="",E4645=0),0,C4645*D4645/E4645)</f>
        <v>0</v>
      </c>
      <c r="G4645" s="42"/>
      <c r="H4645" s="49" t="n">
        <f aca="true">IF(OR($A4645="",_xlfn.MINIFS($B$3:$B$5000,$A$3:$A$5000,$A4645,$B$3:$B$5000,"&gt;"&amp;$B4645)=0),NOW(),_xlfn.MINIFS($B$3:$B$5000,$A$3:$A$5000,$A4645,$B$3:$B$5000,"&gt;"&amp;$B4645))</f>
        <v>46279.5987645191</v>
      </c>
    </row>
    <row r="4646" customFormat="false" ht="15" hidden="false" customHeight="true" outlineLevel="0" collapsed="false">
      <c r="A4646" s="42"/>
      <c r="B4646" s="42"/>
      <c r="C4646" s="42"/>
      <c r="D4646" s="42"/>
      <c r="E4646" s="42"/>
      <c r="F4646" s="51" t="n">
        <f aca="false">IF(OR(C4646="",D4646="",E4646="",E4646=0),0,C4646*D4646/E4646)</f>
        <v>0</v>
      </c>
      <c r="G4646" s="42"/>
      <c r="H4646" s="49" t="n">
        <f aca="true">IF(OR($A4646="",_xlfn.MINIFS($B$3:$B$5000,$A$3:$A$5000,$A4646,$B$3:$B$5000,"&gt;"&amp;$B4646)=0),NOW(),_xlfn.MINIFS($B$3:$B$5000,$A$3:$A$5000,$A4646,$B$3:$B$5000,"&gt;"&amp;$B4646))</f>
        <v>46279.5987645191</v>
      </c>
    </row>
    <row r="4647" customFormat="false" ht="15" hidden="false" customHeight="true" outlineLevel="0" collapsed="false">
      <c r="A4647" s="42"/>
      <c r="B4647" s="42"/>
      <c r="C4647" s="42"/>
      <c r="D4647" s="42"/>
      <c r="E4647" s="42"/>
      <c r="F4647" s="51" t="n">
        <f aca="false">IF(OR(C4647="",D4647="",E4647="",E4647=0),0,C4647*D4647/E4647)</f>
        <v>0</v>
      </c>
      <c r="G4647" s="42"/>
      <c r="H4647" s="49" t="n">
        <f aca="true">IF(OR($A4647="",_xlfn.MINIFS($B$3:$B$5000,$A$3:$A$5000,$A4647,$B$3:$B$5000,"&gt;"&amp;$B4647)=0),NOW(),_xlfn.MINIFS($B$3:$B$5000,$A$3:$A$5000,$A4647,$B$3:$B$5000,"&gt;"&amp;$B4647))</f>
        <v>46279.5987645192</v>
      </c>
    </row>
    <row r="4648" customFormat="false" ht="15" hidden="false" customHeight="true" outlineLevel="0" collapsed="false">
      <c r="A4648" s="42"/>
      <c r="B4648" s="42"/>
      <c r="C4648" s="42"/>
      <c r="D4648" s="42"/>
      <c r="E4648" s="42"/>
      <c r="F4648" s="51" t="n">
        <f aca="false">IF(OR(C4648="",D4648="",E4648="",E4648=0),0,C4648*D4648/E4648)</f>
        <v>0</v>
      </c>
      <c r="G4648" s="42"/>
      <c r="H4648" s="49" t="n">
        <f aca="true">IF(OR($A4648="",_xlfn.MINIFS($B$3:$B$5000,$A$3:$A$5000,$A4648,$B$3:$B$5000,"&gt;"&amp;$B4648)=0),NOW(),_xlfn.MINIFS($B$3:$B$5000,$A$3:$A$5000,$A4648,$B$3:$B$5000,"&gt;"&amp;$B4648))</f>
        <v>46279.5987645192</v>
      </c>
    </row>
    <row r="4649" customFormat="false" ht="15" hidden="false" customHeight="true" outlineLevel="0" collapsed="false">
      <c r="A4649" s="42"/>
      <c r="B4649" s="42"/>
      <c r="C4649" s="42"/>
      <c r="D4649" s="42"/>
      <c r="E4649" s="42"/>
      <c r="F4649" s="51" t="n">
        <f aca="false">IF(OR(C4649="",D4649="",E4649="",E4649=0),0,C4649*D4649/E4649)</f>
        <v>0</v>
      </c>
      <c r="G4649" s="42"/>
      <c r="H4649" s="49" t="n">
        <f aca="true">IF(OR($A4649="",_xlfn.MINIFS($B$3:$B$5000,$A$3:$A$5000,$A4649,$B$3:$B$5000,"&gt;"&amp;$B4649)=0),NOW(),_xlfn.MINIFS($B$3:$B$5000,$A$3:$A$5000,$A4649,$B$3:$B$5000,"&gt;"&amp;$B4649))</f>
        <v>46279.5987645193</v>
      </c>
    </row>
    <row r="4650" customFormat="false" ht="15" hidden="false" customHeight="true" outlineLevel="0" collapsed="false">
      <c r="A4650" s="42"/>
      <c r="B4650" s="42"/>
      <c r="C4650" s="42"/>
      <c r="D4650" s="42"/>
      <c r="E4650" s="42"/>
      <c r="F4650" s="51" t="n">
        <f aca="false">IF(OR(C4650="",D4650="",E4650="",E4650=0),0,C4650*D4650/E4650)</f>
        <v>0</v>
      </c>
      <c r="G4650" s="42"/>
      <c r="H4650" s="49" t="n">
        <f aca="true">IF(OR($A4650="",_xlfn.MINIFS($B$3:$B$5000,$A$3:$A$5000,$A4650,$B$3:$B$5000,"&gt;"&amp;$B4650)=0),NOW(),_xlfn.MINIFS($B$3:$B$5000,$A$3:$A$5000,$A4650,$B$3:$B$5000,"&gt;"&amp;$B4650))</f>
        <v>46279.5987645193</v>
      </c>
    </row>
    <row r="4651" customFormat="false" ht="15" hidden="false" customHeight="true" outlineLevel="0" collapsed="false">
      <c r="A4651" s="42"/>
      <c r="B4651" s="42"/>
      <c r="C4651" s="42"/>
      <c r="D4651" s="42"/>
      <c r="E4651" s="42"/>
      <c r="F4651" s="51" t="n">
        <f aca="false">IF(OR(C4651="",D4651="",E4651="",E4651=0),0,C4651*D4651/E4651)</f>
        <v>0</v>
      </c>
      <c r="G4651" s="42"/>
      <c r="H4651" s="49" t="n">
        <f aca="true">IF(OR($A4651="",_xlfn.MINIFS($B$3:$B$5000,$A$3:$A$5000,$A4651,$B$3:$B$5000,"&gt;"&amp;$B4651)=0),NOW(),_xlfn.MINIFS($B$3:$B$5000,$A$3:$A$5000,$A4651,$B$3:$B$5000,"&gt;"&amp;$B4651))</f>
        <v>46279.5987645194</v>
      </c>
    </row>
    <row r="4652" customFormat="false" ht="15" hidden="false" customHeight="true" outlineLevel="0" collapsed="false">
      <c r="A4652" s="42"/>
      <c r="B4652" s="42"/>
      <c r="C4652" s="42"/>
      <c r="D4652" s="42"/>
      <c r="E4652" s="42"/>
      <c r="F4652" s="51" t="n">
        <f aca="false">IF(OR(C4652="",D4652="",E4652="",E4652=0),0,C4652*D4652/E4652)</f>
        <v>0</v>
      </c>
      <c r="G4652" s="42"/>
      <c r="H4652" s="49" t="n">
        <f aca="true">IF(OR($A4652="",_xlfn.MINIFS($B$3:$B$5000,$A$3:$A$5000,$A4652,$B$3:$B$5000,"&gt;"&amp;$B4652)=0),NOW(),_xlfn.MINIFS($B$3:$B$5000,$A$3:$A$5000,$A4652,$B$3:$B$5000,"&gt;"&amp;$B4652))</f>
        <v>46279.5987645194</v>
      </c>
    </row>
    <row r="4653" customFormat="false" ht="15" hidden="false" customHeight="true" outlineLevel="0" collapsed="false">
      <c r="A4653" s="42"/>
      <c r="B4653" s="42"/>
      <c r="C4653" s="42"/>
      <c r="D4653" s="42"/>
      <c r="E4653" s="42"/>
      <c r="F4653" s="51" t="n">
        <f aca="false">IF(OR(C4653="",D4653="",E4653="",E4653=0),0,C4653*D4653/E4653)</f>
        <v>0</v>
      </c>
      <c r="G4653" s="42"/>
      <c r="H4653" s="49" t="n">
        <f aca="true">IF(OR($A4653="",_xlfn.MINIFS($B$3:$B$5000,$A$3:$A$5000,$A4653,$B$3:$B$5000,"&gt;"&amp;$B4653)=0),NOW(),_xlfn.MINIFS($B$3:$B$5000,$A$3:$A$5000,$A4653,$B$3:$B$5000,"&gt;"&amp;$B4653))</f>
        <v>46279.5987645195</v>
      </c>
    </row>
    <row r="4654" customFormat="false" ht="15" hidden="false" customHeight="true" outlineLevel="0" collapsed="false">
      <c r="A4654" s="42"/>
      <c r="B4654" s="42"/>
      <c r="C4654" s="42"/>
      <c r="D4654" s="42"/>
      <c r="E4654" s="42"/>
      <c r="F4654" s="51" t="n">
        <f aca="false">IF(OR(C4654="",D4654="",E4654="",E4654=0),0,C4654*D4654/E4654)</f>
        <v>0</v>
      </c>
      <c r="G4654" s="42"/>
      <c r="H4654" s="49" t="n">
        <f aca="true">IF(OR($A4654="",_xlfn.MINIFS($B$3:$B$5000,$A$3:$A$5000,$A4654,$B$3:$B$5000,"&gt;"&amp;$B4654)=0),NOW(),_xlfn.MINIFS($B$3:$B$5000,$A$3:$A$5000,$A4654,$B$3:$B$5000,"&gt;"&amp;$B4654))</f>
        <v>46279.5987645195</v>
      </c>
    </row>
    <row r="4655" customFormat="false" ht="15" hidden="false" customHeight="true" outlineLevel="0" collapsed="false">
      <c r="A4655" s="42"/>
      <c r="B4655" s="42"/>
      <c r="C4655" s="42"/>
      <c r="D4655" s="42"/>
      <c r="E4655" s="42"/>
      <c r="F4655" s="51" t="n">
        <f aca="false">IF(OR(C4655="",D4655="",E4655="",E4655=0),0,C4655*D4655/E4655)</f>
        <v>0</v>
      </c>
      <c r="G4655" s="42"/>
      <c r="H4655" s="49" t="n">
        <f aca="true">IF(OR($A4655="",_xlfn.MINIFS($B$3:$B$5000,$A$3:$A$5000,$A4655,$B$3:$B$5000,"&gt;"&amp;$B4655)=0),NOW(),_xlfn.MINIFS($B$3:$B$5000,$A$3:$A$5000,$A4655,$B$3:$B$5000,"&gt;"&amp;$B4655))</f>
        <v>46279.5987645196</v>
      </c>
    </row>
    <row r="4656" customFormat="false" ht="15" hidden="false" customHeight="true" outlineLevel="0" collapsed="false">
      <c r="A4656" s="42"/>
      <c r="B4656" s="42"/>
      <c r="C4656" s="42"/>
      <c r="D4656" s="42"/>
      <c r="E4656" s="42"/>
      <c r="F4656" s="51" t="n">
        <f aca="false">IF(OR(C4656="",D4656="",E4656="",E4656=0),0,C4656*D4656/E4656)</f>
        <v>0</v>
      </c>
      <c r="G4656" s="42"/>
      <c r="H4656" s="49" t="n">
        <f aca="true">IF(OR($A4656="",_xlfn.MINIFS($B$3:$B$5000,$A$3:$A$5000,$A4656,$B$3:$B$5000,"&gt;"&amp;$B4656)=0),NOW(),_xlfn.MINIFS($B$3:$B$5000,$A$3:$A$5000,$A4656,$B$3:$B$5000,"&gt;"&amp;$B4656))</f>
        <v>46279.5987645196</v>
      </c>
    </row>
    <row r="4657" customFormat="false" ht="15" hidden="false" customHeight="true" outlineLevel="0" collapsed="false">
      <c r="A4657" s="42"/>
      <c r="B4657" s="42"/>
      <c r="C4657" s="42"/>
      <c r="D4657" s="42"/>
      <c r="E4657" s="42"/>
      <c r="F4657" s="51" t="n">
        <f aca="false">IF(OR(C4657="",D4657="",E4657="",E4657=0),0,C4657*D4657/E4657)</f>
        <v>0</v>
      </c>
      <c r="G4657" s="42"/>
      <c r="H4657" s="49" t="n">
        <f aca="true">IF(OR($A4657="",_xlfn.MINIFS($B$3:$B$5000,$A$3:$A$5000,$A4657,$B$3:$B$5000,"&gt;"&amp;$B4657)=0),NOW(),_xlfn.MINIFS($B$3:$B$5000,$A$3:$A$5000,$A4657,$B$3:$B$5000,"&gt;"&amp;$B4657))</f>
        <v>46279.5987645197</v>
      </c>
    </row>
    <row r="4658" customFormat="false" ht="15" hidden="false" customHeight="true" outlineLevel="0" collapsed="false">
      <c r="A4658" s="42"/>
      <c r="B4658" s="42"/>
      <c r="C4658" s="42"/>
      <c r="D4658" s="42"/>
      <c r="E4658" s="42"/>
      <c r="F4658" s="51" t="n">
        <f aca="false">IF(OR(C4658="",D4658="",E4658="",E4658=0),0,C4658*D4658/E4658)</f>
        <v>0</v>
      </c>
      <c r="G4658" s="42"/>
      <c r="H4658" s="49" t="n">
        <f aca="true">IF(OR($A4658="",_xlfn.MINIFS($B$3:$B$5000,$A$3:$A$5000,$A4658,$B$3:$B$5000,"&gt;"&amp;$B4658)=0),NOW(),_xlfn.MINIFS($B$3:$B$5000,$A$3:$A$5000,$A4658,$B$3:$B$5000,"&gt;"&amp;$B4658))</f>
        <v>46279.5987645197</v>
      </c>
    </row>
    <row r="4659" customFormat="false" ht="15" hidden="false" customHeight="true" outlineLevel="0" collapsed="false">
      <c r="A4659" s="42"/>
      <c r="B4659" s="42"/>
      <c r="C4659" s="42"/>
      <c r="D4659" s="42"/>
      <c r="E4659" s="42"/>
      <c r="F4659" s="51" t="n">
        <f aca="false">IF(OR(C4659="",D4659="",E4659="",E4659=0),0,C4659*D4659/E4659)</f>
        <v>0</v>
      </c>
      <c r="G4659" s="42"/>
      <c r="H4659" s="49" t="n">
        <f aca="true">IF(OR($A4659="",_xlfn.MINIFS($B$3:$B$5000,$A$3:$A$5000,$A4659,$B$3:$B$5000,"&gt;"&amp;$B4659)=0),NOW(),_xlfn.MINIFS($B$3:$B$5000,$A$3:$A$5000,$A4659,$B$3:$B$5000,"&gt;"&amp;$B4659))</f>
        <v>46279.5987645198</v>
      </c>
    </row>
    <row r="4660" customFormat="false" ht="15" hidden="false" customHeight="true" outlineLevel="0" collapsed="false">
      <c r="A4660" s="42"/>
      <c r="B4660" s="42"/>
      <c r="C4660" s="42"/>
      <c r="D4660" s="42"/>
      <c r="E4660" s="42"/>
      <c r="F4660" s="51" t="n">
        <f aca="false">IF(OR(C4660="",D4660="",E4660="",E4660=0),0,C4660*D4660/E4660)</f>
        <v>0</v>
      </c>
      <c r="G4660" s="42"/>
      <c r="H4660" s="49" t="n">
        <f aca="true">IF(OR($A4660="",_xlfn.MINIFS($B$3:$B$5000,$A$3:$A$5000,$A4660,$B$3:$B$5000,"&gt;"&amp;$B4660)=0),NOW(),_xlfn.MINIFS($B$3:$B$5000,$A$3:$A$5000,$A4660,$B$3:$B$5000,"&gt;"&amp;$B4660))</f>
        <v>46279.5987645198</v>
      </c>
    </row>
    <row r="4661" customFormat="false" ht="15" hidden="false" customHeight="true" outlineLevel="0" collapsed="false">
      <c r="A4661" s="42"/>
      <c r="B4661" s="42"/>
      <c r="C4661" s="42"/>
      <c r="D4661" s="42"/>
      <c r="E4661" s="42"/>
      <c r="F4661" s="51" t="n">
        <f aca="false">IF(OR(C4661="",D4661="",E4661="",E4661=0),0,C4661*D4661/E4661)</f>
        <v>0</v>
      </c>
      <c r="G4661" s="42"/>
      <c r="H4661" s="49" t="n">
        <f aca="true">IF(OR($A4661="",_xlfn.MINIFS($B$3:$B$5000,$A$3:$A$5000,$A4661,$B$3:$B$5000,"&gt;"&amp;$B4661)=0),NOW(),_xlfn.MINIFS($B$3:$B$5000,$A$3:$A$5000,$A4661,$B$3:$B$5000,"&gt;"&amp;$B4661))</f>
        <v>46279.5987645199</v>
      </c>
    </row>
    <row r="4662" customFormat="false" ht="15" hidden="false" customHeight="true" outlineLevel="0" collapsed="false">
      <c r="A4662" s="42"/>
      <c r="B4662" s="42"/>
      <c r="C4662" s="42"/>
      <c r="D4662" s="42"/>
      <c r="E4662" s="42"/>
      <c r="F4662" s="51" t="n">
        <f aca="false">IF(OR(C4662="",D4662="",E4662="",E4662=0),0,C4662*D4662/E4662)</f>
        <v>0</v>
      </c>
      <c r="G4662" s="42"/>
      <c r="H4662" s="49" t="n">
        <f aca="true">IF(OR($A4662="",_xlfn.MINIFS($B$3:$B$5000,$A$3:$A$5000,$A4662,$B$3:$B$5000,"&gt;"&amp;$B4662)=0),NOW(),_xlfn.MINIFS($B$3:$B$5000,$A$3:$A$5000,$A4662,$B$3:$B$5000,"&gt;"&amp;$B4662))</f>
        <v>46279.5987645199</v>
      </c>
    </row>
    <row r="4663" customFormat="false" ht="15" hidden="false" customHeight="true" outlineLevel="0" collapsed="false">
      <c r="A4663" s="42"/>
      <c r="B4663" s="42"/>
      <c r="C4663" s="42"/>
      <c r="D4663" s="42"/>
      <c r="E4663" s="42"/>
      <c r="F4663" s="51" t="n">
        <f aca="false">IF(OR(C4663="",D4663="",E4663="",E4663=0),0,C4663*D4663/E4663)</f>
        <v>0</v>
      </c>
      <c r="G4663" s="42"/>
      <c r="H4663" s="49" t="n">
        <f aca="true">IF(OR($A4663="",_xlfn.MINIFS($B$3:$B$5000,$A$3:$A$5000,$A4663,$B$3:$B$5000,"&gt;"&amp;$B4663)=0),NOW(),_xlfn.MINIFS($B$3:$B$5000,$A$3:$A$5000,$A4663,$B$3:$B$5000,"&gt;"&amp;$B4663))</f>
        <v>46279.59876452</v>
      </c>
    </row>
    <row r="4664" customFormat="false" ht="15" hidden="false" customHeight="true" outlineLevel="0" collapsed="false">
      <c r="A4664" s="42"/>
      <c r="B4664" s="42"/>
      <c r="C4664" s="42"/>
      <c r="D4664" s="42"/>
      <c r="E4664" s="42"/>
      <c r="F4664" s="51" t="n">
        <f aca="false">IF(OR(C4664="",D4664="",E4664="",E4664=0),0,C4664*D4664/E4664)</f>
        <v>0</v>
      </c>
      <c r="G4664" s="42"/>
      <c r="H4664" s="49" t="n">
        <f aca="true">IF(OR($A4664="",_xlfn.MINIFS($B$3:$B$5000,$A$3:$A$5000,$A4664,$B$3:$B$5000,"&gt;"&amp;$B4664)=0),NOW(),_xlfn.MINIFS($B$3:$B$5000,$A$3:$A$5000,$A4664,$B$3:$B$5000,"&gt;"&amp;$B4664))</f>
        <v>46279.59876452</v>
      </c>
    </row>
    <row r="4665" customFormat="false" ht="15" hidden="false" customHeight="true" outlineLevel="0" collapsed="false">
      <c r="A4665" s="42"/>
      <c r="B4665" s="42"/>
      <c r="C4665" s="42"/>
      <c r="D4665" s="42"/>
      <c r="E4665" s="42"/>
      <c r="F4665" s="51" t="n">
        <f aca="false">IF(OR(C4665="",D4665="",E4665="",E4665=0),0,C4665*D4665/E4665)</f>
        <v>0</v>
      </c>
      <c r="G4665" s="42"/>
      <c r="H4665" s="49" t="n">
        <f aca="true">IF(OR($A4665="",_xlfn.MINIFS($B$3:$B$5000,$A$3:$A$5000,$A4665,$B$3:$B$5000,"&gt;"&amp;$B4665)=0),NOW(),_xlfn.MINIFS($B$3:$B$5000,$A$3:$A$5000,$A4665,$B$3:$B$5000,"&gt;"&amp;$B4665))</f>
        <v>46279.5987645201</v>
      </c>
    </row>
    <row r="4666" customFormat="false" ht="15" hidden="false" customHeight="true" outlineLevel="0" collapsed="false">
      <c r="A4666" s="42"/>
      <c r="B4666" s="42"/>
      <c r="C4666" s="42"/>
      <c r="D4666" s="42"/>
      <c r="E4666" s="42"/>
      <c r="F4666" s="51" t="n">
        <f aca="false">IF(OR(C4666="",D4666="",E4666="",E4666=0),0,C4666*D4666/E4666)</f>
        <v>0</v>
      </c>
      <c r="G4666" s="42"/>
      <c r="H4666" s="49" t="n">
        <f aca="true">IF(OR($A4666="",_xlfn.MINIFS($B$3:$B$5000,$A$3:$A$5000,$A4666,$B$3:$B$5000,"&gt;"&amp;$B4666)=0),NOW(),_xlfn.MINIFS($B$3:$B$5000,$A$3:$A$5000,$A4666,$B$3:$B$5000,"&gt;"&amp;$B4666))</f>
        <v>46279.5987645201</v>
      </c>
    </row>
    <row r="4667" customFormat="false" ht="15" hidden="false" customHeight="true" outlineLevel="0" collapsed="false">
      <c r="A4667" s="42"/>
      <c r="B4667" s="42"/>
      <c r="C4667" s="42"/>
      <c r="D4667" s="42"/>
      <c r="E4667" s="42"/>
      <c r="F4667" s="51" t="n">
        <f aca="false">IF(OR(C4667="",D4667="",E4667="",E4667=0),0,C4667*D4667/E4667)</f>
        <v>0</v>
      </c>
      <c r="G4667" s="42"/>
      <c r="H4667" s="49" t="n">
        <f aca="true">IF(OR($A4667="",_xlfn.MINIFS($B$3:$B$5000,$A$3:$A$5000,$A4667,$B$3:$B$5000,"&gt;"&amp;$B4667)=0),NOW(),_xlfn.MINIFS($B$3:$B$5000,$A$3:$A$5000,$A4667,$B$3:$B$5000,"&gt;"&amp;$B4667))</f>
        <v>46279.5987645202</v>
      </c>
    </row>
    <row r="4668" customFormat="false" ht="15" hidden="false" customHeight="true" outlineLevel="0" collapsed="false">
      <c r="A4668" s="42"/>
      <c r="B4668" s="42"/>
      <c r="C4668" s="42"/>
      <c r="D4668" s="42"/>
      <c r="E4668" s="42"/>
      <c r="F4668" s="51" t="n">
        <f aca="false">IF(OR(C4668="",D4668="",E4668="",E4668=0),0,C4668*D4668/E4668)</f>
        <v>0</v>
      </c>
      <c r="G4668" s="42"/>
      <c r="H4668" s="49" t="n">
        <f aca="true">IF(OR($A4668="",_xlfn.MINIFS($B$3:$B$5000,$A$3:$A$5000,$A4668,$B$3:$B$5000,"&gt;"&amp;$B4668)=0),NOW(),_xlfn.MINIFS($B$3:$B$5000,$A$3:$A$5000,$A4668,$B$3:$B$5000,"&gt;"&amp;$B4668))</f>
        <v>46279.5987645202</v>
      </c>
    </row>
    <row r="4669" customFormat="false" ht="15" hidden="false" customHeight="true" outlineLevel="0" collapsed="false">
      <c r="A4669" s="42"/>
      <c r="B4669" s="42"/>
      <c r="C4669" s="42"/>
      <c r="D4669" s="42"/>
      <c r="E4669" s="42"/>
      <c r="F4669" s="51" t="n">
        <f aca="false">IF(OR(C4669="",D4669="",E4669="",E4669=0),0,C4669*D4669/E4669)</f>
        <v>0</v>
      </c>
      <c r="G4669" s="42"/>
      <c r="H4669" s="49" t="n">
        <f aca="true">IF(OR($A4669="",_xlfn.MINIFS($B$3:$B$5000,$A$3:$A$5000,$A4669,$B$3:$B$5000,"&gt;"&amp;$B4669)=0),NOW(),_xlfn.MINIFS($B$3:$B$5000,$A$3:$A$5000,$A4669,$B$3:$B$5000,"&gt;"&amp;$B4669))</f>
        <v>46279.5987645203</v>
      </c>
    </row>
    <row r="4670" customFormat="false" ht="15" hidden="false" customHeight="true" outlineLevel="0" collapsed="false">
      <c r="A4670" s="42"/>
      <c r="B4670" s="42"/>
      <c r="C4670" s="42"/>
      <c r="D4670" s="42"/>
      <c r="E4670" s="42"/>
      <c r="F4670" s="51" t="n">
        <f aca="false">IF(OR(C4670="",D4670="",E4670="",E4670=0),0,C4670*D4670/E4670)</f>
        <v>0</v>
      </c>
      <c r="G4670" s="42"/>
      <c r="H4670" s="49" t="n">
        <f aca="true">IF(OR($A4670="",_xlfn.MINIFS($B$3:$B$5000,$A$3:$A$5000,$A4670,$B$3:$B$5000,"&gt;"&amp;$B4670)=0),NOW(),_xlfn.MINIFS($B$3:$B$5000,$A$3:$A$5000,$A4670,$B$3:$B$5000,"&gt;"&amp;$B4670))</f>
        <v>46279.5987645203</v>
      </c>
    </row>
    <row r="4671" customFormat="false" ht="15" hidden="false" customHeight="true" outlineLevel="0" collapsed="false">
      <c r="A4671" s="42"/>
      <c r="B4671" s="42"/>
      <c r="C4671" s="42"/>
      <c r="D4671" s="42"/>
      <c r="E4671" s="42"/>
      <c r="F4671" s="51" t="n">
        <f aca="false">IF(OR(C4671="",D4671="",E4671="",E4671=0),0,C4671*D4671/E4671)</f>
        <v>0</v>
      </c>
      <c r="G4671" s="42"/>
      <c r="H4671" s="49" t="n">
        <f aca="true">IF(OR($A4671="",_xlfn.MINIFS($B$3:$B$5000,$A$3:$A$5000,$A4671,$B$3:$B$5000,"&gt;"&amp;$B4671)=0),NOW(),_xlfn.MINIFS($B$3:$B$5000,$A$3:$A$5000,$A4671,$B$3:$B$5000,"&gt;"&amp;$B4671))</f>
        <v>46279.5987645204</v>
      </c>
    </row>
    <row r="4672" customFormat="false" ht="15" hidden="false" customHeight="true" outlineLevel="0" collapsed="false">
      <c r="A4672" s="42"/>
      <c r="B4672" s="42"/>
      <c r="C4672" s="42"/>
      <c r="D4672" s="42"/>
      <c r="E4672" s="42"/>
      <c r="F4672" s="51" t="n">
        <f aca="false">IF(OR(C4672="",D4672="",E4672="",E4672=0),0,C4672*D4672/E4672)</f>
        <v>0</v>
      </c>
      <c r="G4672" s="42"/>
      <c r="H4672" s="49" t="n">
        <f aca="true">IF(OR($A4672="",_xlfn.MINIFS($B$3:$B$5000,$A$3:$A$5000,$A4672,$B$3:$B$5000,"&gt;"&amp;$B4672)=0),NOW(),_xlfn.MINIFS($B$3:$B$5000,$A$3:$A$5000,$A4672,$B$3:$B$5000,"&gt;"&amp;$B4672))</f>
        <v>46279.5987645204</v>
      </c>
    </row>
    <row r="4673" customFormat="false" ht="15" hidden="false" customHeight="true" outlineLevel="0" collapsed="false">
      <c r="A4673" s="42"/>
      <c r="B4673" s="42"/>
      <c r="C4673" s="42"/>
      <c r="D4673" s="42"/>
      <c r="E4673" s="42"/>
      <c r="F4673" s="51" t="n">
        <f aca="false">IF(OR(C4673="",D4673="",E4673="",E4673=0),0,C4673*D4673/E4673)</f>
        <v>0</v>
      </c>
      <c r="G4673" s="42"/>
      <c r="H4673" s="49" t="n">
        <f aca="true">IF(OR($A4673="",_xlfn.MINIFS($B$3:$B$5000,$A$3:$A$5000,$A4673,$B$3:$B$5000,"&gt;"&amp;$B4673)=0),NOW(),_xlfn.MINIFS($B$3:$B$5000,$A$3:$A$5000,$A4673,$B$3:$B$5000,"&gt;"&amp;$B4673))</f>
        <v>46279.5987645205</v>
      </c>
    </row>
    <row r="4674" customFormat="false" ht="15" hidden="false" customHeight="true" outlineLevel="0" collapsed="false">
      <c r="A4674" s="42"/>
      <c r="B4674" s="42"/>
      <c r="C4674" s="42"/>
      <c r="D4674" s="42"/>
      <c r="E4674" s="42"/>
      <c r="F4674" s="51" t="n">
        <f aca="false">IF(OR(C4674="",D4674="",E4674="",E4674=0),0,C4674*D4674/E4674)</f>
        <v>0</v>
      </c>
      <c r="G4674" s="42"/>
      <c r="H4674" s="49" t="n">
        <f aca="true">IF(OR($A4674="",_xlfn.MINIFS($B$3:$B$5000,$A$3:$A$5000,$A4674,$B$3:$B$5000,"&gt;"&amp;$B4674)=0),NOW(),_xlfn.MINIFS($B$3:$B$5000,$A$3:$A$5000,$A4674,$B$3:$B$5000,"&gt;"&amp;$B4674))</f>
        <v>46279.5987645205</v>
      </c>
    </row>
    <row r="4675" customFormat="false" ht="15" hidden="false" customHeight="true" outlineLevel="0" collapsed="false">
      <c r="A4675" s="42"/>
      <c r="B4675" s="42"/>
      <c r="C4675" s="42"/>
      <c r="D4675" s="42"/>
      <c r="E4675" s="42"/>
      <c r="F4675" s="51" t="n">
        <f aca="false">IF(OR(C4675="",D4675="",E4675="",E4675=0),0,C4675*D4675/E4675)</f>
        <v>0</v>
      </c>
      <c r="G4675" s="42"/>
      <c r="H4675" s="49" t="n">
        <f aca="true">IF(OR($A4675="",_xlfn.MINIFS($B$3:$B$5000,$A$3:$A$5000,$A4675,$B$3:$B$5000,"&gt;"&amp;$B4675)=0),NOW(),_xlfn.MINIFS($B$3:$B$5000,$A$3:$A$5000,$A4675,$B$3:$B$5000,"&gt;"&amp;$B4675))</f>
        <v>46279.5987645206</v>
      </c>
    </row>
    <row r="4676" customFormat="false" ht="15" hidden="false" customHeight="true" outlineLevel="0" collapsed="false">
      <c r="A4676" s="42"/>
      <c r="B4676" s="42"/>
      <c r="C4676" s="42"/>
      <c r="D4676" s="42"/>
      <c r="E4676" s="42"/>
      <c r="F4676" s="51" t="n">
        <f aca="false">IF(OR(C4676="",D4676="",E4676="",E4676=0),0,C4676*D4676/E4676)</f>
        <v>0</v>
      </c>
      <c r="G4676" s="42"/>
      <c r="H4676" s="49" t="n">
        <f aca="true">IF(OR($A4676="",_xlfn.MINIFS($B$3:$B$5000,$A$3:$A$5000,$A4676,$B$3:$B$5000,"&gt;"&amp;$B4676)=0),NOW(),_xlfn.MINIFS($B$3:$B$5000,$A$3:$A$5000,$A4676,$B$3:$B$5000,"&gt;"&amp;$B4676))</f>
        <v>46279.5987645206</v>
      </c>
    </row>
    <row r="4677" customFormat="false" ht="15" hidden="false" customHeight="true" outlineLevel="0" collapsed="false">
      <c r="A4677" s="42"/>
      <c r="B4677" s="42"/>
      <c r="C4677" s="42"/>
      <c r="D4677" s="42"/>
      <c r="E4677" s="42"/>
      <c r="F4677" s="51" t="n">
        <f aca="false">IF(OR(C4677="",D4677="",E4677="",E4677=0),0,C4677*D4677/E4677)</f>
        <v>0</v>
      </c>
      <c r="G4677" s="42"/>
      <c r="H4677" s="49" t="n">
        <f aca="true">IF(OR($A4677="",_xlfn.MINIFS($B$3:$B$5000,$A$3:$A$5000,$A4677,$B$3:$B$5000,"&gt;"&amp;$B4677)=0),NOW(),_xlfn.MINIFS($B$3:$B$5000,$A$3:$A$5000,$A4677,$B$3:$B$5000,"&gt;"&amp;$B4677))</f>
        <v>46279.5987645207</v>
      </c>
    </row>
    <row r="4678" customFormat="false" ht="15" hidden="false" customHeight="true" outlineLevel="0" collapsed="false">
      <c r="A4678" s="42"/>
      <c r="B4678" s="42"/>
      <c r="C4678" s="42"/>
      <c r="D4678" s="42"/>
      <c r="E4678" s="42"/>
      <c r="F4678" s="51" t="n">
        <f aca="false">IF(OR(C4678="",D4678="",E4678="",E4678=0),0,C4678*D4678/E4678)</f>
        <v>0</v>
      </c>
      <c r="G4678" s="42"/>
      <c r="H4678" s="49" t="n">
        <f aca="true">IF(OR($A4678="",_xlfn.MINIFS($B$3:$B$5000,$A$3:$A$5000,$A4678,$B$3:$B$5000,"&gt;"&amp;$B4678)=0),NOW(),_xlfn.MINIFS($B$3:$B$5000,$A$3:$A$5000,$A4678,$B$3:$B$5000,"&gt;"&amp;$B4678))</f>
        <v>46279.5987645207</v>
      </c>
    </row>
    <row r="4679" customFormat="false" ht="15" hidden="false" customHeight="true" outlineLevel="0" collapsed="false">
      <c r="A4679" s="42"/>
      <c r="B4679" s="42"/>
      <c r="C4679" s="42"/>
      <c r="D4679" s="42"/>
      <c r="E4679" s="42"/>
      <c r="F4679" s="51" t="n">
        <f aca="false">IF(OR(C4679="",D4679="",E4679="",E4679=0),0,C4679*D4679/E4679)</f>
        <v>0</v>
      </c>
      <c r="G4679" s="42"/>
      <c r="H4679" s="49" t="n">
        <f aca="true">IF(OR($A4679="",_xlfn.MINIFS($B$3:$B$5000,$A$3:$A$5000,$A4679,$B$3:$B$5000,"&gt;"&amp;$B4679)=0),NOW(),_xlfn.MINIFS($B$3:$B$5000,$A$3:$A$5000,$A4679,$B$3:$B$5000,"&gt;"&amp;$B4679))</f>
        <v>46279.5987645208</v>
      </c>
    </row>
    <row r="4680" customFormat="false" ht="15" hidden="false" customHeight="true" outlineLevel="0" collapsed="false">
      <c r="A4680" s="42"/>
      <c r="B4680" s="42"/>
      <c r="C4680" s="42"/>
      <c r="D4680" s="42"/>
      <c r="E4680" s="42"/>
      <c r="F4680" s="51" t="n">
        <f aca="false">IF(OR(C4680="",D4680="",E4680="",E4680=0),0,C4680*D4680/E4680)</f>
        <v>0</v>
      </c>
      <c r="G4680" s="42"/>
      <c r="H4680" s="49" t="n">
        <f aca="true">IF(OR($A4680="",_xlfn.MINIFS($B$3:$B$5000,$A$3:$A$5000,$A4680,$B$3:$B$5000,"&gt;"&amp;$B4680)=0),NOW(),_xlfn.MINIFS($B$3:$B$5000,$A$3:$A$5000,$A4680,$B$3:$B$5000,"&gt;"&amp;$B4680))</f>
        <v>46279.5987645208</v>
      </c>
    </row>
    <row r="4681" customFormat="false" ht="15" hidden="false" customHeight="true" outlineLevel="0" collapsed="false">
      <c r="A4681" s="42"/>
      <c r="B4681" s="42"/>
      <c r="C4681" s="42"/>
      <c r="D4681" s="42"/>
      <c r="E4681" s="42"/>
      <c r="F4681" s="51" t="n">
        <f aca="false">IF(OR(C4681="",D4681="",E4681="",E4681=0),0,C4681*D4681/E4681)</f>
        <v>0</v>
      </c>
      <c r="G4681" s="42"/>
      <c r="H4681" s="49" t="n">
        <f aca="true">IF(OR($A4681="",_xlfn.MINIFS($B$3:$B$5000,$A$3:$A$5000,$A4681,$B$3:$B$5000,"&gt;"&amp;$B4681)=0),NOW(),_xlfn.MINIFS($B$3:$B$5000,$A$3:$A$5000,$A4681,$B$3:$B$5000,"&gt;"&amp;$B4681))</f>
        <v>46279.5987645209</v>
      </c>
    </row>
    <row r="4682" customFormat="false" ht="15" hidden="false" customHeight="true" outlineLevel="0" collapsed="false">
      <c r="A4682" s="42"/>
      <c r="B4682" s="42"/>
      <c r="C4682" s="42"/>
      <c r="D4682" s="42"/>
      <c r="E4682" s="42"/>
      <c r="F4682" s="51" t="n">
        <f aca="false">IF(OR(C4682="",D4682="",E4682="",E4682=0),0,C4682*D4682/E4682)</f>
        <v>0</v>
      </c>
      <c r="G4682" s="42"/>
      <c r="H4682" s="49" t="n">
        <f aca="true">IF(OR($A4682="",_xlfn.MINIFS($B$3:$B$5000,$A$3:$A$5000,$A4682,$B$3:$B$5000,"&gt;"&amp;$B4682)=0),NOW(),_xlfn.MINIFS($B$3:$B$5000,$A$3:$A$5000,$A4682,$B$3:$B$5000,"&gt;"&amp;$B4682))</f>
        <v>46279.5987645209</v>
      </c>
    </row>
    <row r="4683" customFormat="false" ht="15" hidden="false" customHeight="true" outlineLevel="0" collapsed="false">
      <c r="A4683" s="42"/>
      <c r="B4683" s="42"/>
      <c r="C4683" s="42"/>
      <c r="D4683" s="42"/>
      <c r="E4683" s="42"/>
      <c r="F4683" s="51" t="n">
        <f aca="false">IF(OR(C4683="",D4683="",E4683="",E4683=0),0,C4683*D4683/E4683)</f>
        <v>0</v>
      </c>
      <c r="G4683" s="42"/>
      <c r="H4683" s="49" t="n">
        <f aca="true">IF(OR($A4683="",_xlfn.MINIFS($B$3:$B$5000,$A$3:$A$5000,$A4683,$B$3:$B$5000,"&gt;"&amp;$B4683)=0),NOW(),_xlfn.MINIFS($B$3:$B$5000,$A$3:$A$5000,$A4683,$B$3:$B$5000,"&gt;"&amp;$B4683))</f>
        <v>46279.598764521</v>
      </c>
    </row>
    <row r="4684" customFormat="false" ht="15" hidden="false" customHeight="true" outlineLevel="0" collapsed="false">
      <c r="A4684" s="42"/>
      <c r="B4684" s="42"/>
      <c r="C4684" s="42"/>
      <c r="D4684" s="42"/>
      <c r="E4684" s="42"/>
      <c r="F4684" s="51" t="n">
        <f aca="false">IF(OR(C4684="",D4684="",E4684="",E4684=0),0,C4684*D4684/E4684)</f>
        <v>0</v>
      </c>
      <c r="G4684" s="42"/>
      <c r="H4684" s="49" t="n">
        <f aca="true">IF(OR($A4684="",_xlfn.MINIFS($B$3:$B$5000,$A$3:$A$5000,$A4684,$B$3:$B$5000,"&gt;"&amp;$B4684)=0),NOW(),_xlfn.MINIFS($B$3:$B$5000,$A$3:$A$5000,$A4684,$B$3:$B$5000,"&gt;"&amp;$B4684))</f>
        <v>46279.5987645211</v>
      </c>
    </row>
    <row r="4685" customFormat="false" ht="15" hidden="false" customHeight="true" outlineLevel="0" collapsed="false">
      <c r="A4685" s="42"/>
      <c r="B4685" s="42"/>
      <c r="C4685" s="42"/>
      <c r="D4685" s="42"/>
      <c r="E4685" s="42"/>
      <c r="F4685" s="51" t="n">
        <f aca="false">IF(OR(C4685="",D4685="",E4685="",E4685=0),0,C4685*D4685/E4685)</f>
        <v>0</v>
      </c>
      <c r="G4685" s="42"/>
      <c r="H4685" s="49" t="n">
        <f aca="true">IF(OR($A4685="",_xlfn.MINIFS($B$3:$B$5000,$A$3:$A$5000,$A4685,$B$3:$B$5000,"&gt;"&amp;$B4685)=0),NOW(),_xlfn.MINIFS($B$3:$B$5000,$A$3:$A$5000,$A4685,$B$3:$B$5000,"&gt;"&amp;$B4685))</f>
        <v>46279.5987645211</v>
      </c>
    </row>
    <row r="4686" customFormat="false" ht="15" hidden="false" customHeight="true" outlineLevel="0" collapsed="false">
      <c r="A4686" s="42"/>
      <c r="B4686" s="42"/>
      <c r="C4686" s="42"/>
      <c r="D4686" s="42"/>
      <c r="E4686" s="42"/>
      <c r="F4686" s="51" t="n">
        <f aca="false">IF(OR(C4686="",D4686="",E4686="",E4686=0),0,C4686*D4686/E4686)</f>
        <v>0</v>
      </c>
      <c r="G4686" s="42"/>
      <c r="H4686" s="49" t="n">
        <f aca="true">IF(OR($A4686="",_xlfn.MINIFS($B$3:$B$5000,$A$3:$A$5000,$A4686,$B$3:$B$5000,"&gt;"&amp;$B4686)=0),NOW(),_xlfn.MINIFS($B$3:$B$5000,$A$3:$A$5000,$A4686,$B$3:$B$5000,"&gt;"&amp;$B4686))</f>
        <v>46279.5987645212</v>
      </c>
    </row>
    <row r="4687" customFormat="false" ht="15" hidden="false" customHeight="true" outlineLevel="0" collapsed="false">
      <c r="A4687" s="42"/>
      <c r="B4687" s="42"/>
      <c r="C4687" s="42"/>
      <c r="D4687" s="42"/>
      <c r="E4687" s="42"/>
      <c r="F4687" s="51" t="n">
        <f aca="false">IF(OR(C4687="",D4687="",E4687="",E4687=0),0,C4687*D4687/E4687)</f>
        <v>0</v>
      </c>
      <c r="G4687" s="42"/>
      <c r="H4687" s="49" t="n">
        <f aca="true">IF(OR($A4687="",_xlfn.MINIFS($B$3:$B$5000,$A$3:$A$5000,$A4687,$B$3:$B$5000,"&gt;"&amp;$B4687)=0),NOW(),_xlfn.MINIFS($B$3:$B$5000,$A$3:$A$5000,$A4687,$B$3:$B$5000,"&gt;"&amp;$B4687))</f>
        <v>46279.5987645212</v>
      </c>
    </row>
    <row r="4688" customFormat="false" ht="15" hidden="false" customHeight="true" outlineLevel="0" collapsed="false">
      <c r="A4688" s="42"/>
      <c r="B4688" s="42"/>
      <c r="C4688" s="42"/>
      <c r="D4688" s="42"/>
      <c r="E4688" s="42"/>
      <c r="F4688" s="51" t="n">
        <f aca="false">IF(OR(C4688="",D4688="",E4688="",E4688=0),0,C4688*D4688/E4688)</f>
        <v>0</v>
      </c>
      <c r="G4688" s="42"/>
      <c r="H4688" s="49" t="n">
        <f aca="true">IF(OR($A4688="",_xlfn.MINIFS($B$3:$B$5000,$A$3:$A$5000,$A4688,$B$3:$B$5000,"&gt;"&amp;$B4688)=0),NOW(),_xlfn.MINIFS($B$3:$B$5000,$A$3:$A$5000,$A4688,$B$3:$B$5000,"&gt;"&amp;$B4688))</f>
        <v>46279.5987645213</v>
      </c>
    </row>
    <row r="4689" customFormat="false" ht="15" hidden="false" customHeight="true" outlineLevel="0" collapsed="false">
      <c r="A4689" s="42"/>
      <c r="B4689" s="42"/>
      <c r="C4689" s="42"/>
      <c r="D4689" s="42"/>
      <c r="E4689" s="42"/>
      <c r="F4689" s="51" t="n">
        <f aca="false">IF(OR(C4689="",D4689="",E4689="",E4689=0),0,C4689*D4689/E4689)</f>
        <v>0</v>
      </c>
      <c r="G4689" s="42"/>
      <c r="H4689" s="49" t="n">
        <f aca="true">IF(OR($A4689="",_xlfn.MINIFS($B$3:$B$5000,$A$3:$A$5000,$A4689,$B$3:$B$5000,"&gt;"&amp;$B4689)=0),NOW(),_xlfn.MINIFS($B$3:$B$5000,$A$3:$A$5000,$A4689,$B$3:$B$5000,"&gt;"&amp;$B4689))</f>
        <v>46279.5987645213</v>
      </c>
    </row>
    <row r="4690" customFormat="false" ht="15" hidden="false" customHeight="true" outlineLevel="0" collapsed="false">
      <c r="A4690" s="42"/>
      <c r="B4690" s="42"/>
      <c r="C4690" s="42"/>
      <c r="D4690" s="42"/>
      <c r="E4690" s="42"/>
      <c r="F4690" s="51" t="n">
        <f aca="false">IF(OR(C4690="",D4690="",E4690="",E4690=0),0,C4690*D4690/E4690)</f>
        <v>0</v>
      </c>
      <c r="G4690" s="42"/>
      <c r="H4690" s="49" t="n">
        <f aca="true">IF(OR($A4690="",_xlfn.MINIFS($B$3:$B$5000,$A$3:$A$5000,$A4690,$B$3:$B$5000,"&gt;"&amp;$B4690)=0),NOW(),_xlfn.MINIFS($B$3:$B$5000,$A$3:$A$5000,$A4690,$B$3:$B$5000,"&gt;"&amp;$B4690))</f>
        <v>46279.5987645214</v>
      </c>
    </row>
    <row r="4691" customFormat="false" ht="15" hidden="false" customHeight="true" outlineLevel="0" collapsed="false">
      <c r="A4691" s="42"/>
      <c r="B4691" s="42"/>
      <c r="C4691" s="42"/>
      <c r="D4691" s="42"/>
      <c r="E4691" s="42"/>
      <c r="F4691" s="51" t="n">
        <f aca="false">IF(OR(C4691="",D4691="",E4691="",E4691=0),0,C4691*D4691/E4691)</f>
        <v>0</v>
      </c>
      <c r="G4691" s="42"/>
      <c r="H4691" s="49" t="n">
        <f aca="true">IF(OR($A4691="",_xlfn.MINIFS($B$3:$B$5000,$A$3:$A$5000,$A4691,$B$3:$B$5000,"&gt;"&amp;$B4691)=0),NOW(),_xlfn.MINIFS($B$3:$B$5000,$A$3:$A$5000,$A4691,$B$3:$B$5000,"&gt;"&amp;$B4691))</f>
        <v>46279.5987645214</v>
      </c>
    </row>
    <row r="4692" customFormat="false" ht="15" hidden="false" customHeight="true" outlineLevel="0" collapsed="false">
      <c r="A4692" s="42"/>
      <c r="B4692" s="42"/>
      <c r="C4692" s="42"/>
      <c r="D4692" s="42"/>
      <c r="E4692" s="42"/>
      <c r="F4692" s="51" t="n">
        <f aca="false">IF(OR(C4692="",D4692="",E4692="",E4692=0),0,C4692*D4692/E4692)</f>
        <v>0</v>
      </c>
      <c r="G4692" s="42"/>
      <c r="H4692" s="49" t="n">
        <f aca="true">IF(OR($A4692="",_xlfn.MINIFS($B$3:$B$5000,$A$3:$A$5000,$A4692,$B$3:$B$5000,"&gt;"&amp;$B4692)=0),NOW(),_xlfn.MINIFS($B$3:$B$5000,$A$3:$A$5000,$A4692,$B$3:$B$5000,"&gt;"&amp;$B4692))</f>
        <v>46279.5987645215</v>
      </c>
    </row>
    <row r="4693" customFormat="false" ht="15" hidden="false" customHeight="true" outlineLevel="0" collapsed="false">
      <c r="A4693" s="42"/>
      <c r="B4693" s="42"/>
      <c r="C4693" s="42"/>
      <c r="D4693" s="42"/>
      <c r="E4693" s="42"/>
      <c r="F4693" s="51" t="n">
        <f aca="false">IF(OR(C4693="",D4693="",E4693="",E4693=0),0,C4693*D4693/E4693)</f>
        <v>0</v>
      </c>
      <c r="G4693" s="42"/>
      <c r="H4693" s="49" t="n">
        <f aca="true">IF(OR($A4693="",_xlfn.MINIFS($B$3:$B$5000,$A$3:$A$5000,$A4693,$B$3:$B$5000,"&gt;"&amp;$B4693)=0),NOW(),_xlfn.MINIFS($B$3:$B$5000,$A$3:$A$5000,$A4693,$B$3:$B$5000,"&gt;"&amp;$B4693))</f>
        <v>46279.5987645215</v>
      </c>
    </row>
    <row r="4694" customFormat="false" ht="15" hidden="false" customHeight="true" outlineLevel="0" collapsed="false">
      <c r="A4694" s="42"/>
      <c r="B4694" s="42"/>
      <c r="C4694" s="42"/>
      <c r="D4694" s="42"/>
      <c r="E4694" s="42"/>
      <c r="F4694" s="51" t="n">
        <f aca="false">IF(OR(C4694="",D4694="",E4694="",E4694=0),0,C4694*D4694/E4694)</f>
        <v>0</v>
      </c>
      <c r="G4694" s="42"/>
      <c r="H4694" s="49" t="n">
        <f aca="true">IF(OR($A4694="",_xlfn.MINIFS($B$3:$B$5000,$A$3:$A$5000,$A4694,$B$3:$B$5000,"&gt;"&amp;$B4694)=0),NOW(),_xlfn.MINIFS($B$3:$B$5000,$A$3:$A$5000,$A4694,$B$3:$B$5000,"&gt;"&amp;$B4694))</f>
        <v>46279.5987645216</v>
      </c>
    </row>
    <row r="4695" customFormat="false" ht="15" hidden="false" customHeight="true" outlineLevel="0" collapsed="false">
      <c r="A4695" s="42"/>
      <c r="B4695" s="42"/>
      <c r="C4695" s="42"/>
      <c r="D4695" s="42"/>
      <c r="E4695" s="42"/>
      <c r="F4695" s="51" t="n">
        <f aca="false">IF(OR(C4695="",D4695="",E4695="",E4695=0),0,C4695*D4695/E4695)</f>
        <v>0</v>
      </c>
      <c r="G4695" s="42"/>
      <c r="H4695" s="49" t="n">
        <f aca="true">IF(OR($A4695="",_xlfn.MINIFS($B$3:$B$5000,$A$3:$A$5000,$A4695,$B$3:$B$5000,"&gt;"&amp;$B4695)=0),NOW(),_xlfn.MINIFS($B$3:$B$5000,$A$3:$A$5000,$A4695,$B$3:$B$5000,"&gt;"&amp;$B4695))</f>
        <v>46279.5987645216</v>
      </c>
    </row>
    <row r="4696" customFormat="false" ht="15" hidden="false" customHeight="true" outlineLevel="0" collapsed="false">
      <c r="A4696" s="42"/>
      <c r="B4696" s="42"/>
      <c r="C4696" s="42"/>
      <c r="D4696" s="42"/>
      <c r="E4696" s="42"/>
      <c r="F4696" s="51" t="n">
        <f aca="false">IF(OR(C4696="",D4696="",E4696="",E4696=0),0,C4696*D4696/E4696)</f>
        <v>0</v>
      </c>
      <c r="G4696" s="42"/>
      <c r="H4696" s="49" t="n">
        <f aca="true">IF(OR($A4696="",_xlfn.MINIFS($B$3:$B$5000,$A$3:$A$5000,$A4696,$B$3:$B$5000,"&gt;"&amp;$B4696)=0),NOW(),_xlfn.MINIFS($B$3:$B$5000,$A$3:$A$5000,$A4696,$B$3:$B$5000,"&gt;"&amp;$B4696))</f>
        <v>46279.5987645217</v>
      </c>
    </row>
    <row r="4697" customFormat="false" ht="15" hidden="false" customHeight="true" outlineLevel="0" collapsed="false">
      <c r="A4697" s="42"/>
      <c r="B4697" s="42"/>
      <c r="C4697" s="42"/>
      <c r="D4697" s="42"/>
      <c r="E4697" s="42"/>
      <c r="F4697" s="51" t="n">
        <f aca="false">IF(OR(C4697="",D4697="",E4697="",E4697=0),0,C4697*D4697/E4697)</f>
        <v>0</v>
      </c>
      <c r="G4697" s="42"/>
      <c r="H4697" s="49" t="n">
        <f aca="true">IF(OR($A4697="",_xlfn.MINIFS($B$3:$B$5000,$A$3:$A$5000,$A4697,$B$3:$B$5000,"&gt;"&amp;$B4697)=0),NOW(),_xlfn.MINIFS($B$3:$B$5000,$A$3:$A$5000,$A4697,$B$3:$B$5000,"&gt;"&amp;$B4697))</f>
        <v>46279.5987645217</v>
      </c>
    </row>
    <row r="4698" customFormat="false" ht="15" hidden="false" customHeight="true" outlineLevel="0" collapsed="false">
      <c r="A4698" s="42"/>
      <c r="B4698" s="42"/>
      <c r="C4698" s="42"/>
      <c r="D4698" s="42"/>
      <c r="E4698" s="42"/>
      <c r="F4698" s="51" t="n">
        <f aca="false">IF(OR(C4698="",D4698="",E4698="",E4698=0),0,C4698*D4698/E4698)</f>
        <v>0</v>
      </c>
      <c r="G4698" s="42"/>
      <c r="H4698" s="49" t="n">
        <f aca="true">IF(OR($A4698="",_xlfn.MINIFS($B$3:$B$5000,$A$3:$A$5000,$A4698,$B$3:$B$5000,"&gt;"&amp;$B4698)=0),NOW(),_xlfn.MINIFS($B$3:$B$5000,$A$3:$A$5000,$A4698,$B$3:$B$5000,"&gt;"&amp;$B4698))</f>
        <v>46279.5987645218</v>
      </c>
    </row>
    <row r="4699" customFormat="false" ht="15" hidden="false" customHeight="true" outlineLevel="0" collapsed="false">
      <c r="A4699" s="42"/>
      <c r="B4699" s="42"/>
      <c r="C4699" s="42"/>
      <c r="D4699" s="42"/>
      <c r="E4699" s="42"/>
      <c r="F4699" s="51" t="n">
        <f aca="false">IF(OR(C4699="",D4699="",E4699="",E4699=0),0,C4699*D4699/E4699)</f>
        <v>0</v>
      </c>
      <c r="G4699" s="42"/>
      <c r="H4699" s="49" t="n">
        <f aca="true">IF(OR($A4699="",_xlfn.MINIFS($B$3:$B$5000,$A$3:$A$5000,$A4699,$B$3:$B$5000,"&gt;"&amp;$B4699)=0),NOW(),_xlfn.MINIFS($B$3:$B$5000,$A$3:$A$5000,$A4699,$B$3:$B$5000,"&gt;"&amp;$B4699))</f>
        <v>46279.5987645218</v>
      </c>
    </row>
    <row r="4700" customFormat="false" ht="15" hidden="false" customHeight="true" outlineLevel="0" collapsed="false">
      <c r="A4700" s="42"/>
      <c r="B4700" s="42"/>
      <c r="C4700" s="42"/>
      <c r="D4700" s="42"/>
      <c r="E4700" s="42"/>
      <c r="F4700" s="51" t="n">
        <f aca="false">IF(OR(C4700="",D4700="",E4700="",E4700=0),0,C4700*D4700/E4700)</f>
        <v>0</v>
      </c>
      <c r="G4700" s="42"/>
      <c r="H4700" s="49" t="n">
        <f aca="true">IF(OR($A4700="",_xlfn.MINIFS($B$3:$B$5000,$A$3:$A$5000,$A4700,$B$3:$B$5000,"&gt;"&amp;$B4700)=0),NOW(),_xlfn.MINIFS($B$3:$B$5000,$A$3:$A$5000,$A4700,$B$3:$B$5000,"&gt;"&amp;$B4700))</f>
        <v>46279.5987645219</v>
      </c>
    </row>
    <row r="4701" customFormat="false" ht="15" hidden="false" customHeight="true" outlineLevel="0" collapsed="false">
      <c r="A4701" s="42"/>
      <c r="B4701" s="42"/>
      <c r="C4701" s="42"/>
      <c r="D4701" s="42"/>
      <c r="E4701" s="42"/>
      <c r="F4701" s="51" t="n">
        <f aca="false">IF(OR(C4701="",D4701="",E4701="",E4701=0),0,C4701*D4701/E4701)</f>
        <v>0</v>
      </c>
      <c r="G4701" s="42"/>
      <c r="H4701" s="49" t="n">
        <f aca="true">IF(OR($A4701="",_xlfn.MINIFS($B$3:$B$5000,$A$3:$A$5000,$A4701,$B$3:$B$5000,"&gt;"&amp;$B4701)=0),NOW(),_xlfn.MINIFS($B$3:$B$5000,$A$3:$A$5000,$A4701,$B$3:$B$5000,"&gt;"&amp;$B4701))</f>
        <v>46279.598764522</v>
      </c>
    </row>
    <row r="4702" customFormat="false" ht="15" hidden="false" customHeight="true" outlineLevel="0" collapsed="false">
      <c r="A4702" s="42"/>
      <c r="B4702" s="42"/>
      <c r="C4702" s="42"/>
      <c r="D4702" s="42"/>
      <c r="E4702" s="42"/>
      <c r="F4702" s="51" t="n">
        <f aca="false">IF(OR(C4702="",D4702="",E4702="",E4702=0),0,C4702*D4702/E4702)</f>
        <v>0</v>
      </c>
      <c r="G4702" s="42"/>
      <c r="H4702" s="49" t="n">
        <f aca="true">IF(OR($A4702="",_xlfn.MINIFS($B$3:$B$5000,$A$3:$A$5000,$A4702,$B$3:$B$5000,"&gt;"&amp;$B4702)=0),NOW(),_xlfn.MINIFS($B$3:$B$5000,$A$3:$A$5000,$A4702,$B$3:$B$5000,"&gt;"&amp;$B4702))</f>
        <v>46279.598764522</v>
      </c>
    </row>
    <row r="4703" customFormat="false" ht="15" hidden="false" customHeight="true" outlineLevel="0" collapsed="false">
      <c r="A4703" s="42"/>
      <c r="B4703" s="42"/>
      <c r="C4703" s="42"/>
      <c r="D4703" s="42"/>
      <c r="E4703" s="42"/>
      <c r="F4703" s="51" t="n">
        <f aca="false">IF(OR(C4703="",D4703="",E4703="",E4703=0),0,C4703*D4703/E4703)</f>
        <v>0</v>
      </c>
      <c r="G4703" s="42"/>
      <c r="H4703" s="49" t="n">
        <f aca="true">IF(OR($A4703="",_xlfn.MINIFS($B$3:$B$5000,$A$3:$A$5000,$A4703,$B$3:$B$5000,"&gt;"&amp;$B4703)=0),NOW(),_xlfn.MINIFS($B$3:$B$5000,$A$3:$A$5000,$A4703,$B$3:$B$5000,"&gt;"&amp;$B4703))</f>
        <v>46279.5987645221</v>
      </c>
    </row>
    <row r="4704" customFormat="false" ht="15" hidden="false" customHeight="true" outlineLevel="0" collapsed="false">
      <c r="A4704" s="42"/>
      <c r="B4704" s="42"/>
      <c r="C4704" s="42"/>
      <c r="D4704" s="42"/>
      <c r="E4704" s="42"/>
      <c r="F4704" s="51" t="n">
        <f aca="false">IF(OR(C4704="",D4704="",E4704="",E4704=0),0,C4704*D4704/E4704)</f>
        <v>0</v>
      </c>
      <c r="G4704" s="42"/>
      <c r="H4704" s="49" t="n">
        <f aca="true">IF(OR($A4704="",_xlfn.MINIFS($B$3:$B$5000,$A$3:$A$5000,$A4704,$B$3:$B$5000,"&gt;"&amp;$B4704)=0),NOW(),_xlfn.MINIFS($B$3:$B$5000,$A$3:$A$5000,$A4704,$B$3:$B$5000,"&gt;"&amp;$B4704))</f>
        <v>46279.5987645221</v>
      </c>
    </row>
    <row r="4705" customFormat="false" ht="15" hidden="false" customHeight="true" outlineLevel="0" collapsed="false">
      <c r="A4705" s="42"/>
      <c r="B4705" s="42"/>
      <c r="C4705" s="42"/>
      <c r="D4705" s="42"/>
      <c r="E4705" s="42"/>
      <c r="F4705" s="51" t="n">
        <f aca="false">IF(OR(C4705="",D4705="",E4705="",E4705=0),0,C4705*D4705/E4705)</f>
        <v>0</v>
      </c>
      <c r="G4705" s="42"/>
      <c r="H4705" s="49" t="n">
        <f aca="true">IF(OR($A4705="",_xlfn.MINIFS($B$3:$B$5000,$A$3:$A$5000,$A4705,$B$3:$B$5000,"&gt;"&amp;$B4705)=0),NOW(),_xlfn.MINIFS($B$3:$B$5000,$A$3:$A$5000,$A4705,$B$3:$B$5000,"&gt;"&amp;$B4705))</f>
        <v>46279.5987645222</v>
      </c>
    </row>
    <row r="4706" customFormat="false" ht="15" hidden="false" customHeight="true" outlineLevel="0" collapsed="false">
      <c r="A4706" s="42"/>
      <c r="B4706" s="42"/>
      <c r="C4706" s="42"/>
      <c r="D4706" s="42"/>
      <c r="E4706" s="42"/>
      <c r="F4706" s="51" t="n">
        <f aca="false">IF(OR(C4706="",D4706="",E4706="",E4706=0),0,C4706*D4706/E4706)</f>
        <v>0</v>
      </c>
      <c r="G4706" s="42"/>
      <c r="H4706" s="49" t="n">
        <f aca="true">IF(OR($A4706="",_xlfn.MINIFS($B$3:$B$5000,$A$3:$A$5000,$A4706,$B$3:$B$5000,"&gt;"&amp;$B4706)=0),NOW(),_xlfn.MINIFS($B$3:$B$5000,$A$3:$A$5000,$A4706,$B$3:$B$5000,"&gt;"&amp;$B4706))</f>
        <v>46279.5987645222</v>
      </c>
    </row>
    <row r="4707" customFormat="false" ht="15" hidden="false" customHeight="true" outlineLevel="0" collapsed="false">
      <c r="A4707" s="42"/>
      <c r="B4707" s="42"/>
      <c r="C4707" s="42"/>
      <c r="D4707" s="42"/>
      <c r="E4707" s="42"/>
      <c r="F4707" s="51" t="n">
        <f aca="false">IF(OR(C4707="",D4707="",E4707="",E4707=0),0,C4707*D4707/E4707)</f>
        <v>0</v>
      </c>
      <c r="G4707" s="42"/>
      <c r="H4707" s="49" t="n">
        <f aca="true">IF(OR($A4707="",_xlfn.MINIFS($B$3:$B$5000,$A$3:$A$5000,$A4707,$B$3:$B$5000,"&gt;"&amp;$B4707)=0),NOW(),_xlfn.MINIFS($B$3:$B$5000,$A$3:$A$5000,$A4707,$B$3:$B$5000,"&gt;"&amp;$B4707))</f>
        <v>46279.5987645223</v>
      </c>
    </row>
    <row r="4708" customFormat="false" ht="15" hidden="false" customHeight="true" outlineLevel="0" collapsed="false">
      <c r="A4708" s="42"/>
      <c r="B4708" s="42"/>
      <c r="C4708" s="42"/>
      <c r="D4708" s="42"/>
      <c r="E4708" s="42"/>
      <c r="F4708" s="51" t="n">
        <f aca="false">IF(OR(C4708="",D4708="",E4708="",E4708=0),0,C4708*D4708/E4708)</f>
        <v>0</v>
      </c>
      <c r="G4708" s="42"/>
      <c r="H4708" s="49" t="n">
        <f aca="true">IF(OR($A4708="",_xlfn.MINIFS($B$3:$B$5000,$A$3:$A$5000,$A4708,$B$3:$B$5000,"&gt;"&amp;$B4708)=0),NOW(),_xlfn.MINIFS($B$3:$B$5000,$A$3:$A$5000,$A4708,$B$3:$B$5000,"&gt;"&amp;$B4708))</f>
        <v>46279.5987645223</v>
      </c>
    </row>
    <row r="4709" customFormat="false" ht="15" hidden="false" customHeight="true" outlineLevel="0" collapsed="false">
      <c r="A4709" s="42"/>
      <c r="B4709" s="42"/>
      <c r="C4709" s="42"/>
      <c r="D4709" s="42"/>
      <c r="E4709" s="42"/>
      <c r="F4709" s="51" t="n">
        <f aca="false">IF(OR(C4709="",D4709="",E4709="",E4709=0),0,C4709*D4709/E4709)</f>
        <v>0</v>
      </c>
      <c r="G4709" s="42"/>
      <c r="H4709" s="49" t="n">
        <f aca="true">IF(OR($A4709="",_xlfn.MINIFS($B$3:$B$5000,$A$3:$A$5000,$A4709,$B$3:$B$5000,"&gt;"&amp;$B4709)=0),NOW(),_xlfn.MINIFS($B$3:$B$5000,$A$3:$A$5000,$A4709,$B$3:$B$5000,"&gt;"&amp;$B4709))</f>
        <v>46279.5987645224</v>
      </c>
    </row>
    <row r="4710" customFormat="false" ht="15" hidden="false" customHeight="true" outlineLevel="0" collapsed="false">
      <c r="A4710" s="42"/>
      <c r="B4710" s="42"/>
      <c r="C4710" s="42"/>
      <c r="D4710" s="42"/>
      <c r="E4710" s="42"/>
      <c r="F4710" s="51" t="n">
        <f aca="false">IF(OR(C4710="",D4710="",E4710="",E4710=0),0,C4710*D4710/E4710)</f>
        <v>0</v>
      </c>
      <c r="G4710" s="42"/>
      <c r="H4710" s="49" t="n">
        <f aca="true">IF(OR($A4710="",_xlfn.MINIFS($B$3:$B$5000,$A$3:$A$5000,$A4710,$B$3:$B$5000,"&gt;"&amp;$B4710)=0),NOW(),_xlfn.MINIFS($B$3:$B$5000,$A$3:$A$5000,$A4710,$B$3:$B$5000,"&gt;"&amp;$B4710))</f>
        <v>46279.5987645224</v>
      </c>
    </row>
    <row r="4711" customFormat="false" ht="15" hidden="false" customHeight="true" outlineLevel="0" collapsed="false">
      <c r="A4711" s="42"/>
      <c r="B4711" s="42"/>
      <c r="C4711" s="42"/>
      <c r="D4711" s="42"/>
      <c r="E4711" s="42"/>
      <c r="F4711" s="51" t="n">
        <f aca="false">IF(OR(C4711="",D4711="",E4711="",E4711=0),0,C4711*D4711/E4711)</f>
        <v>0</v>
      </c>
      <c r="G4711" s="42"/>
      <c r="H4711" s="49" t="n">
        <f aca="true">IF(OR($A4711="",_xlfn.MINIFS($B$3:$B$5000,$A$3:$A$5000,$A4711,$B$3:$B$5000,"&gt;"&amp;$B4711)=0),NOW(),_xlfn.MINIFS($B$3:$B$5000,$A$3:$A$5000,$A4711,$B$3:$B$5000,"&gt;"&amp;$B4711))</f>
        <v>46279.5987645225</v>
      </c>
    </row>
    <row r="4712" customFormat="false" ht="15" hidden="false" customHeight="true" outlineLevel="0" collapsed="false">
      <c r="A4712" s="42"/>
      <c r="B4712" s="42"/>
      <c r="C4712" s="42"/>
      <c r="D4712" s="42"/>
      <c r="E4712" s="42"/>
      <c r="F4712" s="51" t="n">
        <f aca="false">IF(OR(C4712="",D4712="",E4712="",E4712=0),0,C4712*D4712/E4712)</f>
        <v>0</v>
      </c>
      <c r="G4712" s="42"/>
      <c r="H4712" s="49" t="n">
        <f aca="true">IF(OR($A4712="",_xlfn.MINIFS($B$3:$B$5000,$A$3:$A$5000,$A4712,$B$3:$B$5000,"&gt;"&amp;$B4712)=0),NOW(),_xlfn.MINIFS($B$3:$B$5000,$A$3:$A$5000,$A4712,$B$3:$B$5000,"&gt;"&amp;$B4712))</f>
        <v>46279.5987645225</v>
      </c>
    </row>
    <row r="4713" customFormat="false" ht="15" hidden="false" customHeight="true" outlineLevel="0" collapsed="false">
      <c r="A4713" s="42"/>
      <c r="B4713" s="42"/>
      <c r="C4713" s="42"/>
      <c r="D4713" s="42"/>
      <c r="E4713" s="42"/>
      <c r="F4713" s="51" t="n">
        <f aca="false">IF(OR(C4713="",D4713="",E4713="",E4713=0),0,C4713*D4713/E4713)</f>
        <v>0</v>
      </c>
      <c r="G4713" s="42"/>
      <c r="H4713" s="49" t="n">
        <f aca="true">IF(OR($A4713="",_xlfn.MINIFS($B$3:$B$5000,$A$3:$A$5000,$A4713,$B$3:$B$5000,"&gt;"&amp;$B4713)=0),NOW(),_xlfn.MINIFS($B$3:$B$5000,$A$3:$A$5000,$A4713,$B$3:$B$5000,"&gt;"&amp;$B4713))</f>
        <v>46279.5987645226</v>
      </c>
    </row>
    <row r="4714" customFormat="false" ht="15" hidden="false" customHeight="true" outlineLevel="0" collapsed="false">
      <c r="A4714" s="42"/>
      <c r="B4714" s="42"/>
      <c r="C4714" s="42"/>
      <c r="D4714" s="42"/>
      <c r="E4714" s="42"/>
      <c r="F4714" s="51" t="n">
        <f aca="false">IF(OR(C4714="",D4714="",E4714="",E4714=0),0,C4714*D4714/E4714)</f>
        <v>0</v>
      </c>
      <c r="G4714" s="42"/>
      <c r="H4714" s="49" t="n">
        <f aca="true">IF(OR($A4714="",_xlfn.MINIFS($B$3:$B$5000,$A$3:$A$5000,$A4714,$B$3:$B$5000,"&gt;"&amp;$B4714)=0),NOW(),_xlfn.MINIFS($B$3:$B$5000,$A$3:$A$5000,$A4714,$B$3:$B$5000,"&gt;"&amp;$B4714))</f>
        <v>46279.5987645226</v>
      </c>
    </row>
    <row r="4715" customFormat="false" ht="15" hidden="false" customHeight="true" outlineLevel="0" collapsed="false">
      <c r="A4715" s="42"/>
      <c r="B4715" s="42"/>
      <c r="C4715" s="42"/>
      <c r="D4715" s="42"/>
      <c r="E4715" s="42"/>
      <c r="F4715" s="51" t="n">
        <f aca="false">IF(OR(C4715="",D4715="",E4715="",E4715=0),0,C4715*D4715/E4715)</f>
        <v>0</v>
      </c>
      <c r="G4715" s="42"/>
      <c r="H4715" s="49" t="n">
        <f aca="true">IF(OR($A4715="",_xlfn.MINIFS($B$3:$B$5000,$A$3:$A$5000,$A4715,$B$3:$B$5000,"&gt;"&amp;$B4715)=0),NOW(),_xlfn.MINIFS($B$3:$B$5000,$A$3:$A$5000,$A4715,$B$3:$B$5000,"&gt;"&amp;$B4715))</f>
        <v>46279.5987645227</v>
      </c>
    </row>
    <row r="4716" customFormat="false" ht="15" hidden="false" customHeight="true" outlineLevel="0" collapsed="false">
      <c r="A4716" s="42"/>
      <c r="B4716" s="42"/>
      <c r="C4716" s="42"/>
      <c r="D4716" s="42"/>
      <c r="E4716" s="42"/>
      <c r="F4716" s="51" t="n">
        <f aca="false">IF(OR(C4716="",D4716="",E4716="",E4716=0),0,C4716*D4716/E4716)</f>
        <v>0</v>
      </c>
      <c r="G4716" s="42"/>
      <c r="H4716" s="49" t="n">
        <f aca="true">IF(OR($A4716="",_xlfn.MINIFS($B$3:$B$5000,$A$3:$A$5000,$A4716,$B$3:$B$5000,"&gt;"&amp;$B4716)=0),NOW(),_xlfn.MINIFS($B$3:$B$5000,$A$3:$A$5000,$A4716,$B$3:$B$5000,"&gt;"&amp;$B4716))</f>
        <v>46279.5987645227</v>
      </c>
    </row>
    <row r="4717" customFormat="false" ht="15" hidden="false" customHeight="true" outlineLevel="0" collapsed="false">
      <c r="A4717" s="42"/>
      <c r="B4717" s="42"/>
      <c r="C4717" s="42"/>
      <c r="D4717" s="42"/>
      <c r="E4717" s="42"/>
      <c r="F4717" s="51" t="n">
        <f aca="false">IF(OR(C4717="",D4717="",E4717="",E4717=0),0,C4717*D4717/E4717)</f>
        <v>0</v>
      </c>
      <c r="G4717" s="42"/>
      <c r="H4717" s="49" t="n">
        <f aca="true">IF(OR($A4717="",_xlfn.MINIFS($B$3:$B$5000,$A$3:$A$5000,$A4717,$B$3:$B$5000,"&gt;"&amp;$B4717)=0),NOW(),_xlfn.MINIFS($B$3:$B$5000,$A$3:$A$5000,$A4717,$B$3:$B$5000,"&gt;"&amp;$B4717))</f>
        <v>46279.5987645228</v>
      </c>
    </row>
    <row r="4718" customFormat="false" ht="15" hidden="false" customHeight="true" outlineLevel="0" collapsed="false">
      <c r="A4718" s="42"/>
      <c r="B4718" s="42"/>
      <c r="C4718" s="42"/>
      <c r="D4718" s="42"/>
      <c r="E4718" s="42"/>
      <c r="F4718" s="51" t="n">
        <f aca="false">IF(OR(C4718="",D4718="",E4718="",E4718=0),0,C4718*D4718/E4718)</f>
        <v>0</v>
      </c>
      <c r="G4718" s="42"/>
      <c r="H4718" s="49" t="n">
        <f aca="true">IF(OR($A4718="",_xlfn.MINIFS($B$3:$B$5000,$A$3:$A$5000,$A4718,$B$3:$B$5000,"&gt;"&amp;$B4718)=0),NOW(),_xlfn.MINIFS($B$3:$B$5000,$A$3:$A$5000,$A4718,$B$3:$B$5000,"&gt;"&amp;$B4718))</f>
        <v>46279.5987645228</v>
      </c>
    </row>
    <row r="4719" customFormat="false" ht="15" hidden="false" customHeight="true" outlineLevel="0" collapsed="false">
      <c r="A4719" s="42"/>
      <c r="B4719" s="42"/>
      <c r="C4719" s="42"/>
      <c r="D4719" s="42"/>
      <c r="E4719" s="42"/>
      <c r="F4719" s="51" t="n">
        <f aca="false">IF(OR(C4719="",D4719="",E4719="",E4719=0),0,C4719*D4719/E4719)</f>
        <v>0</v>
      </c>
      <c r="G4719" s="42"/>
      <c r="H4719" s="49" t="n">
        <f aca="true">IF(OR($A4719="",_xlfn.MINIFS($B$3:$B$5000,$A$3:$A$5000,$A4719,$B$3:$B$5000,"&gt;"&amp;$B4719)=0),NOW(),_xlfn.MINIFS($B$3:$B$5000,$A$3:$A$5000,$A4719,$B$3:$B$5000,"&gt;"&amp;$B4719))</f>
        <v>46279.5987645229</v>
      </c>
    </row>
    <row r="4720" customFormat="false" ht="15" hidden="false" customHeight="true" outlineLevel="0" collapsed="false">
      <c r="A4720" s="42"/>
      <c r="B4720" s="42"/>
      <c r="C4720" s="42"/>
      <c r="D4720" s="42"/>
      <c r="E4720" s="42"/>
      <c r="F4720" s="51" t="n">
        <f aca="false">IF(OR(C4720="",D4720="",E4720="",E4720=0),0,C4720*D4720/E4720)</f>
        <v>0</v>
      </c>
      <c r="G4720" s="42"/>
      <c r="H4720" s="49" t="n">
        <f aca="true">IF(OR($A4720="",_xlfn.MINIFS($B$3:$B$5000,$A$3:$A$5000,$A4720,$B$3:$B$5000,"&gt;"&amp;$B4720)=0),NOW(),_xlfn.MINIFS($B$3:$B$5000,$A$3:$A$5000,$A4720,$B$3:$B$5000,"&gt;"&amp;$B4720))</f>
        <v>46279.5987645229</v>
      </c>
    </row>
    <row r="4721" customFormat="false" ht="15" hidden="false" customHeight="true" outlineLevel="0" collapsed="false">
      <c r="A4721" s="42"/>
      <c r="B4721" s="42"/>
      <c r="C4721" s="42"/>
      <c r="D4721" s="42"/>
      <c r="E4721" s="42"/>
      <c r="F4721" s="51" t="n">
        <f aca="false">IF(OR(C4721="",D4721="",E4721="",E4721=0),0,C4721*D4721/E4721)</f>
        <v>0</v>
      </c>
      <c r="G4721" s="42"/>
      <c r="H4721" s="49" t="n">
        <f aca="true">IF(OR($A4721="",_xlfn.MINIFS($B$3:$B$5000,$A$3:$A$5000,$A4721,$B$3:$B$5000,"&gt;"&amp;$B4721)=0),NOW(),_xlfn.MINIFS($B$3:$B$5000,$A$3:$A$5000,$A4721,$B$3:$B$5000,"&gt;"&amp;$B4721))</f>
        <v>46279.598764523</v>
      </c>
    </row>
    <row r="4722" customFormat="false" ht="15" hidden="false" customHeight="true" outlineLevel="0" collapsed="false">
      <c r="A4722" s="42"/>
      <c r="B4722" s="42"/>
      <c r="C4722" s="42"/>
      <c r="D4722" s="42"/>
      <c r="E4722" s="42"/>
      <c r="F4722" s="51" t="n">
        <f aca="false">IF(OR(C4722="",D4722="",E4722="",E4722=0),0,C4722*D4722/E4722)</f>
        <v>0</v>
      </c>
      <c r="G4722" s="42"/>
      <c r="H4722" s="49" t="n">
        <f aca="true">IF(OR($A4722="",_xlfn.MINIFS($B$3:$B$5000,$A$3:$A$5000,$A4722,$B$3:$B$5000,"&gt;"&amp;$B4722)=0),NOW(),_xlfn.MINIFS($B$3:$B$5000,$A$3:$A$5000,$A4722,$B$3:$B$5000,"&gt;"&amp;$B4722))</f>
        <v>46279.598764523</v>
      </c>
    </row>
    <row r="4723" customFormat="false" ht="15" hidden="false" customHeight="true" outlineLevel="0" collapsed="false">
      <c r="A4723" s="42"/>
      <c r="B4723" s="42"/>
      <c r="C4723" s="42"/>
      <c r="D4723" s="42"/>
      <c r="E4723" s="42"/>
      <c r="F4723" s="51" t="n">
        <f aca="false">IF(OR(C4723="",D4723="",E4723="",E4723=0),0,C4723*D4723/E4723)</f>
        <v>0</v>
      </c>
      <c r="G4723" s="42"/>
      <c r="H4723" s="49" t="n">
        <f aca="true">IF(OR($A4723="",_xlfn.MINIFS($B$3:$B$5000,$A$3:$A$5000,$A4723,$B$3:$B$5000,"&gt;"&amp;$B4723)=0),NOW(),_xlfn.MINIFS($B$3:$B$5000,$A$3:$A$5000,$A4723,$B$3:$B$5000,"&gt;"&amp;$B4723))</f>
        <v>46279.5987645231</v>
      </c>
    </row>
    <row r="4724" customFormat="false" ht="15" hidden="false" customHeight="true" outlineLevel="0" collapsed="false">
      <c r="A4724" s="42"/>
      <c r="B4724" s="42"/>
      <c r="C4724" s="42"/>
      <c r="D4724" s="42"/>
      <c r="E4724" s="42"/>
      <c r="F4724" s="51" t="n">
        <f aca="false">IF(OR(C4724="",D4724="",E4724="",E4724=0),0,C4724*D4724/E4724)</f>
        <v>0</v>
      </c>
      <c r="G4724" s="42"/>
      <c r="H4724" s="49" t="n">
        <f aca="true">IF(OR($A4724="",_xlfn.MINIFS($B$3:$B$5000,$A$3:$A$5000,$A4724,$B$3:$B$5000,"&gt;"&amp;$B4724)=0),NOW(),_xlfn.MINIFS($B$3:$B$5000,$A$3:$A$5000,$A4724,$B$3:$B$5000,"&gt;"&amp;$B4724))</f>
        <v>46279.5987645231</v>
      </c>
    </row>
    <row r="4725" customFormat="false" ht="15" hidden="false" customHeight="true" outlineLevel="0" collapsed="false">
      <c r="A4725" s="42"/>
      <c r="B4725" s="42"/>
      <c r="C4725" s="42"/>
      <c r="D4725" s="42"/>
      <c r="E4725" s="42"/>
      <c r="F4725" s="51" t="n">
        <f aca="false">IF(OR(C4725="",D4725="",E4725="",E4725=0),0,C4725*D4725/E4725)</f>
        <v>0</v>
      </c>
      <c r="G4725" s="42"/>
      <c r="H4725" s="49" t="n">
        <f aca="true">IF(OR($A4725="",_xlfn.MINIFS($B$3:$B$5000,$A$3:$A$5000,$A4725,$B$3:$B$5000,"&gt;"&amp;$B4725)=0),NOW(),_xlfn.MINIFS($B$3:$B$5000,$A$3:$A$5000,$A4725,$B$3:$B$5000,"&gt;"&amp;$B4725))</f>
        <v>46279.5987645232</v>
      </c>
    </row>
    <row r="4726" customFormat="false" ht="15" hidden="false" customHeight="true" outlineLevel="0" collapsed="false">
      <c r="A4726" s="42"/>
      <c r="B4726" s="42"/>
      <c r="C4726" s="42"/>
      <c r="D4726" s="42"/>
      <c r="E4726" s="42"/>
      <c r="F4726" s="51" t="n">
        <f aca="false">IF(OR(C4726="",D4726="",E4726="",E4726=0),0,C4726*D4726/E4726)</f>
        <v>0</v>
      </c>
      <c r="G4726" s="42"/>
      <c r="H4726" s="49" t="n">
        <f aca="true">IF(OR($A4726="",_xlfn.MINIFS($B$3:$B$5000,$A$3:$A$5000,$A4726,$B$3:$B$5000,"&gt;"&amp;$B4726)=0),NOW(),_xlfn.MINIFS($B$3:$B$5000,$A$3:$A$5000,$A4726,$B$3:$B$5000,"&gt;"&amp;$B4726))</f>
        <v>46279.5987645232</v>
      </c>
    </row>
    <row r="4727" customFormat="false" ht="15" hidden="false" customHeight="true" outlineLevel="0" collapsed="false">
      <c r="A4727" s="42"/>
      <c r="B4727" s="42"/>
      <c r="C4727" s="42"/>
      <c r="D4727" s="42"/>
      <c r="E4727" s="42"/>
      <c r="F4727" s="51" t="n">
        <f aca="false">IF(OR(C4727="",D4727="",E4727="",E4727=0),0,C4727*D4727/E4727)</f>
        <v>0</v>
      </c>
      <c r="G4727" s="42"/>
      <c r="H4727" s="49" t="n">
        <f aca="true">IF(OR($A4727="",_xlfn.MINIFS($B$3:$B$5000,$A$3:$A$5000,$A4727,$B$3:$B$5000,"&gt;"&amp;$B4727)=0),NOW(),_xlfn.MINIFS($B$3:$B$5000,$A$3:$A$5000,$A4727,$B$3:$B$5000,"&gt;"&amp;$B4727))</f>
        <v>46279.5987645233</v>
      </c>
    </row>
    <row r="4728" customFormat="false" ht="15" hidden="false" customHeight="true" outlineLevel="0" collapsed="false">
      <c r="A4728" s="42"/>
      <c r="B4728" s="42"/>
      <c r="C4728" s="42"/>
      <c r="D4728" s="42"/>
      <c r="E4728" s="42"/>
      <c r="F4728" s="51" t="n">
        <f aca="false">IF(OR(C4728="",D4728="",E4728="",E4728=0),0,C4728*D4728/E4728)</f>
        <v>0</v>
      </c>
      <c r="G4728" s="42"/>
      <c r="H4728" s="49" t="n">
        <f aca="true">IF(OR($A4728="",_xlfn.MINIFS($B$3:$B$5000,$A$3:$A$5000,$A4728,$B$3:$B$5000,"&gt;"&amp;$B4728)=0),NOW(),_xlfn.MINIFS($B$3:$B$5000,$A$3:$A$5000,$A4728,$B$3:$B$5000,"&gt;"&amp;$B4728))</f>
        <v>46279.5987645233</v>
      </c>
    </row>
    <row r="4729" customFormat="false" ht="15" hidden="false" customHeight="true" outlineLevel="0" collapsed="false">
      <c r="A4729" s="42"/>
      <c r="B4729" s="42"/>
      <c r="C4729" s="42"/>
      <c r="D4729" s="42"/>
      <c r="E4729" s="42"/>
      <c r="F4729" s="51" t="n">
        <f aca="false">IF(OR(C4729="",D4729="",E4729="",E4729=0),0,C4729*D4729/E4729)</f>
        <v>0</v>
      </c>
      <c r="G4729" s="42"/>
      <c r="H4729" s="49" t="n">
        <f aca="true">IF(OR($A4729="",_xlfn.MINIFS($B$3:$B$5000,$A$3:$A$5000,$A4729,$B$3:$B$5000,"&gt;"&amp;$B4729)=0),NOW(),_xlfn.MINIFS($B$3:$B$5000,$A$3:$A$5000,$A4729,$B$3:$B$5000,"&gt;"&amp;$B4729))</f>
        <v>46279.5987645234</v>
      </c>
    </row>
    <row r="4730" customFormat="false" ht="15" hidden="false" customHeight="true" outlineLevel="0" collapsed="false">
      <c r="A4730" s="42"/>
      <c r="B4730" s="42"/>
      <c r="C4730" s="42"/>
      <c r="D4730" s="42"/>
      <c r="E4730" s="42"/>
      <c r="F4730" s="51" t="n">
        <f aca="false">IF(OR(C4730="",D4730="",E4730="",E4730=0),0,C4730*D4730/E4730)</f>
        <v>0</v>
      </c>
      <c r="G4730" s="42"/>
      <c r="H4730" s="49" t="n">
        <f aca="true">IF(OR($A4730="",_xlfn.MINIFS($B$3:$B$5000,$A$3:$A$5000,$A4730,$B$3:$B$5000,"&gt;"&amp;$B4730)=0),NOW(),_xlfn.MINIFS($B$3:$B$5000,$A$3:$A$5000,$A4730,$B$3:$B$5000,"&gt;"&amp;$B4730))</f>
        <v>46279.5987645234</v>
      </c>
    </row>
    <row r="4731" customFormat="false" ht="15" hidden="false" customHeight="true" outlineLevel="0" collapsed="false">
      <c r="A4731" s="42"/>
      <c r="B4731" s="42"/>
      <c r="C4731" s="42"/>
      <c r="D4731" s="42"/>
      <c r="E4731" s="42"/>
      <c r="F4731" s="51" t="n">
        <f aca="false">IF(OR(C4731="",D4731="",E4731="",E4731=0),0,C4731*D4731/E4731)</f>
        <v>0</v>
      </c>
      <c r="G4731" s="42"/>
      <c r="H4731" s="49" t="n">
        <f aca="true">IF(OR($A4731="",_xlfn.MINIFS($B$3:$B$5000,$A$3:$A$5000,$A4731,$B$3:$B$5000,"&gt;"&amp;$B4731)=0),NOW(),_xlfn.MINIFS($B$3:$B$5000,$A$3:$A$5000,$A4731,$B$3:$B$5000,"&gt;"&amp;$B4731))</f>
        <v>46279.5987645235</v>
      </c>
    </row>
    <row r="4732" customFormat="false" ht="15" hidden="false" customHeight="true" outlineLevel="0" collapsed="false">
      <c r="A4732" s="42"/>
      <c r="B4732" s="42"/>
      <c r="C4732" s="42"/>
      <c r="D4732" s="42"/>
      <c r="E4732" s="42"/>
      <c r="F4732" s="51" t="n">
        <f aca="false">IF(OR(C4732="",D4732="",E4732="",E4732=0),0,C4732*D4732/E4732)</f>
        <v>0</v>
      </c>
      <c r="G4732" s="42"/>
      <c r="H4732" s="49" t="n">
        <f aca="true">IF(OR($A4732="",_xlfn.MINIFS($B$3:$B$5000,$A$3:$A$5000,$A4732,$B$3:$B$5000,"&gt;"&amp;$B4732)=0),NOW(),_xlfn.MINIFS($B$3:$B$5000,$A$3:$A$5000,$A4732,$B$3:$B$5000,"&gt;"&amp;$B4732))</f>
        <v>46279.5987645237</v>
      </c>
    </row>
    <row r="4733" customFormat="false" ht="15" hidden="false" customHeight="true" outlineLevel="0" collapsed="false">
      <c r="A4733" s="42"/>
      <c r="B4733" s="42"/>
      <c r="C4733" s="42"/>
      <c r="D4733" s="42"/>
      <c r="E4733" s="42"/>
      <c r="F4733" s="51" t="n">
        <f aca="false">IF(OR(C4733="",D4733="",E4733="",E4733=0),0,C4733*D4733/E4733)</f>
        <v>0</v>
      </c>
      <c r="G4733" s="42"/>
      <c r="H4733" s="49" t="n">
        <f aca="true">IF(OR($A4733="",_xlfn.MINIFS($B$3:$B$5000,$A$3:$A$5000,$A4733,$B$3:$B$5000,"&gt;"&amp;$B4733)=0),NOW(),_xlfn.MINIFS($B$3:$B$5000,$A$3:$A$5000,$A4733,$B$3:$B$5000,"&gt;"&amp;$B4733))</f>
        <v>46279.5987645238</v>
      </c>
    </row>
    <row r="4734" customFormat="false" ht="15" hidden="false" customHeight="true" outlineLevel="0" collapsed="false">
      <c r="A4734" s="42"/>
      <c r="B4734" s="42"/>
      <c r="C4734" s="42"/>
      <c r="D4734" s="42"/>
      <c r="E4734" s="42"/>
      <c r="F4734" s="51" t="n">
        <f aca="false">IF(OR(C4734="",D4734="",E4734="",E4734=0),0,C4734*D4734/E4734)</f>
        <v>0</v>
      </c>
      <c r="G4734" s="42"/>
      <c r="H4734" s="49" t="n">
        <f aca="true">IF(OR($A4734="",_xlfn.MINIFS($B$3:$B$5000,$A$3:$A$5000,$A4734,$B$3:$B$5000,"&gt;"&amp;$B4734)=0),NOW(),_xlfn.MINIFS($B$3:$B$5000,$A$3:$A$5000,$A4734,$B$3:$B$5000,"&gt;"&amp;$B4734))</f>
        <v>46279.5987645239</v>
      </c>
    </row>
    <row r="4735" customFormat="false" ht="15" hidden="false" customHeight="true" outlineLevel="0" collapsed="false">
      <c r="A4735" s="42"/>
      <c r="B4735" s="42"/>
      <c r="C4735" s="42"/>
      <c r="D4735" s="42"/>
      <c r="E4735" s="42"/>
      <c r="F4735" s="51" t="n">
        <f aca="false">IF(OR(C4735="",D4735="",E4735="",E4735=0),0,C4735*D4735/E4735)</f>
        <v>0</v>
      </c>
      <c r="G4735" s="42"/>
      <c r="H4735" s="49" t="n">
        <f aca="true">IF(OR($A4735="",_xlfn.MINIFS($B$3:$B$5000,$A$3:$A$5000,$A4735,$B$3:$B$5000,"&gt;"&amp;$B4735)=0),NOW(),_xlfn.MINIFS($B$3:$B$5000,$A$3:$A$5000,$A4735,$B$3:$B$5000,"&gt;"&amp;$B4735))</f>
        <v>46279.5987645239</v>
      </c>
    </row>
    <row r="4736" customFormat="false" ht="15" hidden="false" customHeight="true" outlineLevel="0" collapsed="false">
      <c r="A4736" s="42"/>
      <c r="B4736" s="42"/>
      <c r="C4736" s="42"/>
      <c r="D4736" s="42"/>
      <c r="E4736" s="42"/>
      <c r="F4736" s="51" t="n">
        <f aca="false">IF(OR(C4736="",D4736="",E4736="",E4736=0),0,C4736*D4736/E4736)</f>
        <v>0</v>
      </c>
      <c r="G4736" s="42"/>
      <c r="H4736" s="49" t="n">
        <f aca="true">IF(OR($A4736="",_xlfn.MINIFS($B$3:$B$5000,$A$3:$A$5000,$A4736,$B$3:$B$5000,"&gt;"&amp;$B4736)=0),NOW(),_xlfn.MINIFS($B$3:$B$5000,$A$3:$A$5000,$A4736,$B$3:$B$5000,"&gt;"&amp;$B4736))</f>
        <v>46279.598764524</v>
      </c>
    </row>
    <row r="4737" customFormat="false" ht="15" hidden="false" customHeight="true" outlineLevel="0" collapsed="false">
      <c r="A4737" s="42"/>
      <c r="B4737" s="42"/>
      <c r="C4737" s="42"/>
      <c r="D4737" s="42"/>
      <c r="E4737" s="42"/>
      <c r="F4737" s="51" t="n">
        <f aca="false">IF(OR(C4737="",D4737="",E4737="",E4737=0),0,C4737*D4737/E4737)</f>
        <v>0</v>
      </c>
      <c r="G4737" s="42"/>
      <c r="H4737" s="49" t="n">
        <f aca="true">IF(OR($A4737="",_xlfn.MINIFS($B$3:$B$5000,$A$3:$A$5000,$A4737,$B$3:$B$5000,"&gt;"&amp;$B4737)=0),NOW(),_xlfn.MINIFS($B$3:$B$5000,$A$3:$A$5000,$A4737,$B$3:$B$5000,"&gt;"&amp;$B4737))</f>
        <v>46279.598764524</v>
      </c>
    </row>
    <row r="4738" customFormat="false" ht="15" hidden="false" customHeight="true" outlineLevel="0" collapsed="false">
      <c r="A4738" s="42"/>
      <c r="B4738" s="42"/>
      <c r="C4738" s="42"/>
      <c r="D4738" s="42"/>
      <c r="E4738" s="42"/>
      <c r="F4738" s="51" t="n">
        <f aca="false">IF(OR(C4738="",D4738="",E4738="",E4738=0),0,C4738*D4738/E4738)</f>
        <v>0</v>
      </c>
      <c r="G4738" s="42"/>
      <c r="H4738" s="49" t="n">
        <f aca="true">IF(OR($A4738="",_xlfn.MINIFS($B$3:$B$5000,$A$3:$A$5000,$A4738,$B$3:$B$5000,"&gt;"&amp;$B4738)=0),NOW(),_xlfn.MINIFS($B$3:$B$5000,$A$3:$A$5000,$A4738,$B$3:$B$5000,"&gt;"&amp;$B4738))</f>
        <v>46279.5987645241</v>
      </c>
    </row>
    <row r="4739" customFormat="false" ht="15" hidden="false" customHeight="true" outlineLevel="0" collapsed="false">
      <c r="A4739" s="42"/>
      <c r="B4739" s="42"/>
      <c r="C4739" s="42"/>
      <c r="D4739" s="42"/>
      <c r="E4739" s="42"/>
      <c r="F4739" s="51" t="n">
        <f aca="false">IF(OR(C4739="",D4739="",E4739="",E4739=0),0,C4739*D4739/E4739)</f>
        <v>0</v>
      </c>
      <c r="G4739" s="42"/>
      <c r="H4739" s="49" t="n">
        <f aca="true">IF(OR($A4739="",_xlfn.MINIFS($B$3:$B$5000,$A$3:$A$5000,$A4739,$B$3:$B$5000,"&gt;"&amp;$B4739)=0),NOW(),_xlfn.MINIFS($B$3:$B$5000,$A$3:$A$5000,$A4739,$B$3:$B$5000,"&gt;"&amp;$B4739))</f>
        <v>46279.5987645241</v>
      </c>
    </row>
    <row r="4740" customFormat="false" ht="15" hidden="false" customHeight="true" outlineLevel="0" collapsed="false">
      <c r="A4740" s="42"/>
      <c r="B4740" s="42"/>
      <c r="C4740" s="42"/>
      <c r="D4740" s="42"/>
      <c r="E4740" s="42"/>
      <c r="F4740" s="51" t="n">
        <f aca="false">IF(OR(C4740="",D4740="",E4740="",E4740=0),0,C4740*D4740/E4740)</f>
        <v>0</v>
      </c>
      <c r="G4740" s="42"/>
      <c r="H4740" s="49" t="n">
        <f aca="true">IF(OR($A4740="",_xlfn.MINIFS($B$3:$B$5000,$A$3:$A$5000,$A4740,$B$3:$B$5000,"&gt;"&amp;$B4740)=0),NOW(),_xlfn.MINIFS($B$3:$B$5000,$A$3:$A$5000,$A4740,$B$3:$B$5000,"&gt;"&amp;$B4740))</f>
        <v>46279.5987645242</v>
      </c>
    </row>
    <row r="4741" customFormat="false" ht="15" hidden="false" customHeight="true" outlineLevel="0" collapsed="false">
      <c r="A4741" s="42"/>
      <c r="B4741" s="42"/>
      <c r="C4741" s="42"/>
      <c r="D4741" s="42"/>
      <c r="E4741" s="42"/>
      <c r="F4741" s="51" t="n">
        <f aca="false">IF(OR(C4741="",D4741="",E4741="",E4741=0),0,C4741*D4741/E4741)</f>
        <v>0</v>
      </c>
      <c r="G4741" s="42"/>
      <c r="H4741" s="49" t="n">
        <f aca="true">IF(OR($A4741="",_xlfn.MINIFS($B$3:$B$5000,$A$3:$A$5000,$A4741,$B$3:$B$5000,"&gt;"&amp;$B4741)=0),NOW(),_xlfn.MINIFS($B$3:$B$5000,$A$3:$A$5000,$A4741,$B$3:$B$5000,"&gt;"&amp;$B4741))</f>
        <v>46279.5987645242</v>
      </c>
    </row>
    <row r="4742" customFormat="false" ht="15" hidden="false" customHeight="true" outlineLevel="0" collapsed="false">
      <c r="A4742" s="42"/>
      <c r="B4742" s="42"/>
      <c r="C4742" s="42"/>
      <c r="D4742" s="42"/>
      <c r="E4742" s="42"/>
      <c r="F4742" s="51" t="n">
        <f aca="false">IF(OR(C4742="",D4742="",E4742="",E4742=0),0,C4742*D4742/E4742)</f>
        <v>0</v>
      </c>
      <c r="G4742" s="42"/>
      <c r="H4742" s="49" t="n">
        <f aca="true">IF(OR($A4742="",_xlfn.MINIFS($B$3:$B$5000,$A$3:$A$5000,$A4742,$B$3:$B$5000,"&gt;"&amp;$B4742)=0),NOW(),_xlfn.MINIFS($B$3:$B$5000,$A$3:$A$5000,$A4742,$B$3:$B$5000,"&gt;"&amp;$B4742))</f>
        <v>46279.5987645243</v>
      </c>
    </row>
    <row r="4743" customFormat="false" ht="15" hidden="false" customHeight="true" outlineLevel="0" collapsed="false">
      <c r="A4743" s="42"/>
      <c r="B4743" s="42"/>
      <c r="C4743" s="42"/>
      <c r="D4743" s="42"/>
      <c r="E4743" s="42"/>
      <c r="F4743" s="51" t="n">
        <f aca="false">IF(OR(C4743="",D4743="",E4743="",E4743=0),0,C4743*D4743/E4743)</f>
        <v>0</v>
      </c>
      <c r="G4743" s="42"/>
      <c r="H4743" s="49" t="n">
        <f aca="true">IF(OR($A4743="",_xlfn.MINIFS($B$3:$B$5000,$A$3:$A$5000,$A4743,$B$3:$B$5000,"&gt;"&amp;$B4743)=0),NOW(),_xlfn.MINIFS($B$3:$B$5000,$A$3:$A$5000,$A4743,$B$3:$B$5000,"&gt;"&amp;$B4743))</f>
        <v>46279.5987645243</v>
      </c>
    </row>
    <row r="4744" customFormat="false" ht="15" hidden="false" customHeight="true" outlineLevel="0" collapsed="false">
      <c r="A4744" s="42"/>
      <c r="B4744" s="42"/>
      <c r="C4744" s="42"/>
      <c r="D4744" s="42"/>
      <c r="E4744" s="42"/>
      <c r="F4744" s="51" t="n">
        <f aca="false">IF(OR(C4744="",D4744="",E4744="",E4744=0),0,C4744*D4744/E4744)</f>
        <v>0</v>
      </c>
      <c r="G4744" s="42"/>
      <c r="H4744" s="49" t="n">
        <f aca="true">IF(OR($A4744="",_xlfn.MINIFS($B$3:$B$5000,$A$3:$A$5000,$A4744,$B$3:$B$5000,"&gt;"&amp;$B4744)=0),NOW(),_xlfn.MINIFS($B$3:$B$5000,$A$3:$A$5000,$A4744,$B$3:$B$5000,"&gt;"&amp;$B4744))</f>
        <v>46279.5987645244</v>
      </c>
    </row>
    <row r="4745" customFormat="false" ht="15" hidden="false" customHeight="true" outlineLevel="0" collapsed="false">
      <c r="A4745" s="42"/>
      <c r="B4745" s="42"/>
      <c r="C4745" s="42"/>
      <c r="D4745" s="42"/>
      <c r="E4745" s="42"/>
      <c r="F4745" s="51" t="n">
        <f aca="false">IF(OR(C4745="",D4745="",E4745="",E4745=0),0,C4745*D4745/E4745)</f>
        <v>0</v>
      </c>
      <c r="G4745" s="42"/>
      <c r="H4745" s="49" t="n">
        <f aca="true">IF(OR($A4745="",_xlfn.MINIFS($B$3:$B$5000,$A$3:$A$5000,$A4745,$B$3:$B$5000,"&gt;"&amp;$B4745)=0),NOW(),_xlfn.MINIFS($B$3:$B$5000,$A$3:$A$5000,$A4745,$B$3:$B$5000,"&gt;"&amp;$B4745))</f>
        <v>46279.5987645244</v>
      </c>
    </row>
    <row r="4746" customFormat="false" ht="15" hidden="false" customHeight="true" outlineLevel="0" collapsed="false">
      <c r="A4746" s="42"/>
      <c r="B4746" s="42"/>
      <c r="C4746" s="42"/>
      <c r="D4746" s="42"/>
      <c r="E4746" s="42"/>
      <c r="F4746" s="51" t="n">
        <f aca="false">IF(OR(C4746="",D4746="",E4746="",E4746=0),0,C4746*D4746/E4746)</f>
        <v>0</v>
      </c>
      <c r="G4746" s="42"/>
      <c r="H4746" s="49" t="n">
        <f aca="true">IF(OR($A4746="",_xlfn.MINIFS($B$3:$B$5000,$A$3:$A$5000,$A4746,$B$3:$B$5000,"&gt;"&amp;$B4746)=0),NOW(),_xlfn.MINIFS($B$3:$B$5000,$A$3:$A$5000,$A4746,$B$3:$B$5000,"&gt;"&amp;$B4746))</f>
        <v>46279.5987645245</v>
      </c>
    </row>
    <row r="4747" customFormat="false" ht="15" hidden="false" customHeight="true" outlineLevel="0" collapsed="false">
      <c r="A4747" s="42"/>
      <c r="B4747" s="42"/>
      <c r="C4747" s="42"/>
      <c r="D4747" s="42"/>
      <c r="E4747" s="42"/>
      <c r="F4747" s="51" t="n">
        <f aca="false">IF(OR(C4747="",D4747="",E4747="",E4747=0),0,C4747*D4747/E4747)</f>
        <v>0</v>
      </c>
      <c r="G4747" s="42"/>
      <c r="H4747" s="49" t="n">
        <f aca="true">IF(OR($A4747="",_xlfn.MINIFS($B$3:$B$5000,$A$3:$A$5000,$A4747,$B$3:$B$5000,"&gt;"&amp;$B4747)=0),NOW(),_xlfn.MINIFS($B$3:$B$5000,$A$3:$A$5000,$A4747,$B$3:$B$5000,"&gt;"&amp;$B4747))</f>
        <v>46279.5987645245</v>
      </c>
    </row>
    <row r="4748" customFormat="false" ht="15" hidden="false" customHeight="true" outlineLevel="0" collapsed="false">
      <c r="A4748" s="42"/>
      <c r="B4748" s="42"/>
      <c r="C4748" s="42"/>
      <c r="D4748" s="42"/>
      <c r="E4748" s="42"/>
      <c r="F4748" s="51" t="n">
        <f aca="false">IF(OR(C4748="",D4748="",E4748="",E4748=0),0,C4748*D4748/E4748)</f>
        <v>0</v>
      </c>
      <c r="G4748" s="42"/>
      <c r="H4748" s="49" t="n">
        <f aca="true">IF(OR($A4748="",_xlfn.MINIFS($B$3:$B$5000,$A$3:$A$5000,$A4748,$B$3:$B$5000,"&gt;"&amp;$B4748)=0),NOW(),_xlfn.MINIFS($B$3:$B$5000,$A$3:$A$5000,$A4748,$B$3:$B$5000,"&gt;"&amp;$B4748))</f>
        <v>46279.5987645246</v>
      </c>
    </row>
    <row r="4749" customFormat="false" ht="15" hidden="false" customHeight="true" outlineLevel="0" collapsed="false">
      <c r="A4749" s="42"/>
      <c r="B4749" s="42"/>
      <c r="C4749" s="42"/>
      <c r="D4749" s="42"/>
      <c r="E4749" s="42"/>
      <c r="F4749" s="51" t="n">
        <f aca="false">IF(OR(C4749="",D4749="",E4749="",E4749=0),0,C4749*D4749/E4749)</f>
        <v>0</v>
      </c>
      <c r="G4749" s="42"/>
      <c r="H4749" s="49" t="n">
        <f aca="true">IF(OR($A4749="",_xlfn.MINIFS($B$3:$B$5000,$A$3:$A$5000,$A4749,$B$3:$B$5000,"&gt;"&amp;$B4749)=0),NOW(),_xlfn.MINIFS($B$3:$B$5000,$A$3:$A$5000,$A4749,$B$3:$B$5000,"&gt;"&amp;$B4749))</f>
        <v>46279.5987645246</v>
      </c>
    </row>
    <row r="4750" customFormat="false" ht="15" hidden="false" customHeight="true" outlineLevel="0" collapsed="false">
      <c r="A4750" s="42"/>
      <c r="B4750" s="42"/>
      <c r="C4750" s="42"/>
      <c r="D4750" s="42"/>
      <c r="E4750" s="42"/>
      <c r="F4750" s="51" t="n">
        <f aca="false">IF(OR(C4750="",D4750="",E4750="",E4750=0),0,C4750*D4750/E4750)</f>
        <v>0</v>
      </c>
      <c r="G4750" s="42"/>
      <c r="H4750" s="49" t="n">
        <f aca="true">IF(OR($A4750="",_xlfn.MINIFS($B$3:$B$5000,$A$3:$A$5000,$A4750,$B$3:$B$5000,"&gt;"&amp;$B4750)=0),NOW(),_xlfn.MINIFS($B$3:$B$5000,$A$3:$A$5000,$A4750,$B$3:$B$5000,"&gt;"&amp;$B4750))</f>
        <v>46279.5987645247</v>
      </c>
    </row>
    <row r="4751" customFormat="false" ht="15" hidden="false" customHeight="true" outlineLevel="0" collapsed="false">
      <c r="A4751" s="42"/>
      <c r="B4751" s="42"/>
      <c r="C4751" s="42"/>
      <c r="D4751" s="42"/>
      <c r="E4751" s="42"/>
      <c r="F4751" s="51" t="n">
        <f aca="false">IF(OR(C4751="",D4751="",E4751="",E4751=0),0,C4751*D4751/E4751)</f>
        <v>0</v>
      </c>
      <c r="G4751" s="42"/>
      <c r="H4751" s="49" t="n">
        <f aca="true">IF(OR($A4751="",_xlfn.MINIFS($B$3:$B$5000,$A$3:$A$5000,$A4751,$B$3:$B$5000,"&gt;"&amp;$B4751)=0),NOW(),_xlfn.MINIFS($B$3:$B$5000,$A$3:$A$5000,$A4751,$B$3:$B$5000,"&gt;"&amp;$B4751))</f>
        <v>46279.5987645247</v>
      </c>
    </row>
    <row r="4752" customFormat="false" ht="15" hidden="false" customHeight="true" outlineLevel="0" collapsed="false">
      <c r="A4752" s="42"/>
      <c r="B4752" s="42"/>
      <c r="C4752" s="42"/>
      <c r="D4752" s="42"/>
      <c r="E4752" s="42"/>
      <c r="F4752" s="51" t="n">
        <f aca="false">IF(OR(C4752="",D4752="",E4752="",E4752=0),0,C4752*D4752/E4752)</f>
        <v>0</v>
      </c>
      <c r="G4752" s="42"/>
      <c r="H4752" s="49" t="n">
        <f aca="true">IF(OR($A4752="",_xlfn.MINIFS($B$3:$B$5000,$A$3:$A$5000,$A4752,$B$3:$B$5000,"&gt;"&amp;$B4752)=0),NOW(),_xlfn.MINIFS($B$3:$B$5000,$A$3:$A$5000,$A4752,$B$3:$B$5000,"&gt;"&amp;$B4752))</f>
        <v>46279.5987645248</v>
      </c>
    </row>
    <row r="4753" customFormat="false" ht="15" hidden="false" customHeight="true" outlineLevel="0" collapsed="false">
      <c r="A4753" s="42"/>
      <c r="B4753" s="42"/>
      <c r="C4753" s="42"/>
      <c r="D4753" s="42"/>
      <c r="E4753" s="42"/>
      <c r="F4753" s="51" t="n">
        <f aca="false">IF(OR(C4753="",D4753="",E4753="",E4753=0),0,C4753*D4753/E4753)</f>
        <v>0</v>
      </c>
      <c r="G4753" s="42"/>
      <c r="H4753" s="49" t="n">
        <f aca="true">IF(OR($A4753="",_xlfn.MINIFS($B$3:$B$5000,$A$3:$A$5000,$A4753,$B$3:$B$5000,"&gt;"&amp;$B4753)=0),NOW(),_xlfn.MINIFS($B$3:$B$5000,$A$3:$A$5000,$A4753,$B$3:$B$5000,"&gt;"&amp;$B4753))</f>
        <v>46279.5987645248</v>
      </c>
    </row>
    <row r="4754" customFormat="false" ht="15" hidden="false" customHeight="true" outlineLevel="0" collapsed="false">
      <c r="A4754" s="42"/>
      <c r="B4754" s="42"/>
      <c r="C4754" s="42"/>
      <c r="D4754" s="42"/>
      <c r="E4754" s="42"/>
      <c r="F4754" s="51" t="n">
        <f aca="false">IF(OR(C4754="",D4754="",E4754="",E4754=0),0,C4754*D4754/E4754)</f>
        <v>0</v>
      </c>
      <c r="G4754" s="42"/>
      <c r="H4754" s="49" t="n">
        <f aca="true">IF(OR($A4754="",_xlfn.MINIFS($B$3:$B$5000,$A$3:$A$5000,$A4754,$B$3:$B$5000,"&gt;"&amp;$B4754)=0),NOW(),_xlfn.MINIFS($B$3:$B$5000,$A$3:$A$5000,$A4754,$B$3:$B$5000,"&gt;"&amp;$B4754))</f>
        <v>46279.5987645249</v>
      </c>
    </row>
    <row r="4755" customFormat="false" ht="15" hidden="false" customHeight="true" outlineLevel="0" collapsed="false">
      <c r="A4755" s="42"/>
      <c r="B4755" s="42"/>
      <c r="C4755" s="42"/>
      <c r="D4755" s="42"/>
      <c r="E4755" s="42"/>
      <c r="F4755" s="51" t="n">
        <f aca="false">IF(OR(C4755="",D4755="",E4755="",E4755=0),0,C4755*D4755/E4755)</f>
        <v>0</v>
      </c>
      <c r="G4755" s="42"/>
      <c r="H4755" s="49" t="n">
        <f aca="true">IF(OR($A4755="",_xlfn.MINIFS($B$3:$B$5000,$A$3:$A$5000,$A4755,$B$3:$B$5000,"&gt;"&amp;$B4755)=0),NOW(),_xlfn.MINIFS($B$3:$B$5000,$A$3:$A$5000,$A4755,$B$3:$B$5000,"&gt;"&amp;$B4755))</f>
        <v>46279.5987645249</v>
      </c>
    </row>
    <row r="4756" customFormat="false" ht="15" hidden="false" customHeight="true" outlineLevel="0" collapsed="false">
      <c r="A4756" s="42"/>
      <c r="B4756" s="42"/>
      <c r="C4756" s="42"/>
      <c r="D4756" s="42"/>
      <c r="E4756" s="42"/>
      <c r="F4756" s="51" t="n">
        <f aca="false">IF(OR(C4756="",D4756="",E4756="",E4756=0),0,C4756*D4756/E4756)</f>
        <v>0</v>
      </c>
      <c r="G4756" s="42"/>
      <c r="H4756" s="49" t="n">
        <f aca="true">IF(OR($A4756="",_xlfn.MINIFS($B$3:$B$5000,$A$3:$A$5000,$A4756,$B$3:$B$5000,"&gt;"&amp;$B4756)=0),NOW(),_xlfn.MINIFS($B$3:$B$5000,$A$3:$A$5000,$A4756,$B$3:$B$5000,"&gt;"&amp;$B4756))</f>
        <v>46279.598764525</v>
      </c>
    </row>
    <row r="4757" customFormat="false" ht="15" hidden="false" customHeight="true" outlineLevel="0" collapsed="false">
      <c r="A4757" s="42"/>
      <c r="B4757" s="42"/>
      <c r="C4757" s="42"/>
      <c r="D4757" s="42"/>
      <c r="E4757" s="42"/>
      <c r="F4757" s="51" t="n">
        <f aca="false">IF(OR(C4757="",D4757="",E4757="",E4757=0),0,C4757*D4757/E4757)</f>
        <v>0</v>
      </c>
      <c r="G4757" s="42"/>
      <c r="H4757" s="49" t="n">
        <f aca="true">IF(OR($A4757="",_xlfn.MINIFS($B$3:$B$5000,$A$3:$A$5000,$A4757,$B$3:$B$5000,"&gt;"&amp;$B4757)=0),NOW(),_xlfn.MINIFS($B$3:$B$5000,$A$3:$A$5000,$A4757,$B$3:$B$5000,"&gt;"&amp;$B4757))</f>
        <v>46279.598764525</v>
      </c>
    </row>
    <row r="4758" customFormat="false" ht="15" hidden="false" customHeight="true" outlineLevel="0" collapsed="false">
      <c r="A4758" s="42"/>
      <c r="B4758" s="42"/>
      <c r="C4758" s="42"/>
      <c r="D4758" s="42"/>
      <c r="E4758" s="42"/>
      <c r="F4758" s="51" t="n">
        <f aca="false">IF(OR(C4758="",D4758="",E4758="",E4758=0),0,C4758*D4758/E4758)</f>
        <v>0</v>
      </c>
      <c r="G4758" s="42"/>
      <c r="H4758" s="49" t="n">
        <f aca="true">IF(OR($A4758="",_xlfn.MINIFS($B$3:$B$5000,$A$3:$A$5000,$A4758,$B$3:$B$5000,"&gt;"&amp;$B4758)=0),NOW(),_xlfn.MINIFS($B$3:$B$5000,$A$3:$A$5000,$A4758,$B$3:$B$5000,"&gt;"&amp;$B4758))</f>
        <v>46279.5987645251</v>
      </c>
    </row>
    <row r="4759" customFormat="false" ht="15" hidden="false" customHeight="true" outlineLevel="0" collapsed="false">
      <c r="A4759" s="42"/>
      <c r="B4759" s="42"/>
      <c r="C4759" s="42"/>
      <c r="D4759" s="42"/>
      <c r="E4759" s="42"/>
      <c r="F4759" s="51" t="n">
        <f aca="false">IF(OR(C4759="",D4759="",E4759="",E4759=0),0,C4759*D4759/E4759)</f>
        <v>0</v>
      </c>
      <c r="G4759" s="42"/>
      <c r="H4759" s="49" t="n">
        <f aca="true">IF(OR($A4759="",_xlfn.MINIFS($B$3:$B$5000,$A$3:$A$5000,$A4759,$B$3:$B$5000,"&gt;"&amp;$B4759)=0),NOW(),_xlfn.MINIFS($B$3:$B$5000,$A$3:$A$5000,$A4759,$B$3:$B$5000,"&gt;"&amp;$B4759))</f>
        <v>46279.5987645251</v>
      </c>
    </row>
    <row r="4760" customFormat="false" ht="15" hidden="false" customHeight="true" outlineLevel="0" collapsed="false">
      <c r="A4760" s="42"/>
      <c r="B4760" s="42"/>
      <c r="C4760" s="42"/>
      <c r="D4760" s="42"/>
      <c r="E4760" s="42"/>
      <c r="F4760" s="51" t="n">
        <f aca="false">IF(OR(C4760="",D4760="",E4760="",E4760=0),0,C4760*D4760/E4760)</f>
        <v>0</v>
      </c>
      <c r="G4760" s="42"/>
      <c r="H4760" s="49" t="n">
        <f aca="true">IF(OR($A4760="",_xlfn.MINIFS($B$3:$B$5000,$A$3:$A$5000,$A4760,$B$3:$B$5000,"&gt;"&amp;$B4760)=0),NOW(),_xlfn.MINIFS($B$3:$B$5000,$A$3:$A$5000,$A4760,$B$3:$B$5000,"&gt;"&amp;$B4760))</f>
        <v>46279.5987645252</v>
      </c>
    </row>
    <row r="4761" customFormat="false" ht="15" hidden="false" customHeight="true" outlineLevel="0" collapsed="false">
      <c r="A4761" s="42"/>
      <c r="B4761" s="42"/>
      <c r="C4761" s="42"/>
      <c r="D4761" s="42"/>
      <c r="E4761" s="42"/>
      <c r="F4761" s="51" t="n">
        <f aca="false">IF(OR(C4761="",D4761="",E4761="",E4761=0),0,C4761*D4761/E4761)</f>
        <v>0</v>
      </c>
      <c r="G4761" s="42"/>
      <c r="H4761" s="49" t="n">
        <f aca="true">IF(OR($A4761="",_xlfn.MINIFS($B$3:$B$5000,$A$3:$A$5000,$A4761,$B$3:$B$5000,"&gt;"&amp;$B4761)=0),NOW(),_xlfn.MINIFS($B$3:$B$5000,$A$3:$A$5000,$A4761,$B$3:$B$5000,"&gt;"&amp;$B4761))</f>
        <v>46279.5987645252</v>
      </c>
    </row>
    <row r="4762" customFormat="false" ht="15" hidden="false" customHeight="true" outlineLevel="0" collapsed="false">
      <c r="A4762" s="42"/>
      <c r="B4762" s="42"/>
      <c r="C4762" s="42"/>
      <c r="D4762" s="42"/>
      <c r="E4762" s="42"/>
      <c r="F4762" s="51" t="n">
        <f aca="false">IF(OR(C4762="",D4762="",E4762="",E4762=0),0,C4762*D4762/E4762)</f>
        <v>0</v>
      </c>
      <c r="G4762" s="42"/>
      <c r="H4762" s="49" t="n">
        <f aca="true">IF(OR($A4762="",_xlfn.MINIFS($B$3:$B$5000,$A$3:$A$5000,$A4762,$B$3:$B$5000,"&gt;"&amp;$B4762)=0),NOW(),_xlfn.MINIFS($B$3:$B$5000,$A$3:$A$5000,$A4762,$B$3:$B$5000,"&gt;"&amp;$B4762))</f>
        <v>46279.5987645253</v>
      </c>
    </row>
    <row r="4763" customFormat="false" ht="15" hidden="false" customHeight="true" outlineLevel="0" collapsed="false">
      <c r="A4763" s="42"/>
      <c r="B4763" s="42"/>
      <c r="C4763" s="42"/>
      <c r="D4763" s="42"/>
      <c r="E4763" s="42"/>
      <c r="F4763" s="51" t="n">
        <f aca="false">IF(OR(C4763="",D4763="",E4763="",E4763=0),0,C4763*D4763/E4763)</f>
        <v>0</v>
      </c>
      <c r="G4763" s="42"/>
      <c r="H4763" s="49" t="n">
        <f aca="true">IF(OR($A4763="",_xlfn.MINIFS($B$3:$B$5000,$A$3:$A$5000,$A4763,$B$3:$B$5000,"&gt;"&amp;$B4763)=0),NOW(),_xlfn.MINIFS($B$3:$B$5000,$A$3:$A$5000,$A4763,$B$3:$B$5000,"&gt;"&amp;$B4763))</f>
        <v>46279.5987645254</v>
      </c>
    </row>
    <row r="4764" customFormat="false" ht="15" hidden="false" customHeight="true" outlineLevel="0" collapsed="false">
      <c r="A4764" s="42"/>
      <c r="B4764" s="42"/>
      <c r="C4764" s="42"/>
      <c r="D4764" s="42"/>
      <c r="E4764" s="42"/>
      <c r="F4764" s="51" t="n">
        <f aca="false">IF(OR(C4764="",D4764="",E4764="",E4764=0),0,C4764*D4764/E4764)</f>
        <v>0</v>
      </c>
      <c r="G4764" s="42"/>
      <c r="H4764" s="49" t="n">
        <f aca="true">IF(OR($A4764="",_xlfn.MINIFS($B$3:$B$5000,$A$3:$A$5000,$A4764,$B$3:$B$5000,"&gt;"&amp;$B4764)=0),NOW(),_xlfn.MINIFS($B$3:$B$5000,$A$3:$A$5000,$A4764,$B$3:$B$5000,"&gt;"&amp;$B4764))</f>
        <v>46279.5987645254</v>
      </c>
    </row>
    <row r="4765" customFormat="false" ht="15" hidden="false" customHeight="true" outlineLevel="0" collapsed="false">
      <c r="A4765" s="42"/>
      <c r="B4765" s="42"/>
      <c r="C4765" s="42"/>
      <c r="D4765" s="42"/>
      <c r="E4765" s="42"/>
      <c r="F4765" s="51" t="n">
        <f aca="false">IF(OR(C4765="",D4765="",E4765="",E4765=0),0,C4765*D4765/E4765)</f>
        <v>0</v>
      </c>
      <c r="G4765" s="42"/>
      <c r="H4765" s="49" t="n">
        <f aca="true">IF(OR($A4765="",_xlfn.MINIFS($B$3:$B$5000,$A$3:$A$5000,$A4765,$B$3:$B$5000,"&gt;"&amp;$B4765)=0),NOW(),_xlfn.MINIFS($B$3:$B$5000,$A$3:$A$5000,$A4765,$B$3:$B$5000,"&gt;"&amp;$B4765))</f>
        <v>46279.5987645255</v>
      </c>
    </row>
    <row r="4766" customFormat="false" ht="15" hidden="false" customHeight="true" outlineLevel="0" collapsed="false">
      <c r="A4766" s="42"/>
      <c r="B4766" s="42"/>
      <c r="C4766" s="42"/>
      <c r="D4766" s="42"/>
      <c r="E4766" s="42"/>
      <c r="F4766" s="51" t="n">
        <f aca="false">IF(OR(C4766="",D4766="",E4766="",E4766=0),0,C4766*D4766/E4766)</f>
        <v>0</v>
      </c>
      <c r="G4766" s="42"/>
      <c r="H4766" s="49" t="n">
        <f aca="true">IF(OR($A4766="",_xlfn.MINIFS($B$3:$B$5000,$A$3:$A$5000,$A4766,$B$3:$B$5000,"&gt;"&amp;$B4766)=0),NOW(),_xlfn.MINIFS($B$3:$B$5000,$A$3:$A$5000,$A4766,$B$3:$B$5000,"&gt;"&amp;$B4766))</f>
        <v>46279.5987645255</v>
      </c>
    </row>
    <row r="4767" customFormat="false" ht="15" hidden="false" customHeight="true" outlineLevel="0" collapsed="false">
      <c r="A4767" s="42"/>
      <c r="B4767" s="42"/>
      <c r="C4767" s="42"/>
      <c r="D4767" s="42"/>
      <c r="E4767" s="42"/>
      <c r="F4767" s="51" t="n">
        <f aca="false">IF(OR(C4767="",D4767="",E4767="",E4767=0),0,C4767*D4767/E4767)</f>
        <v>0</v>
      </c>
      <c r="G4767" s="42"/>
      <c r="H4767" s="49" t="n">
        <f aca="true">IF(OR($A4767="",_xlfn.MINIFS($B$3:$B$5000,$A$3:$A$5000,$A4767,$B$3:$B$5000,"&gt;"&amp;$B4767)=0),NOW(),_xlfn.MINIFS($B$3:$B$5000,$A$3:$A$5000,$A4767,$B$3:$B$5000,"&gt;"&amp;$B4767))</f>
        <v>46279.5987645256</v>
      </c>
    </row>
    <row r="4768" customFormat="false" ht="15" hidden="false" customHeight="true" outlineLevel="0" collapsed="false">
      <c r="A4768" s="42"/>
      <c r="B4768" s="42"/>
      <c r="C4768" s="42"/>
      <c r="D4768" s="42"/>
      <c r="E4768" s="42"/>
      <c r="F4768" s="51" t="n">
        <f aca="false">IF(OR(C4768="",D4768="",E4768="",E4768=0),0,C4768*D4768/E4768)</f>
        <v>0</v>
      </c>
      <c r="G4768" s="42"/>
      <c r="H4768" s="49" t="n">
        <f aca="true">IF(OR($A4768="",_xlfn.MINIFS($B$3:$B$5000,$A$3:$A$5000,$A4768,$B$3:$B$5000,"&gt;"&amp;$B4768)=0),NOW(),_xlfn.MINIFS($B$3:$B$5000,$A$3:$A$5000,$A4768,$B$3:$B$5000,"&gt;"&amp;$B4768))</f>
        <v>46279.5987645256</v>
      </c>
    </row>
    <row r="4769" customFormat="false" ht="15" hidden="false" customHeight="true" outlineLevel="0" collapsed="false">
      <c r="A4769" s="42"/>
      <c r="B4769" s="42"/>
      <c r="C4769" s="42"/>
      <c r="D4769" s="42"/>
      <c r="E4769" s="42"/>
      <c r="F4769" s="51" t="n">
        <f aca="false">IF(OR(C4769="",D4769="",E4769="",E4769=0),0,C4769*D4769/E4769)</f>
        <v>0</v>
      </c>
      <c r="G4769" s="42"/>
      <c r="H4769" s="49" t="n">
        <f aca="true">IF(OR($A4769="",_xlfn.MINIFS($B$3:$B$5000,$A$3:$A$5000,$A4769,$B$3:$B$5000,"&gt;"&amp;$B4769)=0),NOW(),_xlfn.MINIFS($B$3:$B$5000,$A$3:$A$5000,$A4769,$B$3:$B$5000,"&gt;"&amp;$B4769))</f>
        <v>46279.5987645257</v>
      </c>
    </row>
    <row r="4770" customFormat="false" ht="15" hidden="false" customHeight="true" outlineLevel="0" collapsed="false">
      <c r="A4770" s="42"/>
      <c r="B4770" s="42"/>
      <c r="C4770" s="42"/>
      <c r="D4770" s="42"/>
      <c r="E4770" s="42"/>
      <c r="F4770" s="51" t="n">
        <f aca="false">IF(OR(C4770="",D4770="",E4770="",E4770=0),0,C4770*D4770/E4770)</f>
        <v>0</v>
      </c>
      <c r="G4770" s="42"/>
      <c r="H4770" s="49" t="n">
        <f aca="true">IF(OR($A4770="",_xlfn.MINIFS($B$3:$B$5000,$A$3:$A$5000,$A4770,$B$3:$B$5000,"&gt;"&amp;$B4770)=0),NOW(),_xlfn.MINIFS($B$3:$B$5000,$A$3:$A$5000,$A4770,$B$3:$B$5000,"&gt;"&amp;$B4770))</f>
        <v>46279.5987645257</v>
      </c>
    </row>
    <row r="4771" customFormat="false" ht="15" hidden="false" customHeight="true" outlineLevel="0" collapsed="false">
      <c r="A4771" s="42"/>
      <c r="B4771" s="42"/>
      <c r="C4771" s="42"/>
      <c r="D4771" s="42"/>
      <c r="E4771" s="42"/>
      <c r="F4771" s="51" t="n">
        <f aca="false">IF(OR(C4771="",D4771="",E4771="",E4771=0),0,C4771*D4771/E4771)</f>
        <v>0</v>
      </c>
      <c r="G4771" s="42"/>
      <c r="H4771" s="49" t="n">
        <f aca="true">IF(OR($A4771="",_xlfn.MINIFS($B$3:$B$5000,$A$3:$A$5000,$A4771,$B$3:$B$5000,"&gt;"&amp;$B4771)=0),NOW(),_xlfn.MINIFS($B$3:$B$5000,$A$3:$A$5000,$A4771,$B$3:$B$5000,"&gt;"&amp;$B4771))</f>
        <v>46279.5987645258</v>
      </c>
    </row>
    <row r="4772" customFormat="false" ht="15" hidden="false" customHeight="true" outlineLevel="0" collapsed="false">
      <c r="A4772" s="42"/>
      <c r="B4772" s="42"/>
      <c r="C4772" s="42"/>
      <c r="D4772" s="42"/>
      <c r="E4772" s="42"/>
      <c r="F4772" s="51" t="n">
        <f aca="false">IF(OR(C4772="",D4772="",E4772="",E4772=0),0,C4772*D4772/E4772)</f>
        <v>0</v>
      </c>
      <c r="G4772" s="42"/>
      <c r="H4772" s="49" t="n">
        <f aca="true">IF(OR($A4772="",_xlfn.MINIFS($B$3:$B$5000,$A$3:$A$5000,$A4772,$B$3:$B$5000,"&gt;"&amp;$B4772)=0),NOW(),_xlfn.MINIFS($B$3:$B$5000,$A$3:$A$5000,$A4772,$B$3:$B$5000,"&gt;"&amp;$B4772))</f>
        <v>46279.5987645258</v>
      </c>
    </row>
    <row r="4773" customFormat="false" ht="15" hidden="false" customHeight="true" outlineLevel="0" collapsed="false">
      <c r="A4773" s="42"/>
      <c r="B4773" s="42"/>
      <c r="C4773" s="42"/>
      <c r="D4773" s="42"/>
      <c r="E4773" s="42"/>
      <c r="F4773" s="51" t="n">
        <f aca="false">IF(OR(C4773="",D4773="",E4773="",E4773=0),0,C4773*D4773/E4773)</f>
        <v>0</v>
      </c>
      <c r="G4773" s="42"/>
      <c r="H4773" s="49" t="n">
        <f aca="true">IF(OR($A4773="",_xlfn.MINIFS($B$3:$B$5000,$A$3:$A$5000,$A4773,$B$3:$B$5000,"&gt;"&amp;$B4773)=0),NOW(),_xlfn.MINIFS($B$3:$B$5000,$A$3:$A$5000,$A4773,$B$3:$B$5000,"&gt;"&amp;$B4773))</f>
        <v>46279.5987645259</v>
      </c>
    </row>
    <row r="4774" customFormat="false" ht="15" hidden="false" customHeight="true" outlineLevel="0" collapsed="false">
      <c r="A4774" s="42"/>
      <c r="B4774" s="42"/>
      <c r="C4774" s="42"/>
      <c r="D4774" s="42"/>
      <c r="E4774" s="42"/>
      <c r="F4774" s="51" t="n">
        <f aca="false">IF(OR(C4774="",D4774="",E4774="",E4774=0),0,C4774*D4774/E4774)</f>
        <v>0</v>
      </c>
      <c r="G4774" s="42"/>
      <c r="H4774" s="49" t="n">
        <f aca="true">IF(OR($A4774="",_xlfn.MINIFS($B$3:$B$5000,$A$3:$A$5000,$A4774,$B$3:$B$5000,"&gt;"&amp;$B4774)=0),NOW(),_xlfn.MINIFS($B$3:$B$5000,$A$3:$A$5000,$A4774,$B$3:$B$5000,"&gt;"&amp;$B4774))</f>
        <v>46279.5987645259</v>
      </c>
    </row>
    <row r="4775" customFormat="false" ht="15" hidden="false" customHeight="true" outlineLevel="0" collapsed="false">
      <c r="A4775" s="42"/>
      <c r="B4775" s="42"/>
      <c r="C4775" s="42"/>
      <c r="D4775" s="42"/>
      <c r="E4775" s="42"/>
      <c r="F4775" s="51" t="n">
        <f aca="false">IF(OR(C4775="",D4775="",E4775="",E4775=0),0,C4775*D4775/E4775)</f>
        <v>0</v>
      </c>
      <c r="G4775" s="42"/>
      <c r="H4775" s="49" t="n">
        <f aca="true">IF(OR($A4775="",_xlfn.MINIFS($B$3:$B$5000,$A$3:$A$5000,$A4775,$B$3:$B$5000,"&gt;"&amp;$B4775)=0),NOW(),_xlfn.MINIFS($B$3:$B$5000,$A$3:$A$5000,$A4775,$B$3:$B$5000,"&gt;"&amp;$B4775))</f>
        <v>46279.598764526</v>
      </c>
    </row>
    <row r="4776" customFormat="false" ht="15" hidden="false" customHeight="true" outlineLevel="0" collapsed="false">
      <c r="A4776" s="42"/>
      <c r="B4776" s="42"/>
      <c r="C4776" s="42"/>
      <c r="D4776" s="42"/>
      <c r="E4776" s="42"/>
      <c r="F4776" s="51" t="n">
        <f aca="false">IF(OR(C4776="",D4776="",E4776="",E4776=0),0,C4776*D4776/E4776)</f>
        <v>0</v>
      </c>
      <c r="G4776" s="42"/>
      <c r="H4776" s="49" t="n">
        <f aca="true">IF(OR($A4776="",_xlfn.MINIFS($B$3:$B$5000,$A$3:$A$5000,$A4776,$B$3:$B$5000,"&gt;"&amp;$B4776)=0),NOW(),_xlfn.MINIFS($B$3:$B$5000,$A$3:$A$5000,$A4776,$B$3:$B$5000,"&gt;"&amp;$B4776))</f>
        <v>46279.598764526</v>
      </c>
    </row>
    <row r="4777" customFormat="false" ht="15" hidden="false" customHeight="true" outlineLevel="0" collapsed="false">
      <c r="A4777" s="42"/>
      <c r="B4777" s="42"/>
      <c r="C4777" s="42"/>
      <c r="D4777" s="42"/>
      <c r="E4777" s="42"/>
      <c r="F4777" s="51" t="n">
        <f aca="false">IF(OR(C4777="",D4777="",E4777="",E4777=0),0,C4777*D4777/E4777)</f>
        <v>0</v>
      </c>
      <c r="G4777" s="42"/>
      <c r="H4777" s="49" t="n">
        <f aca="true">IF(OR($A4777="",_xlfn.MINIFS($B$3:$B$5000,$A$3:$A$5000,$A4777,$B$3:$B$5000,"&gt;"&amp;$B4777)=0),NOW(),_xlfn.MINIFS($B$3:$B$5000,$A$3:$A$5000,$A4777,$B$3:$B$5000,"&gt;"&amp;$B4777))</f>
        <v>46279.5987645261</v>
      </c>
    </row>
    <row r="4778" customFormat="false" ht="15" hidden="false" customHeight="true" outlineLevel="0" collapsed="false">
      <c r="A4778" s="42"/>
      <c r="B4778" s="42"/>
      <c r="C4778" s="42"/>
      <c r="D4778" s="42"/>
      <c r="E4778" s="42"/>
      <c r="F4778" s="51" t="n">
        <f aca="false">IF(OR(C4778="",D4778="",E4778="",E4778=0),0,C4778*D4778/E4778)</f>
        <v>0</v>
      </c>
      <c r="G4778" s="42"/>
      <c r="H4778" s="49" t="n">
        <f aca="true">IF(OR($A4778="",_xlfn.MINIFS($B$3:$B$5000,$A$3:$A$5000,$A4778,$B$3:$B$5000,"&gt;"&amp;$B4778)=0),NOW(),_xlfn.MINIFS($B$3:$B$5000,$A$3:$A$5000,$A4778,$B$3:$B$5000,"&gt;"&amp;$B4778))</f>
        <v>46279.5987645261</v>
      </c>
    </row>
    <row r="4779" customFormat="false" ht="15" hidden="false" customHeight="true" outlineLevel="0" collapsed="false">
      <c r="A4779" s="42"/>
      <c r="B4779" s="42"/>
      <c r="C4779" s="42"/>
      <c r="D4779" s="42"/>
      <c r="E4779" s="42"/>
      <c r="F4779" s="51" t="n">
        <f aca="false">IF(OR(C4779="",D4779="",E4779="",E4779=0),0,C4779*D4779/E4779)</f>
        <v>0</v>
      </c>
      <c r="G4779" s="42"/>
      <c r="H4779" s="49" t="n">
        <f aca="true">IF(OR($A4779="",_xlfn.MINIFS($B$3:$B$5000,$A$3:$A$5000,$A4779,$B$3:$B$5000,"&gt;"&amp;$B4779)=0),NOW(),_xlfn.MINIFS($B$3:$B$5000,$A$3:$A$5000,$A4779,$B$3:$B$5000,"&gt;"&amp;$B4779))</f>
        <v>46279.5987645262</v>
      </c>
    </row>
    <row r="4780" customFormat="false" ht="15" hidden="false" customHeight="true" outlineLevel="0" collapsed="false">
      <c r="A4780" s="42"/>
      <c r="B4780" s="42"/>
      <c r="C4780" s="42"/>
      <c r="D4780" s="42"/>
      <c r="E4780" s="42"/>
      <c r="F4780" s="51" t="n">
        <f aca="false">IF(OR(C4780="",D4780="",E4780="",E4780=0),0,C4780*D4780/E4780)</f>
        <v>0</v>
      </c>
      <c r="G4780" s="42"/>
      <c r="H4780" s="49" t="n">
        <f aca="true">IF(OR($A4780="",_xlfn.MINIFS($B$3:$B$5000,$A$3:$A$5000,$A4780,$B$3:$B$5000,"&gt;"&amp;$B4780)=0),NOW(),_xlfn.MINIFS($B$3:$B$5000,$A$3:$A$5000,$A4780,$B$3:$B$5000,"&gt;"&amp;$B4780))</f>
        <v>46279.5987645262</v>
      </c>
    </row>
    <row r="4781" customFormat="false" ht="15" hidden="false" customHeight="true" outlineLevel="0" collapsed="false">
      <c r="A4781" s="42"/>
      <c r="B4781" s="42"/>
      <c r="C4781" s="42"/>
      <c r="D4781" s="42"/>
      <c r="E4781" s="42"/>
      <c r="F4781" s="51" t="n">
        <f aca="false">IF(OR(C4781="",D4781="",E4781="",E4781=0),0,C4781*D4781/E4781)</f>
        <v>0</v>
      </c>
      <c r="G4781" s="42"/>
      <c r="H4781" s="49" t="n">
        <f aca="true">IF(OR($A4781="",_xlfn.MINIFS($B$3:$B$5000,$A$3:$A$5000,$A4781,$B$3:$B$5000,"&gt;"&amp;$B4781)=0),NOW(),_xlfn.MINIFS($B$3:$B$5000,$A$3:$A$5000,$A4781,$B$3:$B$5000,"&gt;"&amp;$B4781))</f>
        <v>46279.5987645263</v>
      </c>
    </row>
    <row r="4782" customFormat="false" ht="15" hidden="false" customHeight="true" outlineLevel="0" collapsed="false">
      <c r="A4782" s="42"/>
      <c r="B4782" s="42"/>
      <c r="C4782" s="42"/>
      <c r="D4782" s="42"/>
      <c r="E4782" s="42"/>
      <c r="F4782" s="51" t="n">
        <f aca="false">IF(OR(C4782="",D4782="",E4782="",E4782=0),0,C4782*D4782/E4782)</f>
        <v>0</v>
      </c>
      <c r="G4782" s="42"/>
      <c r="H4782" s="49" t="n">
        <f aca="true">IF(OR($A4782="",_xlfn.MINIFS($B$3:$B$5000,$A$3:$A$5000,$A4782,$B$3:$B$5000,"&gt;"&amp;$B4782)=0),NOW(),_xlfn.MINIFS($B$3:$B$5000,$A$3:$A$5000,$A4782,$B$3:$B$5000,"&gt;"&amp;$B4782))</f>
        <v>46279.5987645263</v>
      </c>
    </row>
    <row r="4783" customFormat="false" ht="15" hidden="false" customHeight="true" outlineLevel="0" collapsed="false">
      <c r="A4783" s="42"/>
      <c r="B4783" s="42"/>
      <c r="C4783" s="42"/>
      <c r="D4783" s="42"/>
      <c r="E4783" s="42"/>
      <c r="F4783" s="51" t="n">
        <f aca="false">IF(OR(C4783="",D4783="",E4783="",E4783=0),0,C4783*D4783/E4783)</f>
        <v>0</v>
      </c>
      <c r="G4783" s="42"/>
      <c r="H4783" s="49" t="n">
        <f aca="true">IF(OR($A4783="",_xlfn.MINIFS($B$3:$B$5000,$A$3:$A$5000,$A4783,$B$3:$B$5000,"&gt;"&amp;$B4783)=0),NOW(),_xlfn.MINIFS($B$3:$B$5000,$A$3:$A$5000,$A4783,$B$3:$B$5000,"&gt;"&amp;$B4783))</f>
        <v>46279.5987645264</v>
      </c>
    </row>
    <row r="4784" customFormat="false" ht="15" hidden="false" customHeight="true" outlineLevel="0" collapsed="false">
      <c r="A4784" s="42"/>
      <c r="B4784" s="42"/>
      <c r="C4784" s="42"/>
      <c r="D4784" s="42"/>
      <c r="E4784" s="42"/>
      <c r="F4784" s="51" t="n">
        <f aca="false">IF(OR(C4784="",D4784="",E4784="",E4784=0),0,C4784*D4784/E4784)</f>
        <v>0</v>
      </c>
      <c r="G4784" s="42"/>
      <c r="H4784" s="49" t="n">
        <f aca="true">IF(OR($A4784="",_xlfn.MINIFS($B$3:$B$5000,$A$3:$A$5000,$A4784,$B$3:$B$5000,"&gt;"&amp;$B4784)=0),NOW(),_xlfn.MINIFS($B$3:$B$5000,$A$3:$A$5000,$A4784,$B$3:$B$5000,"&gt;"&amp;$B4784))</f>
        <v>46279.5987645264</v>
      </c>
    </row>
    <row r="4785" customFormat="false" ht="15" hidden="false" customHeight="true" outlineLevel="0" collapsed="false">
      <c r="A4785" s="42"/>
      <c r="B4785" s="42"/>
      <c r="C4785" s="42"/>
      <c r="D4785" s="42"/>
      <c r="E4785" s="42"/>
      <c r="F4785" s="51" t="n">
        <f aca="false">IF(OR(C4785="",D4785="",E4785="",E4785=0),0,C4785*D4785/E4785)</f>
        <v>0</v>
      </c>
      <c r="G4785" s="42"/>
      <c r="H4785" s="49" t="n">
        <f aca="true">IF(OR($A4785="",_xlfn.MINIFS($B$3:$B$5000,$A$3:$A$5000,$A4785,$B$3:$B$5000,"&gt;"&amp;$B4785)=0),NOW(),_xlfn.MINIFS($B$3:$B$5000,$A$3:$A$5000,$A4785,$B$3:$B$5000,"&gt;"&amp;$B4785))</f>
        <v>46279.5987645265</v>
      </c>
    </row>
    <row r="4786" customFormat="false" ht="15" hidden="false" customHeight="true" outlineLevel="0" collapsed="false">
      <c r="A4786" s="42"/>
      <c r="B4786" s="42"/>
      <c r="C4786" s="42"/>
      <c r="D4786" s="42"/>
      <c r="E4786" s="42"/>
      <c r="F4786" s="51" t="n">
        <f aca="false">IF(OR(C4786="",D4786="",E4786="",E4786=0),0,C4786*D4786/E4786)</f>
        <v>0</v>
      </c>
      <c r="G4786" s="42"/>
      <c r="H4786" s="49" t="n">
        <f aca="true">IF(OR($A4786="",_xlfn.MINIFS($B$3:$B$5000,$A$3:$A$5000,$A4786,$B$3:$B$5000,"&gt;"&amp;$B4786)=0),NOW(),_xlfn.MINIFS($B$3:$B$5000,$A$3:$A$5000,$A4786,$B$3:$B$5000,"&gt;"&amp;$B4786))</f>
        <v>46279.5987645265</v>
      </c>
    </row>
    <row r="4787" customFormat="false" ht="15" hidden="false" customHeight="true" outlineLevel="0" collapsed="false">
      <c r="A4787" s="42"/>
      <c r="B4787" s="42"/>
      <c r="C4787" s="42"/>
      <c r="D4787" s="42"/>
      <c r="E4787" s="42"/>
      <c r="F4787" s="51" t="n">
        <f aca="false">IF(OR(C4787="",D4787="",E4787="",E4787=0),0,C4787*D4787/E4787)</f>
        <v>0</v>
      </c>
      <c r="G4787" s="42"/>
      <c r="H4787" s="49" t="n">
        <f aca="true">IF(OR($A4787="",_xlfn.MINIFS($B$3:$B$5000,$A$3:$A$5000,$A4787,$B$3:$B$5000,"&gt;"&amp;$B4787)=0),NOW(),_xlfn.MINIFS($B$3:$B$5000,$A$3:$A$5000,$A4787,$B$3:$B$5000,"&gt;"&amp;$B4787))</f>
        <v>46279.5987645266</v>
      </c>
    </row>
    <row r="4788" customFormat="false" ht="15" hidden="false" customHeight="true" outlineLevel="0" collapsed="false">
      <c r="A4788" s="42"/>
      <c r="B4788" s="42"/>
      <c r="C4788" s="42"/>
      <c r="D4788" s="42"/>
      <c r="E4788" s="42"/>
      <c r="F4788" s="51" t="n">
        <f aca="false">IF(OR(C4788="",D4788="",E4788="",E4788=0),0,C4788*D4788/E4788)</f>
        <v>0</v>
      </c>
      <c r="G4788" s="42"/>
      <c r="H4788" s="49" t="n">
        <f aca="true">IF(OR($A4788="",_xlfn.MINIFS($B$3:$B$5000,$A$3:$A$5000,$A4788,$B$3:$B$5000,"&gt;"&amp;$B4788)=0),NOW(),_xlfn.MINIFS($B$3:$B$5000,$A$3:$A$5000,$A4788,$B$3:$B$5000,"&gt;"&amp;$B4788))</f>
        <v>46279.5987645266</v>
      </c>
    </row>
    <row r="4789" customFormat="false" ht="15" hidden="false" customHeight="true" outlineLevel="0" collapsed="false">
      <c r="A4789" s="42"/>
      <c r="B4789" s="42"/>
      <c r="C4789" s="42"/>
      <c r="D4789" s="42"/>
      <c r="E4789" s="42"/>
      <c r="F4789" s="51" t="n">
        <f aca="false">IF(OR(C4789="",D4789="",E4789="",E4789=0),0,C4789*D4789/E4789)</f>
        <v>0</v>
      </c>
      <c r="G4789" s="42"/>
      <c r="H4789" s="49" t="n">
        <f aca="true">IF(OR($A4789="",_xlfn.MINIFS($B$3:$B$5000,$A$3:$A$5000,$A4789,$B$3:$B$5000,"&gt;"&amp;$B4789)=0),NOW(),_xlfn.MINIFS($B$3:$B$5000,$A$3:$A$5000,$A4789,$B$3:$B$5000,"&gt;"&amp;$B4789))</f>
        <v>46279.5987645267</v>
      </c>
    </row>
    <row r="4790" customFormat="false" ht="15" hidden="false" customHeight="true" outlineLevel="0" collapsed="false">
      <c r="A4790" s="42"/>
      <c r="B4790" s="42"/>
      <c r="C4790" s="42"/>
      <c r="D4790" s="42"/>
      <c r="E4790" s="42"/>
      <c r="F4790" s="51" t="n">
        <f aca="false">IF(OR(C4790="",D4790="",E4790="",E4790=0),0,C4790*D4790/E4790)</f>
        <v>0</v>
      </c>
      <c r="G4790" s="42"/>
      <c r="H4790" s="49" t="n">
        <f aca="true">IF(OR($A4790="",_xlfn.MINIFS($B$3:$B$5000,$A$3:$A$5000,$A4790,$B$3:$B$5000,"&gt;"&amp;$B4790)=0),NOW(),_xlfn.MINIFS($B$3:$B$5000,$A$3:$A$5000,$A4790,$B$3:$B$5000,"&gt;"&amp;$B4790))</f>
        <v>46279.5987645267</v>
      </c>
    </row>
    <row r="4791" customFormat="false" ht="15" hidden="false" customHeight="true" outlineLevel="0" collapsed="false">
      <c r="A4791" s="42"/>
      <c r="B4791" s="42"/>
      <c r="C4791" s="42"/>
      <c r="D4791" s="42"/>
      <c r="E4791" s="42"/>
      <c r="F4791" s="51" t="n">
        <f aca="false">IF(OR(C4791="",D4791="",E4791="",E4791=0),0,C4791*D4791/E4791)</f>
        <v>0</v>
      </c>
      <c r="G4791" s="42"/>
      <c r="H4791" s="49" t="n">
        <f aca="true">IF(OR($A4791="",_xlfn.MINIFS($B$3:$B$5000,$A$3:$A$5000,$A4791,$B$3:$B$5000,"&gt;"&amp;$B4791)=0),NOW(),_xlfn.MINIFS($B$3:$B$5000,$A$3:$A$5000,$A4791,$B$3:$B$5000,"&gt;"&amp;$B4791))</f>
        <v>46279.5987645268</v>
      </c>
    </row>
    <row r="4792" customFormat="false" ht="15" hidden="false" customHeight="true" outlineLevel="0" collapsed="false">
      <c r="A4792" s="42"/>
      <c r="B4792" s="42"/>
      <c r="C4792" s="42"/>
      <c r="D4792" s="42"/>
      <c r="E4792" s="42"/>
      <c r="F4792" s="51" t="n">
        <f aca="false">IF(OR(C4792="",D4792="",E4792="",E4792=0),0,C4792*D4792/E4792)</f>
        <v>0</v>
      </c>
      <c r="G4792" s="42"/>
      <c r="H4792" s="49" t="n">
        <f aca="true">IF(OR($A4792="",_xlfn.MINIFS($B$3:$B$5000,$A$3:$A$5000,$A4792,$B$3:$B$5000,"&gt;"&amp;$B4792)=0),NOW(),_xlfn.MINIFS($B$3:$B$5000,$A$3:$A$5000,$A4792,$B$3:$B$5000,"&gt;"&amp;$B4792))</f>
        <v>46279.5987645269</v>
      </c>
    </row>
    <row r="4793" customFormat="false" ht="15" hidden="false" customHeight="true" outlineLevel="0" collapsed="false">
      <c r="A4793" s="42"/>
      <c r="B4793" s="42"/>
      <c r="C4793" s="42"/>
      <c r="D4793" s="42"/>
      <c r="E4793" s="42"/>
      <c r="F4793" s="51" t="n">
        <f aca="false">IF(OR(C4793="",D4793="",E4793="",E4793=0),0,C4793*D4793/E4793)</f>
        <v>0</v>
      </c>
      <c r="G4793" s="42"/>
      <c r="H4793" s="49" t="n">
        <f aca="true">IF(OR($A4793="",_xlfn.MINIFS($B$3:$B$5000,$A$3:$A$5000,$A4793,$B$3:$B$5000,"&gt;"&amp;$B4793)=0),NOW(),_xlfn.MINIFS($B$3:$B$5000,$A$3:$A$5000,$A4793,$B$3:$B$5000,"&gt;"&amp;$B4793))</f>
        <v>46279.5987645269</v>
      </c>
    </row>
    <row r="4794" customFormat="false" ht="15" hidden="false" customHeight="true" outlineLevel="0" collapsed="false">
      <c r="A4794" s="42"/>
      <c r="B4794" s="42"/>
      <c r="C4794" s="42"/>
      <c r="D4794" s="42"/>
      <c r="E4794" s="42"/>
      <c r="F4794" s="51" t="n">
        <f aca="false">IF(OR(C4794="",D4794="",E4794="",E4794=0),0,C4794*D4794/E4794)</f>
        <v>0</v>
      </c>
      <c r="G4794" s="42"/>
      <c r="H4794" s="49" t="n">
        <f aca="true">IF(OR($A4794="",_xlfn.MINIFS($B$3:$B$5000,$A$3:$A$5000,$A4794,$B$3:$B$5000,"&gt;"&amp;$B4794)=0),NOW(),_xlfn.MINIFS($B$3:$B$5000,$A$3:$A$5000,$A4794,$B$3:$B$5000,"&gt;"&amp;$B4794))</f>
        <v>46279.598764527</v>
      </c>
    </row>
    <row r="4795" customFormat="false" ht="15" hidden="false" customHeight="true" outlineLevel="0" collapsed="false">
      <c r="A4795" s="42"/>
      <c r="B4795" s="42"/>
      <c r="C4795" s="42"/>
      <c r="D4795" s="42"/>
      <c r="E4795" s="42"/>
      <c r="F4795" s="51" t="n">
        <f aca="false">IF(OR(C4795="",D4795="",E4795="",E4795=0),0,C4795*D4795/E4795)</f>
        <v>0</v>
      </c>
      <c r="G4795" s="42"/>
      <c r="H4795" s="49" t="n">
        <f aca="true">IF(OR($A4795="",_xlfn.MINIFS($B$3:$B$5000,$A$3:$A$5000,$A4795,$B$3:$B$5000,"&gt;"&amp;$B4795)=0),NOW(),_xlfn.MINIFS($B$3:$B$5000,$A$3:$A$5000,$A4795,$B$3:$B$5000,"&gt;"&amp;$B4795))</f>
        <v>46279.598764527</v>
      </c>
    </row>
    <row r="4796" customFormat="false" ht="15" hidden="false" customHeight="true" outlineLevel="0" collapsed="false">
      <c r="A4796" s="42"/>
      <c r="B4796" s="42"/>
      <c r="C4796" s="42"/>
      <c r="D4796" s="42"/>
      <c r="E4796" s="42"/>
      <c r="F4796" s="51" t="n">
        <f aca="false">IF(OR(C4796="",D4796="",E4796="",E4796=0),0,C4796*D4796/E4796)</f>
        <v>0</v>
      </c>
      <c r="G4796" s="42"/>
      <c r="H4796" s="49" t="n">
        <f aca="true">IF(OR($A4796="",_xlfn.MINIFS($B$3:$B$5000,$A$3:$A$5000,$A4796,$B$3:$B$5000,"&gt;"&amp;$B4796)=0),NOW(),_xlfn.MINIFS($B$3:$B$5000,$A$3:$A$5000,$A4796,$B$3:$B$5000,"&gt;"&amp;$B4796))</f>
        <v>46279.5987645271</v>
      </c>
    </row>
    <row r="4797" customFormat="false" ht="15" hidden="false" customHeight="true" outlineLevel="0" collapsed="false">
      <c r="A4797" s="42"/>
      <c r="B4797" s="42"/>
      <c r="C4797" s="42"/>
      <c r="D4797" s="42"/>
      <c r="E4797" s="42"/>
      <c r="F4797" s="51" t="n">
        <f aca="false">IF(OR(C4797="",D4797="",E4797="",E4797=0),0,C4797*D4797/E4797)</f>
        <v>0</v>
      </c>
      <c r="G4797" s="42"/>
      <c r="H4797" s="49" t="n">
        <f aca="true">IF(OR($A4797="",_xlfn.MINIFS($B$3:$B$5000,$A$3:$A$5000,$A4797,$B$3:$B$5000,"&gt;"&amp;$B4797)=0),NOW(),_xlfn.MINIFS($B$3:$B$5000,$A$3:$A$5000,$A4797,$B$3:$B$5000,"&gt;"&amp;$B4797))</f>
        <v>46279.5987645271</v>
      </c>
    </row>
    <row r="4798" customFormat="false" ht="15" hidden="false" customHeight="true" outlineLevel="0" collapsed="false">
      <c r="A4798" s="42"/>
      <c r="B4798" s="42"/>
      <c r="C4798" s="42"/>
      <c r="D4798" s="42"/>
      <c r="E4798" s="42"/>
      <c r="F4798" s="51" t="n">
        <f aca="false">IF(OR(C4798="",D4798="",E4798="",E4798=0),0,C4798*D4798/E4798)</f>
        <v>0</v>
      </c>
      <c r="G4798" s="42"/>
      <c r="H4798" s="49" t="n">
        <f aca="true">IF(OR($A4798="",_xlfn.MINIFS($B$3:$B$5000,$A$3:$A$5000,$A4798,$B$3:$B$5000,"&gt;"&amp;$B4798)=0),NOW(),_xlfn.MINIFS($B$3:$B$5000,$A$3:$A$5000,$A4798,$B$3:$B$5000,"&gt;"&amp;$B4798))</f>
        <v>46279.5987645272</v>
      </c>
    </row>
    <row r="4799" customFormat="false" ht="15" hidden="false" customHeight="true" outlineLevel="0" collapsed="false">
      <c r="A4799" s="42"/>
      <c r="B4799" s="42"/>
      <c r="C4799" s="42"/>
      <c r="D4799" s="42"/>
      <c r="E4799" s="42"/>
      <c r="F4799" s="51" t="n">
        <f aca="false">IF(OR(C4799="",D4799="",E4799="",E4799=0),0,C4799*D4799/E4799)</f>
        <v>0</v>
      </c>
      <c r="G4799" s="42"/>
      <c r="H4799" s="49" t="n">
        <f aca="true">IF(OR($A4799="",_xlfn.MINIFS($B$3:$B$5000,$A$3:$A$5000,$A4799,$B$3:$B$5000,"&gt;"&amp;$B4799)=0),NOW(),_xlfn.MINIFS($B$3:$B$5000,$A$3:$A$5000,$A4799,$B$3:$B$5000,"&gt;"&amp;$B4799))</f>
        <v>46279.5987645272</v>
      </c>
    </row>
    <row r="4800" customFormat="false" ht="15" hidden="false" customHeight="true" outlineLevel="0" collapsed="false">
      <c r="A4800" s="42"/>
      <c r="B4800" s="42"/>
      <c r="C4800" s="42"/>
      <c r="D4800" s="42"/>
      <c r="E4800" s="42"/>
      <c r="F4800" s="51" t="n">
        <f aca="false">IF(OR(C4800="",D4800="",E4800="",E4800=0),0,C4800*D4800/E4800)</f>
        <v>0</v>
      </c>
      <c r="G4800" s="42"/>
      <c r="H4800" s="49" t="n">
        <f aca="true">IF(OR($A4800="",_xlfn.MINIFS($B$3:$B$5000,$A$3:$A$5000,$A4800,$B$3:$B$5000,"&gt;"&amp;$B4800)=0),NOW(),_xlfn.MINIFS($B$3:$B$5000,$A$3:$A$5000,$A4800,$B$3:$B$5000,"&gt;"&amp;$B4800))</f>
        <v>46279.5987645273</v>
      </c>
    </row>
    <row r="4801" customFormat="false" ht="15" hidden="false" customHeight="true" outlineLevel="0" collapsed="false">
      <c r="A4801" s="42"/>
      <c r="B4801" s="42"/>
      <c r="C4801" s="42"/>
      <c r="D4801" s="42"/>
      <c r="E4801" s="42"/>
      <c r="F4801" s="51" t="n">
        <f aca="false">IF(OR(C4801="",D4801="",E4801="",E4801=0),0,C4801*D4801/E4801)</f>
        <v>0</v>
      </c>
      <c r="G4801" s="42"/>
      <c r="H4801" s="49" t="n">
        <f aca="true">IF(OR($A4801="",_xlfn.MINIFS($B$3:$B$5000,$A$3:$A$5000,$A4801,$B$3:$B$5000,"&gt;"&amp;$B4801)=0),NOW(),_xlfn.MINIFS($B$3:$B$5000,$A$3:$A$5000,$A4801,$B$3:$B$5000,"&gt;"&amp;$B4801))</f>
        <v>46279.5987645273</v>
      </c>
    </row>
    <row r="4802" customFormat="false" ht="15" hidden="false" customHeight="true" outlineLevel="0" collapsed="false">
      <c r="A4802" s="42"/>
      <c r="B4802" s="42"/>
      <c r="C4802" s="42"/>
      <c r="D4802" s="42"/>
      <c r="E4802" s="42"/>
      <c r="F4802" s="51" t="n">
        <f aca="false">IF(OR(C4802="",D4802="",E4802="",E4802=0),0,C4802*D4802/E4802)</f>
        <v>0</v>
      </c>
      <c r="G4802" s="42"/>
      <c r="H4802" s="49" t="n">
        <f aca="true">IF(OR($A4802="",_xlfn.MINIFS($B$3:$B$5000,$A$3:$A$5000,$A4802,$B$3:$B$5000,"&gt;"&amp;$B4802)=0),NOW(),_xlfn.MINIFS($B$3:$B$5000,$A$3:$A$5000,$A4802,$B$3:$B$5000,"&gt;"&amp;$B4802))</f>
        <v>46279.5987645274</v>
      </c>
    </row>
    <row r="4803" customFormat="false" ht="15" hidden="false" customHeight="true" outlineLevel="0" collapsed="false">
      <c r="A4803" s="42"/>
      <c r="B4803" s="42"/>
      <c r="C4803" s="42"/>
      <c r="D4803" s="42"/>
      <c r="E4803" s="42"/>
      <c r="F4803" s="51" t="n">
        <f aca="false">IF(OR(C4803="",D4803="",E4803="",E4803=0),0,C4803*D4803/E4803)</f>
        <v>0</v>
      </c>
      <c r="G4803" s="42"/>
      <c r="H4803" s="49" t="n">
        <f aca="true">IF(OR($A4803="",_xlfn.MINIFS($B$3:$B$5000,$A$3:$A$5000,$A4803,$B$3:$B$5000,"&gt;"&amp;$B4803)=0),NOW(),_xlfn.MINIFS($B$3:$B$5000,$A$3:$A$5000,$A4803,$B$3:$B$5000,"&gt;"&amp;$B4803))</f>
        <v>46279.5987645274</v>
      </c>
    </row>
    <row r="4804" customFormat="false" ht="15" hidden="false" customHeight="true" outlineLevel="0" collapsed="false">
      <c r="A4804" s="42"/>
      <c r="B4804" s="42"/>
      <c r="C4804" s="42"/>
      <c r="D4804" s="42"/>
      <c r="E4804" s="42"/>
      <c r="F4804" s="51" t="n">
        <f aca="false">IF(OR(C4804="",D4804="",E4804="",E4804=0),0,C4804*D4804/E4804)</f>
        <v>0</v>
      </c>
      <c r="G4804" s="42"/>
      <c r="H4804" s="49" t="n">
        <f aca="true">IF(OR($A4804="",_xlfn.MINIFS($B$3:$B$5000,$A$3:$A$5000,$A4804,$B$3:$B$5000,"&gt;"&amp;$B4804)=0),NOW(),_xlfn.MINIFS($B$3:$B$5000,$A$3:$A$5000,$A4804,$B$3:$B$5000,"&gt;"&amp;$B4804))</f>
        <v>46279.5987645275</v>
      </c>
    </row>
    <row r="4805" customFormat="false" ht="15" hidden="false" customHeight="true" outlineLevel="0" collapsed="false">
      <c r="A4805" s="42"/>
      <c r="B4805" s="42"/>
      <c r="C4805" s="42"/>
      <c r="D4805" s="42"/>
      <c r="E4805" s="42"/>
      <c r="F4805" s="51" t="n">
        <f aca="false">IF(OR(C4805="",D4805="",E4805="",E4805=0),0,C4805*D4805/E4805)</f>
        <v>0</v>
      </c>
      <c r="G4805" s="42"/>
      <c r="H4805" s="49" t="n">
        <f aca="true">IF(OR($A4805="",_xlfn.MINIFS($B$3:$B$5000,$A$3:$A$5000,$A4805,$B$3:$B$5000,"&gt;"&amp;$B4805)=0),NOW(),_xlfn.MINIFS($B$3:$B$5000,$A$3:$A$5000,$A4805,$B$3:$B$5000,"&gt;"&amp;$B4805))</f>
        <v>46279.5987645275</v>
      </c>
    </row>
    <row r="4806" customFormat="false" ht="15" hidden="false" customHeight="true" outlineLevel="0" collapsed="false">
      <c r="A4806" s="42"/>
      <c r="B4806" s="42"/>
      <c r="C4806" s="42"/>
      <c r="D4806" s="42"/>
      <c r="E4806" s="42"/>
      <c r="F4806" s="51" t="n">
        <f aca="false">IF(OR(C4806="",D4806="",E4806="",E4806=0),0,C4806*D4806/E4806)</f>
        <v>0</v>
      </c>
      <c r="G4806" s="42"/>
      <c r="H4806" s="49" t="n">
        <f aca="true">IF(OR($A4806="",_xlfn.MINIFS($B$3:$B$5000,$A$3:$A$5000,$A4806,$B$3:$B$5000,"&gt;"&amp;$B4806)=0),NOW(),_xlfn.MINIFS($B$3:$B$5000,$A$3:$A$5000,$A4806,$B$3:$B$5000,"&gt;"&amp;$B4806))</f>
        <v>46279.5987645275</v>
      </c>
    </row>
    <row r="4807" customFormat="false" ht="15" hidden="false" customHeight="true" outlineLevel="0" collapsed="false">
      <c r="A4807" s="42"/>
      <c r="B4807" s="42"/>
      <c r="C4807" s="42"/>
      <c r="D4807" s="42"/>
      <c r="E4807" s="42"/>
      <c r="F4807" s="51" t="n">
        <f aca="false">IF(OR(C4807="",D4807="",E4807="",E4807=0),0,C4807*D4807/E4807)</f>
        <v>0</v>
      </c>
      <c r="G4807" s="42"/>
      <c r="H4807" s="49" t="n">
        <f aca="true">IF(OR($A4807="",_xlfn.MINIFS($B$3:$B$5000,$A$3:$A$5000,$A4807,$B$3:$B$5000,"&gt;"&amp;$B4807)=0),NOW(),_xlfn.MINIFS($B$3:$B$5000,$A$3:$A$5000,$A4807,$B$3:$B$5000,"&gt;"&amp;$B4807))</f>
        <v>46279.5987645276</v>
      </c>
    </row>
    <row r="4808" customFormat="false" ht="15" hidden="false" customHeight="true" outlineLevel="0" collapsed="false">
      <c r="A4808" s="42"/>
      <c r="B4808" s="42"/>
      <c r="C4808" s="42"/>
      <c r="D4808" s="42"/>
      <c r="E4808" s="42"/>
      <c r="F4808" s="51" t="n">
        <f aca="false">IF(OR(C4808="",D4808="",E4808="",E4808=0),0,C4808*D4808/E4808)</f>
        <v>0</v>
      </c>
      <c r="G4808" s="42"/>
      <c r="H4808" s="49" t="n">
        <f aca="true">IF(OR($A4808="",_xlfn.MINIFS($B$3:$B$5000,$A$3:$A$5000,$A4808,$B$3:$B$5000,"&gt;"&amp;$B4808)=0),NOW(),_xlfn.MINIFS($B$3:$B$5000,$A$3:$A$5000,$A4808,$B$3:$B$5000,"&gt;"&amp;$B4808))</f>
        <v>46279.5987645277</v>
      </c>
    </row>
    <row r="4809" customFormat="false" ht="15" hidden="false" customHeight="true" outlineLevel="0" collapsed="false">
      <c r="A4809" s="42"/>
      <c r="B4809" s="42"/>
      <c r="C4809" s="42"/>
      <c r="D4809" s="42"/>
      <c r="E4809" s="42"/>
      <c r="F4809" s="51" t="n">
        <f aca="false">IF(OR(C4809="",D4809="",E4809="",E4809=0),0,C4809*D4809/E4809)</f>
        <v>0</v>
      </c>
      <c r="G4809" s="42"/>
      <c r="H4809" s="49" t="n">
        <f aca="true">IF(OR($A4809="",_xlfn.MINIFS($B$3:$B$5000,$A$3:$A$5000,$A4809,$B$3:$B$5000,"&gt;"&amp;$B4809)=0),NOW(),_xlfn.MINIFS($B$3:$B$5000,$A$3:$A$5000,$A4809,$B$3:$B$5000,"&gt;"&amp;$B4809))</f>
        <v>46279.5987645277</v>
      </c>
    </row>
    <row r="4810" customFormat="false" ht="15" hidden="false" customHeight="true" outlineLevel="0" collapsed="false">
      <c r="A4810" s="42"/>
      <c r="B4810" s="42"/>
      <c r="C4810" s="42"/>
      <c r="D4810" s="42"/>
      <c r="E4810" s="42"/>
      <c r="F4810" s="51" t="n">
        <f aca="false">IF(OR(C4810="",D4810="",E4810="",E4810=0),0,C4810*D4810/E4810)</f>
        <v>0</v>
      </c>
      <c r="G4810" s="42"/>
      <c r="H4810" s="49" t="n">
        <f aca="true">IF(OR($A4810="",_xlfn.MINIFS($B$3:$B$5000,$A$3:$A$5000,$A4810,$B$3:$B$5000,"&gt;"&amp;$B4810)=0),NOW(),_xlfn.MINIFS($B$3:$B$5000,$A$3:$A$5000,$A4810,$B$3:$B$5000,"&gt;"&amp;$B4810))</f>
        <v>46279.5987645278</v>
      </c>
    </row>
    <row r="4811" customFormat="false" ht="15" hidden="false" customHeight="true" outlineLevel="0" collapsed="false">
      <c r="A4811" s="42"/>
      <c r="B4811" s="42"/>
      <c r="C4811" s="42"/>
      <c r="D4811" s="42"/>
      <c r="E4811" s="42"/>
      <c r="F4811" s="51" t="n">
        <f aca="false">IF(OR(C4811="",D4811="",E4811="",E4811=0),0,C4811*D4811/E4811)</f>
        <v>0</v>
      </c>
      <c r="G4811" s="42"/>
      <c r="H4811" s="49" t="n">
        <f aca="true">IF(OR($A4811="",_xlfn.MINIFS($B$3:$B$5000,$A$3:$A$5000,$A4811,$B$3:$B$5000,"&gt;"&amp;$B4811)=0),NOW(),_xlfn.MINIFS($B$3:$B$5000,$A$3:$A$5000,$A4811,$B$3:$B$5000,"&gt;"&amp;$B4811))</f>
        <v>46279.5987645278</v>
      </c>
    </row>
    <row r="4812" customFormat="false" ht="15" hidden="false" customHeight="true" outlineLevel="0" collapsed="false">
      <c r="A4812" s="42"/>
      <c r="B4812" s="42"/>
      <c r="C4812" s="42"/>
      <c r="D4812" s="42"/>
      <c r="E4812" s="42"/>
      <c r="F4812" s="51" t="n">
        <f aca="false">IF(OR(C4812="",D4812="",E4812="",E4812=0),0,C4812*D4812/E4812)</f>
        <v>0</v>
      </c>
      <c r="G4812" s="42"/>
      <c r="H4812" s="49" t="n">
        <f aca="true">IF(OR($A4812="",_xlfn.MINIFS($B$3:$B$5000,$A$3:$A$5000,$A4812,$B$3:$B$5000,"&gt;"&amp;$B4812)=0),NOW(),_xlfn.MINIFS($B$3:$B$5000,$A$3:$A$5000,$A4812,$B$3:$B$5000,"&gt;"&amp;$B4812))</f>
        <v>46279.5987645279</v>
      </c>
    </row>
    <row r="4813" customFormat="false" ht="15" hidden="false" customHeight="true" outlineLevel="0" collapsed="false">
      <c r="A4813" s="42"/>
      <c r="B4813" s="42"/>
      <c r="C4813" s="42"/>
      <c r="D4813" s="42"/>
      <c r="E4813" s="42"/>
      <c r="F4813" s="51" t="n">
        <f aca="false">IF(OR(C4813="",D4813="",E4813="",E4813=0),0,C4813*D4813/E4813)</f>
        <v>0</v>
      </c>
      <c r="G4813" s="42"/>
      <c r="H4813" s="49" t="n">
        <f aca="true">IF(OR($A4813="",_xlfn.MINIFS($B$3:$B$5000,$A$3:$A$5000,$A4813,$B$3:$B$5000,"&gt;"&amp;$B4813)=0),NOW(),_xlfn.MINIFS($B$3:$B$5000,$A$3:$A$5000,$A4813,$B$3:$B$5000,"&gt;"&amp;$B4813))</f>
        <v>46279.5987645279</v>
      </c>
    </row>
    <row r="4814" customFormat="false" ht="15" hidden="false" customHeight="true" outlineLevel="0" collapsed="false">
      <c r="A4814" s="42"/>
      <c r="B4814" s="42"/>
      <c r="C4814" s="42"/>
      <c r="D4814" s="42"/>
      <c r="E4814" s="42"/>
      <c r="F4814" s="51" t="n">
        <f aca="false">IF(OR(C4814="",D4814="",E4814="",E4814=0),0,C4814*D4814/E4814)</f>
        <v>0</v>
      </c>
      <c r="G4814" s="42"/>
      <c r="H4814" s="49" t="n">
        <f aca="true">IF(OR($A4814="",_xlfn.MINIFS($B$3:$B$5000,$A$3:$A$5000,$A4814,$B$3:$B$5000,"&gt;"&amp;$B4814)=0),NOW(),_xlfn.MINIFS($B$3:$B$5000,$A$3:$A$5000,$A4814,$B$3:$B$5000,"&gt;"&amp;$B4814))</f>
        <v>46279.598764528</v>
      </c>
    </row>
    <row r="4815" customFormat="false" ht="15" hidden="false" customHeight="true" outlineLevel="0" collapsed="false">
      <c r="A4815" s="42"/>
      <c r="B4815" s="42"/>
      <c r="C4815" s="42"/>
      <c r="D4815" s="42"/>
      <c r="E4815" s="42"/>
      <c r="F4815" s="51" t="n">
        <f aca="false">IF(OR(C4815="",D4815="",E4815="",E4815=0),0,C4815*D4815/E4815)</f>
        <v>0</v>
      </c>
      <c r="G4815" s="42"/>
      <c r="H4815" s="49" t="n">
        <f aca="true">IF(OR($A4815="",_xlfn.MINIFS($B$3:$B$5000,$A$3:$A$5000,$A4815,$B$3:$B$5000,"&gt;"&amp;$B4815)=0),NOW(),_xlfn.MINIFS($B$3:$B$5000,$A$3:$A$5000,$A4815,$B$3:$B$5000,"&gt;"&amp;$B4815))</f>
        <v>46279.598764528</v>
      </c>
    </row>
    <row r="4816" customFormat="false" ht="15" hidden="false" customHeight="true" outlineLevel="0" collapsed="false">
      <c r="A4816" s="42"/>
      <c r="B4816" s="42"/>
      <c r="C4816" s="42"/>
      <c r="D4816" s="42"/>
      <c r="E4816" s="42"/>
      <c r="F4816" s="51" t="n">
        <f aca="false">IF(OR(C4816="",D4816="",E4816="",E4816=0),0,C4816*D4816/E4816)</f>
        <v>0</v>
      </c>
      <c r="G4816" s="42"/>
      <c r="H4816" s="49" t="n">
        <f aca="true">IF(OR($A4816="",_xlfn.MINIFS($B$3:$B$5000,$A$3:$A$5000,$A4816,$B$3:$B$5000,"&gt;"&amp;$B4816)=0),NOW(),_xlfn.MINIFS($B$3:$B$5000,$A$3:$A$5000,$A4816,$B$3:$B$5000,"&gt;"&amp;$B4816))</f>
        <v>46279.5987645281</v>
      </c>
    </row>
    <row r="4817" customFormat="false" ht="15" hidden="false" customHeight="true" outlineLevel="0" collapsed="false">
      <c r="A4817" s="42"/>
      <c r="B4817" s="42"/>
      <c r="C4817" s="42"/>
      <c r="D4817" s="42"/>
      <c r="E4817" s="42"/>
      <c r="F4817" s="51" t="n">
        <f aca="false">IF(OR(C4817="",D4817="",E4817="",E4817=0),0,C4817*D4817/E4817)</f>
        <v>0</v>
      </c>
      <c r="G4817" s="42"/>
      <c r="H4817" s="49" t="n">
        <f aca="true">IF(OR($A4817="",_xlfn.MINIFS($B$3:$B$5000,$A$3:$A$5000,$A4817,$B$3:$B$5000,"&gt;"&amp;$B4817)=0),NOW(),_xlfn.MINIFS($B$3:$B$5000,$A$3:$A$5000,$A4817,$B$3:$B$5000,"&gt;"&amp;$B4817))</f>
        <v>46279.5987645281</v>
      </c>
    </row>
    <row r="4818" customFormat="false" ht="15" hidden="false" customHeight="true" outlineLevel="0" collapsed="false">
      <c r="A4818" s="42"/>
      <c r="B4818" s="42"/>
      <c r="C4818" s="42"/>
      <c r="D4818" s="42"/>
      <c r="E4818" s="42"/>
      <c r="F4818" s="51" t="n">
        <f aca="false">IF(OR(C4818="",D4818="",E4818="",E4818=0),0,C4818*D4818/E4818)</f>
        <v>0</v>
      </c>
      <c r="G4818" s="42"/>
      <c r="H4818" s="49" t="n">
        <f aca="true">IF(OR($A4818="",_xlfn.MINIFS($B$3:$B$5000,$A$3:$A$5000,$A4818,$B$3:$B$5000,"&gt;"&amp;$B4818)=0),NOW(),_xlfn.MINIFS($B$3:$B$5000,$A$3:$A$5000,$A4818,$B$3:$B$5000,"&gt;"&amp;$B4818))</f>
        <v>46279.5987645282</v>
      </c>
    </row>
    <row r="4819" customFormat="false" ht="15" hidden="false" customHeight="true" outlineLevel="0" collapsed="false">
      <c r="A4819" s="42"/>
      <c r="B4819" s="42"/>
      <c r="C4819" s="42"/>
      <c r="D4819" s="42"/>
      <c r="E4819" s="42"/>
      <c r="F4819" s="51" t="n">
        <f aca="false">IF(OR(C4819="",D4819="",E4819="",E4819=0),0,C4819*D4819/E4819)</f>
        <v>0</v>
      </c>
      <c r="G4819" s="42"/>
      <c r="H4819" s="49" t="n">
        <f aca="true">IF(OR($A4819="",_xlfn.MINIFS($B$3:$B$5000,$A$3:$A$5000,$A4819,$B$3:$B$5000,"&gt;"&amp;$B4819)=0),NOW(),_xlfn.MINIFS($B$3:$B$5000,$A$3:$A$5000,$A4819,$B$3:$B$5000,"&gt;"&amp;$B4819))</f>
        <v>46279.5987645282</v>
      </c>
    </row>
    <row r="4820" customFormat="false" ht="15" hidden="false" customHeight="true" outlineLevel="0" collapsed="false">
      <c r="A4820" s="42"/>
      <c r="B4820" s="42"/>
      <c r="C4820" s="42"/>
      <c r="D4820" s="42"/>
      <c r="E4820" s="42"/>
      <c r="F4820" s="51" t="n">
        <f aca="false">IF(OR(C4820="",D4820="",E4820="",E4820=0),0,C4820*D4820/E4820)</f>
        <v>0</v>
      </c>
      <c r="G4820" s="42"/>
      <c r="H4820" s="49" t="n">
        <f aca="true">IF(OR($A4820="",_xlfn.MINIFS($B$3:$B$5000,$A$3:$A$5000,$A4820,$B$3:$B$5000,"&gt;"&amp;$B4820)=0),NOW(),_xlfn.MINIFS($B$3:$B$5000,$A$3:$A$5000,$A4820,$B$3:$B$5000,"&gt;"&amp;$B4820))</f>
        <v>46279.5987645283</v>
      </c>
    </row>
    <row r="4821" customFormat="false" ht="15" hidden="false" customHeight="true" outlineLevel="0" collapsed="false">
      <c r="A4821" s="42"/>
      <c r="B4821" s="42"/>
      <c r="C4821" s="42"/>
      <c r="D4821" s="42"/>
      <c r="E4821" s="42"/>
      <c r="F4821" s="51" t="n">
        <f aca="false">IF(OR(C4821="",D4821="",E4821="",E4821=0),0,C4821*D4821/E4821)</f>
        <v>0</v>
      </c>
      <c r="G4821" s="42"/>
      <c r="H4821" s="49" t="n">
        <f aca="true">IF(OR($A4821="",_xlfn.MINIFS($B$3:$B$5000,$A$3:$A$5000,$A4821,$B$3:$B$5000,"&gt;"&amp;$B4821)=0),NOW(),_xlfn.MINIFS($B$3:$B$5000,$A$3:$A$5000,$A4821,$B$3:$B$5000,"&gt;"&amp;$B4821))</f>
        <v>46279.5987645283</v>
      </c>
    </row>
    <row r="4822" customFormat="false" ht="15" hidden="false" customHeight="true" outlineLevel="0" collapsed="false">
      <c r="A4822" s="42"/>
      <c r="B4822" s="42"/>
      <c r="C4822" s="42"/>
      <c r="D4822" s="42"/>
      <c r="E4822" s="42"/>
      <c r="F4822" s="51" t="n">
        <f aca="false">IF(OR(C4822="",D4822="",E4822="",E4822=0),0,C4822*D4822/E4822)</f>
        <v>0</v>
      </c>
      <c r="G4822" s="42"/>
      <c r="H4822" s="49" t="n">
        <f aca="true">IF(OR($A4822="",_xlfn.MINIFS($B$3:$B$5000,$A$3:$A$5000,$A4822,$B$3:$B$5000,"&gt;"&amp;$B4822)=0),NOW(),_xlfn.MINIFS($B$3:$B$5000,$A$3:$A$5000,$A4822,$B$3:$B$5000,"&gt;"&amp;$B4822))</f>
        <v>46279.5987645284</v>
      </c>
    </row>
    <row r="4823" customFormat="false" ht="15" hidden="false" customHeight="true" outlineLevel="0" collapsed="false">
      <c r="A4823" s="42"/>
      <c r="B4823" s="42"/>
      <c r="C4823" s="42"/>
      <c r="D4823" s="42"/>
      <c r="E4823" s="42"/>
      <c r="F4823" s="51" t="n">
        <f aca="false">IF(OR(C4823="",D4823="",E4823="",E4823=0),0,C4823*D4823/E4823)</f>
        <v>0</v>
      </c>
      <c r="G4823" s="42"/>
      <c r="H4823" s="49" t="n">
        <f aca="true">IF(OR($A4823="",_xlfn.MINIFS($B$3:$B$5000,$A$3:$A$5000,$A4823,$B$3:$B$5000,"&gt;"&amp;$B4823)=0),NOW(),_xlfn.MINIFS($B$3:$B$5000,$A$3:$A$5000,$A4823,$B$3:$B$5000,"&gt;"&amp;$B4823))</f>
        <v>46279.5987645284</v>
      </c>
    </row>
    <row r="4824" customFormat="false" ht="15" hidden="false" customHeight="true" outlineLevel="0" collapsed="false">
      <c r="A4824" s="42"/>
      <c r="B4824" s="42"/>
      <c r="C4824" s="42"/>
      <c r="D4824" s="42"/>
      <c r="E4824" s="42"/>
      <c r="F4824" s="51" t="n">
        <f aca="false">IF(OR(C4824="",D4824="",E4824="",E4824=0),0,C4824*D4824/E4824)</f>
        <v>0</v>
      </c>
      <c r="G4824" s="42"/>
      <c r="H4824" s="49" t="n">
        <f aca="true">IF(OR($A4824="",_xlfn.MINIFS($B$3:$B$5000,$A$3:$A$5000,$A4824,$B$3:$B$5000,"&gt;"&amp;$B4824)=0),NOW(),_xlfn.MINIFS($B$3:$B$5000,$A$3:$A$5000,$A4824,$B$3:$B$5000,"&gt;"&amp;$B4824))</f>
        <v>46279.5987645285</v>
      </c>
    </row>
    <row r="4825" customFormat="false" ht="15" hidden="false" customHeight="true" outlineLevel="0" collapsed="false">
      <c r="A4825" s="42"/>
      <c r="B4825" s="42"/>
      <c r="C4825" s="42"/>
      <c r="D4825" s="42"/>
      <c r="E4825" s="42"/>
      <c r="F4825" s="51" t="n">
        <f aca="false">IF(OR(C4825="",D4825="",E4825="",E4825=0),0,C4825*D4825/E4825)</f>
        <v>0</v>
      </c>
      <c r="G4825" s="42"/>
      <c r="H4825" s="49" t="n">
        <f aca="true">IF(OR($A4825="",_xlfn.MINIFS($B$3:$B$5000,$A$3:$A$5000,$A4825,$B$3:$B$5000,"&gt;"&amp;$B4825)=0),NOW(),_xlfn.MINIFS($B$3:$B$5000,$A$3:$A$5000,$A4825,$B$3:$B$5000,"&gt;"&amp;$B4825))</f>
        <v>46279.5987645285</v>
      </c>
    </row>
    <row r="4826" customFormat="false" ht="15" hidden="false" customHeight="true" outlineLevel="0" collapsed="false">
      <c r="A4826" s="42"/>
      <c r="B4826" s="42"/>
      <c r="C4826" s="42"/>
      <c r="D4826" s="42"/>
      <c r="E4826" s="42"/>
      <c r="F4826" s="51" t="n">
        <f aca="false">IF(OR(C4826="",D4826="",E4826="",E4826=0),0,C4826*D4826/E4826)</f>
        <v>0</v>
      </c>
      <c r="G4826" s="42"/>
      <c r="H4826" s="49" t="n">
        <f aca="true">IF(OR($A4826="",_xlfn.MINIFS($B$3:$B$5000,$A$3:$A$5000,$A4826,$B$3:$B$5000,"&gt;"&amp;$B4826)=0),NOW(),_xlfn.MINIFS($B$3:$B$5000,$A$3:$A$5000,$A4826,$B$3:$B$5000,"&gt;"&amp;$B4826))</f>
        <v>46279.5987645286</v>
      </c>
    </row>
    <row r="4827" customFormat="false" ht="15" hidden="false" customHeight="true" outlineLevel="0" collapsed="false">
      <c r="A4827" s="42"/>
      <c r="B4827" s="42"/>
      <c r="C4827" s="42"/>
      <c r="D4827" s="42"/>
      <c r="E4827" s="42"/>
      <c r="F4827" s="51" t="n">
        <f aca="false">IF(OR(C4827="",D4827="",E4827="",E4827=0),0,C4827*D4827/E4827)</f>
        <v>0</v>
      </c>
      <c r="G4827" s="42"/>
      <c r="H4827" s="49" t="n">
        <f aca="true">IF(OR($A4827="",_xlfn.MINIFS($B$3:$B$5000,$A$3:$A$5000,$A4827,$B$3:$B$5000,"&gt;"&amp;$B4827)=0),NOW(),_xlfn.MINIFS($B$3:$B$5000,$A$3:$A$5000,$A4827,$B$3:$B$5000,"&gt;"&amp;$B4827))</f>
        <v>46279.5987645286</v>
      </c>
    </row>
    <row r="4828" customFormat="false" ht="15" hidden="false" customHeight="true" outlineLevel="0" collapsed="false">
      <c r="A4828" s="42"/>
      <c r="B4828" s="42"/>
      <c r="C4828" s="42"/>
      <c r="D4828" s="42"/>
      <c r="E4828" s="42"/>
      <c r="F4828" s="51" t="n">
        <f aca="false">IF(OR(C4828="",D4828="",E4828="",E4828=0),0,C4828*D4828/E4828)</f>
        <v>0</v>
      </c>
      <c r="G4828" s="42"/>
      <c r="H4828" s="49" t="n">
        <f aca="true">IF(OR($A4828="",_xlfn.MINIFS($B$3:$B$5000,$A$3:$A$5000,$A4828,$B$3:$B$5000,"&gt;"&amp;$B4828)=0),NOW(),_xlfn.MINIFS($B$3:$B$5000,$A$3:$A$5000,$A4828,$B$3:$B$5000,"&gt;"&amp;$B4828))</f>
        <v>46279.5987645287</v>
      </c>
    </row>
    <row r="4829" customFormat="false" ht="15" hidden="false" customHeight="true" outlineLevel="0" collapsed="false">
      <c r="A4829" s="42"/>
      <c r="B4829" s="42"/>
      <c r="C4829" s="42"/>
      <c r="D4829" s="42"/>
      <c r="E4829" s="42"/>
      <c r="F4829" s="51" t="n">
        <f aca="false">IF(OR(C4829="",D4829="",E4829="",E4829=0),0,C4829*D4829/E4829)</f>
        <v>0</v>
      </c>
      <c r="G4829" s="42"/>
      <c r="H4829" s="49" t="n">
        <f aca="true">IF(OR($A4829="",_xlfn.MINIFS($B$3:$B$5000,$A$3:$A$5000,$A4829,$B$3:$B$5000,"&gt;"&amp;$B4829)=0),NOW(),_xlfn.MINIFS($B$3:$B$5000,$A$3:$A$5000,$A4829,$B$3:$B$5000,"&gt;"&amp;$B4829))</f>
        <v>46279.5987645287</v>
      </c>
    </row>
    <row r="4830" customFormat="false" ht="15" hidden="false" customHeight="true" outlineLevel="0" collapsed="false">
      <c r="A4830" s="42"/>
      <c r="B4830" s="42"/>
      <c r="C4830" s="42"/>
      <c r="D4830" s="42"/>
      <c r="E4830" s="42"/>
      <c r="F4830" s="51" t="n">
        <f aca="false">IF(OR(C4830="",D4830="",E4830="",E4830=0),0,C4830*D4830/E4830)</f>
        <v>0</v>
      </c>
      <c r="G4830" s="42"/>
      <c r="H4830" s="49" t="n">
        <f aca="true">IF(OR($A4830="",_xlfn.MINIFS($B$3:$B$5000,$A$3:$A$5000,$A4830,$B$3:$B$5000,"&gt;"&amp;$B4830)=0),NOW(),_xlfn.MINIFS($B$3:$B$5000,$A$3:$A$5000,$A4830,$B$3:$B$5000,"&gt;"&amp;$B4830))</f>
        <v>46279.5987645288</v>
      </c>
    </row>
    <row r="4831" customFormat="false" ht="15" hidden="false" customHeight="true" outlineLevel="0" collapsed="false">
      <c r="A4831" s="42"/>
      <c r="B4831" s="42"/>
      <c r="C4831" s="42"/>
      <c r="D4831" s="42"/>
      <c r="E4831" s="42"/>
      <c r="F4831" s="51" t="n">
        <f aca="false">IF(OR(C4831="",D4831="",E4831="",E4831=0),0,C4831*D4831/E4831)</f>
        <v>0</v>
      </c>
      <c r="G4831" s="42"/>
      <c r="H4831" s="49" t="n">
        <f aca="true">IF(OR($A4831="",_xlfn.MINIFS($B$3:$B$5000,$A$3:$A$5000,$A4831,$B$3:$B$5000,"&gt;"&amp;$B4831)=0),NOW(),_xlfn.MINIFS($B$3:$B$5000,$A$3:$A$5000,$A4831,$B$3:$B$5000,"&gt;"&amp;$B4831))</f>
        <v>46279.5987645288</v>
      </c>
    </row>
    <row r="4832" customFormat="false" ht="15" hidden="false" customHeight="true" outlineLevel="0" collapsed="false">
      <c r="A4832" s="42"/>
      <c r="B4832" s="42"/>
      <c r="C4832" s="42"/>
      <c r="D4832" s="42"/>
      <c r="E4832" s="42"/>
      <c r="F4832" s="51" t="n">
        <f aca="false">IF(OR(C4832="",D4832="",E4832="",E4832=0),0,C4832*D4832/E4832)</f>
        <v>0</v>
      </c>
      <c r="G4832" s="42"/>
      <c r="H4832" s="49" t="n">
        <f aca="true">IF(OR($A4832="",_xlfn.MINIFS($B$3:$B$5000,$A$3:$A$5000,$A4832,$B$3:$B$5000,"&gt;"&amp;$B4832)=0),NOW(),_xlfn.MINIFS($B$3:$B$5000,$A$3:$A$5000,$A4832,$B$3:$B$5000,"&gt;"&amp;$B4832))</f>
        <v>46279.5987645289</v>
      </c>
    </row>
    <row r="4833" customFormat="false" ht="15" hidden="false" customHeight="true" outlineLevel="0" collapsed="false">
      <c r="A4833" s="42"/>
      <c r="B4833" s="42"/>
      <c r="C4833" s="42"/>
      <c r="D4833" s="42"/>
      <c r="E4833" s="42"/>
      <c r="F4833" s="51" t="n">
        <f aca="false">IF(OR(C4833="",D4833="",E4833="",E4833=0),0,C4833*D4833/E4833)</f>
        <v>0</v>
      </c>
      <c r="G4833" s="42"/>
      <c r="H4833" s="49" t="n">
        <f aca="true">IF(OR($A4833="",_xlfn.MINIFS($B$3:$B$5000,$A$3:$A$5000,$A4833,$B$3:$B$5000,"&gt;"&amp;$B4833)=0),NOW(),_xlfn.MINIFS($B$3:$B$5000,$A$3:$A$5000,$A4833,$B$3:$B$5000,"&gt;"&amp;$B4833))</f>
        <v>46279.5987645289</v>
      </c>
    </row>
    <row r="4834" customFormat="false" ht="15" hidden="false" customHeight="true" outlineLevel="0" collapsed="false">
      <c r="A4834" s="42"/>
      <c r="B4834" s="42"/>
      <c r="C4834" s="42"/>
      <c r="D4834" s="42"/>
      <c r="E4834" s="42"/>
      <c r="F4834" s="51" t="n">
        <f aca="false">IF(OR(C4834="",D4834="",E4834="",E4834=0),0,C4834*D4834/E4834)</f>
        <v>0</v>
      </c>
      <c r="G4834" s="42"/>
      <c r="H4834" s="49" t="n">
        <f aca="true">IF(OR($A4834="",_xlfn.MINIFS($B$3:$B$5000,$A$3:$A$5000,$A4834,$B$3:$B$5000,"&gt;"&amp;$B4834)=0),NOW(),_xlfn.MINIFS($B$3:$B$5000,$A$3:$A$5000,$A4834,$B$3:$B$5000,"&gt;"&amp;$B4834))</f>
        <v>46279.598764529</v>
      </c>
    </row>
    <row r="4835" customFormat="false" ht="15" hidden="false" customHeight="true" outlineLevel="0" collapsed="false">
      <c r="A4835" s="42"/>
      <c r="B4835" s="42"/>
      <c r="C4835" s="42"/>
      <c r="D4835" s="42"/>
      <c r="E4835" s="42"/>
      <c r="F4835" s="51" t="n">
        <f aca="false">IF(OR(C4835="",D4835="",E4835="",E4835=0),0,C4835*D4835/E4835)</f>
        <v>0</v>
      </c>
      <c r="G4835" s="42"/>
      <c r="H4835" s="49" t="n">
        <f aca="true">IF(OR($A4835="",_xlfn.MINIFS($B$3:$B$5000,$A$3:$A$5000,$A4835,$B$3:$B$5000,"&gt;"&amp;$B4835)=0),NOW(),_xlfn.MINIFS($B$3:$B$5000,$A$3:$A$5000,$A4835,$B$3:$B$5000,"&gt;"&amp;$B4835))</f>
        <v>46279.598764529</v>
      </c>
    </row>
    <row r="4836" customFormat="false" ht="15" hidden="false" customHeight="true" outlineLevel="0" collapsed="false">
      <c r="A4836" s="42"/>
      <c r="B4836" s="42"/>
      <c r="C4836" s="42"/>
      <c r="D4836" s="42"/>
      <c r="E4836" s="42"/>
      <c r="F4836" s="51" t="n">
        <f aca="false">IF(OR(C4836="",D4836="",E4836="",E4836=0),0,C4836*D4836/E4836)</f>
        <v>0</v>
      </c>
      <c r="G4836" s="42"/>
      <c r="H4836" s="49" t="n">
        <f aca="true">IF(OR($A4836="",_xlfn.MINIFS($B$3:$B$5000,$A$3:$A$5000,$A4836,$B$3:$B$5000,"&gt;"&amp;$B4836)=0),NOW(),_xlfn.MINIFS($B$3:$B$5000,$A$3:$A$5000,$A4836,$B$3:$B$5000,"&gt;"&amp;$B4836))</f>
        <v>46279.5987645291</v>
      </c>
    </row>
    <row r="4837" customFormat="false" ht="15" hidden="false" customHeight="true" outlineLevel="0" collapsed="false">
      <c r="A4837" s="42"/>
      <c r="B4837" s="42"/>
      <c r="C4837" s="42"/>
      <c r="D4837" s="42"/>
      <c r="E4837" s="42"/>
      <c r="F4837" s="51" t="n">
        <f aca="false">IF(OR(C4837="",D4837="",E4837="",E4837=0),0,C4837*D4837/E4837)</f>
        <v>0</v>
      </c>
      <c r="G4837" s="42"/>
      <c r="H4837" s="49" t="n">
        <f aca="true">IF(OR($A4837="",_xlfn.MINIFS($B$3:$B$5000,$A$3:$A$5000,$A4837,$B$3:$B$5000,"&gt;"&amp;$B4837)=0),NOW(),_xlfn.MINIFS($B$3:$B$5000,$A$3:$A$5000,$A4837,$B$3:$B$5000,"&gt;"&amp;$B4837))</f>
        <v>46279.5987645291</v>
      </c>
    </row>
    <row r="4838" customFormat="false" ht="15" hidden="false" customHeight="true" outlineLevel="0" collapsed="false">
      <c r="A4838" s="42"/>
      <c r="B4838" s="42"/>
      <c r="C4838" s="42"/>
      <c r="D4838" s="42"/>
      <c r="E4838" s="42"/>
      <c r="F4838" s="51" t="n">
        <f aca="false">IF(OR(C4838="",D4838="",E4838="",E4838=0),0,C4838*D4838/E4838)</f>
        <v>0</v>
      </c>
      <c r="G4838" s="42"/>
      <c r="H4838" s="49" t="n">
        <f aca="true">IF(OR($A4838="",_xlfn.MINIFS($B$3:$B$5000,$A$3:$A$5000,$A4838,$B$3:$B$5000,"&gt;"&amp;$B4838)=0),NOW(),_xlfn.MINIFS($B$3:$B$5000,$A$3:$A$5000,$A4838,$B$3:$B$5000,"&gt;"&amp;$B4838))</f>
        <v>46279.5987645292</v>
      </c>
    </row>
    <row r="4839" customFormat="false" ht="15" hidden="false" customHeight="true" outlineLevel="0" collapsed="false">
      <c r="A4839" s="42"/>
      <c r="B4839" s="42"/>
      <c r="C4839" s="42"/>
      <c r="D4839" s="42"/>
      <c r="E4839" s="42"/>
      <c r="F4839" s="51" t="n">
        <f aca="false">IF(OR(C4839="",D4839="",E4839="",E4839=0),0,C4839*D4839/E4839)</f>
        <v>0</v>
      </c>
      <c r="G4839" s="42"/>
      <c r="H4839" s="49" t="n">
        <f aca="true">IF(OR($A4839="",_xlfn.MINIFS($B$3:$B$5000,$A$3:$A$5000,$A4839,$B$3:$B$5000,"&gt;"&amp;$B4839)=0),NOW(),_xlfn.MINIFS($B$3:$B$5000,$A$3:$A$5000,$A4839,$B$3:$B$5000,"&gt;"&amp;$B4839))</f>
        <v>46279.5987645292</v>
      </c>
    </row>
    <row r="4840" customFormat="false" ht="15" hidden="false" customHeight="true" outlineLevel="0" collapsed="false">
      <c r="A4840" s="42"/>
      <c r="B4840" s="42"/>
      <c r="C4840" s="42"/>
      <c r="D4840" s="42"/>
      <c r="E4840" s="42"/>
      <c r="F4840" s="51" t="n">
        <f aca="false">IF(OR(C4840="",D4840="",E4840="",E4840=0),0,C4840*D4840/E4840)</f>
        <v>0</v>
      </c>
      <c r="G4840" s="42"/>
      <c r="H4840" s="49" t="n">
        <f aca="true">IF(OR($A4840="",_xlfn.MINIFS($B$3:$B$5000,$A$3:$A$5000,$A4840,$B$3:$B$5000,"&gt;"&amp;$B4840)=0),NOW(),_xlfn.MINIFS($B$3:$B$5000,$A$3:$A$5000,$A4840,$B$3:$B$5000,"&gt;"&amp;$B4840))</f>
        <v>46279.5987645293</v>
      </c>
    </row>
    <row r="4841" customFormat="false" ht="15" hidden="false" customHeight="true" outlineLevel="0" collapsed="false">
      <c r="A4841" s="42"/>
      <c r="B4841" s="42"/>
      <c r="C4841" s="42"/>
      <c r="D4841" s="42"/>
      <c r="E4841" s="42"/>
      <c r="F4841" s="51" t="n">
        <f aca="false">IF(OR(C4841="",D4841="",E4841="",E4841=0),0,C4841*D4841/E4841)</f>
        <v>0</v>
      </c>
      <c r="G4841" s="42"/>
      <c r="H4841" s="49" t="n">
        <f aca="true">IF(OR($A4841="",_xlfn.MINIFS($B$3:$B$5000,$A$3:$A$5000,$A4841,$B$3:$B$5000,"&gt;"&amp;$B4841)=0),NOW(),_xlfn.MINIFS($B$3:$B$5000,$A$3:$A$5000,$A4841,$B$3:$B$5000,"&gt;"&amp;$B4841))</f>
        <v>46279.5987645293</v>
      </c>
    </row>
    <row r="4842" customFormat="false" ht="15" hidden="false" customHeight="true" outlineLevel="0" collapsed="false">
      <c r="A4842" s="42"/>
      <c r="B4842" s="42"/>
      <c r="C4842" s="42"/>
      <c r="D4842" s="42"/>
      <c r="E4842" s="42"/>
      <c r="F4842" s="51" t="n">
        <f aca="false">IF(OR(C4842="",D4842="",E4842="",E4842=0),0,C4842*D4842/E4842)</f>
        <v>0</v>
      </c>
      <c r="G4842" s="42"/>
      <c r="H4842" s="49" t="n">
        <f aca="true">IF(OR($A4842="",_xlfn.MINIFS($B$3:$B$5000,$A$3:$A$5000,$A4842,$B$3:$B$5000,"&gt;"&amp;$B4842)=0),NOW(),_xlfn.MINIFS($B$3:$B$5000,$A$3:$A$5000,$A4842,$B$3:$B$5000,"&gt;"&amp;$B4842))</f>
        <v>46279.5987645294</v>
      </c>
    </row>
    <row r="4843" customFormat="false" ht="15" hidden="false" customHeight="true" outlineLevel="0" collapsed="false">
      <c r="A4843" s="42"/>
      <c r="B4843" s="42"/>
      <c r="C4843" s="42"/>
      <c r="D4843" s="42"/>
      <c r="E4843" s="42"/>
      <c r="F4843" s="51" t="n">
        <f aca="false">IF(OR(C4843="",D4843="",E4843="",E4843=0),0,C4843*D4843/E4843)</f>
        <v>0</v>
      </c>
      <c r="G4843" s="42"/>
      <c r="H4843" s="49" t="n">
        <f aca="true">IF(OR($A4843="",_xlfn.MINIFS($B$3:$B$5000,$A$3:$A$5000,$A4843,$B$3:$B$5000,"&gt;"&amp;$B4843)=0),NOW(),_xlfn.MINIFS($B$3:$B$5000,$A$3:$A$5000,$A4843,$B$3:$B$5000,"&gt;"&amp;$B4843))</f>
        <v>46279.5987645294</v>
      </c>
    </row>
    <row r="4844" customFormat="false" ht="15" hidden="false" customHeight="true" outlineLevel="0" collapsed="false">
      <c r="A4844" s="42"/>
      <c r="B4844" s="42"/>
      <c r="C4844" s="42"/>
      <c r="D4844" s="42"/>
      <c r="E4844" s="42"/>
      <c r="F4844" s="51" t="n">
        <f aca="false">IF(OR(C4844="",D4844="",E4844="",E4844=0),0,C4844*D4844/E4844)</f>
        <v>0</v>
      </c>
      <c r="G4844" s="42"/>
      <c r="H4844" s="49" t="n">
        <f aca="true">IF(OR($A4844="",_xlfn.MINIFS($B$3:$B$5000,$A$3:$A$5000,$A4844,$B$3:$B$5000,"&gt;"&amp;$B4844)=0),NOW(),_xlfn.MINIFS($B$3:$B$5000,$A$3:$A$5000,$A4844,$B$3:$B$5000,"&gt;"&amp;$B4844))</f>
        <v>46279.5987645295</v>
      </c>
    </row>
    <row r="4845" customFormat="false" ht="15" hidden="false" customHeight="true" outlineLevel="0" collapsed="false">
      <c r="A4845" s="42"/>
      <c r="B4845" s="42"/>
      <c r="C4845" s="42"/>
      <c r="D4845" s="42"/>
      <c r="E4845" s="42"/>
      <c r="F4845" s="51" t="n">
        <f aca="false">IF(OR(C4845="",D4845="",E4845="",E4845=0),0,C4845*D4845/E4845)</f>
        <v>0</v>
      </c>
      <c r="G4845" s="42"/>
      <c r="H4845" s="49" t="n">
        <f aca="true">IF(OR($A4845="",_xlfn.MINIFS($B$3:$B$5000,$A$3:$A$5000,$A4845,$B$3:$B$5000,"&gt;"&amp;$B4845)=0),NOW(),_xlfn.MINIFS($B$3:$B$5000,$A$3:$A$5000,$A4845,$B$3:$B$5000,"&gt;"&amp;$B4845))</f>
        <v>46279.5987645295</v>
      </c>
    </row>
    <row r="4846" customFormat="false" ht="15" hidden="false" customHeight="true" outlineLevel="0" collapsed="false">
      <c r="A4846" s="42"/>
      <c r="B4846" s="42"/>
      <c r="C4846" s="42"/>
      <c r="D4846" s="42"/>
      <c r="E4846" s="42"/>
      <c r="F4846" s="51" t="n">
        <f aca="false">IF(OR(C4846="",D4846="",E4846="",E4846=0),0,C4846*D4846/E4846)</f>
        <v>0</v>
      </c>
      <c r="G4846" s="42"/>
      <c r="H4846" s="49" t="n">
        <f aca="true">IF(OR($A4846="",_xlfn.MINIFS($B$3:$B$5000,$A$3:$A$5000,$A4846,$B$3:$B$5000,"&gt;"&amp;$B4846)=0),NOW(),_xlfn.MINIFS($B$3:$B$5000,$A$3:$A$5000,$A4846,$B$3:$B$5000,"&gt;"&amp;$B4846))</f>
        <v>46279.5987645296</v>
      </c>
    </row>
    <row r="4847" customFormat="false" ht="15" hidden="false" customHeight="true" outlineLevel="0" collapsed="false">
      <c r="A4847" s="42"/>
      <c r="B4847" s="42"/>
      <c r="C4847" s="42"/>
      <c r="D4847" s="42"/>
      <c r="E4847" s="42"/>
      <c r="F4847" s="51" t="n">
        <f aca="false">IF(OR(C4847="",D4847="",E4847="",E4847=0),0,C4847*D4847/E4847)</f>
        <v>0</v>
      </c>
      <c r="G4847" s="42"/>
      <c r="H4847" s="49" t="n">
        <f aca="true">IF(OR($A4847="",_xlfn.MINIFS($B$3:$B$5000,$A$3:$A$5000,$A4847,$B$3:$B$5000,"&gt;"&amp;$B4847)=0),NOW(),_xlfn.MINIFS($B$3:$B$5000,$A$3:$A$5000,$A4847,$B$3:$B$5000,"&gt;"&amp;$B4847))</f>
        <v>46279.5987645296</v>
      </c>
    </row>
    <row r="4848" customFormat="false" ht="15" hidden="false" customHeight="true" outlineLevel="0" collapsed="false">
      <c r="A4848" s="42"/>
      <c r="B4848" s="42"/>
      <c r="C4848" s="42"/>
      <c r="D4848" s="42"/>
      <c r="E4848" s="42"/>
      <c r="F4848" s="51" t="n">
        <f aca="false">IF(OR(C4848="",D4848="",E4848="",E4848=0),0,C4848*D4848/E4848)</f>
        <v>0</v>
      </c>
      <c r="G4848" s="42"/>
      <c r="H4848" s="49" t="n">
        <f aca="true">IF(OR($A4848="",_xlfn.MINIFS($B$3:$B$5000,$A$3:$A$5000,$A4848,$B$3:$B$5000,"&gt;"&amp;$B4848)=0),NOW(),_xlfn.MINIFS($B$3:$B$5000,$A$3:$A$5000,$A4848,$B$3:$B$5000,"&gt;"&amp;$B4848))</f>
        <v>46279.5987645297</v>
      </c>
    </row>
    <row r="4849" customFormat="false" ht="15" hidden="false" customHeight="true" outlineLevel="0" collapsed="false">
      <c r="A4849" s="42"/>
      <c r="B4849" s="42"/>
      <c r="C4849" s="42"/>
      <c r="D4849" s="42"/>
      <c r="E4849" s="42"/>
      <c r="F4849" s="51" t="n">
        <f aca="false">IF(OR(C4849="",D4849="",E4849="",E4849=0),0,C4849*D4849/E4849)</f>
        <v>0</v>
      </c>
      <c r="G4849" s="42"/>
      <c r="H4849" s="49" t="n">
        <f aca="true">IF(OR($A4849="",_xlfn.MINIFS($B$3:$B$5000,$A$3:$A$5000,$A4849,$B$3:$B$5000,"&gt;"&amp;$B4849)=0),NOW(),_xlfn.MINIFS($B$3:$B$5000,$A$3:$A$5000,$A4849,$B$3:$B$5000,"&gt;"&amp;$B4849))</f>
        <v>46279.5987645297</v>
      </c>
    </row>
    <row r="4850" customFormat="false" ht="15" hidden="false" customHeight="true" outlineLevel="0" collapsed="false">
      <c r="A4850" s="42"/>
      <c r="B4850" s="42"/>
      <c r="C4850" s="42"/>
      <c r="D4850" s="42"/>
      <c r="E4850" s="42"/>
      <c r="F4850" s="51" t="n">
        <f aca="false">IF(OR(C4850="",D4850="",E4850="",E4850=0),0,C4850*D4850/E4850)</f>
        <v>0</v>
      </c>
      <c r="G4850" s="42"/>
      <c r="H4850" s="49" t="n">
        <f aca="true">IF(OR($A4850="",_xlfn.MINIFS($B$3:$B$5000,$A$3:$A$5000,$A4850,$B$3:$B$5000,"&gt;"&amp;$B4850)=0),NOW(),_xlfn.MINIFS($B$3:$B$5000,$A$3:$A$5000,$A4850,$B$3:$B$5000,"&gt;"&amp;$B4850))</f>
        <v>46279.5987645298</v>
      </c>
    </row>
    <row r="4851" customFormat="false" ht="15" hidden="false" customHeight="true" outlineLevel="0" collapsed="false">
      <c r="A4851" s="42"/>
      <c r="B4851" s="42"/>
      <c r="C4851" s="42"/>
      <c r="D4851" s="42"/>
      <c r="E4851" s="42"/>
      <c r="F4851" s="51" t="n">
        <f aca="false">IF(OR(C4851="",D4851="",E4851="",E4851=0),0,C4851*D4851/E4851)</f>
        <v>0</v>
      </c>
      <c r="G4851" s="42"/>
      <c r="H4851" s="49" t="n">
        <f aca="true">IF(OR($A4851="",_xlfn.MINIFS($B$3:$B$5000,$A$3:$A$5000,$A4851,$B$3:$B$5000,"&gt;"&amp;$B4851)=0),NOW(),_xlfn.MINIFS($B$3:$B$5000,$A$3:$A$5000,$A4851,$B$3:$B$5000,"&gt;"&amp;$B4851))</f>
        <v>46279.5987645298</v>
      </c>
    </row>
    <row r="4852" customFormat="false" ht="15" hidden="false" customHeight="true" outlineLevel="0" collapsed="false">
      <c r="A4852" s="42"/>
      <c r="B4852" s="42"/>
      <c r="C4852" s="42"/>
      <c r="D4852" s="42"/>
      <c r="E4852" s="42"/>
      <c r="F4852" s="51" t="n">
        <f aca="false">IF(OR(C4852="",D4852="",E4852="",E4852=0),0,C4852*D4852/E4852)</f>
        <v>0</v>
      </c>
      <c r="G4852" s="42"/>
      <c r="H4852" s="49" t="n">
        <f aca="true">IF(OR($A4852="",_xlfn.MINIFS($B$3:$B$5000,$A$3:$A$5000,$A4852,$B$3:$B$5000,"&gt;"&amp;$B4852)=0),NOW(),_xlfn.MINIFS($B$3:$B$5000,$A$3:$A$5000,$A4852,$B$3:$B$5000,"&gt;"&amp;$B4852))</f>
        <v>46279.5987645299</v>
      </c>
    </row>
    <row r="4853" customFormat="false" ht="15" hidden="false" customHeight="true" outlineLevel="0" collapsed="false">
      <c r="A4853" s="42"/>
      <c r="B4853" s="42"/>
      <c r="C4853" s="42"/>
      <c r="D4853" s="42"/>
      <c r="E4853" s="42"/>
      <c r="F4853" s="51" t="n">
        <f aca="false">IF(OR(C4853="",D4853="",E4853="",E4853=0),0,C4853*D4853/E4853)</f>
        <v>0</v>
      </c>
      <c r="G4853" s="42"/>
      <c r="H4853" s="49" t="n">
        <f aca="true">IF(OR($A4853="",_xlfn.MINIFS($B$3:$B$5000,$A$3:$A$5000,$A4853,$B$3:$B$5000,"&gt;"&amp;$B4853)=0),NOW(),_xlfn.MINIFS($B$3:$B$5000,$A$3:$A$5000,$A4853,$B$3:$B$5000,"&gt;"&amp;$B4853))</f>
        <v>46279.5987645299</v>
      </c>
    </row>
    <row r="4854" customFormat="false" ht="15" hidden="false" customHeight="true" outlineLevel="0" collapsed="false">
      <c r="A4854" s="42"/>
      <c r="B4854" s="42"/>
      <c r="C4854" s="42"/>
      <c r="D4854" s="42"/>
      <c r="E4854" s="42"/>
      <c r="F4854" s="51" t="n">
        <f aca="false">IF(OR(C4854="",D4854="",E4854="",E4854=0),0,C4854*D4854/E4854)</f>
        <v>0</v>
      </c>
      <c r="G4854" s="42"/>
      <c r="H4854" s="49" t="n">
        <f aca="true">IF(OR($A4854="",_xlfn.MINIFS($B$3:$B$5000,$A$3:$A$5000,$A4854,$B$3:$B$5000,"&gt;"&amp;$B4854)=0),NOW(),_xlfn.MINIFS($B$3:$B$5000,$A$3:$A$5000,$A4854,$B$3:$B$5000,"&gt;"&amp;$B4854))</f>
        <v>46279.59876453</v>
      </c>
    </row>
    <row r="4855" customFormat="false" ht="15" hidden="false" customHeight="true" outlineLevel="0" collapsed="false">
      <c r="A4855" s="42"/>
      <c r="B4855" s="42"/>
      <c r="C4855" s="42"/>
      <c r="D4855" s="42"/>
      <c r="E4855" s="42"/>
      <c r="F4855" s="51" t="n">
        <f aca="false">IF(OR(C4855="",D4855="",E4855="",E4855=0),0,C4855*D4855/E4855)</f>
        <v>0</v>
      </c>
      <c r="G4855" s="42"/>
      <c r="H4855" s="49" t="n">
        <f aca="true">IF(OR($A4855="",_xlfn.MINIFS($B$3:$B$5000,$A$3:$A$5000,$A4855,$B$3:$B$5000,"&gt;"&amp;$B4855)=0),NOW(),_xlfn.MINIFS($B$3:$B$5000,$A$3:$A$5000,$A4855,$B$3:$B$5000,"&gt;"&amp;$B4855))</f>
        <v>46279.59876453</v>
      </c>
    </row>
    <row r="4856" customFormat="false" ht="15" hidden="false" customHeight="true" outlineLevel="0" collapsed="false">
      <c r="A4856" s="42"/>
      <c r="B4856" s="42"/>
      <c r="C4856" s="42"/>
      <c r="D4856" s="42"/>
      <c r="E4856" s="42"/>
      <c r="F4856" s="51" t="n">
        <f aca="false">IF(OR(C4856="",D4856="",E4856="",E4856=0),0,C4856*D4856/E4856)</f>
        <v>0</v>
      </c>
      <c r="G4856" s="42"/>
      <c r="H4856" s="49" t="n">
        <f aca="true">IF(OR($A4856="",_xlfn.MINIFS($B$3:$B$5000,$A$3:$A$5000,$A4856,$B$3:$B$5000,"&gt;"&amp;$B4856)=0),NOW(),_xlfn.MINIFS($B$3:$B$5000,$A$3:$A$5000,$A4856,$B$3:$B$5000,"&gt;"&amp;$B4856))</f>
        <v>46279.5987645301</v>
      </c>
    </row>
    <row r="4857" customFormat="false" ht="15" hidden="false" customHeight="true" outlineLevel="0" collapsed="false">
      <c r="A4857" s="42"/>
      <c r="B4857" s="42"/>
      <c r="C4857" s="42"/>
      <c r="D4857" s="42"/>
      <c r="E4857" s="42"/>
      <c r="F4857" s="51" t="n">
        <f aca="false">IF(OR(C4857="",D4857="",E4857="",E4857=0),0,C4857*D4857/E4857)</f>
        <v>0</v>
      </c>
      <c r="G4857" s="42"/>
      <c r="H4857" s="49" t="n">
        <f aca="true">IF(OR($A4857="",_xlfn.MINIFS($B$3:$B$5000,$A$3:$A$5000,$A4857,$B$3:$B$5000,"&gt;"&amp;$B4857)=0),NOW(),_xlfn.MINIFS($B$3:$B$5000,$A$3:$A$5000,$A4857,$B$3:$B$5000,"&gt;"&amp;$B4857))</f>
        <v>46279.5987645301</v>
      </c>
    </row>
    <row r="4858" customFormat="false" ht="15" hidden="false" customHeight="true" outlineLevel="0" collapsed="false">
      <c r="A4858" s="42"/>
      <c r="B4858" s="42"/>
      <c r="C4858" s="42"/>
      <c r="D4858" s="42"/>
      <c r="E4858" s="42"/>
      <c r="F4858" s="51" t="n">
        <f aca="false">IF(OR(C4858="",D4858="",E4858="",E4858=0),0,C4858*D4858/E4858)</f>
        <v>0</v>
      </c>
      <c r="G4858" s="42"/>
      <c r="H4858" s="49" t="n">
        <f aca="true">IF(OR($A4858="",_xlfn.MINIFS($B$3:$B$5000,$A$3:$A$5000,$A4858,$B$3:$B$5000,"&gt;"&amp;$B4858)=0),NOW(),_xlfn.MINIFS($B$3:$B$5000,$A$3:$A$5000,$A4858,$B$3:$B$5000,"&gt;"&amp;$B4858))</f>
        <v>46279.5987645302</v>
      </c>
    </row>
    <row r="4859" customFormat="false" ht="15" hidden="false" customHeight="true" outlineLevel="0" collapsed="false">
      <c r="A4859" s="42"/>
      <c r="B4859" s="42"/>
      <c r="C4859" s="42"/>
      <c r="D4859" s="42"/>
      <c r="E4859" s="42"/>
      <c r="F4859" s="51" t="n">
        <f aca="false">IF(OR(C4859="",D4859="",E4859="",E4859=0),0,C4859*D4859/E4859)</f>
        <v>0</v>
      </c>
      <c r="G4859" s="42"/>
      <c r="H4859" s="49" t="n">
        <f aca="true">IF(OR($A4859="",_xlfn.MINIFS($B$3:$B$5000,$A$3:$A$5000,$A4859,$B$3:$B$5000,"&gt;"&amp;$B4859)=0),NOW(),_xlfn.MINIFS($B$3:$B$5000,$A$3:$A$5000,$A4859,$B$3:$B$5000,"&gt;"&amp;$B4859))</f>
        <v>46279.5987645302</v>
      </c>
    </row>
    <row r="4860" customFormat="false" ht="15" hidden="false" customHeight="true" outlineLevel="0" collapsed="false">
      <c r="A4860" s="42"/>
      <c r="B4860" s="42"/>
      <c r="C4860" s="42"/>
      <c r="D4860" s="42"/>
      <c r="E4860" s="42"/>
      <c r="F4860" s="51" t="n">
        <f aca="false">IF(OR(C4860="",D4860="",E4860="",E4860=0),0,C4860*D4860/E4860)</f>
        <v>0</v>
      </c>
      <c r="G4860" s="42"/>
      <c r="H4860" s="49" t="n">
        <f aca="true">IF(OR($A4860="",_xlfn.MINIFS($B$3:$B$5000,$A$3:$A$5000,$A4860,$B$3:$B$5000,"&gt;"&amp;$B4860)=0),NOW(),_xlfn.MINIFS($B$3:$B$5000,$A$3:$A$5000,$A4860,$B$3:$B$5000,"&gt;"&amp;$B4860))</f>
        <v>46279.5987645303</v>
      </c>
    </row>
    <row r="4861" customFormat="false" ht="15" hidden="false" customHeight="true" outlineLevel="0" collapsed="false">
      <c r="A4861" s="42"/>
      <c r="B4861" s="42"/>
      <c r="C4861" s="42"/>
      <c r="D4861" s="42"/>
      <c r="E4861" s="42"/>
      <c r="F4861" s="51" t="n">
        <f aca="false">IF(OR(C4861="",D4861="",E4861="",E4861=0),0,C4861*D4861/E4861)</f>
        <v>0</v>
      </c>
      <c r="G4861" s="42"/>
      <c r="H4861" s="49" t="n">
        <f aca="true">IF(OR($A4861="",_xlfn.MINIFS($B$3:$B$5000,$A$3:$A$5000,$A4861,$B$3:$B$5000,"&gt;"&amp;$B4861)=0),NOW(),_xlfn.MINIFS($B$3:$B$5000,$A$3:$A$5000,$A4861,$B$3:$B$5000,"&gt;"&amp;$B4861))</f>
        <v>46279.5987645303</v>
      </c>
    </row>
    <row r="4862" customFormat="false" ht="15" hidden="false" customHeight="true" outlineLevel="0" collapsed="false">
      <c r="A4862" s="42"/>
      <c r="B4862" s="42"/>
      <c r="C4862" s="42"/>
      <c r="D4862" s="42"/>
      <c r="E4862" s="42"/>
      <c r="F4862" s="51" t="n">
        <f aca="false">IF(OR(C4862="",D4862="",E4862="",E4862=0),0,C4862*D4862/E4862)</f>
        <v>0</v>
      </c>
      <c r="G4862" s="42"/>
      <c r="H4862" s="49" t="n">
        <f aca="true">IF(OR($A4862="",_xlfn.MINIFS($B$3:$B$5000,$A$3:$A$5000,$A4862,$B$3:$B$5000,"&gt;"&amp;$B4862)=0),NOW(),_xlfn.MINIFS($B$3:$B$5000,$A$3:$A$5000,$A4862,$B$3:$B$5000,"&gt;"&amp;$B4862))</f>
        <v>46279.5987645304</v>
      </c>
    </row>
    <row r="4863" customFormat="false" ht="15" hidden="false" customHeight="true" outlineLevel="0" collapsed="false">
      <c r="A4863" s="42"/>
      <c r="B4863" s="42"/>
      <c r="C4863" s="42"/>
      <c r="D4863" s="42"/>
      <c r="E4863" s="42"/>
      <c r="F4863" s="51" t="n">
        <f aca="false">IF(OR(C4863="",D4863="",E4863="",E4863=0),0,C4863*D4863/E4863)</f>
        <v>0</v>
      </c>
      <c r="G4863" s="42"/>
      <c r="H4863" s="49" t="n">
        <f aca="true">IF(OR($A4863="",_xlfn.MINIFS($B$3:$B$5000,$A$3:$A$5000,$A4863,$B$3:$B$5000,"&gt;"&amp;$B4863)=0),NOW(),_xlfn.MINIFS($B$3:$B$5000,$A$3:$A$5000,$A4863,$B$3:$B$5000,"&gt;"&amp;$B4863))</f>
        <v>46279.5987645304</v>
      </c>
    </row>
    <row r="4864" customFormat="false" ht="15" hidden="false" customHeight="true" outlineLevel="0" collapsed="false">
      <c r="A4864" s="42"/>
      <c r="B4864" s="42"/>
      <c r="C4864" s="42"/>
      <c r="D4864" s="42"/>
      <c r="E4864" s="42"/>
      <c r="F4864" s="51" t="n">
        <f aca="false">IF(OR(C4864="",D4864="",E4864="",E4864=0),0,C4864*D4864/E4864)</f>
        <v>0</v>
      </c>
      <c r="G4864" s="42"/>
      <c r="H4864" s="49" t="n">
        <f aca="true">IF(OR($A4864="",_xlfn.MINIFS($B$3:$B$5000,$A$3:$A$5000,$A4864,$B$3:$B$5000,"&gt;"&amp;$B4864)=0),NOW(),_xlfn.MINIFS($B$3:$B$5000,$A$3:$A$5000,$A4864,$B$3:$B$5000,"&gt;"&amp;$B4864))</f>
        <v>46279.5987645305</v>
      </c>
    </row>
    <row r="4865" customFormat="false" ht="15" hidden="false" customHeight="true" outlineLevel="0" collapsed="false">
      <c r="A4865" s="42"/>
      <c r="B4865" s="42"/>
      <c r="C4865" s="42"/>
      <c r="D4865" s="42"/>
      <c r="E4865" s="42"/>
      <c r="F4865" s="51" t="n">
        <f aca="false">IF(OR(C4865="",D4865="",E4865="",E4865=0),0,C4865*D4865/E4865)</f>
        <v>0</v>
      </c>
      <c r="G4865" s="42"/>
      <c r="H4865" s="49" t="n">
        <f aca="true">IF(OR($A4865="",_xlfn.MINIFS($B$3:$B$5000,$A$3:$A$5000,$A4865,$B$3:$B$5000,"&gt;"&amp;$B4865)=0),NOW(),_xlfn.MINIFS($B$3:$B$5000,$A$3:$A$5000,$A4865,$B$3:$B$5000,"&gt;"&amp;$B4865))</f>
        <v>46279.5987645305</v>
      </c>
    </row>
    <row r="4866" customFormat="false" ht="15" hidden="false" customHeight="true" outlineLevel="0" collapsed="false">
      <c r="A4866" s="42"/>
      <c r="B4866" s="42"/>
      <c r="C4866" s="42"/>
      <c r="D4866" s="42"/>
      <c r="E4866" s="42"/>
      <c r="F4866" s="51" t="n">
        <f aca="false">IF(OR(C4866="",D4866="",E4866="",E4866=0),0,C4866*D4866/E4866)</f>
        <v>0</v>
      </c>
      <c r="G4866" s="42"/>
      <c r="H4866" s="49" t="n">
        <f aca="true">IF(OR($A4866="",_xlfn.MINIFS($B$3:$B$5000,$A$3:$A$5000,$A4866,$B$3:$B$5000,"&gt;"&amp;$B4866)=0),NOW(),_xlfn.MINIFS($B$3:$B$5000,$A$3:$A$5000,$A4866,$B$3:$B$5000,"&gt;"&amp;$B4866))</f>
        <v>46279.5987645306</v>
      </c>
    </row>
    <row r="4867" customFormat="false" ht="15" hidden="false" customHeight="true" outlineLevel="0" collapsed="false">
      <c r="A4867" s="42"/>
      <c r="B4867" s="42"/>
      <c r="C4867" s="42"/>
      <c r="D4867" s="42"/>
      <c r="E4867" s="42"/>
      <c r="F4867" s="51" t="n">
        <f aca="false">IF(OR(C4867="",D4867="",E4867="",E4867=0),0,C4867*D4867/E4867)</f>
        <v>0</v>
      </c>
      <c r="G4867" s="42"/>
      <c r="H4867" s="49" t="n">
        <f aca="true">IF(OR($A4867="",_xlfn.MINIFS($B$3:$B$5000,$A$3:$A$5000,$A4867,$B$3:$B$5000,"&gt;"&amp;$B4867)=0),NOW(),_xlfn.MINIFS($B$3:$B$5000,$A$3:$A$5000,$A4867,$B$3:$B$5000,"&gt;"&amp;$B4867))</f>
        <v>46279.5987645306</v>
      </c>
    </row>
    <row r="4868" customFormat="false" ht="15" hidden="false" customHeight="true" outlineLevel="0" collapsed="false">
      <c r="A4868" s="42"/>
      <c r="B4868" s="42"/>
      <c r="C4868" s="42"/>
      <c r="D4868" s="42"/>
      <c r="E4868" s="42"/>
      <c r="F4868" s="51" t="n">
        <f aca="false">IF(OR(C4868="",D4868="",E4868="",E4868=0),0,C4868*D4868/E4868)</f>
        <v>0</v>
      </c>
      <c r="G4868" s="42"/>
      <c r="H4868" s="49" t="n">
        <f aca="true">IF(OR($A4868="",_xlfn.MINIFS($B$3:$B$5000,$A$3:$A$5000,$A4868,$B$3:$B$5000,"&gt;"&amp;$B4868)=0),NOW(),_xlfn.MINIFS($B$3:$B$5000,$A$3:$A$5000,$A4868,$B$3:$B$5000,"&gt;"&amp;$B4868))</f>
        <v>46279.5987645307</v>
      </c>
    </row>
    <row r="4869" customFormat="false" ht="15" hidden="false" customHeight="true" outlineLevel="0" collapsed="false">
      <c r="A4869" s="42"/>
      <c r="B4869" s="42"/>
      <c r="C4869" s="42"/>
      <c r="D4869" s="42"/>
      <c r="E4869" s="42"/>
      <c r="F4869" s="51" t="n">
        <f aca="false">IF(OR(C4869="",D4869="",E4869="",E4869=0),0,C4869*D4869/E4869)</f>
        <v>0</v>
      </c>
      <c r="G4869" s="42"/>
      <c r="H4869" s="49" t="n">
        <f aca="true">IF(OR($A4869="",_xlfn.MINIFS($B$3:$B$5000,$A$3:$A$5000,$A4869,$B$3:$B$5000,"&gt;"&amp;$B4869)=0),NOW(),_xlfn.MINIFS($B$3:$B$5000,$A$3:$A$5000,$A4869,$B$3:$B$5000,"&gt;"&amp;$B4869))</f>
        <v>46279.5987645307</v>
      </c>
    </row>
    <row r="4870" customFormat="false" ht="15" hidden="false" customHeight="true" outlineLevel="0" collapsed="false">
      <c r="A4870" s="42"/>
      <c r="B4870" s="42"/>
      <c r="C4870" s="42"/>
      <c r="D4870" s="42"/>
      <c r="E4870" s="42"/>
      <c r="F4870" s="51" t="n">
        <f aca="false">IF(OR(C4870="",D4870="",E4870="",E4870=0),0,C4870*D4870/E4870)</f>
        <v>0</v>
      </c>
      <c r="G4870" s="42"/>
      <c r="H4870" s="49" t="n">
        <f aca="true">IF(OR($A4870="",_xlfn.MINIFS($B$3:$B$5000,$A$3:$A$5000,$A4870,$B$3:$B$5000,"&gt;"&amp;$B4870)=0),NOW(),_xlfn.MINIFS($B$3:$B$5000,$A$3:$A$5000,$A4870,$B$3:$B$5000,"&gt;"&amp;$B4870))</f>
        <v>46279.5987645308</v>
      </c>
    </row>
    <row r="4871" customFormat="false" ht="15" hidden="false" customHeight="true" outlineLevel="0" collapsed="false">
      <c r="A4871" s="42"/>
      <c r="B4871" s="42"/>
      <c r="C4871" s="42"/>
      <c r="D4871" s="42"/>
      <c r="E4871" s="42"/>
      <c r="F4871" s="51" t="n">
        <f aca="false">IF(OR(C4871="",D4871="",E4871="",E4871=0),0,C4871*D4871/E4871)</f>
        <v>0</v>
      </c>
      <c r="G4871" s="42"/>
      <c r="H4871" s="49" t="n">
        <f aca="true">IF(OR($A4871="",_xlfn.MINIFS($B$3:$B$5000,$A$3:$A$5000,$A4871,$B$3:$B$5000,"&gt;"&amp;$B4871)=0),NOW(),_xlfn.MINIFS($B$3:$B$5000,$A$3:$A$5000,$A4871,$B$3:$B$5000,"&gt;"&amp;$B4871))</f>
        <v>46279.5987645308</v>
      </c>
    </row>
    <row r="4872" customFormat="false" ht="15" hidden="false" customHeight="true" outlineLevel="0" collapsed="false">
      <c r="A4872" s="42"/>
      <c r="B4872" s="42"/>
      <c r="C4872" s="42"/>
      <c r="D4872" s="42"/>
      <c r="E4872" s="42"/>
      <c r="F4872" s="51" t="n">
        <f aca="false">IF(OR(C4872="",D4872="",E4872="",E4872=0),0,C4872*D4872/E4872)</f>
        <v>0</v>
      </c>
      <c r="G4872" s="42"/>
      <c r="H4872" s="49" t="n">
        <f aca="true">IF(OR($A4872="",_xlfn.MINIFS($B$3:$B$5000,$A$3:$A$5000,$A4872,$B$3:$B$5000,"&gt;"&amp;$B4872)=0),NOW(),_xlfn.MINIFS($B$3:$B$5000,$A$3:$A$5000,$A4872,$B$3:$B$5000,"&gt;"&amp;$B4872))</f>
        <v>46279.5987645309</v>
      </c>
    </row>
    <row r="4873" customFormat="false" ht="15" hidden="false" customHeight="true" outlineLevel="0" collapsed="false">
      <c r="A4873" s="42"/>
      <c r="B4873" s="42"/>
      <c r="C4873" s="42"/>
      <c r="D4873" s="42"/>
      <c r="E4873" s="42"/>
      <c r="F4873" s="51" t="n">
        <f aca="false">IF(OR(C4873="",D4873="",E4873="",E4873=0),0,C4873*D4873/E4873)</f>
        <v>0</v>
      </c>
      <c r="G4873" s="42"/>
      <c r="H4873" s="49" t="n">
        <f aca="true">IF(OR($A4873="",_xlfn.MINIFS($B$3:$B$5000,$A$3:$A$5000,$A4873,$B$3:$B$5000,"&gt;"&amp;$B4873)=0),NOW(),_xlfn.MINIFS($B$3:$B$5000,$A$3:$A$5000,$A4873,$B$3:$B$5000,"&gt;"&amp;$B4873))</f>
        <v>46279.5987645309</v>
      </c>
    </row>
    <row r="4874" customFormat="false" ht="15" hidden="false" customHeight="true" outlineLevel="0" collapsed="false">
      <c r="A4874" s="42"/>
      <c r="B4874" s="42"/>
      <c r="C4874" s="42"/>
      <c r="D4874" s="42"/>
      <c r="E4874" s="42"/>
      <c r="F4874" s="51" t="n">
        <f aca="false">IF(OR(C4874="",D4874="",E4874="",E4874=0),0,C4874*D4874/E4874)</f>
        <v>0</v>
      </c>
      <c r="G4874" s="42"/>
      <c r="H4874" s="49" t="n">
        <f aca="true">IF(OR($A4874="",_xlfn.MINIFS($B$3:$B$5000,$A$3:$A$5000,$A4874,$B$3:$B$5000,"&gt;"&amp;$B4874)=0),NOW(),_xlfn.MINIFS($B$3:$B$5000,$A$3:$A$5000,$A4874,$B$3:$B$5000,"&gt;"&amp;$B4874))</f>
        <v>46279.598764531</v>
      </c>
    </row>
    <row r="4875" customFormat="false" ht="15" hidden="false" customHeight="true" outlineLevel="0" collapsed="false">
      <c r="A4875" s="42"/>
      <c r="B4875" s="42"/>
      <c r="C4875" s="42"/>
      <c r="D4875" s="42"/>
      <c r="E4875" s="42"/>
      <c r="F4875" s="51" t="n">
        <f aca="false">IF(OR(C4875="",D4875="",E4875="",E4875=0),0,C4875*D4875/E4875)</f>
        <v>0</v>
      </c>
      <c r="G4875" s="42"/>
      <c r="H4875" s="49" t="n">
        <f aca="true">IF(OR($A4875="",_xlfn.MINIFS($B$3:$B$5000,$A$3:$A$5000,$A4875,$B$3:$B$5000,"&gt;"&amp;$B4875)=0),NOW(),_xlfn.MINIFS($B$3:$B$5000,$A$3:$A$5000,$A4875,$B$3:$B$5000,"&gt;"&amp;$B4875))</f>
        <v>46279.598764531</v>
      </c>
    </row>
    <row r="4876" customFormat="false" ht="15" hidden="false" customHeight="true" outlineLevel="0" collapsed="false">
      <c r="A4876" s="42"/>
      <c r="B4876" s="42"/>
      <c r="C4876" s="42"/>
      <c r="D4876" s="42"/>
      <c r="E4876" s="42"/>
      <c r="F4876" s="51" t="n">
        <f aca="false">IF(OR(C4876="",D4876="",E4876="",E4876=0),0,C4876*D4876/E4876)</f>
        <v>0</v>
      </c>
      <c r="G4876" s="42"/>
      <c r="H4876" s="49" t="n">
        <f aca="true">IF(OR($A4876="",_xlfn.MINIFS($B$3:$B$5000,$A$3:$A$5000,$A4876,$B$3:$B$5000,"&gt;"&amp;$B4876)=0),NOW(),_xlfn.MINIFS($B$3:$B$5000,$A$3:$A$5000,$A4876,$B$3:$B$5000,"&gt;"&amp;$B4876))</f>
        <v>46279.5987645311</v>
      </c>
    </row>
    <row r="4877" customFormat="false" ht="15" hidden="false" customHeight="true" outlineLevel="0" collapsed="false">
      <c r="A4877" s="42"/>
      <c r="B4877" s="42"/>
      <c r="C4877" s="42"/>
      <c r="D4877" s="42"/>
      <c r="E4877" s="42"/>
      <c r="F4877" s="51" t="n">
        <f aca="false">IF(OR(C4877="",D4877="",E4877="",E4877=0),0,C4877*D4877/E4877)</f>
        <v>0</v>
      </c>
      <c r="G4877" s="42"/>
      <c r="H4877" s="49" t="n">
        <f aca="true">IF(OR($A4877="",_xlfn.MINIFS($B$3:$B$5000,$A$3:$A$5000,$A4877,$B$3:$B$5000,"&gt;"&amp;$B4877)=0),NOW(),_xlfn.MINIFS($B$3:$B$5000,$A$3:$A$5000,$A4877,$B$3:$B$5000,"&gt;"&amp;$B4877))</f>
        <v>46279.5987645311</v>
      </c>
    </row>
    <row r="4878" customFormat="false" ht="15" hidden="false" customHeight="true" outlineLevel="0" collapsed="false">
      <c r="A4878" s="42"/>
      <c r="B4878" s="42"/>
      <c r="C4878" s="42"/>
      <c r="D4878" s="42"/>
      <c r="E4878" s="42"/>
      <c r="F4878" s="51" t="n">
        <f aca="false">IF(OR(C4878="",D4878="",E4878="",E4878=0),0,C4878*D4878/E4878)</f>
        <v>0</v>
      </c>
      <c r="G4878" s="42"/>
      <c r="H4878" s="49" t="n">
        <f aca="true">IF(OR($A4878="",_xlfn.MINIFS($B$3:$B$5000,$A$3:$A$5000,$A4878,$B$3:$B$5000,"&gt;"&amp;$B4878)=0),NOW(),_xlfn.MINIFS($B$3:$B$5000,$A$3:$A$5000,$A4878,$B$3:$B$5000,"&gt;"&amp;$B4878))</f>
        <v>46279.5987645312</v>
      </c>
    </row>
    <row r="4879" customFormat="false" ht="15" hidden="false" customHeight="true" outlineLevel="0" collapsed="false">
      <c r="A4879" s="42"/>
      <c r="B4879" s="42"/>
      <c r="C4879" s="42"/>
      <c r="D4879" s="42"/>
      <c r="E4879" s="42"/>
      <c r="F4879" s="51" t="n">
        <f aca="false">IF(OR(C4879="",D4879="",E4879="",E4879=0),0,C4879*D4879/E4879)</f>
        <v>0</v>
      </c>
      <c r="G4879" s="42"/>
      <c r="H4879" s="49" t="n">
        <f aca="true">IF(OR($A4879="",_xlfn.MINIFS($B$3:$B$5000,$A$3:$A$5000,$A4879,$B$3:$B$5000,"&gt;"&amp;$B4879)=0),NOW(),_xlfn.MINIFS($B$3:$B$5000,$A$3:$A$5000,$A4879,$B$3:$B$5000,"&gt;"&amp;$B4879))</f>
        <v>46279.5987645312</v>
      </c>
    </row>
    <row r="4880" customFormat="false" ht="15" hidden="false" customHeight="true" outlineLevel="0" collapsed="false">
      <c r="A4880" s="42"/>
      <c r="B4880" s="42"/>
      <c r="C4880" s="42"/>
      <c r="D4880" s="42"/>
      <c r="E4880" s="42"/>
      <c r="F4880" s="51" t="n">
        <f aca="false">IF(OR(C4880="",D4880="",E4880="",E4880=0),0,C4880*D4880/E4880)</f>
        <v>0</v>
      </c>
      <c r="G4880" s="42"/>
      <c r="H4880" s="49" t="n">
        <f aca="true">IF(OR($A4880="",_xlfn.MINIFS($B$3:$B$5000,$A$3:$A$5000,$A4880,$B$3:$B$5000,"&gt;"&amp;$B4880)=0),NOW(),_xlfn.MINIFS($B$3:$B$5000,$A$3:$A$5000,$A4880,$B$3:$B$5000,"&gt;"&amp;$B4880))</f>
        <v>46279.5987645313</v>
      </c>
    </row>
    <row r="4881" customFormat="false" ht="15" hidden="false" customHeight="true" outlineLevel="0" collapsed="false">
      <c r="A4881" s="42"/>
      <c r="B4881" s="42"/>
      <c r="C4881" s="42"/>
      <c r="D4881" s="42"/>
      <c r="E4881" s="42"/>
      <c r="F4881" s="51" t="n">
        <f aca="false">IF(OR(C4881="",D4881="",E4881="",E4881=0),0,C4881*D4881/E4881)</f>
        <v>0</v>
      </c>
      <c r="G4881" s="42"/>
      <c r="H4881" s="49" t="n">
        <f aca="true">IF(OR($A4881="",_xlfn.MINIFS($B$3:$B$5000,$A$3:$A$5000,$A4881,$B$3:$B$5000,"&gt;"&amp;$B4881)=0),NOW(),_xlfn.MINIFS($B$3:$B$5000,$A$3:$A$5000,$A4881,$B$3:$B$5000,"&gt;"&amp;$B4881))</f>
        <v>46279.5987645313</v>
      </c>
    </row>
    <row r="4882" customFormat="false" ht="15" hidden="false" customHeight="true" outlineLevel="0" collapsed="false">
      <c r="A4882" s="42"/>
      <c r="B4882" s="42"/>
      <c r="C4882" s="42"/>
      <c r="D4882" s="42"/>
      <c r="E4882" s="42"/>
      <c r="F4882" s="51" t="n">
        <f aca="false">IF(OR(C4882="",D4882="",E4882="",E4882=0),0,C4882*D4882/E4882)</f>
        <v>0</v>
      </c>
      <c r="G4882" s="42"/>
      <c r="H4882" s="49" t="n">
        <f aca="true">IF(OR($A4882="",_xlfn.MINIFS($B$3:$B$5000,$A$3:$A$5000,$A4882,$B$3:$B$5000,"&gt;"&amp;$B4882)=0),NOW(),_xlfn.MINIFS($B$3:$B$5000,$A$3:$A$5000,$A4882,$B$3:$B$5000,"&gt;"&amp;$B4882))</f>
        <v>46279.5987645314</v>
      </c>
    </row>
    <row r="4883" customFormat="false" ht="15" hidden="false" customHeight="true" outlineLevel="0" collapsed="false">
      <c r="A4883" s="42"/>
      <c r="B4883" s="42"/>
      <c r="C4883" s="42"/>
      <c r="D4883" s="42"/>
      <c r="E4883" s="42"/>
      <c r="F4883" s="51" t="n">
        <f aca="false">IF(OR(C4883="",D4883="",E4883="",E4883=0),0,C4883*D4883/E4883)</f>
        <v>0</v>
      </c>
      <c r="G4883" s="42"/>
      <c r="H4883" s="49" t="n">
        <f aca="true">IF(OR($A4883="",_xlfn.MINIFS($B$3:$B$5000,$A$3:$A$5000,$A4883,$B$3:$B$5000,"&gt;"&amp;$B4883)=0),NOW(),_xlfn.MINIFS($B$3:$B$5000,$A$3:$A$5000,$A4883,$B$3:$B$5000,"&gt;"&amp;$B4883))</f>
        <v>46279.5987645314</v>
      </c>
    </row>
    <row r="4884" customFormat="false" ht="15" hidden="false" customHeight="true" outlineLevel="0" collapsed="false">
      <c r="A4884" s="42"/>
      <c r="B4884" s="42"/>
      <c r="C4884" s="42"/>
      <c r="D4884" s="42"/>
      <c r="E4884" s="42"/>
      <c r="F4884" s="51" t="n">
        <f aca="false">IF(OR(C4884="",D4884="",E4884="",E4884=0),0,C4884*D4884/E4884)</f>
        <v>0</v>
      </c>
      <c r="G4884" s="42"/>
      <c r="H4884" s="49" t="n">
        <f aca="true">IF(OR($A4884="",_xlfn.MINIFS($B$3:$B$5000,$A$3:$A$5000,$A4884,$B$3:$B$5000,"&gt;"&amp;$B4884)=0),NOW(),_xlfn.MINIFS($B$3:$B$5000,$A$3:$A$5000,$A4884,$B$3:$B$5000,"&gt;"&amp;$B4884))</f>
        <v>46279.5987645315</v>
      </c>
    </row>
    <row r="4885" customFormat="false" ht="15" hidden="false" customHeight="true" outlineLevel="0" collapsed="false">
      <c r="A4885" s="42"/>
      <c r="B4885" s="42"/>
      <c r="C4885" s="42"/>
      <c r="D4885" s="42"/>
      <c r="E4885" s="42"/>
      <c r="F4885" s="51" t="n">
        <f aca="false">IF(OR(C4885="",D4885="",E4885="",E4885=0),0,C4885*D4885/E4885)</f>
        <v>0</v>
      </c>
      <c r="G4885" s="42"/>
      <c r="H4885" s="49" t="n">
        <f aca="true">IF(OR($A4885="",_xlfn.MINIFS($B$3:$B$5000,$A$3:$A$5000,$A4885,$B$3:$B$5000,"&gt;"&amp;$B4885)=0),NOW(),_xlfn.MINIFS($B$3:$B$5000,$A$3:$A$5000,$A4885,$B$3:$B$5000,"&gt;"&amp;$B4885))</f>
        <v>46279.5987645315</v>
      </c>
    </row>
    <row r="4886" customFormat="false" ht="15" hidden="false" customHeight="true" outlineLevel="0" collapsed="false">
      <c r="A4886" s="42"/>
      <c r="B4886" s="42"/>
      <c r="C4886" s="42"/>
      <c r="D4886" s="42"/>
      <c r="E4886" s="42"/>
      <c r="F4886" s="51" t="n">
        <f aca="false">IF(OR(C4886="",D4886="",E4886="",E4886=0),0,C4886*D4886/E4886)</f>
        <v>0</v>
      </c>
      <c r="G4886" s="42"/>
      <c r="H4886" s="49" t="n">
        <f aca="true">IF(OR($A4886="",_xlfn.MINIFS($B$3:$B$5000,$A$3:$A$5000,$A4886,$B$3:$B$5000,"&gt;"&amp;$B4886)=0),NOW(),_xlfn.MINIFS($B$3:$B$5000,$A$3:$A$5000,$A4886,$B$3:$B$5000,"&gt;"&amp;$B4886))</f>
        <v>46279.5987645316</v>
      </c>
    </row>
    <row r="4887" customFormat="false" ht="15" hidden="false" customHeight="true" outlineLevel="0" collapsed="false">
      <c r="A4887" s="42"/>
      <c r="B4887" s="42"/>
      <c r="C4887" s="42"/>
      <c r="D4887" s="42"/>
      <c r="E4887" s="42"/>
      <c r="F4887" s="51" t="n">
        <f aca="false">IF(OR(C4887="",D4887="",E4887="",E4887=0),0,C4887*D4887/E4887)</f>
        <v>0</v>
      </c>
      <c r="G4887" s="42"/>
      <c r="H4887" s="49" t="n">
        <f aca="true">IF(OR($A4887="",_xlfn.MINIFS($B$3:$B$5000,$A$3:$A$5000,$A4887,$B$3:$B$5000,"&gt;"&amp;$B4887)=0),NOW(),_xlfn.MINIFS($B$3:$B$5000,$A$3:$A$5000,$A4887,$B$3:$B$5000,"&gt;"&amp;$B4887))</f>
        <v>46279.5987645316</v>
      </c>
    </row>
    <row r="4888" customFormat="false" ht="15" hidden="false" customHeight="true" outlineLevel="0" collapsed="false">
      <c r="A4888" s="42"/>
      <c r="B4888" s="42"/>
      <c r="C4888" s="42"/>
      <c r="D4888" s="42"/>
      <c r="E4888" s="42"/>
      <c r="F4888" s="51" t="n">
        <f aca="false">IF(OR(C4888="",D4888="",E4888="",E4888=0),0,C4888*D4888/E4888)</f>
        <v>0</v>
      </c>
      <c r="G4888" s="42"/>
      <c r="H4888" s="49" t="n">
        <f aca="true">IF(OR($A4888="",_xlfn.MINIFS($B$3:$B$5000,$A$3:$A$5000,$A4888,$B$3:$B$5000,"&gt;"&amp;$B4888)=0),NOW(),_xlfn.MINIFS($B$3:$B$5000,$A$3:$A$5000,$A4888,$B$3:$B$5000,"&gt;"&amp;$B4888))</f>
        <v>46279.5987645317</v>
      </c>
    </row>
    <row r="4889" customFormat="false" ht="15" hidden="false" customHeight="true" outlineLevel="0" collapsed="false">
      <c r="A4889" s="42"/>
      <c r="B4889" s="42"/>
      <c r="C4889" s="42"/>
      <c r="D4889" s="42"/>
      <c r="E4889" s="42"/>
      <c r="F4889" s="51" t="n">
        <f aca="false">IF(OR(C4889="",D4889="",E4889="",E4889=0),0,C4889*D4889/E4889)</f>
        <v>0</v>
      </c>
      <c r="G4889" s="42"/>
      <c r="H4889" s="49" t="n">
        <f aca="true">IF(OR($A4889="",_xlfn.MINIFS($B$3:$B$5000,$A$3:$A$5000,$A4889,$B$3:$B$5000,"&gt;"&amp;$B4889)=0),NOW(),_xlfn.MINIFS($B$3:$B$5000,$A$3:$A$5000,$A4889,$B$3:$B$5000,"&gt;"&amp;$B4889))</f>
        <v>46279.5987645317</v>
      </c>
    </row>
    <row r="4890" customFormat="false" ht="15" hidden="false" customHeight="true" outlineLevel="0" collapsed="false">
      <c r="A4890" s="42"/>
      <c r="B4890" s="42"/>
      <c r="C4890" s="42"/>
      <c r="D4890" s="42"/>
      <c r="E4890" s="42"/>
      <c r="F4890" s="51" t="n">
        <f aca="false">IF(OR(C4890="",D4890="",E4890="",E4890=0),0,C4890*D4890/E4890)</f>
        <v>0</v>
      </c>
      <c r="G4890" s="42"/>
      <c r="H4890" s="49" t="n">
        <f aca="true">IF(OR($A4890="",_xlfn.MINIFS($B$3:$B$5000,$A$3:$A$5000,$A4890,$B$3:$B$5000,"&gt;"&amp;$B4890)=0),NOW(),_xlfn.MINIFS($B$3:$B$5000,$A$3:$A$5000,$A4890,$B$3:$B$5000,"&gt;"&amp;$B4890))</f>
        <v>46279.5987645318</v>
      </c>
    </row>
    <row r="4891" customFormat="false" ht="15" hidden="false" customHeight="true" outlineLevel="0" collapsed="false">
      <c r="A4891" s="42"/>
      <c r="B4891" s="42"/>
      <c r="C4891" s="42"/>
      <c r="D4891" s="42"/>
      <c r="E4891" s="42"/>
      <c r="F4891" s="51" t="n">
        <f aca="false">IF(OR(C4891="",D4891="",E4891="",E4891=0),0,C4891*D4891/E4891)</f>
        <v>0</v>
      </c>
      <c r="G4891" s="42"/>
      <c r="H4891" s="49" t="n">
        <f aca="true">IF(OR($A4891="",_xlfn.MINIFS($B$3:$B$5000,$A$3:$A$5000,$A4891,$B$3:$B$5000,"&gt;"&amp;$B4891)=0),NOW(),_xlfn.MINIFS($B$3:$B$5000,$A$3:$A$5000,$A4891,$B$3:$B$5000,"&gt;"&amp;$B4891))</f>
        <v>46279.5987645318</v>
      </c>
    </row>
    <row r="4892" customFormat="false" ht="15" hidden="false" customHeight="true" outlineLevel="0" collapsed="false">
      <c r="A4892" s="42"/>
      <c r="B4892" s="42"/>
      <c r="C4892" s="42"/>
      <c r="D4892" s="42"/>
      <c r="E4892" s="42"/>
      <c r="F4892" s="51" t="n">
        <f aca="false">IF(OR(C4892="",D4892="",E4892="",E4892=0),0,C4892*D4892/E4892)</f>
        <v>0</v>
      </c>
      <c r="G4892" s="42"/>
      <c r="H4892" s="49" t="n">
        <f aca="true">IF(OR($A4892="",_xlfn.MINIFS($B$3:$B$5000,$A$3:$A$5000,$A4892,$B$3:$B$5000,"&gt;"&amp;$B4892)=0),NOW(),_xlfn.MINIFS($B$3:$B$5000,$A$3:$A$5000,$A4892,$B$3:$B$5000,"&gt;"&amp;$B4892))</f>
        <v>46279.5987645319</v>
      </c>
    </row>
    <row r="4893" customFormat="false" ht="15" hidden="false" customHeight="true" outlineLevel="0" collapsed="false">
      <c r="A4893" s="42"/>
      <c r="B4893" s="42"/>
      <c r="C4893" s="42"/>
      <c r="D4893" s="42"/>
      <c r="E4893" s="42"/>
      <c r="F4893" s="51" t="n">
        <f aca="false">IF(OR(C4893="",D4893="",E4893="",E4893=0),0,C4893*D4893/E4893)</f>
        <v>0</v>
      </c>
      <c r="G4893" s="42"/>
      <c r="H4893" s="49" t="n">
        <f aca="true">IF(OR($A4893="",_xlfn.MINIFS($B$3:$B$5000,$A$3:$A$5000,$A4893,$B$3:$B$5000,"&gt;"&amp;$B4893)=0),NOW(),_xlfn.MINIFS($B$3:$B$5000,$A$3:$A$5000,$A4893,$B$3:$B$5000,"&gt;"&amp;$B4893))</f>
        <v>46279.5987645319</v>
      </c>
    </row>
    <row r="4894" customFormat="false" ht="15" hidden="false" customHeight="true" outlineLevel="0" collapsed="false">
      <c r="A4894" s="42"/>
      <c r="B4894" s="42"/>
      <c r="C4894" s="42"/>
      <c r="D4894" s="42"/>
      <c r="E4894" s="42"/>
      <c r="F4894" s="51" t="n">
        <f aca="false">IF(OR(C4894="",D4894="",E4894="",E4894=0),0,C4894*D4894/E4894)</f>
        <v>0</v>
      </c>
      <c r="G4894" s="42"/>
      <c r="H4894" s="49" t="n">
        <f aca="true">IF(OR($A4894="",_xlfn.MINIFS($B$3:$B$5000,$A$3:$A$5000,$A4894,$B$3:$B$5000,"&gt;"&amp;$B4894)=0),NOW(),_xlfn.MINIFS($B$3:$B$5000,$A$3:$A$5000,$A4894,$B$3:$B$5000,"&gt;"&amp;$B4894))</f>
        <v>46279.598764532</v>
      </c>
    </row>
    <row r="4895" customFormat="false" ht="15" hidden="false" customHeight="true" outlineLevel="0" collapsed="false">
      <c r="A4895" s="42"/>
      <c r="B4895" s="42"/>
      <c r="C4895" s="42"/>
      <c r="D4895" s="42"/>
      <c r="E4895" s="42"/>
      <c r="F4895" s="51" t="n">
        <f aca="false">IF(OR(C4895="",D4895="",E4895="",E4895=0),0,C4895*D4895/E4895)</f>
        <v>0</v>
      </c>
      <c r="G4895" s="42"/>
      <c r="H4895" s="49" t="n">
        <f aca="true">IF(OR($A4895="",_xlfn.MINIFS($B$3:$B$5000,$A$3:$A$5000,$A4895,$B$3:$B$5000,"&gt;"&amp;$B4895)=0),NOW(),_xlfn.MINIFS($B$3:$B$5000,$A$3:$A$5000,$A4895,$B$3:$B$5000,"&gt;"&amp;$B4895))</f>
        <v>46279.598764532</v>
      </c>
    </row>
    <row r="4896" customFormat="false" ht="15" hidden="false" customHeight="true" outlineLevel="0" collapsed="false">
      <c r="A4896" s="42"/>
      <c r="B4896" s="42"/>
      <c r="C4896" s="42"/>
      <c r="D4896" s="42"/>
      <c r="E4896" s="42"/>
      <c r="F4896" s="51" t="n">
        <f aca="false">IF(OR(C4896="",D4896="",E4896="",E4896=0),0,C4896*D4896/E4896)</f>
        <v>0</v>
      </c>
      <c r="G4896" s="42"/>
      <c r="H4896" s="49" t="n">
        <f aca="true">IF(OR($A4896="",_xlfn.MINIFS($B$3:$B$5000,$A$3:$A$5000,$A4896,$B$3:$B$5000,"&gt;"&amp;$B4896)=0),NOW(),_xlfn.MINIFS($B$3:$B$5000,$A$3:$A$5000,$A4896,$B$3:$B$5000,"&gt;"&amp;$B4896))</f>
        <v>46279.5987645321</v>
      </c>
    </row>
    <row r="4897" customFormat="false" ht="15" hidden="false" customHeight="true" outlineLevel="0" collapsed="false">
      <c r="A4897" s="42"/>
      <c r="B4897" s="42"/>
      <c r="C4897" s="42"/>
      <c r="D4897" s="42"/>
      <c r="E4897" s="42"/>
      <c r="F4897" s="51" t="n">
        <f aca="false">IF(OR(C4897="",D4897="",E4897="",E4897=0),0,C4897*D4897/E4897)</f>
        <v>0</v>
      </c>
      <c r="G4897" s="42"/>
      <c r="H4897" s="49" t="n">
        <f aca="true">IF(OR($A4897="",_xlfn.MINIFS($B$3:$B$5000,$A$3:$A$5000,$A4897,$B$3:$B$5000,"&gt;"&amp;$B4897)=0),NOW(),_xlfn.MINIFS($B$3:$B$5000,$A$3:$A$5000,$A4897,$B$3:$B$5000,"&gt;"&amp;$B4897))</f>
        <v>46279.5987645321</v>
      </c>
    </row>
    <row r="4898" customFormat="false" ht="15" hidden="false" customHeight="true" outlineLevel="0" collapsed="false">
      <c r="A4898" s="42"/>
      <c r="B4898" s="42"/>
      <c r="C4898" s="42"/>
      <c r="D4898" s="42"/>
      <c r="E4898" s="42"/>
      <c r="F4898" s="51" t="n">
        <f aca="false">IF(OR(C4898="",D4898="",E4898="",E4898=0),0,C4898*D4898/E4898)</f>
        <v>0</v>
      </c>
      <c r="G4898" s="42"/>
      <c r="H4898" s="49" t="n">
        <f aca="true">IF(OR($A4898="",_xlfn.MINIFS($B$3:$B$5000,$A$3:$A$5000,$A4898,$B$3:$B$5000,"&gt;"&amp;$B4898)=0),NOW(),_xlfn.MINIFS($B$3:$B$5000,$A$3:$A$5000,$A4898,$B$3:$B$5000,"&gt;"&amp;$B4898))</f>
        <v>46279.5987645322</v>
      </c>
    </row>
    <row r="4899" customFormat="false" ht="15" hidden="false" customHeight="true" outlineLevel="0" collapsed="false">
      <c r="A4899" s="42"/>
      <c r="B4899" s="42"/>
      <c r="C4899" s="42"/>
      <c r="D4899" s="42"/>
      <c r="E4899" s="42"/>
      <c r="F4899" s="51" t="n">
        <f aca="false">IF(OR(C4899="",D4899="",E4899="",E4899=0),0,C4899*D4899/E4899)</f>
        <v>0</v>
      </c>
      <c r="G4899" s="42"/>
      <c r="H4899" s="49" t="n">
        <f aca="true">IF(OR($A4899="",_xlfn.MINIFS($B$3:$B$5000,$A$3:$A$5000,$A4899,$B$3:$B$5000,"&gt;"&amp;$B4899)=0),NOW(),_xlfn.MINIFS($B$3:$B$5000,$A$3:$A$5000,$A4899,$B$3:$B$5000,"&gt;"&amp;$B4899))</f>
        <v>46279.5987645322</v>
      </c>
    </row>
    <row r="4900" customFormat="false" ht="15" hidden="false" customHeight="true" outlineLevel="0" collapsed="false">
      <c r="A4900" s="42"/>
      <c r="B4900" s="42"/>
      <c r="C4900" s="42"/>
      <c r="D4900" s="42"/>
      <c r="E4900" s="42"/>
      <c r="F4900" s="51" t="n">
        <f aca="false">IF(OR(C4900="",D4900="",E4900="",E4900=0),0,C4900*D4900/E4900)</f>
        <v>0</v>
      </c>
      <c r="G4900" s="42"/>
      <c r="H4900" s="49" t="n">
        <f aca="true">IF(OR($A4900="",_xlfn.MINIFS($B$3:$B$5000,$A$3:$A$5000,$A4900,$B$3:$B$5000,"&gt;"&amp;$B4900)=0),NOW(),_xlfn.MINIFS($B$3:$B$5000,$A$3:$A$5000,$A4900,$B$3:$B$5000,"&gt;"&amp;$B4900))</f>
        <v>46279.5987645323</v>
      </c>
    </row>
    <row r="4901" customFormat="false" ht="15" hidden="false" customHeight="true" outlineLevel="0" collapsed="false">
      <c r="A4901" s="42"/>
      <c r="B4901" s="42"/>
      <c r="C4901" s="42"/>
      <c r="D4901" s="42"/>
      <c r="E4901" s="42"/>
      <c r="F4901" s="51" t="n">
        <f aca="false">IF(OR(C4901="",D4901="",E4901="",E4901=0),0,C4901*D4901/E4901)</f>
        <v>0</v>
      </c>
      <c r="G4901" s="42"/>
      <c r="H4901" s="49" t="n">
        <f aca="true">IF(OR($A4901="",_xlfn.MINIFS($B$3:$B$5000,$A$3:$A$5000,$A4901,$B$3:$B$5000,"&gt;"&amp;$B4901)=0),NOW(),_xlfn.MINIFS($B$3:$B$5000,$A$3:$A$5000,$A4901,$B$3:$B$5000,"&gt;"&amp;$B4901))</f>
        <v>46279.5987645323</v>
      </c>
    </row>
    <row r="4902" customFormat="false" ht="15" hidden="false" customHeight="true" outlineLevel="0" collapsed="false">
      <c r="A4902" s="42"/>
      <c r="B4902" s="42"/>
      <c r="C4902" s="42"/>
      <c r="D4902" s="42"/>
      <c r="E4902" s="42"/>
      <c r="F4902" s="51" t="n">
        <f aca="false">IF(OR(C4902="",D4902="",E4902="",E4902=0),0,C4902*D4902/E4902)</f>
        <v>0</v>
      </c>
      <c r="G4902" s="42"/>
      <c r="H4902" s="49" t="n">
        <f aca="true">IF(OR($A4902="",_xlfn.MINIFS($B$3:$B$5000,$A$3:$A$5000,$A4902,$B$3:$B$5000,"&gt;"&amp;$B4902)=0),NOW(),_xlfn.MINIFS($B$3:$B$5000,$A$3:$A$5000,$A4902,$B$3:$B$5000,"&gt;"&amp;$B4902))</f>
        <v>46279.5987645324</v>
      </c>
    </row>
    <row r="4903" customFormat="false" ht="15" hidden="false" customHeight="true" outlineLevel="0" collapsed="false">
      <c r="A4903" s="42"/>
      <c r="B4903" s="42"/>
      <c r="C4903" s="42"/>
      <c r="D4903" s="42"/>
      <c r="E4903" s="42"/>
      <c r="F4903" s="51" t="n">
        <f aca="false">IF(OR(C4903="",D4903="",E4903="",E4903=0),0,C4903*D4903/E4903)</f>
        <v>0</v>
      </c>
      <c r="G4903" s="42"/>
      <c r="H4903" s="49" t="n">
        <f aca="true">IF(OR($A4903="",_xlfn.MINIFS($B$3:$B$5000,$A$3:$A$5000,$A4903,$B$3:$B$5000,"&gt;"&amp;$B4903)=0),NOW(),_xlfn.MINIFS($B$3:$B$5000,$A$3:$A$5000,$A4903,$B$3:$B$5000,"&gt;"&amp;$B4903))</f>
        <v>46279.5987645324</v>
      </c>
    </row>
    <row r="4904" customFormat="false" ht="15" hidden="false" customHeight="true" outlineLevel="0" collapsed="false">
      <c r="A4904" s="42"/>
      <c r="B4904" s="42"/>
      <c r="C4904" s="42"/>
      <c r="D4904" s="42"/>
      <c r="E4904" s="42"/>
      <c r="F4904" s="51" t="n">
        <f aca="false">IF(OR(C4904="",D4904="",E4904="",E4904=0),0,C4904*D4904/E4904)</f>
        <v>0</v>
      </c>
      <c r="G4904" s="42"/>
      <c r="H4904" s="49" t="n">
        <f aca="true">IF(OR($A4904="",_xlfn.MINIFS($B$3:$B$5000,$A$3:$A$5000,$A4904,$B$3:$B$5000,"&gt;"&amp;$B4904)=0),NOW(),_xlfn.MINIFS($B$3:$B$5000,$A$3:$A$5000,$A4904,$B$3:$B$5000,"&gt;"&amp;$B4904))</f>
        <v>46279.5987645325</v>
      </c>
    </row>
    <row r="4905" customFormat="false" ht="15" hidden="false" customHeight="true" outlineLevel="0" collapsed="false">
      <c r="A4905" s="42"/>
      <c r="B4905" s="42"/>
      <c r="C4905" s="42"/>
      <c r="D4905" s="42"/>
      <c r="E4905" s="42"/>
      <c r="F4905" s="51" t="n">
        <f aca="false">IF(OR(C4905="",D4905="",E4905="",E4905=0),0,C4905*D4905/E4905)</f>
        <v>0</v>
      </c>
      <c r="G4905" s="42"/>
      <c r="H4905" s="49" t="n">
        <f aca="true">IF(OR($A4905="",_xlfn.MINIFS($B$3:$B$5000,$A$3:$A$5000,$A4905,$B$3:$B$5000,"&gt;"&amp;$B4905)=0),NOW(),_xlfn.MINIFS($B$3:$B$5000,$A$3:$A$5000,$A4905,$B$3:$B$5000,"&gt;"&amp;$B4905))</f>
        <v>46279.5987645325</v>
      </c>
    </row>
    <row r="4906" customFormat="false" ht="15" hidden="false" customHeight="true" outlineLevel="0" collapsed="false">
      <c r="A4906" s="42"/>
      <c r="B4906" s="42"/>
      <c r="C4906" s="42"/>
      <c r="D4906" s="42"/>
      <c r="E4906" s="42"/>
      <c r="F4906" s="51" t="n">
        <f aca="false">IF(OR(C4906="",D4906="",E4906="",E4906=0),0,C4906*D4906/E4906)</f>
        <v>0</v>
      </c>
      <c r="G4906" s="42"/>
      <c r="H4906" s="49" t="n">
        <f aca="true">IF(OR($A4906="",_xlfn.MINIFS($B$3:$B$5000,$A$3:$A$5000,$A4906,$B$3:$B$5000,"&gt;"&amp;$B4906)=0),NOW(),_xlfn.MINIFS($B$3:$B$5000,$A$3:$A$5000,$A4906,$B$3:$B$5000,"&gt;"&amp;$B4906))</f>
        <v>46279.5987645326</v>
      </c>
    </row>
    <row r="4907" customFormat="false" ht="15" hidden="false" customHeight="true" outlineLevel="0" collapsed="false">
      <c r="A4907" s="42"/>
      <c r="B4907" s="42"/>
      <c r="C4907" s="42"/>
      <c r="D4907" s="42"/>
      <c r="E4907" s="42"/>
      <c r="F4907" s="51" t="n">
        <f aca="false">IF(OR(C4907="",D4907="",E4907="",E4907=0),0,C4907*D4907/E4907)</f>
        <v>0</v>
      </c>
      <c r="G4907" s="42"/>
      <c r="H4907" s="49" t="n">
        <f aca="true">IF(OR($A4907="",_xlfn.MINIFS($B$3:$B$5000,$A$3:$A$5000,$A4907,$B$3:$B$5000,"&gt;"&amp;$B4907)=0),NOW(),_xlfn.MINIFS($B$3:$B$5000,$A$3:$A$5000,$A4907,$B$3:$B$5000,"&gt;"&amp;$B4907))</f>
        <v>46279.5987645326</v>
      </c>
    </row>
    <row r="4908" customFormat="false" ht="15" hidden="false" customHeight="true" outlineLevel="0" collapsed="false">
      <c r="A4908" s="42"/>
      <c r="B4908" s="42"/>
      <c r="C4908" s="42"/>
      <c r="D4908" s="42"/>
      <c r="E4908" s="42"/>
      <c r="F4908" s="51" t="n">
        <f aca="false">IF(OR(C4908="",D4908="",E4908="",E4908=0),0,C4908*D4908/E4908)</f>
        <v>0</v>
      </c>
      <c r="G4908" s="42"/>
      <c r="H4908" s="49" t="n">
        <f aca="true">IF(OR($A4908="",_xlfn.MINIFS($B$3:$B$5000,$A$3:$A$5000,$A4908,$B$3:$B$5000,"&gt;"&amp;$B4908)=0),NOW(),_xlfn.MINIFS($B$3:$B$5000,$A$3:$A$5000,$A4908,$B$3:$B$5000,"&gt;"&amp;$B4908))</f>
        <v>46279.5987645327</v>
      </c>
    </row>
    <row r="4909" customFormat="false" ht="15" hidden="false" customHeight="true" outlineLevel="0" collapsed="false">
      <c r="A4909" s="42"/>
      <c r="B4909" s="42"/>
      <c r="C4909" s="42"/>
      <c r="D4909" s="42"/>
      <c r="E4909" s="42"/>
      <c r="F4909" s="51" t="n">
        <f aca="false">IF(OR(C4909="",D4909="",E4909="",E4909=0),0,C4909*D4909/E4909)</f>
        <v>0</v>
      </c>
      <c r="G4909" s="42"/>
      <c r="H4909" s="49" t="n">
        <f aca="true">IF(OR($A4909="",_xlfn.MINIFS($B$3:$B$5000,$A$3:$A$5000,$A4909,$B$3:$B$5000,"&gt;"&amp;$B4909)=0),NOW(),_xlfn.MINIFS($B$3:$B$5000,$A$3:$A$5000,$A4909,$B$3:$B$5000,"&gt;"&amp;$B4909))</f>
        <v>46279.5987645328</v>
      </c>
    </row>
    <row r="4910" customFormat="false" ht="15" hidden="false" customHeight="true" outlineLevel="0" collapsed="false">
      <c r="A4910" s="42"/>
      <c r="B4910" s="42"/>
      <c r="C4910" s="42"/>
      <c r="D4910" s="42"/>
      <c r="E4910" s="42"/>
      <c r="F4910" s="51" t="n">
        <f aca="false">IF(OR(C4910="",D4910="",E4910="",E4910=0),0,C4910*D4910/E4910)</f>
        <v>0</v>
      </c>
      <c r="G4910" s="42"/>
      <c r="H4910" s="49" t="n">
        <f aca="true">IF(OR($A4910="",_xlfn.MINIFS($B$3:$B$5000,$A$3:$A$5000,$A4910,$B$3:$B$5000,"&gt;"&amp;$B4910)=0),NOW(),_xlfn.MINIFS($B$3:$B$5000,$A$3:$A$5000,$A4910,$B$3:$B$5000,"&gt;"&amp;$B4910))</f>
        <v>46279.5987645328</v>
      </c>
    </row>
    <row r="4911" customFormat="false" ht="15" hidden="false" customHeight="true" outlineLevel="0" collapsed="false">
      <c r="A4911" s="42"/>
      <c r="B4911" s="42"/>
      <c r="C4911" s="42"/>
      <c r="D4911" s="42"/>
      <c r="E4911" s="42"/>
      <c r="F4911" s="51" t="n">
        <f aca="false">IF(OR(C4911="",D4911="",E4911="",E4911=0),0,C4911*D4911/E4911)</f>
        <v>0</v>
      </c>
      <c r="G4911" s="42"/>
      <c r="H4911" s="49" t="n">
        <f aca="true">IF(OR($A4911="",_xlfn.MINIFS($B$3:$B$5000,$A$3:$A$5000,$A4911,$B$3:$B$5000,"&gt;"&amp;$B4911)=0),NOW(),_xlfn.MINIFS($B$3:$B$5000,$A$3:$A$5000,$A4911,$B$3:$B$5000,"&gt;"&amp;$B4911))</f>
        <v>46279.5987645329</v>
      </c>
    </row>
    <row r="4912" customFormat="false" ht="15" hidden="false" customHeight="true" outlineLevel="0" collapsed="false">
      <c r="A4912" s="42"/>
      <c r="B4912" s="42"/>
      <c r="C4912" s="42"/>
      <c r="D4912" s="42"/>
      <c r="E4912" s="42"/>
      <c r="F4912" s="51" t="n">
        <f aca="false">IF(OR(C4912="",D4912="",E4912="",E4912=0),0,C4912*D4912/E4912)</f>
        <v>0</v>
      </c>
      <c r="G4912" s="42"/>
      <c r="H4912" s="49" t="n">
        <f aca="true">IF(OR($A4912="",_xlfn.MINIFS($B$3:$B$5000,$A$3:$A$5000,$A4912,$B$3:$B$5000,"&gt;"&amp;$B4912)=0),NOW(),_xlfn.MINIFS($B$3:$B$5000,$A$3:$A$5000,$A4912,$B$3:$B$5000,"&gt;"&amp;$B4912))</f>
        <v>46279.5987645329</v>
      </c>
    </row>
    <row r="4913" customFormat="false" ht="15" hidden="false" customHeight="true" outlineLevel="0" collapsed="false">
      <c r="A4913" s="42"/>
      <c r="B4913" s="42"/>
      <c r="C4913" s="42"/>
      <c r="D4913" s="42"/>
      <c r="E4913" s="42"/>
      <c r="F4913" s="51" t="n">
        <f aca="false">IF(OR(C4913="",D4913="",E4913="",E4913=0),0,C4913*D4913/E4913)</f>
        <v>0</v>
      </c>
      <c r="G4913" s="42"/>
      <c r="H4913" s="49" t="n">
        <f aca="true">IF(OR($A4913="",_xlfn.MINIFS($B$3:$B$5000,$A$3:$A$5000,$A4913,$B$3:$B$5000,"&gt;"&amp;$B4913)=0),NOW(),_xlfn.MINIFS($B$3:$B$5000,$A$3:$A$5000,$A4913,$B$3:$B$5000,"&gt;"&amp;$B4913))</f>
        <v>46279.598764533</v>
      </c>
    </row>
    <row r="4914" customFormat="false" ht="15" hidden="false" customHeight="true" outlineLevel="0" collapsed="false">
      <c r="A4914" s="42"/>
      <c r="B4914" s="42"/>
      <c r="C4914" s="42"/>
      <c r="D4914" s="42"/>
      <c r="E4914" s="42"/>
      <c r="F4914" s="51" t="n">
        <f aca="false">IF(OR(C4914="",D4914="",E4914="",E4914=0),0,C4914*D4914/E4914)</f>
        <v>0</v>
      </c>
      <c r="G4914" s="42"/>
      <c r="H4914" s="49" t="n">
        <f aca="true">IF(OR($A4914="",_xlfn.MINIFS($B$3:$B$5000,$A$3:$A$5000,$A4914,$B$3:$B$5000,"&gt;"&amp;$B4914)=0),NOW(),_xlfn.MINIFS($B$3:$B$5000,$A$3:$A$5000,$A4914,$B$3:$B$5000,"&gt;"&amp;$B4914))</f>
        <v>46279.598764533</v>
      </c>
    </row>
    <row r="4915" customFormat="false" ht="15" hidden="false" customHeight="true" outlineLevel="0" collapsed="false">
      <c r="A4915" s="42"/>
      <c r="B4915" s="42"/>
      <c r="C4915" s="42"/>
      <c r="D4915" s="42"/>
      <c r="E4915" s="42"/>
      <c r="F4915" s="51" t="n">
        <f aca="false">IF(OR(C4915="",D4915="",E4915="",E4915=0),0,C4915*D4915/E4915)</f>
        <v>0</v>
      </c>
      <c r="G4915" s="42"/>
      <c r="H4915" s="49" t="n">
        <f aca="true">IF(OR($A4915="",_xlfn.MINIFS($B$3:$B$5000,$A$3:$A$5000,$A4915,$B$3:$B$5000,"&gt;"&amp;$B4915)=0),NOW(),_xlfn.MINIFS($B$3:$B$5000,$A$3:$A$5000,$A4915,$B$3:$B$5000,"&gt;"&amp;$B4915))</f>
        <v>46279.5987645331</v>
      </c>
    </row>
    <row r="4916" customFormat="false" ht="15" hidden="false" customHeight="true" outlineLevel="0" collapsed="false">
      <c r="A4916" s="42"/>
      <c r="B4916" s="42"/>
      <c r="C4916" s="42"/>
      <c r="D4916" s="42"/>
      <c r="E4916" s="42"/>
      <c r="F4916" s="51" t="n">
        <f aca="false">IF(OR(C4916="",D4916="",E4916="",E4916=0),0,C4916*D4916/E4916)</f>
        <v>0</v>
      </c>
      <c r="G4916" s="42"/>
      <c r="H4916" s="49" t="n">
        <f aca="true">IF(OR($A4916="",_xlfn.MINIFS($B$3:$B$5000,$A$3:$A$5000,$A4916,$B$3:$B$5000,"&gt;"&amp;$B4916)=0),NOW(),_xlfn.MINIFS($B$3:$B$5000,$A$3:$A$5000,$A4916,$B$3:$B$5000,"&gt;"&amp;$B4916))</f>
        <v>46279.5987645331</v>
      </c>
    </row>
    <row r="4917" customFormat="false" ht="15" hidden="false" customHeight="true" outlineLevel="0" collapsed="false">
      <c r="A4917" s="42"/>
      <c r="B4917" s="42"/>
      <c r="C4917" s="42"/>
      <c r="D4917" s="42"/>
      <c r="E4917" s="42"/>
      <c r="F4917" s="51" t="n">
        <f aca="false">IF(OR(C4917="",D4917="",E4917="",E4917=0),0,C4917*D4917/E4917)</f>
        <v>0</v>
      </c>
      <c r="G4917" s="42"/>
      <c r="H4917" s="49" t="n">
        <f aca="true">IF(OR($A4917="",_xlfn.MINIFS($B$3:$B$5000,$A$3:$A$5000,$A4917,$B$3:$B$5000,"&gt;"&amp;$B4917)=0),NOW(),_xlfn.MINIFS($B$3:$B$5000,$A$3:$A$5000,$A4917,$B$3:$B$5000,"&gt;"&amp;$B4917))</f>
        <v>46279.5987645332</v>
      </c>
    </row>
    <row r="4918" customFormat="false" ht="15" hidden="false" customHeight="true" outlineLevel="0" collapsed="false">
      <c r="A4918" s="42"/>
      <c r="B4918" s="42"/>
      <c r="C4918" s="42"/>
      <c r="D4918" s="42"/>
      <c r="E4918" s="42"/>
      <c r="F4918" s="51" t="n">
        <f aca="false">IF(OR(C4918="",D4918="",E4918="",E4918=0),0,C4918*D4918/E4918)</f>
        <v>0</v>
      </c>
      <c r="G4918" s="42"/>
      <c r="H4918" s="49" t="n">
        <f aca="true">IF(OR($A4918="",_xlfn.MINIFS($B$3:$B$5000,$A$3:$A$5000,$A4918,$B$3:$B$5000,"&gt;"&amp;$B4918)=0),NOW(),_xlfn.MINIFS($B$3:$B$5000,$A$3:$A$5000,$A4918,$B$3:$B$5000,"&gt;"&amp;$B4918))</f>
        <v>46279.5987645332</v>
      </c>
    </row>
    <row r="4919" customFormat="false" ht="15" hidden="false" customHeight="true" outlineLevel="0" collapsed="false">
      <c r="A4919" s="42"/>
      <c r="B4919" s="42"/>
      <c r="C4919" s="42"/>
      <c r="D4919" s="42"/>
      <c r="E4919" s="42"/>
      <c r="F4919" s="51" t="n">
        <f aca="false">IF(OR(C4919="",D4919="",E4919="",E4919=0),0,C4919*D4919/E4919)</f>
        <v>0</v>
      </c>
      <c r="G4919" s="42"/>
      <c r="H4919" s="49" t="n">
        <f aca="true">IF(OR($A4919="",_xlfn.MINIFS($B$3:$B$5000,$A$3:$A$5000,$A4919,$B$3:$B$5000,"&gt;"&amp;$B4919)=0),NOW(),_xlfn.MINIFS($B$3:$B$5000,$A$3:$A$5000,$A4919,$B$3:$B$5000,"&gt;"&amp;$B4919))</f>
        <v>46279.5987645333</v>
      </c>
    </row>
    <row r="4920" customFormat="false" ht="15" hidden="false" customHeight="true" outlineLevel="0" collapsed="false">
      <c r="A4920" s="42"/>
      <c r="B4920" s="42"/>
      <c r="C4920" s="42"/>
      <c r="D4920" s="42"/>
      <c r="E4920" s="42"/>
      <c r="F4920" s="51" t="n">
        <f aca="false">IF(OR(C4920="",D4920="",E4920="",E4920=0),0,C4920*D4920/E4920)</f>
        <v>0</v>
      </c>
      <c r="G4920" s="42"/>
      <c r="H4920" s="49" t="n">
        <f aca="true">IF(OR($A4920="",_xlfn.MINIFS($B$3:$B$5000,$A$3:$A$5000,$A4920,$B$3:$B$5000,"&gt;"&amp;$B4920)=0),NOW(),_xlfn.MINIFS($B$3:$B$5000,$A$3:$A$5000,$A4920,$B$3:$B$5000,"&gt;"&amp;$B4920))</f>
        <v>46279.5987645333</v>
      </c>
    </row>
    <row r="4921" customFormat="false" ht="15" hidden="false" customHeight="true" outlineLevel="0" collapsed="false">
      <c r="A4921" s="42"/>
      <c r="B4921" s="42"/>
      <c r="C4921" s="42"/>
      <c r="D4921" s="42"/>
      <c r="E4921" s="42"/>
      <c r="F4921" s="51" t="n">
        <f aca="false">IF(OR(C4921="",D4921="",E4921="",E4921=0),0,C4921*D4921/E4921)</f>
        <v>0</v>
      </c>
      <c r="G4921" s="42"/>
      <c r="H4921" s="49" t="n">
        <f aca="true">IF(OR($A4921="",_xlfn.MINIFS($B$3:$B$5000,$A$3:$A$5000,$A4921,$B$3:$B$5000,"&gt;"&amp;$B4921)=0),NOW(),_xlfn.MINIFS($B$3:$B$5000,$A$3:$A$5000,$A4921,$B$3:$B$5000,"&gt;"&amp;$B4921))</f>
        <v>46279.5987645334</v>
      </c>
    </row>
    <row r="4922" customFormat="false" ht="15" hidden="false" customHeight="true" outlineLevel="0" collapsed="false">
      <c r="A4922" s="42"/>
      <c r="B4922" s="42"/>
      <c r="C4922" s="42"/>
      <c r="D4922" s="42"/>
      <c r="E4922" s="42"/>
      <c r="F4922" s="51" t="n">
        <f aca="false">IF(OR(C4922="",D4922="",E4922="",E4922=0),0,C4922*D4922/E4922)</f>
        <v>0</v>
      </c>
      <c r="G4922" s="42"/>
      <c r="H4922" s="49" t="n">
        <f aca="true">IF(OR($A4922="",_xlfn.MINIFS($B$3:$B$5000,$A$3:$A$5000,$A4922,$B$3:$B$5000,"&gt;"&amp;$B4922)=0),NOW(),_xlfn.MINIFS($B$3:$B$5000,$A$3:$A$5000,$A4922,$B$3:$B$5000,"&gt;"&amp;$B4922))</f>
        <v>46279.5987645334</v>
      </c>
    </row>
    <row r="4923" customFormat="false" ht="15" hidden="false" customHeight="true" outlineLevel="0" collapsed="false">
      <c r="A4923" s="42"/>
      <c r="B4923" s="42"/>
      <c r="C4923" s="42"/>
      <c r="D4923" s="42"/>
      <c r="E4923" s="42"/>
      <c r="F4923" s="51" t="n">
        <f aca="false">IF(OR(C4923="",D4923="",E4923="",E4923=0),0,C4923*D4923/E4923)</f>
        <v>0</v>
      </c>
      <c r="G4923" s="42"/>
      <c r="H4923" s="49" t="n">
        <f aca="true">IF(OR($A4923="",_xlfn.MINIFS($B$3:$B$5000,$A$3:$A$5000,$A4923,$B$3:$B$5000,"&gt;"&amp;$B4923)=0),NOW(),_xlfn.MINIFS($B$3:$B$5000,$A$3:$A$5000,$A4923,$B$3:$B$5000,"&gt;"&amp;$B4923))</f>
        <v>46279.5987645335</v>
      </c>
    </row>
    <row r="4924" customFormat="false" ht="15" hidden="false" customHeight="true" outlineLevel="0" collapsed="false">
      <c r="A4924" s="42"/>
      <c r="B4924" s="42"/>
      <c r="C4924" s="42"/>
      <c r="D4924" s="42"/>
      <c r="E4924" s="42"/>
      <c r="F4924" s="51" t="n">
        <f aca="false">IF(OR(C4924="",D4924="",E4924="",E4924=0),0,C4924*D4924/E4924)</f>
        <v>0</v>
      </c>
      <c r="G4924" s="42"/>
      <c r="H4924" s="49" t="n">
        <f aca="true">IF(OR($A4924="",_xlfn.MINIFS($B$3:$B$5000,$A$3:$A$5000,$A4924,$B$3:$B$5000,"&gt;"&amp;$B4924)=0),NOW(),_xlfn.MINIFS($B$3:$B$5000,$A$3:$A$5000,$A4924,$B$3:$B$5000,"&gt;"&amp;$B4924))</f>
        <v>46279.5987645336</v>
      </c>
    </row>
    <row r="4925" customFormat="false" ht="15" hidden="false" customHeight="true" outlineLevel="0" collapsed="false">
      <c r="A4925" s="42"/>
      <c r="B4925" s="42"/>
      <c r="C4925" s="42"/>
      <c r="D4925" s="42"/>
      <c r="E4925" s="42"/>
      <c r="F4925" s="51" t="n">
        <f aca="false">IF(OR(C4925="",D4925="",E4925="",E4925=0),0,C4925*D4925/E4925)</f>
        <v>0</v>
      </c>
      <c r="G4925" s="42"/>
      <c r="H4925" s="49" t="n">
        <f aca="true">IF(OR($A4925="",_xlfn.MINIFS($B$3:$B$5000,$A$3:$A$5000,$A4925,$B$3:$B$5000,"&gt;"&amp;$B4925)=0),NOW(),_xlfn.MINIFS($B$3:$B$5000,$A$3:$A$5000,$A4925,$B$3:$B$5000,"&gt;"&amp;$B4925))</f>
        <v>46279.5987645336</v>
      </c>
    </row>
    <row r="4926" customFormat="false" ht="15" hidden="false" customHeight="true" outlineLevel="0" collapsed="false">
      <c r="A4926" s="42"/>
      <c r="B4926" s="42"/>
      <c r="C4926" s="42"/>
      <c r="D4926" s="42"/>
      <c r="E4926" s="42"/>
      <c r="F4926" s="51" t="n">
        <f aca="false">IF(OR(C4926="",D4926="",E4926="",E4926=0),0,C4926*D4926/E4926)</f>
        <v>0</v>
      </c>
      <c r="G4926" s="42"/>
      <c r="H4926" s="49" t="n">
        <f aca="true">IF(OR($A4926="",_xlfn.MINIFS($B$3:$B$5000,$A$3:$A$5000,$A4926,$B$3:$B$5000,"&gt;"&amp;$B4926)=0),NOW(),_xlfn.MINIFS($B$3:$B$5000,$A$3:$A$5000,$A4926,$B$3:$B$5000,"&gt;"&amp;$B4926))</f>
        <v>46279.5987645337</v>
      </c>
    </row>
    <row r="4927" customFormat="false" ht="15" hidden="false" customHeight="true" outlineLevel="0" collapsed="false">
      <c r="A4927" s="42"/>
      <c r="B4927" s="42"/>
      <c r="C4927" s="42"/>
      <c r="D4927" s="42"/>
      <c r="E4927" s="42"/>
      <c r="F4927" s="51" t="n">
        <f aca="false">IF(OR(C4927="",D4927="",E4927="",E4927=0),0,C4927*D4927/E4927)</f>
        <v>0</v>
      </c>
      <c r="G4927" s="42"/>
      <c r="H4927" s="49" t="n">
        <f aca="true">IF(OR($A4927="",_xlfn.MINIFS($B$3:$B$5000,$A$3:$A$5000,$A4927,$B$3:$B$5000,"&gt;"&amp;$B4927)=0),NOW(),_xlfn.MINIFS($B$3:$B$5000,$A$3:$A$5000,$A4927,$B$3:$B$5000,"&gt;"&amp;$B4927))</f>
        <v>46279.5987645337</v>
      </c>
    </row>
    <row r="4928" customFormat="false" ht="15" hidden="false" customHeight="true" outlineLevel="0" collapsed="false">
      <c r="A4928" s="42"/>
      <c r="B4928" s="42"/>
      <c r="C4928" s="42"/>
      <c r="D4928" s="42"/>
      <c r="E4928" s="42"/>
      <c r="F4928" s="51" t="n">
        <f aca="false">IF(OR(C4928="",D4928="",E4928="",E4928=0),0,C4928*D4928/E4928)</f>
        <v>0</v>
      </c>
      <c r="G4928" s="42"/>
      <c r="H4928" s="49" t="n">
        <f aca="true">IF(OR($A4928="",_xlfn.MINIFS($B$3:$B$5000,$A$3:$A$5000,$A4928,$B$3:$B$5000,"&gt;"&amp;$B4928)=0),NOW(),_xlfn.MINIFS($B$3:$B$5000,$A$3:$A$5000,$A4928,$B$3:$B$5000,"&gt;"&amp;$B4928))</f>
        <v>46279.5987645338</v>
      </c>
    </row>
    <row r="4929" customFormat="false" ht="15" hidden="false" customHeight="true" outlineLevel="0" collapsed="false">
      <c r="A4929" s="42"/>
      <c r="B4929" s="42"/>
      <c r="C4929" s="42"/>
      <c r="D4929" s="42"/>
      <c r="E4929" s="42"/>
      <c r="F4929" s="51" t="n">
        <f aca="false">IF(OR(C4929="",D4929="",E4929="",E4929=0),0,C4929*D4929/E4929)</f>
        <v>0</v>
      </c>
      <c r="G4929" s="42"/>
      <c r="H4929" s="49" t="n">
        <f aca="true">IF(OR($A4929="",_xlfn.MINIFS($B$3:$B$5000,$A$3:$A$5000,$A4929,$B$3:$B$5000,"&gt;"&amp;$B4929)=0),NOW(),_xlfn.MINIFS($B$3:$B$5000,$A$3:$A$5000,$A4929,$B$3:$B$5000,"&gt;"&amp;$B4929))</f>
        <v>46279.5987645338</v>
      </c>
    </row>
    <row r="4930" customFormat="false" ht="15" hidden="false" customHeight="true" outlineLevel="0" collapsed="false">
      <c r="A4930" s="42"/>
      <c r="B4930" s="42"/>
      <c r="C4930" s="42"/>
      <c r="D4930" s="42"/>
      <c r="E4930" s="42"/>
      <c r="F4930" s="51" t="n">
        <f aca="false">IF(OR(C4930="",D4930="",E4930="",E4930=0),0,C4930*D4930/E4930)</f>
        <v>0</v>
      </c>
      <c r="G4930" s="42"/>
      <c r="H4930" s="49" t="n">
        <f aca="true">IF(OR($A4930="",_xlfn.MINIFS($B$3:$B$5000,$A$3:$A$5000,$A4930,$B$3:$B$5000,"&gt;"&amp;$B4930)=0),NOW(),_xlfn.MINIFS($B$3:$B$5000,$A$3:$A$5000,$A4930,$B$3:$B$5000,"&gt;"&amp;$B4930))</f>
        <v>46279.5987645339</v>
      </c>
    </row>
    <row r="4931" customFormat="false" ht="15" hidden="false" customHeight="true" outlineLevel="0" collapsed="false">
      <c r="A4931" s="42"/>
      <c r="B4931" s="42"/>
      <c r="C4931" s="42"/>
      <c r="D4931" s="42"/>
      <c r="E4931" s="42"/>
      <c r="F4931" s="51" t="n">
        <f aca="false">IF(OR(C4931="",D4931="",E4931="",E4931=0),0,C4931*D4931/E4931)</f>
        <v>0</v>
      </c>
      <c r="G4931" s="42"/>
      <c r="H4931" s="49" t="n">
        <f aca="true">IF(OR($A4931="",_xlfn.MINIFS($B$3:$B$5000,$A$3:$A$5000,$A4931,$B$3:$B$5000,"&gt;"&amp;$B4931)=0),NOW(),_xlfn.MINIFS($B$3:$B$5000,$A$3:$A$5000,$A4931,$B$3:$B$5000,"&gt;"&amp;$B4931))</f>
        <v>46279.5987645339</v>
      </c>
    </row>
    <row r="4932" customFormat="false" ht="15" hidden="false" customHeight="true" outlineLevel="0" collapsed="false">
      <c r="A4932" s="42"/>
      <c r="B4932" s="42"/>
      <c r="C4932" s="42"/>
      <c r="D4932" s="42"/>
      <c r="E4932" s="42"/>
      <c r="F4932" s="51" t="n">
        <f aca="false">IF(OR(C4932="",D4932="",E4932="",E4932=0),0,C4932*D4932/E4932)</f>
        <v>0</v>
      </c>
      <c r="G4932" s="42"/>
      <c r="H4932" s="49" t="n">
        <f aca="true">IF(OR($A4932="",_xlfn.MINIFS($B$3:$B$5000,$A$3:$A$5000,$A4932,$B$3:$B$5000,"&gt;"&amp;$B4932)=0),NOW(),_xlfn.MINIFS($B$3:$B$5000,$A$3:$A$5000,$A4932,$B$3:$B$5000,"&gt;"&amp;$B4932))</f>
        <v>46279.598764534</v>
      </c>
    </row>
    <row r="4933" customFormat="false" ht="15" hidden="false" customHeight="true" outlineLevel="0" collapsed="false">
      <c r="A4933" s="42"/>
      <c r="B4933" s="42"/>
      <c r="C4933" s="42"/>
      <c r="D4933" s="42"/>
      <c r="E4933" s="42"/>
      <c r="F4933" s="51" t="n">
        <f aca="false">IF(OR(C4933="",D4933="",E4933="",E4933=0),0,C4933*D4933/E4933)</f>
        <v>0</v>
      </c>
      <c r="G4933" s="42"/>
      <c r="H4933" s="49" t="n">
        <f aca="true">IF(OR($A4933="",_xlfn.MINIFS($B$3:$B$5000,$A$3:$A$5000,$A4933,$B$3:$B$5000,"&gt;"&amp;$B4933)=0),NOW(),_xlfn.MINIFS($B$3:$B$5000,$A$3:$A$5000,$A4933,$B$3:$B$5000,"&gt;"&amp;$B4933))</f>
        <v>46279.598764534</v>
      </c>
    </row>
    <row r="4934" customFormat="false" ht="15" hidden="false" customHeight="true" outlineLevel="0" collapsed="false">
      <c r="A4934" s="42"/>
      <c r="B4934" s="42"/>
      <c r="C4934" s="42"/>
      <c r="D4934" s="42"/>
      <c r="E4934" s="42"/>
      <c r="F4934" s="51" t="n">
        <f aca="false">IF(OR(C4934="",D4934="",E4934="",E4934=0),0,C4934*D4934/E4934)</f>
        <v>0</v>
      </c>
      <c r="G4934" s="42"/>
      <c r="H4934" s="49" t="n">
        <f aca="true">IF(OR($A4934="",_xlfn.MINIFS($B$3:$B$5000,$A$3:$A$5000,$A4934,$B$3:$B$5000,"&gt;"&amp;$B4934)=0),NOW(),_xlfn.MINIFS($B$3:$B$5000,$A$3:$A$5000,$A4934,$B$3:$B$5000,"&gt;"&amp;$B4934))</f>
        <v>46279.5987645341</v>
      </c>
    </row>
    <row r="4935" customFormat="false" ht="15" hidden="false" customHeight="true" outlineLevel="0" collapsed="false">
      <c r="A4935" s="42"/>
      <c r="B4935" s="42"/>
      <c r="C4935" s="42"/>
      <c r="D4935" s="42"/>
      <c r="E4935" s="42"/>
      <c r="F4935" s="51" t="n">
        <f aca="false">IF(OR(C4935="",D4935="",E4935="",E4935=0),0,C4935*D4935/E4935)</f>
        <v>0</v>
      </c>
      <c r="G4935" s="42"/>
      <c r="H4935" s="49" t="n">
        <f aca="true">IF(OR($A4935="",_xlfn.MINIFS($B$3:$B$5000,$A$3:$A$5000,$A4935,$B$3:$B$5000,"&gt;"&amp;$B4935)=0),NOW(),_xlfn.MINIFS($B$3:$B$5000,$A$3:$A$5000,$A4935,$B$3:$B$5000,"&gt;"&amp;$B4935))</f>
        <v>46279.5987645341</v>
      </c>
    </row>
    <row r="4936" customFormat="false" ht="15" hidden="false" customHeight="true" outlineLevel="0" collapsed="false">
      <c r="A4936" s="42"/>
      <c r="B4936" s="42"/>
      <c r="C4936" s="42"/>
      <c r="D4936" s="42"/>
      <c r="E4936" s="42"/>
      <c r="F4936" s="51" t="n">
        <f aca="false">IF(OR(C4936="",D4936="",E4936="",E4936=0),0,C4936*D4936/E4936)</f>
        <v>0</v>
      </c>
      <c r="G4936" s="42"/>
      <c r="H4936" s="49" t="n">
        <f aca="true">IF(OR($A4936="",_xlfn.MINIFS($B$3:$B$5000,$A$3:$A$5000,$A4936,$B$3:$B$5000,"&gt;"&amp;$B4936)=0),NOW(),_xlfn.MINIFS($B$3:$B$5000,$A$3:$A$5000,$A4936,$B$3:$B$5000,"&gt;"&amp;$B4936))</f>
        <v>46279.5987645342</v>
      </c>
    </row>
    <row r="4937" customFormat="false" ht="15" hidden="false" customHeight="true" outlineLevel="0" collapsed="false">
      <c r="A4937" s="42"/>
      <c r="B4937" s="42"/>
      <c r="C4937" s="42"/>
      <c r="D4937" s="42"/>
      <c r="E4937" s="42"/>
      <c r="F4937" s="51" t="n">
        <f aca="false">IF(OR(C4937="",D4937="",E4937="",E4937=0),0,C4937*D4937/E4937)</f>
        <v>0</v>
      </c>
      <c r="G4937" s="42"/>
      <c r="H4937" s="49" t="n">
        <f aca="true">IF(OR($A4937="",_xlfn.MINIFS($B$3:$B$5000,$A$3:$A$5000,$A4937,$B$3:$B$5000,"&gt;"&amp;$B4937)=0),NOW(),_xlfn.MINIFS($B$3:$B$5000,$A$3:$A$5000,$A4937,$B$3:$B$5000,"&gt;"&amp;$B4937))</f>
        <v>46279.5987645342</v>
      </c>
    </row>
    <row r="4938" customFormat="false" ht="15" hidden="false" customHeight="true" outlineLevel="0" collapsed="false">
      <c r="A4938" s="42"/>
      <c r="B4938" s="42"/>
      <c r="C4938" s="42"/>
      <c r="D4938" s="42"/>
      <c r="E4938" s="42"/>
      <c r="F4938" s="51" t="n">
        <f aca="false">IF(OR(C4938="",D4938="",E4938="",E4938=0),0,C4938*D4938/E4938)</f>
        <v>0</v>
      </c>
      <c r="G4938" s="42"/>
      <c r="H4938" s="49" t="n">
        <f aca="true">IF(OR($A4938="",_xlfn.MINIFS($B$3:$B$5000,$A$3:$A$5000,$A4938,$B$3:$B$5000,"&gt;"&amp;$B4938)=0),NOW(),_xlfn.MINIFS($B$3:$B$5000,$A$3:$A$5000,$A4938,$B$3:$B$5000,"&gt;"&amp;$B4938))</f>
        <v>46279.5987645343</v>
      </c>
    </row>
    <row r="4939" customFormat="false" ht="15" hidden="false" customHeight="true" outlineLevel="0" collapsed="false">
      <c r="A4939" s="42"/>
      <c r="B4939" s="42"/>
      <c r="C4939" s="42"/>
      <c r="D4939" s="42"/>
      <c r="E4939" s="42"/>
      <c r="F4939" s="51" t="n">
        <f aca="false">IF(OR(C4939="",D4939="",E4939="",E4939=0),0,C4939*D4939/E4939)</f>
        <v>0</v>
      </c>
      <c r="G4939" s="42"/>
      <c r="H4939" s="49" t="n">
        <f aca="true">IF(OR($A4939="",_xlfn.MINIFS($B$3:$B$5000,$A$3:$A$5000,$A4939,$B$3:$B$5000,"&gt;"&amp;$B4939)=0),NOW(),_xlfn.MINIFS($B$3:$B$5000,$A$3:$A$5000,$A4939,$B$3:$B$5000,"&gt;"&amp;$B4939))</f>
        <v>46279.5987645343</v>
      </c>
    </row>
    <row r="4940" customFormat="false" ht="15" hidden="false" customHeight="true" outlineLevel="0" collapsed="false">
      <c r="A4940" s="42"/>
      <c r="B4940" s="42"/>
      <c r="C4940" s="42"/>
      <c r="D4940" s="42"/>
      <c r="E4940" s="42"/>
      <c r="F4940" s="51" t="n">
        <f aca="false">IF(OR(C4940="",D4940="",E4940="",E4940=0),0,C4940*D4940/E4940)</f>
        <v>0</v>
      </c>
      <c r="G4940" s="42"/>
      <c r="H4940" s="49" t="n">
        <f aca="true">IF(OR($A4940="",_xlfn.MINIFS($B$3:$B$5000,$A$3:$A$5000,$A4940,$B$3:$B$5000,"&gt;"&amp;$B4940)=0),NOW(),_xlfn.MINIFS($B$3:$B$5000,$A$3:$A$5000,$A4940,$B$3:$B$5000,"&gt;"&amp;$B4940))</f>
        <v>46279.5987645344</v>
      </c>
    </row>
    <row r="4941" customFormat="false" ht="15" hidden="false" customHeight="true" outlineLevel="0" collapsed="false">
      <c r="A4941" s="42"/>
      <c r="B4941" s="42"/>
      <c r="C4941" s="42"/>
      <c r="D4941" s="42"/>
      <c r="E4941" s="42"/>
      <c r="F4941" s="51" t="n">
        <f aca="false">IF(OR(C4941="",D4941="",E4941="",E4941=0),0,C4941*D4941/E4941)</f>
        <v>0</v>
      </c>
      <c r="G4941" s="42"/>
      <c r="H4941" s="49" t="n">
        <f aca="true">IF(OR($A4941="",_xlfn.MINIFS($B$3:$B$5000,$A$3:$A$5000,$A4941,$B$3:$B$5000,"&gt;"&amp;$B4941)=0),NOW(),_xlfn.MINIFS($B$3:$B$5000,$A$3:$A$5000,$A4941,$B$3:$B$5000,"&gt;"&amp;$B4941))</f>
        <v>46279.5987645344</v>
      </c>
    </row>
    <row r="4942" customFormat="false" ht="15" hidden="false" customHeight="true" outlineLevel="0" collapsed="false">
      <c r="A4942" s="42"/>
      <c r="B4942" s="42"/>
      <c r="C4942" s="42"/>
      <c r="D4942" s="42"/>
      <c r="E4942" s="42"/>
      <c r="F4942" s="51" t="n">
        <f aca="false">IF(OR(C4942="",D4942="",E4942="",E4942=0),0,C4942*D4942/E4942)</f>
        <v>0</v>
      </c>
      <c r="G4942" s="42"/>
      <c r="H4942" s="49" t="n">
        <f aca="true">IF(OR($A4942="",_xlfn.MINIFS($B$3:$B$5000,$A$3:$A$5000,$A4942,$B$3:$B$5000,"&gt;"&amp;$B4942)=0),NOW(),_xlfn.MINIFS($B$3:$B$5000,$A$3:$A$5000,$A4942,$B$3:$B$5000,"&gt;"&amp;$B4942))</f>
        <v>46279.5987645345</v>
      </c>
    </row>
    <row r="4943" customFormat="false" ht="15" hidden="false" customHeight="true" outlineLevel="0" collapsed="false">
      <c r="A4943" s="42"/>
      <c r="B4943" s="42"/>
      <c r="C4943" s="42"/>
      <c r="D4943" s="42"/>
      <c r="E4943" s="42"/>
      <c r="F4943" s="51" t="n">
        <f aca="false">IF(OR(C4943="",D4943="",E4943="",E4943=0),0,C4943*D4943/E4943)</f>
        <v>0</v>
      </c>
      <c r="G4943" s="42"/>
      <c r="H4943" s="49" t="n">
        <f aca="true">IF(OR($A4943="",_xlfn.MINIFS($B$3:$B$5000,$A$3:$A$5000,$A4943,$B$3:$B$5000,"&gt;"&amp;$B4943)=0),NOW(),_xlfn.MINIFS($B$3:$B$5000,$A$3:$A$5000,$A4943,$B$3:$B$5000,"&gt;"&amp;$B4943))</f>
        <v>46279.5987645345</v>
      </c>
    </row>
    <row r="4944" customFormat="false" ht="15" hidden="false" customHeight="true" outlineLevel="0" collapsed="false">
      <c r="A4944" s="42"/>
      <c r="B4944" s="42"/>
      <c r="C4944" s="42"/>
      <c r="D4944" s="42"/>
      <c r="E4944" s="42"/>
      <c r="F4944" s="51" t="n">
        <f aca="false">IF(OR(C4944="",D4944="",E4944="",E4944=0),0,C4944*D4944/E4944)</f>
        <v>0</v>
      </c>
      <c r="G4944" s="42"/>
      <c r="H4944" s="49" t="n">
        <f aca="true">IF(OR($A4944="",_xlfn.MINIFS($B$3:$B$5000,$A$3:$A$5000,$A4944,$B$3:$B$5000,"&gt;"&amp;$B4944)=0),NOW(),_xlfn.MINIFS($B$3:$B$5000,$A$3:$A$5000,$A4944,$B$3:$B$5000,"&gt;"&amp;$B4944))</f>
        <v>46279.5987645346</v>
      </c>
    </row>
    <row r="4945" customFormat="false" ht="15" hidden="false" customHeight="true" outlineLevel="0" collapsed="false">
      <c r="A4945" s="42"/>
      <c r="B4945" s="42"/>
      <c r="C4945" s="42"/>
      <c r="D4945" s="42"/>
      <c r="E4945" s="42"/>
      <c r="F4945" s="51" t="n">
        <f aca="false">IF(OR(C4945="",D4945="",E4945="",E4945=0),0,C4945*D4945/E4945)</f>
        <v>0</v>
      </c>
      <c r="G4945" s="42"/>
      <c r="H4945" s="49" t="n">
        <f aca="true">IF(OR($A4945="",_xlfn.MINIFS($B$3:$B$5000,$A$3:$A$5000,$A4945,$B$3:$B$5000,"&gt;"&amp;$B4945)=0),NOW(),_xlfn.MINIFS($B$3:$B$5000,$A$3:$A$5000,$A4945,$B$3:$B$5000,"&gt;"&amp;$B4945))</f>
        <v>46279.5987645346</v>
      </c>
    </row>
    <row r="4946" customFormat="false" ht="15" hidden="false" customHeight="true" outlineLevel="0" collapsed="false">
      <c r="A4946" s="42"/>
      <c r="B4946" s="42"/>
      <c r="C4946" s="42"/>
      <c r="D4946" s="42"/>
      <c r="E4946" s="42"/>
      <c r="F4946" s="51" t="n">
        <f aca="false">IF(OR(C4946="",D4946="",E4946="",E4946=0),0,C4946*D4946/E4946)</f>
        <v>0</v>
      </c>
      <c r="G4946" s="42"/>
      <c r="H4946" s="49" t="n">
        <f aca="true">IF(OR($A4946="",_xlfn.MINIFS($B$3:$B$5000,$A$3:$A$5000,$A4946,$B$3:$B$5000,"&gt;"&amp;$B4946)=0),NOW(),_xlfn.MINIFS($B$3:$B$5000,$A$3:$A$5000,$A4946,$B$3:$B$5000,"&gt;"&amp;$B4946))</f>
        <v>46279.5987645347</v>
      </c>
    </row>
    <row r="4947" customFormat="false" ht="15" hidden="false" customHeight="true" outlineLevel="0" collapsed="false">
      <c r="A4947" s="42"/>
      <c r="B4947" s="42"/>
      <c r="C4947" s="42"/>
      <c r="D4947" s="42"/>
      <c r="E4947" s="42"/>
      <c r="F4947" s="51" t="n">
        <f aca="false">IF(OR(C4947="",D4947="",E4947="",E4947=0),0,C4947*D4947/E4947)</f>
        <v>0</v>
      </c>
      <c r="G4947" s="42"/>
      <c r="H4947" s="49" t="n">
        <f aca="true">IF(OR($A4947="",_xlfn.MINIFS($B$3:$B$5000,$A$3:$A$5000,$A4947,$B$3:$B$5000,"&gt;"&amp;$B4947)=0),NOW(),_xlfn.MINIFS($B$3:$B$5000,$A$3:$A$5000,$A4947,$B$3:$B$5000,"&gt;"&amp;$B4947))</f>
        <v>46279.5987645347</v>
      </c>
    </row>
    <row r="4948" customFormat="false" ht="15" hidden="false" customHeight="true" outlineLevel="0" collapsed="false">
      <c r="A4948" s="42"/>
      <c r="B4948" s="42"/>
      <c r="C4948" s="42"/>
      <c r="D4948" s="42"/>
      <c r="E4948" s="42"/>
      <c r="F4948" s="51" t="n">
        <f aca="false">IF(OR(C4948="",D4948="",E4948="",E4948=0),0,C4948*D4948/E4948)</f>
        <v>0</v>
      </c>
      <c r="G4948" s="42"/>
      <c r="H4948" s="49" t="n">
        <f aca="true">IF(OR($A4948="",_xlfn.MINIFS($B$3:$B$5000,$A$3:$A$5000,$A4948,$B$3:$B$5000,"&gt;"&amp;$B4948)=0),NOW(),_xlfn.MINIFS($B$3:$B$5000,$A$3:$A$5000,$A4948,$B$3:$B$5000,"&gt;"&amp;$B4948))</f>
        <v>46279.5987645348</v>
      </c>
    </row>
    <row r="4949" customFormat="false" ht="15" hidden="false" customHeight="true" outlineLevel="0" collapsed="false">
      <c r="A4949" s="42"/>
      <c r="B4949" s="42"/>
      <c r="C4949" s="42"/>
      <c r="D4949" s="42"/>
      <c r="E4949" s="42"/>
      <c r="F4949" s="51" t="n">
        <f aca="false">IF(OR(C4949="",D4949="",E4949="",E4949=0),0,C4949*D4949/E4949)</f>
        <v>0</v>
      </c>
      <c r="G4949" s="42"/>
      <c r="H4949" s="49" t="n">
        <f aca="true">IF(OR($A4949="",_xlfn.MINIFS($B$3:$B$5000,$A$3:$A$5000,$A4949,$B$3:$B$5000,"&gt;"&amp;$B4949)=0),NOW(),_xlfn.MINIFS($B$3:$B$5000,$A$3:$A$5000,$A4949,$B$3:$B$5000,"&gt;"&amp;$B4949))</f>
        <v>46279.5987645349</v>
      </c>
    </row>
    <row r="4950" customFormat="false" ht="15" hidden="false" customHeight="true" outlineLevel="0" collapsed="false">
      <c r="A4950" s="42"/>
      <c r="B4950" s="42"/>
      <c r="C4950" s="42"/>
      <c r="D4950" s="42"/>
      <c r="E4950" s="42"/>
      <c r="F4950" s="51" t="n">
        <f aca="false">IF(OR(C4950="",D4950="",E4950="",E4950=0),0,C4950*D4950/E4950)</f>
        <v>0</v>
      </c>
      <c r="G4950" s="42"/>
      <c r="H4950" s="49" t="n">
        <f aca="true">IF(OR($A4950="",_xlfn.MINIFS($B$3:$B$5000,$A$3:$A$5000,$A4950,$B$3:$B$5000,"&gt;"&amp;$B4950)=0),NOW(),_xlfn.MINIFS($B$3:$B$5000,$A$3:$A$5000,$A4950,$B$3:$B$5000,"&gt;"&amp;$B4950))</f>
        <v>46279.598764535</v>
      </c>
    </row>
    <row r="4951" customFormat="false" ht="15" hidden="false" customHeight="true" outlineLevel="0" collapsed="false">
      <c r="A4951" s="42"/>
      <c r="B4951" s="42"/>
      <c r="C4951" s="42"/>
      <c r="D4951" s="42"/>
      <c r="E4951" s="42"/>
      <c r="F4951" s="51" t="n">
        <f aca="false">IF(OR(C4951="",D4951="",E4951="",E4951=0),0,C4951*D4951/E4951)</f>
        <v>0</v>
      </c>
      <c r="G4951" s="42"/>
      <c r="H4951" s="49" t="n">
        <f aca="true">IF(OR($A4951="",_xlfn.MINIFS($B$3:$B$5000,$A$3:$A$5000,$A4951,$B$3:$B$5000,"&gt;"&amp;$B4951)=0),NOW(),_xlfn.MINIFS($B$3:$B$5000,$A$3:$A$5000,$A4951,$B$3:$B$5000,"&gt;"&amp;$B4951))</f>
        <v>46279.598764535</v>
      </c>
    </row>
    <row r="4952" customFormat="false" ht="15" hidden="false" customHeight="true" outlineLevel="0" collapsed="false">
      <c r="A4952" s="42"/>
      <c r="B4952" s="42"/>
      <c r="C4952" s="42"/>
      <c r="D4952" s="42"/>
      <c r="E4952" s="42"/>
      <c r="F4952" s="51" t="n">
        <f aca="false">IF(OR(C4952="",D4952="",E4952="",E4952=0),0,C4952*D4952/E4952)</f>
        <v>0</v>
      </c>
      <c r="G4952" s="42"/>
      <c r="H4952" s="49" t="n">
        <f aca="true">IF(OR($A4952="",_xlfn.MINIFS($B$3:$B$5000,$A$3:$A$5000,$A4952,$B$3:$B$5000,"&gt;"&amp;$B4952)=0),NOW(),_xlfn.MINIFS($B$3:$B$5000,$A$3:$A$5000,$A4952,$B$3:$B$5000,"&gt;"&amp;$B4952))</f>
        <v>46279.5987645355</v>
      </c>
    </row>
    <row r="4953" customFormat="false" ht="15" hidden="false" customHeight="true" outlineLevel="0" collapsed="false">
      <c r="A4953" s="42"/>
      <c r="B4953" s="42"/>
      <c r="C4953" s="42"/>
      <c r="D4953" s="42"/>
      <c r="E4953" s="42"/>
      <c r="F4953" s="51" t="n">
        <f aca="false">IF(OR(C4953="",D4953="",E4953="",E4953=0),0,C4953*D4953/E4953)</f>
        <v>0</v>
      </c>
      <c r="G4953" s="42"/>
      <c r="H4953" s="49" t="n">
        <f aca="true">IF(OR($A4953="",_xlfn.MINIFS($B$3:$B$5000,$A$3:$A$5000,$A4953,$B$3:$B$5000,"&gt;"&amp;$B4953)=0),NOW(),_xlfn.MINIFS($B$3:$B$5000,$A$3:$A$5000,$A4953,$B$3:$B$5000,"&gt;"&amp;$B4953))</f>
        <v>46279.5987645356</v>
      </c>
    </row>
    <row r="4954" customFormat="false" ht="15" hidden="false" customHeight="true" outlineLevel="0" collapsed="false">
      <c r="A4954" s="42"/>
      <c r="B4954" s="42"/>
      <c r="C4954" s="42"/>
      <c r="D4954" s="42"/>
      <c r="E4954" s="42"/>
      <c r="F4954" s="51" t="n">
        <f aca="false">IF(OR(C4954="",D4954="",E4954="",E4954=0),0,C4954*D4954/E4954)</f>
        <v>0</v>
      </c>
      <c r="G4954" s="42"/>
      <c r="H4954" s="49" t="n">
        <f aca="true">IF(OR($A4954="",_xlfn.MINIFS($B$3:$B$5000,$A$3:$A$5000,$A4954,$B$3:$B$5000,"&gt;"&amp;$B4954)=0),NOW(),_xlfn.MINIFS($B$3:$B$5000,$A$3:$A$5000,$A4954,$B$3:$B$5000,"&gt;"&amp;$B4954))</f>
        <v>46279.5987645356</v>
      </c>
    </row>
    <row r="4955" customFormat="false" ht="15" hidden="false" customHeight="true" outlineLevel="0" collapsed="false">
      <c r="A4955" s="42"/>
      <c r="B4955" s="42"/>
      <c r="C4955" s="42"/>
      <c r="D4955" s="42"/>
      <c r="E4955" s="42"/>
      <c r="F4955" s="51" t="n">
        <f aca="false">IF(OR(C4955="",D4955="",E4955="",E4955=0),0,C4955*D4955/E4955)</f>
        <v>0</v>
      </c>
      <c r="G4955" s="42"/>
      <c r="H4955" s="49" t="n">
        <f aca="true">IF(OR($A4955="",_xlfn.MINIFS($B$3:$B$5000,$A$3:$A$5000,$A4955,$B$3:$B$5000,"&gt;"&amp;$B4955)=0),NOW(),_xlfn.MINIFS($B$3:$B$5000,$A$3:$A$5000,$A4955,$B$3:$B$5000,"&gt;"&amp;$B4955))</f>
        <v>46279.5987645357</v>
      </c>
    </row>
    <row r="4956" customFormat="false" ht="15" hidden="false" customHeight="true" outlineLevel="0" collapsed="false">
      <c r="A4956" s="42"/>
      <c r="B4956" s="42"/>
      <c r="C4956" s="42"/>
      <c r="D4956" s="42"/>
      <c r="E4956" s="42"/>
      <c r="F4956" s="51" t="n">
        <f aca="false">IF(OR(C4956="",D4956="",E4956="",E4956=0),0,C4956*D4956/E4956)</f>
        <v>0</v>
      </c>
      <c r="G4956" s="42"/>
      <c r="H4956" s="49" t="n">
        <f aca="true">IF(OR($A4956="",_xlfn.MINIFS($B$3:$B$5000,$A$3:$A$5000,$A4956,$B$3:$B$5000,"&gt;"&amp;$B4956)=0),NOW(),_xlfn.MINIFS($B$3:$B$5000,$A$3:$A$5000,$A4956,$B$3:$B$5000,"&gt;"&amp;$B4956))</f>
        <v>46279.5987645357</v>
      </c>
    </row>
    <row r="4957" customFormat="false" ht="15" hidden="false" customHeight="true" outlineLevel="0" collapsed="false">
      <c r="A4957" s="42"/>
      <c r="B4957" s="42"/>
      <c r="C4957" s="42"/>
      <c r="D4957" s="42"/>
      <c r="E4957" s="42"/>
      <c r="F4957" s="51" t="n">
        <f aca="false">IF(OR(C4957="",D4957="",E4957="",E4957=0),0,C4957*D4957/E4957)</f>
        <v>0</v>
      </c>
      <c r="G4957" s="42"/>
      <c r="H4957" s="49" t="n">
        <f aca="true">IF(OR($A4957="",_xlfn.MINIFS($B$3:$B$5000,$A$3:$A$5000,$A4957,$B$3:$B$5000,"&gt;"&amp;$B4957)=0),NOW(),_xlfn.MINIFS($B$3:$B$5000,$A$3:$A$5000,$A4957,$B$3:$B$5000,"&gt;"&amp;$B4957))</f>
        <v>46279.5987645358</v>
      </c>
    </row>
    <row r="4958" customFormat="false" ht="15" hidden="false" customHeight="true" outlineLevel="0" collapsed="false">
      <c r="A4958" s="42"/>
      <c r="B4958" s="42"/>
      <c r="C4958" s="42"/>
      <c r="D4958" s="42"/>
      <c r="E4958" s="42"/>
      <c r="F4958" s="51" t="n">
        <f aca="false">IF(OR(C4958="",D4958="",E4958="",E4958=0),0,C4958*D4958/E4958)</f>
        <v>0</v>
      </c>
      <c r="G4958" s="42"/>
      <c r="H4958" s="49" t="n">
        <f aca="true">IF(OR($A4958="",_xlfn.MINIFS($B$3:$B$5000,$A$3:$A$5000,$A4958,$B$3:$B$5000,"&gt;"&amp;$B4958)=0),NOW(),_xlfn.MINIFS($B$3:$B$5000,$A$3:$A$5000,$A4958,$B$3:$B$5000,"&gt;"&amp;$B4958))</f>
        <v>46279.5987645359</v>
      </c>
    </row>
    <row r="4959" customFormat="false" ht="15" hidden="false" customHeight="true" outlineLevel="0" collapsed="false">
      <c r="A4959" s="42"/>
      <c r="B4959" s="42"/>
      <c r="C4959" s="42"/>
      <c r="D4959" s="42"/>
      <c r="E4959" s="42"/>
      <c r="F4959" s="51" t="n">
        <f aca="false">IF(OR(C4959="",D4959="",E4959="",E4959=0),0,C4959*D4959/E4959)</f>
        <v>0</v>
      </c>
      <c r="G4959" s="42"/>
      <c r="H4959" s="49" t="n">
        <f aca="true">IF(OR($A4959="",_xlfn.MINIFS($B$3:$B$5000,$A$3:$A$5000,$A4959,$B$3:$B$5000,"&gt;"&amp;$B4959)=0),NOW(),_xlfn.MINIFS($B$3:$B$5000,$A$3:$A$5000,$A4959,$B$3:$B$5000,"&gt;"&amp;$B4959))</f>
        <v>46279.5987645359</v>
      </c>
    </row>
    <row r="4960" customFormat="false" ht="15" hidden="false" customHeight="true" outlineLevel="0" collapsed="false">
      <c r="A4960" s="42"/>
      <c r="B4960" s="42"/>
      <c r="C4960" s="42"/>
      <c r="D4960" s="42"/>
      <c r="E4960" s="42"/>
      <c r="F4960" s="51" t="n">
        <f aca="false">IF(OR(C4960="",D4960="",E4960="",E4960=0),0,C4960*D4960/E4960)</f>
        <v>0</v>
      </c>
      <c r="G4960" s="42"/>
      <c r="H4960" s="49" t="n">
        <f aca="true">IF(OR($A4960="",_xlfn.MINIFS($B$3:$B$5000,$A$3:$A$5000,$A4960,$B$3:$B$5000,"&gt;"&amp;$B4960)=0),NOW(),_xlfn.MINIFS($B$3:$B$5000,$A$3:$A$5000,$A4960,$B$3:$B$5000,"&gt;"&amp;$B4960))</f>
        <v>46279.598764536</v>
      </c>
    </row>
    <row r="4961" customFormat="false" ht="15" hidden="false" customHeight="true" outlineLevel="0" collapsed="false">
      <c r="A4961" s="42"/>
      <c r="B4961" s="42"/>
      <c r="C4961" s="42"/>
      <c r="D4961" s="42"/>
      <c r="E4961" s="42"/>
      <c r="F4961" s="51" t="n">
        <f aca="false">IF(OR(C4961="",D4961="",E4961="",E4961=0),0,C4961*D4961/E4961)</f>
        <v>0</v>
      </c>
      <c r="G4961" s="42"/>
      <c r="H4961" s="49" t="n">
        <f aca="true">IF(OR($A4961="",_xlfn.MINIFS($B$3:$B$5000,$A$3:$A$5000,$A4961,$B$3:$B$5000,"&gt;"&amp;$B4961)=0),NOW(),_xlfn.MINIFS($B$3:$B$5000,$A$3:$A$5000,$A4961,$B$3:$B$5000,"&gt;"&amp;$B4961))</f>
        <v>46279.598764536</v>
      </c>
    </row>
    <row r="4962" customFormat="false" ht="15" hidden="false" customHeight="true" outlineLevel="0" collapsed="false">
      <c r="A4962" s="42"/>
      <c r="B4962" s="42"/>
      <c r="C4962" s="42"/>
      <c r="D4962" s="42"/>
      <c r="E4962" s="42"/>
      <c r="F4962" s="51" t="n">
        <f aca="false">IF(OR(C4962="",D4962="",E4962="",E4962=0),0,C4962*D4962/E4962)</f>
        <v>0</v>
      </c>
      <c r="G4962" s="42"/>
      <c r="H4962" s="49" t="n">
        <f aca="true">IF(OR($A4962="",_xlfn.MINIFS($B$3:$B$5000,$A$3:$A$5000,$A4962,$B$3:$B$5000,"&gt;"&amp;$B4962)=0),NOW(),_xlfn.MINIFS($B$3:$B$5000,$A$3:$A$5000,$A4962,$B$3:$B$5000,"&gt;"&amp;$B4962))</f>
        <v>46279.598764536</v>
      </c>
    </row>
    <row r="4963" customFormat="false" ht="15" hidden="false" customHeight="true" outlineLevel="0" collapsed="false">
      <c r="A4963" s="42"/>
      <c r="B4963" s="42"/>
      <c r="C4963" s="42"/>
      <c r="D4963" s="42"/>
      <c r="E4963" s="42"/>
      <c r="F4963" s="51" t="n">
        <f aca="false">IF(OR(C4963="",D4963="",E4963="",E4963=0),0,C4963*D4963/E4963)</f>
        <v>0</v>
      </c>
      <c r="G4963" s="42"/>
      <c r="H4963" s="49" t="n">
        <f aca="true">IF(OR($A4963="",_xlfn.MINIFS($B$3:$B$5000,$A$3:$A$5000,$A4963,$B$3:$B$5000,"&gt;"&amp;$B4963)=0),NOW(),_xlfn.MINIFS($B$3:$B$5000,$A$3:$A$5000,$A4963,$B$3:$B$5000,"&gt;"&amp;$B4963))</f>
        <v>46279.5987645361</v>
      </c>
    </row>
    <row r="4964" customFormat="false" ht="15" hidden="false" customHeight="true" outlineLevel="0" collapsed="false">
      <c r="A4964" s="42"/>
      <c r="B4964" s="42"/>
      <c r="C4964" s="42"/>
      <c r="D4964" s="42"/>
      <c r="E4964" s="42"/>
      <c r="F4964" s="51" t="n">
        <f aca="false">IF(OR(C4964="",D4964="",E4964="",E4964=0),0,C4964*D4964/E4964)</f>
        <v>0</v>
      </c>
      <c r="G4964" s="42"/>
      <c r="H4964" s="49" t="n">
        <f aca="true">IF(OR($A4964="",_xlfn.MINIFS($B$3:$B$5000,$A$3:$A$5000,$A4964,$B$3:$B$5000,"&gt;"&amp;$B4964)=0),NOW(),_xlfn.MINIFS($B$3:$B$5000,$A$3:$A$5000,$A4964,$B$3:$B$5000,"&gt;"&amp;$B4964))</f>
        <v>46279.5987645361</v>
      </c>
    </row>
    <row r="4965" customFormat="false" ht="15" hidden="false" customHeight="true" outlineLevel="0" collapsed="false">
      <c r="A4965" s="42"/>
      <c r="B4965" s="42"/>
      <c r="C4965" s="42"/>
      <c r="D4965" s="42"/>
      <c r="E4965" s="42"/>
      <c r="F4965" s="51" t="n">
        <f aca="false">IF(OR(C4965="",D4965="",E4965="",E4965=0),0,C4965*D4965/E4965)</f>
        <v>0</v>
      </c>
      <c r="G4965" s="42"/>
      <c r="H4965" s="49" t="n">
        <f aca="true">IF(OR($A4965="",_xlfn.MINIFS($B$3:$B$5000,$A$3:$A$5000,$A4965,$B$3:$B$5000,"&gt;"&amp;$B4965)=0),NOW(),_xlfn.MINIFS($B$3:$B$5000,$A$3:$A$5000,$A4965,$B$3:$B$5000,"&gt;"&amp;$B4965))</f>
        <v>46279.5987645362</v>
      </c>
    </row>
    <row r="4966" customFormat="false" ht="15" hidden="false" customHeight="true" outlineLevel="0" collapsed="false">
      <c r="A4966" s="42"/>
      <c r="B4966" s="42"/>
      <c r="C4966" s="42"/>
      <c r="D4966" s="42"/>
      <c r="E4966" s="42"/>
      <c r="F4966" s="51" t="n">
        <f aca="false">IF(OR(C4966="",D4966="",E4966="",E4966=0),0,C4966*D4966/E4966)</f>
        <v>0</v>
      </c>
      <c r="G4966" s="42"/>
      <c r="H4966" s="49" t="n">
        <f aca="true">IF(OR($A4966="",_xlfn.MINIFS($B$3:$B$5000,$A$3:$A$5000,$A4966,$B$3:$B$5000,"&gt;"&amp;$B4966)=0),NOW(),_xlfn.MINIFS($B$3:$B$5000,$A$3:$A$5000,$A4966,$B$3:$B$5000,"&gt;"&amp;$B4966))</f>
        <v>46279.5987645363</v>
      </c>
    </row>
    <row r="4967" customFormat="false" ht="15" hidden="false" customHeight="true" outlineLevel="0" collapsed="false">
      <c r="A4967" s="42"/>
      <c r="B4967" s="42"/>
      <c r="C4967" s="42"/>
      <c r="D4967" s="42"/>
      <c r="E4967" s="42"/>
      <c r="F4967" s="51" t="n">
        <f aca="false">IF(OR(C4967="",D4967="",E4967="",E4967=0),0,C4967*D4967/E4967)</f>
        <v>0</v>
      </c>
      <c r="G4967" s="42"/>
      <c r="H4967" s="49" t="n">
        <f aca="true">IF(OR($A4967="",_xlfn.MINIFS($B$3:$B$5000,$A$3:$A$5000,$A4967,$B$3:$B$5000,"&gt;"&amp;$B4967)=0),NOW(),_xlfn.MINIFS($B$3:$B$5000,$A$3:$A$5000,$A4967,$B$3:$B$5000,"&gt;"&amp;$B4967))</f>
        <v>46279.5987645363</v>
      </c>
    </row>
    <row r="4968" customFormat="false" ht="15" hidden="false" customHeight="true" outlineLevel="0" collapsed="false">
      <c r="A4968" s="42"/>
      <c r="B4968" s="42"/>
      <c r="C4968" s="42"/>
      <c r="D4968" s="42"/>
      <c r="E4968" s="42"/>
      <c r="F4968" s="51" t="n">
        <f aca="false">IF(OR(C4968="",D4968="",E4968="",E4968=0),0,C4968*D4968/E4968)</f>
        <v>0</v>
      </c>
      <c r="G4968" s="42"/>
      <c r="H4968" s="49" t="n">
        <f aca="true">IF(OR($A4968="",_xlfn.MINIFS($B$3:$B$5000,$A$3:$A$5000,$A4968,$B$3:$B$5000,"&gt;"&amp;$B4968)=0),NOW(),_xlfn.MINIFS($B$3:$B$5000,$A$3:$A$5000,$A4968,$B$3:$B$5000,"&gt;"&amp;$B4968))</f>
        <v>46279.5987645364</v>
      </c>
    </row>
    <row r="4969" customFormat="false" ht="15" hidden="false" customHeight="true" outlineLevel="0" collapsed="false">
      <c r="A4969" s="42"/>
      <c r="B4969" s="42"/>
      <c r="C4969" s="42"/>
      <c r="D4969" s="42"/>
      <c r="E4969" s="42"/>
      <c r="F4969" s="51" t="n">
        <f aca="false">IF(OR(C4969="",D4969="",E4969="",E4969=0),0,C4969*D4969/E4969)</f>
        <v>0</v>
      </c>
      <c r="G4969" s="42"/>
      <c r="H4969" s="49" t="n">
        <f aca="true">IF(OR($A4969="",_xlfn.MINIFS($B$3:$B$5000,$A$3:$A$5000,$A4969,$B$3:$B$5000,"&gt;"&amp;$B4969)=0),NOW(),_xlfn.MINIFS($B$3:$B$5000,$A$3:$A$5000,$A4969,$B$3:$B$5000,"&gt;"&amp;$B4969))</f>
        <v>46279.5987645364</v>
      </c>
    </row>
    <row r="4970" customFormat="false" ht="15" hidden="false" customHeight="true" outlineLevel="0" collapsed="false">
      <c r="A4970" s="42"/>
      <c r="B4970" s="42"/>
      <c r="C4970" s="42"/>
      <c r="D4970" s="42"/>
      <c r="E4970" s="42"/>
      <c r="F4970" s="51" t="n">
        <f aca="false">IF(OR(C4970="",D4970="",E4970="",E4970=0),0,C4970*D4970/E4970)</f>
        <v>0</v>
      </c>
      <c r="G4970" s="42"/>
      <c r="H4970" s="49" t="n">
        <f aca="true">IF(OR($A4970="",_xlfn.MINIFS($B$3:$B$5000,$A$3:$A$5000,$A4970,$B$3:$B$5000,"&gt;"&amp;$B4970)=0),NOW(),_xlfn.MINIFS($B$3:$B$5000,$A$3:$A$5000,$A4970,$B$3:$B$5000,"&gt;"&amp;$B4970))</f>
        <v>46279.5987645364</v>
      </c>
    </row>
    <row r="4971" customFormat="false" ht="15" hidden="false" customHeight="true" outlineLevel="0" collapsed="false">
      <c r="A4971" s="42"/>
      <c r="B4971" s="42"/>
      <c r="C4971" s="42"/>
      <c r="D4971" s="42"/>
      <c r="E4971" s="42"/>
      <c r="F4971" s="51" t="n">
        <f aca="false">IF(OR(C4971="",D4971="",E4971="",E4971=0),0,C4971*D4971/E4971)</f>
        <v>0</v>
      </c>
      <c r="G4971" s="42"/>
      <c r="H4971" s="49" t="n">
        <f aca="true">IF(OR($A4971="",_xlfn.MINIFS($B$3:$B$5000,$A$3:$A$5000,$A4971,$B$3:$B$5000,"&gt;"&amp;$B4971)=0),NOW(),_xlfn.MINIFS($B$3:$B$5000,$A$3:$A$5000,$A4971,$B$3:$B$5000,"&gt;"&amp;$B4971))</f>
        <v>46279.5987645365</v>
      </c>
    </row>
    <row r="4972" customFormat="false" ht="15" hidden="false" customHeight="true" outlineLevel="0" collapsed="false">
      <c r="A4972" s="42"/>
      <c r="B4972" s="42"/>
      <c r="C4972" s="42"/>
      <c r="D4972" s="42"/>
      <c r="E4972" s="42"/>
      <c r="F4972" s="51" t="n">
        <f aca="false">IF(OR(C4972="",D4972="",E4972="",E4972=0),0,C4972*D4972/E4972)</f>
        <v>0</v>
      </c>
      <c r="G4972" s="42"/>
      <c r="H4972" s="49" t="n">
        <f aca="true">IF(OR($A4972="",_xlfn.MINIFS($B$3:$B$5000,$A$3:$A$5000,$A4972,$B$3:$B$5000,"&gt;"&amp;$B4972)=0),NOW(),_xlfn.MINIFS($B$3:$B$5000,$A$3:$A$5000,$A4972,$B$3:$B$5000,"&gt;"&amp;$B4972))</f>
        <v>46279.5987645365</v>
      </c>
    </row>
    <row r="4973" customFormat="false" ht="15" hidden="false" customHeight="true" outlineLevel="0" collapsed="false">
      <c r="A4973" s="42"/>
      <c r="B4973" s="42"/>
      <c r="C4973" s="42"/>
      <c r="D4973" s="42"/>
      <c r="E4973" s="42"/>
      <c r="F4973" s="51" t="n">
        <f aca="false">IF(OR(C4973="",D4973="",E4973="",E4973=0),0,C4973*D4973/E4973)</f>
        <v>0</v>
      </c>
      <c r="G4973" s="42"/>
      <c r="H4973" s="49" t="n">
        <f aca="true">IF(OR($A4973="",_xlfn.MINIFS($B$3:$B$5000,$A$3:$A$5000,$A4973,$B$3:$B$5000,"&gt;"&amp;$B4973)=0),NOW(),_xlfn.MINIFS($B$3:$B$5000,$A$3:$A$5000,$A4973,$B$3:$B$5000,"&gt;"&amp;$B4973))</f>
        <v>46279.5987645366</v>
      </c>
    </row>
    <row r="4974" customFormat="false" ht="15" hidden="false" customHeight="true" outlineLevel="0" collapsed="false">
      <c r="A4974" s="42"/>
      <c r="B4974" s="42"/>
      <c r="C4974" s="42"/>
      <c r="D4974" s="42"/>
      <c r="E4974" s="42"/>
      <c r="F4974" s="51" t="n">
        <f aca="false">IF(OR(C4974="",D4974="",E4974="",E4974=0),0,C4974*D4974/E4974)</f>
        <v>0</v>
      </c>
      <c r="G4974" s="42"/>
      <c r="H4974" s="49" t="n">
        <f aca="true">IF(OR($A4974="",_xlfn.MINIFS($B$3:$B$5000,$A$3:$A$5000,$A4974,$B$3:$B$5000,"&gt;"&amp;$B4974)=0),NOW(),_xlfn.MINIFS($B$3:$B$5000,$A$3:$A$5000,$A4974,$B$3:$B$5000,"&gt;"&amp;$B4974))</f>
        <v>46279.5987645367</v>
      </c>
    </row>
    <row r="4975" customFormat="false" ht="15" hidden="false" customHeight="true" outlineLevel="0" collapsed="false">
      <c r="A4975" s="42"/>
      <c r="B4975" s="42"/>
      <c r="C4975" s="42"/>
      <c r="D4975" s="42"/>
      <c r="E4975" s="42"/>
      <c r="F4975" s="51" t="n">
        <f aca="false">IF(OR(C4975="",D4975="",E4975="",E4975=0),0,C4975*D4975/E4975)</f>
        <v>0</v>
      </c>
      <c r="G4975" s="42"/>
      <c r="H4975" s="49" t="n">
        <f aca="true">IF(OR($A4975="",_xlfn.MINIFS($B$3:$B$5000,$A$3:$A$5000,$A4975,$B$3:$B$5000,"&gt;"&amp;$B4975)=0),NOW(),_xlfn.MINIFS($B$3:$B$5000,$A$3:$A$5000,$A4975,$B$3:$B$5000,"&gt;"&amp;$B4975))</f>
        <v>46279.5987645367</v>
      </c>
    </row>
    <row r="4976" customFormat="false" ht="15" hidden="false" customHeight="true" outlineLevel="0" collapsed="false">
      <c r="A4976" s="42"/>
      <c r="B4976" s="42"/>
      <c r="C4976" s="42"/>
      <c r="D4976" s="42"/>
      <c r="E4976" s="42"/>
      <c r="F4976" s="51" t="n">
        <f aca="false">IF(OR(C4976="",D4976="",E4976="",E4976=0),0,C4976*D4976/E4976)</f>
        <v>0</v>
      </c>
      <c r="G4976" s="42"/>
      <c r="H4976" s="49" t="n">
        <f aca="true">IF(OR($A4976="",_xlfn.MINIFS($B$3:$B$5000,$A$3:$A$5000,$A4976,$B$3:$B$5000,"&gt;"&amp;$B4976)=0),NOW(),_xlfn.MINIFS($B$3:$B$5000,$A$3:$A$5000,$A4976,$B$3:$B$5000,"&gt;"&amp;$B4976))</f>
        <v>46279.5987645367</v>
      </c>
    </row>
    <row r="4977" customFormat="false" ht="15" hidden="false" customHeight="true" outlineLevel="0" collapsed="false">
      <c r="A4977" s="42"/>
      <c r="B4977" s="42"/>
      <c r="C4977" s="42"/>
      <c r="D4977" s="42"/>
      <c r="E4977" s="42"/>
      <c r="F4977" s="51" t="n">
        <f aca="false">IF(OR(C4977="",D4977="",E4977="",E4977=0),0,C4977*D4977/E4977)</f>
        <v>0</v>
      </c>
      <c r="G4977" s="42"/>
      <c r="H4977" s="49" t="n">
        <f aca="true">IF(OR($A4977="",_xlfn.MINIFS($B$3:$B$5000,$A$3:$A$5000,$A4977,$B$3:$B$5000,"&gt;"&amp;$B4977)=0),NOW(),_xlfn.MINIFS($B$3:$B$5000,$A$3:$A$5000,$A4977,$B$3:$B$5000,"&gt;"&amp;$B4977))</f>
        <v>46279.5987645368</v>
      </c>
    </row>
    <row r="4978" customFormat="false" ht="15" hidden="false" customHeight="true" outlineLevel="0" collapsed="false">
      <c r="A4978" s="42"/>
      <c r="B4978" s="42"/>
      <c r="C4978" s="42"/>
      <c r="D4978" s="42"/>
      <c r="E4978" s="42"/>
      <c r="F4978" s="51" t="n">
        <f aca="false">IF(OR(C4978="",D4978="",E4978="",E4978=0),0,C4978*D4978/E4978)</f>
        <v>0</v>
      </c>
      <c r="G4978" s="42"/>
      <c r="H4978" s="49" t="n">
        <f aca="true">IF(OR($A4978="",_xlfn.MINIFS($B$3:$B$5000,$A$3:$A$5000,$A4978,$B$3:$B$5000,"&gt;"&amp;$B4978)=0),NOW(),_xlfn.MINIFS($B$3:$B$5000,$A$3:$A$5000,$A4978,$B$3:$B$5000,"&gt;"&amp;$B4978))</f>
        <v>46279.5987645368</v>
      </c>
    </row>
    <row r="4979" customFormat="false" ht="15" hidden="false" customHeight="true" outlineLevel="0" collapsed="false">
      <c r="A4979" s="42"/>
      <c r="B4979" s="42"/>
      <c r="C4979" s="42"/>
      <c r="D4979" s="42"/>
      <c r="E4979" s="42"/>
      <c r="F4979" s="51" t="n">
        <f aca="false">IF(OR(C4979="",D4979="",E4979="",E4979=0),0,C4979*D4979/E4979)</f>
        <v>0</v>
      </c>
      <c r="G4979" s="42"/>
      <c r="H4979" s="49" t="n">
        <f aca="true">IF(OR($A4979="",_xlfn.MINIFS($B$3:$B$5000,$A$3:$A$5000,$A4979,$B$3:$B$5000,"&gt;"&amp;$B4979)=0),NOW(),_xlfn.MINIFS($B$3:$B$5000,$A$3:$A$5000,$A4979,$B$3:$B$5000,"&gt;"&amp;$B4979))</f>
        <v>46279.5987645369</v>
      </c>
    </row>
    <row r="4980" customFormat="false" ht="15" hidden="false" customHeight="true" outlineLevel="0" collapsed="false">
      <c r="A4980" s="42"/>
      <c r="B4980" s="42"/>
      <c r="C4980" s="42"/>
      <c r="D4980" s="42"/>
      <c r="E4980" s="42"/>
      <c r="F4980" s="51" t="n">
        <f aca="false">IF(OR(C4980="",D4980="",E4980="",E4980=0),0,C4980*D4980/E4980)</f>
        <v>0</v>
      </c>
      <c r="G4980" s="42"/>
      <c r="H4980" s="49" t="n">
        <f aca="true">IF(OR($A4980="",_xlfn.MINIFS($B$3:$B$5000,$A$3:$A$5000,$A4980,$B$3:$B$5000,"&gt;"&amp;$B4980)=0),NOW(),_xlfn.MINIFS($B$3:$B$5000,$A$3:$A$5000,$A4980,$B$3:$B$5000,"&gt;"&amp;$B4980))</f>
        <v>46279.5987645369</v>
      </c>
    </row>
    <row r="4981" customFormat="false" ht="15" hidden="false" customHeight="true" outlineLevel="0" collapsed="false">
      <c r="A4981" s="42"/>
      <c r="B4981" s="42"/>
      <c r="C4981" s="42"/>
      <c r="D4981" s="42"/>
      <c r="E4981" s="42"/>
      <c r="F4981" s="51" t="n">
        <f aca="false">IF(OR(C4981="",D4981="",E4981="",E4981=0),0,C4981*D4981/E4981)</f>
        <v>0</v>
      </c>
      <c r="G4981" s="42"/>
      <c r="H4981" s="49" t="n">
        <f aca="true">IF(OR($A4981="",_xlfn.MINIFS($B$3:$B$5000,$A$3:$A$5000,$A4981,$B$3:$B$5000,"&gt;"&amp;$B4981)=0),NOW(),_xlfn.MINIFS($B$3:$B$5000,$A$3:$A$5000,$A4981,$B$3:$B$5000,"&gt;"&amp;$B4981))</f>
        <v>46279.598764537</v>
      </c>
    </row>
    <row r="4982" customFormat="false" ht="15" hidden="false" customHeight="true" outlineLevel="0" collapsed="false">
      <c r="A4982" s="42"/>
      <c r="B4982" s="42"/>
      <c r="C4982" s="42"/>
      <c r="D4982" s="42"/>
      <c r="E4982" s="42"/>
      <c r="F4982" s="51" t="n">
        <f aca="false">IF(OR(C4982="",D4982="",E4982="",E4982=0),0,C4982*D4982/E4982)</f>
        <v>0</v>
      </c>
      <c r="G4982" s="42"/>
      <c r="H4982" s="49" t="n">
        <f aca="true">IF(OR($A4982="",_xlfn.MINIFS($B$3:$B$5000,$A$3:$A$5000,$A4982,$B$3:$B$5000,"&gt;"&amp;$B4982)=0),NOW(),_xlfn.MINIFS($B$3:$B$5000,$A$3:$A$5000,$A4982,$B$3:$B$5000,"&gt;"&amp;$B4982))</f>
        <v>46279.5987645371</v>
      </c>
    </row>
    <row r="4983" customFormat="false" ht="15" hidden="false" customHeight="true" outlineLevel="0" collapsed="false">
      <c r="A4983" s="42"/>
      <c r="B4983" s="42"/>
      <c r="C4983" s="42"/>
      <c r="D4983" s="42"/>
      <c r="E4983" s="42"/>
      <c r="F4983" s="51" t="n">
        <f aca="false">IF(OR(C4983="",D4983="",E4983="",E4983=0),0,C4983*D4983/E4983)</f>
        <v>0</v>
      </c>
      <c r="G4983" s="42"/>
      <c r="H4983" s="49" t="n">
        <f aca="true">IF(OR($A4983="",_xlfn.MINIFS($B$3:$B$5000,$A$3:$A$5000,$A4983,$B$3:$B$5000,"&gt;"&amp;$B4983)=0),NOW(),_xlfn.MINIFS($B$3:$B$5000,$A$3:$A$5000,$A4983,$B$3:$B$5000,"&gt;"&amp;$B4983))</f>
        <v>46279.5987645371</v>
      </c>
    </row>
    <row r="4984" customFormat="false" ht="15" hidden="false" customHeight="true" outlineLevel="0" collapsed="false">
      <c r="A4984" s="42"/>
      <c r="B4984" s="42"/>
      <c r="C4984" s="42"/>
      <c r="D4984" s="42"/>
      <c r="E4984" s="42"/>
      <c r="F4984" s="51" t="n">
        <f aca="false">IF(OR(C4984="",D4984="",E4984="",E4984=0),0,C4984*D4984/E4984)</f>
        <v>0</v>
      </c>
      <c r="G4984" s="42"/>
      <c r="H4984" s="49" t="n">
        <f aca="true">IF(OR($A4984="",_xlfn.MINIFS($B$3:$B$5000,$A$3:$A$5000,$A4984,$B$3:$B$5000,"&gt;"&amp;$B4984)=0),NOW(),_xlfn.MINIFS($B$3:$B$5000,$A$3:$A$5000,$A4984,$B$3:$B$5000,"&gt;"&amp;$B4984))</f>
        <v>46279.5987645372</v>
      </c>
    </row>
    <row r="4985" customFormat="false" ht="15" hidden="false" customHeight="true" outlineLevel="0" collapsed="false">
      <c r="A4985" s="42"/>
      <c r="B4985" s="42"/>
      <c r="C4985" s="42"/>
      <c r="D4985" s="42"/>
      <c r="E4985" s="42"/>
      <c r="F4985" s="51" t="n">
        <f aca="false">IF(OR(C4985="",D4985="",E4985="",E4985=0),0,C4985*D4985/E4985)</f>
        <v>0</v>
      </c>
      <c r="G4985" s="42"/>
      <c r="H4985" s="49" t="n">
        <f aca="true">IF(OR($A4985="",_xlfn.MINIFS($B$3:$B$5000,$A$3:$A$5000,$A4985,$B$3:$B$5000,"&gt;"&amp;$B4985)=0),NOW(),_xlfn.MINIFS($B$3:$B$5000,$A$3:$A$5000,$A4985,$B$3:$B$5000,"&gt;"&amp;$B4985))</f>
        <v>46279.5987645372</v>
      </c>
    </row>
    <row r="4986" customFormat="false" ht="15" hidden="false" customHeight="true" outlineLevel="0" collapsed="false">
      <c r="A4986" s="42"/>
      <c r="B4986" s="42"/>
      <c r="C4986" s="42"/>
      <c r="D4986" s="42"/>
      <c r="E4986" s="42"/>
      <c r="F4986" s="51" t="n">
        <f aca="false">IF(OR(C4986="",D4986="",E4986="",E4986=0),0,C4986*D4986/E4986)</f>
        <v>0</v>
      </c>
      <c r="G4986" s="42"/>
      <c r="H4986" s="49" t="n">
        <f aca="true">IF(OR($A4986="",_xlfn.MINIFS($B$3:$B$5000,$A$3:$A$5000,$A4986,$B$3:$B$5000,"&gt;"&amp;$B4986)=0),NOW(),_xlfn.MINIFS($B$3:$B$5000,$A$3:$A$5000,$A4986,$B$3:$B$5000,"&gt;"&amp;$B4986))</f>
        <v>46279.5987645373</v>
      </c>
    </row>
    <row r="4987" customFormat="false" ht="15" hidden="false" customHeight="true" outlineLevel="0" collapsed="false">
      <c r="A4987" s="42"/>
      <c r="B4987" s="42"/>
      <c r="C4987" s="42"/>
      <c r="D4987" s="42"/>
      <c r="E4987" s="42"/>
      <c r="F4987" s="51" t="n">
        <f aca="false">IF(OR(C4987="",D4987="",E4987="",E4987=0),0,C4987*D4987/E4987)</f>
        <v>0</v>
      </c>
      <c r="G4987" s="42"/>
      <c r="H4987" s="49" t="n">
        <f aca="true">IF(OR($A4987="",_xlfn.MINIFS($B$3:$B$5000,$A$3:$A$5000,$A4987,$B$3:$B$5000,"&gt;"&amp;$B4987)=0),NOW(),_xlfn.MINIFS($B$3:$B$5000,$A$3:$A$5000,$A4987,$B$3:$B$5000,"&gt;"&amp;$B4987))</f>
        <v>46279.5987645374</v>
      </c>
    </row>
    <row r="4988" customFormat="false" ht="15" hidden="false" customHeight="true" outlineLevel="0" collapsed="false">
      <c r="A4988" s="42"/>
      <c r="B4988" s="42"/>
      <c r="C4988" s="42"/>
      <c r="D4988" s="42"/>
      <c r="E4988" s="42"/>
      <c r="F4988" s="51" t="n">
        <f aca="false">IF(OR(C4988="",D4988="",E4988="",E4988=0),0,C4988*D4988/E4988)</f>
        <v>0</v>
      </c>
      <c r="G4988" s="42"/>
      <c r="H4988" s="49" t="n">
        <f aca="true">IF(OR($A4988="",_xlfn.MINIFS($B$3:$B$5000,$A$3:$A$5000,$A4988,$B$3:$B$5000,"&gt;"&amp;$B4988)=0),NOW(),_xlfn.MINIFS($B$3:$B$5000,$A$3:$A$5000,$A4988,$B$3:$B$5000,"&gt;"&amp;$B4988))</f>
        <v>46279.5987645374</v>
      </c>
    </row>
    <row r="4989" customFormat="false" ht="15" hidden="false" customHeight="true" outlineLevel="0" collapsed="false">
      <c r="A4989" s="42"/>
      <c r="B4989" s="42"/>
      <c r="C4989" s="42"/>
      <c r="D4989" s="42"/>
      <c r="E4989" s="42"/>
      <c r="F4989" s="51" t="n">
        <f aca="false">IF(OR(C4989="",D4989="",E4989="",E4989=0),0,C4989*D4989/E4989)</f>
        <v>0</v>
      </c>
      <c r="G4989" s="42"/>
      <c r="H4989" s="49" t="n">
        <f aca="true">IF(OR($A4989="",_xlfn.MINIFS($B$3:$B$5000,$A$3:$A$5000,$A4989,$B$3:$B$5000,"&gt;"&amp;$B4989)=0),NOW(),_xlfn.MINIFS($B$3:$B$5000,$A$3:$A$5000,$A4989,$B$3:$B$5000,"&gt;"&amp;$B4989))</f>
        <v>46279.5987645375</v>
      </c>
    </row>
    <row r="4990" customFormat="false" ht="15" hidden="false" customHeight="true" outlineLevel="0" collapsed="false">
      <c r="A4990" s="42"/>
      <c r="B4990" s="42"/>
      <c r="C4990" s="42"/>
      <c r="D4990" s="42"/>
      <c r="E4990" s="42"/>
      <c r="F4990" s="51" t="n">
        <f aca="false">IF(OR(C4990="",D4990="",E4990="",E4990=0),0,C4990*D4990/E4990)</f>
        <v>0</v>
      </c>
      <c r="G4990" s="42"/>
      <c r="H4990" s="49" t="n">
        <f aca="true">IF(OR($A4990="",_xlfn.MINIFS($B$3:$B$5000,$A$3:$A$5000,$A4990,$B$3:$B$5000,"&gt;"&amp;$B4990)=0),NOW(),_xlfn.MINIFS($B$3:$B$5000,$A$3:$A$5000,$A4990,$B$3:$B$5000,"&gt;"&amp;$B4990))</f>
        <v>46279.5987645375</v>
      </c>
    </row>
    <row r="4991" customFormat="false" ht="15" hidden="false" customHeight="true" outlineLevel="0" collapsed="false">
      <c r="A4991" s="42"/>
      <c r="B4991" s="42"/>
      <c r="C4991" s="42"/>
      <c r="D4991" s="42"/>
      <c r="E4991" s="42"/>
      <c r="F4991" s="51" t="n">
        <f aca="false">IF(OR(C4991="",D4991="",E4991="",E4991=0),0,C4991*D4991/E4991)</f>
        <v>0</v>
      </c>
      <c r="G4991" s="42"/>
      <c r="H4991" s="49" t="n">
        <f aca="true">IF(OR($A4991="",_xlfn.MINIFS($B$3:$B$5000,$A$3:$A$5000,$A4991,$B$3:$B$5000,"&gt;"&amp;$B4991)=0),NOW(),_xlfn.MINIFS($B$3:$B$5000,$A$3:$A$5000,$A4991,$B$3:$B$5000,"&gt;"&amp;$B4991))</f>
        <v>46279.5987645376</v>
      </c>
    </row>
    <row r="4992" customFormat="false" ht="15" hidden="false" customHeight="true" outlineLevel="0" collapsed="false">
      <c r="A4992" s="42"/>
      <c r="B4992" s="42"/>
      <c r="C4992" s="42"/>
      <c r="D4992" s="42"/>
      <c r="E4992" s="42"/>
      <c r="F4992" s="51" t="n">
        <f aca="false">IF(OR(C4992="",D4992="",E4992="",E4992=0),0,C4992*D4992/E4992)</f>
        <v>0</v>
      </c>
      <c r="G4992" s="42"/>
      <c r="H4992" s="49" t="n">
        <f aca="true">IF(OR($A4992="",_xlfn.MINIFS($B$3:$B$5000,$A$3:$A$5000,$A4992,$B$3:$B$5000,"&gt;"&amp;$B4992)=0),NOW(),_xlfn.MINIFS($B$3:$B$5000,$A$3:$A$5000,$A4992,$B$3:$B$5000,"&gt;"&amp;$B4992))</f>
        <v>46279.5987645376</v>
      </c>
    </row>
    <row r="4993" customFormat="false" ht="15" hidden="false" customHeight="true" outlineLevel="0" collapsed="false">
      <c r="A4993" s="42"/>
      <c r="B4993" s="42"/>
      <c r="C4993" s="42"/>
      <c r="D4993" s="42"/>
      <c r="E4993" s="42"/>
      <c r="F4993" s="51" t="n">
        <f aca="false">IF(OR(C4993="",D4993="",E4993="",E4993=0),0,C4993*D4993/E4993)</f>
        <v>0</v>
      </c>
      <c r="G4993" s="42"/>
      <c r="H4993" s="49" t="n">
        <f aca="true">IF(OR($A4993="",_xlfn.MINIFS($B$3:$B$5000,$A$3:$A$5000,$A4993,$B$3:$B$5000,"&gt;"&amp;$B4993)=0),NOW(),_xlfn.MINIFS($B$3:$B$5000,$A$3:$A$5000,$A4993,$B$3:$B$5000,"&gt;"&amp;$B4993))</f>
        <v>46279.5987645377</v>
      </c>
    </row>
    <row r="4994" customFormat="false" ht="15" hidden="false" customHeight="true" outlineLevel="0" collapsed="false">
      <c r="A4994" s="42"/>
      <c r="B4994" s="42"/>
      <c r="C4994" s="42"/>
      <c r="D4994" s="42"/>
      <c r="E4994" s="42"/>
      <c r="F4994" s="51" t="n">
        <f aca="false">IF(OR(C4994="",D4994="",E4994="",E4994=0),0,C4994*D4994/E4994)</f>
        <v>0</v>
      </c>
      <c r="G4994" s="42"/>
      <c r="H4994" s="49" t="n">
        <f aca="true">IF(OR($A4994="",_xlfn.MINIFS($B$3:$B$5000,$A$3:$A$5000,$A4994,$B$3:$B$5000,"&gt;"&amp;$B4994)=0),NOW(),_xlfn.MINIFS($B$3:$B$5000,$A$3:$A$5000,$A4994,$B$3:$B$5000,"&gt;"&amp;$B4994))</f>
        <v>46279.5987645377</v>
      </c>
    </row>
    <row r="4995" customFormat="false" ht="15" hidden="false" customHeight="true" outlineLevel="0" collapsed="false">
      <c r="A4995" s="42"/>
      <c r="B4995" s="42"/>
      <c r="C4995" s="42"/>
      <c r="D4995" s="42"/>
      <c r="E4995" s="42"/>
      <c r="F4995" s="51" t="n">
        <f aca="false">IF(OR(C4995="",D4995="",E4995="",E4995=0),0,C4995*D4995/E4995)</f>
        <v>0</v>
      </c>
      <c r="G4995" s="42"/>
      <c r="H4995" s="49" t="n">
        <f aca="true">IF(OR($A4995="",_xlfn.MINIFS($B$3:$B$5000,$A$3:$A$5000,$A4995,$B$3:$B$5000,"&gt;"&amp;$B4995)=0),NOW(),_xlfn.MINIFS($B$3:$B$5000,$A$3:$A$5000,$A4995,$B$3:$B$5000,"&gt;"&amp;$B4995))</f>
        <v>46279.5987645378</v>
      </c>
    </row>
    <row r="4996" customFormat="false" ht="15" hidden="false" customHeight="true" outlineLevel="0" collapsed="false">
      <c r="A4996" s="42"/>
      <c r="B4996" s="42"/>
      <c r="C4996" s="42"/>
      <c r="D4996" s="42"/>
      <c r="E4996" s="42"/>
      <c r="F4996" s="51" t="n">
        <f aca="false">IF(OR(C4996="",D4996="",E4996="",E4996=0),0,C4996*D4996/E4996)</f>
        <v>0</v>
      </c>
      <c r="G4996" s="42"/>
      <c r="H4996" s="49" t="n">
        <f aca="true">IF(OR($A4996="",_xlfn.MINIFS($B$3:$B$5000,$A$3:$A$5000,$A4996,$B$3:$B$5000,"&gt;"&amp;$B4996)=0),NOW(),_xlfn.MINIFS($B$3:$B$5000,$A$3:$A$5000,$A4996,$B$3:$B$5000,"&gt;"&amp;$B4996))</f>
        <v>46279.5987645378</v>
      </c>
    </row>
    <row r="4997" customFormat="false" ht="15" hidden="false" customHeight="true" outlineLevel="0" collapsed="false">
      <c r="A4997" s="42"/>
      <c r="B4997" s="42"/>
      <c r="C4997" s="42"/>
      <c r="D4997" s="42"/>
      <c r="E4997" s="42"/>
      <c r="F4997" s="51" t="n">
        <f aca="false">IF(OR(C4997="",D4997="",E4997="",E4997=0),0,C4997*D4997/E4997)</f>
        <v>0</v>
      </c>
      <c r="G4997" s="42"/>
      <c r="H4997" s="49" t="n">
        <f aca="true">IF(OR($A4997="",_xlfn.MINIFS($B$3:$B$5000,$A$3:$A$5000,$A4997,$B$3:$B$5000,"&gt;"&amp;$B4997)=0),NOW(),_xlfn.MINIFS($B$3:$B$5000,$A$3:$A$5000,$A4997,$B$3:$B$5000,"&gt;"&amp;$B4997))</f>
        <v>46279.5987645379</v>
      </c>
    </row>
    <row r="4998" customFormat="false" ht="15" hidden="false" customHeight="true" outlineLevel="0" collapsed="false">
      <c r="A4998" s="42"/>
      <c r="B4998" s="42"/>
      <c r="C4998" s="42"/>
      <c r="D4998" s="42"/>
      <c r="E4998" s="42"/>
      <c r="F4998" s="51" t="n">
        <f aca="false">IF(OR(C4998="",D4998="",E4998="",E4998=0),0,C4998*D4998/E4998)</f>
        <v>0</v>
      </c>
      <c r="G4998" s="42"/>
      <c r="H4998" s="49" t="n">
        <f aca="true">IF(OR($A4998="",_xlfn.MINIFS($B$3:$B$5000,$A$3:$A$5000,$A4998,$B$3:$B$5000,"&gt;"&amp;$B4998)=0),NOW(),_xlfn.MINIFS($B$3:$B$5000,$A$3:$A$5000,$A4998,$B$3:$B$5000,"&gt;"&amp;$B4998))</f>
        <v>46279.5987645379</v>
      </c>
    </row>
    <row r="4999" customFormat="false" ht="15" hidden="false" customHeight="true" outlineLevel="0" collapsed="false">
      <c r="A4999" s="42"/>
      <c r="B4999" s="42"/>
      <c r="C4999" s="42"/>
      <c r="D4999" s="42"/>
      <c r="E4999" s="42"/>
      <c r="F4999" s="51" t="n">
        <f aca="false">IF(OR(C4999="",D4999="",E4999="",E4999=0),0,C4999*D4999/E4999)</f>
        <v>0</v>
      </c>
      <c r="G4999" s="42"/>
      <c r="H4999" s="49" t="n">
        <f aca="true">IF(OR($A4999="",_xlfn.MINIFS($B$3:$B$5000,$A$3:$A$5000,$A4999,$B$3:$B$5000,"&gt;"&amp;$B4999)=0),NOW(),_xlfn.MINIFS($B$3:$B$5000,$A$3:$A$5000,$A4999,$B$3:$B$5000,"&gt;"&amp;$B4999))</f>
        <v>46279.598764538</v>
      </c>
    </row>
    <row r="5000" customFormat="false" ht="15" hidden="false" customHeight="true" outlineLevel="0" collapsed="false">
      <c r="A5000" s="42"/>
      <c r="B5000" s="42"/>
      <c r="C5000" s="42"/>
      <c r="D5000" s="42"/>
      <c r="E5000" s="42"/>
      <c r="F5000" s="51" t="n">
        <f aca="false">IF(OR(C5000="",D5000="",E5000="",E5000=0),0,C5000*D5000/E5000)</f>
        <v>0</v>
      </c>
      <c r="G5000" s="42"/>
      <c r="H5000" s="49" t="n">
        <f aca="true">IF(OR($A5000="",_xlfn.MINIFS($B$3:$B$5000,$A$3:$A$5000,$A5000,$B$3:$B$5000,"&gt;"&amp;$B5000)=0),NOW(),_xlfn.MINIFS($B$3:$B$5000,$A$3:$A$5000,$A5000,$B$3:$B$5000,"&gt;"&amp;$B5000))</f>
        <v>46279.598764538</v>
      </c>
    </row>
  </sheetData>
  <autoFilter ref="A2:H5000"/>
  <mergeCells count="1">
    <mergeCell ref="C1:H1"/>
  </mergeCell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SLB-Private</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6"/>
    <col collapsed="false" customWidth="true" hidden="false" outlineLevel="0" max="3" min="3" style="1" width="11"/>
    <col collapsed="false" customWidth="true" hidden="false" outlineLevel="0" max="4" min="4" style="1" width="12"/>
    <col collapsed="false" customWidth="true" hidden="false" outlineLevel="0" max="5" min="5" style="1" width="17"/>
    <col collapsed="false" customWidth="true" hidden="false" outlineLevel="0" max="7" min="6" style="1" width="12"/>
    <col collapsed="false" customWidth="true" hidden="false" outlineLevel="0" max="8" min="8" style="1" width="13"/>
    <col collapsed="false" customWidth="true" hidden="false" outlineLevel="0" max="9" min="9" style="1" width="12"/>
    <col collapsed="false" customWidth="true" hidden="false" outlineLevel="0" max="10" min="10" style="1" width="10"/>
    <col collapsed="false" customWidth="true" hidden="false" outlineLevel="0" max="11" min="11" style="1" width="11"/>
    <col collapsed="false" customWidth="true" hidden="false" outlineLevel="0" max="12" min="12" style="1" width="14"/>
    <col collapsed="false" customWidth="true" hidden="true" outlineLevel="0" max="15" min="14" style="1" width="13"/>
  </cols>
  <sheetData>
    <row r="1" customFormat="false" ht="31.5" hidden="false" customHeight="true" outlineLevel="0" collapsed="false">
      <c r="A1" s="52" t="s">
        <v>93</v>
      </c>
      <c r="B1" s="52" t="s">
        <v>47</v>
      </c>
      <c r="C1" s="52" t="s">
        <v>48</v>
      </c>
      <c r="D1" s="52" t="s">
        <v>104</v>
      </c>
      <c r="E1" s="52" t="s">
        <v>105</v>
      </c>
      <c r="F1" s="52" t="s">
        <v>106</v>
      </c>
      <c r="G1" s="52" t="s">
        <v>107</v>
      </c>
      <c r="H1" s="52" t="s">
        <v>108</v>
      </c>
      <c r="I1" s="52" t="s">
        <v>109</v>
      </c>
      <c r="J1" s="52" t="s">
        <v>110</v>
      </c>
      <c r="K1" s="52" t="s">
        <v>111</v>
      </c>
      <c r="L1" s="52" t="s">
        <v>112</v>
      </c>
      <c r="N1" s="1" t="s">
        <v>113</v>
      </c>
      <c r="O1" s="1" t="s">
        <v>114</v>
      </c>
    </row>
    <row r="2" customFormat="false" ht="15" hidden="false" customHeight="true" outlineLevel="0" collapsed="false">
      <c r="A2" s="53" t="str">
        <f aca="false">Setup!$A$92</f>
        <v>Inlet Skid - DE-MULSIFIER (40-Z-01)</v>
      </c>
      <c r="B2" s="53" t="n">
        <f aca="false">IF(Setup!$A$92="","",IFERROR(INDEX(Setup!$B$47:$B$89,MATCH(Setup!$A$92,Setup!$A$47:$A$89,0)),""))</f>
        <v>0</v>
      </c>
      <c r="C2" s="53" t="n">
        <f aca="false">IF(Setup!$A$92="","",IFERROR(INDEX(Setup!$C$47:$C$89,MATCH(Setup!$A$92,Setup!$A$47:$A$89,0)),""))</f>
        <v>750</v>
      </c>
      <c r="D2" s="54" t="n">
        <f aca="true">IF($A2="","",SUMPRODUCT((Dosage!$A$3:$A$5000=$A2)*(Dosage!$B$3:$B$5000=_xlfn.MAXIFS(Dosage!$B$3:$B$5000,Dosage!$A$3:$A$5000,$A2,Dosage!$B$3:$B$5000,"&lt;="&amp;NOW()))*Dosage!$F$3:$F$5000))</f>
        <v>0</v>
      </c>
      <c r="E2" s="55" t="str">
        <f aca="false">IF($A2="","",IF(COUNTIFS(Tank_Adjustments!$B$2:$B$4998,$A2)&gt;0,_xlfn.MAXIFS(Tank_Adjustments!$A$2:$A$4998,Tank_Adjustments!$B$2:$B$4998,$A2),IF(COUNTIFS(Warehouse_Log!$G$2:$G$4999,$A2,Warehouse_Log!$B$2:$B$4999,"OUT")&gt;0,_xlfn.MINIFS(Warehouse_Log!$A$2:$A$4999,Warehouse_Log!$G$2:$G$4999,$A2,Warehouse_Log!$B$2:$B$4999,"OUT"),"")))</f>
        <v/>
      </c>
      <c r="F2" s="54" t="n">
        <f aca="false">IF(OR($A2="",$E2=""),0,IF(COUNTIFS(Tank_Adjustments!$B$2:$B$4998,$A2)&gt;0,SUMIFS(Tank_Adjustments!$D$2:$D$4998,Tank_Adjustments!$B$2:$B$4998,$A2,Tank_Adjustments!$A$2:$A$4998,$E2),0))</f>
        <v>0</v>
      </c>
      <c r="G2" s="54" t="n">
        <f aca="false">IF(OR($A2="",$E2=""),0,IF(COUNTIFS(Tank_Adjustments!$B$2:$B$4998,$A2)&gt;0,SUMIFS(Warehouse_Log!$F$2:$F$4999,Warehouse_Log!$G$2:$G$4999,$A2,Warehouse_Log!$B$2:$B$4999,"OUT",Warehouse_Log!$A$2:$A$4999,"&gt;"&amp;$E2),SUMIFS(Warehouse_Log!$F$2:$F$4999,Warehouse_Log!$G$2:$G$4999,$A2,Warehouse_Log!$B$2:$B$4999,"OUT",Warehouse_Log!$A$2:$A$4999,"&gt;="&amp;$E2)))</f>
        <v>0</v>
      </c>
      <c r="H2" s="54" t="n">
        <f aca="true">IF(OR($A2="",$E2=""),0,SUMPRODUCT((Dosage!$A$3:$A$5000=$A2)*(((Dosage!$H$3:$H$5000*(Dosage!$H$3:$H$5000&lt;=NOW())+NOW()*(Dosage!$H$3:$H$5000&gt;NOW()))-(Dosage!$B$3:$B$5000*(Dosage!$B$3:$B$5000&gt;=$E2)+$E2*(Dosage!$B$3:$B$5000&lt;$E2)))&gt;0)*((Dosage!$H$3:$H$5000*(Dosage!$H$3:$H$5000&lt;=NOW())+NOW()*(Dosage!$H$3:$H$5000&gt;NOW()))-(Dosage!$B$3:$B$5000*(Dosage!$B$3:$B$5000&gt;=$E2)+$E2*(Dosage!$B$3:$B$5000&lt;$E2)))*Dosage!$F$3:$F$5000))</f>
        <v>0</v>
      </c>
      <c r="I2" s="56" t="str">
        <f aca="false">IF(OR($A2="",$E2=""),"",MIN($C2,MAX(0,$F2+$G2-$H2)))</f>
        <v/>
      </c>
      <c r="J2" s="57" t="str">
        <f aca="false">IF(OR($I2="",$C2="",$C2=0),"",$I2/$C2)</f>
        <v/>
      </c>
      <c r="K2" s="54" t="str">
        <f aca="false">IF(OR($I2="",$D2="",$D2=0),"",$I2/$D2)</f>
        <v/>
      </c>
      <c r="L2" s="58" t="str">
        <f aca="true">IF($K2="","",TODAY()+$K2)</f>
        <v/>
      </c>
      <c r="N2" s="59" t="str">
        <f aca="false">IF($J2="","",MIN(1,$J2))</f>
        <v/>
      </c>
      <c r="O2" s="59" t="str">
        <f aca="false">IF($J2="","",MAX(0,1-$J2))</f>
        <v/>
      </c>
    </row>
    <row r="3" customFormat="false" ht="23.25" hidden="false" customHeight="true" outlineLevel="0" collapsed="false">
      <c r="A3" s="53" t="str">
        <f aca="false">Setup!$A$93</f>
        <v>Inlet Skid - POUR POINT DEPROSSOR (40-Z-05)</v>
      </c>
      <c r="B3" s="53" t="str">
        <f aca="false">IF(Setup!$A$93="","",IFERROR(INDEX(Setup!$B$47:$B$89,MATCH(Setup!$A$93,Setup!$A$47:$A$89,0)),""))</f>
        <v>Demulsifier (89067)</v>
      </c>
      <c r="C3" s="53" t="n">
        <f aca="false">IF(Setup!$A$93="","",IFERROR(INDEX(Setup!$C$47:$C$89,MATCH(Setup!$A$93,Setup!$A$47:$A$89,0)),""))</f>
        <v>1510</v>
      </c>
      <c r="D3" s="54" t="n">
        <f aca="true">IF($A3="","",SUMPRODUCT((Dosage!$A$3:$A$5000=$A3)*(Dosage!$B$3:$B$5000=_xlfn.MAXIFS(Dosage!$B$3:$B$5000,Dosage!$A$3:$A$5000,$A3,Dosage!$B$3:$B$5000,"&lt;="&amp;NOW()))*Dosage!$F$3:$F$5000))</f>
        <v>120</v>
      </c>
      <c r="E3" s="55" t="n">
        <f aca="false">IF($A3="","",IF(COUNTIFS(Tank_Adjustments!$B$2:$B$4998,$A3)&gt;0,_xlfn.MAXIFS(Tank_Adjustments!$A$2:$A$4998,Tank_Adjustments!$B$2:$B$4998,$A3),IF(COUNTIFS(Warehouse_Log!$G$2:$G$4999,$A3,Warehouse_Log!$B$2:$B$4999,"OUT")&gt;0,_xlfn.MINIFS(Warehouse_Log!$A$2:$A$4999,Warehouse_Log!$G$2:$G$4999,$A3,Warehouse_Log!$B$2:$B$4999,"OUT"),"")))</f>
        <v>46278.3888888889</v>
      </c>
      <c r="F3" s="54" t="n">
        <f aca="false">IF(OR($A3="",$E3=""),0,IF(COUNTIFS(Tank_Adjustments!$B$2:$B$4998,$A3)&gt;0,SUMIFS(Tank_Adjustments!$D$2:$D$4998,Tank_Adjustments!$B$2:$B$4998,$A3,Tank_Adjustments!$A$2:$A$4998,$E3),0))</f>
        <v>422.8</v>
      </c>
      <c r="G3" s="54" t="n">
        <f aca="false">IF(OR($A3="",$E3=""),0,IF(COUNTIFS(Tank_Adjustments!$B$2:$B$4998,$A3)&gt;0,SUMIFS(Warehouse_Log!$F$2:$F$4999,Warehouse_Log!$G$2:$G$4999,$A3,Warehouse_Log!$B$2:$B$4999,"OUT",Warehouse_Log!$A$2:$A$4999,"&gt;"&amp;$E3),SUMIFS(Warehouse_Log!$F$2:$F$4999,Warehouse_Log!$G$2:$G$4999,$A3,Warehouse_Log!$B$2:$B$4999,"OUT",Warehouse_Log!$A$2:$A$4999,"&gt;="&amp;$E3)))</f>
        <v>800</v>
      </c>
      <c r="H3" s="54" t="n">
        <f aca="true">IF(OR($A3="",$E3=""),0,SUMPRODUCT((Dosage!$A$3:$A$5000=$A3)*(((Dosage!$H$3:$H$5000*(Dosage!$H$3:$H$5000&lt;=NOW())+NOW()*(Dosage!$H$3:$H$5000&gt;NOW()))-(Dosage!$B$3:$B$5000*(Dosage!$B$3:$B$5000&gt;=$E3)+$E3*(Dosage!$B$3:$B$5000&lt;$E3)))&gt;0)*((Dosage!$H$3:$H$5000*(Dosage!$H$3:$H$5000&lt;=NOW())+NOW()*(Dosage!$H$3:$H$5000&gt;NOW()))-(Dosage!$B$3:$B$5000*(Dosage!$B$3:$B$5000&gt;=$E3)+$E3*(Dosage!$B$3:$B$5000&lt;$E3)))*Dosage!$F$3:$F$5000))</f>
        <v>0</v>
      </c>
      <c r="I3" s="56" t="n">
        <f aca="false">IF(OR($A3="",$E3=""),"",MIN($C3,MAX(0,$F3+$G3-$H3)))</f>
        <v>1222.8</v>
      </c>
      <c r="J3" s="57" t="n">
        <f aca="false">IF(OR($I3="",$C3="",$C3=0),"",$I3/$C3)</f>
        <v>0.809801324503311</v>
      </c>
      <c r="K3" s="54" t="n">
        <f aca="false">IF(OR($I3="",$D3="",$D3=0),"",$I3/$D3)</f>
        <v>10.19</v>
      </c>
      <c r="L3" s="58" t="n">
        <f aca="true">IF($K3="","",TODAY()+$K3)</f>
        <v>46289.19</v>
      </c>
      <c r="N3" s="59" t="n">
        <f aca="false">IF($J3="","",MIN(1,$J3))</f>
        <v>0.809801324503311</v>
      </c>
      <c r="O3" s="59" t="n">
        <f aca="false">IF($J3="","",MAX(0,1-$J3))</f>
        <v>0.190198675496689</v>
      </c>
    </row>
    <row r="4" customFormat="false" ht="23.25" hidden="false" customHeight="true" outlineLevel="0" collapsed="false">
      <c r="A4" s="53" t="str">
        <f aca="false">Setup!$A$94</f>
        <v>Inlet Skid - CORROSION INHIBITOR (40-Z-09)</v>
      </c>
      <c r="B4" s="53" t="str">
        <f aca="false">IF(Setup!$A$94="","",IFERROR(INDEX(Setup!$B$47:$B$89,MATCH(Setup!$A$94,Setup!$A$47:$A$89,0)),""))</f>
        <v>Corrosion Inhibitor (KI-34154)</v>
      </c>
      <c r="C4" s="53" t="n">
        <f aca="false">IF(Setup!$A$94="","",IFERROR(INDEX(Setup!$C$47:$C$89,MATCH(Setup!$A$94,Setup!$A$47:$A$89,0)),""))</f>
        <v>750</v>
      </c>
      <c r="D4" s="54" t="n">
        <f aca="true">IF($A4="","",SUMPRODUCT((Dosage!$A$3:$A$5000=$A4)*(Dosage!$B$3:$B$5000=_xlfn.MAXIFS(Dosage!$B$3:$B$5000,Dosage!$A$3:$A$5000,$A4,Dosage!$B$3:$B$5000,"&lt;="&amp;NOW()))*Dosage!$F$3:$F$5000))</f>
        <v>0</v>
      </c>
      <c r="E4" s="55" t="n">
        <f aca="false">IF($A4="","",IF(COUNTIFS(Tank_Adjustments!$B$2:$B$4998,$A4)&gt;0,_xlfn.MAXIFS(Tank_Adjustments!$A$2:$A$4998,Tank_Adjustments!$B$2:$B$4998,$A4),IF(COUNTIFS(Warehouse_Log!$G$2:$G$4999,$A4,Warehouse_Log!$B$2:$B$4999,"OUT")&gt;0,_xlfn.MINIFS(Warehouse_Log!$A$2:$A$4999,Warehouse_Log!$G$2:$G$4999,$A4,Warehouse_Log!$B$2:$B$4999,"OUT"),"")))</f>
        <v>46278.3888888889</v>
      </c>
      <c r="F4" s="54" t="n">
        <f aca="false">IF(OR($A4="",$E4=""),0,IF(COUNTIFS(Tank_Adjustments!$B$2:$B$4998,$A4)&gt;0,SUMIFS(Tank_Adjustments!$D$2:$D$4998,Tank_Adjustments!$B$2:$B$4998,$A4,Tank_Adjustments!$A$2:$A$4998,$E4),0))</f>
        <v>0</v>
      </c>
      <c r="G4" s="54" t="n">
        <f aca="false">IF(OR($A4="",$E4=""),0,IF(COUNTIFS(Tank_Adjustments!$B$2:$B$4998,$A4)&gt;0,SUMIFS(Warehouse_Log!$F$2:$F$4999,Warehouse_Log!$G$2:$G$4999,$A4,Warehouse_Log!$B$2:$B$4999,"OUT",Warehouse_Log!$A$2:$A$4999,"&gt;"&amp;$E4),SUMIFS(Warehouse_Log!$F$2:$F$4999,Warehouse_Log!$G$2:$G$4999,$A4,Warehouse_Log!$B$2:$B$4999,"OUT",Warehouse_Log!$A$2:$A$4999,"&gt;="&amp;$E4)))</f>
        <v>0</v>
      </c>
      <c r="H4" s="54" t="n">
        <f aca="true">IF(OR($A4="",$E4=""),0,SUMPRODUCT((Dosage!$A$3:$A$5000=$A4)*(((Dosage!$H$3:$H$5000*(Dosage!$H$3:$H$5000&lt;=NOW())+NOW()*(Dosage!$H$3:$H$5000&gt;NOW()))-(Dosage!$B$3:$B$5000*(Dosage!$B$3:$B$5000&gt;=$E4)+$E4*(Dosage!$B$3:$B$5000&lt;$E4)))&gt;0)*((Dosage!$H$3:$H$5000*(Dosage!$H$3:$H$5000&lt;=NOW())+NOW()*(Dosage!$H$3:$H$5000&gt;NOW()))-(Dosage!$B$3:$B$5000*(Dosage!$B$3:$B$5000&gt;=$E4)+$E4*(Dosage!$B$3:$B$5000&lt;$E4)))*Dosage!$F$3:$F$5000))</f>
        <v>0</v>
      </c>
      <c r="I4" s="56" t="n">
        <f aca="false">IF(OR($A4="",$E4=""),"",MIN($C4,MAX(0,$F4+$G4-$H4)))</f>
        <v>0</v>
      </c>
      <c r="J4" s="57" t="n">
        <f aca="false">IF(OR($I4="",$C4="",$C4=0),"",$I4/$C4)</f>
        <v>0</v>
      </c>
      <c r="K4" s="54" t="str">
        <f aca="false">IF(OR($I4="",$D4="",$D4=0),"",$I4/$D4)</f>
        <v/>
      </c>
      <c r="L4" s="58" t="str">
        <f aca="true">IF($K4="","",TODAY()+$K4)</f>
        <v/>
      </c>
      <c r="N4" s="59" t="n">
        <f aca="false">IF($J4="","",MIN(1,$J4))</f>
        <v>0</v>
      </c>
      <c r="O4" s="59" t="n">
        <f aca="false">IF($J4="","",MAX(0,1-$J4))</f>
        <v>1</v>
      </c>
    </row>
    <row r="5" customFormat="false" ht="15" hidden="false" customHeight="true" outlineLevel="0" collapsed="false">
      <c r="A5" s="53" t="str">
        <f aca="false">Setup!$A$95</f>
        <v>Inlet Skid - SCALE INHIBITOR (40-Z-03)</v>
      </c>
      <c r="B5" s="53" t="str">
        <f aca="false">IF(Setup!$A$95="","",IFERROR(INDEX(Setup!$B$47:$B$89,MATCH(Setup!$A$95,Setup!$A$47:$A$89,0)),""))</f>
        <v>Scale Inhibitor (SI-44108)</v>
      </c>
      <c r="C5" s="53" t="n">
        <f aca="false">IF(Setup!$A$95="","",IFERROR(INDEX(Setup!$C$47:$C$89,MATCH(Setup!$A$95,Setup!$A$47:$A$89,0)),""))</f>
        <v>750</v>
      </c>
      <c r="D5" s="54" t="n">
        <f aca="true">IF($A5="","",SUMPRODUCT((Dosage!$A$3:$A$5000=$A5)*(Dosage!$B$3:$B$5000=_xlfn.MAXIFS(Dosage!$B$3:$B$5000,Dosage!$A$3:$A$5000,$A5,Dosage!$B$3:$B$5000,"&lt;="&amp;NOW()))*Dosage!$F$3:$F$5000))</f>
        <v>24</v>
      </c>
      <c r="E5" s="55" t="n">
        <f aca="false">IF($A5="","",IF(COUNTIFS(Tank_Adjustments!$B$2:$B$4998,$A5)&gt;0,_xlfn.MAXIFS(Tank_Adjustments!$A$2:$A$4998,Tank_Adjustments!$B$2:$B$4998,$A5),IF(COUNTIFS(Warehouse_Log!$G$2:$G$4999,$A5,Warehouse_Log!$B$2:$B$4999,"OUT")&gt;0,_xlfn.MINIFS(Warehouse_Log!$A$2:$A$4999,Warehouse_Log!$G$2:$G$4999,$A5,Warehouse_Log!$B$2:$B$4999,"OUT"),"")))</f>
        <v>46278.3888888889</v>
      </c>
      <c r="F5" s="54" t="n">
        <f aca="false">IF(OR($A5="",$E5=""),0,IF(COUNTIFS(Tank_Adjustments!$B$2:$B$4998,$A5)&gt;0,SUMIFS(Tank_Adjustments!$D$2:$D$4998,Tank_Adjustments!$B$2:$B$4998,$A5,Tank_Adjustments!$A$2:$A$4998,$E5),0))</f>
        <v>0</v>
      </c>
      <c r="G5" s="54" t="n">
        <f aca="false">IF(OR($A5="",$E5=""),0,IF(COUNTIFS(Tank_Adjustments!$B$2:$B$4998,$A5)&gt;0,SUMIFS(Warehouse_Log!$F$2:$F$4999,Warehouse_Log!$G$2:$G$4999,$A5,Warehouse_Log!$B$2:$B$4999,"OUT",Warehouse_Log!$A$2:$A$4999,"&gt;"&amp;$E5),SUMIFS(Warehouse_Log!$F$2:$F$4999,Warehouse_Log!$G$2:$G$4999,$A5,Warehouse_Log!$B$2:$B$4999,"OUT",Warehouse_Log!$A$2:$A$4999,"&gt;="&amp;$E5)))</f>
        <v>800</v>
      </c>
      <c r="H5" s="54" t="n">
        <f aca="true">IF(OR($A5="",$E5=""),0,SUMPRODUCT((Dosage!$A$3:$A$5000=$A5)*(((Dosage!$H$3:$H$5000*(Dosage!$H$3:$H$5000&lt;=NOW())+NOW()*(Dosage!$H$3:$H$5000&gt;NOW()))-(Dosage!$B$3:$B$5000*(Dosage!$B$3:$B$5000&gt;=$E5)+$E5*(Dosage!$B$3:$B$5000&lt;$E5)))&gt;0)*((Dosage!$H$3:$H$5000*(Dosage!$H$3:$H$5000&lt;=NOW())+NOW()*(Dosage!$H$3:$H$5000&gt;NOW()))-(Dosage!$B$3:$B$5000*(Dosage!$B$3:$B$5000&gt;=$E5)+$E5*(Dosage!$B$3:$B$5000&lt;$E5)))*Dosage!$F$3:$F$5000))</f>
        <v>28.87034255045</v>
      </c>
      <c r="I5" s="56" t="n">
        <f aca="false">IF(OR($A5="",$E5=""),"",MIN($C5,MAX(0,$F5+$G5-$H5)))</f>
        <v>750</v>
      </c>
      <c r="J5" s="57" t="n">
        <f aca="false">IF(OR($I5="",$C5="",$C5=0),"",$I5/$C5)</f>
        <v>1</v>
      </c>
      <c r="K5" s="54" t="n">
        <f aca="false">IF(OR($I5="",$D5="",$D5=0),"",$I5/$D5)</f>
        <v>31.25</v>
      </c>
      <c r="L5" s="58" t="n">
        <f aca="true">IF($K5="","",TODAY()+$K5)</f>
        <v>46310.25</v>
      </c>
      <c r="N5" s="59" t="n">
        <f aca="false">IF($J5="","",MIN(1,$J5))</f>
        <v>1</v>
      </c>
      <c r="O5" s="59" t="n">
        <f aca="false">IF($J5="","",MAX(0,1-$J5))</f>
        <v>0</v>
      </c>
    </row>
    <row r="6" customFormat="false" ht="15" hidden="false" customHeight="true" outlineLevel="0" collapsed="false">
      <c r="A6" s="53" t="str">
        <f aca="false">Setup!$A$96</f>
        <v>Inlet Skid - ANTIFOAM (40-Z-04)</v>
      </c>
      <c r="B6" s="53" t="str">
        <f aca="false">IF(Setup!$A$96="","",IFERROR(INDEX(Setup!$B$47:$B$89,MATCH(Setup!$A$96,Setup!$A$47:$A$89,0)),""))</f>
        <v>Anti-Foam (DF-9000)</v>
      </c>
      <c r="C6" s="53" t="n">
        <f aca="false">IF(Setup!$A$96="","",IFERROR(INDEX(Setup!$C$47:$C$89,MATCH(Setup!$A$96,Setup!$A$47:$A$89,0)),""))</f>
        <v>750</v>
      </c>
      <c r="D6" s="54" t="n">
        <f aca="true">IF($A6="","",SUMPRODUCT((Dosage!$A$3:$A$5000=$A6)*(Dosage!$B$3:$B$5000=_xlfn.MAXIFS(Dosage!$B$3:$B$5000,Dosage!$A$3:$A$5000,$A6,Dosage!$B$3:$B$5000,"&lt;="&amp;NOW()))*Dosage!$F$3:$F$5000))</f>
        <v>0</v>
      </c>
      <c r="E6" s="55" t="n">
        <f aca="false">IF($A6="","",IF(COUNTIFS(Tank_Adjustments!$B$2:$B$4998,$A6)&gt;0,_xlfn.MAXIFS(Tank_Adjustments!$A$2:$A$4998,Tank_Adjustments!$B$2:$B$4998,$A6),IF(COUNTIFS(Warehouse_Log!$G$2:$G$4999,$A6,Warehouse_Log!$B$2:$B$4999,"OUT")&gt;0,_xlfn.MINIFS(Warehouse_Log!$A$2:$A$4999,Warehouse_Log!$G$2:$G$4999,$A6,Warehouse_Log!$B$2:$B$4999,"OUT"),"")))</f>
        <v>46278.3888888889</v>
      </c>
      <c r="F6" s="54" t="n">
        <f aca="false">IF(OR($A6="",$E6=""),0,IF(COUNTIFS(Tank_Adjustments!$B$2:$B$4998,$A6)&gt;0,SUMIFS(Tank_Adjustments!$D$2:$D$4998,Tank_Adjustments!$B$2:$B$4998,$A6,Tank_Adjustments!$A$2:$A$4998,$E6),0))</f>
        <v>150</v>
      </c>
      <c r="G6" s="54" t="n">
        <f aca="false">IF(OR($A6="",$E6=""),0,IF(COUNTIFS(Tank_Adjustments!$B$2:$B$4998,$A6)&gt;0,SUMIFS(Warehouse_Log!$F$2:$F$4999,Warehouse_Log!$G$2:$G$4999,$A6,Warehouse_Log!$B$2:$B$4999,"OUT",Warehouse_Log!$A$2:$A$4999,"&gt;"&amp;$E6),SUMIFS(Warehouse_Log!$F$2:$F$4999,Warehouse_Log!$G$2:$G$4999,$A6,Warehouse_Log!$B$2:$B$4999,"OUT",Warehouse_Log!$A$2:$A$4999,"&gt;="&amp;$E6)))</f>
        <v>0</v>
      </c>
      <c r="H6" s="54" t="n">
        <f aca="true">IF(OR($A6="",$E6=""),0,SUMPRODUCT((Dosage!$A$3:$A$5000=$A6)*(((Dosage!$H$3:$H$5000*(Dosage!$H$3:$H$5000&lt;=NOW())+NOW()*(Dosage!$H$3:$H$5000&gt;NOW()))-(Dosage!$B$3:$B$5000*(Dosage!$B$3:$B$5000&gt;=$E6)+$E6*(Dosage!$B$3:$B$5000&lt;$E6)))&gt;0)*((Dosage!$H$3:$H$5000*(Dosage!$H$3:$H$5000&lt;=NOW())+NOW()*(Dosage!$H$3:$H$5000&gt;NOW()))-(Dosage!$B$3:$B$5000*(Dosage!$B$3:$B$5000&gt;=$E6)+$E6*(Dosage!$B$3:$B$5000&lt;$E6)))*Dosage!$F$3:$F$5000))</f>
        <v>0</v>
      </c>
      <c r="I6" s="56" t="n">
        <f aca="false">IF(OR($A6="",$E6=""),"",MIN($C6,MAX(0,$F6+$G6-$H6)))</f>
        <v>150</v>
      </c>
      <c r="J6" s="57" t="n">
        <f aca="false">IF(OR($I6="",$C6="",$C6=0),"",$I6/$C6)</f>
        <v>0.2</v>
      </c>
      <c r="K6" s="54" t="str">
        <f aca="false">IF(OR($I6="",$D6="",$D6=0),"",$I6/$D6)</f>
        <v/>
      </c>
      <c r="L6" s="58" t="str">
        <f aca="true">IF($K6="","",TODAY()+$K6)</f>
        <v/>
      </c>
      <c r="N6" s="59" t="n">
        <f aca="false">IF($J6="","",MIN(1,$J6))</f>
        <v>0.2</v>
      </c>
      <c r="O6" s="59" t="n">
        <f aca="false">IF($J6="","",MAX(0,1-$J6))</f>
        <v>0.8</v>
      </c>
    </row>
    <row r="7" customFormat="false" ht="23.25" hidden="false" customHeight="true" outlineLevel="0" collapsed="false">
      <c r="A7" s="53" t="str">
        <f aca="false">Setup!$A$97</f>
        <v>Water Treatment Skid - CORROSION INHIBITOR (40-Z-08)</v>
      </c>
      <c r="B7" s="53" t="str">
        <f aca="false">IF(Setup!$A$97="","",IFERROR(INDEX(Setup!$B$47:$B$89,MATCH(Setup!$A$97,Setup!$A$47:$A$89,0)),""))</f>
        <v>Corrosion Inhibitor (KI-34154)</v>
      </c>
      <c r="C7" s="53" t="n">
        <f aca="false">IF(Setup!$A$97="","",IFERROR(INDEX(Setup!$C$47:$C$89,MATCH(Setup!$A$97,Setup!$A$47:$A$89,0)),""))</f>
        <v>750</v>
      </c>
      <c r="D7" s="54" t="n">
        <f aca="true">IF($A7="","",SUMPRODUCT((Dosage!$A$3:$A$5000=$A7)*(Dosage!$B$3:$B$5000=_xlfn.MAXIFS(Dosage!$B$3:$B$5000,Dosage!$A$3:$A$5000,$A7,Dosage!$B$3:$B$5000,"&lt;="&amp;NOW()))*Dosage!$F$3:$F$5000))</f>
        <v>8.4</v>
      </c>
      <c r="E7" s="55" t="n">
        <f aca="false">IF($A7="","",IF(COUNTIFS(Tank_Adjustments!$B$2:$B$4998,$A7)&gt;0,_xlfn.MAXIFS(Tank_Adjustments!$A$2:$A$4998,Tank_Adjustments!$B$2:$B$4998,$A7),IF(COUNTIFS(Warehouse_Log!$G$2:$G$4999,$A7,Warehouse_Log!$B$2:$B$4999,"OUT")&gt;0,_xlfn.MINIFS(Warehouse_Log!$A$2:$A$4999,Warehouse_Log!$G$2:$G$4999,$A7,Warehouse_Log!$B$2:$B$4999,"OUT"),"")))</f>
        <v>46278.3888888889</v>
      </c>
      <c r="F7" s="54" t="n">
        <f aca="false">IF(OR($A7="",$E7=""),0,IF(COUNTIFS(Tank_Adjustments!$B$2:$B$4998,$A7)&gt;0,SUMIFS(Tank_Adjustments!$D$2:$D$4998,Tank_Adjustments!$B$2:$B$4998,$A7,Tank_Adjustments!$A$2:$A$4998,$E7),0))</f>
        <v>315</v>
      </c>
      <c r="G7" s="54" t="n">
        <f aca="false">IF(OR($A7="",$E7=""),0,IF(COUNTIFS(Tank_Adjustments!$B$2:$B$4998,$A7)&gt;0,SUMIFS(Warehouse_Log!$F$2:$F$4999,Warehouse_Log!$G$2:$G$4999,$A7,Warehouse_Log!$B$2:$B$4999,"OUT",Warehouse_Log!$A$2:$A$4999,"&gt;"&amp;$E7),SUMIFS(Warehouse_Log!$F$2:$F$4999,Warehouse_Log!$G$2:$G$4999,$A7,Warehouse_Log!$B$2:$B$4999,"OUT",Warehouse_Log!$A$2:$A$4999,"&gt;="&amp;$E7)))</f>
        <v>0</v>
      </c>
      <c r="H7" s="54" t="n">
        <f aca="true">IF(OR($A7="",$E7=""),0,SUMPRODUCT((Dosage!$A$3:$A$5000=$A7)*(((Dosage!$H$3:$H$5000*(Dosage!$H$3:$H$5000&lt;=NOW())+NOW()*(Dosage!$H$3:$H$5000&gt;NOW()))-(Dosage!$B$3:$B$5000*(Dosage!$B$3:$B$5000&gt;=$E7)+$E7*(Dosage!$B$3:$B$5000&lt;$E7)))&gt;0)*((Dosage!$H$3:$H$5000*(Dosage!$H$3:$H$5000&lt;=NOW())+NOW()*(Dosage!$H$3:$H$5000&gt;NOW()))-(Dosage!$B$3:$B$5000*(Dosage!$B$3:$B$5000&gt;=$E7)+$E7*(Dosage!$B$3:$B$5000&lt;$E7)))*Dosage!$F$3:$F$5000))</f>
        <v>10.1046198942466</v>
      </c>
      <c r="I7" s="56" t="n">
        <f aca="false">IF(OR($A7="",$E7=""),"",MIN($C7,MAX(0,$F7+$G7-$H7)))</f>
        <v>304.895380105753</v>
      </c>
      <c r="J7" s="57" t="n">
        <f aca="false">IF(OR($I7="",$C7="",$C7=0),"",$I7/$C7)</f>
        <v>0.406527173474338</v>
      </c>
      <c r="K7" s="54" t="n">
        <f aca="false">IF(OR($I7="",$D7="",$D7=0),"",$I7/$D7)</f>
        <v>36.2970690602088</v>
      </c>
      <c r="L7" s="58" t="n">
        <f aca="true">IF($K7="","",TODAY()+$K7)</f>
        <v>46315.2970690602</v>
      </c>
      <c r="N7" s="59" t="n">
        <f aca="false">IF($J7="","",MIN(1,$J7))</f>
        <v>0.406527173474338</v>
      </c>
      <c r="O7" s="59" t="n">
        <f aca="false">IF($J7="","",MAX(0,1-$J7))</f>
        <v>0.593472826525662</v>
      </c>
    </row>
    <row r="8" customFormat="false" ht="23.25" hidden="false" customHeight="true" outlineLevel="0" collapsed="false">
      <c r="A8" s="53" t="str">
        <f aca="false">Setup!$A$98</f>
        <v>Water Treatment Skid - FLOCCULANT (40-Z-06)</v>
      </c>
      <c r="B8" s="53" t="str">
        <f aca="false">IF(Setup!$A$98="","",IFERROR(INDEX(Setup!$B$47:$B$89,MATCH(Setup!$A$98,Setup!$A$47:$A$89,0)),""))</f>
        <v>Flocculant</v>
      </c>
      <c r="C8" s="53" t="n">
        <f aca="false">IF(Setup!$A$98="","",IFERROR(INDEX(Setup!$C$47:$C$89,MATCH(Setup!$A$98,Setup!$A$47:$A$89,0)),""))</f>
        <v>750</v>
      </c>
      <c r="D8" s="54" t="n">
        <f aca="true">IF($A8="","",SUMPRODUCT((Dosage!$A$3:$A$5000=$A8)*(Dosage!$B$3:$B$5000=_xlfn.MAXIFS(Dosage!$B$3:$B$5000,Dosage!$A$3:$A$5000,$A8,Dosage!$B$3:$B$5000,"&lt;="&amp;NOW()))*Dosage!$F$3:$F$5000))</f>
        <v>6</v>
      </c>
      <c r="E8" s="55" t="n">
        <f aca="false">IF($A8="","",IF(COUNTIFS(Tank_Adjustments!$B$2:$B$4998,$A8)&gt;0,_xlfn.MAXIFS(Tank_Adjustments!$A$2:$A$4998,Tank_Adjustments!$B$2:$B$4998,$A8),IF(COUNTIFS(Warehouse_Log!$G$2:$G$4999,$A8,Warehouse_Log!$B$2:$B$4999,"OUT")&gt;0,_xlfn.MINIFS(Warehouse_Log!$A$2:$A$4999,Warehouse_Log!$G$2:$G$4999,$A8,Warehouse_Log!$B$2:$B$4999,"OUT"),"")))</f>
        <v>46278.3888888889</v>
      </c>
      <c r="F8" s="54" t="n">
        <f aca="false">IF(OR($A8="",$E8=""),0,IF(COUNTIFS(Tank_Adjustments!$B$2:$B$4998,$A8)&gt;0,SUMIFS(Tank_Adjustments!$D$2:$D$4998,Tank_Adjustments!$B$2:$B$4998,$A8,Tank_Adjustments!$A$2:$A$4998,$E8),0))</f>
        <v>45</v>
      </c>
      <c r="G8" s="54" t="n">
        <f aca="false">IF(OR($A8="",$E8=""),0,IF(COUNTIFS(Tank_Adjustments!$B$2:$B$4998,$A8)&gt;0,SUMIFS(Warehouse_Log!$F$2:$F$4999,Warehouse_Log!$G$2:$G$4999,$A8,Warehouse_Log!$B$2:$B$4999,"OUT",Warehouse_Log!$A$2:$A$4999,"&gt;"&amp;$E8),SUMIFS(Warehouse_Log!$F$2:$F$4999,Warehouse_Log!$G$2:$G$4999,$A8,Warehouse_Log!$B$2:$B$4999,"OUT",Warehouse_Log!$A$2:$A$4999,"&gt;="&amp;$E8)))</f>
        <v>0</v>
      </c>
      <c r="H8" s="54" t="n">
        <f aca="true">IF(OR($A8="",$E8=""),0,SUMPRODUCT((Dosage!$A$3:$A$5000=$A8)*(((Dosage!$H$3:$H$5000*(Dosage!$H$3:$H$5000&lt;=NOW())+NOW()*(Dosage!$H$3:$H$5000&gt;NOW()))-(Dosage!$B$3:$B$5000*(Dosage!$B$3:$B$5000&gt;=$E8)+$E8*(Dosage!$B$3:$B$5000&lt;$E8)))&gt;0)*((Dosage!$H$3:$H$5000*(Dosage!$H$3:$H$5000&lt;=NOW())+NOW()*(Dosage!$H$3:$H$5000&gt;NOW()))-(Dosage!$B$3:$B$5000*(Dosage!$B$3:$B$5000&gt;=$E8)+$E8*(Dosage!$B$3:$B$5000&lt;$E8)))*Dosage!$F$3:$F$5000))</f>
        <v>7.21758563931508</v>
      </c>
      <c r="I8" s="56" t="n">
        <f aca="false">IF(OR($A8="",$E8=""),"",MIN($C8,MAX(0,$F8+$G8-$H8)))</f>
        <v>37.7824143606849</v>
      </c>
      <c r="J8" s="57" t="n">
        <f aca="false">IF(OR($I8="",$C8="",$C8=0),"",$I8/$C8)</f>
        <v>0.0503765524809132</v>
      </c>
      <c r="K8" s="54" t="n">
        <f aca="false">IF(OR($I8="",$D8="",$D8=0),"",$I8/$D8)</f>
        <v>6.29706906011415</v>
      </c>
      <c r="L8" s="58" t="n">
        <f aca="true">IF($K8="","",TODAY()+$K8)</f>
        <v>46285.2970690601</v>
      </c>
      <c r="N8" s="59" t="n">
        <f aca="false">IF($J8="","",MIN(1,$J8))</f>
        <v>0.0503765524809132</v>
      </c>
      <c r="O8" s="59" t="n">
        <f aca="false">IF($J8="","",MAX(0,1-$J8))</f>
        <v>0.949623447519087</v>
      </c>
    </row>
    <row r="9" customFormat="false" ht="15" hidden="false" customHeight="true" outlineLevel="0" collapsed="false">
      <c r="A9" s="53" t="str">
        <f aca="false">Setup!$A$99</f>
        <v/>
      </c>
      <c r="B9" s="53" t="str">
        <f aca="false">IF(Setup!$A$99="","",IFERROR(INDEX(Setup!$B$47:$B$89,MATCH(Setup!$A$99,Setup!$A$47:$A$89,0)),""))</f>
        <v/>
      </c>
      <c r="C9" s="53" t="str">
        <f aca="false">IF(Setup!$A$99="","",IFERROR(INDEX(Setup!$C$47:$C$89,MATCH(Setup!$A$99,Setup!$A$47:$A$89,0)),""))</f>
        <v/>
      </c>
      <c r="D9" s="54" t="str">
        <f aca="true">IF($A9="","",SUMPRODUCT((Dosage!$A$3:$A$5000=$A9)*(Dosage!$B$3:$B$5000=_xlfn.MAXIFS(Dosage!$B$3:$B$5000,Dosage!$A$3:$A$5000,$A9,Dosage!$B$3:$B$5000,"&lt;="&amp;NOW()))*Dosage!$F$3:$F$5000))</f>
        <v/>
      </c>
      <c r="E9" s="55" t="str">
        <f aca="false">IF($A9="","",IF(COUNTIFS(Tank_Adjustments!$B$2:$B$4998,$A9)&gt;0,_xlfn.MAXIFS(Tank_Adjustments!$A$2:$A$4998,Tank_Adjustments!$B$2:$B$4998,$A9),IF(COUNTIFS(Warehouse_Log!$G$2:$G$4999,$A9,Warehouse_Log!$B$2:$B$4999,"OUT")&gt;0,_xlfn.MINIFS(Warehouse_Log!$A$2:$A$4999,Warehouse_Log!$G$2:$G$4999,$A9,Warehouse_Log!$B$2:$B$4999,"OUT"),"")))</f>
        <v/>
      </c>
      <c r="F9" s="54" t="n">
        <f aca="false">IF(OR($A9="",$E9=""),0,IF(COUNTIFS(Tank_Adjustments!$B$2:$B$4998,$A9)&gt;0,SUMIFS(Tank_Adjustments!$D$2:$D$4998,Tank_Adjustments!$B$2:$B$4998,$A9,Tank_Adjustments!$A$2:$A$4998,$E9),0))</f>
        <v>0</v>
      </c>
      <c r="G9" s="54" t="n">
        <f aca="false">IF(OR($A9="",$E9=""),0,IF(COUNTIFS(Tank_Adjustments!$B$2:$B$4998,$A9)&gt;0,SUMIFS(Warehouse_Log!$F$2:$F$4999,Warehouse_Log!$G$2:$G$4999,$A9,Warehouse_Log!$B$2:$B$4999,"OUT",Warehouse_Log!$A$2:$A$4999,"&gt;"&amp;$E9),SUMIFS(Warehouse_Log!$F$2:$F$4999,Warehouse_Log!$G$2:$G$4999,$A9,Warehouse_Log!$B$2:$B$4999,"OUT",Warehouse_Log!$A$2:$A$4999,"&gt;="&amp;$E9)))</f>
        <v>0</v>
      </c>
      <c r="H9" s="54" t="n">
        <f aca="true">IF(OR($A9="",$E9=""),0,SUMPRODUCT((Dosage!$A$3:$A$5000=$A9)*(((Dosage!$H$3:$H$5000*(Dosage!$H$3:$H$5000&lt;=NOW())+NOW()*(Dosage!$H$3:$H$5000&gt;NOW()))-(Dosage!$B$3:$B$5000*(Dosage!$B$3:$B$5000&gt;=$E9)+$E9*(Dosage!$B$3:$B$5000&lt;$E9)))&gt;0)*((Dosage!$H$3:$H$5000*(Dosage!$H$3:$H$5000&lt;=NOW())+NOW()*(Dosage!$H$3:$H$5000&gt;NOW()))-(Dosage!$B$3:$B$5000*(Dosage!$B$3:$B$5000&gt;=$E9)+$E9*(Dosage!$B$3:$B$5000&lt;$E9)))*Dosage!$F$3:$F$5000))</f>
        <v>0</v>
      </c>
      <c r="I9" s="56" t="str">
        <f aca="false">IF(OR($A9="",$E9=""),"",MIN($C9,MAX(0,$F9+$G9-$H9)))</f>
        <v/>
      </c>
      <c r="J9" s="57" t="str">
        <f aca="false">IF(OR($I9="",$C9="",$C9=0),"",$I9/$C9)</f>
        <v/>
      </c>
      <c r="K9" s="54" t="str">
        <f aca="false">IF(OR($I9="",$D9="",$D9=0),"",$I9/$D9)</f>
        <v/>
      </c>
      <c r="L9" s="58" t="str">
        <f aca="true">IF($K9="","",TODAY()+$K9)</f>
        <v/>
      </c>
      <c r="N9" s="59" t="str">
        <f aca="false">IF($J9="","",MIN(1,$J9))</f>
        <v/>
      </c>
      <c r="O9" s="59" t="str">
        <f aca="false">IF($J9="","",MAX(0,1-$J9))</f>
        <v/>
      </c>
    </row>
    <row r="10" customFormat="false" ht="15" hidden="false" customHeight="true" outlineLevel="0" collapsed="false">
      <c r="A10" s="53" t="str">
        <f aca="false">Setup!$A$100</f>
        <v/>
      </c>
      <c r="B10" s="53" t="str">
        <f aca="false">IF(Setup!$A$100="","",IFERROR(INDEX(Setup!$B$47:$B$89,MATCH(Setup!$A$100,Setup!$A$47:$A$89,0)),""))</f>
        <v/>
      </c>
      <c r="C10" s="53" t="str">
        <f aca="false">IF(Setup!$A$100="","",IFERROR(INDEX(Setup!$C$47:$C$89,MATCH(Setup!$A$100,Setup!$A$47:$A$89,0)),""))</f>
        <v/>
      </c>
      <c r="D10" s="54" t="str">
        <f aca="true">IF($A10="","",SUMPRODUCT((Dosage!$A$3:$A$5000=$A10)*(Dosage!$B$3:$B$5000=_xlfn.MAXIFS(Dosage!$B$3:$B$5000,Dosage!$A$3:$A$5000,$A10,Dosage!$B$3:$B$5000,"&lt;="&amp;NOW()))*Dosage!$F$3:$F$5000))</f>
        <v/>
      </c>
      <c r="E10" s="55" t="str">
        <f aca="false">IF($A10="","",IF(COUNTIFS(Tank_Adjustments!$B$2:$B$4998,$A10)&gt;0,_xlfn.MAXIFS(Tank_Adjustments!$A$2:$A$4998,Tank_Adjustments!$B$2:$B$4998,$A10),IF(COUNTIFS(Warehouse_Log!$G$2:$G$4999,$A10,Warehouse_Log!$B$2:$B$4999,"OUT")&gt;0,_xlfn.MINIFS(Warehouse_Log!$A$2:$A$4999,Warehouse_Log!$G$2:$G$4999,$A10,Warehouse_Log!$B$2:$B$4999,"OUT"),"")))</f>
        <v/>
      </c>
      <c r="F10" s="54" t="n">
        <f aca="false">IF(OR($A10="",$E10=""),0,IF(COUNTIFS(Tank_Adjustments!$B$2:$B$4998,$A10)&gt;0,SUMIFS(Tank_Adjustments!$D$2:$D$4998,Tank_Adjustments!$B$2:$B$4998,$A10,Tank_Adjustments!$A$2:$A$4998,$E10),0))</f>
        <v>0</v>
      </c>
      <c r="G10" s="54" t="n">
        <f aca="false">IF(OR($A10="",$E10=""),0,IF(COUNTIFS(Tank_Adjustments!$B$2:$B$4998,$A10)&gt;0,SUMIFS(Warehouse_Log!$F$2:$F$4999,Warehouse_Log!$G$2:$G$4999,$A10,Warehouse_Log!$B$2:$B$4999,"OUT",Warehouse_Log!$A$2:$A$4999,"&gt;"&amp;$E10),SUMIFS(Warehouse_Log!$F$2:$F$4999,Warehouse_Log!$G$2:$G$4999,$A10,Warehouse_Log!$B$2:$B$4999,"OUT",Warehouse_Log!$A$2:$A$4999,"&gt;="&amp;$E10)))</f>
        <v>0</v>
      </c>
      <c r="H10" s="54" t="n">
        <f aca="true">IF(OR($A10="",$E10=""),0,SUMPRODUCT((Dosage!$A$3:$A$5000=$A10)*(((Dosage!$H$3:$H$5000*(Dosage!$H$3:$H$5000&lt;=NOW())+NOW()*(Dosage!$H$3:$H$5000&gt;NOW()))-(Dosage!$B$3:$B$5000*(Dosage!$B$3:$B$5000&gt;=$E10)+$E10*(Dosage!$B$3:$B$5000&lt;$E10)))&gt;0)*((Dosage!$H$3:$H$5000*(Dosage!$H$3:$H$5000&lt;=NOW())+NOW()*(Dosage!$H$3:$H$5000&gt;NOW()))-(Dosage!$B$3:$B$5000*(Dosage!$B$3:$B$5000&gt;=$E10)+$E10*(Dosage!$B$3:$B$5000&lt;$E10)))*Dosage!$F$3:$F$5000))</f>
        <v>0</v>
      </c>
      <c r="I10" s="56" t="str">
        <f aca="false">IF(OR($A10="",$E10=""),"",MIN($C10,MAX(0,$F10+$G10-$H10)))</f>
        <v/>
      </c>
      <c r="J10" s="57" t="str">
        <f aca="false">IF(OR($I10="",$C10="",$C10=0),"",$I10/$C10)</f>
        <v/>
      </c>
      <c r="K10" s="54" t="str">
        <f aca="false">IF(OR($I10="",$D10="",$D10=0),"",$I10/$D10)</f>
        <v/>
      </c>
      <c r="L10" s="58" t="str">
        <f aca="true">IF($K10="","",TODAY()+$K10)</f>
        <v/>
      </c>
      <c r="N10" s="59" t="str">
        <f aca="false">IF($J10="","",MIN(1,$J10))</f>
        <v/>
      </c>
      <c r="O10" s="59" t="str">
        <f aca="false">IF($J10="","",MAX(0,1-$J10))</f>
        <v/>
      </c>
    </row>
    <row r="11" customFormat="false" ht="15" hidden="false" customHeight="true" outlineLevel="0" collapsed="false">
      <c r="A11" s="53" t="str">
        <f aca="false">Setup!$A$101</f>
        <v/>
      </c>
      <c r="B11" s="53" t="str">
        <f aca="false">IF(Setup!$A$101="","",IFERROR(INDEX(Setup!$B$47:$B$89,MATCH(Setup!$A$101,Setup!$A$47:$A$89,0)),""))</f>
        <v/>
      </c>
      <c r="C11" s="53" t="str">
        <f aca="false">IF(Setup!$A$101="","",IFERROR(INDEX(Setup!$C$47:$C$89,MATCH(Setup!$A$101,Setup!$A$47:$A$89,0)),""))</f>
        <v/>
      </c>
      <c r="D11" s="54" t="str">
        <f aca="true">IF($A11="","",SUMPRODUCT((Dosage!$A$3:$A$5000=$A11)*(Dosage!$B$3:$B$5000=_xlfn.MAXIFS(Dosage!$B$3:$B$5000,Dosage!$A$3:$A$5000,$A11,Dosage!$B$3:$B$5000,"&lt;="&amp;NOW()))*Dosage!$F$3:$F$5000))</f>
        <v/>
      </c>
      <c r="E11" s="55" t="str">
        <f aca="false">IF($A11="","",IF(COUNTIFS(Tank_Adjustments!$B$2:$B$4998,$A11)&gt;0,_xlfn.MAXIFS(Tank_Adjustments!$A$2:$A$4998,Tank_Adjustments!$B$2:$B$4998,$A11),IF(COUNTIFS(Warehouse_Log!$G$2:$G$4999,$A11,Warehouse_Log!$B$2:$B$4999,"OUT")&gt;0,_xlfn.MINIFS(Warehouse_Log!$A$2:$A$4999,Warehouse_Log!$G$2:$G$4999,$A11,Warehouse_Log!$B$2:$B$4999,"OUT"),"")))</f>
        <v/>
      </c>
      <c r="F11" s="54" t="n">
        <f aca="false">IF(OR($A11="",$E11=""),0,IF(COUNTIFS(Tank_Adjustments!$B$2:$B$4998,$A11)&gt;0,SUMIFS(Tank_Adjustments!$D$2:$D$4998,Tank_Adjustments!$B$2:$B$4998,$A11,Tank_Adjustments!$A$2:$A$4998,$E11),0))</f>
        <v>0</v>
      </c>
      <c r="G11" s="54" t="n">
        <f aca="false">IF(OR($A11="",$E11=""),0,IF(COUNTIFS(Tank_Adjustments!$B$2:$B$4998,$A11)&gt;0,SUMIFS(Warehouse_Log!$F$2:$F$4999,Warehouse_Log!$G$2:$G$4999,$A11,Warehouse_Log!$B$2:$B$4999,"OUT",Warehouse_Log!$A$2:$A$4999,"&gt;"&amp;$E11),SUMIFS(Warehouse_Log!$F$2:$F$4999,Warehouse_Log!$G$2:$G$4999,$A11,Warehouse_Log!$B$2:$B$4999,"OUT",Warehouse_Log!$A$2:$A$4999,"&gt;="&amp;$E11)))</f>
        <v>0</v>
      </c>
      <c r="H11" s="54" t="n">
        <f aca="true">IF(OR($A11="",$E11=""),0,SUMPRODUCT((Dosage!$A$3:$A$5000=$A11)*(((Dosage!$H$3:$H$5000*(Dosage!$H$3:$H$5000&lt;=NOW())+NOW()*(Dosage!$H$3:$H$5000&gt;NOW()))-(Dosage!$B$3:$B$5000*(Dosage!$B$3:$B$5000&gt;=$E11)+$E11*(Dosage!$B$3:$B$5000&lt;$E11)))&gt;0)*((Dosage!$H$3:$H$5000*(Dosage!$H$3:$H$5000&lt;=NOW())+NOW()*(Dosage!$H$3:$H$5000&gt;NOW()))-(Dosage!$B$3:$B$5000*(Dosage!$B$3:$B$5000&gt;=$E11)+$E11*(Dosage!$B$3:$B$5000&lt;$E11)))*Dosage!$F$3:$F$5000))</f>
        <v>0</v>
      </c>
      <c r="I11" s="56" t="str">
        <f aca="false">IF(OR($A11="",$E11=""),"",MIN($C11,MAX(0,$F11+$G11-$H11)))</f>
        <v/>
      </c>
      <c r="J11" s="57" t="str">
        <f aca="false">IF(OR($I11="",$C11="",$C11=0),"",$I11/$C11)</f>
        <v/>
      </c>
      <c r="K11" s="54" t="str">
        <f aca="false">IF(OR($I11="",$D11="",$D11=0),"",$I11/$D11)</f>
        <v/>
      </c>
      <c r="L11" s="58" t="str">
        <f aca="true">IF($K11="","",TODAY()+$K11)</f>
        <v/>
      </c>
      <c r="N11" s="59" t="str">
        <f aca="false">IF($J11="","",MIN(1,$J11))</f>
        <v/>
      </c>
      <c r="O11" s="59" t="str">
        <f aca="false">IF($J11="","",MAX(0,1-$J11))</f>
        <v/>
      </c>
    </row>
    <row r="12" customFormat="false" ht="15" hidden="false" customHeight="true" outlineLevel="0" collapsed="false">
      <c r="A12" s="53" t="str">
        <f aca="false">Setup!$A$102</f>
        <v>A-07 Corrosion Inhibitor Skid</v>
      </c>
      <c r="B12" s="53" t="str">
        <f aca="false">IF(Setup!$A$102="","",IFERROR(INDEX(Setup!$B$47:$B$89,MATCH(Setup!$A$102,Setup!$A$47:$A$89,0)),""))</f>
        <v>Corrosion Inhibitor (KI-34154)</v>
      </c>
      <c r="C12" s="53" t="n">
        <f aca="false">IF(Setup!$A$102="","",IFERROR(INDEX(Setup!$C$47:$C$89,MATCH(Setup!$A$102,Setup!$A$47:$A$89,0)),""))</f>
        <v>750</v>
      </c>
      <c r="D12" s="54" t="n">
        <f aca="true">IF($A12="","",SUMPRODUCT((Dosage!$A$3:$A$5000=$A12)*(Dosage!$B$3:$B$5000=_xlfn.MAXIFS(Dosage!$B$3:$B$5000,Dosage!$A$3:$A$5000,$A12,Dosage!$B$3:$B$5000,"&lt;="&amp;NOW()))*Dosage!$F$3:$F$5000))</f>
        <v>10.08</v>
      </c>
      <c r="E12" s="55" t="n">
        <f aca="false">IF($A12="","",IF(COUNTIFS(Tank_Adjustments!$B$2:$B$4998,$A12)&gt;0,_xlfn.MAXIFS(Tank_Adjustments!$A$2:$A$4998,Tank_Adjustments!$B$2:$B$4998,$A12),IF(COUNTIFS(Warehouse_Log!$G$2:$G$4999,$A12,Warehouse_Log!$B$2:$B$4999,"OUT")&gt;0,_xlfn.MINIFS(Warehouse_Log!$A$2:$A$4999,Warehouse_Log!$G$2:$G$4999,$A12,Warehouse_Log!$B$2:$B$4999,"OUT"),"")))</f>
        <v>46275.6875</v>
      </c>
      <c r="F12" s="54" t="n">
        <f aca="false">IF(OR($A12="",$E12=""),0,IF(COUNTIFS(Tank_Adjustments!$B$2:$B$4998,$A12)&gt;0,SUMIFS(Tank_Adjustments!$D$2:$D$4998,Tank_Adjustments!$B$2:$B$4998,$A12,Tank_Adjustments!$A$2:$A$4998,$E12),0))</f>
        <v>472.5</v>
      </c>
      <c r="G12" s="54" t="n">
        <f aca="false">IF(OR($A12="",$E12=""),0,IF(COUNTIFS(Tank_Adjustments!$B$2:$B$4998,$A12)&gt;0,SUMIFS(Warehouse_Log!$F$2:$F$4999,Warehouse_Log!$G$2:$G$4999,$A12,Warehouse_Log!$B$2:$B$4999,"OUT",Warehouse_Log!$A$2:$A$4999,"&gt;"&amp;$E12),SUMIFS(Warehouse_Log!$F$2:$F$4999,Warehouse_Log!$G$2:$G$4999,$A12,Warehouse_Log!$B$2:$B$4999,"OUT",Warehouse_Log!$A$2:$A$4999,"&gt;="&amp;$E12)))</f>
        <v>0</v>
      </c>
      <c r="H12" s="54" t="n">
        <f aca="true">IF(OR($A12="",$E12=""),0,SUMPRODUCT((Dosage!$A$3:$A$5000=$A12)*(((Dosage!$H$3:$H$5000*(Dosage!$H$3:$H$5000&lt;=NOW())+NOW()*(Dosage!$H$3:$H$5000&gt;NOW()))-(Dosage!$B$3:$B$5000*(Dosage!$B$3:$B$5000&gt;=$E12)+$E12*(Dosage!$B$3:$B$5000&lt;$E12)))&gt;0)*((Dosage!$H$3:$H$5000*(Dosage!$H$3:$H$5000&lt;=NOW())+NOW()*(Dosage!$H$3:$H$5000&gt;NOW()))-(Dosage!$B$3:$B$5000*(Dosage!$B$3:$B$5000&gt;=$E12)+$E12*(Dosage!$B$3:$B$5000&lt;$E12)))*Dosage!$F$3:$F$5000))</f>
        <v>39.2155438750028</v>
      </c>
      <c r="I12" s="56" t="n">
        <f aca="false">IF(OR($A12="",$E12=""),"",MIN($C12,MAX(0,$F12+$G12-$H12)))</f>
        <v>433.284456124997</v>
      </c>
      <c r="J12" s="57" t="n">
        <f aca="false">IF(OR($I12="",$C12="",$C12=0),"",$I12/$C12)</f>
        <v>0.577712608166663</v>
      </c>
      <c r="K12" s="54" t="n">
        <f aca="false">IF(OR($I12="",$D12="",$D12=0),"",$I12/$D12)</f>
        <v>42.9845690600196</v>
      </c>
      <c r="L12" s="58" t="n">
        <f aca="true">IF($K12="","",TODAY()+$K12)</f>
        <v>46321.98456906</v>
      </c>
      <c r="N12" s="59" t="n">
        <f aca="false">IF($J12="","",MIN(1,$J12))</f>
        <v>0.577712608166663</v>
      </c>
      <c r="O12" s="59" t="n">
        <f aca="false">IF($J12="","",MAX(0,1-$J12))</f>
        <v>0.422287391833337</v>
      </c>
    </row>
    <row r="13" customFormat="false" ht="15" hidden="false" customHeight="true" outlineLevel="0" collapsed="false">
      <c r="A13" s="53" t="str">
        <f aca="false">Setup!$A$103</f>
        <v>A-07 Biocide Skid</v>
      </c>
      <c r="B13" s="53" t="str">
        <f aca="false">IF(Setup!$A$103="","",IFERROR(INDEX(Setup!$B$47:$B$89,MATCH(Setup!$A$103,Setup!$A$47:$A$89,0)),""))</f>
        <v>Biocide (MB-5207)</v>
      </c>
      <c r="C13" s="53" t="n">
        <f aca="false">IF(Setup!$A$103="","",IFERROR(INDEX(Setup!$C$47:$C$89,MATCH(Setup!$A$103,Setup!$A$47:$A$89,0)),""))</f>
        <v>750</v>
      </c>
      <c r="D13" s="54" t="n">
        <f aca="true">IF($A13="","",SUMPRODUCT((Dosage!$A$3:$A$5000=$A13)*(Dosage!$B$3:$B$5000=_xlfn.MAXIFS(Dosage!$B$3:$B$5000,Dosage!$A$3:$A$5000,$A13,Dosage!$B$3:$B$5000,"&lt;="&amp;NOW()))*Dosage!$F$3:$F$5000))</f>
        <v>0.214285714285714</v>
      </c>
      <c r="E13" s="55" t="n">
        <f aca="false">IF($A13="","",IF(COUNTIFS(Tank_Adjustments!$B$2:$B$4998,$A13)&gt;0,_xlfn.MAXIFS(Tank_Adjustments!$A$2:$A$4998,Tank_Adjustments!$B$2:$B$4998,$A13),IF(COUNTIFS(Warehouse_Log!$G$2:$G$4999,$A13,Warehouse_Log!$B$2:$B$4999,"OUT")&gt;0,_xlfn.MINIFS(Warehouse_Log!$A$2:$A$4999,Warehouse_Log!$G$2:$G$4999,$A13,Warehouse_Log!$B$2:$B$4999,"OUT"),"")))</f>
        <v>46275.6875</v>
      </c>
      <c r="F13" s="54" t="n">
        <f aca="false">IF(OR($A13="",$E13=""),0,IF(COUNTIFS(Tank_Adjustments!$B$2:$B$4998,$A13)&gt;0,SUMIFS(Tank_Adjustments!$D$2:$D$4998,Tank_Adjustments!$B$2:$B$4998,$A13,Tank_Adjustments!$A$2:$A$4998,$E13),0))</f>
        <v>150</v>
      </c>
      <c r="G13" s="54" t="n">
        <f aca="false">IF(OR($A13="",$E13=""),0,IF(COUNTIFS(Tank_Adjustments!$B$2:$B$4998,$A13)&gt;0,SUMIFS(Warehouse_Log!$F$2:$F$4999,Warehouse_Log!$G$2:$G$4999,$A13,Warehouse_Log!$B$2:$B$4999,"OUT",Warehouse_Log!$A$2:$A$4999,"&gt;"&amp;$E13),SUMIFS(Warehouse_Log!$F$2:$F$4999,Warehouse_Log!$G$2:$G$4999,$A13,Warehouse_Log!$B$2:$B$4999,"OUT",Warehouse_Log!$A$2:$A$4999,"&gt;="&amp;$E13)))</f>
        <v>0</v>
      </c>
      <c r="H13" s="54" t="n">
        <f aca="true">IF(OR($A13="",$E13=""),0,SUMPRODUCT((Dosage!$A$3:$A$5000=$A13)*(((Dosage!$H$3:$H$5000*(Dosage!$H$3:$H$5000&lt;=NOW())+NOW()*(Dosage!$H$3:$H$5000&gt;NOW()))-(Dosage!$B$3:$B$5000*(Dosage!$B$3:$B$5000&gt;=$E13)+$E13*(Dosage!$B$3:$B$5000&lt;$E13)))&gt;0)*((Dosage!$H$3:$H$5000*(Dosage!$H$3:$H$5000&lt;=NOW())+NOW()*(Dosage!$H$3:$H$5000&gt;NOW()))-(Dosage!$B$3:$B$5000*(Dosage!$B$3:$B$5000&gt;=$E13)+$E13*(Dosage!$B$3:$B$5000&lt;$E13)))*Dosage!$F$3:$F$5000))</f>
        <v>0.833663772873219</v>
      </c>
      <c r="I13" s="56" t="n">
        <f aca="false">IF(OR($A13="",$E13=""),"",MIN($C13,MAX(0,$F13+$G13-$H13)))</f>
        <v>149.166336227127</v>
      </c>
      <c r="J13" s="57" t="n">
        <f aca="false">IF(OR($I13="",$C13="",$C13=0),"",$I13/$C13)</f>
        <v>0.198888448302836</v>
      </c>
      <c r="K13" s="54" t="n">
        <f aca="false">IF(OR($I13="",$D13="",$D13=0),"",$I13/$D13)</f>
        <v>696.109569059925</v>
      </c>
      <c r="L13" s="58" t="n">
        <f aca="true">IF($K13="","",TODAY()+$K13)</f>
        <v>46975.1095690599</v>
      </c>
      <c r="N13" s="59" t="n">
        <f aca="false">IF($J13="","",MIN(1,$J13))</f>
        <v>0.198888448302836</v>
      </c>
      <c r="O13" s="59" t="n">
        <f aca="false">IF($J13="","",MAX(0,1-$J13))</f>
        <v>0.801111551697164</v>
      </c>
    </row>
    <row r="14" customFormat="false" ht="15" hidden="false" customHeight="true" outlineLevel="0" collapsed="false">
      <c r="A14" s="53" t="str">
        <f aca="false">Setup!$A$104</f>
        <v>A-131 Scale-Inhibitor Skid</v>
      </c>
      <c r="B14" s="53" t="str">
        <f aca="false">IF(Setup!$A$104="","",IFERROR(INDEX(Setup!$B$47:$B$89,MATCH(Setup!$A$104,Setup!$A$47:$A$89,0)),""))</f>
        <v>Scale Inhibitor (SI-44108)</v>
      </c>
      <c r="C14" s="53" t="n">
        <f aca="false">IF(Setup!$A$104="","",IFERROR(INDEX(Setup!$C$47:$C$89,MATCH(Setup!$A$104,Setup!$A$47:$A$89,0)),""))</f>
        <v>750</v>
      </c>
      <c r="D14" s="54" t="n">
        <f aca="true">IF($A14="","",SUMPRODUCT((Dosage!$A$3:$A$5000=$A14)*(Dosage!$B$3:$B$5000=_xlfn.MAXIFS(Dosage!$B$3:$B$5000,Dosage!$A$3:$A$5000,$A14,Dosage!$B$3:$B$5000,"&lt;="&amp;NOW()))*Dosage!$F$3:$F$5000))</f>
        <v>5.04</v>
      </c>
      <c r="E14" s="55" t="n">
        <f aca="false">IF($A14="","",IF(COUNTIFS(Tank_Adjustments!$B$2:$B$4998,$A14)&gt;0,_xlfn.MAXIFS(Tank_Adjustments!$A$2:$A$4998,Tank_Adjustments!$B$2:$B$4998,$A14),IF(COUNTIFS(Warehouse_Log!$G$2:$G$4999,$A14,Warehouse_Log!$B$2:$B$4999,"OUT")&gt;0,_xlfn.MINIFS(Warehouse_Log!$A$2:$A$4999,Warehouse_Log!$G$2:$G$4999,$A14,Warehouse_Log!$B$2:$B$4999,"OUT"),"")))</f>
        <v>46275.6875</v>
      </c>
      <c r="F14" s="54" t="n">
        <f aca="false">IF(OR($A14="",$E14=""),0,IF(COUNTIFS(Tank_Adjustments!$B$2:$B$4998,$A14)&gt;0,SUMIFS(Tank_Adjustments!$D$2:$D$4998,Tank_Adjustments!$B$2:$B$4998,$A14,Tank_Adjustments!$A$2:$A$4998,$E14),0))</f>
        <v>225</v>
      </c>
      <c r="G14" s="54" t="n">
        <f aca="false">IF(OR($A14="",$E14=""),0,IF(COUNTIFS(Tank_Adjustments!$B$2:$B$4998,$A14)&gt;0,SUMIFS(Warehouse_Log!$F$2:$F$4999,Warehouse_Log!$G$2:$G$4999,$A14,Warehouse_Log!$B$2:$B$4999,"OUT",Warehouse_Log!$A$2:$A$4999,"&gt;"&amp;$E14),SUMIFS(Warehouse_Log!$F$2:$F$4999,Warehouse_Log!$G$2:$G$4999,$A14,Warehouse_Log!$B$2:$B$4999,"OUT",Warehouse_Log!$A$2:$A$4999,"&gt;="&amp;$E14)))</f>
        <v>0</v>
      </c>
      <c r="H14" s="54" t="n">
        <f aca="true">IF(OR($A14="",$E14=""),0,SUMPRODUCT((Dosage!$A$3:$A$5000=$A14)*(((Dosage!$H$3:$H$5000*(Dosage!$H$3:$H$5000&lt;=NOW())+NOW()*(Dosage!$H$3:$H$5000&gt;NOW()))-(Dosage!$B$3:$B$5000*(Dosage!$B$3:$B$5000&gt;=$E14)+$E14*(Dosage!$B$3:$B$5000&lt;$E14)))&gt;0)*((Dosage!$H$3:$H$5000*(Dosage!$H$3:$H$5000&lt;=NOW())+NOW()*(Dosage!$H$3:$H$5000&gt;NOW()))-(Dosage!$B$3:$B$5000*(Dosage!$B$3:$B$5000&gt;=$E14)+$E14*(Dosage!$B$3:$B$5000&lt;$E14)))*Dosage!$F$3:$F$5000))</f>
        <v>19.6077719384548</v>
      </c>
      <c r="I14" s="56" t="n">
        <f aca="false">IF(OR($A14="",$E14=""),"",MIN($C14,MAX(0,$F14+$G14-$H14)))</f>
        <v>205.392228061545</v>
      </c>
      <c r="J14" s="57" t="n">
        <f aca="false">IF(OR($I14="",$C14="",$C14=0),"",$I14/$C14)</f>
        <v>0.27385630408206</v>
      </c>
      <c r="K14" s="54" t="n">
        <f aca="false">IF(OR($I14="",$D14="",$D14=0),"",$I14/$D14)</f>
        <v>40.7524262026875</v>
      </c>
      <c r="L14" s="58" t="n">
        <f aca="true">IF($K14="","",TODAY()+$K14)</f>
        <v>46319.7524262027</v>
      </c>
      <c r="N14" s="59" t="n">
        <f aca="false">IF($J14="","",MIN(1,$J14))</f>
        <v>0.27385630408206</v>
      </c>
      <c r="O14" s="59" t="n">
        <f aca="false">IF($J14="","",MAX(0,1-$J14))</f>
        <v>0.72614369591794</v>
      </c>
    </row>
    <row r="15" customFormat="false" ht="15" hidden="false" customHeight="true" outlineLevel="0" collapsed="false">
      <c r="A15" s="53" t="str">
        <f aca="false">Setup!$A$105</f>
        <v>A-126 Corrosion Inhibitor Skid</v>
      </c>
      <c r="B15" s="53" t="str">
        <f aca="false">IF(Setup!$A$105="","",IFERROR(INDEX(Setup!$B$47:$B$89,MATCH(Setup!$A$105,Setup!$A$47:$A$89,0)),""))</f>
        <v>Corrosion Inhibitor (KI-34154)</v>
      </c>
      <c r="C15" s="53" t="n">
        <f aca="false">IF(Setup!$A$105="","",IFERROR(INDEX(Setup!$C$47:$C$89,MATCH(Setup!$A$105,Setup!$A$47:$A$89,0)),""))</f>
        <v>750</v>
      </c>
      <c r="D15" s="54" t="n">
        <f aca="true">IF($A15="","",SUMPRODUCT((Dosage!$A$3:$A$5000=$A15)*(Dosage!$B$3:$B$5000=_xlfn.MAXIFS(Dosage!$B$3:$B$5000,Dosage!$A$3:$A$5000,$A15,Dosage!$B$3:$B$5000,"&lt;="&amp;NOW()))*Dosage!$F$3:$F$5000))</f>
        <v>40.08</v>
      </c>
      <c r="E15" s="55" t="n">
        <f aca="false">IF($A15="","",IF(COUNTIFS(Tank_Adjustments!$B$2:$B$4998,$A15)&gt;0,_xlfn.MAXIFS(Tank_Adjustments!$A$2:$A$4998,Tank_Adjustments!$B$2:$B$4998,$A15),IF(COUNTIFS(Warehouse_Log!$G$2:$G$4999,$A15,Warehouse_Log!$B$2:$B$4999,"OUT")&gt;0,_xlfn.MINIFS(Warehouse_Log!$A$2:$A$4999,Warehouse_Log!$G$2:$G$4999,$A15,Warehouse_Log!$B$2:$B$4999,"OUT"),"")))</f>
        <v>46275.6875</v>
      </c>
      <c r="F15" s="54" t="n">
        <f aca="false">IF(OR($A15="",$E15=""),0,IF(COUNTIFS(Tank_Adjustments!$B$2:$B$4998,$A15)&gt;0,SUMIFS(Tank_Adjustments!$D$2:$D$4998,Tank_Adjustments!$B$2:$B$4998,$A15,Tank_Adjustments!$A$2:$A$4998,$E15),0))</f>
        <v>90</v>
      </c>
      <c r="G15" s="54" t="n">
        <f aca="false">IF(OR($A15="",$E15=""),0,IF(COUNTIFS(Tank_Adjustments!$B$2:$B$4998,$A15)&gt;0,SUMIFS(Warehouse_Log!$F$2:$F$4999,Warehouse_Log!$G$2:$G$4999,$A15,Warehouse_Log!$B$2:$B$4999,"OUT",Warehouse_Log!$A$2:$A$4999,"&gt;"&amp;$E15),SUMIFS(Warehouse_Log!$F$2:$F$4999,Warehouse_Log!$G$2:$G$4999,$A15,Warehouse_Log!$B$2:$B$4999,"OUT",Warehouse_Log!$A$2:$A$4999,"&gt;="&amp;$E15)))</f>
        <v>0</v>
      </c>
      <c r="H15" s="54" t="n">
        <f aca="true">IF(OR($A15="",$E15=""),0,SUMPRODUCT((Dosage!$A$3:$A$5000=$A15)*(((Dosage!$H$3:$H$5000*(Dosage!$H$3:$H$5000&lt;=NOW())+NOW()*(Dosage!$H$3:$H$5000&gt;NOW()))-(Dosage!$B$3:$B$5000*(Dosage!$B$3:$B$5000&gt;=$E15)+$E15*(Dosage!$B$3:$B$5000&lt;$E15)))&gt;0)*((Dosage!$H$3:$H$5000*(Dosage!$H$3:$H$5000&lt;=NOW())+NOW()*(Dosage!$H$3:$H$5000&gt;NOW()))-(Dosage!$B$3:$B$5000*(Dosage!$B$3:$B$5000&gt;=$E15)+$E15*(Dosage!$B$3:$B$5000&lt;$E15)))*Dosage!$F$3:$F$5000))</f>
        <v>155.928472085497</v>
      </c>
      <c r="I15" s="56" t="n">
        <f aca="false">IF(OR($A15="",$E15=""),"",MIN($C15,MAX(0,$F15+$G15-$H15)))</f>
        <v>0</v>
      </c>
      <c r="J15" s="57" t="n">
        <f aca="false">IF(OR($I15="",$C15="",$C15=0),"",$I15/$C15)</f>
        <v>0</v>
      </c>
      <c r="K15" s="54" t="n">
        <f aca="false">IF(OR($I15="",$D15="",$D15=0),"",$I15/$D15)</f>
        <v>0</v>
      </c>
      <c r="L15" s="58" t="n">
        <f aca="true">IF($K15="","",TODAY()+$K15)</f>
        <v>46279</v>
      </c>
      <c r="N15" s="59" t="n">
        <f aca="false">IF($J15="","",MIN(1,$J15))</f>
        <v>0</v>
      </c>
      <c r="O15" s="59" t="n">
        <f aca="false">IF($J15="","",MAX(0,1-$J15))</f>
        <v>1</v>
      </c>
    </row>
    <row r="16" customFormat="false" ht="15" hidden="false" customHeight="true" outlineLevel="0" collapsed="false">
      <c r="A16" s="53" t="str">
        <f aca="false">Setup!$A$106</f>
        <v>A-113 Corrosion Inhibitor Skid</v>
      </c>
      <c r="B16" s="53" t="str">
        <f aca="false">IF(Setup!$A$106="","",IFERROR(INDEX(Setup!$B$47:$B$89,MATCH(Setup!$A$106,Setup!$A$47:$A$89,0)),""))</f>
        <v>Corrosion Inhibitor (KI-34154)</v>
      </c>
      <c r="C16" s="53" t="n">
        <f aca="false">IF(Setup!$A$106="","",IFERROR(INDEX(Setup!$C$47:$C$89,MATCH(Setup!$A$106,Setup!$A$47:$A$89,0)),""))</f>
        <v>750</v>
      </c>
      <c r="D16" s="54" t="n">
        <f aca="true">IF($A16="","",SUMPRODUCT((Dosage!$A$3:$A$5000=$A16)*(Dosage!$B$3:$B$5000=_xlfn.MAXIFS(Dosage!$B$3:$B$5000,Dosage!$A$3:$A$5000,$A16,Dosage!$B$3:$B$5000,"&lt;="&amp;NOW()))*Dosage!$F$3:$F$5000))</f>
        <v>22.8</v>
      </c>
      <c r="E16" s="55" t="n">
        <f aca="false">IF($A16="","",IF(COUNTIFS(Tank_Adjustments!$B$2:$B$4998,$A16)&gt;0,_xlfn.MAXIFS(Tank_Adjustments!$A$2:$A$4998,Tank_Adjustments!$B$2:$B$4998,$A16),IF(COUNTIFS(Warehouse_Log!$G$2:$G$4999,$A16,Warehouse_Log!$B$2:$B$4999,"OUT")&gt;0,_xlfn.MINIFS(Warehouse_Log!$A$2:$A$4999,Warehouse_Log!$G$2:$G$4999,$A16,Warehouse_Log!$B$2:$B$4999,"OUT"),"")))</f>
        <v>46275.6875</v>
      </c>
      <c r="F16" s="54" t="n">
        <f aca="false">IF(OR($A16="",$E16=""),0,IF(COUNTIFS(Tank_Adjustments!$B$2:$B$4998,$A16)&gt;0,SUMIFS(Tank_Adjustments!$D$2:$D$4998,Tank_Adjustments!$B$2:$B$4998,$A16,Tank_Adjustments!$A$2:$A$4998,$E16),0))</f>
        <v>165</v>
      </c>
      <c r="G16" s="54" t="n">
        <f aca="false">IF(OR($A16="",$E16=""),0,IF(COUNTIFS(Tank_Adjustments!$B$2:$B$4998,$A16)&gt;0,SUMIFS(Warehouse_Log!$F$2:$F$4999,Warehouse_Log!$G$2:$G$4999,$A16,Warehouse_Log!$B$2:$B$4999,"OUT",Warehouse_Log!$A$2:$A$4999,"&gt;"&amp;$E16),SUMIFS(Warehouse_Log!$F$2:$F$4999,Warehouse_Log!$G$2:$G$4999,$A16,Warehouse_Log!$B$2:$B$4999,"OUT",Warehouse_Log!$A$2:$A$4999,"&gt;="&amp;$E16)))</f>
        <v>0</v>
      </c>
      <c r="H16" s="54" t="n">
        <f aca="true">IF(OR($A16="",$E16=""),0,SUMPRODUCT((Dosage!$A$3:$A$5000=$A16)*(((Dosage!$H$3:$H$5000*(Dosage!$H$3:$H$5000&lt;=NOW())+NOW()*(Dosage!$H$3:$H$5000&gt;NOW()))-(Dosage!$B$3:$B$5000*(Dosage!$B$3:$B$5000&gt;=$E16)+$E16*(Dosage!$B$3:$B$5000&lt;$E16)))&gt;0)*((Dosage!$H$3:$H$5000*(Dosage!$H$3:$H$5000&lt;=NOW())+NOW()*(Dosage!$H$3:$H$5000&gt;NOW()))-(Dosage!$B$3:$B$5000*(Dosage!$B$3:$B$5000&gt;=$E16)+$E16*(Dosage!$B$3:$B$5000&lt;$E16)))*Dosage!$F$3:$F$5000))</f>
        <v>88.7018254398485</v>
      </c>
      <c r="I16" s="56" t="n">
        <f aca="false">IF(OR($A16="",$E16=""),"",MIN($C16,MAX(0,$F16+$G16-$H16)))</f>
        <v>76.2981745601515</v>
      </c>
      <c r="J16" s="57" t="n">
        <f aca="false">IF(OR($I16="",$C16="",$C16=0),"",$I16/$C16)</f>
        <v>0.101730899413535</v>
      </c>
      <c r="K16" s="54" t="n">
        <f aca="false">IF(OR($I16="",$D16="",$D16=0),"",$I16/$D16)</f>
        <v>3.34641116491893</v>
      </c>
      <c r="L16" s="58" t="n">
        <f aca="true">IF($K16="","",TODAY()+$K16)</f>
        <v>46282.3464111649</v>
      </c>
      <c r="N16" s="59" t="n">
        <f aca="false">IF($J16="","",MIN(1,$J16))</f>
        <v>0.101730899413535</v>
      </c>
      <c r="O16" s="59" t="n">
        <f aca="false">IF($J16="","",MAX(0,1-$J16))</f>
        <v>0.898269100586465</v>
      </c>
    </row>
    <row r="17" customFormat="false" ht="15" hidden="false" customHeight="true" outlineLevel="0" collapsed="false">
      <c r="A17" s="53" t="str">
        <f aca="false">Setup!$A$107</f>
        <v>A-131 Corrosion Inhibitor Skid</v>
      </c>
      <c r="B17" s="53" t="str">
        <f aca="false">IF(Setup!$A$107="","",IFERROR(INDEX(Setup!$B$47:$B$89,MATCH(Setup!$A$107,Setup!$A$47:$A$89,0)),""))</f>
        <v>Corrosion Inhibitor (KI-34154)</v>
      </c>
      <c r="C17" s="53" t="n">
        <f aca="false">IF(Setup!$A$107="","",IFERROR(INDEX(Setup!$C$47:$C$89,MATCH(Setup!$A$107,Setup!$A$47:$A$89,0)),""))</f>
        <v>750</v>
      </c>
      <c r="D17" s="54" t="n">
        <f aca="true">IF($A17="","",SUMPRODUCT((Dosage!$A$3:$A$5000=$A17)*(Dosage!$B$3:$B$5000=_xlfn.MAXIFS(Dosage!$B$3:$B$5000,Dosage!$A$3:$A$5000,$A17,Dosage!$B$3:$B$5000,"&lt;="&amp;NOW()))*Dosage!$F$3:$F$5000))</f>
        <v>19.99992</v>
      </c>
      <c r="E17" s="55" t="n">
        <f aca="false">IF($A17="","",IF(COUNTIFS(Tank_Adjustments!$B$2:$B$4998,$A17)&gt;0,_xlfn.MAXIFS(Tank_Adjustments!$A$2:$A$4998,Tank_Adjustments!$B$2:$B$4998,$A17),IF(COUNTIFS(Warehouse_Log!$G$2:$G$4999,$A17,Warehouse_Log!$B$2:$B$4999,"OUT")&gt;0,_xlfn.MINIFS(Warehouse_Log!$A$2:$A$4999,Warehouse_Log!$G$2:$G$4999,$A17,Warehouse_Log!$B$2:$B$4999,"OUT"),"")))</f>
        <v>46275.6875</v>
      </c>
      <c r="F17" s="54" t="n">
        <f aca="false">IF(OR($A17="",$E17=""),0,IF(COUNTIFS(Tank_Adjustments!$B$2:$B$4998,$A17)&gt;0,SUMIFS(Tank_Adjustments!$D$2:$D$4998,Tank_Adjustments!$B$2:$B$4998,$A17,Tank_Adjustments!$A$2:$A$4998,$E17),0))</f>
        <v>337.5</v>
      </c>
      <c r="G17" s="54" t="n">
        <f aca="false">IF(OR($A17="",$E17=""),0,IF(COUNTIFS(Tank_Adjustments!$B$2:$B$4998,$A17)&gt;0,SUMIFS(Warehouse_Log!$F$2:$F$4999,Warehouse_Log!$G$2:$G$4999,$A17,Warehouse_Log!$B$2:$B$4999,"OUT",Warehouse_Log!$A$2:$A$4999,"&gt;"&amp;$E17),SUMIFS(Warehouse_Log!$F$2:$F$4999,Warehouse_Log!$G$2:$G$4999,$A17,Warehouse_Log!$B$2:$B$4999,"OUT",Warehouse_Log!$A$2:$A$4999,"&gt;="&amp;$E17)))</f>
        <v>0</v>
      </c>
      <c r="H17" s="54" t="n">
        <f aca="true">IF(OR($A17="",$E17=""),0,SUMPRODUCT((Dosage!$A$3:$A$5000=$A17)*(((Dosage!$H$3:$H$5000*(Dosage!$H$3:$H$5000&lt;=NOW())+NOW()*(Dosage!$H$3:$H$5000&gt;NOW()))-(Dosage!$B$3:$B$5000*(Dosage!$B$3:$B$5000&gt;=$E17)+$E17*(Dosage!$B$3:$B$5000&lt;$E17)))&gt;0)*((Dosage!$H$3:$H$5000*(Dosage!$H$3:$H$5000&lt;=NOW())+NOW()*(Dosage!$H$3:$H$5000&gt;NOW()))-(Dosage!$B$3:$B$5000*(Dosage!$B$3:$B$5000&gt;=$E17)+$E17*(Dosage!$B$3:$B$5000&lt;$E17)))*Dosage!$F$3:$F$5000))</f>
        <v>77.8083075741556</v>
      </c>
      <c r="I17" s="56" t="n">
        <f aca="false">IF(OR($A17="",$E17=""),"",MIN($C17,MAX(0,$F17+$G17-$H17)))</f>
        <v>259.691692425844</v>
      </c>
      <c r="J17" s="57" t="n">
        <f aca="false">IF(OR($I17="",$C17="",$C17=0),"",$I17/$C17)</f>
        <v>0.346255589901126</v>
      </c>
      <c r="K17" s="54" t="n">
        <f aca="false">IF(OR($I17="",$D17="",$D17=0),"",$I17/$D17)</f>
        <v>12.9846365598385</v>
      </c>
      <c r="L17" s="58" t="n">
        <f aca="true">IF($K17="","",TODAY()+$K17)</f>
        <v>46291.9846365598</v>
      </c>
      <c r="N17" s="59" t="n">
        <f aca="false">IF($J17="","",MIN(1,$J17))</f>
        <v>0.346255589901126</v>
      </c>
      <c r="O17" s="59" t="n">
        <f aca="false">IF($J17="","",MAX(0,1-$J17))</f>
        <v>0.653744410098874</v>
      </c>
    </row>
    <row r="18" customFormat="false" ht="15" hidden="false" customHeight="true" outlineLevel="0" collapsed="false">
      <c r="A18" s="53" t="str">
        <f aca="false">Setup!$A$108</f>
        <v>A-138 Corrosion Inhibitor Skid</v>
      </c>
      <c r="B18" s="53" t="str">
        <f aca="false">IF(Setup!$A$108="","",IFERROR(INDEX(Setup!$B$47:$B$89,MATCH(Setup!$A$108,Setup!$A$47:$A$89,0)),""))</f>
        <v>Corrosion Inhibitor (KI-34154)</v>
      </c>
      <c r="C18" s="53" t="n">
        <f aca="false">IF(Setup!$A$108="","",IFERROR(INDEX(Setup!$C$47:$C$89,MATCH(Setup!$A$108,Setup!$A$47:$A$89,0)),""))</f>
        <v>750</v>
      </c>
      <c r="D18" s="54" t="n">
        <f aca="true">IF($A18="","",SUMPRODUCT((Dosage!$A$3:$A$5000=$A18)*(Dosage!$B$3:$B$5000=_xlfn.MAXIFS(Dosage!$B$3:$B$5000,Dosage!$A$3:$A$5000,$A18,Dosage!$B$3:$B$5000,"&lt;="&amp;NOW()))*Dosage!$F$3:$F$5000))</f>
        <v>16.000008</v>
      </c>
      <c r="E18" s="55" t="n">
        <f aca="false">IF($A18="","",IF(COUNTIFS(Tank_Adjustments!$B$2:$B$4998,$A18)&gt;0,_xlfn.MAXIFS(Tank_Adjustments!$A$2:$A$4998,Tank_Adjustments!$B$2:$B$4998,$A18),IF(COUNTIFS(Warehouse_Log!$G$2:$G$4999,$A18,Warehouse_Log!$B$2:$B$4999,"OUT")&gt;0,_xlfn.MINIFS(Warehouse_Log!$A$2:$A$4999,Warehouse_Log!$G$2:$G$4999,$A18,Warehouse_Log!$B$2:$B$4999,"OUT"),"")))</f>
        <v>46275.6875</v>
      </c>
      <c r="F18" s="54" t="n">
        <f aca="false">IF(OR($A18="",$E18=""),0,IF(COUNTIFS(Tank_Adjustments!$B$2:$B$4998,$A18)&gt;0,SUMIFS(Tank_Adjustments!$D$2:$D$4998,Tank_Adjustments!$B$2:$B$4998,$A18,Tank_Adjustments!$A$2:$A$4998,$E18),0))</f>
        <v>300</v>
      </c>
      <c r="G18" s="54" t="n">
        <f aca="false">IF(OR($A18="",$E18=""),0,IF(COUNTIFS(Tank_Adjustments!$B$2:$B$4998,$A18)&gt;0,SUMIFS(Warehouse_Log!$F$2:$F$4999,Warehouse_Log!$G$2:$G$4999,$A18,Warehouse_Log!$B$2:$B$4999,"OUT",Warehouse_Log!$A$2:$A$4999,"&gt;"&amp;$E18),SUMIFS(Warehouse_Log!$F$2:$F$4999,Warehouse_Log!$G$2:$G$4999,$A18,Warehouse_Log!$B$2:$B$4999,"OUT",Warehouse_Log!$A$2:$A$4999,"&gt;="&amp;$E18)))</f>
        <v>0</v>
      </c>
      <c r="H18" s="54" t="n">
        <f aca="true">IF(OR($A18="",$E18=""),0,SUMPRODUCT((Dosage!$A$3:$A$5000=$A18)*(((Dosage!$H$3:$H$5000*(Dosage!$H$3:$H$5000&lt;=NOW())+NOW()*(Dosage!$H$3:$H$5000&gt;NOW()))-(Dosage!$B$3:$B$5000*(Dosage!$B$3:$B$5000&gt;=$E18)+$E18*(Dosage!$B$3:$B$5000&lt;$E18)))&gt;0)*((Dosage!$H$3:$H$5000*(Dosage!$H$3:$H$5000&lt;=NOW())+NOW()*(Dosage!$H$3:$H$5000&gt;NOW()))-(Dosage!$B$3:$B$5000*(Dosage!$B$3:$B$5000&gt;=$E18)+$E18*(Dosage!$B$3:$B$5000&lt;$E18)))*Dosage!$F$3:$F$5000))</f>
        <v>62.2469261716328</v>
      </c>
      <c r="I18" s="56" t="n">
        <f aca="false">IF(OR($A18="",$E18=""),"",MIN($C18,MAX(0,$F18+$G18-$H18)))</f>
        <v>237.753073828367</v>
      </c>
      <c r="J18" s="57" t="n">
        <f aca="false">IF(OR($I18="",$C18="",$C18=0),"",$I18/$C18)</f>
        <v>0.317004098437823</v>
      </c>
      <c r="K18" s="54" t="n">
        <f aca="false">IF(OR($I18="",$D18="",$D18=0),"",$I18/$D18)</f>
        <v>14.8595596844931</v>
      </c>
      <c r="L18" s="58" t="n">
        <f aca="true">IF($K18="","",TODAY()+$K18)</f>
        <v>46293.8595596845</v>
      </c>
      <c r="N18" s="59" t="n">
        <f aca="false">IF($J18="","",MIN(1,$J18))</f>
        <v>0.317004098437823</v>
      </c>
      <c r="O18" s="59" t="n">
        <f aca="false">IF($J18="","",MAX(0,1-$J18))</f>
        <v>0.682995901562177</v>
      </c>
    </row>
    <row r="19" customFormat="false" ht="15" hidden="false" customHeight="true" outlineLevel="0" collapsed="false">
      <c r="A19" s="53" t="str">
        <f aca="false">Setup!$A$109</f>
        <v>A-133 Biocide Skid</v>
      </c>
      <c r="B19" s="53" t="str">
        <f aca="false">IF(Setup!$A$109="","",IFERROR(INDEX(Setup!$B$47:$B$89,MATCH(Setup!$A$109,Setup!$A$47:$A$89,0)),""))</f>
        <v>Biocide (MB-5207)</v>
      </c>
      <c r="C19" s="53" t="n">
        <f aca="false">IF(Setup!$A$109="","",IFERROR(INDEX(Setup!$C$47:$C$89,MATCH(Setup!$A$109,Setup!$A$47:$A$89,0)),""))</f>
        <v>750</v>
      </c>
      <c r="D19" s="54" t="n">
        <f aca="true">IF($A19="","",SUMPRODUCT((Dosage!$A$3:$A$5000=$A19)*(Dosage!$B$3:$B$5000=_xlfn.MAXIFS(Dosage!$B$3:$B$5000,Dosage!$A$3:$A$5000,$A19,Dosage!$B$3:$B$5000,"&lt;="&amp;NOW()))*Dosage!$F$3:$F$5000))</f>
        <v>4.14285714285714</v>
      </c>
      <c r="E19" s="55" t="n">
        <f aca="false">IF($A19="","",IF(COUNTIFS(Tank_Adjustments!$B$2:$B$4998,$A19)&gt;0,_xlfn.MAXIFS(Tank_Adjustments!$A$2:$A$4998,Tank_Adjustments!$B$2:$B$4998,$A19),IF(COUNTIFS(Warehouse_Log!$G$2:$G$4999,$A19,Warehouse_Log!$B$2:$B$4999,"OUT")&gt;0,_xlfn.MINIFS(Warehouse_Log!$A$2:$A$4999,Warehouse_Log!$G$2:$G$4999,$A19,Warehouse_Log!$B$2:$B$4999,"OUT"),"")))</f>
        <v>46275.6875</v>
      </c>
      <c r="F19" s="54" t="n">
        <f aca="false">IF(OR($A19="",$E19=""),0,IF(COUNTIFS(Tank_Adjustments!$B$2:$B$4998,$A19)&gt;0,SUMIFS(Tank_Adjustments!$D$2:$D$4998,Tank_Adjustments!$B$2:$B$4998,$A19,Tank_Adjustments!$A$2:$A$4998,$E19),0))</f>
        <v>22.5</v>
      </c>
      <c r="G19" s="54" t="n">
        <f aca="false">IF(OR($A19="",$E19=""),0,IF(COUNTIFS(Tank_Adjustments!$B$2:$B$4998,$A19)&gt;0,SUMIFS(Warehouse_Log!$F$2:$F$4999,Warehouse_Log!$G$2:$G$4999,$A19,Warehouse_Log!$B$2:$B$4999,"OUT",Warehouse_Log!$A$2:$A$4999,"&gt;"&amp;$E19),SUMIFS(Warehouse_Log!$F$2:$F$4999,Warehouse_Log!$G$2:$G$4999,$A19,Warehouse_Log!$B$2:$B$4999,"OUT",Warehouse_Log!$A$2:$A$4999,"&gt;="&amp;$E19)))</f>
        <v>0</v>
      </c>
      <c r="H19" s="54" t="n">
        <f aca="true">IF(OR($A19="",$E19=""),0,SUMPRODUCT((Dosage!$A$3:$A$5000=$A19)*(((Dosage!$H$3:$H$5000*(Dosage!$H$3:$H$5000&lt;=NOW())+NOW()*(Dosage!$H$3:$H$5000&gt;NOW()))-(Dosage!$B$3:$B$5000*(Dosage!$B$3:$B$5000&gt;=$E19)+$E19*(Dosage!$B$3:$B$5000&lt;$E19)))&gt;0)*((Dosage!$H$3:$H$5000*(Dosage!$H$3:$H$5000&lt;=NOW())+NOW()*(Dosage!$H$3:$H$5000&gt;NOW()))-(Dosage!$B$3:$B$5000*(Dosage!$B$3:$B$5000&gt;=$E19)+$E19*(Dosage!$B$3:$B$5000&lt;$E19)))*Dosage!$F$3:$F$5000))</f>
        <v>16.1174996110525</v>
      </c>
      <c r="I19" s="56" t="n">
        <f aca="false">IF(OR($A19="",$E19=""),"",MIN($C19,MAX(0,$F19+$G19-$H19)))</f>
        <v>6.38250038894746</v>
      </c>
      <c r="J19" s="57" t="n">
        <f aca="false">IF(OR($I19="",$C19="",$C19=0),"",$I19/$C19)</f>
        <v>0.00851000051859661</v>
      </c>
      <c r="K19" s="54" t="n">
        <f aca="false">IF(OR($I19="",$D19="",$D19=0),"",$I19/$D19)</f>
        <v>1.54060354215973</v>
      </c>
      <c r="L19" s="58" t="n">
        <f aca="true">IF($K19="","",TODAY()+$K19)</f>
        <v>46280.5406035422</v>
      </c>
      <c r="N19" s="59" t="n">
        <f aca="false">IF($J19="","",MIN(1,$J19))</f>
        <v>0.00851000051859661</v>
      </c>
      <c r="O19" s="59" t="n">
        <f aca="false">IF($J19="","",MAX(0,1-$J19))</f>
        <v>0.991489999481403</v>
      </c>
    </row>
    <row r="20" customFormat="false" ht="15" hidden="false" customHeight="true" outlineLevel="0" collapsed="false">
      <c r="A20" s="53" t="str">
        <f aca="false">Setup!$A$110</f>
        <v>A-145 Biocide Skid</v>
      </c>
      <c r="B20" s="53" t="str">
        <f aca="false">IF(Setup!$A$110="","",IFERROR(INDEX(Setup!$B$47:$B$89,MATCH(Setup!$A$110,Setup!$A$47:$A$89,0)),""))</f>
        <v>Biocide (MB-5207)</v>
      </c>
      <c r="C20" s="53" t="n">
        <f aca="false">IF(Setup!$A$110="","",IFERROR(INDEX(Setup!$C$47:$C$89,MATCH(Setup!$A$110,Setup!$A$47:$A$89,0)),""))</f>
        <v>750</v>
      </c>
      <c r="D20" s="54" t="n">
        <f aca="true">IF($A20="","",SUMPRODUCT((Dosage!$A$3:$A$5000=$A20)*(Dosage!$B$3:$B$5000=_xlfn.MAXIFS(Dosage!$B$3:$B$5000,Dosage!$A$3:$A$5000,$A20,Dosage!$B$3:$B$5000,"&lt;="&amp;NOW()))*Dosage!$F$3:$F$5000))</f>
        <v>0.785714285714286</v>
      </c>
      <c r="E20" s="55" t="n">
        <f aca="false">IF($A20="","",IF(COUNTIFS(Tank_Adjustments!$B$2:$B$4998,$A20)&gt;0,_xlfn.MAXIFS(Tank_Adjustments!$A$2:$A$4998,Tank_Adjustments!$B$2:$B$4998,$A20),IF(COUNTIFS(Warehouse_Log!$G$2:$G$4999,$A20,Warehouse_Log!$B$2:$B$4999,"OUT")&gt;0,_xlfn.MINIFS(Warehouse_Log!$A$2:$A$4999,Warehouse_Log!$G$2:$G$4999,$A20,Warehouse_Log!$B$2:$B$4999,"OUT"),"")))</f>
        <v>46275.6875</v>
      </c>
      <c r="F20" s="54" t="n">
        <f aca="false">IF(OR($A20="",$E20=""),0,IF(COUNTIFS(Tank_Adjustments!$B$2:$B$4998,$A20)&gt;0,SUMIFS(Tank_Adjustments!$D$2:$D$4998,Tank_Adjustments!$B$2:$B$4998,$A20,Tank_Adjustments!$A$2:$A$4998,$E20),0))</f>
        <v>112.5</v>
      </c>
      <c r="G20" s="54" t="n">
        <f aca="false">IF(OR($A20="",$E20=""),0,IF(COUNTIFS(Tank_Adjustments!$B$2:$B$4998,$A20)&gt;0,SUMIFS(Warehouse_Log!$F$2:$F$4999,Warehouse_Log!$G$2:$G$4999,$A20,Warehouse_Log!$B$2:$B$4999,"OUT",Warehouse_Log!$A$2:$A$4999,"&gt;"&amp;$E20),SUMIFS(Warehouse_Log!$F$2:$F$4999,Warehouse_Log!$G$2:$G$4999,$A20,Warehouse_Log!$B$2:$B$4999,"OUT",Warehouse_Log!$A$2:$A$4999,"&gt;="&amp;$E20)))</f>
        <v>0</v>
      </c>
      <c r="H20" s="54" t="n">
        <f aca="true">IF(OR($A20="",$E20=""),0,SUMPRODUCT((Dosage!$A$3:$A$5000=$A20)*(((Dosage!$H$3:$H$5000*(Dosage!$H$3:$H$5000&lt;=NOW())+NOW()*(Dosage!$H$3:$H$5000&gt;NOW()))-(Dosage!$B$3:$B$5000*(Dosage!$B$3:$B$5000&gt;=$E20)+$E20*(Dosage!$B$3:$B$5000&lt;$E20)))&gt;0)*((Dosage!$H$3:$H$5000*(Dosage!$H$3:$H$5000&lt;=NOW())+NOW()*(Dosage!$H$3:$H$5000&gt;NOW()))-(Dosage!$B$3:$B$5000*(Dosage!$B$3:$B$5000&gt;=$E20)+$E20*(Dosage!$B$3:$B$5000&lt;$E20)))*Dosage!$F$3:$F$5000))</f>
        <v>3.05676716768202</v>
      </c>
      <c r="I20" s="56" t="n">
        <f aca="false">IF(OR($A20="",$E20=""),"",MIN($C20,MAX(0,$F20+$G20-$H20)))</f>
        <v>109.443232832318</v>
      </c>
      <c r="J20" s="57" t="n">
        <f aca="false">IF(OR($I20="",$C20="",$C20=0),"",$I20/$C20)</f>
        <v>0.145924310443091</v>
      </c>
      <c r="K20" s="54" t="n">
        <f aca="false">IF(OR($I20="",$D20="",$D20=0),"",$I20/$D20)</f>
        <v>139.291387241132</v>
      </c>
      <c r="L20" s="58" t="n">
        <f aca="true">IF($K20="","",TODAY()+$K20)</f>
        <v>46418.2913872411</v>
      </c>
      <c r="N20" s="59" t="n">
        <f aca="false">IF($J20="","",MIN(1,$J20))</f>
        <v>0.145924310443091</v>
      </c>
      <c r="O20" s="59" t="n">
        <f aca="false">IF($J20="","",MAX(0,1-$J20))</f>
        <v>0.854075689556909</v>
      </c>
    </row>
    <row r="21" customFormat="false" ht="15" hidden="false" customHeight="true" outlineLevel="0" collapsed="false">
      <c r="A21" s="53" t="str">
        <f aca="false">Setup!$A$111</f>
        <v>A-127 Biocide Skid</v>
      </c>
      <c r="B21" s="53" t="str">
        <f aca="false">IF(Setup!$A$111="","",IFERROR(INDEX(Setup!$B$47:$B$89,MATCH(Setup!$A$111,Setup!$A$47:$A$89,0)),""))</f>
        <v>Biocide (MB-5207)</v>
      </c>
      <c r="C21" s="53" t="n">
        <f aca="false">IF(Setup!$A$111="","",IFERROR(INDEX(Setup!$C$47:$C$89,MATCH(Setup!$A$111,Setup!$A$47:$A$89,0)),""))</f>
        <v>750</v>
      </c>
      <c r="D21" s="54" t="n">
        <f aca="true">IF($A21="","",SUMPRODUCT((Dosage!$A$3:$A$5000=$A21)*(Dosage!$B$3:$B$5000=_xlfn.MAXIFS(Dosage!$B$3:$B$5000,Dosage!$A$3:$A$5000,$A21,Dosage!$B$3:$B$5000,"&lt;="&amp;NOW()))*Dosage!$F$3:$F$5000))</f>
        <v>0.571428571428571</v>
      </c>
      <c r="E21" s="55" t="n">
        <f aca="false">IF($A21="","",IF(COUNTIFS(Tank_Adjustments!$B$2:$B$4998,$A21)&gt;0,_xlfn.MAXIFS(Tank_Adjustments!$A$2:$A$4998,Tank_Adjustments!$B$2:$B$4998,$A21),IF(COUNTIFS(Warehouse_Log!$G$2:$G$4999,$A21,Warehouse_Log!$B$2:$B$4999,"OUT")&gt;0,_xlfn.MINIFS(Warehouse_Log!$A$2:$A$4999,Warehouse_Log!$G$2:$G$4999,$A21,Warehouse_Log!$B$2:$B$4999,"OUT"),"")))</f>
        <v>46275.6875</v>
      </c>
      <c r="F21" s="54" t="n">
        <f aca="false">IF(OR($A21="",$E21=""),0,IF(COUNTIFS(Tank_Adjustments!$B$2:$B$4998,$A21)&gt;0,SUMIFS(Tank_Adjustments!$D$2:$D$4998,Tank_Adjustments!$B$2:$B$4998,$A21,Tank_Adjustments!$A$2:$A$4998,$E21),0))</f>
        <v>60</v>
      </c>
      <c r="G21" s="54" t="n">
        <f aca="false">IF(OR($A21="",$E21=""),0,IF(COUNTIFS(Tank_Adjustments!$B$2:$B$4998,$A21)&gt;0,SUMIFS(Warehouse_Log!$F$2:$F$4999,Warehouse_Log!$G$2:$G$4999,$A21,Warehouse_Log!$B$2:$B$4999,"OUT",Warehouse_Log!$A$2:$A$4999,"&gt;"&amp;$E21),SUMIFS(Warehouse_Log!$F$2:$F$4999,Warehouse_Log!$G$2:$G$4999,$A21,Warehouse_Log!$B$2:$B$4999,"OUT",Warehouse_Log!$A$2:$A$4999,"&gt;="&amp;$E21)))</f>
        <v>0</v>
      </c>
      <c r="H21" s="54" t="n">
        <f aca="true">IF(OR($A21="",$E21=""),0,SUMPRODUCT((Dosage!$A$3:$A$5000=$A21)*(((Dosage!$H$3:$H$5000*(Dosage!$H$3:$H$5000&lt;=NOW())+NOW()*(Dosage!$H$3:$H$5000&gt;NOW()))-(Dosage!$B$3:$B$5000*(Dosage!$B$3:$B$5000&gt;=$E21)+$E21*(Dosage!$B$3:$B$5000&lt;$E21)))&gt;0)*((Dosage!$H$3:$H$5000*(Dosage!$H$3:$H$5000&lt;=NOW())+NOW()*(Dosage!$H$3:$H$5000&gt;NOW()))-(Dosage!$B$3:$B$5000*(Dosage!$B$3:$B$5000&gt;=$E21)+$E21*(Dosage!$B$3:$B$5000&lt;$E21)))*Dosage!$F$3:$F$5000))</f>
        <v>2.22310339472772</v>
      </c>
      <c r="I21" s="56" t="n">
        <f aca="false">IF(OR($A21="",$E21=""),"",MIN($C21,MAX(0,$F21+$G21-$H21)))</f>
        <v>57.7768966052723</v>
      </c>
      <c r="J21" s="57" t="n">
        <f aca="false">IF(OR($I21="",$C21="",$C21=0),"",$I21/$C21)</f>
        <v>0.077035862140363</v>
      </c>
      <c r="K21" s="54" t="n">
        <f aca="false">IF(OR($I21="",$D21="",$D21=0),"",$I21/$D21)</f>
        <v>101.109569059226</v>
      </c>
      <c r="L21" s="58" t="n">
        <f aca="true">IF($K21="","",TODAY()+$K21)</f>
        <v>46380.1095690592</v>
      </c>
      <c r="N21" s="59" t="n">
        <f aca="false">IF($J21="","",MIN(1,$J21))</f>
        <v>0.077035862140363</v>
      </c>
      <c r="O21" s="59" t="n">
        <f aca="false">IF($J21="","",MAX(0,1-$J21))</f>
        <v>0.922964137859637</v>
      </c>
    </row>
    <row r="22" customFormat="false" ht="15" hidden="false" customHeight="true" outlineLevel="0" collapsed="false">
      <c r="A22" s="53" t="str">
        <f aca="false">Setup!$A$112</f>
        <v>A-130 Biocide Skid</v>
      </c>
      <c r="B22" s="53" t="str">
        <f aca="false">IF(Setup!$A$112="","",IFERROR(INDEX(Setup!$B$47:$B$89,MATCH(Setup!$A$112,Setup!$A$47:$A$89,0)),""))</f>
        <v>Biocide (MB-5207)</v>
      </c>
      <c r="C22" s="53" t="n">
        <f aca="false">IF(Setup!$A$112="","",IFERROR(INDEX(Setup!$C$47:$C$89,MATCH(Setup!$A$112,Setup!$A$47:$A$89,0)),""))</f>
        <v>750</v>
      </c>
      <c r="D22" s="54" t="n">
        <f aca="true">IF($A22="","",SUMPRODUCT((Dosage!$A$3:$A$5000=$A22)*(Dosage!$B$3:$B$5000=_xlfn.MAXIFS(Dosage!$B$3:$B$5000,Dosage!$A$3:$A$5000,$A22,Dosage!$B$3:$B$5000,"&lt;="&amp;NOW()))*Dosage!$F$3:$F$5000))</f>
        <v>2.21428571428571</v>
      </c>
      <c r="E22" s="55" t="n">
        <f aca="false">IF($A22="","",IF(COUNTIFS(Tank_Adjustments!$B$2:$B$4998,$A22)&gt;0,_xlfn.MAXIFS(Tank_Adjustments!$A$2:$A$4998,Tank_Adjustments!$B$2:$B$4998,$A22),IF(COUNTIFS(Warehouse_Log!$G$2:$G$4999,$A22,Warehouse_Log!$B$2:$B$4999,"OUT")&gt;0,_xlfn.MINIFS(Warehouse_Log!$A$2:$A$4999,Warehouse_Log!$G$2:$G$4999,$A22,Warehouse_Log!$B$2:$B$4999,"OUT"),"")))</f>
        <v>46275.6875</v>
      </c>
      <c r="F22" s="54" t="n">
        <f aca="false">IF(OR($A22="",$E22=""),0,IF(COUNTIFS(Tank_Adjustments!$B$2:$B$4998,$A22)&gt;0,SUMIFS(Tank_Adjustments!$D$2:$D$4998,Tank_Adjustments!$B$2:$B$4998,$A22,Tank_Adjustments!$A$2:$A$4998,$E22),0))</f>
        <v>45</v>
      </c>
      <c r="G22" s="54" t="n">
        <f aca="false">IF(OR($A22="",$E22=""),0,IF(COUNTIFS(Tank_Adjustments!$B$2:$B$4998,$A22)&gt;0,SUMIFS(Warehouse_Log!$F$2:$F$4999,Warehouse_Log!$G$2:$G$4999,$A22,Warehouse_Log!$B$2:$B$4999,"OUT",Warehouse_Log!$A$2:$A$4999,"&gt;"&amp;$E22),SUMIFS(Warehouse_Log!$F$2:$F$4999,Warehouse_Log!$G$2:$G$4999,$A22,Warehouse_Log!$B$2:$B$4999,"OUT",Warehouse_Log!$A$2:$A$4999,"&gt;="&amp;$E22)))</f>
        <v>0</v>
      </c>
      <c r="H22" s="54" t="n">
        <f aca="true">IF(OR($A22="",$E22=""),0,SUMPRODUCT((Dosage!$A$3:$A$5000=$A22)*(((Dosage!$H$3:$H$5000*(Dosage!$H$3:$H$5000&lt;=NOW())+NOW()*(Dosage!$H$3:$H$5000&gt;NOW()))-(Dosage!$B$3:$B$5000*(Dosage!$B$3:$B$5000&gt;=$E22)+$E22*(Dosage!$B$3:$B$5000&lt;$E22)))&gt;0)*((Dosage!$H$3:$H$5000*(Dosage!$H$3:$H$5000&lt;=NOW())+NOW()*(Dosage!$H$3:$H$5000&gt;NOW()))-(Dosage!$B$3:$B$5000*(Dosage!$B$3:$B$5000&gt;=$E22)+$E22*(Dosage!$B$3:$B$5000&lt;$E22)))*Dosage!$F$3:$F$5000))</f>
        <v>8.61452565474714</v>
      </c>
      <c r="I22" s="56" t="n">
        <f aca="false">IF(OR($A22="",$E22=""),"",MIN($C22,MAX(0,$F22+$G22-$H22)))</f>
        <v>36.3854743452529</v>
      </c>
      <c r="J22" s="57" t="n">
        <f aca="false">IF(OR($I22="",$C22="",$C22=0),"",$I22/$C22)</f>
        <v>0.0485139657936705</v>
      </c>
      <c r="K22" s="54" t="n">
        <f aca="false">IF(OR($I22="",$D22="",$D22=0),"",$I22/$D22)</f>
        <v>16.4321497043077</v>
      </c>
      <c r="L22" s="58" t="n">
        <f aca="true">IF($K22="","",TODAY()+$K22)</f>
        <v>46295.4321497043</v>
      </c>
      <c r="N22" s="59" t="n">
        <f aca="false">IF($J22="","",MIN(1,$J22))</f>
        <v>0.0485139657936705</v>
      </c>
      <c r="O22" s="59" t="n">
        <f aca="false">IF($J22="","",MAX(0,1-$J22))</f>
        <v>0.95148603420633</v>
      </c>
    </row>
    <row r="23" customFormat="false" ht="15" hidden="false" customHeight="true" outlineLevel="0" collapsed="false">
      <c r="A23" s="53" t="str">
        <f aca="false">Setup!$A$113</f>
        <v/>
      </c>
      <c r="B23" s="53" t="str">
        <f aca="false">IF(Setup!$A$113="","",IFERROR(INDEX(Setup!$B$47:$B$89,MATCH(Setup!$A$113,Setup!$A$47:$A$89,0)),""))</f>
        <v/>
      </c>
      <c r="C23" s="53" t="str">
        <f aca="false">IF(Setup!$A$113="","",IFERROR(INDEX(Setup!$C$47:$C$89,MATCH(Setup!$A$113,Setup!$A$47:$A$89,0)),""))</f>
        <v/>
      </c>
      <c r="D23" s="54" t="str">
        <f aca="true">IF($A23="","",SUMPRODUCT((Dosage!$A$3:$A$5000=$A23)*(Dosage!$B$3:$B$5000=_xlfn.MAXIFS(Dosage!$B$3:$B$5000,Dosage!$A$3:$A$5000,$A23,Dosage!$B$3:$B$5000,"&lt;="&amp;NOW()))*Dosage!$F$3:$F$5000))</f>
        <v/>
      </c>
      <c r="E23" s="55" t="str">
        <f aca="false">IF($A23="","",IF(COUNTIFS(Tank_Adjustments!$B$2:$B$4998,$A23)&gt;0,_xlfn.MAXIFS(Tank_Adjustments!$A$2:$A$4998,Tank_Adjustments!$B$2:$B$4998,$A23),IF(COUNTIFS(Warehouse_Log!$G$2:$G$4999,$A23,Warehouse_Log!$B$2:$B$4999,"OUT")&gt;0,_xlfn.MINIFS(Warehouse_Log!$A$2:$A$4999,Warehouse_Log!$G$2:$G$4999,$A23,Warehouse_Log!$B$2:$B$4999,"OUT"),"")))</f>
        <v/>
      </c>
      <c r="F23" s="54" t="n">
        <f aca="false">IF(OR($A23="",$E23=""),0,IF(COUNTIFS(Tank_Adjustments!$B$2:$B$4998,$A23)&gt;0,SUMIFS(Tank_Adjustments!$D$2:$D$4998,Tank_Adjustments!$B$2:$B$4998,$A23,Tank_Adjustments!$A$2:$A$4998,$E23),0))</f>
        <v>0</v>
      </c>
      <c r="G23" s="54" t="n">
        <f aca="false">IF(OR($A23="",$E23=""),0,IF(COUNTIFS(Tank_Adjustments!$B$2:$B$4998,$A23)&gt;0,SUMIFS(Warehouse_Log!$F$2:$F$4999,Warehouse_Log!$G$2:$G$4999,$A23,Warehouse_Log!$B$2:$B$4999,"OUT",Warehouse_Log!$A$2:$A$4999,"&gt;"&amp;$E23),SUMIFS(Warehouse_Log!$F$2:$F$4999,Warehouse_Log!$G$2:$G$4999,$A23,Warehouse_Log!$B$2:$B$4999,"OUT",Warehouse_Log!$A$2:$A$4999,"&gt;="&amp;$E23)))</f>
        <v>0</v>
      </c>
      <c r="H23" s="54" t="n">
        <f aca="true">IF(OR($A23="",$E23=""),0,SUMPRODUCT((Dosage!$A$3:$A$5000=$A23)*(((Dosage!$H$3:$H$5000*(Dosage!$H$3:$H$5000&lt;=NOW())+NOW()*(Dosage!$H$3:$H$5000&gt;NOW()))-(Dosage!$B$3:$B$5000*(Dosage!$B$3:$B$5000&gt;=$E23)+$E23*(Dosage!$B$3:$B$5000&lt;$E23)))&gt;0)*((Dosage!$H$3:$H$5000*(Dosage!$H$3:$H$5000&lt;=NOW())+NOW()*(Dosage!$H$3:$H$5000&gt;NOW()))-(Dosage!$B$3:$B$5000*(Dosage!$B$3:$B$5000&gt;=$E23)+$E23*(Dosage!$B$3:$B$5000&lt;$E23)))*Dosage!$F$3:$F$5000))</f>
        <v>0</v>
      </c>
      <c r="I23" s="56" t="str">
        <f aca="false">IF(OR($A23="",$E23=""),"",MIN($C23,MAX(0,$F23+$G23-$H23)))</f>
        <v/>
      </c>
      <c r="J23" s="57" t="str">
        <f aca="false">IF(OR($I23="",$C23="",$C23=0),"",$I23/$C23)</f>
        <v/>
      </c>
      <c r="K23" s="54" t="str">
        <f aca="false">IF(OR($I23="",$D23="",$D23=0),"",$I23/$D23)</f>
        <v/>
      </c>
      <c r="L23" s="58" t="str">
        <f aca="true">IF($K23="","",TODAY()+$K23)</f>
        <v/>
      </c>
      <c r="N23" s="59" t="str">
        <f aca="false">IF($J23="","",MIN(1,$J23))</f>
        <v/>
      </c>
      <c r="O23" s="59" t="str">
        <f aca="false">IF($J23="","",MAX(0,1-$J23))</f>
        <v/>
      </c>
    </row>
    <row r="24" customFormat="false" ht="15" hidden="false" customHeight="true" outlineLevel="0" collapsed="false">
      <c r="A24" s="53" t="str">
        <f aca="false">Setup!$A$114</f>
        <v/>
      </c>
      <c r="B24" s="53" t="str">
        <f aca="false">IF(Setup!$A$114="","",IFERROR(INDEX(Setup!$B$47:$B$89,MATCH(Setup!$A$114,Setup!$A$47:$A$89,0)),""))</f>
        <v/>
      </c>
      <c r="C24" s="53" t="str">
        <f aca="false">IF(Setup!$A$114="","",IFERROR(INDEX(Setup!$C$47:$C$89,MATCH(Setup!$A$114,Setup!$A$47:$A$89,0)),""))</f>
        <v/>
      </c>
      <c r="D24" s="54" t="str">
        <f aca="true">IF($A24="","",SUMPRODUCT((Dosage!$A$3:$A$5000=$A24)*(Dosage!$B$3:$B$5000=_xlfn.MAXIFS(Dosage!$B$3:$B$5000,Dosage!$A$3:$A$5000,$A24,Dosage!$B$3:$B$5000,"&lt;="&amp;NOW()))*Dosage!$F$3:$F$5000))</f>
        <v/>
      </c>
      <c r="E24" s="55" t="str">
        <f aca="false">IF($A24="","",IF(COUNTIFS(Tank_Adjustments!$B$2:$B$4998,$A24)&gt;0,_xlfn.MAXIFS(Tank_Adjustments!$A$2:$A$4998,Tank_Adjustments!$B$2:$B$4998,$A24),IF(COUNTIFS(Warehouse_Log!$G$2:$G$4999,$A24,Warehouse_Log!$B$2:$B$4999,"OUT")&gt;0,_xlfn.MINIFS(Warehouse_Log!$A$2:$A$4999,Warehouse_Log!$G$2:$G$4999,$A24,Warehouse_Log!$B$2:$B$4999,"OUT"),"")))</f>
        <v/>
      </c>
      <c r="F24" s="54" t="n">
        <f aca="false">IF(OR($A24="",$E24=""),0,IF(COUNTIFS(Tank_Adjustments!$B$2:$B$4998,$A24)&gt;0,SUMIFS(Tank_Adjustments!$D$2:$D$4998,Tank_Adjustments!$B$2:$B$4998,$A24,Tank_Adjustments!$A$2:$A$4998,$E24),0))</f>
        <v>0</v>
      </c>
      <c r="G24" s="54" t="n">
        <f aca="false">IF(OR($A24="",$E24=""),0,IF(COUNTIFS(Tank_Adjustments!$B$2:$B$4998,$A24)&gt;0,SUMIFS(Warehouse_Log!$F$2:$F$4999,Warehouse_Log!$G$2:$G$4999,$A24,Warehouse_Log!$B$2:$B$4999,"OUT",Warehouse_Log!$A$2:$A$4999,"&gt;"&amp;$E24),SUMIFS(Warehouse_Log!$F$2:$F$4999,Warehouse_Log!$G$2:$G$4999,$A24,Warehouse_Log!$B$2:$B$4999,"OUT",Warehouse_Log!$A$2:$A$4999,"&gt;="&amp;$E24)))</f>
        <v>0</v>
      </c>
      <c r="H24" s="54" t="n">
        <f aca="true">IF(OR($A24="",$E24=""),0,SUMPRODUCT((Dosage!$A$3:$A$5000=$A24)*(((Dosage!$H$3:$H$5000*(Dosage!$H$3:$H$5000&lt;=NOW())+NOW()*(Dosage!$H$3:$H$5000&gt;NOW()))-(Dosage!$B$3:$B$5000*(Dosage!$B$3:$B$5000&gt;=$E24)+$E24*(Dosage!$B$3:$B$5000&lt;$E24)))&gt;0)*((Dosage!$H$3:$H$5000*(Dosage!$H$3:$H$5000&lt;=NOW())+NOW()*(Dosage!$H$3:$H$5000&gt;NOW()))-(Dosage!$B$3:$B$5000*(Dosage!$B$3:$B$5000&gt;=$E24)+$E24*(Dosage!$B$3:$B$5000&lt;$E24)))*Dosage!$F$3:$F$5000))</f>
        <v>0</v>
      </c>
      <c r="I24" s="56" t="str">
        <f aca="false">IF(OR($A24="",$E24=""),"",MIN($C24,MAX(0,$F24+$G24-$H24)))</f>
        <v/>
      </c>
      <c r="J24" s="57" t="str">
        <f aca="false">IF(OR($I24="",$C24="",$C24=0),"",$I24/$C24)</f>
        <v/>
      </c>
      <c r="K24" s="54" t="str">
        <f aca="false">IF(OR($I24="",$D24="",$D24=0),"",$I24/$D24)</f>
        <v/>
      </c>
      <c r="L24" s="58" t="str">
        <f aca="true">IF($K24="","",TODAY()+$K24)</f>
        <v/>
      </c>
      <c r="N24" s="59" t="str">
        <f aca="false">IF($J24="","",MIN(1,$J24))</f>
        <v/>
      </c>
      <c r="O24" s="59" t="str">
        <f aca="false">IF($J24="","",MAX(0,1-$J24))</f>
        <v/>
      </c>
    </row>
    <row r="25" customFormat="false" ht="15" hidden="false" customHeight="true" outlineLevel="0" collapsed="false">
      <c r="A25" s="53" t="str">
        <f aca="false">Setup!$A$115</f>
        <v/>
      </c>
      <c r="B25" s="53" t="str">
        <f aca="false">IF(Setup!$A$115="","",IFERROR(INDEX(Setup!$B$47:$B$89,MATCH(Setup!$A$115,Setup!$A$47:$A$89,0)),""))</f>
        <v/>
      </c>
      <c r="C25" s="53" t="str">
        <f aca="false">IF(Setup!$A$115="","",IFERROR(INDEX(Setup!$C$47:$C$89,MATCH(Setup!$A$115,Setup!$A$47:$A$89,0)),""))</f>
        <v/>
      </c>
      <c r="D25" s="54" t="str">
        <f aca="true">IF($A25="","",SUMPRODUCT((Dosage!$A$3:$A$5000=$A25)*(Dosage!$B$3:$B$5000=_xlfn.MAXIFS(Dosage!$B$3:$B$5000,Dosage!$A$3:$A$5000,$A25,Dosage!$B$3:$B$5000,"&lt;="&amp;NOW()))*Dosage!$F$3:$F$5000))</f>
        <v/>
      </c>
      <c r="E25" s="55" t="str">
        <f aca="false">IF($A25="","",IF(COUNTIFS(Tank_Adjustments!$B$2:$B$4998,$A25)&gt;0,_xlfn.MAXIFS(Tank_Adjustments!$A$2:$A$4998,Tank_Adjustments!$B$2:$B$4998,$A25),IF(COUNTIFS(Warehouse_Log!$G$2:$G$4999,$A25,Warehouse_Log!$B$2:$B$4999,"OUT")&gt;0,_xlfn.MINIFS(Warehouse_Log!$A$2:$A$4999,Warehouse_Log!$G$2:$G$4999,$A25,Warehouse_Log!$B$2:$B$4999,"OUT"),"")))</f>
        <v/>
      </c>
      <c r="F25" s="54" t="n">
        <f aca="false">IF(OR($A25="",$E25=""),0,IF(COUNTIFS(Tank_Adjustments!$B$2:$B$4998,$A25)&gt;0,SUMIFS(Tank_Adjustments!$D$2:$D$4998,Tank_Adjustments!$B$2:$B$4998,$A25,Tank_Adjustments!$A$2:$A$4998,$E25),0))</f>
        <v>0</v>
      </c>
      <c r="G25" s="54" t="n">
        <f aca="false">IF(OR($A25="",$E25=""),0,IF(COUNTIFS(Tank_Adjustments!$B$2:$B$4998,$A25)&gt;0,SUMIFS(Warehouse_Log!$F$2:$F$4999,Warehouse_Log!$G$2:$G$4999,$A25,Warehouse_Log!$B$2:$B$4999,"OUT",Warehouse_Log!$A$2:$A$4999,"&gt;"&amp;$E25),SUMIFS(Warehouse_Log!$F$2:$F$4999,Warehouse_Log!$G$2:$G$4999,$A25,Warehouse_Log!$B$2:$B$4999,"OUT",Warehouse_Log!$A$2:$A$4999,"&gt;="&amp;$E25)))</f>
        <v>0</v>
      </c>
      <c r="H25" s="54" t="n">
        <f aca="true">IF(OR($A25="",$E25=""),0,SUMPRODUCT((Dosage!$A$3:$A$5000=$A25)*(((Dosage!$H$3:$H$5000*(Dosage!$H$3:$H$5000&lt;=NOW())+NOW()*(Dosage!$H$3:$H$5000&gt;NOW()))-(Dosage!$B$3:$B$5000*(Dosage!$B$3:$B$5000&gt;=$E25)+$E25*(Dosage!$B$3:$B$5000&lt;$E25)))&gt;0)*((Dosage!$H$3:$H$5000*(Dosage!$H$3:$H$5000&lt;=NOW())+NOW()*(Dosage!$H$3:$H$5000&gt;NOW()))-(Dosage!$B$3:$B$5000*(Dosage!$B$3:$B$5000&gt;=$E25)+$E25*(Dosage!$B$3:$B$5000&lt;$E25)))*Dosage!$F$3:$F$5000))</f>
        <v>0</v>
      </c>
      <c r="I25" s="56" t="str">
        <f aca="false">IF(OR($A25="",$E25=""),"",MIN($C25,MAX(0,$F25+$G25-$H25)))</f>
        <v/>
      </c>
      <c r="J25" s="57" t="str">
        <f aca="false">IF(OR($I25="",$C25="",$C25=0),"",$I25/$C25)</f>
        <v/>
      </c>
      <c r="K25" s="54" t="str">
        <f aca="false">IF(OR($I25="",$D25="",$D25=0),"",$I25/$D25)</f>
        <v/>
      </c>
      <c r="L25" s="58" t="str">
        <f aca="true">IF($K25="","",TODAY()+$K25)</f>
        <v/>
      </c>
      <c r="N25" s="59" t="str">
        <f aca="false">IF($J25="","",MIN(1,$J25))</f>
        <v/>
      </c>
      <c r="O25" s="59" t="str">
        <f aca="false">IF($J25="","",MAX(0,1-$J25))</f>
        <v/>
      </c>
    </row>
    <row r="26" customFormat="false" ht="15" hidden="false" customHeight="true" outlineLevel="0" collapsed="false">
      <c r="A26" s="53" t="str">
        <f aca="false">Setup!$A$116</f>
        <v/>
      </c>
      <c r="B26" s="53" t="str">
        <f aca="false">IF(Setup!$A$116="","",IFERROR(INDEX(Setup!$B$47:$B$89,MATCH(Setup!$A$116,Setup!$A$47:$A$89,0)),""))</f>
        <v/>
      </c>
      <c r="C26" s="53" t="str">
        <f aca="false">IF(Setup!$A$116="","",IFERROR(INDEX(Setup!$C$47:$C$89,MATCH(Setup!$A$116,Setup!$A$47:$A$89,0)),""))</f>
        <v/>
      </c>
      <c r="D26" s="54" t="str">
        <f aca="true">IF($A26="","",SUMPRODUCT((Dosage!$A$3:$A$5000=$A26)*(Dosage!$B$3:$B$5000=_xlfn.MAXIFS(Dosage!$B$3:$B$5000,Dosage!$A$3:$A$5000,$A26,Dosage!$B$3:$B$5000,"&lt;="&amp;NOW()))*Dosage!$F$3:$F$5000))</f>
        <v/>
      </c>
      <c r="E26" s="55" t="str">
        <f aca="false">IF($A26="","",IF(COUNTIFS(Tank_Adjustments!$B$2:$B$4998,$A26)&gt;0,_xlfn.MAXIFS(Tank_Adjustments!$A$2:$A$4998,Tank_Adjustments!$B$2:$B$4998,$A26),IF(COUNTIFS(Warehouse_Log!$G$2:$G$4999,$A26,Warehouse_Log!$B$2:$B$4999,"OUT")&gt;0,_xlfn.MINIFS(Warehouse_Log!$A$2:$A$4999,Warehouse_Log!$G$2:$G$4999,$A26,Warehouse_Log!$B$2:$B$4999,"OUT"),"")))</f>
        <v/>
      </c>
      <c r="F26" s="54" t="n">
        <f aca="false">IF(OR($A26="",$E26=""),0,IF(COUNTIFS(Tank_Adjustments!$B$2:$B$4998,$A26)&gt;0,SUMIFS(Tank_Adjustments!$D$2:$D$4998,Tank_Adjustments!$B$2:$B$4998,$A26,Tank_Adjustments!$A$2:$A$4998,$E26),0))</f>
        <v>0</v>
      </c>
      <c r="G26" s="54" t="n">
        <f aca="false">IF(OR($A26="",$E26=""),0,IF(COUNTIFS(Tank_Adjustments!$B$2:$B$4998,$A26)&gt;0,SUMIFS(Warehouse_Log!$F$2:$F$4999,Warehouse_Log!$G$2:$G$4999,$A26,Warehouse_Log!$B$2:$B$4999,"OUT",Warehouse_Log!$A$2:$A$4999,"&gt;"&amp;$E26),SUMIFS(Warehouse_Log!$F$2:$F$4999,Warehouse_Log!$G$2:$G$4999,$A26,Warehouse_Log!$B$2:$B$4999,"OUT",Warehouse_Log!$A$2:$A$4999,"&gt;="&amp;$E26)))</f>
        <v>0</v>
      </c>
      <c r="H26" s="54" t="n">
        <f aca="true">IF(OR($A26="",$E26=""),0,SUMPRODUCT((Dosage!$A$3:$A$5000=$A26)*(((Dosage!$H$3:$H$5000*(Dosage!$H$3:$H$5000&lt;=NOW())+NOW()*(Dosage!$H$3:$H$5000&gt;NOW()))-(Dosage!$B$3:$B$5000*(Dosage!$B$3:$B$5000&gt;=$E26)+$E26*(Dosage!$B$3:$B$5000&lt;$E26)))&gt;0)*((Dosage!$H$3:$H$5000*(Dosage!$H$3:$H$5000&lt;=NOW())+NOW()*(Dosage!$H$3:$H$5000&gt;NOW()))-(Dosage!$B$3:$B$5000*(Dosage!$B$3:$B$5000&gt;=$E26)+$E26*(Dosage!$B$3:$B$5000&lt;$E26)))*Dosage!$F$3:$F$5000))</f>
        <v>0</v>
      </c>
      <c r="I26" s="56" t="str">
        <f aca="false">IF(OR($A26="",$E26=""),"",MIN($C26,MAX(0,$F26+$G26-$H26)))</f>
        <v/>
      </c>
      <c r="J26" s="57" t="str">
        <f aca="false">IF(OR($I26="",$C26="",$C26=0),"",$I26/$C26)</f>
        <v/>
      </c>
      <c r="K26" s="54" t="str">
        <f aca="false">IF(OR($I26="",$D26="",$D26=0),"",$I26/$D26)</f>
        <v/>
      </c>
      <c r="L26" s="58" t="str">
        <f aca="true">IF($K26="","",TODAY()+$K26)</f>
        <v/>
      </c>
      <c r="N26" s="59" t="str">
        <f aca="false">IF($J26="","",MIN(1,$J26))</f>
        <v/>
      </c>
      <c r="O26" s="59" t="str">
        <f aca="false">IF($J26="","",MAX(0,1-$J26))</f>
        <v/>
      </c>
    </row>
    <row r="27" customFormat="false" ht="15" hidden="false" customHeight="true" outlineLevel="0" collapsed="false">
      <c r="A27" s="53" t="str">
        <f aca="false">Setup!$A$117</f>
        <v/>
      </c>
      <c r="B27" s="53" t="str">
        <f aca="false">IF(Setup!$A$117="","",IFERROR(INDEX(Setup!$B$47:$B$89,MATCH(Setup!$A$117,Setup!$A$47:$A$89,0)),""))</f>
        <v/>
      </c>
      <c r="C27" s="53" t="str">
        <f aca="false">IF(Setup!$A$117="","",IFERROR(INDEX(Setup!$C$47:$C$89,MATCH(Setup!$A$117,Setup!$A$47:$A$89,0)),""))</f>
        <v/>
      </c>
      <c r="D27" s="54" t="str">
        <f aca="true">IF($A27="","",SUMPRODUCT((Dosage!$A$3:$A$5000=$A27)*(Dosage!$B$3:$B$5000=_xlfn.MAXIFS(Dosage!$B$3:$B$5000,Dosage!$A$3:$A$5000,$A27,Dosage!$B$3:$B$5000,"&lt;="&amp;NOW()))*Dosage!$F$3:$F$5000))</f>
        <v/>
      </c>
      <c r="E27" s="55" t="str">
        <f aca="false">IF($A27="","",IF(COUNTIFS(Tank_Adjustments!$B$2:$B$4998,$A27)&gt;0,_xlfn.MAXIFS(Tank_Adjustments!$A$2:$A$4998,Tank_Adjustments!$B$2:$B$4998,$A27),IF(COUNTIFS(Warehouse_Log!$G$2:$G$4999,$A27,Warehouse_Log!$B$2:$B$4999,"OUT")&gt;0,_xlfn.MINIFS(Warehouse_Log!$A$2:$A$4999,Warehouse_Log!$G$2:$G$4999,$A27,Warehouse_Log!$B$2:$B$4999,"OUT"),"")))</f>
        <v/>
      </c>
      <c r="F27" s="54" t="n">
        <f aca="false">IF(OR($A27="",$E27=""),0,IF(COUNTIFS(Tank_Adjustments!$B$2:$B$4998,$A27)&gt;0,SUMIFS(Tank_Adjustments!$D$2:$D$4998,Tank_Adjustments!$B$2:$B$4998,$A27,Tank_Adjustments!$A$2:$A$4998,$E27),0))</f>
        <v>0</v>
      </c>
      <c r="G27" s="54" t="n">
        <f aca="false">IF(OR($A27="",$E27=""),0,IF(COUNTIFS(Tank_Adjustments!$B$2:$B$4998,$A27)&gt;0,SUMIFS(Warehouse_Log!$F$2:$F$4999,Warehouse_Log!$G$2:$G$4999,$A27,Warehouse_Log!$B$2:$B$4999,"OUT",Warehouse_Log!$A$2:$A$4999,"&gt;"&amp;$E27),SUMIFS(Warehouse_Log!$F$2:$F$4999,Warehouse_Log!$G$2:$G$4999,$A27,Warehouse_Log!$B$2:$B$4999,"OUT",Warehouse_Log!$A$2:$A$4999,"&gt;="&amp;$E27)))</f>
        <v>0</v>
      </c>
      <c r="H27" s="54" t="n">
        <f aca="true">IF(OR($A27="",$E27=""),0,SUMPRODUCT((Dosage!$A$3:$A$5000=$A27)*(((Dosage!$H$3:$H$5000*(Dosage!$H$3:$H$5000&lt;=NOW())+NOW()*(Dosage!$H$3:$H$5000&gt;NOW()))-(Dosage!$B$3:$B$5000*(Dosage!$B$3:$B$5000&gt;=$E27)+$E27*(Dosage!$B$3:$B$5000&lt;$E27)))&gt;0)*((Dosage!$H$3:$H$5000*(Dosage!$H$3:$H$5000&lt;=NOW())+NOW()*(Dosage!$H$3:$H$5000&gt;NOW()))-(Dosage!$B$3:$B$5000*(Dosage!$B$3:$B$5000&gt;=$E27)+$E27*(Dosage!$B$3:$B$5000&lt;$E27)))*Dosage!$F$3:$F$5000))</f>
        <v>0</v>
      </c>
      <c r="I27" s="56" t="str">
        <f aca="false">IF(OR($A27="",$E27=""),"",MIN($C27,MAX(0,$F27+$G27-$H27)))</f>
        <v/>
      </c>
      <c r="J27" s="57" t="str">
        <f aca="false">IF(OR($I27="",$C27="",$C27=0),"",$I27/$C27)</f>
        <v/>
      </c>
      <c r="K27" s="54" t="str">
        <f aca="false">IF(OR($I27="",$D27="",$D27=0),"",$I27/$D27)</f>
        <v/>
      </c>
      <c r="L27" s="58" t="str">
        <f aca="true">IF($K27="","",TODAY()+$K27)</f>
        <v/>
      </c>
      <c r="N27" s="59" t="str">
        <f aca="false">IF($J27="","",MIN(1,$J27))</f>
        <v/>
      </c>
      <c r="O27" s="59" t="str">
        <f aca="false">IF($J27="","",MAX(0,1-$J27))</f>
        <v/>
      </c>
    </row>
    <row r="28" customFormat="false" ht="15" hidden="false" customHeight="true" outlineLevel="0" collapsed="false">
      <c r="A28" s="53" t="str">
        <f aca="false">Setup!$A$118</f>
        <v/>
      </c>
      <c r="B28" s="53" t="str">
        <f aca="false">IF(Setup!$A$118="","",IFERROR(INDEX(Setup!$B$47:$B$89,MATCH(Setup!$A$118,Setup!$A$47:$A$89,0)),""))</f>
        <v/>
      </c>
      <c r="C28" s="53" t="str">
        <f aca="false">IF(Setup!$A$118="","",IFERROR(INDEX(Setup!$C$47:$C$89,MATCH(Setup!$A$118,Setup!$A$47:$A$89,0)),""))</f>
        <v/>
      </c>
      <c r="D28" s="54" t="str">
        <f aca="true">IF($A28="","",SUMPRODUCT((Dosage!$A$3:$A$5000=$A28)*(Dosage!$B$3:$B$5000=_xlfn.MAXIFS(Dosage!$B$3:$B$5000,Dosage!$A$3:$A$5000,$A28,Dosage!$B$3:$B$5000,"&lt;="&amp;NOW()))*Dosage!$F$3:$F$5000))</f>
        <v/>
      </c>
      <c r="E28" s="55" t="str">
        <f aca="false">IF($A28="","",IF(COUNTIFS(Tank_Adjustments!$B$2:$B$4998,$A28)&gt;0,_xlfn.MAXIFS(Tank_Adjustments!$A$2:$A$4998,Tank_Adjustments!$B$2:$B$4998,$A28),IF(COUNTIFS(Warehouse_Log!$G$2:$G$4999,$A28,Warehouse_Log!$B$2:$B$4999,"OUT")&gt;0,_xlfn.MINIFS(Warehouse_Log!$A$2:$A$4999,Warehouse_Log!$G$2:$G$4999,$A28,Warehouse_Log!$B$2:$B$4999,"OUT"),"")))</f>
        <v/>
      </c>
      <c r="F28" s="54" t="n">
        <f aca="false">IF(OR($A28="",$E28=""),0,IF(COUNTIFS(Tank_Adjustments!$B$2:$B$4998,$A28)&gt;0,SUMIFS(Tank_Adjustments!$D$2:$D$4998,Tank_Adjustments!$B$2:$B$4998,$A28,Tank_Adjustments!$A$2:$A$4998,$E28),0))</f>
        <v>0</v>
      </c>
      <c r="G28" s="54" t="n">
        <f aca="false">IF(OR($A28="",$E28=""),0,IF(COUNTIFS(Tank_Adjustments!$B$2:$B$4998,$A28)&gt;0,SUMIFS(Warehouse_Log!$F$2:$F$4999,Warehouse_Log!$G$2:$G$4999,$A28,Warehouse_Log!$B$2:$B$4999,"OUT",Warehouse_Log!$A$2:$A$4999,"&gt;"&amp;$E28),SUMIFS(Warehouse_Log!$F$2:$F$4999,Warehouse_Log!$G$2:$G$4999,$A28,Warehouse_Log!$B$2:$B$4999,"OUT",Warehouse_Log!$A$2:$A$4999,"&gt;="&amp;$E28)))</f>
        <v>0</v>
      </c>
      <c r="H28" s="54" t="n">
        <f aca="true">IF(OR($A28="",$E28=""),0,SUMPRODUCT((Dosage!$A$3:$A$5000=$A28)*(((Dosage!$H$3:$H$5000*(Dosage!$H$3:$H$5000&lt;=NOW())+NOW()*(Dosage!$H$3:$H$5000&gt;NOW()))-(Dosage!$B$3:$B$5000*(Dosage!$B$3:$B$5000&gt;=$E28)+$E28*(Dosage!$B$3:$B$5000&lt;$E28)))&gt;0)*((Dosage!$H$3:$H$5000*(Dosage!$H$3:$H$5000&lt;=NOW())+NOW()*(Dosage!$H$3:$H$5000&gt;NOW()))-(Dosage!$B$3:$B$5000*(Dosage!$B$3:$B$5000&gt;=$E28)+$E28*(Dosage!$B$3:$B$5000&lt;$E28)))*Dosage!$F$3:$F$5000))</f>
        <v>0</v>
      </c>
      <c r="I28" s="56" t="str">
        <f aca="false">IF(OR($A28="",$E28=""),"",MIN($C28,MAX(0,$F28+$G28-$H28)))</f>
        <v/>
      </c>
      <c r="J28" s="57" t="str">
        <f aca="false">IF(OR($I28="",$C28="",$C28=0),"",$I28/$C28)</f>
        <v/>
      </c>
      <c r="K28" s="54" t="str">
        <f aca="false">IF(OR($I28="",$D28="",$D28=0),"",$I28/$D28)</f>
        <v/>
      </c>
      <c r="L28" s="58" t="str">
        <f aca="true">IF($K28="","",TODAY()+$K28)</f>
        <v/>
      </c>
      <c r="N28" s="59" t="str">
        <f aca="false">IF($J28="","",MIN(1,$J28))</f>
        <v/>
      </c>
      <c r="O28" s="59" t="str">
        <f aca="false">IF($J28="","",MAX(0,1-$J28))</f>
        <v/>
      </c>
    </row>
    <row r="29" customFormat="false" ht="15" hidden="false" customHeight="true" outlineLevel="0" collapsed="false">
      <c r="A29" s="53" t="str">
        <f aca="false">Setup!$A$119</f>
        <v/>
      </c>
      <c r="B29" s="53" t="str">
        <f aca="false">IF(Setup!$A$119="","",IFERROR(INDEX(Setup!$B$47:$B$89,MATCH(Setup!$A$119,Setup!$A$47:$A$89,0)),""))</f>
        <v/>
      </c>
      <c r="C29" s="53" t="str">
        <f aca="false">IF(Setup!$A$119="","",IFERROR(INDEX(Setup!$C$47:$C$89,MATCH(Setup!$A$119,Setup!$A$47:$A$89,0)),""))</f>
        <v/>
      </c>
      <c r="D29" s="54" t="str">
        <f aca="true">IF($A29="","",SUMPRODUCT((Dosage!$A$3:$A$5000=$A29)*(Dosage!$B$3:$B$5000=_xlfn.MAXIFS(Dosage!$B$3:$B$5000,Dosage!$A$3:$A$5000,$A29,Dosage!$B$3:$B$5000,"&lt;="&amp;NOW()))*Dosage!$F$3:$F$5000))</f>
        <v/>
      </c>
      <c r="E29" s="55" t="str">
        <f aca="false">IF($A29="","",IF(COUNTIFS(Tank_Adjustments!$B$2:$B$4998,$A29)&gt;0,_xlfn.MAXIFS(Tank_Adjustments!$A$2:$A$4998,Tank_Adjustments!$B$2:$B$4998,$A29),IF(COUNTIFS(Warehouse_Log!$G$2:$G$4999,$A29,Warehouse_Log!$B$2:$B$4999,"OUT")&gt;0,_xlfn.MINIFS(Warehouse_Log!$A$2:$A$4999,Warehouse_Log!$G$2:$G$4999,$A29,Warehouse_Log!$B$2:$B$4999,"OUT"),"")))</f>
        <v/>
      </c>
      <c r="F29" s="54" t="n">
        <f aca="false">IF(OR($A29="",$E29=""),0,IF(COUNTIFS(Tank_Adjustments!$B$2:$B$4998,$A29)&gt;0,SUMIFS(Tank_Adjustments!$D$2:$D$4998,Tank_Adjustments!$B$2:$B$4998,$A29,Tank_Adjustments!$A$2:$A$4998,$E29),0))</f>
        <v>0</v>
      </c>
      <c r="G29" s="54" t="n">
        <f aca="false">IF(OR($A29="",$E29=""),0,IF(COUNTIFS(Tank_Adjustments!$B$2:$B$4998,$A29)&gt;0,SUMIFS(Warehouse_Log!$F$2:$F$4999,Warehouse_Log!$G$2:$G$4999,$A29,Warehouse_Log!$B$2:$B$4999,"OUT",Warehouse_Log!$A$2:$A$4999,"&gt;"&amp;$E29),SUMIFS(Warehouse_Log!$F$2:$F$4999,Warehouse_Log!$G$2:$G$4999,$A29,Warehouse_Log!$B$2:$B$4999,"OUT",Warehouse_Log!$A$2:$A$4999,"&gt;="&amp;$E29)))</f>
        <v>0</v>
      </c>
      <c r="H29" s="54" t="n">
        <f aca="true">IF(OR($A29="",$E29=""),0,SUMPRODUCT((Dosage!$A$3:$A$5000=$A29)*(((Dosage!$H$3:$H$5000*(Dosage!$H$3:$H$5000&lt;=NOW())+NOW()*(Dosage!$H$3:$H$5000&gt;NOW()))-(Dosage!$B$3:$B$5000*(Dosage!$B$3:$B$5000&gt;=$E29)+$E29*(Dosage!$B$3:$B$5000&lt;$E29)))&gt;0)*((Dosage!$H$3:$H$5000*(Dosage!$H$3:$H$5000&lt;=NOW())+NOW()*(Dosage!$H$3:$H$5000&gt;NOW()))-(Dosage!$B$3:$B$5000*(Dosage!$B$3:$B$5000&gt;=$E29)+$E29*(Dosage!$B$3:$B$5000&lt;$E29)))*Dosage!$F$3:$F$5000))</f>
        <v>0</v>
      </c>
      <c r="I29" s="56" t="str">
        <f aca="false">IF(OR($A29="",$E29=""),"",MIN($C29,MAX(0,$F29+$G29-$H29)))</f>
        <v/>
      </c>
      <c r="J29" s="57" t="str">
        <f aca="false">IF(OR($I29="",$C29="",$C29=0),"",$I29/$C29)</f>
        <v/>
      </c>
      <c r="K29" s="54" t="str">
        <f aca="false">IF(OR($I29="",$D29="",$D29=0),"",$I29/$D29)</f>
        <v/>
      </c>
      <c r="L29" s="58" t="str">
        <f aca="true">IF($K29="","",TODAY()+$K29)</f>
        <v/>
      </c>
      <c r="N29" s="59" t="str">
        <f aca="false">IF($J29="","",MIN(1,$J29))</f>
        <v/>
      </c>
      <c r="O29" s="59" t="str">
        <f aca="false">IF($J29="","",MAX(0,1-$J29))</f>
        <v/>
      </c>
    </row>
    <row r="30" customFormat="false" ht="15" hidden="false" customHeight="true" outlineLevel="0" collapsed="false">
      <c r="A30" s="53" t="str">
        <f aca="false">Setup!$A$120</f>
        <v/>
      </c>
      <c r="B30" s="53" t="str">
        <f aca="false">IF(Setup!$A$120="","",IFERROR(INDEX(Setup!$B$47:$B$89,MATCH(Setup!$A$120,Setup!$A$47:$A$89,0)),""))</f>
        <v/>
      </c>
      <c r="C30" s="53" t="str">
        <f aca="false">IF(Setup!$A$120="","",IFERROR(INDEX(Setup!$C$47:$C$89,MATCH(Setup!$A$120,Setup!$A$47:$A$89,0)),""))</f>
        <v/>
      </c>
      <c r="D30" s="54" t="str">
        <f aca="true">IF($A30="","",SUMPRODUCT((Dosage!$A$3:$A$5000=$A30)*(Dosage!$B$3:$B$5000=_xlfn.MAXIFS(Dosage!$B$3:$B$5000,Dosage!$A$3:$A$5000,$A30,Dosage!$B$3:$B$5000,"&lt;="&amp;NOW()))*Dosage!$F$3:$F$5000))</f>
        <v/>
      </c>
      <c r="E30" s="55" t="str">
        <f aca="false">IF($A30="","",IF(COUNTIFS(Tank_Adjustments!$B$2:$B$4998,$A30)&gt;0,_xlfn.MAXIFS(Tank_Adjustments!$A$2:$A$4998,Tank_Adjustments!$B$2:$B$4998,$A30),IF(COUNTIFS(Warehouse_Log!$G$2:$G$4999,$A30,Warehouse_Log!$B$2:$B$4999,"OUT")&gt;0,_xlfn.MINIFS(Warehouse_Log!$A$2:$A$4999,Warehouse_Log!$G$2:$G$4999,$A30,Warehouse_Log!$B$2:$B$4999,"OUT"),"")))</f>
        <v/>
      </c>
      <c r="F30" s="54" t="n">
        <f aca="false">IF(OR($A30="",$E30=""),0,IF(COUNTIFS(Tank_Adjustments!$B$2:$B$4998,$A30)&gt;0,SUMIFS(Tank_Adjustments!$D$2:$D$4998,Tank_Adjustments!$B$2:$B$4998,$A30,Tank_Adjustments!$A$2:$A$4998,$E30),0))</f>
        <v>0</v>
      </c>
      <c r="G30" s="54" t="n">
        <f aca="false">IF(OR($A30="",$E30=""),0,IF(COUNTIFS(Tank_Adjustments!$B$2:$B$4998,$A30)&gt;0,SUMIFS(Warehouse_Log!$F$2:$F$4999,Warehouse_Log!$G$2:$G$4999,$A30,Warehouse_Log!$B$2:$B$4999,"OUT",Warehouse_Log!$A$2:$A$4999,"&gt;"&amp;$E30),SUMIFS(Warehouse_Log!$F$2:$F$4999,Warehouse_Log!$G$2:$G$4999,$A30,Warehouse_Log!$B$2:$B$4999,"OUT",Warehouse_Log!$A$2:$A$4999,"&gt;="&amp;$E30)))</f>
        <v>0</v>
      </c>
      <c r="H30" s="54" t="n">
        <f aca="true">IF(OR($A30="",$E30=""),0,SUMPRODUCT((Dosage!$A$3:$A$5000=$A30)*(((Dosage!$H$3:$H$5000*(Dosage!$H$3:$H$5000&lt;=NOW())+NOW()*(Dosage!$H$3:$H$5000&gt;NOW()))-(Dosage!$B$3:$B$5000*(Dosage!$B$3:$B$5000&gt;=$E30)+$E30*(Dosage!$B$3:$B$5000&lt;$E30)))&gt;0)*((Dosage!$H$3:$H$5000*(Dosage!$H$3:$H$5000&lt;=NOW())+NOW()*(Dosage!$H$3:$H$5000&gt;NOW()))-(Dosage!$B$3:$B$5000*(Dosage!$B$3:$B$5000&gt;=$E30)+$E30*(Dosage!$B$3:$B$5000&lt;$E30)))*Dosage!$F$3:$F$5000))</f>
        <v>0</v>
      </c>
      <c r="I30" s="56" t="str">
        <f aca="false">IF(OR($A30="",$E30=""),"",MIN($C30,MAX(0,$F30+$G30-$H30)))</f>
        <v/>
      </c>
      <c r="J30" s="57" t="str">
        <f aca="false">IF(OR($I30="",$C30="",$C30=0),"",$I30/$C30)</f>
        <v/>
      </c>
      <c r="K30" s="54" t="str">
        <f aca="false">IF(OR($I30="",$D30="",$D30=0),"",$I30/$D30)</f>
        <v/>
      </c>
      <c r="L30" s="58" t="str">
        <f aca="true">IF($K30="","",TODAY()+$K30)</f>
        <v/>
      </c>
      <c r="N30" s="59" t="str">
        <f aca="false">IF($J30="","",MIN(1,$J30))</f>
        <v/>
      </c>
      <c r="O30" s="59" t="str">
        <f aca="false">IF($J30="","",MAX(0,1-$J30))</f>
        <v/>
      </c>
    </row>
    <row r="31" customFormat="false" ht="15" hidden="false" customHeight="true" outlineLevel="0" collapsed="false">
      <c r="A31" s="53" t="str">
        <f aca="false">Setup!$A$121</f>
        <v/>
      </c>
      <c r="B31" s="53" t="str">
        <f aca="false">IF(Setup!$A$121="","",IFERROR(INDEX(Setup!$B$47:$B$89,MATCH(Setup!$A$121,Setup!$A$47:$A$89,0)),""))</f>
        <v/>
      </c>
      <c r="C31" s="53" t="str">
        <f aca="false">IF(Setup!$A$121="","",IFERROR(INDEX(Setup!$C$47:$C$89,MATCH(Setup!$A$121,Setup!$A$47:$A$89,0)),""))</f>
        <v/>
      </c>
      <c r="D31" s="54" t="str">
        <f aca="true">IF($A31="","",SUMPRODUCT((Dosage!$A$3:$A$5000=$A31)*(Dosage!$B$3:$B$5000=_xlfn.MAXIFS(Dosage!$B$3:$B$5000,Dosage!$A$3:$A$5000,$A31,Dosage!$B$3:$B$5000,"&lt;="&amp;NOW()))*Dosage!$F$3:$F$5000))</f>
        <v/>
      </c>
      <c r="E31" s="55" t="str">
        <f aca="false">IF($A31="","",IF(COUNTIFS(Tank_Adjustments!$B$2:$B$4998,$A31)&gt;0,_xlfn.MAXIFS(Tank_Adjustments!$A$2:$A$4998,Tank_Adjustments!$B$2:$B$4998,$A31),IF(COUNTIFS(Warehouse_Log!$G$2:$G$4999,$A31,Warehouse_Log!$B$2:$B$4999,"OUT")&gt;0,_xlfn.MINIFS(Warehouse_Log!$A$2:$A$4999,Warehouse_Log!$G$2:$G$4999,$A31,Warehouse_Log!$B$2:$B$4999,"OUT"),"")))</f>
        <v/>
      </c>
      <c r="F31" s="54" t="n">
        <f aca="false">IF(OR($A31="",$E31=""),0,IF(COUNTIFS(Tank_Adjustments!$B$2:$B$4998,$A31)&gt;0,SUMIFS(Tank_Adjustments!$D$2:$D$4998,Tank_Adjustments!$B$2:$B$4998,$A31,Tank_Adjustments!$A$2:$A$4998,$E31),0))</f>
        <v>0</v>
      </c>
      <c r="G31" s="54" t="n">
        <f aca="false">IF(OR($A31="",$E31=""),0,IF(COUNTIFS(Tank_Adjustments!$B$2:$B$4998,$A31)&gt;0,SUMIFS(Warehouse_Log!$F$2:$F$4999,Warehouse_Log!$G$2:$G$4999,$A31,Warehouse_Log!$B$2:$B$4999,"OUT",Warehouse_Log!$A$2:$A$4999,"&gt;"&amp;$E31),SUMIFS(Warehouse_Log!$F$2:$F$4999,Warehouse_Log!$G$2:$G$4999,$A31,Warehouse_Log!$B$2:$B$4999,"OUT",Warehouse_Log!$A$2:$A$4999,"&gt;="&amp;$E31)))</f>
        <v>0</v>
      </c>
      <c r="H31" s="54" t="n">
        <f aca="true">IF(OR($A31="",$E31=""),0,SUMPRODUCT((Dosage!$A$3:$A$5000=$A31)*(((Dosage!$H$3:$H$5000*(Dosage!$H$3:$H$5000&lt;=NOW())+NOW()*(Dosage!$H$3:$H$5000&gt;NOW()))-(Dosage!$B$3:$B$5000*(Dosage!$B$3:$B$5000&gt;=$E31)+$E31*(Dosage!$B$3:$B$5000&lt;$E31)))&gt;0)*((Dosage!$H$3:$H$5000*(Dosage!$H$3:$H$5000&lt;=NOW())+NOW()*(Dosage!$H$3:$H$5000&gt;NOW()))-(Dosage!$B$3:$B$5000*(Dosage!$B$3:$B$5000&gt;=$E31)+$E31*(Dosage!$B$3:$B$5000&lt;$E31)))*Dosage!$F$3:$F$5000))</f>
        <v>0</v>
      </c>
      <c r="I31" s="56" t="str">
        <f aca="false">IF(OR($A31="",$E31=""),"",MIN($C31,MAX(0,$F31+$G31-$H31)))</f>
        <v/>
      </c>
      <c r="J31" s="57" t="str">
        <f aca="false">IF(OR($I31="",$C31="",$C31=0),"",$I31/$C31)</f>
        <v/>
      </c>
      <c r="K31" s="54" t="str">
        <f aca="false">IF(OR($I31="",$D31="",$D31=0),"",$I31/$D31)</f>
        <v/>
      </c>
      <c r="L31" s="58" t="str">
        <f aca="true">IF($K31="","",TODAY()+$K31)</f>
        <v/>
      </c>
      <c r="N31" s="59" t="str">
        <f aca="false">IF($J31="","",MIN(1,$J31))</f>
        <v/>
      </c>
      <c r="O31" s="59" t="str">
        <f aca="false">IF($J31="","",MAX(0,1-$J31))</f>
        <v/>
      </c>
    </row>
    <row r="32" customFormat="false" ht="15" hidden="false" customHeight="true" outlineLevel="0" collapsed="false">
      <c r="A32" s="53" t="str">
        <f aca="false">Setup!$A$122</f>
        <v/>
      </c>
      <c r="B32" s="53" t="str">
        <f aca="false">IF(Setup!$A$122="","",IFERROR(INDEX(Setup!$B$47:$B$89,MATCH(Setup!$A$122,Setup!$A$47:$A$89,0)),""))</f>
        <v/>
      </c>
      <c r="C32" s="53" t="str">
        <f aca="false">IF(Setup!$A$122="","",IFERROR(INDEX(Setup!$C$47:$C$89,MATCH(Setup!$A$122,Setup!$A$47:$A$89,0)),""))</f>
        <v/>
      </c>
      <c r="D32" s="54" t="str">
        <f aca="true">IF($A32="","",SUMPRODUCT((Dosage!$A$3:$A$5000=$A32)*(Dosage!$B$3:$B$5000=_xlfn.MAXIFS(Dosage!$B$3:$B$5000,Dosage!$A$3:$A$5000,$A32,Dosage!$B$3:$B$5000,"&lt;="&amp;NOW()))*Dosage!$F$3:$F$5000))</f>
        <v/>
      </c>
      <c r="E32" s="55" t="str">
        <f aca="false">IF($A32="","",IF(COUNTIFS(Tank_Adjustments!$B$2:$B$4998,$A32)&gt;0,_xlfn.MAXIFS(Tank_Adjustments!$A$2:$A$4998,Tank_Adjustments!$B$2:$B$4998,$A32),IF(COUNTIFS(Warehouse_Log!$G$2:$G$4999,$A32,Warehouse_Log!$B$2:$B$4999,"OUT")&gt;0,_xlfn.MINIFS(Warehouse_Log!$A$2:$A$4999,Warehouse_Log!$G$2:$G$4999,$A32,Warehouse_Log!$B$2:$B$4999,"OUT"),"")))</f>
        <v/>
      </c>
      <c r="F32" s="54" t="n">
        <f aca="false">IF(OR($A32="",$E32=""),0,IF(COUNTIFS(Tank_Adjustments!$B$2:$B$4998,$A32)&gt;0,SUMIFS(Tank_Adjustments!$D$2:$D$4998,Tank_Adjustments!$B$2:$B$4998,$A32,Tank_Adjustments!$A$2:$A$4998,$E32),0))</f>
        <v>0</v>
      </c>
      <c r="G32" s="54" t="n">
        <f aca="false">IF(OR($A32="",$E32=""),0,IF(COUNTIFS(Tank_Adjustments!$B$2:$B$4998,$A32)&gt;0,SUMIFS(Warehouse_Log!$F$2:$F$4999,Warehouse_Log!$G$2:$G$4999,$A32,Warehouse_Log!$B$2:$B$4999,"OUT",Warehouse_Log!$A$2:$A$4999,"&gt;"&amp;$E32),SUMIFS(Warehouse_Log!$F$2:$F$4999,Warehouse_Log!$G$2:$G$4999,$A32,Warehouse_Log!$B$2:$B$4999,"OUT",Warehouse_Log!$A$2:$A$4999,"&gt;="&amp;$E32)))</f>
        <v>0</v>
      </c>
      <c r="H32" s="54" t="n">
        <f aca="true">IF(OR($A32="",$E32=""),0,SUMPRODUCT((Dosage!$A$3:$A$5000=$A32)*(((Dosage!$H$3:$H$5000*(Dosage!$H$3:$H$5000&lt;=NOW())+NOW()*(Dosage!$H$3:$H$5000&gt;NOW()))-(Dosage!$B$3:$B$5000*(Dosage!$B$3:$B$5000&gt;=$E32)+$E32*(Dosage!$B$3:$B$5000&lt;$E32)))&gt;0)*((Dosage!$H$3:$H$5000*(Dosage!$H$3:$H$5000&lt;=NOW())+NOW()*(Dosage!$H$3:$H$5000&gt;NOW()))-(Dosage!$B$3:$B$5000*(Dosage!$B$3:$B$5000&gt;=$E32)+$E32*(Dosage!$B$3:$B$5000&lt;$E32)))*Dosage!$F$3:$F$5000))</f>
        <v>0</v>
      </c>
      <c r="I32" s="56" t="str">
        <f aca="false">IF(OR($A32="",$E32=""),"",MIN($C32,MAX(0,$F32+$G32-$H32)))</f>
        <v/>
      </c>
      <c r="J32" s="57" t="str">
        <f aca="false">IF(OR($I32="",$C32="",$C32=0),"",$I32/$C32)</f>
        <v/>
      </c>
      <c r="K32" s="54" t="str">
        <f aca="false">IF(OR($I32="",$D32="",$D32=0),"",$I32/$D32)</f>
        <v/>
      </c>
      <c r="L32" s="58" t="str">
        <f aca="true">IF($K32="","",TODAY()+$K32)</f>
        <v/>
      </c>
      <c r="N32" s="59" t="str">
        <f aca="false">IF($J32="","",MIN(1,$J32))</f>
        <v/>
      </c>
      <c r="O32" s="59" t="str">
        <f aca="false">IF($J32="","",MAX(0,1-$J32))</f>
        <v/>
      </c>
    </row>
    <row r="33" customFormat="false" ht="15" hidden="false" customHeight="true" outlineLevel="0" collapsed="false">
      <c r="A33" s="53" t="str">
        <f aca="false">Setup!$A$123</f>
        <v/>
      </c>
      <c r="B33" s="53" t="str">
        <f aca="false">IF(Setup!$A$123="","",IFERROR(INDEX(Setup!$B$47:$B$89,MATCH(Setup!$A$123,Setup!$A$47:$A$89,0)),""))</f>
        <v/>
      </c>
      <c r="C33" s="53" t="str">
        <f aca="false">IF(Setup!$A$123="","",IFERROR(INDEX(Setup!$C$47:$C$89,MATCH(Setup!$A$123,Setup!$A$47:$A$89,0)),""))</f>
        <v/>
      </c>
      <c r="D33" s="54" t="str">
        <f aca="true">IF($A33="","",SUMPRODUCT((Dosage!$A$3:$A$5000=$A33)*(Dosage!$B$3:$B$5000=_xlfn.MAXIFS(Dosage!$B$3:$B$5000,Dosage!$A$3:$A$5000,$A33,Dosage!$B$3:$B$5000,"&lt;="&amp;NOW()))*Dosage!$F$3:$F$5000))</f>
        <v/>
      </c>
      <c r="E33" s="55" t="str">
        <f aca="false">IF($A33="","",IF(COUNTIFS(Tank_Adjustments!$B$2:$B$4998,$A33)&gt;0,_xlfn.MAXIFS(Tank_Adjustments!$A$2:$A$4998,Tank_Adjustments!$B$2:$B$4998,$A33),IF(COUNTIFS(Warehouse_Log!$G$2:$G$4999,$A33,Warehouse_Log!$B$2:$B$4999,"OUT")&gt;0,_xlfn.MINIFS(Warehouse_Log!$A$2:$A$4999,Warehouse_Log!$G$2:$G$4999,$A33,Warehouse_Log!$B$2:$B$4999,"OUT"),"")))</f>
        <v/>
      </c>
      <c r="F33" s="54" t="n">
        <f aca="false">IF(OR($A33="",$E33=""),0,IF(COUNTIFS(Tank_Adjustments!$B$2:$B$4998,$A33)&gt;0,SUMIFS(Tank_Adjustments!$D$2:$D$4998,Tank_Adjustments!$B$2:$B$4998,$A33,Tank_Adjustments!$A$2:$A$4998,$E33),0))</f>
        <v>0</v>
      </c>
      <c r="G33" s="54" t="n">
        <f aca="false">IF(OR($A33="",$E33=""),0,IF(COUNTIFS(Tank_Adjustments!$B$2:$B$4998,$A33)&gt;0,SUMIFS(Warehouse_Log!$F$2:$F$4999,Warehouse_Log!$G$2:$G$4999,$A33,Warehouse_Log!$B$2:$B$4999,"OUT",Warehouse_Log!$A$2:$A$4999,"&gt;"&amp;$E33),SUMIFS(Warehouse_Log!$F$2:$F$4999,Warehouse_Log!$G$2:$G$4999,$A33,Warehouse_Log!$B$2:$B$4999,"OUT",Warehouse_Log!$A$2:$A$4999,"&gt;="&amp;$E33)))</f>
        <v>0</v>
      </c>
      <c r="H33" s="54" t="n">
        <f aca="true">IF(OR($A33="",$E33=""),0,SUMPRODUCT((Dosage!$A$3:$A$5000=$A33)*(((Dosage!$H$3:$H$5000*(Dosage!$H$3:$H$5000&lt;=NOW())+NOW()*(Dosage!$H$3:$H$5000&gt;NOW()))-(Dosage!$B$3:$B$5000*(Dosage!$B$3:$B$5000&gt;=$E33)+$E33*(Dosage!$B$3:$B$5000&lt;$E33)))&gt;0)*((Dosage!$H$3:$H$5000*(Dosage!$H$3:$H$5000&lt;=NOW())+NOW()*(Dosage!$H$3:$H$5000&gt;NOW()))-(Dosage!$B$3:$B$5000*(Dosage!$B$3:$B$5000&gt;=$E33)+$E33*(Dosage!$B$3:$B$5000&lt;$E33)))*Dosage!$F$3:$F$5000))</f>
        <v>0</v>
      </c>
      <c r="I33" s="56" t="str">
        <f aca="false">IF(OR($A33="",$E33=""),"",MIN($C33,MAX(0,$F33+$G33-$H33)))</f>
        <v/>
      </c>
      <c r="J33" s="57" t="str">
        <f aca="false">IF(OR($I33="",$C33="",$C33=0),"",$I33/$C33)</f>
        <v/>
      </c>
      <c r="K33" s="54" t="str">
        <f aca="false">IF(OR($I33="",$D33="",$D33=0),"",$I33/$D33)</f>
        <v/>
      </c>
      <c r="L33" s="58" t="str">
        <f aca="true">IF($K33="","",TODAY()+$K33)</f>
        <v/>
      </c>
      <c r="N33" s="59" t="str">
        <f aca="false">IF($J33="","",MIN(1,$J33))</f>
        <v/>
      </c>
      <c r="O33" s="59" t="str">
        <f aca="false">IF($J33="","",MAX(0,1-$J33))</f>
        <v/>
      </c>
    </row>
    <row r="34" customFormat="false" ht="15" hidden="false" customHeight="true" outlineLevel="0" collapsed="false">
      <c r="A34" s="53" t="str">
        <f aca="false">Setup!$A$124</f>
        <v/>
      </c>
      <c r="B34" s="53" t="str">
        <f aca="false">IF(Setup!$A$124="","",IFERROR(INDEX(Setup!$B$47:$B$89,MATCH(Setup!$A$124,Setup!$A$47:$A$89,0)),""))</f>
        <v/>
      </c>
      <c r="C34" s="53" t="str">
        <f aca="false">IF(Setup!$A$124="","",IFERROR(INDEX(Setup!$C$47:$C$89,MATCH(Setup!$A$124,Setup!$A$47:$A$89,0)),""))</f>
        <v/>
      </c>
      <c r="D34" s="54" t="str">
        <f aca="true">IF($A34="","",SUMPRODUCT((Dosage!$A$3:$A$5000=$A34)*(Dosage!$B$3:$B$5000=_xlfn.MAXIFS(Dosage!$B$3:$B$5000,Dosage!$A$3:$A$5000,$A34,Dosage!$B$3:$B$5000,"&lt;="&amp;NOW()))*Dosage!$F$3:$F$5000))</f>
        <v/>
      </c>
      <c r="E34" s="55" t="str">
        <f aca="false">IF($A34="","",IF(COUNTIFS(Tank_Adjustments!$B$2:$B$4998,$A34)&gt;0,_xlfn.MAXIFS(Tank_Adjustments!$A$2:$A$4998,Tank_Adjustments!$B$2:$B$4998,$A34),IF(COUNTIFS(Warehouse_Log!$G$2:$G$4999,$A34,Warehouse_Log!$B$2:$B$4999,"OUT")&gt;0,_xlfn.MINIFS(Warehouse_Log!$A$2:$A$4999,Warehouse_Log!$G$2:$G$4999,$A34,Warehouse_Log!$B$2:$B$4999,"OUT"),"")))</f>
        <v/>
      </c>
      <c r="F34" s="54" t="n">
        <f aca="false">IF(OR($A34="",$E34=""),0,IF(COUNTIFS(Tank_Adjustments!$B$2:$B$4998,$A34)&gt;0,SUMIFS(Tank_Adjustments!$D$2:$D$4998,Tank_Adjustments!$B$2:$B$4998,$A34,Tank_Adjustments!$A$2:$A$4998,$E34),0))</f>
        <v>0</v>
      </c>
      <c r="G34" s="54" t="n">
        <f aca="false">IF(OR($A34="",$E34=""),0,IF(COUNTIFS(Tank_Adjustments!$B$2:$B$4998,$A34)&gt;0,SUMIFS(Warehouse_Log!$F$2:$F$4999,Warehouse_Log!$G$2:$G$4999,$A34,Warehouse_Log!$B$2:$B$4999,"OUT",Warehouse_Log!$A$2:$A$4999,"&gt;"&amp;$E34),SUMIFS(Warehouse_Log!$F$2:$F$4999,Warehouse_Log!$G$2:$G$4999,$A34,Warehouse_Log!$B$2:$B$4999,"OUT",Warehouse_Log!$A$2:$A$4999,"&gt;="&amp;$E34)))</f>
        <v>0</v>
      </c>
      <c r="H34" s="54" t="n">
        <f aca="true">IF(OR($A34="",$E34=""),0,SUMPRODUCT((Dosage!$A$3:$A$5000=$A34)*(((Dosage!$H$3:$H$5000*(Dosage!$H$3:$H$5000&lt;=NOW())+NOW()*(Dosage!$H$3:$H$5000&gt;NOW()))-(Dosage!$B$3:$B$5000*(Dosage!$B$3:$B$5000&gt;=$E34)+$E34*(Dosage!$B$3:$B$5000&lt;$E34)))&gt;0)*((Dosage!$H$3:$H$5000*(Dosage!$H$3:$H$5000&lt;=NOW())+NOW()*(Dosage!$H$3:$H$5000&gt;NOW()))-(Dosage!$B$3:$B$5000*(Dosage!$B$3:$B$5000&gt;=$E34)+$E34*(Dosage!$B$3:$B$5000&lt;$E34)))*Dosage!$F$3:$F$5000))</f>
        <v>0</v>
      </c>
      <c r="I34" s="56" t="str">
        <f aca="false">IF(OR($A34="",$E34=""),"",MIN($C34,MAX(0,$F34+$G34-$H34)))</f>
        <v/>
      </c>
      <c r="J34" s="57" t="str">
        <f aca="false">IF(OR($I34="",$C34="",$C34=0),"",$I34/$C34)</f>
        <v/>
      </c>
      <c r="K34" s="54" t="str">
        <f aca="false">IF(OR($I34="",$D34="",$D34=0),"",$I34/$D34)</f>
        <v/>
      </c>
      <c r="L34" s="58" t="str">
        <f aca="true">IF($K34="","",TODAY()+$K34)</f>
        <v/>
      </c>
      <c r="N34" s="59" t="str">
        <f aca="false">IF($J34="","",MIN(1,$J34))</f>
        <v/>
      </c>
      <c r="O34" s="59" t="str">
        <f aca="false">IF($J34="","",MAX(0,1-$J34))</f>
        <v/>
      </c>
    </row>
    <row r="35" customFormat="false" ht="15" hidden="false" customHeight="true" outlineLevel="0" collapsed="false">
      <c r="A35" s="53" t="str">
        <f aca="false">Setup!$A$125</f>
        <v/>
      </c>
      <c r="B35" s="53" t="str">
        <f aca="false">IF(Setup!$A$125="","",IFERROR(INDEX(Setup!$B$47:$B$89,MATCH(Setup!$A$125,Setup!$A$47:$A$89,0)),""))</f>
        <v/>
      </c>
      <c r="C35" s="53" t="str">
        <f aca="false">IF(Setup!$A$125="","",IFERROR(INDEX(Setup!$C$47:$C$89,MATCH(Setup!$A$125,Setup!$A$47:$A$89,0)),""))</f>
        <v/>
      </c>
      <c r="D35" s="54" t="str">
        <f aca="true">IF($A35="","",SUMPRODUCT((Dosage!$A$3:$A$5000=$A35)*(Dosage!$B$3:$B$5000=_xlfn.MAXIFS(Dosage!$B$3:$B$5000,Dosage!$A$3:$A$5000,$A35,Dosage!$B$3:$B$5000,"&lt;="&amp;NOW()))*Dosage!$F$3:$F$5000))</f>
        <v/>
      </c>
      <c r="E35" s="55" t="str">
        <f aca="false">IF($A35="","",IF(COUNTIFS(Tank_Adjustments!$B$2:$B$4998,$A35)&gt;0,_xlfn.MAXIFS(Tank_Adjustments!$A$2:$A$4998,Tank_Adjustments!$B$2:$B$4998,$A35),IF(COUNTIFS(Warehouse_Log!$G$2:$G$4999,$A35,Warehouse_Log!$B$2:$B$4999,"OUT")&gt;0,_xlfn.MINIFS(Warehouse_Log!$A$2:$A$4999,Warehouse_Log!$G$2:$G$4999,$A35,Warehouse_Log!$B$2:$B$4999,"OUT"),"")))</f>
        <v/>
      </c>
      <c r="F35" s="54" t="n">
        <f aca="false">IF(OR($A35="",$E35=""),0,IF(COUNTIFS(Tank_Adjustments!$B$2:$B$4998,$A35)&gt;0,SUMIFS(Tank_Adjustments!$D$2:$D$4998,Tank_Adjustments!$B$2:$B$4998,$A35,Tank_Adjustments!$A$2:$A$4998,$E35),0))</f>
        <v>0</v>
      </c>
      <c r="G35" s="54" t="n">
        <f aca="false">IF(OR($A35="",$E35=""),0,IF(COUNTIFS(Tank_Adjustments!$B$2:$B$4998,$A35)&gt;0,SUMIFS(Warehouse_Log!$F$2:$F$4999,Warehouse_Log!$G$2:$G$4999,$A35,Warehouse_Log!$B$2:$B$4999,"OUT",Warehouse_Log!$A$2:$A$4999,"&gt;"&amp;$E35),SUMIFS(Warehouse_Log!$F$2:$F$4999,Warehouse_Log!$G$2:$G$4999,$A35,Warehouse_Log!$B$2:$B$4999,"OUT",Warehouse_Log!$A$2:$A$4999,"&gt;="&amp;$E35)))</f>
        <v>0</v>
      </c>
      <c r="H35" s="54" t="n">
        <f aca="true">IF(OR($A35="",$E35=""),0,SUMPRODUCT((Dosage!$A$3:$A$5000=$A35)*(((Dosage!$H$3:$H$5000*(Dosage!$H$3:$H$5000&lt;=NOW())+NOW()*(Dosage!$H$3:$H$5000&gt;NOW()))-(Dosage!$B$3:$B$5000*(Dosage!$B$3:$B$5000&gt;=$E35)+$E35*(Dosage!$B$3:$B$5000&lt;$E35)))&gt;0)*((Dosage!$H$3:$H$5000*(Dosage!$H$3:$H$5000&lt;=NOW())+NOW()*(Dosage!$H$3:$H$5000&gt;NOW()))-(Dosage!$B$3:$B$5000*(Dosage!$B$3:$B$5000&gt;=$E35)+$E35*(Dosage!$B$3:$B$5000&lt;$E35)))*Dosage!$F$3:$F$5000))</f>
        <v>0</v>
      </c>
      <c r="I35" s="56" t="str">
        <f aca="false">IF(OR($A35="",$E35=""),"",MIN($C35,MAX(0,$F35+$G35-$H35)))</f>
        <v/>
      </c>
      <c r="J35" s="57" t="str">
        <f aca="false">IF(OR($I35="",$C35="",$C35=0),"",$I35/$C35)</f>
        <v/>
      </c>
      <c r="K35" s="54" t="str">
        <f aca="false">IF(OR($I35="",$D35="",$D35=0),"",$I35/$D35)</f>
        <v/>
      </c>
      <c r="L35" s="58" t="str">
        <f aca="true">IF($K35="","",TODAY()+$K35)</f>
        <v/>
      </c>
      <c r="N35" s="59" t="str">
        <f aca="false">IF($J35="","",MIN(1,$J35))</f>
        <v/>
      </c>
      <c r="O35" s="59" t="str">
        <f aca="false">IF($J35="","",MAX(0,1-$J35))</f>
        <v/>
      </c>
    </row>
    <row r="36" customFormat="false" ht="15" hidden="false" customHeight="true" outlineLevel="0" collapsed="false">
      <c r="A36" s="53" t="str">
        <f aca="false">Setup!$A$126</f>
        <v/>
      </c>
      <c r="B36" s="53" t="str">
        <f aca="false">IF(Setup!$A$126="","",IFERROR(INDEX(Setup!$B$47:$B$89,MATCH(Setup!$A$126,Setup!$A$47:$A$89,0)),""))</f>
        <v/>
      </c>
      <c r="C36" s="53" t="str">
        <f aca="false">IF(Setup!$A$126="","",IFERROR(INDEX(Setup!$C$47:$C$89,MATCH(Setup!$A$126,Setup!$A$47:$A$89,0)),""))</f>
        <v/>
      </c>
      <c r="D36" s="54" t="str">
        <f aca="true">IF($A36="","",SUMPRODUCT((Dosage!$A$3:$A$5000=$A36)*(Dosage!$B$3:$B$5000=_xlfn.MAXIFS(Dosage!$B$3:$B$5000,Dosage!$A$3:$A$5000,$A36,Dosage!$B$3:$B$5000,"&lt;="&amp;NOW()))*Dosage!$F$3:$F$5000))</f>
        <v/>
      </c>
      <c r="E36" s="55" t="str">
        <f aca="false">IF($A36="","",IF(COUNTIFS(Tank_Adjustments!$B$2:$B$4998,$A36)&gt;0,_xlfn.MAXIFS(Tank_Adjustments!$A$2:$A$4998,Tank_Adjustments!$B$2:$B$4998,$A36),IF(COUNTIFS(Warehouse_Log!$G$2:$G$4999,$A36,Warehouse_Log!$B$2:$B$4999,"OUT")&gt;0,_xlfn.MINIFS(Warehouse_Log!$A$2:$A$4999,Warehouse_Log!$G$2:$G$4999,$A36,Warehouse_Log!$B$2:$B$4999,"OUT"),"")))</f>
        <v/>
      </c>
      <c r="F36" s="54" t="n">
        <f aca="false">IF(OR($A36="",$E36=""),0,IF(COUNTIFS(Tank_Adjustments!$B$2:$B$4998,$A36)&gt;0,SUMIFS(Tank_Adjustments!$D$2:$D$4998,Tank_Adjustments!$B$2:$B$4998,$A36,Tank_Adjustments!$A$2:$A$4998,$E36),0))</f>
        <v>0</v>
      </c>
      <c r="G36" s="54" t="n">
        <f aca="false">IF(OR($A36="",$E36=""),0,IF(COUNTIFS(Tank_Adjustments!$B$2:$B$4998,$A36)&gt;0,SUMIFS(Warehouse_Log!$F$2:$F$4999,Warehouse_Log!$G$2:$G$4999,$A36,Warehouse_Log!$B$2:$B$4999,"OUT",Warehouse_Log!$A$2:$A$4999,"&gt;"&amp;$E36),SUMIFS(Warehouse_Log!$F$2:$F$4999,Warehouse_Log!$G$2:$G$4999,$A36,Warehouse_Log!$B$2:$B$4999,"OUT",Warehouse_Log!$A$2:$A$4999,"&gt;="&amp;$E36)))</f>
        <v>0</v>
      </c>
      <c r="H36" s="54" t="n">
        <f aca="true">IF(OR($A36="",$E36=""),0,SUMPRODUCT((Dosage!$A$3:$A$5000=$A36)*(((Dosage!$H$3:$H$5000*(Dosage!$H$3:$H$5000&lt;=NOW())+NOW()*(Dosage!$H$3:$H$5000&gt;NOW()))-(Dosage!$B$3:$B$5000*(Dosage!$B$3:$B$5000&gt;=$E36)+$E36*(Dosage!$B$3:$B$5000&lt;$E36)))&gt;0)*((Dosage!$H$3:$H$5000*(Dosage!$H$3:$H$5000&lt;=NOW())+NOW()*(Dosage!$H$3:$H$5000&gt;NOW()))-(Dosage!$B$3:$B$5000*(Dosage!$B$3:$B$5000&gt;=$E36)+$E36*(Dosage!$B$3:$B$5000&lt;$E36)))*Dosage!$F$3:$F$5000))</f>
        <v>0</v>
      </c>
      <c r="I36" s="56" t="str">
        <f aca="false">IF(OR($A36="",$E36=""),"",MIN($C36,MAX(0,$F36+$G36-$H36)))</f>
        <v/>
      </c>
      <c r="J36" s="57" t="str">
        <f aca="false">IF(OR($I36="",$C36="",$C36=0),"",$I36/$C36)</f>
        <v/>
      </c>
      <c r="K36" s="54" t="str">
        <f aca="false">IF(OR($I36="",$D36="",$D36=0),"",$I36/$D36)</f>
        <v/>
      </c>
      <c r="L36" s="58" t="str">
        <f aca="true">IF($K36="","",TODAY()+$K36)</f>
        <v/>
      </c>
      <c r="N36" s="59" t="str">
        <f aca="false">IF($J36="","",MIN(1,$J36))</f>
        <v/>
      </c>
      <c r="O36" s="59" t="str">
        <f aca="false">IF($J36="","",MAX(0,1-$J36))</f>
        <v/>
      </c>
    </row>
    <row r="37" customFormat="false" ht="15" hidden="false" customHeight="true" outlineLevel="0" collapsed="false">
      <c r="A37" s="53" t="str">
        <f aca="false">Setup!$A$127</f>
        <v/>
      </c>
      <c r="B37" s="53" t="str">
        <f aca="false">IF(Setup!$A$127="","",IFERROR(INDEX(Setup!$B$47:$B$89,MATCH(Setup!$A$127,Setup!$A$47:$A$89,0)),""))</f>
        <v/>
      </c>
      <c r="C37" s="53" t="str">
        <f aca="false">IF(Setup!$A$127="","",IFERROR(INDEX(Setup!$C$47:$C$89,MATCH(Setup!$A$127,Setup!$A$47:$A$89,0)),""))</f>
        <v/>
      </c>
      <c r="D37" s="54" t="str">
        <f aca="true">IF($A37="","",SUMPRODUCT((Dosage!$A$3:$A$5000=$A37)*(Dosage!$B$3:$B$5000=_xlfn.MAXIFS(Dosage!$B$3:$B$5000,Dosage!$A$3:$A$5000,$A37,Dosage!$B$3:$B$5000,"&lt;="&amp;NOW()))*Dosage!$F$3:$F$5000))</f>
        <v/>
      </c>
      <c r="E37" s="55" t="str">
        <f aca="false">IF($A37="","",IF(COUNTIFS(Tank_Adjustments!$B$2:$B$4998,$A37)&gt;0,_xlfn.MAXIFS(Tank_Adjustments!$A$2:$A$4998,Tank_Adjustments!$B$2:$B$4998,$A37),IF(COUNTIFS(Warehouse_Log!$G$2:$G$4999,$A37,Warehouse_Log!$B$2:$B$4999,"OUT")&gt;0,_xlfn.MINIFS(Warehouse_Log!$A$2:$A$4999,Warehouse_Log!$G$2:$G$4999,$A37,Warehouse_Log!$B$2:$B$4999,"OUT"),"")))</f>
        <v/>
      </c>
      <c r="F37" s="54" t="n">
        <f aca="false">IF(OR($A37="",$E37=""),0,IF(COUNTIFS(Tank_Adjustments!$B$2:$B$4998,$A37)&gt;0,SUMIFS(Tank_Adjustments!$D$2:$D$4998,Tank_Adjustments!$B$2:$B$4998,$A37,Tank_Adjustments!$A$2:$A$4998,$E37),0))</f>
        <v>0</v>
      </c>
      <c r="G37" s="54" t="n">
        <f aca="false">IF(OR($A37="",$E37=""),0,IF(COUNTIFS(Tank_Adjustments!$B$2:$B$4998,$A37)&gt;0,SUMIFS(Warehouse_Log!$F$2:$F$4999,Warehouse_Log!$G$2:$G$4999,$A37,Warehouse_Log!$B$2:$B$4999,"OUT",Warehouse_Log!$A$2:$A$4999,"&gt;"&amp;$E37),SUMIFS(Warehouse_Log!$F$2:$F$4999,Warehouse_Log!$G$2:$G$4999,$A37,Warehouse_Log!$B$2:$B$4999,"OUT",Warehouse_Log!$A$2:$A$4999,"&gt;="&amp;$E37)))</f>
        <v>0</v>
      </c>
      <c r="H37" s="54" t="n">
        <f aca="true">IF(OR($A37="",$E37=""),0,SUMPRODUCT((Dosage!$A$3:$A$5000=$A37)*(((Dosage!$H$3:$H$5000*(Dosage!$H$3:$H$5000&lt;=NOW())+NOW()*(Dosage!$H$3:$H$5000&gt;NOW()))-(Dosage!$B$3:$B$5000*(Dosage!$B$3:$B$5000&gt;=$E37)+$E37*(Dosage!$B$3:$B$5000&lt;$E37)))&gt;0)*((Dosage!$H$3:$H$5000*(Dosage!$H$3:$H$5000&lt;=NOW())+NOW()*(Dosage!$H$3:$H$5000&gt;NOW()))-(Dosage!$B$3:$B$5000*(Dosage!$B$3:$B$5000&gt;=$E37)+$E37*(Dosage!$B$3:$B$5000&lt;$E37)))*Dosage!$F$3:$F$5000))</f>
        <v>0</v>
      </c>
      <c r="I37" s="56" t="str">
        <f aca="false">IF(OR($A37="",$E37=""),"",MIN($C37,MAX(0,$F37+$G37-$H37)))</f>
        <v/>
      </c>
      <c r="J37" s="57" t="str">
        <f aca="false">IF(OR($I37="",$C37="",$C37=0),"",$I37/$C37)</f>
        <v/>
      </c>
      <c r="K37" s="54" t="str">
        <f aca="false">IF(OR($I37="",$D37="",$D37=0),"",$I37/$D37)</f>
        <v/>
      </c>
      <c r="L37" s="58" t="str">
        <f aca="true">IF($K37="","",TODAY()+$K37)</f>
        <v/>
      </c>
      <c r="N37" s="59" t="str">
        <f aca="false">IF($J37="","",MIN(1,$J37))</f>
        <v/>
      </c>
      <c r="O37" s="59" t="str">
        <f aca="false">IF($J37="","",MAX(0,1-$J37))</f>
        <v/>
      </c>
    </row>
    <row r="38" customFormat="false" ht="15" hidden="false" customHeight="true" outlineLevel="0" collapsed="false">
      <c r="A38" s="53" t="str">
        <f aca="false">Setup!$A$128</f>
        <v/>
      </c>
      <c r="B38" s="53" t="str">
        <f aca="false">IF(Setup!$A$128="","",IFERROR(INDEX(Setup!$B$47:$B$89,MATCH(Setup!$A$128,Setup!$A$47:$A$89,0)),""))</f>
        <v/>
      </c>
      <c r="C38" s="53" t="str">
        <f aca="false">IF(Setup!$A$128="","",IFERROR(INDEX(Setup!$C$47:$C$89,MATCH(Setup!$A$128,Setup!$A$47:$A$89,0)),""))</f>
        <v/>
      </c>
      <c r="D38" s="54" t="str">
        <f aca="true">IF($A38="","",SUMPRODUCT((Dosage!$A$3:$A$5000=$A38)*(Dosage!$B$3:$B$5000=_xlfn.MAXIFS(Dosage!$B$3:$B$5000,Dosage!$A$3:$A$5000,$A38,Dosage!$B$3:$B$5000,"&lt;="&amp;NOW()))*Dosage!$F$3:$F$5000))</f>
        <v/>
      </c>
      <c r="E38" s="55" t="str">
        <f aca="false">IF($A38="","",IF(COUNTIFS(Tank_Adjustments!$B$2:$B$4998,$A38)&gt;0,_xlfn.MAXIFS(Tank_Adjustments!$A$2:$A$4998,Tank_Adjustments!$B$2:$B$4998,$A38),IF(COUNTIFS(Warehouse_Log!$G$2:$G$4999,$A38,Warehouse_Log!$B$2:$B$4999,"OUT")&gt;0,_xlfn.MINIFS(Warehouse_Log!$A$2:$A$4999,Warehouse_Log!$G$2:$G$4999,$A38,Warehouse_Log!$B$2:$B$4999,"OUT"),"")))</f>
        <v/>
      </c>
      <c r="F38" s="54" t="n">
        <f aca="false">IF(OR($A38="",$E38=""),0,IF(COUNTIFS(Tank_Adjustments!$B$2:$B$4998,$A38)&gt;0,SUMIFS(Tank_Adjustments!$D$2:$D$4998,Tank_Adjustments!$B$2:$B$4998,$A38,Tank_Adjustments!$A$2:$A$4998,$E38),0))</f>
        <v>0</v>
      </c>
      <c r="G38" s="54" t="n">
        <f aca="false">IF(OR($A38="",$E38=""),0,IF(COUNTIFS(Tank_Adjustments!$B$2:$B$4998,$A38)&gt;0,SUMIFS(Warehouse_Log!$F$2:$F$4999,Warehouse_Log!$G$2:$G$4999,$A38,Warehouse_Log!$B$2:$B$4999,"OUT",Warehouse_Log!$A$2:$A$4999,"&gt;"&amp;$E38),SUMIFS(Warehouse_Log!$F$2:$F$4999,Warehouse_Log!$G$2:$G$4999,$A38,Warehouse_Log!$B$2:$B$4999,"OUT",Warehouse_Log!$A$2:$A$4999,"&gt;="&amp;$E38)))</f>
        <v>0</v>
      </c>
      <c r="H38" s="54" t="n">
        <f aca="true">IF(OR($A38="",$E38=""),0,SUMPRODUCT((Dosage!$A$3:$A$5000=$A38)*(((Dosage!$H$3:$H$5000*(Dosage!$H$3:$H$5000&lt;=NOW())+NOW()*(Dosage!$H$3:$H$5000&gt;NOW()))-(Dosage!$B$3:$B$5000*(Dosage!$B$3:$B$5000&gt;=$E38)+$E38*(Dosage!$B$3:$B$5000&lt;$E38)))&gt;0)*((Dosage!$H$3:$H$5000*(Dosage!$H$3:$H$5000&lt;=NOW())+NOW()*(Dosage!$H$3:$H$5000&gt;NOW()))-(Dosage!$B$3:$B$5000*(Dosage!$B$3:$B$5000&gt;=$E38)+$E38*(Dosage!$B$3:$B$5000&lt;$E38)))*Dosage!$F$3:$F$5000))</f>
        <v>0</v>
      </c>
      <c r="I38" s="56" t="str">
        <f aca="false">IF(OR($A38="",$E38=""),"",MIN($C38,MAX(0,$F38+$G38-$H38)))</f>
        <v/>
      </c>
      <c r="J38" s="57" t="str">
        <f aca="false">IF(OR($I38="",$C38="",$C38=0),"",$I38/$C38)</f>
        <v/>
      </c>
      <c r="K38" s="54" t="str">
        <f aca="false">IF(OR($I38="",$D38="",$D38=0),"",$I38/$D38)</f>
        <v/>
      </c>
      <c r="L38" s="58" t="str">
        <f aca="true">IF($K38="","",TODAY()+$K38)</f>
        <v/>
      </c>
      <c r="N38" s="59" t="str">
        <f aca="false">IF($J38="","",MIN(1,$J38))</f>
        <v/>
      </c>
      <c r="O38" s="59" t="str">
        <f aca="false">IF($J38="","",MAX(0,1-$J38))</f>
        <v/>
      </c>
    </row>
    <row r="39" customFormat="false" ht="15" hidden="false" customHeight="true" outlineLevel="0" collapsed="false">
      <c r="A39" s="53" t="str">
        <f aca="false">Setup!$A$129</f>
        <v/>
      </c>
      <c r="B39" s="53" t="str">
        <f aca="false">IF(Setup!$A$129="","",IFERROR(INDEX(Setup!$B$47:$B$89,MATCH(Setup!$A$129,Setup!$A$47:$A$89,0)),""))</f>
        <v/>
      </c>
      <c r="C39" s="53" t="str">
        <f aca="false">IF(Setup!$A$129="","",IFERROR(INDEX(Setup!$C$47:$C$89,MATCH(Setup!$A$129,Setup!$A$47:$A$89,0)),""))</f>
        <v/>
      </c>
      <c r="D39" s="54" t="str">
        <f aca="true">IF($A39="","",SUMPRODUCT((Dosage!$A$3:$A$5000=$A39)*(Dosage!$B$3:$B$5000=_xlfn.MAXIFS(Dosage!$B$3:$B$5000,Dosage!$A$3:$A$5000,$A39,Dosage!$B$3:$B$5000,"&lt;="&amp;NOW()))*Dosage!$F$3:$F$5000))</f>
        <v/>
      </c>
      <c r="E39" s="55" t="str">
        <f aca="false">IF($A39="","",IF(COUNTIFS(Tank_Adjustments!$B$2:$B$4998,$A39)&gt;0,_xlfn.MAXIFS(Tank_Adjustments!$A$2:$A$4998,Tank_Adjustments!$B$2:$B$4998,$A39),IF(COUNTIFS(Warehouse_Log!$G$2:$G$4999,$A39,Warehouse_Log!$B$2:$B$4999,"OUT")&gt;0,_xlfn.MINIFS(Warehouse_Log!$A$2:$A$4999,Warehouse_Log!$G$2:$G$4999,$A39,Warehouse_Log!$B$2:$B$4999,"OUT"),"")))</f>
        <v/>
      </c>
      <c r="F39" s="54" t="n">
        <f aca="false">IF(OR($A39="",$E39=""),0,IF(COUNTIFS(Tank_Adjustments!$B$2:$B$4998,$A39)&gt;0,SUMIFS(Tank_Adjustments!$D$2:$D$4998,Tank_Adjustments!$B$2:$B$4998,$A39,Tank_Adjustments!$A$2:$A$4998,$E39),0))</f>
        <v>0</v>
      </c>
      <c r="G39" s="54" t="n">
        <f aca="false">IF(OR($A39="",$E39=""),0,IF(COUNTIFS(Tank_Adjustments!$B$2:$B$4998,$A39)&gt;0,SUMIFS(Warehouse_Log!$F$2:$F$4999,Warehouse_Log!$G$2:$G$4999,$A39,Warehouse_Log!$B$2:$B$4999,"OUT",Warehouse_Log!$A$2:$A$4999,"&gt;"&amp;$E39),SUMIFS(Warehouse_Log!$F$2:$F$4999,Warehouse_Log!$G$2:$G$4999,$A39,Warehouse_Log!$B$2:$B$4999,"OUT",Warehouse_Log!$A$2:$A$4999,"&gt;="&amp;$E39)))</f>
        <v>0</v>
      </c>
      <c r="H39" s="54" t="n">
        <f aca="true">IF(OR($A39="",$E39=""),0,SUMPRODUCT((Dosage!$A$3:$A$5000=$A39)*(((Dosage!$H$3:$H$5000*(Dosage!$H$3:$H$5000&lt;=NOW())+NOW()*(Dosage!$H$3:$H$5000&gt;NOW()))-(Dosage!$B$3:$B$5000*(Dosage!$B$3:$B$5000&gt;=$E39)+$E39*(Dosage!$B$3:$B$5000&lt;$E39)))&gt;0)*((Dosage!$H$3:$H$5000*(Dosage!$H$3:$H$5000&lt;=NOW())+NOW()*(Dosage!$H$3:$H$5000&gt;NOW()))-(Dosage!$B$3:$B$5000*(Dosage!$B$3:$B$5000&gt;=$E39)+$E39*(Dosage!$B$3:$B$5000&lt;$E39)))*Dosage!$F$3:$F$5000))</f>
        <v>0</v>
      </c>
      <c r="I39" s="56" t="str">
        <f aca="false">IF(OR($A39="",$E39=""),"",MIN($C39,MAX(0,$F39+$G39-$H39)))</f>
        <v/>
      </c>
      <c r="J39" s="57" t="str">
        <f aca="false">IF(OR($I39="",$C39="",$C39=0),"",$I39/$C39)</f>
        <v/>
      </c>
      <c r="K39" s="54" t="str">
        <f aca="false">IF(OR($I39="",$D39="",$D39=0),"",$I39/$D39)</f>
        <v/>
      </c>
      <c r="L39" s="58" t="str">
        <f aca="true">IF($K39="","",TODAY()+$K39)</f>
        <v/>
      </c>
      <c r="N39" s="59" t="str">
        <f aca="false">IF($J39="","",MIN(1,$J39))</f>
        <v/>
      </c>
      <c r="O39" s="59" t="str">
        <f aca="false">IF($J39="","",MAX(0,1-$J39))</f>
        <v/>
      </c>
    </row>
    <row r="40" customFormat="false" ht="15" hidden="false" customHeight="true" outlineLevel="0" collapsed="false">
      <c r="A40" s="53" t="str">
        <f aca="false">Setup!$A$130</f>
        <v/>
      </c>
      <c r="B40" s="53" t="str">
        <f aca="false">IF(Setup!$A$130="","",IFERROR(INDEX(Setup!$B$47:$B$89,MATCH(Setup!$A$130,Setup!$A$47:$A$89,0)),""))</f>
        <v/>
      </c>
      <c r="C40" s="53" t="str">
        <f aca="false">IF(Setup!$A$130="","",IFERROR(INDEX(Setup!$C$47:$C$89,MATCH(Setup!$A$130,Setup!$A$47:$A$89,0)),""))</f>
        <v/>
      </c>
      <c r="D40" s="54" t="str">
        <f aca="true">IF($A40="","",SUMPRODUCT((Dosage!$A$3:$A$5000=$A40)*(Dosage!$B$3:$B$5000=_xlfn.MAXIFS(Dosage!$B$3:$B$5000,Dosage!$A$3:$A$5000,$A40,Dosage!$B$3:$B$5000,"&lt;="&amp;NOW()))*Dosage!$F$3:$F$5000))</f>
        <v/>
      </c>
      <c r="E40" s="55" t="str">
        <f aca="false">IF($A40="","",IF(COUNTIFS(Tank_Adjustments!$B$2:$B$4998,$A40)&gt;0,_xlfn.MAXIFS(Tank_Adjustments!$A$2:$A$4998,Tank_Adjustments!$B$2:$B$4998,$A40),IF(COUNTIFS(Warehouse_Log!$G$2:$G$4999,$A40,Warehouse_Log!$B$2:$B$4999,"OUT")&gt;0,_xlfn.MINIFS(Warehouse_Log!$A$2:$A$4999,Warehouse_Log!$G$2:$G$4999,$A40,Warehouse_Log!$B$2:$B$4999,"OUT"),"")))</f>
        <v/>
      </c>
      <c r="F40" s="54" t="n">
        <f aca="false">IF(OR($A40="",$E40=""),0,IF(COUNTIFS(Tank_Adjustments!$B$2:$B$4998,$A40)&gt;0,SUMIFS(Tank_Adjustments!$D$2:$D$4998,Tank_Adjustments!$B$2:$B$4998,$A40,Tank_Adjustments!$A$2:$A$4998,$E40),0))</f>
        <v>0</v>
      </c>
      <c r="G40" s="54" t="n">
        <f aca="false">IF(OR($A40="",$E40=""),0,IF(COUNTIFS(Tank_Adjustments!$B$2:$B$4998,$A40)&gt;0,SUMIFS(Warehouse_Log!$F$2:$F$4999,Warehouse_Log!$G$2:$G$4999,$A40,Warehouse_Log!$B$2:$B$4999,"OUT",Warehouse_Log!$A$2:$A$4999,"&gt;"&amp;$E40),SUMIFS(Warehouse_Log!$F$2:$F$4999,Warehouse_Log!$G$2:$G$4999,$A40,Warehouse_Log!$B$2:$B$4999,"OUT",Warehouse_Log!$A$2:$A$4999,"&gt;="&amp;$E40)))</f>
        <v>0</v>
      </c>
      <c r="H40" s="54" t="n">
        <f aca="true">IF(OR($A40="",$E40=""),0,SUMPRODUCT((Dosage!$A$3:$A$5000=$A40)*(((Dosage!$H$3:$H$5000*(Dosage!$H$3:$H$5000&lt;=NOW())+NOW()*(Dosage!$H$3:$H$5000&gt;NOW()))-(Dosage!$B$3:$B$5000*(Dosage!$B$3:$B$5000&gt;=$E40)+$E40*(Dosage!$B$3:$B$5000&lt;$E40)))&gt;0)*((Dosage!$H$3:$H$5000*(Dosage!$H$3:$H$5000&lt;=NOW())+NOW()*(Dosage!$H$3:$H$5000&gt;NOW()))-(Dosage!$B$3:$B$5000*(Dosage!$B$3:$B$5000&gt;=$E40)+$E40*(Dosage!$B$3:$B$5000&lt;$E40)))*Dosage!$F$3:$F$5000))</f>
        <v>0</v>
      </c>
      <c r="I40" s="56" t="str">
        <f aca="false">IF(OR($A40="",$E40=""),"",MIN($C40,MAX(0,$F40+$G40-$H40)))</f>
        <v/>
      </c>
      <c r="J40" s="57" t="str">
        <f aca="false">IF(OR($I40="",$C40="",$C40=0),"",$I40/$C40)</f>
        <v/>
      </c>
      <c r="K40" s="54" t="str">
        <f aca="false">IF(OR($I40="",$D40="",$D40=0),"",$I40/$D40)</f>
        <v/>
      </c>
      <c r="L40" s="58" t="str">
        <f aca="true">IF($K40="","",TODAY()+$K40)</f>
        <v/>
      </c>
      <c r="N40" s="59" t="str">
        <f aca="false">IF($J40="","",MIN(1,$J40))</f>
        <v/>
      </c>
      <c r="O40" s="59" t="str">
        <f aca="false">IF($J40="","",MAX(0,1-$J40))</f>
        <v/>
      </c>
    </row>
    <row r="41" customFormat="false" ht="15" hidden="false" customHeight="true" outlineLevel="0" collapsed="false">
      <c r="A41" s="53" t="str">
        <f aca="false">Setup!$A$131</f>
        <v/>
      </c>
      <c r="B41" s="53" t="str">
        <f aca="false">IF(Setup!$A$131="","",IFERROR(INDEX(Setup!$B$47:$B$89,MATCH(Setup!$A$131,Setup!$A$47:$A$89,0)),""))</f>
        <v/>
      </c>
      <c r="C41" s="53" t="str">
        <f aca="false">IF(Setup!$A$131="","",IFERROR(INDEX(Setup!$C$47:$C$89,MATCH(Setup!$A$131,Setup!$A$47:$A$89,0)),""))</f>
        <v/>
      </c>
      <c r="D41" s="54" t="str">
        <f aca="true">IF($A41="","",SUMPRODUCT((Dosage!$A$3:$A$5000=$A41)*(Dosage!$B$3:$B$5000=_xlfn.MAXIFS(Dosage!$B$3:$B$5000,Dosage!$A$3:$A$5000,$A41,Dosage!$B$3:$B$5000,"&lt;="&amp;NOW()))*Dosage!$F$3:$F$5000))</f>
        <v/>
      </c>
      <c r="E41" s="55" t="str">
        <f aca="false">IF($A41="","",IF(COUNTIFS(Tank_Adjustments!$B$2:$B$4998,$A41)&gt;0,_xlfn.MAXIFS(Tank_Adjustments!$A$2:$A$4998,Tank_Adjustments!$B$2:$B$4998,$A41),IF(COUNTIFS(Warehouse_Log!$G$2:$G$4999,$A41,Warehouse_Log!$B$2:$B$4999,"OUT")&gt;0,_xlfn.MINIFS(Warehouse_Log!$A$2:$A$4999,Warehouse_Log!$G$2:$G$4999,$A41,Warehouse_Log!$B$2:$B$4999,"OUT"),"")))</f>
        <v/>
      </c>
      <c r="F41" s="54" t="n">
        <f aca="false">IF(OR($A41="",$E41=""),0,IF(COUNTIFS(Tank_Adjustments!$B$2:$B$4998,$A41)&gt;0,SUMIFS(Tank_Adjustments!$D$2:$D$4998,Tank_Adjustments!$B$2:$B$4998,$A41,Tank_Adjustments!$A$2:$A$4998,$E41),0))</f>
        <v>0</v>
      </c>
      <c r="G41" s="54" t="n">
        <f aca="false">IF(OR($A41="",$E41=""),0,IF(COUNTIFS(Tank_Adjustments!$B$2:$B$4998,$A41)&gt;0,SUMIFS(Warehouse_Log!$F$2:$F$4999,Warehouse_Log!$G$2:$G$4999,$A41,Warehouse_Log!$B$2:$B$4999,"OUT",Warehouse_Log!$A$2:$A$4999,"&gt;"&amp;$E41),SUMIFS(Warehouse_Log!$F$2:$F$4999,Warehouse_Log!$G$2:$G$4999,$A41,Warehouse_Log!$B$2:$B$4999,"OUT",Warehouse_Log!$A$2:$A$4999,"&gt;="&amp;$E41)))</f>
        <v>0</v>
      </c>
      <c r="H41" s="54" t="n">
        <f aca="true">IF(OR($A41="",$E41=""),0,SUMPRODUCT((Dosage!$A$3:$A$5000=$A41)*(((Dosage!$H$3:$H$5000*(Dosage!$H$3:$H$5000&lt;=NOW())+NOW()*(Dosage!$H$3:$H$5000&gt;NOW()))-(Dosage!$B$3:$B$5000*(Dosage!$B$3:$B$5000&gt;=$E41)+$E41*(Dosage!$B$3:$B$5000&lt;$E41)))&gt;0)*((Dosage!$H$3:$H$5000*(Dosage!$H$3:$H$5000&lt;=NOW())+NOW()*(Dosage!$H$3:$H$5000&gt;NOW()))-(Dosage!$B$3:$B$5000*(Dosage!$B$3:$B$5000&gt;=$E41)+$E41*(Dosage!$B$3:$B$5000&lt;$E41)))*Dosage!$F$3:$F$5000))</f>
        <v>0</v>
      </c>
      <c r="I41" s="56" t="str">
        <f aca="false">IF(OR($A41="",$E41=""),"",MIN($C41,MAX(0,$F41+$G41-$H41)))</f>
        <v/>
      </c>
      <c r="J41" s="57" t="str">
        <f aca="false">IF(OR($I41="",$C41="",$C41=0),"",$I41/$C41)</f>
        <v/>
      </c>
      <c r="K41" s="54" t="str">
        <f aca="false">IF(OR($I41="",$D41="",$D41=0),"",$I41/$D41)</f>
        <v/>
      </c>
      <c r="L41" s="58" t="str">
        <f aca="true">IF($K41="","",TODAY()+$K41)</f>
        <v/>
      </c>
      <c r="N41" s="59" t="str">
        <f aca="false">IF($J41="","",MIN(1,$J41))</f>
        <v/>
      </c>
      <c r="O41" s="59" t="str">
        <f aca="false">IF($J41="","",MAX(0,1-$J41))</f>
        <v/>
      </c>
    </row>
  </sheetData>
  <conditionalFormatting sqref="J2:J41">
    <cfRule type="cellIs" priority="2" operator="lessThan" aboveAverage="0" equalAverage="0" bottom="0" percent="0" rank="0" text="" dxfId="11">
      <formula>0.2</formula>
    </cfRule>
    <cfRule type="cellIs" priority="3" operator="between" aboveAverage="0" equalAverage="0" bottom="0" percent="0" rank="0" text="" dxfId="1">
      <formula>0.2</formula>
      <formula>0.4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2026-09-11T08:00:09Z</dcterms:created>
  <dc:creator>openpyxl</dc:creator>
  <dc:description/>
  <dc:language>en-US</dc:language>
  <cp:lastModifiedBy/>
  <dcterms:modified xsi:type="dcterms:W3CDTF">2026-09-14T14:22:13Z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